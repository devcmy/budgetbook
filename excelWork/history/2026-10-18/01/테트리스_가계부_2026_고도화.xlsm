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2" activeTab="3" xr2:uid="{00000000-000D-0000-FFFF-FFFF00000000}"/>
  </bookViews>
  <sheets>
    <sheet name="사용안내" sheetId="1" r:id="rId1"/>
    <sheet name="검증" sheetId="2" r:id="rId2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1" hidden="1">검증!$A$4:$Q$16</definedName>
    <definedName name="_xlnm._FilterDatabase" localSheetId="28" hidden="1">RAW!$A$1:$S$2453</definedName>
    <definedName name="_xlnm.Print_Area" localSheetId="22">'10월'!$A$1:$V$86</definedName>
    <definedName name="_xlnm.Print_Area" localSheetId="23">'10월계산기'!$A$1:$W$155</definedName>
    <definedName name="_xlnm.Print_Area" localSheetId="24">'11월'!$A$1:$V$70</definedName>
    <definedName name="_xlnm.Print_Area" localSheetId="25">'11월계산기'!$A$1:$W$155</definedName>
    <definedName name="_xlnm.Print_Area" localSheetId="26">'12월'!$A$1:$V$70</definedName>
    <definedName name="_xlnm.Print_Area" localSheetId="27">'12월계산기'!$A$1:$W$155</definedName>
    <definedName name="_xlnm.Print_Area" localSheetId="4">'1월'!$A$1:$V$70</definedName>
    <definedName name="_xlnm.Print_Area" localSheetId="5">'1월계산기'!$A$1:$W$155</definedName>
    <definedName name="_xlnm.Print_Area" localSheetId="6">'2월'!$A$1:$V$70</definedName>
    <definedName name="_xlnm.Print_Area" localSheetId="7">'2월계산기'!$A$1:$W$155</definedName>
    <definedName name="_xlnm.Print_Area" localSheetId="8">'3월'!$A$1:$V$70</definedName>
    <definedName name="_xlnm.Print_Area" localSheetId="9">'3월계산기'!$A$1:$W$155</definedName>
    <definedName name="_xlnm.Print_Area" localSheetId="10">'4월'!$A$1:$V$70</definedName>
    <definedName name="_xlnm.Print_Area" localSheetId="11">'4월계산기'!$A$1:$W$155</definedName>
    <definedName name="_xlnm.Print_Area" localSheetId="12">'5월'!$A$1:$V$70</definedName>
    <definedName name="_xlnm.Print_Area" localSheetId="13">'5월계산기'!$A$1:$W$155</definedName>
    <definedName name="_xlnm.Print_Area" localSheetId="14">'6월'!$A$1:$V$70</definedName>
    <definedName name="_xlnm.Print_Area" localSheetId="15">'6월계산기'!$A$1:$W$155</definedName>
    <definedName name="_xlnm.Print_Area" localSheetId="16">'7월'!$A$1:$V$70</definedName>
    <definedName name="_xlnm.Print_Area" localSheetId="17">'7월계산기'!$A$1:$W$155</definedName>
    <definedName name="_xlnm.Print_Area" localSheetId="18">'8월'!$A$1:$V$70</definedName>
    <definedName name="_xlnm.Print_Area" localSheetId="19">'8월계산기'!$A$1:$W$155</definedName>
    <definedName name="_xlnm.Print_Area" localSheetId="20">'9월'!$A$1:$V$70</definedName>
    <definedName name="_xlnm.Print_Area" localSheetId="21">'9월계산기'!$A$1:$W$155</definedName>
    <definedName name="_xlnm.Print_Area" localSheetId="1">검증!$A$1:$Q$175</definedName>
    <definedName name="_xlnm.Print_Area" localSheetId="3">잔액!$A$1:$L$60</definedName>
    <definedName name="_xlnm.Print_Area" localSheetId="2">'예비비'!$A$1:$O$69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<sst xmlns="http://schemas.openxmlformats.org/spreadsheetml/2006/main" count="26787" uniqueCount="2558">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</sst>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2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527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현황·월별 적립계획·이체 내역을 한 화면에서 봅니다. 원장잔액은 잔액 탭과 같은 월 기준, 사용가능액은 미정산 사용분을 뺀 금액입니다.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탭은 WRAP 통장만 관리합니다. 조회월(B3)을 목록에서 고르면 해당 월의 전월말·입출금·계정별 잔액·합계가 바뀝니다.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s">
        <v>219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10/15까지 실제 자료입니다. 미수령 급여·미결제 고정비·공동자금·대납은 월간 확인표에 별도로 표시합니다.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143건 중 WRAP 13건만 잔액 원장 연결을 검증합니다. 타계좌 45건·카드사용 85건은 보존하며 월간·계산기의 검증 자료로 사용합니다.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예비비의 조회표는 자동 계산입니다. 사용등록의 RAW행·항목을 지정하고 정산등록에서 사용ID·원장행·금액을 연결합니다. 카드 사용과 다음 달 이체를 중복 소비로 합산하지 않습니다.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Y196"/>
  <sheetViews>
    <sheetView showGridLines="0" zoomScale="80" workbookViewId="0">
      <pane xSplit="2" ySplit="4" topLeftCell="C5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2" width="12" customWidth="1"/>
    <col min="3" max="8" width="18" customWidth="1"/>
    <col min="9" max="9" width="12" customWidth="1"/>
    <col min="10" max="14" width="18" customWidth="1"/>
    <col min="15" max="16" width="12" customWidth="1"/>
    <col min="17" max="17" width="46" customWidth="1"/>
    <col min="19" max="25" width="13" hidden="1" customWidth="1"/>
  </cols>
  <sheetData>
    <row r="1" spans="1:17">
      <c r="A1" s="369" t="s">
        <v>227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1"/>
    </row>
    <row r="2" spans="1:17" ht="32" customHeight="1">
      <c r="A2" s="383" t="s">
        <v>228</v>
      </c>
      <c r="B2" s="370"/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1"/>
    </row>
    <row r="4" spans="1:17" ht="40" customHeight="1">
      <c r="A4" s="119" t="s">
        <v>47</v>
      </c>
      <c r="B4" s="119" t="s">
        <v>229</v>
      </c>
      <c r="C4" s="119" t="s">
        <v>230</v>
      </c>
      <c r="D4" s="119" t="s">
        <v>231</v>
      </c>
      <c r="E4" s="119" t="s">
        <v>232</v>
      </c>
      <c r="F4" s="119" t="s">
        <v>233</v>
      </c>
      <c r="G4" s="119" t="s">
        <v>234</v>
      </c>
      <c r="H4" s="119" t="s">
        <v>235</v>
      </c>
      <c r="I4" s="119" t="s">
        <v>236</v>
      </c>
      <c r="J4" s="119" t="s">
        <v>237</v>
      </c>
      <c r="K4" s="119" t="s">
        <v>238</v>
      </c>
      <c r="L4" s="119" t="s">
        <v>239</v>
      </c>
      <c r="M4" s="119" t="s">
        <v>240</v>
      </c>
      <c r="N4" s="119" t="s">
        <v>241</v>
      </c>
      <c r="O4" s="119" t="s">
        <v>242</v>
      </c>
      <c r="P4" s="119" t="s">
        <v>243</v>
      </c>
      <c r="Q4" s="119" t="s">
        <v>244</v>
      </c>
    </row>
    <row r="5" spans="1:17" ht="42" customHeight="1">
      <c r="A5" s="118" t="str">
        <f>HYPERLINK("#'1월'!A1","1월")</f>
        <v>1월</v>
      </c>
      <c r="B5" s="118" t="str">
        <f>IF('1월'!AA1,"입력됨","미입력")</f>
        <v>입력됨</v>
      </c>
      <c r="C5" s="120">
        <f>'1월'!I33</f>
        <v>1137880</v>
      </c>
      <c r="D5" s="120">
        <f>'1월'!M28</f>
        <v>1157000</v>
      </c>
      <c r="E5" s="120">
        <f>'1월계산기'!W16</f>
        <v>1157000</v>
      </c>
      <c r="F5" s="120">
        <f>'1월계산기'!W15</f>
        <v>0</v>
      </c>
      <c r="G5" s="120">
        <f>'1월계산기'!W12</f>
        <v>1157000</v>
      </c>
      <c r="H5" s="120">
        <f t="shared" ref="H5:H16" si="0">D5-G5</f>
        <v>0</v>
      </c>
      <c r="I5" s="121" t="b">
        <f t="shared" ref="I5:I16" si="1">IF(B5="미입력","미입력",D5=G5)</f>
        <v>1</v>
      </c>
      <c r="J5" s="120">
        <f>'1월'!H38</f>
        <v>1137880</v>
      </c>
      <c r="K5" s="120">
        <f>'1월'!I38</f>
        <v>1157000</v>
      </c>
      <c r="L5" s="120">
        <f>'1월계산기'!W13</f>
        <v>1157000</v>
      </c>
      <c r="M5" s="120">
        <f>'1월계산기'!W14</f>
        <v>0</v>
      </c>
      <c r="N5" s="120">
        <f t="shared" ref="N5:N16" si="2">K5-L5</f>
        <v>0</v>
      </c>
      <c r="O5" s="121" t="b">
        <f t="shared" ref="O5:O16" si="3">IF(B5="미입력","미입력",K5=L5)</f>
        <v>1</v>
      </c>
      <c r="P5" s="121" t="b">
        <f>'1월'!U30</f>
        <v>1</v>
      </c>
      <c r="Q5" s="118" t="s">
        <v>245</v>
      </c>
    </row>
    <row r="6" spans="1:17" ht="42" customHeight="1">
      <c r="A6" s="118" t="str">
        <f>HYPERLINK("#'2월'!A1","2월")</f>
        <v>2월</v>
      </c>
      <c r="B6" s="118" t="str">
        <f>IF('2월'!AA1,"입력됨","미입력")</f>
        <v>입력됨</v>
      </c>
      <c r="C6" s="120">
        <f>'2월'!I33</f>
        <v>950260</v>
      </c>
      <c r="D6" s="120">
        <f>'2월'!M28</f>
        <v>975000</v>
      </c>
      <c r="E6" s="120">
        <f>'2월계산기'!W16</f>
        <v>975000</v>
      </c>
      <c r="F6" s="120">
        <f>'2월계산기'!W15</f>
        <v>0</v>
      </c>
      <c r="G6" s="120">
        <f>'2월계산기'!W12</f>
        <v>975000</v>
      </c>
      <c r="H6" s="120">
        <f t="shared" si="0"/>
        <v>0</v>
      </c>
      <c r="I6" s="121" t="b">
        <f t="shared" si="1"/>
        <v>1</v>
      </c>
      <c r="J6" s="120">
        <f>'2월'!H38</f>
        <v>950260</v>
      </c>
      <c r="K6" s="120">
        <f>'2월'!I38</f>
        <v>975000</v>
      </c>
      <c r="L6" s="120">
        <f>'2월계산기'!W13</f>
        <v>975000</v>
      </c>
      <c r="M6" s="120">
        <f>'2월계산기'!W14</f>
        <v>0</v>
      </c>
      <c r="N6" s="120">
        <f t="shared" si="2"/>
        <v>0</v>
      </c>
      <c r="O6" s="121" t="b">
        <f t="shared" si="3"/>
        <v>1</v>
      </c>
      <c r="P6" s="121" t="b">
        <f>'2월'!U30</f>
        <v>1</v>
      </c>
      <c r="Q6" s="118" t="s">
        <v>245</v>
      </c>
    </row>
    <row r="7" spans="1:17" ht="42" customHeight="1">
      <c r="A7" s="118" t="str">
        <f>HYPERLINK("#'3월'!A1","3월")</f>
        <v>3월</v>
      </c>
      <c r="B7" s="118" t="str">
        <f>IF('3월'!AA1,"입력됨","미입력")</f>
        <v>입력됨</v>
      </c>
      <c r="C7" s="120">
        <f>'3월'!I33</f>
        <v>894480</v>
      </c>
      <c r="D7" s="120">
        <f>'3월'!M28</f>
        <v>926000</v>
      </c>
      <c r="E7" s="120">
        <f>'3월계산기'!W16</f>
        <v>926000</v>
      </c>
      <c r="F7" s="120">
        <f>'3월계산기'!W15</f>
        <v>0</v>
      </c>
      <c r="G7" s="120">
        <f>'3월계산기'!W12</f>
        <v>926000</v>
      </c>
      <c r="H7" s="120">
        <f t="shared" si="0"/>
        <v>0</v>
      </c>
      <c r="I7" s="121" t="b">
        <f t="shared" si="1"/>
        <v>1</v>
      </c>
      <c r="J7" s="120">
        <f>'3월'!H38</f>
        <v>894480</v>
      </c>
      <c r="K7" s="120">
        <f>'3월'!I38</f>
        <v>926000</v>
      </c>
      <c r="L7" s="120">
        <f>'3월계산기'!W13</f>
        <v>926000</v>
      </c>
      <c r="M7" s="120">
        <f>'3월계산기'!W14</f>
        <v>0</v>
      </c>
      <c r="N7" s="120">
        <f t="shared" si="2"/>
        <v>0</v>
      </c>
      <c r="O7" s="121" t="b">
        <f t="shared" si="3"/>
        <v>1</v>
      </c>
      <c r="P7" s="121" t="b">
        <f>'3월'!U30</f>
        <v>1</v>
      </c>
      <c r="Q7" s="118" t="s">
        <v>245</v>
      </c>
    </row>
    <row r="8" spans="1:17" ht="42" customHeight="1">
      <c r="A8" s="118" t="str">
        <f>HYPERLINK("#'4월'!A1","4월")</f>
        <v>4월</v>
      </c>
      <c r="B8" s="118" t="str">
        <f>IF('4월'!AA1,"입력됨","미입력")</f>
        <v>입력됨</v>
      </c>
      <c r="C8" s="120">
        <f>'4월'!I33</f>
        <v>1016640</v>
      </c>
      <c r="D8" s="120">
        <f>'4월'!M28</f>
        <v>1047000</v>
      </c>
      <c r="E8" s="120">
        <f>'4월계산기'!W16</f>
        <v>1047000</v>
      </c>
      <c r="F8" s="120">
        <f>'4월계산기'!W15</f>
        <v>0</v>
      </c>
      <c r="G8" s="120">
        <f>'4월계산기'!W12</f>
        <v>1047000</v>
      </c>
      <c r="H8" s="120">
        <f t="shared" si="0"/>
        <v>0</v>
      </c>
      <c r="I8" s="121" t="b">
        <f t="shared" si="1"/>
        <v>1</v>
      </c>
      <c r="J8" s="120">
        <f>'4월'!H38</f>
        <v>1016640</v>
      </c>
      <c r="K8" s="120">
        <f>'4월'!I38</f>
        <v>1047000</v>
      </c>
      <c r="L8" s="120">
        <f>'4월계산기'!W13</f>
        <v>1047000</v>
      </c>
      <c r="M8" s="120">
        <f>'4월계산기'!W14</f>
        <v>0</v>
      </c>
      <c r="N8" s="120">
        <f t="shared" si="2"/>
        <v>0</v>
      </c>
      <c r="O8" s="121" t="b">
        <f t="shared" si="3"/>
        <v>1</v>
      </c>
      <c r="P8" s="121" t="b">
        <f>'4월'!U30</f>
        <v>1</v>
      </c>
      <c r="Q8" s="118" t="s">
        <v>245</v>
      </c>
    </row>
    <row r="9" spans="1:17" ht="42" customHeight="1">
      <c r="A9" s="118" t="str">
        <f>HYPERLINK("#'5월'!A1","5월")</f>
        <v>5월</v>
      </c>
      <c r="B9" s="118" t="str">
        <f>IF('5월'!AA1,"입력됨","미입력")</f>
        <v>입력됨</v>
      </c>
      <c r="C9" s="120">
        <f>'5월'!I33</f>
        <v>1152815</v>
      </c>
      <c r="D9" s="120">
        <f>'5월'!M28</f>
        <v>1197000</v>
      </c>
      <c r="E9" s="120">
        <f>'5월계산기'!W16</f>
        <v>1197000</v>
      </c>
      <c r="F9" s="120">
        <f>'5월계산기'!W15</f>
        <v>0</v>
      </c>
      <c r="G9" s="120">
        <f>'5월계산기'!W12</f>
        <v>1197000</v>
      </c>
      <c r="H9" s="120">
        <f t="shared" si="0"/>
        <v>0</v>
      </c>
      <c r="I9" s="121" t="b">
        <f t="shared" si="1"/>
        <v>1</v>
      </c>
      <c r="J9" s="120">
        <f>'5월'!H38</f>
        <v>1003915</v>
      </c>
      <c r="K9" s="120">
        <f>'5월'!I38</f>
        <v>1048000</v>
      </c>
      <c r="L9" s="120">
        <f>'5월계산기'!W13</f>
        <v>1048000</v>
      </c>
      <c r="M9" s="120">
        <f>'5월계산기'!W14</f>
        <v>149000</v>
      </c>
      <c r="N9" s="120">
        <f t="shared" si="2"/>
        <v>0</v>
      </c>
      <c r="O9" s="121" t="b">
        <f t="shared" si="3"/>
        <v>1</v>
      </c>
      <c r="P9" s="121" t="b">
        <f>'5월'!U30</f>
        <v>1</v>
      </c>
      <c r="Q9" s="118" t="s">
        <v>246</v>
      </c>
    </row>
    <row r="10" spans="1:17" ht="42" customHeight="1">
      <c r="A10" s="118" t="str">
        <f>HYPERLINK("#'6월'!A1","6월")</f>
        <v>6월</v>
      </c>
      <c r="B10" s="118" t="str">
        <f>IF('6월'!AA1,"입력됨","미입력")</f>
        <v>입력됨</v>
      </c>
      <c r="C10" s="120">
        <f>'6월'!I33</f>
        <v>1441255</v>
      </c>
      <c r="D10" s="120">
        <f>'6월'!M28</f>
        <v>1481000</v>
      </c>
      <c r="E10" s="120">
        <f>'6월계산기'!W16</f>
        <v>1481000</v>
      </c>
      <c r="F10" s="120">
        <f>'6월계산기'!W15</f>
        <v>0</v>
      </c>
      <c r="G10" s="120">
        <f>'6월계산기'!W12</f>
        <v>1481000</v>
      </c>
      <c r="H10" s="120">
        <f t="shared" si="0"/>
        <v>0</v>
      </c>
      <c r="I10" s="121" t="b">
        <f t="shared" si="1"/>
        <v>1</v>
      </c>
      <c r="J10" s="120">
        <f>'6월'!H38</f>
        <v>1441255</v>
      </c>
      <c r="K10" s="120">
        <f>'6월'!I38</f>
        <v>1481000</v>
      </c>
      <c r="L10" s="120">
        <f>'6월계산기'!W13</f>
        <v>1481000</v>
      </c>
      <c r="M10" s="120">
        <f>'6월계산기'!W14</f>
        <v>0</v>
      </c>
      <c r="N10" s="120">
        <f t="shared" si="2"/>
        <v>0</v>
      </c>
      <c r="O10" s="121" t="b">
        <f t="shared" si="3"/>
        <v>1</v>
      </c>
      <c r="P10" s="121" t="b">
        <f>'6월'!U30</f>
        <v>1</v>
      </c>
      <c r="Q10" s="118" t="s">
        <v>245</v>
      </c>
    </row>
    <row r="11" spans="1:17" ht="42" customHeight="1">
      <c r="A11" s="118" t="str">
        <f>HYPERLINK("#'7월'!A1","7월")</f>
        <v>7월</v>
      </c>
      <c r="B11" s="118" t="str">
        <f>IF('7월'!AA1,"입력됨","미입력")</f>
        <v>입력됨</v>
      </c>
      <c r="C11" s="120">
        <f>'7월'!I33</f>
        <v>1477534</v>
      </c>
      <c r="D11" s="120">
        <f>'7월'!M28</f>
        <v>1519000</v>
      </c>
      <c r="E11" s="120">
        <f>'7월계산기'!W16</f>
        <v>1519000</v>
      </c>
      <c r="F11" s="120">
        <f>'7월계산기'!W15</f>
        <v>0</v>
      </c>
      <c r="G11" s="120">
        <f>'7월계산기'!W12</f>
        <v>1519000</v>
      </c>
      <c r="H11" s="120">
        <f t="shared" si="0"/>
        <v>0</v>
      </c>
      <c r="I11" s="121" t="b">
        <f t="shared" si="1"/>
        <v>1</v>
      </c>
      <c r="J11" s="120">
        <f>'7월'!H38</f>
        <v>1477534</v>
      </c>
      <c r="K11" s="120">
        <f>'7월'!I38</f>
        <v>1519000</v>
      </c>
      <c r="L11" s="120">
        <f>'7월계산기'!W13</f>
        <v>1519000</v>
      </c>
      <c r="M11" s="120">
        <f>'7월계산기'!W14</f>
        <v>0</v>
      </c>
      <c r="N11" s="120">
        <f t="shared" si="2"/>
        <v>0</v>
      </c>
      <c r="O11" s="121" t="b">
        <f t="shared" si="3"/>
        <v>1</v>
      </c>
      <c r="P11" s="121" t="b">
        <f>'7월'!U30</f>
        <v>1</v>
      </c>
      <c r="Q11" s="118" t="s">
        <v>245</v>
      </c>
    </row>
    <row r="12" spans="1:17" ht="42" customHeight="1">
      <c r="A12" s="118" t="str">
        <f>HYPERLINK("#'8월'!A1","8월")</f>
        <v>8월</v>
      </c>
      <c r="B12" s="118" t="str">
        <f>IF('8월'!AA1,"입력됨","미입력")</f>
        <v>입력됨</v>
      </c>
      <c r="C12" s="120">
        <f>'8월'!I33</f>
        <v>2299443</v>
      </c>
      <c r="D12" s="120">
        <f>'8월'!M28</f>
        <v>2354000</v>
      </c>
      <c r="E12" s="120">
        <f>'8월계산기'!W16</f>
        <v>2354000</v>
      </c>
      <c r="F12" s="120">
        <f>'8월계산기'!W15</f>
        <v>0</v>
      </c>
      <c r="G12" s="120">
        <f>'8월계산기'!W12</f>
        <v>2354000</v>
      </c>
      <c r="H12" s="120">
        <f t="shared" si="0"/>
        <v>0</v>
      </c>
      <c r="I12" s="121" t="b">
        <f t="shared" si="1"/>
        <v>1</v>
      </c>
      <c r="J12" s="120">
        <f>'8월'!H38</f>
        <v>2299443</v>
      </c>
      <c r="K12" s="120">
        <f>'8월'!I38</f>
        <v>2354000</v>
      </c>
      <c r="L12" s="120">
        <f>'8월계산기'!W13</f>
        <v>2354000</v>
      </c>
      <c r="M12" s="120">
        <f>'8월계산기'!W14</f>
        <v>0</v>
      </c>
      <c r="N12" s="120">
        <f t="shared" si="2"/>
        <v>0</v>
      </c>
      <c r="O12" s="121" t="b">
        <f t="shared" si="3"/>
        <v>1</v>
      </c>
      <c r="P12" s="121" t="b">
        <f>'8월'!U30</f>
        <v>1</v>
      </c>
      <c r="Q12" s="118" t="s">
        <v>245</v>
      </c>
    </row>
    <row r="13" spans="1:17" ht="42" customHeight="1">
      <c r="A13" s="118" t="str">
        <f>HYPERLINK("#'9월'!A1","9월")</f>
        <v>9월</v>
      </c>
      <c r="B13" s="118" t="str">
        <f>IF('9월'!AA1,"입력됨","미입력")</f>
        <v>입력됨</v>
      </c>
      <c r="C13" s="120">
        <f>'9월'!I33</f>
        <v>1912851</v>
      </c>
      <c r="D13" s="120">
        <f>'9월'!M28</f>
        <v>1955000</v>
      </c>
      <c r="E13" s="120">
        <f>'9월계산기'!W16</f>
        <v>1907000</v>
      </c>
      <c r="F13" s="120">
        <f>'9월계산기'!W15</f>
        <v>50000</v>
      </c>
      <c r="G13" s="120">
        <f>'9월계산기'!W12</f>
        <v>1955000</v>
      </c>
      <c r="H13" s="120">
        <f t="shared" si="0"/>
        <v>0</v>
      </c>
      <c r="I13" s="121" t="b">
        <f t="shared" si="1"/>
        <v>1</v>
      </c>
      <c r="J13" s="120">
        <f>'9월'!H38</f>
        <v>1862851</v>
      </c>
      <c r="K13" s="120">
        <f>'9월'!I38</f>
        <v>1905000</v>
      </c>
      <c r="L13" s="120">
        <f>'9월계산기'!W13</f>
        <v>1905000</v>
      </c>
      <c r="M13" s="120">
        <f>'9월계산기'!W14</f>
        <v>50000</v>
      </c>
      <c r="N13" s="120">
        <f t="shared" si="2"/>
        <v>0</v>
      </c>
      <c r="O13" s="121" t="b">
        <f t="shared" si="3"/>
        <v>1</v>
      </c>
      <c r="P13" s="121" t="b">
        <f>'9월'!U30</f>
        <v>1</v>
      </c>
      <c r="Q13" s="118" t="s">
        <v>247</v>
      </c>
    </row>
    <row r="14" spans="1:17" ht="42" customHeight="1">
      <c r="A14" s="118" t="str">
        <f>HYPERLINK("#'10월'!A1","10월")</f>
        <v>10월</v>
      </c>
      <c r="B14" s="118" t="str">
        <f>IF('10월'!AA1,"입력됨","미입력")</f>
        <v>입력됨</v>
      </c>
      <c r="C14" s="120">
        <f>'10월'!I33</f>
        <v>1299740</v>
      </c>
      <c r="D14" s="120">
        <f>'10월'!M28</f>
        <v>1321000</v>
      </c>
      <c r="E14" s="120">
        <f>'10월계산기'!W16</f>
        <v>1321000</v>
      </c>
      <c r="F14" s="120">
        <f>'10월계산기'!W15</f>
        <v>0</v>
      </c>
      <c r="G14" s="120">
        <f>'10월계산기'!W12</f>
        <v>1321000</v>
      </c>
      <c r="H14" s="120">
        <f t="shared" si="0"/>
        <v>0</v>
      </c>
      <c r="I14" s="121" t="b">
        <f t="shared" si="1"/>
        <v>1</v>
      </c>
      <c r="J14" s="120">
        <f>'10월'!H38</f>
        <v>1299740</v>
      </c>
      <c r="K14" s="120">
        <f>'10월'!I38</f>
        <v>1321000</v>
      </c>
      <c r="L14" s="120">
        <f>'10월계산기'!W13</f>
        <v>1321000</v>
      </c>
      <c r="M14" s="120">
        <f>'10월계산기'!W14</f>
        <v>0</v>
      </c>
      <c r="N14" s="120">
        <f t="shared" si="2"/>
        <v>0</v>
      </c>
      <c r="O14" s="121" t="b">
        <f t="shared" si="3"/>
        <v>1</v>
      </c>
      <c r="P14" s="121" t="b">
        <f>'10월'!U30</f>
        <v>1</v>
      </c>
      <c r="Q14" s="118" t="inlineStr">
        <is>
          <t xml:space="preserve">10/15까지 · 대납 2건 103,600원·가족 공동자금 분리</t>
        </is>
      </c>
    </row>
    <row r="15" spans="1:17" ht="42" customHeight="1">
      <c r="A15" s="118" t="str">
        <f>HYPERLINK("#'11월'!A1","11월")</f>
        <v>11월</v>
      </c>
      <c r="B15" s="118" t="str">
        <f>IF('11월'!AA1,"입력됨","미입력")</f>
        <v>미입력</v>
      </c>
      <c r="C15" s="120">
        <f>'11월'!I33</f>
        <v>0</v>
      </c>
      <c r="D15" s="120">
        <f>'11월'!M28</f>
        <v>0</v>
      </c>
      <c r="E15" s="120">
        <f>'11월계산기'!W16</f>
        <v>0</v>
      </c>
      <c r="F15" s="120">
        <f>'11월계산기'!W15</f>
        <v>0</v>
      </c>
      <c r="G15" s="120">
        <f>'11월계산기'!W12</f>
        <v>0</v>
      </c>
      <c r="H15" s="120">
        <f t="shared" si="0"/>
        <v>0</v>
      </c>
      <c r="I15" s="121" t="str">
        <f t="shared" si="1"/>
        <v>미입력</v>
      </c>
      <c r="J15" s="120">
        <f>'11월'!H38</f>
        <v>0</v>
      </c>
      <c r="K15" s="120">
        <f>'11월'!I38</f>
        <v>0</v>
      </c>
      <c r="L15" s="120">
        <f>'11월계산기'!W13</f>
        <v>0</v>
      </c>
      <c r="M15" s="120">
        <f>'11월계산기'!W14</f>
        <v>0</v>
      </c>
      <c r="N15" s="120">
        <f t="shared" si="2"/>
        <v>0</v>
      </c>
      <c r="O15" s="121" t="str">
        <f t="shared" si="3"/>
        <v>미입력</v>
      </c>
      <c r="P15" s="121" t="str">
        <f>'11월'!U30</f>
        <v>미입력</v>
      </c>
      <c r="Q15" s="118" t="s">
        <v>249</v>
      </c>
    </row>
    <row r="16" spans="1:17" ht="42" customHeight="1">
      <c r="A16" s="118" t="str">
        <f>HYPERLINK("#'12월'!A1","12월")</f>
        <v>12월</v>
      </c>
      <c r="B16" s="118" t="str">
        <f>IF('12월'!AA1,"입력됨","미입력")</f>
        <v>미입력</v>
      </c>
      <c r="C16" s="120">
        <f>'12월'!I33</f>
        <v>0</v>
      </c>
      <c r="D16" s="120">
        <f>'12월'!M28</f>
        <v>0</v>
      </c>
      <c r="E16" s="120">
        <f>'12월계산기'!W16</f>
        <v>0</v>
      </c>
      <c r="F16" s="120">
        <f>'12월계산기'!W15</f>
        <v>0</v>
      </c>
      <c r="G16" s="120">
        <f>'12월계산기'!W12</f>
        <v>0</v>
      </c>
      <c r="H16" s="120">
        <f t="shared" si="0"/>
        <v>0</v>
      </c>
      <c r="I16" s="121" t="str">
        <f t="shared" si="1"/>
        <v>미입력</v>
      </c>
      <c r="J16" s="120">
        <f>'12월'!H38</f>
        <v>0</v>
      </c>
      <c r="K16" s="120">
        <f>'12월'!I38</f>
        <v>0</v>
      </c>
      <c r="L16" s="120">
        <f>'12월계산기'!W13</f>
        <v>0</v>
      </c>
      <c r="M16" s="120">
        <f>'12월계산기'!W14</f>
        <v>0</v>
      </c>
      <c r="N16" s="120">
        <f t="shared" si="2"/>
        <v>0</v>
      </c>
      <c r="O16" s="121" t="str">
        <f t="shared" si="3"/>
        <v>미입력</v>
      </c>
      <c r="P16" s="121" t="str">
        <f>'12월'!U30</f>
        <v>미입력</v>
      </c>
      <c r="Q16" s="118" t="s">
        <v>249</v>
      </c>
    </row>
    <row r="19" spans="1:17">
      <c r="A19" s="369" t="s">
        <v>250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1"/>
    </row>
    <row r="20" spans="1:17" ht="32" customHeight="1">
      <c r="A20" s="383" t="s">
        <v>251</v>
      </c>
      <c r="B20" s="370"/>
      <c r="C20" s="370"/>
      <c r="D20" s="370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0"/>
      <c r="Q20" s="371"/>
    </row>
    <row r="21" spans="1:17" ht="32" customHeight="1">
      <c r="A21" s="383" t="s">
        <v>252</v>
      </c>
      <c r="B21" s="370"/>
      <c r="C21" s="370"/>
      <c r="D21" s="370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0"/>
      <c r="Q21" s="371"/>
    </row>
    <row r="22" spans="1:17" ht="32" customHeight="1">
      <c r="A22" s="383" t="s">
        <v>253</v>
      </c>
      <c r="B22" s="370"/>
      <c r="C22" s="370"/>
      <c r="D22" s="370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0"/>
      <c r="Q22" s="371"/>
    </row>
    <row r="23" spans="1:17" ht="32" customHeight="1">
      <c r="A23" s="383" t="s">
        <v>254</v>
      </c>
      <c r="B23" s="370"/>
      <c r="C23" s="370"/>
      <c r="D23" s="370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0"/>
      <c r="Q23" s="371"/>
    </row>
    <row r="24" spans="1:17" ht="32" customHeight="1">
      <c r="A24" s="383" t="inlineStr">
        <is>
          <t xml:space="preserve">9월 가족통장 선이체 20만원은 10월 사용입니다. 행사 실비 639,000원·반환 100,000원·본인 예비비 200,000원 구분을 유지합니다.</t>
        </is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1"/>
    </row>
    <row r="25" spans="1:17" ht="32" customHeight="1">
      <c r="A25" s="383" t="inlineStr">
        <is>
          <t xml:space="preserve">식사 정산이체 139,000원 중복 제외. 철도 대납은 10/12·10/14 각 51,800원, 미회수 103,600원입니다.</t>
        </is>
      </c>
      <c r="B25" s="370"/>
      <c r="C25" s="370"/>
      <c r="D25" s="370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0"/>
      <c r="Q25" s="371"/>
    </row>
    <row r="26" spans="1:17" ht="32" customHeight="1">
      <c r="A26" s="383" t="s">
        <v>257</v>
      </c>
      <c r="B26" s="370"/>
      <c r="C26" s="370"/>
      <c r="D26" s="370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0"/>
      <c r="Q26" s="371"/>
    </row>
    <row r="27" spans="1:17" ht="32" customHeight="1">
      <c r="A27" s="383" t="s">
        <v>258</v>
      </c>
      <c r="B27" s="370"/>
      <c r="C27" s="370"/>
      <c r="D27" s="370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0"/>
      <c r="Q27" s="371"/>
    </row>
    <row r="28" spans="1:17" ht="32" customHeight="1">
      <c r="A28" s="383" t="s">
        <v>259</v>
      </c>
      <c r="B28" s="370"/>
      <c r="C28" s="370"/>
      <c r="D28" s="370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0"/>
      <c r="Q28" s="371"/>
    </row>
    <row r="29" spans="1:17" ht="32" customHeight="1">
      <c r="A29" s="383" t="s">
        <v>260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1"/>
    </row>
    <row r="30" spans="1:17" ht="32" customHeight="1">
      <c r="A30" s="383" t="s">
        <v>261</v>
      </c>
      <c r="B30" s="370"/>
      <c r="C30" s="370"/>
      <c r="D30" s="370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0"/>
      <c r="Q30" s="371"/>
    </row>
    <row r="31" spans="1:17" ht="32" customHeight="1">
      <c r="A31" s="383" t="s">
        <v>262</v>
      </c>
      <c r="B31" s="370"/>
      <c r="C31" s="370"/>
      <c r="D31" s="370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</row>
    <row r="32" spans="1:17" ht="32" customHeight="1">
      <c r="A32" s="383" t="s">
        <v>263</v>
      </c>
      <c r="B32" s="370"/>
      <c r="C32" s="370"/>
      <c r="D32" s="370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</row>
    <row r="34" spans="1:17">
      <c r="A34" s="369" t="s">
        <v>264</v>
      </c>
      <c r="B34" s="370"/>
      <c r="C34" s="370"/>
      <c r="D34" s="370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</row>
    <row r="35" spans="1:17" ht="24" customHeight="1">
      <c r="A35" s="384" t="s">
        <v>265</v>
      </c>
      <c r="B35" s="370"/>
      <c r="C35" s="370"/>
      <c r="D35" s="370"/>
      <c r="E35" s="370"/>
      <c r="F35" s="370"/>
      <c r="G35" s="370"/>
      <c r="H35" s="371"/>
      <c r="I35" s="385">
        <f>COUNT(RAW!$G$2323:$G$2466)</f>
        <v>144</v>
      </c>
      <c r="J35" s="370"/>
      <c r="K35" s="370"/>
      <c r="L35" s="371"/>
      <c r="M35" s="387" t="b">
        <f>I35=144</f>
        <v>1</v>
      </c>
      <c r="N35" s="370"/>
      <c r="O35" s="370"/>
      <c r="P35" s="370"/>
      <c r="Q35" s="371"/>
    </row>
    <row r="36" spans="1:17" ht="24" customHeight="1">
      <c r="A36" s="384" t="s">
        <v>266</v>
      </c>
      <c r="B36" s="370"/>
      <c r="C36" s="370"/>
      <c r="D36" s="370"/>
      <c r="E36" s="370"/>
      <c r="F36" s="370"/>
      <c r="G36" s="370"/>
      <c r="H36" s="371"/>
      <c r="I36" s="385">
        <f>COUNTIF(RAW!$N$2323:$N$2466,"연결")</f>
        <v>14</v>
      </c>
      <c r="J36" s="370"/>
      <c r="K36" s="370"/>
      <c r="L36" s="371"/>
      <c r="M36" s="387" t="b">
        <f>I36=COUNTIF(RAW!$R$2323:$R$2466,"WRAP")</f>
        <v>1</v>
      </c>
      <c r="N36" s="370"/>
      <c r="O36" s="370"/>
      <c r="P36" s="370"/>
      <c r="Q36" s="371"/>
    </row>
    <row r="37" spans="1:17" ht="24" customHeight="1">
      <c r="A37" s="384" t="s">
        <v>267</v>
      </c>
      <c r="B37" s="370"/>
      <c r="C37" s="370"/>
      <c r="D37" s="370"/>
      <c r="E37" s="370"/>
      <c r="F37" s="370"/>
      <c r="G37" s="370"/>
      <c r="H37" s="371"/>
      <c r="I37" s="385">
        <f>COUNTIF(RAW!$N$2323:$N$2466,"누락")</f>
        <v>0</v>
      </c>
      <c r="J37" s="370"/>
      <c r="K37" s="370"/>
      <c r="L37" s="371"/>
      <c r="M37" s="387" t="b">
        <f>I37=0</f>
        <v>1</v>
      </c>
      <c r="N37" s="370"/>
      <c r="O37" s="370"/>
      <c r="P37" s="370"/>
      <c r="Q37" s="371"/>
    </row>
    <row r="38" spans="1:17" ht="24" customHeight="1">
      <c r="A38" s="384" t="s">
        <v>268</v>
      </c>
      <c r="B38" s="370"/>
      <c r="C38" s="370"/>
      <c r="D38" s="370"/>
      <c r="E38" s="370"/>
      <c r="F38" s="370"/>
      <c r="G38" s="370"/>
      <c r="H38" s="371"/>
      <c r="I38" s="385">
        <f>COUNTIF(RAW!$N$2323:$N$2466,"중복")</f>
        <v>0</v>
      </c>
      <c r="J38" s="370"/>
      <c r="K38" s="370"/>
      <c r="L38" s="371"/>
      <c r="M38" s="387" t="b">
        <f>I38=0</f>
        <v>1</v>
      </c>
      <c r="N38" s="370"/>
      <c r="O38" s="370"/>
      <c r="P38" s="370"/>
      <c r="Q38" s="371"/>
    </row>
    <row r="39" spans="1:17" ht="24" customHeight="1">
      <c r="A39" s="384" t="s">
        <v>269</v>
      </c>
      <c r="B39" s="370"/>
      <c r="C39" s="370"/>
      <c r="D39" s="370"/>
      <c r="E39" s="370"/>
      <c r="F39" s="370"/>
      <c r="G39" s="370"/>
      <c r="H39" s="371"/>
      <c r="I39" s="385">
        <f>SUMIF(잔액!$W$64:$W$500,2429,잔액!$E$64:$E$500)</f>
        <v>90410</v>
      </c>
      <c r="J39" s="370"/>
      <c r="K39" s="370"/>
      <c r="L39" s="371"/>
      <c r="M39" s="387" t="b">
        <f>I39=90410</f>
        <v>1</v>
      </c>
      <c r="N39" s="370"/>
      <c r="O39" s="370"/>
      <c r="P39" s="370"/>
      <c r="Q39" s="371"/>
    </row>
    <row r="40" spans="1:17" ht="24" customHeight="1">
      <c r="A40" s="384" t="s">
        <v>270</v>
      </c>
      <c r="B40" s="370"/>
      <c r="C40" s="370"/>
      <c r="D40" s="370"/>
      <c r="E40" s="370"/>
      <c r="F40" s="370"/>
      <c r="G40" s="370"/>
      <c r="H40" s="371"/>
      <c r="I40" s="385">
        <f>SUMIF(잔액!$W$64:$W$500,2430,잔액!$E$64:$E$500)</f>
        <v>1390</v>
      </c>
      <c r="J40" s="370"/>
      <c r="K40" s="370"/>
      <c r="L40" s="371"/>
      <c r="M40" s="387" t="b">
        <f>I40=1390</f>
        <v>1</v>
      </c>
      <c r="N40" s="370"/>
      <c r="O40" s="370"/>
      <c r="P40" s="370"/>
      <c r="Q40" s="371"/>
    </row>
    <row r="41" spans="1:17" ht="24" customHeight="1">
      <c r="A41" s="384" t="s">
        <v>271</v>
      </c>
      <c r="B41" s="370"/>
      <c r="C41" s="370"/>
      <c r="D41" s="370"/>
      <c r="E41" s="370"/>
      <c r="F41" s="370"/>
      <c r="G41" s="370"/>
      <c r="H41" s="371"/>
      <c r="I41" s="385">
        <f>COUNTIF(잔액!$W$64:$W$500,2441)</f>
        <v>0</v>
      </c>
      <c r="J41" s="370"/>
      <c r="K41" s="370"/>
      <c r="L41" s="371"/>
      <c r="M41" s="387" t="b">
        <f>I41=0</f>
        <v>1</v>
      </c>
      <c r="N41" s="370"/>
      <c r="O41" s="370"/>
      <c r="P41" s="370"/>
      <c r="Q41" s="371"/>
    </row>
    <row r="42" spans="1:17" ht="24" customHeight="1">
      <c r="A42" s="384" t="s">
        <v>272</v>
      </c>
      <c r="B42" s="370"/>
      <c r="C42" s="370"/>
      <c r="D42" s="370"/>
      <c r="E42" s="370"/>
      <c r="F42" s="370"/>
      <c r="G42" s="370"/>
      <c r="H42" s="371"/>
      <c r="I42" s="385">
        <f>'10월'!N66</f>
        <v>239000</v>
      </c>
      <c r="J42" s="370"/>
      <c r="K42" s="370"/>
      <c r="L42" s="371"/>
      <c r="M42" s="387" t="b">
        <f>I42=239000</f>
        <v>1</v>
      </c>
      <c r="N42" s="370"/>
      <c r="O42" s="370"/>
      <c r="P42" s="370"/>
      <c r="Q42" s="371"/>
    </row>
    <row r="43" spans="1:17" ht="24" customHeight="1">
      <c r="A43" s="384" t="s">
        <v>273</v>
      </c>
      <c r="B43" s="370"/>
      <c r="C43" s="370"/>
      <c r="D43" s="370"/>
      <c r="E43" s="370"/>
      <c r="F43" s="370"/>
      <c r="G43" s="370"/>
      <c r="H43" s="371"/>
      <c r="I43" s="385">
        <f>COUNTIF(잔액!$W$64:$W$500,2347)</f>
        <v>1</v>
      </c>
      <c r="J43" s="370"/>
      <c r="K43" s="370"/>
      <c r="L43" s="371"/>
      <c r="M43" s="387" t="b">
        <f>I43=1</f>
        <v>1</v>
      </c>
      <c r="N43" s="370"/>
      <c r="O43" s="370"/>
      <c r="P43" s="370"/>
      <c r="Q43" s="371"/>
    </row>
    <row r="44" spans="1:17" ht="24" customHeight="1">
      <c r="A44" s="384" t="s">
        <v>274</v>
      </c>
      <c r="B44" s="370"/>
      <c r="C44" s="370"/>
      <c r="D44" s="370"/>
      <c r="E44" s="370"/>
      <c r="F44" s="370"/>
      <c r="G44" s="370"/>
      <c r="H44" s="371"/>
      <c r="I44" s="385">
        <f>COUNTIF(잔액!$I$231:$I$247,"입력 확인")+COUNTIF(잔액!$I$231:$I$247,"WRAP 범위 확인")</f>
        <v>0</v>
      </c>
      <c r="J44" s="370"/>
      <c r="K44" s="370"/>
      <c r="L44" s="371"/>
      <c r="M44" s="387" t="b">
        <f>I44=0</f>
        <v>1</v>
      </c>
      <c r="N44" s="370"/>
      <c r="O44" s="370"/>
      <c r="P44" s="370"/>
      <c r="Q44" s="371"/>
    </row>
    <row r="46" spans="1:17" ht="22" customHeight="1">
      <c r="A46" s="392" t="s">
        <v>275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M46" s="393"/>
      <c r="N46" s="393"/>
      <c r="O46" s="393"/>
      <c r="P46" s="393"/>
      <c r="Q46" s="394"/>
    </row>
    <row r="47" spans="1:17" ht="22" customHeight="1">
      <c r="A47" s="395"/>
      <c r="B47" s="396"/>
      <c r="C47" s="396"/>
      <c r="D47" s="396"/>
      <c r="E47" s="396"/>
      <c r="F47" s="396"/>
      <c r="G47" s="396"/>
      <c r="H47" s="396"/>
      <c r="I47" s="396"/>
      <c r="J47" s="396"/>
      <c r="K47" s="396"/>
      <c r="L47" s="396"/>
      <c r="M47" s="396"/>
      <c r="N47" s="396"/>
      <c r="O47" s="396"/>
      <c r="P47" s="396"/>
      <c r="Q47" s="397"/>
    </row>
    <row r="49" spans="1:17">
      <c r="A49" s="373" t="inlineStr">
        <is>
          <t xml:space="preserve">10/13 결제 준비 이체 최초 반영분 검증</t>
        </is>
      </c>
      <c r="B49" s="366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7"/>
    </row>
    <row r="50" spans="1:17" ht="24" customHeight="1">
      <c r="A50" s="372" t="inlineStr">
        <is>
          <t xml:space="preserve">10/13 최초 반영 RAW 거래</t>
        </is>
      </c>
      <c r="B50" s="366"/>
      <c r="C50" s="366"/>
      <c r="D50" s="366"/>
      <c r="E50" s="366"/>
      <c r="F50" s="366"/>
      <c r="G50" s="366"/>
      <c r="H50" s="367"/>
      <c r="I50" s="365">
        <f>COUNT(RAW!G2444:G2453)</f>
        <v>10</v>
      </c>
      <c r="J50" s="366"/>
      <c r="K50" s="366"/>
      <c r="L50" s="367"/>
      <c r="M50" s="368" t="b">
        <f>I50=10</f>
        <v>1</v>
      </c>
      <c r="N50" s="366"/>
      <c r="O50" s="366"/>
      <c r="P50" s="366"/>
      <c r="Q50" s="367"/>
    </row>
    <row r="51" spans="1:17" ht="24" customHeight="1">
      <c r="A51" s="372" t="s">
        <v>278</v>
      </c>
      <c r="B51" s="366"/>
      <c r="C51" s="366"/>
      <c r="D51" s="366"/>
      <c r="E51" s="366"/>
      <c r="F51" s="366"/>
      <c r="G51" s="366"/>
      <c r="H51" s="367"/>
      <c r="I51" s="365">
        <f>COUNTIF(RAW!H2444:H2453,"이체지출")</f>
        <v>7</v>
      </c>
      <c r="J51" s="366"/>
      <c r="K51" s="366"/>
      <c r="L51" s="367"/>
      <c r="M51" s="368" t="b">
        <f>I51=7</f>
        <v>1</v>
      </c>
      <c r="N51" s="366"/>
      <c r="O51" s="366"/>
      <c r="P51" s="366"/>
      <c r="Q51" s="367"/>
    </row>
    <row r="52" spans="1:17" ht="24" customHeight="1">
      <c r="A52" s="372" t="s">
        <v>279</v>
      </c>
      <c r="B52" s="366"/>
      <c r="C52" s="366"/>
      <c r="D52" s="366"/>
      <c r="E52" s="366"/>
      <c r="F52" s="366"/>
      <c r="G52" s="366"/>
      <c r="H52" s="367"/>
      <c r="I52" s="365">
        <f>SUMIF(RAW!H2444:H2453,"이체지출",RAW!G2444:G2453)</f>
        <v>3022549</v>
      </c>
      <c r="J52" s="366"/>
      <c r="K52" s="366"/>
      <c r="L52" s="367"/>
      <c r="M52" s="368" t="b">
        <f>I52=3022549</f>
        <v>1</v>
      </c>
      <c r="N52" s="366"/>
      <c r="O52" s="366"/>
      <c r="P52" s="366"/>
      <c r="Q52" s="367"/>
    </row>
    <row r="53" spans="1:17" ht="24" customHeight="1">
      <c r="A53" s="372" t="s">
        <v>280</v>
      </c>
      <c r="B53" s="366"/>
      <c r="C53" s="366"/>
      <c r="D53" s="366"/>
      <c r="E53" s="366"/>
      <c r="F53" s="366"/>
      <c r="G53" s="366"/>
      <c r="H53" s="367"/>
      <c r="I53" s="365">
        <f>SUMIFS(잔액!$Y$64:$Y$500,잔액!$B$64:$B$500,"계좌이체",잔액!$D$64:$D$500,"생활비",잔액!$A$64:$A$500,"&gt;="&amp;DATE(2026,10,13),잔액!$A$64:$A$500,"&lt;"&amp;DATE(2026,10,14))-SUMIFS(잔액!$Y$64:$Y$500,잔액!$B$64:$B$500,"계좌이체",잔액!$C$64:$C$500,"생활비",잔액!$A$64:$A$500,"&gt;="&amp;DATE(2026,10,13),잔액!$A$64:$A$500,"&lt;"&amp;DATE(2026,10,14))</f>
        <v>-1769529</v>
      </c>
      <c r="J53" s="366"/>
      <c r="K53" s="366"/>
      <c r="L53" s="367"/>
      <c r="M53" s="368" t="b">
        <f>I53=-1769529</f>
        <v>1</v>
      </c>
      <c r="N53" s="366"/>
      <c r="O53" s="366"/>
      <c r="P53" s="366"/>
      <c r="Q53" s="367"/>
    </row>
    <row r="54" spans="1:17" ht="24" customHeight="1">
      <c r="A54" s="372" t="s">
        <v>281</v>
      </c>
      <c r="B54" s="366"/>
      <c r="C54" s="366"/>
      <c r="D54" s="366"/>
      <c r="E54" s="366"/>
      <c r="F54" s="366"/>
      <c r="G54" s="366"/>
      <c r="H54" s="367"/>
      <c r="I54" s="365">
        <f>'10월'!Q13</f>
        <v>90410</v>
      </c>
      <c r="J54" s="366"/>
      <c r="K54" s="366"/>
      <c r="L54" s="367"/>
      <c r="M54" s="368" t="b">
        <f>I54=90410</f>
        <v>1</v>
      </c>
      <c r="N54" s="366"/>
      <c r="O54" s="366"/>
      <c r="P54" s="366"/>
      <c r="Q54" s="367"/>
    </row>
    <row r="55" spans="1:17" ht="24" customHeight="1">
      <c r="A55" s="372" t="s">
        <v>282</v>
      </c>
      <c r="B55" s="366"/>
      <c r="C55" s="366"/>
      <c r="D55" s="366"/>
      <c r="E55" s="366"/>
      <c r="F55" s="366"/>
      <c r="G55" s="366"/>
      <c r="H55" s="367"/>
      <c r="I55" s="365">
        <f>'10월'!C15</f>
        <v>4500</v>
      </c>
      <c r="J55" s="366"/>
      <c r="K55" s="366"/>
      <c r="L55" s="367"/>
      <c r="M55" s="368" t="b">
        <f>I55=4500</f>
        <v>1</v>
      </c>
      <c r="N55" s="366"/>
      <c r="O55" s="366"/>
      <c r="P55" s="366"/>
      <c r="Q55" s="367"/>
    </row>
    <row r="56" spans="1:17" ht="24" customHeight="1">
      <c r="A56" s="372" t="s">
        <v>283</v>
      </c>
      <c r="B56" s="366"/>
      <c r="C56" s="366"/>
      <c r="D56" s="366"/>
      <c r="E56" s="366"/>
      <c r="F56" s="366"/>
      <c r="G56" s="366"/>
      <c r="H56" s="367"/>
      <c r="I56" s="365">
        <f>'10월'!C14</f>
        <v>5000</v>
      </c>
      <c r="J56" s="366"/>
      <c r="K56" s="366"/>
      <c r="L56" s="367"/>
      <c r="M56" s="368" t="b">
        <f>I56=5000</f>
        <v>1</v>
      </c>
      <c r="N56" s="366"/>
      <c r="O56" s="366"/>
      <c r="P56" s="366"/>
      <c r="Q56" s="367"/>
    </row>
    <row r="57" spans="1:17" ht="24" customHeight="1">
      <c r="A57" s="372" t="s">
        <v>284</v>
      </c>
      <c r="B57" s="366"/>
      <c r="C57" s="366"/>
      <c r="D57" s="366"/>
      <c r="E57" s="366"/>
      <c r="F57" s="366"/>
      <c r="G57" s="366"/>
      <c r="H57" s="367"/>
      <c r="I57" s="365">
        <f>'10월계산기'!W13-'10월'!I38</f>
        <v>0</v>
      </c>
      <c r="J57" s="366"/>
      <c r="K57" s="366"/>
      <c r="L57" s="367"/>
      <c r="M57" s="368" t="b">
        <f>I57=0</f>
        <v>1</v>
      </c>
      <c r="N57" s="366"/>
      <c r="O57" s="366"/>
      <c r="P57" s="366"/>
      <c r="Q57" s="367"/>
    </row>
    <row r="59" spans="1:17" ht="22" customHeight="1">
      <c r="A59" s="374" t="inlineStr">
        <is>
          <t xml:space="preserve">결제 준비 이체는 소비·자산형성에서 제외합니다. 후속 카드대금 납부 5건은 타계좌 RAW에 보존하고 WRAP 원장에서 재차 차감하지 않습니다. 실제 대출이자는 월간 비용에 1회 반영합니다.</t>
        </is>
      </c>
      <c r="B59" s="375"/>
      <c r="C59" s="375"/>
      <c r="D59" s="375"/>
      <c r="E59" s="375"/>
      <c r="F59" s="375"/>
      <c r="G59" s="375"/>
      <c r="H59" s="375"/>
      <c r="I59" s="375"/>
      <c r="J59" s="375"/>
      <c r="K59" s="375"/>
      <c r="L59" s="375"/>
      <c r="M59" s="375"/>
      <c r="N59" s="375"/>
      <c r="O59" s="375"/>
      <c r="P59" s="375"/>
      <c r="Q59" s="376"/>
    </row>
    <row r="60" spans="1:17" ht="22" customHeight="1">
      <c r="A60" s="377"/>
      <c r="B60" s="378"/>
      <c r="C60" s="378"/>
      <c r="D60" s="378"/>
      <c r="E60" s="378"/>
      <c r="F60" s="378"/>
      <c r="G60" s="378"/>
      <c r="H60" s="378"/>
      <c r="I60" s="378"/>
      <c r="J60" s="378"/>
      <c r="K60" s="378"/>
      <c r="L60" s="378"/>
      <c r="M60" s="378"/>
      <c r="N60" s="378"/>
      <c r="O60" s="378"/>
      <c r="P60" s="378"/>
      <c r="Q60" s="379"/>
    </row>
    <row r="62" spans="1:17">
      <c r="A62" s="373" t="s">
        <v>286</v>
      </c>
      <c r="B62" s="366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7"/>
    </row>
    <row r="63" spans="1:17" ht="24" customHeight="1">
      <c r="A63" s="372" t="s">
        <v>287</v>
      </c>
      <c r="B63" s="366"/>
      <c r="C63" s="366"/>
      <c r="D63" s="366"/>
      <c r="E63" s="366"/>
      <c r="F63" s="366"/>
      <c r="G63" s="366"/>
      <c r="H63" s="367"/>
      <c r="I63" s="365">
        <f>COUNT(RAW!G2323:G2466)</f>
        <v>144</v>
      </c>
      <c r="J63" s="366"/>
      <c r="K63" s="366"/>
      <c r="L63" s="367"/>
      <c r="M63" s="368" t="b">
        <f>I63=144</f>
        <v>1</v>
      </c>
      <c r="N63" s="366"/>
      <c r="O63" s="366"/>
      <c r="P63" s="366"/>
      <c r="Q63" s="367"/>
    </row>
    <row r="64" spans="1:17" ht="24" customHeight="1">
      <c r="A64" s="372" t="s">
        <v>288</v>
      </c>
      <c r="B64" s="366"/>
      <c r="C64" s="366"/>
      <c r="D64" s="366"/>
      <c r="E64" s="366"/>
      <c r="F64" s="366"/>
      <c r="G64" s="366"/>
      <c r="H64" s="367"/>
      <c r="I64" s="365">
        <f>COUNTIF(RAW!R2323:R2466,"WRAP")</f>
        <v>14</v>
      </c>
      <c r="J64" s="366"/>
      <c r="K64" s="366"/>
      <c r="L64" s="367"/>
      <c r="M64" s="368" t="b">
        <f>I64=14</f>
        <v>1</v>
      </c>
      <c r="N64" s="366"/>
      <c r="O64" s="366"/>
      <c r="P64" s="366"/>
      <c r="Q64" s="367"/>
    </row>
    <row r="65" spans="1:25" ht="24" customHeight="1">
      <c r="A65" s="372" t="s">
        <v>289</v>
      </c>
      <c r="B65" s="366"/>
      <c r="C65" s="366"/>
      <c r="D65" s="366"/>
      <c r="E65" s="366"/>
      <c r="F65" s="366"/>
      <c r="G65" s="366"/>
      <c r="H65" s="367"/>
      <c r="I65" s="365">
        <f>COUNTIF(RAW!R2323:R2466,"타계좌")</f>
        <v>45</v>
      </c>
      <c r="J65" s="366"/>
      <c r="K65" s="366"/>
      <c r="L65" s="367"/>
      <c r="M65" s="368" t="b">
        <f>I65=45</f>
        <v>1</v>
      </c>
      <c r="N65" s="366"/>
      <c r="O65" s="366"/>
      <c r="P65" s="366"/>
      <c r="Q65" s="367"/>
    </row>
    <row r="66" spans="1:25" ht="24" customHeight="1">
      <c r="A66" s="372" t="s">
        <v>290</v>
      </c>
      <c r="B66" s="366"/>
      <c r="C66" s="366"/>
      <c r="D66" s="366"/>
      <c r="E66" s="366"/>
      <c r="F66" s="366"/>
      <c r="G66" s="366"/>
      <c r="H66" s="367"/>
      <c r="I66" s="365">
        <f>COUNTIF(RAW!N2323:N2466,"연결")</f>
        <v>14</v>
      </c>
      <c r="J66" s="366"/>
      <c r="K66" s="366"/>
      <c r="L66" s="367"/>
      <c r="M66" s="368" t="b">
        <f>I66=14</f>
        <v>1</v>
      </c>
      <c r="N66" s="366"/>
      <c r="O66" s="366"/>
      <c r="P66" s="366"/>
      <c r="Q66" s="367"/>
    </row>
    <row r="67" spans="1:25" ht="24" customHeight="1">
      <c r="A67" s="372" t="s">
        <v>291</v>
      </c>
      <c r="B67" s="366"/>
      <c r="C67" s="366"/>
      <c r="D67" s="366"/>
      <c r="E67" s="366"/>
      <c r="F67" s="366"/>
      <c r="G67" s="366"/>
      <c r="H67" s="367"/>
      <c r="I67" s="365">
        <f>COUNTIF(잔액!$J$64:$J$500,"KB쿠팡와우")+COUNTIF(잔액!$J$64:$J$500,"MG+S 하나카드")+COUNTIF(잔액!$J$64:$J$500,"롯데365카드")+COUNTIF(잔액!$J$64:$J$500,"현대네이버카드")</f>
        <v>0</v>
      </c>
      <c r="J67" s="366"/>
      <c r="K67" s="366"/>
      <c r="L67" s="367"/>
      <c r="M67" s="368" t="b">
        <f>I67=0</f>
        <v>1</v>
      </c>
      <c r="N67" s="366"/>
      <c r="O67" s="366"/>
      <c r="P67" s="366"/>
      <c r="Q67" s="367"/>
    </row>
    <row r="68" spans="1:25" ht="24" customHeight="1">
      <c r="A68" s="372" t="s">
        <v>292</v>
      </c>
      <c r="B68" s="366"/>
      <c r="C68" s="366"/>
      <c r="D68" s="366"/>
      <c r="E68" s="366"/>
      <c r="F68" s="366"/>
      <c r="G68" s="366"/>
      <c r="H68" s="367"/>
      <c r="I68" s="365">
        <f>COUNTIF(RAW!N2323:N2466,"누락")</f>
        <v>0</v>
      </c>
      <c r="J68" s="366"/>
      <c r="K68" s="366"/>
      <c r="L68" s="367"/>
      <c r="M68" s="368" t="b">
        <f>I68=0</f>
        <v>1</v>
      </c>
      <c r="N68" s="366"/>
      <c r="O68" s="366"/>
      <c r="P68" s="366"/>
      <c r="Q68" s="367"/>
    </row>
    <row r="69" spans="1:25" ht="24" customHeight="1">
      <c r="A69" s="372" t="s">
        <v>293</v>
      </c>
      <c r="B69" s="366"/>
      <c r="C69" s="366"/>
      <c r="D69" s="366"/>
      <c r="E69" s="366"/>
      <c r="F69" s="366"/>
      <c r="G69" s="366"/>
      <c r="H69" s="367"/>
      <c r="I69" s="365">
        <f>COUNTIF(RAW!N2323:N2466,"중복")</f>
        <v>0</v>
      </c>
      <c r="J69" s="366"/>
      <c r="K69" s="366"/>
      <c r="L69" s="367"/>
      <c r="M69" s="368" t="b">
        <f>I69=0</f>
        <v>1</v>
      </c>
      <c r="N69" s="366"/>
      <c r="O69" s="366"/>
      <c r="P69" s="366"/>
      <c r="Q69" s="367"/>
    </row>
    <row r="70" spans="1:25" ht="24" customHeight="1">
      <c r="A70" s="372" t="s">
        <v>294</v>
      </c>
      <c r="B70" s="366"/>
      <c r="C70" s="366"/>
      <c r="D70" s="366"/>
      <c r="E70" s="366"/>
      <c r="F70" s="366"/>
      <c r="G70" s="366"/>
      <c r="H70" s="367"/>
      <c r="I70" s="365">
        <f>COUNT(잔액!W231:W245)</f>
        <v>13</v>
      </c>
      <c r="J70" s="366"/>
      <c r="K70" s="366"/>
      <c r="L70" s="367"/>
      <c r="M70" s="368" t="b">
        <f>I70=13</f>
        <v>1</v>
      </c>
      <c r="N70" s="366"/>
      <c r="O70" s="366"/>
      <c r="P70" s="366"/>
      <c r="Q70" s="367"/>
    </row>
    <row r="72" spans="1:25" ht="22" customHeight="1">
      <c r="A72" s="374" t="inlineStr">
        <is>
          <t xml:space="preserve">WRAP 13건만 연결합니다. 타계좌 현금 45건·카드사용 85건은 RAW와 월간에 보존합니다. 가족통장 사용 20만원·철도 미회수 대납 103,600원은 월간 별도 표시합니다.</t>
        </is>
      </c>
      <c r="B72" s="375"/>
      <c r="C72" s="375"/>
      <c r="D72" s="375"/>
      <c r="E72" s="375"/>
      <c r="F72" s="375"/>
      <c r="G72" s="375"/>
      <c r="H72" s="375"/>
      <c r="I72" s="375"/>
      <c r="J72" s="375"/>
      <c r="K72" s="375"/>
      <c r="L72" s="375"/>
      <c r="M72" s="375"/>
      <c r="N72" s="375"/>
      <c r="O72" s="375"/>
      <c r="P72" s="375"/>
      <c r="Q72" s="376"/>
    </row>
    <row r="73" spans="1:25" ht="22" customHeight="1">
      <c r="A73" s="377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  <c r="M73" s="378"/>
      <c r="N73" s="378"/>
      <c r="O73" s="378"/>
      <c r="P73" s="378"/>
      <c r="Q73" s="379"/>
    </row>
    <row r="75" spans="1:25">
      <c r="A75" s="373" t="s">
        <v>296</v>
      </c>
      <c r="B75" s="366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7"/>
    </row>
    <row r="76" spans="1:25">
      <c r="A76" s="388" t="s">
        <v>297</v>
      </c>
      <c r="B76" s="370"/>
      <c r="C76" s="370"/>
      <c r="D76" s="371"/>
      <c r="E76" s="119" t="s">
        <v>298</v>
      </c>
      <c r="F76" s="119" t="s">
        <v>299</v>
      </c>
      <c r="G76" s="119" t="s">
        <v>300</v>
      </c>
      <c r="H76" s="119" t="s">
        <v>301</v>
      </c>
      <c r="I76" s="119" t="s">
        <v>302</v>
      </c>
      <c r="J76" s="119" t="s">
        <v>303</v>
      </c>
      <c r="K76" s="119" t="s">
        <v>304</v>
      </c>
      <c r="M76" s="388" t="s">
        <v>305</v>
      </c>
      <c r="N76" s="370"/>
      <c r="O76" s="370"/>
      <c r="P76" s="370"/>
      <c r="Q76" s="371"/>
      <c r="S76" t="s">
        <v>306</v>
      </c>
      <c r="T76" t="s">
        <v>307</v>
      </c>
      <c r="U76" t="s">
        <v>308</v>
      </c>
      <c r="V76" t="s">
        <v>309</v>
      </c>
      <c r="W76" t="s">
        <v>310</v>
      </c>
      <c r="X76" t="s">
        <v>311</v>
      </c>
      <c r="Y76" t="s">
        <v>312</v>
      </c>
    </row>
    <row r="77" spans="1:25" ht="25" customHeight="1">
      <c r="A77" s="372" t="s">
        <v>15</v>
      </c>
      <c r="B77" s="366"/>
      <c r="C77" s="366"/>
      <c r="D77" s="367"/>
      <c r="E77" s="325" t="b">
        <f>잔액!C22=S77</f>
        <v>1</v>
      </c>
      <c r="F77" s="325" t="b">
        <f>잔액!D22=T77</f>
        <v>1</v>
      </c>
      <c r="G77" s="325" t="b">
        <f>잔액!E22=U77</f>
        <v>1</v>
      </c>
      <c r="H77" s="325" t="b">
        <f>잔액!F22=V77</f>
        <v>1</v>
      </c>
      <c r="I77" s="325" t="b">
        <f>잔액!G22=W77</f>
        <v>1</v>
      </c>
      <c r="J77" s="325" t="b">
        <f>잔액!H22=X77</f>
        <v>1</v>
      </c>
      <c r="K77" s="325" t="b">
        <f>잔액!I22=Y77</f>
        <v>1</v>
      </c>
      <c r="M77" s="368" t="b">
        <f t="shared" ref="M77:M85" si="4">COUNTIF(E77:K77,TRUE)=7</f>
        <v>1</v>
      </c>
      <c r="N77" s="366"/>
      <c r="O77" s="366"/>
      <c r="P77" s="366"/>
      <c r="Q77" s="367"/>
      <c r="S77" s="324">
        <v>993611</v>
      </c>
      <c r="T77" s="324">
        <v>944667</v>
      </c>
      <c r="U77" s="324">
        <v>1062089</v>
      </c>
      <c r="V77" s="324">
        <v>626802</v>
      </c>
      <c r="W77" s="324">
        <v>-498498</v>
      </c>
      <c r="X77" s="324">
        <v>0</v>
      </c>
      <c r="Y77" s="324">
        <v>6388603</v>
      </c>
    </row>
    <row r="78" spans="1:25" ht="25" customHeight="1">
      <c r="A78" s="372" t="s">
        <v>16</v>
      </c>
      <c r="B78" s="366"/>
      <c r="C78" s="366"/>
      <c r="D78" s="367"/>
      <c r="E78" s="325" t="b">
        <f>잔액!C23=S78</f>
        <v>1</v>
      </c>
      <c r="F78" s="325" t="b">
        <f>잔액!D23=T78</f>
        <v>1</v>
      </c>
      <c r="G78" s="325" t="b">
        <f>잔액!E23=U78</f>
        <v>1</v>
      </c>
      <c r="H78" s="325" t="b">
        <f>잔액!F23=V78</f>
        <v>1</v>
      </c>
      <c r="I78" s="325" t="b">
        <f>잔액!G23=W78</f>
        <v>1</v>
      </c>
      <c r="J78" s="325" t="b">
        <f>잔액!H23=X78</f>
        <v>1</v>
      </c>
      <c r="K78" s="325" t="b">
        <f>잔액!I23=Y78</f>
        <v>1</v>
      </c>
      <c r="M78" s="368" t="b">
        <f t="shared" si="4"/>
        <v>1</v>
      </c>
      <c r="N78" s="366"/>
      <c r="O78" s="366"/>
      <c r="P78" s="366"/>
      <c r="Q78" s="367"/>
      <c r="S78" s="324">
        <v>100000</v>
      </c>
      <c r="T78" s="324">
        <v>200000</v>
      </c>
      <c r="U78" s="324">
        <v>50000</v>
      </c>
      <c r="V78" s="324">
        <v>100000</v>
      </c>
      <c r="W78" s="324">
        <v>200000</v>
      </c>
      <c r="X78" s="324">
        <v>300000</v>
      </c>
      <c r="Y78" s="324">
        <v>0</v>
      </c>
    </row>
    <row r="79" spans="1:25" ht="25" customHeight="1">
      <c r="A79" s="372" t="s">
        <v>17</v>
      </c>
      <c r="B79" s="366"/>
      <c r="C79" s="366"/>
      <c r="D79" s="367"/>
      <c r="E79" s="325" t="b">
        <f>잔액!C24=S79</f>
        <v>1</v>
      </c>
      <c r="F79" s="325" t="b">
        <f>잔액!D24=T79</f>
        <v>1</v>
      </c>
      <c r="G79" s="325" t="b">
        <f>잔액!E24=U79</f>
        <v>1</v>
      </c>
      <c r="H79" s="325" t="b">
        <f>잔액!F24=V79</f>
        <v>1</v>
      </c>
      <c r="I79" s="325" t="b">
        <f>잔액!G24=W79</f>
        <v>1</v>
      </c>
      <c r="J79" s="325" t="b">
        <f>잔액!H24=X79</f>
        <v>1</v>
      </c>
      <c r="K79" s="325" t="b">
        <f>잔액!I24=Y79</f>
        <v>1</v>
      </c>
      <c r="M79" s="368" t="b">
        <f t="shared" si="4"/>
        <v>1</v>
      </c>
      <c r="N79" s="366"/>
      <c r="O79" s="366"/>
      <c r="P79" s="366"/>
      <c r="Q79" s="367"/>
      <c r="S79" s="324">
        <v>1300000</v>
      </c>
      <c r="T79" s="324">
        <v>1400000</v>
      </c>
      <c r="U79" s="324">
        <v>1500000</v>
      </c>
      <c r="V79" s="324">
        <v>1600000</v>
      </c>
      <c r="W79" s="324">
        <v>1600000</v>
      </c>
      <c r="X79" s="324">
        <v>1300000</v>
      </c>
      <c r="Y79" s="324">
        <v>1400000</v>
      </c>
    </row>
    <row r="80" spans="1:25" ht="25" customHeight="1">
      <c r="A80" s="372" t="s">
        <v>18</v>
      </c>
      <c r="B80" s="366"/>
      <c r="C80" s="366"/>
      <c r="D80" s="367"/>
      <c r="E80" s="325" t="b">
        <f>잔액!C25=S80</f>
        <v>1</v>
      </c>
      <c r="F80" s="325" t="b">
        <f>잔액!D25=T80</f>
        <v>1</v>
      </c>
      <c r="G80" s="325" t="b">
        <f>잔액!E25=U80</f>
        <v>1</v>
      </c>
      <c r="H80" s="325" t="b">
        <f>잔액!F25=V80</f>
        <v>1</v>
      </c>
      <c r="I80" s="325" t="b">
        <f>잔액!G25=W80</f>
        <v>1</v>
      </c>
      <c r="J80" s="325" t="b">
        <f>잔액!H25=X80</f>
        <v>1</v>
      </c>
      <c r="K80" s="325" t="b">
        <f>잔액!I25=Y80</f>
        <v>1</v>
      </c>
      <c r="M80" s="368" t="b">
        <f t="shared" si="4"/>
        <v>1</v>
      </c>
      <c r="N80" s="366"/>
      <c r="O80" s="366"/>
      <c r="P80" s="366"/>
      <c r="Q80" s="367"/>
      <c r="S80" s="324">
        <v>0</v>
      </c>
      <c r="T80" s="324">
        <v>0</v>
      </c>
      <c r="U80" s="324">
        <v>50000</v>
      </c>
      <c r="V80" s="324">
        <v>100000</v>
      </c>
      <c r="W80" s="324">
        <v>150000</v>
      </c>
      <c r="X80" s="324">
        <v>200000</v>
      </c>
      <c r="Y80" s="324">
        <v>450000</v>
      </c>
    </row>
    <row r="81" spans="1:25" ht="25" customHeight="1">
      <c r="A81" s="372" t="s">
        <v>19</v>
      </c>
      <c r="B81" s="366"/>
      <c r="C81" s="366"/>
      <c r="D81" s="367"/>
      <c r="E81" s="325" t="b">
        <f>잔액!C26=S81</f>
        <v>1</v>
      </c>
      <c r="F81" s="325" t="b">
        <f>잔액!D26=T81</f>
        <v>1</v>
      </c>
      <c r="G81" s="325" t="b">
        <f>잔액!E26=U81</f>
        <v>1</v>
      </c>
      <c r="H81" s="325" t="b">
        <f>잔액!F26=V81</f>
        <v>1</v>
      </c>
      <c r="I81" s="325" t="b">
        <f>잔액!G26=W81</f>
        <v>1</v>
      </c>
      <c r="J81" s="325" t="b">
        <f>잔액!H26=X81</f>
        <v>1</v>
      </c>
      <c r="K81" s="325" t="b">
        <f>잔액!I26=Y81</f>
        <v>1</v>
      </c>
      <c r="M81" s="368" t="b">
        <f t="shared" si="4"/>
        <v>1</v>
      </c>
      <c r="N81" s="366"/>
      <c r="O81" s="366"/>
      <c r="P81" s="366"/>
      <c r="Q81" s="367"/>
      <c r="S81" s="324">
        <v>350000</v>
      </c>
      <c r="T81" s="324">
        <v>350000</v>
      </c>
      <c r="U81" s="324">
        <v>0</v>
      </c>
      <c r="V81" s="324">
        <v>0</v>
      </c>
      <c r="W81" s="324">
        <v>100000</v>
      </c>
      <c r="X81" s="324">
        <v>200000</v>
      </c>
      <c r="Y81" s="324">
        <v>300000</v>
      </c>
    </row>
    <row r="82" spans="1:25" ht="25" customHeight="1">
      <c r="A82" s="372" t="s">
        <v>20</v>
      </c>
      <c r="B82" s="366"/>
      <c r="C82" s="366"/>
      <c r="D82" s="367"/>
      <c r="E82" s="325" t="b">
        <f>잔액!C27=S82</f>
        <v>1</v>
      </c>
      <c r="F82" s="325" t="b">
        <f>잔액!D27=T82</f>
        <v>1</v>
      </c>
      <c r="G82" s="325" t="b">
        <f>잔액!E27=U82</f>
        <v>1</v>
      </c>
      <c r="H82" s="325" t="b">
        <f>잔액!F27=V82</f>
        <v>1</v>
      </c>
      <c r="I82" s="325" t="b">
        <f>잔액!G27=W82</f>
        <v>1</v>
      </c>
      <c r="J82" s="325" t="b">
        <f>잔액!H27=X82</f>
        <v>1</v>
      </c>
      <c r="K82" s="325" t="b">
        <f>잔액!I27=Y82</f>
        <v>1</v>
      </c>
      <c r="M82" s="368" t="b">
        <f t="shared" si="4"/>
        <v>1</v>
      </c>
      <c r="N82" s="366"/>
      <c r="O82" s="366"/>
      <c r="P82" s="366"/>
      <c r="Q82" s="367"/>
      <c r="S82" s="324">
        <v>0</v>
      </c>
      <c r="T82" s="324">
        <v>0</v>
      </c>
      <c r="U82" s="324">
        <v>0</v>
      </c>
      <c r="V82" s="324">
        <v>0</v>
      </c>
      <c r="W82" s="324">
        <v>0</v>
      </c>
      <c r="X82" s="324">
        <v>0</v>
      </c>
      <c r="Y82" s="324">
        <v>0</v>
      </c>
    </row>
    <row r="83" spans="1:25" ht="25" customHeight="1">
      <c r="A83" s="372" t="s">
        <v>21</v>
      </c>
      <c r="B83" s="366"/>
      <c r="C83" s="366"/>
      <c r="D83" s="367"/>
      <c r="E83" s="325" t="b">
        <f>잔액!C28=S83</f>
        <v>1</v>
      </c>
      <c r="F83" s="325" t="b">
        <f>잔액!D28=T83</f>
        <v>1</v>
      </c>
      <c r="G83" s="325" t="b">
        <f>잔액!E28=U83</f>
        <v>1</v>
      </c>
      <c r="H83" s="325" t="b">
        <f>잔액!F28=V83</f>
        <v>1</v>
      </c>
      <c r="I83" s="325" t="b">
        <f>잔액!G28=W83</f>
        <v>1</v>
      </c>
      <c r="J83" s="325" t="b">
        <f>잔액!H28=X83</f>
        <v>1</v>
      </c>
      <c r="K83" s="325" t="b">
        <f>잔액!I28=Y83</f>
        <v>1</v>
      </c>
      <c r="M83" s="368" t="b">
        <f t="shared" si="4"/>
        <v>1</v>
      </c>
      <c r="N83" s="366"/>
      <c r="O83" s="366"/>
      <c r="P83" s="366"/>
      <c r="Q83" s="367"/>
      <c r="S83" s="324">
        <v>21500</v>
      </c>
      <c r="T83" s="324">
        <v>0</v>
      </c>
      <c r="U83" s="324">
        <v>0</v>
      </c>
      <c r="V83" s="324">
        <v>0</v>
      </c>
      <c r="W83" s="324">
        <v>0</v>
      </c>
      <c r="X83" s="324">
        <v>0</v>
      </c>
      <c r="Y83" s="324">
        <v>0</v>
      </c>
    </row>
    <row r="84" spans="1:25" ht="25" customHeight="1">
      <c r="A84" s="372" t="s">
        <v>22</v>
      </c>
      <c r="B84" s="366"/>
      <c r="C84" s="366"/>
      <c r="D84" s="367"/>
      <c r="E84" s="325" t="b">
        <f>잔액!C29=S84</f>
        <v>1</v>
      </c>
      <c r="F84" s="325" t="b">
        <f>잔액!D29=T84</f>
        <v>1</v>
      </c>
      <c r="G84" s="325" t="b">
        <f>잔액!E29=U84</f>
        <v>1</v>
      </c>
      <c r="H84" s="325" t="b">
        <f>잔액!F29=V84</f>
        <v>1</v>
      </c>
      <c r="I84" s="325" t="b">
        <f>잔액!G29=W84</f>
        <v>1</v>
      </c>
      <c r="J84" s="325" t="b">
        <f>잔액!H29=X84</f>
        <v>1</v>
      </c>
      <c r="K84" s="325" t="b">
        <f>잔액!I29=Y84</f>
        <v>1</v>
      </c>
      <c r="M84" s="368" t="b">
        <f t="shared" si="4"/>
        <v>1</v>
      </c>
      <c r="N84" s="366"/>
      <c r="O84" s="366"/>
      <c r="P84" s="366"/>
      <c r="Q84" s="367"/>
      <c r="S84" s="324">
        <v>0</v>
      </c>
      <c r="T84" s="324">
        <v>2151</v>
      </c>
      <c r="U84" s="324">
        <v>1137</v>
      </c>
      <c r="V84" s="324">
        <v>4897</v>
      </c>
      <c r="W84" s="324">
        <v>27858</v>
      </c>
      <c r="X84" s="324">
        <v>0</v>
      </c>
      <c r="Y84" s="324">
        <v>0</v>
      </c>
    </row>
    <row r="85" spans="1:25" ht="25" customHeight="1">
      <c r="A85" s="372" t="s">
        <v>23</v>
      </c>
      <c r="B85" s="366"/>
      <c r="C85" s="366"/>
      <c r="D85" s="367"/>
      <c r="E85" s="325" t="b">
        <f>잔액!C30=S85</f>
        <v>1</v>
      </c>
      <c r="F85" s="325" t="b">
        <f>잔액!D30=T85</f>
        <v>1</v>
      </c>
      <c r="G85" s="325" t="b">
        <f>잔액!E30=U85</f>
        <v>1</v>
      </c>
      <c r="H85" s="325" t="b">
        <f>잔액!F30=V85</f>
        <v>1</v>
      </c>
      <c r="I85" s="325" t="b">
        <f>잔액!G30=W85</f>
        <v>1</v>
      </c>
      <c r="J85" s="325" t="b">
        <f>잔액!H30=X85</f>
        <v>1</v>
      </c>
      <c r="K85" s="325" t="b">
        <f>잔액!I30=Y85</f>
        <v>1</v>
      </c>
      <c r="M85" s="368" t="b">
        <f t="shared" si="4"/>
        <v>1</v>
      </c>
      <c r="N85" s="366"/>
      <c r="O85" s="366"/>
      <c r="P85" s="366"/>
      <c r="Q85" s="367"/>
      <c r="S85" s="324">
        <v>2042224</v>
      </c>
      <c r="T85" s="324">
        <v>2548910</v>
      </c>
      <c r="U85" s="324">
        <v>2042174</v>
      </c>
      <c r="V85" s="324">
        <v>6188750</v>
      </c>
      <c r="W85" s="324">
        <v>11338850</v>
      </c>
      <c r="X85" s="324">
        <v>9495719</v>
      </c>
      <c r="Y85" s="324">
        <v>0</v>
      </c>
    </row>
    <row r="87" spans="1:25" ht="25" customHeight="1">
      <c r="A87" s="372" t="s">
        <v>313</v>
      </c>
      <c r="B87" s="366"/>
      <c r="C87" s="366"/>
      <c r="D87" s="366"/>
      <c r="E87" s="366"/>
      <c r="F87" s="366"/>
      <c r="G87" s="366"/>
      <c r="H87" s="367"/>
      <c r="I87" s="365">
        <f>SUMIFS(잔액!E64:E500,잔액!B64:B500,"이체",잔액!C64:C500,"명절비",잔액!D64:D500,"경조사비",잔액!H64:H500,DATE(2026,9,1))</f>
        <v>100000</v>
      </c>
      <c r="J87" s="366"/>
      <c r="K87" s="366"/>
      <c r="L87" s="367"/>
      <c r="M87" s="368" t="b">
        <f>I87=100000</f>
        <v>1</v>
      </c>
      <c r="N87" s="366"/>
      <c r="O87" s="366"/>
      <c r="P87" s="366"/>
      <c r="Q87" s="367"/>
    </row>
    <row r="88" spans="1:25" ht="25" customHeight="1">
      <c r="A88" s="372" t="s">
        <v>314</v>
      </c>
      <c r="B88" s="366"/>
      <c r="C88" s="366"/>
      <c r="D88" s="366"/>
      <c r="E88" s="366"/>
      <c r="F88" s="366"/>
      <c r="G88" s="366"/>
      <c r="H88" s="367"/>
      <c r="I88" s="365">
        <f>잔액!C28</f>
        <v>21500</v>
      </c>
      <c r="J88" s="366"/>
      <c r="K88" s="366"/>
      <c r="L88" s="367"/>
      <c r="M88" s="368" t="b">
        <f>I88=21500</f>
        <v>1</v>
      </c>
      <c r="N88" s="366"/>
      <c r="O88" s="366"/>
      <c r="P88" s="366"/>
      <c r="Q88" s="367"/>
    </row>
    <row r="89" spans="1:25" ht="25" customHeight="1">
      <c r="A89" s="372" t="s">
        <v>315</v>
      </c>
      <c r="B89" s="366"/>
      <c r="C89" s="366"/>
      <c r="D89" s="366"/>
      <c r="E89" s="366"/>
      <c r="F89" s="366"/>
      <c r="G89" s="366"/>
      <c r="H89" s="367"/>
      <c r="I89" s="365">
        <f>SUMIFS(잔액!E64:E500,잔액!B64:B500,"이체",잔액!C64:C500,"명절비",잔액!K64:K500,"가족통장",잔액!H64:H500,DATE(2026,9,1))</f>
        <v>200000</v>
      </c>
      <c r="J89" s="366"/>
      <c r="K89" s="366"/>
      <c r="L89" s="367"/>
      <c r="M89" s="368" t="b">
        <f>I89=200000</f>
        <v>1</v>
      </c>
      <c r="N89" s="366"/>
      <c r="O89" s="366"/>
      <c r="P89" s="366"/>
      <c r="Q89" s="367"/>
    </row>
    <row r="90" spans="1:25" ht="25" customHeight="1">
      <c r="A90" s="372" t="s">
        <v>316</v>
      </c>
      <c r="B90" s="366"/>
      <c r="C90" s="366"/>
      <c r="D90" s="366"/>
      <c r="E90" s="366"/>
      <c r="F90" s="366"/>
      <c r="G90" s="366"/>
      <c r="H90" s="367"/>
      <c r="I90" s="365">
        <f>'10월'!N66</f>
        <v>239000</v>
      </c>
      <c r="J90" s="366"/>
      <c r="K90" s="366"/>
      <c r="L90" s="367"/>
      <c r="M90" s="368" t="b">
        <f>I90=239000</f>
        <v>1</v>
      </c>
      <c r="N90" s="366"/>
      <c r="O90" s="366"/>
      <c r="P90" s="366"/>
      <c r="Q90" s="367"/>
    </row>
    <row r="91" spans="1:25" ht="25" customHeight="1">
      <c r="A91" s="372" t="s">
        <v>317</v>
      </c>
      <c r="B91" s="366"/>
      <c r="C91" s="366"/>
      <c r="D91" s="366"/>
      <c r="E91" s="366"/>
      <c r="F91" s="366"/>
      <c r="G91" s="366"/>
      <c r="H91" s="367"/>
      <c r="I91" s="365">
        <f>'10월'!N69</f>
        <v>239000</v>
      </c>
      <c r="J91" s="366"/>
      <c r="K91" s="366"/>
      <c r="L91" s="367"/>
      <c r="M91" s="368" t="b">
        <f>I91=239000</f>
        <v>1</v>
      </c>
      <c r="N91" s="366"/>
      <c r="O91" s="366"/>
      <c r="P91" s="366"/>
      <c r="Q91" s="367"/>
    </row>
    <row r="92" spans="1:25" ht="25" customHeight="1">
      <c r="A92" s="372" t="s">
        <v>318</v>
      </c>
      <c r="B92" s="366"/>
      <c r="C92" s="366"/>
      <c r="D92" s="366"/>
      <c r="E92" s="366"/>
      <c r="F92" s="366"/>
      <c r="G92" s="366"/>
      <c r="H92" s="367"/>
      <c r="I92" s="365">
        <f>잔액!I32</f>
        <v>8538603</v>
      </c>
      <c r="J92" s="366"/>
      <c r="K92" s="366"/>
      <c r="L92" s="367"/>
      <c r="M92" s="368" t="b">
        <f>I92=8538603</f>
        <v>1</v>
      </c>
      <c r="N92" s="366"/>
      <c r="O92" s="366"/>
      <c r="P92" s="366"/>
      <c r="Q92" s="367"/>
    </row>
    <row r="94" spans="1:25">
      <c r="A94" s="374" t="s">
        <v>319</v>
      </c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6"/>
    </row>
    <row r="95" spans="1:25">
      <c r="A95" s="389"/>
      <c r="B95" s="390"/>
      <c r="C95" s="390"/>
      <c r="D95" s="390"/>
      <c r="E95" s="390"/>
      <c r="F95" s="390"/>
      <c r="G95" s="390"/>
      <c r="H95" s="390"/>
      <c r="I95" s="390"/>
      <c r="J95" s="390"/>
      <c r="K95" s="390"/>
      <c r="L95" s="390"/>
      <c r="M95" s="390"/>
      <c r="N95" s="390"/>
      <c r="O95" s="390"/>
      <c r="P95" s="390"/>
      <c r="Q95" s="391"/>
    </row>
    <row r="96" spans="1:25">
      <c r="A96" s="377"/>
      <c r="B96" s="378"/>
      <c r="C96" s="378"/>
      <c r="D96" s="378"/>
      <c r="E96" s="378"/>
      <c r="F96" s="378"/>
      <c r="G96" s="378"/>
      <c r="H96" s="378"/>
      <c r="I96" s="378"/>
      <c r="J96" s="378"/>
      <c r="K96" s="378"/>
      <c r="L96" s="378"/>
      <c r="M96" s="378"/>
      <c r="N96" s="378"/>
      <c r="O96" s="378"/>
      <c r="P96" s="378"/>
      <c r="Q96" s="379"/>
    </row>
    <row r="98" spans="1:17">
      <c r="A98" s="373" t="s">
        <v>320</v>
      </c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7"/>
    </row>
    <row r="99" spans="1:17">
      <c r="A99" s="388" t="s">
        <v>47</v>
      </c>
      <c r="B99" s="371"/>
      <c r="C99" s="388" t="s">
        <v>297</v>
      </c>
      <c r="D99" s="370"/>
      <c r="E99" s="370"/>
      <c r="F99" s="371"/>
      <c r="G99" s="388" t="s">
        <v>321</v>
      </c>
      <c r="H99" s="370"/>
      <c r="I99" s="371"/>
      <c r="J99" s="388" t="s">
        <v>322</v>
      </c>
      <c r="K99" s="370"/>
      <c r="L99" s="371"/>
      <c r="M99" s="388" t="s">
        <v>323</v>
      </c>
      <c r="N99" s="370"/>
      <c r="O99" s="371"/>
      <c r="P99" s="388" t="s">
        <v>48</v>
      </c>
      <c r="Q99" s="371"/>
    </row>
    <row r="100" spans="1:17" ht="24" customHeight="1">
      <c r="A100" s="372" t="s">
        <v>298</v>
      </c>
      <c r="B100" s="367"/>
      <c r="C100" s="372" t="s">
        <v>15</v>
      </c>
      <c r="D100" s="366"/>
      <c r="E100" s="366"/>
      <c r="F100" s="367"/>
      <c r="G100" s="365">
        <v>993611</v>
      </c>
      <c r="H100" s="366"/>
      <c r="I100" s="367"/>
      <c r="J100" s="365">
        <f>잔액!C22</f>
        <v>993611</v>
      </c>
      <c r="K100" s="366"/>
      <c r="L100" s="367"/>
      <c r="M100" s="365">
        <f t="shared" ref="M100:M131" si="5">J100-G100</f>
        <v>0</v>
      </c>
      <c r="N100" s="366"/>
      <c r="O100" s="367"/>
      <c r="P100" s="368" t="b">
        <f t="shared" ref="P100:P131" si="6">M100=0</f>
        <v>1</v>
      </c>
      <c r="Q100" s="367"/>
    </row>
    <row r="101" spans="1:17" ht="24" customHeight="1">
      <c r="A101" s="372" t="s">
        <v>299</v>
      </c>
      <c r="B101" s="367"/>
      <c r="C101" s="372" t="s">
        <v>15</v>
      </c>
      <c r="D101" s="366"/>
      <c r="E101" s="366"/>
      <c r="F101" s="367"/>
      <c r="G101" s="365">
        <v>944667</v>
      </c>
      <c r="H101" s="366"/>
      <c r="I101" s="367"/>
      <c r="J101" s="365">
        <f>잔액!D22</f>
        <v>944667</v>
      </c>
      <c r="K101" s="366"/>
      <c r="L101" s="367"/>
      <c r="M101" s="365">
        <f t="shared" si="5"/>
        <v>0</v>
      </c>
      <c r="N101" s="366"/>
      <c r="O101" s="367"/>
      <c r="P101" s="368" t="b">
        <f t="shared" si="6"/>
        <v>1</v>
      </c>
      <c r="Q101" s="367"/>
    </row>
    <row r="102" spans="1:17" ht="24" customHeight="1">
      <c r="A102" s="372" t="s">
        <v>300</v>
      </c>
      <c r="B102" s="367"/>
      <c r="C102" s="372" t="s">
        <v>15</v>
      </c>
      <c r="D102" s="366"/>
      <c r="E102" s="366"/>
      <c r="F102" s="367"/>
      <c r="G102" s="365">
        <v>1062089</v>
      </c>
      <c r="H102" s="366"/>
      <c r="I102" s="367"/>
      <c r="J102" s="365">
        <f>잔액!E22</f>
        <v>1062089</v>
      </c>
      <c r="K102" s="366"/>
      <c r="L102" s="367"/>
      <c r="M102" s="365">
        <f t="shared" si="5"/>
        <v>0</v>
      </c>
      <c r="N102" s="366"/>
      <c r="O102" s="367"/>
      <c r="P102" s="368" t="b">
        <f t="shared" si="6"/>
        <v>1</v>
      </c>
      <c r="Q102" s="367"/>
    </row>
    <row r="103" spans="1:17" ht="24" customHeight="1">
      <c r="A103" s="372" t="s">
        <v>301</v>
      </c>
      <c r="B103" s="367"/>
      <c r="C103" s="372" t="s">
        <v>15</v>
      </c>
      <c r="D103" s="366"/>
      <c r="E103" s="366"/>
      <c r="F103" s="367"/>
      <c r="G103" s="365">
        <v>626802</v>
      </c>
      <c r="H103" s="366"/>
      <c r="I103" s="367"/>
      <c r="J103" s="365">
        <f>잔액!F22</f>
        <v>626802</v>
      </c>
      <c r="K103" s="366"/>
      <c r="L103" s="367"/>
      <c r="M103" s="365">
        <f t="shared" si="5"/>
        <v>0</v>
      </c>
      <c r="N103" s="366"/>
      <c r="O103" s="367"/>
      <c r="P103" s="368" t="b">
        <f t="shared" si="6"/>
        <v>1</v>
      </c>
      <c r="Q103" s="367"/>
    </row>
    <row r="104" spans="1:17" ht="24" customHeight="1">
      <c r="A104" s="372" t="s">
        <v>302</v>
      </c>
      <c r="B104" s="367"/>
      <c r="C104" s="372" t="s">
        <v>15</v>
      </c>
      <c r="D104" s="366"/>
      <c r="E104" s="366"/>
      <c r="F104" s="367"/>
      <c r="G104" s="365">
        <v>-498498</v>
      </c>
      <c r="H104" s="366"/>
      <c r="I104" s="367"/>
      <c r="J104" s="365">
        <f>잔액!G22</f>
        <v>-498498</v>
      </c>
      <c r="K104" s="366"/>
      <c r="L104" s="367"/>
      <c r="M104" s="365">
        <f t="shared" si="5"/>
        <v>0</v>
      </c>
      <c r="N104" s="366"/>
      <c r="O104" s="367"/>
      <c r="P104" s="368" t="b">
        <f t="shared" si="6"/>
        <v>1</v>
      </c>
      <c r="Q104" s="367"/>
    </row>
    <row r="105" spans="1:17" ht="24" customHeight="1">
      <c r="A105" s="372" t="s">
        <v>303</v>
      </c>
      <c r="B105" s="367"/>
      <c r="C105" s="372" t="s">
        <v>15</v>
      </c>
      <c r="D105" s="366"/>
      <c r="E105" s="366"/>
      <c r="F105" s="367"/>
      <c r="G105" s="365">
        <v>0</v>
      </c>
      <c r="H105" s="366"/>
      <c r="I105" s="367"/>
      <c r="J105" s="365">
        <f>잔액!H22</f>
        <v>0</v>
      </c>
      <c r="K105" s="366"/>
      <c r="L105" s="367"/>
      <c r="M105" s="365">
        <f t="shared" si="5"/>
        <v>0</v>
      </c>
      <c r="N105" s="366"/>
      <c r="O105" s="367"/>
      <c r="P105" s="368" t="b">
        <f t="shared" si="6"/>
        <v>1</v>
      </c>
      <c r="Q105" s="367"/>
    </row>
    <row r="106" spans="1:17" ht="24" customHeight="1">
      <c r="A106" s="372" t="s">
        <v>304</v>
      </c>
      <c r="B106" s="367"/>
      <c r="C106" s="372" t="s">
        <v>15</v>
      </c>
      <c r="D106" s="366"/>
      <c r="E106" s="366"/>
      <c r="F106" s="367"/>
      <c r="G106" s="365">
        <v>6388603</v>
      </c>
      <c r="H106" s="366"/>
      <c r="I106" s="367"/>
      <c r="J106" s="365">
        <f>잔액!I22</f>
        <v>6388603</v>
      </c>
      <c r="K106" s="366"/>
      <c r="L106" s="367"/>
      <c r="M106" s="365">
        <f t="shared" si="5"/>
        <v>0</v>
      </c>
      <c r="N106" s="366"/>
      <c r="O106" s="367"/>
      <c r="P106" s="368" t="b">
        <f t="shared" si="6"/>
        <v>1</v>
      </c>
      <c r="Q106" s="367"/>
    </row>
    <row r="107" spans="1:17" ht="24" customHeight="1">
      <c r="A107" s="372" t="s">
        <v>298</v>
      </c>
      <c r="B107" s="367"/>
      <c r="C107" s="372" t="s">
        <v>16</v>
      </c>
      <c r="D107" s="366"/>
      <c r="E107" s="366"/>
      <c r="F107" s="367"/>
      <c r="G107" s="365">
        <v>100000</v>
      </c>
      <c r="H107" s="366"/>
      <c r="I107" s="367"/>
      <c r="J107" s="365">
        <f>잔액!C23</f>
        <v>100000</v>
      </c>
      <c r="K107" s="366"/>
      <c r="L107" s="367"/>
      <c r="M107" s="365">
        <f t="shared" si="5"/>
        <v>0</v>
      </c>
      <c r="N107" s="366"/>
      <c r="O107" s="367"/>
      <c r="P107" s="368" t="b">
        <f t="shared" si="6"/>
        <v>1</v>
      </c>
      <c r="Q107" s="367"/>
    </row>
    <row r="108" spans="1:17" ht="24" customHeight="1">
      <c r="A108" s="372" t="s">
        <v>299</v>
      </c>
      <c r="B108" s="367"/>
      <c r="C108" s="372" t="s">
        <v>16</v>
      </c>
      <c r="D108" s="366"/>
      <c r="E108" s="366"/>
      <c r="F108" s="367"/>
      <c r="G108" s="365">
        <v>200000</v>
      </c>
      <c r="H108" s="366"/>
      <c r="I108" s="367"/>
      <c r="J108" s="365">
        <f>잔액!D23</f>
        <v>200000</v>
      </c>
      <c r="K108" s="366"/>
      <c r="L108" s="367"/>
      <c r="M108" s="365">
        <f t="shared" si="5"/>
        <v>0</v>
      </c>
      <c r="N108" s="366"/>
      <c r="O108" s="367"/>
      <c r="P108" s="368" t="b">
        <f t="shared" si="6"/>
        <v>1</v>
      </c>
      <c r="Q108" s="367"/>
    </row>
    <row r="109" spans="1:17" ht="24" customHeight="1">
      <c r="A109" s="372" t="s">
        <v>300</v>
      </c>
      <c r="B109" s="367"/>
      <c r="C109" s="372" t="s">
        <v>16</v>
      </c>
      <c r="D109" s="366"/>
      <c r="E109" s="366"/>
      <c r="F109" s="367"/>
      <c r="G109" s="365">
        <v>50000</v>
      </c>
      <c r="H109" s="366"/>
      <c r="I109" s="367"/>
      <c r="J109" s="365">
        <f>잔액!E23</f>
        <v>50000</v>
      </c>
      <c r="K109" s="366"/>
      <c r="L109" s="367"/>
      <c r="M109" s="365">
        <f t="shared" si="5"/>
        <v>0</v>
      </c>
      <c r="N109" s="366"/>
      <c r="O109" s="367"/>
      <c r="P109" s="368" t="b">
        <f t="shared" si="6"/>
        <v>1</v>
      </c>
      <c r="Q109" s="367"/>
    </row>
    <row r="110" spans="1:17" ht="24" customHeight="1">
      <c r="A110" s="372" t="s">
        <v>301</v>
      </c>
      <c r="B110" s="367"/>
      <c r="C110" s="372" t="s">
        <v>16</v>
      </c>
      <c r="D110" s="366"/>
      <c r="E110" s="366"/>
      <c r="F110" s="367"/>
      <c r="G110" s="365">
        <v>100000</v>
      </c>
      <c r="H110" s="366"/>
      <c r="I110" s="367"/>
      <c r="J110" s="365">
        <f>잔액!F23</f>
        <v>100000</v>
      </c>
      <c r="K110" s="366"/>
      <c r="L110" s="367"/>
      <c r="M110" s="365">
        <f t="shared" si="5"/>
        <v>0</v>
      </c>
      <c r="N110" s="366"/>
      <c r="O110" s="367"/>
      <c r="P110" s="368" t="b">
        <f t="shared" si="6"/>
        <v>1</v>
      </c>
      <c r="Q110" s="367"/>
    </row>
    <row r="111" spans="1:17" ht="24" customHeight="1">
      <c r="A111" s="372" t="s">
        <v>302</v>
      </c>
      <c r="B111" s="367"/>
      <c r="C111" s="372" t="s">
        <v>16</v>
      </c>
      <c r="D111" s="366"/>
      <c r="E111" s="366"/>
      <c r="F111" s="367"/>
      <c r="G111" s="365">
        <v>200000</v>
      </c>
      <c r="H111" s="366"/>
      <c r="I111" s="367"/>
      <c r="J111" s="365">
        <f>잔액!G23</f>
        <v>200000</v>
      </c>
      <c r="K111" s="366"/>
      <c r="L111" s="367"/>
      <c r="M111" s="365">
        <f t="shared" si="5"/>
        <v>0</v>
      </c>
      <c r="N111" s="366"/>
      <c r="O111" s="367"/>
      <c r="P111" s="368" t="b">
        <f t="shared" si="6"/>
        <v>1</v>
      </c>
      <c r="Q111" s="367"/>
    </row>
    <row r="112" spans="1:17" ht="24" customHeight="1">
      <c r="A112" s="372" t="s">
        <v>303</v>
      </c>
      <c r="B112" s="367"/>
      <c r="C112" s="372" t="s">
        <v>16</v>
      </c>
      <c r="D112" s="366"/>
      <c r="E112" s="366"/>
      <c r="F112" s="367"/>
      <c r="G112" s="365">
        <v>300000</v>
      </c>
      <c r="H112" s="366"/>
      <c r="I112" s="367"/>
      <c r="J112" s="365">
        <f>잔액!H23</f>
        <v>300000</v>
      </c>
      <c r="K112" s="366"/>
      <c r="L112" s="367"/>
      <c r="M112" s="365">
        <f t="shared" si="5"/>
        <v>0</v>
      </c>
      <c r="N112" s="366"/>
      <c r="O112" s="367"/>
      <c r="P112" s="368" t="b">
        <f t="shared" si="6"/>
        <v>1</v>
      </c>
      <c r="Q112" s="367"/>
    </row>
    <row r="113" spans="1:17" ht="24" customHeight="1">
      <c r="A113" s="372" t="s">
        <v>304</v>
      </c>
      <c r="B113" s="367"/>
      <c r="C113" s="372" t="s">
        <v>16</v>
      </c>
      <c r="D113" s="366"/>
      <c r="E113" s="366"/>
      <c r="F113" s="367"/>
      <c r="G113" s="365">
        <v>0</v>
      </c>
      <c r="H113" s="366"/>
      <c r="I113" s="367"/>
      <c r="J113" s="365">
        <f>잔액!I23</f>
        <v>0</v>
      </c>
      <c r="K113" s="366"/>
      <c r="L113" s="367"/>
      <c r="M113" s="365">
        <f t="shared" si="5"/>
        <v>0</v>
      </c>
      <c r="N113" s="366"/>
      <c r="O113" s="367"/>
      <c r="P113" s="368" t="b">
        <f t="shared" si="6"/>
        <v>1</v>
      </c>
      <c r="Q113" s="367"/>
    </row>
    <row r="114" spans="1:17" ht="24" customHeight="1">
      <c r="A114" s="372" t="s">
        <v>298</v>
      </c>
      <c r="B114" s="367"/>
      <c r="C114" s="372" t="s">
        <v>17</v>
      </c>
      <c r="D114" s="366"/>
      <c r="E114" s="366"/>
      <c r="F114" s="367"/>
      <c r="G114" s="365">
        <v>1300000</v>
      </c>
      <c r="H114" s="366"/>
      <c r="I114" s="367"/>
      <c r="J114" s="365">
        <f>잔액!C24</f>
        <v>1300000</v>
      </c>
      <c r="K114" s="366"/>
      <c r="L114" s="367"/>
      <c r="M114" s="365">
        <f t="shared" si="5"/>
        <v>0</v>
      </c>
      <c r="N114" s="366"/>
      <c r="O114" s="367"/>
      <c r="P114" s="368" t="b">
        <f t="shared" si="6"/>
        <v>1</v>
      </c>
      <c r="Q114" s="367"/>
    </row>
    <row r="115" spans="1:17" ht="24" customHeight="1">
      <c r="A115" s="372" t="s">
        <v>299</v>
      </c>
      <c r="B115" s="367"/>
      <c r="C115" s="372" t="s">
        <v>17</v>
      </c>
      <c r="D115" s="366"/>
      <c r="E115" s="366"/>
      <c r="F115" s="367"/>
      <c r="G115" s="365">
        <v>1400000</v>
      </c>
      <c r="H115" s="366"/>
      <c r="I115" s="367"/>
      <c r="J115" s="365">
        <f>잔액!D24</f>
        <v>1400000</v>
      </c>
      <c r="K115" s="366"/>
      <c r="L115" s="367"/>
      <c r="M115" s="365">
        <f t="shared" si="5"/>
        <v>0</v>
      </c>
      <c r="N115" s="366"/>
      <c r="O115" s="367"/>
      <c r="P115" s="368" t="b">
        <f t="shared" si="6"/>
        <v>1</v>
      </c>
      <c r="Q115" s="367"/>
    </row>
    <row r="116" spans="1:17" ht="24" customHeight="1">
      <c r="A116" s="372" t="s">
        <v>300</v>
      </c>
      <c r="B116" s="367"/>
      <c r="C116" s="372" t="s">
        <v>17</v>
      </c>
      <c r="D116" s="366"/>
      <c r="E116" s="366"/>
      <c r="F116" s="367"/>
      <c r="G116" s="365">
        <v>1500000</v>
      </c>
      <c r="H116" s="366"/>
      <c r="I116" s="367"/>
      <c r="J116" s="365">
        <f>잔액!E24</f>
        <v>1500000</v>
      </c>
      <c r="K116" s="366"/>
      <c r="L116" s="367"/>
      <c r="M116" s="365">
        <f t="shared" si="5"/>
        <v>0</v>
      </c>
      <c r="N116" s="366"/>
      <c r="O116" s="367"/>
      <c r="P116" s="368" t="b">
        <f t="shared" si="6"/>
        <v>1</v>
      </c>
      <c r="Q116" s="367"/>
    </row>
    <row r="117" spans="1:17" ht="24" customHeight="1">
      <c r="A117" s="372" t="s">
        <v>301</v>
      </c>
      <c r="B117" s="367"/>
      <c r="C117" s="372" t="s">
        <v>17</v>
      </c>
      <c r="D117" s="366"/>
      <c r="E117" s="366"/>
      <c r="F117" s="367"/>
      <c r="G117" s="365">
        <v>1600000</v>
      </c>
      <c r="H117" s="366"/>
      <c r="I117" s="367"/>
      <c r="J117" s="365">
        <f>잔액!F24</f>
        <v>1600000</v>
      </c>
      <c r="K117" s="366"/>
      <c r="L117" s="367"/>
      <c r="M117" s="365">
        <f t="shared" si="5"/>
        <v>0</v>
      </c>
      <c r="N117" s="366"/>
      <c r="O117" s="367"/>
      <c r="P117" s="368" t="b">
        <f t="shared" si="6"/>
        <v>1</v>
      </c>
      <c r="Q117" s="367"/>
    </row>
    <row r="118" spans="1:17" ht="24" customHeight="1">
      <c r="A118" s="372" t="s">
        <v>302</v>
      </c>
      <c r="B118" s="367"/>
      <c r="C118" s="372" t="s">
        <v>17</v>
      </c>
      <c r="D118" s="366"/>
      <c r="E118" s="366"/>
      <c r="F118" s="367"/>
      <c r="G118" s="365">
        <v>1600000</v>
      </c>
      <c r="H118" s="366"/>
      <c r="I118" s="367"/>
      <c r="J118" s="365">
        <f>잔액!G24</f>
        <v>1600000</v>
      </c>
      <c r="K118" s="366"/>
      <c r="L118" s="367"/>
      <c r="M118" s="365">
        <f t="shared" si="5"/>
        <v>0</v>
      </c>
      <c r="N118" s="366"/>
      <c r="O118" s="367"/>
      <c r="P118" s="368" t="b">
        <f t="shared" si="6"/>
        <v>1</v>
      </c>
      <c r="Q118" s="367"/>
    </row>
    <row r="119" spans="1:17" ht="24" customHeight="1">
      <c r="A119" s="372" t="s">
        <v>303</v>
      </c>
      <c r="B119" s="367"/>
      <c r="C119" s="372" t="s">
        <v>17</v>
      </c>
      <c r="D119" s="366"/>
      <c r="E119" s="366"/>
      <c r="F119" s="367"/>
      <c r="G119" s="365">
        <v>1300000</v>
      </c>
      <c r="H119" s="366"/>
      <c r="I119" s="367"/>
      <c r="J119" s="365">
        <f>잔액!H24</f>
        <v>1300000</v>
      </c>
      <c r="K119" s="366"/>
      <c r="L119" s="367"/>
      <c r="M119" s="365">
        <f t="shared" si="5"/>
        <v>0</v>
      </c>
      <c r="N119" s="366"/>
      <c r="O119" s="367"/>
      <c r="P119" s="368" t="b">
        <f t="shared" si="6"/>
        <v>1</v>
      </c>
      <c r="Q119" s="367"/>
    </row>
    <row r="120" spans="1:17" ht="24" customHeight="1">
      <c r="A120" s="372" t="s">
        <v>304</v>
      </c>
      <c r="B120" s="367"/>
      <c r="C120" s="372" t="s">
        <v>17</v>
      </c>
      <c r="D120" s="366"/>
      <c r="E120" s="366"/>
      <c r="F120" s="367"/>
      <c r="G120" s="365">
        <v>1400000</v>
      </c>
      <c r="H120" s="366"/>
      <c r="I120" s="367"/>
      <c r="J120" s="365">
        <f>잔액!I24</f>
        <v>1400000</v>
      </c>
      <c r="K120" s="366"/>
      <c r="L120" s="367"/>
      <c r="M120" s="365">
        <f t="shared" si="5"/>
        <v>0</v>
      </c>
      <c r="N120" s="366"/>
      <c r="O120" s="367"/>
      <c r="P120" s="368" t="b">
        <f t="shared" si="6"/>
        <v>1</v>
      </c>
      <c r="Q120" s="367"/>
    </row>
    <row r="121" spans="1:17" ht="24" customHeight="1">
      <c r="A121" s="372" t="s">
        <v>298</v>
      </c>
      <c r="B121" s="367"/>
      <c r="C121" s="372" t="s">
        <v>18</v>
      </c>
      <c r="D121" s="366"/>
      <c r="E121" s="366"/>
      <c r="F121" s="367"/>
      <c r="G121" s="365">
        <v>0</v>
      </c>
      <c r="H121" s="366"/>
      <c r="I121" s="367"/>
      <c r="J121" s="365">
        <f>잔액!C25</f>
        <v>0</v>
      </c>
      <c r="K121" s="366"/>
      <c r="L121" s="367"/>
      <c r="M121" s="365">
        <f t="shared" si="5"/>
        <v>0</v>
      </c>
      <c r="N121" s="366"/>
      <c r="O121" s="367"/>
      <c r="P121" s="368" t="b">
        <f t="shared" si="6"/>
        <v>1</v>
      </c>
      <c r="Q121" s="367"/>
    </row>
    <row r="122" spans="1:17" ht="24" customHeight="1">
      <c r="A122" s="372" t="s">
        <v>299</v>
      </c>
      <c r="B122" s="367"/>
      <c r="C122" s="372" t="s">
        <v>18</v>
      </c>
      <c r="D122" s="366"/>
      <c r="E122" s="366"/>
      <c r="F122" s="367"/>
      <c r="G122" s="365">
        <v>0</v>
      </c>
      <c r="H122" s="366"/>
      <c r="I122" s="367"/>
      <c r="J122" s="365">
        <f>잔액!D25</f>
        <v>0</v>
      </c>
      <c r="K122" s="366"/>
      <c r="L122" s="367"/>
      <c r="M122" s="365">
        <f t="shared" si="5"/>
        <v>0</v>
      </c>
      <c r="N122" s="366"/>
      <c r="O122" s="367"/>
      <c r="P122" s="368" t="b">
        <f t="shared" si="6"/>
        <v>1</v>
      </c>
      <c r="Q122" s="367"/>
    </row>
    <row r="123" spans="1:17" ht="24" customHeight="1">
      <c r="A123" s="372" t="s">
        <v>300</v>
      </c>
      <c r="B123" s="367"/>
      <c r="C123" s="372" t="s">
        <v>18</v>
      </c>
      <c r="D123" s="366"/>
      <c r="E123" s="366"/>
      <c r="F123" s="367"/>
      <c r="G123" s="365">
        <v>50000</v>
      </c>
      <c r="H123" s="366"/>
      <c r="I123" s="367"/>
      <c r="J123" s="365">
        <f>잔액!E25</f>
        <v>50000</v>
      </c>
      <c r="K123" s="366"/>
      <c r="L123" s="367"/>
      <c r="M123" s="365">
        <f t="shared" si="5"/>
        <v>0</v>
      </c>
      <c r="N123" s="366"/>
      <c r="O123" s="367"/>
      <c r="P123" s="368" t="b">
        <f t="shared" si="6"/>
        <v>1</v>
      </c>
      <c r="Q123" s="367"/>
    </row>
    <row r="124" spans="1:17" ht="24" customHeight="1">
      <c r="A124" s="372" t="s">
        <v>301</v>
      </c>
      <c r="B124" s="367"/>
      <c r="C124" s="372" t="s">
        <v>18</v>
      </c>
      <c r="D124" s="366"/>
      <c r="E124" s="366"/>
      <c r="F124" s="367"/>
      <c r="G124" s="365">
        <v>100000</v>
      </c>
      <c r="H124" s="366"/>
      <c r="I124" s="367"/>
      <c r="J124" s="365">
        <f>잔액!F25</f>
        <v>100000</v>
      </c>
      <c r="K124" s="366"/>
      <c r="L124" s="367"/>
      <c r="M124" s="365">
        <f t="shared" si="5"/>
        <v>0</v>
      </c>
      <c r="N124" s="366"/>
      <c r="O124" s="367"/>
      <c r="P124" s="368" t="b">
        <f t="shared" si="6"/>
        <v>1</v>
      </c>
      <c r="Q124" s="367"/>
    </row>
    <row r="125" spans="1:17" ht="24" customHeight="1">
      <c r="A125" s="372" t="s">
        <v>302</v>
      </c>
      <c r="B125" s="367"/>
      <c r="C125" s="372" t="s">
        <v>18</v>
      </c>
      <c r="D125" s="366"/>
      <c r="E125" s="366"/>
      <c r="F125" s="367"/>
      <c r="G125" s="365">
        <v>150000</v>
      </c>
      <c r="H125" s="366"/>
      <c r="I125" s="367"/>
      <c r="J125" s="365">
        <f>잔액!G25</f>
        <v>150000</v>
      </c>
      <c r="K125" s="366"/>
      <c r="L125" s="367"/>
      <c r="M125" s="365">
        <f t="shared" si="5"/>
        <v>0</v>
      </c>
      <c r="N125" s="366"/>
      <c r="O125" s="367"/>
      <c r="P125" s="368" t="b">
        <f t="shared" si="6"/>
        <v>1</v>
      </c>
      <c r="Q125" s="367"/>
    </row>
    <row r="126" spans="1:17" ht="24" customHeight="1">
      <c r="A126" s="372" t="s">
        <v>303</v>
      </c>
      <c r="B126" s="367"/>
      <c r="C126" s="372" t="s">
        <v>18</v>
      </c>
      <c r="D126" s="366"/>
      <c r="E126" s="366"/>
      <c r="F126" s="367"/>
      <c r="G126" s="365">
        <v>200000</v>
      </c>
      <c r="H126" s="366"/>
      <c r="I126" s="367"/>
      <c r="J126" s="365">
        <f>잔액!H25</f>
        <v>200000</v>
      </c>
      <c r="K126" s="366"/>
      <c r="L126" s="367"/>
      <c r="M126" s="365">
        <f t="shared" si="5"/>
        <v>0</v>
      </c>
      <c r="N126" s="366"/>
      <c r="O126" s="367"/>
      <c r="P126" s="368" t="b">
        <f t="shared" si="6"/>
        <v>1</v>
      </c>
      <c r="Q126" s="367"/>
    </row>
    <row r="127" spans="1:17" ht="24" customHeight="1">
      <c r="A127" s="372" t="s">
        <v>304</v>
      </c>
      <c r="B127" s="367"/>
      <c r="C127" s="372" t="s">
        <v>18</v>
      </c>
      <c r="D127" s="366"/>
      <c r="E127" s="366"/>
      <c r="F127" s="367"/>
      <c r="G127" s="365">
        <v>450000</v>
      </c>
      <c r="H127" s="366"/>
      <c r="I127" s="367"/>
      <c r="J127" s="365">
        <f>잔액!I25</f>
        <v>450000</v>
      </c>
      <c r="K127" s="366"/>
      <c r="L127" s="367"/>
      <c r="M127" s="365">
        <f t="shared" si="5"/>
        <v>0</v>
      </c>
      <c r="N127" s="366"/>
      <c r="O127" s="367"/>
      <c r="P127" s="368" t="b">
        <f t="shared" si="6"/>
        <v>1</v>
      </c>
      <c r="Q127" s="367"/>
    </row>
    <row r="128" spans="1:17" ht="24" customHeight="1">
      <c r="A128" s="372" t="s">
        <v>298</v>
      </c>
      <c r="B128" s="367"/>
      <c r="C128" s="372" t="s">
        <v>19</v>
      </c>
      <c r="D128" s="366"/>
      <c r="E128" s="366"/>
      <c r="F128" s="367"/>
      <c r="G128" s="365">
        <v>350000</v>
      </c>
      <c r="H128" s="366"/>
      <c r="I128" s="367"/>
      <c r="J128" s="365">
        <f>잔액!C26</f>
        <v>350000</v>
      </c>
      <c r="K128" s="366"/>
      <c r="L128" s="367"/>
      <c r="M128" s="365">
        <f t="shared" si="5"/>
        <v>0</v>
      </c>
      <c r="N128" s="366"/>
      <c r="O128" s="367"/>
      <c r="P128" s="368" t="b">
        <f t="shared" si="6"/>
        <v>1</v>
      </c>
      <c r="Q128" s="367"/>
    </row>
    <row r="129" spans="1:17" ht="24" customHeight="1">
      <c r="A129" s="372" t="s">
        <v>299</v>
      </c>
      <c r="B129" s="367"/>
      <c r="C129" s="372" t="s">
        <v>19</v>
      </c>
      <c r="D129" s="366"/>
      <c r="E129" s="366"/>
      <c r="F129" s="367"/>
      <c r="G129" s="365">
        <v>350000</v>
      </c>
      <c r="H129" s="366"/>
      <c r="I129" s="367"/>
      <c r="J129" s="365">
        <f>잔액!D26</f>
        <v>350000</v>
      </c>
      <c r="K129" s="366"/>
      <c r="L129" s="367"/>
      <c r="M129" s="365">
        <f t="shared" si="5"/>
        <v>0</v>
      </c>
      <c r="N129" s="366"/>
      <c r="O129" s="367"/>
      <c r="P129" s="368" t="b">
        <f t="shared" si="6"/>
        <v>1</v>
      </c>
      <c r="Q129" s="367"/>
    </row>
    <row r="130" spans="1:17" ht="24" customHeight="1">
      <c r="A130" s="372" t="s">
        <v>300</v>
      </c>
      <c r="B130" s="367"/>
      <c r="C130" s="372" t="s">
        <v>19</v>
      </c>
      <c r="D130" s="366"/>
      <c r="E130" s="366"/>
      <c r="F130" s="367"/>
      <c r="G130" s="365">
        <v>0</v>
      </c>
      <c r="H130" s="366"/>
      <c r="I130" s="367"/>
      <c r="J130" s="365">
        <f>잔액!E26</f>
        <v>0</v>
      </c>
      <c r="K130" s="366"/>
      <c r="L130" s="367"/>
      <c r="M130" s="365">
        <f t="shared" si="5"/>
        <v>0</v>
      </c>
      <c r="N130" s="366"/>
      <c r="O130" s="367"/>
      <c r="P130" s="368" t="b">
        <f t="shared" si="6"/>
        <v>1</v>
      </c>
      <c r="Q130" s="367"/>
    </row>
    <row r="131" spans="1:17" ht="24" customHeight="1">
      <c r="A131" s="372" t="s">
        <v>301</v>
      </c>
      <c r="B131" s="367"/>
      <c r="C131" s="372" t="s">
        <v>19</v>
      </c>
      <c r="D131" s="366"/>
      <c r="E131" s="366"/>
      <c r="F131" s="367"/>
      <c r="G131" s="365">
        <v>0</v>
      </c>
      <c r="H131" s="366"/>
      <c r="I131" s="367"/>
      <c r="J131" s="365">
        <f>잔액!F26</f>
        <v>0</v>
      </c>
      <c r="K131" s="366"/>
      <c r="L131" s="367"/>
      <c r="M131" s="365">
        <f t="shared" si="5"/>
        <v>0</v>
      </c>
      <c r="N131" s="366"/>
      <c r="O131" s="367"/>
      <c r="P131" s="368" t="b">
        <f t="shared" si="6"/>
        <v>1</v>
      </c>
      <c r="Q131" s="367"/>
    </row>
    <row r="132" spans="1:17" ht="24" customHeight="1">
      <c r="A132" s="372" t="s">
        <v>302</v>
      </c>
      <c r="B132" s="367"/>
      <c r="C132" s="372" t="s">
        <v>19</v>
      </c>
      <c r="D132" s="366"/>
      <c r="E132" s="366"/>
      <c r="F132" s="367"/>
      <c r="G132" s="365">
        <v>100000</v>
      </c>
      <c r="H132" s="366"/>
      <c r="I132" s="367"/>
      <c r="J132" s="365">
        <f>잔액!G26</f>
        <v>100000</v>
      </c>
      <c r="K132" s="366"/>
      <c r="L132" s="367"/>
      <c r="M132" s="365">
        <f t="shared" ref="M132:M162" si="7">J132-G132</f>
        <v>0</v>
      </c>
      <c r="N132" s="366"/>
      <c r="O132" s="367"/>
      <c r="P132" s="368" t="b">
        <f t="shared" ref="P132:P162" si="8">M132=0</f>
        <v>1</v>
      </c>
      <c r="Q132" s="367"/>
    </row>
    <row r="133" spans="1:17" ht="24" customHeight="1">
      <c r="A133" s="372" t="s">
        <v>303</v>
      </c>
      <c r="B133" s="367"/>
      <c r="C133" s="372" t="s">
        <v>19</v>
      </c>
      <c r="D133" s="366"/>
      <c r="E133" s="366"/>
      <c r="F133" s="367"/>
      <c r="G133" s="365">
        <v>200000</v>
      </c>
      <c r="H133" s="366"/>
      <c r="I133" s="367"/>
      <c r="J133" s="365">
        <f>잔액!H26</f>
        <v>200000</v>
      </c>
      <c r="K133" s="366"/>
      <c r="L133" s="367"/>
      <c r="M133" s="365">
        <f t="shared" si="7"/>
        <v>0</v>
      </c>
      <c r="N133" s="366"/>
      <c r="O133" s="367"/>
      <c r="P133" s="368" t="b">
        <f t="shared" si="8"/>
        <v>1</v>
      </c>
      <c r="Q133" s="367"/>
    </row>
    <row r="134" spans="1:17" ht="24" customHeight="1">
      <c r="A134" s="372" t="s">
        <v>304</v>
      </c>
      <c r="B134" s="367"/>
      <c r="C134" s="372" t="s">
        <v>19</v>
      </c>
      <c r="D134" s="366"/>
      <c r="E134" s="366"/>
      <c r="F134" s="367"/>
      <c r="G134" s="365">
        <v>300000</v>
      </c>
      <c r="H134" s="366"/>
      <c r="I134" s="367"/>
      <c r="J134" s="365">
        <f>잔액!I26</f>
        <v>300000</v>
      </c>
      <c r="K134" s="366"/>
      <c r="L134" s="367"/>
      <c r="M134" s="365">
        <f t="shared" si="7"/>
        <v>0</v>
      </c>
      <c r="N134" s="366"/>
      <c r="O134" s="367"/>
      <c r="P134" s="368" t="b">
        <f t="shared" si="8"/>
        <v>1</v>
      </c>
      <c r="Q134" s="367"/>
    </row>
    <row r="135" spans="1:17" ht="24" customHeight="1">
      <c r="A135" s="372" t="s">
        <v>298</v>
      </c>
      <c r="B135" s="367"/>
      <c r="C135" s="372" t="s">
        <v>20</v>
      </c>
      <c r="D135" s="366"/>
      <c r="E135" s="366"/>
      <c r="F135" s="367"/>
      <c r="G135" s="365">
        <v>0</v>
      </c>
      <c r="H135" s="366"/>
      <c r="I135" s="367"/>
      <c r="J135" s="365">
        <f>잔액!C27</f>
        <v>0</v>
      </c>
      <c r="K135" s="366"/>
      <c r="L135" s="367"/>
      <c r="M135" s="365">
        <f t="shared" si="7"/>
        <v>0</v>
      </c>
      <c r="N135" s="366"/>
      <c r="O135" s="367"/>
      <c r="P135" s="368" t="b">
        <f t="shared" si="8"/>
        <v>1</v>
      </c>
      <c r="Q135" s="367"/>
    </row>
    <row r="136" spans="1:17" ht="24" customHeight="1">
      <c r="A136" s="372" t="s">
        <v>299</v>
      </c>
      <c r="B136" s="367"/>
      <c r="C136" s="372" t="s">
        <v>20</v>
      </c>
      <c r="D136" s="366"/>
      <c r="E136" s="366"/>
      <c r="F136" s="367"/>
      <c r="G136" s="365">
        <v>0</v>
      </c>
      <c r="H136" s="366"/>
      <c r="I136" s="367"/>
      <c r="J136" s="365">
        <f>잔액!D27</f>
        <v>0</v>
      </c>
      <c r="K136" s="366"/>
      <c r="L136" s="367"/>
      <c r="M136" s="365">
        <f t="shared" si="7"/>
        <v>0</v>
      </c>
      <c r="N136" s="366"/>
      <c r="O136" s="367"/>
      <c r="P136" s="368" t="b">
        <f t="shared" si="8"/>
        <v>1</v>
      </c>
      <c r="Q136" s="367"/>
    </row>
    <row r="137" spans="1:17" ht="24" customHeight="1">
      <c r="A137" s="372" t="s">
        <v>300</v>
      </c>
      <c r="B137" s="367"/>
      <c r="C137" s="372" t="s">
        <v>20</v>
      </c>
      <c r="D137" s="366"/>
      <c r="E137" s="366"/>
      <c r="F137" s="367"/>
      <c r="G137" s="365">
        <v>0</v>
      </c>
      <c r="H137" s="366"/>
      <c r="I137" s="367"/>
      <c r="J137" s="365">
        <f>잔액!E27</f>
        <v>0</v>
      </c>
      <c r="K137" s="366"/>
      <c r="L137" s="367"/>
      <c r="M137" s="365">
        <f t="shared" si="7"/>
        <v>0</v>
      </c>
      <c r="N137" s="366"/>
      <c r="O137" s="367"/>
      <c r="P137" s="368" t="b">
        <f t="shared" si="8"/>
        <v>1</v>
      </c>
      <c r="Q137" s="367"/>
    </row>
    <row r="138" spans="1:17" ht="24" customHeight="1">
      <c r="A138" s="372" t="s">
        <v>301</v>
      </c>
      <c r="B138" s="367"/>
      <c r="C138" s="372" t="s">
        <v>20</v>
      </c>
      <c r="D138" s="366"/>
      <c r="E138" s="366"/>
      <c r="F138" s="367"/>
      <c r="G138" s="365">
        <v>0</v>
      </c>
      <c r="H138" s="366"/>
      <c r="I138" s="367"/>
      <c r="J138" s="365">
        <f>잔액!F27</f>
        <v>0</v>
      </c>
      <c r="K138" s="366"/>
      <c r="L138" s="367"/>
      <c r="M138" s="365">
        <f t="shared" si="7"/>
        <v>0</v>
      </c>
      <c r="N138" s="366"/>
      <c r="O138" s="367"/>
      <c r="P138" s="368" t="b">
        <f t="shared" si="8"/>
        <v>1</v>
      </c>
      <c r="Q138" s="367"/>
    </row>
    <row r="139" spans="1:17" ht="24" customHeight="1">
      <c r="A139" s="372" t="s">
        <v>302</v>
      </c>
      <c r="B139" s="367"/>
      <c r="C139" s="372" t="s">
        <v>20</v>
      </c>
      <c r="D139" s="366"/>
      <c r="E139" s="366"/>
      <c r="F139" s="367"/>
      <c r="G139" s="365">
        <v>0</v>
      </c>
      <c r="H139" s="366"/>
      <c r="I139" s="367"/>
      <c r="J139" s="365">
        <f>잔액!G27</f>
        <v>0</v>
      </c>
      <c r="K139" s="366"/>
      <c r="L139" s="367"/>
      <c r="M139" s="365">
        <f t="shared" si="7"/>
        <v>0</v>
      </c>
      <c r="N139" s="366"/>
      <c r="O139" s="367"/>
      <c r="P139" s="368" t="b">
        <f t="shared" si="8"/>
        <v>1</v>
      </c>
      <c r="Q139" s="367"/>
    </row>
    <row r="140" spans="1:17" ht="24" customHeight="1">
      <c r="A140" s="372" t="s">
        <v>303</v>
      </c>
      <c r="B140" s="367"/>
      <c r="C140" s="372" t="s">
        <v>20</v>
      </c>
      <c r="D140" s="366"/>
      <c r="E140" s="366"/>
      <c r="F140" s="367"/>
      <c r="G140" s="365">
        <v>0</v>
      </c>
      <c r="H140" s="366"/>
      <c r="I140" s="367"/>
      <c r="J140" s="365">
        <f>잔액!H27</f>
        <v>0</v>
      </c>
      <c r="K140" s="366"/>
      <c r="L140" s="367"/>
      <c r="M140" s="365">
        <f t="shared" si="7"/>
        <v>0</v>
      </c>
      <c r="N140" s="366"/>
      <c r="O140" s="367"/>
      <c r="P140" s="368" t="b">
        <f t="shared" si="8"/>
        <v>1</v>
      </c>
      <c r="Q140" s="367"/>
    </row>
    <row r="141" spans="1:17" ht="24" customHeight="1">
      <c r="A141" s="372" t="s">
        <v>304</v>
      </c>
      <c r="B141" s="367"/>
      <c r="C141" s="372" t="s">
        <v>20</v>
      </c>
      <c r="D141" s="366"/>
      <c r="E141" s="366"/>
      <c r="F141" s="367"/>
      <c r="G141" s="365">
        <v>0</v>
      </c>
      <c r="H141" s="366"/>
      <c r="I141" s="367"/>
      <c r="J141" s="365">
        <f>잔액!I27</f>
        <v>0</v>
      </c>
      <c r="K141" s="366"/>
      <c r="L141" s="367"/>
      <c r="M141" s="365">
        <f t="shared" si="7"/>
        <v>0</v>
      </c>
      <c r="N141" s="366"/>
      <c r="O141" s="367"/>
      <c r="P141" s="368" t="b">
        <f t="shared" si="8"/>
        <v>1</v>
      </c>
      <c r="Q141" s="367"/>
    </row>
    <row r="142" spans="1:17" ht="24" customHeight="1">
      <c r="A142" s="372" t="s">
        <v>298</v>
      </c>
      <c r="B142" s="367"/>
      <c r="C142" s="372" t="s">
        <v>21</v>
      </c>
      <c r="D142" s="366"/>
      <c r="E142" s="366"/>
      <c r="F142" s="367"/>
      <c r="G142" s="365">
        <v>21500</v>
      </c>
      <c r="H142" s="366"/>
      <c r="I142" s="367"/>
      <c r="J142" s="365">
        <f>잔액!C28</f>
        <v>21500</v>
      </c>
      <c r="K142" s="366"/>
      <c r="L142" s="367"/>
      <c r="M142" s="365">
        <f t="shared" si="7"/>
        <v>0</v>
      </c>
      <c r="N142" s="366"/>
      <c r="O142" s="367"/>
      <c r="P142" s="368" t="b">
        <f t="shared" si="8"/>
        <v>1</v>
      </c>
      <c r="Q142" s="367"/>
    </row>
    <row r="143" spans="1:17" ht="24" customHeight="1">
      <c r="A143" s="372" t="s">
        <v>299</v>
      </c>
      <c r="B143" s="367"/>
      <c r="C143" s="372" t="s">
        <v>21</v>
      </c>
      <c r="D143" s="366"/>
      <c r="E143" s="366"/>
      <c r="F143" s="367"/>
      <c r="G143" s="365">
        <v>0</v>
      </c>
      <c r="H143" s="366"/>
      <c r="I143" s="367"/>
      <c r="J143" s="365">
        <f>잔액!D28</f>
        <v>0</v>
      </c>
      <c r="K143" s="366"/>
      <c r="L143" s="367"/>
      <c r="M143" s="365">
        <f t="shared" si="7"/>
        <v>0</v>
      </c>
      <c r="N143" s="366"/>
      <c r="O143" s="367"/>
      <c r="P143" s="368" t="b">
        <f t="shared" si="8"/>
        <v>1</v>
      </c>
      <c r="Q143" s="367"/>
    </row>
    <row r="144" spans="1:17" ht="24" customHeight="1">
      <c r="A144" s="372" t="s">
        <v>300</v>
      </c>
      <c r="B144" s="367"/>
      <c r="C144" s="372" t="s">
        <v>21</v>
      </c>
      <c r="D144" s="366"/>
      <c r="E144" s="366"/>
      <c r="F144" s="367"/>
      <c r="G144" s="365">
        <v>0</v>
      </c>
      <c r="H144" s="366"/>
      <c r="I144" s="367"/>
      <c r="J144" s="365">
        <f>잔액!E28</f>
        <v>0</v>
      </c>
      <c r="K144" s="366"/>
      <c r="L144" s="367"/>
      <c r="M144" s="365">
        <f t="shared" si="7"/>
        <v>0</v>
      </c>
      <c r="N144" s="366"/>
      <c r="O144" s="367"/>
      <c r="P144" s="368" t="b">
        <f t="shared" si="8"/>
        <v>1</v>
      </c>
      <c r="Q144" s="367"/>
    </row>
    <row r="145" spans="1:17" ht="24" customHeight="1">
      <c r="A145" s="372" t="s">
        <v>301</v>
      </c>
      <c r="B145" s="367"/>
      <c r="C145" s="372" t="s">
        <v>21</v>
      </c>
      <c r="D145" s="366"/>
      <c r="E145" s="366"/>
      <c r="F145" s="367"/>
      <c r="G145" s="365">
        <v>0</v>
      </c>
      <c r="H145" s="366"/>
      <c r="I145" s="367"/>
      <c r="J145" s="365">
        <f>잔액!F28</f>
        <v>0</v>
      </c>
      <c r="K145" s="366"/>
      <c r="L145" s="367"/>
      <c r="M145" s="365">
        <f t="shared" si="7"/>
        <v>0</v>
      </c>
      <c r="N145" s="366"/>
      <c r="O145" s="367"/>
      <c r="P145" s="368" t="b">
        <f t="shared" si="8"/>
        <v>1</v>
      </c>
      <c r="Q145" s="367"/>
    </row>
    <row r="146" spans="1:17" ht="24" customHeight="1">
      <c r="A146" s="372" t="s">
        <v>302</v>
      </c>
      <c r="B146" s="367"/>
      <c r="C146" s="372" t="s">
        <v>21</v>
      </c>
      <c r="D146" s="366"/>
      <c r="E146" s="366"/>
      <c r="F146" s="367"/>
      <c r="G146" s="365">
        <v>0</v>
      </c>
      <c r="H146" s="366"/>
      <c r="I146" s="367"/>
      <c r="J146" s="365">
        <f>잔액!G28</f>
        <v>0</v>
      </c>
      <c r="K146" s="366"/>
      <c r="L146" s="367"/>
      <c r="M146" s="365">
        <f t="shared" si="7"/>
        <v>0</v>
      </c>
      <c r="N146" s="366"/>
      <c r="O146" s="367"/>
      <c r="P146" s="368" t="b">
        <f t="shared" si="8"/>
        <v>1</v>
      </c>
      <c r="Q146" s="367"/>
    </row>
    <row r="147" spans="1:17" ht="24" customHeight="1">
      <c r="A147" s="372" t="s">
        <v>303</v>
      </c>
      <c r="B147" s="367"/>
      <c r="C147" s="372" t="s">
        <v>21</v>
      </c>
      <c r="D147" s="366"/>
      <c r="E147" s="366"/>
      <c r="F147" s="367"/>
      <c r="G147" s="365">
        <v>0</v>
      </c>
      <c r="H147" s="366"/>
      <c r="I147" s="367"/>
      <c r="J147" s="365">
        <f>잔액!H28</f>
        <v>0</v>
      </c>
      <c r="K147" s="366"/>
      <c r="L147" s="367"/>
      <c r="M147" s="365">
        <f t="shared" si="7"/>
        <v>0</v>
      </c>
      <c r="N147" s="366"/>
      <c r="O147" s="367"/>
      <c r="P147" s="368" t="b">
        <f t="shared" si="8"/>
        <v>1</v>
      </c>
      <c r="Q147" s="367"/>
    </row>
    <row r="148" spans="1:17" ht="24" customHeight="1">
      <c r="A148" s="372" t="s">
        <v>304</v>
      </c>
      <c r="B148" s="367"/>
      <c r="C148" s="372" t="s">
        <v>21</v>
      </c>
      <c r="D148" s="366"/>
      <c r="E148" s="366"/>
      <c r="F148" s="367"/>
      <c r="G148" s="365">
        <v>0</v>
      </c>
      <c r="H148" s="366"/>
      <c r="I148" s="367"/>
      <c r="J148" s="365">
        <f>잔액!I28</f>
        <v>0</v>
      </c>
      <c r="K148" s="366"/>
      <c r="L148" s="367"/>
      <c r="M148" s="365">
        <f t="shared" si="7"/>
        <v>0</v>
      </c>
      <c r="N148" s="366"/>
      <c r="O148" s="367"/>
      <c r="P148" s="368" t="b">
        <f t="shared" si="8"/>
        <v>1</v>
      </c>
      <c r="Q148" s="367"/>
    </row>
    <row r="149" spans="1:17" ht="24" customHeight="1">
      <c r="A149" s="372" t="s">
        <v>298</v>
      </c>
      <c r="B149" s="367"/>
      <c r="C149" s="372" t="s">
        <v>22</v>
      </c>
      <c r="D149" s="366"/>
      <c r="E149" s="366"/>
      <c r="F149" s="367"/>
      <c r="G149" s="365">
        <v>0</v>
      </c>
      <c r="H149" s="366"/>
      <c r="I149" s="367"/>
      <c r="J149" s="365">
        <f>잔액!C29</f>
        <v>0</v>
      </c>
      <c r="K149" s="366"/>
      <c r="L149" s="367"/>
      <c r="M149" s="365">
        <f t="shared" si="7"/>
        <v>0</v>
      </c>
      <c r="N149" s="366"/>
      <c r="O149" s="367"/>
      <c r="P149" s="368" t="b">
        <f t="shared" si="8"/>
        <v>1</v>
      </c>
      <c r="Q149" s="367"/>
    </row>
    <row r="150" spans="1:17" ht="24" customHeight="1">
      <c r="A150" s="372" t="s">
        <v>299</v>
      </c>
      <c r="B150" s="367"/>
      <c r="C150" s="372" t="s">
        <v>22</v>
      </c>
      <c r="D150" s="366"/>
      <c r="E150" s="366"/>
      <c r="F150" s="367"/>
      <c r="G150" s="365">
        <v>2151</v>
      </c>
      <c r="H150" s="366"/>
      <c r="I150" s="367"/>
      <c r="J150" s="365">
        <f>잔액!D29</f>
        <v>2151</v>
      </c>
      <c r="K150" s="366"/>
      <c r="L150" s="367"/>
      <c r="M150" s="365">
        <f t="shared" si="7"/>
        <v>0</v>
      </c>
      <c r="N150" s="366"/>
      <c r="O150" s="367"/>
      <c r="P150" s="368" t="b">
        <f t="shared" si="8"/>
        <v>1</v>
      </c>
      <c r="Q150" s="367"/>
    </row>
    <row r="151" spans="1:17" ht="24" customHeight="1">
      <c r="A151" s="372" t="s">
        <v>300</v>
      </c>
      <c r="B151" s="367"/>
      <c r="C151" s="372" t="s">
        <v>22</v>
      </c>
      <c r="D151" s="366"/>
      <c r="E151" s="366"/>
      <c r="F151" s="367"/>
      <c r="G151" s="365">
        <v>1137</v>
      </c>
      <c r="H151" s="366"/>
      <c r="I151" s="367"/>
      <c r="J151" s="365">
        <f>잔액!E29</f>
        <v>1137</v>
      </c>
      <c r="K151" s="366"/>
      <c r="L151" s="367"/>
      <c r="M151" s="365">
        <f t="shared" si="7"/>
        <v>0</v>
      </c>
      <c r="N151" s="366"/>
      <c r="O151" s="367"/>
      <c r="P151" s="368" t="b">
        <f t="shared" si="8"/>
        <v>1</v>
      </c>
      <c r="Q151" s="367"/>
    </row>
    <row r="152" spans="1:17" ht="24" customHeight="1">
      <c r="A152" s="372" t="s">
        <v>301</v>
      </c>
      <c r="B152" s="367"/>
      <c r="C152" s="372" t="s">
        <v>22</v>
      </c>
      <c r="D152" s="366"/>
      <c r="E152" s="366"/>
      <c r="F152" s="367"/>
      <c r="G152" s="365">
        <v>4897</v>
      </c>
      <c r="H152" s="366"/>
      <c r="I152" s="367"/>
      <c r="J152" s="365">
        <f>잔액!F29</f>
        <v>4897</v>
      </c>
      <c r="K152" s="366"/>
      <c r="L152" s="367"/>
      <c r="M152" s="365">
        <f t="shared" si="7"/>
        <v>0</v>
      </c>
      <c r="N152" s="366"/>
      <c r="O152" s="367"/>
      <c r="P152" s="368" t="b">
        <f t="shared" si="8"/>
        <v>1</v>
      </c>
      <c r="Q152" s="367"/>
    </row>
    <row r="153" spans="1:17" ht="24" customHeight="1">
      <c r="A153" s="372" t="s">
        <v>302</v>
      </c>
      <c r="B153" s="367"/>
      <c r="C153" s="372" t="s">
        <v>22</v>
      </c>
      <c r="D153" s="366"/>
      <c r="E153" s="366"/>
      <c r="F153" s="367"/>
      <c r="G153" s="365">
        <v>27858</v>
      </c>
      <c r="H153" s="366"/>
      <c r="I153" s="367"/>
      <c r="J153" s="365">
        <f>잔액!G29</f>
        <v>27858</v>
      </c>
      <c r="K153" s="366"/>
      <c r="L153" s="367"/>
      <c r="M153" s="365">
        <f t="shared" si="7"/>
        <v>0</v>
      </c>
      <c r="N153" s="366"/>
      <c r="O153" s="367"/>
      <c r="P153" s="368" t="b">
        <f t="shared" si="8"/>
        <v>1</v>
      </c>
      <c r="Q153" s="367"/>
    </row>
    <row r="154" spans="1:17" ht="24" customHeight="1">
      <c r="A154" s="372" t="s">
        <v>303</v>
      </c>
      <c r="B154" s="367"/>
      <c r="C154" s="372" t="s">
        <v>22</v>
      </c>
      <c r="D154" s="366"/>
      <c r="E154" s="366"/>
      <c r="F154" s="367"/>
      <c r="G154" s="365">
        <v>0</v>
      </c>
      <c r="H154" s="366"/>
      <c r="I154" s="367"/>
      <c r="J154" s="365">
        <f>잔액!H29</f>
        <v>0</v>
      </c>
      <c r="K154" s="366"/>
      <c r="L154" s="367"/>
      <c r="M154" s="365">
        <f t="shared" si="7"/>
        <v>0</v>
      </c>
      <c r="N154" s="366"/>
      <c r="O154" s="367"/>
      <c r="P154" s="368" t="b">
        <f t="shared" si="8"/>
        <v>1</v>
      </c>
      <c r="Q154" s="367"/>
    </row>
    <row r="155" spans="1:17" ht="24" customHeight="1">
      <c r="A155" s="372" t="s">
        <v>304</v>
      </c>
      <c r="B155" s="367"/>
      <c r="C155" s="372" t="s">
        <v>22</v>
      </c>
      <c r="D155" s="366"/>
      <c r="E155" s="366"/>
      <c r="F155" s="367"/>
      <c r="G155" s="365">
        <v>0</v>
      </c>
      <c r="H155" s="366"/>
      <c r="I155" s="367"/>
      <c r="J155" s="365">
        <f>잔액!I29</f>
        <v>0</v>
      </c>
      <c r="K155" s="366"/>
      <c r="L155" s="367"/>
      <c r="M155" s="365">
        <f t="shared" si="7"/>
        <v>0</v>
      </c>
      <c r="N155" s="366"/>
      <c r="O155" s="367"/>
      <c r="P155" s="368" t="b">
        <f t="shared" si="8"/>
        <v>1</v>
      </c>
      <c r="Q155" s="367"/>
    </row>
    <row r="156" spans="1:17" ht="24" customHeight="1">
      <c r="A156" s="372" t="s">
        <v>298</v>
      </c>
      <c r="B156" s="367"/>
      <c r="C156" s="372" t="s">
        <v>23</v>
      </c>
      <c r="D156" s="366"/>
      <c r="E156" s="366"/>
      <c r="F156" s="367"/>
      <c r="G156" s="365">
        <v>2042224</v>
      </c>
      <c r="H156" s="366"/>
      <c r="I156" s="367"/>
      <c r="J156" s="365">
        <f>잔액!C30</f>
        <v>2042224</v>
      </c>
      <c r="K156" s="366"/>
      <c r="L156" s="367"/>
      <c r="M156" s="365">
        <f t="shared" si="7"/>
        <v>0</v>
      </c>
      <c r="N156" s="366"/>
      <c r="O156" s="367"/>
      <c r="P156" s="368" t="b">
        <f t="shared" si="8"/>
        <v>1</v>
      </c>
      <c r="Q156" s="367"/>
    </row>
    <row r="157" spans="1:17" ht="24" customHeight="1">
      <c r="A157" s="372" t="s">
        <v>299</v>
      </c>
      <c r="B157" s="367"/>
      <c r="C157" s="372" t="s">
        <v>23</v>
      </c>
      <c r="D157" s="366"/>
      <c r="E157" s="366"/>
      <c r="F157" s="367"/>
      <c r="G157" s="365">
        <v>2548910</v>
      </c>
      <c r="H157" s="366"/>
      <c r="I157" s="367"/>
      <c r="J157" s="365">
        <f>잔액!D30</f>
        <v>2548910</v>
      </c>
      <c r="K157" s="366"/>
      <c r="L157" s="367"/>
      <c r="M157" s="365">
        <f t="shared" si="7"/>
        <v>0</v>
      </c>
      <c r="N157" s="366"/>
      <c r="O157" s="367"/>
      <c r="P157" s="368" t="b">
        <f t="shared" si="8"/>
        <v>1</v>
      </c>
      <c r="Q157" s="367"/>
    </row>
    <row r="158" spans="1:17" ht="24" customHeight="1">
      <c r="A158" s="372" t="s">
        <v>300</v>
      </c>
      <c r="B158" s="367"/>
      <c r="C158" s="372" t="s">
        <v>23</v>
      </c>
      <c r="D158" s="366"/>
      <c r="E158" s="366"/>
      <c r="F158" s="367"/>
      <c r="G158" s="365">
        <v>2042174</v>
      </c>
      <c r="H158" s="366"/>
      <c r="I158" s="367"/>
      <c r="J158" s="365">
        <f>잔액!E30</f>
        <v>2042174</v>
      </c>
      <c r="K158" s="366"/>
      <c r="L158" s="367"/>
      <c r="M158" s="365">
        <f t="shared" si="7"/>
        <v>0</v>
      </c>
      <c r="N158" s="366"/>
      <c r="O158" s="367"/>
      <c r="P158" s="368" t="b">
        <f t="shared" si="8"/>
        <v>1</v>
      </c>
      <c r="Q158" s="367"/>
    </row>
    <row r="159" spans="1:17" ht="24" customHeight="1">
      <c r="A159" s="372" t="s">
        <v>301</v>
      </c>
      <c r="B159" s="367"/>
      <c r="C159" s="372" t="s">
        <v>23</v>
      </c>
      <c r="D159" s="366"/>
      <c r="E159" s="366"/>
      <c r="F159" s="367"/>
      <c r="G159" s="365">
        <v>6188750</v>
      </c>
      <c r="H159" s="366"/>
      <c r="I159" s="367"/>
      <c r="J159" s="365">
        <f>잔액!F30</f>
        <v>6188750</v>
      </c>
      <c r="K159" s="366"/>
      <c r="L159" s="367"/>
      <c r="M159" s="365">
        <f t="shared" si="7"/>
        <v>0</v>
      </c>
      <c r="N159" s="366"/>
      <c r="O159" s="367"/>
      <c r="P159" s="368" t="b">
        <f t="shared" si="8"/>
        <v>1</v>
      </c>
      <c r="Q159" s="367"/>
    </row>
    <row r="160" spans="1:17" ht="24" customHeight="1">
      <c r="A160" s="372" t="s">
        <v>302</v>
      </c>
      <c r="B160" s="367"/>
      <c r="C160" s="372" t="s">
        <v>23</v>
      </c>
      <c r="D160" s="366"/>
      <c r="E160" s="366"/>
      <c r="F160" s="367"/>
      <c r="G160" s="365">
        <v>11338850</v>
      </c>
      <c r="H160" s="366"/>
      <c r="I160" s="367"/>
      <c r="J160" s="365">
        <f>잔액!G30</f>
        <v>11338850</v>
      </c>
      <c r="K160" s="366"/>
      <c r="L160" s="367"/>
      <c r="M160" s="365">
        <f t="shared" si="7"/>
        <v>0</v>
      </c>
      <c r="N160" s="366"/>
      <c r="O160" s="367"/>
      <c r="P160" s="368" t="b">
        <f t="shared" si="8"/>
        <v>1</v>
      </c>
      <c r="Q160" s="367"/>
    </row>
    <row r="161" spans="1:17" ht="24" customHeight="1">
      <c r="A161" s="372" t="s">
        <v>303</v>
      </c>
      <c r="B161" s="367"/>
      <c r="C161" s="372" t="s">
        <v>23</v>
      </c>
      <c r="D161" s="366"/>
      <c r="E161" s="366"/>
      <c r="F161" s="367"/>
      <c r="G161" s="365">
        <v>9495719</v>
      </c>
      <c r="H161" s="366"/>
      <c r="I161" s="367"/>
      <c r="J161" s="365">
        <f>잔액!H30</f>
        <v>9495719</v>
      </c>
      <c r="K161" s="366"/>
      <c r="L161" s="367"/>
      <c r="M161" s="365">
        <f t="shared" si="7"/>
        <v>0</v>
      </c>
      <c r="N161" s="366"/>
      <c r="O161" s="367"/>
      <c r="P161" s="368" t="b">
        <f t="shared" si="8"/>
        <v>1</v>
      </c>
      <c r="Q161" s="367"/>
    </row>
    <row r="162" spans="1:17" ht="24" customHeight="1">
      <c r="A162" s="372" t="s">
        <v>304</v>
      </c>
      <c r="B162" s="367"/>
      <c r="C162" s="372" t="s">
        <v>23</v>
      </c>
      <c r="D162" s="366"/>
      <c r="E162" s="366"/>
      <c r="F162" s="367"/>
      <c r="G162" s="365">
        <v>0</v>
      </c>
      <c r="H162" s="366"/>
      <c r="I162" s="367"/>
      <c r="J162" s="365">
        <f>잔액!I30</f>
        <v>0</v>
      </c>
      <c r="K162" s="366"/>
      <c r="L162" s="367"/>
      <c r="M162" s="365">
        <f t="shared" si="7"/>
        <v>0</v>
      </c>
      <c r="N162" s="366"/>
      <c r="O162" s="367"/>
      <c r="P162" s="368" t="b">
        <f t="shared" si="8"/>
        <v>1</v>
      </c>
      <c r="Q162" s="367"/>
    </row>
    <row r="164" spans="1:17">
      <c r="A164" s="374" t="s">
        <v>324</v>
      </c>
      <c r="B164" s="375"/>
      <c r="C164" s="375"/>
      <c r="D164" s="375"/>
      <c r="E164" s="375"/>
      <c r="F164" s="375"/>
      <c r="G164" s="375"/>
      <c r="H164" s="375"/>
      <c r="I164" s="375"/>
      <c r="J164" s="375"/>
      <c r="K164" s="375"/>
      <c r="L164" s="375"/>
      <c r="M164" s="375"/>
      <c r="N164" s="375"/>
      <c r="O164" s="375"/>
      <c r="P164" s="375"/>
      <c r="Q164" s="376"/>
    </row>
    <row r="165" spans="1:17">
      <c r="A165" s="377"/>
      <c r="B165" s="378"/>
      <c r="C165" s="378"/>
      <c r="D165" s="378"/>
      <c r="E165" s="378"/>
      <c r="F165" s="378"/>
      <c r="G165" s="378"/>
      <c r="H165" s="378"/>
      <c r="I165" s="378"/>
      <c r="J165" s="378"/>
      <c r="K165" s="378"/>
      <c r="L165" s="378"/>
      <c r="M165" s="378"/>
      <c r="N165" s="378"/>
      <c r="O165" s="378"/>
      <c r="P165" s="378"/>
      <c r="Q165" s="379"/>
    </row>
    <row r="167" spans="1:17">
      <c r="A167" s="373" t="s">
        <v>325</v>
      </c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7"/>
    </row>
    <row r="168" spans="1:17" ht="25" customHeight="1">
      <c r="A168" s="372" t="s">
        <v>326</v>
      </c>
      <c r="B168" s="366"/>
      <c r="C168" s="366"/>
      <c r="D168" s="366"/>
      <c r="E168" s="366"/>
      <c r="F168" s="366"/>
      <c r="G168" s="366"/>
      <c r="H168" s="367"/>
      <c r="I168" s="365">
        <f>잔액!I32</f>
        <v>8538603</v>
      </c>
      <c r="J168" s="366"/>
      <c r="K168" s="366"/>
      <c r="L168" s="367"/>
      <c r="M168" s="368" t="b">
        <f>I168=8538603</f>
        <v>1</v>
      </c>
      <c r="N168" s="366"/>
      <c r="O168" s="366"/>
      <c r="P168" s="366"/>
      <c r="Q168" s="367"/>
    </row>
    <row r="169" spans="1:17" ht="25" customHeight="1">
      <c r="A169" s="372" t="s">
        <v>327</v>
      </c>
      <c r="B169" s="366"/>
      <c r="C169" s="366"/>
      <c r="D169" s="366"/>
      <c r="E169" s="366"/>
      <c r="F169" s="366"/>
      <c r="G169" s="366"/>
      <c r="H169" s="367"/>
      <c r="I169" s="365">
        <f>SUMIFS(RAW!G2323:G2466,RAW!R2323:R2466,"WRAP",RAW!S2323:S2466,"입금")</f>
        <v>9092</v>
      </c>
      <c r="J169" s="366"/>
      <c r="K169" s="366"/>
      <c r="L169" s="367"/>
      <c r="M169" s="368" t="b">
        <f>I169=9092</f>
        <v>1</v>
      </c>
      <c r="N169" s="366"/>
      <c r="O169" s="366"/>
      <c r="P169" s="366"/>
      <c r="Q169" s="367"/>
    </row>
    <row r="170" spans="1:17" ht="25" customHeight="1">
      <c r="A170" s="372" t="s">
        <v>328</v>
      </c>
      <c r="B170" s="366"/>
      <c r="C170" s="366"/>
      <c r="D170" s="366"/>
      <c r="E170" s="366"/>
      <c r="F170" s="366"/>
      <c r="G170" s="366"/>
      <c r="H170" s="367"/>
      <c r="I170" s="365">
        <f>SUMIFS(RAW!G2323:G2466,RAW!R2323:R2466,"WRAP",RAW!S2323:S2466,"이체입금")</f>
        <v>687510</v>
      </c>
      <c r="J170" s="366"/>
      <c r="K170" s="366"/>
      <c r="L170" s="367"/>
      <c r="M170" s="368" t="b">
        <f>I170=687510</f>
        <v>1</v>
      </c>
      <c r="N170" s="366"/>
      <c r="O170" s="366"/>
      <c r="P170" s="366"/>
      <c r="Q170" s="367"/>
    </row>
    <row r="171" spans="1:17" ht="25" customHeight="1">
      <c r="A171" s="372" t="s">
        <v>329</v>
      </c>
      <c r="B171" s="366"/>
      <c r="C171" s="366"/>
      <c r="D171" s="366"/>
      <c r="E171" s="366"/>
      <c r="F171" s="366"/>
      <c r="G171" s="366"/>
      <c r="H171" s="367"/>
      <c r="I171" s="365">
        <f>SUMIFS(RAW!G2323:G2466,RAW!R2323:R2466,"WRAP",RAW!S2323:S2466,"이체출금")</f>
        <v>2537839</v>
      </c>
      <c r="J171" s="366"/>
      <c r="K171" s="366"/>
      <c r="L171" s="367"/>
      <c r="M171" s="368" t="b">
        <f>I171=2537839</f>
        <v>1</v>
      </c>
      <c r="N171" s="366"/>
      <c r="O171" s="366"/>
      <c r="P171" s="366"/>
      <c r="Q171" s="367"/>
    </row>
    <row r="172" spans="1:17" ht="25" customHeight="1">
      <c r="A172" s="372" t="s">
        <v>330</v>
      </c>
      <c r="B172" s="366"/>
      <c r="C172" s="366"/>
      <c r="D172" s="366"/>
      <c r="E172" s="366"/>
      <c r="F172" s="366"/>
      <c r="G172" s="366"/>
      <c r="H172" s="367"/>
      <c r="I172" s="365">
        <f>SUMIFS(RAW!G2323:G2466,RAW!R2323:R2466,"WRAP",RAW!S2323:S2466,"출금")</f>
        <v>11900</v>
      </c>
      <c r="J172" s="366"/>
      <c r="K172" s="366"/>
      <c r="L172" s="367"/>
      <c r="M172" s="368" t="b">
        <f>I172=11900</f>
        <v>1</v>
      </c>
      <c r="N172" s="366"/>
      <c r="O172" s="366"/>
      <c r="P172" s="366"/>
      <c r="Q172" s="367"/>
    </row>
    <row r="173" spans="1:17" ht="25" customHeight="1">
      <c r="A173" s="372" t="s">
        <v>331</v>
      </c>
      <c r="B173" s="366"/>
      <c r="C173" s="366"/>
      <c r="D173" s="366"/>
      <c r="E173" s="366"/>
      <c r="F173" s="366"/>
      <c r="G173" s="366"/>
      <c r="H173" s="367"/>
      <c r="I173" s="365">
        <f>COUNTIFS(잔액!A231:A242,"&lt;&gt;",잔액!J231:J242,"&lt;&gt;미래에셋_WRAP형CMA",잔액!K231:K242,"&lt;&gt;미래에셋_WRAP형CMA")</f>
        <v>0</v>
      </c>
      <c r="J173" s="366"/>
      <c r="K173" s="366"/>
      <c r="L173" s="367"/>
      <c r="M173" s="368" t="b">
        <f>I173=0</f>
        <v>1</v>
      </c>
      <c r="N173" s="366"/>
      <c r="O173" s="366"/>
      <c r="P173" s="366"/>
      <c r="Q173" s="367"/>
    </row>
    <row r="174" spans="1:17" ht="25" customHeight="1">
      <c r="A174" s="372" t="s">
        <v>332</v>
      </c>
      <c r="B174" s="366"/>
      <c r="C174" s="366"/>
      <c r="D174" s="366"/>
      <c r="E174" s="366"/>
      <c r="F174" s="366"/>
      <c r="G174" s="366"/>
      <c r="H174" s="367"/>
      <c r="I174" s="365">
        <f>I168+I169+I170-I171-I172</f>
        <v>6685466</v>
      </c>
      <c r="J174" s="366"/>
      <c r="K174" s="366"/>
      <c r="L174" s="367"/>
      <c r="M174" s="368" t="b">
        <f>I174=6685466</f>
        <v>1</v>
      </c>
      <c r="N174" s="366"/>
      <c r="O174" s="366"/>
      <c r="P174" s="366"/>
      <c r="Q174" s="367"/>
    </row>
    <row r="175" spans="1:17" ht="25" customHeight="1">
      <c r="A175" s="372" t="s">
        <v>333</v>
      </c>
      <c r="B175" s="366"/>
      <c r="C175" s="366"/>
      <c r="D175" s="366"/>
      <c r="E175" s="366"/>
      <c r="F175" s="366"/>
      <c r="G175" s="366"/>
      <c r="H175" s="367"/>
      <c r="I175" s="365">
        <f>잔액!J32-I174</f>
        <v>0</v>
      </c>
      <c r="J175" s="366"/>
      <c r="K175" s="366"/>
      <c r="L175" s="367"/>
      <c r="M175" s="368" t="b">
        <f>I175=0</f>
        <v>1</v>
      </c>
      <c r="N175" s="366"/>
      <c r="O175" s="366"/>
      <c r="P175" s="366"/>
      <c r="Q175" s="367"/>
    </row>
    <row r="178" spans="1:17" ht="30" customHeight="1">
      <c r="A178" s="398" t="s">
        <v>334</v>
      </c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2"/>
    </row>
    <row r="179" spans="1:17" ht="28" customHeight="1">
      <c r="A179" s="359" t="s">
        <v>335</v>
      </c>
      <c r="B179" s="381"/>
      <c r="C179" s="381"/>
      <c r="D179" s="381"/>
      <c r="E179" s="381"/>
      <c r="F179" s="381"/>
      <c r="G179" s="381"/>
      <c r="H179" s="382"/>
      <c r="I179" s="380">
        <f>'_예비비계산'!J72</f>
        <v>0</v>
      </c>
      <c r="J179" s="381"/>
      <c r="K179" s="381"/>
      <c r="L179" s="382"/>
      <c r="M179" s="386" t="b">
        <f>'_예비비계산'!L72</f>
        <v>1</v>
      </c>
      <c r="N179" s="381"/>
      <c r="O179" s="381"/>
      <c r="P179" s="381"/>
      <c r="Q179" s="382"/>
    </row>
    <row r="180" spans="1:17" ht="28" customHeight="1">
      <c r="A180" s="359" t="s">
        <v>336</v>
      </c>
      <c r="B180" s="381"/>
      <c r="C180" s="381"/>
      <c r="D180" s="381"/>
      <c r="E180" s="381"/>
      <c r="F180" s="381"/>
      <c r="G180" s="381"/>
      <c r="H180" s="382"/>
      <c r="I180" s="380">
        <f>'_예비비계산'!J73</f>
        <v>1400000</v>
      </c>
      <c r="J180" s="381"/>
      <c r="K180" s="381"/>
      <c r="L180" s="382"/>
      <c r="M180" s="386" t="b">
        <f>'_예비비계산'!L73</f>
        <v>1</v>
      </c>
      <c r="N180" s="381"/>
      <c r="O180" s="381"/>
      <c r="P180" s="381"/>
      <c r="Q180" s="382"/>
    </row>
    <row r="181" spans="1:17" ht="28" customHeight="1">
      <c r="A181" s="359" t="s">
        <v>337</v>
      </c>
      <c r="B181" s="381"/>
      <c r="C181" s="381"/>
      <c r="D181" s="381"/>
      <c r="E181" s="381"/>
      <c r="F181" s="381"/>
      <c r="G181" s="381"/>
      <c r="H181" s="382"/>
      <c r="I181" s="380">
        <f>'_예비비계산'!J74</f>
        <v>450000</v>
      </c>
      <c r="J181" s="381"/>
      <c r="K181" s="381"/>
      <c r="L181" s="382"/>
      <c r="M181" s="386" t="b">
        <f>'_예비비계산'!L74</f>
        <v>1</v>
      </c>
      <c r="N181" s="381"/>
      <c r="O181" s="381"/>
      <c r="P181" s="381"/>
      <c r="Q181" s="382"/>
    </row>
    <row r="182" spans="1:17" ht="28" customHeight="1">
      <c r="A182" s="359" t="s">
        <v>338</v>
      </c>
      <c r="B182" s="381"/>
      <c r="C182" s="381"/>
      <c r="D182" s="381"/>
      <c r="E182" s="381"/>
      <c r="F182" s="381"/>
      <c r="G182" s="381"/>
      <c r="H182" s="382"/>
      <c r="I182" s="380">
        <f>'_예비비계산'!J75</f>
        <v>300000</v>
      </c>
      <c r="J182" s="381"/>
      <c r="K182" s="381"/>
      <c r="L182" s="382"/>
      <c r="M182" s="386" t="b">
        <f>'_예비비계산'!L75</f>
        <v>1</v>
      </c>
      <c r="N182" s="381"/>
      <c r="O182" s="381"/>
      <c r="P182" s="381"/>
      <c r="Q182" s="382"/>
    </row>
    <row r="183" spans="1:17" ht="28" customHeight="1">
      <c r="A183" s="359" t="s">
        <v>339</v>
      </c>
      <c r="B183" s="381"/>
      <c r="C183" s="381"/>
      <c r="D183" s="381"/>
      <c r="E183" s="381"/>
      <c r="F183" s="381"/>
      <c r="G183" s="381"/>
      <c r="H183" s="382"/>
      <c r="I183" s="380">
        <f>'_예비비계산'!J76</f>
        <v>0</v>
      </c>
      <c r="J183" s="381"/>
      <c r="K183" s="381"/>
      <c r="L183" s="382"/>
      <c r="M183" s="386" t="b">
        <f>'_예비비계산'!L76</f>
        <v>1</v>
      </c>
      <c r="N183" s="381"/>
      <c r="O183" s="381"/>
      <c r="P183" s="381"/>
      <c r="Q183" s="382"/>
    </row>
    <row r="184" spans="1:17" ht="28" customHeight="1">
      <c r="A184" s="359" t="s">
        <v>340</v>
      </c>
      <c r="B184" s="381"/>
      <c r="C184" s="381"/>
      <c r="D184" s="381"/>
      <c r="E184" s="381"/>
      <c r="F184" s="381"/>
      <c r="G184" s="381"/>
      <c r="H184" s="382"/>
      <c r="I184" s="380">
        <f>'_예비비계산'!J77</f>
        <v>2150000</v>
      </c>
      <c r="J184" s="381"/>
      <c r="K184" s="381"/>
      <c r="L184" s="382"/>
      <c r="M184" s="386" t="b">
        <f>I184='_예비비계산'!G3</f>
        <v>1</v>
      </c>
      <c r="N184" s="381"/>
      <c r="O184" s="381"/>
      <c r="P184" s="381"/>
      <c r="Q184" s="382"/>
    </row>
    <row r="185" spans="1:17" ht="28" customHeight="1">
      <c r="A185" s="359" t="s">
        <v>341</v>
      </c>
      <c r="B185" s="381"/>
      <c r="C185" s="381"/>
      <c r="D185" s="381"/>
      <c r="E185" s="381"/>
      <c r="F185" s="381"/>
      <c r="G185" s="381"/>
      <c r="H185" s="382"/>
      <c r="I185" s="380">
        <f>'_예비비계산'!J77-SUM('_예비비계산'!B77,'_예비비계산'!D77,'_예비비계산'!F77,'_예비비계산'!H77)</f>
        <v>0</v>
      </c>
      <c r="J185" s="381"/>
      <c r="K185" s="381"/>
      <c r="L185" s="382"/>
      <c r="M185" s="386" t="b">
        <f>I185=0</f>
        <v>1</v>
      </c>
      <c r="N185" s="381"/>
      <c r="O185" s="381"/>
      <c r="P185" s="381"/>
      <c r="Q185" s="382"/>
    </row>
    <row r="186" spans="1:17" ht="28" customHeight="1">
      <c r="A186" s="359" t="s">
        <v>342</v>
      </c>
      <c r="B186" s="381"/>
      <c r="C186" s="381"/>
      <c r="D186" s="381"/>
      <c r="E186" s="381"/>
      <c r="F186" s="381"/>
      <c r="G186" s="381"/>
      <c r="H186" s="382"/>
      <c r="I186" s="380">
        <f>'_예비비계산'!W19-('_예비비계산'!U18-'_예비비계산'!V19-'_예비비계산'!W32)</f>
        <v>0</v>
      </c>
      <c r="J186" s="381"/>
      <c r="K186" s="381"/>
      <c r="L186" s="382"/>
      <c r="M186" s="386" t="b">
        <f>I186=0</f>
        <v>1</v>
      </c>
      <c r="N186" s="381"/>
      <c r="O186" s="381"/>
      <c r="P186" s="381"/>
      <c r="Q186" s="382"/>
    </row>
    <row r="188" spans="1:17" ht="23" customHeight="1">
      <c r="A188" s="359" t="s">
        <v>343</v>
      </c>
      <c r="B188" s="360"/>
      <c r="C188" s="360"/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60"/>
      <c r="Q188" s="361"/>
    </row>
    <row r="189" spans="1:17" ht="23" customHeight="1">
      <c r="A189" s="362"/>
      <c r="B189" s="363"/>
      <c r="C189" s="363"/>
      <c r="D189" s="363"/>
      <c r="E189" s="363"/>
      <c r="F189" s="363"/>
      <c r="G189" s="363"/>
      <c r="H189" s="363"/>
      <c r="I189" s="363"/>
      <c r="J189" s="363"/>
      <c r="K189" s="363"/>
      <c r="L189" s="363"/>
      <c r="M189" s="363"/>
      <c r="N189" s="363"/>
      <c r="O189" s="363"/>
      <c r="P189" s="363"/>
      <c r="Q189" s="364"/>
    </row>
    <row r="191">
      <c r="A191" t="inlineStr">
        <is>
          <t xml:space="preserve">예비비 현황·계획·이체 연결 검증</t>
        </is>
      </c>
    </row>
    <row r="193" spans="1:17" ht="25" customHeight="1">
      <c r="A193" s="372" t="inlineStr">
        <is>
          <t xml:space="preserve">사용·정산 등록 오류</t>
        </is>
      </c>
      <c r="B193" s="366"/>
      <c r="C193" s="366"/>
      <c r="D193" s="366"/>
      <c r="E193" s="366"/>
      <c r="F193" s="366"/>
      <c r="G193" s="366"/>
      <c r="H193" s="367"/>
      <c r="I193" s="365">
        <f>COUNTIF(예비비!$R$100:$R$399,"확인*")+COUNTIF(예비비!$N$430:$N$729,"확인*")</f>
        <v>0</v>
      </c>
      <c r="J193" s="366"/>
      <c r="K193" s="366"/>
      <c r="L193" s="367"/>
      <c r="M193" s="368" t="b">
        <f>I193=0</f>
        <v>1</v>
      </c>
      <c r="N193" s="366"/>
      <c r="O193" s="366"/>
      <c r="P193" s="366"/>
      <c r="Q193" s="367"/>
    </row>
    <row r="194" spans="1:17" ht="25" customHeight="1">
      <c r="A194" s="372" t="inlineStr">
        <is>
          <t xml:space="preserve">원장잔액 = 사용가능 + 정산대기</t>
        </is>
      </c>
      <c r="B194" s="366"/>
      <c r="C194" s="366"/>
      <c r="D194" s="366"/>
      <c r="E194" s="366"/>
      <c r="F194" s="366"/>
      <c r="G194" s="366"/>
      <c r="H194" s="367"/>
      <c r="I194" s="365">
        <f>IF(ISNUMBER(예비비!C13),예비비!C13-예비비!F13-예비비!I13,0)</f>
        <v>0</v>
      </c>
      <c r="J194" s="366"/>
      <c r="K194" s="366"/>
      <c r="L194" s="367"/>
      <c r="M194" s="368" t="b">
        <f>I194=0</f>
        <v>1</v>
      </c>
      <c r="N194" s="366"/>
      <c r="O194" s="366"/>
      <c r="P194" s="366"/>
      <c r="Q194" s="367"/>
    </row>
    <row r="195" spans="1:17" ht="25" customHeight="1">
      <c r="A195" s="372" t="inlineStr">
        <is>
          <t xml:space="preserve">예비비 월 사용 ↔ 월간 내역</t>
        </is>
      </c>
      <c r="B195" s="366"/>
      <c r="C195" s="366"/>
      <c r="D195" s="366"/>
      <c r="E195" s="366"/>
      <c r="F195" s="366"/>
      <c r="G195" s="366"/>
      <c r="H195" s="367"/>
      <c r="I195" s="365">
        <f>예비비!L13-SUM(INDIRECT("'"&amp;MONTH(예비비!$B$3)&amp;"월'!N64:N68"))</f>
        <v>0</v>
      </c>
      <c r="J195" s="366"/>
      <c r="K195" s="366"/>
      <c r="L195" s="367"/>
      <c r="M195" s="368" t="b">
        <f>I195=0</f>
        <v>1</v>
      </c>
      <c r="N195" s="366"/>
      <c r="O195" s="366"/>
      <c r="P195" s="366"/>
      <c r="Q195" s="367"/>
    </row>
    <row r="196" spans="1:17" ht="25" customHeight="1">
      <c r="A196" s="372" t="inlineStr">
        <is>
          <t xml:space="preserve">예비비 월 계획 ↔ 월간 계획</t>
        </is>
      </c>
      <c r="B196" s="366"/>
      <c r="C196" s="366"/>
      <c r="D196" s="366"/>
      <c r="E196" s="366"/>
      <c r="F196" s="366"/>
      <c r="G196" s="366"/>
      <c r="H196" s="367"/>
      <c r="I196" s="365">
        <f>SUM(INDEX(예비비!$D$20:$O$28,0,MONTH(예비비!$B$3)))-INDIRECT("'"&amp;MONTH(예비비!$B$3)&amp;"월'!M53")</f>
        <v>0</v>
      </c>
      <c r="J196" s="366"/>
      <c r="K196" s="366"/>
      <c r="L196" s="367"/>
      <c r="M196" s="368" t="b">
        <f>I196=0</f>
        <v>1</v>
      </c>
      <c r="N196" s="366"/>
      <c r="O196" s="366"/>
      <c r="P196" s="366"/>
      <c r="Q196" s="367"/>
    </row>
  </sheetData>
  <autoFilter ref="A4:Q16" xr:uid="{00000000-0009-0000-0000-000001000000}"/>
  <mergeCells count="577">
    <mergeCell ref="A181:H181"/>
    <mergeCell ref="G117:I117"/>
    <mergeCell ref="A125:B125"/>
    <mergeCell ref="C118:F118"/>
    <mergeCell ref="J156:L156"/>
    <mergeCell ref="M179:Q179"/>
    <mergeCell ref="A112:B112"/>
    <mergeCell ref="J131:L131"/>
    <mergeCell ref="A52:H52"/>
    <mergeCell ref="J155:L155"/>
    <mergeCell ref="G132:I132"/>
    <mergeCell ref="A127:B127"/>
    <mergeCell ref="A114:B114"/>
    <mergeCell ref="G162:I162"/>
    <mergeCell ref="A138:B138"/>
    <mergeCell ref="A132:B132"/>
    <mergeCell ref="A168:H168"/>
    <mergeCell ref="J100:L100"/>
    <mergeCell ref="M139:O139"/>
    <mergeCell ref="G148:I148"/>
    <mergeCell ref="M88:Q88"/>
    <mergeCell ref="M82:Q82"/>
    <mergeCell ref="C154:F154"/>
    <mergeCell ref="G114:I114"/>
    <mergeCell ref="M90:Q90"/>
    <mergeCell ref="J125:L125"/>
    <mergeCell ref="C156:F156"/>
    <mergeCell ref="P145:Q145"/>
    <mergeCell ref="G143:I143"/>
    <mergeCell ref="G99:I99"/>
    <mergeCell ref="P160:Q160"/>
    <mergeCell ref="J154:L154"/>
    <mergeCell ref="P147:Q147"/>
    <mergeCell ref="C103:F103"/>
    <mergeCell ref="P122:Q122"/>
    <mergeCell ref="J120:L120"/>
    <mergeCell ref="G130:I130"/>
    <mergeCell ref="M186:Q186"/>
    <mergeCell ref="I35:L35"/>
    <mergeCell ref="A64:H64"/>
    <mergeCell ref="P119:Q119"/>
    <mergeCell ref="M149:O149"/>
    <mergeCell ref="J104:L104"/>
    <mergeCell ref="I172:L172"/>
    <mergeCell ref="A178:Q178"/>
    <mergeCell ref="G108:I108"/>
    <mergeCell ref="M124:O124"/>
    <mergeCell ref="C102:F102"/>
    <mergeCell ref="A77:D77"/>
    <mergeCell ref="M151:O151"/>
    <mergeCell ref="M126:O126"/>
    <mergeCell ref="C160:F160"/>
    <mergeCell ref="C141:F141"/>
    <mergeCell ref="G109:I109"/>
    <mergeCell ref="J129:L129"/>
    <mergeCell ref="A104:B104"/>
    <mergeCell ref="J110:L110"/>
    <mergeCell ref="M77:Q77"/>
    <mergeCell ref="C143:F143"/>
    <mergeCell ref="G111:I111"/>
    <mergeCell ref="I175:L175"/>
    <mergeCell ref="A188:Q189"/>
    <mergeCell ref="M69:Q69"/>
    <mergeCell ref="A172:H172"/>
    <mergeCell ref="M136:O136"/>
    <mergeCell ref="P124:Q124"/>
    <mergeCell ref="A25:Q25"/>
    <mergeCell ref="J106:L106"/>
    <mergeCell ref="J133:L133"/>
    <mergeCell ref="M134:O134"/>
    <mergeCell ref="P126:Q126"/>
    <mergeCell ref="G159:I159"/>
    <mergeCell ref="M121:O121"/>
    <mergeCell ref="G134:I134"/>
    <mergeCell ref="M37:Q37"/>
    <mergeCell ref="C147:F147"/>
    <mergeCell ref="A116:B116"/>
    <mergeCell ref="J135:L135"/>
    <mergeCell ref="G161:I161"/>
    <mergeCell ref="J122:L122"/>
    <mergeCell ref="M185:Q185"/>
    <mergeCell ref="M38:Q38"/>
    <mergeCell ref="C148:F148"/>
    <mergeCell ref="A155:B155"/>
    <mergeCell ref="P142:Q142"/>
    <mergeCell ref="M183:Q183"/>
    <mergeCell ref="P116:Q116"/>
    <mergeCell ref="P103:Q103"/>
    <mergeCell ref="M146:O146"/>
    <mergeCell ref="P134:Q134"/>
    <mergeCell ref="A175:H175"/>
    <mergeCell ref="C134:F134"/>
    <mergeCell ref="M41:Q41"/>
    <mergeCell ref="G115:I115"/>
    <mergeCell ref="M123:O123"/>
    <mergeCell ref="M110:O110"/>
    <mergeCell ref="A170:H170"/>
    <mergeCell ref="M66:Q66"/>
    <mergeCell ref="M53:Q53"/>
    <mergeCell ref="G141:I141"/>
    <mergeCell ref="J107:L107"/>
    <mergeCell ref="M68:Q68"/>
    <mergeCell ref="P129:Q129"/>
    <mergeCell ref="M55:Q55"/>
    <mergeCell ref="C158:F158"/>
    <mergeCell ref="M67:Q67"/>
    <mergeCell ref="P131:Q131"/>
    <mergeCell ref="P117:Q117"/>
    <mergeCell ref="G156:I156"/>
    <mergeCell ref="A164:Q165"/>
    <mergeCell ref="M44:Q44"/>
    <mergeCell ref="A81:D81"/>
    <mergeCell ref="J119:L119"/>
    <mergeCell ref="M182:Q182"/>
    <mergeCell ref="C145:F145"/>
    <mergeCell ref="M169:Q169"/>
    <mergeCell ref="I90:L90"/>
    <mergeCell ref="G153:I153"/>
    <mergeCell ref="A154:B154"/>
    <mergeCell ref="A75:Q75"/>
    <mergeCell ref="A50:H50"/>
    <mergeCell ref="A157:B157"/>
    <mergeCell ref="I170:L170"/>
    <mergeCell ref="P144:Q144"/>
    <mergeCell ref="A106:B106"/>
    <mergeCell ref="J141:L141"/>
    <mergeCell ref="M142:O142"/>
    <mergeCell ref="M129:O129"/>
    <mergeCell ref="A62:Q62"/>
    <mergeCell ref="A173:H173"/>
    <mergeCell ref="M144:O144"/>
    <mergeCell ref="P132:Q132"/>
    <mergeCell ref="M87:Q87"/>
    <mergeCell ref="A161:B161"/>
    <mergeCell ref="C115:F115"/>
    <mergeCell ref="P148:Q148"/>
    <mergeCell ref="P123:Q123"/>
    <mergeCell ref="J117:L117"/>
    <mergeCell ref="P110:Q110"/>
    <mergeCell ref="C150:F150"/>
    <mergeCell ref="C144:F144"/>
    <mergeCell ref="M128:O128"/>
    <mergeCell ref="J132:L132"/>
    <mergeCell ref="A130:B130"/>
    <mergeCell ref="M137:O137"/>
    <mergeCell ref="A160:B160"/>
    <mergeCell ref="G140:I140"/>
    <mergeCell ref="M102:O102"/>
    <mergeCell ref="A141:B141"/>
    <mergeCell ref="A135:B135"/>
    <mergeCell ref="C117:F117"/>
    <mergeCell ref="A159:B159"/>
    <mergeCell ref="A84:D84"/>
    <mergeCell ref="A122:B122"/>
    <mergeCell ref="A91:H91"/>
    <mergeCell ref="A1:Q1"/>
    <mergeCell ref="C131:F131"/>
    <mergeCell ref="M120:O120"/>
    <mergeCell ref="A65:H65"/>
    <mergeCell ref="I65:L65"/>
    <mergeCell ref="M101:O101"/>
    <mergeCell ref="A158:B158"/>
    <mergeCell ref="G138:I138"/>
    <mergeCell ref="M100:O100"/>
    <mergeCell ref="C126:F126"/>
    <mergeCell ref="P120:Q120"/>
    <mergeCell ref="M115:O115"/>
    <mergeCell ref="P121:Q121"/>
    <mergeCell ref="A2:Q2"/>
    <mergeCell ref="A20:Q20"/>
    <mergeCell ref="M43:Q43"/>
    <mergeCell ref="A35:H35"/>
    <mergeCell ref="A39:H39"/>
    <mergeCell ref="M54:Q54"/>
    <mergeCell ref="M65:Q65"/>
    <mergeCell ref="I36:L36"/>
    <mergeCell ref="A21:Q21"/>
    <mergeCell ref="A57:H57"/>
    <mergeCell ref="A23:Q23"/>
    <mergeCell ref="A27:Q27"/>
    <mergeCell ref="C128:F128"/>
    <mergeCell ref="G150:I150"/>
    <mergeCell ref="M112:O112"/>
    <mergeCell ref="C113:F113"/>
    <mergeCell ref="A78:D78"/>
    <mergeCell ref="C100:F100"/>
    <mergeCell ref="M85:Q85"/>
    <mergeCell ref="M152:O152"/>
    <mergeCell ref="M127:O127"/>
    <mergeCell ref="M114:O114"/>
    <mergeCell ref="A80:D80"/>
    <mergeCell ref="C142:F142"/>
    <mergeCell ref="A147:B147"/>
    <mergeCell ref="C129:F129"/>
    <mergeCell ref="I87:L87"/>
    <mergeCell ref="J146:L146"/>
    <mergeCell ref="A148:B148"/>
    <mergeCell ref="P100:Q100"/>
    <mergeCell ref="I64:L64"/>
    <mergeCell ref="I51:L51"/>
    <mergeCell ref="A36:H36"/>
    <mergeCell ref="M105:O105"/>
    <mergeCell ref="A146:B146"/>
    <mergeCell ref="A28:Q28"/>
    <mergeCell ref="M157:O157"/>
    <mergeCell ref="J161:L161"/>
    <mergeCell ref="C123:F123"/>
    <mergeCell ref="M184:Q184"/>
    <mergeCell ref="C110:F110"/>
    <mergeCell ref="M171:Q171"/>
    <mergeCell ref="P104:Q104"/>
    <mergeCell ref="G137:I137"/>
    <mergeCell ref="A30:Q30"/>
    <mergeCell ref="M99:O99"/>
    <mergeCell ref="A119:B119"/>
    <mergeCell ref="M173:Q173"/>
    <mergeCell ref="J162:L162"/>
    <mergeCell ref="G139:I139"/>
    <mergeCell ref="A88:H88"/>
    <mergeCell ref="P105:Q105"/>
    <mergeCell ref="I69:L69"/>
    <mergeCell ref="A83:D83"/>
    <mergeCell ref="P99:Q99"/>
    <mergeCell ref="A54:H54"/>
    <mergeCell ref="A133:B133"/>
    <mergeCell ref="A41:H41"/>
    <mergeCell ref="A90:H90"/>
    <mergeCell ref="A186:H186"/>
    <mergeCell ref="A142:B142"/>
    <mergeCell ref="C135:F135"/>
    <mergeCell ref="A51:H51"/>
    <mergeCell ref="A46:Q47"/>
    <mergeCell ref="J148:L148"/>
    <mergeCell ref="G124:I124"/>
    <mergeCell ref="G142:I142"/>
    <mergeCell ref="A137:B137"/>
    <mergeCell ref="P155:Q155"/>
    <mergeCell ref="J105:L105"/>
    <mergeCell ref="J143:L143"/>
    <mergeCell ref="G144:I144"/>
    <mergeCell ref="A145:B145"/>
    <mergeCell ref="A139:B139"/>
    <mergeCell ref="G119:I119"/>
    <mergeCell ref="P157:Q157"/>
    <mergeCell ref="I183:L183"/>
    <mergeCell ref="M168:Q168"/>
    <mergeCell ref="M89:Q89"/>
    <mergeCell ref="I54:L54"/>
    <mergeCell ref="P150:Q150"/>
    <mergeCell ref="M162:O162"/>
    <mergeCell ref="I185:L185"/>
    <mergeCell ref="I66:L66"/>
    <mergeCell ref="I53:L53"/>
    <mergeCell ref="M76:Q76"/>
    <mergeCell ref="A38:H38"/>
    <mergeCell ref="A117:B117"/>
    <mergeCell ref="J136:L136"/>
    <mergeCell ref="A111:B111"/>
    <mergeCell ref="I68:L68"/>
    <mergeCell ref="A40:H40"/>
    <mergeCell ref="A67:H67"/>
    <mergeCell ref="M109:O109"/>
    <mergeCell ref="I41:L41"/>
    <mergeCell ref="I56:L56"/>
    <mergeCell ref="I43:L43"/>
    <mergeCell ref="P107:Q107"/>
    <mergeCell ref="P101:Q101"/>
    <mergeCell ref="A56:H56"/>
    <mergeCell ref="M125:O125"/>
    <mergeCell ref="A185:H185"/>
    <mergeCell ref="J111:L111"/>
    <mergeCell ref="M143:O143"/>
    <mergeCell ref="A134:B134"/>
    <mergeCell ref="A43:H43"/>
    <mergeCell ref="A121:B121"/>
    <mergeCell ref="J140:L140"/>
    <mergeCell ref="M63:Q63"/>
    <mergeCell ref="M50:Q50"/>
    <mergeCell ref="G116:I116"/>
    <mergeCell ref="I180:L180"/>
    <mergeCell ref="G103:I103"/>
    <mergeCell ref="M92:Q92"/>
    <mergeCell ref="G118:I118"/>
    <mergeCell ref="I182:L182"/>
    <mergeCell ref="I169:L169"/>
    <mergeCell ref="A162:B162"/>
    <mergeCell ref="P149:Q149"/>
    <mergeCell ref="A69:H69"/>
    <mergeCell ref="A183:H183"/>
    <mergeCell ref="M154:O154"/>
    <mergeCell ref="J158:L158"/>
    <mergeCell ref="P151:Q151"/>
    <mergeCell ref="C107:F107"/>
    <mergeCell ref="A180:H180"/>
    <mergeCell ref="A68:H68"/>
    <mergeCell ref="A19:Q19"/>
    <mergeCell ref="J152:L152"/>
    <mergeCell ref="M153:O153"/>
    <mergeCell ref="C106:F106"/>
    <mergeCell ref="G128:I128"/>
    <mergeCell ref="A123:B123"/>
    <mergeCell ref="A110:B110"/>
    <mergeCell ref="I63:L63"/>
    <mergeCell ref="G121:I121"/>
    <mergeCell ref="P159:Q159"/>
    <mergeCell ref="M79:Q79"/>
    <mergeCell ref="I50:L50"/>
    <mergeCell ref="M70:Q70"/>
    <mergeCell ref="A108:B108"/>
    <mergeCell ref="C101:F101"/>
    <mergeCell ref="J114:L114"/>
    <mergeCell ref="A118:B118"/>
    <mergeCell ref="A37:H37"/>
    <mergeCell ref="P136:Q136"/>
    <mergeCell ref="J134:L134"/>
    <mergeCell ref="M141:O141"/>
    <mergeCell ref="J145:L145"/>
    <mergeCell ref="A167:Q167"/>
    <mergeCell ref="P135:Q135"/>
    <mergeCell ref="I88:L88"/>
    <mergeCell ref="A182:H182"/>
    <mergeCell ref="J108:L108"/>
    <mergeCell ref="A169:H169"/>
    <mergeCell ref="M140:O140"/>
    <mergeCell ref="P128:Q128"/>
    <mergeCell ref="A98:Q98"/>
    <mergeCell ref="C155:F155"/>
    <mergeCell ref="M133:O133"/>
    <mergeCell ref="J137:L137"/>
    <mergeCell ref="J124:L124"/>
    <mergeCell ref="C157:F157"/>
    <mergeCell ref="J109:L109"/>
    <mergeCell ref="C151:F151"/>
    <mergeCell ref="G113:I113"/>
    <mergeCell ref="M135:O135"/>
    <mergeCell ref="A120:B120"/>
    <mergeCell ref="G100:I100"/>
    <mergeCell ref="J139:L139"/>
    <mergeCell ref="A179:H179"/>
    <mergeCell ref="J138:L138"/>
    <mergeCell ref="I179:L179"/>
    <mergeCell ref="M57:Q57"/>
    <mergeCell ref="A100:B100"/>
    <mergeCell ref="A22:Q22"/>
    <mergeCell ref="G145:I145"/>
    <mergeCell ref="M107:O107"/>
    <mergeCell ref="G120:I120"/>
    <mergeCell ref="A115:B115"/>
    <mergeCell ref="P133:Q133"/>
    <mergeCell ref="P127:Q127"/>
    <mergeCell ref="A102:B102"/>
    <mergeCell ref="I42:L42"/>
    <mergeCell ref="M138:O138"/>
    <mergeCell ref="A113:B113"/>
    <mergeCell ref="G102:I102"/>
    <mergeCell ref="M42:Q42"/>
    <mergeCell ref="I37:L37"/>
    <mergeCell ref="A53:H53"/>
    <mergeCell ref="I91:L91"/>
    <mergeCell ref="I38:L38"/>
    <mergeCell ref="I40:L40"/>
    <mergeCell ref="G129:I129"/>
    <mergeCell ref="J130:L130"/>
    <mergeCell ref="M81:Q81"/>
    <mergeCell ref="M131:O131"/>
    <mergeCell ref="A105:B105"/>
    <mergeCell ref="I89:L89"/>
    <mergeCell ref="J121:L121"/>
    <mergeCell ref="J115:L115"/>
    <mergeCell ref="G106:I106"/>
    <mergeCell ref="M122:O122"/>
    <mergeCell ref="C162:F162"/>
    <mergeCell ref="J126:L126"/>
    <mergeCell ref="P102:Q102"/>
    <mergeCell ref="G105:I105"/>
    <mergeCell ref="G147:I147"/>
    <mergeCell ref="G158:I158"/>
    <mergeCell ref="C152:F152"/>
    <mergeCell ref="P146:Q146"/>
    <mergeCell ref="M156:O156"/>
    <mergeCell ref="J160:L160"/>
    <mergeCell ref="G131:I131"/>
    <mergeCell ref="J159:L159"/>
    <mergeCell ref="C121:F121"/>
    <mergeCell ref="J153:L153"/>
    <mergeCell ref="A126:B126"/>
    <mergeCell ref="A109:B109"/>
    <mergeCell ref="C146:F146"/>
    <mergeCell ref="P152:Q152"/>
    <mergeCell ref="A32:Q32"/>
    <mergeCell ref="G155:I155"/>
    <mergeCell ref="M117:O117"/>
    <mergeCell ref="C105:F105"/>
    <mergeCell ref="M132:O132"/>
    <mergeCell ref="I186:L186"/>
    <mergeCell ref="G157:I157"/>
    <mergeCell ref="M119:O119"/>
    <mergeCell ref="C120:F120"/>
    <mergeCell ref="A85:D85"/>
    <mergeCell ref="G122:I122"/>
    <mergeCell ref="J123:L123"/>
    <mergeCell ref="G101:I101"/>
    <mergeCell ref="P139:Q139"/>
    <mergeCell ref="M181:Q181"/>
    <mergeCell ref="M83:Q83"/>
    <mergeCell ref="P114:Q114"/>
    <mergeCell ref="C149:F149"/>
    <mergeCell ref="M52:Q52"/>
    <mergeCell ref="G152:I152"/>
    <mergeCell ref="M39:Q39"/>
    <mergeCell ref="J113:L113"/>
    <mergeCell ref="M174:Q174"/>
    <mergeCell ref="J149:L149"/>
    <mergeCell ref="A26:Q26"/>
    <mergeCell ref="G149:I149"/>
    <mergeCell ref="M36:Q36"/>
    <mergeCell ref="A150:B150"/>
    <mergeCell ref="A144:B144"/>
    <mergeCell ref="C99:F99"/>
    <mergeCell ref="P162:Q162"/>
    <mergeCell ref="P137:Q137"/>
    <mergeCell ref="A184:H184"/>
    <mergeCell ref="G151:I151"/>
    <mergeCell ref="P106:Q106"/>
    <mergeCell ref="A152:B152"/>
    <mergeCell ref="A171:H171"/>
    <mergeCell ref="G126:I126"/>
    <mergeCell ref="C130:F130"/>
    <mergeCell ref="I92:L92"/>
    <mergeCell ref="I55:L55"/>
    <mergeCell ref="I67:L67"/>
    <mergeCell ref="J99:L99"/>
    <mergeCell ref="C159:F159"/>
    <mergeCell ref="C122:F122"/>
    <mergeCell ref="C153:F153"/>
    <mergeCell ref="J101:L101"/>
    <mergeCell ref="C125:F125"/>
    <mergeCell ref="M175:Q175"/>
    <mergeCell ref="A156:B156"/>
    <mergeCell ref="G136:I136"/>
    <mergeCell ref="P108:Q108"/>
    <mergeCell ref="A63:H63"/>
    <mergeCell ref="J102:L102"/>
    <mergeCell ref="P118:Q118"/>
    <mergeCell ref="M56:Q56"/>
    <mergeCell ref="A92:H92"/>
    <mergeCell ref="P109:Q109"/>
    <mergeCell ref="A124:B124"/>
    <mergeCell ref="C140:F140"/>
    <mergeCell ref="A87:H87"/>
    <mergeCell ref="J128:L128"/>
    <mergeCell ref="G154:I154"/>
    <mergeCell ref="M116:O116"/>
    <mergeCell ref="A82:D82"/>
    <mergeCell ref="A149:B149"/>
    <mergeCell ref="C104:F104"/>
    <mergeCell ref="A89:H89"/>
    <mergeCell ref="A151:B151"/>
    <mergeCell ref="M155:O155"/>
    <mergeCell ref="C161:F161"/>
    <mergeCell ref="J103:L103"/>
    <mergeCell ref="M159:O159"/>
    <mergeCell ref="P156:Q156"/>
    <mergeCell ref="C112:F112"/>
    <mergeCell ref="M118:O118"/>
    <mergeCell ref="C109:F109"/>
    <mergeCell ref="M161:O161"/>
    <mergeCell ref="C133:F133"/>
    <mergeCell ref="C127:F127"/>
    <mergeCell ref="M111:O111"/>
    <mergeCell ref="C114:F114"/>
    <mergeCell ref="C136:F136"/>
    <mergeCell ref="P130:Q130"/>
    <mergeCell ref="J118:L118"/>
    <mergeCell ref="P111:Q111"/>
    <mergeCell ref="P125:Q125"/>
    <mergeCell ref="P112:Q112"/>
    <mergeCell ref="M130:O130"/>
    <mergeCell ref="M150:O150"/>
    <mergeCell ref="J157:L157"/>
    <mergeCell ref="G160:I160"/>
    <mergeCell ref="A24:Q24"/>
    <mergeCell ref="M158:O158"/>
    <mergeCell ref="M180:Q180"/>
    <mergeCell ref="C111:F111"/>
    <mergeCell ref="A153:B153"/>
    <mergeCell ref="G133:I133"/>
    <mergeCell ref="M160:O160"/>
    <mergeCell ref="A128:B128"/>
    <mergeCell ref="P115:Q115"/>
    <mergeCell ref="M84:Q84"/>
    <mergeCell ref="G135:I135"/>
    <mergeCell ref="A136:B136"/>
    <mergeCell ref="M40:Q40"/>
    <mergeCell ref="A79:D79"/>
    <mergeCell ref="I70:L70"/>
    <mergeCell ref="A129:B129"/>
    <mergeCell ref="I57:L57"/>
    <mergeCell ref="M80:Q80"/>
    <mergeCell ref="A42:H42"/>
    <mergeCell ref="P141:Q141"/>
    <mergeCell ref="C137:F137"/>
    <mergeCell ref="A131:B131"/>
    <mergeCell ref="C124:F124"/>
    <mergeCell ref="P143:Q143"/>
    <mergeCell ref="I184:L184"/>
    <mergeCell ref="G107:I107"/>
    <mergeCell ref="I171:L171"/>
    <mergeCell ref="M91:Q91"/>
    <mergeCell ref="A29:Q29"/>
    <mergeCell ref="I181:L181"/>
    <mergeCell ref="A44:H44"/>
    <mergeCell ref="I173:L173"/>
    <mergeCell ref="A31:Q31"/>
    <mergeCell ref="I52:L52"/>
    <mergeCell ref="P153:Q153"/>
    <mergeCell ref="I39:L39"/>
    <mergeCell ref="I44:L44"/>
    <mergeCell ref="A103:B103"/>
    <mergeCell ref="J112:L112"/>
    <mergeCell ref="M113:O113"/>
    <mergeCell ref="C139:F139"/>
    <mergeCell ref="M148:O148"/>
    <mergeCell ref="J127:L127"/>
    <mergeCell ref="A76:D76"/>
    <mergeCell ref="C138:F138"/>
    <mergeCell ref="C132:F132"/>
    <mergeCell ref="A143:B143"/>
    <mergeCell ref="C119:F119"/>
    <mergeCell ref="P158:Q158"/>
    <mergeCell ref="M78:Q78"/>
    <mergeCell ref="A174:H174"/>
    <mergeCell ref="M145:O145"/>
    <mergeCell ref="I168:L168"/>
    <mergeCell ref="A72:Q73"/>
    <mergeCell ref="C116:F116"/>
    <mergeCell ref="M147:O147"/>
    <mergeCell ref="J142:L142"/>
    <mergeCell ref="J150:L150"/>
    <mergeCell ref="J144:L144"/>
    <mergeCell ref="J116:L116"/>
    <mergeCell ref="P113:Q113"/>
    <mergeCell ref="G146:I146"/>
    <mergeCell ref="M108:O108"/>
    <mergeCell ref="J147:L147"/>
    <mergeCell ref="M170:Q170"/>
    <mergeCell ref="G123:I123"/>
    <mergeCell ref="P161:Q161"/>
    <mergeCell ref="G110:I110"/>
    <mergeCell ref="I174:L174"/>
    <mergeCell ref="M172:Q172"/>
    <mergeCell ref="C108:F108"/>
    <mergeCell ref="P154:Q154"/>
    <mergeCell ref="G125:I125"/>
    <mergeCell ref="G112:I112"/>
    <mergeCell ref="J151:L151"/>
    <mergeCell ref="P138:Q138"/>
    <mergeCell ref="A34:Q34"/>
    <mergeCell ref="A107:B107"/>
    <mergeCell ref="G127:I127"/>
    <mergeCell ref="A49:Q49"/>
    <mergeCell ref="P140:Q140"/>
    <mergeCell ref="A55:H55"/>
    <mergeCell ref="A59:Q60"/>
    <mergeCell ref="A70:H70"/>
    <mergeCell ref="M35:Q35"/>
    <mergeCell ref="M103:O103"/>
    <mergeCell ref="M104:O104"/>
    <mergeCell ref="M64:Q64"/>
    <mergeCell ref="G104:I104"/>
    <mergeCell ref="M51:Q51"/>
    <mergeCell ref="A99:B99"/>
    <mergeCell ref="A66:H66"/>
    <mergeCell ref="M106:O106"/>
    <mergeCell ref="A94:Q96"/>
    <mergeCell ref="A101:B101"/>
    <mergeCell ref="A140:B140"/>
  </mergeCells>
  <phoneticPr fontId="27" type="noConversion"/>
  <pageMargins left="0.75" right="0.75" top="1" bottom="1" header="0.5" footer="0.5"/>
  <pageSetup paperSize="8" orientation="landscape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>노란색만 입력합니다. 사용은 한 번, 나중 이체는 정산으로 연결합니다. 원장잔액과 사용가능액은 서로 다른 숫자입니다.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>1  현황 | 원장잔액 − 정산대기 = 더 쓸 수 있는 돈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42" customHeight="1">
      <c r="A7" s="507" t="inlineStr">
        <is>
          <t>목적</t>
        </is>
      </c>
      <c r="B7" s="507" t="n"/>
      <c r="C7" s="507" t="inlineStr">
        <is>
          <t>원장잔액</t>
        </is>
      </c>
      <c r="D7" s="507" t="n"/>
      <c r="E7" s="507" t="n"/>
      <c r="F7" s="507" t="inlineStr">
        <is>
          <t>정산대기</t>
        </is>
      </c>
      <c r="G7" s="507" t="n"/>
      <c r="H7" s="507" t="n"/>
      <c r="I7" s="507" t="inlineStr">
        <is>
          <t>사용가능액</t>
        </is>
      </c>
      <c r="J7" s="507" t="n"/>
      <c r="K7" s="507" t="n"/>
      <c r="L7" s="507" t="inlineStr">
        <is>
          <t xml:space="preserve">선택월 예비비 사용액</t>
        </is>
      </c>
      <c r="M7" s="507" t="n"/>
      <c r="N7" s="507" t="inlineStr">
        <is>
          <t>연결 확인</t>
        </is>
      </c>
      <c r="O7" s="507" t="n"/>
      <c r="AD7" s="501" t="n">
        <v>46204</v>
      </c>
    </row>
    <row r="8" ht="24" customHeight="1">
      <c r="A8" s="508" t="inlineStr">
        <is>
          <t>명절비</t>
        </is>
      </c>
      <c r="B8" s="509" t="n"/>
      <c r="C8" s="510">
        <f>IF($B$3&lt;DATE(2026,3,1),"원장 없음",SUMIFS(잔액!$Y$64:$Y$500,잔액!$D$64:$D$500,$A8,잔액!$A$64:$A$500,"&lt;"&amp;EDATE($B$3,1))-SUMIFS(잔액!$Y$64:$Y$500,잔액!$C$64:$C$500,$A8,잔액!$A$64:$A$500,"&lt;"&amp;EDATE($B$3,1)))</f>
        <v>0</v>
      </c>
      <c r="D8" s="511" t="n"/>
      <c r="E8" s="511" t="n"/>
      <c r="F8" s="510">
        <f>IF($B$3&lt;DATE(2026,3,1),"원장 없음",SUMIFS($U$100:$U$399,$C$100:$C$399,$A8))</f>
        <v>0</v>
      </c>
      <c r="G8" s="511" t="n"/>
      <c r="H8" s="511" t="n"/>
      <c r="I8" s="512">
        <f>IF(ISNUMBER(C8),C8-F8,"원장 없음")</f>
        <v>0</v>
      </c>
      <c r="J8" s="511" t="n"/>
      <c r="K8" s="511" t="n"/>
      <c r="L8" s="510">
        <f>SUMIFS($E$100:$E$399,$C$100:$C$399,$A8,$D$100:$D$399,"&gt;="&amp;$B$3,$D$100:$D$399,"&lt;"&amp;EDATE($B$3,1),$R$100:$R$399,"OK")</f>
        <v>0</v>
      </c>
      <c r="M8" s="511" t="n"/>
      <c r="N8" s="513" t="str">
        <f>IF($B$3&lt;DATE(2026,3,1),"원장 없음",IF($B$3=잔액!$B$3,IF(C8=INDEX(잔액!$G$8:$G$12,MATCH(A8,잔액!$A$8:$A$12,0)),"일치","확인"),"동일월 원장"))</f>
        <v>일치</v>
      </c>
      <c r="O8" s="511" t="n"/>
      <c r="AD8" s="501" t="n">
        <v>46235</v>
      </c>
    </row>
    <row r="9" ht="24" customHeight="1">
      <c r="A9" s="508" t="inlineStr">
        <is>
          <t>여행비</t>
        </is>
      </c>
      <c r="B9" s="509" t="n"/>
      <c r="C9" s="510">
        <f>IF($B$3&lt;DATE(2026,3,1),"원장 없음",SUMIFS(잔액!$Y$64:$Y$500,잔액!$D$64:$D$500,$A9,잔액!$A$64:$A$500,"&lt;"&amp;EDATE($B$3,1))-SUMIFS(잔액!$Y$64:$Y$500,잔액!$C$64:$C$500,$A9,잔액!$A$64:$A$500,"&lt;"&amp;EDATE($B$3,1)))</f>
        <v>1400000</v>
      </c>
      <c r="D9" s="511" t="n"/>
      <c r="E9" s="511" t="n"/>
      <c r="F9" s="510">
        <f>IF($B$3&lt;DATE(2026,3,1),"원장 없음",SUMIFS($U$100:$U$399,$C$100:$C$399,$A9))</f>
        <v>0</v>
      </c>
      <c r="G9" s="511" t="n"/>
      <c r="H9" s="511" t="n"/>
      <c r="I9" s="512">
        <f>IF(ISNUMBER(C9),C9-F9,"원장 없음")</f>
        <v>1400000</v>
      </c>
      <c r="J9" s="511" t="n"/>
      <c r="K9" s="511" t="n"/>
      <c r="L9" s="510">
        <f>SUMIFS($E$100:$E$399,$C$100:$C$399,$A9,$D$100:$D$399,"&gt;="&amp;$B$3,$D$100:$D$399,"&lt;"&amp;EDATE($B$3,1),$R$100:$R$399,"OK")</f>
        <v>0</v>
      </c>
      <c r="M9" s="511" t="n"/>
      <c r="N9" s="513" t="str">
        <f>IF($B$3&lt;DATE(2026,3,1),"원장 없음",IF($B$3=잔액!$B$3,IF(C9=INDEX(잔액!$G$8:$G$12,MATCH(A9,잔액!$A$8:$A$12,0)),"일치","확인"),"동일월 원장"))</f>
        <v>일치</v>
      </c>
      <c r="O9" s="511" t="n"/>
      <c r="AD9" s="501" t="n">
        <v>46266</v>
      </c>
    </row>
    <row r="10" ht="24" customHeight="1">
      <c r="A10" s="508" t="inlineStr">
        <is>
          <t>경조사비</t>
        </is>
      </c>
      <c r="B10" s="509" t="n"/>
      <c r="C10" s="510">
        <f>IF($B$3&lt;DATE(2026,3,1),"원장 없음",SUMIFS(잔액!$Y$64:$Y$500,잔액!$D$64:$D$500,$A10,잔액!$A$64:$A$500,"&lt;"&amp;EDATE($B$3,1))-SUMIFS(잔액!$Y$64:$Y$500,잔액!$C$64:$C$500,$A10,잔액!$A$64:$A$500,"&lt;"&amp;EDATE($B$3,1)))</f>
        <v>450000</v>
      </c>
      <c r="D10" s="511" t="n"/>
      <c r="E10" s="511" t="n"/>
      <c r="F10" s="510">
        <f>IF($B$3&lt;DATE(2026,3,1),"원장 없음",SUMIFS($U$100:$U$399,$C$100:$C$399,$A10))</f>
        <v>0</v>
      </c>
      <c r="G10" s="511" t="n"/>
      <c r="H10" s="511" t="n"/>
      <c r="I10" s="512">
        <f>IF(ISNUMBER(C10),C10-F10,"원장 없음")</f>
        <v>450000</v>
      </c>
      <c r="J10" s="511" t="n"/>
      <c r="K10" s="511" t="n"/>
      <c r="L10" s="510">
        <f>SUMIFS($E$100:$E$399,$C$100:$C$399,$A10,$D$100:$D$399,"&gt;="&amp;$B$3,$D$100:$D$399,"&lt;"&amp;EDATE($B$3,1),$R$100:$R$399,"OK")</f>
        <v>239000</v>
      </c>
      <c r="M10" s="511" t="n"/>
      <c r="N10" s="513" t="str">
        <f>IF($B$3&lt;DATE(2026,3,1),"원장 없음",IF($B$3=잔액!$B$3,IF(C10=INDEX(잔액!$G$8:$G$12,MATCH(A10,잔액!$A$8:$A$12,0)),"일치","확인"),"동일월 원장"))</f>
        <v>일치</v>
      </c>
      <c r="O10" s="511" t="n"/>
      <c r="AD10" s="501" t="n">
        <v>46296</v>
      </c>
    </row>
    <row r="11" ht="24" customHeight="1">
      <c r="A11" s="508" t="inlineStr">
        <is>
          <t>상환비</t>
        </is>
      </c>
      <c r="B11" s="509" t="n"/>
      <c r="C11" s="510">
        <f>IF($B$3&lt;DATE(2026,3,1),"원장 없음",SUMIFS(잔액!$Y$64:$Y$500,잔액!$D$64:$D$500,$A11,잔액!$A$64:$A$500,"&lt;"&amp;EDATE($B$3,1))-SUMIFS(잔액!$Y$64:$Y$500,잔액!$C$64:$C$500,$A11,잔액!$A$64:$A$500,"&lt;"&amp;EDATE($B$3,1)))</f>
        <v>300000</v>
      </c>
      <c r="D11" s="511" t="n"/>
      <c r="E11" s="511" t="n"/>
      <c r="F11" s="510">
        <f>IF($B$3&lt;DATE(2026,3,1),"원장 없음",SUMIFS($U$100:$U$399,$C$100:$C$399,$A11))</f>
        <v>0</v>
      </c>
      <c r="G11" s="511" t="n"/>
      <c r="H11" s="511" t="n"/>
      <c r="I11" s="512">
        <f>IF(ISNUMBER(C11),C11-F11,"원장 없음")</f>
        <v>300000</v>
      </c>
      <c r="J11" s="511" t="n"/>
      <c r="K11" s="511" t="n"/>
      <c r="L11" s="510">
        <f>SUMIFS($E$100:$E$399,$C$100:$C$399,$A11,$D$100:$D$399,"&gt;="&amp;$B$3,$D$100:$D$399,"&lt;"&amp;EDATE($B$3,1),$R$100:$R$399,"OK")</f>
        <v>0</v>
      </c>
      <c r="M11" s="511" t="n"/>
      <c r="N11" s="513" t="str">
        <f>IF($B$3&lt;DATE(2026,3,1),"원장 없음",IF($B$3=잔액!$B$3,IF(C11=INDEX(잔액!$G$8:$G$12,MATCH(A11,잔액!$A$8:$A$12,0)),"일치","확인"),"동일월 원장"))</f>
        <v>일치</v>
      </c>
      <c r="O11" s="511" t="n"/>
      <c r="AD11" s="501" t="n">
        <v>46327</v>
      </c>
    </row>
    <row r="12" ht="24" customHeight="1">
      <c r="A12" s="508" t="inlineStr">
        <is>
          <t>예비비</t>
        </is>
      </c>
      <c r="B12" s="509" t="n"/>
      <c r="C12" s="510">
        <f>IF($B$3&lt;DATE(2026,3,1),"원장 없음",SUMIFS(잔액!$Y$64:$Y$500,잔액!$D$64:$D$500,$A12,잔액!$A$64:$A$500,"&lt;"&amp;EDATE($B$3,1))-SUMIFS(잔액!$Y$64:$Y$500,잔액!$C$64:$C$500,$A12,잔액!$A$64:$A$500,"&lt;"&amp;EDATE($B$3,1)))</f>
        <v>0</v>
      </c>
      <c r="D12" s="511" t="n"/>
      <c r="E12" s="511" t="n"/>
      <c r="F12" s="510">
        <f>IF($B$3&lt;DATE(2026,3,1),"원장 없음",SUMIFS($U$100:$U$399,$C$100:$C$399,$A12))</f>
        <v>0</v>
      </c>
      <c r="G12" s="511" t="n"/>
      <c r="H12" s="511" t="n"/>
      <c r="I12" s="512">
        <f>IF(ISNUMBER(C12),C12-F12,"원장 없음")</f>
        <v>0</v>
      </c>
      <c r="J12" s="511" t="n"/>
      <c r="K12" s="511" t="n"/>
      <c r="L12" s="510">
        <f>SUMIFS($E$100:$E$399,$C$100:$C$399,$A12,$D$100:$D$399,"&gt;="&amp;$B$3,$D$100:$D$399,"&lt;"&amp;EDATE($B$3,1),$R$100:$R$399,"OK")</f>
        <v>0</v>
      </c>
      <c r="M12" s="511" t="n"/>
      <c r="N12" s="513" t="str">
        <f>IF($B$3&lt;DATE(2026,3,1),"원장 없음",IF($B$3=잔액!$B$3,IF(C12=INDEX(잔액!$G$8:$G$12,MATCH(A12,잔액!$A$8:$A$12,0)),"일치","확인"),"동일월 원장"))</f>
        <v>일치</v>
      </c>
      <c r="O12" s="511" t="n"/>
      <c r="AD12" s="501" t="n">
        <v>46357</v>
      </c>
    </row>
    <row r="13" ht="24" customHeight="1">
      <c r="A13" s="508" t="inlineStr">
        <is>
          <t>합계</t>
        </is>
      </c>
      <c r="B13" s="509" t="n"/>
      <c r="C13" s="514">
        <f>IF($B$3&lt;DATE(2026,3,1),"원장 없음",SUM(C8:C12))</f>
        <v>2150000</v>
      </c>
      <c r="D13" s="509" t="n"/>
      <c r="E13" s="509" t="n"/>
      <c r="F13" s="514">
        <f>IF($B$3&lt;DATE(2026,3,1),"원장 없음",SUM(F8:F12))</f>
        <v>0</v>
      </c>
      <c r="G13" s="509" t="n"/>
      <c r="H13" s="509" t="n"/>
      <c r="I13" s="514">
        <f>IF($B$3&lt;DATE(2026,3,1),"원장 없음",SUM(I8:I12))</f>
        <v>2150000</v>
      </c>
      <c r="J13" s="509" t="n"/>
      <c r="K13" s="509" t="n"/>
      <c r="L13" s="514">
        <f>SUM(L8:L12)</f>
        <v>239000</v>
      </c>
      <c r="M13" s="509" t="n"/>
      <c r="N13" s="515" t="str">
        <f>IF($B$3&lt;DATE(2026,3,1),"원장 없음",IF(C13=F13+I13,"차이 0","확인"))</f>
        <v>차이 0</v>
      </c>
      <c r="O13" s="509" t="n"/>
    </row>
    <row r="14" ht="24" customHeight="1">
      <c r="A14" s="502" t="inlineStr">
        <is>
          <t>명절비는 앞으로 본가 방문(숙박·교통 포함) 준비용입니다. 10월 숙박·본인 철도 181,800원은 비고정 지출로 유지했습니다.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등록·연결 내역이 있습니다. 아래 등록 자료를 확인하세요.",IF(MIN($I$8:$I$12)&lt;0,"사용가능액이 부족한 항목이 있습니다. 부담할 예비비 항목 또는 추가 적립을 확인하세요.","기존 경조사비 적립 기록 차이 100,000원은 검증 자료에 보존했습니다. 원장 금액을 임의로 맞추지 않았습니다."))</f>
        <v>기존 경조사비 적립 기록 차이 100,000원은 검증 자료에 보존했습니다. 원장 금액을 임의로 맞추지 않았습니다.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>2  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24" customHeight="1">
      <c r="A32" s="499" t="inlineStr">
        <is>
          <t>3  이체 내역 | 카드 사용과 정산을 한 화면에서 확인</t>
        </is>
      </c>
      <c r="B32" s="500" t="n"/>
      <c r="C32" s="500" t="n"/>
      <c r="D32" s="500" t="n"/>
      <c r="E32" s="500" t="n"/>
      <c r="F32" s="500" t="n"/>
      <c r="G32" s="500" t="n"/>
      <c r="H32" s="500" t="n"/>
      <c r="I32" s="500" t="n"/>
      <c r="J32" s="500" t="n"/>
      <c r="K32" s="500" t="n"/>
      <c r="L32" s="500" t="n"/>
      <c r="M32" s="500" t="n"/>
      <c r="N32" s="500" t="n"/>
      <c r="O32" s="500" t="n"/>
    </row>
    <row r="33" ht="24" customHeight="1">
      <c r="A33" s="504" t="inlineStr">
        <is>
          <t>표시</t>
        </is>
      </c>
      <c r="B33" s="522" t="inlineStr">
        <is>
          <t>조회월</t>
        </is>
      </c>
      <c r="C33" s="506" t="n"/>
      <c r="D33" s="502" t="inlineStr">
        <is>
          <t>조회월에는 해당 월 사용·정산과 이전 달 미정산을 함께 표시합니다. 선이체는 사용 시 다시 차감하지 않습니다.</t>
        </is>
      </c>
      <c r="E33" s="503" t="n"/>
      <c r="F33" s="503" t="n"/>
      <c r="G33" s="503" t="n"/>
      <c r="H33" s="503" t="n"/>
      <c r="I33" s="503" t="n"/>
      <c r="J33" s="503" t="n"/>
      <c r="K33" s="503" t="n"/>
      <c r="L33" s="503" t="n"/>
      <c r="M33" s="503" t="n"/>
      <c r="N33" s="503" t="n"/>
      <c r="O33" s="503" t="n"/>
    </row>
    <row r="34" ht="24" customHeight="1">
      <c r="A34" s="504" t="inlineStr">
        <is>
          <t>사용 페이지</t>
        </is>
      </c>
      <c r="B34" s="523" t="n">
        <v>1</v>
      </c>
      <c r="C34" s="506" t="n"/>
      <c r="D34" s="502" t="str">
        <f>COUNTIF($X$100:$X$399,1)&amp;"건 · 표시 페이지 "&amp;AC34&amp;" / "&amp;MAX(1,ROUNDUP(COUNTIF($X$100:$X$399,1)/12,0))</f>
        <v>1건 · 표시 페이지 1 / 1</v>
      </c>
      <c r="E34" s="503" t="n"/>
      <c r="F34" s="503" t="n"/>
      <c r="G34" s="503" t="n"/>
      <c r="H34" s="503" t="n"/>
      <c r="I34" s="503" t="n"/>
      <c r="J34" s="503" t="n"/>
      <c r="K34" s="503" t="n"/>
      <c r="L34" s="503" t="n"/>
      <c r="M34" s="503" t="n"/>
      <c r="N34" s="503" t="n"/>
      <c r="O34" s="503" t="n"/>
      <c r="AC34" s="504">
        <f>MIN(MAX(1,B34),MAX(1,ROUNDUP(COUNTIF($X$100:$X$399,1)/12,0)))</f>
        <v>1</v>
      </c>
    </row>
    <row r="35" ht="30" customHeight="1">
      <c r="A35" s="507" t="inlineStr">
        <is>
          <t>사용일/월</t>
        </is>
      </c>
      <c r="B35" s="507" t="inlineStr">
        <is>
          <t>사용 내용</t>
        </is>
      </c>
      <c r="C35" s="507" t="n"/>
      <c r="D35" s="507" t="inlineStr">
        <is>
          <t>항목</t>
        </is>
      </c>
      <c r="E35" s="507" t="inlineStr">
        <is>
          <t>사용액</t>
        </is>
      </c>
      <c r="F35" s="507" t="inlineStr">
        <is>
          <t>당월 정산</t>
        </is>
      </c>
      <c r="G35" s="507" t="inlineStr">
        <is>
          <t>누적 정산</t>
        </is>
      </c>
      <c r="H35" s="507" t="inlineStr">
        <is>
          <t>정산대기</t>
        </is>
      </c>
      <c r="I35" s="507" t="inlineStr">
        <is>
          <t>상태</t>
        </is>
      </c>
      <c r="J35" s="507" t="n"/>
      <c r="K35" s="507" t="inlineStr">
        <is>
          <t>연결</t>
        </is>
      </c>
      <c r="L35" s="507" t="n"/>
      <c r="M35" s="507" t="inlineStr">
        <is>
          <t>원본·등록</t>
        </is>
      </c>
      <c r="N35" s="507" t="n"/>
      <c r="O35" s="507" t="n"/>
    </row>
    <row r="36" ht="24" customHeight="1">
      <c r="A36" s="518" t="str">
        <f>IF($AB36=0,"",IF(INDEX($G$100:$G$399,$AB36)="월기록",TEXT(INDEX($D$100:$D$399,$AB36),"yyyy-mm"),TEXT(INDEX($D$100:$D$399,$AB36),"m/d")))</f>
        <v>2026-10</v>
      </c>
      <c r="B36" s="518" t="str">
        <f>IF($AB36=0,"",INDEX($B$100:$B$399,$AB36))</f>
        <v>부모 생신 본인 부담</v>
      </c>
      <c r="C36" s="511" t="n"/>
      <c r="D36" s="518" t="str">
        <f>IF($AB36=0,"",INDEX($C$100:$C$399,$AB36))</f>
        <v>경조사비</v>
      </c>
      <c r="E36" s="521">
        <f>IF($AB36=0,"",INDEX($E$100:$E$399,$AB36))</f>
        <v>239000</v>
      </c>
      <c r="F36" s="521">
        <f>IF($AB36=0,"",INDEX($Z$100:$Z$399,$AB36))</f>
        <v>0</v>
      </c>
      <c r="G36" s="521">
        <f>IF($AB36=0,"",INDEX($T$100:$T$399,$AB36))</f>
        <v>239000</v>
      </c>
      <c r="H36" s="521">
        <f>IF($AB36=0,"",INDEX($U$100:$U$399,$AB36))</f>
        <v>0</v>
      </c>
      <c r="I36" s="518" t="str">
        <f>IF($AB36=0,"",IF($B$3&lt;DATE(2026,3,1),"정산일 미기록",IF(INDEX($D$100:$D$399,$AB36)&gt;=EDATE($B$3,1),"선이체",IF(INDEX($U$100:$U$399,$AB36)=0,"정산완료",IF(INDEX($T$100:$T$399,$AB36)&gt;0,"부분정산","미정산")))))</f>
        <v>정산완료</v>
      </c>
      <c r="J36" s="511" t="n"/>
      <c r="K36" s="518" t="str">
        <f>IF($AB36=0,"",COUNTIFS($B$430:$B$729,INDEX($A$100:$A$399,$AB36),$N$430:$N$729,"OK",$E$430:$E$729,"&lt;"&amp;EDATE($B$3,1))&amp;"건")</f>
        <v>2건</v>
      </c>
      <c r="L36" s="511" t="n"/>
      <c r="M36" s="518" t="str">
        <f>IF($AB36=0,"",HYPERLINK("#'예비비'!A98","등록 "&amp;($AB36+99)&amp;"행 확인"))</f>
        <v>등록 107행 확인</v>
      </c>
      <c r="N36" s="511" t="n"/>
      <c r="O36" s="511" t="n"/>
      <c r="AB36" s="504">
        <f>IFERROR(MATCH(($AC$34-1)*12+1,$Y$100:$Y$399,0),0)</f>
        <v>8</v>
      </c>
    </row>
    <row r="37" ht="24" customHeight="1">
      <c r="A37" s="518">
        <f>IF($AB37=0,"",IF(INDEX($G$100:$G$399,$AB37)="월기록",TEXT(INDEX($D$100:$D$399,$AB37),"yyyy-mm"),TEXT(INDEX($D$100:$D$399,$AB37),"m/d")))</f>
      </c>
      <c r="B37" s="518">
        <f>IF($AB37=0,"",INDEX($B$100:$B$399,$AB37))</f>
      </c>
      <c r="C37" s="511" t="n"/>
      <c r="D37" s="518">
        <f>IF($AB37=0,"",INDEX($C$100:$C$399,$AB37))</f>
      </c>
      <c r="E37" s="521">
        <f>IF($AB37=0,"",INDEX($E$100:$E$399,$AB37))</f>
      </c>
      <c r="F37" s="521">
        <f>IF($AB37=0,"",INDEX($Z$100:$Z$399,$AB37))</f>
      </c>
      <c r="G37" s="521">
        <f>IF($AB37=0,"",INDEX($T$100:$T$399,$AB37))</f>
      </c>
      <c r="H37" s="521">
        <f>IF($AB37=0,"",INDEX($U$100:$U$399,$AB37))</f>
      </c>
      <c r="I37" s="518">
        <f>IF($AB37=0,"",IF($B$3&lt;DATE(2026,3,1),"정산일 미기록",IF(INDEX($D$100:$D$399,$AB37)&gt;=EDATE($B$3,1),"선이체",IF(INDEX($U$100:$U$399,$AB37)=0,"정산완료",IF(INDEX($T$100:$T$399,$AB37)&gt;0,"부분정산","미정산")))))</f>
      </c>
      <c r="J37" s="511" t="n"/>
      <c r="K37" s="518">
        <f>IF($AB37=0,"",COUNTIFS($B$430:$B$729,INDEX($A$100:$A$399,$AB37),$N$430:$N$729,"OK",$E$430:$E$729,"&lt;"&amp;EDATE($B$3,1))&amp;"건")</f>
      </c>
      <c r="L37" s="511" t="n"/>
      <c r="M37" s="518">
        <f>IF($AB37=0,"",HYPERLINK("#'예비비'!A98","등록 "&amp;($AB37+99)&amp;"행 확인"))</f>
      </c>
      <c r="N37" s="511" t="n"/>
      <c r="O37" s="511" t="n"/>
      <c r="AB37" s="504">
        <f>IFERROR(MATCH(($AC$34-1)*12+2,$Y$100:$Y$399,0),0)</f>
        <v>0</v>
      </c>
    </row>
    <row r="38" ht="24" customHeight="1">
      <c r="A38" s="518">
        <f>IF($AB38=0,"",IF(INDEX($G$100:$G$399,$AB38)="월기록",TEXT(INDEX($D$100:$D$399,$AB38),"yyyy-mm"),TEXT(INDEX($D$100:$D$399,$AB38),"m/d")))</f>
      </c>
      <c r="B38" s="518">
        <f>IF($AB38=0,"",INDEX($B$100:$B$399,$AB38))</f>
      </c>
      <c r="C38" s="511" t="n"/>
      <c r="D38" s="518">
        <f>IF($AB38=0,"",INDEX($C$100:$C$399,$AB38))</f>
      </c>
      <c r="E38" s="521">
        <f>IF($AB38=0,"",INDEX($E$100:$E$399,$AB38))</f>
      </c>
      <c r="F38" s="521">
        <f>IF($AB38=0,"",INDEX($Z$100:$Z$399,$AB38))</f>
      </c>
      <c r="G38" s="521">
        <f>IF($AB38=0,"",INDEX($T$100:$T$399,$AB38))</f>
      </c>
      <c r="H38" s="521">
        <f>IF($AB38=0,"",INDEX($U$100:$U$399,$AB38))</f>
      </c>
      <c r="I38" s="518">
        <f>IF($AB38=0,"",IF($B$3&lt;DATE(2026,3,1),"정산일 미기록",IF(INDEX($D$100:$D$399,$AB38)&gt;=EDATE($B$3,1),"선이체",IF(INDEX($U$100:$U$399,$AB38)=0,"정산완료",IF(INDEX($T$100:$T$399,$AB38)&gt;0,"부분정산","미정산")))))</f>
      </c>
      <c r="J38" s="511" t="n"/>
      <c r="K38" s="518">
        <f>IF($AB38=0,"",COUNTIFS($B$430:$B$729,INDEX($A$100:$A$399,$AB38),$N$430:$N$729,"OK",$E$430:$E$729,"&lt;"&amp;EDATE($B$3,1))&amp;"건")</f>
      </c>
      <c r="L38" s="511" t="n"/>
      <c r="M38" s="518">
        <f>IF($AB38=0,"",HYPERLINK("#'예비비'!A98","등록 "&amp;($AB38+99)&amp;"행 확인"))</f>
      </c>
      <c r="N38" s="511" t="n"/>
      <c r="O38" s="511" t="n"/>
      <c r="AB38" s="504">
        <f>IFERROR(MATCH(($AC$34-1)*12+3,$Y$100:$Y$399,0),0)</f>
        <v>0</v>
      </c>
    </row>
    <row r="39" ht="24" customHeight="1">
      <c r="A39" s="518">
        <f>IF($AB39=0,"",IF(INDEX($G$100:$G$399,$AB39)="월기록",TEXT(INDEX($D$100:$D$399,$AB39),"yyyy-mm"),TEXT(INDEX($D$100:$D$399,$AB39),"m/d")))</f>
      </c>
      <c r="B39" s="518">
        <f>IF($AB39=0,"",INDEX($B$100:$B$399,$AB39))</f>
      </c>
      <c r="C39" s="511" t="n"/>
      <c r="D39" s="518">
        <f>IF($AB39=0,"",INDEX($C$100:$C$399,$AB39))</f>
      </c>
      <c r="E39" s="521">
        <f>IF($AB39=0,"",INDEX($E$100:$E$399,$AB39))</f>
      </c>
      <c r="F39" s="521">
        <f>IF($AB39=0,"",INDEX($Z$100:$Z$399,$AB39))</f>
      </c>
      <c r="G39" s="521">
        <f>IF($AB39=0,"",INDEX($T$100:$T$399,$AB39))</f>
      </c>
      <c r="H39" s="521">
        <f>IF($AB39=0,"",INDEX($U$100:$U$399,$AB39))</f>
      </c>
      <c r="I39" s="518">
        <f>IF($AB39=0,"",IF($B$3&lt;DATE(2026,3,1),"정산일 미기록",IF(INDEX($D$100:$D$399,$AB39)&gt;=EDATE($B$3,1),"선이체",IF(INDEX($U$100:$U$399,$AB39)=0,"정산완료",IF(INDEX($T$100:$T$399,$AB39)&gt;0,"부분정산","미정산")))))</f>
      </c>
      <c r="J39" s="511" t="n"/>
      <c r="K39" s="518">
        <f>IF($AB39=0,"",COUNTIFS($B$430:$B$729,INDEX($A$100:$A$399,$AB39),$N$430:$N$729,"OK",$E$430:$E$729,"&lt;"&amp;EDATE($B$3,1))&amp;"건")</f>
      </c>
      <c r="L39" s="511" t="n"/>
      <c r="M39" s="518">
        <f>IF($AB39=0,"",HYPERLINK("#'예비비'!A98","등록 "&amp;($AB39+99)&amp;"행 확인"))</f>
      </c>
      <c r="N39" s="511" t="n"/>
      <c r="O39" s="511" t="n"/>
      <c r="AB39" s="504">
        <f>IFERROR(MATCH(($AC$34-1)*12+4,$Y$100:$Y$399,0),0)</f>
        <v>0</v>
      </c>
    </row>
    <row r="40" ht="24" customHeight="1">
      <c r="A40" s="518">
        <f>IF($AB40=0,"",IF(INDEX($G$100:$G$399,$AB40)="월기록",TEXT(INDEX($D$100:$D$399,$AB40),"yyyy-mm"),TEXT(INDEX($D$100:$D$399,$AB40),"m/d")))</f>
      </c>
      <c r="B40" s="518">
        <f>IF($AB40=0,"",INDEX($B$100:$B$399,$AB40))</f>
      </c>
      <c r="C40" s="511" t="n"/>
      <c r="D40" s="518">
        <f>IF($AB40=0,"",INDEX($C$100:$C$399,$AB40))</f>
      </c>
      <c r="E40" s="521">
        <f>IF($AB40=0,"",INDEX($E$100:$E$399,$AB40))</f>
      </c>
      <c r="F40" s="521">
        <f>IF($AB40=0,"",INDEX($Z$100:$Z$399,$AB40))</f>
      </c>
      <c r="G40" s="521">
        <f>IF($AB40=0,"",INDEX($T$100:$T$399,$AB40))</f>
      </c>
      <c r="H40" s="521">
        <f>IF($AB40=0,"",INDEX($U$100:$U$399,$AB40))</f>
      </c>
      <c r="I40" s="518">
        <f>IF($AB40=0,"",IF($B$3&lt;DATE(2026,3,1),"정산일 미기록",IF(INDEX($D$100:$D$399,$AB40)&gt;=EDATE($B$3,1),"선이체",IF(INDEX($U$100:$U$399,$AB40)=0,"정산완료",IF(INDEX($T$100:$T$399,$AB40)&gt;0,"부분정산","미정산")))))</f>
      </c>
      <c r="J40" s="511" t="n"/>
      <c r="K40" s="518">
        <f>IF($AB40=0,"",COUNTIFS($B$430:$B$729,INDEX($A$100:$A$399,$AB40),$N$430:$N$729,"OK",$E$430:$E$729,"&lt;"&amp;EDATE($B$3,1))&amp;"건")</f>
      </c>
      <c r="L40" s="511" t="n"/>
      <c r="M40" s="518">
        <f>IF($AB40=0,"",HYPERLINK("#'예비비'!A98","등록 "&amp;($AB40+99)&amp;"행 확인"))</f>
      </c>
      <c r="N40" s="511" t="n"/>
      <c r="O40" s="511" t="n"/>
      <c r="AB40" s="504">
        <f>IFERROR(MATCH(($AC$34-1)*12+5,$Y$100:$Y$399,0),0)</f>
        <v>0</v>
      </c>
    </row>
    <row r="41" ht="24" customHeight="1">
      <c r="A41" s="518">
        <f>IF($AB41=0,"",IF(INDEX($G$100:$G$399,$AB41)="월기록",TEXT(INDEX($D$100:$D$399,$AB41),"yyyy-mm"),TEXT(INDEX($D$100:$D$399,$AB41),"m/d")))</f>
      </c>
      <c r="B41" s="518">
        <f>IF($AB41=0,"",INDEX($B$100:$B$399,$AB41))</f>
      </c>
      <c r="C41" s="511" t="n"/>
      <c r="D41" s="518">
        <f>IF($AB41=0,"",INDEX($C$100:$C$399,$AB41))</f>
      </c>
      <c r="E41" s="521">
        <f>IF($AB41=0,"",INDEX($E$100:$E$399,$AB41))</f>
      </c>
      <c r="F41" s="521">
        <f>IF($AB41=0,"",INDEX($Z$100:$Z$399,$AB41))</f>
      </c>
      <c r="G41" s="521">
        <f>IF($AB41=0,"",INDEX($T$100:$T$399,$AB41))</f>
      </c>
      <c r="H41" s="521">
        <f>IF($AB41=0,"",INDEX($U$100:$U$399,$AB41))</f>
      </c>
      <c r="I41" s="518">
        <f>IF($AB41=0,"",IF($B$3&lt;DATE(2026,3,1),"정산일 미기록",IF(INDEX($D$100:$D$399,$AB41)&gt;=EDATE($B$3,1),"선이체",IF(INDEX($U$100:$U$399,$AB41)=0,"정산완료",IF(INDEX($T$100:$T$399,$AB41)&gt;0,"부분정산","미정산")))))</f>
      </c>
      <c r="J41" s="511" t="n"/>
      <c r="K41" s="518">
        <f>IF($AB41=0,"",COUNTIFS($B$430:$B$729,INDEX($A$100:$A$399,$AB41),$N$430:$N$729,"OK",$E$430:$E$729,"&lt;"&amp;EDATE($B$3,1))&amp;"건")</f>
      </c>
      <c r="L41" s="511" t="n"/>
      <c r="M41" s="518">
        <f>IF($AB41=0,"",HYPERLINK("#'예비비'!A98","등록 "&amp;($AB41+99)&amp;"행 확인"))</f>
      </c>
      <c r="N41" s="511" t="n"/>
      <c r="O41" s="511" t="n"/>
      <c r="AB41" s="504">
        <f>IFERROR(MATCH(($AC$34-1)*12+6,$Y$100:$Y$399,0),0)</f>
        <v>0</v>
      </c>
    </row>
    <row r="42" ht="24" customHeight="1">
      <c r="A42" s="518">
        <f>IF($AB42=0,"",IF(INDEX($G$100:$G$399,$AB42)="월기록",TEXT(INDEX($D$100:$D$399,$AB42),"yyyy-mm"),TEXT(INDEX($D$100:$D$399,$AB42),"m/d")))</f>
      </c>
      <c r="B42" s="518">
        <f>IF($AB42=0,"",INDEX($B$100:$B$399,$AB42))</f>
      </c>
      <c r="C42" s="511" t="n"/>
      <c r="D42" s="518">
        <f>IF($AB42=0,"",INDEX($C$100:$C$399,$AB42))</f>
      </c>
      <c r="E42" s="521">
        <f>IF($AB42=0,"",INDEX($E$100:$E$399,$AB42))</f>
      </c>
      <c r="F42" s="521">
        <f>IF($AB42=0,"",INDEX($Z$100:$Z$399,$AB42))</f>
      </c>
      <c r="G42" s="521">
        <f>IF($AB42=0,"",INDEX($T$100:$T$399,$AB42))</f>
      </c>
      <c r="H42" s="521">
        <f>IF($AB42=0,"",INDEX($U$100:$U$399,$AB42))</f>
      </c>
      <c r="I42" s="518">
        <f>IF($AB42=0,"",IF($B$3&lt;DATE(2026,3,1),"정산일 미기록",IF(INDEX($D$100:$D$399,$AB42)&gt;=EDATE($B$3,1),"선이체",IF(INDEX($U$100:$U$399,$AB42)=0,"정산완료",IF(INDEX($T$100:$T$399,$AB42)&gt;0,"부분정산","미정산")))))</f>
      </c>
      <c r="J42" s="511" t="n"/>
      <c r="K42" s="518">
        <f>IF($AB42=0,"",COUNTIFS($B$430:$B$729,INDEX($A$100:$A$399,$AB42),$N$430:$N$729,"OK",$E$430:$E$729,"&lt;"&amp;EDATE($B$3,1))&amp;"건")</f>
      </c>
      <c r="L42" s="511" t="n"/>
      <c r="M42" s="518">
        <f>IF($AB42=0,"",HYPERLINK("#'예비비'!A98","등록 "&amp;($AB42+99)&amp;"행 확인"))</f>
      </c>
      <c r="N42" s="511" t="n"/>
      <c r="O42" s="511" t="n"/>
      <c r="AB42" s="504">
        <f>IFERROR(MATCH(($AC$34-1)*12+7,$Y$100:$Y$399,0),0)</f>
        <v>0</v>
      </c>
    </row>
    <row r="43" ht="24" customHeight="1">
      <c r="A43" s="518">
        <f>IF($AB43=0,"",IF(INDEX($G$100:$G$399,$AB43)="월기록",TEXT(INDEX($D$100:$D$399,$AB43),"yyyy-mm"),TEXT(INDEX($D$100:$D$399,$AB43),"m/d")))</f>
      </c>
      <c r="B43" s="518">
        <f>IF($AB43=0,"",INDEX($B$100:$B$399,$AB43))</f>
      </c>
      <c r="C43" s="511" t="n"/>
      <c r="D43" s="518">
        <f>IF($AB43=0,"",INDEX($C$100:$C$399,$AB43))</f>
      </c>
      <c r="E43" s="521">
        <f>IF($AB43=0,"",INDEX($E$100:$E$399,$AB43))</f>
      </c>
      <c r="F43" s="521">
        <f>IF($AB43=0,"",INDEX($Z$100:$Z$399,$AB43))</f>
      </c>
      <c r="G43" s="521">
        <f>IF($AB43=0,"",INDEX($T$100:$T$399,$AB43))</f>
      </c>
      <c r="H43" s="521">
        <f>IF($AB43=0,"",INDEX($U$100:$U$399,$AB43))</f>
      </c>
      <c r="I43" s="518">
        <f>IF($AB43=0,"",IF($B$3&lt;DATE(2026,3,1),"정산일 미기록",IF(INDEX($D$100:$D$399,$AB43)&gt;=EDATE($B$3,1),"선이체",IF(INDEX($U$100:$U$399,$AB43)=0,"정산완료",IF(INDEX($T$100:$T$399,$AB43)&gt;0,"부분정산","미정산")))))</f>
      </c>
      <c r="J43" s="511" t="n"/>
      <c r="K43" s="518">
        <f>IF($AB43=0,"",COUNTIFS($B$430:$B$729,INDEX($A$100:$A$399,$AB43),$N$430:$N$729,"OK",$E$430:$E$729,"&lt;"&amp;EDATE($B$3,1))&amp;"건")</f>
      </c>
      <c r="L43" s="511" t="n"/>
      <c r="M43" s="518">
        <f>IF($AB43=0,"",HYPERLINK("#'예비비'!A98","등록 "&amp;($AB43+99)&amp;"행 확인"))</f>
      </c>
      <c r="N43" s="511" t="n"/>
      <c r="O43" s="511" t="n"/>
      <c r="AB43" s="504">
        <f>IFERROR(MATCH(($AC$34-1)*12+8,$Y$100:$Y$399,0),0)</f>
        <v>0</v>
      </c>
    </row>
    <row r="44" ht="24" customHeight="1">
      <c r="A44" s="518">
        <f>IF($AB44=0,"",IF(INDEX($G$100:$G$399,$AB44)="월기록",TEXT(INDEX($D$100:$D$399,$AB44),"yyyy-mm"),TEXT(INDEX($D$100:$D$399,$AB44),"m/d")))</f>
      </c>
      <c r="B44" s="518">
        <f>IF($AB44=0,"",INDEX($B$100:$B$399,$AB44))</f>
      </c>
      <c r="C44" s="511" t="n"/>
      <c r="D44" s="518">
        <f>IF($AB44=0,"",INDEX($C$100:$C$399,$AB44))</f>
      </c>
      <c r="E44" s="521">
        <f>IF($AB44=0,"",INDEX($E$100:$E$399,$AB44))</f>
      </c>
      <c r="F44" s="521">
        <f>IF($AB44=0,"",INDEX($Z$100:$Z$399,$AB44))</f>
      </c>
      <c r="G44" s="521">
        <f>IF($AB44=0,"",INDEX($T$100:$T$399,$AB44))</f>
      </c>
      <c r="H44" s="521">
        <f>IF($AB44=0,"",INDEX($U$100:$U$399,$AB44))</f>
      </c>
      <c r="I44" s="518">
        <f>IF($AB44=0,"",IF($B$3&lt;DATE(2026,3,1),"정산일 미기록",IF(INDEX($D$100:$D$399,$AB44)&gt;=EDATE($B$3,1),"선이체",IF(INDEX($U$100:$U$399,$AB44)=0,"정산완료",IF(INDEX($T$100:$T$399,$AB44)&gt;0,"부분정산","미정산")))))</f>
      </c>
      <c r="J44" s="511" t="n"/>
      <c r="K44" s="518">
        <f>IF($AB44=0,"",COUNTIFS($B$430:$B$729,INDEX($A$100:$A$399,$AB44),$N$430:$N$729,"OK",$E$430:$E$729,"&lt;"&amp;EDATE($B$3,1))&amp;"건")</f>
      </c>
      <c r="L44" s="511" t="n"/>
      <c r="M44" s="518">
        <f>IF($AB44=0,"",HYPERLINK("#'예비비'!A98","등록 "&amp;($AB44+99)&amp;"행 확인"))</f>
      </c>
      <c r="N44" s="511" t="n"/>
      <c r="O44" s="511" t="n"/>
      <c r="AB44" s="504">
        <f>IFERROR(MATCH(($AC$34-1)*12+9,$Y$100:$Y$399,0),0)</f>
        <v>0</v>
      </c>
    </row>
    <row r="45" ht="24" customHeight="1">
      <c r="A45" s="518">
        <f>IF($AB45=0,"",IF(INDEX($G$100:$G$399,$AB45)="월기록",TEXT(INDEX($D$100:$D$399,$AB45),"yyyy-mm"),TEXT(INDEX($D$100:$D$399,$AB45),"m/d")))</f>
      </c>
      <c r="B45" s="518">
        <f>IF($AB45=0,"",INDEX($B$100:$B$399,$AB45))</f>
      </c>
      <c r="C45" s="511" t="n"/>
      <c r="D45" s="518">
        <f>IF($AB45=0,"",INDEX($C$100:$C$399,$AB45))</f>
      </c>
      <c r="E45" s="521">
        <f>IF($AB45=0,"",INDEX($E$100:$E$399,$AB45))</f>
      </c>
      <c r="F45" s="521">
        <f>IF($AB45=0,"",INDEX($Z$100:$Z$399,$AB45))</f>
      </c>
      <c r="G45" s="521">
        <f>IF($AB45=0,"",INDEX($T$100:$T$399,$AB45))</f>
      </c>
      <c r="H45" s="521">
        <f>IF($AB45=0,"",INDEX($U$100:$U$399,$AB45))</f>
      </c>
      <c r="I45" s="518">
        <f>IF($AB45=0,"",IF($B$3&lt;DATE(2026,3,1),"정산일 미기록",IF(INDEX($D$100:$D$399,$AB45)&gt;=EDATE($B$3,1),"선이체",IF(INDEX($U$100:$U$399,$AB45)=0,"정산완료",IF(INDEX($T$100:$T$399,$AB45)&gt;0,"부분정산","미정산")))))</f>
      </c>
      <c r="J45" s="511" t="n"/>
      <c r="K45" s="518">
        <f>IF($AB45=0,"",COUNTIFS($B$430:$B$729,INDEX($A$100:$A$399,$AB45),$N$430:$N$729,"OK",$E$430:$E$729,"&lt;"&amp;EDATE($B$3,1))&amp;"건")</f>
      </c>
      <c r="L45" s="511" t="n"/>
      <c r="M45" s="518">
        <f>IF($AB45=0,"",HYPERLINK("#'예비비'!A98","등록 "&amp;($AB45+99)&amp;"행 확인"))</f>
      </c>
      <c r="N45" s="511" t="n"/>
      <c r="O45" s="511" t="n"/>
      <c r="AB45" s="504">
        <f>IFERROR(MATCH(($AC$34-1)*12+10,$Y$100:$Y$399,0),0)</f>
        <v>0</v>
      </c>
    </row>
    <row r="46" ht="24" customHeight="1">
      <c r="A46" s="518">
        <f>IF($AB46=0,"",IF(INDEX($G$100:$G$399,$AB46)="월기록",TEXT(INDEX($D$100:$D$399,$AB46),"yyyy-mm"),TEXT(INDEX($D$100:$D$399,$AB46),"m/d")))</f>
      </c>
      <c r="B46" s="518">
        <f>IF($AB46=0,"",INDEX($B$100:$B$399,$AB46))</f>
      </c>
      <c r="C46" s="511" t="n"/>
      <c r="D46" s="518">
        <f>IF($AB46=0,"",INDEX($C$100:$C$399,$AB46))</f>
      </c>
      <c r="E46" s="521">
        <f>IF($AB46=0,"",INDEX($E$100:$E$399,$AB46))</f>
      </c>
      <c r="F46" s="521">
        <f>IF($AB46=0,"",INDEX($Z$100:$Z$399,$AB46))</f>
      </c>
      <c r="G46" s="521">
        <f>IF($AB46=0,"",INDEX($T$100:$T$399,$AB46))</f>
      </c>
      <c r="H46" s="521">
        <f>IF($AB46=0,"",INDEX($U$100:$U$399,$AB46))</f>
      </c>
      <c r="I46" s="518">
        <f>IF($AB46=0,"",IF($B$3&lt;DATE(2026,3,1),"정산일 미기록",IF(INDEX($D$100:$D$399,$AB46)&gt;=EDATE($B$3,1),"선이체",IF(INDEX($U$100:$U$399,$AB46)=0,"정산완료",IF(INDEX($T$100:$T$399,$AB46)&gt;0,"부분정산","미정산")))))</f>
      </c>
      <c r="J46" s="511" t="n"/>
      <c r="K46" s="518">
        <f>IF($AB46=0,"",COUNTIFS($B$430:$B$729,INDEX($A$100:$A$399,$AB46),$N$430:$N$729,"OK",$E$430:$E$729,"&lt;"&amp;EDATE($B$3,1))&amp;"건")</f>
      </c>
      <c r="L46" s="511" t="n"/>
      <c r="M46" s="518">
        <f>IF($AB46=0,"",HYPERLINK("#'예비비'!A98","등록 "&amp;($AB46+99)&amp;"행 확인"))</f>
      </c>
      <c r="N46" s="511" t="n"/>
      <c r="O46" s="511" t="n"/>
      <c r="AB46" s="504">
        <f>IFERROR(MATCH(($AC$34-1)*12+11,$Y$100:$Y$399,0),0)</f>
        <v>0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IFERROR(MATCH(($AC$34-1)*12+12,$Y$100:$Y$399,0),0)</f>
        <v>0</v>
      </c>
    </row>
    <row r="48" ht="24" customHeight="1">
      <c r="A48" s="502" t="inlineStr">
        <is>
          <t>누적 정산은 조회월 말까지입니다. 정산대기는 카드 미납액이 아니라 예비비에서 아직 이동하지 않은 사용분입니다.</t>
        </is>
      </c>
      <c r="B48" s="503" t="n"/>
      <c r="C48" s="503" t="n"/>
      <c r="D48" s="503" t="n"/>
      <c r="E48" s="503" t="n"/>
      <c r="F48" s="503" t="n"/>
      <c r="G48" s="503" t="n"/>
      <c r="H48" s="503" t="n"/>
      <c r="I48" s="503" t="n"/>
      <c r="J48" s="503" t="n"/>
      <c r="K48" s="503" t="n"/>
      <c r="L48" s="503" t="n"/>
      <c r="M48" s="503" t="n"/>
      <c r="N48" s="503" t="n"/>
      <c r="O48" s="503" t="n"/>
    </row>
    <row r="49" ht="24" customHeight="1">
      <c r="A49" s="506" t="n"/>
      <c r="B49" s="506" t="n"/>
      <c r="C49" s="506" t="n"/>
      <c r="D49" s="506" t="n"/>
      <c r="E49" s="506" t="n"/>
      <c r="F49" s="506" t="n"/>
      <c r="G49" s="506" t="n"/>
      <c r="H49" s="506" t="n"/>
      <c r="I49" s="506" t="n"/>
      <c r="J49" s="506" t="n"/>
      <c r="K49" s="506" t="n"/>
      <c r="L49" s="506" t="n"/>
      <c r="M49" s="506" t="n"/>
      <c r="N49" s="506" t="n"/>
      <c r="O49" s="506" t="n"/>
    </row>
    <row r="50" ht="24" customHeight="1">
      <c r="A50" s="504" t="inlineStr">
        <is>
          <t>이체 페이지</t>
        </is>
      </c>
      <c r="B50" s="523" t="n">
        <v>1</v>
      </c>
      <c r="C50" s="506" t="n"/>
      <c r="D50" s="502" t="str">
        <f>COUNTIF('_예비비계산'!$BH$120:$BH$556,"&gt;0")&amp;"건 · 해당 월 원장 변동 + 선택월 사용에 연결된 선이체"</f>
        <v>3건 · 해당 월 원장 변동 + 선택월 사용에 연결된 선이체</v>
      </c>
      <c r="E50" s="503" t="n"/>
      <c r="F50" s="503" t="n"/>
      <c r="G50" s="503" t="n"/>
      <c r="H50" s="503" t="n"/>
      <c r="I50" s="503" t="n"/>
      <c r="J50" s="503" t="n"/>
      <c r="K50" s="503" t="n"/>
      <c r="L50" s="503" t="n"/>
      <c r="M50" s="503" t="n"/>
      <c r="N50" s="503" t="n"/>
      <c r="O50" s="503" t="n"/>
      <c r="AC50" s="504">
        <f>MIN(MAX(1,B50),MAX(1,ROUNDUP(COUNTIF('_예비비계산'!$BH$120:$BH$556,"&gt;0")/12,0)))</f>
        <v>1</v>
      </c>
    </row>
    <row r="51" ht="30" customHeight="1">
      <c r="A51" s="507" t="inlineStr">
        <is>
          <t>원장일/월</t>
        </is>
      </c>
      <c r="B51" s="507" t="inlineStr">
        <is>
          <t>내용</t>
        </is>
      </c>
      <c r="C51" s="507" t="n"/>
      <c r="D51" s="507" t="inlineStr">
        <is>
          <t>보낸 계정</t>
        </is>
      </c>
      <c r="E51" s="507" t="n"/>
      <c r="F51" s="507" t="inlineStr">
        <is>
          <t>받는 계정/계좌</t>
        </is>
      </c>
      <c r="G51" s="507" t="n"/>
      <c r="H51" s="507" t="n"/>
      <c r="I51" s="507" t="inlineStr">
        <is>
          <t>원장 금액</t>
        </is>
      </c>
      <c r="J51" s="507" t="n"/>
      <c r="K51" s="507" t="inlineStr">
        <is>
          <t>연결 상태</t>
        </is>
      </c>
      <c r="L51" s="507" t="n"/>
      <c r="M51" s="507" t="inlineStr">
        <is>
          <t>원장 근거</t>
        </is>
      </c>
      <c r="N51" s="507" t="n"/>
      <c r="O51" s="507" t="n"/>
    </row>
    <row r="52" ht="24" customHeight="1">
      <c r="A52" s="518" t="str">
        <f>IF($AB52=0,"",TEXT(INDEX(잔액!$A:$A,INDEX('_예비비계산'!$BA$120:$BA$556,$AB52)),IF(INDEX(잔액!$L:$L,INDEX('_예비비계산'!$BA$120:$BA$556,$AB52))="원본WRAP","yyyy-mm","yyyy-mm-dd")))</f>
        <v>2026-08</v>
      </c>
      <c r="B52" s="518" t="str">
        <f>IF($AB52=0,"",INDEX(잔액!$F:$F,INDEX('_예비비계산'!$BA$120:$BA$556,$AB52)))</f>
        <v>가족통장</v>
      </c>
      <c r="C52" s="511" t="n"/>
      <c r="D52" s="518" t="str">
        <f>IF($AB52=0,"",INDEX(잔액!$C:$C,INDEX('_예비비계산'!$BA$120:$BA$556,$AB52)))</f>
        <v>임시보관</v>
      </c>
      <c r="E52" s="511" t="n"/>
      <c r="F52" s="518" t="str">
        <f>IF($AB52=0,"",IF(INDEX(잔액!$K:$K,INDEX('_예비비계산'!$BA$120:$BA$556,$AB52))&lt;&gt;"",INDEX(잔액!$K:$K,INDEX('_예비비계산'!$BA$120:$BA$556,$AB52)),INDEX(잔액!$D:$D,INDEX('_예비비계산'!$BA$120:$BA$556,$AB52))))</f>
        <v>지출</v>
      </c>
      <c r="G52" s="511" t="n"/>
      <c r="H52" s="511" t="n"/>
      <c r="I52" s="521">
        <f>IF($AB52=0,"",INDEX(잔액!$Y:$Y,INDEX('_예비비계산'!$BA$120:$BA$556,$AB52)))</f>
        <v>100000</v>
      </c>
      <c r="J52" s="511" t="n"/>
      <c r="K52" s="518" t="str">
        <f>IF($AB52=0,"",IF(COUNTIFS($C$430:$C$729,INDEX('_예비비계산'!$BA$120:$BA$556,$AB52),$N$430:$N$729,"OK")&gt;0,"정산 연결",INDEX(잔액!$B:$B,INDEX('_예비비계산'!$BA$120:$BA$556,$AB52))))</f>
        <v>정산 연결</v>
      </c>
      <c r="L52" s="511" t="n"/>
      <c r="M52" s="518" t="str">
        <f>IF($AB52=0,"",HYPERLINK("#'잔액'!A"&amp;INDEX('_예비비계산'!$BA$120:$BA$556,$AB52),"원장 "&amp;INDEX('_예비비계산'!$BA$120:$BA$556,$AB52)&amp;"행 ↗"))</f>
        <v>원장 208행 ↗</v>
      </c>
      <c r="N52" s="511" t="n"/>
      <c r="O52" s="511" t="n"/>
      <c r="AB52" s="504">
        <f>IFERROR(MATCH(($AC$50-1)*12+1,'_예비비계산'!$BH$120:$BH$556,0),0)</f>
        <v>145</v>
      </c>
    </row>
    <row r="53" ht="24" customHeight="1">
      <c r="A53" s="518" t="str">
        <f>IF($AB53=0,"",TEXT(INDEX(잔액!$A:$A,INDEX('_예비비계산'!$BA$120:$BA$556,$AB53)),IF(INDEX(잔액!$L:$L,INDEX('_예비비계산'!$BA$120:$BA$556,$AB53))="원본WRAP","yyyy-mm","yyyy-mm-dd")))</f>
        <v>2026-09</v>
      </c>
      <c r="B53" s="518" t="str">
        <f>IF($AB53=0,"",INDEX(잔액!$F:$F,INDEX('_예비비계산'!$BA$120:$BA$556,$AB53)))</f>
        <v>10월 부모 생신 자금 선이체</v>
      </c>
      <c r="C53" s="511" t="n"/>
      <c r="D53" s="518" t="str">
        <f>IF($AB53=0,"",INDEX(잔액!$C:$C,INDEX('_예비비계산'!$BA$120:$BA$556,$AB53)))</f>
        <v>명절비</v>
      </c>
      <c r="E53" s="511" t="n"/>
      <c r="F53" s="518" t="str">
        <f>IF($AB53=0,"",IF(INDEX(잔액!$K:$K,INDEX('_예비비계산'!$BA$120:$BA$556,$AB53))&lt;&gt;"",INDEX(잔액!$K:$K,INDEX('_예비비계산'!$BA$120:$BA$556,$AB53)),INDEX(잔액!$D:$D,INDEX('_예비비계산'!$BA$120:$BA$556,$AB53))))</f>
        <v>가족통장</v>
      </c>
      <c r="G53" s="511" t="n"/>
      <c r="H53" s="511" t="n"/>
      <c r="I53" s="521">
        <f>IF($AB53=0,"",INDEX(잔액!$Y:$Y,INDEX('_예비비계산'!$BA$120:$BA$556,$AB53)))</f>
        <v>200000</v>
      </c>
      <c r="J53" s="511" t="n"/>
      <c r="K53" s="518" t="str">
        <f>IF($AB53=0,"",IF(COUNTIFS($C$430:$C$729,INDEX('_예비비계산'!$BA$120:$BA$556,$AB53),$N$430:$N$729,"OK")&gt;0,"정산 연결",INDEX(잔액!$B:$B,INDEX('_예비비계산'!$BA$120:$BA$556,$AB53))))</f>
        <v>정산 연결</v>
      </c>
      <c r="L53" s="511" t="n"/>
      <c r="M53" s="518" t="str">
        <f>IF($AB53=0,"",HYPERLINK("#'잔액'!A"&amp;INDEX('_예비비계산'!$BA$120:$BA$556,$AB53),"원장 "&amp;INDEX('_예비비계산'!$BA$120:$BA$556,$AB53)&amp;"행 ↗"))</f>
        <v>원장 223행 ↗</v>
      </c>
      <c r="N53" s="511" t="n"/>
      <c r="O53" s="511" t="n"/>
      <c r="AB53" s="504">
        <f>IFERROR(MATCH(($AC$50-1)*12+2,'_예비비계산'!$BH$120:$BH$556,0),0)</f>
        <v>160</v>
      </c>
    </row>
    <row r="54" ht="24" customHeight="1">
      <c r="A54" s="518" t="str">
        <f>IF($AB54=0,"",TEXT(INDEX(잔액!$A:$A,INDEX('_예비비계산'!$BA$120:$BA$556,$AB54)),IF(INDEX(잔액!$L:$L,INDEX('_예비비계산'!$BA$120:$BA$556,$AB54))="원본WRAP","yyyy-mm","yyyy-mm-dd")))</f>
        <v>2026-10-15</v>
      </c>
      <c r="B54" s="518" t="str">
        <f>IF($AB54=0,"",INDEX(잔액!$F:$F,INDEX('_예비비계산'!$BA$120:$BA$556,$AB54)))</f>
        <v>부모 생신 미사용 원금 회수</v>
      </c>
      <c r="C54" s="511" t="n"/>
      <c r="D54" s="518" t="str">
        <f>IF($AB54=0,"",INDEX(잔액!$C:$C,INDEX('_예비비계산'!$BA$120:$BA$556,$AB54)))</f>
        <v>외부</v>
      </c>
      <c r="E54" s="511" t="n"/>
      <c r="F54" s="518" t="str">
        <f>IF($AB54=0,"",IF(INDEX(잔액!$K:$K,INDEX('_예비비계산'!$BA$120:$BA$556,$AB54))&lt;&gt;"",INDEX(잔액!$K:$K,INDEX('_예비비계산'!$BA$120:$BA$556,$AB54)),INDEX(잔액!$D:$D,INDEX('_예비비계산'!$BA$120:$BA$556,$AB54))))</f>
        <v>미래에셋_WRAP형CMA</v>
      </c>
      <c r="G54" s="511" t="n"/>
      <c r="H54" s="511" t="n"/>
      <c r="I54" s="521">
        <f>IF($AB54=0,"",INDEX(잔액!$Y:$Y,INDEX('_예비비계산'!$BA$120:$BA$556,$AB54)))</f>
        <v>61000</v>
      </c>
      <c r="J54" s="511" t="n"/>
      <c r="K54" s="518" t="str">
        <f>IF($AB54=0,"",IF(COUNTIFS($C$430:$C$729,INDEX('_예비비계산'!$BA$120:$BA$556,$AB54),$N$430:$N$729,"OK")&gt;0,"정산 연결",INDEX(잔액!$B:$B,INDEX('_예비비계산'!$BA$120:$BA$556,$AB54))))</f>
        <v>이체</v>
      </c>
      <c r="L54" s="511" t="n"/>
      <c r="M54" s="518" t="str">
        <f>IF($AB54=0,"",HYPERLINK("#'잔액'!A"&amp;INDEX('_예비비계산'!$BA$120:$BA$556,$AB54),"원장 "&amp;INDEX('_예비비계산'!$BA$120:$BA$556,$AB54)&amp;"행 ↗"))</f>
        <v>원장 246행 ↗</v>
      </c>
      <c r="N54" s="511" t="n"/>
      <c r="O54" s="511" t="n"/>
      <c r="AB54" s="504">
        <f>IFERROR(MATCH(($AC$50-1)*12+3,'_예비비계산'!$BH$120:$BH$556,0),0)</f>
        <v>183</v>
      </c>
    </row>
    <row r="55" ht="24" customHeight="1">
      <c r="A55" s="518">
        <f>IF($AB55=0,"",TEXT(INDEX(잔액!$A:$A,INDEX('_예비비계산'!$BA$120:$BA$556,$AB55)),IF(INDEX(잔액!$L:$L,INDEX('_예비비계산'!$BA$120:$BA$556,$AB55))="원본WRAP","yyyy-mm","yyyy-mm-dd")))</f>
      </c>
      <c r="B55" s="518">
        <f>IF($AB55=0,"",INDEX(잔액!$F:$F,INDEX('_예비비계산'!$BA$120:$BA$556,$AB55)))</f>
      </c>
      <c r="C55" s="511" t="n"/>
      <c r="D55" s="518">
        <f>IF($AB55=0,"",INDEX(잔액!$C:$C,INDEX('_예비비계산'!$BA$120:$BA$556,$AB55)))</f>
      </c>
      <c r="E55" s="511" t="n"/>
      <c r="F55" s="518">
        <f>IF($AB55=0,"",IF(INDEX(잔액!$K:$K,INDEX('_예비비계산'!$BA$120:$BA$556,$AB55))&lt;&gt;"",INDEX(잔액!$K:$K,INDEX('_예비비계산'!$BA$120:$BA$556,$AB55)),INDEX(잔액!$D:$D,INDEX('_예비비계산'!$BA$120:$BA$556,$AB55))))</f>
      </c>
      <c r="G55" s="511" t="n"/>
      <c r="H55" s="511" t="n"/>
      <c r="I55" s="521">
        <f>IF($AB55=0,"",INDEX(잔액!$Y:$Y,INDEX('_예비비계산'!$BA$120:$BA$556,$AB55)))</f>
      </c>
      <c r="J55" s="511" t="n"/>
      <c r="K55" s="518">
        <f>IF($AB55=0,"",IF(COUNTIFS($C$430:$C$729,INDEX('_예비비계산'!$BA$120:$BA$556,$AB55),$N$430:$N$729,"OK")&gt;0,"정산 연결",INDEX(잔액!$B:$B,INDEX('_예비비계산'!$BA$120:$BA$556,$AB55))))</f>
      </c>
      <c r="L55" s="511" t="n"/>
      <c r="M55" s="518">
        <f>IF($AB55=0,"",HYPERLINK("#'잔액'!A"&amp;INDEX('_예비비계산'!$BA$120:$BA$556,$AB55),"원장 "&amp;INDEX('_예비비계산'!$BA$120:$BA$556,$AB55)&amp;"행 ↗"))</f>
      </c>
      <c r="N55" s="511" t="n"/>
      <c r="O55" s="511" t="n"/>
      <c r="AB55" s="504">
        <f>IFERROR(MATCH(($AC$50-1)*12+4,'_예비비계산'!$BH$120:$BH$556,0),0)</f>
        <v>0</v>
      </c>
    </row>
    <row r="56" ht="24" customHeight="1">
      <c r="A56" s="518">
        <f>IF($AB56=0,"",TEXT(INDEX(잔액!$A:$A,INDEX('_예비비계산'!$BA$120:$BA$556,$AB56)),IF(INDEX(잔액!$L:$L,INDEX('_예비비계산'!$BA$120:$BA$556,$AB56))="원본WRAP","yyyy-mm","yyyy-mm-dd")))</f>
      </c>
      <c r="B56" s="518">
        <f>IF($AB56=0,"",INDEX(잔액!$F:$F,INDEX('_예비비계산'!$BA$120:$BA$556,$AB56)))</f>
      </c>
      <c r="C56" s="511" t="n"/>
      <c r="D56" s="518">
        <f>IF($AB56=0,"",INDEX(잔액!$C:$C,INDEX('_예비비계산'!$BA$120:$BA$556,$AB56)))</f>
      </c>
      <c r="E56" s="511" t="n"/>
      <c r="F56" s="518">
        <f>IF($AB56=0,"",IF(INDEX(잔액!$K:$K,INDEX('_예비비계산'!$BA$120:$BA$556,$AB56))&lt;&gt;"",INDEX(잔액!$K:$K,INDEX('_예비비계산'!$BA$120:$BA$556,$AB56)),INDEX(잔액!$D:$D,INDEX('_예비비계산'!$BA$120:$BA$556,$AB56))))</f>
      </c>
      <c r="G56" s="511" t="n"/>
      <c r="H56" s="511" t="n"/>
      <c r="I56" s="521">
        <f>IF($AB56=0,"",INDEX(잔액!$Y:$Y,INDEX('_예비비계산'!$BA$120:$BA$556,$AB56)))</f>
      </c>
      <c r="J56" s="511" t="n"/>
      <c r="K56" s="518">
        <f>IF($AB56=0,"",IF(COUNTIFS($C$430:$C$729,INDEX('_예비비계산'!$BA$120:$BA$556,$AB56),$N$430:$N$729,"OK")&gt;0,"정산 연결",INDEX(잔액!$B:$B,INDEX('_예비비계산'!$BA$120:$BA$556,$AB56))))</f>
      </c>
      <c r="L56" s="511" t="n"/>
      <c r="M56" s="518">
        <f>IF($AB56=0,"",HYPERLINK("#'잔액'!A"&amp;INDEX('_예비비계산'!$BA$120:$BA$556,$AB56),"원장 "&amp;INDEX('_예비비계산'!$BA$120:$BA$556,$AB56)&amp;"행 ↗"))</f>
      </c>
      <c r="N56" s="511" t="n"/>
      <c r="O56" s="511" t="n"/>
      <c r="AB56" s="504">
        <f>IFERROR(MATCH(($AC$50-1)*12+5,'_예비비계산'!$BH$120:$BH$556,0),0)</f>
        <v>0</v>
      </c>
    </row>
    <row r="57" ht="24" customHeight="1">
      <c r="A57" s="518">
        <f>IF($AB57=0,"",TEXT(INDEX(잔액!$A:$A,INDEX('_예비비계산'!$BA$120:$BA$556,$AB57)),IF(INDEX(잔액!$L:$L,INDEX('_예비비계산'!$BA$120:$BA$556,$AB57))="원본WRAP","yyyy-mm","yyyy-mm-dd")))</f>
      </c>
      <c r="B57" s="518">
        <f>IF($AB57=0,"",INDEX(잔액!$F:$F,INDEX('_예비비계산'!$BA$120:$BA$556,$AB57)))</f>
      </c>
      <c r="C57" s="511" t="n"/>
      <c r="D57" s="518">
        <f>IF($AB57=0,"",INDEX(잔액!$C:$C,INDEX('_예비비계산'!$BA$120:$BA$556,$AB57)))</f>
      </c>
      <c r="E57" s="511" t="n"/>
      <c r="F57" s="518">
        <f>IF($AB57=0,"",IF(INDEX(잔액!$K:$K,INDEX('_예비비계산'!$BA$120:$BA$556,$AB57))&lt;&gt;"",INDEX(잔액!$K:$K,INDEX('_예비비계산'!$BA$120:$BA$556,$AB57)),INDEX(잔액!$D:$D,INDEX('_예비비계산'!$BA$120:$BA$556,$AB57))))</f>
      </c>
      <c r="G57" s="511" t="n"/>
      <c r="H57" s="511" t="n"/>
      <c r="I57" s="521">
        <f>IF($AB57=0,"",INDEX(잔액!$Y:$Y,INDEX('_예비비계산'!$BA$120:$BA$556,$AB57)))</f>
      </c>
      <c r="J57" s="511" t="n"/>
      <c r="K57" s="518">
        <f>IF($AB57=0,"",IF(COUNTIFS($C$430:$C$729,INDEX('_예비비계산'!$BA$120:$BA$556,$AB57),$N$430:$N$729,"OK")&gt;0,"정산 연결",INDEX(잔액!$B:$B,INDEX('_예비비계산'!$BA$120:$BA$556,$AB57))))</f>
      </c>
      <c r="L57" s="511" t="n"/>
      <c r="M57" s="518">
        <f>IF($AB57=0,"",HYPERLINK("#'잔액'!A"&amp;INDEX('_예비비계산'!$BA$120:$BA$556,$AB57),"원장 "&amp;INDEX('_예비비계산'!$BA$120:$BA$556,$AB57)&amp;"행 ↗"))</f>
      </c>
      <c r="N57" s="511" t="n"/>
      <c r="O57" s="511" t="n"/>
      <c r="AB57" s="504">
        <f>IFERROR(MATCH(($AC$50-1)*12+6,'_예비비계산'!$BH$120:$BH$556,0),0)</f>
        <v>0</v>
      </c>
    </row>
    <row r="58" ht="24" customHeight="1">
      <c r="A58" s="518">
        <f>IF($AB58=0,"",TEXT(INDEX(잔액!$A:$A,INDEX('_예비비계산'!$BA$120:$BA$556,$AB58)),IF(INDEX(잔액!$L:$L,INDEX('_예비비계산'!$BA$120:$BA$556,$AB58))="원본WRAP","yyyy-mm","yyyy-mm-dd")))</f>
      </c>
      <c r="B58" s="518">
        <f>IF($AB58=0,"",INDEX(잔액!$F:$F,INDEX('_예비비계산'!$BA$120:$BA$556,$AB58)))</f>
      </c>
      <c r="C58" s="511" t="n"/>
      <c r="D58" s="518">
        <f>IF($AB58=0,"",INDEX(잔액!$C:$C,INDEX('_예비비계산'!$BA$120:$BA$556,$AB58)))</f>
      </c>
      <c r="E58" s="511" t="n"/>
      <c r="F58" s="518">
        <f>IF($AB58=0,"",IF(INDEX(잔액!$K:$K,INDEX('_예비비계산'!$BA$120:$BA$556,$AB58))&lt;&gt;"",INDEX(잔액!$K:$K,INDEX('_예비비계산'!$BA$120:$BA$556,$AB58)),INDEX(잔액!$D:$D,INDEX('_예비비계산'!$BA$120:$BA$556,$AB58))))</f>
      </c>
      <c r="G58" s="511" t="n"/>
      <c r="H58" s="511" t="n"/>
      <c r="I58" s="521">
        <f>IF($AB58=0,"",INDEX(잔액!$Y:$Y,INDEX('_예비비계산'!$BA$120:$BA$556,$AB58)))</f>
      </c>
      <c r="J58" s="511" t="n"/>
      <c r="K58" s="518">
        <f>IF($AB58=0,"",IF(COUNTIFS($C$430:$C$729,INDEX('_예비비계산'!$BA$120:$BA$556,$AB58),$N$430:$N$729,"OK")&gt;0,"정산 연결",INDEX(잔액!$B:$B,INDEX('_예비비계산'!$BA$120:$BA$556,$AB58))))</f>
      </c>
      <c r="L58" s="511" t="n"/>
      <c r="M58" s="518">
        <f>IF($AB58=0,"",HYPERLINK("#'잔액'!A"&amp;INDEX('_예비비계산'!$BA$120:$BA$556,$AB58),"원장 "&amp;INDEX('_예비비계산'!$BA$120:$BA$556,$AB58)&amp;"행 ↗"))</f>
      </c>
      <c r="N58" s="511" t="n"/>
      <c r="O58" s="511" t="n"/>
      <c r="AB58" s="504">
        <f>IFERROR(MATCH(($AC$50-1)*12+7,'_예비비계산'!$BH$120:$BH$556,0),0)</f>
        <v>0</v>
      </c>
    </row>
    <row r="59" ht="24" customHeight="1">
      <c r="A59" s="518">
        <f>IF($AB59=0,"",TEXT(INDEX(잔액!$A:$A,INDEX('_예비비계산'!$BA$120:$BA$556,$AB59)),IF(INDEX(잔액!$L:$L,INDEX('_예비비계산'!$BA$120:$BA$556,$AB59))="원본WRAP","yyyy-mm","yyyy-mm-dd")))</f>
      </c>
      <c r="B59" s="518">
        <f>IF($AB59=0,"",INDEX(잔액!$F:$F,INDEX('_예비비계산'!$BA$120:$BA$556,$AB59)))</f>
      </c>
      <c r="C59" s="511" t="n"/>
      <c r="D59" s="518">
        <f>IF($AB59=0,"",INDEX(잔액!$C:$C,INDEX('_예비비계산'!$BA$120:$BA$556,$AB59)))</f>
      </c>
      <c r="E59" s="511" t="n"/>
      <c r="F59" s="518">
        <f>IF($AB59=0,"",IF(INDEX(잔액!$K:$K,INDEX('_예비비계산'!$BA$120:$BA$556,$AB59))&lt;&gt;"",INDEX(잔액!$K:$K,INDEX('_예비비계산'!$BA$120:$BA$556,$AB59)),INDEX(잔액!$D:$D,INDEX('_예비비계산'!$BA$120:$BA$556,$AB59))))</f>
      </c>
      <c r="G59" s="511" t="n"/>
      <c r="H59" s="511" t="n"/>
      <c r="I59" s="521">
        <f>IF($AB59=0,"",INDEX(잔액!$Y:$Y,INDEX('_예비비계산'!$BA$120:$BA$556,$AB59)))</f>
      </c>
      <c r="J59" s="511" t="n"/>
      <c r="K59" s="518">
        <f>IF($AB59=0,"",IF(COUNTIFS($C$430:$C$729,INDEX('_예비비계산'!$BA$120:$BA$556,$AB59),$N$430:$N$729,"OK")&gt;0,"정산 연결",INDEX(잔액!$B:$B,INDEX('_예비비계산'!$BA$120:$BA$556,$AB59))))</f>
      </c>
      <c r="L59" s="511" t="n"/>
      <c r="M59" s="518">
        <f>IF($AB59=0,"",HYPERLINK("#'잔액'!A"&amp;INDEX('_예비비계산'!$BA$120:$BA$556,$AB59),"원장 "&amp;INDEX('_예비비계산'!$BA$120:$BA$556,$AB59)&amp;"행 ↗"))</f>
      </c>
      <c r="N59" s="511" t="n"/>
      <c r="O59" s="511" t="n"/>
      <c r="AB59" s="504">
        <f>IFERROR(MATCH(($AC$50-1)*12+8,'_예비비계산'!$BH$120:$BH$556,0),0)</f>
        <v>0</v>
      </c>
    </row>
    <row r="60" ht="24" customHeight="1">
      <c r="A60" s="518">
        <f>IF($AB60=0,"",TEXT(INDEX(잔액!$A:$A,INDEX('_예비비계산'!$BA$120:$BA$556,$AB60)),IF(INDEX(잔액!$L:$L,INDEX('_예비비계산'!$BA$120:$BA$556,$AB60))="원본WRAP","yyyy-mm","yyyy-mm-dd")))</f>
      </c>
      <c r="B60" s="518">
        <f>IF($AB60=0,"",INDEX(잔액!$F:$F,INDEX('_예비비계산'!$BA$120:$BA$556,$AB60)))</f>
      </c>
      <c r="C60" s="511" t="n"/>
      <c r="D60" s="518">
        <f>IF($AB60=0,"",INDEX(잔액!$C:$C,INDEX('_예비비계산'!$BA$120:$BA$556,$AB60)))</f>
      </c>
      <c r="E60" s="511" t="n"/>
      <c r="F60" s="518">
        <f>IF($AB60=0,"",IF(INDEX(잔액!$K:$K,INDEX('_예비비계산'!$BA$120:$BA$556,$AB60))&lt;&gt;"",INDEX(잔액!$K:$K,INDEX('_예비비계산'!$BA$120:$BA$556,$AB60)),INDEX(잔액!$D:$D,INDEX('_예비비계산'!$BA$120:$BA$556,$AB60))))</f>
      </c>
      <c r="G60" s="511" t="n"/>
      <c r="H60" s="511" t="n"/>
      <c r="I60" s="521">
        <f>IF($AB60=0,"",INDEX(잔액!$Y:$Y,INDEX('_예비비계산'!$BA$120:$BA$556,$AB60)))</f>
      </c>
      <c r="J60" s="511" t="n"/>
      <c r="K60" s="518">
        <f>IF($AB60=0,"",IF(COUNTIFS($C$430:$C$729,INDEX('_예비비계산'!$BA$120:$BA$556,$AB60),$N$430:$N$729,"OK")&gt;0,"정산 연결",INDEX(잔액!$B:$B,INDEX('_예비비계산'!$BA$120:$BA$556,$AB60))))</f>
      </c>
      <c r="L60" s="511" t="n"/>
      <c r="M60" s="518">
        <f>IF($AB60=0,"",HYPERLINK("#'잔액'!A"&amp;INDEX('_예비비계산'!$BA$120:$BA$556,$AB60),"원장 "&amp;INDEX('_예비비계산'!$BA$120:$BA$556,$AB60)&amp;"행 ↗"))</f>
      </c>
      <c r="N60" s="511" t="n"/>
      <c r="O60" s="511" t="n"/>
      <c r="AB60" s="504">
        <f>IFERROR(MATCH(($AC$50-1)*12+9,'_예비비계산'!$BH$120:$BH$556,0),0)</f>
        <v>0</v>
      </c>
    </row>
    <row r="61" ht="24" customHeight="1">
      <c r="A61" s="518">
        <f>IF($AB61=0,"",TEXT(INDEX(잔액!$A:$A,INDEX('_예비비계산'!$BA$120:$BA$556,$AB61)),IF(INDEX(잔액!$L:$L,INDEX('_예비비계산'!$BA$120:$BA$556,$AB61))="원본WRAP","yyyy-mm","yyyy-mm-dd")))</f>
      </c>
      <c r="B61" s="518">
        <f>IF($AB61=0,"",INDEX(잔액!$F:$F,INDEX('_예비비계산'!$BA$120:$BA$556,$AB61)))</f>
      </c>
      <c r="C61" s="511" t="n"/>
      <c r="D61" s="518">
        <f>IF($AB61=0,"",INDEX(잔액!$C:$C,INDEX('_예비비계산'!$BA$120:$BA$556,$AB61)))</f>
      </c>
      <c r="E61" s="511" t="n"/>
      <c r="F61" s="518">
        <f>IF($AB61=0,"",IF(INDEX(잔액!$K:$K,INDEX('_예비비계산'!$BA$120:$BA$556,$AB61))&lt;&gt;"",INDEX(잔액!$K:$K,INDEX('_예비비계산'!$BA$120:$BA$556,$AB61)),INDEX(잔액!$D:$D,INDEX('_예비비계산'!$BA$120:$BA$556,$AB61))))</f>
      </c>
      <c r="G61" s="511" t="n"/>
      <c r="H61" s="511" t="n"/>
      <c r="I61" s="521">
        <f>IF($AB61=0,"",INDEX(잔액!$Y:$Y,INDEX('_예비비계산'!$BA$120:$BA$556,$AB61)))</f>
      </c>
      <c r="J61" s="511" t="n"/>
      <c r="K61" s="518">
        <f>IF($AB61=0,"",IF(COUNTIFS($C$430:$C$729,INDEX('_예비비계산'!$BA$120:$BA$556,$AB61),$N$430:$N$729,"OK")&gt;0,"정산 연결",INDEX(잔액!$B:$B,INDEX('_예비비계산'!$BA$120:$BA$556,$AB61))))</f>
      </c>
      <c r="L61" s="511" t="n"/>
      <c r="M61" s="518">
        <f>IF($AB61=0,"",HYPERLINK("#'잔액'!A"&amp;INDEX('_예비비계산'!$BA$120:$BA$556,$AB61),"원장 "&amp;INDEX('_예비비계산'!$BA$120:$BA$556,$AB61)&amp;"행 ↗"))</f>
      </c>
      <c r="N61" s="511" t="n"/>
      <c r="O61" s="511" t="n"/>
      <c r="AB61" s="504">
        <f>IFERROR(MATCH(($AC$50-1)*12+10,'_예비비계산'!$BH$120:$BH$556,0),0)</f>
        <v>0</v>
      </c>
    </row>
    <row r="62" ht="24" customHeight="1">
      <c r="A62" s="518">
        <f>IF($AB62=0,"",TEXT(INDEX(잔액!$A:$A,INDEX('_예비비계산'!$BA$120:$BA$556,$AB62)),IF(INDEX(잔액!$L:$L,INDEX('_예비비계산'!$BA$120:$BA$556,$AB62))="원본WRAP","yyyy-mm","yyyy-mm-dd")))</f>
      </c>
      <c r="B62" s="518">
        <f>IF($AB62=0,"",INDEX(잔액!$F:$F,INDEX('_예비비계산'!$BA$120:$BA$556,$AB62)))</f>
      </c>
      <c r="C62" s="511" t="n"/>
      <c r="D62" s="518">
        <f>IF($AB62=0,"",INDEX(잔액!$C:$C,INDEX('_예비비계산'!$BA$120:$BA$556,$AB62)))</f>
      </c>
      <c r="E62" s="511" t="n"/>
      <c r="F62" s="518">
        <f>IF($AB62=0,"",IF(INDEX(잔액!$K:$K,INDEX('_예비비계산'!$BA$120:$BA$556,$AB62))&lt;&gt;"",INDEX(잔액!$K:$K,INDEX('_예비비계산'!$BA$120:$BA$556,$AB62)),INDEX(잔액!$D:$D,INDEX('_예비비계산'!$BA$120:$BA$556,$AB62))))</f>
      </c>
      <c r="G62" s="511" t="n"/>
      <c r="H62" s="511" t="n"/>
      <c r="I62" s="521">
        <f>IF($AB62=0,"",INDEX(잔액!$Y:$Y,INDEX('_예비비계산'!$BA$120:$BA$556,$AB62)))</f>
      </c>
      <c r="J62" s="511" t="n"/>
      <c r="K62" s="518">
        <f>IF($AB62=0,"",IF(COUNTIFS($C$430:$C$729,INDEX('_예비비계산'!$BA$120:$BA$556,$AB62),$N$430:$N$729,"OK")&gt;0,"정산 연결",INDEX(잔액!$B:$B,INDEX('_예비비계산'!$BA$120:$BA$556,$AB62))))</f>
      </c>
      <c r="L62" s="511" t="n"/>
      <c r="M62" s="518">
        <f>IF($AB62=0,"",HYPERLINK("#'잔액'!A"&amp;INDEX('_예비비계산'!$BA$120:$BA$556,$AB62),"원장 "&amp;INDEX('_예비비계산'!$BA$120:$BA$556,$AB62)&amp;"행 ↗"))</f>
      </c>
      <c r="N62" s="511" t="n"/>
      <c r="O62" s="511" t="n"/>
      <c r="AB62" s="504">
        <f>IFERROR(MATCH(($AC$50-1)*12+11,'_예비비계산'!$BH$120:$BH$556,0),0)</f>
        <v>0</v>
      </c>
    </row>
    <row r="63" ht="24" customHeight="1">
      <c r="A63" s="518">
        <f>IF($AB63=0,"",TEXT(INDEX(잔액!$A:$A,INDEX('_예비비계산'!$BA$120:$BA$556,$AB63)),IF(INDEX(잔액!$L:$L,INDEX('_예비비계산'!$BA$120:$BA$556,$AB63))="원본WRAP","yyyy-mm","yyyy-mm-dd")))</f>
      </c>
      <c r="B63" s="518">
        <f>IF($AB63=0,"",INDEX(잔액!$F:$F,INDEX('_예비비계산'!$BA$120:$BA$556,$AB63)))</f>
      </c>
      <c r="C63" s="511" t="n"/>
      <c r="D63" s="518">
        <f>IF($AB63=0,"",INDEX(잔액!$C:$C,INDEX('_예비비계산'!$BA$120:$BA$556,$AB63)))</f>
      </c>
      <c r="E63" s="511" t="n"/>
      <c r="F63" s="518">
        <f>IF($AB63=0,"",IF(INDEX(잔액!$K:$K,INDEX('_예비비계산'!$BA$120:$BA$556,$AB63))&lt;&gt;"",INDEX(잔액!$K:$K,INDEX('_예비비계산'!$BA$120:$BA$556,$AB63)),INDEX(잔액!$D:$D,INDEX('_예비비계산'!$BA$120:$BA$556,$AB63))))</f>
      </c>
      <c r="G63" s="511" t="n"/>
      <c r="H63" s="511" t="n"/>
      <c r="I63" s="521">
        <f>IF($AB63=0,"",INDEX(잔액!$Y:$Y,INDEX('_예비비계산'!$BA$120:$BA$556,$AB63)))</f>
      </c>
      <c r="J63" s="511" t="n"/>
      <c r="K63" s="518">
        <f>IF($AB63=0,"",IF(COUNTIFS($C$430:$C$729,INDEX('_예비비계산'!$BA$120:$BA$556,$AB63),$N$430:$N$729,"OK")&gt;0,"정산 연결",INDEX(잔액!$B:$B,INDEX('_예비비계산'!$BA$120:$BA$556,$AB63))))</f>
      </c>
      <c r="L63" s="511" t="n"/>
      <c r="M63" s="518">
        <f>IF($AB63=0,"",HYPERLINK("#'잔액'!A"&amp;INDEX('_예비비계산'!$BA$120:$BA$556,$AB63),"원장 "&amp;INDEX('_예비비계산'!$BA$120:$BA$556,$AB63)&amp;"행 ↗"))</f>
      </c>
      <c r="N63" s="511" t="n"/>
      <c r="O63" s="511" t="n"/>
      <c r="AB63" s="504">
        <f>IFERROR(MATCH(($AC$50-1)*12+12,'_예비비계산'!$BH$120:$BH$556,0),0)</f>
        <v>0</v>
      </c>
    </row>
    <row r="64" ht="24" customHeight="1">
      <c r="A64" s="506" t="n"/>
      <c r="B64" s="506" t="n"/>
      <c r="C64" s="506" t="n"/>
      <c r="D64" s="506" t="n"/>
      <c r="E64" s="506" t="n"/>
      <c r="F64" s="506" t="n"/>
      <c r="G64" s="506" t="n"/>
      <c r="H64" s="506" t="n"/>
      <c r="I64" s="506" t="n"/>
      <c r="J64" s="506" t="n"/>
      <c r="K64" s="506" t="n"/>
      <c r="L64" s="506" t="n"/>
      <c r="M64" s="506" t="n"/>
      <c r="N64" s="506" t="n"/>
      <c r="O64" s="506" t="n"/>
    </row>
    <row r="65" ht="24" customHeight="1">
      <c r="A6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65" s="503" t="n"/>
      <c r="C65" s="503" t="n"/>
      <c r="D65" s="503" t="n"/>
      <c r="E65" s="503" t="n"/>
      <c r="F65" s="503" t="n"/>
      <c r="G65" s="503" t="n"/>
      <c r="H65" s="503" t="n"/>
      <c r="I65" s="503" t="n"/>
      <c r="J65" s="503" t="n"/>
      <c r="K65" s="503" t="n"/>
      <c r="L65" s="503" t="n"/>
      <c r="M65" s="503" t="n"/>
      <c r="N65" s="503" t="n"/>
      <c r="O65" s="503" t="n"/>
    </row>
    <row r="66" ht="24" customHeight="1">
      <c r="A66" s="502" t="inlineStr">
        <is>
          <t xml:space="preserve">생신 사용 239,000원 = 명절비 200,000 + 임시보관 39,000. 잔금 61,000원 회수는 신규 수입·사용이 아닙니다.</t>
        </is>
      </c>
      <c r="B66" s="503" t="n"/>
      <c r="C66" s="503" t="n"/>
      <c r="D66" s="503" t="n"/>
      <c r="E66" s="503" t="n"/>
      <c r="F66" s="503" t="n"/>
      <c r="G66" s="503" t="n"/>
      <c r="H66" s="503" t="n"/>
      <c r="I66" s="503" t="n"/>
      <c r="J66" s="503" t="n"/>
      <c r="K66" s="503" t="n"/>
      <c r="L66" s="503" t="n"/>
      <c r="M66" s="503" t="n"/>
      <c r="N66" s="503" t="n"/>
      <c r="O66" s="503" t="n"/>
    </row>
    <row r="67" ht="24" customHeight="1">
      <c r="A67" s="506" t="n"/>
      <c r="B67" s="506" t="n"/>
      <c r="C67" s="506" t="n"/>
      <c r="D67" s="506" t="n"/>
      <c r="E67" s="506" t="n"/>
      <c r="F67" s="506" t="n"/>
      <c r="G67" s="506" t="n"/>
      <c r="H67" s="506" t="n"/>
      <c r="I67" s="506" t="n"/>
      <c r="J67" s="506" t="n"/>
      <c r="K67" s="506" t="n"/>
      <c r="L67" s="506" t="n"/>
      <c r="M67" s="506" t="n"/>
      <c r="N67" s="506" t="n"/>
      <c r="O67" s="506" t="n"/>
    </row>
    <row r="68" ht="24" customHeight="1">
      <c r="A68" s="502" t="str">
        <f>HYPERLINK("#'예비비'!A98","사용 등록 자료 펼치기 ↓")</f>
        <v>사용 등록 자료 펼치기 ↓</v>
      </c>
      <c r="B68" s="503" t="n"/>
      <c r="C68" s="503" t="n"/>
      <c r="D68" s="503" t="n"/>
      <c r="E68" s="503" t="n"/>
      <c r="F68" s="503" t="n"/>
      <c r="G68" s="503" t="n"/>
      <c r="H68" s="503" t="n"/>
      <c r="I68" s="503" t="n"/>
      <c r="J68" s="503" t="n"/>
      <c r="K68" s="503" t="n"/>
      <c r="L68" s="503" t="n"/>
      <c r="M68" s="503" t="n"/>
      <c r="N68" s="503" t="n"/>
      <c r="O68" s="503" t="n"/>
    </row>
    <row r="69" ht="24" customHeight="1">
      <c r="A69" s="502" t="str">
        <f>HYPERLINK("#'예비비'!A428","이체 연결 자료 펼치기 ↓")</f>
        <v>이체 연결 자료 펼치기 ↓</v>
      </c>
      <c r="B69" s="503" t="n"/>
      <c r="C69" s="503" t="n"/>
      <c r="D69" s="503" t="n"/>
      <c r="E69" s="503" t="n"/>
      <c r="F69" s="503" t="n"/>
      <c r="G69" s="503" t="n"/>
      <c r="H69" s="503" t="n"/>
      <c r="I69" s="503" t="n"/>
      <c r="J69" s="503" t="n"/>
      <c r="K69" s="503" t="n"/>
      <c r="L69" s="503" t="n"/>
      <c r="M69" s="503" t="n"/>
      <c r="N69" s="503" t="n"/>
      <c r="O6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IF(AND(R100="OK",IF($B$33="전체",D100&lt;EDATE($B$3,1),IF($B$33="미정산",U100&gt;0,OR(S100=$B$3,Z100&gt;0,U100&gt;0)))),1,0)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IF(AND(R101="OK",IF($B$33="전체",D101&lt;EDATE($B$3,1),IF($B$33="미정산",U101&gt;0,OR(S101=$B$3,Z101&gt;0,U101&gt;0)))),1,0)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IF(AND(R102="OK",IF($B$33="전체",D102&lt;EDATE($B$3,1),IF($B$33="미정산",U102&gt;0,OR(S102=$B$3,Z102&gt;0,U102&gt;0)))),1,0)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IF(AND(R103="OK",IF($B$33="전체",D103&lt;EDATE($B$3,1),IF($B$33="미정산",U103&gt;0,OR(S103=$B$3,Z103&gt;0,U103&gt;0)))),1,0)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IF(AND(R104="OK",IF($B$33="전체",D104&lt;EDATE($B$3,1),IF($B$33="미정산",U104&gt;0,OR(S104=$B$3,Z104&gt;0,U104&gt;0)))),1,0)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IF(AND(R105="OK",IF($B$33="전체",D105&lt;EDATE($B$3,1),IF($B$33="미정산",U105&gt;0,OR(S105=$B$3,Z105&gt;0,U105&gt;0)))),1,0)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IF(AND(R106="OK",IF($B$33="전체",D106&lt;EDATE($B$3,1),IF($B$33="미정산",U106&gt;0,OR(S106=$B$3,Z106&gt;0,U106&gt;0)))),1,0)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>
        <v>239000</v>
      </c>
      <c r="F107" s="522" t="n"/>
      <c r="G107" s="504" t="inlineStr">
        <is>
          <t>월기록</t>
        </is>
      </c>
      <c r="H107" s="504" t="inlineStr">
        <is>
          <t xml:space="preserve">본인 납입 300,000 − 잔금 회수 61,000 = 239,000. 명절비 200,000 + 임시보관 39,000. 가족통장 이자 25원 별도.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239000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IF(AND(R107="OK",IF($B$33="전체",D107&lt;EDATE($B$3,1),IF($B$33="미정산",U107&gt;0,OR(S107=$B$3,Z107&gt;0,U107&gt;0)))),1,0)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IF(AND(R108="OK",IF($B$33="전체",D108&lt;EDATE($B$3,1),IF($B$33="미정산",U108&gt;0,OR(S108=$B$3,Z108&gt;0,U108&gt;0)))),1,0)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IF(AND(R109="OK",IF($B$33="전체",D109&lt;EDATE($B$3,1),IF($B$33="미정산",U109&gt;0,OR(S109=$B$3,Z109&gt;0,U109&gt;0)))),1,0)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IF(AND(R110="OK",IF($B$33="전체",D110&lt;EDATE($B$3,1),IF($B$33="미정산",U110&gt;0,OR(S110=$B$3,Z110&gt;0,U110&gt;0)))),1,0)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IF(AND(R111="OK",IF($B$33="전체",D111&lt;EDATE($B$3,1),IF($B$33="미정산",U111&gt;0,OR(S111=$B$3,Z111&gt;0,U111&gt;0)))),1,0)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IF(AND(R112="OK",IF($B$33="전체",D112&lt;EDATE($B$3,1),IF($B$33="미정산",U112&gt;0,OR(S112=$B$3,Z112&gt;0,U112&gt;0)))),1,0)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IF(AND(R113="OK",IF($B$33="전체",D113&lt;EDATE($B$3,1),IF($B$33="미정산",U113&gt;0,OR(S113=$B$3,Z113&gt;0,U113&gt;0)))),1,0)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IF(AND(R114="OK",IF($B$33="전체",D114&lt;EDATE($B$3,1),IF($B$33="미정산",U114&gt;0,OR(S114=$B$3,Z114&gt;0,U114&gt;0)))),1,0)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IF(AND(R115="OK",IF($B$33="전체",D115&lt;EDATE($B$3,1),IF($B$33="미정산",U115&gt;0,OR(S115=$B$3,Z115&gt;0,U115&gt;0)))),1,0)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IF(AND(R116="OK",IF($B$33="전체",D116&lt;EDATE($B$3,1),IF($B$33="미정산",U116&gt;0,OR(S116=$B$3,Z116&gt;0,U116&gt;0)))),1,0)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IF(AND(R117="OK",IF($B$33="전체",D117&lt;EDATE($B$3,1),IF($B$33="미정산",U117&gt;0,OR(S117=$B$3,Z117&gt;0,U117&gt;0)))),1,0)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IF(AND(R118="OK",IF($B$33="전체",D118&lt;EDATE($B$3,1),IF($B$33="미정산",U118&gt;0,OR(S118=$B$3,Z118&gt;0,U118&gt;0)))),1,0)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IF(AND(R119="OK",IF($B$33="전체",D119&lt;EDATE($B$3,1),IF($B$33="미정산",U119&gt;0,OR(S119=$B$3,Z119&gt;0,U119&gt;0)))),1,0)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IF(AND(R120="OK",IF($B$33="전체",D120&lt;EDATE($B$3,1),IF($B$33="미정산",U120&gt;0,OR(S120=$B$3,Z120&gt;0,U120&gt;0)))),1,0)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IF(AND(R121="OK",IF($B$33="전체",D121&lt;EDATE($B$3,1),IF($B$33="미정산",U121&gt;0,OR(S121=$B$3,Z121&gt;0,U121&gt;0)))),1,0)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IF(AND(R122="OK",IF($B$33="전체",D122&lt;EDATE($B$3,1),IF($B$33="미정산",U122&gt;0,OR(S122=$B$3,Z122&gt;0,U122&gt;0)))),1,0)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IF(AND(R123="OK",IF($B$33="전체",D123&lt;EDATE($B$3,1),IF($B$33="미정산",U123&gt;0,OR(S123=$B$3,Z123&gt;0,U123&gt;0)))),1,0)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IF(AND(R124="OK",IF($B$33="전체",D124&lt;EDATE($B$3,1),IF($B$33="미정산",U124&gt;0,OR(S124=$B$3,Z124&gt;0,U124&gt;0)))),1,0)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IF(AND(R125="OK",IF($B$33="전체",D125&lt;EDATE($B$3,1),IF($B$33="미정산",U125&gt;0,OR(S125=$B$3,Z125&gt;0,U125&gt;0)))),1,0)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IF(AND(R126="OK",IF($B$33="전체",D126&lt;EDATE($B$3,1),IF($B$33="미정산",U126&gt;0,OR(S126=$B$3,Z126&gt;0,U126&gt;0)))),1,0)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IF(AND(R127="OK",IF($B$33="전체",D127&lt;EDATE($B$3,1),IF($B$33="미정산",U127&gt;0,OR(S127=$B$3,Z127&gt;0,U127&gt;0)))),1,0)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IF(AND(R128="OK",IF($B$33="전체",D128&lt;EDATE($B$3,1),IF($B$33="미정산",U128&gt;0,OR(S128=$B$3,Z128&gt;0,U128&gt;0)))),1,0)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IF(AND(R129="OK",IF($B$33="전체",D129&lt;EDATE($B$3,1),IF($B$33="미정산",U129&gt;0,OR(S129=$B$3,Z129&gt;0,U129&gt;0)))),1,0)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IF(AND(R130="OK",IF($B$33="전체",D130&lt;EDATE($B$3,1),IF($B$33="미정산",U130&gt;0,OR(S130=$B$3,Z130&gt;0,U130&gt;0)))),1,0)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IF(AND(R131="OK",IF($B$33="전체",D131&lt;EDATE($B$3,1),IF($B$33="미정산",U131&gt;0,OR(S131=$B$3,Z131&gt;0,U131&gt;0)))),1,0)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IF(AND(R132="OK",IF($B$33="전체",D132&lt;EDATE($B$3,1),IF($B$33="미정산",U132&gt;0,OR(S132=$B$3,Z132&gt;0,U132&gt;0)))),1,0)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IF(AND(R133="OK",IF($B$33="전체",D133&lt;EDATE($B$3,1),IF($B$33="미정산",U133&gt;0,OR(S133=$B$3,Z133&gt;0,U133&gt;0)))),1,0)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IF(AND(R134="OK",IF($B$33="전체",D134&lt;EDATE($B$3,1),IF($B$33="미정산",U134&gt;0,OR(S134=$B$3,Z134&gt;0,U134&gt;0)))),1,0)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IF(AND(R135="OK",IF($B$33="전체",D135&lt;EDATE($B$3,1),IF($B$33="미정산",U135&gt;0,OR(S135=$B$3,Z135&gt;0,U135&gt;0)))),1,0)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IF(AND(R136="OK",IF($B$33="전체",D136&lt;EDATE($B$3,1),IF($B$33="미정산",U136&gt;0,OR(S136=$B$3,Z136&gt;0,U136&gt;0)))),1,0)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IF(AND(R137="OK",IF($B$33="전체",D137&lt;EDATE($B$3,1),IF($B$33="미정산",U137&gt;0,OR(S137=$B$3,Z137&gt;0,U137&gt;0)))),1,0)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IF(AND(R138="OK",IF($B$33="전체",D138&lt;EDATE($B$3,1),IF($B$33="미정산",U138&gt;0,OR(S138=$B$3,Z138&gt;0,U138&gt;0)))),1,0)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IF(AND(R139="OK",IF($B$33="전체",D139&lt;EDATE($B$3,1),IF($B$33="미정산",U139&gt;0,OR(S139=$B$3,Z139&gt;0,U139&gt;0)))),1,0)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IF(AND(R140="OK",IF($B$33="전체",D140&lt;EDATE($B$3,1),IF($B$33="미정산",U140&gt;0,OR(S140=$B$3,Z140&gt;0,U140&gt;0)))),1,0)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IF(AND(R141="OK",IF($B$33="전체",D141&lt;EDATE($B$3,1),IF($B$33="미정산",U141&gt;0,OR(S141=$B$3,Z141&gt;0,U141&gt;0)))),1,0)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IF(AND(R142="OK",IF($B$33="전체",D142&lt;EDATE($B$3,1),IF($B$33="미정산",U142&gt;0,OR(S142=$B$3,Z142&gt;0,U142&gt;0)))),1,0)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IF(AND(R143="OK",IF($B$33="전체",D143&lt;EDATE($B$3,1),IF($B$33="미정산",U143&gt;0,OR(S143=$B$3,Z143&gt;0,U143&gt;0)))),1,0)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IF(AND(R144="OK",IF($B$33="전체",D144&lt;EDATE($B$3,1),IF($B$33="미정산",U144&gt;0,OR(S144=$B$3,Z144&gt;0,U144&gt;0)))),1,0)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IF(AND(R145="OK",IF($B$33="전체",D145&lt;EDATE($B$3,1),IF($B$33="미정산",U145&gt;0,OR(S145=$B$3,Z145&gt;0,U145&gt;0)))),1,0)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IF(AND(R146="OK",IF($B$33="전체",D146&lt;EDATE($B$3,1),IF($B$33="미정산",U146&gt;0,OR(S146=$B$3,Z146&gt;0,U146&gt;0)))),1,0)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IF(AND(R147="OK",IF($B$33="전체",D147&lt;EDATE($B$3,1),IF($B$33="미정산",U147&gt;0,OR(S147=$B$3,Z147&gt;0,U147&gt;0)))),1,0)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IF(AND(R148="OK",IF($B$33="전체",D148&lt;EDATE($B$3,1),IF($B$33="미정산",U148&gt;0,OR(S148=$B$3,Z148&gt;0,U148&gt;0)))),1,0)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IF(AND(R149="OK",IF($B$33="전체",D149&lt;EDATE($B$3,1),IF($B$33="미정산",U149&gt;0,OR(S149=$B$3,Z149&gt;0,U149&gt;0)))),1,0)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IF(AND(R150="OK",IF($B$33="전체",D150&lt;EDATE($B$3,1),IF($B$33="미정산",U150&gt;0,OR(S150=$B$3,Z150&gt;0,U150&gt;0)))),1,0)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IF(AND(R151="OK",IF($B$33="전체",D151&lt;EDATE($B$3,1),IF($B$33="미정산",U151&gt;0,OR(S151=$B$3,Z151&gt;0,U151&gt;0)))),1,0)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IF(AND(R152="OK",IF($B$33="전체",D152&lt;EDATE($B$3,1),IF($B$33="미정산",U152&gt;0,OR(S152=$B$3,Z152&gt;0,U152&gt;0)))),1,0)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IF(AND(R153="OK",IF($B$33="전체",D153&lt;EDATE($B$3,1),IF($B$33="미정산",U153&gt;0,OR(S153=$B$3,Z153&gt;0,U153&gt;0)))),1,0)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IF(AND(R154="OK",IF($B$33="전체",D154&lt;EDATE($B$3,1),IF($B$33="미정산",U154&gt;0,OR(S154=$B$3,Z154&gt;0,U154&gt;0)))),1,0)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IF(AND(R155="OK",IF($B$33="전체",D155&lt;EDATE($B$3,1),IF($B$33="미정산",U155&gt;0,OR(S155=$B$3,Z155&gt;0,U155&gt;0)))),1,0)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IF(AND(R156="OK",IF($B$33="전체",D156&lt;EDATE($B$3,1),IF($B$33="미정산",U156&gt;0,OR(S156=$B$3,Z156&gt;0,U156&gt;0)))),1,0)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IF(AND(R157="OK",IF($B$33="전체",D157&lt;EDATE($B$3,1),IF($B$33="미정산",U157&gt;0,OR(S157=$B$3,Z157&gt;0,U157&gt;0)))),1,0)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IF(AND(R158="OK",IF($B$33="전체",D158&lt;EDATE($B$3,1),IF($B$33="미정산",U158&gt;0,OR(S158=$B$3,Z158&gt;0,U158&gt;0)))),1,0)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IF(AND(R159="OK",IF($B$33="전체",D159&lt;EDATE($B$3,1),IF($B$33="미정산",U159&gt;0,OR(S159=$B$3,Z159&gt;0,U159&gt;0)))),1,0)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IF(AND(R160="OK",IF($B$33="전체",D160&lt;EDATE($B$3,1),IF($B$33="미정산",U160&gt;0,OR(S160=$B$3,Z160&gt;0,U160&gt;0)))),1,0)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IF(AND(R161="OK",IF($B$33="전체",D161&lt;EDATE($B$3,1),IF($B$33="미정산",U161&gt;0,OR(S161=$B$3,Z161&gt;0,U161&gt;0)))),1,0)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IF(AND(R162="OK",IF($B$33="전체",D162&lt;EDATE($B$3,1),IF($B$33="미정산",U162&gt;0,OR(S162=$B$3,Z162&gt;0,U162&gt;0)))),1,0)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IF(AND(R163="OK",IF($B$33="전체",D163&lt;EDATE($B$3,1),IF($B$33="미정산",U163&gt;0,OR(S163=$B$3,Z163&gt;0,U163&gt;0)))),1,0)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IF(AND(R164="OK",IF($B$33="전체",D164&lt;EDATE($B$3,1),IF($B$33="미정산",U164&gt;0,OR(S164=$B$3,Z164&gt;0,U164&gt;0)))),1,0)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IF(AND(R165="OK",IF($B$33="전체",D165&lt;EDATE($B$3,1),IF($B$33="미정산",U165&gt;0,OR(S165=$B$3,Z165&gt;0,U165&gt;0)))),1,0)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IF(AND(R166="OK",IF($B$33="전체",D166&lt;EDATE($B$3,1),IF($B$33="미정산",U166&gt;0,OR(S166=$B$3,Z166&gt;0,U166&gt;0)))),1,0)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IF(AND(R167="OK",IF($B$33="전체",D167&lt;EDATE($B$3,1),IF($B$33="미정산",U167&gt;0,OR(S167=$B$3,Z167&gt;0,U167&gt;0)))),1,0)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IF(AND(R168="OK",IF($B$33="전체",D168&lt;EDATE($B$3,1),IF($B$33="미정산",U168&gt;0,OR(S168=$B$3,Z168&gt;0,U168&gt;0)))),1,0)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IF(AND(R169="OK",IF($B$33="전체",D169&lt;EDATE($B$3,1),IF($B$33="미정산",U169&gt;0,OR(S169=$B$3,Z169&gt;0,U169&gt;0)))),1,0)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IF(AND(R170="OK",IF($B$33="전체",D170&lt;EDATE($B$3,1),IF($B$33="미정산",U170&gt;0,OR(S170=$B$3,Z170&gt;0,U170&gt;0)))),1,0)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IF(AND(R171="OK",IF($B$33="전체",D171&lt;EDATE($B$3,1),IF($B$33="미정산",U171&gt;0,OR(S171=$B$3,Z171&gt;0,U171&gt;0)))),1,0)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IF(AND(R172="OK",IF($B$33="전체",D172&lt;EDATE($B$3,1),IF($B$33="미정산",U172&gt;0,OR(S172=$B$3,Z172&gt;0,U172&gt;0)))),1,0)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IF(AND(R173="OK",IF($B$33="전체",D173&lt;EDATE($B$3,1),IF($B$33="미정산",U173&gt;0,OR(S173=$B$3,Z173&gt;0,U173&gt;0)))),1,0)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IF(AND(R174="OK",IF($B$33="전체",D174&lt;EDATE($B$3,1),IF($B$33="미정산",U174&gt;0,OR(S174=$B$3,Z174&gt;0,U174&gt;0)))),1,0)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IF(AND(R175="OK",IF($B$33="전체",D175&lt;EDATE($B$3,1),IF($B$33="미정산",U175&gt;0,OR(S175=$B$3,Z175&gt;0,U175&gt;0)))),1,0)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IF(AND(R176="OK",IF($B$33="전체",D176&lt;EDATE($B$3,1),IF($B$33="미정산",U176&gt;0,OR(S176=$B$3,Z176&gt;0,U176&gt;0)))),1,0)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IF(AND(R177="OK",IF($B$33="전체",D177&lt;EDATE($B$3,1),IF($B$33="미정산",U177&gt;0,OR(S177=$B$3,Z177&gt;0,U177&gt;0)))),1,0)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IF(AND(R178="OK",IF($B$33="전체",D178&lt;EDATE($B$3,1),IF($B$33="미정산",U178&gt;0,OR(S178=$B$3,Z178&gt;0,U178&gt;0)))),1,0)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IF(AND(R179="OK",IF($B$33="전체",D179&lt;EDATE($B$3,1),IF($B$33="미정산",U179&gt;0,OR(S179=$B$3,Z179&gt;0,U179&gt;0)))),1,0)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IF(AND(R180="OK",IF($B$33="전체",D180&lt;EDATE($B$3,1),IF($B$33="미정산",U180&gt;0,OR(S180=$B$3,Z180&gt;0,U180&gt;0)))),1,0)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IF(AND(R181="OK",IF($B$33="전체",D181&lt;EDATE($B$3,1),IF($B$33="미정산",U181&gt;0,OR(S181=$B$3,Z181&gt;0,U181&gt;0)))),1,0)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IF(AND(R182="OK",IF($B$33="전체",D182&lt;EDATE($B$3,1),IF($B$33="미정산",U182&gt;0,OR(S182=$B$3,Z182&gt;0,U182&gt;0)))),1,0)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IF(AND(R183="OK",IF($B$33="전체",D183&lt;EDATE($B$3,1),IF($B$33="미정산",U183&gt;0,OR(S183=$B$3,Z183&gt;0,U183&gt;0)))),1,0)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IF(AND(R184="OK",IF($B$33="전체",D184&lt;EDATE($B$3,1),IF($B$33="미정산",U184&gt;0,OR(S184=$B$3,Z184&gt;0,U184&gt;0)))),1,0)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IF(AND(R185="OK",IF($B$33="전체",D185&lt;EDATE($B$3,1),IF($B$33="미정산",U185&gt;0,OR(S185=$B$3,Z185&gt;0,U185&gt;0)))),1,0)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IF(AND(R186="OK",IF($B$33="전체",D186&lt;EDATE($B$3,1),IF($B$33="미정산",U186&gt;0,OR(S186=$B$3,Z186&gt;0,U186&gt;0)))),1,0)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IF(AND(R187="OK",IF($B$33="전체",D187&lt;EDATE($B$3,1),IF($B$33="미정산",U187&gt;0,OR(S187=$B$3,Z187&gt;0,U187&gt;0)))),1,0)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IF(AND(R188="OK",IF($B$33="전체",D188&lt;EDATE($B$3,1),IF($B$33="미정산",U188&gt;0,OR(S188=$B$3,Z188&gt;0,U188&gt;0)))),1,0)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IF(AND(R189="OK",IF($B$33="전체",D189&lt;EDATE($B$3,1),IF($B$33="미정산",U189&gt;0,OR(S189=$B$3,Z189&gt;0,U189&gt;0)))),1,0)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IF(AND(R190="OK",IF($B$33="전체",D190&lt;EDATE($B$3,1),IF($B$33="미정산",U190&gt;0,OR(S190=$B$3,Z190&gt;0,U190&gt;0)))),1,0)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IF(AND(R191="OK",IF($B$33="전체",D191&lt;EDATE($B$3,1),IF($B$33="미정산",U191&gt;0,OR(S191=$B$3,Z191&gt;0,U191&gt;0)))),1,0)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IF(AND(R192="OK",IF($B$33="전체",D192&lt;EDATE($B$3,1),IF($B$33="미정산",U192&gt;0,OR(S192=$B$3,Z192&gt;0,U192&gt;0)))),1,0)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IF(AND(R193="OK",IF($B$33="전체",D193&lt;EDATE($B$3,1),IF($B$33="미정산",U193&gt;0,OR(S193=$B$3,Z193&gt;0,U193&gt;0)))),1,0)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IF(AND(R194="OK",IF($B$33="전체",D194&lt;EDATE($B$3,1),IF($B$33="미정산",U194&gt;0,OR(S194=$B$3,Z194&gt;0,U194&gt;0)))),1,0)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IF(AND(R195="OK",IF($B$33="전체",D195&lt;EDATE($B$3,1),IF($B$33="미정산",U195&gt;0,OR(S195=$B$3,Z195&gt;0,U195&gt;0)))),1,0)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IF(AND(R196="OK",IF($B$33="전체",D196&lt;EDATE($B$3,1),IF($B$33="미정산",U196&gt;0,OR(S196=$B$3,Z196&gt;0,U196&gt;0)))),1,0)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IF(AND(R197="OK",IF($B$33="전체",D197&lt;EDATE($B$3,1),IF($B$33="미정산",U197&gt;0,OR(S197=$B$3,Z197&gt;0,U197&gt;0)))),1,0)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IF(AND(R198="OK",IF($B$33="전체",D198&lt;EDATE($B$3,1),IF($B$33="미정산",U198&gt;0,OR(S198=$B$3,Z198&gt;0,U198&gt;0)))),1,0)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IF(AND(R199="OK",IF($B$33="전체",D199&lt;EDATE($B$3,1),IF($B$33="미정산",U199&gt;0,OR(S199=$B$3,Z199&gt;0,U199&gt;0)))),1,0)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IF(AND(R200="OK",IF($B$33="전체",D200&lt;EDATE($B$3,1),IF($B$33="미정산",U200&gt;0,OR(S200=$B$3,Z200&gt;0,U200&gt;0)))),1,0)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IF(AND(R201="OK",IF($B$33="전체",D201&lt;EDATE($B$3,1),IF($B$33="미정산",U201&gt;0,OR(S201=$B$3,Z201&gt;0,U201&gt;0)))),1,0)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IF(AND(R202="OK",IF($B$33="전체",D202&lt;EDATE($B$3,1),IF($B$33="미정산",U202&gt;0,OR(S202=$B$3,Z202&gt;0,U202&gt;0)))),1,0)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IF(AND(R203="OK",IF($B$33="전체",D203&lt;EDATE($B$3,1),IF($B$33="미정산",U203&gt;0,OR(S203=$B$3,Z203&gt;0,U203&gt;0)))),1,0)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IF(AND(R204="OK",IF($B$33="전체",D204&lt;EDATE($B$3,1),IF($B$33="미정산",U204&gt;0,OR(S204=$B$3,Z204&gt;0,U204&gt;0)))),1,0)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IF(AND(R205="OK",IF($B$33="전체",D205&lt;EDATE($B$3,1),IF($B$33="미정산",U205&gt;0,OR(S205=$B$3,Z205&gt;0,U205&gt;0)))),1,0)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IF(AND(R206="OK",IF($B$33="전체",D206&lt;EDATE($B$3,1),IF($B$33="미정산",U206&gt;0,OR(S206=$B$3,Z206&gt;0,U206&gt;0)))),1,0)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IF(AND(R207="OK",IF($B$33="전체",D207&lt;EDATE($B$3,1),IF($B$33="미정산",U207&gt;0,OR(S207=$B$3,Z207&gt;0,U207&gt;0)))),1,0)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IF(AND(R208="OK",IF($B$33="전체",D208&lt;EDATE($B$3,1),IF($B$33="미정산",U208&gt;0,OR(S208=$B$3,Z208&gt;0,U208&gt;0)))),1,0)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IF(AND(R209="OK",IF($B$33="전체",D209&lt;EDATE($B$3,1),IF($B$33="미정산",U209&gt;0,OR(S209=$B$3,Z209&gt;0,U209&gt;0)))),1,0)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IF(AND(R210="OK",IF($B$33="전체",D210&lt;EDATE($B$3,1),IF($B$33="미정산",U210&gt;0,OR(S210=$B$3,Z210&gt;0,U210&gt;0)))),1,0)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IF(AND(R211="OK",IF($B$33="전체",D211&lt;EDATE($B$3,1),IF($B$33="미정산",U211&gt;0,OR(S211=$B$3,Z211&gt;0,U211&gt;0)))),1,0)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IF(AND(R212="OK",IF($B$33="전체",D212&lt;EDATE($B$3,1),IF($B$33="미정산",U212&gt;0,OR(S212=$B$3,Z212&gt;0,U212&gt;0)))),1,0)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IF(AND(R213="OK",IF($B$33="전체",D213&lt;EDATE($B$3,1),IF($B$33="미정산",U213&gt;0,OR(S213=$B$3,Z213&gt;0,U213&gt;0)))),1,0)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IF(AND(R214="OK",IF($B$33="전체",D214&lt;EDATE($B$3,1),IF($B$33="미정산",U214&gt;0,OR(S214=$B$3,Z214&gt;0,U214&gt;0)))),1,0)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IF(AND(R215="OK",IF($B$33="전체",D215&lt;EDATE($B$3,1),IF($B$33="미정산",U215&gt;0,OR(S215=$B$3,Z215&gt;0,U215&gt;0)))),1,0)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IF(AND(R216="OK",IF($B$33="전체",D216&lt;EDATE($B$3,1),IF($B$33="미정산",U216&gt;0,OR(S216=$B$3,Z216&gt;0,U216&gt;0)))),1,0)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IF(AND(R217="OK",IF($B$33="전체",D217&lt;EDATE($B$3,1),IF($B$33="미정산",U217&gt;0,OR(S217=$B$3,Z217&gt;0,U217&gt;0)))),1,0)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IF(AND(R218="OK",IF($B$33="전체",D218&lt;EDATE($B$3,1),IF($B$33="미정산",U218&gt;0,OR(S218=$B$3,Z218&gt;0,U218&gt;0)))),1,0)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IF(AND(R219="OK",IF($B$33="전체",D219&lt;EDATE($B$3,1),IF($B$33="미정산",U219&gt;0,OR(S219=$B$3,Z219&gt;0,U219&gt;0)))),1,0)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IF(AND(R220="OK",IF($B$33="전체",D220&lt;EDATE($B$3,1),IF($B$33="미정산",U220&gt;0,OR(S220=$B$3,Z220&gt;0,U220&gt;0)))),1,0)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IF(AND(R221="OK",IF($B$33="전체",D221&lt;EDATE($B$3,1),IF($B$33="미정산",U221&gt;0,OR(S221=$B$3,Z221&gt;0,U221&gt;0)))),1,0)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IF(AND(R222="OK",IF($B$33="전체",D222&lt;EDATE($B$3,1),IF($B$33="미정산",U222&gt;0,OR(S222=$B$3,Z222&gt;0,U222&gt;0)))),1,0)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IF(AND(R223="OK",IF($B$33="전체",D223&lt;EDATE($B$3,1),IF($B$33="미정산",U223&gt;0,OR(S223=$B$3,Z223&gt;0,U223&gt;0)))),1,0)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IF(AND(R224="OK",IF($B$33="전체",D224&lt;EDATE($B$3,1),IF($B$33="미정산",U224&gt;0,OR(S224=$B$3,Z224&gt;0,U224&gt;0)))),1,0)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IF(AND(R225="OK",IF($B$33="전체",D225&lt;EDATE($B$3,1),IF($B$33="미정산",U225&gt;0,OR(S225=$B$3,Z225&gt;0,U225&gt;0)))),1,0)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IF(AND(R226="OK",IF($B$33="전체",D226&lt;EDATE($B$3,1),IF($B$33="미정산",U226&gt;0,OR(S226=$B$3,Z226&gt;0,U226&gt;0)))),1,0)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IF(AND(R227="OK",IF($B$33="전체",D227&lt;EDATE($B$3,1),IF($B$33="미정산",U227&gt;0,OR(S227=$B$3,Z227&gt;0,U227&gt;0)))),1,0)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IF(AND(R228="OK",IF($B$33="전체",D228&lt;EDATE($B$3,1),IF($B$33="미정산",U228&gt;0,OR(S228=$B$3,Z228&gt;0,U228&gt;0)))),1,0)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IF(AND(R229="OK",IF($B$33="전체",D229&lt;EDATE($B$3,1),IF($B$33="미정산",U229&gt;0,OR(S229=$B$3,Z229&gt;0,U229&gt;0)))),1,0)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IF(AND(R230="OK",IF($B$33="전체",D230&lt;EDATE($B$3,1),IF($B$33="미정산",U230&gt;0,OR(S230=$B$3,Z230&gt;0,U230&gt;0)))),1,0)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IF(AND(R231="OK",IF($B$33="전체",D231&lt;EDATE($B$3,1),IF($B$33="미정산",U231&gt;0,OR(S231=$B$3,Z231&gt;0,U231&gt;0)))),1,0)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IF(AND(R232="OK",IF($B$33="전체",D232&lt;EDATE($B$3,1),IF($B$33="미정산",U232&gt;0,OR(S232=$B$3,Z232&gt;0,U232&gt;0)))),1,0)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IF(AND(R233="OK",IF($B$33="전체",D233&lt;EDATE($B$3,1),IF($B$33="미정산",U233&gt;0,OR(S233=$B$3,Z233&gt;0,U233&gt;0)))),1,0)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IF(AND(R234="OK",IF($B$33="전체",D234&lt;EDATE($B$3,1),IF($B$33="미정산",U234&gt;0,OR(S234=$B$3,Z234&gt;0,U234&gt;0)))),1,0)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IF(AND(R235="OK",IF($B$33="전체",D235&lt;EDATE($B$3,1),IF($B$33="미정산",U235&gt;0,OR(S235=$B$3,Z235&gt;0,U235&gt;0)))),1,0)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IF(AND(R236="OK",IF($B$33="전체",D236&lt;EDATE($B$3,1),IF($B$33="미정산",U236&gt;0,OR(S236=$B$3,Z236&gt;0,U236&gt;0)))),1,0)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IF(AND(R237="OK",IF($B$33="전체",D237&lt;EDATE($B$3,1),IF($B$33="미정산",U237&gt;0,OR(S237=$B$3,Z237&gt;0,U237&gt;0)))),1,0)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IF(AND(R238="OK",IF($B$33="전체",D238&lt;EDATE($B$3,1),IF($B$33="미정산",U238&gt;0,OR(S238=$B$3,Z238&gt;0,U238&gt;0)))),1,0)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IF(AND(R239="OK",IF($B$33="전체",D239&lt;EDATE($B$3,1),IF($B$33="미정산",U239&gt;0,OR(S239=$B$3,Z239&gt;0,U239&gt;0)))),1,0)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IF(AND(R240="OK",IF($B$33="전체",D240&lt;EDATE($B$3,1),IF($B$33="미정산",U240&gt;0,OR(S240=$B$3,Z240&gt;0,U240&gt;0)))),1,0)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IF(AND(R241="OK",IF($B$33="전체",D241&lt;EDATE($B$3,1),IF($B$33="미정산",U241&gt;0,OR(S241=$B$3,Z241&gt;0,U241&gt;0)))),1,0)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IF(AND(R242="OK",IF($B$33="전체",D242&lt;EDATE($B$3,1),IF($B$33="미정산",U242&gt;0,OR(S242=$B$3,Z242&gt;0,U242&gt;0)))),1,0)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IF(AND(R243="OK",IF($B$33="전체",D243&lt;EDATE($B$3,1),IF($B$33="미정산",U243&gt;0,OR(S243=$B$3,Z243&gt;0,U243&gt;0)))),1,0)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IF(AND(R244="OK",IF($B$33="전체",D244&lt;EDATE($B$3,1),IF($B$33="미정산",U244&gt;0,OR(S244=$B$3,Z244&gt;0,U244&gt;0)))),1,0)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IF(AND(R245="OK",IF($B$33="전체",D245&lt;EDATE($B$3,1),IF($B$33="미정산",U245&gt;0,OR(S245=$B$3,Z245&gt;0,U245&gt;0)))),1,0)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IF(AND(R246="OK",IF($B$33="전체",D246&lt;EDATE($B$3,1),IF($B$33="미정산",U246&gt;0,OR(S246=$B$3,Z246&gt;0,U246&gt;0)))),1,0)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IF(AND(R247="OK",IF($B$33="전체",D247&lt;EDATE($B$3,1),IF($B$33="미정산",U247&gt;0,OR(S247=$B$3,Z247&gt;0,U247&gt;0)))),1,0)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IF(AND(R248="OK",IF($B$33="전체",D248&lt;EDATE($B$3,1),IF($B$33="미정산",U248&gt;0,OR(S248=$B$3,Z248&gt;0,U248&gt;0)))),1,0)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IF(AND(R249="OK",IF($B$33="전체",D249&lt;EDATE($B$3,1),IF($B$33="미정산",U249&gt;0,OR(S249=$B$3,Z249&gt;0,U249&gt;0)))),1,0)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IF(AND(R250="OK",IF($B$33="전체",D250&lt;EDATE($B$3,1),IF($B$33="미정산",U250&gt;0,OR(S250=$B$3,Z250&gt;0,U250&gt;0)))),1,0)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IF(AND(R251="OK",IF($B$33="전체",D251&lt;EDATE($B$3,1),IF($B$33="미정산",U251&gt;0,OR(S251=$B$3,Z251&gt;0,U251&gt;0)))),1,0)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IF(AND(R252="OK",IF($B$33="전체",D252&lt;EDATE($B$3,1),IF($B$33="미정산",U252&gt;0,OR(S252=$B$3,Z252&gt;0,U252&gt;0)))),1,0)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IF(AND(R253="OK",IF($B$33="전체",D253&lt;EDATE($B$3,1),IF($B$33="미정산",U253&gt;0,OR(S253=$B$3,Z253&gt;0,U253&gt;0)))),1,0)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IF(AND(R254="OK",IF($B$33="전체",D254&lt;EDATE($B$3,1),IF($B$33="미정산",U254&gt;0,OR(S254=$B$3,Z254&gt;0,U254&gt;0)))),1,0)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IF(AND(R255="OK",IF($B$33="전체",D255&lt;EDATE($B$3,1),IF($B$33="미정산",U255&gt;0,OR(S255=$B$3,Z255&gt;0,U255&gt;0)))),1,0)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IF(AND(R256="OK",IF($B$33="전체",D256&lt;EDATE($B$3,1),IF($B$33="미정산",U256&gt;0,OR(S256=$B$3,Z256&gt;0,U256&gt;0)))),1,0)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IF(AND(R257="OK",IF($B$33="전체",D257&lt;EDATE($B$3,1),IF($B$33="미정산",U257&gt;0,OR(S257=$B$3,Z257&gt;0,U257&gt;0)))),1,0)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IF(AND(R258="OK",IF($B$33="전체",D258&lt;EDATE($B$3,1),IF($B$33="미정산",U258&gt;0,OR(S258=$B$3,Z258&gt;0,U258&gt;0)))),1,0)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IF(AND(R259="OK",IF($B$33="전체",D259&lt;EDATE($B$3,1),IF($B$33="미정산",U259&gt;0,OR(S259=$B$3,Z259&gt;0,U259&gt;0)))),1,0)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IF(AND(R260="OK",IF($B$33="전체",D260&lt;EDATE($B$3,1),IF($B$33="미정산",U260&gt;0,OR(S260=$B$3,Z260&gt;0,U260&gt;0)))),1,0)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IF(AND(R261="OK",IF($B$33="전체",D261&lt;EDATE($B$3,1),IF($B$33="미정산",U261&gt;0,OR(S261=$B$3,Z261&gt;0,U261&gt;0)))),1,0)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IF(AND(R262="OK",IF($B$33="전체",D262&lt;EDATE($B$3,1),IF($B$33="미정산",U262&gt;0,OR(S262=$B$3,Z262&gt;0,U262&gt;0)))),1,0)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IF(AND(R263="OK",IF($B$33="전체",D263&lt;EDATE($B$3,1),IF($B$33="미정산",U263&gt;0,OR(S263=$B$3,Z263&gt;0,U263&gt;0)))),1,0)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IF(AND(R264="OK",IF($B$33="전체",D264&lt;EDATE($B$3,1),IF($B$33="미정산",U264&gt;0,OR(S264=$B$3,Z264&gt;0,U264&gt;0)))),1,0)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IF(AND(R265="OK",IF($B$33="전체",D265&lt;EDATE($B$3,1),IF($B$33="미정산",U265&gt;0,OR(S265=$B$3,Z265&gt;0,U265&gt;0)))),1,0)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IF(AND(R266="OK",IF($B$33="전체",D266&lt;EDATE($B$3,1),IF($B$33="미정산",U266&gt;0,OR(S266=$B$3,Z266&gt;0,U266&gt;0)))),1,0)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IF(AND(R267="OK",IF($B$33="전체",D267&lt;EDATE($B$3,1),IF($B$33="미정산",U267&gt;0,OR(S267=$B$3,Z267&gt;0,U267&gt;0)))),1,0)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IF(AND(R268="OK",IF($B$33="전체",D268&lt;EDATE($B$3,1),IF($B$33="미정산",U268&gt;0,OR(S268=$B$3,Z268&gt;0,U268&gt;0)))),1,0)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IF(AND(R269="OK",IF($B$33="전체",D269&lt;EDATE($B$3,1),IF($B$33="미정산",U269&gt;0,OR(S269=$B$3,Z269&gt;0,U269&gt;0)))),1,0)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IF(AND(R270="OK",IF($B$33="전체",D270&lt;EDATE($B$3,1),IF($B$33="미정산",U270&gt;0,OR(S270=$B$3,Z270&gt;0,U270&gt;0)))),1,0)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IF(AND(R271="OK",IF($B$33="전체",D271&lt;EDATE($B$3,1),IF($B$33="미정산",U271&gt;0,OR(S271=$B$3,Z271&gt;0,U271&gt;0)))),1,0)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IF(AND(R272="OK",IF($B$33="전체",D272&lt;EDATE($B$3,1),IF($B$33="미정산",U272&gt;0,OR(S272=$B$3,Z272&gt;0,U272&gt;0)))),1,0)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IF(AND(R273="OK",IF($B$33="전체",D273&lt;EDATE($B$3,1),IF($B$33="미정산",U273&gt;0,OR(S273=$B$3,Z273&gt;0,U273&gt;0)))),1,0)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IF(AND(R274="OK",IF($B$33="전체",D274&lt;EDATE($B$3,1),IF($B$33="미정산",U274&gt;0,OR(S274=$B$3,Z274&gt;0,U274&gt;0)))),1,0)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IF(AND(R275="OK",IF($B$33="전체",D275&lt;EDATE($B$3,1),IF($B$33="미정산",U275&gt;0,OR(S275=$B$3,Z275&gt;0,U275&gt;0)))),1,0)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IF(AND(R276="OK",IF($B$33="전체",D276&lt;EDATE($B$3,1),IF($B$33="미정산",U276&gt;0,OR(S276=$B$3,Z276&gt;0,U276&gt;0)))),1,0)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IF(AND(R277="OK",IF($B$33="전체",D277&lt;EDATE($B$3,1),IF($B$33="미정산",U277&gt;0,OR(S277=$B$3,Z277&gt;0,U277&gt;0)))),1,0)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IF(AND(R278="OK",IF($B$33="전체",D278&lt;EDATE($B$3,1),IF($B$33="미정산",U278&gt;0,OR(S278=$B$3,Z278&gt;0,U278&gt;0)))),1,0)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IF(AND(R279="OK",IF($B$33="전체",D279&lt;EDATE($B$3,1),IF($B$33="미정산",U279&gt;0,OR(S279=$B$3,Z279&gt;0,U279&gt;0)))),1,0)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IF(AND(R280="OK",IF($B$33="전체",D280&lt;EDATE($B$3,1),IF($B$33="미정산",U280&gt;0,OR(S280=$B$3,Z280&gt;0,U280&gt;0)))),1,0)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IF(AND(R281="OK",IF($B$33="전체",D281&lt;EDATE($B$3,1),IF($B$33="미정산",U281&gt;0,OR(S281=$B$3,Z281&gt;0,U281&gt;0)))),1,0)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IF(AND(R282="OK",IF($B$33="전체",D282&lt;EDATE($B$3,1),IF($B$33="미정산",U282&gt;0,OR(S282=$B$3,Z282&gt;0,U282&gt;0)))),1,0)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IF(AND(R283="OK",IF($B$33="전체",D283&lt;EDATE($B$3,1),IF($B$33="미정산",U283&gt;0,OR(S283=$B$3,Z283&gt;0,U283&gt;0)))),1,0)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IF(AND(R284="OK",IF($B$33="전체",D284&lt;EDATE($B$3,1),IF($B$33="미정산",U284&gt;0,OR(S284=$B$3,Z284&gt;0,U284&gt;0)))),1,0)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IF(AND(R285="OK",IF($B$33="전체",D285&lt;EDATE($B$3,1),IF($B$33="미정산",U285&gt;0,OR(S285=$B$3,Z285&gt;0,U285&gt;0)))),1,0)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IF(AND(R286="OK",IF($B$33="전체",D286&lt;EDATE($B$3,1),IF($B$33="미정산",U286&gt;0,OR(S286=$B$3,Z286&gt;0,U286&gt;0)))),1,0)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IF(AND(R287="OK",IF($B$33="전체",D287&lt;EDATE($B$3,1),IF($B$33="미정산",U287&gt;0,OR(S287=$B$3,Z287&gt;0,U287&gt;0)))),1,0)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IF(AND(R288="OK",IF($B$33="전체",D288&lt;EDATE($B$3,1),IF($B$33="미정산",U288&gt;0,OR(S288=$B$3,Z288&gt;0,U288&gt;0)))),1,0)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IF(AND(R289="OK",IF($B$33="전체",D289&lt;EDATE($B$3,1),IF($B$33="미정산",U289&gt;0,OR(S289=$B$3,Z289&gt;0,U289&gt;0)))),1,0)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IF(AND(R290="OK",IF($B$33="전체",D290&lt;EDATE($B$3,1),IF($B$33="미정산",U290&gt;0,OR(S290=$B$3,Z290&gt;0,U290&gt;0)))),1,0)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IF(AND(R291="OK",IF($B$33="전체",D291&lt;EDATE($B$3,1),IF($B$33="미정산",U291&gt;0,OR(S291=$B$3,Z291&gt;0,U291&gt;0)))),1,0)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IF(AND(R292="OK",IF($B$33="전체",D292&lt;EDATE($B$3,1),IF($B$33="미정산",U292&gt;0,OR(S292=$B$3,Z292&gt;0,U292&gt;0)))),1,0)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IF(AND(R293="OK",IF($B$33="전체",D293&lt;EDATE($B$3,1),IF($B$33="미정산",U293&gt;0,OR(S293=$B$3,Z293&gt;0,U293&gt;0)))),1,0)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IF(AND(R294="OK",IF($B$33="전체",D294&lt;EDATE($B$3,1),IF($B$33="미정산",U294&gt;0,OR(S294=$B$3,Z294&gt;0,U294&gt;0)))),1,0)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IF(AND(R295="OK",IF($B$33="전체",D295&lt;EDATE($B$3,1),IF($B$33="미정산",U295&gt;0,OR(S295=$B$3,Z295&gt;0,U295&gt;0)))),1,0)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IF(AND(R296="OK",IF($B$33="전체",D296&lt;EDATE($B$3,1),IF($B$33="미정산",U296&gt;0,OR(S296=$B$3,Z296&gt;0,U296&gt;0)))),1,0)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IF(AND(R297="OK",IF($B$33="전체",D297&lt;EDATE($B$3,1),IF($B$33="미정산",U297&gt;0,OR(S297=$B$3,Z297&gt;0,U297&gt;0)))),1,0)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IF(AND(R298="OK",IF($B$33="전체",D298&lt;EDATE($B$3,1),IF($B$33="미정산",U298&gt;0,OR(S298=$B$3,Z298&gt;0,U298&gt;0)))),1,0)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IF(AND(R299="OK",IF($B$33="전체",D299&lt;EDATE($B$3,1),IF($B$33="미정산",U299&gt;0,OR(S299=$B$3,Z299&gt;0,U299&gt;0)))),1,0)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IF(AND(R300="OK",IF($B$33="전체",D300&lt;EDATE($B$3,1),IF($B$33="미정산",U300&gt;0,OR(S300=$B$3,Z300&gt;0,U300&gt;0)))),1,0)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IF(AND(R301="OK",IF($B$33="전체",D301&lt;EDATE($B$3,1),IF($B$33="미정산",U301&gt;0,OR(S301=$B$3,Z301&gt;0,U301&gt;0)))),1,0)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IF(AND(R302="OK",IF($B$33="전체",D302&lt;EDATE($B$3,1),IF($B$33="미정산",U302&gt;0,OR(S302=$B$3,Z302&gt;0,U302&gt;0)))),1,0)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IF(AND(R303="OK",IF($B$33="전체",D303&lt;EDATE($B$3,1),IF($B$33="미정산",U303&gt;0,OR(S303=$B$3,Z303&gt;0,U303&gt;0)))),1,0)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IF(AND(R304="OK",IF($B$33="전체",D304&lt;EDATE($B$3,1),IF($B$33="미정산",U304&gt;0,OR(S304=$B$3,Z304&gt;0,U304&gt;0)))),1,0)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IF(AND(R305="OK",IF($B$33="전체",D305&lt;EDATE($B$3,1),IF($B$33="미정산",U305&gt;0,OR(S305=$B$3,Z305&gt;0,U305&gt;0)))),1,0)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IF(AND(R306="OK",IF($B$33="전체",D306&lt;EDATE($B$3,1),IF($B$33="미정산",U306&gt;0,OR(S306=$B$3,Z306&gt;0,U306&gt;0)))),1,0)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IF(AND(R307="OK",IF($B$33="전체",D307&lt;EDATE($B$3,1),IF($B$33="미정산",U307&gt;0,OR(S307=$B$3,Z307&gt;0,U307&gt;0)))),1,0)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IF(AND(R308="OK",IF($B$33="전체",D308&lt;EDATE($B$3,1),IF($B$33="미정산",U308&gt;0,OR(S308=$B$3,Z308&gt;0,U308&gt;0)))),1,0)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IF(AND(R309="OK",IF($B$33="전체",D309&lt;EDATE($B$3,1),IF($B$33="미정산",U309&gt;0,OR(S309=$B$3,Z309&gt;0,U309&gt;0)))),1,0)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IF(AND(R310="OK",IF($B$33="전체",D310&lt;EDATE($B$3,1),IF($B$33="미정산",U310&gt;0,OR(S310=$B$3,Z310&gt;0,U310&gt;0)))),1,0)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IF(AND(R311="OK",IF($B$33="전체",D311&lt;EDATE($B$3,1),IF($B$33="미정산",U311&gt;0,OR(S311=$B$3,Z311&gt;0,U311&gt;0)))),1,0)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IF(AND(R312="OK",IF($B$33="전체",D312&lt;EDATE($B$3,1),IF($B$33="미정산",U312&gt;0,OR(S312=$B$3,Z312&gt;0,U312&gt;0)))),1,0)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IF(AND(R313="OK",IF($B$33="전체",D313&lt;EDATE($B$3,1),IF($B$33="미정산",U313&gt;0,OR(S313=$B$3,Z313&gt;0,U313&gt;0)))),1,0)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IF(AND(R314="OK",IF($B$33="전체",D314&lt;EDATE($B$3,1),IF($B$33="미정산",U314&gt;0,OR(S314=$B$3,Z314&gt;0,U314&gt;0)))),1,0)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IF(AND(R315="OK",IF($B$33="전체",D315&lt;EDATE($B$3,1),IF($B$33="미정산",U315&gt;0,OR(S315=$B$3,Z315&gt;0,U315&gt;0)))),1,0)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IF(AND(R316="OK",IF($B$33="전체",D316&lt;EDATE($B$3,1),IF($B$33="미정산",U316&gt;0,OR(S316=$B$3,Z316&gt;0,U316&gt;0)))),1,0)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IF(AND(R317="OK",IF($B$33="전체",D317&lt;EDATE($B$3,1),IF($B$33="미정산",U317&gt;0,OR(S317=$B$3,Z317&gt;0,U317&gt;0)))),1,0)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IF(AND(R318="OK",IF($B$33="전체",D318&lt;EDATE($B$3,1),IF($B$33="미정산",U318&gt;0,OR(S318=$B$3,Z318&gt;0,U318&gt;0)))),1,0)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IF(AND(R319="OK",IF($B$33="전체",D319&lt;EDATE($B$3,1),IF($B$33="미정산",U319&gt;0,OR(S319=$B$3,Z319&gt;0,U319&gt;0)))),1,0)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IF(AND(R320="OK",IF($B$33="전체",D320&lt;EDATE($B$3,1),IF($B$33="미정산",U320&gt;0,OR(S320=$B$3,Z320&gt;0,U320&gt;0)))),1,0)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IF(AND(R321="OK",IF($B$33="전체",D321&lt;EDATE($B$3,1),IF($B$33="미정산",U321&gt;0,OR(S321=$B$3,Z321&gt;0,U321&gt;0)))),1,0)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IF(AND(R322="OK",IF($B$33="전체",D322&lt;EDATE($B$3,1),IF($B$33="미정산",U322&gt;0,OR(S322=$B$3,Z322&gt;0,U322&gt;0)))),1,0)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IF(AND(R323="OK",IF($B$33="전체",D323&lt;EDATE($B$3,1),IF($B$33="미정산",U323&gt;0,OR(S323=$B$3,Z323&gt;0,U323&gt;0)))),1,0)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IF(AND(R324="OK",IF($B$33="전체",D324&lt;EDATE($B$3,1),IF($B$33="미정산",U324&gt;0,OR(S324=$B$3,Z324&gt;0,U324&gt;0)))),1,0)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IF(AND(R325="OK",IF($B$33="전체",D325&lt;EDATE($B$3,1),IF($B$33="미정산",U325&gt;0,OR(S325=$B$3,Z325&gt;0,U325&gt;0)))),1,0)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IF(AND(R326="OK",IF($B$33="전체",D326&lt;EDATE($B$3,1),IF($B$33="미정산",U326&gt;0,OR(S326=$B$3,Z326&gt;0,U326&gt;0)))),1,0)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IF(AND(R327="OK",IF($B$33="전체",D327&lt;EDATE($B$3,1),IF($B$33="미정산",U327&gt;0,OR(S327=$B$3,Z327&gt;0,U327&gt;0)))),1,0)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IF(AND(R328="OK",IF($B$33="전체",D328&lt;EDATE($B$3,1),IF($B$33="미정산",U328&gt;0,OR(S328=$B$3,Z328&gt;0,U328&gt;0)))),1,0)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IF(AND(R329="OK",IF($B$33="전체",D329&lt;EDATE($B$3,1),IF($B$33="미정산",U329&gt;0,OR(S329=$B$3,Z329&gt;0,U329&gt;0)))),1,0)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IF(AND(R330="OK",IF($B$33="전체",D330&lt;EDATE($B$3,1),IF($B$33="미정산",U330&gt;0,OR(S330=$B$3,Z330&gt;0,U330&gt;0)))),1,0)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IF(AND(R331="OK",IF($B$33="전체",D331&lt;EDATE($B$3,1),IF($B$33="미정산",U331&gt;0,OR(S331=$B$3,Z331&gt;0,U331&gt;0)))),1,0)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IF(AND(R332="OK",IF($B$33="전체",D332&lt;EDATE($B$3,1),IF($B$33="미정산",U332&gt;0,OR(S332=$B$3,Z332&gt;0,U332&gt;0)))),1,0)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IF(AND(R333="OK",IF($B$33="전체",D333&lt;EDATE($B$3,1),IF($B$33="미정산",U333&gt;0,OR(S333=$B$3,Z333&gt;0,U333&gt;0)))),1,0)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IF(AND(R334="OK",IF($B$33="전체",D334&lt;EDATE($B$3,1),IF($B$33="미정산",U334&gt;0,OR(S334=$B$3,Z334&gt;0,U334&gt;0)))),1,0)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IF(AND(R335="OK",IF($B$33="전체",D335&lt;EDATE($B$3,1),IF($B$33="미정산",U335&gt;0,OR(S335=$B$3,Z335&gt;0,U335&gt;0)))),1,0)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IF(AND(R336="OK",IF($B$33="전체",D336&lt;EDATE($B$3,1),IF($B$33="미정산",U336&gt;0,OR(S336=$B$3,Z336&gt;0,U336&gt;0)))),1,0)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IF(AND(R337="OK",IF($B$33="전체",D337&lt;EDATE($B$3,1),IF($B$33="미정산",U337&gt;0,OR(S337=$B$3,Z337&gt;0,U337&gt;0)))),1,0)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IF(AND(R338="OK",IF($B$33="전체",D338&lt;EDATE($B$3,1),IF($B$33="미정산",U338&gt;0,OR(S338=$B$3,Z338&gt;0,U338&gt;0)))),1,0)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IF(AND(R339="OK",IF($B$33="전체",D339&lt;EDATE($B$3,1),IF($B$33="미정산",U339&gt;0,OR(S339=$B$3,Z339&gt;0,U339&gt;0)))),1,0)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IF(AND(R340="OK",IF($B$33="전체",D340&lt;EDATE($B$3,1),IF($B$33="미정산",U340&gt;0,OR(S340=$B$3,Z340&gt;0,U340&gt;0)))),1,0)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IF(AND(R341="OK",IF($B$33="전체",D341&lt;EDATE($B$3,1),IF($B$33="미정산",U341&gt;0,OR(S341=$B$3,Z341&gt;0,U341&gt;0)))),1,0)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IF(AND(R342="OK",IF($B$33="전체",D342&lt;EDATE($B$3,1),IF($B$33="미정산",U342&gt;0,OR(S342=$B$3,Z342&gt;0,U342&gt;0)))),1,0)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IF(AND(R343="OK",IF($B$33="전체",D343&lt;EDATE($B$3,1),IF($B$33="미정산",U343&gt;0,OR(S343=$B$3,Z343&gt;0,U343&gt;0)))),1,0)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IF(AND(R344="OK",IF($B$33="전체",D344&lt;EDATE($B$3,1),IF($B$33="미정산",U344&gt;0,OR(S344=$B$3,Z344&gt;0,U344&gt;0)))),1,0)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IF(AND(R345="OK",IF($B$33="전체",D345&lt;EDATE($B$3,1),IF($B$33="미정산",U345&gt;0,OR(S345=$B$3,Z345&gt;0,U345&gt;0)))),1,0)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IF(AND(R346="OK",IF($B$33="전체",D346&lt;EDATE($B$3,1),IF($B$33="미정산",U346&gt;0,OR(S346=$B$3,Z346&gt;0,U346&gt;0)))),1,0)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IF(AND(R347="OK",IF($B$33="전체",D347&lt;EDATE($B$3,1),IF($B$33="미정산",U347&gt;0,OR(S347=$B$3,Z347&gt;0,U347&gt;0)))),1,0)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IF(AND(R348="OK",IF($B$33="전체",D348&lt;EDATE($B$3,1),IF($B$33="미정산",U348&gt;0,OR(S348=$B$3,Z348&gt;0,U348&gt;0)))),1,0)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IF(AND(R349="OK",IF($B$33="전체",D349&lt;EDATE($B$3,1),IF($B$33="미정산",U349&gt;0,OR(S349=$B$3,Z349&gt;0,U349&gt;0)))),1,0)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IF(AND(R350="OK",IF($B$33="전체",D350&lt;EDATE($B$3,1),IF($B$33="미정산",U350&gt;0,OR(S350=$B$3,Z350&gt;0,U350&gt;0)))),1,0)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IF(AND(R351="OK",IF($B$33="전체",D351&lt;EDATE($B$3,1),IF($B$33="미정산",U351&gt;0,OR(S351=$B$3,Z351&gt;0,U351&gt;0)))),1,0)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IF(AND(R352="OK",IF($B$33="전체",D352&lt;EDATE($B$3,1),IF($B$33="미정산",U352&gt;0,OR(S352=$B$3,Z352&gt;0,U352&gt;0)))),1,0)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IF(AND(R353="OK",IF($B$33="전체",D353&lt;EDATE($B$3,1),IF($B$33="미정산",U353&gt;0,OR(S353=$B$3,Z353&gt;0,U353&gt;0)))),1,0)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IF(AND(R354="OK",IF($B$33="전체",D354&lt;EDATE($B$3,1),IF($B$33="미정산",U354&gt;0,OR(S354=$B$3,Z354&gt;0,U354&gt;0)))),1,0)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IF(AND(R355="OK",IF($B$33="전체",D355&lt;EDATE($B$3,1),IF($B$33="미정산",U355&gt;0,OR(S355=$B$3,Z355&gt;0,U355&gt;0)))),1,0)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IF(AND(R356="OK",IF($B$33="전체",D356&lt;EDATE($B$3,1),IF($B$33="미정산",U356&gt;0,OR(S356=$B$3,Z356&gt;0,U356&gt;0)))),1,0)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IF(AND(R357="OK",IF($B$33="전체",D357&lt;EDATE($B$3,1),IF($B$33="미정산",U357&gt;0,OR(S357=$B$3,Z357&gt;0,U357&gt;0)))),1,0)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IF(AND(R358="OK",IF($B$33="전체",D358&lt;EDATE($B$3,1),IF($B$33="미정산",U358&gt;0,OR(S358=$B$3,Z358&gt;0,U358&gt;0)))),1,0)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IF(AND(R359="OK",IF($B$33="전체",D359&lt;EDATE($B$3,1),IF($B$33="미정산",U359&gt;0,OR(S359=$B$3,Z359&gt;0,U359&gt;0)))),1,0)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IF(AND(R360="OK",IF($B$33="전체",D360&lt;EDATE($B$3,1),IF($B$33="미정산",U360&gt;0,OR(S360=$B$3,Z360&gt;0,U360&gt;0)))),1,0)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IF(AND(R361="OK",IF($B$33="전체",D361&lt;EDATE($B$3,1),IF($B$33="미정산",U361&gt;0,OR(S361=$B$3,Z361&gt;0,U361&gt;0)))),1,0)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IF(AND(R362="OK",IF($B$33="전체",D362&lt;EDATE($B$3,1),IF($B$33="미정산",U362&gt;0,OR(S362=$B$3,Z362&gt;0,U362&gt;0)))),1,0)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IF(AND(R363="OK",IF($B$33="전체",D363&lt;EDATE($B$3,1),IF($B$33="미정산",U363&gt;0,OR(S363=$B$3,Z363&gt;0,U363&gt;0)))),1,0)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IF(AND(R364="OK",IF($B$33="전체",D364&lt;EDATE($B$3,1),IF($B$33="미정산",U364&gt;0,OR(S364=$B$3,Z364&gt;0,U364&gt;0)))),1,0)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IF(AND(R365="OK",IF($B$33="전체",D365&lt;EDATE($B$3,1),IF($B$33="미정산",U365&gt;0,OR(S365=$B$3,Z365&gt;0,U365&gt;0)))),1,0)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IF(AND(R366="OK",IF($B$33="전체",D366&lt;EDATE($B$3,1),IF($B$33="미정산",U366&gt;0,OR(S366=$B$3,Z366&gt;0,U366&gt;0)))),1,0)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IF(AND(R367="OK",IF($B$33="전체",D367&lt;EDATE($B$3,1),IF($B$33="미정산",U367&gt;0,OR(S367=$B$3,Z367&gt;0,U367&gt;0)))),1,0)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IF(AND(R368="OK",IF($B$33="전체",D368&lt;EDATE($B$3,1),IF($B$33="미정산",U368&gt;0,OR(S368=$B$3,Z368&gt;0,U368&gt;0)))),1,0)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IF(AND(R369="OK",IF($B$33="전체",D369&lt;EDATE($B$3,1),IF($B$33="미정산",U369&gt;0,OR(S369=$B$3,Z369&gt;0,U369&gt;0)))),1,0)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IF(AND(R370="OK",IF($B$33="전체",D370&lt;EDATE($B$3,1),IF($B$33="미정산",U370&gt;0,OR(S370=$B$3,Z370&gt;0,U370&gt;0)))),1,0)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IF(AND(R371="OK",IF($B$33="전체",D371&lt;EDATE($B$3,1),IF($B$33="미정산",U371&gt;0,OR(S371=$B$3,Z371&gt;0,U371&gt;0)))),1,0)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IF(AND(R372="OK",IF($B$33="전체",D372&lt;EDATE($B$3,1),IF($B$33="미정산",U372&gt;0,OR(S372=$B$3,Z372&gt;0,U372&gt;0)))),1,0)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IF(AND(R373="OK",IF($B$33="전체",D373&lt;EDATE($B$3,1),IF($B$33="미정산",U373&gt;0,OR(S373=$B$3,Z373&gt;0,U373&gt;0)))),1,0)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IF(AND(R374="OK",IF($B$33="전체",D374&lt;EDATE($B$3,1),IF($B$33="미정산",U374&gt;0,OR(S374=$B$3,Z374&gt;0,U374&gt;0)))),1,0)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IF(AND(R375="OK",IF($B$33="전체",D375&lt;EDATE($B$3,1),IF($B$33="미정산",U375&gt;0,OR(S375=$B$3,Z375&gt;0,U375&gt;0)))),1,0)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IF(AND(R376="OK",IF($B$33="전체",D376&lt;EDATE($B$3,1),IF($B$33="미정산",U376&gt;0,OR(S376=$B$3,Z376&gt;0,U376&gt;0)))),1,0)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IF(AND(R377="OK",IF($B$33="전체",D377&lt;EDATE($B$3,1),IF($B$33="미정산",U377&gt;0,OR(S377=$B$3,Z377&gt;0,U377&gt;0)))),1,0)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IF(AND(R378="OK",IF($B$33="전체",D378&lt;EDATE($B$3,1),IF($B$33="미정산",U378&gt;0,OR(S378=$B$3,Z378&gt;0,U378&gt;0)))),1,0)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IF(AND(R379="OK",IF($B$33="전체",D379&lt;EDATE($B$3,1),IF($B$33="미정산",U379&gt;0,OR(S379=$B$3,Z379&gt;0,U379&gt;0)))),1,0)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IF(AND(R380="OK",IF($B$33="전체",D380&lt;EDATE($B$3,1),IF($B$33="미정산",U380&gt;0,OR(S380=$B$3,Z380&gt;0,U380&gt;0)))),1,0)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IF(AND(R381="OK",IF($B$33="전체",D381&lt;EDATE($B$3,1),IF($B$33="미정산",U381&gt;0,OR(S381=$B$3,Z381&gt;0,U381&gt;0)))),1,0)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IF(AND(R382="OK",IF($B$33="전체",D382&lt;EDATE($B$3,1),IF($B$33="미정산",U382&gt;0,OR(S382=$B$3,Z382&gt;0,U382&gt;0)))),1,0)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IF(AND(R383="OK",IF($B$33="전체",D383&lt;EDATE($B$3,1),IF($B$33="미정산",U383&gt;0,OR(S383=$B$3,Z383&gt;0,U383&gt;0)))),1,0)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IF(AND(R384="OK",IF($B$33="전체",D384&lt;EDATE($B$3,1),IF($B$33="미정산",U384&gt;0,OR(S384=$B$3,Z384&gt;0,U384&gt;0)))),1,0)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IF(AND(R385="OK",IF($B$33="전체",D385&lt;EDATE($B$3,1),IF($B$33="미정산",U385&gt;0,OR(S385=$B$3,Z385&gt;0,U385&gt;0)))),1,0)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IF(AND(R386="OK",IF($B$33="전체",D386&lt;EDATE($B$3,1),IF($B$33="미정산",U386&gt;0,OR(S386=$B$3,Z386&gt;0,U386&gt;0)))),1,0)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IF(AND(R387="OK",IF($B$33="전체",D387&lt;EDATE($B$3,1),IF($B$33="미정산",U387&gt;0,OR(S387=$B$3,Z387&gt;0,U387&gt;0)))),1,0)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IF(AND(R388="OK",IF($B$33="전체",D388&lt;EDATE($B$3,1),IF($B$33="미정산",U388&gt;0,OR(S388=$B$3,Z388&gt;0,U388&gt;0)))),1,0)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IF(AND(R389="OK",IF($B$33="전체",D389&lt;EDATE($B$3,1),IF($B$33="미정산",U389&gt;0,OR(S389=$B$3,Z389&gt;0,U389&gt;0)))),1,0)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IF(AND(R390="OK",IF($B$33="전체",D390&lt;EDATE($B$3,1),IF($B$33="미정산",U390&gt;0,OR(S390=$B$3,Z390&gt;0,U390&gt;0)))),1,0)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IF(AND(R391="OK",IF($B$33="전체",D391&lt;EDATE($B$3,1),IF($B$33="미정산",U391&gt;0,OR(S391=$B$3,Z391&gt;0,U391&gt;0)))),1,0)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IF(AND(R392="OK",IF($B$33="전체",D392&lt;EDATE($B$3,1),IF($B$33="미정산",U392&gt;0,OR(S392=$B$3,Z392&gt;0,U392&gt;0)))),1,0)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IF(AND(R393="OK",IF($B$33="전체",D393&lt;EDATE($B$3,1),IF($B$33="미정산",U393&gt;0,OR(S393=$B$3,Z393&gt;0,U393&gt;0)))),1,0)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IF(AND(R394="OK",IF($B$33="전체",D394&lt;EDATE($B$3,1),IF($B$33="미정산",U394&gt;0,OR(S394=$B$3,Z394&gt;0,U394&gt;0)))),1,0)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IF(AND(R395="OK",IF($B$33="전체",D395&lt;EDATE($B$3,1),IF($B$33="미정산",U395&gt;0,OR(S395=$B$3,Z395&gt;0,U395&gt;0)))),1,0)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IF(AND(R396="OK",IF($B$33="전체",D396&lt;EDATE($B$3,1),IF($B$33="미정산",U396&gt;0,OR(S396=$B$3,Z396&gt;0,U396&gt;0)))),1,0)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IF(AND(R397="OK",IF($B$33="전체",D397&lt;EDATE($B$3,1),IF($B$33="미정산",U397&gt;0,OR(S397=$B$3,Z397&gt;0,U397&gt;0)))),1,0)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IF(AND(R398="OK",IF($B$33="전체",D398&lt;EDATE($B$3,1),IF($B$33="미정산",U398&gt;0,OR(S398=$B$3,Z398&gt;0,U398&gt;0)))),1,0)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IF(AND(R399="OK",IF($B$33="전체",D399&lt;EDATE($B$3,1),IF($B$33="미정산",U399&gt;0,OR(S399=$B$3,Z399&gt;0,U399&gt;0)))),1,0)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AND(B430="U008",C430=223,J430="경조사비",F430="명절비"),AND(B430="U008",C430=208,J430="경조사비",F430="임시보관",SUMIF($C$430:$C$729,C430,$D$430:$D$729)&lt;=39000)),OR(COUNTIF($A$8:$A$12,F430)=1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AND(B431="U008",C431=223,J431="경조사비",F431="명절비"),AND(B431="U008",C431=208,J431="경조사비",F431="임시보관",SUMIF($C$430:$C$729,C431,$D$430:$D$729)&lt;=39000)),OR(COUNTIF($A$8:$A$12,F431)=1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AND(B432="U008",C432=223,J432="경조사비",F432="명절비"),AND(B432="U008",C432=208,J432="경조사비",F432="임시보관",SUMIF($C$430:$C$729,C432,$D$430:$D$729)&lt;=39000)),OR(COUNTIF($A$8:$A$12,F432)=1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AND(B433="U008",C433=223,J433="경조사비",F433="명절비"),AND(B433="U008",C433=208,J433="경조사비",F433="임시보관",SUMIF($C$430:$C$729,C433,$D$430:$D$729)&lt;=39000)),OR(COUNTIF($A$8:$A$12,F433)=1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AND(B434="U008",C434=223,J434="경조사비",F434="명절비"),AND(B434="U008",C434=208,J434="경조사비",F434="임시보관",SUMIF($C$430:$C$729,C434,$D$430:$D$729)&lt;=39000)),OR(COUNTIF($A$8:$A$12,F434)=1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AND(B435="U008",C435=223,J435="경조사비",F435="명절비"),AND(B435="U008",C435=208,J435="경조사비",F435="임시보관",SUMIF($C$430:$C$729,C435,$D$430:$D$729)&lt;=39000)),OR(COUNTIF($A$8:$A$12,F435)=1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AND(B436="U008",C436=223,J436="경조사비",F436="명절비"),AND(B436="U008",C436=208,J436="경조사비",F436="임시보관",SUMIF($C$430:$C$729,C436,$D$430:$D$729)&lt;=39000)),OR(COUNTIF($A$8:$A$12,F436)=1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AND(B437="U008",C437=223,J437="경조사비",F437="명절비"),AND(B437="U008",C437=208,J437="경조사비",F437="임시보관",SUMIF($C$430:$C$729,C437,$D$430:$D$729)&lt;=39000)),OR(COUNTIF($A$8:$A$12,F437)=1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 t="str">
        <f>IF(B438="","","S"&amp;ROW())</f>
        <v>S438</v>
      </c>
      <c r="B438" s="522" t="inlineStr">
        <is>
          <t xml:space="preserve">U008</t>
        </is>
      </c>
      <c r="C438" s="522">
        <v>208</v>
      </c>
      <c r="D438" s="525">
        <v>39000</v>
      </c>
      <c r="E438" s="524">
        <f>IF(C438="","",IFERROR(INDEX(잔액!$A:$A,MAX(64,C438)),""))</f>
        <v>46235.0</v>
      </c>
      <c r="F438" s="504" t="str">
        <f>IF(C438="","",IFERROR(INDEX(잔액!$C:$C,MAX(64,C438)),""))</f>
        <v>임시보관</v>
      </c>
      <c r="G438" s="504" t="str">
        <f>IF(C438="","",IF(INDEX(잔액!$K:$K,MAX(64,C438))&lt;&gt;"",INDEX(잔액!$K:$K,MAX(64,C438)),INDEX(잔액!$D:$D,MAX(64,C438))))</f>
        <v>지출</v>
      </c>
      <c r="H438" s="504" t="inlineStr">
        <is>
          <t xml:space="preserve">원장</t>
        </is>
      </c>
      <c r="I438" t="inlineStr">
        <is>
          <t xml:space="preserve">임시보관 납입 100,000 중 행사 부담 39,000. 나머지 61,000은 10/15 원장 246행 회수</t>
        </is>
      </c>
      <c r="J438" s="504" t="str">
        <f>IFERROR(INDEX($C$100:$C$399,MATCH(B438,$A$100:$A$399,0)),"")</f>
        <v>경조사비</v>
      </c>
      <c r="K438" s="524">
        <f>IFERROR(INDEX($D$100:$D$399,MATCH(B438,$A$100:$A$399,0)),"")</f>
        <v>46296.0</v>
      </c>
      <c r="L438" s="504">
        <f>IFERROR(INDEX($S$100:$S$399,MATCH(B438,$A$100:$A$399,0)),"")</f>
        <v>46296.0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AND(B438="U008",C438=223,J438="경조사비",F438="명절비"),AND(B438="U008",C438=208,J438="경조사비",F438="임시보관",SUMIF($C$430:$C$729,C438,$D$430:$D$729)&lt;=39000)),OR(COUNTIF($A$8:$A$12,F438)=1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504" t="str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  <v>OK</v>
      </c>
      <c r="O438" s="526">
        <f>IF(N438="OK",D438,0)</f>
        <v>39000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AND(B439="U008",C439=223,J439="경조사비",F439="명절비"),AND(B439="U008",C439=208,J439="경조사비",F439="임시보관",SUMIF($C$430:$C$729,C439,$D$430:$D$729)&lt;=39000)),OR(COUNTIF($A$8:$A$12,F439)=1,AND(B439="U008",C439=208,J439="경조사비",F439="임시보관",SUMIF($C$430:$C$729,C439,$D$430:$D$729)&lt;=39000))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AND(B440="U008",C440=223,J440="경조사비",F440="명절비"),AND(B440="U008",C440=208,J440="경조사비",F440="임시보관",SUMIF($C$430:$C$729,C440,$D$430:$D$729)&lt;=39000)),OR(COUNTIF($A$8:$A$12,F440)=1,AND(B440="U008",C440=208,J440="경조사비",F440="임시보관",SUMIF($C$430:$C$729,C440,$D$430:$D$729)&lt;=39000))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AND(B441="U008",C441=223,J441="경조사비",F441="명절비"),AND(B441="U008",C441=208,J441="경조사비",F441="임시보관",SUMIF($C$430:$C$729,C441,$D$430:$D$729)&lt;=39000)),OR(COUNTIF($A$8:$A$12,F441)=1,AND(B441="U008",C441=208,J441="경조사비",F441="임시보관",SUMIF($C$430:$C$729,C441,$D$430:$D$729)&lt;=39000))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AND(B442="U008",C442=223,J442="경조사비",F442="명절비"),AND(B442="U008",C442=208,J442="경조사비",F442="임시보관",SUMIF($C$430:$C$729,C442,$D$430:$D$729)&lt;=39000)),OR(COUNTIF($A$8:$A$12,F442)=1,AND(B442="U008",C442=208,J442="경조사비",F442="임시보관",SUMIF($C$430:$C$729,C442,$D$430:$D$729)&lt;=39000))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AND(B443="U008",C443=223,J443="경조사비",F443="명절비"),AND(B443="U008",C443=208,J443="경조사비",F443="임시보관",SUMIF($C$430:$C$729,C443,$D$430:$D$729)&lt;=39000)),OR(COUNTIF($A$8:$A$12,F443)=1,AND(B443="U008",C443=208,J443="경조사비",F443="임시보관",SUMIF($C$430:$C$729,C443,$D$430:$D$729)&lt;=39000))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AND(B444="U008",C444=223,J444="경조사비",F444="명절비"),AND(B444="U008",C444=208,J444="경조사비",F444="임시보관",SUMIF($C$430:$C$729,C444,$D$430:$D$729)&lt;=39000)),OR(COUNTIF($A$8:$A$12,F444)=1,AND(B444="U008",C444=208,J444="경조사비",F444="임시보관",SUMIF($C$430:$C$729,C444,$D$430:$D$729)&lt;=39000))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AND(B445="U008",C445=223,J445="경조사비",F445="명절비"),AND(B445="U008",C445=208,J445="경조사비",F445="임시보관",SUMIF($C$430:$C$729,C445,$D$430:$D$729)&lt;=39000)),OR(COUNTIF($A$8:$A$12,F445)=1,AND(B445="U008",C445=208,J445="경조사비",F445="임시보관",SUMIF($C$430:$C$729,C445,$D$430:$D$729)&lt;=39000))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AND(B446="U008",C446=223,J446="경조사비",F446="명절비"),AND(B446="U008",C446=208,J446="경조사비",F446="임시보관",SUMIF($C$430:$C$729,C446,$D$430:$D$729)&lt;=39000)),OR(COUNTIF($A$8:$A$12,F446)=1,AND(B446="U008",C446=208,J446="경조사비",F446="임시보관",SUMIF($C$430:$C$729,C446,$D$430:$D$729)&lt;=39000))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AND(B447="U008",C447=223,J447="경조사비",F447="명절비"),AND(B447="U008",C447=208,J447="경조사비",F447="임시보관",SUMIF($C$430:$C$729,C447,$D$430:$D$729)&lt;=39000)),OR(COUNTIF($A$8:$A$12,F447)=1,AND(B447="U008",C447=208,J447="경조사비",F447="임시보관",SUMIF($C$430:$C$729,C447,$D$430:$D$729)&lt;=39000))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AND(B448="U008",C448=223,J448="경조사비",F448="명절비"),AND(B448="U008",C448=208,J448="경조사비",F448="임시보관",SUMIF($C$430:$C$729,C448,$D$430:$D$729)&lt;=39000)),OR(COUNTIF($A$8:$A$12,F448)=1,AND(B448="U008",C448=208,J448="경조사비",F448="임시보관",SUMIF($C$430:$C$729,C448,$D$430:$D$729)&lt;=39000))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AND(B449="U008",C449=223,J449="경조사비",F449="명절비"),AND(B449="U008",C449=208,J449="경조사비",F449="임시보관",SUMIF($C$430:$C$729,C449,$D$430:$D$729)&lt;=39000)),OR(COUNTIF($A$8:$A$12,F449)=1,AND(B449="U008",C449=208,J449="경조사비",F449="임시보관",SUMIF($C$430:$C$729,C449,$D$430:$D$729)&lt;=39000))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AND(B450="U008",C450=223,J450="경조사비",F450="명절비"),AND(B450="U008",C450=208,J450="경조사비",F450="임시보관",SUMIF($C$430:$C$729,C450,$D$430:$D$729)&lt;=39000)),OR(COUNTIF($A$8:$A$12,F450)=1,AND(B450="U008",C450=208,J450="경조사비",F450="임시보관",SUMIF($C$430:$C$729,C450,$D$430:$D$729)&lt;=39000))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AND(B451="U008",C451=223,J451="경조사비",F451="명절비"),AND(B451="U008",C451=208,J451="경조사비",F451="임시보관",SUMIF($C$430:$C$729,C451,$D$430:$D$729)&lt;=39000)),OR(COUNTIF($A$8:$A$12,F451)=1,AND(B451="U008",C451=208,J451="경조사비",F451="임시보관",SUMIF($C$430:$C$729,C451,$D$430:$D$729)&lt;=39000))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AND(B452="U008",C452=223,J452="경조사비",F452="명절비"),AND(B452="U008",C452=208,J452="경조사비",F452="임시보관",SUMIF($C$430:$C$729,C452,$D$430:$D$729)&lt;=39000)),OR(COUNTIF($A$8:$A$12,F452)=1,AND(B452="U008",C452=208,J452="경조사비",F452="임시보관",SUMIF($C$430:$C$729,C452,$D$430:$D$729)&lt;=39000))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AND(B453="U008",C453=223,J453="경조사비",F453="명절비"),AND(B453="U008",C453=208,J453="경조사비",F453="임시보관",SUMIF($C$430:$C$729,C453,$D$430:$D$729)&lt;=39000)),OR(COUNTIF($A$8:$A$12,F453)=1,AND(B453="U008",C453=208,J453="경조사비",F453="임시보관",SUMIF($C$430:$C$729,C453,$D$430:$D$729)&lt;=39000))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AND(B454="U008",C454=223,J454="경조사비",F454="명절비"),AND(B454="U008",C454=208,J454="경조사비",F454="임시보관",SUMIF($C$430:$C$729,C454,$D$430:$D$729)&lt;=39000)),OR(COUNTIF($A$8:$A$12,F454)=1,AND(B454="U008",C454=208,J454="경조사비",F454="임시보관",SUMIF($C$430:$C$729,C454,$D$430:$D$729)&lt;=39000))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AND(B455="U008",C455=223,J455="경조사비",F455="명절비"),AND(B455="U008",C455=208,J455="경조사비",F455="임시보관",SUMIF($C$430:$C$729,C455,$D$430:$D$729)&lt;=39000)),OR(COUNTIF($A$8:$A$12,F455)=1,AND(B455="U008",C455=208,J455="경조사비",F455="임시보관",SUMIF($C$430:$C$729,C455,$D$430:$D$729)&lt;=39000))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AND(B456="U008",C456=223,J456="경조사비",F456="명절비"),AND(B456="U008",C456=208,J456="경조사비",F456="임시보관",SUMIF($C$430:$C$729,C456,$D$430:$D$729)&lt;=39000)),OR(COUNTIF($A$8:$A$12,F456)=1,AND(B456="U008",C456=208,J456="경조사비",F456="임시보관",SUMIF($C$430:$C$729,C456,$D$430:$D$729)&lt;=39000))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AND(B457="U008",C457=223,J457="경조사비",F457="명절비"),AND(B457="U008",C457=208,J457="경조사비",F457="임시보관",SUMIF($C$430:$C$729,C457,$D$430:$D$729)&lt;=39000)),OR(COUNTIF($A$8:$A$12,F457)=1,AND(B457="U008",C457=208,J457="경조사비",F457="임시보관",SUMIF($C$430:$C$729,C457,$D$430:$D$729)&lt;=39000))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AND(B458="U008",C458=223,J458="경조사비",F458="명절비"),AND(B458="U008",C458=208,J458="경조사비",F458="임시보관",SUMIF($C$430:$C$729,C458,$D$430:$D$729)&lt;=39000)),OR(COUNTIF($A$8:$A$12,F458)=1,AND(B458="U008",C458=208,J458="경조사비",F458="임시보관",SUMIF($C$430:$C$729,C458,$D$430:$D$729)&lt;=39000))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AND(B459="U008",C459=223,J459="경조사비",F459="명절비"),AND(B459="U008",C459=208,J459="경조사비",F459="임시보관",SUMIF($C$430:$C$729,C459,$D$430:$D$729)&lt;=39000)),OR(COUNTIF($A$8:$A$12,F459)=1,AND(B459="U008",C459=208,J459="경조사비",F459="임시보관",SUMIF($C$430:$C$729,C459,$D$430:$D$729)&lt;=39000))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AND(B460="U008",C460=223,J460="경조사비",F460="명절비"),AND(B460="U008",C460=208,J460="경조사비",F460="임시보관",SUMIF($C$430:$C$729,C460,$D$430:$D$729)&lt;=39000)),OR(COUNTIF($A$8:$A$12,F460)=1,AND(B460="U008",C460=208,J460="경조사비",F460="임시보관",SUMIF($C$430:$C$729,C460,$D$430:$D$729)&lt;=39000))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AND(B461="U008",C461=223,J461="경조사비",F461="명절비"),AND(B461="U008",C461=208,J461="경조사비",F461="임시보관",SUMIF($C$430:$C$729,C461,$D$430:$D$729)&lt;=39000)),OR(COUNTIF($A$8:$A$12,F461)=1,AND(B461="U008",C461=208,J461="경조사비",F461="임시보관",SUMIF($C$430:$C$729,C461,$D$430:$D$729)&lt;=39000))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AND(B462="U008",C462=223,J462="경조사비",F462="명절비"),AND(B462="U008",C462=208,J462="경조사비",F462="임시보관",SUMIF($C$430:$C$729,C462,$D$430:$D$729)&lt;=39000)),OR(COUNTIF($A$8:$A$12,F462)=1,AND(B462="U008",C462=208,J462="경조사비",F462="임시보관",SUMIF($C$430:$C$729,C462,$D$430:$D$729)&lt;=39000))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AND(B463="U008",C463=223,J463="경조사비",F463="명절비"),AND(B463="U008",C463=208,J463="경조사비",F463="임시보관",SUMIF($C$430:$C$729,C463,$D$430:$D$729)&lt;=39000)),OR(COUNTIF($A$8:$A$12,F463)=1,AND(B463="U008",C463=208,J463="경조사비",F463="임시보관",SUMIF($C$430:$C$729,C463,$D$430:$D$729)&lt;=39000))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AND(B464="U008",C464=223,J464="경조사비",F464="명절비"),AND(B464="U008",C464=208,J464="경조사비",F464="임시보관",SUMIF($C$430:$C$729,C464,$D$430:$D$729)&lt;=39000)),OR(COUNTIF($A$8:$A$12,F464)=1,AND(B464="U008",C464=208,J464="경조사비",F464="임시보관",SUMIF($C$430:$C$729,C464,$D$430:$D$729)&lt;=39000))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AND(B465="U008",C465=223,J465="경조사비",F465="명절비"),AND(B465="U008",C465=208,J465="경조사비",F465="임시보관",SUMIF($C$430:$C$729,C465,$D$430:$D$729)&lt;=39000)),OR(COUNTIF($A$8:$A$12,F465)=1,AND(B465="U008",C465=208,J465="경조사비",F465="임시보관",SUMIF($C$430:$C$729,C465,$D$430:$D$729)&lt;=39000))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AND(B466="U008",C466=223,J466="경조사비",F466="명절비"),AND(B466="U008",C466=208,J466="경조사비",F466="임시보관",SUMIF($C$430:$C$729,C466,$D$430:$D$729)&lt;=39000)),OR(COUNTIF($A$8:$A$12,F466)=1,AND(B466="U008",C466=208,J466="경조사비",F466="임시보관",SUMIF($C$430:$C$729,C466,$D$430:$D$729)&lt;=39000))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AND(B467="U008",C467=223,J467="경조사비",F467="명절비"),AND(B467="U008",C467=208,J467="경조사비",F467="임시보관",SUMIF($C$430:$C$729,C467,$D$430:$D$729)&lt;=39000)),OR(COUNTIF($A$8:$A$12,F467)=1,AND(B467="U008",C467=208,J467="경조사비",F467="임시보관",SUMIF($C$430:$C$729,C467,$D$430:$D$729)&lt;=39000))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AND(B468="U008",C468=223,J468="경조사비",F468="명절비"),AND(B468="U008",C468=208,J468="경조사비",F468="임시보관",SUMIF($C$430:$C$729,C468,$D$430:$D$729)&lt;=39000)),OR(COUNTIF($A$8:$A$12,F468)=1,AND(B468="U008",C468=208,J468="경조사비",F468="임시보관",SUMIF($C$430:$C$729,C468,$D$430:$D$729)&lt;=39000))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AND(B469="U008",C469=223,J469="경조사비",F469="명절비"),AND(B469="U008",C469=208,J469="경조사비",F469="임시보관",SUMIF($C$430:$C$729,C469,$D$430:$D$729)&lt;=39000)),OR(COUNTIF($A$8:$A$12,F469)=1,AND(B469="U008",C469=208,J469="경조사비",F469="임시보관",SUMIF($C$430:$C$729,C469,$D$430:$D$729)&lt;=39000))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AND(B470="U008",C470=223,J470="경조사비",F470="명절비"),AND(B470="U008",C470=208,J470="경조사비",F470="임시보관",SUMIF($C$430:$C$729,C470,$D$430:$D$729)&lt;=39000)),OR(COUNTIF($A$8:$A$12,F470)=1,AND(B470="U008",C470=208,J470="경조사비",F470="임시보관",SUMIF($C$430:$C$729,C470,$D$430:$D$729)&lt;=39000))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AND(B471="U008",C471=223,J471="경조사비",F471="명절비"),AND(B471="U008",C471=208,J471="경조사비",F471="임시보관",SUMIF($C$430:$C$729,C471,$D$430:$D$729)&lt;=39000)),OR(COUNTIF($A$8:$A$12,F471)=1,AND(B471="U008",C471=208,J471="경조사비",F471="임시보관",SUMIF($C$430:$C$729,C471,$D$430:$D$729)&lt;=39000))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AND(B472="U008",C472=223,J472="경조사비",F472="명절비"),AND(B472="U008",C472=208,J472="경조사비",F472="임시보관",SUMIF($C$430:$C$729,C472,$D$430:$D$729)&lt;=39000)),OR(COUNTIF($A$8:$A$12,F472)=1,AND(B472="U008",C472=208,J472="경조사비",F472="임시보관",SUMIF($C$430:$C$729,C472,$D$430:$D$729)&lt;=39000))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AND(B473="U008",C473=223,J473="경조사비",F473="명절비"),AND(B473="U008",C473=208,J473="경조사비",F473="임시보관",SUMIF($C$430:$C$729,C473,$D$430:$D$729)&lt;=39000)),OR(COUNTIF($A$8:$A$12,F473)=1,AND(B473="U008",C473=208,J473="경조사비",F473="임시보관",SUMIF($C$430:$C$729,C473,$D$430:$D$729)&lt;=39000))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AND(B474="U008",C474=223,J474="경조사비",F474="명절비"),AND(B474="U008",C474=208,J474="경조사비",F474="임시보관",SUMIF($C$430:$C$729,C474,$D$430:$D$729)&lt;=39000)),OR(COUNTIF($A$8:$A$12,F474)=1,AND(B474="U008",C474=208,J474="경조사비",F474="임시보관",SUMIF($C$430:$C$729,C474,$D$430:$D$729)&lt;=39000))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AND(B475="U008",C475=223,J475="경조사비",F475="명절비"),AND(B475="U008",C475=208,J475="경조사비",F475="임시보관",SUMIF($C$430:$C$729,C475,$D$430:$D$729)&lt;=39000)),OR(COUNTIF($A$8:$A$12,F475)=1,AND(B475="U008",C475=208,J475="경조사비",F475="임시보관",SUMIF($C$430:$C$729,C475,$D$430:$D$729)&lt;=39000))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AND(B476="U008",C476=223,J476="경조사비",F476="명절비"),AND(B476="U008",C476=208,J476="경조사비",F476="임시보관",SUMIF($C$430:$C$729,C476,$D$430:$D$729)&lt;=39000)),OR(COUNTIF($A$8:$A$12,F476)=1,AND(B476="U008",C476=208,J476="경조사비",F476="임시보관",SUMIF($C$430:$C$729,C476,$D$430:$D$729)&lt;=39000))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AND(B477="U008",C477=223,J477="경조사비",F477="명절비"),AND(B477="U008",C477=208,J477="경조사비",F477="임시보관",SUMIF($C$430:$C$729,C477,$D$430:$D$729)&lt;=39000)),OR(COUNTIF($A$8:$A$12,F477)=1,AND(B477="U008",C477=208,J477="경조사비",F477="임시보관",SUMIF($C$430:$C$729,C477,$D$430:$D$729)&lt;=39000))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AND(B478="U008",C478=223,J478="경조사비",F478="명절비"),AND(B478="U008",C478=208,J478="경조사비",F478="임시보관",SUMIF($C$430:$C$729,C478,$D$430:$D$729)&lt;=39000)),OR(COUNTIF($A$8:$A$12,F478)=1,AND(B478="U008",C478=208,J478="경조사비",F478="임시보관",SUMIF($C$430:$C$729,C478,$D$430:$D$729)&lt;=39000))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AND(B479="U008",C479=223,J479="경조사비",F479="명절비"),AND(B479="U008",C479=208,J479="경조사비",F479="임시보관",SUMIF($C$430:$C$729,C479,$D$430:$D$729)&lt;=39000)),OR(COUNTIF($A$8:$A$12,F479)=1,AND(B479="U008",C479=208,J479="경조사비",F479="임시보관",SUMIF($C$430:$C$729,C479,$D$430:$D$729)&lt;=39000))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AND(B480="U008",C480=223,J480="경조사비",F480="명절비"),AND(B480="U008",C480=208,J480="경조사비",F480="임시보관",SUMIF($C$430:$C$729,C480,$D$430:$D$729)&lt;=39000)),OR(COUNTIF($A$8:$A$12,F480)=1,AND(B480="U008",C480=208,J480="경조사비",F480="임시보관",SUMIF($C$430:$C$729,C480,$D$430:$D$729)&lt;=39000))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AND(B481="U008",C481=223,J481="경조사비",F481="명절비"),AND(B481="U008",C481=208,J481="경조사비",F481="임시보관",SUMIF($C$430:$C$729,C481,$D$430:$D$729)&lt;=39000)),OR(COUNTIF($A$8:$A$12,F481)=1,AND(B481="U008",C481=208,J481="경조사비",F481="임시보관",SUMIF($C$430:$C$729,C481,$D$430:$D$729)&lt;=39000))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AND(B482="U008",C482=223,J482="경조사비",F482="명절비"),AND(B482="U008",C482=208,J482="경조사비",F482="임시보관",SUMIF($C$430:$C$729,C482,$D$430:$D$729)&lt;=39000)),OR(COUNTIF($A$8:$A$12,F482)=1,AND(B482="U008",C482=208,J482="경조사비",F482="임시보관",SUMIF($C$430:$C$729,C482,$D$430:$D$729)&lt;=39000))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AND(B483="U008",C483=223,J483="경조사비",F483="명절비"),AND(B483="U008",C483=208,J483="경조사비",F483="임시보관",SUMIF($C$430:$C$729,C483,$D$430:$D$729)&lt;=39000)),OR(COUNTIF($A$8:$A$12,F483)=1,AND(B483="U008",C483=208,J483="경조사비",F483="임시보관",SUMIF($C$430:$C$729,C483,$D$430:$D$729)&lt;=39000))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AND(B484="U008",C484=223,J484="경조사비",F484="명절비"),AND(B484="U008",C484=208,J484="경조사비",F484="임시보관",SUMIF($C$430:$C$729,C484,$D$430:$D$729)&lt;=39000)),OR(COUNTIF($A$8:$A$12,F484)=1,AND(B484="U008",C484=208,J484="경조사비",F484="임시보관",SUMIF($C$430:$C$729,C484,$D$430:$D$729)&lt;=39000))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AND(B485="U008",C485=223,J485="경조사비",F485="명절비"),AND(B485="U008",C485=208,J485="경조사비",F485="임시보관",SUMIF($C$430:$C$729,C485,$D$430:$D$729)&lt;=39000)),OR(COUNTIF($A$8:$A$12,F485)=1,AND(B485="U008",C485=208,J485="경조사비",F485="임시보관",SUMIF($C$430:$C$729,C485,$D$430:$D$729)&lt;=39000))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AND(B486="U008",C486=223,J486="경조사비",F486="명절비"),AND(B486="U008",C486=208,J486="경조사비",F486="임시보관",SUMIF($C$430:$C$729,C486,$D$430:$D$729)&lt;=39000)),OR(COUNTIF($A$8:$A$12,F486)=1,AND(B486="U008",C486=208,J486="경조사비",F486="임시보관",SUMIF($C$430:$C$729,C486,$D$430:$D$729)&lt;=39000))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AND(B487="U008",C487=223,J487="경조사비",F487="명절비"),AND(B487="U008",C487=208,J487="경조사비",F487="임시보관",SUMIF($C$430:$C$729,C487,$D$430:$D$729)&lt;=39000)),OR(COUNTIF($A$8:$A$12,F487)=1,AND(B487="U008",C487=208,J487="경조사비",F487="임시보관",SUMIF($C$430:$C$729,C487,$D$430:$D$729)&lt;=39000))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AND(B488="U008",C488=223,J488="경조사비",F488="명절비"),AND(B488="U008",C488=208,J488="경조사비",F488="임시보관",SUMIF($C$430:$C$729,C488,$D$430:$D$729)&lt;=39000)),OR(COUNTIF($A$8:$A$12,F488)=1,AND(B488="U008",C488=208,J488="경조사비",F488="임시보관",SUMIF($C$430:$C$729,C488,$D$430:$D$729)&lt;=39000))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AND(B489="U008",C489=223,J489="경조사비",F489="명절비"),AND(B489="U008",C489=208,J489="경조사비",F489="임시보관",SUMIF($C$430:$C$729,C489,$D$430:$D$729)&lt;=39000)),OR(COUNTIF($A$8:$A$12,F489)=1,AND(B489="U008",C489=208,J489="경조사비",F489="임시보관",SUMIF($C$430:$C$729,C489,$D$430:$D$729)&lt;=39000))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AND(B490="U008",C490=223,J490="경조사비",F490="명절비"),AND(B490="U008",C490=208,J490="경조사비",F490="임시보관",SUMIF($C$430:$C$729,C490,$D$430:$D$729)&lt;=39000)),OR(COUNTIF($A$8:$A$12,F490)=1,AND(B490="U008",C490=208,J490="경조사비",F490="임시보관",SUMIF($C$430:$C$729,C490,$D$430:$D$729)&lt;=39000))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AND(B491="U008",C491=223,J491="경조사비",F491="명절비"),AND(B491="U008",C491=208,J491="경조사비",F491="임시보관",SUMIF($C$430:$C$729,C491,$D$430:$D$729)&lt;=39000)),OR(COUNTIF($A$8:$A$12,F491)=1,AND(B491="U008",C491=208,J491="경조사비",F491="임시보관",SUMIF($C$430:$C$729,C491,$D$430:$D$729)&lt;=39000))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AND(B492="U008",C492=223,J492="경조사비",F492="명절비"),AND(B492="U008",C492=208,J492="경조사비",F492="임시보관",SUMIF($C$430:$C$729,C492,$D$430:$D$729)&lt;=39000)),OR(COUNTIF($A$8:$A$12,F492)=1,AND(B492="U008",C492=208,J492="경조사비",F492="임시보관",SUMIF($C$430:$C$729,C492,$D$430:$D$729)&lt;=39000))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AND(B493="U008",C493=223,J493="경조사비",F493="명절비"),AND(B493="U008",C493=208,J493="경조사비",F493="임시보관",SUMIF($C$430:$C$729,C493,$D$430:$D$729)&lt;=39000)),OR(COUNTIF($A$8:$A$12,F493)=1,AND(B493="U008",C493=208,J493="경조사비",F493="임시보관",SUMIF($C$430:$C$729,C493,$D$430:$D$729)&lt;=39000))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AND(B494="U008",C494=223,J494="경조사비",F494="명절비"),AND(B494="U008",C494=208,J494="경조사비",F494="임시보관",SUMIF($C$430:$C$729,C494,$D$430:$D$729)&lt;=39000)),OR(COUNTIF($A$8:$A$12,F494)=1,AND(B494="U008",C494=208,J494="경조사비",F494="임시보관",SUMIF($C$430:$C$729,C494,$D$430:$D$729)&lt;=39000))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AND(B495="U008",C495=223,J495="경조사비",F495="명절비"),AND(B495="U008",C495=208,J495="경조사비",F495="임시보관",SUMIF($C$430:$C$729,C495,$D$430:$D$729)&lt;=39000)),OR(COUNTIF($A$8:$A$12,F495)=1,AND(B495="U008",C495=208,J495="경조사비",F495="임시보관",SUMIF($C$430:$C$729,C495,$D$430:$D$729)&lt;=39000))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AND(B496="U008",C496=223,J496="경조사비",F496="명절비"),AND(B496="U008",C496=208,J496="경조사비",F496="임시보관",SUMIF($C$430:$C$729,C496,$D$430:$D$729)&lt;=39000)),OR(COUNTIF($A$8:$A$12,F496)=1,AND(B496="U008",C496=208,J496="경조사비",F496="임시보관",SUMIF($C$430:$C$729,C496,$D$430:$D$729)&lt;=39000))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AND(B497="U008",C497=223,J497="경조사비",F497="명절비"),AND(B497="U008",C497=208,J497="경조사비",F497="임시보관",SUMIF($C$430:$C$729,C497,$D$430:$D$729)&lt;=39000)),OR(COUNTIF($A$8:$A$12,F497)=1,AND(B497="U008",C497=208,J497="경조사비",F497="임시보관",SUMIF($C$430:$C$729,C497,$D$430:$D$729)&lt;=39000))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AND(B498="U008",C498=223,J498="경조사비",F498="명절비"),AND(B498="U008",C498=208,J498="경조사비",F498="임시보관",SUMIF($C$430:$C$729,C498,$D$430:$D$729)&lt;=39000)),OR(COUNTIF($A$8:$A$12,F498)=1,AND(B498="U008",C498=208,J498="경조사비",F498="임시보관",SUMIF($C$430:$C$729,C498,$D$430:$D$729)&lt;=39000))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AND(B499="U008",C499=223,J499="경조사비",F499="명절비"),AND(B499="U008",C499=208,J499="경조사비",F499="임시보관",SUMIF($C$430:$C$729,C499,$D$430:$D$729)&lt;=39000)),OR(COUNTIF($A$8:$A$12,F499)=1,AND(B499="U008",C499=208,J499="경조사비",F499="임시보관",SUMIF($C$430:$C$729,C499,$D$430:$D$729)&lt;=39000))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AND(B500="U008",C500=223,J500="경조사비",F500="명절비"),AND(B500="U008",C500=208,J500="경조사비",F500="임시보관",SUMIF($C$430:$C$729,C500,$D$430:$D$729)&lt;=39000)),OR(COUNTIF($A$8:$A$12,F500)=1,AND(B500="U008",C500=208,J500="경조사비",F500="임시보관",SUMIF($C$430:$C$729,C500,$D$430:$D$729)&lt;=39000))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AND(B501="U008",C501=223,J501="경조사비",F501="명절비"),AND(B501="U008",C501=208,J501="경조사비",F501="임시보관",SUMIF($C$430:$C$729,C501,$D$430:$D$729)&lt;=39000)),OR(COUNTIF($A$8:$A$12,F501)=1,AND(B501="U008",C501=208,J501="경조사비",F501="임시보관",SUMIF($C$430:$C$729,C501,$D$430:$D$729)&lt;=39000))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AND(B502="U008",C502=223,J502="경조사비",F502="명절비"),AND(B502="U008",C502=208,J502="경조사비",F502="임시보관",SUMIF($C$430:$C$729,C502,$D$430:$D$729)&lt;=39000)),OR(COUNTIF($A$8:$A$12,F502)=1,AND(B502="U008",C502=208,J502="경조사비",F502="임시보관",SUMIF($C$430:$C$729,C502,$D$430:$D$729)&lt;=39000))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AND(B503="U008",C503=223,J503="경조사비",F503="명절비"),AND(B503="U008",C503=208,J503="경조사비",F503="임시보관",SUMIF($C$430:$C$729,C503,$D$430:$D$729)&lt;=39000)),OR(COUNTIF($A$8:$A$12,F503)=1,AND(B503="U008",C503=208,J503="경조사비",F503="임시보관",SUMIF($C$430:$C$729,C503,$D$430:$D$729)&lt;=39000))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AND(B504="U008",C504=223,J504="경조사비",F504="명절비"),AND(B504="U008",C504=208,J504="경조사비",F504="임시보관",SUMIF($C$430:$C$729,C504,$D$430:$D$729)&lt;=39000)),OR(COUNTIF($A$8:$A$12,F504)=1,AND(B504="U008",C504=208,J504="경조사비",F504="임시보관",SUMIF($C$430:$C$729,C504,$D$430:$D$729)&lt;=39000))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AND(B505="U008",C505=223,J505="경조사비",F505="명절비"),AND(B505="U008",C505=208,J505="경조사비",F505="임시보관",SUMIF($C$430:$C$729,C505,$D$430:$D$729)&lt;=39000)),OR(COUNTIF($A$8:$A$12,F505)=1,AND(B505="U008",C505=208,J505="경조사비",F505="임시보관",SUMIF($C$430:$C$729,C505,$D$430:$D$729)&lt;=39000))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AND(B506="U008",C506=223,J506="경조사비",F506="명절비"),AND(B506="U008",C506=208,J506="경조사비",F506="임시보관",SUMIF($C$430:$C$729,C506,$D$430:$D$729)&lt;=39000)),OR(COUNTIF($A$8:$A$12,F506)=1,AND(B506="U008",C506=208,J506="경조사비",F506="임시보관",SUMIF($C$430:$C$729,C506,$D$430:$D$729)&lt;=39000))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AND(B507="U008",C507=223,J507="경조사비",F507="명절비"),AND(B507="U008",C507=208,J507="경조사비",F507="임시보관",SUMIF($C$430:$C$729,C507,$D$430:$D$729)&lt;=39000)),OR(COUNTIF($A$8:$A$12,F507)=1,AND(B507="U008",C507=208,J507="경조사비",F507="임시보관",SUMIF($C$430:$C$729,C507,$D$430:$D$729)&lt;=39000))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AND(B508="U008",C508=223,J508="경조사비",F508="명절비"),AND(B508="U008",C508=208,J508="경조사비",F508="임시보관",SUMIF($C$430:$C$729,C508,$D$430:$D$729)&lt;=39000)),OR(COUNTIF($A$8:$A$12,F508)=1,AND(B508="U008",C508=208,J508="경조사비",F508="임시보관",SUMIF($C$430:$C$729,C508,$D$430:$D$729)&lt;=39000))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AND(B509="U008",C509=223,J509="경조사비",F509="명절비"),AND(B509="U008",C509=208,J509="경조사비",F509="임시보관",SUMIF($C$430:$C$729,C509,$D$430:$D$729)&lt;=39000)),OR(COUNTIF($A$8:$A$12,F509)=1,AND(B509="U008",C509=208,J509="경조사비",F509="임시보관",SUMIF($C$430:$C$729,C509,$D$430:$D$729)&lt;=39000))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AND(B510="U008",C510=223,J510="경조사비",F510="명절비"),AND(B510="U008",C510=208,J510="경조사비",F510="임시보관",SUMIF($C$430:$C$729,C510,$D$430:$D$729)&lt;=39000)),OR(COUNTIF($A$8:$A$12,F510)=1,AND(B510="U008",C510=208,J510="경조사비",F510="임시보관",SUMIF($C$430:$C$729,C510,$D$430:$D$729)&lt;=39000))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AND(B511="U008",C511=223,J511="경조사비",F511="명절비"),AND(B511="U008",C511=208,J511="경조사비",F511="임시보관",SUMIF($C$430:$C$729,C511,$D$430:$D$729)&lt;=39000)),OR(COUNTIF($A$8:$A$12,F511)=1,AND(B511="U008",C511=208,J511="경조사비",F511="임시보관",SUMIF($C$430:$C$729,C511,$D$430:$D$729)&lt;=39000))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AND(B512="U008",C512=223,J512="경조사비",F512="명절비"),AND(B512="U008",C512=208,J512="경조사비",F512="임시보관",SUMIF($C$430:$C$729,C512,$D$430:$D$729)&lt;=39000)),OR(COUNTIF($A$8:$A$12,F512)=1,AND(B512="U008",C512=208,J512="경조사비",F512="임시보관",SUMIF($C$430:$C$729,C512,$D$430:$D$729)&lt;=39000))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AND(B513="U008",C513=223,J513="경조사비",F513="명절비"),AND(B513="U008",C513=208,J513="경조사비",F513="임시보관",SUMIF($C$430:$C$729,C513,$D$430:$D$729)&lt;=39000)),OR(COUNTIF($A$8:$A$12,F513)=1,AND(B513="U008",C513=208,J513="경조사비",F513="임시보관",SUMIF($C$430:$C$729,C513,$D$430:$D$729)&lt;=39000))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AND(B514="U008",C514=223,J514="경조사비",F514="명절비"),AND(B514="U008",C514=208,J514="경조사비",F514="임시보관",SUMIF($C$430:$C$729,C514,$D$430:$D$729)&lt;=39000)),OR(COUNTIF($A$8:$A$12,F514)=1,AND(B514="U008",C514=208,J514="경조사비",F514="임시보관",SUMIF($C$430:$C$729,C514,$D$430:$D$729)&lt;=39000))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AND(B515="U008",C515=223,J515="경조사비",F515="명절비"),AND(B515="U008",C515=208,J515="경조사비",F515="임시보관",SUMIF($C$430:$C$729,C515,$D$430:$D$729)&lt;=39000)),OR(COUNTIF($A$8:$A$12,F515)=1,AND(B515="U008",C515=208,J515="경조사비",F515="임시보관",SUMIF($C$430:$C$729,C515,$D$430:$D$729)&lt;=39000))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AND(B516="U008",C516=223,J516="경조사비",F516="명절비"),AND(B516="U008",C516=208,J516="경조사비",F516="임시보관",SUMIF($C$430:$C$729,C516,$D$430:$D$729)&lt;=39000)),OR(COUNTIF($A$8:$A$12,F516)=1,AND(B516="U008",C516=208,J516="경조사비",F516="임시보관",SUMIF($C$430:$C$729,C516,$D$430:$D$729)&lt;=39000))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AND(B517="U008",C517=223,J517="경조사비",F517="명절비"),AND(B517="U008",C517=208,J517="경조사비",F517="임시보관",SUMIF($C$430:$C$729,C517,$D$430:$D$729)&lt;=39000)),OR(COUNTIF($A$8:$A$12,F517)=1,AND(B517="U008",C517=208,J517="경조사비",F517="임시보관",SUMIF($C$430:$C$729,C517,$D$430:$D$729)&lt;=39000))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AND(B518="U008",C518=223,J518="경조사비",F518="명절비"),AND(B518="U008",C518=208,J518="경조사비",F518="임시보관",SUMIF($C$430:$C$729,C518,$D$430:$D$729)&lt;=39000)),OR(COUNTIF($A$8:$A$12,F518)=1,AND(B518="U008",C518=208,J518="경조사비",F518="임시보관",SUMIF($C$430:$C$729,C518,$D$430:$D$729)&lt;=39000))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AND(B519="U008",C519=223,J519="경조사비",F519="명절비"),AND(B519="U008",C519=208,J519="경조사비",F519="임시보관",SUMIF($C$430:$C$729,C519,$D$430:$D$729)&lt;=39000)),OR(COUNTIF($A$8:$A$12,F519)=1,AND(B519="U008",C519=208,J519="경조사비",F519="임시보관",SUMIF($C$430:$C$729,C519,$D$430:$D$729)&lt;=39000))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AND(B520="U008",C520=223,J520="경조사비",F520="명절비"),AND(B520="U008",C520=208,J520="경조사비",F520="임시보관",SUMIF($C$430:$C$729,C520,$D$430:$D$729)&lt;=39000)),OR(COUNTIF($A$8:$A$12,F520)=1,AND(B520="U008",C520=208,J520="경조사비",F520="임시보관",SUMIF($C$430:$C$729,C520,$D$430:$D$729)&lt;=39000))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AND(B521="U008",C521=223,J521="경조사비",F521="명절비"),AND(B521="U008",C521=208,J521="경조사비",F521="임시보관",SUMIF($C$430:$C$729,C521,$D$430:$D$729)&lt;=39000)),OR(COUNTIF($A$8:$A$12,F521)=1,AND(B521="U008",C521=208,J521="경조사비",F521="임시보관",SUMIF($C$430:$C$729,C521,$D$430:$D$729)&lt;=39000))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AND(B522="U008",C522=223,J522="경조사비",F522="명절비"),AND(B522="U008",C522=208,J522="경조사비",F522="임시보관",SUMIF($C$430:$C$729,C522,$D$430:$D$729)&lt;=39000)),OR(COUNTIF($A$8:$A$12,F522)=1,AND(B522="U008",C522=208,J522="경조사비",F522="임시보관",SUMIF($C$430:$C$729,C522,$D$430:$D$729)&lt;=39000))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AND(B523="U008",C523=223,J523="경조사비",F523="명절비"),AND(B523="U008",C523=208,J523="경조사비",F523="임시보관",SUMIF($C$430:$C$729,C523,$D$430:$D$729)&lt;=39000)),OR(COUNTIF($A$8:$A$12,F523)=1,AND(B523="U008",C523=208,J523="경조사비",F523="임시보관",SUMIF($C$430:$C$729,C523,$D$430:$D$729)&lt;=39000))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AND(B524="U008",C524=223,J524="경조사비",F524="명절비"),AND(B524="U008",C524=208,J524="경조사비",F524="임시보관",SUMIF($C$430:$C$729,C524,$D$430:$D$729)&lt;=39000)),OR(COUNTIF($A$8:$A$12,F524)=1,AND(B524="U008",C524=208,J524="경조사비",F524="임시보관",SUMIF($C$430:$C$729,C524,$D$430:$D$729)&lt;=39000))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AND(B525="U008",C525=223,J525="경조사비",F525="명절비"),AND(B525="U008",C525=208,J525="경조사비",F525="임시보관",SUMIF($C$430:$C$729,C525,$D$430:$D$729)&lt;=39000)),OR(COUNTIF($A$8:$A$12,F525)=1,AND(B525="U008",C525=208,J525="경조사비",F525="임시보관",SUMIF($C$430:$C$729,C525,$D$430:$D$729)&lt;=39000))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AND(B526="U008",C526=223,J526="경조사비",F526="명절비"),AND(B526="U008",C526=208,J526="경조사비",F526="임시보관",SUMIF($C$430:$C$729,C526,$D$430:$D$729)&lt;=39000)),OR(COUNTIF($A$8:$A$12,F526)=1,AND(B526="U008",C526=208,J526="경조사비",F526="임시보관",SUMIF($C$430:$C$729,C526,$D$430:$D$729)&lt;=39000))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AND(B527="U008",C527=223,J527="경조사비",F527="명절비"),AND(B527="U008",C527=208,J527="경조사비",F527="임시보관",SUMIF($C$430:$C$729,C527,$D$430:$D$729)&lt;=39000)),OR(COUNTIF($A$8:$A$12,F527)=1,AND(B527="U008",C527=208,J527="경조사비",F527="임시보관",SUMIF($C$430:$C$729,C527,$D$430:$D$729)&lt;=39000))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AND(B528="U008",C528=223,J528="경조사비",F528="명절비"),AND(B528="U008",C528=208,J528="경조사비",F528="임시보관",SUMIF($C$430:$C$729,C528,$D$430:$D$729)&lt;=39000)),OR(COUNTIF($A$8:$A$12,F528)=1,AND(B528="U008",C528=208,J528="경조사비",F528="임시보관",SUMIF($C$430:$C$729,C528,$D$430:$D$729)&lt;=39000))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AND(B529="U008",C529=223,J529="경조사비",F529="명절비"),AND(B529="U008",C529=208,J529="경조사비",F529="임시보관",SUMIF($C$430:$C$729,C529,$D$430:$D$729)&lt;=39000)),OR(COUNTIF($A$8:$A$12,F529)=1,AND(B529="U008",C529=208,J529="경조사비",F529="임시보관",SUMIF($C$430:$C$729,C529,$D$430:$D$729)&lt;=39000))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AND(B530="U008",C530=223,J530="경조사비",F530="명절비"),AND(B530="U008",C530=208,J530="경조사비",F530="임시보관",SUMIF($C$430:$C$729,C530,$D$430:$D$729)&lt;=39000)),OR(COUNTIF($A$8:$A$12,F530)=1,AND(B530="U008",C530=208,J530="경조사비",F530="임시보관",SUMIF($C$430:$C$729,C530,$D$430:$D$729)&lt;=39000))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AND(B531="U008",C531=223,J531="경조사비",F531="명절비"),AND(B531="U008",C531=208,J531="경조사비",F531="임시보관",SUMIF($C$430:$C$729,C531,$D$430:$D$729)&lt;=39000)),OR(COUNTIF($A$8:$A$12,F531)=1,AND(B531="U008",C531=208,J531="경조사비",F531="임시보관",SUMIF($C$430:$C$729,C531,$D$430:$D$729)&lt;=39000))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AND(B532="U008",C532=223,J532="경조사비",F532="명절비"),AND(B532="U008",C532=208,J532="경조사비",F532="임시보관",SUMIF($C$430:$C$729,C532,$D$430:$D$729)&lt;=39000)),OR(COUNTIF($A$8:$A$12,F532)=1,AND(B532="U008",C532=208,J532="경조사비",F532="임시보관",SUMIF($C$430:$C$729,C532,$D$430:$D$729)&lt;=39000))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AND(B533="U008",C533=223,J533="경조사비",F533="명절비"),AND(B533="U008",C533=208,J533="경조사비",F533="임시보관",SUMIF($C$430:$C$729,C533,$D$430:$D$729)&lt;=39000)),OR(COUNTIF($A$8:$A$12,F533)=1,AND(B533="U008",C533=208,J533="경조사비",F533="임시보관",SUMIF($C$430:$C$729,C533,$D$430:$D$729)&lt;=39000))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AND(B534="U008",C534=223,J534="경조사비",F534="명절비"),AND(B534="U008",C534=208,J534="경조사비",F534="임시보관",SUMIF($C$430:$C$729,C534,$D$430:$D$729)&lt;=39000)),OR(COUNTIF($A$8:$A$12,F534)=1,AND(B534="U008",C534=208,J534="경조사비",F534="임시보관",SUMIF($C$430:$C$729,C534,$D$430:$D$729)&lt;=39000))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AND(B535="U008",C535=223,J535="경조사비",F535="명절비"),AND(B535="U008",C535=208,J535="경조사비",F535="임시보관",SUMIF($C$430:$C$729,C535,$D$430:$D$729)&lt;=39000)),OR(COUNTIF($A$8:$A$12,F535)=1,AND(B535="U008",C535=208,J535="경조사비",F535="임시보관",SUMIF($C$430:$C$729,C535,$D$430:$D$729)&lt;=39000))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AND(B536="U008",C536=223,J536="경조사비",F536="명절비"),AND(B536="U008",C536=208,J536="경조사비",F536="임시보관",SUMIF($C$430:$C$729,C536,$D$430:$D$729)&lt;=39000)),OR(COUNTIF($A$8:$A$12,F536)=1,AND(B536="U008",C536=208,J536="경조사비",F536="임시보관",SUMIF($C$430:$C$729,C536,$D$430:$D$729)&lt;=39000))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AND(B537="U008",C537=223,J537="경조사비",F537="명절비"),AND(B537="U008",C537=208,J537="경조사비",F537="임시보관",SUMIF($C$430:$C$729,C537,$D$430:$D$729)&lt;=39000)),OR(COUNTIF($A$8:$A$12,F537)=1,AND(B537="U008",C537=208,J537="경조사비",F537="임시보관",SUMIF($C$430:$C$729,C537,$D$430:$D$729)&lt;=39000))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AND(B538="U008",C538=223,J538="경조사비",F538="명절비"),AND(B538="U008",C538=208,J538="경조사비",F538="임시보관",SUMIF($C$430:$C$729,C538,$D$430:$D$729)&lt;=39000)),OR(COUNTIF($A$8:$A$12,F538)=1,AND(B538="U008",C538=208,J538="경조사비",F538="임시보관",SUMIF($C$430:$C$729,C538,$D$430:$D$729)&lt;=39000))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AND(B539="U008",C539=223,J539="경조사비",F539="명절비"),AND(B539="U008",C539=208,J539="경조사비",F539="임시보관",SUMIF($C$430:$C$729,C539,$D$430:$D$729)&lt;=39000)),OR(COUNTIF($A$8:$A$12,F539)=1,AND(B539="U008",C539=208,J539="경조사비",F539="임시보관",SUMIF($C$430:$C$729,C539,$D$430:$D$729)&lt;=39000))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AND(B540="U008",C540=223,J540="경조사비",F540="명절비"),AND(B540="U008",C540=208,J540="경조사비",F540="임시보관",SUMIF($C$430:$C$729,C540,$D$430:$D$729)&lt;=39000)),OR(COUNTIF($A$8:$A$12,F540)=1,AND(B540="U008",C540=208,J540="경조사비",F540="임시보관",SUMIF($C$430:$C$729,C540,$D$430:$D$729)&lt;=39000))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AND(B541="U008",C541=223,J541="경조사비",F541="명절비"),AND(B541="U008",C541=208,J541="경조사비",F541="임시보관",SUMIF($C$430:$C$729,C541,$D$430:$D$729)&lt;=39000)),OR(COUNTIF($A$8:$A$12,F541)=1,AND(B541="U008",C541=208,J541="경조사비",F541="임시보관",SUMIF($C$430:$C$729,C541,$D$430:$D$729)&lt;=39000))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AND(B542="U008",C542=223,J542="경조사비",F542="명절비"),AND(B542="U008",C542=208,J542="경조사비",F542="임시보관",SUMIF($C$430:$C$729,C542,$D$430:$D$729)&lt;=39000)),OR(COUNTIF($A$8:$A$12,F542)=1,AND(B542="U008",C542=208,J542="경조사비",F542="임시보관",SUMIF($C$430:$C$729,C542,$D$430:$D$729)&lt;=39000))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AND(B543="U008",C543=223,J543="경조사비",F543="명절비"),AND(B543="U008",C543=208,J543="경조사비",F543="임시보관",SUMIF($C$430:$C$729,C543,$D$430:$D$729)&lt;=39000)),OR(COUNTIF($A$8:$A$12,F543)=1,AND(B543="U008",C543=208,J543="경조사비",F543="임시보관",SUMIF($C$430:$C$729,C543,$D$430:$D$729)&lt;=39000))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AND(B544="U008",C544=223,J544="경조사비",F544="명절비"),AND(B544="U008",C544=208,J544="경조사비",F544="임시보관",SUMIF($C$430:$C$729,C544,$D$430:$D$729)&lt;=39000)),OR(COUNTIF($A$8:$A$12,F544)=1,AND(B544="U008",C544=208,J544="경조사비",F544="임시보관",SUMIF($C$430:$C$729,C544,$D$430:$D$729)&lt;=39000))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AND(B545="U008",C545=223,J545="경조사비",F545="명절비"),AND(B545="U008",C545=208,J545="경조사비",F545="임시보관",SUMIF($C$430:$C$729,C545,$D$430:$D$729)&lt;=39000)),OR(COUNTIF($A$8:$A$12,F545)=1,AND(B545="U008",C545=208,J545="경조사비",F545="임시보관",SUMIF($C$430:$C$729,C545,$D$430:$D$729)&lt;=39000))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AND(B546="U008",C546=223,J546="경조사비",F546="명절비"),AND(B546="U008",C546=208,J546="경조사비",F546="임시보관",SUMIF($C$430:$C$729,C546,$D$430:$D$729)&lt;=39000)),OR(COUNTIF($A$8:$A$12,F546)=1,AND(B546="U008",C546=208,J546="경조사비",F546="임시보관",SUMIF($C$430:$C$729,C546,$D$430:$D$729)&lt;=39000))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AND(B547="U008",C547=223,J547="경조사비",F547="명절비"),AND(B547="U008",C547=208,J547="경조사비",F547="임시보관",SUMIF($C$430:$C$729,C547,$D$430:$D$729)&lt;=39000)),OR(COUNTIF($A$8:$A$12,F547)=1,AND(B547="U008",C547=208,J547="경조사비",F547="임시보관",SUMIF($C$430:$C$729,C547,$D$430:$D$729)&lt;=39000))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AND(B548="U008",C548=223,J548="경조사비",F548="명절비"),AND(B548="U008",C548=208,J548="경조사비",F548="임시보관",SUMIF($C$430:$C$729,C548,$D$430:$D$729)&lt;=39000)),OR(COUNTIF($A$8:$A$12,F548)=1,AND(B548="U008",C548=208,J548="경조사비",F548="임시보관",SUMIF($C$430:$C$729,C548,$D$430:$D$729)&lt;=39000))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AND(B549="U008",C549=223,J549="경조사비",F549="명절비"),AND(B549="U008",C549=208,J549="경조사비",F549="임시보관",SUMIF($C$430:$C$729,C549,$D$430:$D$729)&lt;=39000)),OR(COUNTIF($A$8:$A$12,F549)=1,AND(B549="U008",C549=208,J549="경조사비",F549="임시보관",SUMIF($C$430:$C$729,C549,$D$430:$D$729)&lt;=39000))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AND(B550="U008",C550=223,J550="경조사비",F550="명절비"),AND(B550="U008",C550=208,J550="경조사비",F550="임시보관",SUMIF($C$430:$C$729,C550,$D$430:$D$729)&lt;=39000)),OR(COUNTIF($A$8:$A$12,F550)=1,AND(B550="U008",C550=208,J550="경조사비",F550="임시보관",SUMIF($C$430:$C$729,C550,$D$430:$D$729)&lt;=39000))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AND(B551="U008",C551=223,J551="경조사비",F551="명절비"),AND(B551="U008",C551=208,J551="경조사비",F551="임시보관",SUMIF($C$430:$C$729,C551,$D$430:$D$729)&lt;=39000)),OR(COUNTIF($A$8:$A$12,F551)=1,AND(B551="U008",C551=208,J551="경조사비",F551="임시보관",SUMIF($C$430:$C$729,C551,$D$430:$D$729)&lt;=39000))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AND(B552="U008",C552=223,J552="경조사비",F552="명절비"),AND(B552="U008",C552=208,J552="경조사비",F552="임시보관",SUMIF($C$430:$C$729,C552,$D$430:$D$729)&lt;=39000)),OR(COUNTIF($A$8:$A$12,F552)=1,AND(B552="U008",C552=208,J552="경조사비",F552="임시보관",SUMIF($C$430:$C$729,C552,$D$430:$D$729)&lt;=39000))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AND(B553="U008",C553=223,J553="경조사비",F553="명절비"),AND(B553="U008",C553=208,J553="경조사비",F553="임시보관",SUMIF($C$430:$C$729,C553,$D$430:$D$729)&lt;=39000)),OR(COUNTIF($A$8:$A$12,F553)=1,AND(B553="U008",C553=208,J553="경조사비",F553="임시보관",SUMIF($C$430:$C$729,C553,$D$430:$D$729)&lt;=39000))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AND(B554="U008",C554=223,J554="경조사비",F554="명절비"),AND(B554="U008",C554=208,J554="경조사비",F554="임시보관",SUMIF($C$430:$C$729,C554,$D$430:$D$729)&lt;=39000)),OR(COUNTIF($A$8:$A$12,F554)=1,AND(B554="U008",C554=208,J554="경조사비",F554="임시보관",SUMIF($C$430:$C$729,C554,$D$430:$D$729)&lt;=39000))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AND(B555="U008",C555=223,J555="경조사비",F555="명절비"),AND(B555="U008",C555=208,J555="경조사비",F555="임시보관",SUMIF($C$430:$C$729,C555,$D$430:$D$729)&lt;=39000)),OR(COUNTIF($A$8:$A$12,F555)=1,AND(B555="U008",C555=208,J555="경조사비",F555="임시보관",SUMIF($C$430:$C$729,C555,$D$430:$D$729)&lt;=39000))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AND(B556="U008",C556=223,J556="경조사비",F556="명절비"),AND(B556="U008",C556=208,J556="경조사비",F556="임시보관",SUMIF($C$430:$C$729,C556,$D$430:$D$729)&lt;=39000)),OR(COUNTIF($A$8:$A$12,F556)=1,AND(B556="U008",C556=208,J556="경조사비",F556="임시보관",SUMIF($C$430:$C$729,C556,$D$430:$D$729)&lt;=39000))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AND(B557="U008",C557=223,J557="경조사비",F557="명절비"),AND(B557="U008",C557=208,J557="경조사비",F557="임시보관",SUMIF($C$430:$C$729,C557,$D$430:$D$729)&lt;=39000)),OR(COUNTIF($A$8:$A$12,F557)=1,AND(B557="U008",C557=208,J557="경조사비",F557="임시보관",SUMIF($C$430:$C$729,C557,$D$430:$D$729)&lt;=39000))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AND(B558="U008",C558=223,J558="경조사비",F558="명절비"),AND(B558="U008",C558=208,J558="경조사비",F558="임시보관",SUMIF($C$430:$C$729,C558,$D$430:$D$729)&lt;=39000)),OR(COUNTIF($A$8:$A$12,F558)=1,AND(B558="U008",C558=208,J558="경조사비",F558="임시보관",SUMIF($C$430:$C$729,C558,$D$430:$D$729)&lt;=39000))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AND(B559="U008",C559=223,J559="경조사비",F559="명절비"),AND(B559="U008",C559=208,J559="경조사비",F559="임시보관",SUMIF($C$430:$C$729,C559,$D$430:$D$729)&lt;=39000)),OR(COUNTIF($A$8:$A$12,F559)=1,AND(B559="U008",C559=208,J559="경조사비",F559="임시보관",SUMIF($C$430:$C$729,C559,$D$430:$D$729)&lt;=39000))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AND(B560="U008",C560=223,J560="경조사비",F560="명절비"),AND(B560="U008",C560=208,J560="경조사비",F560="임시보관",SUMIF($C$430:$C$729,C560,$D$430:$D$729)&lt;=39000)),OR(COUNTIF($A$8:$A$12,F560)=1,AND(B560="U008",C560=208,J560="경조사비",F560="임시보관",SUMIF($C$430:$C$729,C560,$D$430:$D$729)&lt;=39000))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AND(B561="U008",C561=223,J561="경조사비",F561="명절비"),AND(B561="U008",C561=208,J561="경조사비",F561="임시보관",SUMIF($C$430:$C$729,C561,$D$430:$D$729)&lt;=39000)),OR(COUNTIF($A$8:$A$12,F561)=1,AND(B561="U008",C561=208,J561="경조사비",F561="임시보관",SUMIF($C$430:$C$729,C561,$D$430:$D$729)&lt;=39000))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AND(B562="U008",C562=223,J562="경조사비",F562="명절비"),AND(B562="U008",C562=208,J562="경조사비",F562="임시보관",SUMIF($C$430:$C$729,C562,$D$430:$D$729)&lt;=39000)),OR(COUNTIF($A$8:$A$12,F562)=1,AND(B562="U008",C562=208,J562="경조사비",F562="임시보관",SUMIF($C$430:$C$729,C562,$D$430:$D$729)&lt;=39000))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AND(B563="U008",C563=223,J563="경조사비",F563="명절비"),AND(B563="U008",C563=208,J563="경조사비",F563="임시보관",SUMIF($C$430:$C$729,C563,$D$430:$D$729)&lt;=39000)),OR(COUNTIF($A$8:$A$12,F563)=1,AND(B563="U008",C563=208,J563="경조사비",F563="임시보관",SUMIF($C$430:$C$729,C563,$D$430:$D$729)&lt;=39000))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AND(B564="U008",C564=223,J564="경조사비",F564="명절비"),AND(B564="U008",C564=208,J564="경조사비",F564="임시보관",SUMIF($C$430:$C$729,C564,$D$430:$D$729)&lt;=39000)),OR(COUNTIF($A$8:$A$12,F564)=1,AND(B564="U008",C564=208,J564="경조사비",F564="임시보관",SUMIF($C$430:$C$729,C564,$D$430:$D$729)&lt;=39000))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AND(B565="U008",C565=223,J565="경조사비",F565="명절비"),AND(B565="U008",C565=208,J565="경조사비",F565="임시보관",SUMIF($C$430:$C$729,C565,$D$430:$D$729)&lt;=39000)),OR(COUNTIF($A$8:$A$12,F565)=1,AND(B565="U008",C565=208,J565="경조사비",F565="임시보관",SUMIF($C$430:$C$729,C565,$D$430:$D$729)&lt;=39000))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AND(B566="U008",C566=223,J566="경조사비",F566="명절비"),AND(B566="U008",C566=208,J566="경조사비",F566="임시보관",SUMIF($C$430:$C$729,C566,$D$430:$D$729)&lt;=39000)),OR(COUNTIF($A$8:$A$12,F566)=1,AND(B566="U008",C566=208,J566="경조사비",F566="임시보관",SUMIF($C$430:$C$729,C566,$D$430:$D$729)&lt;=39000))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AND(B567="U008",C567=223,J567="경조사비",F567="명절비"),AND(B567="U008",C567=208,J567="경조사비",F567="임시보관",SUMIF($C$430:$C$729,C567,$D$430:$D$729)&lt;=39000)),OR(COUNTIF($A$8:$A$12,F567)=1,AND(B567="U008",C567=208,J567="경조사비",F567="임시보관",SUMIF($C$430:$C$729,C567,$D$430:$D$729)&lt;=39000))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AND(B568="U008",C568=223,J568="경조사비",F568="명절비"),AND(B568="U008",C568=208,J568="경조사비",F568="임시보관",SUMIF($C$430:$C$729,C568,$D$430:$D$729)&lt;=39000)),OR(COUNTIF($A$8:$A$12,F568)=1,AND(B568="U008",C568=208,J568="경조사비",F568="임시보관",SUMIF($C$430:$C$729,C568,$D$430:$D$729)&lt;=39000))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AND(B569="U008",C569=223,J569="경조사비",F569="명절비"),AND(B569="U008",C569=208,J569="경조사비",F569="임시보관",SUMIF($C$430:$C$729,C569,$D$430:$D$729)&lt;=39000)),OR(COUNTIF($A$8:$A$12,F569)=1,AND(B569="U008",C569=208,J569="경조사비",F569="임시보관",SUMIF($C$430:$C$729,C569,$D$430:$D$729)&lt;=39000))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AND(B570="U008",C570=223,J570="경조사비",F570="명절비"),AND(B570="U008",C570=208,J570="경조사비",F570="임시보관",SUMIF($C$430:$C$729,C570,$D$430:$D$729)&lt;=39000)),OR(COUNTIF($A$8:$A$12,F570)=1,AND(B570="U008",C570=208,J570="경조사비",F570="임시보관",SUMIF($C$430:$C$729,C570,$D$430:$D$729)&lt;=39000))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AND(B571="U008",C571=223,J571="경조사비",F571="명절비"),AND(B571="U008",C571=208,J571="경조사비",F571="임시보관",SUMIF($C$430:$C$729,C571,$D$430:$D$729)&lt;=39000)),OR(COUNTIF($A$8:$A$12,F571)=1,AND(B571="U008",C571=208,J571="경조사비",F571="임시보관",SUMIF($C$430:$C$729,C571,$D$430:$D$729)&lt;=39000))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AND(B572="U008",C572=223,J572="경조사비",F572="명절비"),AND(B572="U008",C572=208,J572="경조사비",F572="임시보관",SUMIF($C$430:$C$729,C572,$D$430:$D$729)&lt;=39000)),OR(COUNTIF($A$8:$A$12,F572)=1,AND(B572="U008",C572=208,J572="경조사비",F572="임시보관",SUMIF($C$430:$C$729,C572,$D$430:$D$729)&lt;=39000))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AND(B573="U008",C573=223,J573="경조사비",F573="명절비"),AND(B573="U008",C573=208,J573="경조사비",F573="임시보관",SUMIF($C$430:$C$729,C573,$D$430:$D$729)&lt;=39000)),OR(COUNTIF($A$8:$A$12,F573)=1,AND(B573="U008",C573=208,J573="경조사비",F573="임시보관",SUMIF($C$430:$C$729,C573,$D$430:$D$729)&lt;=39000))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AND(B574="U008",C574=223,J574="경조사비",F574="명절비"),AND(B574="U008",C574=208,J574="경조사비",F574="임시보관",SUMIF($C$430:$C$729,C574,$D$430:$D$729)&lt;=39000)),OR(COUNTIF($A$8:$A$12,F574)=1,AND(B574="U008",C574=208,J574="경조사비",F574="임시보관",SUMIF($C$430:$C$729,C574,$D$430:$D$729)&lt;=39000))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AND(B575="U008",C575=223,J575="경조사비",F575="명절비"),AND(B575="U008",C575=208,J575="경조사비",F575="임시보관",SUMIF($C$430:$C$729,C575,$D$430:$D$729)&lt;=39000)),OR(COUNTIF($A$8:$A$12,F575)=1,AND(B575="U008",C575=208,J575="경조사비",F575="임시보관",SUMIF($C$430:$C$729,C575,$D$430:$D$729)&lt;=39000))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AND(B576="U008",C576=223,J576="경조사비",F576="명절비"),AND(B576="U008",C576=208,J576="경조사비",F576="임시보관",SUMIF($C$430:$C$729,C576,$D$430:$D$729)&lt;=39000)),OR(COUNTIF($A$8:$A$12,F576)=1,AND(B576="U008",C576=208,J576="경조사비",F576="임시보관",SUMIF($C$430:$C$729,C576,$D$430:$D$729)&lt;=39000))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AND(B577="U008",C577=223,J577="경조사비",F577="명절비"),AND(B577="U008",C577=208,J577="경조사비",F577="임시보관",SUMIF($C$430:$C$729,C577,$D$430:$D$729)&lt;=39000)),OR(COUNTIF($A$8:$A$12,F577)=1,AND(B577="U008",C577=208,J577="경조사비",F577="임시보관",SUMIF($C$430:$C$729,C577,$D$430:$D$729)&lt;=39000))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AND(B578="U008",C578=223,J578="경조사비",F578="명절비"),AND(B578="U008",C578=208,J578="경조사비",F578="임시보관",SUMIF($C$430:$C$729,C578,$D$430:$D$729)&lt;=39000)),OR(COUNTIF($A$8:$A$12,F578)=1,AND(B578="U008",C578=208,J578="경조사비",F578="임시보관",SUMIF($C$430:$C$729,C578,$D$430:$D$729)&lt;=39000))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AND(B579="U008",C579=223,J579="경조사비",F579="명절비"),AND(B579="U008",C579=208,J579="경조사비",F579="임시보관",SUMIF($C$430:$C$729,C579,$D$430:$D$729)&lt;=39000)),OR(COUNTIF($A$8:$A$12,F579)=1,AND(B579="U008",C579=208,J579="경조사비",F579="임시보관",SUMIF($C$430:$C$729,C579,$D$430:$D$729)&lt;=39000))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AND(B580="U008",C580=223,J580="경조사비",F580="명절비"),AND(B580="U008",C580=208,J580="경조사비",F580="임시보관",SUMIF($C$430:$C$729,C580,$D$430:$D$729)&lt;=39000)),OR(COUNTIF($A$8:$A$12,F580)=1,AND(B580="U008",C580=208,J580="경조사비",F580="임시보관",SUMIF($C$430:$C$729,C580,$D$430:$D$729)&lt;=39000))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AND(B581="U008",C581=223,J581="경조사비",F581="명절비"),AND(B581="U008",C581=208,J581="경조사비",F581="임시보관",SUMIF($C$430:$C$729,C581,$D$430:$D$729)&lt;=39000)),OR(COUNTIF($A$8:$A$12,F581)=1,AND(B581="U008",C581=208,J581="경조사비",F581="임시보관",SUMIF($C$430:$C$729,C581,$D$430:$D$729)&lt;=39000))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AND(B582="U008",C582=223,J582="경조사비",F582="명절비"),AND(B582="U008",C582=208,J582="경조사비",F582="임시보관",SUMIF($C$430:$C$729,C582,$D$430:$D$729)&lt;=39000)),OR(COUNTIF($A$8:$A$12,F582)=1,AND(B582="U008",C582=208,J582="경조사비",F582="임시보관",SUMIF($C$430:$C$729,C582,$D$430:$D$729)&lt;=39000))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AND(B583="U008",C583=223,J583="경조사비",F583="명절비"),AND(B583="U008",C583=208,J583="경조사비",F583="임시보관",SUMIF($C$430:$C$729,C583,$D$430:$D$729)&lt;=39000)),OR(COUNTIF($A$8:$A$12,F583)=1,AND(B583="U008",C583=208,J583="경조사비",F583="임시보관",SUMIF($C$430:$C$729,C583,$D$430:$D$729)&lt;=39000))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AND(B584="U008",C584=223,J584="경조사비",F584="명절비"),AND(B584="U008",C584=208,J584="경조사비",F584="임시보관",SUMIF($C$430:$C$729,C584,$D$430:$D$729)&lt;=39000)),OR(COUNTIF($A$8:$A$12,F584)=1,AND(B584="U008",C584=208,J584="경조사비",F584="임시보관",SUMIF($C$430:$C$729,C584,$D$430:$D$729)&lt;=39000))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AND(B585="U008",C585=223,J585="경조사비",F585="명절비"),AND(B585="U008",C585=208,J585="경조사비",F585="임시보관",SUMIF($C$430:$C$729,C585,$D$430:$D$729)&lt;=39000)),OR(COUNTIF($A$8:$A$12,F585)=1,AND(B585="U008",C585=208,J585="경조사비",F585="임시보관",SUMIF($C$430:$C$729,C585,$D$430:$D$729)&lt;=39000))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AND(B586="U008",C586=223,J586="경조사비",F586="명절비"),AND(B586="U008",C586=208,J586="경조사비",F586="임시보관",SUMIF($C$430:$C$729,C586,$D$430:$D$729)&lt;=39000)),OR(COUNTIF($A$8:$A$12,F586)=1,AND(B586="U008",C586=208,J586="경조사비",F586="임시보관",SUMIF($C$430:$C$729,C586,$D$430:$D$729)&lt;=39000))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AND(B587="U008",C587=223,J587="경조사비",F587="명절비"),AND(B587="U008",C587=208,J587="경조사비",F587="임시보관",SUMIF($C$430:$C$729,C587,$D$430:$D$729)&lt;=39000)),OR(COUNTIF($A$8:$A$12,F587)=1,AND(B587="U008",C587=208,J587="경조사비",F587="임시보관",SUMIF($C$430:$C$729,C587,$D$430:$D$729)&lt;=39000))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AND(B588="U008",C588=223,J588="경조사비",F588="명절비"),AND(B588="U008",C588=208,J588="경조사비",F588="임시보관",SUMIF($C$430:$C$729,C588,$D$430:$D$729)&lt;=39000)),OR(COUNTIF($A$8:$A$12,F588)=1,AND(B588="U008",C588=208,J588="경조사비",F588="임시보관",SUMIF($C$430:$C$729,C588,$D$430:$D$729)&lt;=39000))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AND(B589="U008",C589=223,J589="경조사비",F589="명절비"),AND(B589="U008",C589=208,J589="경조사비",F589="임시보관",SUMIF($C$430:$C$729,C589,$D$430:$D$729)&lt;=39000)),OR(COUNTIF($A$8:$A$12,F589)=1,AND(B589="U008",C589=208,J589="경조사비",F589="임시보관",SUMIF($C$430:$C$729,C589,$D$430:$D$729)&lt;=39000))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AND(B590="U008",C590=223,J590="경조사비",F590="명절비"),AND(B590="U008",C590=208,J590="경조사비",F590="임시보관",SUMIF($C$430:$C$729,C590,$D$430:$D$729)&lt;=39000)),OR(COUNTIF($A$8:$A$12,F590)=1,AND(B590="U008",C590=208,J590="경조사비",F590="임시보관",SUMIF($C$430:$C$729,C590,$D$430:$D$729)&lt;=39000))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AND(B591="U008",C591=223,J591="경조사비",F591="명절비"),AND(B591="U008",C591=208,J591="경조사비",F591="임시보관",SUMIF($C$430:$C$729,C591,$D$430:$D$729)&lt;=39000)),OR(COUNTIF($A$8:$A$12,F591)=1,AND(B591="U008",C591=208,J591="경조사비",F591="임시보관",SUMIF($C$430:$C$729,C591,$D$430:$D$729)&lt;=39000))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AND(B592="U008",C592=223,J592="경조사비",F592="명절비"),AND(B592="U008",C592=208,J592="경조사비",F592="임시보관",SUMIF($C$430:$C$729,C592,$D$430:$D$729)&lt;=39000)),OR(COUNTIF($A$8:$A$12,F592)=1,AND(B592="U008",C592=208,J592="경조사비",F592="임시보관",SUMIF($C$430:$C$729,C592,$D$430:$D$729)&lt;=39000))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AND(B593="U008",C593=223,J593="경조사비",F593="명절비"),AND(B593="U008",C593=208,J593="경조사비",F593="임시보관",SUMIF($C$430:$C$729,C593,$D$430:$D$729)&lt;=39000)),OR(COUNTIF($A$8:$A$12,F593)=1,AND(B593="U008",C593=208,J593="경조사비",F593="임시보관",SUMIF($C$430:$C$729,C593,$D$430:$D$729)&lt;=39000))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AND(B594="U008",C594=223,J594="경조사비",F594="명절비"),AND(B594="U008",C594=208,J594="경조사비",F594="임시보관",SUMIF($C$430:$C$729,C594,$D$430:$D$729)&lt;=39000)),OR(COUNTIF($A$8:$A$12,F594)=1,AND(B594="U008",C594=208,J594="경조사비",F594="임시보관",SUMIF($C$430:$C$729,C594,$D$430:$D$729)&lt;=39000))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AND(B595="U008",C595=223,J595="경조사비",F595="명절비"),AND(B595="U008",C595=208,J595="경조사비",F595="임시보관",SUMIF($C$430:$C$729,C595,$D$430:$D$729)&lt;=39000)),OR(COUNTIF($A$8:$A$12,F595)=1,AND(B595="U008",C595=208,J595="경조사비",F595="임시보관",SUMIF($C$430:$C$729,C595,$D$430:$D$729)&lt;=39000))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AND(B596="U008",C596=223,J596="경조사비",F596="명절비"),AND(B596="U008",C596=208,J596="경조사비",F596="임시보관",SUMIF($C$430:$C$729,C596,$D$430:$D$729)&lt;=39000)),OR(COUNTIF($A$8:$A$12,F596)=1,AND(B596="U008",C596=208,J596="경조사비",F596="임시보관",SUMIF($C$430:$C$729,C596,$D$430:$D$729)&lt;=39000))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AND(B597="U008",C597=223,J597="경조사비",F597="명절비"),AND(B597="U008",C597=208,J597="경조사비",F597="임시보관",SUMIF($C$430:$C$729,C597,$D$430:$D$729)&lt;=39000)),OR(COUNTIF($A$8:$A$12,F597)=1,AND(B597="U008",C597=208,J597="경조사비",F597="임시보관",SUMIF($C$430:$C$729,C597,$D$430:$D$729)&lt;=39000))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AND(B598="U008",C598=223,J598="경조사비",F598="명절비"),AND(B598="U008",C598=208,J598="경조사비",F598="임시보관",SUMIF($C$430:$C$729,C598,$D$430:$D$729)&lt;=39000)),OR(COUNTIF($A$8:$A$12,F598)=1,AND(B598="U008",C598=208,J598="경조사비",F598="임시보관",SUMIF($C$430:$C$729,C598,$D$430:$D$729)&lt;=39000))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AND(B599="U008",C599=223,J599="경조사비",F599="명절비"),AND(B599="U008",C599=208,J599="경조사비",F599="임시보관",SUMIF($C$430:$C$729,C599,$D$430:$D$729)&lt;=39000)),OR(COUNTIF($A$8:$A$12,F599)=1,AND(B599="U008",C599=208,J599="경조사비",F599="임시보관",SUMIF($C$430:$C$729,C599,$D$430:$D$729)&lt;=39000))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AND(B600="U008",C600=223,J600="경조사비",F600="명절비"),AND(B600="U008",C600=208,J600="경조사비",F600="임시보관",SUMIF($C$430:$C$729,C600,$D$430:$D$729)&lt;=39000)),OR(COUNTIF($A$8:$A$12,F600)=1,AND(B600="U008",C600=208,J600="경조사비",F600="임시보관",SUMIF($C$430:$C$729,C600,$D$430:$D$729)&lt;=39000))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AND(B601="U008",C601=223,J601="경조사비",F601="명절비"),AND(B601="U008",C601=208,J601="경조사비",F601="임시보관",SUMIF($C$430:$C$729,C601,$D$430:$D$729)&lt;=39000)),OR(COUNTIF($A$8:$A$12,F601)=1,AND(B601="U008",C601=208,J601="경조사비",F601="임시보관",SUMIF($C$430:$C$729,C601,$D$430:$D$729)&lt;=39000))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AND(B602="U008",C602=223,J602="경조사비",F602="명절비"),AND(B602="U008",C602=208,J602="경조사비",F602="임시보관",SUMIF($C$430:$C$729,C602,$D$430:$D$729)&lt;=39000)),OR(COUNTIF($A$8:$A$12,F602)=1,AND(B602="U008",C602=208,J602="경조사비",F602="임시보관",SUMIF($C$430:$C$729,C602,$D$430:$D$729)&lt;=39000))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AND(B603="U008",C603=223,J603="경조사비",F603="명절비"),AND(B603="U008",C603=208,J603="경조사비",F603="임시보관",SUMIF($C$430:$C$729,C603,$D$430:$D$729)&lt;=39000)),OR(COUNTIF($A$8:$A$12,F603)=1,AND(B603="U008",C603=208,J603="경조사비",F603="임시보관",SUMIF($C$430:$C$729,C603,$D$430:$D$729)&lt;=39000))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AND(B604="U008",C604=223,J604="경조사비",F604="명절비"),AND(B604="U008",C604=208,J604="경조사비",F604="임시보관",SUMIF($C$430:$C$729,C604,$D$430:$D$729)&lt;=39000)),OR(COUNTIF($A$8:$A$12,F604)=1,AND(B604="U008",C604=208,J604="경조사비",F604="임시보관",SUMIF($C$430:$C$729,C604,$D$430:$D$729)&lt;=39000))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AND(B605="U008",C605=223,J605="경조사비",F605="명절비"),AND(B605="U008",C605=208,J605="경조사비",F605="임시보관",SUMIF($C$430:$C$729,C605,$D$430:$D$729)&lt;=39000)),OR(COUNTIF($A$8:$A$12,F605)=1,AND(B605="U008",C605=208,J605="경조사비",F605="임시보관",SUMIF($C$430:$C$729,C605,$D$430:$D$729)&lt;=39000))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AND(B606="U008",C606=223,J606="경조사비",F606="명절비"),AND(B606="U008",C606=208,J606="경조사비",F606="임시보관",SUMIF($C$430:$C$729,C606,$D$430:$D$729)&lt;=39000)),OR(COUNTIF($A$8:$A$12,F606)=1,AND(B606="U008",C606=208,J606="경조사비",F606="임시보관",SUMIF($C$430:$C$729,C606,$D$430:$D$729)&lt;=39000))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AND(B607="U008",C607=223,J607="경조사비",F607="명절비"),AND(B607="U008",C607=208,J607="경조사비",F607="임시보관",SUMIF($C$430:$C$729,C607,$D$430:$D$729)&lt;=39000)),OR(COUNTIF($A$8:$A$12,F607)=1,AND(B607="U008",C607=208,J607="경조사비",F607="임시보관",SUMIF($C$430:$C$729,C607,$D$430:$D$729)&lt;=39000))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AND(B608="U008",C608=223,J608="경조사비",F608="명절비"),AND(B608="U008",C608=208,J608="경조사비",F608="임시보관",SUMIF($C$430:$C$729,C608,$D$430:$D$729)&lt;=39000)),OR(COUNTIF($A$8:$A$12,F608)=1,AND(B608="U008",C608=208,J608="경조사비",F608="임시보관",SUMIF($C$430:$C$729,C608,$D$430:$D$729)&lt;=39000))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AND(B609="U008",C609=223,J609="경조사비",F609="명절비"),AND(B609="U008",C609=208,J609="경조사비",F609="임시보관",SUMIF($C$430:$C$729,C609,$D$430:$D$729)&lt;=39000)),OR(COUNTIF($A$8:$A$12,F609)=1,AND(B609="U008",C609=208,J609="경조사비",F609="임시보관",SUMIF($C$430:$C$729,C609,$D$430:$D$729)&lt;=39000))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AND(B610="U008",C610=223,J610="경조사비",F610="명절비"),AND(B610="U008",C610=208,J610="경조사비",F610="임시보관",SUMIF($C$430:$C$729,C610,$D$430:$D$729)&lt;=39000)),OR(COUNTIF($A$8:$A$12,F610)=1,AND(B610="U008",C610=208,J610="경조사비",F610="임시보관",SUMIF($C$430:$C$729,C610,$D$430:$D$729)&lt;=39000))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AND(B611="U008",C611=223,J611="경조사비",F611="명절비"),AND(B611="U008",C611=208,J611="경조사비",F611="임시보관",SUMIF($C$430:$C$729,C611,$D$430:$D$729)&lt;=39000)),OR(COUNTIF($A$8:$A$12,F611)=1,AND(B611="U008",C611=208,J611="경조사비",F611="임시보관",SUMIF($C$430:$C$729,C611,$D$430:$D$729)&lt;=39000))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AND(B612="U008",C612=223,J612="경조사비",F612="명절비"),AND(B612="U008",C612=208,J612="경조사비",F612="임시보관",SUMIF($C$430:$C$729,C612,$D$430:$D$729)&lt;=39000)),OR(COUNTIF($A$8:$A$12,F612)=1,AND(B612="U008",C612=208,J612="경조사비",F612="임시보관",SUMIF($C$430:$C$729,C612,$D$430:$D$729)&lt;=39000))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AND(B613="U008",C613=223,J613="경조사비",F613="명절비"),AND(B613="U008",C613=208,J613="경조사비",F613="임시보관",SUMIF($C$430:$C$729,C613,$D$430:$D$729)&lt;=39000)),OR(COUNTIF($A$8:$A$12,F613)=1,AND(B613="U008",C613=208,J613="경조사비",F613="임시보관",SUMIF($C$430:$C$729,C613,$D$430:$D$729)&lt;=39000))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AND(B614="U008",C614=223,J614="경조사비",F614="명절비"),AND(B614="U008",C614=208,J614="경조사비",F614="임시보관",SUMIF($C$430:$C$729,C614,$D$430:$D$729)&lt;=39000)),OR(COUNTIF($A$8:$A$12,F614)=1,AND(B614="U008",C614=208,J614="경조사비",F614="임시보관",SUMIF($C$430:$C$729,C614,$D$430:$D$729)&lt;=39000))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AND(B615="U008",C615=223,J615="경조사비",F615="명절비"),AND(B615="U008",C615=208,J615="경조사비",F615="임시보관",SUMIF($C$430:$C$729,C615,$D$430:$D$729)&lt;=39000)),OR(COUNTIF($A$8:$A$12,F615)=1,AND(B615="U008",C615=208,J615="경조사비",F615="임시보관",SUMIF($C$430:$C$729,C615,$D$430:$D$729)&lt;=39000))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AND(B616="U008",C616=223,J616="경조사비",F616="명절비"),AND(B616="U008",C616=208,J616="경조사비",F616="임시보관",SUMIF($C$430:$C$729,C616,$D$430:$D$729)&lt;=39000)),OR(COUNTIF($A$8:$A$12,F616)=1,AND(B616="U008",C616=208,J616="경조사비",F616="임시보관",SUMIF($C$430:$C$729,C616,$D$430:$D$729)&lt;=39000))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AND(B617="U008",C617=223,J617="경조사비",F617="명절비"),AND(B617="U008",C617=208,J617="경조사비",F617="임시보관",SUMIF($C$430:$C$729,C617,$D$430:$D$729)&lt;=39000)),OR(COUNTIF($A$8:$A$12,F617)=1,AND(B617="U008",C617=208,J617="경조사비",F617="임시보관",SUMIF($C$430:$C$729,C617,$D$430:$D$729)&lt;=39000))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AND(B618="U008",C618=223,J618="경조사비",F618="명절비"),AND(B618="U008",C618=208,J618="경조사비",F618="임시보관",SUMIF($C$430:$C$729,C618,$D$430:$D$729)&lt;=39000)),OR(COUNTIF($A$8:$A$12,F618)=1,AND(B618="U008",C618=208,J618="경조사비",F618="임시보관",SUMIF($C$430:$C$729,C618,$D$430:$D$729)&lt;=39000))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AND(B619="U008",C619=223,J619="경조사비",F619="명절비"),AND(B619="U008",C619=208,J619="경조사비",F619="임시보관",SUMIF($C$430:$C$729,C619,$D$430:$D$729)&lt;=39000)),OR(COUNTIF($A$8:$A$12,F619)=1,AND(B619="U008",C619=208,J619="경조사비",F619="임시보관",SUMIF($C$430:$C$729,C619,$D$430:$D$729)&lt;=39000))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AND(B620="U008",C620=223,J620="경조사비",F620="명절비"),AND(B620="U008",C620=208,J620="경조사비",F620="임시보관",SUMIF($C$430:$C$729,C620,$D$430:$D$729)&lt;=39000)),OR(COUNTIF($A$8:$A$12,F620)=1,AND(B620="U008",C620=208,J620="경조사비",F620="임시보관",SUMIF($C$430:$C$729,C620,$D$430:$D$729)&lt;=39000))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AND(B621="U008",C621=223,J621="경조사비",F621="명절비"),AND(B621="U008",C621=208,J621="경조사비",F621="임시보관",SUMIF($C$430:$C$729,C621,$D$430:$D$729)&lt;=39000)),OR(COUNTIF($A$8:$A$12,F621)=1,AND(B621="U008",C621=208,J621="경조사비",F621="임시보관",SUMIF($C$430:$C$729,C621,$D$430:$D$729)&lt;=39000))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AND(B622="U008",C622=223,J622="경조사비",F622="명절비"),AND(B622="U008",C622=208,J622="경조사비",F622="임시보관",SUMIF($C$430:$C$729,C622,$D$430:$D$729)&lt;=39000)),OR(COUNTIF($A$8:$A$12,F622)=1,AND(B622="U008",C622=208,J622="경조사비",F622="임시보관",SUMIF($C$430:$C$729,C622,$D$430:$D$729)&lt;=39000))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AND(B623="U008",C623=223,J623="경조사비",F623="명절비"),AND(B623="U008",C623=208,J623="경조사비",F623="임시보관",SUMIF($C$430:$C$729,C623,$D$430:$D$729)&lt;=39000)),OR(COUNTIF($A$8:$A$12,F623)=1,AND(B623="U008",C623=208,J623="경조사비",F623="임시보관",SUMIF($C$430:$C$729,C623,$D$430:$D$729)&lt;=39000))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AND(B624="U008",C624=223,J624="경조사비",F624="명절비"),AND(B624="U008",C624=208,J624="경조사비",F624="임시보관",SUMIF($C$430:$C$729,C624,$D$430:$D$729)&lt;=39000)),OR(COUNTIF($A$8:$A$12,F624)=1,AND(B624="U008",C624=208,J624="경조사비",F624="임시보관",SUMIF($C$430:$C$729,C624,$D$430:$D$729)&lt;=39000))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AND(B625="U008",C625=223,J625="경조사비",F625="명절비"),AND(B625="U008",C625=208,J625="경조사비",F625="임시보관",SUMIF($C$430:$C$729,C625,$D$430:$D$729)&lt;=39000)),OR(COUNTIF($A$8:$A$12,F625)=1,AND(B625="U008",C625=208,J625="경조사비",F625="임시보관",SUMIF($C$430:$C$729,C625,$D$430:$D$729)&lt;=39000))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AND(B626="U008",C626=223,J626="경조사비",F626="명절비"),AND(B626="U008",C626=208,J626="경조사비",F626="임시보관",SUMIF($C$430:$C$729,C626,$D$430:$D$729)&lt;=39000)),OR(COUNTIF($A$8:$A$12,F626)=1,AND(B626="U008",C626=208,J626="경조사비",F626="임시보관",SUMIF($C$430:$C$729,C626,$D$430:$D$729)&lt;=39000))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AND(B627="U008",C627=223,J627="경조사비",F627="명절비"),AND(B627="U008",C627=208,J627="경조사비",F627="임시보관",SUMIF($C$430:$C$729,C627,$D$430:$D$729)&lt;=39000)),OR(COUNTIF($A$8:$A$12,F627)=1,AND(B627="U008",C627=208,J627="경조사비",F627="임시보관",SUMIF($C$430:$C$729,C627,$D$430:$D$729)&lt;=39000))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AND(B628="U008",C628=223,J628="경조사비",F628="명절비"),AND(B628="U008",C628=208,J628="경조사비",F628="임시보관",SUMIF($C$430:$C$729,C628,$D$430:$D$729)&lt;=39000)),OR(COUNTIF($A$8:$A$12,F628)=1,AND(B628="U008",C628=208,J628="경조사비",F628="임시보관",SUMIF($C$430:$C$729,C628,$D$430:$D$729)&lt;=39000))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AND(B629="U008",C629=223,J629="경조사비",F629="명절비"),AND(B629="U008",C629=208,J629="경조사비",F629="임시보관",SUMIF($C$430:$C$729,C629,$D$430:$D$729)&lt;=39000)),OR(COUNTIF($A$8:$A$12,F629)=1,AND(B629="U008",C629=208,J629="경조사비",F629="임시보관",SUMIF($C$430:$C$729,C629,$D$430:$D$729)&lt;=39000))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AND(B630="U008",C630=223,J630="경조사비",F630="명절비"),AND(B630="U008",C630=208,J630="경조사비",F630="임시보관",SUMIF($C$430:$C$729,C630,$D$430:$D$729)&lt;=39000)),OR(COUNTIF($A$8:$A$12,F630)=1,AND(B630="U008",C630=208,J630="경조사비",F630="임시보관",SUMIF($C$430:$C$729,C630,$D$430:$D$729)&lt;=39000))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AND(B631="U008",C631=223,J631="경조사비",F631="명절비"),AND(B631="U008",C631=208,J631="경조사비",F631="임시보관",SUMIF($C$430:$C$729,C631,$D$430:$D$729)&lt;=39000)),OR(COUNTIF($A$8:$A$12,F631)=1,AND(B631="U008",C631=208,J631="경조사비",F631="임시보관",SUMIF($C$430:$C$729,C631,$D$430:$D$729)&lt;=39000))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AND(B632="U008",C632=223,J632="경조사비",F632="명절비"),AND(B632="U008",C632=208,J632="경조사비",F632="임시보관",SUMIF($C$430:$C$729,C632,$D$430:$D$729)&lt;=39000)),OR(COUNTIF($A$8:$A$12,F632)=1,AND(B632="U008",C632=208,J632="경조사비",F632="임시보관",SUMIF($C$430:$C$729,C632,$D$430:$D$729)&lt;=39000))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AND(B633="U008",C633=223,J633="경조사비",F633="명절비"),AND(B633="U008",C633=208,J633="경조사비",F633="임시보관",SUMIF($C$430:$C$729,C633,$D$430:$D$729)&lt;=39000)),OR(COUNTIF($A$8:$A$12,F633)=1,AND(B633="U008",C633=208,J633="경조사비",F633="임시보관",SUMIF($C$430:$C$729,C633,$D$430:$D$729)&lt;=39000))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AND(B634="U008",C634=223,J634="경조사비",F634="명절비"),AND(B634="U008",C634=208,J634="경조사비",F634="임시보관",SUMIF($C$430:$C$729,C634,$D$430:$D$729)&lt;=39000)),OR(COUNTIF($A$8:$A$12,F634)=1,AND(B634="U008",C634=208,J634="경조사비",F634="임시보관",SUMIF($C$430:$C$729,C634,$D$430:$D$729)&lt;=39000))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AND(B635="U008",C635=223,J635="경조사비",F635="명절비"),AND(B635="U008",C635=208,J635="경조사비",F635="임시보관",SUMIF($C$430:$C$729,C635,$D$430:$D$729)&lt;=39000)),OR(COUNTIF($A$8:$A$12,F635)=1,AND(B635="U008",C635=208,J635="경조사비",F635="임시보관",SUMIF($C$430:$C$729,C635,$D$430:$D$729)&lt;=39000))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AND(B636="U008",C636=223,J636="경조사비",F636="명절비"),AND(B636="U008",C636=208,J636="경조사비",F636="임시보관",SUMIF($C$430:$C$729,C636,$D$430:$D$729)&lt;=39000)),OR(COUNTIF($A$8:$A$12,F636)=1,AND(B636="U008",C636=208,J636="경조사비",F636="임시보관",SUMIF($C$430:$C$729,C636,$D$430:$D$729)&lt;=39000))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AND(B637="U008",C637=223,J637="경조사비",F637="명절비"),AND(B637="U008",C637=208,J637="경조사비",F637="임시보관",SUMIF($C$430:$C$729,C637,$D$430:$D$729)&lt;=39000)),OR(COUNTIF($A$8:$A$12,F637)=1,AND(B637="U008",C637=208,J637="경조사비",F637="임시보관",SUMIF($C$430:$C$729,C637,$D$430:$D$729)&lt;=39000))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AND(B638="U008",C638=223,J638="경조사비",F638="명절비"),AND(B638="U008",C638=208,J638="경조사비",F638="임시보관",SUMIF($C$430:$C$729,C638,$D$430:$D$729)&lt;=39000)),OR(COUNTIF($A$8:$A$12,F638)=1,AND(B638="U008",C638=208,J638="경조사비",F638="임시보관",SUMIF($C$430:$C$729,C638,$D$430:$D$729)&lt;=39000))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AND(B639="U008",C639=223,J639="경조사비",F639="명절비"),AND(B639="U008",C639=208,J639="경조사비",F639="임시보관",SUMIF($C$430:$C$729,C639,$D$430:$D$729)&lt;=39000)),OR(COUNTIF($A$8:$A$12,F639)=1,AND(B639="U008",C639=208,J639="경조사비",F639="임시보관",SUMIF($C$430:$C$729,C639,$D$430:$D$729)&lt;=39000))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AND(B640="U008",C640=223,J640="경조사비",F640="명절비"),AND(B640="U008",C640=208,J640="경조사비",F640="임시보관",SUMIF($C$430:$C$729,C640,$D$430:$D$729)&lt;=39000)),OR(COUNTIF($A$8:$A$12,F640)=1,AND(B640="U008",C640=208,J640="경조사비",F640="임시보관",SUMIF($C$430:$C$729,C640,$D$430:$D$729)&lt;=39000))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AND(B641="U008",C641=223,J641="경조사비",F641="명절비"),AND(B641="U008",C641=208,J641="경조사비",F641="임시보관",SUMIF($C$430:$C$729,C641,$D$430:$D$729)&lt;=39000)),OR(COUNTIF($A$8:$A$12,F641)=1,AND(B641="U008",C641=208,J641="경조사비",F641="임시보관",SUMIF($C$430:$C$729,C641,$D$430:$D$729)&lt;=39000))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AND(B642="U008",C642=223,J642="경조사비",F642="명절비"),AND(B642="U008",C642=208,J642="경조사비",F642="임시보관",SUMIF($C$430:$C$729,C642,$D$430:$D$729)&lt;=39000)),OR(COUNTIF($A$8:$A$12,F642)=1,AND(B642="U008",C642=208,J642="경조사비",F642="임시보관",SUMIF($C$430:$C$729,C642,$D$430:$D$729)&lt;=39000))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AND(B643="U008",C643=223,J643="경조사비",F643="명절비"),AND(B643="U008",C643=208,J643="경조사비",F643="임시보관",SUMIF($C$430:$C$729,C643,$D$430:$D$729)&lt;=39000)),OR(COUNTIF($A$8:$A$12,F643)=1,AND(B643="U008",C643=208,J643="경조사비",F643="임시보관",SUMIF($C$430:$C$729,C643,$D$430:$D$729)&lt;=39000))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AND(B644="U008",C644=223,J644="경조사비",F644="명절비"),AND(B644="U008",C644=208,J644="경조사비",F644="임시보관",SUMIF($C$430:$C$729,C644,$D$430:$D$729)&lt;=39000)),OR(COUNTIF($A$8:$A$12,F644)=1,AND(B644="U008",C644=208,J644="경조사비",F644="임시보관",SUMIF($C$430:$C$729,C644,$D$430:$D$729)&lt;=39000))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AND(B645="U008",C645=223,J645="경조사비",F645="명절비"),AND(B645="U008",C645=208,J645="경조사비",F645="임시보관",SUMIF($C$430:$C$729,C645,$D$430:$D$729)&lt;=39000)),OR(COUNTIF($A$8:$A$12,F645)=1,AND(B645="U008",C645=208,J645="경조사비",F645="임시보관",SUMIF($C$430:$C$729,C645,$D$430:$D$729)&lt;=39000))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AND(B646="U008",C646=223,J646="경조사비",F646="명절비"),AND(B646="U008",C646=208,J646="경조사비",F646="임시보관",SUMIF($C$430:$C$729,C646,$D$430:$D$729)&lt;=39000)),OR(COUNTIF($A$8:$A$12,F646)=1,AND(B646="U008",C646=208,J646="경조사비",F646="임시보관",SUMIF($C$430:$C$729,C646,$D$430:$D$729)&lt;=39000))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AND(B647="U008",C647=223,J647="경조사비",F647="명절비"),AND(B647="U008",C647=208,J647="경조사비",F647="임시보관",SUMIF($C$430:$C$729,C647,$D$430:$D$729)&lt;=39000)),OR(COUNTIF($A$8:$A$12,F647)=1,AND(B647="U008",C647=208,J647="경조사비",F647="임시보관",SUMIF($C$430:$C$729,C647,$D$430:$D$729)&lt;=39000))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AND(B648="U008",C648=223,J648="경조사비",F648="명절비"),AND(B648="U008",C648=208,J648="경조사비",F648="임시보관",SUMIF($C$430:$C$729,C648,$D$430:$D$729)&lt;=39000)),OR(COUNTIF($A$8:$A$12,F648)=1,AND(B648="U008",C648=208,J648="경조사비",F648="임시보관",SUMIF($C$430:$C$729,C648,$D$430:$D$729)&lt;=39000))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AND(B649="U008",C649=223,J649="경조사비",F649="명절비"),AND(B649="U008",C649=208,J649="경조사비",F649="임시보관",SUMIF($C$430:$C$729,C649,$D$430:$D$729)&lt;=39000)),OR(COUNTIF($A$8:$A$12,F649)=1,AND(B649="U008",C649=208,J649="경조사비",F649="임시보관",SUMIF($C$430:$C$729,C649,$D$430:$D$729)&lt;=39000))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AND(B650="U008",C650=223,J650="경조사비",F650="명절비"),AND(B650="U008",C650=208,J650="경조사비",F650="임시보관",SUMIF($C$430:$C$729,C650,$D$430:$D$729)&lt;=39000)),OR(COUNTIF($A$8:$A$12,F650)=1,AND(B650="U008",C650=208,J650="경조사비",F650="임시보관",SUMIF($C$430:$C$729,C650,$D$430:$D$729)&lt;=39000))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AND(B651="U008",C651=223,J651="경조사비",F651="명절비"),AND(B651="U008",C651=208,J651="경조사비",F651="임시보관",SUMIF($C$430:$C$729,C651,$D$430:$D$729)&lt;=39000)),OR(COUNTIF($A$8:$A$12,F651)=1,AND(B651="U008",C651=208,J651="경조사비",F651="임시보관",SUMIF($C$430:$C$729,C651,$D$430:$D$729)&lt;=39000))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AND(B652="U008",C652=223,J652="경조사비",F652="명절비"),AND(B652="U008",C652=208,J652="경조사비",F652="임시보관",SUMIF($C$430:$C$729,C652,$D$430:$D$729)&lt;=39000)),OR(COUNTIF($A$8:$A$12,F652)=1,AND(B652="U008",C652=208,J652="경조사비",F652="임시보관",SUMIF($C$430:$C$729,C652,$D$430:$D$729)&lt;=39000))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AND(B653="U008",C653=223,J653="경조사비",F653="명절비"),AND(B653="U008",C653=208,J653="경조사비",F653="임시보관",SUMIF($C$430:$C$729,C653,$D$430:$D$729)&lt;=39000)),OR(COUNTIF($A$8:$A$12,F653)=1,AND(B653="U008",C653=208,J653="경조사비",F653="임시보관",SUMIF($C$430:$C$729,C653,$D$430:$D$729)&lt;=39000))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AND(B654="U008",C654=223,J654="경조사비",F654="명절비"),AND(B654="U008",C654=208,J654="경조사비",F654="임시보관",SUMIF($C$430:$C$729,C654,$D$430:$D$729)&lt;=39000)),OR(COUNTIF($A$8:$A$12,F654)=1,AND(B654="U008",C654=208,J654="경조사비",F654="임시보관",SUMIF($C$430:$C$729,C654,$D$430:$D$729)&lt;=39000))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AND(B655="U008",C655=223,J655="경조사비",F655="명절비"),AND(B655="U008",C655=208,J655="경조사비",F655="임시보관",SUMIF($C$430:$C$729,C655,$D$430:$D$729)&lt;=39000)),OR(COUNTIF($A$8:$A$12,F655)=1,AND(B655="U008",C655=208,J655="경조사비",F655="임시보관",SUMIF($C$430:$C$729,C655,$D$430:$D$729)&lt;=39000))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AND(B656="U008",C656=223,J656="경조사비",F656="명절비"),AND(B656="U008",C656=208,J656="경조사비",F656="임시보관",SUMIF($C$430:$C$729,C656,$D$430:$D$729)&lt;=39000)),OR(COUNTIF($A$8:$A$12,F656)=1,AND(B656="U008",C656=208,J656="경조사비",F656="임시보관",SUMIF($C$430:$C$729,C656,$D$430:$D$729)&lt;=39000))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AND(B657="U008",C657=223,J657="경조사비",F657="명절비"),AND(B657="U008",C657=208,J657="경조사비",F657="임시보관",SUMIF($C$430:$C$729,C657,$D$430:$D$729)&lt;=39000)),OR(COUNTIF($A$8:$A$12,F657)=1,AND(B657="U008",C657=208,J657="경조사비",F657="임시보관",SUMIF($C$430:$C$729,C657,$D$430:$D$729)&lt;=39000))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AND(B658="U008",C658=223,J658="경조사비",F658="명절비"),AND(B658="U008",C658=208,J658="경조사비",F658="임시보관",SUMIF($C$430:$C$729,C658,$D$430:$D$729)&lt;=39000)),OR(COUNTIF($A$8:$A$12,F658)=1,AND(B658="U008",C658=208,J658="경조사비",F658="임시보관",SUMIF($C$430:$C$729,C658,$D$430:$D$729)&lt;=39000))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AND(B659="U008",C659=223,J659="경조사비",F659="명절비"),AND(B659="U008",C659=208,J659="경조사비",F659="임시보관",SUMIF($C$430:$C$729,C659,$D$430:$D$729)&lt;=39000)),OR(COUNTIF($A$8:$A$12,F659)=1,AND(B659="U008",C659=208,J659="경조사비",F659="임시보관",SUMIF($C$430:$C$729,C659,$D$430:$D$729)&lt;=39000))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AND(B660="U008",C660=223,J660="경조사비",F660="명절비"),AND(B660="U008",C660=208,J660="경조사비",F660="임시보관",SUMIF($C$430:$C$729,C660,$D$430:$D$729)&lt;=39000)),OR(COUNTIF($A$8:$A$12,F660)=1,AND(B660="U008",C660=208,J660="경조사비",F660="임시보관",SUMIF($C$430:$C$729,C660,$D$430:$D$729)&lt;=39000))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AND(B661="U008",C661=223,J661="경조사비",F661="명절비"),AND(B661="U008",C661=208,J661="경조사비",F661="임시보관",SUMIF($C$430:$C$729,C661,$D$430:$D$729)&lt;=39000)),OR(COUNTIF($A$8:$A$12,F661)=1,AND(B661="U008",C661=208,J661="경조사비",F661="임시보관",SUMIF($C$430:$C$729,C661,$D$430:$D$729)&lt;=39000))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AND(B662="U008",C662=223,J662="경조사비",F662="명절비"),AND(B662="U008",C662=208,J662="경조사비",F662="임시보관",SUMIF($C$430:$C$729,C662,$D$430:$D$729)&lt;=39000)),OR(COUNTIF($A$8:$A$12,F662)=1,AND(B662="U008",C662=208,J662="경조사비",F662="임시보관",SUMIF($C$430:$C$729,C662,$D$430:$D$729)&lt;=39000))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AND(B663="U008",C663=223,J663="경조사비",F663="명절비"),AND(B663="U008",C663=208,J663="경조사비",F663="임시보관",SUMIF($C$430:$C$729,C663,$D$430:$D$729)&lt;=39000)),OR(COUNTIF($A$8:$A$12,F663)=1,AND(B663="U008",C663=208,J663="경조사비",F663="임시보관",SUMIF($C$430:$C$729,C663,$D$430:$D$729)&lt;=39000))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AND(B664="U008",C664=223,J664="경조사비",F664="명절비"),AND(B664="U008",C664=208,J664="경조사비",F664="임시보관",SUMIF($C$430:$C$729,C664,$D$430:$D$729)&lt;=39000)),OR(COUNTIF($A$8:$A$12,F664)=1,AND(B664="U008",C664=208,J664="경조사비",F664="임시보관",SUMIF($C$430:$C$729,C664,$D$430:$D$729)&lt;=39000))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AND(B665="U008",C665=223,J665="경조사비",F665="명절비"),AND(B665="U008",C665=208,J665="경조사비",F665="임시보관",SUMIF($C$430:$C$729,C665,$D$430:$D$729)&lt;=39000)),OR(COUNTIF($A$8:$A$12,F665)=1,AND(B665="U008",C665=208,J665="경조사비",F665="임시보관",SUMIF($C$430:$C$729,C665,$D$430:$D$729)&lt;=39000))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AND(B666="U008",C666=223,J666="경조사비",F666="명절비"),AND(B666="U008",C666=208,J666="경조사비",F666="임시보관",SUMIF($C$430:$C$729,C666,$D$430:$D$729)&lt;=39000)),OR(COUNTIF($A$8:$A$12,F666)=1,AND(B666="U008",C666=208,J666="경조사비",F666="임시보관",SUMIF($C$430:$C$729,C666,$D$430:$D$729)&lt;=39000))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AND(B667="U008",C667=223,J667="경조사비",F667="명절비"),AND(B667="U008",C667=208,J667="경조사비",F667="임시보관",SUMIF($C$430:$C$729,C667,$D$430:$D$729)&lt;=39000)),OR(COUNTIF($A$8:$A$12,F667)=1,AND(B667="U008",C667=208,J667="경조사비",F667="임시보관",SUMIF($C$430:$C$729,C667,$D$430:$D$729)&lt;=39000))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AND(B668="U008",C668=223,J668="경조사비",F668="명절비"),AND(B668="U008",C668=208,J668="경조사비",F668="임시보관",SUMIF($C$430:$C$729,C668,$D$430:$D$729)&lt;=39000)),OR(COUNTIF($A$8:$A$12,F668)=1,AND(B668="U008",C668=208,J668="경조사비",F668="임시보관",SUMIF($C$430:$C$729,C668,$D$430:$D$729)&lt;=39000))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AND(B669="U008",C669=223,J669="경조사비",F669="명절비"),AND(B669="U008",C669=208,J669="경조사비",F669="임시보관",SUMIF($C$430:$C$729,C669,$D$430:$D$729)&lt;=39000)),OR(COUNTIF($A$8:$A$12,F669)=1,AND(B669="U008",C669=208,J669="경조사비",F669="임시보관",SUMIF($C$430:$C$729,C669,$D$430:$D$729)&lt;=39000))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AND(B670="U008",C670=223,J670="경조사비",F670="명절비"),AND(B670="U008",C670=208,J670="경조사비",F670="임시보관",SUMIF($C$430:$C$729,C670,$D$430:$D$729)&lt;=39000)),OR(COUNTIF($A$8:$A$12,F670)=1,AND(B670="U008",C670=208,J670="경조사비",F670="임시보관",SUMIF($C$430:$C$729,C670,$D$430:$D$729)&lt;=39000))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AND(B671="U008",C671=223,J671="경조사비",F671="명절비"),AND(B671="U008",C671=208,J671="경조사비",F671="임시보관",SUMIF($C$430:$C$729,C671,$D$430:$D$729)&lt;=39000)),OR(COUNTIF($A$8:$A$12,F671)=1,AND(B671="U008",C671=208,J671="경조사비",F671="임시보관",SUMIF($C$430:$C$729,C671,$D$430:$D$729)&lt;=39000))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AND(B672="U008",C672=223,J672="경조사비",F672="명절비"),AND(B672="U008",C672=208,J672="경조사비",F672="임시보관",SUMIF($C$430:$C$729,C672,$D$430:$D$729)&lt;=39000)),OR(COUNTIF($A$8:$A$12,F672)=1,AND(B672="U008",C672=208,J672="경조사비",F672="임시보관",SUMIF($C$430:$C$729,C672,$D$430:$D$729)&lt;=39000))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AND(B673="U008",C673=223,J673="경조사비",F673="명절비"),AND(B673="U008",C673=208,J673="경조사비",F673="임시보관",SUMIF($C$430:$C$729,C673,$D$430:$D$729)&lt;=39000)),OR(COUNTIF($A$8:$A$12,F673)=1,AND(B673="U008",C673=208,J673="경조사비",F673="임시보관",SUMIF($C$430:$C$729,C673,$D$430:$D$729)&lt;=39000))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AND(B674="U008",C674=223,J674="경조사비",F674="명절비"),AND(B674="U008",C674=208,J674="경조사비",F674="임시보관",SUMIF($C$430:$C$729,C674,$D$430:$D$729)&lt;=39000)),OR(COUNTIF($A$8:$A$12,F674)=1,AND(B674="U008",C674=208,J674="경조사비",F674="임시보관",SUMIF($C$430:$C$729,C674,$D$430:$D$729)&lt;=39000))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AND(B675="U008",C675=223,J675="경조사비",F675="명절비"),AND(B675="U008",C675=208,J675="경조사비",F675="임시보관",SUMIF($C$430:$C$729,C675,$D$430:$D$729)&lt;=39000)),OR(COUNTIF($A$8:$A$12,F675)=1,AND(B675="U008",C675=208,J675="경조사비",F675="임시보관",SUMIF($C$430:$C$729,C675,$D$430:$D$729)&lt;=39000))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AND(B676="U008",C676=223,J676="경조사비",F676="명절비"),AND(B676="U008",C676=208,J676="경조사비",F676="임시보관",SUMIF($C$430:$C$729,C676,$D$430:$D$729)&lt;=39000)),OR(COUNTIF($A$8:$A$12,F676)=1,AND(B676="U008",C676=208,J676="경조사비",F676="임시보관",SUMIF($C$430:$C$729,C676,$D$430:$D$729)&lt;=39000))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AND(B677="U008",C677=223,J677="경조사비",F677="명절비"),AND(B677="U008",C677=208,J677="경조사비",F677="임시보관",SUMIF($C$430:$C$729,C677,$D$430:$D$729)&lt;=39000)),OR(COUNTIF($A$8:$A$12,F677)=1,AND(B677="U008",C677=208,J677="경조사비",F677="임시보관",SUMIF($C$430:$C$729,C677,$D$430:$D$729)&lt;=39000))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AND(B678="U008",C678=223,J678="경조사비",F678="명절비"),AND(B678="U008",C678=208,J678="경조사비",F678="임시보관",SUMIF($C$430:$C$729,C678,$D$430:$D$729)&lt;=39000)),OR(COUNTIF($A$8:$A$12,F678)=1,AND(B678="U008",C678=208,J678="경조사비",F678="임시보관",SUMIF($C$430:$C$729,C678,$D$430:$D$729)&lt;=39000))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AND(B679="U008",C679=223,J679="경조사비",F679="명절비"),AND(B679="U008",C679=208,J679="경조사비",F679="임시보관",SUMIF($C$430:$C$729,C679,$D$430:$D$729)&lt;=39000)),OR(COUNTIF($A$8:$A$12,F679)=1,AND(B679="U008",C679=208,J679="경조사비",F679="임시보관",SUMIF($C$430:$C$729,C679,$D$430:$D$729)&lt;=39000))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AND(B680="U008",C680=223,J680="경조사비",F680="명절비"),AND(B680="U008",C680=208,J680="경조사비",F680="임시보관",SUMIF($C$430:$C$729,C680,$D$430:$D$729)&lt;=39000)),OR(COUNTIF($A$8:$A$12,F680)=1,AND(B680="U008",C680=208,J680="경조사비",F680="임시보관",SUMIF($C$430:$C$729,C680,$D$430:$D$729)&lt;=39000))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AND(B681="U008",C681=223,J681="경조사비",F681="명절비"),AND(B681="U008",C681=208,J681="경조사비",F681="임시보관",SUMIF($C$430:$C$729,C681,$D$430:$D$729)&lt;=39000)),OR(COUNTIF($A$8:$A$12,F681)=1,AND(B681="U008",C681=208,J681="경조사비",F681="임시보관",SUMIF($C$430:$C$729,C681,$D$430:$D$729)&lt;=39000))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AND(B682="U008",C682=223,J682="경조사비",F682="명절비"),AND(B682="U008",C682=208,J682="경조사비",F682="임시보관",SUMIF($C$430:$C$729,C682,$D$430:$D$729)&lt;=39000)),OR(COUNTIF($A$8:$A$12,F682)=1,AND(B682="U008",C682=208,J682="경조사비",F682="임시보관",SUMIF($C$430:$C$729,C682,$D$430:$D$729)&lt;=39000))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AND(B683="U008",C683=223,J683="경조사비",F683="명절비"),AND(B683="U008",C683=208,J683="경조사비",F683="임시보관",SUMIF($C$430:$C$729,C683,$D$430:$D$729)&lt;=39000)),OR(COUNTIF($A$8:$A$12,F683)=1,AND(B683="U008",C683=208,J683="경조사비",F683="임시보관",SUMIF($C$430:$C$729,C683,$D$430:$D$729)&lt;=39000))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AND(B684="U008",C684=223,J684="경조사비",F684="명절비"),AND(B684="U008",C684=208,J684="경조사비",F684="임시보관",SUMIF($C$430:$C$729,C684,$D$430:$D$729)&lt;=39000)),OR(COUNTIF($A$8:$A$12,F684)=1,AND(B684="U008",C684=208,J684="경조사비",F684="임시보관",SUMIF($C$430:$C$729,C684,$D$430:$D$729)&lt;=39000))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AND(B685="U008",C685=223,J685="경조사비",F685="명절비"),AND(B685="U008",C685=208,J685="경조사비",F685="임시보관",SUMIF($C$430:$C$729,C685,$D$430:$D$729)&lt;=39000)),OR(COUNTIF($A$8:$A$12,F685)=1,AND(B685="U008",C685=208,J685="경조사비",F685="임시보관",SUMIF($C$430:$C$729,C685,$D$430:$D$729)&lt;=39000))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AND(B686="U008",C686=223,J686="경조사비",F686="명절비"),AND(B686="U008",C686=208,J686="경조사비",F686="임시보관",SUMIF($C$430:$C$729,C686,$D$430:$D$729)&lt;=39000)),OR(COUNTIF($A$8:$A$12,F686)=1,AND(B686="U008",C686=208,J686="경조사비",F686="임시보관",SUMIF($C$430:$C$729,C686,$D$430:$D$729)&lt;=39000))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AND(B687="U008",C687=223,J687="경조사비",F687="명절비"),AND(B687="U008",C687=208,J687="경조사비",F687="임시보관",SUMIF($C$430:$C$729,C687,$D$430:$D$729)&lt;=39000)),OR(COUNTIF($A$8:$A$12,F687)=1,AND(B687="U008",C687=208,J687="경조사비",F687="임시보관",SUMIF($C$430:$C$729,C687,$D$430:$D$729)&lt;=39000))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AND(B688="U008",C688=223,J688="경조사비",F688="명절비"),AND(B688="U008",C688=208,J688="경조사비",F688="임시보관",SUMIF($C$430:$C$729,C688,$D$430:$D$729)&lt;=39000)),OR(COUNTIF($A$8:$A$12,F688)=1,AND(B688="U008",C688=208,J688="경조사비",F688="임시보관",SUMIF($C$430:$C$729,C688,$D$430:$D$729)&lt;=39000))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AND(B689="U008",C689=223,J689="경조사비",F689="명절비"),AND(B689="U008",C689=208,J689="경조사비",F689="임시보관",SUMIF($C$430:$C$729,C689,$D$430:$D$729)&lt;=39000)),OR(COUNTIF($A$8:$A$12,F689)=1,AND(B689="U008",C689=208,J689="경조사비",F689="임시보관",SUMIF($C$430:$C$729,C689,$D$430:$D$729)&lt;=39000))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AND(B690="U008",C690=223,J690="경조사비",F690="명절비"),AND(B690="U008",C690=208,J690="경조사비",F690="임시보관",SUMIF($C$430:$C$729,C690,$D$430:$D$729)&lt;=39000)),OR(COUNTIF($A$8:$A$12,F690)=1,AND(B690="U008",C690=208,J690="경조사비",F690="임시보관",SUMIF($C$430:$C$729,C690,$D$430:$D$729)&lt;=39000))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AND(B691="U008",C691=223,J691="경조사비",F691="명절비"),AND(B691="U008",C691=208,J691="경조사비",F691="임시보관",SUMIF($C$430:$C$729,C691,$D$430:$D$729)&lt;=39000)),OR(COUNTIF($A$8:$A$12,F691)=1,AND(B691="U008",C691=208,J691="경조사비",F691="임시보관",SUMIF($C$430:$C$729,C691,$D$430:$D$729)&lt;=39000))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AND(B692="U008",C692=223,J692="경조사비",F692="명절비"),AND(B692="U008",C692=208,J692="경조사비",F692="임시보관",SUMIF($C$430:$C$729,C692,$D$430:$D$729)&lt;=39000)),OR(COUNTIF($A$8:$A$12,F692)=1,AND(B692="U008",C692=208,J692="경조사비",F692="임시보관",SUMIF($C$430:$C$729,C692,$D$430:$D$729)&lt;=39000))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AND(B693="U008",C693=223,J693="경조사비",F693="명절비"),AND(B693="U008",C693=208,J693="경조사비",F693="임시보관",SUMIF($C$430:$C$729,C693,$D$430:$D$729)&lt;=39000)),OR(COUNTIF($A$8:$A$12,F693)=1,AND(B693="U008",C693=208,J693="경조사비",F693="임시보관",SUMIF($C$430:$C$729,C693,$D$430:$D$729)&lt;=39000))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AND(B694="U008",C694=223,J694="경조사비",F694="명절비"),AND(B694="U008",C694=208,J694="경조사비",F694="임시보관",SUMIF($C$430:$C$729,C694,$D$430:$D$729)&lt;=39000)),OR(COUNTIF($A$8:$A$12,F694)=1,AND(B694="U008",C694=208,J694="경조사비",F694="임시보관",SUMIF($C$430:$C$729,C694,$D$430:$D$729)&lt;=39000))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AND(B695="U008",C695=223,J695="경조사비",F695="명절비"),AND(B695="U008",C695=208,J695="경조사비",F695="임시보관",SUMIF($C$430:$C$729,C695,$D$430:$D$729)&lt;=39000)),OR(COUNTIF($A$8:$A$12,F695)=1,AND(B695="U008",C695=208,J695="경조사비",F695="임시보관",SUMIF($C$430:$C$729,C695,$D$430:$D$729)&lt;=39000))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AND(B696="U008",C696=223,J696="경조사비",F696="명절비"),AND(B696="U008",C696=208,J696="경조사비",F696="임시보관",SUMIF($C$430:$C$729,C696,$D$430:$D$729)&lt;=39000)),OR(COUNTIF($A$8:$A$12,F696)=1,AND(B696="U008",C696=208,J696="경조사비",F696="임시보관",SUMIF($C$430:$C$729,C696,$D$430:$D$729)&lt;=39000))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AND(B697="U008",C697=223,J697="경조사비",F697="명절비"),AND(B697="U008",C697=208,J697="경조사비",F697="임시보관",SUMIF($C$430:$C$729,C697,$D$430:$D$729)&lt;=39000)),OR(COUNTIF($A$8:$A$12,F697)=1,AND(B697="U008",C697=208,J697="경조사비",F697="임시보관",SUMIF($C$430:$C$729,C697,$D$430:$D$729)&lt;=39000))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AND(B698="U008",C698=223,J698="경조사비",F698="명절비"),AND(B698="U008",C698=208,J698="경조사비",F698="임시보관",SUMIF($C$430:$C$729,C698,$D$430:$D$729)&lt;=39000)),OR(COUNTIF($A$8:$A$12,F698)=1,AND(B698="U008",C698=208,J698="경조사비",F698="임시보관",SUMIF($C$430:$C$729,C698,$D$430:$D$729)&lt;=39000))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AND(B699="U008",C699=223,J699="경조사비",F699="명절비"),AND(B699="U008",C699=208,J699="경조사비",F699="임시보관",SUMIF($C$430:$C$729,C699,$D$430:$D$729)&lt;=39000)),OR(COUNTIF($A$8:$A$12,F699)=1,AND(B699="U008",C699=208,J699="경조사비",F699="임시보관",SUMIF($C$430:$C$729,C699,$D$430:$D$729)&lt;=39000))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AND(B700="U008",C700=223,J700="경조사비",F700="명절비"),AND(B700="U008",C700=208,J700="경조사비",F700="임시보관",SUMIF($C$430:$C$729,C700,$D$430:$D$729)&lt;=39000)),OR(COUNTIF($A$8:$A$12,F700)=1,AND(B700="U008",C700=208,J700="경조사비",F700="임시보관",SUMIF($C$430:$C$729,C700,$D$430:$D$729)&lt;=39000))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AND(B701="U008",C701=223,J701="경조사비",F701="명절비"),AND(B701="U008",C701=208,J701="경조사비",F701="임시보관",SUMIF($C$430:$C$729,C701,$D$430:$D$729)&lt;=39000)),OR(COUNTIF($A$8:$A$12,F701)=1,AND(B701="U008",C701=208,J701="경조사비",F701="임시보관",SUMIF($C$430:$C$729,C701,$D$430:$D$729)&lt;=39000))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AND(B702="U008",C702=223,J702="경조사비",F702="명절비"),AND(B702="U008",C702=208,J702="경조사비",F702="임시보관",SUMIF($C$430:$C$729,C702,$D$430:$D$729)&lt;=39000)),OR(COUNTIF($A$8:$A$12,F702)=1,AND(B702="U008",C702=208,J702="경조사비",F702="임시보관",SUMIF($C$430:$C$729,C702,$D$430:$D$729)&lt;=39000))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AND(B703="U008",C703=223,J703="경조사비",F703="명절비"),AND(B703="U008",C703=208,J703="경조사비",F703="임시보관",SUMIF($C$430:$C$729,C703,$D$430:$D$729)&lt;=39000)),OR(COUNTIF($A$8:$A$12,F703)=1,AND(B703="U008",C703=208,J703="경조사비",F703="임시보관",SUMIF($C$430:$C$729,C703,$D$430:$D$729)&lt;=39000))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AND(B704="U008",C704=223,J704="경조사비",F704="명절비"),AND(B704="U008",C704=208,J704="경조사비",F704="임시보관",SUMIF($C$430:$C$729,C704,$D$430:$D$729)&lt;=39000)),OR(COUNTIF($A$8:$A$12,F704)=1,AND(B704="U008",C704=208,J704="경조사비",F704="임시보관",SUMIF($C$430:$C$729,C704,$D$430:$D$729)&lt;=39000))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AND(B705="U008",C705=223,J705="경조사비",F705="명절비"),AND(B705="U008",C705=208,J705="경조사비",F705="임시보관",SUMIF($C$430:$C$729,C705,$D$430:$D$729)&lt;=39000)),OR(COUNTIF($A$8:$A$12,F705)=1,AND(B705="U008",C705=208,J705="경조사비",F705="임시보관",SUMIF($C$430:$C$729,C705,$D$430:$D$729)&lt;=39000))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AND(B706="U008",C706=223,J706="경조사비",F706="명절비"),AND(B706="U008",C706=208,J706="경조사비",F706="임시보관",SUMIF($C$430:$C$729,C706,$D$430:$D$729)&lt;=39000)),OR(COUNTIF($A$8:$A$12,F706)=1,AND(B706="U008",C706=208,J706="경조사비",F706="임시보관",SUMIF($C$430:$C$729,C706,$D$430:$D$729)&lt;=39000))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AND(B707="U008",C707=223,J707="경조사비",F707="명절비"),AND(B707="U008",C707=208,J707="경조사비",F707="임시보관",SUMIF($C$430:$C$729,C707,$D$430:$D$729)&lt;=39000)),OR(COUNTIF($A$8:$A$12,F707)=1,AND(B707="U008",C707=208,J707="경조사비",F707="임시보관",SUMIF($C$430:$C$729,C707,$D$430:$D$729)&lt;=39000))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AND(B708="U008",C708=223,J708="경조사비",F708="명절비"),AND(B708="U008",C708=208,J708="경조사비",F708="임시보관",SUMIF($C$430:$C$729,C708,$D$430:$D$729)&lt;=39000)),OR(COUNTIF($A$8:$A$12,F708)=1,AND(B708="U008",C708=208,J708="경조사비",F708="임시보관",SUMIF($C$430:$C$729,C708,$D$430:$D$729)&lt;=39000))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AND(B709="U008",C709=223,J709="경조사비",F709="명절비"),AND(B709="U008",C709=208,J709="경조사비",F709="임시보관",SUMIF($C$430:$C$729,C709,$D$430:$D$729)&lt;=39000)),OR(COUNTIF($A$8:$A$12,F709)=1,AND(B709="U008",C709=208,J709="경조사비",F709="임시보관",SUMIF($C$430:$C$729,C709,$D$430:$D$729)&lt;=39000))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AND(B710="U008",C710=223,J710="경조사비",F710="명절비"),AND(B710="U008",C710=208,J710="경조사비",F710="임시보관",SUMIF($C$430:$C$729,C710,$D$430:$D$729)&lt;=39000)),OR(COUNTIF($A$8:$A$12,F710)=1,AND(B710="U008",C710=208,J710="경조사비",F710="임시보관",SUMIF($C$430:$C$729,C710,$D$430:$D$729)&lt;=39000))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AND(B711="U008",C711=223,J711="경조사비",F711="명절비"),AND(B711="U008",C711=208,J711="경조사비",F711="임시보관",SUMIF($C$430:$C$729,C711,$D$430:$D$729)&lt;=39000)),OR(COUNTIF($A$8:$A$12,F711)=1,AND(B711="U008",C711=208,J711="경조사비",F711="임시보관",SUMIF($C$430:$C$729,C711,$D$430:$D$729)&lt;=39000))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AND(B712="U008",C712=223,J712="경조사비",F712="명절비"),AND(B712="U008",C712=208,J712="경조사비",F712="임시보관",SUMIF($C$430:$C$729,C712,$D$430:$D$729)&lt;=39000)),OR(COUNTIF($A$8:$A$12,F712)=1,AND(B712="U008",C712=208,J712="경조사비",F712="임시보관",SUMIF($C$430:$C$729,C712,$D$430:$D$729)&lt;=39000))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AND(B713="U008",C713=223,J713="경조사비",F713="명절비"),AND(B713="U008",C713=208,J713="경조사비",F713="임시보관",SUMIF($C$430:$C$729,C713,$D$430:$D$729)&lt;=39000)),OR(COUNTIF($A$8:$A$12,F713)=1,AND(B713="U008",C713=208,J713="경조사비",F713="임시보관",SUMIF($C$430:$C$729,C713,$D$430:$D$729)&lt;=39000))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AND(B714="U008",C714=223,J714="경조사비",F714="명절비"),AND(B714="U008",C714=208,J714="경조사비",F714="임시보관",SUMIF($C$430:$C$729,C714,$D$430:$D$729)&lt;=39000)),OR(COUNTIF($A$8:$A$12,F714)=1,AND(B714="U008",C714=208,J714="경조사비",F714="임시보관",SUMIF($C$430:$C$729,C714,$D$430:$D$729)&lt;=39000))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AND(B715="U008",C715=223,J715="경조사비",F715="명절비"),AND(B715="U008",C715=208,J715="경조사비",F715="임시보관",SUMIF($C$430:$C$729,C715,$D$430:$D$729)&lt;=39000)),OR(COUNTIF($A$8:$A$12,F715)=1,AND(B715="U008",C715=208,J715="경조사비",F715="임시보관",SUMIF($C$430:$C$729,C715,$D$430:$D$729)&lt;=39000))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AND(B716="U008",C716=223,J716="경조사비",F716="명절비"),AND(B716="U008",C716=208,J716="경조사비",F716="임시보관",SUMIF($C$430:$C$729,C716,$D$430:$D$729)&lt;=39000)),OR(COUNTIF($A$8:$A$12,F716)=1,AND(B716="U008",C716=208,J716="경조사비",F716="임시보관",SUMIF($C$430:$C$729,C716,$D$430:$D$729)&lt;=39000))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AND(B717="U008",C717=223,J717="경조사비",F717="명절비"),AND(B717="U008",C717=208,J717="경조사비",F717="임시보관",SUMIF($C$430:$C$729,C717,$D$430:$D$729)&lt;=39000)),OR(COUNTIF($A$8:$A$12,F717)=1,AND(B717="U008",C717=208,J717="경조사비",F717="임시보관",SUMIF($C$430:$C$729,C717,$D$430:$D$729)&lt;=39000))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AND(B718="U008",C718=223,J718="경조사비",F718="명절비"),AND(B718="U008",C718=208,J718="경조사비",F718="임시보관",SUMIF($C$430:$C$729,C718,$D$430:$D$729)&lt;=39000)),OR(COUNTIF($A$8:$A$12,F718)=1,AND(B718="U008",C718=208,J718="경조사비",F718="임시보관",SUMIF($C$430:$C$729,C718,$D$430:$D$729)&lt;=39000))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AND(B719="U008",C719=223,J719="경조사비",F719="명절비"),AND(B719="U008",C719=208,J719="경조사비",F719="임시보관",SUMIF($C$430:$C$729,C719,$D$430:$D$729)&lt;=39000)),OR(COUNTIF($A$8:$A$12,F719)=1,AND(B719="U008",C719=208,J719="경조사비",F719="임시보관",SUMIF($C$430:$C$729,C719,$D$430:$D$729)&lt;=39000))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AND(B720="U008",C720=223,J720="경조사비",F720="명절비"),AND(B720="U008",C720=208,J720="경조사비",F720="임시보관",SUMIF($C$430:$C$729,C720,$D$430:$D$729)&lt;=39000)),OR(COUNTIF($A$8:$A$12,F720)=1,AND(B720="U008",C720=208,J720="경조사비",F720="임시보관",SUMIF($C$430:$C$729,C720,$D$430:$D$729)&lt;=39000))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AND(B721="U008",C721=223,J721="경조사비",F721="명절비"),AND(B721="U008",C721=208,J721="경조사비",F721="임시보관",SUMIF($C$430:$C$729,C721,$D$430:$D$729)&lt;=39000)),OR(COUNTIF($A$8:$A$12,F721)=1,AND(B721="U008",C721=208,J721="경조사비",F721="임시보관",SUMIF($C$430:$C$729,C721,$D$430:$D$729)&lt;=39000))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AND(B722="U008",C722=223,J722="경조사비",F722="명절비"),AND(B722="U008",C722=208,J722="경조사비",F722="임시보관",SUMIF($C$430:$C$729,C722,$D$430:$D$729)&lt;=39000)),OR(COUNTIF($A$8:$A$12,F722)=1,AND(B722="U008",C722=208,J722="경조사비",F722="임시보관",SUMIF($C$430:$C$729,C722,$D$430:$D$729)&lt;=39000))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AND(B723="U008",C723=223,J723="경조사비",F723="명절비"),AND(B723="U008",C723=208,J723="경조사비",F723="임시보관",SUMIF($C$430:$C$729,C723,$D$430:$D$729)&lt;=39000)),OR(COUNTIF($A$8:$A$12,F723)=1,AND(B723="U008",C723=208,J723="경조사비",F723="임시보관",SUMIF($C$430:$C$729,C723,$D$430:$D$729)&lt;=39000))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AND(B724="U008",C724=223,J724="경조사비",F724="명절비"),AND(B724="U008",C724=208,J724="경조사비",F724="임시보관",SUMIF($C$430:$C$729,C724,$D$430:$D$729)&lt;=39000)),OR(COUNTIF($A$8:$A$12,F724)=1,AND(B724="U008",C724=208,J724="경조사비",F724="임시보관",SUMIF($C$430:$C$729,C724,$D$430:$D$729)&lt;=39000))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AND(B725="U008",C725=223,J725="경조사비",F725="명절비"),AND(B725="U008",C725=208,J725="경조사비",F725="임시보관",SUMIF($C$430:$C$729,C725,$D$430:$D$729)&lt;=39000)),OR(COUNTIF($A$8:$A$12,F725)=1,AND(B725="U008",C725=208,J725="경조사비",F725="임시보관",SUMIF($C$430:$C$729,C725,$D$430:$D$729)&lt;=39000))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AND(B726="U008",C726=223,J726="경조사비",F726="명절비"),AND(B726="U008",C726=208,J726="경조사비",F726="임시보관",SUMIF($C$430:$C$729,C726,$D$430:$D$729)&lt;=39000)),OR(COUNTIF($A$8:$A$12,F726)=1,AND(B726="U008",C726=208,J726="경조사비",F726="임시보관",SUMIF($C$430:$C$729,C726,$D$430:$D$729)&lt;=39000))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AND(B727="U008",C727=223,J727="경조사비",F727="명절비"),AND(B727="U008",C727=208,J727="경조사비",F727="임시보관",SUMIF($C$430:$C$729,C727,$D$430:$D$729)&lt;=39000)),OR(COUNTIF($A$8:$A$12,F727)=1,AND(B727="U008",C727=208,J727="경조사비",F727="임시보관",SUMIF($C$430:$C$729,C727,$D$430:$D$729)&lt;=39000))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AND(B728="U008",C728=223,J728="경조사비",F728="명절비"),AND(B728="U008",C728=208,J728="경조사비",F728="임시보관",SUMIF($C$430:$C$729,C728,$D$430:$D$729)&lt;=39000)),OR(COUNTIF($A$8:$A$12,F728)=1,AND(B728="U008",C728=208,J728="경조사비",F728="임시보관",SUMIF($C$430:$C$729,C728,$D$430:$D$729)&lt;=39000))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AND(B729="U008",C729=223,J729="경조사비",F729="명절비"),AND(B729="U008",C729=208,J729="경조사비",F729="임시보관",SUMIF($C$430:$C$729,C729,$D$430:$D$729)&lt;=39000)),OR(COUNTIF($A$8:$A$12,F729)=1,AND(B729="U008",C729=208,J729="경조사비",F729="임시보관",SUMIF($C$430:$C$729,C729,$D$430:$D$729)&lt;=39000))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203">
    <mergeCell ref="A69:O69"/>
    <mergeCell ref="D60:E60"/>
    <mergeCell ref="N11:O11"/>
    <mergeCell ref="A66:O66"/>
    <mergeCell ref="M40:O40"/>
    <mergeCell ref="F8:H8"/>
    <mergeCell ref="K35:L35"/>
    <mergeCell ref="L12:M12"/>
    <mergeCell ref="A7:B7"/>
    <mergeCell ref="N12:O12"/>
    <mergeCell ref="I8:K8"/>
    <mergeCell ref="M41:O41"/>
    <mergeCell ref="B61:C61"/>
    <mergeCell ref="A32:O32"/>
    <mergeCell ref="D61:E61"/>
    <mergeCell ref="F9:H9"/>
    <mergeCell ref="C7:E7"/>
    <mergeCell ref="F61:H61"/>
    <mergeCell ref="I58:J58"/>
    <mergeCell ref="K58:L58"/>
    <mergeCell ref="K52:L52"/>
    <mergeCell ref="B38:C38"/>
    <mergeCell ref="I10:K10"/>
    <mergeCell ref="E35"/>
    <mergeCell ref="I42:J42"/>
    <mergeCell ref="K42:L42"/>
    <mergeCell ref="M53:O53"/>
    <mergeCell ref="D62:E62"/>
    <mergeCell ref="B40:C40"/>
    <mergeCell ref="I52:J52"/>
    <mergeCell ref="D56:E56"/>
    <mergeCell ref="I44:J44"/>
    <mergeCell ref="A15:O15"/>
    <mergeCell ref="B55:C55"/>
    <mergeCell ref="K53:L53"/>
    <mergeCell ref="F35"/>
    <mergeCell ref="M55:O55"/>
    <mergeCell ref="B51:C51"/>
    <mergeCell ref="M52:O52"/>
    <mergeCell ref="D51:E51"/>
    <mergeCell ref="M39:O39"/>
    <mergeCell ref="K37:L37"/>
    <mergeCell ref="F12:H12"/>
    <mergeCell ref="F7:H7"/>
    <mergeCell ref="A9:B9"/>
    <mergeCell ref="B41:C41"/>
    <mergeCell ref="B63:C63"/>
    <mergeCell ref="B35:C35"/>
    <mergeCell ref="F51:H51"/>
    <mergeCell ref="L7:M7"/>
    <mergeCell ref="N7:O7"/>
    <mergeCell ref="I46:J46"/>
    <mergeCell ref="A11:B11"/>
    <mergeCell ref="I12:K12"/>
    <mergeCell ref="I61:J61"/>
    <mergeCell ref="A18:O18"/>
    <mergeCell ref="C12:E12"/>
    <mergeCell ref="K55:L55"/>
    <mergeCell ref="I57:J57"/>
    <mergeCell ref="M37:O37"/>
    <mergeCell ref="K51:L51"/>
    <mergeCell ref="A2:O2"/>
    <mergeCell ref="I54:J54"/>
    <mergeCell ref="H35"/>
    <mergeCell ref="A16:H16"/>
    <mergeCell ref="I41:J41"/>
    <mergeCell ref="K63:L63"/>
    <mergeCell ref="K41:L41"/>
    <mergeCell ref="A51"/>
    <mergeCell ref="M57:O57"/>
    <mergeCell ref="D3:O3"/>
    <mergeCell ref="B53:C53"/>
    <mergeCell ref="I56:J56"/>
    <mergeCell ref="D53:E53"/>
    <mergeCell ref="K56:L56"/>
    <mergeCell ref="I43:J43"/>
    <mergeCell ref="M38:O38"/>
    <mergeCell ref="K43:L43"/>
    <mergeCell ref="C13:E13"/>
    <mergeCell ref="B37:C37"/>
    <mergeCell ref="M56:O56"/>
    <mergeCell ref="M43:O43"/>
    <mergeCell ref="M58:O58"/>
    <mergeCell ref="A8:B8"/>
    <mergeCell ref="N13:O13"/>
    <mergeCell ref="F11:H11"/>
    <mergeCell ref="A48:O48"/>
    <mergeCell ref="A30:O30"/>
    <mergeCell ref="I35:J35"/>
    <mergeCell ref="A98:O98"/>
    <mergeCell ref="A10:B10"/>
    <mergeCell ref="I59:J59"/>
    <mergeCell ref="M35:O35"/>
    <mergeCell ref="F59:H59"/>
    <mergeCell ref="I60:J60"/>
    <mergeCell ref="F55:H55"/>
    <mergeCell ref="C10:E10"/>
    <mergeCell ref="B54:C54"/>
    <mergeCell ref="A35"/>
    <mergeCell ref="D63:E63"/>
    <mergeCell ref="C9:E9"/>
    <mergeCell ref="I45:J45"/>
    <mergeCell ref="K45:L45"/>
    <mergeCell ref="B56:C56"/>
    <mergeCell ref="K54:L54"/>
    <mergeCell ref="B43:C43"/>
    <mergeCell ref="B58:C58"/>
    <mergeCell ref="K60:L60"/>
    <mergeCell ref="B52:C52"/>
    <mergeCell ref="C11:E11"/>
    <mergeCell ref="D35"/>
    <mergeCell ref="M46:O46"/>
    <mergeCell ref="I47:J47"/>
    <mergeCell ref="D52:E52"/>
    <mergeCell ref="F13:H13"/>
    <mergeCell ref="M42:O42"/>
    <mergeCell ref="K47:L47"/>
    <mergeCell ref="B42:C42"/>
    <mergeCell ref="K44:L44"/>
    <mergeCell ref="F58:H58"/>
    <mergeCell ref="I37:J37"/>
    <mergeCell ref="B60:C60"/>
    <mergeCell ref="F52:H52"/>
    <mergeCell ref="K46:L46"/>
    <mergeCell ref="M61:O61"/>
    <mergeCell ref="L8:M8"/>
    <mergeCell ref="K40:L40"/>
    <mergeCell ref="B57:C57"/>
    <mergeCell ref="N8:O8"/>
    <mergeCell ref="M62:O62"/>
    <mergeCell ref="A12:B12"/>
    <mergeCell ref="B44:C44"/>
    <mergeCell ref="F60:H60"/>
    <mergeCell ref="I13:K13"/>
    <mergeCell ref="I62:J62"/>
    <mergeCell ref="L10:M10"/>
    <mergeCell ref="F57:H57"/>
    <mergeCell ref="A68:O68"/>
    <mergeCell ref="N10:O10"/>
    <mergeCell ref="A400:O400"/>
    <mergeCell ref="D50:O50"/>
    <mergeCell ref="F53:H53"/>
    <mergeCell ref="L9:M9"/>
    <mergeCell ref="F63:H63"/>
    <mergeCell ref="N9:O9"/>
    <mergeCell ref="D34:O34"/>
    <mergeCell ref="M44:O44"/>
    <mergeCell ref="M59:O59"/>
    <mergeCell ref="I51:J51"/>
    <mergeCell ref="D55:E55"/>
    <mergeCell ref="B45:C45"/>
    <mergeCell ref="I63:J63"/>
    <mergeCell ref="A1:O1"/>
    <mergeCell ref="L11:M11"/>
    <mergeCell ref="K57:L57"/>
    <mergeCell ref="D54:E54"/>
    <mergeCell ref="M51:O51"/>
    <mergeCell ref="I7:K7"/>
    <mergeCell ref="M60:O60"/>
    <mergeCell ref="B47:C47"/>
    <mergeCell ref="B62:C62"/>
    <mergeCell ref="A65:O65"/>
    <mergeCell ref="M54:O54"/>
    <mergeCell ref="G35"/>
    <mergeCell ref="B59:C59"/>
    <mergeCell ref="B46:C46"/>
    <mergeCell ref="I36:J36"/>
    <mergeCell ref="F62:H62"/>
    <mergeCell ref="K36:L36"/>
    <mergeCell ref="L13:M13"/>
    <mergeCell ref="B39:C39"/>
    <mergeCell ref="A428:O428"/>
    <mergeCell ref="M36:O36"/>
    <mergeCell ref="D57:E57"/>
    <mergeCell ref="A14:O14"/>
    <mergeCell ref="C8:E8"/>
    <mergeCell ref="M45:O45"/>
    <mergeCell ref="F56:H56"/>
    <mergeCell ref="I53:J53"/>
    <mergeCell ref="A4:O4"/>
    <mergeCell ref="M47:O47"/>
    <mergeCell ref="K59:L59"/>
    <mergeCell ref="M63:O63"/>
    <mergeCell ref="D33:O33"/>
    <mergeCell ref="I55:J55"/>
    <mergeCell ref="A730:O730"/>
    <mergeCell ref="I9:K9"/>
    <mergeCell ref="I39:J39"/>
    <mergeCell ref="I16:O16"/>
    <mergeCell ref="D58:E58"/>
    <mergeCell ref="K39:L39"/>
    <mergeCell ref="K61:L61"/>
    <mergeCell ref="F10:H10"/>
    <mergeCell ref="I11:K11"/>
    <mergeCell ref="F54:H54"/>
    <mergeCell ref="I38:J38"/>
    <mergeCell ref="K38:L38"/>
    <mergeCell ref="A13:B13"/>
    <mergeCell ref="B36:C36"/>
    <mergeCell ref="A6:O6"/>
    <mergeCell ref="K62:L62"/>
    <mergeCell ref="I40:J40"/>
    <mergeCell ref="D59:E59"/>
  </mergeCells>
  <dataValidations count="10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3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3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5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pageSetUpPr fitToPage="1"/>
  </sheetPr>
  <dimension ref="A1:Y501"/>
  <sheetViews>
    <sheetView showGridLines="0" tabSelected="1" zoomScale="85" zoomScaleNormal="85" workbookViewId="0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str">
        <f>TEXT($B$3,"yyyy-mm")&amp;IF($B$3&gt;MAX($A$64:$A$500)," · 해당 월 미입력 / 이월 잔액",IF(EOMONTH($B$3,0)&lt;MAX($A$64:$A$500)," · 월말 기록 기준"," · 입력된 거래 기준 (월 진행 중)"))</f>
        <v>2026-10 · 입력된 거래 기준 (월 진행 중)</v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s">
        <v>8</v>
      </c>
      <c r="F6" s="30" t="s">
        <v>9</v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11900</v>
      </c>
      <c r="E7" s="28">
        <f t="shared" ref="E7:E15" si="3">SUMIFS($Y$64:$Y$500,$C$64:$C$500,$A7,$H$64:$H$500,$B$3)-D7</f>
        <v>2537839</v>
      </c>
      <c r="F7" s="28">
        <f t="shared" ref="F7:F15" si="4">SUMIFS($Y$64:$Y$500,$D$64:$D$500,$A7,$H$64:$H$500,$B$3)-C7</f>
        <v>687510</v>
      </c>
      <c r="G7" s="28">
        <f t="shared" ref="G7:G15" si="5">B7+C7-D7-E7+F7</f>
        <v>4535466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 t="shared" si="0"/>
        <v>0</v>
      </c>
      <c r="C8" s="28">
        <f t="shared" si="1"/>
        <v>0</v>
      </c>
      <c r="D8" s="28">
        <f t="shared" si="2"/>
        <v>0</v>
      </c>
      <c r="E8" s="28">
        <f t="shared" si="3"/>
        <v>0</v>
      </c>
      <c r="F8" s="28">
        <f t="shared" si="4"/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 t="shared" si="0"/>
        <v>1400000</v>
      </c>
      <c r="C9" s="28">
        <f t="shared" si="1"/>
        <v>0</v>
      </c>
      <c r="D9" s="28">
        <f t="shared" si="2"/>
        <v>0</v>
      </c>
      <c r="E9" s="28">
        <f t="shared" si="3"/>
        <v>0</v>
      </c>
      <c r="F9" s="28">
        <f t="shared" si="4"/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 t="shared" si="0"/>
        <v>450000</v>
      </c>
      <c r="C10" s="28">
        <f t="shared" si="1"/>
        <v>0</v>
      </c>
      <c r="D10" s="28">
        <f t="shared" si="2"/>
        <v>0</v>
      </c>
      <c r="E10" s="28">
        <f t="shared" si="3"/>
        <v>0</v>
      </c>
      <c r="F10" s="28">
        <f t="shared" si="4"/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 t="shared" si="0"/>
        <v>300000</v>
      </c>
      <c r="C11" s="28">
        <f t="shared" si="1"/>
        <v>0</v>
      </c>
      <c r="D11" s="28">
        <f t="shared" si="2"/>
        <v>0</v>
      </c>
      <c r="E11" s="28">
        <f t="shared" si="3"/>
        <v>0</v>
      </c>
      <c r="F11" s="28">
        <f t="shared" si="4"/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 t="shared" si="0"/>
        <v>0</v>
      </c>
      <c r="C12" s="28">
        <f t="shared" si="1"/>
        <v>0</v>
      </c>
      <c r="D12" s="28">
        <f t="shared" si="2"/>
        <v>0</v>
      </c>
      <c r="E12" s="28">
        <f t="shared" si="3"/>
        <v>0</v>
      </c>
      <c r="F12" s="28">
        <f t="shared" si="4"/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 t="shared" si="0"/>
        <v>0</v>
      </c>
      <c r="C13" s="28">
        <f t="shared" si="1"/>
        <v>0</v>
      </c>
      <c r="D13" s="28">
        <f t="shared" si="2"/>
        <v>0</v>
      </c>
      <c r="E13" s="28">
        <f t="shared" si="3"/>
        <v>0</v>
      </c>
      <c r="F13" s="28">
        <f t="shared" si="4"/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61000</v>
      </c>
      <c r="F15" s="28">
        <f t="shared" si="4"/>
        <v>61000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11900</v>
      </c>
      <c r="E16" s="32">
        <f t="shared" si="7"/>
        <v>2598839</v>
      </c>
      <c r="F16" s="32">
        <f t="shared" si="7"/>
        <v>748510</v>
      </c>
      <c r="G16" s="32">
        <f t="shared" si="7"/>
        <v>6685466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조회월은 위쪽 잔액 기준, 내역 월은 아래 거래내역 기준입니다. 미입력 월은 이월 잔액이며 WRAP 밖 보관금은 제외합니다.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IF(C$21&gt;MAX($A$64:$A$500),"",SUMIFS($Y$64:$Y$500,$D$64:$D$500,$A22,$A$64:$A$500,"&lt;="&amp;EOMONTH(C$21,0))-SUMIFS($Y$64:$Y$500,$C$64:$C$500,$A22,$A$64:$A$500,"&lt;="&amp;EOMONTH(C$21,0)))</f>
        <v>993611</v>
      </c>
      <c r="D22" s="92">
        <f>IF(D$21&gt;MAX($A$64:$A$500),"",SUMIFS($Y$64:$Y$500,$D$64:$D$500,$A22,$A$64:$A$500,"&lt;="&amp;EOMONTH(D$21,0))-SUMIFS($Y$64:$Y$500,$C$64:$C$500,$A22,$A$64:$A$500,"&lt;="&amp;EOMONTH(D$21,0)))</f>
        <v>944667</v>
      </c>
      <c r="E22" s="92">
        <f>IF(E$21&gt;MAX($A$64:$A$500),"",SUMIFS($Y$64:$Y$500,$D$64:$D$500,$A22,$A$64:$A$500,"&lt;="&amp;EOMONTH(E$21,0))-SUMIFS($Y$64:$Y$500,$C$64:$C$500,$A22,$A$64:$A$500,"&lt;="&amp;EOMONTH(E$21,0)))</f>
        <v>1062089</v>
      </c>
      <c r="F22" s="92">
        <f>IF(F$21&gt;MAX($A$64:$A$500),"",SUMIFS($Y$64:$Y$500,$D$64:$D$500,$A22,$A$64:$A$500,"&lt;="&amp;EOMONTH(F$21,0))-SUMIFS($Y$64:$Y$500,$C$64:$C$500,$A22,$A$64:$A$500,"&lt;="&amp;EOMONTH(F$21,0)))</f>
        <v>626802</v>
      </c>
      <c r="G22" s="92">
        <f>IF(G$21&gt;MAX($A$64:$A$500),"",SUMIFS($Y$64:$Y$500,$D$64:$D$500,$A22,$A$64:$A$500,"&lt;="&amp;EOMONTH(G$21,0))-SUMIFS($Y$64:$Y$500,$C$64:$C$500,$A22,$A$64:$A$500,"&lt;="&amp;EOMONTH(G$21,0)))</f>
        <v>-498498</v>
      </c>
      <c r="H22" s="92">
        <f>IF(H$21&gt;MAX($A$64:$A$500),"",SUMIFS($Y$64:$Y$500,$D$64:$D$500,$A22,$A$64:$A$500,"&lt;="&amp;EOMONTH(H$21,0))-SUMIFS($Y$64:$Y$500,$C$64:$C$500,$A22,$A$64:$A$500,"&lt;="&amp;EOMONTH(H$21,0)))</f>
        <v>0</v>
      </c>
      <c r="I22" s="92">
        <f>IF(I$21&gt;MAX($A$64:$A$500),"",SUMIFS($Y$64:$Y$500,$D$64:$D$500,$A22,$A$64:$A$500,"&lt;="&amp;EOMONTH(I$21,0))-SUMIFS($Y$64:$Y$500,$C$64:$C$500,$A22,$A$64:$A$500,"&lt;="&amp;EOMONTH(I$21,0)))</f>
        <v>6388603</v>
      </c>
      <c r="J22" s="92">
        <f>IF(J$21&gt;MAX($A$64:$A$500),"",SUMIFS($Y$64:$Y$500,$D$64:$D$500,$A22,$A$64:$A$500,"&lt;="&amp;EOMONTH(J$21,0))-SUMIFS($Y$64:$Y$500,$C$64:$C$500,$A22,$A$64:$A$500,"&lt;="&amp;EOMONTH(J$21,0)))</f>
        <v>4535466</v>
      </c>
      <c r="K22" s="92">
        <f>IF(K$21&gt;MAX($A$64:$A$500),"",SUMIFS($Y$64:$Y$500,$D$64:$D$500,$A22,$A$64:$A$500,"&lt;="&amp;EOMONTH(K$21,0))-SUMIFS($Y$64:$Y$500,$C$64:$C$500,$A22,$A$64:$A$500,"&lt;="&amp;EOMONTH(K$21,0)))</f>
      </c>
      <c r="L22" s="92">
        <f>IF(L$21&gt;MAX($A$64:$A$500),"",SUMIFS($Y$64:$Y$500,$D$64:$D$500,$A22,$A$64:$A$500,"&lt;="&amp;EOMONTH(L$21,0))-SUMIFS($Y$64:$Y$500,$C$64:$C$500,$A22,$A$64:$A$500,"&lt;="&amp;EOMONTH(L$21,0)))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IF(C$21&gt;MAX($A$64:$A$500),"",SUMIFS($Y$64:$Y$500,$D$64:$D$500,$A23,$A$64:$A$500,"&lt;="&amp;EOMONTH(C$21,0))-SUMIFS($Y$64:$Y$500,$C$64:$C$500,$A23,$A$64:$A$500,"&lt;="&amp;EOMONTH(C$21,0)))</f>
        <v>100000</v>
      </c>
      <c r="D23" s="92">
        <f>IF(D$21&gt;MAX($A$64:$A$500),"",SUMIFS($Y$64:$Y$500,$D$64:$D$500,$A23,$A$64:$A$500,"&lt;="&amp;EOMONTH(D$21,0))-SUMIFS($Y$64:$Y$500,$C$64:$C$500,$A23,$A$64:$A$500,"&lt;="&amp;EOMONTH(D$21,0)))</f>
        <v>200000</v>
      </c>
      <c r="E23" s="92">
        <f>IF(E$21&gt;MAX($A$64:$A$500),"",SUMIFS($Y$64:$Y$500,$D$64:$D$500,$A23,$A$64:$A$500,"&lt;="&amp;EOMONTH(E$21,0))-SUMIFS($Y$64:$Y$500,$C$64:$C$500,$A23,$A$64:$A$500,"&lt;="&amp;EOMONTH(E$21,0)))</f>
        <v>50000</v>
      </c>
      <c r="F23" s="92">
        <f>IF(F$21&gt;MAX($A$64:$A$500),"",SUMIFS($Y$64:$Y$500,$D$64:$D$500,$A23,$A$64:$A$500,"&lt;="&amp;EOMONTH(F$21,0))-SUMIFS($Y$64:$Y$500,$C$64:$C$500,$A23,$A$64:$A$500,"&lt;="&amp;EOMONTH(F$21,0)))</f>
        <v>100000</v>
      </c>
      <c r="G23" s="92">
        <f>IF(G$21&gt;MAX($A$64:$A$500),"",SUMIFS($Y$64:$Y$500,$D$64:$D$500,$A23,$A$64:$A$500,"&lt;="&amp;EOMONTH(G$21,0))-SUMIFS($Y$64:$Y$500,$C$64:$C$500,$A23,$A$64:$A$500,"&lt;="&amp;EOMONTH(G$21,0)))</f>
        <v>200000</v>
      </c>
      <c r="H23" s="92">
        <f>IF(H$21&gt;MAX($A$64:$A$500),"",SUMIFS($Y$64:$Y$500,$D$64:$D$500,$A23,$A$64:$A$500,"&lt;="&amp;EOMONTH(H$21,0))-SUMIFS($Y$64:$Y$500,$C$64:$C$500,$A23,$A$64:$A$500,"&lt;="&amp;EOMONTH(H$21,0)))</f>
        <v>300000</v>
      </c>
      <c r="I23" s="92">
        <f>IF(I$21&gt;MAX($A$64:$A$500),"",SUMIFS($Y$64:$Y$500,$D$64:$D$500,$A23,$A$64:$A$500,"&lt;="&amp;EOMONTH(I$21,0))-SUMIFS($Y$64:$Y$500,$C$64:$C$500,$A23,$A$64:$A$500,"&lt;="&amp;EOMONTH(I$21,0)))</f>
        <v>0</v>
      </c>
      <c r="J23" s="92">
        <f>IF(J$21&gt;MAX($A$64:$A$500),"",SUMIFS($Y$64:$Y$500,$D$64:$D$500,$A23,$A$64:$A$500,"&lt;="&amp;EOMONTH(J$21,0))-SUMIFS($Y$64:$Y$500,$C$64:$C$500,$A23,$A$64:$A$500,"&lt;="&amp;EOMONTH(J$21,0)))</f>
        <v>0</v>
      </c>
      <c r="K23" s="92">
        <f>IF(K$21&gt;MAX($A$64:$A$500),"",SUMIFS($Y$64:$Y$500,$D$64:$D$500,$A23,$A$64:$A$500,"&lt;="&amp;EOMONTH(K$21,0))-SUMIFS($Y$64:$Y$500,$C$64:$C$500,$A23,$A$64:$A$500,"&lt;="&amp;EOMONTH(K$21,0)))</f>
      </c>
      <c r="L23" s="92">
        <f>IF(L$21&gt;MAX($A$64:$A$500),"",SUMIFS($Y$64:$Y$500,$D$64:$D$500,$A23,$A$64:$A$500,"&lt;="&amp;EOMONTH(L$21,0))-SUMIFS($Y$64:$Y$500,$C$64:$C$500,$A23,$A$64:$A$500,"&lt;="&amp;EOMONTH(L$21,0)))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IF(C$21&gt;MAX($A$64:$A$500),"",SUMIFS($Y$64:$Y$500,$D$64:$D$500,$A24,$A$64:$A$500,"&lt;="&amp;EOMONTH(C$21,0))-SUMIFS($Y$64:$Y$500,$C$64:$C$500,$A24,$A$64:$A$500,"&lt;="&amp;EOMONTH(C$21,0)))</f>
        <v>1300000</v>
      </c>
      <c r="D24" s="92">
        <f>IF(D$21&gt;MAX($A$64:$A$500),"",SUMIFS($Y$64:$Y$500,$D$64:$D$500,$A24,$A$64:$A$500,"&lt;="&amp;EOMONTH(D$21,0))-SUMIFS($Y$64:$Y$500,$C$64:$C$500,$A24,$A$64:$A$500,"&lt;="&amp;EOMONTH(D$21,0)))</f>
        <v>1400000</v>
      </c>
      <c r="E24" s="92">
        <f>IF(E$21&gt;MAX($A$64:$A$500),"",SUMIFS($Y$64:$Y$500,$D$64:$D$500,$A24,$A$64:$A$500,"&lt;="&amp;EOMONTH(E$21,0))-SUMIFS($Y$64:$Y$500,$C$64:$C$500,$A24,$A$64:$A$500,"&lt;="&amp;EOMONTH(E$21,0)))</f>
        <v>1500000</v>
      </c>
      <c r="F24" s="92">
        <f>IF(F$21&gt;MAX($A$64:$A$500),"",SUMIFS($Y$64:$Y$500,$D$64:$D$500,$A24,$A$64:$A$500,"&lt;="&amp;EOMONTH(F$21,0))-SUMIFS($Y$64:$Y$500,$C$64:$C$500,$A24,$A$64:$A$500,"&lt;="&amp;EOMONTH(F$21,0)))</f>
        <v>1600000</v>
      </c>
      <c r="G24" s="92">
        <f>IF(G$21&gt;MAX($A$64:$A$500),"",SUMIFS($Y$64:$Y$500,$D$64:$D$500,$A24,$A$64:$A$500,"&lt;="&amp;EOMONTH(G$21,0))-SUMIFS($Y$64:$Y$500,$C$64:$C$500,$A24,$A$64:$A$500,"&lt;="&amp;EOMONTH(G$21,0)))</f>
        <v>1600000</v>
      </c>
      <c r="H24" s="92">
        <f>IF(H$21&gt;MAX($A$64:$A$500),"",SUMIFS($Y$64:$Y$500,$D$64:$D$500,$A24,$A$64:$A$500,"&lt;="&amp;EOMONTH(H$21,0))-SUMIFS($Y$64:$Y$500,$C$64:$C$500,$A24,$A$64:$A$500,"&lt;="&amp;EOMONTH(H$21,0)))</f>
        <v>1300000</v>
      </c>
      <c r="I24" s="92">
        <f>IF(I$21&gt;MAX($A$64:$A$500),"",SUMIFS($Y$64:$Y$500,$D$64:$D$500,$A24,$A$64:$A$500,"&lt;="&amp;EOMONTH(I$21,0))-SUMIFS($Y$64:$Y$500,$C$64:$C$500,$A24,$A$64:$A$500,"&lt;="&amp;EOMONTH(I$21,0)))</f>
        <v>1400000</v>
      </c>
      <c r="J24" s="92">
        <f>IF(J$21&gt;MAX($A$64:$A$500),"",SUMIFS($Y$64:$Y$500,$D$64:$D$500,$A24,$A$64:$A$500,"&lt;="&amp;EOMONTH(J$21,0))-SUMIFS($Y$64:$Y$500,$C$64:$C$500,$A24,$A$64:$A$500,"&lt;="&amp;EOMONTH(J$21,0)))</f>
        <v>1400000</v>
      </c>
      <c r="K24" s="92">
        <f>IF(K$21&gt;MAX($A$64:$A$500),"",SUMIFS($Y$64:$Y$500,$D$64:$D$500,$A24,$A$64:$A$500,"&lt;="&amp;EOMONTH(K$21,0))-SUMIFS($Y$64:$Y$500,$C$64:$C$500,$A24,$A$64:$A$500,"&lt;="&amp;EOMONTH(K$21,0)))</f>
      </c>
      <c r="L24" s="92">
        <f>IF(L$21&gt;MAX($A$64:$A$500),"",SUMIFS($Y$64:$Y$500,$D$64:$D$500,$A24,$A$64:$A$500,"&lt;="&amp;EOMONTH(L$21,0))-SUMIFS($Y$64:$Y$500,$C$64:$C$500,$A24,$A$64:$A$500,"&lt;="&amp;EOMONTH(L$21,0)))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IF(C$21&gt;MAX($A$64:$A$500),"",SUMIFS($Y$64:$Y$500,$D$64:$D$500,$A25,$A$64:$A$500,"&lt;="&amp;EOMONTH(C$21,0))-SUMIFS($Y$64:$Y$500,$C$64:$C$500,$A25,$A$64:$A$500,"&lt;="&amp;EOMONTH(C$21,0)))</f>
        <v>0</v>
      </c>
      <c r="D25" s="92">
        <f>IF(D$21&gt;MAX($A$64:$A$500),"",SUMIFS($Y$64:$Y$500,$D$64:$D$500,$A25,$A$64:$A$500,"&lt;="&amp;EOMONTH(D$21,0))-SUMIFS($Y$64:$Y$500,$C$64:$C$500,$A25,$A$64:$A$500,"&lt;="&amp;EOMONTH(D$21,0)))</f>
        <v>0</v>
      </c>
      <c r="E25" s="92">
        <f>IF(E$21&gt;MAX($A$64:$A$500),"",SUMIFS($Y$64:$Y$500,$D$64:$D$500,$A25,$A$64:$A$500,"&lt;="&amp;EOMONTH(E$21,0))-SUMIFS($Y$64:$Y$500,$C$64:$C$500,$A25,$A$64:$A$500,"&lt;="&amp;EOMONTH(E$21,0)))</f>
        <v>50000</v>
      </c>
      <c r="F25" s="92">
        <f>IF(F$21&gt;MAX($A$64:$A$500),"",SUMIFS($Y$64:$Y$500,$D$64:$D$500,$A25,$A$64:$A$500,"&lt;="&amp;EOMONTH(F$21,0))-SUMIFS($Y$64:$Y$500,$C$64:$C$500,$A25,$A$64:$A$500,"&lt;="&amp;EOMONTH(F$21,0)))</f>
        <v>100000</v>
      </c>
      <c r="G25" s="92">
        <f>IF(G$21&gt;MAX($A$64:$A$500),"",SUMIFS($Y$64:$Y$500,$D$64:$D$500,$A25,$A$64:$A$500,"&lt;="&amp;EOMONTH(G$21,0))-SUMIFS($Y$64:$Y$500,$C$64:$C$500,$A25,$A$64:$A$500,"&lt;="&amp;EOMONTH(G$21,0)))</f>
        <v>150000</v>
      </c>
      <c r="H25" s="92">
        <f>IF(H$21&gt;MAX($A$64:$A$500),"",SUMIFS($Y$64:$Y$500,$D$64:$D$500,$A25,$A$64:$A$500,"&lt;="&amp;EOMONTH(H$21,0))-SUMIFS($Y$64:$Y$500,$C$64:$C$500,$A25,$A$64:$A$500,"&lt;="&amp;EOMONTH(H$21,0)))</f>
        <v>200000</v>
      </c>
      <c r="I25" s="92">
        <f>IF(I$21&gt;MAX($A$64:$A$500),"",SUMIFS($Y$64:$Y$500,$D$64:$D$500,$A25,$A$64:$A$500,"&lt;="&amp;EOMONTH(I$21,0))-SUMIFS($Y$64:$Y$500,$C$64:$C$500,$A25,$A$64:$A$500,"&lt;="&amp;EOMONTH(I$21,0)))</f>
        <v>450000</v>
      </c>
      <c r="J25" s="92">
        <f>IF(J$21&gt;MAX($A$64:$A$500),"",SUMIFS($Y$64:$Y$500,$D$64:$D$500,$A25,$A$64:$A$500,"&lt;="&amp;EOMONTH(J$21,0))-SUMIFS($Y$64:$Y$500,$C$64:$C$500,$A25,$A$64:$A$500,"&lt;="&amp;EOMONTH(J$21,0)))</f>
        <v>450000</v>
      </c>
      <c r="K25" s="92">
        <f>IF(K$21&gt;MAX($A$64:$A$500),"",SUMIFS($Y$64:$Y$500,$D$64:$D$500,$A25,$A$64:$A$500,"&lt;="&amp;EOMONTH(K$21,0))-SUMIFS($Y$64:$Y$500,$C$64:$C$500,$A25,$A$64:$A$500,"&lt;="&amp;EOMONTH(K$21,0)))</f>
      </c>
      <c r="L25" s="92">
        <f>IF(L$21&gt;MAX($A$64:$A$500),"",SUMIFS($Y$64:$Y$500,$D$64:$D$500,$A25,$A$64:$A$500,"&lt;="&amp;EOMONTH(L$21,0))-SUMIFS($Y$64:$Y$500,$C$64:$C$500,$A25,$A$64:$A$500,"&lt;="&amp;EOMONTH(L$21,0)))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IF(C$21&gt;MAX($A$64:$A$500),"",SUMIFS($Y$64:$Y$500,$D$64:$D$500,$A26,$A$64:$A$500,"&lt;="&amp;EOMONTH(C$21,0))-SUMIFS($Y$64:$Y$500,$C$64:$C$500,$A26,$A$64:$A$500,"&lt;="&amp;EOMONTH(C$21,0)))</f>
        <v>350000</v>
      </c>
      <c r="D26" s="92">
        <f>IF(D$21&gt;MAX($A$64:$A$500),"",SUMIFS($Y$64:$Y$500,$D$64:$D$500,$A26,$A$64:$A$500,"&lt;="&amp;EOMONTH(D$21,0))-SUMIFS($Y$64:$Y$500,$C$64:$C$500,$A26,$A$64:$A$500,"&lt;="&amp;EOMONTH(D$21,0)))</f>
        <v>350000</v>
      </c>
      <c r="E26" s="92">
        <f>IF(E$21&gt;MAX($A$64:$A$500),"",SUMIFS($Y$64:$Y$500,$D$64:$D$500,$A26,$A$64:$A$500,"&lt;="&amp;EOMONTH(E$21,0))-SUMIFS($Y$64:$Y$500,$C$64:$C$500,$A26,$A$64:$A$500,"&lt;="&amp;EOMONTH(E$21,0)))</f>
        <v>0</v>
      </c>
      <c r="F26" s="92">
        <f>IF(F$21&gt;MAX($A$64:$A$500),"",SUMIFS($Y$64:$Y$500,$D$64:$D$500,$A26,$A$64:$A$500,"&lt;="&amp;EOMONTH(F$21,0))-SUMIFS($Y$64:$Y$500,$C$64:$C$500,$A26,$A$64:$A$500,"&lt;="&amp;EOMONTH(F$21,0)))</f>
        <v>0</v>
      </c>
      <c r="G26" s="92">
        <f>IF(G$21&gt;MAX($A$64:$A$500),"",SUMIFS($Y$64:$Y$500,$D$64:$D$500,$A26,$A$64:$A$500,"&lt;="&amp;EOMONTH(G$21,0))-SUMIFS($Y$64:$Y$500,$C$64:$C$500,$A26,$A$64:$A$500,"&lt;="&amp;EOMONTH(G$21,0)))</f>
        <v>100000</v>
      </c>
      <c r="H26" s="92">
        <f>IF(H$21&gt;MAX($A$64:$A$500),"",SUMIFS($Y$64:$Y$500,$D$64:$D$500,$A26,$A$64:$A$500,"&lt;="&amp;EOMONTH(H$21,0))-SUMIFS($Y$64:$Y$500,$C$64:$C$500,$A26,$A$64:$A$500,"&lt;="&amp;EOMONTH(H$21,0)))</f>
        <v>200000</v>
      </c>
      <c r="I26" s="92">
        <f>IF(I$21&gt;MAX($A$64:$A$500),"",SUMIFS($Y$64:$Y$500,$D$64:$D$500,$A26,$A$64:$A$500,"&lt;="&amp;EOMONTH(I$21,0))-SUMIFS($Y$64:$Y$500,$C$64:$C$500,$A26,$A$64:$A$500,"&lt;="&amp;EOMONTH(I$21,0)))</f>
        <v>300000</v>
      </c>
      <c r="J26" s="92">
        <f>IF(J$21&gt;MAX($A$64:$A$500),"",SUMIFS($Y$64:$Y$500,$D$64:$D$500,$A26,$A$64:$A$500,"&lt;="&amp;EOMONTH(J$21,0))-SUMIFS($Y$64:$Y$500,$C$64:$C$500,$A26,$A$64:$A$500,"&lt;="&amp;EOMONTH(J$21,0)))</f>
        <v>300000</v>
      </c>
      <c r="K26" s="92">
        <f>IF(K$21&gt;MAX($A$64:$A$500),"",SUMIFS($Y$64:$Y$500,$D$64:$D$500,$A26,$A$64:$A$500,"&lt;="&amp;EOMONTH(K$21,0))-SUMIFS($Y$64:$Y$500,$C$64:$C$500,$A26,$A$64:$A$500,"&lt;="&amp;EOMONTH(K$21,0)))</f>
      </c>
      <c r="L26" s="92">
        <f>IF(L$21&gt;MAX($A$64:$A$500),"",SUMIFS($Y$64:$Y$500,$D$64:$D$500,$A26,$A$64:$A$500,"&lt;="&amp;EOMONTH(L$21,0))-SUMIFS($Y$64:$Y$500,$C$64:$C$500,$A26,$A$64:$A$500,"&lt;="&amp;EOMONTH(L$21,0)))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IF(C$21&gt;MAX($A$64:$A$500),"",SUMIFS($Y$64:$Y$500,$D$64:$D$500,$A27,$A$64:$A$500,"&lt;="&amp;EOMONTH(C$21,0))-SUMIFS($Y$64:$Y$500,$C$64:$C$500,$A27,$A$64:$A$500,"&lt;="&amp;EOMONTH(C$21,0)))</f>
        <v>0</v>
      </c>
      <c r="D27" s="92">
        <f>IF(D$21&gt;MAX($A$64:$A$500),"",SUMIFS($Y$64:$Y$500,$D$64:$D$500,$A27,$A$64:$A$500,"&lt;="&amp;EOMONTH(D$21,0))-SUMIFS($Y$64:$Y$500,$C$64:$C$500,$A27,$A$64:$A$500,"&lt;="&amp;EOMONTH(D$21,0)))</f>
        <v>0</v>
      </c>
      <c r="E27" s="92">
        <f>IF(E$21&gt;MAX($A$64:$A$500),"",SUMIFS($Y$64:$Y$500,$D$64:$D$500,$A27,$A$64:$A$500,"&lt;="&amp;EOMONTH(E$21,0))-SUMIFS($Y$64:$Y$500,$C$64:$C$500,$A27,$A$64:$A$500,"&lt;="&amp;EOMONTH(E$21,0)))</f>
        <v>0</v>
      </c>
      <c r="F27" s="92">
        <f>IF(F$21&gt;MAX($A$64:$A$500),"",SUMIFS($Y$64:$Y$500,$D$64:$D$500,$A27,$A$64:$A$500,"&lt;="&amp;EOMONTH(F$21,0))-SUMIFS($Y$64:$Y$500,$C$64:$C$500,$A27,$A$64:$A$500,"&lt;="&amp;EOMONTH(F$21,0)))</f>
        <v>0</v>
      </c>
      <c r="G27" s="92">
        <f>IF(G$21&gt;MAX($A$64:$A$500),"",SUMIFS($Y$64:$Y$500,$D$64:$D$500,$A27,$A$64:$A$500,"&lt;="&amp;EOMONTH(G$21,0))-SUMIFS($Y$64:$Y$500,$C$64:$C$500,$A27,$A$64:$A$500,"&lt;="&amp;EOMONTH(G$21,0)))</f>
        <v>0</v>
      </c>
      <c r="H27" s="92">
        <f>IF(H$21&gt;MAX($A$64:$A$500),"",SUMIFS($Y$64:$Y$500,$D$64:$D$500,$A27,$A$64:$A$500,"&lt;="&amp;EOMONTH(H$21,0))-SUMIFS($Y$64:$Y$500,$C$64:$C$500,$A27,$A$64:$A$500,"&lt;="&amp;EOMONTH(H$21,0)))</f>
        <v>0</v>
      </c>
      <c r="I27" s="92">
        <f>IF(I$21&gt;MAX($A$64:$A$500),"",SUMIFS($Y$64:$Y$500,$D$64:$D$500,$A27,$A$64:$A$500,"&lt;="&amp;EOMONTH(I$21,0))-SUMIFS($Y$64:$Y$500,$C$64:$C$500,$A27,$A$64:$A$500,"&lt;="&amp;EOMONTH(I$21,0)))</f>
        <v>0</v>
      </c>
      <c r="J27" s="92">
        <f>IF(J$21&gt;MAX($A$64:$A$500),"",SUMIFS($Y$64:$Y$500,$D$64:$D$500,$A27,$A$64:$A$500,"&lt;="&amp;EOMONTH(J$21,0))-SUMIFS($Y$64:$Y$500,$C$64:$C$500,$A27,$A$64:$A$500,"&lt;="&amp;EOMONTH(J$21,0)))</f>
        <v>0</v>
      </c>
      <c r="K27" s="92">
        <f>IF(K$21&gt;MAX($A$64:$A$500),"",SUMIFS($Y$64:$Y$500,$D$64:$D$500,$A27,$A$64:$A$500,"&lt;="&amp;EOMONTH(K$21,0))-SUMIFS($Y$64:$Y$500,$C$64:$C$500,$A27,$A$64:$A$500,"&lt;="&amp;EOMONTH(K$21,0)))</f>
      </c>
      <c r="L27" s="92">
        <f>IF(L$21&gt;MAX($A$64:$A$500),"",SUMIFS($Y$64:$Y$500,$D$64:$D$500,$A27,$A$64:$A$500,"&lt;="&amp;EOMONTH(L$21,0))-SUMIFS($Y$64:$Y$500,$C$64:$C$500,$A27,$A$64:$A$500,"&lt;="&amp;EOMONTH(L$21,0)))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IF(C$21&gt;MAX($A$64:$A$500),"",SUMIFS($Y$64:$Y$500,$D$64:$D$500,$A28,$A$64:$A$500,"&lt;="&amp;EOMONTH(C$21,0))-SUMIFS($Y$64:$Y$500,$C$64:$C$500,$A28,$A$64:$A$500,"&lt;="&amp;EOMONTH(C$21,0)))</f>
        <v>21500</v>
      </c>
      <c r="D28" s="92">
        <f>IF(D$21&gt;MAX($A$64:$A$500),"",SUMIFS($Y$64:$Y$500,$D$64:$D$500,$A28,$A$64:$A$500,"&lt;="&amp;EOMONTH(D$21,0))-SUMIFS($Y$64:$Y$500,$C$64:$C$500,$A28,$A$64:$A$500,"&lt;="&amp;EOMONTH(D$21,0)))</f>
        <v>0</v>
      </c>
      <c r="E28" s="92">
        <f>IF(E$21&gt;MAX($A$64:$A$500),"",SUMIFS($Y$64:$Y$500,$D$64:$D$500,$A28,$A$64:$A$500,"&lt;="&amp;EOMONTH(E$21,0))-SUMIFS($Y$64:$Y$500,$C$64:$C$500,$A28,$A$64:$A$500,"&lt;="&amp;EOMONTH(E$21,0)))</f>
        <v>0</v>
      </c>
      <c r="F28" s="92">
        <f>IF(F$21&gt;MAX($A$64:$A$500),"",SUMIFS($Y$64:$Y$500,$D$64:$D$500,$A28,$A$64:$A$500,"&lt;="&amp;EOMONTH(F$21,0))-SUMIFS($Y$64:$Y$500,$C$64:$C$500,$A28,$A$64:$A$500,"&lt;="&amp;EOMONTH(F$21,0)))</f>
        <v>0</v>
      </c>
      <c r="G28" s="92">
        <f>IF(G$21&gt;MAX($A$64:$A$500),"",SUMIFS($Y$64:$Y$500,$D$64:$D$500,$A28,$A$64:$A$500,"&lt;="&amp;EOMONTH(G$21,0))-SUMIFS($Y$64:$Y$500,$C$64:$C$500,$A28,$A$64:$A$500,"&lt;="&amp;EOMONTH(G$21,0)))</f>
        <v>0</v>
      </c>
      <c r="H28" s="92">
        <f>IF(H$21&gt;MAX($A$64:$A$500),"",SUMIFS($Y$64:$Y$500,$D$64:$D$500,$A28,$A$64:$A$500,"&lt;="&amp;EOMONTH(H$21,0))-SUMIFS($Y$64:$Y$500,$C$64:$C$500,$A28,$A$64:$A$500,"&lt;="&amp;EOMONTH(H$21,0)))</f>
        <v>0</v>
      </c>
      <c r="I28" s="92">
        <f>IF(I$21&gt;MAX($A$64:$A$500),"",SUMIFS($Y$64:$Y$500,$D$64:$D$500,$A28,$A$64:$A$500,"&lt;="&amp;EOMONTH(I$21,0))-SUMIFS($Y$64:$Y$500,$C$64:$C$500,$A28,$A$64:$A$500,"&lt;="&amp;EOMONTH(I$21,0)))</f>
        <v>0</v>
      </c>
      <c r="J28" s="92">
        <f>IF(J$21&gt;MAX($A$64:$A$500),"",SUMIFS($Y$64:$Y$500,$D$64:$D$500,$A28,$A$64:$A$500,"&lt;="&amp;EOMONTH(J$21,0))-SUMIFS($Y$64:$Y$500,$C$64:$C$500,$A28,$A$64:$A$500,"&lt;="&amp;EOMONTH(J$21,0)))</f>
        <v>0</v>
      </c>
      <c r="K28" s="92">
        <f>IF(K$21&gt;MAX($A$64:$A$500),"",SUMIFS($Y$64:$Y$500,$D$64:$D$500,$A28,$A$64:$A$500,"&lt;="&amp;EOMONTH(K$21,0))-SUMIFS($Y$64:$Y$500,$C$64:$C$500,$A28,$A$64:$A$500,"&lt;="&amp;EOMONTH(K$21,0)))</f>
      </c>
      <c r="L28" s="92">
        <f>IF(L$21&gt;MAX($A$64:$A$500),"",SUMIFS($Y$64:$Y$500,$D$64:$D$500,$A28,$A$64:$A$500,"&lt;="&amp;EOMONTH(L$21,0))-SUMIFS($Y$64:$Y$500,$C$64:$C$500,$A28,$A$64:$A$500,"&lt;="&amp;EOMONTH(L$21,0)))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IF(C$21&gt;MAX($A$64:$A$500),"",SUMIFS($Y$64:$Y$500,$D$64:$D$500,$A29,$A$64:$A$500,"&lt;="&amp;EOMONTH(C$21,0))-SUMIFS($Y$64:$Y$500,$C$64:$C$500,$A29,$A$64:$A$500,"&lt;="&amp;EOMONTH(C$21,0)))</f>
        <v>0</v>
      </c>
      <c r="D29" s="92">
        <f>IF(D$21&gt;MAX($A$64:$A$500),"",SUMIFS($Y$64:$Y$500,$D$64:$D$500,$A29,$A$64:$A$500,"&lt;="&amp;EOMONTH(D$21,0))-SUMIFS($Y$64:$Y$500,$C$64:$C$500,$A29,$A$64:$A$500,"&lt;="&amp;EOMONTH(D$21,0)))</f>
        <v>2151</v>
      </c>
      <c r="E29" s="92">
        <f>IF(E$21&gt;MAX($A$64:$A$500),"",SUMIFS($Y$64:$Y$500,$D$64:$D$500,$A29,$A$64:$A$500,"&lt;="&amp;EOMONTH(E$21,0))-SUMIFS($Y$64:$Y$500,$C$64:$C$500,$A29,$A$64:$A$500,"&lt;="&amp;EOMONTH(E$21,0)))</f>
        <v>1137</v>
      </c>
      <c r="F29" s="92">
        <f>IF(F$21&gt;MAX($A$64:$A$500),"",SUMIFS($Y$64:$Y$500,$D$64:$D$500,$A29,$A$64:$A$500,"&lt;="&amp;EOMONTH(F$21,0))-SUMIFS($Y$64:$Y$500,$C$64:$C$500,$A29,$A$64:$A$500,"&lt;="&amp;EOMONTH(F$21,0)))</f>
        <v>4897</v>
      </c>
      <c r="G29" s="92">
        <f>IF(G$21&gt;MAX($A$64:$A$500),"",SUMIFS($Y$64:$Y$500,$D$64:$D$500,$A29,$A$64:$A$500,"&lt;="&amp;EOMONTH(G$21,0))-SUMIFS($Y$64:$Y$500,$C$64:$C$500,$A29,$A$64:$A$500,"&lt;="&amp;EOMONTH(G$21,0)))</f>
        <v>27858</v>
      </c>
      <c r="H29" s="92">
        <f>IF(H$21&gt;MAX($A$64:$A$500),"",SUMIFS($Y$64:$Y$500,$D$64:$D$500,$A29,$A$64:$A$500,"&lt;="&amp;EOMONTH(H$21,0))-SUMIFS($Y$64:$Y$500,$C$64:$C$500,$A29,$A$64:$A$500,"&lt;="&amp;EOMONTH(H$21,0)))</f>
        <v>0</v>
      </c>
      <c r="I29" s="92">
        <f>IF(I$21&gt;MAX($A$64:$A$500),"",SUMIFS($Y$64:$Y$500,$D$64:$D$500,$A29,$A$64:$A$500,"&lt;="&amp;EOMONTH(I$21,0))-SUMIFS($Y$64:$Y$500,$C$64:$C$500,$A29,$A$64:$A$500,"&lt;="&amp;EOMONTH(I$21,0)))</f>
        <v>0</v>
      </c>
      <c r="J29" s="92">
        <f>IF(J$21&gt;MAX($A$64:$A$500),"",SUMIFS($Y$64:$Y$500,$D$64:$D$500,$A29,$A$64:$A$500,"&lt;="&amp;EOMONTH(J$21,0))-SUMIFS($Y$64:$Y$500,$C$64:$C$500,$A29,$A$64:$A$500,"&lt;="&amp;EOMONTH(J$21,0)))</f>
        <v>0</v>
      </c>
      <c r="K29" s="92">
        <f>IF(K$21&gt;MAX($A$64:$A$500),"",SUMIFS($Y$64:$Y$500,$D$64:$D$500,$A29,$A$64:$A$500,"&lt;="&amp;EOMONTH(K$21,0))-SUMIFS($Y$64:$Y$500,$C$64:$C$500,$A29,$A$64:$A$500,"&lt;="&amp;EOMONTH(K$21,0)))</f>
      </c>
      <c r="L29" s="92">
        <f>IF(L$21&gt;MAX($A$64:$A$500),"",SUMIFS($Y$64:$Y$500,$D$64:$D$500,$A29,$A$64:$A$500,"&lt;="&amp;EOMONTH(L$21,0))-SUMIFS($Y$64:$Y$500,$C$64:$C$500,$A29,$A$64:$A$500,"&lt;="&amp;EOMONTH(L$21,0)))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IF(C$21&gt;MAX($A$64:$A$500),"",SUMIFS($Y$64:$Y$500,$D$64:$D$500,$A30,$A$64:$A$500,"&lt;="&amp;EOMONTH(C$21,0))-SUMIFS($Y$64:$Y$500,$C$64:$C$500,$A30,$A$64:$A$500,"&lt;="&amp;EOMONTH(C$21,0)))</f>
        <v>2042224</v>
      </c>
      <c r="D30" s="92">
        <f>IF(D$21&gt;MAX($A$64:$A$500),"",SUMIFS($Y$64:$Y$500,$D$64:$D$500,$A30,$A$64:$A$500,"&lt;="&amp;EOMONTH(D$21,0))-SUMIFS($Y$64:$Y$500,$C$64:$C$500,$A30,$A$64:$A$500,"&lt;="&amp;EOMONTH(D$21,0)))</f>
        <v>2548910</v>
      </c>
      <c r="E30" s="92">
        <f>IF(E$21&gt;MAX($A$64:$A$500),"",SUMIFS($Y$64:$Y$500,$D$64:$D$500,$A30,$A$64:$A$500,"&lt;="&amp;EOMONTH(E$21,0))-SUMIFS($Y$64:$Y$500,$C$64:$C$500,$A30,$A$64:$A$500,"&lt;="&amp;EOMONTH(E$21,0)))</f>
        <v>2042174</v>
      </c>
      <c r="F30" s="92">
        <f>IF(F$21&gt;MAX($A$64:$A$500),"",SUMIFS($Y$64:$Y$500,$D$64:$D$500,$A30,$A$64:$A$500,"&lt;="&amp;EOMONTH(F$21,0))-SUMIFS($Y$64:$Y$500,$C$64:$C$500,$A30,$A$64:$A$500,"&lt;="&amp;EOMONTH(F$21,0)))</f>
        <v>6188750</v>
      </c>
      <c r="G30" s="92">
        <f>IF(G$21&gt;MAX($A$64:$A$500),"",SUMIFS($Y$64:$Y$500,$D$64:$D$500,$A30,$A$64:$A$500,"&lt;="&amp;EOMONTH(G$21,0))-SUMIFS($Y$64:$Y$500,$C$64:$C$500,$A30,$A$64:$A$500,"&lt;="&amp;EOMONTH(G$21,0)))</f>
        <v>11338850</v>
      </c>
      <c r="H30" s="92">
        <f>IF(H$21&gt;MAX($A$64:$A$500),"",SUMIFS($Y$64:$Y$500,$D$64:$D$500,$A30,$A$64:$A$500,"&lt;="&amp;EOMONTH(H$21,0))-SUMIFS($Y$64:$Y$500,$C$64:$C$500,$A30,$A$64:$A$500,"&lt;="&amp;EOMONTH(H$21,0)))</f>
        <v>9495719</v>
      </c>
      <c r="I30" s="92">
        <f>IF(I$21&gt;MAX($A$64:$A$500),"",SUMIFS($Y$64:$Y$500,$D$64:$D$500,$A30,$A$64:$A$500,"&lt;="&amp;EOMONTH(I$21,0))-SUMIFS($Y$64:$Y$500,$C$64:$C$500,$A30,$A$64:$A$500,"&lt;="&amp;EOMONTH(I$21,0)))</f>
        <v>0</v>
      </c>
      <c r="J30" s="92">
        <f>IF(J$21&gt;MAX($A$64:$A$500),"",SUMIFS($Y$64:$Y$500,$D$64:$D$500,$A30,$A$64:$A$500,"&lt;="&amp;EOMONTH(J$21,0))-SUMIFS($Y$64:$Y$500,$C$64:$C$500,$A30,$A$64:$A$500,"&lt;="&amp;EOMONTH(J$21,0)))</f>
        <v>0</v>
      </c>
      <c r="K30" s="92">
        <f>IF(K$21&gt;MAX($A$64:$A$500),"",SUMIFS($Y$64:$Y$500,$D$64:$D$500,$A30,$A$64:$A$500,"&lt;="&amp;EOMONTH(K$21,0))-SUMIFS($Y$64:$Y$500,$C$64:$C$500,$A30,$A$64:$A$500,"&lt;="&amp;EOMONTH(K$21,0)))</f>
      </c>
      <c r="L30" s="92">
        <f>IF(L$21&gt;MAX($A$64:$A$500),"",SUMIFS($Y$64:$Y$500,$D$64:$D$500,$A30,$A$64:$A$500,"&lt;="&amp;EOMONTH(L$21,0))-SUMIFS($Y$64:$Y$500,$C$64:$C$500,$A30,$A$64:$A$500,"&lt;="&amp;EOMONTH(L$21,0)))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6685466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s">
        <v>30</v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s">
        <v>32</v>
      </c>
      <c r="B35" s="94">
        <f>MONTH(MAX($A$64:$A$500))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">
        <v>35</v>
      </c>
      <c r="K35" s="345"/>
      <c r="L35" s="345"/>
      <c r="M35" s="80"/>
      <c r="N35" s="80"/>
      <c r="V35" s="80">
        <f>DATE(2026,$B$35,1)</f>
        <v>46296.0</v>
      </c>
    </row>
    <row r="36" spans="1:22" ht="24" customHeight="1">
      <c r="A36" s="354" t="str">
        <f>"WRAP 입금·사용 ("&amp;COUNTIFS($H$64:$H$500,$V$35,$P$64:$P$500,"내역")&amp;"건)"</f>
        <v>WRAP 입금·사용 (3건)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(12건)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46308.859037118054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미래에셋 WRAP 이자</v>
      </c>
      <c r="D38" s="341"/>
      <c r="E38" s="342"/>
      <c r="F38" s="312">
        <f t="shared" ref="F38:F59" si="13">IF($M38=0,"",INDEX($T$64:$T$500,$M38))</f>
        <v>535</v>
      </c>
      <c r="G38" s="310">
        <f t="shared" ref="G38:G59" si="14">IF($N38=0,"",INDEX($U$64:$U$500,$N38))</f>
        <v>46310.9587962963</v>
      </c>
      <c r="H38" s="311" t="str">
        <f t="shared" ref="H38:H59" si="15">SUBSTITUTE(IF($N38=0,"",IF(INDEX($J$64:$J$500,$N38)&lt;&gt;"",INDEX($J$64:$J$500,$N38),INDEX($C$64:$C$500,$N38))),"미래에셋_WRAP형CMA","미래에셋 WRAP")</f>
        <v>미래에셋 WRAP</v>
      </c>
      <c r="I38" s="311" t="str">
        <f t="shared" ref="I38:I59" si="16">SUBSTITUTE(IF($N38=0,"",IF(INDEX($K$64:$K$500,$N38)&lt;&gt;"",INDEX($K$64:$K$500,$N38),INDEX($D$64:$D$500,$N38))),"미래에셋_WRAP형CMA","미래에셋 WRAP")</f>
        <v>미래에셋 WRAP</v>
      </c>
      <c r="J38" s="313">
        <f t="shared" ref="J38:J59" si="17">IF($N38=0,"",INDEX($E$64:$E$500,$N38))</f>
        <v>61000</v>
      </c>
      <c r="K38" s="340" t="str">
        <f t="shared" ref="K38:K59" si="18">IF($N38=0,"",INDEX($F$64:$F$500,$N38))</f>
        <v>생신 잔금 임시보관 → 생활비</v>
      </c>
      <c r="L38" s="342"/>
      <c r="M38" s="80">
        <f>IFERROR(MATCH(TEXT($V$35,"yyyymm")&amp;"_내역_"&amp;(38-37+($E$35-1)*22),$R$64:$R$500,0),0)</f>
        <v>182</v>
      </c>
      <c r="N38" s="80">
        <f>IFERROR(MATCH(TEXT($V$35,"yyyymm")&amp;"_이체_"&amp;(38-37+($H$35-1)*22),$R$64:$R$500,0),0)</f>
        <v>184</v>
      </c>
    </row>
    <row r="39" spans="1:22" ht="24" customHeight="1">
      <c r="A39" s="310">
        <f t="shared" si="10"/>
        <v>46307.84306710648</v>
      </c>
      <c r="B39" s="311" t="str">
        <f t="shared" si="11"/>
        <v>생활비</v>
      </c>
      <c r="C39" s="340" t="str">
        <f t="shared" si="12"/>
        <v>미래에셋 WRAP 이자</v>
      </c>
      <c r="D39" s="341"/>
      <c r="E39" s="342"/>
      <c r="F39" s="312">
        <f t="shared" si="13"/>
        <v>8557</v>
      </c>
      <c r="G39" s="310">
        <f t="shared" si="14"/>
        <v>46310.93959303241</v>
      </c>
      <c r="H39" s="311" t="str">
        <f t="shared" si="15"/>
        <v>가족통장</v>
      </c>
      <c r="I39" s="311" t="str">
        <f t="shared" si="16"/>
        <v>미래에셋 WRAP</v>
      </c>
      <c r="J39" s="313">
        <f t="shared" si="17"/>
        <v>61000</v>
      </c>
      <c r="K39" s="340" t="str">
        <f t="shared" si="18"/>
        <v>부모 생신 미사용 원금 회수</v>
      </c>
      <c r="L39" s="342"/>
      <c r="M39" s="80">
        <f>IFERROR(MATCH(TEXT($V$35,"yyyymm")&amp;"_내역_"&amp;(39-37+($E$35-1)*22),$R$64:$R$500,0),0)</f>
        <v>175</v>
      </c>
      <c r="N39" s="80">
        <f>IFERROR(MATCH(TEXT($V$35,"yyyymm")&amp;"_이체_"&amp;(39-37+($H$35-1)*22),$R$64:$R$500,0),0)</f>
        <v>183</v>
      </c>
    </row>
    <row r="40" spans="1:22" ht="24" customHeight="1">
      <c r="A40" s="310">
        <f t="shared" si="10"/>
        <v>46297.6222230787</v>
      </c>
      <c r="B40" s="311" t="str">
        <f t="shared" si="11"/>
        <v>생활비</v>
      </c>
      <c r="C40" s="340" t="str">
        <f t="shared" si="12"/>
        <v>두끼떡볶이</v>
      </c>
      <c r="D40" s="341"/>
      <c r="E40" s="342"/>
      <c r="F40" s="312">
        <f t="shared" si="13"/>
        <v>-11900</v>
      </c>
      <c r="G40" s="310">
        <f t="shared" si="14"/>
        <v>46308.851395949074</v>
      </c>
      <c r="H40" s="311" t="str">
        <f t="shared" si="15"/>
        <v>신한은행V2</v>
      </c>
      <c r="I40" s="311" t="str">
        <f t="shared" si="16"/>
        <v>미래에셋 WRAP</v>
      </c>
      <c r="J40" s="313">
        <f t="shared" si="17"/>
        <v>22210</v>
      </c>
      <c r="K40" s="340" t="str">
        <f t="shared" si="18"/>
        <v>신한은행V2 → 미래에셋 WRAP</v>
      </c>
      <c r="L40" s="342"/>
      <c r="M40" s="80">
        <f>IFERROR(MATCH(TEXT($V$35,"yyyymm")&amp;"_내역_"&amp;(40-37+($E$35-1)*22),$R$64:$R$500,0),0)</f>
        <v>179</v>
      </c>
      <c r="N40" s="80">
        <f>IFERROR(MATCH(TEXT($V$35,"yyyymm")&amp;"_이체_"&amp;(40-37+($H$35-1)*22),$R$64:$R$500,0),0)</f>
        <v>168</v>
      </c>
    </row>
    <row r="41" spans="1:22" ht="24" customHeight="1">
      <c r="A41" s="310">
        <f t="shared" si="10"/>
      </c>
      <c r="B41" s="311">
        <f t="shared" si="11"/>
      </c>
      <c r="C41" s="340">
        <f t="shared" si="12"/>
      </c>
      <c r="D41" s="341"/>
      <c r="E41" s="342"/>
      <c r="F41" s="312">
        <f t="shared" si="13"/>
      </c>
      <c r="G41" s="310">
        <f t="shared" si="14"/>
        <v>46308.850696064816</v>
      </c>
      <c r="H41" s="311" t="str">
        <f t="shared" si="15"/>
        <v>미래에셋 WRAP</v>
      </c>
      <c r="I41" s="311" t="str">
        <f t="shared" si="16"/>
        <v>토스뱅크</v>
      </c>
      <c r="J41" s="313">
        <f t="shared" si="17"/>
        <v>236270</v>
      </c>
      <c r="K41" s="340" t="str">
        <f t="shared" si="18"/>
        <v>미래에셋 WRAP → 토스뱅크</v>
      </c>
      <c r="L41" s="342"/>
      <c r="M41" s="80">
        <f>IFERROR(MATCH(TEXT($V$35,"yyyymm")&amp;"_내역_"&amp;(41-37+($E$35-1)*22),$R$64:$R$500,0),0)</f>
        <v>0</v>
      </c>
      <c r="N41" s="80">
        <f>IFERROR(MATCH(TEXT($V$35,"yyyymm")&amp;"_이체_"&amp;(41-37+($H$35-1)*22),$R$64:$R$500,0),0)</f>
        <v>169</v>
      </c>
    </row>
    <row r="42" spans="1:22" ht="24" customHeight="1">
      <c r="A42" s="310">
        <f t="shared" si="10"/>
      </c>
      <c r="B42" s="311">
        <f t="shared" si="11"/>
      </c>
      <c r="C42" s="340">
        <f t="shared" si="12"/>
      </c>
      <c r="D42" s="341"/>
      <c r="E42" s="342"/>
      <c r="F42" s="312">
        <f t="shared" si="13"/>
      </c>
      <c r="G42" s="310">
        <f t="shared" si="14"/>
        <v>46308.85000755787</v>
      </c>
      <c r="H42" s="311" t="str">
        <f t="shared" si="15"/>
        <v>미래에셋 WRAP</v>
      </c>
      <c r="I42" s="311" t="str">
        <f t="shared" si="16"/>
        <v>우리은행</v>
      </c>
      <c r="J42" s="313">
        <f t="shared" si="17"/>
        <v>246568</v>
      </c>
      <c r="K42" s="340" t="str">
        <f t="shared" si="18"/>
        <v>미래에셋 WRAP → 우리은행</v>
      </c>
      <c r="L42" s="342"/>
      <c r="M42" s="80">
        <f>IFERROR(MATCH(TEXT($V$35,"yyyymm")&amp;"_내역_"&amp;(42-37+($E$35-1)*22),$R$64:$R$500,0),0)</f>
        <v>0</v>
      </c>
      <c r="N42" s="80">
        <f>IFERROR(MATCH(TEXT($V$35,"yyyymm")&amp;"_이체_"&amp;(42-37+($H$35-1)*22),$R$64:$R$500,0),0)</f>
        <v>170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46308.848613587965</v>
      </c>
      <c r="H43" s="311" t="str">
        <f t="shared" si="15"/>
        <v>미래에셋 WRAP</v>
      </c>
      <c r="I43" s="311" t="str">
        <f t="shared" si="16"/>
        <v>국민은행</v>
      </c>
      <c r="J43" s="313">
        <f t="shared" si="17"/>
        <v>360550</v>
      </c>
      <c r="K43" s="340" t="str">
        <f t="shared" si="18"/>
        <v>미래에셋 WRAP → 국민은행</v>
      </c>
      <c r="L43" s="342"/>
      <c r="M43" s="80">
        <f>IFERROR(MATCH(TEXT($V$35,"yyyymm")&amp;"_내역_"&amp;(43-37+($E$35-1)*22),$R$64:$R$500,0),0)</f>
        <v>0</v>
      </c>
      <c r="N43" s="80">
        <f>IFERROR(MATCH(TEXT($V$35,"yyyymm")&amp;"_이체_"&amp;(43-37+($H$35-1)*22),$R$64:$R$500,0),0)</f>
        <v>171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46308.84792493055</v>
      </c>
      <c r="H44" s="311" t="str">
        <f t="shared" si="15"/>
        <v>미래에셋 WRAP</v>
      </c>
      <c r="I44" s="311" t="str">
        <f t="shared" si="16"/>
        <v>토스뱅크</v>
      </c>
      <c r="J44" s="313">
        <f t="shared" si="17"/>
        <v>798746</v>
      </c>
      <c r="K44" s="340" t="str">
        <f t="shared" si="18"/>
        <v>미래에셋 WRAP → 토스뱅크</v>
      </c>
      <c r="L44" s="342"/>
      <c r="M44" s="80">
        <f>IFERROR(MATCH(TEXT($V$35,"yyyymm")&amp;"_내역_"&amp;(44-37+($E$35-1)*22),$R$64:$R$500,0),0)</f>
        <v>0</v>
      </c>
      <c r="N44" s="80">
        <f>IFERROR(MATCH(TEXT($V$35,"yyyymm")&amp;"_이체_"&amp;(44-37+($H$35-1)*22),$R$64:$R$500,0),0)</f>
        <v>172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46308.84583777778</v>
      </c>
      <c r="H45" s="311" t="str">
        <f t="shared" si="15"/>
        <v>토스뱅크</v>
      </c>
      <c r="I45" s="311" t="str">
        <f t="shared" si="16"/>
        <v>미래에셋 WRAP</v>
      </c>
      <c r="J45" s="313">
        <f t="shared" si="17"/>
        <v>604300</v>
      </c>
      <c r="K45" s="340" t="str">
        <f t="shared" si="18"/>
        <v>토스뱅크 → 미래에셋 WRAP</v>
      </c>
      <c r="L45" s="342"/>
      <c r="M45" s="80">
        <f>IFERROR(MATCH(TEXT($V$35,"yyyymm")&amp;"_내역_"&amp;(45-37+($E$35-1)*22),$R$64:$R$500,0),0)</f>
        <v>0</v>
      </c>
      <c r="N45" s="80">
        <f>IFERROR(MATCH(TEXT($V$35,"yyyymm")&amp;"_이체_"&amp;(45-37+($H$35-1)*22),$R$64:$R$500,0),0)</f>
        <v>173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46308.74901017361</v>
      </c>
      <c r="H46" s="311" t="str">
        <f t="shared" si="15"/>
        <v>미래에셋 WRAP</v>
      </c>
      <c r="I46" s="311" t="str">
        <f t="shared" si="16"/>
        <v>새마을금고</v>
      </c>
      <c r="J46" s="313">
        <f t="shared" si="17"/>
        <v>753905</v>
      </c>
      <c r="K46" s="340" t="str">
        <f t="shared" si="18"/>
        <v>미래에셋 WRAP → 새마을금고</v>
      </c>
      <c r="L46" s="342"/>
      <c r="M46" s="80">
        <f>IFERROR(MATCH(TEXT($V$35,"yyyymm")&amp;"_내역_"&amp;(46-37+($E$35-1)*22),$R$64:$R$500,0),0)</f>
        <v>0</v>
      </c>
      <c r="N46" s="80">
        <f>IFERROR(MATCH(TEXT($V$35,"yyyymm")&amp;"_이체_"&amp;(46-37+($H$35-1)*22),$R$64:$R$500,0),0)</f>
        <v>174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46307.82500104167</v>
      </c>
      <c r="H47" s="311" t="str">
        <f t="shared" si="15"/>
        <v>미래에셋 WRAP</v>
      </c>
      <c r="I47" s="311" t="str">
        <f t="shared" si="16"/>
        <v>카카오뱅크</v>
      </c>
      <c r="J47" s="313">
        <f t="shared" si="17"/>
        <v>1390</v>
      </c>
      <c r="K47" s="340" t="str">
        <f t="shared" si="18"/>
        <v>미래에셋 WRAP → 카카오뱅크</v>
      </c>
      <c r="L47" s="342"/>
      <c r="M47" s="80">
        <f>IFERROR(MATCH(TEXT($V$35,"yyyymm")&amp;"_내역_"&amp;(47-37+($E$35-1)*22),$R$64:$R$500,0),0)</f>
        <v>0</v>
      </c>
      <c r="N47" s="80">
        <f>IFERROR(MATCH(TEXT($V$35,"yyyymm")&amp;"_이체_"&amp;(47-37+($H$35-1)*22),$R$64:$R$500,0),0)</f>
        <v>176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  <v>46307.82431055555</v>
      </c>
      <c r="H48" s="311" t="str">
        <f t="shared" si="15"/>
        <v>미래에셋 WRAP</v>
      </c>
      <c r="I48" s="311" t="str">
        <f t="shared" si="16"/>
        <v>신한은행</v>
      </c>
      <c r="J48" s="313">
        <f t="shared" si="17"/>
        <v>90410</v>
      </c>
      <c r="K48" s="340" t="str">
        <f t="shared" si="18"/>
        <v>미래에셋 WRAP → 신한은행</v>
      </c>
      <c r="L48" s="342"/>
      <c r="M48" s="80">
        <f>IFERROR(MATCH(TEXT($V$35,"yyyymm")&amp;"_내역_"&amp;(48-37+($E$35-1)*22),$R$64:$R$500,0),0)</f>
        <v>0</v>
      </c>
      <c r="N48" s="80">
        <f>IFERROR(MATCH(TEXT($V$35,"yyyymm")&amp;"_이체_"&amp;(48-37+($H$35-1)*22),$R$64:$R$500,0),0)</f>
        <v>177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  <v>46299.620147118054</v>
      </c>
      <c r="H49" s="311" t="str">
        <f t="shared" si="15"/>
        <v>미래에셋 WRAP</v>
      </c>
      <c r="I49" s="311" t="str">
        <f t="shared" si="16"/>
        <v>모임통장</v>
      </c>
      <c r="J49" s="313">
        <f t="shared" si="17"/>
        <v>50000</v>
      </c>
      <c r="K49" s="340" t="str">
        <f t="shared" si="18"/>
        <v>미래에셋 WRAP → 모임통장</v>
      </c>
      <c r="L49" s="342"/>
      <c r="M49" s="80">
        <f>IFERROR(MATCH(TEXT($V$35,"yyyymm")&amp;"_내역_"&amp;(49-37+($E$35-1)*22),$R$64:$R$500,0),0)</f>
        <v>0</v>
      </c>
      <c r="N49" s="80">
        <f>IFERROR(MATCH(TEXT($V$35,"yyyymm")&amp;"_이체_"&amp;(49-37+($H$35-1)*22),$R$64:$R$500,0),0)</f>
        <v>178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</c>
      <c r="H50" s="311">
        <f t="shared" si="15"/>
      </c>
      <c r="I50" s="311">
        <f t="shared" si="16"/>
      </c>
      <c r="J50" s="313">
        <f t="shared" si="17"/>
      </c>
      <c r="K50" s="340">
        <f t="shared" si="18"/>
      </c>
      <c r="L50" s="342"/>
      <c r="M50" s="80">
        <f>IFERROR(MATCH(TEXT($V$35,"yyyymm")&amp;"_내역_"&amp;(50-37+($E$35-1)*22),$R$64:$R$500,0),0)</f>
        <v>0</v>
      </c>
      <c r="N50" s="80">
        <f>IFERROR(MATCH(TEXT($V$35,"yyyymm")&amp;"_이체_"&amp;(50-37+($H$35-1)*22),$R$64:$R$500,0),0)</f>
        <v>0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IFERROR(MATCH(TEXT($V$35,"yyyymm")&amp;"_내역_"&amp;(51-37+($E$35-1)*22),$R$64:$R$500,0),0)</f>
        <v>0</v>
      </c>
      <c r="N51" s="80">
        <f>IFERROR(MATCH(TEXT($V$35,"yyyymm")&amp;"_이체_"&amp;(51-37+($H$35-1)*22),$R$64:$R$500,0),0)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IFERROR(MATCH(TEXT($V$35,"yyyymm")&amp;"_내역_"&amp;(52-37+($E$35-1)*22),$R$64:$R$500,0),0)</f>
        <v>0</v>
      </c>
      <c r="N52" s="80">
        <f>IFERROR(MATCH(TEXT($V$35,"yyyymm")&amp;"_이체_"&amp;(52-37+($H$35-1)*22),$R$64:$R$500,0),0)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IFERROR(MATCH(TEXT($V$35,"yyyymm")&amp;"_내역_"&amp;(53-37+($E$35-1)*22),$R$64:$R$500,0),0)</f>
        <v>0</v>
      </c>
      <c r="N53" s="80">
        <f>IFERROR(MATCH(TEXT($V$35,"yyyymm")&amp;"_이체_"&amp;(53-37+($H$35-1)*22),$R$64:$R$500,0),0)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IFERROR(MATCH(TEXT($V$35,"yyyymm")&amp;"_내역_"&amp;(54-37+($E$35-1)*22),$R$64:$R$500,0),0)</f>
        <v>0</v>
      </c>
      <c r="N54" s="80">
        <f>IFERROR(MATCH(TEXT($V$35,"yyyymm")&amp;"_이체_"&amp;(54-37+($H$35-1)*22),$R$64:$R$500,0),0)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IFERROR(MATCH(TEXT($V$35,"yyyymm")&amp;"_내역_"&amp;(55-37+($E$35-1)*22),$R$64:$R$500,0),0)</f>
        <v>0</v>
      </c>
      <c r="N55" s="80">
        <f>IFERROR(MATCH(TEXT($V$35,"yyyymm")&amp;"_이체_"&amp;(55-37+($H$35-1)*22),$R$64:$R$500,0),0)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IFERROR(MATCH(TEXT($V$35,"yyyymm")&amp;"_내역_"&amp;(56-37+($E$35-1)*22),$R$64:$R$500,0),0)</f>
        <v>0</v>
      </c>
      <c r="N56" s="80">
        <f>IFERROR(MATCH(TEXT($V$35,"yyyymm")&amp;"_이체_"&amp;(56-37+($H$35-1)*22),$R$64:$R$500,0),0)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IFERROR(MATCH(TEXT($V$35,"yyyymm")&amp;"_내역_"&amp;(57-37+($E$35-1)*22),$R$64:$R$500,0),0)</f>
        <v>0</v>
      </c>
      <c r="N57" s="80">
        <f>IFERROR(MATCH(TEXT($V$35,"yyyymm")&amp;"_이체_"&amp;(57-37+($H$35-1)*22),$R$64:$R$500,0),0)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IFERROR(MATCH(TEXT($V$35,"yyyymm")&amp;"_내역_"&amp;(58-37+($E$35-1)*22),$R$64:$R$500,0),0)</f>
        <v>0</v>
      </c>
      <c r="N58" s="80">
        <f>IFERROR(MATCH(TEXT($V$35,"yyyymm")&amp;"_이체_"&amp;(58-37+($H$35-1)*22),$R$64:$R$500,0),0)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IFERROR(MATCH(TEXT($V$35,"yyyymm")&amp;"_내역_"&amp;(59-37+($E$35-1)*22),$R$64:$R$500,0),0)</f>
        <v>0</v>
      </c>
      <c r="N59" s="80">
        <f>IFERROR(MATCH(TEXT($V$35,"yyyymm")&amp;"_이체_"&amp;(59-37+($H$35-1)*22),$R$64:$R$500,0),0)</f>
        <v>0</v>
      </c>
    </row>
    <row r="60" spans="1:25" ht="40" customHeight="1">
      <c r="A60" s="349" t="s">
        <v>41</v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s">
        <v>42</v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</row>
    <row r="65" spans="1:25" ht="40" customHeight="1" outlineLevel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</row>
    <row r="66" spans="1:25" ht="40" customHeight="1" outlineLevel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</row>
    <row r="67" spans="1:25" ht="40" customHeight="1" outlineLevel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</row>
    <row r="68" spans="1:25" ht="40" customHeight="1" outlineLevel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</row>
    <row r="69" spans="1:25" ht="40" customHeight="1" outlineLevel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</row>
    <row r="70" spans="1:25" ht="40" customHeight="1" outlineLevel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</row>
    <row r="71" spans="1:25" ht="40" customHeight="1" outlineLevel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</row>
    <row r="72" spans="1:25" ht="40" customHeight="1" outlineLevel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</row>
    <row r="73" spans="1:25" ht="40" customHeight="1" outlineLevel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</row>
    <row r="74" spans="1:25" ht="40" customHeight="1" outlineLevel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</row>
    <row r="75" spans="1:25" ht="40" customHeight="1" outlineLevel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</row>
    <row r="76" spans="1:25" ht="40" customHeight="1" outlineLevel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</row>
    <row r="77" spans="1:25" ht="40" customHeight="1" outlineLevel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</row>
    <row r="78" spans="1:25" ht="40" customHeight="1" outlineLevel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</row>
    <row r="79" spans="1:25" ht="40" customHeight="1" outlineLevel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</row>
    <row r="80" spans="1:25" ht="40" customHeight="1" outlineLevel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</row>
    <row r="81" spans="1:25" ht="40" customHeight="1" outlineLevel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</row>
    <row r="82" spans="1:25" ht="40" customHeight="1" outlineLevel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</row>
    <row r="83" spans="1:25" ht="40" customHeight="1" outlineLevel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</row>
    <row r="84" spans="1:25" ht="40" customHeight="1" outlineLevel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</row>
    <row r="85" spans="1:25" ht="40" customHeight="1" outlineLevel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</row>
    <row r="86" spans="1:25" ht="40" customHeight="1" outlineLevel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</row>
    <row r="87" spans="1:25" ht="40" customHeight="1" outlineLevel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</row>
    <row r="88" spans="1:25" ht="40" customHeight="1" outlineLevel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</row>
    <row r="89" spans="1:25" ht="40" customHeight="1" outlineLevel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</row>
    <row r="90" spans="1:25" ht="40" customHeight="1" outlineLevel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</row>
    <row r="91" spans="1:25" ht="40" customHeight="1" outlineLevel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</row>
    <row r="92" spans="1:25" ht="40" customHeight="1" outlineLevel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</row>
    <row r="93" spans="1:25" ht="40" customHeight="1" outlineLevel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</row>
    <row r="94" spans="1:25" ht="40" customHeight="1" outlineLevel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</row>
    <row r="95" spans="1:25" ht="40" customHeight="1" outlineLevel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</row>
    <row r="96" spans="1:25" ht="40" customHeight="1" outlineLevel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</row>
    <row r="97" spans="1:25" ht="40" customHeight="1" outlineLevel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</row>
    <row r="98" spans="1:25" ht="40" customHeight="1" outlineLevel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</row>
    <row r="99" spans="1:25" ht="40" customHeight="1" outlineLevel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</row>
    <row r="100" spans="1:25" ht="40" customHeight="1" outlineLevel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</row>
    <row r="101" spans="1:25" ht="40" customHeight="1" outlineLevel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</row>
    <row r="102" spans="1:25" ht="40" customHeight="1" outlineLevel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</row>
    <row r="103" spans="1:25" ht="40" customHeight="1" outlineLevel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</row>
    <row r="104" spans="1:25" ht="40" customHeight="1" outlineLevel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</row>
    <row r="105" spans="1:25" ht="40" customHeight="1" outlineLevel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</row>
    <row r="106" spans="1:25" ht="40" customHeight="1" outlineLevel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</row>
    <row r="107" spans="1:25" ht="40" customHeight="1" outlineLevel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</row>
    <row r="108" spans="1:25" ht="40" customHeight="1" outlineLevel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</row>
    <row r="109" spans="1:25" ht="40" customHeight="1" outlineLevel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</row>
    <row r="110" spans="1:25" ht="40" customHeight="1" outlineLevel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</row>
    <row r="111" spans="1:25" ht="40" customHeight="1" outlineLevel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</row>
    <row r="112" spans="1:25" ht="40" customHeight="1" outlineLevel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</row>
    <row r="113" spans="1:25" ht="40" customHeight="1" outlineLevel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</row>
    <row r="114" spans="1:25" ht="40" customHeight="1" outlineLevel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</row>
    <row r="115" spans="1:25" ht="40" customHeight="1" outlineLevel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</row>
    <row r="116" spans="1:25" ht="40" customHeight="1" outlineLevel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</row>
    <row r="117" spans="1:25" ht="40" customHeight="1" outlineLevel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</row>
    <row r="118" spans="1:25" ht="40" customHeight="1" outlineLevel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</row>
    <row r="119" spans="1:25" ht="40" customHeight="1" outlineLevel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</row>
    <row r="120" spans="1:25" ht="40" customHeight="1" outlineLevel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</row>
    <row r="121" spans="1:25" ht="40" customHeight="1" outlineLevel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</row>
    <row r="122" spans="1:25" ht="40" customHeight="1" outlineLevel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</row>
    <row r="123" spans="1:25" ht="40" customHeight="1" outlineLevel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</row>
    <row r="124" spans="1:25" ht="40" customHeight="1" outlineLevel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</row>
    <row r="125" spans="1:25" ht="40" customHeight="1" outlineLevel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</row>
    <row r="126" spans="1:25" ht="40" customHeight="1" outlineLevel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</row>
    <row r="127" spans="1:25" ht="40" customHeight="1" outlineLevel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</row>
    <row r="128" spans="1:25" ht="40" customHeight="1" outlineLevel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</row>
    <row r="129" spans="1:25" ht="40" customHeight="1" outlineLevel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</row>
    <row r="130" spans="1:25" ht="40" customHeight="1" outlineLevel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</row>
    <row r="131" spans="1:25" ht="40" customHeight="1" outlineLevel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</row>
    <row r="132" spans="1:25" ht="40" customHeight="1" outlineLevel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</row>
    <row r="133" spans="1:25" ht="40" customHeight="1" outlineLevel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</row>
    <row r="134" spans="1:25" ht="40" customHeight="1" outlineLevel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</row>
    <row r="135" spans="1:25" ht="40" customHeight="1" outlineLevel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</row>
    <row r="136" spans="1:25" ht="40" customHeight="1" outlineLevel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</row>
    <row r="137" spans="1:25" ht="40" customHeight="1" outlineLevel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</row>
    <row r="138" spans="1:25" ht="40" customHeight="1" outlineLevel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</row>
    <row r="139" spans="1:25" ht="40" customHeight="1" outlineLevel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</row>
    <row r="140" spans="1:25" ht="40" customHeight="1" outlineLevel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</row>
    <row r="141" spans="1:25" ht="40" customHeight="1" outlineLevel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</row>
    <row r="142" spans="1:25" ht="40" customHeight="1" outlineLevel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</row>
    <row r="143" spans="1:25" ht="40" customHeight="1" outlineLevel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</row>
    <row r="144" spans="1:25" ht="40" customHeight="1" outlineLevel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</row>
    <row r="145" spans="1:25" ht="40" customHeight="1" outlineLevel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</row>
    <row r="146" spans="1:25" ht="40" customHeight="1" outlineLevel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</row>
    <row r="147" spans="1:25" ht="40" customHeight="1" outlineLevel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</row>
    <row r="148" spans="1:25" ht="40" customHeight="1" outlineLevel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</row>
    <row r="149" spans="1:25" ht="40" customHeight="1" outlineLevel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</row>
    <row r="150" spans="1:25" ht="40" customHeight="1" outlineLevel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</row>
    <row r="151" spans="1:25" ht="40" customHeight="1" outlineLevel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</row>
    <row r="152" spans="1:25" ht="40" customHeight="1" outlineLevel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</row>
    <row r="153" spans="1:25" ht="40" customHeight="1" outlineLevel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</row>
    <row r="154" spans="1:25" ht="40" customHeight="1" outlineLevel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</row>
    <row r="155" spans="1:25" ht="40" customHeight="1" outlineLevel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</row>
    <row r="156" spans="1:25" ht="40" customHeight="1" outlineLevel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</row>
    <row r="157" spans="1:25" ht="40" customHeight="1" outlineLevel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</row>
    <row r="158" spans="1:25" ht="40" customHeight="1" outlineLevel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</row>
    <row r="159" spans="1:25" ht="40" customHeight="1" outlineLevel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</row>
    <row r="160" spans="1:25" ht="40" customHeight="1" outlineLevel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</row>
    <row r="161" spans="1:25" ht="40" customHeight="1" outlineLevel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</row>
    <row r="162" spans="1:25" ht="40" customHeight="1" outlineLevel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</row>
    <row r="163" spans="1:25" ht="40" customHeight="1" outlineLevel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</row>
    <row r="164" spans="1:25" ht="40" customHeight="1" outlineLevel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</row>
    <row r="165" spans="1:25" ht="40" customHeight="1" outlineLevel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</row>
    <row r="166" spans="1:25" ht="40" customHeight="1" outlineLevel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</row>
    <row r="167" spans="1:25" ht="40" customHeight="1" outlineLevel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</row>
    <row r="168" spans="1:25" ht="40" customHeight="1" outlineLevel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</row>
    <row r="169" spans="1:25" ht="40" customHeight="1" outlineLevel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</row>
    <row r="170" spans="1:25" ht="40" customHeight="1" outlineLevel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</row>
    <row r="171" spans="1:25" ht="40" customHeight="1" outlineLevel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</row>
    <row r="172" spans="1:25" ht="40" customHeight="1" outlineLevel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</row>
    <row r="173" spans="1:25" ht="40" customHeight="1" outlineLevel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</row>
    <row r="174" spans="1:25" ht="40" customHeight="1" outlineLevel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</row>
    <row r="175" spans="1:25" ht="40" customHeight="1" outlineLevel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</row>
    <row r="176" spans="1:25" ht="40" customHeight="1" outlineLevel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</row>
    <row r="177" spans="1:25" ht="40" customHeight="1" outlineLevel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</row>
    <row r="178" spans="1:25" ht="40" customHeight="1" outlineLevel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</row>
    <row r="179" spans="1:25" ht="40" customHeight="1" outlineLevel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</row>
    <row r="180" spans="1:25" ht="40" customHeight="1" outlineLevel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</row>
    <row r="181" spans="1:25" ht="40" customHeight="1" outlineLevel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</row>
    <row r="182" spans="1:25" ht="40" customHeight="1" outlineLevel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</row>
    <row r="183" spans="1:25" ht="40" customHeight="1" outlineLevel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</row>
    <row r="184" spans="1:25" ht="40" customHeight="1" outlineLevel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</row>
    <row r="185" spans="1:25" ht="40" customHeight="1" outlineLevel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</row>
    <row r="186" spans="1:25" ht="40" customHeight="1" outlineLevel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</row>
    <row r="187" spans="1:25" ht="40" customHeight="1" outlineLevel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</row>
    <row r="188" spans="1:25" ht="40" customHeight="1" outlineLevel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</row>
    <row r="189" spans="1:25" ht="40" customHeight="1" outlineLevel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</row>
    <row r="190" spans="1:25" ht="40" customHeight="1" outlineLevel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</row>
    <row r="191" spans="1:25" ht="40" customHeight="1" outlineLevel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</row>
    <row r="192" spans="1:25" ht="40" customHeight="1" outlineLevel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</row>
    <row r="193" spans="1:25" ht="40" customHeight="1" outlineLevel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</row>
    <row r="194" spans="1:25" ht="40" customHeight="1" outlineLevel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</row>
    <row r="195" spans="1:25" ht="40" customHeight="1" outlineLevel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</row>
    <row r="196" spans="1:25" ht="40" customHeight="1" outlineLevel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</row>
    <row r="197" spans="1:25" ht="40" customHeight="1" outlineLevel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</row>
    <row r="198" spans="1:25" ht="40" customHeight="1" outlineLevel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</row>
    <row r="199" spans="1:25" ht="40" customHeight="1" outlineLevel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</row>
    <row r="200" spans="1:25" ht="40" customHeight="1" outlineLevel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</row>
    <row r="201" spans="1:25" ht="40" customHeight="1" outlineLevel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</row>
    <row r="202" spans="1:25" ht="40" customHeight="1" outlineLevel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</row>
    <row r="203" spans="1:25" ht="40" customHeight="1" outlineLevel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</row>
    <row r="204" spans="1:25" ht="40" customHeight="1" outlineLevel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</row>
    <row r="205" spans="1:25" ht="40" customHeight="1" outlineLevel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</row>
    <row r="206" spans="1:25" ht="40" customHeight="1" outlineLevel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</row>
    <row r="207" spans="1:25" ht="40" customHeight="1" outlineLevel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</row>
    <row r="208" spans="1:25" ht="40" customHeight="1" outlineLevel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inlineStr">
        <is>
          <t xml:space="preserve">원본 8월 임시보관의 가족통장 납입 100,000원. 10월 생신 사용 39,000원에 배분하고 잔금 61,000원은 원장 246행에서 회수. 날짜 미기록: 월 기준일.</t>
        </is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</row>
    <row r="209" spans="1:25" ht="40" customHeight="1" outlineLevel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</row>
    <row r="210" spans="1:25" ht="40" customHeight="1" outlineLevel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</row>
    <row r="211" spans="1:25" ht="40" customHeight="1" outlineLevel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</row>
    <row r="212" spans="1:25" ht="40" customHeight="1" outlineLevel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</row>
    <row r="213" spans="1:25" ht="40" customHeight="1" outlineLevel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</row>
    <row r="214" spans="1:25" ht="40" customHeight="1" outlineLevel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</row>
    <row r="215" spans="1:25" ht="40" customHeight="1" outlineLevel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</row>
    <row r="216" spans="1:25" ht="40" customHeight="1" outlineLevel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</row>
    <row r="217" spans="1:25" ht="40" customHeight="1" outlineLevel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</row>
    <row r="218" spans="1:25" ht="40" customHeight="1" outlineLevel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</row>
    <row r="219" spans="1:25" ht="40" customHeight="1" outlineLevel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</row>
    <row r="220" spans="1:25" ht="40" customHeight="1" outlineLevel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</row>
    <row r="221" spans="1:25" ht="40" customHeight="1" outlineLevel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</row>
    <row r="222" spans="1:25" ht="40" customHeight="1" outlineLevel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</row>
    <row r="223" spans="1:25" ht="40" customHeight="1" outlineLevel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</row>
    <row r="224" spans="1:25" ht="40" customHeight="1" outlineLevel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</row>
    <row r="225" spans="1:25" ht="40" customHeight="1" outlineLevel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</row>
    <row r="226" spans="1:25" ht="40" customHeight="1" outlineLevel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</row>
    <row r="227" spans="1:25" ht="40" customHeight="1" outlineLevel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</row>
    <row r="228" spans="1:25" ht="40" customHeight="1" outlineLevel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</row>
    <row r="229" spans="1:25" ht="40" customHeight="1" outlineLevel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</row>
    <row r="230" spans="1:25" ht="40" customHeight="1" outlineLevel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202610_이체_3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202610_이체_4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202610_이체_5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202610_이체_6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202610_이체_7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202610_이체_8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202610_이체_9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202610_내역_2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202610_이체_10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202610_이체_11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202610_이체_12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202610_내역_3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202610_내역_1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</row>
    <row r="246" spans="1:25" ht="80" hidden="1" customHeight="1" outlineLevel="1">
      <c r="A246" s="314">
        <v>46310.93959303241</v>
      </c>
      <c r="B246" s="318" t="inlineStr">
        <is>
          <t xml:space="preserve">이체</t>
        </is>
      </c>
      <c r="C246" s="318" t="inlineStr">
        <is>
          <t xml:space="preserve">외부</t>
        </is>
      </c>
      <c r="D246" s="318" t="inlineStr">
        <is>
          <t xml:space="preserve">임시보관</t>
        </is>
      </c>
      <c r="E246" s="316">
        <v>61000</v>
      </c>
      <c r="F246" s="318" t="inlineStr">
        <is>
          <t xml:space="preserve">부모 생신 미사용 원금 회수</t>
        </is>
      </c>
      <c r="G246" s="318" t="inlineStr">
        <is>
          <t xml:space="preserve">RAW 2466행. 8월 가족통장 납입 100,000 중 행사 39,000 사용, 원금 61,000 회수. 신규 수입·예비비 적립 아님. 회수 후 원장 247행에서 임시보관 → 생활비로 분류 이동.</t>
        </is>
      </c>
      <c r="H246" s="317">
        <f t="shared" si="35"/>
        <v>46296.0</v>
      </c>
      <c r="I246" s="318" t="str">
        <f t="shared" si="36"/>
        <v>OK</v>
      </c>
      <c r="J246" s="318" t="inlineStr">
        <is>
          <t xml:space="preserve">가족통장</t>
        </is>
      </c>
      <c r="K246" s="318" t="inlineStr">
        <is>
          <t xml:space="preserve">미래에셋_WRAP형CMA</t>
        </is>
      </c>
      <c r="L246" s="320" t="inlineStr">
        <is>
          <t xml:space="preserve">WRAP계좌이체</t>
        </is>
      </c>
      <c r="P246" t="str">
        <f t="shared" si="37"/>
        <v>이체</v>
      </c>
      <c r="Q246" t="str">
        <f t="shared" si="38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202610_이체_2</v>
      </c>
      <c r="S246" t="str">
        <f t="shared" si="39"/>
        <v>임시보관</v>
      </c>
      <c r="T246">
        <f t="shared" si="40"/>
        <v>61000</v>
      </c>
      <c r="U246">
        <f t="shared" si="41"/>
        <v>46310.93959303241</v>
      </c>
      <c r="W246">
        <v>2466</v>
      </c>
      <c r="Y246">
        <f t="shared" si="42"/>
        <v>61000</v>
      </c>
    </row>
    <row r="247" spans="1:25" ht="68" hidden="1" customHeight="1" outlineLevel="1">
      <c r="A247" s="314">
        <v>46310.9587962963</v>
      </c>
      <c r="B247" s="318" t="inlineStr">
        <is>
          <t xml:space="preserve">이체</t>
        </is>
      </c>
      <c r="C247" s="318" t="inlineStr">
        <is>
          <t xml:space="preserve">임시보관</t>
        </is>
      </c>
      <c r="D247" s="318" t="inlineStr">
        <is>
          <t xml:space="preserve">생활비</t>
        </is>
      </c>
      <c r="E247" s="316">
        <v>61000</v>
      </c>
      <c r="F247" s="318" t="inlineStr">
        <is>
          <t xml:space="preserve">생신 잔금 임시보관 → 생활비</t>
        </is>
      </c>
      <c r="G247" s="318" t="inlineStr">
        <is>
          <t xml:space="preserve">사용자 요청으로 회수 원금 61,000원을 생활비로 분류 이동. 날짜는 분류 기록 시각이며 실제 은행 송금 아님. 원금 회수는 원장 246행에 별도 보존. 신규 수입·지출·적립 아님.</t>
        </is>
      </c>
      <c r="H247" s="317">
        <f t="shared" si="35"/>
        <v>46296.0</v>
      </c>
      <c r="I247" s="318" t="str">
        <f t="shared" si="36"/>
        <v>OK</v>
      </c>
      <c r="J247" s="318" t="inlineStr">
        <is>
          <t xml:space="preserve">미래에셋_WRAP형CMA</t>
        </is>
      </c>
      <c r="K247" s="318" t="inlineStr">
        <is>
          <t xml:space="preserve">미래에셋_WRAP형CMA</t>
        </is>
      </c>
      <c r="L247" s="320" t="inlineStr">
        <is>
          <t xml:space="preserve">WRAP내계정이동</t>
        </is>
      </c>
      <c r="P247" t="str">
        <f t="shared" si="37"/>
        <v>이체</v>
      </c>
      <c r="Q247" t="str">
        <f t="shared" si="38"/>
        <v>이체</v>
      </c>
      <c r="R247" t="str">
        <f>IF(P247="","",TEXT(H247,"yyyymm")&amp;"_"&amp;P247&amp;"_"&amp;(COUNTIFS($H$64:$H$500,H247,$P$64:$P$500,P247,$A$64:$A$500,"&gt;"&amp;A247)+COUNTIFS($H$64:H247,H247,$P$64:P247,P247,$A$64:A247,A247)))</f>
        <v>202610_이체_1</v>
      </c>
      <c r="S247" t="str">
        <f t="shared" si="39"/>
        <v>생활비</v>
      </c>
      <c r="T247">
        <f t="shared" si="40"/>
        <v>61000</v>
      </c>
      <c r="U247">
        <f t="shared" si="41"/>
        <v>46310.9587962963</v>
      </c>
      <c r="Y247">
        <f t="shared" si="42"/>
        <v>61000</v>
      </c>
    </row>
    <row r="248" spans="1:25" ht="68" hidden="1" customHeight="1" outlineLevel="1">
      <c r="A248" s="314"/>
      <c r="B248" s="315"/>
      <c r="C248" s="315"/>
      <c r="D248" s="315"/>
      <c r="E248" s="316"/>
      <c r="F248" s="315"/>
      <c r="G248" s="315"/>
      <c r="H248" s="317">
        <f t="shared" si="35"/>
      </c>
      <c r="I248" s="318">
        <f t="shared" si="36"/>
      </c>
      <c r="J248" s="315"/>
      <c r="K248" s="315"/>
      <c r="L248" s="319"/>
      <c r="P248">
        <f t="shared" si="37"/>
      </c>
      <c r="Q248">
        <f t="shared" si="38"/>
      </c>
      <c r="R248">
        <f>IF(P248="","",TEXT(H248,"yyyymm")&amp;"_"&amp;P248&amp;"_"&amp;(COUNTIFS($H$64:$H$500,H248,$P$64:$P$500,P248,$A$64:$A$500,"&gt;"&amp;A248)+COUNTIFS($H$64:H248,H248,$P$64:P248,P248,$A$64:A248,A248)))</f>
      </c>
      <c r="S248">
        <f t="shared" si="39"/>
      </c>
      <c r="T248">
        <f t="shared" si="40"/>
      </c>
      <c r="U248">
        <f t="shared" si="41"/>
      </c>
      <c r="Y248">
        <f t="shared" si="42"/>
      </c>
    </row>
    <row r="249" spans="1:25" ht="32" hidden="1" customHeight="1" outlineLevel="1">
      <c r="A249" s="314"/>
      <c r="B249" s="318"/>
      <c r="C249" s="318"/>
      <c r="D249" s="318"/>
      <c r="E249" s="316"/>
      <c r="F249" s="318"/>
      <c r="G249" s="318"/>
      <c r="H249" s="317">
        <f t="shared" si="35"/>
      </c>
      <c r="I249" s="318">
        <f t="shared" si="36"/>
      </c>
      <c r="J249" s="318"/>
      <c r="K249" s="318"/>
      <c r="L249" s="320"/>
      <c r="P249">
        <f t="shared" si="37"/>
      </c>
      <c r="Q249">
        <f t="shared" si="38"/>
      </c>
      <c r="R249">
        <f>IF(P249="","",TEXT(H249,"yyyymm")&amp;"_"&amp;P249&amp;"_"&amp;(COUNTIFS($H$64:$H$500,H249,$P$64:$P$500,P249,$A$64:$A$500,"&gt;"&amp;A249)+COUNTIFS($H$64:H249,H249,$P$64:P249,P249,$A$64:A249,A249)))</f>
      </c>
      <c r="S249">
        <f t="shared" si="39"/>
      </c>
      <c r="T249">
        <f t="shared" si="40"/>
      </c>
      <c r="U249">
        <f t="shared" si="41"/>
      </c>
      <c r="Y249">
        <f t="shared" si="42"/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</row>
    <row r="501" spans="1:25">
      <c r="A501" t="s">
        <v>206</v>
      </c>
    </row>
  </sheetData>
  <mergeCells count="70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list" sqref="B35" xr:uid="{00000000-0002-0000-0300-000001000000}">
      <formula1>"3,4,5,6,7,8,9,10,11,12"</formula1>
    </dataValidation>
    <dataValidation type="whole" sqref="E35" xr:uid="{00000000-0002-0000-0300-000002000000}">
      <formula1>1</formula1>
      <formula2>$F$32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999</formula2>
    </dataValidation>
    <dataValidation type="list" sqref="B3" allowBlank="0" showDropDown="0" showInputMessage="1" showErrorMessage="1" errorStyle="stop" promptTitle="조회월 선택" prompt="목록에서 3~12월을 선택하세요. 위쪽 계정별 잔액과 합계가 선택한 달 기준으로 바뀝니다." errorTitle="목록에서 월을 선택하세요" error="조회월은 목록에 있는 2026년 3~12월 중에서 선택해주세요.">
      <formula1>$C$21:$L$21</formula1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I33-50000-'_예비비계산'!AG10</f>
        <v>1862851</v>
      </c>
      <c r="I38" s="27">
        <f>SUM(I4,I9,I14,I19,I24,I29)-50000-'_예비비계산'!AH10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46310.0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10/15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10/15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10/15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10/15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10/15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10/15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10/15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10/15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10/15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$2466&gt;=D13)*(RAW!$A$2323:$A$2466&lt;D13+1)*(RAW!$H$2323:$H$2466="지출")*(RAW!$L$2323:$L$2466="본인")*((RAW!$J$2323:$J$2466="경조·선물")+(RAW!$J$2323:$J$2466="담배")+(RAW!$J$2323:$J$2466="변동비")+(RAW!$J$2323:$J$2466="약속·만남")+(RAW!$J$2323:$J$2466="여행")+(RAW!$J$2323:$J$2466="일회성전자"))*ROUNDUP(RAW!$K$2323:$K$2466/1000,0)*1000)</f>
        <v>63000</v>
      </c>
      <c r="E14" s="35">
        <f>SUMPRODUCT((RAW!$A$2323:$A$2466&gt;=E13)*(RAW!$A$2323:$A$2466&lt;E13+1)*(RAW!$H$2323:$H$2466="지출")*(RAW!$L$2323:$L$2466="본인")*((RAW!$J$2323:$J$2466="경조·선물")+(RAW!$J$2323:$J$2466="담배")+(RAW!$J$2323:$J$2466="변동비")+(RAW!$J$2323:$J$2466="약속·만남")+(RAW!$J$2323:$J$2466="여행")+(RAW!$J$2323:$J$2466="일회성전자"))*ROUNDUP(RAW!$K$2323:$K$2466/1000,0)*1000)</f>
        <v>20000</v>
      </c>
      <c r="F14" s="35"/>
      <c r="G14" s="35"/>
      <c r="H14" s="35"/>
      <c r="I14" s="45">
        <f>SUM(B14:H14)</f>
        <v>328000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10/15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/>
      <c r="G15" s="35"/>
      <c r="H15" s="35"/>
      <c r="I15" s="45">
        <f>SUM(B15:H15)</f>
        <v>323920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10/15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</c>
      <c r="G16" s="27">
        <f t="shared" si="3"/>
      </c>
      <c r="H16" s="27">
        <f t="shared" si="3"/>
      </c>
      <c r="I16" s="45">
        <f>SUM(B16:H16)</f>
        <v>4080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10/15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10/15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10/15 기준 RAW 확인 · 10/04 거래</t>
        </is>
      </c>
    </row>
    <row r="19" spans="1:22" ht="29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10/15 RAW 집계에 없음 · 예정액 유지</t>
        </is>
      </c>
    </row>
    <row r="20" spans="1:22" ht="29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10/15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10/15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10/15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10/15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1321000</v>
      </c>
      <c r="N28" s="367"/>
      <c r="O28" s="429" t="s">
        <v>234</v>
      </c>
      <c r="P28" s="367"/>
      <c r="Q28" s="431">
        <f>'10월계산기'!W12</f>
        <v>1321000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1321000</v>
      </c>
      <c r="N29" s="367"/>
      <c r="O29" s="429" t="s">
        <v>239</v>
      </c>
      <c r="P29" s="367"/>
      <c r="Q29" s="431">
        <f>'10월계산기'!W13</f>
        <v>1321000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21260</v>
      </c>
      <c r="N30" s="367"/>
      <c r="O30" s="429" t="s">
        <v>514</v>
      </c>
      <c r="P30" s="367"/>
      <c r="Q30" s="431">
        <f>SUM(I4,I9,I14,I19,I24,I29)-I33</f>
        <v>21260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s">
        <v>705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1299740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I33-'_예비비계산'!AG11</f>
        <v>1299740</v>
      </c>
      <c r="I38" s="27">
        <f>SUM(I4,I9,I14,I19,I24,I29)-'_예비비계산'!AH11</f>
        <v>1321000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1818762</v>
      </c>
      <c r="I44" s="37">
        <f>SUM(I37:I42)+I47-I43</f>
        <v>1844000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-1309479</v>
      </c>
      <c r="I45" s="113">
        <f>IF(H45="","",C41-I44)</f>
        <v>-1334717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239000</v>
      </c>
      <c r="N66" s="40">
        <f>'_예비비계산'!AD11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471" t="inlineStr">
        <is>
          <t xml:space="preserve">생신 본인 사용 239,000 = 명절비 200,000 + 임시보관 39,000. 기존 현금 납입과 연결; WRAP·월급 재차감 없음.</t>
        </is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479" t="inlineStr">
        <is>
          <t xml:space="preserve">10/1~15 RAW 144건. 생신 본인 사용 239,000원과 원금 61,000원 회수 연결. 카드대금 5건은 중복 소비·WRAP 차감 제외.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inlineStr">
        <is>
          <t xml:space="preserve">10/15 실제 / 예정 / 공동자금 · 달력 합계와 연결</t>
        </is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v>320430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inlineStr">
        <is>
          <t xml:space="preserve">용돈 500,000 + 식사 139,000 = 639,000. 본인 부담 239,000 + 형제자매 400,000.</t>
        </is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f>SUMIFS(RAW!$G$2323:$G$2466,RAW!$C$2323:$C$2466,"가족통장",RAW!$H$2323:$H$2466,"지출")+SUMIFS(RAW!$G$2323:$G$2466,RAW!$C$2323:$C$2466,"가족통장",RAW!$H$2323:$H$2466,"이체지출")</f>
        <v>800000</v>
      </c>
      <c r="F78" s="473"/>
      <c r="G78" s="473"/>
      <c r="H78" s="474"/>
      <c r="J78" s="472" t="inlineStr">
        <is>
          <t xml:space="preserve">실제 출금 800,000 = 행사 639,000 + 형제자매 반환 100,000 + 본인 원금 회수 61,000. 식사 정산 중복 제외.</t>
        </is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239000</v>
      </c>
      <c r="F79" s="473"/>
      <c r="G79" s="473"/>
      <c r="H79" s="474"/>
      <c r="J79" s="475" t="inlineStr">
        <is>
          <t xml:space="preserve">본인 납입 300,000 − 회수 61,000 = 사용 239,000. 가족통장 이자 25원 잔존. WRAP·당월 월급 중복 차감 없음.</t>
        </is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f>SUMIFS(RAW!$G$2323:$G$2466,RAW!$J$2323:$J$2466,"대납",RAW!$L$2323:$L$2466,"정산대기",RAW!$H$2323:$H$2466,"지출")</f>
        <v>103600</v>
      </c>
      <c r="F80" s="473"/>
      <c r="G80" s="473"/>
      <c r="H80" s="474"/>
      <c r="J80" s="472" t="inlineStr">
        <is>
          <t xml:space="preserve">사용자 확인: 10/12·10/14 각 51,800원 철도 대납. 회수 입금 없음. 미회수 합계 103,600원, 본인 소비 제외.</t>
        </is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1299740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1321000</v>
      </c>
      <c r="F82" s="473"/>
      <c r="G82" s="473"/>
      <c r="H82" s="474"/>
      <c r="J82" s="472" t="inlineStr">
        <is>
          <t xml:space="preserve">각 본인 소비 거래를 천원 단위 올림해 합산. 대납 2건·목적자금·공동자금·카드대금 납부 제외.</t>
        </is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COUNT(RAW!G2323:G2466)-144</f>
        <v>0</v>
      </c>
      <c r="F83" s="473"/>
      <c r="G83" s="473"/>
      <c r="H83" s="474"/>
      <c r="J83" s="475" t="inlineStr">
        <is>
          <t xml:space="preserve">0이면 최신 10/15 첨부 RAW 144건 모두 유지. 기존 반환 건은 수정이며 중복 추가하지 않음.</t>
        </is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I33-1299740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SUM(I4,I9,I14,I19,I24,I29)-1321000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-1818762</v>
      </c>
      <c r="F86" s="473"/>
      <c r="G86" s="473"/>
      <c r="H86" s="474"/>
      <c r="J86" s="475" t="inlineStr">
        <is>
          <t xml:space="preserve">급여 미입금: 10/15 중간 집계이며 월말 결과가 아님</t>
        </is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244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244000</v>
      </c>
      <c r="AA3">
        <v>244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60000</v>
      </c>
      <c r="AA4">
        <v>60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93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93000</v>
      </c>
      <c r="AA6">
        <v>93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130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130000</v>
      </c>
      <c r="AA7">
        <v>130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241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241000</v>
      </c>
      <c r="AA9">
        <v>241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1321000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1321000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1321000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1"/>
      <c r="S84" s="183"/>
      <c r="T84" s="184"/>
      <c r="U84" s="183"/>
      <c r="V84" s="127"/>
      <c r="W84" s="127"/>
    </row>
    <row r="85" spans="1:23" s="106" customFormat="1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s="106" customFormat="1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s="106" customFormat="1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s="106" customFormat="1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s="106" customFormat="1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s="106" customFormat="1" ht="12" customHeight="1">
      <c r="A90" s="127"/>
      <c r="B90" s="179"/>
      <c r="C90" s="180"/>
      <c r="D90" s="179"/>
      <c r="E90" s="180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s="106" customFormat="1" ht="12" customHeight="1">
      <c r="A91" s="127"/>
      <c r="B91" s="181"/>
      <c r="C91" s="182"/>
      <c r="D91" s="181"/>
      <c r="E91" s="182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s="106" customFormat="1" ht="12" customHeight="1">
      <c r="A92" s="127"/>
      <c r="B92" s="181"/>
      <c r="C92" s="182"/>
      <c r="D92" s="181"/>
      <c r="E92" s="182"/>
      <c r="F92" s="181"/>
      <c r="G92" s="182"/>
      <c r="H92" s="181"/>
      <c r="I92" s="182"/>
      <c r="J92" s="131"/>
      <c r="K92" s="182"/>
      <c r="L92" s="131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s="106" customFormat="1" ht="12" customHeight="1">
      <c r="A93" s="127"/>
      <c r="B93" s="181"/>
      <c r="C93" s="182"/>
      <c r="D93" s="181"/>
      <c r="E93" s="182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s="106" customFormat="1" ht="12" customHeight="1" thickBot="1">
      <c r="A94" s="146">
        <v>16</v>
      </c>
      <c r="B94" s="184"/>
      <c r="C94" s="183"/>
      <c r="D94" s="184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s="106" customFormat="1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1321000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1321000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10/15까지 본인 생활비 반영. 기존 색상·블록 유지 + 83칸 추가. 미회수 대납 2건 103,600원·가족 공동자금·예비비 200,000원은 월간 별도 표시.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66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2026-10-15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10/1~15 RAW 144건: WRAP 14건 연결. 타계좌 현금 45건·카드 사용 85건 보존. 가족통장 원금 61,000원 회수 추가.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inlineStr">
        <is>
          <t xml:space="preserve">생신 본인 사용 239,000원 = 명절비 200,000 + 임시보관 39,000. 기존 현금 납입으로 충당; 월급 부담에 다시 더하지 않음.</t>
        </is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inlineStr">
        <is>
          <t xml:space="preserve">생신 실비 639,000 / 형제자매 반환 100,000 / 본인 원금 회수 61,000. 철도 대납 미회수 103,600원. 이체 중복 소비 제외.</t>
        </is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s">
        <v>488</v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s">
        <v>1741</v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inlineStr">
        <is>
          <t xml:space="preserve">부모 생신 용돈 500,000원. 본인 행사 부담 239,000원과 형제자매 부담 400,000원으로 식사까지 충당.</t>
        </is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46306.81527777778</v>
      </c>
      <c r="B2422" s="78">
        <v>46296</v>
      </c>
      <c r="C2422" s="76" t="s">
        <v>147</v>
      </c>
      <c r="D2422" s="76" t="inlineStr">
        <is>
          <t xml:space="preserve">여행/약속/공사</t>
        </is>
      </c>
      <c r="E2422" s="76" t="inlineStr">
        <is>
          <t xml:space="preserve">약속</t>
        </is>
      </c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inlineStr">
        <is>
          <t xml:space="preserve">10/15 재첨부 RAW 43행으로 시각·분류 수정. 기존 형제자매 잔금 반환 100,000원. 신규 소비·본인 반환 아님.</t>
        </is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  <row r="2466" spans="1:19">
      <c r="A2466" s="114">
        <v>46310.93959303241</v>
      </c>
      <c r="B2466" s="78">
        <v>46296.0</v>
      </c>
      <c r="C2466" s="76" t="inlineStr">
        <is>
          <t xml:space="preserve">가족통장</t>
        </is>
      </c>
      <c r="D2466" s="76" t="inlineStr">
        <is>
          <t xml:space="preserve">미래에셋_WRAP형CMA</t>
        </is>
      </c>
      <c r="E2466" s="76"/>
      <c r="F2466" s="76" t="inlineStr">
        <is>
          <t xml:space="preserve">이체</t>
        </is>
      </c>
      <c r="G2466" s="79">
        <v>61000</v>
      </c>
      <c r="H2466" s="76" t="inlineStr">
        <is>
          <t xml:space="preserve">이체지출</t>
        </is>
      </c>
      <c r="I2466" s="76"/>
      <c r="J2466" s="76" t="inlineStr">
        <is>
          <t xml:space="preserve">내부이체</t>
        </is>
      </c>
      <c r="K2466" s="79">
        <v>61000</v>
      </c>
      <c r="L2466" s="76" t="inlineStr">
        <is>
          <t xml:space="preserve">본인</t>
        </is>
      </c>
      <c r="M2466" s="76" t="inlineStr">
        <is>
          <t xml:space="preserve">10/15 재첨부 RAW 2행. 생신 본인 납입 300,000 중 미사용 원금 61,000 회수. 수입·환불 소비 아님. WRAP 임시보관에 1회 복귀; 가족통장 이자 25원은 제외.</t>
        </is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O2466"/>
      <c r="P2466"/>
      <c r="Q2466"/>
      <c r="R2466" s="76" t="inlineStr">
        <is>
          <t xml:space="preserve">WRAP</t>
        </is>
      </c>
      <c r="S2466" s="76" t="inlineStr">
        <is>
          <t xml:space="preserve">이체입금</t>
        </is>
      </c>
    </row>
  </sheetData>
  <autoFilter ref="A1:S2466" xr:uid="{00000000-0009-0000-0000-00001C000000}"/>
  <phoneticPr fontId="27" type="noConversion"/>
  <conditionalFormatting sqref="N2323:N2466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H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339000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inlineStr">
        <is>
          <t xml:space="preserve">10월 실제 사용 239,000원. 명절비 선이체 200,000 + 임시보관 39,000. WRAP 추가 차감 없음.</t>
        </is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32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inlineStr">
        <is>
          <t xml:space="preserve">10월 생신 실제 사용 239,000원은 명절비 선이체 200,000원과 임시보관 39,000원으로 충당. 잔금 61,000원은 WRAP 임시보관으로 회수; 소비·적립 아님.</t>
        </is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111000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inlineStr">
        <is>
          <t xml:space="preserve">원본 적립 차이 −100,000 보존. 생신 사용 239,000은 명절비 200,000 + 임시보관 39,000으로 충당하여 경조사비 잔액에서 다시 빼지 않음.</t>
        </is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2111000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326120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</row>
    <row r="120">
      <c r="BA120">
        <v>64</v>
      </c>
      <c r="BB120">
        <f>IFERROR(INDEX(잔액!$A:$A,BA120),0)</f>
        <v>46082.0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</row>
    <row r="265">
      <c r="BA265">
        <v>209</v>
      </c>
      <c r="BB265">
        <f>IFERROR(INDEX(잔액!$A:$A,BA265),0)</f>
        <v>46235.0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</row>
    <row r="280">
      <c r="BA280">
        <v>224</v>
      </c>
      <c r="BB280">
        <f>IFERROR(INDEX(잔액!$A:$A,BA280),0)</f>
        <v>46266.0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</row>
    <row r="302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</row>
    <row r="303">
      <c r="BA303">
        <v>247</v>
      </c>
      <c r="BB303">
        <f>IFERROR(INDEX(잔액!$A:$A,BA303),0)</f>
        <v>46310.9587962963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</row>
    <row r="304">
      <c r="BA304">
        <v>248</v>
      </c>
      <c r="BB304" t="str">
        <f>IFERROR(INDEX(잔액!$A:$A,BA304),0)</f>
        <v>00:00:00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</row>
    <row r="305">
      <c r="BA305">
        <v>249</v>
      </c>
      <c r="BB305" t="str">
        <f>IFERROR(INDEX(잔액!$A:$A,BA305),0)</f>
        <v>00:00:00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46</vt:i4>
      </vt:variant>
      <vt:variant>
        <vt:lpstr>이름 지정된 범위</vt:lpstr>
      </vt:variant>
      <vt:variant>
        <vt:i4>26</vt:i4>
      </vt:variant>
    </vt:vector>
  </HeadingPairs>
  <TitlesOfParts>
    <vt:vector size="72" baseType="lpstr">
      <vt:lpstr>사용안내</vt:lpstr>
      <vt:lpstr>검증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검증!Print_Area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