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'10월'!$A$1:$V$78</definedName>
    <definedName name="_xlnm.Print_Area" localSheetId="22">'10월계산기'!$A$1:$W$155</definedName>
    <definedName name="_xlnm.Print_Area" localSheetId="23">'11월'!$A$1:$V$78</definedName>
    <definedName name="_xlnm.Print_Area" localSheetId="24">'11월계산기'!$A$1:$W$155</definedName>
    <definedName name="_xlnm.Print_Area" localSheetId="25">'12월'!$A$1:$V$78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'9월'!$A$1:$V$78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<sst xmlns="http://schemas.openxmlformats.org/spreadsheetml/2006/main" count="26787" uniqueCount="2558">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</sst>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3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  <font>
      <sz val="10"/>
      <color rgb="FF17324D"/>
      <name val="Apple SD Gothic Neo"/>
      <family val="2"/>
      <charset val="129"/>
      <b val="1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83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7" fillId="46" borderId="10" xfId="0" applyFont="1" applyAlignment="1">
      <alignment vertical="center"/>
    </xf>
    <xf numFmtId="0" fontId="59" fillId="46" borderId="12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82" fillId="0" borderId="61" xfId="0" applyFont="1" applyFill="1" applyBorder="1" applyAlignment="1">
      <alignment vertical="center" wrapText="1"/>
    </xf>
    <xf numFmtId="198" fontId="82" fillId="0" borderId="61" xfId="0" applyNumberFormat="1" applyFont="1" applyFill="1" applyBorder="1" applyAlignment="1">
      <alignment vertical="center" wrapText="1" horizontal="right"/>
    </xf>
    <xf numFmtId="198" fontId="55" fillId="0" borderId="61" xfId="0" applyNumberFormat="1" applyFont="1" applyFill="1" applyBorder="1" applyAlignment="1">
      <alignment vertical="center" wrapText="1" horizontal="right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10/19까지 실제 자료입니다. 미수령 급여·미결제 고정비·공동자금·대납은 실제 소비와 구분합니다.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171건 중 WRAP 16건을 잔액 원장과 대조합니다. 타계좌 48건·카드사용 107건 보존. 보증보험료는 추가 실지출에 1회 반영합니다.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2026-10-19 기준 · WRAP RAW 16건 연결. 카카오페이 충전·보증보험료는 출금에 1회 반영. 카드 사용은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137675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4409691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137675</v>
      </c>
      <c r="E16" s="32">
        <f t="shared" si="7"/>
        <v>2598839</v>
      </c>
      <c r="F16" s="32">
        <f t="shared" si="7"/>
        <v>748510</v>
      </c>
      <c r="G16" s="32">
        <f t="shared" si="7"/>
        <v>6559691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4409691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6559691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(5건)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46314.86666929398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보증보험료</v>
      </c>
      <c r="D38" s="341"/>
      <c r="E38" s="342"/>
      <c r="F38" s="312">
        <f t="shared" ref="F38:F59" si="13">IF($M38=0,"",INDEX($T$64:$T$500,$M38))</f>
        <v>-110075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IFERROR(MATCH(TEXT($V$35,"yyyymm")&amp;"_내역_"&amp;(38-37+($AA$35-1)*22),$R$64:$R$500,0),0)</f>
        <v>186</v>
      </c>
      <c r="N38" s="80">
        <f>IFERROR(MATCH(TEXT($V$35,"yyyymm")&amp;"_이체_"&amp;(38-37+($AB$35-1)*22),$R$64:$R$500,0),0)</f>
        <v>184</v>
      </c>
    </row>
    <row r="39" spans="1:22" ht="24" customHeight="1">
      <c r="A39" s="310">
        <f t="shared" si="10"/>
        <v>46312.66737074074</v>
      </c>
      <c r="B39" s="311" t="str">
        <f t="shared" si="11"/>
        <v>생활비</v>
      </c>
      <c r="C39" s="340" t="str">
        <f t="shared" si="12"/>
        <v>외부출금 · 카카오페이 충전</v>
      </c>
      <c r="D39" s="341"/>
      <c r="E39" s="342"/>
      <c r="F39" s="312">
        <f t="shared" si="13"/>
        <v>-15700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IFERROR(MATCH(TEXT($V$35,"yyyymm")&amp;"_내역_"&amp;(39-37+($AA$35-1)*22),$R$64:$R$500,0),0)</f>
        <v>185</v>
      </c>
      <c r="N39" s="80">
        <f>IFERROR(MATCH(TEXT($V$35,"yyyymm")&amp;"_이체_"&amp;(39-37+($AB$35-1)*22),$R$64:$R$500,0),0)</f>
        <v>183</v>
      </c>
    </row>
    <row r="40" spans="1:22" ht="24" customHeight="1">
      <c r="A40" s="310">
        <f t="shared" si="10"/>
        <v>46308.859037118054</v>
      </c>
      <c r="B40" s="311" t="str">
        <f t="shared" si="11"/>
        <v>생활비</v>
      </c>
      <c r="C40" s="340" t="str">
        <f t="shared" si="12"/>
        <v>미래에셋 WRAP 이자</v>
      </c>
      <c r="D40" s="341"/>
      <c r="E40" s="342"/>
      <c r="F40" s="312">
        <f t="shared" si="13"/>
        <v>535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IFERROR(MATCH(TEXT($V$35,"yyyymm")&amp;"_내역_"&amp;(40-37+($AA$35-1)*22),$R$64:$R$500,0),0)</f>
        <v>182</v>
      </c>
      <c r="N40" s="80">
        <f>IFERROR(MATCH(TEXT($V$35,"yyyymm")&amp;"_이체_"&amp;(40-37+($AB$35-1)*22),$R$64:$R$500,0),0)</f>
        <v>168</v>
      </c>
    </row>
    <row r="41" spans="1:22" ht="24" customHeight="1">
      <c r="A41" s="310">
        <f t="shared" si="10"/>
        <v>46307.84306710648</v>
      </c>
      <c r="B41" s="311" t="str">
        <f t="shared" si="11"/>
        <v>생활비</v>
      </c>
      <c r="C41" s="340" t="str">
        <f t="shared" si="12"/>
        <v>미래에셋 WRAP 이자</v>
      </c>
      <c r="D41" s="341"/>
      <c r="E41" s="342"/>
      <c r="F41" s="312">
        <f t="shared" si="13"/>
        <v>8557</v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IFERROR(MATCH(TEXT($V$35,"yyyymm")&amp;"_내역_"&amp;(41-37+($AA$35-1)*22),$R$64:$R$500,0),0)</f>
        <v>175</v>
      </c>
      <c r="N41" s="80">
        <f>IFERROR(MATCH(TEXT($V$35,"yyyymm")&amp;"_이체_"&amp;(41-37+($AB$35-1)*22),$R$64:$R$500,0),0)</f>
        <v>169</v>
      </c>
    </row>
    <row r="42" spans="1:22" ht="24" customHeight="1">
      <c r="A42" s="310">
        <f t="shared" si="10"/>
        <v>46297.6222230787</v>
      </c>
      <c r="B42" s="311" t="str">
        <f t="shared" si="11"/>
        <v>생활비</v>
      </c>
      <c r="C42" s="340" t="str">
        <f t="shared" si="12"/>
        <v>두끼떡볶이</v>
      </c>
      <c r="D42" s="341"/>
      <c r="E42" s="342"/>
      <c r="F42" s="312">
        <f t="shared" si="13"/>
        <v>-11900</v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IFERROR(MATCH(TEXT($V$35,"yyyymm")&amp;"_내역_"&amp;(42-37+($AA$35-1)*22),$R$64:$R$500,0),0)</f>
        <v>179</v>
      </c>
      <c r="N42" s="80">
        <f>IFERROR(MATCH(TEXT($V$35,"yyyymm")&amp;"_이체_"&amp;(42-37+($AB$35-1)*22),$R$64:$R$500,0),0)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6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7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9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10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11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12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202610_내역_4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13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14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15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16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202610_내역_5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17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202610_내역_3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5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4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3</v>
      </c>
    </row>
    <row r="248" spans="1:25" ht="68" hidden="1" customHeight="1" outlineLevel="1">
      <c r="A248" s="314">
        <v>46312.66737074074</v>
      </c>
      <c r="B248" s="315" t="inlineStr">
        <is>
          <t xml:space="preserve">출금</t>
        </is>
      </c>
      <c r="C248" s="315" t="inlineStr">
        <is>
          <t xml:space="preserve">생활비</t>
        </is>
      </c>
      <c r="D248" s="315" t="inlineStr">
        <is>
          <t xml:space="preserve">지출</t>
        </is>
      </c>
      <c r="E248" s="316">
        <v>15700</v>
      </c>
      <c r="F248" s="315" t="inlineStr">
        <is>
          <t xml:space="preserve">외부출금 · 카카오페이 충전</t>
        </is>
      </c>
      <c r="G248" s="315" t="inlineStr">
        <is>
          <t xml:space="preserve">KP20261017-01 · 플라잉 더치 구매 연결(사용자 확인). 충전 RAW 2475행 15,700원 + 양배추 대납 회수 RAW 2376행 1,300원 = 구매 RAW 2474행 17,000원. 현금은 충전에서만 차감, 소비는 구매에서만 집계. 사용자 요청: WRAP 관리상 출금으로 분류하여 입금·사용 표에 표시. RAW 충전 이체는 보존하고 소비는 더치 구매에만 1회 반영.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WRAP입출금</t>
        </is>
      </c>
      <c r="P248" t="str">
        <f t="shared" si="37"/>
        <v>내역</v>
      </c>
      <c r="Q248" t="str">
        <f t="shared" si="38"/>
        <v>생활비</v>
      </c>
      <c r="R248" t="str">
        <f>IF(P248="","",TEXT(H248,"yyyymm")&amp;"_"&amp;P248&amp;"_"&amp;(COUNTIFS($H$64:$H$500,H248,$P$64:$P$500,P248,$A$64:$A$500,"&gt;"&amp;A248)+COUNTIFS($H$64:H248,H248,$P$64:P248,P248,$A$64:A248,A248)))</f>
        <v>202610_내역_2</v>
      </c>
      <c r="S248" t="str">
        <f t="shared" si="39"/>
        <v>지출</v>
      </c>
      <c r="T248">
        <f t="shared" si="40"/>
        <v>-15700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2</v>
      </c>
    </row>
    <row r="249" spans="1:25" ht="32" hidden="1" customHeight="1" outlineLevel="1">
      <c r="A249" s="314">
        <v>46314.86666929398</v>
      </c>
      <c r="B249" s="318" t="inlineStr">
        <is>
          <t xml:space="preserve">출금</t>
        </is>
      </c>
      <c r="C249" s="318" t="inlineStr">
        <is>
          <t xml:space="preserve">생활비</t>
        </is>
      </c>
      <c r="D249" s="318" t="inlineStr">
        <is>
          <t xml:space="preserve">지출</t>
        </is>
      </c>
      <c r="E249" s="316">
        <v>110075</v>
      </c>
      <c r="F249" s="318" t="inlineStr">
        <is>
          <t xml:space="preserve">보증보험료</t>
        </is>
      </c>
      <c r="G249" s="318" t="inlineStr">
        <is>
          <t xml:space="preserve">RAW 2493행. 계약기간 2026.09.10~2027.09.09의 주거부대 비용. WRAP 출금 110,075원 1회, 10월 추가 실지출 표에 1회 반영. 달력·월 정기보험비·예비비와 중복 제외.</t>
        </is>
      </c>
      <c r="H249" s="317">
        <f t="shared" si="35"/>
        <v>46296.0</v>
      </c>
      <c r="I249" s="318" t="str">
        <f t="shared" si="36"/>
        <v>OK</v>
      </c>
      <c r="J249" s="318" t="inlineStr">
        <is>
          <t xml:space="preserve">미래에셋_WRAP형CMA</t>
        </is>
      </c>
      <c r="K249" s="318" t="inlineStr">
        <is>
          <t xml:space="preserve">외부</t>
        </is>
      </c>
      <c r="L249" s="320" t="inlineStr">
        <is>
          <t xml:space="preserve">WRAP입출금</t>
        </is>
      </c>
      <c r="P249" t="str">
        <f t="shared" si="37"/>
        <v>내역</v>
      </c>
      <c r="Q249" t="str">
        <f t="shared" si="38"/>
        <v>생활비</v>
      </c>
      <c r="R249" t="str">
        <f>IF(P249="","",TEXT(H249,"yyyymm")&amp;"_"&amp;P249&amp;"_"&amp;(COUNTIFS($H$64:$H$500,H249,$P$64:$P$500,P249,$A$64:$A$500,"&gt;"&amp;A249)+COUNTIFS($H$64:H249,H249,$P$64:P249,P249,$A$64:A249,A249)))</f>
        <v>202610_내역_1</v>
      </c>
      <c r="S249" t="str">
        <f t="shared" si="39"/>
        <v>지출</v>
      </c>
      <c r="T249">
        <f t="shared" si="40"/>
        <v>-110075</v>
      </c>
      <c r="U249">
        <f t="shared" si="41"/>
        <v>46314.86666929398</v>
      </c>
      <c r="W249">
        <v>2493</v>
      </c>
      <c r="Y249">
        <f t="shared" si="42"/>
        <v>110075</v>
      </c>
      <c r="Z249">
        <f>IFERROR(IF(AND(ISNUMBER(A249),A249&gt;=$B$3,A249&lt;EDATE($B$3,1)),COUNTIFS($A$64:$A$500,"&gt;"&amp;A249,$A$64:$A$500,"&lt;"&amp;EDATE($B$3,1))+COUNTIF($A$64:A249,A249),0),0)</f>
        <v>1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17건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17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10/19 20:48</v>
      </c>
      <c r="B503" s="311" t="str">
        <f>IF($AA503=0,"",IF(INDEX($B$64:$B$500,MAX(1,$AA503))="","",INDEX($B$64:$B$500,MAX(1,$AA503))))</f>
        <v>출금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지출</v>
      </c>
      <c r="E503" s="28">
        <f>IF($AA503=0,"",INDEX($E$64:$E$500,MAX(1,$AA503)))</f>
        <v>110075</v>
      </c>
      <c r="F503" s="311" t="str">
        <f>IF($AA503=0,"",IF(INDEX($F$64:$F$500,MAX(1,$AA503))="","",INDEX($F$64:$F$500,MAX(1,$AA503))))</f>
        <v>보증보험료</v>
      </c>
      <c r="G503" s="90" t="str">
        <f>IF($AA503=0,"",LEFT(INDEX($G$64:$G$500,MAX(1,$AA503)),40)&amp;IF(LEN(INDEX($G$64:$G$500,MAX(1,$AA503)))&gt;40,"…",""))</f>
        <v>RAW 2493행. 계약기간 2026.09.10~2027.09.09의 주…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외부</v>
      </c>
      <c r="L503" s="311" t="str">
        <f>IF($AA503=0,"",HYPERLINK("#'잔액'!A"&amp;($AA503+63),"원장 "&amp;($AA503+63)&amp;"행 ↗"))</f>
        <v>원장 249행 ↗</v>
      </c>
      <c r="AA503">
        <f>IFERROR(MATCH(($AA$501-1)*22+1,$Z$64:$Z$500,0),0)</f>
        <v>186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10/17 16:01</v>
      </c>
      <c r="B504" s="311" t="str">
        <f>IF($AA504=0,"",IF(INDEX($B$64:$B$500,MAX(1,$AA504))="","",INDEX($B$64:$B$500,MAX(1,$AA504))))</f>
        <v>출금</v>
      </c>
      <c r="C504" s="311" t="str">
        <f>IF($AA504=0,"",IF(INDEX($C$64:$C$500,MAX(1,$AA504))="","",INDEX($C$64:$C$500,MAX(1,$AA504))))</f>
        <v>생활비</v>
      </c>
      <c r="D504" s="311" t="str">
        <f>IF($AA504=0,"",IF(INDEX($D$64:$D$500,MAX(1,$AA504))="","",INDEX($D$64:$D$500,MAX(1,$AA504))))</f>
        <v>지출</v>
      </c>
      <c r="E504" s="28">
        <f>IF($AA504=0,"",INDEX($E$64:$E$500,MAX(1,$AA504)))</f>
        <v>15700</v>
      </c>
      <c r="F504" s="311" t="str">
        <f>IF($AA504=0,"",IF(INDEX($F$64:$F$500,MAX(1,$AA504))="","",INDEX($F$64:$F$500,MAX(1,$AA504))))</f>
        <v>외부출금 · 카카오페이 충전</v>
      </c>
      <c r="G504" s="90" t="str">
        <f>IF($AA504=0,"",LEFT(INDEX($G$64:$G$500,MAX(1,$AA504)),40)&amp;IF(LEN(INDEX($G$64:$G$500,MAX(1,$AA504)))&gt;40,"…",""))</f>
        <v>KP20261017-01 · 플라잉 더치 구매 연결(사용자 확인). 충전…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카카오페이머니</v>
      </c>
      <c r="L504" s="311" t="str">
        <f>IF($AA504=0,"",HYPERLINK("#'잔액'!A"&amp;($AA504+63),"원장 "&amp;($AA504+63)&amp;"행 ↗"))</f>
        <v>원장 248행 ↗</v>
      </c>
      <c r="AA504">
        <f>IFERROR(MATCH(($AA$501-1)*22+2,$Z$64:$Z$500,0),0)</f>
        <v>185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23:00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임시보관</v>
      </c>
      <c r="D505" s="311" t="str">
        <f>IF($AA505=0,"",IF(INDEX($D$64:$D$500,MAX(1,$AA505))="","",INDEX($D$64:$D$500,MAX(1,$AA505))))</f>
        <v>생활비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생신 잔금 임시보관 → 생활비</v>
      </c>
      <c r="G505" s="90" t="str">
        <f>IF($AA505=0,"",LEFT(INDEX($G$64:$G$500,MAX(1,$AA505)),40)&amp;IF(LEN(INDEX($G$64:$G$500,MAX(1,$AA505)))&gt;40,"…",""))</f>
        <v>사용자 요청으로 회수 원금 61,000원을 생활비로 분류 이동. 날짜는 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미래에셋_WRAP형CMA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247행 ↗</v>
      </c>
      <c r="AA505">
        <f>IFERROR(MATCH(($AA$501-1)*22+3,$Z$64:$Z$500,0),0)</f>
        <v>184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10/15 22:33</v>
      </c>
      <c r="B506" s="311" t="str">
        <f>IF($AA506=0,"",IF(INDEX($B$64:$B$500,MAX(1,$AA506))="","",INDEX($B$64:$B$500,MAX(1,$AA506))))</f>
        <v>이체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임시보관</v>
      </c>
      <c r="E506" s="28">
        <f>IF($AA506=0,"",INDEX($E$64:$E$500,MAX(1,$AA506)))</f>
        <v>61000</v>
      </c>
      <c r="F506" s="311" t="str">
        <f>IF($AA506=0,"",IF(INDEX($F$64:$F$500,MAX(1,$AA506))="","",INDEX($F$64:$F$500,MAX(1,$AA506))))</f>
        <v>부모 생신 미사용 원금 회수</v>
      </c>
      <c r="G506" s="90" t="str">
        <f>IF($AA506=0,"",LEFT(INDEX($G$64:$G$500,MAX(1,$AA506)),40)&amp;IF(LEN(INDEX($G$64:$G$500,MAX(1,$AA506)))&gt;40,"…",""))</f>
        <v>RAW 2466행. 8월 가족통장 납입 100,000 중 행사 39,00…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가족통장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246행 ↗</v>
      </c>
      <c r="AA506">
        <f>IFERROR(MATCH(($AA$501-1)*22+4,$Z$64:$Z$500,0),0)</f>
        <v>183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20:37</v>
      </c>
      <c r="B507" s="311" t="str">
        <f>IF($AA507=0,"",IF(INDEX($B$64:$B$500,MAX(1,$AA507))="","",INDEX($B$64:$B$500,MAX(1,$AA507))))</f>
        <v>입금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535</v>
      </c>
      <c r="F507" s="311" t="str">
        <f>IF($AA507=0,"",IF(INDEX($F$64:$F$500,MAX(1,$AA507))="","",INDEX($F$64:$F$500,MAX(1,$AA507))))</f>
        <v>미래에셋 WRAP 이자</v>
      </c>
      <c r="G507" s="90" t="str">
        <f>IF($AA507=0,"",LEFT(INDEX($G$64:$G$500,MAX(1,$AA507)),40)&amp;IF(LEN(INDEX($G$64:$G$500,MAX(1,$AA507)))&gt;40,"…",""))</f>
        <v>RAW 2454행 · 10/13 추가 이자 535원. 10/15 RAW 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외부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245행 ↗</v>
      </c>
      <c r="AA507">
        <f>IFERROR(MATCH(($AA$501-1)*22+5,$Z$64:$Z$500,0),0)</f>
        <v>182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20:26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외부</v>
      </c>
      <c r="D508" s="311" t="str">
        <f>IF($AA508=0,"",IF(INDEX($D$64:$D$500,MAX(1,$AA508))="","",INDEX($D$64:$D$500,MAX(1,$AA508))))</f>
        <v>생활비</v>
      </c>
      <c r="E508" s="28">
        <f>IF($AA508=0,"",INDEX($E$64:$E$500,MAX(1,$AA508)))</f>
        <v>22210</v>
      </c>
      <c r="F508" s="311" t="str">
        <f>IF($AA508=0,"",IF(INDEX($F$64:$F$500,MAX(1,$AA508))="","",INDEX($F$64:$F$500,MAX(1,$AA508))))</f>
        <v>신한은행V2 → 미래에셋 WRAP</v>
      </c>
      <c r="G508" s="90" t="str">
        <f>IF($AA508=0,"",LEFT(INDEX($G$64:$G$500,MAX(1,$AA508)),40)&amp;IF(LEN(INDEX($G$64:$G$500,MAX(1,$AA508)))&gt;40,"…",""))</f>
        <v>RAW 2453행 · WRAP 이체입금 22,210원. WRAP에서 나가…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신한은행V2</v>
      </c>
      <c r="K508" s="311" t="str">
        <f>IF($AA508=0,"",IF(INDEX($K$64:$K$500,MAX(1,$AA508))="","",INDEX($K$64:$K$500,MAX(1,$AA508))))</f>
        <v>미래에셋_WRAP형CMA</v>
      </c>
      <c r="L508" s="311" t="str">
        <f>IF($AA508=0,"",HYPERLINK("#'잔액'!A"&amp;($AA508+63),"원장 "&amp;($AA508+63)&amp;"행 ↗"))</f>
        <v>원장 231행 ↗</v>
      </c>
      <c r="AA508">
        <f>IFERROR(MATCH(($AA$501-1)*22+6,$Z$64:$Z$500,0),0)</f>
        <v>168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20:25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236270</v>
      </c>
      <c r="F509" s="311" t="str">
        <f>IF($AA509=0,"",IF(INDEX($F$64:$F$500,MAX(1,$AA509))="","",INDEX($F$64:$F$500,MAX(1,$AA509))))</f>
        <v>미래에셋 WRAP → 토스뱅크</v>
      </c>
      <c r="G509" s="90" t="str">
        <f>IF($AA509=0,"",LEFT(INDEX($G$64:$G$500,MAX(1,$AA509)),40)&amp;IF(LEN(INDEX($G$64:$G$500,MAX(1,$AA509)))&gt;40,"…",""))</f>
        <v>RAW 2452행 · WRAP 이체출금 236,270원.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토스뱅크</v>
      </c>
      <c r="L509" s="311" t="str">
        <f>IF($AA509=0,"",HYPERLINK("#'잔액'!A"&amp;($AA509+63),"원장 "&amp;($AA509+63)&amp;"행 ↗"))</f>
        <v>원장 232행 ↗</v>
      </c>
      <c r="AA509">
        <f>IFERROR(MATCH(($AA$501-1)*22+7,$Z$64:$Z$500,0),0)</f>
        <v>169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20:24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246568</v>
      </c>
      <c r="F510" s="311" t="str">
        <f>IF($AA510=0,"",IF(INDEX($F$64:$F$500,MAX(1,$AA510))="","",INDEX($F$64:$F$500,MAX(1,$AA510))))</f>
        <v>미래에셋 WRAP → 우리은행</v>
      </c>
      <c r="G510" s="90" t="str">
        <f>IF($AA510=0,"",LEFT(INDEX($G$64:$G$500,MAX(1,$AA510)),40)&amp;IF(LEN(INDEX($G$64:$G$500,MAX(1,$AA510)))&gt;40,"…",""))</f>
        <v>RAW 2451행 · WRAP 이체출금 246,568원.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우리은행</v>
      </c>
      <c r="L510" s="311" t="str">
        <f>IF($AA510=0,"",HYPERLINK("#'잔액'!A"&amp;($AA510+63),"원장 "&amp;($AA510+63)&amp;"행 ↗"))</f>
        <v>원장 233행 ↗</v>
      </c>
      <c r="AA510">
        <f>IFERROR(MATCH(($AA$501-1)*22+8,$Z$64:$Z$500,0),0)</f>
        <v>170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20:22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360550</v>
      </c>
      <c r="F511" s="311" t="str">
        <f>IF($AA511=0,"",IF(INDEX($F$64:$F$500,MAX(1,$AA511))="","",INDEX($F$64:$F$500,MAX(1,$AA511))))</f>
        <v>미래에셋 WRAP → 국민은행</v>
      </c>
      <c r="G511" s="90" t="str">
        <f>IF($AA511=0,"",LEFT(INDEX($G$64:$G$500,MAX(1,$AA511)),40)&amp;IF(LEN(INDEX($G$64:$G$500,MAX(1,$AA511)))&gt;40,"…",""))</f>
        <v>RAW 2450행 · WRAP 이체출금 360,550원.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국민은행</v>
      </c>
      <c r="L511" s="311" t="str">
        <f>IF($AA511=0,"",HYPERLINK("#'잔액'!A"&amp;($AA511+63),"원장 "&amp;($AA511+63)&amp;"행 ↗"))</f>
        <v>원장 234행 ↗</v>
      </c>
      <c r="AA511">
        <f>IFERROR(MATCH(($AA$501-1)*22+9,$Z$64:$Z$500,0),0)</f>
        <v>171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20:21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생활비</v>
      </c>
      <c r="D512" s="311" t="str">
        <f>IF($AA512=0,"",IF(INDEX($D$64:$D$500,MAX(1,$AA512))="","",INDEX($D$64:$D$500,MAX(1,$AA512))))</f>
        <v>외부</v>
      </c>
      <c r="E512" s="28">
        <f>IF($AA512=0,"",INDEX($E$64:$E$500,MAX(1,$AA512)))</f>
        <v>798746</v>
      </c>
      <c r="F512" s="311" t="str">
        <f>IF($AA512=0,"",IF(INDEX($F$64:$F$500,MAX(1,$AA512))="","",INDEX($F$64:$F$500,MAX(1,$AA512))))</f>
        <v>미래에셋 WRAP → 토스뱅크</v>
      </c>
      <c r="G512" s="90" t="str">
        <f>IF($AA512=0,"",LEFT(INDEX($G$64:$G$500,MAX(1,$AA512)),40)&amp;IF(LEN(INDEX($G$64:$G$500,MAX(1,$AA512)))&gt;40,"…",""))</f>
        <v>RAW 2449행 · WRAP 이체출금 798,746원.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미래에셋_WRAP형CMA</v>
      </c>
      <c r="K512" s="311" t="str">
        <f>IF($AA512=0,"",IF(INDEX($K$64:$K$500,MAX(1,$AA512))="","",INDEX($K$64:$K$500,MAX(1,$AA512))))</f>
        <v>토스뱅크</v>
      </c>
      <c r="L512" s="311" t="str">
        <f>IF($AA512=0,"",HYPERLINK("#'잔액'!A"&amp;($AA512+63),"원장 "&amp;($AA512+63)&amp;"행 ↗"))</f>
        <v>원장 235행 ↗</v>
      </c>
      <c r="AA512">
        <f>IFERROR(MATCH(($AA$501-1)*22+10,$Z$64:$Z$500,0),0)</f>
        <v>172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20:18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외부</v>
      </c>
      <c r="D513" s="311" t="str">
        <f>IF($AA513=0,"",IF(INDEX($D$64:$D$500,MAX(1,$AA513))="","",INDEX($D$64:$D$500,MAX(1,$AA513))))</f>
        <v>생활비</v>
      </c>
      <c r="E513" s="28">
        <f>IF($AA513=0,"",INDEX($E$64:$E$500,MAX(1,$AA513)))</f>
        <v>604300</v>
      </c>
      <c r="F513" s="311" t="str">
        <f>IF($AA513=0,"",IF(INDEX($F$64:$F$500,MAX(1,$AA513))="","",INDEX($F$64:$F$500,MAX(1,$AA513))))</f>
        <v>토스뱅크 → 미래에셋 WRAP</v>
      </c>
      <c r="G513" s="90" t="str">
        <f>IF($AA513=0,"",LEFT(INDEX($G$64:$G$500,MAX(1,$AA513)),40)&amp;IF(LEN(INDEX($G$64:$G$500,MAX(1,$AA513)))&gt;40,"…",""))</f>
        <v>RAW 2448행 · WRAP 이체입금 604,300원.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토스뱅크</v>
      </c>
      <c r="K513" s="311" t="str">
        <f>IF($AA513=0,"",IF(INDEX($K$64:$K$500,MAX(1,$AA513))="","",INDEX($K$64:$K$500,MAX(1,$AA513))))</f>
        <v>미래에셋_WRAP형CMA</v>
      </c>
      <c r="L513" s="311" t="str">
        <f>IF($AA513=0,"",HYPERLINK("#'잔액'!A"&amp;($AA513+63),"원장 "&amp;($AA513+63)&amp;"행 ↗"))</f>
        <v>원장 236행 ↗</v>
      </c>
      <c r="AA513">
        <f>IFERROR(MATCH(($AA$501-1)*22+11,$Z$64:$Z$500,0),0)</f>
        <v>173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10/13 17:58</v>
      </c>
      <c r="B514" s="311" t="str">
        <f>IF($AA514=0,"",IF(INDEX($B$64:$B$500,MAX(1,$AA514))="","",INDEX($B$64:$B$500,MAX(1,$AA514))))</f>
        <v>계좌이체</v>
      </c>
      <c r="C514" s="311" t="str">
        <f>IF($AA514=0,"",IF(INDEX($C$64:$C$500,MAX(1,$AA514))="","",INDEX($C$64:$C$500,MAX(1,$AA514))))</f>
        <v>생활비</v>
      </c>
      <c r="D514" s="311" t="str">
        <f>IF($AA514=0,"",IF(INDEX($D$64:$D$500,MAX(1,$AA514))="","",INDEX($D$64:$D$500,MAX(1,$AA514))))</f>
        <v>외부</v>
      </c>
      <c r="E514" s="28">
        <f>IF($AA514=0,"",INDEX($E$64:$E$500,MAX(1,$AA514)))</f>
        <v>753905</v>
      </c>
      <c r="F514" s="311" t="str">
        <f>IF($AA514=0,"",IF(INDEX($F$64:$F$500,MAX(1,$AA514))="","",INDEX($F$64:$F$500,MAX(1,$AA514))))</f>
        <v>미래에셋 WRAP → 새마을금고</v>
      </c>
      <c r="G514" s="90" t="str">
        <f>IF($AA514=0,"",LEFT(INDEX($G$64:$G$500,MAX(1,$AA514)),40)&amp;IF(LEN(INDEX($G$64:$G$500,MAX(1,$AA514)))&gt;40,"…",""))</f>
        <v>RAW 2446행 · WRAP 이체출금 753,905원. WRAP에서 나…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미래에셋_WRAP형CMA</v>
      </c>
      <c r="K514" s="311" t="str">
        <f>IF($AA514=0,"",IF(INDEX($K$64:$K$500,MAX(1,$AA514))="","",INDEX($K$64:$K$500,MAX(1,$AA514))))</f>
        <v>새마을금고</v>
      </c>
      <c r="L514" s="311" t="str">
        <f>IF($AA514=0,"",HYPERLINK("#'잔액'!A"&amp;($AA514+63),"원장 "&amp;($AA514+63)&amp;"행 ↗"))</f>
        <v>원장 237행 ↗</v>
      </c>
      <c r="AA514">
        <f>IFERROR(MATCH(($AA$501-1)*22+12,$Z$64:$Z$500,0),0)</f>
        <v>174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20:14</v>
      </c>
      <c r="B515" s="311" t="str">
        <f>IF($AA515=0,"",IF(INDEX($B$64:$B$500,MAX(1,$AA515))="","",INDEX($B$64:$B$500,MAX(1,$AA515))))</f>
        <v>입금</v>
      </c>
      <c r="C515" s="311" t="str">
        <f>IF($AA515=0,"",IF(INDEX($C$64:$C$500,MAX(1,$AA515))="","",INDEX($C$64:$C$500,MAX(1,$AA515))))</f>
        <v>외부</v>
      </c>
      <c r="D515" s="311" t="str">
        <f>IF($AA515=0,"",IF(INDEX($D$64:$D$500,MAX(1,$AA515))="","",INDEX($D$64:$D$500,MAX(1,$AA515))))</f>
        <v>생활비</v>
      </c>
      <c r="E515" s="28">
        <f>IF($AA515=0,"",INDEX($E$64:$E$500,MAX(1,$AA515)))</f>
        <v>8557</v>
      </c>
      <c r="F515" s="311" t="str">
        <f>IF($AA515=0,"",IF(INDEX($F$64:$F$500,MAX(1,$AA515))="","",INDEX($F$64:$F$500,MAX(1,$AA515))))</f>
        <v>미래에셋 WRAP 이자</v>
      </c>
      <c r="G515" s="90" t="str">
        <f>IF($AA515=0,"",LEFT(INDEX($G$64:$G$500,MAX(1,$AA515)),40)&amp;IF(LEN(INDEX($G$64:$G$500,MAX(1,$AA515)))&gt;40,"…",""))</f>
        <v>RAW 2442행 · WRAP 입금 8,557원. 실제 자산은 미래에셋_…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외부</v>
      </c>
      <c r="K515" s="311" t="str">
        <f>IF($AA515=0,"",IF(INDEX($K$64:$K$500,MAX(1,$AA515))="","",INDEX($K$64:$K$500,MAX(1,$AA515))))</f>
        <v>미래에셋_WRAP형CMA</v>
      </c>
      <c r="L515" s="311" t="str">
        <f>IF($AA515=0,"",HYPERLINK("#'잔액'!A"&amp;($AA515+63),"원장 "&amp;($AA515+63)&amp;"행 ↗"))</f>
        <v>원장 238행 ↗</v>
      </c>
      <c r="AA515">
        <f>IFERROR(MATCH(($AA$501-1)*22+13,$Z$64:$Z$500,0),0)</f>
        <v>175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19:48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1390</v>
      </c>
      <c r="F516" s="311" t="str">
        <f>IF($AA516=0,"",IF(INDEX($F$64:$F$500,MAX(1,$AA516))="","",INDEX($F$64:$F$500,MAX(1,$AA516))))</f>
        <v>미래에셋 WRAP → 카카오뱅크</v>
      </c>
      <c r="G516" s="90" t="str">
        <f>IF($AA516=0,"",LEFT(INDEX($G$64:$G$500,MAX(1,$AA516)),40)&amp;IF(LEN(INDEX($G$64:$G$500,MAX(1,$AA516)))&gt;40,"…",""))</f>
        <v>RAW 2430행 · WRAP 이체출금 1,390원. WRAP에서 나가면…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카카오뱅크</v>
      </c>
      <c r="L516" s="311" t="str">
        <f>IF($AA516=0,"",HYPERLINK("#'잔액'!A"&amp;($AA516+63),"원장 "&amp;($AA516+63)&amp;"행 ↗"))</f>
        <v>원장 239행 ↗</v>
      </c>
      <c r="AA516">
        <f>IFERROR(MATCH(($AA$501-1)*22+14,$Z$64:$Z$500,0),0)</f>
        <v>176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10/12 19:47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90410</v>
      </c>
      <c r="F517" s="311" t="str">
        <f>IF($AA517=0,"",IF(INDEX($F$64:$F$500,MAX(1,$AA517))="","",INDEX($F$64:$F$500,MAX(1,$AA517))))</f>
        <v>미래에셋 WRAP → 신한은행</v>
      </c>
      <c r="G517" s="90" t="str">
        <f>IF($AA517=0,"",LEFT(INDEX($G$64:$G$500,MAX(1,$AA517)),40)&amp;IF(LEN(INDEX($G$64:$G$500,MAX(1,$AA517)))&gt;40,"…",""))</f>
        <v>RAW 2429행 · WRAP 이체출금 90,410원.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신한은행</v>
      </c>
      <c r="L517" s="311" t="str">
        <f>IF($AA517=0,"",HYPERLINK("#'잔액'!A"&amp;($AA517+63),"원장 "&amp;($AA517+63)&amp;"행 ↗"))</f>
        <v>원장 240행 ↗</v>
      </c>
      <c r="AA517">
        <f>IFERROR(MATCH(($AA$501-1)*22+15,$Z$64:$Z$500,0),0)</f>
        <v>177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10/4 14:53</v>
      </c>
      <c r="B518" s="311" t="str">
        <f>IF($AA518=0,"",IF(INDEX($B$64:$B$500,MAX(1,$AA518))="","",INDEX($B$64:$B$500,MAX(1,$AA518))))</f>
        <v>계좌이체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외부</v>
      </c>
      <c r="E518" s="28">
        <f>IF($AA518=0,"",INDEX($E$64:$E$500,MAX(1,$AA518)))</f>
        <v>50000</v>
      </c>
      <c r="F518" s="311" t="str">
        <f>IF($AA518=0,"",IF(INDEX($F$64:$F$500,MAX(1,$AA518))="","",INDEX($F$64:$F$500,MAX(1,$AA518))))</f>
        <v>미래에셋 WRAP → 모임통장</v>
      </c>
      <c r="G518" s="90" t="str">
        <f>IF($AA518=0,"",LEFT(INDEX($G$64:$G$500,MAX(1,$AA518)),40)&amp;IF(LEN(INDEX($G$64:$G$500,MAX(1,$AA518)))&gt;40,"…",""))</f>
        <v>RAW 2347행 · WRAP 이체출금 50,000원. WRAP에서 나가…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모임통장</v>
      </c>
      <c r="L518" s="311" t="str">
        <f>IF($AA518=0,"",HYPERLINK("#'잔액'!A"&amp;($AA518+63),"원장 "&amp;($AA518+63)&amp;"행 ↗"))</f>
        <v>원장 241행 ↗</v>
      </c>
      <c r="AA518">
        <f>IFERROR(MATCH(($AA$501-1)*22+16,$Z$64:$Z$500,0),0)</f>
        <v>178</v>
      </c>
    </row>
    <row r="519" hidden="0" outlineLevel="0" ht="54" customHeight="1">
      <c r="A519" s="311" t="str">
        <f>IF($AA519=0,"",TEXT(INDEX($A$64:$A$500,MAX(1,$AA519)),IF(INDEX($L$64:$L$500,MAX(1,$AA519))="원본WRAP","yyyy-mm","m/d hh:mm")))</f>
        <v>10/2 14:56</v>
      </c>
      <c r="B519" s="311" t="str">
        <f>IF($AA519=0,"",IF(INDEX($B$64:$B$500,MAX(1,$AA519))="","",INDEX($B$64:$B$500,MAX(1,$AA519))))</f>
        <v>사용</v>
      </c>
      <c r="C519" s="311" t="str">
        <f>IF($AA519=0,"",IF(INDEX($C$64:$C$500,MAX(1,$AA519))="","",INDEX($C$64:$C$500,MAX(1,$AA519))))</f>
        <v>생활비</v>
      </c>
      <c r="D519" s="311" t="str">
        <f>IF($AA519=0,"",IF(INDEX($D$64:$D$500,MAX(1,$AA519))="","",INDEX($D$64:$D$500,MAX(1,$AA519))))</f>
        <v>지출</v>
      </c>
      <c r="E519" s="28">
        <f>IF($AA519=0,"",INDEX($E$64:$E$500,MAX(1,$AA519)))</f>
        <v>11900</v>
      </c>
      <c r="F519" s="311" t="str">
        <f>IF($AA519=0,"",IF(INDEX($F$64:$F$500,MAX(1,$AA519))="","",INDEX($F$64:$F$500,MAX(1,$AA519))))</f>
        <v>두끼떡볶이</v>
      </c>
      <c r="G519" s="90" t="str">
        <f>IF($AA519=0,"",LEFT(INDEX($G$64:$G$500,MAX(1,$AA519)),40)&amp;IF(LEN(INDEX($G$64:$G$500,MAX(1,$AA519)))&gt;40,"…",""))</f>
        <v>RAW 2334행 · WRAP 출금 11,900원. 실제 자산은 미래에셋…</v>
      </c>
      <c r="H519" s="311" t="str">
        <f>IF($AA519=0,"",TEXT(INDEX($H$64:$H$500,MAX(1,$AA519)),"yyyy-mm"))</f>
        <v>2026-10</v>
      </c>
      <c r="I519" s="311" t="str">
        <f>IF($AA519=0,"",IF(INDEX($I$64:$I$500,MAX(1,$AA519))="","",INDEX($I$64:$I$500,MAX(1,$AA519))))</f>
        <v>OK</v>
      </c>
      <c r="J519" s="311" t="str">
        <f>IF($AA519=0,"",IF(INDEX($J$64:$J$500,MAX(1,$AA519))="","",INDEX($J$64:$J$500,MAX(1,$AA519))))</f>
        <v>미래에셋_WRAP형CMA</v>
      </c>
      <c r="K519" s="311" t="str">
        <f>IF($AA519=0,"",IF(INDEX($K$64:$K$500,MAX(1,$AA519))="","",INDEX($K$64:$K$500,MAX(1,$AA519))))</f>
        <v>외부</v>
      </c>
      <c r="L519" s="311" t="str">
        <f>IF($AA519=0,"",HYPERLINK("#'잔액'!A"&amp;($AA519+63),"원장 "&amp;($AA519+63)&amp;"행 ↗"))</f>
        <v>원장 242행 ↗</v>
      </c>
      <c r="AA519">
        <f>IFERROR(MATCH(($AA$501-1)*22+17,$Z$64:$Z$500,0),0)</f>
        <v>179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8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  <row r="72" ht="27" customHeight="1">
      <c r="A72" s="481" t="str">
        <f>TEXT($T$1,"m월")&amp;" 사용금액 요약"</f>
        <v>9월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</t>
        </is>
      </c>
      <c r="E74" s="582">
        <f>SUMIF($U$4:$U$24,"확정",$Q$4:$Q$24)+SUMIF($U$4:$U$24,"결제",$Q$4:$Q$24)+SUMIF($U$4:$U$24,"RAW 확인",$Q$4:$Q$24)+SUMIF($U$4:$U$24,"기존 입력",$Q$4:$Q$24)</f>
        <v>1244246</v>
      </c>
      <c r="J74" s="472" t="str">
        <f>"확정·기존 입력 기준. 미결제 예정 "&amp;TEXT(MAX(0,Q25-E74),"#,##0")&amp;"원은 합계에서 제외."</f>
        <v>확정·기존 입력 기준. 미결제 예정 0원은 합계에서 제외.</v>
      </c>
    </row>
    <row r="75" ht="32" customHeight="1">
      <c r="A75" t="inlineStr" s="472">
        <is>
          <t xml:space="preserve">가계부 달력합계</t>
        </is>
      </c>
      <c r="E75" s="582">
        <f>I33</f>
        <v>1912851</v>
      </c>
      <c r="J75" s="472" t="inlineStr">
        <is>
          <t xml:space="preserve">달력 실지출 합계 · 대리·미리결제는 별도로 더합니다.</t>
        </is>
      </c>
    </row>
    <row r="76" ht="32" customHeight="1">
      <c r="A76" t="inlineStr" s="472">
        <is>
          <t xml:space="preserve">테트리스 달력합계</t>
        </is>
      </c>
      <c r="E76" s="582">
        <f>SUM(I4,I9,I14,I19,I24,I29)</f>
        <v>1955000</v>
      </c>
      <c r="J76" s="472" t="inlineStr">
        <is>
          <t xml:space="preserve">거래별 천원 올림 합계 · 아래 사용금액 합계에는 다시 더하지 않습니다.</t>
        </is>
      </c>
    </row>
    <row r="77" ht="32" customHeight="1">
      <c r="A77" t="inlineStr" s="580">
        <is>
          <t xml:space="preserve">실 사용금액 합계</t>
        </is>
      </c>
      <c r="E77" s="581">
        <f>E74+E75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3157097</v>
      </c>
      <c r="J77" s="472" t="str">
        <f>"고정비 + 가계부 달력 + 대리·미리결제 "&amp;TEXT(E77-E74-E75,"#,##0")&amp;"원. 대납 포함 결제 총액이며 본인 소비와 구분."</f>
        <v>고정비 + 가계부 달력 + 대리·미리결제 0원. 대납 포함 결제 총액이며 본인 소비와 구분.</v>
      </c>
    </row>
    <row r="78" ht="32" customHeight="1">
      <c r="A78" t="inlineStr" s="580">
        <is>
          <t xml:space="preserve">최종 사용금액</t>
        </is>
      </c>
      <c r="E78" s="581">
        <f>E77+H39</f>
        <v>3318097</v>
      </c>
      <c r="J78" s="472" t="str">
        <f>"실 사용금액 + 추가 실지출 "&amp;TEXT(H39,"#,##0")&amp;"원 (이미 집계된 금액 제외)."</f>
        <v>실 사용금액 + 추가 실지출 161,000원 (이미 집계된 금액 제외).</v>
      </c>
    </row>
  </sheetData>
  <mergeCells count="56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78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46314.0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10/19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10/19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10/19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10/19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10/19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10/19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10/19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10/19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10/19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$2493&gt;=D13)*(RAW!$A$2323:$A$2493&lt;D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63000</v>
      </c>
      <c r="E14" s="35">
        <f>SUMPRODUCT((RAW!$A$2323:$A$2493&gt;=E13)*(RAW!$A$2323:$A$2493&lt;E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20000</v>
      </c>
      <c r="F14" s="35">
        <f>SUMPRODUCT((RAW!$A$2323:$A$2493&gt;=F13)*(RAW!$A$2323:$A$2493&lt;F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23000</v>
      </c>
      <c r="G14" s="35">
        <f>SUMPRODUCT((RAW!$A$2323:$A$2493&gt;=G13)*(RAW!$A$2323:$A$2493&lt;G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63000</v>
      </c>
      <c r="H14" s="35">
        <f>SUMPRODUCT((RAW!$A$2323:$A$2493&gt;=H13)*(RAW!$A$2323:$A$2493&lt;H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181000</v>
      </c>
      <c r="I14" s="45">
        <f>SUM(B14:H14)</f>
        <v>595000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10/19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179180</v>
      </c>
      <c r="I15" s="45">
        <f>SUM(B15:H15)</f>
        <v>587630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10/19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1820</v>
      </c>
      <c r="I16" s="45">
        <f>SUM(B16:H16)</f>
        <v>7370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10/19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10/19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10/19 기준 RAW 확인 · 10/04 거래</t>
        </is>
      </c>
    </row>
    <row r="19" spans="1:22" ht="29" customHeight="1">
      <c r="A19" s="31" t="s">
        <v>446</v>
      </c>
      <c r="B19" s="35">
        <f>SUMPRODUCT((RAW!$A$2323:$A$2493&gt;=B18)*(RAW!$A$2323:$A$2493&lt;B18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19000</v>
      </c>
      <c r="C19" s="35"/>
      <c r="D19" s="35"/>
      <c r="E19" s="35"/>
      <c r="F19" s="35"/>
      <c r="G19" s="35"/>
      <c r="H19" s="35"/>
      <c r="I19" s="45">
        <f>SUM(B19:H19)</f>
        <v>19000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10/19 RAW 집계에 없음 · 예정액 유지</t>
        </is>
      </c>
    </row>
    <row r="20" spans="1:22" ht="29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경조·선물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일회성전자")+SUMIFS(RAW!$K$2:$K$10018,RAW!$A$2:$A$10018,"&gt;="&amp;B18,RAW!$A$2:$A$10018,"&lt;"&amp;B18+1,RAW!$H$2:$H$10018,"지출",RAW!$L$2:$L$10018,"본인",RAW!$J$2:$J$10018,"여행")</f>
        <v>18900</v>
      </c>
      <c r="C20" s="35"/>
      <c r="D20" s="35"/>
      <c r="E20" s="35"/>
      <c r="F20" s="35"/>
      <c r="G20" s="35"/>
      <c r="H20" s="35"/>
      <c r="I20" s="45">
        <f>SUM(B20:H20)</f>
        <v>18900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10/19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  <v>100</v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100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10/19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10/19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10/19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1607000</v>
      </c>
      <c r="N28" s="367"/>
      <c r="O28" s="429" t="s">
        <v>234</v>
      </c>
      <c r="P28" s="367"/>
      <c r="Q28" s="431">
        <f>'10월계산기'!W12</f>
        <v>1607000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1607000</v>
      </c>
      <c r="N29" s="367"/>
      <c r="O29" s="429" t="s">
        <v>239</v>
      </c>
      <c r="P29" s="367"/>
      <c r="Q29" s="431">
        <f>'10월계산기'!W13</f>
        <v>1607000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24650</v>
      </c>
      <c r="N30" s="367"/>
      <c r="O30" s="429" t="s">
        <v>514</v>
      </c>
      <c r="P30" s="367"/>
      <c r="Q30" s="431">
        <f>SUM(I4,I9,I14,I19,I24,I29)-I33</f>
        <v>24650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inlineStr">
        <is>
          <t xml:space="preserve">달력에는 사용 사실을 표시하고 기존 목적자금 사용은 월급 부담에서 제외합니다. 계산기 색상을 바꾼 뒤 Calculate를 누르면 TRUE/FALSE가 갱신됩니다. 10월은 10/19까지 중간 집계입니다.</t>
        </is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1582350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1582350</v>
      </c>
      <c r="I38" s="27">
        <f>SUM(I4,I9,I14,I19,I24,I29)-'_예비비계산'!AH11</f>
        <v>1607000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110075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111000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2211447</v>
      </c>
      <c r="I44" s="37">
        <f>SUM(I37:I42)+I47-I43</f>
        <v>2241000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-1702164</v>
      </c>
      <c r="I45" s="113">
        <f>IF(H45="","",C41-I44)</f>
        <v>-1731717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44" customHeight="1">
      <c r="A53" s="96">
        <f>INT(RAW!A2474)</f>
        <v>46312.0</v>
      </c>
      <c r="B53" s="35" t="inlineStr">
        <is>
          <t xml:space="preserve">선불금</t>
        </is>
      </c>
      <c r="C53" s="101" t="inlineStr">
        <is>
          <t xml:space="preserve">플라잉 더치</t>
        </is>
      </c>
      <c r="D53" s="35">
        <f>RAW!K2474</f>
        <v>17000</v>
      </c>
      <c r="E53" s="35"/>
      <c r="F53" s="27">
        <f t="shared" si="6"/>
        <v>17000</v>
      </c>
      <c r="G53" s="35">
        <f>RAW!K2474</f>
        <v>17000</v>
      </c>
      <c r="H53" s="27">
        <f t="shared" si="7"/>
        <v>0</v>
      </c>
      <c r="I53" s="101" t="inlineStr">
        <is>
          <t xml:space="preserve">카카오페이머니: 달력에 1회 집계, 추가 합산 0원.</t>
        </is>
      </c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44" customHeight="1">
      <c r="A54" s="96">
        <f>INT(RAW!A2493)</f>
        <v>46314.0</v>
      </c>
      <c r="B54" s="35" t="inlineStr">
        <is>
          <t xml:space="preserve">현금</t>
        </is>
      </c>
      <c r="C54" s="101" t="inlineStr">
        <is>
          <t xml:space="preserve">보증보험료</t>
        </is>
      </c>
      <c r="D54" s="35">
        <f>RAW!K2493</f>
        <v>110075</v>
      </c>
      <c r="E54" s="35"/>
      <c r="F54" s="27">
        <f t="shared" si="6"/>
        <v>110075</v>
      </c>
      <c r="G54" s="35">
        <f>IF(AND(RAW!H2493="지출",RAW!L2493="본인",((RAW!J2493="경조·선물")+(RAW!J2493="담배")+(RAW!J2493="변동비")+(RAW!J2493="약속·만남")+(RAW!J2493="여행")+(RAW!J2493="일회성전자"))&gt;0),RAW!K2493,0)</f>
        <v>0</v>
      </c>
      <c r="H54" s="27">
        <f t="shared" si="7"/>
        <v>110075</v>
      </c>
      <c r="I54" s="101" t="inlineStr">
        <is>
          <t xml:space="preserve">연간 주거부대비. 달력 제외·추가 실지출에 1회 반영.</t>
        </is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110075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10/1~19 RAW 171건. 기존 164건 보존 + 카드 6건 105,450원·보증보험료 현금 110,075원 추가.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ht="27" customHeight="1">
      <c r="A72" s="481" t="str">
        <f>TEXT($T$1,"m월")&amp;" 사용금액 요약"</f>
        <v>10월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</t>
        </is>
      </c>
      <c r="E74" s="582">
        <f>SUMIF($U$4:$U$24,"확정",$Q$4:$Q$24)+SUMIF($U$4:$U$24,"결제",$Q$4:$Q$24)+SUMIF($U$4:$U$24,"RAW 확인",$Q$4:$Q$24)+SUMIF($U$4:$U$24,"기존 입력",$Q$4:$Q$24)</f>
        <v>470022</v>
      </c>
      <c r="J74" s="472" t="str">
        <f>"확정·기존 입력 기준. 미결제 예정 "&amp;TEXT(MAX(0,Q25-E74),"#,##0")&amp;"원은 합계에서 제외."</f>
        <v>확정·기존 입력 기준. 미결제 예정 762,073원은 합계에서 제외.</v>
      </c>
    </row>
    <row r="75" ht="32" customHeight="1">
      <c r="A75" t="inlineStr" s="472">
        <is>
          <t xml:space="preserve">가계부 달력합계</t>
        </is>
      </c>
      <c r="E75" s="582">
        <f>I33</f>
        <v>1582350</v>
      </c>
      <c r="J75" s="472" t="inlineStr">
        <is>
          <t xml:space="preserve">달력 실지출 합계 · 대리·미리결제는 별도로 더합니다.</t>
        </is>
      </c>
    </row>
    <row r="76" ht="32" customHeight="1">
      <c r="A76" t="inlineStr" s="472">
        <is>
          <t xml:space="preserve">테트리스 달력합계</t>
        </is>
      </c>
      <c r="E76" s="582">
        <f>SUM(I4,I9,I14,I19,I24,I29)</f>
        <v>1607000</v>
      </c>
      <c r="J76" s="472" t="inlineStr">
        <is>
          <t xml:space="preserve">거래별 천원 올림 합계 · 아래 사용금액 합계에는 다시 더하지 않습니다.</t>
        </is>
      </c>
    </row>
    <row r="77" ht="32" customHeight="1">
      <c r="A77" t="inlineStr" s="580">
        <is>
          <t xml:space="preserve">실 사용금액 합계</t>
        </is>
      </c>
      <c r="E77" s="581">
        <f>E74+E75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2155972</v>
      </c>
      <c r="J77" s="472" t="str">
        <f>"고정비 + 가계부 달력 + 대리·미리결제 "&amp;TEXT(E77-E74-E75,"#,##0")&amp;"원. 대납 포함 결제 총액이며 본인 소비와 구분."</f>
        <v>고정비 + 가계부 달력 + 대리·미리결제 103,600원. 대납 포함 결제 총액이며 본인 소비와 구분.</v>
      </c>
    </row>
    <row r="78" ht="32" customHeight="1">
      <c r="A78" t="inlineStr" s="580">
        <is>
          <t xml:space="preserve">최종 사용금액</t>
        </is>
      </c>
      <c r="E78" s="581">
        <f>E77+H39</f>
        <v>2266047</v>
      </c>
      <c r="J78" s="472" t="str">
        <f>"실 사용금액 + 추가 실지출 "&amp;TEXT(H39,"#,##0")&amp;"원 (이미 집계된 금액 제외)."</f>
        <v>실 사용금액 + 추가 실지출 110,075원 (이미 집계된 금액 제외).</v>
      </c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6">
    <mergeCell ref="M28:N28"/>
    <mergeCell ref="S29:T29"/>
    <mergeCell ref="U29:V29"/>
    <mergeCell ref="A47:D47"/>
    <mergeCell ref="S31:T31"/>
    <mergeCell ref="A50:I50"/>
    <mergeCell ref="S65:U65"/>
    <mergeCell ref="O28:P28"/>
    <mergeCell ref="S66:U66"/>
    <mergeCell ref="Q28:R28"/>
    <mergeCell ref="U30:V30"/>
    <mergeCell ref="O30:P30"/>
    <mergeCell ref="K29:L29"/>
    <mergeCell ref="S68:U68"/>
    <mergeCell ref="S28:T28"/>
    <mergeCell ref="K31:L31"/>
    <mergeCell ref="M31:N31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K27:V27"/>
    <mergeCell ref="S64:U64"/>
    <mergeCell ref="S63:U63"/>
    <mergeCell ref="U28:V28"/>
    <mergeCell ref="Q30:R30"/>
    <mergeCell ref="S30:T30"/>
    <mergeCell ref="K28:L28"/>
    <mergeCell ref="U31:V31"/>
    <mergeCell ref="A42:D46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345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345000</v>
      </c>
      <c r="AA3">
        <v>345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80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80000</v>
      </c>
      <c r="AA4">
        <v>80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165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165000</v>
      </c>
      <c r="AA6">
        <v>165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149000</v>
      </c>
      <c r="AA7">
        <v>149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315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315000</v>
      </c>
      <c r="AA9">
        <v>315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1607000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1607000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1607000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557"/>
      <c r="D90" s="560"/>
      <c r="E90" s="557"/>
      <c r="F90" s="560"/>
      <c r="G90" s="557"/>
      <c r="H90" s="560"/>
      <c r="I90" s="557"/>
      <c r="J90" s="562"/>
      <c r="K90" s="565"/>
      <c r="L90" s="562"/>
      <c r="M90" s="565"/>
      <c r="N90" s="562"/>
      <c r="O90" s="565"/>
      <c r="P90" s="562"/>
      <c r="Q90" s="565"/>
      <c r="R90" s="570"/>
      <c r="S90" s="573"/>
      <c r="T90" s="576"/>
      <c r="U90" s="573"/>
      <c r="V90" s="127"/>
      <c r="W90" s="127"/>
    </row>
    <row r="91" spans="1:23" s="106" customFormat="1" ht="12" customHeight="1">
      <c r="A91" s="127"/>
      <c r="B91" s="555"/>
      <c r="C91" s="558"/>
      <c r="D91" s="555"/>
      <c r="E91" s="558"/>
      <c r="F91" s="555"/>
      <c r="G91" s="558"/>
      <c r="H91" s="555"/>
      <c r="I91" s="558"/>
      <c r="J91" s="563"/>
      <c r="K91" s="566"/>
      <c r="L91" s="563"/>
      <c r="M91" s="566"/>
      <c r="N91" s="563"/>
      <c r="O91" s="566"/>
      <c r="P91" s="563"/>
      <c r="Q91" s="566"/>
      <c r="R91" s="571"/>
      <c r="S91" s="568"/>
      <c r="T91" s="577"/>
      <c r="U91" s="568"/>
      <c r="V91" s="127"/>
      <c r="W91" s="127"/>
    </row>
    <row r="92" spans="1:23" s="106" customFormat="1" ht="12" customHeight="1">
      <c r="A92" s="127"/>
      <c r="B92" s="555"/>
      <c r="C92" s="558"/>
      <c r="D92" s="555"/>
      <c r="E92" s="558"/>
      <c r="F92" s="555"/>
      <c r="G92" s="558"/>
      <c r="H92" s="555"/>
      <c r="I92" s="558"/>
      <c r="J92" s="564"/>
      <c r="K92" s="566"/>
      <c r="L92" s="564"/>
      <c r="M92" s="566"/>
      <c r="N92" s="563"/>
      <c r="O92" s="566"/>
      <c r="P92" s="563"/>
      <c r="Q92" s="566"/>
      <c r="R92" s="571"/>
      <c r="S92" s="568"/>
      <c r="T92" s="577"/>
      <c r="U92" s="568"/>
      <c r="V92" s="127"/>
      <c r="W92" s="127"/>
    </row>
    <row r="93" spans="1:23" s="106" customFormat="1" ht="12" customHeight="1">
      <c r="A93" s="127"/>
      <c r="B93" s="555"/>
      <c r="C93" s="558"/>
      <c r="D93" s="555"/>
      <c r="E93" s="558"/>
      <c r="F93" s="555"/>
      <c r="G93" s="558"/>
      <c r="H93" s="555"/>
      <c r="I93" s="558"/>
      <c r="J93" s="563"/>
      <c r="K93" s="566"/>
      <c r="L93" s="563"/>
      <c r="M93" s="566"/>
      <c r="N93" s="563"/>
      <c r="O93" s="566"/>
      <c r="P93" s="563"/>
      <c r="Q93" s="568"/>
      <c r="R93" s="571"/>
      <c r="S93" s="574"/>
      <c r="T93" s="578"/>
      <c r="U93" s="568"/>
      <c r="V93" s="127"/>
      <c r="W93" s="127"/>
    </row>
    <row r="94" spans="1:23" s="106" customFormat="1" ht="12" customHeight="1" thickBot="1">
      <c r="A94" s="146">
        <v>16</v>
      </c>
      <c r="B94" s="556"/>
      <c r="C94" s="559"/>
      <c r="D94" s="556"/>
      <c r="E94" s="559"/>
      <c r="F94" s="556"/>
      <c r="G94" s="559"/>
      <c r="H94" s="556"/>
      <c r="I94" s="561"/>
      <c r="J94" s="563"/>
      <c r="K94" s="561"/>
      <c r="L94" s="563"/>
      <c r="M94" s="561"/>
      <c r="N94" s="567"/>
      <c r="O94" s="561"/>
      <c r="P94" s="567"/>
      <c r="Q94" s="569"/>
      <c r="R94" s="572"/>
      <c r="S94" s="575"/>
      <c r="T94" s="579"/>
      <c r="U94" s="569"/>
      <c r="V94" s="127"/>
      <c r="W94" s="127"/>
    </row>
    <row r="95" spans="1:23" s="106" customFormat="1" ht="12" customHeight="1">
      <c r="A95" s="127"/>
      <c r="B95" s="570"/>
      <c r="C95" s="573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571"/>
      <c r="C96" s="568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57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57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572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1607000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1607000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10/19까지 카드 변동지출 6건·106칸 추가. 보증보험료 현금 110,075원은 월간 추가 실지출에서 별도 집계하며 색상 칸에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78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ht="27" customHeight="1">
      <c r="A72" s="481" t="str">
        <f>TEXT($T$1,"m월")&amp;" 사용금액 요약"</f>
        <v>11월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</t>
        </is>
      </c>
      <c r="E74" s="582">
        <f>SUMIF($U$4:$U$24,"확정",$Q$4:$Q$24)+SUMIF($U$4:$U$24,"결제",$Q$4:$Q$24)+SUMIF($U$4:$U$24,"RAW 확인",$Q$4:$Q$24)+SUMIF($U$4:$U$24,"기존 입력",$Q$4:$Q$24)</f>
        <v>0</v>
      </c>
      <c r="J74" s="472" t="str">
        <f>"확정·기존 입력 기준. 미결제 예정 "&amp;TEXT(MAX(0,Q25-E74),"#,##0")&amp;"원은 합계에서 제외."</f>
        <v>확정·기존 입력 기준. 미결제 예정 1,234,406원은 합계에서 제외.</v>
      </c>
    </row>
    <row r="75" ht="32" customHeight="1">
      <c r="A75" t="inlineStr" s="472">
        <is>
          <t xml:space="preserve">가계부 달력합계</t>
        </is>
      </c>
      <c r="E75" s="582">
        <f>I33</f>
        <v>0</v>
      </c>
      <c r="J75" s="472" t="inlineStr">
        <is>
          <t xml:space="preserve">달력 실지출 합계 · 대리·미리결제는 별도로 더합니다.</t>
        </is>
      </c>
    </row>
    <row r="76" ht="32" customHeight="1">
      <c r="A76" t="inlineStr" s="472">
        <is>
          <t xml:space="preserve">테트리스 달력합계</t>
        </is>
      </c>
      <c r="E76" s="582">
        <f>SUM(I4,I9,I14,I19,I24,I29)</f>
        <v>0</v>
      </c>
      <c r="J76" s="472" t="inlineStr">
        <is>
          <t xml:space="preserve">거래별 천원 올림 합계 · 아래 사용금액 합계에는 다시 더하지 않습니다.</t>
        </is>
      </c>
    </row>
    <row r="77" ht="32" customHeight="1">
      <c r="A77" t="inlineStr" s="580">
        <is>
          <t xml:space="preserve">실 사용금액 합계</t>
        </is>
      </c>
      <c r="E77" s="581">
        <f>E74+E75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J77" s="472" t="str">
        <f>"고정비 + 가계부 달력 + 대리·미리결제 "&amp;TEXT(E77-E74-E75,"#,##0")&amp;"원. 대납 포함 결제 총액이며 본인 소비와 구분."</f>
        <v>고정비 + 가계부 달력 + 대리·미리결제 0원. 대납 포함 결제 총액이며 본인 소비와 구분.</v>
      </c>
    </row>
    <row r="78" ht="32" customHeight="1">
      <c r="A78" t="inlineStr" s="580">
        <is>
          <t xml:space="preserve">최종 사용금액</t>
        </is>
      </c>
      <c r="E78" s="581">
        <f>E77+H39</f>
        <v>0</v>
      </c>
      <c r="J78" s="472" t="str">
        <f>"실 사용금액 + 추가 실지출 "&amp;TEXT(H39,"#,##0")&amp;"원 (이미 집계된 금액 제외)."</f>
        <v>실 사용금액 + 추가 실지출 0원 (이미 집계된 금액 제외).</v>
      </c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5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78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ht="27" customHeight="1">
      <c r="A72" s="481" t="str">
        <f>TEXT($T$1,"m월")&amp;" 사용금액 요약"</f>
        <v>12월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</t>
        </is>
      </c>
      <c r="E74" s="582">
        <f>SUMIF($U$4:$U$24,"확정",$Q$4:$Q$24)+SUMIF($U$4:$U$24,"결제",$Q$4:$Q$24)+SUMIF($U$4:$U$24,"RAW 확인",$Q$4:$Q$24)+SUMIF($U$4:$U$24,"기존 입력",$Q$4:$Q$24)</f>
        <v>0</v>
      </c>
      <c r="J74" s="472" t="str">
        <f>"확정·기존 입력 기준. 미결제 예정 "&amp;TEXT(MAX(0,Q25-E74),"#,##0")&amp;"원은 합계에서 제외."</f>
        <v>확정·기존 입력 기준. 미결제 예정 1,234,406원은 합계에서 제외.</v>
      </c>
    </row>
    <row r="75" ht="32" customHeight="1">
      <c r="A75" t="inlineStr" s="472">
        <is>
          <t xml:space="preserve">가계부 달력합계</t>
        </is>
      </c>
      <c r="E75" s="582">
        <f>I33</f>
        <v>0</v>
      </c>
      <c r="J75" s="472" t="inlineStr">
        <is>
          <t xml:space="preserve">달력 실지출 합계 · 대리·미리결제는 별도로 더합니다.</t>
        </is>
      </c>
    </row>
    <row r="76" ht="32" customHeight="1">
      <c r="A76" t="inlineStr" s="472">
        <is>
          <t xml:space="preserve">테트리스 달력합계</t>
        </is>
      </c>
      <c r="E76" s="582">
        <f>SUM(I4,I9,I14,I19,I24,I29)</f>
        <v>0</v>
      </c>
      <c r="J76" s="472" t="inlineStr">
        <is>
          <t xml:space="preserve">거래별 천원 올림 합계 · 아래 사용금액 합계에는 다시 더하지 않습니다.</t>
        </is>
      </c>
    </row>
    <row r="77" ht="32" customHeight="1">
      <c r="A77" t="inlineStr" s="580">
        <is>
          <t xml:space="preserve">실 사용금액 합계</t>
        </is>
      </c>
      <c r="E77" s="581">
        <f>E74+E75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J77" s="472" t="str">
        <f>"고정비 + 가계부 달력 + 대리·미리결제 "&amp;TEXT(E77-E74-E75,"#,##0")&amp;"원. 대납 포함 결제 총액이며 본인 소비와 구분."</f>
        <v>고정비 + 가계부 달력 + 대리·미리결제 0원. 대납 포함 결제 총액이며 본인 소비와 구분.</v>
      </c>
    </row>
    <row r="78" ht="32" customHeight="1">
      <c r="A78" t="inlineStr" s="580">
        <is>
          <t xml:space="preserve">최종 사용금액</t>
        </is>
      </c>
      <c r="E78" s="581">
        <f>E77+H39</f>
        <v>0</v>
      </c>
      <c r="J78" s="472" t="str">
        <f>"실 사용금액 + 추가 실지출 "&amp;TEXT(H39,"#,##0")&amp;"원 (이미 집계된 금액 제외)."</f>
        <v>실 사용금액 + 추가 실지출 0원 (이미 집계된 금액 제외).</v>
      </c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5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93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2026-10-19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10/1~19 RAW 171건: 기존 164건 유지 + 신규 7건. WRAP 16건·타계좌 48건·카드사용 107건.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inlineStr">
        <is>
          <t xml:space="preserve">양배추 대리구매</t>
        </is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inlineStr">
        <is>
          <t xml:space="preserve"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      </is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플라잉 더치 구매 RAW 2474행 17,000원의 재원: 이번 충전 15,700원 + 이미 회수한 양배추 대납금 1,300원(RAW 2376행). WRAP 원장 248행에서 충전만 차감하며 소비 재합산 제외. 원본 입력 시각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  <row r="2487" spans="1:19">
      <c r="A2487" s="114">
        <v>46313.9158678125</v>
      </c>
      <c r="B2487" s="78">
        <v>46296.0</v>
      </c>
      <c r="C2487" s="76" t="inlineStr">
        <is>
          <t xml:space="preserve">우리카드의정석SUPER</t>
        </is>
      </c>
      <c r="D2487" s="76" t="inlineStr">
        <is>
          <t xml:space="preserve">잡화/소품/가구/생필품</t>
        </is>
      </c>
      <c r="E2487" s="76"/>
      <c r="F2487" s="76" t="inlineStr">
        <is>
          <t xml:space="preserve">29cm</t>
        </is>
      </c>
      <c r="G2487" s="79">
        <v>37760</v>
      </c>
      <c r="H2487" s="76" t="inlineStr">
        <is>
          <t xml:space="preserve">지출</t>
        </is>
      </c>
      <c r="I2487" s="76" t="inlineStr">
        <is>
          <t xml:space="preserve">지켜텀</t>
        </is>
      </c>
      <c r="J2487" s="76" t="inlineStr">
        <is>
          <t xml:space="preserve">변동비</t>
        </is>
      </c>
      <c r="K2487" s="79">
        <v>37760</v>
      </c>
      <c r="L2487" s="76" t="inlineStr">
        <is>
          <t xml:space="preserve">본인</t>
        </is>
      </c>
      <c r="M2487" s="76" t="inlineStr">
        <is>
          <t xml:space="preserve">10/19 첨부 RAW 8행. 본인 카드 변동지출·달력·계산기 반영. WRAP에서 재차 차감하지 않음.</t>
        </is>
      </c>
      <c r="N2487" s="76" t="str">
        <f>IF(R2487="WRAP",IF((COUNTIF(잔액!$W$64:$W$500,ROW())+COUNTIF(잔액!$X$64:$X$500,ROW()))=1,"연결",IF((COUNTIF(잔액!$W$64:$W$500,ROW())+COUNTIF(잔액!$X$64:$X$500,ROW()))=0,"누락","중복")),IF(R2487="카드사용","월간·계산기","타계좌·잔액제외"))</f>
        <v>월간·계산기</v>
      </c>
      <c r="O2487"/>
      <c r="P2487"/>
      <c r="Q2487"/>
      <c r="R2487" s="76" t="inlineStr">
        <is>
          <t xml:space="preserve">카드사용</t>
        </is>
      </c>
      <c r="S2487" s="76"/>
    </row>
    <row r="2488" spans="1:19">
      <c r="A2488" s="114">
        <v>46313.916194178244</v>
      </c>
      <c r="B2488" s="78">
        <v>46296.0</v>
      </c>
      <c r="C2488" s="76" t="inlineStr">
        <is>
          <t xml:space="preserve">KB쿠팡와우</t>
        </is>
      </c>
      <c r="D2488" s="76" t="inlineStr">
        <is>
          <t xml:space="preserve">패션/미용</t>
        </is>
      </c>
      <c r="E2488" s="76"/>
      <c r="F2488" s="76" t="inlineStr">
        <is>
          <t xml:space="preserve">쿠팡</t>
        </is>
      </c>
      <c r="G2488" s="79">
        <v>38990</v>
      </c>
      <c r="H2488" s="76" t="inlineStr">
        <is>
          <t xml:space="preserve">지출</t>
        </is>
      </c>
      <c r="I2488" s="76" t="inlineStr">
        <is>
          <t xml:space="preserve">헤라 블랙쿠션 25호</t>
        </is>
      </c>
      <c r="J2488" s="76" t="inlineStr">
        <is>
          <t xml:space="preserve">변동비</t>
        </is>
      </c>
      <c r="K2488" s="79">
        <v>38990</v>
      </c>
      <c r="L2488" s="76" t="inlineStr">
        <is>
          <t xml:space="preserve">본인</t>
        </is>
      </c>
      <c r="M2488" s="76" t="inlineStr">
        <is>
          <t xml:space="preserve">10/19 첨부 RAW 7행. 본인 카드 변동지출·달력·계산기 반영. WRAP에서 재차 차감하지 않음.</t>
        </is>
      </c>
      <c r="N2488" s="76" t="str">
        <f>IF(R2488="WRAP",IF((COUNTIF(잔액!$W$64:$W$500,ROW())+COUNTIF(잔액!$X$64:$X$500,ROW()))=1,"연결",IF((COUNTIF(잔액!$W$64:$W$500,ROW())+COUNTIF(잔액!$X$64:$X$500,ROW()))=0,"누락","중복")),IF(R2488="카드사용","월간·계산기","타계좌·잔액제외"))</f>
        <v>월간·계산기</v>
      </c>
      <c r="O2488"/>
      <c r="P2488"/>
      <c r="Q2488"/>
      <c r="R2488" s="76" t="inlineStr">
        <is>
          <t xml:space="preserve">카드사용</t>
        </is>
      </c>
      <c r="S2488" s="76"/>
    </row>
    <row r="2489" spans="1:19">
      <c r="A2489" s="114">
        <v>46313.91664849537</v>
      </c>
      <c r="B2489" s="78">
        <v>46296.0</v>
      </c>
      <c r="C2489" s="76" t="inlineStr">
        <is>
          <t xml:space="preserve">우리카드의정석SUPER</t>
        </is>
      </c>
      <c r="D2489" s="76" t="inlineStr">
        <is>
          <t xml:space="preserve">식비</t>
        </is>
      </c>
      <c r="E2489" s="76" t="inlineStr">
        <is>
          <t xml:space="preserve">음료/디저트/간식</t>
        </is>
      </c>
      <c r="F2489" s="76" t="inlineStr">
        <is>
          <t xml:space="preserve">CU</t>
        </is>
      </c>
      <c r="G2489" s="79">
        <v>9800</v>
      </c>
      <c r="H2489" s="76" t="inlineStr">
        <is>
          <t xml:space="preserve">지출</t>
        </is>
      </c>
      <c r="I2489" s="76" t="inlineStr">
        <is>
          <t xml:space="preserve">간식</t>
        </is>
      </c>
      <c r="J2489" s="76" t="inlineStr">
        <is>
          <t xml:space="preserve">변동비</t>
        </is>
      </c>
      <c r="K2489" s="79">
        <v>9800</v>
      </c>
      <c r="L2489" s="76" t="inlineStr">
        <is>
          <t xml:space="preserve">본인</t>
        </is>
      </c>
      <c r="M2489" s="76" t="inlineStr">
        <is>
          <t xml:space="preserve">10/19 첨부 RAW 6행. 본인 카드 변동지출·달력·계산기 반영. WRAP에서 재차 차감하지 않음.</t>
        </is>
      </c>
      <c r="N2489" s="76" t="str">
        <f>IF(R2489="WRAP",IF((COUNTIF(잔액!$W$64:$W$500,ROW())+COUNTIF(잔액!$X$64:$X$500,ROW()))=1,"연결",IF((COUNTIF(잔액!$W$64:$W$500,ROW())+COUNTIF(잔액!$X$64:$X$500,ROW()))=0,"누락","중복")),IF(R2489="카드사용","월간·계산기","타계좌·잔액제외"))</f>
        <v>월간·계산기</v>
      </c>
      <c r="O2489"/>
      <c r="P2489"/>
      <c r="Q2489"/>
      <c r="R2489" s="76" t="inlineStr">
        <is>
          <t xml:space="preserve">카드사용</t>
        </is>
      </c>
      <c r="S2489" s="76"/>
    </row>
    <row r="2490" spans="1:19">
      <c r="A2490" s="114">
        <v>46314.3802746875</v>
      </c>
      <c r="B2490" s="78">
        <v>46296.0</v>
      </c>
      <c r="C2490" s="76" t="inlineStr">
        <is>
          <t xml:space="preserve">우리카드의정석SUPER</t>
        </is>
      </c>
      <c r="D2490" s="76" t="inlineStr">
        <is>
          <t xml:space="preserve">기타</t>
        </is>
      </c>
      <c r="E2490" s="76"/>
      <c r="F2490" s="76" t="inlineStr">
        <is>
          <t xml:space="preserve">기타</t>
        </is>
      </c>
      <c r="G2490" s="79">
        <v>5000</v>
      </c>
      <c r="H2490" s="76" t="inlineStr">
        <is>
          <t xml:space="preserve">지출</t>
        </is>
      </c>
      <c r="I2490" s="76"/>
      <c r="J2490" s="76" t="inlineStr">
        <is>
          <t xml:space="preserve">변동비</t>
        </is>
      </c>
      <c r="K2490" s="79">
        <v>5000</v>
      </c>
      <c r="L2490" s="76" t="inlineStr">
        <is>
          <t xml:space="preserve">본인</t>
        </is>
      </c>
      <c r="M2490" s="76" t="inlineStr">
        <is>
          <t xml:space="preserve">10/19 첨부 RAW 5행. 본인 카드 변동지출·달력·계산기 반영. WRAP에서 재차 차감하지 않음.</t>
        </is>
      </c>
      <c r="N2490" s="76" t="str">
        <f>IF(R2490="WRAP",IF((COUNTIF(잔액!$W$64:$W$500,ROW())+COUNTIF(잔액!$X$64:$X$500,ROW()))=1,"연결",IF((COUNTIF(잔액!$W$64:$W$500,ROW())+COUNTIF(잔액!$X$64:$X$500,ROW()))=0,"누락","중복")),IF(R2490="카드사용","월간·계산기","타계좌·잔액제외"))</f>
        <v>월간·계산기</v>
      </c>
      <c r="O2490"/>
      <c r="P2490"/>
      <c r="Q2490"/>
      <c r="R2490" s="76" t="inlineStr">
        <is>
          <t xml:space="preserve">카드사용</t>
        </is>
      </c>
      <c r="S2490" s="76"/>
    </row>
    <row r="2491" spans="1:19">
      <c r="A2491" s="114">
        <v>46314.380310671295</v>
      </c>
      <c r="B2491" s="78">
        <v>46296.0</v>
      </c>
      <c r="C2491" s="76" t="inlineStr">
        <is>
          <t xml:space="preserve">우리카드의정석SUPER</t>
        </is>
      </c>
      <c r="D2491" s="76" t="inlineStr">
        <is>
          <t xml:space="preserve">건강/보험/의료</t>
        </is>
      </c>
      <c r="E2491" s="76" t="inlineStr">
        <is>
          <t xml:space="preserve">영양제</t>
        </is>
      </c>
      <c r="F2491" s="76" t="inlineStr">
        <is>
          <t xml:space="preserve">CU</t>
        </is>
      </c>
      <c r="G2491" s="79">
        <v>1900</v>
      </c>
      <c r="H2491" s="76" t="inlineStr">
        <is>
          <t xml:space="preserve">지출</t>
        </is>
      </c>
      <c r="I2491" s="76" t="inlineStr">
        <is>
          <t xml:space="preserve">아르기닌</t>
        </is>
      </c>
      <c r="J2491" s="76" t="inlineStr">
        <is>
          <t xml:space="preserve">변동비</t>
        </is>
      </c>
      <c r="K2491" s="79">
        <v>1900</v>
      </c>
      <c r="L2491" s="76" t="inlineStr">
        <is>
          <t xml:space="preserve">본인</t>
        </is>
      </c>
      <c r="M2491" s="76" t="inlineStr">
        <is>
          <t xml:space="preserve">10/19 첨부 RAW 4행. 본인 카드 변동지출·달력·계산기 반영. WRAP에서 재차 차감하지 않음.</t>
        </is>
      </c>
      <c r="N2491" s="76" t="str">
        <f>IF(R2491="WRAP",IF((COUNTIF(잔액!$W$64:$W$500,ROW())+COUNTIF(잔액!$X$64:$X$500,ROW()))=1,"연결",IF((COUNTIF(잔액!$W$64:$W$500,ROW())+COUNTIF(잔액!$X$64:$X$500,ROW()))=0,"누락","중복")),IF(R2491="카드사용","월간·계산기","타계좌·잔액제외"))</f>
        <v>월간·계산기</v>
      </c>
      <c r="O2491"/>
      <c r="P2491"/>
      <c r="Q2491"/>
      <c r="R2491" s="76" t="inlineStr">
        <is>
          <t xml:space="preserve">카드사용</t>
        </is>
      </c>
      <c r="S2491" s="76"/>
    </row>
    <row r="2492" spans="1:19">
      <c r="A2492" s="114">
        <v>46314.8659765625</v>
      </c>
      <c r="B2492" s="78">
        <v>46296.0</v>
      </c>
      <c r="C2492" s="76" t="inlineStr">
        <is>
          <t xml:space="preserve">우리카드의정석SUPER</t>
        </is>
      </c>
      <c r="D2492" s="76" t="inlineStr">
        <is>
          <t xml:space="preserve">식비</t>
        </is>
      </c>
      <c r="E2492" s="76" t="inlineStr">
        <is>
          <t xml:space="preserve">식대</t>
        </is>
      </c>
      <c r="F2492" s="76" t="inlineStr">
        <is>
          <t xml:space="preserve">세이돈부리</t>
        </is>
      </c>
      <c r="G2492" s="79">
        <v>12000</v>
      </c>
      <c r="H2492" s="76" t="inlineStr">
        <is>
          <t xml:space="preserve">지출</t>
        </is>
      </c>
      <c r="I2492" s="76"/>
      <c r="J2492" s="76" t="inlineStr">
        <is>
          <t xml:space="preserve">변동비</t>
        </is>
      </c>
      <c r="K2492" s="79">
        <v>12000</v>
      </c>
      <c r="L2492" s="76" t="inlineStr">
        <is>
          <t xml:space="preserve">본인</t>
        </is>
      </c>
      <c r="M2492" s="76" t="inlineStr">
        <is>
          <t xml:space="preserve">10/19 첨부 RAW 3행. 본인 카드 변동지출·달력·계산기 반영. WRAP에서 재차 차감하지 않음.</t>
        </is>
      </c>
      <c r="N2492" s="76" t="str">
        <f>IF(R2492="WRAP",IF((COUNTIF(잔액!$W$64:$W$500,ROW())+COUNTIF(잔액!$X$64:$X$500,ROW()))=1,"연결",IF((COUNTIF(잔액!$W$64:$W$500,ROW())+COUNTIF(잔액!$X$64:$X$500,ROW()))=0,"누락","중복")),IF(R2492="카드사용","월간·계산기","타계좌·잔액제외"))</f>
        <v>월간·계산기</v>
      </c>
      <c r="O2492"/>
      <c r="P2492"/>
      <c r="Q2492"/>
      <c r="R2492" s="76" t="inlineStr">
        <is>
          <t xml:space="preserve">카드사용</t>
        </is>
      </c>
      <c r="S2492" s="76"/>
    </row>
    <row r="2493" spans="1:19">
      <c r="A2493" s="114">
        <v>46314.86666929398</v>
      </c>
      <c r="B2493" s="78">
        <v>46296.0</v>
      </c>
      <c r="C2493" s="76" t="inlineStr">
        <is>
          <t xml:space="preserve">미래에셋_WRAP형CMA</t>
        </is>
      </c>
      <c r="D2493" s="76" t="inlineStr">
        <is>
          <t xml:space="preserve">주거</t>
        </is>
      </c>
      <c r="E2493" s="76"/>
      <c r="F2493" s="76" t="inlineStr">
        <is>
          <t xml:space="preserve">보증보험료</t>
        </is>
      </c>
      <c r="G2493" s="79">
        <v>110075</v>
      </c>
      <c r="H2493" s="76" t="inlineStr">
        <is>
          <t xml:space="preserve">지출</t>
        </is>
      </c>
      <c r="I2493" s="76" t="inlineStr">
        <is>
          <t xml:space="preserve">2026.09.10 ~ 2027.09.09</t>
        </is>
      </c>
      <c r="J2493" s="76" t="inlineStr">
        <is>
          <t xml:space="preserve">이사부대</t>
        </is>
      </c>
      <c r="K2493" s="79">
        <v>110075</v>
      </c>
      <c r="L2493" s="76" t="inlineStr">
        <is>
          <t xml:space="preserve">본인</t>
        </is>
      </c>
      <c r="M2493" s="76" t="inlineStr">
        <is>
          <t xml:space="preserve">10/19 첨부 RAW 2행. 9월 동일 보증보험료의 이사부대 분류 유지. 연간 주거부대 현금 지출로 추가 실지출 표에 1회 반영; 월 정기보험비·예비비와 분리.</t>
        </is>
      </c>
      <c r="N2493" s="76" t="str">
        <f>IF(R2493="WRAP",IF((COUNTIF(잔액!$W$64:$W$500,ROW())+COUNTIF(잔액!$X$64:$X$500,ROW()))=1,"연결",IF((COUNTIF(잔액!$W$64:$W$500,ROW())+COUNTIF(잔액!$X$64:$X$500,ROW()))=0,"누락","중복")),IF(R2493="카드사용","월간·계산기","타계좌·잔액제외"))</f>
        <v>연결</v>
      </c>
      <c r="O2493"/>
      <c r="P2493"/>
      <c r="Q2493"/>
      <c r="R2493" s="76" t="inlineStr">
        <is>
          <t xml:space="preserve">WRAP</t>
        </is>
      </c>
      <c r="S2493" s="76" t="inlineStr">
        <is>
          <t xml:space="preserve">출금</t>
        </is>
      </c>
    </row>
  </sheetData>
  <autoFilter ref="A1:S2493" xr:uid="{00000000-0009-0000-0000-00001C000000}"/>
  <phoneticPr fontId="27" type="noConversion"/>
  <conditionalFormatting sqref="N2323:N2493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>
        <f>IFERROR(INDEX(잔액!$A:$A,BA305),0)</f>
        <v>46314.86666929398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