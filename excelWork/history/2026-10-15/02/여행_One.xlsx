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365changwon-my.sharepoint.com/personal/snuwing_staff_changwon_ac_kr/Documents/docu/"/>
    </mc:Choice>
  </mc:AlternateContent>
  <xr:revisionPtr revIDLastSave="443" documentId="8_{E48EB1B6-2FEC-4187-8E26-60EE71CB99D1}" xr6:coauthVersionLast="47" xr6:coauthVersionMax="47" xr10:uidLastSave="{3DB66DFF-0951-7044-B850-9B2FBE17508C}"/>
  <bookViews>
    <workbookView xWindow="10540" yWindow="600" windowWidth="25100" windowHeight="19380" activeTab="2" xr2:uid="{012094D0-E511-46B7-8810-47226595FD0A}"/>
  </bookViews>
  <sheets>
    <sheet name="25동계휴양_해운대" sheetId="2" r:id="rId1"/>
    <sheet name="26봄나들이_대구" sheetId="3" r:id="rId2"/>
    <sheet name="26하계휴양_산청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" i="4" l="1"/>
  <c r="H6" i="4" s="1"/>
  <c r="H11" i="4"/>
  <c r="H10" i="4"/>
  <c r="I10" i="4"/>
  <c r="B8" i="4"/>
  <c r="G8" i="4" s="1"/>
  <c r="H5" i="4"/>
  <c r="I5" i="4"/>
  <c r="N15" i="4"/>
  <c r="J16" i="4" s="1"/>
  <c r="K16" i="4" s="1"/>
  <c r="J14" i="4"/>
  <c r="G14" i="4"/>
  <c r="F14" i="4"/>
  <c r="E14" i="4"/>
  <c r="D14" i="4"/>
  <c r="J13" i="4"/>
  <c r="G13" i="4"/>
  <c r="F13" i="4"/>
  <c r="E13" i="4"/>
  <c r="D13" i="4"/>
  <c r="J12" i="4"/>
  <c r="G12" i="4"/>
  <c r="F12" i="4"/>
  <c r="E12" i="4"/>
  <c r="D12" i="4"/>
  <c r="E11" i="4"/>
  <c r="J10" i="4"/>
  <c r="G10" i="4"/>
  <c r="F10" i="4"/>
  <c r="E10" i="4"/>
  <c r="D10" i="4"/>
  <c r="J9" i="4"/>
  <c r="I9" i="4"/>
  <c r="G9" i="4"/>
  <c r="F9" i="4"/>
  <c r="E9" i="4"/>
  <c r="D9" i="4"/>
  <c r="J7" i="4"/>
  <c r="I7" i="4"/>
  <c r="G7" i="4"/>
  <c r="F7" i="4"/>
  <c r="E7" i="4"/>
  <c r="D7" i="4"/>
  <c r="J5" i="4"/>
  <c r="G5" i="4"/>
  <c r="F5" i="4"/>
  <c r="E5" i="4"/>
  <c r="D5" i="4"/>
  <c r="D13" i="3"/>
  <c r="E13" i="3"/>
  <c r="F13" i="3"/>
  <c r="G13" i="3"/>
  <c r="I13" i="3"/>
  <c r="I12" i="3"/>
  <c r="E12" i="3"/>
  <c r="F12" i="3"/>
  <c r="G12" i="3"/>
  <c r="D12" i="3"/>
  <c r="B11" i="3"/>
  <c r="I11" i="3" s="1"/>
  <c r="I10" i="3"/>
  <c r="G10" i="3"/>
  <c r="F10" i="3"/>
  <c r="E10" i="3"/>
  <c r="D10" i="3"/>
  <c r="M15" i="3"/>
  <c r="B16" i="3" s="1"/>
  <c r="D16" i="3" s="1"/>
  <c r="I8" i="3"/>
  <c r="I9" i="3"/>
  <c r="I14" i="3"/>
  <c r="I7" i="3"/>
  <c r="H8" i="3"/>
  <c r="H9" i="3"/>
  <c r="H7" i="3"/>
  <c r="G8" i="3"/>
  <c r="G9" i="3"/>
  <c r="G14" i="3"/>
  <c r="G7" i="3"/>
  <c r="F8" i="3"/>
  <c r="F9" i="3"/>
  <c r="F14" i="3"/>
  <c r="F7" i="3"/>
  <c r="E8" i="3"/>
  <c r="E9" i="3"/>
  <c r="E14" i="3"/>
  <c r="E7" i="3"/>
  <c r="D14" i="3"/>
  <c r="D9" i="3"/>
  <c r="D8" i="3"/>
  <c r="D7" i="3"/>
  <c r="I6" i="3"/>
  <c r="G6" i="3"/>
  <c r="F6" i="3"/>
  <c r="E6" i="3"/>
  <c r="D6" i="3"/>
  <c r="I5" i="3"/>
  <c r="G5" i="3"/>
  <c r="F5" i="3"/>
  <c r="E5" i="3"/>
  <c r="D5" i="3"/>
  <c r="H7" i="2"/>
  <c r="H8" i="2"/>
  <c r="H9" i="2"/>
  <c r="H10" i="2"/>
  <c r="D6" i="4" l="1"/>
  <c r="F6" i="4"/>
  <c r="G6" i="4"/>
  <c r="J6" i="4"/>
  <c r="E6" i="4"/>
  <c r="I6" i="4"/>
  <c r="I8" i="4"/>
  <c r="J8" i="4"/>
  <c r="D8" i="4"/>
  <c r="J13" i="3"/>
  <c r="K13" i="3" s="1"/>
  <c r="J12" i="3"/>
  <c r="K12" i="3" s="1"/>
  <c r="E8" i="4"/>
  <c r="H12" i="2"/>
  <c r="H14" i="2" s="1"/>
  <c r="H15" i="2" s="1"/>
  <c r="F8" i="4"/>
  <c r="H8" i="4"/>
  <c r="H15" i="4" s="1"/>
  <c r="H17" i="4" s="1"/>
  <c r="H18" i="4" s="1"/>
  <c r="K7" i="4"/>
  <c r="L7" i="4" s="1"/>
  <c r="I15" i="4"/>
  <c r="I17" i="4" s="1"/>
  <c r="I18" i="4" s="1"/>
  <c r="K6" i="4"/>
  <c r="L6" i="4" s="1"/>
  <c r="K9" i="4"/>
  <c r="L9" i="4" s="1"/>
  <c r="K13" i="4"/>
  <c r="L13" i="4" s="1"/>
  <c r="K12" i="4"/>
  <c r="L12" i="4" s="1"/>
  <c r="K10" i="4"/>
  <c r="L10" i="4" s="1"/>
  <c r="K14" i="4"/>
  <c r="L14" i="4" s="1"/>
  <c r="K5" i="4"/>
  <c r="L5" i="4" s="1"/>
  <c r="L16" i="4"/>
  <c r="G11" i="4"/>
  <c r="G15" i="4" s="1"/>
  <c r="G17" i="4" s="1"/>
  <c r="G18" i="4" s="1"/>
  <c r="D16" i="4"/>
  <c r="F11" i="4"/>
  <c r="J11" i="4"/>
  <c r="B15" i="4"/>
  <c r="D11" i="4"/>
  <c r="J10" i="3"/>
  <c r="K10" i="3" s="1"/>
  <c r="G11" i="3"/>
  <c r="G15" i="3" s="1"/>
  <c r="G17" i="3" s="1"/>
  <c r="G18" i="3" s="1"/>
  <c r="D11" i="3"/>
  <c r="D15" i="3" s="1"/>
  <c r="F11" i="3"/>
  <c r="F15" i="3" s="1"/>
  <c r="F17" i="3" s="1"/>
  <c r="E11" i="3"/>
  <c r="I16" i="3"/>
  <c r="J16" i="3" s="1"/>
  <c r="K16" i="3" s="1"/>
  <c r="J7" i="3"/>
  <c r="K7" i="3" s="1"/>
  <c r="J6" i="3"/>
  <c r="K6" i="3" s="1"/>
  <c r="H15" i="3"/>
  <c r="H17" i="3" s="1"/>
  <c r="H18" i="3" s="1"/>
  <c r="I15" i="3"/>
  <c r="J8" i="3"/>
  <c r="K8" i="3" s="1"/>
  <c r="J14" i="3"/>
  <c r="K14" i="3" s="1"/>
  <c r="B15" i="3"/>
  <c r="J9" i="3"/>
  <c r="K9" i="3" s="1"/>
  <c r="J5" i="3"/>
  <c r="J15" i="4" l="1"/>
  <c r="J17" i="4" s="1"/>
  <c r="J18" i="4" s="1"/>
  <c r="E15" i="4"/>
  <c r="E17" i="4" s="1"/>
  <c r="E18" i="4" s="1"/>
  <c r="D15" i="4"/>
  <c r="K8" i="4"/>
  <c r="L8" i="4" s="1"/>
  <c r="F15" i="4"/>
  <c r="F17" i="4" s="1"/>
  <c r="F18" i="4" s="1"/>
  <c r="J11" i="3"/>
  <c r="K11" i="3" s="1"/>
  <c r="K11" i="4"/>
  <c r="E15" i="3"/>
  <c r="E17" i="3" s="1"/>
  <c r="E18" i="3" s="1"/>
  <c r="I17" i="3"/>
  <c r="I18" i="3" s="1"/>
  <c r="J15" i="3"/>
  <c r="J17" i="3" s="1"/>
  <c r="K5" i="3"/>
  <c r="F18" i="3"/>
  <c r="L11" i="4" l="1"/>
  <c r="K15" i="4"/>
  <c r="K15" i="3"/>
  <c r="B11" i="2"/>
  <c r="B12" i="2" s="1"/>
  <c r="K13" i="2"/>
  <c r="L13" i="2" s="1"/>
  <c r="D6" i="2"/>
  <c r="E6" i="2"/>
  <c r="F6" i="2"/>
  <c r="G6" i="2"/>
  <c r="I6" i="2"/>
  <c r="J6" i="2"/>
  <c r="I11" i="2"/>
  <c r="J11" i="2"/>
  <c r="F10" i="2"/>
  <c r="G10" i="2"/>
  <c r="I10" i="2"/>
  <c r="J10" i="2"/>
  <c r="F9" i="2"/>
  <c r="G9" i="2"/>
  <c r="I9" i="2"/>
  <c r="J9" i="2"/>
  <c r="F8" i="2"/>
  <c r="G8" i="2"/>
  <c r="I8" i="2"/>
  <c r="J8" i="2"/>
  <c r="E8" i="2"/>
  <c r="E9" i="2"/>
  <c r="E10" i="2"/>
  <c r="F7" i="2"/>
  <c r="G7" i="2"/>
  <c r="I7" i="2"/>
  <c r="J7" i="2"/>
  <c r="E7" i="2"/>
  <c r="D7" i="2"/>
  <c r="D8" i="2"/>
  <c r="D9" i="2"/>
  <c r="D10" i="2"/>
  <c r="D13" i="2"/>
  <c r="D5" i="2"/>
  <c r="F5" i="2"/>
  <c r="G5" i="2"/>
  <c r="I5" i="2"/>
  <c r="J5" i="2"/>
  <c r="E5" i="2"/>
  <c r="J12" i="2" l="1"/>
  <c r="J14" i="2" s="1"/>
  <c r="J15" i="2" s="1"/>
  <c r="G12" i="2"/>
  <c r="G14" i="2" s="1"/>
  <c r="G15" i="2" s="1"/>
  <c r="K17" i="4"/>
  <c r="L15" i="4"/>
  <c r="K6" i="2"/>
  <c r="L6" i="2" s="1"/>
  <c r="K5" i="2"/>
  <c r="I12" i="2"/>
  <c r="I14" i="2" s="1"/>
  <c r="I15" i="2" s="1"/>
  <c r="F11" i="2"/>
  <c r="F12" i="2" s="1"/>
  <c r="F14" i="2" s="1"/>
  <c r="E11" i="2"/>
  <c r="E12" i="2" s="1"/>
  <c r="E14" i="2" s="1"/>
  <c r="E15" i="2" s="1"/>
  <c r="D11" i="2"/>
  <c r="D12" i="2" s="1"/>
  <c r="K9" i="2"/>
  <c r="L9" i="2" s="1"/>
  <c r="K8" i="2"/>
  <c r="L8" i="2" s="1"/>
  <c r="K10" i="2"/>
  <c r="L10" i="2" s="1"/>
  <c r="K7" i="2"/>
  <c r="L7" i="2" s="1"/>
  <c r="N12" i="2" l="1"/>
  <c r="F15" i="2"/>
  <c r="L5" i="2"/>
  <c r="K11" i="2"/>
  <c r="K12" i="2" s="1"/>
  <c r="K14" i="2" s="1"/>
  <c r="L11" i="2" l="1"/>
  <c r="L12" i="2"/>
</calcChain>
</file>

<file path=xl/sharedStrings.xml><?xml version="1.0" encoding="utf-8"?>
<sst xmlns="http://schemas.openxmlformats.org/spreadsheetml/2006/main" count="116" uniqueCount="61">
  <si>
    <t>최종 합계</t>
    <phoneticPr fontId="7" type="noConversion"/>
  </si>
  <si>
    <t>분할 합계</t>
    <phoneticPr fontId="7" type="noConversion"/>
  </si>
  <si>
    <t>편의점</t>
    <phoneticPr fontId="7" type="noConversion"/>
  </si>
  <si>
    <t>숙소</t>
    <phoneticPr fontId="7" type="noConversion"/>
  </si>
  <si>
    <t>원금</t>
    <phoneticPr fontId="7" type="noConversion"/>
  </si>
  <si>
    <t>개별항목</t>
    <phoneticPr fontId="7" type="noConversion"/>
  </si>
  <si>
    <t>분할</t>
    <phoneticPr fontId="7" type="noConversion"/>
  </si>
  <si>
    <t>인원</t>
    <phoneticPr fontId="7" type="noConversion"/>
  </si>
  <si>
    <t>분할항목</t>
    <phoneticPr fontId="7" type="noConversion"/>
  </si>
  <si>
    <t>HQ 여행</t>
    <phoneticPr fontId="7" type="noConversion"/>
  </si>
  <si>
    <t>BONG</t>
    <phoneticPr fontId="7" type="noConversion"/>
  </si>
  <si>
    <t>YOUNG</t>
    <phoneticPr fontId="7" type="noConversion"/>
  </si>
  <si>
    <t>GYU</t>
    <phoneticPr fontId="7" type="noConversion"/>
  </si>
  <si>
    <t>GWAK</t>
    <phoneticPr fontId="7" type="noConversion"/>
  </si>
  <si>
    <t>HWI</t>
    <phoneticPr fontId="7" type="noConversion"/>
  </si>
  <si>
    <t>SIK</t>
    <phoneticPr fontId="7" type="noConversion"/>
  </si>
  <si>
    <t>SUM</t>
    <phoneticPr fontId="7" type="noConversion"/>
  </si>
  <si>
    <t>LOGIC</t>
    <phoneticPr fontId="7" type="noConversion"/>
  </si>
  <si>
    <t>25.12.13 ~ 25.12.14</t>
    <phoneticPr fontId="7" type="noConversion"/>
  </si>
  <si>
    <t>SRT</t>
    <phoneticPr fontId="7" type="noConversion"/>
  </si>
  <si>
    <t>수서 -&gt; 부산</t>
    <phoneticPr fontId="7" type="noConversion"/>
  </si>
  <si>
    <t>부산 -&gt; 수서</t>
    <phoneticPr fontId="7" type="noConversion"/>
  </si>
  <si>
    <t>숙소추가</t>
    <phoneticPr fontId="7" type="noConversion"/>
  </si>
  <si>
    <t>고깃집</t>
    <phoneticPr fontId="7" type="noConversion"/>
  </si>
  <si>
    <t>피자</t>
    <phoneticPr fontId="7" type="noConversion"/>
  </si>
  <si>
    <t>찜닭</t>
    <phoneticPr fontId="7" type="noConversion"/>
  </si>
  <si>
    <t>밀면</t>
    <phoneticPr fontId="7" type="noConversion"/>
  </si>
  <si>
    <t>KTX대리결제</t>
    <phoneticPr fontId="7" type="noConversion"/>
  </si>
  <si>
    <t>봉서</t>
    <phoneticPr fontId="7" type="noConversion"/>
  </si>
  <si>
    <t>민영</t>
    <phoneticPr fontId="7" type="noConversion"/>
  </si>
  <si>
    <t>진규</t>
    <phoneticPr fontId="7" type="noConversion"/>
  </si>
  <si>
    <t>곽강</t>
    <phoneticPr fontId="7" type="noConversion"/>
  </si>
  <si>
    <t>휘재</t>
    <phoneticPr fontId="7" type="noConversion"/>
  </si>
  <si>
    <t>현식</t>
    <phoneticPr fontId="7" type="noConversion"/>
  </si>
  <si>
    <t>송금액</t>
    <phoneticPr fontId="7" type="noConversion"/>
  </si>
  <si>
    <t>KTX</t>
    <phoneticPr fontId="7" type="noConversion"/>
  </si>
  <si>
    <t>26.04.25~26.04.26</t>
    <phoneticPr fontId="7" type="noConversion"/>
  </si>
  <si>
    <t>동대구 -&gt; 광명</t>
    <phoneticPr fontId="7" type="noConversion"/>
  </si>
  <si>
    <t>광명 -&gt; 동대구</t>
    <phoneticPr fontId="7" type="noConversion"/>
  </si>
  <si>
    <t>개별 합계</t>
    <phoneticPr fontId="7" type="noConversion"/>
  </si>
  <si>
    <t>회성각</t>
    <phoneticPr fontId="7" type="noConversion"/>
  </si>
  <si>
    <t>수성못카페</t>
    <phoneticPr fontId="7" type="noConversion"/>
  </si>
  <si>
    <t>단골손님</t>
    <phoneticPr fontId="7" type="noConversion"/>
  </si>
  <si>
    <t>배스킨라빈스</t>
    <phoneticPr fontId="7" type="noConversion"/>
  </si>
  <si>
    <t>CU</t>
    <phoneticPr fontId="7" type="noConversion"/>
  </si>
  <si>
    <t>삼덕치킨</t>
    <phoneticPr fontId="7" type="noConversion"/>
  </si>
  <si>
    <t>근본국밥</t>
    <phoneticPr fontId="7" type="noConversion"/>
  </si>
  <si>
    <t>투썸</t>
    <phoneticPr fontId="7" type="noConversion"/>
  </si>
  <si>
    <t>26.08.29~26.08.30</t>
    <phoneticPr fontId="7" type="noConversion"/>
  </si>
  <si>
    <t>DO</t>
    <phoneticPr fontId="7" type="noConversion"/>
  </si>
  <si>
    <t>종혁</t>
    <phoneticPr fontId="7" type="noConversion"/>
  </si>
  <si>
    <t>KTX</t>
    <phoneticPr fontId="7" type="noConversion"/>
  </si>
  <si>
    <t>진주 -&gt; 광명</t>
    <phoneticPr fontId="7" type="noConversion"/>
  </si>
  <si>
    <t>광명 -&gt; 진주</t>
    <phoneticPr fontId="7" type="noConversion"/>
  </si>
  <si>
    <t>이마트</t>
    <phoneticPr fontId="7" type="noConversion"/>
  </si>
  <si>
    <t>산청돼지국밥</t>
    <phoneticPr fontId="7" type="noConversion"/>
  </si>
  <si>
    <t>산청편의점</t>
    <phoneticPr fontId="7" type="noConversion"/>
  </si>
  <si>
    <t>산청카페</t>
    <phoneticPr fontId="7" type="noConversion"/>
  </si>
  <si>
    <t>숙소 불값</t>
    <phoneticPr fontId="7" type="noConversion"/>
  </si>
  <si>
    <t>홍천뚝배기</t>
    <phoneticPr fontId="7" type="noConversion"/>
  </si>
  <si>
    <t>그라운드헤븐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</si>
</sst>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(* #,##0_);_(* \(#,##0\);_(* &quot;-&quot;_);_(@_)"/>
    <numFmt numFmtId="176" formatCode="_-* #,##0_-;\-* #,##0_-;_-* &quot;-&quot;_-;_-@_-"/>
  </numFmts>
  <fonts count="12">
    <font>
      <sz val="11"/>
      <color theme="1"/>
      <name val="맑은 고딕"/>
      <family val="2"/>
      <charset val="129"/>
      <scheme val="minor"/>
    </font>
    <font>
      <sz val="12"/>
      <color theme="1"/>
      <name val="맑은 고딕"/>
      <family val="2"/>
      <charset val="129"/>
      <scheme val="minor"/>
    </font>
    <font>
      <sz val="12"/>
      <color theme="1"/>
      <name val="맑은 고딕"/>
      <family val="2"/>
      <charset val="129"/>
      <scheme val="minor"/>
    </font>
    <font>
      <sz val="12"/>
      <color theme="1"/>
      <name val="맑은 고딕"/>
      <family val="2"/>
      <charset val="129"/>
      <scheme val="minor"/>
    </font>
    <font>
      <sz val="12"/>
      <color theme="1"/>
      <name val="맑은 고딕"/>
      <family val="2"/>
      <charset val="129"/>
      <scheme val="minor"/>
    </font>
    <font>
      <sz val="12"/>
      <color theme="1"/>
      <name val="맑은 고딕"/>
      <family val="2"/>
      <charset val="129"/>
      <scheme val="minor"/>
    </font>
    <font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2"/>
      <color rgb="FF00B0F0"/>
      <name val="맑은 고딕"/>
      <family val="3"/>
      <charset val="129"/>
      <scheme val="minor"/>
    </font>
    <font>
      <b/>
      <sz val="12"/>
      <color theme="1"/>
      <name val="맑은 고딕"/>
      <family val="2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7E79"/>
        <bgColor indexed="64"/>
      </patternFill>
    </fill>
    <fill>
      <patternFill patternType="solid">
        <fgColor rgb="FFFFD579"/>
        <bgColor indexed="64"/>
      </patternFill>
    </fill>
    <fill>
      <patternFill patternType="solid">
        <fgColor rgb="FFFFFD78"/>
        <bgColor indexed="64"/>
      </patternFill>
    </fill>
    <fill>
      <patternFill patternType="solid">
        <fgColor rgb="FFD5FC79"/>
        <bgColor indexed="64"/>
      </patternFill>
    </fill>
    <fill>
      <patternFill patternType="solid">
        <fgColor rgb="FF73FB79"/>
        <bgColor indexed="64"/>
      </patternFill>
    </fill>
    <fill>
      <patternFill patternType="solid">
        <fgColor rgb="FF73FDD6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</cellStyleXfs>
  <cellXfs count="45">
    <xf numFmtId="0" fontId="0" fillId="0" borderId="0" xfId="0">
      <alignment vertical="center"/>
    </xf>
    <xf numFmtId="0" fontId="6" fillId="0" borderId="0" xfId="1">
      <alignment vertical="center"/>
    </xf>
    <xf numFmtId="0" fontId="6" fillId="0" borderId="1" xfId="1" applyBorder="1">
      <alignment vertical="center"/>
    </xf>
    <xf numFmtId="41" fontId="6" fillId="0" borderId="1" xfId="1" applyNumberFormat="1" applyBorder="1">
      <alignment vertical="center"/>
    </xf>
    <xf numFmtId="41" fontId="0" fillId="0" borderId="1" xfId="2" applyFont="1" applyBorder="1">
      <alignment vertical="center"/>
    </xf>
    <xf numFmtId="0" fontId="6" fillId="0" borderId="1" xfId="1" applyBorder="1" applyAlignment="1">
      <alignment horizontal="center" vertical="center"/>
    </xf>
    <xf numFmtId="0" fontId="8" fillId="0" borderId="1" xfId="1" applyFont="1" applyBorder="1" applyAlignment="1">
      <alignment horizontal="center" vertical="center"/>
    </xf>
    <xf numFmtId="41" fontId="9" fillId="0" borderId="1" xfId="2" applyFont="1" applyBorder="1">
      <alignment vertical="center"/>
    </xf>
    <xf numFmtId="0" fontId="10" fillId="0" borderId="1" xfId="1" applyFont="1" applyBorder="1" applyAlignment="1">
      <alignment horizontal="center" vertical="center"/>
    </xf>
    <xf numFmtId="0" fontId="8" fillId="0" borderId="0" xfId="1" applyFont="1">
      <alignment vertical="center"/>
    </xf>
    <xf numFmtId="176" fontId="0" fillId="0" borderId="1" xfId="2" applyNumberFormat="1" applyFont="1" applyBorder="1">
      <alignment vertical="center"/>
    </xf>
    <xf numFmtId="176" fontId="6" fillId="0" borderId="1" xfId="1" applyNumberFormat="1" applyBorder="1">
      <alignment vertical="center"/>
    </xf>
    <xf numFmtId="0" fontId="5" fillId="0" borderId="1" xfId="1" applyFont="1" applyBorder="1">
      <alignment vertical="center"/>
    </xf>
    <xf numFmtId="41" fontId="0" fillId="2" borderId="1" xfId="2" applyFont="1" applyFill="1" applyBorder="1">
      <alignment vertical="center"/>
    </xf>
    <xf numFmtId="41" fontId="0" fillId="3" borderId="1" xfId="2" applyFont="1" applyFill="1" applyBorder="1">
      <alignment vertical="center"/>
    </xf>
    <xf numFmtId="41" fontId="0" fillId="4" borderId="1" xfId="2" applyFont="1" applyFill="1" applyBorder="1">
      <alignment vertical="center"/>
    </xf>
    <xf numFmtId="41" fontId="0" fillId="5" borderId="1" xfId="2" applyFont="1" applyFill="1" applyBorder="1">
      <alignment vertical="center"/>
    </xf>
    <xf numFmtId="41" fontId="0" fillId="6" borderId="1" xfId="2" applyFont="1" applyFill="1" applyBorder="1">
      <alignment vertical="center"/>
    </xf>
    <xf numFmtId="41" fontId="0" fillId="7" borderId="1" xfId="2" applyFont="1" applyFill="1" applyBorder="1">
      <alignment vertical="center"/>
    </xf>
    <xf numFmtId="41" fontId="0" fillId="0" borderId="1" xfId="2" applyFont="1" applyFill="1" applyBorder="1">
      <alignment vertical="center"/>
    </xf>
    <xf numFmtId="0" fontId="11" fillId="0" borderId="0" xfId="1" applyFont="1" applyAlignment="1">
      <alignment horizontal="center" vertical="center"/>
    </xf>
    <xf numFmtId="41" fontId="11" fillId="0" borderId="3" xfId="1" applyNumberFormat="1" applyFont="1" applyBorder="1">
      <alignment vertical="center"/>
    </xf>
    <xf numFmtId="41" fontId="11" fillId="2" borderId="4" xfId="1" applyNumberFormat="1" applyFont="1" applyFill="1" applyBorder="1">
      <alignment vertical="center"/>
    </xf>
    <xf numFmtId="0" fontId="5" fillId="2" borderId="2" xfId="1" applyFont="1" applyFill="1" applyBorder="1" applyAlignment="1">
      <alignment horizontal="center" vertical="center"/>
    </xf>
    <xf numFmtId="41" fontId="11" fillId="3" borderId="4" xfId="1" applyNumberFormat="1" applyFont="1" applyFill="1" applyBorder="1">
      <alignment vertical="center"/>
    </xf>
    <xf numFmtId="0" fontId="5" fillId="3" borderId="2" xfId="1" applyFont="1" applyFill="1" applyBorder="1" applyAlignment="1">
      <alignment horizontal="center" vertical="center"/>
    </xf>
    <xf numFmtId="41" fontId="11" fillId="4" borderId="4" xfId="1" applyNumberFormat="1" applyFont="1" applyFill="1" applyBorder="1">
      <alignment vertical="center"/>
    </xf>
    <xf numFmtId="0" fontId="5" fillId="4" borderId="2" xfId="1" applyFont="1" applyFill="1" applyBorder="1" applyAlignment="1">
      <alignment horizontal="center" vertical="center"/>
    </xf>
    <xf numFmtId="41" fontId="11" fillId="5" borderId="4" xfId="1" applyNumberFormat="1" applyFont="1" applyFill="1" applyBorder="1">
      <alignment vertical="center"/>
    </xf>
    <xf numFmtId="0" fontId="5" fillId="5" borderId="2" xfId="1" applyFont="1" applyFill="1" applyBorder="1" applyAlignment="1">
      <alignment horizontal="center" vertical="center"/>
    </xf>
    <xf numFmtId="41" fontId="11" fillId="6" borderId="2" xfId="1" applyNumberFormat="1" applyFont="1" applyFill="1" applyBorder="1">
      <alignment vertical="center"/>
    </xf>
    <xf numFmtId="0" fontId="5" fillId="6" borderId="2" xfId="1" applyFont="1" applyFill="1" applyBorder="1" applyAlignment="1">
      <alignment horizontal="center" vertical="center"/>
    </xf>
    <xf numFmtId="41" fontId="11" fillId="7" borderId="5" xfId="1" applyNumberFormat="1" applyFont="1" applyFill="1" applyBorder="1">
      <alignment vertical="center"/>
    </xf>
    <xf numFmtId="0" fontId="5" fillId="7" borderId="5" xfId="1" applyFont="1" applyFill="1" applyBorder="1" applyAlignment="1">
      <alignment horizontal="center" vertical="center"/>
    </xf>
    <xf numFmtId="0" fontId="4" fillId="0" borderId="1" xfId="1" applyFont="1" applyBorder="1" applyAlignment="1">
      <alignment horizontal="center" vertical="center"/>
    </xf>
    <xf numFmtId="0" fontId="4" fillId="0" borderId="1" xfId="1" applyFont="1" applyBorder="1">
      <alignment vertical="center"/>
    </xf>
    <xf numFmtId="0" fontId="3" fillId="0" borderId="1" xfId="1" applyFont="1" applyBorder="1">
      <alignment vertical="center"/>
    </xf>
    <xf numFmtId="41" fontId="11" fillId="5" borderId="2" xfId="1" applyNumberFormat="1" applyFont="1" applyFill="1" applyBorder="1">
      <alignment vertical="center"/>
    </xf>
    <xf numFmtId="0" fontId="2" fillId="6" borderId="2" xfId="1" applyFont="1" applyFill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2" fillId="0" borderId="1" xfId="1" applyFont="1" applyBorder="1">
      <alignment vertical="center"/>
    </xf>
    <xf numFmtId="0" fontId="1" fillId="0" borderId="1" xfId="1" applyFont="1" applyBorder="1">
      <alignment vertical="center"/>
    </xf>
    <xf numFmtId="0" fontId="2" fillId="0" borderId="0" xfId="1" applyFont="1" applyAlignment="1">
      <alignment horizontal="center" vertical="center"/>
    </xf>
    <xf numFmtId="0" fontId="6" fillId="0" borderId="0" xfId="1" applyAlignment="1">
      <alignment horizontal="center" vertical="center"/>
    </xf>
    <xf numFmtId="0" fontId="4" fillId="0" borderId="0" xfId="1" applyFont="1" applyAlignment="1">
      <alignment horizontal="center" vertical="center"/>
    </xf>
  </cellXfs>
  <cellStyles count="3">
    <cellStyle name="쉼표 [0] 2" xfId="2" xr:uid="{84C72467-AA7C-4CAC-9EC6-B788621872E2}"/>
    <cellStyle name="표준" xfId="0" builtinId="0"/>
    <cellStyle name="표준 2" xfId="1" xr:uid="{568896BF-EBAE-4782-9C1F-1A0E0CFB8D79}"/>
  </cellStyles>
  <dxfs count="0"/>
  <tableStyles count="0" defaultTableStyle="TableStyleMedium2" defaultPivotStyle="PivotStyleLight16"/>
  <colors>
    <mruColors>
      <color rgb="FFD5FC79"/>
      <color rgb="FF73FDD6"/>
      <color rgb="FF73FB79"/>
      <color rgb="FFFFFD78"/>
      <color rgb="FFFFD579"/>
      <color rgb="FFFF7E7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423D32-AFAA-4635-B619-8C81C4C1CACF}">
  <dimension ref="A1:O16"/>
  <sheetViews>
    <sheetView zoomScale="140" zoomScaleNormal="140" workbookViewId="0">
      <selection activeCell="D17" sqref="D17"/>
    </sheetView>
  </sheetViews>
  <sheetFormatPr baseColWidth="10" defaultColWidth="8.83203125" defaultRowHeight="18"/>
  <cols>
    <col min="1" max="1" width="15.6640625" style="1" bestFit="1" customWidth="1"/>
    <col min="2" max="2" width="11.83203125" style="1" bestFit="1" customWidth="1"/>
    <col min="3" max="3" width="5.6640625" style="1" bestFit="1" customWidth="1"/>
    <col min="4" max="5" width="10.83203125" style="1" bestFit="1" customWidth="1"/>
    <col min="6" max="6" width="10.1640625" style="1" bestFit="1" customWidth="1"/>
    <col min="7" max="7" width="10.1640625" style="1" customWidth="1"/>
    <col min="8" max="10" width="10.1640625" style="1" bestFit="1" customWidth="1"/>
    <col min="11" max="11" width="12" style="1" bestFit="1" customWidth="1"/>
    <col min="12" max="12" width="8.83203125" style="1"/>
    <col min="13" max="13" width="10.5" style="1" bestFit="1" customWidth="1"/>
    <col min="14" max="14" width="10.83203125" style="1" bestFit="1" customWidth="1"/>
    <col min="15" max="15" width="23.33203125" style="1" bestFit="1" customWidth="1"/>
    <col min="16" max="16384" width="8.83203125" style="1"/>
  </cols>
  <sheetData>
    <row r="1" spans="1:15">
      <c r="A1" s="9" t="s">
        <v>9</v>
      </c>
    </row>
    <row r="2" spans="1:15">
      <c r="A2" s="43" t="s">
        <v>18</v>
      </c>
      <c r="B2" s="43"/>
    </row>
    <row r="4" spans="1:15">
      <c r="A4" s="6" t="s">
        <v>8</v>
      </c>
      <c r="B4" s="5" t="s">
        <v>4</v>
      </c>
      <c r="C4" s="5" t="s">
        <v>7</v>
      </c>
      <c r="D4" s="5" t="s">
        <v>6</v>
      </c>
      <c r="E4" s="6" t="s">
        <v>10</v>
      </c>
      <c r="F4" s="6" t="s">
        <v>11</v>
      </c>
      <c r="G4" s="6" t="s">
        <v>12</v>
      </c>
      <c r="H4" s="6" t="s">
        <v>13</v>
      </c>
      <c r="I4" s="6" t="s">
        <v>14</v>
      </c>
      <c r="J4" s="6" t="s">
        <v>15</v>
      </c>
      <c r="K4" s="8" t="s">
        <v>16</v>
      </c>
      <c r="L4" s="6" t="s">
        <v>17</v>
      </c>
      <c r="M4" s="6" t="s">
        <v>5</v>
      </c>
      <c r="N4" s="5" t="s">
        <v>4</v>
      </c>
      <c r="O4" s="5"/>
    </row>
    <row r="5" spans="1:15">
      <c r="A5" s="2" t="s">
        <v>3</v>
      </c>
      <c r="B5" s="4">
        <v>256500</v>
      </c>
      <c r="C5" s="5">
        <v>5</v>
      </c>
      <c r="D5" s="4">
        <f>IFERROR(ROUNDUP(B5/C5,-2),0)</f>
        <v>51300</v>
      </c>
      <c r="E5" s="13">
        <f>$B5/$C5</f>
        <v>51300</v>
      </c>
      <c r="F5" s="14">
        <f t="shared" ref="F5:J7" si="0">$B5/$C5</f>
        <v>51300</v>
      </c>
      <c r="G5" s="15">
        <f t="shared" si="0"/>
        <v>51300</v>
      </c>
      <c r="H5" s="19"/>
      <c r="I5" s="17">
        <f t="shared" si="0"/>
        <v>51300</v>
      </c>
      <c r="J5" s="18">
        <f t="shared" si="0"/>
        <v>51300</v>
      </c>
      <c r="K5" s="4">
        <f t="shared" ref="K5:K11" si="1">SUM(E5:J5)</f>
        <v>256500</v>
      </c>
      <c r="L5" s="7" t="b">
        <f t="shared" ref="L5:L13" si="2">IF(B5=K5,TRUE,FALSE)</f>
        <v>1</v>
      </c>
      <c r="M5" s="5" t="s">
        <v>19</v>
      </c>
      <c r="N5" s="10">
        <v>52200</v>
      </c>
      <c r="O5" s="2" t="s">
        <v>20</v>
      </c>
    </row>
    <row r="6" spans="1:15">
      <c r="A6" s="12" t="s">
        <v>22</v>
      </c>
      <c r="B6" s="4">
        <v>20000</v>
      </c>
      <c r="C6" s="5">
        <v>5</v>
      </c>
      <c r="D6" s="4">
        <f>IFERROR(ROUNDUP(B6/C6,-2),0)</f>
        <v>4000</v>
      </c>
      <c r="E6" s="13">
        <f>$B6/$C6</f>
        <v>4000</v>
      </c>
      <c r="F6" s="14">
        <f t="shared" si="0"/>
        <v>4000</v>
      </c>
      <c r="G6" s="15">
        <f t="shared" si="0"/>
        <v>4000</v>
      </c>
      <c r="H6" s="19"/>
      <c r="I6" s="17">
        <f t="shared" si="0"/>
        <v>4000</v>
      </c>
      <c r="J6" s="18">
        <f t="shared" si="0"/>
        <v>4000</v>
      </c>
      <c r="K6" s="4">
        <f t="shared" si="1"/>
        <v>20000</v>
      </c>
      <c r="L6" s="7" t="b">
        <f t="shared" si="2"/>
        <v>1</v>
      </c>
      <c r="M6" s="5" t="s">
        <v>19</v>
      </c>
      <c r="N6" s="10">
        <v>52000</v>
      </c>
      <c r="O6" s="2" t="s">
        <v>21</v>
      </c>
    </row>
    <row r="7" spans="1:15">
      <c r="A7" s="12" t="s">
        <v>23</v>
      </c>
      <c r="B7" s="4">
        <v>179000</v>
      </c>
      <c r="C7" s="5">
        <v>6</v>
      </c>
      <c r="D7" s="4">
        <f t="shared" ref="D7:D11" si="3">IFERROR(ROUNDUP(B7/C7,-2),0)</f>
        <v>29900</v>
      </c>
      <c r="E7" s="13">
        <f>$B7/$C7</f>
        <v>29833.333333333332</v>
      </c>
      <c r="F7" s="14">
        <f t="shared" si="0"/>
        <v>29833.333333333332</v>
      </c>
      <c r="G7" s="15">
        <f t="shared" si="0"/>
        <v>29833.333333333332</v>
      </c>
      <c r="H7" s="16">
        <f t="shared" si="0"/>
        <v>29833.333333333332</v>
      </c>
      <c r="I7" s="17">
        <f t="shared" si="0"/>
        <v>29833.333333333332</v>
      </c>
      <c r="J7" s="18">
        <f t="shared" si="0"/>
        <v>29833.333333333332</v>
      </c>
      <c r="K7" s="4">
        <f t="shared" si="1"/>
        <v>179000</v>
      </c>
      <c r="L7" s="7" t="b">
        <f t="shared" si="2"/>
        <v>1</v>
      </c>
      <c r="M7" s="5"/>
      <c r="N7" s="10"/>
      <c r="O7" s="2"/>
    </row>
    <row r="8" spans="1:15">
      <c r="A8" s="12" t="s">
        <v>2</v>
      </c>
      <c r="B8" s="4">
        <v>58700</v>
      </c>
      <c r="C8" s="5">
        <v>6</v>
      </c>
      <c r="D8" s="4">
        <f t="shared" si="3"/>
        <v>9800</v>
      </c>
      <c r="E8" s="13">
        <f t="shared" ref="E8:J11" si="4">$B8/$C8</f>
        <v>9783.3333333333339</v>
      </c>
      <c r="F8" s="14">
        <f t="shared" si="4"/>
        <v>9783.3333333333339</v>
      </c>
      <c r="G8" s="15">
        <f t="shared" si="4"/>
        <v>9783.3333333333339</v>
      </c>
      <c r="H8" s="16">
        <f t="shared" si="4"/>
        <v>9783.3333333333339</v>
      </c>
      <c r="I8" s="17">
        <f t="shared" si="4"/>
        <v>9783.3333333333339</v>
      </c>
      <c r="J8" s="18">
        <f t="shared" si="4"/>
        <v>9783.3333333333339</v>
      </c>
      <c r="K8" s="4">
        <f t="shared" si="1"/>
        <v>58700.000000000007</v>
      </c>
      <c r="L8" s="7" t="b">
        <f t="shared" si="2"/>
        <v>1</v>
      </c>
      <c r="M8" s="5"/>
      <c r="N8" s="11"/>
      <c r="O8" s="2"/>
    </row>
    <row r="9" spans="1:15">
      <c r="A9" s="12" t="s">
        <v>24</v>
      </c>
      <c r="B9" s="4">
        <v>24400</v>
      </c>
      <c r="C9" s="5">
        <v>6</v>
      </c>
      <c r="D9" s="4">
        <f t="shared" si="3"/>
        <v>4100</v>
      </c>
      <c r="E9" s="13">
        <f t="shared" si="4"/>
        <v>4066.6666666666665</v>
      </c>
      <c r="F9" s="14">
        <f t="shared" si="4"/>
        <v>4066.6666666666665</v>
      </c>
      <c r="G9" s="15">
        <f t="shared" si="4"/>
        <v>4066.6666666666665</v>
      </c>
      <c r="H9" s="16">
        <f t="shared" si="4"/>
        <v>4066.6666666666665</v>
      </c>
      <c r="I9" s="17">
        <f t="shared" si="4"/>
        <v>4066.6666666666665</v>
      </c>
      <c r="J9" s="18">
        <f t="shared" si="4"/>
        <v>4066.6666666666665</v>
      </c>
      <c r="K9" s="4">
        <f t="shared" si="1"/>
        <v>24400</v>
      </c>
      <c r="L9" s="7" t="b">
        <f t="shared" si="2"/>
        <v>1</v>
      </c>
      <c r="M9" s="5"/>
      <c r="N9" s="11"/>
      <c r="O9" s="2"/>
    </row>
    <row r="10" spans="1:15">
      <c r="A10" s="12" t="s">
        <v>25</v>
      </c>
      <c r="B10" s="4">
        <v>33600</v>
      </c>
      <c r="C10" s="5">
        <v>6</v>
      </c>
      <c r="D10" s="4">
        <f t="shared" si="3"/>
        <v>5600</v>
      </c>
      <c r="E10" s="13">
        <f t="shared" si="4"/>
        <v>5600</v>
      </c>
      <c r="F10" s="14">
        <f t="shared" si="4"/>
        <v>5600</v>
      </c>
      <c r="G10" s="15">
        <f t="shared" si="4"/>
        <v>5600</v>
      </c>
      <c r="H10" s="16">
        <f t="shared" si="4"/>
        <v>5600</v>
      </c>
      <c r="I10" s="17">
        <f t="shared" si="4"/>
        <v>5600</v>
      </c>
      <c r="J10" s="18">
        <f t="shared" si="4"/>
        <v>5600</v>
      </c>
      <c r="K10" s="4">
        <f t="shared" si="1"/>
        <v>33600</v>
      </c>
      <c r="L10" s="7" t="b">
        <f t="shared" si="2"/>
        <v>1</v>
      </c>
      <c r="M10" s="5"/>
      <c r="N10" s="11"/>
      <c r="O10" s="2"/>
    </row>
    <row r="11" spans="1:15">
      <c r="A11" s="12" t="s">
        <v>26</v>
      </c>
      <c r="B11" s="4">
        <f>11000+53000</f>
        <v>64000</v>
      </c>
      <c r="C11" s="5">
        <v>4</v>
      </c>
      <c r="D11" s="4">
        <f t="shared" si="3"/>
        <v>16000</v>
      </c>
      <c r="E11" s="13">
        <f t="shared" si="4"/>
        <v>16000</v>
      </c>
      <c r="F11" s="14">
        <f t="shared" si="4"/>
        <v>16000</v>
      </c>
      <c r="G11" s="19"/>
      <c r="H11" s="19"/>
      <c r="I11" s="17">
        <f t="shared" si="4"/>
        <v>16000</v>
      </c>
      <c r="J11" s="18">
        <f t="shared" si="4"/>
        <v>16000</v>
      </c>
      <c r="K11" s="4">
        <f t="shared" si="1"/>
        <v>64000</v>
      </c>
      <c r="L11" s="7" t="b">
        <f t="shared" si="2"/>
        <v>1</v>
      </c>
      <c r="M11" s="5"/>
      <c r="N11" s="11"/>
      <c r="O11" s="2"/>
    </row>
    <row r="12" spans="1:15">
      <c r="A12" s="6" t="s">
        <v>1</v>
      </c>
      <c r="B12" s="4">
        <f>SUM(B4:B11)</f>
        <v>636200</v>
      </c>
      <c r="C12" s="2"/>
      <c r="D12" s="4">
        <f>SUM(D5:D11)</f>
        <v>120700</v>
      </c>
      <c r="E12" s="13">
        <f t="shared" ref="E12:K12" si="5">SUM(E5:E11)</f>
        <v>120583.33333333333</v>
      </c>
      <c r="F12" s="14">
        <f t="shared" si="5"/>
        <v>120583.33333333333</v>
      </c>
      <c r="G12" s="15">
        <f t="shared" si="5"/>
        <v>104583.33333333333</v>
      </c>
      <c r="H12" s="16">
        <f t="shared" si="5"/>
        <v>49283.333333333328</v>
      </c>
      <c r="I12" s="17">
        <f t="shared" si="5"/>
        <v>120583.33333333333</v>
      </c>
      <c r="J12" s="18">
        <f t="shared" si="5"/>
        <v>120583.33333333333</v>
      </c>
      <c r="K12" s="4">
        <f t="shared" si="5"/>
        <v>636200</v>
      </c>
      <c r="L12" s="7" t="b">
        <f t="shared" si="2"/>
        <v>1</v>
      </c>
      <c r="M12" s="6" t="s">
        <v>0</v>
      </c>
      <c r="N12" s="3">
        <f>SUM(F14,SUM(N5:N11))</f>
        <v>224783.33333333331</v>
      </c>
      <c r="O12" s="2"/>
    </row>
    <row r="13" spans="1:15">
      <c r="A13" s="12" t="s">
        <v>27</v>
      </c>
      <c r="B13" s="4">
        <v>57700</v>
      </c>
      <c r="C13" s="5">
        <v>1</v>
      </c>
      <c r="D13" s="4">
        <f>IFERROR(ROUNDUP(B13/C13,-2),0)</f>
        <v>57700</v>
      </c>
      <c r="E13" s="4"/>
      <c r="F13" s="2"/>
      <c r="G13" s="2"/>
      <c r="H13" s="2"/>
      <c r="I13" s="2"/>
      <c r="J13" s="18">
        <v>57700</v>
      </c>
      <c r="K13" s="4">
        <f>SUM(E13:J13)</f>
        <v>57700</v>
      </c>
      <c r="L13" s="7" t="b">
        <f t="shared" si="2"/>
        <v>1</v>
      </c>
    </row>
    <row r="14" spans="1:15" ht="19" thickBot="1">
      <c r="A14" s="6" t="s">
        <v>0</v>
      </c>
      <c r="B14" s="2"/>
      <c r="C14" s="2"/>
      <c r="D14" s="2"/>
      <c r="E14" s="21">
        <f>SUM(E12:E13)</f>
        <v>120583.33333333333</v>
      </c>
      <c r="F14" s="21">
        <f t="shared" ref="F14:K14" si="6">SUM(F12:F13)</f>
        <v>120583.33333333333</v>
      </c>
      <c r="G14" s="21">
        <f t="shared" si="6"/>
        <v>104583.33333333333</v>
      </c>
      <c r="H14" s="21">
        <f t="shared" si="6"/>
        <v>49283.333333333328</v>
      </c>
      <c r="I14" s="21">
        <f t="shared" si="6"/>
        <v>120583.33333333333</v>
      </c>
      <c r="J14" s="21">
        <f t="shared" si="6"/>
        <v>178283.33333333331</v>
      </c>
      <c r="K14" s="3">
        <f t="shared" si="6"/>
        <v>693900</v>
      </c>
      <c r="L14" s="2"/>
    </row>
    <row r="15" spans="1:15" ht="19" thickBot="1">
      <c r="A15" s="20" t="s">
        <v>34</v>
      </c>
      <c r="E15" s="22">
        <f>ROUNDDOWN(E14,-3)</f>
        <v>120000</v>
      </c>
      <c r="F15" s="24">
        <f t="shared" ref="F15:J15" si="7">ROUNDDOWN(F14,-3)</f>
        <v>120000</v>
      </c>
      <c r="G15" s="26">
        <f t="shared" si="7"/>
        <v>104000</v>
      </c>
      <c r="H15" s="28">
        <f t="shared" si="7"/>
        <v>49000</v>
      </c>
      <c r="I15" s="30">
        <f t="shared" si="7"/>
        <v>120000</v>
      </c>
      <c r="J15" s="32">
        <f t="shared" si="7"/>
        <v>178000</v>
      </c>
    </row>
    <row r="16" spans="1:15" ht="19" thickBot="1">
      <c r="E16" s="23" t="s">
        <v>28</v>
      </c>
      <c r="F16" s="25" t="s">
        <v>29</v>
      </c>
      <c r="G16" s="27" t="s">
        <v>30</v>
      </c>
      <c r="H16" s="29" t="s">
        <v>31</v>
      </c>
      <c r="I16" s="31" t="s">
        <v>32</v>
      </c>
      <c r="J16" s="33" t="s">
        <v>33</v>
      </c>
    </row>
  </sheetData>
  <mergeCells count="1">
    <mergeCell ref="A2:B2"/>
  </mergeCells>
  <phoneticPr fontId="7" type="noConversion"/>
  <pageMargins left="0.7" right="0.7" top="0.75" bottom="0.75" header="0.3" footer="0.3"/>
  <pageSetup paperSize="9" orientation="portrait" horizontalDpi="0" verticalDpi="0"/>
  <ignoredErrors>
    <ignoredError sqref="K12 D12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5398FA-5573-9940-971B-4FA208C442C8}">
  <dimension ref="A1:N19"/>
  <sheetViews>
    <sheetView topLeftCell="A4" zoomScale="140" zoomScaleNormal="140" workbookViewId="0">
      <selection activeCell="D11" sqref="D11"/>
    </sheetView>
  </sheetViews>
  <sheetFormatPr baseColWidth="10" defaultColWidth="8.83203125" defaultRowHeight="18"/>
  <cols>
    <col min="1" max="1" width="15.6640625" style="1" bestFit="1" customWidth="1"/>
    <col min="2" max="2" width="11.83203125" style="1" bestFit="1" customWidth="1"/>
    <col min="3" max="3" width="5.6640625" style="1" bestFit="1" customWidth="1"/>
    <col min="4" max="5" width="10.83203125" style="1" bestFit="1" customWidth="1"/>
    <col min="6" max="6" width="10.1640625" style="1" bestFit="1" customWidth="1"/>
    <col min="7" max="7" width="10.1640625" style="1" customWidth="1"/>
    <col min="8" max="9" width="10.1640625" style="1" bestFit="1" customWidth="1"/>
    <col min="10" max="10" width="12" style="1" bestFit="1" customWidth="1"/>
    <col min="11" max="11" width="8.83203125" style="1"/>
    <col min="12" max="12" width="10.5" style="1" bestFit="1" customWidth="1"/>
    <col min="13" max="13" width="10.83203125" style="1" bestFit="1" customWidth="1"/>
    <col min="14" max="14" width="23.33203125" style="1" bestFit="1" customWidth="1"/>
    <col min="15" max="16384" width="8.83203125" style="1"/>
  </cols>
  <sheetData>
    <row r="1" spans="1:14">
      <c r="A1" s="9" t="s">
        <v>9</v>
      </c>
    </row>
    <row r="2" spans="1:14">
      <c r="A2" s="44" t="s">
        <v>36</v>
      </c>
      <c r="B2" s="43"/>
    </row>
    <row r="4" spans="1:14">
      <c r="A4" s="6" t="s">
        <v>8</v>
      </c>
      <c r="B4" s="5" t="s">
        <v>4</v>
      </c>
      <c r="C4" s="5" t="s">
        <v>7</v>
      </c>
      <c r="D4" s="5" t="s">
        <v>6</v>
      </c>
      <c r="E4" s="6" t="s">
        <v>10</v>
      </c>
      <c r="F4" s="6" t="s">
        <v>11</v>
      </c>
      <c r="G4" s="6" t="s">
        <v>12</v>
      </c>
      <c r="H4" s="6" t="s">
        <v>14</v>
      </c>
      <c r="I4" s="6" t="s">
        <v>15</v>
      </c>
      <c r="J4" s="8" t="s">
        <v>16</v>
      </c>
      <c r="K4" s="6" t="s">
        <v>17</v>
      </c>
      <c r="L4" s="6" t="s">
        <v>5</v>
      </c>
      <c r="M4" s="5" t="s">
        <v>4</v>
      </c>
      <c r="N4" s="5"/>
    </row>
    <row r="5" spans="1:14">
      <c r="A5" s="2" t="s">
        <v>3</v>
      </c>
      <c r="B5" s="4">
        <v>223531</v>
      </c>
      <c r="C5" s="5">
        <v>4</v>
      </c>
      <c r="D5" s="4">
        <f>IFERROR(ROUNDUP(B5/C5,-2),0)</f>
        <v>55900</v>
      </c>
      <c r="E5" s="13">
        <f>$B5/$C5</f>
        <v>55882.75</v>
      </c>
      <c r="F5" s="14">
        <f t="shared" ref="F5:I6" si="0">$B5/$C5</f>
        <v>55882.75</v>
      </c>
      <c r="G5" s="15">
        <f t="shared" si="0"/>
        <v>55882.75</v>
      </c>
      <c r="H5" s="17"/>
      <c r="I5" s="18">
        <f t="shared" si="0"/>
        <v>55882.75</v>
      </c>
      <c r="J5" s="4">
        <f t="shared" ref="J5:J14" si="1">SUM(E5:I5)</f>
        <v>223531</v>
      </c>
      <c r="K5" s="7" t="b">
        <f t="shared" ref="K5:K16" si="2">IF(B5=J5,TRUE,FALSE)</f>
        <v>1</v>
      </c>
      <c r="L5" s="34" t="s">
        <v>35</v>
      </c>
      <c r="M5" s="10">
        <v>40900</v>
      </c>
      <c r="N5" s="35" t="s">
        <v>37</v>
      </c>
    </row>
    <row r="6" spans="1:14">
      <c r="A6" s="12" t="s">
        <v>22</v>
      </c>
      <c r="B6" s="4">
        <v>20000</v>
      </c>
      <c r="C6" s="5">
        <v>4</v>
      </c>
      <c r="D6" s="4">
        <f>IFERROR(ROUNDUP(B6/C6,-2),0)</f>
        <v>5000</v>
      </c>
      <c r="E6" s="13">
        <f>$B6/$C6</f>
        <v>5000</v>
      </c>
      <c r="F6" s="14">
        <f t="shared" si="0"/>
        <v>5000</v>
      </c>
      <c r="G6" s="15">
        <f t="shared" si="0"/>
        <v>5000</v>
      </c>
      <c r="H6" s="17"/>
      <c r="I6" s="18">
        <f t="shared" si="0"/>
        <v>5000</v>
      </c>
      <c r="J6" s="4">
        <f t="shared" si="1"/>
        <v>20000</v>
      </c>
      <c r="K6" s="7" t="b">
        <f t="shared" si="2"/>
        <v>1</v>
      </c>
      <c r="L6" s="34" t="s">
        <v>35</v>
      </c>
      <c r="M6" s="10">
        <v>41300</v>
      </c>
      <c r="N6" s="35" t="s">
        <v>38</v>
      </c>
    </row>
    <row r="7" spans="1:14">
      <c r="A7" s="36" t="s">
        <v>40</v>
      </c>
      <c r="B7" s="4">
        <v>64000</v>
      </c>
      <c r="C7" s="5">
        <v>5</v>
      </c>
      <c r="D7" s="4">
        <f t="shared" ref="D7:D14" si="3">IFERROR(ROUNDUP(B7/C7,-2),0)</f>
        <v>12800</v>
      </c>
      <c r="E7" s="13">
        <f>IFERROR($B7/$C7,0)</f>
        <v>12800</v>
      </c>
      <c r="F7" s="14">
        <f>IFERROR($B7/$C7,0)</f>
        <v>12800</v>
      </c>
      <c r="G7" s="15">
        <f>IFERROR($B7/$C7,0)</f>
        <v>12800</v>
      </c>
      <c r="H7" s="17">
        <f>IFERROR($B7/$C7,0)</f>
        <v>12800</v>
      </c>
      <c r="I7" s="18">
        <f>IFERROR($B7/$C7,0)</f>
        <v>12800</v>
      </c>
      <c r="J7" s="4">
        <f t="shared" si="1"/>
        <v>64000</v>
      </c>
      <c r="K7" s="7" t="b">
        <f t="shared" si="2"/>
        <v>1</v>
      </c>
      <c r="L7" s="5"/>
      <c r="M7" s="10"/>
      <c r="N7" s="2"/>
    </row>
    <row r="8" spans="1:14">
      <c r="A8" s="36" t="s">
        <v>41</v>
      </c>
      <c r="B8" s="4">
        <v>31000</v>
      </c>
      <c r="C8" s="5">
        <v>5</v>
      </c>
      <c r="D8" s="4">
        <f t="shared" si="3"/>
        <v>6200</v>
      </c>
      <c r="E8" s="13">
        <f t="shared" ref="E8:I14" si="4">IFERROR($B8/$C8,0)</f>
        <v>6200</v>
      </c>
      <c r="F8" s="14">
        <f t="shared" si="4"/>
        <v>6200</v>
      </c>
      <c r="G8" s="15">
        <f t="shared" si="4"/>
        <v>6200</v>
      </c>
      <c r="H8" s="17">
        <f t="shared" si="4"/>
        <v>6200</v>
      </c>
      <c r="I8" s="18">
        <f t="shared" si="4"/>
        <v>6200</v>
      </c>
      <c r="J8" s="4">
        <f t="shared" si="1"/>
        <v>31000</v>
      </c>
      <c r="K8" s="7" t="b">
        <f t="shared" si="2"/>
        <v>1</v>
      </c>
      <c r="L8" s="5"/>
      <c r="M8" s="11"/>
      <c r="N8" s="2"/>
    </row>
    <row r="9" spans="1:14">
      <c r="A9" s="36" t="s">
        <v>42</v>
      </c>
      <c r="B9" s="4">
        <v>126000</v>
      </c>
      <c r="C9" s="5">
        <v>5</v>
      </c>
      <c r="D9" s="4">
        <f t="shared" si="3"/>
        <v>25200</v>
      </c>
      <c r="E9" s="13">
        <f t="shared" si="4"/>
        <v>25200</v>
      </c>
      <c r="F9" s="14">
        <f t="shared" si="4"/>
        <v>25200</v>
      </c>
      <c r="G9" s="15">
        <f t="shared" si="4"/>
        <v>25200</v>
      </c>
      <c r="H9" s="17">
        <f t="shared" si="4"/>
        <v>25200</v>
      </c>
      <c r="I9" s="18">
        <f t="shared" si="4"/>
        <v>25200</v>
      </c>
      <c r="J9" s="4">
        <f t="shared" si="1"/>
        <v>126000</v>
      </c>
      <c r="K9" s="7" t="b">
        <f t="shared" si="2"/>
        <v>1</v>
      </c>
      <c r="L9" s="5"/>
      <c r="M9" s="11"/>
      <c r="N9" s="2"/>
    </row>
    <row r="10" spans="1:14">
      <c r="A10" s="36" t="s">
        <v>43</v>
      </c>
      <c r="B10" s="4">
        <v>13800</v>
      </c>
      <c r="C10" s="5">
        <v>4</v>
      </c>
      <c r="D10" s="4">
        <f t="shared" si="3"/>
        <v>3500</v>
      </c>
      <c r="E10" s="13">
        <f t="shared" si="4"/>
        <v>3450</v>
      </c>
      <c r="F10" s="14">
        <f t="shared" si="4"/>
        <v>3450</v>
      </c>
      <c r="G10" s="15">
        <f t="shared" si="4"/>
        <v>3450</v>
      </c>
      <c r="H10" s="17"/>
      <c r="I10" s="18">
        <f t="shared" si="4"/>
        <v>3450</v>
      </c>
      <c r="J10" s="4">
        <f t="shared" ref="J10:J13" si="5">SUM(E10:I10)</f>
        <v>13800</v>
      </c>
      <c r="K10" s="7" t="b">
        <f t="shared" ref="K10:K13" si="6">IF(B10=J10,TRUE,FALSE)</f>
        <v>1</v>
      </c>
      <c r="L10" s="5"/>
      <c r="M10" s="11"/>
      <c r="N10" s="2"/>
    </row>
    <row r="11" spans="1:14">
      <c r="A11" s="36" t="s">
        <v>44</v>
      </c>
      <c r="B11" s="4">
        <f>33700+9300</f>
        <v>43000</v>
      </c>
      <c r="C11" s="5">
        <v>4</v>
      </c>
      <c r="D11" s="4">
        <f t="shared" si="3"/>
        <v>10800</v>
      </c>
      <c r="E11" s="13">
        <f t="shared" si="4"/>
        <v>10750</v>
      </c>
      <c r="F11" s="14">
        <f t="shared" si="4"/>
        <v>10750</v>
      </c>
      <c r="G11" s="15">
        <f t="shared" si="4"/>
        <v>10750</v>
      </c>
      <c r="H11" s="17"/>
      <c r="I11" s="18">
        <f t="shared" si="4"/>
        <v>10750</v>
      </c>
      <c r="J11" s="4">
        <f t="shared" si="5"/>
        <v>43000</v>
      </c>
      <c r="K11" s="7" t="b">
        <f t="shared" si="6"/>
        <v>1</v>
      </c>
      <c r="L11" s="5"/>
      <c r="M11" s="11"/>
      <c r="N11" s="2"/>
    </row>
    <row r="12" spans="1:14">
      <c r="A12" s="36" t="s">
        <v>45</v>
      </c>
      <c r="B12" s="4">
        <v>28500</v>
      </c>
      <c r="C12" s="5">
        <v>4</v>
      </c>
      <c r="D12" s="4">
        <f t="shared" si="3"/>
        <v>7200</v>
      </c>
      <c r="E12" s="13">
        <f t="shared" si="4"/>
        <v>7125</v>
      </c>
      <c r="F12" s="14">
        <f t="shared" si="4"/>
        <v>7125</v>
      </c>
      <c r="G12" s="15">
        <f t="shared" si="4"/>
        <v>7125</v>
      </c>
      <c r="H12" s="17"/>
      <c r="I12" s="18">
        <f t="shared" si="4"/>
        <v>7125</v>
      </c>
      <c r="J12" s="4">
        <f t="shared" si="5"/>
        <v>28500</v>
      </c>
      <c r="K12" s="7" t="b">
        <f t="shared" si="6"/>
        <v>1</v>
      </c>
      <c r="L12" s="5"/>
      <c r="M12" s="11"/>
      <c r="N12" s="2"/>
    </row>
    <row r="13" spans="1:14">
      <c r="A13" s="36" t="s">
        <v>46</v>
      </c>
      <c r="B13" s="4">
        <v>55000</v>
      </c>
      <c r="C13" s="5">
        <v>4</v>
      </c>
      <c r="D13" s="4">
        <f t="shared" si="3"/>
        <v>13800</v>
      </c>
      <c r="E13" s="13">
        <f t="shared" si="4"/>
        <v>13750</v>
      </c>
      <c r="F13" s="14">
        <f t="shared" si="4"/>
        <v>13750</v>
      </c>
      <c r="G13" s="15">
        <f t="shared" si="4"/>
        <v>13750</v>
      </c>
      <c r="H13" s="17"/>
      <c r="I13" s="18">
        <f t="shared" si="4"/>
        <v>13750</v>
      </c>
      <c r="J13" s="4">
        <f t="shared" si="5"/>
        <v>55000</v>
      </c>
      <c r="K13" s="7" t="b">
        <f t="shared" si="6"/>
        <v>1</v>
      </c>
      <c r="L13" s="5"/>
      <c r="M13" s="11"/>
      <c r="N13" s="2"/>
    </row>
    <row r="14" spans="1:14">
      <c r="A14" s="36" t="s">
        <v>47</v>
      </c>
      <c r="B14" s="4">
        <v>17150</v>
      </c>
      <c r="C14" s="5">
        <v>4</v>
      </c>
      <c r="D14" s="4">
        <f t="shared" si="3"/>
        <v>4300</v>
      </c>
      <c r="E14" s="13">
        <f t="shared" si="4"/>
        <v>4287.5</v>
      </c>
      <c r="F14" s="14">
        <f t="shared" si="4"/>
        <v>4287.5</v>
      </c>
      <c r="G14" s="15">
        <f t="shared" si="4"/>
        <v>4287.5</v>
      </c>
      <c r="H14" s="17"/>
      <c r="I14" s="18">
        <f t="shared" si="4"/>
        <v>4287.5</v>
      </c>
      <c r="J14" s="4">
        <f t="shared" si="1"/>
        <v>17150</v>
      </c>
      <c r="K14" s="7" t="b">
        <f t="shared" si="2"/>
        <v>1</v>
      </c>
      <c r="L14" s="5"/>
      <c r="M14" s="11"/>
      <c r="N14" s="2"/>
    </row>
    <row r="15" spans="1:14">
      <c r="A15" s="6" t="s">
        <v>1</v>
      </c>
      <c r="B15" s="4">
        <f>SUM(B4:B14)</f>
        <v>621981</v>
      </c>
      <c r="C15" s="2"/>
      <c r="D15" s="4">
        <f t="shared" ref="D15:J15" si="7">SUM(D5:D14)</f>
        <v>144700</v>
      </c>
      <c r="E15" s="13">
        <f t="shared" si="7"/>
        <v>144445.25</v>
      </c>
      <c r="F15" s="14">
        <f t="shared" si="7"/>
        <v>144445.25</v>
      </c>
      <c r="G15" s="15">
        <f t="shared" si="7"/>
        <v>144445.25</v>
      </c>
      <c r="H15" s="17">
        <f t="shared" si="7"/>
        <v>44200</v>
      </c>
      <c r="I15" s="18">
        <f t="shared" si="7"/>
        <v>144445.25</v>
      </c>
      <c r="J15" s="4">
        <f t="shared" si="7"/>
        <v>621981</v>
      </c>
      <c r="K15" s="7" t="b">
        <f t="shared" si="2"/>
        <v>1</v>
      </c>
      <c r="L15" s="6" t="s">
        <v>39</v>
      </c>
      <c r="M15" s="3">
        <f>SUM(M5:M14)</f>
        <v>82200</v>
      </c>
      <c r="N15" s="2"/>
    </row>
    <row r="16" spans="1:14">
      <c r="A16" s="12" t="s">
        <v>27</v>
      </c>
      <c r="B16" s="3">
        <f>M15</f>
        <v>82200</v>
      </c>
      <c r="C16" s="5">
        <v>1</v>
      </c>
      <c r="D16" s="4">
        <f>IFERROR(ROUNDUP(B16/C16,-2),0)</f>
        <v>82200</v>
      </c>
      <c r="E16" s="4"/>
      <c r="F16" s="2"/>
      <c r="G16" s="2"/>
      <c r="H16" s="2"/>
      <c r="I16" s="18">
        <f>M15</f>
        <v>82200</v>
      </c>
      <c r="J16" s="4">
        <f>SUM(E16:I16)</f>
        <v>82200</v>
      </c>
      <c r="K16" s="7" t="b">
        <f t="shared" si="2"/>
        <v>1</v>
      </c>
    </row>
    <row r="17" spans="1:11" ht="19" thickBot="1">
      <c r="A17" s="6" t="s">
        <v>0</v>
      </c>
      <c r="B17" s="2"/>
      <c r="C17" s="2"/>
      <c r="D17" s="2"/>
      <c r="E17" s="21">
        <f t="shared" ref="E17:J17" si="8">SUM(E15:E16)</f>
        <v>144445.25</v>
      </c>
      <c r="F17" s="21">
        <f t="shared" si="8"/>
        <v>144445.25</v>
      </c>
      <c r="G17" s="21">
        <f t="shared" si="8"/>
        <v>144445.25</v>
      </c>
      <c r="H17" s="21">
        <f t="shared" si="8"/>
        <v>44200</v>
      </c>
      <c r="I17" s="21">
        <f t="shared" si="8"/>
        <v>226645.25</v>
      </c>
      <c r="J17" s="3">
        <f t="shared" si="8"/>
        <v>704181</v>
      </c>
      <c r="K17" s="2"/>
    </row>
    <row r="18" spans="1:11" ht="19" thickBot="1">
      <c r="A18" s="20" t="s">
        <v>34</v>
      </c>
      <c r="E18" s="22">
        <f>ROUNDDOWN(E17,-3)</f>
        <v>144000</v>
      </c>
      <c r="F18" s="24">
        <f t="shared" ref="F18:I18" si="9">ROUNDDOWN(F17,-3)</f>
        <v>144000</v>
      </c>
      <c r="G18" s="26">
        <f t="shared" si="9"/>
        <v>144000</v>
      </c>
      <c r="H18" s="30">
        <f t="shared" si="9"/>
        <v>44000</v>
      </c>
      <c r="I18" s="32">
        <f t="shared" si="9"/>
        <v>226000</v>
      </c>
    </row>
    <row r="19" spans="1:11" ht="19" thickBot="1">
      <c r="E19" s="23" t="s">
        <v>28</v>
      </c>
      <c r="F19" s="25" t="s">
        <v>29</v>
      </c>
      <c r="G19" s="27" t="s">
        <v>30</v>
      </c>
      <c r="H19" s="31" t="s">
        <v>32</v>
      </c>
      <c r="I19" s="33" t="s">
        <v>33</v>
      </c>
    </row>
  </sheetData>
  <mergeCells count="1">
    <mergeCell ref="A2:B2"/>
  </mergeCells>
  <phoneticPr fontId="7" type="noConversion"/>
  <pageMargins left="0.7" right="0.7" top="0.75" bottom="0.75" header="0.3" footer="0.3"/>
  <pageSetup paperSize="9" orientation="portrait" horizontalDpi="0" verticalDpi="0"/>
  <ignoredErrors>
    <ignoredError sqref="E7 D15 I7 J15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C77566-5499-5649-A40E-6617E177F7F4}">
  <dimension ref="A1:O19"/>
  <sheetViews>
    <sheetView tabSelected="1" zoomScale="115" zoomScaleNormal="115" workbookViewId="0">
      <selection activeCell="L20" sqref="L20"/>
    </sheetView>
  </sheetViews>
  <sheetFormatPr baseColWidth="10" defaultColWidth="8.83203125" defaultRowHeight="18"/>
  <cols>
    <col min="1" max="1" width="15.6640625" style="1" bestFit="1" customWidth="1"/>
    <col min="2" max="2" width="11.83203125" style="1" bestFit="1" customWidth="1"/>
    <col min="3" max="3" width="5.6640625" style="1" bestFit="1" customWidth="1"/>
    <col min="4" max="5" width="10.83203125" style="1" bestFit="1" customWidth="1"/>
    <col min="6" max="6" width="10.1640625" style="1" bestFit="1" customWidth="1"/>
    <col min="7" max="7" width="10.1640625" style="1" customWidth="1"/>
    <col min="8" max="10" width="10.1640625" style="1" bestFit="1" customWidth="1"/>
    <col min="11" max="11" width="12" style="1" bestFit="1" customWidth="1"/>
    <col min="12" max="12" width="8.83203125" style="1"/>
    <col min="13" max="13" width="10.5" style="1" bestFit="1" customWidth="1"/>
    <col min="14" max="14" width="10.83203125" style="1" bestFit="1" customWidth="1"/>
    <col min="15" max="15" width="23.33203125" style="1" bestFit="1" customWidth="1"/>
    <col min="16" max="16384" width="8.83203125" style="1"/>
  </cols>
  <sheetData>
    <row r="1" spans="1:15">
      <c r="A1" s="9" t="s">
        <v>9</v>
      </c>
    </row>
    <row r="2" spans="1:15">
      <c r="A2" s="42" t="s">
        <v>48</v>
      </c>
      <c r="B2" s="43"/>
    </row>
    <row r="4" spans="1:15">
      <c r="A4" s="6" t="s">
        <v>8</v>
      </c>
      <c r="B4" s="5" t="s">
        <v>4</v>
      </c>
      <c r="C4" s="5" t="s">
        <v>7</v>
      </c>
      <c r="D4" s="5" t="s">
        <v>6</v>
      </c>
      <c r="E4" s="6" t="s">
        <v>10</v>
      </c>
      <c r="F4" s="6" t="s">
        <v>11</v>
      </c>
      <c r="G4" s="6" t="s">
        <v>12</v>
      </c>
      <c r="H4" s="6" t="s">
        <v>14</v>
      </c>
      <c r="I4" s="6" t="s">
        <v>49</v>
      </c>
      <c r="J4" s="6" t="s">
        <v>15</v>
      </c>
      <c r="K4" s="8" t="s">
        <v>16</v>
      </c>
      <c r="L4" s="6" t="s">
        <v>17</v>
      </c>
      <c r="M4" s="6" t="s">
        <v>5</v>
      </c>
      <c r="N4" s="5" t="s">
        <v>4</v>
      </c>
      <c r="O4" s="5"/>
    </row>
    <row r="5" spans="1:15">
      <c r="A5" s="2" t="s">
        <v>3</v>
      </c>
      <c r="B5" s="4">
        <v>319500</v>
      </c>
      <c r="C5" s="5">
        <v>6</v>
      </c>
      <c r="D5" s="4">
        <f>IFERROR(ROUNDUP(B5/C5,-2),0)</f>
        <v>53300</v>
      </c>
      <c r="E5" s="13">
        <f>$B5/$C5</f>
        <v>53250</v>
      </c>
      <c r="F5" s="14">
        <f t="shared" ref="F5:J6" si="0">$B5/$C5</f>
        <v>53250</v>
      </c>
      <c r="G5" s="15">
        <f t="shared" si="0"/>
        <v>53250</v>
      </c>
      <c r="H5" s="16">
        <f t="shared" si="0"/>
        <v>53250</v>
      </c>
      <c r="I5" s="17">
        <f t="shared" si="0"/>
        <v>53250</v>
      </c>
      <c r="J5" s="18">
        <f t="shared" si="0"/>
        <v>53250</v>
      </c>
      <c r="K5" s="4">
        <f t="shared" ref="K5:K14" si="1">SUM(E5:J5)</f>
        <v>319500</v>
      </c>
      <c r="L5" s="7" t="b">
        <f t="shared" ref="L5:L16" si="2">IF(B5=K5,TRUE,FALSE)</f>
        <v>1</v>
      </c>
      <c r="M5" s="39" t="s">
        <v>51</v>
      </c>
      <c r="N5" s="10">
        <v>55500</v>
      </c>
      <c r="O5" s="40" t="s">
        <v>53</v>
      </c>
    </row>
    <row r="6" spans="1:15">
      <c r="A6" s="41" t="s">
        <v>54</v>
      </c>
      <c r="B6" s="4">
        <f>261090+39590</f>
        <v>300680</v>
      </c>
      <c r="C6" s="5">
        <v>6</v>
      </c>
      <c r="D6" s="4">
        <f>IFERROR(ROUNDUP(B6/C6,-2),0)</f>
        <v>50200</v>
      </c>
      <c r="E6" s="13">
        <f>$B6/$C6</f>
        <v>50113.333333333336</v>
      </c>
      <c r="F6" s="14">
        <f t="shared" si="0"/>
        <v>50113.333333333336</v>
      </c>
      <c r="G6" s="15">
        <f t="shared" si="0"/>
        <v>50113.333333333336</v>
      </c>
      <c r="H6" s="16">
        <f t="shared" si="0"/>
        <v>50113.333333333336</v>
      </c>
      <c r="I6" s="17">
        <f t="shared" si="0"/>
        <v>50113.333333333336</v>
      </c>
      <c r="J6" s="18">
        <f t="shared" si="0"/>
        <v>50113.333333333336</v>
      </c>
      <c r="K6" s="4">
        <f t="shared" si="1"/>
        <v>300680</v>
      </c>
      <c r="L6" s="7" t="b">
        <f t="shared" si="2"/>
        <v>1</v>
      </c>
      <c r="M6" s="39" t="s">
        <v>51</v>
      </c>
      <c r="N6" s="10">
        <v>55500</v>
      </c>
      <c r="O6" s="40" t="s">
        <v>52</v>
      </c>
    </row>
    <row r="7" spans="1:15">
      <c r="A7" s="41" t="s">
        <v>55</v>
      </c>
      <c r="B7" s="4">
        <v>45000</v>
      </c>
      <c r="C7" s="5">
        <v>5</v>
      </c>
      <c r="D7" s="4">
        <f t="shared" ref="D7:D14" si="3">IFERROR(ROUNDUP(B7/C7,-2),0)</f>
        <v>9000</v>
      </c>
      <c r="E7" s="13">
        <f t="shared" ref="E7:J7" si="4">IFERROR($B7/$C7,0)</f>
        <v>9000</v>
      </c>
      <c r="F7" s="14">
        <f t="shared" si="4"/>
        <v>9000</v>
      </c>
      <c r="G7" s="15">
        <f t="shared" si="4"/>
        <v>9000</v>
      </c>
      <c r="H7" s="16"/>
      <c r="I7" s="17">
        <f t="shared" si="4"/>
        <v>9000</v>
      </c>
      <c r="J7" s="18">
        <f t="shared" si="4"/>
        <v>9000</v>
      </c>
      <c r="K7" s="4">
        <f t="shared" si="1"/>
        <v>45000</v>
      </c>
      <c r="L7" s="7" t="b">
        <f t="shared" si="2"/>
        <v>1</v>
      </c>
      <c r="M7" s="5"/>
      <c r="N7" s="10"/>
      <c r="O7" s="2"/>
    </row>
    <row r="8" spans="1:15">
      <c r="A8" s="41" t="s">
        <v>56</v>
      </c>
      <c r="B8" s="4">
        <f>19800+9500</f>
        <v>29300</v>
      </c>
      <c r="C8" s="5">
        <v>6</v>
      </c>
      <c r="D8" s="4">
        <f t="shared" si="3"/>
        <v>4900</v>
      </c>
      <c r="E8" s="13">
        <f t="shared" ref="E8:J14" si="5">IFERROR($B8/$C8,0)</f>
        <v>4883.333333333333</v>
      </c>
      <c r="F8" s="14">
        <f t="shared" si="5"/>
        <v>4883.333333333333</v>
      </c>
      <c r="G8" s="15">
        <f t="shared" si="5"/>
        <v>4883.333333333333</v>
      </c>
      <c r="H8" s="16">
        <f t="shared" si="5"/>
        <v>4883.333333333333</v>
      </c>
      <c r="I8" s="17">
        <f t="shared" si="5"/>
        <v>4883.333333333333</v>
      </c>
      <c r="J8" s="18">
        <f t="shared" si="5"/>
        <v>4883.333333333333</v>
      </c>
      <c r="K8" s="4">
        <f t="shared" si="1"/>
        <v>29299.999999999996</v>
      </c>
      <c r="L8" s="7" t="b">
        <f t="shared" si="2"/>
        <v>1</v>
      </c>
      <c r="M8" s="5"/>
      <c r="N8" s="11"/>
      <c r="O8" s="2"/>
    </row>
    <row r="9" spans="1:15">
      <c r="A9" s="41" t="s">
        <v>57</v>
      </c>
      <c r="B9" s="4">
        <v>26000</v>
      </c>
      <c r="C9" s="5">
        <v>5</v>
      </c>
      <c r="D9" s="4">
        <f t="shared" si="3"/>
        <v>5200</v>
      </c>
      <c r="E9" s="13">
        <f t="shared" si="5"/>
        <v>5200</v>
      </c>
      <c r="F9" s="14">
        <f t="shared" si="5"/>
        <v>5200</v>
      </c>
      <c r="G9" s="15">
        <f t="shared" si="5"/>
        <v>5200</v>
      </c>
      <c r="H9" s="16"/>
      <c r="I9" s="17">
        <f t="shared" si="5"/>
        <v>5200</v>
      </c>
      <c r="J9" s="18">
        <f t="shared" si="5"/>
        <v>5200</v>
      </c>
      <c r="K9" s="4">
        <f t="shared" si="1"/>
        <v>26000</v>
      </c>
      <c r="L9" s="7" t="b">
        <f t="shared" si="2"/>
        <v>1</v>
      </c>
      <c r="M9" s="5"/>
      <c r="N9" s="11"/>
      <c r="O9" s="2"/>
    </row>
    <row r="10" spans="1:15">
      <c r="A10" s="41" t="s">
        <v>58</v>
      </c>
      <c r="B10" s="4">
        <v>30000</v>
      </c>
      <c r="C10" s="5">
        <v>6</v>
      </c>
      <c r="D10" s="4">
        <f t="shared" si="3"/>
        <v>5000</v>
      </c>
      <c r="E10" s="13">
        <f t="shared" si="5"/>
        <v>5000</v>
      </c>
      <c r="F10" s="14">
        <f t="shared" si="5"/>
        <v>5000</v>
      </c>
      <c r="G10" s="15">
        <f t="shared" si="5"/>
        <v>5000</v>
      </c>
      <c r="H10" s="16">
        <f t="shared" si="5"/>
        <v>5000</v>
      </c>
      <c r="I10" s="17">
        <f t="shared" si="5"/>
        <v>5000</v>
      </c>
      <c r="J10" s="18">
        <f t="shared" si="5"/>
        <v>5000</v>
      </c>
      <c r="K10" s="4">
        <f t="shared" si="1"/>
        <v>30000</v>
      </c>
      <c r="L10" s="7" t="b">
        <f t="shared" si="2"/>
        <v>1</v>
      </c>
      <c r="M10" s="5"/>
      <c r="N10" s="11"/>
      <c r="O10" s="2"/>
    </row>
    <row r="11" spans="1:15">
      <c r="A11" s="41" t="s">
        <v>59</v>
      </c>
      <c r="B11" s="4">
        <v>53000</v>
      </c>
      <c r="C11" s="5">
        <v>5</v>
      </c>
      <c r="D11" s="4">
        <f t="shared" si="3"/>
        <v>10600</v>
      </c>
      <c r="E11" s="13">
        <f t="shared" si="5"/>
        <v>10600</v>
      </c>
      <c r="F11" s="14">
        <f t="shared" si="5"/>
        <v>10600</v>
      </c>
      <c r="G11" s="15">
        <f t="shared" si="5"/>
        <v>10600</v>
      </c>
      <c r="H11" s="16">
        <f t="shared" si="5"/>
        <v>10600</v>
      </c>
      <c r="I11" s="17"/>
      <c r="J11" s="18">
        <f t="shared" si="5"/>
        <v>10600</v>
      </c>
      <c r="K11" s="4">
        <f t="shared" si="1"/>
        <v>53000</v>
      </c>
      <c r="L11" s="7" t="b">
        <f t="shared" si="2"/>
        <v>1</v>
      </c>
      <c r="M11" s="5"/>
      <c r="N11" s="11"/>
      <c r="O11" s="2"/>
    </row>
    <row r="12" spans="1:15">
      <c r="A12" s="41" t="s">
        <v>60</v>
      </c>
      <c r="B12" s="4">
        <v>54100</v>
      </c>
      <c r="C12" s="5">
        <v>4</v>
      </c>
      <c r="D12" s="4">
        <f t="shared" si="3"/>
        <v>13600</v>
      </c>
      <c r="E12" s="13">
        <f t="shared" si="5"/>
        <v>13525</v>
      </c>
      <c r="F12" s="14">
        <f t="shared" si="5"/>
        <v>13525</v>
      </c>
      <c r="G12" s="15">
        <f t="shared" si="5"/>
        <v>13525</v>
      </c>
      <c r="H12" s="16"/>
      <c r="I12" s="17"/>
      <c r="J12" s="18">
        <f t="shared" si="5"/>
        <v>13525</v>
      </c>
      <c r="K12" s="4">
        <f t="shared" si="1"/>
        <v>54100</v>
      </c>
      <c r="L12" s="7" t="b">
        <f t="shared" si="2"/>
        <v>1</v>
      </c>
      <c r="M12" s="5"/>
      <c r="N12" s="11"/>
      <c r="O12" s="2"/>
    </row>
    <row r="13" spans="1:15">
      <c r="A13" s="36"/>
      <c r="B13" s="4"/>
      <c r="C13" s="5">
        <v>6</v>
      </c>
      <c r="D13" s="4">
        <f t="shared" si="3"/>
        <v>0</v>
      </c>
      <c r="E13" s="13">
        <f t="shared" si="5"/>
        <v>0</v>
      </c>
      <c r="F13" s="14">
        <f t="shared" si="5"/>
        <v>0</v>
      </c>
      <c r="G13" s="15">
        <f t="shared" si="5"/>
        <v>0</v>
      </c>
      <c r="H13" s="16"/>
      <c r="I13" s="17"/>
      <c r="J13" s="18">
        <f t="shared" si="5"/>
        <v>0</v>
      </c>
      <c r="K13" s="4">
        <f t="shared" si="1"/>
        <v>0</v>
      </c>
      <c r="L13" s="7" t="b">
        <f t="shared" si="2"/>
        <v>1</v>
      </c>
      <c r="M13" s="5"/>
      <c r="N13" s="11"/>
      <c r="O13" s="2"/>
    </row>
    <row r="14" spans="1:15">
      <c r="A14" s="36"/>
      <c r="B14" s="4"/>
      <c r="C14" s="5">
        <v>6</v>
      </c>
      <c r="D14" s="4">
        <f t="shared" si="3"/>
        <v>0</v>
      </c>
      <c r="E14" s="13">
        <f t="shared" si="5"/>
        <v>0</v>
      </c>
      <c r="F14" s="14">
        <f t="shared" si="5"/>
        <v>0</v>
      </c>
      <c r="G14" s="15">
        <f t="shared" si="5"/>
        <v>0</v>
      </c>
      <c r="H14" s="16"/>
      <c r="I14" s="17"/>
      <c r="J14" s="18">
        <f t="shared" si="5"/>
        <v>0</v>
      </c>
      <c r="K14" s="4">
        <f t="shared" si="1"/>
        <v>0</v>
      </c>
      <c r="L14" s="7" t="b">
        <f t="shared" si="2"/>
        <v>1</v>
      </c>
      <c r="M14" s="5"/>
      <c r="N14" s="11"/>
      <c r="O14" s="2"/>
    </row>
    <row r="15" spans="1:15">
      <c r="A15" s="6" t="s">
        <v>1</v>
      </c>
      <c r="B15" s="4">
        <f>SUM(B4:B14)</f>
        <v>857580</v>
      </c>
      <c r="C15" s="2"/>
      <c r="D15" s="4">
        <f t="shared" ref="D15:K15" si="6">SUM(D5:D14)</f>
        <v>151800</v>
      </c>
      <c r="E15" s="13">
        <f t="shared" si="6"/>
        <v>151571.66666666669</v>
      </c>
      <c r="F15" s="14">
        <f t="shared" si="6"/>
        <v>151571.66666666669</v>
      </c>
      <c r="G15" s="15">
        <f t="shared" si="6"/>
        <v>151571.66666666669</v>
      </c>
      <c r="H15" s="16">
        <f t="shared" si="6"/>
        <v>123846.66666666667</v>
      </c>
      <c r="I15" s="17">
        <f t="shared" si="6"/>
        <v>127446.66666666667</v>
      </c>
      <c r="J15" s="18">
        <f t="shared" si="6"/>
        <v>151571.66666666669</v>
      </c>
      <c r="K15" s="4">
        <f t="shared" si="6"/>
        <v>857580</v>
      </c>
      <c r="L15" s="7" t="b">
        <f t="shared" si="2"/>
        <v>1</v>
      </c>
      <c r="M15" s="6" t="s">
        <v>39</v>
      </c>
      <c r="N15" s="3">
        <f>SUM(N5:N14)</f>
        <v>111000</v>
      </c>
      <c r="O15" s="2"/>
    </row>
    <row r="16" spans="1:15">
      <c r="A16" s="12" t="s">
        <v>27</v>
      </c>
      <c r="B16" s="3">
        <v>111000</v>
      </c>
      <c r="C16" s="5">
        <v>1</v>
      </c>
      <c r="D16" s="4">
        <f>IFERROR(ROUNDUP(B16/C16,-2),0)</f>
        <v>111000</v>
      </c>
      <c r="E16" s="4"/>
      <c r="F16" s="2"/>
      <c r="G16" s="2"/>
      <c r="H16" s="2"/>
      <c r="I16" s="2"/>
      <c r="J16" s="18">
        <f>N15</f>
        <v>111000</v>
      </c>
      <c r="K16" s="4">
        <f>SUM(E16:J16)</f>
        <v>111000</v>
      </c>
      <c r="L16" s="7" t="b">
        <f t="shared" si="2"/>
        <v>1</v>
      </c>
    </row>
    <row r="17" spans="1:12" ht="19" thickBot="1">
      <c r="A17" s="6" t="s">
        <v>0</v>
      </c>
      <c r="B17" s="2"/>
      <c r="C17" s="2"/>
      <c r="D17" s="2"/>
      <c r="E17" s="21">
        <f t="shared" ref="E17:K17" si="7">SUM(E15:E16)</f>
        <v>151571.66666666669</v>
      </c>
      <c r="F17" s="21">
        <f t="shared" si="7"/>
        <v>151571.66666666669</v>
      </c>
      <c r="G17" s="21">
        <f t="shared" si="7"/>
        <v>151571.66666666669</v>
      </c>
      <c r="H17" s="21">
        <f t="shared" ref="H17" si="8">SUM(H15:H16)</f>
        <v>123846.66666666667</v>
      </c>
      <c r="I17" s="21">
        <f t="shared" si="7"/>
        <v>127446.66666666667</v>
      </c>
      <c r="J17" s="21">
        <f t="shared" si="7"/>
        <v>262571.66666666669</v>
      </c>
      <c r="K17" s="3">
        <f t="shared" si="7"/>
        <v>968580</v>
      </c>
      <c r="L17" s="2"/>
    </row>
    <row r="18" spans="1:12" ht="19" thickBot="1">
      <c r="A18" s="20" t="s">
        <v>34</v>
      </c>
      <c r="E18" s="22">
        <f>ROUNDDOWN(E17,-3)</f>
        <v>151000</v>
      </c>
      <c r="F18" s="24">
        <f t="shared" ref="F18:J18" si="9">ROUNDDOWN(F17,-3)</f>
        <v>151000</v>
      </c>
      <c r="G18" s="26">
        <f t="shared" si="9"/>
        <v>151000</v>
      </c>
      <c r="H18" s="37">
        <f t="shared" ref="H18" si="10">ROUNDDOWN(H17,-3)</f>
        <v>123000</v>
      </c>
      <c r="I18" s="30">
        <f t="shared" si="9"/>
        <v>127000</v>
      </c>
      <c r="J18" s="32">
        <f t="shared" si="9"/>
        <v>262000</v>
      </c>
    </row>
    <row r="19" spans="1:12" ht="19" thickBot="1">
      <c r="E19" s="23" t="s">
        <v>28</v>
      </c>
      <c r="F19" s="25" t="s">
        <v>29</v>
      </c>
      <c r="G19" s="27" t="s">
        <v>30</v>
      </c>
      <c r="H19" s="29" t="s">
        <v>32</v>
      </c>
      <c r="I19" s="38" t="s">
        <v>50</v>
      </c>
      <c r="J19" s="33" t="s">
        <v>33</v>
      </c>
    </row>
  </sheetData>
  <mergeCells count="1">
    <mergeCell ref="A2:B2"/>
  </mergeCells>
  <phoneticPr fontId="7" type="noConversion"/>
  <pageMargins left="0.7" right="0.7" top="0.75" bottom="0.75" header="0.3" footer="0.3"/>
  <pageSetup paperSize="9" orientation="portrait" horizontalDpi="0" verticalDpi="0"/>
  <ignoredErrors>
    <ignoredError sqref="D15 K15" formula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9E173A158FF0044E881520175EA2EE56" ma:contentTypeVersion="5" ma:contentTypeDescription="새 문서를 만듭니다." ma:contentTypeScope="" ma:versionID="72ce37121f35f57616c62549b5451aa0">
  <xsd:schema xmlns:xsd="http://www.w3.org/2001/XMLSchema" xmlns:xs="http://www.w3.org/2001/XMLSchema" xmlns:p="http://schemas.microsoft.com/office/2006/metadata/properties" xmlns:ns3="84c15356-9ea4-4f28-bf6b-ac4ce44c44c9" targetNamespace="http://schemas.microsoft.com/office/2006/metadata/properties" ma:root="true" ma:fieldsID="e20ec986934b539e34cdb8d95d18e215" ns3:_="">
    <xsd:import namespace="84c15356-9ea4-4f28-bf6b-ac4ce44c44c9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c15356-9ea4-4f28-bf6b-ac4ce44c44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57003F7-D88B-4F92-AB6B-29CFFDC53DC3}">
  <ds:schemaRefs>
    <ds:schemaRef ds:uri="http://schemas.openxmlformats.org/package/2006/metadata/core-properties"/>
    <ds:schemaRef ds:uri="http://purl.org/dc/terms/"/>
    <ds:schemaRef ds:uri="84c15356-9ea4-4f28-bf6b-ac4ce44c44c9"/>
    <ds:schemaRef ds:uri="http://schemas.microsoft.com/office/infopath/2007/PartnerControls"/>
    <ds:schemaRef ds:uri="http://schemas.microsoft.com/office/2006/documentManagement/types"/>
    <ds:schemaRef ds:uri="http://www.w3.org/XML/1998/namespace"/>
    <ds:schemaRef ds:uri="http://schemas.microsoft.com/office/2006/metadata/properties"/>
    <ds:schemaRef ds:uri="http://purl.org/dc/dcmitype/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3EF87B77-FBC9-44B7-8BE7-856098848AE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0110DB8-23D9-4348-9790-4A75B2AD926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4c15356-9ea4-4f28-bf6b-ac4ce44c44c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25동계휴양_해운대</vt:lpstr>
      <vt:lpstr>26봄나들이_대구</vt:lpstr>
      <vt:lpstr>26하계휴양_산청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최민영</dc:creator>
  <cp:lastModifiedBy>최민영</cp:lastModifiedBy>
  <dcterms:created xsi:type="dcterms:W3CDTF">2025-12-01T02:09:18Z</dcterms:created>
  <dcterms:modified xsi:type="dcterms:W3CDTF">2026-09-01T14:09:36Z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0x0101009E173A158FF0044E881520175EA2EE56</vt:lpwstr>
  </property>
</Properties>
</file>