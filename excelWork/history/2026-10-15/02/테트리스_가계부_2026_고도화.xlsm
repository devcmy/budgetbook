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잔액!$A$1:$L$60</definedName>
  </definedNames>
  <calcPr calcId="191029" forceFullCalc="1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53" i="29" l="1"/>
  <c r="N2452" i="29"/>
  <c r="N2451" i="29"/>
  <c r="N2450" i="29"/>
  <c r="N2449" i="29"/>
  <c r="N2448" i="29"/>
  <c r="N2447" i="29"/>
  <c r="N2446" i="29"/>
  <c r="N2445" i="29"/>
  <c r="N2444" i="29"/>
  <c r="N2443" i="29"/>
  <c r="N2442" i="29"/>
  <c r="N2441" i="29"/>
  <c r="N2440" i="29"/>
  <c r="N2439" i="29"/>
  <c r="N2438" i="29"/>
  <c r="N2437" i="29"/>
  <c r="N2436" i="29"/>
  <c r="N2435" i="29"/>
  <c r="N2434" i="29"/>
  <c r="N2433" i="29"/>
  <c r="N2432" i="29"/>
  <c r="N2431" i="29"/>
  <c r="N2430" i="29"/>
  <c r="N2429" i="29"/>
  <c r="N2428" i="29"/>
  <c r="N2427" i="29"/>
  <c r="N2426" i="29"/>
  <c r="N2425" i="29"/>
  <c r="N2424" i="29"/>
  <c r="N2423" i="29"/>
  <c r="N2422" i="29"/>
  <c r="N2421" i="29"/>
  <c r="N2420" i="29"/>
  <c r="N2419" i="29"/>
  <c r="N2418" i="29"/>
  <c r="N2417" i="29"/>
  <c r="N2416" i="29"/>
  <c r="N2415" i="29"/>
  <c r="N2414" i="29"/>
  <c r="N2413" i="29"/>
  <c r="N2412" i="29"/>
  <c r="N2411" i="29"/>
  <c r="N2410" i="29"/>
  <c r="N2409" i="29"/>
  <c r="N2408" i="29"/>
  <c r="N2407" i="29"/>
  <c r="N2406" i="29"/>
  <c r="N2405" i="29"/>
  <c r="N2404" i="29"/>
  <c r="N2403" i="29"/>
  <c r="N2402" i="29"/>
  <c r="N2401" i="29"/>
  <c r="N2400" i="29"/>
  <c r="N2399" i="29"/>
  <c r="N2398" i="29"/>
  <c r="N2397" i="29"/>
  <c r="N2396" i="29"/>
  <c r="N2395" i="29"/>
  <c r="N2394" i="29"/>
  <c r="N2393" i="29"/>
  <c r="N2392" i="29"/>
  <c r="N2391" i="29"/>
  <c r="N2390" i="29"/>
  <c r="N2389" i="29"/>
  <c r="N2388" i="29"/>
  <c r="N2387" i="29"/>
  <c r="N2386" i="29"/>
  <c r="N2385" i="29"/>
  <c r="N2384" i="29"/>
  <c r="N2383" i="29"/>
  <c r="N2382" i="29"/>
  <c r="N2381" i="29"/>
  <c r="N2380" i="29"/>
  <c r="N2379" i="29"/>
  <c r="N2378" i="29"/>
  <c r="N2377" i="29"/>
  <c r="N2376" i="29"/>
  <c r="N2375" i="29"/>
  <c r="N2374" i="29"/>
  <c r="N2373" i="29"/>
  <c r="N2372" i="29"/>
  <c r="N2371" i="29"/>
  <c r="N2370" i="29"/>
  <c r="N2369" i="29"/>
  <c r="N2368" i="29"/>
  <c r="N2367" i="29"/>
  <c r="N2366" i="29"/>
  <c r="N2365" i="29"/>
  <c r="N2364" i="29"/>
  <c r="N2363" i="29"/>
  <c r="N2362" i="29"/>
  <c r="N2361" i="29"/>
  <c r="N2360" i="29"/>
  <c r="N2359" i="29"/>
  <c r="N2358" i="29"/>
  <c r="N2357" i="29"/>
  <c r="N2356" i="29"/>
  <c r="N2355" i="29"/>
  <c r="N2354" i="29"/>
  <c r="N2353" i="29"/>
  <c r="N2352" i="29"/>
  <c r="N2351" i="29"/>
  <c r="N2350" i="29"/>
  <c r="N2349" i="29"/>
  <c r="N2348" i="29"/>
  <c r="N2347" i="29"/>
  <c r="N2346" i="29"/>
  <c r="N2345" i="29"/>
  <c r="N2344" i="29"/>
  <c r="N2343" i="29"/>
  <c r="N2342" i="29"/>
  <c r="N2341" i="29"/>
  <c r="N2340" i="29"/>
  <c r="N2339" i="29"/>
  <c r="N2338" i="29"/>
  <c r="N2337" i="29"/>
  <c r="N2336" i="29"/>
  <c r="N2335" i="29"/>
  <c r="N2334" i="29"/>
  <c r="N2333" i="29"/>
  <c r="N2332" i="29"/>
  <c r="N2331" i="29"/>
  <c r="N2330" i="29"/>
  <c r="N2329" i="29"/>
  <c r="N2328" i="29"/>
  <c r="N2327" i="29"/>
  <c r="N2326" i="29"/>
  <c r="N2325" i="29"/>
  <c r="N2324" i="29"/>
  <c r="N2323" i="29"/>
  <c r="I151" i="28"/>
  <c r="A146" i="28"/>
  <c r="W17" i="28"/>
  <c r="W15" i="28"/>
  <c r="I152" i="28" s="1"/>
  <c r="Q69" i="27"/>
  <c r="P68" i="27"/>
  <c r="P67" i="27"/>
  <c r="P66" i="27"/>
  <c r="P65" i="27"/>
  <c r="P64" i="27"/>
  <c r="H61" i="27"/>
  <c r="F61" i="27"/>
  <c r="N60" i="27"/>
  <c r="M60" i="27"/>
  <c r="H60" i="27"/>
  <c r="F60" i="27"/>
  <c r="O59" i="27"/>
  <c r="H59" i="27"/>
  <c r="F59" i="27"/>
  <c r="O58" i="27"/>
  <c r="H58" i="27"/>
  <c r="F58" i="27"/>
  <c r="O57" i="27"/>
  <c r="H57" i="27"/>
  <c r="F57" i="27"/>
  <c r="H56" i="27"/>
  <c r="F56" i="27"/>
  <c r="H55" i="27"/>
  <c r="F55" i="27"/>
  <c r="H54" i="27"/>
  <c r="F54" i="27"/>
  <c r="H53" i="27"/>
  <c r="F53" i="27"/>
  <c r="H52" i="27"/>
  <c r="F52" i="27"/>
  <c r="N44" i="27"/>
  <c r="H40" i="27" s="1"/>
  <c r="M44" i="27"/>
  <c r="O43" i="27"/>
  <c r="I43" i="27"/>
  <c r="O42" i="27"/>
  <c r="I42" i="27"/>
  <c r="H42" i="27"/>
  <c r="O41" i="27"/>
  <c r="C41" i="27"/>
  <c r="O40" i="27"/>
  <c r="I40" i="27"/>
  <c r="O39" i="27"/>
  <c r="O38" i="27"/>
  <c r="O37" i="27"/>
  <c r="M31" i="27"/>
  <c r="K27" i="27"/>
  <c r="E26" i="27"/>
  <c r="D26" i="27"/>
  <c r="C26" i="27"/>
  <c r="B26" i="27"/>
  <c r="I26" i="27" s="1"/>
  <c r="I25" i="27"/>
  <c r="Q24" i="27"/>
  <c r="R24" i="27" s="1"/>
  <c r="I24" i="27"/>
  <c r="Q23" i="27"/>
  <c r="R23" i="27" s="1"/>
  <c r="Q22" i="27"/>
  <c r="R22" i="27" s="1"/>
  <c r="Q21" i="27"/>
  <c r="R21" i="27" s="1"/>
  <c r="H21" i="27"/>
  <c r="G21" i="27"/>
  <c r="F21" i="27"/>
  <c r="E21" i="27"/>
  <c r="D21" i="27"/>
  <c r="C21" i="27"/>
  <c r="B21" i="27"/>
  <c r="Q20" i="27"/>
  <c r="R20" i="27" s="1"/>
  <c r="I20" i="27"/>
  <c r="R19" i="27"/>
  <c r="Q19" i="27"/>
  <c r="I19" i="27"/>
  <c r="Q18" i="27"/>
  <c r="R18" i="27" s="1"/>
  <c r="Q17" i="27"/>
  <c r="R17" i="27" s="1"/>
  <c r="Q16" i="27"/>
  <c r="R16" i="27" s="1"/>
  <c r="H16" i="27"/>
  <c r="G16" i="27"/>
  <c r="F16" i="27"/>
  <c r="E16" i="27"/>
  <c r="D16" i="27"/>
  <c r="C16" i="27"/>
  <c r="B16" i="27"/>
  <c r="Q15" i="27"/>
  <c r="R15" i="27" s="1"/>
  <c r="I15" i="27"/>
  <c r="Q14" i="27"/>
  <c r="R14" i="27" s="1"/>
  <c r="I14" i="27"/>
  <c r="Q13" i="27"/>
  <c r="R13" i="27" s="1"/>
  <c r="Q12" i="27"/>
  <c r="R12" i="27" s="1"/>
  <c r="Q11" i="27"/>
  <c r="R11" i="27" s="1"/>
  <c r="H11" i="27"/>
  <c r="G11" i="27"/>
  <c r="F11" i="27"/>
  <c r="E11" i="27"/>
  <c r="D11" i="27"/>
  <c r="C11" i="27"/>
  <c r="B11" i="27"/>
  <c r="Q10" i="27"/>
  <c r="R10" i="27" s="1"/>
  <c r="I10" i="27"/>
  <c r="Q9" i="27"/>
  <c r="R9" i="27" s="1"/>
  <c r="I9" i="27"/>
  <c r="Q8" i="27"/>
  <c r="R8" i="27" s="1"/>
  <c r="Q7" i="27"/>
  <c r="R7" i="27" s="1"/>
  <c r="Q6" i="27"/>
  <c r="H6" i="27"/>
  <c r="G6" i="27"/>
  <c r="F6" i="27"/>
  <c r="E6" i="27"/>
  <c r="D6" i="27"/>
  <c r="C6" i="27"/>
  <c r="Q5" i="27"/>
  <c r="R5" i="27" s="1"/>
  <c r="I5" i="27"/>
  <c r="Q4" i="27"/>
  <c r="R4" i="27" s="1"/>
  <c r="I4" i="27"/>
  <c r="I151" i="26"/>
  <c r="A146" i="26"/>
  <c r="W17" i="26"/>
  <c r="W15" i="26"/>
  <c r="Q69" i="25"/>
  <c r="P68" i="25"/>
  <c r="P67" i="25"/>
  <c r="P66" i="25"/>
  <c r="P65" i="25"/>
  <c r="P64" i="25"/>
  <c r="H61" i="25"/>
  <c r="F61" i="25"/>
  <c r="N60" i="25"/>
  <c r="M60" i="25"/>
  <c r="H60" i="25"/>
  <c r="F60" i="25"/>
  <c r="O59" i="25"/>
  <c r="H59" i="25"/>
  <c r="F59" i="25"/>
  <c r="O58" i="25"/>
  <c r="H58" i="25"/>
  <c r="F58" i="25"/>
  <c r="O57" i="25"/>
  <c r="H57" i="25"/>
  <c r="F57" i="25"/>
  <c r="H56" i="25"/>
  <c r="F56" i="25"/>
  <c r="H55" i="25"/>
  <c r="F55" i="25"/>
  <c r="H54" i="25"/>
  <c r="F54" i="25"/>
  <c r="H53" i="25"/>
  <c r="F53" i="25"/>
  <c r="H52" i="25"/>
  <c r="I39" i="25" s="1"/>
  <c r="F52" i="25"/>
  <c r="N44" i="25"/>
  <c r="H40" i="25" s="1"/>
  <c r="M44" i="25"/>
  <c r="O43" i="25"/>
  <c r="I43" i="25"/>
  <c r="O42" i="25"/>
  <c r="I42" i="25"/>
  <c r="H42" i="25"/>
  <c r="O41" i="25"/>
  <c r="C41" i="25"/>
  <c r="O40" i="25"/>
  <c r="I40" i="25"/>
  <c r="O39" i="25"/>
  <c r="O38" i="25"/>
  <c r="O37" i="25"/>
  <c r="M31" i="25"/>
  <c r="B31" i="25"/>
  <c r="I31" i="25" s="1"/>
  <c r="I30" i="25"/>
  <c r="I29" i="25"/>
  <c r="K27" i="25"/>
  <c r="H26" i="25"/>
  <c r="G26" i="25"/>
  <c r="F26" i="25"/>
  <c r="E26" i="25"/>
  <c r="D26" i="25"/>
  <c r="C26" i="25"/>
  <c r="B26" i="25"/>
  <c r="I25" i="25"/>
  <c r="Q24" i="25"/>
  <c r="R24" i="25" s="1"/>
  <c r="I24" i="25"/>
  <c r="Q23" i="25"/>
  <c r="R23" i="25" s="1"/>
  <c r="Q22" i="25"/>
  <c r="R22" i="25" s="1"/>
  <c r="Q21" i="25"/>
  <c r="R21" i="25" s="1"/>
  <c r="H21" i="25"/>
  <c r="G21" i="25"/>
  <c r="F21" i="25"/>
  <c r="E21" i="25"/>
  <c r="D21" i="25"/>
  <c r="C21" i="25"/>
  <c r="B21" i="25"/>
  <c r="Q20" i="25"/>
  <c r="R20" i="25" s="1"/>
  <c r="I20" i="25"/>
  <c r="Q19" i="25"/>
  <c r="R19" i="25" s="1"/>
  <c r="I19" i="25"/>
  <c r="Q18" i="25"/>
  <c r="R18" i="25" s="1"/>
  <c r="Q17" i="25"/>
  <c r="R17" i="25" s="1"/>
  <c r="Q16" i="25"/>
  <c r="R16" i="25" s="1"/>
  <c r="H16" i="25"/>
  <c r="G16" i="25"/>
  <c r="F16" i="25"/>
  <c r="E16" i="25"/>
  <c r="D16" i="25"/>
  <c r="C16" i="25"/>
  <c r="B16" i="25"/>
  <c r="Q15" i="25"/>
  <c r="R15" i="25" s="1"/>
  <c r="I15" i="25"/>
  <c r="Q14" i="25"/>
  <c r="R14" i="25" s="1"/>
  <c r="I14" i="25"/>
  <c r="Q13" i="25"/>
  <c r="R13" i="25" s="1"/>
  <c r="Q12" i="25"/>
  <c r="R12" i="25" s="1"/>
  <c r="Q11" i="25"/>
  <c r="R11" i="25" s="1"/>
  <c r="H11" i="25"/>
  <c r="G11" i="25"/>
  <c r="F11" i="25"/>
  <c r="E11" i="25"/>
  <c r="D11" i="25"/>
  <c r="C11" i="25"/>
  <c r="B11" i="25"/>
  <c r="I11" i="25" s="1"/>
  <c r="Q10" i="25"/>
  <c r="R10" i="25" s="1"/>
  <c r="I10" i="25"/>
  <c r="Q9" i="25"/>
  <c r="R9" i="25" s="1"/>
  <c r="I9" i="25"/>
  <c r="Q8" i="25"/>
  <c r="R8" i="25" s="1"/>
  <c r="Q7" i="25"/>
  <c r="R7" i="25" s="1"/>
  <c r="Q6" i="25"/>
  <c r="R6" i="25" s="1"/>
  <c r="H6" i="25"/>
  <c r="I6" i="25" s="1"/>
  <c r="Q5" i="25"/>
  <c r="R5" i="25" s="1"/>
  <c r="I5" i="25"/>
  <c r="Q4" i="25"/>
  <c r="I4" i="25"/>
  <c r="I151" i="24"/>
  <c r="A146" i="24"/>
  <c r="W17" i="24"/>
  <c r="W15" i="24"/>
  <c r="I152" i="24" s="1"/>
  <c r="E83" i="23"/>
  <c r="Q69" i="23"/>
  <c r="P68" i="23"/>
  <c r="P67" i="23"/>
  <c r="P66" i="23"/>
  <c r="P65" i="23"/>
  <c r="P64" i="23"/>
  <c r="H61" i="23"/>
  <c r="F61" i="23"/>
  <c r="M60" i="23"/>
  <c r="H60" i="23"/>
  <c r="F60" i="23"/>
  <c r="N59" i="23"/>
  <c r="O59" i="23" s="1"/>
  <c r="H59" i="23"/>
  <c r="F59" i="23"/>
  <c r="N58" i="23"/>
  <c r="O58" i="23" s="1"/>
  <c r="H58" i="23"/>
  <c r="F58" i="23"/>
  <c r="N57" i="23"/>
  <c r="O57" i="23" s="1"/>
  <c r="H57" i="23"/>
  <c r="F57" i="23"/>
  <c r="H56" i="23"/>
  <c r="F56" i="23"/>
  <c r="H55" i="23"/>
  <c r="F55" i="23"/>
  <c r="H54" i="23"/>
  <c r="F54" i="23"/>
  <c r="H53" i="23"/>
  <c r="F53" i="23"/>
  <c r="G52" i="23"/>
  <c r="F52" i="23"/>
  <c r="H52" i="23" s="1"/>
  <c r="D52" i="23"/>
  <c r="A52" i="23"/>
  <c r="M44" i="23"/>
  <c r="N43" i="23"/>
  <c r="O43" i="23" s="1"/>
  <c r="H43" i="23"/>
  <c r="N42" i="23"/>
  <c r="O42" i="23" s="1"/>
  <c r="N41" i="23"/>
  <c r="O41" i="23" s="1"/>
  <c r="N40" i="23"/>
  <c r="O40" i="23" s="1"/>
  <c r="C40" i="23"/>
  <c r="N39" i="23"/>
  <c r="O39" i="23" s="1"/>
  <c r="C39" i="23"/>
  <c r="N38" i="23"/>
  <c r="O38" i="23" s="1"/>
  <c r="C38" i="23"/>
  <c r="N37" i="23"/>
  <c r="C37" i="23"/>
  <c r="M31" i="23"/>
  <c r="K27" i="23"/>
  <c r="G26" i="23"/>
  <c r="F26" i="23"/>
  <c r="E26" i="23"/>
  <c r="D26" i="23"/>
  <c r="C26" i="23"/>
  <c r="B26" i="23"/>
  <c r="I25" i="23"/>
  <c r="Q24" i="23"/>
  <c r="R24" i="23" s="1"/>
  <c r="I24" i="23"/>
  <c r="O23" i="23"/>
  <c r="Q23" i="23" s="1"/>
  <c r="R23" i="23" s="1"/>
  <c r="O22" i="23"/>
  <c r="Q22" i="23" s="1"/>
  <c r="R22" i="23" s="1"/>
  <c r="O21" i="23"/>
  <c r="Q21" i="23" s="1"/>
  <c r="R21" i="23" s="1"/>
  <c r="H21" i="23"/>
  <c r="G21" i="23"/>
  <c r="F21" i="23"/>
  <c r="E21" i="23"/>
  <c r="D21" i="23"/>
  <c r="C21" i="23"/>
  <c r="B21" i="23"/>
  <c r="O20" i="23"/>
  <c r="Q20" i="23" s="1"/>
  <c r="R20" i="23" s="1"/>
  <c r="I20" i="23"/>
  <c r="R19" i="23"/>
  <c r="Q19" i="23"/>
  <c r="I19" i="23"/>
  <c r="Q18" i="23"/>
  <c r="R18" i="23" s="1"/>
  <c r="O18" i="23"/>
  <c r="Q17" i="23"/>
  <c r="R17" i="23" s="1"/>
  <c r="Q16" i="23"/>
  <c r="R16" i="23" s="1"/>
  <c r="H16" i="23"/>
  <c r="G16" i="23"/>
  <c r="F16" i="23"/>
  <c r="E16" i="23"/>
  <c r="D16" i="23"/>
  <c r="Q15" i="23"/>
  <c r="R15" i="23" s="1"/>
  <c r="C15" i="23"/>
  <c r="C16" i="23" s="1"/>
  <c r="B15" i="23"/>
  <c r="B16" i="23" s="1"/>
  <c r="I16" i="23" s="1"/>
  <c r="O14" i="23"/>
  <c r="Q14" i="23" s="1"/>
  <c r="R14" i="23" s="1"/>
  <c r="C14" i="23"/>
  <c r="I14" i="23" s="1"/>
  <c r="O13" i="23"/>
  <c r="Q13" i="23" s="1"/>
  <c r="R13" i="23" s="1"/>
  <c r="O12" i="23"/>
  <c r="Q12" i="23" s="1"/>
  <c r="R12" i="23" s="1"/>
  <c r="O11" i="23"/>
  <c r="Q11" i="23" s="1"/>
  <c r="R11" i="23" s="1"/>
  <c r="F11" i="23"/>
  <c r="O10" i="23"/>
  <c r="Q10" i="23" s="1"/>
  <c r="R10" i="23" s="1"/>
  <c r="H10" i="23"/>
  <c r="H11" i="23" s="1"/>
  <c r="G10" i="23"/>
  <c r="G11" i="23" s="1"/>
  <c r="F10" i="23"/>
  <c r="E10" i="23"/>
  <c r="E11" i="23" s="1"/>
  <c r="D10" i="23"/>
  <c r="D11" i="23" s="1"/>
  <c r="C10" i="23"/>
  <c r="B10" i="23"/>
  <c r="B11" i="23" s="1"/>
  <c r="Q9" i="23"/>
  <c r="R9" i="23" s="1"/>
  <c r="I9" i="23"/>
  <c r="O8" i="23"/>
  <c r="Q8" i="23" s="1"/>
  <c r="Q7" i="23"/>
  <c r="R7" i="23" s="1"/>
  <c r="Q6" i="23"/>
  <c r="R6" i="23" s="1"/>
  <c r="G6" i="23"/>
  <c r="Q5" i="23"/>
  <c r="H5" i="23"/>
  <c r="H6" i="23" s="1"/>
  <c r="G5" i="23"/>
  <c r="F5" i="23"/>
  <c r="F6" i="23" s="1"/>
  <c r="E5" i="23"/>
  <c r="E6" i="23" s="1"/>
  <c r="Q4" i="23"/>
  <c r="R4" i="23" s="1"/>
  <c r="I4" i="23"/>
  <c r="A146" i="22"/>
  <c r="AA17" i="22"/>
  <c r="W17" i="22" s="1"/>
  <c r="AA15" i="22"/>
  <c r="W15" i="22" s="1"/>
  <c r="I152" i="22" s="1"/>
  <c r="W14" i="22"/>
  <c r="I151" i="22" s="1"/>
  <c r="Q69" i="21"/>
  <c r="P68" i="21"/>
  <c r="P67" i="21"/>
  <c r="P66" i="21"/>
  <c r="P65" i="21"/>
  <c r="P64" i="21"/>
  <c r="H61" i="21"/>
  <c r="F61" i="21"/>
  <c r="N60" i="21"/>
  <c r="H42" i="21" s="1"/>
  <c r="M60" i="21"/>
  <c r="H60" i="21"/>
  <c r="F60" i="21"/>
  <c r="O59" i="21"/>
  <c r="H59" i="21"/>
  <c r="F59" i="21"/>
  <c r="O58" i="21"/>
  <c r="H58" i="21"/>
  <c r="F58" i="21"/>
  <c r="O57" i="21"/>
  <c r="H57" i="21"/>
  <c r="F57" i="21"/>
  <c r="H56" i="21"/>
  <c r="F56" i="21"/>
  <c r="H55" i="21"/>
  <c r="F55" i="21"/>
  <c r="D54" i="21"/>
  <c r="F54" i="21" s="1"/>
  <c r="A54" i="21"/>
  <c r="D53" i="21"/>
  <c r="A53" i="21"/>
  <c r="D52" i="21"/>
  <c r="N44" i="21"/>
  <c r="H40" i="21" s="1"/>
  <c r="M44" i="21"/>
  <c r="O43" i="21"/>
  <c r="I43" i="21"/>
  <c r="O42" i="21"/>
  <c r="I42" i="21"/>
  <c r="O41" i="21"/>
  <c r="O40" i="21"/>
  <c r="I40" i="21"/>
  <c r="O39" i="21"/>
  <c r="C39" i="21"/>
  <c r="O38" i="21"/>
  <c r="C38" i="21"/>
  <c r="O37" i="21"/>
  <c r="C37" i="21"/>
  <c r="M31" i="21"/>
  <c r="K27" i="21"/>
  <c r="D25" i="21"/>
  <c r="D26" i="21" s="1"/>
  <c r="C25" i="21"/>
  <c r="C26" i="21" s="1"/>
  <c r="B25" i="21"/>
  <c r="B26" i="21" s="1"/>
  <c r="O24" i="21"/>
  <c r="Q24" i="21" s="1"/>
  <c r="R24" i="21" s="1"/>
  <c r="I24" i="21"/>
  <c r="O23" i="21"/>
  <c r="Q23" i="21" s="1"/>
  <c r="R23" i="21" s="1"/>
  <c r="O22" i="21"/>
  <c r="Q22" i="21" s="1"/>
  <c r="R22" i="21" s="1"/>
  <c r="Q21" i="21"/>
  <c r="R21" i="21" s="1"/>
  <c r="O21" i="21"/>
  <c r="H21" i="21"/>
  <c r="O20" i="21"/>
  <c r="Q20" i="21" s="1"/>
  <c r="R20" i="21" s="1"/>
  <c r="H20" i="21"/>
  <c r="G20" i="21"/>
  <c r="G21" i="21" s="1"/>
  <c r="F20" i="21"/>
  <c r="F21" i="21" s="1"/>
  <c r="E20" i="21"/>
  <c r="E21" i="21" s="1"/>
  <c r="D20" i="21"/>
  <c r="D21" i="21" s="1"/>
  <c r="C20" i="21"/>
  <c r="C21" i="21" s="1"/>
  <c r="B20" i="21"/>
  <c r="B21" i="21" s="1"/>
  <c r="O19" i="21"/>
  <c r="Q19" i="21" s="1"/>
  <c r="R19" i="21" s="1"/>
  <c r="I19" i="21"/>
  <c r="O18" i="21"/>
  <c r="Q18" i="21" s="1"/>
  <c r="R18" i="21" s="1"/>
  <c r="O17" i="21"/>
  <c r="Q17" i="21" s="1"/>
  <c r="R17" i="21" s="1"/>
  <c r="O16" i="21"/>
  <c r="Q16" i="21" s="1"/>
  <c r="R16" i="21" s="1"/>
  <c r="Q15" i="21"/>
  <c r="R15" i="21" s="1"/>
  <c r="O15" i="21"/>
  <c r="H15" i="21"/>
  <c r="H16" i="21" s="1"/>
  <c r="G15" i="21"/>
  <c r="G16" i="21" s="1"/>
  <c r="F15" i="21"/>
  <c r="F16" i="21" s="1"/>
  <c r="E15" i="21"/>
  <c r="E16" i="21" s="1"/>
  <c r="D15" i="21"/>
  <c r="D16" i="21" s="1"/>
  <c r="C15" i="21"/>
  <c r="B15" i="21"/>
  <c r="B16" i="21" s="1"/>
  <c r="Q14" i="21"/>
  <c r="R14" i="21" s="1"/>
  <c r="C14" i="21"/>
  <c r="I14" i="21" s="1"/>
  <c r="O13" i="21"/>
  <c r="Q13" i="21" s="1"/>
  <c r="R13" i="21" s="1"/>
  <c r="O12" i="21"/>
  <c r="Q12" i="21" s="1"/>
  <c r="R12" i="21" s="1"/>
  <c r="Q11" i="21"/>
  <c r="R11" i="21" s="1"/>
  <c r="O10" i="21"/>
  <c r="Q10" i="21" s="1"/>
  <c r="R10" i="21" s="1"/>
  <c r="H10" i="21"/>
  <c r="H11" i="21" s="1"/>
  <c r="G10" i="21"/>
  <c r="G11" i="21" s="1"/>
  <c r="F10" i="21"/>
  <c r="F11" i="21" s="1"/>
  <c r="E10" i="21"/>
  <c r="E11" i="21" s="1"/>
  <c r="D10" i="21"/>
  <c r="C10" i="21"/>
  <c r="C11" i="21" s="1"/>
  <c r="B10" i="21"/>
  <c r="B11" i="21" s="1"/>
  <c r="O9" i="21"/>
  <c r="Q9" i="21" s="1"/>
  <c r="R9" i="21" s="1"/>
  <c r="I9" i="21"/>
  <c r="O8" i="21"/>
  <c r="Q8" i="21" s="1"/>
  <c r="R8" i="21" s="1"/>
  <c r="O7" i="21"/>
  <c r="Q7" i="21" s="1"/>
  <c r="R7" i="21" s="1"/>
  <c r="O6" i="21"/>
  <c r="Q6" i="21" s="1"/>
  <c r="R6" i="21" s="1"/>
  <c r="G6" i="21"/>
  <c r="Q5" i="21"/>
  <c r="R5" i="21" s="1"/>
  <c r="H5" i="21"/>
  <c r="H6" i="21" s="1"/>
  <c r="G5" i="21"/>
  <c r="F5" i="21"/>
  <c r="F6" i="21" s="1"/>
  <c r="E5" i="21"/>
  <c r="E6" i="21" s="1"/>
  <c r="D5" i="21"/>
  <c r="D6" i="21" s="1"/>
  <c r="C5" i="21"/>
  <c r="O4" i="21"/>
  <c r="Q4" i="21" s="1"/>
  <c r="R4" i="21" s="1"/>
  <c r="I4" i="21"/>
  <c r="I151" i="20"/>
  <c r="A146" i="20"/>
  <c r="W17" i="20"/>
  <c r="W15" i="20"/>
  <c r="I152" i="20" s="1"/>
  <c r="Q69" i="19"/>
  <c r="P68" i="19"/>
  <c r="P67" i="19"/>
  <c r="P66" i="19"/>
  <c r="P65" i="19"/>
  <c r="P64" i="19"/>
  <c r="H61" i="19"/>
  <c r="F61" i="19"/>
  <c r="N60" i="19"/>
  <c r="H42" i="19" s="1"/>
  <c r="M60" i="19"/>
  <c r="H60" i="19"/>
  <c r="F60" i="19"/>
  <c r="O59" i="19"/>
  <c r="H59" i="19"/>
  <c r="F59" i="19"/>
  <c r="O58" i="19"/>
  <c r="H58" i="19"/>
  <c r="F58" i="19"/>
  <c r="O57" i="19"/>
  <c r="H57" i="19"/>
  <c r="F57" i="19"/>
  <c r="D56" i="19"/>
  <c r="F56" i="19" s="1"/>
  <c r="H56" i="19" s="1"/>
  <c r="A56" i="19"/>
  <c r="E55" i="19"/>
  <c r="D55" i="19"/>
  <c r="F54" i="19"/>
  <c r="H54" i="19" s="1"/>
  <c r="F53" i="19"/>
  <c r="H53" i="19" s="1"/>
  <c r="F52" i="19"/>
  <c r="H52" i="19" s="1"/>
  <c r="N44" i="19"/>
  <c r="H40" i="19" s="1"/>
  <c r="M44" i="19"/>
  <c r="O43" i="19"/>
  <c r="I43" i="19"/>
  <c r="O42" i="19"/>
  <c r="I42" i="19"/>
  <c r="O41" i="19"/>
  <c r="C41" i="19"/>
  <c r="O40" i="19"/>
  <c r="I40" i="19"/>
  <c r="O39" i="19"/>
  <c r="O38" i="19"/>
  <c r="O37" i="19"/>
  <c r="M31" i="19"/>
  <c r="B31" i="19"/>
  <c r="I31" i="19" s="1"/>
  <c r="I30" i="19"/>
  <c r="I29" i="19"/>
  <c r="K27" i="19"/>
  <c r="H26" i="19"/>
  <c r="G26" i="19"/>
  <c r="F26" i="19"/>
  <c r="E26" i="19"/>
  <c r="D26" i="19"/>
  <c r="C26" i="19"/>
  <c r="B26" i="19"/>
  <c r="I25" i="19"/>
  <c r="R24" i="19"/>
  <c r="Q24" i="19"/>
  <c r="I24" i="19"/>
  <c r="Q23" i="19"/>
  <c r="R23" i="19" s="1"/>
  <c r="Q22" i="19"/>
  <c r="R22" i="19" s="1"/>
  <c r="Q21" i="19"/>
  <c r="R21" i="19" s="1"/>
  <c r="H21" i="19"/>
  <c r="G21" i="19"/>
  <c r="F21" i="19"/>
  <c r="E21" i="19"/>
  <c r="D21" i="19"/>
  <c r="C21" i="19"/>
  <c r="B21" i="19"/>
  <c r="Q20" i="19"/>
  <c r="R20" i="19" s="1"/>
  <c r="I20" i="19"/>
  <c r="R19" i="19"/>
  <c r="Q19" i="19"/>
  <c r="I19" i="19"/>
  <c r="R18" i="19"/>
  <c r="Q18" i="19"/>
  <c r="Q17" i="19"/>
  <c r="R17" i="19" s="1"/>
  <c r="Q16" i="19"/>
  <c r="R16" i="19" s="1"/>
  <c r="H16" i="19"/>
  <c r="G16" i="19"/>
  <c r="F16" i="19"/>
  <c r="E16" i="19"/>
  <c r="D16" i="19"/>
  <c r="C16" i="19"/>
  <c r="B16" i="19"/>
  <c r="Q15" i="19"/>
  <c r="R15" i="19" s="1"/>
  <c r="I15" i="19"/>
  <c r="Q14" i="19"/>
  <c r="R14" i="19" s="1"/>
  <c r="I14" i="19"/>
  <c r="Q13" i="19"/>
  <c r="R13" i="19" s="1"/>
  <c r="Q12" i="19"/>
  <c r="R12" i="19" s="1"/>
  <c r="Q11" i="19"/>
  <c r="R11" i="19" s="1"/>
  <c r="H11" i="19"/>
  <c r="G11" i="19"/>
  <c r="F11" i="19"/>
  <c r="E11" i="19"/>
  <c r="D11" i="19"/>
  <c r="C11" i="19"/>
  <c r="B11" i="19"/>
  <c r="Q10" i="19"/>
  <c r="R10" i="19" s="1"/>
  <c r="I10" i="19"/>
  <c r="Q9" i="19"/>
  <c r="R9" i="19" s="1"/>
  <c r="I9" i="19"/>
  <c r="Q8" i="19"/>
  <c r="R8" i="19" s="1"/>
  <c r="R7" i="19"/>
  <c r="Q7" i="19"/>
  <c r="Q6" i="19"/>
  <c r="R6" i="19" s="1"/>
  <c r="H6" i="19"/>
  <c r="G6" i="19"/>
  <c r="I6" i="19" s="1"/>
  <c r="Q5" i="19"/>
  <c r="R5" i="19" s="1"/>
  <c r="I5" i="19"/>
  <c r="Q4" i="19"/>
  <c r="R4" i="19" s="1"/>
  <c r="I4" i="19"/>
  <c r="I151" i="18"/>
  <c r="A146" i="18"/>
  <c r="W17" i="18"/>
  <c r="W15" i="18"/>
  <c r="Q69" i="17"/>
  <c r="P68" i="17"/>
  <c r="P67" i="17"/>
  <c r="P66" i="17"/>
  <c r="P65" i="17"/>
  <c r="P64" i="17"/>
  <c r="H61" i="17"/>
  <c r="F61" i="17"/>
  <c r="N60" i="17"/>
  <c r="H42" i="17" s="1"/>
  <c r="M60" i="17"/>
  <c r="H60" i="17"/>
  <c r="F60" i="17"/>
  <c r="O59" i="17"/>
  <c r="H59" i="17"/>
  <c r="F59" i="17"/>
  <c r="O58" i="17"/>
  <c r="H58" i="17"/>
  <c r="F58" i="17"/>
  <c r="O57" i="17"/>
  <c r="H57" i="17"/>
  <c r="F57" i="17"/>
  <c r="H56" i="17"/>
  <c r="F56" i="17"/>
  <c r="H55" i="17"/>
  <c r="F55" i="17"/>
  <c r="D54" i="17"/>
  <c r="A54" i="17"/>
  <c r="D53" i="17"/>
  <c r="A53" i="17"/>
  <c r="H52" i="17"/>
  <c r="F52" i="17"/>
  <c r="N44" i="17"/>
  <c r="H40" i="17" s="1"/>
  <c r="M44" i="17"/>
  <c r="O43" i="17"/>
  <c r="I43" i="17"/>
  <c r="O42" i="17"/>
  <c r="I42" i="17"/>
  <c r="O41" i="17"/>
  <c r="C41" i="17"/>
  <c r="O40" i="17"/>
  <c r="I40" i="17"/>
  <c r="O39" i="17"/>
  <c r="O38" i="17"/>
  <c r="O37" i="17"/>
  <c r="M31" i="17"/>
  <c r="K27" i="17"/>
  <c r="F26" i="17"/>
  <c r="E26" i="17"/>
  <c r="D26" i="17"/>
  <c r="C26" i="17"/>
  <c r="B26" i="17"/>
  <c r="I25" i="17"/>
  <c r="Q24" i="17"/>
  <c r="R24" i="17" s="1"/>
  <c r="I24" i="17"/>
  <c r="Q23" i="17"/>
  <c r="R23" i="17" s="1"/>
  <c r="Q22" i="17"/>
  <c r="R22" i="17" s="1"/>
  <c r="Q21" i="17"/>
  <c r="R21" i="17" s="1"/>
  <c r="H21" i="17"/>
  <c r="G21" i="17"/>
  <c r="F21" i="17"/>
  <c r="E21" i="17"/>
  <c r="D21" i="17"/>
  <c r="C21" i="17"/>
  <c r="B21" i="17"/>
  <c r="Q20" i="17"/>
  <c r="R20" i="17" s="1"/>
  <c r="I20" i="17"/>
  <c r="Q19" i="17"/>
  <c r="R19" i="17" s="1"/>
  <c r="I19" i="17"/>
  <c r="Q18" i="17"/>
  <c r="R18" i="17" s="1"/>
  <c r="Q17" i="17"/>
  <c r="R17" i="17" s="1"/>
  <c r="Q16" i="17"/>
  <c r="R16" i="17" s="1"/>
  <c r="H16" i="17"/>
  <c r="G16" i="17"/>
  <c r="F16" i="17"/>
  <c r="E16" i="17"/>
  <c r="D16" i="17"/>
  <c r="C16" i="17"/>
  <c r="B16" i="17"/>
  <c r="Q15" i="17"/>
  <c r="R15" i="17" s="1"/>
  <c r="I15" i="17"/>
  <c r="Q14" i="17"/>
  <c r="R14" i="17" s="1"/>
  <c r="I14" i="17"/>
  <c r="Q13" i="17"/>
  <c r="R13" i="17" s="1"/>
  <c r="Q12" i="17"/>
  <c r="R12" i="17" s="1"/>
  <c r="Q11" i="17"/>
  <c r="R11" i="17" s="1"/>
  <c r="H11" i="17"/>
  <c r="G11" i="17"/>
  <c r="F11" i="17"/>
  <c r="E11" i="17"/>
  <c r="D11" i="17"/>
  <c r="C11" i="17"/>
  <c r="B11" i="17"/>
  <c r="Q10" i="17"/>
  <c r="R10" i="17" s="1"/>
  <c r="I10" i="17"/>
  <c r="Q9" i="17"/>
  <c r="R9" i="17" s="1"/>
  <c r="I9" i="17"/>
  <c r="Q8" i="17"/>
  <c r="R8" i="17" s="1"/>
  <c r="Q7" i="17"/>
  <c r="R7" i="17" s="1"/>
  <c r="Q6" i="17"/>
  <c r="R6" i="17" s="1"/>
  <c r="H6" i="17"/>
  <c r="G6" i="17"/>
  <c r="F6" i="17"/>
  <c r="E6" i="17"/>
  <c r="D6" i="17"/>
  <c r="Q5" i="17"/>
  <c r="R5" i="17" s="1"/>
  <c r="I5" i="17"/>
  <c r="Q4" i="17"/>
  <c r="R4" i="17" s="1"/>
  <c r="I4" i="17"/>
  <c r="I151" i="16"/>
  <c r="A146" i="16"/>
  <c r="W17" i="16"/>
  <c r="W15" i="16"/>
  <c r="I152" i="16" s="1"/>
  <c r="Q69" i="15"/>
  <c r="P68" i="15"/>
  <c r="P67" i="15"/>
  <c r="P66" i="15"/>
  <c r="P65" i="15"/>
  <c r="P64" i="15"/>
  <c r="H61" i="15"/>
  <c r="F61" i="15"/>
  <c r="N60" i="15"/>
  <c r="M60" i="15"/>
  <c r="H60" i="15"/>
  <c r="F60" i="15"/>
  <c r="O59" i="15"/>
  <c r="H59" i="15"/>
  <c r="F59" i="15"/>
  <c r="O58" i="15"/>
  <c r="H58" i="15"/>
  <c r="F58" i="15"/>
  <c r="O57" i="15"/>
  <c r="H57" i="15"/>
  <c r="F57" i="15"/>
  <c r="H56" i="15"/>
  <c r="F56" i="15"/>
  <c r="H55" i="15"/>
  <c r="F55" i="15"/>
  <c r="H54" i="15"/>
  <c r="F54" i="15"/>
  <c r="D53" i="15"/>
  <c r="A53" i="15"/>
  <c r="F52" i="15"/>
  <c r="H52" i="15" s="1"/>
  <c r="N44" i="15"/>
  <c r="M44" i="15"/>
  <c r="O43" i="15"/>
  <c r="I43" i="15"/>
  <c r="O42" i="15"/>
  <c r="I42" i="15"/>
  <c r="H42" i="15"/>
  <c r="O41" i="15"/>
  <c r="C41" i="15"/>
  <c r="O40" i="15"/>
  <c r="I40" i="15"/>
  <c r="H40" i="15"/>
  <c r="O39" i="15"/>
  <c r="O38" i="15"/>
  <c r="O37" i="15"/>
  <c r="M31" i="15"/>
  <c r="K27" i="15"/>
  <c r="C26" i="15"/>
  <c r="B26" i="15"/>
  <c r="I26" i="15" s="1"/>
  <c r="I25" i="15"/>
  <c r="Q24" i="15"/>
  <c r="R24" i="15" s="1"/>
  <c r="I24" i="15"/>
  <c r="Q23" i="15"/>
  <c r="R23" i="15" s="1"/>
  <c r="Q22" i="15"/>
  <c r="R22" i="15" s="1"/>
  <c r="Q21" i="15"/>
  <c r="R21" i="15" s="1"/>
  <c r="H21" i="15"/>
  <c r="G21" i="15"/>
  <c r="F21" i="15"/>
  <c r="E21" i="15"/>
  <c r="D21" i="15"/>
  <c r="C21" i="15"/>
  <c r="B21" i="15"/>
  <c r="Q20" i="15"/>
  <c r="R20" i="15" s="1"/>
  <c r="I20" i="15"/>
  <c r="Q19" i="15"/>
  <c r="R19" i="15" s="1"/>
  <c r="I19" i="15"/>
  <c r="Q18" i="15"/>
  <c r="R18" i="15" s="1"/>
  <c r="Q17" i="15"/>
  <c r="R17" i="15" s="1"/>
  <c r="Q16" i="15"/>
  <c r="R16" i="15" s="1"/>
  <c r="H16" i="15"/>
  <c r="G16" i="15"/>
  <c r="F16" i="15"/>
  <c r="E16" i="15"/>
  <c r="D16" i="15"/>
  <c r="C16" i="15"/>
  <c r="B16" i="15"/>
  <c r="Q15" i="15"/>
  <c r="R15" i="15" s="1"/>
  <c r="I15" i="15"/>
  <c r="Q14" i="15"/>
  <c r="R14" i="15" s="1"/>
  <c r="I14" i="15"/>
  <c r="Q13" i="15"/>
  <c r="R13" i="15" s="1"/>
  <c r="Q12" i="15"/>
  <c r="R12" i="15" s="1"/>
  <c r="Q11" i="15"/>
  <c r="R11" i="15" s="1"/>
  <c r="H11" i="15"/>
  <c r="G11" i="15"/>
  <c r="F11" i="15"/>
  <c r="E11" i="15"/>
  <c r="D11" i="15"/>
  <c r="C11" i="15"/>
  <c r="B11" i="15"/>
  <c r="Q10" i="15"/>
  <c r="R10" i="15" s="1"/>
  <c r="I10" i="15"/>
  <c r="Q9" i="15"/>
  <c r="R9" i="15" s="1"/>
  <c r="I9" i="15"/>
  <c r="Q8" i="15"/>
  <c r="R8" i="15" s="1"/>
  <c r="Q7" i="15"/>
  <c r="R7" i="15" s="1"/>
  <c r="Q6" i="15"/>
  <c r="R6" i="15" s="1"/>
  <c r="H6" i="15"/>
  <c r="G6" i="15"/>
  <c r="F6" i="15"/>
  <c r="E6" i="15"/>
  <c r="D6" i="15"/>
  <c r="C6" i="15"/>
  <c r="B6" i="15"/>
  <c r="Q5" i="15"/>
  <c r="R5" i="15" s="1"/>
  <c r="I5" i="15"/>
  <c r="Q4" i="15"/>
  <c r="R4" i="15" s="1"/>
  <c r="I4" i="15"/>
  <c r="I152" i="14"/>
  <c r="A146" i="14"/>
  <c r="W17" i="14"/>
  <c r="W15" i="14"/>
  <c r="W14" i="14"/>
  <c r="I151" i="14" s="1"/>
  <c r="Q69" i="13"/>
  <c r="P68" i="13"/>
  <c r="P67" i="13"/>
  <c r="P66" i="13"/>
  <c r="P65" i="13"/>
  <c r="P64" i="13"/>
  <c r="H61" i="13"/>
  <c r="F61" i="13"/>
  <c r="N60" i="13"/>
  <c r="H42" i="13" s="1"/>
  <c r="M60" i="13"/>
  <c r="H60" i="13"/>
  <c r="F60" i="13"/>
  <c r="O59" i="13"/>
  <c r="H59" i="13"/>
  <c r="F59" i="13"/>
  <c r="O58" i="13"/>
  <c r="H58" i="13"/>
  <c r="F58" i="13"/>
  <c r="O57" i="13"/>
  <c r="H57" i="13"/>
  <c r="F57" i="13"/>
  <c r="H56" i="13"/>
  <c r="F56" i="13"/>
  <c r="H55" i="13"/>
  <c r="F55" i="13"/>
  <c r="H54" i="13"/>
  <c r="F54" i="13"/>
  <c r="H53" i="13"/>
  <c r="F53" i="13"/>
  <c r="H52" i="13"/>
  <c r="F52" i="13"/>
  <c r="N44" i="13"/>
  <c r="M44" i="13"/>
  <c r="O43" i="13"/>
  <c r="I43" i="13"/>
  <c r="O42" i="13"/>
  <c r="I42" i="13"/>
  <c r="O41" i="13"/>
  <c r="C41" i="13"/>
  <c r="O40" i="13"/>
  <c r="I40" i="13"/>
  <c r="H40" i="13"/>
  <c r="O39" i="13"/>
  <c r="O38" i="13"/>
  <c r="O37" i="13"/>
  <c r="K27" i="13"/>
  <c r="H26" i="13"/>
  <c r="G26" i="13"/>
  <c r="F26" i="13"/>
  <c r="E26" i="13"/>
  <c r="D26" i="13"/>
  <c r="C26" i="13"/>
  <c r="B26" i="13"/>
  <c r="I25" i="13"/>
  <c r="Q24" i="13"/>
  <c r="R24" i="13" s="1"/>
  <c r="I24" i="13"/>
  <c r="Q23" i="13"/>
  <c r="R23" i="13" s="1"/>
  <c r="Q22" i="13"/>
  <c r="R22" i="13" s="1"/>
  <c r="Q21" i="13"/>
  <c r="R21" i="13" s="1"/>
  <c r="H21" i="13"/>
  <c r="G21" i="13"/>
  <c r="F21" i="13"/>
  <c r="E21" i="13"/>
  <c r="D21" i="13"/>
  <c r="C21" i="13"/>
  <c r="B21" i="13"/>
  <c r="R20" i="13"/>
  <c r="Q20" i="13"/>
  <c r="I20" i="13"/>
  <c r="Q19" i="13"/>
  <c r="R19" i="13" s="1"/>
  <c r="I19" i="13"/>
  <c r="Q18" i="13"/>
  <c r="R18" i="13" s="1"/>
  <c r="Q17" i="13"/>
  <c r="R17" i="13" s="1"/>
  <c r="Q16" i="13"/>
  <c r="R16" i="13" s="1"/>
  <c r="H16" i="13"/>
  <c r="G16" i="13"/>
  <c r="F16" i="13"/>
  <c r="E16" i="13"/>
  <c r="D16" i="13"/>
  <c r="C16" i="13"/>
  <c r="B16" i="13"/>
  <c r="Q15" i="13"/>
  <c r="R15" i="13" s="1"/>
  <c r="I15" i="13"/>
  <c r="Q14" i="13"/>
  <c r="R14" i="13" s="1"/>
  <c r="I14" i="13"/>
  <c r="Q13" i="13"/>
  <c r="R13" i="13" s="1"/>
  <c r="Q12" i="13"/>
  <c r="R12" i="13" s="1"/>
  <c r="Q11" i="13"/>
  <c r="R11" i="13" s="1"/>
  <c r="H11" i="13"/>
  <c r="G11" i="13"/>
  <c r="F11" i="13"/>
  <c r="E11" i="13"/>
  <c r="D11" i="13"/>
  <c r="C11" i="13"/>
  <c r="B11" i="13"/>
  <c r="Q10" i="13"/>
  <c r="R10" i="13" s="1"/>
  <c r="I10" i="13"/>
  <c r="Q9" i="13"/>
  <c r="R9" i="13" s="1"/>
  <c r="I9" i="13"/>
  <c r="Q8" i="13"/>
  <c r="R8" i="13" s="1"/>
  <c r="Q7" i="13"/>
  <c r="R7" i="13" s="1"/>
  <c r="Q6" i="13"/>
  <c r="R6" i="13" s="1"/>
  <c r="H6" i="13"/>
  <c r="G6" i="13"/>
  <c r="F6" i="13"/>
  <c r="R5" i="13"/>
  <c r="Q5" i="13"/>
  <c r="I5" i="13"/>
  <c r="Q4" i="13"/>
  <c r="R4" i="13" s="1"/>
  <c r="I4" i="13"/>
  <c r="I151" i="12"/>
  <c r="A146" i="12"/>
  <c r="W17" i="12"/>
  <c r="W15" i="12"/>
  <c r="I152" i="12" s="1"/>
  <c r="Q69" i="11"/>
  <c r="P68" i="11"/>
  <c r="P67" i="11"/>
  <c r="P66" i="11"/>
  <c r="P65" i="11"/>
  <c r="P64" i="11"/>
  <c r="H61" i="11"/>
  <c r="F61" i="11"/>
  <c r="N60" i="11"/>
  <c r="H42" i="11" s="1"/>
  <c r="M60" i="11"/>
  <c r="H60" i="11"/>
  <c r="F60" i="11"/>
  <c r="O59" i="11"/>
  <c r="H59" i="11"/>
  <c r="F59" i="11"/>
  <c r="O58" i="11"/>
  <c r="H58" i="11"/>
  <c r="F58" i="11"/>
  <c r="O57" i="11"/>
  <c r="H57" i="11"/>
  <c r="F57" i="11"/>
  <c r="H56" i="11"/>
  <c r="F56" i="11"/>
  <c r="H55" i="11"/>
  <c r="F55" i="11"/>
  <c r="H54" i="11"/>
  <c r="F54" i="11"/>
  <c r="D53" i="11"/>
  <c r="F53" i="11" s="1"/>
  <c r="A53" i="11"/>
  <c r="F52" i="11"/>
  <c r="H52" i="11" s="1"/>
  <c r="N44" i="11"/>
  <c r="H40" i="11" s="1"/>
  <c r="M44" i="11"/>
  <c r="O43" i="11"/>
  <c r="I43" i="11"/>
  <c r="O42" i="11"/>
  <c r="I42" i="11"/>
  <c r="O41" i="11"/>
  <c r="C41" i="11"/>
  <c r="O40" i="11"/>
  <c r="I40" i="11"/>
  <c r="O39" i="11"/>
  <c r="O38" i="11"/>
  <c r="O37" i="11"/>
  <c r="M31" i="11"/>
  <c r="K27" i="11"/>
  <c r="E26" i="11"/>
  <c r="D26" i="11"/>
  <c r="C26" i="11"/>
  <c r="B26" i="11"/>
  <c r="I25" i="11"/>
  <c r="Q24" i="11"/>
  <c r="R24" i="11" s="1"/>
  <c r="I24" i="11"/>
  <c r="Q23" i="11"/>
  <c r="R23" i="11" s="1"/>
  <c r="Q22" i="11"/>
  <c r="R22" i="11" s="1"/>
  <c r="Q21" i="11"/>
  <c r="R21" i="11" s="1"/>
  <c r="H21" i="11"/>
  <c r="G21" i="11"/>
  <c r="F21" i="11"/>
  <c r="E21" i="11"/>
  <c r="D21" i="11"/>
  <c r="C21" i="11"/>
  <c r="B21" i="11"/>
  <c r="R20" i="11"/>
  <c r="Q20" i="11"/>
  <c r="I20" i="11"/>
  <c r="Q19" i="11"/>
  <c r="R19" i="11" s="1"/>
  <c r="I19" i="11"/>
  <c r="Q18" i="11"/>
  <c r="R18" i="11" s="1"/>
  <c r="Q17" i="11"/>
  <c r="R17" i="11" s="1"/>
  <c r="Q16" i="11"/>
  <c r="R16" i="11" s="1"/>
  <c r="H16" i="11"/>
  <c r="G16" i="11"/>
  <c r="F16" i="11"/>
  <c r="E16" i="11"/>
  <c r="D16" i="11"/>
  <c r="C16" i="11"/>
  <c r="B16" i="11"/>
  <c r="I16" i="11" s="1"/>
  <c r="Q15" i="11"/>
  <c r="R15" i="11" s="1"/>
  <c r="I15" i="11"/>
  <c r="Q14" i="11"/>
  <c r="R14" i="11" s="1"/>
  <c r="I14" i="11"/>
  <c r="Q13" i="11"/>
  <c r="R13" i="11" s="1"/>
  <c r="Q12" i="11"/>
  <c r="R12" i="11" s="1"/>
  <c r="Q11" i="11"/>
  <c r="R11" i="11" s="1"/>
  <c r="H11" i="11"/>
  <c r="G11" i="11"/>
  <c r="F11" i="11"/>
  <c r="E11" i="11"/>
  <c r="D11" i="11"/>
  <c r="C11" i="11"/>
  <c r="B11" i="11"/>
  <c r="Q10" i="11"/>
  <c r="R10" i="11" s="1"/>
  <c r="I10" i="11"/>
  <c r="R9" i="11"/>
  <c r="Q9" i="11"/>
  <c r="I9" i="11"/>
  <c r="Q8" i="11"/>
  <c r="R8" i="11" s="1"/>
  <c r="R7" i="11"/>
  <c r="Q7" i="11"/>
  <c r="Q6" i="11"/>
  <c r="R6" i="11" s="1"/>
  <c r="H6" i="11"/>
  <c r="G6" i="11"/>
  <c r="F6" i="11"/>
  <c r="E6" i="11"/>
  <c r="D6" i="11"/>
  <c r="Q5" i="11"/>
  <c r="R5" i="11" s="1"/>
  <c r="I5" i="11"/>
  <c r="Q4" i="11"/>
  <c r="I4" i="11"/>
  <c r="I151" i="10"/>
  <c r="A146" i="10"/>
  <c r="W17" i="10"/>
  <c r="W15" i="10"/>
  <c r="I152" i="10" s="1"/>
  <c r="Q69" i="9"/>
  <c r="P68" i="9"/>
  <c r="P67" i="9"/>
  <c r="P66" i="9"/>
  <c r="P65" i="9"/>
  <c r="P64" i="9"/>
  <c r="H61" i="9"/>
  <c r="F61" i="9"/>
  <c r="N60" i="9"/>
  <c r="H42" i="9" s="1"/>
  <c r="M60" i="9"/>
  <c r="H60" i="9"/>
  <c r="F60" i="9"/>
  <c r="O59" i="9"/>
  <c r="H59" i="9"/>
  <c r="F59" i="9"/>
  <c r="O58" i="9"/>
  <c r="H58" i="9"/>
  <c r="F58" i="9"/>
  <c r="O57" i="9"/>
  <c r="H57" i="9"/>
  <c r="F57" i="9"/>
  <c r="H56" i="9"/>
  <c r="F56" i="9"/>
  <c r="H55" i="9"/>
  <c r="F55" i="9"/>
  <c r="H54" i="9"/>
  <c r="F54" i="9"/>
  <c r="D53" i="9"/>
  <c r="F53" i="9" s="1"/>
  <c r="H53" i="9" s="1"/>
  <c r="A53" i="9"/>
  <c r="H52" i="9"/>
  <c r="F52" i="9"/>
  <c r="N44" i="9"/>
  <c r="M44" i="9"/>
  <c r="O43" i="9"/>
  <c r="I43" i="9"/>
  <c r="O42" i="9"/>
  <c r="I42" i="9"/>
  <c r="O41" i="9"/>
  <c r="C41" i="9"/>
  <c r="O40" i="9"/>
  <c r="I40" i="9"/>
  <c r="H40" i="9"/>
  <c r="O39" i="9"/>
  <c r="O38" i="9"/>
  <c r="O37" i="9"/>
  <c r="M31" i="9"/>
  <c r="C31" i="9"/>
  <c r="B31" i="9"/>
  <c r="I30" i="9"/>
  <c r="I29" i="9"/>
  <c r="K27" i="9"/>
  <c r="H26" i="9"/>
  <c r="G26" i="9"/>
  <c r="F26" i="9"/>
  <c r="E26" i="9"/>
  <c r="D26" i="9"/>
  <c r="C26" i="9"/>
  <c r="B26" i="9"/>
  <c r="I25" i="9"/>
  <c r="Q24" i="9"/>
  <c r="R24" i="9" s="1"/>
  <c r="I24" i="9"/>
  <c r="Q23" i="9"/>
  <c r="R23" i="9" s="1"/>
  <c r="Q22" i="9"/>
  <c r="R22" i="9" s="1"/>
  <c r="Q21" i="9"/>
  <c r="R21" i="9" s="1"/>
  <c r="H21" i="9"/>
  <c r="G21" i="9"/>
  <c r="F21" i="9"/>
  <c r="E21" i="9"/>
  <c r="D21" i="9"/>
  <c r="C21" i="9"/>
  <c r="B21" i="9"/>
  <c r="Q20" i="9"/>
  <c r="R20" i="9" s="1"/>
  <c r="I20" i="9"/>
  <c r="Q19" i="9"/>
  <c r="R19" i="9" s="1"/>
  <c r="I19" i="9"/>
  <c r="R18" i="9"/>
  <c r="Q18" i="9"/>
  <c r="Q17" i="9"/>
  <c r="R17" i="9" s="1"/>
  <c r="Q16" i="9"/>
  <c r="R16" i="9" s="1"/>
  <c r="H16" i="9"/>
  <c r="G16" i="9"/>
  <c r="F16" i="9"/>
  <c r="E16" i="9"/>
  <c r="D16" i="9"/>
  <c r="C16" i="9"/>
  <c r="B16" i="9"/>
  <c r="Q15" i="9"/>
  <c r="R15" i="9" s="1"/>
  <c r="I15" i="9"/>
  <c r="Q14" i="9"/>
  <c r="R14" i="9" s="1"/>
  <c r="I14" i="9"/>
  <c r="Q13" i="9"/>
  <c r="R13" i="9" s="1"/>
  <c r="Q12" i="9"/>
  <c r="R12" i="9" s="1"/>
  <c r="Q11" i="9"/>
  <c r="R11" i="9" s="1"/>
  <c r="H11" i="9"/>
  <c r="G11" i="9"/>
  <c r="F11" i="9"/>
  <c r="E11" i="9"/>
  <c r="D11" i="9"/>
  <c r="C11" i="9"/>
  <c r="B11" i="9"/>
  <c r="Q10" i="9"/>
  <c r="R10" i="9" s="1"/>
  <c r="I10" i="9"/>
  <c r="R9" i="9"/>
  <c r="Q9" i="9"/>
  <c r="I9" i="9"/>
  <c r="Q8" i="9"/>
  <c r="R8" i="9" s="1"/>
  <c r="Q7" i="9"/>
  <c r="R7" i="9" s="1"/>
  <c r="Q6" i="9"/>
  <c r="R6" i="9" s="1"/>
  <c r="H6" i="9"/>
  <c r="I6" i="9" s="1"/>
  <c r="Q5" i="9"/>
  <c r="I5" i="9"/>
  <c r="Q4" i="9"/>
  <c r="R4" i="9" s="1"/>
  <c r="I4" i="9"/>
  <c r="I151" i="8"/>
  <c r="A146" i="8"/>
  <c r="W17" i="8"/>
  <c r="W15" i="8"/>
  <c r="I152" i="8" s="1"/>
  <c r="Q69" i="7"/>
  <c r="N69" i="7"/>
  <c r="R68" i="7"/>
  <c r="P68" i="7"/>
  <c r="R67" i="7"/>
  <c r="P67" i="7"/>
  <c r="R66" i="7"/>
  <c r="P66" i="7"/>
  <c r="R65" i="7"/>
  <c r="P65" i="7"/>
  <c r="R64" i="7"/>
  <c r="P64" i="7"/>
  <c r="H61" i="7"/>
  <c r="F61" i="7"/>
  <c r="N60" i="7"/>
  <c r="H42" i="7" s="1"/>
  <c r="M60" i="7"/>
  <c r="H60" i="7"/>
  <c r="F60" i="7"/>
  <c r="O59" i="7"/>
  <c r="H59" i="7"/>
  <c r="F59" i="7"/>
  <c r="O58" i="7"/>
  <c r="H58" i="7"/>
  <c r="F58" i="7"/>
  <c r="O57" i="7"/>
  <c r="H57" i="7"/>
  <c r="F57" i="7"/>
  <c r="H56" i="7"/>
  <c r="F56" i="7"/>
  <c r="H55" i="7"/>
  <c r="F55" i="7"/>
  <c r="H54" i="7"/>
  <c r="F54" i="7"/>
  <c r="H53" i="7"/>
  <c r="F53" i="7"/>
  <c r="H52" i="7"/>
  <c r="F52" i="7"/>
  <c r="N44" i="7"/>
  <c r="H40" i="7" s="1"/>
  <c r="M44" i="7"/>
  <c r="O43" i="7"/>
  <c r="I43" i="7"/>
  <c r="O42" i="7"/>
  <c r="I42" i="7"/>
  <c r="O41" i="7"/>
  <c r="C41" i="7"/>
  <c r="O40" i="7"/>
  <c r="I40" i="7"/>
  <c r="O39" i="7"/>
  <c r="O38" i="7"/>
  <c r="O37" i="7"/>
  <c r="M31" i="7"/>
  <c r="K27" i="7"/>
  <c r="G26" i="7"/>
  <c r="F26" i="7"/>
  <c r="E26" i="7"/>
  <c r="D26" i="7"/>
  <c r="C26" i="7"/>
  <c r="B26" i="7"/>
  <c r="I26" i="7" s="1"/>
  <c r="I25" i="7"/>
  <c r="R24" i="7"/>
  <c r="Q24" i="7"/>
  <c r="I24" i="7"/>
  <c r="Q23" i="7"/>
  <c r="R23" i="7" s="1"/>
  <c r="Q22" i="7"/>
  <c r="R22" i="7" s="1"/>
  <c r="Q21" i="7"/>
  <c r="R21" i="7" s="1"/>
  <c r="H21" i="7"/>
  <c r="G21" i="7"/>
  <c r="F21" i="7"/>
  <c r="E21" i="7"/>
  <c r="D21" i="7"/>
  <c r="C21" i="7"/>
  <c r="B21" i="7"/>
  <c r="Q20" i="7"/>
  <c r="R20" i="7" s="1"/>
  <c r="I20" i="7"/>
  <c r="Q19" i="7"/>
  <c r="R19" i="7" s="1"/>
  <c r="I19" i="7"/>
  <c r="Q18" i="7"/>
  <c r="R18" i="7" s="1"/>
  <c r="Q17" i="7"/>
  <c r="R17" i="7" s="1"/>
  <c r="Q16" i="7"/>
  <c r="R16" i="7" s="1"/>
  <c r="H16" i="7"/>
  <c r="G16" i="7"/>
  <c r="F16" i="7"/>
  <c r="E16" i="7"/>
  <c r="D16" i="7"/>
  <c r="C16" i="7"/>
  <c r="B16" i="7"/>
  <c r="Q15" i="7"/>
  <c r="R15" i="7" s="1"/>
  <c r="I15" i="7"/>
  <c r="Q14" i="7"/>
  <c r="R14" i="7" s="1"/>
  <c r="I14" i="7"/>
  <c r="Q13" i="7"/>
  <c r="R13" i="7" s="1"/>
  <c r="Q12" i="7"/>
  <c r="R12" i="7" s="1"/>
  <c r="Q11" i="7"/>
  <c r="R11" i="7" s="1"/>
  <c r="H11" i="7"/>
  <c r="G11" i="7"/>
  <c r="F11" i="7"/>
  <c r="E11" i="7"/>
  <c r="D11" i="7"/>
  <c r="C11" i="7"/>
  <c r="B11" i="7"/>
  <c r="Q10" i="7"/>
  <c r="R10" i="7" s="1"/>
  <c r="I10" i="7"/>
  <c r="Q9" i="7"/>
  <c r="R9" i="7" s="1"/>
  <c r="I9" i="7"/>
  <c r="Q8" i="7"/>
  <c r="R8" i="7" s="1"/>
  <c r="Q7" i="7"/>
  <c r="R7" i="7" s="1"/>
  <c r="Q6" i="7"/>
  <c r="R6" i="7" s="1"/>
  <c r="H6" i="7"/>
  <c r="I6" i="7" s="1"/>
  <c r="Q5" i="7"/>
  <c r="R5" i="7" s="1"/>
  <c r="I5" i="7"/>
  <c r="Q4" i="7"/>
  <c r="R4" i="7" s="1"/>
  <c r="I4" i="7"/>
  <c r="I151" i="6"/>
  <c r="A146" i="6"/>
  <c r="W17" i="6"/>
  <c r="W15" i="6"/>
  <c r="F5" i="2" s="1"/>
  <c r="Q69" i="5"/>
  <c r="N69" i="5"/>
  <c r="R68" i="5"/>
  <c r="P68" i="5"/>
  <c r="R67" i="5"/>
  <c r="P67" i="5"/>
  <c r="R66" i="5"/>
  <c r="P66" i="5"/>
  <c r="R65" i="5"/>
  <c r="P65" i="5"/>
  <c r="R64" i="5"/>
  <c r="P64" i="5"/>
  <c r="H61" i="5"/>
  <c r="F61" i="5"/>
  <c r="N60" i="5"/>
  <c r="H42" i="5" s="1"/>
  <c r="M60" i="5"/>
  <c r="H60" i="5"/>
  <c r="F60" i="5"/>
  <c r="O59" i="5"/>
  <c r="H59" i="5"/>
  <c r="F59" i="5"/>
  <c r="O58" i="5"/>
  <c r="H58" i="5"/>
  <c r="F58" i="5"/>
  <c r="O57" i="5"/>
  <c r="H57" i="5"/>
  <c r="F57" i="5"/>
  <c r="H56" i="5"/>
  <c r="F56" i="5"/>
  <c r="H55" i="5"/>
  <c r="F55" i="5"/>
  <c r="H54" i="5"/>
  <c r="F54" i="5"/>
  <c r="H53" i="5"/>
  <c r="F53" i="5"/>
  <c r="F52" i="5"/>
  <c r="H52" i="5" s="1"/>
  <c r="N44" i="5"/>
  <c r="H40" i="5" s="1"/>
  <c r="M44" i="5"/>
  <c r="O43" i="5"/>
  <c r="I43" i="5"/>
  <c r="O42" i="5"/>
  <c r="I42" i="5"/>
  <c r="O41" i="5"/>
  <c r="C41" i="5"/>
  <c r="O40" i="5"/>
  <c r="I40" i="5"/>
  <c r="O39" i="5"/>
  <c r="O38" i="5"/>
  <c r="O37" i="5"/>
  <c r="M31" i="5"/>
  <c r="K27" i="5"/>
  <c r="G26" i="5"/>
  <c r="F26" i="5"/>
  <c r="E26" i="5"/>
  <c r="D26" i="5"/>
  <c r="C26" i="5"/>
  <c r="B26" i="5"/>
  <c r="I25" i="5"/>
  <c r="Q24" i="5"/>
  <c r="R24" i="5" s="1"/>
  <c r="I24" i="5"/>
  <c r="Q23" i="5"/>
  <c r="R23" i="5" s="1"/>
  <c r="Q22" i="5"/>
  <c r="R22" i="5" s="1"/>
  <c r="Q21" i="5"/>
  <c r="R21" i="5" s="1"/>
  <c r="H21" i="5"/>
  <c r="G21" i="5"/>
  <c r="F21" i="5"/>
  <c r="E21" i="5"/>
  <c r="D21" i="5"/>
  <c r="C21" i="5"/>
  <c r="B21" i="5"/>
  <c r="I21" i="5" s="1"/>
  <c r="R20" i="5"/>
  <c r="Q20" i="5"/>
  <c r="I20" i="5"/>
  <c r="R19" i="5"/>
  <c r="Q19" i="5"/>
  <c r="I19" i="5"/>
  <c r="Q18" i="5"/>
  <c r="R18" i="5" s="1"/>
  <c r="Q17" i="5"/>
  <c r="R17" i="5" s="1"/>
  <c r="Q16" i="5"/>
  <c r="R16" i="5" s="1"/>
  <c r="H16" i="5"/>
  <c r="G16" i="5"/>
  <c r="F16" i="5"/>
  <c r="E16" i="5"/>
  <c r="D16" i="5"/>
  <c r="C16" i="5"/>
  <c r="B16" i="5"/>
  <c r="Q15" i="5"/>
  <c r="R15" i="5" s="1"/>
  <c r="I15" i="5"/>
  <c r="Q14" i="5"/>
  <c r="R14" i="5" s="1"/>
  <c r="I14" i="5"/>
  <c r="Q13" i="5"/>
  <c r="R13" i="5" s="1"/>
  <c r="Q12" i="5"/>
  <c r="R12" i="5" s="1"/>
  <c r="Q11" i="5"/>
  <c r="R11" i="5" s="1"/>
  <c r="H11" i="5"/>
  <c r="G11" i="5"/>
  <c r="F11" i="5"/>
  <c r="E11" i="5"/>
  <c r="D11" i="5"/>
  <c r="C11" i="5"/>
  <c r="B11" i="5"/>
  <c r="Q10" i="5"/>
  <c r="R10" i="5" s="1"/>
  <c r="I10" i="5"/>
  <c r="R9" i="5"/>
  <c r="Q9" i="5"/>
  <c r="I9" i="5"/>
  <c r="Q8" i="5"/>
  <c r="R8" i="5" s="1"/>
  <c r="Q7" i="5"/>
  <c r="R7" i="5" s="1"/>
  <c r="Q6" i="5"/>
  <c r="R6" i="5" s="1"/>
  <c r="H6" i="5"/>
  <c r="G6" i="5"/>
  <c r="F6" i="5"/>
  <c r="E6" i="5"/>
  <c r="Q5" i="5"/>
  <c r="R5" i="5" s="1"/>
  <c r="I5" i="5"/>
  <c r="Q4" i="5"/>
  <c r="R4" i="5" s="1"/>
  <c r="I4" i="5"/>
  <c r="T98" i="3"/>
  <c r="S98" i="3"/>
  <c r="R98" i="3"/>
  <c r="I98" i="3"/>
  <c r="H98" i="3"/>
  <c r="G98" i="3"/>
  <c r="T97" i="3"/>
  <c r="S97" i="3"/>
  <c r="R97" i="3"/>
  <c r="I97" i="3"/>
  <c r="H97" i="3"/>
  <c r="G97" i="3"/>
  <c r="T96" i="3"/>
  <c r="S96" i="3"/>
  <c r="R96" i="3"/>
  <c r="I96" i="3"/>
  <c r="H96" i="3"/>
  <c r="G96" i="3"/>
  <c r="T95" i="3"/>
  <c r="S95" i="3"/>
  <c r="R95" i="3"/>
  <c r="I95" i="3"/>
  <c r="H95" i="3"/>
  <c r="G95" i="3"/>
  <c r="T94" i="3"/>
  <c r="S94" i="3"/>
  <c r="R94" i="3"/>
  <c r="I94" i="3"/>
  <c r="H94" i="3"/>
  <c r="G94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T86" i="3"/>
  <c r="S86" i="3"/>
  <c r="R86" i="3"/>
  <c r="I86" i="3"/>
  <c r="H86" i="3"/>
  <c r="G86" i="3"/>
  <c r="T85" i="3"/>
  <c r="S85" i="3"/>
  <c r="R85" i="3"/>
  <c r="K85" i="3"/>
  <c r="J85" i="3"/>
  <c r="I85" i="3"/>
  <c r="H85" i="3"/>
  <c r="G85" i="3"/>
  <c r="T84" i="3"/>
  <c r="S84" i="3"/>
  <c r="R84" i="3"/>
  <c r="I84" i="3"/>
  <c r="H84" i="3"/>
  <c r="G84" i="3"/>
  <c r="T83" i="3"/>
  <c r="S83" i="3"/>
  <c r="R83" i="3"/>
  <c r="I83" i="3"/>
  <c r="H83" i="3"/>
  <c r="G83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J76" i="3"/>
  <c r="W59" i="3" s="1"/>
  <c r="F76" i="3"/>
  <c r="T59" i="3"/>
  <c r="S59" i="3"/>
  <c r="M68" i="27" s="1"/>
  <c r="R59" i="3"/>
  <c r="M68" i="25" s="1"/>
  <c r="Q59" i="3"/>
  <c r="M68" i="23" s="1"/>
  <c r="P59" i="3"/>
  <c r="M68" i="21" s="1"/>
  <c r="O59" i="3"/>
  <c r="M68" i="19" s="1"/>
  <c r="N59" i="3"/>
  <c r="M68" i="17" s="1"/>
  <c r="M59" i="3"/>
  <c r="M68" i="15" s="1"/>
  <c r="L59" i="3"/>
  <c r="M68" i="13" s="1"/>
  <c r="K59" i="3"/>
  <c r="M68" i="11" s="1"/>
  <c r="J59" i="3"/>
  <c r="M68" i="9" s="1"/>
  <c r="I59" i="3"/>
  <c r="M68" i="7" s="1"/>
  <c r="O68" i="7" s="1"/>
  <c r="H59" i="3"/>
  <c r="M68" i="5" s="1"/>
  <c r="O68" i="5" s="1"/>
  <c r="G59" i="3"/>
  <c r="T58" i="3"/>
  <c r="S58" i="3"/>
  <c r="R58" i="3"/>
  <c r="Q58" i="3"/>
  <c r="Q98" i="3" s="1"/>
  <c r="P58" i="3"/>
  <c r="P98" i="3" s="1"/>
  <c r="O58" i="3"/>
  <c r="O98" i="3" s="1"/>
  <c r="N58" i="3"/>
  <c r="N98" i="3" s="1"/>
  <c r="M58" i="3"/>
  <c r="M98" i="3" s="1"/>
  <c r="L58" i="3"/>
  <c r="L98" i="3" s="1"/>
  <c r="K58" i="3"/>
  <c r="K98" i="3" s="1"/>
  <c r="J58" i="3"/>
  <c r="J98" i="3" s="1"/>
  <c r="I58" i="3"/>
  <c r="H58" i="3"/>
  <c r="G58" i="3"/>
  <c r="T57" i="3"/>
  <c r="S57" i="3"/>
  <c r="M52" i="27" s="1"/>
  <c r="R57" i="3"/>
  <c r="M52" i="25" s="1"/>
  <c r="Q57" i="3"/>
  <c r="M52" i="23" s="1"/>
  <c r="P57" i="3"/>
  <c r="M52" i="21" s="1"/>
  <c r="O57" i="3"/>
  <c r="M52" i="19" s="1"/>
  <c r="N57" i="3"/>
  <c r="M52" i="17" s="1"/>
  <c r="M57" i="3"/>
  <c r="M52" i="15" s="1"/>
  <c r="L57" i="3"/>
  <c r="M52" i="13" s="1"/>
  <c r="K57" i="3"/>
  <c r="M52" i="11" s="1"/>
  <c r="J57" i="3"/>
  <c r="M52" i="9" s="1"/>
  <c r="I57" i="3"/>
  <c r="M52" i="7" s="1"/>
  <c r="H57" i="3"/>
  <c r="M52" i="5" s="1"/>
  <c r="G57" i="3"/>
  <c r="T56" i="3"/>
  <c r="S56" i="3"/>
  <c r="M67" i="27" s="1"/>
  <c r="R56" i="3"/>
  <c r="M67" i="25" s="1"/>
  <c r="Q56" i="3"/>
  <c r="M67" i="23" s="1"/>
  <c r="P56" i="3"/>
  <c r="M67" i="21" s="1"/>
  <c r="O56" i="3"/>
  <c r="M67" i="19" s="1"/>
  <c r="N56" i="3"/>
  <c r="M67" i="17" s="1"/>
  <c r="M56" i="3"/>
  <c r="M67" i="15" s="1"/>
  <c r="L56" i="3"/>
  <c r="M67" i="13" s="1"/>
  <c r="K56" i="3"/>
  <c r="M67" i="11" s="1"/>
  <c r="J56" i="3"/>
  <c r="M67" i="9" s="1"/>
  <c r="I56" i="3"/>
  <c r="M67" i="7" s="1"/>
  <c r="O67" i="7" s="1"/>
  <c r="H56" i="3"/>
  <c r="M67" i="5" s="1"/>
  <c r="O67" i="5" s="1"/>
  <c r="G56" i="3"/>
  <c r="T55" i="3"/>
  <c r="S55" i="3"/>
  <c r="R55" i="3"/>
  <c r="Q55" i="3"/>
  <c r="Q97" i="3" s="1"/>
  <c r="P55" i="3"/>
  <c r="O55" i="3"/>
  <c r="N55" i="3"/>
  <c r="M55" i="3"/>
  <c r="M97" i="3" s="1"/>
  <c r="L55" i="3"/>
  <c r="L97" i="3" s="1"/>
  <c r="K55" i="3"/>
  <c r="K97" i="3" s="1"/>
  <c r="J55" i="3"/>
  <c r="I55" i="3"/>
  <c r="H55" i="3"/>
  <c r="G55" i="3"/>
  <c r="T54" i="3"/>
  <c r="S54" i="3"/>
  <c r="M51" i="27" s="1"/>
  <c r="R54" i="3"/>
  <c r="M51" i="25" s="1"/>
  <c r="Q54" i="3"/>
  <c r="M51" i="23" s="1"/>
  <c r="P54" i="3"/>
  <c r="M51" i="21" s="1"/>
  <c r="O54" i="3"/>
  <c r="M51" i="19" s="1"/>
  <c r="N54" i="3"/>
  <c r="M51" i="17" s="1"/>
  <c r="M54" i="3"/>
  <c r="M51" i="15" s="1"/>
  <c r="L54" i="3"/>
  <c r="M51" i="13" s="1"/>
  <c r="K54" i="3"/>
  <c r="M51" i="11" s="1"/>
  <c r="J54" i="3"/>
  <c r="M51" i="9" s="1"/>
  <c r="I54" i="3"/>
  <c r="M51" i="7" s="1"/>
  <c r="H54" i="3"/>
  <c r="M51" i="5" s="1"/>
  <c r="G54" i="3"/>
  <c r="T53" i="3"/>
  <c r="S53" i="3"/>
  <c r="M66" i="27" s="1"/>
  <c r="R53" i="3"/>
  <c r="M66" i="25" s="1"/>
  <c r="Q53" i="3"/>
  <c r="M66" i="23" s="1"/>
  <c r="P53" i="3"/>
  <c r="M66" i="21" s="1"/>
  <c r="O53" i="3"/>
  <c r="M66" i="19" s="1"/>
  <c r="N53" i="3"/>
  <c r="M66" i="17" s="1"/>
  <c r="M53" i="3"/>
  <c r="M66" i="15" s="1"/>
  <c r="L53" i="3"/>
  <c r="M66" i="13" s="1"/>
  <c r="K53" i="3"/>
  <c r="M66" i="11" s="1"/>
  <c r="J53" i="3"/>
  <c r="M66" i="9" s="1"/>
  <c r="I53" i="3"/>
  <c r="M66" i="7" s="1"/>
  <c r="O66" i="7" s="1"/>
  <c r="H53" i="3"/>
  <c r="M66" i="5" s="1"/>
  <c r="O66" i="5" s="1"/>
  <c r="G53" i="3"/>
  <c r="T52" i="3"/>
  <c r="S52" i="3"/>
  <c r="R52" i="3"/>
  <c r="Q52" i="3"/>
  <c r="Q96" i="3" s="1"/>
  <c r="P52" i="3"/>
  <c r="O52" i="3"/>
  <c r="N52" i="3"/>
  <c r="M52" i="3"/>
  <c r="L52" i="3"/>
  <c r="K52" i="3"/>
  <c r="K96" i="3" s="1"/>
  <c r="J52" i="3"/>
  <c r="J96" i="3" s="1"/>
  <c r="I52" i="3"/>
  <c r="H52" i="3"/>
  <c r="G52" i="3"/>
  <c r="T51" i="3"/>
  <c r="S51" i="3"/>
  <c r="M50" i="27" s="1"/>
  <c r="R51" i="3"/>
  <c r="M50" i="25" s="1"/>
  <c r="Q51" i="3"/>
  <c r="P51" i="3"/>
  <c r="M50" i="21" s="1"/>
  <c r="O51" i="3"/>
  <c r="M50" i="19" s="1"/>
  <c r="N51" i="3"/>
  <c r="M50" i="17" s="1"/>
  <c r="M51" i="3"/>
  <c r="M50" i="15" s="1"/>
  <c r="L51" i="3"/>
  <c r="M50" i="13" s="1"/>
  <c r="K51" i="3"/>
  <c r="J51" i="3"/>
  <c r="M50" i="9" s="1"/>
  <c r="I51" i="3"/>
  <c r="M50" i="7" s="1"/>
  <c r="H51" i="3"/>
  <c r="M50" i="5" s="1"/>
  <c r="G51" i="3"/>
  <c r="T50" i="3"/>
  <c r="S50" i="3"/>
  <c r="M65" i="27" s="1"/>
  <c r="R50" i="3"/>
  <c r="M65" i="25" s="1"/>
  <c r="Q50" i="3"/>
  <c r="M65" i="23" s="1"/>
  <c r="P50" i="3"/>
  <c r="M65" i="21" s="1"/>
  <c r="O50" i="3"/>
  <c r="M65" i="19" s="1"/>
  <c r="N50" i="3"/>
  <c r="M65" i="17" s="1"/>
  <c r="M50" i="3"/>
  <c r="M65" i="15" s="1"/>
  <c r="L50" i="3"/>
  <c r="M65" i="13" s="1"/>
  <c r="K50" i="3"/>
  <c r="J50" i="3"/>
  <c r="M65" i="9" s="1"/>
  <c r="I50" i="3"/>
  <c r="M65" i="7" s="1"/>
  <c r="O65" i="7" s="1"/>
  <c r="H50" i="3"/>
  <c r="M65" i="5" s="1"/>
  <c r="O65" i="5" s="1"/>
  <c r="G50" i="3"/>
  <c r="T49" i="3"/>
  <c r="S49" i="3"/>
  <c r="R49" i="3"/>
  <c r="Q49" i="3"/>
  <c r="Q95" i="3" s="1"/>
  <c r="P49" i="3"/>
  <c r="O49" i="3"/>
  <c r="O95" i="3" s="1"/>
  <c r="N49" i="3"/>
  <c r="N95" i="3" s="1"/>
  <c r="M49" i="3"/>
  <c r="L49" i="3"/>
  <c r="K49" i="3"/>
  <c r="J49" i="3"/>
  <c r="I49" i="3"/>
  <c r="H49" i="3"/>
  <c r="G49" i="3"/>
  <c r="T48" i="3"/>
  <c r="S48" i="3"/>
  <c r="M49" i="27" s="1"/>
  <c r="R48" i="3"/>
  <c r="M49" i="25" s="1"/>
  <c r="Q48" i="3"/>
  <c r="M49" i="23" s="1"/>
  <c r="P48" i="3"/>
  <c r="M49" i="21" s="1"/>
  <c r="O48" i="3"/>
  <c r="M49" i="19" s="1"/>
  <c r="N48" i="3"/>
  <c r="M49" i="17" s="1"/>
  <c r="M48" i="3"/>
  <c r="M49" i="15" s="1"/>
  <c r="L48" i="3"/>
  <c r="M49" i="13" s="1"/>
  <c r="K48" i="3"/>
  <c r="M49" i="11" s="1"/>
  <c r="J48" i="3"/>
  <c r="M49" i="9" s="1"/>
  <c r="I48" i="3"/>
  <c r="H48" i="3"/>
  <c r="M49" i="5" s="1"/>
  <c r="G48" i="3"/>
  <c r="T47" i="3"/>
  <c r="S47" i="3"/>
  <c r="M64" i="27" s="1"/>
  <c r="R47" i="3"/>
  <c r="M64" i="25" s="1"/>
  <c r="Q47" i="3"/>
  <c r="M64" i="23" s="1"/>
  <c r="P47" i="3"/>
  <c r="M64" i="21" s="1"/>
  <c r="O47" i="3"/>
  <c r="M64" i="19" s="1"/>
  <c r="N47" i="3"/>
  <c r="M64" i="17" s="1"/>
  <c r="M47" i="3"/>
  <c r="M64" i="15" s="1"/>
  <c r="L47" i="3"/>
  <c r="M64" i="13" s="1"/>
  <c r="K47" i="3"/>
  <c r="M64" i="11" s="1"/>
  <c r="J47" i="3"/>
  <c r="M64" i="9" s="1"/>
  <c r="M69" i="9" s="1"/>
  <c r="I47" i="3"/>
  <c r="H47" i="3"/>
  <c r="M64" i="5" s="1"/>
  <c r="G47" i="3"/>
  <c r="T46" i="3"/>
  <c r="S46" i="3"/>
  <c r="R46" i="3"/>
  <c r="Q46" i="3"/>
  <c r="Q94" i="3" s="1"/>
  <c r="P46" i="3"/>
  <c r="P94" i="3" s="1"/>
  <c r="O46" i="3"/>
  <c r="N46" i="3"/>
  <c r="M46" i="3"/>
  <c r="L46" i="3"/>
  <c r="K46" i="3"/>
  <c r="J46" i="3"/>
  <c r="I46" i="3"/>
  <c r="H46" i="3"/>
  <c r="G46" i="3"/>
  <c r="T45" i="3"/>
  <c r="S45" i="3"/>
  <c r="M48" i="27" s="1"/>
  <c r="R45" i="3"/>
  <c r="M48" i="25" s="1"/>
  <c r="Q45" i="3"/>
  <c r="M48" i="23" s="1"/>
  <c r="P45" i="3"/>
  <c r="M48" i="21" s="1"/>
  <c r="O45" i="3"/>
  <c r="M48" i="19" s="1"/>
  <c r="N45" i="3"/>
  <c r="M48" i="17" s="1"/>
  <c r="M45" i="3"/>
  <c r="M48" i="15" s="1"/>
  <c r="L45" i="3"/>
  <c r="M48" i="13" s="1"/>
  <c r="K45" i="3"/>
  <c r="M48" i="11" s="1"/>
  <c r="J45" i="3"/>
  <c r="M48" i="9" s="1"/>
  <c r="I45" i="3"/>
  <c r="M48" i="7" s="1"/>
  <c r="H45" i="3"/>
  <c r="M48" i="5" s="1"/>
  <c r="G45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T32" i="3"/>
  <c r="S32" i="3"/>
  <c r="R32" i="3"/>
  <c r="Q32" i="3"/>
  <c r="O32" i="3"/>
  <c r="N32" i="3"/>
  <c r="M32" i="3"/>
  <c r="L32" i="3"/>
  <c r="K32" i="3"/>
  <c r="J32" i="3"/>
  <c r="I32" i="3"/>
  <c r="H32" i="3"/>
  <c r="G32" i="3"/>
  <c r="V31" i="3"/>
  <c r="U30" i="3"/>
  <c r="U29" i="3"/>
  <c r="V28" i="3"/>
  <c r="U27" i="3"/>
  <c r="U26" i="3"/>
  <c r="V25" i="3"/>
  <c r="U24" i="3"/>
  <c r="U23" i="3"/>
  <c r="V22" i="3"/>
  <c r="U21" i="3"/>
  <c r="W22" i="3" s="1"/>
  <c r="U20" i="3"/>
  <c r="V19" i="3"/>
  <c r="U18" i="3"/>
  <c r="U17" i="3"/>
  <c r="V16" i="3"/>
  <c r="U15" i="3"/>
  <c r="U14" i="3"/>
  <c r="V13" i="3"/>
  <c r="U12" i="3"/>
  <c r="U11" i="3"/>
  <c r="V10" i="3"/>
  <c r="U9" i="3"/>
  <c r="W10" i="3" s="1"/>
  <c r="U8" i="3"/>
  <c r="V7" i="3"/>
  <c r="U6" i="3"/>
  <c r="U5" i="3"/>
  <c r="I183" i="2"/>
  <c r="I173" i="2"/>
  <c r="M173" i="2" s="1"/>
  <c r="I172" i="2"/>
  <c r="M172" i="2" s="1"/>
  <c r="M171" i="2"/>
  <c r="I171" i="2"/>
  <c r="I170" i="2"/>
  <c r="M170" i="2" s="1"/>
  <c r="I169" i="2"/>
  <c r="M169" i="2" s="1"/>
  <c r="I70" i="2"/>
  <c r="M70" i="2" s="1"/>
  <c r="I69" i="2"/>
  <c r="M69" i="2" s="1"/>
  <c r="I68" i="2"/>
  <c r="M68" i="2" s="1"/>
  <c r="M67" i="2"/>
  <c r="I67" i="2"/>
  <c r="I66" i="2"/>
  <c r="M66" i="2" s="1"/>
  <c r="I65" i="2"/>
  <c r="M65" i="2" s="1"/>
  <c r="I64" i="2"/>
  <c r="M64" i="2" s="1"/>
  <c r="I63" i="2"/>
  <c r="M63" i="2" s="1"/>
  <c r="I56" i="2"/>
  <c r="M56" i="2" s="1"/>
  <c r="I55" i="2"/>
  <c r="M55" i="2" s="1"/>
  <c r="M54" i="2"/>
  <c r="I54" i="2"/>
  <c r="I52" i="2"/>
  <c r="M52" i="2" s="1"/>
  <c r="I51" i="2"/>
  <c r="M51" i="2" s="1"/>
  <c r="M50" i="2"/>
  <c r="I50" i="2"/>
  <c r="I43" i="2"/>
  <c r="M43" i="2" s="1"/>
  <c r="I41" i="2"/>
  <c r="M41" i="2" s="1"/>
  <c r="I40" i="2"/>
  <c r="M40" i="2" s="1"/>
  <c r="I39" i="2"/>
  <c r="M39" i="2" s="1"/>
  <c r="I38" i="2"/>
  <c r="M38" i="2" s="1"/>
  <c r="I37" i="2"/>
  <c r="M37" i="2" s="1"/>
  <c r="I36" i="2"/>
  <c r="M36" i="2" s="1"/>
  <c r="I35" i="2"/>
  <c r="M35" i="2" s="1"/>
  <c r="M16" i="2"/>
  <c r="F16" i="2"/>
  <c r="A16" i="2"/>
  <c r="M15" i="2"/>
  <c r="F15" i="2"/>
  <c r="A15" i="2"/>
  <c r="M14" i="2"/>
  <c r="F14" i="2"/>
  <c r="A14" i="2"/>
  <c r="M13" i="2"/>
  <c r="F13" i="2"/>
  <c r="A13" i="2"/>
  <c r="M12" i="2"/>
  <c r="A12" i="2"/>
  <c r="M11" i="2"/>
  <c r="F11" i="2"/>
  <c r="A11" i="2"/>
  <c r="M10" i="2"/>
  <c r="F10" i="2"/>
  <c r="A10" i="2"/>
  <c r="M9" i="2"/>
  <c r="F9" i="2"/>
  <c r="A9" i="2"/>
  <c r="M8" i="2"/>
  <c r="F8" i="2"/>
  <c r="A8" i="2"/>
  <c r="M7" i="2"/>
  <c r="F7" i="2"/>
  <c r="A7" i="2"/>
  <c r="M6" i="2"/>
  <c r="F6" i="2"/>
  <c r="A6" i="2"/>
  <c r="M5" i="2"/>
  <c r="A5" i="2"/>
  <c r="Y500" i="4"/>
  <c r="I500" i="4"/>
  <c r="Q500" i="4" s="1"/>
  <c r="H500" i="4"/>
  <c r="Y499" i="4"/>
  <c r="I499" i="4"/>
  <c r="Q499" i="4" s="1"/>
  <c r="H499" i="4"/>
  <c r="Y498" i="4"/>
  <c r="I498" i="4"/>
  <c r="Q498" i="4" s="1"/>
  <c r="H498" i="4"/>
  <c r="Y497" i="4"/>
  <c r="I497" i="4"/>
  <c r="Q497" i="4" s="1"/>
  <c r="P497" i="4" s="1"/>
  <c r="R497" i="4" s="1"/>
  <c r="H497" i="4"/>
  <c r="Y496" i="4"/>
  <c r="I496" i="4"/>
  <c r="Q496" i="4" s="1"/>
  <c r="P496" i="4" s="1"/>
  <c r="R496" i="4" s="1"/>
  <c r="H496" i="4"/>
  <c r="Y495" i="4"/>
  <c r="I495" i="4"/>
  <c r="Q495" i="4" s="1"/>
  <c r="H495" i="4"/>
  <c r="Y494" i="4"/>
  <c r="I494" i="4"/>
  <c r="Q494" i="4" s="1"/>
  <c r="U494" i="4" s="1"/>
  <c r="H494" i="4"/>
  <c r="Y493" i="4"/>
  <c r="I493" i="4"/>
  <c r="Q493" i="4" s="1"/>
  <c r="H493" i="4"/>
  <c r="Y492" i="4"/>
  <c r="I492" i="4"/>
  <c r="Q492" i="4" s="1"/>
  <c r="H492" i="4"/>
  <c r="Y491" i="4"/>
  <c r="I491" i="4"/>
  <c r="Q491" i="4" s="1"/>
  <c r="H491" i="4"/>
  <c r="Y490" i="4"/>
  <c r="I490" i="4"/>
  <c r="Q490" i="4" s="1"/>
  <c r="H490" i="4"/>
  <c r="Y489" i="4"/>
  <c r="I489" i="4"/>
  <c r="Q489" i="4" s="1"/>
  <c r="T489" i="4" s="1"/>
  <c r="H489" i="4"/>
  <c r="Y488" i="4"/>
  <c r="I488" i="4"/>
  <c r="Q488" i="4" s="1"/>
  <c r="H488" i="4"/>
  <c r="Y487" i="4"/>
  <c r="I487" i="4"/>
  <c r="Q487" i="4" s="1"/>
  <c r="H487" i="4"/>
  <c r="Y486" i="4"/>
  <c r="I486" i="4"/>
  <c r="Q486" i="4" s="1"/>
  <c r="H486" i="4"/>
  <c r="Y485" i="4"/>
  <c r="I485" i="4"/>
  <c r="Q485" i="4" s="1"/>
  <c r="H485" i="4"/>
  <c r="Y484" i="4"/>
  <c r="T484" i="4"/>
  <c r="I484" i="4"/>
  <c r="Q484" i="4" s="1"/>
  <c r="H484" i="4"/>
  <c r="Y483" i="4"/>
  <c r="I483" i="4"/>
  <c r="Q483" i="4" s="1"/>
  <c r="H483" i="4"/>
  <c r="Y482" i="4"/>
  <c r="I482" i="4"/>
  <c r="Q482" i="4" s="1"/>
  <c r="H482" i="4"/>
  <c r="Y481" i="4"/>
  <c r="I481" i="4"/>
  <c r="Q481" i="4" s="1"/>
  <c r="H481" i="4"/>
  <c r="Y480" i="4"/>
  <c r="Q480" i="4"/>
  <c r="T480" i="4" s="1"/>
  <c r="I480" i="4"/>
  <c r="H480" i="4"/>
  <c r="Y479" i="4"/>
  <c r="I479" i="4"/>
  <c r="Q479" i="4" s="1"/>
  <c r="H479" i="4"/>
  <c r="Y478" i="4"/>
  <c r="I478" i="4"/>
  <c r="Q478" i="4" s="1"/>
  <c r="S478" i="4" s="1"/>
  <c r="H478" i="4"/>
  <c r="Y477" i="4"/>
  <c r="P477" i="4"/>
  <c r="R477" i="4" s="1"/>
  <c r="I477" i="4"/>
  <c r="Q477" i="4" s="1"/>
  <c r="H477" i="4"/>
  <c r="Y476" i="4"/>
  <c r="T476" i="4"/>
  <c r="P476" i="4"/>
  <c r="R476" i="4" s="1"/>
  <c r="I476" i="4"/>
  <c r="Q476" i="4" s="1"/>
  <c r="U476" i="4" s="1"/>
  <c r="H476" i="4"/>
  <c r="Y475" i="4"/>
  <c r="I475" i="4"/>
  <c r="Q475" i="4" s="1"/>
  <c r="P475" i="4" s="1"/>
  <c r="R475" i="4" s="1"/>
  <c r="H475" i="4"/>
  <c r="Y474" i="4"/>
  <c r="U474" i="4"/>
  <c r="I474" i="4"/>
  <c r="Q474" i="4" s="1"/>
  <c r="H474" i="4"/>
  <c r="Y473" i="4"/>
  <c r="I473" i="4"/>
  <c r="Q473" i="4" s="1"/>
  <c r="H473" i="4"/>
  <c r="Y472" i="4"/>
  <c r="I472" i="4"/>
  <c r="Q472" i="4" s="1"/>
  <c r="T472" i="4" s="1"/>
  <c r="H472" i="4"/>
  <c r="Y471" i="4"/>
  <c r="I471" i="4"/>
  <c r="Q471" i="4" s="1"/>
  <c r="H471" i="4"/>
  <c r="Y470" i="4"/>
  <c r="I470" i="4"/>
  <c r="Q470" i="4" s="1"/>
  <c r="U470" i="4" s="1"/>
  <c r="H470" i="4"/>
  <c r="Y469" i="4"/>
  <c r="I469" i="4"/>
  <c r="Q469" i="4" s="1"/>
  <c r="T469" i="4" s="1"/>
  <c r="H469" i="4"/>
  <c r="Y468" i="4"/>
  <c r="I468" i="4"/>
  <c r="Q468" i="4" s="1"/>
  <c r="P468" i="4" s="1"/>
  <c r="R468" i="4" s="1"/>
  <c r="H468" i="4"/>
  <c r="Y467" i="4"/>
  <c r="I467" i="4"/>
  <c r="Q467" i="4" s="1"/>
  <c r="H467" i="4"/>
  <c r="Y466" i="4"/>
  <c r="I466" i="4"/>
  <c r="Q466" i="4" s="1"/>
  <c r="P466" i="4" s="1"/>
  <c r="R466" i="4" s="1"/>
  <c r="H466" i="4"/>
  <c r="Y465" i="4"/>
  <c r="I465" i="4"/>
  <c r="Q465" i="4" s="1"/>
  <c r="H465" i="4"/>
  <c r="Y464" i="4"/>
  <c r="I464" i="4"/>
  <c r="Q464" i="4" s="1"/>
  <c r="H464" i="4"/>
  <c r="Y463" i="4"/>
  <c r="I463" i="4"/>
  <c r="Q463" i="4" s="1"/>
  <c r="H463" i="4"/>
  <c r="Y462" i="4"/>
  <c r="I462" i="4"/>
  <c r="Q462" i="4" s="1"/>
  <c r="H462" i="4"/>
  <c r="Y461" i="4"/>
  <c r="P461" i="4"/>
  <c r="R461" i="4" s="1"/>
  <c r="I461" i="4"/>
  <c r="Q461" i="4" s="1"/>
  <c r="U461" i="4" s="1"/>
  <c r="H461" i="4"/>
  <c r="Y460" i="4"/>
  <c r="I460" i="4"/>
  <c r="Q460" i="4" s="1"/>
  <c r="H460" i="4"/>
  <c r="Y459" i="4"/>
  <c r="I459" i="4"/>
  <c r="Q459" i="4" s="1"/>
  <c r="U459" i="4" s="1"/>
  <c r="H459" i="4"/>
  <c r="Y458" i="4"/>
  <c r="P458" i="4"/>
  <c r="R458" i="4" s="1"/>
  <c r="I458" i="4"/>
  <c r="Q458" i="4" s="1"/>
  <c r="T458" i="4" s="1"/>
  <c r="H458" i="4"/>
  <c r="Y457" i="4"/>
  <c r="I457" i="4"/>
  <c r="Q457" i="4" s="1"/>
  <c r="T457" i="4" s="1"/>
  <c r="H457" i="4"/>
  <c r="Y456" i="4"/>
  <c r="I456" i="4"/>
  <c r="Q456" i="4" s="1"/>
  <c r="H456" i="4"/>
  <c r="Y455" i="4"/>
  <c r="U455" i="4"/>
  <c r="I455" i="4"/>
  <c r="Q455" i="4" s="1"/>
  <c r="H455" i="4"/>
  <c r="Y454" i="4"/>
  <c r="I454" i="4"/>
  <c r="Q454" i="4" s="1"/>
  <c r="H454" i="4"/>
  <c r="Y453" i="4"/>
  <c r="Q453" i="4"/>
  <c r="T453" i="4" s="1"/>
  <c r="I453" i="4"/>
  <c r="H453" i="4"/>
  <c r="Y452" i="4"/>
  <c r="Q452" i="4"/>
  <c r="I452" i="4"/>
  <c r="H452" i="4"/>
  <c r="Y451" i="4"/>
  <c r="Q451" i="4"/>
  <c r="U451" i="4" s="1"/>
  <c r="I451" i="4"/>
  <c r="H451" i="4"/>
  <c r="Y450" i="4"/>
  <c r="U450" i="4"/>
  <c r="I450" i="4"/>
  <c r="Q450" i="4" s="1"/>
  <c r="P450" i="4" s="1"/>
  <c r="R450" i="4" s="1"/>
  <c r="H450" i="4"/>
  <c r="Y449" i="4"/>
  <c r="I449" i="4"/>
  <c r="Q449" i="4" s="1"/>
  <c r="U449" i="4" s="1"/>
  <c r="H449" i="4"/>
  <c r="Y448" i="4"/>
  <c r="I448" i="4"/>
  <c r="Q448" i="4" s="1"/>
  <c r="H448" i="4"/>
  <c r="Y447" i="4"/>
  <c r="Q447" i="4"/>
  <c r="U447" i="4" s="1"/>
  <c r="I447" i="4"/>
  <c r="H447" i="4"/>
  <c r="Y446" i="4"/>
  <c r="I446" i="4"/>
  <c r="Q446" i="4" s="1"/>
  <c r="H446" i="4"/>
  <c r="Y445" i="4"/>
  <c r="U445" i="4"/>
  <c r="I445" i="4"/>
  <c r="Q445" i="4" s="1"/>
  <c r="H445" i="4"/>
  <c r="Y444" i="4"/>
  <c r="I444" i="4"/>
  <c r="Q444" i="4" s="1"/>
  <c r="H444" i="4"/>
  <c r="Y443" i="4"/>
  <c r="I443" i="4"/>
  <c r="Q443" i="4" s="1"/>
  <c r="H443" i="4"/>
  <c r="Y442" i="4"/>
  <c r="I442" i="4"/>
  <c r="Q442" i="4" s="1"/>
  <c r="T442" i="4" s="1"/>
  <c r="H442" i="4"/>
  <c r="Y441" i="4"/>
  <c r="I441" i="4"/>
  <c r="Q441" i="4" s="1"/>
  <c r="H441" i="4"/>
  <c r="Y440" i="4"/>
  <c r="I440" i="4"/>
  <c r="Q440" i="4" s="1"/>
  <c r="P440" i="4" s="1"/>
  <c r="R440" i="4" s="1"/>
  <c r="H440" i="4"/>
  <c r="Y439" i="4"/>
  <c r="S439" i="4"/>
  <c r="I439" i="4"/>
  <c r="Q439" i="4" s="1"/>
  <c r="P439" i="4" s="1"/>
  <c r="R439" i="4" s="1"/>
  <c r="H439" i="4"/>
  <c r="Y438" i="4"/>
  <c r="I438" i="4"/>
  <c r="Q438" i="4" s="1"/>
  <c r="H438" i="4"/>
  <c r="Y437" i="4"/>
  <c r="I437" i="4"/>
  <c r="Q437" i="4" s="1"/>
  <c r="H437" i="4"/>
  <c r="Y436" i="4"/>
  <c r="I436" i="4"/>
  <c r="Q436" i="4" s="1"/>
  <c r="H436" i="4"/>
  <c r="Y435" i="4"/>
  <c r="I435" i="4"/>
  <c r="Q435" i="4" s="1"/>
  <c r="H435" i="4"/>
  <c r="Y434" i="4"/>
  <c r="I434" i="4"/>
  <c r="Q434" i="4" s="1"/>
  <c r="H434" i="4"/>
  <c r="Y433" i="4"/>
  <c r="I433" i="4"/>
  <c r="Q433" i="4" s="1"/>
  <c r="P433" i="4" s="1"/>
  <c r="R433" i="4" s="1"/>
  <c r="H433" i="4"/>
  <c r="Y432" i="4"/>
  <c r="I432" i="4"/>
  <c r="Q432" i="4" s="1"/>
  <c r="H432" i="4"/>
  <c r="Y431" i="4"/>
  <c r="I431" i="4"/>
  <c r="Q431" i="4" s="1"/>
  <c r="S431" i="4" s="1"/>
  <c r="H431" i="4"/>
  <c r="Y430" i="4"/>
  <c r="S430" i="4"/>
  <c r="I430" i="4"/>
  <c r="Q430" i="4" s="1"/>
  <c r="P430" i="4" s="1"/>
  <c r="R430" i="4" s="1"/>
  <c r="H430" i="4"/>
  <c r="Y429" i="4"/>
  <c r="I429" i="4"/>
  <c r="Q429" i="4" s="1"/>
  <c r="U429" i="4" s="1"/>
  <c r="H429" i="4"/>
  <c r="Y428" i="4"/>
  <c r="I428" i="4"/>
  <c r="Q428" i="4" s="1"/>
  <c r="U428" i="4" s="1"/>
  <c r="H428" i="4"/>
  <c r="Y427" i="4"/>
  <c r="I427" i="4"/>
  <c r="Q427" i="4" s="1"/>
  <c r="H427" i="4"/>
  <c r="Y426" i="4"/>
  <c r="I426" i="4"/>
  <c r="Q426" i="4" s="1"/>
  <c r="U426" i="4" s="1"/>
  <c r="H426" i="4"/>
  <c r="Y425" i="4"/>
  <c r="I425" i="4"/>
  <c r="Q425" i="4" s="1"/>
  <c r="U425" i="4" s="1"/>
  <c r="H425" i="4"/>
  <c r="Y424" i="4"/>
  <c r="Q424" i="4"/>
  <c r="I424" i="4"/>
  <c r="H424" i="4"/>
  <c r="Y423" i="4"/>
  <c r="I423" i="4"/>
  <c r="Q423" i="4" s="1"/>
  <c r="U423" i="4" s="1"/>
  <c r="H423" i="4"/>
  <c r="Y422" i="4"/>
  <c r="I422" i="4"/>
  <c r="Q422" i="4" s="1"/>
  <c r="H422" i="4"/>
  <c r="Y421" i="4"/>
  <c r="I421" i="4"/>
  <c r="Q421" i="4" s="1"/>
  <c r="H421" i="4"/>
  <c r="Y420" i="4"/>
  <c r="I420" i="4"/>
  <c r="Q420" i="4" s="1"/>
  <c r="T420" i="4" s="1"/>
  <c r="H420" i="4"/>
  <c r="Y419" i="4"/>
  <c r="I419" i="4"/>
  <c r="Q419" i="4" s="1"/>
  <c r="U419" i="4" s="1"/>
  <c r="H419" i="4"/>
  <c r="Y418" i="4"/>
  <c r="I418" i="4"/>
  <c r="Q418" i="4" s="1"/>
  <c r="H418" i="4"/>
  <c r="Y417" i="4"/>
  <c r="I417" i="4"/>
  <c r="Q417" i="4" s="1"/>
  <c r="H417" i="4"/>
  <c r="Y416" i="4"/>
  <c r="I416" i="4"/>
  <c r="Q416" i="4" s="1"/>
  <c r="H416" i="4"/>
  <c r="Y415" i="4"/>
  <c r="I415" i="4"/>
  <c r="Q415" i="4" s="1"/>
  <c r="H415" i="4"/>
  <c r="Y414" i="4"/>
  <c r="I414" i="4"/>
  <c r="Q414" i="4" s="1"/>
  <c r="P414" i="4" s="1"/>
  <c r="R414" i="4" s="1"/>
  <c r="H414" i="4"/>
  <c r="Y413" i="4"/>
  <c r="I413" i="4"/>
  <c r="Q413" i="4" s="1"/>
  <c r="H413" i="4"/>
  <c r="Y412" i="4"/>
  <c r="Q412" i="4"/>
  <c r="I412" i="4"/>
  <c r="H412" i="4"/>
  <c r="Y411" i="4"/>
  <c r="I411" i="4"/>
  <c r="Q411" i="4" s="1"/>
  <c r="S411" i="4" s="1"/>
  <c r="H411" i="4"/>
  <c r="Y410" i="4"/>
  <c r="U410" i="4"/>
  <c r="T410" i="4"/>
  <c r="I410" i="4"/>
  <c r="Q410" i="4" s="1"/>
  <c r="S410" i="4" s="1"/>
  <c r="H410" i="4"/>
  <c r="Y409" i="4"/>
  <c r="I409" i="4"/>
  <c r="Q409" i="4" s="1"/>
  <c r="H409" i="4"/>
  <c r="Y408" i="4"/>
  <c r="Q408" i="4"/>
  <c r="P408" i="4" s="1"/>
  <c r="R408" i="4" s="1"/>
  <c r="I408" i="4"/>
  <c r="H408" i="4"/>
  <c r="Y407" i="4"/>
  <c r="I407" i="4"/>
  <c r="Q407" i="4" s="1"/>
  <c r="H407" i="4"/>
  <c r="Y406" i="4"/>
  <c r="I406" i="4"/>
  <c r="Q406" i="4" s="1"/>
  <c r="S406" i="4" s="1"/>
  <c r="H406" i="4"/>
  <c r="Y405" i="4"/>
  <c r="I405" i="4"/>
  <c r="Q405" i="4" s="1"/>
  <c r="S405" i="4" s="1"/>
  <c r="H405" i="4"/>
  <c r="Y404" i="4"/>
  <c r="I404" i="4"/>
  <c r="Q404" i="4" s="1"/>
  <c r="S404" i="4" s="1"/>
  <c r="H404" i="4"/>
  <c r="Y403" i="4"/>
  <c r="I403" i="4"/>
  <c r="Q403" i="4" s="1"/>
  <c r="T403" i="4" s="1"/>
  <c r="H403" i="4"/>
  <c r="Y402" i="4"/>
  <c r="I402" i="4"/>
  <c r="Q402" i="4" s="1"/>
  <c r="S402" i="4" s="1"/>
  <c r="H402" i="4"/>
  <c r="Y401" i="4"/>
  <c r="U401" i="4"/>
  <c r="P401" i="4"/>
  <c r="R401" i="4" s="1"/>
  <c r="I401" i="4"/>
  <c r="Q401" i="4" s="1"/>
  <c r="S401" i="4" s="1"/>
  <c r="H401" i="4"/>
  <c r="Y400" i="4"/>
  <c r="I400" i="4"/>
  <c r="Q400" i="4" s="1"/>
  <c r="H400" i="4"/>
  <c r="Y399" i="4"/>
  <c r="U399" i="4"/>
  <c r="S399" i="4"/>
  <c r="P399" i="4"/>
  <c r="R399" i="4" s="1"/>
  <c r="I399" i="4"/>
  <c r="Q399" i="4" s="1"/>
  <c r="T399" i="4" s="1"/>
  <c r="H399" i="4"/>
  <c r="Y398" i="4"/>
  <c r="I398" i="4"/>
  <c r="Q398" i="4" s="1"/>
  <c r="H398" i="4"/>
  <c r="Y397" i="4"/>
  <c r="U397" i="4"/>
  <c r="Q397" i="4"/>
  <c r="I397" i="4"/>
  <c r="H397" i="4"/>
  <c r="Y396" i="4"/>
  <c r="I396" i="4"/>
  <c r="Q396" i="4" s="1"/>
  <c r="U396" i="4" s="1"/>
  <c r="H396" i="4"/>
  <c r="Y395" i="4"/>
  <c r="U395" i="4"/>
  <c r="S395" i="4"/>
  <c r="I395" i="4"/>
  <c r="Q395" i="4" s="1"/>
  <c r="H395" i="4"/>
  <c r="Y394" i="4"/>
  <c r="I394" i="4"/>
  <c r="Q394" i="4" s="1"/>
  <c r="U394" i="4" s="1"/>
  <c r="H394" i="4"/>
  <c r="Y393" i="4"/>
  <c r="S393" i="4"/>
  <c r="Q393" i="4"/>
  <c r="I393" i="4"/>
  <c r="H393" i="4"/>
  <c r="Y392" i="4"/>
  <c r="I392" i="4"/>
  <c r="Q392" i="4" s="1"/>
  <c r="H392" i="4"/>
  <c r="Y391" i="4"/>
  <c r="I391" i="4"/>
  <c r="Q391" i="4" s="1"/>
  <c r="H391" i="4"/>
  <c r="Y390" i="4"/>
  <c r="I390" i="4"/>
  <c r="Q390" i="4" s="1"/>
  <c r="H390" i="4"/>
  <c r="Y389" i="4"/>
  <c r="I389" i="4"/>
  <c r="Q389" i="4" s="1"/>
  <c r="H389" i="4"/>
  <c r="Y388" i="4"/>
  <c r="I388" i="4"/>
  <c r="Q388" i="4" s="1"/>
  <c r="H388" i="4"/>
  <c r="Y387" i="4"/>
  <c r="Q387" i="4"/>
  <c r="I387" i="4"/>
  <c r="H387" i="4"/>
  <c r="Y386" i="4"/>
  <c r="I386" i="4"/>
  <c r="Q386" i="4" s="1"/>
  <c r="H386" i="4"/>
  <c r="Y385" i="4"/>
  <c r="I385" i="4"/>
  <c r="Q385" i="4" s="1"/>
  <c r="U385" i="4" s="1"/>
  <c r="H385" i="4"/>
  <c r="Y384" i="4"/>
  <c r="I384" i="4"/>
  <c r="Q384" i="4" s="1"/>
  <c r="H384" i="4"/>
  <c r="Y383" i="4"/>
  <c r="I383" i="4"/>
  <c r="Q383" i="4" s="1"/>
  <c r="S383" i="4" s="1"/>
  <c r="H383" i="4"/>
  <c r="Y382" i="4"/>
  <c r="I382" i="4"/>
  <c r="Q382" i="4" s="1"/>
  <c r="H382" i="4"/>
  <c r="Y381" i="4"/>
  <c r="T381" i="4"/>
  <c r="I381" i="4"/>
  <c r="Q381" i="4" s="1"/>
  <c r="H381" i="4"/>
  <c r="Y380" i="4"/>
  <c r="Q380" i="4"/>
  <c r="I380" i="4"/>
  <c r="H380" i="4"/>
  <c r="Y379" i="4"/>
  <c r="I379" i="4"/>
  <c r="Q379" i="4" s="1"/>
  <c r="H379" i="4"/>
  <c r="Y378" i="4"/>
  <c r="I378" i="4"/>
  <c r="Q378" i="4" s="1"/>
  <c r="U378" i="4" s="1"/>
  <c r="H378" i="4"/>
  <c r="Y377" i="4"/>
  <c r="I377" i="4"/>
  <c r="Q377" i="4" s="1"/>
  <c r="U377" i="4" s="1"/>
  <c r="H377" i="4"/>
  <c r="Y376" i="4"/>
  <c r="I376" i="4"/>
  <c r="Q376" i="4" s="1"/>
  <c r="H376" i="4"/>
  <c r="Y375" i="4"/>
  <c r="I375" i="4"/>
  <c r="Q375" i="4" s="1"/>
  <c r="H375" i="4"/>
  <c r="Y374" i="4"/>
  <c r="I374" i="4"/>
  <c r="Q374" i="4" s="1"/>
  <c r="H374" i="4"/>
  <c r="Y373" i="4"/>
  <c r="I373" i="4"/>
  <c r="Q373" i="4" s="1"/>
  <c r="H373" i="4"/>
  <c r="Y372" i="4"/>
  <c r="I372" i="4"/>
  <c r="Q372" i="4" s="1"/>
  <c r="H372" i="4"/>
  <c r="Y371" i="4"/>
  <c r="I371" i="4"/>
  <c r="Q371" i="4" s="1"/>
  <c r="H371" i="4"/>
  <c r="Y370" i="4"/>
  <c r="I370" i="4"/>
  <c r="Q370" i="4" s="1"/>
  <c r="H370" i="4"/>
  <c r="Y369" i="4"/>
  <c r="I369" i="4"/>
  <c r="Q369" i="4" s="1"/>
  <c r="H369" i="4"/>
  <c r="Y368" i="4"/>
  <c r="I368" i="4"/>
  <c r="Q368" i="4" s="1"/>
  <c r="S368" i="4" s="1"/>
  <c r="H368" i="4"/>
  <c r="Y367" i="4"/>
  <c r="P367" i="4"/>
  <c r="R367" i="4" s="1"/>
  <c r="I367" i="4"/>
  <c r="Q367" i="4" s="1"/>
  <c r="T367" i="4" s="1"/>
  <c r="H367" i="4"/>
  <c r="Y366" i="4"/>
  <c r="I366" i="4"/>
  <c r="Q366" i="4" s="1"/>
  <c r="H366" i="4"/>
  <c r="Y365" i="4"/>
  <c r="I365" i="4"/>
  <c r="Q365" i="4" s="1"/>
  <c r="T365" i="4" s="1"/>
  <c r="H365" i="4"/>
  <c r="Y364" i="4"/>
  <c r="Q364" i="4"/>
  <c r="I364" i="4"/>
  <c r="H364" i="4"/>
  <c r="Y363" i="4"/>
  <c r="I363" i="4"/>
  <c r="Q363" i="4" s="1"/>
  <c r="H363" i="4"/>
  <c r="Y362" i="4"/>
  <c r="I362" i="4"/>
  <c r="Q362" i="4" s="1"/>
  <c r="H362" i="4"/>
  <c r="Y361" i="4"/>
  <c r="I361" i="4"/>
  <c r="Q361" i="4" s="1"/>
  <c r="H361" i="4"/>
  <c r="Y360" i="4"/>
  <c r="I360" i="4"/>
  <c r="Q360" i="4" s="1"/>
  <c r="H360" i="4"/>
  <c r="Y359" i="4"/>
  <c r="U359" i="4"/>
  <c r="I359" i="4"/>
  <c r="Q359" i="4" s="1"/>
  <c r="H359" i="4"/>
  <c r="Y358" i="4"/>
  <c r="I358" i="4"/>
  <c r="Q358" i="4" s="1"/>
  <c r="P358" i="4" s="1"/>
  <c r="R358" i="4" s="1"/>
  <c r="H358" i="4"/>
  <c r="Y357" i="4"/>
  <c r="I357" i="4"/>
  <c r="Q357" i="4" s="1"/>
  <c r="T357" i="4" s="1"/>
  <c r="H357" i="4"/>
  <c r="Y356" i="4"/>
  <c r="I356" i="4"/>
  <c r="Q356" i="4" s="1"/>
  <c r="U356" i="4" s="1"/>
  <c r="H356" i="4"/>
  <c r="Y355" i="4"/>
  <c r="I355" i="4"/>
  <c r="Q355" i="4" s="1"/>
  <c r="S355" i="4" s="1"/>
  <c r="H355" i="4"/>
  <c r="Y354" i="4"/>
  <c r="S354" i="4"/>
  <c r="I354" i="4"/>
  <c r="Q354" i="4" s="1"/>
  <c r="T354" i="4" s="1"/>
  <c r="H354" i="4"/>
  <c r="Y353" i="4"/>
  <c r="Q353" i="4"/>
  <c r="I353" i="4"/>
  <c r="H353" i="4"/>
  <c r="Y352" i="4"/>
  <c r="I352" i="4"/>
  <c r="Q352" i="4" s="1"/>
  <c r="S352" i="4" s="1"/>
  <c r="H352" i="4"/>
  <c r="Y351" i="4"/>
  <c r="I351" i="4"/>
  <c r="Q351" i="4" s="1"/>
  <c r="T351" i="4" s="1"/>
  <c r="H351" i="4"/>
  <c r="Y350" i="4"/>
  <c r="I350" i="4"/>
  <c r="Q350" i="4" s="1"/>
  <c r="U350" i="4" s="1"/>
  <c r="H350" i="4"/>
  <c r="Y349" i="4"/>
  <c r="I349" i="4"/>
  <c r="Q349" i="4" s="1"/>
  <c r="H349" i="4"/>
  <c r="Y348" i="4"/>
  <c r="T348" i="4"/>
  <c r="I348" i="4"/>
  <c r="Q348" i="4" s="1"/>
  <c r="H348" i="4"/>
  <c r="Y347" i="4"/>
  <c r="I347" i="4"/>
  <c r="Q347" i="4" s="1"/>
  <c r="H347" i="4"/>
  <c r="Y346" i="4"/>
  <c r="I346" i="4"/>
  <c r="Q346" i="4" s="1"/>
  <c r="H346" i="4"/>
  <c r="Y345" i="4"/>
  <c r="I345" i="4"/>
  <c r="Q345" i="4" s="1"/>
  <c r="H345" i="4"/>
  <c r="Y344" i="4"/>
  <c r="Q344" i="4"/>
  <c r="I344" i="4"/>
  <c r="H344" i="4"/>
  <c r="Y343" i="4"/>
  <c r="I343" i="4"/>
  <c r="Q343" i="4" s="1"/>
  <c r="H343" i="4"/>
  <c r="Y342" i="4"/>
  <c r="I342" i="4"/>
  <c r="Q342" i="4" s="1"/>
  <c r="U342" i="4" s="1"/>
  <c r="H342" i="4"/>
  <c r="Y341" i="4"/>
  <c r="I341" i="4"/>
  <c r="Q341" i="4" s="1"/>
  <c r="T341" i="4" s="1"/>
  <c r="H341" i="4"/>
  <c r="Y340" i="4"/>
  <c r="I340" i="4"/>
  <c r="Q340" i="4" s="1"/>
  <c r="H340" i="4"/>
  <c r="Y339" i="4"/>
  <c r="I339" i="4"/>
  <c r="Q339" i="4" s="1"/>
  <c r="H339" i="4"/>
  <c r="Y338" i="4"/>
  <c r="U338" i="4"/>
  <c r="T338" i="4"/>
  <c r="P338" i="4"/>
  <c r="R338" i="4" s="1"/>
  <c r="I338" i="4"/>
  <c r="Q338" i="4" s="1"/>
  <c r="S338" i="4" s="1"/>
  <c r="H338" i="4"/>
  <c r="Y337" i="4"/>
  <c r="I337" i="4"/>
  <c r="Q337" i="4" s="1"/>
  <c r="S337" i="4" s="1"/>
  <c r="H337" i="4"/>
  <c r="Y336" i="4"/>
  <c r="I336" i="4"/>
  <c r="Q336" i="4" s="1"/>
  <c r="U336" i="4" s="1"/>
  <c r="H336" i="4"/>
  <c r="Y335" i="4"/>
  <c r="I335" i="4"/>
  <c r="Q335" i="4" s="1"/>
  <c r="U335" i="4" s="1"/>
  <c r="H335" i="4"/>
  <c r="Y334" i="4"/>
  <c r="I334" i="4"/>
  <c r="Q334" i="4" s="1"/>
  <c r="S334" i="4" s="1"/>
  <c r="H334" i="4"/>
  <c r="Y333" i="4"/>
  <c r="I333" i="4"/>
  <c r="Q333" i="4" s="1"/>
  <c r="H333" i="4"/>
  <c r="Y332" i="4"/>
  <c r="I332" i="4"/>
  <c r="Q332" i="4" s="1"/>
  <c r="H332" i="4"/>
  <c r="Y331" i="4"/>
  <c r="I331" i="4"/>
  <c r="Q331" i="4" s="1"/>
  <c r="U331" i="4" s="1"/>
  <c r="H331" i="4"/>
  <c r="Y330" i="4"/>
  <c r="P330" i="4"/>
  <c r="R330" i="4" s="1"/>
  <c r="I330" i="4"/>
  <c r="Q330" i="4" s="1"/>
  <c r="H330" i="4"/>
  <c r="Y329" i="4"/>
  <c r="I329" i="4"/>
  <c r="Q329" i="4" s="1"/>
  <c r="H329" i="4"/>
  <c r="Y328" i="4"/>
  <c r="I328" i="4"/>
  <c r="Q328" i="4" s="1"/>
  <c r="H328" i="4"/>
  <c r="Y327" i="4"/>
  <c r="I327" i="4"/>
  <c r="Q327" i="4" s="1"/>
  <c r="H327" i="4"/>
  <c r="Y326" i="4"/>
  <c r="I326" i="4"/>
  <c r="Q326" i="4" s="1"/>
  <c r="P326" i="4" s="1"/>
  <c r="R326" i="4" s="1"/>
  <c r="H326" i="4"/>
  <c r="Y325" i="4"/>
  <c r="I325" i="4"/>
  <c r="Q325" i="4" s="1"/>
  <c r="P325" i="4" s="1"/>
  <c r="R325" i="4" s="1"/>
  <c r="H325" i="4"/>
  <c r="Y324" i="4"/>
  <c r="I324" i="4"/>
  <c r="Q324" i="4" s="1"/>
  <c r="T324" i="4" s="1"/>
  <c r="H324" i="4"/>
  <c r="Y323" i="4"/>
  <c r="Q323" i="4"/>
  <c r="I323" i="4"/>
  <c r="H323" i="4"/>
  <c r="Y322" i="4"/>
  <c r="T322" i="4"/>
  <c r="I322" i="4"/>
  <c r="Q322" i="4" s="1"/>
  <c r="S322" i="4" s="1"/>
  <c r="H322" i="4"/>
  <c r="Y321" i="4"/>
  <c r="I321" i="4"/>
  <c r="Q321" i="4" s="1"/>
  <c r="H321" i="4"/>
  <c r="Y320" i="4"/>
  <c r="I320" i="4"/>
  <c r="Q320" i="4" s="1"/>
  <c r="H320" i="4"/>
  <c r="Y319" i="4"/>
  <c r="I319" i="4"/>
  <c r="Q319" i="4" s="1"/>
  <c r="P319" i="4" s="1"/>
  <c r="R319" i="4" s="1"/>
  <c r="H319" i="4"/>
  <c r="Y318" i="4"/>
  <c r="I318" i="4"/>
  <c r="Q318" i="4" s="1"/>
  <c r="P318" i="4" s="1"/>
  <c r="R318" i="4" s="1"/>
  <c r="H318" i="4"/>
  <c r="Y317" i="4"/>
  <c r="I317" i="4"/>
  <c r="Q317" i="4" s="1"/>
  <c r="H317" i="4"/>
  <c r="Y316" i="4"/>
  <c r="Q316" i="4"/>
  <c r="P316" i="4" s="1"/>
  <c r="R316" i="4" s="1"/>
  <c r="I316" i="4"/>
  <c r="H316" i="4"/>
  <c r="Y315" i="4"/>
  <c r="Q315" i="4"/>
  <c r="I315" i="4"/>
  <c r="H315" i="4"/>
  <c r="Y314" i="4"/>
  <c r="I314" i="4"/>
  <c r="Q314" i="4" s="1"/>
  <c r="H314" i="4"/>
  <c r="Y313" i="4"/>
  <c r="I313" i="4"/>
  <c r="Q313" i="4" s="1"/>
  <c r="S313" i="4" s="1"/>
  <c r="H313" i="4"/>
  <c r="Y312" i="4"/>
  <c r="Q312" i="4"/>
  <c r="P312" i="4"/>
  <c r="R312" i="4" s="1"/>
  <c r="I312" i="4"/>
  <c r="H312" i="4"/>
  <c r="Y311" i="4"/>
  <c r="I311" i="4"/>
  <c r="Q311" i="4" s="1"/>
  <c r="P311" i="4" s="1"/>
  <c r="R311" i="4" s="1"/>
  <c r="H311" i="4"/>
  <c r="Y310" i="4"/>
  <c r="I310" i="4"/>
  <c r="Q310" i="4" s="1"/>
  <c r="H310" i="4"/>
  <c r="Y309" i="4"/>
  <c r="T309" i="4"/>
  <c r="I309" i="4"/>
  <c r="Q309" i="4" s="1"/>
  <c r="H309" i="4"/>
  <c r="Y308" i="4"/>
  <c r="Q308" i="4"/>
  <c r="I308" i="4"/>
  <c r="H308" i="4"/>
  <c r="Y307" i="4"/>
  <c r="I307" i="4"/>
  <c r="Q307" i="4" s="1"/>
  <c r="U307" i="4" s="1"/>
  <c r="H307" i="4"/>
  <c r="Y306" i="4"/>
  <c r="S306" i="4"/>
  <c r="I306" i="4"/>
  <c r="Q306" i="4" s="1"/>
  <c r="U306" i="4" s="1"/>
  <c r="H306" i="4"/>
  <c r="Y305" i="4"/>
  <c r="I305" i="4"/>
  <c r="Q305" i="4" s="1"/>
  <c r="H305" i="4"/>
  <c r="Y304" i="4"/>
  <c r="I304" i="4"/>
  <c r="Q304" i="4" s="1"/>
  <c r="U304" i="4" s="1"/>
  <c r="H304" i="4"/>
  <c r="Y303" i="4"/>
  <c r="I303" i="4"/>
  <c r="Q303" i="4" s="1"/>
  <c r="P303" i="4" s="1"/>
  <c r="R303" i="4" s="1"/>
  <c r="H303" i="4"/>
  <c r="Y302" i="4"/>
  <c r="I302" i="4"/>
  <c r="Q302" i="4" s="1"/>
  <c r="P302" i="4" s="1"/>
  <c r="R302" i="4" s="1"/>
  <c r="H302" i="4"/>
  <c r="Y301" i="4"/>
  <c r="I301" i="4"/>
  <c r="Q301" i="4" s="1"/>
  <c r="H301" i="4"/>
  <c r="Y300" i="4"/>
  <c r="I300" i="4"/>
  <c r="Q300" i="4" s="1"/>
  <c r="U300" i="4" s="1"/>
  <c r="H300" i="4"/>
  <c r="Y299" i="4"/>
  <c r="P299" i="4"/>
  <c r="R299" i="4" s="1"/>
  <c r="I299" i="4"/>
  <c r="Q299" i="4" s="1"/>
  <c r="S299" i="4" s="1"/>
  <c r="H299" i="4"/>
  <c r="Y298" i="4"/>
  <c r="I298" i="4"/>
  <c r="Q298" i="4" s="1"/>
  <c r="H298" i="4"/>
  <c r="Y297" i="4"/>
  <c r="T297" i="4"/>
  <c r="S297" i="4"/>
  <c r="I297" i="4"/>
  <c r="Q297" i="4" s="1"/>
  <c r="H297" i="4"/>
  <c r="Y296" i="4"/>
  <c r="I296" i="4"/>
  <c r="Q296" i="4" s="1"/>
  <c r="H296" i="4"/>
  <c r="Y295" i="4"/>
  <c r="T295" i="4"/>
  <c r="I295" i="4"/>
  <c r="Q295" i="4" s="1"/>
  <c r="H295" i="4"/>
  <c r="Y294" i="4"/>
  <c r="I294" i="4"/>
  <c r="Q294" i="4" s="1"/>
  <c r="S294" i="4" s="1"/>
  <c r="H294" i="4"/>
  <c r="Y293" i="4"/>
  <c r="I293" i="4"/>
  <c r="Q293" i="4" s="1"/>
  <c r="H293" i="4"/>
  <c r="Y292" i="4"/>
  <c r="I292" i="4"/>
  <c r="Q292" i="4" s="1"/>
  <c r="T292" i="4" s="1"/>
  <c r="H292" i="4"/>
  <c r="Y291" i="4"/>
  <c r="I291" i="4"/>
  <c r="Q291" i="4" s="1"/>
  <c r="H291" i="4"/>
  <c r="Y290" i="4"/>
  <c r="I290" i="4"/>
  <c r="Q290" i="4" s="1"/>
  <c r="U290" i="4" s="1"/>
  <c r="H290" i="4"/>
  <c r="Y289" i="4"/>
  <c r="S289" i="4"/>
  <c r="I289" i="4"/>
  <c r="Q289" i="4" s="1"/>
  <c r="H289" i="4"/>
  <c r="Y288" i="4"/>
  <c r="I288" i="4"/>
  <c r="Q288" i="4" s="1"/>
  <c r="H288" i="4"/>
  <c r="Y287" i="4"/>
  <c r="I287" i="4"/>
  <c r="Q287" i="4" s="1"/>
  <c r="H287" i="4"/>
  <c r="Y286" i="4"/>
  <c r="U286" i="4"/>
  <c r="I286" i="4"/>
  <c r="Q286" i="4" s="1"/>
  <c r="P286" i="4" s="1"/>
  <c r="R286" i="4" s="1"/>
  <c r="H286" i="4"/>
  <c r="Y285" i="4"/>
  <c r="I285" i="4"/>
  <c r="Q285" i="4" s="1"/>
  <c r="T285" i="4" s="1"/>
  <c r="H285" i="4"/>
  <c r="Y284" i="4"/>
  <c r="I284" i="4"/>
  <c r="Q284" i="4" s="1"/>
  <c r="H284" i="4"/>
  <c r="Y283" i="4"/>
  <c r="Q283" i="4"/>
  <c r="P283" i="4" s="1"/>
  <c r="R283" i="4" s="1"/>
  <c r="I283" i="4"/>
  <c r="H283" i="4"/>
  <c r="Y282" i="4"/>
  <c r="I282" i="4"/>
  <c r="Q282" i="4" s="1"/>
  <c r="H282" i="4"/>
  <c r="Y281" i="4"/>
  <c r="I281" i="4"/>
  <c r="Q281" i="4" s="1"/>
  <c r="S281" i="4" s="1"/>
  <c r="H281" i="4"/>
  <c r="Y280" i="4"/>
  <c r="I280" i="4"/>
  <c r="Q280" i="4" s="1"/>
  <c r="H280" i="4"/>
  <c r="Y279" i="4"/>
  <c r="I279" i="4"/>
  <c r="Q279" i="4" s="1"/>
  <c r="H279" i="4"/>
  <c r="Y278" i="4"/>
  <c r="I278" i="4"/>
  <c r="Q278" i="4" s="1"/>
  <c r="H278" i="4"/>
  <c r="Y277" i="4"/>
  <c r="I277" i="4"/>
  <c r="Q277" i="4" s="1"/>
  <c r="H277" i="4"/>
  <c r="Y276" i="4"/>
  <c r="I276" i="4"/>
  <c r="Q276" i="4" s="1"/>
  <c r="P276" i="4" s="1"/>
  <c r="R276" i="4" s="1"/>
  <c r="H276" i="4"/>
  <c r="Y275" i="4"/>
  <c r="I275" i="4"/>
  <c r="Q275" i="4" s="1"/>
  <c r="P275" i="4" s="1"/>
  <c r="R275" i="4" s="1"/>
  <c r="H275" i="4"/>
  <c r="Y274" i="4"/>
  <c r="Q274" i="4"/>
  <c r="U274" i="4" s="1"/>
  <c r="I274" i="4"/>
  <c r="H274" i="4"/>
  <c r="Y273" i="4"/>
  <c r="I273" i="4"/>
  <c r="Q273" i="4" s="1"/>
  <c r="H273" i="4"/>
  <c r="Y272" i="4"/>
  <c r="Q272" i="4"/>
  <c r="P272" i="4" s="1"/>
  <c r="R272" i="4" s="1"/>
  <c r="I272" i="4"/>
  <c r="H272" i="4"/>
  <c r="Y271" i="4"/>
  <c r="I271" i="4"/>
  <c r="Q271" i="4" s="1"/>
  <c r="H271" i="4"/>
  <c r="Y270" i="4"/>
  <c r="P270" i="4"/>
  <c r="R270" i="4" s="1"/>
  <c r="I270" i="4"/>
  <c r="Q270" i="4" s="1"/>
  <c r="U270" i="4" s="1"/>
  <c r="H270" i="4"/>
  <c r="Y269" i="4"/>
  <c r="I269" i="4"/>
  <c r="Q269" i="4" s="1"/>
  <c r="P269" i="4" s="1"/>
  <c r="R269" i="4" s="1"/>
  <c r="H269" i="4"/>
  <c r="Y268" i="4"/>
  <c r="I268" i="4"/>
  <c r="Q268" i="4" s="1"/>
  <c r="H268" i="4"/>
  <c r="Y267" i="4"/>
  <c r="I267" i="4"/>
  <c r="Q267" i="4" s="1"/>
  <c r="H267" i="4"/>
  <c r="Y266" i="4"/>
  <c r="I266" i="4"/>
  <c r="Q266" i="4" s="1"/>
  <c r="H266" i="4"/>
  <c r="Y265" i="4"/>
  <c r="P265" i="4"/>
  <c r="R265" i="4" s="1"/>
  <c r="I265" i="4"/>
  <c r="Q265" i="4" s="1"/>
  <c r="S265" i="4" s="1"/>
  <c r="H265" i="4"/>
  <c r="Y264" i="4"/>
  <c r="T264" i="4"/>
  <c r="S264" i="4"/>
  <c r="I264" i="4"/>
  <c r="Q264" i="4" s="1"/>
  <c r="H264" i="4"/>
  <c r="Y263" i="4"/>
  <c r="I263" i="4"/>
  <c r="Q263" i="4" s="1"/>
  <c r="H263" i="4"/>
  <c r="Y262" i="4"/>
  <c r="I262" i="4"/>
  <c r="Q262" i="4" s="1"/>
  <c r="S262" i="4" s="1"/>
  <c r="H262" i="4"/>
  <c r="Y261" i="4"/>
  <c r="I261" i="4"/>
  <c r="Q261" i="4" s="1"/>
  <c r="S261" i="4" s="1"/>
  <c r="H261" i="4"/>
  <c r="Y260" i="4"/>
  <c r="I260" i="4"/>
  <c r="Q260" i="4" s="1"/>
  <c r="H260" i="4"/>
  <c r="Y259" i="4"/>
  <c r="Q259" i="4"/>
  <c r="P259" i="4" s="1"/>
  <c r="R259" i="4" s="1"/>
  <c r="I259" i="4"/>
  <c r="H259" i="4"/>
  <c r="Y258" i="4"/>
  <c r="I258" i="4"/>
  <c r="Q258" i="4" s="1"/>
  <c r="H258" i="4"/>
  <c r="Y257" i="4"/>
  <c r="I257" i="4"/>
  <c r="Q257" i="4" s="1"/>
  <c r="T257" i="4" s="1"/>
  <c r="H257" i="4"/>
  <c r="Y256" i="4"/>
  <c r="I256" i="4"/>
  <c r="Q256" i="4" s="1"/>
  <c r="P256" i="4" s="1"/>
  <c r="R256" i="4" s="1"/>
  <c r="H256" i="4"/>
  <c r="Y255" i="4"/>
  <c r="I255" i="4"/>
  <c r="Q255" i="4" s="1"/>
  <c r="U255" i="4" s="1"/>
  <c r="H255" i="4"/>
  <c r="Y254" i="4"/>
  <c r="I254" i="4"/>
  <c r="Q254" i="4" s="1"/>
  <c r="H254" i="4"/>
  <c r="Y253" i="4"/>
  <c r="I253" i="4"/>
  <c r="Q253" i="4" s="1"/>
  <c r="T253" i="4" s="1"/>
  <c r="H253" i="4"/>
  <c r="Y252" i="4"/>
  <c r="I252" i="4"/>
  <c r="Q252" i="4" s="1"/>
  <c r="U252" i="4" s="1"/>
  <c r="H252" i="4"/>
  <c r="Y251" i="4"/>
  <c r="Q251" i="4"/>
  <c r="I251" i="4"/>
  <c r="H251" i="4"/>
  <c r="Y250" i="4"/>
  <c r="I250" i="4"/>
  <c r="Q250" i="4" s="1"/>
  <c r="S250" i="4" s="1"/>
  <c r="H250" i="4"/>
  <c r="Y249" i="4"/>
  <c r="I249" i="4"/>
  <c r="Q249" i="4" s="1"/>
  <c r="H249" i="4"/>
  <c r="Y248" i="4"/>
  <c r="I248" i="4"/>
  <c r="Q248" i="4" s="1"/>
  <c r="S248" i="4" s="1"/>
  <c r="H248" i="4"/>
  <c r="Y247" i="4"/>
  <c r="I247" i="4"/>
  <c r="Q247" i="4" s="1"/>
  <c r="H247" i="4"/>
  <c r="Y246" i="4"/>
  <c r="I246" i="4"/>
  <c r="Q246" i="4" s="1"/>
  <c r="H246" i="4"/>
  <c r="Y245" i="4"/>
  <c r="I245" i="4"/>
  <c r="Q245" i="4" s="1"/>
  <c r="H245" i="4"/>
  <c r="I244" i="4"/>
  <c r="H244" i="4"/>
  <c r="I243" i="4"/>
  <c r="Y243" i="4" s="1"/>
  <c r="H243" i="4"/>
  <c r="I87" i="2" s="1"/>
  <c r="M87" i="2" s="1"/>
  <c r="I242" i="4"/>
  <c r="Y242" i="4" s="1"/>
  <c r="H242" i="4"/>
  <c r="I241" i="4"/>
  <c r="Y241" i="4" s="1"/>
  <c r="H241" i="4"/>
  <c r="I240" i="4"/>
  <c r="Y240" i="4" s="1"/>
  <c r="H240" i="4"/>
  <c r="I239" i="4"/>
  <c r="H239" i="4"/>
  <c r="I238" i="4"/>
  <c r="Y238" i="4" s="1"/>
  <c r="H238" i="4"/>
  <c r="Q237" i="4"/>
  <c r="U237" i="4" s="1"/>
  <c r="I237" i="4"/>
  <c r="Y237" i="4" s="1"/>
  <c r="H237" i="4"/>
  <c r="I236" i="4"/>
  <c r="Q236" i="4" s="1"/>
  <c r="H236" i="4"/>
  <c r="Y235" i="4"/>
  <c r="I235" i="4"/>
  <c r="Q235" i="4" s="1"/>
  <c r="H235" i="4"/>
  <c r="Q234" i="4"/>
  <c r="P234" i="4" s="1"/>
  <c r="I234" i="4"/>
  <c r="Y234" i="4" s="1"/>
  <c r="H234" i="4"/>
  <c r="I233" i="4"/>
  <c r="Y233" i="4" s="1"/>
  <c r="H233" i="4"/>
  <c r="I232" i="4"/>
  <c r="H232" i="4"/>
  <c r="I231" i="4"/>
  <c r="Y231" i="4" s="1"/>
  <c r="H231" i="4"/>
  <c r="I230" i="4"/>
  <c r="Y230" i="4" s="1"/>
  <c r="H230" i="4"/>
  <c r="Y229" i="4"/>
  <c r="T229" i="4"/>
  <c r="Q229" i="4"/>
  <c r="P229" i="4" s="1"/>
  <c r="I229" i="4"/>
  <c r="H229" i="4"/>
  <c r="I228" i="4"/>
  <c r="H228" i="4"/>
  <c r="I227" i="4"/>
  <c r="Q227" i="4" s="1"/>
  <c r="T227" i="4" s="1"/>
  <c r="H227" i="4"/>
  <c r="I226" i="4"/>
  <c r="Q226" i="4" s="1"/>
  <c r="H226" i="4"/>
  <c r="I225" i="4"/>
  <c r="Y225" i="4" s="1"/>
  <c r="H225" i="4"/>
  <c r="I224" i="4"/>
  <c r="Q224" i="4" s="1"/>
  <c r="P224" i="4" s="1"/>
  <c r="R224" i="4" s="1"/>
  <c r="H224" i="4"/>
  <c r="I223" i="4"/>
  <c r="Y223" i="4" s="1"/>
  <c r="H223" i="4"/>
  <c r="I89" i="2" s="1"/>
  <c r="M89" i="2" s="1"/>
  <c r="I222" i="4"/>
  <c r="H222" i="4"/>
  <c r="I221" i="4"/>
  <c r="Q221" i="4" s="1"/>
  <c r="T221" i="4" s="1"/>
  <c r="H221" i="4"/>
  <c r="Q220" i="4"/>
  <c r="U220" i="4" s="1"/>
  <c r="I220" i="4"/>
  <c r="Y220" i="4" s="1"/>
  <c r="H220" i="4"/>
  <c r="I219" i="4"/>
  <c r="Q219" i="4" s="1"/>
  <c r="T219" i="4" s="1"/>
  <c r="H219" i="4"/>
  <c r="I218" i="4"/>
  <c r="H218" i="4"/>
  <c r="Q217" i="4"/>
  <c r="S217" i="4" s="1"/>
  <c r="I217" i="4"/>
  <c r="Y217" i="4" s="1"/>
  <c r="H217" i="4"/>
  <c r="I216" i="4"/>
  <c r="Y216" i="4" s="1"/>
  <c r="H216" i="4"/>
  <c r="I215" i="4"/>
  <c r="Y215" i="4" s="1"/>
  <c r="H215" i="4"/>
  <c r="I214" i="4"/>
  <c r="H214" i="4"/>
  <c r="I213" i="4"/>
  <c r="H213" i="4"/>
  <c r="I212" i="4"/>
  <c r="Y212" i="4" s="1"/>
  <c r="H212" i="4"/>
  <c r="I211" i="4"/>
  <c r="H211" i="4"/>
  <c r="I210" i="4"/>
  <c r="Q210" i="4" s="1"/>
  <c r="H210" i="4"/>
  <c r="I209" i="4"/>
  <c r="Y209" i="4" s="1"/>
  <c r="H209" i="4"/>
  <c r="Q208" i="4"/>
  <c r="I208" i="4"/>
  <c r="Y208" i="4" s="1"/>
  <c r="H208" i="4"/>
  <c r="I207" i="4"/>
  <c r="H207" i="4"/>
  <c r="I206" i="4"/>
  <c r="Q206" i="4" s="1"/>
  <c r="H206" i="4"/>
  <c r="I205" i="4"/>
  <c r="H205" i="4"/>
  <c r="I204" i="4"/>
  <c r="H204" i="4"/>
  <c r="I203" i="4"/>
  <c r="H203" i="4"/>
  <c r="I202" i="4"/>
  <c r="Q202" i="4" s="1"/>
  <c r="H202" i="4"/>
  <c r="I201" i="4"/>
  <c r="Q201" i="4" s="1"/>
  <c r="H201" i="4"/>
  <c r="I200" i="4"/>
  <c r="H200" i="4"/>
  <c r="I199" i="4"/>
  <c r="H199" i="4"/>
  <c r="I198" i="4"/>
  <c r="Q198" i="4" s="1"/>
  <c r="H198" i="4"/>
  <c r="I197" i="4"/>
  <c r="H197" i="4"/>
  <c r="I196" i="4"/>
  <c r="H196" i="4"/>
  <c r="I195" i="4"/>
  <c r="H195" i="4"/>
  <c r="I194" i="4"/>
  <c r="Q194" i="4" s="1"/>
  <c r="H194" i="4"/>
  <c r="I193" i="4"/>
  <c r="H193" i="4"/>
  <c r="I192" i="4"/>
  <c r="Q192" i="4" s="1"/>
  <c r="H192" i="4"/>
  <c r="I191" i="4"/>
  <c r="H191" i="4"/>
  <c r="I190" i="4"/>
  <c r="H190" i="4"/>
  <c r="Q189" i="4"/>
  <c r="I189" i="4"/>
  <c r="Y189" i="4" s="1"/>
  <c r="H189" i="4"/>
  <c r="I188" i="4"/>
  <c r="Y188" i="4" s="1"/>
  <c r="H188" i="4"/>
  <c r="I187" i="4"/>
  <c r="H187" i="4"/>
  <c r="I186" i="4"/>
  <c r="Q186" i="4" s="1"/>
  <c r="T186" i="4" s="1"/>
  <c r="H186" i="4"/>
  <c r="I185" i="4"/>
  <c r="Q185" i="4" s="1"/>
  <c r="U185" i="4" s="1"/>
  <c r="H185" i="4"/>
  <c r="I184" i="4"/>
  <c r="Q184" i="4" s="1"/>
  <c r="T184" i="4" s="1"/>
  <c r="H184" i="4"/>
  <c r="I183" i="4"/>
  <c r="H183" i="4"/>
  <c r="I182" i="4"/>
  <c r="Q182" i="4" s="1"/>
  <c r="P182" i="4" s="1"/>
  <c r="H182" i="4"/>
  <c r="I181" i="4"/>
  <c r="Y181" i="4" s="1"/>
  <c r="H181" i="4"/>
  <c r="Q180" i="4"/>
  <c r="I180" i="4"/>
  <c r="Y180" i="4" s="1"/>
  <c r="H180" i="4"/>
  <c r="I179" i="4"/>
  <c r="Q179" i="4" s="1"/>
  <c r="P179" i="4" s="1"/>
  <c r="H179" i="4"/>
  <c r="I178" i="4"/>
  <c r="Q178" i="4" s="1"/>
  <c r="T178" i="4" s="1"/>
  <c r="H178" i="4"/>
  <c r="I177" i="4"/>
  <c r="H177" i="4"/>
  <c r="I176" i="4"/>
  <c r="Y176" i="4" s="1"/>
  <c r="H176" i="4"/>
  <c r="I175" i="4"/>
  <c r="H175" i="4"/>
  <c r="I174" i="4"/>
  <c r="H174" i="4"/>
  <c r="I173" i="4"/>
  <c r="Y173" i="4" s="1"/>
  <c r="H173" i="4"/>
  <c r="I172" i="4"/>
  <c r="Y172" i="4" s="1"/>
  <c r="H172" i="4"/>
  <c r="I171" i="4"/>
  <c r="H171" i="4"/>
  <c r="I170" i="4"/>
  <c r="Q170" i="4" s="1"/>
  <c r="T170" i="4" s="1"/>
  <c r="H170" i="4"/>
  <c r="I169" i="4"/>
  <c r="H169" i="4"/>
  <c r="I168" i="4"/>
  <c r="H168" i="4"/>
  <c r="I167" i="4"/>
  <c r="Q167" i="4" s="1"/>
  <c r="H167" i="4"/>
  <c r="I166" i="4"/>
  <c r="Q166" i="4" s="1"/>
  <c r="H166" i="4"/>
  <c r="I165" i="4"/>
  <c r="Y165" i="4" s="1"/>
  <c r="H165" i="4"/>
  <c r="Q164" i="4"/>
  <c r="P164" i="4" s="1"/>
  <c r="I164" i="4"/>
  <c r="Y164" i="4" s="1"/>
  <c r="H164" i="4"/>
  <c r="I163" i="4"/>
  <c r="Y163" i="4" s="1"/>
  <c r="H163" i="4"/>
  <c r="I162" i="4"/>
  <c r="Q162" i="4" s="1"/>
  <c r="S162" i="4" s="1"/>
  <c r="H162" i="4"/>
  <c r="Y161" i="4"/>
  <c r="I161" i="4"/>
  <c r="Q161" i="4" s="1"/>
  <c r="U161" i="4" s="1"/>
  <c r="H161" i="4"/>
  <c r="I160" i="4"/>
  <c r="H160" i="4"/>
  <c r="I159" i="4"/>
  <c r="Q159" i="4" s="1"/>
  <c r="U159" i="4" s="1"/>
  <c r="H159" i="4"/>
  <c r="I158" i="4"/>
  <c r="H158" i="4"/>
  <c r="I157" i="4"/>
  <c r="Y157" i="4" s="1"/>
  <c r="N97" i="3" s="1"/>
  <c r="H157" i="4"/>
  <c r="I156" i="4"/>
  <c r="Y156" i="4" s="1"/>
  <c r="N96" i="3" s="1"/>
  <c r="H156" i="4"/>
  <c r="I155" i="4"/>
  <c r="Y155" i="4" s="1"/>
  <c r="H155" i="4"/>
  <c r="I154" i="4"/>
  <c r="H154" i="4"/>
  <c r="I153" i="4"/>
  <c r="H153" i="4"/>
  <c r="Y152" i="4"/>
  <c r="Q152" i="4"/>
  <c r="T152" i="4" s="1"/>
  <c r="I152" i="4"/>
  <c r="H152" i="4"/>
  <c r="I151" i="4"/>
  <c r="Q151" i="4" s="1"/>
  <c r="H151" i="4"/>
  <c r="I150" i="4"/>
  <c r="H150" i="4"/>
  <c r="I149" i="4"/>
  <c r="Y149" i="4" s="1"/>
  <c r="H149" i="4"/>
  <c r="I148" i="4"/>
  <c r="Y148" i="4" s="1"/>
  <c r="H148" i="4"/>
  <c r="I147" i="4"/>
  <c r="Q147" i="4" s="1"/>
  <c r="H147" i="4"/>
  <c r="I146" i="4"/>
  <c r="H146" i="4"/>
  <c r="I145" i="4"/>
  <c r="Q145" i="4" s="1"/>
  <c r="U145" i="4" s="1"/>
  <c r="H145" i="4"/>
  <c r="Y144" i="4"/>
  <c r="U144" i="4"/>
  <c r="Q144" i="4"/>
  <c r="I144" i="4"/>
  <c r="H144" i="4"/>
  <c r="I143" i="4"/>
  <c r="H143" i="4"/>
  <c r="I142" i="4"/>
  <c r="H142" i="4"/>
  <c r="I141" i="4"/>
  <c r="Y141" i="4" s="1"/>
  <c r="H141" i="4"/>
  <c r="Q140" i="4"/>
  <c r="P140" i="4" s="1"/>
  <c r="I140" i="4"/>
  <c r="Y140" i="4" s="1"/>
  <c r="H140" i="4"/>
  <c r="Y139" i="4"/>
  <c r="Q139" i="4"/>
  <c r="S139" i="4" s="1"/>
  <c r="I139" i="4"/>
  <c r="H139" i="4"/>
  <c r="I138" i="4"/>
  <c r="H138" i="4"/>
  <c r="I137" i="4"/>
  <c r="Q137" i="4" s="1"/>
  <c r="T137" i="4" s="1"/>
  <c r="H137" i="4"/>
  <c r="Q136" i="4"/>
  <c r="U136" i="4" s="1"/>
  <c r="I136" i="4"/>
  <c r="Y136" i="4" s="1"/>
  <c r="H136" i="4"/>
  <c r="I135" i="4"/>
  <c r="Q135" i="4" s="1"/>
  <c r="U135" i="4" s="1"/>
  <c r="H135" i="4"/>
  <c r="I134" i="4"/>
  <c r="H134" i="4"/>
  <c r="I133" i="4"/>
  <c r="H133" i="4"/>
  <c r="Q132" i="4"/>
  <c r="I132" i="4"/>
  <c r="Y132" i="4" s="1"/>
  <c r="H132" i="4"/>
  <c r="I131" i="4"/>
  <c r="H131" i="4"/>
  <c r="I130" i="4"/>
  <c r="H130" i="4"/>
  <c r="I129" i="4"/>
  <c r="Q129" i="4" s="1"/>
  <c r="H129" i="4"/>
  <c r="I128" i="4"/>
  <c r="H128" i="4"/>
  <c r="I127" i="4"/>
  <c r="H127" i="4"/>
  <c r="I126" i="4"/>
  <c r="H126" i="4"/>
  <c r="I125" i="4"/>
  <c r="H125" i="4"/>
  <c r="I124" i="4"/>
  <c r="H124" i="4"/>
  <c r="I123" i="4"/>
  <c r="Y123" i="4" s="1"/>
  <c r="H123" i="4"/>
  <c r="I122" i="4"/>
  <c r="Q122" i="4" s="1"/>
  <c r="S122" i="4" s="1"/>
  <c r="H122" i="4"/>
  <c r="I121" i="4"/>
  <c r="H121" i="4"/>
  <c r="I120" i="4"/>
  <c r="Y120" i="4" s="1"/>
  <c r="H120" i="4"/>
  <c r="I119" i="4"/>
  <c r="H119" i="4"/>
  <c r="I118" i="4"/>
  <c r="H118" i="4"/>
  <c r="I117" i="4"/>
  <c r="Y117" i="4" s="1"/>
  <c r="H117" i="4"/>
  <c r="I116" i="4"/>
  <c r="Y116" i="4" s="1"/>
  <c r="H116" i="4"/>
  <c r="Q115" i="4"/>
  <c r="I115" i="4"/>
  <c r="Y115" i="4" s="1"/>
  <c r="H115" i="4"/>
  <c r="I114" i="4"/>
  <c r="Y114" i="4" s="1"/>
  <c r="H114" i="4"/>
  <c r="I113" i="4"/>
  <c r="Q113" i="4" s="1"/>
  <c r="U113" i="4" s="1"/>
  <c r="H113" i="4"/>
  <c r="I112" i="4"/>
  <c r="H112" i="4"/>
  <c r="I111" i="4"/>
  <c r="H111" i="4"/>
  <c r="I110" i="4"/>
  <c r="H110" i="4"/>
  <c r="I109" i="4"/>
  <c r="H109" i="4"/>
  <c r="I108" i="4"/>
  <c r="H108" i="4"/>
  <c r="Y107" i="4"/>
  <c r="I107" i="4"/>
  <c r="Q107" i="4" s="1"/>
  <c r="P107" i="4" s="1"/>
  <c r="H107" i="4"/>
  <c r="I106" i="4"/>
  <c r="Q106" i="4" s="1"/>
  <c r="H106" i="4"/>
  <c r="I105" i="4"/>
  <c r="Q105" i="4" s="1"/>
  <c r="H105" i="4"/>
  <c r="C10" i="4" s="1"/>
  <c r="F10" i="4" s="1"/>
  <c r="I104" i="4"/>
  <c r="Q104" i="4" s="1"/>
  <c r="T104" i="4" s="1"/>
  <c r="H104" i="4"/>
  <c r="I103" i="4"/>
  <c r="Q103" i="4" s="1"/>
  <c r="P103" i="4" s="1"/>
  <c r="H103" i="4"/>
  <c r="D8" i="4" s="1"/>
  <c r="I102" i="4"/>
  <c r="Q102" i="4" s="1"/>
  <c r="S102" i="4" s="1"/>
  <c r="H102" i="4"/>
  <c r="I101" i="4"/>
  <c r="Q101" i="4" s="1"/>
  <c r="P101" i="4" s="1"/>
  <c r="H101" i="4"/>
  <c r="I100" i="4"/>
  <c r="H100" i="4"/>
  <c r="I99" i="4"/>
  <c r="Y99" i="4" s="1"/>
  <c r="H99" i="4"/>
  <c r="Y98" i="4"/>
  <c r="I98" i="4"/>
  <c r="Q98" i="4" s="1"/>
  <c r="H98" i="4"/>
  <c r="Y97" i="4"/>
  <c r="U97" i="4"/>
  <c r="T97" i="4"/>
  <c r="S97" i="4"/>
  <c r="I97" i="4"/>
  <c r="Q97" i="4" s="1"/>
  <c r="P97" i="4" s="1"/>
  <c r="R97" i="4" s="1"/>
  <c r="H97" i="4"/>
  <c r="Q96" i="4"/>
  <c r="I96" i="4"/>
  <c r="Y96" i="4" s="1"/>
  <c r="H96" i="4"/>
  <c r="I95" i="4"/>
  <c r="Q95" i="4" s="1"/>
  <c r="P95" i="4" s="1"/>
  <c r="H95" i="4"/>
  <c r="D13" i="4" s="1"/>
  <c r="Q94" i="4"/>
  <c r="P94" i="4" s="1"/>
  <c r="I94" i="4"/>
  <c r="Y94" i="4" s="1"/>
  <c r="H94" i="4"/>
  <c r="I93" i="4"/>
  <c r="H93" i="4"/>
  <c r="Q92" i="4"/>
  <c r="P92" i="4" s="1"/>
  <c r="I92" i="4"/>
  <c r="Y92" i="4" s="1"/>
  <c r="H92" i="4"/>
  <c r="I91" i="4"/>
  <c r="H91" i="4"/>
  <c r="I90" i="4"/>
  <c r="Q90" i="4" s="1"/>
  <c r="S90" i="4" s="1"/>
  <c r="H90" i="4"/>
  <c r="Y89" i="4"/>
  <c r="I89" i="4"/>
  <c r="Q89" i="4" s="1"/>
  <c r="S89" i="4" s="1"/>
  <c r="H89" i="4"/>
  <c r="I88" i="4"/>
  <c r="Y88" i="4" s="1"/>
  <c r="H88" i="4"/>
  <c r="I87" i="4"/>
  <c r="Q87" i="4" s="1"/>
  <c r="H87" i="4"/>
  <c r="I86" i="4"/>
  <c r="Y86" i="4" s="1"/>
  <c r="H86" i="4"/>
  <c r="I85" i="4"/>
  <c r="Y85" i="4" s="1"/>
  <c r="H85" i="4"/>
  <c r="I84" i="4"/>
  <c r="Y84" i="4" s="1"/>
  <c r="D29" i="4" s="1"/>
  <c r="H84" i="4"/>
  <c r="U83" i="4"/>
  <c r="Q83" i="4"/>
  <c r="P83" i="4" s="1"/>
  <c r="I83" i="4"/>
  <c r="Y83" i="4" s="1"/>
  <c r="H83" i="4"/>
  <c r="I82" i="4"/>
  <c r="Y82" i="4" s="1"/>
  <c r="K95" i="3" s="1"/>
  <c r="H82" i="4"/>
  <c r="T81" i="4"/>
  <c r="I81" i="4"/>
  <c r="Q81" i="4" s="1"/>
  <c r="H81" i="4"/>
  <c r="I80" i="4"/>
  <c r="Q80" i="4" s="1"/>
  <c r="H80" i="4"/>
  <c r="I79" i="4"/>
  <c r="H79" i="4"/>
  <c r="I78" i="4"/>
  <c r="Q78" i="4" s="1"/>
  <c r="S78" i="4" s="1"/>
  <c r="H78" i="4"/>
  <c r="I77" i="4"/>
  <c r="Q77" i="4" s="1"/>
  <c r="H77" i="4"/>
  <c r="I76" i="4"/>
  <c r="H76" i="4"/>
  <c r="Y75" i="4"/>
  <c r="I75" i="4"/>
  <c r="Q75" i="4" s="1"/>
  <c r="U75" i="4" s="1"/>
  <c r="H75" i="4"/>
  <c r="I74" i="4"/>
  <c r="Y74" i="4" s="1"/>
  <c r="H74" i="4"/>
  <c r="I73" i="4"/>
  <c r="H73" i="4"/>
  <c r="I72" i="4"/>
  <c r="Y72" i="4" s="1"/>
  <c r="J95" i="3" s="1"/>
  <c r="H72" i="4"/>
  <c r="I71" i="4"/>
  <c r="Y71" i="4" s="1"/>
  <c r="J94" i="3" s="1"/>
  <c r="H71" i="4"/>
  <c r="I70" i="4"/>
  <c r="Y70" i="4" s="1"/>
  <c r="H70" i="4"/>
  <c r="I69" i="4"/>
  <c r="Y69" i="4" s="1"/>
  <c r="H69" i="4"/>
  <c r="I68" i="4"/>
  <c r="Y68" i="4" s="1"/>
  <c r="C30" i="4" s="1"/>
  <c r="H68" i="4"/>
  <c r="Q67" i="4"/>
  <c r="S67" i="4" s="1"/>
  <c r="I67" i="4"/>
  <c r="Y67" i="4" s="1"/>
  <c r="H67" i="4"/>
  <c r="I66" i="4"/>
  <c r="H66" i="4"/>
  <c r="I65" i="4"/>
  <c r="Q65" i="4" s="1"/>
  <c r="T65" i="4" s="1"/>
  <c r="H65" i="4"/>
  <c r="I64" i="4"/>
  <c r="Q64" i="4" s="1"/>
  <c r="P64" i="4" s="1"/>
  <c r="H64" i="4"/>
  <c r="B35" i="4"/>
  <c r="V35" i="4" s="1"/>
  <c r="L32" i="4"/>
  <c r="K32" i="4"/>
  <c r="L30" i="4"/>
  <c r="K30" i="4"/>
  <c r="L29" i="4"/>
  <c r="K29" i="4"/>
  <c r="C29" i="4"/>
  <c r="L28" i="4"/>
  <c r="K28" i="4"/>
  <c r="L27" i="4"/>
  <c r="K27" i="4"/>
  <c r="J27" i="4"/>
  <c r="L76" i="3" s="1"/>
  <c r="M183" i="2" s="1"/>
  <c r="I27" i="4"/>
  <c r="H27" i="4"/>
  <c r="G27" i="4"/>
  <c r="F27" i="4"/>
  <c r="E27" i="4"/>
  <c r="D27" i="4"/>
  <c r="C27" i="4"/>
  <c r="L26" i="4"/>
  <c r="K26" i="4"/>
  <c r="L25" i="4"/>
  <c r="K25" i="4"/>
  <c r="D25" i="4"/>
  <c r="C25" i="4"/>
  <c r="L24" i="4"/>
  <c r="K24" i="4"/>
  <c r="L23" i="4"/>
  <c r="K23" i="4"/>
  <c r="L22" i="4"/>
  <c r="K22" i="4"/>
  <c r="E13" i="4"/>
  <c r="I12" i="4"/>
  <c r="H12" i="4"/>
  <c r="D12" i="4"/>
  <c r="E12" i="4" s="1"/>
  <c r="C12" i="4"/>
  <c r="B12" i="4"/>
  <c r="I11" i="4"/>
  <c r="H11" i="4"/>
  <c r="D11" i="4"/>
  <c r="C11" i="4"/>
  <c r="F11" i="4" s="1"/>
  <c r="I10" i="4"/>
  <c r="I9" i="4"/>
  <c r="H9" i="4"/>
  <c r="D9" i="4"/>
  <c r="C9" i="4"/>
  <c r="J9" i="4" s="1"/>
  <c r="H8" i="4"/>
  <c r="C6" i="28"/>
  <c r="C9" i="26"/>
  <c r="C8" i="24"/>
  <c r="C9" i="22"/>
  <c r="C10" i="20"/>
  <c r="C4" i="20"/>
  <c r="C9" i="16"/>
  <c r="C3" i="16"/>
  <c r="C3" i="14"/>
  <c r="C5" i="12"/>
  <c r="C4" i="10"/>
  <c r="C6" i="8"/>
  <c r="C5" i="6"/>
  <c r="C10" i="28"/>
  <c r="C5" i="28"/>
  <c r="C8" i="26"/>
  <c r="C8" i="22"/>
  <c r="C9" i="20"/>
  <c r="C3" i="20"/>
  <c r="C7" i="18"/>
  <c r="C8" i="16"/>
  <c r="C8" i="14"/>
  <c r="C10" i="12"/>
  <c r="C4" i="12"/>
  <c r="C3" i="10"/>
  <c r="C10" i="8"/>
  <c r="C10" i="6"/>
  <c r="C9" i="28"/>
  <c r="C7" i="26"/>
  <c r="C7" i="24"/>
  <c r="C4" i="28"/>
  <c r="C6" i="26"/>
  <c r="C6" i="24"/>
  <c r="C6" i="22"/>
  <c r="C8" i="20"/>
  <c r="C5" i="18"/>
  <c r="C6" i="14"/>
  <c r="C9" i="12"/>
  <c r="C9" i="10"/>
  <c r="C9" i="8"/>
  <c r="C4" i="8"/>
  <c r="C8" i="28"/>
  <c r="C5" i="24"/>
  <c r="C5" i="22"/>
  <c r="C7" i="20"/>
  <c r="C10" i="18"/>
  <c r="C6" i="16"/>
  <c r="C8" i="12"/>
  <c r="C8" i="10"/>
  <c r="C8" i="8"/>
  <c r="C8" i="6"/>
  <c r="C3" i="6"/>
  <c r="C3" i="28"/>
  <c r="C5" i="26"/>
  <c r="C4" i="24"/>
  <c r="C4" i="22"/>
  <c r="C7" i="28"/>
  <c r="C10" i="26"/>
  <c r="C4" i="26"/>
  <c r="C10" i="24"/>
  <c r="C3" i="26"/>
  <c r="C9" i="24"/>
  <c r="C3" i="24"/>
  <c r="C7" i="22"/>
  <c r="C5" i="20"/>
  <c r="C6" i="12"/>
  <c r="C6" i="6"/>
  <c r="C3" i="22"/>
  <c r="C9" i="18"/>
  <c r="C10" i="16"/>
  <c r="C9" i="14"/>
  <c r="C7" i="8"/>
  <c r="C4" i="6"/>
  <c r="C7" i="16"/>
  <c r="C7" i="14"/>
  <c r="C3" i="12"/>
  <c r="C8" i="18"/>
  <c r="C5" i="16"/>
  <c r="C5" i="14"/>
  <c r="C10" i="10"/>
  <c r="C5" i="8"/>
  <c r="C6" i="18"/>
  <c r="C4" i="16"/>
  <c r="C7" i="10"/>
  <c r="C3" i="8"/>
  <c r="C4" i="18"/>
  <c r="C4" i="14"/>
  <c r="C6" i="10"/>
  <c r="C9" i="6"/>
  <c r="C6" i="20"/>
  <c r="C5" i="10"/>
  <c r="C10" i="22"/>
  <c r="C3" i="18"/>
  <c r="C10" i="14"/>
  <c r="C7" i="12"/>
  <c r="C7" i="6"/>
  <c r="P266" i="4" l="1"/>
  <c r="R266" i="4" s="1"/>
  <c r="T266" i="4"/>
  <c r="S266" i="4"/>
  <c r="I8" i="4"/>
  <c r="K8" i="4" s="1"/>
  <c r="K16" i="4" s="1"/>
  <c r="C14" i="4"/>
  <c r="F14" i="4" s="1"/>
  <c r="Q142" i="4"/>
  <c r="Y142" i="4"/>
  <c r="T305" i="4"/>
  <c r="U305" i="4"/>
  <c r="S305" i="4"/>
  <c r="P498" i="4"/>
  <c r="R498" i="4" s="1"/>
  <c r="U498" i="4"/>
  <c r="Q128" i="4"/>
  <c r="Y128" i="4"/>
  <c r="Q188" i="4"/>
  <c r="Y160" i="4"/>
  <c r="Q160" i="4"/>
  <c r="Q171" i="4"/>
  <c r="S171" i="4" s="1"/>
  <c r="Y171" i="4"/>
  <c r="C13" i="4"/>
  <c r="F13" i="4" s="1"/>
  <c r="P305" i="4"/>
  <c r="R305" i="4" s="1"/>
  <c r="S314" i="4"/>
  <c r="T314" i="4"/>
  <c r="U314" i="4"/>
  <c r="P314" i="4"/>
  <c r="R314" i="4" s="1"/>
  <c r="P372" i="4"/>
  <c r="R372" i="4" s="1"/>
  <c r="S372" i="4"/>
  <c r="Q71" i="4"/>
  <c r="S71" i="4" s="1"/>
  <c r="Y78" i="4"/>
  <c r="Q99" i="4"/>
  <c r="P99" i="4" s="1"/>
  <c r="R99" i="4" s="1"/>
  <c r="Y179" i="4"/>
  <c r="Y182" i="4"/>
  <c r="T372" i="4"/>
  <c r="Q168" i="4"/>
  <c r="U168" i="4" s="1"/>
  <c r="Y168" i="4"/>
  <c r="S312" i="4"/>
  <c r="T312" i="4"/>
  <c r="U372" i="4"/>
  <c r="P407" i="4"/>
  <c r="R407" i="4" s="1"/>
  <c r="S407" i="4"/>
  <c r="S487" i="4"/>
  <c r="P487" i="4"/>
  <c r="R487" i="4" s="1"/>
  <c r="M50" i="23"/>
  <c r="H10" i="4"/>
  <c r="C7" i="4"/>
  <c r="U460" i="4"/>
  <c r="T460" i="4"/>
  <c r="S479" i="4"/>
  <c r="T479" i="4"/>
  <c r="M28" i="17"/>
  <c r="D11" i="2" s="1"/>
  <c r="Q31" i="17"/>
  <c r="I38" i="17"/>
  <c r="Y131" i="4"/>
  <c r="M95" i="3" s="1"/>
  <c r="Q131" i="4"/>
  <c r="Q177" i="4"/>
  <c r="Y177" i="4"/>
  <c r="T368" i="4"/>
  <c r="P460" i="4"/>
  <c r="R460" i="4" s="1"/>
  <c r="Y232" i="4"/>
  <c r="Q232" i="4"/>
  <c r="P232" i="4" s="1"/>
  <c r="U412" i="4"/>
  <c r="S412" i="4"/>
  <c r="S473" i="4"/>
  <c r="T473" i="4"/>
  <c r="U473" i="4"/>
  <c r="P473" i="4"/>
  <c r="R473" i="4" s="1"/>
  <c r="Y221" i="4"/>
  <c r="Y224" i="4"/>
  <c r="E11" i="4"/>
  <c r="T103" i="4"/>
  <c r="D7" i="4"/>
  <c r="Q85" i="4"/>
  <c r="Y103" i="4"/>
  <c r="S145" i="4"/>
  <c r="Q163" i="4"/>
  <c r="S163" i="4" s="1"/>
  <c r="Q216" i="4"/>
  <c r="T216" i="4" s="1"/>
  <c r="Y219" i="4"/>
  <c r="P255" i="4"/>
  <c r="R255" i="4" s="1"/>
  <c r="P257" i="4"/>
  <c r="R257" i="4" s="1"/>
  <c r="P365" i="4"/>
  <c r="R365" i="4" s="1"/>
  <c r="U367" i="4"/>
  <c r="T378" i="4"/>
  <c r="P402" i="4"/>
  <c r="R402" i="4" s="1"/>
  <c r="P442" i="4"/>
  <c r="R442" i="4" s="1"/>
  <c r="S453" i="4"/>
  <c r="U457" i="4"/>
  <c r="P470" i="4"/>
  <c r="R470" i="4" s="1"/>
  <c r="I6" i="5"/>
  <c r="I38" i="5"/>
  <c r="K5" i="2" s="1"/>
  <c r="R69" i="5"/>
  <c r="Q25" i="9"/>
  <c r="H37" i="9" s="1"/>
  <c r="I31" i="9"/>
  <c r="M31" i="13"/>
  <c r="M28" i="25"/>
  <c r="D15" i="2" s="1"/>
  <c r="S457" i="4"/>
  <c r="Y80" i="4"/>
  <c r="D15" i="4"/>
  <c r="Q123" i="4"/>
  <c r="U123" i="4" s="1"/>
  <c r="Y145" i="4"/>
  <c r="N94" i="3"/>
  <c r="S161" i="4"/>
  <c r="Q172" i="4"/>
  <c r="P95" i="3"/>
  <c r="Q233" i="4"/>
  <c r="P233" i="4" s="1"/>
  <c r="S257" i="4"/>
  <c r="S292" i="4"/>
  <c r="P406" i="4"/>
  <c r="R406" i="4" s="1"/>
  <c r="P410" i="4"/>
  <c r="R410" i="4" s="1"/>
  <c r="S420" i="4"/>
  <c r="S450" i="4"/>
  <c r="S470" i="4"/>
  <c r="P472" i="4"/>
  <c r="R472" i="4" s="1"/>
  <c r="I26" i="25"/>
  <c r="J12" i="4"/>
  <c r="C8" i="4"/>
  <c r="J8" i="4" s="1"/>
  <c r="S83" i="4"/>
  <c r="Q117" i="4"/>
  <c r="S117" i="4" s="1"/>
  <c r="Q120" i="4"/>
  <c r="P120" i="4" s="1"/>
  <c r="Q141" i="4"/>
  <c r="U152" i="4"/>
  <c r="Q155" i="4"/>
  <c r="T161" i="4"/>
  <c r="Y167" i="4"/>
  <c r="Q176" i="4"/>
  <c r="S176" i="4" s="1"/>
  <c r="Y184" i="4"/>
  <c r="U257" i="4"/>
  <c r="T450" i="4"/>
  <c r="T470" i="4"/>
  <c r="U38" i="3"/>
  <c r="U55" i="3"/>
  <c r="V59" i="3"/>
  <c r="H76" i="3" s="1"/>
  <c r="R69" i="7"/>
  <c r="I6" i="17"/>
  <c r="I11" i="11"/>
  <c r="Y87" i="4"/>
  <c r="C15" i="4"/>
  <c r="F15" i="4" s="1"/>
  <c r="Y147" i="4"/>
  <c r="Y192" i="4"/>
  <c r="S227" i="4"/>
  <c r="Q241" i="4"/>
  <c r="U241" i="4" s="1"/>
  <c r="P285" i="4"/>
  <c r="R285" i="4" s="1"/>
  <c r="P457" i="4"/>
  <c r="R457" i="4" s="1"/>
  <c r="W13" i="3"/>
  <c r="W28" i="3"/>
  <c r="I33" i="5"/>
  <c r="I11" i="5"/>
  <c r="I62" i="25"/>
  <c r="H39" i="25" s="1"/>
  <c r="W7" i="6"/>
  <c r="W7" i="12"/>
  <c r="W10" i="14"/>
  <c r="W3" i="18"/>
  <c r="W10" i="22"/>
  <c r="W5" i="10"/>
  <c r="W6" i="20"/>
  <c r="W9" i="6"/>
  <c r="W6" i="10"/>
  <c r="W4" i="14"/>
  <c r="W4" i="18"/>
  <c r="W3" i="8"/>
  <c r="W7" i="10"/>
  <c r="W4" i="16"/>
  <c r="W6" i="18"/>
  <c r="W5" i="8"/>
  <c r="W10" i="10"/>
  <c r="W5" i="14"/>
  <c r="W5" i="16"/>
  <c r="W8" i="18"/>
  <c r="W3" i="12"/>
  <c r="W7" i="14"/>
  <c r="W7" i="16"/>
  <c r="W4" i="6"/>
  <c r="W7" i="8"/>
  <c r="W9" i="14"/>
  <c r="W10" i="16"/>
  <c r="W9" i="18"/>
  <c r="W3" i="22"/>
  <c r="W6" i="6"/>
  <c r="W6" i="12"/>
  <c r="W5" i="20"/>
  <c r="W7" i="22"/>
  <c r="W3" i="24"/>
  <c r="W9" i="24"/>
  <c r="W3" i="26"/>
  <c r="W10" i="24"/>
  <c r="W4" i="26"/>
  <c r="W10" i="26"/>
  <c r="W7" i="28"/>
  <c r="W4" i="22"/>
  <c r="W4" i="24"/>
  <c r="W5" i="26"/>
  <c r="W3" i="28"/>
  <c r="W3" i="6"/>
  <c r="W8" i="6"/>
  <c r="W8" i="8"/>
  <c r="W8" i="10"/>
  <c r="W8" i="12"/>
  <c r="W6" i="16"/>
  <c r="W10" i="18"/>
  <c r="W7" i="20"/>
  <c r="W5" i="22"/>
  <c r="W5" i="24"/>
  <c r="W8" i="28"/>
  <c r="W4" i="8"/>
  <c r="W9" i="8"/>
  <c r="W9" i="10"/>
  <c r="W9" i="12"/>
  <c r="W6" i="14"/>
  <c r="W5" i="18"/>
  <c r="W8" i="20"/>
  <c r="W6" i="22"/>
  <c r="W6" i="24"/>
  <c r="W6" i="26"/>
  <c r="W4" i="28"/>
  <c r="W7" i="24"/>
  <c r="W7" i="26"/>
  <c r="W9" i="28"/>
  <c r="W10" i="6"/>
  <c r="W10" i="8"/>
  <c r="W3" i="10"/>
  <c r="W4" i="12"/>
  <c r="W10" i="12"/>
  <c r="W8" i="14"/>
  <c r="W8" i="16"/>
  <c r="W7" i="18"/>
  <c r="W3" i="20"/>
  <c r="W9" i="20"/>
  <c r="W8" i="22"/>
  <c r="W8" i="26"/>
  <c r="W5" i="28"/>
  <c r="W10" i="28"/>
  <c r="W5" i="6"/>
  <c r="W6" i="8"/>
  <c r="W4" i="10"/>
  <c r="W5" i="12"/>
  <c r="W3" i="14"/>
  <c r="W3" i="16"/>
  <c r="W9" i="16"/>
  <c r="W4" i="20"/>
  <c r="W10" i="20"/>
  <c r="W9" i="22"/>
  <c r="W8" i="24"/>
  <c r="W9" i="26"/>
  <c r="W6" i="28"/>
  <c r="W12" i="28" s="1"/>
  <c r="P271" i="4"/>
  <c r="R271" i="4" s="1"/>
  <c r="U271" i="4"/>
  <c r="U321" i="4"/>
  <c r="P321" i="4"/>
  <c r="R321" i="4" s="1"/>
  <c r="U310" i="4"/>
  <c r="P310" i="4"/>
  <c r="R310" i="4" s="1"/>
  <c r="S310" i="4"/>
  <c r="U374" i="4"/>
  <c r="T374" i="4"/>
  <c r="P374" i="4"/>
  <c r="R374" i="4" s="1"/>
  <c r="P483" i="4"/>
  <c r="R483" i="4" s="1"/>
  <c r="T483" i="4"/>
  <c r="Y93" i="4"/>
  <c r="Q93" i="4"/>
  <c r="P93" i="4" s="1"/>
  <c r="R93" i="4" s="1"/>
  <c r="Y124" i="4"/>
  <c r="Q124" i="4"/>
  <c r="Q153" i="4"/>
  <c r="Y153" i="4"/>
  <c r="Q169" i="4"/>
  <c r="Y169" i="4"/>
  <c r="Q174" i="4"/>
  <c r="P174" i="4" s="1"/>
  <c r="Y174" i="4"/>
  <c r="Q190" i="4"/>
  <c r="P190" i="4" s="1"/>
  <c r="Y190" i="4"/>
  <c r="Y197" i="4"/>
  <c r="Q197" i="4"/>
  <c r="S208" i="4"/>
  <c r="T208" i="4"/>
  <c r="Q211" i="4"/>
  <c r="T211" i="4" s="1"/>
  <c r="Y211" i="4"/>
  <c r="T283" i="4"/>
  <c r="P307" i="4"/>
  <c r="R307" i="4" s="1"/>
  <c r="T307" i="4"/>
  <c r="P347" i="4"/>
  <c r="R347" i="4" s="1"/>
  <c r="U347" i="4"/>
  <c r="T347" i="4"/>
  <c r="S380" i="4"/>
  <c r="P380" i="4"/>
  <c r="R380" i="4" s="1"/>
  <c r="T380" i="4"/>
  <c r="U380" i="4"/>
  <c r="E8" i="4"/>
  <c r="Y66" i="4"/>
  <c r="Q66" i="4"/>
  <c r="E15" i="4"/>
  <c r="T107" i="4"/>
  <c r="U107" i="4"/>
  <c r="S107" i="4"/>
  <c r="Q148" i="4"/>
  <c r="P148" i="4" s="1"/>
  <c r="Y151" i="4"/>
  <c r="S179" i="4"/>
  <c r="Y205" i="4"/>
  <c r="Q205" i="4"/>
  <c r="U208" i="4"/>
  <c r="P298" i="4"/>
  <c r="R298" i="4" s="1"/>
  <c r="T298" i="4"/>
  <c r="S298" i="4"/>
  <c r="P304" i="4"/>
  <c r="R304" i="4" s="1"/>
  <c r="P309" i="4"/>
  <c r="R309" i="4" s="1"/>
  <c r="S309" i="4"/>
  <c r="T311" i="4"/>
  <c r="S311" i="4"/>
  <c r="T343" i="4"/>
  <c r="U343" i="4"/>
  <c r="S343" i="4"/>
  <c r="S345" i="4"/>
  <c r="T345" i="4"/>
  <c r="S376" i="4"/>
  <c r="P376" i="4"/>
  <c r="R376" i="4" s="1"/>
  <c r="U376" i="4"/>
  <c r="T443" i="4"/>
  <c r="S443" i="4"/>
  <c r="T454" i="4"/>
  <c r="P454" i="4"/>
  <c r="R454" i="4" s="1"/>
  <c r="S488" i="4"/>
  <c r="P488" i="4"/>
  <c r="R488" i="4" s="1"/>
  <c r="U499" i="4"/>
  <c r="P499" i="4"/>
  <c r="R499" i="4" s="1"/>
  <c r="T64" i="4"/>
  <c r="U64" i="4"/>
  <c r="P81" i="4"/>
  <c r="U81" i="4"/>
  <c r="S81" i="4"/>
  <c r="Y91" i="4"/>
  <c r="Q91" i="4"/>
  <c r="Y122" i="4"/>
  <c r="Q134" i="4"/>
  <c r="P134" i="4" s="1"/>
  <c r="Y134" i="4"/>
  <c r="S137" i="4"/>
  <c r="P137" i="4"/>
  <c r="Q218" i="4"/>
  <c r="Y218" i="4"/>
  <c r="P320" i="4"/>
  <c r="R320" i="4" s="1"/>
  <c r="U320" i="4"/>
  <c r="U341" i="4"/>
  <c r="U345" i="4"/>
  <c r="P404" i="4"/>
  <c r="R404" i="4" s="1"/>
  <c r="U404" i="4"/>
  <c r="T404" i="4"/>
  <c r="P482" i="4"/>
  <c r="R482" i="4" s="1"/>
  <c r="S482" i="4"/>
  <c r="U115" i="4"/>
  <c r="P115" i="4"/>
  <c r="U188" i="4"/>
  <c r="P188" i="4"/>
  <c r="Y195" i="4"/>
  <c r="Q195" i="4"/>
  <c r="T362" i="4"/>
  <c r="S362" i="4"/>
  <c r="U362" i="4"/>
  <c r="P362" i="4"/>
  <c r="R362" i="4" s="1"/>
  <c r="Q79" i="4"/>
  <c r="P79" i="4" s="1"/>
  <c r="R79" i="4" s="1"/>
  <c r="Y79" i="4"/>
  <c r="S120" i="4"/>
  <c r="U120" i="4"/>
  <c r="Y64" i="4"/>
  <c r="C22" i="4" s="1"/>
  <c r="Q69" i="4"/>
  <c r="U69" i="4" s="1"/>
  <c r="Y81" i="4"/>
  <c r="K94" i="3" s="1"/>
  <c r="T83" i="4"/>
  <c r="T115" i="4"/>
  <c r="T120" i="4"/>
  <c r="U137" i="4"/>
  <c r="S168" i="4"/>
  <c r="T168" i="4"/>
  <c r="Y203" i="4"/>
  <c r="Q203" i="4"/>
  <c r="Y213" i="4"/>
  <c r="Q213" i="4"/>
  <c r="Q240" i="4"/>
  <c r="Q243" i="4"/>
  <c r="P251" i="4"/>
  <c r="R251" i="4" s="1"/>
  <c r="T251" i="4"/>
  <c r="T289" i="4"/>
  <c r="U289" i="4"/>
  <c r="P289" i="4"/>
  <c r="R289" i="4" s="1"/>
  <c r="U313" i="4"/>
  <c r="P313" i="4"/>
  <c r="R313" i="4" s="1"/>
  <c r="U348" i="4"/>
  <c r="S348" i="4"/>
  <c r="T377" i="4"/>
  <c r="S377" i="4"/>
  <c r="P377" i="4"/>
  <c r="R377" i="4" s="1"/>
  <c r="T397" i="4"/>
  <c r="P397" i="4"/>
  <c r="R397" i="4" s="1"/>
  <c r="S397" i="4"/>
  <c r="T411" i="4"/>
  <c r="Q118" i="4"/>
  <c r="Y118" i="4"/>
  <c r="U129" i="4"/>
  <c r="P129" i="4"/>
  <c r="T129" i="4"/>
  <c r="Q158" i="4"/>
  <c r="P158" i="4" s="1"/>
  <c r="Y158" i="4"/>
  <c r="U180" i="4"/>
  <c r="P180" i="4"/>
  <c r="S259" i="4"/>
  <c r="U259" i="4"/>
  <c r="T259" i="4"/>
  <c r="T267" i="4"/>
  <c r="U267" i="4"/>
  <c r="S273" i="4"/>
  <c r="T273" i="4"/>
  <c r="P273" i="4"/>
  <c r="R273" i="4" s="1"/>
  <c r="U273" i="4"/>
  <c r="T308" i="4"/>
  <c r="S308" i="4"/>
  <c r="P308" i="4"/>
  <c r="R308" i="4" s="1"/>
  <c r="T316" i="4"/>
  <c r="U316" i="4"/>
  <c r="S316" i="4"/>
  <c r="U340" i="4"/>
  <c r="T340" i="4"/>
  <c r="P340" i="4"/>
  <c r="R340" i="4" s="1"/>
  <c r="S344" i="4"/>
  <c r="T344" i="4"/>
  <c r="P346" i="4"/>
  <c r="R346" i="4" s="1"/>
  <c r="T346" i="4"/>
  <c r="S346" i="4"/>
  <c r="U346" i="4"/>
  <c r="T353" i="4"/>
  <c r="S353" i="4"/>
  <c r="T375" i="4"/>
  <c r="P375" i="4"/>
  <c r="R375" i="4" s="1"/>
  <c r="U434" i="4"/>
  <c r="P434" i="4"/>
  <c r="R434" i="4" s="1"/>
  <c r="T434" i="4"/>
  <c r="S436" i="4"/>
  <c r="U436" i="4"/>
  <c r="T436" i="4"/>
  <c r="P436" i="4"/>
  <c r="R436" i="4" s="1"/>
  <c r="P438" i="4"/>
  <c r="R438" i="4" s="1"/>
  <c r="S438" i="4"/>
  <c r="U444" i="4"/>
  <c r="T444" i="4"/>
  <c r="P444" i="4"/>
  <c r="R444" i="4" s="1"/>
  <c r="T485" i="4"/>
  <c r="S485" i="4"/>
  <c r="P485" i="4"/>
  <c r="R485" i="4" s="1"/>
  <c r="U485" i="4"/>
  <c r="P132" i="4"/>
  <c r="U132" i="4"/>
  <c r="T176" i="4"/>
  <c r="S184" i="4"/>
  <c r="U184" i="4"/>
  <c r="Y196" i="4"/>
  <c r="Q196" i="4"/>
  <c r="Q200" i="4"/>
  <c r="Y200" i="4"/>
  <c r="Y210" i="4"/>
  <c r="D10" i="4"/>
  <c r="K10" i="4" s="1"/>
  <c r="E10" i="4"/>
  <c r="P267" i="4"/>
  <c r="R267" i="4" s="1"/>
  <c r="S291" i="4"/>
  <c r="T291" i="4"/>
  <c r="U291" i="4"/>
  <c r="P291" i="4"/>
  <c r="R291" i="4" s="1"/>
  <c r="T299" i="4"/>
  <c r="U299" i="4"/>
  <c r="P301" i="4"/>
  <c r="R301" i="4" s="1"/>
  <c r="T301" i="4"/>
  <c r="U308" i="4"/>
  <c r="T313" i="4"/>
  <c r="S332" i="4"/>
  <c r="U332" i="4"/>
  <c r="S340" i="4"/>
  <c r="U344" i="4"/>
  <c r="S369" i="4"/>
  <c r="T369" i="4"/>
  <c r="U369" i="4"/>
  <c r="P369" i="4"/>
  <c r="R369" i="4" s="1"/>
  <c r="U375" i="4"/>
  <c r="S444" i="4"/>
  <c r="P463" i="4"/>
  <c r="R463" i="4" s="1"/>
  <c r="U463" i="4"/>
  <c r="S468" i="4"/>
  <c r="T468" i="4"/>
  <c r="K9" i="4"/>
  <c r="T67" i="4"/>
  <c r="U80" i="4"/>
  <c r="S80" i="4"/>
  <c r="Y101" i="4"/>
  <c r="L94" i="3" s="1"/>
  <c r="K12" i="4"/>
  <c r="Y65" i="4"/>
  <c r="C23" i="4" s="1"/>
  <c r="U67" i="4"/>
  <c r="T80" i="4"/>
  <c r="Q82" i="4"/>
  <c r="Y95" i="4"/>
  <c r="Q127" i="4"/>
  <c r="P127" i="4" s="1"/>
  <c r="Y127" i="4"/>
  <c r="U176" i="4"/>
  <c r="Q187" i="4"/>
  <c r="Y187" i="4"/>
  <c r="O96" i="3" s="1"/>
  <c r="Q193" i="4"/>
  <c r="U193" i="4" s="1"/>
  <c r="Y193" i="4"/>
  <c r="Y204" i="4"/>
  <c r="Q204" i="4"/>
  <c r="Q228" i="4"/>
  <c r="Y228" i="4"/>
  <c r="S267" i="4"/>
  <c r="U337" i="4"/>
  <c r="T337" i="4"/>
  <c r="T466" i="4"/>
  <c r="U466" i="4"/>
  <c r="I16" i="4"/>
  <c r="K11" i="4"/>
  <c r="Y77" i="4"/>
  <c r="Q116" i="4"/>
  <c r="U116" i="4" s="1"/>
  <c r="P145" i="4"/>
  <c r="Q149" i="4"/>
  <c r="Q156" i="4"/>
  <c r="P161" i="4"/>
  <c r="Q165" i="4"/>
  <c r="P165" i="4" s="1"/>
  <c r="Q181" i="4"/>
  <c r="Y198" i="4"/>
  <c r="Y201" i="4"/>
  <c r="U297" i="4"/>
  <c r="P297" i="4"/>
  <c r="R297" i="4" s="1"/>
  <c r="T342" i="4"/>
  <c r="S378" i="4"/>
  <c r="T402" i="4"/>
  <c r="U402" i="4"/>
  <c r="V40" i="3"/>
  <c r="U52" i="3"/>
  <c r="V56" i="3"/>
  <c r="D14" i="4"/>
  <c r="E14" i="4" s="1"/>
  <c r="T145" i="4"/>
  <c r="U265" i="4"/>
  <c r="T265" i="4"/>
  <c r="U322" i="4"/>
  <c r="W16" i="3"/>
  <c r="W31" i="3"/>
  <c r="B75" i="3"/>
  <c r="T418" i="4"/>
  <c r="U418" i="4"/>
  <c r="U433" i="4"/>
  <c r="S433" i="4"/>
  <c r="P315" i="4"/>
  <c r="R315" i="4" s="1"/>
  <c r="T315" i="4"/>
  <c r="S364" i="4"/>
  <c r="P364" i="4"/>
  <c r="R364" i="4" s="1"/>
  <c r="U364" i="4"/>
  <c r="P451" i="4"/>
  <c r="R451" i="4" s="1"/>
  <c r="S451" i="4"/>
  <c r="U366" i="4"/>
  <c r="P366" i="4"/>
  <c r="R366" i="4" s="1"/>
  <c r="U398" i="4"/>
  <c r="S398" i="4"/>
  <c r="P479" i="4"/>
  <c r="R479" i="4" s="1"/>
  <c r="U479" i="4"/>
  <c r="Y185" i="4"/>
  <c r="P32" i="3"/>
  <c r="Q225" i="4"/>
  <c r="P225" i="4" s="1"/>
  <c r="T306" i="4"/>
  <c r="S315" i="4"/>
  <c r="P322" i="4"/>
  <c r="R322" i="4" s="1"/>
  <c r="T330" i="4"/>
  <c r="S330" i="4"/>
  <c r="S336" i="4"/>
  <c r="P336" i="4"/>
  <c r="R336" i="4" s="1"/>
  <c r="S342" i="4"/>
  <c r="T364" i="4"/>
  <c r="T366" i="4"/>
  <c r="P378" i="4"/>
  <c r="R378" i="4" s="1"/>
  <c r="P398" i="4"/>
  <c r="R398" i="4" s="1"/>
  <c r="T412" i="4"/>
  <c r="P412" i="4"/>
  <c r="R412" i="4" s="1"/>
  <c r="S429" i="4"/>
  <c r="P431" i="4"/>
  <c r="R431" i="4" s="1"/>
  <c r="U442" i="4"/>
  <c r="S442" i="4"/>
  <c r="T451" i="4"/>
  <c r="I21" i="9"/>
  <c r="M28" i="11"/>
  <c r="D8" i="2" s="1"/>
  <c r="I38" i="11"/>
  <c r="H53" i="11"/>
  <c r="I62" i="11" s="1"/>
  <c r="H39" i="11" s="1"/>
  <c r="M69" i="23"/>
  <c r="I62" i="5"/>
  <c r="H39" i="5" s="1"/>
  <c r="I26" i="11"/>
  <c r="I33" i="17"/>
  <c r="C11" i="2" s="1"/>
  <c r="I26" i="17"/>
  <c r="I39" i="5"/>
  <c r="O97" i="3"/>
  <c r="F12" i="2"/>
  <c r="I16" i="5"/>
  <c r="I16" i="13"/>
  <c r="F53" i="15"/>
  <c r="H53" i="15" s="1"/>
  <c r="M53" i="9"/>
  <c r="M53" i="25"/>
  <c r="U49" i="3"/>
  <c r="I26" i="5"/>
  <c r="R25" i="13"/>
  <c r="I37" i="13" s="1"/>
  <c r="I11" i="13"/>
  <c r="I16" i="15"/>
  <c r="I21" i="23"/>
  <c r="I38" i="25"/>
  <c r="K15" i="2" s="1"/>
  <c r="I33" i="27"/>
  <c r="C16" i="2" s="1"/>
  <c r="I39" i="27"/>
  <c r="Q25" i="27"/>
  <c r="H37" i="27" s="1"/>
  <c r="I16" i="27"/>
  <c r="I15" i="23"/>
  <c r="I62" i="23"/>
  <c r="H39" i="23" s="1"/>
  <c r="I33" i="25"/>
  <c r="C15" i="2" s="1"/>
  <c r="M28" i="7"/>
  <c r="D6" i="2" s="1"/>
  <c r="I6" i="13"/>
  <c r="I62" i="13"/>
  <c r="H39" i="13" s="1"/>
  <c r="I16" i="17"/>
  <c r="I6" i="23"/>
  <c r="I6" i="27"/>
  <c r="U58" i="3"/>
  <c r="I21" i="11"/>
  <c r="I33" i="15"/>
  <c r="C10" i="2" s="1"/>
  <c r="M28" i="19"/>
  <c r="D12" i="2" s="1"/>
  <c r="I26" i="21"/>
  <c r="I21" i="25"/>
  <c r="U37" i="3"/>
  <c r="M53" i="19"/>
  <c r="U57" i="3"/>
  <c r="I33" i="7"/>
  <c r="C6" i="2" s="1"/>
  <c r="I11" i="9"/>
  <c r="I33" i="13"/>
  <c r="C9" i="2" s="1"/>
  <c r="I21" i="13"/>
  <c r="I26" i="13"/>
  <c r="I11" i="17"/>
  <c r="I21" i="17"/>
  <c r="I25" i="21"/>
  <c r="Q25" i="23"/>
  <c r="M28" i="27"/>
  <c r="D16" i="2" s="1"/>
  <c r="I21" i="27"/>
  <c r="I62" i="27"/>
  <c r="H39" i="27" s="1"/>
  <c r="I16" i="7"/>
  <c r="I62" i="7"/>
  <c r="H39" i="7" s="1"/>
  <c r="I39" i="7"/>
  <c r="I33" i="9"/>
  <c r="C7" i="2" s="1"/>
  <c r="I6" i="11"/>
  <c r="I39" i="13"/>
  <c r="I6" i="15"/>
  <c r="I33" i="19"/>
  <c r="H54" i="21"/>
  <c r="M28" i="23"/>
  <c r="D14" i="2" s="1"/>
  <c r="Q25" i="25"/>
  <c r="H37" i="25" s="1"/>
  <c r="I16" i="25"/>
  <c r="I11" i="27"/>
  <c r="K84" i="3"/>
  <c r="J84" i="3"/>
  <c r="D24" i="4"/>
  <c r="C24" i="4"/>
  <c r="J156" i="2"/>
  <c r="M156" i="2" s="1"/>
  <c r="P156" i="2" s="1"/>
  <c r="E85" i="2"/>
  <c r="P106" i="4"/>
  <c r="U106" i="4"/>
  <c r="S106" i="4"/>
  <c r="T106" i="4"/>
  <c r="E78" i="2"/>
  <c r="J107" i="2"/>
  <c r="M107" i="2" s="1"/>
  <c r="P107" i="2" s="1"/>
  <c r="J139" i="2"/>
  <c r="M139" i="2" s="1"/>
  <c r="P139" i="2" s="1"/>
  <c r="I82" i="2"/>
  <c r="J150" i="2"/>
  <c r="M150" i="2" s="1"/>
  <c r="P150" i="2" s="1"/>
  <c r="F84" i="2"/>
  <c r="K83" i="3"/>
  <c r="J83" i="3"/>
  <c r="D23" i="4"/>
  <c r="P69" i="4"/>
  <c r="U77" i="4"/>
  <c r="T77" i="4"/>
  <c r="P82" i="4"/>
  <c r="U82" i="4"/>
  <c r="T96" i="4"/>
  <c r="S96" i="4"/>
  <c r="Y100" i="4"/>
  <c r="Q100" i="4"/>
  <c r="Q126" i="4"/>
  <c r="Y126" i="4"/>
  <c r="S153" i="4"/>
  <c r="P153" i="4"/>
  <c r="U153" i="4"/>
  <c r="T153" i="4"/>
  <c r="J140" i="2"/>
  <c r="M140" i="2" s="1"/>
  <c r="P140" i="2" s="1"/>
  <c r="J82" i="2"/>
  <c r="P77" i="4"/>
  <c r="S82" i="4"/>
  <c r="Q86" i="4"/>
  <c r="U92" i="4"/>
  <c r="S92" i="4"/>
  <c r="U96" i="4"/>
  <c r="U105" i="4"/>
  <c r="S105" i="4"/>
  <c r="Y106" i="4"/>
  <c r="Q143" i="4"/>
  <c r="Y143" i="4"/>
  <c r="P147" i="4"/>
  <c r="U147" i="4"/>
  <c r="T147" i="4"/>
  <c r="S147" i="4"/>
  <c r="H16" i="4"/>
  <c r="F9" i="4"/>
  <c r="J11" i="4"/>
  <c r="J121" i="2"/>
  <c r="M121" i="2" s="1"/>
  <c r="P121" i="2" s="1"/>
  <c r="E80" i="2"/>
  <c r="J141" i="2"/>
  <c r="M141" i="2" s="1"/>
  <c r="P141" i="2" s="1"/>
  <c r="K82" i="2"/>
  <c r="P67" i="4"/>
  <c r="S69" i="4"/>
  <c r="Y76" i="4"/>
  <c r="Q76" i="4"/>
  <c r="T82" i="4"/>
  <c r="P91" i="4"/>
  <c r="T91" i="4"/>
  <c r="S91" i="4"/>
  <c r="T92" i="4"/>
  <c r="S95" i="4"/>
  <c r="T95" i="4"/>
  <c r="T102" i="4"/>
  <c r="U102" i="4"/>
  <c r="P105" i="4"/>
  <c r="Y108" i="4"/>
  <c r="Q108" i="4"/>
  <c r="Y110" i="4"/>
  <c r="Q110" i="4"/>
  <c r="Y112" i="4"/>
  <c r="Q112" i="4"/>
  <c r="Y119" i="4"/>
  <c r="Q119" i="4"/>
  <c r="U141" i="4"/>
  <c r="S141" i="4"/>
  <c r="T141" i="4"/>
  <c r="P141" i="4"/>
  <c r="F80" i="2"/>
  <c r="J122" i="2"/>
  <c r="M122" i="2" s="1"/>
  <c r="P122" i="2" s="1"/>
  <c r="P66" i="4"/>
  <c r="T66" i="4"/>
  <c r="Q68" i="4"/>
  <c r="T69" i="4"/>
  <c r="Q72" i="4"/>
  <c r="S77" i="4"/>
  <c r="P80" i="4"/>
  <c r="R80" i="4" s="1"/>
  <c r="Q88" i="4"/>
  <c r="U95" i="4"/>
  <c r="P102" i="4"/>
  <c r="T105" i="4"/>
  <c r="U117" i="4"/>
  <c r="T117" i="4"/>
  <c r="P117" i="4"/>
  <c r="U127" i="4"/>
  <c r="F8" i="4"/>
  <c r="J10" i="4"/>
  <c r="J16" i="4" s="1"/>
  <c r="F12" i="4"/>
  <c r="G12" i="4" s="1"/>
  <c r="E9" i="4"/>
  <c r="J135" i="2"/>
  <c r="M135" i="2" s="1"/>
  <c r="P135" i="2" s="1"/>
  <c r="E82" i="2"/>
  <c r="P65" i="4"/>
  <c r="P71" i="4"/>
  <c r="P75" i="4"/>
  <c r="S79" i="4"/>
  <c r="U79" i="4"/>
  <c r="U85" i="4"/>
  <c r="P85" i="4"/>
  <c r="T85" i="4"/>
  <c r="S85" i="4"/>
  <c r="P90" i="4"/>
  <c r="U90" i="4"/>
  <c r="T90" i="4"/>
  <c r="U91" i="4"/>
  <c r="T94" i="4"/>
  <c r="S94" i="4"/>
  <c r="U99" i="4"/>
  <c r="S99" i="4"/>
  <c r="U104" i="4"/>
  <c r="S104" i="4"/>
  <c r="Y105" i="4"/>
  <c r="Q121" i="4"/>
  <c r="Y121" i="4"/>
  <c r="Y133" i="4"/>
  <c r="Q133" i="4"/>
  <c r="U94" i="4"/>
  <c r="P98" i="4"/>
  <c r="T98" i="4"/>
  <c r="S98" i="4"/>
  <c r="T99" i="4"/>
  <c r="U101" i="4"/>
  <c r="T101" i="4"/>
  <c r="Y102" i="4"/>
  <c r="E23" i="4" s="1"/>
  <c r="P104" i="4"/>
  <c r="Q150" i="4"/>
  <c r="Y150" i="4"/>
  <c r="G82" i="2"/>
  <c r="J137" i="2"/>
  <c r="M137" i="2" s="1"/>
  <c r="P137" i="2" s="1"/>
  <c r="S65" i="4"/>
  <c r="T71" i="4"/>
  <c r="Q74" i="4"/>
  <c r="S75" i="4"/>
  <c r="T78" i="4"/>
  <c r="U78" i="4"/>
  <c r="S87" i="4"/>
  <c r="P87" i="4"/>
  <c r="U87" i="4"/>
  <c r="T87" i="4"/>
  <c r="U93" i="4"/>
  <c r="S93" i="4"/>
  <c r="Y109" i="4"/>
  <c r="Q109" i="4"/>
  <c r="Y111" i="4"/>
  <c r="Q111" i="4"/>
  <c r="T113" i="4"/>
  <c r="P113" i="4"/>
  <c r="T116" i="4"/>
  <c r="U118" i="4"/>
  <c r="T118" i="4"/>
  <c r="S118" i="4"/>
  <c r="P118" i="4"/>
  <c r="Y125" i="4"/>
  <c r="Q125" i="4"/>
  <c r="E77" i="2"/>
  <c r="J100" i="2"/>
  <c r="M100" i="2" s="1"/>
  <c r="P100" i="2" s="1"/>
  <c r="H82" i="2"/>
  <c r="J138" i="2"/>
  <c r="M138" i="2" s="1"/>
  <c r="P138" i="2" s="1"/>
  <c r="J149" i="2"/>
  <c r="M149" i="2" s="1"/>
  <c r="P149" i="2" s="1"/>
  <c r="E84" i="2"/>
  <c r="S64" i="4"/>
  <c r="U65" i="4"/>
  <c r="Q70" i="4"/>
  <c r="U71" i="4"/>
  <c r="Q73" i="4"/>
  <c r="Y73" i="4"/>
  <c r="T75" i="4"/>
  <c r="P78" i="4"/>
  <c r="T79" i="4"/>
  <c r="Q84" i="4"/>
  <c r="P89" i="4"/>
  <c r="U89" i="4"/>
  <c r="T89" i="4"/>
  <c r="Y90" i="4"/>
  <c r="D30" i="4" s="1"/>
  <c r="T93" i="4"/>
  <c r="P96" i="4"/>
  <c r="U98" i="4"/>
  <c r="S101" i="4"/>
  <c r="S103" i="4"/>
  <c r="U103" i="4"/>
  <c r="Y104" i="4"/>
  <c r="L95" i="3" s="1"/>
  <c r="S113" i="4"/>
  <c r="S116" i="4"/>
  <c r="P122" i="4"/>
  <c r="R122" i="4" s="1"/>
  <c r="U122" i="4"/>
  <c r="T122" i="4"/>
  <c r="T136" i="4"/>
  <c r="P139" i="4"/>
  <c r="U139" i="4"/>
  <c r="T139" i="4"/>
  <c r="U142" i="4"/>
  <c r="T142" i="4"/>
  <c r="S152" i="4"/>
  <c r="P152" i="4"/>
  <c r="Q175" i="4"/>
  <c r="Y175" i="4"/>
  <c r="P193" i="4"/>
  <c r="T193" i="4"/>
  <c r="S193" i="4"/>
  <c r="Q199" i="4"/>
  <c r="Y199" i="4"/>
  <c r="N66" i="27"/>
  <c r="N68" i="25"/>
  <c r="N64" i="23"/>
  <c r="N52" i="23"/>
  <c r="O52" i="23" s="1"/>
  <c r="N51" i="23"/>
  <c r="O51" i="23" s="1"/>
  <c r="N52" i="25"/>
  <c r="O52" i="25" s="1"/>
  <c r="N50" i="25"/>
  <c r="O50" i="25" s="1"/>
  <c r="N67" i="23"/>
  <c r="N48" i="23"/>
  <c r="N67" i="21"/>
  <c r="N52" i="21"/>
  <c r="O52" i="21" s="1"/>
  <c r="N64" i="27"/>
  <c r="N49" i="27"/>
  <c r="O49" i="27" s="1"/>
  <c r="N66" i="25"/>
  <c r="N50" i="21"/>
  <c r="O50" i="21" s="1"/>
  <c r="N67" i="27"/>
  <c r="N65" i="23"/>
  <c r="N50" i="23"/>
  <c r="O50" i="23" s="1"/>
  <c r="N65" i="21"/>
  <c r="N51" i="27"/>
  <c r="O51" i="27" s="1"/>
  <c r="N64" i="25"/>
  <c r="N49" i="25"/>
  <c r="O49" i="25" s="1"/>
  <c r="N68" i="23"/>
  <c r="N68" i="21"/>
  <c r="N65" i="27"/>
  <c r="N48" i="27"/>
  <c r="N67" i="25"/>
  <c r="N68" i="27"/>
  <c r="N51" i="25"/>
  <c r="O51" i="25" s="1"/>
  <c r="N66" i="23"/>
  <c r="N52" i="27"/>
  <c r="O52" i="27" s="1"/>
  <c r="N50" i="27"/>
  <c r="O50" i="27" s="1"/>
  <c r="N65" i="25"/>
  <c r="N48" i="25"/>
  <c r="N51" i="21"/>
  <c r="O51" i="21" s="1"/>
  <c r="N65" i="19"/>
  <c r="N68" i="17"/>
  <c r="N49" i="17"/>
  <c r="O49" i="17" s="1"/>
  <c r="N66" i="15"/>
  <c r="N51" i="19"/>
  <c r="O51" i="19" s="1"/>
  <c r="N52" i="15"/>
  <c r="O52" i="15" s="1"/>
  <c r="N50" i="15"/>
  <c r="O50" i="15" s="1"/>
  <c r="N65" i="13"/>
  <c r="N48" i="13"/>
  <c r="N67" i="11"/>
  <c r="N49" i="23"/>
  <c r="O49" i="23" s="1"/>
  <c r="N49" i="21"/>
  <c r="O49" i="21" s="1"/>
  <c r="N68" i="19"/>
  <c r="N66" i="19"/>
  <c r="N48" i="17"/>
  <c r="N67" i="15"/>
  <c r="N52" i="13"/>
  <c r="O52" i="13" s="1"/>
  <c r="N50" i="13"/>
  <c r="O50" i="13" s="1"/>
  <c r="N65" i="11"/>
  <c r="N48" i="21"/>
  <c r="N64" i="21"/>
  <c r="N67" i="19"/>
  <c r="N49" i="19"/>
  <c r="O49" i="19" s="1"/>
  <c r="N65" i="17"/>
  <c r="N50" i="19"/>
  <c r="O50" i="19" s="1"/>
  <c r="N68" i="11"/>
  <c r="N66" i="11"/>
  <c r="N48" i="9"/>
  <c r="N48" i="7"/>
  <c r="N67" i="17"/>
  <c r="N64" i="17"/>
  <c r="N64" i="15"/>
  <c r="N66" i="13"/>
  <c r="N64" i="13"/>
  <c r="N49" i="11"/>
  <c r="O49" i="11" s="1"/>
  <c r="N52" i="9"/>
  <c r="O52" i="9" s="1"/>
  <c r="N50" i="9"/>
  <c r="O50" i="9" s="1"/>
  <c r="N52" i="7"/>
  <c r="O52" i="7" s="1"/>
  <c r="N52" i="19"/>
  <c r="O52" i="19" s="1"/>
  <c r="N48" i="19"/>
  <c r="N51" i="17"/>
  <c r="O51" i="17" s="1"/>
  <c r="N68" i="15"/>
  <c r="N68" i="13"/>
  <c r="N49" i="15"/>
  <c r="O49" i="15" s="1"/>
  <c r="N51" i="11"/>
  <c r="O51" i="11" s="1"/>
  <c r="N67" i="9"/>
  <c r="N66" i="17"/>
  <c r="N50" i="17"/>
  <c r="O50" i="17" s="1"/>
  <c r="N48" i="11"/>
  <c r="N65" i="15"/>
  <c r="N64" i="19"/>
  <c r="N52" i="17"/>
  <c r="O52" i="17" s="1"/>
  <c r="N48" i="15"/>
  <c r="N51" i="13"/>
  <c r="O51" i="13" s="1"/>
  <c r="N52" i="11"/>
  <c r="O52" i="11" s="1"/>
  <c r="N49" i="9"/>
  <c r="O49" i="9" s="1"/>
  <c r="N50" i="5"/>
  <c r="O50" i="5" s="1"/>
  <c r="N49" i="13"/>
  <c r="O49" i="13" s="1"/>
  <c r="N64" i="9"/>
  <c r="N50" i="7"/>
  <c r="O50" i="7" s="1"/>
  <c r="N52" i="5"/>
  <c r="O52" i="5" s="1"/>
  <c r="N66" i="9"/>
  <c r="N68" i="9"/>
  <c r="N49" i="5"/>
  <c r="O49" i="5" s="1"/>
  <c r="N64" i="11"/>
  <c r="N51" i="9"/>
  <c r="O51" i="9" s="1"/>
  <c r="N49" i="7"/>
  <c r="N67" i="13"/>
  <c r="N50" i="11"/>
  <c r="N51" i="5"/>
  <c r="O51" i="5" s="1"/>
  <c r="N65" i="9"/>
  <c r="N48" i="5"/>
  <c r="N51" i="15"/>
  <c r="O51" i="15" s="1"/>
  <c r="N51" i="7"/>
  <c r="O51" i="7" s="1"/>
  <c r="K86" i="3"/>
  <c r="J86" i="3"/>
  <c r="O86" i="3"/>
  <c r="N86" i="3"/>
  <c r="M86" i="3"/>
  <c r="L86" i="3"/>
  <c r="Q114" i="4"/>
  <c r="T135" i="4"/>
  <c r="S135" i="4"/>
  <c r="P135" i="4"/>
  <c r="U140" i="4"/>
  <c r="T156" i="4"/>
  <c r="S156" i="4"/>
  <c r="P162" i="4"/>
  <c r="U162" i="4"/>
  <c r="T167" i="4"/>
  <c r="S167" i="4"/>
  <c r="P167" i="4"/>
  <c r="P170" i="4"/>
  <c r="U170" i="4"/>
  <c r="P177" i="4"/>
  <c r="T177" i="4"/>
  <c r="P202" i="4"/>
  <c r="U202" i="4"/>
  <c r="S202" i="4"/>
  <c r="U206" i="4"/>
  <c r="T206" i="4"/>
  <c r="S206" i="4"/>
  <c r="P123" i="4"/>
  <c r="T123" i="4"/>
  <c r="P128" i="4"/>
  <c r="S129" i="4"/>
  <c r="Q138" i="4"/>
  <c r="Y138" i="4"/>
  <c r="U149" i="4"/>
  <c r="S149" i="4"/>
  <c r="T151" i="4"/>
  <c r="S151" i="4"/>
  <c r="P151" i="4"/>
  <c r="P155" i="4"/>
  <c r="U155" i="4"/>
  <c r="T155" i="4"/>
  <c r="U158" i="4"/>
  <c r="T158" i="4"/>
  <c r="Y159" i="4"/>
  <c r="U167" i="4"/>
  <c r="Q173" i="4"/>
  <c r="U197" i="4"/>
  <c r="T197" i="4"/>
  <c r="S197" i="4"/>
  <c r="P197" i="4"/>
  <c r="S200" i="4"/>
  <c r="P200" i="4"/>
  <c r="U200" i="4"/>
  <c r="T200" i="4"/>
  <c r="T202" i="4"/>
  <c r="P206" i="4"/>
  <c r="T132" i="4"/>
  <c r="S132" i="4"/>
  <c r="S144" i="4"/>
  <c r="P144" i="4"/>
  <c r="U165" i="4"/>
  <c r="T165" i="4"/>
  <c r="S165" i="4"/>
  <c r="S170" i="4"/>
  <c r="Q183" i="4"/>
  <c r="Y183" i="4"/>
  <c r="P185" i="4"/>
  <c r="R185" i="4" s="1"/>
  <c r="T185" i="4"/>
  <c r="S185" i="4"/>
  <c r="Q191" i="4"/>
  <c r="Y191" i="4"/>
  <c r="S115" i="4"/>
  <c r="S123" i="4"/>
  <c r="T124" i="4"/>
  <c r="T128" i="4"/>
  <c r="P131" i="4"/>
  <c r="U131" i="4"/>
  <c r="T131" i="4"/>
  <c r="U134" i="4"/>
  <c r="T134" i="4"/>
  <c r="Y135" i="4"/>
  <c r="T144" i="4"/>
  <c r="T148" i="4"/>
  <c r="S148" i="4"/>
  <c r="U151" i="4"/>
  <c r="Q154" i="4"/>
  <c r="Y154" i="4"/>
  <c r="S155" i="4"/>
  <c r="S158" i="4"/>
  <c r="T162" i="4"/>
  <c r="U174" i="4"/>
  <c r="T174" i="4"/>
  <c r="S174" i="4"/>
  <c r="P194" i="4"/>
  <c r="U194" i="4"/>
  <c r="S194" i="4"/>
  <c r="U198" i="4"/>
  <c r="T198" i="4"/>
  <c r="S198" i="4"/>
  <c r="Q207" i="4"/>
  <c r="Y207" i="4"/>
  <c r="S160" i="4"/>
  <c r="P160" i="4"/>
  <c r="U166" i="4"/>
  <c r="T166" i="4"/>
  <c r="S166" i="4"/>
  <c r="U181" i="4"/>
  <c r="T181" i="4"/>
  <c r="S181" i="4"/>
  <c r="P181" i="4"/>
  <c r="U189" i="4"/>
  <c r="T189" i="4"/>
  <c r="S189" i="4"/>
  <c r="P189" i="4"/>
  <c r="S192" i="4"/>
  <c r="P192" i="4"/>
  <c r="U192" i="4"/>
  <c r="T192" i="4"/>
  <c r="T194" i="4"/>
  <c r="P198" i="4"/>
  <c r="P201" i="4"/>
  <c r="T201" i="4"/>
  <c r="S201" i="4"/>
  <c r="U226" i="4"/>
  <c r="S226" i="4"/>
  <c r="P226" i="4"/>
  <c r="T226" i="4"/>
  <c r="F26" i="4"/>
  <c r="J136" i="2"/>
  <c r="M136" i="2" s="1"/>
  <c r="P136" i="2" s="1"/>
  <c r="F82" i="2"/>
  <c r="Y113" i="4"/>
  <c r="Q130" i="4"/>
  <c r="Y130" i="4"/>
  <c r="M96" i="3" s="1"/>
  <c r="S131" i="4"/>
  <c r="S134" i="4"/>
  <c r="U148" i="4"/>
  <c r="T160" i="4"/>
  <c r="U164" i="4"/>
  <c r="T164" i="4"/>
  <c r="S164" i="4"/>
  <c r="P166" i="4"/>
  <c r="U169" i="4"/>
  <c r="P178" i="4"/>
  <c r="U178" i="4"/>
  <c r="S178" i="4"/>
  <c r="U201" i="4"/>
  <c r="S136" i="4"/>
  <c r="P136" i="4"/>
  <c r="T140" i="4"/>
  <c r="S140" i="4"/>
  <c r="Q146" i="4"/>
  <c r="Y146" i="4"/>
  <c r="Q157" i="4"/>
  <c r="T159" i="4"/>
  <c r="S159" i="4"/>
  <c r="P159" i="4"/>
  <c r="U160" i="4"/>
  <c r="P163" i="4"/>
  <c r="U163" i="4"/>
  <c r="T163" i="4"/>
  <c r="Y166" i="4"/>
  <c r="P171" i="4"/>
  <c r="U171" i="4"/>
  <c r="T171" i="4"/>
  <c r="U182" i="4"/>
  <c r="T182" i="4"/>
  <c r="S182" i="4"/>
  <c r="P186" i="4"/>
  <c r="U186" i="4"/>
  <c r="S186" i="4"/>
  <c r="U190" i="4"/>
  <c r="T190" i="4"/>
  <c r="S190" i="4"/>
  <c r="U205" i="4"/>
  <c r="T205" i="4"/>
  <c r="S205" i="4"/>
  <c r="P205" i="4"/>
  <c r="U210" i="4"/>
  <c r="S210" i="4"/>
  <c r="P210" i="4"/>
  <c r="T210" i="4"/>
  <c r="Y206" i="4"/>
  <c r="P216" i="4"/>
  <c r="P217" i="4"/>
  <c r="S219" i="4"/>
  <c r="U221" i="4"/>
  <c r="S237" i="4"/>
  <c r="P237" i="4"/>
  <c r="S241" i="4"/>
  <c r="T241" i="4"/>
  <c r="Y244" i="4"/>
  <c r="Q244" i="4"/>
  <c r="S255" i="4"/>
  <c r="T255" i="4"/>
  <c r="U264" i="4"/>
  <c r="P264" i="4"/>
  <c r="R264" i="4" s="1"/>
  <c r="U292" i="4"/>
  <c r="P292" i="4"/>
  <c r="R292" i="4" s="1"/>
  <c r="U324" i="4"/>
  <c r="S324" i="4"/>
  <c r="T327" i="4"/>
  <c r="S327" i="4"/>
  <c r="U327" i="4"/>
  <c r="P327" i="4"/>
  <c r="R327" i="4" s="1"/>
  <c r="P341" i="4"/>
  <c r="R341" i="4" s="1"/>
  <c r="S341" i="4"/>
  <c r="T415" i="4"/>
  <c r="S415" i="4"/>
  <c r="P415" i="4"/>
  <c r="R415" i="4" s="1"/>
  <c r="U415" i="4"/>
  <c r="T423" i="4"/>
  <c r="S423" i="4"/>
  <c r="P423" i="4"/>
  <c r="R423" i="4" s="1"/>
  <c r="W32" i="3"/>
  <c r="W19" i="3" s="1"/>
  <c r="I186" i="2" s="1"/>
  <c r="M186" i="2" s="1"/>
  <c r="Y214" i="4"/>
  <c r="Q214" i="4"/>
  <c r="Q215" i="4"/>
  <c r="U219" i="4"/>
  <c r="S225" i="4"/>
  <c r="T225" i="4"/>
  <c r="Y226" i="4"/>
  <c r="P96" i="3" s="1"/>
  <c r="P228" i="4"/>
  <c r="S228" i="4"/>
  <c r="S229" i="4"/>
  <c r="T237" i="4"/>
  <c r="T240" i="4"/>
  <c r="P240" i="4"/>
  <c r="U240" i="4"/>
  <c r="P258" i="4"/>
  <c r="R258" i="4" s="1"/>
  <c r="T258" i="4"/>
  <c r="S258" i="4"/>
  <c r="U261" i="4"/>
  <c r="T261" i="4"/>
  <c r="P261" i="4"/>
  <c r="R261" i="4" s="1"/>
  <c r="U269" i="4"/>
  <c r="S269" i="4"/>
  <c r="T288" i="4"/>
  <c r="S288" i="4"/>
  <c r="S303" i="4"/>
  <c r="T303" i="4"/>
  <c r="T319" i="4"/>
  <c r="S319" i="4"/>
  <c r="P323" i="4"/>
  <c r="R323" i="4" s="1"/>
  <c r="S323" i="4"/>
  <c r="T323" i="4"/>
  <c r="T329" i="4"/>
  <c r="S329" i="4"/>
  <c r="P329" i="4"/>
  <c r="R329" i="4" s="1"/>
  <c r="T361" i="4"/>
  <c r="U361" i="4"/>
  <c r="S361" i="4"/>
  <c r="U370" i="4"/>
  <c r="T370" i="4"/>
  <c r="S370" i="4"/>
  <c r="P370" i="4"/>
  <c r="R370" i="4" s="1"/>
  <c r="P373" i="4"/>
  <c r="R373" i="4" s="1"/>
  <c r="U373" i="4"/>
  <c r="T373" i="4"/>
  <c r="S373" i="4"/>
  <c r="T421" i="4"/>
  <c r="U421" i="4"/>
  <c r="S421" i="4"/>
  <c r="P421" i="4"/>
  <c r="R421" i="4" s="1"/>
  <c r="T465" i="4"/>
  <c r="P465" i="4"/>
  <c r="R465" i="4" s="1"/>
  <c r="S465" i="4"/>
  <c r="S491" i="4"/>
  <c r="T491" i="4"/>
  <c r="U491" i="4"/>
  <c r="P491" i="4"/>
  <c r="R491" i="4" s="1"/>
  <c r="T224" i="4"/>
  <c r="U224" i="4"/>
  <c r="U234" i="4"/>
  <c r="S234" i="4"/>
  <c r="P236" i="4"/>
  <c r="T236" i="4"/>
  <c r="S236" i="4"/>
  <c r="T252" i="4"/>
  <c r="S252" i="4"/>
  <c r="P252" i="4"/>
  <c r="R252" i="4" s="1"/>
  <c r="U258" i="4"/>
  <c r="S268" i="4"/>
  <c r="P268" i="4"/>
  <c r="R268" i="4" s="1"/>
  <c r="T268" i="4"/>
  <c r="T269" i="4"/>
  <c r="U276" i="4"/>
  <c r="T276" i="4"/>
  <c r="U285" i="4"/>
  <c r="S285" i="4"/>
  <c r="P288" i="4"/>
  <c r="R288" i="4" s="1"/>
  <c r="T294" i="4"/>
  <c r="U294" i="4"/>
  <c r="P294" i="4"/>
  <c r="R294" i="4" s="1"/>
  <c r="U303" i="4"/>
  <c r="U319" i="4"/>
  <c r="U329" i="4"/>
  <c r="U334" i="4"/>
  <c r="P334" i="4"/>
  <c r="R334" i="4" s="1"/>
  <c r="T334" i="4"/>
  <c r="T349" i="4"/>
  <c r="P349" i="4"/>
  <c r="R349" i="4" s="1"/>
  <c r="U349" i="4"/>
  <c r="T359" i="4"/>
  <c r="S359" i="4"/>
  <c r="P359" i="4"/>
  <c r="R359" i="4" s="1"/>
  <c r="P361" i="4"/>
  <c r="R361" i="4" s="1"/>
  <c r="S392" i="4"/>
  <c r="T392" i="4"/>
  <c r="P392" i="4"/>
  <c r="R392" i="4" s="1"/>
  <c r="U392" i="4"/>
  <c r="P403" i="4"/>
  <c r="R403" i="4" s="1"/>
  <c r="U403" i="4"/>
  <c r="S403" i="4"/>
  <c r="U414" i="4"/>
  <c r="S414" i="4"/>
  <c r="P435" i="4"/>
  <c r="R435" i="4" s="1"/>
  <c r="U435" i="4"/>
  <c r="T435" i="4"/>
  <c r="S435" i="4"/>
  <c r="P452" i="4"/>
  <c r="R452" i="4" s="1"/>
  <c r="U452" i="4"/>
  <c r="S452" i="4"/>
  <c r="T452" i="4"/>
  <c r="S456" i="4"/>
  <c r="T456" i="4"/>
  <c r="U456" i="4"/>
  <c r="P456" i="4"/>
  <c r="R456" i="4" s="1"/>
  <c r="U465" i="4"/>
  <c r="U481" i="4"/>
  <c r="T481" i="4"/>
  <c r="S481" i="4"/>
  <c r="P481" i="4"/>
  <c r="R481" i="4" s="1"/>
  <c r="U495" i="4"/>
  <c r="S495" i="4"/>
  <c r="P495" i="4"/>
  <c r="R495" i="4" s="1"/>
  <c r="T495" i="4"/>
  <c r="T500" i="4"/>
  <c r="U500" i="4"/>
  <c r="P500" i="4"/>
  <c r="R500" i="4" s="1"/>
  <c r="S500" i="4"/>
  <c r="Y129" i="4"/>
  <c r="F72" i="3" s="1"/>
  <c r="Y137" i="4"/>
  <c r="S172" i="4"/>
  <c r="T179" i="4"/>
  <c r="S180" i="4"/>
  <c r="T187" i="4"/>
  <c r="S188" i="4"/>
  <c r="T195" i="4"/>
  <c r="S196" i="4"/>
  <c r="T203" i="4"/>
  <c r="S204" i="4"/>
  <c r="Q212" i="4"/>
  <c r="S216" i="4"/>
  <c r="T217" i="4"/>
  <c r="Y222" i="4"/>
  <c r="N66" i="21" s="1"/>
  <c r="Q222" i="4"/>
  <c r="Q223" i="4"/>
  <c r="U225" i="4"/>
  <c r="T228" i="4"/>
  <c r="U229" i="4"/>
  <c r="T234" i="4"/>
  <c r="Q239" i="4"/>
  <c r="Y239" i="4"/>
  <c r="E7" i="4" s="1"/>
  <c r="E16" i="4" s="1"/>
  <c r="S240" i="4"/>
  <c r="U245" i="4"/>
  <c r="P245" i="4"/>
  <c r="R245" i="4" s="1"/>
  <c r="T245" i="4"/>
  <c r="S245" i="4"/>
  <c r="S247" i="4"/>
  <c r="P247" i="4"/>
  <c r="R247" i="4" s="1"/>
  <c r="U247" i="4"/>
  <c r="T247" i="4"/>
  <c r="P249" i="4"/>
  <c r="R249" i="4" s="1"/>
  <c r="U249" i="4"/>
  <c r="T249" i="4"/>
  <c r="T254" i="4"/>
  <c r="S254" i="4"/>
  <c r="S263" i="4"/>
  <c r="U263" i="4"/>
  <c r="P263" i="4"/>
  <c r="R263" i="4" s="1"/>
  <c r="S272" i="4"/>
  <c r="T272" i="4"/>
  <c r="T278" i="4"/>
  <c r="P278" i="4"/>
  <c r="R278" i="4" s="1"/>
  <c r="U278" i="4"/>
  <c r="S278" i="4"/>
  <c r="P280" i="4"/>
  <c r="R280" i="4" s="1"/>
  <c r="U280" i="4"/>
  <c r="T280" i="4"/>
  <c r="P282" i="4"/>
  <c r="R282" i="4" s="1"/>
  <c r="U282" i="4"/>
  <c r="T282" i="4"/>
  <c r="U288" i="4"/>
  <c r="T302" i="4"/>
  <c r="S302" i="4"/>
  <c r="U318" i="4"/>
  <c r="S318" i="4"/>
  <c r="U323" i="4"/>
  <c r="U382" i="4"/>
  <c r="T382" i="4"/>
  <c r="P382" i="4"/>
  <c r="R382" i="4" s="1"/>
  <c r="S384" i="4"/>
  <c r="U384" i="4"/>
  <c r="P384" i="4"/>
  <c r="R384" i="4" s="1"/>
  <c r="S386" i="4"/>
  <c r="U386" i="4"/>
  <c r="T386" i="4"/>
  <c r="P386" i="4"/>
  <c r="R386" i="4" s="1"/>
  <c r="U388" i="4"/>
  <c r="T388" i="4"/>
  <c r="S388" i="4"/>
  <c r="P388" i="4"/>
  <c r="R388" i="4" s="1"/>
  <c r="U390" i="4"/>
  <c r="S390" i="4"/>
  <c r="P390" i="4"/>
  <c r="R390" i="4" s="1"/>
  <c r="T390" i="4"/>
  <c r="S400" i="4"/>
  <c r="P400" i="4"/>
  <c r="R400" i="4" s="1"/>
  <c r="U400" i="4"/>
  <c r="S416" i="4"/>
  <c r="P416" i="4"/>
  <c r="R416" i="4" s="1"/>
  <c r="T416" i="4"/>
  <c r="P427" i="4"/>
  <c r="R427" i="4" s="1"/>
  <c r="T427" i="4"/>
  <c r="S427" i="4"/>
  <c r="S432" i="4"/>
  <c r="U432" i="4"/>
  <c r="P432" i="4"/>
  <c r="R432" i="4" s="1"/>
  <c r="U441" i="4"/>
  <c r="S441" i="4"/>
  <c r="T441" i="4"/>
  <c r="P441" i="4"/>
  <c r="R441" i="4" s="1"/>
  <c r="Y162" i="4"/>
  <c r="P168" i="4"/>
  <c r="Y170" i="4"/>
  <c r="T172" i="4"/>
  <c r="P176" i="4"/>
  <c r="Y178" i="4"/>
  <c r="U179" i="4"/>
  <c r="T180" i="4"/>
  <c r="P184" i="4"/>
  <c r="R184" i="4" s="1"/>
  <c r="Y186" i="4"/>
  <c r="O94" i="3" s="1"/>
  <c r="U187" i="4"/>
  <c r="T188" i="4"/>
  <c r="Y194" i="4"/>
  <c r="U195" i="4"/>
  <c r="T196" i="4"/>
  <c r="Y202" i="4"/>
  <c r="U203" i="4"/>
  <c r="T204" i="4"/>
  <c r="P208" i="4"/>
  <c r="P211" i="4"/>
  <c r="S213" i="4"/>
  <c r="U216" i="4"/>
  <c r="U217" i="4"/>
  <c r="P221" i="4"/>
  <c r="S224" i="4"/>
  <c r="P227" i="4"/>
  <c r="U228" i="4"/>
  <c r="S233" i="4"/>
  <c r="T233" i="4"/>
  <c r="U236" i="4"/>
  <c r="S249" i="4"/>
  <c r="P254" i="4"/>
  <c r="R254" i="4" s="1"/>
  <c r="U260" i="4"/>
  <c r="P260" i="4"/>
  <c r="R260" i="4" s="1"/>
  <c r="U268" i="4"/>
  <c r="U272" i="4"/>
  <c r="S276" i="4"/>
  <c r="S280" i="4"/>
  <c r="S282" i="4"/>
  <c r="S287" i="4"/>
  <c r="T287" i="4"/>
  <c r="U296" i="4"/>
  <c r="P296" i="4"/>
  <c r="R296" i="4" s="1"/>
  <c r="U302" i="4"/>
  <c r="S317" i="4"/>
  <c r="P317" i="4"/>
  <c r="R317" i="4" s="1"/>
  <c r="T317" i="4"/>
  <c r="T318" i="4"/>
  <c r="U326" i="4"/>
  <c r="S326" i="4"/>
  <c r="T326" i="4"/>
  <c r="S328" i="4"/>
  <c r="T328" i="4"/>
  <c r="P328" i="4"/>
  <c r="R328" i="4" s="1"/>
  <c r="P339" i="4"/>
  <c r="R339" i="4" s="1"/>
  <c r="T339" i="4"/>
  <c r="S339" i="4"/>
  <c r="S349" i="4"/>
  <c r="P363" i="4"/>
  <c r="R363" i="4" s="1"/>
  <c r="T363" i="4"/>
  <c r="U363" i="4"/>
  <c r="S382" i="4"/>
  <c r="T384" i="4"/>
  <c r="T400" i="4"/>
  <c r="T414" i="4"/>
  <c r="U416" i="4"/>
  <c r="U427" i="4"/>
  <c r="T432" i="4"/>
  <c r="U469" i="4"/>
  <c r="P469" i="4"/>
  <c r="R469" i="4" s="1"/>
  <c r="S469" i="4"/>
  <c r="P220" i="4"/>
  <c r="S220" i="4"/>
  <c r="T232" i="4"/>
  <c r="U232" i="4"/>
  <c r="U235" i="4"/>
  <c r="T235" i="4"/>
  <c r="Y236" i="4"/>
  <c r="F7" i="4" s="1"/>
  <c r="U254" i="4"/>
  <c r="T256" i="4"/>
  <c r="S256" i="4"/>
  <c r="S260" i="4"/>
  <c r="T263" i="4"/>
  <c r="S271" i="4"/>
  <c r="T271" i="4"/>
  <c r="P287" i="4"/>
  <c r="R287" i="4" s="1"/>
  <c r="P290" i="4"/>
  <c r="R290" i="4" s="1"/>
  <c r="T290" i="4"/>
  <c r="S290" i="4"/>
  <c r="U293" i="4"/>
  <c r="T293" i="4"/>
  <c r="P293" i="4"/>
  <c r="R293" i="4" s="1"/>
  <c r="S296" i="4"/>
  <c r="U301" i="4"/>
  <c r="S301" i="4"/>
  <c r="S321" i="4"/>
  <c r="T321" i="4"/>
  <c r="U339" i="4"/>
  <c r="S363" i="4"/>
  <c r="P371" i="4"/>
  <c r="R371" i="4" s="1"/>
  <c r="U371" i="4"/>
  <c r="T371" i="4"/>
  <c r="S371" i="4"/>
  <c r="P379" i="4"/>
  <c r="R379" i="4" s="1"/>
  <c r="U379" i="4"/>
  <c r="T379" i="4"/>
  <c r="S379" i="4"/>
  <c r="U409" i="4"/>
  <c r="T409" i="4"/>
  <c r="S409" i="4"/>
  <c r="P409" i="4"/>
  <c r="R409" i="4" s="1"/>
  <c r="S413" i="4"/>
  <c r="U413" i="4"/>
  <c r="U422" i="4"/>
  <c r="S422" i="4"/>
  <c r="P422" i="4"/>
  <c r="R422" i="4" s="1"/>
  <c r="T422" i="4"/>
  <c r="T492" i="4"/>
  <c r="S492" i="4"/>
  <c r="U492" i="4"/>
  <c r="P492" i="4"/>
  <c r="R492" i="4" s="1"/>
  <c r="Q209" i="4"/>
  <c r="S211" i="4"/>
  <c r="P219" i="4"/>
  <c r="R219" i="4" s="1"/>
  <c r="S221" i="4"/>
  <c r="U227" i="4"/>
  <c r="Q231" i="4"/>
  <c r="U233" i="4"/>
  <c r="P235" i="4"/>
  <c r="Q242" i="4"/>
  <c r="U253" i="4"/>
  <c r="S253" i="4"/>
  <c r="T260" i="4"/>
  <c r="T262" i="4"/>
  <c r="U262" i="4"/>
  <c r="P262" i="4"/>
  <c r="R262" i="4" s="1"/>
  <c r="U275" i="4"/>
  <c r="S275" i="4"/>
  <c r="T284" i="4"/>
  <c r="S284" i="4"/>
  <c r="P284" i="4"/>
  <c r="R284" i="4" s="1"/>
  <c r="U287" i="4"/>
  <c r="T296" i="4"/>
  <c r="S300" i="4"/>
  <c r="P300" i="4"/>
  <c r="R300" i="4" s="1"/>
  <c r="T300" i="4"/>
  <c r="U317" i="4"/>
  <c r="T325" i="4"/>
  <c r="S325" i="4"/>
  <c r="U328" i="4"/>
  <c r="P333" i="4"/>
  <c r="R333" i="4" s="1"/>
  <c r="U333" i="4"/>
  <c r="T333" i="4"/>
  <c r="T335" i="4"/>
  <c r="S335" i="4"/>
  <c r="S360" i="4"/>
  <c r="T360" i="4"/>
  <c r="U360" i="4"/>
  <c r="P360" i="4"/>
  <c r="R360" i="4" s="1"/>
  <c r="T389" i="4"/>
  <c r="P389" i="4"/>
  <c r="R389" i="4" s="1"/>
  <c r="U389" i="4"/>
  <c r="T391" i="4"/>
  <c r="S391" i="4"/>
  <c r="P391" i="4"/>
  <c r="R391" i="4" s="1"/>
  <c r="P413" i="4"/>
  <c r="R413" i="4" s="1"/>
  <c r="U462" i="4"/>
  <c r="S462" i="4"/>
  <c r="T462" i="4"/>
  <c r="P462" i="4"/>
  <c r="R462" i="4" s="1"/>
  <c r="S464" i="4"/>
  <c r="T464" i="4"/>
  <c r="P464" i="4"/>
  <c r="R464" i="4" s="1"/>
  <c r="U464" i="4"/>
  <c r="I44" i="2"/>
  <c r="M44" i="2" s="1"/>
  <c r="U211" i="4"/>
  <c r="P218" i="4"/>
  <c r="T220" i="4"/>
  <c r="Y227" i="4"/>
  <c r="P97" i="3" s="1"/>
  <c r="S232" i="4"/>
  <c r="S235" i="4"/>
  <c r="P241" i="4"/>
  <c r="T246" i="4"/>
  <c r="P246" i="4"/>
  <c r="R246" i="4" s="1"/>
  <c r="U246" i="4"/>
  <c r="S246" i="4"/>
  <c r="P248" i="4"/>
  <c r="R248" i="4" s="1"/>
  <c r="U248" i="4"/>
  <c r="T248" i="4"/>
  <c r="P250" i="4"/>
  <c r="R250" i="4" s="1"/>
  <c r="U250" i="4"/>
  <c r="T250" i="4"/>
  <c r="P253" i="4"/>
  <c r="R253" i="4" s="1"/>
  <c r="U256" i="4"/>
  <c r="T270" i="4"/>
  <c r="S270" i="4"/>
  <c r="P274" i="4"/>
  <c r="R274" i="4" s="1"/>
  <c r="S274" i="4"/>
  <c r="T274" i="4"/>
  <c r="T275" i="4"/>
  <c r="U277" i="4"/>
  <c r="P277" i="4"/>
  <c r="R277" i="4" s="1"/>
  <c r="T277" i="4"/>
  <c r="S277" i="4"/>
  <c r="S279" i="4"/>
  <c r="P279" i="4"/>
  <c r="R279" i="4" s="1"/>
  <c r="U279" i="4"/>
  <c r="T279" i="4"/>
  <c r="P281" i="4"/>
  <c r="R281" i="4" s="1"/>
  <c r="U281" i="4"/>
  <c r="T281" i="4"/>
  <c r="U284" i="4"/>
  <c r="T286" i="4"/>
  <c r="S286" i="4"/>
  <c r="S293" i="4"/>
  <c r="S295" i="4"/>
  <c r="U295" i="4"/>
  <c r="P295" i="4"/>
  <c r="R295" i="4" s="1"/>
  <c r="S304" i="4"/>
  <c r="T304" i="4"/>
  <c r="S320" i="4"/>
  <c r="T320" i="4"/>
  <c r="P324" i="4"/>
  <c r="R324" i="4" s="1"/>
  <c r="U325" i="4"/>
  <c r="S333" i="4"/>
  <c r="P335" i="4"/>
  <c r="R335" i="4" s="1"/>
  <c r="P355" i="4"/>
  <c r="R355" i="4" s="1"/>
  <c r="T355" i="4"/>
  <c r="U355" i="4"/>
  <c r="U365" i="4"/>
  <c r="S365" i="4"/>
  <c r="U381" i="4"/>
  <c r="S381" i="4"/>
  <c r="P381" i="4"/>
  <c r="R381" i="4" s="1"/>
  <c r="T383" i="4"/>
  <c r="U383" i="4"/>
  <c r="P383" i="4"/>
  <c r="R383" i="4" s="1"/>
  <c r="S385" i="4"/>
  <c r="T385" i="4"/>
  <c r="P385" i="4"/>
  <c r="R385" i="4" s="1"/>
  <c r="P387" i="4"/>
  <c r="R387" i="4" s="1"/>
  <c r="S387" i="4"/>
  <c r="U387" i="4"/>
  <c r="T387" i="4"/>
  <c r="S389" i="4"/>
  <c r="U391" i="4"/>
  <c r="P405" i="4"/>
  <c r="R405" i="4" s="1"/>
  <c r="U405" i="4"/>
  <c r="T405" i="4"/>
  <c r="T413" i="4"/>
  <c r="S417" i="4"/>
  <c r="P417" i="4"/>
  <c r="R417" i="4" s="1"/>
  <c r="U417" i="4"/>
  <c r="T417" i="4"/>
  <c r="U446" i="4"/>
  <c r="P446" i="4"/>
  <c r="R446" i="4" s="1"/>
  <c r="S446" i="4"/>
  <c r="T446" i="4"/>
  <c r="P459" i="4"/>
  <c r="R459" i="4" s="1"/>
  <c r="T459" i="4"/>
  <c r="S459" i="4"/>
  <c r="P331" i="4"/>
  <c r="R331" i="4" s="1"/>
  <c r="T331" i="4"/>
  <c r="T350" i="4"/>
  <c r="U351" i="4"/>
  <c r="U352" i="4"/>
  <c r="U353" i="4"/>
  <c r="U354" i="4"/>
  <c r="T356" i="4"/>
  <c r="U357" i="4"/>
  <c r="S366" i="4"/>
  <c r="T393" i="4"/>
  <c r="P393" i="4"/>
  <c r="R393" i="4" s="1"/>
  <c r="T401" i="4"/>
  <c r="T426" i="4"/>
  <c r="P426" i="4"/>
  <c r="R426" i="4" s="1"/>
  <c r="T431" i="4"/>
  <c r="U431" i="4"/>
  <c r="P437" i="4"/>
  <c r="R437" i="4" s="1"/>
  <c r="U437" i="4"/>
  <c r="S437" i="4"/>
  <c r="U458" i="4"/>
  <c r="T461" i="4"/>
  <c r="S461" i="4"/>
  <c r="P478" i="4"/>
  <c r="R478" i="4" s="1"/>
  <c r="T478" i="4"/>
  <c r="U484" i="4"/>
  <c r="S484" i="4"/>
  <c r="U489" i="4"/>
  <c r="S489" i="4"/>
  <c r="Q230" i="4"/>
  <c r="Q238" i="4"/>
  <c r="S251" i="4"/>
  <c r="S283" i="4"/>
  <c r="S331" i="4"/>
  <c r="T332" i="4"/>
  <c r="P342" i="4"/>
  <c r="R342" i="4" s="1"/>
  <c r="P343" i="4"/>
  <c r="R343" i="4" s="1"/>
  <c r="P344" i="4"/>
  <c r="R344" i="4" s="1"/>
  <c r="P345" i="4"/>
  <c r="R345" i="4" s="1"/>
  <c r="P348" i="4"/>
  <c r="R348" i="4" s="1"/>
  <c r="U393" i="4"/>
  <c r="S396" i="4"/>
  <c r="P396" i="4"/>
  <c r="R396" i="4" s="1"/>
  <c r="S408" i="4"/>
  <c r="U408" i="4"/>
  <c r="S426" i="4"/>
  <c r="U430" i="4"/>
  <c r="T430" i="4"/>
  <c r="T437" i="4"/>
  <c r="P445" i="4"/>
  <c r="R445" i="4" s="1"/>
  <c r="T445" i="4"/>
  <c r="U453" i="4"/>
  <c r="P467" i="4"/>
  <c r="R467" i="4" s="1"/>
  <c r="T467" i="4"/>
  <c r="U467" i="4"/>
  <c r="T471" i="4"/>
  <c r="S471" i="4"/>
  <c r="P471" i="4"/>
  <c r="R471" i="4" s="1"/>
  <c r="U477" i="4"/>
  <c r="S477" i="4"/>
  <c r="U478" i="4"/>
  <c r="S483" i="4"/>
  <c r="U483" i="4"/>
  <c r="T488" i="4"/>
  <c r="U488" i="4"/>
  <c r="P395" i="4"/>
  <c r="R395" i="4" s="1"/>
  <c r="T395" i="4"/>
  <c r="T407" i="4"/>
  <c r="U407" i="4"/>
  <c r="T425" i="4"/>
  <c r="P425" i="4"/>
  <c r="R425" i="4" s="1"/>
  <c r="S440" i="4"/>
  <c r="U440" i="4"/>
  <c r="P449" i="4"/>
  <c r="R449" i="4" s="1"/>
  <c r="T449" i="4"/>
  <c r="T455" i="4"/>
  <c r="S455" i="4"/>
  <c r="T474" i="4"/>
  <c r="P474" i="4"/>
  <c r="R474" i="4" s="1"/>
  <c r="P494" i="4"/>
  <c r="R494" i="4" s="1"/>
  <c r="T494" i="4"/>
  <c r="U36" i="3"/>
  <c r="U251" i="4"/>
  <c r="U283" i="4"/>
  <c r="P306" i="4"/>
  <c r="R306" i="4" s="1"/>
  <c r="S307" i="4"/>
  <c r="U330" i="4"/>
  <c r="P337" i="4"/>
  <c r="R337" i="4" s="1"/>
  <c r="S347" i="4"/>
  <c r="P350" i="4"/>
  <c r="R350" i="4" s="1"/>
  <c r="P351" i="4"/>
  <c r="R351" i="4" s="1"/>
  <c r="P352" i="4"/>
  <c r="R352" i="4" s="1"/>
  <c r="P353" i="4"/>
  <c r="R353" i="4" s="1"/>
  <c r="P354" i="4"/>
  <c r="R354" i="4" s="1"/>
  <c r="P356" i="4"/>
  <c r="R356" i="4" s="1"/>
  <c r="P357" i="4"/>
  <c r="R357" i="4" s="1"/>
  <c r="P368" i="4"/>
  <c r="R368" i="4" s="1"/>
  <c r="S374" i="4"/>
  <c r="S375" i="4"/>
  <c r="T376" i="4"/>
  <c r="T396" i="4"/>
  <c r="T398" i="4"/>
  <c r="U406" i="4"/>
  <c r="T406" i="4"/>
  <c r="T408" i="4"/>
  <c r="U420" i="4"/>
  <c r="P420" i="4"/>
  <c r="R420" i="4" s="1"/>
  <c r="S425" i="4"/>
  <c r="P429" i="4"/>
  <c r="R429" i="4" s="1"/>
  <c r="S434" i="4"/>
  <c r="T440" i="4"/>
  <c r="P443" i="4"/>
  <c r="R443" i="4" s="1"/>
  <c r="U443" i="4"/>
  <c r="S445" i="4"/>
  <c r="S449" i="4"/>
  <c r="P455" i="4"/>
  <c r="R455" i="4" s="1"/>
  <c r="S467" i="4"/>
  <c r="U471" i="4"/>
  <c r="S474" i="4"/>
  <c r="T477" i="4"/>
  <c r="T482" i="4"/>
  <c r="U482" i="4"/>
  <c r="U487" i="4"/>
  <c r="T487" i="4"/>
  <c r="S494" i="4"/>
  <c r="U497" i="4"/>
  <c r="S497" i="4"/>
  <c r="T497" i="4"/>
  <c r="U358" i="4"/>
  <c r="S358" i="4"/>
  <c r="T394" i="4"/>
  <c r="P394" i="4"/>
  <c r="R394" i="4" s="1"/>
  <c r="P419" i="4"/>
  <c r="R419" i="4" s="1"/>
  <c r="S419" i="4"/>
  <c r="S424" i="4"/>
  <c r="T424" i="4"/>
  <c r="P424" i="4"/>
  <c r="R424" i="4" s="1"/>
  <c r="S428" i="4"/>
  <c r="P428" i="4"/>
  <c r="R428" i="4" s="1"/>
  <c r="T439" i="4"/>
  <c r="U439" i="4"/>
  <c r="S448" i="4"/>
  <c r="P448" i="4"/>
  <c r="R448" i="4" s="1"/>
  <c r="T448" i="4"/>
  <c r="U454" i="4"/>
  <c r="S454" i="4"/>
  <c r="T463" i="4"/>
  <c r="S463" i="4"/>
  <c r="P486" i="4"/>
  <c r="R486" i="4" s="1"/>
  <c r="U486" i="4"/>
  <c r="S486" i="4"/>
  <c r="T490" i="4"/>
  <c r="S490" i="4"/>
  <c r="P490" i="4"/>
  <c r="R490" i="4" s="1"/>
  <c r="U490" i="4"/>
  <c r="T493" i="4"/>
  <c r="U493" i="4"/>
  <c r="P493" i="4"/>
  <c r="R493" i="4" s="1"/>
  <c r="T496" i="4"/>
  <c r="S496" i="4"/>
  <c r="U496" i="4"/>
  <c r="U266" i="4"/>
  <c r="U298" i="4"/>
  <c r="U309" i="4"/>
  <c r="T310" i="4"/>
  <c r="U311" i="4"/>
  <c r="U312" i="4"/>
  <c r="U315" i="4"/>
  <c r="P332" i="4"/>
  <c r="R332" i="4" s="1"/>
  <c r="T336" i="4"/>
  <c r="S350" i="4"/>
  <c r="S351" i="4"/>
  <c r="T352" i="4"/>
  <c r="S356" i="4"/>
  <c r="S357" i="4"/>
  <c r="T358" i="4"/>
  <c r="S367" i="4"/>
  <c r="U368" i="4"/>
  <c r="S394" i="4"/>
  <c r="P411" i="4"/>
  <c r="R411" i="4" s="1"/>
  <c r="U411" i="4"/>
  <c r="S418" i="4"/>
  <c r="P418" i="4"/>
  <c r="R418" i="4" s="1"/>
  <c r="T419" i="4"/>
  <c r="U424" i="4"/>
  <c r="T428" i="4"/>
  <c r="T429" i="4"/>
  <c r="T433" i="4"/>
  <c r="U438" i="4"/>
  <c r="T438" i="4"/>
  <c r="T447" i="4"/>
  <c r="P447" i="4"/>
  <c r="R447" i="4" s="1"/>
  <c r="S447" i="4"/>
  <c r="U448" i="4"/>
  <c r="P453" i="4"/>
  <c r="R453" i="4" s="1"/>
  <c r="S458" i="4"/>
  <c r="S472" i="4"/>
  <c r="U472" i="4"/>
  <c r="P480" i="4"/>
  <c r="R480" i="4" s="1"/>
  <c r="U480" i="4"/>
  <c r="S480" i="4"/>
  <c r="P484" i="4"/>
  <c r="R484" i="4" s="1"/>
  <c r="T486" i="4"/>
  <c r="P489" i="4"/>
  <c r="R489" i="4" s="1"/>
  <c r="S493" i="4"/>
  <c r="T498" i="4"/>
  <c r="S498" i="4"/>
  <c r="S499" i="4"/>
  <c r="T499" i="4"/>
  <c r="S460" i="4"/>
  <c r="S475" i="4"/>
  <c r="T475" i="4"/>
  <c r="S476" i="4"/>
  <c r="S466" i="4"/>
  <c r="U468" i="4"/>
  <c r="U475" i="4"/>
  <c r="W7" i="3"/>
  <c r="U46" i="3"/>
  <c r="V47" i="3"/>
  <c r="H72" i="3" s="1"/>
  <c r="M64" i="7"/>
  <c r="U45" i="3"/>
  <c r="M65" i="11"/>
  <c r="M69" i="11" s="1"/>
  <c r="V50" i="3"/>
  <c r="H73" i="3" s="1"/>
  <c r="U39" i="3"/>
  <c r="M49" i="7"/>
  <c r="M53" i="7" s="1"/>
  <c r="U48" i="3"/>
  <c r="W25" i="3"/>
  <c r="M50" i="11"/>
  <c r="M53" i="11" s="1"/>
  <c r="U51" i="3"/>
  <c r="H75" i="3"/>
  <c r="M53" i="13"/>
  <c r="M69" i="5"/>
  <c r="I62" i="9"/>
  <c r="H39" i="9" s="1"/>
  <c r="I39" i="9"/>
  <c r="M30" i="5"/>
  <c r="M29" i="5"/>
  <c r="Q31" i="5"/>
  <c r="W16" i="8"/>
  <c r="E6" i="2" s="1"/>
  <c r="D76" i="3"/>
  <c r="B76" i="3"/>
  <c r="U95" i="3"/>
  <c r="W16" i="6"/>
  <c r="E5" i="2" s="1"/>
  <c r="R25" i="7"/>
  <c r="I37" i="7" s="1"/>
  <c r="M53" i="5"/>
  <c r="M69" i="13"/>
  <c r="H38" i="7"/>
  <c r="J6" i="2" s="1"/>
  <c r="Q30" i="7"/>
  <c r="W16" i="10"/>
  <c r="E7" i="2" s="1"/>
  <c r="Q30" i="13"/>
  <c r="H38" i="13"/>
  <c r="J9" i="2" s="1"/>
  <c r="U98" i="3"/>
  <c r="R25" i="5"/>
  <c r="I37" i="5" s="1"/>
  <c r="H38" i="9"/>
  <c r="J7" i="2" s="1"/>
  <c r="Q30" i="9"/>
  <c r="W12" i="10"/>
  <c r="M30" i="11"/>
  <c r="M53" i="23"/>
  <c r="M69" i="27"/>
  <c r="U87" i="3"/>
  <c r="I21" i="7"/>
  <c r="M28" i="9"/>
  <c r="D7" i="2" s="1"/>
  <c r="I38" i="9"/>
  <c r="W12" i="12"/>
  <c r="F54" i="17"/>
  <c r="H54" i="17" s="1"/>
  <c r="O64" i="5"/>
  <c r="Q25" i="7"/>
  <c r="H37" i="7" s="1"/>
  <c r="R25" i="17"/>
  <c r="I37" i="17" s="1"/>
  <c r="M53" i="27"/>
  <c r="M69" i="15"/>
  <c r="I38" i="7"/>
  <c r="M69" i="17"/>
  <c r="I11" i="7"/>
  <c r="I16" i="9"/>
  <c r="M30" i="9" s="1"/>
  <c r="I38" i="15"/>
  <c r="M28" i="15"/>
  <c r="D10" i="2" s="1"/>
  <c r="M30" i="17"/>
  <c r="M53" i="15"/>
  <c r="M69" i="19"/>
  <c r="Q25" i="5"/>
  <c r="H37" i="5" s="1"/>
  <c r="Q25" i="13"/>
  <c r="H37" i="13" s="1"/>
  <c r="M53" i="17"/>
  <c r="M69" i="21"/>
  <c r="Q30" i="5"/>
  <c r="W12" i="8"/>
  <c r="R5" i="9"/>
  <c r="R25" i="9" s="1"/>
  <c r="I37" i="9" s="1"/>
  <c r="R25" i="15"/>
  <c r="I37" i="15" s="1"/>
  <c r="V53" i="3"/>
  <c r="B74" i="3" s="1"/>
  <c r="U54" i="3"/>
  <c r="M28" i="5"/>
  <c r="D5" i="2" s="1"/>
  <c r="I26" i="9"/>
  <c r="Q25" i="11"/>
  <c r="H37" i="11" s="1"/>
  <c r="R4" i="11"/>
  <c r="R25" i="11" s="1"/>
  <c r="I37" i="11" s="1"/>
  <c r="I39" i="11"/>
  <c r="M30" i="13"/>
  <c r="Q30" i="15"/>
  <c r="H38" i="15"/>
  <c r="J10" i="2" s="1"/>
  <c r="W12" i="16"/>
  <c r="Q30" i="17"/>
  <c r="H38" i="17"/>
  <c r="J11" i="2" s="1"/>
  <c r="W16" i="18"/>
  <c r="E11" i="2" s="1"/>
  <c r="M53" i="21"/>
  <c r="M69" i="25"/>
  <c r="W12" i="6"/>
  <c r="I152" i="6"/>
  <c r="I33" i="11"/>
  <c r="F55" i="19"/>
  <c r="H55" i="19" s="1"/>
  <c r="I62" i="19" s="1"/>
  <c r="H39" i="19" s="1"/>
  <c r="Q25" i="15"/>
  <c r="H37" i="15" s="1"/>
  <c r="W12" i="18"/>
  <c r="I38" i="13"/>
  <c r="I21" i="15"/>
  <c r="R25" i="19"/>
  <c r="I37" i="19" s="1"/>
  <c r="C16" i="21"/>
  <c r="M28" i="13"/>
  <c r="D9" i="2" s="1"/>
  <c r="W16" i="16"/>
  <c r="E10" i="2" s="1"/>
  <c r="Q25" i="17"/>
  <c r="H37" i="17" s="1"/>
  <c r="F53" i="17"/>
  <c r="H53" i="17" s="1"/>
  <c r="I11" i="19"/>
  <c r="I16" i="19"/>
  <c r="W16" i="20"/>
  <c r="E12" i="2" s="1"/>
  <c r="Q25" i="19"/>
  <c r="H37" i="19" s="1"/>
  <c r="I38" i="21"/>
  <c r="M28" i="21"/>
  <c r="D13" i="2" s="1"/>
  <c r="I10" i="21"/>
  <c r="W16" i="12"/>
  <c r="E8" i="2" s="1"/>
  <c r="I21" i="19"/>
  <c r="I26" i="19"/>
  <c r="R25" i="21"/>
  <c r="I37" i="21" s="1"/>
  <c r="D11" i="21"/>
  <c r="I11" i="21" s="1"/>
  <c r="I15" i="21"/>
  <c r="I16" i="21"/>
  <c r="I11" i="15"/>
  <c r="I152" i="18"/>
  <c r="I38" i="19"/>
  <c r="W12" i="20"/>
  <c r="I5" i="21"/>
  <c r="C6" i="21"/>
  <c r="I6" i="21" s="1"/>
  <c r="I26" i="23"/>
  <c r="Q31" i="25"/>
  <c r="M29" i="25"/>
  <c r="H38" i="27"/>
  <c r="J16" i="2" s="1"/>
  <c r="Q30" i="27"/>
  <c r="I20" i="21"/>
  <c r="I10" i="23"/>
  <c r="I11" i="23"/>
  <c r="M30" i="23" s="1"/>
  <c r="I43" i="23"/>
  <c r="W16" i="24"/>
  <c r="E14" i="2" s="1"/>
  <c r="I21" i="21"/>
  <c r="F53" i="21"/>
  <c r="H53" i="21" s="1"/>
  <c r="H38" i="25"/>
  <c r="J15" i="2" s="1"/>
  <c r="Q30" i="25"/>
  <c r="W12" i="26"/>
  <c r="Q25" i="21"/>
  <c r="H37" i="21" s="1"/>
  <c r="M30" i="27"/>
  <c r="C41" i="21"/>
  <c r="E82" i="23"/>
  <c r="H37" i="23"/>
  <c r="E74" i="23" s="1"/>
  <c r="R8" i="23"/>
  <c r="I37" i="23" s="1"/>
  <c r="M30" i="25"/>
  <c r="W16" i="22"/>
  <c r="E13" i="2" s="1"/>
  <c r="I40" i="23"/>
  <c r="W12" i="22"/>
  <c r="I5" i="23"/>
  <c r="C11" i="23"/>
  <c r="O37" i="23"/>
  <c r="I39" i="23"/>
  <c r="C41" i="23"/>
  <c r="N44" i="23"/>
  <c r="H40" i="23" s="1"/>
  <c r="I38" i="27"/>
  <c r="E85" i="23"/>
  <c r="N60" i="23"/>
  <c r="H42" i="23" s="1"/>
  <c r="R4" i="25"/>
  <c r="R25" i="25" s="1"/>
  <c r="I37" i="25" s="1"/>
  <c r="I152" i="26"/>
  <c r="R6" i="27"/>
  <c r="R25" i="27" s="1"/>
  <c r="I37" i="27" s="1"/>
  <c r="F52" i="21"/>
  <c r="H52" i="21" s="1"/>
  <c r="I38" i="23"/>
  <c r="W12" i="24"/>
  <c r="R5" i="23"/>
  <c r="R25" i="23" s="1"/>
  <c r="I42" i="23"/>
  <c r="G16" i="2" l="1"/>
  <c r="I149" i="28"/>
  <c r="AA1" i="27"/>
  <c r="W13" i="28"/>
  <c r="Q28" i="27"/>
  <c r="S127" i="4"/>
  <c r="U172" i="4"/>
  <c r="P172" i="4"/>
  <c r="F16" i="4"/>
  <c r="T127" i="4"/>
  <c r="D22" i="4"/>
  <c r="M29" i="17"/>
  <c r="K11" i="2"/>
  <c r="S142" i="4"/>
  <c r="P142" i="4"/>
  <c r="S128" i="4"/>
  <c r="U128" i="4"/>
  <c r="M30" i="7"/>
  <c r="H38" i="5"/>
  <c r="J5" i="2" s="1"/>
  <c r="C5" i="2"/>
  <c r="P116" i="4"/>
  <c r="H16" i="2"/>
  <c r="C16" i="4"/>
  <c r="W16" i="28"/>
  <c r="E16" i="2" s="1"/>
  <c r="U177" i="4"/>
  <c r="S177" i="4"/>
  <c r="I39" i="15"/>
  <c r="I62" i="15"/>
  <c r="H39" i="15" s="1"/>
  <c r="I33" i="23"/>
  <c r="M29" i="11"/>
  <c r="K8" i="2"/>
  <c r="U213" i="4"/>
  <c r="T213" i="4"/>
  <c r="P213" i="4"/>
  <c r="R213" i="4" s="1"/>
  <c r="I53" i="2"/>
  <c r="M53" i="2" s="1"/>
  <c r="H30" i="4"/>
  <c r="J161" i="2" s="1"/>
  <c r="M161" i="2" s="1"/>
  <c r="P161" i="2" s="1"/>
  <c r="Q31" i="11"/>
  <c r="P156" i="4"/>
  <c r="U156" i="4"/>
  <c r="M30" i="19"/>
  <c r="M30" i="15"/>
  <c r="P149" i="4"/>
  <c r="T149" i="4"/>
  <c r="U196" i="4"/>
  <c r="P196" i="4"/>
  <c r="P203" i="4"/>
  <c r="S203" i="4"/>
  <c r="I33" i="21"/>
  <c r="W40" i="3"/>
  <c r="Q86" i="3"/>
  <c r="D16" i="4"/>
  <c r="P187" i="4"/>
  <c r="S187" i="4"/>
  <c r="S66" i="4"/>
  <c r="U66" i="4"/>
  <c r="P169" i="4"/>
  <c r="T169" i="4"/>
  <c r="S169" i="4"/>
  <c r="W16" i="26"/>
  <c r="E15" i="2" s="1"/>
  <c r="Q30" i="19"/>
  <c r="H38" i="19"/>
  <c r="J12" i="2" s="1"/>
  <c r="C12" i="2"/>
  <c r="P195" i="4"/>
  <c r="S195" i="4"/>
  <c r="U218" i="4"/>
  <c r="T218" i="4"/>
  <c r="S218" i="4"/>
  <c r="F29" i="4"/>
  <c r="H84" i="2" s="1"/>
  <c r="T243" i="4"/>
  <c r="U243" i="4"/>
  <c r="S243" i="4"/>
  <c r="P243" i="4"/>
  <c r="W12" i="14"/>
  <c r="W16" i="14"/>
  <c r="E9" i="2" s="1"/>
  <c r="U204" i="4"/>
  <c r="P204" i="4"/>
  <c r="S124" i="4"/>
  <c r="U124" i="4"/>
  <c r="P124" i="4"/>
  <c r="R66" i="21"/>
  <c r="O66" i="21"/>
  <c r="I62" i="21"/>
  <c r="H39" i="21" s="1"/>
  <c r="I39" i="21"/>
  <c r="J157" i="2"/>
  <c r="M157" i="2" s="1"/>
  <c r="P157" i="2" s="1"/>
  <c r="F85" i="2"/>
  <c r="P138" i="4"/>
  <c r="U138" i="4"/>
  <c r="S138" i="4"/>
  <c r="T138" i="4"/>
  <c r="R67" i="13"/>
  <c r="O67" i="13"/>
  <c r="I41" i="9"/>
  <c r="I44" i="9" s="1"/>
  <c r="N53" i="9"/>
  <c r="H41" i="9" s="1"/>
  <c r="O48" i="9"/>
  <c r="N53" i="21"/>
  <c r="H41" i="21" s="1"/>
  <c r="O48" i="21"/>
  <c r="I41" i="21"/>
  <c r="R68" i="21"/>
  <c r="O68" i="21"/>
  <c r="R67" i="27"/>
  <c r="O67" i="27"/>
  <c r="O67" i="23"/>
  <c r="R67" i="23"/>
  <c r="S73" i="4"/>
  <c r="U73" i="4"/>
  <c r="T73" i="4"/>
  <c r="P73" i="4"/>
  <c r="Q85" i="3"/>
  <c r="P85" i="3"/>
  <c r="O85" i="3"/>
  <c r="J74" i="3"/>
  <c r="N85" i="3"/>
  <c r="L96" i="3"/>
  <c r="U96" i="3" s="1"/>
  <c r="M85" i="3"/>
  <c r="F74" i="3"/>
  <c r="L85" i="3"/>
  <c r="D74" i="3"/>
  <c r="H25" i="4"/>
  <c r="I25" i="4"/>
  <c r="G25" i="4"/>
  <c r="F25" i="4"/>
  <c r="E25" i="4"/>
  <c r="B10" i="4"/>
  <c r="G10" i="4" s="1"/>
  <c r="J25" i="4"/>
  <c r="M82" i="2"/>
  <c r="U68" i="4"/>
  <c r="T68" i="4"/>
  <c r="S68" i="4"/>
  <c r="P68" i="4"/>
  <c r="T112" i="4"/>
  <c r="P112" i="4"/>
  <c r="U112" i="4"/>
  <c r="S112" i="4"/>
  <c r="T76" i="4"/>
  <c r="U76" i="4"/>
  <c r="S76" i="4"/>
  <c r="P76" i="4"/>
  <c r="E30" i="4"/>
  <c r="T143" i="4"/>
  <c r="S143" i="4"/>
  <c r="P143" i="4"/>
  <c r="R143" i="4" s="1"/>
  <c r="U143" i="4"/>
  <c r="J72" i="3"/>
  <c r="G24" i="4"/>
  <c r="D73" i="3"/>
  <c r="H44" i="9"/>
  <c r="B72" i="3"/>
  <c r="U223" i="4"/>
  <c r="P223" i="4"/>
  <c r="T223" i="4"/>
  <c r="S223" i="4"/>
  <c r="M94" i="3"/>
  <c r="U94" i="3" s="1"/>
  <c r="J23" i="4"/>
  <c r="I23" i="4"/>
  <c r="H23" i="4"/>
  <c r="B8" i="4"/>
  <c r="G8" i="4" s="1"/>
  <c r="G23" i="4"/>
  <c r="F23" i="4"/>
  <c r="U214" i="4"/>
  <c r="T214" i="4"/>
  <c r="S214" i="4"/>
  <c r="P214" i="4"/>
  <c r="P244" i="4"/>
  <c r="U244" i="4"/>
  <c r="T244" i="4"/>
  <c r="S244" i="4"/>
  <c r="P130" i="4"/>
  <c r="U130" i="4"/>
  <c r="T130" i="4"/>
  <c r="S130" i="4"/>
  <c r="T183" i="4"/>
  <c r="S183" i="4"/>
  <c r="P183" i="4"/>
  <c r="U183" i="4"/>
  <c r="J75" i="3"/>
  <c r="O49" i="7"/>
  <c r="R64" i="9"/>
  <c r="N69" i="9"/>
  <c r="O64" i="9"/>
  <c r="H45" i="9"/>
  <c r="R64" i="19"/>
  <c r="O64" i="19"/>
  <c r="N69" i="19"/>
  <c r="O68" i="13"/>
  <c r="R68" i="13"/>
  <c r="R66" i="11"/>
  <c r="O66" i="11"/>
  <c r="R65" i="11"/>
  <c r="O65" i="11"/>
  <c r="R66" i="15"/>
  <c r="O66" i="15"/>
  <c r="R68" i="23"/>
  <c r="O68" i="23"/>
  <c r="T199" i="4"/>
  <c r="S199" i="4"/>
  <c r="P199" i="4"/>
  <c r="U199" i="4"/>
  <c r="S111" i="4"/>
  <c r="T111" i="4"/>
  <c r="P111" i="4"/>
  <c r="U111" i="4"/>
  <c r="U150" i="4"/>
  <c r="T150" i="4"/>
  <c r="S150" i="4"/>
  <c r="P150" i="4"/>
  <c r="J101" i="2"/>
  <c r="M101" i="2" s="1"/>
  <c r="P101" i="2" s="1"/>
  <c r="F77" i="2"/>
  <c r="T86" i="4"/>
  <c r="P86" i="4"/>
  <c r="U86" i="4"/>
  <c r="S86" i="4"/>
  <c r="Q83" i="3"/>
  <c r="O83" i="3"/>
  <c r="B9" i="4"/>
  <c r="G9" i="4" s="1"/>
  <c r="M84" i="3"/>
  <c r="AA1" i="25"/>
  <c r="I149" i="26"/>
  <c r="Q28" i="25"/>
  <c r="W13" i="26"/>
  <c r="G15" i="2"/>
  <c r="H15" i="2" s="1"/>
  <c r="H38" i="21"/>
  <c r="J13" i="2" s="1"/>
  <c r="Q30" i="21"/>
  <c r="C13" i="2"/>
  <c r="T222" i="4"/>
  <c r="S222" i="4"/>
  <c r="P222" i="4"/>
  <c r="U222" i="4"/>
  <c r="J28" i="4"/>
  <c r="B13" i="4"/>
  <c r="G13" i="4" s="1"/>
  <c r="D28" i="4"/>
  <c r="C28" i="4"/>
  <c r="I28" i="4"/>
  <c r="H28" i="4"/>
  <c r="G28" i="4"/>
  <c r="F28" i="4"/>
  <c r="E28" i="4"/>
  <c r="U173" i="4"/>
  <c r="T173" i="4"/>
  <c r="S173" i="4"/>
  <c r="P173" i="4"/>
  <c r="R173" i="4" s="1"/>
  <c r="R65" i="15"/>
  <c r="O65" i="15"/>
  <c r="R68" i="15"/>
  <c r="O68" i="15"/>
  <c r="R64" i="13"/>
  <c r="N69" i="13"/>
  <c r="O64" i="13"/>
  <c r="R68" i="11"/>
  <c r="O68" i="11"/>
  <c r="E79" i="23"/>
  <c r="R66" i="23"/>
  <c r="O66" i="23"/>
  <c r="I90" i="2"/>
  <c r="M90" i="2" s="1"/>
  <c r="I42" i="2"/>
  <c r="M42" i="2" s="1"/>
  <c r="O66" i="25"/>
  <c r="R66" i="25"/>
  <c r="T70" i="4"/>
  <c r="P70" i="4"/>
  <c r="U70" i="4"/>
  <c r="S70" i="4"/>
  <c r="T110" i="4"/>
  <c r="S110" i="4"/>
  <c r="P110" i="4"/>
  <c r="U110" i="4"/>
  <c r="P83" i="3"/>
  <c r="B15" i="4"/>
  <c r="G15" i="4" s="1"/>
  <c r="H24" i="4"/>
  <c r="F73" i="3"/>
  <c r="F77" i="3" s="1"/>
  <c r="Q31" i="9"/>
  <c r="M29" i="9"/>
  <c r="K7" i="2"/>
  <c r="AA1" i="9"/>
  <c r="Q28" i="9"/>
  <c r="W13" i="10"/>
  <c r="I149" i="10"/>
  <c r="G7" i="2"/>
  <c r="H7" i="2" s="1"/>
  <c r="P230" i="4"/>
  <c r="U230" i="4"/>
  <c r="T230" i="4"/>
  <c r="S230" i="4"/>
  <c r="U215" i="4"/>
  <c r="P215" i="4"/>
  <c r="T215" i="4"/>
  <c r="S215" i="4"/>
  <c r="W13" i="24"/>
  <c r="AA1" i="23"/>
  <c r="I149" i="24"/>
  <c r="Q28" i="23"/>
  <c r="G14" i="2"/>
  <c r="H14" i="2" s="1"/>
  <c r="M29" i="27"/>
  <c r="Q31" i="27"/>
  <c r="K16" i="2"/>
  <c r="M29" i="23"/>
  <c r="Q31" i="23"/>
  <c r="K14" i="2"/>
  <c r="Q30" i="23"/>
  <c r="E81" i="23"/>
  <c r="H38" i="23"/>
  <c r="E84" i="23"/>
  <c r="C14" i="2"/>
  <c r="H44" i="21"/>
  <c r="H45" i="21" s="1"/>
  <c r="Q29" i="27"/>
  <c r="I150" i="28"/>
  <c r="L16" i="2"/>
  <c r="M30" i="21"/>
  <c r="I39" i="19"/>
  <c r="H38" i="11"/>
  <c r="J8" i="2" s="1"/>
  <c r="Q30" i="11"/>
  <c r="C8" i="2"/>
  <c r="I149" i="8"/>
  <c r="W13" i="8"/>
  <c r="Q28" i="7"/>
  <c r="AA1" i="7"/>
  <c r="G6" i="2"/>
  <c r="H6" i="2" s="1"/>
  <c r="I44" i="5"/>
  <c r="B73" i="3"/>
  <c r="U242" i="4"/>
  <c r="S242" i="4"/>
  <c r="T242" i="4"/>
  <c r="P242" i="4"/>
  <c r="P209" i="4"/>
  <c r="T209" i="4"/>
  <c r="S209" i="4"/>
  <c r="U209" i="4"/>
  <c r="P154" i="4"/>
  <c r="U154" i="4"/>
  <c r="T154" i="4"/>
  <c r="S154" i="4"/>
  <c r="T191" i="4"/>
  <c r="S191" i="4"/>
  <c r="P191" i="4"/>
  <c r="U191" i="4"/>
  <c r="O64" i="11"/>
  <c r="N69" i="11"/>
  <c r="R64" i="11"/>
  <c r="O48" i="11"/>
  <c r="I41" i="11"/>
  <c r="I44" i="11" s="1"/>
  <c r="N53" i="11"/>
  <c r="H41" i="11" s="1"/>
  <c r="R66" i="13"/>
  <c r="O66" i="13"/>
  <c r="R67" i="11"/>
  <c r="O67" i="11"/>
  <c r="O68" i="17"/>
  <c r="R68" i="17"/>
  <c r="R64" i="25"/>
  <c r="N69" i="25"/>
  <c r="O64" i="25"/>
  <c r="H45" i="25"/>
  <c r="P84" i="4"/>
  <c r="T84" i="4"/>
  <c r="S84" i="4"/>
  <c r="U84" i="4"/>
  <c r="U109" i="4"/>
  <c r="S109" i="4"/>
  <c r="P109" i="4"/>
  <c r="T109" i="4"/>
  <c r="J109" i="2"/>
  <c r="M109" i="2" s="1"/>
  <c r="P109" i="2" s="1"/>
  <c r="G78" i="2"/>
  <c r="U133" i="4"/>
  <c r="S133" i="4"/>
  <c r="T133" i="4"/>
  <c r="P133" i="4"/>
  <c r="P88" i="4"/>
  <c r="U88" i="4"/>
  <c r="T88" i="4"/>
  <c r="S88" i="4"/>
  <c r="U126" i="4"/>
  <c r="T126" i="4"/>
  <c r="P126" i="4"/>
  <c r="S126" i="4"/>
  <c r="I30" i="4"/>
  <c r="I24" i="4"/>
  <c r="N84" i="3"/>
  <c r="U239" i="4"/>
  <c r="P239" i="4"/>
  <c r="T239" i="4"/>
  <c r="S239" i="4"/>
  <c r="U157" i="4"/>
  <c r="S157" i="4"/>
  <c r="P157" i="4"/>
  <c r="T157" i="4"/>
  <c r="T207" i="4"/>
  <c r="S207" i="4"/>
  <c r="P207" i="4"/>
  <c r="U207" i="4"/>
  <c r="P86" i="3"/>
  <c r="N53" i="5"/>
  <c r="H41" i="5" s="1"/>
  <c r="H44" i="5" s="1"/>
  <c r="H45" i="5" s="1"/>
  <c r="O48" i="5"/>
  <c r="I41" i="5"/>
  <c r="N53" i="19"/>
  <c r="H41" i="19" s="1"/>
  <c r="H44" i="19" s="1"/>
  <c r="H45" i="19" s="1"/>
  <c r="O48" i="19"/>
  <c r="I41" i="19"/>
  <c r="N69" i="15"/>
  <c r="O64" i="15"/>
  <c r="R64" i="15"/>
  <c r="O65" i="17"/>
  <c r="R65" i="17"/>
  <c r="R67" i="15"/>
  <c r="O67" i="15"/>
  <c r="I41" i="13"/>
  <c r="N53" i="13"/>
  <c r="H41" i="13" s="1"/>
  <c r="O48" i="13"/>
  <c r="O65" i="19"/>
  <c r="R65" i="19"/>
  <c r="R68" i="27"/>
  <c r="O68" i="27"/>
  <c r="N69" i="27"/>
  <c r="O64" i="27"/>
  <c r="H45" i="27"/>
  <c r="R64" i="27"/>
  <c r="U108" i="4"/>
  <c r="S108" i="4"/>
  <c r="P108" i="4"/>
  <c r="T108" i="4"/>
  <c r="L83" i="3"/>
  <c r="J114" i="2"/>
  <c r="M114" i="2" s="1"/>
  <c r="P114" i="2" s="1"/>
  <c r="E79" i="2"/>
  <c r="J24" i="4"/>
  <c r="O84" i="3"/>
  <c r="R65" i="9"/>
  <c r="O65" i="9"/>
  <c r="R68" i="9"/>
  <c r="O68" i="9"/>
  <c r="O66" i="17"/>
  <c r="R66" i="17"/>
  <c r="R64" i="17"/>
  <c r="N69" i="17"/>
  <c r="O64" i="17"/>
  <c r="I41" i="17"/>
  <c r="N53" i="17"/>
  <c r="H41" i="17" s="1"/>
  <c r="O48" i="17"/>
  <c r="R65" i="13"/>
  <c r="O65" i="13"/>
  <c r="R67" i="25"/>
  <c r="O67" i="25"/>
  <c r="O65" i="21"/>
  <c r="R65" i="21"/>
  <c r="R64" i="23"/>
  <c r="N69" i="23"/>
  <c r="I91" i="2" s="1"/>
  <c r="M91" i="2" s="1"/>
  <c r="O64" i="23"/>
  <c r="J30" i="4"/>
  <c r="G30" i="4"/>
  <c r="J29" i="4"/>
  <c r="G29" i="4"/>
  <c r="B14" i="4"/>
  <c r="G14" i="4" s="1"/>
  <c r="E29" i="4"/>
  <c r="F30" i="4"/>
  <c r="T100" i="4"/>
  <c r="U100" i="4"/>
  <c r="S100" i="4"/>
  <c r="P100" i="4"/>
  <c r="R100" i="4" s="1"/>
  <c r="M83" i="3"/>
  <c r="J115" i="2"/>
  <c r="M115" i="2" s="1"/>
  <c r="P115" i="2" s="1"/>
  <c r="F79" i="2"/>
  <c r="J73" i="3"/>
  <c r="I149" i="20"/>
  <c r="Q28" i="19"/>
  <c r="AA1" i="19"/>
  <c r="W13" i="20"/>
  <c r="G12" i="2"/>
  <c r="H12" i="2" s="1"/>
  <c r="I62" i="17"/>
  <c r="H39" i="17" s="1"/>
  <c r="H44" i="17" s="1"/>
  <c r="H45" i="17" s="1"/>
  <c r="I39" i="17"/>
  <c r="J131" i="2"/>
  <c r="M131" i="2" s="1"/>
  <c r="P131" i="2" s="1"/>
  <c r="H81" i="2"/>
  <c r="Q31" i="19"/>
  <c r="M29" i="19"/>
  <c r="K12" i="2"/>
  <c r="M29" i="13"/>
  <c r="Q31" i="13"/>
  <c r="K9" i="2"/>
  <c r="Q28" i="5"/>
  <c r="W13" i="6"/>
  <c r="I149" i="6"/>
  <c r="AA1" i="5"/>
  <c r="G5" i="2"/>
  <c r="H5" i="2" s="1"/>
  <c r="Q31" i="15"/>
  <c r="M29" i="15"/>
  <c r="K10" i="2"/>
  <c r="U231" i="4"/>
  <c r="P231" i="4"/>
  <c r="T231" i="4"/>
  <c r="S231" i="4"/>
  <c r="O66" i="9"/>
  <c r="R66" i="9"/>
  <c r="R67" i="9"/>
  <c r="O67" i="9"/>
  <c r="R67" i="17"/>
  <c r="O67" i="17"/>
  <c r="O67" i="19"/>
  <c r="R67" i="19"/>
  <c r="O66" i="19"/>
  <c r="R66" i="19"/>
  <c r="N53" i="25"/>
  <c r="H41" i="25" s="1"/>
  <c r="H44" i="25" s="1"/>
  <c r="O48" i="25"/>
  <c r="I41" i="25"/>
  <c r="I44" i="25" s="1"/>
  <c r="N53" i="27"/>
  <c r="H41" i="27" s="1"/>
  <c r="H44" i="27" s="1"/>
  <c r="O48" i="27"/>
  <c r="I41" i="27"/>
  <c r="I44" i="27" s="1"/>
  <c r="O67" i="21"/>
  <c r="R67" i="21"/>
  <c r="R68" i="25"/>
  <c r="O68" i="25"/>
  <c r="U125" i="4"/>
  <c r="T125" i="4"/>
  <c r="S125" i="4"/>
  <c r="P125" i="4"/>
  <c r="R123" i="4" s="1"/>
  <c r="P121" i="4"/>
  <c r="U121" i="4"/>
  <c r="T121" i="4"/>
  <c r="S121" i="4"/>
  <c r="S72" i="4"/>
  <c r="U72" i="4"/>
  <c r="T72" i="4"/>
  <c r="P72" i="4"/>
  <c r="R72" i="4" s="1"/>
  <c r="T119" i="4"/>
  <c r="S119" i="4"/>
  <c r="P119" i="4"/>
  <c r="U119" i="4"/>
  <c r="F22" i="4"/>
  <c r="B7" i="4"/>
  <c r="J22" i="4"/>
  <c r="I22" i="4"/>
  <c r="H22" i="4"/>
  <c r="G22" i="4"/>
  <c r="E22" i="4"/>
  <c r="D72" i="3"/>
  <c r="E24" i="4"/>
  <c r="P84" i="3"/>
  <c r="U30" i="27"/>
  <c r="P16" i="2" s="1"/>
  <c r="U29" i="27"/>
  <c r="O150" i="28"/>
  <c r="U31" i="27"/>
  <c r="U28" i="27"/>
  <c r="O149" i="28"/>
  <c r="B16" i="2"/>
  <c r="I44" i="21"/>
  <c r="M29" i="21"/>
  <c r="Q31" i="21"/>
  <c r="K13" i="2"/>
  <c r="I149" i="16"/>
  <c r="Q28" i="15"/>
  <c r="W13" i="16"/>
  <c r="AA1" i="15"/>
  <c r="G10" i="2"/>
  <c r="H10" i="2" s="1"/>
  <c r="M29" i="7"/>
  <c r="Q31" i="7"/>
  <c r="K6" i="2"/>
  <c r="P114" i="4"/>
  <c r="T114" i="4"/>
  <c r="U114" i="4"/>
  <c r="S114" i="4"/>
  <c r="I149" i="22"/>
  <c r="W13" i="22"/>
  <c r="AA1" i="21"/>
  <c r="Q28" i="21"/>
  <c r="G13" i="2"/>
  <c r="H13" i="2" s="1"/>
  <c r="R220" i="4"/>
  <c r="R221" i="4"/>
  <c r="P212" i="4"/>
  <c r="S212" i="4"/>
  <c r="U212" i="4"/>
  <c r="T212" i="4"/>
  <c r="P146" i="4"/>
  <c r="R167" i="4" s="1"/>
  <c r="U146" i="4"/>
  <c r="T146" i="4"/>
  <c r="S146" i="4"/>
  <c r="F75" i="3"/>
  <c r="I44" i="13"/>
  <c r="W13" i="18"/>
  <c r="I149" i="18"/>
  <c r="Q28" i="17"/>
  <c r="AA1" i="17"/>
  <c r="G11" i="2"/>
  <c r="H11" i="2" s="1"/>
  <c r="H74" i="3"/>
  <c r="H77" i="3" s="1"/>
  <c r="H44" i="13"/>
  <c r="H45" i="13" s="1"/>
  <c r="W13" i="12"/>
  <c r="I149" i="12"/>
  <c r="Q28" i="11"/>
  <c r="AA1" i="11"/>
  <c r="G8" i="2"/>
  <c r="H8" i="2" s="1"/>
  <c r="M69" i="7"/>
  <c r="O64" i="7"/>
  <c r="S238" i="4"/>
  <c r="P238" i="4"/>
  <c r="R238" i="4" s="1"/>
  <c r="U238" i="4"/>
  <c r="T238" i="4"/>
  <c r="R226" i="4"/>
  <c r="D75" i="3"/>
  <c r="O50" i="11"/>
  <c r="I41" i="15"/>
  <c r="I44" i="15" s="1"/>
  <c r="O48" i="15"/>
  <c r="N53" i="15"/>
  <c r="H41" i="15" s="1"/>
  <c r="H44" i="15" s="1"/>
  <c r="H45" i="15" s="1"/>
  <c r="I41" i="7"/>
  <c r="I44" i="7" s="1"/>
  <c r="N53" i="7"/>
  <c r="H41" i="7" s="1"/>
  <c r="H44" i="7" s="1"/>
  <c r="H45" i="7" s="1"/>
  <c r="O48" i="7"/>
  <c r="R64" i="21"/>
  <c r="R69" i="21" s="1"/>
  <c r="N69" i="21"/>
  <c r="O64" i="21"/>
  <c r="R68" i="19"/>
  <c r="O68" i="19"/>
  <c r="R65" i="25"/>
  <c r="O65" i="25"/>
  <c r="R65" i="27"/>
  <c r="O65" i="27"/>
  <c r="R65" i="23"/>
  <c r="O65" i="23"/>
  <c r="O48" i="23"/>
  <c r="N53" i="23"/>
  <c r="H41" i="23" s="1"/>
  <c r="I41" i="23"/>
  <c r="I44" i="23" s="1"/>
  <c r="R66" i="27"/>
  <c r="O66" i="27"/>
  <c r="T175" i="4"/>
  <c r="S175" i="4"/>
  <c r="P175" i="4"/>
  <c r="R181" i="4" s="1"/>
  <c r="U175" i="4"/>
  <c r="J97" i="3"/>
  <c r="U97" i="3" s="1"/>
  <c r="H26" i="4"/>
  <c r="G26" i="4"/>
  <c r="E26" i="4"/>
  <c r="D26" i="4"/>
  <c r="C26" i="4"/>
  <c r="B11" i="4"/>
  <c r="G11" i="4" s="1"/>
  <c r="J26" i="4"/>
  <c r="I26" i="4"/>
  <c r="P74" i="4"/>
  <c r="S74" i="4"/>
  <c r="U74" i="4"/>
  <c r="T74" i="4"/>
  <c r="H29" i="4"/>
  <c r="J108" i="2"/>
  <c r="M108" i="2" s="1"/>
  <c r="P108" i="2" s="1"/>
  <c r="F78" i="2"/>
  <c r="N83" i="3"/>
  <c r="I29" i="4"/>
  <c r="F24" i="4"/>
  <c r="L84" i="3"/>
  <c r="Q84" i="3"/>
  <c r="R139" i="4" l="1"/>
  <c r="R142" i="4"/>
  <c r="R89" i="4"/>
  <c r="R105" i="4"/>
  <c r="R113" i="4"/>
  <c r="R153" i="4"/>
  <c r="R131" i="4"/>
  <c r="R129" i="4"/>
  <c r="R206" i="4"/>
  <c r="J152" i="2"/>
  <c r="M152" i="2" s="1"/>
  <c r="P152" i="2" s="1"/>
  <c r="J85" i="2"/>
  <c r="G9" i="2"/>
  <c r="H9" i="2" s="1"/>
  <c r="I149" i="14"/>
  <c r="Q28" i="13"/>
  <c r="W13" i="14"/>
  <c r="AA1" i="13"/>
  <c r="R236" i="4"/>
  <c r="R69" i="17"/>
  <c r="R215" i="4"/>
  <c r="I44" i="19"/>
  <c r="R125" i="4"/>
  <c r="H44" i="11"/>
  <c r="H45" i="11" s="1"/>
  <c r="H46" i="21"/>
  <c r="I45" i="21"/>
  <c r="I46" i="21" s="1"/>
  <c r="H46" i="7"/>
  <c r="I45" i="7"/>
  <c r="I46" i="7" s="1"/>
  <c r="I45" i="13"/>
  <c r="I46" i="13" s="1"/>
  <c r="H46" i="13"/>
  <c r="H46" i="17"/>
  <c r="H46" i="5"/>
  <c r="I45" i="5"/>
  <c r="I46" i="5" s="1"/>
  <c r="I45" i="15"/>
  <c r="I46" i="15" s="1"/>
  <c r="H46" i="15"/>
  <c r="H46" i="19"/>
  <c r="I45" i="19"/>
  <c r="I46" i="19" s="1"/>
  <c r="J133" i="2"/>
  <c r="M133" i="2" s="1"/>
  <c r="P133" i="2" s="1"/>
  <c r="J81" i="2"/>
  <c r="R107" i="4"/>
  <c r="R241" i="4"/>
  <c r="U30" i="11"/>
  <c r="P8" i="2" s="1"/>
  <c r="U31" i="11"/>
  <c r="U28" i="11"/>
  <c r="O149" i="12"/>
  <c r="B8" i="2"/>
  <c r="J106" i="2"/>
  <c r="M106" i="2" s="1"/>
  <c r="P106" i="2" s="1"/>
  <c r="K77" i="2"/>
  <c r="I32" i="4"/>
  <c r="I92" i="2" s="1"/>
  <c r="M92" i="2" s="1"/>
  <c r="R119" i="4"/>
  <c r="R137" i="4"/>
  <c r="R78" i="4"/>
  <c r="R108" i="4"/>
  <c r="R177" i="4"/>
  <c r="R189" i="4"/>
  <c r="R239" i="4"/>
  <c r="K85" i="2"/>
  <c r="J162" i="2"/>
  <c r="M162" i="2" s="1"/>
  <c r="P162" i="2" s="1"/>
  <c r="R69" i="11"/>
  <c r="R208" i="4"/>
  <c r="O149" i="24"/>
  <c r="U31" i="23"/>
  <c r="U30" i="23"/>
  <c r="P14" i="2" s="1"/>
  <c r="U28" i="23"/>
  <c r="B14" i="2"/>
  <c r="R87" i="4"/>
  <c r="R128" i="4"/>
  <c r="R192" i="4"/>
  <c r="J143" i="2"/>
  <c r="M143" i="2" s="1"/>
  <c r="P143" i="2" s="1"/>
  <c r="F83" i="2"/>
  <c r="R211" i="4"/>
  <c r="R102" i="4"/>
  <c r="R111" i="4"/>
  <c r="J110" i="2"/>
  <c r="M110" i="2" s="1"/>
  <c r="P110" i="2" s="1"/>
  <c r="H78" i="2"/>
  <c r="R115" i="4"/>
  <c r="R76" i="4"/>
  <c r="R68" i="4"/>
  <c r="R64" i="4"/>
  <c r="J123" i="2"/>
  <c r="M123" i="2" s="1"/>
  <c r="P123" i="2" s="1"/>
  <c r="G80" i="2"/>
  <c r="R73" i="4"/>
  <c r="R160" i="4"/>
  <c r="J155" i="2"/>
  <c r="M155" i="2" s="1"/>
  <c r="P155" i="2" s="1"/>
  <c r="K84" i="2"/>
  <c r="L73" i="3"/>
  <c r="M180" i="2" s="1"/>
  <c r="U84" i="3"/>
  <c r="W50" i="3"/>
  <c r="I180" i="2"/>
  <c r="J160" i="2"/>
  <c r="M160" i="2" s="1"/>
  <c r="P160" i="2" s="1"/>
  <c r="I85" i="2"/>
  <c r="R96" i="4"/>
  <c r="R106" i="4"/>
  <c r="H46" i="11"/>
  <c r="I45" i="11"/>
  <c r="I46" i="11" s="1"/>
  <c r="I150" i="24"/>
  <c r="O150" i="24" s="1"/>
  <c r="Q29" i="23"/>
  <c r="U29" i="23" s="1"/>
  <c r="L14" i="2"/>
  <c r="I57" i="2"/>
  <c r="M57" i="2" s="1"/>
  <c r="R151" i="4"/>
  <c r="R217" i="4"/>
  <c r="R86" i="4"/>
  <c r="R98" i="4"/>
  <c r="R69" i="9"/>
  <c r="J111" i="2"/>
  <c r="M111" i="2" s="1"/>
  <c r="P111" i="2" s="1"/>
  <c r="I78" i="2"/>
  <c r="R223" i="4"/>
  <c r="J77" i="3"/>
  <c r="U83" i="3"/>
  <c r="W47" i="3"/>
  <c r="L72" i="3"/>
  <c r="G3" i="3"/>
  <c r="O3" i="3" s="1"/>
  <c r="I179" i="2"/>
  <c r="J124" i="2"/>
  <c r="M124" i="2" s="1"/>
  <c r="P124" i="2" s="1"/>
  <c r="H80" i="2"/>
  <c r="R175" i="4"/>
  <c r="R182" i="4"/>
  <c r="R196" i="4"/>
  <c r="R204" i="4"/>
  <c r="R190" i="4"/>
  <c r="R187" i="4"/>
  <c r="R174" i="4"/>
  <c r="R195" i="4"/>
  <c r="R179" i="4"/>
  <c r="R203" i="4"/>
  <c r="R180" i="4"/>
  <c r="R188" i="4"/>
  <c r="J32" i="4"/>
  <c r="I44" i="17"/>
  <c r="I45" i="17" s="1"/>
  <c r="I46" i="17" s="1"/>
  <c r="J117" i="2"/>
  <c r="M117" i="2" s="1"/>
  <c r="P117" i="2" s="1"/>
  <c r="H79" i="2"/>
  <c r="E81" i="2"/>
  <c r="J128" i="2"/>
  <c r="M128" i="2" s="1"/>
  <c r="P128" i="2" s="1"/>
  <c r="C32" i="4"/>
  <c r="I150" i="18"/>
  <c r="Q29" i="17"/>
  <c r="L11" i="2"/>
  <c r="N11" i="2" s="1"/>
  <c r="R114" i="4"/>
  <c r="U28" i="15"/>
  <c r="O149" i="16"/>
  <c r="U30" i="15"/>
  <c r="P10" i="2" s="1"/>
  <c r="U31" i="15"/>
  <c r="B10" i="2"/>
  <c r="O16" i="2"/>
  <c r="I16" i="2"/>
  <c r="G79" i="2"/>
  <c r="J116" i="2"/>
  <c r="M116" i="2" s="1"/>
  <c r="P116" i="2" s="1"/>
  <c r="B16" i="4"/>
  <c r="I168" i="2" s="1"/>
  <c r="G7" i="4"/>
  <c r="G16" i="4" s="1"/>
  <c r="R121" i="4"/>
  <c r="R237" i="4"/>
  <c r="R164" i="4"/>
  <c r="R117" i="4"/>
  <c r="R193" i="4"/>
  <c r="R197" i="4"/>
  <c r="R157" i="4"/>
  <c r="R168" i="4"/>
  <c r="R82" i="4"/>
  <c r="R84" i="4"/>
  <c r="N16" i="2"/>
  <c r="Q29" i="9"/>
  <c r="I150" i="10"/>
  <c r="O150" i="10" s="1"/>
  <c r="L7" i="2"/>
  <c r="N7" i="2" s="1"/>
  <c r="J119" i="2"/>
  <c r="M119" i="2" s="1"/>
  <c r="P119" i="2" s="1"/>
  <c r="J79" i="2"/>
  <c r="R66" i="4"/>
  <c r="R69" i="13"/>
  <c r="G83" i="2"/>
  <c r="J144" i="2"/>
  <c r="M144" i="2" s="1"/>
  <c r="P144" i="2" s="1"/>
  <c r="U29" i="25"/>
  <c r="O149" i="26"/>
  <c r="U30" i="25"/>
  <c r="P15" i="2" s="1"/>
  <c r="U28" i="25"/>
  <c r="O150" i="26"/>
  <c r="U31" i="25"/>
  <c r="B15" i="2"/>
  <c r="R150" i="4"/>
  <c r="G17" i="4"/>
  <c r="J125" i="2"/>
  <c r="M125" i="2" s="1"/>
  <c r="P125" i="2" s="1"/>
  <c r="I80" i="2"/>
  <c r="J129" i="2"/>
  <c r="M129" i="2" s="1"/>
  <c r="P129" i="2" s="1"/>
  <c r="F81" i="2"/>
  <c r="I150" i="12"/>
  <c r="O150" i="12" s="1"/>
  <c r="Q29" i="11"/>
  <c r="U29" i="11" s="1"/>
  <c r="L8" i="2"/>
  <c r="N8" i="2" s="1"/>
  <c r="R146" i="4"/>
  <c r="R145" i="4"/>
  <c r="R158" i="4"/>
  <c r="R161" i="4"/>
  <c r="I150" i="16"/>
  <c r="O150" i="16" s="1"/>
  <c r="Q29" i="15"/>
  <c r="U29" i="15" s="1"/>
  <c r="L10" i="2"/>
  <c r="N10" i="2" s="1"/>
  <c r="D77" i="3"/>
  <c r="J103" i="2"/>
  <c r="M103" i="2" s="1"/>
  <c r="P103" i="2" s="1"/>
  <c r="H77" i="2"/>
  <c r="F32" i="4"/>
  <c r="R240" i="4"/>
  <c r="J159" i="2"/>
  <c r="M159" i="2" s="1"/>
  <c r="P159" i="2" s="1"/>
  <c r="H85" i="2"/>
  <c r="R85" i="4"/>
  <c r="R65" i="4"/>
  <c r="R169" i="4"/>
  <c r="R227" i="4"/>
  <c r="R88" i="4"/>
  <c r="H46" i="25"/>
  <c r="I45" i="25"/>
  <c r="I46" i="25" s="1"/>
  <c r="R162" i="4"/>
  <c r="R154" i="4"/>
  <c r="R127" i="4"/>
  <c r="R70" i="4"/>
  <c r="J145" i="2"/>
  <c r="M145" i="2" s="1"/>
  <c r="P145" i="2" s="1"/>
  <c r="H83" i="2"/>
  <c r="R228" i="4"/>
  <c r="R132" i="4"/>
  <c r="R118" i="4"/>
  <c r="W56" i="3"/>
  <c r="L75" i="3"/>
  <c r="M182" i="2" s="1"/>
  <c r="I182" i="2"/>
  <c r="U86" i="3"/>
  <c r="R244" i="4"/>
  <c r="J112" i="2"/>
  <c r="M112" i="2" s="1"/>
  <c r="P112" i="2" s="1"/>
  <c r="J78" i="2"/>
  <c r="R176" i="4"/>
  <c r="J127" i="2"/>
  <c r="M127" i="2" s="1"/>
  <c r="P127" i="2" s="1"/>
  <c r="K80" i="2"/>
  <c r="W53" i="3"/>
  <c r="L74" i="3"/>
  <c r="M181" i="2" s="1"/>
  <c r="U85" i="3"/>
  <c r="I181" i="2"/>
  <c r="J130" i="2"/>
  <c r="M130" i="2" s="1"/>
  <c r="P130" i="2" s="1"/>
  <c r="G81" i="2"/>
  <c r="O149" i="22"/>
  <c r="U31" i="21"/>
  <c r="U28" i="21"/>
  <c r="U30" i="21"/>
  <c r="P13" i="2" s="1"/>
  <c r="B13" i="2"/>
  <c r="R201" i="4"/>
  <c r="R69" i="4"/>
  <c r="R147" i="4"/>
  <c r="R198" i="4"/>
  <c r="J151" i="2"/>
  <c r="M151" i="2" s="1"/>
  <c r="P151" i="2" s="1"/>
  <c r="G84" i="2"/>
  <c r="R235" i="4"/>
  <c r="R126" i="4"/>
  <c r="R71" i="4"/>
  <c r="R109" i="4"/>
  <c r="R194" i="4"/>
  <c r="R209" i="4"/>
  <c r="U31" i="7"/>
  <c r="U28" i="7"/>
  <c r="O149" i="8"/>
  <c r="U30" i="7"/>
  <c r="P6" i="2" s="1"/>
  <c r="B6" i="2"/>
  <c r="J14" i="2"/>
  <c r="H44" i="23"/>
  <c r="O149" i="10"/>
  <c r="U31" i="9"/>
  <c r="U29" i="9"/>
  <c r="U28" i="9"/>
  <c r="U30" i="9"/>
  <c r="P7" i="2" s="1"/>
  <c r="B7" i="2"/>
  <c r="R75" i="4"/>
  <c r="I83" i="2"/>
  <c r="J146" i="2"/>
  <c r="M146" i="2" s="1"/>
  <c r="P146" i="2" s="1"/>
  <c r="D32" i="4"/>
  <c r="R140" i="4"/>
  <c r="R135" i="4"/>
  <c r="R214" i="4"/>
  <c r="R229" i="4"/>
  <c r="R225" i="4"/>
  <c r="R243" i="4"/>
  <c r="J113" i="2"/>
  <c r="M113" i="2" s="1"/>
  <c r="P113" i="2" s="1"/>
  <c r="K78" i="2"/>
  <c r="B77" i="3"/>
  <c r="R156" i="4"/>
  <c r="J126" i="2"/>
  <c r="M126" i="2" s="1"/>
  <c r="P126" i="2" s="1"/>
  <c r="J80" i="2"/>
  <c r="R148" i="4"/>
  <c r="J132" i="2"/>
  <c r="M132" i="2" s="1"/>
  <c r="P132" i="2" s="1"/>
  <c r="I81" i="2"/>
  <c r="R170" i="4"/>
  <c r="I150" i="22"/>
  <c r="O150" i="22" s="1"/>
  <c r="Q29" i="21"/>
  <c r="U29" i="21" s="1"/>
  <c r="L13" i="2"/>
  <c r="N13" i="2" s="1"/>
  <c r="R186" i="4"/>
  <c r="G77" i="2"/>
  <c r="J102" i="2"/>
  <c r="M102" i="2" s="1"/>
  <c r="P102" i="2" s="1"/>
  <c r="E32" i="4"/>
  <c r="R91" i="4"/>
  <c r="U30" i="5"/>
  <c r="P5" i="2" s="1"/>
  <c r="O149" i="6"/>
  <c r="U31" i="5"/>
  <c r="U28" i="5"/>
  <c r="B5" i="2"/>
  <c r="I150" i="20"/>
  <c r="Q29" i="19"/>
  <c r="L12" i="2"/>
  <c r="N12" i="2" s="1"/>
  <c r="R101" i="4"/>
  <c r="R69" i="23"/>
  <c r="R77" i="4"/>
  <c r="R69" i="27"/>
  <c r="R69" i="15"/>
  <c r="R207" i="4"/>
  <c r="R218" i="4"/>
  <c r="R133" i="4"/>
  <c r="R191" i="4"/>
  <c r="R171" i="4"/>
  <c r="R242" i="4"/>
  <c r="R90" i="4"/>
  <c r="J147" i="2"/>
  <c r="M147" i="2" s="1"/>
  <c r="P147" i="2" s="1"/>
  <c r="J83" i="2"/>
  <c r="R222" i="4"/>
  <c r="R69" i="19"/>
  <c r="R155" i="4"/>
  <c r="R130" i="4"/>
  <c r="R152" i="4"/>
  <c r="R103" i="4"/>
  <c r="R134" i="4"/>
  <c r="R74" i="4"/>
  <c r="R94" i="4"/>
  <c r="R95" i="4"/>
  <c r="R83" i="4"/>
  <c r="R81" i="4"/>
  <c r="R92" i="4"/>
  <c r="J153" i="2"/>
  <c r="M153" i="2" s="1"/>
  <c r="P153" i="2" s="1"/>
  <c r="I84" i="2"/>
  <c r="R116" i="4"/>
  <c r="H46" i="27"/>
  <c r="I45" i="27"/>
  <c r="I46" i="27" s="1"/>
  <c r="R69" i="25"/>
  <c r="R205" i="4"/>
  <c r="Q29" i="7"/>
  <c r="U29" i="7" s="1"/>
  <c r="I150" i="8"/>
  <c r="O150" i="8" s="1"/>
  <c r="L6" i="2"/>
  <c r="N6" i="2" s="1"/>
  <c r="R166" i="4"/>
  <c r="R165" i="4"/>
  <c r="R200" i="4"/>
  <c r="K83" i="2"/>
  <c r="J148" i="2"/>
  <c r="M148" i="2" s="1"/>
  <c r="P148" i="2" s="1"/>
  <c r="R124" i="4"/>
  <c r="R199" i="4"/>
  <c r="H46" i="9"/>
  <c r="I45" i="9"/>
  <c r="I46" i="9" s="1"/>
  <c r="R136" i="4"/>
  <c r="R112" i="4"/>
  <c r="R149" i="4"/>
  <c r="I77" i="2"/>
  <c r="J104" i="2"/>
  <c r="M104" i="2" s="1"/>
  <c r="P104" i="2" s="1"/>
  <c r="G32" i="4"/>
  <c r="O149" i="20"/>
  <c r="U29" i="19"/>
  <c r="O150" i="20"/>
  <c r="U30" i="19"/>
  <c r="P12" i="2" s="1"/>
  <c r="U28" i="19"/>
  <c r="U31" i="19"/>
  <c r="B12" i="2"/>
  <c r="J84" i="2"/>
  <c r="J154" i="2"/>
  <c r="M154" i="2" s="1"/>
  <c r="P154" i="2" s="1"/>
  <c r="J134" i="2"/>
  <c r="M134" i="2" s="1"/>
  <c r="P134" i="2" s="1"/>
  <c r="K81" i="2"/>
  <c r="R163" i="4"/>
  <c r="O149" i="18"/>
  <c r="U29" i="17"/>
  <c r="U31" i="17"/>
  <c r="O150" i="18"/>
  <c r="U28" i="17"/>
  <c r="U30" i="17"/>
  <c r="P11" i="2" s="1"/>
  <c r="B11" i="2"/>
  <c r="R178" i="4"/>
  <c r="R212" i="4"/>
  <c r="J77" i="2"/>
  <c r="J105" i="2"/>
  <c r="M105" i="2" s="1"/>
  <c r="P105" i="2" s="1"/>
  <c r="H32" i="4"/>
  <c r="R231" i="4"/>
  <c r="R232" i="4"/>
  <c r="I35" i="4"/>
  <c r="G36" i="4"/>
  <c r="R234" i="4"/>
  <c r="F35" i="4"/>
  <c r="A36" i="4"/>
  <c r="R233" i="4"/>
  <c r="I150" i="6"/>
  <c r="O150" i="6" s="1"/>
  <c r="Q29" i="5"/>
  <c r="U29" i="5" s="1"/>
  <c r="L5" i="2"/>
  <c r="N5" i="2" s="1"/>
  <c r="R172" i="4"/>
  <c r="J120" i="2"/>
  <c r="M120" i="2" s="1"/>
  <c r="P120" i="2" s="1"/>
  <c r="K79" i="2"/>
  <c r="R67" i="4"/>
  <c r="R216" i="4"/>
  <c r="N14" i="2"/>
  <c r="R210" i="4"/>
  <c r="R230" i="4"/>
  <c r="R110" i="4"/>
  <c r="R104" i="4"/>
  <c r="R202" i="4"/>
  <c r="R144" i="4"/>
  <c r="I88" i="2"/>
  <c r="M88" i="2" s="1"/>
  <c r="J142" i="2"/>
  <c r="M142" i="2" s="1"/>
  <c r="P142" i="2" s="1"/>
  <c r="E83" i="2"/>
  <c r="I150" i="26"/>
  <c r="Q29" i="25"/>
  <c r="L15" i="2"/>
  <c r="N15" i="2" s="1"/>
  <c r="R141" i="4"/>
  <c r="R183" i="4"/>
  <c r="R159" i="4"/>
  <c r="J118" i="2"/>
  <c r="M118" i="2" s="1"/>
  <c r="P118" i="2" s="1"/>
  <c r="I79" i="2"/>
  <c r="G85" i="2"/>
  <c r="M85" i="2" s="1"/>
  <c r="J158" i="2"/>
  <c r="M158" i="2" s="1"/>
  <c r="P158" i="2" s="1"/>
  <c r="R120" i="4"/>
  <c r="R138" i="4"/>
  <c r="O149" i="14" l="1"/>
  <c r="U30" i="13"/>
  <c r="P9" i="2" s="1"/>
  <c r="U28" i="13"/>
  <c r="B9" i="2"/>
  <c r="I150" i="14"/>
  <c r="O150" i="14" s="1"/>
  <c r="Q29" i="13"/>
  <c r="U29" i="13" s="1"/>
  <c r="L9" i="2"/>
  <c r="N9" i="2" s="1"/>
  <c r="U31" i="13"/>
  <c r="M78" i="2"/>
  <c r="M79" i="2"/>
  <c r="I7" i="2"/>
  <c r="O7" i="2"/>
  <c r="O11" i="2"/>
  <c r="I11" i="2"/>
  <c r="I6" i="2"/>
  <c r="O6" i="2"/>
  <c r="I174" i="2"/>
  <c r="M174" i="2" s="1"/>
  <c r="M168" i="2"/>
  <c r="M80" i="2"/>
  <c r="I14" i="2"/>
  <c r="O14" i="2"/>
  <c r="O15" i="2"/>
  <c r="I15" i="2"/>
  <c r="M81" i="2"/>
  <c r="L77" i="3"/>
  <c r="M179" i="2"/>
  <c r="N57" i="4"/>
  <c r="M59" i="4"/>
  <c r="N39" i="4"/>
  <c r="M48" i="4"/>
  <c r="M52" i="4"/>
  <c r="M54" i="4"/>
  <c r="N41" i="4"/>
  <c r="N44" i="4"/>
  <c r="M49" i="4"/>
  <c r="M53" i="4"/>
  <c r="N51" i="4"/>
  <c r="N53" i="4"/>
  <c r="M45" i="4"/>
  <c r="M50" i="4"/>
  <c r="N40" i="4"/>
  <c r="N56" i="4"/>
  <c r="M46" i="4"/>
  <c r="N54" i="4"/>
  <c r="N42" i="4"/>
  <c r="N38" i="4"/>
  <c r="N59" i="4"/>
  <c r="M56" i="4"/>
  <c r="M41" i="4"/>
  <c r="N43" i="4"/>
  <c r="N55" i="4"/>
  <c r="M43" i="4"/>
  <c r="M40" i="4"/>
  <c r="M57" i="4"/>
  <c r="N48" i="4"/>
  <c r="M38" i="4"/>
  <c r="M42" i="4"/>
  <c r="N45" i="4"/>
  <c r="N49" i="4"/>
  <c r="M55" i="4"/>
  <c r="M39" i="4"/>
  <c r="N46" i="4"/>
  <c r="N50" i="4"/>
  <c r="N58" i="4"/>
  <c r="N52" i="4"/>
  <c r="M44" i="4"/>
  <c r="N47" i="4"/>
  <c r="M51" i="4"/>
  <c r="M58" i="4"/>
  <c r="M47" i="4"/>
  <c r="M83" i="2"/>
  <c r="I13" i="2"/>
  <c r="O13" i="2"/>
  <c r="I5" i="2"/>
  <c r="O5" i="2"/>
  <c r="M84" i="2"/>
  <c r="I10" i="2"/>
  <c r="O10" i="2"/>
  <c r="I185" i="2"/>
  <c r="M185" i="2" s="1"/>
  <c r="I184" i="2"/>
  <c r="M184" i="2" s="1"/>
  <c r="I8" i="2"/>
  <c r="O8" i="2"/>
  <c r="I12" i="2"/>
  <c r="O12" i="2"/>
  <c r="M77" i="2"/>
  <c r="E86" i="23"/>
  <c r="H45" i="23"/>
  <c r="I9" i="2" l="1"/>
  <c r="O9" i="2"/>
  <c r="B42" i="4"/>
  <c r="A42" i="4"/>
  <c r="F42" i="4"/>
  <c r="C42" i="4"/>
  <c r="A41" i="4"/>
  <c r="F41" i="4"/>
  <c r="C41" i="4"/>
  <c r="B41" i="4"/>
  <c r="H40" i="4"/>
  <c r="G40" i="4"/>
  <c r="K40" i="4"/>
  <c r="J40" i="4"/>
  <c r="I40" i="4"/>
  <c r="K41" i="4"/>
  <c r="J41" i="4"/>
  <c r="I41" i="4"/>
  <c r="H41" i="4"/>
  <c r="G41" i="4"/>
  <c r="J52" i="4"/>
  <c r="K52" i="4"/>
  <c r="I52" i="4"/>
  <c r="H52" i="4"/>
  <c r="G52" i="4"/>
  <c r="G58" i="4"/>
  <c r="H58" i="4"/>
  <c r="K58" i="4"/>
  <c r="J58" i="4"/>
  <c r="I58" i="4"/>
  <c r="B38" i="4"/>
  <c r="F38" i="4"/>
  <c r="C38" i="4"/>
  <c r="A38" i="4"/>
  <c r="A56" i="4"/>
  <c r="C56" i="4"/>
  <c r="B56" i="4"/>
  <c r="F56" i="4"/>
  <c r="A50" i="4"/>
  <c r="F50" i="4"/>
  <c r="C50" i="4"/>
  <c r="B50" i="4"/>
  <c r="B54" i="4"/>
  <c r="C54" i="4"/>
  <c r="A54" i="4"/>
  <c r="F54" i="4"/>
  <c r="I48" i="4"/>
  <c r="G48" i="4"/>
  <c r="K48" i="4"/>
  <c r="J48" i="4"/>
  <c r="H48" i="4"/>
  <c r="J59" i="4"/>
  <c r="K59" i="4"/>
  <c r="H59" i="4"/>
  <c r="G59" i="4"/>
  <c r="I59" i="4"/>
  <c r="F45" i="4"/>
  <c r="C45" i="4"/>
  <c r="B45" i="4"/>
  <c r="A45" i="4"/>
  <c r="C52" i="4"/>
  <c r="F52" i="4"/>
  <c r="B52" i="4"/>
  <c r="A52" i="4"/>
  <c r="G46" i="4"/>
  <c r="H46" i="4"/>
  <c r="K46" i="4"/>
  <c r="J46" i="4"/>
  <c r="I46" i="4"/>
  <c r="K38" i="4"/>
  <c r="J38" i="4"/>
  <c r="I38" i="4"/>
  <c r="H38" i="4"/>
  <c r="G38" i="4"/>
  <c r="G53" i="4"/>
  <c r="J53" i="4"/>
  <c r="K53" i="4"/>
  <c r="I53" i="4"/>
  <c r="H53" i="4"/>
  <c r="F48" i="4"/>
  <c r="C48" i="4"/>
  <c r="B48" i="4"/>
  <c r="A48" i="4"/>
  <c r="B47" i="4"/>
  <c r="F47" i="4"/>
  <c r="C47" i="4"/>
  <c r="A47" i="4"/>
  <c r="C58" i="4"/>
  <c r="A58" i="4"/>
  <c r="F58" i="4"/>
  <c r="B58" i="4"/>
  <c r="F40" i="4"/>
  <c r="C40" i="4"/>
  <c r="B40" i="4"/>
  <c r="A40" i="4"/>
  <c r="H42" i="4"/>
  <c r="K42" i="4"/>
  <c r="J42" i="4"/>
  <c r="I42" i="4"/>
  <c r="G42" i="4"/>
  <c r="H51" i="4"/>
  <c r="K51" i="4"/>
  <c r="J51" i="4"/>
  <c r="I51" i="4"/>
  <c r="G51" i="4"/>
  <c r="I39" i="4"/>
  <c r="J39" i="4"/>
  <c r="H39" i="4"/>
  <c r="G39" i="4"/>
  <c r="K39" i="4"/>
  <c r="H50" i="4"/>
  <c r="K50" i="4"/>
  <c r="J50" i="4"/>
  <c r="I50" i="4"/>
  <c r="G50" i="4"/>
  <c r="C57" i="4"/>
  <c r="F57" i="4"/>
  <c r="B57" i="4"/>
  <c r="A57" i="4"/>
  <c r="C51" i="4"/>
  <c r="F51" i="4"/>
  <c r="B51" i="4"/>
  <c r="A51" i="4"/>
  <c r="B55" i="4"/>
  <c r="C55" i="4"/>
  <c r="A55" i="4"/>
  <c r="F55" i="4"/>
  <c r="C43" i="4"/>
  <c r="F43" i="4"/>
  <c r="B43" i="4"/>
  <c r="A43" i="4"/>
  <c r="G54" i="4"/>
  <c r="K54" i="4"/>
  <c r="J54" i="4"/>
  <c r="I54" i="4"/>
  <c r="H54" i="4"/>
  <c r="C53" i="4"/>
  <c r="B53" i="4"/>
  <c r="A53" i="4"/>
  <c r="F53" i="4"/>
  <c r="C59" i="4"/>
  <c r="F59" i="4"/>
  <c r="B59" i="4"/>
  <c r="A59" i="4"/>
  <c r="I175" i="2"/>
  <c r="M175" i="2" s="1"/>
  <c r="H46" i="23"/>
  <c r="I45" i="23"/>
  <c r="I46" i="23" s="1"/>
  <c r="F39" i="4"/>
  <c r="C39" i="4"/>
  <c r="B39" i="4"/>
  <c r="A39" i="4"/>
  <c r="I47" i="4"/>
  <c r="G47" i="4"/>
  <c r="K47" i="4"/>
  <c r="J47" i="4"/>
  <c r="H47" i="4"/>
  <c r="K49" i="4"/>
  <c r="G49" i="4"/>
  <c r="J49" i="4"/>
  <c r="I49" i="4"/>
  <c r="H49" i="4"/>
  <c r="I55" i="4"/>
  <c r="K55" i="4"/>
  <c r="J55" i="4"/>
  <c r="H55" i="4"/>
  <c r="G55" i="4"/>
  <c r="B46" i="4"/>
  <c r="F46" i="4"/>
  <c r="C46" i="4"/>
  <c r="A46" i="4"/>
  <c r="A49" i="4"/>
  <c r="F49" i="4"/>
  <c r="C49" i="4"/>
  <c r="B49" i="4"/>
  <c r="H57" i="4"/>
  <c r="I57" i="4"/>
  <c r="K57" i="4"/>
  <c r="J57" i="4"/>
  <c r="G57" i="4"/>
  <c r="F44" i="4"/>
  <c r="C44" i="4"/>
  <c r="B44" i="4"/>
  <c r="A44" i="4"/>
  <c r="G45" i="4"/>
  <c r="J45" i="4"/>
  <c r="H45" i="4"/>
  <c r="K45" i="4"/>
  <c r="I45" i="4"/>
  <c r="K43" i="4"/>
  <c r="J43" i="4"/>
  <c r="I43" i="4"/>
  <c r="H43" i="4"/>
  <c r="G43" i="4"/>
  <c r="K56" i="4"/>
  <c r="G56" i="4"/>
  <c r="J56" i="4"/>
  <c r="I56" i="4"/>
  <c r="H56" i="4"/>
  <c r="J44" i="4"/>
  <c r="I44" i="4"/>
  <c r="H44" i="4"/>
  <c r="G44" i="4"/>
  <c r="K44" i="4"/>
</calcChain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<sst xmlns="http://schemas.openxmlformats.org/spreadsheetml/2006/main" count="26787" uniqueCount="2558">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</sst>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</numFmts>
  <fonts count="76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</fonts>
  <fills count="58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</fills>
  <borders count="94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3">
    <xf numFmtId="0" fontId="0" fillId="26" borderId="10"/>
    <xf numFmtId="0" fontId="26" fillId="26" borderId="10"/>
    <xf numFmtId="0" fontId="32" fillId="26" borderId="10"/>
  </cellStyleXfs>
  <cellXfs count="498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s">
        <v>213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s">
        <v>215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10/15까지 실제 자료입니다. 미수령 급여·미결제 고정비·공동자금·대납은 월간 확인표에 별도로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143건 중 WRAP 13건만 잔액 원장 연결을 검증합니다. 타계좌 45건·카드사용 85건은 보존하며 월간·계산기의 검증 자료로 사용합니다.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s">
        <v>226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89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1299740</v>
      </c>
      <c r="D14" s="120">
        <f>'10월'!M28</f>
        <v>1321000</v>
      </c>
      <c r="E14" s="120">
        <f>'10월계산기'!W16</f>
        <v>1321000</v>
      </c>
      <c r="F14" s="120">
        <f>'10월계산기'!W15</f>
        <v>0</v>
      </c>
      <c r="G14" s="120">
        <f>'10월계산기'!W12</f>
        <v>1321000</v>
      </c>
      <c r="H14" s="120">
        <f t="shared" si="0"/>
        <v>0</v>
      </c>
      <c r="I14" s="121" t="b">
        <f t="shared" si="1"/>
        <v>1</v>
      </c>
      <c r="J14" s="120">
        <f>'10월'!H38</f>
        <v>1299740</v>
      </c>
      <c r="K14" s="120">
        <f>'10월'!I38</f>
        <v>1321000</v>
      </c>
      <c r="L14" s="120">
        <f>'10월계산기'!W13</f>
        <v>1321000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10/15까지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COUNT(RAW!$G$2323:$G$2465)</f>
        <v>143</v>
      </c>
      <c r="J35" s="370"/>
      <c r="K35" s="370"/>
      <c r="L35" s="371"/>
      <c r="M35" s="387" t="b">
        <f>I35=143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COUNTIF(RAW!$N$2323:$N$2465,"연결")</f>
        <v>13</v>
      </c>
      <c r="J36" s="370"/>
      <c r="K36" s="370"/>
      <c r="L36" s="371"/>
      <c r="M36" s="387" t="b">
        <f>I36=COUNTIF(RAW!$R$2323:$R$2465,"WRAP")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COUNTIF(RAW!$N$2323:$N$2465,"누락")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COUNTIF(RAW!$N$2323:$N$2465,"중복")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200000</v>
      </c>
      <c r="J42" s="370"/>
      <c r="K42" s="370"/>
      <c r="L42" s="371"/>
      <c r="M42" s="387" t="b">
        <f>I42=200000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COUNTIF(잔액!$I$231:$I$245,"입력 확인")+COUNTIF(잔액!$I$231:$I$245,"WRAP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COUNT(RAW!G2323:G2465)</f>
        <v>143</v>
      </c>
      <c r="J63" s="366"/>
      <c r="K63" s="366"/>
      <c r="L63" s="367"/>
      <c r="M63" s="368" t="b">
        <f>I63=143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COUNTIF(RAW!R2323:R2465,"WRAP")</f>
        <v>13</v>
      </c>
      <c r="J64" s="366"/>
      <c r="K64" s="366"/>
      <c r="L64" s="367"/>
      <c r="M64" s="368" t="b">
        <f>I64=13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COUNTIF(RAW!R2323:R2465,"타계좌")</f>
        <v>45</v>
      </c>
      <c r="J65" s="366"/>
      <c r="K65" s="366"/>
      <c r="L65" s="367"/>
      <c r="M65" s="368" t="b">
        <f>I65=45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COUNTIF(RAW!N2323:N2465,"연결")</f>
        <v>13</v>
      </c>
      <c r="J66" s="366"/>
      <c r="K66" s="366"/>
      <c r="L66" s="367"/>
      <c r="M66" s="368" t="b">
        <f>I66=13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COUNTIF(RAW!N2323:N2465,"누락")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COUNTIF(RAW!N2323:N2465,"중복")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COUNT(잔액!W231:W245)</f>
        <v>13</v>
      </c>
      <c r="J70" s="366"/>
      <c r="K70" s="366"/>
      <c r="L70" s="367"/>
      <c r="M70" s="368" t="b">
        <f>I70=13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WRAP 13건만 연결합니다. 타계좌 현금 45건·카드사용 85건은 RAW와 월간에 보존합니다. 가족통장 사용 20만원·철도 미회수 대납 103,600원은 월간 별도 표시합니다.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200000</v>
      </c>
      <c r="J90" s="366"/>
      <c r="K90" s="366"/>
      <c r="L90" s="367"/>
      <c r="M90" s="368" t="b">
        <f>I90=200000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200000</v>
      </c>
      <c r="J91" s="366"/>
      <c r="K91" s="366"/>
      <c r="L91" s="367"/>
      <c r="M91" s="368" t="b">
        <f>I91=200000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잔액!B16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SUMIFS(RAW!G2323:G2465,RAW!R2323:R2465,"WRAP",RAW!S2323:S2465,"입금")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SUMIFS(RAW!G2323:G2465,RAW!R2323:R2465,"WRAP",RAW!S2323:S2465,"이체입금")</f>
        <v>626510</v>
      </c>
      <c r="J170" s="366"/>
      <c r="K170" s="366"/>
      <c r="L170" s="367"/>
      <c r="M170" s="368" t="b">
        <f>I170=626510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SUMIFS(RAW!G2323:G2465,RAW!R2323:R2465,"WRAP",RAW!S2323:S2465,"이체출금")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SUMIFS(RAW!G2323:G2465,RAW!R2323:R2465,"WRAP",RAW!S2323:S2465,"출금")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6624466</v>
      </c>
      <c r="J174" s="366"/>
      <c r="K174" s="366"/>
      <c r="L174" s="367"/>
      <c r="M174" s="368" t="b">
        <f>I174=6624466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잔액!G16-I174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예비비!J72</f>
        <v>0</v>
      </c>
      <c r="J179" s="381"/>
      <c r="K179" s="381"/>
      <c r="L179" s="382"/>
      <c r="M179" s="386" t="b">
        <f>예비비!L72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예비비!J73</f>
        <v>1400000</v>
      </c>
      <c r="J180" s="381"/>
      <c r="K180" s="381"/>
      <c r="L180" s="382"/>
      <c r="M180" s="386" t="b">
        <f>예비비!L73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예비비!J74</f>
        <v>450000</v>
      </c>
      <c r="J181" s="381"/>
      <c r="K181" s="381"/>
      <c r="L181" s="382"/>
      <c r="M181" s="386" t="b">
        <f>예비비!L74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예비비!J75</f>
        <v>300000</v>
      </c>
      <c r="J182" s="381"/>
      <c r="K182" s="381"/>
      <c r="L182" s="382"/>
      <c r="M182" s="386" t="b">
        <f>예비비!L75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예비비!J76</f>
        <v>0</v>
      </c>
      <c r="J183" s="381"/>
      <c r="K183" s="381"/>
      <c r="L183" s="382"/>
      <c r="M183" s="386" t="b">
        <f>예비비!L76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예비비!J77</f>
        <v>2150000</v>
      </c>
      <c r="J184" s="381"/>
      <c r="K184" s="381"/>
      <c r="L184" s="382"/>
      <c r="M184" s="386" t="b">
        <f>I184=예비비!G3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예비비!J77-SUM(예비비!B77,예비비!D77,예비비!F77,예비비!H77)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예비비!W19-(예비비!U18-예비비!V19-예비비!W32)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W101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300000</v>
      </c>
      <c r="P3" s="381"/>
      <c r="Q3" s="381"/>
      <c r="R3" s="382"/>
      <c r="S3" s="411" t="s">
        <v>349</v>
      </c>
      <c r="T3" s="381"/>
      <c r="U3" s="381"/>
      <c r="V3" s="381"/>
      <c r="W3" s="382"/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/>
      <c r="I5" s="66"/>
      <c r="J5" s="66"/>
      <c r="K5" s="66"/>
      <c r="L5" s="66"/>
      <c r="M5" s="66">
        <v>50000</v>
      </c>
      <c r="N5" s="66">
        <v>50000</v>
      </c>
      <c r="O5" s="66">
        <v>50000</v>
      </c>
      <c r="P5" s="66">
        <v>50000</v>
      </c>
      <c r="Q5" s="66"/>
      <c r="R5" s="66"/>
      <c r="S5" s="66"/>
      <c r="T5" s="66"/>
      <c r="U5" s="66">
        <f>SUM(G5:T5)</f>
        <v>200000</v>
      </c>
      <c r="V5" s="66"/>
      <c r="W5" s="66"/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s">
        <v>364</v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v>200000</v>
      </c>
      <c r="R7" s="74"/>
      <c r="S7" s="74"/>
      <c r="T7" s="74"/>
      <c r="U7" s="74"/>
      <c r="V7" s="74">
        <f>SUMIF($G$4:$T$4,"&lt;="&amp;EOMONTH($B$3,0),G7:T7)</f>
        <v>200000</v>
      </c>
      <c r="W7" s="74">
        <f>U6-V7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/>
      <c r="I8" s="66"/>
      <c r="J8" s="66"/>
      <c r="K8" s="66"/>
      <c r="L8" s="66">
        <v>50000</v>
      </c>
      <c r="M8" s="66"/>
      <c r="N8" s="66"/>
      <c r="O8" s="66"/>
      <c r="P8" s="66"/>
      <c r="Q8" s="66">
        <v>50000</v>
      </c>
      <c r="R8" s="66"/>
      <c r="S8" s="66"/>
      <c r="T8" s="66"/>
      <c r="U8" s="66">
        <f>SUM(G8:T8)</f>
        <v>100000</v>
      </c>
      <c r="V8" s="66"/>
      <c r="W8" s="66"/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>
        <f>SUM(G11:T11)</f>
        <v>50000</v>
      </c>
      <c r="V11" s="66"/>
      <c r="W11" s="66"/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/>
      <c r="I14" s="66"/>
      <c r="J14" s="66"/>
      <c r="K14" s="66"/>
      <c r="L14" s="66"/>
      <c r="M14" s="66"/>
      <c r="N14" s="66"/>
      <c r="O14" s="66">
        <v>50000</v>
      </c>
      <c r="P14" s="66"/>
      <c r="Q14" s="66"/>
      <c r="R14" s="66"/>
      <c r="S14" s="66"/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v>50000</v>
      </c>
      <c r="I17" s="66">
        <v>50000</v>
      </c>
      <c r="J17" s="66">
        <v>50000</v>
      </c>
      <c r="K17" s="66">
        <v>100000</v>
      </c>
      <c r="L17" s="66">
        <v>50000</v>
      </c>
      <c r="M17" s="66">
        <v>50000</v>
      </c>
      <c r="N17" s="66">
        <v>100000</v>
      </c>
      <c r="O17" s="66">
        <v>100000</v>
      </c>
      <c r="P17" s="66"/>
      <c r="Q17" s="66"/>
      <c r="R17" s="66"/>
      <c r="S17" s="66"/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v>50000</v>
      </c>
      <c r="I20" s="66">
        <v>150000</v>
      </c>
      <c r="J20" s="66">
        <v>100000</v>
      </c>
      <c r="K20" s="66">
        <v>100000</v>
      </c>
      <c r="L20" s="66">
        <v>100000</v>
      </c>
      <c r="M20" s="66">
        <v>100000</v>
      </c>
      <c r="N20" s="66"/>
      <c r="O20" s="66"/>
      <c r="P20" s="66">
        <v>100000</v>
      </c>
      <c r="Q20" s="66">
        <v>100000</v>
      </c>
      <c r="R20" s="66">
        <v>100000</v>
      </c>
      <c r="S20" s="66"/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/>
      <c r="I23" s="66"/>
      <c r="J23" s="66"/>
      <c r="K23" s="66"/>
      <c r="L23" s="66">
        <v>50000</v>
      </c>
      <c r="M23" s="66"/>
      <c r="N23" s="66"/>
      <c r="O23" s="66"/>
      <c r="P23" s="66">
        <v>50000</v>
      </c>
      <c r="Q23" s="66"/>
      <c r="R23" s="66">
        <v>100000</v>
      </c>
      <c r="S23" s="66"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v>100000</v>
      </c>
      <c r="I26" s="66">
        <v>100000</v>
      </c>
      <c r="J26" s="66">
        <v>50000</v>
      </c>
      <c r="K26" s="66"/>
      <c r="L26" s="66"/>
      <c r="M26" s="66"/>
      <c r="N26" s="66">
        <v>100000</v>
      </c>
      <c r="O26" s="66">
        <v>100000</v>
      </c>
      <c r="P26" s="66">
        <v>100000</v>
      </c>
      <c r="Q26" s="66">
        <v>50000</v>
      </c>
      <c r="R26" s="66"/>
      <c r="S26" s="66"/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v>100000</v>
      </c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200000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1450000</v>
      </c>
      <c r="W40" s="332">
        <f>U39-V40-W32</f>
        <v>1850000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200000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300000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s">
        <v>404</v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IF(OR($B$3&lt;DATE(2026,3,1),$B$3&gt;잔액!$B$3),"기준월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IF(OR($B$3&lt;DATE(2026,3,1),$B$3&gt;잔액!$B$3),"기준월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150000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200000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IF(OR($B$3&lt;DATE(2026,3,1),$B$3&gt;잔액!$B$3),"기준월 확인",J74=INDEX(잔액!$C$22:$L$30,MATCH(A74,잔액!$A$22:$A$30,0),MATCH($B$3,잔액!$C$21:$L$21,0)))</f>
        <v>1</v>
      </c>
      <c r="M74" s="382"/>
      <c r="N74" s="359" t="s">
        <v>415</v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IF(OR($B$3&lt;DATE(2026,3,1),$B$3&gt;잔액!$B$3),"기준월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IF(OR($B$3&lt;DATE(2026,3,1),$B$3&gt;잔액!$B$3),"기준월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2150000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287120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hyperlinks>
    <hyperlink ref="S3" location="'예비비'!A69" tooltip="이체와 원장 잔액의 계산 근거" display="이체·잔액 연결표 ↓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</sheetPr>
  <dimension ref="A1:Y501"/>
  <sheetViews>
    <sheetView showGridLines="0" tabSelected="1" zoomScale="85" zoomScaleNormal="85" workbookViewId="0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2026-10-15 기준 · WRAP 입출금 RAW 13건. 타계좌 카드대금 납부 5건은 준비송금 후속 결제로 중복 반영하지 않습니다.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626510</v>
      </c>
      <c r="G7" s="28">
        <f t="shared" ref="G7:G15" si="5">B7+C7-D7-E7+F7</f>
        <v>4474466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IFERROR(INDEX(예비비!$G$45:$T$45,1,MATCH($B$3,예비비!$G$4:$T$4,0)),0)</f>
        <v>0</v>
      </c>
      <c r="I8" s="28">
        <f>IFERROR(INDEX(예비비!$G$47:$T$47,1,MATCH($B$3,예비비!$G$4:$T$4,0)),0)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IFERROR(INDEX(예비비!$G$48:$T$48,1,MATCH($B$3,예비비!$G$4:$T$4,0)),0)</f>
        <v>100000</v>
      </c>
      <c r="I9" s="28">
        <f>IFERROR(INDEX(예비비!$G$50:$T$50,1,MATCH($B$3,예비비!$G$4:$T$4,0)),0)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IFERROR(INDEX(예비비!$G$51:$T$51,1,MATCH($B$3,예비비!$G$4:$T$4,0)),0)</f>
        <v>50000</v>
      </c>
      <c r="I10" s="28">
        <f>MAX(0,IFERROR(INDEX(예비비!$G$53:$T$53,1,MATCH($B$3,예비비!$G$4:$T$4,0)),0)-IFERROR(INDEX(예비비!$G$7:$T$7,1,MATCH($B$3,예비비!$G$4:$T$4,0)),0))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IFERROR(INDEX(예비비!$G$54:$T$54,1,MATCH($B$3,예비비!$G$4:$T$4,0)),0)</f>
        <v>50000</v>
      </c>
      <c r="I11" s="28">
        <f>IFERROR(INDEX(예비비!$G$56:$T$56,1,MATCH($B$3,예비비!$G$4:$T$4,0)),0)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IFERROR(INDEX(예비비!$G$57:$T$57,1,MATCH($B$3,예비비!$G$4:$T$4,0)),0)</f>
        <v>0</v>
      </c>
      <c r="I12" s="28">
        <f>IFERROR(INDEX(예비비!$G$59:$T$59,1,MATCH($B$3,예비비!$G$4:$T$4,0)),0)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0</v>
      </c>
      <c r="F15" s="28">
        <f t="shared" si="4"/>
        <v>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2537839</v>
      </c>
      <c r="F16" s="32">
        <f t="shared" si="7"/>
        <v>626510</v>
      </c>
      <c r="G16" s="32">
        <f t="shared" si="7"/>
        <v>6624466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s">
        <v>26</v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 t="shared" ref="C22:L30" si="8">IF(C$21&gt;$B$3,"",SUMIFS($Y$64:$Y$500,$D$64:$D$500,$A22,$A$64:$A$500,"&lt;="&amp;EOMONTH(C$21,0))-SUMIFS($Y$64:$Y$500,$C$64:$C$500,$A22,$A$64:$A$500,"&lt;="&amp;EOMONTH(C$21,0)))</f>
        <v>993611</v>
      </c>
      <c r="D22" s="92">
        <f t="shared" si="8"/>
        <v>944667</v>
      </c>
      <c r="E22" s="92">
        <f t="shared" si="8"/>
        <v>1062089</v>
      </c>
      <c r="F22" s="92">
        <f t="shared" si="8"/>
        <v>626802</v>
      </c>
      <c r="G22" s="92">
        <f t="shared" si="8"/>
        <v>-498498</v>
      </c>
      <c r="H22" s="92">
        <f t="shared" si="8"/>
        <v>0</v>
      </c>
      <c r="I22" s="92">
        <f t="shared" si="8"/>
        <v>6388603</v>
      </c>
      <c r="J22" s="92">
        <f t="shared" si="8"/>
        <v>4474466</v>
      </c>
      <c r="K22" s="92">
        <f t="shared" si="8"/>
      </c>
      <c r="L22" s="92">
        <f t="shared" si="8"/>
      </c>
    </row>
    <row r="23" spans="1:22" ht="24" customHeight="1">
      <c r="A23" s="343" t="s">
        <v>16</v>
      </c>
      <c r="B23" s="342"/>
      <c r="C23" s="92">
        <f t="shared" si="8"/>
        <v>100000</v>
      </c>
      <c r="D23" s="92">
        <f t="shared" si="8"/>
        <v>200000</v>
      </c>
      <c r="E23" s="92">
        <f t="shared" si="8"/>
        <v>50000</v>
      </c>
      <c r="F23" s="92">
        <f t="shared" si="8"/>
        <v>100000</v>
      </c>
      <c r="G23" s="92">
        <f t="shared" si="8"/>
        <v>200000</v>
      </c>
      <c r="H23" s="92">
        <f t="shared" si="8"/>
        <v>300000</v>
      </c>
      <c r="I23" s="92">
        <f t="shared" si="8"/>
        <v>0</v>
      </c>
      <c r="J23" s="92">
        <f t="shared" si="8"/>
        <v>0</v>
      </c>
      <c r="K23" s="92">
        <f t="shared" si="8"/>
      </c>
      <c r="L23" s="92">
        <f t="shared" si="8"/>
      </c>
    </row>
    <row r="24" spans="1:22" ht="24" customHeight="1">
      <c r="A24" s="343" t="s">
        <v>17</v>
      </c>
      <c r="B24" s="342"/>
      <c r="C24" s="92">
        <f t="shared" si="8"/>
        <v>1300000</v>
      </c>
      <c r="D24" s="92">
        <f t="shared" si="8"/>
        <v>1400000</v>
      </c>
      <c r="E24" s="92">
        <f t="shared" si="8"/>
        <v>1500000</v>
      </c>
      <c r="F24" s="92">
        <f t="shared" si="8"/>
        <v>1600000</v>
      </c>
      <c r="G24" s="92">
        <f t="shared" si="8"/>
        <v>1600000</v>
      </c>
      <c r="H24" s="92">
        <f t="shared" si="8"/>
        <v>1300000</v>
      </c>
      <c r="I24" s="92">
        <f t="shared" si="8"/>
        <v>1400000</v>
      </c>
      <c r="J24" s="92">
        <f t="shared" si="8"/>
        <v>1400000</v>
      </c>
      <c r="K24" s="92">
        <f t="shared" si="8"/>
      </c>
      <c r="L24" s="92">
        <f t="shared" si="8"/>
      </c>
    </row>
    <row r="25" spans="1:22" ht="24" customHeight="1">
      <c r="A25" s="343" t="s">
        <v>18</v>
      </c>
      <c r="B25" s="342"/>
      <c r="C25" s="92">
        <f t="shared" si="8"/>
        <v>0</v>
      </c>
      <c r="D25" s="92">
        <f t="shared" si="8"/>
        <v>0</v>
      </c>
      <c r="E25" s="92">
        <f t="shared" si="8"/>
        <v>50000</v>
      </c>
      <c r="F25" s="92">
        <f t="shared" si="8"/>
        <v>100000</v>
      </c>
      <c r="G25" s="92">
        <f t="shared" si="8"/>
        <v>150000</v>
      </c>
      <c r="H25" s="92">
        <f t="shared" si="8"/>
        <v>200000</v>
      </c>
      <c r="I25" s="92">
        <f t="shared" si="8"/>
        <v>450000</v>
      </c>
      <c r="J25" s="92">
        <f t="shared" si="8"/>
        <v>450000</v>
      </c>
      <c r="K25" s="92">
        <f t="shared" si="8"/>
      </c>
      <c r="L25" s="92">
        <f t="shared" si="8"/>
      </c>
    </row>
    <row r="26" spans="1:22" ht="24" customHeight="1">
      <c r="A26" s="343" t="s">
        <v>19</v>
      </c>
      <c r="B26" s="342"/>
      <c r="C26" s="92">
        <f t="shared" si="8"/>
        <v>350000</v>
      </c>
      <c r="D26" s="92">
        <f t="shared" si="8"/>
        <v>350000</v>
      </c>
      <c r="E26" s="92">
        <f t="shared" si="8"/>
        <v>0</v>
      </c>
      <c r="F26" s="92">
        <f t="shared" si="8"/>
        <v>0</v>
      </c>
      <c r="G26" s="92">
        <f t="shared" si="8"/>
        <v>100000</v>
      </c>
      <c r="H26" s="92">
        <f t="shared" si="8"/>
        <v>200000</v>
      </c>
      <c r="I26" s="92">
        <f t="shared" si="8"/>
        <v>300000</v>
      </c>
      <c r="J26" s="92">
        <f t="shared" si="8"/>
        <v>300000</v>
      </c>
      <c r="K26" s="92">
        <f t="shared" si="8"/>
      </c>
      <c r="L26" s="92">
        <f t="shared" si="8"/>
      </c>
    </row>
    <row r="27" spans="1:22" ht="24" customHeight="1">
      <c r="A27" s="343" t="s">
        <v>20</v>
      </c>
      <c r="B27" s="342"/>
      <c r="C27" s="92">
        <f t="shared" si="8"/>
        <v>0</v>
      </c>
      <c r="D27" s="92">
        <f t="shared" si="8"/>
        <v>0</v>
      </c>
      <c r="E27" s="92">
        <f t="shared" si="8"/>
        <v>0</v>
      </c>
      <c r="F27" s="92">
        <f t="shared" si="8"/>
        <v>0</v>
      </c>
      <c r="G27" s="92">
        <f t="shared" si="8"/>
        <v>0</v>
      </c>
      <c r="H27" s="92">
        <f t="shared" si="8"/>
        <v>0</v>
      </c>
      <c r="I27" s="92">
        <f t="shared" si="8"/>
        <v>0</v>
      </c>
      <c r="J27" s="92">
        <f t="shared" si="8"/>
        <v>0</v>
      </c>
      <c r="K27" s="92">
        <f t="shared" si="8"/>
      </c>
      <c r="L27" s="92">
        <f t="shared" si="8"/>
      </c>
    </row>
    <row r="28" spans="1:22" ht="24" customHeight="1">
      <c r="A28" s="343" t="s">
        <v>21</v>
      </c>
      <c r="B28" s="342"/>
      <c r="C28" s="92">
        <f t="shared" si="8"/>
        <v>21500</v>
      </c>
      <c r="D28" s="92">
        <f t="shared" si="8"/>
        <v>0</v>
      </c>
      <c r="E28" s="92">
        <f t="shared" si="8"/>
        <v>0</v>
      </c>
      <c r="F28" s="92">
        <f t="shared" si="8"/>
        <v>0</v>
      </c>
      <c r="G28" s="92">
        <f t="shared" si="8"/>
        <v>0</v>
      </c>
      <c r="H28" s="92">
        <f t="shared" si="8"/>
        <v>0</v>
      </c>
      <c r="I28" s="92">
        <f t="shared" si="8"/>
        <v>0</v>
      </c>
      <c r="J28" s="92">
        <f t="shared" si="8"/>
        <v>0</v>
      </c>
      <c r="K28" s="92">
        <f t="shared" si="8"/>
      </c>
      <c r="L28" s="92">
        <f t="shared" si="8"/>
      </c>
    </row>
    <row r="29" spans="1:22" ht="24" customHeight="1">
      <c r="A29" s="343" t="s">
        <v>22</v>
      </c>
      <c r="B29" s="342"/>
      <c r="C29" s="92">
        <f t="shared" si="8"/>
        <v>0</v>
      </c>
      <c r="D29" s="92">
        <f t="shared" si="8"/>
        <v>2151</v>
      </c>
      <c r="E29" s="92">
        <f t="shared" si="8"/>
        <v>1137</v>
      </c>
      <c r="F29" s="92">
        <f t="shared" si="8"/>
        <v>4897</v>
      </c>
      <c r="G29" s="92">
        <f t="shared" si="8"/>
        <v>27858</v>
      </c>
      <c r="H29" s="92">
        <f t="shared" si="8"/>
        <v>0</v>
      </c>
      <c r="I29" s="92">
        <f t="shared" si="8"/>
        <v>0</v>
      </c>
      <c r="J29" s="92">
        <f t="shared" si="8"/>
        <v>0</v>
      </c>
      <c r="K29" s="92">
        <f t="shared" si="8"/>
      </c>
      <c r="L29" s="92">
        <f t="shared" si="8"/>
      </c>
    </row>
    <row r="30" spans="1:22" ht="24" customHeight="1">
      <c r="A30" s="343" t="s">
        <v>23</v>
      </c>
      <c r="B30" s="342"/>
      <c r="C30" s="92">
        <f t="shared" si="8"/>
        <v>2042224</v>
      </c>
      <c r="D30" s="92">
        <f t="shared" si="8"/>
        <v>2548910</v>
      </c>
      <c r="E30" s="92">
        <f t="shared" si="8"/>
        <v>2042174</v>
      </c>
      <c r="F30" s="92">
        <f t="shared" si="8"/>
        <v>6188750</v>
      </c>
      <c r="G30" s="92">
        <f t="shared" si="8"/>
        <v>11338850</v>
      </c>
      <c r="H30" s="92">
        <f t="shared" si="8"/>
        <v>9495719</v>
      </c>
      <c r="I30" s="92">
        <f t="shared" si="8"/>
        <v>0</v>
      </c>
      <c r="J30" s="92">
        <f t="shared" si="8"/>
        <v>0</v>
      </c>
      <c r="K30" s="92">
        <f t="shared" si="8"/>
      </c>
      <c r="L30" s="92">
        <f t="shared" si="8"/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 t="shared" ref="C32:L32" si="9">IF(C$21&gt;$B$3,"",SUM(C22:C30))</f>
        <v>4807335</v>
      </c>
      <c r="D32" s="93">
        <f t="shared" si="9"/>
        <v>5445728</v>
      </c>
      <c r="E32" s="93">
        <f t="shared" si="9"/>
        <v>4705400</v>
      </c>
      <c r="F32" s="93">
        <f t="shared" si="9"/>
        <v>8620449</v>
      </c>
      <c r="G32" s="93">
        <f t="shared" si="9"/>
        <v>12918210</v>
      </c>
      <c r="H32" s="93">
        <f t="shared" si="9"/>
        <v>11495719</v>
      </c>
      <c r="I32" s="93">
        <f t="shared" si="9"/>
        <v>8538603</v>
      </c>
      <c r="J32" s="93">
        <f t="shared" si="9"/>
        <v>6624466</v>
      </c>
      <c r="K32" s="93">
        <f t="shared" si="9"/>
      </c>
      <c r="L32" s="93">
        <f t="shared" si="9"/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s">
        <v>32</v>
      </c>
      <c r="B35" s="94">
        <f>MONTH(MAX($A$64:$A$500))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">
        <v>35</v>
      </c>
      <c r="K35" s="345"/>
      <c r="L35" s="345"/>
      <c r="M35" s="80"/>
      <c r="N35" s="80"/>
      <c r="V35" s="80">
        <f>DATE(2026,$B$35,1)</f>
        <v>46296.0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(10건)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46308.851395949074</v>
      </c>
      <c r="H38" s="311" t="str">
        <f t="shared" ref="H38:H59" si="15">SUBSTITUTE(IF($N38=0,"",IF(INDEX($J$64:$J$500,$N38)&lt;&gt;"",INDEX($J$64:$J$500,$N38),INDEX($C$64:$C$500,$N38))),"미래에셋_WRAP형CMA","미래에셋 WRAP")</f>
        <v>신한은행V2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22210</v>
      </c>
      <c r="K38" s="340" t="str">
        <f t="shared" ref="K38:K59" si="18">IF($N38=0,"",INDEX($F$64:$F$500,$N38))</f>
        <v>신한은행V2 → 미래에셋 WRAP</v>
      </c>
      <c r="L38" s="342"/>
      <c r="M38" s="80">
        <f>IFERROR(MATCH(TEXT($V$35,"yyyymm")&amp;"_내역_"&amp;(38-37+($E$35-1)*22),$R$64:$R$500,0),0)</f>
        <v>182</v>
      </c>
      <c r="N38" s="80">
        <f>IFERROR(MATCH(TEXT($V$35,"yyyymm")&amp;"_이체_"&amp;(38-37+($H$35-1)*22),$R$64:$R$500,0),0)</f>
        <v>168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46308.850696064816</v>
      </c>
      <c r="H39" s="311" t="str">
        <f t="shared" si="15"/>
        <v>미래에셋 WRAP</v>
      </c>
      <c r="I39" s="311" t="str">
        <f t="shared" si="16"/>
        <v>토스뱅크</v>
      </c>
      <c r="J39" s="313">
        <f t="shared" si="17"/>
        <v>236270</v>
      </c>
      <c r="K39" s="340" t="str">
        <f t="shared" si="18"/>
        <v>미래에셋 WRAP → 토스뱅크</v>
      </c>
      <c r="L39" s="342"/>
      <c r="M39" s="80">
        <f>IFERROR(MATCH(TEXT($V$35,"yyyymm")&amp;"_내역_"&amp;(39-37+($E$35-1)*22),$R$64:$R$500,0),0)</f>
        <v>175</v>
      </c>
      <c r="N39" s="80">
        <f>IFERROR(MATCH(TEXT($V$35,"yyyymm")&amp;"_이체_"&amp;(39-37+($H$35-1)*22),$R$64:$R$500,0),0)</f>
        <v>169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46308.85000755787</v>
      </c>
      <c r="H40" s="311" t="str">
        <f t="shared" si="15"/>
        <v>미래에셋 WRAP</v>
      </c>
      <c r="I40" s="311" t="str">
        <f t="shared" si="16"/>
        <v>우리은행</v>
      </c>
      <c r="J40" s="313">
        <f t="shared" si="17"/>
        <v>246568</v>
      </c>
      <c r="K40" s="340" t="str">
        <f t="shared" si="18"/>
        <v>미래에셋 WRAP → 우리은행</v>
      </c>
      <c r="L40" s="342"/>
      <c r="M40" s="80">
        <f>IFERROR(MATCH(TEXT($V$35,"yyyymm")&amp;"_내역_"&amp;(40-37+($E$35-1)*22),$R$64:$R$500,0),0)</f>
        <v>179</v>
      </c>
      <c r="N40" s="80">
        <f>IFERROR(MATCH(TEXT($V$35,"yyyymm")&amp;"_이체_"&amp;(40-37+($H$35-1)*22),$R$64:$R$500,0),0)</f>
        <v>170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46308.848613587965</v>
      </c>
      <c r="H41" s="311" t="str">
        <f t="shared" si="15"/>
        <v>미래에셋 WRAP</v>
      </c>
      <c r="I41" s="311" t="str">
        <f t="shared" si="16"/>
        <v>국민은행</v>
      </c>
      <c r="J41" s="313">
        <f t="shared" si="17"/>
        <v>360550</v>
      </c>
      <c r="K41" s="340" t="str">
        <f t="shared" si="18"/>
        <v>미래에셋 WRAP → 국민은행</v>
      </c>
      <c r="L41" s="342"/>
      <c r="M41" s="80">
        <f>IFERROR(MATCH(TEXT($V$35,"yyyymm")&amp;"_내역_"&amp;(41-37+($E$35-1)*22),$R$64:$R$500,0),0)</f>
        <v>0</v>
      </c>
      <c r="N41" s="80">
        <f>IFERROR(MATCH(TEXT($V$35,"yyyymm")&amp;"_이체_"&amp;(41-37+($H$35-1)*22),$R$64:$R$500,0),0)</f>
        <v>171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46308.84792493055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798746</v>
      </c>
      <c r="K42" s="340" t="str">
        <f t="shared" si="18"/>
        <v>미래에셋 WRAP → 토스뱅크</v>
      </c>
      <c r="L42" s="342"/>
      <c r="M42" s="80">
        <f>IFERROR(MATCH(TEXT($V$35,"yyyymm")&amp;"_내역_"&amp;(42-37+($E$35-1)*22),$R$64:$R$500,0),0)</f>
        <v>0</v>
      </c>
      <c r="N42" s="80">
        <f>IFERROR(MATCH(TEXT($V$35,"yyyymm")&amp;"_이체_"&amp;(42-37+($H$35-1)*22),$R$64:$R$500,0),0)</f>
        <v>172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46308.84583777778</v>
      </c>
      <c r="H43" s="311" t="str">
        <f t="shared" si="15"/>
        <v>토스뱅크</v>
      </c>
      <c r="I43" s="311" t="str">
        <f t="shared" si="16"/>
        <v>미래에셋 WRAP</v>
      </c>
      <c r="J43" s="313">
        <f t="shared" si="17"/>
        <v>604300</v>
      </c>
      <c r="K43" s="340" t="str">
        <f t="shared" si="18"/>
        <v>토스뱅크 → 미래에셋 WRAP</v>
      </c>
      <c r="L43" s="342"/>
      <c r="M43" s="80">
        <f>IFERROR(MATCH(TEXT($V$35,"yyyymm")&amp;"_내역_"&amp;(43-37+($E$35-1)*22),$R$64:$R$500,0),0)</f>
        <v>0</v>
      </c>
      <c r="N43" s="80">
        <f>IFERROR(MATCH(TEXT($V$35,"yyyymm")&amp;"_이체_"&amp;(43-37+($H$35-1)*22),$R$64:$R$500,0),0)</f>
        <v>173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46308.74901017361</v>
      </c>
      <c r="H44" s="311" t="str">
        <f t="shared" si="15"/>
        <v>미래에셋 WRAP</v>
      </c>
      <c r="I44" s="311" t="str">
        <f t="shared" si="16"/>
        <v>새마을금고</v>
      </c>
      <c r="J44" s="313">
        <f t="shared" si="17"/>
        <v>753905</v>
      </c>
      <c r="K44" s="340" t="str">
        <f t="shared" si="18"/>
        <v>미래에셋 WRAP → 새마을금고</v>
      </c>
      <c r="L44" s="342"/>
      <c r="M44" s="80">
        <f>IFERROR(MATCH(TEXT($V$35,"yyyymm")&amp;"_내역_"&amp;(44-37+($E$35-1)*22),$R$64:$R$500,0),0)</f>
        <v>0</v>
      </c>
      <c r="N44" s="80">
        <f>IFERROR(MATCH(TEXT($V$35,"yyyymm")&amp;"_이체_"&amp;(44-37+($H$35-1)*22),$R$64:$R$500,0),0)</f>
        <v>174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46307.82500104167</v>
      </c>
      <c r="H45" s="311" t="str">
        <f t="shared" si="15"/>
        <v>미래에셋 WRAP</v>
      </c>
      <c r="I45" s="311" t="str">
        <f t="shared" si="16"/>
        <v>카카오뱅크</v>
      </c>
      <c r="J45" s="313">
        <f t="shared" si="17"/>
        <v>1390</v>
      </c>
      <c r="K45" s="340" t="str">
        <f t="shared" si="18"/>
        <v>미래에셋 WRAP → 카카오뱅크</v>
      </c>
      <c r="L45" s="342"/>
      <c r="M45" s="80">
        <f>IFERROR(MATCH(TEXT($V$35,"yyyymm")&amp;"_내역_"&amp;(45-37+($E$35-1)*22),$R$64:$R$500,0),0)</f>
        <v>0</v>
      </c>
      <c r="N45" s="80">
        <f>IFERROR(MATCH(TEXT($V$35,"yyyymm")&amp;"_이체_"&amp;(45-37+($H$35-1)*22),$R$64:$R$500,0),0)</f>
        <v>176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46307.82431055555</v>
      </c>
      <c r="H46" s="311" t="str">
        <f t="shared" si="15"/>
        <v>미래에셋 WRAP</v>
      </c>
      <c r="I46" s="311" t="str">
        <f t="shared" si="16"/>
        <v>신한은행</v>
      </c>
      <c r="J46" s="313">
        <f t="shared" si="17"/>
        <v>90410</v>
      </c>
      <c r="K46" s="340" t="str">
        <f t="shared" si="18"/>
        <v>미래에셋 WRAP → 신한은행</v>
      </c>
      <c r="L46" s="342"/>
      <c r="M46" s="80">
        <f>IFERROR(MATCH(TEXT($V$35,"yyyymm")&amp;"_내역_"&amp;(46-37+($E$35-1)*22),$R$64:$R$500,0),0)</f>
        <v>0</v>
      </c>
      <c r="N46" s="80">
        <f>IFERROR(MATCH(TEXT($V$35,"yyyymm")&amp;"_이체_"&amp;(46-37+($H$35-1)*22),$R$64:$R$500,0),0)</f>
        <v>177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46299.620147118054</v>
      </c>
      <c r="H47" s="311" t="str">
        <f t="shared" si="15"/>
        <v>미래에셋 WRAP</v>
      </c>
      <c r="I47" s="311" t="str">
        <f t="shared" si="16"/>
        <v>모임통장</v>
      </c>
      <c r="J47" s="313">
        <f t="shared" si="17"/>
        <v>50000</v>
      </c>
      <c r="K47" s="340" t="str">
        <f t="shared" si="18"/>
        <v>미래에셋 WRAP → 모임통장</v>
      </c>
      <c r="L47" s="342"/>
      <c r="M47" s="80">
        <f>IFERROR(MATCH(TEXT($V$35,"yyyymm")&amp;"_내역_"&amp;(47-37+($E$35-1)*22),$R$64:$R$500,0),0)</f>
        <v>0</v>
      </c>
      <c r="N47" s="80">
        <f>IFERROR(MATCH(TEXT($V$35,"yyyymm")&amp;"_이체_"&amp;(47-37+($H$35-1)*22),$R$64:$R$500,0),0)</f>
        <v>178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</c>
      <c r="H48" s="311">
        <f t="shared" si="15"/>
      </c>
      <c r="I48" s="311">
        <f t="shared" si="16"/>
      </c>
      <c r="J48" s="313">
        <f t="shared" si="17"/>
      </c>
      <c r="K48" s="340">
        <f t="shared" si="18"/>
      </c>
      <c r="L48" s="342"/>
      <c r="M48" s="80">
        <f>IFERROR(MATCH(TEXT($V$35,"yyyymm")&amp;"_내역_"&amp;(48-37+($E$35-1)*22),$R$64:$R$500,0),0)</f>
        <v>0</v>
      </c>
      <c r="N48" s="80">
        <f>IFERROR(MATCH(TEXT($V$35,"yyyymm")&amp;"_이체_"&amp;(48-37+($H$35-1)*22),$R$64:$R$500,0),0)</f>
        <v>0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</c>
      <c r="H49" s="311">
        <f t="shared" si="15"/>
      </c>
      <c r="I49" s="311">
        <f t="shared" si="16"/>
      </c>
      <c r="J49" s="313">
        <f t="shared" si="17"/>
      </c>
      <c r="K49" s="340">
        <f t="shared" si="18"/>
      </c>
      <c r="L49" s="342"/>
      <c r="M49" s="80">
        <f>IFERROR(MATCH(TEXT($V$35,"yyyymm")&amp;"_내역_"&amp;(49-37+($E$35-1)*22),$R$64:$R$500,0),0)</f>
        <v>0</v>
      </c>
      <c r="N49" s="80">
        <f>IFERROR(MATCH(TEXT($V$35,"yyyymm")&amp;"_이체_"&amp;(49-37+($H$35-1)*22),$R$64:$R$500,0),0)</f>
        <v>0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IFERROR(MATCH(TEXT($V$35,"yyyymm")&amp;"_내역_"&amp;(50-37+($E$35-1)*22),$R$64:$R$500,0),0)</f>
        <v>0</v>
      </c>
      <c r="N50" s="80">
        <f>IFERROR(MATCH(TEXT($V$35,"yyyymm")&amp;"_이체_"&amp;(50-37+($H$35-1)*22),$R$64:$R$500,0),0)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IFERROR(MATCH(TEXT($V$35,"yyyymm")&amp;"_내역_"&amp;(51-37+($E$35-1)*22),$R$64:$R$500,0),0)</f>
        <v>0</v>
      </c>
      <c r="N51" s="80">
        <f>IFERROR(MATCH(TEXT($V$35,"yyyymm")&amp;"_이체_"&amp;(51-37+($H$35-1)*22),$R$64:$R$500,0),0)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IFERROR(MATCH(TEXT($V$35,"yyyymm")&amp;"_내역_"&amp;(52-37+($E$35-1)*22),$R$64:$R$500,0),0)</f>
        <v>0</v>
      </c>
      <c r="N52" s="80">
        <f>IFERROR(MATCH(TEXT($V$35,"yyyymm")&amp;"_이체_"&amp;(52-37+($H$35-1)*22),$R$64:$R$500,0),0)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IFERROR(MATCH(TEXT($V$35,"yyyymm")&amp;"_내역_"&amp;(53-37+($E$35-1)*22),$R$64:$R$500,0),0)</f>
        <v>0</v>
      </c>
      <c r="N53" s="80">
        <f>IFERROR(MATCH(TEXT($V$35,"yyyymm")&amp;"_이체_"&amp;(53-37+($H$35-1)*22),$R$64:$R$500,0),0)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IFERROR(MATCH(TEXT($V$35,"yyyymm")&amp;"_내역_"&amp;(54-37+($E$35-1)*22),$R$64:$R$500,0),0)</f>
        <v>0</v>
      </c>
      <c r="N54" s="80">
        <f>IFERROR(MATCH(TEXT($V$35,"yyyymm")&amp;"_이체_"&amp;(54-37+($H$35-1)*22),$R$64:$R$500,0),0)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IFERROR(MATCH(TEXT($V$35,"yyyymm")&amp;"_내역_"&amp;(55-37+($E$35-1)*22),$R$64:$R$500,0),0)</f>
        <v>0</v>
      </c>
      <c r="N55" s="80">
        <f>IFERROR(MATCH(TEXT($V$35,"yyyymm")&amp;"_이체_"&amp;(55-37+($H$35-1)*22),$R$64:$R$500,0),0)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IFERROR(MATCH(TEXT($V$35,"yyyymm")&amp;"_내역_"&amp;(56-37+($E$35-1)*22),$R$64:$R$500,0),0)</f>
        <v>0</v>
      </c>
      <c r="N56" s="80">
        <f>IFERROR(MATCH(TEXT($V$35,"yyyymm")&amp;"_이체_"&amp;(56-37+($H$35-1)*22),$R$64:$R$500,0),0)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IFERROR(MATCH(TEXT($V$35,"yyyymm")&amp;"_내역_"&amp;(57-37+($E$35-1)*22),$R$64:$R$500,0),0)</f>
        <v>0</v>
      </c>
      <c r="N57" s="80">
        <f>IFERROR(MATCH(TEXT($V$35,"yyyymm")&amp;"_이체_"&amp;(57-37+($H$35-1)*22),$R$64:$R$500,0),0)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IFERROR(MATCH(TEXT($V$35,"yyyymm")&amp;"_내역_"&amp;(58-37+($E$35-1)*22),$R$64:$R$500,0),0)</f>
        <v>0</v>
      </c>
      <c r="N58" s="80">
        <f>IFERROR(MATCH(TEXT($V$35,"yyyymm")&amp;"_이체_"&amp;(58-37+($H$35-1)*22),$R$64:$R$500,0),0)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IFERROR(MATCH(TEXT($V$35,"yyyymm")&amp;"_내역_"&amp;(59-37+($E$35-1)*22),$R$64:$R$500,0),0)</f>
        <v>0</v>
      </c>
      <c r="N59" s="80">
        <f>IFERROR(MATCH(TEXT($V$35,"yyyymm")&amp;"_이체_"&amp;(59-37+($H$35-1)*22),$R$64:$R$500,0),0)</f>
        <v>0</v>
      </c>
    </row>
    <row r="60" spans="1:25" ht="40" customHeight="1">
      <c r="A60" s="349" t="s">
        <v>41</v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s">
        <v>42</v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</row>
    <row r="65" spans="1:25" ht="40" customHeight="1" outlineLevel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</row>
    <row r="66" spans="1:25" ht="40" customHeight="1" outlineLevel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</row>
    <row r="67" spans="1:25" ht="40" customHeight="1" outlineLevel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</row>
    <row r="68" spans="1:25" ht="40" customHeight="1" outlineLevel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</row>
    <row r="69" spans="1:25" ht="40" customHeight="1" outlineLevel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</row>
    <row r="70" spans="1:25" ht="40" customHeight="1" outlineLevel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</row>
    <row r="71" spans="1:25" ht="40" customHeight="1" outlineLevel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</row>
    <row r="72" spans="1:25" ht="40" customHeight="1" outlineLevel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</row>
    <row r="73" spans="1:25" ht="40" customHeight="1" outlineLevel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</row>
    <row r="74" spans="1:25" ht="40" customHeight="1" outlineLevel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</row>
    <row r="75" spans="1:25" ht="40" customHeight="1" outlineLevel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</row>
    <row r="76" spans="1:25" ht="40" customHeight="1" outlineLevel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</row>
    <row r="77" spans="1:25" ht="40" customHeight="1" outlineLevel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</row>
    <row r="78" spans="1:25" ht="40" customHeight="1" outlineLevel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</row>
    <row r="79" spans="1:25" ht="40" customHeight="1" outlineLevel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</row>
    <row r="80" spans="1:25" ht="40" customHeight="1" outlineLevel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</row>
    <row r="81" spans="1:25" ht="40" customHeight="1" outlineLevel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</row>
    <row r="82" spans="1:25" ht="40" customHeight="1" outlineLevel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</row>
    <row r="83" spans="1:25" ht="40" customHeight="1" outlineLevel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</row>
    <row r="84" spans="1:25" ht="40" customHeight="1" outlineLevel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</row>
    <row r="85" spans="1:25" ht="40" customHeight="1" outlineLevel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</row>
    <row r="86" spans="1:25" ht="40" customHeight="1" outlineLevel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</row>
    <row r="87" spans="1:25" ht="40" customHeight="1" outlineLevel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</row>
    <row r="88" spans="1:25" ht="40" customHeight="1" outlineLevel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</row>
    <row r="89" spans="1:25" ht="40" customHeight="1" outlineLevel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</row>
    <row r="90" spans="1:25" ht="40" customHeight="1" outlineLevel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</row>
    <row r="91" spans="1:25" ht="40" customHeight="1" outlineLevel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</row>
    <row r="92" spans="1:25" ht="40" customHeight="1" outlineLevel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</row>
    <row r="93" spans="1:25" ht="40" customHeight="1" outlineLevel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</row>
    <row r="94" spans="1:25" ht="40" customHeight="1" outlineLevel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</row>
    <row r="95" spans="1:25" ht="40" customHeight="1" outlineLevel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</row>
    <row r="96" spans="1:25" ht="40" customHeight="1" outlineLevel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</row>
    <row r="97" spans="1:25" ht="40" customHeight="1" outlineLevel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</row>
    <row r="98" spans="1:25" ht="40" customHeight="1" outlineLevel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</row>
    <row r="99" spans="1:25" ht="40" customHeight="1" outlineLevel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</row>
    <row r="100" spans="1:25" ht="40" customHeight="1" outlineLevel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</row>
    <row r="101" spans="1:25" ht="40" customHeight="1" outlineLevel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</row>
    <row r="102" spans="1:25" ht="40" customHeight="1" outlineLevel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</row>
    <row r="103" spans="1:25" ht="40" customHeight="1" outlineLevel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</row>
    <row r="104" spans="1:25" ht="40" customHeight="1" outlineLevel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</row>
    <row r="105" spans="1:25" ht="40" customHeight="1" outlineLevel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</row>
    <row r="106" spans="1:25" ht="40" customHeight="1" outlineLevel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</row>
    <row r="107" spans="1:25" ht="40" customHeight="1" outlineLevel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</row>
    <row r="108" spans="1:25" ht="40" customHeight="1" outlineLevel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</row>
    <row r="109" spans="1:25" ht="40" customHeight="1" outlineLevel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</row>
    <row r="110" spans="1:25" ht="40" customHeight="1" outlineLevel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</row>
    <row r="111" spans="1:25" ht="40" customHeight="1" outlineLevel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</row>
    <row r="112" spans="1:25" ht="40" customHeight="1" outlineLevel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</row>
    <row r="113" spans="1:25" ht="40" customHeight="1" outlineLevel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</row>
    <row r="114" spans="1:25" ht="40" customHeight="1" outlineLevel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</row>
    <row r="115" spans="1:25" ht="40" customHeight="1" outlineLevel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</row>
    <row r="116" spans="1:25" ht="40" customHeight="1" outlineLevel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</row>
    <row r="117" spans="1:25" ht="40" customHeight="1" outlineLevel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</row>
    <row r="118" spans="1:25" ht="40" customHeight="1" outlineLevel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</row>
    <row r="119" spans="1:25" ht="40" customHeight="1" outlineLevel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</row>
    <row r="120" spans="1:25" ht="40" customHeight="1" outlineLevel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</row>
    <row r="121" spans="1:25" ht="40" customHeight="1" outlineLevel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</row>
    <row r="122" spans="1:25" ht="40" customHeight="1" outlineLevel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</row>
    <row r="123" spans="1:25" ht="40" customHeight="1" outlineLevel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</row>
    <row r="124" spans="1:25" ht="40" customHeight="1" outlineLevel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</row>
    <row r="125" spans="1:25" ht="40" customHeight="1" outlineLevel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</row>
    <row r="126" spans="1:25" ht="40" customHeight="1" outlineLevel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</row>
    <row r="127" spans="1:25" ht="40" customHeight="1" outlineLevel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</row>
    <row r="128" spans="1:25" ht="40" customHeight="1" outlineLevel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</row>
    <row r="129" spans="1:25" ht="40" customHeight="1" outlineLevel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</row>
    <row r="130" spans="1:25" ht="40" customHeight="1" outlineLevel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</row>
    <row r="131" spans="1:25" ht="40" customHeight="1" outlineLevel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</row>
    <row r="132" spans="1:25" ht="40" customHeight="1" outlineLevel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</row>
    <row r="133" spans="1:25" ht="40" customHeight="1" outlineLevel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</row>
    <row r="134" spans="1:25" ht="40" customHeight="1" outlineLevel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</row>
    <row r="135" spans="1:25" ht="40" customHeight="1" outlineLevel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</row>
    <row r="136" spans="1:25" ht="40" customHeight="1" outlineLevel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</row>
    <row r="137" spans="1:25" ht="40" customHeight="1" outlineLevel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</row>
    <row r="138" spans="1:25" ht="40" customHeight="1" outlineLevel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</row>
    <row r="139" spans="1:25" ht="40" customHeight="1" outlineLevel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</row>
    <row r="140" spans="1:25" ht="40" customHeight="1" outlineLevel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</row>
    <row r="141" spans="1:25" ht="40" customHeight="1" outlineLevel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</row>
    <row r="142" spans="1:25" ht="40" customHeight="1" outlineLevel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</row>
    <row r="143" spans="1:25" ht="40" customHeight="1" outlineLevel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</row>
    <row r="144" spans="1:25" ht="40" customHeight="1" outlineLevel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</row>
    <row r="145" spans="1:25" ht="40" customHeight="1" outlineLevel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</row>
    <row r="146" spans="1:25" ht="40" customHeight="1" outlineLevel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</row>
    <row r="147" spans="1:25" ht="40" customHeight="1" outlineLevel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</row>
    <row r="148" spans="1:25" ht="40" customHeight="1" outlineLevel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</row>
    <row r="149" spans="1:25" ht="40" customHeight="1" outlineLevel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</row>
    <row r="150" spans="1:25" ht="40" customHeight="1" outlineLevel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</row>
    <row r="151" spans="1:25" ht="40" customHeight="1" outlineLevel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</row>
    <row r="152" spans="1:25" ht="40" customHeight="1" outlineLevel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</row>
    <row r="153" spans="1:25" ht="40" customHeight="1" outlineLevel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</row>
    <row r="154" spans="1:25" ht="40" customHeight="1" outlineLevel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</row>
    <row r="155" spans="1:25" ht="40" customHeight="1" outlineLevel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</row>
    <row r="156" spans="1:25" ht="40" customHeight="1" outlineLevel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</row>
    <row r="157" spans="1:25" ht="40" customHeight="1" outlineLevel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</row>
    <row r="158" spans="1:25" ht="40" customHeight="1" outlineLevel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</row>
    <row r="159" spans="1:25" ht="40" customHeight="1" outlineLevel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</row>
    <row r="160" spans="1:25" ht="40" customHeight="1" outlineLevel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</row>
    <row r="161" spans="1:25" ht="40" customHeight="1" outlineLevel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</row>
    <row r="162" spans="1:25" ht="40" customHeight="1" outlineLevel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</row>
    <row r="163" spans="1:25" ht="40" customHeight="1" outlineLevel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</row>
    <row r="164" spans="1:25" ht="40" customHeight="1" outlineLevel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</row>
    <row r="165" spans="1:25" ht="40" customHeight="1" outlineLevel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</row>
    <row r="166" spans="1:25" ht="40" customHeight="1" outlineLevel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</row>
    <row r="167" spans="1:25" ht="40" customHeight="1" outlineLevel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</row>
    <row r="168" spans="1:25" ht="40" customHeight="1" outlineLevel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</row>
    <row r="169" spans="1:25" ht="40" customHeight="1" outlineLevel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</row>
    <row r="170" spans="1:25" ht="40" customHeight="1" outlineLevel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</row>
    <row r="171" spans="1:25" ht="40" customHeight="1" outlineLevel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</row>
    <row r="172" spans="1:25" ht="40" customHeight="1" outlineLevel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</row>
    <row r="173" spans="1:25" ht="40" customHeight="1" outlineLevel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</row>
    <row r="174" spans="1:25" ht="40" customHeight="1" outlineLevel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</row>
    <row r="175" spans="1:25" ht="40" customHeight="1" outlineLevel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</row>
    <row r="176" spans="1:25" ht="40" customHeight="1" outlineLevel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</row>
    <row r="177" spans="1:25" ht="40" customHeight="1" outlineLevel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</row>
    <row r="178" spans="1:25" ht="40" customHeight="1" outlineLevel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</row>
    <row r="179" spans="1:25" ht="40" customHeight="1" outlineLevel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</row>
    <row r="180" spans="1:25" ht="40" customHeight="1" outlineLevel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</row>
    <row r="181" spans="1:25" ht="40" customHeight="1" outlineLevel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</row>
    <row r="182" spans="1:25" ht="40" customHeight="1" outlineLevel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</row>
    <row r="183" spans="1:25" ht="40" customHeight="1" outlineLevel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</row>
    <row r="184" spans="1:25" ht="40" customHeight="1" outlineLevel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</row>
    <row r="185" spans="1:25" ht="40" customHeight="1" outlineLevel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</row>
    <row r="186" spans="1:25" ht="40" customHeight="1" outlineLevel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</row>
    <row r="187" spans="1:25" ht="40" customHeight="1" outlineLevel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</row>
    <row r="188" spans="1:25" ht="40" customHeight="1" outlineLevel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</row>
    <row r="189" spans="1:25" ht="40" customHeight="1" outlineLevel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</row>
    <row r="190" spans="1:25" ht="40" customHeight="1" outlineLevel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</row>
    <row r="191" spans="1:25" ht="40" customHeight="1" outlineLevel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</row>
    <row r="192" spans="1:25" ht="40" customHeight="1" outlineLevel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</row>
    <row r="193" spans="1:25" ht="40" customHeight="1" outlineLevel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</row>
    <row r="194" spans="1:25" ht="40" customHeight="1" outlineLevel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</row>
    <row r="195" spans="1:25" ht="40" customHeight="1" outlineLevel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</row>
    <row r="196" spans="1:25" ht="40" customHeight="1" outlineLevel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</row>
    <row r="197" spans="1:25" ht="40" customHeight="1" outlineLevel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</row>
    <row r="198" spans="1:25" ht="40" customHeight="1" outlineLevel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</row>
    <row r="199" spans="1:25" ht="40" customHeight="1" outlineLevel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</row>
    <row r="200" spans="1:25" ht="40" customHeight="1" outlineLevel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</row>
    <row r="201" spans="1:25" ht="40" customHeight="1" outlineLevel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</row>
    <row r="202" spans="1:25" ht="40" customHeight="1" outlineLevel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</row>
    <row r="203" spans="1:25" ht="40" customHeight="1" outlineLevel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</row>
    <row r="204" spans="1:25" ht="40" customHeight="1" outlineLevel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</row>
    <row r="205" spans="1:25" ht="40" customHeight="1" outlineLevel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</row>
    <row r="206" spans="1:25" ht="40" customHeight="1" outlineLevel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</row>
    <row r="207" spans="1:25" ht="40" customHeight="1" outlineLevel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</row>
    <row r="208" spans="1:25" ht="40" customHeight="1" outlineLevel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s">
        <v>61</v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</row>
    <row r="209" spans="1:25" ht="40" customHeight="1" outlineLevel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</row>
    <row r="210" spans="1:25" ht="40" customHeight="1" outlineLevel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</row>
    <row r="211" spans="1:25" ht="40" customHeight="1" outlineLevel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</row>
    <row r="212" spans="1:25" ht="40" customHeight="1" outlineLevel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</row>
    <row r="213" spans="1:25" ht="40" customHeight="1" outlineLevel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</row>
    <row r="214" spans="1:25" ht="40" customHeight="1" outlineLevel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</row>
    <row r="215" spans="1:25" ht="40" customHeight="1" outlineLevel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</row>
    <row r="216" spans="1:25" ht="40" customHeight="1" outlineLevel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</row>
    <row r="217" spans="1:25" ht="40" customHeight="1" outlineLevel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</row>
    <row r="218" spans="1:25" ht="40" customHeight="1" outlineLevel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</row>
    <row r="219" spans="1:25" ht="40" customHeight="1" outlineLevel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</row>
    <row r="220" spans="1:25" ht="40" customHeight="1" outlineLevel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</row>
    <row r="221" spans="1:25" ht="40" customHeight="1" outlineLevel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</row>
    <row r="222" spans="1:25" ht="40" customHeight="1" outlineLevel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</row>
    <row r="223" spans="1:25" ht="40" customHeight="1" outlineLevel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</row>
    <row r="224" spans="1:25" ht="40" customHeight="1" outlineLevel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</row>
    <row r="225" spans="1:25" ht="40" customHeight="1" outlineLevel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</row>
    <row r="226" spans="1:25" ht="40" customHeight="1" outlineLevel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</row>
    <row r="227" spans="1:25" ht="40" customHeight="1" outlineLevel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</row>
    <row r="228" spans="1:25" ht="40" customHeight="1" outlineLevel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</row>
    <row r="229" spans="1:25" ht="40" customHeight="1" outlineLevel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</row>
    <row r="230" spans="1:25" ht="40" customHeight="1" outlineLevel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202610_이체_1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202610_이체_2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202610_이체_3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202610_이체_4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202610_이체_5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202610_이체_6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202610_이체_7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202610_이체_8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202610_이체_9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202610_이체_10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</row>
    <row r="246" spans="1:25" ht="80" hidden="1" customHeight="1" outlineLevel="1">
      <c r="A246" s="314"/>
      <c r="B246" s="318"/>
      <c r="C246" s="318"/>
      <c r="D246" s="318"/>
      <c r="E246" s="316"/>
      <c r="F246" s="318"/>
      <c r="G246" s="318"/>
      <c r="H246" s="317">
        <f t="shared" si="35"/>
      </c>
      <c r="I246" s="318">
        <f t="shared" si="36"/>
      </c>
      <c r="J246" s="318"/>
      <c r="K246" s="318"/>
      <c r="L246" s="320"/>
      <c r="P246">
        <f t="shared" si="37"/>
      </c>
      <c r="Q246">
        <f t="shared" si="38"/>
      </c>
      <c r="R246">
        <f>IF(P246="","",TEXT(H246,"yyyymm")&amp;"_"&amp;P246&amp;"_"&amp;(COUNTIFS($H$64:$H$500,H246,$P$64:$P$500,P246,$A$64:$A$500,"&gt;"&amp;A246)+COUNTIFS($H$64:H246,H246,$P$64:P246,P246,$A$64:A246,A246)))</f>
      </c>
      <c r="S246">
        <f t="shared" si="39"/>
      </c>
      <c r="T246">
        <f t="shared" si="40"/>
      </c>
      <c r="U246">
        <f t="shared" si="41"/>
      </c>
      <c r="Y246">
        <f t="shared" si="42"/>
      </c>
    </row>
    <row r="247" spans="1:25" ht="68" hidden="1" customHeight="1" outlineLevel="1">
      <c r="A247" s="314"/>
      <c r="B247" s="318"/>
      <c r="C247" s="318"/>
      <c r="D247" s="318"/>
      <c r="E247" s="316"/>
      <c r="F247" s="318"/>
      <c r="G247" s="318"/>
      <c r="H247" s="317">
        <f t="shared" si="35"/>
      </c>
      <c r="I247" s="318">
        <f t="shared" si="36"/>
      </c>
      <c r="J247" s="318"/>
      <c r="K247" s="318"/>
      <c r="L247" s="320"/>
      <c r="P247">
        <f t="shared" si="37"/>
      </c>
      <c r="Q247">
        <f t="shared" si="38"/>
      </c>
      <c r="R247">
        <f>IF(P247="","",TEXT(H247,"yyyymm")&amp;"_"&amp;P247&amp;"_"&amp;(COUNTIFS($H$64:$H$500,H247,$P$64:$P$500,P247,$A$64:$A$500,"&gt;"&amp;A247)+COUNTIFS($H$64:H247,H247,$P$64:P247,P247,$A$64:A247,A247)))</f>
      </c>
      <c r="S247">
        <f t="shared" si="39"/>
      </c>
      <c r="T247">
        <f t="shared" si="40"/>
      </c>
      <c r="U247">
        <f t="shared" si="41"/>
      </c>
      <c r="Y247">
        <f t="shared" si="42"/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>
        <f t="shared" si="35"/>
      </c>
      <c r="I248" s="318">
        <f t="shared" si="36"/>
      </c>
      <c r="J248" s="315"/>
      <c r="K248" s="315"/>
      <c r="L248" s="319"/>
      <c r="P248">
        <f t="shared" si="37"/>
      </c>
      <c r="Q248">
        <f t="shared" si="38"/>
      </c>
      <c r="R248">
        <f>IF(P248="","",TEXT(H248,"yyyymm")&amp;"_"&amp;P248&amp;"_"&amp;(COUNTIFS($H$64:$H$500,H248,$P$64:$P$500,P248,$A$64:$A$500,"&gt;"&amp;A248)+COUNTIFS($H$64:H248,H248,$P$64:P248,P248,$A$64:A248,A248)))</f>
      </c>
      <c r="S248">
        <f t="shared" si="39"/>
      </c>
      <c r="T248">
        <f t="shared" si="40"/>
      </c>
      <c r="U248">
        <f t="shared" si="41"/>
      </c>
      <c r="Y248">
        <f t="shared" si="42"/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</row>
    <row r="501" spans="1:25">
      <c r="A501" t="s">
        <v>206</v>
      </c>
    </row>
  </sheetData>
  <mergeCells count="70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6">
    <dataValidation type="list" sqref="B64:B500" xr:uid="{00000000-0002-0000-0300-000000000000}">
      <formula1>"기초,입금,적립,사용,출금,이체,계좌이체,환입"</formula1>
    </dataValidation>
    <dataValidation type="list" sqref="B35" xr:uid="{00000000-0002-0000-0300-000001000000}">
      <formula1>"3,4,5,6,7,8,9,10,11,12"</formula1>
    </dataValidation>
    <dataValidation type="whole" sqref="E35" xr:uid="{00000000-0002-0000-0300-000002000000}">
      <formula1>1</formula1>
      <formula2>$F$32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999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1137880</v>
      </c>
      <c r="I38" s="27">
        <f>SUM(I4,I9,I14,I19,I24,I29)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/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50000</v>
      </c>
      <c r="N66" s="40"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/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200000</v>
      </c>
      <c r="N68" s="40"/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950260</v>
      </c>
      <c r="I38" s="27">
        <f>SUM(I4,I9,I14,I19,I24,I29)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100000</v>
      </c>
      <c r="N64" s="40"/>
      <c r="O64" s="40">
        <f>N64-M64</f>
        <v>-100000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/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/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/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200000</v>
      </c>
      <c r="O69" s="37"/>
      <c r="P69" s="37"/>
      <c r="Q69" s="37">
        <f>SUM(Q64:Q68)</f>
        <v>0</v>
      </c>
      <c r="R69" s="37">
        <f>SUM(R64:R68)</f>
        <v>200000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894480</v>
      </c>
      <c r="I38" s="27">
        <f>SUM(I4,I9,I14,I19,I24,I29)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SUMIFS(잔액!$Y$64:$Y$500,잔액!$H$64:$H$500,DATE(2026,3,1),잔액!$C$64:$C$500,L64,잔액!$B$64:$B$500,"사용")+SUMIFS(잔액!$Y$64:$Y$500,잔액!$H$64:$H$500,DATE(2026,3,1),잔액!$C$64:$C$500,L64,잔액!$B$64:$B$500,"출금")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SUMIFS(잔액!$Y$64:$Y$500,잔액!$H$64:$H$500,DATE(2026,3,1),잔액!$C$64:$C$500,L65,잔액!$B$64:$B$500,"사용")+SUMIFS(잔액!$Y$64:$Y$500,잔액!$H$64:$H$500,DATE(2026,3,1),잔액!$C$64:$C$500,L65,잔액!$B$64:$B$500,"출금")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SUMIFS(잔액!$Y$64:$Y$500,잔액!$H$64:$H$500,DATE(2026,3,1),잔액!$C$64:$C$500,L66,잔액!$B$64:$B$500,"사용")+SUMIFS(잔액!$Y$64:$Y$500,잔액!$H$64:$H$500,DATE(2026,3,1),잔액!$C$64:$C$500,L66,잔액!$B$64:$B$500,"출금")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SUMIFS(잔액!$Y$64:$Y$500,잔액!$H$64:$H$500,DATE(2026,3,1),잔액!$C$64:$C$500,L67,잔액!$B$64:$B$500,"사용")+SUMIFS(잔액!$Y$64:$Y$500,잔액!$H$64:$H$500,DATE(2026,3,1),잔액!$C$64:$C$500,L67,잔액!$B$64:$B$500,"출금")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SUMIFS(잔액!$Y$64:$Y$500,잔액!$H$64:$H$500,DATE(2026,3,1),잔액!$C$64:$C$500,L68,잔액!$B$64:$B$500,"사용")+SUMIFS(잔액!$Y$64:$Y$500,잔액!$H$64:$H$500,DATE(2026,3,1),잔액!$C$64:$C$500,L68,잔액!$B$64:$B$500,"출금")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</f>
        <v>1016640</v>
      </c>
      <c r="I38" s="27">
        <f>SUM(I4,I9,I14,I19,I24,I29)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SUMIFS(잔액!$Y$64:$Y$500,잔액!$H$64:$H$500,DATE(2026,4,1),잔액!$C$64:$C$500,L64,잔액!$B$64:$B$500,"사용")+SUMIFS(잔액!$Y$64:$Y$500,잔액!$H$64:$H$500,DATE(2026,4,1),잔액!$C$64:$C$500,L64,잔액!$B$64:$B$500,"출금")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SUMIFS(잔액!$Y$64:$Y$500,잔액!$H$64:$H$500,DATE(2026,4,1),잔액!$C$64:$C$500,L65,잔액!$B$64:$B$500,"사용")+SUMIFS(잔액!$Y$64:$Y$500,잔액!$H$64:$H$500,DATE(2026,4,1),잔액!$C$64:$C$500,L65,잔액!$B$64:$B$500,"출금")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SUMIFS(잔액!$Y$64:$Y$500,잔액!$H$64:$H$500,DATE(2026,4,1),잔액!$C$64:$C$500,L66,잔액!$B$64:$B$500,"사용")+SUMIFS(잔액!$Y$64:$Y$500,잔액!$H$64:$H$500,DATE(2026,4,1),잔액!$C$64:$C$500,L66,잔액!$B$64:$B$500,"출금")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SUMIFS(잔액!$Y$64:$Y$500,잔액!$H$64:$H$500,DATE(2026,4,1),잔액!$C$64:$C$500,L67,잔액!$B$64:$B$500,"사용")+SUMIFS(잔액!$Y$64:$Y$500,잔액!$H$64:$H$500,DATE(2026,4,1),잔액!$C$64:$C$500,L67,잔액!$B$64:$B$500,"출금")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SUMIFS(잔액!$Y$64:$Y$500,잔액!$H$64:$H$500,DATE(2026,4,1),잔액!$C$64:$C$500,L68,잔액!$B$64:$B$500,"사용")+SUMIFS(잔액!$Y$64:$Y$500,잔액!$H$64:$H$500,DATE(2026,4,1),잔액!$C$64:$C$500,L68,잔액!$B$64:$B$500,"출금")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</f>
        <v>1003915</v>
      </c>
      <c r="I38" s="27">
        <f>SUM(I4,I9,I14,I19,I24,I29)-149000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200000</v>
      </c>
      <c r="N64" s="40">
        <f>SUMIFS(잔액!$Y$64:$Y$500,잔액!$H$64:$H$500,DATE(2026,5,1),잔액!$C$64:$C$500,L64,잔액!$B$64:$B$500,"사용")+SUMIFS(잔액!$Y$64:$Y$500,잔액!$H$64:$H$500,DATE(2026,5,1),잔액!$C$64:$C$500,L64,잔액!$B$64:$B$500,"출금")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SUMIFS(잔액!$Y$64:$Y$500,잔액!$H$64:$H$500,DATE(2026,5,1),잔액!$C$64:$C$500,L65,잔액!$B$64:$B$500,"사용")+SUMIFS(잔액!$Y$64:$Y$500,잔액!$H$64:$H$500,DATE(2026,5,1),잔액!$C$64:$C$500,L65,잔액!$B$64:$B$500,"출금")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SUMIFS(잔액!$Y$64:$Y$500,잔액!$H$64:$H$500,DATE(2026,5,1),잔액!$C$64:$C$500,L66,잔액!$B$64:$B$500,"사용")+SUMIFS(잔액!$Y$64:$Y$500,잔액!$H$64:$H$500,DATE(2026,5,1),잔액!$C$64:$C$500,L66,잔액!$B$64:$B$500,"출금")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350000</v>
      </c>
      <c r="N67" s="46">
        <f>SUMIFS(잔액!$Y$64:$Y$500,잔액!$H$64:$H$500,DATE(2026,5,1),잔액!$C$64:$C$500,L67,잔액!$B$64:$B$500,"사용")+SUMIFS(잔액!$Y$64:$Y$500,잔액!$H$64:$H$500,DATE(2026,5,1),잔액!$C$64:$C$500,L67,잔액!$B$64:$B$500,"출금")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SUMIFS(잔액!$Y$64:$Y$500,잔액!$H$64:$H$500,DATE(2026,5,1),잔액!$C$64:$C$500,L68,잔액!$B$64:$B$500,"사용")+SUMIFS(잔액!$Y$64:$Y$500,잔액!$H$64:$H$500,DATE(2026,5,1),잔액!$C$64:$C$500,L68,잔액!$B$64:$B$500,"출금")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1441255</v>
      </c>
      <c r="I38" s="27">
        <f>SUM(I4,I9,I14,I19,I24,I29)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SUMIFS(잔액!$Y$64:$Y$500,잔액!$H$64:$H$500,DATE(2026,6,1),잔액!$C$64:$C$500,L64,잔액!$B$64:$B$500,"사용")+SUMIFS(잔액!$Y$64:$Y$500,잔액!$H$64:$H$500,DATE(2026,6,1),잔액!$C$64:$C$500,L64,잔액!$B$64:$B$500,"출금")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SUMIFS(잔액!$Y$64:$Y$500,잔액!$H$64:$H$500,DATE(2026,6,1),잔액!$C$64:$C$500,L65,잔액!$B$64:$B$500,"사용")+SUMIFS(잔액!$Y$64:$Y$500,잔액!$H$64:$H$500,DATE(2026,6,1),잔액!$C$64:$C$500,L65,잔액!$B$64:$B$500,"출금")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SUMIFS(잔액!$Y$64:$Y$500,잔액!$H$64:$H$500,DATE(2026,6,1),잔액!$C$64:$C$500,L66,잔액!$B$64:$B$500,"사용")+SUMIFS(잔액!$Y$64:$Y$500,잔액!$H$64:$H$500,DATE(2026,6,1),잔액!$C$64:$C$500,L66,잔액!$B$64:$B$500,"출금")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SUMIFS(잔액!$Y$64:$Y$500,잔액!$H$64:$H$500,DATE(2026,6,1),잔액!$C$64:$C$500,L67,잔액!$B$64:$B$500,"사용")+SUMIFS(잔액!$Y$64:$Y$500,잔액!$H$64:$H$500,DATE(2026,6,1),잔액!$C$64:$C$500,L67,잔액!$B$64:$B$500,"출금")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SUMIFS(잔액!$Y$64:$Y$500,잔액!$H$64:$H$500,DATE(2026,6,1),잔액!$C$64:$C$500,L68,잔액!$B$64:$B$500,"사용")+SUMIFS(잔액!$Y$64:$Y$500,잔액!$H$64:$H$500,DATE(2026,6,1),잔액!$C$64:$C$500,L68,잔액!$B$64:$B$500,"출금")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1477534</v>
      </c>
      <c r="I38" s="27">
        <f>SUM(I4,I9,I14,I19,I24,I29)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SUMIFS(잔액!$Y$64:$Y$500,잔액!$H$64:$H$500,DATE(2026,7,1),잔액!$C$64:$C$500,L64,잔액!$B$64:$B$500,"사용")+SUMIFS(잔액!$Y$64:$Y$500,잔액!$H$64:$H$500,DATE(2026,7,1),잔액!$C$64:$C$500,L64,잔액!$B$64:$B$500,"출금")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SUMIFS(잔액!$Y$64:$Y$500,잔액!$H$64:$H$500,DATE(2026,7,1),잔액!$C$64:$C$500,L65,잔액!$B$64:$B$500,"사용")+SUMIFS(잔액!$Y$64:$Y$500,잔액!$H$64:$H$500,DATE(2026,7,1),잔액!$C$64:$C$500,L65,잔액!$B$64:$B$500,"출금")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SUMIFS(잔액!$Y$64:$Y$500,잔액!$H$64:$H$500,DATE(2026,7,1),잔액!$C$64:$C$500,L66,잔액!$B$64:$B$500,"사용")+SUMIFS(잔액!$Y$64:$Y$500,잔액!$H$64:$H$500,DATE(2026,7,1),잔액!$C$64:$C$500,L66,잔액!$B$64:$B$500,"출금")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SUMIFS(잔액!$Y$64:$Y$500,잔액!$H$64:$H$500,DATE(2026,7,1),잔액!$C$64:$C$500,L67,잔액!$B$64:$B$500,"사용")+SUMIFS(잔액!$Y$64:$Y$500,잔액!$H$64:$H$500,DATE(2026,7,1),잔액!$C$64:$C$500,L67,잔액!$B$64:$B$500,"출금")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SUMIFS(잔액!$Y$64:$Y$500,잔액!$H$64:$H$500,DATE(2026,7,1),잔액!$C$64:$C$500,L68,잔액!$B$64:$B$500,"사용")+SUMIFS(잔액!$Y$64:$Y$500,잔액!$H$64:$H$500,DATE(2026,7,1),잔액!$C$64:$C$500,L68,잔액!$B$64:$B$500,"출금")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2299443</v>
      </c>
      <c r="I38" s="27">
        <f>SUM(I4,I9,I14,I19,I24,I29)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SUMIFS(잔액!$Y$64:$Y$500,잔액!$H$64:$H$500,DATE(2026,8,1),잔액!$C$64:$C$500,L64,잔액!$B$64:$B$500,"사용")+SUMIFS(잔액!$Y$64:$Y$500,잔액!$H$64:$H$500,DATE(2026,8,1),잔액!$C$64:$C$500,L64,잔액!$B$64:$B$500,"출금")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300000</v>
      </c>
      <c r="N65" s="46">
        <f>SUMIFS(잔액!$Y$64:$Y$500,잔액!$H$64:$H$500,DATE(2026,8,1),잔액!$C$64:$C$500,L65,잔액!$B$64:$B$500,"사용")+SUMIFS(잔액!$Y$64:$Y$500,잔액!$H$64:$H$500,DATE(2026,8,1),잔액!$C$64:$C$500,L65,잔액!$B$64:$B$500,"출금")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SUMIFS(잔액!$Y$64:$Y$500,잔액!$H$64:$H$500,DATE(2026,8,1),잔액!$C$64:$C$500,L66,잔액!$B$64:$B$500,"사용")+SUMIFS(잔액!$Y$64:$Y$500,잔액!$H$64:$H$500,DATE(2026,8,1),잔액!$C$64:$C$500,L66,잔액!$B$64:$B$500,"출금")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SUMIFS(잔액!$Y$64:$Y$500,잔액!$H$64:$H$500,DATE(2026,8,1),잔액!$C$64:$C$500,L67,잔액!$B$64:$B$500,"사용")+SUMIFS(잔액!$Y$64:$Y$500,잔액!$H$64:$H$500,DATE(2026,8,1),잔액!$C$64:$C$500,L67,잔액!$B$64:$B$500,"출금")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SUMIFS(잔액!$Y$64:$Y$500,잔액!$H$64:$H$500,DATE(2026,8,1),잔액!$C$64:$C$500,L68,잔액!$B$64:$B$500,"사용")+SUMIFS(잔액!$Y$64:$Y$500,잔액!$H$64:$H$500,DATE(2026,8,1),잔액!$C$64:$C$500,L68,잔액!$B$64:$B$500,"출금")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</f>
        <v>1862851</v>
      </c>
      <c r="I38" s="27">
        <f>SUM(I4,I9,I14,I19,I24,I29)-50000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SUMIFS(잔액!$Y$64:$Y$500,잔액!$H$64:$H$500,DATE(2026,9,1),잔액!$C$64:$C$500,L64,잔액!$B$64:$B$500,"사용")+SUMIFS(잔액!$Y$64:$Y$500,잔액!$H$64:$H$500,DATE(2026,9,1),잔액!$C$64:$C$500,L64,잔액!$B$64:$B$500,"출금")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SUMIFS(잔액!$Y$64:$Y$500,잔액!$H$64:$H$500,DATE(2026,9,1),잔액!$C$64:$C$500,L65,잔액!$B$64:$B$500,"사용")+SUMIFS(잔액!$Y$64:$Y$500,잔액!$H$64:$H$500,DATE(2026,9,1),잔액!$C$64:$C$500,L65,잔액!$B$64:$B$500,"출금")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50000</v>
      </c>
      <c r="N66" s="40">
        <f>SUMIFS(잔액!$Y$64:$Y$500,잔액!$H$64:$H$500,DATE(2026,9,1),잔액!$C$64:$C$500,L66,잔액!$B$64:$B$500,"사용")+SUMIFS(잔액!$Y$64:$Y$500,잔액!$H$64:$H$500,DATE(2026,9,1),잔액!$C$64:$C$500,L66,잔액!$B$64:$B$500,"출금")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SUMIFS(잔액!$Y$64:$Y$500,잔액!$H$64:$H$500,DATE(2026,9,1),잔액!$C$64:$C$500,L67,잔액!$B$64:$B$500,"사용")+SUMIFS(잔액!$Y$64:$Y$500,잔액!$H$64:$H$500,DATE(2026,9,1),잔액!$C$64:$C$500,L67,잔액!$B$64:$B$500,"출금")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SUMIFS(잔액!$Y$64:$Y$500,잔액!$H$64:$H$500,DATE(2026,9,1),잔액!$C$64:$C$500,L68,잔액!$B$64:$B$500,"사용")+SUMIFS(잔액!$Y$64:$Y$500,잔액!$H$64:$H$500,DATE(2026,9,1),잔액!$C$64:$C$500,L68,잔액!$B$64:$B$500,"출금")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46310.0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10/15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10/15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10/15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10/15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10/15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10/15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10/15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10/15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10/15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$2465&gt;=D13)*(RAW!$A$2323:$A$2465&lt;D13+1)*(RAW!$H$2323:$H$2465="지출")*(RAW!$L$2323:$L$2465="본인")*((RAW!$J$2323:$J$2465="경조·선물")+(RAW!$J$2323:$J$2465="담배")+(RAW!$J$2323:$J$2465="변동비")+(RAW!$J$2323:$J$2465="약속·만남")+(RAW!$J$2323:$J$2465="여행")+(RAW!$J$2323:$J$2465="일회성전자"))*ROUNDUP(RAW!$K$2323:$K$2465/1000,0)*1000)</f>
        <v>63000</v>
      </c>
      <c r="E14" s="35">
        <f>SUMPRODUCT((RAW!$A$2323:$A$2465&gt;=E13)*(RAW!$A$2323:$A$2465&lt;E13+1)*(RAW!$H$2323:$H$2465="지출")*(RAW!$L$2323:$L$2465="본인")*((RAW!$J$2323:$J$2465="경조·선물")+(RAW!$J$2323:$J$2465="담배")+(RAW!$J$2323:$J$2465="변동비")+(RAW!$J$2323:$J$2465="약속·만남")+(RAW!$J$2323:$J$2465="여행")+(RAW!$J$2323:$J$2465="일회성전자"))*ROUNDUP(RAW!$K$2323:$K$2465/1000,0)*1000)</f>
        <v>20000</v>
      </c>
      <c r="F14" s="35"/>
      <c r="G14" s="35"/>
      <c r="H14" s="35"/>
      <c r="I14" s="45">
        <f>SUM(B14:H14)</f>
        <v>328000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10/15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/>
      <c r="G15" s="35"/>
      <c r="H15" s="35"/>
      <c r="I15" s="45">
        <f>SUM(B15:H15)</f>
        <v>323920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10/15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</c>
      <c r="G16" s="27">
        <f t="shared" si="3"/>
      </c>
      <c r="H16" s="27">
        <f t="shared" si="3"/>
      </c>
      <c r="I16" s="45">
        <f>SUM(B16:H16)</f>
        <v>4080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10/15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10/15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10/15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10/15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10/15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10/15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10/15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10/15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1321000</v>
      </c>
      <c r="N28" s="367"/>
      <c r="O28" s="429" t="s">
        <v>234</v>
      </c>
      <c r="P28" s="367"/>
      <c r="Q28" s="431">
        <f>'10월계산기'!W12</f>
        <v>1321000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1321000</v>
      </c>
      <c r="N29" s="367"/>
      <c r="O29" s="429" t="s">
        <v>239</v>
      </c>
      <c r="P29" s="367"/>
      <c r="Q29" s="431">
        <f>'10월계산기'!W13</f>
        <v>1321000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21260</v>
      </c>
      <c r="N30" s="367"/>
      <c r="O30" s="429" t="s">
        <v>514</v>
      </c>
      <c r="P30" s="367"/>
      <c r="Q30" s="431">
        <f>SUM(I4,I9,I14,I19,I24,I29)-I33</f>
        <v>21260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1299740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</f>
        <v>1299740</v>
      </c>
      <c r="I38" s="27">
        <f>SUM(I4,I9,I14,I19,I24,I29)</f>
        <v>1321000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1818762</v>
      </c>
      <c r="I44" s="37">
        <f>SUM(I37:I42)+I47-I43</f>
        <v>1844000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-1309479</v>
      </c>
      <c r="I45" s="113">
        <f>IF(H45="","",C41-I44)</f>
        <v>-1334717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SUMIFS(잔액!$Y$64:$Y$500,잔액!$H$64:$H$500,DATE(2026,10,1),잔액!$C$64:$C$500,L64,잔액!$B$64:$B$500,"사용")+SUMIFS(잔액!$Y$64:$Y$500,잔액!$H$64:$H$500,DATE(2026,10,1),잔액!$C$64:$C$500,L64,잔액!$B$64:$B$500,"출금")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SUMIFS(잔액!$Y$64:$Y$500,잔액!$H$64:$H$500,DATE(2026,10,1),잔액!$C$64:$C$500,L65,잔액!$B$64:$B$500,"사용")+SUMIFS(잔액!$Y$64:$Y$500,잔액!$H$64:$H$500,DATE(2026,10,1),잔액!$C$64:$C$500,L65,잔액!$B$64:$B$500,"출금")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200000</v>
      </c>
      <c r="N66" s="40">
        <f>SUMIFS(잔액!$Y$64:$Y$500,잔액!$H$64:$H$500,DATE(2026,10,1),잔액!$C$64:$C$500,L66,잔액!$B$64:$B$500,"사용")+SUMIFS(잔액!$Y$64:$Y$500,잔액!$H$64:$H$500,DATE(2026,10,1),잔액!$C$64:$C$500,L66,잔액!$B$64:$B$500,"출금")+IFERROR(INDEX(예비비!$G$7:$T$7,1,MATCH($T$1,예비비!$G$4:$T$4,0)),0)</f>
        <v>200000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200000</v>
      </c>
      <c r="S66" s="471" t="s">
        <v>710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SUMIFS(잔액!$Y$64:$Y$500,잔액!$H$64:$H$500,DATE(2026,10,1),잔액!$C$64:$C$500,L67,잔액!$B$64:$B$500,"사용")+SUMIFS(잔액!$Y$64:$Y$500,잔액!$H$64:$H$500,DATE(2026,10,1),잔액!$C$64:$C$500,L67,잔액!$B$64:$B$500,"출금")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SUMIFS(잔액!$Y$64:$Y$500,잔액!$H$64:$H$500,DATE(2026,10,1),잔액!$C$64:$C$500,L68,잔액!$B$64:$B$500,"사용")+SUMIFS(잔액!$Y$64:$Y$500,잔액!$H$64:$H$500,DATE(2026,10,1),잔액!$C$64:$C$500,L68,잔액!$B$64:$B$500,"출금")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200000</v>
      </c>
      <c r="N69" s="37">
        <f>SUM(N64:N68)</f>
        <v>200000</v>
      </c>
      <c r="O69" s="37"/>
      <c r="P69" s="37"/>
      <c r="Q69" s="37">
        <f>SUM(Q64:Q68)</f>
        <v>0</v>
      </c>
      <c r="R69" s="37">
        <f>SUM(R64:R68)</f>
        <v>200000</v>
      </c>
      <c r="S69" s="13"/>
      <c r="T69" s="13"/>
    </row>
    <row r="70" spans="1:21" ht="42" customHeight="1">
      <c r="A70" s="479" t="inlineStr">
        <is>
          <t xml:space="preserve">10/1~15 RAW 143건 반영. 기존 131건 유지 + 신규 12건. 타계좌 카드대금 5건 2,396,039원은 중복 소비·WRAP 차감 제외. 신규 철도 대납 51,800원 별도 추적.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10/15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s">
        <v>720</v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v>739000</v>
      </c>
      <c r="F78" s="473"/>
      <c r="G78" s="473"/>
      <c r="H78" s="474"/>
      <c r="J78" s="472" t="s">
        <v>724</v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200000</v>
      </c>
      <c r="F79" s="473"/>
      <c r="G79" s="473"/>
      <c r="H79" s="474"/>
      <c r="J79" s="475" t="s">
        <v>726</v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SUMIFS(RAW!$G$2323:$G$2465,RAW!$J$2323:$J$2465,"대납",RAW!$L$2323:$L$2465,"정산대기",RAW!$H$2323:$H$2465,"지출")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1299740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1321000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COUNT(RAW!G2323:G2465)-143</f>
        <v>0</v>
      </c>
      <c r="F83" s="473"/>
      <c r="G83" s="473"/>
      <c r="H83" s="474"/>
      <c r="J83" s="475" t="inlineStr">
        <is>
          <t xml:space="preserve">0이면 10/15 첨부 RAW 143건 모두 유지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I33-1299740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SUM(I4,I9,I14,I19,I24,I29)-1321000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-1818762</v>
      </c>
      <c r="F86" s="473"/>
      <c r="G86" s="473"/>
      <c r="H86" s="474"/>
      <c r="J86" s="475" t="inlineStr">
        <is>
          <t xml:space="preserve">급여 미입금: 10/15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244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244000</v>
      </c>
      <c r="AA3">
        <v>244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60000</v>
      </c>
      <c r="AA4">
        <v>60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1321000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1321000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1321000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1321000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1321000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10/15까지 본인 생활비 반영. 기존 색상·블록 유지 + 83칸 추가. 미회수 대납 2건 103,600원·가족 공동자금·예비비 200,000원은 월간 별도 표시.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</f>
        <v>0</v>
      </c>
      <c r="I38" s="27">
        <f>SUM(I4,I9,I14,I19,I24,I29)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SUMIFS(잔액!$Y$64:$Y$500,잔액!$H$64:$H$500,DATE(2026,11,1),잔액!$C$64:$C$500,L64,잔액!$B$64:$B$500,"사용")+SUMIFS(잔액!$Y$64:$Y$500,잔액!$H$64:$H$500,DATE(2026,11,1),잔액!$C$64:$C$500,L64,잔액!$B$64:$B$500,"출금")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SUMIFS(잔액!$Y$64:$Y$500,잔액!$H$64:$H$500,DATE(2026,11,1),잔액!$C$64:$C$500,L65,잔액!$B$64:$B$500,"사용")+SUMIFS(잔액!$Y$64:$Y$500,잔액!$H$64:$H$500,DATE(2026,11,1),잔액!$C$64:$C$500,L65,잔액!$B$64:$B$500,"출금")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SUMIFS(잔액!$Y$64:$Y$500,잔액!$H$64:$H$500,DATE(2026,11,1),잔액!$C$64:$C$500,L66,잔액!$B$64:$B$500,"사용")+SUMIFS(잔액!$Y$64:$Y$500,잔액!$H$64:$H$500,DATE(2026,11,1),잔액!$C$64:$C$500,L66,잔액!$B$64:$B$500,"출금")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SUMIFS(잔액!$Y$64:$Y$500,잔액!$H$64:$H$500,DATE(2026,11,1),잔액!$C$64:$C$500,L67,잔액!$B$64:$B$500,"사용")+SUMIFS(잔액!$Y$64:$Y$500,잔액!$H$64:$H$500,DATE(2026,11,1),잔액!$C$64:$C$500,L67,잔액!$B$64:$B$500,"출금")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SUMIFS(잔액!$Y$64:$Y$500,잔액!$H$64:$H$500,DATE(2026,11,1),잔액!$C$64:$C$500,L68,잔액!$B$64:$B$500,"사용")+SUMIFS(잔액!$Y$64:$Y$500,잔액!$H$64:$H$500,DATE(2026,11,1),잔액!$C$64:$C$500,L68,잔액!$B$64:$B$500,"출금")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</f>
        <v>0</v>
      </c>
      <c r="I38" s="27">
        <f>SUM(I4,I9,I14,I19,I24,I29)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SUMIFS(잔액!$Y$64:$Y$500,잔액!$H$64:$H$500,DATE(2026,12,1),잔액!$C$64:$C$500,L64,잔액!$B$64:$B$500,"사용")+SUMIFS(잔액!$Y$64:$Y$500,잔액!$H$64:$H$500,DATE(2026,12,1),잔액!$C$64:$C$500,L64,잔액!$B$64:$B$500,"출금")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SUMIFS(잔액!$Y$64:$Y$500,잔액!$H$64:$H$500,DATE(2026,12,1),잔액!$C$64:$C$500,L65,잔액!$B$64:$B$500,"사용")+SUMIFS(잔액!$Y$64:$Y$500,잔액!$H$64:$H$500,DATE(2026,12,1),잔액!$C$64:$C$500,L65,잔액!$B$64:$B$500,"출금")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SUMIFS(잔액!$Y$64:$Y$500,잔액!$H$64:$H$500,DATE(2026,12,1),잔액!$C$64:$C$500,L66,잔액!$B$64:$B$500,"사용")+SUMIFS(잔액!$Y$64:$Y$500,잔액!$H$64:$H$500,DATE(2026,12,1),잔액!$C$64:$C$500,L66,잔액!$B$64:$B$500,"출금")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SUMIFS(잔액!$Y$64:$Y$500,잔액!$H$64:$H$500,DATE(2026,12,1),잔액!$C$64:$C$500,L67,잔액!$B$64:$B$500,"사용")+SUMIFS(잔액!$Y$64:$Y$500,잔액!$H$64:$H$500,DATE(2026,12,1),잔액!$C$64:$C$500,L67,잔액!$B$64:$B$500,"출금")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SUMIFS(잔액!$Y$64:$Y$500,잔액!$H$64:$H$500,DATE(2026,12,1),잔액!$C$64:$C$500,L68,잔액!$B$64:$B$500,"사용")+SUMIFS(잔액!$Y$64:$Y$500,잔액!$H$64:$H$500,DATE(2026,12,1),잔액!$C$64:$C$500,L68,잔액!$B$64:$B$500,"출금")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65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2026-10-15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10/1~15 RAW 143건 보존: WRAP 13건만 잔액 원장에 연결. 타계좌 현금 45건·카드 사용 85건은 월간 자료로 보존.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s">
        <v>784</v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s">
        <v>788</v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s">
        <v>1776</v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46306.815278032409</v>
      </c>
      <c r="B2422" s="78">
        <v>46296</v>
      </c>
      <c r="C2422" s="76" t="s">
        <v>147</v>
      </c>
      <c r="D2422" s="76" t="s">
        <v>906</v>
      </c>
      <c r="E2422" s="76"/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s">
        <v>1802</v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</sheetData>
  <autoFilter ref="A1:S2465" xr:uid="{00000000-0009-0000-0000-00001C000000}"/>
  <phoneticPr fontId="27" type="noConversion"/>
  <conditionalFormatting sqref="N2323:N2465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26</vt:i4>
      </vt:variant>
    </vt:vector>
  </HeadingPairs>
  <TitlesOfParts>
    <vt:vector size="71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