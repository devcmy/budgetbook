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4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CMY/Library/CloudStorage/OneDrive-국립창원대학교/docu/"/>
    </mc:Choice>
  </mc:AlternateContent>
  <xr:revisionPtr revIDLastSave="0" documentId="8_{D2367081-3701-8B40-8ED8-FAFD9B4600C3}" xr6:coauthVersionLast="47" xr6:coauthVersionMax="47" xr10:uidLastSave="{00000000-0000-0000-0000-000000000000}"/>
  <bookViews>
    <workbookView xWindow="-40960" yWindow="2860" windowWidth="40960" windowHeight="23820" firstSheet="1" activeTab="2" xr2:uid="{00000000-000D-0000-FFFF-FFFF00000000}"/>
  </bookViews>
  <sheets>
    <sheet name="사용안내" sheetId="1" r:id="rId1"/>
    <sheet name="예비비" sheetId="3" r:id="rId3"/>
    <sheet name="잔액" sheetId="4" r:id="rId4"/>
    <sheet name="1월" sheetId="5" r:id="rId5"/>
    <sheet name="1월계산기" sheetId="6" r:id="rId6"/>
    <sheet name="2월" sheetId="7" r:id="rId7"/>
    <sheet name="2월계산기" sheetId="8" r:id="rId8"/>
    <sheet name="3월" sheetId="9" r:id="rId9"/>
    <sheet name="3월계산기" sheetId="10" r:id="rId10"/>
    <sheet name="4월" sheetId="11" r:id="rId11"/>
    <sheet name="4월계산기" sheetId="12" r:id="rId12"/>
    <sheet name="5월" sheetId="13" r:id="rId13"/>
    <sheet name="5월계산기" sheetId="14" r:id="rId14"/>
    <sheet name="6월" sheetId="15" r:id="rId15"/>
    <sheet name="6월계산기" sheetId="16" r:id="rId16"/>
    <sheet name="7월" sheetId="17" r:id="rId17"/>
    <sheet name="7월계산기" sheetId="18" r:id="rId18"/>
    <sheet name="8월" sheetId="19" r:id="rId19"/>
    <sheet name="8월계산기" sheetId="20" r:id="rId20"/>
    <sheet name="9월" sheetId="21" r:id="rId21"/>
    <sheet name="9월계산기" sheetId="22" r:id="rId22"/>
    <sheet name="10월" sheetId="23" r:id="rId23"/>
    <sheet name="10월계산기" sheetId="24" r:id="rId24"/>
    <sheet name="11월" sheetId="25" r:id="rId25"/>
    <sheet name="11월계산기" sheetId="26" r:id="rId26"/>
    <sheet name="12월" sheetId="27" r:id="rId27"/>
    <sheet name="12월계산기" sheetId="28" r:id="rId28"/>
    <sheet name="RAW" sheetId="29" r:id="rId29"/>
    <sheet name="기존_예비비" sheetId="30" state="hidden" r:id="rId30"/>
    <sheet name="기존_잔액" sheetId="31" state="hidden" r:id="rId31"/>
    <sheet name="기존_1월" sheetId="32" state="hidden" r:id="rId32"/>
    <sheet name="기존_2월" sheetId="33" state="hidden" r:id="rId33"/>
    <sheet name="기존_3월" sheetId="34" state="hidden" r:id="rId34"/>
    <sheet name="기존_4월" sheetId="35" state="hidden" r:id="rId35"/>
    <sheet name="기존_5월" sheetId="36" state="hidden" r:id="rId36"/>
    <sheet name="기존_6월" sheetId="37" state="hidden" r:id="rId37"/>
    <sheet name="기존_7월" sheetId="38" state="hidden" r:id="rId38"/>
    <sheet name="기존_8월" sheetId="39" state="hidden" r:id="rId39"/>
    <sheet name="기존_9월" sheetId="40" state="hidden" r:id="rId40"/>
    <sheet name="기존_이사비" sheetId="41" state="hidden" r:id="rId41"/>
    <sheet name="기존_상환비" sheetId="42" state="hidden" r:id="rId42"/>
    <sheet name="보관_9월계산기" sheetId="43" state="hidden" r:id="rId43"/>
    <sheet name="보관_11월계산기" sheetId="44" state="hidden" r:id="rId44"/>
    <sheet name="보관_12월계산기" sheetId="45" state="hidden" r:id="rId45"/>
    <sheet name="_예비비계산" sheetId="46" state="hidden" r:id="rIdReserveCalculation"/>
  </sheets>
  <functionGroups builtInGroupCount="19"/>
  <definedNames>
    <definedName name="_xlnm._FilterDatabase" localSheetId="27" hidden="1">RAW!$A$1:$S$2453</definedName>
    <definedName name="_xlnm.Print_Area" localSheetId="21">'10월'!$A$1:$V$86</definedName>
    <definedName name="_xlnm.Print_Area" localSheetId="22">'10월계산기'!$A$1:$W$155</definedName>
    <definedName name="_xlnm.Print_Area" localSheetId="23">'11월'!$A$1:$V$70</definedName>
    <definedName name="_xlnm.Print_Area" localSheetId="24">'11월계산기'!$A$1:$W$155</definedName>
    <definedName name="_xlnm.Print_Area" localSheetId="25">'12월'!$A$1:$V$70</definedName>
    <definedName name="_xlnm.Print_Area" localSheetId="26">'12월계산기'!$A$1:$W$155</definedName>
    <definedName name="_xlnm.Print_Area" localSheetId="3">'1월'!$A$1:$V$70</definedName>
    <definedName name="_xlnm.Print_Area" localSheetId="4">'1월계산기'!$A$1:$W$155</definedName>
    <definedName name="_xlnm.Print_Area" localSheetId="5">'2월'!$A$1:$V$70</definedName>
    <definedName name="_xlnm.Print_Area" localSheetId="6">'2월계산기'!$A$1:$W$155</definedName>
    <definedName name="_xlnm.Print_Area" localSheetId="7">'3월'!$A$1:$V$70</definedName>
    <definedName name="_xlnm.Print_Area" localSheetId="8">'3월계산기'!$A$1:$W$155</definedName>
    <definedName name="_xlnm.Print_Area" localSheetId="9">'4월'!$A$1:$V$70</definedName>
    <definedName name="_xlnm.Print_Area" localSheetId="10">'4월계산기'!$A$1:$W$155</definedName>
    <definedName name="_xlnm.Print_Area" localSheetId="11">'5월'!$A$1:$V$70</definedName>
    <definedName name="_xlnm.Print_Area" localSheetId="12">'5월계산기'!$A$1:$W$155</definedName>
    <definedName name="_xlnm.Print_Area" localSheetId="13">'6월'!$A$1:$V$70</definedName>
    <definedName name="_xlnm.Print_Area" localSheetId="14">'6월계산기'!$A$1:$W$155</definedName>
    <definedName name="_xlnm.Print_Area" localSheetId="15">'7월'!$A$1:$V$70</definedName>
    <definedName name="_xlnm.Print_Area" localSheetId="16">'7월계산기'!$A$1:$W$155</definedName>
    <definedName name="_xlnm.Print_Area" localSheetId="17">'8월'!$A$1:$V$70</definedName>
    <definedName name="_xlnm.Print_Area" localSheetId="18">'8월계산기'!$A$1:$W$155</definedName>
    <definedName name="_xlnm.Print_Area" localSheetId="19">'9월'!$A$1:$V$70</definedName>
    <definedName name="_xlnm.Print_Area" localSheetId="20">'9월계산기'!$A$1:$W$155</definedName>
    <definedName name="_xlnm.Print_Area" localSheetId="2">'잔액'!$A$1:$L$525</definedName>
    <definedName name="_xlnm.Print_Area" localSheetId="1">'예비비'!$A$1:$O$79</definedName>
  </definedNames>
  <calcPr calcId="191029" forceFullCalc="1" fullCalcOnLoad="1" calcMode="auto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<sst xmlns="http://schemas.openxmlformats.org/spreadsheetml/2006/main" count="26787" uniqueCount="2558">
  <si>
    <t>잔액 | WRAP 통장 안의 목적별 자금</t>
  </si>
  <si>
    <t>조회월</t>
  </si>
  <si>
    <t>2026-10-13 기준 · WRAP 입출금 RAW 12건. WRAP↔타은행 이체만 연결하며 타계좌 단독 거래는 반영하지 않습니다.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</si>
  <si>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</si>
  <si>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</si>
  <si>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</si>
  <si>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</si>
  <si>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</si>
  <si>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이체 보냄</t>
  </si>
  <si>
    <t>이체 받음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</si>
  <si>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</si>
  <si>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</si>
  <si>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</si>
  <si>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</si>
  <si>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</si>
  <si>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</si>
  <si>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</si>
  <si>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</si>
  <si>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</si>
  <si>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</si>
  <si>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</si>
  <si>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</si>
  <si>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</si>
  <si>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</si>
  <si>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</si>
  <si>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</si>
  <si>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관리 통장: 미래에셋_WRAP형CMA · WRAP 밖으로 보낸 목적자금의 사용은 월간 탭에서 확인합니다.</t>
  </si>
  <si>
    <t>WRAP 통장의 계정별 월말 잔액</t>
  </si>
  <si>
    <t>계정 / 월말 잔액</t>
  </si>
  <si>
    <t>WRAP 내 계정 잔액만 합산합니다. 다른 통장의 잔액·보관금은 포함하지 않습니다.</t>
  </si>
  <si>
    <t>명절비·여행비·경조사비·상환비·예비비 계정은 그대로 유지합니다. 계정 간 분류 이체는 WRAP 총액을 바꾸지 않습니다.</t>
  </si>
  <si>
    <t>선택한 달의 WRAP 내역 · WRAP 입출금과 계좌이체</t>
  </si>
  <si>
    <t>내역 월</t>
  </si>
  <si>
    <t>내역 페이지</t>
  </si>
  <si>
    <t>이체 페이지</t>
  </si>
  <si>
    <t>최신 거래부터 표시</t>
  </si>
  <si>
    <t>날짜</t>
  </si>
  <si>
    <t>내용</t>
  </si>
  <si>
    <t>금액</t>
  </si>
  <si>
    <t>보낸 계좌</t>
  </si>
  <si>
    <t>받은 계좌</t>
  </si>
  <si>
    <t>메모를 누르면 WRAP RAW로 이동합니다. WRAP에서 타계좌로 나간 이체는 차감하고, 타계좌에서 WRAP으로 들어온 이체는 가산합니다. 상대 계좌의 결제·수입·공동활동은 이 원장에 넣지 않습니다.</t>
  </si>
  <si>
    <t>WRAP 원장 · 실제 입출금 / WRAP↔타은행 이체 / WRAP 내 목적별 계정 이동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</si>
  <si>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</si>
  <si>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</si>
  <si>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</si>
  <si>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</si>
  <si>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</si>
  <si>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</si>
  <si>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</si>
  <si>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</si>
  <si>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</si>
  <si>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</si>
  <si>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</si>
  <si>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</si>
  <si>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</si>
  <si>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</si>
  <si>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</si>
  <si>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</si>
  <si>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</si>
  <si>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</si>
  <si>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</si>
  <si>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</si>
  <si>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</si>
  <si>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</si>
  <si>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</si>
  <si>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</si>
  <si>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</si>
  <si>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</si>
  <si>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</si>
  <si>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</si>
  <si>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</si>
  <si>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</si>
  <si>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</si>
  <si>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</si>
  <si>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</si>
  <si>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</si>
  <si>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</si>
  <si>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</si>
  <si>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</si>
  <si>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</si>
  <si>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</si>
  <si>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</si>
  <si>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</si>
  <si>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</si>
  <si>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</si>
  <si>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</si>
  <si>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</si>
  <si>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</si>
  <si>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</si>
  <si>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</si>
  <si>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</si>
  <si>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</si>
  <si>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</si>
  <si>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</si>
  <si>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</si>
  <si>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</si>
  <si>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</si>
  <si>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</si>
  <si>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</si>
  <si>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</si>
  <si>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</si>
  <si>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</si>
  <si>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</si>
  <si>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</si>
  <si>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</si>
  <si>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</si>
  <si>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</si>
  <si>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</si>
  <si>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</si>
  <si>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</si>
  <si>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</si>
  <si>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</si>
  <si>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</si>
  <si>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</si>
  <si>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</si>
  <si>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</si>
  <si>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</si>
  <si>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</si>
  <si>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</si>
  <si>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</si>
  <si>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</si>
  <si>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</si>
  <si>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</si>
  <si>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</si>
  <si>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</si>
  <si>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</si>
  <si>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</si>
  <si>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</si>
  <si>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</si>
  <si>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</si>
  <si>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</si>
  <si>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</si>
  <si>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</si>
  <si>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</si>
  <si>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</si>
  <si>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</si>
  <si>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</si>
  <si>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</si>
  <si>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</si>
  <si>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</si>
  <si>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</si>
  <si>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</si>
  <si>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</si>
  <si>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</si>
  <si>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</si>
  <si>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</si>
  <si>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</si>
  <si>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</si>
  <si>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</si>
  <si>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</si>
  <si>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</si>
  <si>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</si>
  <si>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</si>
  <si>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</si>
  <si>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</si>
  <si>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</si>
  <si>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</si>
  <si>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</si>
  <si>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</si>
  <si>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</si>
  <si>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</si>
  <si>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</si>
  <si>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</si>
  <si>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</si>
  <si>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</si>
  <si>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</si>
  <si>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</si>
  <si>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</si>
  <si>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</si>
  <si>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</si>
  <si>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</si>
  <si>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</si>
  <si>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</si>
  <si>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</si>
  <si>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</si>
  <si>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</si>
  <si>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</si>
  <si>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</si>
  <si>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</si>
  <si>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</si>
  <si>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</si>
  <si>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</si>
  <si>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</si>
  <si>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</si>
  <si>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</si>
  <si>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</si>
  <si>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</si>
  <si>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</si>
  <si>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</si>
  <si>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</si>
  <si>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</si>
  <si>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</si>
  <si>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</si>
  <si>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</si>
  <si>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</si>
  <si>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</si>
  <si>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</si>
  <si>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</si>
  <si>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</si>
  <si>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</si>
  <si>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</si>
  <si>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</si>
  <si>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</si>
  <si>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</si>
  <si>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</si>
  <si>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원장을 펼쳐 빈 행에 새 거래를 입력하세요. 계좌이체는 보낸 계좌·받은 계좌를 함께 기록합니다.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</si>
  <si>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</si>
  <si>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</si>
  <si>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</si>
  <si>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</si>
  <si>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</si>
  <si>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</si>
  <si>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예비비는 미래 지출의 월별 적립 계획입니다. 세부 예산잔여와 WRAP 실제잔액을 구분하며, 명절비 용도변경은 32행에 반영합니다. 카테고리 잔액·월별 잔액은 잔액 원장에서 자동 계산합니다.</t>
  </si>
  <si>
    <t>잔액 탭</t>
  </si>
  <si>
    <t>잔액 탭은 미래에셋_WRAP형CMA 통장만 관리합니다. WRAP 입출금·타은행과의 이체·WRAP 내 목적별 분류 이동을 기록하며, 다른 통장만의 거래는 넣지 않습니다.</t>
  </si>
  <si>
    <t>WRAP에서 다른 은행으로 보내면 WRAP 잔액이 줄고, WRAP으로 들어오면 늘어납니다. 상대 은행에서 나중에 결제한 거래는 WRAP에서 다시 차감하지 않습니다.</t>
  </si>
  <si>
    <t>가족통장·모임통장의 실제 사용은 월간에서 확인합니다. WRAP 밖 보관금은 잔액 합계에 포함하지 않습니다. 가족행사 본인 예비비 20만원과 대납 미회수 51,800원은 별도 표시합니다.</t>
  </si>
  <si>
    <t>RAW 탭</t>
  </si>
  <si>
    <t>통합 파일은 테트리스_가계부_2026_고도화.xlsm으로 관리합니다. 각 월간 시트 다음에 계산기가 있으며, 검증 탭과 월간 TRUE/FALSE를 확인하세요.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</si>
  <si>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</si>
  <si>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</si>
  <si>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10월은10/13까지 실제 자료입니다. 미수령 급여·미결제 고정비·공동자금·대납은 월간 확인표에 별도로 표시합니다.</t>
  </si>
  <si>
    <t>WRAP RAW만 잔액 원장 연결을 검증합니다. RAW의 타계좌·카드 자료는 보존하며 월간 시트·계산기의 검증 자료로 사용합니다.</t>
  </si>
  <si>
    <t>실제 배분과 미결제 예정액을 구분합니다. 목적자금 사용은 합계에 중복 가산하지 않습니다.</t>
  </si>
  <si>
    <t>https://www.kasi.re.kr/kor/post/newsMaterial/32031</t>
  </si>
  <si>
    <t>예비비 69행의 연결표에서 기초·적립 차이, 이체·분류 이동, 사용·환입 차이를 확인하세요. 9월 가족통장 선이체 20만원을 10월 생신 사용 때 WRAP 잔액에서 다시 차감하지 않습니다.</t>
  </si>
  <si>
    <t>2026년 가계부 · 계산기 통합 검증</t>
  </si>
  <si>
    <t>TRUE는 같은 범위의 금액이 일치함을 뜻합니다. 11·12월은 실제 입력 전으로 표시합니다. 색상 변경 후 Calculate를 눌러 대조하세요.</t>
  </si>
  <si>
    <t>입력 상태</t>
  </si>
  <si>
    <t>달력 실제</t>
  </si>
  <si>
    <t>달력 테트리스</t>
  </si>
  <si>
    <t>색상 합계</t>
  </si>
  <si>
    <t>별도 목적표시</t>
  </si>
  <si>
    <t>계산기 표시</t>
  </si>
  <si>
    <t>표시 차이</t>
  </si>
  <si>
    <t>표시 일치</t>
  </si>
  <si>
    <t>월급 비고정 실제</t>
  </si>
  <si>
    <t>월급 비고정 테트리스</t>
  </si>
  <si>
    <t>계산기 월급부담</t>
  </si>
  <si>
    <t>기존 목적재원</t>
  </si>
  <si>
    <t>부담 차이</t>
  </si>
  <si>
    <t>부담 일치</t>
  </si>
  <si>
    <t>차액 검증</t>
  </si>
  <si>
    <t>메모</t>
  </si>
  <si>
    <t>원본 달력·색상 이력 유지</t>
  </si>
  <si>
    <t>가족 선물 예비비148,900원(테트리스149,000원) 부담 제외</t>
  </si>
  <si>
    <t>생일 표시50,000원 보완 · 추가3일216,000원 · 구독 중복2,000원 제외</t>
  </si>
  <si>
    <t>10/13까지 · 가족 공동자금·대납 분리</t>
  </si>
  <si>
    <t>실제 입력 대기 · 원본 색상 이력 숨김 보관</t>
  </si>
  <si>
    <t>확정한 가계부 원칙 및 이번 검토에서 보완한 사항</t>
  </si>
  <si>
    <t>파일 이름: 테트리스_가계부_2026_고도화.xlsm. 월간 시트 다음에 해당 월 계산기를 둡니다. 기존 원본 파일은 보존했습니다.</t>
  </si>
  <si>
    <t>예비비는 미래 큰 지출을 위한 월별 적립 예산입니다. 잔액은 실제 보유금과 이체·사용·환입 원장입니다.</t>
  </si>
  <si>
    <t>원본 잔액 계정: 생활비·상환비·여행비·명절비·경조사비·예비비·결제대금비·금융·임시보관. 임의 통합을 해제하고 계정별 3~9월 잔액을 원본과 대조합니다.</t>
  </si>
  <si>
    <t>고정생활비·비고정생활비·자산형성·목적자금 적립을 나눕니다. 목적자금 사용은 월간 화면에 표시하고 월급 배분에서 중복 제외합니다.</t>
  </si>
  <si>
    <t>9월 부모 행사20만원은 선이체였고10월 사용입니다. 가족 행사 실비639,000원과 형제자매 반환100,000원(전체출금739,000원), 본인 예비비200,000원을 구분합니다.</t>
  </si>
  <si>
    <t>식사대금 정산이체139,000원은 이미 기록한 식사와 연결합니다. 철도 대납51,800원은 미회수 받을 돈입니다.</t>
  </si>
  <si>
    <t>10월 고정비 결제방식은9월 해당 항목을 기준으로 유지합니다. RAW 대조 내용은 메모(V열)에 기록합니다.</t>
  </si>
  <si>
    <t>10월 급여는 미수령이고 고정비 예정액은 미결제입니다. 실제 수입·지출과 예정액을 구분합니다.</t>
  </si>
  <si>
    <t>1~8월 원본 색상 블록을 보존했습니다. 9월28~30일216,000원 추가, 구독고정비1,390원(테트리스2,000원) 중복 제외, 생일예비비50,000원 달력표기를 보완했습니다. 월급 부담은1회만 제외합니다.</t>
  </si>
  <si>
    <t>One_Raw의 계산기 비교와 올림차액 비교를 같은 파일 안의 TRUE/FALSE 수식으로 구현했습니다. 비교 셀에는 TRUE를 직접 입력하지 않습니다.</t>
  </si>
  <si>
    <t>11·12월 원본 계산기의 기존 색상 금액은2026년 실제 자료가 없어 실적에 포함하지 않았습니다. 숨김 보관 탭에 원본 색상을 유지했습니다.</t>
  </si>
  <si>
    <t>매크로 색상 집계는 원본 VBA와 Calculate 버튼을 사용합니다. 현재 파일은 검증 당시 색상 합계를 저장했습니다. 색상 변경 후에는 매크로를 허용하고 Calculate를 눌러 다시 대조하세요.</t>
  </si>
  <si>
    <t>검증 범위: 실제 색상 수 독립 집계, 수식 재계산, 월별 비교, 원본·VBA 보존. Excel에서 VBA를 직접 실행한 검증은 하지 않았습니다.</t>
  </si>
  <si>
    <t>10월 WRAP RAW → WRAP 원장 검증 · 타계좌 단독 거래 제외</t>
  </si>
  <si>
    <t>첨부 RAW 거래 수</t>
  </si>
  <si>
    <t>WRAP RAW의 원장 연결 수</t>
  </si>
  <si>
    <t>WRAP 원장 연결 누락</t>
  </si>
  <si>
    <t>WRAP 원장 연결 중복</t>
  </si>
  <si>
    <t>WRAP → 신한은행 송금</t>
  </si>
  <si>
    <t>WRAP → 카카오뱅크 송금</t>
  </si>
  <si>
    <t>타계좌 카드대금 WRAP 중복기록</t>
  </si>
  <si>
    <t>가족행사 본인 예비비 사용</t>
  </si>
  <si>
    <t>WRAP → 모임통장 50,000원 1회 기록</t>
  </si>
  <si>
    <t>10월 원장 필수 입력 오류</t>
  </si>
  <si>
    <t>잔액 원장은 WRAP만 관리합니다. WRAP에서 타은행으로 보낼 때 차감합니다. 상대 계좌에서 일어난 결제·이자·용돈·공동활동은 WRAP에 가산·차감하지 않습니다.</t>
  </si>
  <si>
    <t>10/13 결제 준비 이체와 실제 출금 검증</t>
  </si>
  <si>
    <t>추가 RAW 거래</t>
  </si>
  <si>
    <t>결제 준비 계좌이체 건수</t>
  </si>
  <si>
    <t>계좌이체 원금 합계</t>
  </si>
  <si>
    <t>10/13 계좌이체의 WRAP 순변동</t>
  </si>
  <si>
    <t>신한은행 실제 대출이자</t>
  </si>
  <si>
    <t>10/13 실제 비고정 생활비</t>
  </si>
  <si>
    <t>10/13 테트리스 입력</t>
  </si>
  <si>
    <t>계산기와 월간 합계 차이</t>
  </si>
  <si>
    <t>결제 준비 이체는 소비·자산형성에 추가 계산하지 않습니다. 이후 실제 카드대금·이자 출금이 RAW에 기록되면 현금 원장에 반영하며, 월간 소비는 기존 카드 사용과 중복하지 않습니다.</t>
  </si>
  <si>
    <t>WRAP 관리 범위 검증 · 모든 현금 거래를 넣지 않음</t>
  </si>
  <si>
    <t>전체 RAW 보존</t>
  </si>
  <si>
    <t>잔액 대상 WRAP RAW</t>
  </si>
  <si>
    <t>타계좌 현금 · 잔액 제외</t>
  </si>
  <si>
    <t>WRAP RAW의 정상 연결</t>
  </si>
  <si>
    <t>원장에 들어간 카드 사용</t>
  </si>
  <si>
    <t>WRAP 연결 누락</t>
  </si>
  <si>
    <t>WRAP 연결 중복</t>
  </si>
  <si>
    <t>원장의 WRAP RAW 건수</t>
  </si>
  <si>
    <t>WRAP 12건만 연결합니다. 타계좌 현금 40건·카드 79건은 RAW와 월간에 보존합니다. 가족통장에서 사용한 본인 예비비 20만원은 월간 사용표에 표시하고 WRAP 잔액에서는 제외합니다.</t>
  </si>
  <si>
    <t>원본 계정 복원 검증 · 3~9월 계정별 잔액 63개 대조</t>
  </si>
  <si>
    <t>원본 계정</t>
  </si>
  <si>
    <t>3월</t>
  </si>
  <si>
    <t>4월</t>
  </si>
  <si>
    <t>5월</t>
  </si>
  <si>
    <t>6월</t>
  </si>
  <si>
    <t>7월</t>
  </si>
  <si>
    <t>8월</t>
  </si>
  <si>
    <t>9월</t>
  </si>
  <si>
    <t>계정 전체 일치</t>
  </si>
  <si>
    <t>원본 3월</t>
  </si>
  <si>
    <t>원본 4월</t>
  </si>
  <si>
    <t>원본 5월</t>
  </si>
  <si>
    <t>원본 6월</t>
  </si>
  <si>
    <t>원본 7월</t>
  </si>
  <si>
    <t>원본 8월</t>
  </si>
  <si>
    <t>원본 9월</t>
  </si>
  <si>
    <t>복원한 명절비 → 경조사비 이체</t>
  </si>
  <si>
    <t>결제대금비 3월 원본 잔액</t>
  </si>
  <si>
    <t>9월 가족통장 선이체 · WRAP 차감</t>
  </si>
  <si>
    <t>10월 경조사 본인 예비비 사용</t>
  </si>
  <si>
    <t>10월 목적자금 사용 중복 없음</t>
  </si>
  <si>
    <t>9월 WRAP 잔액 = 원본 합계</t>
  </si>
  <si>
    <t>원본 9개 WRAP 계정과 3~9월 잔액 63개를 대조합니다. 9월 가족통장 선이체 20만원은 WRAP에서 이미 나간 돈입니다. 10월 가족통장 사용은 월간 목적사용에 표시하며 WRAP에는 재차감하지 않습니다. 날짜가 없던 기록은 월 기준일로 유지합니다.</t>
  </si>
  <si>
    <t>대조 금액 상세 · 원본 금액 / 복원 금액 / 차이</t>
  </si>
  <si>
    <t>원본 잔액</t>
  </si>
  <si>
    <t>복원 잔액</t>
  </si>
  <si>
    <t>차이</t>
  </si>
  <si>
    <t>원본 One_Raw의 3~9월 WRAP 계정 잔액을 대조했습니다. WRAP 밖의 가족통장 보관금이나 다른 통장 잔액은 이 합계에 포함하지 않습니다.</t>
  </si>
  <si>
    <t>WRAP 이월 + 실제 입출금 = 잔액 · 월급 지출과 다른 계산</t>
  </si>
  <si>
    <t>9월 말 WRAP 이월액</t>
  </si>
  <si>
    <t>WRAP 수입 · 이자</t>
  </si>
  <si>
    <t>타은행 → WRAP 이체 입금</t>
  </si>
  <si>
    <t>WRAP → 타계좌 이체 출금</t>
  </si>
  <si>
    <t>WRAP에서 직접 쓴 돈</t>
  </si>
  <si>
    <t>원장에 들어간 타계좌 단독 거래</t>
  </si>
  <si>
    <t>계산한 WRAP 잔액</t>
  </si>
  <si>
    <t>원장과 WRAP 입출금 계산 차이</t>
  </si>
  <si>
    <t>예비비 잔액 ↔ WRAP 원장 연결 검증</t>
  </si>
  <si>
    <t>명절비: 예비비와 잔액 원장 일치</t>
  </si>
  <si>
    <t>여행비: 예비비와 잔액 원장 일치</t>
  </si>
  <si>
    <t>경조사비: 예비비와 잔액 원장 일치</t>
  </si>
  <si>
    <t>상환비: 예비비와 잔액 원장 일치</t>
  </si>
  <si>
    <t>예비비: 예비비와 잔액 원장 일치</t>
  </si>
  <si>
    <t>목적자금 5개 계정 합계</t>
  </si>
  <si>
    <t>이체·사용 차이 연결표 계산 차이</t>
  </si>
  <si>
    <t>명절비 용도변경의 중복 계산 차이</t>
  </si>
  <si>
    <t>예산과 WRAP 기록이 서로 다른 적립액은 예비비의 월별 차이 표에 표시합니다. 잔액 일치 검증은 계정 잔액 수식의 연결 검증이며, 세부 계획 금액의 배분이나 은행 앱의 실제 잔액까지 검증한 것은 아닙니다.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</si>
  <si>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</si>
  <si>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</si>
  <si>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</si>
  <si>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</si>
  <si>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</si>
  <si>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</si>
  <si>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</si>
  <si>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</si>
  <si>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</si>
  <si>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</si>
  <si>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</si>
  <si>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</si>
  <si>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</si>
  <si>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</si>
  <si>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</si>
  <si>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</si>
  <si>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</si>
  <si>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</si>
  <si>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</si>
  <si>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</si>
  <si>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9월 가족통장 선이체 20만원을 10월에 사용. WRAP에서 재차 차감하지 않음.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</si>
  <si>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</si>
  <si>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</si>
  <si>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</si>
  <si>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</si>
  <si>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</si>
  <si>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</si>
  <si>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</si>
  <si>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</si>
  <si>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</si>
  <si>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</si>
  <si>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</si>
  <si>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</si>
  <si>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</si>
  <si>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</si>
  <si>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</si>
  <si>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</si>
  <si>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</si>
  <si>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</si>
  <si>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</si>
  <si>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</si>
  <si>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</si>
  <si>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</si>
  <si>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</si>
  <si>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</si>
  <si>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</si>
  <si>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</si>
  <si>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</si>
  <si>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</si>
  <si>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</si>
  <si>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</si>
  <si>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</si>
  <si>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</si>
  <si>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</si>
  <si>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</si>
  <si>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</si>
  <si>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</si>
  <si>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</si>
  <si>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</si>
  <si>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</si>
  <si>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명절비·여행비·경조사비·상환비·예비비를 그대로 유지합니다. 9월 가족통장 선이체는 WRAP에서 이미 출금된 돈이며, 10월 행사 사용 20만원은 예비비·월간에 한 번만 표시합니다. 잔액 원장에는 재차 차감하지 않습니다.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</si>
  <si>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</si>
  <si>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</si>
  <si>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</si>
  <si>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</si>
  <si>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</si>
  <si>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</si>
  <si>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</si>
  <si>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</si>
  <si>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</si>
  <si>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</si>
  <si>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예산 대비 계정 적립 −100,000(5월·8월 각 −50,000). 생활비 보충 +100,000, 명절비 이전 +100,000. 10월 생신 예산 사용 +200,000은 9월 명절비에서 선이체해 경조사비에서 다시 차감하지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</si>
  <si>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</si>
  <si>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</si>
  <si>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</si>
  <si>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</si>
  <si>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</si>
  <si>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</si>
  <si>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</si>
  <si>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</si>
  <si>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</si>
  <si>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</si>
  <si>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</si>
  <si>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</si>
  <si>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</si>
  <si>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</si>
  <si>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</si>
  <si>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</si>
  <si>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</si>
  <si>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</si>
  <si>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</si>
  <si>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</si>
  <si>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</si>
  <si>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</si>
  <si>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</si>
  <si>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</si>
  <si>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</si>
  <si>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</si>
  <si>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</si>
  <si>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</si>
  <si>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</si>
  <si>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</si>
  <si>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</si>
  <si>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</si>
  <si>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</si>
  <si>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</si>
  <si>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</si>
  <si>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</si>
  <si>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</si>
  <si>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</si>
  <si>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</si>
  <si>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</si>
  <si>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</si>
  <si>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</si>
  <si>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</si>
  <si>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</si>
  <si>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</si>
  <si>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</si>
  <si>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</si>
  <si>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</si>
  <si>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</si>
  <si>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</si>
  <si>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</si>
  <si>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</si>
  <si>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</si>
  <si>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</si>
  <si>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</si>
  <si>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</si>
  <si>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</si>
  <si>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</si>
  <si>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</si>
  <si>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</si>
  <si>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</si>
  <si>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</si>
  <si>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</si>
  <si>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</si>
  <si>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</si>
  <si>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</si>
  <si>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</si>
  <si>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</si>
  <si>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</si>
  <si>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</si>
  <si>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</si>
  <si>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</si>
  <si>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</si>
  <si>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</si>
  <si>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</si>
  <si>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</si>
  <si>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</si>
  <si>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</si>
  <si>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</si>
  <si>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</si>
  <si>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</si>
  <si>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</si>
  <si>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</si>
  <si>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</si>
  <si>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</si>
  <si>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</si>
  <si>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</si>
  <si>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</si>
  <si>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</si>
  <si>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</si>
  <si>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</si>
  <si>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</si>
  <si>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</si>
  <si>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</si>
  <si>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</si>
  <si>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</si>
  <si>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</si>
  <si>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</si>
  <si>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</si>
  <si>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</si>
  <si>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</si>
  <si>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</si>
  <si>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</si>
  <si>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</si>
  <si>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</si>
  <si>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</si>
  <si>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</si>
  <si>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</si>
  <si>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</si>
  <si>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</si>
  <si>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</si>
  <si>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</si>
  <si>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</si>
  <si>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</si>
  <si>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</si>
  <si>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</si>
  <si>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</si>
  <si>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</si>
  <si>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</si>
  <si>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</si>
  <si>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</si>
  <si>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</si>
  <si>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</si>
  <si>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</si>
  <si>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</si>
  <si>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</si>
  <si>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</si>
  <si>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</si>
  <si>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</si>
  <si>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</si>
  <si>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</si>
  <si>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</si>
  <si>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</si>
  <si>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</si>
  <si>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</si>
  <si>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</si>
  <si>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</si>
  <si>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</si>
  <si>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</si>
  <si>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</si>
  <si>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</si>
  <si>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</si>
  <si>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</si>
  <si>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</si>
  <si>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</si>
  <si>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</si>
  <si>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</si>
  <si>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</si>
  <si>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</si>
  <si>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</si>
  <si>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</si>
  <si>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</si>
  <si>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</si>
  <si>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</si>
  <si>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</si>
  <si>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</si>
  <si>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</si>
  <si>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</si>
  <si>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</si>
  <si>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</si>
  <si>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</si>
  <si>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</si>
  <si>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</si>
  <si>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</si>
  <si>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</si>
  <si>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</si>
  <si>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</si>
  <si>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</si>
  <si>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</si>
  <si>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</si>
  <si>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</si>
  <si>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</si>
  <si>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</si>
  <si>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</si>
  <si>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</si>
  <si>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</si>
  <si>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</si>
  <si>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</si>
  <si>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</si>
  <si>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</si>
  <si>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</si>
  <si>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</si>
  <si>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</si>
  <si>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</si>
  <si>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</si>
  <si>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</si>
  <si>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</si>
  <si>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</si>
  <si>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</si>
  <si>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</si>
  <si>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</si>
  <si>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</si>
  <si>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</si>
  <si>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</si>
  <si>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</si>
  <si>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</si>
  <si>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</si>
  <si>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</si>
  <si>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</si>
  <si>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</si>
  <si>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</si>
  <si>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</si>
  <si>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</si>
  <si>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</si>
  <si>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</si>
  <si>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</si>
  <si>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</si>
  <si>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</si>
  <si>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</si>
  <si>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</si>
  <si>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</si>
  <si>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</si>
  <si>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</si>
  <si>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</si>
  <si>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</si>
  <si>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</si>
  <si>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</si>
  <si>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</si>
  <si>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</si>
  <si>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</si>
  <si>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</si>
  <si>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</si>
  <si>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</si>
  <si>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</si>
  <si>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</si>
  <si>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</si>
  <si>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</si>
  <si>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</si>
  <si>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</si>
  <si>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</si>
  <si>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</si>
  <si>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</si>
  <si>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</si>
  <si>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</si>
  <si>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</si>
  <si>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</si>
  <si>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</si>
  <si>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</si>
  <si>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</si>
  <si>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</si>
  <si>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</si>
  <si>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</si>
  <si>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</si>
  <si>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</si>
  <si>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</si>
  <si>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</si>
  <si>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</si>
  <si>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</si>
  <si>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</si>
  <si>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</si>
  <si>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</si>
  <si>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</si>
  <si>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</si>
  <si>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</si>
  <si>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</si>
  <si>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</si>
  <si>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</si>
  <si>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</si>
  <si>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9/10 변동 실지출에 이미 포함</t>
  </si>
  <si>
    <t>지성두피용 샴푸</t>
  </si>
  <si>
    <t>9/1 실제 사용. 들어온 돈의 시기와 무관하게 포함</t>
  </si>
  <si>
    <t>숙소 정산 지출</t>
  </si>
  <si>
    <t>9/27 실제 사용. 기존 변동 실지출에서는 빠진 항목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</si>
  <si>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</si>
  <si>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</si>
  <si>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</si>
  <si>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</si>
  <si>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9월 28~30일216,000원 추가 · 구독 고정비1,390원(테트리스2,000원) 중복 제외 · 생일 예비비50,000원은 달력 별도 표시, 월급 부담 제외.</t>
  </si>
  <si>
    <t>빨간 금액·R은 추정</t>
  </si>
  <si>
    <t>예상</t>
  </si>
  <si>
    <t>10/13 RAW 집계에 없음 · 예정액 유지</t>
  </si>
  <si>
    <t>9월사용분(전달)</t>
  </si>
  <si>
    <t>확정</t>
  </si>
  <si>
    <t>10/13 기준 RAW 확인 · 10/12 거래</t>
  </si>
  <si>
    <t>10/13 RAW 집계에 없음 · 예정액 유지 · 원본 예정액 10원 확인 필요</t>
  </si>
  <si>
    <t>T우주 CU구독</t>
  </si>
  <si>
    <t>10/13 기준 RAW 확인 · 10/04 거래</t>
  </si>
  <si>
    <t>10/13 RAW 2444행 실제 이자 90,410원 확인. 10/12 준비 이체와 분리. 9월 결제방식 유지.</t>
  </si>
  <si>
    <t>Uber One</t>
  </si>
  <si>
    <t>10/13 기준 RAW 확인 · 10/04 거래 · 9월 동일 항목 없음(결제방식 미기재)</t>
  </si>
  <si>
    <t>T우주+YouTube</t>
  </si>
  <si>
    <t>10/13 기준 RAW 확인 · 10/01 거래</t>
  </si>
  <si>
    <t>10/13 기준 RAW 확인 · 10/02 거래</t>
  </si>
  <si>
    <t>14회차</t>
  </si>
  <si>
    <t>6/36회차</t>
  </si>
  <si>
    <t>10/13 기준 RAW 확인 · 10/05 거래</t>
  </si>
  <si>
    <t>9월 3/3 완납</t>
  </si>
  <si>
    <t>9월 3/3 완납 · 추가 청구 없음</t>
  </si>
  <si>
    <t>고정비 실적+예정</t>
  </si>
  <si>
    <t>달력에는 사용 사실을 표시하고 기존 목적자금 사용은 월급 부담에서 제외합니다. 계산기 색상을 바꾼 뒤 Calculate를 누르면 TRUE/FALSE가 갱신됩니다. 10월은 10/13까지 중간 집계입니다.</t>
  </si>
  <si>
    <t>확정 고정생활비</t>
  </si>
  <si>
    <t>현금 생활비: 달력에 1회 집계, 추가 합산 0원.</t>
  </si>
  <si>
    <t>월급 배분 제외</t>
  </si>
  <si>
    <t>명절비는 WRAP 원래 계정입니다. 가족통장으로 보낸 돈은 9월 WRAP에서 이미 차감되었습니다.</t>
  </si>
  <si>
    <t>가족통장에서 사용한 본인 예비비 20만원. 예비비 사용표와 연결해 1회 표시하며 WRAP 재차감·월급 중복 차감 없음.</t>
  </si>
  <si>
    <t>10/1~13 RAW 131건 반영. 결제 준비 이체 7건은 소비에 합산하지 않음. 10/13 대출이자 90,410원과 카드 사용 4,500원만 해당 실적에 추가. 본인 예비비·공동자금·대납 구분 유지.</t>
  </si>
  <si>
    <t>10/13 실제 / 예정 / 공동자금 · 달력 합계와 연결</t>
  </si>
  <si>
    <t>월급 예정</t>
  </si>
  <si>
    <t>RAW 급여 입금 없음. 기존 급여 기준의 참고 예상이며 실제 수입에 미포함</t>
  </si>
  <si>
    <t>고정비 미결제 예정</t>
  </si>
  <si>
    <t>원본 추정 청구액. 실제와 분리; 보조전화 10원은 확인 필요</t>
  </si>
  <si>
    <t>모임계좌 전체 사용</t>
  </si>
  <si>
    <t>계좌 전체 사용. 본인 납입 50,000원과 중복해서 월급에 가산하지 않음</t>
  </si>
  <si>
    <t>가족행사 실비</t>
  </si>
  <si>
    <t>부모 용돈 500,000 + 식사 139,000. 본인 예비비 200,000 + 가족 공동 적립</t>
  </si>
  <si>
    <t>형제자매 잔금 반환</t>
  </si>
  <si>
    <t>사용자 확인: 실제 출금. 가족행사 실비와 구분</t>
  </si>
  <si>
    <t>가족계좌 전체 출금</t>
  </si>
  <si>
    <t>639,000 행사 실비 + 100,000 반환. 식사 정산이체139,000을 또 더하지 않음</t>
  </si>
  <si>
    <t>본인 예비비 사용</t>
  </si>
  <si>
    <t>9월 WRAP에서 가족통장으로 선이체한 200,000원의 10월 사용. WRAP 추가 차감·당월 월급 부담 0.</t>
  </si>
  <si>
    <t>대납 미회수</t>
  </si>
  <si>
    <t>사용자 확인: 철도 대리결제. 받을 돈이며 본인 소비 제외</t>
  </si>
  <si>
    <t>가계부 달력 합계</t>
  </si>
  <si>
    <t>RAW 본인 생활비만 집계. 목적자금·공금·대납 분리</t>
  </si>
  <si>
    <t>테트리스 달력 합계</t>
  </si>
  <si>
    <t>각 거래를 천원 단위 올림해 합산. 계산기와 대조</t>
  </si>
  <si>
    <t>0이면 최신 131건 모두 유지</t>
  </si>
  <si>
    <t>변동 실적 검증</t>
  </si>
  <si>
    <t>0이면 달력과 첨부 RAW의 본인 생활비 합계 일치</t>
  </si>
  <si>
    <t>테트리스 검증</t>
  </si>
  <si>
    <t>0이면 계산기 분류 블록과 달력 일치</t>
  </si>
  <si>
    <t>월급만 기준 배분</t>
  </si>
  <si>
    <t>아직 급여 미입금: 10/13 중간 집계이며 월말 결과가 아님</t>
  </si>
  <si>
    <t>2026년 10월 · 테트리스 계산기</t>
  </si>
  <si>
    <t>10/13까지 본인 생활비만 반영. 가족 공동자금·본인 예비비 200,000원·대납 미회수51,800원은 월간 표에서 확인.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</si>
  <si>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</si>
  <si>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</si>
  <si>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</si>
  <si>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</si>
  <si>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</si>
  <si>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</si>
  <si>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</si>
  <si>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</si>
  <si>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</si>
  <si>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</si>
  <si>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</si>
  <si>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</si>
  <si>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</si>
  <si>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</si>
  <si>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</si>
  <si>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</si>
  <si>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</si>
  <si>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</si>
  <si>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</si>
  <si>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</si>
  <si>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</si>
  <si>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10월 RAW 갱신 · 2026-10-13 기준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</si>
  <si>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</si>
  <si>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</si>
  <si>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</si>
  <si>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</si>
  <si>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</si>
  <si>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</si>
  <si>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10/1~13 RAW 131건 보존: WRAP 12건만 잔액 원장에 연결. 타계좌 현금 40건·카드 사용 79건은 월간 자료로 보존.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</si>
  <si>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</si>
  <si>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</si>
  <si>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</si>
  <si>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</si>
  <si>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</si>
  <si>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</si>
  <si>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</si>
  <si>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</si>
  <si>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</si>
  <si>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</si>
  <si>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</si>
  <si>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</si>
  <si>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</si>
  <si>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공금 계좌 전체 사용과 본인 예비비 사용을 구분. 본인 예비비 20만원을 월급 부담에 다시 더하지 않음.</t>
  </si>
  <si>
    <t>식재료</t>
  </si>
  <si>
    <t>장보기</t>
  </si>
  <si>
    <t>경조·선물</t>
  </si>
  <si>
    <t>가족행사 실비 639,000원 / 형제자매 반환 100,000원 / 대납 미회수 51,800원. 이체는 소비 중복 제외.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</si>
  <si>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</si>
  <si>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</si>
  <si>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</si>
  <si>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</si>
  <si>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</si>
  <si>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</si>
  <si>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</si>
  <si>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</si>
  <si>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</si>
  <si>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</si>
  <si>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</si>
  <si>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</si>
  <si>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</si>
  <si>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</si>
  <si>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</si>
  <si>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</si>
  <si>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</si>
  <si>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</si>
  <si>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</si>
  <si>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</si>
  <si>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</si>
  <si>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</si>
  <si>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</si>
  <si>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</si>
  <si>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</si>
  <si>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</si>
  <si>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</si>
  <si>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</si>
  <si>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</si>
  <si>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</si>
  <si>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</si>
  <si>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</si>
  <si>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</si>
  <si>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</si>
  <si>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</si>
  <si>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</si>
  <si>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</si>
  <si>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</si>
  <si>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</si>
  <si>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</si>
  <si>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</si>
  <si>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</si>
  <si>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</si>
  <si>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</si>
  <si>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</si>
  <si>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</si>
  <si>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</si>
  <si>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</si>
  <si>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</si>
  <si>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</si>
  <si>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</si>
  <si>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</si>
  <si>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</si>
  <si>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</si>
  <si>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</si>
  <si>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</si>
  <si>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</si>
  <si>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</si>
  <si>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</si>
  <si>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</si>
  <si>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</si>
  <si>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</si>
  <si>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</si>
  <si>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</si>
  <si>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</si>
  <si>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</si>
  <si>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</si>
  <si>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</si>
  <si>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</si>
  <si>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</si>
  <si>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</si>
  <si>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</si>
  <si>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</si>
  <si>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</si>
  <si>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</si>
  <si>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</si>
  <si>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</si>
  <si>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</si>
  <si>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</si>
  <si>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</si>
  <si>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</si>
  <si>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</si>
  <si>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</si>
  <si>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</si>
  <si>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</si>
  <si>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</si>
  <si>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</si>
  <si>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</si>
  <si>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</si>
  <si>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</si>
  <si>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</si>
  <si>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</si>
  <si>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</si>
  <si>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</si>
  <si>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</si>
  <si>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</si>
  <si>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</si>
  <si>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</si>
  <si>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</si>
  <si>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</si>
  <si>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</si>
  <si>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</si>
  <si>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</si>
  <si>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</si>
  <si>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</si>
  <si>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</si>
  <si>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</si>
  <si>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</si>
  <si>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</si>
  <si>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</si>
  <si>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</si>
  <si>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</si>
  <si>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</si>
  <si>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</si>
  <si>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</si>
  <si>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</si>
  <si>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</si>
  <si>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</si>
  <si>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</si>
  <si>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</si>
  <si>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</si>
  <si>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</si>
  <si>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</si>
  <si>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</si>
  <si>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</si>
  <si>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</si>
  <si>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</si>
  <si>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</si>
  <si>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</si>
  <si>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</si>
  <si>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</si>
  <si>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</si>
  <si>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</si>
  <si>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</si>
  <si>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</si>
  <si>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</si>
  <si>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</si>
  <si>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</si>
  <si>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</si>
  <si>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</si>
  <si>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</si>
  <si>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</si>
  <si>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</si>
  <si>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</si>
  <si>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</si>
  <si>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</si>
  <si>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</si>
  <si>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</si>
  <si>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</si>
  <si>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</si>
  <si>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</si>
  <si>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</si>
  <si>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</si>
  <si>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</si>
  <si>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</si>
  <si>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</si>
  <si>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</si>
  <si>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</si>
  <si>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</si>
  <si>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</si>
  <si>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</si>
  <si>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</si>
  <si>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</si>
  <si>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</si>
  <si>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</si>
  <si>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</si>
  <si>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</si>
  <si>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</si>
  <si>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</si>
  <si>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</si>
  <si>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</si>
  <si>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</si>
  <si>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</si>
  <si>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</si>
  <si>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</si>
  <si>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</si>
  <si>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</si>
  <si>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</si>
  <si>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</si>
  <si>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</si>
  <si>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</si>
  <si>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</si>
  <si>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</si>
  <si>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</si>
  <si>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</si>
  <si>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</si>
  <si>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</si>
  <si>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</si>
  <si>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</si>
  <si>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</si>
  <si>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</si>
  <si>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</si>
  <si>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</si>
  <si>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</si>
  <si>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</si>
  <si>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</si>
  <si>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</si>
  <si>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</si>
  <si>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</si>
  <si>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</si>
  <si>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</si>
  <si>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</si>
  <si>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</si>
  <si>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</si>
  <si>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</si>
  <si>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</si>
  <si>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</si>
  <si>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</si>
  <si>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</si>
  <si>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</si>
  <si>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</si>
  <si>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</si>
  <si>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</si>
  <si>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</si>
  <si>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</si>
  <si>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</si>
  <si>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</si>
  <si>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</si>
  <si>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</si>
  <si>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</si>
  <si>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</si>
  <si>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</si>
  <si>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</si>
  <si>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</si>
  <si>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</si>
  <si>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</si>
  <si>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</si>
  <si>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</si>
  <si>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</si>
  <si>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</si>
  <si>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</si>
  <si>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</si>
  <si>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</si>
  <si>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</si>
  <si>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</si>
  <si>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</si>
  <si>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</si>
  <si>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</si>
  <si>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</si>
  <si>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</si>
  <si>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</si>
  <si>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</si>
  <si>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</si>
  <si>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</si>
  <si>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</si>
  <si>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</si>
  <si>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</si>
  <si>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</si>
  <si>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</si>
  <si>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</si>
  <si>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</si>
  <si>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</si>
  <si>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</si>
  <si>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</si>
  <si>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</si>
  <si>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</si>
  <si>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</si>
  <si>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</si>
  <si>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</si>
  <si>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</si>
  <si>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</si>
  <si>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</si>
  <si>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</si>
  <si>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</si>
  <si>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</si>
  <si>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</si>
  <si>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</si>
  <si>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</si>
  <si>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</si>
  <si>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</si>
  <si>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</si>
  <si>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</si>
  <si>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</si>
  <si>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</si>
  <si>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</si>
  <si>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</si>
  <si>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</si>
  <si>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</si>
  <si>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</si>
  <si>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</si>
  <si>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</si>
  <si>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</si>
  <si>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</si>
  <si>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</si>
  <si>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</si>
  <si>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</si>
  <si>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</si>
  <si>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</si>
  <si>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</si>
  <si>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</si>
  <si>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</si>
  <si>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</si>
  <si>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</si>
  <si>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</si>
  <si>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</si>
  <si>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</si>
  <si>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</si>
  <si>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</si>
  <si>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</si>
  <si>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</si>
  <si>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</si>
  <si>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</si>
  <si>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</si>
  <si>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</si>
  <si>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</si>
  <si>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</si>
  <si>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</si>
  <si>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</si>
  <si>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</si>
  <si>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</si>
  <si>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</si>
  <si>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</si>
  <si>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</si>
  <si>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</si>
  <si>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</si>
  <si>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</si>
  <si>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</si>
  <si>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</si>
  <si>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</si>
  <si>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</si>
  <si>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</si>
  <si>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</si>
  <si>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</si>
  <si>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</si>
  <si>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</si>
  <si>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</si>
  <si>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</si>
  <si>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</si>
  <si>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</si>
  <si>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</si>
  <si>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</si>
  <si>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</si>
  <si>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</si>
  <si>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</si>
  <si>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</si>
  <si>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</si>
  <si>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</si>
  <si>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</si>
  <si>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</si>
  <si>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</si>
  <si>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</si>
  <si>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</si>
  <si>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</si>
  <si>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</si>
  <si>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</si>
  <si>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</si>
  <si>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</si>
  <si>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</si>
  <si>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</si>
  <si>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</si>
  <si>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</si>
  <si>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</si>
  <si>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</si>
  <si>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</si>
  <si>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</si>
  <si>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</si>
  <si>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</si>
  <si>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</si>
  <si>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</si>
  <si>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</si>
  <si>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</si>
  <si>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</si>
  <si>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</si>
  <si>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</si>
  <si>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</si>
  <si>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</si>
  <si>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</si>
  <si>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</si>
  <si>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</si>
  <si>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</si>
  <si>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</si>
  <si>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</si>
  <si>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</si>
  <si>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</si>
  <si>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</si>
  <si>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</si>
  <si>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</si>
  <si>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</si>
  <si>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</si>
  <si>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</si>
  <si>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</si>
  <si>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</si>
  <si>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</si>
  <si>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</si>
  <si>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</si>
  <si>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</si>
  <si>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</si>
  <si>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</si>
  <si>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</si>
  <si>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</si>
  <si>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</si>
  <si>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</si>
  <si>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</si>
  <si>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</si>
  <si>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</si>
  <si>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</si>
  <si>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</si>
  <si>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</si>
  <si>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</si>
  <si>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</si>
  <si>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</si>
  <si>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</si>
  <si>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</si>
  <si>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</si>
  <si>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</si>
  <si>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</si>
  <si>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</si>
  <si>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</si>
  <si>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</si>
  <si>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</si>
  <si>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</si>
  <si>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</si>
  <si>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</si>
  <si>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</si>
  <si>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</si>
  <si>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</si>
  <si>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</si>
  <si>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</si>
  <si>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</si>
  <si>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</si>
  <si>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</si>
  <si>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</si>
  <si>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</si>
  <si>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</si>
  <si>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</si>
  <si>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</si>
  <si>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</si>
  <si>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</si>
  <si>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</si>
  <si>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</si>
  <si>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</si>
  <si>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</si>
  <si>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</si>
  <si>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</si>
  <si>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</si>
  <si>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</si>
  <si>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</si>
  <si>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</si>
  <si>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</si>
  <si>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</si>
  <si>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</si>
  <si>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</si>
  <si>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</si>
  <si>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</si>
  <si>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</si>
  <si>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</si>
  <si>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</si>
  <si>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</si>
  <si>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</si>
  <si>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</si>
  <si>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</si>
  <si>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</si>
  <si>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</si>
  <si>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</si>
  <si>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</si>
  <si>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</si>
  <si>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</si>
  <si>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</si>
  <si>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</si>
  <si>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</si>
  <si>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</si>
  <si>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</si>
  <si>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</si>
  <si>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</si>
  <si>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</si>
  <si>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</si>
  <si>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</si>
  <si>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</si>
  <si>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</si>
  <si>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</si>
  <si>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</si>
  <si>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</si>
  <si>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</si>
  <si>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</si>
  <si>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</si>
  <si>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</si>
  <si>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</si>
  <si>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</si>
  <si>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</si>
  <si>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</si>
  <si>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</si>
  <si>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</si>
  <si>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</si>
  <si>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</si>
  <si>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</si>
  <si>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</si>
  <si>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</si>
  <si>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</si>
  <si>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</si>
  <si>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</si>
  <si>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</si>
  <si>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</si>
  <si>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</si>
  <si>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</si>
  <si>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</si>
  <si>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</si>
  <si>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</si>
  <si>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</si>
  <si>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</si>
  <si>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</si>
  <si>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</si>
  <si>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</si>
  <si>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</si>
  <si>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</si>
  <si>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</si>
  <si>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</si>
  <si>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</si>
  <si>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</si>
  <si>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</si>
  <si>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</si>
  <si>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</si>
  <si>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</si>
  <si>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</si>
  <si>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</si>
  <si>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</si>
  <si>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</si>
  <si>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</si>
  <si>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</si>
  <si>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</si>
  <si>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</si>
  <si>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</si>
  <si>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</si>
  <si>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</si>
  <si>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</si>
  <si>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</si>
  <si>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</si>
  <si>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</si>
  <si>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</si>
  <si>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</si>
  <si>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</si>
  <si>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</si>
  <si>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</si>
  <si>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</si>
  <si>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</si>
  <si>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</si>
  <si>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</si>
  <si>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</si>
  <si>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</si>
  <si>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</si>
  <si>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</si>
  <si>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</si>
  <si>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</si>
  <si>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</si>
  <si>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</si>
  <si>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</si>
  <si>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</si>
  <si>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</si>
  <si>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</si>
  <si>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</si>
  <si>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</si>
  <si>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</si>
  <si>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</si>
  <si>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</si>
  <si>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</si>
  <si>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</si>
  <si>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</si>
  <si>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</si>
  <si>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</si>
  <si>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</si>
  <si>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</si>
  <si>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</si>
  <si>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</si>
  <si>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</si>
  <si>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</si>
  <si>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</si>
  <si>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</si>
  <si>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</si>
  <si>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</si>
  <si>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</si>
  <si>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</si>
  <si>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</si>
  <si>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</si>
  <si>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</si>
  <si>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</si>
  <si>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</si>
  <si>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</si>
  <si>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</si>
  <si>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</si>
  <si>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</si>
  <si>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</si>
  <si>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</si>
  <si>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</si>
  <si>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</si>
  <si>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</si>
  <si>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</si>
  <si>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</si>
  <si>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</si>
  <si>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</si>
  <si>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</si>
  <si>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</si>
  <si>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</si>
  <si>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</si>
  <si>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</si>
  <si>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</si>
  <si>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</si>
  <si>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</si>
  <si>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</si>
  <si>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</si>
  <si>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</si>
  <si>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</si>
  <si>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</si>
  <si>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</si>
  <si>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</si>
  <si>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</si>
  <si>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</si>
  <si>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</si>
  <si>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</si>
  <si>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</si>
  <si>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</si>
  <si>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</si>
  <si>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</si>
  <si>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</si>
  <si>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</si>
  <si>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</si>
  <si>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</si>
  <si>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</si>
  <si>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</si>
  <si>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</si>
  <si>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</si>
  <si>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</si>
  <si>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</si>
  <si>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</si>
  <si>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</si>
  <si>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</si>
  <si>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</si>
  <si>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</si>
  <si>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</si>
  <si>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</si>
  <si>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</si>
  <si>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</si>
  <si>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</si>
  <si>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</si>
  <si>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</si>
  <si>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</si>
  <si>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</si>
  <si>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</si>
  <si>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</si>
  <si>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</si>
  <si>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</si>
  <si>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</si>
  <si>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</si>
  <si>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</si>
  <si>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</si>
  <si>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</si>
  <si>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</si>
  <si>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</si>
  <si>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</si>
  <si>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</si>
  <si>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</si>
  <si>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</si>
  <si>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</si>
  <si>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</si>
  <si>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</si>
  <si>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</si>
  <si>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</si>
  <si>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</si>
  <si>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</si>
  <si>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</si>
  <si>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</si>
  <si>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</si>
  <si>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</si>
  <si>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</si>
  <si>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</si>
  <si>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</si>
  <si>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</si>
  <si>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</si>
  <si>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</si>
  <si>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</si>
  <si>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</si>
  <si>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</si>
  <si>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</si>
  <si>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</si>
  <si>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</si>
  <si>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</si>
  <si>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</si>
  <si>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</si>
  <si>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</si>
  <si>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</si>
  <si>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</si>
  <si>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</si>
  <si>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</si>
  <si>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</si>
  <si>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</si>
  <si>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</si>
  <si>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</si>
  <si>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</si>
  <si>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</si>
  <si>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</si>
  <si>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</si>
  <si>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</si>
  <si>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</si>
  <si>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</si>
  <si>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</si>
  <si>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</si>
  <si>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</si>
  <si>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</si>
  <si>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</si>
  <si>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</si>
  <si>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</si>
  <si>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</si>
  <si>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</si>
  <si>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</si>
  <si>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</si>
  <si>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</si>
  <si>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</si>
  <si>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</si>
  <si>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</si>
  <si>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</si>
  <si>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</si>
  <si>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</si>
  <si>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</si>
  <si>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</si>
  <si>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</si>
  <si>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</si>
  <si>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</si>
  <si>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</si>
  <si>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</si>
  <si>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</si>
  <si>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</si>
  <si>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</si>
  <si>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</si>
  <si>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</si>
  <si>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</si>
  <si>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</si>
  <si>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</si>
  <si>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</si>
  <si>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</si>
  <si>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</si>
  <si>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</si>
  <si>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</si>
  <si>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</si>
  <si>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</si>
  <si>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</si>
  <si>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</si>
  <si>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</si>
  <si>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</si>
  <si>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</si>
  <si>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</si>
  <si>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</si>
  <si>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</si>
  <si>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</si>
  <si>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</si>
  <si>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</si>
  <si>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</si>
  <si>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</si>
  <si>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</si>
  <si>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</si>
  <si>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</si>
  <si>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</si>
  <si>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</si>
  <si>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</si>
  <si>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</si>
  <si>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</si>
  <si>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</si>
  <si>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</si>
  <si>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</si>
  <si>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</si>
  <si>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</si>
  <si>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</si>
  <si>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</si>
  <si>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</si>
  <si>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</si>
  <si>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</si>
  <si>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</si>
  <si>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</si>
  <si>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</si>
  <si>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</si>
  <si>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</si>
  <si>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</si>
  <si>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</si>
  <si>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</si>
  <si>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</si>
  <si>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</si>
  <si>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</si>
  <si>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</si>
  <si>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</si>
  <si>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</si>
  <si>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</si>
  <si>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</si>
  <si>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</si>
  <si>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</si>
  <si>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</si>
  <si>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</si>
  <si>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</si>
  <si>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</si>
  <si>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</si>
  <si>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</si>
  <si>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</si>
  <si>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</si>
  <si>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</si>
  <si>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</si>
  <si>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</si>
  <si>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</si>
  <si>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</si>
  <si>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</si>
  <si>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</si>
  <si>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</si>
  <si>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</si>
  <si>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</si>
  <si>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</si>
  <si>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</si>
  <si>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</si>
  <si>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</si>
  <si>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</si>
  <si>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</si>
  <si>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</si>
  <si>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</si>
  <si>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</si>
  <si>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</si>
  <si>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</si>
  <si>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</si>
  <si>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</si>
  <si>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</si>
  <si>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</si>
  <si>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</si>
  <si>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</si>
  <si>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</si>
  <si>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</si>
  <si>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</si>
  <si>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</si>
  <si>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</si>
  <si>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</si>
  <si>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</si>
  <si>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</si>
  <si>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</si>
  <si>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</si>
  <si>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</si>
  <si>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</si>
  <si>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</si>
  <si>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</si>
  <si>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</si>
  <si>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</si>
  <si>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</si>
  <si>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</si>
  <si>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</si>
  <si>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</si>
  <si>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</si>
  <si>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</si>
  <si>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</si>
  <si>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</si>
  <si>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</si>
  <si>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</si>
  <si>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</si>
  <si>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</si>
  <si>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</si>
  <si>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</si>
  <si>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</si>
  <si>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</si>
  <si>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</si>
  <si>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</si>
  <si>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</si>
  <si>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</si>
  <si>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</si>
  <si>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</si>
  <si>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</si>
  <si>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</si>
  <si>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</si>
  <si>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</si>
  <si>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</si>
  <si>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</si>
  <si>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</si>
  <si>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</si>
  <si>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</si>
  <si>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</si>
  <si>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</si>
  <si>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</si>
  <si>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</si>
  <si>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</si>
  <si>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</si>
  <si>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</si>
  <si>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</si>
  <si>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</si>
  <si>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</si>
  <si>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</si>
  <si>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</si>
  <si>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</si>
  <si>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</si>
  <si>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</si>
  <si>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</si>
  <si>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</si>
  <si>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</si>
  <si>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</si>
  <si>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</si>
  <si>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</si>
  <si>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</si>
  <si>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</si>
  <si>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</si>
  <si>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</si>
  <si>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</si>
  <si>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</si>
  <si>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</si>
  <si>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</si>
  <si>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</si>
  <si>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</si>
  <si>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</si>
  <si>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</si>
  <si>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</si>
  <si>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</si>
  <si>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</si>
  <si>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</si>
  <si>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</si>
  <si>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</si>
  <si>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</si>
  <si>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</si>
  <si>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</si>
  <si>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</si>
  <si>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</si>
  <si>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</si>
  <si>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</si>
  <si>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</si>
  <si>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</si>
  <si>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</si>
  <si>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</si>
  <si>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</si>
  <si>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</si>
  <si>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</si>
  <si>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</si>
  <si>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</si>
  <si>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</si>
  <si>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</si>
  <si>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</si>
  <si>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</si>
  <si>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</si>
  <si>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</si>
  <si>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</si>
  <si>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</si>
  <si>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</si>
  <si>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</si>
  <si>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</si>
  <si>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</si>
  <si>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</si>
  <si>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</si>
  <si>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</si>
  <si>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</si>
  <si>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</si>
  <si>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</si>
  <si>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</si>
  <si>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</si>
  <si>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</si>
  <si>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</si>
  <si>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</si>
  <si>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</si>
  <si>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</si>
  <si>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</si>
  <si>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</si>
  <si>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</si>
  <si>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</si>
  <si>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</si>
  <si>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</si>
  <si>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</si>
  <si>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</si>
  <si>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</si>
  <si>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10월 첨부 RAW 80행 | 10/13까지 반영 | 음수 원금 유지: 환입/정산 차감, 추가 수입으로 중복 반영하지 않음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</si>
  <si>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</si>
  <si>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</si>
  <si>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</si>
  <si>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</si>
  <si>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</si>
  <si>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</si>
  <si>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</si>
  <si>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</si>
  <si>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</si>
  <si>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</si>
  <si>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</si>
  <si>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</si>
  <si>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</si>
  <si>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</si>
  <si>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</si>
  <si>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</si>
  <si>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</si>
  <si>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</si>
  <si>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</si>
  <si>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</si>
  <si>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</si>
  <si>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</si>
  <si>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</si>
  <si>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</si>
  <si>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</si>
  <si>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</si>
  <si>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</si>
  <si>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</si>
  <si>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</si>
  <si>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</si>
  <si>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</si>
  <si>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</si>
  <si>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</si>
  <si>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</si>
  <si>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53행 | 10/13까지 반영 | 사용자 확인: 부모 생일 행사 용돈. 본인 예비비 200,000원과 가족 공동 적립으로 충당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</si>
  <si>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</si>
  <si>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</si>
  <si>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</si>
  <si>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</si>
  <si>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</si>
  <si>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</si>
  <si>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</si>
  <si>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</si>
  <si>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</si>
  <si>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</si>
  <si>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</si>
  <si>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</si>
  <si>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</si>
  <si>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</si>
  <si>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</si>
  <si>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</si>
  <si>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</si>
  <si>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</si>
  <si>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</si>
  <si>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</si>
  <si>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</si>
  <si>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</si>
  <si>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</si>
  <si>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</si>
  <si>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</si>
  <si>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10월 첨부 RAW 32행 | 10/13까지 반영 | 사용자 확인: 행사 후 남은 돈을 형제자매에게 돌려준 실제 출금 100,000원. 행사 실비와 구분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</si>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</sst>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4" formatCode="0&quot;월&quot;"/>
    <numFmt numFmtId="195" formatCode="\+#,##0;\-#,##0;&quot;-&quot;"/>
    <numFmt numFmtId="196" formatCode="&quot;집계 &quot;mm/dd"/>
    <numFmt numFmtId="197" formatCode="yyyy\-mm\-dd\ hh:mm"/>
    <numFmt numFmtId="198" formatCode="#,##0;[Red]\(#,##0\);&quot;–&quot;"/>
    <numFmt numFmtId="199" formatCode="[=1]&quot;TRUE&quot;;[=0]&quot;FALSE&quot;;General"/>
    <numFmt numFmtId="200" formatCode="#,##0;[Red]\-#,##0;&quot;0&quot;"/>
    <numFmt numFmtId="201" formatCode="\+#,##0;[Red]\-#,##0;&quot;0&quot;"/>
    <numFmt numFmtId="202" formatCode="yy\.mm"/>
    <numFmt numFmtId="203" formatCode="yyyy-mm-dd h:mm:ss"/>
    <numFmt numFmtId="204" formatCode="yyyy-mm"/>
    <numFmt numFmtId="205" formatCode="#,##0;[Red]-#,##0;–"/>
    <numFmt numFmtId="206" formatCode="m&quot;월&quot;"/>
    <numFmt numFmtId="207" formatCode="yyyy-mm-dd"/>
  </numFmts>
  <fonts count="82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b/>
      <sz val="10"/>
      <color rgb="FFFFFFFF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  <font>
      <name val="Calibri"/>
      <family val="2"/>
      <color theme="1"/>
      <sz val="11"/>
      <scheme val="minor"/>
    </font>
    <font>
      <name val="맑은 고딕"/>
      <color rgb="0026384A"/>
      <sz val="10"/>
    </font>
    <font>
      <name val="맑은 고딕"/>
      <b val="1"/>
      <color rgb="00FFFFFF"/>
      <sz val="11"/>
    </font>
    <font>
      <name val="맑은 고딕"/>
      <b val="1"/>
      <color rgb="0025476A"/>
      <sz val="11"/>
    </font>
    <font>
      <name val="맑은 고딕"/>
      <color rgb="0066788A"/>
      <sz val="9"/>
    </font>
    <font>
      <name val="맑은 고딕"/>
      <b val="1"/>
      <color rgb="0025476A"/>
      <sz val="9"/>
    </font>
  </fonts>
  <fills count="64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FFF2D8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  <fill>
      <patternFill/>
    </fill>
    <fill>
      <patternFill patternType="gray125"/>
    </fill>
    <fill>
      <patternFill patternType="solid">
        <fgColor rgb="0025476A"/>
      </patternFill>
    </fill>
    <fill>
      <patternFill patternType="solid">
        <fgColor rgb="00EDF3F8"/>
      </patternFill>
    </fill>
    <fill>
      <patternFill patternType="solid">
        <fgColor rgb="00FFF4D6"/>
      </patternFill>
    </fill>
    <fill>
      <patternFill patternType="solid">
        <fgColor rgb="00E8F3ED"/>
      </patternFill>
    </fill>
  </fills>
  <borders count="96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/>
      <diagonal/>
    </border>
    <border>
      <left/>
      <right/>
      <top style="thin">
        <color rgb="FFD8E1EA"/>
      </top>
      <bottom/>
      <diagonal/>
    </border>
    <border>
      <left/>
      <right style="thin">
        <color rgb="FFD8E1EA"/>
      </right>
      <top style="thin">
        <color rgb="FFD8E1EA"/>
      </top>
      <bottom/>
      <diagonal/>
    </border>
    <border>
      <left style="thin">
        <color rgb="FFD8E1EA"/>
      </left>
      <right/>
      <top/>
      <bottom style="thin">
        <color rgb="FFD8E1EA"/>
      </bottom>
      <diagonal/>
    </border>
    <border>
      <left/>
      <right/>
      <top/>
      <bottom style="thin">
        <color rgb="FFD8E1EA"/>
      </bottom>
      <diagonal/>
    </border>
    <border>
      <left/>
      <right style="thin">
        <color rgb="FFD8E1EA"/>
      </right>
      <top/>
      <bottom style="thin">
        <color rgb="FFD8E1EA"/>
      </bottom>
      <diagonal/>
    </border>
    <border>
      <left style="thin">
        <color rgb="FFBBCDDD"/>
      </left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/>
      <diagonal/>
    </border>
    <border>
      <left/>
      <right style="thin">
        <color rgb="FFBBCDDD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bottom style="hair">
        <color rgb="00D9E3EB"/>
      </bottom>
    </border>
  </borders>
  <cellStyleXfs count="3">
    <xf numFmtId="0" fontId="0" fillId="26" borderId="10"/>
    <xf numFmtId="0" fontId="26" fillId="26" borderId="10"/>
    <xf numFmtId="0" fontId="32" fillId="26" borderId="10"/>
  </cellStyleXfs>
  <cellXfs count="555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9" borderId="9" xfId="0" applyNumberFormat="1" applyFont="1" applyFill="1" applyBorder="1" applyAlignment="1">
      <alignment horizontal="center" vertical="center"/>
    </xf>
    <xf numFmtId="190" fontId="36" fillId="30" borderId="9" xfId="0" applyNumberFormat="1" applyFont="1" applyFill="1" applyBorder="1" applyAlignment="1">
      <alignment vertical="center"/>
    </xf>
    <xf numFmtId="190" fontId="36" fillId="31" borderId="9" xfId="0" applyNumberFormat="1" applyFont="1" applyFill="1" applyBorder="1" applyAlignment="1">
      <alignment vertical="center"/>
    </xf>
    <xf numFmtId="194" fontId="36" fillId="28" borderId="9" xfId="0" applyNumberFormat="1" applyFont="1" applyFill="1" applyBorder="1" applyAlignment="1">
      <alignment horizontal="center" vertical="center"/>
    </xf>
    <xf numFmtId="0" fontId="36" fillId="32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6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7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0" borderId="17" xfId="0" applyFont="1" applyFill="1" applyBorder="1" applyAlignment="1">
      <alignment vertical="center" wrapText="1"/>
    </xf>
    <xf numFmtId="0" fontId="67" fillId="51" borderId="17" xfId="0" applyFont="1" applyFill="1" applyBorder="1" applyAlignment="1">
      <alignment vertical="center" wrapText="1"/>
    </xf>
    <xf numFmtId="198" fontId="61" fillId="0" borderId="17" xfId="0" applyNumberFormat="1" applyFont="1" applyFill="1" applyBorder="1" applyAlignment="1">
      <alignment horizontal="right" vertical="center" shrinkToFit="1"/>
    </xf>
    <xf numFmtId="199" fontId="66" fillId="0" borderId="17" xfId="0" applyNumberFormat="1" applyFont="1" applyFill="1" applyBorder="1" applyAlignment="1">
      <alignment horizontal="center" vertical="center"/>
    </xf>
    <xf numFmtId="0" fontId="61" fillId="26" borderId="10" xfId="0" applyFont="1" applyAlignment="1">
      <alignment vertical="center" shrinkToFit="1"/>
    </xf>
    <xf numFmtId="0" fontId="57" fillId="43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8" fontId="61" fillId="26" borderId="10" xfId="0" applyNumberFormat="1" applyFont="1" applyAlignment="1">
      <alignment horizontal="right" vertical="center" shrinkToFit="1"/>
    </xf>
    <xf numFmtId="0" fontId="57" fillId="44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7" fillId="50" borderId="10" xfId="0" applyFont="1" applyFill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8" borderId="11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37" borderId="11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35" borderId="10" xfId="0" applyFont="1" applyFill="1" applyAlignment="1">
      <alignment vertical="center"/>
    </xf>
    <xf numFmtId="0" fontId="60" fillId="37" borderId="13" xfId="0" applyFont="1" applyFill="1" applyBorder="1" applyAlignment="1">
      <alignment vertical="center"/>
    </xf>
    <xf numFmtId="0" fontId="60" fillId="37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60" fillId="39" borderId="13" xfId="0" applyFont="1" applyFill="1" applyBorder="1" applyAlignment="1">
      <alignment vertical="center"/>
    </xf>
    <xf numFmtId="0" fontId="60" fillId="39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5" borderId="15" xfId="0" applyFont="1" applyFill="1" applyBorder="1" applyAlignment="1">
      <alignment vertical="center"/>
    </xf>
    <xf numFmtId="0" fontId="57" fillId="39" borderId="10" xfId="0" applyFont="1" applyFill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50" borderId="12" xfId="0" applyFont="1" applyFill="1" applyBorder="1" applyAlignment="1">
      <alignment vertical="center"/>
    </xf>
    <xf numFmtId="0" fontId="59" fillId="50" borderId="11" xfId="0" applyFont="1" applyFill="1" applyBorder="1" applyAlignment="1">
      <alignment vertical="center"/>
    </xf>
    <xf numFmtId="0" fontId="59" fillId="50" borderId="13" xfId="0" applyFont="1" applyFill="1" applyBorder="1" applyAlignment="1">
      <alignment vertical="center"/>
    </xf>
    <xf numFmtId="0" fontId="59" fillId="50" borderId="14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50" borderId="15" xfId="0" applyFont="1" applyFill="1" applyBorder="1" applyAlignment="1">
      <alignment vertical="center"/>
    </xf>
    <xf numFmtId="0" fontId="59" fillId="50" borderId="16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40" borderId="10" xfId="0" applyFont="1" applyFill="1" applyAlignment="1">
      <alignment vertical="center"/>
    </xf>
    <xf numFmtId="0" fontId="57" fillId="42" borderId="10" xfId="0" applyFont="1" applyFill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36" borderId="11" xfId="0" applyFont="1" applyFill="1" applyBorder="1" applyAlignment="1">
      <alignment vertical="center"/>
    </xf>
    <xf numFmtId="0" fontId="57" fillId="36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36" borderId="13" xfId="0" applyFont="1" applyFill="1" applyBorder="1" applyAlignment="1">
      <alignment vertical="center"/>
    </xf>
    <xf numFmtId="0" fontId="57" fillId="36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36" borderId="15" xfId="0" applyFont="1" applyFill="1" applyBorder="1" applyAlignment="1">
      <alignment vertical="center"/>
    </xf>
    <xf numFmtId="0" fontId="57" fillId="36" borderId="16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42" borderId="16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42" borderId="11" xfId="0" applyFont="1" applyFill="1" applyBorder="1" applyAlignment="1">
      <alignment vertical="center"/>
    </xf>
    <xf numFmtId="0" fontId="57" fillId="42" borderId="12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42" borderId="13" xfId="0" applyFont="1" applyFill="1" applyBorder="1" applyAlignment="1">
      <alignment vertical="center"/>
    </xf>
    <xf numFmtId="0" fontId="57" fillId="42" borderId="14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42" borderId="15" xfId="0" applyFont="1" applyFill="1" applyBorder="1" applyAlignment="1">
      <alignment vertical="center"/>
    </xf>
    <xf numFmtId="0" fontId="57" fillId="39" borderId="11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39" borderId="13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39" borderId="15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60" fillId="45" borderId="13" xfId="0" applyFont="1" applyFill="1" applyBorder="1" applyAlignment="1">
      <alignment vertical="center"/>
    </xf>
    <xf numFmtId="0" fontId="60" fillId="45" borderId="15" xfId="0" applyFont="1" applyFill="1" applyBorder="1" applyAlignment="1">
      <alignment vertical="center"/>
    </xf>
    <xf numFmtId="0" fontId="62" fillId="26" borderId="55" xfId="0" applyFont="1" applyBorder="1" applyAlignment="1">
      <alignment vertical="center" shrinkToFit="1"/>
    </xf>
    <xf numFmtId="198" fontId="61" fillId="26" borderId="56" xfId="0" applyNumberFormat="1" applyFont="1" applyBorder="1" applyAlignment="1">
      <alignment horizontal="right" vertical="center" shrinkToFit="1"/>
    </xf>
    <xf numFmtId="0" fontId="62" fillId="26" borderId="57" xfId="0" applyFont="1" applyBorder="1" applyAlignment="1">
      <alignment vertical="center" shrinkToFit="1"/>
    </xf>
    <xf numFmtId="198" fontId="61" fillId="26" borderId="58" xfId="0" applyNumberFormat="1" applyFont="1" applyBorder="1" applyAlignment="1">
      <alignment horizontal="right" vertical="center" shrinkToFit="1"/>
    </xf>
    <xf numFmtId="0" fontId="62" fillId="26" borderId="59" xfId="0" applyFont="1" applyBorder="1" applyAlignment="1">
      <alignment vertical="center" shrinkToFit="1"/>
    </xf>
    <xf numFmtId="198" fontId="61" fillId="26" borderId="60" xfId="0" applyNumberFormat="1" applyFont="1" applyBorder="1" applyAlignment="1">
      <alignment horizontal="right" vertical="center" shrinkToFit="1"/>
    </xf>
    <xf numFmtId="0" fontId="70" fillId="26" borderId="8" xfId="0" applyFont="1" applyBorder="1" applyAlignment="1">
      <alignment horizontal="center" vertical="center" wrapText="1"/>
    </xf>
    <xf numFmtId="1" fontId="70" fillId="54" borderId="8" xfId="0" applyNumberFormat="1" applyFont="1" applyFill="1" applyBorder="1" applyAlignment="1">
      <alignment horizontal="center" vertical="center" wrapText="1"/>
    </xf>
    <xf numFmtId="188" fontId="36" fillId="30" borderId="9" xfId="0" applyNumberFormat="1" applyFont="1" applyFill="1" applyBorder="1" applyAlignment="1">
      <alignment horizontal="left" vertical="center" wrapText="1"/>
    </xf>
    <xf numFmtId="0" fontId="36" fillId="30" borderId="9" xfId="0" applyFont="1" applyFill="1" applyBorder="1" applyAlignment="1">
      <alignment horizontal="left" vertical="center" wrapText="1"/>
    </xf>
    <xf numFmtId="195" fontId="36" fillId="30" borderId="9" xfId="0" applyNumberFormat="1" applyFont="1" applyFill="1" applyBorder="1" applyAlignment="1">
      <alignment horizontal="right" vertical="center" wrapText="1"/>
    </xf>
    <xf numFmtId="190" fontId="36" fillId="30" borderId="9" xfId="0" applyNumberFormat="1" applyFont="1" applyFill="1" applyBorder="1" applyAlignment="1">
      <alignment horizontal="right" vertical="center" wrapText="1"/>
    </xf>
    <xf numFmtId="197" fontId="68" fillId="26" borderId="68" xfId="0" applyNumberFormat="1" applyFont="1" applyBorder="1" applyAlignment="1">
      <alignment vertical="center" wrapText="1"/>
    </xf>
    <xf numFmtId="0" fontId="69" fillId="26" borderId="68" xfId="0" applyFont="1" applyBorder="1" applyAlignment="1">
      <alignment vertical="center" wrapText="1"/>
    </xf>
    <xf numFmtId="198" fontId="68" fillId="26" borderId="68" xfId="0" applyNumberFormat="1" applyFont="1" applyBorder="1" applyAlignment="1">
      <alignment vertical="center" wrapText="1"/>
    </xf>
    <xf numFmtId="189" fontId="68" fillId="26" borderId="68" xfId="0" applyNumberFormat="1" applyFont="1" applyBorder="1" applyAlignment="1">
      <alignment vertical="center" wrapText="1"/>
    </xf>
    <xf numFmtId="0" fontId="68" fillId="26" borderId="68" xfId="0" applyFont="1" applyBorder="1" applyAlignment="1">
      <alignment vertical="center" wrapText="1"/>
    </xf>
    <xf numFmtId="0" fontId="69" fillId="52" borderId="68" xfId="0" applyFont="1" applyFill="1" applyBorder="1" applyAlignment="1">
      <alignment vertical="center" wrapText="1"/>
    </xf>
    <xf numFmtId="0" fontId="68" fillId="53" borderId="68" xfId="0" applyFont="1" applyFill="1" applyBorder="1" applyAlignment="1">
      <alignment vertical="center" wrapText="1"/>
    </xf>
    <xf numFmtId="197" fontId="69" fillId="26" borderId="68" xfId="0" applyNumberFormat="1" applyFont="1" applyBorder="1" applyAlignment="1">
      <alignment vertical="center" wrapText="1"/>
    </xf>
    <xf numFmtId="198" fontId="69" fillId="26" borderId="68" xfId="0" applyNumberFormat="1" applyFont="1" applyBorder="1" applyAlignment="1">
      <alignment vertical="center" wrapText="1"/>
    </xf>
    <xf numFmtId="189" fontId="69" fillId="26" borderId="68" xfId="0" applyNumberFormat="1" applyFont="1" applyBorder="1" applyAlignment="1">
      <alignment vertical="center" wrapText="1"/>
    </xf>
    <xf numFmtId="3" fontId="61" fillId="0" borderId="68" xfId="0" applyNumberFormat="1" applyFont="1" applyFill="1" applyBorder="1" applyAlignment="1">
      <alignment horizontal="right" vertical="center" wrapText="1"/>
    </xf>
    <xf numFmtId="199" fontId="61" fillId="0" borderId="68" xfId="0" applyNumberFormat="1" applyFont="1" applyFill="1" applyBorder="1" applyAlignment="1">
      <alignment horizontal="center" vertical="center" wrapText="1"/>
    </xf>
    <xf numFmtId="0" fontId="13" fillId="0" borderId="0" xfId="2" applyFont="1" applyFill="1" applyBorder="1" applyAlignment="1">
      <alignment vertical="center" wrapText="1"/>
    </xf>
    <xf numFmtId="200" fontId="72" fillId="56" borderId="68" xfId="0" applyNumberFormat="1" applyFont="1" applyFill="1" applyBorder="1" applyAlignment="1">
      <alignment horizontal="righ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3" fillId="21" borderId="6" xfId="0" applyFont="1" applyFill="1" applyBorder="1" applyAlignment="1">
      <alignment vertical="center" wrapText="1"/>
    </xf>
    <xf numFmtId="0" fontId="73" fillId="23" borderId="6" xfId="0" applyFont="1" applyFill="1" applyBorder="1" applyAlignment="1">
      <alignment vertical="center" wrapText="1"/>
    </xf>
    <xf numFmtId="200" fontId="28" fillId="23" borderId="6" xfId="0" applyNumberFormat="1" applyFont="1" applyFill="1" applyBorder="1" applyAlignment="1">
      <alignment vertical="center"/>
    </xf>
    <xf numFmtId="200" fontId="72" fillId="54" borderId="68" xfId="0" applyNumberFormat="1" applyFont="1" applyFill="1" applyBorder="1" applyAlignment="1">
      <alignment horizontal="right" vertical="center" wrapText="1" indent="1"/>
    </xf>
    <xf numFmtId="200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" xfId="0" applyNumberFormat="1" applyFont="1" applyFill="1" applyBorder="1" applyAlignment="1">
      <alignment vertical="center"/>
    </xf>
    <xf numFmtId="0" fontId="75" fillId="51" borderId="68" xfId="0" applyFont="1" applyFill="1" applyBorder="1" applyAlignment="1">
      <alignment horizontal="center" vertical="center" wrapText="1"/>
    </xf>
    <xf numFmtId="0" fontId="71" fillId="57" borderId="68" xfId="0" applyFont="1" applyFill="1" applyBorder="1" applyAlignment="1">
      <alignment horizontal="left" vertical="center" wrapText="1" indent="1"/>
    </xf>
    <xf numFmtId="202" fontId="75" fillId="51" borderId="68" xfId="0" applyNumberFormat="1" applyFont="1" applyFill="1" applyBorder="1" applyAlignment="1">
      <alignment horizontal="center" vertical="center" wrapText="1"/>
    </xf>
    <xf numFmtId="201" fontId="72" fillId="54" borderId="68" xfId="0" applyNumberFormat="1" applyFont="1" applyFill="1" applyBorder="1" applyAlignment="1">
      <alignment horizontal="right" vertical="center" wrapText="1" indent="1"/>
    </xf>
    <xf numFmtId="0" fontId="36" fillId="30" borderId="21" xfId="0" applyFont="1" applyFill="1" applyBorder="1" applyAlignment="1">
      <alignment horizontal="left" vertical="center" wrapText="1"/>
    </xf>
    <xf numFmtId="0" fontId="0" fillId="0" borderId="22" xfId="0" applyFill="1" applyBorder="1"/>
    <xf numFmtId="0" fontId="0" fillId="0" borderId="23" xfId="0" applyFill="1" applyBorder="1"/>
    <xf numFmtId="0" fontId="36" fillId="30" borderId="21" xfId="0" applyFont="1" applyFill="1" applyBorder="1" applyAlignment="1">
      <alignment vertical="center"/>
    </xf>
    <xf numFmtId="0" fontId="70" fillId="26" borderId="8" xfId="0" applyFont="1" applyBorder="1" applyAlignment="1">
      <alignment horizontal="center" vertical="center" wrapText="1"/>
    </xf>
    <xf numFmtId="0" fontId="0" fillId="0" borderId="0" xfId="0" applyFill="1" applyBorder="1"/>
    <xf numFmtId="0" fontId="40" fillId="26" borderId="93" xfId="0" applyFont="1" applyBorder="1"/>
    <xf numFmtId="0" fontId="0" fillId="0" borderId="93" xfId="0" applyFill="1" applyBorder="1"/>
    <xf numFmtId="0" fontId="2" fillId="7" borderId="10" xfId="2" applyFont="1" applyFill="1" applyAlignment="1">
      <alignment vertical="center"/>
    </xf>
    <xf numFmtId="0" fontId="40" fillId="26" borderId="10" xfId="0" applyFont="1"/>
    <xf numFmtId="0" fontId="35" fillId="27" borderId="21" xfId="0" applyFont="1" applyFill="1" applyBorder="1"/>
    <xf numFmtId="0" fontId="39" fillId="27" borderId="21" xfId="0" applyFont="1" applyFill="1" applyBorder="1" applyAlignment="1">
      <alignment vertical="center"/>
    </xf>
    <xf numFmtId="0" fontId="36" fillId="29" borderId="21" xfId="0" applyFont="1" applyFill="1" applyBorder="1" applyAlignment="1">
      <alignment horizontal="center" vertical="center"/>
    </xf>
    <xf numFmtId="0" fontId="36" fillId="32" borderId="21" xfId="0" applyFont="1" applyFill="1" applyBorder="1" applyAlignment="1">
      <alignment horizontal="center" vertical="center"/>
    </xf>
    <xf numFmtId="0" fontId="36" fillId="31" borderId="21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36" fillId="29" borderId="21" xfId="0" applyFont="1" applyFill="1" applyBorder="1" applyAlignment="1">
      <alignment vertical="center"/>
    </xf>
    <xf numFmtId="177" fontId="0" fillId="0" borderId="10" xfId="2" applyNumberFormat="1" applyFont="1" applyFill="1"/>
    <xf numFmtId="0" fontId="72" fillId="55" borderId="68" xfId="0" applyFont="1" applyFill="1" applyBorder="1" applyAlignment="1">
      <alignment horizontal="left" vertical="center" wrapText="1" indent="1"/>
    </xf>
    <xf numFmtId="0" fontId="0" fillId="0" borderId="65" xfId="0" applyFill="1" applyBorder="1"/>
    <xf numFmtId="0" fontId="0" fillId="0" borderId="66" xfId="0" applyFill="1" applyBorder="1"/>
    <xf numFmtId="0" fontId="0" fillId="0" borderId="84" xfId="0" applyFill="1" applyBorder="1"/>
    <xf numFmtId="0" fontId="0" fillId="0" borderId="85" xfId="0" applyFill="1" applyBorder="1"/>
    <xf numFmtId="0" fontId="0" fillId="0" borderId="86" xfId="0" applyFill="1" applyBorder="1"/>
    <xf numFmtId="3" fontId="61" fillId="0" borderId="24" xfId="0" applyNumberFormat="1" applyFont="1" applyFill="1" applyBorder="1" applyAlignment="1">
      <alignment horizontal="right" vertical="center" wrapText="1"/>
    </xf>
    <xf numFmtId="0" fontId="0" fillId="0" borderId="46" xfId="0" applyFill="1" applyBorder="1"/>
    <xf numFmtId="0" fontId="0" fillId="0" borderId="27" xfId="0" applyFill="1" applyBorder="1"/>
    <xf numFmtId="199" fontId="61" fillId="0" borderId="24" xfId="0" applyNumberFormat="1" applyFont="1" applyFill="1" applyBorder="1" applyAlignment="1">
      <alignment horizontal="center" vertical="center" wrapText="1"/>
    </xf>
    <xf numFmtId="0" fontId="65" fillId="51" borderId="18" xfId="0" applyFont="1" applyFill="1" applyBorder="1" applyAlignment="1">
      <alignment vertical="center" wrapText="1"/>
    </xf>
    <xf numFmtId="0" fontId="0" fillId="0" borderId="19" xfId="0" applyFill="1" applyBorder="1"/>
    <xf numFmtId="0" fontId="0" fillId="0" borderId="20" xfId="0" applyFill="1" applyBorder="1"/>
    <xf numFmtId="0" fontId="61" fillId="0" borderId="24" xfId="0" applyFont="1" applyFill="1" applyBorder="1" applyAlignment="1">
      <alignment horizontal="left" vertical="center" wrapText="1"/>
    </xf>
    <xf numFmtId="0" fontId="65" fillId="51" borderId="24" xfId="0" applyFont="1" applyFill="1" applyBorder="1" applyAlignment="1">
      <alignment vertical="center" wrapText="1"/>
    </xf>
    <xf numFmtId="0" fontId="61" fillId="0" borderId="79" xfId="0" applyFont="1" applyFill="1" applyBorder="1" applyAlignment="1">
      <alignment vertical="center" wrapText="1"/>
    </xf>
    <xf numFmtId="0" fontId="0" fillId="0" borderId="41" xfId="0" applyFill="1" applyBorder="1"/>
    <xf numFmtId="0" fontId="0" fillId="0" borderId="80" xfId="0" applyFill="1" applyBorder="1"/>
    <xf numFmtId="0" fontId="0" fillId="0" borderId="81" xfId="0" applyFill="1" applyBorder="1"/>
    <xf numFmtId="0" fontId="0" fillId="0" borderId="82" xfId="0" applyFill="1" applyBorder="1"/>
    <xf numFmtId="0" fontId="0" fillId="0" borderId="83" xfId="0" applyFill="1" applyBorder="1"/>
    <xf numFmtId="200" fontId="72" fillId="56" borderId="68" xfId="0" applyNumberFormat="1" applyFont="1" applyFill="1" applyBorder="1" applyAlignment="1">
      <alignment horizontal="right" vertical="center" wrapText="1" indent="1"/>
    </xf>
    <xf numFmtId="0" fontId="0" fillId="0" borderId="71" xfId="0" applyFill="1" applyBorder="1"/>
    <xf numFmtId="0" fontId="0" fillId="0" borderId="67" xfId="0" applyFill="1" applyBorder="1"/>
    <xf numFmtId="0" fontId="61" fillId="0" borderId="18" xfId="0" applyFont="1" applyFill="1" applyBorder="1" applyAlignment="1">
      <alignment vertical="center" wrapText="1"/>
    </xf>
    <xf numFmtId="0" fontId="61" fillId="0" borderId="18" xfId="0" applyFont="1" applyFill="1" applyBorder="1" applyAlignment="1">
      <alignment horizontal="left" vertical="center" wrapText="1"/>
    </xf>
    <xf numFmtId="3" fontId="61" fillId="0" borderId="18" xfId="0" applyNumberFormat="1" applyFont="1" applyFill="1" applyBorder="1" applyAlignment="1">
      <alignment horizontal="right" vertical="center" wrapText="1"/>
    </xf>
    <xf numFmtId="199" fontId="72" fillId="56" borderId="68" xfId="0" applyNumberFormat="1" applyFont="1" applyFill="1" applyBorder="1" applyAlignment="1">
      <alignment horizontal="center" vertical="center" wrapText="1"/>
    </xf>
    <xf numFmtId="199" fontId="61" fillId="0" borderId="18" xfId="0" applyNumberFormat="1" applyFont="1" applyFill="1" applyBorder="1" applyAlignment="1">
      <alignment horizontal="center" vertical="center" wrapText="1"/>
    </xf>
    <xf numFmtId="0" fontId="67" fillId="51" borderId="18" xfId="0" applyFont="1" applyFill="1" applyBorder="1" applyAlignment="1">
      <alignment vertical="center" wrapText="1"/>
    </xf>
    <xf numFmtId="0" fontId="0" fillId="0" borderId="87" xfId="0" applyFill="1" applyBorder="1"/>
    <xf numFmtId="0" fontId="0" fillId="0" borderId="32" xfId="0" applyFill="1" applyBorder="1"/>
    <xf numFmtId="0" fontId="0" fillId="0" borderId="88" xfId="0" applyFill="1" applyBorder="1"/>
    <xf numFmtId="0" fontId="61" fillId="0" borderId="73" xfId="0" applyFont="1" applyFill="1" applyBorder="1" applyAlignment="1">
      <alignment vertical="center" wrapText="1"/>
    </xf>
    <xf numFmtId="0" fontId="0" fillId="0" borderId="74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8" xfId="0" applyFill="1" applyBorder="1"/>
    <xf numFmtId="0" fontId="74" fillId="51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201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8" xfId="0" applyNumberFormat="1" applyFont="1" applyFill="1" applyBorder="1" applyAlignment="1">
      <alignment horizontal="right" vertical="center" wrapText="1" indent="1"/>
    </xf>
    <xf numFmtId="0" fontId="71" fillId="54" borderId="68" xfId="0" applyFont="1" applyFill="1" applyBorder="1" applyAlignment="1">
      <alignment horizontal="left" vertical="center" wrapText="1" indent="1"/>
    </xf>
    <xf numFmtId="0" fontId="29" fillId="20" borderId="21" xfId="0" applyFont="1" applyFill="1" applyBorder="1" applyAlignment="1">
      <alignment horizontal="center" vertical="center" wrapText="1"/>
    </xf>
    <xf numFmtId="0" fontId="75" fillId="51" borderId="68" xfId="0" applyFont="1" applyFill="1" applyBorder="1" applyAlignment="1">
      <alignment horizontal="center" vertical="center" wrapText="1"/>
    </xf>
    <xf numFmtId="201" fontId="72" fillId="55" borderId="68" xfId="0" applyNumberFormat="1" applyFont="1" applyFill="1" applyBorder="1" applyAlignment="1">
      <alignment horizontal="right" vertical="center" wrapText="1" indent="1"/>
    </xf>
    <xf numFmtId="0" fontId="29" fillId="24" borderId="21" xfId="0" applyFont="1" applyFill="1" applyBorder="1" applyAlignment="1">
      <alignment horizontal="center" vertical="center" wrapText="1"/>
    </xf>
    <xf numFmtId="0" fontId="72" fillId="56" borderId="68" xfId="0" applyFont="1" applyFill="1" applyBorder="1" applyAlignment="1">
      <alignment horizontal="left" vertical="center" wrapText="1" indent="1"/>
    </xf>
    <xf numFmtId="0" fontId="75" fillId="51" borderId="68" xfId="0" applyFont="1" applyFill="1" applyBorder="1" applyAlignment="1">
      <alignment horizontal="left" vertical="center" wrapText="1" indent="1"/>
    </xf>
    <xf numFmtId="201" fontId="72" fillId="57" borderId="68" xfId="0" applyNumberFormat="1" applyFont="1" applyFill="1" applyBorder="1" applyAlignment="1">
      <alignment horizontal="right" vertical="center" wrapText="1" indent="1"/>
    </xf>
    <xf numFmtId="0" fontId="72" fillId="57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center" vertical="center" wrapText="1"/>
    </xf>
    <xf numFmtId="0" fontId="72" fillId="54" borderId="68" xfId="0" applyFont="1" applyFill="1" applyBorder="1" applyAlignment="1">
      <alignment horizontal="left" vertical="center" wrapText="1" indent="1"/>
    </xf>
    <xf numFmtId="0" fontId="71" fillId="54" borderId="68" xfId="0" applyFont="1" applyFill="1" applyBorder="1" applyAlignment="1">
      <alignment horizontal="center" vertical="center" wrapText="1"/>
    </xf>
    <xf numFmtId="0" fontId="29" fillId="18" borderId="64" xfId="0" applyFont="1" applyFill="1" applyBorder="1"/>
    <xf numFmtId="200" fontId="72" fillId="55" borderId="68" xfId="0" applyNumberFormat="1" applyFont="1" applyFill="1" applyBorder="1" applyAlignment="1">
      <alignment horizontal="right" vertical="center" wrapText="1" indent="1"/>
    </xf>
    <xf numFmtId="0" fontId="29" fillId="22" borderId="21" xfId="0" applyFont="1" applyFill="1" applyBorder="1" applyAlignment="1">
      <alignment horizontal="center" vertical="center" wrapText="1"/>
    </xf>
    <xf numFmtId="200" fontId="71" fillId="56" borderId="68" xfId="0" applyNumberFormat="1" applyFont="1" applyFill="1" applyBorder="1" applyAlignment="1">
      <alignment horizontal="left" vertical="center" wrapText="1" indent="1"/>
    </xf>
    <xf numFmtId="199" fontId="71" fillId="56" borderId="68" xfId="0" applyNumberFormat="1" applyFont="1" applyFill="1" applyBorder="1" applyAlignment="1">
      <alignment horizontal="center" vertical="center" wrapText="1"/>
    </xf>
    <xf numFmtId="200" fontId="72" fillId="57" borderId="68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1" xfId="0" applyFont="1" applyFill="1" applyBorder="1"/>
    <xf numFmtId="199" fontId="6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/>
    <xf numFmtId="0" fontId="61" fillId="0" borderId="26" xfId="2" applyFont="1" applyFill="1" applyBorder="1" applyAlignment="1">
      <alignment vertical="center" wrapText="1"/>
    </xf>
    <xf numFmtId="185" fontId="1" fillId="0" borderId="89" xfId="2" applyNumberFormat="1" applyFont="1" applyFill="1" applyBorder="1"/>
    <xf numFmtId="0" fontId="0" fillId="0" borderId="90" xfId="0" applyFill="1" applyBorder="1"/>
    <xf numFmtId="0" fontId="0" fillId="0" borderId="91" xfId="0" applyFill="1" applyBorder="1"/>
    <xf numFmtId="185" fontId="61" fillId="0" borderId="24" xfId="2" applyNumberFormat="1" applyFont="1" applyFill="1" applyBorder="1" applyAlignment="1">
      <alignment vertical="center" wrapText="1"/>
    </xf>
    <xf numFmtId="185" fontId="1" fillId="0" borderId="89" xfId="2" applyNumberFormat="1" applyFont="1" applyFill="1" applyBorder="1" applyAlignment="1">
      <alignment horizontal="left" vertical="center" wrapText="1"/>
    </xf>
    <xf numFmtId="198" fontId="61" fillId="0" borderId="24" xfId="2" applyNumberFormat="1" applyFont="1" applyFill="1" applyBorder="1" applyAlignment="1">
      <alignment horizontal="right" vertical="center" shrinkToFit="1"/>
    </xf>
    <xf numFmtId="0" fontId="20" fillId="14" borderId="28" xfId="1" applyFont="1" applyFill="1" applyBorder="1" applyAlignment="1">
      <alignment vertical="center" wrapText="1"/>
    </xf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22" fillId="15" borderId="21" xfId="1" applyFont="1" applyFill="1" applyBorder="1"/>
    <xf numFmtId="0" fontId="65" fillId="51" borderId="37" xfId="2" applyFont="1" applyFill="1" applyBorder="1" applyAlignment="1">
      <alignment vertical="center" wrapText="1"/>
    </xf>
    <xf numFmtId="0" fontId="0" fillId="0" borderId="38" xfId="0" applyFill="1" applyBorder="1"/>
    <xf numFmtId="0" fontId="0" fillId="0" borderId="39" xfId="0" applyFill="1" applyBorder="1"/>
    <xf numFmtId="185" fontId="16" fillId="10" borderId="89" xfId="2" applyNumberFormat="1" applyFont="1" applyFill="1" applyBorder="1"/>
    <xf numFmtId="0" fontId="61" fillId="0" borderId="40" xfId="2" applyFont="1" applyFill="1" applyBorder="1" applyAlignment="1">
      <alignment vertical="center" wrapText="1"/>
    </xf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Fill="1" applyBorder="1"/>
    <xf numFmtId="185" fontId="4" fillId="8" borderId="89" xfId="2" applyNumberFormat="1" applyFont="1" applyFill="1" applyBorder="1" applyAlignment="1">
      <alignment vertical="center"/>
    </xf>
    <xf numFmtId="0" fontId="23" fillId="15" borderId="21" xfId="1" applyFont="1" applyFill="1" applyBorder="1"/>
    <xf numFmtId="0" fontId="21" fillId="14" borderId="21" xfId="1" applyFont="1" applyFill="1" applyBorder="1" applyAlignment="1">
      <alignment wrapText="1"/>
    </xf>
    <xf numFmtId="0" fontId="0" fillId="0" borderId="53" xfId="0" applyFill="1" applyBorder="1"/>
    <xf numFmtId="0" fontId="0" fillId="0" borderId="48" xfId="0" applyFill="1" applyBorder="1"/>
    <xf numFmtId="0" fontId="0" fillId="0" borderId="54" xfId="0" applyFill="1" applyBorder="1"/>
    <xf numFmtId="0" fontId="63" fillId="26" borderId="10" xfId="0" applyFont="1"/>
    <xf numFmtId="185" fontId="50" fillId="12" borderId="4" xfId="2" applyNumberFormat="1" applyFont="1" applyFill="1" applyBorder="1"/>
    <xf numFmtId="198" fontId="61" fillId="0" borderId="24" xfId="0" applyNumberFormat="1" applyFont="1" applyFill="1" applyBorder="1" applyAlignment="1">
      <alignment horizontal="right" vertical="center" shrinkToFit="1"/>
    </xf>
    <xf numFmtId="0" fontId="61" fillId="0" borderId="26" xfId="0" applyFont="1" applyFill="1" applyBorder="1" applyAlignment="1">
      <alignment vertical="center" wrapText="1"/>
    </xf>
    <xf numFmtId="0" fontId="0" fillId="0" borderId="24" xfId="0" applyFill="1" applyBorder="1"/>
    <xf numFmtId="0" fontId="61" fillId="0" borderId="47" xfId="0" applyFont="1" applyFill="1" applyBorder="1" applyAlignment="1">
      <alignment vertical="center" wrapText="1"/>
    </xf>
    <xf numFmtId="0" fontId="0" fillId="0" borderId="49" xfId="0" applyFill="1" applyBorder="1"/>
    <xf numFmtId="0" fontId="61" fillId="0" borderId="50" xfId="0" applyFont="1" applyFill="1" applyBorder="1" applyAlignment="1">
      <alignment vertical="center" wrapText="1"/>
    </xf>
    <xf numFmtId="0" fontId="0" fillId="0" borderId="51" xfId="0" applyFill="1" applyBorder="1"/>
    <xf numFmtId="0" fontId="0" fillId="0" borderId="52" xfId="0" applyFill="1" applyBorder="1"/>
    <xf numFmtId="0" fontId="65" fillId="51" borderId="37" xfId="0" applyFont="1" applyFill="1" applyBorder="1" applyAlignment="1">
      <alignment vertical="center" wrapText="1"/>
    </xf>
    <xf numFmtId="0" fontId="61" fillId="26" borderId="10" xfId="0" applyFont="1"/>
    <xf numFmtId="198" fontId="61" fillId="0" borderId="53" xfId="0" applyNumberFormat="1" applyFont="1" applyFill="1" applyBorder="1" applyAlignment="1">
      <alignment horizontal="right" vertical="center" shrinkToFit="1"/>
    </xf>
    <xf numFmtId="185" fontId="16" fillId="10" borderId="89" xfId="2" applyNumberFormat="1" applyFont="1" applyFill="1" applyBorder="1" applyAlignment="1">
      <alignment horizontal="left" vertical="center" wrapText="1"/>
    </xf>
    <xf numFmtId="0" fontId="31" fillId="25" borderId="21" xfId="0" applyFont="1" applyFill="1" applyBorder="1" applyAlignment="1">
      <alignment wrapText="1"/>
    </xf>
    <xf numFmtId="185" fontId="1" fillId="0" borderId="92" xfId="2" applyNumberFormat="1" applyFont="1" applyFill="1" applyBorder="1" applyAlignment="1">
      <alignment horizontal="left" vertical="center" wrapText="1"/>
    </xf>
    <xf numFmtId="0" fontId="55" fillId="0" borderId="61" xfId="0" applyFont="1" applyFill="1" applyBorder="1" applyAlignment="1">
      <alignment vertical="center" wrapText="1"/>
    </xf>
    <xf numFmtId="0" fontId="0" fillId="0" borderId="62" xfId="0" applyFill="1" applyBorder="1"/>
    <xf numFmtId="0" fontId="0" fillId="0" borderId="63" xfId="0" applyFill="1" applyBorder="1"/>
    <xf numFmtId="0" fontId="55" fillId="0" borderId="72" xfId="0" applyFont="1" applyFill="1" applyBorder="1" applyAlignment="1">
      <alignment vertical="center" wrapText="1"/>
    </xf>
    <xf numFmtId="185" fontId="4" fillId="8" borderId="89" xfId="2" applyNumberFormat="1" applyFont="1" applyFill="1" applyBorder="1" applyAlignment="1">
      <alignment vertical="center" wrapText="1"/>
    </xf>
    <xf numFmtId="198" fontId="55" fillId="0" borderId="72" xfId="0" applyNumberFormat="1" applyFont="1" applyFill="1" applyBorder="1" applyAlignment="1">
      <alignment vertical="center" wrapText="1"/>
    </xf>
    <xf numFmtId="198" fontId="55" fillId="0" borderId="61" xfId="0" applyNumberFormat="1" applyFont="1" applyFill="1" applyBorder="1" applyAlignment="1">
      <alignment vertical="center" wrapText="1"/>
    </xf>
    <xf numFmtId="0" fontId="45" fillId="33" borderId="10" xfId="2" applyFont="1" applyFill="1" applyAlignment="1">
      <alignment wrapText="1"/>
    </xf>
    <xf numFmtId="0" fontId="61" fillId="0" borderId="70" xfId="2" applyFont="1" applyFill="1" applyBorder="1" applyAlignment="1">
      <alignment vertical="center" wrapText="1"/>
    </xf>
    <xf numFmtId="0" fontId="54" fillId="34" borderId="10" xfId="0" applyFont="1" applyFill="1"/>
    <xf numFmtId="0" fontId="61" fillId="0" borderId="69" xfId="0" applyFont="1" applyFill="1" applyBorder="1" applyAlignment="1">
      <alignment vertical="center" wrapText="1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5" borderId="14" xfId="0" applyFont="1" applyBorder="1" applyAlignment="1">
      <alignment vertical="center"/>
    </xf>
    <xf numFmtId="0" fontId="59" fillId="45" borderId="16" xfId="0" applyFont="1" applyBorder="1" applyAlignment="1">
      <alignment vertical="center"/>
    </xf>
    <xf numFmtId="0" fontId="59" fillId="45" borderId="11" xfId="0" applyFont="1" applyBorder="1" applyAlignment="1">
      <alignment vertical="center"/>
    </xf>
    <xf numFmtId="0" fontId="59" fillId="45" borderId="13" xfId="0" applyFont="1" applyBorder="1" applyAlignment="1">
      <alignment vertical="center"/>
    </xf>
    <xf numFmtId="0" fontId="59" fillId="45" borderId="15" xfId="0" applyFont="1" applyBorder="1" applyAlignment="1">
      <alignment vertical="center"/>
    </xf>
    <xf numFmtId="0" fontId="59" fillId="45" borderId="12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76" fillId="58" borderId="94" pivotButton="0" quotePrefix="0" xfId="0"/>
    <xf numFmtId="0" fontId="78" fillId="60" borderId="94" applyAlignment="1" pivotButton="0" quotePrefix="0" xfId="0">
      <alignment vertical="center" wrapText="1"/>
    </xf>
    <xf numFmtId="0" fontId="76" fillId="60" borderId="94" pivotButton="0" quotePrefix="0" xfId="0"/>
    <xf numFmtId="204" fontId="77" fillId="58" borderId="94" applyAlignment="1" pivotButton="0" quotePrefix="0" xfId="0">
      <alignment vertical="center" wrapText="1"/>
    </xf>
    <xf numFmtId="0" fontId="79" fillId="61" borderId="94" applyAlignment="1" pivotButton="0" quotePrefix="0" xfId="0">
      <alignment vertical="center" wrapText="1"/>
    </xf>
    <xf numFmtId="0" fontId="76" fillId="61" borderId="94" pivotButton="0" quotePrefix="0" xfId="0"/>
    <xf numFmtId="0" fontId="77" fillId="58" borderId="94" applyAlignment="1" pivotButton="0" quotePrefix="0" xfId="0">
      <alignment vertical="center" wrapText="1"/>
    </xf>
    <xf numFmtId="204" fontId="77" fillId="62" borderId="94" applyAlignment="1" pivotButton="0" quotePrefix="0" xfId="0">
      <alignment vertical="center" wrapText="1"/>
    </xf>
    <xf numFmtId="0" fontId="77" fillId="58" borderId="94" applyAlignment="1" pivotButton="0" quotePrefix="0" xfId="0">
      <alignment vertical="center"/>
    </xf>
    <xf numFmtId="0" fontId="81" fillId="61" borderId="94" applyAlignment="1" pivotButton="0" quotePrefix="0" xfId="0">
      <alignment vertical="center" wrapText="1"/>
    </xf>
    <xf numFmtId="0" fontId="79" fillId="61" borderId="95" applyAlignment="1" pivotButton="0" quotePrefix="0" xfId="0">
      <alignment vertical="center" wrapText="1"/>
    </xf>
    <xf numFmtId="0" fontId="76" fillId="61" borderId="95" pivotButton="0" quotePrefix="0" xfId="0"/>
    <xf numFmtId="205" fontId="77" fillId="58" borderId="95" applyAlignment="1" pivotButton="0" quotePrefix="0" xfId="0">
      <alignment horizontal="right" vertical="center" indent="1"/>
    </xf>
    <xf numFmtId="0" fontId="76" fillId="58" borderId="95" pivotButton="0" quotePrefix="0" xfId="0"/>
    <xf numFmtId="205" fontId="77" fillId="63" borderId="95" applyAlignment="1" pivotButton="0" quotePrefix="0" xfId="0">
      <alignment horizontal="right" vertical="center" indent="1"/>
    </xf>
    <xf numFmtId="0" fontId="77" fillId="58" borderId="95" applyAlignment="1" pivotButton="0" quotePrefix="0" xfId="0">
      <alignment horizontal="center" vertical="center"/>
    </xf>
    <xf numFmtId="205" fontId="77" fillId="61" borderId="95" applyAlignment="1" pivotButton="0" quotePrefix="0" xfId="0">
      <alignment horizontal="right" vertical="center" indent="1"/>
    </xf>
    <xf numFmtId="0" fontId="77" fillId="61" borderId="95" applyAlignment="1" pivotButton="0" quotePrefix="0" xfId="0">
      <alignment horizontal="center" vertical="center"/>
    </xf>
    <xf numFmtId="0" fontId="80" fillId="61" borderId="94" applyAlignment="1" pivotButton="0" quotePrefix="0" xfId="0">
      <alignment vertical="center" wrapText="1"/>
    </xf>
    <xf numFmtId="206" fontId="81" fillId="61" borderId="94" applyAlignment="1" pivotButton="0" quotePrefix="0" xfId="0">
      <alignment vertical="center" wrapText="1"/>
    </xf>
    <xf numFmtId="0" fontId="77" fillId="58" borderId="95" applyAlignment="1" pivotButton="0" quotePrefix="0" xfId="0">
      <alignment vertical="center" wrapText="1"/>
    </xf>
    <xf numFmtId="205" fontId="77" fillId="62" borderId="95" applyAlignment="1" pivotButton="0" quotePrefix="0" xfId="0">
      <alignment vertical="center" wrapText="1"/>
    </xf>
    <xf numFmtId="0" fontId="77" fillId="58" borderId="95" applyAlignment="1" pivotButton="0" quotePrefix="0" xfId="0">
      <alignment vertical="center"/>
    </xf>
    <xf numFmtId="205" fontId="77" fillId="58" borderId="95" applyAlignment="1" pivotButton="0" quotePrefix="0" xfId="0">
      <alignment vertical="center" wrapText="1"/>
    </xf>
    <xf numFmtId="0" fontId="77" fillId="62" borderId="94" applyAlignment="1" pivotButton="0" quotePrefix="0" xfId="0">
      <alignment vertical="center" wrapText="1"/>
    </xf>
    <xf numFmtId="1" fontId="77" fillId="62" borderId="94" applyAlignment="1" pivotButton="0" quotePrefix="0" xfId="0">
      <alignment vertical="center" wrapText="1"/>
    </xf>
    <xf numFmtId="207" fontId="77" fillId="58" borderId="94" applyAlignment="1" pivotButton="0" quotePrefix="0" xfId="0">
      <alignment vertical="center" wrapText="1"/>
    </xf>
    <xf numFmtId="205" fontId="77" fillId="62" borderId="94" applyAlignment="1" pivotButton="0" quotePrefix="0" xfId="0">
      <alignment vertical="center" wrapText="1"/>
    </xf>
    <xf numFmtId="205" fontId="77" fillId="58" borderId="94" applyAlignment="1" pivotButton="0" quotePrefix="0" xfId="0">
      <alignment vertical="center" wrapText="1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59" fillId="44" borderId="15" xfId="0" applyFont="1" applyBorder="1" applyAlignment="1">
      <alignment vertical="center"/>
    </xf>
    <xf numFmtId="0" fontId="59" fillId="44" borderId="12" xfId="0" applyFont="1" applyBorder="1" applyAlignment="1">
      <alignment vertical="center"/>
    </xf>
    <xf numFmtId="0" fontId="59" fillId="44" borderId="14" xfId="0" applyFont="1" applyBorder="1" applyAlignment="1">
      <alignment vertical="center"/>
    </xf>
    <xf numFmtId="0" fontId="59" fillId="47" borderId="14" xfId="0" applyFont="1" applyBorder="1" applyAlignment="1">
      <alignment vertical="center"/>
    </xf>
    <xf numFmtId="0" fontId="59" fillId="47" borderId="16" xfId="0" applyFont="1" applyBorder="1" applyAlignment="1">
      <alignment vertical="center"/>
    </xf>
    <xf numFmtId="0" fontId="59" fillId="47" borderId="11" xfId="0" applyFont="1" applyBorder="1" applyAlignment="1">
      <alignment vertical="center"/>
    </xf>
    <xf numFmtId="0" fontId="59" fillId="47" borderId="13" xfId="0" applyFont="1" applyBorder="1" applyAlignment="1">
      <alignment vertical="center"/>
    </xf>
    <xf numFmtId="0" fontId="59" fillId="46" borderId="14" xfId="0" applyFont="1" applyBorder="1" applyAlignment="1">
      <alignment vertical="center"/>
    </xf>
    <xf numFmtId="0" fontId="59" fillId="46" borderId="16" xfId="0" applyFont="1" applyBorder="1" applyAlignment="1">
      <alignment vertical="center"/>
    </xf>
    <xf numFmtId="0" fontId="59" fillId="46" borderId="11" xfId="0" applyFont="1" applyBorder="1" applyAlignment="1">
      <alignment vertical="center"/>
    </xf>
    <xf numFmtId="0" fontId="59" fillId="46" borderId="13" xfId="0" applyFont="1" applyBorder="1" applyAlignment="1">
      <alignment vertical="center"/>
    </xf>
    <xf numFmtId="0" fontId="59" fillId="46" borderId="15" xfId="0" applyFont="1" applyBorder="1" applyAlignment="1">
      <alignment vertical="center"/>
    </xf>
    <xf numFmtId="0" fontId="59" fillId="46" borderId="12" xfId="0" applyFont="1" applyBorder="1" applyAlignment="1">
      <alignment vertical="center"/>
    </xf>
    <xf numFmtId="0" fontId="59" fillId="47" borderId="15" xfId="0" applyFont="1" applyBorder="1" applyAlignment="1">
      <alignment vertical="center"/>
    </xf>
    <xf numFmtId="0" fontId="59" fillId="47" borderId="12" xfId="0" applyFont="1" applyBorder="1" applyAlignment="1">
      <alignment vertical="center"/>
    </xf>
    <xf numFmtId="0" fontId="59" fillId="49" borderId="11" xfId="0" applyFont="1" applyBorder="1" applyAlignment="1">
      <alignment vertical="center"/>
    </xf>
    <xf numFmtId="0" fontId="59" fillId="49" borderId="13" xfId="0" applyFont="1" applyBorder="1" applyAlignment="1">
      <alignment vertical="center"/>
    </xf>
    <xf numFmtId="0" fontId="59" fillId="49" borderId="15" xfId="0" applyFont="1" applyBorder="1" applyAlignment="1">
      <alignment vertical="center"/>
    </xf>
    <xf numFmtId="0" fontId="59" fillId="49" borderId="12" xfId="0" applyFont="1" applyBorder="1" applyAlignment="1">
      <alignment vertical="center"/>
    </xf>
    <xf numFmtId="0" fontId="59" fillId="49" borderId="14" xfId="0" applyFont="1" applyBorder="1" applyAlignment="1">
      <alignment vertical="center"/>
    </xf>
    <xf numFmtId="0" fontId="59" fillId="49" borderId="16" xfId="0" applyFont="1" applyBorder="1" applyAlignment="1">
      <alignment vertical="center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ReserveCalculation" Type="http://schemas.openxmlformats.org/officeDocument/2006/relationships/worksheet" Target="worksheets/shee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207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208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209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210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211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212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26" t="inlineStr">
        <is>
          <t xml:space="preserve">예비비는 선택월 사용계획·실제 사용·사용가능액을 봅니다. 사용계획은 잔액을 차감하지 않고, 실제 사용분은 결제대금비로 자동 확보합니다.</t>
        </is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214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inlineStr">
        <is>
          <t xml:space="preserve">잔액 탭 조회월(B3)은 상단 잔액·내역과 하단 WRAP 원장에 함께 적용됩니다. 전체 입력 원장은 같은 탭의 +를 펼쳐 편집합니다.</t>
        </is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216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inlineStr">
        <is>
          <t xml:space="preserve">가족통장·모임통장의 실제 사용은 월간에서 확인합니다. WRAP 밖 보관금은 합계에 포함하지 않습니다. 가족행사 예비비 20만원과 철도 미회수 대납 2건 103,600원은 별도 표시합니다.</t>
        </is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218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inlineStr">
        <is>
          <t>통합 파일은 테트리스_가계부_2026_고도화.xlsm으로 관리합니다. 각 월간 시트 다음에 계산기가 있으며, 검증은 별도 기록으로 관리하며, 예비비·잔액 탭에서 현황을 확인하세요.</t>
        </is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220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58" t="s">
        <v>221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</row>
    <row r="22" spans="1:17" ht="30" customHeight="1">
      <c r="A22" s="358" t="inlineStr">
        <is>
          <t xml:space="preserve">10월은 10/18까지 실제 자료입니다. 미수령 급여·미결제 고정비·공동자금·대납은 월간 확인표에 별도 표시합니다.</t>
        </is>
      </c>
      <c r="B22" s="345"/>
      <c r="C22" s="345"/>
      <c r="D22" s="345"/>
      <c r="E22" s="345"/>
      <c r="F22" s="345"/>
      <c r="G22" s="345"/>
      <c r="H22" s="345"/>
      <c r="I22" s="345"/>
      <c r="J22" s="345"/>
      <c r="K22" s="345"/>
      <c r="L22" s="345"/>
    </row>
    <row r="23" spans="1:17" ht="30" customHeight="1">
      <c r="A23" s="358" t="inlineStr">
        <is>
          <t xml:space="preserve">10월 RAW 164건 중 WRAP 15건을 잔액 원장과 대조합니다. 타계좌 48건·카드사용 101건을 보존하며 충전·실제 결제를 중복 소비로 잡지 않습니다.</t>
        </is>
      </c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</row>
    <row r="24" spans="1:17" ht="30" customHeight="1">
      <c r="A24" s="358" t="s">
        <v>224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345"/>
    </row>
    <row r="25" spans="1:17" ht="34" customHeight="1">
      <c r="A25" s="17"/>
      <c r="B25" s="17"/>
      <c r="C25" s="17" t="s">
        <v>225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59" t="inlineStr">
        <is>
          <t xml:space="preserve">예비비 사용은 등록할 때 한 번 반영합니다. 실제 이체를 사용ID·원장행에 연결하면 자동 확보와 중복되지 않습니다. 적립계획과 사용계획은 별도 입력입니다.</t>
        </is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1"/>
    </row>
    <row r="28" spans="1:17" ht="23" customHeight="1">
      <c r="A28" s="362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4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0" summaryRight="1"/>
    <pageSetUpPr fitToPage="1"/>
  </sheetPr>
  <dimension ref="A1:AD730"/>
  <sheetViews>
    <sheetView showGridLines="0" zoomScale="80" workbookViewId="0">
      <pane xSplit="3" ySplit="7" topLeftCell="D8" activePane="bottomRight" state="frozen"/>
      <selection pane="topRight" activeCell="B3" sqref="B3"/>
      <selection pane="bottomLeft"/>
      <selection pane="bottomRight" activeCell="A1" sqref="A1"/>
    </sheetView>
  </sheetViews>
  <sheetFormatPr baseColWidth="8" defaultRowHeight="15"/>
  <cols>
    <col width="15" customWidth="1" min="1" max="1"/>
    <col width="25" customWidth="1" min="2" max="2"/>
    <col width="14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</cols>
  <sheetData>
    <row r="1" ht="34" customHeight="1">
      <c r="A1" s="499" t="inlineStr">
        <is>
          <t>예비비 | 현황 · 계획 · 이체 내역</t>
        </is>
      </c>
      <c r="B1" s="500" t="n"/>
      <c r="C1" s="500" t="n"/>
      <c r="D1" s="500" t="n"/>
      <c r="E1" s="500" t="n"/>
      <c r="F1" s="500" t="n"/>
      <c r="G1" s="500" t="n"/>
      <c r="H1" s="500" t="n"/>
      <c r="I1" s="500" t="n"/>
      <c r="J1" s="500" t="n"/>
      <c r="K1" s="500" t="n"/>
      <c r="L1" s="500" t="n"/>
      <c r="M1" s="500" t="n"/>
      <c r="N1" s="500" t="n"/>
      <c r="O1" s="500" t="n"/>
      <c r="AD1" s="501" t="n">
        <v>46023</v>
      </c>
    </row>
    <row r="2" ht="24" customHeight="1">
      <c r="A2" s="502" t="inlineStr">
        <is>
          <t xml:space="preserve">노란색만 입력합니다. 계획은 참고용이며 실제 사용만 반영합니다. 사용가능액은 잔액 탭의 같은 목적 계정과 일치합니다.</t>
        </is>
      </c>
      <c r="B2" s="503" t="n"/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3" t="n"/>
      <c r="N2" s="503" t="n"/>
      <c r="O2" s="503" t="n"/>
      <c r="AD2" s="501" t="n">
        <v>46054</v>
      </c>
    </row>
    <row r="3" ht="24" customHeight="1">
      <c r="A3" s="504" t="inlineStr">
        <is>
          <t>조회월</t>
        </is>
      </c>
      <c r="B3" s="505" t="n">
        <v>46296</v>
      </c>
      <c r="C3" s="506" t="n"/>
      <c r="D3" s="502" t="str">
        <f>TEXT($B$3,"yyyy년 m월")&amp;IF($B$3&gt;MAX(잔액!$A$64:$A$500)," · 미래 월: 현재 기록 이월 / 예측 아님"," · 선택월 말까지 기록 기준")</f>
        <v>2026년 10월 · 선택월 말까지 기록 기준</v>
      </c>
      <c r="E3" s="503" t="n"/>
      <c r="F3" s="503" t="n"/>
      <c r="G3" s="503" t="n"/>
      <c r="H3" s="503" t="n"/>
      <c r="I3" s="503" t="n"/>
      <c r="J3" s="503" t="n"/>
      <c r="K3" s="503" t="n"/>
      <c r="L3" s="503" t="n"/>
      <c r="M3" s="503" t="n"/>
      <c r="N3" s="503" t="n"/>
      <c r="O3" s="503" t="n"/>
      <c r="AD3" s="501" t="n">
        <v>46082</v>
      </c>
    </row>
    <row r="4" ht="24" customHeight="1">
      <c r="A4" s="502" t="str">
        <f>IF($B$3=잔액!$B$3,"잔액 탭과 같은 조회월입니다.","잔액 탭 조회월은 "&amp;TEXT(잔액!$B$3,"yyyy-mm")&amp;"입니다. 아래 금액은 선택한 월의 동일 원장으로 계산합니다.")</f>
        <v>잔액 탭과 같은 조회월입니다.</v>
      </c>
      <c r="B4" s="503" t="n"/>
      <c r="C4" s="503" t="n"/>
      <c r="D4" s="503" t="n"/>
      <c r="E4" s="503" t="n"/>
      <c r="F4" s="503" t="n"/>
      <c r="G4" s="503" t="n"/>
      <c r="H4" s="503" t="n"/>
      <c r="I4" s="503" t="n"/>
      <c r="J4" s="503" t="n"/>
      <c r="K4" s="503" t="n"/>
      <c r="L4" s="503" t="n"/>
      <c r="M4" s="503" t="n"/>
      <c r="N4" s="503" t="n"/>
      <c r="O4" s="503" t="n"/>
      <c r="AD4" s="501" t="n">
        <v>46113</v>
      </c>
    </row>
    <row r="5" ht="24" customHeight="1">
      <c r="A5" s="506" t="n"/>
      <c r="B5" s="506" t="n"/>
      <c r="C5" s="506" t="n"/>
      <c r="D5" s="506" t="n"/>
      <c r="E5" s="506" t="n"/>
      <c r="F5" s="506" t="n"/>
      <c r="G5" s="506" t="n"/>
      <c r="H5" s="506" t="n"/>
      <c r="I5" s="506" t="n"/>
      <c r="J5" s="506" t="n"/>
      <c r="K5" s="506" t="n"/>
      <c r="L5" s="506" t="n"/>
      <c r="M5" s="506" t="n"/>
      <c r="N5" s="506" t="n"/>
      <c r="O5" s="506" t="n"/>
      <c r="AD5" s="501" t="n">
        <v>46143</v>
      </c>
    </row>
    <row r="6" ht="24" customHeight="1">
      <c r="A6" s="499" t="inlineStr">
        <is>
          <t xml:space="preserve">1  현황 | 계획은 참고 · 실제 사용은 한 번 · 사용가능액은 잔액 탭과 일치</t>
        </is>
      </c>
      <c r="B6" s="500" t="n"/>
      <c r="C6" s="500" t="n"/>
      <c r="D6" s="500" t="n"/>
      <c r="E6" s="500" t="n"/>
      <c r="F6" s="500" t="n"/>
      <c r="G6" s="500" t="n"/>
      <c r="H6" s="500" t="n"/>
      <c r="I6" s="500" t="n"/>
      <c r="J6" s="500" t="n"/>
      <c r="K6" s="500" t="n"/>
      <c r="L6" s="500" t="n"/>
      <c r="M6" s="500" t="n"/>
      <c r="N6" s="500" t="n"/>
      <c r="O6" s="500" t="n"/>
      <c r="AD6" s="501" t="n">
        <v>46174</v>
      </c>
    </row>
    <row r="7" ht="42" customHeight="1">
      <c r="A7" s="507" t="inlineStr">
        <is>
          <t xml:space="preserve">목적</t>
        </is>
      </c>
      <c r="B7" s="507"/>
      <c r="C7" s="507" t="inlineStr">
        <is>
          <t xml:space="preserve">선택월 사용계획</t>
        </is>
      </c>
      <c r="D7" s="507"/>
      <c r="E7" s="507"/>
      <c r="F7" s="507" t="inlineStr">
        <is>
          <t xml:space="preserve">선택월 실제 사용액</t>
        </is>
      </c>
      <c r="G7" s="507"/>
      <c r="H7" s="507"/>
      <c r="I7" s="507" t="inlineStr">
        <is>
          <t xml:space="preserve">사용가능액</t>
        </is>
      </c>
      <c r="J7" s="507"/>
      <c r="K7" s="507"/>
      <c r="L7" s="507"/>
      <c r="M7" s="507"/>
      <c r="N7" s="507"/>
      <c r="O7" s="507"/>
      <c r="AD7" s="501" t="n">
        <v>46204</v>
      </c>
    </row>
    <row r="8" ht="24" customHeight="1">
      <c r="A8" s="508" t="inlineStr">
        <is>
          <t xml:space="preserve">명절비</t>
        </is>
      </c>
      <c r="B8" s="508"/>
      <c r="C8" s="510" t="str">
        <f>IF(COUNT(INDEX($D$34:$O$38,MATCH($A8,$A$34:$A$38,0),MONTH($B$3)))=0,"미입력",INDEX($D$34:$O$38,MATCH($A8,$A$34:$A$38,0),MONTH($B$3)))</f>
        <v>미입력</v>
      </c>
      <c r="D8" s="510"/>
      <c r="E8" s="510"/>
      <c r="F8" s="510">
        <f>SUMIFS($E$100:$E$399,$C$100:$C$399,$A8,$D$100:$D$399,"&gt;="&amp;$B$3,$D$100:$D$399,"&lt;"&amp;EDATE($B$3,1),$R$100:$R$399,"OK")</f>
        <v>0</v>
      </c>
      <c r="G8" s="510"/>
      <c r="H8" s="510"/>
      <c r="I8" s="512">
        <f>IF($B$3&lt;DATE(2026,3,1),"원장 없음",SUMIFS(잔액!$Y$64:$Y$500,잔액!$D$64:$D$500,$A8,잔액!$A$64:$A$500,"&lt;"&amp;EDATE($B$3,1))-SUMIFS(잔액!$Y$64:$Y$500,잔액!$C$64:$C$500,$A8,잔액!$A$64:$A$500,"&lt;"&amp;EDATE($B$3,1))-IFERROR(INDEX('_예비비계산'!$BI$81:$BU$86,MATCH($A8,'_예비비계산'!$BH$81:$BH$86,0),MONTH($B$3)+1),0))</f>
        <v>0</v>
      </c>
      <c r="J8" s="512"/>
      <c r="K8" s="512"/>
      <c r="L8" s="512"/>
      <c r="M8" s="512"/>
      <c r="N8" s="512"/>
      <c r="O8" s="512"/>
      <c r="AD8" s="501" t="n">
        <v>46235</v>
      </c>
    </row>
    <row r="9" ht="24" customHeight="1">
      <c r="A9" s="508" t="inlineStr">
        <is>
          <t xml:space="preserve">여행비</t>
        </is>
      </c>
      <c r="B9" s="508"/>
      <c r="C9" s="510" t="str">
        <f>IF(COUNT(INDEX($D$34:$O$38,MATCH($A9,$A$34:$A$38,0),MONTH($B$3)))=0,"미입력",INDEX($D$34:$O$38,MATCH($A9,$A$34:$A$38,0),MONTH($B$3)))</f>
        <v>미입력</v>
      </c>
      <c r="D9" s="510"/>
      <c r="E9" s="510"/>
      <c r="F9" s="510">
        <f>SUMIFS($E$100:$E$399,$C$100:$C$399,$A9,$D$100:$D$399,"&gt;="&amp;$B$3,$D$100:$D$399,"&lt;"&amp;EDATE($B$3,1),$R$100:$R$399,"OK")</f>
        <v>0</v>
      </c>
      <c r="G9" s="510"/>
      <c r="H9" s="510"/>
      <c r="I9" s="512">
        <f>IF($B$3&lt;DATE(2026,3,1),"원장 없음",SUMIFS(잔액!$Y$64:$Y$500,잔액!$D$64:$D$500,$A9,잔액!$A$64:$A$500,"&lt;"&amp;EDATE($B$3,1))-SUMIFS(잔액!$Y$64:$Y$500,잔액!$C$64:$C$500,$A9,잔액!$A$64:$A$500,"&lt;"&amp;EDATE($B$3,1))-IFERROR(INDEX('_예비비계산'!$BI$81:$BU$86,MATCH($A9,'_예비비계산'!$BH$81:$BH$86,0),MONTH($B$3)+1),0))</f>
        <v>1400000</v>
      </c>
      <c r="J9" s="512"/>
      <c r="K9" s="512"/>
      <c r="L9" s="512"/>
      <c r="M9" s="512"/>
      <c r="N9" s="512"/>
      <c r="O9" s="512"/>
      <c r="AD9" s="501" t="n">
        <v>46266</v>
      </c>
    </row>
    <row r="10" ht="24" customHeight="1">
      <c r="A10" s="508" t="inlineStr">
        <is>
          <t xml:space="preserve">경조사비</t>
        </is>
      </c>
      <c r="B10" s="508"/>
      <c r="C10" s="510" t="str">
        <f>IF(COUNT(INDEX($D$34:$O$38,MATCH($A10,$A$34:$A$38,0),MONTH($B$3)))=0,"미입력",INDEX($D$34:$O$38,MATCH($A10,$A$34:$A$38,0),MONTH($B$3)))</f>
        <v>미입력</v>
      </c>
      <c r="D10" s="510"/>
      <c r="E10" s="510"/>
      <c r="F10" s="510">
        <f>SUMIFS($E$100:$E$399,$C$100:$C$399,$A10,$D$100:$D$399,"&gt;="&amp;$B$3,$D$100:$D$399,"&lt;"&amp;EDATE($B$3,1),$R$100:$R$399,"OK")</f>
        <v>239000</v>
      </c>
      <c r="G10" s="510"/>
      <c r="H10" s="510"/>
      <c r="I10" s="512">
        <f>IF($B$3&lt;DATE(2026,3,1),"원장 없음",SUMIFS(잔액!$Y$64:$Y$500,잔액!$D$64:$D$500,$A10,잔액!$A$64:$A$500,"&lt;"&amp;EDATE($B$3,1))-SUMIFS(잔액!$Y$64:$Y$500,잔액!$C$64:$C$500,$A10,잔액!$A$64:$A$500,"&lt;"&amp;EDATE($B$3,1))-IFERROR(INDEX('_예비비계산'!$BI$81:$BU$86,MATCH($A10,'_예비비계산'!$BH$81:$BH$86,0),MONTH($B$3)+1),0))</f>
        <v>450000</v>
      </c>
      <c r="J10" s="512"/>
      <c r="K10" s="512"/>
      <c r="L10" s="512"/>
      <c r="M10" s="512"/>
      <c r="N10" s="512"/>
      <c r="O10" s="512"/>
      <c r="AD10" s="501" t="n">
        <v>46296</v>
      </c>
    </row>
    <row r="11" ht="24" customHeight="1">
      <c r="A11" s="508" t="inlineStr">
        <is>
          <t xml:space="preserve">상환비</t>
        </is>
      </c>
      <c r="B11" s="508"/>
      <c r="C11" s="510" t="str">
        <f>IF(COUNT(INDEX($D$34:$O$38,MATCH($A11,$A$34:$A$38,0),MONTH($B$3)))=0,"미입력",INDEX($D$34:$O$38,MATCH($A11,$A$34:$A$38,0),MONTH($B$3)))</f>
        <v>미입력</v>
      </c>
      <c r="D11" s="510"/>
      <c r="E11" s="510"/>
      <c r="F11" s="510">
        <f>SUMIFS($E$100:$E$399,$C$100:$C$399,$A11,$D$100:$D$399,"&gt;="&amp;$B$3,$D$100:$D$399,"&lt;"&amp;EDATE($B$3,1),$R$100:$R$399,"OK")</f>
        <v>0</v>
      </c>
      <c r="G11" s="510"/>
      <c r="H11" s="510"/>
      <c r="I11" s="512">
        <f>IF($B$3&lt;DATE(2026,3,1),"원장 없음",SUMIFS(잔액!$Y$64:$Y$500,잔액!$D$64:$D$500,$A11,잔액!$A$64:$A$500,"&lt;"&amp;EDATE($B$3,1))-SUMIFS(잔액!$Y$64:$Y$500,잔액!$C$64:$C$500,$A11,잔액!$A$64:$A$500,"&lt;"&amp;EDATE($B$3,1))-IFERROR(INDEX('_예비비계산'!$BI$81:$BU$86,MATCH($A11,'_예비비계산'!$BH$81:$BH$86,0),MONTH($B$3)+1),0))</f>
        <v>300000</v>
      </c>
      <c r="J11" s="512"/>
      <c r="K11" s="512"/>
      <c r="L11" s="512"/>
      <c r="M11" s="512"/>
      <c r="N11" s="512"/>
      <c r="O11" s="512"/>
      <c r="AD11" s="501" t="n">
        <v>46327</v>
      </c>
    </row>
    <row r="12" ht="24" customHeight="1">
      <c r="A12" s="508" t="inlineStr">
        <is>
          <t xml:space="preserve">예비비</t>
        </is>
      </c>
      <c r="B12" s="508"/>
      <c r="C12" s="510" t="str">
        <f>IF(COUNT(INDEX($D$34:$O$38,MATCH($A12,$A$34:$A$38,0),MONTH($B$3)))=0,"미입력",INDEX($D$34:$O$38,MATCH($A12,$A$34:$A$38,0),MONTH($B$3)))</f>
        <v>미입력</v>
      </c>
      <c r="D12" s="510"/>
      <c r="E12" s="510"/>
      <c r="F12" s="510">
        <f>SUMIFS($E$100:$E$399,$C$100:$C$399,$A12,$D$100:$D$399,"&gt;="&amp;$B$3,$D$100:$D$399,"&lt;"&amp;EDATE($B$3,1),$R$100:$R$399,"OK")</f>
        <v>0</v>
      </c>
      <c r="G12" s="510"/>
      <c r="H12" s="510"/>
      <c r="I12" s="512">
        <f>IF($B$3&lt;DATE(2026,3,1),"원장 없음",SUMIFS(잔액!$Y$64:$Y$500,잔액!$D$64:$D$500,$A12,잔액!$A$64:$A$500,"&lt;"&amp;EDATE($B$3,1))-SUMIFS(잔액!$Y$64:$Y$500,잔액!$C$64:$C$500,$A12,잔액!$A$64:$A$500,"&lt;"&amp;EDATE($B$3,1))-IFERROR(INDEX('_예비비계산'!$BI$81:$BU$86,MATCH($A12,'_예비비계산'!$BH$81:$BH$86,0),MONTH($B$3)+1),0))</f>
        <v>0</v>
      </c>
      <c r="J12" s="512"/>
      <c r="K12" s="512"/>
      <c r="L12" s="512"/>
      <c r="M12" s="512"/>
      <c r="N12" s="512"/>
      <c r="O12" s="512"/>
      <c r="AD12" s="501" t="n">
        <v>46357</v>
      </c>
    </row>
    <row r="13" ht="24" customHeight="1">
      <c r="A13" s="508" t="inlineStr">
        <is>
          <t xml:space="preserve">합계</t>
        </is>
      </c>
      <c r="B13" s="508"/>
      <c r="C13" s="514" t="str">
        <f>IF(COUNT(INDEX($D$34:$O$38,0,MONTH($B$3)))=0,"미입력",SUM(INDEX($D$34:$O$38,0,MONTH($B$3))))</f>
        <v>미입력</v>
      </c>
      <c r="D13" s="514"/>
      <c r="E13" s="514"/>
      <c r="F13" s="514">
        <f>SUM(F8:F12)</f>
        <v>239000</v>
      </c>
      <c r="G13" s="514"/>
      <c r="H13" s="514"/>
      <c r="I13" s="514">
        <f>IF(COUNT(I8:I12)=0,"원장 없음",SUM(I8:I12))</f>
        <v>2150000</v>
      </c>
      <c r="J13" s="514"/>
      <c r="K13" s="514"/>
      <c r="L13" s="514"/>
      <c r="M13" s="514"/>
      <c r="N13" s="514"/>
      <c r="O13" s="514"/>
    </row>
    <row r="14" ht="24" customHeight="1">
      <c r="A14" s="502" t="inlineStr">
        <is>
          <t xml:space="preserve">10월 생신 사용 239,000원은 명절비 200,000원 + 임시보관 39,000원으로 이미 충당했습니다. 경조사비에서 중복 차감하지 않습니다.</t>
        </is>
      </c>
      <c r="B14" s="503" t="n"/>
      <c r="C14" s="503" t="n"/>
      <c r="D14" s="503" t="n"/>
      <c r="E14" s="503" t="n"/>
      <c r="F14" s="503" t="n"/>
      <c r="G14" s="503" t="n"/>
      <c r="H14" s="503" t="n"/>
      <c r="I14" s="503" t="n"/>
      <c r="J14" s="503" t="n"/>
      <c r="K14" s="503" t="n"/>
      <c r="L14" s="503" t="n"/>
      <c r="M14" s="503" t="n"/>
      <c r="N14" s="503" t="n"/>
      <c r="O14" s="503" t="n"/>
    </row>
    <row r="15" ht="24" customHeight="1">
      <c r="A15" s="516" t="str">
        <f>IF(COUNTIF($R$100:$R$399,"확인*")+COUNTIF($N$430:$N$729,"확인*")&gt;0,"확인할 사용등록·이체 연결이 있습니다. 아래 등록 자료를 확인하세요.",IF(MIN($I$8:$I$12)&lt;0,"사용가능액이 부족한 항목이 있습니다. 부담 항목 또는 실제 추가 적립을 확인하세요.","계획액은 잔액에서 차감하지 않습니다. 사용가능액은 같은 조회월의 잔액 탭 계정 잔액과 연결됩니다."))</f>
        <v>계획액은 잔액에서 차감하지 않습니다. 사용가능액은 같은 조회월의 잔액 탭 계정 잔액과 연결됩니다.</v>
      </c>
      <c r="B15" s="503" t="n"/>
      <c r="C15" s="503" t="n"/>
      <c r="D15" s="503" t="n"/>
      <c r="E15" s="503" t="n"/>
      <c r="F15" s="503" t="n"/>
      <c r="G15" s="503" t="n"/>
      <c r="H15" s="503" t="n"/>
      <c r="I15" s="503" t="n"/>
      <c r="J15" s="503" t="n"/>
      <c r="K15" s="503" t="n"/>
      <c r="L15" s="503" t="n"/>
      <c r="M15" s="503" t="n"/>
      <c r="N15" s="503" t="n"/>
      <c r="O15" s="503" t="n"/>
    </row>
    <row r="16" ht="24" customHeight="1">
      <c r="A16" s="502" t="str">
        <f>HYPERLINK("#'"&amp;MONTH($B$3)&amp;"월'!K46","선택월 월간 내역 열기 ↗")</f>
        <v>선택월 월간 내역 열기 ↗</v>
      </c>
      <c r="B16" s="503" t="n"/>
      <c r="C16" s="503" t="n"/>
      <c r="D16" s="503" t="n"/>
      <c r="E16" s="503" t="n"/>
      <c r="F16" s="503" t="n"/>
      <c r="G16" s="503" t="n"/>
      <c r="H16" s="503" t="n"/>
      <c r="I16" s="502" t="str">
        <f>HYPERLINK("#'예비비'!A98","사용·정산 등록 자료 펼치기 ↓")</f>
        <v>사용·정산 등록 자료 펼치기 ↓</v>
      </c>
      <c r="J16" s="503" t="n"/>
      <c r="K16" s="503" t="n"/>
      <c r="L16" s="503" t="n"/>
      <c r="M16" s="503" t="n"/>
      <c r="N16" s="503" t="n"/>
      <c r="O16" s="503" t="n"/>
    </row>
    <row r="17" ht="24" customHeight="1">
      <c r="A17" s="506" t="n"/>
      <c r="B17" s="506" t="n"/>
      <c r="C17" s="506" t="n"/>
      <c r="D17" s="506" t="n"/>
      <c r="E17" s="506" t="n"/>
      <c r="F17" s="506" t="n"/>
      <c r="G17" s="506" t="n"/>
      <c r="H17" s="506" t="n"/>
      <c r="I17" s="506" t="n"/>
      <c r="J17" s="506" t="n"/>
      <c r="K17" s="506" t="n"/>
      <c r="L17" s="506" t="n"/>
      <c r="M17" s="506" t="n"/>
      <c r="N17" s="506" t="n"/>
      <c r="O17" s="506" t="n"/>
    </row>
    <row r="18" ht="24" customHeight="1">
      <c r="A18" s="499" t="inlineStr">
        <is>
          <t xml:space="preserve">2-1  적립계획 | 목적별 월 적립액 · 노란 칸 입력</t>
        </is>
      </c>
      <c r="B18" s="500" t="n"/>
      <c r="C18" s="500" t="n"/>
      <c r="D18" s="500" t="n"/>
      <c r="E18" s="500" t="n"/>
      <c r="F18" s="500" t="n"/>
      <c r="G18" s="500" t="n"/>
      <c r="H18" s="500" t="n"/>
      <c r="I18" s="500" t="n"/>
      <c r="J18" s="500" t="n"/>
      <c r="K18" s="500" t="n"/>
      <c r="L18" s="500" t="n"/>
      <c r="M18" s="500" t="n"/>
      <c r="N18" s="500" t="n"/>
      <c r="O18" s="500" t="n"/>
    </row>
    <row r="19" ht="30" customHeight="1">
      <c r="A19" s="507" t="inlineStr">
        <is>
          <t>분류</t>
        </is>
      </c>
      <c r="B19" s="507" t="inlineStr">
        <is>
          <t>목적</t>
        </is>
      </c>
      <c r="C19" s="507" t="inlineStr">
        <is>
          <t>예정일</t>
        </is>
      </c>
      <c r="D19" s="517" t="n">
        <v>46023</v>
      </c>
      <c r="E19" s="517" t="n">
        <v>46054</v>
      </c>
      <c r="F19" s="517" t="n">
        <v>46082</v>
      </c>
      <c r="G19" s="517" t="n">
        <v>46113</v>
      </c>
      <c r="H19" s="517" t="n">
        <v>46143</v>
      </c>
      <c r="I19" s="517" t="n">
        <v>46174</v>
      </c>
      <c r="J19" s="517" t="n">
        <v>46204</v>
      </c>
      <c r="K19" s="517" t="n">
        <v>46235</v>
      </c>
      <c r="L19" s="517" t="n">
        <v>46266</v>
      </c>
      <c r="M19" s="517" t="n">
        <v>46296</v>
      </c>
      <c r="N19" s="517" t="n">
        <v>46327</v>
      </c>
      <c r="O19" s="517" t="n">
        <v>46357</v>
      </c>
    </row>
    <row r="20" ht="24" customHeight="1">
      <c r="A20" s="518" t="inlineStr">
        <is>
          <t>경조사비</t>
        </is>
      </c>
      <c r="B20" s="518" t="inlineStr">
        <is>
          <t>부모 생일 ①</t>
        </is>
      </c>
      <c r="C20" s="518" t="inlineStr">
        <is>
          <t>10/9</t>
        </is>
      </c>
      <c r="D20" s="519" t="n">
        <v>0</v>
      </c>
      <c r="E20" s="519" t="n">
        <v>0</v>
      </c>
      <c r="F20" s="519" t="n">
        <v>0</v>
      </c>
      <c r="G20" s="519" t="n">
        <v>0</v>
      </c>
      <c r="H20" s="519" t="n">
        <v>0</v>
      </c>
      <c r="I20" s="519" t="n">
        <v>50000</v>
      </c>
      <c r="J20" s="519" t="n">
        <v>50000</v>
      </c>
      <c r="K20" s="519" t="n">
        <v>50000</v>
      </c>
      <c r="L20" s="519" t="n">
        <v>50000</v>
      </c>
      <c r="M20" s="519" t="n">
        <v>0</v>
      </c>
      <c r="N20" s="519" t="n">
        <v>0</v>
      </c>
      <c r="O20" s="519" t="n">
        <v>0</v>
      </c>
    </row>
    <row r="21" ht="24" customHeight="1">
      <c r="A21" s="518" t="inlineStr">
        <is>
          <t>경조사비</t>
        </is>
      </c>
      <c r="B21" s="518" t="inlineStr">
        <is>
          <t>엄마 생일</t>
        </is>
      </c>
      <c r="C21" s="518" t="inlineStr">
        <is>
          <t>11/20</t>
        </is>
      </c>
      <c r="D21" s="519" t="n">
        <v>0</v>
      </c>
      <c r="E21" s="519" t="n">
        <v>0</v>
      </c>
      <c r="F21" s="519" t="n">
        <v>0</v>
      </c>
      <c r="G21" s="519" t="n">
        <v>0</v>
      </c>
      <c r="H21" s="519" t="n">
        <v>50000</v>
      </c>
      <c r="I21" s="519" t="n">
        <v>0</v>
      </c>
      <c r="J21" s="519" t="n">
        <v>0</v>
      </c>
      <c r="K21" s="519" t="n">
        <v>0</v>
      </c>
      <c r="L21" s="519" t="n">
        <v>0</v>
      </c>
      <c r="M21" s="519" t="n">
        <v>50000</v>
      </c>
      <c r="N21" s="519" t="n">
        <v>0</v>
      </c>
      <c r="O21" s="519" t="n">
        <v>0</v>
      </c>
    </row>
    <row r="22" ht="24" customHeight="1">
      <c r="A22" s="518" t="inlineStr">
        <is>
          <t>경조사비</t>
        </is>
      </c>
      <c r="B22" s="518" t="inlineStr">
        <is>
          <t>여동생 생일</t>
        </is>
      </c>
      <c r="C22" s="518" t="inlineStr">
        <is>
          <t>1/23</t>
        </is>
      </c>
      <c r="D22" s="519" t="n">
        <v>0</v>
      </c>
      <c r="E22" s="519" t="n">
        <v>0</v>
      </c>
      <c r="F22" s="519" t="n">
        <v>0</v>
      </c>
      <c r="G22" s="519" t="n">
        <v>0</v>
      </c>
      <c r="H22" s="519" t="n">
        <v>0</v>
      </c>
      <c r="I22" s="519" t="n">
        <v>0</v>
      </c>
      <c r="J22" s="519" t="n">
        <v>0</v>
      </c>
      <c r="K22" s="519" t="n">
        <v>0</v>
      </c>
      <c r="L22" s="519" t="n">
        <v>0</v>
      </c>
      <c r="M22" s="519" t="n">
        <v>0</v>
      </c>
      <c r="N22" s="519" t="n">
        <v>0</v>
      </c>
      <c r="O22" s="519" t="n">
        <v>0</v>
      </c>
    </row>
    <row r="23" ht="24" customHeight="1">
      <c r="A23" s="518" t="inlineStr">
        <is>
          <t>경조사비</t>
        </is>
      </c>
      <c r="B23" s="518" t="inlineStr">
        <is>
          <t>막내 생일</t>
        </is>
      </c>
      <c r="C23" s="518" t="inlineStr">
        <is>
          <t>9/15</t>
        </is>
      </c>
      <c r="D23" s="519" t="n">
        <v>0</v>
      </c>
      <c r="E23" s="519" t="n">
        <v>0</v>
      </c>
      <c r="F23" s="519" t="n">
        <v>0</v>
      </c>
      <c r="G23" s="519" t="n">
        <v>0</v>
      </c>
      <c r="H23" s="519" t="n">
        <v>0</v>
      </c>
      <c r="I23" s="519" t="n">
        <v>0</v>
      </c>
      <c r="J23" s="519" t="n">
        <v>0</v>
      </c>
      <c r="K23" s="519" t="n">
        <v>50000</v>
      </c>
      <c r="L23" s="519" t="n">
        <v>0</v>
      </c>
      <c r="M23" s="519" t="n">
        <v>0</v>
      </c>
      <c r="N23" s="519" t="n">
        <v>0</v>
      </c>
      <c r="O23" s="519" t="n">
        <v>0</v>
      </c>
    </row>
    <row r="24" ht="24" customHeight="1">
      <c r="A24" s="518" t="inlineStr">
        <is>
          <t>명절비</t>
        </is>
      </c>
      <c r="B24" s="518" t="inlineStr">
        <is>
          <t>본가 방문·명절</t>
        </is>
      </c>
      <c r="C24" s="518" t="inlineStr">
        <is>
          <t>설날·어버이날·추석</t>
        </is>
      </c>
      <c r="D24" s="519" t="n">
        <v>50000</v>
      </c>
      <c r="E24" s="519" t="n">
        <v>50000</v>
      </c>
      <c r="F24" s="519" t="n">
        <v>50000</v>
      </c>
      <c r="G24" s="519" t="n">
        <v>100000</v>
      </c>
      <c r="H24" s="519" t="n">
        <v>50000</v>
      </c>
      <c r="I24" s="519" t="n">
        <v>50000</v>
      </c>
      <c r="J24" s="519" t="n">
        <v>100000</v>
      </c>
      <c r="K24" s="519" t="n">
        <v>100000</v>
      </c>
      <c r="L24" s="519" t="n">
        <v>0</v>
      </c>
      <c r="M24" s="519" t="n">
        <v>0</v>
      </c>
      <c r="N24" s="519" t="n">
        <v>0</v>
      </c>
      <c r="O24" s="519" t="n">
        <v>0</v>
      </c>
    </row>
    <row r="25" ht="24" customHeight="1">
      <c r="A25" s="518" t="inlineStr">
        <is>
          <t>여행비</t>
        </is>
      </c>
      <c r="B25" s="518" t="inlineStr">
        <is>
          <t>여행</t>
        </is>
      </c>
      <c r="C25" s="518" t="inlineStr">
        <is>
          <t>필요시</t>
        </is>
      </c>
      <c r="D25" s="519" t="n">
        <v>50000</v>
      </c>
      <c r="E25" s="519" t="n">
        <v>150000</v>
      </c>
      <c r="F25" s="519" t="n">
        <v>100000</v>
      </c>
      <c r="G25" s="519" t="n">
        <v>100000</v>
      </c>
      <c r="H25" s="519" t="n">
        <v>100000</v>
      </c>
      <c r="I25" s="519" t="n">
        <v>100000</v>
      </c>
      <c r="J25" s="519" t="n">
        <v>0</v>
      </c>
      <c r="K25" s="519" t="n">
        <v>0</v>
      </c>
      <c r="L25" s="519" t="n">
        <v>100000</v>
      </c>
      <c r="M25" s="519" t="n">
        <v>100000</v>
      </c>
      <c r="N25" s="519" t="n">
        <v>100000</v>
      </c>
      <c r="O25" s="519" t="n">
        <v>0</v>
      </c>
    </row>
    <row r="26" ht="24" customHeight="1">
      <c r="A26" s="518" t="inlineStr">
        <is>
          <t>경조사비</t>
        </is>
      </c>
      <c r="B26" s="518" t="inlineStr">
        <is>
          <t>축의금</t>
        </is>
      </c>
      <c r="C26" s="518" t="inlineStr">
        <is>
          <t>필요시</t>
        </is>
      </c>
      <c r="D26" s="519" t="n">
        <v>0</v>
      </c>
      <c r="E26" s="519" t="n">
        <v>0</v>
      </c>
      <c r="F26" s="519" t="n">
        <v>0</v>
      </c>
      <c r="G26" s="519" t="n">
        <v>0</v>
      </c>
      <c r="H26" s="519" t="n">
        <v>50000</v>
      </c>
      <c r="I26" s="519" t="n">
        <v>0</v>
      </c>
      <c r="J26" s="519" t="n">
        <v>0</v>
      </c>
      <c r="K26" s="519" t="n">
        <v>0</v>
      </c>
      <c r="L26" s="519" t="n">
        <v>50000</v>
      </c>
      <c r="M26" s="519" t="n">
        <v>0</v>
      </c>
      <c r="N26" s="519" t="n">
        <v>100000</v>
      </c>
      <c r="O26" s="519" t="n">
        <v>200000</v>
      </c>
    </row>
    <row r="27" ht="24" customHeight="1">
      <c r="A27" s="518" t="inlineStr">
        <is>
          <t>상환비</t>
        </is>
      </c>
      <c r="B27" s="518" t="inlineStr">
        <is>
          <t>의무상환(한국장학재단)</t>
        </is>
      </c>
      <c r="C27" s="518" t="inlineStr">
        <is>
          <t>4/25 · 11/25</t>
        </is>
      </c>
      <c r="D27" s="519" t="n">
        <v>100000</v>
      </c>
      <c r="E27" s="519" t="n">
        <v>100000</v>
      </c>
      <c r="F27" s="519" t="n">
        <v>50000</v>
      </c>
      <c r="G27" s="519" t="n">
        <v>0</v>
      </c>
      <c r="H27" s="519" t="n">
        <v>0</v>
      </c>
      <c r="I27" s="519" t="n">
        <v>0</v>
      </c>
      <c r="J27" s="519" t="n">
        <v>100000</v>
      </c>
      <c r="K27" s="519" t="n">
        <v>100000</v>
      </c>
      <c r="L27" s="519" t="n">
        <v>100000</v>
      </c>
      <c r="M27" s="519" t="n">
        <v>50000</v>
      </c>
      <c r="N27" s="519" t="n">
        <v>0</v>
      </c>
      <c r="O27" s="519" t="n">
        <v>0</v>
      </c>
    </row>
    <row r="28" ht="24" customHeight="1">
      <c r="A28" s="518" t="inlineStr">
        <is>
          <t>예비비</t>
        </is>
      </c>
      <c r="B28" s="518" t="inlineStr">
        <is>
          <t>추가소비(휴가비지원)</t>
        </is>
      </c>
      <c r="C28" s="518" t="inlineStr">
        <is>
          <t>필요시</t>
        </is>
      </c>
      <c r="D28" s="519" t="n">
        <v>100000</v>
      </c>
      <c r="E28" s="519" t="n">
        <v>0</v>
      </c>
      <c r="F28" s="519" t="n">
        <v>0</v>
      </c>
      <c r="G28" s="519" t="n">
        <v>0</v>
      </c>
      <c r="H28" s="519" t="n">
        <v>0</v>
      </c>
      <c r="I28" s="519" t="n">
        <v>0</v>
      </c>
      <c r="J28" s="519" t="n">
        <v>0</v>
      </c>
      <c r="K28" s="519" t="n">
        <v>0</v>
      </c>
      <c r="L28" s="519" t="n">
        <v>0</v>
      </c>
      <c r="M28" s="519" t="n">
        <v>0</v>
      </c>
      <c r="N28" s="519" t="n">
        <v>0</v>
      </c>
      <c r="O28" s="519" t="n">
        <v>0</v>
      </c>
    </row>
    <row r="29" ht="24" customHeight="1">
      <c r="A29" s="518" t="inlineStr">
        <is>
          <t>계획 합계</t>
        </is>
      </c>
      <c r="B29" s="520" t="n"/>
      <c r="C29" s="520" t="n"/>
      <c r="D29" s="521">
        <f>SUM(D20:D28)</f>
        <v>300000</v>
      </c>
      <c r="E29" s="521">
        <f>SUM(E20:E28)</f>
        <v>300000</v>
      </c>
      <c r="F29" s="521">
        <f>SUM(F20:F28)</f>
        <v>200000</v>
      </c>
      <c r="G29" s="521">
        <f>SUM(G20:G28)</f>
        <v>200000</v>
      </c>
      <c r="H29" s="521">
        <f>SUM(H20:H28)</f>
        <v>250000</v>
      </c>
      <c r="I29" s="521">
        <f>SUM(I20:I28)</f>
        <v>200000</v>
      </c>
      <c r="J29" s="521">
        <f>SUM(J20:J28)</f>
        <v>250000</v>
      </c>
      <c r="K29" s="521">
        <f>SUM(K20:K28)</f>
        <v>300000</v>
      </c>
      <c r="L29" s="521">
        <f>SUM(L20:L28)</f>
        <v>300000</v>
      </c>
      <c r="M29" s="521">
        <f>SUM(M20:M28)</f>
        <v>200000</v>
      </c>
      <c r="N29" s="521">
        <f>SUM(N20:N28)</f>
        <v>200000</v>
      </c>
      <c r="O29" s="521">
        <f>SUM(O20:O28)</f>
        <v>200000</v>
      </c>
    </row>
    <row r="30" ht="24" customHeight="1">
      <c r="A30" s="502" t="inlineStr">
        <is>
          <t>계획은 잔액을 늘리지 않습니다. 실제 적립은 잔액 원장에서 자동 반영합니다. 2025.12·2027.1 기존 계획은 계산 자료에 보존했습니다.</t>
        </is>
      </c>
      <c r="B30" s="503" t="n"/>
      <c r="C30" s="503" t="n"/>
      <c r="D30" s="503" t="n"/>
      <c r="E30" s="503" t="n"/>
      <c r="F30" s="503" t="n"/>
      <c r="G30" s="503" t="n"/>
      <c r="H30" s="503" t="n"/>
      <c r="I30" s="503" t="n"/>
      <c r="J30" s="503" t="n"/>
      <c r="K30" s="503" t="n"/>
      <c r="L30" s="503" t="n"/>
      <c r="M30" s="503" t="n"/>
      <c r="N30" s="503" t="n"/>
      <c r="O30" s="503" t="n"/>
    </row>
    <row r="31" ht="24" customHeight="1">
      <c r="A31" s="506" t="n"/>
      <c r="B31" s="506" t="n"/>
      <c r="C31" s="506" t="n"/>
      <c r="D31" s="506" t="n"/>
      <c r="E31" s="506" t="n"/>
      <c r="F31" s="506" t="n"/>
      <c r="G31" s="506" t="n"/>
      <c r="H31" s="506" t="n"/>
      <c r="I31" s="506" t="n"/>
      <c r="J31" s="506" t="n"/>
      <c r="K31" s="506" t="n"/>
      <c r="L31" s="506" t="n"/>
      <c r="M31" s="506" t="n"/>
      <c r="N31" s="506" t="n"/>
      <c r="O31" s="506" t="n"/>
    </row>
    <row r="32" ht="30" customHeight="1">
      <c r="A32" s="499" t="inlineStr">
        <is>
          <t xml:space="preserve">2-2  사용계획 | 이번 달 쓸 예정인 금액 · 비워두면 미입력</t>
        </is>
      </c>
      <c r="B32" s="499"/>
      <c r="C32" s="499"/>
      <c r="D32" s="499"/>
      <c r="E32" s="499"/>
      <c r="F32" s="499"/>
      <c r="G32" s="499"/>
      <c r="H32" s="499"/>
      <c r="I32" s="499"/>
      <c r="J32" s="499"/>
      <c r="K32" s="499"/>
      <c r="L32" s="499"/>
      <c r="M32" s="499"/>
      <c r="N32" s="499"/>
      <c r="O32" s="499"/>
    </row>
    <row r="33" ht="30" customHeight="1">
      <c r="A33" s="507" t="inlineStr">
        <is>
          <t xml:space="preserve">예비비 항목</t>
        </is>
      </c>
      <c r="B33" s="507"/>
      <c r="C33" s="507"/>
      <c r="D33" s="517">
        <v>46023.0</v>
      </c>
      <c r="E33" s="517">
        <v>46054.0</v>
      </c>
      <c r="F33" s="517">
        <v>46082.0</v>
      </c>
      <c r="G33" s="517">
        <v>46113.0</v>
      </c>
      <c r="H33" s="517">
        <v>46143.0</v>
      </c>
      <c r="I33" s="517">
        <v>46174.0</v>
      </c>
      <c r="J33" s="517">
        <v>46204.0</v>
      </c>
      <c r="K33" s="517">
        <v>46235.0</v>
      </c>
      <c r="L33" s="517">
        <v>46266.0</v>
      </c>
      <c r="M33" s="517">
        <v>46296.0</v>
      </c>
      <c r="N33" s="517">
        <v>46327.0</v>
      </c>
      <c r="O33" s="517">
        <v>46357.0</v>
      </c>
    </row>
    <row r="34" ht="25" customHeight="1">
      <c r="A34" s="518" t="inlineStr">
        <is>
          <t xml:space="preserve">명절비</t>
        </is>
      </c>
      <c r="B34" s="518"/>
      <c r="C34" s="518"/>
      <c r="D34" s="519"/>
      <c r="E34" s="519"/>
      <c r="F34" s="519"/>
      <c r="G34" s="519"/>
      <c r="H34" s="519"/>
      <c r="I34" s="519"/>
      <c r="J34" s="519"/>
      <c r="K34" s="519"/>
      <c r="L34" s="519"/>
      <c r="M34" s="519"/>
      <c r="N34" s="519"/>
      <c r="O34" s="519"/>
    </row>
    <row r="35" ht="25" customHeight="1">
      <c r="A35" s="518" t="inlineStr">
        <is>
          <t xml:space="preserve">여행비</t>
        </is>
      </c>
      <c r="B35" s="518"/>
      <c r="C35" s="518"/>
      <c r="D35" s="519"/>
      <c r="E35" s="519"/>
      <c r="F35" s="519"/>
      <c r="G35" s="519"/>
      <c r="H35" s="519"/>
      <c r="I35" s="519"/>
      <c r="J35" s="519"/>
      <c r="K35" s="519"/>
      <c r="L35" s="519"/>
      <c r="M35" s="519"/>
      <c r="N35" s="519"/>
      <c r="O35" s="519"/>
    </row>
    <row r="36" ht="25" customHeight="1">
      <c r="A36" s="518" t="inlineStr">
        <is>
          <t xml:space="preserve">경조사비</t>
        </is>
      </c>
      <c r="B36" s="518"/>
      <c r="C36" s="518"/>
      <c r="D36" s="519"/>
      <c r="E36" s="519"/>
      <c r="F36" s="519"/>
      <c r="G36" s="519"/>
      <c r="H36" s="519"/>
      <c r="I36" s="519"/>
      <c r="J36" s="519"/>
      <c r="K36" s="519"/>
      <c r="L36" s="519"/>
      <c r="M36" s="519"/>
      <c r="N36" s="519"/>
      <c r="O36" s="519"/>
    </row>
    <row r="37" ht="25" customHeight="1">
      <c r="A37" s="518" t="inlineStr">
        <is>
          <t xml:space="preserve">상환비</t>
        </is>
      </c>
      <c r="B37" s="518"/>
      <c r="C37" s="518"/>
      <c r="D37" s="519"/>
      <c r="E37" s="519"/>
      <c r="F37" s="519"/>
      <c r="G37" s="519"/>
      <c r="H37" s="519"/>
      <c r="I37" s="519"/>
      <c r="J37" s="519"/>
      <c r="K37" s="519"/>
      <c r="L37" s="519"/>
      <c r="M37" s="519"/>
      <c r="N37" s="519"/>
      <c r="O37" s="519"/>
    </row>
    <row r="38" ht="25" customHeight="1">
      <c r="A38" s="518" t="inlineStr">
        <is>
          <t xml:space="preserve">예비비</t>
        </is>
      </c>
      <c r="B38" s="518"/>
      <c r="C38" s="518"/>
      <c r="D38" s="519"/>
      <c r="E38" s="519"/>
      <c r="F38" s="519"/>
      <c r="G38" s="519"/>
      <c r="H38" s="519"/>
      <c r="I38" s="519"/>
      <c r="J38" s="519"/>
      <c r="K38" s="519"/>
      <c r="L38" s="519"/>
      <c r="M38" s="519"/>
      <c r="N38" s="519"/>
      <c r="O38" s="519"/>
    </row>
    <row r="39" ht="25" customHeight="1">
      <c r="A39" s="518" t="inlineStr">
        <is>
          <t xml:space="preserve">사용계획 합계</t>
        </is>
      </c>
      <c r="B39" s="518"/>
      <c r="C39" s="518"/>
      <c r="D39" s="521">
        <f>IF(COUNT(D34:D38)=0,"",SUM(D34:D38))</f>
      </c>
      <c r="E39" s="521">
        <f>IF(COUNT(E34:E38)=0,"",SUM(E34:E38))</f>
      </c>
      <c r="F39" s="521">
        <f>IF(COUNT(F34:F38)=0,"",SUM(F34:F38))</f>
      </c>
      <c r="G39" s="521">
        <f>IF(COUNT(G34:G38)=0,"",SUM(G34:G38))</f>
      </c>
      <c r="H39" s="521">
        <f>IF(COUNT(H34:H38)=0,"",SUM(H34:H38))</f>
      </c>
      <c r="I39" s="521">
        <f>IF(COUNT(I34:I38)=0,"",SUM(I34:I38))</f>
      </c>
      <c r="J39" s="521">
        <f>IF(COUNT(J34:J38)=0,"",SUM(J34:J38))</f>
      </c>
      <c r="K39" s="521">
        <f>IF(COUNT(K34:K38)=0,"",SUM(K34:K38))</f>
      </c>
      <c r="L39" s="521">
        <f>IF(COUNT(L34:L38)=0,"",SUM(L34:L38))</f>
      </c>
      <c r="M39" s="521">
        <f>IF(COUNT(M34:M38)=0,"",SUM(M34:M38))</f>
      </c>
      <c r="N39" s="521">
        <f>IF(COUNT(N34:N38)=0,"",SUM(N34:N38))</f>
      </c>
      <c r="O39" s="521">
        <f>IF(COUNT(O34:O38)=0,"",SUM(O34:O38))</f>
      </c>
    </row>
    <row r="40" ht="36" customHeight="1">
      <c r="A40" s="502" t="inlineStr">
        <is>
          <t xml:space="preserve">사용계획은 참고용입니다. 비워두면 미입력, 0을 입력하면 사용계획 없음입니다. 실제 사용·잔액에는 영향을 주지 않습니다.</t>
        </is>
      </c>
      <c r="B40" s="502"/>
      <c r="C40" s="502"/>
      <c r="D40" s="502"/>
      <c r="E40" s="502"/>
      <c r="F40" s="502"/>
      <c r="G40" s="502"/>
      <c r="H40" s="502"/>
      <c r="I40" s="502"/>
      <c r="J40" s="502"/>
      <c r="K40" s="502"/>
      <c r="L40" s="502"/>
      <c r="M40" s="502"/>
      <c r="N40" s="502"/>
      <c r="O40" s="502"/>
    </row>
    <row r="42" ht="24" customHeight="1">
      <c r="A42" s="499" t="inlineStr">
        <is>
          <t xml:space="preserve">3  이체 내역 | 사용과 실제 자금 이동을 함께 확인</t>
        </is>
      </c>
      <c r="B42" s="500" t="n"/>
      <c r="C42" s="500" t="n"/>
      <c r="D42" s="500" t="n"/>
      <c r="E42" s="500" t="n"/>
      <c r="F42" s="500" t="n"/>
      <c r="G42" s="500" t="n"/>
      <c r="H42" s="500" t="n"/>
      <c r="I42" s="500" t="n"/>
      <c r="J42" s="500" t="n"/>
      <c r="K42" s="500" t="n"/>
      <c r="L42" s="500" t="n"/>
      <c r="M42" s="500" t="n"/>
      <c r="N42" s="500" t="n"/>
      <c r="O42" s="500" t="n"/>
    </row>
    <row r="43" ht="36" customHeight="1">
      <c r="A43" s="504" t="inlineStr">
        <is>
          <t>표시</t>
        </is>
      </c>
      <c r="B43" s="522" t="inlineStr">
        <is>
          <t>조회월</t>
        </is>
      </c>
      <c r="C43" s="506" t="n"/>
      <c r="D43" s="502" t="str">
        <f>"확보된 결제대금비: "&amp;IF(ISNUMBER(IF($B$3&lt;DATE(2026,3,1),"원장 없음",SUMIFS(잔액!$Y$64:$Y$500,잔액!$D$64:$D$500,"결제대금비",잔액!$A$64:$A$500,"&lt;"&amp;EDATE($B$3,1))-SUMIFS(잔액!$Y$64:$Y$500,잔액!$C$64:$C$500,"결제대금비",잔액!$A$64:$A$500,"&lt;"&amp;EDATE($B$3,1))+IFERROR(INDEX('_예비비계산'!$BI$81:$BU$86,MATCH("결제대금비",'_예비비계산'!$BH$81:$BH$86,0),MONTH($B$3)+1),0))),TEXT(IF($B$3&lt;DATE(2026,3,1),"원장 없음",SUMIFS(잔액!$Y$64:$Y$500,잔액!$D$64:$D$500,"결제대금비",잔액!$A$64:$A$500,"&lt;"&amp;EDATE($B$3,1))-SUMIFS(잔액!$Y$64:$Y$500,잔액!$C$64:$C$500,"결제대금비",잔액!$A$64:$A$500,"&lt;"&amp;EDATE($B$3,1))+IFERROR(INDEX('_예비비계산'!$BI$81:$BU$86,MATCH("결제대금비",'_예비비계산'!$BH$81:$BH$86,0),MONTH($B$3)+1),0)),"#,##0")&amp;"원","원장 없음")&amp;" · 카드대금 출금은 새 사용이 아닙니다."</f>
        <v>확보된 결제대금비: 0원 · 카드대금 출금은 새 사용이 아닙니다.</v>
      </c>
      <c r="E43" s="503" t="n"/>
      <c r="F43" s="503" t="n"/>
      <c r="G43" s="503" t="n"/>
      <c r="H43" s="503" t="n"/>
      <c r="I43" s="503" t="n"/>
      <c r="J43" s="503" t="n"/>
      <c r="K43" s="503" t="n"/>
      <c r="L43" s="503" t="n"/>
      <c r="M43" s="503" t="n"/>
      <c r="N43" s="503" t="n"/>
      <c r="O43" s="503" t="n"/>
    </row>
    <row r="44" ht="24" customHeight="1">
      <c r="A44" s="504" t="inlineStr">
        <is>
          <t>사용 페이지</t>
        </is>
      </c>
      <c r="B44" s="523" t="n">
        <v>1</v>
      </c>
      <c r="C44" s="506" t="n"/>
      <c r="D44" s="502" t="str">
        <f>COUNTIF($X$100:$X$399,1)&amp;"건 · 표시 페이지 "&amp;AC44&amp;" / "&amp;MAX(1,ROUNDUP(COUNTIF($X$100:$X$399,1)/12,0))</f>
        <v>1건 · 표시 페이지 1 / 1</v>
      </c>
      <c r="E44" s="503" t="n"/>
      <c r="F44" s="503" t="n"/>
      <c r="G44" s="503" t="n"/>
      <c r="H44" s="503" t="n"/>
      <c r="I44" s="503" t="n"/>
      <c r="J44" s="503" t="n"/>
      <c r="K44" s="503" t="n"/>
      <c r="L44" s="503" t="n"/>
      <c r="M44" s="503" t="n"/>
      <c r="N44" s="503" t="n"/>
      <c r="O44" s="503" t="n"/>
      <c r="AC44" s="504">
        <f>MIN(MAX(1,B44),MAX(1,ROUNDUP(COUNTIF($X$100:$X$399,1)/12,0)))</f>
        <v>1</v>
      </c>
    </row>
    <row r="45" ht="36" customHeight="1">
      <c r="A45" s="507" t="inlineStr">
        <is>
          <t>사용일/월</t>
        </is>
      </c>
      <c r="B45" s="507" t="inlineStr">
        <is>
          <t>사용 내용</t>
        </is>
      </c>
      <c r="C45" s="507" t="n"/>
      <c r="D45" s="507" t="inlineStr">
        <is>
          <t>항목</t>
        </is>
      </c>
      <c r="E45" s="507" t="inlineStr">
        <is>
          <t>사용액</t>
        </is>
      </c>
      <c r="F45" s="507" t="inlineStr">
        <is>
          <t>당월 정산</t>
        </is>
      </c>
      <c r="G45" s="507" t="inlineStr">
        <is>
          <t>누적 정산</t>
        </is>
      </c>
      <c r="H45" s="507" t="inlineStr">
        <is>
          <t xml:space="preserve">아직 옮길 돈</t>
        </is>
      </c>
      <c r="I45" s="507" t="inlineStr">
        <is>
          <t>상태</t>
        </is>
      </c>
      <c r="J45" s="507" t="n"/>
      <c r="K45" s="507" t="inlineStr">
        <is>
          <t>연결</t>
        </is>
      </c>
      <c r="L45" s="507" t="n"/>
      <c r="M45" s="507" t="inlineStr">
        <is>
          <t>원본·등록</t>
        </is>
      </c>
      <c r="N45" s="507" t="n"/>
      <c r="O45" s="507" t="n"/>
    </row>
    <row r="46" ht="24" customHeight="1">
      <c r="A46" s="518" t="str">
        <f>IF($AB46=0,"",IF(INDEX($G$100:$G$399,$AB46)="월기록",TEXT(INDEX($D$100:$D$399,$AB46),"yyyy-mm"),TEXT(INDEX($D$100:$D$399,$AB46),"m/d")))</f>
        <v>2026-10</v>
      </c>
      <c r="B46" s="518" t="str">
        <f>IF($AB46=0,"",INDEX($B$100:$B$399,$AB46))</f>
        <v>부모 생신 본인 부담</v>
      </c>
      <c r="C46" s="511" t="n"/>
      <c r="D46" s="518" t="str">
        <f>IF($AB46=0,"",INDEX($C$100:$C$399,$AB46))</f>
        <v>경조사비</v>
      </c>
      <c r="E46" s="521">
        <f>IF($AB46=0,"",INDEX($E$100:$E$399,$AB46))</f>
        <v>239000</v>
      </c>
      <c r="F46" s="521">
        <f>IF($AB46=0,"",INDEX($Z$100:$Z$399,$AB46))</f>
        <v>0</v>
      </c>
      <c r="G46" s="521">
        <f>IF($AB46=0,"",INDEX($T$100:$T$399,$AB46))</f>
        <v>239000</v>
      </c>
      <c r="H46" s="521">
        <f>IF($AB46=0,"",INDEX($U$100:$U$399,$AB46))</f>
        <v>0</v>
      </c>
      <c r="I46" s="518" t="str">
        <f>IF($AB46=0,"",IF($B$3&lt;DATE(2026,3,1),"정산일 미기록",IF(INDEX($D$100:$D$399,$AB46)&gt;=EDATE($B$3,1),"선이체",IF(INDEX($U$100:$U$399,$AB46)=0,"정산완료",IF(INDEX($T$100:$T$399,$AB46)&gt;0,"부분정산","미정산")))))</f>
        <v>정산완료</v>
      </c>
      <c r="J46" s="511" t="n"/>
      <c r="K46" s="518" t="str">
        <f>IF($AB46=0,"",COUNTIFS($B$430:$B$729,INDEX($A$100:$A$399,$AB46),$N$430:$N$729,"OK",$E$430:$E$729,"&lt;"&amp;EDATE($B$3,1))&amp;"건")</f>
        <v>2건</v>
      </c>
      <c r="L46" s="511" t="n"/>
      <c r="M46" s="518" t="str">
        <f>IF($AB46=0,"",HYPERLINK("#'예비비'!A98","등록 "&amp;($AB46+99)&amp;"행 확인"))</f>
        <v>등록 107행 확인</v>
      </c>
      <c r="N46" s="511" t="n"/>
      <c r="O46" s="511" t="n"/>
      <c r="AB46" s="504">
        <f>IFERROR(MATCH(($AC$44-1)*12+1,$Y$100:$Y$399,0),0)</f>
        <v>8</v>
      </c>
    </row>
    <row r="47" ht="24" customHeight="1">
      <c r="A47" s="518">
        <f>IF($AB47=0,"",IF(INDEX($G$100:$G$399,$AB47)="월기록",TEXT(INDEX($D$100:$D$399,$AB47),"yyyy-mm"),TEXT(INDEX($D$100:$D$399,$AB47),"m/d")))</f>
      </c>
      <c r="B47" s="518">
        <f>IF($AB47=0,"",INDEX($B$100:$B$399,$AB47))</f>
      </c>
      <c r="C47" s="511" t="n"/>
      <c r="D47" s="518">
        <f>IF($AB47=0,"",INDEX($C$100:$C$399,$AB47))</f>
      </c>
      <c r="E47" s="521">
        <f>IF($AB47=0,"",INDEX($E$100:$E$399,$AB47))</f>
      </c>
      <c r="F47" s="521">
        <f>IF($AB47=0,"",INDEX($Z$100:$Z$399,$AB47))</f>
      </c>
      <c r="G47" s="521">
        <f>IF($AB47=0,"",INDEX($T$100:$T$399,$AB47))</f>
      </c>
      <c r="H47" s="521">
        <f>IF($AB47=0,"",INDEX($U$100:$U$399,$AB47))</f>
      </c>
      <c r="I47" s="518">
        <f>IF($AB47=0,"",IF($B$3&lt;DATE(2026,3,1),"정산일 미기록",IF(INDEX($D$100:$D$399,$AB47)&gt;=EDATE($B$3,1),"선이체",IF(INDEX($U$100:$U$399,$AB47)=0,"정산완료",IF(INDEX($T$100:$T$399,$AB47)&gt;0,"부분정산","미정산")))))</f>
      </c>
      <c r="J47" s="511" t="n"/>
      <c r="K47" s="518">
        <f>IF($AB47=0,"",COUNTIFS($B$430:$B$729,INDEX($A$100:$A$399,$AB47),$N$430:$N$729,"OK",$E$430:$E$729,"&lt;"&amp;EDATE($B$3,1))&amp;"건")</f>
      </c>
      <c r="L47" s="511" t="n"/>
      <c r="M47" s="518">
        <f>IF($AB47=0,"",HYPERLINK("#'예비비'!A98","등록 "&amp;($AB47+99)&amp;"행 확인"))</f>
      </c>
      <c r="N47" s="511" t="n"/>
      <c r="O47" s="511" t="n"/>
      <c r="AB47" s="504">
        <f>IFERROR(MATCH(($AC$44-1)*12+2,$Y$100:$Y$399,0),0)</f>
        <v>0</v>
      </c>
    </row>
    <row r="48" ht="24" customHeight="1">
      <c r="A48" s="518">
        <f>IF($AB48=0,"",IF(INDEX($G$100:$G$399,$AB48)="월기록",TEXT(INDEX($D$100:$D$399,$AB48),"yyyy-mm"),TEXT(INDEX($D$100:$D$399,$AB48),"m/d")))</f>
      </c>
      <c r="B48" s="518">
        <f>IF($AB48=0,"",INDEX($B$100:$B$399,$AB48))</f>
      </c>
      <c r="C48" s="511" t="n"/>
      <c r="D48" s="518">
        <f>IF($AB48=0,"",INDEX($C$100:$C$399,$AB48))</f>
      </c>
      <c r="E48" s="521">
        <f>IF($AB48=0,"",INDEX($E$100:$E$399,$AB48))</f>
      </c>
      <c r="F48" s="521">
        <f>IF($AB48=0,"",INDEX($Z$100:$Z$399,$AB48))</f>
      </c>
      <c r="G48" s="521">
        <f>IF($AB48=0,"",INDEX($T$100:$T$399,$AB48))</f>
      </c>
      <c r="H48" s="521">
        <f>IF($AB48=0,"",INDEX($U$100:$U$399,$AB48))</f>
      </c>
      <c r="I48" s="518">
        <f>IF($AB48=0,"",IF($B$3&lt;DATE(2026,3,1),"정산일 미기록",IF(INDEX($D$100:$D$399,$AB48)&gt;=EDATE($B$3,1),"선이체",IF(INDEX($U$100:$U$399,$AB48)=0,"정산완료",IF(INDEX($T$100:$T$399,$AB48)&gt;0,"부분정산","미정산")))))</f>
      </c>
      <c r="J48" s="511" t="n"/>
      <c r="K48" s="518">
        <f>IF($AB48=0,"",COUNTIFS($B$430:$B$729,INDEX($A$100:$A$399,$AB48),$N$430:$N$729,"OK",$E$430:$E$729,"&lt;"&amp;EDATE($B$3,1))&amp;"건")</f>
      </c>
      <c r="L48" s="511" t="n"/>
      <c r="M48" s="518">
        <f>IF($AB48=0,"",HYPERLINK("#'예비비'!A98","등록 "&amp;($AB48+99)&amp;"행 확인"))</f>
      </c>
      <c r="N48" s="511" t="n"/>
      <c r="O48" s="511" t="n"/>
      <c r="AB48" s="504">
        <f>IFERROR(MATCH(($AC$44-1)*12+3,$Y$100:$Y$399,0),0)</f>
        <v>0</v>
      </c>
    </row>
    <row r="49" ht="24" customHeight="1">
      <c r="A49" s="518">
        <f>IF($AB49=0,"",IF(INDEX($G$100:$G$399,$AB49)="월기록",TEXT(INDEX($D$100:$D$399,$AB49),"yyyy-mm"),TEXT(INDEX($D$100:$D$399,$AB49),"m/d")))</f>
      </c>
      <c r="B49" s="518">
        <f>IF($AB49=0,"",INDEX($B$100:$B$399,$AB49))</f>
      </c>
      <c r="C49" s="511" t="n"/>
      <c r="D49" s="518">
        <f>IF($AB49=0,"",INDEX($C$100:$C$399,$AB49))</f>
      </c>
      <c r="E49" s="521">
        <f>IF($AB49=0,"",INDEX($E$100:$E$399,$AB49))</f>
      </c>
      <c r="F49" s="521">
        <f>IF($AB49=0,"",INDEX($Z$100:$Z$399,$AB49))</f>
      </c>
      <c r="G49" s="521">
        <f>IF($AB49=0,"",INDEX($T$100:$T$399,$AB49))</f>
      </c>
      <c r="H49" s="521">
        <f>IF($AB49=0,"",INDEX($U$100:$U$399,$AB49))</f>
      </c>
      <c r="I49" s="518">
        <f>IF($AB49=0,"",IF($B$3&lt;DATE(2026,3,1),"정산일 미기록",IF(INDEX($D$100:$D$399,$AB49)&gt;=EDATE($B$3,1),"선이체",IF(INDEX($U$100:$U$399,$AB49)=0,"정산완료",IF(INDEX($T$100:$T$399,$AB49)&gt;0,"부분정산","미정산")))))</f>
      </c>
      <c r="J49" s="511" t="n"/>
      <c r="K49" s="518">
        <f>IF($AB49=0,"",COUNTIFS($B$430:$B$729,INDEX($A$100:$A$399,$AB49),$N$430:$N$729,"OK",$E$430:$E$729,"&lt;"&amp;EDATE($B$3,1))&amp;"건")</f>
      </c>
      <c r="L49" s="511" t="n"/>
      <c r="M49" s="518">
        <f>IF($AB49=0,"",HYPERLINK("#'예비비'!A98","등록 "&amp;($AB49+99)&amp;"행 확인"))</f>
      </c>
      <c r="N49" s="511" t="n"/>
      <c r="O49" s="511" t="n"/>
      <c r="AB49" s="504">
        <f>IFERROR(MATCH(($AC$44-1)*12+4,$Y$100:$Y$399,0),0)</f>
        <v>0</v>
      </c>
    </row>
    <row r="50" ht="24" customHeight="1">
      <c r="A50" s="518">
        <f>IF($AB50=0,"",IF(INDEX($G$100:$G$399,$AB50)="월기록",TEXT(INDEX($D$100:$D$399,$AB50),"yyyy-mm"),TEXT(INDEX($D$100:$D$399,$AB50),"m/d")))</f>
      </c>
      <c r="B50" s="518">
        <f>IF($AB50=0,"",INDEX($B$100:$B$399,$AB50))</f>
      </c>
      <c r="C50" s="511" t="n"/>
      <c r="D50" s="518">
        <f>IF($AB50=0,"",INDEX($C$100:$C$399,$AB50))</f>
      </c>
      <c r="E50" s="521">
        <f>IF($AB50=0,"",INDEX($E$100:$E$399,$AB50))</f>
      </c>
      <c r="F50" s="521">
        <f>IF($AB50=0,"",INDEX($Z$100:$Z$399,$AB50))</f>
      </c>
      <c r="G50" s="521">
        <f>IF($AB50=0,"",INDEX($T$100:$T$399,$AB50))</f>
      </c>
      <c r="H50" s="521">
        <f>IF($AB50=0,"",INDEX($U$100:$U$399,$AB50))</f>
      </c>
      <c r="I50" s="518">
        <f>IF($AB50=0,"",IF($B$3&lt;DATE(2026,3,1),"정산일 미기록",IF(INDEX($D$100:$D$399,$AB50)&gt;=EDATE($B$3,1),"선이체",IF(INDEX($U$100:$U$399,$AB50)=0,"정산완료",IF(INDEX($T$100:$T$399,$AB50)&gt;0,"부분정산","미정산")))))</f>
      </c>
      <c r="J50" s="511" t="n"/>
      <c r="K50" s="518">
        <f>IF($AB50=0,"",COUNTIFS($B$430:$B$729,INDEX($A$100:$A$399,$AB50),$N$430:$N$729,"OK",$E$430:$E$729,"&lt;"&amp;EDATE($B$3,1))&amp;"건")</f>
      </c>
      <c r="L50" s="511" t="n"/>
      <c r="M50" s="518">
        <f>IF($AB50=0,"",HYPERLINK("#'예비비'!A98","등록 "&amp;($AB50+99)&amp;"행 확인"))</f>
      </c>
      <c r="N50" s="511" t="n"/>
      <c r="O50" s="511" t="n"/>
      <c r="AB50" s="504">
        <f>IFERROR(MATCH(($AC$44-1)*12+5,$Y$100:$Y$399,0),0)</f>
        <v>0</v>
      </c>
    </row>
    <row r="51" ht="24" customHeight="1">
      <c r="A51" s="518">
        <f>IF($AB51=0,"",IF(INDEX($G$100:$G$399,$AB51)="월기록",TEXT(INDEX($D$100:$D$399,$AB51),"yyyy-mm"),TEXT(INDEX($D$100:$D$399,$AB51),"m/d")))</f>
      </c>
      <c r="B51" s="518">
        <f>IF($AB51=0,"",INDEX($B$100:$B$399,$AB51))</f>
      </c>
      <c r="C51" s="511" t="n"/>
      <c r="D51" s="518">
        <f>IF($AB51=0,"",INDEX($C$100:$C$399,$AB51))</f>
      </c>
      <c r="E51" s="521">
        <f>IF($AB51=0,"",INDEX($E$100:$E$399,$AB51))</f>
      </c>
      <c r="F51" s="521">
        <f>IF($AB51=0,"",INDEX($Z$100:$Z$399,$AB51))</f>
      </c>
      <c r="G51" s="521">
        <f>IF($AB51=0,"",INDEX($T$100:$T$399,$AB51))</f>
      </c>
      <c r="H51" s="521">
        <f>IF($AB51=0,"",INDEX($U$100:$U$399,$AB51))</f>
      </c>
      <c r="I51" s="518">
        <f>IF($AB51=0,"",IF($B$3&lt;DATE(2026,3,1),"정산일 미기록",IF(INDEX($D$100:$D$399,$AB51)&gt;=EDATE($B$3,1),"선이체",IF(INDEX($U$100:$U$399,$AB51)=0,"정산완료",IF(INDEX($T$100:$T$399,$AB51)&gt;0,"부분정산","미정산")))))</f>
      </c>
      <c r="J51" s="511" t="n"/>
      <c r="K51" s="518">
        <f>IF($AB51=0,"",COUNTIFS($B$430:$B$729,INDEX($A$100:$A$399,$AB51),$N$430:$N$729,"OK",$E$430:$E$729,"&lt;"&amp;EDATE($B$3,1))&amp;"건")</f>
      </c>
      <c r="L51" s="511" t="n"/>
      <c r="M51" s="518">
        <f>IF($AB51=0,"",HYPERLINK("#'예비비'!A98","등록 "&amp;($AB51+99)&amp;"행 확인"))</f>
      </c>
      <c r="N51" s="511" t="n"/>
      <c r="O51" s="511" t="n"/>
      <c r="AB51" s="504">
        <f>IFERROR(MATCH(($AC$44-1)*12+6,$Y$100:$Y$399,0),0)</f>
        <v>0</v>
      </c>
    </row>
    <row r="52" ht="24" customHeight="1">
      <c r="A52" s="518">
        <f>IF($AB52=0,"",IF(INDEX($G$100:$G$399,$AB52)="월기록",TEXT(INDEX($D$100:$D$399,$AB52),"yyyy-mm"),TEXT(INDEX($D$100:$D$399,$AB52),"m/d")))</f>
      </c>
      <c r="B52" s="518">
        <f>IF($AB52=0,"",INDEX($B$100:$B$399,$AB52))</f>
      </c>
      <c r="C52" s="511" t="n"/>
      <c r="D52" s="518">
        <f>IF($AB52=0,"",INDEX($C$100:$C$399,$AB52))</f>
      </c>
      <c r="E52" s="521">
        <f>IF($AB52=0,"",INDEX($E$100:$E$399,$AB52))</f>
      </c>
      <c r="F52" s="521">
        <f>IF($AB52=0,"",INDEX($Z$100:$Z$399,$AB52))</f>
      </c>
      <c r="G52" s="521">
        <f>IF($AB52=0,"",INDEX($T$100:$T$399,$AB52))</f>
      </c>
      <c r="H52" s="521">
        <f>IF($AB52=0,"",INDEX($U$100:$U$399,$AB52))</f>
      </c>
      <c r="I52" s="518">
        <f>IF($AB52=0,"",IF($B$3&lt;DATE(2026,3,1),"정산일 미기록",IF(INDEX($D$100:$D$399,$AB52)&gt;=EDATE($B$3,1),"선이체",IF(INDEX($U$100:$U$399,$AB52)=0,"정산완료",IF(INDEX($T$100:$T$399,$AB52)&gt;0,"부분정산","미정산")))))</f>
      </c>
      <c r="J52" s="511" t="n"/>
      <c r="K52" s="518">
        <f>IF($AB52=0,"",COUNTIFS($B$430:$B$729,INDEX($A$100:$A$399,$AB52),$N$430:$N$729,"OK",$E$430:$E$729,"&lt;"&amp;EDATE($B$3,1))&amp;"건")</f>
      </c>
      <c r="L52" s="511" t="n"/>
      <c r="M52" s="518">
        <f>IF($AB52=0,"",HYPERLINK("#'예비비'!A98","등록 "&amp;($AB52+99)&amp;"행 확인"))</f>
      </c>
      <c r="N52" s="511" t="n"/>
      <c r="O52" s="511" t="n"/>
      <c r="AB52" s="504">
        <f>IFERROR(MATCH(($AC$44-1)*12+7,$Y$100:$Y$399,0),0)</f>
        <v>0</v>
      </c>
    </row>
    <row r="53" ht="24" customHeight="1">
      <c r="A53" s="518">
        <f>IF($AB53=0,"",IF(INDEX($G$100:$G$399,$AB53)="월기록",TEXT(INDEX($D$100:$D$399,$AB53),"yyyy-mm"),TEXT(INDEX($D$100:$D$399,$AB53),"m/d")))</f>
      </c>
      <c r="B53" s="518">
        <f>IF($AB53=0,"",INDEX($B$100:$B$399,$AB53))</f>
      </c>
      <c r="C53" s="511" t="n"/>
      <c r="D53" s="518">
        <f>IF($AB53=0,"",INDEX($C$100:$C$399,$AB53))</f>
      </c>
      <c r="E53" s="521">
        <f>IF($AB53=0,"",INDEX($E$100:$E$399,$AB53))</f>
      </c>
      <c r="F53" s="521">
        <f>IF($AB53=0,"",INDEX($Z$100:$Z$399,$AB53))</f>
      </c>
      <c r="G53" s="521">
        <f>IF($AB53=0,"",INDEX($T$100:$T$399,$AB53))</f>
      </c>
      <c r="H53" s="521">
        <f>IF($AB53=0,"",INDEX($U$100:$U$399,$AB53))</f>
      </c>
      <c r="I53" s="518">
        <f>IF($AB53=0,"",IF($B$3&lt;DATE(2026,3,1),"정산일 미기록",IF(INDEX($D$100:$D$399,$AB53)&gt;=EDATE($B$3,1),"선이체",IF(INDEX($U$100:$U$399,$AB53)=0,"정산완료",IF(INDEX($T$100:$T$399,$AB53)&gt;0,"부분정산","미정산")))))</f>
      </c>
      <c r="J53" s="511" t="n"/>
      <c r="K53" s="518">
        <f>IF($AB53=0,"",COUNTIFS($B$430:$B$729,INDEX($A$100:$A$399,$AB53),$N$430:$N$729,"OK",$E$430:$E$729,"&lt;"&amp;EDATE($B$3,1))&amp;"건")</f>
      </c>
      <c r="L53" s="511" t="n"/>
      <c r="M53" s="518">
        <f>IF($AB53=0,"",HYPERLINK("#'예비비'!A98","등록 "&amp;($AB53+99)&amp;"행 확인"))</f>
      </c>
      <c r="N53" s="511" t="n"/>
      <c r="O53" s="511" t="n"/>
      <c r="AB53" s="504">
        <f>IFERROR(MATCH(($AC$44-1)*12+8,$Y$100:$Y$399,0),0)</f>
        <v>0</v>
      </c>
    </row>
    <row r="54" ht="24" customHeight="1">
      <c r="A54" s="518">
        <f>IF($AB54=0,"",IF(INDEX($G$100:$G$399,$AB54)="월기록",TEXT(INDEX($D$100:$D$399,$AB54),"yyyy-mm"),TEXT(INDEX($D$100:$D$399,$AB54),"m/d")))</f>
      </c>
      <c r="B54" s="518">
        <f>IF($AB54=0,"",INDEX($B$100:$B$399,$AB54))</f>
      </c>
      <c r="C54" s="511" t="n"/>
      <c r="D54" s="518">
        <f>IF($AB54=0,"",INDEX($C$100:$C$399,$AB54))</f>
      </c>
      <c r="E54" s="521">
        <f>IF($AB54=0,"",INDEX($E$100:$E$399,$AB54))</f>
      </c>
      <c r="F54" s="521">
        <f>IF($AB54=0,"",INDEX($Z$100:$Z$399,$AB54))</f>
      </c>
      <c r="G54" s="521">
        <f>IF($AB54=0,"",INDEX($T$100:$T$399,$AB54))</f>
      </c>
      <c r="H54" s="521">
        <f>IF($AB54=0,"",INDEX($U$100:$U$399,$AB54))</f>
      </c>
      <c r="I54" s="518">
        <f>IF($AB54=0,"",IF($B$3&lt;DATE(2026,3,1),"정산일 미기록",IF(INDEX($D$100:$D$399,$AB54)&gt;=EDATE($B$3,1),"선이체",IF(INDEX($U$100:$U$399,$AB54)=0,"정산완료",IF(INDEX($T$100:$T$399,$AB54)&gt;0,"부분정산","미정산")))))</f>
      </c>
      <c r="J54" s="511" t="n"/>
      <c r="K54" s="518">
        <f>IF($AB54=0,"",COUNTIFS($B$430:$B$729,INDEX($A$100:$A$399,$AB54),$N$430:$N$729,"OK",$E$430:$E$729,"&lt;"&amp;EDATE($B$3,1))&amp;"건")</f>
      </c>
      <c r="L54" s="511" t="n"/>
      <c r="M54" s="518">
        <f>IF($AB54=0,"",HYPERLINK("#'예비비'!A98","등록 "&amp;($AB54+99)&amp;"행 확인"))</f>
      </c>
      <c r="N54" s="511" t="n"/>
      <c r="O54" s="511" t="n"/>
      <c r="AB54" s="504">
        <f>IFERROR(MATCH(($AC$44-1)*12+9,$Y$100:$Y$399,0),0)</f>
        <v>0</v>
      </c>
    </row>
    <row r="55" ht="24" customHeight="1">
      <c r="A55" s="518">
        <f>IF($AB55=0,"",IF(INDEX($G$100:$G$399,$AB55)="월기록",TEXT(INDEX($D$100:$D$399,$AB55),"yyyy-mm"),TEXT(INDEX($D$100:$D$399,$AB55),"m/d")))</f>
      </c>
      <c r="B55" s="518">
        <f>IF($AB55=0,"",INDEX($B$100:$B$399,$AB55))</f>
      </c>
      <c r="C55" s="511" t="n"/>
      <c r="D55" s="518">
        <f>IF($AB55=0,"",INDEX($C$100:$C$399,$AB55))</f>
      </c>
      <c r="E55" s="521">
        <f>IF($AB55=0,"",INDEX($E$100:$E$399,$AB55))</f>
      </c>
      <c r="F55" s="521">
        <f>IF($AB55=0,"",INDEX($Z$100:$Z$399,$AB55))</f>
      </c>
      <c r="G55" s="521">
        <f>IF($AB55=0,"",INDEX($T$100:$T$399,$AB55))</f>
      </c>
      <c r="H55" s="521">
        <f>IF($AB55=0,"",INDEX($U$100:$U$399,$AB55))</f>
      </c>
      <c r="I55" s="518">
        <f>IF($AB55=0,"",IF($B$3&lt;DATE(2026,3,1),"정산일 미기록",IF(INDEX($D$100:$D$399,$AB55)&gt;=EDATE($B$3,1),"선이체",IF(INDEX($U$100:$U$399,$AB55)=0,"정산완료",IF(INDEX($T$100:$T$399,$AB55)&gt;0,"부분정산","미정산")))))</f>
      </c>
      <c r="J55" s="511" t="n"/>
      <c r="K55" s="518">
        <f>IF($AB55=0,"",COUNTIFS($B$430:$B$729,INDEX($A$100:$A$399,$AB55),$N$430:$N$729,"OK",$E$430:$E$729,"&lt;"&amp;EDATE($B$3,1))&amp;"건")</f>
      </c>
      <c r="L55" s="511" t="n"/>
      <c r="M55" s="518">
        <f>IF($AB55=0,"",HYPERLINK("#'예비비'!A98","등록 "&amp;($AB55+99)&amp;"행 확인"))</f>
      </c>
      <c r="N55" s="511" t="n"/>
      <c r="O55" s="511" t="n"/>
      <c r="AB55" s="504">
        <f>IFERROR(MATCH(($AC$44-1)*12+10,$Y$100:$Y$399,0),0)</f>
        <v>0</v>
      </c>
    </row>
    <row r="56" ht="24" customHeight="1">
      <c r="A56" s="518">
        <f>IF($AB56=0,"",IF(INDEX($G$100:$G$399,$AB56)="월기록",TEXT(INDEX($D$100:$D$399,$AB56),"yyyy-mm"),TEXT(INDEX($D$100:$D$399,$AB56),"m/d")))</f>
      </c>
      <c r="B56" s="518">
        <f>IF($AB56=0,"",INDEX($B$100:$B$399,$AB56))</f>
      </c>
      <c r="C56" s="511" t="n"/>
      <c r="D56" s="518">
        <f>IF($AB56=0,"",INDEX($C$100:$C$399,$AB56))</f>
      </c>
      <c r="E56" s="521">
        <f>IF($AB56=0,"",INDEX($E$100:$E$399,$AB56))</f>
      </c>
      <c r="F56" s="521">
        <f>IF($AB56=0,"",INDEX($Z$100:$Z$399,$AB56))</f>
      </c>
      <c r="G56" s="521">
        <f>IF($AB56=0,"",INDEX($T$100:$T$399,$AB56))</f>
      </c>
      <c r="H56" s="521">
        <f>IF($AB56=0,"",INDEX($U$100:$U$399,$AB56))</f>
      </c>
      <c r="I56" s="518">
        <f>IF($AB56=0,"",IF($B$3&lt;DATE(2026,3,1),"정산일 미기록",IF(INDEX($D$100:$D$399,$AB56)&gt;=EDATE($B$3,1),"선이체",IF(INDEX($U$100:$U$399,$AB56)=0,"정산완료",IF(INDEX($T$100:$T$399,$AB56)&gt;0,"부분정산","미정산")))))</f>
      </c>
      <c r="J56" s="511" t="n"/>
      <c r="K56" s="518">
        <f>IF($AB56=0,"",COUNTIFS($B$430:$B$729,INDEX($A$100:$A$399,$AB56),$N$430:$N$729,"OK",$E$430:$E$729,"&lt;"&amp;EDATE($B$3,1))&amp;"건")</f>
      </c>
      <c r="L56" s="511" t="n"/>
      <c r="M56" s="518">
        <f>IF($AB56=0,"",HYPERLINK("#'예비비'!A98","등록 "&amp;($AB56+99)&amp;"행 확인"))</f>
      </c>
      <c r="N56" s="511" t="n"/>
      <c r="O56" s="511" t="n"/>
      <c r="AB56" s="504">
        <f>IFERROR(MATCH(($AC$44-1)*12+11,$Y$100:$Y$399,0),0)</f>
        <v>0</v>
      </c>
    </row>
    <row r="57" ht="24" customHeight="1">
      <c r="A57" s="518">
        <f>IF($AB57=0,"",IF(INDEX($G$100:$G$399,$AB57)="월기록",TEXT(INDEX($D$100:$D$399,$AB57),"yyyy-mm"),TEXT(INDEX($D$100:$D$399,$AB57),"m/d")))</f>
      </c>
      <c r="B57" s="518">
        <f>IF($AB57=0,"",INDEX($B$100:$B$399,$AB57))</f>
      </c>
      <c r="C57" s="511" t="n"/>
      <c r="D57" s="518">
        <f>IF($AB57=0,"",INDEX($C$100:$C$399,$AB57))</f>
      </c>
      <c r="E57" s="521">
        <f>IF($AB57=0,"",INDEX($E$100:$E$399,$AB57))</f>
      </c>
      <c r="F57" s="521">
        <f>IF($AB57=0,"",INDEX($Z$100:$Z$399,$AB57))</f>
      </c>
      <c r="G57" s="521">
        <f>IF($AB57=0,"",INDEX($T$100:$T$399,$AB57))</f>
      </c>
      <c r="H57" s="521">
        <f>IF($AB57=0,"",INDEX($U$100:$U$399,$AB57))</f>
      </c>
      <c r="I57" s="518">
        <f>IF($AB57=0,"",IF($B$3&lt;DATE(2026,3,1),"정산일 미기록",IF(INDEX($D$100:$D$399,$AB57)&gt;=EDATE($B$3,1),"선이체",IF(INDEX($U$100:$U$399,$AB57)=0,"정산완료",IF(INDEX($T$100:$T$399,$AB57)&gt;0,"부분정산","미정산")))))</f>
      </c>
      <c r="J57" s="511" t="n"/>
      <c r="K57" s="518">
        <f>IF($AB57=0,"",COUNTIFS($B$430:$B$729,INDEX($A$100:$A$399,$AB57),$N$430:$N$729,"OK",$E$430:$E$729,"&lt;"&amp;EDATE($B$3,1))&amp;"건")</f>
      </c>
      <c r="L57" s="511" t="n"/>
      <c r="M57" s="518">
        <f>IF($AB57=0,"",HYPERLINK("#'예비비'!A98","등록 "&amp;($AB57+99)&amp;"행 확인"))</f>
      </c>
      <c r="N57" s="511" t="n"/>
      <c r="O57" s="511" t="n"/>
      <c r="AB57" s="504">
        <f>IFERROR(MATCH(($AC$44-1)*12+12,$Y$100:$Y$399,0),0)</f>
        <v>0</v>
      </c>
    </row>
    <row r="58" ht="36" customHeight="1">
      <c r="A58" s="502" t="inlineStr">
        <is>
          <t xml:space="preserve">당월·누적 정산은 실제 재원 이동을 연결한 금액입니다. 이미 반영한 사용액은 나중에 이체할 때 다시 지출로 차감하지 않습니다.</t>
        </is>
      </c>
      <c r="B58" s="503" t="n"/>
      <c r="C58" s="503" t="n"/>
      <c r="D58" s="503" t="n"/>
      <c r="E58" s="503" t="n"/>
      <c r="F58" s="503" t="n"/>
      <c r="G58" s="503" t="n"/>
      <c r="H58" s="503" t="n"/>
      <c r="I58" s="503" t="n"/>
      <c r="J58" s="503" t="n"/>
      <c r="K58" s="503" t="n"/>
      <c r="L58" s="503" t="n"/>
      <c r="M58" s="503" t="n"/>
      <c r="N58" s="503" t="n"/>
      <c r="O58" s="503" t="n"/>
    </row>
    <row r="59" ht="24" customHeight="1">
      <c r="A59" s="506" t="n"/>
      <c r="B59" s="506" t="n"/>
      <c r="C59" s="506" t="n"/>
      <c r="D59" s="506" t="n"/>
      <c r="E59" s="506" t="n"/>
      <c r="F59" s="506" t="n"/>
      <c r="G59" s="506" t="n"/>
      <c r="H59" s="506" t="n"/>
      <c r="I59" s="506" t="n"/>
      <c r="J59" s="506" t="n"/>
      <c r="K59" s="506" t="n"/>
      <c r="L59" s="506" t="n"/>
      <c r="M59" s="506" t="n"/>
      <c r="N59" s="506" t="n"/>
      <c r="O59" s="506" t="n"/>
    </row>
    <row r="60" ht="24" customHeight="1">
      <c r="A60" s="504" t="inlineStr">
        <is>
          <t>이체 페이지</t>
        </is>
      </c>
      <c r="B60" s="523" t="n">
        <v>1</v>
      </c>
      <c r="C60" s="506" t="n"/>
      <c r="D60" s="502" t="str">
        <f>COUNTIF('_예비비계산'!$BH$120:$BH$556,"&gt;0")&amp;"건 · 해당 월 원장 변동 + 선택월 사용에 연결된 선이체"</f>
        <v>3건 · 해당 월 원장 변동 + 선택월 사용에 연결된 선이체</v>
      </c>
      <c r="E60" s="503" t="n"/>
      <c r="F60" s="503" t="n"/>
      <c r="G60" s="503" t="n"/>
      <c r="H60" s="503" t="n"/>
      <c r="I60" s="503" t="n"/>
      <c r="J60" s="503" t="n"/>
      <c r="K60" s="503" t="n"/>
      <c r="L60" s="503" t="n"/>
      <c r="M60" s="503" t="n"/>
      <c r="N60" s="503" t="n"/>
      <c r="O60" s="503" t="n"/>
      <c r="AC60" s="504">
        <f>MIN(MAX(1,B60),MAX(1,ROUNDUP(COUNTIF('_예비비계산'!$BH$120:$BH$556,"&gt;0")/12,0)))</f>
        <v>1</v>
      </c>
    </row>
    <row r="61" ht="30" customHeight="1">
      <c r="A61" s="507" t="inlineStr">
        <is>
          <t>원장일/월</t>
        </is>
      </c>
      <c r="B61" s="507" t="inlineStr">
        <is>
          <t>내용</t>
        </is>
      </c>
      <c r="C61" s="507" t="n"/>
      <c r="D61" s="507" t="inlineStr">
        <is>
          <t>보낸 계정</t>
        </is>
      </c>
      <c r="E61" s="507" t="n"/>
      <c r="F61" s="507" t="inlineStr">
        <is>
          <t>받는 계정/계좌</t>
        </is>
      </c>
      <c r="G61" s="507" t="n"/>
      <c r="H61" s="507" t="n"/>
      <c r="I61" s="507" t="inlineStr">
        <is>
          <t>원장 금액</t>
        </is>
      </c>
      <c r="J61" s="507" t="n"/>
      <c r="K61" s="507" t="inlineStr">
        <is>
          <t>연결 상태</t>
        </is>
      </c>
      <c r="L61" s="507" t="n"/>
      <c r="M61" s="507" t="inlineStr">
        <is>
          <t>원장 근거</t>
        </is>
      </c>
      <c r="N61" s="507" t="n"/>
      <c r="O61" s="507" t="n"/>
    </row>
    <row r="62" ht="24" customHeight="1">
      <c r="A62" s="518" t="str">
        <f>IF($AB62=0,"",TEXT(INDEX(잔액!$A:$A,INDEX('_예비비계산'!$BA$120:$BA$556,$AB62)),IF(INDEX(잔액!$L:$L,INDEX('_예비비계산'!$BA$120:$BA$556,$AB62))="원본WRAP","yyyy-mm","yyyy-mm-dd")))</f>
        <v>2026-08</v>
      </c>
      <c r="B62" s="518" t="str">
        <f>IF($AB62=0,"",INDEX(잔액!$F:$F,INDEX('_예비비계산'!$BA$120:$BA$556,$AB62)))</f>
        <v>가족통장</v>
      </c>
      <c r="C62" s="511" t="n"/>
      <c r="D62" s="518" t="str">
        <f>IF($AB62=0,"",INDEX(잔액!$C:$C,INDEX('_예비비계산'!$BA$120:$BA$556,$AB62)))</f>
        <v>임시보관</v>
      </c>
      <c r="E62" s="511" t="n"/>
      <c r="F62" s="518" t="str">
        <f>IF($AB62=0,"",IF(INDEX(잔액!$K:$K,INDEX('_예비비계산'!$BA$120:$BA$556,$AB62))&lt;&gt;"",INDEX(잔액!$K:$K,INDEX('_예비비계산'!$BA$120:$BA$556,$AB62)),INDEX(잔액!$D:$D,INDEX('_예비비계산'!$BA$120:$BA$556,$AB62))))</f>
        <v>지출</v>
      </c>
      <c r="G62" s="511" t="n"/>
      <c r="H62" s="511" t="n"/>
      <c r="I62" s="521">
        <f>IF($AB62=0,"",INDEX(잔액!$Y:$Y,INDEX('_예비비계산'!$BA$120:$BA$556,$AB62)))</f>
        <v>100000</v>
      </c>
      <c r="J62" s="511" t="n"/>
      <c r="K62" s="518" t="str">
        <f>IF($AB62=0,"",IF(COUNTIFS($C$430:$C$729,INDEX('_예비비계산'!$BA$120:$BA$556,$AB62),$N$430:$N$729,"OK")&gt;0,"정산 연결",INDEX(잔액!$B:$B,INDEX('_예비비계산'!$BA$120:$BA$556,$AB62))))</f>
        <v>정산 연결</v>
      </c>
      <c r="L62" s="511" t="n"/>
      <c r="M62" s="518" t="str">
        <f>IF($AB62=0,"",HYPERLINK("#'잔액'!A"&amp;INDEX('_예비비계산'!$BA$120:$BA$556,$AB62),"원장 "&amp;INDEX('_예비비계산'!$BA$120:$BA$556,$AB62)&amp;"행 ↗"))</f>
        <v>원장 208행 ↗</v>
      </c>
      <c r="N62" s="511" t="n"/>
      <c r="O62" s="511" t="n"/>
      <c r="AB62" s="504">
        <f>IFERROR(MATCH(($AC$60-1)*12+1,'_예비비계산'!$BH$120:$BH$556,0),0)</f>
        <v>145</v>
      </c>
    </row>
    <row r="63" ht="24" customHeight="1">
      <c r="A63" s="518" t="str">
        <f>IF($AB63=0,"",TEXT(INDEX(잔액!$A:$A,INDEX('_예비비계산'!$BA$120:$BA$556,$AB63)),IF(INDEX(잔액!$L:$L,INDEX('_예비비계산'!$BA$120:$BA$556,$AB63))="원본WRAP","yyyy-mm","yyyy-mm-dd")))</f>
        <v>2026-09</v>
      </c>
      <c r="B63" s="518" t="str">
        <f>IF($AB63=0,"",INDEX(잔액!$F:$F,INDEX('_예비비계산'!$BA$120:$BA$556,$AB63)))</f>
        <v>10월 부모 생신 자금 선이체</v>
      </c>
      <c r="C63" s="511" t="n"/>
      <c r="D63" s="518" t="str">
        <f>IF($AB63=0,"",INDEX(잔액!$C:$C,INDEX('_예비비계산'!$BA$120:$BA$556,$AB63)))</f>
        <v>명절비</v>
      </c>
      <c r="E63" s="511" t="n"/>
      <c r="F63" s="518" t="str">
        <f>IF($AB63=0,"",IF(INDEX(잔액!$K:$K,INDEX('_예비비계산'!$BA$120:$BA$556,$AB63))&lt;&gt;"",INDEX(잔액!$K:$K,INDEX('_예비비계산'!$BA$120:$BA$556,$AB63)),INDEX(잔액!$D:$D,INDEX('_예비비계산'!$BA$120:$BA$556,$AB63))))</f>
        <v>가족통장</v>
      </c>
      <c r="G63" s="511" t="n"/>
      <c r="H63" s="511" t="n"/>
      <c r="I63" s="521">
        <f>IF($AB63=0,"",INDEX(잔액!$Y:$Y,INDEX('_예비비계산'!$BA$120:$BA$556,$AB63)))</f>
        <v>200000</v>
      </c>
      <c r="J63" s="511" t="n"/>
      <c r="K63" s="518" t="str">
        <f>IF($AB63=0,"",IF(COUNTIFS($C$430:$C$729,INDEX('_예비비계산'!$BA$120:$BA$556,$AB63),$N$430:$N$729,"OK")&gt;0,"정산 연결",INDEX(잔액!$B:$B,INDEX('_예비비계산'!$BA$120:$BA$556,$AB63))))</f>
        <v>정산 연결</v>
      </c>
      <c r="L63" s="511" t="n"/>
      <c r="M63" s="518" t="str">
        <f>IF($AB63=0,"",HYPERLINK("#'잔액'!A"&amp;INDEX('_예비비계산'!$BA$120:$BA$556,$AB63),"원장 "&amp;INDEX('_예비비계산'!$BA$120:$BA$556,$AB63)&amp;"행 ↗"))</f>
        <v>원장 223행 ↗</v>
      </c>
      <c r="N63" s="511" t="n"/>
      <c r="O63" s="511" t="n"/>
      <c r="AB63" s="504">
        <f>IFERROR(MATCH(($AC$60-1)*12+2,'_예비비계산'!$BH$120:$BH$556,0),0)</f>
        <v>160</v>
      </c>
    </row>
    <row r="64" ht="24" customHeight="1">
      <c r="A64" s="518" t="str">
        <f>IF($AB64=0,"",TEXT(INDEX(잔액!$A:$A,INDEX('_예비비계산'!$BA$120:$BA$556,$AB64)),IF(INDEX(잔액!$L:$L,INDEX('_예비비계산'!$BA$120:$BA$556,$AB64))="원본WRAP","yyyy-mm","yyyy-mm-dd")))</f>
        <v>2026-10-15</v>
      </c>
      <c r="B64" s="518" t="str">
        <f>IF($AB64=0,"",INDEX(잔액!$F:$F,INDEX('_예비비계산'!$BA$120:$BA$556,$AB64)))</f>
        <v>부모 생신 미사용 원금 회수</v>
      </c>
      <c r="C64" s="511" t="n"/>
      <c r="D64" s="518" t="str">
        <f>IF($AB64=0,"",INDEX(잔액!$C:$C,INDEX('_예비비계산'!$BA$120:$BA$556,$AB64)))</f>
        <v>외부</v>
      </c>
      <c r="E64" s="511" t="n"/>
      <c r="F64" s="518" t="str">
        <f>IF($AB64=0,"",IF(INDEX(잔액!$K:$K,INDEX('_예비비계산'!$BA$120:$BA$556,$AB64))&lt;&gt;"",INDEX(잔액!$K:$K,INDEX('_예비비계산'!$BA$120:$BA$556,$AB64)),INDEX(잔액!$D:$D,INDEX('_예비비계산'!$BA$120:$BA$556,$AB64))))</f>
        <v>미래에셋_WRAP형CMA</v>
      </c>
      <c r="G64" s="511" t="n"/>
      <c r="H64" s="511" t="n"/>
      <c r="I64" s="521">
        <f>IF($AB64=0,"",INDEX(잔액!$Y:$Y,INDEX('_예비비계산'!$BA$120:$BA$556,$AB64)))</f>
        <v>61000</v>
      </c>
      <c r="J64" s="511" t="n"/>
      <c r="K64" s="518" t="str">
        <f>IF($AB64=0,"",IF(COUNTIFS($C$430:$C$729,INDEX('_예비비계산'!$BA$120:$BA$556,$AB64),$N$430:$N$729,"OK")&gt;0,"정산 연결",INDEX(잔액!$B:$B,INDEX('_예비비계산'!$BA$120:$BA$556,$AB64))))</f>
        <v>이체</v>
      </c>
      <c r="L64" s="511" t="n"/>
      <c r="M64" s="518" t="str">
        <f>IF($AB64=0,"",HYPERLINK("#'잔액'!A"&amp;INDEX('_예비비계산'!$BA$120:$BA$556,$AB64),"원장 "&amp;INDEX('_예비비계산'!$BA$120:$BA$556,$AB64)&amp;"행 ↗"))</f>
        <v>원장 246행 ↗</v>
      </c>
      <c r="N64" s="511" t="n"/>
      <c r="O64" s="511" t="n"/>
      <c r="AB64" s="504">
        <f>IFERROR(MATCH(($AC$60-1)*12+3,'_예비비계산'!$BH$120:$BH$556,0),0)</f>
        <v>183</v>
      </c>
    </row>
    <row r="65" ht="24" customHeight="1">
      <c r="A65" s="518">
        <f>IF($AB65=0,"",TEXT(INDEX(잔액!$A:$A,INDEX('_예비비계산'!$BA$120:$BA$556,$AB65)),IF(INDEX(잔액!$L:$L,INDEX('_예비비계산'!$BA$120:$BA$556,$AB65))="원본WRAP","yyyy-mm","yyyy-mm-dd")))</f>
      </c>
      <c r="B65" s="518">
        <f>IF($AB65=0,"",INDEX(잔액!$F:$F,INDEX('_예비비계산'!$BA$120:$BA$556,$AB65)))</f>
      </c>
      <c r="C65" s="511" t="n"/>
      <c r="D65" s="518">
        <f>IF($AB65=0,"",INDEX(잔액!$C:$C,INDEX('_예비비계산'!$BA$120:$BA$556,$AB65)))</f>
      </c>
      <c r="E65" s="511" t="n"/>
      <c r="F65" s="518">
        <f>IF($AB65=0,"",IF(INDEX(잔액!$K:$K,INDEX('_예비비계산'!$BA$120:$BA$556,$AB65))&lt;&gt;"",INDEX(잔액!$K:$K,INDEX('_예비비계산'!$BA$120:$BA$556,$AB65)),INDEX(잔액!$D:$D,INDEX('_예비비계산'!$BA$120:$BA$556,$AB65))))</f>
      </c>
      <c r="G65" s="511" t="n"/>
      <c r="H65" s="511" t="n"/>
      <c r="I65" s="521">
        <f>IF($AB65=0,"",INDEX(잔액!$Y:$Y,INDEX('_예비비계산'!$BA$120:$BA$556,$AB65)))</f>
      </c>
      <c r="J65" s="511" t="n"/>
      <c r="K65" s="518">
        <f>IF($AB65=0,"",IF(COUNTIFS($C$430:$C$729,INDEX('_예비비계산'!$BA$120:$BA$556,$AB65),$N$430:$N$729,"OK")&gt;0,"정산 연결",INDEX(잔액!$B:$B,INDEX('_예비비계산'!$BA$120:$BA$556,$AB65))))</f>
      </c>
      <c r="L65" s="511" t="n"/>
      <c r="M65" s="518">
        <f>IF($AB65=0,"",HYPERLINK("#'잔액'!A"&amp;INDEX('_예비비계산'!$BA$120:$BA$556,$AB65),"원장 "&amp;INDEX('_예비비계산'!$BA$120:$BA$556,$AB65)&amp;"행 ↗"))</f>
      </c>
      <c r="N65" s="511" t="n"/>
      <c r="O65" s="511" t="n"/>
      <c r="AB65" s="504">
        <f>IFERROR(MATCH(($AC$60-1)*12+4,'_예비비계산'!$BH$120:$BH$556,0),0)</f>
        <v>0</v>
      </c>
    </row>
    <row r="66" ht="24" customHeight="1">
      <c r="A66" s="518">
        <f>IF($AB66=0,"",TEXT(INDEX(잔액!$A:$A,INDEX('_예비비계산'!$BA$120:$BA$556,$AB66)),IF(INDEX(잔액!$L:$L,INDEX('_예비비계산'!$BA$120:$BA$556,$AB66))="원본WRAP","yyyy-mm","yyyy-mm-dd")))</f>
      </c>
      <c r="B66" s="518">
        <f>IF($AB66=0,"",INDEX(잔액!$F:$F,INDEX('_예비비계산'!$BA$120:$BA$556,$AB66)))</f>
      </c>
      <c r="C66" s="511" t="n"/>
      <c r="D66" s="518">
        <f>IF($AB66=0,"",INDEX(잔액!$C:$C,INDEX('_예비비계산'!$BA$120:$BA$556,$AB66)))</f>
      </c>
      <c r="E66" s="511" t="n"/>
      <c r="F66" s="518">
        <f>IF($AB66=0,"",IF(INDEX(잔액!$K:$K,INDEX('_예비비계산'!$BA$120:$BA$556,$AB66))&lt;&gt;"",INDEX(잔액!$K:$K,INDEX('_예비비계산'!$BA$120:$BA$556,$AB66)),INDEX(잔액!$D:$D,INDEX('_예비비계산'!$BA$120:$BA$556,$AB66))))</f>
      </c>
      <c r="G66" s="511" t="n"/>
      <c r="H66" s="511" t="n"/>
      <c r="I66" s="521">
        <f>IF($AB66=0,"",INDEX(잔액!$Y:$Y,INDEX('_예비비계산'!$BA$120:$BA$556,$AB66)))</f>
      </c>
      <c r="J66" s="511" t="n"/>
      <c r="K66" s="518">
        <f>IF($AB66=0,"",IF(COUNTIFS($C$430:$C$729,INDEX('_예비비계산'!$BA$120:$BA$556,$AB66),$N$430:$N$729,"OK")&gt;0,"정산 연결",INDEX(잔액!$B:$B,INDEX('_예비비계산'!$BA$120:$BA$556,$AB66))))</f>
      </c>
      <c r="L66" s="511" t="n"/>
      <c r="M66" s="518">
        <f>IF($AB66=0,"",HYPERLINK("#'잔액'!A"&amp;INDEX('_예비비계산'!$BA$120:$BA$556,$AB66),"원장 "&amp;INDEX('_예비비계산'!$BA$120:$BA$556,$AB66)&amp;"행 ↗"))</f>
      </c>
      <c r="N66" s="511" t="n"/>
      <c r="O66" s="511" t="n"/>
      <c r="AB66" s="504">
        <f>IFERROR(MATCH(($AC$60-1)*12+5,'_예비비계산'!$BH$120:$BH$556,0),0)</f>
        <v>0</v>
      </c>
    </row>
    <row r="67" ht="24" customHeight="1">
      <c r="A67" s="518">
        <f>IF($AB67=0,"",TEXT(INDEX(잔액!$A:$A,INDEX('_예비비계산'!$BA$120:$BA$556,$AB67)),IF(INDEX(잔액!$L:$L,INDEX('_예비비계산'!$BA$120:$BA$556,$AB67))="원본WRAP","yyyy-mm","yyyy-mm-dd")))</f>
      </c>
      <c r="B67" s="518">
        <f>IF($AB67=0,"",INDEX(잔액!$F:$F,INDEX('_예비비계산'!$BA$120:$BA$556,$AB67)))</f>
      </c>
      <c r="C67" s="511" t="n"/>
      <c r="D67" s="518">
        <f>IF($AB67=0,"",INDEX(잔액!$C:$C,INDEX('_예비비계산'!$BA$120:$BA$556,$AB67)))</f>
      </c>
      <c r="E67" s="511" t="n"/>
      <c r="F67" s="518">
        <f>IF($AB67=0,"",IF(INDEX(잔액!$K:$K,INDEX('_예비비계산'!$BA$120:$BA$556,$AB67))&lt;&gt;"",INDEX(잔액!$K:$K,INDEX('_예비비계산'!$BA$120:$BA$556,$AB67)),INDEX(잔액!$D:$D,INDEX('_예비비계산'!$BA$120:$BA$556,$AB67))))</f>
      </c>
      <c r="G67" s="511" t="n"/>
      <c r="H67" s="511" t="n"/>
      <c r="I67" s="521">
        <f>IF($AB67=0,"",INDEX(잔액!$Y:$Y,INDEX('_예비비계산'!$BA$120:$BA$556,$AB67)))</f>
      </c>
      <c r="J67" s="511" t="n"/>
      <c r="K67" s="518">
        <f>IF($AB67=0,"",IF(COUNTIFS($C$430:$C$729,INDEX('_예비비계산'!$BA$120:$BA$556,$AB67),$N$430:$N$729,"OK")&gt;0,"정산 연결",INDEX(잔액!$B:$B,INDEX('_예비비계산'!$BA$120:$BA$556,$AB67))))</f>
      </c>
      <c r="L67" s="511" t="n"/>
      <c r="M67" s="518">
        <f>IF($AB67=0,"",HYPERLINK("#'잔액'!A"&amp;INDEX('_예비비계산'!$BA$120:$BA$556,$AB67),"원장 "&amp;INDEX('_예비비계산'!$BA$120:$BA$556,$AB67)&amp;"행 ↗"))</f>
      </c>
      <c r="N67" s="511" t="n"/>
      <c r="O67" s="511" t="n"/>
      <c r="AB67" s="504">
        <f>IFERROR(MATCH(($AC$60-1)*12+6,'_예비비계산'!$BH$120:$BH$556,0),0)</f>
        <v>0</v>
      </c>
    </row>
    <row r="68" ht="24" customHeight="1">
      <c r="A68" s="518">
        <f>IF($AB68=0,"",TEXT(INDEX(잔액!$A:$A,INDEX('_예비비계산'!$BA$120:$BA$556,$AB68)),IF(INDEX(잔액!$L:$L,INDEX('_예비비계산'!$BA$120:$BA$556,$AB68))="원본WRAP","yyyy-mm","yyyy-mm-dd")))</f>
      </c>
      <c r="B68" s="518">
        <f>IF($AB68=0,"",INDEX(잔액!$F:$F,INDEX('_예비비계산'!$BA$120:$BA$556,$AB68)))</f>
      </c>
      <c r="C68" s="511" t="n"/>
      <c r="D68" s="518">
        <f>IF($AB68=0,"",INDEX(잔액!$C:$C,INDEX('_예비비계산'!$BA$120:$BA$556,$AB68)))</f>
      </c>
      <c r="E68" s="511" t="n"/>
      <c r="F68" s="518">
        <f>IF($AB68=0,"",IF(INDEX(잔액!$K:$K,INDEX('_예비비계산'!$BA$120:$BA$556,$AB68))&lt;&gt;"",INDEX(잔액!$K:$K,INDEX('_예비비계산'!$BA$120:$BA$556,$AB68)),INDEX(잔액!$D:$D,INDEX('_예비비계산'!$BA$120:$BA$556,$AB68))))</f>
      </c>
      <c r="G68" s="511" t="n"/>
      <c r="H68" s="511" t="n"/>
      <c r="I68" s="521">
        <f>IF($AB68=0,"",INDEX(잔액!$Y:$Y,INDEX('_예비비계산'!$BA$120:$BA$556,$AB68)))</f>
      </c>
      <c r="J68" s="511" t="n"/>
      <c r="K68" s="518">
        <f>IF($AB68=0,"",IF(COUNTIFS($C$430:$C$729,INDEX('_예비비계산'!$BA$120:$BA$556,$AB68),$N$430:$N$729,"OK")&gt;0,"정산 연결",INDEX(잔액!$B:$B,INDEX('_예비비계산'!$BA$120:$BA$556,$AB68))))</f>
      </c>
      <c r="L68" s="511" t="n"/>
      <c r="M68" s="518">
        <f>IF($AB68=0,"",HYPERLINK("#'잔액'!A"&amp;INDEX('_예비비계산'!$BA$120:$BA$556,$AB68),"원장 "&amp;INDEX('_예비비계산'!$BA$120:$BA$556,$AB68)&amp;"행 ↗"))</f>
      </c>
      <c r="N68" s="511" t="n"/>
      <c r="O68" s="511" t="n"/>
      <c r="AB68" s="504">
        <f>IFERROR(MATCH(($AC$60-1)*12+7,'_예비비계산'!$BH$120:$BH$556,0),0)</f>
        <v>0</v>
      </c>
    </row>
    <row r="69" ht="24" customHeight="1">
      <c r="A69" s="518">
        <f>IF($AB69=0,"",TEXT(INDEX(잔액!$A:$A,INDEX('_예비비계산'!$BA$120:$BA$556,$AB69)),IF(INDEX(잔액!$L:$L,INDEX('_예비비계산'!$BA$120:$BA$556,$AB69))="원본WRAP","yyyy-mm","yyyy-mm-dd")))</f>
      </c>
      <c r="B69" s="518">
        <f>IF($AB69=0,"",INDEX(잔액!$F:$F,INDEX('_예비비계산'!$BA$120:$BA$556,$AB69)))</f>
      </c>
      <c r="C69" s="511" t="n"/>
      <c r="D69" s="518">
        <f>IF($AB69=0,"",INDEX(잔액!$C:$C,INDEX('_예비비계산'!$BA$120:$BA$556,$AB69)))</f>
      </c>
      <c r="E69" s="511" t="n"/>
      <c r="F69" s="518">
        <f>IF($AB69=0,"",IF(INDEX(잔액!$K:$K,INDEX('_예비비계산'!$BA$120:$BA$556,$AB69))&lt;&gt;"",INDEX(잔액!$K:$K,INDEX('_예비비계산'!$BA$120:$BA$556,$AB69)),INDEX(잔액!$D:$D,INDEX('_예비비계산'!$BA$120:$BA$556,$AB69))))</f>
      </c>
      <c r="G69" s="511" t="n"/>
      <c r="H69" s="511" t="n"/>
      <c r="I69" s="521">
        <f>IF($AB69=0,"",INDEX(잔액!$Y:$Y,INDEX('_예비비계산'!$BA$120:$BA$556,$AB69)))</f>
      </c>
      <c r="J69" s="511" t="n"/>
      <c r="K69" s="518">
        <f>IF($AB69=0,"",IF(COUNTIFS($C$430:$C$729,INDEX('_예비비계산'!$BA$120:$BA$556,$AB69),$N$430:$N$729,"OK")&gt;0,"정산 연결",INDEX(잔액!$B:$B,INDEX('_예비비계산'!$BA$120:$BA$556,$AB69))))</f>
      </c>
      <c r="L69" s="511" t="n"/>
      <c r="M69" s="518">
        <f>IF($AB69=0,"",HYPERLINK("#'잔액'!A"&amp;INDEX('_예비비계산'!$BA$120:$BA$556,$AB69),"원장 "&amp;INDEX('_예비비계산'!$BA$120:$BA$556,$AB69)&amp;"행 ↗"))</f>
      </c>
      <c r="N69" s="511" t="n"/>
      <c r="O69" s="511" t="n"/>
      <c r="AB69" s="504">
        <f>IFERROR(MATCH(($AC$60-1)*12+8,'_예비비계산'!$BH$120:$BH$556,0),0)</f>
        <v>0</v>
      </c>
    </row>
    <row r="70" ht="24" customHeight="1">
      <c r="A70" s="518">
        <f>IF($AB70=0,"",TEXT(INDEX(잔액!$A:$A,INDEX('_예비비계산'!$BA$120:$BA$556,$AB70)),IF(INDEX(잔액!$L:$L,INDEX('_예비비계산'!$BA$120:$BA$556,$AB70))="원본WRAP","yyyy-mm","yyyy-mm-dd")))</f>
      </c>
      <c r="B70" s="518">
        <f>IF($AB70=0,"",INDEX(잔액!$F:$F,INDEX('_예비비계산'!$BA$120:$BA$556,$AB70)))</f>
      </c>
      <c r="C70" s="511" t="n"/>
      <c r="D70" s="518">
        <f>IF($AB70=0,"",INDEX(잔액!$C:$C,INDEX('_예비비계산'!$BA$120:$BA$556,$AB70)))</f>
      </c>
      <c r="E70" s="511" t="n"/>
      <c r="F70" s="518">
        <f>IF($AB70=0,"",IF(INDEX(잔액!$K:$K,INDEX('_예비비계산'!$BA$120:$BA$556,$AB70))&lt;&gt;"",INDEX(잔액!$K:$K,INDEX('_예비비계산'!$BA$120:$BA$556,$AB70)),INDEX(잔액!$D:$D,INDEX('_예비비계산'!$BA$120:$BA$556,$AB70))))</f>
      </c>
      <c r="G70" s="511" t="n"/>
      <c r="H70" s="511" t="n"/>
      <c r="I70" s="521">
        <f>IF($AB70=0,"",INDEX(잔액!$Y:$Y,INDEX('_예비비계산'!$BA$120:$BA$556,$AB70)))</f>
      </c>
      <c r="J70" s="511" t="n"/>
      <c r="K70" s="518">
        <f>IF($AB70=0,"",IF(COUNTIFS($C$430:$C$729,INDEX('_예비비계산'!$BA$120:$BA$556,$AB70),$N$430:$N$729,"OK")&gt;0,"정산 연결",INDEX(잔액!$B:$B,INDEX('_예비비계산'!$BA$120:$BA$556,$AB70))))</f>
      </c>
      <c r="L70" s="511" t="n"/>
      <c r="M70" s="518">
        <f>IF($AB70=0,"",HYPERLINK("#'잔액'!A"&amp;INDEX('_예비비계산'!$BA$120:$BA$556,$AB70),"원장 "&amp;INDEX('_예비비계산'!$BA$120:$BA$556,$AB70)&amp;"행 ↗"))</f>
      </c>
      <c r="N70" s="511" t="n"/>
      <c r="O70" s="511" t="n"/>
      <c r="AB70" s="504">
        <f>IFERROR(MATCH(($AC$60-1)*12+9,'_예비비계산'!$BH$120:$BH$556,0),0)</f>
        <v>0</v>
      </c>
    </row>
    <row r="71" ht="24" customHeight="1">
      <c r="A71" s="518">
        <f>IF($AB71=0,"",TEXT(INDEX(잔액!$A:$A,INDEX('_예비비계산'!$BA$120:$BA$556,$AB71)),IF(INDEX(잔액!$L:$L,INDEX('_예비비계산'!$BA$120:$BA$556,$AB71))="원본WRAP","yyyy-mm","yyyy-mm-dd")))</f>
      </c>
      <c r="B71" s="518">
        <f>IF($AB71=0,"",INDEX(잔액!$F:$F,INDEX('_예비비계산'!$BA$120:$BA$556,$AB71)))</f>
      </c>
      <c r="C71" s="511" t="n"/>
      <c r="D71" s="518">
        <f>IF($AB71=0,"",INDEX(잔액!$C:$C,INDEX('_예비비계산'!$BA$120:$BA$556,$AB71)))</f>
      </c>
      <c r="E71" s="511" t="n"/>
      <c r="F71" s="518">
        <f>IF($AB71=0,"",IF(INDEX(잔액!$K:$K,INDEX('_예비비계산'!$BA$120:$BA$556,$AB71))&lt;&gt;"",INDEX(잔액!$K:$K,INDEX('_예비비계산'!$BA$120:$BA$556,$AB71)),INDEX(잔액!$D:$D,INDEX('_예비비계산'!$BA$120:$BA$556,$AB71))))</f>
      </c>
      <c r="G71" s="511" t="n"/>
      <c r="H71" s="511" t="n"/>
      <c r="I71" s="521">
        <f>IF($AB71=0,"",INDEX(잔액!$Y:$Y,INDEX('_예비비계산'!$BA$120:$BA$556,$AB71)))</f>
      </c>
      <c r="J71" s="511" t="n"/>
      <c r="K71" s="518">
        <f>IF($AB71=0,"",IF(COUNTIFS($C$430:$C$729,INDEX('_예비비계산'!$BA$120:$BA$556,$AB71),$N$430:$N$729,"OK")&gt;0,"정산 연결",INDEX(잔액!$B:$B,INDEX('_예비비계산'!$BA$120:$BA$556,$AB71))))</f>
      </c>
      <c r="L71" s="511" t="n"/>
      <c r="M71" s="518">
        <f>IF($AB71=0,"",HYPERLINK("#'잔액'!A"&amp;INDEX('_예비비계산'!$BA$120:$BA$556,$AB71),"원장 "&amp;INDEX('_예비비계산'!$BA$120:$BA$556,$AB71)&amp;"행 ↗"))</f>
      </c>
      <c r="N71" s="511" t="n"/>
      <c r="O71" s="511" t="n"/>
      <c r="AB71" s="504">
        <f>IFERROR(MATCH(($AC$60-1)*12+10,'_예비비계산'!$BH$120:$BH$556,0),0)</f>
        <v>0</v>
      </c>
    </row>
    <row r="72" ht="24" customHeight="1">
      <c r="A72" s="518">
        <f>IF($AB72=0,"",TEXT(INDEX(잔액!$A:$A,INDEX('_예비비계산'!$BA$120:$BA$556,$AB72)),IF(INDEX(잔액!$L:$L,INDEX('_예비비계산'!$BA$120:$BA$556,$AB72))="원본WRAP","yyyy-mm","yyyy-mm-dd")))</f>
      </c>
      <c r="B72" s="518">
        <f>IF($AB72=0,"",INDEX(잔액!$F:$F,INDEX('_예비비계산'!$BA$120:$BA$556,$AB72)))</f>
      </c>
      <c r="C72" s="511" t="n"/>
      <c r="D72" s="518">
        <f>IF($AB72=0,"",INDEX(잔액!$C:$C,INDEX('_예비비계산'!$BA$120:$BA$556,$AB72)))</f>
      </c>
      <c r="E72" s="511" t="n"/>
      <c r="F72" s="518">
        <f>IF($AB72=0,"",IF(INDEX(잔액!$K:$K,INDEX('_예비비계산'!$BA$120:$BA$556,$AB72))&lt;&gt;"",INDEX(잔액!$K:$K,INDEX('_예비비계산'!$BA$120:$BA$556,$AB72)),INDEX(잔액!$D:$D,INDEX('_예비비계산'!$BA$120:$BA$556,$AB72))))</f>
      </c>
      <c r="G72" s="511" t="n"/>
      <c r="H72" s="511" t="n"/>
      <c r="I72" s="521">
        <f>IF($AB72=0,"",INDEX(잔액!$Y:$Y,INDEX('_예비비계산'!$BA$120:$BA$556,$AB72)))</f>
      </c>
      <c r="J72" s="511" t="n"/>
      <c r="K72" s="518">
        <f>IF($AB72=0,"",IF(COUNTIFS($C$430:$C$729,INDEX('_예비비계산'!$BA$120:$BA$556,$AB72),$N$430:$N$729,"OK")&gt;0,"정산 연결",INDEX(잔액!$B:$B,INDEX('_예비비계산'!$BA$120:$BA$556,$AB72))))</f>
      </c>
      <c r="L72" s="511" t="n"/>
      <c r="M72" s="518">
        <f>IF($AB72=0,"",HYPERLINK("#'잔액'!A"&amp;INDEX('_예비비계산'!$BA$120:$BA$556,$AB72),"원장 "&amp;INDEX('_예비비계산'!$BA$120:$BA$556,$AB72)&amp;"행 ↗"))</f>
      </c>
      <c r="N72" s="511" t="n"/>
      <c r="O72" s="511" t="n"/>
      <c r="AB72" s="504">
        <f>IFERROR(MATCH(($AC$60-1)*12+11,'_예비비계산'!$BH$120:$BH$556,0),0)</f>
        <v>0</v>
      </c>
    </row>
    <row r="73" ht="24" customHeight="1">
      <c r="A73" s="518">
        <f>IF($AB73=0,"",TEXT(INDEX(잔액!$A:$A,INDEX('_예비비계산'!$BA$120:$BA$556,$AB73)),IF(INDEX(잔액!$L:$L,INDEX('_예비비계산'!$BA$120:$BA$556,$AB73))="원본WRAP","yyyy-mm","yyyy-mm-dd")))</f>
      </c>
      <c r="B73" s="518">
        <f>IF($AB73=0,"",INDEX(잔액!$F:$F,INDEX('_예비비계산'!$BA$120:$BA$556,$AB73)))</f>
      </c>
      <c r="C73" s="511" t="n"/>
      <c r="D73" s="518">
        <f>IF($AB73=0,"",INDEX(잔액!$C:$C,INDEX('_예비비계산'!$BA$120:$BA$556,$AB73)))</f>
      </c>
      <c r="E73" s="511" t="n"/>
      <c r="F73" s="518">
        <f>IF($AB73=0,"",IF(INDEX(잔액!$K:$K,INDEX('_예비비계산'!$BA$120:$BA$556,$AB73))&lt;&gt;"",INDEX(잔액!$K:$K,INDEX('_예비비계산'!$BA$120:$BA$556,$AB73)),INDEX(잔액!$D:$D,INDEX('_예비비계산'!$BA$120:$BA$556,$AB73))))</f>
      </c>
      <c r="G73" s="511" t="n"/>
      <c r="H73" s="511" t="n"/>
      <c r="I73" s="521">
        <f>IF($AB73=0,"",INDEX(잔액!$Y:$Y,INDEX('_예비비계산'!$BA$120:$BA$556,$AB73)))</f>
      </c>
      <c r="J73" s="511" t="n"/>
      <c r="K73" s="518">
        <f>IF($AB73=0,"",IF(COUNTIFS($C$430:$C$729,INDEX('_예비비계산'!$BA$120:$BA$556,$AB73),$N$430:$N$729,"OK")&gt;0,"정산 연결",INDEX(잔액!$B:$B,INDEX('_예비비계산'!$BA$120:$BA$556,$AB73))))</f>
      </c>
      <c r="L73" s="511" t="n"/>
      <c r="M73" s="518">
        <f>IF($AB73=0,"",HYPERLINK("#'잔액'!A"&amp;INDEX('_예비비계산'!$BA$120:$BA$556,$AB73),"원장 "&amp;INDEX('_예비비계산'!$BA$120:$BA$556,$AB73)&amp;"행 ↗"))</f>
      </c>
      <c r="N73" s="511" t="n"/>
      <c r="O73" s="511" t="n"/>
      <c r="AB73" s="504">
        <f>IFERROR(MATCH(($AC$60-1)*12+12,'_예비비계산'!$BH$120:$BH$556,0),0)</f>
        <v>0</v>
      </c>
    </row>
    <row r="74" ht="24" customHeight="1">
      <c r="A74" s="506" t="n"/>
      <c r="B74" s="506" t="n"/>
      <c r="C74" s="506" t="n"/>
      <c r="D74" s="506" t="n"/>
      <c r="E74" s="506" t="n"/>
      <c r="F74" s="506" t="n"/>
      <c r="G74" s="506" t="n"/>
      <c r="H74" s="506" t="n"/>
      <c r="I74" s="506" t="n"/>
      <c r="J74" s="506" t="n"/>
      <c r="K74" s="506" t="n"/>
      <c r="L74" s="506" t="n"/>
      <c r="M74" s="506" t="n"/>
      <c r="N74" s="506" t="n"/>
      <c r="O74" s="506" t="n"/>
    </row>
    <row r="75" ht="24" customHeight="1">
      <c r="A75" s="502" t="inlineStr">
        <is>
          <t>새 사용은 아래 사용등록에 RAW행·예비비 항목만 지정합니다. 정산은 사용ID·원장행·금액을 연결합니다. 조회표에 직접 입력하지 않습니다.</t>
        </is>
      </c>
      <c r="B75" s="503" t="n"/>
      <c r="C75" s="503" t="n"/>
      <c r="D75" s="503" t="n"/>
      <c r="E75" s="503" t="n"/>
      <c r="F75" s="503" t="n"/>
      <c r="G75" s="503" t="n"/>
      <c r="H75" s="503" t="n"/>
      <c r="I75" s="503" t="n"/>
      <c r="J75" s="503" t="n"/>
      <c r="K75" s="503" t="n"/>
      <c r="L75" s="503" t="n"/>
      <c r="M75" s="503" t="n"/>
      <c r="N75" s="503" t="n"/>
      <c r="O75" s="503" t="n"/>
    </row>
    <row r="76" ht="24" customHeight="1">
      <c r="A76" s="502" t="inlineStr">
        <is>
          <t xml:space="preserve">생신 사용 239,000원 = 명절비 200,000 + 임시보관 39,000. 잔금 61,000원 회수는 신규 수입·사용이 아닙니다.</t>
        </is>
      </c>
      <c r="B76" s="503" t="n"/>
      <c r="C76" s="503" t="n"/>
      <c r="D76" s="503" t="n"/>
      <c r="E76" s="503" t="n"/>
      <c r="F76" s="503" t="n"/>
      <c r="G76" s="503" t="n"/>
      <c r="H76" s="503" t="n"/>
      <c r="I76" s="503" t="n"/>
      <c r="J76" s="503" t="n"/>
      <c r="K76" s="503" t="n"/>
      <c r="L76" s="503" t="n"/>
      <c r="M76" s="503" t="n"/>
      <c r="N76" s="503" t="n"/>
      <c r="O76" s="503" t="n"/>
    </row>
    <row r="77" ht="24" customHeight="1">
      <c r="A77" s="506" t="n"/>
      <c r="B77" s="506" t="n"/>
      <c r="C77" s="506" t="n"/>
      <c r="D77" s="506" t="n"/>
      <c r="E77" s="506" t="n"/>
      <c r="F77" s="506" t="n"/>
      <c r="G77" s="506" t="n"/>
      <c r="H77" s="506" t="n"/>
      <c r="I77" s="506" t="n"/>
      <c r="J77" s="506" t="n"/>
      <c r="K77" s="506" t="n"/>
      <c r="L77" s="506" t="n"/>
      <c r="M77" s="506" t="n"/>
      <c r="N77" s="506" t="n"/>
      <c r="O77" s="506" t="n"/>
    </row>
    <row r="78" ht="24" customHeight="1">
      <c r="A78" s="502" t="str">
        <f>HYPERLINK("#'예비비'!A98","사용 등록 자료 펼치기 ↓")</f>
        <v>사용 등록 자료 펼치기 ↓</v>
      </c>
      <c r="B78" s="503" t="n"/>
      <c r="C78" s="503" t="n"/>
      <c r="D78" s="503" t="n"/>
      <c r="E78" s="503" t="n"/>
      <c r="F78" s="503" t="n"/>
      <c r="G78" s="503" t="n"/>
      <c r="H78" s="503" t="n"/>
      <c r="I78" s="503" t="n"/>
      <c r="J78" s="503" t="n"/>
      <c r="K78" s="503" t="n"/>
      <c r="L78" s="503" t="n"/>
      <c r="M78" s="503" t="n"/>
      <c r="N78" s="503" t="n"/>
      <c r="O78" s="503" t="n"/>
    </row>
    <row r="79" ht="24" customHeight="1">
      <c r="A79" s="502" t="str">
        <f>HYPERLINK("#'예비비'!A428","이체 연결 자료 펼치기 ↓")</f>
        <v>이체 연결 자료 펼치기 ↓</v>
      </c>
      <c r="B79" s="503" t="n"/>
      <c r="C79" s="503" t="n"/>
      <c r="D79" s="503" t="n"/>
      <c r="E79" s="503" t="n"/>
      <c r="F79" s="503" t="n"/>
      <c r="G79" s="503" t="n"/>
      <c r="H79" s="503" t="n"/>
      <c r="I79" s="503" t="n"/>
      <c r="J79" s="503" t="n"/>
      <c r="K79" s="503" t="n"/>
      <c r="L79" s="503" t="n"/>
      <c r="M79" s="503" t="n"/>
      <c r="N79" s="503" t="n"/>
      <c r="O79" s="503" t="n"/>
    </row>
    <row r="98">
      <c r="A98" s="499" t="str">
        <f>"사용 등록 ("&amp;COUNTIF($A$100:$A$399,"?*")&amp;"/300) | 왼쪽 +로 펼침. RAW행(F)·항목(C) 지정, 필요시 부담액(E) 수정."</f>
        <v>사용 등록 (78/300) | 왼쪽 +로 펼침. RAW행(F)·항목(C) 지정, 필요시 부담액(E) 수정.</v>
      </c>
      <c r="B98" s="500" t="n"/>
      <c r="C98" s="500" t="n"/>
      <c r="D98" s="500" t="n"/>
      <c r="E98" s="500" t="n"/>
      <c r="F98" s="500" t="n"/>
      <c r="G98" s="500" t="n"/>
      <c r="H98" s="500" t="n"/>
      <c r="I98" s="500" t="n"/>
      <c r="J98" s="500" t="n"/>
      <c r="K98" s="500" t="n"/>
      <c r="L98" s="500" t="n"/>
      <c r="M98" s="500" t="n"/>
      <c r="N98" s="500" t="n"/>
      <c r="O98" s="500" t="n"/>
    </row>
    <row r="99" collapsed="1" ht="30" customHeight="1">
      <c r="A99" s="507" t="inlineStr">
        <is>
          <t>사용ID</t>
        </is>
      </c>
      <c r="B99" s="507" t="inlineStr">
        <is>
          <t>내용</t>
        </is>
      </c>
      <c r="C99" s="507" t="inlineStr">
        <is>
          <t>예비비 항목</t>
        </is>
      </c>
      <c r="D99" s="507" t="inlineStr">
        <is>
          <t>사용일/월</t>
        </is>
      </c>
      <c r="E99" s="507" t="inlineStr">
        <is>
          <t>본인 부담액</t>
        </is>
      </c>
      <c r="F99" s="507" t="inlineStr">
        <is>
          <t>RAW행</t>
        </is>
      </c>
      <c r="G99" s="507" t="inlineStr">
        <is>
          <t>반영 구분</t>
        </is>
      </c>
      <c r="H99" s="507" t="inlineStr">
        <is>
          <t>메모</t>
        </is>
      </c>
      <c r="I99" s="507" t="n"/>
      <c r="J99" s="507" t="n"/>
      <c r="K99" s="507" t="n"/>
      <c r="L99" s="507" t="n"/>
      <c r="M99" s="507" t="n"/>
      <c r="N99" s="507" t="n"/>
      <c r="O99" s="507" t="n"/>
    </row>
    <row r="100" hidden="1" outlineLevel="1">
      <c r="A100" s="504" t="inlineStr">
        <is>
          <t>U001</t>
        </is>
      </c>
      <c r="B100" s="504" t="inlineStr">
        <is>
          <t>여동생 생일</t>
        </is>
      </c>
      <c r="C100" s="522" t="inlineStr">
        <is>
          <t>경조사비</t>
        </is>
      </c>
      <c r="D100" s="524" t="n">
        <v>46023</v>
      </c>
      <c r="E100" s="525" t="n">
        <v>50000</v>
      </c>
      <c r="F100" s="522" t="n"/>
      <c r="G100" s="504" t="inlineStr">
        <is>
          <t>월기록</t>
        </is>
      </c>
      <c r="H100" s="504" t="inlineStr">
        <is>
          <t>1월 사용 기록 · 일자 미기록</t>
        </is>
      </c>
      <c r="O100" s="498">
        <f>IF(LEFT(R100,2)="확인",R100,"")</f>
      </c>
      <c r="R100" s="504" t="str">
        <f>IF(A100="","",IF(C100="생활비","생활비",IF(AND(COUNTIF($A$8:$A$12,C100)=1,ISNUMBER(D100),E100&gt;0,COUNTIF($A$100:$A$399,A100)=1,IFERROR(IF(F100="",AND(LEFT(A100,1)="U",G100="월기록"),AND(F100&gt;=2,COUNTIF($F$100:$F$399,F100)=1,INDEX(RAW!$H:$H,MAX(2,F100))="지출",D100=INDEX(RAW!$A:$A,MAX(2,F100)),E100&lt;=INDEX(RAW!$K:$K,MAX(2,F100)),OR(AND(G100="기존반영",OR(A100="U003",A100="U007")),AND(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AND(OR(A100&lt;&gt;"U003",F100=356),OR(A100&lt;&gt;"U007",F100=2203),OR(G100&lt;&gt;"기존반영",A100="U003",A100="U007")))),FALSE)),"OK","확인: 사용등록")))</f>
        <v>OK</v>
      </c>
      <c r="S100" s="504">
        <f>IF(ISNUMBER(D100),DATE(YEAR(D100),MONTH(D100),1),0)</f>
        <v>46023.0</v>
      </c>
      <c r="T100" s="526">
        <f>IF(R100="OK",SUMIFS($O$430:$O$729,$B$430:$B$729,A100,$E$430:$E$729,"&lt;"&amp;EDATE($B$3,1)),0)</f>
        <v>50000</v>
      </c>
      <c r="U100" s="526">
        <f>IF(AND(R100="OK",D100&lt;EDATE($B$3,1),$B$3&gt;=DATE(2026,3,1)),MAX(0,E100-T100),0)</f>
        <v>0</v>
      </c>
      <c r="V100" s="526">
        <f>IFERROR(IF(AND(R100="OK",AND(F100&gt;=2,G100&lt;&gt;"기존반영",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E100,0),0)</f>
        <v>0</v>
      </c>
      <c r="W100" s="526">
        <f>IF(V100&gt;0,ROUNDUP(INDEX(RAW!$K:$K,MAX(2,F100))/1000,0)*1000-ROUNDUP((INDEX(RAW!$K:$K,MAX(2,F100))-V100)/1000,0)*1000,0)</f>
        <v>0</v>
      </c>
      <c r="X100" s="504">
        <f>IF(AND(R100="OK",IF($B$43="전체",D100&lt;EDATE($B$3,1),IF($B$43="미정산",U100&gt;0,OR(S100=$B$3,Z100&gt;0,U100&gt;0)))),1,0)</f>
        <v>0</v>
      </c>
      <c r="Y100" s="504">
        <f>IF(X100=1,COUNTIF($X$100:X100,1),0)</f>
        <v>0</v>
      </c>
      <c r="Z100" s="526">
        <f>IF(R100="OK",SUMIFS($O$430:$O$729,$B$430:$B$729,A100,$E$430:$E$729,"&gt;="&amp;$B$3,$E$430:$E$729,"&lt;"&amp;EDATE($B$3,1)),0)</f>
        <v>0</v>
      </c>
    </row>
    <row r="101" hidden="1" outlineLevel="1">
      <c r="A101" s="504" t="inlineStr">
        <is>
          <t>U002</t>
        </is>
      </c>
      <c r="B101" s="504" t="inlineStr">
        <is>
          <t>설 명절</t>
        </is>
      </c>
      <c r="C101" s="522" t="inlineStr">
        <is>
          <t>명절비</t>
        </is>
      </c>
      <c r="D101" s="524" t="n">
        <v>46054</v>
      </c>
      <c r="E101" s="525" t="n">
        <v>100000</v>
      </c>
      <c r="F101" s="522" t="n"/>
      <c r="G101" s="504" t="inlineStr">
        <is>
          <t>월기록</t>
        </is>
      </c>
      <c r="H101" s="504" t="inlineStr">
        <is>
          <t>기존 예비비 2월 사용 · 원장 시작 전</t>
        </is>
      </c>
      <c r="O101" s="498">
        <f>IF(LEFT(R101,2)="확인",R101,"")</f>
      </c>
      <c r="R101" s="504" t="str">
        <f>IF(A101="","",IF(C101="생활비","생활비",IF(AND(COUNTIF($A$8:$A$12,C101)=1,ISNUMBER(D101),E101&gt;0,COUNTIF($A$100:$A$399,A101)=1,IFERROR(IF(F101="",AND(LEFT(A101,1)="U",G101="월기록"),AND(F101&gt;=2,COUNTIF($F$100:$F$399,F101)=1,INDEX(RAW!$H:$H,MAX(2,F101))="지출",D101=INDEX(RAW!$A:$A,MAX(2,F101)),E101&lt;=INDEX(RAW!$K:$K,MAX(2,F101)),OR(AND(G101="기존반영",OR(A101="U003",A101="U007")),AND(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AND(OR(A101&lt;&gt;"U003",F101=356),OR(A101&lt;&gt;"U007",F101=2203),OR(G101&lt;&gt;"기존반영",A101="U003",A101="U007")))),FALSE)),"OK","확인: 사용등록")))</f>
        <v>OK</v>
      </c>
      <c r="S101" s="504">
        <f>IF(ISNUMBER(D101),DATE(YEAR(D101),MONTH(D101),1),0)</f>
        <v>46054.0</v>
      </c>
      <c r="T101" s="526">
        <f>IF(R101="OK",SUMIFS($O$430:$O$729,$B$430:$B$729,A101,$E$430:$E$729,"&lt;"&amp;EDATE($B$3,1)),0)</f>
        <v>100000</v>
      </c>
      <c r="U101" s="526">
        <f>IF(AND(R101="OK",D101&lt;EDATE($B$3,1),$B$3&gt;=DATE(2026,3,1)),MAX(0,E101-T101),0)</f>
        <v>0</v>
      </c>
      <c r="V101" s="526">
        <f>IFERROR(IF(AND(R101="OK",AND(F101&gt;=2,G101&lt;&gt;"기존반영",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E101,0),0)</f>
        <v>0</v>
      </c>
      <c r="W101" s="526">
        <f>IF(V101&gt;0,ROUNDUP(INDEX(RAW!$K:$K,MAX(2,F101))/1000,0)*1000-ROUNDUP((INDEX(RAW!$K:$K,MAX(2,F101))-V101)/1000,0)*1000,0)</f>
        <v>0</v>
      </c>
      <c r="X101" s="504">
        <f>IF(AND(R101="OK",IF($B$43="전체",D101&lt;EDATE($B$3,1),IF($B$43="미정산",U101&gt;0,OR(S101=$B$3,Z101&gt;0,U101&gt;0)))),1,0)</f>
        <v>0</v>
      </c>
      <c r="Y101" s="504">
        <f>IF(X101=1,COUNTIF($X$100:X101,1),0)</f>
        <v>0</v>
      </c>
      <c r="Z101" s="526">
        <f>IF(R101="OK",SUMIFS($O$430:$O$729,$B$430:$B$729,A101,$E$430:$E$729,"&gt;="&amp;$B$3,$E$430:$E$729,"&lt;"&amp;EDATE($B$3,1)),0)</f>
        <v>0</v>
      </c>
    </row>
    <row r="102" hidden="1" outlineLevel="1">
      <c r="A102" s="504" t="inlineStr">
        <is>
          <t>U003</t>
        </is>
      </c>
      <c r="B102" s="504" t="str">
        <f>IFERROR(INDEX(RAW!$F:$F,MAX(2,F102)),"")</f>
        <v>휴가비지원사업</v>
      </c>
      <c r="C102" s="522" t="inlineStr">
        <is>
          <t>예비비</t>
        </is>
      </c>
      <c r="D102" s="524">
        <f>IFERROR(INDEX(RAW!$A:$A,MAX(2,F102)),"")</f>
        <v>46072.60122685185</v>
      </c>
      <c r="E102" s="525">
        <f>IFERROR(INDEX(RAW!$K:$K,MAX(2,F102)),"")</f>
        <v>200000</v>
      </c>
      <c r="F102" s="522" t="n">
        <v>356</v>
      </c>
      <c r="G102" s="504" t="inlineStr">
        <is>
          <t>기존반영</t>
        </is>
      </c>
      <c r="H102" s="504" t="inlineStr">
        <is>
          <t>사용월은 RAW 실제 2/19. 기존 계획의 1월과 구분</t>
        </is>
      </c>
      <c r="O102" s="498">
        <f>IF(LEFT(R102,2)="확인",R102,"")</f>
      </c>
      <c r="R102" s="504" t="str">
        <f>IF(A102="","",IF(C102="생활비","생활비",IF(AND(COUNTIF($A$8:$A$12,C102)=1,ISNUMBER(D102),E102&gt;0,COUNTIF($A$100:$A$399,A102)=1,IFERROR(IF(F102="",AND(LEFT(A102,1)="U",G102="월기록"),AND(F102&gt;=2,COUNTIF($F$100:$F$399,F102)=1,INDEX(RAW!$H:$H,MAX(2,F102))="지출",D102=INDEX(RAW!$A:$A,MAX(2,F102)),E102&lt;=INDEX(RAW!$K:$K,MAX(2,F102)),OR(AND(G102="기존반영",OR(A102="U003",A102="U007")),AND(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AND(OR(A102&lt;&gt;"U003",F102=356),OR(A102&lt;&gt;"U007",F102=2203),OR(G102&lt;&gt;"기존반영",A102="U003",A102="U007")))),FALSE)),"OK","확인: 사용등록")))</f>
        <v>OK</v>
      </c>
      <c r="S102" s="504">
        <f>IF(ISNUMBER(D102),DATE(YEAR(D102),MONTH(D102),1),0)</f>
        <v>46054.0</v>
      </c>
      <c r="T102" s="526">
        <f>IF(R102="OK",SUMIFS($O$430:$O$729,$B$430:$B$729,A102,$E$430:$E$729,"&lt;"&amp;EDATE($B$3,1)),0)</f>
        <v>200000</v>
      </c>
      <c r="U102" s="526">
        <f>IF(AND(R102="OK",D102&lt;EDATE($B$3,1),$B$3&gt;=DATE(2026,3,1)),MAX(0,E102-T102),0)</f>
        <v>0</v>
      </c>
      <c r="V102" s="526">
        <f>IFERROR(IF(AND(R102="OK",AND(F102&gt;=2,G102&lt;&gt;"기존반영",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E102,0),0)</f>
        <v>0</v>
      </c>
      <c r="W102" s="526">
        <f>IF(V102&gt;0,ROUNDUP(INDEX(RAW!$K:$K,MAX(2,F102))/1000,0)*1000-ROUNDUP((INDEX(RAW!$K:$K,MAX(2,F102))-V102)/1000,0)*1000,0)</f>
        <v>0</v>
      </c>
      <c r="X102" s="504">
        <f>IF(AND(R102="OK",IF($B$43="전체",D102&lt;EDATE($B$3,1),IF($B$43="미정산",U102&gt;0,OR(S102=$B$3,Z102&gt;0,U102&gt;0)))),1,0)</f>
        <v>0</v>
      </c>
      <c r="Y102" s="504">
        <f>IF(X102=1,COUNTIF($X$100:X102,1),0)</f>
        <v>0</v>
      </c>
      <c r="Z102" s="526">
        <f>IF(R102="OK",SUMIFS($O$430:$O$729,$B$430:$B$729,A102,$E$430:$E$729,"&gt;="&amp;$B$3,$E$430:$E$729,"&lt;"&amp;EDATE($B$3,1)),0)</f>
        <v>0</v>
      </c>
    </row>
    <row r="103" hidden="1" outlineLevel="1">
      <c r="A103" s="504" t="inlineStr">
        <is>
          <t>U004</t>
        </is>
      </c>
      <c r="B103" s="504" t="inlineStr">
        <is>
          <t>어버이날</t>
        </is>
      </c>
      <c r="C103" s="522" t="inlineStr">
        <is>
          <t>명절비</t>
        </is>
      </c>
      <c r="D103" s="524" t="n">
        <v>46143</v>
      </c>
      <c r="E103" s="525" t="n">
        <v>148900</v>
      </c>
      <c r="F103" s="522" t="n"/>
      <c r="G103" s="504" t="inlineStr">
        <is>
          <t>월기록</t>
        </is>
      </c>
      <c r="H103" s="504" t="inlineStr">
        <is>
          <t>생활비 이전 51,100원은 사용에서 제외</t>
        </is>
      </c>
      <c r="O103" s="498">
        <f>IF(LEFT(R103,2)="확인",R103,"")</f>
      </c>
      <c r="R103" s="504" t="str">
        <f>IF(A103="","",IF(C103="생활비","생활비",IF(AND(COUNTIF($A$8:$A$12,C103)=1,ISNUMBER(D103),E103&gt;0,COUNTIF($A$100:$A$399,A103)=1,IFERROR(IF(F103="",AND(LEFT(A103,1)="U",G103="월기록"),AND(F103&gt;=2,COUNTIF($F$100:$F$399,F103)=1,INDEX(RAW!$H:$H,MAX(2,F103))="지출",D103=INDEX(RAW!$A:$A,MAX(2,F103)),E103&lt;=INDEX(RAW!$K:$K,MAX(2,F103)),OR(AND(G103="기존반영",OR(A103="U003",A103="U007")),AND(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AND(OR(A103&lt;&gt;"U003",F103=356),OR(A103&lt;&gt;"U007",F103=2203),OR(G103&lt;&gt;"기존반영",A103="U003",A103="U007")))),FALSE)),"OK","확인: 사용등록")))</f>
        <v>OK</v>
      </c>
      <c r="S103" s="504">
        <f>IF(ISNUMBER(D103),DATE(YEAR(D103),MONTH(D103),1),0)</f>
        <v>46143.0</v>
      </c>
      <c r="T103" s="526">
        <f>IF(R103="OK",SUMIFS($O$430:$O$729,$B$430:$B$729,A103,$E$430:$E$729,"&lt;"&amp;EDATE($B$3,1)),0)</f>
        <v>148900</v>
      </c>
      <c r="U103" s="526">
        <f>IF(AND(R103="OK",D103&lt;EDATE($B$3,1),$B$3&gt;=DATE(2026,3,1)),MAX(0,E103-T103),0)</f>
        <v>0</v>
      </c>
      <c r="V103" s="526">
        <f>IFERROR(IF(AND(R103="OK",AND(F103&gt;=2,G103&lt;&gt;"기존반영",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E103,0),0)</f>
        <v>0</v>
      </c>
      <c r="W103" s="526">
        <f>IF(V103&gt;0,ROUNDUP(INDEX(RAW!$K:$K,MAX(2,F103))/1000,0)*1000-ROUNDUP((INDEX(RAW!$K:$K,MAX(2,F103))-V103)/1000,0)*1000,0)</f>
        <v>0</v>
      </c>
      <c r="X103" s="504">
        <f>IF(AND(R103="OK",IF($B$43="전체",D103&lt;EDATE($B$3,1),IF($B$43="미정산",U103&gt;0,OR(S103=$B$3,Z103&gt;0,U103&gt;0)))),1,0)</f>
        <v>0</v>
      </c>
      <c r="Y103" s="504">
        <f>IF(X103=1,COUNTIF($X$100:X103,1),0)</f>
        <v>0</v>
      </c>
      <c r="Z103" s="526">
        <f>IF(R103="OK",SUMIFS($O$430:$O$729,$B$430:$B$729,A103,$E$430:$E$729,"&gt;="&amp;$B$3,$E$430:$E$729,"&lt;"&amp;EDATE($B$3,1)),0)</f>
        <v>0</v>
      </c>
    </row>
    <row r="104" hidden="1" outlineLevel="1">
      <c r="A104" s="504" t="inlineStr">
        <is>
          <t>U005</t>
        </is>
      </c>
      <c r="B104" s="504" t="inlineStr">
        <is>
          <t>한국장학재단 상환</t>
        </is>
      </c>
      <c r="C104" s="522" t="inlineStr">
        <is>
          <t>상환비</t>
        </is>
      </c>
      <c r="D104" s="524" t="n">
        <v>46143</v>
      </c>
      <c r="E104" s="525" t="n">
        <v>313980</v>
      </c>
      <c r="F104" s="522" t="n"/>
      <c r="G104" s="504" t="inlineStr">
        <is>
          <t>월기록</t>
        </is>
      </c>
      <c r="H104" s="504" t="inlineStr">
        <is>
          <t>생활비 이전 36,020원은 사용에서 제외</t>
        </is>
      </c>
      <c r="O104" s="498">
        <f>IF(LEFT(R104,2)="확인",R104,"")</f>
      </c>
      <c r="R104" s="504" t="str">
        <f>IF(A104="","",IF(C104="생활비","생활비",IF(AND(COUNTIF($A$8:$A$12,C104)=1,ISNUMBER(D104),E104&gt;0,COUNTIF($A$100:$A$399,A104)=1,IFERROR(IF(F104="",AND(LEFT(A104,1)="U",G104="월기록"),AND(F104&gt;=2,COUNTIF($F$100:$F$399,F104)=1,INDEX(RAW!$H:$H,MAX(2,F104))="지출",D104=INDEX(RAW!$A:$A,MAX(2,F104)),E104&lt;=INDEX(RAW!$K:$K,MAX(2,F104)),OR(AND(G104="기존반영",OR(A104="U003",A104="U007")),AND(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AND(OR(A104&lt;&gt;"U003",F104=356),OR(A104&lt;&gt;"U007",F104=2203),OR(G104&lt;&gt;"기존반영",A104="U003",A104="U007")))),FALSE)),"OK","확인: 사용등록")))</f>
        <v>OK</v>
      </c>
      <c r="S104" s="504">
        <f>IF(ISNUMBER(D104),DATE(YEAR(D104),MONTH(D104),1),0)</f>
        <v>46143.0</v>
      </c>
      <c r="T104" s="526">
        <f>IF(R104="OK",SUMIFS($O$430:$O$729,$B$430:$B$729,A104,$E$430:$E$729,"&lt;"&amp;EDATE($B$3,1)),0)</f>
        <v>313980</v>
      </c>
      <c r="U104" s="526">
        <f>IF(AND(R104="OK",D104&lt;EDATE($B$3,1),$B$3&gt;=DATE(2026,3,1)),MAX(0,E104-T104),0)</f>
        <v>0</v>
      </c>
      <c r="V104" s="526">
        <f>IFERROR(IF(AND(R104="OK",AND(F104&gt;=2,G104&lt;&gt;"기존반영",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E104,0),0)</f>
        <v>0</v>
      </c>
      <c r="W104" s="526">
        <f>IF(V104&gt;0,ROUNDUP(INDEX(RAW!$K:$K,MAX(2,F104))/1000,0)*1000-ROUNDUP((INDEX(RAW!$K:$K,MAX(2,F104))-V104)/1000,0)*1000,0)</f>
        <v>0</v>
      </c>
      <c r="X104" s="504">
        <f>IF(AND(R104="OK",IF($B$43="전체",D104&lt;EDATE($B$3,1),IF($B$43="미정산",U104&gt;0,OR(S104=$B$3,Z104&gt;0,U104&gt;0)))),1,0)</f>
        <v>0</v>
      </c>
      <c r="Y104" s="504">
        <f>IF(X104=1,COUNTIF($X$100:X104,1),0)</f>
        <v>0</v>
      </c>
      <c r="Z104" s="526">
        <f>IF(R104="OK",SUMIFS($O$430:$O$729,$B$430:$B$729,A104,$E$430:$E$729,"&gt;="&amp;$B$3,$E$430:$E$729,"&lt;"&amp;EDATE($B$3,1)),0)</f>
        <v>0</v>
      </c>
    </row>
    <row r="105" hidden="1" outlineLevel="1">
      <c r="A105" s="504" t="inlineStr">
        <is>
          <t>U006</t>
        </is>
      </c>
      <c r="B105" s="504" t="inlineStr">
        <is>
          <t>하계휴양 숙소</t>
        </is>
      </c>
      <c r="C105" s="522" t="inlineStr">
        <is>
          <t>여행비</t>
        </is>
      </c>
      <c r="D105" s="524" t="n">
        <v>46235</v>
      </c>
      <c r="E105" s="525" t="n">
        <v>300000</v>
      </c>
      <c r="F105" s="522" t="n"/>
      <c r="G105" s="504" t="inlineStr">
        <is>
          <t>월기록</t>
        </is>
      </c>
      <c r="H105" s="504" t="inlineStr">
        <is>
          <t>원본 8월 지급 기록 · 실제 사용일 미기록</t>
        </is>
      </c>
      <c r="O105" s="498">
        <f>IF(LEFT(R105,2)="확인",R105,"")</f>
      </c>
      <c r="R105" s="504" t="str">
        <f>IF(A105="","",IF(C105="생활비","생활비",IF(AND(COUNTIF($A$8:$A$12,C105)=1,ISNUMBER(D105),E105&gt;0,COUNTIF($A$100:$A$399,A105)=1,IFERROR(IF(F105="",AND(LEFT(A105,1)="U",G105="월기록"),AND(F105&gt;=2,COUNTIF($F$100:$F$399,F105)=1,INDEX(RAW!$H:$H,MAX(2,F105))="지출",D105=INDEX(RAW!$A:$A,MAX(2,F105)),E105&lt;=INDEX(RAW!$K:$K,MAX(2,F105)),OR(AND(G105="기존반영",OR(A105="U003",A105="U007")),AND(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AND(OR(A105&lt;&gt;"U003",F105=356),OR(A105&lt;&gt;"U007",F105=2203),OR(G105&lt;&gt;"기존반영",A105="U003",A105="U007")))),FALSE)),"OK","확인: 사용등록")))</f>
        <v>OK</v>
      </c>
      <c r="S105" s="504">
        <f>IF(ISNUMBER(D105),DATE(YEAR(D105),MONTH(D105),1),0)</f>
        <v>46235.0</v>
      </c>
      <c r="T105" s="526">
        <f>IF(R105="OK",SUMIFS($O$430:$O$729,$B$430:$B$729,A105,$E$430:$E$729,"&lt;"&amp;EDATE($B$3,1)),0)</f>
        <v>300000</v>
      </c>
      <c r="U105" s="526">
        <f>IF(AND(R105="OK",D105&lt;EDATE($B$3,1),$B$3&gt;=DATE(2026,3,1)),MAX(0,E105-T105),0)</f>
        <v>0</v>
      </c>
      <c r="V105" s="526">
        <f>IFERROR(IF(AND(R105="OK",AND(F105&gt;=2,G105&lt;&gt;"기존반영",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E105,0),0)</f>
        <v>0</v>
      </c>
      <c r="W105" s="526">
        <f>IF(V105&gt;0,ROUNDUP(INDEX(RAW!$K:$K,MAX(2,F105))/1000,0)*1000-ROUNDUP((INDEX(RAW!$K:$K,MAX(2,F105))-V105)/1000,0)*1000,0)</f>
        <v>0</v>
      </c>
      <c r="X105" s="504">
        <f>IF(AND(R105="OK",IF($B$43="전체",D105&lt;EDATE($B$3,1),IF($B$43="미정산",U105&gt;0,OR(S105=$B$3,Z105&gt;0,U105&gt;0)))),1,0)</f>
        <v>0</v>
      </c>
      <c r="Y105" s="504">
        <f>IF(X105=1,COUNTIF($X$100:X105,1),0)</f>
        <v>0</v>
      </c>
      <c r="Z105" s="526">
        <f>IF(R105="OK",SUMIFS($O$430:$O$729,$B$430:$B$729,A105,$E$430:$E$729,"&gt;="&amp;$B$3,$E$430:$E$729,"&lt;"&amp;EDATE($B$3,1)),0)</f>
        <v>0</v>
      </c>
    </row>
    <row r="106" hidden="1" outlineLevel="1">
      <c r="A106" s="504" t="inlineStr">
        <is>
          <t>U007</t>
        </is>
      </c>
      <c r="B106" s="504" t="str">
        <f>IFERROR(INDEX(RAW!$F:$F,MAX(2,F106)),"")</f>
        <v>지인 생일</v>
      </c>
      <c r="C106" s="522" t="inlineStr">
        <is>
          <t>경조사비</t>
        </is>
      </c>
      <c r="D106" s="524">
        <f>IFERROR(INDEX(RAW!$A:$A,MAX(2,F106)),"")</f>
        <v>46280.94167222222</v>
      </c>
      <c r="E106" s="525">
        <f>IFERROR(INDEX(RAW!$K:$K,MAX(2,F106)),"")</f>
        <v>50000</v>
      </c>
      <c r="F106" s="522" t="n">
        <v>2203</v>
      </c>
      <c r="G106" s="504" t="inlineStr">
        <is>
          <t>기존반영</t>
        </is>
      </c>
      <c r="H106" s="504" t="inlineStr">
        <is>
          <t>9월 월급 부담에서 이미 제외한 50,000원</t>
        </is>
      </c>
      <c r="O106" s="498">
        <f>IF(LEFT(R106,2)="확인",R106,"")</f>
      </c>
      <c r="R106" s="504" t="str">
        <f>IF(A106="","",IF(C106="생활비","생활비",IF(AND(COUNTIF($A$8:$A$12,C106)=1,ISNUMBER(D106),E106&gt;0,COUNTIF($A$100:$A$399,A106)=1,IFERROR(IF(F106="",AND(LEFT(A106,1)="U",G106="월기록"),AND(F106&gt;=2,COUNTIF($F$100:$F$399,F106)=1,INDEX(RAW!$H:$H,MAX(2,F106))="지출",D106=INDEX(RAW!$A:$A,MAX(2,F106)),E106&lt;=INDEX(RAW!$K:$K,MAX(2,F106)),OR(AND(G106="기존반영",OR(A106="U003",A106="U007")),AND(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AND(OR(A106&lt;&gt;"U003",F106=356),OR(A106&lt;&gt;"U007",F106=2203),OR(G106&lt;&gt;"기존반영",A106="U003",A106="U007")))),FALSE)),"OK","확인: 사용등록")))</f>
        <v>OK</v>
      </c>
      <c r="S106" s="504">
        <f>IF(ISNUMBER(D106),DATE(YEAR(D106),MONTH(D106),1),0)</f>
        <v>46266.0</v>
      </c>
      <c r="T106" s="526">
        <f>IF(R106="OK",SUMIFS($O$430:$O$729,$B$430:$B$729,A106,$E$430:$E$729,"&lt;"&amp;EDATE($B$3,1)),0)</f>
        <v>50000</v>
      </c>
      <c r="U106" s="526">
        <f>IF(AND(R106="OK",D106&lt;EDATE($B$3,1),$B$3&gt;=DATE(2026,3,1)),MAX(0,E106-T106),0)</f>
        <v>0</v>
      </c>
      <c r="V106" s="526">
        <f>IFERROR(IF(AND(R106="OK",AND(F106&gt;=2,G106&lt;&gt;"기존반영",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E106,0),0)</f>
        <v>0</v>
      </c>
      <c r="W106" s="526">
        <f>IF(V106&gt;0,ROUNDUP(INDEX(RAW!$K:$K,MAX(2,F106))/1000,0)*1000-ROUNDUP((INDEX(RAW!$K:$K,MAX(2,F106))-V106)/1000,0)*1000,0)</f>
        <v>0</v>
      </c>
      <c r="X106" s="504">
        <f>IF(AND(R106="OK",IF($B$43="전체",D106&lt;EDATE($B$3,1),IF($B$43="미정산",U106&gt;0,OR(S106=$B$3,Z106&gt;0,U106&gt;0)))),1,0)</f>
        <v>0</v>
      </c>
      <c r="Y106" s="504">
        <f>IF(X106=1,COUNTIF($X$100:X106,1),0)</f>
        <v>0</v>
      </c>
      <c r="Z106" s="526">
        <f>IF(R106="OK",SUMIFS($O$430:$O$729,$B$430:$B$729,A106,$E$430:$E$729,"&gt;="&amp;$B$3,$E$430:$E$729,"&lt;"&amp;EDATE($B$3,1)),0)</f>
        <v>0</v>
      </c>
    </row>
    <row r="107" hidden="1" outlineLevel="1">
      <c r="A107" s="504" t="inlineStr">
        <is>
          <t>U008</t>
        </is>
      </c>
      <c r="B107" s="504" t="inlineStr">
        <is>
          <t>부모 생신 본인 부담</t>
        </is>
      </c>
      <c r="C107" s="522" t="inlineStr">
        <is>
          <t>경조사비</t>
        </is>
      </c>
      <c r="D107" s="524" t="n">
        <v>46296</v>
      </c>
      <c r="E107" s="525">
        <v>239000</v>
      </c>
      <c r="F107" s="522" t="n"/>
      <c r="G107" s="504" t="inlineStr">
        <is>
          <t>월기록</t>
        </is>
      </c>
      <c r="H107" s="504" t="inlineStr">
        <is>
          <t xml:space="preserve">본인 납입 300,000 − 잔금 회수 61,000 = 239,000. 명절비 200,000 + 임시보관 39,000. 가족통장 이자 25원 별도.</t>
        </is>
      </c>
      <c r="O107" s="498">
        <f>IF(LEFT(R107,2)="확인",R107,"")</f>
      </c>
      <c r="R107" s="504" t="str">
        <f>IF(A107="","",IF(C107="생활비","생활비",IF(AND(COUNTIF($A$8:$A$12,C107)=1,ISNUMBER(D107),E107&gt;0,COUNTIF($A$100:$A$399,A107)=1,IFERROR(IF(F107="",AND(LEFT(A107,1)="U",G107="월기록"),AND(F107&gt;=2,COUNTIF($F$100:$F$399,F107)=1,INDEX(RAW!$H:$H,MAX(2,F107))="지출",D107=INDEX(RAW!$A:$A,MAX(2,F107)),E107&lt;=INDEX(RAW!$K:$K,MAX(2,F107)),OR(AND(G107="기존반영",OR(A107="U003",A107="U007")),AND(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AND(OR(A107&lt;&gt;"U003",F107=356),OR(A107&lt;&gt;"U007",F107=2203),OR(G107&lt;&gt;"기존반영",A107="U003",A107="U007")))),FALSE)),"OK","확인: 사용등록")))</f>
        <v>OK</v>
      </c>
      <c r="S107" s="504">
        <f>IF(ISNUMBER(D107),DATE(YEAR(D107),MONTH(D107),1),0)</f>
        <v>46296.0</v>
      </c>
      <c r="T107" s="526">
        <f>IF(R107="OK",SUMIFS($O$430:$O$729,$B$430:$B$729,A107,$E$430:$E$729,"&lt;"&amp;EDATE($B$3,1)),0)</f>
        <v>239000</v>
      </c>
      <c r="U107" s="526">
        <f>IF(AND(R107="OK",D107&lt;EDATE($B$3,1),$B$3&gt;=DATE(2026,3,1)),MAX(0,E107-T107),0)</f>
        <v>0</v>
      </c>
      <c r="V107" s="526">
        <f>IFERROR(IF(AND(R107="OK",AND(F107&gt;=2,G107&lt;&gt;"기존반영",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E107,0),0)</f>
        <v>0</v>
      </c>
      <c r="W107" s="526">
        <f>IF(V107&gt;0,ROUNDUP(INDEX(RAW!$K:$K,MAX(2,F107))/1000,0)*1000-ROUNDUP((INDEX(RAW!$K:$K,MAX(2,F107))-V107)/1000,0)*1000,0)</f>
        <v>0</v>
      </c>
      <c r="X107" s="504">
        <f>IF(AND(R107="OK",IF($B$43="전체",D107&lt;EDATE($B$3,1),IF($B$43="미정산",U107&gt;0,OR(S107=$B$3,Z107&gt;0,U107&gt;0)))),1,0)</f>
        <v>1</v>
      </c>
      <c r="Y107" s="504">
        <f>IF(X107=1,COUNTIF($X$100:X107,1),0)</f>
        <v>1</v>
      </c>
      <c r="Z107" s="526">
        <f>IF(R107="OK",SUMIFS($O$430:$O$729,$B$430:$B$729,A107,$E$430:$E$729,"&gt;="&amp;$B$3,$E$430:$E$729,"&lt;"&amp;EDATE($B$3,1)),0)</f>
        <v>0</v>
      </c>
    </row>
    <row r="108" hidden="1" outlineLevel="1">
      <c r="A108" s="504" t="str">
        <f>IF(F108="","","R"&amp;F108)</f>
        <v>R32</v>
      </c>
      <c r="B108" s="504" t="str">
        <f>IFERROR(INDEX(RAW!$F:$F,MAX(2,F108)),"")</f>
        <v>스타벅스</v>
      </c>
      <c r="C108" s="522" t="inlineStr">
        <is>
          <t>생활비</t>
        </is>
      </c>
      <c r="D108" s="524">
        <f>IFERROR(INDEX(RAW!$A:$A,MAX(2,F108)),"")</f>
        <v>46029.91023148148</v>
      </c>
      <c r="E108" s="525">
        <f>IFERROR(INDEX(RAW!$K:$K,MAX(2,F108)),"")</f>
        <v>10900</v>
      </c>
      <c r="F108" s="522" t="n">
        <v>32</v>
      </c>
      <c r="G108" s="504" t="inlineStr">
        <is>
          <t>신규</t>
        </is>
      </c>
      <c r="H108" s="504" t="inlineStr">
        <is>
          <t>기존 비고정 지출 유지. 예비비 부담으로 확인한 경우에만 항목 변경</t>
        </is>
      </c>
      <c r="O108" s="498">
        <f>IF(LEFT(R108,2)="확인",R108,"")</f>
      </c>
      <c r="R108" s="504" t="str">
        <f>IF(A108="","",IF(C108="생활비","생활비",IF(AND(COUNTIF($A$8:$A$12,C108)=1,ISNUMBER(D108),E108&gt;0,COUNTIF($A$100:$A$399,A108)=1,IFERROR(IF(F108="",AND(LEFT(A108,1)="U",G108="월기록"),AND(F108&gt;=2,COUNTIF($F$100:$F$399,F108)=1,INDEX(RAW!$H:$H,MAX(2,F108))="지출",D108=INDEX(RAW!$A:$A,MAX(2,F108)),E108&lt;=INDEX(RAW!$K:$K,MAX(2,F108)),OR(AND(G108="기존반영",OR(A108="U003",A108="U007")),AND(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AND(OR(A108&lt;&gt;"U003",F108=356),OR(A108&lt;&gt;"U007",F108=2203),OR(G108&lt;&gt;"기존반영",A108="U003",A108="U007")))),FALSE)),"OK","확인: 사용등록")))</f>
        <v>생활비</v>
      </c>
      <c r="S108" s="504">
        <f>IF(ISNUMBER(D108),DATE(YEAR(D108),MONTH(D108),1),0)</f>
        <v>46023.0</v>
      </c>
      <c r="T108" s="526">
        <f>IF(R108="OK",SUMIFS($O$430:$O$729,$B$430:$B$729,A108,$E$430:$E$729,"&lt;"&amp;EDATE($B$3,1)),0)</f>
        <v>0</v>
      </c>
      <c r="U108" s="526">
        <f>IF(AND(R108="OK",D108&lt;EDATE($B$3,1),$B$3&gt;=DATE(2026,3,1)),MAX(0,E108-T108),0)</f>
        <v>0</v>
      </c>
      <c r="V108" s="526">
        <f>IFERROR(IF(AND(R108="OK",AND(F108&gt;=2,G108&lt;&gt;"기존반영",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E108,0),0)</f>
        <v>0</v>
      </c>
      <c r="W108" s="526">
        <f>IF(V108&gt;0,ROUNDUP(INDEX(RAW!$K:$K,MAX(2,F108))/1000,0)*1000-ROUNDUP((INDEX(RAW!$K:$K,MAX(2,F108))-V108)/1000,0)*1000,0)</f>
        <v>0</v>
      </c>
      <c r="X108" s="504">
        <f>IF(AND(R108="OK",IF($B$43="전체",D108&lt;EDATE($B$3,1),IF($B$43="미정산",U108&gt;0,OR(S108=$B$3,Z108&gt;0,U108&gt;0)))),1,0)</f>
        <v>0</v>
      </c>
      <c r="Y108" s="504">
        <f>IF(X108=1,COUNTIF($X$100:X108,1),0)</f>
        <v>0</v>
      </c>
      <c r="Z108" s="526">
        <f>IF(R108="OK",SUMIFS($O$430:$O$729,$B$430:$B$729,A108,$E$430:$E$729,"&gt;="&amp;$B$3,$E$430:$E$729,"&lt;"&amp;EDATE($B$3,1)),0)</f>
        <v>0</v>
      </c>
    </row>
    <row r="109" hidden="1" outlineLevel="1">
      <c r="A109" s="504" t="str">
        <f>IF(F109="","","R"&amp;F109)</f>
        <v>R152</v>
      </c>
      <c r="B109" s="504" t="str">
        <f>IFERROR(INDEX(RAW!$F:$F,MAX(2,F109)),"")</f>
        <v>지인 생일</v>
      </c>
      <c r="C109" s="522" t="inlineStr">
        <is>
          <t>생활비</t>
        </is>
      </c>
      <c r="D109" s="524">
        <f>IFERROR(INDEX(RAW!$A:$A,MAX(2,F109)),"")</f>
        <v>46045.7690625</v>
      </c>
      <c r="E109" s="525">
        <f>IFERROR(INDEX(RAW!$K:$K,MAX(2,F109)),"")</f>
        <v>60000</v>
      </c>
      <c r="F109" s="522" t="n">
        <v>152</v>
      </c>
      <c r="G109" s="504" t="inlineStr">
        <is>
          <t>신규</t>
        </is>
      </c>
      <c r="H109" s="504" t="inlineStr">
        <is>
          <t>기존 비고정 지출 유지. 예비비 부담으로 확인한 경우에만 항목 변경</t>
        </is>
      </c>
      <c r="O109" s="498">
        <f>IF(LEFT(R109,2)="확인",R109,"")</f>
      </c>
      <c r="R109" s="504" t="str">
        <f>IF(A109="","",IF(C109="생활비","생활비",IF(AND(COUNTIF($A$8:$A$12,C109)=1,ISNUMBER(D109),E109&gt;0,COUNTIF($A$100:$A$399,A109)=1,IFERROR(IF(F109="",AND(LEFT(A109,1)="U",G109="월기록"),AND(F109&gt;=2,COUNTIF($F$100:$F$399,F109)=1,INDEX(RAW!$H:$H,MAX(2,F109))="지출",D109=INDEX(RAW!$A:$A,MAX(2,F109)),E109&lt;=INDEX(RAW!$K:$K,MAX(2,F109)),OR(AND(G109="기존반영",OR(A109="U003",A109="U007")),AND(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AND(OR(A109&lt;&gt;"U003",F109=356),OR(A109&lt;&gt;"U007",F109=2203),OR(G109&lt;&gt;"기존반영",A109="U003",A109="U007")))),FALSE)),"OK","확인: 사용등록")))</f>
        <v>생활비</v>
      </c>
      <c r="S109" s="504">
        <f>IF(ISNUMBER(D109),DATE(YEAR(D109),MONTH(D109),1),0)</f>
        <v>46023.0</v>
      </c>
      <c r="T109" s="526">
        <f>IF(R109="OK",SUMIFS($O$430:$O$729,$B$430:$B$729,A109,$E$430:$E$729,"&lt;"&amp;EDATE($B$3,1)),0)</f>
        <v>0</v>
      </c>
      <c r="U109" s="526">
        <f>IF(AND(R109="OK",D109&lt;EDATE($B$3,1),$B$3&gt;=DATE(2026,3,1)),MAX(0,E109-T109),0)</f>
        <v>0</v>
      </c>
      <c r="V109" s="526">
        <f>IFERROR(IF(AND(R109="OK",AND(F109&gt;=2,G109&lt;&gt;"기존반영",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E109,0),0)</f>
        <v>0</v>
      </c>
      <c r="W109" s="526">
        <f>IF(V109&gt;0,ROUNDUP(INDEX(RAW!$K:$K,MAX(2,F109))/1000,0)*1000-ROUNDUP((INDEX(RAW!$K:$K,MAX(2,F109))-V109)/1000,0)*1000,0)</f>
        <v>0</v>
      </c>
      <c r="X109" s="504">
        <f>IF(AND(R109="OK",IF($B$43="전체",D109&lt;EDATE($B$3,1),IF($B$43="미정산",U109&gt;0,OR(S109=$B$3,Z109&gt;0,U109&gt;0)))),1,0)</f>
        <v>0</v>
      </c>
      <c r="Y109" s="504">
        <f>IF(X109=1,COUNTIF($X$100:X109,1),0)</f>
        <v>0</v>
      </c>
      <c r="Z109" s="526">
        <f>IF(R109="OK",SUMIFS($O$430:$O$729,$B$430:$B$729,A109,$E$430:$E$729,"&gt;="&amp;$B$3,$E$430:$E$729,"&lt;"&amp;EDATE($B$3,1)),0)</f>
        <v>0</v>
      </c>
    </row>
    <row r="110" hidden="1" outlineLevel="1">
      <c r="A110" s="504" t="str">
        <f>IF(F110="","","R"&amp;F110)</f>
        <v>R211</v>
      </c>
      <c r="B110" s="504" t="str">
        <f>IFERROR(INDEX(RAW!$F:$F,MAX(2,F110)),"")</f>
        <v>카카오 선물하기</v>
      </c>
      <c r="C110" s="522" t="inlineStr">
        <is>
          <t>생활비</t>
        </is>
      </c>
      <c r="D110" s="524">
        <f>IFERROR(INDEX(RAW!$A:$A,MAX(2,F110)),"")</f>
        <v>46052.286307870374</v>
      </c>
      <c r="E110" s="525">
        <f>IFERROR(INDEX(RAW!$K:$K,MAX(2,F110)),"")</f>
        <v>34000</v>
      </c>
      <c r="F110" s="522" t="n">
        <v>211</v>
      </c>
      <c r="G110" s="504" t="inlineStr">
        <is>
          <t>신규</t>
        </is>
      </c>
      <c r="H110" s="504" t="inlineStr">
        <is>
          <t>기존 비고정 지출 유지. 예비비 부담으로 확인한 경우에만 항목 변경</t>
        </is>
      </c>
      <c r="O110" s="498">
        <f>IF(LEFT(R110,2)="확인",R110,"")</f>
      </c>
      <c r="R110" s="504" t="str">
        <f>IF(A110="","",IF(C110="생활비","생활비",IF(AND(COUNTIF($A$8:$A$12,C110)=1,ISNUMBER(D110),E110&gt;0,COUNTIF($A$100:$A$399,A110)=1,IFERROR(IF(F110="",AND(LEFT(A110,1)="U",G110="월기록"),AND(F110&gt;=2,COUNTIF($F$100:$F$399,F110)=1,INDEX(RAW!$H:$H,MAX(2,F110))="지출",D110=INDEX(RAW!$A:$A,MAX(2,F110)),E110&lt;=INDEX(RAW!$K:$K,MAX(2,F110)),OR(AND(G110="기존반영",OR(A110="U003",A110="U007")),AND(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AND(OR(A110&lt;&gt;"U003",F110=356),OR(A110&lt;&gt;"U007",F110=2203),OR(G110&lt;&gt;"기존반영",A110="U003",A110="U007")))),FALSE)),"OK","확인: 사용등록")))</f>
        <v>생활비</v>
      </c>
      <c r="S110" s="504">
        <f>IF(ISNUMBER(D110),DATE(YEAR(D110),MONTH(D110),1),0)</f>
        <v>46023.0</v>
      </c>
      <c r="T110" s="526">
        <f>IF(R110="OK",SUMIFS($O$430:$O$729,$B$430:$B$729,A110,$E$430:$E$729,"&lt;"&amp;EDATE($B$3,1)),0)</f>
        <v>0</v>
      </c>
      <c r="U110" s="526">
        <f>IF(AND(R110="OK",D110&lt;EDATE($B$3,1),$B$3&gt;=DATE(2026,3,1)),MAX(0,E110-T110),0)</f>
        <v>0</v>
      </c>
      <c r="V110" s="526">
        <f>IFERROR(IF(AND(R110="OK",AND(F110&gt;=2,G110&lt;&gt;"기존반영",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E110,0),0)</f>
        <v>0</v>
      </c>
      <c r="W110" s="526">
        <f>IF(V110&gt;0,ROUNDUP(INDEX(RAW!$K:$K,MAX(2,F110))/1000,0)*1000-ROUNDUP((INDEX(RAW!$K:$K,MAX(2,F110))-V110)/1000,0)*1000,0)</f>
        <v>0</v>
      </c>
      <c r="X110" s="504">
        <f>IF(AND(R110="OK",IF($B$43="전체",D110&lt;EDATE($B$3,1),IF($B$43="미정산",U110&gt;0,OR(S110=$B$3,Z110&gt;0,U110&gt;0)))),1,0)</f>
        <v>0</v>
      </c>
      <c r="Y110" s="504">
        <f>IF(X110=1,COUNTIF($X$100:X110,1),0)</f>
        <v>0</v>
      </c>
      <c r="Z110" s="526">
        <f>IF(R110="OK",SUMIFS($O$430:$O$729,$B$430:$B$729,A110,$E$430:$E$729,"&gt;="&amp;$B$3,$E$430:$E$729,"&lt;"&amp;EDATE($B$3,1)),0)</f>
        <v>0</v>
      </c>
    </row>
    <row r="111" hidden="1" outlineLevel="1">
      <c r="A111" s="504" t="str">
        <f>IF(F111="","","R"&amp;F111)</f>
        <v>R509</v>
      </c>
      <c r="B111" s="504" t="str">
        <f>IFERROR(INDEX(RAW!$F:$F,MAX(2,F111)),"")</f>
        <v>카카오 선물하기</v>
      </c>
      <c r="C111" s="522" t="inlineStr">
        <is>
          <t>생활비</t>
        </is>
      </c>
      <c r="D111" s="524">
        <f>IFERROR(INDEX(RAW!$A:$A,MAX(2,F111)),"")</f>
        <v>46086.4269212963</v>
      </c>
      <c r="E111" s="525">
        <f>IFERROR(INDEX(RAW!$K:$K,MAX(2,F111)),"")</f>
        <v>19900</v>
      </c>
      <c r="F111" s="522" t="n">
        <v>509</v>
      </c>
      <c r="G111" s="504" t="inlineStr">
        <is>
          <t>신규</t>
        </is>
      </c>
      <c r="H111" s="504" t="inlineStr">
        <is>
          <t>기존 비고정 지출 유지. 예비비 부담으로 확인한 경우에만 항목 변경</t>
        </is>
      </c>
      <c r="O111" s="498">
        <f>IF(LEFT(R111,2)="확인",R111,"")</f>
      </c>
      <c r="R111" s="504" t="str">
        <f>IF(A111="","",IF(C111="생활비","생활비",IF(AND(COUNTIF($A$8:$A$12,C111)=1,ISNUMBER(D111),E111&gt;0,COUNTIF($A$100:$A$399,A111)=1,IFERROR(IF(F111="",AND(LEFT(A111,1)="U",G111="월기록"),AND(F111&gt;=2,COUNTIF($F$100:$F$399,F111)=1,INDEX(RAW!$H:$H,MAX(2,F111))="지출",D111=INDEX(RAW!$A:$A,MAX(2,F111)),E111&lt;=INDEX(RAW!$K:$K,MAX(2,F111)),OR(AND(G111="기존반영",OR(A111="U003",A111="U007")),AND(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AND(OR(A111&lt;&gt;"U003",F111=356),OR(A111&lt;&gt;"U007",F111=2203),OR(G111&lt;&gt;"기존반영",A111="U003",A111="U007")))),FALSE)),"OK","확인: 사용등록")))</f>
        <v>생활비</v>
      </c>
      <c r="S111" s="504">
        <f>IF(ISNUMBER(D111),DATE(YEAR(D111),MONTH(D111),1),0)</f>
        <v>46082.0</v>
      </c>
      <c r="T111" s="526">
        <f>IF(R111="OK",SUMIFS($O$430:$O$729,$B$430:$B$729,A111,$E$430:$E$729,"&lt;"&amp;EDATE($B$3,1)),0)</f>
        <v>0</v>
      </c>
      <c r="U111" s="526">
        <f>IF(AND(R111="OK",D111&lt;EDATE($B$3,1),$B$3&gt;=DATE(2026,3,1)),MAX(0,E111-T111),0)</f>
        <v>0</v>
      </c>
      <c r="V111" s="526">
        <f>IFERROR(IF(AND(R111="OK",AND(F111&gt;=2,G111&lt;&gt;"기존반영",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E111,0),0)</f>
        <v>0</v>
      </c>
      <c r="W111" s="526">
        <f>IF(V111&gt;0,ROUNDUP(INDEX(RAW!$K:$K,MAX(2,F111))/1000,0)*1000-ROUNDUP((INDEX(RAW!$K:$K,MAX(2,F111))-V111)/1000,0)*1000,0)</f>
        <v>0</v>
      </c>
      <c r="X111" s="504">
        <f>IF(AND(R111="OK",IF($B$43="전체",D111&lt;EDATE($B$3,1),IF($B$43="미정산",U111&gt;0,OR(S111=$B$3,Z111&gt;0,U111&gt;0)))),1,0)</f>
        <v>0</v>
      </c>
      <c r="Y111" s="504">
        <f>IF(X111=1,COUNTIF($X$100:X111,1),0)</f>
        <v>0</v>
      </c>
      <c r="Z111" s="526">
        <f>IF(R111="OK",SUMIFS($O$430:$O$729,$B$430:$B$729,A111,$E$430:$E$729,"&gt;="&amp;$B$3,$E$430:$E$729,"&lt;"&amp;EDATE($B$3,1)),0)</f>
        <v>0</v>
      </c>
    </row>
    <row r="112" hidden="1" outlineLevel="1">
      <c r="A112" s="504" t="str">
        <f>IF(F112="","","R"&amp;F112)</f>
        <v>R604</v>
      </c>
      <c r="B112" s="504" t="str">
        <f>IFERROR(INDEX(RAW!$F:$F,MAX(2,F112)),"")</f>
        <v>쿠팡</v>
      </c>
      <c r="C112" s="522" t="inlineStr">
        <is>
          <t>생활비</t>
        </is>
      </c>
      <c r="D112" s="524">
        <f>IFERROR(INDEX(RAW!$A:$A,MAX(2,F112)),"")</f>
        <v>46096.891539351855</v>
      </c>
      <c r="E112" s="525">
        <f>IFERROR(INDEX(RAW!$K:$K,MAX(2,F112)),"")</f>
        <v>260100</v>
      </c>
      <c r="F112" s="522" t="n">
        <v>604</v>
      </c>
      <c r="G112" s="504" t="inlineStr">
        <is>
          <t>신규</t>
        </is>
      </c>
      <c r="H112" s="504" t="inlineStr">
        <is>
          <t>기존 비고정 지출 유지. 예비비 부담으로 확인한 경우에만 항목 변경</t>
        </is>
      </c>
      <c r="O112" s="498">
        <f>IF(LEFT(R112,2)="확인",R112,"")</f>
      </c>
      <c r="R112" s="504" t="str">
        <f>IF(A112="","",IF(C112="생활비","생활비",IF(AND(COUNTIF($A$8:$A$12,C112)=1,ISNUMBER(D112),E112&gt;0,COUNTIF($A$100:$A$399,A112)=1,IFERROR(IF(F112="",AND(LEFT(A112,1)="U",G112="월기록"),AND(F112&gt;=2,COUNTIF($F$100:$F$399,F112)=1,INDEX(RAW!$H:$H,MAX(2,F112))="지출",D112=INDEX(RAW!$A:$A,MAX(2,F112)),E112&lt;=INDEX(RAW!$K:$K,MAX(2,F112)),OR(AND(G112="기존반영",OR(A112="U003",A112="U007")),AND(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AND(OR(A112&lt;&gt;"U003",F112=356),OR(A112&lt;&gt;"U007",F112=2203),OR(G112&lt;&gt;"기존반영",A112="U003",A112="U007")))),FALSE)),"OK","확인: 사용등록")))</f>
        <v>생활비</v>
      </c>
      <c r="S112" s="504">
        <f>IF(ISNUMBER(D112),DATE(YEAR(D112),MONTH(D112),1),0)</f>
        <v>46082.0</v>
      </c>
      <c r="T112" s="526">
        <f>IF(R112="OK",SUMIFS($O$430:$O$729,$B$430:$B$729,A112,$E$430:$E$729,"&lt;"&amp;EDATE($B$3,1)),0)</f>
        <v>0</v>
      </c>
      <c r="U112" s="526">
        <f>IF(AND(R112="OK",D112&lt;EDATE($B$3,1),$B$3&gt;=DATE(2026,3,1)),MAX(0,E112-T112),0)</f>
        <v>0</v>
      </c>
      <c r="V112" s="526">
        <f>IFERROR(IF(AND(R112="OK",AND(F112&gt;=2,G112&lt;&gt;"기존반영",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E112,0),0)</f>
        <v>0</v>
      </c>
      <c r="W112" s="526">
        <f>IF(V112&gt;0,ROUNDUP(INDEX(RAW!$K:$K,MAX(2,F112))/1000,0)*1000-ROUNDUP((INDEX(RAW!$K:$K,MAX(2,F112))-V112)/1000,0)*1000,0)</f>
        <v>0</v>
      </c>
      <c r="X112" s="504">
        <f>IF(AND(R112="OK",IF($B$43="전체",D112&lt;EDATE($B$3,1),IF($B$43="미정산",U112&gt;0,OR(S112=$B$3,Z112&gt;0,U112&gt;0)))),1,0)</f>
        <v>0</v>
      </c>
      <c r="Y112" s="504">
        <f>IF(X112=1,COUNTIF($X$100:X112,1),0)</f>
        <v>0</v>
      </c>
      <c r="Z112" s="526">
        <f>IF(R112="OK",SUMIFS($O$430:$O$729,$B$430:$B$729,A112,$E$430:$E$729,"&gt;="&amp;$B$3,$E$430:$E$729,"&lt;"&amp;EDATE($B$3,1)),0)</f>
        <v>0</v>
      </c>
    </row>
    <row r="113" hidden="1" outlineLevel="1">
      <c r="A113" s="504" t="str">
        <f>IF(F113="","","R"&amp;F113)</f>
        <v>R608</v>
      </c>
      <c r="B113" s="504" t="str">
        <f>IFERROR(INDEX(RAW!$F:$F,MAX(2,F113)),"")</f>
        <v>쿠팡</v>
      </c>
      <c r="C113" s="522" t="inlineStr">
        <is>
          <t>생활비</t>
        </is>
      </c>
      <c r="D113" s="524">
        <f>IFERROR(INDEX(RAW!$A:$A,MAX(2,F113)),"")</f>
        <v>46096.89325231482</v>
      </c>
      <c r="E113" s="525">
        <f>IFERROR(INDEX(RAW!$K:$K,MAX(2,F113)),"")</f>
        <v>9110</v>
      </c>
      <c r="F113" s="522" t="n">
        <v>608</v>
      </c>
      <c r="G113" s="504" t="inlineStr">
        <is>
          <t>신규</t>
        </is>
      </c>
      <c r="H113" s="504" t="inlineStr">
        <is>
          <t>기존 비고정 지출 유지. 예비비 부담으로 확인한 경우에만 항목 변경</t>
        </is>
      </c>
      <c r="O113" s="498">
        <f>IF(LEFT(R113,2)="확인",R113,"")</f>
      </c>
      <c r="R113" s="504" t="str">
        <f>IF(A113="","",IF(C113="생활비","생활비",IF(AND(COUNTIF($A$8:$A$12,C113)=1,ISNUMBER(D113),E113&gt;0,COUNTIF($A$100:$A$399,A113)=1,IFERROR(IF(F113="",AND(LEFT(A113,1)="U",G113="월기록"),AND(F113&gt;=2,COUNTIF($F$100:$F$399,F113)=1,INDEX(RAW!$H:$H,MAX(2,F113))="지출",D113=INDEX(RAW!$A:$A,MAX(2,F113)),E113&lt;=INDEX(RAW!$K:$K,MAX(2,F113)),OR(AND(G113="기존반영",OR(A113="U003",A113="U007")),AND(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AND(OR(A113&lt;&gt;"U003",F113=356),OR(A113&lt;&gt;"U007",F113=2203),OR(G113&lt;&gt;"기존반영",A113="U003",A113="U007")))),FALSE)),"OK","확인: 사용등록")))</f>
        <v>생활비</v>
      </c>
      <c r="S113" s="504">
        <f>IF(ISNUMBER(D113),DATE(YEAR(D113),MONTH(D113),1),0)</f>
        <v>46082.0</v>
      </c>
      <c r="T113" s="526">
        <f>IF(R113="OK",SUMIFS($O$430:$O$729,$B$430:$B$729,A113,$E$430:$E$729,"&lt;"&amp;EDATE($B$3,1)),0)</f>
        <v>0</v>
      </c>
      <c r="U113" s="526">
        <f>IF(AND(R113="OK",D113&lt;EDATE($B$3,1),$B$3&gt;=DATE(2026,3,1)),MAX(0,E113-T113),0)</f>
        <v>0</v>
      </c>
      <c r="V113" s="526">
        <f>IFERROR(IF(AND(R113="OK",AND(F113&gt;=2,G113&lt;&gt;"기존반영",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E113,0),0)</f>
        <v>0</v>
      </c>
      <c r="W113" s="526">
        <f>IF(V113&gt;0,ROUNDUP(INDEX(RAW!$K:$K,MAX(2,F113))/1000,0)*1000-ROUNDUP((INDEX(RAW!$K:$K,MAX(2,F113))-V113)/1000,0)*1000,0)</f>
        <v>0</v>
      </c>
      <c r="X113" s="504">
        <f>IF(AND(R113="OK",IF($B$43="전체",D113&lt;EDATE($B$3,1),IF($B$43="미정산",U113&gt;0,OR(S113=$B$3,Z113&gt;0,U113&gt;0)))),1,0)</f>
        <v>0</v>
      </c>
      <c r="Y113" s="504">
        <f>IF(X113=1,COUNTIF($X$100:X113,1),0)</f>
        <v>0</v>
      </c>
      <c r="Z113" s="526">
        <f>IF(R113="OK",SUMIFS($O$430:$O$729,$B$430:$B$729,A113,$E$430:$E$729,"&gt;="&amp;$B$3,$E$430:$E$729,"&lt;"&amp;EDATE($B$3,1)),0)</f>
        <v>0</v>
      </c>
    </row>
    <row r="114" hidden="1" outlineLevel="1">
      <c r="A114" s="504" t="str">
        <f>IF(F114="","","R"&amp;F114)</f>
        <v>R699</v>
      </c>
      <c r="B114" s="504" t="str">
        <f>IFERROR(INDEX(RAW!$F:$F,MAX(2,F114)),"")</f>
        <v>카카오 선물하기</v>
      </c>
      <c r="C114" s="522" t="inlineStr">
        <is>
          <t>생활비</t>
        </is>
      </c>
      <c r="D114" s="524">
        <f>IFERROR(INDEX(RAW!$A:$A,MAX(2,F114)),"")</f>
        <v>46107.77421296296</v>
      </c>
      <c r="E114" s="525">
        <f>IFERROR(INDEX(RAW!$K:$K,MAX(2,F114)),"")</f>
        <v>29900</v>
      </c>
      <c r="F114" s="522" t="n">
        <v>699</v>
      </c>
      <c r="G114" s="504" t="inlineStr">
        <is>
          <t>신규</t>
        </is>
      </c>
      <c r="H114" s="504" t="inlineStr">
        <is>
          <t>기존 비고정 지출 유지. 예비비 부담으로 확인한 경우에만 항목 변경</t>
        </is>
      </c>
      <c r="O114" s="498">
        <f>IF(LEFT(R114,2)="확인",R114,"")</f>
      </c>
      <c r="R114" s="504" t="str">
        <f>IF(A114="","",IF(C114="생활비","생활비",IF(AND(COUNTIF($A$8:$A$12,C114)=1,ISNUMBER(D114),E114&gt;0,COUNTIF($A$100:$A$399,A114)=1,IFERROR(IF(F114="",AND(LEFT(A114,1)="U",G114="월기록"),AND(F114&gt;=2,COUNTIF($F$100:$F$399,F114)=1,INDEX(RAW!$H:$H,MAX(2,F114))="지출",D114=INDEX(RAW!$A:$A,MAX(2,F114)),E114&lt;=INDEX(RAW!$K:$K,MAX(2,F114)),OR(AND(G114="기존반영",OR(A114="U003",A114="U007")),AND(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AND(OR(A114&lt;&gt;"U003",F114=356),OR(A114&lt;&gt;"U007",F114=2203),OR(G114&lt;&gt;"기존반영",A114="U003",A114="U007")))),FALSE)),"OK","확인: 사용등록")))</f>
        <v>생활비</v>
      </c>
      <c r="S114" s="504">
        <f>IF(ISNUMBER(D114),DATE(YEAR(D114),MONTH(D114),1),0)</f>
        <v>46082.0</v>
      </c>
      <c r="T114" s="526">
        <f>IF(R114="OK",SUMIFS($O$430:$O$729,$B$430:$B$729,A114,$E$430:$E$729,"&lt;"&amp;EDATE($B$3,1)),0)</f>
        <v>0</v>
      </c>
      <c r="U114" s="526">
        <f>IF(AND(R114="OK",D114&lt;EDATE($B$3,1),$B$3&gt;=DATE(2026,3,1)),MAX(0,E114-T114),0)</f>
        <v>0</v>
      </c>
      <c r="V114" s="526">
        <f>IFERROR(IF(AND(R114="OK",AND(F114&gt;=2,G114&lt;&gt;"기존반영",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E114,0),0)</f>
        <v>0</v>
      </c>
      <c r="W114" s="526">
        <f>IF(V114&gt;0,ROUNDUP(INDEX(RAW!$K:$K,MAX(2,F114))/1000,0)*1000-ROUNDUP((INDEX(RAW!$K:$K,MAX(2,F114))-V114)/1000,0)*1000,0)</f>
        <v>0</v>
      </c>
      <c r="X114" s="504">
        <f>IF(AND(R114="OK",IF($B$43="전체",D114&lt;EDATE($B$3,1),IF($B$43="미정산",U114&gt;0,OR(S114=$B$3,Z114&gt;0,U114&gt;0)))),1,0)</f>
        <v>0</v>
      </c>
      <c r="Y114" s="504">
        <f>IF(X114=1,COUNTIF($X$100:X114,1),0)</f>
        <v>0</v>
      </c>
      <c r="Z114" s="526">
        <f>IF(R114="OK",SUMIFS($O$430:$O$729,$B$430:$B$729,A114,$E$430:$E$729,"&gt;="&amp;$B$3,$E$430:$E$729,"&lt;"&amp;EDATE($B$3,1)),0)</f>
        <v>0</v>
      </c>
    </row>
    <row r="115" hidden="1" outlineLevel="1">
      <c r="A115" s="504" t="str">
        <f>IF(F115="","","R"&amp;F115)</f>
        <v>R789</v>
      </c>
      <c r="B115" s="504" t="str">
        <f>IFERROR(INDEX(RAW!$F:$F,MAX(2,F115)),"")</f>
        <v>코레일</v>
      </c>
      <c r="C115" s="522" t="inlineStr">
        <is>
          <t>생활비</t>
        </is>
      </c>
      <c r="D115" s="524">
        <f>IFERROR(INDEX(RAW!$A:$A,MAX(2,F115)),"")</f>
        <v>46121.86388888889</v>
      </c>
      <c r="E115" s="525">
        <f>IFERROR(INDEX(RAW!$K:$K,MAX(2,F115)),"")</f>
        <v>43100</v>
      </c>
      <c r="F115" s="522" t="n">
        <v>789</v>
      </c>
      <c r="G115" s="504" t="inlineStr">
        <is>
          <t>신규</t>
        </is>
      </c>
      <c r="H115" s="504" t="inlineStr">
        <is>
          <t>기존 비고정 지출 유지. 예비비 부담으로 확인한 경우에만 항목 변경</t>
        </is>
      </c>
      <c r="O115" s="498">
        <f>IF(LEFT(R115,2)="확인",R115,"")</f>
      </c>
      <c r="R115" s="504" t="str">
        <f>IF(A115="","",IF(C115="생활비","생활비",IF(AND(COUNTIF($A$8:$A$12,C115)=1,ISNUMBER(D115),E115&gt;0,COUNTIF($A$100:$A$399,A115)=1,IFERROR(IF(F115="",AND(LEFT(A115,1)="U",G115="월기록"),AND(F115&gt;=2,COUNTIF($F$100:$F$399,F115)=1,INDEX(RAW!$H:$H,MAX(2,F115))="지출",D115=INDEX(RAW!$A:$A,MAX(2,F115)),E115&lt;=INDEX(RAW!$K:$K,MAX(2,F115)),OR(AND(G115="기존반영",OR(A115="U003",A115="U007")),AND(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AND(OR(A115&lt;&gt;"U003",F115=356),OR(A115&lt;&gt;"U007",F115=2203),OR(G115&lt;&gt;"기존반영",A115="U003",A115="U007")))),FALSE)),"OK","확인: 사용등록")))</f>
        <v>생활비</v>
      </c>
      <c r="S115" s="504">
        <f>IF(ISNUMBER(D115),DATE(YEAR(D115),MONTH(D115),1),0)</f>
        <v>46113.0</v>
      </c>
      <c r="T115" s="526">
        <f>IF(R115="OK",SUMIFS($O$430:$O$729,$B$430:$B$729,A115,$E$430:$E$729,"&lt;"&amp;EDATE($B$3,1)),0)</f>
        <v>0</v>
      </c>
      <c r="U115" s="526">
        <f>IF(AND(R115="OK",D115&lt;EDATE($B$3,1),$B$3&gt;=DATE(2026,3,1)),MAX(0,E115-T115),0)</f>
        <v>0</v>
      </c>
      <c r="V115" s="526">
        <f>IFERROR(IF(AND(R115="OK",AND(F115&gt;=2,G115&lt;&gt;"기존반영",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E115,0),0)</f>
        <v>0</v>
      </c>
      <c r="W115" s="526">
        <f>IF(V115&gt;0,ROUNDUP(INDEX(RAW!$K:$K,MAX(2,F115))/1000,0)*1000-ROUNDUP((INDEX(RAW!$K:$K,MAX(2,F115))-V115)/1000,0)*1000,0)</f>
        <v>0</v>
      </c>
      <c r="X115" s="504">
        <f>IF(AND(R115="OK",IF($B$43="전체",D115&lt;EDATE($B$3,1),IF($B$43="미정산",U115&gt;0,OR(S115=$B$3,Z115&gt;0,U115&gt;0)))),1,0)</f>
        <v>0</v>
      </c>
      <c r="Y115" s="504">
        <f>IF(X115=1,COUNTIF($X$100:X115,1),0)</f>
        <v>0</v>
      </c>
      <c r="Z115" s="526">
        <f>IF(R115="OK",SUMIFS($O$430:$O$729,$B$430:$B$729,A115,$E$430:$E$729,"&gt;="&amp;$B$3,$E$430:$E$729,"&lt;"&amp;EDATE($B$3,1)),0)</f>
        <v>0</v>
      </c>
    </row>
    <row r="116" hidden="1" outlineLevel="1">
      <c r="A116" s="504" t="str">
        <f>IF(F116="","","R"&amp;F116)</f>
        <v>R790</v>
      </c>
      <c r="B116" s="504" t="str">
        <f>IFERROR(INDEX(RAW!$F:$F,MAX(2,F116)),"")</f>
        <v>코레일</v>
      </c>
      <c r="C116" s="522" t="inlineStr">
        <is>
          <t>생활비</t>
        </is>
      </c>
      <c r="D116" s="524">
        <f>IFERROR(INDEX(RAW!$A:$A,MAX(2,F116)),"")</f>
        <v>46121.864583333336</v>
      </c>
      <c r="E116" s="525">
        <f>IFERROR(INDEX(RAW!$K:$K,MAX(2,F116)),"")</f>
        <v>43500</v>
      </c>
      <c r="F116" s="522" t="n">
        <v>790</v>
      </c>
      <c r="G116" s="504" t="inlineStr">
        <is>
          <t>신규</t>
        </is>
      </c>
      <c r="H116" s="504" t="inlineStr">
        <is>
          <t>기존 비고정 지출 유지. 예비비 부담으로 확인한 경우에만 항목 변경</t>
        </is>
      </c>
      <c r="O116" s="498">
        <f>IF(LEFT(R116,2)="확인",R116,"")</f>
      </c>
      <c r="R116" s="504" t="str">
        <f>IF(A116="","",IF(C116="생활비","생활비",IF(AND(COUNTIF($A$8:$A$12,C116)=1,ISNUMBER(D116),E116&gt;0,COUNTIF($A$100:$A$399,A116)=1,IFERROR(IF(F116="",AND(LEFT(A116,1)="U",G116="월기록"),AND(F116&gt;=2,COUNTIF($F$100:$F$399,F116)=1,INDEX(RAW!$H:$H,MAX(2,F116))="지출",D116=INDEX(RAW!$A:$A,MAX(2,F116)),E116&lt;=INDEX(RAW!$K:$K,MAX(2,F116)),OR(AND(G116="기존반영",OR(A116="U003",A116="U007")),AND(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AND(OR(A116&lt;&gt;"U003",F116=356),OR(A116&lt;&gt;"U007",F116=2203),OR(G116&lt;&gt;"기존반영",A116="U003",A116="U007")))),FALSE)),"OK","확인: 사용등록")))</f>
        <v>생활비</v>
      </c>
      <c r="S116" s="504">
        <f>IF(ISNUMBER(D116),DATE(YEAR(D116),MONTH(D116),1),0)</f>
        <v>46113.0</v>
      </c>
      <c r="T116" s="526">
        <f>IF(R116="OK",SUMIFS($O$430:$O$729,$B$430:$B$729,A116,$E$430:$E$729,"&lt;"&amp;EDATE($B$3,1)),0)</f>
        <v>0</v>
      </c>
      <c r="U116" s="526">
        <f>IF(AND(R116="OK",D116&lt;EDATE($B$3,1),$B$3&gt;=DATE(2026,3,1)),MAX(0,E116-T116),0)</f>
        <v>0</v>
      </c>
      <c r="V116" s="526">
        <f>IFERROR(IF(AND(R116="OK",AND(F116&gt;=2,G116&lt;&gt;"기존반영",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E116,0),0)</f>
        <v>0</v>
      </c>
      <c r="W116" s="526">
        <f>IF(V116&gt;0,ROUNDUP(INDEX(RAW!$K:$K,MAX(2,F116))/1000,0)*1000-ROUNDUP((INDEX(RAW!$K:$K,MAX(2,F116))-V116)/1000,0)*1000,0)</f>
        <v>0</v>
      </c>
      <c r="X116" s="504">
        <f>IF(AND(R116="OK",IF($B$43="전체",D116&lt;EDATE($B$3,1),IF($B$43="미정산",U116&gt;0,OR(S116=$B$3,Z116&gt;0,U116&gt;0)))),1,0)</f>
        <v>0</v>
      </c>
      <c r="Y116" s="504">
        <f>IF(X116=1,COUNTIF($X$100:X116,1),0)</f>
        <v>0</v>
      </c>
      <c r="Z116" s="526">
        <f>IF(R116="OK",SUMIFS($O$430:$O$729,$B$430:$B$729,A116,$E$430:$E$729,"&gt;="&amp;$B$3,$E$430:$E$729,"&lt;"&amp;EDATE($B$3,1)),0)</f>
        <v>0</v>
      </c>
    </row>
    <row r="117" hidden="1" outlineLevel="1">
      <c r="A117" s="504" t="str">
        <f>IF(F117="","","R"&amp;F117)</f>
        <v>R791</v>
      </c>
      <c r="B117" s="504" t="str">
        <f>IFERROR(INDEX(RAW!$F:$F,MAX(2,F117)),"")</f>
        <v>코레일</v>
      </c>
      <c r="C117" s="522" t="inlineStr">
        <is>
          <t>생활비</t>
        </is>
      </c>
      <c r="D117" s="524">
        <f>IFERROR(INDEX(RAW!$A:$A,MAX(2,F117)),"")</f>
        <v>46121.89166666667</v>
      </c>
      <c r="E117" s="525">
        <f>IFERROR(INDEX(RAW!$K:$K,MAX(2,F117)),"")</f>
        <v>40900</v>
      </c>
      <c r="F117" s="522" t="n">
        <v>791</v>
      </c>
      <c r="G117" s="504" t="inlineStr">
        <is>
          <t>신규</t>
        </is>
      </c>
      <c r="H117" s="504" t="inlineStr">
        <is>
          <t>기존 비고정 지출 유지. 예비비 부담으로 확인한 경우에만 항목 변경</t>
        </is>
      </c>
      <c r="O117" s="498">
        <f>IF(LEFT(R117,2)="확인",R117,"")</f>
      </c>
      <c r="R117" s="504" t="str">
        <f>IF(A117="","",IF(C117="생활비","생활비",IF(AND(COUNTIF($A$8:$A$12,C117)=1,ISNUMBER(D117),E117&gt;0,COUNTIF($A$100:$A$399,A117)=1,IFERROR(IF(F117="",AND(LEFT(A117,1)="U",G117="월기록"),AND(F117&gt;=2,COUNTIF($F$100:$F$399,F117)=1,INDEX(RAW!$H:$H,MAX(2,F117))="지출",D117=INDEX(RAW!$A:$A,MAX(2,F117)),E117&lt;=INDEX(RAW!$K:$K,MAX(2,F117)),OR(AND(G117="기존반영",OR(A117="U003",A117="U007")),AND(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AND(OR(A117&lt;&gt;"U003",F117=356),OR(A117&lt;&gt;"U007",F117=2203),OR(G117&lt;&gt;"기존반영",A117="U003",A117="U007")))),FALSE)),"OK","확인: 사용등록")))</f>
        <v>생활비</v>
      </c>
      <c r="S117" s="504">
        <f>IF(ISNUMBER(D117),DATE(YEAR(D117),MONTH(D117),1),0)</f>
        <v>46113.0</v>
      </c>
      <c r="T117" s="526">
        <f>IF(R117="OK",SUMIFS($O$430:$O$729,$B$430:$B$729,A117,$E$430:$E$729,"&lt;"&amp;EDATE($B$3,1)),0)</f>
        <v>0</v>
      </c>
      <c r="U117" s="526">
        <f>IF(AND(R117="OK",D117&lt;EDATE($B$3,1),$B$3&gt;=DATE(2026,3,1)),MAX(0,E117-T117),0)</f>
        <v>0</v>
      </c>
      <c r="V117" s="526">
        <f>IFERROR(IF(AND(R117="OK",AND(F117&gt;=2,G117&lt;&gt;"기존반영",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E117,0),0)</f>
        <v>0</v>
      </c>
      <c r="W117" s="526">
        <f>IF(V117&gt;0,ROUNDUP(INDEX(RAW!$K:$K,MAX(2,F117))/1000,0)*1000-ROUNDUP((INDEX(RAW!$K:$K,MAX(2,F117))-V117)/1000,0)*1000,0)</f>
        <v>0</v>
      </c>
      <c r="X117" s="504">
        <f>IF(AND(R117="OK",IF($B$43="전체",D117&lt;EDATE($B$3,1),IF($B$43="미정산",U117&gt;0,OR(S117=$B$3,Z117&gt;0,U117&gt;0)))),1,0)</f>
        <v>0</v>
      </c>
      <c r="Y117" s="504">
        <f>IF(X117=1,COUNTIF($X$100:X117,1),0)</f>
        <v>0</v>
      </c>
      <c r="Z117" s="526">
        <f>IF(R117="OK",SUMIFS($O$430:$O$729,$B$430:$B$729,A117,$E$430:$E$729,"&gt;="&amp;$B$3,$E$430:$E$729,"&lt;"&amp;EDATE($B$3,1)),0)</f>
        <v>0</v>
      </c>
    </row>
    <row r="118" hidden="1" outlineLevel="1">
      <c r="A118" s="504" t="str">
        <f>IF(F118="","","R"&amp;F118)</f>
        <v>R835</v>
      </c>
      <c r="B118" s="504" t="str">
        <f>IFERROR(INDEX(RAW!$F:$F,MAX(2,F118)),"")</f>
        <v>코레일</v>
      </c>
      <c r="C118" s="522" t="inlineStr">
        <is>
          <t>생활비</t>
        </is>
      </c>
      <c r="D118" s="524">
        <f>IFERROR(INDEX(RAW!$A:$A,MAX(2,F118)),"")</f>
        <v>46128.857719907406</v>
      </c>
      <c r="E118" s="525">
        <f>IFERROR(INDEX(RAW!$K:$K,MAX(2,F118)),"")</f>
        <v>41300</v>
      </c>
      <c r="F118" s="522" t="n">
        <v>835</v>
      </c>
      <c r="G118" s="504" t="inlineStr">
        <is>
          <t>신규</t>
        </is>
      </c>
      <c r="H118" s="504" t="inlineStr">
        <is>
          <t>기존 비고정 지출 유지. 예비비 부담으로 확인한 경우에만 항목 변경</t>
        </is>
      </c>
      <c r="O118" s="498">
        <f>IF(LEFT(R118,2)="확인",R118,"")</f>
      </c>
      <c r="R118" s="504" t="str">
        <f>IF(A118="","",IF(C118="생활비","생활비",IF(AND(COUNTIF($A$8:$A$12,C118)=1,ISNUMBER(D118),E118&gt;0,COUNTIF($A$100:$A$399,A118)=1,IFERROR(IF(F118="",AND(LEFT(A118,1)="U",G118="월기록"),AND(F118&gt;=2,COUNTIF($F$100:$F$399,F118)=1,INDEX(RAW!$H:$H,MAX(2,F118))="지출",D118=INDEX(RAW!$A:$A,MAX(2,F118)),E118&lt;=INDEX(RAW!$K:$K,MAX(2,F118)),OR(AND(G118="기존반영",OR(A118="U003",A118="U007")),AND(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AND(OR(A118&lt;&gt;"U003",F118=356),OR(A118&lt;&gt;"U007",F118=2203),OR(G118&lt;&gt;"기존반영",A118="U003",A118="U007")))),FALSE)),"OK","확인: 사용등록")))</f>
        <v>생활비</v>
      </c>
      <c r="S118" s="504">
        <f>IF(ISNUMBER(D118),DATE(YEAR(D118),MONTH(D118),1),0)</f>
        <v>46113.0</v>
      </c>
      <c r="T118" s="526">
        <f>IF(R118="OK",SUMIFS($O$430:$O$729,$B$430:$B$729,A118,$E$430:$E$729,"&lt;"&amp;EDATE($B$3,1)),0)</f>
        <v>0</v>
      </c>
      <c r="U118" s="526">
        <f>IF(AND(R118="OK",D118&lt;EDATE($B$3,1),$B$3&gt;=DATE(2026,3,1)),MAX(0,E118-T118),0)</f>
        <v>0</v>
      </c>
      <c r="V118" s="526">
        <f>IFERROR(IF(AND(R118="OK",AND(F118&gt;=2,G118&lt;&gt;"기존반영",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E118,0),0)</f>
        <v>0</v>
      </c>
      <c r="W118" s="526">
        <f>IF(V118&gt;0,ROUNDUP(INDEX(RAW!$K:$K,MAX(2,F118))/1000,0)*1000-ROUNDUP((INDEX(RAW!$K:$K,MAX(2,F118))-V118)/1000,0)*1000,0)</f>
        <v>0</v>
      </c>
      <c r="X118" s="504">
        <f>IF(AND(R118="OK",IF($B$43="전체",D118&lt;EDATE($B$3,1),IF($B$43="미정산",U118&gt;0,OR(S118=$B$3,Z118&gt;0,U118&gt;0)))),1,0)</f>
        <v>0</v>
      </c>
      <c r="Y118" s="504">
        <f>IF(X118=1,COUNTIF($X$100:X118,1),0)</f>
        <v>0</v>
      </c>
      <c r="Z118" s="526">
        <f>IF(R118="OK",SUMIFS($O$430:$O$729,$B$430:$B$729,A118,$E$430:$E$729,"&gt;="&amp;$B$3,$E$430:$E$729,"&lt;"&amp;EDATE($B$3,1)),0)</f>
        <v>0</v>
      </c>
    </row>
    <row r="119" hidden="1" outlineLevel="1">
      <c r="A119" s="504" t="str">
        <f>IF(F119="","","R"&amp;F119)</f>
        <v>R907</v>
      </c>
      <c r="B119" s="504" t="str">
        <f>IFERROR(INDEX(RAW!$F:$F,MAX(2,F119)),"")</f>
        <v>회성각</v>
      </c>
      <c r="C119" s="522" t="inlineStr">
        <is>
          <t>생활비</t>
        </is>
      </c>
      <c r="D119" s="524">
        <f>IFERROR(INDEX(RAW!$A:$A,MAX(2,F119)),"")</f>
        <v>46137.60277777778</v>
      </c>
      <c r="E119" s="525">
        <f>IFERROR(INDEX(RAW!$K:$K,MAX(2,F119)),"")</f>
        <v>64000</v>
      </c>
      <c r="F119" s="522" t="n">
        <v>907</v>
      </c>
      <c r="G119" s="504" t="inlineStr">
        <is>
          <t>신규</t>
        </is>
      </c>
      <c r="H119" s="504" t="inlineStr">
        <is>
          <t>기존 비고정 지출 유지. 예비비 부담으로 확인한 경우에만 항목 변경</t>
        </is>
      </c>
      <c r="O119" s="498">
        <f>IF(LEFT(R119,2)="확인",R119,"")</f>
      </c>
      <c r="R119" s="504" t="str">
        <f>IF(A119="","",IF(C119="생활비","생활비",IF(AND(COUNTIF($A$8:$A$12,C119)=1,ISNUMBER(D119),E119&gt;0,COUNTIF($A$100:$A$399,A119)=1,IFERROR(IF(F119="",AND(LEFT(A119,1)="U",G119="월기록"),AND(F119&gt;=2,COUNTIF($F$100:$F$399,F119)=1,INDEX(RAW!$H:$H,MAX(2,F119))="지출",D119=INDEX(RAW!$A:$A,MAX(2,F119)),E119&lt;=INDEX(RAW!$K:$K,MAX(2,F119)),OR(AND(G119="기존반영",OR(A119="U003",A119="U007")),AND(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AND(OR(A119&lt;&gt;"U003",F119=356),OR(A119&lt;&gt;"U007",F119=2203),OR(G119&lt;&gt;"기존반영",A119="U003",A119="U007")))),FALSE)),"OK","확인: 사용등록")))</f>
        <v>생활비</v>
      </c>
      <c r="S119" s="504">
        <f>IF(ISNUMBER(D119),DATE(YEAR(D119),MONTH(D119),1),0)</f>
        <v>46113.0</v>
      </c>
      <c r="T119" s="526">
        <f>IF(R119="OK",SUMIFS($O$430:$O$729,$B$430:$B$729,A119,$E$430:$E$729,"&lt;"&amp;EDATE($B$3,1)),0)</f>
        <v>0</v>
      </c>
      <c r="U119" s="526">
        <f>IF(AND(R119="OK",D119&lt;EDATE($B$3,1),$B$3&gt;=DATE(2026,3,1)),MAX(0,E119-T119),0)</f>
        <v>0</v>
      </c>
      <c r="V119" s="526">
        <f>IFERROR(IF(AND(R119="OK",AND(F119&gt;=2,G119&lt;&gt;"기존반영",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E119,0),0)</f>
        <v>0</v>
      </c>
      <c r="W119" s="526">
        <f>IF(V119&gt;0,ROUNDUP(INDEX(RAW!$K:$K,MAX(2,F119))/1000,0)*1000-ROUNDUP((INDEX(RAW!$K:$K,MAX(2,F119))-V119)/1000,0)*1000,0)</f>
        <v>0</v>
      </c>
      <c r="X119" s="504">
        <f>IF(AND(R119="OK",IF($B$43="전체",D119&lt;EDATE($B$3,1),IF($B$43="미정산",U119&gt;0,OR(S119=$B$3,Z119&gt;0,U119&gt;0)))),1,0)</f>
        <v>0</v>
      </c>
      <c r="Y119" s="504">
        <f>IF(X119=1,COUNTIF($X$100:X119,1),0)</f>
        <v>0</v>
      </c>
      <c r="Z119" s="526">
        <f>IF(R119="OK",SUMIFS($O$430:$O$729,$B$430:$B$729,A119,$E$430:$E$729,"&gt;="&amp;$B$3,$E$430:$E$729,"&lt;"&amp;EDATE($B$3,1)),0)</f>
        <v>0</v>
      </c>
    </row>
    <row r="120" hidden="1" outlineLevel="1">
      <c r="A120" s="504" t="str">
        <f>IF(F120="","","R"&amp;F120)</f>
        <v>R908</v>
      </c>
      <c r="B120" s="504" t="str">
        <f>IFERROR(INDEX(RAW!$F:$F,MAX(2,F120)),"")</f>
        <v>수성못카페</v>
      </c>
      <c r="C120" s="522" t="inlineStr">
        <is>
          <t>생활비</t>
        </is>
      </c>
      <c r="D120" s="524">
        <f>IFERROR(INDEX(RAW!$A:$A,MAX(2,F120)),"")</f>
        <v>46137.603472222225</v>
      </c>
      <c r="E120" s="525">
        <f>IFERROR(INDEX(RAW!$K:$K,MAX(2,F120)),"")</f>
        <v>31000</v>
      </c>
      <c r="F120" s="522" t="n">
        <v>908</v>
      </c>
      <c r="G120" s="504" t="inlineStr">
        <is>
          <t>신규</t>
        </is>
      </c>
      <c r="H120" s="504" t="inlineStr">
        <is>
          <t>기존 비고정 지출 유지. 예비비 부담으로 확인한 경우에만 항목 변경</t>
        </is>
      </c>
      <c r="O120" s="498">
        <f>IF(LEFT(R120,2)="확인",R120,"")</f>
      </c>
      <c r="R120" s="504" t="str">
        <f>IF(A120="","",IF(C120="생활비","생활비",IF(AND(COUNTIF($A$8:$A$12,C120)=1,ISNUMBER(D120),E120&gt;0,COUNTIF($A$100:$A$399,A120)=1,IFERROR(IF(F120="",AND(LEFT(A120,1)="U",G120="월기록"),AND(F120&gt;=2,COUNTIF($F$100:$F$399,F120)=1,INDEX(RAW!$H:$H,MAX(2,F120))="지출",D120=INDEX(RAW!$A:$A,MAX(2,F120)),E120&lt;=INDEX(RAW!$K:$K,MAX(2,F120)),OR(AND(G120="기존반영",OR(A120="U003",A120="U007")),AND(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AND(OR(A120&lt;&gt;"U003",F120=356),OR(A120&lt;&gt;"U007",F120=2203),OR(G120&lt;&gt;"기존반영",A120="U003",A120="U007")))),FALSE)),"OK","확인: 사용등록")))</f>
        <v>생활비</v>
      </c>
      <c r="S120" s="504">
        <f>IF(ISNUMBER(D120),DATE(YEAR(D120),MONTH(D120),1),0)</f>
        <v>46113.0</v>
      </c>
      <c r="T120" s="526">
        <f>IF(R120="OK",SUMIFS($O$430:$O$729,$B$430:$B$729,A120,$E$430:$E$729,"&lt;"&amp;EDATE($B$3,1)),0)</f>
        <v>0</v>
      </c>
      <c r="U120" s="526">
        <f>IF(AND(R120="OK",D120&lt;EDATE($B$3,1),$B$3&gt;=DATE(2026,3,1)),MAX(0,E120-T120),0)</f>
        <v>0</v>
      </c>
      <c r="V120" s="526">
        <f>IFERROR(IF(AND(R120="OK",AND(F120&gt;=2,G120&lt;&gt;"기존반영",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E120,0),0)</f>
        <v>0</v>
      </c>
      <c r="W120" s="526">
        <f>IF(V120&gt;0,ROUNDUP(INDEX(RAW!$K:$K,MAX(2,F120))/1000,0)*1000-ROUNDUP((INDEX(RAW!$K:$K,MAX(2,F120))-V120)/1000,0)*1000,0)</f>
        <v>0</v>
      </c>
      <c r="X120" s="504">
        <f>IF(AND(R120="OK",IF($B$43="전체",D120&lt;EDATE($B$3,1),IF($B$43="미정산",U120&gt;0,OR(S120=$B$3,Z120&gt;0,U120&gt;0)))),1,0)</f>
        <v>0</v>
      </c>
      <c r="Y120" s="504">
        <f>IF(X120=1,COUNTIF($X$100:X120,1),0)</f>
        <v>0</v>
      </c>
      <c r="Z120" s="526">
        <f>IF(R120="OK",SUMIFS($O$430:$O$729,$B$430:$B$729,A120,$E$430:$E$729,"&gt;="&amp;$B$3,$E$430:$E$729,"&lt;"&amp;EDATE($B$3,1)),0)</f>
        <v>0</v>
      </c>
    </row>
    <row r="121" hidden="1" outlineLevel="1">
      <c r="A121" s="504" t="str">
        <f>IF(F121="","","R"&amp;F121)</f>
        <v>R909</v>
      </c>
      <c r="B121" s="504" t="str">
        <f>IFERROR(INDEX(RAW!$F:$F,MAX(2,F121)),"")</f>
        <v>브라운도트호텔</v>
      </c>
      <c r="C121" s="522" t="inlineStr">
        <is>
          <t>생활비</t>
        </is>
      </c>
      <c r="D121" s="524">
        <f>IFERROR(INDEX(RAW!$A:$A,MAX(2,F121)),"")</f>
        <v>46137.604166666664</v>
      </c>
      <c r="E121" s="525">
        <f>IFERROR(INDEX(RAW!$K:$K,MAX(2,F121)),"")</f>
        <v>20000</v>
      </c>
      <c r="F121" s="522" t="n">
        <v>909</v>
      </c>
      <c r="G121" s="504" t="inlineStr">
        <is>
          <t>신규</t>
        </is>
      </c>
      <c r="H121" s="504" t="inlineStr">
        <is>
          <t>기존 비고정 지출 유지. 예비비 부담으로 확인한 경우에만 항목 변경</t>
        </is>
      </c>
      <c r="O121" s="498">
        <f>IF(LEFT(R121,2)="확인",R121,"")</f>
      </c>
      <c r="R121" s="504" t="str">
        <f>IF(A121="","",IF(C121="생활비","생활비",IF(AND(COUNTIF($A$8:$A$12,C121)=1,ISNUMBER(D121),E121&gt;0,COUNTIF($A$100:$A$399,A121)=1,IFERROR(IF(F121="",AND(LEFT(A121,1)="U",G121="월기록"),AND(F121&gt;=2,COUNTIF($F$100:$F$399,F121)=1,INDEX(RAW!$H:$H,MAX(2,F121))="지출",D121=INDEX(RAW!$A:$A,MAX(2,F121)),E121&lt;=INDEX(RAW!$K:$K,MAX(2,F121)),OR(AND(G121="기존반영",OR(A121="U003",A121="U007")),AND(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AND(OR(A121&lt;&gt;"U003",F121=356),OR(A121&lt;&gt;"U007",F121=2203),OR(G121&lt;&gt;"기존반영",A121="U003",A121="U007")))),FALSE)),"OK","확인: 사용등록")))</f>
        <v>생활비</v>
      </c>
      <c r="S121" s="504">
        <f>IF(ISNUMBER(D121),DATE(YEAR(D121),MONTH(D121),1),0)</f>
        <v>46113.0</v>
      </c>
      <c r="T121" s="526">
        <f>IF(R121="OK",SUMIFS($O$430:$O$729,$B$430:$B$729,A121,$E$430:$E$729,"&lt;"&amp;EDATE($B$3,1)),0)</f>
        <v>0</v>
      </c>
      <c r="U121" s="526">
        <f>IF(AND(R121="OK",D121&lt;EDATE($B$3,1),$B$3&gt;=DATE(2026,3,1)),MAX(0,E121-T121),0)</f>
        <v>0</v>
      </c>
      <c r="V121" s="526">
        <f>IFERROR(IF(AND(R121="OK",AND(F121&gt;=2,G121&lt;&gt;"기존반영",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E121,0),0)</f>
        <v>0</v>
      </c>
      <c r="W121" s="526">
        <f>IF(V121&gt;0,ROUNDUP(INDEX(RAW!$K:$K,MAX(2,F121))/1000,0)*1000-ROUNDUP((INDEX(RAW!$K:$K,MAX(2,F121))-V121)/1000,0)*1000,0)</f>
        <v>0</v>
      </c>
      <c r="X121" s="504">
        <f>IF(AND(R121="OK",IF($B$43="전체",D121&lt;EDATE($B$3,1),IF($B$43="미정산",U121&gt;0,OR(S121=$B$3,Z121&gt;0,U121&gt;0)))),1,0)</f>
        <v>0</v>
      </c>
      <c r="Y121" s="504">
        <f>IF(X121=1,COUNTIF($X$100:X121,1),0)</f>
        <v>0</v>
      </c>
      <c r="Z121" s="526">
        <f>IF(R121="OK",SUMIFS($O$430:$O$729,$B$430:$B$729,A121,$E$430:$E$729,"&gt;="&amp;$B$3,$E$430:$E$729,"&lt;"&amp;EDATE($B$3,1)),0)</f>
        <v>0</v>
      </c>
    </row>
    <row r="122" hidden="1" outlineLevel="1">
      <c r="A122" s="504" t="str">
        <f>IF(F122="","","R"&amp;F122)</f>
        <v>R910</v>
      </c>
      <c r="B122" s="504" t="str">
        <f>IFERROR(INDEX(RAW!$F:$F,MAX(2,F122)),"")</f>
        <v>배스킨라빈스</v>
      </c>
      <c r="C122" s="522" t="inlineStr">
        <is>
          <t>생활비</t>
        </is>
      </c>
      <c r="D122" s="524">
        <f>IFERROR(INDEX(RAW!$A:$A,MAX(2,F122)),"")</f>
        <v>46137.60486111111</v>
      </c>
      <c r="E122" s="525">
        <f>IFERROR(INDEX(RAW!$K:$K,MAX(2,F122)),"")</f>
        <v>13800</v>
      </c>
      <c r="F122" s="522" t="n">
        <v>910</v>
      </c>
      <c r="G122" s="504" t="inlineStr">
        <is>
          <t>신규</t>
        </is>
      </c>
      <c r="H122" s="504" t="inlineStr">
        <is>
          <t>기존 비고정 지출 유지. 예비비 부담으로 확인한 경우에만 항목 변경</t>
        </is>
      </c>
      <c r="O122" s="498">
        <f>IF(LEFT(R122,2)="확인",R122,"")</f>
      </c>
      <c r="R122" s="504" t="str">
        <f>IF(A122="","",IF(C122="생활비","생활비",IF(AND(COUNTIF($A$8:$A$12,C122)=1,ISNUMBER(D122),E122&gt;0,COUNTIF($A$100:$A$399,A122)=1,IFERROR(IF(F122="",AND(LEFT(A122,1)="U",G122="월기록"),AND(F122&gt;=2,COUNTIF($F$100:$F$399,F122)=1,INDEX(RAW!$H:$H,MAX(2,F122))="지출",D122=INDEX(RAW!$A:$A,MAX(2,F122)),E122&lt;=INDEX(RAW!$K:$K,MAX(2,F122)),OR(AND(G122="기존반영",OR(A122="U003",A122="U007")),AND(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AND(OR(A122&lt;&gt;"U003",F122=356),OR(A122&lt;&gt;"U007",F122=2203),OR(G122&lt;&gt;"기존반영",A122="U003",A122="U007")))),FALSE)),"OK","확인: 사용등록")))</f>
        <v>생활비</v>
      </c>
      <c r="S122" s="504">
        <f>IF(ISNUMBER(D122),DATE(YEAR(D122),MONTH(D122),1),0)</f>
        <v>46113.0</v>
      </c>
      <c r="T122" s="526">
        <f>IF(R122="OK",SUMIFS($O$430:$O$729,$B$430:$B$729,A122,$E$430:$E$729,"&lt;"&amp;EDATE($B$3,1)),0)</f>
        <v>0</v>
      </c>
      <c r="U122" s="526">
        <f>IF(AND(R122="OK",D122&lt;EDATE($B$3,1),$B$3&gt;=DATE(2026,3,1)),MAX(0,E122-T122),0)</f>
        <v>0</v>
      </c>
      <c r="V122" s="526">
        <f>IFERROR(IF(AND(R122="OK",AND(F122&gt;=2,G122&lt;&gt;"기존반영",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E122,0),0)</f>
        <v>0</v>
      </c>
      <c r="W122" s="526">
        <f>IF(V122&gt;0,ROUNDUP(INDEX(RAW!$K:$K,MAX(2,F122))/1000,0)*1000-ROUNDUP((INDEX(RAW!$K:$K,MAX(2,F122))-V122)/1000,0)*1000,0)</f>
        <v>0</v>
      </c>
      <c r="X122" s="504">
        <f>IF(AND(R122="OK",IF($B$43="전체",D122&lt;EDATE($B$3,1),IF($B$43="미정산",U122&gt;0,OR(S122=$B$3,Z122&gt;0,U122&gt;0)))),1,0)</f>
        <v>0</v>
      </c>
      <c r="Y122" s="504">
        <f>IF(X122=1,COUNTIF($X$100:X122,1),0)</f>
        <v>0</v>
      </c>
      <c r="Z122" s="526">
        <f>IF(R122="OK",SUMIFS($O$430:$O$729,$B$430:$B$729,A122,$E$430:$E$729,"&gt;="&amp;$B$3,$E$430:$E$729,"&lt;"&amp;EDATE($B$3,1)),0)</f>
        <v>0</v>
      </c>
    </row>
    <row r="123" hidden="1" outlineLevel="1">
      <c r="A123" s="504" t="str">
        <f>IF(F123="","","R"&amp;F123)</f>
        <v>R911</v>
      </c>
      <c r="B123" s="504" t="str">
        <f>IFERROR(INDEX(RAW!$F:$F,MAX(2,F123)),"")</f>
        <v>진미막창</v>
      </c>
      <c r="C123" s="522" t="inlineStr">
        <is>
          <t>생활비</t>
        </is>
      </c>
      <c r="D123" s="524">
        <f>IFERROR(INDEX(RAW!$A:$A,MAX(2,F123)),"")</f>
        <v>46137.60486111111</v>
      </c>
      <c r="E123" s="525">
        <f>IFERROR(INDEX(RAW!$K:$K,MAX(2,F123)),"")</f>
        <v>126000</v>
      </c>
      <c r="F123" s="522" t="n">
        <v>911</v>
      </c>
      <c r="G123" s="504" t="inlineStr">
        <is>
          <t>신규</t>
        </is>
      </c>
      <c r="H123" s="504" t="inlineStr">
        <is>
          <t>기존 비고정 지출 유지. 예비비 부담으로 확인한 경우에만 항목 변경</t>
        </is>
      </c>
      <c r="O123" s="498">
        <f>IF(LEFT(R123,2)="확인",R123,"")</f>
      </c>
      <c r="R123" s="504" t="str">
        <f>IF(A123="","",IF(C123="생활비","생활비",IF(AND(COUNTIF($A$8:$A$12,C123)=1,ISNUMBER(D123),E123&gt;0,COUNTIF($A$100:$A$399,A123)=1,IFERROR(IF(F123="",AND(LEFT(A123,1)="U",G123="월기록"),AND(F123&gt;=2,COUNTIF($F$100:$F$399,F123)=1,INDEX(RAW!$H:$H,MAX(2,F123))="지출",D123=INDEX(RAW!$A:$A,MAX(2,F123)),E123&lt;=INDEX(RAW!$K:$K,MAX(2,F123)),OR(AND(G123="기존반영",OR(A123="U003",A123="U007")),AND(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AND(OR(A123&lt;&gt;"U003",F123=356),OR(A123&lt;&gt;"U007",F123=2203),OR(G123&lt;&gt;"기존반영",A123="U003",A123="U007")))),FALSE)),"OK","확인: 사용등록")))</f>
        <v>생활비</v>
      </c>
      <c r="S123" s="504">
        <f>IF(ISNUMBER(D123),DATE(YEAR(D123),MONTH(D123),1),0)</f>
        <v>46113.0</v>
      </c>
      <c r="T123" s="526">
        <f>IF(R123="OK",SUMIFS($O$430:$O$729,$B$430:$B$729,A123,$E$430:$E$729,"&lt;"&amp;EDATE($B$3,1)),0)</f>
        <v>0</v>
      </c>
      <c r="U123" s="526">
        <f>IF(AND(R123="OK",D123&lt;EDATE($B$3,1),$B$3&gt;=DATE(2026,3,1)),MAX(0,E123-T123),0)</f>
        <v>0</v>
      </c>
      <c r="V123" s="526">
        <f>IFERROR(IF(AND(R123="OK",AND(F123&gt;=2,G123&lt;&gt;"기존반영",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E123,0),0)</f>
        <v>0</v>
      </c>
      <c r="W123" s="526">
        <f>IF(V123&gt;0,ROUNDUP(INDEX(RAW!$K:$K,MAX(2,F123))/1000,0)*1000-ROUNDUP((INDEX(RAW!$K:$K,MAX(2,F123))-V123)/1000,0)*1000,0)</f>
        <v>0</v>
      </c>
      <c r="X123" s="504">
        <f>IF(AND(R123="OK",IF($B$43="전체",D123&lt;EDATE($B$3,1),IF($B$43="미정산",U123&gt;0,OR(S123=$B$3,Z123&gt;0,U123&gt;0)))),1,0)</f>
        <v>0</v>
      </c>
      <c r="Y123" s="504">
        <f>IF(X123=1,COUNTIF($X$100:X123,1),0)</f>
        <v>0</v>
      </c>
      <c r="Z123" s="526">
        <f>IF(R123="OK",SUMIFS($O$430:$O$729,$B$430:$B$729,A123,$E$430:$E$729,"&gt;="&amp;$B$3,$E$430:$E$729,"&lt;"&amp;EDATE($B$3,1)),0)</f>
        <v>0</v>
      </c>
    </row>
    <row r="124" hidden="1" outlineLevel="1">
      <c r="A124" s="504" t="str">
        <f>IF(F124="","","R"&amp;F124)</f>
        <v>R912</v>
      </c>
      <c r="B124" s="504" t="str">
        <f>IFERROR(INDEX(RAW!$F:$F,MAX(2,F124)),"")</f>
        <v>CU</v>
      </c>
      <c r="C124" s="522" t="inlineStr">
        <is>
          <t>생활비</t>
        </is>
      </c>
      <c r="D124" s="524">
        <f>IFERROR(INDEX(RAW!$A:$A,MAX(2,F124)),"")</f>
        <v>46137.60625</v>
      </c>
      <c r="E124" s="525">
        <f>IFERROR(INDEX(RAW!$K:$K,MAX(2,F124)),"")</f>
        <v>43000</v>
      </c>
      <c r="F124" s="522" t="n">
        <v>912</v>
      </c>
      <c r="G124" s="504" t="inlineStr">
        <is>
          <t>신규</t>
        </is>
      </c>
      <c r="H124" s="504" t="inlineStr">
        <is>
          <t>기존 비고정 지출 유지. 예비비 부담으로 확인한 경우에만 항목 변경</t>
        </is>
      </c>
      <c r="O124" s="498">
        <f>IF(LEFT(R124,2)="확인",R124,"")</f>
      </c>
      <c r="R124" s="504" t="str">
        <f>IF(A124="","",IF(C124="생활비","생활비",IF(AND(COUNTIF($A$8:$A$12,C124)=1,ISNUMBER(D124),E124&gt;0,COUNTIF($A$100:$A$399,A124)=1,IFERROR(IF(F124="",AND(LEFT(A124,1)="U",G124="월기록"),AND(F124&gt;=2,COUNTIF($F$100:$F$399,F124)=1,INDEX(RAW!$H:$H,MAX(2,F124))="지출",D124=INDEX(RAW!$A:$A,MAX(2,F124)),E124&lt;=INDEX(RAW!$K:$K,MAX(2,F124)),OR(AND(G124="기존반영",OR(A124="U003",A124="U007")),AND(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AND(OR(A124&lt;&gt;"U003",F124=356),OR(A124&lt;&gt;"U007",F124=2203),OR(G124&lt;&gt;"기존반영",A124="U003",A124="U007")))),FALSE)),"OK","확인: 사용등록")))</f>
        <v>생활비</v>
      </c>
      <c r="S124" s="504">
        <f>IF(ISNUMBER(D124),DATE(YEAR(D124),MONTH(D124),1),0)</f>
        <v>46113.0</v>
      </c>
      <c r="T124" s="526">
        <f>IF(R124="OK",SUMIFS($O$430:$O$729,$B$430:$B$729,A124,$E$430:$E$729,"&lt;"&amp;EDATE($B$3,1)),0)</f>
        <v>0</v>
      </c>
      <c r="U124" s="526">
        <f>IF(AND(R124="OK",D124&lt;EDATE($B$3,1),$B$3&gt;=DATE(2026,3,1)),MAX(0,E124-T124),0)</f>
        <v>0</v>
      </c>
      <c r="V124" s="526">
        <f>IFERROR(IF(AND(R124="OK",AND(F124&gt;=2,G124&lt;&gt;"기존반영",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E124,0),0)</f>
        <v>0</v>
      </c>
      <c r="W124" s="526">
        <f>IF(V124&gt;0,ROUNDUP(INDEX(RAW!$K:$K,MAX(2,F124))/1000,0)*1000-ROUNDUP((INDEX(RAW!$K:$K,MAX(2,F124))-V124)/1000,0)*1000,0)</f>
        <v>0</v>
      </c>
      <c r="X124" s="504">
        <f>IF(AND(R124="OK",IF($B$43="전체",D124&lt;EDATE($B$3,1),IF($B$43="미정산",U124&gt;0,OR(S124=$B$3,Z124&gt;0,U124&gt;0)))),1,0)</f>
        <v>0</v>
      </c>
      <c r="Y124" s="504">
        <f>IF(X124=1,COUNTIF($X$100:X124,1),0)</f>
        <v>0</v>
      </c>
      <c r="Z124" s="526">
        <f>IF(R124="OK",SUMIFS($O$430:$O$729,$B$430:$B$729,A124,$E$430:$E$729,"&gt;="&amp;$B$3,$E$430:$E$729,"&lt;"&amp;EDATE($B$3,1)),0)</f>
        <v>0</v>
      </c>
    </row>
    <row r="125" hidden="1" outlineLevel="1">
      <c r="A125" s="504" t="str">
        <f>IF(F125="","","R"&amp;F125)</f>
        <v>R913</v>
      </c>
      <c r="B125" s="504" t="str">
        <f>IFERROR(INDEX(RAW!$F:$F,MAX(2,F125)),"")</f>
        <v>배달의민족</v>
      </c>
      <c r="C125" s="522" t="inlineStr">
        <is>
          <t>생활비</t>
        </is>
      </c>
      <c r="D125" s="524">
        <f>IFERROR(INDEX(RAW!$A:$A,MAX(2,F125)),"")</f>
        <v>46137.606944444444</v>
      </c>
      <c r="E125" s="525">
        <f>IFERROR(INDEX(RAW!$K:$K,MAX(2,F125)),"")</f>
        <v>28500</v>
      </c>
      <c r="F125" s="522" t="n">
        <v>913</v>
      </c>
      <c r="G125" s="504" t="inlineStr">
        <is>
          <t>신규</t>
        </is>
      </c>
      <c r="H125" s="504" t="inlineStr">
        <is>
          <t>기존 비고정 지출 유지. 예비비 부담으로 확인한 경우에만 항목 변경</t>
        </is>
      </c>
      <c r="O125" s="498">
        <f>IF(LEFT(R125,2)="확인",R125,"")</f>
      </c>
      <c r="R125" s="504" t="str">
        <f>IF(A125="","",IF(C125="생활비","생활비",IF(AND(COUNTIF($A$8:$A$12,C125)=1,ISNUMBER(D125),E125&gt;0,COUNTIF($A$100:$A$399,A125)=1,IFERROR(IF(F125="",AND(LEFT(A125,1)="U",G125="월기록"),AND(F125&gt;=2,COUNTIF($F$100:$F$399,F125)=1,INDEX(RAW!$H:$H,MAX(2,F125))="지출",D125=INDEX(RAW!$A:$A,MAX(2,F125)),E125&lt;=INDEX(RAW!$K:$K,MAX(2,F125)),OR(AND(G125="기존반영",OR(A125="U003",A125="U007")),AND(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AND(OR(A125&lt;&gt;"U003",F125=356),OR(A125&lt;&gt;"U007",F125=2203),OR(G125&lt;&gt;"기존반영",A125="U003",A125="U007")))),FALSE)),"OK","확인: 사용등록")))</f>
        <v>생활비</v>
      </c>
      <c r="S125" s="504">
        <f>IF(ISNUMBER(D125),DATE(YEAR(D125),MONTH(D125),1),0)</f>
        <v>46113.0</v>
      </c>
      <c r="T125" s="526">
        <f>IF(R125="OK",SUMIFS($O$430:$O$729,$B$430:$B$729,A125,$E$430:$E$729,"&lt;"&amp;EDATE($B$3,1)),0)</f>
        <v>0</v>
      </c>
      <c r="U125" s="526">
        <f>IF(AND(R125="OK",D125&lt;EDATE($B$3,1),$B$3&gt;=DATE(2026,3,1)),MAX(0,E125-T125),0)</f>
        <v>0</v>
      </c>
      <c r="V125" s="526">
        <f>IFERROR(IF(AND(R125="OK",AND(F125&gt;=2,G125&lt;&gt;"기존반영",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E125,0),0)</f>
        <v>0</v>
      </c>
      <c r="W125" s="526">
        <f>IF(V125&gt;0,ROUNDUP(INDEX(RAW!$K:$K,MAX(2,F125))/1000,0)*1000-ROUNDUP((INDEX(RAW!$K:$K,MAX(2,F125))-V125)/1000,0)*1000,0)</f>
        <v>0</v>
      </c>
      <c r="X125" s="504">
        <f>IF(AND(R125="OK",IF($B$43="전체",D125&lt;EDATE($B$3,1),IF($B$43="미정산",U125&gt;0,OR(S125=$B$3,Z125&gt;0,U125&gt;0)))),1,0)</f>
        <v>0</v>
      </c>
      <c r="Y125" s="504">
        <f>IF(X125=1,COUNTIF($X$100:X125,1),0)</f>
        <v>0</v>
      </c>
      <c r="Z125" s="526">
        <f>IF(R125="OK",SUMIFS($O$430:$O$729,$B$430:$B$729,A125,$E$430:$E$729,"&gt;="&amp;$B$3,$E$430:$E$729,"&lt;"&amp;EDATE($B$3,1)),0)</f>
        <v>0</v>
      </c>
    </row>
    <row r="126" hidden="1" outlineLevel="1">
      <c r="A126" s="504" t="str">
        <f>IF(F126="","","R"&amp;F126)</f>
        <v>R919</v>
      </c>
      <c r="B126" s="504" t="str">
        <f>IFERROR(INDEX(RAW!$F:$F,MAX(2,F126)),"")</f>
        <v>근본국밥</v>
      </c>
      <c r="C126" s="522" t="inlineStr">
        <is>
          <t>생활비</t>
        </is>
      </c>
      <c r="D126" s="524">
        <f>IFERROR(INDEX(RAW!$A:$A,MAX(2,F126)),"")</f>
        <v>46138.669444444444</v>
      </c>
      <c r="E126" s="525">
        <f>IFERROR(INDEX(RAW!$K:$K,MAX(2,F126)),"")</f>
        <v>55000</v>
      </c>
      <c r="F126" s="522" t="n">
        <v>919</v>
      </c>
      <c r="G126" s="504" t="inlineStr">
        <is>
          <t>신규</t>
        </is>
      </c>
      <c r="H126" s="504" t="inlineStr">
        <is>
          <t>기존 비고정 지출 유지. 예비비 부담으로 확인한 경우에만 항목 변경</t>
        </is>
      </c>
      <c r="O126" s="498">
        <f>IF(LEFT(R126,2)="확인",R126,"")</f>
      </c>
      <c r="R126" s="504" t="str">
        <f>IF(A126="","",IF(C126="생활비","생활비",IF(AND(COUNTIF($A$8:$A$12,C126)=1,ISNUMBER(D126),E126&gt;0,COUNTIF($A$100:$A$399,A126)=1,IFERROR(IF(F126="",AND(LEFT(A126,1)="U",G126="월기록"),AND(F126&gt;=2,COUNTIF($F$100:$F$399,F126)=1,INDEX(RAW!$H:$H,MAX(2,F126))="지출",D126=INDEX(RAW!$A:$A,MAX(2,F126)),E126&lt;=INDEX(RAW!$K:$K,MAX(2,F126)),OR(AND(G126="기존반영",OR(A126="U003",A126="U007")),AND(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AND(OR(A126&lt;&gt;"U003",F126=356),OR(A126&lt;&gt;"U007",F126=2203),OR(G126&lt;&gt;"기존반영",A126="U003",A126="U007")))),FALSE)),"OK","확인: 사용등록")))</f>
        <v>생활비</v>
      </c>
      <c r="S126" s="504">
        <f>IF(ISNUMBER(D126),DATE(YEAR(D126),MONTH(D126),1),0)</f>
        <v>46113.0</v>
      </c>
      <c r="T126" s="526">
        <f>IF(R126="OK",SUMIFS($O$430:$O$729,$B$430:$B$729,A126,$E$430:$E$729,"&lt;"&amp;EDATE($B$3,1)),0)</f>
        <v>0</v>
      </c>
      <c r="U126" s="526">
        <f>IF(AND(R126="OK",D126&lt;EDATE($B$3,1),$B$3&gt;=DATE(2026,3,1)),MAX(0,E126-T126),0)</f>
        <v>0</v>
      </c>
      <c r="V126" s="526">
        <f>IFERROR(IF(AND(R126="OK",AND(F126&gt;=2,G126&lt;&gt;"기존반영",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E126,0),0)</f>
        <v>0</v>
      </c>
      <c r="W126" s="526">
        <f>IF(V126&gt;0,ROUNDUP(INDEX(RAW!$K:$K,MAX(2,F126))/1000,0)*1000-ROUNDUP((INDEX(RAW!$K:$K,MAX(2,F126))-V126)/1000,0)*1000,0)</f>
        <v>0</v>
      </c>
      <c r="X126" s="504">
        <f>IF(AND(R126="OK",IF($B$43="전체",D126&lt;EDATE($B$3,1),IF($B$43="미정산",U126&gt;0,OR(S126=$B$3,Z126&gt;0,U126&gt;0)))),1,0)</f>
        <v>0</v>
      </c>
      <c r="Y126" s="504">
        <f>IF(X126=1,COUNTIF($X$100:X126,1),0)</f>
        <v>0</v>
      </c>
      <c r="Z126" s="526">
        <f>IF(R126="OK",SUMIFS($O$430:$O$729,$B$430:$B$729,A126,$E$430:$E$729,"&gt;="&amp;$B$3,$E$430:$E$729,"&lt;"&amp;EDATE($B$3,1)),0)</f>
        <v>0</v>
      </c>
    </row>
    <row r="127" hidden="1" outlineLevel="1">
      <c r="A127" s="504" t="str">
        <f>IF(F127="","","R"&amp;F127)</f>
        <v>R921</v>
      </c>
      <c r="B127" s="504" t="str">
        <f>IFERROR(INDEX(RAW!$F:$F,MAX(2,F127)),"")</f>
        <v>투썸플레이스</v>
      </c>
      <c r="C127" s="522" t="inlineStr">
        <is>
          <t>생활비</t>
        </is>
      </c>
      <c r="D127" s="524">
        <f>IFERROR(INDEX(RAW!$A:$A,MAX(2,F127)),"")</f>
        <v>46138.67291666667</v>
      </c>
      <c r="E127" s="525">
        <f>IFERROR(INDEX(RAW!$K:$K,MAX(2,F127)),"")</f>
        <v>17150</v>
      </c>
      <c r="F127" s="522" t="n">
        <v>921</v>
      </c>
      <c r="G127" s="504" t="inlineStr">
        <is>
          <t>신규</t>
        </is>
      </c>
      <c r="H127" s="504" t="inlineStr">
        <is>
          <t>기존 비고정 지출 유지. 예비비 부담으로 확인한 경우에만 항목 변경</t>
        </is>
      </c>
      <c r="O127" s="498">
        <f>IF(LEFT(R127,2)="확인",R127,"")</f>
      </c>
      <c r="R127" s="504" t="str">
        <f>IF(A127="","",IF(C127="생활비","생활비",IF(AND(COUNTIF($A$8:$A$12,C127)=1,ISNUMBER(D127),E127&gt;0,COUNTIF($A$100:$A$399,A127)=1,IFERROR(IF(F127="",AND(LEFT(A127,1)="U",G127="월기록"),AND(F127&gt;=2,COUNTIF($F$100:$F$399,F127)=1,INDEX(RAW!$H:$H,MAX(2,F127))="지출",D127=INDEX(RAW!$A:$A,MAX(2,F127)),E127&lt;=INDEX(RAW!$K:$K,MAX(2,F127)),OR(AND(G127="기존반영",OR(A127="U003",A127="U007")),AND(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AND(OR(A127&lt;&gt;"U003",F127=356),OR(A127&lt;&gt;"U007",F127=2203),OR(G127&lt;&gt;"기존반영",A127="U003",A127="U007")))),FALSE)),"OK","확인: 사용등록")))</f>
        <v>생활비</v>
      </c>
      <c r="S127" s="504">
        <f>IF(ISNUMBER(D127),DATE(YEAR(D127),MONTH(D127),1),0)</f>
        <v>46113.0</v>
      </c>
      <c r="T127" s="526">
        <f>IF(R127="OK",SUMIFS($O$430:$O$729,$B$430:$B$729,A127,$E$430:$E$729,"&lt;"&amp;EDATE($B$3,1)),0)</f>
        <v>0</v>
      </c>
      <c r="U127" s="526">
        <f>IF(AND(R127="OK",D127&lt;EDATE($B$3,1),$B$3&gt;=DATE(2026,3,1)),MAX(0,E127-T127),0)</f>
        <v>0</v>
      </c>
      <c r="V127" s="526">
        <f>IFERROR(IF(AND(R127="OK",AND(F127&gt;=2,G127&lt;&gt;"기존반영",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E127,0),0)</f>
        <v>0</v>
      </c>
      <c r="W127" s="526">
        <f>IF(V127&gt;0,ROUNDUP(INDEX(RAW!$K:$K,MAX(2,F127))/1000,0)*1000-ROUNDUP((INDEX(RAW!$K:$K,MAX(2,F127))-V127)/1000,0)*1000,0)</f>
        <v>0</v>
      </c>
      <c r="X127" s="504">
        <f>IF(AND(R127="OK",IF($B$43="전체",D127&lt;EDATE($B$3,1),IF($B$43="미정산",U127&gt;0,OR(S127=$B$3,Z127&gt;0,U127&gt;0)))),1,0)</f>
        <v>0</v>
      </c>
      <c r="Y127" s="504">
        <f>IF(X127=1,COUNTIF($X$100:X127,1),0)</f>
        <v>0</v>
      </c>
      <c r="Z127" s="526">
        <f>IF(R127="OK",SUMIFS($O$430:$O$729,$B$430:$B$729,A127,$E$430:$E$729,"&gt;="&amp;$B$3,$E$430:$E$729,"&lt;"&amp;EDATE($B$3,1)),0)</f>
        <v>0</v>
      </c>
    </row>
    <row r="128" hidden="1" outlineLevel="1">
      <c r="A128" s="504" t="str">
        <f>IF(F128="","","R"&amp;F128)</f>
        <v>R960</v>
      </c>
      <c r="B128" s="504" t="str">
        <f>IFERROR(INDEX(RAW!$F:$F,MAX(2,F128)),"")</f>
        <v>네이버플러스 스토어</v>
      </c>
      <c r="C128" s="522" t="inlineStr">
        <is>
          <t>생활비</t>
        </is>
      </c>
      <c r="D128" s="524">
        <f>IFERROR(INDEX(RAW!$A:$A,MAX(2,F128)),"")</f>
        <v>46144.55569444445</v>
      </c>
      <c r="E128" s="525">
        <f>IFERROR(INDEX(RAW!$K:$K,MAX(2,F128)),"")</f>
        <v>99000</v>
      </c>
      <c r="F128" s="522" t="n">
        <v>960</v>
      </c>
      <c r="G128" s="504" t="inlineStr">
        <is>
          <t>신규</t>
        </is>
      </c>
      <c r="H128" s="504" t="inlineStr">
        <is>
          <t>기존 비고정 지출 유지. 예비비 부담으로 확인한 경우에만 항목 변경</t>
        </is>
      </c>
      <c r="O128" s="498">
        <f>IF(LEFT(R128,2)="확인",R128,"")</f>
      </c>
      <c r="R128" s="504" t="str">
        <f>IF(A128="","",IF(C128="생활비","생활비",IF(AND(COUNTIF($A$8:$A$12,C128)=1,ISNUMBER(D128),E128&gt;0,COUNTIF($A$100:$A$399,A128)=1,IFERROR(IF(F128="",AND(LEFT(A128,1)="U",G128="월기록"),AND(F128&gt;=2,COUNTIF($F$100:$F$399,F128)=1,INDEX(RAW!$H:$H,MAX(2,F128))="지출",D128=INDEX(RAW!$A:$A,MAX(2,F128)),E128&lt;=INDEX(RAW!$K:$K,MAX(2,F128)),OR(AND(G128="기존반영",OR(A128="U003",A128="U007")),AND(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AND(OR(A128&lt;&gt;"U003",F128=356),OR(A128&lt;&gt;"U007",F128=2203),OR(G128&lt;&gt;"기존반영",A128="U003",A128="U007")))),FALSE)),"OK","확인: 사용등록")))</f>
        <v>생활비</v>
      </c>
      <c r="S128" s="504">
        <f>IF(ISNUMBER(D128),DATE(YEAR(D128),MONTH(D128),1),0)</f>
        <v>46143.0</v>
      </c>
      <c r="T128" s="526">
        <f>IF(R128="OK",SUMIFS($O$430:$O$729,$B$430:$B$729,A128,$E$430:$E$729,"&lt;"&amp;EDATE($B$3,1)),0)</f>
        <v>0</v>
      </c>
      <c r="U128" s="526">
        <f>IF(AND(R128="OK",D128&lt;EDATE($B$3,1),$B$3&gt;=DATE(2026,3,1)),MAX(0,E128-T128),0)</f>
        <v>0</v>
      </c>
      <c r="V128" s="526">
        <f>IFERROR(IF(AND(R128="OK",AND(F128&gt;=2,G128&lt;&gt;"기존반영",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E128,0),0)</f>
        <v>0</v>
      </c>
      <c r="W128" s="526">
        <f>IF(V128&gt;0,ROUNDUP(INDEX(RAW!$K:$K,MAX(2,F128))/1000,0)*1000-ROUNDUP((INDEX(RAW!$K:$K,MAX(2,F128))-V128)/1000,0)*1000,0)</f>
        <v>0</v>
      </c>
      <c r="X128" s="504">
        <f>IF(AND(R128="OK",IF($B$43="전체",D128&lt;EDATE($B$3,1),IF($B$43="미정산",U128&gt;0,OR(S128=$B$3,Z128&gt;0,U128&gt;0)))),1,0)</f>
        <v>0</v>
      </c>
      <c r="Y128" s="504">
        <f>IF(X128=1,COUNTIF($X$100:X128,1),0)</f>
        <v>0</v>
      </c>
      <c r="Z128" s="526">
        <f>IF(R128="OK",SUMIFS($O$430:$O$729,$B$430:$B$729,A128,$E$430:$E$729,"&gt;="&amp;$B$3,$E$430:$E$729,"&lt;"&amp;EDATE($B$3,1)),0)</f>
        <v>0</v>
      </c>
    </row>
    <row r="129" hidden="1" outlineLevel="1">
      <c r="A129" s="504" t="str">
        <f>IF(F129="","","R"&amp;F129)</f>
        <v>R991</v>
      </c>
      <c r="B129" s="504" t="str">
        <f>IFERROR(INDEX(RAW!$F:$F,MAX(2,F129)),"")</f>
        <v>카카오 선물하기</v>
      </c>
      <c r="C129" s="522" t="inlineStr">
        <is>
          <t>생활비</t>
        </is>
      </c>
      <c r="D129" s="524">
        <f>IFERROR(INDEX(RAW!$A:$A,MAX(2,F129)),"")</f>
        <v>46149.91116898148</v>
      </c>
      <c r="E129" s="525">
        <f>IFERROR(INDEX(RAW!$K:$K,MAX(2,F129)),"")</f>
        <v>49900</v>
      </c>
      <c r="F129" s="522" t="n">
        <v>991</v>
      </c>
      <c r="G129" s="504" t="inlineStr">
        <is>
          <t>신규</t>
        </is>
      </c>
      <c r="H129" s="504" t="inlineStr">
        <is>
          <t>기존 비고정 지출 유지. 예비비 부담으로 확인한 경우에만 항목 변경</t>
        </is>
      </c>
      <c r="O129" s="498">
        <f>IF(LEFT(R129,2)="확인",R129,"")</f>
      </c>
      <c r="R129" s="504" t="str">
        <f>IF(A129="","",IF(C129="생활비","생활비",IF(AND(COUNTIF($A$8:$A$12,C129)=1,ISNUMBER(D129),E129&gt;0,COUNTIF($A$100:$A$399,A129)=1,IFERROR(IF(F129="",AND(LEFT(A129,1)="U",G129="월기록"),AND(F129&gt;=2,COUNTIF($F$100:$F$399,F129)=1,INDEX(RAW!$H:$H,MAX(2,F129))="지출",D129=INDEX(RAW!$A:$A,MAX(2,F129)),E129&lt;=INDEX(RAW!$K:$K,MAX(2,F129)),OR(AND(G129="기존반영",OR(A129="U003",A129="U007")),AND(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AND(OR(A129&lt;&gt;"U003",F129=356),OR(A129&lt;&gt;"U007",F129=2203),OR(G129&lt;&gt;"기존반영",A129="U003",A129="U007")))),FALSE)),"OK","확인: 사용등록")))</f>
        <v>생활비</v>
      </c>
      <c r="S129" s="504">
        <f>IF(ISNUMBER(D129),DATE(YEAR(D129),MONTH(D129),1),0)</f>
        <v>46143.0</v>
      </c>
      <c r="T129" s="526">
        <f>IF(R129="OK",SUMIFS($O$430:$O$729,$B$430:$B$729,A129,$E$430:$E$729,"&lt;"&amp;EDATE($B$3,1)),0)</f>
        <v>0</v>
      </c>
      <c r="U129" s="526">
        <f>IF(AND(R129="OK",D129&lt;EDATE($B$3,1),$B$3&gt;=DATE(2026,3,1)),MAX(0,E129-T129),0)</f>
        <v>0</v>
      </c>
      <c r="V129" s="526">
        <f>IFERROR(IF(AND(R129="OK",AND(F129&gt;=2,G129&lt;&gt;"기존반영",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E129,0),0)</f>
        <v>0</v>
      </c>
      <c r="W129" s="526">
        <f>IF(V129&gt;0,ROUNDUP(INDEX(RAW!$K:$K,MAX(2,F129))/1000,0)*1000-ROUNDUP((INDEX(RAW!$K:$K,MAX(2,F129))-V129)/1000,0)*1000,0)</f>
        <v>0</v>
      </c>
      <c r="X129" s="504">
        <f>IF(AND(R129="OK",IF($B$43="전체",D129&lt;EDATE($B$3,1),IF($B$43="미정산",U129&gt;0,OR(S129=$B$3,Z129&gt;0,U129&gt;0)))),1,0)</f>
        <v>0</v>
      </c>
      <c r="Y129" s="504">
        <f>IF(X129=1,COUNTIF($X$100:X129,1),0)</f>
        <v>0</v>
      </c>
      <c r="Z129" s="526">
        <f>IF(R129="OK",SUMIFS($O$430:$O$729,$B$430:$B$729,A129,$E$430:$E$729,"&gt;="&amp;$B$3,$E$430:$E$729,"&lt;"&amp;EDATE($B$3,1)),0)</f>
        <v>0</v>
      </c>
    </row>
    <row r="130" hidden="1" outlineLevel="1">
      <c r="A130" s="504" t="str">
        <f>IF(F130="","","R"&amp;F130)</f>
        <v>R1070</v>
      </c>
      <c r="B130" s="504" t="str">
        <f>IFERROR(INDEX(RAW!$F:$F,MAX(2,F130)),"")</f>
        <v>카카오톡 이모티콘</v>
      </c>
      <c r="C130" s="522" t="inlineStr">
        <is>
          <t>생활비</t>
        </is>
      </c>
      <c r="D130" s="524">
        <f>IFERROR(INDEX(RAW!$A:$A,MAX(2,F130)),"")</f>
        <v>46163.89879629629</v>
      </c>
      <c r="E130" s="525">
        <f>IFERROR(INDEX(RAW!$K:$K,MAX(2,F130)),"")</f>
        <v>2000</v>
      </c>
      <c r="F130" s="522" t="n">
        <v>1070</v>
      </c>
      <c r="G130" s="504" t="inlineStr">
        <is>
          <t>신규</t>
        </is>
      </c>
      <c r="H130" s="504" t="inlineStr">
        <is>
          <t>기존 비고정 지출 유지. 예비비 부담으로 확인한 경우에만 항목 변경</t>
        </is>
      </c>
      <c r="O130" s="498">
        <f>IF(LEFT(R130,2)="확인",R130,"")</f>
      </c>
      <c r="R130" s="504" t="str">
        <f>IF(A130="","",IF(C130="생활비","생활비",IF(AND(COUNTIF($A$8:$A$12,C130)=1,ISNUMBER(D130),E130&gt;0,COUNTIF($A$100:$A$399,A130)=1,IFERROR(IF(F130="",AND(LEFT(A130,1)="U",G130="월기록"),AND(F130&gt;=2,COUNTIF($F$100:$F$399,F130)=1,INDEX(RAW!$H:$H,MAX(2,F130))="지출",D130=INDEX(RAW!$A:$A,MAX(2,F130)),E130&lt;=INDEX(RAW!$K:$K,MAX(2,F130)),OR(AND(G130="기존반영",OR(A130="U003",A130="U007")),AND(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AND(OR(A130&lt;&gt;"U003",F130=356),OR(A130&lt;&gt;"U007",F130=2203),OR(G130&lt;&gt;"기존반영",A130="U003",A130="U007")))),FALSE)),"OK","확인: 사용등록")))</f>
        <v>생활비</v>
      </c>
      <c r="S130" s="504">
        <f>IF(ISNUMBER(D130),DATE(YEAR(D130),MONTH(D130),1),0)</f>
        <v>46143.0</v>
      </c>
      <c r="T130" s="526">
        <f>IF(R130="OK",SUMIFS($O$430:$O$729,$B$430:$B$729,A130,$E$430:$E$729,"&lt;"&amp;EDATE($B$3,1)),0)</f>
        <v>0</v>
      </c>
      <c r="U130" s="526">
        <f>IF(AND(R130="OK",D130&lt;EDATE($B$3,1),$B$3&gt;=DATE(2026,3,1)),MAX(0,E130-T130),0)</f>
        <v>0</v>
      </c>
      <c r="V130" s="526">
        <f>IFERROR(IF(AND(R130="OK",AND(F130&gt;=2,G130&lt;&gt;"기존반영",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E130,0),0)</f>
        <v>0</v>
      </c>
      <c r="W130" s="526">
        <f>IF(V130&gt;0,ROUNDUP(INDEX(RAW!$K:$K,MAX(2,F130))/1000,0)*1000-ROUNDUP((INDEX(RAW!$K:$K,MAX(2,F130))-V130)/1000,0)*1000,0)</f>
        <v>0</v>
      </c>
      <c r="X130" s="504">
        <f>IF(AND(R130="OK",IF($B$43="전체",D130&lt;EDATE($B$3,1),IF($B$43="미정산",U130&gt;0,OR(S130=$B$3,Z130&gt;0,U130&gt;0)))),1,0)</f>
        <v>0</v>
      </c>
      <c r="Y130" s="504">
        <f>IF(X130=1,COUNTIF($X$100:X130,1),0)</f>
        <v>0</v>
      </c>
      <c r="Z130" s="526">
        <f>IF(R130="OK",SUMIFS($O$430:$O$729,$B$430:$B$729,A130,$E$430:$E$729,"&gt;="&amp;$B$3,$E$430:$E$729,"&lt;"&amp;EDATE($B$3,1)),0)</f>
        <v>0</v>
      </c>
    </row>
    <row r="131" hidden="1" outlineLevel="1">
      <c r="A131" s="504" t="str">
        <f>IF(F131="","","R"&amp;F131)</f>
        <v>R1072</v>
      </c>
      <c r="B131" s="504" t="str">
        <f>IFERROR(INDEX(RAW!$F:$F,MAX(2,F131)),"")</f>
        <v>카카오 선물하기</v>
      </c>
      <c r="C131" s="522" t="inlineStr">
        <is>
          <t>생활비</t>
        </is>
      </c>
      <c r="D131" s="524">
        <f>IFERROR(INDEX(RAW!$A:$A,MAX(2,F131)),"")</f>
        <v>46164.69305555556</v>
      </c>
      <c r="E131" s="525">
        <f>IFERROR(INDEX(RAW!$K:$K,MAX(2,F131)),"")</f>
        <v>30000</v>
      </c>
      <c r="F131" s="522" t="n">
        <v>1072</v>
      </c>
      <c r="G131" s="504" t="inlineStr">
        <is>
          <t>신규</t>
        </is>
      </c>
      <c r="H131" s="504" t="inlineStr">
        <is>
          <t>기존 비고정 지출 유지. 예비비 부담으로 확인한 경우에만 항목 변경</t>
        </is>
      </c>
      <c r="O131" s="498">
        <f>IF(LEFT(R131,2)="확인",R131,"")</f>
      </c>
      <c r="R131" s="504" t="str">
        <f>IF(A131="","",IF(C131="생활비","생활비",IF(AND(COUNTIF($A$8:$A$12,C131)=1,ISNUMBER(D131),E131&gt;0,COUNTIF($A$100:$A$399,A131)=1,IFERROR(IF(F131="",AND(LEFT(A131,1)="U",G131="월기록"),AND(F131&gt;=2,COUNTIF($F$100:$F$399,F131)=1,INDEX(RAW!$H:$H,MAX(2,F131))="지출",D131=INDEX(RAW!$A:$A,MAX(2,F131)),E131&lt;=INDEX(RAW!$K:$K,MAX(2,F131)),OR(AND(G131="기존반영",OR(A131="U003",A131="U007")),AND(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AND(OR(A131&lt;&gt;"U003",F131=356),OR(A131&lt;&gt;"U007",F131=2203),OR(G131&lt;&gt;"기존반영",A131="U003",A131="U007")))),FALSE)),"OK","확인: 사용등록")))</f>
        <v>생활비</v>
      </c>
      <c r="S131" s="504">
        <f>IF(ISNUMBER(D131),DATE(YEAR(D131),MONTH(D131),1),0)</f>
        <v>46143.0</v>
      </c>
      <c r="T131" s="526">
        <f>IF(R131="OK",SUMIFS($O$430:$O$729,$B$430:$B$729,A131,$E$430:$E$729,"&lt;"&amp;EDATE($B$3,1)),0)</f>
        <v>0</v>
      </c>
      <c r="U131" s="526">
        <f>IF(AND(R131="OK",D131&lt;EDATE($B$3,1),$B$3&gt;=DATE(2026,3,1)),MAX(0,E131-T131),0)</f>
        <v>0</v>
      </c>
      <c r="V131" s="526">
        <f>IFERROR(IF(AND(R131="OK",AND(F131&gt;=2,G131&lt;&gt;"기존반영",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E131,0),0)</f>
        <v>0</v>
      </c>
      <c r="W131" s="526">
        <f>IF(V131&gt;0,ROUNDUP(INDEX(RAW!$K:$K,MAX(2,F131))/1000,0)*1000-ROUNDUP((INDEX(RAW!$K:$K,MAX(2,F131))-V131)/1000,0)*1000,0)</f>
        <v>0</v>
      </c>
      <c r="X131" s="504">
        <f>IF(AND(R131="OK",IF($B$43="전체",D131&lt;EDATE($B$3,1),IF($B$43="미정산",U131&gt;0,OR(S131=$B$3,Z131&gt;0,U131&gt;0)))),1,0)</f>
        <v>0</v>
      </c>
      <c r="Y131" s="504">
        <f>IF(X131=1,COUNTIF($X$100:X131,1),0)</f>
        <v>0</v>
      </c>
      <c r="Z131" s="526">
        <f>IF(R131="OK",SUMIFS($O$430:$O$729,$B$430:$B$729,A131,$E$430:$E$729,"&gt;="&amp;$B$3,$E$430:$E$729,"&lt;"&amp;EDATE($B$3,1)),0)</f>
        <v>0</v>
      </c>
    </row>
    <row r="132" hidden="1" outlineLevel="1">
      <c r="A132" s="504" t="str">
        <f>IF(F132="","","R"&amp;F132)</f>
        <v>R1109</v>
      </c>
      <c r="B132" s="504" t="str">
        <f>IFERROR(INDEX(RAW!$F:$F,MAX(2,F132)),"")</f>
        <v>교보문고</v>
      </c>
      <c r="C132" s="522" t="inlineStr">
        <is>
          <t>생활비</t>
        </is>
      </c>
      <c r="D132" s="524">
        <f>IFERROR(INDEX(RAW!$A:$A,MAX(2,F132)),"")</f>
        <v>46167.87847222222</v>
      </c>
      <c r="E132" s="525">
        <f>IFERROR(INDEX(RAW!$K:$K,MAX(2,F132)),"")</f>
        <v>4960</v>
      </c>
      <c r="F132" s="522" t="n">
        <v>1109</v>
      </c>
      <c r="G132" s="504" t="inlineStr">
        <is>
          <t>신규</t>
        </is>
      </c>
      <c r="H132" s="504" t="inlineStr">
        <is>
          <t>기존 비고정 지출 유지. 예비비 부담으로 확인한 경우에만 항목 변경</t>
        </is>
      </c>
      <c r="O132" s="498">
        <f>IF(LEFT(R132,2)="확인",R132,"")</f>
      </c>
      <c r="R132" s="504" t="str">
        <f>IF(A132="","",IF(C132="생활비","생활비",IF(AND(COUNTIF($A$8:$A$12,C132)=1,ISNUMBER(D132),E132&gt;0,COUNTIF($A$100:$A$399,A132)=1,IFERROR(IF(F132="",AND(LEFT(A132,1)="U",G132="월기록"),AND(F132&gt;=2,COUNTIF($F$100:$F$399,F132)=1,INDEX(RAW!$H:$H,MAX(2,F132))="지출",D132=INDEX(RAW!$A:$A,MAX(2,F132)),E132&lt;=INDEX(RAW!$K:$K,MAX(2,F132)),OR(AND(G132="기존반영",OR(A132="U003",A132="U007")),AND(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AND(OR(A132&lt;&gt;"U003",F132=356),OR(A132&lt;&gt;"U007",F132=2203),OR(G132&lt;&gt;"기존반영",A132="U003",A132="U007")))),FALSE)),"OK","확인: 사용등록")))</f>
        <v>생활비</v>
      </c>
      <c r="S132" s="504">
        <f>IF(ISNUMBER(D132),DATE(YEAR(D132),MONTH(D132),1),0)</f>
        <v>46143.0</v>
      </c>
      <c r="T132" s="526">
        <f>IF(R132="OK",SUMIFS($O$430:$O$729,$B$430:$B$729,A132,$E$430:$E$729,"&lt;"&amp;EDATE($B$3,1)),0)</f>
        <v>0</v>
      </c>
      <c r="U132" s="526">
        <f>IF(AND(R132="OK",D132&lt;EDATE($B$3,1),$B$3&gt;=DATE(2026,3,1)),MAX(0,E132-T132),0)</f>
        <v>0</v>
      </c>
      <c r="V132" s="526">
        <f>IFERROR(IF(AND(R132="OK",AND(F132&gt;=2,G132&lt;&gt;"기존반영",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E132,0),0)</f>
        <v>0</v>
      </c>
      <c r="W132" s="526">
        <f>IF(V132&gt;0,ROUNDUP(INDEX(RAW!$K:$K,MAX(2,F132))/1000,0)*1000-ROUNDUP((INDEX(RAW!$K:$K,MAX(2,F132))-V132)/1000,0)*1000,0)</f>
        <v>0</v>
      </c>
      <c r="X132" s="504">
        <f>IF(AND(R132="OK",IF($B$43="전체",D132&lt;EDATE($B$3,1),IF($B$43="미정산",U132&gt;0,OR(S132=$B$3,Z132&gt;0,U132&gt;0)))),1,0)</f>
        <v>0</v>
      </c>
      <c r="Y132" s="504">
        <f>IF(X132=1,COUNTIF($X$100:X132,1),0)</f>
        <v>0</v>
      </c>
      <c r="Z132" s="526">
        <f>IF(R132="OK",SUMIFS($O$430:$O$729,$B$430:$B$729,A132,$E$430:$E$729,"&gt;="&amp;$B$3,$E$430:$E$729,"&lt;"&amp;EDATE($B$3,1)),0)</f>
        <v>0</v>
      </c>
    </row>
    <row r="133" hidden="1" outlineLevel="1">
      <c r="A133" s="504" t="str">
        <f>IF(F133="","","R"&amp;F133)</f>
        <v>R1123</v>
      </c>
      <c r="B133" s="504" t="str">
        <f>IFERROR(INDEX(RAW!$F:$F,MAX(2,F133)),"")</f>
        <v>바나프레소</v>
      </c>
      <c r="C133" s="522" t="inlineStr">
        <is>
          <t>생활비</t>
        </is>
      </c>
      <c r="D133" s="524">
        <f>IFERROR(INDEX(RAW!$A:$A,MAX(2,F133)),"")</f>
        <v>46168.88125</v>
      </c>
      <c r="E133" s="525">
        <f>IFERROR(INDEX(RAW!$K:$K,MAX(2,F133)),"")</f>
        <v>30000</v>
      </c>
      <c r="F133" s="522" t="n">
        <v>1123</v>
      </c>
      <c r="G133" s="504" t="inlineStr">
        <is>
          <t>신규</t>
        </is>
      </c>
      <c r="H133" s="504" t="inlineStr">
        <is>
          <t>기존 비고정 지출 유지. 예비비 부담으로 확인한 경우에만 항목 변경</t>
        </is>
      </c>
      <c r="O133" s="498">
        <f>IF(LEFT(R133,2)="확인",R133,"")</f>
      </c>
      <c r="R133" s="504" t="str">
        <f>IF(A133="","",IF(C133="생활비","생활비",IF(AND(COUNTIF($A$8:$A$12,C133)=1,ISNUMBER(D133),E133&gt;0,COUNTIF($A$100:$A$399,A133)=1,IFERROR(IF(F133="",AND(LEFT(A133,1)="U",G133="월기록"),AND(F133&gt;=2,COUNTIF($F$100:$F$399,F133)=1,INDEX(RAW!$H:$H,MAX(2,F133))="지출",D133=INDEX(RAW!$A:$A,MAX(2,F133)),E133&lt;=INDEX(RAW!$K:$K,MAX(2,F133)),OR(AND(G133="기존반영",OR(A133="U003",A133="U007")),AND(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AND(OR(A133&lt;&gt;"U003",F133=356),OR(A133&lt;&gt;"U007",F133=2203),OR(G133&lt;&gt;"기존반영",A133="U003",A133="U007")))),FALSE)),"OK","확인: 사용등록")))</f>
        <v>생활비</v>
      </c>
      <c r="S133" s="504">
        <f>IF(ISNUMBER(D133),DATE(YEAR(D133),MONTH(D133),1),0)</f>
        <v>46143.0</v>
      </c>
      <c r="T133" s="526">
        <f>IF(R133="OK",SUMIFS($O$430:$O$729,$B$430:$B$729,A133,$E$430:$E$729,"&lt;"&amp;EDATE($B$3,1)),0)</f>
        <v>0</v>
      </c>
      <c r="U133" s="526">
        <f>IF(AND(R133="OK",D133&lt;EDATE($B$3,1),$B$3&gt;=DATE(2026,3,1)),MAX(0,E133-T133),0)</f>
        <v>0</v>
      </c>
      <c r="V133" s="526">
        <f>IFERROR(IF(AND(R133="OK",AND(F133&gt;=2,G133&lt;&gt;"기존반영",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E133,0),0)</f>
        <v>0</v>
      </c>
      <c r="W133" s="526">
        <f>IF(V133&gt;0,ROUNDUP(INDEX(RAW!$K:$K,MAX(2,F133))/1000,0)*1000-ROUNDUP((INDEX(RAW!$K:$K,MAX(2,F133))-V133)/1000,0)*1000,0)</f>
        <v>0</v>
      </c>
      <c r="X133" s="504">
        <f>IF(AND(R133="OK",IF($B$43="전체",D133&lt;EDATE($B$3,1),IF($B$43="미정산",U133&gt;0,OR(S133=$B$3,Z133&gt;0,U133&gt;0)))),1,0)</f>
        <v>0</v>
      </c>
      <c r="Y133" s="504">
        <f>IF(X133=1,COUNTIF($X$100:X133,1),0)</f>
        <v>0</v>
      </c>
      <c r="Z133" s="526">
        <f>IF(R133="OK",SUMIFS($O$430:$O$729,$B$430:$B$729,A133,$E$430:$E$729,"&gt;="&amp;$B$3,$E$430:$E$729,"&lt;"&amp;EDATE($B$3,1)),0)</f>
        <v>0</v>
      </c>
    </row>
    <row r="134" hidden="1" outlineLevel="1">
      <c r="A134" s="504" t="str">
        <f>IF(F134="","","R"&amp;F134)</f>
        <v>R1210</v>
      </c>
      <c r="B134" s="504" t="str">
        <f>IFERROR(INDEX(RAW!$F:$F,MAX(2,F134)),"")</f>
        <v>오늘의집</v>
      </c>
      <c r="C134" s="522" t="inlineStr">
        <is>
          <t>생활비</t>
        </is>
      </c>
      <c r="D134" s="524">
        <f>IFERROR(INDEX(RAW!$A:$A,MAX(2,F134)),"")</f>
        <v>46182.419641203705</v>
      </c>
      <c r="E134" s="525">
        <f>IFERROR(INDEX(RAW!$K:$K,MAX(2,F134)),"")</f>
        <v>34810</v>
      </c>
      <c r="F134" s="522" t="n">
        <v>1210</v>
      </c>
      <c r="G134" s="504" t="inlineStr">
        <is>
          <t>신규</t>
        </is>
      </c>
      <c r="H134" s="504" t="inlineStr">
        <is>
          <t>기존 비고정 지출 유지. 예비비 부담으로 확인한 경우에만 항목 변경</t>
        </is>
      </c>
      <c r="O134" s="498">
        <f>IF(LEFT(R134,2)="확인",R134,"")</f>
      </c>
      <c r="R134" s="504" t="str">
        <f>IF(A134="","",IF(C134="생활비","생활비",IF(AND(COUNTIF($A$8:$A$12,C134)=1,ISNUMBER(D134),E134&gt;0,COUNTIF($A$100:$A$399,A134)=1,IFERROR(IF(F134="",AND(LEFT(A134,1)="U",G134="월기록"),AND(F134&gt;=2,COUNTIF($F$100:$F$399,F134)=1,INDEX(RAW!$H:$H,MAX(2,F134))="지출",D134=INDEX(RAW!$A:$A,MAX(2,F134)),E134&lt;=INDEX(RAW!$K:$K,MAX(2,F134)),OR(AND(G134="기존반영",OR(A134="U003",A134="U007")),AND(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AND(OR(A134&lt;&gt;"U003",F134=356),OR(A134&lt;&gt;"U007",F134=2203),OR(G134&lt;&gt;"기존반영",A134="U003",A134="U007")))),FALSE)),"OK","확인: 사용등록")))</f>
        <v>생활비</v>
      </c>
      <c r="S134" s="504">
        <f>IF(ISNUMBER(D134),DATE(YEAR(D134),MONTH(D134),1),0)</f>
        <v>46174.0</v>
      </c>
      <c r="T134" s="526">
        <f>IF(R134="OK",SUMIFS($O$430:$O$729,$B$430:$B$729,A134,$E$430:$E$729,"&lt;"&amp;EDATE($B$3,1)),0)</f>
        <v>0</v>
      </c>
      <c r="U134" s="526">
        <f>IF(AND(R134="OK",D134&lt;EDATE($B$3,1),$B$3&gt;=DATE(2026,3,1)),MAX(0,E134-T134),0)</f>
        <v>0</v>
      </c>
      <c r="V134" s="526">
        <f>IFERROR(IF(AND(R134="OK",AND(F134&gt;=2,G134&lt;&gt;"기존반영",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E134,0),0)</f>
        <v>0</v>
      </c>
      <c r="W134" s="526">
        <f>IF(V134&gt;0,ROUNDUP(INDEX(RAW!$K:$K,MAX(2,F134))/1000,0)*1000-ROUNDUP((INDEX(RAW!$K:$K,MAX(2,F134))-V134)/1000,0)*1000,0)</f>
        <v>0</v>
      </c>
      <c r="X134" s="504">
        <f>IF(AND(R134="OK",IF($B$43="전체",D134&lt;EDATE($B$3,1),IF($B$43="미정산",U134&gt;0,OR(S134=$B$3,Z134&gt;0,U134&gt;0)))),1,0)</f>
        <v>0</v>
      </c>
      <c r="Y134" s="504">
        <f>IF(X134=1,COUNTIF($X$100:X134,1),0)</f>
        <v>0</v>
      </c>
      <c r="Z134" s="526">
        <f>IF(R134="OK",SUMIFS($O$430:$O$729,$B$430:$B$729,A134,$E$430:$E$729,"&gt;="&amp;$B$3,$E$430:$E$729,"&lt;"&amp;EDATE($B$3,1)),0)</f>
        <v>0</v>
      </c>
    </row>
    <row r="135" hidden="1" outlineLevel="1">
      <c r="A135" s="504" t="str">
        <f>IF(F135="","","R"&amp;F135)</f>
        <v>R1312</v>
      </c>
      <c r="B135" s="504" t="str">
        <f>IFERROR(INDEX(RAW!$F:$F,MAX(2,F135)),"")</f>
        <v>네이버플러스 스토어</v>
      </c>
      <c r="C135" s="522" t="inlineStr">
        <is>
          <t>생활비</t>
        </is>
      </c>
      <c r="D135" s="524">
        <f>IFERROR(INDEX(RAW!$A:$A,MAX(2,F135)),"")</f>
        <v>46194.27211805555</v>
      </c>
      <c r="E135" s="525">
        <f>IFERROR(INDEX(RAW!$K:$K,MAX(2,F135)),"")</f>
        <v>10109</v>
      </c>
      <c r="F135" s="522" t="n">
        <v>1312</v>
      </c>
      <c r="G135" s="504" t="inlineStr">
        <is>
          <t>신규</t>
        </is>
      </c>
      <c r="H135" s="504" t="inlineStr">
        <is>
          <t>기존 비고정 지출 유지. 예비비 부담으로 확인한 경우에만 항목 변경</t>
        </is>
      </c>
      <c r="O135" s="498">
        <f>IF(LEFT(R135,2)="확인",R135,"")</f>
      </c>
      <c r="R135" s="504" t="str">
        <f>IF(A135="","",IF(C135="생활비","생활비",IF(AND(COUNTIF($A$8:$A$12,C135)=1,ISNUMBER(D135),E135&gt;0,COUNTIF($A$100:$A$399,A135)=1,IFERROR(IF(F135="",AND(LEFT(A135,1)="U",G135="월기록"),AND(F135&gt;=2,COUNTIF($F$100:$F$399,F135)=1,INDEX(RAW!$H:$H,MAX(2,F135))="지출",D135=INDEX(RAW!$A:$A,MAX(2,F135)),E135&lt;=INDEX(RAW!$K:$K,MAX(2,F135)),OR(AND(G135="기존반영",OR(A135="U003",A135="U007")),AND(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AND(OR(A135&lt;&gt;"U003",F135=356),OR(A135&lt;&gt;"U007",F135=2203),OR(G135&lt;&gt;"기존반영",A135="U003",A135="U007")))),FALSE)),"OK","확인: 사용등록")))</f>
        <v>생활비</v>
      </c>
      <c r="S135" s="504">
        <f>IF(ISNUMBER(D135),DATE(YEAR(D135),MONTH(D135),1),0)</f>
        <v>46174.0</v>
      </c>
      <c r="T135" s="526">
        <f>IF(R135="OK",SUMIFS($O$430:$O$729,$B$430:$B$729,A135,$E$430:$E$729,"&lt;"&amp;EDATE($B$3,1)),0)</f>
        <v>0</v>
      </c>
      <c r="U135" s="526">
        <f>IF(AND(R135="OK",D135&lt;EDATE($B$3,1),$B$3&gt;=DATE(2026,3,1)),MAX(0,E135-T135),0)</f>
        <v>0</v>
      </c>
      <c r="V135" s="526">
        <f>IFERROR(IF(AND(R135="OK",AND(F135&gt;=2,G135&lt;&gt;"기존반영",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E135,0),0)</f>
        <v>0</v>
      </c>
      <c r="W135" s="526">
        <f>IF(V135&gt;0,ROUNDUP(INDEX(RAW!$K:$K,MAX(2,F135))/1000,0)*1000-ROUNDUP((INDEX(RAW!$K:$K,MAX(2,F135))-V135)/1000,0)*1000,0)</f>
        <v>0</v>
      </c>
      <c r="X135" s="504">
        <f>IF(AND(R135="OK",IF($B$43="전체",D135&lt;EDATE($B$3,1),IF($B$43="미정산",U135&gt;0,OR(S135=$B$3,Z135&gt;0,U135&gt;0)))),1,0)</f>
        <v>0</v>
      </c>
      <c r="Y135" s="504">
        <f>IF(X135=1,COUNTIF($X$100:X135,1),0)</f>
        <v>0</v>
      </c>
      <c r="Z135" s="526">
        <f>IF(R135="OK",SUMIFS($O$430:$O$729,$B$430:$B$729,A135,$E$430:$E$729,"&gt;="&amp;$B$3,$E$430:$E$729,"&lt;"&amp;EDATE($B$3,1)),0)</f>
        <v>0</v>
      </c>
    </row>
    <row r="136" hidden="1" outlineLevel="1">
      <c r="A136" s="504" t="str">
        <f>IF(F136="","","R"&amp;F136)</f>
        <v>R1414</v>
      </c>
      <c r="B136" s="504" t="str">
        <f>IFERROR(INDEX(RAW!$F:$F,MAX(2,F136)),"")</f>
        <v>카카오 선물하기</v>
      </c>
      <c r="C136" s="522" t="inlineStr">
        <is>
          <t>생활비</t>
        </is>
      </c>
      <c r="D136" s="524">
        <f>IFERROR(INDEX(RAW!$A:$A,MAX(2,F136)),"")</f>
        <v>46203.54722222222</v>
      </c>
      <c r="E136" s="525">
        <f>IFERROR(INDEX(RAW!$K:$K,MAX(2,F136)),"")</f>
        <v>50000</v>
      </c>
      <c r="F136" s="522" t="n">
        <v>1414</v>
      </c>
      <c r="G136" s="504" t="inlineStr">
        <is>
          <t>신규</t>
        </is>
      </c>
      <c r="H136" s="504" t="inlineStr">
        <is>
          <t>기존 비고정 지출 유지. 예비비 부담으로 확인한 경우에만 항목 변경</t>
        </is>
      </c>
      <c r="O136" s="498">
        <f>IF(LEFT(R136,2)="확인",R136,"")</f>
      </c>
      <c r="R136" s="504" t="str">
        <f>IF(A136="","",IF(C136="생활비","생활비",IF(AND(COUNTIF($A$8:$A$12,C136)=1,ISNUMBER(D136),E136&gt;0,COUNTIF($A$100:$A$399,A136)=1,IFERROR(IF(F136="",AND(LEFT(A136,1)="U",G136="월기록"),AND(F136&gt;=2,COUNTIF($F$100:$F$399,F136)=1,INDEX(RAW!$H:$H,MAX(2,F136))="지출",D136=INDEX(RAW!$A:$A,MAX(2,F136)),E136&lt;=INDEX(RAW!$K:$K,MAX(2,F136)),OR(AND(G136="기존반영",OR(A136="U003",A136="U007")),AND(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AND(OR(A136&lt;&gt;"U003",F136=356),OR(A136&lt;&gt;"U007",F136=2203),OR(G136&lt;&gt;"기존반영",A136="U003",A136="U007")))),FALSE)),"OK","확인: 사용등록")))</f>
        <v>생활비</v>
      </c>
      <c r="S136" s="504">
        <f>IF(ISNUMBER(D136),DATE(YEAR(D136),MONTH(D136),1),0)</f>
        <v>46174.0</v>
      </c>
      <c r="T136" s="526">
        <f>IF(R136="OK",SUMIFS($O$430:$O$729,$B$430:$B$729,A136,$E$430:$E$729,"&lt;"&amp;EDATE($B$3,1)),0)</f>
        <v>0</v>
      </c>
      <c r="U136" s="526">
        <f>IF(AND(R136="OK",D136&lt;EDATE($B$3,1),$B$3&gt;=DATE(2026,3,1)),MAX(0,E136-T136),0)</f>
        <v>0</v>
      </c>
      <c r="V136" s="526">
        <f>IFERROR(IF(AND(R136="OK",AND(F136&gt;=2,G136&lt;&gt;"기존반영",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E136,0),0)</f>
        <v>0</v>
      </c>
      <c r="W136" s="526">
        <f>IF(V136&gt;0,ROUNDUP(INDEX(RAW!$K:$K,MAX(2,F136))/1000,0)*1000-ROUNDUP((INDEX(RAW!$K:$K,MAX(2,F136))-V136)/1000,0)*1000,0)</f>
        <v>0</v>
      </c>
      <c r="X136" s="504">
        <f>IF(AND(R136="OK",IF($B$43="전체",D136&lt;EDATE($B$3,1),IF($B$43="미정산",U136&gt;0,OR(S136=$B$3,Z136&gt;0,U136&gt;0)))),1,0)</f>
        <v>0</v>
      </c>
      <c r="Y136" s="504">
        <f>IF(X136=1,COUNTIF($X$100:X136,1),0)</f>
        <v>0</v>
      </c>
      <c r="Z136" s="526">
        <f>IF(R136="OK",SUMIFS($O$430:$O$729,$B$430:$B$729,A136,$E$430:$E$729,"&gt;="&amp;$B$3,$E$430:$E$729,"&lt;"&amp;EDATE($B$3,1)),0)</f>
        <v>0</v>
      </c>
    </row>
    <row r="137" hidden="1" outlineLevel="1">
      <c r="A137" s="504" t="str">
        <f>IF(F137="","","R"&amp;F137)</f>
        <v>R1448</v>
      </c>
      <c r="B137" s="504" t="str">
        <f>IFERROR(INDEX(RAW!$F:$F,MAX(2,F137)),"")</f>
        <v>파리바게트</v>
      </c>
      <c r="C137" s="522" t="inlineStr">
        <is>
          <t>생활비</t>
        </is>
      </c>
      <c r="D137" s="524">
        <f>IFERROR(INDEX(RAW!$A:$A,MAX(2,F137)),"")</f>
        <v>46206.6012962963</v>
      </c>
      <c r="E137" s="525">
        <f>IFERROR(INDEX(RAW!$K:$K,MAX(2,F137)),"")</f>
        <v>19800</v>
      </c>
      <c r="F137" s="522" t="n">
        <v>1448</v>
      </c>
      <c r="G137" s="504" t="inlineStr">
        <is>
          <t>신규</t>
        </is>
      </c>
      <c r="H137" s="504" t="inlineStr">
        <is>
          <t>기존 비고정 지출 유지. 예비비 부담으로 확인한 경우에만 항목 변경</t>
        </is>
      </c>
      <c r="O137" s="498">
        <f>IF(LEFT(R137,2)="확인",R137,"")</f>
      </c>
      <c r="R137" s="504" t="str">
        <f>IF(A137="","",IF(C137="생활비","생활비",IF(AND(COUNTIF($A$8:$A$12,C137)=1,ISNUMBER(D137),E137&gt;0,COUNTIF($A$100:$A$399,A137)=1,IFERROR(IF(F137="",AND(LEFT(A137,1)="U",G137="월기록"),AND(F137&gt;=2,COUNTIF($F$100:$F$399,F137)=1,INDEX(RAW!$H:$H,MAX(2,F137))="지출",D137=INDEX(RAW!$A:$A,MAX(2,F137)),E137&lt;=INDEX(RAW!$K:$K,MAX(2,F137)),OR(AND(G137="기존반영",OR(A137="U003",A137="U007")),AND(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AND(OR(A137&lt;&gt;"U003",F137=356),OR(A137&lt;&gt;"U007",F137=2203),OR(G137&lt;&gt;"기존반영",A137="U003",A137="U007")))),FALSE)),"OK","확인: 사용등록")))</f>
        <v>생활비</v>
      </c>
      <c r="S137" s="504">
        <f>IF(ISNUMBER(D137),DATE(YEAR(D137),MONTH(D137),1),0)</f>
        <v>46204.0</v>
      </c>
      <c r="T137" s="526">
        <f>IF(R137="OK",SUMIFS($O$430:$O$729,$B$430:$B$729,A137,$E$430:$E$729,"&lt;"&amp;EDATE($B$3,1)),0)</f>
        <v>0</v>
      </c>
      <c r="U137" s="526">
        <f>IF(AND(R137="OK",D137&lt;EDATE($B$3,1),$B$3&gt;=DATE(2026,3,1)),MAX(0,E137-T137),0)</f>
        <v>0</v>
      </c>
      <c r="V137" s="526">
        <f>IFERROR(IF(AND(R137="OK",AND(F137&gt;=2,G137&lt;&gt;"기존반영",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E137,0),0)</f>
        <v>0</v>
      </c>
      <c r="W137" s="526">
        <f>IF(V137&gt;0,ROUNDUP(INDEX(RAW!$K:$K,MAX(2,F137))/1000,0)*1000-ROUNDUP((INDEX(RAW!$K:$K,MAX(2,F137))-V137)/1000,0)*1000,0)</f>
        <v>0</v>
      </c>
      <c r="X137" s="504">
        <f>IF(AND(R137="OK",IF($B$43="전체",D137&lt;EDATE($B$3,1),IF($B$43="미정산",U137&gt;0,OR(S137=$B$3,Z137&gt;0,U137&gt;0)))),1,0)</f>
        <v>0</v>
      </c>
      <c r="Y137" s="504">
        <f>IF(X137=1,COUNTIF($X$100:X137,1),0)</f>
        <v>0</v>
      </c>
      <c r="Z137" s="526">
        <f>IF(R137="OK",SUMIFS($O$430:$O$729,$B$430:$B$729,A137,$E$430:$E$729,"&gt;="&amp;$B$3,$E$430:$E$729,"&lt;"&amp;EDATE($B$3,1)),0)</f>
        <v>0</v>
      </c>
    </row>
    <row r="138" hidden="1" outlineLevel="1">
      <c r="A138" s="504" t="str">
        <f>IF(F138="","","R"&amp;F138)</f>
        <v>R1485</v>
      </c>
      <c r="B138" s="504" t="str">
        <f>IFERROR(INDEX(RAW!$F:$F,MAX(2,F138)),"")</f>
        <v>카카오 선물하기</v>
      </c>
      <c r="C138" s="522" t="inlineStr">
        <is>
          <t>생활비</t>
        </is>
      </c>
      <c r="D138" s="524">
        <f>IFERROR(INDEX(RAW!$A:$A,MAX(2,F138)),"")</f>
        <v>46210.90965277778</v>
      </c>
      <c r="E138" s="525">
        <f>IFERROR(INDEX(RAW!$K:$K,MAX(2,F138)),"")</f>
        <v>29400</v>
      </c>
      <c r="F138" s="522" t="n">
        <v>1485</v>
      </c>
      <c r="G138" s="504" t="inlineStr">
        <is>
          <t>신규</t>
        </is>
      </c>
      <c r="H138" s="504" t="inlineStr">
        <is>
          <t>기존 비고정 지출 유지. 예비비 부담으로 확인한 경우에만 항목 변경</t>
        </is>
      </c>
      <c r="O138" s="498">
        <f>IF(LEFT(R138,2)="확인",R138,"")</f>
      </c>
      <c r="R138" s="504" t="str">
        <f>IF(A138="","",IF(C138="생활비","생활비",IF(AND(COUNTIF($A$8:$A$12,C138)=1,ISNUMBER(D138),E138&gt;0,COUNTIF($A$100:$A$399,A138)=1,IFERROR(IF(F138="",AND(LEFT(A138,1)="U",G138="월기록"),AND(F138&gt;=2,COUNTIF($F$100:$F$399,F138)=1,INDEX(RAW!$H:$H,MAX(2,F138))="지출",D138=INDEX(RAW!$A:$A,MAX(2,F138)),E138&lt;=INDEX(RAW!$K:$K,MAX(2,F138)),OR(AND(G138="기존반영",OR(A138="U003",A138="U007")),AND(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AND(OR(A138&lt;&gt;"U003",F138=356),OR(A138&lt;&gt;"U007",F138=2203),OR(G138&lt;&gt;"기존반영",A138="U003",A138="U007")))),FALSE)),"OK","확인: 사용등록")))</f>
        <v>생활비</v>
      </c>
      <c r="S138" s="504">
        <f>IF(ISNUMBER(D138),DATE(YEAR(D138),MONTH(D138),1),0)</f>
        <v>46204.0</v>
      </c>
      <c r="T138" s="526">
        <f>IF(R138="OK",SUMIFS($O$430:$O$729,$B$430:$B$729,A138,$E$430:$E$729,"&lt;"&amp;EDATE($B$3,1)),0)</f>
        <v>0</v>
      </c>
      <c r="U138" s="526">
        <f>IF(AND(R138="OK",D138&lt;EDATE($B$3,1),$B$3&gt;=DATE(2026,3,1)),MAX(0,E138-T138),0)</f>
        <v>0</v>
      </c>
      <c r="V138" s="526">
        <f>IFERROR(IF(AND(R138="OK",AND(F138&gt;=2,G138&lt;&gt;"기존반영",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E138,0),0)</f>
        <v>0</v>
      </c>
      <c r="W138" s="526">
        <f>IF(V138&gt;0,ROUNDUP(INDEX(RAW!$K:$K,MAX(2,F138))/1000,0)*1000-ROUNDUP((INDEX(RAW!$K:$K,MAX(2,F138))-V138)/1000,0)*1000,0)</f>
        <v>0</v>
      </c>
      <c r="X138" s="504">
        <f>IF(AND(R138="OK",IF($B$43="전체",D138&lt;EDATE($B$3,1),IF($B$43="미정산",U138&gt;0,OR(S138=$B$3,Z138&gt;0,U138&gt;0)))),1,0)</f>
        <v>0</v>
      </c>
      <c r="Y138" s="504">
        <f>IF(X138=1,COUNTIF($X$100:X138,1),0)</f>
        <v>0</v>
      </c>
      <c r="Z138" s="526">
        <f>IF(R138="OK",SUMIFS($O$430:$O$729,$B$430:$B$729,A138,$E$430:$E$729,"&gt;="&amp;$B$3,$E$430:$E$729,"&lt;"&amp;EDATE($B$3,1)),0)</f>
        <v>0</v>
      </c>
    </row>
    <row r="139" hidden="1" outlineLevel="1">
      <c r="A139" s="504" t="str">
        <f>IF(F139="","","R"&amp;F139)</f>
        <v>R1574</v>
      </c>
      <c r="B139" s="504" t="str">
        <f>IFERROR(INDEX(RAW!$F:$F,MAX(2,F139)),"")</f>
        <v>네이버플레이스</v>
      </c>
      <c r="C139" s="522" t="inlineStr">
        <is>
          <t>생활비</t>
        </is>
      </c>
      <c r="D139" s="524">
        <f>IFERROR(INDEX(RAW!$A:$A,MAX(2,F139)),"")</f>
        <v>46218.934432870374</v>
      </c>
      <c r="E139" s="525">
        <f>IFERROR(INDEX(RAW!$K:$K,MAX(2,F139)),"")</f>
        <v>319500</v>
      </c>
      <c r="F139" s="522" t="n">
        <v>1574</v>
      </c>
      <c r="G139" s="504" t="inlineStr">
        <is>
          <t>신규</t>
        </is>
      </c>
      <c r="H139" s="504" t="inlineStr">
        <is>
          <t>기존 비고정 지출 유지. 예비비 부담으로 확인한 경우에만 항목 변경</t>
        </is>
      </c>
      <c r="O139" s="498">
        <f>IF(LEFT(R139,2)="확인",R139,"")</f>
      </c>
      <c r="R139" s="504" t="str">
        <f>IF(A139="","",IF(C139="생활비","생활비",IF(AND(COUNTIF($A$8:$A$12,C139)=1,ISNUMBER(D139),E139&gt;0,COUNTIF($A$100:$A$399,A139)=1,IFERROR(IF(F139="",AND(LEFT(A139,1)="U",G139="월기록"),AND(F139&gt;=2,COUNTIF($F$100:$F$399,F139)=1,INDEX(RAW!$H:$H,MAX(2,F139))="지출",D139=INDEX(RAW!$A:$A,MAX(2,F139)),E139&lt;=INDEX(RAW!$K:$K,MAX(2,F139)),OR(AND(G139="기존반영",OR(A139="U003",A139="U007")),AND(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AND(OR(A139&lt;&gt;"U003",F139=356),OR(A139&lt;&gt;"U007",F139=2203),OR(G139&lt;&gt;"기존반영",A139="U003",A139="U007")))),FALSE)),"OK","확인: 사용등록")))</f>
        <v>생활비</v>
      </c>
      <c r="S139" s="504">
        <f>IF(ISNUMBER(D139),DATE(YEAR(D139),MONTH(D139),1),0)</f>
        <v>46204.0</v>
      </c>
      <c r="T139" s="526">
        <f>IF(R139="OK",SUMIFS($O$430:$O$729,$B$430:$B$729,A139,$E$430:$E$729,"&lt;"&amp;EDATE($B$3,1)),0)</f>
        <v>0</v>
      </c>
      <c r="U139" s="526">
        <f>IF(AND(R139="OK",D139&lt;EDATE($B$3,1),$B$3&gt;=DATE(2026,3,1)),MAX(0,E139-T139),0)</f>
        <v>0</v>
      </c>
      <c r="V139" s="526">
        <f>IFERROR(IF(AND(R139="OK",AND(F139&gt;=2,G139&lt;&gt;"기존반영",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E139,0),0)</f>
        <v>0</v>
      </c>
      <c r="W139" s="526">
        <f>IF(V139&gt;0,ROUNDUP(INDEX(RAW!$K:$K,MAX(2,F139))/1000,0)*1000-ROUNDUP((INDEX(RAW!$K:$K,MAX(2,F139))-V139)/1000,0)*1000,0)</f>
        <v>0</v>
      </c>
      <c r="X139" s="504">
        <f>IF(AND(R139="OK",IF($B$43="전체",D139&lt;EDATE($B$3,1),IF($B$43="미정산",U139&gt;0,OR(S139=$B$3,Z139&gt;0,U139&gt;0)))),1,0)</f>
        <v>0</v>
      </c>
      <c r="Y139" s="504">
        <f>IF(X139=1,COUNTIF($X$100:X139,1),0)</f>
        <v>0</v>
      </c>
      <c r="Z139" s="526">
        <f>IF(R139="OK",SUMIFS($O$430:$O$729,$B$430:$B$729,A139,$E$430:$E$729,"&gt;="&amp;$B$3,$E$430:$E$729,"&lt;"&amp;EDATE($B$3,1)),0)</f>
        <v>0</v>
      </c>
    </row>
    <row r="140" hidden="1" outlineLevel="1">
      <c r="A140" s="504" t="str">
        <f>IF(F140="","","R"&amp;F140)</f>
        <v>R1840</v>
      </c>
      <c r="B140" s="504" t="str">
        <f>IFERROR(INDEX(RAW!$F:$F,MAX(2,F140)),"")</f>
        <v>아고다</v>
      </c>
      <c r="C140" s="522" t="inlineStr">
        <is>
          <t>생활비</t>
        </is>
      </c>
      <c r="D140" s="524">
        <f>IFERROR(INDEX(RAW!$A:$A,MAX(2,F140)),"")</f>
        <v>46243.82638888889</v>
      </c>
      <c r="E140" s="525">
        <f>IFERROR(INDEX(RAW!$K:$K,MAX(2,F140)),"")</f>
        <v>192311</v>
      </c>
      <c r="F140" s="522" t="n">
        <v>1840</v>
      </c>
      <c r="G140" s="504" t="inlineStr">
        <is>
          <t>신규</t>
        </is>
      </c>
      <c r="H140" s="504" t="inlineStr">
        <is>
          <t>기존 비고정 지출 유지. 예비비 부담으로 확인한 경우에만 항목 변경</t>
        </is>
      </c>
      <c r="O140" s="498">
        <f>IF(LEFT(R140,2)="확인",R140,"")</f>
      </c>
      <c r="R140" s="504" t="str">
        <f>IF(A140="","",IF(C140="생활비","생활비",IF(AND(COUNTIF($A$8:$A$12,C140)=1,ISNUMBER(D140),E140&gt;0,COUNTIF($A$100:$A$399,A140)=1,IFERROR(IF(F140="",AND(LEFT(A140,1)="U",G140="월기록"),AND(F140&gt;=2,COUNTIF($F$100:$F$399,F140)=1,INDEX(RAW!$H:$H,MAX(2,F140))="지출",D140=INDEX(RAW!$A:$A,MAX(2,F140)),E140&lt;=INDEX(RAW!$K:$K,MAX(2,F140)),OR(AND(G140="기존반영",OR(A140="U003",A140="U007")),AND(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AND(OR(A140&lt;&gt;"U003",F140=356),OR(A140&lt;&gt;"U007",F140=2203),OR(G140&lt;&gt;"기존반영",A140="U003",A140="U007")))),FALSE)),"OK","확인: 사용등록")))</f>
        <v>생활비</v>
      </c>
      <c r="S140" s="504">
        <f>IF(ISNUMBER(D140),DATE(YEAR(D140),MONTH(D140),1),0)</f>
        <v>46235.0</v>
      </c>
      <c r="T140" s="526">
        <f>IF(R140="OK",SUMIFS($O$430:$O$729,$B$430:$B$729,A140,$E$430:$E$729,"&lt;"&amp;EDATE($B$3,1)),0)</f>
        <v>0</v>
      </c>
      <c r="U140" s="526">
        <f>IF(AND(R140="OK",D140&lt;EDATE($B$3,1),$B$3&gt;=DATE(2026,3,1)),MAX(0,E140-T140),0)</f>
        <v>0</v>
      </c>
      <c r="V140" s="526">
        <f>IFERROR(IF(AND(R140="OK",AND(F140&gt;=2,G140&lt;&gt;"기존반영",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E140,0),0)</f>
        <v>0</v>
      </c>
      <c r="W140" s="526">
        <f>IF(V140&gt;0,ROUNDUP(INDEX(RAW!$K:$K,MAX(2,F140))/1000,0)*1000-ROUNDUP((INDEX(RAW!$K:$K,MAX(2,F140))-V140)/1000,0)*1000,0)</f>
        <v>0</v>
      </c>
      <c r="X140" s="504">
        <f>IF(AND(R140="OK",IF($B$43="전체",D140&lt;EDATE($B$3,1),IF($B$43="미정산",U140&gt;0,OR(S140=$B$3,Z140&gt;0,U140&gt;0)))),1,0)</f>
        <v>0</v>
      </c>
      <c r="Y140" s="504">
        <f>IF(X140=1,COUNTIF($X$100:X140,1),0)</f>
        <v>0</v>
      </c>
      <c r="Z140" s="526">
        <f>IF(R140="OK",SUMIFS($O$430:$O$729,$B$430:$B$729,A140,$E$430:$E$729,"&gt;="&amp;$B$3,$E$430:$E$729,"&lt;"&amp;EDATE($B$3,1)),0)</f>
        <v>0</v>
      </c>
    </row>
    <row r="141" hidden="1" outlineLevel="1">
      <c r="A141" s="504" t="str">
        <f>IF(F141="","","R"&amp;F141)</f>
        <v>R1842</v>
      </c>
      <c r="B141" s="504" t="str">
        <f>IFERROR(INDEX(RAW!$F:$F,MAX(2,F141)),"")</f>
        <v>투썸플레이스</v>
      </c>
      <c r="C141" s="522" t="inlineStr">
        <is>
          <t>생활비</t>
        </is>
      </c>
      <c r="D141" s="524">
        <f>IFERROR(INDEX(RAW!$A:$A,MAX(2,F141)),"")</f>
        <v>46244.82708333333</v>
      </c>
      <c r="E141" s="525">
        <f>IFERROR(INDEX(RAW!$K:$K,MAX(2,F141)),"")</f>
        <v>30800</v>
      </c>
      <c r="F141" s="522" t="n">
        <v>1842</v>
      </c>
      <c r="G141" s="504" t="inlineStr">
        <is>
          <t>신규</t>
        </is>
      </c>
      <c r="H141" s="504" t="inlineStr">
        <is>
          <t>기존 비고정 지출 유지. 예비비 부담으로 확인한 경우에만 항목 변경</t>
        </is>
      </c>
      <c r="O141" s="498">
        <f>IF(LEFT(R141,2)="확인",R141,"")</f>
      </c>
      <c r="R141" s="504" t="str">
        <f>IF(A141="","",IF(C141="생활비","생활비",IF(AND(COUNTIF($A$8:$A$12,C141)=1,ISNUMBER(D141),E141&gt;0,COUNTIF($A$100:$A$399,A141)=1,IFERROR(IF(F141="",AND(LEFT(A141,1)="U",G141="월기록"),AND(F141&gt;=2,COUNTIF($F$100:$F$399,F141)=1,INDEX(RAW!$H:$H,MAX(2,F141))="지출",D141=INDEX(RAW!$A:$A,MAX(2,F141)),E141&lt;=INDEX(RAW!$K:$K,MAX(2,F141)),OR(AND(G141="기존반영",OR(A141="U003",A141="U007")),AND(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AND(OR(A141&lt;&gt;"U003",F141=356),OR(A141&lt;&gt;"U007",F141=2203),OR(G141&lt;&gt;"기존반영",A141="U003",A141="U007")))),FALSE)),"OK","확인: 사용등록")))</f>
        <v>생활비</v>
      </c>
      <c r="S141" s="504">
        <f>IF(ISNUMBER(D141),DATE(YEAR(D141),MONTH(D141),1),0)</f>
        <v>46235.0</v>
      </c>
      <c r="T141" s="526">
        <f>IF(R141="OK",SUMIFS($O$430:$O$729,$B$430:$B$729,A141,$E$430:$E$729,"&lt;"&amp;EDATE($B$3,1)),0)</f>
        <v>0</v>
      </c>
      <c r="U141" s="526">
        <f>IF(AND(R141="OK",D141&lt;EDATE($B$3,1),$B$3&gt;=DATE(2026,3,1)),MAX(0,E141-T141),0)</f>
        <v>0</v>
      </c>
      <c r="V141" s="526">
        <f>IFERROR(IF(AND(R141="OK",AND(F141&gt;=2,G141&lt;&gt;"기존반영",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E141,0),0)</f>
        <v>0</v>
      </c>
      <c r="W141" s="526">
        <f>IF(V141&gt;0,ROUNDUP(INDEX(RAW!$K:$K,MAX(2,F141))/1000,0)*1000-ROUNDUP((INDEX(RAW!$K:$K,MAX(2,F141))-V141)/1000,0)*1000,0)</f>
        <v>0</v>
      </c>
      <c r="X141" s="504">
        <f>IF(AND(R141="OK",IF($B$43="전체",D141&lt;EDATE($B$3,1),IF($B$43="미정산",U141&gt;0,OR(S141=$B$3,Z141&gt;0,U141&gt;0)))),1,0)</f>
        <v>0</v>
      </c>
      <c r="Y141" s="504">
        <f>IF(X141=1,COUNTIF($X$100:X141,1),0)</f>
        <v>0</v>
      </c>
      <c r="Z141" s="526">
        <f>IF(R141="OK",SUMIFS($O$430:$O$729,$B$430:$B$729,A141,$E$430:$E$729,"&gt;="&amp;$B$3,$E$430:$E$729,"&lt;"&amp;EDATE($B$3,1)),0)</f>
        <v>0</v>
      </c>
    </row>
    <row r="142" hidden="1" outlineLevel="1">
      <c r="A142" s="504" t="str">
        <f>IF(F142="","","R"&amp;F142)</f>
        <v>R1867</v>
      </c>
      <c r="B142" s="504" t="str">
        <f>IFERROR(INDEX(RAW!$F:$F,MAX(2,F142)),"")</f>
        <v>네이버플러스 스토어</v>
      </c>
      <c r="C142" s="522" t="inlineStr">
        <is>
          <t>생활비</t>
        </is>
      </c>
      <c r="D142" s="524">
        <f>IFERROR(INDEX(RAW!$A:$A,MAX(2,F142)),"")</f>
        <v>46246.68263888889</v>
      </c>
      <c r="E142" s="525">
        <f>IFERROR(INDEX(RAW!$K:$K,MAX(2,F142)),"")</f>
        <v>23800</v>
      </c>
      <c r="F142" s="522" t="n">
        <v>1867</v>
      </c>
      <c r="G142" s="504" t="inlineStr">
        <is>
          <t>신규</t>
        </is>
      </c>
      <c r="H142" s="504" t="inlineStr">
        <is>
          <t>기존 비고정 지출 유지. 예비비 부담으로 확인한 경우에만 항목 변경</t>
        </is>
      </c>
      <c r="O142" s="498">
        <f>IF(LEFT(R142,2)="확인",R142,"")</f>
      </c>
      <c r="R142" s="504" t="str">
        <f>IF(A142="","",IF(C142="생활비","생활비",IF(AND(COUNTIF($A$8:$A$12,C142)=1,ISNUMBER(D142),E142&gt;0,COUNTIF($A$100:$A$399,A142)=1,IFERROR(IF(F142="",AND(LEFT(A142,1)="U",G142="월기록"),AND(F142&gt;=2,COUNTIF($F$100:$F$399,F142)=1,INDEX(RAW!$H:$H,MAX(2,F142))="지출",D142=INDEX(RAW!$A:$A,MAX(2,F142)),E142&lt;=INDEX(RAW!$K:$K,MAX(2,F142)),OR(AND(G142="기존반영",OR(A142="U003",A142="U007")),AND(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AND(OR(A142&lt;&gt;"U003",F142=356),OR(A142&lt;&gt;"U007",F142=2203),OR(G142&lt;&gt;"기존반영",A142="U003",A142="U007")))),FALSE)),"OK","확인: 사용등록")))</f>
        <v>생활비</v>
      </c>
      <c r="S142" s="504">
        <f>IF(ISNUMBER(D142),DATE(YEAR(D142),MONTH(D142),1),0)</f>
        <v>46235.0</v>
      </c>
      <c r="T142" s="526">
        <f>IF(R142="OK",SUMIFS($O$430:$O$729,$B$430:$B$729,A142,$E$430:$E$729,"&lt;"&amp;EDATE($B$3,1)),0)</f>
        <v>0</v>
      </c>
      <c r="U142" s="526">
        <f>IF(AND(R142="OK",D142&lt;EDATE($B$3,1),$B$3&gt;=DATE(2026,3,1)),MAX(0,E142-T142),0)</f>
        <v>0</v>
      </c>
      <c r="V142" s="526">
        <f>IFERROR(IF(AND(R142="OK",AND(F142&gt;=2,G142&lt;&gt;"기존반영",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E142,0),0)</f>
        <v>0</v>
      </c>
      <c r="W142" s="526">
        <f>IF(V142&gt;0,ROUNDUP(INDEX(RAW!$K:$K,MAX(2,F142))/1000,0)*1000-ROUNDUP((INDEX(RAW!$K:$K,MAX(2,F142))-V142)/1000,0)*1000,0)</f>
        <v>0</v>
      </c>
      <c r="X142" s="504">
        <f>IF(AND(R142="OK",IF($B$43="전체",D142&lt;EDATE($B$3,1),IF($B$43="미정산",U142&gt;0,OR(S142=$B$3,Z142&gt;0,U142&gt;0)))),1,0)</f>
        <v>0</v>
      </c>
      <c r="Y142" s="504">
        <f>IF(X142=1,COUNTIF($X$100:X142,1),0)</f>
        <v>0</v>
      </c>
      <c r="Z142" s="526">
        <f>IF(R142="OK",SUMIFS($O$430:$O$729,$B$430:$B$729,A142,$E$430:$E$729,"&gt;="&amp;$B$3,$E$430:$E$729,"&lt;"&amp;EDATE($B$3,1)),0)</f>
        <v>0</v>
      </c>
    </row>
    <row r="143" hidden="1" outlineLevel="1">
      <c r="A143" s="504" t="str">
        <f>IF(F143="","","R"&amp;F143)</f>
        <v>R1888</v>
      </c>
      <c r="B143" s="504" t="str">
        <f>IFERROR(INDEX(RAW!$F:$F,MAX(2,F143)),"")</f>
        <v>코레일</v>
      </c>
      <c r="C143" s="522" t="inlineStr">
        <is>
          <t>생활비</t>
        </is>
      </c>
      <c r="D143" s="524">
        <f>IFERROR(INDEX(RAW!$A:$A,MAX(2,F143)),"")</f>
        <v>46247.32047453704</v>
      </c>
      <c r="E143" s="525">
        <f>IFERROR(INDEX(RAW!$K:$K,MAX(2,F143)),"")</f>
        <v>99200</v>
      </c>
      <c r="F143" s="522" t="n">
        <v>1888</v>
      </c>
      <c r="G143" s="504" t="inlineStr">
        <is>
          <t>신규</t>
        </is>
      </c>
      <c r="H143" s="504" t="inlineStr">
        <is>
          <t>기존 비고정 지출 유지. 예비비 부담으로 확인한 경우에만 항목 변경</t>
        </is>
      </c>
      <c r="O143" s="498">
        <f>IF(LEFT(R143,2)="확인",R143,"")</f>
      </c>
      <c r="R143" s="504" t="str">
        <f>IF(A143="","",IF(C143="생활비","생활비",IF(AND(COUNTIF($A$8:$A$12,C143)=1,ISNUMBER(D143),E143&gt;0,COUNTIF($A$100:$A$399,A143)=1,IFERROR(IF(F143="",AND(LEFT(A143,1)="U",G143="월기록"),AND(F143&gt;=2,COUNTIF($F$100:$F$399,F143)=1,INDEX(RAW!$H:$H,MAX(2,F143))="지출",D143=INDEX(RAW!$A:$A,MAX(2,F143)),E143&lt;=INDEX(RAW!$K:$K,MAX(2,F143)),OR(AND(G143="기존반영",OR(A143="U003",A143="U007")),AND(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AND(OR(A143&lt;&gt;"U003",F143=356),OR(A143&lt;&gt;"U007",F143=2203),OR(G143&lt;&gt;"기존반영",A143="U003",A143="U007")))),FALSE)),"OK","확인: 사용등록")))</f>
        <v>생활비</v>
      </c>
      <c r="S143" s="504">
        <f>IF(ISNUMBER(D143),DATE(YEAR(D143),MONTH(D143),1),0)</f>
        <v>46235.0</v>
      </c>
      <c r="T143" s="526">
        <f>IF(R143="OK",SUMIFS($O$430:$O$729,$B$430:$B$729,A143,$E$430:$E$729,"&lt;"&amp;EDATE($B$3,1)),0)</f>
        <v>0</v>
      </c>
      <c r="U143" s="526">
        <f>IF(AND(R143="OK",D143&lt;EDATE($B$3,1),$B$3&gt;=DATE(2026,3,1)),MAX(0,E143-T143),0)</f>
        <v>0</v>
      </c>
      <c r="V143" s="526">
        <f>IFERROR(IF(AND(R143="OK",AND(F143&gt;=2,G143&lt;&gt;"기존반영",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E143,0),0)</f>
        <v>0</v>
      </c>
      <c r="W143" s="526">
        <f>IF(V143&gt;0,ROUNDUP(INDEX(RAW!$K:$K,MAX(2,F143))/1000,0)*1000-ROUNDUP((INDEX(RAW!$K:$K,MAX(2,F143))-V143)/1000,0)*1000,0)</f>
        <v>0</v>
      </c>
      <c r="X143" s="504">
        <f>IF(AND(R143="OK",IF($B$43="전체",D143&lt;EDATE($B$3,1),IF($B$43="미정산",U143&gt;0,OR(S143=$B$3,Z143&gt;0,U143&gt;0)))),1,0)</f>
        <v>0</v>
      </c>
      <c r="Y143" s="504">
        <f>IF(X143=1,COUNTIF($X$100:X143,1),0)</f>
        <v>0</v>
      </c>
      <c r="Z143" s="526">
        <f>IF(R143="OK",SUMIFS($O$430:$O$729,$B$430:$B$729,A143,$E$430:$E$729,"&gt;="&amp;$B$3,$E$430:$E$729,"&lt;"&amp;EDATE($B$3,1)),0)</f>
        <v>0</v>
      </c>
    </row>
    <row r="144" hidden="1" outlineLevel="1">
      <c r="A144" s="504" t="str">
        <f>IF(F144="","","R"&amp;F144)</f>
        <v>R1889</v>
      </c>
      <c r="B144" s="504" t="str">
        <f>IFERROR(INDEX(RAW!$F:$F,MAX(2,F144)),"")</f>
        <v>코레일</v>
      </c>
      <c r="C144" s="522" t="inlineStr">
        <is>
          <t>생활비</t>
        </is>
      </c>
      <c r="D144" s="524">
        <f>IFERROR(INDEX(RAW!$A:$A,MAX(2,F144)),"")</f>
        <v>46247.32047453704</v>
      </c>
      <c r="E144" s="525">
        <f>IFERROR(INDEX(RAW!$K:$K,MAX(2,F144)),"")</f>
        <v>113100</v>
      </c>
      <c r="F144" s="522" t="n">
        <v>1889</v>
      </c>
      <c r="G144" s="504" t="inlineStr">
        <is>
          <t>신규</t>
        </is>
      </c>
      <c r="H144" s="504" t="inlineStr">
        <is>
          <t>기존 비고정 지출 유지. 예비비 부담으로 확인한 경우에만 항목 변경</t>
        </is>
      </c>
      <c r="O144" s="498">
        <f>IF(LEFT(R144,2)="확인",R144,"")</f>
      </c>
      <c r="R144" s="504" t="str">
        <f>IF(A144="","",IF(C144="생활비","생활비",IF(AND(COUNTIF($A$8:$A$12,C144)=1,ISNUMBER(D144),E144&gt;0,COUNTIF($A$100:$A$399,A144)=1,IFERROR(IF(F144="",AND(LEFT(A144,1)="U",G144="월기록"),AND(F144&gt;=2,COUNTIF($F$100:$F$399,F144)=1,INDEX(RAW!$H:$H,MAX(2,F144))="지출",D144=INDEX(RAW!$A:$A,MAX(2,F144)),E144&lt;=INDEX(RAW!$K:$K,MAX(2,F144)),OR(AND(G144="기존반영",OR(A144="U003",A144="U007")),AND(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AND(OR(A144&lt;&gt;"U003",F144=356),OR(A144&lt;&gt;"U007",F144=2203),OR(G144&lt;&gt;"기존반영",A144="U003",A144="U007")))),FALSE)),"OK","확인: 사용등록")))</f>
        <v>생활비</v>
      </c>
      <c r="S144" s="504">
        <f>IF(ISNUMBER(D144),DATE(YEAR(D144),MONTH(D144),1),0)</f>
        <v>46235.0</v>
      </c>
      <c r="T144" s="526">
        <f>IF(R144="OK",SUMIFS($O$430:$O$729,$B$430:$B$729,A144,$E$430:$E$729,"&lt;"&amp;EDATE($B$3,1)),0)</f>
        <v>0</v>
      </c>
      <c r="U144" s="526">
        <f>IF(AND(R144="OK",D144&lt;EDATE($B$3,1),$B$3&gt;=DATE(2026,3,1)),MAX(0,E144-T144),0)</f>
        <v>0</v>
      </c>
      <c r="V144" s="526">
        <f>IFERROR(IF(AND(R144="OK",AND(F144&gt;=2,G144&lt;&gt;"기존반영",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E144,0),0)</f>
        <v>0</v>
      </c>
      <c r="W144" s="526">
        <f>IF(V144&gt;0,ROUNDUP(INDEX(RAW!$K:$K,MAX(2,F144))/1000,0)*1000-ROUNDUP((INDEX(RAW!$K:$K,MAX(2,F144))-V144)/1000,0)*1000,0)</f>
        <v>0</v>
      </c>
      <c r="X144" s="504">
        <f>IF(AND(R144="OK",IF($B$43="전체",D144&lt;EDATE($B$3,1),IF($B$43="미정산",U144&gt;0,OR(S144=$B$3,Z144&gt;0,U144&gt;0)))),1,0)</f>
        <v>0</v>
      </c>
      <c r="Y144" s="504">
        <f>IF(X144=1,COUNTIF($X$100:X144,1),0)</f>
        <v>0</v>
      </c>
      <c r="Z144" s="526">
        <f>IF(R144="OK",SUMIFS($O$430:$O$729,$B$430:$B$729,A144,$E$430:$E$729,"&gt;="&amp;$B$3,$E$430:$E$729,"&lt;"&amp;EDATE($B$3,1)),0)</f>
        <v>0</v>
      </c>
    </row>
    <row r="145" hidden="1" outlineLevel="1">
      <c r="A145" s="504" t="str">
        <f>IF(F145="","","R"&amp;F145)</f>
        <v>R1923</v>
      </c>
      <c r="B145" s="504" t="str">
        <f>IFERROR(INDEX(RAW!$F:$F,MAX(2,F145)),"")</f>
        <v>아늑 성수</v>
      </c>
      <c r="C145" s="522" t="inlineStr">
        <is>
          <t>생활비</t>
        </is>
      </c>
      <c r="D145" s="524">
        <f>IFERROR(INDEX(RAW!$A:$A,MAX(2,F145)),"")</f>
        <v>46249.900034722225</v>
      </c>
      <c r="E145" s="525">
        <f>IFERROR(INDEX(RAW!$K:$K,MAX(2,F145)),"")</f>
        <v>2000</v>
      </c>
      <c r="F145" s="522" t="n">
        <v>1923</v>
      </c>
      <c r="G145" s="504" t="inlineStr">
        <is>
          <t>신규</t>
        </is>
      </c>
      <c r="H145" s="504" t="inlineStr">
        <is>
          <t>기존 비고정 지출 유지. 예비비 부담으로 확인한 경우에만 항목 변경</t>
        </is>
      </c>
      <c r="O145" s="498">
        <f>IF(LEFT(R145,2)="확인",R145,"")</f>
      </c>
      <c r="R145" s="504" t="str">
        <f>IF(A145="","",IF(C145="생활비","생활비",IF(AND(COUNTIF($A$8:$A$12,C145)=1,ISNUMBER(D145),E145&gt;0,COUNTIF($A$100:$A$399,A145)=1,IFERROR(IF(F145="",AND(LEFT(A145,1)="U",G145="월기록"),AND(F145&gt;=2,COUNTIF($F$100:$F$399,F145)=1,INDEX(RAW!$H:$H,MAX(2,F145))="지출",D145=INDEX(RAW!$A:$A,MAX(2,F145)),E145&lt;=INDEX(RAW!$K:$K,MAX(2,F145)),OR(AND(G145="기존반영",OR(A145="U003",A145="U007")),AND(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AND(OR(A145&lt;&gt;"U003",F145=356),OR(A145&lt;&gt;"U007",F145=2203),OR(G145&lt;&gt;"기존반영",A145="U003",A145="U007")))),FALSE)),"OK","확인: 사용등록")))</f>
        <v>생활비</v>
      </c>
      <c r="S145" s="504">
        <f>IF(ISNUMBER(D145),DATE(YEAR(D145),MONTH(D145),1),0)</f>
        <v>46235.0</v>
      </c>
      <c r="T145" s="526">
        <f>IF(R145="OK",SUMIFS($O$430:$O$729,$B$430:$B$729,A145,$E$430:$E$729,"&lt;"&amp;EDATE($B$3,1)),0)</f>
        <v>0</v>
      </c>
      <c r="U145" s="526">
        <f>IF(AND(R145="OK",D145&lt;EDATE($B$3,1),$B$3&gt;=DATE(2026,3,1)),MAX(0,E145-T145),0)</f>
        <v>0</v>
      </c>
      <c r="V145" s="526">
        <f>IFERROR(IF(AND(R145="OK",AND(F145&gt;=2,G145&lt;&gt;"기존반영",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E145,0),0)</f>
        <v>0</v>
      </c>
      <c r="W145" s="526">
        <f>IF(V145&gt;0,ROUNDUP(INDEX(RAW!$K:$K,MAX(2,F145))/1000,0)*1000-ROUNDUP((INDEX(RAW!$K:$K,MAX(2,F145))-V145)/1000,0)*1000,0)</f>
        <v>0</v>
      </c>
      <c r="X145" s="504">
        <f>IF(AND(R145="OK",IF($B$43="전체",D145&lt;EDATE($B$3,1),IF($B$43="미정산",U145&gt;0,OR(S145=$B$3,Z145&gt;0,U145&gt;0)))),1,0)</f>
        <v>0</v>
      </c>
      <c r="Y145" s="504">
        <f>IF(X145=1,COUNTIF($X$100:X145,1),0)</f>
        <v>0</v>
      </c>
      <c r="Z145" s="526">
        <f>IF(R145="OK",SUMIFS($O$430:$O$729,$B$430:$B$729,A145,$E$430:$E$729,"&gt;="&amp;$B$3,$E$430:$E$729,"&lt;"&amp;EDATE($B$3,1)),0)</f>
        <v>0</v>
      </c>
    </row>
    <row r="146" hidden="1" outlineLevel="1">
      <c r="A146" s="504" t="str">
        <f>IF(F146="","","R"&amp;F146)</f>
        <v>R1930</v>
      </c>
      <c r="B146" s="504" t="str">
        <f>IFERROR(INDEX(RAW!$F:$F,MAX(2,F146)),"")</f>
        <v>뉴발란스</v>
      </c>
      <c r="C146" s="522" t="inlineStr">
        <is>
          <t>생활비</t>
        </is>
      </c>
      <c r="D146" s="524">
        <f>IFERROR(INDEX(RAW!$A:$A,MAX(2,F146)),"")</f>
        <v>46250.61736111111</v>
      </c>
      <c r="E146" s="525">
        <f>IFERROR(INDEX(RAW!$K:$K,MAX(2,F146)),"")</f>
        <v>129000</v>
      </c>
      <c r="F146" s="522" t="n">
        <v>1930</v>
      </c>
      <c r="G146" s="504" t="inlineStr">
        <is>
          <t>신규</t>
        </is>
      </c>
      <c r="H146" s="504" t="inlineStr">
        <is>
          <t>기존 비고정 지출 유지. 예비비 부담으로 확인한 경우에만 항목 변경</t>
        </is>
      </c>
      <c r="O146" s="498">
        <f>IF(LEFT(R146,2)="확인",R146,"")</f>
      </c>
      <c r="R146" s="504" t="str">
        <f>IF(A146="","",IF(C146="생활비","생활비",IF(AND(COUNTIF($A$8:$A$12,C146)=1,ISNUMBER(D146),E146&gt;0,COUNTIF($A$100:$A$399,A146)=1,IFERROR(IF(F146="",AND(LEFT(A146,1)="U",G146="월기록"),AND(F146&gt;=2,COUNTIF($F$100:$F$399,F146)=1,INDEX(RAW!$H:$H,MAX(2,F146))="지출",D146=INDEX(RAW!$A:$A,MAX(2,F146)),E146&lt;=INDEX(RAW!$K:$K,MAX(2,F146)),OR(AND(G146="기존반영",OR(A146="U003",A146="U007")),AND(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AND(OR(A146&lt;&gt;"U003",F146=356),OR(A146&lt;&gt;"U007",F146=2203),OR(G146&lt;&gt;"기존반영",A146="U003",A146="U007")))),FALSE)),"OK","확인: 사용등록")))</f>
        <v>생활비</v>
      </c>
      <c r="S146" s="504">
        <f>IF(ISNUMBER(D146),DATE(YEAR(D146),MONTH(D146),1),0)</f>
        <v>46235.0</v>
      </c>
      <c r="T146" s="526">
        <f>IF(R146="OK",SUMIFS($O$430:$O$729,$B$430:$B$729,A146,$E$430:$E$729,"&lt;"&amp;EDATE($B$3,1)),0)</f>
        <v>0</v>
      </c>
      <c r="U146" s="526">
        <f>IF(AND(R146="OK",D146&lt;EDATE($B$3,1),$B$3&gt;=DATE(2026,3,1)),MAX(0,E146-T146),0)</f>
        <v>0</v>
      </c>
      <c r="V146" s="526">
        <f>IFERROR(IF(AND(R146="OK",AND(F146&gt;=2,G146&lt;&gt;"기존반영",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E146,0),0)</f>
        <v>0</v>
      </c>
      <c r="W146" s="526">
        <f>IF(V146&gt;0,ROUNDUP(INDEX(RAW!$K:$K,MAX(2,F146))/1000,0)*1000-ROUNDUP((INDEX(RAW!$K:$K,MAX(2,F146))-V146)/1000,0)*1000,0)</f>
        <v>0</v>
      </c>
      <c r="X146" s="504">
        <f>IF(AND(R146="OK",IF($B$43="전체",D146&lt;EDATE($B$3,1),IF($B$43="미정산",U146&gt;0,OR(S146=$B$3,Z146&gt;0,U146&gt;0)))),1,0)</f>
        <v>0</v>
      </c>
      <c r="Y146" s="504">
        <f>IF(X146=1,COUNTIF($X$100:X146,1),0)</f>
        <v>0</v>
      </c>
      <c r="Z146" s="526">
        <f>IF(R146="OK",SUMIFS($O$430:$O$729,$B$430:$B$729,A146,$E$430:$E$729,"&gt;="&amp;$B$3,$E$430:$E$729,"&lt;"&amp;EDATE($B$3,1)),0)</f>
        <v>0</v>
      </c>
    </row>
    <row r="147" hidden="1" outlineLevel="1">
      <c r="A147" s="504" t="str">
        <f>IF(F147="","","R"&amp;F147)</f>
        <v>R2036</v>
      </c>
      <c r="B147" s="504" t="str">
        <f>IFERROR(INDEX(RAW!$F:$F,MAX(2,F147)),"")</f>
        <v>스타벅스</v>
      </c>
      <c r="C147" s="522" t="inlineStr">
        <is>
          <t>생활비</t>
        </is>
      </c>
      <c r="D147" s="524">
        <f>IFERROR(INDEX(RAW!$A:$A,MAX(2,F147)),"")</f>
        <v>46262.916666666664</v>
      </c>
      <c r="E147" s="525">
        <f>IFERROR(INDEX(RAW!$K:$K,MAX(2,F147)),"")</f>
        <v>8500</v>
      </c>
      <c r="F147" s="522" t="n">
        <v>2036</v>
      </c>
      <c r="G147" s="504" t="inlineStr">
        <is>
          <t>신규</t>
        </is>
      </c>
      <c r="H147" s="504" t="inlineStr">
        <is>
          <t>기존 비고정 지출 유지. 예비비 부담으로 확인한 경우에만 항목 변경</t>
        </is>
      </c>
      <c r="O147" s="498">
        <f>IF(LEFT(R147,2)="확인",R147,"")</f>
      </c>
      <c r="R147" s="504" t="str">
        <f>IF(A147="","",IF(C147="생활비","생활비",IF(AND(COUNTIF($A$8:$A$12,C147)=1,ISNUMBER(D147),E147&gt;0,COUNTIF($A$100:$A$399,A147)=1,IFERROR(IF(F147="",AND(LEFT(A147,1)="U",G147="월기록"),AND(F147&gt;=2,COUNTIF($F$100:$F$399,F147)=1,INDEX(RAW!$H:$H,MAX(2,F147))="지출",D147=INDEX(RAW!$A:$A,MAX(2,F147)),E147&lt;=INDEX(RAW!$K:$K,MAX(2,F147)),OR(AND(G147="기존반영",OR(A147="U003",A147="U007")),AND(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AND(OR(A147&lt;&gt;"U003",F147=356),OR(A147&lt;&gt;"U007",F147=2203),OR(G147&lt;&gt;"기존반영",A147="U003",A147="U007")))),FALSE)),"OK","확인: 사용등록")))</f>
        <v>생활비</v>
      </c>
      <c r="S147" s="504">
        <f>IF(ISNUMBER(D147),DATE(YEAR(D147),MONTH(D147),1),0)</f>
        <v>46235.0</v>
      </c>
      <c r="T147" s="526">
        <f>IF(R147="OK",SUMIFS($O$430:$O$729,$B$430:$B$729,A147,$E$430:$E$729,"&lt;"&amp;EDATE($B$3,1)),0)</f>
        <v>0</v>
      </c>
      <c r="U147" s="526">
        <f>IF(AND(R147="OK",D147&lt;EDATE($B$3,1),$B$3&gt;=DATE(2026,3,1)),MAX(0,E147-T147),0)</f>
        <v>0</v>
      </c>
      <c r="V147" s="526">
        <f>IFERROR(IF(AND(R147="OK",AND(F147&gt;=2,G147&lt;&gt;"기존반영",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E147,0),0)</f>
        <v>0</v>
      </c>
      <c r="W147" s="526">
        <f>IF(V147&gt;0,ROUNDUP(INDEX(RAW!$K:$K,MAX(2,F147))/1000,0)*1000-ROUNDUP((INDEX(RAW!$K:$K,MAX(2,F147))-V147)/1000,0)*1000,0)</f>
        <v>0</v>
      </c>
      <c r="X147" s="504">
        <f>IF(AND(R147="OK",IF($B$43="전체",D147&lt;EDATE($B$3,1),IF($B$43="미정산",U147&gt;0,OR(S147=$B$3,Z147&gt;0,U147&gt;0)))),1,0)</f>
        <v>0</v>
      </c>
      <c r="Y147" s="504">
        <f>IF(X147=1,COUNTIF($X$100:X147,1),0)</f>
        <v>0</v>
      </c>
      <c r="Z147" s="526">
        <f>IF(R147="OK",SUMIFS($O$430:$O$729,$B$430:$B$729,A147,$E$430:$E$729,"&gt;="&amp;$B$3,$E$430:$E$729,"&lt;"&amp;EDATE($B$3,1)),0)</f>
        <v>0</v>
      </c>
    </row>
    <row r="148" hidden="1" outlineLevel="1">
      <c r="A148" s="504" t="str">
        <f>IF(F148="","","R"&amp;F148)</f>
        <v>R2045</v>
      </c>
      <c r="B148" s="504" t="str">
        <f>IFERROR(INDEX(RAW!$F:$F,MAX(2,F148)),"")</f>
        <v>우버택시</v>
      </c>
      <c r="C148" s="522" t="inlineStr">
        <is>
          <t>생활비</t>
        </is>
      </c>
      <c r="D148" s="524">
        <f>IFERROR(INDEX(RAW!$A:$A,MAX(2,F148)),"")</f>
        <v>46263.94027777778</v>
      </c>
      <c r="E148" s="525">
        <f>IFERROR(INDEX(RAW!$K:$K,MAX(2,F148)),"")</f>
        <v>9600</v>
      </c>
      <c r="F148" s="522" t="n">
        <v>2045</v>
      </c>
      <c r="G148" s="504" t="inlineStr">
        <is>
          <t>신규</t>
        </is>
      </c>
      <c r="H148" s="504" t="inlineStr">
        <is>
          <t>기존 비고정 지출 유지. 예비비 부담으로 확인한 경우에만 항목 변경</t>
        </is>
      </c>
      <c r="O148" s="498">
        <f>IF(LEFT(R148,2)="확인",R148,"")</f>
      </c>
      <c r="R148" s="504" t="str">
        <f>IF(A148="","",IF(C148="생활비","생활비",IF(AND(COUNTIF($A$8:$A$12,C148)=1,ISNUMBER(D148),E148&gt;0,COUNTIF($A$100:$A$399,A148)=1,IFERROR(IF(F148="",AND(LEFT(A148,1)="U",G148="월기록"),AND(F148&gt;=2,COUNTIF($F$100:$F$399,F148)=1,INDEX(RAW!$H:$H,MAX(2,F148))="지출",D148=INDEX(RAW!$A:$A,MAX(2,F148)),E148&lt;=INDEX(RAW!$K:$K,MAX(2,F148)),OR(AND(G148="기존반영",OR(A148="U003",A148="U007")),AND(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AND(OR(A148&lt;&gt;"U003",F148=356),OR(A148&lt;&gt;"U007",F148=2203),OR(G148&lt;&gt;"기존반영",A148="U003",A148="U007")))),FALSE)),"OK","확인: 사용등록")))</f>
        <v>생활비</v>
      </c>
      <c r="S148" s="504">
        <f>IF(ISNUMBER(D148),DATE(YEAR(D148),MONTH(D148),1),0)</f>
        <v>46235.0</v>
      </c>
      <c r="T148" s="526">
        <f>IF(R148="OK",SUMIFS($O$430:$O$729,$B$430:$B$729,A148,$E$430:$E$729,"&lt;"&amp;EDATE($B$3,1)),0)</f>
        <v>0</v>
      </c>
      <c r="U148" s="526">
        <f>IF(AND(R148="OK",D148&lt;EDATE($B$3,1),$B$3&gt;=DATE(2026,3,1)),MAX(0,E148-T148),0)</f>
        <v>0</v>
      </c>
      <c r="V148" s="526">
        <f>IFERROR(IF(AND(R148="OK",AND(F148&gt;=2,G148&lt;&gt;"기존반영",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E148,0),0)</f>
        <v>0</v>
      </c>
      <c r="W148" s="526">
        <f>IF(V148&gt;0,ROUNDUP(INDEX(RAW!$K:$K,MAX(2,F148))/1000,0)*1000-ROUNDUP((INDEX(RAW!$K:$K,MAX(2,F148))-V148)/1000,0)*1000,0)</f>
        <v>0</v>
      </c>
      <c r="X148" s="504">
        <f>IF(AND(R148="OK",IF($B$43="전체",D148&lt;EDATE($B$3,1),IF($B$43="미정산",U148&gt;0,OR(S148=$B$3,Z148&gt;0,U148&gt;0)))),1,0)</f>
        <v>0</v>
      </c>
      <c r="Y148" s="504">
        <f>IF(X148=1,COUNTIF($X$100:X148,1),0)</f>
        <v>0</v>
      </c>
      <c r="Z148" s="526">
        <f>IF(R148="OK",SUMIFS($O$430:$O$729,$B$430:$B$729,A148,$E$430:$E$729,"&gt;="&amp;$B$3,$E$430:$E$729,"&lt;"&amp;EDATE($B$3,1)),0)</f>
        <v>0</v>
      </c>
    </row>
    <row r="149" hidden="1" outlineLevel="1">
      <c r="A149" s="504" t="str">
        <f>IF(F149="","","R"&amp;F149)</f>
        <v>R2047</v>
      </c>
      <c r="B149" s="504" t="str">
        <f>IFERROR(INDEX(RAW!$F:$F,MAX(2,F149)),"")</f>
        <v>이마트</v>
      </c>
      <c r="C149" s="522" t="inlineStr">
        <is>
          <t>생활비</t>
        </is>
      </c>
      <c r="D149" s="524">
        <f>IFERROR(INDEX(RAW!$A:$A,MAX(2,F149)),"")</f>
        <v>46263.94305555556</v>
      </c>
      <c r="E149" s="525">
        <f>IFERROR(INDEX(RAW!$K:$K,MAX(2,F149)),"")</f>
        <v>300680</v>
      </c>
      <c r="F149" s="522" t="n">
        <v>2047</v>
      </c>
      <c r="G149" s="504" t="inlineStr">
        <is>
          <t>신규</t>
        </is>
      </c>
      <c r="H149" s="504" t="inlineStr">
        <is>
          <t>기존 비고정 지출 유지. 예비비 부담으로 확인한 경우에만 항목 변경</t>
        </is>
      </c>
      <c r="O149" s="498">
        <f>IF(LEFT(R149,2)="확인",R149,"")</f>
      </c>
      <c r="R149" s="504" t="str">
        <f>IF(A149="","",IF(C149="생활비","생활비",IF(AND(COUNTIF($A$8:$A$12,C149)=1,ISNUMBER(D149),E149&gt;0,COUNTIF($A$100:$A$399,A149)=1,IFERROR(IF(F149="",AND(LEFT(A149,1)="U",G149="월기록"),AND(F149&gt;=2,COUNTIF($F$100:$F$399,F149)=1,INDEX(RAW!$H:$H,MAX(2,F149))="지출",D149=INDEX(RAW!$A:$A,MAX(2,F149)),E149&lt;=INDEX(RAW!$K:$K,MAX(2,F149)),OR(AND(G149="기존반영",OR(A149="U003",A149="U007")),AND(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AND(OR(A149&lt;&gt;"U003",F149=356),OR(A149&lt;&gt;"U007",F149=2203),OR(G149&lt;&gt;"기존반영",A149="U003",A149="U007")))),FALSE)),"OK","확인: 사용등록")))</f>
        <v>생활비</v>
      </c>
      <c r="S149" s="504">
        <f>IF(ISNUMBER(D149),DATE(YEAR(D149),MONTH(D149),1),0)</f>
        <v>46235.0</v>
      </c>
      <c r="T149" s="526">
        <f>IF(R149="OK",SUMIFS($O$430:$O$729,$B$430:$B$729,A149,$E$430:$E$729,"&lt;"&amp;EDATE($B$3,1)),0)</f>
        <v>0</v>
      </c>
      <c r="U149" s="526">
        <f>IF(AND(R149="OK",D149&lt;EDATE($B$3,1),$B$3&gt;=DATE(2026,3,1)),MAX(0,E149-T149),0)</f>
        <v>0</v>
      </c>
      <c r="V149" s="526">
        <f>IFERROR(IF(AND(R149="OK",AND(F149&gt;=2,G149&lt;&gt;"기존반영",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E149,0),0)</f>
        <v>0</v>
      </c>
      <c r="W149" s="526">
        <f>IF(V149&gt;0,ROUNDUP(INDEX(RAW!$K:$K,MAX(2,F149))/1000,0)*1000-ROUNDUP((INDEX(RAW!$K:$K,MAX(2,F149))-V149)/1000,0)*1000,0)</f>
        <v>0</v>
      </c>
      <c r="X149" s="504">
        <f>IF(AND(R149="OK",IF($B$43="전체",D149&lt;EDATE($B$3,1),IF($B$43="미정산",U149&gt;0,OR(S149=$B$3,Z149&gt;0,U149&gt;0)))),1,0)</f>
        <v>0</v>
      </c>
      <c r="Y149" s="504">
        <f>IF(X149=1,COUNTIF($X$100:X149,1),0)</f>
        <v>0</v>
      </c>
      <c r="Z149" s="526">
        <f>IF(R149="OK",SUMIFS($O$430:$O$729,$B$430:$B$729,A149,$E$430:$E$729,"&gt;="&amp;$B$3,$E$430:$E$729,"&lt;"&amp;EDATE($B$3,1)),0)</f>
        <v>0</v>
      </c>
    </row>
    <row r="150" hidden="1" outlineLevel="1">
      <c r="A150" s="504" t="str">
        <f>IF(F150="","","R"&amp;F150)</f>
        <v>R2048</v>
      </c>
      <c r="B150" s="504" t="str">
        <f>IFERROR(INDEX(RAW!$F:$F,MAX(2,F150)),"")</f>
        <v>CU</v>
      </c>
      <c r="C150" s="522" t="inlineStr">
        <is>
          <t>생활비</t>
        </is>
      </c>
      <c r="D150" s="524">
        <f>IFERROR(INDEX(RAW!$A:$A,MAX(2,F150)),"")</f>
        <v>46263.94305555556</v>
      </c>
      <c r="E150" s="525">
        <f>IFERROR(INDEX(RAW!$K:$K,MAX(2,F150)),"")</f>
        <v>19800</v>
      </c>
      <c r="F150" s="522" t="n">
        <v>2048</v>
      </c>
      <c r="G150" s="504" t="inlineStr">
        <is>
          <t>신규</t>
        </is>
      </c>
      <c r="H150" s="504" t="inlineStr">
        <is>
          <t>기존 비고정 지출 유지. 예비비 부담으로 확인한 경우에만 항목 변경</t>
        </is>
      </c>
      <c r="O150" s="498">
        <f>IF(LEFT(R150,2)="확인",R150,"")</f>
      </c>
      <c r="R150" s="504" t="str">
        <f>IF(A150="","",IF(C150="생활비","생활비",IF(AND(COUNTIF($A$8:$A$12,C150)=1,ISNUMBER(D150),E150&gt;0,COUNTIF($A$100:$A$399,A150)=1,IFERROR(IF(F150="",AND(LEFT(A150,1)="U",G150="월기록"),AND(F150&gt;=2,COUNTIF($F$100:$F$399,F150)=1,INDEX(RAW!$H:$H,MAX(2,F150))="지출",D150=INDEX(RAW!$A:$A,MAX(2,F150)),E150&lt;=INDEX(RAW!$K:$K,MAX(2,F150)),OR(AND(G150="기존반영",OR(A150="U003",A150="U007")),AND(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AND(OR(A150&lt;&gt;"U003",F150=356),OR(A150&lt;&gt;"U007",F150=2203),OR(G150&lt;&gt;"기존반영",A150="U003",A150="U007")))),FALSE)),"OK","확인: 사용등록")))</f>
        <v>생활비</v>
      </c>
      <c r="S150" s="504">
        <f>IF(ISNUMBER(D150),DATE(YEAR(D150),MONTH(D150),1),0)</f>
        <v>46235.0</v>
      </c>
      <c r="T150" s="526">
        <f>IF(R150="OK",SUMIFS($O$430:$O$729,$B$430:$B$729,A150,$E$430:$E$729,"&lt;"&amp;EDATE($B$3,1)),0)</f>
        <v>0</v>
      </c>
      <c r="U150" s="526">
        <f>IF(AND(R150="OK",D150&lt;EDATE($B$3,1),$B$3&gt;=DATE(2026,3,1)),MAX(0,E150-T150),0)</f>
        <v>0</v>
      </c>
      <c r="V150" s="526">
        <f>IFERROR(IF(AND(R150="OK",AND(F150&gt;=2,G150&lt;&gt;"기존반영",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E150,0),0)</f>
        <v>0</v>
      </c>
      <c r="W150" s="526">
        <f>IF(V150&gt;0,ROUNDUP(INDEX(RAW!$K:$K,MAX(2,F150))/1000,0)*1000-ROUNDUP((INDEX(RAW!$K:$K,MAX(2,F150))-V150)/1000,0)*1000,0)</f>
        <v>0</v>
      </c>
      <c r="X150" s="504">
        <f>IF(AND(R150="OK",IF($B$43="전체",D150&lt;EDATE($B$3,1),IF($B$43="미정산",U150&gt;0,OR(S150=$B$3,Z150&gt;0,U150&gt;0)))),1,0)</f>
        <v>0</v>
      </c>
      <c r="Y150" s="504">
        <f>IF(X150=1,COUNTIF($X$100:X150,1),0)</f>
        <v>0</v>
      </c>
      <c r="Z150" s="526">
        <f>IF(R150="OK",SUMIFS($O$430:$O$729,$B$430:$B$729,A150,$E$430:$E$729,"&gt;="&amp;$B$3,$E$430:$E$729,"&lt;"&amp;EDATE($B$3,1)),0)</f>
        <v>0</v>
      </c>
    </row>
    <row r="151" hidden="1" outlineLevel="1">
      <c r="A151" s="504" t="str">
        <f>IF(F151="","","R"&amp;F151)</f>
        <v>R2050</v>
      </c>
      <c r="B151" s="504" t="str">
        <f>IFERROR(INDEX(RAW!$F:$F,MAX(2,F151)),"")</f>
        <v>카페감동</v>
      </c>
      <c r="C151" s="522" t="inlineStr">
        <is>
          <t>생활비</t>
        </is>
      </c>
      <c r="D151" s="524">
        <f>IFERROR(INDEX(RAW!$A:$A,MAX(2,F151)),"")</f>
        <v>46263.94305555556</v>
      </c>
      <c r="E151" s="525">
        <f>IFERROR(INDEX(RAW!$K:$K,MAX(2,F151)),"")</f>
        <v>26000</v>
      </c>
      <c r="F151" s="522" t="n">
        <v>2050</v>
      </c>
      <c r="G151" s="504" t="inlineStr">
        <is>
          <t>신규</t>
        </is>
      </c>
      <c r="H151" s="504" t="inlineStr">
        <is>
          <t>기존 비고정 지출 유지. 예비비 부담으로 확인한 경우에만 항목 변경</t>
        </is>
      </c>
      <c r="O151" s="498">
        <f>IF(LEFT(R151,2)="확인",R151,"")</f>
      </c>
      <c r="R151" s="504" t="str">
        <f>IF(A151="","",IF(C151="생활비","생활비",IF(AND(COUNTIF($A$8:$A$12,C151)=1,ISNUMBER(D151),E151&gt;0,COUNTIF($A$100:$A$399,A151)=1,IFERROR(IF(F151="",AND(LEFT(A151,1)="U",G151="월기록"),AND(F151&gt;=2,COUNTIF($F$100:$F$399,F151)=1,INDEX(RAW!$H:$H,MAX(2,F151))="지출",D151=INDEX(RAW!$A:$A,MAX(2,F151)),E151&lt;=INDEX(RAW!$K:$K,MAX(2,F151)),OR(AND(G151="기존반영",OR(A151="U003",A151="U007")),AND(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AND(OR(A151&lt;&gt;"U003",F151=356),OR(A151&lt;&gt;"U007",F151=2203),OR(G151&lt;&gt;"기존반영",A151="U003",A151="U007")))),FALSE)),"OK","확인: 사용등록")))</f>
        <v>생활비</v>
      </c>
      <c r="S151" s="504">
        <f>IF(ISNUMBER(D151),DATE(YEAR(D151),MONTH(D151),1),0)</f>
        <v>46235.0</v>
      </c>
      <c r="T151" s="526">
        <f>IF(R151="OK",SUMIFS($O$430:$O$729,$B$430:$B$729,A151,$E$430:$E$729,"&lt;"&amp;EDATE($B$3,1)),0)</f>
        <v>0</v>
      </c>
      <c r="U151" s="526">
        <f>IF(AND(R151="OK",D151&lt;EDATE($B$3,1),$B$3&gt;=DATE(2026,3,1)),MAX(0,E151-T151),0)</f>
        <v>0</v>
      </c>
      <c r="V151" s="526">
        <f>IFERROR(IF(AND(R151="OK",AND(F151&gt;=2,G151&lt;&gt;"기존반영",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E151,0),0)</f>
        <v>0</v>
      </c>
      <c r="W151" s="526">
        <f>IF(V151&gt;0,ROUNDUP(INDEX(RAW!$K:$K,MAX(2,F151))/1000,0)*1000-ROUNDUP((INDEX(RAW!$K:$K,MAX(2,F151))-V151)/1000,0)*1000,0)</f>
        <v>0</v>
      </c>
      <c r="X151" s="504">
        <f>IF(AND(R151="OK",IF($B$43="전체",D151&lt;EDATE($B$3,1),IF($B$43="미정산",U151&gt;0,OR(S151=$B$3,Z151&gt;0,U151&gt;0)))),1,0)</f>
        <v>0</v>
      </c>
      <c r="Y151" s="504">
        <f>IF(X151=1,COUNTIF($X$100:X151,1),0)</f>
        <v>0</v>
      </c>
      <c r="Z151" s="526">
        <f>IF(R151="OK",SUMIFS($O$430:$O$729,$B$430:$B$729,A151,$E$430:$E$729,"&gt;="&amp;$B$3,$E$430:$E$729,"&lt;"&amp;EDATE($B$3,1)),0)</f>
        <v>0</v>
      </c>
    </row>
    <row r="152" hidden="1" outlineLevel="1">
      <c r="A152" s="504" t="str">
        <f>IF(F152="","","R"&amp;F152)</f>
        <v>R2051</v>
      </c>
      <c r="B152" s="504" t="str">
        <f>IFERROR(INDEX(RAW!$F:$F,MAX(2,F152)),"")</f>
        <v>CU</v>
      </c>
      <c r="C152" s="522" t="inlineStr">
        <is>
          <t>생활비</t>
        </is>
      </c>
      <c r="D152" s="524">
        <f>IFERROR(INDEX(RAW!$A:$A,MAX(2,F152)),"")</f>
        <v>46263.94305555556</v>
      </c>
      <c r="E152" s="525">
        <f>IFERROR(INDEX(RAW!$K:$K,MAX(2,F152)),"")</f>
        <v>9500</v>
      </c>
      <c r="F152" s="522" t="n">
        <v>2051</v>
      </c>
      <c r="G152" s="504" t="inlineStr">
        <is>
          <t>신규</t>
        </is>
      </c>
      <c r="H152" s="504" t="inlineStr">
        <is>
          <t>기존 비고정 지출 유지. 예비비 부담으로 확인한 경우에만 항목 변경</t>
        </is>
      </c>
      <c r="O152" s="498">
        <f>IF(LEFT(R152,2)="확인",R152,"")</f>
      </c>
      <c r="R152" s="504" t="str">
        <f>IF(A152="","",IF(C152="생활비","생활비",IF(AND(COUNTIF($A$8:$A$12,C152)=1,ISNUMBER(D152),E152&gt;0,COUNTIF($A$100:$A$399,A152)=1,IFERROR(IF(F152="",AND(LEFT(A152,1)="U",G152="월기록"),AND(F152&gt;=2,COUNTIF($F$100:$F$399,F152)=1,INDEX(RAW!$H:$H,MAX(2,F152))="지출",D152=INDEX(RAW!$A:$A,MAX(2,F152)),E152&lt;=INDEX(RAW!$K:$K,MAX(2,F152)),OR(AND(G152="기존반영",OR(A152="U003",A152="U007")),AND(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AND(OR(A152&lt;&gt;"U003",F152=356),OR(A152&lt;&gt;"U007",F152=2203),OR(G152&lt;&gt;"기존반영",A152="U003",A152="U007")))),FALSE)),"OK","확인: 사용등록")))</f>
        <v>생활비</v>
      </c>
      <c r="S152" s="504">
        <f>IF(ISNUMBER(D152),DATE(YEAR(D152),MONTH(D152),1),0)</f>
        <v>46235.0</v>
      </c>
      <c r="T152" s="526">
        <f>IF(R152="OK",SUMIFS($O$430:$O$729,$B$430:$B$729,A152,$E$430:$E$729,"&lt;"&amp;EDATE($B$3,1)),0)</f>
        <v>0</v>
      </c>
      <c r="U152" s="526">
        <f>IF(AND(R152="OK",D152&lt;EDATE($B$3,1),$B$3&gt;=DATE(2026,3,1)),MAX(0,E152-T152),0)</f>
        <v>0</v>
      </c>
      <c r="V152" s="526">
        <f>IFERROR(IF(AND(R152="OK",AND(F152&gt;=2,G152&lt;&gt;"기존반영",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E152,0),0)</f>
        <v>0</v>
      </c>
      <c r="W152" s="526">
        <f>IF(V152&gt;0,ROUNDUP(INDEX(RAW!$K:$K,MAX(2,F152))/1000,0)*1000-ROUNDUP((INDEX(RAW!$K:$K,MAX(2,F152))-V152)/1000,0)*1000,0)</f>
        <v>0</v>
      </c>
      <c r="X152" s="504">
        <f>IF(AND(R152="OK",IF($B$43="전체",D152&lt;EDATE($B$3,1),IF($B$43="미정산",U152&gt;0,OR(S152=$B$3,Z152&gt;0,U152&gt;0)))),1,0)</f>
        <v>0</v>
      </c>
      <c r="Y152" s="504">
        <f>IF(X152=1,COUNTIF($X$100:X152,1),0)</f>
        <v>0</v>
      </c>
      <c r="Z152" s="526">
        <f>IF(R152="OK",SUMIFS($O$430:$O$729,$B$430:$B$729,A152,$E$430:$E$729,"&gt;="&amp;$B$3,$E$430:$E$729,"&lt;"&amp;EDATE($B$3,1)),0)</f>
        <v>0</v>
      </c>
    </row>
    <row r="153" hidden="1" outlineLevel="1">
      <c r="A153" s="504" t="str">
        <f>IF(F153="","","R"&amp;F153)</f>
        <v>R2052</v>
      </c>
      <c r="B153" s="504" t="str">
        <f>IFERROR(INDEX(RAW!$F:$F,MAX(2,F153)),"")</f>
        <v>지라산산청돼지국밥</v>
      </c>
      <c r="C153" s="522" t="inlineStr">
        <is>
          <t>생활비</t>
        </is>
      </c>
      <c r="D153" s="524">
        <f>IFERROR(INDEX(RAW!$A:$A,MAX(2,F153)),"")</f>
        <v>46263.94305555556</v>
      </c>
      <c r="E153" s="525">
        <f>IFERROR(INDEX(RAW!$K:$K,MAX(2,F153)),"")</f>
        <v>45000</v>
      </c>
      <c r="F153" s="522" t="n">
        <v>2052</v>
      </c>
      <c r="G153" s="504" t="inlineStr">
        <is>
          <t>신규</t>
        </is>
      </c>
      <c r="H153" s="504" t="inlineStr">
        <is>
          <t>기존 비고정 지출 유지. 예비비 부담으로 확인한 경우에만 항목 변경</t>
        </is>
      </c>
      <c r="O153" s="498">
        <f>IF(LEFT(R153,2)="확인",R153,"")</f>
      </c>
      <c r="R153" s="504" t="str">
        <f>IF(A153="","",IF(C153="생활비","생활비",IF(AND(COUNTIF($A$8:$A$12,C153)=1,ISNUMBER(D153),E153&gt;0,COUNTIF($A$100:$A$399,A153)=1,IFERROR(IF(F153="",AND(LEFT(A153,1)="U",G153="월기록"),AND(F153&gt;=2,COUNTIF($F$100:$F$399,F153)=1,INDEX(RAW!$H:$H,MAX(2,F153))="지출",D153=INDEX(RAW!$A:$A,MAX(2,F153)),E153&lt;=INDEX(RAW!$K:$K,MAX(2,F153)),OR(AND(G153="기존반영",OR(A153="U003",A153="U007")),AND(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AND(OR(A153&lt;&gt;"U003",F153=356),OR(A153&lt;&gt;"U007",F153=2203),OR(G153&lt;&gt;"기존반영",A153="U003",A153="U007")))),FALSE)),"OK","확인: 사용등록")))</f>
        <v>생활비</v>
      </c>
      <c r="S153" s="504">
        <f>IF(ISNUMBER(D153),DATE(YEAR(D153),MONTH(D153),1),0)</f>
        <v>46235.0</v>
      </c>
      <c r="T153" s="526">
        <f>IF(R153="OK",SUMIFS($O$430:$O$729,$B$430:$B$729,A153,$E$430:$E$729,"&lt;"&amp;EDATE($B$3,1)),0)</f>
        <v>0</v>
      </c>
      <c r="U153" s="526">
        <f>IF(AND(R153="OK",D153&lt;EDATE($B$3,1),$B$3&gt;=DATE(2026,3,1)),MAX(0,E153-T153),0)</f>
        <v>0</v>
      </c>
      <c r="V153" s="526">
        <f>IFERROR(IF(AND(R153="OK",AND(F153&gt;=2,G153&lt;&gt;"기존반영",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E153,0),0)</f>
        <v>0</v>
      </c>
      <c r="W153" s="526">
        <f>IF(V153&gt;0,ROUNDUP(INDEX(RAW!$K:$K,MAX(2,F153))/1000,0)*1000-ROUNDUP((INDEX(RAW!$K:$K,MAX(2,F153))-V153)/1000,0)*1000,0)</f>
        <v>0</v>
      </c>
      <c r="X153" s="504">
        <f>IF(AND(R153="OK",IF($B$43="전체",D153&lt;EDATE($B$3,1),IF($B$43="미정산",U153&gt;0,OR(S153=$B$3,Z153&gt;0,U153&gt;0)))),1,0)</f>
        <v>0</v>
      </c>
      <c r="Y153" s="504">
        <f>IF(X153=1,COUNTIF($X$100:X153,1),0)</f>
        <v>0</v>
      </c>
      <c r="Z153" s="526">
        <f>IF(R153="OK",SUMIFS($O$430:$O$729,$B$430:$B$729,A153,$E$430:$E$729,"&gt;="&amp;$B$3,$E$430:$E$729,"&lt;"&amp;EDATE($B$3,1)),0)</f>
        <v>0</v>
      </c>
    </row>
    <row r="154" hidden="1" outlineLevel="1">
      <c r="A154" s="504" t="str">
        <f>IF(F154="","","R"&amp;F154)</f>
        <v>R2053</v>
      </c>
      <c r="B154" s="504" t="str">
        <f>IFERROR(INDEX(RAW!$F:$F,MAX(2,F154)),"")</f>
        <v>숙소 바베큐</v>
      </c>
      <c r="C154" s="522" t="inlineStr">
        <is>
          <t>생활비</t>
        </is>
      </c>
      <c r="D154" s="524">
        <f>IFERROR(INDEX(RAW!$A:$A,MAX(2,F154)),"")</f>
        <v>46263.94583333333</v>
      </c>
      <c r="E154" s="525">
        <f>IFERROR(INDEX(RAW!$K:$K,MAX(2,F154)),"")</f>
        <v>30000</v>
      </c>
      <c r="F154" s="522" t="n">
        <v>2053</v>
      </c>
      <c r="G154" s="504" t="inlineStr">
        <is>
          <t>신규</t>
        </is>
      </c>
      <c r="H154" s="504" t="inlineStr">
        <is>
          <t>기존 비고정 지출 유지. 예비비 부담으로 확인한 경우에만 항목 변경</t>
        </is>
      </c>
      <c r="O154" s="498">
        <f>IF(LEFT(R154,2)="확인",R154,"")</f>
      </c>
      <c r="R154" s="504" t="str">
        <f>IF(A154="","",IF(C154="생활비","생활비",IF(AND(COUNTIF($A$8:$A$12,C154)=1,ISNUMBER(D154),E154&gt;0,COUNTIF($A$100:$A$399,A154)=1,IFERROR(IF(F154="",AND(LEFT(A154,1)="U",G154="월기록"),AND(F154&gt;=2,COUNTIF($F$100:$F$399,F154)=1,INDEX(RAW!$H:$H,MAX(2,F154))="지출",D154=INDEX(RAW!$A:$A,MAX(2,F154)),E154&lt;=INDEX(RAW!$K:$K,MAX(2,F154)),OR(AND(G154="기존반영",OR(A154="U003",A154="U007")),AND(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AND(OR(A154&lt;&gt;"U003",F154=356),OR(A154&lt;&gt;"U007",F154=2203),OR(G154&lt;&gt;"기존반영",A154="U003",A154="U007")))),FALSE)),"OK","확인: 사용등록")))</f>
        <v>생활비</v>
      </c>
      <c r="S154" s="504">
        <f>IF(ISNUMBER(D154),DATE(YEAR(D154),MONTH(D154),1),0)</f>
        <v>46235.0</v>
      </c>
      <c r="T154" s="526">
        <f>IF(R154="OK",SUMIFS($O$430:$O$729,$B$430:$B$729,A154,$E$430:$E$729,"&lt;"&amp;EDATE($B$3,1)),0)</f>
        <v>0</v>
      </c>
      <c r="U154" s="526">
        <f>IF(AND(R154="OK",D154&lt;EDATE($B$3,1),$B$3&gt;=DATE(2026,3,1)),MAX(0,E154-T154),0)</f>
        <v>0</v>
      </c>
      <c r="V154" s="526">
        <f>IFERROR(IF(AND(R154="OK",AND(F154&gt;=2,G154&lt;&gt;"기존반영",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E154,0),0)</f>
        <v>0</v>
      </c>
      <c r="W154" s="526">
        <f>IF(V154&gt;0,ROUNDUP(INDEX(RAW!$K:$K,MAX(2,F154))/1000,0)*1000-ROUNDUP((INDEX(RAW!$K:$K,MAX(2,F154))-V154)/1000,0)*1000,0)</f>
        <v>0</v>
      </c>
      <c r="X154" s="504">
        <f>IF(AND(R154="OK",IF($B$43="전체",D154&lt;EDATE($B$3,1),IF($B$43="미정산",U154&gt;0,OR(S154=$B$3,Z154&gt;0,U154&gt;0)))),1,0)</f>
        <v>0</v>
      </c>
      <c r="Y154" s="504">
        <f>IF(X154=1,COUNTIF($X$100:X154,1),0)</f>
        <v>0</v>
      </c>
      <c r="Z154" s="526">
        <f>IF(R154="OK",SUMIFS($O$430:$O$729,$B$430:$B$729,A154,$E$430:$E$729,"&gt;="&amp;$B$3,$E$430:$E$729,"&lt;"&amp;EDATE($B$3,1)),0)</f>
        <v>0</v>
      </c>
    </row>
    <row r="155" hidden="1" outlineLevel="1">
      <c r="A155" s="504" t="str">
        <f>IF(F155="","","R"&amp;F155)</f>
        <v>R2056</v>
      </c>
      <c r="B155" s="504" t="str">
        <f>IFERROR(INDEX(RAW!$F:$F,MAX(2,F155)),"")</f>
        <v>홍천뚝배기</v>
      </c>
      <c r="C155" s="522" t="inlineStr">
        <is>
          <t>생활비</t>
        </is>
      </c>
      <c r="D155" s="524">
        <f>IFERROR(INDEX(RAW!$A:$A,MAX(2,F155)),"")</f>
        <v>46264.94652777778</v>
      </c>
      <c r="E155" s="525">
        <f>IFERROR(INDEX(RAW!$K:$K,MAX(2,F155)),"")</f>
        <v>53000</v>
      </c>
      <c r="F155" s="522" t="n">
        <v>2056</v>
      </c>
      <c r="G155" s="504" t="inlineStr">
        <is>
          <t>신규</t>
        </is>
      </c>
      <c r="H155" s="504" t="inlineStr">
        <is>
          <t>기존 비고정 지출 유지. 예비비 부담으로 확인한 경우에만 항목 변경</t>
        </is>
      </c>
      <c r="O155" s="498">
        <f>IF(LEFT(R155,2)="확인",R155,"")</f>
      </c>
      <c r="R155" s="504" t="str">
        <f>IF(A155="","",IF(C155="생활비","생활비",IF(AND(COUNTIF($A$8:$A$12,C155)=1,ISNUMBER(D155),E155&gt;0,COUNTIF($A$100:$A$399,A155)=1,IFERROR(IF(F155="",AND(LEFT(A155,1)="U",G155="월기록"),AND(F155&gt;=2,COUNTIF($F$100:$F$399,F155)=1,INDEX(RAW!$H:$H,MAX(2,F155))="지출",D155=INDEX(RAW!$A:$A,MAX(2,F155)),E155&lt;=INDEX(RAW!$K:$K,MAX(2,F155)),OR(AND(G155="기존반영",OR(A155="U003",A155="U007")),AND(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AND(OR(A155&lt;&gt;"U003",F155=356),OR(A155&lt;&gt;"U007",F155=2203),OR(G155&lt;&gt;"기존반영",A155="U003",A155="U007")))),FALSE)),"OK","확인: 사용등록")))</f>
        <v>생활비</v>
      </c>
      <c r="S155" s="504">
        <f>IF(ISNUMBER(D155),DATE(YEAR(D155),MONTH(D155),1),0)</f>
        <v>46235.0</v>
      </c>
      <c r="T155" s="526">
        <f>IF(R155="OK",SUMIFS($O$430:$O$729,$B$430:$B$729,A155,$E$430:$E$729,"&lt;"&amp;EDATE($B$3,1)),0)</f>
        <v>0</v>
      </c>
      <c r="U155" s="526">
        <f>IF(AND(R155="OK",D155&lt;EDATE($B$3,1),$B$3&gt;=DATE(2026,3,1)),MAX(0,E155-T155),0)</f>
        <v>0</v>
      </c>
      <c r="V155" s="526">
        <f>IFERROR(IF(AND(R155="OK",AND(F155&gt;=2,G155&lt;&gt;"기존반영",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E155,0),0)</f>
        <v>0</v>
      </c>
      <c r="W155" s="526">
        <f>IF(V155&gt;0,ROUNDUP(INDEX(RAW!$K:$K,MAX(2,F155))/1000,0)*1000-ROUNDUP((INDEX(RAW!$K:$K,MAX(2,F155))-V155)/1000,0)*1000,0)</f>
        <v>0</v>
      </c>
      <c r="X155" s="504">
        <f>IF(AND(R155="OK",IF($B$43="전체",D155&lt;EDATE($B$3,1),IF($B$43="미정산",U155&gt;0,OR(S155=$B$3,Z155&gt;0,U155&gt;0)))),1,0)</f>
        <v>0</v>
      </c>
      <c r="Y155" s="504">
        <f>IF(X155=1,COUNTIF($X$100:X155,1),0)</f>
        <v>0</v>
      </c>
      <c r="Z155" s="526">
        <f>IF(R155="OK",SUMIFS($O$430:$O$729,$B$430:$B$729,A155,$E$430:$E$729,"&gt;="&amp;$B$3,$E$430:$E$729,"&lt;"&amp;EDATE($B$3,1)),0)</f>
        <v>0</v>
      </c>
    </row>
    <row r="156" hidden="1" outlineLevel="1">
      <c r="A156" s="504" t="str">
        <f>IF(F156="","","R"&amp;F156)</f>
        <v>R2057</v>
      </c>
      <c r="B156" s="504" t="str">
        <f>IFERROR(INDEX(RAW!$F:$F,MAX(2,F156)),"")</f>
        <v>그라운드헤븐</v>
      </c>
      <c r="C156" s="522" t="inlineStr">
        <is>
          <t>생활비</t>
        </is>
      </c>
      <c r="D156" s="524">
        <f>IFERROR(INDEX(RAW!$A:$A,MAX(2,F156)),"")</f>
        <v>46264.947222222225</v>
      </c>
      <c r="E156" s="525">
        <f>IFERROR(INDEX(RAW!$K:$K,MAX(2,F156)),"")</f>
        <v>54100</v>
      </c>
      <c r="F156" s="522" t="n">
        <v>2057</v>
      </c>
      <c r="G156" s="504" t="inlineStr">
        <is>
          <t>신규</t>
        </is>
      </c>
      <c r="H156" s="504" t="inlineStr">
        <is>
          <t>기존 비고정 지출 유지. 예비비 부담으로 확인한 경우에만 항목 변경</t>
        </is>
      </c>
      <c r="O156" s="498">
        <f>IF(LEFT(R156,2)="확인",R156,"")</f>
      </c>
      <c r="R156" s="504" t="str">
        <f>IF(A156="","",IF(C156="생활비","생활비",IF(AND(COUNTIF($A$8:$A$12,C156)=1,ISNUMBER(D156),E156&gt;0,COUNTIF($A$100:$A$399,A156)=1,IFERROR(IF(F156="",AND(LEFT(A156,1)="U",G156="월기록"),AND(F156&gt;=2,COUNTIF($F$100:$F$399,F156)=1,INDEX(RAW!$H:$H,MAX(2,F156))="지출",D156=INDEX(RAW!$A:$A,MAX(2,F156)),E156&lt;=INDEX(RAW!$K:$K,MAX(2,F156)),OR(AND(G156="기존반영",OR(A156="U003",A156="U007")),AND(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AND(OR(A156&lt;&gt;"U003",F156=356),OR(A156&lt;&gt;"U007",F156=2203),OR(G156&lt;&gt;"기존반영",A156="U003",A156="U007")))),FALSE)),"OK","확인: 사용등록")))</f>
        <v>생활비</v>
      </c>
      <c r="S156" s="504">
        <f>IF(ISNUMBER(D156),DATE(YEAR(D156),MONTH(D156),1),0)</f>
        <v>46235.0</v>
      </c>
      <c r="T156" s="526">
        <f>IF(R156="OK",SUMIFS($O$430:$O$729,$B$430:$B$729,A156,$E$430:$E$729,"&lt;"&amp;EDATE($B$3,1)),0)</f>
        <v>0</v>
      </c>
      <c r="U156" s="526">
        <f>IF(AND(R156="OK",D156&lt;EDATE($B$3,1),$B$3&gt;=DATE(2026,3,1)),MAX(0,E156-T156),0)</f>
        <v>0</v>
      </c>
      <c r="V156" s="526">
        <f>IFERROR(IF(AND(R156="OK",AND(F156&gt;=2,G156&lt;&gt;"기존반영",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E156,0),0)</f>
        <v>0</v>
      </c>
      <c r="W156" s="526">
        <f>IF(V156&gt;0,ROUNDUP(INDEX(RAW!$K:$K,MAX(2,F156))/1000,0)*1000-ROUNDUP((INDEX(RAW!$K:$K,MAX(2,F156))-V156)/1000,0)*1000,0)</f>
        <v>0</v>
      </c>
      <c r="X156" s="504">
        <f>IF(AND(R156="OK",IF($B$43="전체",D156&lt;EDATE($B$3,1),IF($B$43="미정산",U156&gt;0,OR(S156=$B$3,Z156&gt;0,U156&gt;0)))),1,0)</f>
        <v>0</v>
      </c>
      <c r="Y156" s="504">
        <f>IF(X156=1,COUNTIF($X$100:X156,1),0)</f>
        <v>0</v>
      </c>
      <c r="Z156" s="526">
        <f>IF(R156="OK",SUMIFS($O$430:$O$729,$B$430:$B$729,A156,$E$430:$E$729,"&gt;="&amp;$B$3,$E$430:$E$729,"&lt;"&amp;EDATE($B$3,1)),0)</f>
        <v>0</v>
      </c>
    </row>
    <row r="157" hidden="1" outlineLevel="1">
      <c r="A157" s="504" t="str">
        <f>IF(F157="","","R"&amp;F157)</f>
        <v>R2058</v>
      </c>
      <c r="B157" s="504" t="str">
        <f>IFERROR(INDEX(RAW!$F:$F,MAX(2,F157)),"")</f>
        <v>스토리웨이</v>
      </c>
      <c r="C157" s="522" t="inlineStr">
        <is>
          <t>생활비</t>
        </is>
      </c>
      <c r="D157" s="524">
        <f>IFERROR(INDEX(RAW!$A:$A,MAX(2,F157)),"")</f>
        <v>46264.947916666664</v>
      </c>
      <c r="E157" s="525">
        <f>IFERROR(INDEX(RAW!$K:$K,MAX(2,F157)),"")</f>
        <v>14400</v>
      </c>
      <c r="F157" s="522" t="n">
        <v>2058</v>
      </c>
      <c r="G157" s="504" t="inlineStr">
        <is>
          <t>신규</t>
        </is>
      </c>
      <c r="H157" s="504" t="inlineStr">
        <is>
          <t>기존 비고정 지출 유지. 예비비 부담으로 확인한 경우에만 항목 변경</t>
        </is>
      </c>
      <c r="O157" s="498">
        <f>IF(LEFT(R157,2)="확인",R157,"")</f>
      </c>
      <c r="R157" s="504" t="str">
        <f>IF(A157="","",IF(C157="생활비","생활비",IF(AND(COUNTIF($A$8:$A$12,C157)=1,ISNUMBER(D157),E157&gt;0,COUNTIF($A$100:$A$399,A157)=1,IFERROR(IF(F157="",AND(LEFT(A157,1)="U",G157="월기록"),AND(F157&gt;=2,COUNTIF($F$100:$F$399,F157)=1,INDEX(RAW!$H:$H,MAX(2,F157))="지출",D157=INDEX(RAW!$A:$A,MAX(2,F157)),E157&lt;=INDEX(RAW!$K:$K,MAX(2,F157)),OR(AND(G157="기존반영",OR(A157="U003",A157="U007")),AND(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AND(OR(A157&lt;&gt;"U003",F157=356),OR(A157&lt;&gt;"U007",F157=2203),OR(G157&lt;&gt;"기존반영",A157="U003",A157="U007")))),FALSE)),"OK","확인: 사용등록")))</f>
        <v>생활비</v>
      </c>
      <c r="S157" s="504">
        <f>IF(ISNUMBER(D157),DATE(YEAR(D157),MONTH(D157),1),0)</f>
        <v>46235.0</v>
      </c>
      <c r="T157" s="526">
        <f>IF(R157="OK",SUMIFS($O$430:$O$729,$B$430:$B$729,A157,$E$430:$E$729,"&lt;"&amp;EDATE($B$3,1)),0)</f>
        <v>0</v>
      </c>
      <c r="U157" s="526">
        <f>IF(AND(R157="OK",D157&lt;EDATE($B$3,1),$B$3&gt;=DATE(2026,3,1)),MAX(0,E157-T157),0)</f>
        <v>0</v>
      </c>
      <c r="V157" s="526">
        <f>IFERROR(IF(AND(R157="OK",AND(F157&gt;=2,G157&lt;&gt;"기존반영",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E157,0),0)</f>
        <v>0</v>
      </c>
      <c r="W157" s="526">
        <f>IF(V157&gt;0,ROUNDUP(INDEX(RAW!$K:$K,MAX(2,F157))/1000,0)*1000-ROUNDUP((INDEX(RAW!$K:$K,MAX(2,F157))-V157)/1000,0)*1000,0)</f>
        <v>0</v>
      </c>
      <c r="X157" s="504">
        <f>IF(AND(R157="OK",IF($B$43="전체",D157&lt;EDATE($B$3,1),IF($B$43="미정산",U157&gt;0,OR(S157=$B$3,Z157&gt;0,U157&gt;0)))),1,0)</f>
        <v>0</v>
      </c>
      <c r="Y157" s="504">
        <f>IF(X157=1,COUNTIF($X$100:X157,1),0)</f>
        <v>0</v>
      </c>
      <c r="Z157" s="526">
        <f>IF(R157="OK",SUMIFS($O$430:$O$729,$B$430:$B$729,A157,$E$430:$E$729,"&gt;="&amp;$B$3,$E$430:$E$729,"&lt;"&amp;EDATE($B$3,1)),0)</f>
        <v>0</v>
      </c>
    </row>
    <row r="158" hidden="1" outlineLevel="1">
      <c r="A158" s="504" t="str">
        <f>IF(F158="","","R"&amp;F158)</f>
        <v>R2075</v>
      </c>
      <c r="B158" s="504" t="str">
        <f>IFERROR(INDEX(RAW!$F:$F,MAX(2,F158)),"")</f>
        <v>롯데월드몰</v>
      </c>
      <c r="C158" s="522" t="inlineStr">
        <is>
          <t>생활비</t>
        </is>
      </c>
      <c r="D158" s="524">
        <f>IFERROR(INDEX(RAW!$A:$A,MAX(2,F158)),"")</f>
        <v>46265.86875</v>
      </c>
      <c r="E158" s="525">
        <f>IFERROR(INDEX(RAW!$K:$K,MAX(2,F158)),"")</f>
        <v>20100</v>
      </c>
      <c r="F158" s="522" t="n">
        <v>2075</v>
      </c>
      <c r="G158" s="504" t="inlineStr">
        <is>
          <t>신규</t>
        </is>
      </c>
      <c r="H158" s="504" t="inlineStr">
        <is>
          <t>기존 비고정 지출 유지. 예비비 부담으로 확인한 경우에만 항목 변경</t>
        </is>
      </c>
      <c r="O158" s="498">
        <f>IF(LEFT(R158,2)="확인",R158,"")</f>
      </c>
      <c r="R158" s="504" t="str">
        <f>IF(A158="","",IF(C158="생활비","생활비",IF(AND(COUNTIF($A$8:$A$12,C158)=1,ISNUMBER(D158),E158&gt;0,COUNTIF($A$100:$A$399,A158)=1,IFERROR(IF(F158="",AND(LEFT(A158,1)="U",G158="월기록"),AND(F158&gt;=2,COUNTIF($F$100:$F$399,F158)=1,INDEX(RAW!$H:$H,MAX(2,F158))="지출",D158=INDEX(RAW!$A:$A,MAX(2,F158)),E158&lt;=INDEX(RAW!$K:$K,MAX(2,F158)),OR(AND(G158="기존반영",OR(A158="U003",A158="U007")),AND(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AND(OR(A158&lt;&gt;"U003",F158=356),OR(A158&lt;&gt;"U007",F158=2203),OR(G158&lt;&gt;"기존반영",A158="U003",A158="U007")))),FALSE)),"OK","확인: 사용등록")))</f>
        <v>생활비</v>
      </c>
      <c r="S158" s="504">
        <f>IF(ISNUMBER(D158),DATE(YEAR(D158),MONTH(D158),1),0)</f>
        <v>46235.0</v>
      </c>
      <c r="T158" s="526">
        <f>IF(R158="OK",SUMIFS($O$430:$O$729,$B$430:$B$729,A158,$E$430:$E$729,"&lt;"&amp;EDATE($B$3,1)),0)</f>
        <v>0</v>
      </c>
      <c r="U158" s="526">
        <f>IF(AND(R158="OK",D158&lt;EDATE($B$3,1),$B$3&gt;=DATE(2026,3,1)),MAX(0,E158-T158),0)</f>
        <v>0</v>
      </c>
      <c r="V158" s="526">
        <f>IFERROR(IF(AND(R158="OK",AND(F158&gt;=2,G158&lt;&gt;"기존반영",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E158,0),0)</f>
        <v>0</v>
      </c>
      <c r="W158" s="526">
        <f>IF(V158&gt;0,ROUNDUP(INDEX(RAW!$K:$K,MAX(2,F158))/1000,0)*1000-ROUNDUP((INDEX(RAW!$K:$K,MAX(2,F158))-V158)/1000,0)*1000,0)</f>
        <v>0</v>
      </c>
      <c r="X158" s="504">
        <f>IF(AND(R158="OK",IF($B$43="전체",D158&lt;EDATE($B$3,1),IF($B$43="미정산",U158&gt;0,OR(S158=$B$3,Z158&gt;0,U158&gt;0)))),1,0)</f>
        <v>0</v>
      </c>
      <c r="Y158" s="504">
        <f>IF(X158=1,COUNTIF($X$100:X158,1),0)</f>
        <v>0</v>
      </c>
      <c r="Z158" s="526">
        <f>IF(R158="OK",SUMIFS($O$430:$O$729,$B$430:$B$729,A158,$E$430:$E$729,"&gt;="&amp;$B$3,$E$430:$E$729,"&lt;"&amp;EDATE($B$3,1)),0)</f>
        <v>0</v>
      </c>
    </row>
    <row r="159" hidden="1" outlineLevel="1">
      <c r="A159" s="504" t="str">
        <f>IF(F159="","","R"&amp;F159)</f>
        <v>R2112</v>
      </c>
      <c r="B159" s="504" t="str">
        <f>IFERROR(INDEX(RAW!$F:$F,MAX(2,F159)),"")</f>
        <v>GS25</v>
      </c>
      <c r="C159" s="522" t="inlineStr">
        <is>
          <t>생활비</t>
        </is>
      </c>
      <c r="D159" s="524">
        <f>IFERROR(INDEX(RAW!$A:$A,MAX(2,F159)),"")</f>
        <v>46269.68402777778</v>
      </c>
      <c r="E159" s="525">
        <f>IFERROR(INDEX(RAW!$K:$K,MAX(2,F159)),"")</f>
        <v>50900</v>
      </c>
      <c r="F159" s="522" t="n">
        <v>2112</v>
      </c>
      <c r="G159" s="504" t="inlineStr">
        <is>
          <t>신규</t>
        </is>
      </c>
      <c r="H159" s="504" t="inlineStr">
        <is>
          <t>기존 비고정 지출 유지. 예비비 부담으로 확인한 경우에만 항목 변경</t>
        </is>
      </c>
      <c r="O159" s="498">
        <f>IF(LEFT(R159,2)="확인",R159,"")</f>
      </c>
      <c r="R159" s="504" t="str">
        <f>IF(A159="","",IF(C159="생활비","생활비",IF(AND(COUNTIF($A$8:$A$12,C159)=1,ISNUMBER(D159),E159&gt;0,COUNTIF($A$100:$A$399,A159)=1,IFERROR(IF(F159="",AND(LEFT(A159,1)="U",G159="월기록"),AND(F159&gt;=2,COUNTIF($F$100:$F$399,F159)=1,INDEX(RAW!$H:$H,MAX(2,F159))="지출",D159=INDEX(RAW!$A:$A,MAX(2,F159)),E159&lt;=INDEX(RAW!$K:$K,MAX(2,F159)),OR(AND(G159="기존반영",OR(A159="U003",A159="U007")),AND(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AND(OR(A159&lt;&gt;"U003",F159=356),OR(A159&lt;&gt;"U007",F159=2203),OR(G159&lt;&gt;"기존반영",A159="U003",A159="U007")))),FALSE)),"OK","확인: 사용등록")))</f>
        <v>생활비</v>
      </c>
      <c r="S159" s="504">
        <f>IF(ISNUMBER(D159),DATE(YEAR(D159),MONTH(D159),1),0)</f>
        <v>46266.0</v>
      </c>
      <c r="T159" s="526">
        <f>IF(R159="OK",SUMIFS($O$430:$O$729,$B$430:$B$729,A159,$E$430:$E$729,"&lt;"&amp;EDATE($B$3,1)),0)</f>
        <v>0</v>
      </c>
      <c r="U159" s="526">
        <f>IF(AND(R159="OK",D159&lt;EDATE($B$3,1),$B$3&gt;=DATE(2026,3,1)),MAX(0,E159-T159),0)</f>
        <v>0</v>
      </c>
      <c r="V159" s="526">
        <f>IFERROR(IF(AND(R159="OK",AND(F159&gt;=2,G159&lt;&gt;"기존반영",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E159,0),0)</f>
        <v>0</v>
      </c>
      <c r="W159" s="526">
        <f>IF(V159&gt;0,ROUNDUP(INDEX(RAW!$K:$K,MAX(2,F159))/1000,0)*1000-ROUNDUP((INDEX(RAW!$K:$K,MAX(2,F159))-V159)/1000,0)*1000,0)</f>
        <v>0</v>
      </c>
      <c r="X159" s="504">
        <f>IF(AND(R159="OK",IF($B$43="전체",D159&lt;EDATE($B$3,1),IF($B$43="미정산",U159&gt;0,OR(S159=$B$3,Z159&gt;0,U159&gt;0)))),1,0)</f>
        <v>0</v>
      </c>
      <c r="Y159" s="504">
        <f>IF(X159=1,COUNTIF($X$100:X159,1),0)</f>
        <v>0</v>
      </c>
      <c r="Z159" s="526">
        <f>IF(R159="OK",SUMIFS($O$430:$O$729,$B$430:$B$729,A159,$E$430:$E$729,"&gt;="&amp;$B$3,$E$430:$E$729,"&lt;"&amp;EDATE($B$3,1)),0)</f>
        <v>0</v>
      </c>
    </row>
    <row r="160" hidden="1" outlineLevel="1">
      <c r="A160" s="504" t="str">
        <f>IF(F160="","","R"&amp;F160)</f>
        <v>R2128</v>
      </c>
      <c r="B160" s="504" t="str">
        <f>IFERROR(INDEX(RAW!$F:$F,MAX(2,F160)),"")</f>
        <v>KFC</v>
      </c>
      <c r="C160" s="522" t="inlineStr">
        <is>
          <t>생활비</t>
        </is>
      </c>
      <c r="D160" s="524">
        <f>IFERROR(INDEX(RAW!$A:$A,MAX(2,F160)),"")</f>
        <v>46270.88917824074</v>
      </c>
      <c r="E160" s="525">
        <f>IFERROR(INDEX(RAW!$K:$K,MAX(2,F160)),"")</f>
        <v>7800</v>
      </c>
      <c r="F160" s="522" t="n">
        <v>2128</v>
      </c>
      <c r="G160" s="504" t="inlineStr">
        <is>
          <t>신규</t>
        </is>
      </c>
      <c r="H160" s="504" t="inlineStr">
        <is>
          <t>기존 비고정 지출 유지. 예비비 부담으로 확인한 경우에만 항목 변경</t>
        </is>
      </c>
      <c r="O160" s="498">
        <f>IF(LEFT(R160,2)="확인",R160,"")</f>
      </c>
      <c r="R160" s="504" t="str">
        <f>IF(A160="","",IF(C160="생활비","생활비",IF(AND(COUNTIF($A$8:$A$12,C160)=1,ISNUMBER(D160),E160&gt;0,COUNTIF($A$100:$A$399,A160)=1,IFERROR(IF(F160="",AND(LEFT(A160,1)="U",G160="월기록"),AND(F160&gt;=2,COUNTIF($F$100:$F$399,F160)=1,INDEX(RAW!$H:$H,MAX(2,F160))="지출",D160=INDEX(RAW!$A:$A,MAX(2,F160)),E160&lt;=INDEX(RAW!$K:$K,MAX(2,F160)),OR(AND(G160="기존반영",OR(A160="U003",A160="U007")),AND(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AND(OR(A160&lt;&gt;"U003",F160=356),OR(A160&lt;&gt;"U007",F160=2203),OR(G160&lt;&gt;"기존반영",A160="U003",A160="U007")))),FALSE)),"OK","확인: 사용등록")))</f>
        <v>생활비</v>
      </c>
      <c r="S160" s="504">
        <f>IF(ISNUMBER(D160),DATE(YEAR(D160),MONTH(D160),1),0)</f>
        <v>46266.0</v>
      </c>
      <c r="T160" s="526">
        <f>IF(R160="OK",SUMIFS($O$430:$O$729,$B$430:$B$729,A160,$E$430:$E$729,"&lt;"&amp;EDATE($B$3,1)),0)</f>
        <v>0</v>
      </c>
      <c r="U160" s="526">
        <f>IF(AND(R160="OK",D160&lt;EDATE($B$3,1),$B$3&gt;=DATE(2026,3,1)),MAX(0,E160-T160),0)</f>
        <v>0</v>
      </c>
      <c r="V160" s="526">
        <f>IFERROR(IF(AND(R160="OK",AND(F160&gt;=2,G160&lt;&gt;"기존반영",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E160,0),0)</f>
        <v>0</v>
      </c>
      <c r="W160" s="526">
        <f>IF(V160&gt;0,ROUNDUP(INDEX(RAW!$K:$K,MAX(2,F160))/1000,0)*1000-ROUNDUP((INDEX(RAW!$K:$K,MAX(2,F160))-V160)/1000,0)*1000,0)</f>
        <v>0</v>
      </c>
      <c r="X160" s="504">
        <f>IF(AND(R160="OK",IF($B$43="전체",D160&lt;EDATE($B$3,1),IF($B$43="미정산",U160&gt;0,OR(S160=$B$3,Z160&gt;0,U160&gt;0)))),1,0)</f>
        <v>0</v>
      </c>
      <c r="Y160" s="504">
        <f>IF(X160=1,COUNTIF($X$100:X160,1),0)</f>
        <v>0</v>
      </c>
      <c r="Z160" s="526">
        <f>IF(R160="OK",SUMIFS($O$430:$O$729,$B$430:$B$729,A160,$E$430:$E$729,"&gt;="&amp;$B$3,$E$430:$E$729,"&lt;"&amp;EDATE($B$3,1)),0)</f>
        <v>0</v>
      </c>
    </row>
    <row r="161" hidden="1" outlineLevel="1">
      <c r="A161" s="504" t="str">
        <f>IF(F161="","","R"&amp;F161)</f>
        <v>R2138</v>
      </c>
      <c r="B161" s="504" t="str">
        <f>IFERROR(INDEX(RAW!$F:$F,MAX(2,F161)),"")</f>
        <v>CU</v>
      </c>
      <c r="C161" s="522" t="inlineStr">
        <is>
          <t>생활비</t>
        </is>
      </c>
      <c r="D161" s="524">
        <f>IFERROR(INDEX(RAW!$A:$A,MAX(2,F161)),"")</f>
        <v>46272.69863074074</v>
      </c>
      <c r="E161" s="525">
        <f>IFERROR(INDEX(RAW!$K:$K,MAX(2,F161)),"")</f>
        <v>2300</v>
      </c>
      <c r="F161" s="522" t="n">
        <v>2138</v>
      </c>
      <c r="G161" s="504" t="inlineStr">
        <is>
          <t>신규</t>
        </is>
      </c>
      <c r="H161" s="504" t="inlineStr">
        <is>
          <t>기존 비고정 지출 유지. 예비비 부담으로 확인한 경우에만 항목 변경</t>
        </is>
      </c>
      <c r="O161" s="498">
        <f>IF(LEFT(R161,2)="확인",R161,"")</f>
      </c>
      <c r="R161" s="504" t="str">
        <f>IF(A161="","",IF(C161="생활비","생활비",IF(AND(COUNTIF($A$8:$A$12,C161)=1,ISNUMBER(D161),E161&gt;0,COUNTIF($A$100:$A$399,A161)=1,IFERROR(IF(F161="",AND(LEFT(A161,1)="U",G161="월기록"),AND(F161&gt;=2,COUNTIF($F$100:$F$399,F161)=1,INDEX(RAW!$H:$H,MAX(2,F161))="지출",D161=INDEX(RAW!$A:$A,MAX(2,F161)),E161&lt;=INDEX(RAW!$K:$K,MAX(2,F161)),OR(AND(G161="기존반영",OR(A161="U003",A161="U007")),AND(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AND(OR(A161&lt;&gt;"U003",F161=356),OR(A161&lt;&gt;"U007",F161=2203),OR(G161&lt;&gt;"기존반영",A161="U003",A161="U007")))),FALSE)),"OK","확인: 사용등록")))</f>
        <v>생활비</v>
      </c>
      <c r="S161" s="504">
        <f>IF(ISNUMBER(D161),DATE(YEAR(D161),MONTH(D161),1),0)</f>
        <v>46266.0</v>
      </c>
      <c r="T161" s="526">
        <f>IF(R161="OK",SUMIFS($O$430:$O$729,$B$430:$B$729,A161,$E$430:$E$729,"&lt;"&amp;EDATE($B$3,1)),0)</f>
        <v>0</v>
      </c>
      <c r="U161" s="526">
        <f>IF(AND(R161="OK",D161&lt;EDATE($B$3,1),$B$3&gt;=DATE(2026,3,1)),MAX(0,E161-T161),0)</f>
        <v>0</v>
      </c>
      <c r="V161" s="526">
        <f>IFERROR(IF(AND(R161="OK",AND(F161&gt;=2,G161&lt;&gt;"기존반영",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E161,0),0)</f>
        <v>0</v>
      </c>
      <c r="W161" s="526">
        <f>IF(V161&gt;0,ROUNDUP(INDEX(RAW!$K:$K,MAX(2,F161))/1000,0)*1000-ROUNDUP((INDEX(RAW!$K:$K,MAX(2,F161))-V161)/1000,0)*1000,0)</f>
        <v>0</v>
      </c>
      <c r="X161" s="504">
        <f>IF(AND(R161="OK",IF($B$43="전체",D161&lt;EDATE($B$3,1),IF($B$43="미정산",U161&gt;0,OR(S161=$B$3,Z161&gt;0,U161&gt;0)))),1,0)</f>
        <v>0</v>
      </c>
      <c r="Y161" s="504">
        <f>IF(X161=1,COUNTIF($X$100:X161,1),0)</f>
        <v>0</v>
      </c>
      <c r="Z161" s="526">
        <f>IF(R161="OK",SUMIFS($O$430:$O$729,$B$430:$B$729,A161,$E$430:$E$729,"&gt;="&amp;$B$3,$E$430:$E$729,"&lt;"&amp;EDATE($B$3,1)),0)</f>
        <v>0</v>
      </c>
    </row>
    <row r="162" hidden="1" outlineLevel="1">
      <c r="A162" s="504" t="str">
        <f>IF(F162="","","R"&amp;F162)</f>
        <v>R2140</v>
      </c>
      <c r="B162" s="504" t="str">
        <f>IFERROR(INDEX(RAW!$F:$F,MAX(2,F162)),"")</f>
        <v>알리익스프레스</v>
      </c>
      <c r="C162" s="522" t="inlineStr">
        <is>
          <t>생활비</t>
        </is>
      </c>
      <c r="D162" s="524">
        <f>IFERROR(INDEX(RAW!$A:$A,MAX(2,F162)),"")</f>
        <v>46272.70276620371</v>
      </c>
      <c r="E162" s="525">
        <f>IFERROR(INDEX(RAW!$K:$K,MAX(2,F162)),"")</f>
        <v>5070</v>
      </c>
      <c r="F162" s="522" t="n">
        <v>2140</v>
      </c>
      <c r="G162" s="504" t="inlineStr">
        <is>
          <t>신규</t>
        </is>
      </c>
      <c r="H162" s="504" t="inlineStr">
        <is>
          <t>기존 비고정 지출 유지. 예비비 부담으로 확인한 경우에만 항목 변경</t>
        </is>
      </c>
      <c r="O162" s="498">
        <f>IF(LEFT(R162,2)="확인",R162,"")</f>
      </c>
      <c r="R162" s="504" t="str">
        <f>IF(A162="","",IF(C162="생활비","생활비",IF(AND(COUNTIF($A$8:$A$12,C162)=1,ISNUMBER(D162),E162&gt;0,COUNTIF($A$100:$A$399,A162)=1,IFERROR(IF(F162="",AND(LEFT(A162,1)="U",G162="월기록"),AND(F162&gt;=2,COUNTIF($F$100:$F$399,F162)=1,INDEX(RAW!$H:$H,MAX(2,F162))="지출",D162=INDEX(RAW!$A:$A,MAX(2,F162)),E162&lt;=INDEX(RAW!$K:$K,MAX(2,F162)),OR(AND(G162="기존반영",OR(A162="U003",A162="U007")),AND(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AND(OR(A162&lt;&gt;"U003",F162=356),OR(A162&lt;&gt;"U007",F162=2203),OR(G162&lt;&gt;"기존반영",A162="U003",A162="U007")))),FALSE)),"OK","확인: 사용등록")))</f>
        <v>생활비</v>
      </c>
      <c r="S162" s="504">
        <f>IF(ISNUMBER(D162),DATE(YEAR(D162),MONTH(D162),1),0)</f>
        <v>46266.0</v>
      </c>
      <c r="T162" s="526">
        <f>IF(R162="OK",SUMIFS($O$430:$O$729,$B$430:$B$729,A162,$E$430:$E$729,"&lt;"&amp;EDATE($B$3,1)),0)</f>
        <v>0</v>
      </c>
      <c r="U162" s="526">
        <f>IF(AND(R162="OK",D162&lt;EDATE($B$3,1),$B$3&gt;=DATE(2026,3,1)),MAX(0,E162-T162),0)</f>
        <v>0</v>
      </c>
      <c r="V162" s="526">
        <f>IFERROR(IF(AND(R162="OK",AND(F162&gt;=2,G162&lt;&gt;"기존반영",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E162,0),0)</f>
        <v>0</v>
      </c>
      <c r="W162" s="526">
        <f>IF(V162&gt;0,ROUNDUP(INDEX(RAW!$K:$K,MAX(2,F162))/1000,0)*1000-ROUNDUP((INDEX(RAW!$K:$K,MAX(2,F162))-V162)/1000,0)*1000,0)</f>
        <v>0</v>
      </c>
      <c r="X162" s="504">
        <f>IF(AND(R162="OK",IF($B$43="전체",D162&lt;EDATE($B$3,1),IF($B$43="미정산",U162&gt;0,OR(S162=$B$3,Z162&gt;0,U162&gt;0)))),1,0)</f>
        <v>0</v>
      </c>
      <c r="Y162" s="504">
        <f>IF(X162=1,COUNTIF($X$100:X162,1),0)</f>
        <v>0</v>
      </c>
      <c r="Z162" s="526">
        <f>IF(R162="OK",SUMIFS($O$430:$O$729,$B$430:$B$729,A162,$E$430:$E$729,"&gt;="&amp;$B$3,$E$430:$E$729,"&lt;"&amp;EDATE($B$3,1)),0)</f>
        <v>0</v>
      </c>
    </row>
    <row r="163" hidden="1" outlineLevel="1">
      <c r="A163" s="504" t="str">
        <f>IF(F163="","","R"&amp;F163)</f>
        <v>R2220</v>
      </c>
      <c r="B163" s="504" t="str">
        <f>IFERROR(INDEX(RAW!$F:$F,MAX(2,F163)),"")</f>
        <v>카카오 선물하기</v>
      </c>
      <c r="C163" s="522" t="inlineStr">
        <is>
          <t>생활비</t>
        </is>
      </c>
      <c r="D163" s="524">
        <f>IFERROR(INDEX(RAW!$A:$A,MAX(2,F163)),"")</f>
        <v>46283.653475879626</v>
      </c>
      <c r="E163" s="525">
        <f>IFERROR(INDEX(RAW!$K:$K,MAX(2,F163)),"")</f>
        <v>26000</v>
      </c>
      <c r="F163" s="522" t="n">
        <v>2220</v>
      </c>
      <c r="G163" s="504" t="inlineStr">
        <is>
          <t>신규</t>
        </is>
      </c>
      <c r="H163" s="504" t="inlineStr">
        <is>
          <t>기존 비고정 지출 유지. 예비비 부담으로 확인한 경우에만 항목 변경</t>
        </is>
      </c>
      <c r="O163" s="498">
        <f>IF(LEFT(R163,2)="확인",R163,"")</f>
      </c>
      <c r="R163" s="504" t="str">
        <f>IF(A163="","",IF(C163="생활비","생활비",IF(AND(COUNTIF($A$8:$A$12,C163)=1,ISNUMBER(D163),E163&gt;0,COUNTIF($A$100:$A$399,A163)=1,IFERROR(IF(F163="",AND(LEFT(A163,1)="U",G163="월기록"),AND(F163&gt;=2,COUNTIF($F$100:$F$399,F163)=1,INDEX(RAW!$H:$H,MAX(2,F163))="지출",D163=INDEX(RAW!$A:$A,MAX(2,F163)),E163&lt;=INDEX(RAW!$K:$K,MAX(2,F163)),OR(AND(G163="기존반영",OR(A163="U003",A163="U007")),AND(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AND(OR(A163&lt;&gt;"U003",F163=356),OR(A163&lt;&gt;"U007",F163=2203),OR(G163&lt;&gt;"기존반영",A163="U003",A163="U007")))),FALSE)),"OK","확인: 사용등록")))</f>
        <v>생활비</v>
      </c>
      <c r="S163" s="504">
        <f>IF(ISNUMBER(D163),DATE(YEAR(D163),MONTH(D163),1),0)</f>
        <v>46266.0</v>
      </c>
      <c r="T163" s="526">
        <f>IF(R163="OK",SUMIFS($O$430:$O$729,$B$430:$B$729,A163,$E$430:$E$729,"&lt;"&amp;EDATE($B$3,1)),0)</f>
        <v>0</v>
      </c>
      <c r="U163" s="526">
        <f>IF(AND(R163="OK",D163&lt;EDATE($B$3,1),$B$3&gt;=DATE(2026,3,1)),MAX(0,E163-T163),0)</f>
        <v>0</v>
      </c>
      <c r="V163" s="526">
        <f>IFERROR(IF(AND(R163="OK",AND(F163&gt;=2,G163&lt;&gt;"기존반영",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E163,0),0)</f>
        <v>0</v>
      </c>
      <c r="W163" s="526">
        <f>IF(V163&gt;0,ROUNDUP(INDEX(RAW!$K:$K,MAX(2,F163))/1000,0)*1000-ROUNDUP((INDEX(RAW!$K:$K,MAX(2,F163))-V163)/1000,0)*1000,0)</f>
        <v>0</v>
      </c>
      <c r="X163" s="504">
        <f>IF(AND(R163="OK",IF($B$43="전체",D163&lt;EDATE($B$3,1),IF($B$43="미정산",U163&gt;0,OR(S163=$B$3,Z163&gt;0,U163&gt;0)))),1,0)</f>
        <v>0</v>
      </c>
      <c r="Y163" s="504">
        <f>IF(X163=1,COUNTIF($X$100:X163,1),0)</f>
        <v>0</v>
      </c>
      <c r="Z163" s="526">
        <f>IF(R163="OK",SUMIFS($O$430:$O$729,$B$430:$B$729,A163,$E$430:$E$729,"&gt;="&amp;$B$3,$E$430:$E$729,"&lt;"&amp;EDATE($B$3,1)),0)</f>
        <v>0</v>
      </c>
    </row>
    <row r="164" hidden="1" outlineLevel="1">
      <c r="A164" s="504" t="str">
        <f>IF(F164="","","R"&amp;F164)</f>
        <v>R2221</v>
      </c>
      <c r="B164" s="504" t="str">
        <f>IFERROR(INDEX(RAW!$F:$F,MAX(2,F164)),"")</f>
        <v>카카오 선물하기</v>
      </c>
      <c r="C164" s="522" t="inlineStr">
        <is>
          <t>생활비</t>
        </is>
      </c>
      <c r="D164" s="524">
        <f>IFERROR(INDEX(RAW!$A:$A,MAX(2,F164)),"")</f>
        <v>46283.65347831019</v>
      </c>
      <c r="E164" s="525">
        <f>IFERROR(INDEX(RAW!$K:$K,MAX(2,F164)),"")</f>
        <v>20000</v>
      </c>
      <c r="F164" s="522" t="n">
        <v>2221</v>
      </c>
      <c r="G164" s="504" t="inlineStr">
        <is>
          <t>신규</t>
        </is>
      </c>
      <c r="H164" s="504" t="inlineStr">
        <is>
          <t>기존 비고정 지출 유지. 예비비 부담으로 확인한 경우에만 항목 변경</t>
        </is>
      </c>
      <c r="O164" s="498">
        <f>IF(LEFT(R164,2)="확인",R164,"")</f>
      </c>
      <c r="R164" s="504" t="str">
        <f>IF(A164="","",IF(C164="생활비","생활비",IF(AND(COUNTIF($A$8:$A$12,C164)=1,ISNUMBER(D164),E164&gt;0,COUNTIF($A$100:$A$399,A164)=1,IFERROR(IF(F164="",AND(LEFT(A164,1)="U",G164="월기록"),AND(F164&gt;=2,COUNTIF($F$100:$F$399,F164)=1,INDEX(RAW!$H:$H,MAX(2,F164))="지출",D164=INDEX(RAW!$A:$A,MAX(2,F164)),E164&lt;=INDEX(RAW!$K:$K,MAX(2,F164)),OR(AND(G164="기존반영",OR(A164="U003",A164="U007")),AND(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AND(OR(A164&lt;&gt;"U003",F164=356),OR(A164&lt;&gt;"U007",F164=2203),OR(G164&lt;&gt;"기존반영",A164="U003",A164="U007")))),FALSE)),"OK","확인: 사용등록")))</f>
        <v>생활비</v>
      </c>
      <c r="S164" s="504">
        <f>IF(ISNUMBER(D164),DATE(YEAR(D164),MONTH(D164),1),0)</f>
        <v>46266.0</v>
      </c>
      <c r="T164" s="526">
        <f>IF(R164="OK",SUMIFS($O$430:$O$729,$B$430:$B$729,A164,$E$430:$E$729,"&lt;"&amp;EDATE($B$3,1)),0)</f>
        <v>0</v>
      </c>
      <c r="U164" s="526">
        <f>IF(AND(R164="OK",D164&lt;EDATE($B$3,1),$B$3&gt;=DATE(2026,3,1)),MAX(0,E164-T164),0)</f>
        <v>0</v>
      </c>
      <c r="V164" s="526">
        <f>IFERROR(IF(AND(R164="OK",AND(F164&gt;=2,G164&lt;&gt;"기존반영",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E164,0),0)</f>
        <v>0</v>
      </c>
      <c r="W164" s="526">
        <f>IF(V164&gt;0,ROUNDUP(INDEX(RAW!$K:$K,MAX(2,F164))/1000,0)*1000-ROUNDUP((INDEX(RAW!$K:$K,MAX(2,F164))-V164)/1000,0)*1000,0)</f>
        <v>0</v>
      </c>
      <c r="X164" s="504">
        <f>IF(AND(R164="OK",IF($B$43="전체",D164&lt;EDATE($B$3,1),IF($B$43="미정산",U164&gt;0,OR(S164=$B$3,Z164&gt;0,U164&gt;0)))),1,0)</f>
        <v>0</v>
      </c>
      <c r="Y164" s="504">
        <f>IF(X164=1,COUNTIF($X$100:X164,1),0)</f>
        <v>0</v>
      </c>
      <c r="Z164" s="526">
        <f>IF(R164="OK",SUMIFS($O$430:$O$729,$B$430:$B$729,A164,$E$430:$E$729,"&gt;="&amp;$B$3,$E$430:$E$729,"&lt;"&amp;EDATE($B$3,1)),0)</f>
        <v>0</v>
      </c>
    </row>
    <row r="165" hidden="1" outlineLevel="1">
      <c r="A165" s="504" t="str">
        <f>IF(F165="","","R"&amp;F165)</f>
        <v>R2251</v>
      </c>
      <c r="B165" s="504" t="str">
        <f>IFERROR(INDEX(RAW!$F:$F,MAX(2,F165)),"")</f>
        <v>파파이스</v>
      </c>
      <c r="C165" s="522" t="inlineStr">
        <is>
          <t>생활비</t>
        </is>
      </c>
      <c r="D165" s="524">
        <f>IFERROR(INDEX(RAW!$A:$A,MAX(2,F165)),"")</f>
        <v>46288.86667768518</v>
      </c>
      <c r="E165" s="525">
        <f>IFERROR(INDEX(RAW!$K:$K,MAX(2,F165)),"")</f>
        <v>16600</v>
      </c>
      <c r="F165" s="522" t="n">
        <v>2251</v>
      </c>
      <c r="G165" s="504" t="inlineStr">
        <is>
          <t>신규</t>
        </is>
      </c>
      <c r="H165" s="504" t="inlineStr">
        <is>
          <t>기존 비고정 지출 유지. 예비비 부담으로 확인한 경우에만 항목 변경</t>
        </is>
      </c>
      <c r="O165" s="498">
        <f>IF(LEFT(R165,2)="확인",R165,"")</f>
      </c>
      <c r="R165" s="504" t="str">
        <f>IF(A165="","",IF(C165="생활비","생활비",IF(AND(COUNTIF($A$8:$A$12,C165)=1,ISNUMBER(D165),E165&gt;0,COUNTIF($A$100:$A$399,A165)=1,IFERROR(IF(F165="",AND(LEFT(A165,1)="U",G165="월기록"),AND(F165&gt;=2,COUNTIF($F$100:$F$399,F165)=1,INDEX(RAW!$H:$H,MAX(2,F165))="지출",D165=INDEX(RAW!$A:$A,MAX(2,F165)),E165&lt;=INDEX(RAW!$K:$K,MAX(2,F165)),OR(AND(G165="기존반영",OR(A165="U003",A165="U007")),AND(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AND(OR(A165&lt;&gt;"U003",F165=356),OR(A165&lt;&gt;"U007",F165=2203),OR(G165&lt;&gt;"기존반영",A165="U003",A165="U007")))),FALSE)),"OK","확인: 사용등록")))</f>
        <v>생활비</v>
      </c>
      <c r="S165" s="504">
        <f>IF(ISNUMBER(D165),DATE(YEAR(D165),MONTH(D165),1),0)</f>
        <v>46266.0</v>
      </c>
      <c r="T165" s="526">
        <f>IF(R165="OK",SUMIFS($O$430:$O$729,$B$430:$B$729,A165,$E$430:$E$729,"&lt;"&amp;EDATE($B$3,1)),0)</f>
        <v>0</v>
      </c>
      <c r="U165" s="526">
        <f>IF(AND(R165="OK",D165&lt;EDATE($B$3,1),$B$3&gt;=DATE(2026,3,1)),MAX(0,E165-T165),0)</f>
        <v>0</v>
      </c>
      <c r="V165" s="526">
        <f>IFERROR(IF(AND(R165="OK",AND(F165&gt;=2,G165&lt;&gt;"기존반영",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E165,0),0)</f>
        <v>0</v>
      </c>
      <c r="W165" s="526">
        <f>IF(V165&gt;0,ROUNDUP(INDEX(RAW!$K:$K,MAX(2,F165))/1000,0)*1000-ROUNDUP((INDEX(RAW!$K:$K,MAX(2,F165))-V165)/1000,0)*1000,0)</f>
        <v>0</v>
      </c>
      <c r="X165" s="504">
        <f>IF(AND(R165="OK",IF($B$43="전체",D165&lt;EDATE($B$3,1),IF($B$43="미정산",U165&gt;0,OR(S165=$B$3,Z165&gt;0,U165&gt;0)))),1,0)</f>
        <v>0</v>
      </c>
      <c r="Y165" s="504">
        <f>IF(X165=1,COUNTIF($X$100:X165,1),0)</f>
        <v>0</v>
      </c>
      <c r="Z165" s="526">
        <f>IF(R165="OK",SUMIFS($O$430:$O$729,$B$430:$B$729,A165,$E$430:$E$729,"&gt;="&amp;$B$3,$E$430:$E$729,"&lt;"&amp;EDATE($B$3,1)),0)</f>
        <v>0</v>
      </c>
    </row>
    <row r="166" hidden="1" outlineLevel="1">
      <c r="A166" s="504" t="str">
        <f>IF(F166="","","R"&amp;F166)</f>
        <v>R2312</v>
      </c>
      <c r="B166" s="504" t="str">
        <f>IFERROR(INDEX(RAW!$F:$F,MAX(2,F166)),"")</f>
        <v>오보타르트</v>
      </c>
      <c r="C166" s="522" t="inlineStr">
        <is>
          <t>생활비</t>
        </is>
      </c>
      <c r="D166" s="524">
        <f>IFERROR(INDEX(RAW!$A:$A,MAX(2,F166)),"")</f>
        <v>46294.865981759256</v>
      </c>
      <c r="E166" s="525">
        <f>IFERROR(INDEX(RAW!$K:$K,MAX(2,F166)),"")</f>
        <v>42600</v>
      </c>
      <c r="F166" s="522" t="n">
        <v>2312</v>
      </c>
      <c r="G166" s="504" t="inlineStr">
        <is>
          <t>신규</t>
        </is>
      </c>
      <c r="H166" s="504" t="inlineStr">
        <is>
          <t>기존 비고정 지출 유지. 예비비 부담으로 확인한 경우에만 항목 변경</t>
        </is>
      </c>
      <c r="O166" s="498">
        <f>IF(LEFT(R166,2)="확인",R166,"")</f>
      </c>
      <c r="R166" s="504" t="str">
        <f>IF(A166="","",IF(C166="생활비","생활비",IF(AND(COUNTIF($A$8:$A$12,C166)=1,ISNUMBER(D166),E166&gt;0,COUNTIF($A$100:$A$399,A166)=1,IFERROR(IF(F166="",AND(LEFT(A166,1)="U",G166="월기록"),AND(F166&gt;=2,COUNTIF($F$100:$F$399,F166)=1,INDEX(RAW!$H:$H,MAX(2,F166))="지출",D166=INDEX(RAW!$A:$A,MAX(2,F166)),E166&lt;=INDEX(RAW!$K:$K,MAX(2,F166)),OR(AND(G166="기존반영",OR(A166="U003",A166="U007")),AND(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AND(OR(A166&lt;&gt;"U003",F166=356),OR(A166&lt;&gt;"U007",F166=2203),OR(G166&lt;&gt;"기존반영",A166="U003",A166="U007")))),FALSE)),"OK","확인: 사용등록")))</f>
        <v>생활비</v>
      </c>
      <c r="S166" s="504">
        <f>IF(ISNUMBER(D166),DATE(YEAR(D166),MONTH(D166),1),0)</f>
        <v>46266.0</v>
      </c>
      <c r="T166" s="526">
        <f>IF(R166="OK",SUMIFS($O$430:$O$729,$B$430:$B$729,A166,$E$430:$E$729,"&lt;"&amp;EDATE($B$3,1)),0)</f>
        <v>0</v>
      </c>
      <c r="U166" s="526">
        <f>IF(AND(R166="OK",D166&lt;EDATE($B$3,1),$B$3&gt;=DATE(2026,3,1)),MAX(0,E166-T166),0)</f>
        <v>0</v>
      </c>
      <c r="V166" s="526">
        <f>IFERROR(IF(AND(R166="OK",AND(F166&gt;=2,G166&lt;&gt;"기존반영",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E166,0),0)</f>
        <v>0</v>
      </c>
      <c r="W166" s="526">
        <f>IF(V166&gt;0,ROUNDUP(INDEX(RAW!$K:$K,MAX(2,F166))/1000,0)*1000-ROUNDUP((INDEX(RAW!$K:$K,MAX(2,F166))-V166)/1000,0)*1000,0)</f>
        <v>0</v>
      </c>
      <c r="X166" s="504">
        <f>IF(AND(R166="OK",IF($B$43="전체",D166&lt;EDATE($B$3,1),IF($B$43="미정산",U166&gt;0,OR(S166=$B$3,Z166&gt;0,U166&gt;0)))),1,0)</f>
        <v>0</v>
      </c>
      <c r="Y166" s="504">
        <f>IF(X166=1,COUNTIF($X$100:X166,1),0)</f>
        <v>0</v>
      </c>
      <c r="Z166" s="526">
        <f>IF(R166="OK",SUMIFS($O$430:$O$729,$B$430:$B$729,A166,$E$430:$E$729,"&gt;="&amp;$B$3,$E$430:$E$729,"&lt;"&amp;EDATE($B$3,1)),0)</f>
        <v>0</v>
      </c>
    </row>
    <row r="167" hidden="1" outlineLevel="1">
      <c r="A167" s="504" t="str">
        <f>IF(F167="","","R"&amp;F167)</f>
        <v>R2317</v>
      </c>
      <c r="B167" s="504" t="str">
        <f>IFERROR(INDEX(RAW!$F:$F,MAX(2,F167)),"")</f>
        <v>쿠팡</v>
      </c>
      <c r="C167" s="522" t="inlineStr">
        <is>
          <t>생활비</t>
        </is>
      </c>
      <c r="D167" s="524">
        <f>IFERROR(INDEX(RAW!$A:$A,MAX(2,F167)),"")</f>
        <v>46294.86806277778</v>
      </c>
      <c r="E167" s="525">
        <f>IFERROR(INDEX(RAW!$K:$K,MAX(2,F167)),"")</f>
        <v>7500</v>
      </c>
      <c r="F167" s="522" t="n">
        <v>2317</v>
      </c>
      <c r="G167" s="504" t="inlineStr">
        <is>
          <t>신규</t>
        </is>
      </c>
      <c r="H167" s="504" t="inlineStr">
        <is>
          <t>기존 비고정 지출 유지. 예비비 부담으로 확인한 경우에만 항목 변경</t>
        </is>
      </c>
      <c r="O167" s="498">
        <f>IF(LEFT(R167,2)="확인",R167,"")</f>
      </c>
      <c r="R167" s="504" t="str">
        <f>IF(A167="","",IF(C167="생활비","생활비",IF(AND(COUNTIF($A$8:$A$12,C167)=1,ISNUMBER(D167),E167&gt;0,COUNTIF($A$100:$A$399,A167)=1,IFERROR(IF(F167="",AND(LEFT(A167,1)="U",G167="월기록"),AND(F167&gt;=2,COUNTIF($F$100:$F$399,F167)=1,INDEX(RAW!$H:$H,MAX(2,F167))="지출",D167=INDEX(RAW!$A:$A,MAX(2,F167)),E167&lt;=INDEX(RAW!$K:$K,MAX(2,F167)),OR(AND(G167="기존반영",OR(A167="U003",A167="U007")),AND(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AND(OR(A167&lt;&gt;"U003",F167=356),OR(A167&lt;&gt;"U007",F167=2203),OR(G167&lt;&gt;"기존반영",A167="U003",A167="U007")))),FALSE)),"OK","확인: 사용등록")))</f>
        <v>생활비</v>
      </c>
      <c r="S167" s="504">
        <f>IF(ISNUMBER(D167),DATE(YEAR(D167),MONTH(D167),1),0)</f>
        <v>46266.0</v>
      </c>
      <c r="T167" s="526">
        <f>IF(R167="OK",SUMIFS($O$430:$O$729,$B$430:$B$729,A167,$E$430:$E$729,"&lt;"&amp;EDATE($B$3,1)),0)</f>
        <v>0</v>
      </c>
      <c r="U167" s="526">
        <f>IF(AND(R167="OK",D167&lt;EDATE($B$3,1),$B$3&gt;=DATE(2026,3,1)),MAX(0,E167-T167),0)</f>
        <v>0</v>
      </c>
      <c r="V167" s="526">
        <f>IFERROR(IF(AND(R167="OK",AND(F167&gt;=2,G167&lt;&gt;"기존반영",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E167,0),0)</f>
        <v>0</v>
      </c>
      <c r="W167" s="526">
        <f>IF(V167&gt;0,ROUNDUP(INDEX(RAW!$K:$K,MAX(2,F167))/1000,0)*1000-ROUNDUP((INDEX(RAW!$K:$K,MAX(2,F167))-V167)/1000,0)*1000,0)</f>
        <v>0</v>
      </c>
      <c r="X167" s="504">
        <f>IF(AND(R167="OK",IF($B$43="전체",D167&lt;EDATE($B$3,1),IF($B$43="미정산",U167&gt;0,OR(S167=$B$3,Z167&gt;0,U167&gt;0)))),1,0)</f>
        <v>0</v>
      </c>
      <c r="Y167" s="504">
        <f>IF(X167=1,COUNTIF($X$100:X167,1),0)</f>
        <v>0</v>
      </c>
      <c r="Z167" s="526">
        <f>IF(R167="OK",SUMIFS($O$430:$O$729,$B$430:$B$729,A167,$E$430:$E$729,"&gt;="&amp;$B$3,$E$430:$E$729,"&lt;"&amp;EDATE($B$3,1)),0)</f>
        <v>0</v>
      </c>
    </row>
    <row r="168" hidden="1" outlineLevel="1">
      <c r="A168" s="504" t="str">
        <f>IF(F168="","","R"&amp;F168)</f>
        <v>R2318</v>
      </c>
      <c r="B168" s="504" t="str">
        <f>IFERROR(INDEX(RAW!$F:$F,MAX(2,F168)),"")</f>
        <v>GOSTY</v>
      </c>
      <c r="C168" s="522" t="inlineStr">
        <is>
          <t>생활비</t>
        </is>
      </c>
      <c r="D168" s="524">
        <f>IFERROR(INDEX(RAW!$A:$A,MAX(2,F168)),"")</f>
        <v>46294.86875900463</v>
      </c>
      <c r="E168" s="525">
        <f>IFERROR(INDEX(RAW!$K:$K,MAX(2,F168)),"")</f>
        <v>22800</v>
      </c>
      <c r="F168" s="522" t="n">
        <v>2318</v>
      </c>
      <c r="G168" s="504" t="inlineStr">
        <is>
          <t>신규</t>
        </is>
      </c>
      <c r="H168" s="504" t="inlineStr">
        <is>
          <t>기존 비고정 지출 유지. 예비비 부담으로 확인한 경우에만 항목 변경</t>
        </is>
      </c>
      <c r="O168" s="498">
        <f>IF(LEFT(R168,2)="확인",R168,"")</f>
      </c>
      <c r="R168" s="504" t="str">
        <f>IF(A168="","",IF(C168="생활비","생활비",IF(AND(COUNTIF($A$8:$A$12,C168)=1,ISNUMBER(D168),E168&gt;0,COUNTIF($A$100:$A$399,A168)=1,IFERROR(IF(F168="",AND(LEFT(A168,1)="U",G168="월기록"),AND(F168&gt;=2,COUNTIF($F$100:$F$399,F168)=1,INDEX(RAW!$H:$H,MAX(2,F168))="지출",D168=INDEX(RAW!$A:$A,MAX(2,F168)),E168&lt;=INDEX(RAW!$K:$K,MAX(2,F168)),OR(AND(G168="기존반영",OR(A168="U003",A168="U007")),AND(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AND(OR(A168&lt;&gt;"U003",F168=356),OR(A168&lt;&gt;"U007",F168=2203),OR(G168&lt;&gt;"기존반영",A168="U003",A168="U007")))),FALSE)),"OK","확인: 사용등록")))</f>
        <v>생활비</v>
      </c>
      <c r="S168" s="504">
        <f>IF(ISNUMBER(D168),DATE(YEAR(D168),MONTH(D168),1),0)</f>
        <v>46266.0</v>
      </c>
      <c r="T168" s="526">
        <f>IF(R168="OK",SUMIFS($O$430:$O$729,$B$430:$B$729,A168,$E$430:$E$729,"&lt;"&amp;EDATE($B$3,1)),0)</f>
        <v>0</v>
      </c>
      <c r="U168" s="526">
        <f>IF(AND(R168="OK",D168&lt;EDATE($B$3,1),$B$3&gt;=DATE(2026,3,1)),MAX(0,E168-T168),0)</f>
        <v>0</v>
      </c>
      <c r="V168" s="526">
        <f>IFERROR(IF(AND(R168="OK",AND(F168&gt;=2,G168&lt;&gt;"기존반영",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E168,0),0)</f>
        <v>0</v>
      </c>
      <c r="W168" s="526">
        <f>IF(V168&gt;0,ROUNDUP(INDEX(RAW!$K:$K,MAX(2,F168))/1000,0)*1000-ROUNDUP((INDEX(RAW!$K:$K,MAX(2,F168))-V168)/1000,0)*1000,0)</f>
        <v>0</v>
      </c>
      <c r="X168" s="504">
        <f>IF(AND(R168="OK",IF($B$43="전체",D168&lt;EDATE($B$3,1),IF($B$43="미정산",U168&gt;0,OR(S168=$B$3,Z168&gt;0,U168&gt;0)))),1,0)</f>
        <v>0</v>
      </c>
      <c r="Y168" s="504">
        <f>IF(X168=1,COUNTIF($X$100:X168,1),0)</f>
        <v>0</v>
      </c>
      <c r="Z168" s="526">
        <f>IF(R168="OK",SUMIFS($O$430:$O$729,$B$430:$B$729,A168,$E$430:$E$729,"&gt;="&amp;$B$3,$E$430:$E$729,"&lt;"&amp;EDATE($B$3,1)),0)</f>
        <v>0</v>
      </c>
    </row>
    <row r="169" hidden="1" outlineLevel="1">
      <c r="A169" s="504" t="str">
        <f>IF(F169="","","R"&amp;F169)</f>
        <v>R2354</v>
      </c>
      <c r="B169" s="504" t="str">
        <f>IFERROR(INDEX(RAW!$F:$F,MAX(2,F169)),"")</f>
        <v>연신내로데오약국</v>
      </c>
      <c r="C169" s="522" t="inlineStr">
        <is>
          <t>생활비</t>
        </is>
      </c>
      <c r="D169" s="524">
        <f>IFERROR(INDEX(RAW!$A:$A,MAX(2,F169)),"")</f>
        <v>46299.62639081018</v>
      </c>
      <c r="E169" s="525">
        <f>IFERROR(INDEX(RAW!$K:$K,MAX(2,F169)),"")</f>
        <v>6000</v>
      </c>
      <c r="F169" s="522" t="n">
        <v>2354</v>
      </c>
      <c r="G169" s="504" t="inlineStr">
        <is>
          <t>신규</t>
        </is>
      </c>
      <c r="H169" s="504" t="inlineStr">
        <is>
          <t>기존 비고정 지출 유지. 예비비 부담으로 확인한 경우에만 항목 변경</t>
        </is>
      </c>
      <c r="O169" s="498">
        <f>IF(LEFT(R169,2)="확인",R169,"")</f>
      </c>
      <c r="R169" s="504" t="str">
        <f>IF(A169="","",IF(C169="생활비","생활비",IF(AND(COUNTIF($A$8:$A$12,C169)=1,ISNUMBER(D169),E169&gt;0,COUNTIF($A$100:$A$399,A169)=1,IFERROR(IF(F169="",AND(LEFT(A169,1)="U",G169="월기록"),AND(F169&gt;=2,COUNTIF($F$100:$F$399,F169)=1,INDEX(RAW!$H:$H,MAX(2,F169))="지출",D169=INDEX(RAW!$A:$A,MAX(2,F169)),E169&lt;=INDEX(RAW!$K:$K,MAX(2,F169)),OR(AND(G169="기존반영",OR(A169="U003",A169="U007")),AND(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AND(OR(A169&lt;&gt;"U003",F169=356),OR(A169&lt;&gt;"U007",F169=2203),OR(G169&lt;&gt;"기존반영",A169="U003",A169="U007")))),FALSE)),"OK","확인: 사용등록")))</f>
        <v>생활비</v>
      </c>
      <c r="S169" s="504">
        <f>IF(ISNUMBER(D169),DATE(YEAR(D169),MONTH(D169),1),0)</f>
        <v>46296.0</v>
      </c>
      <c r="T169" s="526">
        <f>IF(R169="OK",SUMIFS($O$430:$O$729,$B$430:$B$729,A169,$E$430:$E$729,"&lt;"&amp;EDATE($B$3,1)),0)</f>
        <v>0</v>
      </c>
      <c r="U169" s="526">
        <f>IF(AND(R169="OK",D169&lt;EDATE($B$3,1),$B$3&gt;=DATE(2026,3,1)),MAX(0,E169-T169),0)</f>
        <v>0</v>
      </c>
      <c r="V169" s="526">
        <f>IFERROR(IF(AND(R169="OK",AND(F169&gt;=2,G169&lt;&gt;"기존반영",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E169,0),0)</f>
        <v>0</v>
      </c>
      <c r="W169" s="526">
        <f>IF(V169&gt;0,ROUNDUP(INDEX(RAW!$K:$K,MAX(2,F169))/1000,0)*1000-ROUNDUP((INDEX(RAW!$K:$K,MAX(2,F169))-V169)/1000,0)*1000,0)</f>
        <v>0</v>
      </c>
      <c r="X169" s="504">
        <f>IF(AND(R169="OK",IF($B$43="전체",D169&lt;EDATE($B$3,1),IF($B$43="미정산",U169&gt;0,OR(S169=$B$3,Z169&gt;0,U169&gt;0)))),1,0)</f>
        <v>0</v>
      </c>
      <c r="Y169" s="504">
        <f>IF(X169=1,COUNTIF($X$100:X169,1),0)</f>
        <v>0</v>
      </c>
      <c r="Z169" s="526">
        <f>IF(R169="OK",SUMIFS($O$430:$O$729,$B$430:$B$729,A169,$E$430:$E$729,"&gt;="&amp;$B$3,$E$430:$E$729,"&lt;"&amp;EDATE($B$3,1)),0)</f>
        <v>0</v>
      </c>
    </row>
    <row r="170" hidden="1" outlineLevel="1">
      <c r="A170" s="504" t="str">
        <f>IF(F170="","","R"&amp;F170)</f>
        <v>R2367</v>
      </c>
      <c r="B170" s="504" t="str">
        <f>IFERROR(INDEX(RAW!$F:$F,MAX(2,F170)),"")</f>
        <v>네이버플러스 스토어</v>
      </c>
      <c r="C170" s="522" t="inlineStr">
        <is>
          <t>생활비</t>
        </is>
      </c>
      <c r="D170" s="524">
        <f>IFERROR(INDEX(RAW!$A:$A,MAX(2,F170)),"")</f>
        <v>46300.63820395833</v>
      </c>
      <c r="E170" s="525">
        <f>IFERROR(INDEX(RAW!$K:$K,MAX(2,F170)),"")</f>
        <v>71130</v>
      </c>
      <c r="F170" s="522" t="n">
        <v>2367</v>
      </c>
      <c r="G170" s="504" t="inlineStr">
        <is>
          <t>신규</t>
        </is>
      </c>
      <c r="H170" s="504" t="inlineStr">
        <is>
          <t>기존 비고정 지출 유지. 예비비 부담으로 확인한 경우에만 항목 변경</t>
        </is>
      </c>
      <c r="O170" s="498">
        <f>IF(LEFT(R170,2)="확인",R170,"")</f>
      </c>
      <c r="R170" s="504" t="str">
        <f>IF(A170="","",IF(C170="생활비","생활비",IF(AND(COUNTIF($A$8:$A$12,C170)=1,ISNUMBER(D170),E170&gt;0,COUNTIF($A$100:$A$399,A170)=1,IFERROR(IF(F170="",AND(LEFT(A170,1)="U",G170="월기록"),AND(F170&gt;=2,COUNTIF($F$100:$F$399,F170)=1,INDEX(RAW!$H:$H,MAX(2,F170))="지출",D170=INDEX(RAW!$A:$A,MAX(2,F170)),E170&lt;=INDEX(RAW!$K:$K,MAX(2,F170)),OR(AND(G170="기존반영",OR(A170="U003",A170="U007")),AND(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AND(OR(A170&lt;&gt;"U003",F170=356),OR(A170&lt;&gt;"U007",F170=2203),OR(G170&lt;&gt;"기존반영",A170="U003",A170="U007")))),FALSE)),"OK","확인: 사용등록")))</f>
        <v>생활비</v>
      </c>
      <c r="S170" s="504">
        <f>IF(ISNUMBER(D170),DATE(YEAR(D170),MONTH(D170),1),0)</f>
        <v>46296.0</v>
      </c>
      <c r="T170" s="526">
        <f>IF(R170="OK",SUMIFS($O$430:$O$729,$B$430:$B$729,A170,$E$430:$E$729,"&lt;"&amp;EDATE($B$3,1)),0)</f>
        <v>0</v>
      </c>
      <c r="U170" s="526">
        <f>IF(AND(R170="OK",D170&lt;EDATE($B$3,1),$B$3&gt;=DATE(2026,3,1)),MAX(0,E170-T170),0)</f>
        <v>0</v>
      </c>
      <c r="V170" s="526">
        <f>IFERROR(IF(AND(R170="OK",AND(F170&gt;=2,G170&lt;&gt;"기존반영",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E170,0),0)</f>
        <v>0</v>
      </c>
      <c r="W170" s="526">
        <f>IF(V170&gt;0,ROUNDUP(INDEX(RAW!$K:$K,MAX(2,F170))/1000,0)*1000-ROUNDUP((INDEX(RAW!$K:$K,MAX(2,F170))-V170)/1000,0)*1000,0)</f>
        <v>0</v>
      </c>
      <c r="X170" s="504">
        <f>IF(AND(R170="OK",IF($B$43="전체",D170&lt;EDATE($B$3,1),IF($B$43="미정산",U170&gt;0,OR(S170=$B$3,Z170&gt;0,U170&gt;0)))),1,0)</f>
        <v>0</v>
      </c>
      <c r="Y170" s="504">
        <f>IF(X170=1,COUNTIF($X$100:X170,1),0)</f>
        <v>0</v>
      </c>
      <c r="Z170" s="526">
        <f>IF(R170="OK",SUMIFS($O$430:$O$729,$B$430:$B$729,A170,$E$430:$E$729,"&gt;="&amp;$B$3,$E$430:$E$729,"&lt;"&amp;EDATE($B$3,1)),0)</f>
        <v>0</v>
      </c>
    </row>
    <row r="171" hidden="1" outlineLevel="1">
      <c r="A171" s="504" t="str">
        <f>IF(F171="","","R"&amp;F171)</f>
        <v>R2379</v>
      </c>
      <c r="B171" s="504" t="str">
        <f>IFERROR(INDEX(RAW!$F:$F,MAX(2,F171)),"")</f>
        <v>NOL유니버스</v>
      </c>
      <c r="C171" s="522" t="inlineStr">
        <is>
          <t>생활비</t>
        </is>
      </c>
      <c r="D171" s="524">
        <f>IFERROR(INDEX(RAW!$A:$A,MAX(2,F171)),"")</f>
        <v>46302.799314027776</v>
      </c>
      <c r="E171" s="525">
        <f>IFERROR(INDEX(RAW!$K:$K,MAX(2,F171)),"")</f>
        <v>39000</v>
      </c>
      <c r="F171" s="522" t="n">
        <v>2379</v>
      </c>
      <c r="G171" s="504" t="inlineStr">
        <is>
          <t>신규</t>
        </is>
      </c>
      <c r="H171" s="504" t="inlineStr">
        <is>
          <t>기존 비고정 지출 유지. 예비비 부담으로 확인한 경우에만 항목 변경</t>
        </is>
      </c>
      <c r="O171" s="498">
        <f>IF(LEFT(R171,2)="확인",R171,"")</f>
      </c>
      <c r="R171" s="504" t="str">
        <f>IF(A171="","",IF(C171="생활비","생활비",IF(AND(COUNTIF($A$8:$A$12,C171)=1,ISNUMBER(D171),E171&gt;0,COUNTIF($A$100:$A$399,A171)=1,IFERROR(IF(F171="",AND(LEFT(A171,1)="U",G171="월기록"),AND(F171&gt;=2,COUNTIF($F$100:$F$399,F171)=1,INDEX(RAW!$H:$H,MAX(2,F171))="지출",D171=INDEX(RAW!$A:$A,MAX(2,F171)),E171&lt;=INDEX(RAW!$K:$K,MAX(2,F171)),OR(AND(G171="기존반영",OR(A171="U003",A171="U007")),AND(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AND(OR(A171&lt;&gt;"U003",F171=356),OR(A171&lt;&gt;"U007",F171=2203),OR(G171&lt;&gt;"기존반영",A171="U003",A171="U007")))),FALSE)),"OK","확인: 사용등록")))</f>
        <v>생활비</v>
      </c>
      <c r="S171" s="504">
        <f>IF(ISNUMBER(D171),DATE(YEAR(D171),MONTH(D171),1),0)</f>
        <v>46296.0</v>
      </c>
      <c r="T171" s="526">
        <f>IF(R171="OK",SUMIFS($O$430:$O$729,$B$430:$B$729,A171,$E$430:$E$729,"&lt;"&amp;EDATE($B$3,1)),0)</f>
        <v>0</v>
      </c>
      <c r="U171" s="526">
        <f>IF(AND(R171="OK",D171&lt;EDATE($B$3,1),$B$3&gt;=DATE(2026,3,1)),MAX(0,E171-T171),0)</f>
        <v>0</v>
      </c>
      <c r="V171" s="526">
        <f>IFERROR(IF(AND(R171="OK",AND(F171&gt;=2,G171&lt;&gt;"기존반영",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E171,0),0)</f>
        <v>0</v>
      </c>
      <c r="W171" s="526">
        <f>IF(V171&gt;0,ROUNDUP(INDEX(RAW!$K:$K,MAX(2,F171))/1000,0)*1000-ROUNDUP((INDEX(RAW!$K:$K,MAX(2,F171))-V171)/1000,0)*1000,0)</f>
        <v>0</v>
      </c>
      <c r="X171" s="504">
        <f>IF(AND(R171="OK",IF($B$43="전체",D171&lt;EDATE($B$3,1),IF($B$43="미정산",U171&gt;0,OR(S171=$B$3,Z171&gt;0,U171&gt;0)))),1,0)</f>
        <v>0</v>
      </c>
      <c r="Y171" s="504">
        <f>IF(X171=1,COUNTIF($X$100:X171,1),0)</f>
        <v>0</v>
      </c>
      <c r="Z171" s="526">
        <f>IF(R171="OK",SUMIFS($O$430:$O$729,$B$430:$B$729,A171,$E$430:$E$729,"&gt;="&amp;$B$3,$E$430:$E$729,"&lt;"&amp;EDATE($B$3,1)),0)</f>
        <v>0</v>
      </c>
    </row>
    <row r="172" hidden="1" outlineLevel="1">
      <c r="A172" s="504" t="str">
        <f>IF(F172="","","R"&amp;F172)</f>
        <v>R2380</v>
      </c>
      <c r="B172" s="504" t="str">
        <f>IFERROR(INDEX(RAW!$F:$F,MAX(2,F172)),"")</f>
        <v>여기어때</v>
      </c>
      <c r="C172" s="522" t="inlineStr">
        <is>
          <t>생활비</t>
        </is>
      </c>
      <c r="D172" s="524">
        <f>IFERROR(INDEX(RAW!$A:$A,MAX(2,F172)),"")</f>
        <v>46302.79931541667</v>
      </c>
      <c r="E172" s="525">
        <f>IFERROR(INDEX(RAW!$K:$K,MAX(2,F172)),"")</f>
        <v>35000</v>
      </c>
      <c r="F172" s="522" t="n">
        <v>2380</v>
      </c>
      <c r="G172" s="504" t="inlineStr">
        <is>
          <t>신규</t>
        </is>
      </c>
      <c r="H172" s="504" t="inlineStr">
        <is>
          <t>기존 비고정 지출 유지. 예비비 부담으로 확인한 경우에만 항목 변경</t>
        </is>
      </c>
      <c r="O172" s="498">
        <f>IF(LEFT(R172,2)="확인",R172,"")</f>
      </c>
      <c r="R172" s="504" t="str">
        <f>IF(A172="","",IF(C172="생활비","생활비",IF(AND(COUNTIF($A$8:$A$12,C172)=1,ISNUMBER(D172),E172&gt;0,COUNTIF($A$100:$A$399,A172)=1,IFERROR(IF(F172="",AND(LEFT(A172,1)="U",G172="월기록"),AND(F172&gt;=2,COUNTIF($F$100:$F$399,F172)=1,INDEX(RAW!$H:$H,MAX(2,F172))="지출",D172=INDEX(RAW!$A:$A,MAX(2,F172)),E172&lt;=INDEX(RAW!$K:$K,MAX(2,F172)),OR(AND(G172="기존반영",OR(A172="U003",A172="U007")),AND(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AND(OR(A172&lt;&gt;"U003",F172=356),OR(A172&lt;&gt;"U007",F172=2203),OR(G172&lt;&gt;"기존반영",A172="U003",A172="U007")))),FALSE)),"OK","확인: 사용등록")))</f>
        <v>생활비</v>
      </c>
      <c r="S172" s="504">
        <f>IF(ISNUMBER(D172),DATE(YEAR(D172),MONTH(D172),1),0)</f>
        <v>46296.0</v>
      </c>
      <c r="T172" s="526">
        <f>IF(R172="OK",SUMIFS($O$430:$O$729,$B$430:$B$729,A172,$E$430:$E$729,"&lt;"&amp;EDATE($B$3,1)),0)</f>
        <v>0</v>
      </c>
      <c r="U172" s="526">
        <f>IF(AND(R172="OK",D172&lt;EDATE($B$3,1),$B$3&gt;=DATE(2026,3,1)),MAX(0,E172-T172),0)</f>
        <v>0</v>
      </c>
      <c r="V172" s="526">
        <f>IFERROR(IF(AND(R172="OK",AND(F172&gt;=2,G172&lt;&gt;"기존반영",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E172,0),0)</f>
        <v>0</v>
      </c>
      <c r="W172" s="526">
        <f>IF(V172&gt;0,ROUNDUP(INDEX(RAW!$K:$K,MAX(2,F172))/1000,0)*1000-ROUNDUP((INDEX(RAW!$K:$K,MAX(2,F172))-V172)/1000,0)*1000,0)</f>
        <v>0</v>
      </c>
      <c r="X172" s="504">
        <f>IF(AND(R172="OK",IF($B$43="전체",D172&lt;EDATE($B$3,1),IF($B$43="미정산",U172&gt;0,OR(S172=$B$3,Z172&gt;0,U172&gt;0)))),1,0)</f>
        <v>0</v>
      </c>
      <c r="Y172" s="504">
        <f>IF(X172=1,COUNTIF($X$100:X172,1),0)</f>
        <v>0</v>
      </c>
      <c r="Z172" s="526">
        <f>IF(R172="OK",SUMIFS($O$430:$O$729,$B$430:$B$729,A172,$E$430:$E$729,"&gt;="&amp;$B$3,$E$430:$E$729,"&lt;"&amp;EDATE($B$3,1)),0)</f>
        <v>0</v>
      </c>
    </row>
    <row r="173" hidden="1" outlineLevel="1">
      <c r="A173" s="504" t="str">
        <f>IF(F173="","","R"&amp;F173)</f>
        <v>R2399</v>
      </c>
      <c r="B173" s="504" t="str">
        <f>IFERROR(INDEX(RAW!$F:$F,MAX(2,F173)),"")</f>
        <v>CU</v>
      </c>
      <c r="C173" s="522" t="inlineStr">
        <is>
          <t>생활비</t>
        </is>
      </c>
      <c r="D173" s="524">
        <f>IFERROR(INDEX(RAW!$A:$A,MAX(2,F173)),"")</f>
        <v>46303.804867430554</v>
      </c>
      <c r="E173" s="525">
        <f>IFERROR(INDEX(RAW!$K:$K,MAX(2,F173)),"")</f>
        <v>6300</v>
      </c>
      <c r="F173" s="522" t="n">
        <v>2399</v>
      </c>
      <c r="G173" s="504" t="inlineStr">
        <is>
          <t>신규</t>
        </is>
      </c>
      <c r="H173" s="504" t="inlineStr">
        <is>
          <t>기존 비고정 지출 유지. 예비비 부담으로 확인한 경우에만 항목 변경</t>
        </is>
      </c>
      <c r="O173" s="498">
        <f>IF(LEFT(R173,2)="확인",R173,"")</f>
      </c>
      <c r="R173" s="504" t="str">
        <f>IF(A173="","",IF(C173="생활비","생활비",IF(AND(COUNTIF($A$8:$A$12,C173)=1,ISNUMBER(D173),E173&gt;0,COUNTIF($A$100:$A$399,A173)=1,IFERROR(IF(F173="",AND(LEFT(A173,1)="U",G173="월기록"),AND(F173&gt;=2,COUNTIF($F$100:$F$399,F173)=1,INDEX(RAW!$H:$H,MAX(2,F173))="지출",D173=INDEX(RAW!$A:$A,MAX(2,F173)),E173&lt;=INDEX(RAW!$K:$K,MAX(2,F173)),OR(AND(G173="기존반영",OR(A173="U003",A173="U007")),AND(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AND(OR(A173&lt;&gt;"U003",F173=356),OR(A173&lt;&gt;"U007",F173=2203),OR(G173&lt;&gt;"기존반영",A173="U003",A173="U007")))),FALSE)),"OK","확인: 사용등록")))</f>
        <v>생활비</v>
      </c>
      <c r="S173" s="504">
        <f>IF(ISNUMBER(D173),DATE(YEAR(D173),MONTH(D173),1),0)</f>
        <v>46296.0</v>
      </c>
      <c r="T173" s="526">
        <f>IF(R173="OK",SUMIFS($O$430:$O$729,$B$430:$B$729,A173,$E$430:$E$729,"&lt;"&amp;EDATE($B$3,1)),0)</f>
        <v>0</v>
      </c>
      <c r="U173" s="526">
        <f>IF(AND(R173="OK",D173&lt;EDATE($B$3,1),$B$3&gt;=DATE(2026,3,1)),MAX(0,E173-T173),0)</f>
        <v>0</v>
      </c>
      <c r="V173" s="526">
        <f>IFERROR(IF(AND(R173="OK",AND(F173&gt;=2,G173&lt;&gt;"기존반영",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E173,0),0)</f>
        <v>0</v>
      </c>
      <c r="W173" s="526">
        <f>IF(V173&gt;0,ROUNDUP(INDEX(RAW!$K:$K,MAX(2,F173))/1000,0)*1000-ROUNDUP((INDEX(RAW!$K:$K,MAX(2,F173))-V173)/1000,0)*1000,0)</f>
        <v>0</v>
      </c>
      <c r="X173" s="504">
        <f>IF(AND(R173="OK",IF($B$43="전체",D173&lt;EDATE($B$3,1),IF($B$43="미정산",U173&gt;0,OR(S173=$B$3,Z173&gt;0,U173&gt;0)))),1,0)</f>
        <v>0</v>
      </c>
      <c r="Y173" s="504">
        <f>IF(X173=1,COUNTIF($X$100:X173,1),0)</f>
        <v>0</v>
      </c>
      <c r="Z173" s="526">
        <f>IF(R173="OK",SUMIFS($O$430:$O$729,$B$430:$B$729,A173,$E$430:$E$729,"&gt;="&amp;$B$3,$E$430:$E$729,"&lt;"&amp;EDATE($B$3,1)),0)</f>
        <v>0</v>
      </c>
    </row>
    <row r="174" hidden="1" outlineLevel="1">
      <c r="A174" s="504" t="str">
        <f>IF(F174="","","R"&amp;F174)</f>
        <v>R2414</v>
      </c>
      <c r="B174" s="504" t="str">
        <f>IFERROR(INDEX(RAW!$F:$F,MAX(2,F174)),"")</f>
        <v>올리브영</v>
      </c>
      <c r="C174" s="522" t="inlineStr">
        <is>
          <t>생활비</t>
        </is>
      </c>
      <c r="D174" s="524">
        <f>IFERROR(INDEX(RAW!$A:$A,MAX(2,F174)),"")</f>
        <v>46304.82014780093</v>
      </c>
      <c r="E174" s="525">
        <f>IFERROR(INDEX(RAW!$K:$K,MAX(2,F174)),"")</f>
        <v>36900</v>
      </c>
      <c r="F174" s="522" t="n">
        <v>2414</v>
      </c>
      <c r="G174" s="504" t="inlineStr">
        <is>
          <t>신규</t>
        </is>
      </c>
      <c r="H174" s="504" t="inlineStr">
        <is>
          <t>기존 비고정 지출 유지. 예비비 부담으로 확인한 경우에만 항목 변경</t>
        </is>
      </c>
      <c r="O174" s="498">
        <f>IF(LEFT(R174,2)="확인",R174,"")</f>
      </c>
      <c r="R174" s="504" t="str">
        <f>IF(A174="","",IF(C174="생활비","생활비",IF(AND(COUNTIF($A$8:$A$12,C174)=1,ISNUMBER(D174),E174&gt;0,COUNTIF($A$100:$A$399,A174)=1,IFERROR(IF(F174="",AND(LEFT(A174,1)="U",G174="월기록"),AND(F174&gt;=2,COUNTIF($F$100:$F$399,F174)=1,INDEX(RAW!$H:$H,MAX(2,F174))="지출",D174=INDEX(RAW!$A:$A,MAX(2,F174)),E174&lt;=INDEX(RAW!$K:$K,MAX(2,F174)),OR(AND(G174="기존반영",OR(A174="U003",A174="U007")),AND(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AND(OR(A174&lt;&gt;"U003",F174=356),OR(A174&lt;&gt;"U007",F174=2203),OR(G174&lt;&gt;"기존반영",A174="U003",A174="U007")))),FALSE)),"OK","확인: 사용등록")))</f>
        <v>생활비</v>
      </c>
      <c r="S174" s="504">
        <f>IF(ISNUMBER(D174),DATE(YEAR(D174),MONTH(D174),1),0)</f>
        <v>46296.0</v>
      </c>
      <c r="T174" s="526">
        <f>IF(R174="OK",SUMIFS($O$430:$O$729,$B$430:$B$729,A174,$E$430:$E$729,"&lt;"&amp;EDATE($B$3,1)),0)</f>
        <v>0</v>
      </c>
      <c r="U174" s="526">
        <f>IF(AND(R174="OK",D174&lt;EDATE($B$3,1),$B$3&gt;=DATE(2026,3,1)),MAX(0,E174-T174),0)</f>
        <v>0</v>
      </c>
      <c r="V174" s="526">
        <f>IFERROR(IF(AND(R174="OK",AND(F174&gt;=2,G174&lt;&gt;"기존반영",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E174,0),0)</f>
        <v>0</v>
      </c>
      <c r="W174" s="526">
        <f>IF(V174&gt;0,ROUNDUP(INDEX(RAW!$K:$K,MAX(2,F174))/1000,0)*1000-ROUNDUP((INDEX(RAW!$K:$K,MAX(2,F174))-V174)/1000,0)*1000,0)</f>
        <v>0</v>
      </c>
      <c r="X174" s="504">
        <f>IF(AND(R174="OK",IF($B$43="전체",D174&lt;EDATE($B$3,1),IF($B$43="미정산",U174&gt;0,OR(S174=$B$3,Z174&gt;0,U174&gt;0)))),1,0)</f>
        <v>0</v>
      </c>
      <c r="Y174" s="504">
        <f>IF(X174=1,COUNTIF($X$100:X174,1),0)</f>
        <v>0</v>
      </c>
      <c r="Z174" s="526">
        <f>IF(R174="OK",SUMIFS($O$430:$O$729,$B$430:$B$729,A174,$E$430:$E$729,"&gt;="&amp;$B$3,$E$430:$E$729,"&lt;"&amp;EDATE($B$3,1)),0)</f>
        <v>0</v>
      </c>
    </row>
    <row r="175" hidden="1" outlineLevel="1">
      <c r="A175" s="504" t="str">
        <f>IF(F175="","","R"&amp;F175)</f>
        <v>R2418</v>
      </c>
      <c r="B175" s="504" t="str">
        <f>IFERROR(INDEX(RAW!$F:$F,MAX(2,F175)),"")</f>
        <v>쿠팡</v>
      </c>
      <c r="C175" s="522" t="inlineStr">
        <is>
          <t>생활비</t>
        </is>
      </c>
      <c r="D175" s="524">
        <f>IFERROR(INDEX(RAW!$A:$A,MAX(2,F175)),"")</f>
        <v>46305.812503981484</v>
      </c>
      <c r="E175" s="525">
        <f>IFERROR(INDEX(RAW!$K:$K,MAX(2,F175)),"")</f>
        <v>26900</v>
      </c>
      <c r="F175" s="522" t="n">
        <v>2418</v>
      </c>
      <c r="G175" s="504" t="inlineStr">
        <is>
          <t>신규</t>
        </is>
      </c>
      <c r="H175" s="504" t="inlineStr">
        <is>
          <t>기존 비고정 지출 유지. 예비비 부담으로 확인한 경우에만 항목 변경</t>
        </is>
      </c>
      <c r="O175" s="498">
        <f>IF(LEFT(R175,2)="확인",R175,"")</f>
      </c>
      <c r="R175" s="504" t="str">
        <f>IF(A175="","",IF(C175="생활비","생활비",IF(AND(COUNTIF($A$8:$A$12,C175)=1,ISNUMBER(D175),E175&gt;0,COUNTIF($A$100:$A$399,A175)=1,IFERROR(IF(F175="",AND(LEFT(A175,1)="U",G175="월기록"),AND(F175&gt;=2,COUNTIF($F$100:$F$399,F175)=1,INDEX(RAW!$H:$H,MAX(2,F175))="지출",D175=INDEX(RAW!$A:$A,MAX(2,F175)),E175&lt;=INDEX(RAW!$K:$K,MAX(2,F175)),OR(AND(G175="기존반영",OR(A175="U003",A175="U007")),AND(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AND(OR(A175&lt;&gt;"U003",F175=356),OR(A175&lt;&gt;"U007",F175=2203),OR(G175&lt;&gt;"기존반영",A175="U003",A175="U007")))),FALSE)),"OK","확인: 사용등록")))</f>
        <v>생활비</v>
      </c>
      <c r="S175" s="504">
        <f>IF(ISNUMBER(D175),DATE(YEAR(D175),MONTH(D175),1),0)</f>
        <v>46296.0</v>
      </c>
      <c r="T175" s="526">
        <f>IF(R175="OK",SUMIFS($O$430:$O$729,$B$430:$B$729,A175,$E$430:$E$729,"&lt;"&amp;EDATE($B$3,1)),0)</f>
        <v>0</v>
      </c>
      <c r="U175" s="526">
        <f>IF(AND(R175="OK",D175&lt;EDATE($B$3,1),$B$3&gt;=DATE(2026,3,1)),MAX(0,E175-T175),0)</f>
        <v>0</v>
      </c>
      <c r="V175" s="526">
        <f>IFERROR(IF(AND(R175="OK",AND(F175&gt;=2,G175&lt;&gt;"기존반영",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E175,0),0)</f>
        <v>0</v>
      </c>
      <c r="W175" s="526">
        <f>IF(V175&gt;0,ROUNDUP(INDEX(RAW!$K:$K,MAX(2,F175))/1000,0)*1000-ROUNDUP((INDEX(RAW!$K:$K,MAX(2,F175))-V175)/1000,0)*1000,0)</f>
        <v>0</v>
      </c>
      <c r="X175" s="504">
        <f>IF(AND(R175="OK",IF($B$43="전체",D175&lt;EDATE($B$3,1),IF($B$43="미정산",U175&gt;0,OR(S175=$B$3,Z175&gt;0,U175&gt;0)))),1,0)</f>
        <v>0</v>
      </c>
      <c r="Y175" s="504">
        <f>IF(X175=1,COUNTIF($X$100:X175,1),0)</f>
        <v>0</v>
      </c>
      <c r="Z175" s="526">
        <f>IF(R175="OK",SUMIFS($O$430:$O$729,$B$430:$B$729,A175,$E$430:$E$729,"&gt;="&amp;$B$3,$E$430:$E$729,"&lt;"&amp;EDATE($B$3,1)),0)</f>
        <v>0</v>
      </c>
    </row>
    <row r="176" hidden="1" outlineLevel="1">
      <c r="A176" s="504" t="str">
        <f>IF(F176="","","R"&amp;F176)</f>
        <v>R2433</v>
      </c>
      <c r="B176" s="504" t="str">
        <f>IFERROR(INDEX(RAW!$F:$F,MAX(2,F176)),"")</f>
        <v>코레일</v>
      </c>
      <c r="C176" s="522" t="inlineStr">
        <is>
          <t>생활비</t>
        </is>
      </c>
      <c r="D176" s="524">
        <f>IFERROR(INDEX(RAW!$A:$A,MAX(2,F176)),"")</f>
        <v>46307.82638943287</v>
      </c>
      <c r="E176" s="525">
        <f>IFERROR(INDEX(RAW!$K:$K,MAX(2,F176)),"")</f>
        <v>53900</v>
      </c>
      <c r="F176" s="522" t="n">
        <v>2433</v>
      </c>
      <c r="G176" s="504" t="inlineStr">
        <is>
          <t>신규</t>
        </is>
      </c>
      <c r="H176" s="504" t="inlineStr">
        <is>
          <t>기존 비고정 지출 유지. 예비비 부담으로 확인한 경우에만 항목 변경</t>
        </is>
      </c>
      <c r="O176" s="498">
        <f>IF(LEFT(R176,2)="확인",R176,"")</f>
      </c>
      <c r="R176" s="504" t="str">
        <f>IF(A176="","",IF(C176="생활비","생활비",IF(AND(COUNTIF($A$8:$A$12,C176)=1,ISNUMBER(D176),E176&gt;0,COUNTIF($A$100:$A$399,A176)=1,IFERROR(IF(F176="",AND(LEFT(A176,1)="U",G176="월기록"),AND(F176&gt;=2,COUNTIF($F$100:$F$399,F176)=1,INDEX(RAW!$H:$H,MAX(2,F176))="지출",D176=INDEX(RAW!$A:$A,MAX(2,F176)),E176&lt;=INDEX(RAW!$K:$K,MAX(2,F176)),OR(AND(G176="기존반영",OR(A176="U003",A176="U007")),AND(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AND(OR(A176&lt;&gt;"U003",F176=356),OR(A176&lt;&gt;"U007",F176=2203),OR(G176&lt;&gt;"기존반영",A176="U003",A176="U007")))),FALSE)),"OK","확인: 사용등록")))</f>
        <v>생활비</v>
      </c>
      <c r="S176" s="504">
        <f>IF(ISNUMBER(D176),DATE(YEAR(D176),MONTH(D176),1),0)</f>
        <v>46296.0</v>
      </c>
      <c r="T176" s="526">
        <f>IF(R176="OK",SUMIFS($O$430:$O$729,$B$430:$B$729,A176,$E$430:$E$729,"&lt;"&amp;EDATE($B$3,1)),0)</f>
        <v>0</v>
      </c>
      <c r="U176" s="526">
        <f>IF(AND(R176="OK",D176&lt;EDATE($B$3,1),$B$3&gt;=DATE(2026,3,1)),MAX(0,E176-T176),0)</f>
        <v>0</v>
      </c>
      <c r="V176" s="526">
        <f>IFERROR(IF(AND(R176="OK",AND(F176&gt;=2,G176&lt;&gt;"기존반영",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E176,0),0)</f>
        <v>0</v>
      </c>
      <c r="W176" s="526">
        <f>IF(V176&gt;0,ROUNDUP(INDEX(RAW!$K:$K,MAX(2,F176))/1000,0)*1000-ROUNDUP((INDEX(RAW!$K:$K,MAX(2,F176))-V176)/1000,0)*1000,0)</f>
        <v>0</v>
      </c>
      <c r="X176" s="504">
        <f>IF(AND(R176="OK",IF($B$43="전체",D176&lt;EDATE($B$3,1),IF($B$43="미정산",U176&gt;0,OR(S176=$B$3,Z176&gt;0,U176&gt;0)))),1,0)</f>
        <v>0</v>
      </c>
      <c r="Y176" s="504">
        <f>IF(X176=1,COUNTIF($X$100:X176,1),0)</f>
        <v>0</v>
      </c>
      <c r="Z176" s="526">
        <f>IF(R176="OK",SUMIFS($O$430:$O$729,$B$430:$B$729,A176,$E$430:$E$729,"&gt;="&amp;$B$3,$E$430:$E$729,"&lt;"&amp;EDATE($B$3,1)),0)</f>
        <v>0</v>
      </c>
    </row>
    <row r="177" hidden="1" outlineLevel="1">
      <c r="A177" s="504" t="str">
        <f>IF(F177="","","R"&amp;F177)</f>
        <v>R2459</v>
      </c>
      <c r="B177" s="504" t="str">
        <f>IFERROR(INDEX(RAW!$F:$F,MAX(2,F177)),"")</f>
        <v>코레일</v>
      </c>
      <c r="C177" s="522" t="inlineStr">
        <is>
          <t>생활비</t>
        </is>
      </c>
      <c r="D177" s="524">
        <f>IFERROR(INDEX(RAW!$A:$A,MAX(2,F177)),"")</f>
        <v>46309.87269118056</v>
      </c>
      <c r="E177" s="525">
        <f>IFERROR(INDEX(RAW!$K:$K,MAX(2,F177)),"")</f>
        <v>53900</v>
      </c>
      <c r="F177" s="522" t="n">
        <v>2459</v>
      </c>
      <c r="G177" s="504" t="inlineStr">
        <is>
          <t>신규</t>
        </is>
      </c>
      <c r="H177" s="504" t="inlineStr">
        <is>
          <t>기존 비고정 지출 유지. 예비비 부담으로 확인한 경우에만 항목 변경</t>
        </is>
      </c>
      <c r="O177" s="498">
        <f>IF(LEFT(R177,2)="확인",R177,"")</f>
      </c>
      <c r="R177" s="504" t="str">
        <f>IF(A177="","",IF(C177="생활비","생활비",IF(AND(COUNTIF($A$8:$A$12,C177)=1,ISNUMBER(D177),E177&gt;0,COUNTIF($A$100:$A$399,A177)=1,IFERROR(IF(F177="",AND(LEFT(A177,1)="U",G177="월기록"),AND(F177&gt;=2,COUNTIF($F$100:$F$399,F177)=1,INDEX(RAW!$H:$H,MAX(2,F177))="지출",D177=INDEX(RAW!$A:$A,MAX(2,F177)),E177&lt;=INDEX(RAW!$K:$K,MAX(2,F177)),OR(AND(G177="기존반영",OR(A177="U003",A177="U007")),AND(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AND(OR(A177&lt;&gt;"U003",F177=356),OR(A177&lt;&gt;"U007",F177=2203),OR(G177&lt;&gt;"기존반영",A177="U003",A177="U007")))),FALSE)),"OK","확인: 사용등록")))</f>
        <v>생활비</v>
      </c>
      <c r="S177" s="504">
        <f>IF(ISNUMBER(D177),DATE(YEAR(D177),MONTH(D177),1),0)</f>
        <v>46296.0</v>
      </c>
      <c r="T177" s="526">
        <f>IF(R177="OK",SUMIFS($O$430:$O$729,$B$430:$B$729,A177,$E$430:$E$729,"&lt;"&amp;EDATE($B$3,1)),0)</f>
        <v>0</v>
      </c>
      <c r="U177" s="526">
        <f>IF(AND(R177="OK",D177&lt;EDATE($B$3,1),$B$3&gt;=DATE(2026,3,1)),MAX(0,E177-T177),0)</f>
        <v>0</v>
      </c>
      <c r="V177" s="526">
        <f>IFERROR(IF(AND(R177="OK",AND(F177&gt;=2,G177&lt;&gt;"기존반영",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E177,0),0)</f>
        <v>0</v>
      </c>
      <c r="W177" s="526">
        <f>IF(V177&gt;0,ROUNDUP(INDEX(RAW!$K:$K,MAX(2,F177))/1000,0)*1000-ROUNDUP((INDEX(RAW!$K:$K,MAX(2,F177))-V177)/1000,0)*1000,0)</f>
        <v>0</v>
      </c>
      <c r="X177" s="504">
        <f>IF(AND(R177="OK",IF($B$43="전체",D177&lt;EDATE($B$3,1),IF($B$43="미정산",U177&gt;0,OR(S177=$B$3,Z177&gt;0,U177&gt;0)))),1,0)</f>
        <v>0</v>
      </c>
      <c r="Y177" s="504">
        <f>IF(X177=1,COUNTIF($X$100:X177,1),0)</f>
        <v>0</v>
      </c>
      <c r="Z177" s="526">
        <f>IF(R177="OK",SUMIFS($O$430:$O$729,$B$430:$B$729,A177,$E$430:$E$729,"&gt;="&amp;$B$3,$E$430:$E$729,"&lt;"&amp;EDATE($B$3,1)),0)</f>
        <v>0</v>
      </c>
    </row>
    <row r="178" hidden="1" outlineLevel="1">
      <c r="A178" s="504">
        <f>IF(F178="","",IF(F178&gt;0,"R"&amp;F178,""))</f>
      </c>
      <c r="B178" s="504">
        <f>IF(F178="","",IFERROR(INDEX(RAW!$F:$F,MAX(2,F178)),""))</f>
      </c>
      <c r="C178" s="522" t="n"/>
      <c r="D178" s="524">
        <f>IF(F178="","",IFERROR(INDEX(RAW!$A:$A,MAX(2,F178)),""))</f>
      </c>
      <c r="E178" s="525">
        <f>IF(F178="","",IFERROR(INDEX(RAW!$K:$K,MAX(2,F178)),0))</f>
      </c>
      <c r="F178" s="522" t="n"/>
      <c r="G178" s="504" t="inlineStr">
        <is>
          <t>신규</t>
        </is>
      </c>
      <c r="O178" s="498">
        <f>IF(LEFT(R178,2)="확인",R178,"")</f>
      </c>
      <c r="R178" s="504">
        <f>IF(A178="","",IF(C178="생활비","생활비",IF(AND(COUNTIF($A$8:$A$12,C178)=1,ISNUMBER(D178),E178&gt;0,COUNTIF($A$100:$A$399,A178)=1,IFERROR(IF(F178="",AND(LEFT(A178,1)="U",G178="월기록"),AND(F178&gt;=2,COUNTIF($F$100:$F$399,F178)=1,INDEX(RAW!$H:$H,MAX(2,F178))="지출",D178=INDEX(RAW!$A:$A,MAX(2,F178)),E178&lt;=INDEX(RAW!$K:$K,MAX(2,F178)),OR(AND(G178="기존반영",OR(A178="U003",A178="U007")),AND(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AND(OR(A178&lt;&gt;"U003",F178=356),OR(A178&lt;&gt;"U007",F178=2203),OR(G178&lt;&gt;"기존반영",A178="U003",A178="U007")))),FALSE)),"OK","확인: 사용등록")))</f>
      </c>
      <c r="S178" s="504">
        <f>IF(ISNUMBER(D178),DATE(YEAR(D178),MONTH(D178),1),0)</f>
        <v>0</v>
      </c>
      <c r="T178" s="526">
        <f>IF(R178="OK",SUMIFS($O$430:$O$729,$B$430:$B$729,A178,$E$430:$E$729,"&lt;"&amp;EDATE($B$3,1)),0)</f>
        <v>0</v>
      </c>
      <c r="U178" s="526">
        <f>IF(AND(R178="OK",D178&lt;EDATE($B$3,1),$B$3&gt;=DATE(2026,3,1)),MAX(0,E178-T178),0)</f>
        <v>0</v>
      </c>
      <c r="V178" s="526">
        <f>IFERROR(IF(AND(R178="OK",AND(F178&gt;=2,G178&lt;&gt;"기존반영",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E178,0),0)</f>
        <v>0</v>
      </c>
      <c r="W178" s="526">
        <f>IF(V178&gt;0,ROUNDUP(INDEX(RAW!$K:$K,MAX(2,F178))/1000,0)*1000-ROUNDUP((INDEX(RAW!$K:$K,MAX(2,F178))-V178)/1000,0)*1000,0)</f>
        <v>0</v>
      </c>
      <c r="X178" s="504">
        <f>IF(AND(R178="OK",IF($B$43="전체",D178&lt;EDATE($B$3,1),IF($B$43="미정산",U178&gt;0,OR(S178=$B$3,Z178&gt;0,U178&gt;0)))),1,0)</f>
        <v>0</v>
      </c>
      <c r="Y178" s="504">
        <f>IF(X178=1,COUNTIF($X$100:X178,1),0)</f>
        <v>0</v>
      </c>
      <c r="Z178" s="526">
        <f>IF(R178="OK",SUMIFS($O$430:$O$729,$B$430:$B$729,A178,$E$430:$E$729,"&gt;="&amp;$B$3,$E$430:$E$729,"&lt;"&amp;EDATE($B$3,1)),0)</f>
        <v>0</v>
      </c>
    </row>
    <row r="179" hidden="1" outlineLevel="1">
      <c r="A179" s="504">
        <f>IF(F179="","",IF(F179&gt;0,"R"&amp;F179,""))</f>
      </c>
      <c r="B179" s="504">
        <f>IF(F179="","",IFERROR(INDEX(RAW!$F:$F,MAX(2,F179)),""))</f>
      </c>
      <c r="C179" s="522" t="n"/>
      <c r="D179" s="524">
        <f>IF(F179="","",IFERROR(INDEX(RAW!$A:$A,MAX(2,F179)),""))</f>
      </c>
      <c r="E179" s="525">
        <f>IF(F179="","",IFERROR(INDEX(RAW!$K:$K,MAX(2,F179)),0))</f>
      </c>
      <c r="F179" s="522" t="n"/>
      <c r="G179" s="504" t="inlineStr">
        <is>
          <t>신규</t>
        </is>
      </c>
      <c r="O179" s="498">
        <f>IF(LEFT(R179,2)="확인",R179,"")</f>
      </c>
      <c r="R179" s="504">
        <f>IF(A179="","",IF(C179="생활비","생활비",IF(AND(COUNTIF($A$8:$A$12,C179)=1,ISNUMBER(D179),E179&gt;0,COUNTIF($A$100:$A$399,A179)=1,IFERROR(IF(F179="",AND(LEFT(A179,1)="U",G179="월기록"),AND(F179&gt;=2,COUNTIF($F$100:$F$399,F179)=1,INDEX(RAW!$H:$H,MAX(2,F179))="지출",D179=INDEX(RAW!$A:$A,MAX(2,F179)),E179&lt;=INDEX(RAW!$K:$K,MAX(2,F179)),OR(AND(G179="기존반영",OR(A179="U003",A179="U007")),AND(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AND(OR(A179&lt;&gt;"U003",F179=356),OR(A179&lt;&gt;"U007",F179=2203),OR(G179&lt;&gt;"기존반영",A179="U003",A179="U007")))),FALSE)),"OK","확인: 사용등록")))</f>
      </c>
      <c r="S179" s="504">
        <f>IF(ISNUMBER(D179),DATE(YEAR(D179),MONTH(D179),1),0)</f>
        <v>0</v>
      </c>
      <c r="T179" s="526">
        <f>IF(R179="OK",SUMIFS($O$430:$O$729,$B$430:$B$729,A179,$E$430:$E$729,"&lt;"&amp;EDATE($B$3,1)),0)</f>
        <v>0</v>
      </c>
      <c r="U179" s="526">
        <f>IF(AND(R179="OK",D179&lt;EDATE($B$3,1),$B$3&gt;=DATE(2026,3,1)),MAX(0,E179-T179),0)</f>
        <v>0</v>
      </c>
      <c r="V179" s="526">
        <f>IFERROR(IF(AND(R179="OK",AND(F179&gt;=2,G179&lt;&gt;"기존반영",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E179,0),0)</f>
        <v>0</v>
      </c>
      <c r="W179" s="526">
        <f>IF(V179&gt;0,ROUNDUP(INDEX(RAW!$K:$K,MAX(2,F179))/1000,0)*1000-ROUNDUP((INDEX(RAW!$K:$K,MAX(2,F179))-V179)/1000,0)*1000,0)</f>
        <v>0</v>
      </c>
      <c r="X179" s="504">
        <f>IF(AND(R179="OK",IF($B$43="전체",D179&lt;EDATE($B$3,1),IF($B$43="미정산",U179&gt;0,OR(S179=$B$3,Z179&gt;0,U179&gt;0)))),1,0)</f>
        <v>0</v>
      </c>
      <c r="Y179" s="504">
        <f>IF(X179=1,COUNTIF($X$100:X179,1),0)</f>
        <v>0</v>
      </c>
      <c r="Z179" s="526">
        <f>IF(R179="OK",SUMIFS($O$430:$O$729,$B$430:$B$729,A179,$E$430:$E$729,"&gt;="&amp;$B$3,$E$430:$E$729,"&lt;"&amp;EDATE($B$3,1)),0)</f>
        <v>0</v>
      </c>
    </row>
    <row r="180" hidden="1" outlineLevel="1">
      <c r="A180" s="504">
        <f>IF(F180="","",IF(F180&gt;0,"R"&amp;F180,""))</f>
      </c>
      <c r="B180" s="504">
        <f>IF(F180="","",IFERROR(INDEX(RAW!$F:$F,MAX(2,F180)),""))</f>
      </c>
      <c r="C180" s="522" t="n"/>
      <c r="D180" s="524">
        <f>IF(F180="","",IFERROR(INDEX(RAW!$A:$A,MAX(2,F180)),""))</f>
      </c>
      <c r="E180" s="525">
        <f>IF(F180="","",IFERROR(INDEX(RAW!$K:$K,MAX(2,F180)),0))</f>
      </c>
      <c r="F180" s="522" t="n"/>
      <c r="G180" s="504" t="inlineStr">
        <is>
          <t>신규</t>
        </is>
      </c>
      <c r="O180" s="498">
        <f>IF(LEFT(R180,2)="확인",R180,"")</f>
      </c>
      <c r="R180" s="504">
        <f>IF(A180="","",IF(C180="생활비","생활비",IF(AND(COUNTIF($A$8:$A$12,C180)=1,ISNUMBER(D180),E180&gt;0,COUNTIF($A$100:$A$399,A180)=1,IFERROR(IF(F180="",AND(LEFT(A180,1)="U",G180="월기록"),AND(F180&gt;=2,COUNTIF($F$100:$F$399,F180)=1,INDEX(RAW!$H:$H,MAX(2,F180))="지출",D180=INDEX(RAW!$A:$A,MAX(2,F180)),E180&lt;=INDEX(RAW!$K:$K,MAX(2,F180)),OR(AND(G180="기존반영",OR(A180="U003",A180="U007")),AND(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AND(OR(A180&lt;&gt;"U003",F180=356),OR(A180&lt;&gt;"U007",F180=2203),OR(G180&lt;&gt;"기존반영",A180="U003",A180="U007")))),FALSE)),"OK","확인: 사용등록")))</f>
      </c>
      <c r="S180" s="504">
        <f>IF(ISNUMBER(D180),DATE(YEAR(D180),MONTH(D180),1),0)</f>
        <v>0</v>
      </c>
      <c r="T180" s="526">
        <f>IF(R180="OK",SUMIFS($O$430:$O$729,$B$430:$B$729,A180,$E$430:$E$729,"&lt;"&amp;EDATE($B$3,1)),0)</f>
        <v>0</v>
      </c>
      <c r="U180" s="526">
        <f>IF(AND(R180="OK",D180&lt;EDATE($B$3,1),$B$3&gt;=DATE(2026,3,1)),MAX(0,E180-T180),0)</f>
        <v>0</v>
      </c>
      <c r="V180" s="526">
        <f>IFERROR(IF(AND(R180="OK",AND(F180&gt;=2,G180&lt;&gt;"기존반영",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E180,0),0)</f>
        <v>0</v>
      </c>
      <c r="W180" s="526">
        <f>IF(V180&gt;0,ROUNDUP(INDEX(RAW!$K:$K,MAX(2,F180))/1000,0)*1000-ROUNDUP((INDEX(RAW!$K:$K,MAX(2,F180))-V180)/1000,0)*1000,0)</f>
        <v>0</v>
      </c>
      <c r="X180" s="504">
        <f>IF(AND(R180="OK",IF($B$43="전체",D180&lt;EDATE($B$3,1),IF($B$43="미정산",U180&gt;0,OR(S180=$B$3,Z180&gt;0,U180&gt;0)))),1,0)</f>
        <v>0</v>
      </c>
      <c r="Y180" s="504">
        <f>IF(X180=1,COUNTIF($X$100:X180,1),0)</f>
        <v>0</v>
      </c>
      <c r="Z180" s="526">
        <f>IF(R180="OK",SUMIFS($O$430:$O$729,$B$430:$B$729,A180,$E$430:$E$729,"&gt;="&amp;$B$3,$E$430:$E$729,"&lt;"&amp;EDATE($B$3,1)),0)</f>
        <v>0</v>
      </c>
    </row>
    <row r="181" hidden="1" outlineLevel="1">
      <c r="A181" s="504">
        <f>IF(F181="","",IF(F181&gt;0,"R"&amp;F181,""))</f>
      </c>
      <c r="B181" s="504">
        <f>IF(F181="","",IFERROR(INDEX(RAW!$F:$F,MAX(2,F181)),""))</f>
      </c>
      <c r="C181" s="522" t="n"/>
      <c r="D181" s="524">
        <f>IF(F181="","",IFERROR(INDEX(RAW!$A:$A,MAX(2,F181)),""))</f>
      </c>
      <c r="E181" s="525">
        <f>IF(F181="","",IFERROR(INDEX(RAW!$K:$K,MAX(2,F181)),0))</f>
      </c>
      <c r="F181" s="522" t="n"/>
      <c r="G181" s="504" t="inlineStr">
        <is>
          <t>신규</t>
        </is>
      </c>
      <c r="O181" s="498">
        <f>IF(LEFT(R181,2)="확인",R181,"")</f>
      </c>
      <c r="R181" s="504">
        <f>IF(A181="","",IF(C181="생활비","생활비",IF(AND(COUNTIF($A$8:$A$12,C181)=1,ISNUMBER(D181),E181&gt;0,COUNTIF($A$100:$A$399,A181)=1,IFERROR(IF(F181="",AND(LEFT(A181,1)="U",G181="월기록"),AND(F181&gt;=2,COUNTIF($F$100:$F$399,F181)=1,INDEX(RAW!$H:$H,MAX(2,F181))="지출",D181=INDEX(RAW!$A:$A,MAX(2,F181)),E181&lt;=INDEX(RAW!$K:$K,MAX(2,F181)),OR(AND(G181="기존반영",OR(A181="U003",A181="U007")),AND(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AND(OR(A181&lt;&gt;"U003",F181=356),OR(A181&lt;&gt;"U007",F181=2203),OR(G181&lt;&gt;"기존반영",A181="U003",A181="U007")))),FALSE)),"OK","확인: 사용등록")))</f>
      </c>
      <c r="S181" s="504">
        <f>IF(ISNUMBER(D181),DATE(YEAR(D181),MONTH(D181),1),0)</f>
        <v>0</v>
      </c>
      <c r="T181" s="526">
        <f>IF(R181="OK",SUMIFS($O$430:$O$729,$B$430:$B$729,A181,$E$430:$E$729,"&lt;"&amp;EDATE($B$3,1)),0)</f>
        <v>0</v>
      </c>
      <c r="U181" s="526">
        <f>IF(AND(R181="OK",D181&lt;EDATE($B$3,1),$B$3&gt;=DATE(2026,3,1)),MAX(0,E181-T181),0)</f>
        <v>0</v>
      </c>
      <c r="V181" s="526">
        <f>IFERROR(IF(AND(R181="OK",AND(F181&gt;=2,G181&lt;&gt;"기존반영",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E181,0),0)</f>
        <v>0</v>
      </c>
      <c r="W181" s="526">
        <f>IF(V181&gt;0,ROUNDUP(INDEX(RAW!$K:$K,MAX(2,F181))/1000,0)*1000-ROUNDUP((INDEX(RAW!$K:$K,MAX(2,F181))-V181)/1000,0)*1000,0)</f>
        <v>0</v>
      </c>
      <c r="X181" s="504">
        <f>IF(AND(R181="OK",IF($B$43="전체",D181&lt;EDATE($B$3,1),IF($B$43="미정산",U181&gt;0,OR(S181=$B$3,Z181&gt;0,U181&gt;0)))),1,0)</f>
        <v>0</v>
      </c>
      <c r="Y181" s="504">
        <f>IF(X181=1,COUNTIF($X$100:X181,1),0)</f>
        <v>0</v>
      </c>
      <c r="Z181" s="526">
        <f>IF(R181="OK",SUMIFS($O$430:$O$729,$B$430:$B$729,A181,$E$430:$E$729,"&gt;="&amp;$B$3,$E$430:$E$729,"&lt;"&amp;EDATE($B$3,1)),0)</f>
        <v>0</v>
      </c>
    </row>
    <row r="182" hidden="1" outlineLevel="1">
      <c r="A182" s="504">
        <f>IF(F182="","",IF(F182&gt;0,"R"&amp;F182,""))</f>
      </c>
      <c r="B182" s="504">
        <f>IF(F182="","",IFERROR(INDEX(RAW!$F:$F,MAX(2,F182)),""))</f>
      </c>
      <c r="C182" s="522" t="n"/>
      <c r="D182" s="524">
        <f>IF(F182="","",IFERROR(INDEX(RAW!$A:$A,MAX(2,F182)),""))</f>
      </c>
      <c r="E182" s="525">
        <f>IF(F182="","",IFERROR(INDEX(RAW!$K:$K,MAX(2,F182)),0))</f>
      </c>
      <c r="F182" s="522" t="n"/>
      <c r="G182" s="504" t="inlineStr">
        <is>
          <t>신규</t>
        </is>
      </c>
      <c r="O182" s="498">
        <f>IF(LEFT(R182,2)="확인",R182,"")</f>
      </c>
      <c r="R182" s="504">
        <f>IF(A182="","",IF(C182="생활비","생활비",IF(AND(COUNTIF($A$8:$A$12,C182)=1,ISNUMBER(D182),E182&gt;0,COUNTIF($A$100:$A$399,A182)=1,IFERROR(IF(F182="",AND(LEFT(A182,1)="U",G182="월기록"),AND(F182&gt;=2,COUNTIF($F$100:$F$399,F182)=1,INDEX(RAW!$H:$H,MAX(2,F182))="지출",D182=INDEX(RAW!$A:$A,MAX(2,F182)),E182&lt;=INDEX(RAW!$K:$K,MAX(2,F182)),OR(AND(G182="기존반영",OR(A182="U003",A182="U007")),AND(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AND(OR(A182&lt;&gt;"U003",F182=356),OR(A182&lt;&gt;"U007",F182=2203),OR(G182&lt;&gt;"기존반영",A182="U003",A182="U007")))),FALSE)),"OK","확인: 사용등록")))</f>
      </c>
      <c r="S182" s="504">
        <f>IF(ISNUMBER(D182),DATE(YEAR(D182),MONTH(D182),1),0)</f>
        <v>0</v>
      </c>
      <c r="T182" s="526">
        <f>IF(R182="OK",SUMIFS($O$430:$O$729,$B$430:$B$729,A182,$E$430:$E$729,"&lt;"&amp;EDATE($B$3,1)),0)</f>
        <v>0</v>
      </c>
      <c r="U182" s="526">
        <f>IF(AND(R182="OK",D182&lt;EDATE($B$3,1),$B$3&gt;=DATE(2026,3,1)),MAX(0,E182-T182),0)</f>
        <v>0</v>
      </c>
      <c r="V182" s="526">
        <f>IFERROR(IF(AND(R182="OK",AND(F182&gt;=2,G182&lt;&gt;"기존반영",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E182,0),0)</f>
        <v>0</v>
      </c>
      <c r="W182" s="526">
        <f>IF(V182&gt;0,ROUNDUP(INDEX(RAW!$K:$K,MAX(2,F182))/1000,0)*1000-ROUNDUP((INDEX(RAW!$K:$K,MAX(2,F182))-V182)/1000,0)*1000,0)</f>
        <v>0</v>
      </c>
      <c r="X182" s="504">
        <f>IF(AND(R182="OK",IF($B$43="전체",D182&lt;EDATE($B$3,1),IF($B$43="미정산",U182&gt;0,OR(S182=$B$3,Z182&gt;0,U182&gt;0)))),1,0)</f>
        <v>0</v>
      </c>
      <c r="Y182" s="504">
        <f>IF(X182=1,COUNTIF($X$100:X182,1),0)</f>
        <v>0</v>
      </c>
      <c r="Z182" s="526">
        <f>IF(R182="OK",SUMIFS($O$430:$O$729,$B$430:$B$729,A182,$E$430:$E$729,"&gt;="&amp;$B$3,$E$430:$E$729,"&lt;"&amp;EDATE($B$3,1)),0)</f>
        <v>0</v>
      </c>
    </row>
    <row r="183" hidden="1" outlineLevel="1">
      <c r="A183" s="504">
        <f>IF(F183="","",IF(F183&gt;0,"R"&amp;F183,""))</f>
      </c>
      <c r="B183" s="504">
        <f>IF(F183="","",IFERROR(INDEX(RAW!$F:$F,MAX(2,F183)),""))</f>
      </c>
      <c r="C183" s="522" t="n"/>
      <c r="D183" s="524">
        <f>IF(F183="","",IFERROR(INDEX(RAW!$A:$A,MAX(2,F183)),""))</f>
      </c>
      <c r="E183" s="525">
        <f>IF(F183="","",IFERROR(INDEX(RAW!$K:$K,MAX(2,F183)),0))</f>
      </c>
      <c r="F183" s="522" t="n"/>
      <c r="G183" s="504" t="inlineStr">
        <is>
          <t>신규</t>
        </is>
      </c>
      <c r="O183" s="498">
        <f>IF(LEFT(R183,2)="확인",R183,"")</f>
      </c>
      <c r="R183" s="504">
        <f>IF(A183="","",IF(C183="생활비","생활비",IF(AND(COUNTIF($A$8:$A$12,C183)=1,ISNUMBER(D183),E183&gt;0,COUNTIF($A$100:$A$399,A183)=1,IFERROR(IF(F183="",AND(LEFT(A183,1)="U",G183="월기록"),AND(F183&gt;=2,COUNTIF($F$100:$F$399,F183)=1,INDEX(RAW!$H:$H,MAX(2,F183))="지출",D183=INDEX(RAW!$A:$A,MAX(2,F183)),E183&lt;=INDEX(RAW!$K:$K,MAX(2,F183)),OR(AND(G183="기존반영",OR(A183="U003",A183="U007")),AND(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AND(OR(A183&lt;&gt;"U003",F183=356),OR(A183&lt;&gt;"U007",F183=2203),OR(G183&lt;&gt;"기존반영",A183="U003",A183="U007")))),FALSE)),"OK","확인: 사용등록")))</f>
      </c>
      <c r="S183" s="504">
        <f>IF(ISNUMBER(D183),DATE(YEAR(D183),MONTH(D183),1),0)</f>
        <v>0</v>
      </c>
      <c r="T183" s="526">
        <f>IF(R183="OK",SUMIFS($O$430:$O$729,$B$430:$B$729,A183,$E$430:$E$729,"&lt;"&amp;EDATE($B$3,1)),0)</f>
        <v>0</v>
      </c>
      <c r="U183" s="526">
        <f>IF(AND(R183="OK",D183&lt;EDATE($B$3,1),$B$3&gt;=DATE(2026,3,1)),MAX(0,E183-T183),0)</f>
        <v>0</v>
      </c>
      <c r="V183" s="526">
        <f>IFERROR(IF(AND(R183="OK",AND(F183&gt;=2,G183&lt;&gt;"기존반영",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E183,0),0)</f>
        <v>0</v>
      </c>
      <c r="W183" s="526">
        <f>IF(V183&gt;0,ROUNDUP(INDEX(RAW!$K:$K,MAX(2,F183))/1000,0)*1000-ROUNDUP((INDEX(RAW!$K:$K,MAX(2,F183))-V183)/1000,0)*1000,0)</f>
        <v>0</v>
      </c>
      <c r="X183" s="504">
        <f>IF(AND(R183="OK",IF($B$43="전체",D183&lt;EDATE($B$3,1),IF($B$43="미정산",U183&gt;0,OR(S183=$B$3,Z183&gt;0,U183&gt;0)))),1,0)</f>
        <v>0</v>
      </c>
      <c r="Y183" s="504">
        <f>IF(X183=1,COUNTIF($X$100:X183,1),0)</f>
        <v>0</v>
      </c>
      <c r="Z183" s="526">
        <f>IF(R183="OK",SUMIFS($O$430:$O$729,$B$430:$B$729,A183,$E$430:$E$729,"&gt;="&amp;$B$3,$E$430:$E$729,"&lt;"&amp;EDATE($B$3,1)),0)</f>
        <v>0</v>
      </c>
    </row>
    <row r="184" hidden="1" outlineLevel="1">
      <c r="A184" s="504">
        <f>IF(F184="","",IF(F184&gt;0,"R"&amp;F184,""))</f>
      </c>
      <c r="B184" s="504">
        <f>IF(F184="","",IFERROR(INDEX(RAW!$F:$F,MAX(2,F184)),""))</f>
      </c>
      <c r="C184" s="522" t="n"/>
      <c r="D184" s="524">
        <f>IF(F184="","",IFERROR(INDEX(RAW!$A:$A,MAX(2,F184)),""))</f>
      </c>
      <c r="E184" s="525">
        <f>IF(F184="","",IFERROR(INDEX(RAW!$K:$K,MAX(2,F184)),0))</f>
      </c>
      <c r="F184" s="522" t="n"/>
      <c r="G184" s="504" t="inlineStr">
        <is>
          <t>신규</t>
        </is>
      </c>
      <c r="O184" s="498">
        <f>IF(LEFT(R184,2)="확인",R184,"")</f>
      </c>
      <c r="R184" s="504">
        <f>IF(A184="","",IF(C184="생활비","생활비",IF(AND(COUNTIF($A$8:$A$12,C184)=1,ISNUMBER(D184),E184&gt;0,COUNTIF($A$100:$A$399,A184)=1,IFERROR(IF(F184="",AND(LEFT(A184,1)="U",G184="월기록"),AND(F184&gt;=2,COUNTIF($F$100:$F$399,F184)=1,INDEX(RAW!$H:$H,MAX(2,F184))="지출",D184=INDEX(RAW!$A:$A,MAX(2,F184)),E184&lt;=INDEX(RAW!$K:$K,MAX(2,F184)),OR(AND(G184="기존반영",OR(A184="U003",A184="U007")),AND(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AND(OR(A184&lt;&gt;"U003",F184=356),OR(A184&lt;&gt;"U007",F184=2203),OR(G184&lt;&gt;"기존반영",A184="U003",A184="U007")))),FALSE)),"OK","확인: 사용등록")))</f>
      </c>
      <c r="S184" s="504">
        <f>IF(ISNUMBER(D184),DATE(YEAR(D184),MONTH(D184),1),0)</f>
        <v>0</v>
      </c>
      <c r="T184" s="526">
        <f>IF(R184="OK",SUMIFS($O$430:$O$729,$B$430:$B$729,A184,$E$430:$E$729,"&lt;"&amp;EDATE($B$3,1)),0)</f>
        <v>0</v>
      </c>
      <c r="U184" s="526">
        <f>IF(AND(R184="OK",D184&lt;EDATE($B$3,1),$B$3&gt;=DATE(2026,3,1)),MAX(0,E184-T184),0)</f>
        <v>0</v>
      </c>
      <c r="V184" s="526">
        <f>IFERROR(IF(AND(R184="OK",AND(F184&gt;=2,G184&lt;&gt;"기존반영",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E184,0),0)</f>
        <v>0</v>
      </c>
      <c r="W184" s="526">
        <f>IF(V184&gt;0,ROUNDUP(INDEX(RAW!$K:$K,MAX(2,F184))/1000,0)*1000-ROUNDUP((INDEX(RAW!$K:$K,MAX(2,F184))-V184)/1000,0)*1000,0)</f>
        <v>0</v>
      </c>
      <c r="X184" s="504">
        <f>IF(AND(R184="OK",IF($B$43="전체",D184&lt;EDATE($B$3,1),IF($B$43="미정산",U184&gt;0,OR(S184=$B$3,Z184&gt;0,U184&gt;0)))),1,0)</f>
        <v>0</v>
      </c>
      <c r="Y184" s="504">
        <f>IF(X184=1,COUNTIF($X$100:X184,1),0)</f>
        <v>0</v>
      </c>
      <c r="Z184" s="526">
        <f>IF(R184="OK",SUMIFS($O$430:$O$729,$B$430:$B$729,A184,$E$430:$E$729,"&gt;="&amp;$B$3,$E$430:$E$729,"&lt;"&amp;EDATE($B$3,1)),0)</f>
        <v>0</v>
      </c>
    </row>
    <row r="185" hidden="1" outlineLevel="1">
      <c r="A185" s="504">
        <f>IF(F185="","",IF(F185&gt;0,"R"&amp;F185,""))</f>
      </c>
      <c r="B185" s="504">
        <f>IF(F185="","",IFERROR(INDEX(RAW!$F:$F,MAX(2,F185)),""))</f>
      </c>
      <c r="C185" s="522" t="n"/>
      <c r="D185" s="524">
        <f>IF(F185="","",IFERROR(INDEX(RAW!$A:$A,MAX(2,F185)),""))</f>
      </c>
      <c r="E185" s="525">
        <f>IF(F185="","",IFERROR(INDEX(RAW!$K:$K,MAX(2,F185)),0))</f>
      </c>
      <c r="F185" s="522" t="n"/>
      <c r="G185" s="504" t="inlineStr">
        <is>
          <t>신규</t>
        </is>
      </c>
      <c r="O185" s="498">
        <f>IF(LEFT(R185,2)="확인",R185,"")</f>
      </c>
      <c r="R185" s="504">
        <f>IF(A185="","",IF(C185="생활비","생활비",IF(AND(COUNTIF($A$8:$A$12,C185)=1,ISNUMBER(D185),E185&gt;0,COUNTIF($A$100:$A$399,A185)=1,IFERROR(IF(F185="",AND(LEFT(A185,1)="U",G185="월기록"),AND(F185&gt;=2,COUNTIF($F$100:$F$399,F185)=1,INDEX(RAW!$H:$H,MAX(2,F185))="지출",D185=INDEX(RAW!$A:$A,MAX(2,F185)),E185&lt;=INDEX(RAW!$K:$K,MAX(2,F185)),OR(AND(G185="기존반영",OR(A185="U003",A185="U007")),AND(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AND(OR(A185&lt;&gt;"U003",F185=356),OR(A185&lt;&gt;"U007",F185=2203),OR(G185&lt;&gt;"기존반영",A185="U003",A185="U007")))),FALSE)),"OK","확인: 사용등록")))</f>
      </c>
      <c r="S185" s="504">
        <f>IF(ISNUMBER(D185),DATE(YEAR(D185),MONTH(D185),1),0)</f>
        <v>0</v>
      </c>
      <c r="T185" s="526">
        <f>IF(R185="OK",SUMIFS($O$430:$O$729,$B$430:$B$729,A185,$E$430:$E$729,"&lt;"&amp;EDATE($B$3,1)),0)</f>
        <v>0</v>
      </c>
      <c r="U185" s="526">
        <f>IF(AND(R185="OK",D185&lt;EDATE($B$3,1),$B$3&gt;=DATE(2026,3,1)),MAX(0,E185-T185),0)</f>
        <v>0</v>
      </c>
      <c r="V185" s="526">
        <f>IFERROR(IF(AND(R185="OK",AND(F185&gt;=2,G185&lt;&gt;"기존반영",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E185,0),0)</f>
        <v>0</v>
      </c>
      <c r="W185" s="526">
        <f>IF(V185&gt;0,ROUNDUP(INDEX(RAW!$K:$K,MAX(2,F185))/1000,0)*1000-ROUNDUP((INDEX(RAW!$K:$K,MAX(2,F185))-V185)/1000,0)*1000,0)</f>
        <v>0</v>
      </c>
      <c r="X185" s="504">
        <f>IF(AND(R185="OK",IF($B$43="전체",D185&lt;EDATE($B$3,1),IF($B$43="미정산",U185&gt;0,OR(S185=$B$3,Z185&gt;0,U185&gt;0)))),1,0)</f>
        <v>0</v>
      </c>
      <c r="Y185" s="504">
        <f>IF(X185=1,COUNTIF($X$100:X185,1),0)</f>
        <v>0</v>
      </c>
      <c r="Z185" s="526">
        <f>IF(R185="OK",SUMIFS($O$430:$O$729,$B$430:$B$729,A185,$E$430:$E$729,"&gt;="&amp;$B$3,$E$430:$E$729,"&lt;"&amp;EDATE($B$3,1)),0)</f>
        <v>0</v>
      </c>
    </row>
    <row r="186" hidden="1" outlineLevel="1">
      <c r="A186" s="504">
        <f>IF(F186="","",IF(F186&gt;0,"R"&amp;F186,""))</f>
      </c>
      <c r="B186" s="504">
        <f>IF(F186="","",IFERROR(INDEX(RAW!$F:$F,MAX(2,F186)),""))</f>
      </c>
      <c r="C186" s="522" t="n"/>
      <c r="D186" s="524">
        <f>IF(F186="","",IFERROR(INDEX(RAW!$A:$A,MAX(2,F186)),""))</f>
      </c>
      <c r="E186" s="525">
        <f>IF(F186="","",IFERROR(INDEX(RAW!$K:$K,MAX(2,F186)),0))</f>
      </c>
      <c r="F186" s="522" t="n"/>
      <c r="G186" s="504" t="inlineStr">
        <is>
          <t>신규</t>
        </is>
      </c>
      <c r="O186" s="498">
        <f>IF(LEFT(R186,2)="확인",R186,"")</f>
      </c>
      <c r="R186" s="504">
        <f>IF(A186="","",IF(C186="생활비","생활비",IF(AND(COUNTIF($A$8:$A$12,C186)=1,ISNUMBER(D186),E186&gt;0,COUNTIF($A$100:$A$399,A186)=1,IFERROR(IF(F186="",AND(LEFT(A186,1)="U",G186="월기록"),AND(F186&gt;=2,COUNTIF($F$100:$F$399,F186)=1,INDEX(RAW!$H:$H,MAX(2,F186))="지출",D186=INDEX(RAW!$A:$A,MAX(2,F186)),E186&lt;=INDEX(RAW!$K:$K,MAX(2,F186)),OR(AND(G186="기존반영",OR(A186="U003",A186="U007")),AND(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AND(OR(A186&lt;&gt;"U003",F186=356),OR(A186&lt;&gt;"U007",F186=2203),OR(G186&lt;&gt;"기존반영",A186="U003",A186="U007")))),FALSE)),"OK","확인: 사용등록")))</f>
      </c>
      <c r="S186" s="504">
        <f>IF(ISNUMBER(D186),DATE(YEAR(D186),MONTH(D186),1),0)</f>
        <v>0</v>
      </c>
      <c r="T186" s="526">
        <f>IF(R186="OK",SUMIFS($O$430:$O$729,$B$430:$B$729,A186,$E$430:$E$729,"&lt;"&amp;EDATE($B$3,1)),0)</f>
        <v>0</v>
      </c>
      <c r="U186" s="526">
        <f>IF(AND(R186="OK",D186&lt;EDATE($B$3,1),$B$3&gt;=DATE(2026,3,1)),MAX(0,E186-T186),0)</f>
        <v>0</v>
      </c>
      <c r="V186" s="526">
        <f>IFERROR(IF(AND(R186="OK",AND(F186&gt;=2,G186&lt;&gt;"기존반영",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E186,0),0)</f>
        <v>0</v>
      </c>
      <c r="W186" s="526">
        <f>IF(V186&gt;0,ROUNDUP(INDEX(RAW!$K:$K,MAX(2,F186))/1000,0)*1000-ROUNDUP((INDEX(RAW!$K:$K,MAX(2,F186))-V186)/1000,0)*1000,0)</f>
        <v>0</v>
      </c>
      <c r="X186" s="504">
        <f>IF(AND(R186="OK",IF($B$43="전체",D186&lt;EDATE($B$3,1),IF($B$43="미정산",U186&gt;0,OR(S186=$B$3,Z186&gt;0,U186&gt;0)))),1,0)</f>
        <v>0</v>
      </c>
      <c r="Y186" s="504">
        <f>IF(X186=1,COUNTIF($X$100:X186,1),0)</f>
        <v>0</v>
      </c>
      <c r="Z186" s="526">
        <f>IF(R186="OK",SUMIFS($O$430:$O$729,$B$430:$B$729,A186,$E$430:$E$729,"&gt;="&amp;$B$3,$E$430:$E$729,"&lt;"&amp;EDATE($B$3,1)),0)</f>
        <v>0</v>
      </c>
    </row>
    <row r="187" hidden="1" outlineLevel="1">
      <c r="A187" s="504">
        <f>IF(F187="","",IF(F187&gt;0,"R"&amp;F187,""))</f>
      </c>
      <c r="B187" s="504">
        <f>IF(F187="","",IFERROR(INDEX(RAW!$F:$F,MAX(2,F187)),""))</f>
      </c>
      <c r="C187" s="522" t="n"/>
      <c r="D187" s="524">
        <f>IF(F187="","",IFERROR(INDEX(RAW!$A:$A,MAX(2,F187)),""))</f>
      </c>
      <c r="E187" s="525">
        <f>IF(F187="","",IFERROR(INDEX(RAW!$K:$K,MAX(2,F187)),0))</f>
      </c>
      <c r="F187" s="522" t="n"/>
      <c r="G187" s="504" t="inlineStr">
        <is>
          <t>신규</t>
        </is>
      </c>
      <c r="O187" s="498">
        <f>IF(LEFT(R187,2)="확인",R187,"")</f>
      </c>
      <c r="R187" s="504">
        <f>IF(A187="","",IF(C187="생활비","생활비",IF(AND(COUNTIF($A$8:$A$12,C187)=1,ISNUMBER(D187),E187&gt;0,COUNTIF($A$100:$A$399,A187)=1,IFERROR(IF(F187="",AND(LEFT(A187,1)="U",G187="월기록"),AND(F187&gt;=2,COUNTIF($F$100:$F$399,F187)=1,INDEX(RAW!$H:$H,MAX(2,F187))="지출",D187=INDEX(RAW!$A:$A,MAX(2,F187)),E187&lt;=INDEX(RAW!$K:$K,MAX(2,F187)),OR(AND(G187="기존반영",OR(A187="U003",A187="U007")),AND(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AND(OR(A187&lt;&gt;"U003",F187=356),OR(A187&lt;&gt;"U007",F187=2203),OR(G187&lt;&gt;"기존반영",A187="U003",A187="U007")))),FALSE)),"OK","확인: 사용등록")))</f>
      </c>
      <c r="S187" s="504">
        <f>IF(ISNUMBER(D187),DATE(YEAR(D187),MONTH(D187),1),0)</f>
        <v>0</v>
      </c>
      <c r="T187" s="526">
        <f>IF(R187="OK",SUMIFS($O$430:$O$729,$B$430:$B$729,A187,$E$430:$E$729,"&lt;"&amp;EDATE($B$3,1)),0)</f>
        <v>0</v>
      </c>
      <c r="U187" s="526">
        <f>IF(AND(R187="OK",D187&lt;EDATE($B$3,1),$B$3&gt;=DATE(2026,3,1)),MAX(0,E187-T187),0)</f>
        <v>0</v>
      </c>
      <c r="V187" s="526">
        <f>IFERROR(IF(AND(R187="OK",AND(F187&gt;=2,G187&lt;&gt;"기존반영",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E187,0),0)</f>
        <v>0</v>
      </c>
      <c r="W187" s="526">
        <f>IF(V187&gt;0,ROUNDUP(INDEX(RAW!$K:$K,MAX(2,F187))/1000,0)*1000-ROUNDUP((INDEX(RAW!$K:$K,MAX(2,F187))-V187)/1000,0)*1000,0)</f>
        <v>0</v>
      </c>
      <c r="X187" s="504">
        <f>IF(AND(R187="OK",IF($B$43="전체",D187&lt;EDATE($B$3,1),IF($B$43="미정산",U187&gt;0,OR(S187=$B$3,Z187&gt;0,U187&gt;0)))),1,0)</f>
        <v>0</v>
      </c>
      <c r="Y187" s="504">
        <f>IF(X187=1,COUNTIF($X$100:X187,1),0)</f>
        <v>0</v>
      </c>
      <c r="Z187" s="526">
        <f>IF(R187="OK",SUMIFS($O$430:$O$729,$B$430:$B$729,A187,$E$430:$E$729,"&gt;="&amp;$B$3,$E$430:$E$729,"&lt;"&amp;EDATE($B$3,1)),0)</f>
        <v>0</v>
      </c>
    </row>
    <row r="188" hidden="1" outlineLevel="1">
      <c r="A188" s="504">
        <f>IF(F188="","",IF(F188&gt;0,"R"&amp;F188,""))</f>
      </c>
      <c r="B188" s="504">
        <f>IF(F188="","",IFERROR(INDEX(RAW!$F:$F,MAX(2,F188)),""))</f>
      </c>
      <c r="C188" s="522" t="n"/>
      <c r="D188" s="524">
        <f>IF(F188="","",IFERROR(INDEX(RAW!$A:$A,MAX(2,F188)),""))</f>
      </c>
      <c r="E188" s="525">
        <f>IF(F188="","",IFERROR(INDEX(RAW!$K:$K,MAX(2,F188)),0))</f>
      </c>
      <c r="F188" s="522" t="n"/>
      <c r="G188" s="504" t="inlineStr">
        <is>
          <t>신규</t>
        </is>
      </c>
      <c r="O188" s="498">
        <f>IF(LEFT(R188,2)="확인",R188,"")</f>
      </c>
      <c r="R188" s="504">
        <f>IF(A188="","",IF(C188="생활비","생활비",IF(AND(COUNTIF($A$8:$A$12,C188)=1,ISNUMBER(D188),E188&gt;0,COUNTIF($A$100:$A$399,A188)=1,IFERROR(IF(F188="",AND(LEFT(A188,1)="U",G188="월기록"),AND(F188&gt;=2,COUNTIF($F$100:$F$399,F188)=1,INDEX(RAW!$H:$H,MAX(2,F188))="지출",D188=INDEX(RAW!$A:$A,MAX(2,F188)),E188&lt;=INDEX(RAW!$K:$K,MAX(2,F188)),OR(AND(G188="기존반영",OR(A188="U003",A188="U007")),AND(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AND(OR(A188&lt;&gt;"U003",F188=356),OR(A188&lt;&gt;"U007",F188=2203),OR(G188&lt;&gt;"기존반영",A188="U003",A188="U007")))),FALSE)),"OK","확인: 사용등록")))</f>
      </c>
      <c r="S188" s="504">
        <f>IF(ISNUMBER(D188),DATE(YEAR(D188),MONTH(D188),1),0)</f>
        <v>0</v>
      </c>
      <c r="T188" s="526">
        <f>IF(R188="OK",SUMIFS($O$430:$O$729,$B$430:$B$729,A188,$E$430:$E$729,"&lt;"&amp;EDATE($B$3,1)),0)</f>
        <v>0</v>
      </c>
      <c r="U188" s="526">
        <f>IF(AND(R188="OK",D188&lt;EDATE($B$3,1),$B$3&gt;=DATE(2026,3,1)),MAX(0,E188-T188),0)</f>
        <v>0</v>
      </c>
      <c r="V188" s="526">
        <f>IFERROR(IF(AND(R188="OK",AND(F188&gt;=2,G188&lt;&gt;"기존반영",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E188,0),0)</f>
        <v>0</v>
      </c>
      <c r="W188" s="526">
        <f>IF(V188&gt;0,ROUNDUP(INDEX(RAW!$K:$K,MAX(2,F188))/1000,0)*1000-ROUNDUP((INDEX(RAW!$K:$K,MAX(2,F188))-V188)/1000,0)*1000,0)</f>
        <v>0</v>
      </c>
      <c r="X188" s="504">
        <f>IF(AND(R188="OK",IF($B$43="전체",D188&lt;EDATE($B$3,1),IF($B$43="미정산",U188&gt;0,OR(S188=$B$3,Z188&gt;0,U188&gt;0)))),1,0)</f>
        <v>0</v>
      </c>
      <c r="Y188" s="504">
        <f>IF(X188=1,COUNTIF($X$100:X188,1),0)</f>
        <v>0</v>
      </c>
      <c r="Z188" s="526">
        <f>IF(R188="OK",SUMIFS($O$430:$O$729,$B$430:$B$729,A188,$E$430:$E$729,"&gt;="&amp;$B$3,$E$430:$E$729,"&lt;"&amp;EDATE($B$3,1)),0)</f>
        <v>0</v>
      </c>
    </row>
    <row r="189" hidden="1" outlineLevel="1">
      <c r="A189" s="504">
        <f>IF(F189="","",IF(F189&gt;0,"R"&amp;F189,""))</f>
      </c>
      <c r="B189" s="504">
        <f>IF(F189="","",IFERROR(INDEX(RAW!$F:$F,MAX(2,F189)),""))</f>
      </c>
      <c r="C189" s="522" t="n"/>
      <c r="D189" s="524">
        <f>IF(F189="","",IFERROR(INDEX(RAW!$A:$A,MAX(2,F189)),""))</f>
      </c>
      <c r="E189" s="525">
        <f>IF(F189="","",IFERROR(INDEX(RAW!$K:$K,MAX(2,F189)),0))</f>
      </c>
      <c r="F189" s="522" t="n"/>
      <c r="G189" s="504" t="inlineStr">
        <is>
          <t>신규</t>
        </is>
      </c>
      <c r="O189" s="498">
        <f>IF(LEFT(R189,2)="확인",R189,"")</f>
      </c>
      <c r="R189" s="504">
        <f>IF(A189="","",IF(C189="생활비","생활비",IF(AND(COUNTIF($A$8:$A$12,C189)=1,ISNUMBER(D189),E189&gt;0,COUNTIF($A$100:$A$399,A189)=1,IFERROR(IF(F189="",AND(LEFT(A189,1)="U",G189="월기록"),AND(F189&gt;=2,COUNTIF($F$100:$F$399,F189)=1,INDEX(RAW!$H:$H,MAX(2,F189))="지출",D189=INDEX(RAW!$A:$A,MAX(2,F189)),E189&lt;=INDEX(RAW!$K:$K,MAX(2,F189)),OR(AND(G189="기존반영",OR(A189="U003",A189="U007")),AND(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AND(OR(A189&lt;&gt;"U003",F189=356),OR(A189&lt;&gt;"U007",F189=2203),OR(G189&lt;&gt;"기존반영",A189="U003",A189="U007")))),FALSE)),"OK","확인: 사용등록")))</f>
      </c>
      <c r="S189" s="504">
        <f>IF(ISNUMBER(D189),DATE(YEAR(D189),MONTH(D189),1),0)</f>
        <v>0</v>
      </c>
      <c r="T189" s="526">
        <f>IF(R189="OK",SUMIFS($O$430:$O$729,$B$430:$B$729,A189,$E$430:$E$729,"&lt;"&amp;EDATE($B$3,1)),0)</f>
        <v>0</v>
      </c>
      <c r="U189" s="526">
        <f>IF(AND(R189="OK",D189&lt;EDATE($B$3,1),$B$3&gt;=DATE(2026,3,1)),MAX(0,E189-T189),0)</f>
        <v>0</v>
      </c>
      <c r="V189" s="526">
        <f>IFERROR(IF(AND(R189="OK",AND(F189&gt;=2,G189&lt;&gt;"기존반영",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E189,0),0)</f>
        <v>0</v>
      </c>
      <c r="W189" s="526">
        <f>IF(V189&gt;0,ROUNDUP(INDEX(RAW!$K:$K,MAX(2,F189))/1000,0)*1000-ROUNDUP((INDEX(RAW!$K:$K,MAX(2,F189))-V189)/1000,0)*1000,0)</f>
        <v>0</v>
      </c>
      <c r="X189" s="504">
        <f>IF(AND(R189="OK",IF($B$43="전체",D189&lt;EDATE($B$3,1),IF($B$43="미정산",U189&gt;0,OR(S189=$B$3,Z189&gt;0,U189&gt;0)))),1,0)</f>
        <v>0</v>
      </c>
      <c r="Y189" s="504">
        <f>IF(X189=1,COUNTIF($X$100:X189,1),0)</f>
        <v>0</v>
      </c>
      <c r="Z189" s="526">
        <f>IF(R189="OK",SUMIFS($O$430:$O$729,$B$430:$B$729,A189,$E$430:$E$729,"&gt;="&amp;$B$3,$E$430:$E$729,"&lt;"&amp;EDATE($B$3,1)),0)</f>
        <v>0</v>
      </c>
    </row>
    <row r="190" hidden="1" outlineLevel="1">
      <c r="A190" s="504">
        <f>IF(F190="","",IF(F190&gt;0,"R"&amp;F190,""))</f>
      </c>
      <c r="B190" s="504">
        <f>IF(F190="","",IFERROR(INDEX(RAW!$F:$F,MAX(2,F190)),""))</f>
      </c>
      <c r="C190" s="522" t="n"/>
      <c r="D190" s="524">
        <f>IF(F190="","",IFERROR(INDEX(RAW!$A:$A,MAX(2,F190)),""))</f>
      </c>
      <c r="E190" s="525">
        <f>IF(F190="","",IFERROR(INDEX(RAW!$K:$K,MAX(2,F190)),0))</f>
      </c>
      <c r="F190" s="522" t="n"/>
      <c r="G190" s="504" t="inlineStr">
        <is>
          <t>신규</t>
        </is>
      </c>
      <c r="O190" s="498">
        <f>IF(LEFT(R190,2)="확인",R190,"")</f>
      </c>
      <c r="R190" s="504">
        <f>IF(A190="","",IF(C190="생활비","생활비",IF(AND(COUNTIF($A$8:$A$12,C190)=1,ISNUMBER(D190),E190&gt;0,COUNTIF($A$100:$A$399,A190)=1,IFERROR(IF(F190="",AND(LEFT(A190,1)="U",G190="월기록"),AND(F190&gt;=2,COUNTIF($F$100:$F$399,F190)=1,INDEX(RAW!$H:$H,MAX(2,F190))="지출",D190=INDEX(RAW!$A:$A,MAX(2,F190)),E190&lt;=INDEX(RAW!$K:$K,MAX(2,F190)),OR(AND(G190="기존반영",OR(A190="U003",A190="U007")),AND(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AND(OR(A190&lt;&gt;"U003",F190=356),OR(A190&lt;&gt;"U007",F190=2203),OR(G190&lt;&gt;"기존반영",A190="U003",A190="U007")))),FALSE)),"OK","확인: 사용등록")))</f>
      </c>
      <c r="S190" s="504">
        <f>IF(ISNUMBER(D190),DATE(YEAR(D190),MONTH(D190),1),0)</f>
        <v>0</v>
      </c>
      <c r="T190" s="526">
        <f>IF(R190="OK",SUMIFS($O$430:$O$729,$B$430:$B$729,A190,$E$430:$E$729,"&lt;"&amp;EDATE($B$3,1)),0)</f>
        <v>0</v>
      </c>
      <c r="U190" s="526">
        <f>IF(AND(R190="OK",D190&lt;EDATE($B$3,1),$B$3&gt;=DATE(2026,3,1)),MAX(0,E190-T190),0)</f>
        <v>0</v>
      </c>
      <c r="V190" s="526">
        <f>IFERROR(IF(AND(R190="OK",AND(F190&gt;=2,G190&lt;&gt;"기존반영",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E190,0),0)</f>
        <v>0</v>
      </c>
      <c r="W190" s="526">
        <f>IF(V190&gt;0,ROUNDUP(INDEX(RAW!$K:$K,MAX(2,F190))/1000,0)*1000-ROUNDUP((INDEX(RAW!$K:$K,MAX(2,F190))-V190)/1000,0)*1000,0)</f>
        <v>0</v>
      </c>
      <c r="X190" s="504">
        <f>IF(AND(R190="OK",IF($B$43="전체",D190&lt;EDATE($B$3,1),IF($B$43="미정산",U190&gt;0,OR(S190=$B$3,Z190&gt;0,U190&gt;0)))),1,0)</f>
        <v>0</v>
      </c>
      <c r="Y190" s="504">
        <f>IF(X190=1,COUNTIF($X$100:X190,1),0)</f>
        <v>0</v>
      </c>
      <c r="Z190" s="526">
        <f>IF(R190="OK",SUMIFS($O$430:$O$729,$B$430:$B$729,A190,$E$430:$E$729,"&gt;="&amp;$B$3,$E$430:$E$729,"&lt;"&amp;EDATE($B$3,1)),0)</f>
        <v>0</v>
      </c>
    </row>
    <row r="191" hidden="1" outlineLevel="1">
      <c r="A191" s="504">
        <f>IF(F191="","",IF(F191&gt;0,"R"&amp;F191,""))</f>
      </c>
      <c r="B191" s="504">
        <f>IF(F191="","",IFERROR(INDEX(RAW!$F:$F,MAX(2,F191)),""))</f>
      </c>
      <c r="C191" s="522" t="n"/>
      <c r="D191" s="524">
        <f>IF(F191="","",IFERROR(INDEX(RAW!$A:$A,MAX(2,F191)),""))</f>
      </c>
      <c r="E191" s="525">
        <f>IF(F191="","",IFERROR(INDEX(RAW!$K:$K,MAX(2,F191)),0))</f>
      </c>
      <c r="F191" s="522" t="n"/>
      <c r="G191" s="504" t="inlineStr">
        <is>
          <t>신규</t>
        </is>
      </c>
      <c r="O191" s="498">
        <f>IF(LEFT(R191,2)="확인",R191,"")</f>
      </c>
      <c r="R191" s="504">
        <f>IF(A191="","",IF(C191="생활비","생활비",IF(AND(COUNTIF($A$8:$A$12,C191)=1,ISNUMBER(D191),E191&gt;0,COUNTIF($A$100:$A$399,A191)=1,IFERROR(IF(F191="",AND(LEFT(A191,1)="U",G191="월기록"),AND(F191&gt;=2,COUNTIF($F$100:$F$399,F191)=1,INDEX(RAW!$H:$H,MAX(2,F191))="지출",D191=INDEX(RAW!$A:$A,MAX(2,F191)),E191&lt;=INDEX(RAW!$K:$K,MAX(2,F191)),OR(AND(G191="기존반영",OR(A191="U003",A191="U007")),AND(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AND(OR(A191&lt;&gt;"U003",F191=356),OR(A191&lt;&gt;"U007",F191=2203),OR(G191&lt;&gt;"기존반영",A191="U003",A191="U007")))),FALSE)),"OK","확인: 사용등록")))</f>
      </c>
      <c r="S191" s="504">
        <f>IF(ISNUMBER(D191),DATE(YEAR(D191),MONTH(D191),1),0)</f>
        <v>0</v>
      </c>
      <c r="T191" s="526">
        <f>IF(R191="OK",SUMIFS($O$430:$O$729,$B$430:$B$729,A191,$E$430:$E$729,"&lt;"&amp;EDATE($B$3,1)),0)</f>
        <v>0</v>
      </c>
      <c r="U191" s="526">
        <f>IF(AND(R191="OK",D191&lt;EDATE($B$3,1),$B$3&gt;=DATE(2026,3,1)),MAX(0,E191-T191),0)</f>
        <v>0</v>
      </c>
      <c r="V191" s="526">
        <f>IFERROR(IF(AND(R191="OK",AND(F191&gt;=2,G191&lt;&gt;"기존반영",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E191,0),0)</f>
        <v>0</v>
      </c>
      <c r="W191" s="526">
        <f>IF(V191&gt;0,ROUNDUP(INDEX(RAW!$K:$K,MAX(2,F191))/1000,0)*1000-ROUNDUP((INDEX(RAW!$K:$K,MAX(2,F191))-V191)/1000,0)*1000,0)</f>
        <v>0</v>
      </c>
      <c r="X191" s="504">
        <f>IF(AND(R191="OK",IF($B$43="전체",D191&lt;EDATE($B$3,1),IF($B$43="미정산",U191&gt;0,OR(S191=$B$3,Z191&gt;0,U191&gt;0)))),1,0)</f>
        <v>0</v>
      </c>
      <c r="Y191" s="504">
        <f>IF(X191=1,COUNTIF($X$100:X191,1),0)</f>
        <v>0</v>
      </c>
      <c r="Z191" s="526">
        <f>IF(R191="OK",SUMIFS($O$430:$O$729,$B$430:$B$729,A191,$E$430:$E$729,"&gt;="&amp;$B$3,$E$430:$E$729,"&lt;"&amp;EDATE($B$3,1)),0)</f>
        <v>0</v>
      </c>
    </row>
    <row r="192" hidden="1" outlineLevel="1">
      <c r="A192" s="504">
        <f>IF(F192="","",IF(F192&gt;0,"R"&amp;F192,""))</f>
      </c>
      <c r="B192" s="504">
        <f>IF(F192="","",IFERROR(INDEX(RAW!$F:$F,MAX(2,F192)),""))</f>
      </c>
      <c r="C192" s="522" t="n"/>
      <c r="D192" s="524">
        <f>IF(F192="","",IFERROR(INDEX(RAW!$A:$A,MAX(2,F192)),""))</f>
      </c>
      <c r="E192" s="525">
        <f>IF(F192="","",IFERROR(INDEX(RAW!$K:$K,MAX(2,F192)),0))</f>
      </c>
      <c r="F192" s="522" t="n"/>
      <c r="G192" s="504" t="inlineStr">
        <is>
          <t>신규</t>
        </is>
      </c>
      <c r="O192" s="498">
        <f>IF(LEFT(R192,2)="확인",R192,"")</f>
      </c>
      <c r="R192" s="504">
        <f>IF(A192="","",IF(C192="생활비","생활비",IF(AND(COUNTIF($A$8:$A$12,C192)=1,ISNUMBER(D192),E192&gt;0,COUNTIF($A$100:$A$399,A192)=1,IFERROR(IF(F192="",AND(LEFT(A192,1)="U",G192="월기록"),AND(F192&gt;=2,COUNTIF($F$100:$F$399,F192)=1,INDEX(RAW!$H:$H,MAX(2,F192))="지출",D192=INDEX(RAW!$A:$A,MAX(2,F192)),E192&lt;=INDEX(RAW!$K:$K,MAX(2,F192)),OR(AND(G192="기존반영",OR(A192="U003",A192="U007")),AND(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AND(OR(A192&lt;&gt;"U003",F192=356),OR(A192&lt;&gt;"U007",F192=2203),OR(G192&lt;&gt;"기존반영",A192="U003",A192="U007")))),FALSE)),"OK","확인: 사용등록")))</f>
      </c>
      <c r="S192" s="504">
        <f>IF(ISNUMBER(D192),DATE(YEAR(D192),MONTH(D192),1),0)</f>
        <v>0</v>
      </c>
      <c r="T192" s="526">
        <f>IF(R192="OK",SUMIFS($O$430:$O$729,$B$430:$B$729,A192,$E$430:$E$729,"&lt;"&amp;EDATE($B$3,1)),0)</f>
        <v>0</v>
      </c>
      <c r="U192" s="526">
        <f>IF(AND(R192="OK",D192&lt;EDATE($B$3,1),$B$3&gt;=DATE(2026,3,1)),MAX(0,E192-T192),0)</f>
        <v>0</v>
      </c>
      <c r="V192" s="526">
        <f>IFERROR(IF(AND(R192="OK",AND(F192&gt;=2,G192&lt;&gt;"기존반영",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E192,0),0)</f>
        <v>0</v>
      </c>
      <c r="W192" s="526">
        <f>IF(V192&gt;0,ROUNDUP(INDEX(RAW!$K:$K,MAX(2,F192))/1000,0)*1000-ROUNDUP((INDEX(RAW!$K:$K,MAX(2,F192))-V192)/1000,0)*1000,0)</f>
        <v>0</v>
      </c>
      <c r="X192" s="504">
        <f>IF(AND(R192="OK",IF($B$43="전체",D192&lt;EDATE($B$3,1),IF($B$43="미정산",U192&gt;0,OR(S192=$B$3,Z192&gt;0,U192&gt;0)))),1,0)</f>
        <v>0</v>
      </c>
      <c r="Y192" s="504">
        <f>IF(X192=1,COUNTIF($X$100:X192,1),0)</f>
        <v>0</v>
      </c>
      <c r="Z192" s="526">
        <f>IF(R192="OK",SUMIFS($O$430:$O$729,$B$430:$B$729,A192,$E$430:$E$729,"&gt;="&amp;$B$3,$E$430:$E$729,"&lt;"&amp;EDATE($B$3,1)),0)</f>
        <v>0</v>
      </c>
    </row>
    <row r="193" hidden="1" outlineLevel="1">
      <c r="A193" s="504">
        <f>IF(F193="","",IF(F193&gt;0,"R"&amp;F193,""))</f>
      </c>
      <c r="B193" s="504">
        <f>IF(F193="","",IFERROR(INDEX(RAW!$F:$F,MAX(2,F193)),""))</f>
      </c>
      <c r="C193" s="522" t="n"/>
      <c r="D193" s="524">
        <f>IF(F193="","",IFERROR(INDEX(RAW!$A:$A,MAX(2,F193)),""))</f>
      </c>
      <c r="E193" s="525">
        <f>IF(F193="","",IFERROR(INDEX(RAW!$K:$K,MAX(2,F193)),0))</f>
      </c>
      <c r="F193" s="522" t="n"/>
      <c r="G193" s="504" t="inlineStr">
        <is>
          <t>신규</t>
        </is>
      </c>
      <c r="O193" s="498">
        <f>IF(LEFT(R193,2)="확인",R193,"")</f>
      </c>
      <c r="R193" s="504">
        <f>IF(A193="","",IF(C193="생활비","생활비",IF(AND(COUNTIF($A$8:$A$12,C193)=1,ISNUMBER(D193),E193&gt;0,COUNTIF($A$100:$A$399,A193)=1,IFERROR(IF(F193="",AND(LEFT(A193,1)="U",G193="월기록"),AND(F193&gt;=2,COUNTIF($F$100:$F$399,F193)=1,INDEX(RAW!$H:$H,MAX(2,F193))="지출",D193=INDEX(RAW!$A:$A,MAX(2,F193)),E193&lt;=INDEX(RAW!$K:$K,MAX(2,F193)),OR(AND(G193="기존반영",OR(A193="U003",A193="U007")),AND(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AND(OR(A193&lt;&gt;"U003",F193=356),OR(A193&lt;&gt;"U007",F193=2203),OR(G193&lt;&gt;"기존반영",A193="U003",A193="U007")))),FALSE)),"OK","확인: 사용등록")))</f>
      </c>
      <c r="S193" s="504">
        <f>IF(ISNUMBER(D193),DATE(YEAR(D193),MONTH(D193),1),0)</f>
        <v>0</v>
      </c>
      <c r="T193" s="526">
        <f>IF(R193="OK",SUMIFS($O$430:$O$729,$B$430:$B$729,A193,$E$430:$E$729,"&lt;"&amp;EDATE($B$3,1)),0)</f>
        <v>0</v>
      </c>
      <c r="U193" s="526">
        <f>IF(AND(R193="OK",D193&lt;EDATE($B$3,1),$B$3&gt;=DATE(2026,3,1)),MAX(0,E193-T193),0)</f>
        <v>0</v>
      </c>
      <c r="V193" s="526">
        <f>IFERROR(IF(AND(R193="OK",AND(F193&gt;=2,G193&lt;&gt;"기존반영",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E193,0),0)</f>
        <v>0</v>
      </c>
      <c r="W193" s="526">
        <f>IF(V193&gt;0,ROUNDUP(INDEX(RAW!$K:$K,MAX(2,F193))/1000,0)*1000-ROUNDUP((INDEX(RAW!$K:$K,MAX(2,F193))-V193)/1000,0)*1000,0)</f>
        <v>0</v>
      </c>
      <c r="X193" s="504">
        <f>IF(AND(R193="OK",IF($B$43="전체",D193&lt;EDATE($B$3,1),IF($B$43="미정산",U193&gt;0,OR(S193=$B$3,Z193&gt;0,U193&gt;0)))),1,0)</f>
        <v>0</v>
      </c>
      <c r="Y193" s="504">
        <f>IF(X193=1,COUNTIF($X$100:X193,1),0)</f>
        <v>0</v>
      </c>
      <c r="Z193" s="526">
        <f>IF(R193="OK",SUMIFS($O$430:$O$729,$B$430:$B$729,A193,$E$430:$E$729,"&gt;="&amp;$B$3,$E$430:$E$729,"&lt;"&amp;EDATE($B$3,1)),0)</f>
        <v>0</v>
      </c>
    </row>
    <row r="194" hidden="1" outlineLevel="1">
      <c r="A194" s="504">
        <f>IF(F194="","",IF(F194&gt;0,"R"&amp;F194,""))</f>
      </c>
      <c r="B194" s="504">
        <f>IF(F194="","",IFERROR(INDEX(RAW!$F:$F,MAX(2,F194)),""))</f>
      </c>
      <c r="C194" s="522" t="n"/>
      <c r="D194" s="524">
        <f>IF(F194="","",IFERROR(INDEX(RAW!$A:$A,MAX(2,F194)),""))</f>
      </c>
      <c r="E194" s="525">
        <f>IF(F194="","",IFERROR(INDEX(RAW!$K:$K,MAX(2,F194)),0))</f>
      </c>
      <c r="F194" s="522" t="n"/>
      <c r="G194" s="504" t="inlineStr">
        <is>
          <t>신규</t>
        </is>
      </c>
      <c r="O194" s="498">
        <f>IF(LEFT(R194,2)="확인",R194,"")</f>
      </c>
      <c r="R194" s="504">
        <f>IF(A194="","",IF(C194="생활비","생활비",IF(AND(COUNTIF($A$8:$A$12,C194)=1,ISNUMBER(D194),E194&gt;0,COUNTIF($A$100:$A$399,A194)=1,IFERROR(IF(F194="",AND(LEFT(A194,1)="U",G194="월기록"),AND(F194&gt;=2,COUNTIF($F$100:$F$399,F194)=1,INDEX(RAW!$H:$H,MAX(2,F194))="지출",D194=INDEX(RAW!$A:$A,MAX(2,F194)),E194&lt;=INDEX(RAW!$K:$K,MAX(2,F194)),OR(AND(G194="기존반영",OR(A194="U003",A194="U007")),AND(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AND(OR(A194&lt;&gt;"U003",F194=356),OR(A194&lt;&gt;"U007",F194=2203),OR(G194&lt;&gt;"기존반영",A194="U003",A194="U007")))),FALSE)),"OK","확인: 사용등록")))</f>
      </c>
      <c r="S194" s="504">
        <f>IF(ISNUMBER(D194),DATE(YEAR(D194),MONTH(D194),1),0)</f>
        <v>0</v>
      </c>
      <c r="T194" s="526">
        <f>IF(R194="OK",SUMIFS($O$430:$O$729,$B$430:$B$729,A194,$E$430:$E$729,"&lt;"&amp;EDATE($B$3,1)),0)</f>
        <v>0</v>
      </c>
      <c r="U194" s="526">
        <f>IF(AND(R194="OK",D194&lt;EDATE($B$3,1),$B$3&gt;=DATE(2026,3,1)),MAX(0,E194-T194),0)</f>
        <v>0</v>
      </c>
      <c r="V194" s="526">
        <f>IFERROR(IF(AND(R194="OK",AND(F194&gt;=2,G194&lt;&gt;"기존반영",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E194,0),0)</f>
        <v>0</v>
      </c>
      <c r="W194" s="526">
        <f>IF(V194&gt;0,ROUNDUP(INDEX(RAW!$K:$K,MAX(2,F194))/1000,0)*1000-ROUNDUP((INDEX(RAW!$K:$K,MAX(2,F194))-V194)/1000,0)*1000,0)</f>
        <v>0</v>
      </c>
      <c r="X194" s="504">
        <f>IF(AND(R194="OK",IF($B$43="전체",D194&lt;EDATE($B$3,1),IF($B$43="미정산",U194&gt;0,OR(S194=$B$3,Z194&gt;0,U194&gt;0)))),1,0)</f>
        <v>0</v>
      </c>
      <c r="Y194" s="504">
        <f>IF(X194=1,COUNTIF($X$100:X194,1),0)</f>
        <v>0</v>
      </c>
      <c r="Z194" s="526">
        <f>IF(R194="OK",SUMIFS($O$430:$O$729,$B$430:$B$729,A194,$E$430:$E$729,"&gt;="&amp;$B$3,$E$430:$E$729,"&lt;"&amp;EDATE($B$3,1)),0)</f>
        <v>0</v>
      </c>
    </row>
    <row r="195" hidden="1" outlineLevel="1">
      <c r="A195" s="504">
        <f>IF(F195="","",IF(F195&gt;0,"R"&amp;F195,""))</f>
      </c>
      <c r="B195" s="504">
        <f>IF(F195="","",IFERROR(INDEX(RAW!$F:$F,MAX(2,F195)),""))</f>
      </c>
      <c r="C195" s="522" t="n"/>
      <c r="D195" s="524">
        <f>IF(F195="","",IFERROR(INDEX(RAW!$A:$A,MAX(2,F195)),""))</f>
      </c>
      <c r="E195" s="525">
        <f>IF(F195="","",IFERROR(INDEX(RAW!$K:$K,MAX(2,F195)),0))</f>
      </c>
      <c r="F195" s="522" t="n"/>
      <c r="G195" s="504" t="inlineStr">
        <is>
          <t>신규</t>
        </is>
      </c>
      <c r="O195" s="498">
        <f>IF(LEFT(R195,2)="확인",R195,"")</f>
      </c>
      <c r="R195" s="504">
        <f>IF(A195="","",IF(C195="생활비","생활비",IF(AND(COUNTIF($A$8:$A$12,C195)=1,ISNUMBER(D195),E195&gt;0,COUNTIF($A$100:$A$399,A195)=1,IFERROR(IF(F195="",AND(LEFT(A195,1)="U",G195="월기록"),AND(F195&gt;=2,COUNTIF($F$100:$F$399,F195)=1,INDEX(RAW!$H:$H,MAX(2,F195))="지출",D195=INDEX(RAW!$A:$A,MAX(2,F195)),E195&lt;=INDEX(RAW!$K:$K,MAX(2,F195)),OR(AND(G195="기존반영",OR(A195="U003",A195="U007")),AND(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AND(OR(A195&lt;&gt;"U003",F195=356),OR(A195&lt;&gt;"U007",F195=2203),OR(G195&lt;&gt;"기존반영",A195="U003",A195="U007")))),FALSE)),"OK","확인: 사용등록")))</f>
      </c>
      <c r="S195" s="504">
        <f>IF(ISNUMBER(D195),DATE(YEAR(D195),MONTH(D195),1),0)</f>
        <v>0</v>
      </c>
      <c r="T195" s="526">
        <f>IF(R195="OK",SUMIFS($O$430:$O$729,$B$430:$B$729,A195,$E$430:$E$729,"&lt;"&amp;EDATE($B$3,1)),0)</f>
        <v>0</v>
      </c>
      <c r="U195" s="526">
        <f>IF(AND(R195="OK",D195&lt;EDATE($B$3,1),$B$3&gt;=DATE(2026,3,1)),MAX(0,E195-T195),0)</f>
        <v>0</v>
      </c>
      <c r="V195" s="526">
        <f>IFERROR(IF(AND(R195="OK",AND(F195&gt;=2,G195&lt;&gt;"기존반영",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E195,0),0)</f>
        <v>0</v>
      </c>
      <c r="W195" s="526">
        <f>IF(V195&gt;0,ROUNDUP(INDEX(RAW!$K:$K,MAX(2,F195))/1000,0)*1000-ROUNDUP((INDEX(RAW!$K:$K,MAX(2,F195))-V195)/1000,0)*1000,0)</f>
        <v>0</v>
      </c>
      <c r="X195" s="504">
        <f>IF(AND(R195="OK",IF($B$43="전체",D195&lt;EDATE($B$3,1),IF($B$43="미정산",U195&gt;0,OR(S195=$B$3,Z195&gt;0,U195&gt;0)))),1,0)</f>
        <v>0</v>
      </c>
      <c r="Y195" s="504">
        <f>IF(X195=1,COUNTIF($X$100:X195,1),0)</f>
        <v>0</v>
      </c>
      <c r="Z195" s="526">
        <f>IF(R195="OK",SUMIFS($O$430:$O$729,$B$430:$B$729,A195,$E$430:$E$729,"&gt;="&amp;$B$3,$E$430:$E$729,"&lt;"&amp;EDATE($B$3,1)),0)</f>
        <v>0</v>
      </c>
    </row>
    <row r="196" hidden="1" outlineLevel="1">
      <c r="A196" s="504">
        <f>IF(F196="","",IF(F196&gt;0,"R"&amp;F196,""))</f>
      </c>
      <c r="B196" s="504">
        <f>IF(F196="","",IFERROR(INDEX(RAW!$F:$F,MAX(2,F196)),""))</f>
      </c>
      <c r="C196" s="522" t="n"/>
      <c r="D196" s="524">
        <f>IF(F196="","",IFERROR(INDEX(RAW!$A:$A,MAX(2,F196)),""))</f>
      </c>
      <c r="E196" s="525">
        <f>IF(F196="","",IFERROR(INDEX(RAW!$K:$K,MAX(2,F196)),0))</f>
      </c>
      <c r="F196" s="522" t="n"/>
      <c r="G196" s="504" t="inlineStr">
        <is>
          <t>신규</t>
        </is>
      </c>
      <c r="O196" s="498">
        <f>IF(LEFT(R196,2)="확인",R196,"")</f>
      </c>
      <c r="R196" s="504">
        <f>IF(A196="","",IF(C196="생활비","생활비",IF(AND(COUNTIF($A$8:$A$12,C196)=1,ISNUMBER(D196),E196&gt;0,COUNTIF($A$100:$A$399,A196)=1,IFERROR(IF(F196="",AND(LEFT(A196,1)="U",G196="월기록"),AND(F196&gt;=2,COUNTIF($F$100:$F$399,F196)=1,INDEX(RAW!$H:$H,MAX(2,F196))="지출",D196=INDEX(RAW!$A:$A,MAX(2,F196)),E196&lt;=INDEX(RAW!$K:$K,MAX(2,F196)),OR(AND(G196="기존반영",OR(A196="U003",A196="U007")),AND(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AND(OR(A196&lt;&gt;"U003",F196=356),OR(A196&lt;&gt;"U007",F196=2203),OR(G196&lt;&gt;"기존반영",A196="U003",A196="U007")))),FALSE)),"OK","확인: 사용등록")))</f>
      </c>
      <c r="S196" s="504">
        <f>IF(ISNUMBER(D196),DATE(YEAR(D196),MONTH(D196),1),0)</f>
        <v>0</v>
      </c>
      <c r="T196" s="526">
        <f>IF(R196="OK",SUMIFS($O$430:$O$729,$B$430:$B$729,A196,$E$430:$E$729,"&lt;"&amp;EDATE($B$3,1)),0)</f>
        <v>0</v>
      </c>
      <c r="U196" s="526">
        <f>IF(AND(R196="OK",D196&lt;EDATE($B$3,1),$B$3&gt;=DATE(2026,3,1)),MAX(0,E196-T196),0)</f>
        <v>0</v>
      </c>
      <c r="V196" s="526">
        <f>IFERROR(IF(AND(R196="OK",AND(F196&gt;=2,G196&lt;&gt;"기존반영",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E196,0),0)</f>
        <v>0</v>
      </c>
      <c r="W196" s="526">
        <f>IF(V196&gt;0,ROUNDUP(INDEX(RAW!$K:$K,MAX(2,F196))/1000,0)*1000-ROUNDUP((INDEX(RAW!$K:$K,MAX(2,F196))-V196)/1000,0)*1000,0)</f>
        <v>0</v>
      </c>
      <c r="X196" s="504">
        <f>IF(AND(R196="OK",IF($B$43="전체",D196&lt;EDATE($B$3,1),IF($B$43="미정산",U196&gt;0,OR(S196=$B$3,Z196&gt;0,U196&gt;0)))),1,0)</f>
        <v>0</v>
      </c>
      <c r="Y196" s="504">
        <f>IF(X196=1,COUNTIF($X$100:X196,1),0)</f>
        <v>0</v>
      </c>
      <c r="Z196" s="526">
        <f>IF(R196="OK",SUMIFS($O$430:$O$729,$B$430:$B$729,A196,$E$430:$E$729,"&gt;="&amp;$B$3,$E$430:$E$729,"&lt;"&amp;EDATE($B$3,1)),0)</f>
        <v>0</v>
      </c>
    </row>
    <row r="197" hidden="1" outlineLevel="1">
      <c r="A197" s="504">
        <f>IF(F197="","",IF(F197&gt;0,"R"&amp;F197,""))</f>
      </c>
      <c r="B197" s="504">
        <f>IF(F197="","",IFERROR(INDEX(RAW!$F:$F,MAX(2,F197)),""))</f>
      </c>
      <c r="C197" s="522" t="n"/>
      <c r="D197" s="524">
        <f>IF(F197="","",IFERROR(INDEX(RAW!$A:$A,MAX(2,F197)),""))</f>
      </c>
      <c r="E197" s="525">
        <f>IF(F197="","",IFERROR(INDEX(RAW!$K:$K,MAX(2,F197)),0))</f>
      </c>
      <c r="F197" s="522" t="n"/>
      <c r="G197" s="504" t="inlineStr">
        <is>
          <t>신규</t>
        </is>
      </c>
      <c r="O197" s="498">
        <f>IF(LEFT(R197,2)="확인",R197,"")</f>
      </c>
      <c r="R197" s="504">
        <f>IF(A197="","",IF(C197="생활비","생활비",IF(AND(COUNTIF($A$8:$A$12,C197)=1,ISNUMBER(D197),E197&gt;0,COUNTIF($A$100:$A$399,A197)=1,IFERROR(IF(F197="",AND(LEFT(A197,1)="U",G197="월기록"),AND(F197&gt;=2,COUNTIF($F$100:$F$399,F197)=1,INDEX(RAW!$H:$H,MAX(2,F197))="지출",D197=INDEX(RAW!$A:$A,MAX(2,F197)),E197&lt;=INDEX(RAW!$K:$K,MAX(2,F197)),OR(AND(G197="기존반영",OR(A197="U003",A197="U007")),AND(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AND(OR(A197&lt;&gt;"U003",F197=356),OR(A197&lt;&gt;"U007",F197=2203),OR(G197&lt;&gt;"기존반영",A197="U003",A197="U007")))),FALSE)),"OK","확인: 사용등록")))</f>
      </c>
      <c r="S197" s="504">
        <f>IF(ISNUMBER(D197),DATE(YEAR(D197),MONTH(D197),1),0)</f>
        <v>0</v>
      </c>
      <c r="T197" s="526">
        <f>IF(R197="OK",SUMIFS($O$430:$O$729,$B$430:$B$729,A197,$E$430:$E$729,"&lt;"&amp;EDATE($B$3,1)),0)</f>
        <v>0</v>
      </c>
      <c r="U197" s="526">
        <f>IF(AND(R197="OK",D197&lt;EDATE($B$3,1),$B$3&gt;=DATE(2026,3,1)),MAX(0,E197-T197),0)</f>
        <v>0</v>
      </c>
      <c r="V197" s="526">
        <f>IFERROR(IF(AND(R197="OK",AND(F197&gt;=2,G197&lt;&gt;"기존반영",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E197,0),0)</f>
        <v>0</v>
      </c>
      <c r="W197" s="526">
        <f>IF(V197&gt;0,ROUNDUP(INDEX(RAW!$K:$K,MAX(2,F197))/1000,0)*1000-ROUNDUP((INDEX(RAW!$K:$K,MAX(2,F197))-V197)/1000,0)*1000,0)</f>
        <v>0</v>
      </c>
      <c r="X197" s="504">
        <f>IF(AND(R197="OK",IF($B$43="전체",D197&lt;EDATE($B$3,1),IF($B$43="미정산",U197&gt;0,OR(S197=$B$3,Z197&gt;0,U197&gt;0)))),1,0)</f>
        <v>0</v>
      </c>
      <c r="Y197" s="504">
        <f>IF(X197=1,COUNTIF($X$100:X197,1),0)</f>
        <v>0</v>
      </c>
      <c r="Z197" s="526">
        <f>IF(R197="OK",SUMIFS($O$430:$O$729,$B$430:$B$729,A197,$E$430:$E$729,"&gt;="&amp;$B$3,$E$430:$E$729,"&lt;"&amp;EDATE($B$3,1)),0)</f>
        <v>0</v>
      </c>
    </row>
    <row r="198" hidden="1" outlineLevel="1">
      <c r="A198" s="504">
        <f>IF(F198="","",IF(F198&gt;0,"R"&amp;F198,""))</f>
      </c>
      <c r="B198" s="504">
        <f>IF(F198="","",IFERROR(INDEX(RAW!$F:$F,MAX(2,F198)),""))</f>
      </c>
      <c r="C198" s="522" t="n"/>
      <c r="D198" s="524">
        <f>IF(F198="","",IFERROR(INDEX(RAW!$A:$A,MAX(2,F198)),""))</f>
      </c>
      <c r="E198" s="525">
        <f>IF(F198="","",IFERROR(INDEX(RAW!$K:$K,MAX(2,F198)),0))</f>
      </c>
      <c r="F198" s="522" t="n"/>
      <c r="G198" s="504" t="inlineStr">
        <is>
          <t>신규</t>
        </is>
      </c>
      <c r="O198" s="498">
        <f>IF(LEFT(R198,2)="확인",R198,"")</f>
      </c>
      <c r="R198" s="504">
        <f>IF(A198="","",IF(C198="생활비","생활비",IF(AND(COUNTIF($A$8:$A$12,C198)=1,ISNUMBER(D198),E198&gt;0,COUNTIF($A$100:$A$399,A198)=1,IFERROR(IF(F198="",AND(LEFT(A198,1)="U",G198="월기록"),AND(F198&gt;=2,COUNTIF($F$100:$F$399,F198)=1,INDEX(RAW!$H:$H,MAX(2,F198))="지출",D198=INDEX(RAW!$A:$A,MAX(2,F198)),E198&lt;=INDEX(RAW!$K:$K,MAX(2,F198)),OR(AND(G198="기존반영",OR(A198="U003",A198="U007")),AND(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AND(OR(A198&lt;&gt;"U003",F198=356),OR(A198&lt;&gt;"U007",F198=2203),OR(G198&lt;&gt;"기존반영",A198="U003",A198="U007")))),FALSE)),"OK","확인: 사용등록")))</f>
      </c>
      <c r="S198" s="504">
        <f>IF(ISNUMBER(D198),DATE(YEAR(D198),MONTH(D198),1),0)</f>
        <v>0</v>
      </c>
      <c r="T198" s="526">
        <f>IF(R198="OK",SUMIFS($O$430:$O$729,$B$430:$B$729,A198,$E$430:$E$729,"&lt;"&amp;EDATE($B$3,1)),0)</f>
        <v>0</v>
      </c>
      <c r="U198" s="526">
        <f>IF(AND(R198="OK",D198&lt;EDATE($B$3,1),$B$3&gt;=DATE(2026,3,1)),MAX(0,E198-T198),0)</f>
        <v>0</v>
      </c>
      <c r="V198" s="526">
        <f>IFERROR(IF(AND(R198="OK",AND(F198&gt;=2,G198&lt;&gt;"기존반영",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E198,0),0)</f>
        <v>0</v>
      </c>
      <c r="W198" s="526">
        <f>IF(V198&gt;0,ROUNDUP(INDEX(RAW!$K:$K,MAX(2,F198))/1000,0)*1000-ROUNDUP((INDEX(RAW!$K:$K,MAX(2,F198))-V198)/1000,0)*1000,0)</f>
        <v>0</v>
      </c>
      <c r="X198" s="504">
        <f>IF(AND(R198="OK",IF($B$43="전체",D198&lt;EDATE($B$3,1),IF($B$43="미정산",U198&gt;0,OR(S198=$B$3,Z198&gt;0,U198&gt;0)))),1,0)</f>
        <v>0</v>
      </c>
      <c r="Y198" s="504">
        <f>IF(X198=1,COUNTIF($X$100:X198,1),0)</f>
        <v>0</v>
      </c>
      <c r="Z198" s="526">
        <f>IF(R198="OK",SUMIFS($O$430:$O$729,$B$430:$B$729,A198,$E$430:$E$729,"&gt;="&amp;$B$3,$E$430:$E$729,"&lt;"&amp;EDATE($B$3,1)),0)</f>
        <v>0</v>
      </c>
    </row>
    <row r="199" hidden="1" outlineLevel="1">
      <c r="A199" s="504">
        <f>IF(F199="","",IF(F199&gt;0,"R"&amp;F199,""))</f>
      </c>
      <c r="B199" s="504">
        <f>IF(F199="","",IFERROR(INDEX(RAW!$F:$F,MAX(2,F199)),""))</f>
      </c>
      <c r="C199" s="522" t="n"/>
      <c r="D199" s="524">
        <f>IF(F199="","",IFERROR(INDEX(RAW!$A:$A,MAX(2,F199)),""))</f>
      </c>
      <c r="E199" s="525">
        <f>IF(F199="","",IFERROR(INDEX(RAW!$K:$K,MAX(2,F199)),0))</f>
      </c>
      <c r="F199" s="522" t="n"/>
      <c r="G199" s="504" t="inlineStr">
        <is>
          <t>신규</t>
        </is>
      </c>
      <c r="O199" s="498">
        <f>IF(LEFT(R199,2)="확인",R199,"")</f>
      </c>
      <c r="R199" s="504">
        <f>IF(A199="","",IF(C199="생활비","생활비",IF(AND(COUNTIF($A$8:$A$12,C199)=1,ISNUMBER(D199),E199&gt;0,COUNTIF($A$100:$A$399,A199)=1,IFERROR(IF(F199="",AND(LEFT(A199,1)="U",G199="월기록"),AND(F199&gt;=2,COUNTIF($F$100:$F$399,F199)=1,INDEX(RAW!$H:$H,MAX(2,F199))="지출",D199=INDEX(RAW!$A:$A,MAX(2,F199)),E199&lt;=INDEX(RAW!$K:$K,MAX(2,F199)),OR(AND(G199="기존반영",OR(A199="U003",A199="U007")),AND(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AND(OR(A199&lt;&gt;"U003",F199=356),OR(A199&lt;&gt;"U007",F199=2203),OR(G199&lt;&gt;"기존반영",A199="U003",A199="U007")))),FALSE)),"OK","확인: 사용등록")))</f>
      </c>
      <c r="S199" s="504">
        <f>IF(ISNUMBER(D199),DATE(YEAR(D199),MONTH(D199),1),0)</f>
        <v>0</v>
      </c>
      <c r="T199" s="526">
        <f>IF(R199="OK",SUMIFS($O$430:$O$729,$B$430:$B$729,A199,$E$430:$E$729,"&lt;"&amp;EDATE($B$3,1)),0)</f>
        <v>0</v>
      </c>
      <c r="U199" s="526">
        <f>IF(AND(R199="OK",D199&lt;EDATE($B$3,1),$B$3&gt;=DATE(2026,3,1)),MAX(0,E199-T199),0)</f>
        <v>0</v>
      </c>
      <c r="V199" s="526">
        <f>IFERROR(IF(AND(R199="OK",AND(F199&gt;=2,G199&lt;&gt;"기존반영",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E199,0),0)</f>
        <v>0</v>
      </c>
      <c r="W199" s="526">
        <f>IF(V199&gt;0,ROUNDUP(INDEX(RAW!$K:$K,MAX(2,F199))/1000,0)*1000-ROUNDUP((INDEX(RAW!$K:$K,MAX(2,F199))-V199)/1000,0)*1000,0)</f>
        <v>0</v>
      </c>
      <c r="X199" s="504">
        <f>IF(AND(R199="OK",IF($B$43="전체",D199&lt;EDATE($B$3,1),IF($B$43="미정산",U199&gt;0,OR(S199=$B$3,Z199&gt;0,U199&gt;0)))),1,0)</f>
        <v>0</v>
      </c>
      <c r="Y199" s="504">
        <f>IF(X199=1,COUNTIF($X$100:X199,1),0)</f>
        <v>0</v>
      </c>
      <c r="Z199" s="526">
        <f>IF(R199="OK",SUMIFS($O$430:$O$729,$B$430:$B$729,A199,$E$430:$E$729,"&gt;="&amp;$B$3,$E$430:$E$729,"&lt;"&amp;EDATE($B$3,1)),0)</f>
        <v>0</v>
      </c>
    </row>
    <row r="200" hidden="1" outlineLevel="1">
      <c r="A200" s="504">
        <f>IF(F200="","",IF(F200&gt;0,"R"&amp;F200,""))</f>
      </c>
      <c r="B200" s="504">
        <f>IF(F200="","",IFERROR(INDEX(RAW!$F:$F,MAX(2,F200)),""))</f>
      </c>
      <c r="C200" s="522" t="n"/>
      <c r="D200" s="524">
        <f>IF(F200="","",IFERROR(INDEX(RAW!$A:$A,MAX(2,F200)),""))</f>
      </c>
      <c r="E200" s="525">
        <f>IF(F200="","",IFERROR(INDEX(RAW!$K:$K,MAX(2,F200)),0))</f>
      </c>
      <c r="F200" s="522" t="n"/>
      <c r="G200" s="504" t="inlineStr">
        <is>
          <t>신규</t>
        </is>
      </c>
      <c r="O200" s="498">
        <f>IF(LEFT(R200,2)="확인",R200,"")</f>
      </c>
      <c r="R200" s="504">
        <f>IF(A200="","",IF(C200="생활비","생활비",IF(AND(COUNTIF($A$8:$A$12,C200)=1,ISNUMBER(D200),E200&gt;0,COUNTIF($A$100:$A$399,A200)=1,IFERROR(IF(F200="",AND(LEFT(A200,1)="U",G200="월기록"),AND(F200&gt;=2,COUNTIF($F$100:$F$399,F200)=1,INDEX(RAW!$H:$H,MAX(2,F200))="지출",D200=INDEX(RAW!$A:$A,MAX(2,F200)),E200&lt;=INDEX(RAW!$K:$K,MAX(2,F200)),OR(AND(G200="기존반영",OR(A200="U003",A200="U007")),AND(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AND(OR(A200&lt;&gt;"U003",F200=356),OR(A200&lt;&gt;"U007",F200=2203),OR(G200&lt;&gt;"기존반영",A200="U003",A200="U007")))),FALSE)),"OK","확인: 사용등록")))</f>
      </c>
      <c r="S200" s="504">
        <f>IF(ISNUMBER(D200),DATE(YEAR(D200),MONTH(D200),1),0)</f>
        <v>0</v>
      </c>
      <c r="T200" s="526">
        <f>IF(R200="OK",SUMIFS($O$430:$O$729,$B$430:$B$729,A200,$E$430:$E$729,"&lt;"&amp;EDATE($B$3,1)),0)</f>
        <v>0</v>
      </c>
      <c r="U200" s="526">
        <f>IF(AND(R200="OK",D200&lt;EDATE($B$3,1),$B$3&gt;=DATE(2026,3,1)),MAX(0,E200-T200),0)</f>
        <v>0</v>
      </c>
      <c r="V200" s="526">
        <f>IFERROR(IF(AND(R200="OK",AND(F200&gt;=2,G200&lt;&gt;"기존반영",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E200,0),0)</f>
        <v>0</v>
      </c>
      <c r="W200" s="526">
        <f>IF(V200&gt;0,ROUNDUP(INDEX(RAW!$K:$K,MAX(2,F200))/1000,0)*1000-ROUNDUP((INDEX(RAW!$K:$K,MAX(2,F200))-V200)/1000,0)*1000,0)</f>
        <v>0</v>
      </c>
      <c r="X200" s="504">
        <f>IF(AND(R200="OK",IF($B$43="전체",D200&lt;EDATE($B$3,1),IF($B$43="미정산",U200&gt;0,OR(S200=$B$3,Z200&gt;0,U200&gt;0)))),1,0)</f>
        <v>0</v>
      </c>
      <c r="Y200" s="504">
        <f>IF(X200=1,COUNTIF($X$100:X200,1),0)</f>
        <v>0</v>
      </c>
      <c r="Z200" s="526">
        <f>IF(R200="OK",SUMIFS($O$430:$O$729,$B$430:$B$729,A200,$E$430:$E$729,"&gt;="&amp;$B$3,$E$430:$E$729,"&lt;"&amp;EDATE($B$3,1)),0)</f>
        <v>0</v>
      </c>
    </row>
    <row r="201" hidden="1" outlineLevel="1">
      <c r="A201" s="504">
        <f>IF(F201="","",IF(F201&gt;0,"R"&amp;F201,""))</f>
      </c>
      <c r="B201" s="504">
        <f>IF(F201="","",IFERROR(INDEX(RAW!$F:$F,MAX(2,F201)),""))</f>
      </c>
      <c r="C201" s="522" t="n"/>
      <c r="D201" s="524">
        <f>IF(F201="","",IFERROR(INDEX(RAW!$A:$A,MAX(2,F201)),""))</f>
      </c>
      <c r="E201" s="525">
        <f>IF(F201="","",IFERROR(INDEX(RAW!$K:$K,MAX(2,F201)),0))</f>
      </c>
      <c r="F201" s="522" t="n"/>
      <c r="G201" s="504" t="inlineStr">
        <is>
          <t>신규</t>
        </is>
      </c>
      <c r="O201" s="498">
        <f>IF(LEFT(R201,2)="확인",R201,"")</f>
      </c>
      <c r="R201" s="504">
        <f>IF(A201="","",IF(C201="생활비","생활비",IF(AND(COUNTIF($A$8:$A$12,C201)=1,ISNUMBER(D201),E201&gt;0,COUNTIF($A$100:$A$399,A201)=1,IFERROR(IF(F201="",AND(LEFT(A201,1)="U",G201="월기록"),AND(F201&gt;=2,COUNTIF($F$100:$F$399,F201)=1,INDEX(RAW!$H:$H,MAX(2,F201))="지출",D201=INDEX(RAW!$A:$A,MAX(2,F201)),E201&lt;=INDEX(RAW!$K:$K,MAX(2,F201)),OR(AND(G201="기존반영",OR(A201="U003",A201="U007")),AND(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AND(OR(A201&lt;&gt;"U003",F201=356),OR(A201&lt;&gt;"U007",F201=2203),OR(G201&lt;&gt;"기존반영",A201="U003",A201="U007")))),FALSE)),"OK","확인: 사용등록")))</f>
      </c>
      <c r="S201" s="504">
        <f>IF(ISNUMBER(D201),DATE(YEAR(D201),MONTH(D201),1),0)</f>
        <v>0</v>
      </c>
      <c r="T201" s="526">
        <f>IF(R201="OK",SUMIFS($O$430:$O$729,$B$430:$B$729,A201,$E$430:$E$729,"&lt;"&amp;EDATE($B$3,1)),0)</f>
        <v>0</v>
      </c>
      <c r="U201" s="526">
        <f>IF(AND(R201="OK",D201&lt;EDATE($B$3,1),$B$3&gt;=DATE(2026,3,1)),MAX(0,E201-T201),0)</f>
        <v>0</v>
      </c>
      <c r="V201" s="526">
        <f>IFERROR(IF(AND(R201="OK",AND(F201&gt;=2,G201&lt;&gt;"기존반영",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E201,0),0)</f>
        <v>0</v>
      </c>
      <c r="W201" s="526">
        <f>IF(V201&gt;0,ROUNDUP(INDEX(RAW!$K:$K,MAX(2,F201))/1000,0)*1000-ROUNDUP((INDEX(RAW!$K:$K,MAX(2,F201))-V201)/1000,0)*1000,0)</f>
        <v>0</v>
      </c>
      <c r="X201" s="504">
        <f>IF(AND(R201="OK",IF($B$43="전체",D201&lt;EDATE($B$3,1),IF($B$43="미정산",U201&gt;0,OR(S201=$B$3,Z201&gt;0,U201&gt;0)))),1,0)</f>
        <v>0</v>
      </c>
      <c r="Y201" s="504">
        <f>IF(X201=1,COUNTIF($X$100:X201,1),0)</f>
        <v>0</v>
      </c>
      <c r="Z201" s="526">
        <f>IF(R201="OK",SUMIFS($O$430:$O$729,$B$430:$B$729,A201,$E$430:$E$729,"&gt;="&amp;$B$3,$E$430:$E$729,"&lt;"&amp;EDATE($B$3,1)),0)</f>
        <v>0</v>
      </c>
    </row>
    <row r="202" hidden="1" outlineLevel="1">
      <c r="A202" s="504">
        <f>IF(F202="","",IF(F202&gt;0,"R"&amp;F202,""))</f>
      </c>
      <c r="B202" s="504">
        <f>IF(F202="","",IFERROR(INDEX(RAW!$F:$F,MAX(2,F202)),""))</f>
      </c>
      <c r="C202" s="522" t="n"/>
      <c r="D202" s="524">
        <f>IF(F202="","",IFERROR(INDEX(RAW!$A:$A,MAX(2,F202)),""))</f>
      </c>
      <c r="E202" s="525">
        <f>IF(F202="","",IFERROR(INDEX(RAW!$K:$K,MAX(2,F202)),0))</f>
      </c>
      <c r="F202" s="522" t="n"/>
      <c r="G202" s="504" t="inlineStr">
        <is>
          <t>신규</t>
        </is>
      </c>
      <c r="O202" s="498">
        <f>IF(LEFT(R202,2)="확인",R202,"")</f>
      </c>
      <c r="R202" s="504">
        <f>IF(A202="","",IF(C202="생활비","생활비",IF(AND(COUNTIF($A$8:$A$12,C202)=1,ISNUMBER(D202),E202&gt;0,COUNTIF($A$100:$A$399,A202)=1,IFERROR(IF(F202="",AND(LEFT(A202,1)="U",G202="월기록"),AND(F202&gt;=2,COUNTIF($F$100:$F$399,F202)=1,INDEX(RAW!$H:$H,MAX(2,F202))="지출",D202=INDEX(RAW!$A:$A,MAX(2,F202)),E202&lt;=INDEX(RAW!$K:$K,MAX(2,F202)),OR(AND(G202="기존반영",OR(A202="U003",A202="U007")),AND(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AND(OR(A202&lt;&gt;"U003",F202=356),OR(A202&lt;&gt;"U007",F202=2203),OR(G202&lt;&gt;"기존반영",A202="U003",A202="U007")))),FALSE)),"OK","확인: 사용등록")))</f>
      </c>
      <c r="S202" s="504">
        <f>IF(ISNUMBER(D202),DATE(YEAR(D202),MONTH(D202),1),0)</f>
        <v>0</v>
      </c>
      <c r="T202" s="526">
        <f>IF(R202="OK",SUMIFS($O$430:$O$729,$B$430:$B$729,A202,$E$430:$E$729,"&lt;"&amp;EDATE($B$3,1)),0)</f>
        <v>0</v>
      </c>
      <c r="U202" s="526">
        <f>IF(AND(R202="OK",D202&lt;EDATE($B$3,1),$B$3&gt;=DATE(2026,3,1)),MAX(0,E202-T202),0)</f>
        <v>0</v>
      </c>
      <c r="V202" s="526">
        <f>IFERROR(IF(AND(R202="OK",AND(F202&gt;=2,G202&lt;&gt;"기존반영",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E202,0),0)</f>
        <v>0</v>
      </c>
      <c r="W202" s="526">
        <f>IF(V202&gt;0,ROUNDUP(INDEX(RAW!$K:$K,MAX(2,F202))/1000,0)*1000-ROUNDUP((INDEX(RAW!$K:$K,MAX(2,F202))-V202)/1000,0)*1000,0)</f>
        <v>0</v>
      </c>
      <c r="X202" s="504">
        <f>IF(AND(R202="OK",IF($B$43="전체",D202&lt;EDATE($B$3,1),IF($B$43="미정산",U202&gt;0,OR(S202=$B$3,Z202&gt;0,U202&gt;0)))),1,0)</f>
        <v>0</v>
      </c>
      <c r="Y202" s="504">
        <f>IF(X202=1,COUNTIF($X$100:X202,1),0)</f>
        <v>0</v>
      </c>
      <c r="Z202" s="526">
        <f>IF(R202="OK",SUMIFS($O$430:$O$729,$B$430:$B$729,A202,$E$430:$E$729,"&gt;="&amp;$B$3,$E$430:$E$729,"&lt;"&amp;EDATE($B$3,1)),0)</f>
        <v>0</v>
      </c>
    </row>
    <row r="203" hidden="1" outlineLevel="1">
      <c r="A203" s="504">
        <f>IF(F203="","",IF(F203&gt;0,"R"&amp;F203,""))</f>
      </c>
      <c r="B203" s="504">
        <f>IF(F203="","",IFERROR(INDEX(RAW!$F:$F,MAX(2,F203)),""))</f>
      </c>
      <c r="C203" s="522" t="n"/>
      <c r="D203" s="524">
        <f>IF(F203="","",IFERROR(INDEX(RAW!$A:$A,MAX(2,F203)),""))</f>
      </c>
      <c r="E203" s="525">
        <f>IF(F203="","",IFERROR(INDEX(RAW!$K:$K,MAX(2,F203)),0))</f>
      </c>
      <c r="F203" s="522" t="n"/>
      <c r="G203" s="504" t="inlineStr">
        <is>
          <t>신규</t>
        </is>
      </c>
      <c r="O203" s="498">
        <f>IF(LEFT(R203,2)="확인",R203,"")</f>
      </c>
      <c r="R203" s="504">
        <f>IF(A203="","",IF(C203="생활비","생활비",IF(AND(COUNTIF($A$8:$A$12,C203)=1,ISNUMBER(D203),E203&gt;0,COUNTIF($A$100:$A$399,A203)=1,IFERROR(IF(F203="",AND(LEFT(A203,1)="U",G203="월기록"),AND(F203&gt;=2,COUNTIF($F$100:$F$399,F203)=1,INDEX(RAW!$H:$H,MAX(2,F203))="지출",D203=INDEX(RAW!$A:$A,MAX(2,F203)),E203&lt;=INDEX(RAW!$K:$K,MAX(2,F203)),OR(AND(G203="기존반영",OR(A203="U003",A203="U007")),AND(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AND(OR(A203&lt;&gt;"U003",F203=356),OR(A203&lt;&gt;"U007",F203=2203),OR(G203&lt;&gt;"기존반영",A203="U003",A203="U007")))),FALSE)),"OK","확인: 사용등록")))</f>
      </c>
      <c r="S203" s="504">
        <f>IF(ISNUMBER(D203),DATE(YEAR(D203),MONTH(D203),1),0)</f>
        <v>0</v>
      </c>
      <c r="T203" s="526">
        <f>IF(R203="OK",SUMIFS($O$430:$O$729,$B$430:$B$729,A203,$E$430:$E$729,"&lt;"&amp;EDATE($B$3,1)),0)</f>
        <v>0</v>
      </c>
      <c r="U203" s="526">
        <f>IF(AND(R203="OK",D203&lt;EDATE($B$3,1),$B$3&gt;=DATE(2026,3,1)),MAX(0,E203-T203),0)</f>
        <v>0</v>
      </c>
      <c r="V203" s="526">
        <f>IFERROR(IF(AND(R203="OK",AND(F203&gt;=2,G203&lt;&gt;"기존반영",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E203,0),0)</f>
        <v>0</v>
      </c>
      <c r="W203" s="526">
        <f>IF(V203&gt;0,ROUNDUP(INDEX(RAW!$K:$K,MAX(2,F203))/1000,0)*1000-ROUNDUP((INDEX(RAW!$K:$K,MAX(2,F203))-V203)/1000,0)*1000,0)</f>
        <v>0</v>
      </c>
      <c r="X203" s="504">
        <f>IF(AND(R203="OK",IF($B$43="전체",D203&lt;EDATE($B$3,1),IF($B$43="미정산",U203&gt;0,OR(S203=$B$3,Z203&gt;0,U203&gt;0)))),1,0)</f>
        <v>0</v>
      </c>
      <c r="Y203" s="504">
        <f>IF(X203=1,COUNTIF($X$100:X203,1),0)</f>
        <v>0</v>
      </c>
      <c r="Z203" s="526">
        <f>IF(R203="OK",SUMIFS($O$430:$O$729,$B$430:$B$729,A203,$E$430:$E$729,"&gt;="&amp;$B$3,$E$430:$E$729,"&lt;"&amp;EDATE($B$3,1)),0)</f>
        <v>0</v>
      </c>
    </row>
    <row r="204" hidden="1" outlineLevel="1">
      <c r="A204" s="504">
        <f>IF(F204="","",IF(F204&gt;0,"R"&amp;F204,""))</f>
      </c>
      <c r="B204" s="504">
        <f>IF(F204="","",IFERROR(INDEX(RAW!$F:$F,MAX(2,F204)),""))</f>
      </c>
      <c r="C204" s="522" t="n"/>
      <c r="D204" s="524">
        <f>IF(F204="","",IFERROR(INDEX(RAW!$A:$A,MAX(2,F204)),""))</f>
      </c>
      <c r="E204" s="525">
        <f>IF(F204="","",IFERROR(INDEX(RAW!$K:$K,MAX(2,F204)),0))</f>
      </c>
      <c r="F204" s="522" t="n"/>
      <c r="G204" s="504" t="inlineStr">
        <is>
          <t>신규</t>
        </is>
      </c>
      <c r="O204" s="498">
        <f>IF(LEFT(R204,2)="확인",R204,"")</f>
      </c>
      <c r="R204" s="504">
        <f>IF(A204="","",IF(C204="생활비","생활비",IF(AND(COUNTIF($A$8:$A$12,C204)=1,ISNUMBER(D204),E204&gt;0,COUNTIF($A$100:$A$399,A204)=1,IFERROR(IF(F204="",AND(LEFT(A204,1)="U",G204="월기록"),AND(F204&gt;=2,COUNTIF($F$100:$F$399,F204)=1,INDEX(RAW!$H:$H,MAX(2,F204))="지출",D204=INDEX(RAW!$A:$A,MAX(2,F204)),E204&lt;=INDEX(RAW!$K:$K,MAX(2,F204)),OR(AND(G204="기존반영",OR(A204="U003",A204="U007")),AND(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AND(OR(A204&lt;&gt;"U003",F204=356),OR(A204&lt;&gt;"U007",F204=2203),OR(G204&lt;&gt;"기존반영",A204="U003",A204="U007")))),FALSE)),"OK","확인: 사용등록")))</f>
      </c>
      <c r="S204" s="504">
        <f>IF(ISNUMBER(D204),DATE(YEAR(D204),MONTH(D204),1),0)</f>
        <v>0</v>
      </c>
      <c r="T204" s="526">
        <f>IF(R204="OK",SUMIFS($O$430:$O$729,$B$430:$B$729,A204,$E$430:$E$729,"&lt;"&amp;EDATE($B$3,1)),0)</f>
        <v>0</v>
      </c>
      <c r="U204" s="526">
        <f>IF(AND(R204="OK",D204&lt;EDATE($B$3,1),$B$3&gt;=DATE(2026,3,1)),MAX(0,E204-T204),0)</f>
        <v>0</v>
      </c>
      <c r="V204" s="526">
        <f>IFERROR(IF(AND(R204="OK",AND(F204&gt;=2,G204&lt;&gt;"기존반영",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E204,0),0)</f>
        <v>0</v>
      </c>
      <c r="W204" s="526">
        <f>IF(V204&gt;0,ROUNDUP(INDEX(RAW!$K:$K,MAX(2,F204))/1000,0)*1000-ROUNDUP((INDEX(RAW!$K:$K,MAX(2,F204))-V204)/1000,0)*1000,0)</f>
        <v>0</v>
      </c>
      <c r="X204" s="504">
        <f>IF(AND(R204="OK",IF($B$43="전체",D204&lt;EDATE($B$3,1),IF($B$43="미정산",U204&gt;0,OR(S204=$B$3,Z204&gt;0,U204&gt;0)))),1,0)</f>
        <v>0</v>
      </c>
      <c r="Y204" s="504">
        <f>IF(X204=1,COUNTIF($X$100:X204,1),0)</f>
        <v>0</v>
      </c>
      <c r="Z204" s="526">
        <f>IF(R204="OK",SUMIFS($O$430:$O$729,$B$430:$B$729,A204,$E$430:$E$729,"&gt;="&amp;$B$3,$E$430:$E$729,"&lt;"&amp;EDATE($B$3,1)),0)</f>
        <v>0</v>
      </c>
    </row>
    <row r="205" hidden="1" outlineLevel="1">
      <c r="A205" s="504">
        <f>IF(F205="","",IF(F205&gt;0,"R"&amp;F205,""))</f>
      </c>
      <c r="B205" s="504">
        <f>IF(F205="","",IFERROR(INDEX(RAW!$F:$F,MAX(2,F205)),""))</f>
      </c>
      <c r="C205" s="522" t="n"/>
      <c r="D205" s="524">
        <f>IF(F205="","",IFERROR(INDEX(RAW!$A:$A,MAX(2,F205)),""))</f>
      </c>
      <c r="E205" s="525">
        <f>IF(F205="","",IFERROR(INDEX(RAW!$K:$K,MAX(2,F205)),0))</f>
      </c>
      <c r="F205" s="522" t="n"/>
      <c r="G205" s="504" t="inlineStr">
        <is>
          <t>신규</t>
        </is>
      </c>
      <c r="O205" s="498">
        <f>IF(LEFT(R205,2)="확인",R205,"")</f>
      </c>
      <c r="R205" s="504">
        <f>IF(A205="","",IF(C205="생활비","생활비",IF(AND(COUNTIF($A$8:$A$12,C205)=1,ISNUMBER(D205),E205&gt;0,COUNTIF($A$100:$A$399,A205)=1,IFERROR(IF(F205="",AND(LEFT(A205,1)="U",G205="월기록"),AND(F205&gt;=2,COUNTIF($F$100:$F$399,F205)=1,INDEX(RAW!$H:$H,MAX(2,F205))="지출",D205=INDEX(RAW!$A:$A,MAX(2,F205)),E205&lt;=INDEX(RAW!$K:$K,MAX(2,F205)),OR(AND(G205="기존반영",OR(A205="U003",A205="U007")),AND(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AND(OR(A205&lt;&gt;"U003",F205=356),OR(A205&lt;&gt;"U007",F205=2203),OR(G205&lt;&gt;"기존반영",A205="U003",A205="U007")))),FALSE)),"OK","확인: 사용등록")))</f>
      </c>
      <c r="S205" s="504">
        <f>IF(ISNUMBER(D205),DATE(YEAR(D205),MONTH(D205),1),0)</f>
        <v>0</v>
      </c>
      <c r="T205" s="526">
        <f>IF(R205="OK",SUMIFS($O$430:$O$729,$B$430:$B$729,A205,$E$430:$E$729,"&lt;"&amp;EDATE($B$3,1)),0)</f>
        <v>0</v>
      </c>
      <c r="U205" s="526">
        <f>IF(AND(R205="OK",D205&lt;EDATE($B$3,1),$B$3&gt;=DATE(2026,3,1)),MAX(0,E205-T205),0)</f>
        <v>0</v>
      </c>
      <c r="V205" s="526">
        <f>IFERROR(IF(AND(R205="OK",AND(F205&gt;=2,G205&lt;&gt;"기존반영",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E205,0),0)</f>
        <v>0</v>
      </c>
      <c r="W205" s="526">
        <f>IF(V205&gt;0,ROUNDUP(INDEX(RAW!$K:$K,MAX(2,F205))/1000,0)*1000-ROUNDUP((INDEX(RAW!$K:$K,MAX(2,F205))-V205)/1000,0)*1000,0)</f>
        <v>0</v>
      </c>
      <c r="X205" s="504">
        <f>IF(AND(R205="OK",IF($B$43="전체",D205&lt;EDATE($B$3,1),IF($B$43="미정산",U205&gt;0,OR(S205=$B$3,Z205&gt;0,U205&gt;0)))),1,0)</f>
        <v>0</v>
      </c>
      <c r="Y205" s="504">
        <f>IF(X205=1,COUNTIF($X$100:X205,1),0)</f>
        <v>0</v>
      </c>
      <c r="Z205" s="526">
        <f>IF(R205="OK",SUMIFS($O$430:$O$729,$B$430:$B$729,A205,$E$430:$E$729,"&gt;="&amp;$B$3,$E$430:$E$729,"&lt;"&amp;EDATE($B$3,1)),0)</f>
        <v>0</v>
      </c>
    </row>
    <row r="206" hidden="1" outlineLevel="1">
      <c r="A206" s="504">
        <f>IF(F206="","",IF(F206&gt;0,"R"&amp;F206,""))</f>
      </c>
      <c r="B206" s="504">
        <f>IF(F206="","",IFERROR(INDEX(RAW!$F:$F,MAX(2,F206)),""))</f>
      </c>
      <c r="C206" s="522" t="n"/>
      <c r="D206" s="524">
        <f>IF(F206="","",IFERROR(INDEX(RAW!$A:$A,MAX(2,F206)),""))</f>
      </c>
      <c r="E206" s="525">
        <f>IF(F206="","",IFERROR(INDEX(RAW!$K:$K,MAX(2,F206)),0))</f>
      </c>
      <c r="F206" s="522" t="n"/>
      <c r="G206" s="504" t="inlineStr">
        <is>
          <t>신규</t>
        </is>
      </c>
      <c r="O206" s="498">
        <f>IF(LEFT(R206,2)="확인",R206,"")</f>
      </c>
      <c r="R206" s="504">
        <f>IF(A206="","",IF(C206="생활비","생활비",IF(AND(COUNTIF($A$8:$A$12,C206)=1,ISNUMBER(D206),E206&gt;0,COUNTIF($A$100:$A$399,A206)=1,IFERROR(IF(F206="",AND(LEFT(A206,1)="U",G206="월기록"),AND(F206&gt;=2,COUNTIF($F$100:$F$399,F206)=1,INDEX(RAW!$H:$H,MAX(2,F206))="지출",D206=INDEX(RAW!$A:$A,MAX(2,F206)),E206&lt;=INDEX(RAW!$K:$K,MAX(2,F206)),OR(AND(G206="기존반영",OR(A206="U003",A206="U007")),AND(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AND(OR(A206&lt;&gt;"U003",F206=356),OR(A206&lt;&gt;"U007",F206=2203),OR(G206&lt;&gt;"기존반영",A206="U003",A206="U007")))),FALSE)),"OK","확인: 사용등록")))</f>
      </c>
      <c r="S206" s="504">
        <f>IF(ISNUMBER(D206),DATE(YEAR(D206),MONTH(D206),1),0)</f>
        <v>0</v>
      </c>
      <c r="T206" s="526">
        <f>IF(R206="OK",SUMIFS($O$430:$O$729,$B$430:$B$729,A206,$E$430:$E$729,"&lt;"&amp;EDATE($B$3,1)),0)</f>
        <v>0</v>
      </c>
      <c r="U206" s="526">
        <f>IF(AND(R206="OK",D206&lt;EDATE($B$3,1),$B$3&gt;=DATE(2026,3,1)),MAX(0,E206-T206),0)</f>
        <v>0</v>
      </c>
      <c r="V206" s="526">
        <f>IFERROR(IF(AND(R206="OK",AND(F206&gt;=2,G206&lt;&gt;"기존반영",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E206,0),0)</f>
        <v>0</v>
      </c>
      <c r="W206" s="526">
        <f>IF(V206&gt;0,ROUNDUP(INDEX(RAW!$K:$K,MAX(2,F206))/1000,0)*1000-ROUNDUP((INDEX(RAW!$K:$K,MAX(2,F206))-V206)/1000,0)*1000,0)</f>
        <v>0</v>
      </c>
      <c r="X206" s="504">
        <f>IF(AND(R206="OK",IF($B$43="전체",D206&lt;EDATE($B$3,1),IF($B$43="미정산",U206&gt;0,OR(S206=$B$3,Z206&gt;0,U206&gt;0)))),1,0)</f>
        <v>0</v>
      </c>
      <c r="Y206" s="504">
        <f>IF(X206=1,COUNTIF($X$100:X206,1),0)</f>
        <v>0</v>
      </c>
      <c r="Z206" s="526">
        <f>IF(R206="OK",SUMIFS($O$430:$O$729,$B$430:$B$729,A206,$E$430:$E$729,"&gt;="&amp;$B$3,$E$430:$E$729,"&lt;"&amp;EDATE($B$3,1)),0)</f>
        <v>0</v>
      </c>
    </row>
    <row r="207" hidden="1" outlineLevel="1">
      <c r="A207" s="504">
        <f>IF(F207="","",IF(F207&gt;0,"R"&amp;F207,""))</f>
      </c>
      <c r="B207" s="504">
        <f>IF(F207="","",IFERROR(INDEX(RAW!$F:$F,MAX(2,F207)),""))</f>
      </c>
      <c r="C207" s="522" t="n"/>
      <c r="D207" s="524">
        <f>IF(F207="","",IFERROR(INDEX(RAW!$A:$A,MAX(2,F207)),""))</f>
      </c>
      <c r="E207" s="525">
        <f>IF(F207="","",IFERROR(INDEX(RAW!$K:$K,MAX(2,F207)),0))</f>
      </c>
      <c r="F207" s="522" t="n"/>
      <c r="G207" s="504" t="inlineStr">
        <is>
          <t>신규</t>
        </is>
      </c>
      <c r="O207" s="498">
        <f>IF(LEFT(R207,2)="확인",R207,"")</f>
      </c>
      <c r="R207" s="504">
        <f>IF(A207="","",IF(C207="생활비","생활비",IF(AND(COUNTIF($A$8:$A$12,C207)=1,ISNUMBER(D207),E207&gt;0,COUNTIF($A$100:$A$399,A207)=1,IFERROR(IF(F207="",AND(LEFT(A207,1)="U",G207="월기록"),AND(F207&gt;=2,COUNTIF($F$100:$F$399,F207)=1,INDEX(RAW!$H:$H,MAX(2,F207))="지출",D207=INDEX(RAW!$A:$A,MAX(2,F207)),E207&lt;=INDEX(RAW!$K:$K,MAX(2,F207)),OR(AND(G207="기존반영",OR(A207="U003",A207="U007")),AND(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AND(OR(A207&lt;&gt;"U003",F207=356),OR(A207&lt;&gt;"U007",F207=2203),OR(G207&lt;&gt;"기존반영",A207="U003",A207="U007")))),FALSE)),"OK","확인: 사용등록")))</f>
      </c>
      <c r="S207" s="504">
        <f>IF(ISNUMBER(D207),DATE(YEAR(D207),MONTH(D207),1),0)</f>
        <v>0</v>
      </c>
      <c r="T207" s="526">
        <f>IF(R207="OK",SUMIFS($O$430:$O$729,$B$430:$B$729,A207,$E$430:$E$729,"&lt;"&amp;EDATE($B$3,1)),0)</f>
        <v>0</v>
      </c>
      <c r="U207" s="526">
        <f>IF(AND(R207="OK",D207&lt;EDATE($B$3,1),$B$3&gt;=DATE(2026,3,1)),MAX(0,E207-T207),0)</f>
        <v>0</v>
      </c>
      <c r="V207" s="526">
        <f>IFERROR(IF(AND(R207="OK",AND(F207&gt;=2,G207&lt;&gt;"기존반영",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E207,0),0)</f>
        <v>0</v>
      </c>
      <c r="W207" s="526">
        <f>IF(V207&gt;0,ROUNDUP(INDEX(RAW!$K:$K,MAX(2,F207))/1000,0)*1000-ROUNDUP((INDEX(RAW!$K:$K,MAX(2,F207))-V207)/1000,0)*1000,0)</f>
        <v>0</v>
      </c>
      <c r="X207" s="504">
        <f>IF(AND(R207="OK",IF($B$43="전체",D207&lt;EDATE($B$3,1),IF($B$43="미정산",U207&gt;0,OR(S207=$B$3,Z207&gt;0,U207&gt;0)))),1,0)</f>
        <v>0</v>
      </c>
      <c r="Y207" s="504">
        <f>IF(X207=1,COUNTIF($X$100:X207,1),0)</f>
        <v>0</v>
      </c>
      <c r="Z207" s="526">
        <f>IF(R207="OK",SUMIFS($O$430:$O$729,$B$430:$B$729,A207,$E$430:$E$729,"&gt;="&amp;$B$3,$E$430:$E$729,"&lt;"&amp;EDATE($B$3,1)),0)</f>
        <v>0</v>
      </c>
    </row>
    <row r="208" hidden="1" outlineLevel="1">
      <c r="A208" s="504">
        <f>IF(F208="","",IF(F208&gt;0,"R"&amp;F208,""))</f>
      </c>
      <c r="B208" s="504">
        <f>IF(F208="","",IFERROR(INDEX(RAW!$F:$F,MAX(2,F208)),""))</f>
      </c>
      <c r="C208" s="522" t="n"/>
      <c r="D208" s="524">
        <f>IF(F208="","",IFERROR(INDEX(RAW!$A:$A,MAX(2,F208)),""))</f>
      </c>
      <c r="E208" s="525">
        <f>IF(F208="","",IFERROR(INDEX(RAW!$K:$K,MAX(2,F208)),0))</f>
      </c>
      <c r="F208" s="522" t="n"/>
      <c r="G208" s="504" t="inlineStr">
        <is>
          <t>신규</t>
        </is>
      </c>
      <c r="O208" s="498">
        <f>IF(LEFT(R208,2)="확인",R208,"")</f>
      </c>
      <c r="R208" s="504">
        <f>IF(A208="","",IF(C208="생활비","생활비",IF(AND(COUNTIF($A$8:$A$12,C208)=1,ISNUMBER(D208),E208&gt;0,COUNTIF($A$100:$A$399,A208)=1,IFERROR(IF(F208="",AND(LEFT(A208,1)="U",G208="월기록"),AND(F208&gt;=2,COUNTIF($F$100:$F$399,F208)=1,INDEX(RAW!$H:$H,MAX(2,F208))="지출",D208=INDEX(RAW!$A:$A,MAX(2,F208)),E208&lt;=INDEX(RAW!$K:$K,MAX(2,F208)),OR(AND(G208="기존반영",OR(A208="U003",A208="U007")),AND(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AND(OR(A208&lt;&gt;"U003",F208=356),OR(A208&lt;&gt;"U007",F208=2203),OR(G208&lt;&gt;"기존반영",A208="U003",A208="U007")))),FALSE)),"OK","확인: 사용등록")))</f>
      </c>
      <c r="S208" s="504">
        <f>IF(ISNUMBER(D208),DATE(YEAR(D208),MONTH(D208),1),0)</f>
        <v>0</v>
      </c>
      <c r="T208" s="526">
        <f>IF(R208="OK",SUMIFS($O$430:$O$729,$B$430:$B$729,A208,$E$430:$E$729,"&lt;"&amp;EDATE($B$3,1)),0)</f>
        <v>0</v>
      </c>
      <c r="U208" s="526">
        <f>IF(AND(R208="OK",D208&lt;EDATE($B$3,1),$B$3&gt;=DATE(2026,3,1)),MAX(0,E208-T208),0)</f>
        <v>0</v>
      </c>
      <c r="V208" s="526">
        <f>IFERROR(IF(AND(R208="OK",AND(F208&gt;=2,G208&lt;&gt;"기존반영",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E208,0),0)</f>
        <v>0</v>
      </c>
      <c r="W208" s="526">
        <f>IF(V208&gt;0,ROUNDUP(INDEX(RAW!$K:$K,MAX(2,F208))/1000,0)*1000-ROUNDUP((INDEX(RAW!$K:$K,MAX(2,F208))-V208)/1000,0)*1000,0)</f>
        <v>0</v>
      </c>
      <c r="X208" s="504">
        <f>IF(AND(R208="OK",IF($B$43="전체",D208&lt;EDATE($B$3,1),IF($B$43="미정산",U208&gt;0,OR(S208=$B$3,Z208&gt;0,U208&gt;0)))),1,0)</f>
        <v>0</v>
      </c>
      <c r="Y208" s="504">
        <f>IF(X208=1,COUNTIF($X$100:X208,1),0)</f>
        <v>0</v>
      </c>
      <c r="Z208" s="526">
        <f>IF(R208="OK",SUMIFS($O$430:$O$729,$B$430:$B$729,A208,$E$430:$E$729,"&gt;="&amp;$B$3,$E$430:$E$729,"&lt;"&amp;EDATE($B$3,1)),0)</f>
        <v>0</v>
      </c>
    </row>
    <row r="209" hidden="1" outlineLevel="1">
      <c r="A209" s="504">
        <f>IF(F209="","",IF(F209&gt;0,"R"&amp;F209,""))</f>
      </c>
      <c r="B209" s="504">
        <f>IF(F209="","",IFERROR(INDEX(RAW!$F:$F,MAX(2,F209)),""))</f>
      </c>
      <c r="C209" s="522" t="n"/>
      <c r="D209" s="524">
        <f>IF(F209="","",IFERROR(INDEX(RAW!$A:$A,MAX(2,F209)),""))</f>
      </c>
      <c r="E209" s="525">
        <f>IF(F209="","",IFERROR(INDEX(RAW!$K:$K,MAX(2,F209)),0))</f>
      </c>
      <c r="F209" s="522" t="n"/>
      <c r="G209" s="504" t="inlineStr">
        <is>
          <t>신규</t>
        </is>
      </c>
      <c r="O209" s="498">
        <f>IF(LEFT(R209,2)="확인",R209,"")</f>
      </c>
      <c r="R209" s="504">
        <f>IF(A209="","",IF(C209="생활비","생활비",IF(AND(COUNTIF($A$8:$A$12,C209)=1,ISNUMBER(D209),E209&gt;0,COUNTIF($A$100:$A$399,A209)=1,IFERROR(IF(F209="",AND(LEFT(A209,1)="U",G209="월기록"),AND(F209&gt;=2,COUNTIF($F$100:$F$399,F209)=1,INDEX(RAW!$H:$H,MAX(2,F209))="지출",D209=INDEX(RAW!$A:$A,MAX(2,F209)),E209&lt;=INDEX(RAW!$K:$K,MAX(2,F209)),OR(AND(G209="기존반영",OR(A209="U003",A209="U007")),AND(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AND(OR(A209&lt;&gt;"U003",F209=356),OR(A209&lt;&gt;"U007",F209=2203),OR(G209&lt;&gt;"기존반영",A209="U003",A209="U007")))),FALSE)),"OK","확인: 사용등록")))</f>
      </c>
      <c r="S209" s="504">
        <f>IF(ISNUMBER(D209),DATE(YEAR(D209),MONTH(D209),1),0)</f>
        <v>0</v>
      </c>
      <c r="T209" s="526">
        <f>IF(R209="OK",SUMIFS($O$430:$O$729,$B$430:$B$729,A209,$E$430:$E$729,"&lt;"&amp;EDATE($B$3,1)),0)</f>
        <v>0</v>
      </c>
      <c r="U209" s="526">
        <f>IF(AND(R209="OK",D209&lt;EDATE($B$3,1),$B$3&gt;=DATE(2026,3,1)),MAX(0,E209-T209),0)</f>
        <v>0</v>
      </c>
      <c r="V209" s="526">
        <f>IFERROR(IF(AND(R209="OK",AND(F209&gt;=2,G209&lt;&gt;"기존반영",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E209,0),0)</f>
        <v>0</v>
      </c>
      <c r="W209" s="526">
        <f>IF(V209&gt;0,ROUNDUP(INDEX(RAW!$K:$K,MAX(2,F209))/1000,0)*1000-ROUNDUP((INDEX(RAW!$K:$K,MAX(2,F209))-V209)/1000,0)*1000,0)</f>
        <v>0</v>
      </c>
      <c r="X209" s="504">
        <f>IF(AND(R209="OK",IF($B$43="전체",D209&lt;EDATE($B$3,1),IF($B$43="미정산",U209&gt;0,OR(S209=$B$3,Z209&gt;0,U209&gt;0)))),1,0)</f>
        <v>0</v>
      </c>
      <c r="Y209" s="504">
        <f>IF(X209=1,COUNTIF($X$100:X209,1),0)</f>
        <v>0</v>
      </c>
      <c r="Z209" s="526">
        <f>IF(R209="OK",SUMIFS($O$430:$O$729,$B$430:$B$729,A209,$E$430:$E$729,"&gt;="&amp;$B$3,$E$430:$E$729,"&lt;"&amp;EDATE($B$3,1)),0)</f>
        <v>0</v>
      </c>
    </row>
    <row r="210" hidden="1" outlineLevel="1">
      <c r="A210" s="504">
        <f>IF(F210="","",IF(F210&gt;0,"R"&amp;F210,""))</f>
      </c>
      <c r="B210" s="504">
        <f>IF(F210="","",IFERROR(INDEX(RAW!$F:$F,MAX(2,F210)),""))</f>
      </c>
      <c r="C210" s="522" t="n"/>
      <c r="D210" s="524">
        <f>IF(F210="","",IFERROR(INDEX(RAW!$A:$A,MAX(2,F210)),""))</f>
      </c>
      <c r="E210" s="525">
        <f>IF(F210="","",IFERROR(INDEX(RAW!$K:$K,MAX(2,F210)),0))</f>
      </c>
      <c r="F210" s="522" t="n"/>
      <c r="G210" s="504" t="inlineStr">
        <is>
          <t>신규</t>
        </is>
      </c>
      <c r="O210" s="498">
        <f>IF(LEFT(R210,2)="확인",R210,"")</f>
      </c>
      <c r="R210" s="504">
        <f>IF(A210="","",IF(C210="생활비","생활비",IF(AND(COUNTIF($A$8:$A$12,C210)=1,ISNUMBER(D210),E210&gt;0,COUNTIF($A$100:$A$399,A210)=1,IFERROR(IF(F210="",AND(LEFT(A210,1)="U",G210="월기록"),AND(F210&gt;=2,COUNTIF($F$100:$F$399,F210)=1,INDEX(RAW!$H:$H,MAX(2,F210))="지출",D210=INDEX(RAW!$A:$A,MAX(2,F210)),E210&lt;=INDEX(RAW!$K:$K,MAX(2,F210)),OR(AND(G210="기존반영",OR(A210="U003",A210="U007")),AND(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AND(OR(A210&lt;&gt;"U003",F210=356),OR(A210&lt;&gt;"U007",F210=2203),OR(G210&lt;&gt;"기존반영",A210="U003",A210="U007")))),FALSE)),"OK","확인: 사용등록")))</f>
      </c>
      <c r="S210" s="504">
        <f>IF(ISNUMBER(D210),DATE(YEAR(D210),MONTH(D210),1),0)</f>
        <v>0</v>
      </c>
      <c r="T210" s="526">
        <f>IF(R210="OK",SUMIFS($O$430:$O$729,$B$430:$B$729,A210,$E$430:$E$729,"&lt;"&amp;EDATE($B$3,1)),0)</f>
        <v>0</v>
      </c>
      <c r="U210" s="526">
        <f>IF(AND(R210="OK",D210&lt;EDATE($B$3,1),$B$3&gt;=DATE(2026,3,1)),MAX(0,E210-T210),0)</f>
        <v>0</v>
      </c>
      <c r="V210" s="526">
        <f>IFERROR(IF(AND(R210="OK",AND(F210&gt;=2,G210&lt;&gt;"기존반영",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E210,0),0)</f>
        <v>0</v>
      </c>
      <c r="W210" s="526">
        <f>IF(V210&gt;0,ROUNDUP(INDEX(RAW!$K:$K,MAX(2,F210))/1000,0)*1000-ROUNDUP((INDEX(RAW!$K:$K,MAX(2,F210))-V210)/1000,0)*1000,0)</f>
        <v>0</v>
      </c>
      <c r="X210" s="504">
        <f>IF(AND(R210="OK",IF($B$43="전체",D210&lt;EDATE($B$3,1),IF($B$43="미정산",U210&gt;0,OR(S210=$B$3,Z210&gt;0,U210&gt;0)))),1,0)</f>
        <v>0</v>
      </c>
      <c r="Y210" s="504">
        <f>IF(X210=1,COUNTIF($X$100:X210,1),0)</f>
        <v>0</v>
      </c>
      <c r="Z210" s="526">
        <f>IF(R210="OK",SUMIFS($O$430:$O$729,$B$430:$B$729,A210,$E$430:$E$729,"&gt;="&amp;$B$3,$E$430:$E$729,"&lt;"&amp;EDATE($B$3,1)),0)</f>
        <v>0</v>
      </c>
    </row>
    <row r="211" hidden="1" outlineLevel="1">
      <c r="A211" s="504">
        <f>IF(F211="","",IF(F211&gt;0,"R"&amp;F211,""))</f>
      </c>
      <c r="B211" s="504">
        <f>IF(F211="","",IFERROR(INDEX(RAW!$F:$F,MAX(2,F211)),""))</f>
      </c>
      <c r="C211" s="522" t="n"/>
      <c r="D211" s="524">
        <f>IF(F211="","",IFERROR(INDEX(RAW!$A:$A,MAX(2,F211)),""))</f>
      </c>
      <c r="E211" s="525">
        <f>IF(F211="","",IFERROR(INDEX(RAW!$K:$K,MAX(2,F211)),0))</f>
      </c>
      <c r="F211" s="522" t="n"/>
      <c r="G211" s="504" t="inlineStr">
        <is>
          <t>신규</t>
        </is>
      </c>
      <c r="O211" s="498">
        <f>IF(LEFT(R211,2)="확인",R211,"")</f>
      </c>
      <c r="R211" s="504">
        <f>IF(A211="","",IF(C211="생활비","생활비",IF(AND(COUNTIF($A$8:$A$12,C211)=1,ISNUMBER(D211),E211&gt;0,COUNTIF($A$100:$A$399,A211)=1,IFERROR(IF(F211="",AND(LEFT(A211,1)="U",G211="월기록"),AND(F211&gt;=2,COUNTIF($F$100:$F$399,F211)=1,INDEX(RAW!$H:$H,MAX(2,F211))="지출",D211=INDEX(RAW!$A:$A,MAX(2,F211)),E211&lt;=INDEX(RAW!$K:$K,MAX(2,F211)),OR(AND(G211="기존반영",OR(A211="U003",A211="U007")),AND(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AND(OR(A211&lt;&gt;"U003",F211=356),OR(A211&lt;&gt;"U007",F211=2203),OR(G211&lt;&gt;"기존반영",A211="U003",A211="U007")))),FALSE)),"OK","확인: 사용등록")))</f>
      </c>
      <c r="S211" s="504">
        <f>IF(ISNUMBER(D211),DATE(YEAR(D211),MONTH(D211),1),0)</f>
        <v>0</v>
      </c>
      <c r="T211" s="526">
        <f>IF(R211="OK",SUMIFS($O$430:$O$729,$B$430:$B$729,A211,$E$430:$E$729,"&lt;"&amp;EDATE($B$3,1)),0)</f>
        <v>0</v>
      </c>
      <c r="U211" s="526">
        <f>IF(AND(R211="OK",D211&lt;EDATE($B$3,1),$B$3&gt;=DATE(2026,3,1)),MAX(0,E211-T211),0)</f>
        <v>0</v>
      </c>
      <c r="V211" s="526">
        <f>IFERROR(IF(AND(R211="OK",AND(F211&gt;=2,G211&lt;&gt;"기존반영",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E211,0),0)</f>
        <v>0</v>
      </c>
      <c r="W211" s="526">
        <f>IF(V211&gt;0,ROUNDUP(INDEX(RAW!$K:$K,MAX(2,F211))/1000,0)*1000-ROUNDUP((INDEX(RAW!$K:$K,MAX(2,F211))-V211)/1000,0)*1000,0)</f>
        <v>0</v>
      </c>
      <c r="X211" s="504">
        <f>IF(AND(R211="OK",IF($B$43="전체",D211&lt;EDATE($B$3,1),IF($B$43="미정산",U211&gt;0,OR(S211=$B$3,Z211&gt;0,U211&gt;0)))),1,0)</f>
        <v>0</v>
      </c>
      <c r="Y211" s="504">
        <f>IF(X211=1,COUNTIF($X$100:X211,1),0)</f>
        <v>0</v>
      </c>
      <c r="Z211" s="526">
        <f>IF(R211="OK",SUMIFS($O$430:$O$729,$B$430:$B$729,A211,$E$430:$E$729,"&gt;="&amp;$B$3,$E$430:$E$729,"&lt;"&amp;EDATE($B$3,1)),0)</f>
        <v>0</v>
      </c>
    </row>
    <row r="212" hidden="1" outlineLevel="1">
      <c r="A212" s="504">
        <f>IF(F212="","",IF(F212&gt;0,"R"&amp;F212,""))</f>
      </c>
      <c r="B212" s="504">
        <f>IF(F212="","",IFERROR(INDEX(RAW!$F:$F,MAX(2,F212)),""))</f>
      </c>
      <c r="C212" s="522" t="n"/>
      <c r="D212" s="524">
        <f>IF(F212="","",IFERROR(INDEX(RAW!$A:$A,MAX(2,F212)),""))</f>
      </c>
      <c r="E212" s="525">
        <f>IF(F212="","",IFERROR(INDEX(RAW!$K:$K,MAX(2,F212)),0))</f>
      </c>
      <c r="F212" s="522" t="n"/>
      <c r="G212" s="504" t="inlineStr">
        <is>
          <t>신규</t>
        </is>
      </c>
      <c r="O212" s="498">
        <f>IF(LEFT(R212,2)="확인",R212,"")</f>
      </c>
      <c r="R212" s="504">
        <f>IF(A212="","",IF(C212="생활비","생활비",IF(AND(COUNTIF($A$8:$A$12,C212)=1,ISNUMBER(D212),E212&gt;0,COUNTIF($A$100:$A$399,A212)=1,IFERROR(IF(F212="",AND(LEFT(A212,1)="U",G212="월기록"),AND(F212&gt;=2,COUNTIF($F$100:$F$399,F212)=1,INDEX(RAW!$H:$H,MAX(2,F212))="지출",D212=INDEX(RAW!$A:$A,MAX(2,F212)),E212&lt;=INDEX(RAW!$K:$K,MAX(2,F212)),OR(AND(G212="기존반영",OR(A212="U003",A212="U007")),AND(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AND(OR(A212&lt;&gt;"U003",F212=356),OR(A212&lt;&gt;"U007",F212=2203),OR(G212&lt;&gt;"기존반영",A212="U003",A212="U007")))),FALSE)),"OK","확인: 사용등록")))</f>
      </c>
      <c r="S212" s="504">
        <f>IF(ISNUMBER(D212),DATE(YEAR(D212),MONTH(D212),1),0)</f>
        <v>0</v>
      </c>
      <c r="T212" s="526">
        <f>IF(R212="OK",SUMIFS($O$430:$O$729,$B$430:$B$729,A212,$E$430:$E$729,"&lt;"&amp;EDATE($B$3,1)),0)</f>
        <v>0</v>
      </c>
      <c r="U212" s="526">
        <f>IF(AND(R212="OK",D212&lt;EDATE($B$3,1),$B$3&gt;=DATE(2026,3,1)),MAX(0,E212-T212),0)</f>
        <v>0</v>
      </c>
      <c r="V212" s="526">
        <f>IFERROR(IF(AND(R212="OK",AND(F212&gt;=2,G212&lt;&gt;"기존반영",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E212,0),0)</f>
        <v>0</v>
      </c>
      <c r="W212" s="526">
        <f>IF(V212&gt;0,ROUNDUP(INDEX(RAW!$K:$K,MAX(2,F212))/1000,0)*1000-ROUNDUP((INDEX(RAW!$K:$K,MAX(2,F212))-V212)/1000,0)*1000,0)</f>
        <v>0</v>
      </c>
      <c r="X212" s="504">
        <f>IF(AND(R212="OK",IF($B$43="전체",D212&lt;EDATE($B$3,1),IF($B$43="미정산",U212&gt;0,OR(S212=$B$3,Z212&gt;0,U212&gt;0)))),1,0)</f>
        <v>0</v>
      </c>
      <c r="Y212" s="504">
        <f>IF(X212=1,COUNTIF($X$100:X212,1),0)</f>
        <v>0</v>
      </c>
      <c r="Z212" s="526">
        <f>IF(R212="OK",SUMIFS($O$430:$O$729,$B$430:$B$729,A212,$E$430:$E$729,"&gt;="&amp;$B$3,$E$430:$E$729,"&lt;"&amp;EDATE($B$3,1)),0)</f>
        <v>0</v>
      </c>
    </row>
    <row r="213" hidden="1" outlineLevel="1">
      <c r="A213" s="504">
        <f>IF(F213="","",IF(F213&gt;0,"R"&amp;F213,""))</f>
      </c>
      <c r="B213" s="504">
        <f>IF(F213="","",IFERROR(INDEX(RAW!$F:$F,MAX(2,F213)),""))</f>
      </c>
      <c r="C213" s="522" t="n"/>
      <c r="D213" s="524">
        <f>IF(F213="","",IFERROR(INDEX(RAW!$A:$A,MAX(2,F213)),""))</f>
      </c>
      <c r="E213" s="525">
        <f>IF(F213="","",IFERROR(INDEX(RAW!$K:$K,MAX(2,F213)),0))</f>
      </c>
      <c r="F213" s="522" t="n"/>
      <c r="G213" s="504" t="inlineStr">
        <is>
          <t>신규</t>
        </is>
      </c>
      <c r="O213" s="498">
        <f>IF(LEFT(R213,2)="확인",R213,"")</f>
      </c>
      <c r="R213" s="504">
        <f>IF(A213="","",IF(C213="생활비","생활비",IF(AND(COUNTIF($A$8:$A$12,C213)=1,ISNUMBER(D213),E213&gt;0,COUNTIF($A$100:$A$399,A213)=1,IFERROR(IF(F213="",AND(LEFT(A213,1)="U",G213="월기록"),AND(F213&gt;=2,COUNTIF($F$100:$F$399,F213)=1,INDEX(RAW!$H:$H,MAX(2,F213))="지출",D213=INDEX(RAW!$A:$A,MAX(2,F213)),E213&lt;=INDEX(RAW!$K:$K,MAX(2,F213)),OR(AND(G213="기존반영",OR(A213="U003",A213="U007")),AND(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AND(OR(A213&lt;&gt;"U003",F213=356),OR(A213&lt;&gt;"U007",F213=2203),OR(G213&lt;&gt;"기존반영",A213="U003",A213="U007")))),FALSE)),"OK","확인: 사용등록")))</f>
      </c>
      <c r="S213" s="504">
        <f>IF(ISNUMBER(D213),DATE(YEAR(D213),MONTH(D213),1),0)</f>
        <v>0</v>
      </c>
      <c r="T213" s="526">
        <f>IF(R213="OK",SUMIFS($O$430:$O$729,$B$430:$B$729,A213,$E$430:$E$729,"&lt;"&amp;EDATE($B$3,1)),0)</f>
        <v>0</v>
      </c>
      <c r="U213" s="526">
        <f>IF(AND(R213="OK",D213&lt;EDATE($B$3,1),$B$3&gt;=DATE(2026,3,1)),MAX(0,E213-T213),0)</f>
        <v>0</v>
      </c>
      <c r="V213" s="526">
        <f>IFERROR(IF(AND(R213="OK",AND(F213&gt;=2,G213&lt;&gt;"기존반영",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E213,0),0)</f>
        <v>0</v>
      </c>
      <c r="W213" s="526">
        <f>IF(V213&gt;0,ROUNDUP(INDEX(RAW!$K:$K,MAX(2,F213))/1000,0)*1000-ROUNDUP((INDEX(RAW!$K:$K,MAX(2,F213))-V213)/1000,0)*1000,0)</f>
        <v>0</v>
      </c>
      <c r="X213" s="504">
        <f>IF(AND(R213="OK",IF($B$43="전체",D213&lt;EDATE($B$3,1),IF($B$43="미정산",U213&gt;0,OR(S213=$B$3,Z213&gt;0,U213&gt;0)))),1,0)</f>
        <v>0</v>
      </c>
      <c r="Y213" s="504">
        <f>IF(X213=1,COUNTIF($X$100:X213,1),0)</f>
        <v>0</v>
      </c>
      <c r="Z213" s="526">
        <f>IF(R213="OK",SUMIFS($O$430:$O$729,$B$430:$B$729,A213,$E$430:$E$729,"&gt;="&amp;$B$3,$E$430:$E$729,"&lt;"&amp;EDATE($B$3,1)),0)</f>
        <v>0</v>
      </c>
    </row>
    <row r="214" hidden="1" outlineLevel="1">
      <c r="A214" s="504">
        <f>IF(F214="","",IF(F214&gt;0,"R"&amp;F214,""))</f>
      </c>
      <c r="B214" s="504">
        <f>IF(F214="","",IFERROR(INDEX(RAW!$F:$F,MAX(2,F214)),""))</f>
      </c>
      <c r="C214" s="522" t="n"/>
      <c r="D214" s="524">
        <f>IF(F214="","",IFERROR(INDEX(RAW!$A:$A,MAX(2,F214)),""))</f>
      </c>
      <c r="E214" s="525">
        <f>IF(F214="","",IFERROR(INDEX(RAW!$K:$K,MAX(2,F214)),0))</f>
      </c>
      <c r="F214" s="522" t="n"/>
      <c r="G214" s="504" t="inlineStr">
        <is>
          <t>신규</t>
        </is>
      </c>
      <c r="O214" s="498">
        <f>IF(LEFT(R214,2)="확인",R214,"")</f>
      </c>
      <c r="R214" s="504">
        <f>IF(A214="","",IF(C214="생활비","생활비",IF(AND(COUNTIF($A$8:$A$12,C214)=1,ISNUMBER(D214),E214&gt;0,COUNTIF($A$100:$A$399,A214)=1,IFERROR(IF(F214="",AND(LEFT(A214,1)="U",G214="월기록"),AND(F214&gt;=2,COUNTIF($F$100:$F$399,F214)=1,INDEX(RAW!$H:$H,MAX(2,F214))="지출",D214=INDEX(RAW!$A:$A,MAX(2,F214)),E214&lt;=INDEX(RAW!$K:$K,MAX(2,F214)),OR(AND(G214="기존반영",OR(A214="U003",A214="U007")),AND(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AND(OR(A214&lt;&gt;"U003",F214=356),OR(A214&lt;&gt;"U007",F214=2203),OR(G214&lt;&gt;"기존반영",A214="U003",A214="U007")))),FALSE)),"OK","확인: 사용등록")))</f>
      </c>
      <c r="S214" s="504">
        <f>IF(ISNUMBER(D214),DATE(YEAR(D214),MONTH(D214),1),0)</f>
        <v>0</v>
      </c>
      <c r="T214" s="526">
        <f>IF(R214="OK",SUMIFS($O$430:$O$729,$B$430:$B$729,A214,$E$430:$E$729,"&lt;"&amp;EDATE($B$3,1)),0)</f>
        <v>0</v>
      </c>
      <c r="U214" s="526">
        <f>IF(AND(R214="OK",D214&lt;EDATE($B$3,1),$B$3&gt;=DATE(2026,3,1)),MAX(0,E214-T214),0)</f>
        <v>0</v>
      </c>
      <c r="V214" s="526">
        <f>IFERROR(IF(AND(R214="OK",AND(F214&gt;=2,G214&lt;&gt;"기존반영",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E214,0),0)</f>
        <v>0</v>
      </c>
      <c r="W214" s="526">
        <f>IF(V214&gt;0,ROUNDUP(INDEX(RAW!$K:$K,MAX(2,F214))/1000,0)*1000-ROUNDUP((INDEX(RAW!$K:$K,MAX(2,F214))-V214)/1000,0)*1000,0)</f>
        <v>0</v>
      </c>
      <c r="X214" s="504">
        <f>IF(AND(R214="OK",IF($B$43="전체",D214&lt;EDATE($B$3,1),IF($B$43="미정산",U214&gt;0,OR(S214=$B$3,Z214&gt;0,U214&gt;0)))),1,0)</f>
        <v>0</v>
      </c>
      <c r="Y214" s="504">
        <f>IF(X214=1,COUNTIF($X$100:X214,1),0)</f>
        <v>0</v>
      </c>
      <c r="Z214" s="526">
        <f>IF(R214="OK",SUMIFS($O$430:$O$729,$B$430:$B$729,A214,$E$430:$E$729,"&gt;="&amp;$B$3,$E$430:$E$729,"&lt;"&amp;EDATE($B$3,1)),0)</f>
        <v>0</v>
      </c>
    </row>
    <row r="215" hidden="1" outlineLevel="1">
      <c r="A215" s="504">
        <f>IF(F215="","",IF(F215&gt;0,"R"&amp;F215,""))</f>
      </c>
      <c r="B215" s="504">
        <f>IF(F215="","",IFERROR(INDEX(RAW!$F:$F,MAX(2,F215)),""))</f>
      </c>
      <c r="C215" s="522" t="n"/>
      <c r="D215" s="524">
        <f>IF(F215="","",IFERROR(INDEX(RAW!$A:$A,MAX(2,F215)),""))</f>
      </c>
      <c r="E215" s="525">
        <f>IF(F215="","",IFERROR(INDEX(RAW!$K:$K,MAX(2,F215)),0))</f>
      </c>
      <c r="F215" s="522" t="n"/>
      <c r="G215" s="504" t="inlineStr">
        <is>
          <t>신규</t>
        </is>
      </c>
      <c r="O215" s="498">
        <f>IF(LEFT(R215,2)="확인",R215,"")</f>
      </c>
      <c r="R215" s="504">
        <f>IF(A215="","",IF(C215="생활비","생활비",IF(AND(COUNTIF($A$8:$A$12,C215)=1,ISNUMBER(D215),E215&gt;0,COUNTIF($A$100:$A$399,A215)=1,IFERROR(IF(F215="",AND(LEFT(A215,1)="U",G215="월기록"),AND(F215&gt;=2,COUNTIF($F$100:$F$399,F215)=1,INDEX(RAW!$H:$H,MAX(2,F215))="지출",D215=INDEX(RAW!$A:$A,MAX(2,F215)),E215&lt;=INDEX(RAW!$K:$K,MAX(2,F215)),OR(AND(G215="기존반영",OR(A215="U003",A215="U007")),AND(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AND(OR(A215&lt;&gt;"U003",F215=356),OR(A215&lt;&gt;"U007",F215=2203),OR(G215&lt;&gt;"기존반영",A215="U003",A215="U007")))),FALSE)),"OK","확인: 사용등록")))</f>
      </c>
      <c r="S215" s="504">
        <f>IF(ISNUMBER(D215),DATE(YEAR(D215),MONTH(D215),1),0)</f>
        <v>0</v>
      </c>
      <c r="T215" s="526">
        <f>IF(R215="OK",SUMIFS($O$430:$O$729,$B$430:$B$729,A215,$E$430:$E$729,"&lt;"&amp;EDATE($B$3,1)),0)</f>
        <v>0</v>
      </c>
      <c r="U215" s="526">
        <f>IF(AND(R215="OK",D215&lt;EDATE($B$3,1),$B$3&gt;=DATE(2026,3,1)),MAX(0,E215-T215),0)</f>
        <v>0</v>
      </c>
      <c r="V215" s="526">
        <f>IFERROR(IF(AND(R215="OK",AND(F215&gt;=2,G215&lt;&gt;"기존반영",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E215,0),0)</f>
        <v>0</v>
      </c>
      <c r="W215" s="526">
        <f>IF(V215&gt;0,ROUNDUP(INDEX(RAW!$K:$K,MAX(2,F215))/1000,0)*1000-ROUNDUP((INDEX(RAW!$K:$K,MAX(2,F215))-V215)/1000,0)*1000,0)</f>
        <v>0</v>
      </c>
      <c r="X215" s="504">
        <f>IF(AND(R215="OK",IF($B$43="전체",D215&lt;EDATE($B$3,1),IF($B$43="미정산",U215&gt;0,OR(S215=$B$3,Z215&gt;0,U215&gt;0)))),1,0)</f>
        <v>0</v>
      </c>
      <c r="Y215" s="504">
        <f>IF(X215=1,COUNTIF($X$100:X215,1),0)</f>
        <v>0</v>
      </c>
      <c r="Z215" s="526">
        <f>IF(R215="OK",SUMIFS($O$430:$O$729,$B$430:$B$729,A215,$E$430:$E$729,"&gt;="&amp;$B$3,$E$430:$E$729,"&lt;"&amp;EDATE($B$3,1)),0)</f>
        <v>0</v>
      </c>
    </row>
    <row r="216" hidden="1" outlineLevel="1">
      <c r="A216" s="504">
        <f>IF(F216="","",IF(F216&gt;0,"R"&amp;F216,""))</f>
      </c>
      <c r="B216" s="504">
        <f>IF(F216="","",IFERROR(INDEX(RAW!$F:$F,MAX(2,F216)),""))</f>
      </c>
      <c r="C216" s="522" t="n"/>
      <c r="D216" s="524">
        <f>IF(F216="","",IFERROR(INDEX(RAW!$A:$A,MAX(2,F216)),""))</f>
      </c>
      <c r="E216" s="525">
        <f>IF(F216="","",IFERROR(INDEX(RAW!$K:$K,MAX(2,F216)),0))</f>
      </c>
      <c r="F216" s="522" t="n"/>
      <c r="G216" s="504" t="inlineStr">
        <is>
          <t>신규</t>
        </is>
      </c>
      <c r="O216" s="498">
        <f>IF(LEFT(R216,2)="확인",R216,"")</f>
      </c>
      <c r="R216" s="504">
        <f>IF(A216="","",IF(C216="생활비","생활비",IF(AND(COUNTIF($A$8:$A$12,C216)=1,ISNUMBER(D216),E216&gt;0,COUNTIF($A$100:$A$399,A216)=1,IFERROR(IF(F216="",AND(LEFT(A216,1)="U",G216="월기록"),AND(F216&gt;=2,COUNTIF($F$100:$F$399,F216)=1,INDEX(RAW!$H:$H,MAX(2,F216))="지출",D216=INDEX(RAW!$A:$A,MAX(2,F216)),E216&lt;=INDEX(RAW!$K:$K,MAX(2,F216)),OR(AND(G216="기존반영",OR(A216="U003",A216="U007")),AND(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AND(OR(A216&lt;&gt;"U003",F216=356),OR(A216&lt;&gt;"U007",F216=2203),OR(G216&lt;&gt;"기존반영",A216="U003",A216="U007")))),FALSE)),"OK","확인: 사용등록")))</f>
      </c>
      <c r="S216" s="504">
        <f>IF(ISNUMBER(D216),DATE(YEAR(D216),MONTH(D216),1),0)</f>
        <v>0</v>
      </c>
      <c r="T216" s="526">
        <f>IF(R216="OK",SUMIFS($O$430:$O$729,$B$430:$B$729,A216,$E$430:$E$729,"&lt;"&amp;EDATE($B$3,1)),0)</f>
        <v>0</v>
      </c>
      <c r="U216" s="526">
        <f>IF(AND(R216="OK",D216&lt;EDATE($B$3,1),$B$3&gt;=DATE(2026,3,1)),MAX(0,E216-T216),0)</f>
        <v>0</v>
      </c>
      <c r="V216" s="526">
        <f>IFERROR(IF(AND(R216="OK",AND(F216&gt;=2,G216&lt;&gt;"기존반영",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E216,0),0)</f>
        <v>0</v>
      </c>
      <c r="W216" s="526">
        <f>IF(V216&gt;0,ROUNDUP(INDEX(RAW!$K:$K,MAX(2,F216))/1000,0)*1000-ROUNDUP((INDEX(RAW!$K:$K,MAX(2,F216))-V216)/1000,0)*1000,0)</f>
        <v>0</v>
      </c>
      <c r="X216" s="504">
        <f>IF(AND(R216="OK",IF($B$43="전체",D216&lt;EDATE($B$3,1),IF($B$43="미정산",U216&gt;0,OR(S216=$B$3,Z216&gt;0,U216&gt;0)))),1,0)</f>
        <v>0</v>
      </c>
      <c r="Y216" s="504">
        <f>IF(X216=1,COUNTIF($X$100:X216,1),0)</f>
        <v>0</v>
      </c>
      <c r="Z216" s="526">
        <f>IF(R216="OK",SUMIFS($O$430:$O$729,$B$430:$B$729,A216,$E$430:$E$729,"&gt;="&amp;$B$3,$E$430:$E$729,"&lt;"&amp;EDATE($B$3,1)),0)</f>
        <v>0</v>
      </c>
    </row>
    <row r="217" hidden="1" outlineLevel="1">
      <c r="A217" s="504">
        <f>IF(F217="","",IF(F217&gt;0,"R"&amp;F217,""))</f>
      </c>
      <c r="B217" s="504">
        <f>IF(F217="","",IFERROR(INDEX(RAW!$F:$F,MAX(2,F217)),""))</f>
      </c>
      <c r="C217" s="522" t="n"/>
      <c r="D217" s="524">
        <f>IF(F217="","",IFERROR(INDEX(RAW!$A:$A,MAX(2,F217)),""))</f>
      </c>
      <c r="E217" s="525">
        <f>IF(F217="","",IFERROR(INDEX(RAW!$K:$K,MAX(2,F217)),0))</f>
      </c>
      <c r="F217" s="522" t="n"/>
      <c r="G217" s="504" t="inlineStr">
        <is>
          <t>신규</t>
        </is>
      </c>
      <c r="O217" s="498">
        <f>IF(LEFT(R217,2)="확인",R217,"")</f>
      </c>
      <c r="R217" s="504">
        <f>IF(A217="","",IF(C217="생활비","생활비",IF(AND(COUNTIF($A$8:$A$12,C217)=1,ISNUMBER(D217),E217&gt;0,COUNTIF($A$100:$A$399,A217)=1,IFERROR(IF(F217="",AND(LEFT(A217,1)="U",G217="월기록"),AND(F217&gt;=2,COUNTIF($F$100:$F$399,F217)=1,INDEX(RAW!$H:$H,MAX(2,F217))="지출",D217=INDEX(RAW!$A:$A,MAX(2,F217)),E217&lt;=INDEX(RAW!$K:$K,MAX(2,F217)),OR(AND(G217="기존반영",OR(A217="U003",A217="U007")),AND(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AND(OR(A217&lt;&gt;"U003",F217=356),OR(A217&lt;&gt;"U007",F217=2203),OR(G217&lt;&gt;"기존반영",A217="U003",A217="U007")))),FALSE)),"OK","확인: 사용등록")))</f>
      </c>
      <c r="S217" s="504">
        <f>IF(ISNUMBER(D217),DATE(YEAR(D217),MONTH(D217),1),0)</f>
        <v>0</v>
      </c>
      <c r="T217" s="526">
        <f>IF(R217="OK",SUMIFS($O$430:$O$729,$B$430:$B$729,A217,$E$430:$E$729,"&lt;"&amp;EDATE($B$3,1)),0)</f>
        <v>0</v>
      </c>
      <c r="U217" s="526">
        <f>IF(AND(R217="OK",D217&lt;EDATE($B$3,1),$B$3&gt;=DATE(2026,3,1)),MAX(0,E217-T217),0)</f>
        <v>0</v>
      </c>
      <c r="V217" s="526">
        <f>IFERROR(IF(AND(R217="OK",AND(F217&gt;=2,G217&lt;&gt;"기존반영",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E217,0),0)</f>
        <v>0</v>
      </c>
      <c r="W217" s="526">
        <f>IF(V217&gt;0,ROUNDUP(INDEX(RAW!$K:$K,MAX(2,F217))/1000,0)*1000-ROUNDUP((INDEX(RAW!$K:$K,MAX(2,F217))-V217)/1000,0)*1000,0)</f>
        <v>0</v>
      </c>
      <c r="X217" s="504">
        <f>IF(AND(R217="OK",IF($B$43="전체",D217&lt;EDATE($B$3,1),IF($B$43="미정산",U217&gt;0,OR(S217=$B$3,Z217&gt;0,U217&gt;0)))),1,0)</f>
        <v>0</v>
      </c>
      <c r="Y217" s="504">
        <f>IF(X217=1,COUNTIF($X$100:X217,1),0)</f>
        <v>0</v>
      </c>
      <c r="Z217" s="526">
        <f>IF(R217="OK",SUMIFS($O$430:$O$729,$B$430:$B$729,A217,$E$430:$E$729,"&gt;="&amp;$B$3,$E$430:$E$729,"&lt;"&amp;EDATE($B$3,1)),0)</f>
        <v>0</v>
      </c>
    </row>
    <row r="218" hidden="1" outlineLevel="1">
      <c r="A218" s="504">
        <f>IF(F218="","",IF(F218&gt;0,"R"&amp;F218,""))</f>
      </c>
      <c r="B218" s="504">
        <f>IF(F218="","",IFERROR(INDEX(RAW!$F:$F,MAX(2,F218)),""))</f>
      </c>
      <c r="C218" s="522" t="n"/>
      <c r="D218" s="524">
        <f>IF(F218="","",IFERROR(INDEX(RAW!$A:$A,MAX(2,F218)),""))</f>
      </c>
      <c r="E218" s="525">
        <f>IF(F218="","",IFERROR(INDEX(RAW!$K:$K,MAX(2,F218)),0))</f>
      </c>
      <c r="F218" s="522" t="n"/>
      <c r="G218" s="504" t="inlineStr">
        <is>
          <t>신규</t>
        </is>
      </c>
      <c r="O218" s="498">
        <f>IF(LEFT(R218,2)="확인",R218,"")</f>
      </c>
      <c r="R218" s="504">
        <f>IF(A218="","",IF(C218="생활비","생활비",IF(AND(COUNTIF($A$8:$A$12,C218)=1,ISNUMBER(D218),E218&gt;0,COUNTIF($A$100:$A$399,A218)=1,IFERROR(IF(F218="",AND(LEFT(A218,1)="U",G218="월기록"),AND(F218&gt;=2,COUNTIF($F$100:$F$399,F218)=1,INDEX(RAW!$H:$H,MAX(2,F218))="지출",D218=INDEX(RAW!$A:$A,MAX(2,F218)),E218&lt;=INDEX(RAW!$K:$K,MAX(2,F218)),OR(AND(G218="기존반영",OR(A218="U003",A218="U007")),AND(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AND(OR(A218&lt;&gt;"U003",F218=356),OR(A218&lt;&gt;"U007",F218=2203),OR(G218&lt;&gt;"기존반영",A218="U003",A218="U007")))),FALSE)),"OK","확인: 사용등록")))</f>
      </c>
      <c r="S218" s="504">
        <f>IF(ISNUMBER(D218),DATE(YEAR(D218),MONTH(D218),1),0)</f>
        <v>0</v>
      </c>
      <c r="T218" s="526">
        <f>IF(R218="OK",SUMIFS($O$430:$O$729,$B$430:$B$729,A218,$E$430:$E$729,"&lt;"&amp;EDATE($B$3,1)),0)</f>
        <v>0</v>
      </c>
      <c r="U218" s="526">
        <f>IF(AND(R218="OK",D218&lt;EDATE($B$3,1),$B$3&gt;=DATE(2026,3,1)),MAX(0,E218-T218),0)</f>
        <v>0</v>
      </c>
      <c r="V218" s="526">
        <f>IFERROR(IF(AND(R218="OK",AND(F218&gt;=2,G218&lt;&gt;"기존반영",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E218,0),0)</f>
        <v>0</v>
      </c>
      <c r="W218" s="526">
        <f>IF(V218&gt;0,ROUNDUP(INDEX(RAW!$K:$K,MAX(2,F218))/1000,0)*1000-ROUNDUP((INDEX(RAW!$K:$K,MAX(2,F218))-V218)/1000,0)*1000,0)</f>
        <v>0</v>
      </c>
      <c r="X218" s="504">
        <f>IF(AND(R218="OK",IF($B$43="전체",D218&lt;EDATE($B$3,1),IF($B$43="미정산",U218&gt;0,OR(S218=$B$3,Z218&gt;0,U218&gt;0)))),1,0)</f>
        <v>0</v>
      </c>
      <c r="Y218" s="504">
        <f>IF(X218=1,COUNTIF($X$100:X218,1),0)</f>
        <v>0</v>
      </c>
      <c r="Z218" s="526">
        <f>IF(R218="OK",SUMIFS($O$430:$O$729,$B$430:$B$729,A218,$E$430:$E$729,"&gt;="&amp;$B$3,$E$430:$E$729,"&lt;"&amp;EDATE($B$3,1)),0)</f>
        <v>0</v>
      </c>
    </row>
    <row r="219" hidden="1" outlineLevel="1">
      <c r="A219" s="504">
        <f>IF(F219="","",IF(F219&gt;0,"R"&amp;F219,""))</f>
      </c>
      <c r="B219" s="504">
        <f>IF(F219="","",IFERROR(INDEX(RAW!$F:$F,MAX(2,F219)),""))</f>
      </c>
      <c r="C219" s="522" t="n"/>
      <c r="D219" s="524">
        <f>IF(F219="","",IFERROR(INDEX(RAW!$A:$A,MAX(2,F219)),""))</f>
      </c>
      <c r="E219" s="525">
        <f>IF(F219="","",IFERROR(INDEX(RAW!$K:$K,MAX(2,F219)),0))</f>
      </c>
      <c r="F219" s="522" t="n"/>
      <c r="G219" s="504" t="inlineStr">
        <is>
          <t>신규</t>
        </is>
      </c>
      <c r="O219" s="498">
        <f>IF(LEFT(R219,2)="확인",R219,"")</f>
      </c>
      <c r="R219" s="504">
        <f>IF(A219="","",IF(C219="생활비","생활비",IF(AND(COUNTIF($A$8:$A$12,C219)=1,ISNUMBER(D219),E219&gt;0,COUNTIF($A$100:$A$399,A219)=1,IFERROR(IF(F219="",AND(LEFT(A219,1)="U",G219="월기록"),AND(F219&gt;=2,COUNTIF($F$100:$F$399,F219)=1,INDEX(RAW!$H:$H,MAX(2,F219))="지출",D219=INDEX(RAW!$A:$A,MAX(2,F219)),E219&lt;=INDEX(RAW!$K:$K,MAX(2,F219)),OR(AND(G219="기존반영",OR(A219="U003",A219="U007")),AND(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AND(OR(A219&lt;&gt;"U003",F219=356),OR(A219&lt;&gt;"U007",F219=2203),OR(G219&lt;&gt;"기존반영",A219="U003",A219="U007")))),FALSE)),"OK","확인: 사용등록")))</f>
      </c>
      <c r="S219" s="504">
        <f>IF(ISNUMBER(D219),DATE(YEAR(D219),MONTH(D219),1),0)</f>
        <v>0</v>
      </c>
      <c r="T219" s="526">
        <f>IF(R219="OK",SUMIFS($O$430:$O$729,$B$430:$B$729,A219,$E$430:$E$729,"&lt;"&amp;EDATE($B$3,1)),0)</f>
        <v>0</v>
      </c>
      <c r="U219" s="526">
        <f>IF(AND(R219="OK",D219&lt;EDATE($B$3,1),$B$3&gt;=DATE(2026,3,1)),MAX(0,E219-T219),0)</f>
        <v>0</v>
      </c>
      <c r="V219" s="526">
        <f>IFERROR(IF(AND(R219="OK",AND(F219&gt;=2,G219&lt;&gt;"기존반영",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E219,0),0)</f>
        <v>0</v>
      </c>
      <c r="W219" s="526">
        <f>IF(V219&gt;0,ROUNDUP(INDEX(RAW!$K:$K,MAX(2,F219))/1000,0)*1000-ROUNDUP((INDEX(RAW!$K:$K,MAX(2,F219))-V219)/1000,0)*1000,0)</f>
        <v>0</v>
      </c>
      <c r="X219" s="504">
        <f>IF(AND(R219="OK",IF($B$43="전체",D219&lt;EDATE($B$3,1),IF($B$43="미정산",U219&gt;0,OR(S219=$B$3,Z219&gt;0,U219&gt;0)))),1,0)</f>
        <v>0</v>
      </c>
      <c r="Y219" s="504">
        <f>IF(X219=1,COUNTIF($X$100:X219,1),0)</f>
        <v>0</v>
      </c>
      <c r="Z219" s="526">
        <f>IF(R219="OK",SUMIFS($O$430:$O$729,$B$430:$B$729,A219,$E$430:$E$729,"&gt;="&amp;$B$3,$E$430:$E$729,"&lt;"&amp;EDATE($B$3,1)),0)</f>
        <v>0</v>
      </c>
    </row>
    <row r="220" hidden="1" outlineLevel="1">
      <c r="A220" s="504">
        <f>IF(F220="","",IF(F220&gt;0,"R"&amp;F220,""))</f>
      </c>
      <c r="B220" s="504">
        <f>IF(F220="","",IFERROR(INDEX(RAW!$F:$F,MAX(2,F220)),""))</f>
      </c>
      <c r="C220" s="522" t="n"/>
      <c r="D220" s="524">
        <f>IF(F220="","",IFERROR(INDEX(RAW!$A:$A,MAX(2,F220)),""))</f>
      </c>
      <c r="E220" s="525">
        <f>IF(F220="","",IFERROR(INDEX(RAW!$K:$K,MAX(2,F220)),0))</f>
      </c>
      <c r="F220" s="522" t="n"/>
      <c r="G220" s="504" t="inlineStr">
        <is>
          <t>신규</t>
        </is>
      </c>
      <c r="O220" s="498">
        <f>IF(LEFT(R220,2)="확인",R220,"")</f>
      </c>
      <c r="R220" s="504">
        <f>IF(A220="","",IF(C220="생활비","생활비",IF(AND(COUNTIF($A$8:$A$12,C220)=1,ISNUMBER(D220),E220&gt;0,COUNTIF($A$100:$A$399,A220)=1,IFERROR(IF(F220="",AND(LEFT(A220,1)="U",G220="월기록"),AND(F220&gt;=2,COUNTIF($F$100:$F$399,F220)=1,INDEX(RAW!$H:$H,MAX(2,F220))="지출",D220=INDEX(RAW!$A:$A,MAX(2,F220)),E220&lt;=INDEX(RAW!$K:$K,MAX(2,F220)),OR(AND(G220="기존반영",OR(A220="U003",A220="U007")),AND(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AND(OR(A220&lt;&gt;"U003",F220=356),OR(A220&lt;&gt;"U007",F220=2203),OR(G220&lt;&gt;"기존반영",A220="U003",A220="U007")))),FALSE)),"OK","확인: 사용등록")))</f>
      </c>
      <c r="S220" s="504">
        <f>IF(ISNUMBER(D220),DATE(YEAR(D220),MONTH(D220),1),0)</f>
        <v>0</v>
      </c>
      <c r="T220" s="526">
        <f>IF(R220="OK",SUMIFS($O$430:$O$729,$B$430:$B$729,A220,$E$430:$E$729,"&lt;"&amp;EDATE($B$3,1)),0)</f>
        <v>0</v>
      </c>
      <c r="U220" s="526">
        <f>IF(AND(R220="OK",D220&lt;EDATE($B$3,1),$B$3&gt;=DATE(2026,3,1)),MAX(0,E220-T220),0)</f>
        <v>0</v>
      </c>
      <c r="V220" s="526">
        <f>IFERROR(IF(AND(R220="OK",AND(F220&gt;=2,G220&lt;&gt;"기존반영",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E220,0),0)</f>
        <v>0</v>
      </c>
      <c r="W220" s="526">
        <f>IF(V220&gt;0,ROUNDUP(INDEX(RAW!$K:$K,MAX(2,F220))/1000,0)*1000-ROUNDUP((INDEX(RAW!$K:$K,MAX(2,F220))-V220)/1000,0)*1000,0)</f>
        <v>0</v>
      </c>
      <c r="X220" s="504">
        <f>IF(AND(R220="OK",IF($B$43="전체",D220&lt;EDATE($B$3,1),IF($B$43="미정산",U220&gt;0,OR(S220=$B$3,Z220&gt;0,U220&gt;0)))),1,0)</f>
        <v>0</v>
      </c>
      <c r="Y220" s="504">
        <f>IF(X220=1,COUNTIF($X$100:X220,1),0)</f>
        <v>0</v>
      </c>
      <c r="Z220" s="526">
        <f>IF(R220="OK",SUMIFS($O$430:$O$729,$B$430:$B$729,A220,$E$430:$E$729,"&gt;="&amp;$B$3,$E$430:$E$729,"&lt;"&amp;EDATE($B$3,1)),0)</f>
        <v>0</v>
      </c>
    </row>
    <row r="221" hidden="1" outlineLevel="1">
      <c r="A221" s="504">
        <f>IF(F221="","",IF(F221&gt;0,"R"&amp;F221,""))</f>
      </c>
      <c r="B221" s="504">
        <f>IF(F221="","",IFERROR(INDEX(RAW!$F:$F,MAX(2,F221)),""))</f>
      </c>
      <c r="C221" s="522" t="n"/>
      <c r="D221" s="524">
        <f>IF(F221="","",IFERROR(INDEX(RAW!$A:$A,MAX(2,F221)),""))</f>
      </c>
      <c r="E221" s="525">
        <f>IF(F221="","",IFERROR(INDEX(RAW!$K:$K,MAX(2,F221)),0))</f>
      </c>
      <c r="F221" s="522" t="n"/>
      <c r="G221" s="504" t="inlineStr">
        <is>
          <t>신규</t>
        </is>
      </c>
      <c r="O221" s="498">
        <f>IF(LEFT(R221,2)="확인",R221,"")</f>
      </c>
      <c r="R221" s="504">
        <f>IF(A221="","",IF(C221="생활비","생활비",IF(AND(COUNTIF($A$8:$A$12,C221)=1,ISNUMBER(D221),E221&gt;0,COUNTIF($A$100:$A$399,A221)=1,IFERROR(IF(F221="",AND(LEFT(A221,1)="U",G221="월기록"),AND(F221&gt;=2,COUNTIF($F$100:$F$399,F221)=1,INDEX(RAW!$H:$H,MAX(2,F221))="지출",D221=INDEX(RAW!$A:$A,MAX(2,F221)),E221&lt;=INDEX(RAW!$K:$K,MAX(2,F221)),OR(AND(G221="기존반영",OR(A221="U003",A221="U007")),AND(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AND(OR(A221&lt;&gt;"U003",F221=356),OR(A221&lt;&gt;"U007",F221=2203),OR(G221&lt;&gt;"기존반영",A221="U003",A221="U007")))),FALSE)),"OK","확인: 사용등록")))</f>
      </c>
      <c r="S221" s="504">
        <f>IF(ISNUMBER(D221),DATE(YEAR(D221),MONTH(D221),1),0)</f>
        <v>0</v>
      </c>
      <c r="T221" s="526">
        <f>IF(R221="OK",SUMIFS($O$430:$O$729,$B$430:$B$729,A221,$E$430:$E$729,"&lt;"&amp;EDATE($B$3,1)),0)</f>
        <v>0</v>
      </c>
      <c r="U221" s="526">
        <f>IF(AND(R221="OK",D221&lt;EDATE($B$3,1),$B$3&gt;=DATE(2026,3,1)),MAX(0,E221-T221),0)</f>
        <v>0</v>
      </c>
      <c r="V221" s="526">
        <f>IFERROR(IF(AND(R221="OK",AND(F221&gt;=2,G221&lt;&gt;"기존반영",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E221,0),0)</f>
        <v>0</v>
      </c>
      <c r="W221" s="526">
        <f>IF(V221&gt;0,ROUNDUP(INDEX(RAW!$K:$K,MAX(2,F221))/1000,0)*1000-ROUNDUP((INDEX(RAW!$K:$K,MAX(2,F221))-V221)/1000,0)*1000,0)</f>
        <v>0</v>
      </c>
      <c r="X221" s="504">
        <f>IF(AND(R221="OK",IF($B$43="전체",D221&lt;EDATE($B$3,1),IF($B$43="미정산",U221&gt;0,OR(S221=$B$3,Z221&gt;0,U221&gt;0)))),1,0)</f>
        <v>0</v>
      </c>
      <c r="Y221" s="504">
        <f>IF(X221=1,COUNTIF($X$100:X221,1),0)</f>
        <v>0</v>
      </c>
      <c r="Z221" s="526">
        <f>IF(R221="OK",SUMIFS($O$430:$O$729,$B$430:$B$729,A221,$E$430:$E$729,"&gt;="&amp;$B$3,$E$430:$E$729,"&lt;"&amp;EDATE($B$3,1)),0)</f>
        <v>0</v>
      </c>
    </row>
    <row r="222" hidden="1" outlineLevel="1">
      <c r="A222" s="504">
        <f>IF(F222="","",IF(F222&gt;0,"R"&amp;F222,""))</f>
      </c>
      <c r="B222" s="504">
        <f>IF(F222="","",IFERROR(INDEX(RAW!$F:$F,MAX(2,F222)),""))</f>
      </c>
      <c r="C222" s="522" t="n"/>
      <c r="D222" s="524">
        <f>IF(F222="","",IFERROR(INDEX(RAW!$A:$A,MAX(2,F222)),""))</f>
      </c>
      <c r="E222" s="525">
        <f>IF(F222="","",IFERROR(INDEX(RAW!$K:$K,MAX(2,F222)),0))</f>
      </c>
      <c r="F222" s="522" t="n"/>
      <c r="G222" s="504" t="inlineStr">
        <is>
          <t>신규</t>
        </is>
      </c>
      <c r="O222" s="498">
        <f>IF(LEFT(R222,2)="확인",R222,"")</f>
      </c>
      <c r="R222" s="504">
        <f>IF(A222="","",IF(C222="생활비","생활비",IF(AND(COUNTIF($A$8:$A$12,C222)=1,ISNUMBER(D222),E222&gt;0,COUNTIF($A$100:$A$399,A222)=1,IFERROR(IF(F222="",AND(LEFT(A222,1)="U",G222="월기록"),AND(F222&gt;=2,COUNTIF($F$100:$F$399,F222)=1,INDEX(RAW!$H:$H,MAX(2,F222))="지출",D222=INDEX(RAW!$A:$A,MAX(2,F222)),E222&lt;=INDEX(RAW!$K:$K,MAX(2,F222)),OR(AND(G222="기존반영",OR(A222="U003",A222="U007")),AND(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AND(OR(A222&lt;&gt;"U003",F222=356),OR(A222&lt;&gt;"U007",F222=2203),OR(G222&lt;&gt;"기존반영",A222="U003",A222="U007")))),FALSE)),"OK","확인: 사용등록")))</f>
      </c>
      <c r="S222" s="504">
        <f>IF(ISNUMBER(D222),DATE(YEAR(D222),MONTH(D222),1),0)</f>
        <v>0</v>
      </c>
      <c r="T222" s="526">
        <f>IF(R222="OK",SUMIFS($O$430:$O$729,$B$430:$B$729,A222,$E$430:$E$729,"&lt;"&amp;EDATE($B$3,1)),0)</f>
        <v>0</v>
      </c>
      <c r="U222" s="526">
        <f>IF(AND(R222="OK",D222&lt;EDATE($B$3,1),$B$3&gt;=DATE(2026,3,1)),MAX(0,E222-T222),0)</f>
        <v>0</v>
      </c>
      <c r="V222" s="526">
        <f>IFERROR(IF(AND(R222="OK",AND(F222&gt;=2,G222&lt;&gt;"기존반영",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E222,0),0)</f>
        <v>0</v>
      </c>
      <c r="W222" s="526">
        <f>IF(V222&gt;0,ROUNDUP(INDEX(RAW!$K:$K,MAX(2,F222))/1000,0)*1000-ROUNDUP((INDEX(RAW!$K:$K,MAX(2,F222))-V222)/1000,0)*1000,0)</f>
        <v>0</v>
      </c>
      <c r="X222" s="504">
        <f>IF(AND(R222="OK",IF($B$43="전체",D222&lt;EDATE($B$3,1),IF($B$43="미정산",U222&gt;0,OR(S222=$B$3,Z222&gt;0,U222&gt;0)))),1,0)</f>
        <v>0</v>
      </c>
      <c r="Y222" s="504">
        <f>IF(X222=1,COUNTIF($X$100:X222,1),0)</f>
        <v>0</v>
      </c>
      <c r="Z222" s="526">
        <f>IF(R222="OK",SUMIFS($O$430:$O$729,$B$430:$B$729,A222,$E$430:$E$729,"&gt;="&amp;$B$3,$E$430:$E$729,"&lt;"&amp;EDATE($B$3,1)),0)</f>
        <v>0</v>
      </c>
    </row>
    <row r="223" hidden="1" outlineLevel="1">
      <c r="A223" s="504">
        <f>IF(F223="","",IF(F223&gt;0,"R"&amp;F223,""))</f>
      </c>
      <c r="B223" s="504">
        <f>IF(F223="","",IFERROR(INDEX(RAW!$F:$F,MAX(2,F223)),""))</f>
      </c>
      <c r="C223" s="522" t="n"/>
      <c r="D223" s="524">
        <f>IF(F223="","",IFERROR(INDEX(RAW!$A:$A,MAX(2,F223)),""))</f>
      </c>
      <c r="E223" s="525">
        <f>IF(F223="","",IFERROR(INDEX(RAW!$K:$K,MAX(2,F223)),0))</f>
      </c>
      <c r="F223" s="522" t="n"/>
      <c r="G223" s="504" t="inlineStr">
        <is>
          <t>신규</t>
        </is>
      </c>
      <c r="O223" s="498">
        <f>IF(LEFT(R223,2)="확인",R223,"")</f>
      </c>
      <c r="R223" s="504">
        <f>IF(A223="","",IF(C223="생활비","생활비",IF(AND(COUNTIF($A$8:$A$12,C223)=1,ISNUMBER(D223),E223&gt;0,COUNTIF($A$100:$A$399,A223)=1,IFERROR(IF(F223="",AND(LEFT(A223,1)="U",G223="월기록"),AND(F223&gt;=2,COUNTIF($F$100:$F$399,F223)=1,INDEX(RAW!$H:$H,MAX(2,F223))="지출",D223=INDEX(RAW!$A:$A,MAX(2,F223)),E223&lt;=INDEX(RAW!$K:$K,MAX(2,F223)),OR(AND(G223="기존반영",OR(A223="U003",A223="U007")),AND(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AND(OR(A223&lt;&gt;"U003",F223=356),OR(A223&lt;&gt;"U007",F223=2203),OR(G223&lt;&gt;"기존반영",A223="U003",A223="U007")))),FALSE)),"OK","확인: 사용등록")))</f>
      </c>
      <c r="S223" s="504">
        <f>IF(ISNUMBER(D223),DATE(YEAR(D223),MONTH(D223),1),0)</f>
        <v>0</v>
      </c>
      <c r="T223" s="526">
        <f>IF(R223="OK",SUMIFS($O$430:$O$729,$B$430:$B$729,A223,$E$430:$E$729,"&lt;"&amp;EDATE($B$3,1)),0)</f>
        <v>0</v>
      </c>
      <c r="U223" s="526">
        <f>IF(AND(R223="OK",D223&lt;EDATE($B$3,1),$B$3&gt;=DATE(2026,3,1)),MAX(0,E223-T223),0)</f>
        <v>0</v>
      </c>
      <c r="V223" s="526">
        <f>IFERROR(IF(AND(R223="OK",AND(F223&gt;=2,G223&lt;&gt;"기존반영",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E223,0),0)</f>
        <v>0</v>
      </c>
      <c r="W223" s="526">
        <f>IF(V223&gt;0,ROUNDUP(INDEX(RAW!$K:$K,MAX(2,F223))/1000,0)*1000-ROUNDUP((INDEX(RAW!$K:$K,MAX(2,F223))-V223)/1000,0)*1000,0)</f>
        <v>0</v>
      </c>
      <c r="X223" s="504">
        <f>IF(AND(R223="OK",IF($B$43="전체",D223&lt;EDATE($B$3,1),IF($B$43="미정산",U223&gt;0,OR(S223=$B$3,Z223&gt;0,U223&gt;0)))),1,0)</f>
        <v>0</v>
      </c>
      <c r="Y223" s="504">
        <f>IF(X223=1,COUNTIF($X$100:X223,1),0)</f>
        <v>0</v>
      </c>
      <c r="Z223" s="526">
        <f>IF(R223="OK",SUMIFS($O$430:$O$729,$B$430:$B$729,A223,$E$430:$E$729,"&gt;="&amp;$B$3,$E$430:$E$729,"&lt;"&amp;EDATE($B$3,1)),0)</f>
        <v>0</v>
      </c>
    </row>
    <row r="224" hidden="1" outlineLevel="1">
      <c r="A224" s="504">
        <f>IF(F224="","",IF(F224&gt;0,"R"&amp;F224,""))</f>
      </c>
      <c r="B224" s="504">
        <f>IF(F224="","",IFERROR(INDEX(RAW!$F:$F,MAX(2,F224)),""))</f>
      </c>
      <c r="C224" s="522" t="n"/>
      <c r="D224" s="524">
        <f>IF(F224="","",IFERROR(INDEX(RAW!$A:$A,MAX(2,F224)),""))</f>
      </c>
      <c r="E224" s="525">
        <f>IF(F224="","",IFERROR(INDEX(RAW!$K:$K,MAX(2,F224)),0))</f>
      </c>
      <c r="F224" s="522" t="n"/>
      <c r="G224" s="504" t="inlineStr">
        <is>
          <t>신규</t>
        </is>
      </c>
      <c r="O224" s="498">
        <f>IF(LEFT(R224,2)="확인",R224,"")</f>
      </c>
      <c r="R224" s="504">
        <f>IF(A224="","",IF(C224="생활비","생활비",IF(AND(COUNTIF($A$8:$A$12,C224)=1,ISNUMBER(D224),E224&gt;0,COUNTIF($A$100:$A$399,A224)=1,IFERROR(IF(F224="",AND(LEFT(A224,1)="U",G224="월기록"),AND(F224&gt;=2,COUNTIF($F$100:$F$399,F224)=1,INDEX(RAW!$H:$H,MAX(2,F224))="지출",D224=INDEX(RAW!$A:$A,MAX(2,F224)),E224&lt;=INDEX(RAW!$K:$K,MAX(2,F224)),OR(AND(G224="기존반영",OR(A224="U003",A224="U007")),AND(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AND(OR(A224&lt;&gt;"U003",F224=356),OR(A224&lt;&gt;"U007",F224=2203),OR(G224&lt;&gt;"기존반영",A224="U003",A224="U007")))),FALSE)),"OK","확인: 사용등록")))</f>
      </c>
      <c r="S224" s="504">
        <f>IF(ISNUMBER(D224),DATE(YEAR(D224),MONTH(D224),1),0)</f>
        <v>0</v>
      </c>
      <c r="T224" s="526">
        <f>IF(R224="OK",SUMIFS($O$430:$O$729,$B$430:$B$729,A224,$E$430:$E$729,"&lt;"&amp;EDATE($B$3,1)),0)</f>
        <v>0</v>
      </c>
      <c r="U224" s="526">
        <f>IF(AND(R224="OK",D224&lt;EDATE($B$3,1),$B$3&gt;=DATE(2026,3,1)),MAX(0,E224-T224),0)</f>
        <v>0</v>
      </c>
      <c r="V224" s="526">
        <f>IFERROR(IF(AND(R224="OK",AND(F224&gt;=2,G224&lt;&gt;"기존반영",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E224,0),0)</f>
        <v>0</v>
      </c>
      <c r="W224" s="526">
        <f>IF(V224&gt;0,ROUNDUP(INDEX(RAW!$K:$K,MAX(2,F224))/1000,0)*1000-ROUNDUP((INDEX(RAW!$K:$K,MAX(2,F224))-V224)/1000,0)*1000,0)</f>
        <v>0</v>
      </c>
      <c r="X224" s="504">
        <f>IF(AND(R224="OK",IF($B$43="전체",D224&lt;EDATE($B$3,1),IF($B$43="미정산",U224&gt;0,OR(S224=$B$3,Z224&gt;0,U224&gt;0)))),1,0)</f>
        <v>0</v>
      </c>
      <c r="Y224" s="504">
        <f>IF(X224=1,COUNTIF($X$100:X224,1),0)</f>
        <v>0</v>
      </c>
      <c r="Z224" s="526">
        <f>IF(R224="OK",SUMIFS($O$430:$O$729,$B$430:$B$729,A224,$E$430:$E$729,"&gt;="&amp;$B$3,$E$430:$E$729,"&lt;"&amp;EDATE($B$3,1)),0)</f>
        <v>0</v>
      </c>
    </row>
    <row r="225" hidden="1" outlineLevel="1">
      <c r="A225" s="504">
        <f>IF(F225="","",IF(F225&gt;0,"R"&amp;F225,""))</f>
      </c>
      <c r="B225" s="504">
        <f>IF(F225="","",IFERROR(INDEX(RAW!$F:$F,MAX(2,F225)),""))</f>
      </c>
      <c r="C225" s="522" t="n"/>
      <c r="D225" s="524">
        <f>IF(F225="","",IFERROR(INDEX(RAW!$A:$A,MAX(2,F225)),""))</f>
      </c>
      <c r="E225" s="525">
        <f>IF(F225="","",IFERROR(INDEX(RAW!$K:$K,MAX(2,F225)),0))</f>
      </c>
      <c r="F225" s="522" t="n"/>
      <c r="G225" s="504" t="inlineStr">
        <is>
          <t>신규</t>
        </is>
      </c>
      <c r="O225" s="498">
        <f>IF(LEFT(R225,2)="확인",R225,"")</f>
      </c>
      <c r="R225" s="504">
        <f>IF(A225="","",IF(C225="생활비","생활비",IF(AND(COUNTIF($A$8:$A$12,C225)=1,ISNUMBER(D225),E225&gt;0,COUNTIF($A$100:$A$399,A225)=1,IFERROR(IF(F225="",AND(LEFT(A225,1)="U",G225="월기록"),AND(F225&gt;=2,COUNTIF($F$100:$F$399,F225)=1,INDEX(RAW!$H:$H,MAX(2,F225))="지출",D225=INDEX(RAW!$A:$A,MAX(2,F225)),E225&lt;=INDEX(RAW!$K:$K,MAX(2,F225)),OR(AND(G225="기존반영",OR(A225="U003",A225="U007")),AND(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AND(OR(A225&lt;&gt;"U003",F225=356),OR(A225&lt;&gt;"U007",F225=2203),OR(G225&lt;&gt;"기존반영",A225="U003",A225="U007")))),FALSE)),"OK","확인: 사용등록")))</f>
      </c>
      <c r="S225" s="504">
        <f>IF(ISNUMBER(D225),DATE(YEAR(D225),MONTH(D225),1),0)</f>
        <v>0</v>
      </c>
      <c r="T225" s="526">
        <f>IF(R225="OK",SUMIFS($O$430:$O$729,$B$430:$B$729,A225,$E$430:$E$729,"&lt;"&amp;EDATE($B$3,1)),0)</f>
        <v>0</v>
      </c>
      <c r="U225" s="526">
        <f>IF(AND(R225="OK",D225&lt;EDATE($B$3,1),$B$3&gt;=DATE(2026,3,1)),MAX(0,E225-T225),0)</f>
        <v>0</v>
      </c>
      <c r="V225" s="526">
        <f>IFERROR(IF(AND(R225="OK",AND(F225&gt;=2,G225&lt;&gt;"기존반영",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E225,0),0)</f>
        <v>0</v>
      </c>
      <c r="W225" s="526">
        <f>IF(V225&gt;0,ROUNDUP(INDEX(RAW!$K:$K,MAX(2,F225))/1000,0)*1000-ROUNDUP((INDEX(RAW!$K:$K,MAX(2,F225))-V225)/1000,0)*1000,0)</f>
        <v>0</v>
      </c>
      <c r="X225" s="504">
        <f>IF(AND(R225="OK",IF($B$43="전체",D225&lt;EDATE($B$3,1),IF($B$43="미정산",U225&gt;0,OR(S225=$B$3,Z225&gt;0,U225&gt;0)))),1,0)</f>
        <v>0</v>
      </c>
      <c r="Y225" s="504">
        <f>IF(X225=1,COUNTIF($X$100:X225,1),0)</f>
        <v>0</v>
      </c>
      <c r="Z225" s="526">
        <f>IF(R225="OK",SUMIFS($O$430:$O$729,$B$430:$B$729,A225,$E$430:$E$729,"&gt;="&amp;$B$3,$E$430:$E$729,"&lt;"&amp;EDATE($B$3,1)),0)</f>
        <v>0</v>
      </c>
    </row>
    <row r="226" hidden="1" outlineLevel="1">
      <c r="A226" s="504">
        <f>IF(F226="","",IF(F226&gt;0,"R"&amp;F226,""))</f>
      </c>
      <c r="B226" s="504">
        <f>IF(F226="","",IFERROR(INDEX(RAW!$F:$F,MAX(2,F226)),""))</f>
      </c>
      <c r="C226" s="522" t="n"/>
      <c r="D226" s="524">
        <f>IF(F226="","",IFERROR(INDEX(RAW!$A:$A,MAX(2,F226)),""))</f>
      </c>
      <c r="E226" s="525">
        <f>IF(F226="","",IFERROR(INDEX(RAW!$K:$K,MAX(2,F226)),0))</f>
      </c>
      <c r="F226" s="522" t="n"/>
      <c r="G226" s="504" t="inlineStr">
        <is>
          <t>신규</t>
        </is>
      </c>
      <c r="O226" s="498">
        <f>IF(LEFT(R226,2)="확인",R226,"")</f>
      </c>
      <c r="R226" s="504">
        <f>IF(A226="","",IF(C226="생활비","생활비",IF(AND(COUNTIF($A$8:$A$12,C226)=1,ISNUMBER(D226),E226&gt;0,COUNTIF($A$100:$A$399,A226)=1,IFERROR(IF(F226="",AND(LEFT(A226,1)="U",G226="월기록"),AND(F226&gt;=2,COUNTIF($F$100:$F$399,F226)=1,INDEX(RAW!$H:$H,MAX(2,F226))="지출",D226=INDEX(RAW!$A:$A,MAX(2,F226)),E226&lt;=INDEX(RAW!$K:$K,MAX(2,F226)),OR(AND(G226="기존반영",OR(A226="U003",A226="U007")),AND(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AND(OR(A226&lt;&gt;"U003",F226=356),OR(A226&lt;&gt;"U007",F226=2203),OR(G226&lt;&gt;"기존반영",A226="U003",A226="U007")))),FALSE)),"OK","확인: 사용등록")))</f>
      </c>
      <c r="S226" s="504">
        <f>IF(ISNUMBER(D226),DATE(YEAR(D226),MONTH(D226),1),0)</f>
        <v>0</v>
      </c>
      <c r="T226" s="526">
        <f>IF(R226="OK",SUMIFS($O$430:$O$729,$B$430:$B$729,A226,$E$430:$E$729,"&lt;"&amp;EDATE($B$3,1)),0)</f>
        <v>0</v>
      </c>
      <c r="U226" s="526">
        <f>IF(AND(R226="OK",D226&lt;EDATE($B$3,1),$B$3&gt;=DATE(2026,3,1)),MAX(0,E226-T226),0)</f>
        <v>0</v>
      </c>
      <c r="V226" s="526">
        <f>IFERROR(IF(AND(R226="OK",AND(F226&gt;=2,G226&lt;&gt;"기존반영",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E226,0),0)</f>
        <v>0</v>
      </c>
      <c r="W226" s="526">
        <f>IF(V226&gt;0,ROUNDUP(INDEX(RAW!$K:$K,MAX(2,F226))/1000,0)*1000-ROUNDUP((INDEX(RAW!$K:$K,MAX(2,F226))-V226)/1000,0)*1000,0)</f>
        <v>0</v>
      </c>
      <c r="X226" s="504">
        <f>IF(AND(R226="OK",IF($B$43="전체",D226&lt;EDATE($B$3,1),IF($B$43="미정산",U226&gt;0,OR(S226=$B$3,Z226&gt;0,U226&gt;0)))),1,0)</f>
        <v>0</v>
      </c>
      <c r="Y226" s="504">
        <f>IF(X226=1,COUNTIF($X$100:X226,1),0)</f>
        <v>0</v>
      </c>
      <c r="Z226" s="526">
        <f>IF(R226="OK",SUMIFS($O$430:$O$729,$B$430:$B$729,A226,$E$430:$E$729,"&gt;="&amp;$B$3,$E$430:$E$729,"&lt;"&amp;EDATE($B$3,1)),0)</f>
        <v>0</v>
      </c>
    </row>
    <row r="227" hidden="1" outlineLevel="1">
      <c r="A227" s="504">
        <f>IF(F227="","",IF(F227&gt;0,"R"&amp;F227,""))</f>
      </c>
      <c r="B227" s="504">
        <f>IF(F227="","",IFERROR(INDEX(RAW!$F:$F,MAX(2,F227)),""))</f>
      </c>
      <c r="C227" s="522" t="n"/>
      <c r="D227" s="524">
        <f>IF(F227="","",IFERROR(INDEX(RAW!$A:$A,MAX(2,F227)),""))</f>
      </c>
      <c r="E227" s="525">
        <f>IF(F227="","",IFERROR(INDEX(RAW!$K:$K,MAX(2,F227)),0))</f>
      </c>
      <c r="F227" s="522" t="n"/>
      <c r="G227" s="504" t="inlineStr">
        <is>
          <t>신규</t>
        </is>
      </c>
      <c r="O227" s="498">
        <f>IF(LEFT(R227,2)="확인",R227,"")</f>
      </c>
      <c r="R227" s="504">
        <f>IF(A227="","",IF(C227="생활비","생활비",IF(AND(COUNTIF($A$8:$A$12,C227)=1,ISNUMBER(D227),E227&gt;0,COUNTIF($A$100:$A$399,A227)=1,IFERROR(IF(F227="",AND(LEFT(A227,1)="U",G227="월기록"),AND(F227&gt;=2,COUNTIF($F$100:$F$399,F227)=1,INDEX(RAW!$H:$H,MAX(2,F227))="지출",D227=INDEX(RAW!$A:$A,MAX(2,F227)),E227&lt;=INDEX(RAW!$K:$K,MAX(2,F227)),OR(AND(G227="기존반영",OR(A227="U003",A227="U007")),AND(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AND(OR(A227&lt;&gt;"U003",F227=356),OR(A227&lt;&gt;"U007",F227=2203),OR(G227&lt;&gt;"기존반영",A227="U003",A227="U007")))),FALSE)),"OK","확인: 사용등록")))</f>
      </c>
      <c r="S227" s="504">
        <f>IF(ISNUMBER(D227),DATE(YEAR(D227),MONTH(D227),1),0)</f>
        <v>0</v>
      </c>
      <c r="T227" s="526">
        <f>IF(R227="OK",SUMIFS($O$430:$O$729,$B$430:$B$729,A227,$E$430:$E$729,"&lt;"&amp;EDATE($B$3,1)),0)</f>
        <v>0</v>
      </c>
      <c r="U227" s="526">
        <f>IF(AND(R227="OK",D227&lt;EDATE($B$3,1),$B$3&gt;=DATE(2026,3,1)),MAX(0,E227-T227),0)</f>
        <v>0</v>
      </c>
      <c r="V227" s="526">
        <f>IFERROR(IF(AND(R227="OK",AND(F227&gt;=2,G227&lt;&gt;"기존반영",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E227,0),0)</f>
        <v>0</v>
      </c>
      <c r="W227" s="526">
        <f>IF(V227&gt;0,ROUNDUP(INDEX(RAW!$K:$K,MAX(2,F227))/1000,0)*1000-ROUNDUP((INDEX(RAW!$K:$K,MAX(2,F227))-V227)/1000,0)*1000,0)</f>
        <v>0</v>
      </c>
      <c r="X227" s="504">
        <f>IF(AND(R227="OK",IF($B$43="전체",D227&lt;EDATE($B$3,1),IF($B$43="미정산",U227&gt;0,OR(S227=$B$3,Z227&gt;0,U227&gt;0)))),1,0)</f>
        <v>0</v>
      </c>
      <c r="Y227" s="504">
        <f>IF(X227=1,COUNTIF($X$100:X227,1),0)</f>
        <v>0</v>
      </c>
      <c r="Z227" s="526">
        <f>IF(R227="OK",SUMIFS($O$430:$O$729,$B$430:$B$729,A227,$E$430:$E$729,"&gt;="&amp;$B$3,$E$430:$E$729,"&lt;"&amp;EDATE($B$3,1)),0)</f>
        <v>0</v>
      </c>
    </row>
    <row r="228" hidden="1" outlineLevel="1">
      <c r="A228" s="504">
        <f>IF(F228="","",IF(F228&gt;0,"R"&amp;F228,""))</f>
      </c>
      <c r="B228" s="504">
        <f>IF(F228="","",IFERROR(INDEX(RAW!$F:$F,MAX(2,F228)),""))</f>
      </c>
      <c r="C228" s="522" t="n"/>
      <c r="D228" s="524">
        <f>IF(F228="","",IFERROR(INDEX(RAW!$A:$A,MAX(2,F228)),""))</f>
      </c>
      <c r="E228" s="525">
        <f>IF(F228="","",IFERROR(INDEX(RAW!$K:$K,MAX(2,F228)),0))</f>
      </c>
      <c r="F228" s="522" t="n"/>
      <c r="G228" s="504" t="inlineStr">
        <is>
          <t>신규</t>
        </is>
      </c>
      <c r="O228" s="498">
        <f>IF(LEFT(R228,2)="확인",R228,"")</f>
      </c>
      <c r="R228" s="504">
        <f>IF(A228="","",IF(C228="생활비","생활비",IF(AND(COUNTIF($A$8:$A$12,C228)=1,ISNUMBER(D228),E228&gt;0,COUNTIF($A$100:$A$399,A228)=1,IFERROR(IF(F228="",AND(LEFT(A228,1)="U",G228="월기록"),AND(F228&gt;=2,COUNTIF($F$100:$F$399,F228)=1,INDEX(RAW!$H:$H,MAX(2,F228))="지출",D228=INDEX(RAW!$A:$A,MAX(2,F228)),E228&lt;=INDEX(RAW!$K:$K,MAX(2,F228)),OR(AND(G228="기존반영",OR(A228="U003",A228="U007")),AND(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AND(OR(A228&lt;&gt;"U003",F228=356),OR(A228&lt;&gt;"U007",F228=2203),OR(G228&lt;&gt;"기존반영",A228="U003",A228="U007")))),FALSE)),"OK","확인: 사용등록")))</f>
      </c>
      <c r="S228" s="504">
        <f>IF(ISNUMBER(D228),DATE(YEAR(D228),MONTH(D228),1),0)</f>
        <v>0</v>
      </c>
      <c r="T228" s="526">
        <f>IF(R228="OK",SUMIFS($O$430:$O$729,$B$430:$B$729,A228,$E$430:$E$729,"&lt;"&amp;EDATE($B$3,1)),0)</f>
        <v>0</v>
      </c>
      <c r="U228" s="526">
        <f>IF(AND(R228="OK",D228&lt;EDATE($B$3,1),$B$3&gt;=DATE(2026,3,1)),MAX(0,E228-T228),0)</f>
        <v>0</v>
      </c>
      <c r="V228" s="526">
        <f>IFERROR(IF(AND(R228="OK",AND(F228&gt;=2,G228&lt;&gt;"기존반영",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E228,0),0)</f>
        <v>0</v>
      </c>
      <c r="W228" s="526">
        <f>IF(V228&gt;0,ROUNDUP(INDEX(RAW!$K:$K,MAX(2,F228))/1000,0)*1000-ROUNDUP((INDEX(RAW!$K:$K,MAX(2,F228))-V228)/1000,0)*1000,0)</f>
        <v>0</v>
      </c>
      <c r="X228" s="504">
        <f>IF(AND(R228="OK",IF($B$43="전체",D228&lt;EDATE($B$3,1),IF($B$43="미정산",U228&gt;0,OR(S228=$B$3,Z228&gt;0,U228&gt;0)))),1,0)</f>
        <v>0</v>
      </c>
      <c r="Y228" s="504">
        <f>IF(X228=1,COUNTIF($X$100:X228,1),0)</f>
        <v>0</v>
      </c>
      <c r="Z228" s="526">
        <f>IF(R228="OK",SUMIFS($O$430:$O$729,$B$430:$B$729,A228,$E$430:$E$729,"&gt;="&amp;$B$3,$E$430:$E$729,"&lt;"&amp;EDATE($B$3,1)),0)</f>
        <v>0</v>
      </c>
    </row>
    <row r="229" hidden="1" outlineLevel="1">
      <c r="A229" s="504">
        <f>IF(F229="","",IF(F229&gt;0,"R"&amp;F229,""))</f>
      </c>
      <c r="B229" s="504">
        <f>IF(F229="","",IFERROR(INDEX(RAW!$F:$F,MAX(2,F229)),""))</f>
      </c>
      <c r="C229" s="522" t="n"/>
      <c r="D229" s="524">
        <f>IF(F229="","",IFERROR(INDEX(RAW!$A:$A,MAX(2,F229)),""))</f>
      </c>
      <c r="E229" s="525">
        <f>IF(F229="","",IFERROR(INDEX(RAW!$K:$K,MAX(2,F229)),0))</f>
      </c>
      <c r="F229" s="522" t="n"/>
      <c r="G229" s="504" t="inlineStr">
        <is>
          <t>신규</t>
        </is>
      </c>
      <c r="O229" s="498">
        <f>IF(LEFT(R229,2)="확인",R229,"")</f>
      </c>
      <c r="R229" s="504">
        <f>IF(A229="","",IF(C229="생활비","생활비",IF(AND(COUNTIF($A$8:$A$12,C229)=1,ISNUMBER(D229),E229&gt;0,COUNTIF($A$100:$A$399,A229)=1,IFERROR(IF(F229="",AND(LEFT(A229,1)="U",G229="월기록"),AND(F229&gt;=2,COUNTIF($F$100:$F$399,F229)=1,INDEX(RAW!$H:$H,MAX(2,F229))="지출",D229=INDEX(RAW!$A:$A,MAX(2,F229)),E229&lt;=INDEX(RAW!$K:$K,MAX(2,F229)),OR(AND(G229="기존반영",OR(A229="U003",A229="U007")),AND(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AND(OR(A229&lt;&gt;"U003",F229=356),OR(A229&lt;&gt;"U007",F229=2203),OR(G229&lt;&gt;"기존반영",A229="U003",A229="U007")))),FALSE)),"OK","확인: 사용등록")))</f>
      </c>
      <c r="S229" s="504">
        <f>IF(ISNUMBER(D229),DATE(YEAR(D229),MONTH(D229),1),0)</f>
        <v>0</v>
      </c>
      <c r="T229" s="526">
        <f>IF(R229="OK",SUMIFS($O$430:$O$729,$B$430:$B$729,A229,$E$430:$E$729,"&lt;"&amp;EDATE($B$3,1)),0)</f>
        <v>0</v>
      </c>
      <c r="U229" s="526">
        <f>IF(AND(R229="OK",D229&lt;EDATE($B$3,1),$B$3&gt;=DATE(2026,3,1)),MAX(0,E229-T229),0)</f>
        <v>0</v>
      </c>
      <c r="V229" s="526">
        <f>IFERROR(IF(AND(R229="OK",AND(F229&gt;=2,G229&lt;&gt;"기존반영",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E229,0),0)</f>
        <v>0</v>
      </c>
      <c r="W229" s="526">
        <f>IF(V229&gt;0,ROUNDUP(INDEX(RAW!$K:$K,MAX(2,F229))/1000,0)*1000-ROUNDUP((INDEX(RAW!$K:$K,MAX(2,F229))-V229)/1000,0)*1000,0)</f>
        <v>0</v>
      </c>
      <c r="X229" s="504">
        <f>IF(AND(R229="OK",IF($B$43="전체",D229&lt;EDATE($B$3,1),IF($B$43="미정산",U229&gt;0,OR(S229=$B$3,Z229&gt;0,U229&gt;0)))),1,0)</f>
        <v>0</v>
      </c>
      <c r="Y229" s="504">
        <f>IF(X229=1,COUNTIF($X$100:X229,1),0)</f>
        <v>0</v>
      </c>
      <c r="Z229" s="526">
        <f>IF(R229="OK",SUMIFS($O$430:$O$729,$B$430:$B$729,A229,$E$430:$E$729,"&gt;="&amp;$B$3,$E$430:$E$729,"&lt;"&amp;EDATE($B$3,1)),0)</f>
        <v>0</v>
      </c>
    </row>
    <row r="230" hidden="1" outlineLevel="1">
      <c r="A230" s="504">
        <f>IF(F230="","",IF(F230&gt;0,"R"&amp;F230,""))</f>
      </c>
      <c r="B230" s="504">
        <f>IF(F230="","",IFERROR(INDEX(RAW!$F:$F,MAX(2,F230)),""))</f>
      </c>
      <c r="C230" s="522" t="n"/>
      <c r="D230" s="524">
        <f>IF(F230="","",IFERROR(INDEX(RAW!$A:$A,MAX(2,F230)),""))</f>
      </c>
      <c r="E230" s="525">
        <f>IF(F230="","",IFERROR(INDEX(RAW!$K:$K,MAX(2,F230)),0))</f>
      </c>
      <c r="F230" s="522" t="n"/>
      <c r="G230" s="504" t="inlineStr">
        <is>
          <t>신규</t>
        </is>
      </c>
      <c r="O230" s="498">
        <f>IF(LEFT(R230,2)="확인",R230,"")</f>
      </c>
      <c r="R230" s="504">
        <f>IF(A230="","",IF(C230="생활비","생활비",IF(AND(COUNTIF($A$8:$A$12,C230)=1,ISNUMBER(D230),E230&gt;0,COUNTIF($A$100:$A$399,A230)=1,IFERROR(IF(F230="",AND(LEFT(A230,1)="U",G230="월기록"),AND(F230&gt;=2,COUNTIF($F$100:$F$399,F230)=1,INDEX(RAW!$H:$H,MAX(2,F230))="지출",D230=INDEX(RAW!$A:$A,MAX(2,F230)),E230&lt;=INDEX(RAW!$K:$K,MAX(2,F230)),OR(AND(G230="기존반영",OR(A230="U003",A230="U007")),AND(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AND(OR(A230&lt;&gt;"U003",F230=356),OR(A230&lt;&gt;"U007",F230=2203),OR(G230&lt;&gt;"기존반영",A230="U003",A230="U007")))),FALSE)),"OK","확인: 사용등록")))</f>
      </c>
      <c r="S230" s="504">
        <f>IF(ISNUMBER(D230),DATE(YEAR(D230),MONTH(D230),1),0)</f>
        <v>0</v>
      </c>
      <c r="T230" s="526">
        <f>IF(R230="OK",SUMIFS($O$430:$O$729,$B$430:$B$729,A230,$E$430:$E$729,"&lt;"&amp;EDATE($B$3,1)),0)</f>
        <v>0</v>
      </c>
      <c r="U230" s="526">
        <f>IF(AND(R230="OK",D230&lt;EDATE($B$3,1),$B$3&gt;=DATE(2026,3,1)),MAX(0,E230-T230),0)</f>
        <v>0</v>
      </c>
      <c r="V230" s="526">
        <f>IFERROR(IF(AND(R230="OK",AND(F230&gt;=2,G230&lt;&gt;"기존반영",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E230,0),0)</f>
        <v>0</v>
      </c>
      <c r="W230" s="526">
        <f>IF(V230&gt;0,ROUNDUP(INDEX(RAW!$K:$K,MAX(2,F230))/1000,0)*1000-ROUNDUP((INDEX(RAW!$K:$K,MAX(2,F230))-V230)/1000,0)*1000,0)</f>
        <v>0</v>
      </c>
      <c r="X230" s="504">
        <f>IF(AND(R230="OK",IF($B$43="전체",D230&lt;EDATE($B$3,1),IF($B$43="미정산",U230&gt;0,OR(S230=$B$3,Z230&gt;0,U230&gt;0)))),1,0)</f>
        <v>0</v>
      </c>
      <c r="Y230" s="504">
        <f>IF(X230=1,COUNTIF($X$100:X230,1),0)</f>
        <v>0</v>
      </c>
      <c r="Z230" s="526">
        <f>IF(R230="OK",SUMIFS($O$430:$O$729,$B$430:$B$729,A230,$E$430:$E$729,"&gt;="&amp;$B$3,$E$430:$E$729,"&lt;"&amp;EDATE($B$3,1)),0)</f>
        <v>0</v>
      </c>
    </row>
    <row r="231" hidden="1" outlineLevel="1">
      <c r="A231" s="504">
        <f>IF(F231="","",IF(F231&gt;0,"R"&amp;F231,""))</f>
      </c>
      <c r="B231" s="504">
        <f>IF(F231="","",IFERROR(INDEX(RAW!$F:$F,MAX(2,F231)),""))</f>
      </c>
      <c r="C231" s="522" t="n"/>
      <c r="D231" s="524">
        <f>IF(F231="","",IFERROR(INDEX(RAW!$A:$A,MAX(2,F231)),""))</f>
      </c>
      <c r="E231" s="525">
        <f>IF(F231="","",IFERROR(INDEX(RAW!$K:$K,MAX(2,F231)),0))</f>
      </c>
      <c r="F231" s="522" t="n"/>
      <c r="G231" s="504" t="inlineStr">
        <is>
          <t>신규</t>
        </is>
      </c>
      <c r="O231" s="498">
        <f>IF(LEFT(R231,2)="확인",R231,"")</f>
      </c>
      <c r="R231" s="504">
        <f>IF(A231="","",IF(C231="생활비","생활비",IF(AND(COUNTIF($A$8:$A$12,C231)=1,ISNUMBER(D231),E231&gt;0,COUNTIF($A$100:$A$399,A231)=1,IFERROR(IF(F231="",AND(LEFT(A231,1)="U",G231="월기록"),AND(F231&gt;=2,COUNTIF($F$100:$F$399,F231)=1,INDEX(RAW!$H:$H,MAX(2,F231))="지출",D231=INDEX(RAW!$A:$A,MAX(2,F231)),E231&lt;=INDEX(RAW!$K:$K,MAX(2,F231)),OR(AND(G231="기존반영",OR(A231="U003",A231="U007")),AND(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AND(OR(A231&lt;&gt;"U003",F231=356),OR(A231&lt;&gt;"U007",F231=2203),OR(G231&lt;&gt;"기존반영",A231="U003",A231="U007")))),FALSE)),"OK","확인: 사용등록")))</f>
      </c>
      <c r="S231" s="504">
        <f>IF(ISNUMBER(D231),DATE(YEAR(D231),MONTH(D231),1),0)</f>
        <v>0</v>
      </c>
      <c r="T231" s="526">
        <f>IF(R231="OK",SUMIFS($O$430:$O$729,$B$430:$B$729,A231,$E$430:$E$729,"&lt;"&amp;EDATE($B$3,1)),0)</f>
        <v>0</v>
      </c>
      <c r="U231" s="526">
        <f>IF(AND(R231="OK",D231&lt;EDATE($B$3,1),$B$3&gt;=DATE(2026,3,1)),MAX(0,E231-T231),0)</f>
        <v>0</v>
      </c>
      <c r="V231" s="526">
        <f>IFERROR(IF(AND(R231="OK",AND(F231&gt;=2,G231&lt;&gt;"기존반영",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E231,0),0)</f>
        <v>0</v>
      </c>
      <c r="W231" s="526">
        <f>IF(V231&gt;0,ROUNDUP(INDEX(RAW!$K:$K,MAX(2,F231))/1000,0)*1000-ROUNDUP((INDEX(RAW!$K:$K,MAX(2,F231))-V231)/1000,0)*1000,0)</f>
        <v>0</v>
      </c>
      <c r="X231" s="504">
        <f>IF(AND(R231="OK",IF($B$43="전체",D231&lt;EDATE($B$3,1),IF($B$43="미정산",U231&gt;0,OR(S231=$B$3,Z231&gt;0,U231&gt;0)))),1,0)</f>
        <v>0</v>
      </c>
      <c r="Y231" s="504">
        <f>IF(X231=1,COUNTIF($X$100:X231,1),0)</f>
        <v>0</v>
      </c>
      <c r="Z231" s="526">
        <f>IF(R231="OK",SUMIFS($O$430:$O$729,$B$430:$B$729,A231,$E$430:$E$729,"&gt;="&amp;$B$3,$E$430:$E$729,"&lt;"&amp;EDATE($B$3,1)),0)</f>
        <v>0</v>
      </c>
    </row>
    <row r="232" hidden="1" outlineLevel="1">
      <c r="A232" s="504">
        <f>IF(F232="","",IF(F232&gt;0,"R"&amp;F232,""))</f>
      </c>
      <c r="B232" s="504">
        <f>IF(F232="","",IFERROR(INDEX(RAW!$F:$F,MAX(2,F232)),""))</f>
      </c>
      <c r="C232" s="522" t="n"/>
      <c r="D232" s="524">
        <f>IF(F232="","",IFERROR(INDEX(RAW!$A:$A,MAX(2,F232)),""))</f>
      </c>
      <c r="E232" s="525">
        <f>IF(F232="","",IFERROR(INDEX(RAW!$K:$K,MAX(2,F232)),0))</f>
      </c>
      <c r="F232" s="522" t="n"/>
      <c r="G232" s="504" t="inlineStr">
        <is>
          <t>신규</t>
        </is>
      </c>
      <c r="O232" s="498">
        <f>IF(LEFT(R232,2)="확인",R232,"")</f>
      </c>
      <c r="R232" s="504">
        <f>IF(A232="","",IF(C232="생활비","생활비",IF(AND(COUNTIF($A$8:$A$12,C232)=1,ISNUMBER(D232),E232&gt;0,COUNTIF($A$100:$A$399,A232)=1,IFERROR(IF(F232="",AND(LEFT(A232,1)="U",G232="월기록"),AND(F232&gt;=2,COUNTIF($F$100:$F$399,F232)=1,INDEX(RAW!$H:$H,MAX(2,F232))="지출",D232=INDEX(RAW!$A:$A,MAX(2,F232)),E232&lt;=INDEX(RAW!$K:$K,MAX(2,F232)),OR(AND(G232="기존반영",OR(A232="U003",A232="U007")),AND(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AND(OR(A232&lt;&gt;"U003",F232=356),OR(A232&lt;&gt;"U007",F232=2203),OR(G232&lt;&gt;"기존반영",A232="U003",A232="U007")))),FALSE)),"OK","확인: 사용등록")))</f>
      </c>
      <c r="S232" s="504">
        <f>IF(ISNUMBER(D232),DATE(YEAR(D232),MONTH(D232),1),0)</f>
        <v>0</v>
      </c>
      <c r="T232" s="526">
        <f>IF(R232="OK",SUMIFS($O$430:$O$729,$B$430:$B$729,A232,$E$430:$E$729,"&lt;"&amp;EDATE($B$3,1)),0)</f>
        <v>0</v>
      </c>
      <c r="U232" s="526">
        <f>IF(AND(R232="OK",D232&lt;EDATE($B$3,1),$B$3&gt;=DATE(2026,3,1)),MAX(0,E232-T232),0)</f>
        <v>0</v>
      </c>
      <c r="V232" s="526">
        <f>IFERROR(IF(AND(R232="OK",AND(F232&gt;=2,G232&lt;&gt;"기존반영",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E232,0),0)</f>
        <v>0</v>
      </c>
      <c r="W232" s="526">
        <f>IF(V232&gt;0,ROUNDUP(INDEX(RAW!$K:$K,MAX(2,F232))/1000,0)*1000-ROUNDUP((INDEX(RAW!$K:$K,MAX(2,F232))-V232)/1000,0)*1000,0)</f>
        <v>0</v>
      </c>
      <c r="X232" s="504">
        <f>IF(AND(R232="OK",IF($B$43="전체",D232&lt;EDATE($B$3,1),IF($B$43="미정산",U232&gt;0,OR(S232=$B$3,Z232&gt;0,U232&gt;0)))),1,0)</f>
        <v>0</v>
      </c>
      <c r="Y232" s="504">
        <f>IF(X232=1,COUNTIF($X$100:X232,1),0)</f>
        <v>0</v>
      </c>
      <c r="Z232" s="526">
        <f>IF(R232="OK",SUMIFS($O$430:$O$729,$B$430:$B$729,A232,$E$430:$E$729,"&gt;="&amp;$B$3,$E$430:$E$729,"&lt;"&amp;EDATE($B$3,1)),0)</f>
        <v>0</v>
      </c>
    </row>
    <row r="233" hidden="1" outlineLevel="1">
      <c r="A233" s="504">
        <f>IF(F233="","",IF(F233&gt;0,"R"&amp;F233,""))</f>
      </c>
      <c r="B233" s="504">
        <f>IF(F233="","",IFERROR(INDEX(RAW!$F:$F,MAX(2,F233)),""))</f>
      </c>
      <c r="C233" s="522" t="n"/>
      <c r="D233" s="524">
        <f>IF(F233="","",IFERROR(INDEX(RAW!$A:$A,MAX(2,F233)),""))</f>
      </c>
      <c r="E233" s="525">
        <f>IF(F233="","",IFERROR(INDEX(RAW!$K:$K,MAX(2,F233)),0))</f>
      </c>
      <c r="F233" s="522" t="n"/>
      <c r="G233" s="504" t="inlineStr">
        <is>
          <t>신규</t>
        </is>
      </c>
      <c r="O233" s="498">
        <f>IF(LEFT(R233,2)="확인",R233,"")</f>
      </c>
      <c r="R233" s="504">
        <f>IF(A233="","",IF(C233="생활비","생활비",IF(AND(COUNTIF($A$8:$A$12,C233)=1,ISNUMBER(D233),E233&gt;0,COUNTIF($A$100:$A$399,A233)=1,IFERROR(IF(F233="",AND(LEFT(A233,1)="U",G233="월기록"),AND(F233&gt;=2,COUNTIF($F$100:$F$399,F233)=1,INDEX(RAW!$H:$H,MAX(2,F233))="지출",D233=INDEX(RAW!$A:$A,MAX(2,F233)),E233&lt;=INDEX(RAW!$K:$K,MAX(2,F233)),OR(AND(G233="기존반영",OR(A233="U003",A233="U007")),AND(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AND(OR(A233&lt;&gt;"U003",F233=356),OR(A233&lt;&gt;"U007",F233=2203),OR(G233&lt;&gt;"기존반영",A233="U003",A233="U007")))),FALSE)),"OK","확인: 사용등록")))</f>
      </c>
      <c r="S233" s="504">
        <f>IF(ISNUMBER(D233),DATE(YEAR(D233),MONTH(D233),1),0)</f>
        <v>0</v>
      </c>
      <c r="T233" s="526">
        <f>IF(R233="OK",SUMIFS($O$430:$O$729,$B$430:$B$729,A233,$E$430:$E$729,"&lt;"&amp;EDATE($B$3,1)),0)</f>
        <v>0</v>
      </c>
      <c r="U233" s="526">
        <f>IF(AND(R233="OK",D233&lt;EDATE($B$3,1),$B$3&gt;=DATE(2026,3,1)),MAX(0,E233-T233),0)</f>
        <v>0</v>
      </c>
      <c r="V233" s="526">
        <f>IFERROR(IF(AND(R233="OK",AND(F233&gt;=2,G233&lt;&gt;"기존반영",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E233,0),0)</f>
        <v>0</v>
      </c>
      <c r="W233" s="526">
        <f>IF(V233&gt;0,ROUNDUP(INDEX(RAW!$K:$K,MAX(2,F233))/1000,0)*1000-ROUNDUP((INDEX(RAW!$K:$K,MAX(2,F233))-V233)/1000,0)*1000,0)</f>
        <v>0</v>
      </c>
      <c r="X233" s="504">
        <f>IF(AND(R233="OK",IF($B$43="전체",D233&lt;EDATE($B$3,1),IF($B$43="미정산",U233&gt;0,OR(S233=$B$3,Z233&gt;0,U233&gt;0)))),1,0)</f>
        <v>0</v>
      </c>
      <c r="Y233" s="504">
        <f>IF(X233=1,COUNTIF($X$100:X233,1),0)</f>
        <v>0</v>
      </c>
      <c r="Z233" s="526">
        <f>IF(R233="OK",SUMIFS($O$430:$O$729,$B$430:$B$729,A233,$E$430:$E$729,"&gt;="&amp;$B$3,$E$430:$E$729,"&lt;"&amp;EDATE($B$3,1)),0)</f>
        <v>0</v>
      </c>
    </row>
    <row r="234" hidden="1" outlineLevel="1">
      <c r="A234" s="504">
        <f>IF(F234="","",IF(F234&gt;0,"R"&amp;F234,""))</f>
      </c>
      <c r="B234" s="504">
        <f>IF(F234="","",IFERROR(INDEX(RAW!$F:$F,MAX(2,F234)),""))</f>
      </c>
      <c r="C234" s="522" t="n"/>
      <c r="D234" s="524">
        <f>IF(F234="","",IFERROR(INDEX(RAW!$A:$A,MAX(2,F234)),""))</f>
      </c>
      <c r="E234" s="525">
        <f>IF(F234="","",IFERROR(INDEX(RAW!$K:$K,MAX(2,F234)),0))</f>
      </c>
      <c r="F234" s="522" t="n"/>
      <c r="G234" s="504" t="inlineStr">
        <is>
          <t>신규</t>
        </is>
      </c>
      <c r="O234" s="498">
        <f>IF(LEFT(R234,2)="확인",R234,"")</f>
      </c>
      <c r="R234" s="504">
        <f>IF(A234="","",IF(C234="생활비","생활비",IF(AND(COUNTIF($A$8:$A$12,C234)=1,ISNUMBER(D234),E234&gt;0,COUNTIF($A$100:$A$399,A234)=1,IFERROR(IF(F234="",AND(LEFT(A234,1)="U",G234="월기록"),AND(F234&gt;=2,COUNTIF($F$100:$F$399,F234)=1,INDEX(RAW!$H:$H,MAX(2,F234))="지출",D234=INDEX(RAW!$A:$A,MAX(2,F234)),E234&lt;=INDEX(RAW!$K:$K,MAX(2,F234)),OR(AND(G234="기존반영",OR(A234="U003",A234="U007")),AND(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AND(OR(A234&lt;&gt;"U003",F234=356),OR(A234&lt;&gt;"U007",F234=2203),OR(G234&lt;&gt;"기존반영",A234="U003",A234="U007")))),FALSE)),"OK","확인: 사용등록")))</f>
      </c>
      <c r="S234" s="504">
        <f>IF(ISNUMBER(D234),DATE(YEAR(D234),MONTH(D234),1),0)</f>
        <v>0</v>
      </c>
      <c r="T234" s="526">
        <f>IF(R234="OK",SUMIFS($O$430:$O$729,$B$430:$B$729,A234,$E$430:$E$729,"&lt;"&amp;EDATE($B$3,1)),0)</f>
        <v>0</v>
      </c>
      <c r="U234" s="526">
        <f>IF(AND(R234="OK",D234&lt;EDATE($B$3,1),$B$3&gt;=DATE(2026,3,1)),MAX(0,E234-T234),0)</f>
        <v>0</v>
      </c>
      <c r="V234" s="526">
        <f>IFERROR(IF(AND(R234="OK",AND(F234&gt;=2,G234&lt;&gt;"기존반영",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E234,0),0)</f>
        <v>0</v>
      </c>
      <c r="W234" s="526">
        <f>IF(V234&gt;0,ROUNDUP(INDEX(RAW!$K:$K,MAX(2,F234))/1000,0)*1000-ROUNDUP((INDEX(RAW!$K:$K,MAX(2,F234))-V234)/1000,0)*1000,0)</f>
        <v>0</v>
      </c>
      <c r="X234" s="504">
        <f>IF(AND(R234="OK",IF($B$43="전체",D234&lt;EDATE($B$3,1),IF($B$43="미정산",U234&gt;0,OR(S234=$B$3,Z234&gt;0,U234&gt;0)))),1,0)</f>
        <v>0</v>
      </c>
      <c r="Y234" s="504">
        <f>IF(X234=1,COUNTIF($X$100:X234,1),0)</f>
        <v>0</v>
      </c>
      <c r="Z234" s="526">
        <f>IF(R234="OK",SUMIFS($O$430:$O$729,$B$430:$B$729,A234,$E$430:$E$729,"&gt;="&amp;$B$3,$E$430:$E$729,"&lt;"&amp;EDATE($B$3,1)),0)</f>
        <v>0</v>
      </c>
    </row>
    <row r="235" hidden="1" outlineLevel="1">
      <c r="A235" s="504">
        <f>IF(F235="","",IF(F235&gt;0,"R"&amp;F235,""))</f>
      </c>
      <c r="B235" s="504">
        <f>IF(F235="","",IFERROR(INDEX(RAW!$F:$F,MAX(2,F235)),""))</f>
      </c>
      <c r="C235" s="522" t="n"/>
      <c r="D235" s="524">
        <f>IF(F235="","",IFERROR(INDEX(RAW!$A:$A,MAX(2,F235)),""))</f>
      </c>
      <c r="E235" s="525">
        <f>IF(F235="","",IFERROR(INDEX(RAW!$K:$K,MAX(2,F235)),0))</f>
      </c>
      <c r="F235" s="522" t="n"/>
      <c r="G235" s="504" t="inlineStr">
        <is>
          <t>신규</t>
        </is>
      </c>
      <c r="O235" s="498">
        <f>IF(LEFT(R235,2)="확인",R235,"")</f>
      </c>
      <c r="R235" s="504">
        <f>IF(A235="","",IF(C235="생활비","생활비",IF(AND(COUNTIF($A$8:$A$12,C235)=1,ISNUMBER(D235),E235&gt;0,COUNTIF($A$100:$A$399,A235)=1,IFERROR(IF(F235="",AND(LEFT(A235,1)="U",G235="월기록"),AND(F235&gt;=2,COUNTIF($F$100:$F$399,F235)=1,INDEX(RAW!$H:$H,MAX(2,F235))="지출",D235=INDEX(RAW!$A:$A,MAX(2,F235)),E235&lt;=INDEX(RAW!$K:$K,MAX(2,F235)),OR(AND(G235="기존반영",OR(A235="U003",A235="U007")),AND(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AND(OR(A235&lt;&gt;"U003",F235=356),OR(A235&lt;&gt;"U007",F235=2203),OR(G235&lt;&gt;"기존반영",A235="U003",A235="U007")))),FALSE)),"OK","확인: 사용등록")))</f>
      </c>
      <c r="S235" s="504">
        <f>IF(ISNUMBER(D235),DATE(YEAR(D235),MONTH(D235),1),0)</f>
        <v>0</v>
      </c>
      <c r="T235" s="526">
        <f>IF(R235="OK",SUMIFS($O$430:$O$729,$B$430:$B$729,A235,$E$430:$E$729,"&lt;"&amp;EDATE($B$3,1)),0)</f>
        <v>0</v>
      </c>
      <c r="U235" s="526">
        <f>IF(AND(R235="OK",D235&lt;EDATE($B$3,1),$B$3&gt;=DATE(2026,3,1)),MAX(0,E235-T235),0)</f>
        <v>0</v>
      </c>
      <c r="V235" s="526">
        <f>IFERROR(IF(AND(R235="OK",AND(F235&gt;=2,G235&lt;&gt;"기존반영",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E235,0),0)</f>
        <v>0</v>
      </c>
      <c r="W235" s="526">
        <f>IF(V235&gt;0,ROUNDUP(INDEX(RAW!$K:$K,MAX(2,F235))/1000,0)*1000-ROUNDUP((INDEX(RAW!$K:$K,MAX(2,F235))-V235)/1000,0)*1000,0)</f>
        <v>0</v>
      </c>
      <c r="X235" s="504">
        <f>IF(AND(R235="OK",IF($B$43="전체",D235&lt;EDATE($B$3,1),IF($B$43="미정산",U235&gt;0,OR(S235=$B$3,Z235&gt;0,U235&gt;0)))),1,0)</f>
        <v>0</v>
      </c>
      <c r="Y235" s="504">
        <f>IF(X235=1,COUNTIF($X$100:X235,1),0)</f>
        <v>0</v>
      </c>
      <c r="Z235" s="526">
        <f>IF(R235="OK",SUMIFS($O$430:$O$729,$B$430:$B$729,A235,$E$430:$E$729,"&gt;="&amp;$B$3,$E$430:$E$729,"&lt;"&amp;EDATE($B$3,1)),0)</f>
        <v>0</v>
      </c>
    </row>
    <row r="236" hidden="1" outlineLevel="1">
      <c r="A236" s="504">
        <f>IF(F236="","",IF(F236&gt;0,"R"&amp;F236,""))</f>
      </c>
      <c r="B236" s="504">
        <f>IF(F236="","",IFERROR(INDEX(RAW!$F:$F,MAX(2,F236)),""))</f>
      </c>
      <c r="C236" s="522" t="n"/>
      <c r="D236" s="524">
        <f>IF(F236="","",IFERROR(INDEX(RAW!$A:$A,MAX(2,F236)),""))</f>
      </c>
      <c r="E236" s="525">
        <f>IF(F236="","",IFERROR(INDEX(RAW!$K:$K,MAX(2,F236)),0))</f>
      </c>
      <c r="F236" s="522" t="n"/>
      <c r="G236" s="504" t="inlineStr">
        <is>
          <t>신규</t>
        </is>
      </c>
      <c r="O236" s="498">
        <f>IF(LEFT(R236,2)="확인",R236,"")</f>
      </c>
      <c r="R236" s="504">
        <f>IF(A236="","",IF(C236="생활비","생활비",IF(AND(COUNTIF($A$8:$A$12,C236)=1,ISNUMBER(D236),E236&gt;0,COUNTIF($A$100:$A$399,A236)=1,IFERROR(IF(F236="",AND(LEFT(A236,1)="U",G236="월기록"),AND(F236&gt;=2,COUNTIF($F$100:$F$399,F236)=1,INDEX(RAW!$H:$H,MAX(2,F236))="지출",D236=INDEX(RAW!$A:$A,MAX(2,F236)),E236&lt;=INDEX(RAW!$K:$K,MAX(2,F236)),OR(AND(G236="기존반영",OR(A236="U003",A236="U007")),AND(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AND(OR(A236&lt;&gt;"U003",F236=356),OR(A236&lt;&gt;"U007",F236=2203),OR(G236&lt;&gt;"기존반영",A236="U003",A236="U007")))),FALSE)),"OK","확인: 사용등록")))</f>
      </c>
      <c r="S236" s="504">
        <f>IF(ISNUMBER(D236),DATE(YEAR(D236),MONTH(D236),1),0)</f>
        <v>0</v>
      </c>
      <c r="T236" s="526">
        <f>IF(R236="OK",SUMIFS($O$430:$O$729,$B$430:$B$729,A236,$E$430:$E$729,"&lt;"&amp;EDATE($B$3,1)),0)</f>
        <v>0</v>
      </c>
      <c r="U236" s="526">
        <f>IF(AND(R236="OK",D236&lt;EDATE($B$3,1),$B$3&gt;=DATE(2026,3,1)),MAX(0,E236-T236),0)</f>
        <v>0</v>
      </c>
      <c r="V236" s="526">
        <f>IFERROR(IF(AND(R236="OK",AND(F236&gt;=2,G236&lt;&gt;"기존반영",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E236,0),0)</f>
        <v>0</v>
      </c>
      <c r="W236" s="526">
        <f>IF(V236&gt;0,ROUNDUP(INDEX(RAW!$K:$K,MAX(2,F236))/1000,0)*1000-ROUNDUP((INDEX(RAW!$K:$K,MAX(2,F236))-V236)/1000,0)*1000,0)</f>
        <v>0</v>
      </c>
      <c r="X236" s="504">
        <f>IF(AND(R236="OK",IF($B$43="전체",D236&lt;EDATE($B$3,1),IF($B$43="미정산",U236&gt;0,OR(S236=$B$3,Z236&gt;0,U236&gt;0)))),1,0)</f>
        <v>0</v>
      </c>
      <c r="Y236" s="504">
        <f>IF(X236=1,COUNTIF($X$100:X236,1),0)</f>
        <v>0</v>
      </c>
      <c r="Z236" s="526">
        <f>IF(R236="OK",SUMIFS($O$430:$O$729,$B$430:$B$729,A236,$E$430:$E$729,"&gt;="&amp;$B$3,$E$430:$E$729,"&lt;"&amp;EDATE($B$3,1)),0)</f>
        <v>0</v>
      </c>
    </row>
    <row r="237" hidden="1" outlineLevel="1">
      <c r="A237" s="504">
        <f>IF(F237="","",IF(F237&gt;0,"R"&amp;F237,""))</f>
      </c>
      <c r="B237" s="504">
        <f>IF(F237="","",IFERROR(INDEX(RAW!$F:$F,MAX(2,F237)),""))</f>
      </c>
      <c r="C237" s="522" t="n"/>
      <c r="D237" s="524">
        <f>IF(F237="","",IFERROR(INDEX(RAW!$A:$A,MAX(2,F237)),""))</f>
      </c>
      <c r="E237" s="525">
        <f>IF(F237="","",IFERROR(INDEX(RAW!$K:$K,MAX(2,F237)),0))</f>
      </c>
      <c r="F237" s="522" t="n"/>
      <c r="G237" s="504" t="inlineStr">
        <is>
          <t>신규</t>
        </is>
      </c>
      <c r="O237" s="498">
        <f>IF(LEFT(R237,2)="확인",R237,"")</f>
      </c>
      <c r="R237" s="504">
        <f>IF(A237="","",IF(C237="생활비","생활비",IF(AND(COUNTIF($A$8:$A$12,C237)=1,ISNUMBER(D237),E237&gt;0,COUNTIF($A$100:$A$399,A237)=1,IFERROR(IF(F237="",AND(LEFT(A237,1)="U",G237="월기록"),AND(F237&gt;=2,COUNTIF($F$100:$F$399,F237)=1,INDEX(RAW!$H:$H,MAX(2,F237))="지출",D237=INDEX(RAW!$A:$A,MAX(2,F237)),E237&lt;=INDEX(RAW!$K:$K,MAX(2,F237)),OR(AND(G237="기존반영",OR(A237="U003",A237="U007")),AND(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AND(OR(A237&lt;&gt;"U003",F237=356),OR(A237&lt;&gt;"U007",F237=2203),OR(G237&lt;&gt;"기존반영",A237="U003",A237="U007")))),FALSE)),"OK","확인: 사용등록")))</f>
      </c>
      <c r="S237" s="504">
        <f>IF(ISNUMBER(D237),DATE(YEAR(D237),MONTH(D237),1),0)</f>
        <v>0</v>
      </c>
      <c r="T237" s="526">
        <f>IF(R237="OK",SUMIFS($O$430:$O$729,$B$430:$B$729,A237,$E$430:$E$729,"&lt;"&amp;EDATE($B$3,1)),0)</f>
        <v>0</v>
      </c>
      <c r="U237" s="526">
        <f>IF(AND(R237="OK",D237&lt;EDATE($B$3,1),$B$3&gt;=DATE(2026,3,1)),MAX(0,E237-T237),0)</f>
        <v>0</v>
      </c>
      <c r="V237" s="526">
        <f>IFERROR(IF(AND(R237="OK",AND(F237&gt;=2,G237&lt;&gt;"기존반영",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E237,0),0)</f>
        <v>0</v>
      </c>
      <c r="W237" s="526">
        <f>IF(V237&gt;0,ROUNDUP(INDEX(RAW!$K:$K,MAX(2,F237))/1000,0)*1000-ROUNDUP((INDEX(RAW!$K:$K,MAX(2,F237))-V237)/1000,0)*1000,0)</f>
        <v>0</v>
      </c>
      <c r="X237" s="504">
        <f>IF(AND(R237="OK",IF($B$43="전체",D237&lt;EDATE($B$3,1),IF($B$43="미정산",U237&gt;0,OR(S237=$B$3,Z237&gt;0,U237&gt;0)))),1,0)</f>
        <v>0</v>
      </c>
      <c r="Y237" s="504">
        <f>IF(X237=1,COUNTIF($X$100:X237,1),0)</f>
        <v>0</v>
      </c>
      <c r="Z237" s="526">
        <f>IF(R237="OK",SUMIFS($O$430:$O$729,$B$430:$B$729,A237,$E$430:$E$729,"&gt;="&amp;$B$3,$E$430:$E$729,"&lt;"&amp;EDATE($B$3,1)),0)</f>
        <v>0</v>
      </c>
    </row>
    <row r="238" hidden="1" outlineLevel="1">
      <c r="A238" s="504">
        <f>IF(F238="","",IF(F238&gt;0,"R"&amp;F238,""))</f>
      </c>
      <c r="B238" s="504">
        <f>IF(F238="","",IFERROR(INDEX(RAW!$F:$F,MAX(2,F238)),""))</f>
      </c>
      <c r="C238" s="522" t="n"/>
      <c r="D238" s="524">
        <f>IF(F238="","",IFERROR(INDEX(RAW!$A:$A,MAX(2,F238)),""))</f>
      </c>
      <c r="E238" s="525">
        <f>IF(F238="","",IFERROR(INDEX(RAW!$K:$K,MAX(2,F238)),0))</f>
      </c>
      <c r="F238" s="522" t="n"/>
      <c r="G238" s="504" t="inlineStr">
        <is>
          <t>신규</t>
        </is>
      </c>
      <c r="O238" s="498">
        <f>IF(LEFT(R238,2)="확인",R238,"")</f>
      </c>
      <c r="R238" s="504">
        <f>IF(A238="","",IF(C238="생활비","생활비",IF(AND(COUNTIF($A$8:$A$12,C238)=1,ISNUMBER(D238),E238&gt;0,COUNTIF($A$100:$A$399,A238)=1,IFERROR(IF(F238="",AND(LEFT(A238,1)="U",G238="월기록"),AND(F238&gt;=2,COUNTIF($F$100:$F$399,F238)=1,INDEX(RAW!$H:$H,MAX(2,F238))="지출",D238=INDEX(RAW!$A:$A,MAX(2,F238)),E238&lt;=INDEX(RAW!$K:$K,MAX(2,F238)),OR(AND(G238="기존반영",OR(A238="U003",A238="U007")),AND(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AND(OR(A238&lt;&gt;"U003",F238=356),OR(A238&lt;&gt;"U007",F238=2203),OR(G238&lt;&gt;"기존반영",A238="U003",A238="U007")))),FALSE)),"OK","확인: 사용등록")))</f>
      </c>
      <c r="S238" s="504">
        <f>IF(ISNUMBER(D238),DATE(YEAR(D238),MONTH(D238),1),0)</f>
        <v>0</v>
      </c>
      <c r="T238" s="526">
        <f>IF(R238="OK",SUMIFS($O$430:$O$729,$B$430:$B$729,A238,$E$430:$E$729,"&lt;"&amp;EDATE($B$3,1)),0)</f>
        <v>0</v>
      </c>
      <c r="U238" s="526">
        <f>IF(AND(R238="OK",D238&lt;EDATE($B$3,1),$B$3&gt;=DATE(2026,3,1)),MAX(0,E238-T238),0)</f>
        <v>0</v>
      </c>
      <c r="V238" s="526">
        <f>IFERROR(IF(AND(R238="OK",AND(F238&gt;=2,G238&lt;&gt;"기존반영",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E238,0),0)</f>
        <v>0</v>
      </c>
      <c r="W238" s="526">
        <f>IF(V238&gt;0,ROUNDUP(INDEX(RAW!$K:$K,MAX(2,F238))/1000,0)*1000-ROUNDUP((INDEX(RAW!$K:$K,MAX(2,F238))-V238)/1000,0)*1000,0)</f>
        <v>0</v>
      </c>
      <c r="X238" s="504">
        <f>IF(AND(R238="OK",IF($B$43="전체",D238&lt;EDATE($B$3,1),IF($B$43="미정산",U238&gt;0,OR(S238=$B$3,Z238&gt;0,U238&gt;0)))),1,0)</f>
        <v>0</v>
      </c>
      <c r="Y238" s="504">
        <f>IF(X238=1,COUNTIF($X$100:X238,1),0)</f>
        <v>0</v>
      </c>
      <c r="Z238" s="526">
        <f>IF(R238="OK",SUMIFS($O$430:$O$729,$B$430:$B$729,A238,$E$430:$E$729,"&gt;="&amp;$B$3,$E$430:$E$729,"&lt;"&amp;EDATE($B$3,1)),0)</f>
        <v>0</v>
      </c>
    </row>
    <row r="239" hidden="1" outlineLevel="1">
      <c r="A239" s="504">
        <f>IF(F239="","",IF(F239&gt;0,"R"&amp;F239,""))</f>
      </c>
      <c r="B239" s="504">
        <f>IF(F239="","",IFERROR(INDEX(RAW!$F:$F,MAX(2,F239)),""))</f>
      </c>
      <c r="C239" s="522" t="n"/>
      <c r="D239" s="524">
        <f>IF(F239="","",IFERROR(INDEX(RAW!$A:$A,MAX(2,F239)),""))</f>
      </c>
      <c r="E239" s="525">
        <f>IF(F239="","",IFERROR(INDEX(RAW!$K:$K,MAX(2,F239)),0))</f>
      </c>
      <c r="F239" s="522" t="n"/>
      <c r="G239" s="504" t="inlineStr">
        <is>
          <t>신규</t>
        </is>
      </c>
      <c r="O239" s="498">
        <f>IF(LEFT(R239,2)="확인",R239,"")</f>
      </c>
      <c r="R239" s="504">
        <f>IF(A239="","",IF(C239="생활비","생활비",IF(AND(COUNTIF($A$8:$A$12,C239)=1,ISNUMBER(D239),E239&gt;0,COUNTIF($A$100:$A$399,A239)=1,IFERROR(IF(F239="",AND(LEFT(A239,1)="U",G239="월기록"),AND(F239&gt;=2,COUNTIF($F$100:$F$399,F239)=1,INDEX(RAW!$H:$H,MAX(2,F239))="지출",D239=INDEX(RAW!$A:$A,MAX(2,F239)),E239&lt;=INDEX(RAW!$K:$K,MAX(2,F239)),OR(AND(G239="기존반영",OR(A239="U003",A239="U007")),AND(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AND(OR(A239&lt;&gt;"U003",F239=356),OR(A239&lt;&gt;"U007",F239=2203),OR(G239&lt;&gt;"기존반영",A239="U003",A239="U007")))),FALSE)),"OK","확인: 사용등록")))</f>
      </c>
      <c r="S239" s="504">
        <f>IF(ISNUMBER(D239),DATE(YEAR(D239),MONTH(D239),1),0)</f>
        <v>0</v>
      </c>
      <c r="T239" s="526">
        <f>IF(R239="OK",SUMIFS($O$430:$O$729,$B$430:$B$729,A239,$E$430:$E$729,"&lt;"&amp;EDATE($B$3,1)),0)</f>
        <v>0</v>
      </c>
      <c r="U239" s="526">
        <f>IF(AND(R239="OK",D239&lt;EDATE($B$3,1),$B$3&gt;=DATE(2026,3,1)),MAX(0,E239-T239),0)</f>
        <v>0</v>
      </c>
      <c r="V239" s="526">
        <f>IFERROR(IF(AND(R239="OK",AND(F239&gt;=2,G239&lt;&gt;"기존반영",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E239,0),0)</f>
        <v>0</v>
      </c>
      <c r="W239" s="526">
        <f>IF(V239&gt;0,ROUNDUP(INDEX(RAW!$K:$K,MAX(2,F239))/1000,0)*1000-ROUNDUP((INDEX(RAW!$K:$K,MAX(2,F239))-V239)/1000,0)*1000,0)</f>
        <v>0</v>
      </c>
      <c r="X239" s="504">
        <f>IF(AND(R239="OK",IF($B$43="전체",D239&lt;EDATE($B$3,1),IF($B$43="미정산",U239&gt;0,OR(S239=$B$3,Z239&gt;0,U239&gt;0)))),1,0)</f>
        <v>0</v>
      </c>
      <c r="Y239" s="504">
        <f>IF(X239=1,COUNTIF($X$100:X239,1),0)</f>
        <v>0</v>
      </c>
      <c r="Z239" s="526">
        <f>IF(R239="OK",SUMIFS($O$430:$O$729,$B$430:$B$729,A239,$E$430:$E$729,"&gt;="&amp;$B$3,$E$430:$E$729,"&lt;"&amp;EDATE($B$3,1)),0)</f>
        <v>0</v>
      </c>
    </row>
    <row r="240" hidden="1" outlineLevel="1">
      <c r="A240" s="504">
        <f>IF(F240="","",IF(F240&gt;0,"R"&amp;F240,""))</f>
      </c>
      <c r="B240" s="504">
        <f>IF(F240="","",IFERROR(INDEX(RAW!$F:$F,MAX(2,F240)),""))</f>
      </c>
      <c r="C240" s="522" t="n"/>
      <c r="D240" s="524">
        <f>IF(F240="","",IFERROR(INDEX(RAW!$A:$A,MAX(2,F240)),""))</f>
      </c>
      <c r="E240" s="525">
        <f>IF(F240="","",IFERROR(INDEX(RAW!$K:$K,MAX(2,F240)),0))</f>
      </c>
      <c r="F240" s="522" t="n"/>
      <c r="G240" s="504" t="inlineStr">
        <is>
          <t>신규</t>
        </is>
      </c>
      <c r="O240" s="498">
        <f>IF(LEFT(R240,2)="확인",R240,"")</f>
      </c>
      <c r="R240" s="504">
        <f>IF(A240="","",IF(C240="생활비","생활비",IF(AND(COUNTIF($A$8:$A$12,C240)=1,ISNUMBER(D240),E240&gt;0,COUNTIF($A$100:$A$399,A240)=1,IFERROR(IF(F240="",AND(LEFT(A240,1)="U",G240="월기록"),AND(F240&gt;=2,COUNTIF($F$100:$F$399,F240)=1,INDEX(RAW!$H:$H,MAX(2,F240))="지출",D240=INDEX(RAW!$A:$A,MAX(2,F240)),E240&lt;=INDEX(RAW!$K:$K,MAX(2,F240)),OR(AND(G240="기존반영",OR(A240="U003",A240="U007")),AND(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AND(OR(A240&lt;&gt;"U003",F240=356),OR(A240&lt;&gt;"U007",F240=2203),OR(G240&lt;&gt;"기존반영",A240="U003",A240="U007")))),FALSE)),"OK","확인: 사용등록")))</f>
      </c>
      <c r="S240" s="504">
        <f>IF(ISNUMBER(D240),DATE(YEAR(D240),MONTH(D240),1),0)</f>
        <v>0</v>
      </c>
      <c r="T240" s="526">
        <f>IF(R240="OK",SUMIFS($O$430:$O$729,$B$430:$B$729,A240,$E$430:$E$729,"&lt;"&amp;EDATE($B$3,1)),0)</f>
        <v>0</v>
      </c>
      <c r="U240" s="526">
        <f>IF(AND(R240="OK",D240&lt;EDATE($B$3,1),$B$3&gt;=DATE(2026,3,1)),MAX(0,E240-T240),0)</f>
        <v>0</v>
      </c>
      <c r="V240" s="526">
        <f>IFERROR(IF(AND(R240="OK",AND(F240&gt;=2,G240&lt;&gt;"기존반영",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E240,0),0)</f>
        <v>0</v>
      </c>
      <c r="W240" s="526">
        <f>IF(V240&gt;0,ROUNDUP(INDEX(RAW!$K:$K,MAX(2,F240))/1000,0)*1000-ROUNDUP((INDEX(RAW!$K:$K,MAX(2,F240))-V240)/1000,0)*1000,0)</f>
        <v>0</v>
      </c>
      <c r="X240" s="504">
        <f>IF(AND(R240="OK",IF($B$43="전체",D240&lt;EDATE($B$3,1),IF($B$43="미정산",U240&gt;0,OR(S240=$B$3,Z240&gt;0,U240&gt;0)))),1,0)</f>
        <v>0</v>
      </c>
      <c r="Y240" s="504">
        <f>IF(X240=1,COUNTIF($X$100:X240,1),0)</f>
        <v>0</v>
      </c>
      <c r="Z240" s="526">
        <f>IF(R240="OK",SUMIFS($O$430:$O$729,$B$430:$B$729,A240,$E$430:$E$729,"&gt;="&amp;$B$3,$E$430:$E$729,"&lt;"&amp;EDATE($B$3,1)),0)</f>
        <v>0</v>
      </c>
    </row>
    <row r="241" hidden="1" outlineLevel="1">
      <c r="A241" s="504">
        <f>IF(F241="","",IF(F241&gt;0,"R"&amp;F241,""))</f>
      </c>
      <c r="B241" s="504">
        <f>IF(F241="","",IFERROR(INDEX(RAW!$F:$F,MAX(2,F241)),""))</f>
      </c>
      <c r="C241" s="522" t="n"/>
      <c r="D241" s="524">
        <f>IF(F241="","",IFERROR(INDEX(RAW!$A:$A,MAX(2,F241)),""))</f>
      </c>
      <c r="E241" s="525">
        <f>IF(F241="","",IFERROR(INDEX(RAW!$K:$K,MAX(2,F241)),0))</f>
      </c>
      <c r="F241" s="522" t="n"/>
      <c r="G241" s="504" t="inlineStr">
        <is>
          <t>신규</t>
        </is>
      </c>
      <c r="O241" s="498">
        <f>IF(LEFT(R241,2)="확인",R241,"")</f>
      </c>
      <c r="R241" s="504">
        <f>IF(A241="","",IF(C241="생활비","생활비",IF(AND(COUNTIF($A$8:$A$12,C241)=1,ISNUMBER(D241),E241&gt;0,COUNTIF($A$100:$A$399,A241)=1,IFERROR(IF(F241="",AND(LEFT(A241,1)="U",G241="월기록"),AND(F241&gt;=2,COUNTIF($F$100:$F$399,F241)=1,INDEX(RAW!$H:$H,MAX(2,F241))="지출",D241=INDEX(RAW!$A:$A,MAX(2,F241)),E241&lt;=INDEX(RAW!$K:$K,MAX(2,F241)),OR(AND(G241="기존반영",OR(A241="U003",A241="U007")),AND(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AND(OR(A241&lt;&gt;"U003",F241=356),OR(A241&lt;&gt;"U007",F241=2203),OR(G241&lt;&gt;"기존반영",A241="U003",A241="U007")))),FALSE)),"OK","확인: 사용등록")))</f>
      </c>
      <c r="S241" s="504">
        <f>IF(ISNUMBER(D241),DATE(YEAR(D241),MONTH(D241),1),0)</f>
        <v>0</v>
      </c>
      <c r="T241" s="526">
        <f>IF(R241="OK",SUMIFS($O$430:$O$729,$B$430:$B$729,A241,$E$430:$E$729,"&lt;"&amp;EDATE($B$3,1)),0)</f>
        <v>0</v>
      </c>
      <c r="U241" s="526">
        <f>IF(AND(R241="OK",D241&lt;EDATE($B$3,1),$B$3&gt;=DATE(2026,3,1)),MAX(0,E241-T241),0)</f>
        <v>0</v>
      </c>
      <c r="V241" s="526">
        <f>IFERROR(IF(AND(R241="OK",AND(F241&gt;=2,G241&lt;&gt;"기존반영",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E241,0),0)</f>
        <v>0</v>
      </c>
      <c r="W241" s="526">
        <f>IF(V241&gt;0,ROUNDUP(INDEX(RAW!$K:$K,MAX(2,F241))/1000,0)*1000-ROUNDUP((INDEX(RAW!$K:$K,MAX(2,F241))-V241)/1000,0)*1000,0)</f>
        <v>0</v>
      </c>
      <c r="X241" s="504">
        <f>IF(AND(R241="OK",IF($B$43="전체",D241&lt;EDATE($B$3,1),IF($B$43="미정산",U241&gt;0,OR(S241=$B$3,Z241&gt;0,U241&gt;0)))),1,0)</f>
        <v>0</v>
      </c>
      <c r="Y241" s="504">
        <f>IF(X241=1,COUNTIF($X$100:X241,1),0)</f>
        <v>0</v>
      </c>
      <c r="Z241" s="526">
        <f>IF(R241="OK",SUMIFS($O$430:$O$729,$B$430:$B$729,A241,$E$430:$E$729,"&gt;="&amp;$B$3,$E$430:$E$729,"&lt;"&amp;EDATE($B$3,1)),0)</f>
        <v>0</v>
      </c>
    </row>
    <row r="242" hidden="1" outlineLevel="1">
      <c r="A242" s="504">
        <f>IF(F242="","",IF(F242&gt;0,"R"&amp;F242,""))</f>
      </c>
      <c r="B242" s="504">
        <f>IF(F242="","",IFERROR(INDEX(RAW!$F:$F,MAX(2,F242)),""))</f>
      </c>
      <c r="C242" s="522" t="n"/>
      <c r="D242" s="524">
        <f>IF(F242="","",IFERROR(INDEX(RAW!$A:$A,MAX(2,F242)),""))</f>
      </c>
      <c r="E242" s="525">
        <f>IF(F242="","",IFERROR(INDEX(RAW!$K:$K,MAX(2,F242)),0))</f>
      </c>
      <c r="F242" s="522" t="n"/>
      <c r="G242" s="504" t="inlineStr">
        <is>
          <t>신규</t>
        </is>
      </c>
      <c r="O242" s="498">
        <f>IF(LEFT(R242,2)="확인",R242,"")</f>
      </c>
      <c r="R242" s="504">
        <f>IF(A242="","",IF(C242="생활비","생활비",IF(AND(COUNTIF($A$8:$A$12,C242)=1,ISNUMBER(D242),E242&gt;0,COUNTIF($A$100:$A$399,A242)=1,IFERROR(IF(F242="",AND(LEFT(A242,1)="U",G242="월기록"),AND(F242&gt;=2,COUNTIF($F$100:$F$399,F242)=1,INDEX(RAW!$H:$H,MAX(2,F242))="지출",D242=INDEX(RAW!$A:$A,MAX(2,F242)),E242&lt;=INDEX(RAW!$K:$K,MAX(2,F242)),OR(AND(G242="기존반영",OR(A242="U003",A242="U007")),AND(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AND(OR(A242&lt;&gt;"U003",F242=356),OR(A242&lt;&gt;"U007",F242=2203),OR(G242&lt;&gt;"기존반영",A242="U003",A242="U007")))),FALSE)),"OK","확인: 사용등록")))</f>
      </c>
      <c r="S242" s="504">
        <f>IF(ISNUMBER(D242),DATE(YEAR(D242),MONTH(D242),1),0)</f>
        <v>0</v>
      </c>
      <c r="T242" s="526">
        <f>IF(R242="OK",SUMIFS($O$430:$O$729,$B$430:$B$729,A242,$E$430:$E$729,"&lt;"&amp;EDATE($B$3,1)),0)</f>
        <v>0</v>
      </c>
      <c r="U242" s="526">
        <f>IF(AND(R242="OK",D242&lt;EDATE($B$3,1),$B$3&gt;=DATE(2026,3,1)),MAX(0,E242-T242),0)</f>
        <v>0</v>
      </c>
      <c r="V242" s="526">
        <f>IFERROR(IF(AND(R242="OK",AND(F242&gt;=2,G242&lt;&gt;"기존반영",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E242,0),0)</f>
        <v>0</v>
      </c>
      <c r="W242" s="526">
        <f>IF(V242&gt;0,ROUNDUP(INDEX(RAW!$K:$K,MAX(2,F242))/1000,0)*1000-ROUNDUP((INDEX(RAW!$K:$K,MAX(2,F242))-V242)/1000,0)*1000,0)</f>
        <v>0</v>
      </c>
      <c r="X242" s="504">
        <f>IF(AND(R242="OK",IF($B$43="전체",D242&lt;EDATE($B$3,1),IF($B$43="미정산",U242&gt;0,OR(S242=$B$3,Z242&gt;0,U242&gt;0)))),1,0)</f>
        <v>0</v>
      </c>
      <c r="Y242" s="504">
        <f>IF(X242=1,COUNTIF($X$100:X242,1),0)</f>
        <v>0</v>
      </c>
      <c r="Z242" s="526">
        <f>IF(R242="OK",SUMIFS($O$430:$O$729,$B$430:$B$729,A242,$E$430:$E$729,"&gt;="&amp;$B$3,$E$430:$E$729,"&lt;"&amp;EDATE($B$3,1)),0)</f>
        <v>0</v>
      </c>
    </row>
    <row r="243" hidden="1" outlineLevel="1">
      <c r="A243" s="504">
        <f>IF(F243="","",IF(F243&gt;0,"R"&amp;F243,""))</f>
      </c>
      <c r="B243" s="504">
        <f>IF(F243="","",IFERROR(INDEX(RAW!$F:$F,MAX(2,F243)),""))</f>
      </c>
      <c r="C243" s="522" t="n"/>
      <c r="D243" s="524">
        <f>IF(F243="","",IFERROR(INDEX(RAW!$A:$A,MAX(2,F243)),""))</f>
      </c>
      <c r="E243" s="525">
        <f>IF(F243="","",IFERROR(INDEX(RAW!$K:$K,MAX(2,F243)),0))</f>
      </c>
      <c r="F243" s="522" t="n"/>
      <c r="G243" s="504" t="inlineStr">
        <is>
          <t>신규</t>
        </is>
      </c>
      <c r="O243" s="498">
        <f>IF(LEFT(R243,2)="확인",R243,"")</f>
      </c>
      <c r="R243" s="504">
        <f>IF(A243="","",IF(C243="생활비","생활비",IF(AND(COUNTIF($A$8:$A$12,C243)=1,ISNUMBER(D243),E243&gt;0,COUNTIF($A$100:$A$399,A243)=1,IFERROR(IF(F243="",AND(LEFT(A243,1)="U",G243="월기록"),AND(F243&gt;=2,COUNTIF($F$100:$F$399,F243)=1,INDEX(RAW!$H:$H,MAX(2,F243))="지출",D243=INDEX(RAW!$A:$A,MAX(2,F243)),E243&lt;=INDEX(RAW!$K:$K,MAX(2,F243)),OR(AND(G243="기존반영",OR(A243="U003",A243="U007")),AND(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AND(OR(A243&lt;&gt;"U003",F243=356),OR(A243&lt;&gt;"U007",F243=2203),OR(G243&lt;&gt;"기존반영",A243="U003",A243="U007")))),FALSE)),"OK","확인: 사용등록")))</f>
      </c>
      <c r="S243" s="504">
        <f>IF(ISNUMBER(D243),DATE(YEAR(D243),MONTH(D243),1),0)</f>
        <v>0</v>
      </c>
      <c r="T243" s="526">
        <f>IF(R243="OK",SUMIFS($O$430:$O$729,$B$430:$B$729,A243,$E$430:$E$729,"&lt;"&amp;EDATE($B$3,1)),0)</f>
        <v>0</v>
      </c>
      <c r="U243" s="526">
        <f>IF(AND(R243="OK",D243&lt;EDATE($B$3,1),$B$3&gt;=DATE(2026,3,1)),MAX(0,E243-T243),0)</f>
        <v>0</v>
      </c>
      <c r="V243" s="526">
        <f>IFERROR(IF(AND(R243="OK",AND(F243&gt;=2,G243&lt;&gt;"기존반영",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E243,0),0)</f>
        <v>0</v>
      </c>
      <c r="W243" s="526">
        <f>IF(V243&gt;0,ROUNDUP(INDEX(RAW!$K:$K,MAX(2,F243))/1000,0)*1000-ROUNDUP((INDEX(RAW!$K:$K,MAX(2,F243))-V243)/1000,0)*1000,0)</f>
        <v>0</v>
      </c>
      <c r="X243" s="504">
        <f>IF(AND(R243="OK",IF($B$43="전체",D243&lt;EDATE($B$3,1),IF($B$43="미정산",U243&gt;0,OR(S243=$B$3,Z243&gt;0,U243&gt;0)))),1,0)</f>
        <v>0</v>
      </c>
      <c r="Y243" s="504">
        <f>IF(X243=1,COUNTIF($X$100:X243,1),0)</f>
        <v>0</v>
      </c>
      <c r="Z243" s="526">
        <f>IF(R243="OK",SUMIFS($O$430:$O$729,$B$430:$B$729,A243,$E$430:$E$729,"&gt;="&amp;$B$3,$E$430:$E$729,"&lt;"&amp;EDATE($B$3,1)),0)</f>
        <v>0</v>
      </c>
    </row>
    <row r="244" hidden="1" outlineLevel="1">
      <c r="A244" s="504">
        <f>IF(F244="","",IF(F244&gt;0,"R"&amp;F244,""))</f>
      </c>
      <c r="B244" s="504">
        <f>IF(F244="","",IFERROR(INDEX(RAW!$F:$F,MAX(2,F244)),""))</f>
      </c>
      <c r="C244" s="522" t="n"/>
      <c r="D244" s="524">
        <f>IF(F244="","",IFERROR(INDEX(RAW!$A:$A,MAX(2,F244)),""))</f>
      </c>
      <c r="E244" s="525">
        <f>IF(F244="","",IFERROR(INDEX(RAW!$K:$K,MAX(2,F244)),0))</f>
      </c>
      <c r="F244" s="522" t="n"/>
      <c r="G244" s="504" t="inlineStr">
        <is>
          <t>신규</t>
        </is>
      </c>
      <c r="O244" s="498">
        <f>IF(LEFT(R244,2)="확인",R244,"")</f>
      </c>
      <c r="R244" s="504">
        <f>IF(A244="","",IF(C244="생활비","생활비",IF(AND(COUNTIF($A$8:$A$12,C244)=1,ISNUMBER(D244),E244&gt;0,COUNTIF($A$100:$A$399,A244)=1,IFERROR(IF(F244="",AND(LEFT(A244,1)="U",G244="월기록"),AND(F244&gt;=2,COUNTIF($F$100:$F$399,F244)=1,INDEX(RAW!$H:$H,MAX(2,F244))="지출",D244=INDEX(RAW!$A:$A,MAX(2,F244)),E244&lt;=INDEX(RAW!$K:$K,MAX(2,F244)),OR(AND(G244="기존반영",OR(A244="U003",A244="U007")),AND(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AND(OR(A244&lt;&gt;"U003",F244=356),OR(A244&lt;&gt;"U007",F244=2203),OR(G244&lt;&gt;"기존반영",A244="U003",A244="U007")))),FALSE)),"OK","확인: 사용등록")))</f>
      </c>
      <c r="S244" s="504">
        <f>IF(ISNUMBER(D244),DATE(YEAR(D244),MONTH(D244),1),0)</f>
        <v>0</v>
      </c>
      <c r="T244" s="526">
        <f>IF(R244="OK",SUMIFS($O$430:$O$729,$B$430:$B$729,A244,$E$430:$E$729,"&lt;"&amp;EDATE($B$3,1)),0)</f>
        <v>0</v>
      </c>
      <c r="U244" s="526">
        <f>IF(AND(R244="OK",D244&lt;EDATE($B$3,1),$B$3&gt;=DATE(2026,3,1)),MAX(0,E244-T244),0)</f>
        <v>0</v>
      </c>
      <c r="V244" s="526">
        <f>IFERROR(IF(AND(R244="OK",AND(F244&gt;=2,G244&lt;&gt;"기존반영",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E244,0),0)</f>
        <v>0</v>
      </c>
      <c r="W244" s="526">
        <f>IF(V244&gt;0,ROUNDUP(INDEX(RAW!$K:$K,MAX(2,F244))/1000,0)*1000-ROUNDUP((INDEX(RAW!$K:$K,MAX(2,F244))-V244)/1000,0)*1000,0)</f>
        <v>0</v>
      </c>
      <c r="X244" s="504">
        <f>IF(AND(R244="OK",IF($B$43="전체",D244&lt;EDATE($B$3,1),IF($B$43="미정산",U244&gt;0,OR(S244=$B$3,Z244&gt;0,U244&gt;0)))),1,0)</f>
        <v>0</v>
      </c>
      <c r="Y244" s="504">
        <f>IF(X244=1,COUNTIF($X$100:X244,1),0)</f>
        <v>0</v>
      </c>
      <c r="Z244" s="526">
        <f>IF(R244="OK",SUMIFS($O$430:$O$729,$B$430:$B$729,A244,$E$430:$E$729,"&gt;="&amp;$B$3,$E$430:$E$729,"&lt;"&amp;EDATE($B$3,1)),0)</f>
        <v>0</v>
      </c>
    </row>
    <row r="245" hidden="1" outlineLevel="1">
      <c r="A245" s="504">
        <f>IF(F245="","",IF(F245&gt;0,"R"&amp;F245,""))</f>
      </c>
      <c r="B245" s="504">
        <f>IF(F245="","",IFERROR(INDEX(RAW!$F:$F,MAX(2,F245)),""))</f>
      </c>
      <c r="C245" s="522" t="n"/>
      <c r="D245" s="524">
        <f>IF(F245="","",IFERROR(INDEX(RAW!$A:$A,MAX(2,F245)),""))</f>
      </c>
      <c r="E245" s="525">
        <f>IF(F245="","",IFERROR(INDEX(RAW!$K:$K,MAX(2,F245)),0))</f>
      </c>
      <c r="F245" s="522" t="n"/>
      <c r="G245" s="504" t="inlineStr">
        <is>
          <t>신규</t>
        </is>
      </c>
      <c r="O245" s="498">
        <f>IF(LEFT(R245,2)="확인",R245,"")</f>
      </c>
      <c r="R245" s="504">
        <f>IF(A245="","",IF(C245="생활비","생활비",IF(AND(COUNTIF($A$8:$A$12,C245)=1,ISNUMBER(D245),E245&gt;0,COUNTIF($A$100:$A$399,A245)=1,IFERROR(IF(F245="",AND(LEFT(A245,1)="U",G245="월기록"),AND(F245&gt;=2,COUNTIF($F$100:$F$399,F245)=1,INDEX(RAW!$H:$H,MAX(2,F245))="지출",D245=INDEX(RAW!$A:$A,MAX(2,F245)),E245&lt;=INDEX(RAW!$K:$K,MAX(2,F245)),OR(AND(G245="기존반영",OR(A245="U003",A245="U007")),AND(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AND(OR(A245&lt;&gt;"U003",F245=356),OR(A245&lt;&gt;"U007",F245=2203),OR(G245&lt;&gt;"기존반영",A245="U003",A245="U007")))),FALSE)),"OK","확인: 사용등록")))</f>
      </c>
      <c r="S245" s="504">
        <f>IF(ISNUMBER(D245),DATE(YEAR(D245),MONTH(D245),1),0)</f>
        <v>0</v>
      </c>
      <c r="T245" s="526">
        <f>IF(R245="OK",SUMIFS($O$430:$O$729,$B$430:$B$729,A245,$E$430:$E$729,"&lt;"&amp;EDATE($B$3,1)),0)</f>
        <v>0</v>
      </c>
      <c r="U245" s="526">
        <f>IF(AND(R245="OK",D245&lt;EDATE($B$3,1),$B$3&gt;=DATE(2026,3,1)),MAX(0,E245-T245),0)</f>
        <v>0</v>
      </c>
      <c r="V245" s="526">
        <f>IFERROR(IF(AND(R245="OK",AND(F245&gt;=2,G245&lt;&gt;"기존반영",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E245,0),0)</f>
        <v>0</v>
      </c>
      <c r="W245" s="526">
        <f>IF(V245&gt;0,ROUNDUP(INDEX(RAW!$K:$K,MAX(2,F245))/1000,0)*1000-ROUNDUP((INDEX(RAW!$K:$K,MAX(2,F245))-V245)/1000,0)*1000,0)</f>
        <v>0</v>
      </c>
      <c r="X245" s="504">
        <f>IF(AND(R245="OK",IF($B$43="전체",D245&lt;EDATE($B$3,1),IF($B$43="미정산",U245&gt;0,OR(S245=$B$3,Z245&gt;0,U245&gt;0)))),1,0)</f>
        <v>0</v>
      </c>
      <c r="Y245" s="504">
        <f>IF(X245=1,COUNTIF($X$100:X245,1),0)</f>
        <v>0</v>
      </c>
      <c r="Z245" s="526">
        <f>IF(R245="OK",SUMIFS($O$430:$O$729,$B$430:$B$729,A245,$E$430:$E$729,"&gt;="&amp;$B$3,$E$430:$E$729,"&lt;"&amp;EDATE($B$3,1)),0)</f>
        <v>0</v>
      </c>
    </row>
    <row r="246" hidden="1" outlineLevel="1">
      <c r="A246" s="504">
        <f>IF(F246="","",IF(F246&gt;0,"R"&amp;F246,""))</f>
      </c>
      <c r="B246" s="504">
        <f>IF(F246="","",IFERROR(INDEX(RAW!$F:$F,MAX(2,F246)),""))</f>
      </c>
      <c r="C246" s="522" t="n"/>
      <c r="D246" s="524">
        <f>IF(F246="","",IFERROR(INDEX(RAW!$A:$A,MAX(2,F246)),""))</f>
      </c>
      <c r="E246" s="525">
        <f>IF(F246="","",IFERROR(INDEX(RAW!$K:$K,MAX(2,F246)),0))</f>
      </c>
      <c r="F246" s="522" t="n"/>
      <c r="G246" s="504" t="inlineStr">
        <is>
          <t>신규</t>
        </is>
      </c>
      <c r="O246" s="498">
        <f>IF(LEFT(R246,2)="확인",R246,"")</f>
      </c>
      <c r="R246" s="504">
        <f>IF(A246="","",IF(C246="생활비","생활비",IF(AND(COUNTIF($A$8:$A$12,C246)=1,ISNUMBER(D246),E246&gt;0,COUNTIF($A$100:$A$399,A246)=1,IFERROR(IF(F246="",AND(LEFT(A246,1)="U",G246="월기록"),AND(F246&gt;=2,COUNTIF($F$100:$F$399,F246)=1,INDEX(RAW!$H:$H,MAX(2,F246))="지출",D246=INDEX(RAW!$A:$A,MAX(2,F246)),E246&lt;=INDEX(RAW!$K:$K,MAX(2,F246)),OR(AND(G246="기존반영",OR(A246="U003",A246="U007")),AND(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AND(OR(A246&lt;&gt;"U003",F246=356),OR(A246&lt;&gt;"U007",F246=2203),OR(G246&lt;&gt;"기존반영",A246="U003",A246="U007")))),FALSE)),"OK","확인: 사용등록")))</f>
      </c>
      <c r="S246" s="504">
        <f>IF(ISNUMBER(D246),DATE(YEAR(D246),MONTH(D246),1),0)</f>
        <v>0</v>
      </c>
      <c r="T246" s="526">
        <f>IF(R246="OK",SUMIFS($O$430:$O$729,$B$430:$B$729,A246,$E$430:$E$729,"&lt;"&amp;EDATE($B$3,1)),0)</f>
        <v>0</v>
      </c>
      <c r="U246" s="526">
        <f>IF(AND(R246="OK",D246&lt;EDATE($B$3,1),$B$3&gt;=DATE(2026,3,1)),MAX(0,E246-T246),0)</f>
        <v>0</v>
      </c>
      <c r="V246" s="526">
        <f>IFERROR(IF(AND(R246="OK",AND(F246&gt;=2,G246&lt;&gt;"기존반영",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E246,0),0)</f>
        <v>0</v>
      </c>
      <c r="W246" s="526">
        <f>IF(V246&gt;0,ROUNDUP(INDEX(RAW!$K:$K,MAX(2,F246))/1000,0)*1000-ROUNDUP((INDEX(RAW!$K:$K,MAX(2,F246))-V246)/1000,0)*1000,0)</f>
        <v>0</v>
      </c>
      <c r="X246" s="504">
        <f>IF(AND(R246="OK",IF($B$43="전체",D246&lt;EDATE($B$3,1),IF($B$43="미정산",U246&gt;0,OR(S246=$B$3,Z246&gt;0,U246&gt;0)))),1,0)</f>
        <v>0</v>
      </c>
      <c r="Y246" s="504">
        <f>IF(X246=1,COUNTIF($X$100:X246,1),0)</f>
        <v>0</v>
      </c>
      <c r="Z246" s="526">
        <f>IF(R246="OK",SUMIFS($O$430:$O$729,$B$430:$B$729,A246,$E$430:$E$729,"&gt;="&amp;$B$3,$E$430:$E$729,"&lt;"&amp;EDATE($B$3,1)),0)</f>
        <v>0</v>
      </c>
    </row>
    <row r="247" hidden="1" outlineLevel="1">
      <c r="A247" s="504">
        <f>IF(F247="","",IF(F247&gt;0,"R"&amp;F247,""))</f>
      </c>
      <c r="B247" s="504">
        <f>IF(F247="","",IFERROR(INDEX(RAW!$F:$F,MAX(2,F247)),""))</f>
      </c>
      <c r="C247" s="522" t="n"/>
      <c r="D247" s="524">
        <f>IF(F247="","",IFERROR(INDEX(RAW!$A:$A,MAX(2,F247)),""))</f>
      </c>
      <c r="E247" s="525">
        <f>IF(F247="","",IFERROR(INDEX(RAW!$K:$K,MAX(2,F247)),0))</f>
      </c>
      <c r="F247" s="522" t="n"/>
      <c r="G247" s="504" t="inlineStr">
        <is>
          <t>신규</t>
        </is>
      </c>
      <c r="O247" s="498">
        <f>IF(LEFT(R247,2)="확인",R247,"")</f>
      </c>
      <c r="R247" s="504">
        <f>IF(A247="","",IF(C247="생활비","생활비",IF(AND(COUNTIF($A$8:$A$12,C247)=1,ISNUMBER(D247),E247&gt;0,COUNTIF($A$100:$A$399,A247)=1,IFERROR(IF(F247="",AND(LEFT(A247,1)="U",G247="월기록"),AND(F247&gt;=2,COUNTIF($F$100:$F$399,F247)=1,INDEX(RAW!$H:$H,MAX(2,F247))="지출",D247=INDEX(RAW!$A:$A,MAX(2,F247)),E247&lt;=INDEX(RAW!$K:$K,MAX(2,F247)),OR(AND(G247="기존반영",OR(A247="U003",A247="U007")),AND(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AND(OR(A247&lt;&gt;"U003",F247=356),OR(A247&lt;&gt;"U007",F247=2203),OR(G247&lt;&gt;"기존반영",A247="U003",A247="U007")))),FALSE)),"OK","확인: 사용등록")))</f>
      </c>
      <c r="S247" s="504">
        <f>IF(ISNUMBER(D247),DATE(YEAR(D247),MONTH(D247),1),0)</f>
        <v>0</v>
      </c>
      <c r="T247" s="526">
        <f>IF(R247="OK",SUMIFS($O$430:$O$729,$B$430:$B$729,A247,$E$430:$E$729,"&lt;"&amp;EDATE($B$3,1)),0)</f>
        <v>0</v>
      </c>
      <c r="U247" s="526">
        <f>IF(AND(R247="OK",D247&lt;EDATE($B$3,1),$B$3&gt;=DATE(2026,3,1)),MAX(0,E247-T247),0)</f>
        <v>0</v>
      </c>
      <c r="V247" s="526">
        <f>IFERROR(IF(AND(R247="OK",AND(F247&gt;=2,G247&lt;&gt;"기존반영",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E247,0),0)</f>
        <v>0</v>
      </c>
      <c r="W247" s="526">
        <f>IF(V247&gt;0,ROUNDUP(INDEX(RAW!$K:$K,MAX(2,F247))/1000,0)*1000-ROUNDUP((INDEX(RAW!$K:$K,MAX(2,F247))-V247)/1000,0)*1000,0)</f>
        <v>0</v>
      </c>
      <c r="X247" s="504">
        <f>IF(AND(R247="OK",IF($B$43="전체",D247&lt;EDATE($B$3,1),IF($B$43="미정산",U247&gt;0,OR(S247=$B$3,Z247&gt;0,U247&gt;0)))),1,0)</f>
        <v>0</v>
      </c>
      <c r="Y247" s="504">
        <f>IF(X247=1,COUNTIF($X$100:X247,1),0)</f>
        <v>0</v>
      </c>
      <c r="Z247" s="526">
        <f>IF(R247="OK",SUMIFS($O$430:$O$729,$B$430:$B$729,A247,$E$430:$E$729,"&gt;="&amp;$B$3,$E$430:$E$729,"&lt;"&amp;EDATE($B$3,1)),0)</f>
        <v>0</v>
      </c>
    </row>
    <row r="248" hidden="1" outlineLevel="1">
      <c r="A248" s="504">
        <f>IF(F248="","",IF(F248&gt;0,"R"&amp;F248,""))</f>
      </c>
      <c r="B248" s="504">
        <f>IF(F248="","",IFERROR(INDEX(RAW!$F:$F,MAX(2,F248)),""))</f>
      </c>
      <c r="C248" s="522" t="n"/>
      <c r="D248" s="524">
        <f>IF(F248="","",IFERROR(INDEX(RAW!$A:$A,MAX(2,F248)),""))</f>
      </c>
      <c r="E248" s="525">
        <f>IF(F248="","",IFERROR(INDEX(RAW!$K:$K,MAX(2,F248)),0))</f>
      </c>
      <c r="F248" s="522" t="n"/>
      <c r="G248" s="504" t="inlineStr">
        <is>
          <t>신규</t>
        </is>
      </c>
      <c r="O248" s="498">
        <f>IF(LEFT(R248,2)="확인",R248,"")</f>
      </c>
      <c r="R248" s="504">
        <f>IF(A248="","",IF(C248="생활비","생활비",IF(AND(COUNTIF($A$8:$A$12,C248)=1,ISNUMBER(D248),E248&gt;0,COUNTIF($A$100:$A$399,A248)=1,IFERROR(IF(F248="",AND(LEFT(A248,1)="U",G248="월기록"),AND(F248&gt;=2,COUNTIF($F$100:$F$399,F248)=1,INDEX(RAW!$H:$H,MAX(2,F248))="지출",D248=INDEX(RAW!$A:$A,MAX(2,F248)),E248&lt;=INDEX(RAW!$K:$K,MAX(2,F248)),OR(AND(G248="기존반영",OR(A248="U003",A248="U007")),AND(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AND(OR(A248&lt;&gt;"U003",F248=356),OR(A248&lt;&gt;"U007",F248=2203),OR(G248&lt;&gt;"기존반영",A248="U003",A248="U007")))),FALSE)),"OK","확인: 사용등록")))</f>
      </c>
      <c r="S248" s="504">
        <f>IF(ISNUMBER(D248),DATE(YEAR(D248),MONTH(D248),1),0)</f>
        <v>0</v>
      </c>
      <c r="T248" s="526">
        <f>IF(R248="OK",SUMIFS($O$430:$O$729,$B$430:$B$729,A248,$E$430:$E$729,"&lt;"&amp;EDATE($B$3,1)),0)</f>
        <v>0</v>
      </c>
      <c r="U248" s="526">
        <f>IF(AND(R248="OK",D248&lt;EDATE($B$3,1),$B$3&gt;=DATE(2026,3,1)),MAX(0,E248-T248),0)</f>
        <v>0</v>
      </c>
      <c r="V248" s="526">
        <f>IFERROR(IF(AND(R248="OK",AND(F248&gt;=2,G248&lt;&gt;"기존반영",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E248,0),0)</f>
        <v>0</v>
      </c>
      <c r="W248" s="526">
        <f>IF(V248&gt;0,ROUNDUP(INDEX(RAW!$K:$K,MAX(2,F248))/1000,0)*1000-ROUNDUP((INDEX(RAW!$K:$K,MAX(2,F248))-V248)/1000,0)*1000,0)</f>
        <v>0</v>
      </c>
      <c r="X248" s="504">
        <f>IF(AND(R248="OK",IF($B$43="전체",D248&lt;EDATE($B$3,1),IF($B$43="미정산",U248&gt;0,OR(S248=$B$3,Z248&gt;0,U248&gt;0)))),1,0)</f>
        <v>0</v>
      </c>
      <c r="Y248" s="504">
        <f>IF(X248=1,COUNTIF($X$100:X248,1),0)</f>
        <v>0</v>
      </c>
      <c r="Z248" s="526">
        <f>IF(R248="OK",SUMIFS($O$430:$O$729,$B$430:$B$729,A248,$E$430:$E$729,"&gt;="&amp;$B$3,$E$430:$E$729,"&lt;"&amp;EDATE($B$3,1)),0)</f>
        <v>0</v>
      </c>
    </row>
    <row r="249" hidden="1" outlineLevel="1">
      <c r="A249" s="504">
        <f>IF(F249="","",IF(F249&gt;0,"R"&amp;F249,""))</f>
      </c>
      <c r="B249" s="504">
        <f>IF(F249="","",IFERROR(INDEX(RAW!$F:$F,MAX(2,F249)),""))</f>
      </c>
      <c r="C249" s="522" t="n"/>
      <c r="D249" s="524">
        <f>IF(F249="","",IFERROR(INDEX(RAW!$A:$A,MAX(2,F249)),""))</f>
      </c>
      <c r="E249" s="525">
        <f>IF(F249="","",IFERROR(INDEX(RAW!$K:$K,MAX(2,F249)),0))</f>
      </c>
      <c r="F249" s="522" t="n"/>
      <c r="G249" s="504" t="inlineStr">
        <is>
          <t>신규</t>
        </is>
      </c>
      <c r="O249" s="498">
        <f>IF(LEFT(R249,2)="확인",R249,"")</f>
      </c>
      <c r="R249" s="504">
        <f>IF(A249="","",IF(C249="생활비","생활비",IF(AND(COUNTIF($A$8:$A$12,C249)=1,ISNUMBER(D249),E249&gt;0,COUNTIF($A$100:$A$399,A249)=1,IFERROR(IF(F249="",AND(LEFT(A249,1)="U",G249="월기록"),AND(F249&gt;=2,COUNTIF($F$100:$F$399,F249)=1,INDEX(RAW!$H:$H,MAX(2,F249))="지출",D249=INDEX(RAW!$A:$A,MAX(2,F249)),E249&lt;=INDEX(RAW!$K:$K,MAX(2,F249)),OR(AND(G249="기존반영",OR(A249="U003",A249="U007")),AND(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AND(OR(A249&lt;&gt;"U003",F249=356),OR(A249&lt;&gt;"U007",F249=2203),OR(G249&lt;&gt;"기존반영",A249="U003",A249="U007")))),FALSE)),"OK","확인: 사용등록")))</f>
      </c>
      <c r="S249" s="504">
        <f>IF(ISNUMBER(D249),DATE(YEAR(D249),MONTH(D249),1),0)</f>
        <v>0</v>
      </c>
      <c r="T249" s="526">
        <f>IF(R249="OK",SUMIFS($O$430:$O$729,$B$430:$B$729,A249,$E$430:$E$729,"&lt;"&amp;EDATE($B$3,1)),0)</f>
        <v>0</v>
      </c>
      <c r="U249" s="526">
        <f>IF(AND(R249="OK",D249&lt;EDATE($B$3,1),$B$3&gt;=DATE(2026,3,1)),MAX(0,E249-T249),0)</f>
        <v>0</v>
      </c>
      <c r="V249" s="526">
        <f>IFERROR(IF(AND(R249="OK",AND(F249&gt;=2,G249&lt;&gt;"기존반영",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E249,0),0)</f>
        <v>0</v>
      </c>
      <c r="W249" s="526">
        <f>IF(V249&gt;0,ROUNDUP(INDEX(RAW!$K:$K,MAX(2,F249))/1000,0)*1000-ROUNDUP((INDEX(RAW!$K:$K,MAX(2,F249))-V249)/1000,0)*1000,0)</f>
        <v>0</v>
      </c>
      <c r="X249" s="504">
        <f>IF(AND(R249="OK",IF($B$43="전체",D249&lt;EDATE($B$3,1),IF($B$43="미정산",U249&gt;0,OR(S249=$B$3,Z249&gt;0,U249&gt;0)))),1,0)</f>
        <v>0</v>
      </c>
      <c r="Y249" s="504">
        <f>IF(X249=1,COUNTIF($X$100:X249,1),0)</f>
        <v>0</v>
      </c>
      <c r="Z249" s="526">
        <f>IF(R249="OK",SUMIFS($O$430:$O$729,$B$430:$B$729,A249,$E$430:$E$729,"&gt;="&amp;$B$3,$E$430:$E$729,"&lt;"&amp;EDATE($B$3,1)),0)</f>
        <v>0</v>
      </c>
    </row>
    <row r="250" hidden="1" outlineLevel="1">
      <c r="A250" s="504">
        <f>IF(F250="","",IF(F250&gt;0,"R"&amp;F250,""))</f>
      </c>
      <c r="B250" s="504">
        <f>IF(F250="","",IFERROR(INDEX(RAW!$F:$F,MAX(2,F250)),""))</f>
      </c>
      <c r="C250" s="522" t="n"/>
      <c r="D250" s="524">
        <f>IF(F250="","",IFERROR(INDEX(RAW!$A:$A,MAX(2,F250)),""))</f>
      </c>
      <c r="E250" s="525">
        <f>IF(F250="","",IFERROR(INDEX(RAW!$K:$K,MAX(2,F250)),0))</f>
      </c>
      <c r="F250" s="522" t="n"/>
      <c r="G250" s="504" t="inlineStr">
        <is>
          <t>신규</t>
        </is>
      </c>
      <c r="O250" s="498">
        <f>IF(LEFT(R250,2)="확인",R250,"")</f>
      </c>
      <c r="R250" s="504">
        <f>IF(A250="","",IF(C250="생활비","생활비",IF(AND(COUNTIF($A$8:$A$12,C250)=1,ISNUMBER(D250),E250&gt;0,COUNTIF($A$100:$A$399,A250)=1,IFERROR(IF(F250="",AND(LEFT(A250,1)="U",G250="월기록"),AND(F250&gt;=2,COUNTIF($F$100:$F$399,F250)=1,INDEX(RAW!$H:$H,MAX(2,F250))="지출",D250=INDEX(RAW!$A:$A,MAX(2,F250)),E250&lt;=INDEX(RAW!$K:$K,MAX(2,F250)),OR(AND(G250="기존반영",OR(A250="U003",A250="U007")),AND(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AND(OR(A250&lt;&gt;"U003",F250=356),OR(A250&lt;&gt;"U007",F250=2203),OR(G250&lt;&gt;"기존반영",A250="U003",A250="U007")))),FALSE)),"OK","확인: 사용등록")))</f>
      </c>
      <c r="S250" s="504">
        <f>IF(ISNUMBER(D250),DATE(YEAR(D250),MONTH(D250),1),0)</f>
        <v>0</v>
      </c>
      <c r="T250" s="526">
        <f>IF(R250="OK",SUMIFS($O$430:$O$729,$B$430:$B$729,A250,$E$430:$E$729,"&lt;"&amp;EDATE($B$3,1)),0)</f>
        <v>0</v>
      </c>
      <c r="U250" s="526">
        <f>IF(AND(R250="OK",D250&lt;EDATE($B$3,1),$B$3&gt;=DATE(2026,3,1)),MAX(0,E250-T250),0)</f>
        <v>0</v>
      </c>
      <c r="V250" s="526">
        <f>IFERROR(IF(AND(R250="OK",AND(F250&gt;=2,G250&lt;&gt;"기존반영",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E250,0),0)</f>
        <v>0</v>
      </c>
      <c r="W250" s="526">
        <f>IF(V250&gt;0,ROUNDUP(INDEX(RAW!$K:$K,MAX(2,F250))/1000,0)*1000-ROUNDUP((INDEX(RAW!$K:$K,MAX(2,F250))-V250)/1000,0)*1000,0)</f>
        <v>0</v>
      </c>
      <c r="X250" s="504">
        <f>IF(AND(R250="OK",IF($B$43="전체",D250&lt;EDATE($B$3,1),IF($B$43="미정산",U250&gt;0,OR(S250=$B$3,Z250&gt;0,U250&gt;0)))),1,0)</f>
        <v>0</v>
      </c>
      <c r="Y250" s="504">
        <f>IF(X250=1,COUNTIF($X$100:X250,1),0)</f>
        <v>0</v>
      </c>
      <c r="Z250" s="526">
        <f>IF(R250="OK",SUMIFS($O$430:$O$729,$B$430:$B$729,A250,$E$430:$E$729,"&gt;="&amp;$B$3,$E$430:$E$729,"&lt;"&amp;EDATE($B$3,1)),0)</f>
        <v>0</v>
      </c>
    </row>
    <row r="251" hidden="1" outlineLevel="1">
      <c r="A251" s="504">
        <f>IF(F251="","",IF(F251&gt;0,"R"&amp;F251,""))</f>
      </c>
      <c r="B251" s="504">
        <f>IF(F251="","",IFERROR(INDEX(RAW!$F:$F,MAX(2,F251)),""))</f>
      </c>
      <c r="C251" s="522" t="n"/>
      <c r="D251" s="524">
        <f>IF(F251="","",IFERROR(INDEX(RAW!$A:$A,MAX(2,F251)),""))</f>
      </c>
      <c r="E251" s="525">
        <f>IF(F251="","",IFERROR(INDEX(RAW!$K:$K,MAX(2,F251)),0))</f>
      </c>
      <c r="F251" s="522" t="n"/>
      <c r="G251" s="504" t="inlineStr">
        <is>
          <t>신규</t>
        </is>
      </c>
      <c r="O251" s="498">
        <f>IF(LEFT(R251,2)="확인",R251,"")</f>
      </c>
      <c r="R251" s="504">
        <f>IF(A251="","",IF(C251="생활비","생활비",IF(AND(COUNTIF($A$8:$A$12,C251)=1,ISNUMBER(D251),E251&gt;0,COUNTIF($A$100:$A$399,A251)=1,IFERROR(IF(F251="",AND(LEFT(A251,1)="U",G251="월기록"),AND(F251&gt;=2,COUNTIF($F$100:$F$399,F251)=1,INDEX(RAW!$H:$H,MAX(2,F251))="지출",D251=INDEX(RAW!$A:$A,MAX(2,F251)),E251&lt;=INDEX(RAW!$K:$K,MAX(2,F251)),OR(AND(G251="기존반영",OR(A251="U003",A251="U007")),AND(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AND(OR(A251&lt;&gt;"U003",F251=356),OR(A251&lt;&gt;"U007",F251=2203),OR(G251&lt;&gt;"기존반영",A251="U003",A251="U007")))),FALSE)),"OK","확인: 사용등록")))</f>
      </c>
      <c r="S251" s="504">
        <f>IF(ISNUMBER(D251),DATE(YEAR(D251),MONTH(D251),1),0)</f>
        <v>0</v>
      </c>
      <c r="T251" s="526">
        <f>IF(R251="OK",SUMIFS($O$430:$O$729,$B$430:$B$729,A251,$E$430:$E$729,"&lt;"&amp;EDATE($B$3,1)),0)</f>
        <v>0</v>
      </c>
      <c r="U251" s="526">
        <f>IF(AND(R251="OK",D251&lt;EDATE($B$3,1),$B$3&gt;=DATE(2026,3,1)),MAX(0,E251-T251),0)</f>
        <v>0</v>
      </c>
      <c r="V251" s="526">
        <f>IFERROR(IF(AND(R251="OK",AND(F251&gt;=2,G251&lt;&gt;"기존반영",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E251,0),0)</f>
        <v>0</v>
      </c>
      <c r="W251" s="526">
        <f>IF(V251&gt;0,ROUNDUP(INDEX(RAW!$K:$K,MAX(2,F251))/1000,0)*1000-ROUNDUP((INDEX(RAW!$K:$K,MAX(2,F251))-V251)/1000,0)*1000,0)</f>
        <v>0</v>
      </c>
      <c r="X251" s="504">
        <f>IF(AND(R251="OK",IF($B$43="전체",D251&lt;EDATE($B$3,1),IF($B$43="미정산",U251&gt;0,OR(S251=$B$3,Z251&gt;0,U251&gt;0)))),1,0)</f>
        <v>0</v>
      </c>
      <c r="Y251" s="504">
        <f>IF(X251=1,COUNTIF($X$100:X251,1),0)</f>
        <v>0</v>
      </c>
      <c r="Z251" s="526">
        <f>IF(R251="OK",SUMIFS($O$430:$O$729,$B$430:$B$729,A251,$E$430:$E$729,"&gt;="&amp;$B$3,$E$430:$E$729,"&lt;"&amp;EDATE($B$3,1)),0)</f>
        <v>0</v>
      </c>
    </row>
    <row r="252" hidden="1" outlineLevel="1">
      <c r="A252" s="504">
        <f>IF(F252="","",IF(F252&gt;0,"R"&amp;F252,""))</f>
      </c>
      <c r="B252" s="504">
        <f>IF(F252="","",IFERROR(INDEX(RAW!$F:$F,MAX(2,F252)),""))</f>
      </c>
      <c r="C252" s="522" t="n"/>
      <c r="D252" s="524">
        <f>IF(F252="","",IFERROR(INDEX(RAW!$A:$A,MAX(2,F252)),""))</f>
      </c>
      <c r="E252" s="525">
        <f>IF(F252="","",IFERROR(INDEX(RAW!$K:$K,MAX(2,F252)),0))</f>
      </c>
      <c r="F252" s="522" t="n"/>
      <c r="G252" s="504" t="inlineStr">
        <is>
          <t>신규</t>
        </is>
      </c>
      <c r="O252" s="498">
        <f>IF(LEFT(R252,2)="확인",R252,"")</f>
      </c>
      <c r="R252" s="504">
        <f>IF(A252="","",IF(C252="생활비","생활비",IF(AND(COUNTIF($A$8:$A$12,C252)=1,ISNUMBER(D252),E252&gt;0,COUNTIF($A$100:$A$399,A252)=1,IFERROR(IF(F252="",AND(LEFT(A252,1)="U",G252="월기록"),AND(F252&gt;=2,COUNTIF($F$100:$F$399,F252)=1,INDEX(RAW!$H:$H,MAX(2,F252))="지출",D252=INDEX(RAW!$A:$A,MAX(2,F252)),E252&lt;=INDEX(RAW!$K:$K,MAX(2,F252)),OR(AND(G252="기존반영",OR(A252="U003",A252="U007")),AND(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AND(OR(A252&lt;&gt;"U003",F252=356),OR(A252&lt;&gt;"U007",F252=2203),OR(G252&lt;&gt;"기존반영",A252="U003",A252="U007")))),FALSE)),"OK","확인: 사용등록")))</f>
      </c>
      <c r="S252" s="504">
        <f>IF(ISNUMBER(D252),DATE(YEAR(D252),MONTH(D252),1),0)</f>
        <v>0</v>
      </c>
      <c r="T252" s="526">
        <f>IF(R252="OK",SUMIFS($O$430:$O$729,$B$430:$B$729,A252,$E$430:$E$729,"&lt;"&amp;EDATE($B$3,1)),0)</f>
        <v>0</v>
      </c>
      <c r="U252" s="526">
        <f>IF(AND(R252="OK",D252&lt;EDATE($B$3,1),$B$3&gt;=DATE(2026,3,1)),MAX(0,E252-T252),0)</f>
        <v>0</v>
      </c>
      <c r="V252" s="526">
        <f>IFERROR(IF(AND(R252="OK",AND(F252&gt;=2,G252&lt;&gt;"기존반영",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E252,0),0)</f>
        <v>0</v>
      </c>
      <c r="W252" s="526">
        <f>IF(V252&gt;0,ROUNDUP(INDEX(RAW!$K:$K,MAX(2,F252))/1000,0)*1000-ROUNDUP((INDEX(RAW!$K:$K,MAX(2,F252))-V252)/1000,0)*1000,0)</f>
        <v>0</v>
      </c>
      <c r="X252" s="504">
        <f>IF(AND(R252="OK",IF($B$43="전체",D252&lt;EDATE($B$3,1),IF($B$43="미정산",U252&gt;0,OR(S252=$B$3,Z252&gt;0,U252&gt;0)))),1,0)</f>
        <v>0</v>
      </c>
      <c r="Y252" s="504">
        <f>IF(X252=1,COUNTIF($X$100:X252,1),0)</f>
        <v>0</v>
      </c>
      <c r="Z252" s="526">
        <f>IF(R252="OK",SUMIFS($O$430:$O$729,$B$430:$B$729,A252,$E$430:$E$729,"&gt;="&amp;$B$3,$E$430:$E$729,"&lt;"&amp;EDATE($B$3,1)),0)</f>
        <v>0</v>
      </c>
    </row>
    <row r="253" hidden="1" outlineLevel="1">
      <c r="A253" s="504">
        <f>IF(F253="","",IF(F253&gt;0,"R"&amp;F253,""))</f>
      </c>
      <c r="B253" s="504">
        <f>IF(F253="","",IFERROR(INDEX(RAW!$F:$F,MAX(2,F253)),""))</f>
      </c>
      <c r="C253" s="522" t="n"/>
      <c r="D253" s="524">
        <f>IF(F253="","",IFERROR(INDEX(RAW!$A:$A,MAX(2,F253)),""))</f>
      </c>
      <c r="E253" s="525">
        <f>IF(F253="","",IFERROR(INDEX(RAW!$K:$K,MAX(2,F253)),0))</f>
      </c>
      <c r="F253" s="522" t="n"/>
      <c r="G253" s="504" t="inlineStr">
        <is>
          <t>신규</t>
        </is>
      </c>
      <c r="O253" s="498">
        <f>IF(LEFT(R253,2)="확인",R253,"")</f>
      </c>
      <c r="R253" s="504">
        <f>IF(A253="","",IF(C253="생활비","생활비",IF(AND(COUNTIF($A$8:$A$12,C253)=1,ISNUMBER(D253),E253&gt;0,COUNTIF($A$100:$A$399,A253)=1,IFERROR(IF(F253="",AND(LEFT(A253,1)="U",G253="월기록"),AND(F253&gt;=2,COUNTIF($F$100:$F$399,F253)=1,INDEX(RAW!$H:$H,MAX(2,F253))="지출",D253=INDEX(RAW!$A:$A,MAX(2,F253)),E253&lt;=INDEX(RAW!$K:$K,MAX(2,F253)),OR(AND(G253="기존반영",OR(A253="U003",A253="U007")),AND(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AND(OR(A253&lt;&gt;"U003",F253=356),OR(A253&lt;&gt;"U007",F253=2203),OR(G253&lt;&gt;"기존반영",A253="U003",A253="U007")))),FALSE)),"OK","확인: 사용등록")))</f>
      </c>
      <c r="S253" s="504">
        <f>IF(ISNUMBER(D253),DATE(YEAR(D253),MONTH(D253),1),0)</f>
        <v>0</v>
      </c>
      <c r="T253" s="526">
        <f>IF(R253="OK",SUMIFS($O$430:$O$729,$B$430:$B$729,A253,$E$430:$E$729,"&lt;"&amp;EDATE($B$3,1)),0)</f>
        <v>0</v>
      </c>
      <c r="U253" s="526">
        <f>IF(AND(R253="OK",D253&lt;EDATE($B$3,1),$B$3&gt;=DATE(2026,3,1)),MAX(0,E253-T253),0)</f>
        <v>0</v>
      </c>
      <c r="V253" s="526">
        <f>IFERROR(IF(AND(R253="OK",AND(F253&gt;=2,G253&lt;&gt;"기존반영",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E253,0),0)</f>
        <v>0</v>
      </c>
      <c r="W253" s="526">
        <f>IF(V253&gt;0,ROUNDUP(INDEX(RAW!$K:$K,MAX(2,F253))/1000,0)*1000-ROUNDUP((INDEX(RAW!$K:$K,MAX(2,F253))-V253)/1000,0)*1000,0)</f>
        <v>0</v>
      </c>
      <c r="X253" s="504">
        <f>IF(AND(R253="OK",IF($B$43="전체",D253&lt;EDATE($B$3,1),IF($B$43="미정산",U253&gt;0,OR(S253=$B$3,Z253&gt;0,U253&gt;0)))),1,0)</f>
        <v>0</v>
      </c>
      <c r="Y253" s="504">
        <f>IF(X253=1,COUNTIF($X$100:X253,1),0)</f>
        <v>0</v>
      </c>
      <c r="Z253" s="526">
        <f>IF(R253="OK",SUMIFS($O$430:$O$729,$B$430:$B$729,A253,$E$430:$E$729,"&gt;="&amp;$B$3,$E$430:$E$729,"&lt;"&amp;EDATE($B$3,1)),0)</f>
        <v>0</v>
      </c>
    </row>
    <row r="254" hidden="1" outlineLevel="1">
      <c r="A254" s="504">
        <f>IF(F254="","",IF(F254&gt;0,"R"&amp;F254,""))</f>
      </c>
      <c r="B254" s="504">
        <f>IF(F254="","",IFERROR(INDEX(RAW!$F:$F,MAX(2,F254)),""))</f>
      </c>
      <c r="C254" s="522" t="n"/>
      <c r="D254" s="524">
        <f>IF(F254="","",IFERROR(INDEX(RAW!$A:$A,MAX(2,F254)),""))</f>
      </c>
      <c r="E254" s="525">
        <f>IF(F254="","",IFERROR(INDEX(RAW!$K:$K,MAX(2,F254)),0))</f>
      </c>
      <c r="F254" s="522" t="n"/>
      <c r="G254" s="504" t="inlineStr">
        <is>
          <t>신규</t>
        </is>
      </c>
      <c r="O254" s="498">
        <f>IF(LEFT(R254,2)="확인",R254,"")</f>
      </c>
      <c r="R254" s="504">
        <f>IF(A254="","",IF(C254="생활비","생활비",IF(AND(COUNTIF($A$8:$A$12,C254)=1,ISNUMBER(D254),E254&gt;0,COUNTIF($A$100:$A$399,A254)=1,IFERROR(IF(F254="",AND(LEFT(A254,1)="U",G254="월기록"),AND(F254&gt;=2,COUNTIF($F$100:$F$399,F254)=1,INDEX(RAW!$H:$H,MAX(2,F254))="지출",D254=INDEX(RAW!$A:$A,MAX(2,F254)),E254&lt;=INDEX(RAW!$K:$K,MAX(2,F254)),OR(AND(G254="기존반영",OR(A254="U003",A254="U007")),AND(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AND(OR(A254&lt;&gt;"U003",F254=356),OR(A254&lt;&gt;"U007",F254=2203),OR(G254&lt;&gt;"기존반영",A254="U003",A254="U007")))),FALSE)),"OK","확인: 사용등록")))</f>
      </c>
      <c r="S254" s="504">
        <f>IF(ISNUMBER(D254),DATE(YEAR(D254),MONTH(D254),1),0)</f>
        <v>0</v>
      </c>
      <c r="T254" s="526">
        <f>IF(R254="OK",SUMIFS($O$430:$O$729,$B$430:$B$729,A254,$E$430:$E$729,"&lt;"&amp;EDATE($B$3,1)),0)</f>
        <v>0</v>
      </c>
      <c r="U254" s="526">
        <f>IF(AND(R254="OK",D254&lt;EDATE($B$3,1),$B$3&gt;=DATE(2026,3,1)),MAX(0,E254-T254),0)</f>
        <v>0</v>
      </c>
      <c r="V254" s="526">
        <f>IFERROR(IF(AND(R254="OK",AND(F254&gt;=2,G254&lt;&gt;"기존반영",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E254,0),0)</f>
        <v>0</v>
      </c>
      <c r="W254" s="526">
        <f>IF(V254&gt;0,ROUNDUP(INDEX(RAW!$K:$K,MAX(2,F254))/1000,0)*1000-ROUNDUP((INDEX(RAW!$K:$K,MAX(2,F254))-V254)/1000,0)*1000,0)</f>
        <v>0</v>
      </c>
      <c r="X254" s="504">
        <f>IF(AND(R254="OK",IF($B$43="전체",D254&lt;EDATE($B$3,1),IF($B$43="미정산",U254&gt;0,OR(S254=$B$3,Z254&gt;0,U254&gt;0)))),1,0)</f>
        <v>0</v>
      </c>
      <c r="Y254" s="504">
        <f>IF(X254=1,COUNTIF($X$100:X254,1),0)</f>
        <v>0</v>
      </c>
      <c r="Z254" s="526">
        <f>IF(R254="OK",SUMIFS($O$430:$O$729,$B$430:$B$729,A254,$E$430:$E$729,"&gt;="&amp;$B$3,$E$430:$E$729,"&lt;"&amp;EDATE($B$3,1)),0)</f>
        <v>0</v>
      </c>
    </row>
    <row r="255" hidden="1" outlineLevel="1">
      <c r="A255" s="504">
        <f>IF(F255="","",IF(F255&gt;0,"R"&amp;F255,""))</f>
      </c>
      <c r="B255" s="504">
        <f>IF(F255="","",IFERROR(INDEX(RAW!$F:$F,MAX(2,F255)),""))</f>
      </c>
      <c r="C255" s="522" t="n"/>
      <c r="D255" s="524">
        <f>IF(F255="","",IFERROR(INDEX(RAW!$A:$A,MAX(2,F255)),""))</f>
      </c>
      <c r="E255" s="525">
        <f>IF(F255="","",IFERROR(INDEX(RAW!$K:$K,MAX(2,F255)),0))</f>
      </c>
      <c r="F255" s="522" t="n"/>
      <c r="G255" s="504" t="inlineStr">
        <is>
          <t>신규</t>
        </is>
      </c>
      <c r="O255" s="498">
        <f>IF(LEFT(R255,2)="확인",R255,"")</f>
      </c>
      <c r="R255" s="504">
        <f>IF(A255="","",IF(C255="생활비","생활비",IF(AND(COUNTIF($A$8:$A$12,C255)=1,ISNUMBER(D255),E255&gt;0,COUNTIF($A$100:$A$399,A255)=1,IFERROR(IF(F255="",AND(LEFT(A255,1)="U",G255="월기록"),AND(F255&gt;=2,COUNTIF($F$100:$F$399,F255)=1,INDEX(RAW!$H:$H,MAX(2,F255))="지출",D255=INDEX(RAW!$A:$A,MAX(2,F255)),E255&lt;=INDEX(RAW!$K:$K,MAX(2,F255)),OR(AND(G255="기존반영",OR(A255="U003",A255="U007")),AND(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AND(OR(A255&lt;&gt;"U003",F255=356),OR(A255&lt;&gt;"U007",F255=2203),OR(G255&lt;&gt;"기존반영",A255="U003",A255="U007")))),FALSE)),"OK","확인: 사용등록")))</f>
      </c>
      <c r="S255" s="504">
        <f>IF(ISNUMBER(D255),DATE(YEAR(D255),MONTH(D255),1),0)</f>
        <v>0</v>
      </c>
      <c r="T255" s="526">
        <f>IF(R255="OK",SUMIFS($O$430:$O$729,$B$430:$B$729,A255,$E$430:$E$729,"&lt;"&amp;EDATE($B$3,1)),0)</f>
        <v>0</v>
      </c>
      <c r="U255" s="526">
        <f>IF(AND(R255="OK",D255&lt;EDATE($B$3,1),$B$3&gt;=DATE(2026,3,1)),MAX(0,E255-T255),0)</f>
        <v>0</v>
      </c>
      <c r="V255" s="526">
        <f>IFERROR(IF(AND(R255="OK",AND(F255&gt;=2,G255&lt;&gt;"기존반영",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E255,0),0)</f>
        <v>0</v>
      </c>
      <c r="W255" s="526">
        <f>IF(V255&gt;0,ROUNDUP(INDEX(RAW!$K:$K,MAX(2,F255))/1000,0)*1000-ROUNDUP((INDEX(RAW!$K:$K,MAX(2,F255))-V255)/1000,0)*1000,0)</f>
        <v>0</v>
      </c>
      <c r="X255" s="504">
        <f>IF(AND(R255="OK",IF($B$43="전체",D255&lt;EDATE($B$3,1),IF($B$43="미정산",U255&gt;0,OR(S255=$B$3,Z255&gt;0,U255&gt;0)))),1,0)</f>
        <v>0</v>
      </c>
      <c r="Y255" s="504">
        <f>IF(X255=1,COUNTIF($X$100:X255,1),0)</f>
        <v>0</v>
      </c>
      <c r="Z255" s="526">
        <f>IF(R255="OK",SUMIFS($O$430:$O$729,$B$430:$B$729,A255,$E$430:$E$729,"&gt;="&amp;$B$3,$E$430:$E$729,"&lt;"&amp;EDATE($B$3,1)),0)</f>
        <v>0</v>
      </c>
    </row>
    <row r="256" hidden="1" outlineLevel="1">
      <c r="A256" s="504">
        <f>IF(F256="","",IF(F256&gt;0,"R"&amp;F256,""))</f>
      </c>
      <c r="B256" s="504">
        <f>IF(F256="","",IFERROR(INDEX(RAW!$F:$F,MAX(2,F256)),""))</f>
      </c>
      <c r="C256" s="522" t="n"/>
      <c r="D256" s="524">
        <f>IF(F256="","",IFERROR(INDEX(RAW!$A:$A,MAX(2,F256)),""))</f>
      </c>
      <c r="E256" s="525">
        <f>IF(F256="","",IFERROR(INDEX(RAW!$K:$K,MAX(2,F256)),0))</f>
      </c>
      <c r="F256" s="522" t="n"/>
      <c r="G256" s="504" t="inlineStr">
        <is>
          <t>신규</t>
        </is>
      </c>
      <c r="O256" s="498">
        <f>IF(LEFT(R256,2)="확인",R256,"")</f>
      </c>
      <c r="R256" s="504">
        <f>IF(A256="","",IF(C256="생활비","생활비",IF(AND(COUNTIF($A$8:$A$12,C256)=1,ISNUMBER(D256),E256&gt;0,COUNTIF($A$100:$A$399,A256)=1,IFERROR(IF(F256="",AND(LEFT(A256,1)="U",G256="월기록"),AND(F256&gt;=2,COUNTIF($F$100:$F$399,F256)=1,INDEX(RAW!$H:$H,MAX(2,F256))="지출",D256=INDEX(RAW!$A:$A,MAX(2,F256)),E256&lt;=INDEX(RAW!$K:$K,MAX(2,F256)),OR(AND(G256="기존반영",OR(A256="U003",A256="U007")),AND(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AND(OR(A256&lt;&gt;"U003",F256=356),OR(A256&lt;&gt;"U007",F256=2203),OR(G256&lt;&gt;"기존반영",A256="U003",A256="U007")))),FALSE)),"OK","확인: 사용등록")))</f>
      </c>
      <c r="S256" s="504">
        <f>IF(ISNUMBER(D256),DATE(YEAR(D256),MONTH(D256),1),0)</f>
        <v>0</v>
      </c>
      <c r="T256" s="526">
        <f>IF(R256="OK",SUMIFS($O$430:$O$729,$B$430:$B$729,A256,$E$430:$E$729,"&lt;"&amp;EDATE($B$3,1)),0)</f>
        <v>0</v>
      </c>
      <c r="U256" s="526">
        <f>IF(AND(R256="OK",D256&lt;EDATE($B$3,1),$B$3&gt;=DATE(2026,3,1)),MAX(0,E256-T256),0)</f>
        <v>0</v>
      </c>
      <c r="V256" s="526">
        <f>IFERROR(IF(AND(R256="OK",AND(F256&gt;=2,G256&lt;&gt;"기존반영",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E256,0),0)</f>
        <v>0</v>
      </c>
      <c r="W256" s="526">
        <f>IF(V256&gt;0,ROUNDUP(INDEX(RAW!$K:$K,MAX(2,F256))/1000,0)*1000-ROUNDUP((INDEX(RAW!$K:$K,MAX(2,F256))-V256)/1000,0)*1000,0)</f>
        <v>0</v>
      </c>
      <c r="X256" s="504">
        <f>IF(AND(R256="OK",IF($B$43="전체",D256&lt;EDATE($B$3,1),IF($B$43="미정산",U256&gt;0,OR(S256=$B$3,Z256&gt;0,U256&gt;0)))),1,0)</f>
        <v>0</v>
      </c>
      <c r="Y256" s="504">
        <f>IF(X256=1,COUNTIF($X$100:X256,1),0)</f>
        <v>0</v>
      </c>
      <c r="Z256" s="526">
        <f>IF(R256="OK",SUMIFS($O$430:$O$729,$B$430:$B$729,A256,$E$430:$E$729,"&gt;="&amp;$B$3,$E$430:$E$729,"&lt;"&amp;EDATE($B$3,1)),0)</f>
        <v>0</v>
      </c>
    </row>
    <row r="257" hidden="1" outlineLevel="1">
      <c r="A257" s="504">
        <f>IF(F257="","",IF(F257&gt;0,"R"&amp;F257,""))</f>
      </c>
      <c r="B257" s="504">
        <f>IF(F257="","",IFERROR(INDEX(RAW!$F:$F,MAX(2,F257)),""))</f>
      </c>
      <c r="C257" s="522" t="n"/>
      <c r="D257" s="524">
        <f>IF(F257="","",IFERROR(INDEX(RAW!$A:$A,MAX(2,F257)),""))</f>
      </c>
      <c r="E257" s="525">
        <f>IF(F257="","",IFERROR(INDEX(RAW!$K:$K,MAX(2,F257)),0))</f>
      </c>
      <c r="F257" s="522" t="n"/>
      <c r="G257" s="504" t="inlineStr">
        <is>
          <t>신규</t>
        </is>
      </c>
      <c r="O257" s="498">
        <f>IF(LEFT(R257,2)="확인",R257,"")</f>
      </c>
      <c r="R257" s="504">
        <f>IF(A257="","",IF(C257="생활비","생활비",IF(AND(COUNTIF($A$8:$A$12,C257)=1,ISNUMBER(D257),E257&gt;0,COUNTIF($A$100:$A$399,A257)=1,IFERROR(IF(F257="",AND(LEFT(A257,1)="U",G257="월기록"),AND(F257&gt;=2,COUNTIF($F$100:$F$399,F257)=1,INDEX(RAW!$H:$H,MAX(2,F257))="지출",D257=INDEX(RAW!$A:$A,MAX(2,F257)),E257&lt;=INDEX(RAW!$K:$K,MAX(2,F257)),OR(AND(G257="기존반영",OR(A257="U003",A257="U007")),AND(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AND(OR(A257&lt;&gt;"U003",F257=356),OR(A257&lt;&gt;"U007",F257=2203),OR(G257&lt;&gt;"기존반영",A257="U003",A257="U007")))),FALSE)),"OK","확인: 사용등록")))</f>
      </c>
      <c r="S257" s="504">
        <f>IF(ISNUMBER(D257),DATE(YEAR(D257),MONTH(D257),1),0)</f>
        <v>0</v>
      </c>
      <c r="T257" s="526">
        <f>IF(R257="OK",SUMIFS($O$430:$O$729,$B$430:$B$729,A257,$E$430:$E$729,"&lt;"&amp;EDATE($B$3,1)),0)</f>
        <v>0</v>
      </c>
      <c r="U257" s="526">
        <f>IF(AND(R257="OK",D257&lt;EDATE($B$3,1),$B$3&gt;=DATE(2026,3,1)),MAX(0,E257-T257),0)</f>
        <v>0</v>
      </c>
      <c r="V257" s="526">
        <f>IFERROR(IF(AND(R257="OK",AND(F257&gt;=2,G257&lt;&gt;"기존반영",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E257,0),0)</f>
        <v>0</v>
      </c>
      <c r="W257" s="526">
        <f>IF(V257&gt;0,ROUNDUP(INDEX(RAW!$K:$K,MAX(2,F257))/1000,0)*1000-ROUNDUP((INDEX(RAW!$K:$K,MAX(2,F257))-V257)/1000,0)*1000,0)</f>
        <v>0</v>
      </c>
      <c r="X257" s="504">
        <f>IF(AND(R257="OK",IF($B$43="전체",D257&lt;EDATE($B$3,1),IF($B$43="미정산",U257&gt;0,OR(S257=$B$3,Z257&gt;0,U257&gt;0)))),1,0)</f>
        <v>0</v>
      </c>
      <c r="Y257" s="504">
        <f>IF(X257=1,COUNTIF($X$100:X257,1),0)</f>
        <v>0</v>
      </c>
      <c r="Z257" s="526">
        <f>IF(R257="OK",SUMIFS($O$430:$O$729,$B$430:$B$729,A257,$E$430:$E$729,"&gt;="&amp;$B$3,$E$430:$E$729,"&lt;"&amp;EDATE($B$3,1)),0)</f>
        <v>0</v>
      </c>
    </row>
    <row r="258" hidden="1" outlineLevel="1">
      <c r="A258" s="504">
        <f>IF(F258="","",IF(F258&gt;0,"R"&amp;F258,""))</f>
      </c>
      <c r="B258" s="504">
        <f>IF(F258="","",IFERROR(INDEX(RAW!$F:$F,MAX(2,F258)),""))</f>
      </c>
      <c r="C258" s="522" t="n"/>
      <c r="D258" s="524">
        <f>IF(F258="","",IFERROR(INDEX(RAW!$A:$A,MAX(2,F258)),""))</f>
      </c>
      <c r="E258" s="525">
        <f>IF(F258="","",IFERROR(INDEX(RAW!$K:$K,MAX(2,F258)),0))</f>
      </c>
      <c r="F258" s="522" t="n"/>
      <c r="G258" s="504" t="inlineStr">
        <is>
          <t>신규</t>
        </is>
      </c>
      <c r="O258" s="498">
        <f>IF(LEFT(R258,2)="확인",R258,"")</f>
      </c>
      <c r="R258" s="504">
        <f>IF(A258="","",IF(C258="생활비","생활비",IF(AND(COUNTIF($A$8:$A$12,C258)=1,ISNUMBER(D258),E258&gt;0,COUNTIF($A$100:$A$399,A258)=1,IFERROR(IF(F258="",AND(LEFT(A258,1)="U",G258="월기록"),AND(F258&gt;=2,COUNTIF($F$100:$F$399,F258)=1,INDEX(RAW!$H:$H,MAX(2,F258))="지출",D258=INDEX(RAW!$A:$A,MAX(2,F258)),E258&lt;=INDEX(RAW!$K:$K,MAX(2,F258)),OR(AND(G258="기존반영",OR(A258="U003",A258="U007")),AND(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AND(OR(A258&lt;&gt;"U003",F258=356),OR(A258&lt;&gt;"U007",F258=2203),OR(G258&lt;&gt;"기존반영",A258="U003",A258="U007")))),FALSE)),"OK","확인: 사용등록")))</f>
      </c>
      <c r="S258" s="504">
        <f>IF(ISNUMBER(D258),DATE(YEAR(D258),MONTH(D258),1),0)</f>
        <v>0</v>
      </c>
      <c r="T258" s="526">
        <f>IF(R258="OK",SUMIFS($O$430:$O$729,$B$430:$B$729,A258,$E$430:$E$729,"&lt;"&amp;EDATE($B$3,1)),0)</f>
        <v>0</v>
      </c>
      <c r="U258" s="526">
        <f>IF(AND(R258="OK",D258&lt;EDATE($B$3,1),$B$3&gt;=DATE(2026,3,1)),MAX(0,E258-T258),0)</f>
        <v>0</v>
      </c>
      <c r="V258" s="526">
        <f>IFERROR(IF(AND(R258="OK",AND(F258&gt;=2,G258&lt;&gt;"기존반영",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E258,0),0)</f>
        <v>0</v>
      </c>
      <c r="W258" s="526">
        <f>IF(V258&gt;0,ROUNDUP(INDEX(RAW!$K:$K,MAX(2,F258))/1000,0)*1000-ROUNDUP((INDEX(RAW!$K:$K,MAX(2,F258))-V258)/1000,0)*1000,0)</f>
        <v>0</v>
      </c>
      <c r="X258" s="504">
        <f>IF(AND(R258="OK",IF($B$43="전체",D258&lt;EDATE($B$3,1),IF($B$43="미정산",U258&gt;0,OR(S258=$B$3,Z258&gt;0,U258&gt;0)))),1,0)</f>
        <v>0</v>
      </c>
      <c r="Y258" s="504">
        <f>IF(X258=1,COUNTIF($X$100:X258,1),0)</f>
        <v>0</v>
      </c>
      <c r="Z258" s="526">
        <f>IF(R258="OK",SUMIFS($O$430:$O$729,$B$430:$B$729,A258,$E$430:$E$729,"&gt;="&amp;$B$3,$E$430:$E$729,"&lt;"&amp;EDATE($B$3,1)),0)</f>
        <v>0</v>
      </c>
    </row>
    <row r="259" hidden="1" outlineLevel="1">
      <c r="A259" s="504">
        <f>IF(F259="","",IF(F259&gt;0,"R"&amp;F259,""))</f>
      </c>
      <c r="B259" s="504">
        <f>IF(F259="","",IFERROR(INDEX(RAW!$F:$F,MAX(2,F259)),""))</f>
      </c>
      <c r="C259" s="522" t="n"/>
      <c r="D259" s="524">
        <f>IF(F259="","",IFERROR(INDEX(RAW!$A:$A,MAX(2,F259)),""))</f>
      </c>
      <c r="E259" s="525">
        <f>IF(F259="","",IFERROR(INDEX(RAW!$K:$K,MAX(2,F259)),0))</f>
      </c>
      <c r="F259" s="522" t="n"/>
      <c r="G259" s="504" t="inlineStr">
        <is>
          <t>신규</t>
        </is>
      </c>
      <c r="O259" s="498">
        <f>IF(LEFT(R259,2)="확인",R259,"")</f>
      </c>
      <c r="R259" s="504">
        <f>IF(A259="","",IF(C259="생활비","생활비",IF(AND(COUNTIF($A$8:$A$12,C259)=1,ISNUMBER(D259),E259&gt;0,COUNTIF($A$100:$A$399,A259)=1,IFERROR(IF(F259="",AND(LEFT(A259,1)="U",G259="월기록"),AND(F259&gt;=2,COUNTIF($F$100:$F$399,F259)=1,INDEX(RAW!$H:$H,MAX(2,F259))="지출",D259=INDEX(RAW!$A:$A,MAX(2,F259)),E259&lt;=INDEX(RAW!$K:$K,MAX(2,F259)),OR(AND(G259="기존반영",OR(A259="U003",A259="U007")),AND(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AND(OR(A259&lt;&gt;"U003",F259=356),OR(A259&lt;&gt;"U007",F259=2203),OR(G259&lt;&gt;"기존반영",A259="U003",A259="U007")))),FALSE)),"OK","확인: 사용등록")))</f>
      </c>
      <c r="S259" s="504">
        <f>IF(ISNUMBER(D259),DATE(YEAR(D259),MONTH(D259),1),0)</f>
        <v>0</v>
      </c>
      <c r="T259" s="526">
        <f>IF(R259="OK",SUMIFS($O$430:$O$729,$B$430:$B$729,A259,$E$430:$E$729,"&lt;"&amp;EDATE($B$3,1)),0)</f>
        <v>0</v>
      </c>
      <c r="U259" s="526">
        <f>IF(AND(R259="OK",D259&lt;EDATE($B$3,1),$B$3&gt;=DATE(2026,3,1)),MAX(0,E259-T259),0)</f>
        <v>0</v>
      </c>
      <c r="V259" s="526">
        <f>IFERROR(IF(AND(R259="OK",AND(F259&gt;=2,G259&lt;&gt;"기존반영",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E259,0),0)</f>
        <v>0</v>
      </c>
      <c r="W259" s="526">
        <f>IF(V259&gt;0,ROUNDUP(INDEX(RAW!$K:$K,MAX(2,F259))/1000,0)*1000-ROUNDUP((INDEX(RAW!$K:$K,MAX(2,F259))-V259)/1000,0)*1000,0)</f>
        <v>0</v>
      </c>
      <c r="X259" s="504">
        <f>IF(AND(R259="OK",IF($B$43="전체",D259&lt;EDATE($B$3,1),IF($B$43="미정산",U259&gt;0,OR(S259=$B$3,Z259&gt;0,U259&gt;0)))),1,0)</f>
        <v>0</v>
      </c>
      <c r="Y259" s="504">
        <f>IF(X259=1,COUNTIF($X$100:X259,1),0)</f>
        <v>0</v>
      </c>
      <c r="Z259" s="526">
        <f>IF(R259="OK",SUMIFS($O$430:$O$729,$B$430:$B$729,A259,$E$430:$E$729,"&gt;="&amp;$B$3,$E$430:$E$729,"&lt;"&amp;EDATE($B$3,1)),0)</f>
        <v>0</v>
      </c>
    </row>
    <row r="260" hidden="1" outlineLevel="1">
      <c r="A260" s="504">
        <f>IF(F260="","",IF(F260&gt;0,"R"&amp;F260,""))</f>
      </c>
      <c r="B260" s="504">
        <f>IF(F260="","",IFERROR(INDEX(RAW!$F:$F,MAX(2,F260)),""))</f>
      </c>
      <c r="C260" s="522" t="n"/>
      <c r="D260" s="524">
        <f>IF(F260="","",IFERROR(INDEX(RAW!$A:$A,MAX(2,F260)),""))</f>
      </c>
      <c r="E260" s="525">
        <f>IF(F260="","",IFERROR(INDEX(RAW!$K:$K,MAX(2,F260)),0))</f>
      </c>
      <c r="F260" s="522" t="n"/>
      <c r="G260" s="504" t="inlineStr">
        <is>
          <t>신규</t>
        </is>
      </c>
      <c r="O260" s="498">
        <f>IF(LEFT(R260,2)="확인",R260,"")</f>
      </c>
      <c r="R260" s="504">
        <f>IF(A260="","",IF(C260="생활비","생활비",IF(AND(COUNTIF($A$8:$A$12,C260)=1,ISNUMBER(D260),E260&gt;0,COUNTIF($A$100:$A$399,A260)=1,IFERROR(IF(F260="",AND(LEFT(A260,1)="U",G260="월기록"),AND(F260&gt;=2,COUNTIF($F$100:$F$399,F260)=1,INDEX(RAW!$H:$H,MAX(2,F260))="지출",D260=INDEX(RAW!$A:$A,MAX(2,F260)),E260&lt;=INDEX(RAW!$K:$K,MAX(2,F260)),OR(AND(G260="기존반영",OR(A260="U003",A260="U007")),AND(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AND(OR(A260&lt;&gt;"U003",F260=356),OR(A260&lt;&gt;"U007",F260=2203),OR(G260&lt;&gt;"기존반영",A260="U003",A260="U007")))),FALSE)),"OK","확인: 사용등록")))</f>
      </c>
      <c r="S260" s="504">
        <f>IF(ISNUMBER(D260),DATE(YEAR(D260),MONTH(D260),1),0)</f>
        <v>0</v>
      </c>
      <c r="T260" s="526">
        <f>IF(R260="OK",SUMIFS($O$430:$O$729,$B$430:$B$729,A260,$E$430:$E$729,"&lt;"&amp;EDATE($B$3,1)),0)</f>
        <v>0</v>
      </c>
      <c r="U260" s="526">
        <f>IF(AND(R260="OK",D260&lt;EDATE($B$3,1),$B$3&gt;=DATE(2026,3,1)),MAX(0,E260-T260),0)</f>
        <v>0</v>
      </c>
      <c r="V260" s="526">
        <f>IFERROR(IF(AND(R260="OK",AND(F260&gt;=2,G260&lt;&gt;"기존반영",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E260,0),0)</f>
        <v>0</v>
      </c>
      <c r="W260" s="526">
        <f>IF(V260&gt;0,ROUNDUP(INDEX(RAW!$K:$K,MAX(2,F260))/1000,0)*1000-ROUNDUP((INDEX(RAW!$K:$K,MAX(2,F260))-V260)/1000,0)*1000,0)</f>
        <v>0</v>
      </c>
      <c r="X260" s="504">
        <f>IF(AND(R260="OK",IF($B$43="전체",D260&lt;EDATE($B$3,1),IF($B$43="미정산",U260&gt;0,OR(S260=$B$3,Z260&gt;0,U260&gt;0)))),1,0)</f>
        <v>0</v>
      </c>
      <c r="Y260" s="504">
        <f>IF(X260=1,COUNTIF($X$100:X260,1),0)</f>
        <v>0</v>
      </c>
      <c r="Z260" s="526">
        <f>IF(R260="OK",SUMIFS($O$430:$O$729,$B$430:$B$729,A260,$E$430:$E$729,"&gt;="&amp;$B$3,$E$430:$E$729,"&lt;"&amp;EDATE($B$3,1)),0)</f>
        <v>0</v>
      </c>
    </row>
    <row r="261" hidden="1" outlineLevel="1">
      <c r="A261" s="504">
        <f>IF(F261="","",IF(F261&gt;0,"R"&amp;F261,""))</f>
      </c>
      <c r="B261" s="504">
        <f>IF(F261="","",IFERROR(INDEX(RAW!$F:$F,MAX(2,F261)),""))</f>
      </c>
      <c r="C261" s="522" t="n"/>
      <c r="D261" s="524">
        <f>IF(F261="","",IFERROR(INDEX(RAW!$A:$A,MAX(2,F261)),""))</f>
      </c>
      <c r="E261" s="525">
        <f>IF(F261="","",IFERROR(INDEX(RAW!$K:$K,MAX(2,F261)),0))</f>
      </c>
      <c r="F261" s="522" t="n"/>
      <c r="G261" s="504" t="inlineStr">
        <is>
          <t>신규</t>
        </is>
      </c>
      <c r="O261" s="498">
        <f>IF(LEFT(R261,2)="확인",R261,"")</f>
      </c>
      <c r="R261" s="504">
        <f>IF(A261="","",IF(C261="생활비","생활비",IF(AND(COUNTIF($A$8:$A$12,C261)=1,ISNUMBER(D261),E261&gt;0,COUNTIF($A$100:$A$399,A261)=1,IFERROR(IF(F261="",AND(LEFT(A261,1)="U",G261="월기록"),AND(F261&gt;=2,COUNTIF($F$100:$F$399,F261)=1,INDEX(RAW!$H:$H,MAX(2,F261))="지출",D261=INDEX(RAW!$A:$A,MAX(2,F261)),E261&lt;=INDEX(RAW!$K:$K,MAX(2,F261)),OR(AND(G261="기존반영",OR(A261="U003",A261="U007")),AND(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AND(OR(A261&lt;&gt;"U003",F261=356),OR(A261&lt;&gt;"U007",F261=2203),OR(G261&lt;&gt;"기존반영",A261="U003",A261="U007")))),FALSE)),"OK","확인: 사용등록")))</f>
      </c>
      <c r="S261" s="504">
        <f>IF(ISNUMBER(D261),DATE(YEAR(D261),MONTH(D261),1),0)</f>
        <v>0</v>
      </c>
      <c r="T261" s="526">
        <f>IF(R261="OK",SUMIFS($O$430:$O$729,$B$430:$B$729,A261,$E$430:$E$729,"&lt;"&amp;EDATE($B$3,1)),0)</f>
        <v>0</v>
      </c>
      <c r="U261" s="526">
        <f>IF(AND(R261="OK",D261&lt;EDATE($B$3,1),$B$3&gt;=DATE(2026,3,1)),MAX(0,E261-T261),0)</f>
        <v>0</v>
      </c>
      <c r="V261" s="526">
        <f>IFERROR(IF(AND(R261="OK",AND(F261&gt;=2,G261&lt;&gt;"기존반영",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E261,0),0)</f>
        <v>0</v>
      </c>
      <c r="W261" s="526">
        <f>IF(V261&gt;0,ROUNDUP(INDEX(RAW!$K:$K,MAX(2,F261))/1000,0)*1000-ROUNDUP((INDEX(RAW!$K:$K,MAX(2,F261))-V261)/1000,0)*1000,0)</f>
        <v>0</v>
      </c>
      <c r="X261" s="504">
        <f>IF(AND(R261="OK",IF($B$43="전체",D261&lt;EDATE($B$3,1),IF($B$43="미정산",U261&gt;0,OR(S261=$B$3,Z261&gt;0,U261&gt;0)))),1,0)</f>
        <v>0</v>
      </c>
      <c r="Y261" s="504">
        <f>IF(X261=1,COUNTIF($X$100:X261,1),0)</f>
        <v>0</v>
      </c>
      <c r="Z261" s="526">
        <f>IF(R261="OK",SUMIFS($O$430:$O$729,$B$430:$B$729,A261,$E$430:$E$729,"&gt;="&amp;$B$3,$E$430:$E$729,"&lt;"&amp;EDATE($B$3,1)),0)</f>
        <v>0</v>
      </c>
    </row>
    <row r="262" hidden="1" outlineLevel="1">
      <c r="A262" s="504">
        <f>IF(F262="","",IF(F262&gt;0,"R"&amp;F262,""))</f>
      </c>
      <c r="B262" s="504">
        <f>IF(F262="","",IFERROR(INDEX(RAW!$F:$F,MAX(2,F262)),""))</f>
      </c>
      <c r="C262" s="522" t="n"/>
      <c r="D262" s="524">
        <f>IF(F262="","",IFERROR(INDEX(RAW!$A:$A,MAX(2,F262)),""))</f>
      </c>
      <c r="E262" s="525">
        <f>IF(F262="","",IFERROR(INDEX(RAW!$K:$K,MAX(2,F262)),0))</f>
      </c>
      <c r="F262" s="522" t="n"/>
      <c r="G262" s="504" t="inlineStr">
        <is>
          <t>신규</t>
        </is>
      </c>
      <c r="O262" s="498">
        <f>IF(LEFT(R262,2)="확인",R262,"")</f>
      </c>
      <c r="R262" s="504">
        <f>IF(A262="","",IF(C262="생활비","생활비",IF(AND(COUNTIF($A$8:$A$12,C262)=1,ISNUMBER(D262),E262&gt;0,COUNTIF($A$100:$A$399,A262)=1,IFERROR(IF(F262="",AND(LEFT(A262,1)="U",G262="월기록"),AND(F262&gt;=2,COUNTIF($F$100:$F$399,F262)=1,INDEX(RAW!$H:$H,MAX(2,F262))="지출",D262=INDEX(RAW!$A:$A,MAX(2,F262)),E262&lt;=INDEX(RAW!$K:$K,MAX(2,F262)),OR(AND(G262="기존반영",OR(A262="U003",A262="U007")),AND(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AND(OR(A262&lt;&gt;"U003",F262=356),OR(A262&lt;&gt;"U007",F262=2203),OR(G262&lt;&gt;"기존반영",A262="U003",A262="U007")))),FALSE)),"OK","확인: 사용등록")))</f>
      </c>
      <c r="S262" s="504">
        <f>IF(ISNUMBER(D262),DATE(YEAR(D262),MONTH(D262),1),0)</f>
        <v>0</v>
      </c>
      <c r="T262" s="526">
        <f>IF(R262="OK",SUMIFS($O$430:$O$729,$B$430:$B$729,A262,$E$430:$E$729,"&lt;"&amp;EDATE($B$3,1)),0)</f>
        <v>0</v>
      </c>
      <c r="U262" s="526">
        <f>IF(AND(R262="OK",D262&lt;EDATE($B$3,1),$B$3&gt;=DATE(2026,3,1)),MAX(0,E262-T262),0)</f>
        <v>0</v>
      </c>
      <c r="V262" s="526">
        <f>IFERROR(IF(AND(R262="OK",AND(F262&gt;=2,G262&lt;&gt;"기존반영",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E262,0),0)</f>
        <v>0</v>
      </c>
      <c r="W262" s="526">
        <f>IF(V262&gt;0,ROUNDUP(INDEX(RAW!$K:$K,MAX(2,F262))/1000,0)*1000-ROUNDUP((INDEX(RAW!$K:$K,MAX(2,F262))-V262)/1000,0)*1000,0)</f>
        <v>0</v>
      </c>
      <c r="X262" s="504">
        <f>IF(AND(R262="OK",IF($B$43="전체",D262&lt;EDATE($B$3,1),IF($B$43="미정산",U262&gt;0,OR(S262=$B$3,Z262&gt;0,U262&gt;0)))),1,0)</f>
        <v>0</v>
      </c>
      <c r="Y262" s="504">
        <f>IF(X262=1,COUNTIF($X$100:X262,1),0)</f>
        <v>0</v>
      </c>
      <c r="Z262" s="526">
        <f>IF(R262="OK",SUMIFS($O$430:$O$729,$B$430:$B$729,A262,$E$430:$E$729,"&gt;="&amp;$B$3,$E$430:$E$729,"&lt;"&amp;EDATE($B$3,1)),0)</f>
        <v>0</v>
      </c>
    </row>
    <row r="263" hidden="1" outlineLevel="1">
      <c r="A263" s="504">
        <f>IF(F263="","",IF(F263&gt;0,"R"&amp;F263,""))</f>
      </c>
      <c r="B263" s="504">
        <f>IF(F263="","",IFERROR(INDEX(RAW!$F:$F,MAX(2,F263)),""))</f>
      </c>
      <c r="C263" s="522" t="n"/>
      <c r="D263" s="524">
        <f>IF(F263="","",IFERROR(INDEX(RAW!$A:$A,MAX(2,F263)),""))</f>
      </c>
      <c r="E263" s="525">
        <f>IF(F263="","",IFERROR(INDEX(RAW!$K:$K,MAX(2,F263)),0))</f>
      </c>
      <c r="F263" s="522" t="n"/>
      <c r="G263" s="504" t="inlineStr">
        <is>
          <t>신규</t>
        </is>
      </c>
      <c r="O263" s="498">
        <f>IF(LEFT(R263,2)="확인",R263,"")</f>
      </c>
      <c r="R263" s="504">
        <f>IF(A263="","",IF(C263="생활비","생활비",IF(AND(COUNTIF($A$8:$A$12,C263)=1,ISNUMBER(D263),E263&gt;0,COUNTIF($A$100:$A$399,A263)=1,IFERROR(IF(F263="",AND(LEFT(A263,1)="U",G263="월기록"),AND(F263&gt;=2,COUNTIF($F$100:$F$399,F263)=1,INDEX(RAW!$H:$H,MAX(2,F263))="지출",D263=INDEX(RAW!$A:$A,MAX(2,F263)),E263&lt;=INDEX(RAW!$K:$K,MAX(2,F263)),OR(AND(G263="기존반영",OR(A263="U003",A263="U007")),AND(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AND(OR(A263&lt;&gt;"U003",F263=356),OR(A263&lt;&gt;"U007",F263=2203),OR(G263&lt;&gt;"기존반영",A263="U003",A263="U007")))),FALSE)),"OK","확인: 사용등록")))</f>
      </c>
      <c r="S263" s="504">
        <f>IF(ISNUMBER(D263),DATE(YEAR(D263),MONTH(D263),1),0)</f>
        <v>0</v>
      </c>
      <c r="T263" s="526">
        <f>IF(R263="OK",SUMIFS($O$430:$O$729,$B$430:$B$729,A263,$E$430:$E$729,"&lt;"&amp;EDATE($B$3,1)),0)</f>
        <v>0</v>
      </c>
      <c r="U263" s="526">
        <f>IF(AND(R263="OK",D263&lt;EDATE($B$3,1),$B$3&gt;=DATE(2026,3,1)),MAX(0,E263-T263),0)</f>
        <v>0</v>
      </c>
      <c r="V263" s="526">
        <f>IFERROR(IF(AND(R263="OK",AND(F263&gt;=2,G263&lt;&gt;"기존반영",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E263,0),0)</f>
        <v>0</v>
      </c>
      <c r="W263" s="526">
        <f>IF(V263&gt;0,ROUNDUP(INDEX(RAW!$K:$K,MAX(2,F263))/1000,0)*1000-ROUNDUP((INDEX(RAW!$K:$K,MAX(2,F263))-V263)/1000,0)*1000,0)</f>
        <v>0</v>
      </c>
      <c r="X263" s="504">
        <f>IF(AND(R263="OK",IF($B$43="전체",D263&lt;EDATE($B$3,1),IF($B$43="미정산",U263&gt;0,OR(S263=$B$3,Z263&gt;0,U263&gt;0)))),1,0)</f>
        <v>0</v>
      </c>
      <c r="Y263" s="504">
        <f>IF(X263=1,COUNTIF($X$100:X263,1),0)</f>
        <v>0</v>
      </c>
      <c r="Z263" s="526">
        <f>IF(R263="OK",SUMIFS($O$430:$O$729,$B$430:$B$729,A263,$E$430:$E$729,"&gt;="&amp;$B$3,$E$430:$E$729,"&lt;"&amp;EDATE($B$3,1)),0)</f>
        <v>0</v>
      </c>
    </row>
    <row r="264" hidden="1" outlineLevel="1">
      <c r="A264" s="504">
        <f>IF(F264="","",IF(F264&gt;0,"R"&amp;F264,""))</f>
      </c>
      <c r="B264" s="504">
        <f>IF(F264="","",IFERROR(INDEX(RAW!$F:$F,MAX(2,F264)),""))</f>
      </c>
      <c r="C264" s="522" t="n"/>
      <c r="D264" s="524">
        <f>IF(F264="","",IFERROR(INDEX(RAW!$A:$A,MAX(2,F264)),""))</f>
      </c>
      <c r="E264" s="525">
        <f>IF(F264="","",IFERROR(INDEX(RAW!$K:$K,MAX(2,F264)),0))</f>
      </c>
      <c r="F264" s="522" t="n"/>
      <c r="G264" s="504" t="inlineStr">
        <is>
          <t>신규</t>
        </is>
      </c>
      <c r="O264" s="498">
        <f>IF(LEFT(R264,2)="확인",R264,"")</f>
      </c>
      <c r="R264" s="504">
        <f>IF(A264="","",IF(C264="생활비","생활비",IF(AND(COUNTIF($A$8:$A$12,C264)=1,ISNUMBER(D264),E264&gt;0,COUNTIF($A$100:$A$399,A264)=1,IFERROR(IF(F264="",AND(LEFT(A264,1)="U",G264="월기록"),AND(F264&gt;=2,COUNTIF($F$100:$F$399,F264)=1,INDEX(RAW!$H:$H,MAX(2,F264))="지출",D264=INDEX(RAW!$A:$A,MAX(2,F264)),E264&lt;=INDEX(RAW!$K:$K,MAX(2,F264)),OR(AND(G264="기존반영",OR(A264="U003",A264="U007")),AND(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AND(OR(A264&lt;&gt;"U003",F264=356),OR(A264&lt;&gt;"U007",F264=2203),OR(G264&lt;&gt;"기존반영",A264="U003",A264="U007")))),FALSE)),"OK","확인: 사용등록")))</f>
      </c>
      <c r="S264" s="504">
        <f>IF(ISNUMBER(D264),DATE(YEAR(D264),MONTH(D264),1),0)</f>
        <v>0</v>
      </c>
      <c r="T264" s="526">
        <f>IF(R264="OK",SUMIFS($O$430:$O$729,$B$430:$B$729,A264,$E$430:$E$729,"&lt;"&amp;EDATE($B$3,1)),0)</f>
        <v>0</v>
      </c>
      <c r="U264" s="526">
        <f>IF(AND(R264="OK",D264&lt;EDATE($B$3,1),$B$3&gt;=DATE(2026,3,1)),MAX(0,E264-T264),0)</f>
        <v>0</v>
      </c>
      <c r="V264" s="526">
        <f>IFERROR(IF(AND(R264="OK",AND(F264&gt;=2,G264&lt;&gt;"기존반영",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E264,0),0)</f>
        <v>0</v>
      </c>
      <c r="W264" s="526">
        <f>IF(V264&gt;0,ROUNDUP(INDEX(RAW!$K:$K,MAX(2,F264))/1000,0)*1000-ROUNDUP((INDEX(RAW!$K:$K,MAX(2,F264))-V264)/1000,0)*1000,0)</f>
        <v>0</v>
      </c>
      <c r="X264" s="504">
        <f>IF(AND(R264="OK",IF($B$43="전체",D264&lt;EDATE($B$3,1),IF($B$43="미정산",U264&gt;0,OR(S264=$B$3,Z264&gt;0,U264&gt;0)))),1,0)</f>
        <v>0</v>
      </c>
      <c r="Y264" s="504">
        <f>IF(X264=1,COUNTIF($X$100:X264,1),0)</f>
        <v>0</v>
      </c>
      <c r="Z264" s="526">
        <f>IF(R264="OK",SUMIFS($O$430:$O$729,$B$430:$B$729,A264,$E$430:$E$729,"&gt;="&amp;$B$3,$E$430:$E$729,"&lt;"&amp;EDATE($B$3,1)),0)</f>
        <v>0</v>
      </c>
    </row>
    <row r="265" hidden="1" outlineLevel="1">
      <c r="A265" s="504">
        <f>IF(F265="","",IF(F265&gt;0,"R"&amp;F265,""))</f>
      </c>
      <c r="B265" s="504">
        <f>IF(F265="","",IFERROR(INDEX(RAW!$F:$F,MAX(2,F265)),""))</f>
      </c>
      <c r="C265" s="522" t="n"/>
      <c r="D265" s="524">
        <f>IF(F265="","",IFERROR(INDEX(RAW!$A:$A,MAX(2,F265)),""))</f>
      </c>
      <c r="E265" s="525">
        <f>IF(F265="","",IFERROR(INDEX(RAW!$K:$K,MAX(2,F265)),0))</f>
      </c>
      <c r="F265" s="522" t="n"/>
      <c r="G265" s="504" t="inlineStr">
        <is>
          <t>신규</t>
        </is>
      </c>
      <c r="O265" s="498">
        <f>IF(LEFT(R265,2)="확인",R265,"")</f>
      </c>
      <c r="R265" s="504">
        <f>IF(A265="","",IF(C265="생활비","생활비",IF(AND(COUNTIF($A$8:$A$12,C265)=1,ISNUMBER(D265),E265&gt;0,COUNTIF($A$100:$A$399,A265)=1,IFERROR(IF(F265="",AND(LEFT(A265,1)="U",G265="월기록"),AND(F265&gt;=2,COUNTIF($F$100:$F$399,F265)=1,INDEX(RAW!$H:$H,MAX(2,F265))="지출",D265=INDEX(RAW!$A:$A,MAX(2,F265)),E265&lt;=INDEX(RAW!$K:$K,MAX(2,F265)),OR(AND(G265="기존반영",OR(A265="U003",A265="U007")),AND(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AND(OR(A265&lt;&gt;"U003",F265=356),OR(A265&lt;&gt;"U007",F265=2203),OR(G265&lt;&gt;"기존반영",A265="U003",A265="U007")))),FALSE)),"OK","확인: 사용등록")))</f>
      </c>
      <c r="S265" s="504">
        <f>IF(ISNUMBER(D265),DATE(YEAR(D265),MONTH(D265),1),0)</f>
        <v>0</v>
      </c>
      <c r="T265" s="526">
        <f>IF(R265="OK",SUMIFS($O$430:$O$729,$B$430:$B$729,A265,$E$430:$E$729,"&lt;"&amp;EDATE($B$3,1)),0)</f>
        <v>0</v>
      </c>
      <c r="U265" s="526">
        <f>IF(AND(R265="OK",D265&lt;EDATE($B$3,1),$B$3&gt;=DATE(2026,3,1)),MAX(0,E265-T265),0)</f>
        <v>0</v>
      </c>
      <c r="V265" s="526">
        <f>IFERROR(IF(AND(R265="OK",AND(F265&gt;=2,G265&lt;&gt;"기존반영",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E265,0),0)</f>
        <v>0</v>
      </c>
      <c r="W265" s="526">
        <f>IF(V265&gt;0,ROUNDUP(INDEX(RAW!$K:$K,MAX(2,F265))/1000,0)*1000-ROUNDUP((INDEX(RAW!$K:$K,MAX(2,F265))-V265)/1000,0)*1000,0)</f>
        <v>0</v>
      </c>
      <c r="X265" s="504">
        <f>IF(AND(R265="OK",IF($B$43="전체",D265&lt;EDATE($B$3,1),IF($B$43="미정산",U265&gt;0,OR(S265=$B$3,Z265&gt;0,U265&gt;0)))),1,0)</f>
        <v>0</v>
      </c>
      <c r="Y265" s="504">
        <f>IF(X265=1,COUNTIF($X$100:X265,1),0)</f>
        <v>0</v>
      </c>
      <c r="Z265" s="526">
        <f>IF(R265="OK",SUMIFS($O$430:$O$729,$B$430:$B$729,A265,$E$430:$E$729,"&gt;="&amp;$B$3,$E$430:$E$729,"&lt;"&amp;EDATE($B$3,1)),0)</f>
        <v>0</v>
      </c>
    </row>
    <row r="266" hidden="1" outlineLevel="1">
      <c r="A266" s="504">
        <f>IF(F266="","",IF(F266&gt;0,"R"&amp;F266,""))</f>
      </c>
      <c r="B266" s="504">
        <f>IF(F266="","",IFERROR(INDEX(RAW!$F:$F,MAX(2,F266)),""))</f>
      </c>
      <c r="C266" s="522" t="n"/>
      <c r="D266" s="524">
        <f>IF(F266="","",IFERROR(INDEX(RAW!$A:$A,MAX(2,F266)),""))</f>
      </c>
      <c r="E266" s="525">
        <f>IF(F266="","",IFERROR(INDEX(RAW!$K:$K,MAX(2,F266)),0))</f>
      </c>
      <c r="F266" s="522" t="n"/>
      <c r="G266" s="504" t="inlineStr">
        <is>
          <t>신규</t>
        </is>
      </c>
      <c r="O266" s="498">
        <f>IF(LEFT(R266,2)="확인",R266,"")</f>
      </c>
      <c r="R266" s="504">
        <f>IF(A266="","",IF(C266="생활비","생활비",IF(AND(COUNTIF($A$8:$A$12,C266)=1,ISNUMBER(D266),E266&gt;0,COUNTIF($A$100:$A$399,A266)=1,IFERROR(IF(F266="",AND(LEFT(A266,1)="U",G266="월기록"),AND(F266&gt;=2,COUNTIF($F$100:$F$399,F266)=1,INDEX(RAW!$H:$H,MAX(2,F266))="지출",D266=INDEX(RAW!$A:$A,MAX(2,F266)),E266&lt;=INDEX(RAW!$K:$K,MAX(2,F266)),OR(AND(G266="기존반영",OR(A266="U003",A266="U007")),AND(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AND(OR(A266&lt;&gt;"U003",F266=356),OR(A266&lt;&gt;"U007",F266=2203),OR(G266&lt;&gt;"기존반영",A266="U003",A266="U007")))),FALSE)),"OK","확인: 사용등록")))</f>
      </c>
      <c r="S266" s="504">
        <f>IF(ISNUMBER(D266),DATE(YEAR(D266),MONTH(D266),1),0)</f>
        <v>0</v>
      </c>
      <c r="T266" s="526">
        <f>IF(R266="OK",SUMIFS($O$430:$O$729,$B$430:$B$729,A266,$E$430:$E$729,"&lt;"&amp;EDATE($B$3,1)),0)</f>
        <v>0</v>
      </c>
      <c r="U266" s="526">
        <f>IF(AND(R266="OK",D266&lt;EDATE($B$3,1),$B$3&gt;=DATE(2026,3,1)),MAX(0,E266-T266),0)</f>
        <v>0</v>
      </c>
      <c r="V266" s="526">
        <f>IFERROR(IF(AND(R266="OK",AND(F266&gt;=2,G266&lt;&gt;"기존반영",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E266,0),0)</f>
        <v>0</v>
      </c>
      <c r="W266" s="526">
        <f>IF(V266&gt;0,ROUNDUP(INDEX(RAW!$K:$K,MAX(2,F266))/1000,0)*1000-ROUNDUP((INDEX(RAW!$K:$K,MAX(2,F266))-V266)/1000,0)*1000,0)</f>
        <v>0</v>
      </c>
      <c r="X266" s="504">
        <f>IF(AND(R266="OK",IF($B$43="전체",D266&lt;EDATE($B$3,1),IF($B$43="미정산",U266&gt;0,OR(S266=$B$3,Z266&gt;0,U266&gt;0)))),1,0)</f>
        <v>0</v>
      </c>
      <c r="Y266" s="504">
        <f>IF(X266=1,COUNTIF($X$100:X266,1),0)</f>
        <v>0</v>
      </c>
      <c r="Z266" s="526">
        <f>IF(R266="OK",SUMIFS($O$430:$O$729,$B$430:$B$729,A266,$E$430:$E$729,"&gt;="&amp;$B$3,$E$430:$E$729,"&lt;"&amp;EDATE($B$3,1)),0)</f>
        <v>0</v>
      </c>
    </row>
    <row r="267" hidden="1" outlineLevel="1">
      <c r="A267" s="504">
        <f>IF(F267="","",IF(F267&gt;0,"R"&amp;F267,""))</f>
      </c>
      <c r="B267" s="504">
        <f>IF(F267="","",IFERROR(INDEX(RAW!$F:$F,MAX(2,F267)),""))</f>
      </c>
      <c r="C267" s="522" t="n"/>
      <c r="D267" s="524">
        <f>IF(F267="","",IFERROR(INDEX(RAW!$A:$A,MAX(2,F267)),""))</f>
      </c>
      <c r="E267" s="525">
        <f>IF(F267="","",IFERROR(INDEX(RAW!$K:$K,MAX(2,F267)),0))</f>
      </c>
      <c r="F267" s="522" t="n"/>
      <c r="G267" s="504" t="inlineStr">
        <is>
          <t>신규</t>
        </is>
      </c>
      <c r="O267" s="498">
        <f>IF(LEFT(R267,2)="확인",R267,"")</f>
      </c>
      <c r="R267" s="504">
        <f>IF(A267="","",IF(C267="생활비","생활비",IF(AND(COUNTIF($A$8:$A$12,C267)=1,ISNUMBER(D267),E267&gt;0,COUNTIF($A$100:$A$399,A267)=1,IFERROR(IF(F267="",AND(LEFT(A267,1)="U",G267="월기록"),AND(F267&gt;=2,COUNTIF($F$100:$F$399,F267)=1,INDEX(RAW!$H:$H,MAX(2,F267))="지출",D267=INDEX(RAW!$A:$A,MAX(2,F267)),E267&lt;=INDEX(RAW!$K:$K,MAX(2,F267)),OR(AND(G267="기존반영",OR(A267="U003",A267="U007")),AND(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AND(OR(A267&lt;&gt;"U003",F267=356),OR(A267&lt;&gt;"U007",F267=2203),OR(G267&lt;&gt;"기존반영",A267="U003",A267="U007")))),FALSE)),"OK","확인: 사용등록")))</f>
      </c>
      <c r="S267" s="504">
        <f>IF(ISNUMBER(D267),DATE(YEAR(D267),MONTH(D267),1),0)</f>
        <v>0</v>
      </c>
      <c r="T267" s="526">
        <f>IF(R267="OK",SUMIFS($O$430:$O$729,$B$430:$B$729,A267,$E$430:$E$729,"&lt;"&amp;EDATE($B$3,1)),0)</f>
        <v>0</v>
      </c>
      <c r="U267" s="526">
        <f>IF(AND(R267="OK",D267&lt;EDATE($B$3,1),$B$3&gt;=DATE(2026,3,1)),MAX(0,E267-T267),0)</f>
        <v>0</v>
      </c>
      <c r="V267" s="526">
        <f>IFERROR(IF(AND(R267="OK",AND(F267&gt;=2,G267&lt;&gt;"기존반영",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E267,0),0)</f>
        <v>0</v>
      </c>
      <c r="W267" s="526">
        <f>IF(V267&gt;0,ROUNDUP(INDEX(RAW!$K:$K,MAX(2,F267))/1000,0)*1000-ROUNDUP((INDEX(RAW!$K:$K,MAX(2,F267))-V267)/1000,0)*1000,0)</f>
        <v>0</v>
      </c>
      <c r="X267" s="504">
        <f>IF(AND(R267="OK",IF($B$43="전체",D267&lt;EDATE($B$3,1),IF($B$43="미정산",U267&gt;0,OR(S267=$B$3,Z267&gt;0,U267&gt;0)))),1,0)</f>
        <v>0</v>
      </c>
      <c r="Y267" s="504">
        <f>IF(X267=1,COUNTIF($X$100:X267,1),0)</f>
        <v>0</v>
      </c>
      <c r="Z267" s="526">
        <f>IF(R267="OK",SUMIFS($O$430:$O$729,$B$430:$B$729,A267,$E$430:$E$729,"&gt;="&amp;$B$3,$E$430:$E$729,"&lt;"&amp;EDATE($B$3,1)),0)</f>
        <v>0</v>
      </c>
    </row>
    <row r="268" hidden="1" outlineLevel="1">
      <c r="A268" s="504">
        <f>IF(F268="","",IF(F268&gt;0,"R"&amp;F268,""))</f>
      </c>
      <c r="B268" s="504">
        <f>IF(F268="","",IFERROR(INDEX(RAW!$F:$F,MAX(2,F268)),""))</f>
      </c>
      <c r="C268" s="522" t="n"/>
      <c r="D268" s="524">
        <f>IF(F268="","",IFERROR(INDEX(RAW!$A:$A,MAX(2,F268)),""))</f>
      </c>
      <c r="E268" s="525">
        <f>IF(F268="","",IFERROR(INDEX(RAW!$K:$K,MAX(2,F268)),0))</f>
      </c>
      <c r="F268" s="522" t="n"/>
      <c r="G268" s="504" t="inlineStr">
        <is>
          <t>신규</t>
        </is>
      </c>
      <c r="O268" s="498">
        <f>IF(LEFT(R268,2)="확인",R268,"")</f>
      </c>
      <c r="R268" s="504">
        <f>IF(A268="","",IF(C268="생활비","생활비",IF(AND(COUNTIF($A$8:$A$12,C268)=1,ISNUMBER(D268),E268&gt;0,COUNTIF($A$100:$A$399,A268)=1,IFERROR(IF(F268="",AND(LEFT(A268,1)="U",G268="월기록"),AND(F268&gt;=2,COUNTIF($F$100:$F$399,F268)=1,INDEX(RAW!$H:$H,MAX(2,F268))="지출",D268=INDEX(RAW!$A:$A,MAX(2,F268)),E268&lt;=INDEX(RAW!$K:$K,MAX(2,F268)),OR(AND(G268="기존반영",OR(A268="U003",A268="U007")),AND(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AND(OR(A268&lt;&gt;"U003",F268=356),OR(A268&lt;&gt;"U007",F268=2203),OR(G268&lt;&gt;"기존반영",A268="U003",A268="U007")))),FALSE)),"OK","확인: 사용등록")))</f>
      </c>
      <c r="S268" s="504">
        <f>IF(ISNUMBER(D268),DATE(YEAR(D268),MONTH(D268),1),0)</f>
        <v>0</v>
      </c>
      <c r="T268" s="526">
        <f>IF(R268="OK",SUMIFS($O$430:$O$729,$B$430:$B$729,A268,$E$430:$E$729,"&lt;"&amp;EDATE($B$3,1)),0)</f>
        <v>0</v>
      </c>
      <c r="U268" s="526">
        <f>IF(AND(R268="OK",D268&lt;EDATE($B$3,1),$B$3&gt;=DATE(2026,3,1)),MAX(0,E268-T268),0)</f>
        <v>0</v>
      </c>
      <c r="V268" s="526">
        <f>IFERROR(IF(AND(R268="OK",AND(F268&gt;=2,G268&lt;&gt;"기존반영",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E268,0),0)</f>
        <v>0</v>
      </c>
      <c r="W268" s="526">
        <f>IF(V268&gt;0,ROUNDUP(INDEX(RAW!$K:$K,MAX(2,F268))/1000,0)*1000-ROUNDUP((INDEX(RAW!$K:$K,MAX(2,F268))-V268)/1000,0)*1000,0)</f>
        <v>0</v>
      </c>
      <c r="X268" s="504">
        <f>IF(AND(R268="OK",IF($B$43="전체",D268&lt;EDATE($B$3,1),IF($B$43="미정산",U268&gt;0,OR(S268=$B$3,Z268&gt;0,U268&gt;0)))),1,0)</f>
        <v>0</v>
      </c>
      <c r="Y268" s="504">
        <f>IF(X268=1,COUNTIF($X$100:X268,1),0)</f>
        <v>0</v>
      </c>
      <c r="Z268" s="526">
        <f>IF(R268="OK",SUMIFS($O$430:$O$729,$B$430:$B$729,A268,$E$430:$E$729,"&gt;="&amp;$B$3,$E$430:$E$729,"&lt;"&amp;EDATE($B$3,1)),0)</f>
        <v>0</v>
      </c>
    </row>
    <row r="269" hidden="1" outlineLevel="1">
      <c r="A269" s="504">
        <f>IF(F269="","",IF(F269&gt;0,"R"&amp;F269,""))</f>
      </c>
      <c r="B269" s="504">
        <f>IF(F269="","",IFERROR(INDEX(RAW!$F:$F,MAX(2,F269)),""))</f>
      </c>
      <c r="C269" s="522" t="n"/>
      <c r="D269" s="524">
        <f>IF(F269="","",IFERROR(INDEX(RAW!$A:$A,MAX(2,F269)),""))</f>
      </c>
      <c r="E269" s="525">
        <f>IF(F269="","",IFERROR(INDEX(RAW!$K:$K,MAX(2,F269)),0))</f>
      </c>
      <c r="F269" s="522" t="n"/>
      <c r="G269" s="504" t="inlineStr">
        <is>
          <t>신규</t>
        </is>
      </c>
      <c r="O269" s="498">
        <f>IF(LEFT(R269,2)="확인",R269,"")</f>
      </c>
      <c r="R269" s="504">
        <f>IF(A269="","",IF(C269="생활비","생활비",IF(AND(COUNTIF($A$8:$A$12,C269)=1,ISNUMBER(D269),E269&gt;0,COUNTIF($A$100:$A$399,A269)=1,IFERROR(IF(F269="",AND(LEFT(A269,1)="U",G269="월기록"),AND(F269&gt;=2,COUNTIF($F$100:$F$399,F269)=1,INDEX(RAW!$H:$H,MAX(2,F269))="지출",D269=INDEX(RAW!$A:$A,MAX(2,F269)),E269&lt;=INDEX(RAW!$K:$K,MAX(2,F269)),OR(AND(G269="기존반영",OR(A269="U003",A269="U007")),AND(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AND(OR(A269&lt;&gt;"U003",F269=356),OR(A269&lt;&gt;"U007",F269=2203),OR(G269&lt;&gt;"기존반영",A269="U003",A269="U007")))),FALSE)),"OK","확인: 사용등록")))</f>
      </c>
      <c r="S269" s="504">
        <f>IF(ISNUMBER(D269),DATE(YEAR(D269),MONTH(D269),1),0)</f>
        <v>0</v>
      </c>
      <c r="T269" s="526">
        <f>IF(R269="OK",SUMIFS($O$430:$O$729,$B$430:$B$729,A269,$E$430:$E$729,"&lt;"&amp;EDATE($B$3,1)),0)</f>
        <v>0</v>
      </c>
      <c r="U269" s="526">
        <f>IF(AND(R269="OK",D269&lt;EDATE($B$3,1),$B$3&gt;=DATE(2026,3,1)),MAX(0,E269-T269),0)</f>
        <v>0</v>
      </c>
      <c r="V269" s="526">
        <f>IFERROR(IF(AND(R269="OK",AND(F269&gt;=2,G269&lt;&gt;"기존반영",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E269,0),0)</f>
        <v>0</v>
      </c>
      <c r="W269" s="526">
        <f>IF(V269&gt;0,ROUNDUP(INDEX(RAW!$K:$K,MAX(2,F269))/1000,0)*1000-ROUNDUP((INDEX(RAW!$K:$K,MAX(2,F269))-V269)/1000,0)*1000,0)</f>
        <v>0</v>
      </c>
      <c r="X269" s="504">
        <f>IF(AND(R269="OK",IF($B$43="전체",D269&lt;EDATE($B$3,1),IF($B$43="미정산",U269&gt;0,OR(S269=$B$3,Z269&gt;0,U269&gt;0)))),1,0)</f>
        <v>0</v>
      </c>
      <c r="Y269" s="504">
        <f>IF(X269=1,COUNTIF($X$100:X269,1),0)</f>
        <v>0</v>
      </c>
      <c r="Z269" s="526">
        <f>IF(R269="OK",SUMIFS($O$430:$O$729,$B$430:$B$729,A269,$E$430:$E$729,"&gt;="&amp;$B$3,$E$430:$E$729,"&lt;"&amp;EDATE($B$3,1)),0)</f>
        <v>0</v>
      </c>
    </row>
    <row r="270" hidden="1" outlineLevel="1">
      <c r="A270" s="504">
        <f>IF(F270="","",IF(F270&gt;0,"R"&amp;F270,""))</f>
      </c>
      <c r="B270" s="504">
        <f>IF(F270="","",IFERROR(INDEX(RAW!$F:$F,MAX(2,F270)),""))</f>
      </c>
      <c r="C270" s="522" t="n"/>
      <c r="D270" s="524">
        <f>IF(F270="","",IFERROR(INDEX(RAW!$A:$A,MAX(2,F270)),""))</f>
      </c>
      <c r="E270" s="525">
        <f>IF(F270="","",IFERROR(INDEX(RAW!$K:$K,MAX(2,F270)),0))</f>
      </c>
      <c r="F270" s="522" t="n"/>
      <c r="G270" s="504" t="inlineStr">
        <is>
          <t>신규</t>
        </is>
      </c>
      <c r="O270" s="498">
        <f>IF(LEFT(R270,2)="확인",R270,"")</f>
      </c>
      <c r="R270" s="504">
        <f>IF(A270="","",IF(C270="생활비","생활비",IF(AND(COUNTIF($A$8:$A$12,C270)=1,ISNUMBER(D270),E270&gt;0,COUNTIF($A$100:$A$399,A270)=1,IFERROR(IF(F270="",AND(LEFT(A270,1)="U",G270="월기록"),AND(F270&gt;=2,COUNTIF($F$100:$F$399,F270)=1,INDEX(RAW!$H:$H,MAX(2,F270))="지출",D270=INDEX(RAW!$A:$A,MAX(2,F270)),E270&lt;=INDEX(RAW!$K:$K,MAX(2,F270)),OR(AND(G270="기존반영",OR(A270="U003",A270="U007")),AND(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AND(OR(A270&lt;&gt;"U003",F270=356),OR(A270&lt;&gt;"U007",F270=2203),OR(G270&lt;&gt;"기존반영",A270="U003",A270="U007")))),FALSE)),"OK","확인: 사용등록")))</f>
      </c>
      <c r="S270" s="504">
        <f>IF(ISNUMBER(D270),DATE(YEAR(D270),MONTH(D270),1),0)</f>
        <v>0</v>
      </c>
      <c r="T270" s="526">
        <f>IF(R270="OK",SUMIFS($O$430:$O$729,$B$430:$B$729,A270,$E$430:$E$729,"&lt;"&amp;EDATE($B$3,1)),0)</f>
        <v>0</v>
      </c>
      <c r="U270" s="526">
        <f>IF(AND(R270="OK",D270&lt;EDATE($B$3,1),$B$3&gt;=DATE(2026,3,1)),MAX(0,E270-T270),0)</f>
        <v>0</v>
      </c>
      <c r="V270" s="526">
        <f>IFERROR(IF(AND(R270="OK",AND(F270&gt;=2,G270&lt;&gt;"기존반영",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E270,0),0)</f>
        <v>0</v>
      </c>
      <c r="W270" s="526">
        <f>IF(V270&gt;0,ROUNDUP(INDEX(RAW!$K:$K,MAX(2,F270))/1000,0)*1000-ROUNDUP((INDEX(RAW!$K:$K,MAX(2,F270))-V270)/1000,0)*1000,0)</f>
        <v>0</v>
      </c>
      <c r="X270" s="504">
        <f>IF(AND(R270="OK",IF($B$43="전체",D270&lt;EDATE($B$3,1),IF($B$43="미정산",U270&gt;0,OR(S270=$B$3,Z270&gt;0,U270&gt;0)))),1,0)</f>
        <v>0</v>
      </c>
      <c r="Y270" s="504">
        <f>IF(X270=1,COUNTIF($X$100:X270,1),0)</f>
        <v>0</v>
      </c>
      <c r="Z270" s="526">
        <f>IF(R270="OK",SUMIFS($O$430:$O$729,$B$430:$B$729,A270,$E$430:$E$729,"&gt;="&amp;$B$3,$E$430:$E$729,"&lt;"&amp;EDATE($B$3,1)),0)</f>
        <v>0</v>
      </c>
    </row>
    <row r="271" hidden="1" outlineLevel="1">
      <c r="A271" s="504">
        <f>IF(F271="","",IF(F271&gt;0,"R"&amp;F271,""))</f>
      </c>
      <c r="B271" s="504">
        <f>IF(F271="","",IFERROR(INDEX(RAW!$F:$F,MAX(2,F271)),""))</f>
      </c>
      <c r="C271" s="522" t="n"/>
      <c r="D271" s="524">
        <f>IF(F271="","",IFERROR(INDEX(RAW!$A:$A,MAX(2,F271)),""))</f>
      </c>
      <c r="E271" s="525">
        <f>IF(F271="","",IFERROR(INDEX(RAW!$K:$K,MAX(2,F271)),0))</f>
      </c>
      <c r="F271" s="522" t="n"/>
      <c r="G271" s="504" t="inlineStr">
        <is>
          <t>신규</t>
        </is>
      </c>
      <c r="O271" s="498">
        <f>IF(LEFT(R271,2)="확인",R271,"")</f>
      </c>
      <c r="R271" s="504">
        <f>IF(A271="","",IF(C271="생활비","생활비",IF(AND(COUNTIF($A$8:$A$12,C271)=1,ISNUMBER(D271),E271&gt;0,COUNTIF($A$100:$A$399,A271)=1,IFERROR(IF(F271="",AND(LEFT(A271,1)="U",G271="월기록"),AND(F271&gt;=2,COUNTIF($F$100:$F$399,F271)=1,INDEX(RAW!$H:$H,MAX(2,F271))="지출",D271=INDEX(RAW!$A:$A,MAX(2,F271)),E271&lt;=INDEX(RAW!$K:$K,MAX(2,F271)),OR(AND(G271="기존반영",OR(A271="U003",A271="U007")),AND(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AND(OR(A271&lt;&gt;"U003",F271=356),OR(A271&lt;&gt;"U007",F271=2203),OR(G271&lt;&gt;"기존반영",A271="U003",A271="U007")))),FALSE)),"OK","확인: 사용등록")))</f>
      </c>
      <c r="S271" s="504">
        <f>IF(ISNUMBER(D271),DATE(YEAR(D271),MONTH(D271),1),0)</f>
        <v>0</v>
      </c>
      <c r="T271" s="526">
        <f>IF(R271="OK",SUMIFS($O$430:$O$729,$B$430:$B$729,A271,$E$430:$E$729,"&lt;"&amp;EDATE($B$3,1)),0)</f>
        <v>0</v>
      </c>
      <c r="U271" s="526">
        <f>IF(AND(R271="OK",D271&lt;EDATE($B$3,1),$B$3&gt;=DATE(2026,3,1)),MAX(0,E271-T271),0)</f>
        <v>0</v>
      </c>
      <c r="V271" s="526">
        <f>IFERROR(IF(AND(R271="OK",AND(F271&gt;=2,G271&lt;&gt;"기존반영",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E271,0),0)</f>
        <v>0</v>
      </c>
      <c r="W271" s="526">
        <f>IF(V271&gt;0,ROUNDUP(INDEX(RAW!$K:$K,MAX(2,F271))/1000,0)*1000-ROUNDUP((INDEX(RAW!$K:$K,MAX(2,F271))-V271)/1000,0)*1000,0)</f>
        <v>0</v>
      </c>
      <c r="X271" s="504">
        <f>IF(AND(R271="OK",IF($B$43="전체",D271&lt;EDATE($B$3,1),IF($B$43="미정산",U271&gt;0,OR(S271=$B$3,Z271&gt;0,U271&gt;0)))),1,0)</f>
        <v>0</v>
      </c>
      <c r="Y271" s="504">
        <f>IF(X271=1,COUNTIF($X$100:X271,1),0)</f>
        <v>0</v>
      </c>
      <c r="Z271" s="526">
        <f>IF(R271="OK",SUMIFS($O$430:$O$729,$B$430:$B$729,A271,$E$430:$E$729,"&gt;="&amp;$B$3,$E$430:$E$729,"&lt;"&amp;EDATE($B$3,1)),0)</f>
        <v>0</v>
      </c>
    </row>
    <row r="272" hidden="1" outlineLevel="1">
      <c r="A272" s="504">
        <f>IF(F272="","",IF(F272&gt;0,"R"&amp;F272,""))</f>
      </c>
      <c r="B272" s="504">
        <f>IF(F272="","",IFERROR(INDEX(RAW!$F:$F,MAX(2,F272)),""))</f>
      </c>
      <c r="C272" s="522" t="n"/>
      <c r="D272" s="524">
        <f>IF(F272="","",IFERROR(INDEX(RAW!$A:$A,MAX(2,F272)),""))</f>
      </c>
      <c r="E272" s="525">
        <f>IF(F272="","",IFERROR(INDEX(RAW!$K:$K,MAX(2,F272)),0))</f>
      </c>
      <c r="F272" s="522" t="n"/>
      <c r="G272" s="504" t="inlineStr">
        <is>
          <t>신규</t>
        </is>
      </c>
      <c r="O272" s="498">
        <f>IF(LEFT(R272,2)="확인",R272,"")</f>
      </c>
      <c r="R272" s="504">
        <f>IF(A272="","",IF(C272="생활비","생활비",IF(AND(COUNTIF($A$8:$A$12,C272)=1,ISNUMBER(D272),E272&gt;0,COUNTIF($A$100:$A$399,A272)=1,IFERROR(IF(F272="",AND(LEFT(A272,1)="U",G272="월기록"),AND(F272&gt;=2,COUNTIF($F$100:$F$399,F272)=1,INDEX(RAW!$H:$H,MAX(2,F272))="지출",D272=INDEX(RAW!$A:$A,MAX(2,F272)),E272&lt;=INDEX(RAW!$K:$K,MAX(2,F272)),OR(AND(G272="기존반영",OR(A272="U003",A272="U007")),AND(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AND(OR(A272&lt;&gt;"U003",F272=356),OR(A272&lt;&gt;"U007",F272=2203),OR(G272&lt;&gt;"기존반영",A272="U003",A272="U007")))),FALSE)),"OK","확인: 사용등록")))</f>
      </c>
      <c r="S272" s="504">
        <f>IF(ISNUMBER(D272),DATE(YEAR(D272),MONTH(D272),1),0)</f>
        <v>0</v>
      </c>
      <c r="T272" s="526">
        <f>IF(R272="OK",SUMIFS($O$430:$O$729,$B$430:$B$729,A272,$E$430:$E$729,"&lt;"&amp;EDATE($B$3,1)),0)</f>
        <v>0</v>
      </c>
      <c r="U272" s="526">
        <f>IF(AND(R272="OK",D272&lt;EDATE($B$3,1),$B$3&gt;=DATE(2026,3,1)),MAX(0,E272-T272),0)</f>
        <v>0</v>
      </c>
      <c r="V272" s="526">
        <f>IFERROR(IF(AND(R272="OK",AND(F272&gt;=2,G272&lt;&gt;"기존반영",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E272,0),0)</f>
        <v>0</v>
      </c>
      <c r="W272" s="526">
        <f>IF(V272&gt;0,ROUNDUP(INDEX(RAW!$K:$K,MAX(2,F272))/1000,0)*1000-ROUNDUP((INDEX(RAW!$K:$K,MAX(2,F272))-V272)/1000,0)*1000,0)</f>
        <v>0</v>
      </c>
      <c r="X272" s="504">
        <f>IF(AND(R272="OK",IF($B$43="전체",D272&lt;EDATE($B$3,1),IF($B$43="미정산",U272&gt;0,OR(S272=$B$3,Z272&gt;0,U272&gt;0)))),1,0)</f>
        <v>0</v>
      </c>
      <c r="Y272" s="504">
        <f>IF(X272=1,COUNTIF($X$100:X272,1),0)</f>
        <v>0</v>
      </c>
      <c r="Z272" s="526">
        <f>IF(R272="OK",SUMIFS($O$430:$O$729,$B$430:$B$729,A272,$E$430:$E$729,"&gt;="&amp;$B$3,$E$430:$E$729,"&lt;"&amp;EDATE($B$3,1)),0)</f>
        <v>0</v>
      </c>
    </row>
    <row r="273" hidden="1" outlineLevel="1">
      <c r="A273" s="504">
        <f>IF(F273="","",IF(F273&gt;0,"R"&amp;F273,""))</f>
      </c>
      <c r="B273" s="504">
        <f>IF(F273="","",IFERROR(INDEX(RAW!$F:$F,MAX(2,F273)),""))</f>
      </c>
      <c r="C273" s="522" t="n"/>
      <c r="D273" s="524">
        <f>IF(F273="","",IFERROR(INDEX(RAW!$A:$A,MAX(2,F273)),""))</f>
      </c>
      <c r="E273" s="525">
        <f>IF(F273="","",IFERROR(INDEX(RAW!$K:$K,MAX(2,F273)),0))</f>
      </c>
      <c r="F273" s="522" t="n"/>
      <c r="G273" s="504" t="inlineStr">
        <is>
          <t>신규</t>
        </is>
      </c>
      <c r="O273" s="498">
        <f>IF(LEFT(R273,2)="확인",R273,"")</f>
      </c>
      <c r="R273" s="504">
        <f>IF(A273="","",IF(C273="생활비","생활비",IF(AND(COUNTIF($A$8:$A$12,C273)=1,ISNUMBER(D273),E273&gt;0,COUNTIF($A$100:$A$399,A273)=1,IFERROR(IF(F273="",AND(LEFT(A273,1)="U",G273="월기록"),AND(F273&gt;=2,COUNTIF($F$100:$F$399,F273)=1,INDEX(RAW!$H:$H,MAX(2,F273))="지출",D273=INDEX(RAW!$A:$A,MAX(2,F273)),E273&lt;=INDEX(RAW!$K:$K,MAX(2,F273)),OR(AND(G273="기존반영",OR(A273="U003",A273="U007")),AND(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AND(OR(A273&lt;&gt;"U003",F273=356),OR(A273&lt;&gt;"U007",F273=2203),OR(G273&lt;&gt;"기존반영",A273="U003",A273="U007")))),FALSE)),"OK","확인: 사용등록")))</f>
      </c>
      <c r="S273" s="504">
        <f>IF(ISNUMBER(D273),DATE(YEAR(D273),MONTH(D273),1),0)</f>
        <v>0</v>
      </c>
      <c r="T273" s="526">
        <f>IF(R273="OK",SUMIFS($O$430:$O$729,$B$430:$B$729,A273,$E$430:$E$729,"&lt;"&amp;EDATE($B$3,1)),0)</f>
        <v>0</v>
      </c>
      <c r="U273" s="526">
        <f>IF(AND(R273="OK",D273&lt;EDATE($B$3,1),$B$3&gt;=DATE(2026,3,1)),MAX(0,E273-T273),0)</f>
        <v>0</v>
      </c>
      <c r="V273" s="526">
        <f>IFERROR(IF(AND(R273="OK",AND(F273&gt;=2,G273&lt;&gt;"기존반영",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E273,0),0)</f>
        <v>0</v>
      </c>
      <c r="W273" s="526">
        <f>IF(V273&gt;0,ROUNDUP(INDEX(RAW!$K:$K,MAX(2,F273))/1000,0)*1000-ROUNDUP((INDEX(RAW!$K:$K,MAX(2,F273))-V273)/1000,0)*1000,0)</f>
        <v>0</v>
      </c>
      <c r="X273" s="504">
        <f>IF(AND(R273="OK",IF($B$43="전체",D273&lt;EDATE($B$3,1),IF($B$43="미정산",U273&gt;0,OR(S273=$B$3,Z273&gt;0,U273&gt;0)))),1,0)</f>
        <v>0</v>
      </c>
      <c r="Y273" s="504">
        <f>IF(X273=1,COUNTIF($X$100:X273,1),0)</f>
        <v>0</v>
      </c>
      <c r="Z273" s="526">
        <f>IF(R273="OK",SUMIFS($O$430:$O$729,$B$430:$B$729,A273,$E$430:$E$729,"&gt;="&amp;$B$3,$E$430:$E$729,"&lt;"&amp;EDATE($B$3,1)),0)</f>
        <v>0</v>
      </c>
    </row>
    <row r="274" hidden="1" outlineLevel="1">
      <c r="A274" s="504">
        <f>IF(F274="","",IF(F274&gt;0,"R"&amp;F274,""))</f>
      </c>
      <c r="B274" s="504">
        <f>IF(F274="","",IFERROR(INDEX(RAW!$F:$F,MAX(2,F274)),""))</f>
      </c>
      <c r="C274" s="522" t="n"/>
      <c r="D274" s="524">
        <f>IF(F274="","",IFERROR(INDEX(RAW!$A:$A,MAX(2,F274)),""))</f>
      </c>
      <c r="E274" s="525">
        <f>IF(F274="","",IFERROR(INDEX(RAW!$K:$K,MAX(2,F274)),0))</f>
      </c>
      <c r="F274" s="522" t="n"/>
      <c r="G274" s="504" t="inlineStr">
        <is>
          <t>신규</t>
        </is>
      </c>
      <c r="O274" s="498">
        <f>IF(LEFT(R274,2)="확인",R274,"")</f>
      </c>
      <c r="R274" s="504">
        <f>IF(A274="","",IF(C274="생활비","생활비",IF(AND(COUNTIF($A$8:$A$12,C274)=1,ISNUMBER(D274),E274&gt;0,COUNTIF($A$100:$A$399,A274)=1,IFERROR(IF(F274="",AND(LEFT(A274,1)="U",G274="월기록"),AND(F274&gt;=2,COUNTIF($F$100:$F$399,F274)=1,INDEX(RAW!$H:$H,MAX(2,F274))="지출",D274=INDEX(RAW!$A:$A,MAX(2,F274)),E274&lt;=INDEX(RAW!$K:$K,MAX(2,F274)),OR(AND(G274="기존반영",OR(A274="U003",A274="U007")),AND(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AND(OR(A274&lt;&gt;"U003",F274=356),OR(A274&lt;&gt;"U007",F274=2203),OR(G274&lt;&gt;"기존반영",A274="U003",A274="U007")))),FALSE)),"OK","확인: 사용등록")))</f>
      </c>
      <c r="S274" s="504">
        <f>IF(ISNUMBER(D274),DATE(YEAR(D274),MONTH(D274),1),0)</f>
        <v>0</v>
      </c>
      <c r="T274" s="526">
        <f>IF(R274="OK",SUMIFS($O$430:$O$729,$B$430:$B$729,A274,$E$430:$E$729,"&lt;"&amp;EDATE($B$3,1)),0)</f>
        <v>0</v>
      </c>
      <c r="U274" s="526">
        <f>IF(AND(R274="OK",D274&lt;EDATE($B$3,1),$B$3&gt;=DATE(2026,3,1)),MAX(0,E274-T274),0)</f>
        <v>0</v>
      </c>
      <c r="V274" s="526">
        <f>IFERROR(IF(AND(R274="OK",AND(F274&gt;=2,G274&lt;&gt;"기존반영",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E274,0),0)</f>
        <v>0</v>
      </c>
      <c r="W274" s="526">
        <f>IF(V274&gt;0,ROUNDUP(INDEX(RAW!$K:$K,MAX(2,F274))/1000,0)*1000-ROUNDUP((INDEX(RAW!$K:$K,MAX(2,F274))-V274)/1000,0)*1000,0)</f>
        <v>0</v>
      </c>
      <c r="X274" s="504">
        <f>IF(AND(R274="OK",IF($B$43="전체",D274&lt;EDATE($B$3,1),IF($B$43="미정산",U274&gt;0,OR(S274=$B$3,Z274&gt;0,U274&gt;0)))),1,0)</f>
        <v>0</v>
      </c>
      <c r="Y274" s="504">
        <f>IF(X274=1,COUNTIF($X$100:X274,1),0)</f>
        <v>0</v>
      </c>
      <c r="Z274" s="526">
        <f>IF(R274="OK",SUMIFS($O$430:$O$729,$B$430:$B$729,A274,$E$430:$E$729,"&gt;="&amp;$B$3,$E$430:$E$729,"&lt;"&amp;EDATE($B$3,1)),0)</f>
        <v>0</v>
      </c>
    </row>
    <row r="275" hidden="1" outlineLevel="1">
      <c r="A275" s="504">
        <f>IF(F275="","",IF(F275&gt;0,"R"&amp;F275,""))</f>
      </c>
      <c r="B275" s="504">
        <f>IF(F275="","",IFERROR(INDEX(RAW!$F:$F,MAX(2,F275)),""))</f>
      </c>
      <c r="C275" s="522" t="n"/>
      <c r="D275" s="524">
        <f>IF(F275="","",IFERROR(INDEX(RAW!$A:$A,MAX(2,F275)),""))</f>
      </c>
      <c r="E275" s="525">
        <f>IF(F275="","",IFERROR(INDEX(RAW!$K:$K,MAX(2,F275)),0))</f>
      </c>
      <c r="F275" s="522" t="n"/>
      <c r="G275" s="504" t="inlineStr">
        <is>
          <t>신규</t>
        </is>
      </c>
      <c r="O275" s="498">
        <f>IF(LEFT(R275,2)="확인",R275,"")</f>
      </c>
      <c r="R275" s="504">
        <f>IF(A275="","",IF(C275="생활비","생활비",IF(AND(COUNTIF($A$8:$A$12,C275)=1,ISNUMBER(D275),E275&gt;0,COUNTIF($A$100:$A$399,A275)=1,IFERROR(IF(F275="",AND(LEFT(A275,1)="U",G275="월기록"),AND(F275&gt;=2,COUNTIF($F$100:$F$399,F275)=1,INDEX(RAW!$H:$H,MAX(2,F275))="지출",D275=INDEX(RAW!$A:$A,MAX(2,F275)),E275&lt;=INDEX(RAW!$K:$K,MAX(2,F275)),OR(AND(G275="기존반영",OR(A275="U003",A275="U007")),AND(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AND(OR(A275&lt;&gt;"U003",F275=356),OR(A275&lt;&gt;"U007",F275=2203),OR(G275&lt;&gt;"기존반영",A275="U003",A275="U007")))),FALSE)),"OK","확인: 사용등록")))</f>
      </c>
      <c r="S275" s="504">
        <f>IF(ISNUMBER(D275),DATE(YEAR(D275),MONTH(D275),1),0)</f>
        <v>0</v>
      </c>
      <c r="T275" s="526">
        <f>IF(R275="OK",SUMIFS($O$430:$O$729,$B$430:$B$729,A275,$E$430:$E$729,"&lt;"&amp;EDATE($B$3,1)),0)</f>
        <v>0</v>
      </c>
      <c r="U275" s="526">
        <f>IF(AND(R275="OK",D275&lt;EDATE($B$3,1),$B$3&gt;=DATE(2026,3,1)),MAX(0,E275-T275),0)</f>
        <v>0</v>
      </c>
      <c r="V275" s="526">
        <f>IFERROR(IF(AND(R275="OK",AND(F275&gt;=2,G275&lt;&gt;"기존반영",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E275,0),0)</f>
        <v>0</v>
      </c>
      <c r="W275" s="526">
        <f>IF(V275&gt;0,ROUNDUP(INDEX(RAW!$K:$K,MAX(2,F275))/1000,0)*1000-ROUNDUP((INDEX(RAW!$K:$K,MAX(2,F275))-V275)/1000,0)*1000,0)</f>
        <v>0</v>
      </c>
      <c r="X275" s="504">
        <f>IF(AND(R275="OK",IF($B$43="전체",D275&lt;EDATE($B$3,1),IF($B$43="미정산",U275&gt;0,OR(S275=$B$3,Z275&gt;0,U275&gt;0)))),1,0)</f>
        <v>0</v>
      </c>
      <c r="Y275" s="504">
        <f>IF(X275=1,COUNTIF($X$100:X275,1),0)</f>
        <v>0</v>
      </c>
      <c r="Z275" s="526">
        <f>IF(R275="OK",SUMIFS($O$430:$O$729,$B$430:$B$729,A275,$E$430:$E$729,"&gt;="&amp;$B$3,$E$430:$E$729,"&lt;"&amp;EDATE($B$3,1)),0)</f>
        <v>0</v>
      </c>
    </row>
    <row r="276" hidden="1" outlineLevel="1">
      <c r="A276" s="504">
        <f>IF(F276="","",IF(F276&gt;0,"R"&amp;F276,""))</f>
      </c>
      <c r="B276" s="504">
        <f>IF(F276="","",IFERROR(INDEX(RAW!$F:$F,MAX(2,F276)),""))</f>
      </c>
      <c r="C276" s="522" t="n"/>
      <c r="D276" s="524">
        <f>IF(F276="","",IFERROR(INDEX(RAW!$A:$A,MAX(2,F276)),""))</f>
      </c>
      <c r="E276" s="525">
        <f>IF(F276="","",IFERROR(INDEX(RAW!$K:$K,MAX(2,F276)),0))</f>
      </c>
      <c r="F276" s="522" t="n"/>
      <c r="G276" s="504" t="inlineStr">
        <is>
          <t>신규</t>
        </is>
      </c>
      <c r="O276" s="498">
        <f>IF(LEFT(R276,2)="확인",R276,"")</f>
      </c>
      <c r="R276" s="504">
        <f>IF(A276="","",IF(C276="생활비","생활비",IF(AND(COUNTIF($A$8:$A$12,C276)=1,ISNUMBER(D276),E276&gt;0,COUNTIF($A$100:$A$399,A276)=1,IFERROR(IF(F276="",AND(LEFT(A276,1)="U",G276="월기록"),AND(F276&gt;=2,COUNTIF($F$100:$F$399,F276)=1,INDEX(RAW!$H:$H,MAX(2,F276))="지출",D276=INDEX(RAW!$A:$A,MAX(2,F276)),E276&lt;=INDEX(RAW!$K:$K,MAX(2,F276)),OR(AND(G276="기존반영",OR(A276="U003",A276="U007")),AND(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AND(OR(A276&lt;&gt;"U003",F276=356),OR(A276&lt;&gt;"U007",F276=2203),OR(G276&lt;&gt;"기존반영",A276="U003",A276="U007")))),FALSE)),"OK","확인: 사용등록")))</f>
      </c>
      <c r="S276" s="504">
        <f>IF(ISNUMBER(D276),DATE(YEAR(D276),MONTH(D276),1),0)</f>
        <v>0</v>
      </c>
      <c r="T276" s="526">
        <f>IF(R276="OK",SUMIFS($O$430:$O$729,$B$430:$B$729,A276,$E$430:$E$729,"&lt;"&amp;EDATE($B$3,1)),0)</f>
        <v>0</v>
      </c>
      <c r="U276" s="526">
        <f>IF(AND(R276="OK",D276&lt;EDATE($B$3,1),$B$3&gt;=DATE(2026,3,1)),MAX(0,E276-T276),0)</f>
        <v>0</v>
      </c>
      <c r="V276" s="526">
        <f>IFERROR(IF(AND(R276="OK",AND(F276&gt;=2,G276&lt;&gt;"기존반영",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E276,0),0)</f>
        <v>0</v>
      </c>
      <c r="W276" s="526">
        <f>IF(V276&gt;0,ROUNDUP(INDEX(RAW!$K:$K,MAX(2,F276))/1000,0)*1000-ROUNDUP((INDEX(RAW!$K:$K,MAX(2,F276))-V276)/1000,0)*1000,0)</f>
        <v>0</v>
      </c>
      <c r="X276" s="504">
        <f>IF(AND(R276="OK",IF($B$43="전체",D276&lt;EDATE($B$3,1),IF($B$43="미정산",U276&gt;0,OR(S276=$B$3,Z276&gt;0,U276&gt;0)))),1,0)</f>
        <v>0</v>
      </c>
      <c r="Y276" s="504">
        <f>IF(X276=1,COUNTIF($X$100:X276,1),0)</f>
        <v>0</v>
      </c>
      <c r="Z276" s="526">
        <f>IF(R276="OK",SUMIFS($O$430:$O$729,$B$430:$B$729,A276,$E$430:$E$729,"&gt;="&amp;$B$3,$E$430:$E$729,"&lt;"&amp;EDATE($B$3,1)),0)</f>
        <v>0</v>
      </c>
    </row>
    <row r="277" hidden="1" outlineLevel="1">
      <c r="A277" s="504">
        <f>IF(F277="","",IF(F277&gt;0,"R"&amp;F277,""))</f>
      </c>
      <c r="B277" s="504">
        <f>IF(F277="","",IFERROR(INDEX(RAW!$F:$F,MAX(2,F277)),""))</f>
      </c>
      <c r="C277" s="522" t="n"/>
      <c r="D277" s="524">
        <f>IF(F277="","",IFERROR(INDEX(RAW!$A:$A,MAX(2,F277)),""))</f>
      </c>
      <c r="E277" s="525">
        <f>IF(F277="","",IFERROR(INDEX(RAW!$K:$K,MAX(2,F277)),0))</f>
      </c>
      <c r="F277" s="522" t="n"/>
      <c r="G277" s="504" t="inlineStr">
        <is>
          <t>신규</t>
        </is>
      </c>
      <c r="O277" s="498">
        <f>IF(LEFT(R277,2)="확인",R277,"")</f>
      </c>
      <c r="R277" s="504">
        <f>IF(A277="","",IF(C277="생활비","생활비",IF(AND(COUNTIF($A$8:$A$12,C277)=1,ISNUMBER(D277),E277&gt;0,COUNTIF($A$100:$A$399,A277)=1,IFERROR(IF(F277="",AND(LEFT(A277,1)="U",G277="월기록"),AND(F277&gt;=2,COUNTIF($F$100:$F$399,F277)=1,INDEX(RAW!$H:$H,MAX(2,F277))="지출",D277=INDEX(RAW!$A:$A,MAX(2,F277)),E277&lt;=INDEX(RAW!$K:$K,MAX(2,F277)),OR(AND(G277="기존반영",OR(A277="U003",A277="U007")),AND(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AND(OR(A277&lt;&gt;"U003",F277=356),OR(A277&lt;&gt;"U007",F277=2203),OR(G277&lt;&gt;"기존반영",A277="U003",A277="U007")))),FALSE)),"OK","확인: 사용등록")))</f>
      </c>
      <c r="S277" s="504">
        <f>IF(ISNUMBER(D277),DATE(YEAR(D277),MONTH(D277),1),0)</f>
        <v>0</v>
      </c>
      <c r="T277" s="526">
        <f>IF(R277="OK",SUMIFS($O$430:$O$729,$B$430:$B$729,A277,$E$430:$E$729,"&lt;"&amp;EDATE($B$3,1)),0)</f>
        <v>0</v>
      </c>
      <c r="U277" s="526">
        <f>IF(AND(R277="OK",D277&lt;EDATE($B$3,1),$B$3&gt;=DATE(2026,3,1)),MAX(0,E277-T277),0)</f>
        <v>0</v>
      </c>
      <c r="V277" s="526">
        <f>IFERROR(IF(AND(R277="OK",AND(F277&gt;=2,G277&lt;&gt;"기존반영",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E277,0),0)</f>
        <v>0</v>
      </c>
      <c r="W277" s="526">
        <f>IF(V277&gt;0,ROUNDUP(INDEX(RAW!$K:$K,MAX(2,F277))/1000,0)*1000-ROUNDUP((INDEX(RAW!$K:$K,MAX(2,F277))-V277)/1000,0)*1000,0)</f>
        <v>0</v>
      </c>
      <c r="X277" s="504">
        <f>IF(AND(R277="OK",IF($B$43="전체",D277&lt;EDATE($B$3,1),IF($B$43="미정산",U277&gt;0,OR(S277=$B$3,Z277&gt;0,U277&gt;0)))),1,0)</f>
        <v>0</v>
      </c>
      <c r="Y277" s="504">
        <f>IF(X277=1,COUNTIF($X$100:X277,1),0)</f>
        <v>0</v>
      </c>
      <c r="Z277" s="526">
        <f>IF(R277="OK",SUMIFS($O$430:$O$729,$B$430:$B$729,A277,$E$430:$E$729,"&gt;="&amp;$B$3,$E$430:$E$729,"&lt;"&amp;EDATE($B$3,1)),0)</f>
        <v>0</v>
      </c>
    </row>
    <row r="278" hidden="1" outlineLevel="1">
      <c r="A278" s="504">
        <f>IF(F278="","",IF(F278&gt;0,"R"&amp;F278,""))</f>
      </c>
      <c r="B278" s="504">
        <f>IF(F278="","",IFERROR(INDEX(RAW!$F:$F,MAX(2,F278)),""))</f>
      </c>
      <c r="C278" s="522" t="n"/>
      <c r="D278" s="524">
        <f>IF(F278="","",IFERROR(INDEX(RAW!$A:$A,MAX(2,F278)),""))</f>
      </c>
      <c r="E278" s="525">
        <f>IF(F278="","",IFERROR(INDEX(RAW!$K:$K,MAX(2,F278)),0))</f>
      </c>
      <c r="F278" s="522" t="n"/>
      <c r="G278" s="504" t="inlineStr">
        <is>
          <t>신규</t>
        </is>
      </c>
      <c r="O278" s="498">
        <f>IF(LEFT(R278,2)="확인",R278,"")</f>
      </c>
      <c r="R278" s="504">
        <f>IF(A278="","",IF(C278="생활비","생활비",IF(AND(COUNTIF($A$8:$A$12,C278)=1,ISNUMBER(D278),E278&gt;0,COUNTIF($A$100:$A$399,A278)=1,IFERROR(IF(F278="",AND(LEFT(A278,1)="U",G278="월기록"),AND(F278&gt;=2,COUNTIF($F$100:$F$399,F278)=1,INDEX(RAW!$H:$H,MAX(2,F278))="지출",D278=INDEX(RAW!$A:$A,MAX(2,F278)),E278&lt;=INDEX(RAW!$K:$K,MAX(2,F278)),OR(AND(G278="기존반영",OR(A278="U003",A278="U007")),AND(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AND(OR(A278&lt;&gt;"U003",F278=356),OR(A278&lt;&gt;"U007",F278=2203),OR(G278&lt;&gt;"기존반영",A278="U003",A278="U007")))),FALSE)),"OK","확인: 사용등록")))</f>
      </c>
      <c r="S278" s="504">
        <f>IF(ISNUMBER(D278),DATE(YEAR(D278),MONTH(D278),1),0)</f>
        <v>0</v>
      </c>
      <c r="T278" s="526">
        <f>IF(R278="OK",SUMIFS($O$430:$O$729,$B$430:$B$729,A278,$E$430:$E$729,"&lt;"&amp;EDATE($B$3,1)),0)</f>
        <v>0</v>
      </c>
      <c r="U278" s="526">
        <f>IF(AND(R278="OK",D278&lt;EDATE($B$3,1),$B$3&gt;=DATE(2026,3,1)),MAX(0,E278-T278),0)</f>
        <v>0</v>
      </c>
      <c r="V278" s="526">
        <f>IFERROR(IF(AND(R278="OK",AND(F278&gt;=2,G278&lt;&gt;"기존반영",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E278,0),0)</f>
        <v>0</v>
      </c>
      <c r="W278" s="526">
        <f>IF(V278&gt;0,ROUNDUP(INDEX(RAW!$K:$K,MAX(2,F278))/1000,0)*1000-ROUNDUP((INDEX(RAW!$K:$K,MAX(2,F278))-V278)/1000,0)*1000,0)</f>
        <v>0</v>
      </c>
      <c r="X278" s="504">
        <f>IF(AND(R278="OK",IF($B$43="전체",D278&lt;EDATE($B$3,1),IF($B$43="미정산",U278&gt;0,OR(S278=$B$3,Z278&gt;0,U278&gt;0)))),1,0)</f>
        <v>0</v>
      </c>
      <c r="Y278" s="504">
        <f>IF(X278=1,COUNTIF($X$100:X278,1),0)</f>
        <v>0</v>
      </c>
      <c r="Z278" s="526">
        <f>IF(R278="OK",SUMIFS($O$430:$O$729,$B$430:$B$729,A278,$E$430:$E$729,"&gt;="&amp;$B$3,$E$430:$E$729,"&lt;"&amp;EDATE($B$3,1)),0)</f>
        <v>0</v>
      </c>
    </row>
    <row r="279" hidden="1" outlineLevel="1">
      <c r="A279" s="504">
        <f>IF(F279="","",IF(F279&gt;0,"R"&amp;F279,""))</f>
      </c>
      <c r="B279" s="504">
        <f>IF(F279="","",IFERROR(INDEX(RAW!$F:$F,MAX(2,F279)),""))</f>
      </c>
      <c r="C279" s="522" t="n"/>
      <c r="D279" s="524">
        <f>IF(F279="","",IFERROR(INDEX(RAW!$A:$A,MAX(2,F279)),""))</f>
      </c>
      <c r="E279" s="525">
        <f>IF(F279="","",IFERROR(INDEX(RAW!$K:$K,MAX(2,F279)),0))</f>
      </c>
      <c r="F279" s="522" t="n"/>
      <c r="G279" s="504" t="inlineStr">
        <is>
          <t>신규</t>
        </is>
      </c>
      <c r="O279" s="498">
        <f>IF(LEFT(R279,2)="확인",R279,"")</f>
      </c>
      <c r="R279" s="504">
        <f>IF(A279="","",IF(C279="생활비","생활비",IF(AND(COUNTIF($A$8:$A$12,C279)=1,ISNUMBER(D279),E279&gt;0,COUNTIF($A$100:$A$399,A279)=1,IFERROR(IF(F279="",AND(LEFT(A279,1)="U",G279="월기록"),AND(F279&gt;=2,COUNTIF($F$100:$F$399,F279)=1,INDEX(RAW!$H:$H,MAX(2,F279))="지출",D279=INDEX(RAW!$A:$A,MAX(2,F279)),E279&lt;=INDEX(RAW!$K:$K,MAX(2,F279)),OR(AND(G279="기존반영",OR(A279="U003",A279="U007")),AND(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AND(OR(A279&lt;&gt;"U003",F279=356),OR(A279&lt;&gt;"U007",F279=2203),OR(G279&lt;&gt;"기존반영",A279="U003",A279="U007")))),FALSE)),"OK","확인: 사용등록")))</f>
      </c>
      <c r="S279" s="504">
        <f>IF(ISNUMBER(D279),DATE(YEAR(D279),MONTH(D279),1),0)</f>
        <v>0</v>
      </c>
      <c r="T279" s="526">
        <f>IF(R279="OK",SUMIFS($O$430:$O$729,$B$430:$B$729,A279,$E$430:$E$729,"&lt;"&amp;EDATE($B$3,1)),0)</f>
        <v>0</v>
      </c>
      <c r="U279" s="526">
        <f>IF(AND(R279="OK",D279&lt;EDATE($B$3,1),$B$3&gt;=DATE(2026,3,1)),MAX(0,E279-T279),0)</f>
        <v>0</v>
      </c>
      <c r="V279" s="526">
        <f>IFERROR(IF(AND(R279="OK",AND(F279&gt;=2,G279&lt;&gt;"기존반영",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E279,0),0)</f>
        <v>0</v>
      </c>
      <c r="W279" s="526">
        <f>IF(V279&gt;0,ROUNDUP(INDEX(RAW!$K:$K,MAX(2,F279))/1000,0)*1000-ROUNDUP((INDEX(RAW!$K:$K,MAX(2,F279))-V279)/1000,0)*1000,0)</f>
        <v>0</v>
      </c>
      <c r="X279" s="504">
        <f>IF(AND(R279="OK",IF($B$43="전체",D279&lt;EDATE($B$3,1),IF($B$43="미정산",U279&gt;0,OR(S279=$B$3,Z279&gt;0,U279&gt;0)))),1,0)</f>
        <v>0</v>
      </c>
      <c r="Y279" s="504">
        <f>IF(X279=1,COUNTIF($X$100:X279,1),0)</f>
        <v>0</v>
      </c>
      <c r="Z279" s="526">
        <f>IF(R279="OK",SUMIFS($O$430:$O$729,$B$430:$B$729,A279,$E$430:$E$729,"&gt;="&amp;$B$3,$E$430:$E$729,"&lt;"&amp;EDATE($B$3,1)),0)</f>
        <v>0</v>
      </c>
    </row>
    <row r="280" hidden="1" outlineLevel="1">
      <c r="A280" s="504">
        <f>IF(F280="","",IF(F280&gt;0,"R"&amp;F280,""))</f>
      </c>
      <c r="B280" s="504">
        <f>IF(F280="","",IFERROR(INDEX(RAW!$F:$F,MAX(2,F280)),""))</f>
      </c>
      <c r="C280" s="522" t="n"/>
      <c r="D280" s="524">
        <f>IF(F280="","",IFERROR(INDEX(RAW!$A:$A,MAX(2,F280)),""))</f>
      </c>
      <c r="E280" s="525">
        <f>IF(F280="","",IFERROR(INDEX(RAW!$K:$K,MAX(2,F280)),0))</f>
      </c>
      <c r="F280" s="522" t="n"/>
      <c r="G280" s="504" t="inlineStr">
        <is>
          <t>신규</t>
        </is>
      </c>
      <c r="O280" s="498">
        <f>IF(LEFT(R280,2)="확인",R280,"")</f>
      </c>
      <c r="R280" s="504">
        <f>IF(A280="","",IF(C280="생활비","생활비",IF(AND(COUNTIF($A$8:$A$12,C280)=1,ISNUMBER(D280),E280&gt;0,COUNTIF($A$100:$A$399,A280)=1,IFERROR(IF(F280="",AND(LEFT(A280,1)="U",G280="월기록"),AND(F280&gt;=2,COUNTIF($F$100:$F$399,F280)=1,INDEX(RAW!$H:$H,MAX(2,F280))="지출",D280=INDEX(RAW!$A:$A,MAX(2,F280)),E280&lt;=INDEX(RAW!$K:$K,MAX(2,F280)),OR(AND(G280="기존반영",OR(A280="U003",A280="U007")),AND(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AND(OR(A280&lt;&gt;"U003",F280=356),OR(A280&lt;&gt;"U007",F280=2203),OR(G280&lt;&gt;"기존반영",A280="U003",A280="U007")))),FALSE)),"OK","확인: 사용등록")))</f>
      </c>
      <c r="S280" s="504">
        <f>IF(ISNUMBER(D280),DATE(YEAR(D280),MONTH(D280),1),0)</f>
        <v>0</v>
      </c>
      <c r="T280" s="526">
        <f>IF(R280="OK",SUMIFS($O$430:$O$729,$B$430:$B$729,A280,$E$430:$E$729,"&lt;"&amp;EDATE($B$3,1)),0)</f>
        <v>0</v>
      </c>
      <c r="U280" s="526">
        <f>IF(AND(R280="OK",D280&lt;EDATE($B$3,1),$B$3&gt;=DATE(2026,3,1)),MAX(0,E280-T280),0)</f>
        <v>0</v>
      </c>
      <c r="V280" s="526">
        <f>IFERROR(IF(AND(R280="OK",AND(F280&gt;=2,G280&lt;&gt;"기존반영",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E280,0),0)</f>
        <v>0</v>
      </c>
      <c r="W280" s="526">
        <f>IF(V280&gt;0,ROUNDUP(INDEX(RAW!$K:$K,MAX(2,F280))/1000,0)*1000-ROUNDUP((INDEX(RAW!$K:$K,MAX(2,F280))-V280)/1000,0)*1000,0)</f>
        <v>0</v>
      </c>
      <c r="X280" s="504">
        <f>IF(AND(R280="OK",IF($B$43="전체",D280&lt;EDATE($B$3,1),IF($B$43="미정산",U280&gt;0,OR(S280=$B$3,Z280&gt;0,U280&gt;0)))),1,0)</f>
        <v>0</v>
      </c>
      <c r="Y280" s="504">
        <f>IF(X280=1,COUNTIF($X$100:X280,1),0)</f>
        <v>0</v>
      </c>
      <c r="Z280" s="526">
        <f>IF(R280="OK",SUMIFS($O$430:$O$729,$B$430:$B$729,A280,$E$430:$E$729,"&gt;="&amp;$B$3,$E$430:$E$729,"&lt;"&amp;EDATE($B$3,1)),0)</f>
        <v>0</v>
      </c>
    </row>
    <row r="281" hidden="1" outlineLevel="1">
      <c r="A281" s="504">
        <f>IF(F281="","",IF(F281&gt;0,"R"&amp;F281,""))</f>
      </c>
      <c r="B281" s="504">
        <f>IF(F281="","",IFERROR(INDEX(RAW!$F:$F,MAX(2,F281)),""))</f>
      </c>
      <c r="C281" s="522" t="n"/>
      <c r="D281" s="524">
        <f>IF(F281="","",IFERROR(INDEX(RAW!$A:$A,MAX(2,F281)),""))</f>
      </c>
      <c r="E281" s="525">
        <f>IF(F281="","",IFERROR(INDEX(RAW!$K:$K,MAX(2,F281)),0))</f>
      </c>
      <c r="F281" s="522" t="n"/>
      <c r="G281" s="504" t="inlineStr">
        <is>
          <t>신규</t>
        </is>
      </c>
      <c r="O281" s="498">
        <f>IF(LEFT(R281,2)="확인",R281,"")</f>
      </c>
      <c r="R281" s="504">
        <f>IF(A281="","",IF(C281="생활비","생활비",IF(AND(COUNTIF($A$8:$A$12,C281)=1,ISNUMBER(D281),E281&gt;0,COUNTIF($A$100:$A$399,A281)=1,IFERROR(IF(F281="",AND(LEFT(A281,1)="U",G281="월기록"),AND(F281&gt;=2,COUNTIF($F$100:$F$399,F281)=1,INDEX(RAW!$H:$H,MAX(2,F281))="지출",D281=INDEX(RAW!$A:$A,MAX(2,F281)),E281&lt;=INDEX(RAW!$K:$K,MAX(2,F281)),OR(AND(G281="기존반영",OR(A281="U003",A281="U007")),AND(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AND(OR(A281&lt;&gt;"U003",F281=356),OR(A281&lt;&gt;"U007",F281=2203),OR(G281&lt;&gt;"기존반영",A281="U003",A281="U007")))),FALSE)),"OK","확인: 사용등록")))</f>
      </c>
      <c r="S281" s="504">
        <f>IF(ISNUMBER(D281),DATE(YEAR(D281),MONTH(D281),1),0)</f>
        <v>0</v>
      </c>
      <c r="T281" s="526">
        <f>IF(R281="OK",SUMIFS($O$430:$O$729,$B$430:$B$729,A281,$E$430:$E$729,"&lt;"&amp;EDATE($B$3,1)),0)</f>
        <v>0</v>
      </c>
      <c r="U281" s="526">
        <f>IF(AND(R281="OK",D281&lt;EDATE($B$3,1),$B$3&gt;=DATE(2026,3,1)),MAX(0,E281-T281),0)</f>
        <v>0</v>
      </c>
      <c r="V281" s="526">
        <f>IFERROR(IF(AND(R281="OK",AND(F281&gt;=2,G281&lt;&gt;"기존반영",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E281,0),0)</f>
        <v>0</v>
      </c>
      <c r="W281" s="526">
        <f>IF(V281&gt;0,ROUNDUP(INDEX(RAW!$K:$K,MAX(2,F281))/1000,0)*1000-ROUNDUP((INDEX(RAW!$K:$K,MAX(2,F281))-V281)/1000,0)*1000,0)</f>
        <v>0</v>
      </c>
      <c r="X281" s="504">
        <f>IF(AND(R281="OK",IF($B$43="전체",D281&lt;EDATE($B$3,1),IF($B$43="미정산",U281&gt;0,OR(S281=$B$3,Z281&gt;0,U281&gt;0)))),1,0)</f>
        <v>0</v>
      </c>
      <c r="Y281" s="504">
        <f>IF(X281=1,COUNTIF($X$100:X281,1),0)</f>
        <v>0</v>
      </c>
      <c r="Z281" s="526">
        <f>IF(R281="OK",SUMIFS($O$430:$O$729,$B$430:$B$729,A281,$E$430:$E$729,"&gt;="&amp;$B$3,$E$430:$E$729,"&lt;"&amp;EDATE($B$3,1)),0)</f>
        <v>0</v>
      </c>
    </row>
    <row r="282" hidden="1" outlineLevel="1">
      <c r="A282" s="504">
        <f>IF(F282="","",IF(F282&gt;0,"R"&amp;F282,""))</f>
      </c>
      <c r="B282" s="504">
        <f>IF(F282="","",IFERROR(INDEX(RAW!$F:$F,MAX(2,F282)),""))</f>
      </c>
      <c r="C282" s="522" t="n"/>
      <c r="D282" s="524">
        <f>IF(F282="","",IFERROR(INDEX(RAW!$A:$A,MAX(2,F282)),""))</f>
      </c>
      <c r="E282" s="525">
        <f>IF(F282="","",IFERROR(INDEX(RAW!$K:$K,MAX(2,F282)),0))</f>
      </c>
      <c r="F282" s="522" t="n"/>
      <c r="G282" s="504" t="inlineStr">
        <is>
          <t>신규</t>
        </is>
      </c>
      <c r="O282" s="498">
        <f>IF(LEFT(R282,2)="확인",R282,"")</f>
      </c>
      <c r="R282" s="504">
        <f>IF(A282="","",IF(C282="생활비","생활비",IF(AND(COUNTIF($A$8:$A$12,C282)=1,ISNUMBER(D282),E282&gt;0,COUNTIF($A$100:$A$399,A282)=1,IFERROR(IF(F282="",AND(LEFT(A282,1)="U",G282="월기록"),AND(F282&gt;=2,COUNTIF($F$100:$F$399,F282)=1,INDEX(RAW!$H:$H,MAX(2,F282))="지출",D282=INDEX(RAW!$A:$A,MAX(2,F282)),E282&lt;=INDEX(RAW!$K:$K,MAX(2,F282)),OR(AND(G282="기존반영",OR(A282="U003",A282="U007")),AND(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AND(OR(A282&lt;&gt;"U003",F282=356),OR(A282&lt;&gt;"U007",F282=2203),OR(G282&lt;&gt;"기존반영",A282="U003",A282="U007")))),FALSE)),"OK","확인: 사용등록")))</f>
      </c>
      <c r="S282" s="504">
        <f>IF(ISNUMBER(D282),DATE(YEAR(D282),MONTH(D282),1),0)</f>
        <v>0</v>
      </c>
      <c r="T282" s="526">
        <f>IF(R282="OK",SUMIFS($O$430:$O$729,$B$430:$B$729,A282,$E$430:$E$729,"&lt;"&amp;EDATE($B$3,1)),0)</f>
        <v>0</v>
      </c>
      <c r="U282" s="526">
        <f>IF(AND(R282="OK",D282&lt;EDATE($B$3,1),$B$3&gt;=DATE(2026,3,1)),MAX(0,E282-T282),0)</f>
        <v>0</v>
      </c>
      <c r="V282" s="526">
        <f>IFERROR(IF(AND(R282="OK",AND(F282&gt;=2,G282&lt;&gt;"기존반영",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E282,0),0)</f>
        <v>0</v>
      </c>
      <c r="W282" s="526">
        <f>IF(V282&gt;0,ROUNDUP(INDEX(RAW!$K:$K,MAX(2,F282))/1000,0)*1000-ROUNDUP((INDEX(RAW!$K:$K,MAX(2,F282))-V282)/1000,0)*1000,0)</f>
        <v>0</v>
      </c>
      <c r="X282" s="504">
        <f>IF(AND(R282="OK",IF($B$43="전체",D282&lt;EDATE($B$3,1),IF($B$43="미정산",U282&gt;0,OR(S282=$B$3,Z282&gt;0,U282&gt;0)))),1,0)</f>
        <v>0</v>
      </c>
      <c r="Y282" s="504">
        <f>IF(X282=1,COUNTIF($X$100:X282,1),0)</f>
        <v>0</v>
      </c>
      <c r="Z282" s="526">
        <f>IF(R282="OK",SUMIFS($O$430:$O$729,$B$430:$B$729,A282,$E$430:$E$729,"&gt;="&amp;$B$3,$E$430:$E$729,"&lt;"&amp;EDATE($B$3,1)),0)</f>
        <v>0</v>
      </c>
    </row>
    <row r="283" hidden="1" outlineLevel="1">
      <c r="A283" s="504">
        <f>IF(F283="","",IF(F283&gt;0,"R"&amp;F283,""))</f>
      </c>
      <c r="B283" s="504">
        <f>IF(F283="","",IFERROR(INDEX(RAW!$F:$F,MAX(2,F283)),""))</f>
      </c>
      <c r="C283" s="522" t="n"/>
      <c r="D283" s="524">
        <f>IF(F283="","",IFERROR(INDEX(RAW!$A:$A,MAX(2,F283)),""))</f>
      </c>
      <c r="E283" s="525">
        <f>IF(F283="","",IFERROR(INDEX(RAW!$K:$K,MAX(2,F283)),0))</f>
      </c>
      <c r="F283" s="522" t="n"/>
      <c r="G283" s="504" t="inlineStr">
        <is>
          <t>신규</t>
        </is>
      </c>
      <c r="O283" s="498">
        <f>IF(LEFT(R283,2)="확인",R283,"")</f>
      </c>
      <c r="R283" s="504">
        <f>IF(A283="","",IF(C283="생활비","생활비",IF(AND(COUNTIF($A$8:$A$12,C283)=1,ISNUMBER(D283),E283&gt;0,COUNTIF($A$100:$A$399,A283)=1,IFERROR(IF(F283="",AND(LEFT(A283,1)="U",G283="월기록"),AND(F283&gt;=2,COUNTIF($F$100:$F$399,F283)=1,INDEX(RAW!$H:$H,MAX(2,F283))="지출",D283=INDEX(RAW!$A:$A,MAX(2,F283)),E283&lt;=INDEX(RAW!$K:$K,MAX(2,F283)),OR(AND(G283="기존반영",OR(A283="U003",A283="U007")),AND(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AND(OR(A283&lt;&gt;"U003",F283=356),OR(A283&lt;&gt;"U007",F283=2203),OR(G283&lt;&gt;"기존반영",A283="U003",A283="U007")))),FALSE)),"OK","확인: 사용등록")))</f>
      </c>
      <c r="S283" s="504">
        <f>IF(ISNUMBER(D283),DATE(YEAR(D283),MONTH(D283),1),0)</f>
        <v>0</v>
      </c>
      <c r="T283" s="526">
        <f>IF(R283="OK",SUMIFS($O$430:$O$729,$B$430:$B$729,A283,$E$430:$E$729,"&lt;"&amp;EDATE($B$3,1)),0)</f>
        <v>0</v>
      </c>
      <c r="U283" s="526">
        <f>IF(AND(R283="OK",D283&lt;EDATE($B$3,1),$B$3&gt;=DATE(2026,3,1)),MAX(0,E283-T283),0)</f>
        <v>0</v>
      </c>
      <c r="V283" s="526">
        <f>IFERROR(IF(AND(R283="OK",AND(F283&gt;=2,G283&lt;&gt;"기존반영",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E283,0),0)</f>
        <v>0</v>
      </c>
      <c r="W283" s="526">
        <f>IF(V283&gt;0,ROUNDUP(INDEX(RAW!$K:$K,MAX(2,F283))/1000,0)*1000-ROUNDUP((INDEX(RAW!$K:$K,MAX(2,F283))-V283)/1000,0)*1000,0)</f>
        <v>0</v>
      </c>
      <c r="X283" s="504">
        <f>IF(AND(R283="OK",IF($B$43="전체",D283&lt;EDATE($B$3,1),IF($B$43="미정산",U283&gt;0,OR(S283=$B$3,Z283&gt;0,U283&gt;0)))),1,0)</f>
        <v>0</v>
      </c>
      <c r="Y283" s="504">
        <f>IF(X283=1,COUNTIF($X$100:X283,1),0)</f>
        <v>0</v>
      </c>
      <c r="Z283" s="526">
        <f>IF(R283="OK",SUMIFS($O$430:$O$729,$B$430:$B$729,A283,$E$430:$E$729,"&gt;="&amp;$B$3,$E$430:$E$729,"&lt;"&amp;EDATE($B$3,1)),0)</f>
        <v>0</v>
      </c>
    </row>
    <row r="284" hidden="1" outlineLevel="1">
      <c r="A284" s="504">
        <f>IF(F284="","",IF(F284&gt;0,"R"&amp;F284,""))</f>
      </c>
      <c r="B284" s="504">
        <f>IF(F284="","",IFERROR(INDEX(RAW!$F:$F,MAX(2,F284)),""))</f>
      </c>
      <c r="C284" s="522" t="n"/>
      <c r="D284" s="524">
        <f>IF(F284="","",IFERROR(INDEX(RAW!$A:$A,MAX(2,F284)),""))</f>
      </c>
      <c r="E284" s="525">
        <f>IF(F284="","",IFERROR(INDEX(RAW!$K:$K,MAX(2,F284)),0))</f>
      </c>
      <c r="F284" s="522" t="n"/>
      <c r="G284" s="504" t="inlineStr">
        <is>
          <t>신규</t>
        </is>
      </c>
      <c r="O284" s="498">
        <f>IF(LEFT(R284,2)="확인",R284,"")</f>
      </c>
      <c r="R284" s="504">
        <f>IF(A284="","",IF(C284="생활비","생활비",IF(AND(COUNTIF($A$8:$A$12,C284)=1,ISNUMBER(D284),E284&gt;0,COUNTIF($A$100:$A$399,A284)=1,IFERROR(IF(F284="",AND(LEFT(A284,1)="U",G284="월기록"),AND(F284&gt;=2,COUNTIF($F$100:$F$399,F284)=1,INDEX(RAW!$H:$H,MAX(2,F284))="지출",D284=INDEX(RAW!$A:$A,MAX(2,F284)),E284&lt;=INDEX(RAW!$K:$K,MAX(2,F284)),OR(AND(G284="기존반영",OR(A284="U003",A284="U007")),AND(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AND(OR(A284&lt;&gt;"U003",F284=356),OR(A284&lt;&gt;"U007",F284=2203),OR(G284&lt;&gt;"기존반영",A284="U003",A284="U007")))),FALSE)),"OK","확인: 사용등록")))</f>
      </c>
      <c r="S284" s="504">
        <f>IF(ISNUMBER(D284),DATE(YEAR(D284),MONTH(D284),1),0)</f>
        <v>0</v>
      </c>
      <c r="T284" s="526">
        <f>IF(R284="OK",SUMIFS($O$430:$O$729,$B$430:$B$729,A284,$E$430:$E$729,"&lt;"&amp;EDATE($B$3,1)),0)</f>
        <v>0</v>
      </c>
      <c r="U284" s="526">
        <f>IF(AND(R284="OK",D284&lt;EDATE($B$3,1),$B$3&gt;=DATE(2026,3,1)),MAX(0,E284-T284),0)</f>
        <v>0</v>
      </c>
      <c r="V284" s="526">
        <f>IFERROR(IF(AND(R284="OK",AND(F284&gt;=2,G284&lt;&gt;"기존반영",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E284,0),0)</f>
        <v>0</v>
      </c>
      <c r="W284" s="526">
        <f>IF(V284&gt;0,ROUNDUP(INDEX(RAW!$K:$K,MAX(2,F284))/1000,0)*1000-ROUNDUP((INDEX(RAW!$K:$K,MAX(2,F284))-V284)/1000,0)*1000,0)</f>
        <v>0</v>
      </c>
      <c r="X284" s="504">
        <f>IF(AND(R284="OK",IF($B$43="전체",D284&lt;EDATE($B$3,1),IF($B$43="미정산",U284&gt;0,OR(S284=$B$3,Z284&gt;0,U284&gt;0)))),1,0)</f>
        <v>0</v>
      </c>
      <c r="Y284" s="504">
        <f>IF(X284=1,COUNTIF($X$100:X284,1),0)</f>
        <v>0</v>
      </c>
      <c r="Z284" s="526">
        <f>IF(R284="OK",SUMIFS($O$430:$O$729,$B$430:$B$729,A284,$E$430:$E$729,"&gt;="&amp;$B$3,$E$430:$E$729,"&lt;"&amp;EDATE($B$3,1)),0)</f>
        <v>0</v>
      </c>
    </row>
    <row r="285" hidden="1" outlineLevel="1">
      <c r="A285" s="504">
        <f>IF(F285="","",IF(F285&gt;0,"R"&amp;F285,""))</f>
      </c>
      <c r="B285" s="504">
        <f>IF(F285="","",IFERROR(INDEX(RAW!$F:$F,MAX(2,F285)),""))</f>
      </c>
      <c r="C285" s="522" t="n"/>
      <c r="D285" s="524">
        <f>IF(F285="","",IFERROR(INDEX(RAW!$A:$A,MAX(2,F285)),""))</f>
      </c>
      <c r="E285" s="525">
        <f>IF(F285="","",IFERROR(INDEX(RAW!$K:$K,MAX(2,F285)),0))</f>
      </c>
      <c r="F285" s="522" t="n"/>
      <c r="G285" s="504" t="inlineStr">
        <is>
          <t>신규</t>
        </is>
      </c>
      <c r="O285" s="498">
        <f>IF(LEFT(R285,2)="확인",R285,"")</f>
      </c>
      <c r="R285" s="504">
        <f>IF(A285="","",IF(C285="생활비","생활비",IF(AND(COUNTIF($A$8:$A$12,C285)=1,ISNUMBER(D285),E285&gt;0,COUNTIF($A$100:$A$399,A285)=1,IFERROR(IF(F285="",AND(LEFT(A285,1)="U",G285="월기록"),AND(F285&gt;=2,COUNTIF($F$100:$F$399,F285)=1,INDEX(RAW!$H:$H,MAX(2,F285))="지출",D285=INDEX(RAW!$A:$A,MAX(2,F285)),E285&lt;=INDEX(RAW!$K:$K,MAX(2,F285)),OR(AND(G285="기존반영",OR(A285="U003",A285="U007")),AND(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AND(OR(A285&lt;&gt;"U003",F285=356),OR(A285&lt;&gt;"U007",F285=2203),OR(G285&lt;&gt;"기존반영",A285="U003",A285="U007")))),FALSE)),"OK","확인: 사용등록")))</f>
      </c>
      <c r="S285" s="504">
        <f>IF(ISNUMBER(D285),DATE(YEAR(D285),MONTH(D285),1),0)</f>
        <v>0</v>
      </c>
      <c r="T285" s="526">
        <f>IF(R285="OK",SUMIFS($O$430:$O$729,$B$430:$B$729,A285,$E$430:$E$729,"&lt;"&amp;EDATE($B$3,1)),0)</f>
        <v>0</v>
      </c>
      <c r="U285" s="526">
        <f>IF(AND(R285="OK",D285&lt;EDATE($B$3,1),$B$3&gt;=DATE(2026,3,1)),MAX(0,E285-T285),0)</f>
        <v>0</v>
      </c>
      <c r="V285" s="526">
        <f>IFERROR(IF(AND(R285="OK",AND(F285&gt;=2,G285&lt;&gt;"기존반영",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E285,0),0)</f>
        <v>0</v>
      </c>
      <c r="W285" s="526">
        <f>IF(V285&gt;0,ROUNDUP(INDEX(RAW!$K:$K,MAX(2,F285))/1000,0)*1000-ROUNDUP((INDEX(RAW!$K:$K,MAX(2,F285))-V285)/1000,0)*1000,0)</f>
        <v>0</v>
      </c>
      <c r="X285" s="504">
        <f>IF(AND(R285="OK",IF($B$43="전체",D285&lt;EDATE($B$3,1),IF($B$43="미정산",U285&gt;0,OR(S285=$B$3,Z285&gt;0,U285&gt;0)))),1,0)</f>
        <v>0</v>
      </c>
      <c r="Y285" s="504">
        <f>IF(X285=1,COUNTIF($X$100:X285,1),0)</f>
        <v>0</v>
      </c>
      <c r="Z285" s="526">
        <f>IF(R285="OK",SUMIFS($O$430:$O$729,$B$430:$B$729,A285,$E$430:$E$729,"&gt;="&amp;$B$3,$E$430:$E$729,"&lt;"&amp;EDATE($B$3,1)),0)</f>
        <v>0</v>
      </c>
    </row>
    <row r="286" hidden="1" outlineLevel="1">
      <c r="A286" s="504">
        <f>IF(F286="","",IF(F286&gt;0,"R"&amp;F286,""))</f>
      </c>
      <c r="B286" s="504">
        <f>IF(F286="","",IFERROR(INDEX(RAW!$F:$F,MAX(2,F286)),""))</f>
      </c>
      <c r="C286" s="522" t="n"/>
      <c r="D286" s="524">
        <f>IF(F286="","",IFERROR(INDEX(RAW!$A:$A,MAX(2,F286)),""))</f>
      </c>
      <c r="E286" s="525">
        <f>IF(F286="","",IFERROR(INDEX(RAW!$K:$K,MAX(2,F286)),0))</f>
      </c>
      <c r="F286" s="522" t="n"/>
      <c r="G286" s="504" t="inlineStr">
        <is>
          <t>신규</t>
        </is>
      </c>
      <c r="O286" s="498">
        <f>IF(LEFT(R286,2)="확인",R286,"")</f>
      </c>
      <c r="R286" s="504">
        <f>IF(A286="","",IF(C286="생활비","생활비",IF(AND(COUNTIF($A$8:$A$12,C286)=1,ISNUMBER(D286),E286&gt;0,COUNTIF($A$100:$A$399,A286)=1,IFERROR(IF(F286="",AND(LEFT(A286,1)="U",G286="월기록"),AND(F286&gt;=2,COUNTIF($F$100:$F$399,F286)=1,INDEX(RAW!$H:$H,MAX(2,F286))="지출",D286=INDEX(RAW!$A:$A,MAX(2,F286)),E286&lt;=INDEX(RAW!$K:$K,MAX(2,F286)),OR(AND(G286="기존반영",OR(A286="U003",A286="U007")),AND(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AND(OR(A286&lt;&gt;"U003",F286=356),OR(A286&lt;&gt;"U007",F286=2203),OR(G286&lt;&gt;"기존반영",A286="U003",A286="U007")))),FALSE)),"OK","확인: 사용등록")))</f>
      </c>
      <c r="S286" s="504">
        <f>IF(ISNUMBER(D286),DATE(YEAR(D286),MONTH(D286),1),0)</f>
        <v>0</v>
      </c>
      <c r="T286" s="526">
        <f>IF(R286="OK",SUMIFS($O$430:$O$729,$B$430:$B$729,A286,$E$430:$E$729,"&lt;"&amp;EDATE($B$3,1)),0)</f>
        <v>0</v>
      </c>
      <c r="U286" s="526">
        <f>IF(AND(R286="OK",D286&lt;EDATE($B$3,1),$B$3&gt;=DATE(2026,3,1)),MAX(0,E286-T286),0)</f>
        <v>0</v>
      </c>
      <c r="V286" s="526">
        <f>IFERROR(IF(AND(R286="OK",AND(F286&gt;=2,G286&lt;&gt;"기존반영",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E286,0),0)</f>
        <v>0</v>
      </c>
      <c r="W286" s="526">
        <f>IF(V286&gt;0,ROUNDUP(INDEX(RAW!$K:$K,MAX(2,F286))/1000,0)*1000-ROUNDUP((INDEX(RAW!$K:$K,MAX(2,F286))-V286)/1000,0)*1000,0)</f>
        <v>0</v>
      </c>
      <c r="X286" s="504">
        <f>IF(AND(R286="OK",IF($B$43="전체",D286&lt;EDATE($B$3,1),IF($B$43="미정산",U286&gt;0,OR(S286=$B$3,Z286&gt;0,U286&gt;0)))),1,0)</f>
        <v>0</v>
      </c>
      <c r="Y286" s="504">
        <f>IF(X286=1,COUNTIF($X$100:X286,1),0)</f>
        <v>0</v>
      </c>
      <c r="Z286" s="526">
        <f>IF(R286="OK",SUMIFS($O$430:$O$729,$B$430:$B$729,A286,$E$430:$E$729,"&gt;="&amp;$B$3,$E$430:$E$729,"&lt;"&amp;EDATE($B$3,1)),0)</f>
        <v>0</v>
      </c>
    </row>
    <row r="287" hidden="1" outlineLevel="1">
      <c r="A287" s="504">
        <f>IF(F287="","",IF(F287&gt;0,"R"&amp;F287,""))</f>
      </c>
      <c r="B287" s="504">
        <f>IF(F287="","",IFERROR(INDEX(RAW!$F:$F,MAX(2,F287)),""))</f>
      </c>
      <c r="C287" s="522" t="n"/>
      <c r="D287" s="524">
        <f>IF(F287="","",IFERROR(INDEX(RAW!$A:$A,MAX(2,F287)),""))</f>
      </c>
      <c r="E287" s="525">
        <f>IF(F287="","",IFERROR(INDEX(RAW!$K:$K,MAX(2,F287)),0))</f>
      </c>
      <c r="F287" s="522" t="n"/>
      <c r="G287" s="504" t="inlineStr">
        <is>
          <t>신규</t>
        </is>
      </c>
      <c r="O287" s="498">
        <f>IF(LEFT(R287,2)="확인",R287,"")</f>
      </c>
      <c r="R287" s="504">
        <f>IF(A287="","",IF(C287="생활비","생활비",IF(AND(COUNTIF($A$8:$A$12,C287)=1,ISNUMBER(D287),E287&gt;0,COUNTIF($A$100:$A$399,A287)=1,IFERROR(IF(F287="",AND(LEFT(A287,1)="U",G287="월기록"),AND(F287&gt;=2,COUNTIF($F$100:$F$399,F287)=1,INDEX(RAW!$H:$H,MAX(2,F287))="지출",D287=INDEX(RAW!$A:$A,MAX(2,F287)),E287&lt;=INDEX(RAW!$K:$K,MAX(2,F287)),OR(AND(G287="기존반영",OR(A287="U003",A287="U007")),AND(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AND(OR(A287&lt;&gt;"U003",F287=356),OR(A287&lt;&gt;"U007",F287=2203),OR(G287&lt;&gt;"기존반영",A287="U003",A287="U007")))),FALSE)),"OK","확인: 사용등록")))</f>
      </c>
      <c r="S287" s="504">
        <f>IF(ISNUMBER(D287),DATE(YEAR(D287),MONTH(D287),1),0)</f>
        <v>0</v>
      </c>
      <c r="T287" s="526">
        <f>IF(R287="OK",SUMIFS($O$430:$O$729,$B$430:$B$729,A287,$E$430:$E$729,"&lt;"&amp;EDATE($B$3,1)),0)</f>
        <v>0</v>
      </c>
      <c r="U287" s="526">
        <f>IF(AND(R287="OK",D287&lt;EDATE($B$3,1),$B$3&gt;=DATE(2026,3,1)),MAX(0,E287-T287),0)</f>
        <v>0</v>
      </c>
      <c r="V287" s="526">
        <f>IFERROR(IF(AND(R287="OK",AND(F287&gt;=2,G287&lt;&gt;"기존반영",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E287,0),0)</f>
        <v>0</v>
      </c>
      <c r="W287" s="526">
        <f>IF(V287&gt;0,ROUNDUP(INDEX(RAW!$K:$K,MAX(2,F287))/1000,0)*1000-ROUNDUP((INDEX(RAW!$K:$K,MAX(2,F287))-V287)/1000,0)*1000,0)</f>
        <v>0</v>
      </c>
      <c r="X287" s="504">
        <f>IF(AND(R287="OK",IF($B$43="전체",D287&lt;EDATE($B$3,1),IF($B$43="미정산",U287&gt;0,OR(S287=$B$3,Z287&gt;0,U287&gt;0)))),1,0)</f>
        <v>0</v>
      </c>
      <c r="Y287" s="504">
        <f>IF(X287=1,COUNTIF($X$100:X287,1),0)</f>
        <v>0</v>
      </c>
      <c r="Z287" s="526">
        <f>IF(R287="OK",SUMIFS($O$430:$O$729,$B$430:$B$729,A287,$E$430:$E$729,"&gt;="&amp;$B$3,$E$430:$E$729,"&lt;"&amp;EDATE($B$3,1)),0)</f>
        <v>0</v>
      </c>
    </row>
    <row r="288" hidden="1" outlineLevel="1">
      <c r="A288" s="504">
        <f>IF(F288="","",IF(F288&gt;0,"R"&amp;F288,""))</f>
      </c>
      <c r="B288" s="504">
        <f>IF(F288="","",IFERROR(INDEX(RAW!$F:$F,MAX(2,F288)),""))</f>
      </c>
      <c r="C288" s="522" t="n"/>
      <c r="D288" s="524">
        <f>IF(F288="","",IFERROR(INDEX(RAW!$A:$A,MAX(2,F288)),""))</f>
      </c>
      <c r="E288" s="525">
        <f>IF(F288="","",IFERROR(INDEX(RAW!$K:$K,MAX(2,F288)),0))</f>
      </c>
      <c r="F288" s="522" t="n"/>
      <c r="G288" s="504" t="inlineStr">
        <is>
          <t>신규</t>
        </is>
      </c>
      <c r="O288" s="498">
        <f>IF(LEFT(R288,2)="확인",R288,"")</f>
      </c>
      <c r="R288" s="504">
        <f>IF(A288="","",IF(C288="생활비","생활비",IF(AND(COUNTIF($A$8:$A$12,C288)=1,ISNUMBER(D288),E288&gt;0,COUNTIF($A$100:$A$399,A288)=1,IFERROR(IF(F288="",AND(LEFT(A288,1)="U",G288="월기록"),AND(F288&gt;=2,COUNTIF($F$100:$F$399,F288)=1,INDEX(RAW!$H:$H,MAX(2,F288))="지출",D288=INDEX(RAW!$A:$A,MAX(2,F288)),E288&lt;=INDEX(RAW!$K:$K,MAX(2,F288)),OR(AND(G288="기존반영",OR(A288="U003",A288="U007")),AND(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AND(OR(A288&lt;&gt;"U003",F288=356),OR(A288&lt;&gt;"U007",F288=2203),OR(G288&lt;&gt;"기존반영",A288="U003",A288="U007")))),FALSE)),"OK","확인: 사용등록")))</f>
      </c>
      <c r="S288" s="504">
        <f>IF(ISNUMBER(D288),DATE(YEAR(D288),MONTH(D288),1),0)</f>
        <v>0</v>
      </c>
      <c r="T288" s="526">
        <f>IF(R288="OK",SUMIFS($O$430:$O$729,$B$430:$B$729,A288,$E$430:$E$729,"&lt;"&amp;EDATE($B$3,1)),0)</f>
        <v>0</v>
      </c>
      <c r="U288" s="526">
        <f>IF(AND(R288="OK",D288&lt;EDATE($B$3,1),$B$3&gt;=DATE(2026,3,1)),MAX(0,E288-T288),0)</f>
        <v>0</v>
      </c>
      <c r="V288" s="526">
        <f>IFERROR(IF(AND(R288="OK",AND(F288&gt;=2,G288&lt;&gt;"기존반영",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E288,0),0)</f>
        <v>0</v>
      </c>
      <c r="W288" s="526">
        <f>IF(V288&gt;0,ROUNDUP(INDEX(RAW!$K:$K,MAX(2,F288))/1000,0)*1000-ROUNDUP((INDEX(RAW!$K:$K,MAX(2,F288))-V288)/1000,0)*1000,0)</f>
        <v>0</v>
      </c>
      <c r="X288" s="504">
        <f>IF(AND(R288="OK",IF($B$43="전체",D288&lt;EDATE($B$3,1),IF($B$43="미정산",U288&gt;0,OR(S288=$B$3,Z288&gt;0,U288&gt;0)))),1,0)</f>
        <v>0</v>
      </c>
      <c r="Y288" s="504">
        <f>IF(X288=1,COUNTIF($X$100:X288,1),0)</f>
        <v>0</v>
      </c>
      <c r="Z288" s="526">
        <f>IF(R288="OK",SUMIFS($O$430:$O$729,$B$430:$B$729,A288,$E$430:$E$729,"&gt;="&amp;$B$3,$E$430:$E$729,"&lt;"&amp;EDATE($B$3,1)),0)</f>
        <v>0</v>
      </c>
    </row>
    <row r="289" hidden="1" outlineLevel="1">
      <c r="A289" s="504">
        <f>IF(F289="","",IF(F289&gt;0,"R"&amp;F289,""))</f>
      </c>
      <c r="B289" s="504">
        <f>IF(F289="","",IFERROR(INDEX(RAW!$F:$F,MAX(2,F289)),""))</f>
      </c>
      <c r="C289" s="522" t="n"/>
      <c r="D289" s="524">
        <f>IF(F289="","",IFERROR(INDEX(RAW!$A:$A,MAX(2,F289)),""))</f>
      </c>
      <c r="E289" s="525">
        <f>IF(F289="","",IFERROR(INDEX(RAW!$K:$K,MAX(2,F289)),0))</f>
      </c>
      <c r="F289" s="522" t="n"/>
      <c r="G289" s="504" t="inlineStr">
        <is>
          <t>신규</t>
        </is>
      </c>
      <c r="O289" s="498">
        <f>IF(LEFT(R289,2)="확인",R289,"")</f>
      </c>
      <c r="R289" s="504">
        <f>IF(A289="","",IF(C289="생활비","생활비",IF(AND(COUNTIF($A$8:$A$12,C289)=1,ISNUMBER(D289),E289&gt;0,COUNTIF($A$100:$A$399,A289)=1,IFERROR(IF(F289="",AND(LEFT(A289,1)="U",G289="월기록"),AND(F289&gt;=2,COUNTIF($F$100:$F$399,F289)=1,INDEX(RAW!$H:$H,MAX(2,F289))="지출",D289=INDEX(RAW!$A:$A,MAX(2,F289)),E289&lt;=INDEX(RAW!$K:$K,MAX(2,F289)),OR(AND(G289="기존반영",OR(A289="U003",A289="U007")),AND(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AND(OR(A289&lt;&gt;"U003",F289=356),OR(A289&lt;&gt;"U007",F289=2203),OR(G289&lt;&gt;"기존반영",A289="U003",A289="U007")))),FALSE)),"OK","확인: 사용등록")))</f>
      </c>
      <c r="S289" s="504">
        <f>IF(ISNUMBER(D289),DATE(YEAR(D289),MONTH(D289),1),0)</f>
        <v>0</v>
      </c>
      <c r="T289" s="526">
        <f>IF(R289="OK",SUMIFS($O$430:$O$729,$B$430:$B$729,A289,$E$430:$E$729,"&lt;"&amp;EDATE($B$3,1)),0)</f>
        <v>0</v>
      </c>
      <c r="U289" s="526">
        <f>IF(AND(R289="OK",D289&lt;EDATE($B$3,1),$B$3&gt;=DATE(2026,3,1)),MAX(0,E289-T289),0)</f>
        <v>0</v>
      </c>
      <c r="V289" s="526">
        <f>IFERROR(IF(AND(R289="OK",AND(F289&gt;=2,G289&lt;&gt;"기존반영",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E289,0),0)</f>
        <v>0</v>
      </c>
      <c r="W289" s="526">
        <f>IF(V289&gt;0,ROUNDUP(INDEX(RAW!$K:$K,MAX(2,F289))/1000,0)*1000-ROUNDUP((INDEX(RAW!$K:$K,MAX(2,F289))-V289)/1000,0)*1000,0)</f>
        <v>0</v>
      </c>
      <c r="X289" s="504">
        <f>IF(AND(R289="OK",IF($B$43="전체",D289&lt;EDATE($B$3,1),IF($B$43="미정산",U289&gt;0,OR(S289=$B$3,Z289&gt;0,U289&gt;0)))),1,0)</f>
        <v>0</v>
      </c>
      <c r="Y289" s="504">
        <f>IF(X289=1,COUNTIF($X$100:X289,1),0)</f>
        <v>0</v>
      </c>
      <c r="Z289" s="526">
        <f>IF(R289="OK",SUMIFS($O$430:$O$729,$B$430:$B$729,A289,$E$430:$E$729,"&gt;="&amp;$B$3,$E$430:$E$729,"&lt;"&amp;EDATE($B$3,1)),0)</f>
        <v>0</v>
      </c>
    </row>
    <row r="290" hidden="1" outlineLevel="1">
      <c r="A290" s="504">
        <f>IF(F290="","",IF(F290&gt;0,"R"&amp;F290,""))</f>
      </c>
      <c r="B290" s="504">
        <f>IF(F290="","",IFERROR(INDEX(RAW!$F:$F,MAX(2,F290)),""))</f>
      </c>
      <c r="C290" s="522" t="n"/>
      <c r="D290" s="524">
        <f>IF(F290="","",IFERROR(INDEX(RAW!$A:$A,MAX(2,F290)),""))</f>
      </c>
      <c r="E290" s="525">
        <f>IF(F290="","",IFERROR(INDEX(RAW!$K:$K,MAX(2,F290)),0))</f>
      </c>
      <c r="F290" s="522" t="n"/>
      <c r="G290" s="504" t="inlineStr">
        <is>
          <t>신규</t>
        </is>
      </c>
      <c r="O290" s="498">
        <f>IF(LEFT(R290,2)="확인",R290,"")</f>
      </c>
      <c r="R290" s="504">
        <f>IF(A290="","",IF(C290="생활비","생활비",IF(AND(COUNTIF($A$8:$A$12,C290)=1,ISNUMBER(D290),E290&gt;0,COUNTIF($A$100:$A$399,A290)=1,IFERROR(IF(F290="",AND(LEFT(A290,1)="U",G290="월기록"),AND(F290&gt;=2,COUNTIF($F$100:$F$399,F290)=1,INDEX(RAW!$H:$H,MAX(2,F290))="지출",D290=INDEX(RAW!$A:$A,MAX(2,F290)),E290&lt;=INDEX(RAW!$K:$K,MAX(2,F290)),OR(AND(G290="기존반영",OR(A290="U003",A290="U007")),AND(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AND(OR(A290&lt;&gt;"U003",F290=356),OR(A290&lt;&gt;"U007",F290=2203),OR(G290&lt;&gt;"기존반영",A290="U003",A290="U007")))),FALSE)),"OK","확인: 사용등록")))</f>
      </c>
      <c r="S290" s="504">
        <f>IF(ISNUMBER(D290),DATE(YEAR(D290),MONTH(D290),1),0)</f>
        <v>0</v>
      </c>
      <c r="T290" s="526">
        <f>IF(R290="OK",SUMIFS($O$430:$O$729,$B$430:$B$729,A290,$E$430:$E$729,"&lt;"&amp;EDATE($B$3,1)),0)</f>
        <v>0</v>
      </c>
      <c r="U290" s="526">
        <f>IF(AND(R290="OK",D290&lt;EDATE($B$3,1),$B$3&gt;=DATE(2026,3,1)),MAX(0,E290-T290),0)</f>
        <v>0</v>
      </c>
      <c r="V290" s="526">
        <f>IFERROR(IF(AND(R290="OK",AND(F290&gt;=2,G290&lt;&gt;"기존반영",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E290,0),0)</f>
        <v>0</v>
      </c>
      <c r="W290" s="526">
        <f>IF(V290&gt;0,ROUNDUP(INDEX(RAW!$K:$K,MAX(2,F290))/1000,0)*1000-ROUNDUP((INDEX(RAW!$K:$K,MAX(2,F290))-V290)/1000,0)*1000,0)</f>
        <v>0</v>
      </c>
      <c r="X290" s="504">
        <f>IF(AND(R290="OK",IF($B$43="전체",D290&lt;EDATE($B$3,1),IF($B$43="미정산",U290&gt;0,OR(S290=$B$3,Z290&gt;0,U290&gt;0)))),1,0)</f>
        <v>0</v>
      </c>
      <c r="Y290" s="504">
        <f>IF(X290=1,COUNTIF($X$100:X290,1),0)</f>
        <v>0</v>
      </c>
      <c r="Z290" s="526">
        <f>IF(R290="OK",SUMIFS($O$430:$O$729,$B$430:$B$729,A290,$E$430:$E$729,"&gt;="&amp;$B$3,$E$430:$E$729,"&lt;"&amp;EDATE($B$3,1)),0)</f>
        <v>0</v>
      </c>
    </row>
    <row r="291" hidden="1" outlineLevel="1">
      <c r="A291" s="504">
        <f>IF(F291="","",IF(F291&gt;0,"R"&amp;F291,""))</f>
      </c>
      <c r="B291" s="504">
        <f>IF(F291="","",IFERROR(INDEX(RAW!$F:$F,MAX(2,F291)),""))</f>
      </c>
      <c r="C291" s="522" t="n"/>
      <c r="D291" s="524">
        <f>IF(F291="","",IFERROR(INDEX(RAW!$A:$A,MAX(2,F291)),""))</f>
      </c>
      <c r="E291" s="525">
        <f>IF(F291="","",IFERROR(INDEX(RAW!$K:$K,MAX(2,F291)),0))</f>
      </c>
      <c r="F291" s="522" t="n"/>
      <c r="G291" s="504" t="inlineStr">
        <is>
          <t>신규</t>
        </is>
      </c>
      <c r="O291" s="498">
        <f>IF(LEFT(R291,2)="확인",R291,"")</f>
      </c>
      <c r="R291" s="504">
        <f>IF(A291="","",IF(C291="생활비","생활비",IF(AND(COUNTIF($A$8:$A$12,C291)=1,ISNUMBER(D291),E291&gt;0,COUNTIF($A$100:$A$399,A291)=1,IFERROR(IF(F291="",AND(LEFT(A291,1)="U",G291="월기록"),AND(F291&gt;=2,COUNTIF($F$100:$F$399,F291)=1,INDEX(RAW!$H:$H,MAX(2,F291))="지출",D291=INDEX(RAW!$A:$A,MAX(2,F291)),E291&lt;=INDEX(RAW!$K:$K,MAX(2,F291)),OR(AND(G291="기존반영",OR(A291="U003",A291="U007")),AND(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AND(OR(A291&lt;&gt;"U003",F291=356),OR(A291&lt;&gt;"U007",F291=2203),OR(G291&lt;&gt;"기존반영",A291="U003",A291="U007")))),FALSE)),"OK","확인: 사용등록")))</f>
      </c>
      <c r="S291" s="504">
        <f>IF(ISNUMBER(D291),DATE(YEAR(D291),MONTH(D291),1),0)</f>
        <v>0</v>
      </c>
      <c r="T291" s="526">
        <f>IF(R291="OK",SUMIFS($O$430:$O$729,$B$430:$B$729,A291,$E$430:$E$729,"&lt;"&amp;EDATE($B$3,1)),0)</f>
        <v>0</v>
      </c>
      <c r="U291" s="526">
        <f>IF(AND(R291="OK",D291&lt;EDATE($B$3,1),$B$3&gt;=DATE(2026,3,1)),MAX(0,E291-T291),0)</f>
        <v>0</v>
      </c>
      <c r="V291" s="526">
        <f>IFERROR(IF(AND(R291="OK",AND(F291&gt;=2,G291&lt;&gt;"기존반영",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E291,0),0)</f>
        <v>0</v>
      </c>
      <c r="W291" s="526">
        <f>IF(V291&gt;0,ROUNDUP(INDEX(RAW!$K:$K,MAX(2,F291))/1000,0)*1000-ROUNDUP((INDEX(RAW!$K:$K,MAX(2,F291))-V291)/1000,0)*1000,0)</f>
        <v>0</v>
      </c>
      <c r="X291" s="504">
        <f>IF(AND(R291="OK",IF($B$43="전체",D291&lt;EDATE($B$3,1),IF($B$43="미정산",U291&gt;0,OR(S291=$B$3,Z291&gt;0,U291&gt;0)))),1,0)</f>
        <v>0</v>
      </c>
      <c r="Y291" s="504">
        <f>IF(X291=1,COUNTIF($X$100:X291,1),0)</f>
        <v>0</v>
      </c>
      <c r="Z291" s="526">
        <f>IF(R291="OK",SUMIFS($O$430:$O$729,$B$430:$B$729,A291,$E$430:$E$729,"&gt;="&amp;$B$3,$E$430:$E$729,"&lt;"&amp;EDATE($B$3,1)),0)</f>
        <v>0</v>
      </c>
    </row>
    <row r="292" hidden="1" outlineLevel="1">
      <c r="A292" s="504">
        <f>IF(F292="","",IF(F292&gt;0,"R"&amp;F292,""))</f>
      </c>
      <c r="B292" s="504">
        <f>IF(F292="","",IFERROR(INDEX(RAW!$F:$F,MAX(2,F292)),""))</f>
      </c>
      <c r="C292" s="522" t="n"/>
      <c r="D292" s="524">
        <f>IF(F292="","",IFERROR(INDEX(RAW!$A:$A,MAX(2,F292)),""))</f>
      </c>
      <c r="E292" s="525">
        <f>IF(F292="","",IFERROR(INDEX(RAW!$K:$K,MAX(2,F292)),0))</f>
      </c>
      <c r="F292" s="522" t="n"/>
      <c r="G292" s="504" t="inlineStr">
        <is>
          <t>신규</t>
        </is>
      </c>
      <c r="O292" s="498">
        <f>IF(LEFT(R292,2)="확인",R292,"")</f>
      </c>
      <c r="R292" s="504">
        <f>IF(A292="","",IF(C292="생활비","생활비",IF(AND(COUNTIF($A$8:$A$12,C292)=1,ISNUMBER(D292),E292&gt;0,COUNTIF($A$100:$A$399,A292)=1,IFERROR(IF(F292="",AND(LEFT(A292,1)="U",G292="월기록"),AND(F292&gt;=2,COUNTIF($F$100:$F$399,F292)=1,INDEX(RAW!$H:$H,MAX(2,F292))="지출",D292=INDEX(RAW!$A:$A,MAX(2,F292)),E292&lt;=INDEX(RAW!$K:$K,MAX(2,F292)),OR(AND(G292="기존반영",OR(A292="U003",A292="U007")),AND(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AND(OR(A292&lt;&gt;"U003",F292=356),OR(A292&lt;&gt;"U007",F292=2203),OR(G292&lt;&gt;"기존반영",A292="U003",A292="U007")))),FALSE)),"OK","확인: 사용등록")))</f>
      </c>
      <c r="S292" s="504">
        <f>IF(ISNUMBER(D292),DATE(YEAR(D292),MONTH(D292),1),0)</f>
        <v>0</v>
      </c>
      <c r="T292" s="526">
        <f>IF(R292="OK",SUMIFS($O$430:$O$729,$B$430:$B$729,A292,$E$430:$E$729,"&lt;"&amp;EDATE($B$3,1)),0)</f>
        <v>0</v>
      </c>
      <c r="U292" s="526">
        <f>IF(AND(R292="OK",D292&lt;EDATE($B$3,1),$B$3&gt;=DATE(2026,3,1)),MAX(0,E292-T292),0)</f>
        <v>0</v>
      </c>
      <c r="V292" s="526">
        <f>IFERROR(IF(AND(R292="OK",AND(F292&gt;=2,G292&lt;&gt;"기존반영",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E292,0),0)</f>
        <v>0</v>
      </c>
      <c r="W292" s="526">
        <f>IF(V292&gt;0,ROUNDUP(INDEX(RAW!$K:$K,MAX(2,F292))/1000,0)*1000-ROUNDUP((INDEX(RAW!$K:$K,MAX(2,F292))-V292)/1000,0)*1000,0)</f>
        <v>0</v>
      </c>
      <c r="X292" s="504">
        <f>IF(AND(R292="OK",IF($B$43="전체",D292&lt;EDATE($B$3,1),IF($B$43="미정산",U292&gt;0,OR(S292=$B$3,Z292&gt;0,U292&gt;0)))),1,0)</f>
        <v>0</v>
      </c>
      <c r="Y292" s="504">
        <f>IF(X292=1,COUNTIF($X$100:X292,1),0)</f>
        <v>0</v>
      </c>
      <c r="Z292" s="526">
        <f>IF(R292="OK",SUMIFS($O$430:$O$729,$B$430:$B$729,A292,$E$430:$E$729,"&gt;="&amp;$B$3,$E$430:$E$729,"&lt;"&amp;EDATE($B$3,1)),0)</f>
        <v>0</v>
      </c>
    </row>
    <row r="293" hidden="1" outlineLevel="1">
      <c r="A293" s="504">
        <f>IF(F293="","",IF(F293&gt;0,"R"&amp;F293,""))</f>
      </c>
      <c r="B293" s="504">
        <f>IF(F293="","",IFERROR(INDEX(RAW!$F:$F,MAX(2,F293)),""))</f>
      </c>
      <c r="C293" s="522" t="n"/>
      <c r="D293" s="524">
        <f>IF(F293="","",IFERROR(INDEX(RAW!$A:$A,MAX(2,F293)),""))</f>
      </c>
      <c r="E293" s="525">
        <f>IF(F293="","",IFERROR(INDEX(RAW!$K:$K,MAX(2,F293)),0))</f>
      </c>
      <c r="F293" s="522" t="n"/>
      <c r="G293" s="504" t="inlineStr">
        <is>
          <t>신규</t>
        </is>
      </c>
      <c r="O293" s="498">
        <f>IF(LEFT(R293,2)="확인",R293,"")</f>
      </c>
      <c r="R293" s="504">
        <f>IF(A293="","",IF(C293="생활비","생활비",IF(AND(COUNTIF($A$8:$A$12,C293)=1,ISNUMBER(D293),E293&gt;0,COUNTIF($A$100:$A$399,A293)=1,IFERROR(IF(F293="",AND(LEFT(A293,1)="U",G293="월기록"),AND(F293&gt;=2,COUNTIF($F$100:$F$399,F293)=1,INDEX(RAW!$H:$H,MAX(2,F293))="지출",D293=INDEX(RAW!$A:$A,MAX(2,F293)),E293&lt;=INDEX(RAW!$K:$K,MAX(2,F293)),OR(AND(G293="기존반영",OR(A293="U003",A293="U007")),AND(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AND(OR(A293&lt;&gt;"U003",F293=356),OR(A293&lt;&gt;"U007",F293=2203),OR(G293&lt;&gt;"기존반영",A293="U003",A293="U007")))),FALSE)),"OK","확인: 사용등록")))</f>
      </c>
      <c r="S293" s="504">
        <f>IF(ISNUMBER(D293),DATE(YEAR(D293),MONTH(D293),1),0)</f>
        <v>0</v>
      </c>
      <c r="T293" s="526">
        <f>IF(R293="OK",SUMIFS($O$430:$O$729,$B$430:$B$729,A293,$E$430:$E$729,"&lt;"&amp;EDATE($B$3,1)),0)</f>
        <v>0</v>
      </c>
      <c r="U293" s="526">
        <f>IF(AND(R293="OK",D293&lt;EDATE($B$3,1),$B$3&gt;=DATE(2026,3,1)),MAX(0,E293-T293),0)</f>
        <v>0</v>
      </c>
      <c r="V293" s="526">
        <f>IFERROR(IF(AND(R293="OK",AND(F293&gt;=2,G293&lt;&gt;"기존반영",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E293,0),0)</f>
        <v>0</v>
      </c>
      <c r="W293" s="526">
        <f>IF(V293&gt;0,ROUNDUP(INDEX(RAW!$K:$K,MAX(2,F293))/1000,0)*1000-ROUNDUP((INDEX(RAW!$K:$K,MAX(2,F293))-V293)/1000,0)*1000,0)</f>
        <v>0</v>
      </c>
      <c r="X293" s="504">
        <f>IF(AND(R293="OK",IF($B$43="전체",D293&lt;EDATE($B$3,1),IF($B$43="미정산",U293&gt;0,OR(S293=$B$3,Z293&gt;0,U293&gt;0)))),1,0)</f>
        <v>0</v>
      </c>
      <c r="Y293" s="504">
        <f>IF(X293=1,COUNTIF($X$100:X293,1),0)</f>
        <v>0</v>
      </c>
      <c r="Z293" s="526">
        <f>IF(R293="OK",SUMIFS($O$430:$O$729,$B$430:$B$729,A293,$E$430:$E$729,"&gt;="&amp;$B$3,$E$430:$E$729,"&lt;"&amp;EDATE($B$3,1)),0)</f>
        <v>0</v>
      </c>
    </row>
    <row r="294" hidden="1" outlineLevel="1">
      <c r="A294" s="504">
        <f>IF(F294="","",IF(F294&gt;0,"R"&amp;F294,""))</f>
      </c>
      <c r="B294" s="504">
        <f>IF(F294="","",IFERROR(INDEX(RAW!$F:$F,MAX(2,F294)),""))</f>
      </c>
      <c r="C294" s="522" t="n"/>
      <c r="D294" s="524">
        <f>IF(F294="","",IFERROR(INDEX(RAW!$A:$A,MAX(2,F294)),""))</f>
      </c>
      <c r="E294" s="525">
        <f>IF(F294="","",IFERROR(INDEX(RAW!$K:$K,MAX(2,F294)),0))</f>
      </c>
      <c r="F294" s="522" t="n"/>
      <c r="G294" s="504" t="inlineStr">
        <is>
          <t>신규</t>
        </is>
      </c>
      <c r="O294" s="498">
        <f>IF(LEFT(R294,2)="확인",R294,"")</f>
      </c>
      <c r="R294" s="504">
        <f>IF(A294="","",IF(C294="생활비","생활비",IF(AND(COUNTIF($A$8:$A$12,C294)=1,ISNUMBER(D294),E294&gt;0,COUNTIF($A$100:$A$399,A294)=1,IFERROR(IF(F294="",AND(LEFT(A294,1)="U",G294="월기록"),AND(F294&gt;=2,COUNTIF($F$100:$F$399,F294)=1,INDEX(RAW!$H:$H,MAX(2,F294))="지출",D294=INDEX(RAW!$A:$A,MAX(2,F294)),E294&lt;=INDEX(RAW!$K:$K,MAX(2,F294)),OR(AND(G294="기존반영",OR(A294="U003",A294="U007")),AND(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AND(OR(A294&lt;&gt;"U003",F294=356),OR(A294&lt;&gt;"U007",F294=2203),OR(G294&lt;&gt;"기존반영",A294="U003",A294="U007")))),FALSE)),"OK","확인: 사용등록")))</f>
      </c>
      <c r="S294" s="504">
        <f>IF(ISNUMBER(D294),DATE(YEAR(D294),MONTH(D294),1),0)</f>
        <v>0</v>
      </c>
      <c r="T294" s="526">
        <f>IF(R294="OK",SUMIFS($O$430:$O$729,$B$430:$B$729,A294,$E$430:$E$729,"&lt;"&amp;EDATE($B$3,1)),0)</f>
        <v>0</v>
      </c>
      <c r="U294" s="526">
        <f>IF(AND(R294="OK",D294&lt;EDATE($B$3,1),$B$3&gt;=DATE(2026,3,1)),MAX(0,E294-T294),0)</f>
        <v>0</v>
      </c>
      <c r="V294" s="526">
        <f>IFERROR(IF(AND(R294="OK",AND(F294&gt;=2,G294&lt;&gt;"기존반영",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E294,0),0)</f>
        <v>0</v>
      </c>
      <c r="W294" s="526">
        <f>IF(V294&gt;0,ROUNDUP(INDEX(RAW!$K:$K,MAX(2,F294))/1000,0)*1000-ROUNDUP((INDEX(RAW!$K:$K,MAX(2,F294))-V294)/1000,0)*1000,0)</f>
        <v>0</v>
      </c>
      <c r="X294" s="504">
        <f>IF(AND(R294="OK",IF($B$43="전체",D294&lt;EDATE($B$3,1),IF($B$43="미정산",U294&gt;0,OR(S294=$B$3,Z294&gt;0,U294&gt;0)))),1,0)</f>
        <v>0</v>
      </c>
      <c r="Y294" s="504">
        <f>IF(X294=1,COUNTIF($X$100:X294,1),0)</f>
        <v>0</v>
      </c>
      <c r="Z294" s="526">
        <f>IF(R294="OK",SUMIFS($O$430:$O$729,$B$430:$B$729,A294,$E$430:$E$729,"&gt;="&amp;$B$3,$E$430:$E$729,"&lt;"&amp;EDATE($B$3,1)),0)</f>
        <v>0</v>
      </c>
    </row>
    <row r="295" hidden="1" outlineLevel="1">
      <c r="A295" s="504">
        <f>IF(F295="","",IF(F295&gt;0,"R"&amp;F295,""))</f>
      </c>
      <c r="B295" s="504">
        <f>IF(F295="","",IFERROR(INDEX(RAW!$F:$F,MAX(2,F295)),""))</f>
      </c>
      <c r="C295" s="522" t="n"/>
      <c r="D295" s="524">
        <f>IF(F295="","",IFERROR(INDEX(RAW!$A:$A,MAX(2,F295)),""))</f>
      </c>
      <c r="E295" s="525">
        <f>IF(F295="","",IFERROR(INDEX(RAW!$K:$K,MAX(2,F295)),0))</f>
      </c>
      <c r="F295" s="522" t="n"/>
      <c r="G295" s="504" t="inlineStr">
        <is>
          <t>신규</t>
        </is>
      </c>
      <c r="O295" s="498">
        <f>IF(LEFT(R295,2)="확인",R295,"")</f>
      </c>
      <c r="R295" s="504">
        <f>IF(A295="","",IF(C295="생활비","생활비",IF(AND(COUNTIF($A$8:$A$12,C295)=1,ISNUMBER(D295),E295&gt;0,COUNTIF($A$100:$A$399,A295)=1,IFERROR(IF(F295="",AND(LEFT(A295,1)="U",G295="월기록"),AND(F295&gt;=2,COUNTIF($F$100:$F$399,F295)=1,INDEX(RAW!$H:$H,MAX(2,F295))="지출",D295=INDEX(RAW!$A:$A,MAX(2,F295)),E295&lt;=INDEX(RAW!$K:$K,MAX(2,F295)),OR(AND(G295="기존반영",OR(A295="U003",A295="U007")),AND(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AND(OR(A295&lt;&gt;"U003",F295=356),OR(A295&lt;&gt;"U007",F295=2203),OR(G295&lt;&gt;"기존반영",A295="U003",A295="U007")))),FALSE)),"OK","확인: 사용등록")))</f>
      </c>
      <c r="S295" s="504">
        <f>IF(ISNUMBER(D295),DATE(YEAR(D295),MONTH(D295),1),0)</f>
        <v>0</v>
      </c>
      <c r="T295" s="526">
        <f>IF(R295="OK",SUMIFS($O$430:$O$729,$B$430:$B$729,A295,$E$430:$E$729,"&lt;"&amp;EDATE($B$3,1)),0)</f>
        <v>0</v>
      </c>
      <c r="U295" s="526">
        <f>IF(AND(R295="OK",D295&lt;EDATE($B$3,1),$B$3&gt;=DATE(2026,3,1)),MAX(0,E295-T295),0)</f>
        <v>0</v>
      </c>
      <c r="V295" s="526">
        <f>IFERROR(IF(AND(R295="OK",AND(F295&gt;=2,G295&lt;&gt;"기존반영",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E295,0),0)</f>
        <v>0</v>
      </c>
      <c r="W295" s="526">
        <f>IF(V295&gt;0,ROUNDUP(INDEX(RAW!$K:$K,MAX(2,F295))/1000,0)*1000-ROUNDUP((INDEX(RAW!$K:$K,MAX(2,F295))-V295)/1000,0)*1000,0)</f>
        <v>0</v>
      </c>
      <c r="X295" s="504">
        <f>IF(AND(R295="OK",IF($B$43="전체",D295&lt;EDATE($B$3,1),IF($B$43="미정산",U295&gt;0,OR(S295=$B$3,Z295&gt;0,U295&gt;0)))),1,0)</f>
        <v>0</v>
      </c>
      <c r="Y295" s="504">
        <f>IF(X295=1,COUNTIF($X$100:X295,1),0)</f>
        <v>0</v>
      </c>
      <c r="Z295" s="526">
        <f>IF(R295="OK",SUMIFS($O$430:$O$729,$B$430:$B$729,A295,$E$430:$E$729,"&gt;="&amp;$B$3,$E$430:$E$729,"&lt;"&amp;EDATE($B$3,1)),0)</f>
        <v>0</v>
      </c>
    </row>
    <row r="296" hidden="1" outlineLevel="1">
      <c r="A296" s="504">
        <f>IF(F296="","",IF(F296&gt;0,"R"&amp;F296,""))</f>
      </c>
      <c r="B296" s="504">
        <f>IF(F296="","",IFERROR(INDEX(RAW!$F:$F,MAX(2,F296)),""))</f>
      </c>
      <c r="C296" s="522" t="n"/>
      <c r="D296" s="524">
        <f>IF(F296="","",IFERROR(INDEX(RAW!$A:$A,MAX(2,F296)),""))</f>
      </c>
      <c r="E296" s="525">
        <f>IF(F296="","",IFERROR(INDEX(RAW!$K:$K,MAX(2,F296)),0))</f>
      </c>
      <c r="F296" s="522" t="n"/>
      <c r="G296" s="504" t="inlineStr">
        <is>
          <t>신규</t>
        </is>
      </c>
      <c r="O296" s="498">
        <f>IF(LEFT(R296,2)="확인",R296,"")</f>
      </c>
      <c r="R296" s="504">
        <f>IF(A296="","",IF(C296="생활비","생활비",IF(AND(COUNTIF($A$8:$A$12,C296)=1,ISNUMBER(D296),E296&gt;0,COUNTIF($A$100:$A$399,A296)=1,IFERROR(IF(F296="",AND(LEFT(A296,1)="U",G296="월기록"),AND(F296&gt;=2,COUNTIF($F$100:$F$399,F296)=1,INDEX(RAW!$H:$H,MAX(2,F296))="지출",D296=INDEX(RAW!$A:$A,MAX(2,F296)),E296&lt;=INDEX(RAW!$K:$K,MAX(2,F296)),OR(AND(G296="기존반영",OR(A296="U003",A296="U007")),AND(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AND(OR(A296&lt;&gt;"U003",F296=356),OR(A296&lt;&gt;"U007",F296=2203),OR(G296&lt;&gt;"기존반영",A296="U003",A296="U007")))),FALSE)),"OK","확인: 사용등록")))</f>
      </c>
      <c r="S296" s="504">
        <f>IF(ISNUMBER(D296),DATE(YEAR(D296),MONTH(D296),1),0)</f>
        <v>0</v>
      </c>
      <c r="T296" s="526">
        <f>IF(R296="OK",SUMIFS($O$430:$O$729,$B$430:$B$729,A296,$E$430:$E$729,"&lt;"&amp;EDATE($B$3,1)),0)</f>
        <v>0</v>
      </c>
      <c r="U296" s="526">
        <f>IF(AND(R296="OK",D296&lt;EDATE($B$3,1),$B$3&gt;=DATE(2026,3,1)),MAX(0,E296-T296),0)</f>
        <v>0</v>
      </c>
      <c r="V296" s="526">
        <f>IFERROR(IF(AND(R296="OK",AND(F296&gt;=2,G296&lt;&gt;"기존반영",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E296,0),0)</f>
        <v>0</v>
      </c>
      <c r="W296" s="526">
        <f>IF(V296&gt;0,ROUNDUP(INDEX(RAW!$K:$K,MAX(2,F296))/1000,0)*1000-ROUNDUP((INDEX(RAW!$K:$K,MAX(2,F296))-V296)/1000,0)*1000,0)</f>
        <v>0</v>
      </c>
      <c r="X296" s="504">
        <f>IF(AND(R296="OK",IF($B$43="전체",D296&lt;EDATE($B$3,1),IF($B$43="미정산",U296&gt;0,OR(S296=$B$3,Z296&gt;0,U296&gt;0)))),1,0)</f>
        <v>0</v>
      </c>
      <c r="Y296" s="504">
        <f>IF(X296=1,COUNTIF($X$100:X296,1),0)</f>
        <v>0</v>
      </c>
      <c r="Z296" s="526">
        <f>IF(R296="OK",SUMIFS($O$430:$O$729,$B$430:$B$729,A296,$E$430:$E$729,"&gt;="&amp;$B$3,$E$430:$E$729,"&lt;"&amp;EDATE($B$3,1)),0)</f>
        <v>0</v>
      </c>
    </row>
    <row r="297" hidden="1" outlineLevel="1">
      <c r="A297" s="504">
        <f>IF(F297="","",IF(F297&gt;0,"R"&amp;F297,""))</f>
      </c>
      <c r="B297" s="504">
        <f>IF(F297="","",IFERROR(INDEX(RAW!$F:$F,MAX(2,F297)),""))</f>
      </c>
      <c r="C297" s="522" t="n"/>
      <c r="D297" s="524">
        <f>IF(F297="","",IFERROR(INDEX(RAW!$A:$A,MAX(2,F297)),""))</f>
      </c>
      <c r="E297" s="525">
        <f>IF(F297="","",IFERROR(INDEX(RAW!$K:$K,MAX(2,F297)),0))</f>
      </c>
      <c r="F297" s="522" t="n"/>
      <c r="G297" s="504" t="inlineStr">
        <is>
          <t>신규</t>
        </is>
      </c>
      <c r="O297" s="498">
        <f>IF(LEFT(R297,2)="확인",R297,"")</f>
      </c>
      <c r="R297" s="504">
        <f>IF(A297="","",IF(C297="생활비","생활비",IF(AND(COUNTIF($A$8:$A$12,C297)=1,ISNUMBER(D297),E297&gt;0,COUNTIF($A$100:$A$399,A297)=1,IFERROR(IF(F297="",AND(LEFT(A297,1)="U",G297="월기록"),AND(F297&gt;=2,COUNTIF($F$100:$F$399,F297)=1,INDEX(RAW!$H:$H,MAX(2,F297))="지출",D297=INDEX(RAW!$A:$A,MAX(2,F297)),E297&lt;=INDEX(RAW!$K:$K,MAX(2,F297)),OR(AND(G297="기존반영",OR(A297="U003",A297="U007")),AND(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AND(OR(A297&lt;&gt;"U003",F297=356),OR(A297&lt;&gt;"U007",F297=2203),OR(G297&lt;&gt;"기존반영",A297="U003",A297="U007")))),FALSE)),"OK","확인: 사용등록")))</f>
      </c>
      <c r="S297" s="504">
        <f>IF(ISNUMBER(D297),DATE(YEAR(D297),MONTH(D297),1),0)</f>
        <v>0</v>
      </c>
      <c r="T297" s="526">
        <f>IF(R297="OK",SUMIFS($O$430:$O$729,$B$430:$B$729,A297,$E$430:$E$729,"&lt;"&amp;EDATE($B$3,1)),0)</f>
        <v>0</v>
      </c>
      <c r="U297" s="526">
        <f>IF(AND(R297="OK",D297&lt;EDATE($B$3,1),$B$3&gt;=DATE(2026,3,1)),MAX(0,E297-T297),0)</f>
        <v>0</v>
      </c>
      <c r="V297" s="526">
        <f>IFERROR(IF(AND(R297="OK",AND(F297&gt;=2,G297&lt;&gt;"기존반영",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E297,0),0)</f>
        <v>0</v>
      </c>
      <c r="W297" s="526">
        <f>IF(V297&gt;0,ROUNDUP(INDEX(RAW!$K:$K,MAX(2,F297))/1000,0)*1000-ROUNDUP((INDEX(RAW!$K:$K,MAX(2,F297))-V297)/1000,0)*1000,0)</f>
        <v>0</v>
      </c>
      <c r="X297" s="504">
        <f>IF(AND(R297="OK",IF($B$43="전체",D297&lt;EDATE($B$3,1),IF($B$43="미정산",U297&gt;0,OR(S297=$B$3,Z297&gt;0,U297&gt;0)))),1,0)</f>
        <v>0</v>
      </c>
      <c r="Y297" s="504">
        <f>IF(X297=1,COUNTIF($X$100:X297,1),0)</f>
        <v>0</v>
      </c>
      <c r="Z297" s="526">
        <f>IF(R297="OK",SUMIFS($O$430:$O$729,$B$430:$B$729,A297,$E$430:$E$729,"&gt;="&amp;$B$3,$E$430:$E$729,"&lt;"&amp;EDATE($B$3,1)),0)</f>
        <v>0</v>
      </c>
    </row>
    <row r="298" hidden="1" outlineLevel="1">
      <c r="A298" s="504">
        <f>IF(F298="","",IF(F298&gt;0,"R"&amp;F298,""))</f>
      </c>
      <c r="B298" s="504">
        <f>IF(F298="","",IFERROR(INDEX(RAW!$F:$F,MAX(2,F298)),""))</f>
      </c>
      <c r="C298" s="522" t="n"/>
      <c r="D298" s="524">
        <f>IF(F298="","",IFERROR(INDEX(RAW!$A:$A,MAX(2,F298)),""))</f>
      </c>
      <c r="E298" s="525">
        <f>IF(F298="","",IFERROR(INDEX(RAW!$K:$K,MAX(2,F298)),0))</f>
      </c>
      <c r="F298" s="522" t="n"/>
      <c r="G298" s="504" t="inlineStr">
        <is>
          <t>신규</t>
        </is>
      </c>
      <c r="O298" s="498">
        <f>IF(LEFT(R298,2)="확인",R298,"")</f>
      </c>
      <c r="R298" s="504">
        <f>IF(A298="","",IF(C298="생활비","생활비",IF(AND(COUNTIF($A$8:$A$12,C298)=1,ISNUMBER(D298),E298&gt;0,COUNTIF($A$100:$A$399,A298)=1,IFERROR(IF(F298="",AND(LEFT(A298,1)="U",G298="월기록"),AND(F298&gt;=2,COUNTIF($F$100:$F$399,F298)=1,INDEX(RAW!$H:$H,MAX(2,F298))="지출",D298=INDEX(RAW!$A:$A,MAX(2,F298)),E298&lt;=INDEX(RAW!$K:$K,MAX(2,F298)),OR(AND(G298="기존반영",OR(A298="U003",A298="U007")),AND(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AND(OR(A298&lt;&gt;"U003",F298=356),OR(A298&lt;&gt;"U007",F298=2203),OR(G298&lt;&gt;"기존반영",A298="U003",A298="U007")))),FALSE)),"OK","확인: 사용등록")))</f>
      </c>
      <c r="S298" s="504">
        <f>IF(ISNUMBER(D298),DATE(YEAR(D298),MONTH(D298),1),0)</f>
        <v>0</v>
      </c>
      <c r="T298" s="526">
        <f>IF(R298="OK",SUMIFS($O$430:$O$729,$B$430:$B$729,A298,$E$430:$E$729,"&lt;"&amp;EDATE($B$3,1)),0)</f>
        <v>0</v>
      </c>
      <c r="U298" s="526">
        <f>IF(AND(R298="OK",D298&lt;EDATE($B$3,1),$B$3&gt;=DATE(2026,3,1)),MAX(0,E298-T298),0)</f>
        <v>0</v>
      </c>
      <c r="V298" s="526">
        <f>IFERROR(IF(AND(R298="OK",AND(F298&gt;=2,G298&lt;&gt;"기존반영",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E298,0),0)</f>
        <v>0</v>
      </c>
      <c r="W298" s="526">
        <f>IF(V298&gt;0,ROUNDUP(INDEX(RAW!$K:$K,MAX(2,F298))/1000,0)*1000-ROUNDUP((INDEX(RAW!$K:$K,MAX(2,F298))-V298)/1000,0)*1000,0)</f>
        <v>0</v>
      </c>
      <c r="X298" s="504">
        <f>IF(AND(R298="OK",IF($B$43="전체",D298&lt;EDATE($B$3,1),IF($B$43="미정산",U298&gt;0,OR(S298=$B$3,Z298&gt;0,U298&gt;0)))),1,0)</f>
        <v>0</v>
      </c>
      <c r="Y298" s="504">
        <f>IF(X298=1,COUNTIF($X$100:X298,1),0)</f>
        <v>0</v>
      </c>
      <c r="Z298" s="526">
        <f>IF(R298="OK",SUMIFS($O$430:$O$729,$B$430:$B$729,A298,$E$430:$E$729,"&gt;="&amp;$B$3,$E$430:$E$729,"&lt;"&amp;EDATE($B$3,1)),0)</f>
        <v>0</v>
      </c>
    </row>
    <row r="299" hidden="1" outlineLevel="1">
      <c r="A299" s="504">
        <f>IF(F299="","",IF(F299&gt;0,"R"&amp;F299,""))</f>
      </c>
      <c r="B299" s="504">
        <f>IF(F299="","",IFERROR(INDEX(RAW!$F:$F,MAX(2,F299)),""))</f>
      </c>
      <c r="C299" s="522" t="n"/>
      <c r="D299" s="524">
        <f>IF(F299="","",IFERROR(INDEX(RAW!$A:$A,MAX(2,F299)),""))</f>
      </c>
      <c r="E299" s="525">
        <f>IF(F299="","",IFERROR(INDEX(RAW!$K:$K,MAX(2,F299)),0))</f>
      </c>
      <c r="F299" s="522" t="n"/>
      <c r="G299" s="504" t="inlineStr">
        <is>
          <t>신규</t>
        </is>
      </c>
      <c r="O299" s="498">
        <f>IF(LEFT(R299,2)="확인",R299,"")</f>
      </c>
      <c r="R299" s="504">
        <f>IF(A299="","",IF(C299="생활비","생활비",IF(AND(COUNTIF($A$8:$A$12,C299)=1,ISNUMBER(D299),E299&gt;0,COUNTIF($A$100:$A$399,A299)=1,IFERROR(IF(F299="",AND(LEFT(A299,1)="U",G299="월기록"),AND(F299&gt;=2,COUNTIF($F$100:$F$399,F299)=1,INDEX(RAW!$H:$H,MAX(2,F299))="지출",D299=INDEX(RAW!$A:$A,MAX(2,F299)),E299&lt;=INDEX(RAW!$K:$K,MAX(2,F299)),OR(AND(G299="기존반영",OR(A299="U003",A299="U007")),AND(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AND(OR(A299&lt;&gt;"U003",F299=356),OR(A299&lt;&gt;"U007",F299=2203),OR(G299&lt;&gt;"기존반영",A299="U003",A299="U007")))),FALSE)),"OK","확인: 사용등록")))</f>
      </c>
      <c r="S299" s="504">
        <f>IF(ISNUMBER(D299),DATE(YEAR(D299),MONTH(D299),1),0)</f>
        <v>0</v>
      </c>
      <c r="T299" s="526">
        <f>IF(R299="OK",SUMIFS($O$430:$O$729,$B$430:$B$729,A299,$E$430:$E$729,"&lt;"&amp;EDATE($B$3,1)),0)</f>
        <v>0</v>
      </c>
      <c r="U299" s="526">
        <f>IF(AND(R299="OK",D299&lt;EDATE($B$3,1),$B$3&gt;=DATE(2026,3,1)),MAX(0,E299-T299),0)</f>
        <v>0</v>
      </c>
      <c r="V299" s="526">
        <f>IFERROR(IF(AND(R299="OK",AND(F299&gt;=2,G299&lt;&gt;"기존반영",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E299,0),0)</f>
        <v>0</v>
      </c>
      <c r="W299" s="526">
        <f>IF(V299&gt;0,ROUNDUP(INDEX(RAW!$K:$K,MAX(2,F299))/1000,0)*1000-ROUNDUP((INDEX(RAW!$K:$K,MAX(2,F299))-V299)/1000,0)*1000,0)</f>
        <v>0</v>
      </c>
      <c r="X299" s="504">
        <f>IF(AND(R299="OK",IF($B$43="전체",D299&lt;EDATE($B$3,1),IF($B$43="미정산",U299&gt;0,OR(S299=$B$3,Z299&gt;0,U299&gt;0)))),1,0)</f>
        <v>0</v>
      </c>
      <c r="Y299" s="504">
        <f>IF(X299=1,COUNTIF($X$100:X299,1),0)</f>
        <v>0</v>
      </c>
      <c r="Z299" s="526">
        <f>IF(R299="OK",SUMIFS($O$430:$O$729,$B$430:$B$729,A299,$E$430:$E$729,"&gt;="&amp;$B$3,$E$430:$E$729,"&lt;"&amp;EDATE($B$3,1)),0)</f>
        <v>0</v>
      </c>
    </row>
    <row r="300" hidden="1" outlineLevel="1">
      <c r="A300" s="504">
        <f>IF(F300="","",IF(F300&gt;0,"R"&amp;F300,""))</f>
      </c>
      <c r="B300" s="504">
        <f>IF(F300="","",IFERROR(INDEX(RAW!$F:$F,MAX(2,F300)),""))</f>
      </c>
      <c r="C300" s="522" t="n"/>
      <c r="D300" s="524">
        <f>IF(F300="","",IFERROR(INDEX(RAW!$A:$A,MAX(2,F300)),""))</f>
      </c>
      <c r="E300" s="525">
        <f>IF(F300="","",IFERROR(INDEX(RAW!$K:$K,MAX(2,F300)),0))</f>
      </c>
      <c r="F300" s="522" t="n"/>
      <c r="G300" s="504" t="inlineStr">
        <is>
          <t>신규</t>
        </is>
      </c>
      <c r="O300" s="498">
        <f>IF(LEFT(R300,2)="확인",R300,"")</f>
      </c>
      <c r="R300" s="504">
        <f>IF(A300="","",IF(C300="생활비","생활비",IF(AND(COUNTIF($A$8:$A$12,C300)=1,ISNUMBER(D300),E300&gt;0,COUNTIF($A$100:$A$399,A300)=1,IFERROR(IF(F300="",AND(LEFT(A300,1)="U",G300="월기록"),AND(F300&gt;=2,COUNTIF($F$100:$F$399,F300)=1,INDEX(RAW!$H:$H,MAX(2,F300))="지출",D300=INDEX(RAW!$A:$A,MAX(2,F300)),E300&lt;=INDEX(RAW!$K:$K,MAX(2,F300)),OR(AND(G300="기존반영",OR(A300="U003",A300="U007")),AND(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AND(OR(A300&lt;&gt;"U003",F300=356),OR(A300&lt;&gt;"U007",F300=2203),OR(G300&lt;&gt;"기존반영",A300="U003",A300="U007")))),FALSE)),"OK","확인: 사용등록")))</f>
      </c>
      <c r="S300" s="504">
        <f>IF(ISNUMBER(D300),DATE(YEAR(D300),MONTH(D300),1),0)</f>
        <v>0</v>
      </c>
      <c r="T300" s="526">
        <f>IF(R300="OK",SUMIFS($O$430:$O$729,$B$430:$B$729,A300,$E$430:$E$729,"&lt;"&amp;EDATE($B$3,1)),0)</f>
        <v>0</v>
      </c>
      <c r="U300" s="526">
        <f>IF(AND(R300="OK",D300&lt;EDATE($B$3,1),$B$3&gt;=DATE(2026,3,1)),MAX(0,E300-T300),0)</f>
        <v>0</v>
      </c>
      <c r="V300" s="526">
        <f>IFERROR(IF(AND(R300="OK",AND(F300&gt;=2,G300&lt;&gt;"기존반영",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E300,0),0)</f>
        <v>0</v>
      </c>
      <c r="W300" s="526">
        <f>IF(V300&gt;0,ROUNDUP(INDEX(RAW!$K:$K,MAX(2,F300))/1000,0)*1000-ROUNDUP((INDEX(RAW!$K:$K,MAX(2,F300))-V300)/1000,0)*1000,0)</f>
        <v>0</v>
      </c>
      <c r="X300" s="504">
        <f>IF(AND(R300="OK",IF($B$43="전체",D300&lt;EDATE($B$3,1),IF($B$43="미정산",U300&gt;0,OR(S300=$B$3,Z300&gt;0,U300&gt;0)))),1,0)</f>
        <v>0</v>
      </c>
      <c r="Y300" s="504">
        <f>IF(X300=1,COUNTIF($X$100:X300,1),0)</f>
        <v>0</v>
      </c>
      <c r="Z300" s="526">
        <f>IF(R300="OK",SUMIFS($O$430:$O$729,$B$430:$B$729,A300,$E$430:$E$729,"&gt;="&amp;$B$3,$E$430:$E$729,"&lt;"&amp;EDATE($B$3,1)),0)</f>
        <v>0</v>
      </c>
    </row>
    <row r="301" hidden="1" outlineLevel="1">
      <c r="A301" s="504">
        <f>IF(F301="","",IF(F301&gt;0,"R"&amp;F301,""))</f>
      </c>
      <c r="B301" s="504">
        <f>IF(F301="","",IFERROR(INDEX(RAW!$F:$F,MAX(2,F301)),""))</f>
      </c>
      <c r="C301" s="522" t="n"/>
      <c r="D301" s="524">
        <f>IF(F301="","",IFERROR(INDEX(RAW!$A:$A,MAX(2,F301)),""))</f>
      </c>
      <c r="E301" s="525">
        <f>IF(F301="","",IFERROR(INDEX(RAW!$K:$K,MAX(2,F301)),0))</f>
      </c>
      <c r="F301" s="522" t="n"/>
      <c r="G301" s="504" t="inlineStr">
        <is>
          <t>신규</t>
        </is>
      </c>
      <c r="O301" s="498">
        <f>IF(LEFT(R301,2)="확인",R301,"")</f>
      </c>
      <c r="R301" s="504">
        <f>IF(A301="","",IF(C301="생활비","생활비",IF(AND(COUNTIF($A$8:$A$12,C301)=1,ISNUMBER(D301),E301&gt;0,COUNTIF($A$100:$A$399,A301)=1,IFERROR(IF(F301="",AND(LEFT(A301,1)="U",G301="월기록"),AND(F301&gt;=2,COUNTIF($F$100:$F$399,F301)=1,INDEX(RAW!$H:$H,MAX(2,F301))="지출",D301=INDEX(RAW!$A:$A,MAX(2,F301)),E301&lt;=INDEX(RAW!$K:$K,MAX(2,F301)),OR(AND(G301="기존반영",OR(A301="U003",A301="U007")),AND(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AND(OR(A301&lt;&gt;"U003",F301=356),OR(A301&lt;&gt;"U007",F301=2203),OR(G301&lt;&gt;"기존반영",A301="U003",A301="U007")))),FALSE)),"OK","확인: 사용등록")))</f>
      </c>
      <c r="S301" s="504">
        <f>IF(ISNUMBER(D301),DATE(YEAR(D301),MONTH(D301),1),0)</f>
        <v>0</v>
      </c>
      <c r="T301" s="526">
        <f>IF(R301="OK",SUMIFS($O$430:$O$729,$B$430:$B$729,A301,$E$430:$E$729,"&lt;"&amp;EDATE($B$3,1)),0)</f>
        <v>0</v>
      </c>
      <c r="U301" s="526">
        <f>IF(AND(R301="OK",D301&lt;EDATE($B$3,1),$B$3&gt;=DATE(2026,3,1)),MAX(0,E301-T301),0)</f>
        <v>0</v>
      </c>
      <c r="V301" s="526">
        <f>IFERROR(IF(AND(R301="OK",AND(F301&gt;=2,G301&lt;&gt;"기존반영",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E301,0),0)</f>
        <v>0</v>
      </c>
      <c r="W301" s="526">
        <f>IF(V301&gt;0,ROUNDUP(INDEX(RAW!$K:$K,MAX(2,F301))/1000,0)*1000-ROUNDUP((INDEX(RAW!$K:$K,MAX(2,F301))-V301)/1000,0)*1000,0)</f>
        <v>0</v>
      </c>
      <c r="X301" s="504">
        <f>IF(AND(R301="OK",IF($B$43="전체",D301&lt;EDATE($B$3,1),IF($B$43="미정산",U301&gt;0,OR(S301=$B$3,Z301&gt;0,U301&gt;0)))),1,0)</f>
        <v>0</v>
      </c>
      <c r="Y301" s="504">
        <f>IF(X301=1,COUNTIF($X$100:X301,1),0)</f>
        <v>0</v>
      </c>
      <c r="Z301" s="526">
        <f>IF(R301="OK",SUMIFS($O$430:$O$729,$B$430:$B$729,A301,$E$430:$E$729,"&gt;="&amp;$B$3,$E$430:$E$729,"&lt;"&amp;EDATE($B$3,1)),0)</f>
        <v>0</v>
      </c>
    </row>
    <row r="302" hidden="1" outlineLevel="1">
      <c r="A302" s="504">
        <f>IF(F302="","",IF(F302&gt;0,"R"&amp;F302,""))</f>
      </c>
      <c r="B302" s="504">
        <f>IF(F302="","",IFERROR(INDEX(RAW!$F:$F,MAX(2,F302)),""))</f>
      </c>
      <c r="C302" s="522" t="n"/>
      <c r="D302" s="524">
        <f>IF(F302="","",IFERROR(INDEX(RAW!$A:$A,MAX(2,F302)),""))</f>
      </c>
      <c r="E302" s="525">
        <f>IF(F302="","",IFERROR(INDEX(RAW!$K:$K,MAX(2,F302)),0))</f>
      </c>
      <c r="F302" s="522" t="n"/>
      <c r="G302" s="504" t="inlineStr">
        <is>
          <t>신규</t>
        </is>
      </c>
      <c r="O302" s="498">
        <f>IF(LEFT(R302,2)="확인",R302,"")</f>
      </c>
      <c r="R302" s="504">
        <f>IF(A302="","",IF(C302="생활비","생활비",IF(AND(COUNTIF($A$8:$A$12,C302)=1,ISNUMBER(D302),E302&gt;0,COUNTIF($A$100:$A$399,A302)=1,IFERROR(IF(F302="",AND(LEFT(A302,1)="U",G302="월기록"),AND(F302&gt;=2,COUNTIF($F$100:$F$399,F302)=1,INDEX(RAW!$H:$H,MAX(2,F302))="지출",D302=INDEX(RAW!$A:$A,MAX(2,F302)),E302&lt;=INDEX(RAW!$K:$K,MAX(2,F302)),OR(AND(G302="기존반영",OR(A302="U003",A302="U007")),AND(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AND(OR(A302&lt;&gt;"U003",F302=356),OR(A302&lt;&gt;"U007",F302=2203),OR(G302&lt;&gt;"기존반영",A302="U003",A302="U007")))),FALSE)),"OK","확인: 사용등록")))</f>
      </c>
      <c r="S302" s="504">
        <f>IF(ISNUMBER(D302),DATE(YEAR(D302),MONTH(D302),1),0)</f>
        <v>0</v>
      </c>
      <c r="T302" s="526">
        <f>IF(R302="OK",SUMIFS($O$430:$O$729,$B$430:$B$729,A302,$E$430:$E$729,"&lt;"&amp;EDATE($B$3,1)),0)</f>
        <v>0</v>
      </c>
      <c r="U302" s="526">
        <f>IF(AND(R302="OK",D302&lt;EDATE($B$3,1),$B$3&gt;=DATE(2026,3,1)),MAX(0,E302-T302),0)</f>
        <v>0</v>
      </c>
      <c r="V302" s="526">
        <f>IFERROR(IF(AND(R302="OK",AND(F302&gt;=2,G302&lt;&gt;"기존반영",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E302,0),0)</f>
        <v>0</v>
      </c>
      <c r="W302" s="526">
        <f>IF(V302&gt;0,ROUNDUP(INDEX(RAW!$K:$K,MAX(2,F302))/1000,0)*1000-ROUNDUP((INDEX(RAW!$K:$K,MAX(2,F302))-V302)/1000,0)*1000,0)</f>
        <v>0</v>
      </c>
      <c r="X302" s="504">
        <f>IF(AND(R302="OK",IF($B$43="전체",D302&lt;EDATE($B$3,1),IF($B$43="미정산",U302&gt;0,OR(S302=$B$3,Z302&gt;0,U302&gt;0)))),1,0)</f>
        <v>0</v>
      </c>
      <c r="Y302" s="504">
        <f>IF(X302=1,COUNTIF($X$100:X302,1),0)</f>
        <v>0</v>
      </c>
      <c r="Z302" s="526">
        <f>IF(R302="OK",SUMIFS($O$430:$O$729,$B$430:$B$729,A302,$E$430:$E$729,"&gt;="&amp;$B$3,$E$430:$E$729,"&lt;"&amp;EDATE($B$3,1)),0)</f>
        <v>0</v>
      </c>
    </row>
    <row r="303" hidden="1" outlineLevel="1">
      <c r="A303" s="504">
        <f>IF(F303="","",IF(F303&gt;0,"R"&amp;F303,""))</f>
      </c>
      <c r="B303" s="504">
        <f>IF(F303="","",IFERROR(INDEX(RAW!$F:$F,MAX(2,F303)),""))</f>
      </c>
      <c r="C303" s="522" t="n"/>
      <c r="D303" s="524">
        <f>IF(F303="","",IFERROR(INDEX(RAW!$A:$A,MAX(2,F303)),""))</f>
      </c>
      <c r="E303" s="525">
        <f>IF(F303="","",IFERROR(INDEX(RAW!$K:$K,MAX(2,F303)),0))</f>
      </c>
      <c r="F303" s="522" t="n"/>
      <c r="G303" s="504" t="inlineStr">
        <is>
          <t>신규</t>
        </is>
      </c>
      <c r="O303" s="498">
        <f>IF(LEFT(R303,2)="확인",R303,"")</f>
      </c>
      <c r="R303" s="504">
        <f>IF(A303="","",IF(C303="생활비","생활비",IF(AND(COUNTIF($A$8:$A$12,C303)=1,ISNUMBER(D303),E303&gt;0,COUNTIF($A$100:$A$399,A303)=1,IFERROR(IF(F303="",AND(LEFT(A303,1)="U",G303="월기록"),AND(F303&gt;=2,COUNTIF($F$100:$F$399,F303)=1,INDEX(RAW!$H:$H,MAX(2,F303))="지출",D303=INDEX(RAW!$A:$A,MAX(2,F303)),E303&lt;=INDEX(RAW!$K:$K,MAX(2,F303)),OR(AND(G303="기존반영",OR(A303="U003",A303="U007")),AND(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AND(OR(A303&lt;&gt;"U003",F303=356),OR(A303&lt;&gt;"U007",F303=2203),OR(G303&lt;&gt;"기존반영",A303="U003",A303="U007")))),FALSE)),"OK","확인: 사용등록")))</f>
      </c>
      <c r="S303" s="504">
        <f>IF(ISNUMBER(D303),DATE(YEAR(D303),MONTH(D303),1),0)</f>
        <v>0</v>
      </c>
      <c r="T303" s="526">
        <f>IF(R303="OK",SUMIFS($O$430:$O$729,$B$430:$B$729,A303,$E$430:$E$729,"&lt;"&amp;EDATE($B$3,1)),0)</f>
        <v>0</v>
      </c>
      <c r="U303" s="526">
        <f>IF(AND(R303="OK",D303&lt;EDATE($B$3,1),$B$3&gt;=DATE(2026,3,1)),MAX(0,E303-T303),0)</f>
        <v>0</v>
      </c>
      <c r="V303" s="526">
        <f>IFERROR(IF(AND(R303="OK",AND(F303&gt;=2,G303&lt;&gt;"기존반영",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E303,0),0)</f>
        <v>0</v>
      </c>
      <c r="W303" s="526">
        <f>IF(V303&gt;0,ROUNDUP(INDEX(RAW!$K:$K,MAX(2,F303))/1000,0)*1000-ROUNDUP((INDEX(RAW!$K:$K,MAX(2,F303))-V303)/1000,0)*1000,0)</f>
        <v>0</v>
      </c>
      <c r="X303" s="504">
        <f>IF(AND(R303="OK",IF($B$43="전체",D303&lt;EDATE($B$3,1),IF($B$43="미정산",U303&gt;0,OR(S303=$B$3,Z303&gt;0,U303&gt;0)))),1,0)</f>
        <v>0</v>
      </c>
      <c r="Y303" s="504">
        <f>IF(X303=1,COUNTIF($X$100:X303,1),0)</f>
        <v>0</v>
      </c>
      <c r="Z303" s="526">
        <f>IF(R303="OK",SUMIFS($O$430:$O$729,$B$430:$B$729,A303,$E$430:$E$729,"&gt;="&amp;$B$3,$E$430:$E$729,"&lt;"&amp;EDATE($B$3,1)),0)</f>
        <v>0</v>
      </c>
    </row>
    <row r="304" hidden="1" outlineLevel="1">
      <c r="A304" s="504">
        <f>IF(F304="","",IF(F304&gt;0,"R"&amp;F304,""))</f>
      </c>
      <c r="B304" s="504">
        <f>IF(F304="","",IFERROR(INDEX(RAW!$F:$F,MAX(2,F304)),""))</f>
      </c>
      <c r="C304" s="522" t="n"/>
      <c r="D304" s="524">
        <f>IF(F304="","",IFERROR(INDEX(RAW!$A:$A,MAX(2,F304)),""))</f>
      </c>
      <c r="E304" s="525">
        <f>IF(F304="","",IFERROR(INDEX(RAW!$K:$K,MAX(2,F304)),0))</f>
      </c>
      <c r="F304" s="522" t="n"/>
      <c r="G304" s="504" t="inlineStr">
        <is>
          <t>신규</t>
        </is>
      </c>
      <c r="O304" s="498">
        <f>IF(LEFT(R304,2)="확인",R304,"")</f>
      </c>
      <c r="R304" s="504">
        <f>IF(A304="","",IF(C304="생활비","생활비",IF(AND(COUNTIF($A$8:$A$12,C304)=1,ISNUMBER(D304),E304&gt;0,COUNTIF($A$100:$A$399,A304)=1,IFERROR(IF(F304="",AND(LEFT(A304,1)="U",G304="월기록"),AND(F304&gt;=2,COUNTIF($F$100:$F$399,F304)=1,INDEX(RAW!$H:$H,MAX(2,F304))="지출",D304=INDEX(RAW!$A:$A,MAX(2,F304)),E304&lt;=INDEX(RAW!$K:$K,MAX(2,F304)),OR(AND(G304="기존반영",OR(A304="U003",A304="U007")),AND(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AND(OR(A304&lt;&gt;"U003",F304=356),OR(A304&lt;&gt;"U007",F304=2203),OR(G304&lt;&gt;"기존반영",A304="U003",A304="U007")))),FALSE)),"OK","확인: 사용등록")))</f>
      </c>
      <c r="S304" s="504">
        <f>IF(ISNUMBER(D304),DATE(YEAR(D304),MONTH(D304),1),0)</f>
        <v>0</v>
      </c>
      <c r="T304" s="526">
        <f>IF(R304="OK",SUMIFS($O$430:$O$729,$B$430:$B$729,A304,$E$430:$E$729,"&lt;"&amp;EDATE($B$3,1)),0)</f>
        <v>0</v>
      </c>
      <c r="U304" s="526">
        <f>IF(AND(R304="OK",D304&lt;EDATE($B$3,1),$B$3&gt;=DATE(2026,3,1)),MAX(0,E304-T304),0)</f>
        <v>0</v>
      </c>
      <c r="V304" s="526">
        <f>IFERROR(IF(AND(R304="OK",AND(F304&gt;=2,G304&lt;&gt;"기존반영",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E304,0),0)</f>
        <v>0</v>
      </c>
      <c r="W304" s="526">
        <f>IF(V304&gt;0,ROUNDUP(INDEX(RAW!$K:$K,MAX(2,F304))/1000,0)*1000-ROUNDUP((INDEX(RAW!$K:$K,MAX(2,F304))-V304)/1000,0)*1000,0)</f>
        <v>0</v>
      </c>
      <c r="X304" s="504">
        <f>IF(AND(R304="OK",IF($B$43="전체",D304&lt;EDATE($B$3,1),IF($B$43="미정산",U304&gt;0,OR(S304=$B$3,Z304&gt;0,U304&gt;0)))),1,0)</f>
        <v>0</v>
      </c>
      <c r="Y304" s="504">
        <f>IF(X304=1,COUNTIF($X$100:X304,1),0)</f>
        <v>0</v>
      </c>
      <c r="Z304" s="526">
        <f>IF(R304="OK",SUMIFS($O$430:$O$729,$B$430:$B$729,A304,$E$430:$E$729,"&gt;="&amp;$B$3,$E$430:$E$729,"&lt;"&amp;EDATE($B$3,1)),0)</f>
        <v>0</v>
      </c>
    </row>
    <row r="305" hidden="1" outlineLevel="1">
      <c r="A305" s="504">
        <f>IF(F305="","",IF(F305&gt;0,"R"&amp;F305,""))</f>
      </c>
      <c r="B305" s="504">
        <f>IF(F305="","",IFERROR(INDEX(RAW!$F:$F,MAX(2,F305)),""))</f>
      </c>
      <c r="C305" s="522" t="n"/>
      <c r="D305" s="524">
        <f>IF(F305="","",IFERROR(INDEX(RAW!$A:$A,MAX(2,F305)),""))</f>
      </c>
      <c r="E305" s="525">
        <f>IF(F305="","",IFERROR(INDEX(RAW!$K:$K,MAX(2,F305)),0))</f>
      </c>
      <c r="F305" s="522" t="n"/>
      <c r="G305" s="504" t="inlineStr">
        <is>
          <t>신규</t>
        </is>
      </c>
      <c r="O305" s="498">
        <f>IF(LEFT(R305,2)="확인",R305,"")</f>
      </c>
      <c r="R305" s="504">
        <f>IF(A305="","",IF(C305="생활비","생활비",IF(AND(COUNTIF($A$8:$A$12,C305)=1,ISNUMBER(D305),E305&gt;0,COUNTIF($A$100:$A$399,A305)=1,IFERROR(IF(F305="",AND(LEFT(A305,1)="U",G305="월기록"),AND(F305&gt;=2,COUNTIF($F$100:$F$399,F305)=1,INDEX(RAW!$H:$H,MAX(2,F305))="지출",D305=INDEX(RAW!$A:$A,MAX(2,F305)),E305&lt;=INDEX(RAW!$K:$K,MAX(2,F305)),OR(AND(G305="기존반영",OR(A305="U003",A305="U007")),AND(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AND(OR(A305&lt;&gt;"U003",F305=356),OR(A305&lt;&gt;"U007",F305=2203),OR(G305&lt;&gt;"기존반영",A305="U003",A305="U007")))),FALSE)),"OK","확인: 사용등록")))</f>
      </c>
      <c r="S305" s="504">
        <f>IF(ISNUMBER(D305),DATE(YEAR(D305),MONTH(D305),1),0)</f>
        <v>0</v>
      </c>
      <c r="T305" s="526">
        <f>IF(R305="OK",SUMIFS($O$430:$O$729,$B$430:$B$729,A305,$E$430:$E$729,"&lt;"&amp;EDATE($B$3,1)),0)</f>
        <v>0</v>
      </c>
      <c r="U305" s="526">
        <f>IF(AND(R305="OK",D305&lt;EDATE($B$3,1),$B$3&gt;=DATE(2026,3,1)),MAX(0,E305-T305),0)</f>
        <v>0</v>
      </c>
      <c r="V305" s="526">
        <f>IFERROR(IF(AND(R305="OK",AND(F305&gt;=2,G305&lt;&gt;"기존반영",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E305,0),0)</f>
        <v>0</v>
      </c>
      <c r="W305" s="526">
        <f>IF(V305&gt;0,ROUNDUP(INDEX(RAW!$K:$K,MAX(2,F305))/1000,0)*1000-ROUNDUP((INDEX(RAW!$K:$K,MAX(2,F305))-V305)/1000,0)*1000,0)</f>
        <v>0</v>
      </c>
      <c r="X305" s="504">
        <f>IF(AND(R305="OK",IF($B$43="전체",D305&lt;EDATE($B$3,1),IF($B$43="미정산",U305&gt;0,OR(S305=$B$3,Z305&gt;0,U305&gt;0)))),1,0)</f>
        <v>0</v>
      </c>
      <c r="Y305" s="504">
        <f>IF(X305=1,COUNTIF($X$100:X305,1),0)</f>
        <v>0</v>
      </c>
      <c r="Z305" s="526">
        <f>IF(R305="OK",SUMIFS($O$430:$O$729,$B$430:$B$729,A305,$E$430:$E$729,"&gt;="&amp;$B$3,$E$430:$E$729,"&lt;"&amp;EDATE($B$3,1)),0)</f>
        <v>0</v>
      </c>
    </row>
    <row r="306" hidden="1" outlineLevel="1">
      <c r="A306" s="504">
        <f>IF(F306="","",IF(F306&gt;0,"R"&amp;F306,""))</f>
      </c>
      <c r="B306" s="504">
        <f>IF(F306="","",IFERROR(INDEX(RAW!$F:$F,MAX(2,F306)),""))</f>
      </c>
      <c r="C306" s="522" t="n"/>
      <c r="D306" s="524">
        <f>IF(F306="","",IFERROR(INDEX(RAW!$A:$A,MAX(2,F306)),""))</f>
      </c>
      <c r="E306" s="525">
        <f>IF(F306="","",IFERROR(INDEX(RAW!$K:$K,MAX(2,F306)),0))</f>
      </c>
      <c r="F306" s="522" t="n"/>
      <c r="G306" s="504" t="inlineStr">
        <is>
          <t>신규</t>
        </is>
      </c>
      <c r="O306" s="498">
        <f>IF(LEFT(R306,2)="확인",R306,"")</f>
      </c>
      <c r="R306" s="504">
        <f>IF(A306="","",IF(C306="생활비","생활비",IF(AND(COUNTIF($A$8:$A$12,C306)=1,ISNUMBER(D306),E306&gt;0,COUNTIF($A$100:$A$399,A306)=1,IFERROR(IF(F306="",AND(LEFT(A306,1)="U",G306="월기록"),AND(F306&gt;=2,COUNTIF($F$100:$F$399,F306)=1,INDEX(RAW!$H:$H,MAX(2,F306))="지출",D306=INDEX(RAW!$A:$A,MAX(2,F306)),E306&lt;=INDEX(RAW!$K:$K,MAX(2,F306)),OR(AND(G306="기존반영",OR(A306="U003",A306="U007")),AND(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AND(OR(A306&lt;&gt;"U003",F306=356),OR(A306&lt;&gt;"U007",F306=2203),OR(G306&lt;&gt;"기존반영",A306="U003",A306="U007")))),FALSE)),"OK","확인: 사용등록")))</f>
      </c>
      <c r="S306" s="504">
        <f>IF(ISNUMBER(D306),DATE(YEAR(D306),MONTH(D306),1),0)</f>
        <v>0</v>
      </c>
      <c r="T306" s="526">
        <f>IF(R306="OK",SUMIFS($O$430:$O$729,$B$430:$B$729,A306,$E$430:$E$729,"&lt;"&amp;EDATE($B$3,1)),0)</f>
        <v>0</v>
      </c>
      <c r="U306" s="526">
        <f>IF(AND(R306="OK",D306&lt;EDATE($B$3,1),$B$3&gt;=DATE(2026,3,1)),MAX(0,E306-T306),0)</f>
        <v>0</v>
      </c>
      <c r="V306" s="526">
        <f>IFERROR(IF(AND(R306="OK",AND(F306&gt;=2,G306&lt;&gt;"기존반영",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E306,0),0)</f>
        <v>0</v>
      </c>
      <c r="W306" s="526">
        <f>IF(V306&gt;0,ROUNDUP(INDEX(RAW!$K:$K,MAX(2,F306))/1000,0)*1000-ROUNDUP((INDEX(RAW!$K:$K,MAX(2,F306))-V306)/1000,0)*1000,0)</f>
        <v>0</v>
      </c>
      <c r="X306" s="504">
        <f>IF(AND(R306="OK",IF($B$43="전체",D306&lt;EDATE($B$3,1),IF($B$43="미정산",U306&gt;0,OR(S306=$B$3,Z306&gt;0,U306&gt;0)))),1,0)</f>
        <v>0</v>
      </c>
      <c r="Y306" s="504">
        <f>IF(X306=1,COUNTIF($X$100:X306,1),0)</f>
        <v>0</v>
      </c>
      <c r="Z306" s="526">
        <f>IF(R306="OK",SUMIFS($O$430:$O$729,$B$430:$B$729,A306,$E$430:$E$729,"&gt;="&amp;$B$3,$E$430:$E$729,"&lt;"&amp;EDATE($B$3,1)),0)</f>
        <v>0</v>
      </c>
    </row>
    <row r="307" hidden="1" outlineLevel="1">
      <c r="A307" s="504">
        <f>IF(F307="","",IF(F307&gt;0,"R"&amp;F307,""))</f>
      </c>
      <c r="B307" s="504">
        <f>IF(F307="","",IFERROR(INDEX(RAW!$F:$F,MAX(2,F307)),""))</f>
      </c>
      <c r="C307" s="522" t="n"/>
      <c r="D307" s="524">
        <f>IF(F307="","",IFERROR(INDEX(RAW!$A:$A,MAX(2,F307)),""))</f>
      </c>
      <c r="E307" s="525">
        <f>IF(F307="","",IFERROR(INDEX(RAW!$K:$K,MAX(2,F307)),0))</f>
      </c>
      <c r="F307" s="522" t="n"/>
      <c r="G307" s="504" t="inlineStr">
        <is>
          <t>신규</t>
        </is>
      </c>
      <c r="O307" s="498">
        <f>IF(LEFT(R307,2)="확인",R307,"")</f>
      </c>
      <c r="R307" s="504">
        <f>IF(A307="","",IF(C307="생활비","생활비",IF(AND(COUNTIF($A$8:$A$12,C307)=1,ISNUMBER(D307),E307&gt;0,COUNTIF($A$100:$A$399,A307)=1,IFERROR(IF(F307="",AND(LEFT(A307,1)="U",G307="월기록"),AND(F307&gt;=2,COUNTIF($F$100:$F$399,F307)=1,INDEX(RAW!$H:$H,MAX(2,F307))="지출",D307=INDEX(RAW!$A:$A,MAX(2,F307)),E307&lt;=INDEX(RAW!$K:$K,MAX(2,F307)),OR(AND(G307="기존반영",OR(A307="U003",A307="U007")),AND(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AND(OR(A307&lt;&gt;"U003",F307=356),OR(A307&lt;&gt;"U007",F307=2203),OR(G307&lt;&gt;"기존반영",A307="U003",A307="U007")))),FALSE)),"OK","확인: 사용등록")))</f>
      </c>
      <c r="S307" s="504">
        <f>IF(ISNUMBER(D307),DATE(YEAR(D307),MONTH(D307),1),0)</f>
        <v>0</v>
      </c>
      <c r="T307" s="526">
        <f>IF(R307="OK",SUMIFS($O$430:$O$729,$B$430:$B$729,A307,$E$430:$E$729,"&lt;"&amp;EDATE($B$3,1)),0)</f>
        <v>0</v>
      </c>
      <c r="U307" s="526">
        <f>IF(AND(R307="OK",D307&lt;EDATE($B$3,1),$B$3&gt;=DATE(2026,3,1)),MAX(0,E307-T307),0)</f>
        <v>0</v>
      </c>
      <c r="V307" s="526">
        <f>IFERROR(IF(AND(R307="OK",AND(F307&gt;=2,G307&lt;&gt;"기존반영",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E307,0),0)</f>
        <v>0</v>
      </c>
      <c r="W307" s="526">
        <f>IF(V307&gt;0,ROUNDUP(INDEX(RAW!$K:$K,MAX(2,F307))/1000,0)*1000-ROUNDUP((INDEX(RAW!$K:$K,MAX(2,F307))-V307)/1000,0)*1000,0)</f>
        <v>0</v>
      </c>
      <c r="X307" s="504">
        <f>IF(AND(R307="OK",IF($B$43="전체",D307&lt;EDATE($B$3,1),IF($B$43="미정산",U307&gt;0,OR(S307=$B$3,Z307&gt;0,U307&gt;0)))),1,0)</f>
        <v>0</v>
      </c>
      <c r="Y307" s="504">
        <f>IF(X307=1,COUNTIF($X$100:X307,1),0)</f>
        <v>0</v>
      </c>
      <c r="Z307" s="526">
        <f>IF(R307="OK",SUMIFS($O$430:$O$729,$B$430:$B$729,A307,$E$430:$E$729,"&gt;="&amp;$B$3,$E$430:$E$729,"&lt;"&amp;EDATE($B$3,1)),0)</f>
        <v>0</v>
      </c>
    </row>
    <row r="308" hidden="1" outlineLevel="1">
      <c r="A308" s="504">
        <f>IF(F308="","",IF(F308&gt;0,"R"&amp;F308,""))</f>
      </c>
      <c r="B308" s="504">
        <f>IF(F308="","",IFERROR(INDEX(RAW!$F:$F,MAX(2,F308)),""))</f>
      </c>
      <c r="C308" s="522" t="n"/>
      <c r="D308" s="524">
        <f>IF(F308="","",IFERROR(INDEX(RAW!$A:$A,MAX(2,F308)),""))</f>
      </c>
      <c r="E308" s="525">
        <f>IF(F308="","",IFERROR(INDEX(RAW!$K:$K,MAX(2,F308)),0))</f>
      </c>
      <c r="F308" s="522" t="n"/>
      <c r="G308" s="504" t="inlineStr">
        <is>
          <t>신규</t>
        </is>
      </c>
      <c r="O308" s="498">
        <f>IF(LEFT(R308,2)="확인",R308,"")</f>
      </c>
      <c r="R308" s="504">
        <f>IF(A308="","",IF(C308="생활비","생활비",IF(AND(COUNTIF($A$8:$A$12,C308)=1,ISNUMBER(D308),E308&gt;0,COUNTIF($A$100:$A$399,A308)=1,IFERROR(IF(F308="",AND(LEFT(A308,1)="U",G308="월기록"),AND(F308&gt;=2,COUNTIF($F$100:$F$399,F308)=1,INDEX(RAW!$H:$H,MAX(2,F308))="지출",D308=INDEX(RAW!$A:$A,MAX(2,F308)),E308&lt;=INDEX(RAW!$K:$K,MAX(2,F308)),OR(AND(G308="기존반영",OR(A308="U003",A308="U007")),AND(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AND(OR(A308&lt;&gt;"U003",F308=356),OR(A308&lt;&gt;"U007",F308=2203),OR(G308&lt;&gt;"기존반영",A308="U003",A308="U007")))),FALSE)),"OK","확인: 사용등록")))</f>
      </c>
      <c r="S308" s="504">
        <f>IF(ISNUMBER(D308),DATE(YEAR(D308),MONTH(D308),1),0)</f>
        <v>0</v>
      </c>
      <c r="T308" s="526">
        <f>IF(R308="OK",SUMIFS($O$430:$O$729,$B$430:$B$729,A308,$E$430:$E$729,"&lt;"&amp;EDATE($B$3,1)),0)</f>
        <v>0</v>
      </c>
      <c r="U308" s="526">
        <f>IF(AND(R308="OK",D308&lt;EDATE($B$3,1),$B$3&gt;=DATE(2026,3,1)),MAX(0,E308-T308),0)</f>
        <v>0</v>
      </c>
      <c r="V308" s="526">
        <f>IFERROR(IF(AND(R308="OK",AND(F308&gt;=2,G308&lt;&gt;"기존반영",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E308,0),0)</f>
        <v>0</v>
      </c>
      <c r="W308" s="526">
        <f>IF(V308&gt;0,ROUNDUP(INDEX(RAW!$K:$K,MAX(2,F308))/1000,0)*1000-ROUNDUP((INDEX(RAW!$K:$K,MAX(2,F308))-V308)/1000,0)*1000,0)</f>
        <v>0</v>
      </c>
      <c r="X308" s="504">
        <f>IF(AND(R308="OK",IF($B$43="전체",D308&lt;EDATE($B$3,1),IF($B$43="미정산",U308&gt;0,OR(S308=$B$3,Z308&gt;0,U308&gt;0)))),1,0)</f>
        <v>0</v>
      </c>
      <c r="Y308" s="504">
        <f>IF(X308=1,COUNTIF($X$100:X308,1),0)</f>
        <v>0</v>
      </c>
      <c r="Z308" s="526">
        <f>IF(R308="OK",SUMIFS($O$430:$O$729,$B$430:$B$729,A308,$E$430:$E$729,"&gt;="&amp;$B$3,$E$430:$E$729,"&lt;"&amp;EDATE($B$3,1)),0)</f>
        <v>0</v>
      </c>
    </row>
    <row r="309" hidden="1" outlineLevel="1">
      <c r="A309" s="504">
        <f>IF(F309="","",IF(F309&gt;0,"R"&amp;F309,""))</f>
      </c>
      <c r="B309" s="504">
        <f>IF(F309="","",IFERROR(INDEX(RAW!$F:$F,MAX(2,F309)),""))</f>
      </c>
      <c r="C309" s="522" t="n"/>
      <c r="D309" s="524">
        <f>IF(F309="","",IFERROR(INDEX(RAW!$A:$A,MAX(2,F309)),""))</f>
      </c>
      <c r="E309" s="525">
        <f>IF(F309="","",IFERROR(INDEX(RAW!$K:$K,MAX(2,F309)),0))</f>
      </c>
      <c r="F309" s="522" t="n"/>
      <c r="G309" s="504" t="inlineStr">
        <is>
          <t>신규</t>
        </is>
      </c>
      <c r="O309" s="498">
        <f>IF(LEFT(R309,2)="확인",R309,"")</f>
      </c>
      <c r="R309" s="504">
        <f>IF(A309="","",IF(C309="생활비","생활비",IF(AND(COUNTIF($A$8:$A$12,C309)=1,ISNUMBER(D309),E309&gt;0,COUNTIF($A$100:$A$399,A309)=1,IFERROR(IF(F309="",AND(LEFT(A309,1)="U",G309="월기록"),AND(F309&gt;=2,COUNTIF($F$100:$F$399,F309)=1,INDEX(RAW!$H:$H,MAX(2,F309))="지출",D309=INDEX(RAW!$A:$A,MAX(2,F309)),E309&lt;=INDEX(RAW!$K:$K,MAX(2,F309)),OR(AND(G309="기존반영",OR(A309="U003",A309="U007")),AND(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AND(OR(A309&lt;&gt;"U003",F309=356),OR(A309&lt;&gt;"U007",F309=2203),OR(G309&lt;&gt;"기존반영",A309="U003",A309="U007")))),FALSE)),"OK","확인: 사용등록")))</f>
      </c>
      <c r="S309" s="504">
        <f>IF(ISNUMBER(D309),DATE(YEAR(D309),MONTH(D309),1),0)</f>
        <v>0</v>
      </c>
      <c r="T309" s="526">
        <f>IF(R309="OK",SUMIFS($O$430:$O$729,$B$430:$B$729,A309,$E$430:$E$729,"&lt;"&amp;EDATE($B$3,1)),0)</f>
        <v>0</v>
      </c>
      <c r="U309" s="526">
        <f>IF(AND(R309="OK",D309&lt;EDATE($B$3,1),$B$3&gt;=DATE(2026,3,1)),MAX(0,E309-T309),0)</f>
        <v>0</v>
      </c>
      <c r="V309" s="526">
        <f>IFERROR(IF(AND(R309="OK",AND(F309&gt;=2,G309&lt;&gt;"기존반영",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E309,0),0)</f>
        <v>0</v>
      </c>
      <c r="W309" s="526">
        <f>IF(V309&gt;0,ROUNDUP(INDEX(RAW!$K:$K,MAX(2,F309))/1000,0)*1000-ROUNDUP((INDEX(RAW!$K:$K,MAX(2,F309))-V309)/1000,0)*1000,0)</f>
        <v>0</v>
      </c>
      <c r="X309" s="504">
        <f>IF(AND(R309="OK",IF($B$43="전체",D309&lt;EDATE($B$3,1),IF($B$43="미정산",U309&gt;0,OR(S309=$B$3,Z309&gt;0,U309&gt;0)))),1,0)</f>
        <v>0</v>
      </c>
      <c r="Y309" s="504">
        <f>IF(X309=1,COUNTIF($X$100:X309,1),0)</f>
        <v>0</v>
      </c>
      <c r="Z309" s="526">
        <f>IF(R309="OK",SUMIFS($O$430:$O$729,$B$430:$B$729,A309,$E$430:$E$729,"&gt;="&amp;$B$3,$E$430:$E$729,"&lt;"&amp;EDATE($B$3,1)),0)</f>
        <v>0</v>
      </c>
    </row>
    <row r="310" hidden="1" outlineLevel="1">
      <c r="A310" s="504">
        <f>IF(F310="","",IF(F310&gt;0,"R"&amp;F310,""))</f>
      </c>
      <c r="B310" s="504">
        <f>IF(F310="","",IFERROR(INDEX(RAW!$F:$F,MAX(2,F310)),""))</f>
      </c>
      <c r="C310" s="522" t="n"/>
      <c r="D310" s="524">
        <f>IF(F310="","",IFERROR(INDEX(RAW!$A:$A,MAX(2,F310)),""))</f>
      </c>
      <c r="E310" s="525">
        <f>IF(F310="","",IFERROR(INDEX(RAW!$K:$K,MAX(2,F310)),0))</f>
      </c>
      <c r="F310" s="522" t="n"/>
      <c r="G310" s="504" t="inlineStr">
        <is>
          <t>신규</t>
        </is>
      </c>
      <c r="O310" s="498">
        <f>IF(LEFT(R310,2)="확인",R310,"")</f>
      </c>
      <c r="R310" s="504">
        <f>IF(A310="","",IF(C310="생활비","생활비",IF(AND(COUNTIF($A$8:$A$12,C310)=1,ISNUMBER(D310),E310&gt;0,COUNTIF($A$100:$A$399,A310)=1,IFERROR(IF(F310="",AND(LEFT(A310,1)="U",G310="월기록"),AND(F310&gt;=2,COUNTIF($F$100:$F$399,F310)=1,INDEX(RAW!$H:$H,MAX(2,F310))="지출",D310=INDEX(RAW!$A:$A,MAX(2,F310)),E310&lt;=INDEX(RAW!$K:$K,MAX(2,F310)),OR(AND(G310="기존반영",OR(A310="U003",A310="U007")),AND(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AND(OR(A310&lt;&gt;"U003",F310=356),OR(A310&lt;&gt;"U007",F310=2203),OR(G310&lt;&gt;"기존반영",A310="U003",A310="U007")))),FALSE)),"OK","확인: 사용등록")))</f>
      </c>
      <c r="S310" s="504">
        <f>IF(ISNUMBER(D310),DATE(YEAR(D310),MONTH(D310),1),0)</f>
        <v>0</v>
      </c>
      <c r="T310" s="526">
        <f>IF(R310="OK",SUMIFS($O$430:$O$729,$B$430:$B$729,A310,$E$430:$E$729,"&lt;"&amp;EDATE($B$3,1)),0)</f>
        <v>0</v>
      </c>
      <c r="U310" s="526">
        <f>IF(AND(R310="OK",D310&lt;EDATE($B$3,1),$B$3&gt;=DATE(2026,3,1)),MAX(0,E310-T310),0)</f>
        <v>0</v>
      </c>
      <c r="V310" s="526">
        <f>IFERROR(IF(AND(R310="OK",AND(F310&gt;=2,G310&lt;&gt;"기존반영",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E310,0),0)</f>
        <v>0</v>
      </c>
      <c r="W310" s="526">
        <f>IF(V310&gt;0,ROUNDUP(INDEX(RAW!$K:$K,MAX(2,F310))/1000,0)*1000-ROUNDUP((INDEX(RAW!$K:$K,MAX(2,F310))-V310)/1000,0)*1000,0)</f>
        <v>0</v>
      </c>
      <c r="X310" s="504">
        <f>IF(AND(R310="OK",IF($B$43="전체",D310&lt;EDATE($B$3,1),IF($B$43="미정산",U310&gt;0,OR(S310=$B$3,Z310&gt;0,U310&gt;0)))),1,0)</f>
        <v>0</v>
      </c>
      <c r="Y310" s="504">
        <f>IF(X310=1,COUNTIF($X$100:X310,1),0)</f>
        <v>0</v>
      </c>
      <c r="Z310" s="526">
        <f>IF(R310="OK",SUMIFS($O$430:$O$729,$B$430:$B$729,A310,$E$430:$E$729,"&gt;="&amp;$B$3,$E$430:$E$729,"&lt;"&amp;EDATE($B$3,1)),0)</f>
        <v>0</v>
      </c>
    </row>
    <row r="311" hidden="1" outlineLevel="1">
      <c r="A311" s="504">
        <f>IF(F311="","",IF(F311&gt;0,"R"&amp;F311,""))</f>
      </c>
      <c r="B311" s="504">
        <f>IF(F311="","",IFERROR(INDEX(RAW!$F:$F,MAX(2,F311)),""))</f>
      </c>
      <c r="C311" s="522" t="n"/>
      <c r="D311" s="524">
        <f>IF(F311="","",IFERROR(INDEX(RAW!$A:$A,MAX(2,F311)),""))</f>
      </c>
      <c r="E311" s="525">
        <f>IF(F311="","",IFERROR(INDEX(RAW!$K:$K,MAX(2,F311)),0))</f>
      </c>
      <c r="F311" s="522" t="n"/>
      <c r="G311" s="504" t="inlineStr">
        <is>
          <t>신규</t>
        </is>
      </c>
      <c r="O311" s="498">
        <f>IF(LEFT(R311,2)="확인",R311,"")</f>
      </c>
      <c r="R311" s="504">
        <f>IF(A311="","",IF(C311="생활비","생활비",IF(AND(COUNTIF($A$8:$A$12,C311)=1,ISNUMBER(D311),E311&gt;0,COUNTIF($A$100:$A$399,A311)=1,IFERROR(IF(F311="",AND(LEFT(A311,1)="U",G311="월기록"),AND(F311&gt;=2,COUNTIF($F$100:$F$399,F311)=1,INDEX(RAW!$H:$H,MAX(2,F311))="지출",D311=INDEX(RAW!$A:$A,MAX(2,F311)),E311&lt;=INDEX(RAW!$K:$K,MAX(2,F311)),OR(AND(G311="기존반영",OR(A311="U003",A311="U007")),AND(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AND(OR(A311&lt;&gt;"U003",F311=356),OR(A311&lt;&gt;"U007",F311=2203),OR(G311&lt;&gt;"기존반영",A311="U003",A311="U007")))),FALSE)),"OK","확인: 사용등록")))</f>
      </c>
      <c r="S311" s="504">
        <f>IF(ISNUMBER(D311),DATE(YEAR(D311),MONTH(D311),1),0)</f>
        <v>0</v>
      </c>
      <c r="T311" s="526">
        <f>IF(R311="OK",SUMIFS($O$430:$O$729,$B$430:$B$729,A311,$E$430:$E$729,"&lt;"&amp;EDATE($B$3,1)),0)</f>
        <v>0</v>
      </c>
      <c r="U311" s="526">
        <f>IF(AND(R311="OK",D311&lt;EDATE($B$3,1),$B$3&gt;=DATE(2026,3,1)),MAX(0,E311-T311),0)</f>
        <v>0</v>
      </c>
      <c r="V311" s="526">
        <f>IFERROR(IF(AND(R311="OK",AND(F311&gt;=2,G311&lt;&gt;"기존반영",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E311,0),0)</f>
        <v>0</v>
      </c>
      <c r="W311" s="526">
        <f>IF(V311&gt;0,ROUNDUP(INDEX(RAW!$K:$K,MAX(2,F311))/1000,0)*1000-ROUNDUP((INDEX(RAW!$K:$K,MAX(2,F311))-V311)/1000,0)*1000,0)</f>
        <v>0</v>
      </c>
      <c r="X311" s="504">
        <f>IF(AND(R311="OK",IF($B$43="전체",D311&lt;EDATE($B$3,1),IF($B$43="미정산",U311&gt;0,OR(S311=$B$3,Z311&gt;0,U311&gt;0)))),1,0)</f>
        <v>0</v>
      </c>
      <c r="Y311" s="504">
        <f>IF(X311=1,COUNTIF($X$100:X311,1),0)</f>
        <v>0</v>
      </c>
      <c r="Z311" s="526">
        <f>IF(R311="OK",SUMIFS($O$430:$O$729,$B$430:$B$729,A311,$E$430:$E$729,"&gt;="&amp;$B$3,$E$430:$E$729,"&lt;"&amp;EDATE($B$3,1)),0)</f>
        <v>0</v>
      </c>
    </row>
    <row r="312" hidden="1" outlineLevel="1">
      <c r="A312" s="504">
        <f>IF(F312="","",IF(F312&gt;0,"R"&amp;F312,""))</f>
      </c>
      <c r="B312" s="504">
        <f>IF(F312="","",IFERROR(INDEX(RAW!$F:$F,MAX(2,F312)),""))</f>
      </c>
      <c r="C312" s="522" t="n"/>
      <c r="D312" s="524">
        <f>IF(F312="","",IFERROR(INDEX(RAW!$A:$A,MAX(2,F312)),""))</f>
      </c>
      <c r="E312" s="525">
        <f>IF(F312="","",IFERROR(INDEX(RAW!$K:$K,MAX(2,F312)),0))</f>
      </c>
      <c r="F312" s="522" t="n"/>
      <c r="G312" s="504" t="inlineStr">
        <is>
          <t>신규</t>
        </is>
      </c>
      <c r="O312" s="498">
        <f>IF(LEFT(R312,2)="확인",R312,"")</f>
      </c>
      <c r="R312" s="504">
        <f>IF(A312="","",IF(C312="생활비","생활비",IF(AND(COUNTIF($A$8:$A$12,C312)=1,ISNUMBER(D312),E312&gt;0,COUNTIF($A$100:$A$399,A312)=1,IFERROR(IF(F312="",AND(LEFT(A312,1)="U",G312="월기록"),AND(F312&gt;=2,COUNTIF($F$100:$F$399,F312)=1,INDEX(RAW!$H:$H,MAX(2,F312))="지출",D312=INDEX(RAW!$A:$A,MAX(2,F312)),E312&lt;=INDEX(RAW!$K:$K,MAX(2,F312)),OR(AND(G312="기존반영",OR(A312="U003",A312="U007")),AND(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AND(OR(A312&lt;&gt;"U003",F312=356),OR(A312&lt;&gt;"U007",F312=2203),OR(G312&lt;&gt;"기존반영",A312="U003",A312="U007")))),FALSE)),"OK","확인: 사용등록")))</f>
      </c>
      <c r="S312" s="504">
        <f>IF(ISNUMBER(D312),DATE(YEAR(D312),MONTH(D312),1),0)</f>
        <v>0</v>
      </c>
      <c r="T312" s="526">
        <f>IF(R312="OK",SUMIFS($O$430:$O$729,$B$430:$B$729,A312,$E$430:$E$729,"&lt;"&amp;EDATE($B$3,1)),0)</f>
        <v>0</v>
      </c>
      <c r="U312" s="526">
        <f>IF(AND(R312="OK",D312&lt;EDATE($B$3,1),$B$3&gt;=DATE(2026,3,1)),MAX(0,E312-T312),0)</f>
        <v>0</v>
      </c>
      <c r="V312" s="526">
        <f>IFERROR(IF(AND(R312="OK",AND(F312&gt;=2,G312&lt;&gt;"기존반영",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E312,0),0)</f>
        <v>0</v>
      </c>
      <c r="W312" s="526">
        <f>IF(V312&gt;0,ROUNDUP(INDEX(RAW!$K:$K,MAX(2,F312))/1000,0)*1000-ROUNDUP((INDEX(RAW!$K:$K,MAX(2,F312))-V312)/1000,0)*1000,0)</f>
        <v>0</v>
      </c>
      <c r="X312" s="504">
        <f>IF(AND(R312="OK",IF($B$43="전체",D312&lt;EDATE($B$3,1),IF($B$43="미정산",U312&gt;0,OR(S312=$B$3,Z312&gt;0,U312&gt;0)))),1,0)</f>
        <v>0</v>
      </c>
      <c r="Y312" s="504">
        <f>IF(X312=1,COUNTIF($X$100:X312,1),0)</f>
        <v>0</v>
      </c>
      <c r="Z312" s="526">
        <f>IF(R312="OK",SUMIFS($O$430:$O$729,$B$430:$B$729,A312,$E$430:$E$729,"&gt;="&amp;$B$3,$E$430:$E$729,"&lt;"&amp;EDATE($B$3,1)),0)</f>
        <v>0</v>
      </c>
    </row>
    <row r="313" hidden="1" outlineLevel="1">
      <c r="A313" s="504">
        <f>IF(F313="","",IF(F313&gt;0,"R"&amp;F313,""))</f>
      </c>
      <c r="B313" s="504">
        <f>IF(F313="","",IFERROR(INDEX(RAW!$F:$F,MAX(2,F313)),""))</f>
      </c>
      <c r="C313" s="522" t="n"/>
      <c r="D313" s="524">
        <f>IF(F313="","",IFERROR(INDEX(RAW!$A:$A,MAX(2,F313)),""))</f>
      </c>
      <c r="E313" s="525">
        <f>IF(F313="","",IFERROR(INDEX(RAW!$K:$K,MAX(2,F313)),0))</f>
      </c>
      <c r="F313" s="522" t="n"/>
      <c r="G313" s="504" t="inlineStr">
        <is>
          <t>신규</t>
        </is>
      </c>
      <c r="O313" s="498">
        <f>IF(LEFT(R313,2)="확인",R313,"")</f>
      </c>
      <c r="R313" s="504">
        <f>IF(A313="","",IF(C313="생활비","생활비",IF(AND(COUNTIF($A$8:$A$12,C313)=1,ISNUMBER(D313),E313&gt;0,COUNTIF($A$100:$A$399,A313)=1,IFERROR(IF(F313="",AND(LEFT(A313,1)="U",G313="월기록"),AND(F313&gt;=2,COUNTIF($F$100:$F$399,F313)=1,INDEX(RAW!$H:$H,MAX(2,F313))="지출",D313=INDEX(RAW!$A:$A,MAX(2,F313)),E313&lt;=INDEX(RAW!$K:$K,MAX(2,F313)),OR(AND(G313="기존반영",OR(A313="U003",A313="U007")),AND(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AND(OR(A313&lt;&gt;"U003",F313=356),OR(A313&lt;&gt;"U007",F313=2203),OR(G313&lt;&gt;"기존반영",A313="U003",A313="U007")))),FALSE)),"OK","확인: 사용등록")))</f>
      </c>
      <c r="S313" s="504">
        <f>IF(ISNUMBER(D313),DATE(YEAR(D313),MONTH(D313),1),0)</f>
        <v>0</v>
      </c>
      <c r="T313" s="526">
        <f>IF(R313="OK",SUMIFS($O$430:$O$729,$B$430:$B$729,A313,$E$430:$E$729,"&lt;"&amp;EDATE($B$3,1)),0)</f>
        <v>0</v>
      </c>
      <c r="U313" s="526">
        <f>IF(AND(R313="OK",D313&lt;EDATE($B$3,1),$B$3&gt;=DATE(2026,3,1)),MAX(0,E313-T313),0)</f>
        <v>0</v>
      </c>
      <c r="V313" s="526">
        <f>IFERROR(IF(AND(R313="OK",AND(F313&gt;=2,G313&lt;&gt;"기존반영",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E313,0),0)</f>
        <v>0</v>
      </c>
      <c r="W313" s="526">
        <f>IF(V313&gt;0,ROUNDUP(INDEX(RAW!$K:$K,MAX(2,F313))/1000,0)*1000-ROUNDUP((INDEX(RAW!$K:$K,MAX(2,F313))-V313)/1000,0)*1000,0)</f>
        <v>0</v>
      </c>
      <c r="X313" s="504">
        <f>IF(AND(R313="OK",IF($B$43="전체",D313&lt;EDATE($B$3,1),IF($B$43="미정산",U313&gt;0,OR(S313=$B$3,Z313&gt;0,U313&gt;0)))),1,0)</f>
        <v>0</v>
      </c>
      <c r="Y313" s="504">
        <f>IF(X313=1,COUNTIF($X$100:X313,1),0)</f>
        <v>0</v>
      </c>
      <c r="Z313" s="526">
        <f>IF(R313="OK",SUMIFS($O$430:$O$729,$B$430:$B$729,A313,$E$430:$E$729,"&gt;="&amp;$B$3,$E$430:$E$729,"&lt;"&amp;EDATE($B$3,1)),0)</f>
        <v>0</v>
      </c>
    </row>
    <row r="314" hidden="1" outlineLevel="1">
      <c r="A314" s="504">
        <f>IF(F314="","",IF(F314&gt;0,"R"&amp;F314,""))</f>
      </c>
      <c r="B314" s="504">
        <f>IF(F314="","",IFERROR(INDEX(RAW!$F:$F,MAX(2,F314)),""))</f>
      </c>
      <c r="C314" s="522" t="n"/>
      <c r="D314" s="524">
        <f>IF(F314="","",IFERROR(INDEX(RAW!$A:$A,MAX(2,F314)),""))</f>
      </c>
      <c r="E314" s="525">
        <f>IF(F314="","",IFERROR(INDEX(RAW!$K:$K,MAX(2,F314)),0))</f>
      </c>
      <c r="F314" s="522" t="n"/>
      <c r="G314" s="504" t="inlineStr">
        <is>
          <t>신규</t>
        </is>
      </c>
      <c r="O314" s="498">
        <f>IF(LEFT(R314,2)="확인",R314,"")</f>
      </c>
      <c r="R314" s="504">
        <f>IF(A314="","",IF(C314="생활비","생활비",IF(AND(COUNTIF($A$8:$A$12,C314)=1,ISNUMBER(D314),E314&gt;0,COUNTIF($A$100:$A$399,A314)=1,IFERROR(IF(F314="",AND(LEFT(A314,1)="U",G314="월기록"),AND(F314&gt;=2,COUNTIF($F$100:$F$399,F314)=1,INDEX(RAW!$H:$H,MAX(2,F314))="지출",D314=INDEX(RAW!$A:$A,MAX(2,F314)),E314&lt;=INDEX(RAW!$K:$K,MAX(2,F314)),OR(AND(G314="기존반영",OR(A314="U003",A314="U007")),AND(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AND(OR(A314&lt;&gt;"U003",F314=356),OR(A314&lt;&gt;"U007",F314=2203),OR(G314&lt;&gt;"기존반영",A314="U003",A314="U007")))),FALSE)),"OK","확인: 사용등록")))</f>
      </c>
      <c r="S314" s="504">
        <f>IF(ISNUMBER(D314),DATE(YEAR(D314),MONTH(D314),1),0)</f>
        <v>0</v>
      </c>
      <c r="T314" s="526">
        <f>IF(R314="OK",SUMIFS($O$430:$O$729,$B$430:$B$729,A314,$E$430:$E$729,"&lt;"&amp;EDATE($B$3,1)),0)</f>
        <v>0</v>
      </c>
      <c r="U314" s="526">
        <f>IF(AND(R314="OK",D314&lt;EDATE($B$3,1),$B$3&gt;=DATE(2026,3,1)),MAX(0,E314-T314),0)</f>
        <v>0</v>
      </c>
      <c r="V314" s="526">
        <f>IFERROR(IF(AND(R314="OK",AND(F314&gt;=2,G314&lt;&gt;"기존반영",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E314,0),0)</f>
        <v>0</v>
      </c>
      <c r="W314" s="526">
        <f>IF(V314&gt;0,ROUNDUP(INDEX(RAW!$K:$K,MAX(2,F314))/1000,0)*1000-ROUNDUP((INDEX(RAW!$K:$K,MAX(2,F314))-V314)/1000,0)*1000,0)</f>
        <v>0</v>
      </c>
      <c r="X314" s="504">
        <f>IF(AND(R314="OK",IF($B$43="전체",D314&lt;EDATE($B$3,1),IF($B$43="미정산",U314&gt;0,OR(S314=$B$3,Z314&gt;0,U314&gt;0)))),1,0)</f>
        <v>0</v>
      </c>
      <c r="Y314" s="504">
        <f>IF(X314=1,COUNTIF($X$100:X314,1),0)</f>
        <v>0</v>
      </c>
      <c r="Z314" s="526">
        <f>IF(R314="OK",SUMIFS($O$430:$O$729,$B$430:$B$729,A314,$E$430:$E$729,"&gt;="&amp;$B$3,$E$430:$E$729,"&lt;"&amp;EDATE($B$3,1)),0)</f>
        <v>0</v>
      </c>
    </row>
    <row r="315" hidden="1" outlineLevel="1">
      <c r="A315" s="504">
        <f>IF(F315="","",IF(F315&gt;0,"R"&amp;F315,""))</f>
      </c>
      <c r="B315" s="504">
        <f>IF(F315="","",IFERROR(INDEX(RAW!$F:$F,MAX(2,F315)),""))</f>
      </c>
      <c r="C315" s="522" t="n"/>
      <c r="D315" s="524">
        <f>IF(F315="","",IFERROR(INDEX(RAW!$A:$A,MAX(2,F315)),""))</f>
      </c>
      <c r="E315" s="525">
        <f>IF(F315="","",IFERROR(INDEX(RAW!$K:$K,MAX(2,F315)),0))</f>
      </c>
      <c r="F315" s="522" t="n"/>
      <c r="G315" s="504" t="inlineStr">
        <is>
          <t>신규</t>
        </is>
      </c>
      <c r="O315" s="498">
        <f>IF(LEFT(R315,2)="확인",R315,"")</f>
      </c>
      <c r="R315" s="504">
        <f>IF(A315="","",IF(C315="생활비","생활비",IF(AND(COUNTIF($A$8:$A$12,C315)=1,ISNUMBER(D315),E315&gt;0,COUNTIF($A$100:$A$399,A315)=1,IFERROR(IF(F315="",AND(LEFT(A315,1)="U",G315="월기록"),AND(F315&gt;=2,COUNTIF($F$100:$F$399,F315)=1,INDEX(RAW!$H:$H,MAX(2,F315))="지출",D315=INDEX(RAW!$A:$A,MAX(2,F315)),E315&lt;=INDEX(RAW!$K:$K,MAX(2,F315)),OR(AND(G315="기존반영",OR(A315="U003",A315="U007")),AND(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AND(OR(A315&lt;&gt;"U003",F315=356),OR(A315&lt;&gt;"U007",F315=2203),OR(G315&lt;&gt;"기존반영",A315="U003",A315="U007")))),FALSE)),"OK","확인: 사용등록")))</f>
      </c>
      <c r="S315" s="504">
        <f>IF(ISNUMBER(D315),DATE(YEAR(D315),MONTH(D315),1),0)</f>
        <v>0</v>
      </c>
      <c r="T315" s="526">
        <f>IF(R315="OK",SUMIFS($O$430:$O$729,$B$430:$B$729,A315,$E$430:$E$729,"&lt;"&amp;EDATE($B$3,1)),0)</f>
        <v>0</v>
      </c>
      <c r="U315" s="526">
        <f>IF(AND(R315="OK",D315&lt;EDATE($B$3,1),$B$3&gt;=DATE(2026,3,1)),MAX(0,E315-T315),0)</f>
        <v>0</v>
      </c>
      <c r="V315" s="526">
        <f>IFERROR(IF(AND(R315="OK",AND(F315&gt;=2,G315&lt;&gt;"기존반영",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E315,0),0)</f>
        <v>0</v>
      </c>
      <c r="W315" s="526">
        <f>IF(V315&gt;0,ROUNDUP(INDEX(RAW!$K:$K,MAX(2,F315))/1000,0)*1000-ROUNDUP((INDEX(RAW!$K:$K,MAX(2,F315))-V315)/1000,0)*1000,0)</f>
        <v>0</v>
      </c>
      <c r="X315" s="504">
        <f>IF(AND(R315="OK",IF($B$43="전체",D315&lt;EDATE($B$3,1),IF($B$43="미정산",U315&gt;0,OR(S315=$B$3,Z315&gt;0,U315&gt;0)))),1,0)</f>
        <v>0</v>
      </c>
      <c r="Y315" s="504">
        <f>IF(X315=1,COUNTIF($X$100:X315,1),0)</f>
        <v>0</v>
      </c>
      <c r="Z315" s="526">
        <f>IF(R315="OK",SUMIFS($O$430:$O$729,$B$430:$B$729,A315,$E$430:$E$729,"&gt;="&amp;$B$3,$E$430:$E$729,"&lt;"&amp;EDATE($B$3,1)),0)</f>
        <v>0</v>
      </c>
    </row>
    <row r="316" hidden="1" outlineLevel="1">
      <c r="A316" s="504">
        <f>IF(F316="","",IF(F316&gt;0,"R"&amp;F316,""))</f>
      </c>
      <c r="B316" s="504">
        <f>IF(F316="","",IFERROR(INDEX(RAW!$F:$F,MAX(2,F316)),""))</f>
      </c>
      <c r="C316" s="522" t="n"/>
      <c r="D316" s="524">
        <f>IF(F316="","",IFERROR(INDEX(RAW!$A:$A,MAX(2,F316)),""))</f>
      </c>
      <c r="E316" s="525">
        <f>IF(F316="","",IFERROR(INDEX(RAW!$K:$K,MAX(2,F316)),0))</f>
      </c>
      <c r="F316" s="522" t="n"/>
      <c r="G316" s="504" t="inlineStr">
        <is>
          <t>신규</t>
        </is>
      </c>
      <c r="O316" s="498">
        <f>IF(LEFT(R316,2)="확인",R316,"")</f>
      </c>
      <c r="R316" s="504">
        <f>IF(A316="","",IF(C316="생활비","생활비",IF(AND(COUNTIF($A$8:$A$12,C316)=1,ISNUMBER(D316),E316&gt;0,COUNTIF($A$100:$A$399,A316)=1,IFERROR(IF(F316="",AND(LEFT(A316,1)="U",G316="월기록"),AND(F316&gt;=2,COUNTIF($F$100:$F$399,F316)=1,INDEX(RAW!$H:$H,MAX(2,F316))="지출",D316=INDEX(RAW!$A:$A,MAX(2,F316)),E316&lt;=INDEX(RAW!$K:$K,MAX(2,F316)),OR(AND(G316="기존반영",OR(A316="U003",A316="U007")),AND(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AND(OR(A316&lt;&gt;"U003",F316=356),OR(A316&lt;&gt;"U007",F316=2203),OR(G316&lt;&gt;"기존반영",A316="U003",A316="U007")))),FALSE)),"OK","확인: 사용등록")))</f>
      </c>
      <c r="S316" s="504">
        <f>IF(ISNUMBER(D316),DATE(YEAR(D316),MONTH(D316),1),0)</f>
        <v>0</v>
      </c>
      <c r="T316" s="526">
        <f>IF(R316="OK",SUMIFS($O$430:$O$729,$B$430:$B$729,A316,$E$430:$E$729,"&lt;"&amp;EDATE($B$3,1)),0)</f>
        <v>0</v>
      </c>
      <c r="U316" s="526">
        <f>IF(AND(R316="OK",D316&lt;EDATE($B$3,1),$B$3&gt;=DATE(2026,3,1)),MAX(0,E316-T316),0)</f>
        <v>0</v>
      </c>
      <c r="V316" s="526">
        <f>IFERROR(IF(AND(R316="OK",AND(F316&gt;=2,G316&lt;&gt;"기존반영",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E316,0),0)</f>
        <v>0</v>
      </c>
      <c r="W316" s="526">
        <f>IF(V316&gt;0,ROUNDUP(INDEX(RAW!$K:$K,MAX(2,F316))/1000,0)*1000-ROUNDUP((INDEX(RAW!$K:$K,MAX(2,F316))-V316)/1000,0)*1000,0)</f>
        <v>0</v>
      </c>
      <c r="X316" s="504">
        <f>IF(AND(R316="OK",IF($B$43="전체",D316&lt;EDATE($B$3,1),IF($B$43="미정산",U316&gt;0,OR(S316=$B$3,Z316&gt;0,U316&gt;0)))),1,0)</f>
        <v>0</v>
      </c>
      <c r="Y316" s="504">
        <f>IF(X316=1,COUNTIF($X$100:X316,1),0)</f>
        <v>0</v>
      </c>
      <c r="Z316" s="526">
        <f>IF(R316="OK",SUMIFS($O$430:$O$729,$B$430:$B$729,A316,$E$430:$E$729,"&gt;="&amp;$B$3,$E$430:$E$729,"&lt;"&amp;EDATE($B$3,1)),0)</f>
        <v>0</v>
      </c>
    </row>
    <row r="317" hidden="1" outlineLevel="1">
      <c r="A317" s="504">
        <f>IF(F317="","",IF(F317&gt;0,"R"&amp;F317,""))</f>
      </c>
      <c r="B317" s="504">
        <f>IF(F317="","",IFERROR(INDEX(RAW!$F:$F,MAX(2,F317)),""))</f>
      </c>
      <c r="C317" s="522" t="n"/>
      <c r="D317" s="524">
        <f>IF(F317="","",IFERROR(INDEX(RAW!$A:$A,MAX(2,F317)),""))</f>
      </c>
      <c r="E317" s="525">
        <f>IF(F317="","",IFERROR(INDEX(RAW!$K:$K,MAX(2,F317)),0))</f>
      </c>
      <c r="F317" s="522" t="n"/>
      <c r="G317" s="504" t="inlineStr">
        <is>
          <t>신규</t>
        </is>
      </c>
      <c r="O317" s="498">
        <f>IF(LEFT(R317,2)="확인",R317,"")</f>
      </c>
      <c r="R317" s="504">
        <f>IF(A317="","",IF(C317="생활비","생활비",IF(AND(COUNTIF($A$8:$A$12,C317)=1,ISNUMBER(D317),E317&gt;0,COUNTIF($A$100:$A$399,A317)=1,IFERROR(IF(F317="",AND(LEFT(A317,1)="U",G317="월기록"),AND(F317&gt;=2,COUNTIF($F$100:$F$399,F317)=1,INDEX(RAW!$H:$H,MAX(2,F317))="지출",D317=INDEX(RAW!$A:$A,MAX(2,F317)),E317&lt;=INDEX(RAW!$K:$K,MAX(2,F317)),OR(AND(G317="기존반영",OR(A317="U003",A317="U007")),AND(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AND(OR(A317&lt;&gt;"U003",F317=356),OR(A317&lt;&gt;"U007",F317=2203),OR(G317&lt;&gt;"기존반영",A317="U003",A317="U007")))),FALSE)),"OK","확인: 사용등록")))</f>
      </c>
      <c r="S317" s="504">
        <f>IF(ISNUMBER(D317),DATE(YEAR(D317),MONTH(D317),1),0)</f>
        <v>0</v>
      </c>
      <c r="T317" s="526">
        <f>IF(R317="OK",SUMIFS($O$430:$O$729,$B$430:$B$729,A317,$E$430:$E$729,"&lt;"&amp;EDATE($B$3,1)),0)</f>
        <v>0</v>
      </c>
      <c r="U317" s="526">
        <f>IF(AND(R317="OK",D317&lt;EDATE($B$3,1),$B$3&gt;=DATE(2026,3,1)),MAX(0,E317-T317),0)</f>
        <v>0</v>
      </c>
      <c r="V317" s="526">
        <f>IFERROR(IF(AND(R317="OK",AND(F317&gt;=2,G317&lt;&gt;"기존반영",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E317,0),0)</f>
        <v>0</v>
      </c>
      <c r="W317" s="526">
        <f>IF(V317&gt;0,ROUNDUP(INDEX(RAW!$K:$K,MAX(2,F317))/1000,0)*1000-ROUNDUP((INDEX(RAW!$K:$K,MAX(2,F317))-V317)/1000,0)*1000,0)</f>
        <v>0</v>
      </c>
      <c r="X317" s="504">
        <f>IF(AND(R317="OK",IF($B$43="전체",D317&lt;EDATE($B$3,1),IF($B$43="미정산",U317&gt;0,OR(S317=$B$3,Z317&gt;0,U317&gt;0)))),1,0)</f>
        <v>0</v>
      </c>
      <c r="Y317" s="504">
        <f>IF(X317=1,COUNTIF($X$100:X317,1),0)</f>
        <v>0</v>
      </c>
      <c r="Z317" s="526">
        <f>IF(R317="OK",SUMIFS($O$430:$O$729,$B$430:$B$729,A317,$E$430:$E$729,"&gt;="&amp;$B$3,$E$430:$E$729,"&lt;"&amp;EDATE($B$3,1)),0)</f>
        <v>0</v>
      </c>
    </row>
    <row r="318" hidden="1" outlineLevel="1">
      <c r="A318" s="504">
        <f>IF(F318="","",IF(F318&gt;0,"R"&amp;F318,""))</f>
      </c>
      <c r="B318" s="504">
        <f>IF(F318="","",IFERROR(INDEX(RAW!$F:$F,MAX(2,F318)),""))</f>
      </c>
      <c r="C318" s="522" t="n"/>
      <c r="D318" s="524">
        <f>IF(F318="","",IFERROR(INDEX(RAW!$A:$A,MAX(2,F318)),""))</f>
      </c>
      <c r="E318" s="525">
        <f>IF(F318="","",IFERROR(INDEX(RAW!$K:$K,MAX(2,F318)),0))</f>
      </c>
      <c r="F318" s="522" t="n"/>
      <c r="G318" s="504" t="inlineStr">
        <is>
          <t>신규</t>
        </is>
      </c>
      <c r="O318" s="498">
        <f>IF(LEFT(R318,2)="확인",R318,"")</f>
      </c>
      <c r="R318" s="504">
        <f>IF(A318="","",IF(C318="생활비","생활비",IF(AND(COUNTIF($A$8:$A$12,C318)=1,ISNUMBER(D318),E318&gt;0,COUNTIF($A$100:$A$399,A318)=1,IFERROR(IF(F318="",AND(LEFT(A318,1)="U",G318="월기록"),AND(F318&gt;=2,COUNTIF($F$100:$F$399,F318)=1,INDEX(RAW!$H:$H,MAX(2,F318))="지출",D318=INDEX(RAW!$A:$A,MAX(2,F318)),E318&lt;=INDEX(RAW!$K:$K,MAX(2,F318)),OR(AND(G318="기존반영",OR(A318="U003",A318="U007")),AND(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AND(OR(A318&lt;&gt;"U003",F318=356),OR(A318&lt;&gt;"U007",F318=2203),OR(G318&lt;&gt;"기존반영",A318="U003",A318="U007")))),FALSE)),"OK","확인: 사용등록")))</f>
      </c>
      <c r="S318" s="504">
        <f>IF(ISNUMBER(D318),DATE(YEAR(D318),MONTH(D318),1),0)</f>
        <v>0</v>
      </c>
      <c r="T318" s="526">
        <f>IF(R318="OK",SUMIFS($O$430:$O$729,$B$430:$B$729,A318,$E$430:$E$729,"&lt;"&amp;EDATE($B$3,1)),0)</f>
        <v>0</v>
      </c>
      <c r="U318" s="526">
        <f>IF(AND(R318="OK",D318&lt;EDATE($B$3,1),$B$3&gt;=DATE(2026,3,1)),MAX(0,E318-T318),0)</f>
        <v>0</v>
      </c>
      <c r="V318" s="526">
        <f>IFERROR(IF(AND(R318="OK",AND(F318&gt;=2,G318&lt;&gt;"기존반영",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E318,0),0)</f>
        <v>0</v>
      </c>
      <c r="W318" s="526">
        <f>IF(V318&gt;0,ROUNDUP(INDEX(RAW!$K:$K,MAX(2,F318))/1000,0)*1000-ROUNDUP((INDEX(RAW!$K:$K,MAX(2,F318))-V318)/1000,0)*1000,0)</f>
        <v>0</v>
      </c>
      <c r="X318" s="504">
        <f>IF(AND(R318="OK",IF($B$43="전체",D318&lt;EDATE($B$3,1),IF($B$43="미정산",U318&gt;0,OR(S318=$B$3,Z318&gt;0,U318&gt;0)))),1,0)</f>
        <v>0</v>
      </c>
      <c r="Y318" s="504">
        <f>IF(X318=1,COUNTIF($X$100:X318,1),0)</f>
        <v>0</v>
      </c>
      <c r="Z318" s="526">
        <f>IF(R318="OK",SUMIFS($O$430:$O$729,$B$430:$B$729,A318,$E$430:$E$729,"&gt;="&amp;$B$3,$E$430:$E$729,"&lt;"&amp;EDATE($B$3,1)),0)</f>
        <v>0</v>
      </c>
    </row>
    <row r="319" hidden="1" outlineLevel="1">
      <c r="A319" s="504">
        <f>IF(F319="","",IF(F319&gt;0,"R"&amp;F319,""))</f>
      </c>
      <c r="B319" s="504">
        <f>IF(F319="","",IFERROR(INDEX(RAW!$F:$F,MAX(2,F319)),""))</f>
      </c>
      <c r="C319" s="522" t="n"/>
      <c r="D319" s="524">
        <f>IF(F319="","",IFERROR(INDEX(RAW!$A:$A,MAX(2,F319)),""))</f>
      </c>
      <c r="E319" s="525">
        <f>IF(F319="","",IFERROR(INDEX(RAW!$K:$K,MAX(2,F319)),0))</f>
      </c>
      <c r="F319" s="522" t="n"/>
      <c r="G319" s="504" t="inlineStr">
        <is>
          <t>신규</t>
        </is>
      </c>
      <c r="O319" s="498">
        <f>IF(LEFT(R319,2)="확인",R319,"")</f>
      </c>
      <c r="R319" s="504">
        <f>IF(A319="","",IF(C319="생활비","생활비",IF(AND(COUNTIF($A$8:$A$12,C319)=1,ISNUMBER(D319),E319&gt;0,COUNTIF($A$100:$A$399,A319)=1,IFERROR(IF(F319="",AND(LEFT(A319,1)="U",G319="월기록"),AND(F319&gt;=2,COUNTIF($F$100:$F$399,F319)=1,INDEX(RAW!$H:$H,MAX(2,F319))="지출",D319=INDEX(RAW!$A:$A,MAX(2,F319)),E319&lt;=INDEX(RAW!$K:$K,MAX(2,F319)),OR(AND(G319="기존반영",OR(A319="U003",A319="U007")),AND(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AND(OR(A319&lt;&gt;"U003",F319=356),OR(A319&lt;&gt;"U007",F319=2203),OR(G319&lt;&gt;"기존반영",A319="U003",A319="U007")))),FALSE)),"OK","확인: 사용등록")))</f>
      </c>
      <c r="S319" s="504">
        <f>IF(ISNUMBER(D319),DATE(YEAR(D319),MONTH(D319),1),0)</f>
        <v>0</v>
      </c>
      <c r="T319" s="526">
        <f>IF(R319="OK",SUMIFS($O$430:$O$729,$B$430:$B$729,A319,$E$430:$E$729,"&lt;"&amp;EDATE($B$3,1)),0)</f>
        <v>0</v>
      </c>
      <c r="U319" s="526">
        <f>IF(AND(R319="OK",D319&lt;EDATE($B$3,1),$B$3&gt;=DATE(2026,3,1)),MAX(0,E319-T319),0)</f>
        <v>0</v>
      </c>
      <c r="V319" s="526">
        <f>IFERROR(IF(AND(R319="OK",AND(F319&gt;=2,G319&lt;&gt;"기존반영",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E319,0),0)</f>
        <v>0</v>
      </c>
      <c r="W319" s="526">
        <f>IF(V319&gt;0,ROUNDUP(INDEX(RAW!$K:$K,MAX(2,F319))/1000,0)*1000-ROUNDUP((INDEX(RAW!$K:$K,MAX(2,F319))-V319)/1000,0)*1000,0)</f>
        <v>0</v>
      </c>
      <c r="X319" s="504">
        <f>IF(AND(R319="OK",IF($B$43="전체",D319&lt;EDATE($B$3,1),IF($B$43="미정산",U319&gt;0,OR(S319=$B$3,Z319&gt;0,U319&gt;0)))),1,0)</f>
        <v>0</v>
      </c>
      <c r="Y319" s="504">
        <f>IF(X319=1,COUNTIF($X$100:X319,1),0)</f>
        <v>0</v>
      </c>
      <c r="Z319" s="526">
        <f>IF(R319="OK",SUMIFS($O$430:$O$729,$B$430:$B$729,A319,$E$430:$E$729,"&gt;="&amp;$B$3,$E$430:$E$729,"&lt;"&amp;EDATE($B$3,1)),0)</f>
        <v>0</v>
      </c>
    </row>
    <row r="320" hidden="1" outlineLevel="1">
      <c r="A320" s="504">
        <f>IF(F320="","",IF(F320&gt;0,"R"&amp;F320,""))</f>
      </c>
      <c r="B320" s="504">
        <f>IF(F320="","",IFERROR(INDEX(RAW!$F:$F,MAX(2,F320)),""))</f>
      </c>
      <c r="C320" s="522" t="n"/>
      <c r="D320" s="524">
        <f>IF(F320="","",IFERROR(INDEX(RAW!$A:$A,MAX(2,F320)),""))</f>
      </c>
      <c r="E320" s="525">
        <f>IF(F320="","",IFERROR(INDEX(RAW!$K:$K,MAX(2,F320)),0))</f>
      </c>
      <c r="F320" s="522" t="n"/>
      <c r="G320" s="504" t="inlineStr">
        <is>
          <t>신규</t>
        </is>
      </c>
      <c r="O320" s="498">
        <f>IF(LEFT(R320,2)="확인",R320,"")</f>
      </c>
      <c r="R320" s="504">
        <f>IF(A320="","",IF(C320="생활비","생활비",IF(AND(COUNTIF($A$8:$A$12,C320)=1,ISNUMBER(D320),E320&gt;0,COUNTIF($A$100:$A$399,A320)=1,IFERROR(IF(F320="",AND(LEFT(A320,1)="U",G320="월기록"),AND(F320&gt;=2,COUNTIF($F$100:$F$399,F320)=1,INDEX(RAW!$H:$H,MAX(2,F320))="지출",D320=INDEX(RAW!$A:$A,MAX(2,F320)),E320&lt;=INDEX(RAW!$K:$K,MAX(2,F320)),OR(AND(G320="기존반영",OR(A320="U003",A320="U007")),AND(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AND(OR(A320&lt;&gt;"U003",F320=356),OR(A320&lt;&gt;"U007",F320=2203),OR(G320&lt;&gt;"기존반영",A320="U003",A320="U007")))),FALSE)),"OK","확인: 사용등록")))</f>
      </c>
      <c r="S320" s="504">
        <f>IF(ISNUMBER(D320),DATE(YEAR(D320),MONTH(D320),1),0)</f>
        <v>0</v>
      </c>
      <c r="T320" s="526">
        <f>IF(R320="OK",SUMIFS($O$430:$O$729,$B$430:$B$729,A320,$E$430:$E$729,"&lt;"&amp;EDATE($B$3,1)),0)</f>
        <v>0</v>
      </c>
      <c r="U320" s="526">
        <f>IF(AND(R320="OK",D320&lt;EDATE($B$3,1),$B$3&gt;=DATE(2026,3,1)),MAX(0,E320-T320),0)</f>
        <v>0</v>
      </c>
      <c r="V320" s="526">
        <f>IFERROR(IF(AND(R320="OK",AND(F320&gt;=2,G320&lt;&gt;"기존반영",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E320,0),0)</f>
        <v>0</v>
      </c>
      <c r="W320" s="526">
        <f>IF(V320&gt;0,ROUNDUP(INDEX(RAW!$K:$K,MAX(2,F320))/1000,0)*1000-ROUNDUP((INDEX(RAW!$K:$K,MAX(2,F320))-V320)/1000,0)*1000,0)</f>
        <v>0</v>
      </c>
      <c r="X320" s="504">
        <f>IF(AND(R320="OK",IF($B$43="전체",D320&lt;EDATE($B$3,1),IF($B$43="미정산",U320&gt;0,OR(S320=$B$3,Z320&gt;0,U320&gt;0)))),1,0)</f>
        <v>0</v>
      </c>
      <c r="Y320" s="504">
        <f>IF(X320=1,COUNTIF($X$100:X320,1),0)</f>
        <v>0</v>
      </c>
      <c r="Z320" s="526">
        <f>IF(R320="OK",SUMIFS($O$430:$O$729,$B$430:$B$729,A320,$E$430:$E$729,"&gt;="&amp;$B$3,$E$430:$E$729,"&lt;"&amp;EDATE($B$3,1)),0)</f>
        <v>0</v>
      </c>
    </row>
    <row r="321" hidden="1" outlineLevel="1">
      <c r="A321" s="504">
        <f>IF(F321="","",IF(F321&gt;0,"R"&amp;F321,""))</f>
      </c>
      <c r="B321" s="504">
        <f>IF(F321="","",IFERROR(INDEX(RAW!$F:$F,MAX(2,F321)),""))</f>
      </c>
      <c r="C321" s="522" t="n"/>
      <c r="D321" s="524">
        <f>IF(F321="","",IFERROR(INDEX(RAW!$A:$A,MAX(2,F321)),""))</f>
      </c>
      <c r="E321" s="525">
        <f>IF(F321="","",IFERROR(INDEX(RAW!$K:$K,MAX(2,F321)),0))</f>
      </c>
      <c r="F321" s="522" t="n"/>
      <c r="G321" s="504" t="inlineStr">
        <is>
          <t>신규</t>
        </is>
      </c>
      <c r="O321" s="498">
        <f>IF(LEFT(R321,2)="확인",R321,"")</f>
      </c>
      <c r="R321" s="504">
        <f>IF(A321="","",IF(C321="생활비","생활비",IF(AND(COUNTIF($A$8:$A$12,C321)=1,ISNUMBER(D321),E321&gt;0,COUNTIF($A$100:$A$399,A321)=1,IFERROR(IF(F321="",AND(LEFT(A321,1)="U",G321="월기록"),AND(F321&gt;=2,COUNTIF($F$100:$F$399,F321)=1,INDEX(RAW!$H:$H,MAX(2,F321))="지출",D321=INDEX(RAW!$A:$A,MAX(2,F321)),E321&lt;=INDEX(RAW!$K:$K,MAX(2,F321)),OR(AND(G321="기존반영",OR(A321="U003",A321="U007")),AND(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AND(OR(A321&lt;&gt;"U003",F321=356),OR(A321&lt;&gt;"U007",F321=2203),OR(G321&lt;&gt;"기존반영",A321="U003",A321="U007")))),FALSE)),"OK","확인: 사용등록")))</f>
      </c>
      <c r="S321" s="504">
        <f>IF(ISNUMBER(D321),DATE(YEAR(D321),MONTH(D321),1),0)</f>
        <v>0</v>
      </c>
      <c r="T321" s="526">
        <f>IF(R321="OK",SUMIFS($O$430:$O$729,$B$430:$B$729,A321,$E$430:$E$729,"&lt;"&amp;EDATE($B$3,1)),0)</f>
        <v>0</v>
      </c>
      <c r="U321" s="526">
        <f>IF(AND(R321="OK",D321&lt;EDATE($B$3,1),$B$3&gt;=DATE(2026,3,1)),MAX(0,E321-T321),0)</f>
        <v>0</v>
      </c>
      <c r="V321" s="526">
        <f>IFERROR(IF(AND(R321="OK",AND(F321&gt;=2,G321&lt;&gt;"기존반영",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E321,0),0)</f>
        <v>0</v>
      </c>
      <c r="W321" s="526">
        <f>IF(V321&gt;0,ROUNDUP(INDEX(RAW!$K:$K,MAX(2,F321))/1000,0)*1000-ROUNDUP((INDEX(RAW!$K:$K,MAX(2,F321))-V321)/1000,0)*1000,0)</f>
        <v>0</v>
      </c>
      <c r="X321" s="504">
        <f>IF(AND(R321="OK",IF($B$43="전체",D321&lt;EDATE($B$3,1),IF($B$43="미정산",U321&gt;0,OR(S321=$B$3,Z321&gt;0,U321&gt;0)))),1,0)</f>
        <v>0</v>
      </c>
      <c r="Y321" s="504">
        <f>IF(X321=1,COUNTIF($X$100:X321,1),0)</f>
        <v>0</v>
      </c>
      <c r="Z321" s="526">
        <f>IF(R321="OK",SUMIFS($O$430:$O$729,$B$430:$B$729,A321,$E$430:$E$729,"&gt;="&amp;$B$3,$E$430:$E$729,"&lt;"&amp;EDATE($B$3,1)),0)</f>
        <v>0</v>
      </c>
    </row>
    <row r="322" hidden="1" outlineLevel="1">
      <c r="A322" s="504">
        <f>IF(F322="","",IF(F322&gt;0,"R"&amp;F322,""))</f>
      </c>
      <c r="B322" s="504">
        <f>IF(F322="","",IFERROR(INDEX(RAW!$F:$F,MAX(2,F322)),""))</f>
      </c>
      <c r="C322" s="522" t="n"/>
      <c r="D322" s="524">
        <f>IF(F322="","",IFERROR(INDEX(RAW!$A:$A,MAX(2,F322)),""))</f>
      </c>
      <c r="E322" s="525">
        <f>IF(F322="","",IFERROR(INDEX(RAW!$K:$K,MAX(2,F322)),0))</f>
      </c>
      <c r="F322" s="522" t="n"/>
      <c r="G322" s="504" t="inlineStr">
        <is>
          <t>신규</t>
        </is>
      </c>
      <c r="O322" s="498">
        <f>IF(LEFT(R322,2)="확인",R322,"")</f>
      </c>
      <c r="R322" s="504">
        <f>IF(A322="","",IF(C322="생활비","생활비",IF(AND(COUNTIF($A$8:$A$12,C322)=1,ISNUMBER(D322),E322&gt;0,COUNTIF($A$100:$A$399,A322)=1,IFERROR(IF(F322="",AND(LEFT(A322,1)="U",G322="월기록"),AND(F322&gt;=2,COUNTIF($F$100:$F$399,F322)=1,INDEX(RAW!$H:$H,MAX(2,F322))="지출",D322=INDEX(RAW!$A:$A,MAX(2,F322)),E322&lt;=INDEX(RAW!$K:$K,MAX(2,F322)),OR(AND(G322="기존반영",OR(A322="U003",A322="U007")),AND(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AND(OR(A322&lt;&gt;"U003",F322=356),OR(A322&lt;&gt;"U007",F322=2203),OR(G322&lt;&gt;"기존반영",A322="U003",A322="U007")))),FALSE)),"OK","확인: 사용등록")))</f>
      </c>
      <c r="S322" s="504">
        <f>IF(ISNUMBER(D322),DATE(YEAR(D322),MONTH(D322),1),0)</f>
        <v>0</v>
      </c>
      <c r="T322" s="526">
        <f>IF(R322="OK",SUMIFS($O$430:$O$729,$B$430:$B$729,A322,$E$430:$E$729,"&lt;"&amp;EDATE($B$3,1)),0)</f>
        <v>0</v>
      </c>
      <c r="U322" s="526">
        <f>IF(AND(R322="OK",D322&lt;EDATE($B$3,1),$B$3&gt;=DATE(2026,3,1)),MAX(0,E322-T322),0)</f>
        <v>0</v>
      </c>
      <c r="V322" s="526">
        <f>IFERROR(IF(AND(R322="OK",AND(F322&gt;=2,G322&lt;&gt;"기존반영",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E322,0),0)</f>
        <v>0</v>
      </c>
      <c r="W322" s="526">
        <f>IF(V322&gt;0,ROUNDUP(INDEX(RAW!$K:$K,MAX(2,F322))/1000,0)*1000-ROUNDUP((INDEX(RAW!$K:$K,MAX(2,F322))-V322)/1000,0)*1000,0)</f>
        <v>0</v>
      </c>
      <c r="X322" s="504">
        <f>IF(AND(R322="OK",IF($B$43="전체",D322&lt;EDATE($B$3,1),IF($B$43="미정산",U322&gt;0,OR(S322=$B$3,Z322&gt;0,U322&gt;0)))),1,0)</f>
        <v>0</v>
      </c>
      <c r="Y322" s="504">
        <f>IF(X322=1,COUNTIF($X$100:X322,1),0)</f>
        <v>0</v>
      </c>
      <c r="Z322" s="526">
        <f>IF(R322="OK",SUMIFS($O$430:$O$729,$B$430:$B$729,A322,$E$430:$E$729,"&gt;="&amp;$B$3,$E$430:$E$729,"&lt;"&amp;EDATE($B$3,1)),0)</f>
        <v>0</v>
      </c>
    </row>
    <row r="323" hidden="1" outlineLevel="1">
      <c r="A323" s="504">
        <f>IF(F323="","",IF(F323&gt;0,"R"&amp;F323,""))</f>
      </c>
      <c r="B323" s="504">
        <f>IF(F323="","",IFERROR(INDEX(RAW!$F:$F,MAX(2,F323)),""))</f>
      </c>
      <c r="C323" s="522" t="n"/>
      <c r="D323" s="524">
        <f>IF(F323="","",IFERROR(INDEX(RAW!$A:$A,MAX(2,F323)),""))</f>
      </c>
      <c r="E323" s="525">
        <f>IF(F323="","",IFERROR(INDEX(RAW!$K:$K,MAX(2,F323)),0))</f>
      </c>
      <c r="F323" s="522" t="n"/>
      <c r="G323" s="504" t="inlineStr">
        <is>
          <t>신규</t>
        </is>
      </c>
      <c r="O323" s="498">
        <f>IF(LEFT(R323,2)="확인",R323,"")</f>
      </c>
      <c r="R323" s="504">
        <f>IF(A323="","",IF(C323="생활비","생활비",IF(AND(COUNTIF($A$8:$A$12,C323)=1,ISNUMBER(D323),E323&gt;0,COUNTIF($A$100:$A$399,A323)=1,IFERROR(IF(F323="",AND(LEFT(A323,1)="U",G323="월기록"),AND(F323&gt;=2,COUNTIF($F$100:$F$399,F323)=1,INDEX(RAW!$H:$H,MAX(2,F323))="지출",D323=INDEX(RAW!$A:$A,MAX(2,F323)),E323&lt;=INDEX(RAW!$K:$K,MAX(2,F323)),OR(AND(G323="기존반영",OR(A323="U003",A323="U007")),AND(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AND(OR(A323&lt;&gt;"U003",F323=356),OR(A323&lt;&gt;"U007",F323=2203),OR(G323&lt;&gt;"기존반영",A323="U003",A323="U007")))),FALSE)),"OK","확인: 사용등록")))</f>
      </c>
      <c r="S323" s="504">
        <f>IF(ISNUMBER(D323),DATE(YEAR(D323),MONTH(D323),1),0)</f>
        <v>0</v>
      </c>
      <c r="T323" s="526">
        <f>IF(R323="OK",SUMIFS($O$430:$O$729,$B$430:$B$729,A323,$E$430:$E$729,"&lt;"&amp;EDATE($B$3,1)),0)</f>
        <v>0</v>
      </c>
      <c r="U323" s="526">
        <f>IF(AND(R323="OK",D323&lt;EDATE($B$3,1),$B$3&gt;=DATE(2026,3,1)),MAX(0,E323-T323),0)</f>
        <v>0</v>
      </c>
      <c r="V323" s="526">
        <f>IFERROR(IF(AND(R323="OK",AND(F323&gt;=2,G323&lt;&gt;"기존반영",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E323,0),0)</f>
        <v>0</v>
      </c>
      <c r="W323" s="526">
        <f>IF(V323&gt;0,ROUNDUP(INDEX(RAW!$K:$K,MAX(2,F323))/1000,0)*1000-ROUNDUP((INDEX(RAW!$K:$K,MAX(2,F323))-V323)/1000,0)*1000,0)</f>
        <v>0</v>
      </c>
      <c r="X323" s="504">
        <f>IF(AND(R323="OK",IF($B$43="전체",D323&lt;EDATE($B$3,1),IF($B$43="미정산",U323&gt;0,OR(S323=$B$3,Z323&gt;0,U323&gt;0)))),1,0)</f>
        <v>0</v>
      </c>
      <c r="Y323" s="504">
        <f>IF(X323=1,COUNTIF($X$100:X323,1),0)</f>
        <v>0</v>
      </c>
      <c r="Z323" s="526">
        <f>IF(R323="OK",SUMIFS($O$430:$O$729,$B$430:$B$729,A323,$E$430:$E$729,"&gt;="&amp;$B$3,$E$430:$E$729,"&lt;"&amp;EDATE($B$3,1)),0)</f>
        <v>0</v>
      </c>
    </row>
    <row r="324" hidden="1" outlineLevel="1">
      <c r="A324" s="504">
        <f>IF(F324="","",IF(F324&gt;0,"R"&amp;F324,""))</f>
      </c>
      <c r="B324" s="504">
        <f>IF(F324="","",IFERROR(INDEX(RAW!$F:$F,MAX(2,F324)),""))</f>
      </c>
      <c r="C324" s="522" t="n"/>
      <c r="D324" s="524">
        <f>IF(F324="","",IFERROR(INDEX(RAW!$A:$A,MAX(2,F324)),""))</f>
      </c>
      <c r="E324" s="525">
        <f>IF(F324="","",IFERROR(INDEX(RAW!$K:$K,MAX(2,F324)),0))</f>
      </c>
      <c r="F324" s="522" t="n"/>
      <c r="G324" s="504" t="inlineStr">
        <is>
          <t>신규</t>
        </is>
      </c>
      <c r="O324" s="498">
        <f>IF(LEFT(R324,2)="확인",R324,"")</f>
      </c>
      <c r="R324" s="504">
        <f>IF(A324="","",IF(C324="생활비","생활비",IF(AND(COUNTIF($A$8:$A$12,C324)=1,ISNUMBER(D324),E324&gt;0,COUNTIF($A$100:$A$399,A324)=1,IFERROR(IF(F324="",AND(LEFT(A324,1)="U",G324="월기록"),AND(F324&gt;=2,COUNTIF($F$100:$F$399,F324)=1,INDEX(RAW!$H:$H,MAX(2,F324))="지출",D324=INDEX(RAW!$A:$A,MAX(2,F324)),E324&lt;=INDEX(RAW!$K:$K,MAX(2,F324)),OR(AND(G324="기존반영",OR(A324="U003",A324="U007")),AND(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AND(OR(A324&lt;&gt;"U003",F324=356),OR(A324&lt;&gt;"U007",F324=2203),OR(G324&lt;&gt;"기존반영",A324="U003",A324="U007")))),FALSE)),"OK","확인: 사용등록")))</f>
      </c>
      <c r="S324" s="504">
        <f>IF(ISNUMBER(D324),DATE(YEAR(D324),MONTH(D324),1),0)</f>
        <v>0</v>
      </c>
      <c r="T324" s="526">
        <f>IF(R324="OK",SUMIFS($O$430:$O$729,$B$430:$B$729,A324,$E$430:$E$729,"&lt;"&amp;EDATE($B$3,1)),0)</f>
        <v>0</v>
      </c>
      <c r="U324" s="526">
        <f>IF(AND(R324="OK",D324&lt;EDATE($B$3,1),$B$3&gt;=DATE(2026,3,1)),MAX(0,E324-T324),0)</f>
        <v>0</v>
      </c>
      <c r="V324" s="526">
        <f>IFERROR(IF(AND(R324="OK",AND(F324&gt;=2,G324&lt;&gt;"기존반영",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E324,0),0)</f>
        <v>0</v>
      </c>
      <c r="W324" s="526">
        <f>IF(V324&gt;0,ROUNDUP(INDEX(RAW!$K:$K,MAX(2,F324))/1000,0)*1000-ROUNDUP((INDEX(RAW!$K:$K,MAX(2,F324))-V324)/1000,0)*1000,0)</f>
        <v>0</v>
      </c>
      <c r="X324" s="504">
        <f>IF(AND(R324="OK",IF($B$43="전체",D324&lt;EDATE($B$3,1),IF($B$43="미정산",U324&gt;0,OR(S324=$B$3,Z324&gt;0,U324&gt;0)))),1,0)</f>
        <v>0</v>
      </c>
      <c r="Y324" s="504">
        <f>IF(X324=1,COUNTIF($X$100:X324,1),0)</f>
        <v>0</v>
      </c>
      <c r="Z324" s="526">
        <f>IF(R324="OK",SUMIFS($O$430:$O$729,$B$430:$B$729,A324,$E$430:$E$729,"&gt;="&amp;$B$3,$E$430:$E$729,"&lt;"&amp;EDATE($B$3,1)),0)</f>
        <v>0</v>
      </c>
    </row>
    <row r="325" hidden="1" outlineLevel="1">
      <c r="A325" s="504">
        <f>IF(F325="","",IF(F325&gt;0,"R"&amp;F325,""))</f>
      </c>
      <c r="B325" s="504">
        <f>IF(F325="","",IFERROR(INDEX(RAW!$F:$F,MAX(2,F325)),""))</f>
      </c>
      <c r="C325" s="522" t="n"/>
      <c r="D325" s="524">
        <f>IF(F325="","",IFERROR(INDEX(RAW!$A:$A,MAX(2,F325)),""))</f>
      </c>
      <c r="E325" s="525">
        <f>IF(F325="","",IFERROR(INDEX(RAW!$K:$K,MAX(2,F325)),0))</f>
      </c>
      <c r="F325" s="522" t="n"/>
      <c r="G325" s="504" t="inlineStr">
        <is>
          <t>신규</t>
        </is>
      </c>
      <c r="O325" s="498">
        <f>IF(LEFT(R325,2)="확인",R325,"")</f>
      </c>
      <c r="R325" s="504">
        <f>IF(A325="","",IF(C325="생활비","생활비",IF(AND(COUNTIF($A$8:$A$12,C325)=1,ISNUMBER(D325),E325&gt;0,COUNTIF($A$100:$A$399,A325)=1,IFERROR(IF(F325="",AND(LEFT(A325,1)="U",G325="월기록"),AND(F325&gt;=2,COUNTIF($F$100:$F$399,F325)=1,INDEX(RAW!$H:$H,MAX(2,F325))="지출",D325=INDEX(RAW!$A:$A,MAX(2,F325)),E325&lt;=INDEX(RAW!$K:$K,MAX(2,F325)),OR(AND(G325="기존반영",OR(A325="U003",A325="U007")),AND(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AND(OR(A325&lt;&gt;"U003",F325=356),OR(A325&lt;&gt;"U007",F325=2203),OR(G325&lt;&gt;"기존반영",A325="U003",A325="U007")))),FALSE)),"OK","확인: 사용등록")))</f>
      </c>
      <c r="S325" s="504">
        <f>IF(ISNUMBER(D325),DATE(YEAR(D325),MONTH(D325),1),0)</f>
        <v>0</v>
      </c>
      <c r="T325" s="526">
        <f>IF(R325="OK",SUMIFS($O$430:$O$729,$B$430:$B$729,A325,$E$430:$E$729,"&lt;"&amp;EDATE($B$3,1)),0)</f>
        <v>0</v>
      </c>
      <c r="U325" s="526">
        <f>IF(AND(R325="OK",D325&lt;EDATE($B$3,1),$B$3&gt;=DATE(2026,3,1)),MAX(0,E325-T325),0)</f>
        <v>0</v>
      </c>
      <c r="V325" s="526">
        <f>IFERROR(IF(AND(R325="OK",AND(F325&gt;=2,G325&lt;&gt;"기존반영",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E325,0),0)</f>
        <v>0</v>
      </c>
      <c r="W325" s="526">
        <f>IF(V325&gt;0,ROUNDUP(INDEX(RAW!$K:$K,MAX(2,F325))/1000,0)*1000-ROUNDUP((INDEX(RAW!$K:$K,MAX(2,F325))-V325)/1000,0)*1000,0)</f>
        <v>0</v>
      </c>
      <c r="X325" s="504">
        <f>IF(AND(R325="OK",IF($B$43="전체",D325&lt;EDATE($B$3,1),IF($B$43="미정산",U325&gt;0,OR(S325=$B$3,Z325&gt;0,U325&gt;0)))),1,0)</f>
        <v>0</v>
      </c>
      <c r="Y325" s="504">
        <f>IF(X325=1,COUNTIF($X$100:X325,1),0)</f>
        <v>0</v>
      </c>
      <c r="Z325" s="526">
        <f>IF(R325="OK",SUMIFS($O$430:$O$729,$B$430:$B$729,A325,$E$430:$E$729,"&gt;="&amp;$B$3,$E$430:$E$729,"&lt;"&amp;EDATE($B$3,1)),0)</f>
        <v>0</v>
      </c>
    </row>
    <row r="326" hidden="1" outlineLevel="1">
      <c r="A326" s="504">
        <f>IF(F326="","",IF(F326&gt;0,"R"&amp;F326,""))</f>
      </c>
      <c r="B326" s="504">
        <f>IF(F326="","",IFERROR(INDEX(RAW!$F:$F,MAX(2,F326)),""))</f>
      </c>
      <c r="C326" s="522" t="n"/>
      <c r="D326" s="524">
        <f>IF(F326="","",IFERROR(INDEX(RAW!$A:$A,MAX(2,F326)),""))</f>
      </c>
      <c r="E326" s="525">
        <f>IF(F326="","",IFERROR(INDEX(RAW!$K:$K,MAX(2,F326)),0))</f>
      </c>
      <c r="F326" s="522" t="n"/>
      <c r="G326" s="504" t="inlineStr">
        <is>
          <t>신규</t>
        </is>
      </c>
      <c r="O326" s="498">
        <f>IF(LEFT(R326,2)="확인",R326,"")</f>
      </c>
      <c r="R326" s="504">
        <f>IF(A326="","",IF(C326="생활비","생활비",IF(AND(COUNTIF($A$8:$A$12,C326)=1,ISNUMBER(D326),E326&gt;0,COUNTIF($A$100:$A$399,A326)=1,IFERROR(IF(F326="",AND(LEFT(A326,1)="U",G326="월기록"),AND(F326&gt;=2,COUNTIF($F$100:$F$399,F326)=1,INDEX(RAW!$H:$H,MAX(2,F326))="지출",D326=INDEX(RAW!$A:$A,MAX(2,F326)),E326&lt;=INDEX(RAW!$K:$K,MAX(2,F326)),OR(AND(G326="기존반영",OR(A326="U003",A326="U007")),AND(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AND(OR(A326&lt;&gt;"U003",F326=356),OR(A326&lt;&gt;"U007",F326=2203),OR(G326&lt;&gt;"기존반영",A326="U003",A326="U007")))),FALSE)),"OK","확인: 사용등록")))</f>
      </c>
      <c r="S326" s="504">
        <f>IF(ISNUMBER(D326),DATE(YEAR(D326),MONTH(D326),1),0)</f>
        <v>0</v>
      </c>
      <c r="T326" s="526">
        <f>IF(R326="OK",SUMIFS($O$430:$O$729,$B$430:$B$729,A326,$E$430:$E$729,"&lt;"&amp;EDATE($B$3,1)),0)</f>
        <v>0</v>
      </c>
      <c r="U326" s="526">
        <f>IF(AND(R326="OK",D326&lt;EDATE($B$3,1),$B$3&gt;=DATE(2026,3,1)),MAX(0,E326-T326),0)</f>
        <v>0</v>
      </c>
      <c r="V326" s="526">
        <f>IFERROR(IF(AND(R326="OK",AND(F326&gt;=2,G326&lt;&gt;"기존반영",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E326,0),0)</f>
        <v>0</v>
      </c>
      <c r="W326" s="526">
        <f>IF(V326&gt;0,ROUNDUP(INDEX(RAW!$K:$K,MAX(2,F326))/1000,0)*1000-ROUNDUP((INDEX(RAW!$K:$K,MAX(2,F326))-V326)/1000,0)*1000,0)</f>
        <v>0</v>
      </c>
      <c r="X326" s="504">
        <f>IF(AND(R326="OK",IF($B$43="전체",D326&lt;EDATE($B$3,1),IF($B$43="미정산",U326&gt;0,OR(S326=$B$3,Z326&gt;0,U326&gt;0)))),1,0)</f>
        <v>0</v>
      </c>
      <c r="Y326" s="504">
        <f>IF(X326=1,COUNTIF($X$100:X326,1),0)</f>
        <v>0</v>
      </c>
      <c r="Z326" s="526">
        <f>IF(R326="OK",SUMIFS($O$430:$O$729,$B$430:$B$729,A326,$E$430:$E$729,"&gt;="&amp;$B$3,$E$430:$E$729,"&lt;"&amp;EDATE($B$3,1)),0)</f>
        <v>0</v>
      </c>
    </row>
    <row r="327" hidden="1" outlineLevel="1">
      <c r="A327" s="504">
        <f>IF(F327="","",IF(F327&gt;0,"R"&amp;F327,""))</f>
      </c>
      <c r="B327" s="504">
        <f>IF(F327="","",IFERROR(INDEX(RAW!$F:$F,MAX(2,F327)),""))</f>
      </c>
      <c r="C327" s="522" t="n"/>
      <c r="D327" s="524">
        <f>IF(F327="","",IFERROR(INDEX(RAW!$A:$A,MAX(2,F327)),""))</f>
      </c>
      <c r="E327" s="525">
        <f>IF(F327="","",IFERROR(INDEX(RAW!$K:$K,MAX(2,F327)),0))</f>
      </c>
      <c r="F327" s="522" t="n"/>
      <c r="G327" s="504" t="inlineStr">
        <is>
          <t>신규</t>
        </is>
      </c>
      <c r="O327" s="498">
        <f>IF(LEFT(R327,2)="확인",R327,"")</f>
      </c>
      <c r="R327" s="504">
        <f>IF(A327="","",IF(C327="생활비","생활비",IF(AND(COUNTIF($A$8:$A$12,C327)=1,ISNUMBER(D327),E327&gt;0,COUNTIF($A$100:$A$399,A327)=1,IFERROR(IF(F327="",AND(LEFT(A327,1)="U",G327="월기록"),AND(F327&gt;=2,COUNTIF($F$100:$F$399,F327)=1,INDEX(RAW!$H:$H,MAX(2,F327))="지출",D327=INDEX(RAW!$A:$A,MAX(2,F327)),E327&lt;=INDEX(RAW!$K:$K,MAX(2,F327)),OR(AND(G327="기존반영",OR(A327="U003",A327="U007")),AND(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AND(OR(A327&lt;&gt;"U003",F327=356),OR(A327&lt;&gt;"U007",F327=2203),OR(G327&lt;&gt;"기존반영",A327="U003",A327="U007")))),FALSE)),"OK","확인: 사용등록")))</f>
      </c>
      <c r="S327" s="504">
        <f>IF(ISNUMBER(D327),DATE(YEAR(D327),MONTH(D327),1),0)</f>
        <v>0</v>
      </c>
      <c r="T327" s="526">
        <f>IF(R327="OK",SUMIFS($O$430:$O$729,$B$430:$B$729,A327,$E$430:$E$729,"&lt;"&amp;EDATE($B$3,1)),0)</f>
        <v>0</v>
      </c>
      <c r="U327" s="526">
        <f>IF(AND(R327="OK",D327&lt;EDATE($B$3,1),$B$3&gt;=DATE(2026,3,1)),MAX(0,E327-T327),0)</f>
        <v>0</v>
      </c>
      <c r="V327" s="526">
        <f>IFERROR(IF(AND(R327="OK",AND(F327&gt;=2,G327&lt;&gt;"기존반영",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E327,0),0)</f>
        <v>0</v>
      </c>
      <c r="W327" s="526">
        <f>IF(V327&gt;0,ROUNDUP(INDEX(RAW!$K:$K,MAX(2,F327))/1000,0)*1000-ROUNDUP((INDEX(RAW!$K:$K,MAX(2,F327))-V327)/1000,0)*1000,0)</f>
        <v>0</v>
      </c>
      <c r="X327" s="504">
        <f>IF(AND(R327="OK",IF($B$43="전체",D327&lt;EDATE($B$3,1),IF($B$43="미정산",U327&gt;0,OR(S327=$B$3,Z327&gt;0,U327&gt;0)))),1,0)</f>
        <v>0</v>
      </c>
      <c r="Y327" s="504">
        <f>IF(X327=1,COUNTIF($X$100:X327,1),0)</f>
        <v>0</v>
      </c>
      <c r="Z327" s="526">
        <f>IF(R327="OK",SUMIFS($O$430:$O$729,$B$430:$B$729,A327,$E$430:$E$729,"&gt;="&amp;$B$3,$E$430:$E$729,"&lt;"&amp;EDATE($B$3,1)),0)</f>
        <v>0</v>
      </c>
    </row>
    <row r="328" hidden="1" outlineLevel="1">
      <c r="A328" s="504">
        <f>IF(F328="","",IF(F328&gt;0,"R"&amp;F328,""))</f>
      </c>
      <c r="B328" s="504">
        <f>IF(F328="","",IFERROR(INDEX(RAW!$F:$F,MAX(2,F328)),""))</f>
      </c>
      <c r="C328" s="522" t="n"/>
      <c r="D328" s="524">
        <f>IF(F328="","",IFERROR(INDEX(RAW!$A:$A,MAX(2,F328)),""))</f>
      </c>
      <c r="E328" s="525">
        <f>IF(F328="","",IFERROR(INDEX(RAW!$K:$K,MAX(2,F328)),0))</f>
      </c>
      <c r="F328" s="522" t="n"/>
      <c r="G328" s="504" t="inlineStr">
        <is>
          <t>신규</t>
        </is>
      </c>
      <c r="O328" s="498">
        <f>IF(LEFT(R328,2)="확인",R328,"")</f>
      </c>
      <c r="R328" s="504">
        <f>IF(A328="","",IF(C328="생활비","생활비",IF(AND(COUNTIF($A$8:$A$12,C328)=1,ISNUMBER(D328),E328&gt;0,COUNTIF($A$100:$A$399,A328)=1,IFERROR(IF(F328="",AND(LEFT(A328,1)="U",G328="월기록"),AND(F328&gt;=2,COUNTIF($F$100:$F$399,F328)=1,INDEX(RAW!$H:$H,MAX(2,F328))="지출",D328=INDEX(RAW!$A:$A,MAX(2,F328)),E328&lt;=INDEX(RAW!$K:$K,MAX(2,F328)),OR(AND(G328="기존반영",OR(A328="U003",A328="U007")),AND(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AND(OR(A328&lt;&gt;"U003",F328=356),OR(A328&lt;&gt;"U007",F328=2203),OR(G328&lt;&gt;"기존반영",A328="U003",A328="U007")))),FALSE)),"OK","확인: 사용등록")))</f>
      </c>
      <c r="S328" s="504">
        <f>IF(ISNUMBER(D328),DATE(YEAR(D328),MONTH(D328),1),0)</f>
        <v>0</v>
      </c>
      <c r="T328" s="526">
        <f>IF(R328="OK",SUMIFS($O$430:$O$729,$B$430:$B$729,A328,$E$430:$E$729,"&lt;"&amp;EDATE($B$3,1)),0)</f>
        <v>0</v>
      </c>
      <c r="U328" s="526">
        <f>IF(AND(R328="OK",D328&lt;EDATE($B$3,1),$B$3&gt;=DATE(2026,3,1)),MAX(0,E328-T328),0)</f>
        <v>0</v>
      </c>
      <c r="V328" s="526">
        <f>IFERROR(IF(AND(R328="OK",AND(F328&gt;=2,G328&lt;&gt;"기존반영",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E328,0),0)</f>
        <v>0</v>
      </c>
      <c r="W328" s="526">
        <f>IF(V328&gt;0,ROUNDUP(INDEX(RAW!$K:$K,MAX(2,F328))/1000,0)*1000-ROUNDUP((INDEX(RAW!$K:$K,MAX(2,F328))-V328)/1000,0)*1000,0)</f>
        <v>0</v>
      </c>
      <c r="X328" s="504">
        <f>IF(AND(R328="OK",IF($B$43="전체",D328&lt;EDATE($B$3,1),IF($B$43="미정산",U328&gt;0,OR(S328=$B$3,Z328&gt;0,U328&gt;0)))),1,0)</f>
        <v>0</v>
      </c>
      <c r="Y328" s="504">
        <f>IF(X328=1,COUNTIF($X$100:X328,1),0)</f>
        <v>0</v>
      </c>
      <c r="Z328" s="526">
        <f>IF(R328="OK",SUMIFS($O$430:$O$729,$B$430:$B$729,A328,$E$430:$E$729,"&gt;="&amp;$B$3,$E$430:$E$729,"&lt;"&amp;EDATE($B$3,1)),0)</f>
        <v>0</v>
      </c>
    </row>
    <row r="329" hidden="1" outlineLevel="1">
      <c r="A329" s="504">
        <f>IF(F329="","",IF(F329&gt;0,"R"&amp;F329,""))</f>
      </c>
      <c r="B329" s="504">
        <f>IF(F329="","",IFERROR(INDEX(RAW!$F:$F,MAX(2,F329)),""))</f>
      </c>
      <c r="C329" s="522" t="n"/>
      <c r="D329" s="524">
        <f>IF(F329="","",IFERROR(INDEX(RAW!$A:$A,MAX(2,F329)),""))</f>
      </c>
      <c r="E329" s="525">
        <f>IF(F329="","",IFERROR(INDEX(RAW!$K:$K,MAX(2,F329)),0))</f>
      </c>
      <c r="F329" s="522" t="n"/>
      <c r="G329" s="504" t="inlineStr">
        <is>
          <t>신규</t>
        </is>
      </c>
      <c r="O329" s="498">
        <f>IF(LEFT(R329,2)="확인",R329,"")</f>
      </c>
      <c r="R329" s="504">
        <f>IF(A329="","",IF(C329="생활비","생활비",IF(AND(COUNTIF($A$8:$A$12,C329)=1,ISNUMBER(D329),E329&gt;0,COUNTIF($A$100:$A$399,A329)=1,IFERROR(IF(F329="",AND(LEFT(A329,1)="U",G329="월기록"),AND(F329&gt;=2,COUNTIF($F$100:$F$399,F329)=1,INDEX(RAW!$H:$H,MAX(2,F329))="지출",D329=INDEX(RAW!$A:$A,MAX(2,F329)),E329&lt;=INDEX(RAW!$K:$K,MAX(2,F329)),OR(AND(G329="기존반영",OR(A329="U003",A329="U007")),AND(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AND(OR(A329&lt;&gt;"U003",F329=356),OR(A329&lt;&gt;"U007",F329=2203),OR(G329&lt;&gt;"기존반영",A329="U003",A329="U007")))),FALSE)),"OK","확인: 사용등록")))</f>
      </c>
      <c r="S329" s="504">
        <f>IF(ISNUMBER(D329),DATE(YEAR(D329),MONTH(D329),1),0)</f>
        <v>0</v>
      </c>
      <c r="T329" s="526">
        <f>IF(R329="OK",SUMIFS($O$430:$O$729,$B$430:$B$729,A329,$E$430:$E$729,"&lt;"&amp;EDATE($B$3,1)),0)</f>
        <v>0</v>
      </c>
      <c r="U329" s="526">
        <f>IF(AND(R329="OK",D329&lt;EDATE($B$3,1),$B$3&gt;=DATE(2026,3,1)),MAX(0,E329-T329),0)</f>
        <v>0</v>
      </c>
      <c r="V329" s="526">
        <f>IFERROR(IF(AND(R329="OK",AND(F329&gt;=2,G329&lt;&gt;"기존반영",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E329,0),0)</f>
        <v>0</v>
      </c>
      <c r="W329" s="526">
        <f>IF(V329&gt;0,ROUNDUP(INDEX(RAW!$K:$K,MAX(2,F329))/1000,0)*1000-ROUNDUP((INDEX(RAW!$K:$K,MAX(2,F329))-V329)/1000,0)*1000,0)</f>
        <v>0</v>
      </c>
      <c r="X329" s="504">
        <f>IF(AND(R329="OK",IF($B$43="전체",D329&lt;EDATE($B$3,1),IF($B$43="미정산",U329&gt;0,OR(S329=$B$3,Z329&gt;0,U329&gt;0)))),1,0)</f>
        <v>0</v>
      </c>
      <c r="Y329" s="504">
        <f>IF(X329=1,COUNTIF($X$100:X329,1),0)</f>
        <v>0</v>
      </c>
      <c r="Z329" s="526">
        <f>IF(R329="OK",SUMIFS($O$430:$O$729,$B$430:$B$729,A329,$E$430:$E$729,"&gt;="&amp;$B$3,$E$430:$E$729,"&lt;"&amp;EDATE($B$3,1)),0)</f>
        <v>0</v>
      </c>
    </row>
    <row r="330" hidden="1" outlineLevel="1">
      <c r="A330" s="504">
        <f>IF(F330="","",IF(F330&gt;0,"R"&amp;F330,""))</f>
      </c>
      <c r="B330" s="504">
        <f>IF(F330="","",IFERROR(INDEX(RAW!$F:$F,MAX(2,F330)),""))</f>
      </c>
      <c r="C330" s="522" t="n"/>
      <c r="D330" s="524">
        <f>IF(F330="","",IFERROR(INDEX(RAW!$A:$A,MAX(2,F330)),""))</f>
      </c>
      <c r="E330" s="525">
        <f>IF(F330="","",IFERROR(INDEX(RAW!$K:$K,MAX(2,F330)),0))</f>
      </c>
      <c r="F330" s="522" t="n"/>
      <c r="G330" s="504" t="inlineStr">
        <is>
          <t>신규</t>
        </is>
      </c>
      <c r="O330" s="498">
        <f>IF(LEFT(R330,2)="확인",R330,"")</f>
      </c>
      <c r="R330" s="504">
        <f>IF(A330="","",IF(C330="생활비","생활비",IF(AND(COUNTIF($A$8:$A$12,C330)=1,ISNUMBER(D330),E330&gt;0,COUNTIF($A$100:$A$399,A330)=1,IFERROR(IF(F330="",AND(LEFT(A330,1)="U",G330="월기록"),AND(F330&gt;=2,COUNTIF($F$100:$F$399,F330)=1,INDEX(RAW!$H:$H,MAX(2,F330))="지출",D330=INDEX(RAW!$A:$A,MAX(2,F330)),E330&lt;=INDEX(RAW!$K:$K,MAX(2,F330)),OR(AND(G330="기존반영",OR(A330="U003",A330="U007")),AND(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AND(OR(A330&lt;&gt;"U003",F330=356),OR(A330&lt;&gt;"U007",F330=2203),OR(G330&lt;&gt;"기존반영",A330="U003",A330="U007")))),FALSE)),"OK","확인: 사용등록")))</f>
      </c>
      <c r="S330" s="504">
        <f>IF(ISNUMBER(D330),DATE(YEAR(D330),MONTH(D330),1),0)</f>
        <v>0</v>
      </c>
      <c r="T330" s="526">
        <f>IF(R330="OK",SUMIFS($O$430:$O$729,$B$430:$B$729,A330,$E$430:$E$729,"&lt;"&amp;EDATE($B$3,1)),0)</f>
        <v>0</v>
      </c>
      <c r="U330" s="526">
        <f>IF(AND(R330="OK",D330&lt;EDATE($B$3,1),$B$3&gt;=DATE(2026,3,1)),MAX(0,E330-T330),0)</f>
        <v>0</v>
      </c>
      <c r="V330" s="526">
        <f>IFERROR(IF(AND(R330="OK",AND(F330&gt;=2,G330&lt;&gt;"기존반영",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E330,0),0)</f>
        <v>0</v>
      </c>
      <c r="W330" s="526">
        <f>IF(V330&gt;0,ROUNDUP(INDEX(RAW!$K:$K,MAX(2,F330))/1000,0)*1000-ROUNDUP((INDEX(RAW!$K:$K,MAX(2,F330))-V330)/1000,0)*1000,0)</f>
        <v>0</v>
      </c>
      <c r="X330" s="504">
        <f>IF(AND(R330="OK",IF($B$43="전체",D330&lt;EDATE($B$3,1),IF($B$43="미정산",U330&gt;0,OR(S330=$B$3,Z330&gt;0,U330&gt;0)))),1,0)</f>
        <v>0</v>
      </c>
      <c r="Y330" s="504">
        <f>IF(X330=1,COUNTIF($X$100:X330,1),0)</f>
        <v>0</v>
      </c>
      <c r="Z330" s="526">
        <f>IF(R330="OK",SUMIFS($O$430:$O$729,$B$430:$B$729,A330,$E$430:$E$729,"&gt;="&amp;$B$3,$E$430:$E$729,"&lt;"&amp;EDATE($B$3,1)),0)</f>
        <v>0</v>
      </c>
    </row>
    <row r="331" hidden="1" outlineLevel="1">
      <c r="A331" s="504">
        <f>IF(F331="","",IF(F331&gt;0,"R"&amp;F331,""))</f>
      </c>
      <c r="B331" s="504">
        <f>IF(F331="","",IFERROR(INDEX(RAW!$F:$F,MAX(2,F331)),""))</f>
      </c>
      <c r="C331" s="522" t="n"/>
      <c r="D331" s="524">
        <f>IF(F331="","",IFERROR(INDEX(RAW!$A:$A,MAX(2,F331)),""))</f>
      </c>
      <c r="E331" s="525">
        <f>IF(F331="","",IFERROR(INDEX(RAW!$K:$K,MAX(2,F331)),0))</f>
      </c>
      <c r="F331" s="522" t="n"/>
      <c r="G331" s="504" t="inlineStr">
        <is>
          <t>신규</t>
        </is>
      </c>
      <c r="O331" s="498">
        <f>IF(LEFT(R331,2)="확인",R331,"")</f>
      </c>
      <c r="R331" s="504">
        <f>IF(A331="","",IF(C331="생활비","생활비",IF(AND(COUNTIF($A$8:$A$12,C331)=1,ISNUMBER(D331),E331&gt;0,COUNTIF($A$100:$A$399,A331)=1,IFERROR(IF(F331="",AND(LEFT(A331,1)="U",G331="월기록"),AND(F331&gt;=2,COUNTIF($F$100:$F$399,F331)=1,INDEX(RAW!$H:$H,MAX(2,F331))="지출",D331=INDEX(RAW!$A:$A,MAX(2,F331)),E331&lt;=INDEX(RAW!$K:$K,MAX(2,F331)),OR(AND(G331="기존반영",OR(A331="U003",A331="U007")),AND(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AND(OR(A331&lt;&gt;"U003",F331=356),OR(A331&lt;&gt;"U007",F331=2203),OR(G331&lt;&gt;"기존반영",A331="U003",A331="U007")))),FALSE)),"OK","확인: 사용등록")))</f>
      </c>
      <c r="S331" s="504">
        <f>IF(ISNUMBER(D331),DATE(YEAR(D331),MONTH(D331),1),0)</f>
        <v>0</v>
      </c>
      <c r="T331" s="526">
        <f>IF(R331="OK",SUMIFS($O$430:$O$729,$B$430:$B$729,A331,$E$430:$E$729,"&lt;"&amp;EDATE($B$3,1)),0)</f>
        <v>0</v>
      </c>
      <c r="U331" s="526">
        <f>IF(AND(R331="OK",D331&lt;EDATE($B$3,1),$B$3&gt;=DATE(2026,3,1)),MAX(0,E331-T331),0)</f>
        <v>0</v>
      </c>
      <c r="V331" s="526">
        <f>IFERROR(IF(AND(R331="OK",AND(F331&gt;=2,G331&lt;&gt;"기존반영",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E331,0),0)</f>
        <v>0</v>
      </c>
      <c r="W331" s="526">
        <f>IF(V331&gt;0,ROUNDUP(INDEX(RAW!$K:$K,MAX(2,F331))/1000,0)*1000-ROUNDUP((INDEX(RAW!$K:$K,MAX(2,F331))-V331)/1000,0)*1000,0)</f>
        <v>0</v>
      </c>
      <c r="X331" s="504">
        <f>IF(AND(R331="OK",IF($B$43="전체",D331&lt;EDATE($B$3,1),IF($B$43="미정산",U331&gt;0,OR(S331=$B$3,Z331&gt;0,U331&gt;0)))),1,0)</f>
        <v>0</v>
      </c>
      <c r="Y331" s="504">
        <f>IF(X331=1,COUNTIF($X$100:X331,1),0)</f>
        <v>0</v>
      </c>
      <c r="Z331" s="526">
        <f>IF(R331="OK",SUMIFS($O$430:$O$729,$B$430:$B$729,A331,$E$430:$E$729,"&gt;="&amp;$B$3,$E$430:$E$729,"&lt;"&amp;EDATE($B$3,1)),0)</f>
        <v>0</v>
      </c>
    </row>
    <row r="332" hidden="1" outlineLevel="1">
      <c r="A332" s="504">
        <f>IF(F332="","",IF(F332&gt;0,"R"&amp;F332,""))</f>
      </c>
      <c r="B332" s="504">
        <f>IF(F332="","",IFERROR(INDEX(RAW!$F:$F,MAX(2,F332)),""))</f>
      </c>
      <c r="C332" s="522" t="n"/>
      <c r="D332" s="524">
        <f>IF(F332="","",IFERROR(INDEX(RAW!$A:$A,MAX(2,F332)),""))</f>
      </c>
      <c r="E332" s="525">
        <f>IF(F332="","",IFERROR(INDEX(RAW!$K:$K,MAX(2,F332)),0))</f>
      </c>
      <c r="F332" s="522" t="n"/>
      <c r="G332" s="504" t="inlineStr">
        <is>
          <t>신규</t>
        </is>
      </c>
      <c r="O332" s="498">
        <f>IF(LEFT(R332,2)="확인",R332,"")</f>
      </c>
      <c r="R332" s="504">
        <f>IF(A332="","",IF(C332="생활비","생활비",IF(AND(COUNTIF($A$8:$A$12,C332)=1,ISNUMBER(D332),E332&gt;0,COUNTIF($A$100:$A$399,A332)=1,IFERROR(IF(F332="",AND(LEFT(A332,1)="U",G332="월기록"),AND(F332&gt;=2,COUNTIF($F$100:$F$399,F332)=1,INDEX(RAW!$H:$H,MAX(2,F332))="지출",D332=INDEX(RAW!$A:$A,MAX(2,F332)),E332&lt;=INDEX(RAW!$K:$K,MAX(2,F332)),OR(AND(G332="기존반영",OR(A332="U003",A332="U007")),AND(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AND(OR(A332&lt;&gt;"U003",F332=356),OR(A332&lt;&gt;"U007",F332=2203),OR(G332&lt;&gt;"기존반영",A332="U003",A332="U007")))),FALSE)),"OK","확인: 사용등록")))</f>
      </c>
      <c r="S332" s="504">
        <f>IF(ISNUMBER(D332),DATE(YEAR(D332),MONTH(D332),1),0)</f>
        <v>0</v>
      </c>
      <c r="T332" s="526">
        <f>IF(R332="OK",SUMIFS($O$430:$O$729,$B$430:$B$729,A332,$E$430:$E$729,"&lt;"&amp;EDATE($B$3,1)),0)</f>
        <v>0</v>
      </c>
      <c r="U332" s="526">
        <f>IF(AND(R332="OK",D332&lt;EDATE($B$3,1),$B$3&gt;=DATE(2026,3,1)),MAX(0,E332-T332),0)</f>
        <v>0</v>
      </c>
      <c r="V332" s="526">
        <f>IFERROR(IF(AND(R332="OK",AND(F332&gt;=2,G332&lt;&gt;"기존반영",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E332,0),0)</f>
        <v>0</v>
      </c>
      <c r="W332" s="526">
        <f>IF(V332&gt;0,ROUNDUP(INDEX(RAW!$K:$K,MAX(2,F332))/1000,0)*1000-ROUNDUP((INDEX(RAW!$K:$K,MAX(2,F332))-V332)/1000,0)*1000,0)</f>
        <v>0</v>
      </c>
      <c r="X332" s="504">
        <f>IF(AND(R332="OK",IF($B$43="전체",D332&lt;EDATE($B$3,1),IF($B$43="미정산",U332&gt;0,OR(S332=$B$3,Z332&gt;0,U332&gt;0)))),1,0)</f>
        <v>0</v>
      </c>
      <c r="Y332" s="504">
        <f>IF(X332=1,COUNTIF($X$100:X332,1),0)</f>
        <v>0</v>
      </c>
      <c r="Z332" s="526">
        <f>IF(R332="OK",SUMIFS($O$430:$O$729,$B$430:$B$729,A332,$E$430:$E$729,"&gt;="&amp;$B$3,$E$430:$E$729,"&lt;"&amp;EDATE($B$3,1)),0)</f>
        <v>0</v>
      </c>
    </row>
    <row r="333" hidden="1" outlineLevel="1">
      <c r="A333" s="504">
        <f>IF(F333="","",IF(F333&gt;0,"R"&amp;F333,""))</f>
      </c>
      <c r="B333" s="504">
        <f>IF(F333="","",IFERROR(INDEX(RAW!$F:$F,MAX(2,F333)),""))</f>
      </c>
      <c r="C333" s="522" t="n"/>
      <c r="D333" s="524">
        <f>IF(F333="","",IFERROR(INDEX(RAW!$A:$A,MAX(2,F333)),""))</f>
      </c>
      <c r="E333" s="525">
        <f>IF(F333="","",IFERROR(INDEX(RAW!$K:$K,MAX(2,F333)),0))</f>
      </c>
      <c r="F333" s="522" t="n"/>
      <c r="G333" s="504" t="inlineStr">
        <is>
          <t>신규</t>
        </is>
      </c>
      <c r="O333" s="498">
        <f>IF(LEFT(R333,2)="확인",R333,"")</f>
      </c>
      <c r="R333" s="504">
        <f>IF(A333="","",IF(C333="생활비","생활비",IF(AND(COUNTIF($A$8:$A$12,C333)=1,ISNUMBER(D333),E333&gt;0,COUNTIF($A$100:$A$399,A333)=1,IFERROR(IF(F333="",AND(LEFT(A333,1)="U",G333="월기록"),AND(F333&gt;=2,COUNTIF($F$100:$F$399,F333)=1,INDEX(RAW!$H:$H,MAX(2,F333))="지출",D333=INDEX(RAW!$A:$A,MAX(2,F333)),E333&lt;=INDEX(RAW!$K:$K,MAX(2,F333)),OR(AND(G333="기존반영",OR(A333="U003",A333="U007")),AND(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AND(OR(A333&lt;&gt;"U003",F333=356),OR(A333&lt;&gt;"U007",F333=2203),OR(G333&lt;&gt;"기존반영",A333="U003",A333="U007")))),FALSE)),"OK","확인: 사용등록")))</f>
      </c>
      <c r="S333" s="504">
        <f>IF(ISNUMBER(D333),DATE(YEAR(D333),MONTH(D333),1),0)</f>
        <v>0</v>
      </c>
      <c r="T333" s="526">
        <f>IF(R333="OK",SUMIFS($O$430:$O$729,$B$430:$B$729,A333,$E$430:$E$729,"&lt;"&amp;EDATE($B$3,1)),0)</f>
        <v>0</v>
      </c>
      <c r="U333" s="526">
        <f>IF(AND(R333="OK",D333&lt;EDATE($B$3,1),$B$3&gt;=DATE(2026,3,1)),MAX(0,E333-T333),0)</f>
        <v>0</v>
      </c>
      <c r="V333" s="526">
        <f>IFERROR(IF(AND(R333="OK",AND(F333&gt;=2,G333&lt;&gt;"기존반영",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E333,0),0)</f>
        <v>0</v>
      </c>
      <c r="W333" s="526">
        <f>IF(V333&gt;0,ROUNDUP(INDEX(RAW!$K:$K,MAX(2,F333))/1000,0)*1000-ROUNDUP((INDEX(RAW!$K:$K,MAX(2,F333))-V333)/1000,0)*1000,0)</f>
        <v>0</v>
      </c>
      <c r="X333" s="504">
        <f>IF(AND(R333="OK",IF($B$43="전체",D333&lt;EDATE($B$3,1),IF($B$43="미정산",U333&gt;0,OR(S333=$B$3,Z333&gt;0,U333&gt;0)))),1,0)</f>
        <v>0</v>
      </c>
      <c r="Y333" s="504">
        <f>IF(X333=1,COUNTIF($X$100:X333,1),0)</f>
        <v>0</v>
      </c>
      <c r="Z333" s="526">
        <f>IF(R333="OK",SUMIFS($O$430:$O$729,$B$430:$B$729,A333,$E$430:$E$729,"&gt;="&amp;$B$3,$E$430:$E$729,"&lt;"&amp;EDATE($B$3,1)),0)</f>
        <v>0</v>
      </c>
    </row>
    <row r="334" hidden="1" outlineLevel="1">
      <c r="A334" s="504">
        <f>IF(F334="","",IF(F334&gt;0,"R"&amp;F334,""))</f>
      </c>
      <c r="B334" s="504">
        <f>IF(F334="","",IFERROR(INDEX(RAW!$F:$F,MAX(2,F334)),""))</f>
      </c>
      <c r="C334" s="522" t="n"/>
      <c r="D334" s="524">
        <f>IF(F334="","",IFERROR(INDEX(RAW!$A:$A,MAX(2,F334)),""))</f>
      </c>
      <c r="E334" s="525">
        <f>IF(F334="","",IFERROR(INDEX(RAW!$K:$K,MAX(2,F334)),0))</f>
      </c>
      <c r="F334" s="522" t="n"/>
      <c r="G334" s="504" t="inlineStr">
        <is>
          <t>신규</t>
        </is>
      </c>
      <c r="O334" s="498">
        <f>IF(LEFT(R334,2)="확인",R334,"")</f>
      </c>
      <c r="R334" s="504">
        <f>IF(A334="","",IF(C334="생활비","생활비",IF(AND(COUNTIF($A$8:$A$12,C334)=1,ISNUMBER(D334),E334&gt;0,COUNTIF($A$100:$A$399,A334)=1,IFERROR(IF(F334="",AND(LEFT(A334,1)="U",G334="월기록"),AND(F334&gt;=2,COUNTIF($F$100:$F$399,F334)=1,INDEX(RAW!$H:$H,MAX(2,F334))="지출",D334=INDEX(RAW!$A:$A,MAX(2,F334)),E334&lt;=INDEX(RAW!$K:$K,MAX(2,F334)),OR(AND(G334="기존반영",OR(A334="U003",A334="U007")),AND(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AND(OR(A334&lt;&gt;"U003",F334=356),OR(A334&lt;&gt;"U007",F334=2203),OR(G334&lt;&gt;"기존반영",A334="U003",A334="U007")))),FALSE)),"OK","확인: 사용등록")))</f>
      </c>
      <c r="S334" s="504">
        <f>IF(ISNUMBER(D334),DATE(YEAR(D334),MONTH(D334),1),0)</f>
        <v>0</v>
      </c>
      <c r="T334" s="526">
        <f>IF(R334="OK",SUMIFS($O$430:$O$729,$B$430:$B$729,A334,$E$430:$E$729,"&lt;"&amp;EDATE($B$3,1)),0)</f>
        <v>0</v>
      </c>
      <c r="U334" s="526">
        <f>IF(AND(R334="OK",D334&lt;EDATE($B$3,1),$B$3&gt;=DATE(2026,3,1)),MAX(0,E334-T334),0)</f>
        <v>0</v>
      </c>
      <c r="V334" s="526">
        <f>IFERROR(IF(AND(R334="OK",AND(F334&gt;=2,G334&lt;&gt;"기존반영",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E334,0),0)</f>
        <v>0</v>
      </c>
      <c r="W334" s="526">
        <f>IF(V334&gt;0,ROUNDUP(INDEX(RAW!$K:$K,MAX(2,F334))/1000,0)*1000-ROUNDUP((INDEX(RAW!$K:$K,MAX(2,F334))-V334)/1000,0)*1000,0)</f>
        <v>0</v>
      </c>
      <c r="X334" s="504">
        <f>IF(AND(R334="OK",IF($B$43="전체",D334&lt;EDATE($B$3,1),IF($B$43="미정산",U334&gt;0,OR(S334=$B$3,Z334&gt;0,U334&gt;0)))),1,0)</f>
        <v>0</v>
      </c>
      <c r="Y334" s="504">
        <f>IF(X334=1,COUNTIF($X$100:X334,1),0)</f>
        <v>0</v>
      </c>
      <c r="Z334" s="526">
        <f>IF(R334="OK",SUMIFS($O$430:$O$729,$B$430:$B$729,A334,$E$430:$E$729,"&gt;="&amp;$B$3,$E$430:$E$729,"&lt;"&amp;EDATE($B$3,1)),0)</f>
        <v>0</v>
      </c>
    </row>
    <row r="335" hidden="1" outlineLevel="1">
      <c r="A335" s="504">
        <f>IF(F335="","",IF(F335&gt;0,"R"&amp;F335,""))</f>
      </c>
      <c r="B335" s="504">
        <f>IF(F335="","",IFERROR(INDEX(RAW!$F:$F,MAX(2,F335)),""))</f>
      </c>
      <c r="C335" s="522" t="n"/>
      <c r="D335" s="524">
        <f>IF(F335="","",IFERROR(INDEX(RAW!$A:$A,MAX(2,F335)),""))</f>
      </c>
      <c r="E335" s="525">
        <f>IF(F335="","",IFERROR(INDEX(RAW!$K:$K,MAX(2,F335)),0))</f>
      </c>
      <c r="F335" s="522" t="n"/>
      <c r="G335" s="504" t="inlineStr">
        <is>
          <t>신규</t>
        </is>
      </c>
      <c r="O335" s="498">
        <f>IF(LEFT(R335,2)="확인",R335,"")</f>
      </c>
      <c r="R335" s="504">
        <f>IF(A335="","",IF(C335="생활비","생활비",IF(AND(COUNTIF($A$8:$A$12,C335)=1,ISNUMBER(D335),E335&gt;0,COUNTIF($A$100:$A$399,A335)=1,IFERROR(IF(F335="",AND(LEFT(A335,1)="U",G335="월기록"),AND(F335&gt;=2,COUNTIF($F$100:$F$399,F335)=1,INDEX(RAW!$H:$H,MAX(2,F335))="지출",D335=INDEX(RAW!$A:$A,MAX(2,F335)),E335&lt;=INDEX(RAW!$K:$K,MAX(2,F335)),OR(AND(G335="기존반영",OR(A335="U003",A335="U007")),AND(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AND(OR(A335&lt;&gt;"U003",F335=356),OR(A335&lt;&gt;"U007",F335=2203),OR(G335&lt;&gt;"기존반영",A335="U003",A335="U007")))),FALSE)),"OK","확인: 사용등록")))</f>
      </c>
      <c r="S335" s="504">
        <f>IF(ISNUMBER(D335),DATE(YEAR(D335),MONTH(D335),1),0)</f>
        <v>0</v>
      </c>
      <c r="T335" s="526">
        <f>IF(R335="OK",SUMIFS($O$430:$O$729,$B$430:$B$729,A335,$E$430:$E$729,"&lt;"&amp;EDATE($B$3,1)),0)</f>
        <v>0</v>
      </c>
      <c r="U335" s="526">
        <f>IF(AND(R335="OK",D335&lt;EDATE($B$3,1),$B$3&gt;=DATE(2026,3,1)),MAX(0,E335-T335),0)</f>
        <v>0</v>
      </c>
      <c r="V335" s="526">
        <f>IFERROR(IF(AND(R335="OK",AND(F335&gt;=2,G335&lt;&gt;"기존반영",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E335,0),0)</f>
        <v>0</v>
      </c>
      <c r="W335" s="526">
        <f>IF(V335&gt;0,ROUNDUP(INDEX(RAW!$K:$K,MAX(2,F335))/1000,0)*1000-ROUNDUP((INDEX(RAW!$K:$K,MAX(2,F335))-V335)/1000,0)*1000,0)</f>
        <v>0</v>
      </c>
      <c r="X335" s="504">
        <f>IF(AND(R335="OK",IF($B$43="전체",D335&lt;EDATE($B$3,1),IF($B$43="미정산",U335&gt;0,OR(S335=$B$3,Z335&gt;0,U335&gt;0)))),1,0)</f>
        <v>0</v>
      </c>
      <c r="Y335" s="504">
        <f>IF(X335=1,COUNTIF($X$100:X335,1),0)</f>
        <v>0</v>
      </c>
      <c r="Z335" s="526">
        <f>IF(R335="OK",SUMIFS($O$430:$O$729,$B$430:$B$729,A335,$E$430:$E$729,"&gt;="&amp;$B$3,$E$430:$E$729,"&lt;"&amp;EDATE($B$3,1)),0)</f>
        <v>0</v>
      </c>
    </row>
    <row r="336" hidden="1" outlineLevel="1">
      <c r="A336" s="504">
        <f>IF(F336="","",IF(F336&gt;0,"R"&amp;F336,""))</f>
      </c>
      <c r="B336" s="504">
        <f>IF(F336="","",IFERROR(INDEX(RAW!$F:$F,MAX(2,F336)),""))</f>
      </c>
      <c r="C336" s="522" t="n"/>
      <c r="D336" s="524">
        <f>IF(F336="","",IFERROR(INDEX(RAW!$A:$A,MAX(2,F336)),""))</f>
      </c>
      <c r="E336" s="525">
        <f>IF(F336="","",IFERROR(INDEX(RAW!$K:$K,MAX(2,F336)),0))</f>
      </c>
      <c r="F336" s="522" t="n"/>
      <c r="G336" s="504" t="inlineStr">
        <is>
          <t>신규</t>
        </is>
      </c>
      <c r="O336" s="498">
        <f>IF(LEFT(R336,2)="확인",R336,"")</f>
      </c>
      <c r="R336" s="504">
        <f>IF(A336="","",IF(C336="생활비","생활비",IF(AND(COUNTIF($A$8:$A$12,C336)=1,ISNUMBER(D336),E336&gt;0,COUNTIF($A$100:$A$399,A336)=1,IFERROR(IF(F336="",AND(LEFT(A336,1)="U",G336="월기록"),AND(F336&gt;=2,COUNTIF($F$100:$F$399,F336)=1,INDEX(RAW!$H:$H,MAX(2,F336))="지출",D336=INDEX(RAW!$A:$A,MAX(2,F336)),E336&lt;=INDEX(RAW!$K:$K,MAX(2,F336)),OR(AND(G336="기존반영",OR(A336="U003",A336="U007")),AND(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AND(OR(A336&lt;&gt;"U003",F336=356),OR(A336&lt;&gt;"U007",F336=2203),OR(G336&lt;&gt;"기존반영",A336="U003",A336="U007")))),FALSE)),"OK","확인: 사용등록")))</f>
      </c>
      <c r="S336" s="504">
        <f>IF(ISNUMBER(D336),DATE(YEAR(D336),MONTH(D336),1),0)</f>
        <v>0</v>
      </c>
      <c r="T336" s="526">
        <f>IF(R336="OK",SUMIFS($O$430:$O$729,$B$430:$B$729,A336,$E$430:$E$729,"&lt;"&amp;EDATE($B$3,1)),0)</f>
        <v>0</v>
      </c>
      <c r="U336" s="526">
        <f>IF(AND(R336="OK",D336&lt;EDATE($B$3,1),$B$3&gt;=DATE(2026,3,1)),MAX(0,E336-T336),0)</f>
        <v>0</v>
      </c>
      <c r="V336" s="526">
        <f>IFERROR(IF(AND(R336="OK",AND(F336&gt;=2,G336&lt;&gt;"기존반영",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E336,0),0)</f>
        <v>0</v>
      </c>
      <c r="W336" s="526">
        <f>IF(V336&gt;0,ROUNDUP(INDEX(RAW!$K:$K,MAX(2,F336))/1000,0)*1000-ROUNDUP((INDEX(RAW!$K:$K,MAX(2,F336))-V336)/1000,0)*1000,0)</f>
        <v>0</v>
      </c>
      <c r="X336" s="504">
        <f>IF(AND(R336="OK",IF($B$43="전체",D336&lt;EDATE($B$3,1),IF($B$43="미정산",U336&gt;0,OR(S336=$B$3,Z336&gt;0,U336&gt;0)))),1,0)</f>
        <v>0</v>
      </c>
      <c r="Y336" s="504">
        <f>IF(X336=1,COUNTIF($X$100:X336,1),0)</f>
        <v>0</v>
      </c>
      <c r="Z336" s="526">
        <f>IF(R336="OK",SUMIFS($O$430:$O$729,$B$430:$B$729,A336,$E$430:$E$729,"&gt;="&amp;$B$3,$E$430:$E$729,"&lt;"&amp;EDATE($B$3,1)),0)</f>
        <v>0</v>
      </c>
    </row>
    <row r="337" hidden="1" outlineLevel="1">
      <c r="A337" s="504">
        <f>IF(F337="","",IF(F337&gt;0,"R"&amp;F337,""))</f>
      </c>
      <c r="B337" s="504">
        <f>IF(F337="","",IFERROR(INDEX(RAW!$F:$F,MAX(2,F337)),""))</f>
      </c>
      <c r="C337" s="522" t="n"/>
      <c r="D337" s="524">
        <f>IF(F337="","",IFERROR(INDEX(RAW!$A:$A,MAX(2,F337)),""))</f>
      </c>
      <c r="E337" s="525">
        <f>IF(F337="","",IFERROR(INDEX(RAW!$K:$K,MAX(2,F337)),0))</f>
      </c>
      <c r="F337" s="522" t="n"/>
      <c r="G337" s="504" t="inlineStr">
        <is>
          <t>신규</t>
        </is>
      </c>
      <c r="O337" s="498">
        <f>IF(LEFT(R337,2)="확인",R337,"")</f>
      </c>
      <c r="R337" s="504">
        <f>IF(A337="","",IF(C337="생활비","생활비",IF(AND(COUNTIF($A$8:$A$12,C337)=1,ISNUMBER(D337),E337&gt;0,COUNTIF($A$100:$A$399,A337)=1,IFERROR(IF(F337="",AND(LEFT(A337,1)="U",G337="월기록"),AND(F337&gt;=2,COUNTIF($F$100:$F$399,F337)=1,INDEX(RAW!$H:$H,MAX(2,F337))="지출",D337=INDEX(RAW!$A:$A,MAX(2,F337)),E337&lt;=INDEX(RAW!$K:$K,MAX(2,F337)),OR(AND(G337="기존반영",OR(A337="U003",A337="U007")),AND(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AND(OR(A337&lt;&gt;"U003",F337=356),OR(A337&lt;&gt;"U007",F337=2203),OR(G337&lt;&gt;"기존반영",A337="U003",A337="U007")))),FALSE)),"OK","확인: 사용등록")))</f>
      </c>
      <c r="S337" s="504">
        <f>IF(ISNUMBER(D337),DATE(YEAR(D337),MONTH(D337),1),0)</f>
        <v>0</v>
      </c>
      <c r="T337" s="526">
        <f>IF(R337="OK",SUMIFS($O$430:$O$729,$B$430:$B$729,A337,$E$430:$E$729,"&lt;"&amp;EDATE($B$3,1)),0)</f>
        <v>0</v>
      </c>
      <c r="U337" s="526">
        <f>IF(AND(R337="OK",D337&lt;EDATE($B$3,1),$B$3&gt;=DATE(2026,3,1)),MAX(0,E337-T337),0)</f>
        <v>0</v>
      </c>
      <c r="V337" s="526">
        <f>IFERROR(IF(AND(R337="OK",AND(F337&gt;=2,G337&lt;&gt;"기존반영",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E337,0),0)</f>
        <v>0</v>
      </c>
      <c r="W337" s="526">
        <f>IF(V337&gt;0,ROUNDUP(INDEX(RAW!$K:$K,MAX(2,F337))/1000,0)*1000-ROUNDUP((INDEX(RAW!$K:$K,MAX(2,F337))-V337)/1000,0)*1000,0)</f>
        <v>0</v>
      </c>
      <c r="X337" s="504">
        <f>IF(AND(R337="OK",IF($B$43="전체",D337&lt;EDATE($B$3,1),IF($B$43="미정산",U337&gt;0,OR(S337=$B$3,Z337&gt;0,U337&gt;0)))),1,0)</f>
        <v>0</v>
      </c>
      <c r="Y337" s="504">
        <f>IF(X337=1,COUNTIF($X$100:X337,1),0)</f>
        <v>0</v>
      </c>
      <c r="Z337" s="526">
        <f>IF(R337="OK",SUMIFS($O$430:$O$729,$B$430:$B$729,A337,$E$430:$E$729,"&gt;="&amp;$B$3,$E$430:$E$729,"&lt;"&amp;EDATE($B$3,1)),0)</f>
        <v>0</v>
      </c>
    </row>
    <row r="338" hidden="1" outlineLevel="1">
      <c r="A338" s="504">
        <f>IF(F338="","",IF(F338&gt;0,"R"&amp;F338,""))</f>
      </c>
      <c r="B338" s="504">
        <f>IF(F338="","",IFERROR(INDEX(RAW!$F:$F,MAX(2,F338)),""))</f>
      </c>
      <c r="C338" s="522" t="n"/>
      <c r="D338" s="524">
        <f>IF(F338="","",IFERROR(INDEX(RAW!$A:$A,MAX(2,F338)),""))</f>
      </c>
      <c r="E338" s="525">
        <f>IF(F338="","",IFERROR(INDEX(RAW!$K:$K,MAX(2,F338)),0))</f>
      </c>
      <c r="F338" s="522" t="n"/>
      <c r="G338" s="504" t="inlineStr">
        <is>
          <t>신규</t>
        </is>
      </c>
      <c r="O338" s="498">
        <f>IF(LEFT(R338,2)="확인",R338,"")</f>
      </c>
      <c r="R338" s="504">
        <f>IF(A338="","",IF(C338="생활비","생활비",IF(AND(COUNTIF($A$8:$A$12,C338)=1,ISNUMBER(D338),E338&gt;0,COUNTIF($A$100:$A$399,A338)=1,IFERROR(IF(F338="",AND(LEFT(A338,1)="U",G338="월기록"),AND(F338&gt;=2,COUNTIF($F$100:$F$399,F338)=1,INDEX(RAW!$H:$H,MAX(2,F338))="지출",D338=INDEX(RAW!$A:$A,MAX(2,F338)),E338&lt;=INDEX(RAW!$K:$K,MAX(2,F338)),OR(AND(G338="기존반영",OR(A338="U003",A338="U007")),AND(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AND(OR(A338&lt;&gt;"U003",F338=356),OR(A338&lt;&gt;"U007",F338=2203),OR(G338&lt;&gt;"기존반영",A338="U003",A338="U007")))),FALSE)),"OK","확인: 사용등록")))</f>
      </c>
      <c r="S338" s="504">
        <f>IF(ISNUMBER(D338),DATE(YEAR(D338),MONTH(D338),1),0)</f>
        <v>0</v>
      </c>
      <c r="T338" s="526">
        <f>IF(R338="OK",SUMIFS($O$430:$O$729,$B$430:$B$729,A338,$E$430:$E$729,"&lt;"&amp;EDATE($B$3,1)),0)</f>
        <v>0</v>
      </c>
      <c r="U338" s="526">
        <f>IF(AND(R338="OK",D338&lt;EDATE($B$3,1),$B$3&gt;=DATE(2026,3,1)),MAX(0,E338-T338),0)</f>
        <v>0</v>
      </c>
      <c r="V338" s="526">
        <f>IFERROR(IF(AND(R338="OK",AND(F338&gt;=2,G338&lt;&gt;"기존반영",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E338,0),0)</f>
        <v>0</v>
      </c>
      <c r="W338" s="526">
        <f>IF(V338&gt;0,ROUNDUP(INDEX(RAW!$K:$K,MAX(2,F338))/1000,0)*1000-ROUNDUP((INDEX(RAW!$K:$K,MAX(2,F338))-V338)/1000,0)*1000,0)</f>
        <v>0</v>
      </c>
      <c r="X338" s="504">
        <f>IF(AND(R338="OK",IF($B$43="전체",D338&lt;EDATE($B$3,1),IF($B$43="미정산",U338&gt;0,OR(S338=$B$3,Z338&gt;0,U338&gt;0)))),1,0)</f>
        <v>0</v>
      </c>
      <c r="Y338" s="504">
        <f>IF(X338=1,COUNTIF($X$100:X338,1),0)</f>
        <v>0</v>
      </c>
      <c r="Z338" s="526">
        <f>IF(R338="OK",SUMIFS($O$430:$O$729,$B$430:$B$729,A338,$E$430:$E$729,"&gt;="&amp;$B$3,$E$430:$E$729,"&lt;"&amp;EDATE($B$3,1)),0)</f>
        <v>0</v>
      </c>
    </row>
    <row r="339" hidden="1" outlineLevel="1">
      <c r="A339" s="504">
        <f>IF(F339="","",IF(F339&gt;0,"R"&amp;F339,""))</f>
      </c>
      <c r="B339" s="504">
        <f>IF(F339="","",IFERROR(INDEX(RAW!$F:$F,MAX(2,F339)),""))</f>
      </c>
      <c r="C339" s="522" t="n"/>
      <c r="D339" s="524">
        <f>IF(F339="","",IFERROR(INDEX(RAW!$A:$A,MAX(2,F339)),""))</f>
      </c>
      <c r="E339" s="525">
        <f>IF(F339="","",IFERROR(INDEX(RAW!$K:$K,MAX(2,F339)),0))</f>
      </c>
      <c r="F339" s="522" t="n"/>
      <c r="G339" s="504" t="inlineStr">
        <is>
          <t>신규</t>
        </is>
      </c>
      <c r="O339" s="498">
        <f>IF(LEFT(R339,2)="확인",R339,"")</f>
      </c>
      <c r="R339" s="504">
        <f>IF(A339="","",IF(C339="생활비","생활비",IF(AND(COUNTIF($A$8:$A$12,C339)=1,ISNUMBER(D339),E339&gt;0,COUNTIF($A$100:$A$399,A339)=1,IFERROR(IF(F339="",AND(LEFT(A339,1)="U",G339="월기록"),AND(F339&gt;=2,COUNTIF($F$100:$F$399,F339)=1,INDEX(RAW!$H:$H,MAX(2,F339))="지출",D339=INDEX(RAW!$A:$A,MAX(2,F339)),E339&lt;=INDEX(RAW!$K:$K,MAX(2,F339)),OR(AND(G339="기존반영",OR(A339="U003",A339="U007")),AND(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AND(OR(A339&lt;&gt;"U003",F339=356),OR(A339&lt;&gt;"U007",F339=2203),OR(G339&lt;&gt;"기존반영",A339="U003",A339="U007")))),FALSE)),"OK","확인: 사용등록")))</f>
      </c>
      <c r="S339" s="504">
        <f>IF(ISNUMBER(D339),DATE(YEAR(D339),MONTH(D339),1),0)</f>
        <v>0</v>
      </c>
      <c r="T339" s="526">
        <f>IF(R339="OK",SUMIFS($O$430:$O$729,$B$430:$B$729,A339,$E$430:$E$729,"&lt;"&amp;EDATE($B$3,1)),0)</f>
        <v>0</v>
      </c>
      <c r="U339" s="526">
        <f>IF(AND(R339="OK",D339&lt;EDATE($B$3,1),$B$3&gt;=DATE(2026,3,1)),MAX(0,E339-T339),0)</f>
        <v>0</v>
      </c>
      <c r="V339" s="526">
        <f>IFERROR(IF(AND(R339="OK",AND(F339&gt;=2,G339&lt;&gt;"기존반영",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E339,0),0)</f>
        <v>0</v>
      </c>
      <c r="W339" s="526">
        <f>IF(V339&gt;0,ROUNDUP(INDEX(RAW!$K:$K,MAX(2,F339))/1000,0)*1000-ROUNDUP((INDEX(RAW!$K:$K,MAX(2,F339))-V339)/1000,0)*1000,0)</f>
        <v>0</v>
      </c>
      <c r="X339" s="504">
        <f>IF(AND(R339="OK",IF($B$43="전체",D339&lt;EDATE($B$3,1),IF($B$43="미정산",U339&gt;0,OR(S339=$B$3,Z339&gt;0,U339&gt;0)))),1,0)</f>
        <v>0</v>
      </c>
      <c r="Y339" s="504">
        <f>IF(X339=1,COUNTIF($X$100:X339,1),0)</f>
        <v>0</v>
      </c>
      <c r="Z339" s="526">
        <f>IF(R339="OK",SUMIFS($O$430:$O$729,$B$430:$B$729,A339,$E$430:$E$729,"&gt;="&amp;$B$3,$E$430:$E$729,"&lt;"&amp;EDATE($B$3,1)),0)</f>
        <v>0</v>
      </c>
    </row>
    <row r="340" hidden="1" outlineLevel="1">
      <c r="A340" s="504">
        <f>IF(F340="","",IF(F340&gt;0,"R"&amp;F340,""))</f>
      </c>
      <c r="B340" s="504">
        <f>IF(F340="","",IFERROR(INDEX(RAW!$F:$F,MAX(2,F340)),""))</f>
      </c>
      <c r="C340" s="522" t="n"/>
      <c r="D340" s="524">
        <f>IF(F340="","",IFERROR(INDEX(RAW!$A:$A,MAX(2,F340)),""))</f>
      </c>
      <c r="E340" s="525">
        <f>IF(F340="","",IFERROR(INDEX(RAW!$K:$K,MAX(2,F340)),0))</f>
      </c>
      <c r="F340" s="522" t="n"/>
      <c r="G340" s="504" t="inlineStr">
        <is>
          <t>신규</t>
        </is>
      </c>
      <c r="O340" s="498">
        <f>IF(LEFT(R340,2)="확인",R340,"")</f>
      </c>
      <c r="R340" s="504">
        <f>IF(A340="","",IF(C340="생활비","생활비",IF(AND(COUNTIF($A$8:$A$12,C340)=1,ISNUMBER(D340),E340&gt;0,COUNTIF($A$100:$A$399,A340)=1,IFERROR(IF(F340="",AND(LEFT(A340,1)="U",G340="월기록"),AND(F340&gt;=2,COUNTIF($F$100:$F$399,F340)=1,INDEX(RAW!$H:$H,MAX(2,F340))="지출",D340=INDEX(RAW!$A:$A,MAX(2,F340)),E340&lt;=INDEX(RAW!$K:$K,MAX(2,F340)),OR(AND(G340="기존반영",OR(A340="U003",A340="U007")),AND(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AND(OR(A340&lt;&gt;"U003",F340=356),OR(A340&lt;&gt;"U007",F340=2203),OR(G340&lt;&gt;"기존반영",A340="U003",A340="U007")))),FALSE)),"OK","확인: 사용등록")))</f>
      </c>
      <c r="S340" s="504">
        <f>IF(ISNUMBER(D340),DATE(YEAR(D340),MONTH(D340),1),0)</f>
        <v>0</v>
      </c>
      <c r="T340" s="526">
        <f>IF(R340="OK",SUMIFS($O$430:$O$729,$B$430:$B$729,A340,$E$430:$E$729,"&lt;"&amp;EDATE($B$3,1)),0)</f>
        <v>0</v>
      </c>
      <c r="U340" s="526">
        <f>IF(AND(R340="OK",D340&lt;EDATE($B$3,1),$B$3&gt;=DATE(2026,3,1)),MAX(0,E340-T340),0)</f>
        <v>0</v>
      </c>
      <c r="V340" s="526">
        <f>IFERROR(IF(AND(R340="OK",AND(F340&gt;=2,G340&lt;&gt;"기존반영",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E340,0),0)</f>
        <v>0</v>
      </c>
      <c r="W340" s="526">
        <f>IF(V340&gt;0,ROUNDUP(INDEX(RAW!$K:$K,MAX(2,F340))/1000,0)*1000-ROUNDUP((INDEX(RAW!$K:$K,MAX(2,F340))-V340)/1000,0)*1000,0)</f>
        <v>0</v>
      </c>
      <c r="X340" s="504">
        <f>IF(AND(R340="OK",IF($B$43="전체",D340&lt;EDATE($B$3,1),IF($B$43="미정산",U340&gt;0,OR(S340=$B$3,Z340&gt;0,U340&gt;0)))),1,0)</f>
        <v>0</v>
      </c>
      <c r="Y340" s="504">
        <f>IF(X340=1,COUNTIF($X$100:X340,1),0)</f>
        <v>0</v>
      </c>
      <c r="Z340" s="526">
        <f>IF(R340="OK",SUMIFS($O$430:$O$729,$B$430:$B$729,A340,$E$430:$E$729,"&gt;="&amp;$B$3,$E$430:$E$729,"&lt;"&amp;EDATE($B$3,1)),0)</f>
        <v>0</v>
      </c>
    </row>
    <row r="341" hidden="1" outlineLevel="1">
      <c r="A341" s="504">
        <f>IF(F341="","",IF(F341&gt;0,"R"&amp;F341,""))</f>
      </c>
      <c r="B341" s="504">
        <f>IF(F341="","",IFERROR(INDEX(RAW!$F:$F,MAX(2,F341)),""))</f>
      </c>
      <c r="C341" s="522" t="n"/>
      <c r="D341" s="524">
        <f>IF(F341="","",IFERROR(INDEX(RAW!$A:$A,MAX(2,F341)),""))</f>
      </c>
      <c r="E341" s="525">
        <f>IF(F341="","",IFERROR(INDEX(RAW!$K:$K,MAX(2,F341)),0))</f>
      </c>
      <c r="F341" s="522" t="n"/>
      <c r="G341" s="504" t="inlineStr">
        <is>
          <t>신규</t>
        </is>
      </c>
      <c r="O341" s="498">
        <f>IF(LEFT(R341,2)="확인",R341,"")</f>
      </c>
      <c r="R341" s="504">
        <f>IF(A341="","",IF(C341="생활비","생활비",IF(AND(COUNTIF($A$8:$A$12,C341)=1,ISNUMBER(D341),E341&gt;0,COUNTIF($A$100:$A$399,A341)=1,IFERROR(IF(F341="",AND(LEFT(A341,1)="U",G341="월기록"),AND(F341&gt;=2,COUNTIF($F$100:$F$399,F341)=1,INDEX(RAW!$H:$H,MAX(2,F341))="지출",D341=INDEX(RAW!$A:$A,MAX(2,F341)),E341&lt;=INDEX(RAW!$K:$K,MAX(2,F341)),OR(AND(G341="기존반영",OR(A341="U003",A341="U007")),AND(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AND(OR(A341&lt;&gt;"U003",F341=356),OR(A341&lt;&gt;"U007",F341=2203),OR(G341&lt;&gt;"기존반영",A341="U003",A341="U007")))),FALSE)),"OK","확인: 사용등록")))</f>
      </c>
      <c r="S341" s="504">
        <f>IF(ISNUMBER(D341),DATE(YEAR(D341),MONTH(D341),1),0)</f>
        <v>0</v>
      </c>
      <c r="T341" s="526">
        <f>IF(R341="OK",SUMIFS($O$430:$O$729,$B$430:$B$729,A341,$E$430:$E$729,"&lt;"&amp;EDATE($B$3,1)),0)</f>
        <v>0</v>
      </c>
      <c r="U341" s="526">
        <f>IF(AND(R341="OK",D341&lt;EDATE($B$3,1),$B$3&gt;=DATE(2026,3,1)),MAX(0,E341-T341),0)</f>
        <v>0</v>
      </c>
      <c r="V341" s="526">
        <f>IFERROR(IF(AND(R341="OK",AND(F341&gt;=2,G341&lt;&gt;"기존반영",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E341,0),0)</f>
        <v>0</v>
      </c>
      <c r="W341" s="526">
        <f>IF(V341&gt;0,ROUNDUP(INDEX(RAW!$K:$K,MAX(2,F341))/1000,0)*1000-ROUNDUP((INDEX(RAW!$K:$K,MAX(2,F341))-V341)/1000,0)*1000,0)</f>
        <v>0</v>
      </c>
      <c r="X341" s="504">
        <f>IF(AND(R341="OK",IF($B$43="전체",D341&lt;EDATE($B$3,1),IF($B$43="미정산",U341&gt;0,OR(S341=$B$3,Z341&gt;0,U341&gt;0)))),1,0)</f>
        <v>0</v>
      </c>
      <c r="Y341" s="504">
        <f>IF(X341=1,COUNTIF($X$100:X341,1),0)</f>
        <v>0</v>
      </c>
      <c r="Z341" s="526">
        <f>IF(R341="OK",SUMIFS($O$430:$O$729,$B$430:$B$729,A341,$E$430:$E$729,"&gt;="&amp;$B$3,$E$430:$E$729,"&lt;"&amp;EDATE($B$3,1)),0)</f>
        <v>0</v>
      </c>
    </row>
    <row r="342" hidden="1" outlineLevel="1">
      <c r="A342" s="504">
        <f>IF(F342="","",IF(F342&gt;0,"R"&amp;F342,""))</f>
      </c>
      <c r="B342" s="504">
        <f>IF(F342="","",IFERROR(INDEX(RAW!$F:$F,MAX(2,F342)),""))</f>
      </c>
      <c r="C342" s="522" t="n"/>
      <c r="D342" s="524">
        <f>IF(F342="","",IFERROR(INDEX(RAW!$A:$A,MAX(2,F342)),""))</f>
      </c>
      <c r="E342" s="525">
        <f>IF(F342="","",IFERROR(INDEX(RAW!$K:$K,MAX(2,F342)),0))</f>
      </c>
      <c r="F342" s="522" t="n"/>
      <c r="G342" s="504" t="inlineStr">
        <is>
          <t>신규</t>
        </is>
      </c>
      <c r="O342" s="498">
        <f>IF(LEFT(R342,2)="확인",R342,"")</f>
      </c>
      <c r="R342" s="504">
        <f>IF(A342="","",IF(C342="생활비","생활비",IF(AND(COUNTIF($A$8:$A$12,C342)=1,ISNUMBER(D342),E342&gt;0,COUNTIF($A$100:$A$399,A342)=1,IFERROR(IF(F342="",AND(LEFT(A342,1)="U",G342="월기록"),AND(F342&gt;=2,COUNTIF($F$100:$F$399,F342)=1,INDEX(RAW!$H:$H,MAX(2,F342))="지출",D342=INDEX(RAW!$A:$A,MAX(2,F342)),E342&lt;=INDEX(RAW!$K:$K,MAX(2,F342)),OR(AND(G342="기존반영",OR(A342="U003",A342="U007")),AND(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AND(OR(A342&lt;&gt;"U003",F342=356),OR(A342&lt;&gt;"U007",F342=2203),OR(G342&lt;&gt;"기존반영",A342="U003",A342="U007")))),FALSE)),"OK","확인: 사용등록")))</f>
      </c>
      <c r="S342" s="504">
        <f>IF(ISNUMBER(D342),DATE(YEAR(D342),MONTH(D342),1),0)</f>
        <v>0</v>
      </c>
      <c r="T342" s="526">
        <f>IF(R342="OK",SUMIFS($O$430:$O$729,$B$430:$B$729,A342,$E$430:$E$729,"&lt;"&amp;EDATE($B$3,1)),0)</f>
        <v>0</v>
      </c>
      <c r="U342" s="526">
        <f>IF(AND(R342="OK",D342&lt;EDATE($B$3,1),$B$3&gt;=DATE(2026,3,1)),MAX(0,E342-T342),0)</f>
        <v>0</v>
      </c>
      <c r="V342" s="526">
        <f>IFERROR(IF(AND(R342="OK",AND(F342&gt;=2,G342&lt;&gt;"기존반영",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E342,0),0)</f>
        <v>0</v>
      </c>
      <c r="W342" s="526">
        <f>IF(V342&gt;0,ROUNDUP(INDEX(RAW!$K:$K,MAX(2,F342))/1000,0)*1000-ROUNDUP((INDEX(RAW!$K:$K,MAX(2,F342))-V342)/1000,0)*1000,0)</f>
        <v>0</v>
      </c>
      <c r="X342" s="504">
        <f>IF(AND(R342="OK",IF($B$43="전체",D342&lt;EDATE($B$3,1),IF($B$43="미정산",U342&gt;0,OR(S342=$B$3,Z342&gt;0,U342&gt;0)))),1,0)</f>
        <v>0</v>
      </c>
      <c r="Y342" s="504">
        <f>IF(X342=1,COUNTIF($X$100:X342,1),0)</f>
        <v>0</v>
      </c>
      <c r="Z342" s="526">
        <f>IF(R342="OK",SUMIFS($O$430:$O$729,$B$430:$B$729,A342,$E$430:$E$729,"&gt;="&amp;$B$3,$E$430:$E$729,"&lt;"&amp;EDATE($B$3,1)),0)</f>
        <v>0</v>
      </c>
    </row>
    <row r="343" hidden="1" outlineLevel="1">
      <c r="A343" s="504">
        <f>IF(F343="","",IF(F343&gt;0,"R"&amp;F343,""))</f>
      </c>
      <c r="B343" s="504">
        <f>IF(F343="","",IFERROR(INDEX(RAW!$F:$F,MAX(2,F343)),""))</f>
      </c>
      <c r="C343" s="522" t="n"/>
      <c r="D343" s="524">
        <f>IF(F343="","",IFERROR(INDEX(RAW!$A:$A,MAX(2,F343)),""))</f>
      </c>
      <c r="E343" s="525">
        <f>IF(F343="","",IFERROR(INDEX(RAW!$K:$K,MAX(2,F343)),0))</f>
      </c>
      <c r="F343" s="522" t="n"/>
      <c r="G343" s="504" t="inlineStr">
        <is>
          <t>신규</t>
        </is>
      </c>
      <c r="O343" s="498">
        <f>IF(LEFT(R343,2)="확인",R343,"")</f>
      </c>
      <c r="R343" s="504">
        <f>IF(A343="","",IF(C343="생활비","생활비",IF(AND(COUNTIF($A$8:$A$12,C343)=1,ISNUMBER(D343),E343&gt;0,COUNTIF($A$100:$A$399,A343)=1,IFERROR(IF(F343="",AND(LEFT(A343,1)="U",G343="월기록"),AND(F343&gt;=2,COUNTIF($F$100:$F$399,F343)=1,INDEX(RAW!$H:$H,MAX(2,F343))="지출",D343=INDEX(RAW!$A:$A,MAX(2,F343)),E343&lt;=INDEX(RAW!$K:$K,MAX(2,F343)),OR(AND(G343="기존반영",OR(A343="U003",A343="U007")),AND(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AND(OR(A343&lt;&gt;"U003",F343=356),OR(A343&lt;&gt;"U007",F343=2203),OR(G343&lt;&gt;"기존반영",A343="U003",A343="U007")))),FALSE)),"OK","확인: 사용등록")))</f>
      </c>
      <c r="S343" s="504">
        <f>IF(ISNUMBER(D343),DATE(YEAR(D343),MONTH(D343),1),0)</f>
        <v>0</v>
      </c>
      <c r="T343" s="526">
        <f>IF(R343="OK",SUMIFS($O$430:$O$729,$B$430:$B$729,A343,$E$430:$E$729,"&lt;"&amp;EDATE($B$3,1)),0)</f>
        <v>0</v>
      </c>
      <c r="U343" s="526">
        <f>IF(AND(R343="OK",D343&lt;EDATE($B$3,1),$B$3&gt;=DATE(2026,3,1)),MAX(0,E343-T343),0)</f>
        <v>0</v>
      </c>
      <c r="V343" s="526">
        <f>IFERROR(IF(AND(R343="OK",AND(F343&gt;=2,G343&lt;&gt;"기존반영",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E343,0),0)</f>
        <v>0</v>
      </c>
      <c r="W343" s="526">
        <f>IF(V343&gt;0,ROUNDUP(INDEX(RAW!$K:$K,MAX(2,F343))/1000,0)*1000-ROUNDUP((INDEX(RAW!$K:$K,MAX(2,F343))-V343)/1000,0)*1000,0)</f>
        <v>0</v>
      </c>
      <c r="X343" s="504">
        <f>IF(AND(R343="OK",IF($B$43="전체",D343&lt;EDATE($B$3,1),IF($B$43="미정산",U343&gt;0,OR(S343=$B$3,Z343&gt;0,U343&gt;0)))),1,0)</f>
        <v>0</v>
      </c>
      <c r="Y343" s="504">
        <f>IF(X343=1,COUNTIF($X$100:X343,1),0)</f>
        <v>0</v>
      </c>
      <c r="Z343" s="526">
        <f>IF(R343="OK",SUMIFS($O$430:$O$729,$B$430:$B$729,A343,$E$430:$E$729,"&gt;="&amp;$B$3,$E$430:$E$729,"&lt;"&amp;EDATE($B$3,1)),0)</f>
        <v>0</v>
      </c>
    </row>
    <row r="344" hidden="1" outlineLevel="1">
      <c r="A344" s="504">
        <f>IF(F344="","",IF(F344&gt;0,"R"&amp;F344,""))</f>
      </c>
      <c r="B344" s="504">
        <f>IF(F344="","",IFERROR(INDEX(RAW!$F:$F,MAX(2,F344)),""))</f>
      </c>
      <c r="C344" s="522" t="n"/>
      <c r="D344" s="524">
        <f>IF(F344="","",IFERROR(INDEX(RAW!$A:$A,MAX(2,F344)),""))</f>
      </c>
      <c r="E344" s="525">
        <f>IF(F344="","",IFERROR(INDEX(RAW!$K:$K,MAX(2,F344)),0))</f>
      </c>
      <c r="F344" s="522" t="n"/>
      <c r="G344" s="504" t="inlineStr">
        <is>
          <t>신규</t>
        </is>
      </c>
      <c r="O344" s="498">
        <f>IF(LEFT(R344,2)="확인",R344,"")</f>
      </c>
      <c r="R344" s="504">
        <f>IF(A344="","",IF(C344="생활비","생활비",IF(AND(COUNTIF($A$8:$A$12,C344)=1,ISNUMBER(D344),E344&gt;0,COUNTIF($A$100:$A$399,A344)=1,IFERROR(IF(F344="",AND(LEFT(A344,1)="U",G344="월기록"),AND(F344&gt;=2,COUNTIF($F$100:$F$399,F344)=1,INDEX(RAW!$H:$H,MAX(2,F344))="지출",D344=INDEX(RAW!$A:$A,MAX(2,F344)),E344&lt;=INDEX(RAW!$K:$K,MAX(2,F344)),OR(AND(G344="기존반영",OR(A344="U003",A344="U007")),AND(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AND(OR(A344&lt;&gt;"U003",F344=356),OR(A344&lt;&gt;"U007",F344=2203),OR(G344&lt;&gt;"기존반영",A344="U003",A344="U007")))),FALSE)),"OK","확인: 사용등록")))</f>
      </c>
      <c r="S344" s="504">
        <f>IF(ISNUMBER(D344),DATE(YEAR(D344),MONTH(D344),1),0)</f>
        <v>0</v>
      </c>
      <c r="T344" s="526">
        <f>IF(R344="OK",SUMIFS($O$430:$O$729,$B$430:$B$729,A344,$E$430:$E$729,"&lt;"&amp;EDATE($B$3,1)),0)</f>
        <v>0</v>
      </c>
      <c r="U344" s="526">
        <f>IF(AND(R344="OK",D344&lt;EDATE($B$3,1),$B$3&gt;=DATE(2026,3,1)),MAX(0,E344-T344),0)</f>
        <v>0</v>
      </c>
      <c r="V344" s="526">
        <f>IFERROR(IF(AND(R344="OK",AND(F344&gt;=2,G344&lt;&gt;"기존반영",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E344,0),0)</f>
        <v>0</v>
      </c>
      <c r="W344" s="526">
        <f>IF(V344&gt;0,ROUNDUP(INDEX(RAW!$K:$K,MAX(2,F344))/1000,0)*1000-ROUNDUP((INDEX(RAW!$K:$K,MAX(2,F344))-V344)/1000,0)*1000,0)</f>
        <v>0</v>
      </c>
      <c r="X344" s="504">
        <f>IF(AND(R344="OK",IF($B$43="전체",D344&lt;EDATE($B$3,1),IF($B$43="미정산",U344&gt;0,OR(S344=$B$3,Z344&gt;0,U344&gt;0)))),1,0)</f>
        <v>0</v>
      </c>
      <c r="Y344" s="504">
        <f>IF(X344=1,COUNTIF($X$100:X344,1),0)</f>
        <v>0</v>
      </c>
      <c r="Z344" s="526">
        <f>IF(R344="OK",SUMIFS($O$430:$O$729,$B$430:$B$729,A344,$E$430:$E$729,"&gt;="&amp;$B$3,$E$430:$E$729,"&lt;"&amp;EDATE($B$3,1)),0)</f>
        <v>0</v>
      </c>
    </row>
    <row r="345" hidden="1" outlineLevel="1">
      <c r="A345" s="504">
        <f>IF(F345="","",IF(F345&gt;0,"R"&amp;F345,""))</f>
      </c>
      <c r="B345" s="504">
        <f>IF(F345="","",IFERROR(INDEX(RAW!$F:$F,MAX(2,F345)),""))</f>
      </c>
      <c r="C345" s="522" t="n"/>
      <c r="D345" s="524">
        <f>IF(F345="","",IFERROR(INDEX(RAW!$A:$A,MAX(2,F345)),""))</f>
      </c>
      <c r="E345" s="525">
        <f>IF(F345="","",IFERROR(INDEX(RAW!$K:$K,MAX(2,F345)),0))</f>
      </c>
      <c r="F345" s="522" t="n"/>
      <c r="G345" s="504" t="inlineStr">
        <is>
          <t>신규</t>
        </is>
      </c>
      <c r="O345" s="498">
        <f>IF(LEFT(R345,2)="확인",R345,"")</f>
      </c>
      <c r="R345" s="504">
        <f>IF(A345="","",IF(C345="생활비","생활비",IF(AND(COUNTIF($A$8:$A$12,C345)=1,ISNUMBER(D345),E345&gt;0,COUNTIF($A$100:$A$399,A345)=1,IFERROR(IF(F345="",AND(LEFT(A345,1)="U",G345="월기록"),AND(F345&gt;=2,COUNTIF($F$100:$F$399,F345)=1,INDEX(RAW!$H:$H,MAX(2,F345))="지출",D345=INDEX(RAW!$A:$A,MAX(2,F345)),E345&lt;=INDEX(RAW!$K:$K,MAX(2,F345)),OR(AND(G345="기존반영",OR(A345="U003",A345="U007")),AND(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AND(OR(A345&lt;&gt;"U003",F345=356),OR(A345&lt;&gt;"U007",F345=2203),OR(G345&lt;&gt;"기존반영",A345="U003",A345="U007")))),FALSE)),"OK","확인: 사용등록")))</f>
      </c>
      <c r="S345" s="504">
        <f>IF(ISNUMBER(D345),DATE(YEAR(D345),MONTH(D345),1),0)</f>
        <v>0</v>
      </c>
      <c r="T345" s="526">
        <f>IF(R345="OK",SUMIFS($O$430:$O$729,$B$430:$B$729,A345,$E$430:$E$729,"&lt;"&amp;EDATE($B$3,1)),0)</f>
        <v>0</v>
      </c>
      <c r="U345" s="526">
        <f>IF(AND(R345="OK",D345&lt;EDATE($B$3,1),$B$3&gt;=DATE(2026,3,1)),MAX(0,E345-T345),0)</f>
        <v>0</v>
      </c>
      <c r="V345" s="526">
        <f>IFERROR(IF(AND(R345="OK",AND(F345&gt;=2,G345&lt;&gt;"기존반영",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E345,0),0)</f>
        <v>0</v>
      </c>
      <c r="W345" s="526">
        <f>IF(V345&gt;0,ROUNDUP(INDEX(RAW!$K:$K,MAX(2,F345))/1000,0)*1000-ROUNDUP((INDEX(RAW!$K:$K,MAX(2,F345))-V345)/1000,0)*1000,0)</f>
        <v>0</v>
      </c>
      <c r="X345" s="504">
        <f>IF(AND(R345="OK",IF($B$43="전체",D345&lt;EDATE($B$3,1),IF($B$43="미정산",U345&gt;0,OR(S345=$B$3,Z345&gt;0,U345&gt;0)))),1,0)</f>
        <v>0</v>
      </c>
      <c r="Y345" s="504">
        <f>IF(X345=1,COUNTIF($X$100:X345,1),0)</f>
        <v>0</v>
      </c>
      <c r="Z345" s="526">
        <f>IF(R345="OK",SUMIFS($O$430:$O$729,$B$430:$B$729,A345,$E$430:$E$729,"&gt;="&amp;$B$3,$E$430:$E$729,"&lt;"&amp;EDATE($B$3,1)),0)</f>
        <v>0</v>
      </c>
    </row>
    <row r="346" hidden="1" outlineLevel="1">
      <c r="A346" s="504">
        <f>IF(F346="","",IF(F346&gt;0,"R"&amp;F346,""))</f>
      </c>
      <c r="B346" s="504">
        <f>IF(F346="","",IFERROR(INDEX(RAW!$F:$F,MAX(2,F346)),""))</f>
      </c>
      <c r="C346" s="522" t="n"/>
      <c r="D346" s="524">
        <f>IF(F346="","",IFERROR(INDEX(RAW!$A:$A,MAX(2,F346)),""))</f>
      </c>
      <c r="E346" s="525">
        <f>IF(F346="","",IFERROR(INDEX(RAW!$K:$K,MAX(2,F346)),0))</f>
      </c>
      <c r="F346" s="522" t="n"/>
      <c r="G346" s="504" t="inlineStr">
        <is>
          <t>신규</t>
        </is>
      </c>
      <c r="O346" s="498">
        <f>IF(LEFT(R346,2)="확인",R346,"")</f>
      </c>
      <c r="R346" s="504">
        <f>IF(A346="","",IF(C346="생활비","생활비",IF(AND(COUNTIF($A$8:$A$12,C346)=1,ISNUMBER(D346),E346&gt;0,COUNTIF($A$100:$A$399,A346)=1,IFERROR(IF(F346="",AND(LEFT(A346,1)="U",G346="월기록"),AND(F346&gt;=2,COUNTIF($F$100:$F$399,F346)=1,INDEX(RAW!$H:$H,MAX(2,F346))="지출",D346=INDEX(RAW!$A:$A,MAX(2,F346)),E346&lt;=INDEX(RAW!$K:$K,MAX(2,F346)),OR(AND(G346="기존반영",OR(A346="U003",A346="U007")),AND(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AND(OR(A346&lt;&gt;"U003",F346=356),OR(A346&lt;&gt;"U007",F346=2203),OR(G346&lt;&gt;"기존반영",A346="U003",A346="U007")))),FALSE)),"OK","확인: 사용등록")))</f>
      </c>
      <c r="S346" s="504">
        <f>IF(ISNUMBER(D346),DATE(YEAR(D346),MONTH(D346),1),0)</f>
        <v>0</v>
      </c>
      <c r="T346" s="526">
        <f>IF(R346="OK",SUMIFS($O$430:$O$729,$B$430:$B$729,A346,$E$430:$E$729,"&lt;"&amp;EDATE($B$3,1)),0)</f>
        <v>0</v>
      </c>
      <c r="U346" s="526">
        <f>IF(AND(R346="OK",D346&lt;EDATE($B$3,1),$B$3&gt;=DATE(2026,3,1)),MAX(0,E346-T346),0)</f>
        <v>0</v>
      </c>
      <c r="V346" s="526">
        <f>IFERROR(IF(AND(R346="OK",AND(F346&gt;=2,G346&lt;&gt;"기존반영",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E346,0),0)</f>
        <v>0</v>
      </c>
      <c r="W346" s="526">
        <f>IF(V346&gt;0,ROUNDUP(INDEX(RAW!$K:$K,MAX(2,F346))/1000,0)*1000-ROUNDUP((INDEX(RAW!$K:$K,MAX(2,F346))-V346)/1000,0)*1000,0)</f>
        <v>0</v>
      </c>
      <c r="X346" s="504">
        <f>IF(AND(R346="OK",IF($B$43="전체",D346&lt;EDATE($B$3,1),IF($B$43="미정산",U346&gt;0,OR(S346=$B$3,Z346&gt;0,U346&gt;0)))),1,0)</f>
        <v>0</v>
      </c>
      <c r="Y346" s="504">
        <f>IF(X346=1,COUNTIF($X$100:X346,1),0)</f>
        <v>0</v>
      </c>
      <c r="Z346" s="526">
        <f>IF(R346="OK",SUMIFS($O$430:$O$729,$B$430:$B$729,A346,$E$430:$E$729,"&gt;="&amp;$B$3,$E$430:$E$729,"&lt;"&amp;EDATE($B$3,1)),0)</f>
        <v>0</v>
      </c>
    </row>
    <row r="347" hidden="1" outlineLevel="1">
      <c r="A347" s="504">
        <f>IF(F347="","",IF(F347&gt;0,"R"&amp;F347,""))</f>
      </c>
      <c r="B347" s="504">
        <f>IF(F347="","",IFERROR(INDEX(RAW!$F:$F,MAX(2,F347)),""))</f>
      </c>
      <c r="C347" s="522" t="n"/>
      <c r="D347" s="524">
        <f>IF(F347="","",IFERROR(INDEX(RAW!$A:$A,MAX(2,F347)),""))</f>
      </c>
      <c r="E347" s="525">
        <f>IF(F347="","",IFERROR(INDEX(RAW!$K:$K,MAX(2,F347)),0))</f>
      </c>
      <c r="F347" s="522" t="n"/>
      <c r="G347" s="504" t="inlineStr">
        <is>
          <t>신규</t>
        </is>
      </c>
      <c r="O347" s="498">
        <f>IF(LEFT(R347,2)="확인",R347,"")</f>
      </c>
      <c r="R347" s="504">
        <f>IF(A347="","",IF(C347="생활비","생활비",IF(AND(COUNTIF($A$8:$A$12,C347)=1,ISNUMBER(D347),E347&gt;0,COUNTIF($A$100:$A$399,A347)=1,IFERROR(IF(F347="",AND(LEFT(A347,1)="U",G347="월기록"),AND(F347&gt;=2,COUNTIF($F$100:$F$399,F347)=1,INDEX(RAW!$H:$H,MAX(2,F347))="지출",D347=INDEX(RAW!$A:$A,MAX(2,F347)),E347&lt;=INDEX(RAW!$K:$K,MAX(2,F347)),OR(AND(G347="기존반영",OR(A347="U003",A347="U007")),AND(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AND(OR(A347&lt;&gt;"U003",F347=356),OR(A347&lt;&gt;"U007",F347=2203),OR(G347&lt;&gt;"기존반영",A347="U003",A347="U007")))),FALSE)),"OK","확인: 사용등록")))</f>
      </c>
      <c r="S347" s="504">
        <f>IF(ISNUMBER(D347),DATE(YEAR(D347),MONTH(D347),1),0)</f>
        <v>0</v>
      </c>
      <c r="T347" s="526">
        <f>IF(R347="OK",SUMIFS($O$430:$O$729,$B$430:$B$729,A347,$E$430:$E$729,"&lt;"&amp;EDATE($B$3,1)),0)</f>
        <v>0</v>
      </c>
      <c r="U347" s="526">
        <f>IF(AND(R347="OK",D347&lt;EDATE($B$3,1),$B$3&gt;=DATE(2026,3,1)),MAX(0,E347-T347),0)</f>
        <v>0</v>
      </c>
      <c r="V347" s="526">
        <f>IFERROR(IF(AND(R347="OK",AND(F347&gt;=2,G347&lt;&gt;"기존반영",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E347,0),0)</f>
        <v>0</v>
      </c>
      <c r="W347" s="526">
        <f>IF(V347&gt;0,ROUNDUP(INDEX(RAW!$K:$K,MAX(2,F347))/1000,0)*1000-ROUNDUP((INDEX(RAW!$K:$K,MAX(2,F347))-V347)/1000,0)*1000,0)</f>
        <v>0</v>
      </c>
      <c r="X347" s="504">
        <f>IF(AND(R347="OK",IF($B$43="전체",D347&lt;EDATE($B$3,1),IF($B$43="미정산",U347&gt;0,OR(S347=$B$3,Z347&gt;0,U347&gt;0)))),1,0)</f>
        <v>0</v>
      </c>
      <c r="Y347" s="504">
        <f>IF(X347=1,COUNTIF($X$100:X347,1),0)</f>
        <v>0</v>
      </c>
      <c r="Z347" s="526">
        <f>IF(R347="OK",SUMIFS($O$430:$O$729,$B$430:$B$729,A347,$E$430:$E$729,"&gt;="&amp;$B$3,$E$430:$E$729,"&lt;"&amp;EDATE($B$3,1)),0)</f>
        <v>0</v>
      </c>
    </row>
    <row r="348" hidden="1" outlineLevel="1">
      <c r="A348" s="504">
        <f>IF(F348="","",IF(F348&gt;0,"R"&amp;F348,""))</f>
      </c>
      <c r="B348" s="504">
        <f>IF(F348="","",IFERROR(INDEX(RAW!$F:$F,MAX(2,F348)),""))</f>
      </c>
      <c r="C348" s="522" t="n"/>
      <c r="D348" s="524">
        <f>IF(F348="","",IFERROR(INDEX(RAW!$A:$A,MAX(2,F348)),""))</f>
      </c>
      <c r="E348" s="525">
        <f>IF(F348="","",IFERROR(INDEX(RAW!$K:$K,MAX(2,F348)),0))</f>
      </c>
      <c r="F348" s="522" t="n"/>
      <c r="G348" s="504" t="inlineStr">
        <is>
          <t>신규</t>
        </is>
      </c>
      <c r="O348" s="498">
        <f>IF(LEFT(R348,2)="확인",R348,"")</f>
      </c>
      <c r="R348" s="504">
        <f>IF(A348="","",IF(C348="생활비","생활비",IF(AND(COUNTIF($A$8:$A$12,C348)=1,ISNUMBER(D348),E348&gt;0,COUNTIF($A$100:$A$399,A348)=1,IFERROR(IF(F348="",AND(LEFT(A348,1)="U",G348="월기록"),AND(F348&gt;=2,COUNTIF($F$100:$F$399,F348)=1,INDEX(RAW!$H:$H,MAX(2,F348))="지출",D348=INDEX(RAW!$A:$A,MAX(2,F348)),E348&lt;=INDEX(RAW!$K:$K,MAX(2,F348)),OR(AND(G348="기존반영",OR(A348="U003",A348="U007")),AND(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AND(OR(A348&lt;&gt;"U003",F348=356),OR(A348&lt;&gt;"U007",F348=2203),OR(G348&lt;&gt;"기존반영",A348="U003",A348="U007")))),FALSE)),"OK","확인: 사용등록")))</f>
      </c>
      <c r="S348" s="504">
        <f>IF(ISNUMBER(D348),DATE(YEAR(D348),MONTH(D348),1),0)</f>
        <v>0</v>
      </c>
      <c r="T348" s="526">
        <f>IF(R348="OK",SUMIFS($O$430:$O$729,$B$430:$B$729,A348,$E$430:$E$729,"&lt;"&amp;EDATE($B$3,1)),0)</f>
        <v>0</v>
      </c>
      <c r="U348" s="526">
        <f>IF(AND(R348="OK",D348&lt;EDATE($B$3,1),$B$3&gt;=DATE(2026,3,1)),MAX(0,E348-T348),0)</f>
        <v>0</v>
      </c>
      <c r="V348" s="526">
        <f>IFERROR(IF(AND(R348="OK",AND(F348&gt;=2,G348&lt;&gt;"기존반영",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E348,0),0)</f>
        <v>0</v>
      </c>
      <c r="W348" s="526">
        <f>IF(V348&gt;0,ROUNDUP(INDEX(RAW!$K:$K,MAX(2,F348))/1000,0)*1000-ROUNDUP((INDEX(RAW!$K:$K,MAX(2,F348))-V348)/1000,0)*1000,0)</f>
        <v>0</v>
      </c>
      <c r="X348" s="504">
        <f>IF(AND(R348="OK",IF($B$43="전체",D348&lt;EDATE($B$3,1),IF($B$43="미정산",U348&gt;0,OR(S348=$B$3,Z348&gt;0,U348&gt;0)))),1,0)</f>
        <v>0</v>
      </c>
      <c r="Y348" s="504">
        <f>IF(X348=1,COUNTIF($X$100:X348,1),0)</f>
        <v>0</v>
      </c>
      <c r="Z348" s="526">
        <f>IF(R348="OK",SUMIFS($O$430:$O$729,$B$430:$B$729,A348,$E$430:$E$729,"&gt;="&amp;$B$3,$E$430:$E$729,"&lt;"&amp;EDATE($B$3,1)),0)</f>
        <v>0</v>
      </c>
    </row>
    <row r="349" hidden="1" outlineLevel="1">
      <c r="A349" s="504">
        <f>IF(F349="","",IF(F349&gt;0,"R"&amp;F349,""))</f>
      </c>
      <c r="B349" s="504">
        <f>IF(F349="","",IFERROR(INDEX(RAW!$F:$F,MAX(2,F349)),""))</f>
      </c>
      <c r="C349" s="522" t="n"/>
      <c r="D349" s="524">
        <f>IF(F349="","",IFERROR(INDEX(RAW!$A:$A,MAX(2,F349)),""))</f>
      </c>
      <c r="E349" s="525">
        <f>IF(F349="","",IFERROR(INDEX(RAW!$K:$K,MAX(2,F349)),0))</f>
      </c>
      <c r="F349" s="522" t="n"/>
      <c r="G349" s="504" t="inlineStr">
        <is>
          <t>신규</t>
        </is>
      </c>
      <c r="O349" s="498">
        <f>IF(LEFT(R349,2)="확인",R349,"")</f>
      </c>
      <c r="R349" s="504">
        <f>IF(A349="","",IF(C349="생활비","생활비",IF(AND(COUNTIF($A$8:$A$12,C349)=1,ISNUMBER(D349),E349&gt;0,COUNTIF($A$100:$A$399,A349)=1,IFERROR(IF(F349="",AND(LEFT(A349,1)="U",G349="월기록"),AND(F349&gt;=2,COUNTIF($F$100:$F$399,F349)=1,INDEX(RAW!$H:$H,MAX(2,F349))="지출",D349=INDEX(RAW!$A:$A,MAX(2,F349)),E349&lt;=INDEX(RAW!$K:$K,MAX(2,F349)),OR(AND(G349="기존반영",OR(A349="U003",A349="U007")),AND(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AND(OR(A349&lt;&gt;"U003",F349=356),OR(A349&lt;&gt;"U007",F349=2203),OR(G349&lt;&gt;"기존반영",A349="U003",A349="U007")))),FALSE)),"OK","확인: 사용등록")))</f>
      </c>
      <c r="S349" s="504">
        <f>IF(ISNUMBER(D349),DATE(YEAR(D349),MONTH(D349),1),0)</f>
        <v>0</v>
      </c>
      <c r="T349" s="526">
        <f>IF(R349="OK",SUMIFS($O$430:$O$729,$B$430:$B$729,A349,$E$430:$E$729,"&lt;"&amp;EDATE($B$3,1)),0)</f>
        <v>0</v>
      </c>
      <c r="U349" s="526">
        <f>IF(AND(R349="OK",D349&lt;EDATE($B$3,1),$B$3&gt;=DATE(2026,3,1)),MAX(0,E349-T349),0)</f>
        <v>0</v>
      </c>
      <c r="V349" s="526">
        <f>IFERROR(IF(AND(R349="OK",AND(F349&gt;=2,G349&lt;&gt;"기존반영",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E349,0),0)</f>
        <v>0</v>
      </c>
      <c r="W349" s="526">
        <f>IF(V349&gt;0,ROUNDUP(INDEX(RAW!$K:$K,MAX(2,F349))/1000,0)*1000-ROUNDUP((INDEX(RAW!$K:$K,MAX(2,F349))-V349)/1000,0)*1000,0)</f>
        <v>0</v>
      </c>
      <c r="X349" s="504">
        <f>IF(AND(R349="OK",IF($B$43="전체",D349&lt;EDATE($B$3,1),IF($B$43="미정산",U349&gt;0,OR(S349=$B$3,Z349&gt;0,U349&gt;0)))),1,0)</f>
        <v>0</v>
      </c>
      <c r="Y349" s="504">
        <f>IF(X349=1,COUNTIF($X$100:X349,1),0)</f>
        <v>0</v>
      </c>
      <c r="Z349" s="526">
        <f>IF(R349="OK",SUMIFS($O$430:$O$729,$B$430:$B$729,A349,$E$430:$E$729,"&gt;="&amp;$B$3,$E$430:$E$729,"&lt;"&amp;EDATE($B$3,1)),0)</f>
        <v>0</v>
      </c>
    </row>
    <row r="350" hidden="1" outlineLevel="1">
      <c r="A350" s="504">
        <f>IF(F350="","",IF(F350&gt;0,"R"&amp;F350,""))</f>
      </c>
      <c r="B350" s="504">
        <f>IF(F350="","",IFERROR(INDEX(RAW!$F:$F,MAX(2,F350)),""))</f>
      </c>
      <c r="C350" s="522" t="n"/>
      <c r="D350" s="524">
        <f>IF(F350="","",IFERROR(INDEX(RAW!$A:$A,MAX(2,F350)),""))</f>
      </c>
      <c r="E350" s="525">
        <f>IF(F350="","",IFERROR(INDEX(RAW!$K:$K,MAX(2,F350)),0))</f>
      </c>
      <c r="F350" s="522" t="n"/>
      <c r="G350" s="504" t="inlineStr">
        <is>
          <t>신규</t>
        </is>
      </c>
      <c r="O350" s="498">
        <f>IF(LEFT(R350,2)="확인",R350,"")</f>
      </c>
      <c r="R350" s="504">
        <f>IF(A350="","",IF(C350="생활비","생활비",IF(AND(COUNTIF($A$8:$A$12,C350)=1,ISNUMBER(D350),E350&gt;0,COUNTIF($A$100:$A$399,A350)=1,IFERROR(IF(F350="",AND(LEFT(A350,1)="U",G350="월기록"),AND(F350&gt;=2,COUNTIF($F$100:$F$399,F350)=1,INDEX(RAW!$H:$H,MAX(2,F350))="지출",D350=INDEX(RAW!$A:$A,MAX(2,F350)),E350&lt;=INDEX(RAW!$K:$K,MAX(2,F350)),OR(AND(G350="기존반영",OR(A350="U003",A350="U007")),AND(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AND(OR(A350&lt;&gt;"U003",F350=356),OR(A350&lt;&gt;"U007",F350=2203),OR(G350&lt;&gt;"기존반영",A350="U003",A350="U007")))),FALSE)),"OK","확인: 사용등록")))</f>
      </c>
      <c r="S350" s="504">
        <f>IF(ISNUMBER(D350),DATE(YEAR(D350),MONTH(D350),1),0)</f>
        <v>0</v>
      </c>
      <c r="T350" s="526">
        <f>IF(R350="OK",SUMIFS($O$430:$O$729,$B$430:$B$729,A350,$E$430:$E$729,"&lt;"&amp;EDATE($B$3,1)),0)</f>
        <v>0</v>
      </c>
      <c r="U350" s="526">
        <f>IF(AND(R350="OK",D350&lt;EDATE($B$3,1),$B$3&gt;=DATE(2026,3,1)),MAX(0,E350-T350),0)</f>
        <v>0</v>
      </c>
      <c r="V350" s="526">
        <f>IFERROR(IF(AND(R350="OK",AND(F350&gt;=2,G350&lt;&gt;"기존반영",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E350,0),0)</f>
        <v>0</v>
      </c>
      <c r="W350" s="526">
        <f>IF(V350&gt;0,ROUNDUP(INDEX(RAW!$K:$K,MAX(2,F350))/1000,0)*1000-ROUNDUP((INDEX(RAW!$K:$K,MAX(2,F350))-V350)/1000,0)*1000,0)</f>
        <v>0</v>
      </c>
      <c r="X350" s="504">
        <f>IF(AND(R350="OK",IF($B$43="전체",D350&lt;EDATE($B$3,1),IF($B$43="미정산",U350&gt;0,OR(S350=$B$3,Z350&gt;0,U350&gt;0)))),1,0)</f>
        <v>0</v>
      </c>
      <c r="Y350" s="504">
        <f>IF(X350=1,COUNTIF($X$100:X350,1),0)</f>
        <v>0</v>
      </c>
      <c r="Z350" s="526">
        <f>IF(R350="OK",SUMIFS($O$430:$O$729,$B$430:$B$729,A350,$E$430:$E$729,"&gt;="&amp;$B$3,$E$430:$E$729,"&lt;"&amp;EDATE($B$3,1)),0)</f>
        <v>0</v>
      </c>
    </row>
    <row r="351" hidden="1" outlineLevel="1">
      <c r="A351" s="504">
        <f>IF(F351="","",IF(F351&gt;0,"R"&amp;F351,""))</f>
      </c>
      <c r="B351" s="504">
        <f>IF(F351="","",IFERROR(INDEX(RAW!$F:$F,MAX(2,F351)),""))</f>
      </c>
      <c r="C351" s="522" t="n"/>
      <c r="D351" s="524">
        <f>IF(F351="","",IFERROR(INDEX(RAW!$A:$A,MAX(2,F351)),""))</f>
      </c>
      <c r="E351" s="525">
        <f>IF(F351="","",IFERROR(INDEX(RAW!$K:$K,MAX(2,F351)),0))</f>
      </c>
      <c r="F351" s="522" t="n"/>
      <c r="G351" s="504" t="inlineStr">
        <is>
          <t>신규</t>
        </is>
      </c>
      <c r="O351" s="498">
        <f>IF(LEFT(R351,2)="확인",R351,"")</f>
      </c>
      <c r="R351" s="504">
        <f>IF(A351="","",IF(C351="생활비","생활비",IF(AND(COUNTIF($A$8:$A$12,C351)=1,ISNUMBER(D351),E351&gt;0,COUNTIF($A$100:$A$399,A351)=1,IFERROR(IF(F351="",AND(LEFT(A351,1)="U",G351="월기록"),AND(F351&gt;=2,COUNTIF($F$100:$F$399,F351)=1,INDEX(RAW!$H:$H,MAX(2,F351))="지출",D351=INDEX(RAW!$A:$A,MAX(2,F351)),E351&lt;=INDEX(RAW!$K:$K,MAX(2,F351)),OR(AND(G351="기존반영",OR(A351="U003",A351="U007")),AND(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AND(OR(A351&lt;&gt;"U003",F351=356),OR(A351&lt;&gt;"U007",F351=2203),OR(G351&lt;&gt;"기존반영",A351="U003",A351="U007")))),FALSE)),"OK","확인: 사용등록")))</f>
      </c>
      <c r="S351" s="504">
        <f>IF(ISNUMBER(D351),DATE(YEAR(D351),MONTH(D351),1),0)</f>
        <v>0</v>
      </c>
      <c r="T351" s="526">
        <f>IF(R351="OK",SUMIFS($O$430:$O$729,$B$430:$B$729,A351,$E$430:$E$729,"&lt;"&amp;EDATE($B$3,1)),0)</f>
        <v>0</v>
      </c>
      <c r="U351" s="526">
        <f>IF(AND(R351="OK",D351&lt;EDATE($B$3,1),$B$3&gt;=DATE(2026,3,1)),MAX(0,E351-T351),0)</f>
        <v>0</v>
      </c>
      <c r="V351" s="526">
        <f>IFERROR(IF(AND(R351="OK",AND(F351&gt;=2,G351&lt;&gt;"기존반영",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E351,0),0)</f>
        <v>0</v>
      </c>
      <c r="W351" s="526">
        <f>IF(V351&gt;0,ROUNDUP(INDEX(RAW!$K:$K,MAX(2,F351))/1000,0)*1000-ROUNDUP((INDEX(RAW!$K:$K,MAX(2,F351))-V351)/1000,0)*1000,0)</f>
        <v>0</v>
      </c>
      <c r="X351" s="504">
        <f>IF(AND(R351="OK",IF($B$43="전체",D351&lt;EDATE($B$3,1),IF($B$43="미정산",U351&gt;0,OR(S351=$B$3,Z351&gt;0,U351&gt;0)))),1,0)</f>
        <v>0</v>
      </c>
      <c r="Y351" s="504">
        <f>IF(X351=1,COUNTIF($X$100:X351,1),0)</f>
        <v>0</v>
      </c>
      <c r="Z351" s="526">
        <f>IF(R351="OK",SUMIFS($O$430:$O$729,$B$430:$B$729,A351,$E$430:$E$729,"&gt;="&amp;$B$3,$E$430:$E$729,"&lt;"&amp;EDATE($B$3,1)),0)</f>
        <v>0</v>
      </c>
    </row>
    <row r="352" hidden="1" outlineLevel="1">
      <c r="A352" s="504">
        <f>IF(F352="","",IF(F352&gt;0,"R"&amp;F352,""))</f>
      </c>
      <c r="B352" s="504">
        <f>IF(F352="","",IFERROR(INDEX(RAW!$F:$F,MAX(2,F352)),""))</f>
      </c>
      <c r="C352" s="522" t="n"/>
      <c r="D352" s="524">
        <f>IF(F352="","",IFERROR(INDEX(RAW!$A:$A,MAX(2,F352)),""))</f>
      </c>
      <c r="E352" s="525">
        <f>IF(F352="","",IFERROR(INDEX(RAW!$K:$K,MAX(2,F352)),0))</f>
      </c>
      <c r="F352" s="522" t="n"/>
      <c r="G352" s="504" t="inlineStr">
        <is>
          <t>신규</t>
        </is>
      </c>
      <c r="O352" s="498">
        <f>IF(LEFT(R352,2)="확인",R352,"")</f>
      </c>
      <c r="R352" s="504">
        <f>IF(A352="","",IF(C352="생활비","생활비",IF(AND(COUNTIF($A$8:$A$12,C352)=1,ISNUMBER(D352),E352&gt;0,COUNTIF($A$100:$A$399,A352)=1,IFERROR(IF(F352="",AND(LEFT(A352,1)="U",G352="월기록"),AND(F352&gt;=2,COUNTIF($F$100:$F$399,F352)=1,INDEX(RAW!$H:$H,MAX(2,F352))="지출",D352=INDEX(RAW!$A:$A,MAX(2,F352)),E352&lt;=INDEX(RAW!$K:$K,MAX(2,F352)),OR(AND(G352="기존반영",OR(A352="U003",A352="U007")),AND(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AND(OR(A352&lt;&gt;"U003",F352=356),OR(A352&lt;&gt;"U007",F352=2203),OR(G352&lt;&gt;"기존반영",A352="U003",A352="U007")))),FALSE)),"OK","확인: 사용등록")))</f>
      </c>
      <c r="S352" s="504">
        <f>IF(ISNUMBER(D352),DATE(YEAR(D352),MONTH(D352),1),0)</f>
        <v>0</v>
      </c>
      <c r="T352" s="526">
        <f>IF(R352="OK",SUMIFS($O$430:$O$729,$B$430:$B$729,A352,$E$430:$E$729,"&lt;"&amp;EDATE($B$3,1)),0)</f>
        <v>0</v>
      </c>
      <c r="U352" s="526">
        <f>IF(AND(R352="OK",D352&lt;EDATE($B$3,1),$B$3&gt;=DATE(2026,3,1)),MAX(0,E352-T352),0)</f>
        <v>0</v>
      </c>
      <c r="V352" s="526">
        <f>IFERROR(IF(AND(R352="OK",AND(F352&gt;=2,G352&lt;&gt;"기존반영",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E352,0),0)</f>
        <v>0</v>
      </c>
      <c r="W352" s="526">
        <f>IF(V352&gt;0,ROUNDUP(INDEX(RAW!$K:$K,MAX(2,F352))/1000,0)*1000-ROUNDUP((INDEX(RAW!$K:$K,MAX(2,F352))-V352)/1000,0)*1000,0)</f>
        <v>0</v>
      </c>
      <c r="X352" s="504">
        <f>IF(AND(R352="OK",IF($B$43="전체",D352&lt;EDATE($B$3,1),IF($B$43="미정산",U352&gt;0,OR(S352=$B$3,Z352&gt;0,U352&gt;0)))),1,0)</f>
        <v>0</v>
      </c>
      <c r="Y352" s="504">
        <f>IF(X352=1,COUNTIF($X$100:X352,1),0)</f>
        <v>0</v>
      </c>
      <c r="Z352" s="526">
        <f>IF(R352="OK",SUMIFS($O$430:$O$729,$B$430:$B$729,A352,$E$430:$E$729,"&gt;="&amp;$B$3,$E$430:$E$729,"&lt;"&amp;EDATE($B$3,1)),0)</f>
        <v>0</v>
      </c>
    </row>
    <row r="353" hidden="1" outlineLevel="1">
      <c r="A353" s="504">
        <f>IF(F353="","",IF(F353&gt;0,"R"&amp;F353,""))</f>
      </c>
      <c r="B353" s="504">
        <f>IF(F353="","",IFERROR(INDEX(RAW!$F:$F,MAX(2,F353)),""))</f>
      </c>
      <c r="C353" s="522" t="n"/>
      <c r="D353" s="524">
        <f>IF(F353="","",IFERROR(INDEX(RAW!$A:$A,MAX(2,F353)),""))</f>
      </c>
      <c r="E353" s="525">
        <f>IF(F353="","",IFERROR(INDEX(RAW!$K:$K,MAX(2,F353)),0))</f>
      </c>
      <c r="F353" s="522" t="n"/>
      <c r="G353" s="504" t="inlineStr">
        <is>
          <t>신규</t>
        </is>
      </c>
      <c r="O353" s="498">
        <f>IF(LEFT(R353,2)="확인",R353,"")</f>
      </c>
      <c r="R353" s="504">
        <f>IF(A353="","",IF(C353="생활비","생활비",IF(AND(COUNTIF($A$8:$A$12,C353)=1,ISNUMBER(D353),E353&gt;0,COUNTIF($A$100:$A$399,A353)=1,IFERROR(IF(F353="",AND(LEFT(A353,1)="U",G353="월기록"),AND(F353&gt;=2,COUNTIF($F$100:$F$399,F353)=1,INDEX(RAW!$H:$H,MAX(2,F353))="지출",D353=INDEX(RAW!$A:$A,MAX(2,F353)),E353&lt;=INDEX(RAW!$K:$K,MAX(2,F353)),OR(AND(G353="기존반영",OR(A353="U003",A353="U007")),AND(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AND(OR(A353&lt;&gt;"U003",F353=356),OR(A353&lt;&gt;"U007",F353=2203),OR(G353&lt;&gt;"기존반영",A353="U003",A353="U007")))),FALSE)),"OK","확인: 사용등록")))</f>
      </c>
      <c r="S353" s="504">
        <f>IF(ISNUMBER(D353),DATE(YEAR(D353),MONTH(D353),1),0)</f>
        <v>0</v>
      </c>
      <c r="T353" s="526">
        <f>IF(R353="OK",SUMIFS($O$430:$O$729,$B$430:$B$729,A353,$E$430:$E$729,"&lt;"&amp;EDATE($B$3,1)),0)</f>
        <v>0</v>
      </c>
      <c r="U353" s="526">
        <f>IF(AND(R353="OK",D353&lt;EDATE($B$3,1),$B$3&gt;=DATE(2026,3,1)),MAX(0,E353-T353),0)</f>
        <v>0</v>
      </c>
      <c r="V353" s="526">
        <f>IFERROR(IF(AND(R353="OK",AND(F353&gt;=2,G353&lt;&gt;"기존반영",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E353,0),0)</f>
        <v>0</v>
      </c>
      <c r="W353" s="526">
        <f>IF(V353&gt;0,ROUNDUP(INDEX(RAW!$K:$K,MAX(2,F353))/1000,0)*1000-ROUNDUP((INDEX(RAW!$K:$K,MAX(2,F353))-V353)/1000,0)*1000,0)</f>
        <v>0</v>
      </c>
      <c r="X353" s="504">
        <f>IF(AND(R353="OK",IF($B$43="전체",D353&lt;EDATE($B$3,1),IF($B$43="미정산",U353&gt;0,OR(S353=$B$3,Z353&gt;0,U353&gt;0)))),1,0)</f>
        <v>0</v>
      </c>
      <c r="Y353" s="504">
        <f>IF(X353=1,COUNTIF($X$100:X353,1),0)</f>
        <v>0</v>
      </c>
      <c r="Z353" s="526">
        <f>IF(R353="OK",SUMIFS($O$430:$O$729,$B$430:$B$729,A353,$E$430:$E$729,"&gt;="&amp;$B$3,$E$430:$E$729,"&lt;"&amp;EDATE($B$3,1)),0)</f>
        <v>0</v>
      </c>
    </row>
    <row r="354" hidden="1" outlineLevel="1">
      <c r="A354" s="504">
        <f>IF(F354="","",IF(F354&gt;0,"R"&amp;F354,""))</f>
      </c>
      <c r="B354" s="504">
        <f>IF(F354="","",IFERROR(INDEX(RAW!$F:$F,MAX(2,F354)),""))</f>
      </c>
      <c r="C354" s="522" t="n"/>
      <c r="D354" s="524">
        <f>IF(F354="","",IFERROR(INDEX(RAW!$A:$A,MAX(2,F354)),""))</f>
      </c>
      <c r="E354" s="525">
        <f>IF(F354="","",IFERROR(INDEX(RAW!$K:$K,MAX(2,F354)),0))</f>
      </c>
      <c r="F354" s="522" t="n"/>
      <c r="G354" s="504" t="inlineStr">
        <is>
          <t>신규</t>
        </is>
      </c>
      <c r="O354" s="498">
        <f>IF(LEFT(R354,2)="확인",R354,"")</f>
      </c>
      <c r="R354" s="504">
        <f>IF(A354="","",IF(C354="생활비","생활비",IF(AND(COUNTIF($A$8:$A$12,C354)=1,ISNUMBER(D354),E354&gt;0,COUNTIF($A$100:$A$399,A354)=1,IFERROR(IF(F354="",AND(LEFT(A354,1)="U",G354="월기록"),AND(F354&gt;=2,COUNTIF($F$100:$F$399,F354)=1,INDEX(RAW!$H:$H,MAX(2,F354))="지출",D354=INDEX(RAW!$A:$A,MAX(2,F354)),E354&lt;=INDEX(RAW!$K:$K,MAX(2,F354)),OR(AND(G354="기존반영",OR(A354="U003",A354="U007")),AND(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AND(OR(A354&lt;&gt;"U003",F354=356),OR(A354&lt;&gt;"U007",F354=2203),OR(G354&lt;&gt;"기존반영",A354="U003",A354="U007")))),FALSE)),"OK","확인: 사용등록")))</f>
      </c>
      <c r="S354" s="504">
        <f>IF(ISNUMBER(D354),DATE(YEAR(D354),MONTH(D354),1),0)</f>
        <v>0</v>
      </c>
      <c r="T354" s="526">
        <f>IF(R354="OK",SUMIFS($O$430:$O$729,$B$430:$B$729,A354,$E$430:$E$729,"&lt;"&amp;EDATE($B$3,1)),0)</f>
        <v>0</v>
      </c>
      <c r="U354" s="526">
        <f>IF(AND(R354="OK",D354&lt;EDATE($B$3,1),$B$3&gt;=DATE(2026,3,1)),MAX(0,E354-T354),0)</f>
        <v>0</v>
      </c>
      <c r="V354" s="526">
        <f>IFERROR(IF(AND(R354="OK",AND(F354&gt;=2,G354&lt;&gt;"기존반영",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E354,0),0)</f>
        <v>0</v>
      </c>
      <c r="W354" s="526">
        <f>IF(V354&gt;0,ROUNDUP(INDEX(RAW!$K:$K,MAX(2,F354))/1000,0)*1000-ROUNDUP((INDEX(RAW!$K:$K,MAX(2,F354))-V354)/1000,0)*1000,0)</f>
        <v>0</v>
      </c>
      <c r="X354" s="504">
        <f>IF(AND(R354="OK",IF($B$43="전체",D354&lt;EDATE($B$3,1),IF($B$43="미정산",U354&gt;0,OR(S354=$B$3,Z354&gt;0,U354&gt;0)))),1,0)</f>
        <v>0</v>
      </c>
      <c r="Y354" s="504">
        <f>IF(X354=1,COUNTIF($X$100:X354,1),0)</f>
        <v>0</v>
      </c>
      <c r="Z354" s="526">
        <f>IF(R354="OK",SUMIFS($O$430:$O$729,$B$430:$B$729,A354,$E$430:$E$729,"&gt;="&amp;$B$3,$E$430:$E$729,"&lt;"&amp;EDATE($B$3,1)),0)</f>
        <v>0</v>
      </c>
    </row>
    <row r="355" hidden="1" outlineLevel="1">
      <c r="A355" s="504">
        <f>IF(F355="","",IF(F355&gt;0,"R"&amp;F355,""))</f>
      </c>
      <c r="B355" s="504">
        <f>IF(F355="","",IFERROR(INDEX(RAW!$F:$F,MAX(2,F355)),""))</f>
      </c>
      <c r="C355" s="522" t="n"/>
      <c r="D355" s="524">
        <f>IF(F355="","",IFERROR(INDEX(RAW!$A:$A,MAX(2,F355)),""))</f>
      </c>
      <c r="E355" s="525">
        <f>IF(F355="","",IFERROR(INDEX(RAW!$K:$K,MAX(2,F355)),0))</f>
      </c>
      <c r="F355" s="522" t="n"/>
      <c r="G355" s="504" t="inlineStr">
        <is>
          <t>신규</t>
        </is>
      </c>
      <c r="O355" s="498">
        <f>IF(LEFT(R355,2)="확인",R355,"")</f>
      </c>
      <c r="R355" s="504">
        <f>IF(A355="","",IF(C355="생활비","생활비",IF(AND(COUNTIF($A$8:$A$12,C355)=1,ISNUMBER(D355),E355&gt;0,COUNTIF($A$100:$A$399,A355)=1,IFERROR(IF(F355="",AND(LEFT(A355,1)="U",G355="월기록"),AND(F355&gt;=2,COUNTIF($F$100:$F$399,F355)=1,INDEX(RAW!$H:$H,MAX(2,F355))="지출",D355=INDEX(RAW!$A:$A,MAX(2,F355)),E355&lt;=INDEX(RAW!$K:$K,MAX(2,F355)),OR(AND(G355="기존반영",OR(A355="U003",A355="U007")),AND(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AND(OR(A355&lt;&gt;"U003",F355=356),OR(A355&lt;&gt;"U007",F355=2203),OR(G355&lt;&gt;"기존반영",A355="U003",A355="U007")))),FALSE)),"OK","확인: 사용등록")))</f>
      </c>
      <c r="S355" s="504">
        <f>IF(ISNUMBER(D355),DATE(YEAR(D355),MONTH(D355),1),0)</f>
        <v>0</v>
      </c>
      <c r="T355" s="526">
        <f>IF(R355="OK",SUMIFS($O$430:$O$729,$B$430:$B$729,A355,$E$430:$E$729,"&lt;"&amp;EDATE($B$3,1)),0)</f>
        <v>0</v>
      </c>
      <c r="U355" s="526">
        <f>IF(AND(R355="OK",D355&lt;EDATE($B$3,1),$B$3&gt;=DATE(2026,3,1)),MAX(0,E355-T355),0)</f>
        <v>0</v>
      </c>
      <c r="V355" s="526">
        <f>IFERROR(IF(AND(R355="OK",AND(F355&gt;=2,G355&lt;&gt;"기존반영",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E355,0),0)</f>
        <v>0</v>
      </c>
      <c r="W355" s="526">
        <f>IF(V355&gt;0,ROUNDUP(INDEX(RAW!$K:$K,MAX(2,F355))/1000,0)*1000-ROUNDUP((INDEX(RAW!$K:$K,MAX(2,F355))-V355)/1000,0)*1000,0)</f>
        <v>0</v>
      </c>
      <c r="X355" s="504">
        <f>IF(AND(R355="OK",IF($B$43="전체",D355&lt;EDATE($B$3,1),IF($B$43="미정산",U355&gt;0,OR(S355=$B$3,Z355&gt;0,U355&gt;0)))),1,0)</f>
        <v>0</v>
      </c>
      <c r="Y355" s="504">
        <f>IF(X355=1,COUNTIF($X$100:X355,1),0)</f>
        <v>0</v>
      </c>
      <c r="Z355" s="526">
        <f>IF(R355="OK",SUMIFS($O$430:$O$729,$B$430:$B$729,A355,$E$430:$E$729,"&gt;="&amp;$B$3,$E$430:$E$729,"&lt;"&amp;EDATE($B$3,1)),0)</f>
        <v>0</v>
      </c>
    </row>
    <row r="356" hidden="1" outlineLevel="1">
      <c r="A356" s="504">
        <f>IF(F356="","",IF(F356&gt;0,"R"&amp;F356,""))</f>
      </c>
      <c r="B356" s="504">
        <f>IF(F356="","",IFERROR(INDEX(RAW!$F:$F,MAX(2,F356)),""))</f>
      </c>
      <c r="C356" s="522" t="n"/>
      <c r="D356" s="524">
        <f>IF(F356="","",IFERROR(INDEX(RAW!$A:$A,MAX(2,F356)),""))</f>
      </c>
      <c r="E356" s="525">
        <f>IF(F356="","",IFERROR(INDEX(RAW!$K:$K,MAX(2,F356)),0))</f>
      </c>
      <c r="F356" s="522" t="n"/>
      <c r="G356" s="504" t="inlineStr">
        <is>
          <t>신규</t>
        </is>
      </c>
      <c r="O356" s="498">
        <f>IF(LEFT(R356,2)="확인",R356,"")</f>
      </c>
      <c r="R356" s="504">
        <f>IF(A356="","",IF(C356="생활비","생활비",IF(AND(COUNTIF($A$8:$A$12,C356)=1,ISNUMBER(D356),E356&gt;0,COUNTIF($A$100:$A$399,A356)=1,IFERROR(IF(F356="",AND(LEFT(A356,1)="U",G356="월기록"),AND(F356&gt;=2,COUNTIF($F$100:$F$399,F356)=1,INDEX(RAW!$H:$H,MAX(2,F356))="지출",D356=INDEX(RAW!$A:$A,MAX(2,F356)),E356&lt;=INDEX(RAW!$K:$K,MAX(2,F356)),OR(AND(G356="기존반영",OR(A356="U003",A356="U007")),AND(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AND(OR(A356&lt;&gt;"U003",F356=356),OR(A356&lt;&gt;"U007",F356=2203),OR(G356&lt;&gt;"기존반영",A356="U003",A356="U007")))),FALSE)),"OK","확인: 사용등록")))</f>
      </c>
      <c r="S356" s="504">
        <f>IF(ISNUMBER(D356),DATE(YEAR(D356),MONTH(D356),1),0)</f>
        <v>0</v>
      </c>
      <c r="T356" s="526">
        <f>IF(R356="OK",SUMIFS($O$430:$O$729,$B$430:$B$729,A356,$E$430:$E$729,"&lt;"&amp;EDATE($B$3,1)),0)</f>
        <v>0</v>
      </c>
      <c r="U356" s="526">
        <f>IF(AND(R356="OK",D356&lt;EDATE($B$3,1),$B$3&gt;=DATE(2026,3,1)),MAX(0,E356-T356),0)</f>
        <v>0</v>
      </c>
      <c r="V356" s="526">
        <f>IFERROR(IF(AND(R356="OK",AND(F356&gt;=2,G356&lt;&gt;"기존반영",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E356,0),0)</f>
        <v>0</v>
      </c>
      <c r="W356" s="526">
        <f>IF(V356&gt;0,ROUNDUP(INDEX(RAW!$K:$K,MAX(2,F356))/1000,0)*1000-ROUNDUP((INDEX(RAW!$K:$K,MAX(2,F356))-V356)/1000,0)*1000,0)</f>
        <v>0</v>
      </c>
      <c r="X356" s="504">
        <f>IF(AND(R356="OK",IF($B$43="전체",D356&lt;EDATE($B$3,1),IF($B$43="미정산",U356&gt;0,OR(S356=$B$3,Z356&gt;0,U356&gt;0)))),1,0)</f>
        <v>0</v>
      </c>
      <c r="Y356" s="504">
        <f>IF(X356=1,COUNTIF($X$100:X356,1),0)</f>
        <v>0</v>
      </c>
      <c r="Z356" s="526">
        <f>IF(R356="OK",SUMIFS($O$430:$O$729,$B$430:$B$729,A356,$E$430:$E$729,"&gt;="&amp;$B$3,$E$430:$E$729,"&lt;"&amp;EDATE($B$3,1)),0)</f>
        <v>0</v>
      </c>
    </row>
    <row r="357" hidden="1" outlineLevel="1">
      <c r="A357" s="504">
        <f>IF(F357="","",IF(F357&gt;0,"R"&amp;F357,""))</f>
      </c>
      <c r="B357" s="504">
        <f>IF(F357="","",IFERROR(INDEX(RAW!$F:$F,MAX(2,F357)),""))</f>
      </c>
      <c r="C357" s="522" t="n"/>
      <c r="D357" s="524">
        <f>IF(F357="","",IFERROR(INDEX(RAW!$A:$A,MAX(2,F357)),""))</f>
      </c>
      <c r="E357" s="525">
        <f>IF(F357="","",IFERROR(INDEX(RAW!$K:$K,MAX(2,F357)),0))</f>
      </c>
      <c r="F357" s="522" t="n"/>
      <c r="G357" s="504" t="inlineStr">
        <is>
          <t>신규</t>
        </is>
      </c>
      <c r="O357" s="498">
        <f>IF(LEFT(R357,2)="확인",R357,"")</f>
      </c>
      <c r="R357" s="504">
        <f>IF(A357="","",IF(C357="생활비","생활비",IF(AND(COUNTIF($A$8:$A$12,C357)=1,ISNUMBER(D357),E357&gt;0,COUNTIF($A$100:$A$399,A357)=1,IFERROR(IF(F357="",AND(LEFT(A357,1)="U",G357="월기록"),AND(F357&gt;=2,COUNTIF($F$100:$F$399,F357)=1,INDEX(RAW!$H:$H,MAX(2,F357))="지출",D357=INDEX(RAW!$A:$A,MAX(2,F357)),E357&lt;=INDEX(RAW!$K:$K,MAX(2,F357)),OR(AND(G357="기존반영",OR(A357="U003",A357="U007")),AND(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AND(OR(A357&lt;&gt;"U003",F357=356),OR(A357&lt;&gt;"U007",F357=2203),OR(G357&lt;&gt;"기존반영",A357="U003",A357="U007")))),FALSE)),"OK","확인: 사용등록")))</f>
      </c>
      <c r="S357" s="504">
        <f>IF(ISNUMBER(D357),DATE(YEAR(D357),MONTH(D357),1),0)</f>
        <v>0</v>
      </c>
      <c r="T357" s="526">
        <f>IF(R357="OK",SUMIFS($O$430:$O$729,$B$430:$B$729,A357,$E$430:$E$729,"&lt;"&amp;EDATE($B$3,1)),0)</f>
        <v>0</v>
      </c>
      <c r="U357" s="526">
        <f>IF(AND(R357="OK",D357&lt;EDATE($B$3,1),$B$3&gt;=DATE(2026,3,1)),MAX(0,E357-T357),0)</f>
        <v>0</v>
      </c>
      <c r="V357" s="526">
        <f>IFERROR(IF(AND(R357="OK",AND(F357&gt;=2,G357&lt;&gt;"기존반영",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E357,0),0)</f>
        <v>0</v>
      </c>
      <c r="W357" s="526">
        <f>IF(V357&gt;0,ROUNDUP(INDEX(RAW!$K:$K,MAX(2,F357))/1000,0)*1000-ROUNDUP((INDEX(RAW!$K:$K,MAX(2,F357))-V357)/1000,0)*1000,0)</f>
        <v>0</v>
      </c>
      <c r="X357" s="504">
        <f>IF(AND(R357="OK",IF($B$43="전체",D357&lt;EDATE($B$3,1),IF($B$43="미정산",U357&gt;0,OR(S357=$B$3,Z357&gt;0,U357&gt;0)))),1,0)</f>
        <v>0</v>
      </c>
      <c r="Y357" s="504">
        <f>IF(X357=1,COUNTIF($X$100:X357,1),0)</f>
        <v>0</v>
      </c>
      <c r="Z357" s="526">
        <f>IF(R357="OK",SUMIFS($O$430:$O$729,$B$430:$B$729,A357,$E$430:$E$729,"&gt;="&amp;$B$3,$E$430:$E$729,"&lt;"&amp;EDATE($B$3,1)),0)</f>
        <v>0</v>
      </c>
    </row>
    <row r="358" hidden="1" outlineLevel="1">
      <c r="A358" s="504">
        <f>IF(F358="","",IF(F358&gt;0,"R"&amp;F358,""))</f>
      </c>
      <c r="B358" s="504">
        <f>IF(F358="","",IFERROR(INDEX(RAW!$F:$F,MAX(2,F358)),""))</f>
      </c>
      <c r="C358" s="522" t="n"/>
      <c r="D358" s="524">
        <f>IF(F358="","",IFERROR(INDEX(RAW!$A:$A,MAX(2,F358)),""))</f>
      </c>
      <c r="E358" s="525">
        <f>IF(F358="","",IFERROR(INDEX(RAW!$K:$K,MAX(2,F358)),0))</f>
      </c>
      <c r="F358" s="522" t="n"/>
      <c r="G358" s="504" t="inlineStr">
        <is>
          <t>신규</t>
        </is>
      </c>
      <c r="O358" s="498">
        <f>IF(LEFT(R358,2)="확인",R358,"")</f>
      </c>
      <c r="R358" s="504">
        <f>IF(A358="","",IF(C358="생활비","생활비",IF(AND(COUNTIF($A$8:$A$12,C358)=1,ISNUMBER(D358),E358&gt;0,COUNTIF($A$100:$A$399,A358)=1,IFERROR(IF(F358="",AND(LEFT(A358,1)="U",G358="월기록"),AND(F358&gt;=2,COUNTIF($F$100:$F$399,F358)=1,INDEX(RAW!$H:$H,MAX(2,F358))="지출",D358=INDEX(RAW!$A:$A,MAX(2,F358)),E358&lt;=INDEX(RAW!$K:$K,MAX(2,F358)),OR(AND(G358="기존반영",OR(A358="U003",A358="U007")),AND(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AND(OR(A358&lt;&gt;"U003",F358=356),OR(A358&lt;&gt;"U007",F358=2203),OR(G358&lt;&gt;"기존반영",A358="U003",A358="U007")))),FALSE)),"OK","확인: 사용등록")))</f>
      </c>
      <c r="S358" s="504">
        <f>IF(ISNUMBER(D358),DATE(YEAR(D358),MONTH(D358),1),0)</f>
        <v>0</v>
      </c>
      <c r="T358" s="526">
        <f>IF(R358="OK",SUMIFS($O$430:$O$729,$B$430:$B$729,A358,$E$430:$E$729,"&lt;"&amp;EDATE($B$3,1)),0)</f>
        <v>0</v>
      </c>
      <c r="U358" s="526">
        <f>IF(AND(R358="OK",D358&lt;EDATE($B$3,1),$B$3&gt;=DATE(2026,3,1)),MAX(0,E358-T358),0)</f>
        <v>0</v>
      </c>
      <c r="V358" s="526">
        <f>IFERROR(IF(AND(R358="OK",AND(F358&gt;=2,G358&lt;&gt;"기존반영",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E358,0),0)</f>
        <v>0</v>
      </c>
      <c r="W358" s="526">
        <f>IF(V358&gt;0,ROUNDUP(INDEX(RAW!$K:$K,MAX(2,F358))/1000,0)*1000-ROUNDUP((INDEX(RAW!$K:$K,MAX(2,F358))-V358)/1000,0)*1000,0)</f>
        <v>0</v>
      </c>
      <c r="X358" s="504">
        <f>IF(AND(R358="OK",IF($B$43="전체",D358&lt;EDATE($B$3,1),IF($B$43="미정산",U358&gt;0,OR(S358=$B$3,Z358&gt;0,U358&gt;0)))),1,0)</f>
        <v>0</v>
      </c>
      <c r="Y358" s="504">
        <f>IF(X358=1,COUNTIF($X$100:X358,1),0)</f>
        <v>0</v>
      </c>
      <c r="Z358" s="526">
        <f>IF(R358="OK",SUMIFS($O$430:$O$729,$B$430:$B$729,A358,$E$430:$E$729,"&gt;="&amp;$B$3,$E$430:$E$729,"&lt;"&amp;EDATE($B$3,1)),0)</f>
        <v>0</v>
      </c>
    </row>
    <row r="359" hidden="1" outlineLevel="1">
      <c r="A359" s="504">
        <f>IF(F359="","",IF(F359&gt;0,"R"&amp;F359,""))</f>
      </c>
      <c r="B359" s="504">
        <f>IF(F359="","",IFERROR(INDEX(RAW!$F:$F,MAX(2,F359)),""))</f>
      </c>
      <c r="C359" s="522" t="n"/>
      <c r="D359" s="524">
        <f>IF(F359="","",IFERROR(INDEX(RAW!$A:$A,MAX(2,F359)),""))</f>
      </c>
      <c r="E359" s="525">
        <f>IF(F359="","",IFERROR(INDEX(RAW!$K:$K,MAX(2,F359)),0))</f>
      </c>
      <c r="F359" s="522" t="n"/>
      <c r="G359" s="504" t="inlineStr">
        <is>
          <t>신규</t>
        </is>
      </c>
      <c r="O359" s="498">
        <f>IF(LEFT(R359,2)="확인",R359,"")</f>
      </c>
      <c r="R359" s="504">
        <f>IF(A359="","",IF(C359="생활비","생활비",IF(AND(COUNTIF($A$8:$A$12,C359)=1,ISNUMBER(D359),E359&gt;0,COUNTIF($A$100:$A$399,A359)=1,IFERROR(IF(F359="",AND(LEFT(A359,1)="U",G359="월기록"),AND(F359&gt;=2,COUNTIF($F$100:$F$399,F359)=1,INDEX(RAW!$H:$H,MAX(2,F359))="지출",D359=INDEX(RAW!$A:$A,MAX(2,F359)),E359&lt;=INDEX(RAW!$K:$K,MAX(2,F359)),OR(AND(G359="기존반영",OR(A359="U003",A359="U007")),AND(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AND(OR(A359&lt;&gt;"U003",F359=356),OR(A359&lt;&gt;"U007",F359=2203),OR(G359&lt;&gt;"기존반영",A359="U003",A359="U007")))),FALSE)),"OK","확인: 사용등록")))</f>
      </c>
      <c r="S359" s="504">
        <f>IF(ISNUMBER(D359),DATE(YEAR(D359),MONTH(D359),1),0)</f>
        <v>0</v>
      </c>
      <c r="T359" s="526">
        <f>IF(R359="OK",SUMIFS($O$430:$O$729,$B$430:$B$729,A359,$E$430:$E$729,"&lt;"&amp;EDATE($B$3,1)),0)</f>
        <v>0</v>
      </c>
      <c r="U359" s="526">
        <f>IF(AND(R359="OK",D359&lt;EDATE($B$3,1),$B$3&gt;=DATE(2026,3,1)),MAX(0,E359-T359),0)</f>
        <v>0</v>
      </c>
      <c r="V359" s="526">
        <f>IFERROR(IF(AND(R359="OK",AND(F359&gt;=2,G359&lt;&gt;"기존반영",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E359,0),0)</f>
        <v>0</v>
      </c>
      <c r="W359" s="526">
        <f>IF(V359&gt;0,ROUNDUP(INDEX(RAW!$K:$K,MAX(2,F359))/1000,0)*1000-ROUNDUP((INDEX(RAW!$K:$K,MAX(2,F359))-V359)/1000,0)*1000,0)</f>
        <v>0</v>
      </c>
      <c r="X359" s="504">
        <f>IF(AND(R359="OK",IF($B$43="전체",D359&lt;EDATE($B$3,1),IF($B$43="미정산",U359&gt;0,OR(S359=$B$3,Z359&gt;0,U359&gt;0)))),1,0)</f>
        <v>0</v>
      </c>
      <c r="Y359" s="504">
        <f>IF(X359=1,COUNTIF($X$100:X359,1),0)</f>
        <v>0</v>
      </c>
      <c r="Z359" s="526">
        <f>IF(R359="OK",SUMIFS($O$430:$O$729,$B$430:$B$729,A359,$E$430:$E$729,"&gt;="&amp;$B$3,$E$430:$E$729,"&lt;"&amp;EDATE($B$3,1)),0)</f>
        <v>0</v>
      </c>
    </row>
    <row r="360" hidden="1" outlineLevel="1">
      <c r="A360" s="504">
        <f>IF(F360="","",IF(F360&gt;0,"R"&amp;F360,""))</f>
      </c>
      <c r="B360" s="504">
        <f>IF(F360="","",IFERROR(INDEX(RAW!$F:$F,MAX(2,F360)),""))</f>
      </c>
      <c r="C360" s="522" t="n"/>
      <c r="D360" s="524">
        <f>IF(F360="","",IFERROR(INDEX(RAW!$A:$A,MAX(2,F360)),""))</f>
      </c>
      <c r="E360" s="525">
        <f>IF(F360="","",IFERROR(INDEX(RAW!$K:$K,MAX(2,F360)),0))</f>
      </c>
      <c r="F360" s="522" t="n"/>
      <c r="G360" s="504" t="inlineStr">
        <is>
          <t>신규</t>
        </is>
      </c>
      <c r="O360" s="498">
        <f>IF(LEFT(R360,2)="확인",R360,"")</f>
      </c>
      <c r="R360" s="504">
        <f>IF(A360="","",IF(C360="생활비","생활비",IF(AND(COUNTIF($A$8:$A$12,C360)=1,ISNUMBER(D360),E360&gt;0,COUNTIF($A$100:$A$399,A360)=1,IFERROR(IF(F360="",AND(LEFT(A360,1)="U",G360="월기록"),AND(F360&gt;=2,COUNTIF($F$100:$F$399,F360)=1,INDEX(RAW!$H:$H,MAX(2,F360))="지출",D360=INDEX(RAW!$A:$A,MAX(2,F360)),E360&lt;=INDEX(RAW!$K:$K,MAX(2,F360)),OR(AND(G360="기존반영",OR(A360="U003",A360="U007")),AND(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AND(OR(A360&lt;&gt;"U003",F360=356),OR(A360&lt;&gt;"U007",F360=2203),OR(G360&lt;&gt;"기존반영",A360="U003",A360="U007")))),FALSE)),"OK","확인: 사용등록")))</f>
      </c>
      <c r="S360" s="504">
        <f>IF(ISNUMBER(D360),DATE(YEAR(D360),MONTH(D360),1),0)</f>
        <v>0</v>
      </c>
      <c r="T360" s="526">
        <f>IF(R360="OK",SUMIFS($O$430:$O$729,$B$430:$B$729,A360,$E$430:$E$729,"&lt;"&amp;EDATE($B$3,1)),0)</f>
        <v>0</v>
      </c>
      <c r="U360" s="526">
        <f>IF(AND(R360="OK",D360&lt;EDATE($B$3,1),$B$3&gt;=DATE(2026,3,1)),MAX(0,E360-T360),0)</f>
        <v>0</v>
      </c>
      <c r="V360" s="526">
        <f>IFERROR(IF(AND(R360="OK",AND(F360&gt;=2,G360&lt;&gt;"기존반영",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E360,0),0)</f>
        <v>0</v>
      </c>
      <c r="W360" s="526">
        <f>IF(V360&gt;0,ROUNDUP(INDEX(RAW!$K:$K,MAX(2,F360))/1000,0)*1000-ROUNDUP((INDEX(RAW!$K:$K,MAX(2,F360))-V360)/1000,0)*1000,0)</f>
        <v>0</v>
      </c>
      <c r="X360" s="504">
        <f>IF(AND(R360="OK",IF($B$43="전체",D360&lt;EDATE($B$3,1),IF($B$43="미정산",U360&gt;0,OR(S360=$B$3,Z360&gt;0,U360&gt;0)))),1,0)</f>
        <v>0</v>
      </c>
      <c r="Y360" s="504">
        <f>IF(X360=1,COUNTIF($X$100:X360,1),0)</f>
        <v>0</v>
      </c>
      <c r="Z360" s="526">
        <f>IF(R360="OK",SUMIFS($O$430:$O$729,$B$430:$B$729,A360,$E$430:$E$729,"&gt;="&amp;$B$3,$E$430:$E$729,"&lt;"&amp;EDATE($B$3,1)),0)</f>
        <v>0</v>
      </c>
    </row>
    <row r="361" hidden="1" outlineLevel="1">
      <c r="A361" s="504">
        <f>IF(F361="","",IF(F361&gt;0,"R"&amp;F361,""))</f>
      </c>
      <c r="B361" s="504">
        <f>IF(F361="","",IFERROR(INDEX(RAW!$F:$F,MAX(2,F361)),""))</f>
      </c>
      <c r="C361" s="522" t="n"/>
      <c r="D361" s="524">
        <f>IF(F361="","",IFERROR(INDEX(RAW!$A:$A,MAX(2,F361)),""))</f>
      </c>
      <c r="E361" s="525">
        <f>IF(F361="","",IFERROR(INDEX(RAW!$K:$K,MAX(2,F361)),0))</f>
      </c>
      <c r="F361" s="522" t="n"/>
      <c r="G361" s="504" t="inlineStr">
        <is>
          <t>신규</t>
        </is>
      </c>
      <c r="O361" s="498">
        <f>IF(LEFT(R361,2)="확인",R361,"")</f>
      </c>
      <c r="R361" s="504">
        <f>IF(A361="","",IF(C361="생활비","생활비",IF(AND(COUNTIF($A$8:$A$12,C361)=1,ISNUMBER(D361),E361&gt;0,COUNTIF($A$100:$A$399,A361)=1,IFERROR(IF(F361="",AND(LEFT(A361,1)="U",G361="월기록"),AND(F361&gt;=2,COUNTIF($F$100:$F$399,F361)=1,INDEX(RAW!$H:$H,MAX(2,F361))="지출",D361=INDEX(RAW!$A:$A,MAX(2,F361)),E361&lt;=INDEX(RAW!$K:$K,MAX(2,F361)),OR(AND(G361="기존반영",OR(A361="U003",A361="U007")),AND(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AND(OR(A361&lt;&gt;"U003",F361=356),OR(A361&lt;&gt;"U007",F361=2203),OR(G361&lt;&gt;"기존반영",A361="U003",A361="U007")))),FALSE)),"OK","확인: 사용등록")))</f>
      </c>
      <c r="S361" s="504">
        <f>IF(ISNUMBER(D361),DATE(YEAR(D361),MONTH(D361),1),0)</f>
        <v>0</v>
      </c>
      <c r="T361" s="526">
        <f>IF(R361="OK",SUMIFS($O$430:$O$729,$B$430:$B$729,A361,$E$430:$E$729,"&lt;"&amp;EDATE($B$3,1)),0)</f>
        <v>0</v>
      </c>
      <c r="U361" s="526">
        <f>IF(AND(R361="OK",D361&lt;EDATE($B$3,1),$B$3&gt;=DATE(2026,3,1)),MAX(0,E361-T361),0)</f>
        <v>0</v>
      </c>
      <c r="V361" s="526">
        <f>IFERROR(IF(AND(R361="OK",AND(F361&gt;=2,G361&lt;&gt;"기존반영",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E361,0),0)</f>
        <v>0</v>
      </c>
      <c r="W361" s="526">
        <f>IF(V361&gt;0,ROUNDUP(INDEX(RAW!$K:$K,MAX(2,F361))/1000,0)*1000-ROUNDUP((INDEX(RAW!$K:$K,MAX(2,F361))-V361)/1000,0)*1000,0)</f>
        <v>0</v>
      </c>
      <c r="X361" s="504">
        <f>IF(AND(R361="OK",IF($B$43="전체",D361&lt;EDATE($B$3,1),IF($B$43="미정산",U361&gt;0,OR(S361=$B$3,Z361&gt;0,U361&gt;0)))),1,0)</f>
        <v>0</v>
      </c>
      <c r="Y361" s="504">
        <f>IF(X361=1,COUNTIF($X$100:X361,1),0)</f>
        <v>0</v>
      </c>
      <c r="Z361" s="526">
        <f>IF(R361="OK",SUMIFS($O$430:$O$729,$B$430:$B$729,A361,$E$430:$E$729,"&gt;="&amp;$B$3,$E$430:$E$729,"&lt;"&amp;EDATE($B$3,1)),0)</f>
        <v>0</v>
      </c>
    </row>
    <row r="362" hidden="1" outlineLevel="1">
      <c r="A362" s="504">
        <f>IF(F362="","",IF(F362&gt;0,"R"&amp;F362,""))</f>
      </c>
      <c r="B362" s="504">
        <f>IF(F362="","",IFERROR(INDEX(RAW!$F:$F,MAX(2,F362)),""))</f>
      </c>
      <c r="C362" s="522" t="n"/>
      <c r="D362" s="524">
        <f>IF(F362="","",IFERROR(INDEX(RAW!$A:$A,MAX(2,F362)),""))</f>
      </c>
      <c r="E362" s="525">
        <f>IF(F362="","",IFERROR(INDEX(RAW!$K:$K,MAX(2,F362)),0))</f>
      </c>
      <c r="F362" s="522" t="n"/>
      <c r="G362" s="504" t="inlineStr">
        <is>
          <t>신규</t>
        </is>
      </c>
      <c r="O362" s="498">
        <f>IF(LEFT(R362,2)="확인",R362,"")</f>
      </c>
      <c r="R362" s="504">
        <f>IF(A362="","",IF(C362="생활비","생활비",IF(AND(COUNTIF($A$8:$A$12,C362)=1,ISNUMBER(D362),E362&gt;0,COUNTIF($A$100:$A$399,A362)=1,IFERROR(IF(F362="",AND(LEFT(A362,1)="U",G362="월기록"),AND(F362&gt;=2,COUNTIF($F$100:$F$399,F362)=1,INDEX(RAW!$H:$H,MAX(2,F362))="지출",D362=INDEX(RAW!$A:$A,MAX(2,F362)),E362&lt;=INDEX(RAW!$K:$K,MAX(2,F362)),OR(AND(G362="기존반영",OR(A362="U003",A362="U007")),AND(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AND(OR(A362&lt;&gt;"U003",F362=356),OR(A362&lt;&gt;"U007",F362=2203),OR(G362&lt;&gt;"기존반영",A362="U003",A362="U007")))),FALSE)),"OK","확인: 사용등록")))</f>
      </c>
      <c r="S362" s="504">
        <f>IF(ISNUMBER(D362),DATE(YEAR(D362),MONTH(D362),1),0)</f>
        <v>0</v>
      </c>
      <c r="T362" s="526">
        <f>IF(R362="OK",SUMIFS($O$430:$O$729,$B$430:$B$729,A362,$E$430:$E$729,"&lt;"&amp;EDATE($B$3,1)),0)</f>
        <v>0</v>
      </c>
      <c r="U362" s="526">
        <f>IF(AND(R362="OK",D362&lt;EDATE($B$3,1),$B$3&gt;=DATE(2026,3,1)),MAX(0,E362-T362),0)</f>
        <v>0</v>
      </c>
      <c r="V362" s="526">
        <f>IFERROR(IF(AND(R362="OK",AND(F362&gt;=2,G362&lt;&gt;"기존반영",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E362,0),0)</f>
        <v>0</v>
      </c>
      <c r="W362" s="526">
        <f>IF(V362&gt;0,ROUNDUP(INDEX(RAW!$K:$K,MAX(2,F362))/1000,0)*1000-ROUNDUP((INDEX(RAW!$K:$K,MAX(2,F362))-V362)/1000,0)*1000,0)</f>
        <v>0</v>
      </c>
      <c r="X362" s="504">
        <f>IF(AND(R362="OK",IF($B$43="전체",D362&lt;EDATE($B$3,1),IF($B$43="미정산",U362&gt;0,OR(S362=$B$3,Z362&gt;0,U362&gt;0)))),1,0)</f>
        <v>0</v>
      </c>
      <c r="Y362" s="504">
        <f>IF(X362=1,COUNTIF($X$100:X362,1),0)</f>
        <v>0</v>
      </c>
      <c r="Z362" s="526">
        <f>IF(R362="OK",SUMIFS($O$430:$O$729,$B$430:$B$729,A362,$E$430:$E$729,"&gt;="&amp;$B$3,$E$430:$E$729,"&lt;"&amp;EDATE($B$3,1)),0)</f>
        <v>0</v>
      </c>
    </row>
    <row r="363" hidden="1" outlineLevel="1">
      <c r="A363" s="504">
        <f>IF(F363="","",IF(F363&gt;0,"R"&amp;F363,""))</f>
      </c>
      <c r="B363" s="504">
        <f>IF(F363="","",IFERROR(INDEX(RAW!$F:$F,MAX(2,F363)),""))</f>
      </c>
      <c r="C363" s="522" t="n"/>
      <c r="D363" s="524">
        <f>IF(F363="","",IFERROR(INDEX(RAW!$A:$A,MAX(2,F363)),""))</f>
      </c>
      <c r="E363" s="525">
        <f>IF(F363="","",IFERROR(INDEX(RAW!$K:$K,MAX(2,F363)),0))</f>
      </c>
      <c r="F363" s="522" t="n"/>
      <c r="G363" s="504" t="inlineStr">
        <is>
          <t>신규</t>
        </is>
      </c>
      <c r="O363" s="498">
        <f>IF(LEFT(R363,2)="확인",R363,"")</f>
      </c>
      <c r="R363" s="504">
        <f>IF(A363="","",IF(C363="생활비","생활비",IF(AND(COUNTIF($A$8:$A$12,C363)=1,ISNUMBER(D363),E363&gt;0,COUNTIF($A$100:$A$399,A363)=1,IFERROR(IF(F363="",AND(LEFT(A363,1)="U",G363="월기록"),AND(F363&gt;=2,COUNTIF($F$100:$F$399,F363)=1,INDEX(RAW!$H:$H,MAX(2,F363))="지출",D363=INDEX(RAW!$A:$A,MAX(2,F363)),E363&lt;=INDEX(RAW!$K:$K,MAX(2,F363)),OR(AND(G363="기존반영",OR(A363="U003",A363="U007")),AND(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AND(OR(A363&lt;&gt;"U003",F363=356),OR(A363&lt;&gt;"U007",F363=2203),OR(G363&lt;&gt;"기존반영",A363="U003",A363="U007")))),FALSE)),"OK","확인: 사용등록")))</f>
      </c>
      <c r="S363" s="504">
        <f>IF(ISNUMBER(D363),DATE(YEAR(D363),MONTH(D363),1),0)</f>
        <v>0</v>
      </c>
      <c r="T363" s="526">
        <f>IF(R363="OK",SUMIFS($O$430:$O$729,$B$430:$B$729,A363,$E$430:$E$729,"&lt;"&amp;EDATE($B$3,1)),0)</f>
        <v>0</v>
      </c>
      <c r="U363" s="526">
        <f>IF(AND(R363="OK",D363&lt;EDATE($B$3,1),$B$3&gt;=DATE(2026,3,1)),MAX(0,E363-T363),0)</f>
        <v>0</v>
      </c>
      <c r="V363" s="526">
        <f>IFERROR(IF(AND(R363="OK",AND(F363&gt;=2,G363&lt;&gt;"기존반영",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E363,0),0)</f>
        <v>0</v>
      </c>
      <c r="W363" s="526">
        <f>IF(V363&gt;0,ROUNDUP(INDEX(RAW!$K:$K,MAX(2,F363))/1000,0)*1000-ROUNDUP((INDEX(RAW!$K:$K,MAX(2,F363))-V363)/1000,0)*1000,0)</f>
        <v>0</v>
      </c>
      <c r="X363" s="504">
        <f>IF(AND(R363="OK",IF($B$43="전체",D363&lt;EDATE($B$3,1),IF($B$43="미정산",U363&gt;0,OR(S363=$B$3,Z363&gt;0,U363&gt;0)))),1,0)</f>
        <v>0</v>
      </c>
      <c r="Y363" s="504">
        <f>IF(X363=1,COUNTIF($X$100:X363,1),0)</f>
        <v>0</v>
      </c>
      <c r="Z363" s="526">
        <f>IF(R363="OK",SUMIFS($O$430:$O$729,$B$430:$B$729,A363,$E$430:$E$729,"&gt;="&amp;$B$3,$E$430:$E$729,"&lt;"&amp;EDATE($B$3,1)),0)</f>
        <v>0</v>
      </c>
    </row>
    <row r="364" hidden="1" outlineLevel="1">
      <c r="A364" s="504">
        <f>IF(F364="","",IF(F364&gt;0,"R"&amp;F364,""))</f>
      </c>
      <c r="B364" s="504">
        <f>IF(F364="","",IFERROR(INDEX(RAW!$F:$F,MAX(2,F364)),""))</f>
      </c>
      <c r="C364" s="522" t="n"/>
      <c r="D364" s="524">
        <f>IF(F364="","",IFERROR(INDEX(RAW!$A:$A,MAX(2,F364)),""))</f>
      </c>
      <c r="E364" s="525">
        <f>IF(F364="","",IFERROR(INDEX(RAW!$K:$K,MAX(2,F364)),0))</f>
      </c>
      <c r="F364" s="522" t="n"/>
      <c r="G364" s="504" t="inlineStr">
        <is>
          <t>신규</t>
        </is>
      </c>
      <c r="O364" s="498">
        <f>IF(LEFT(R364,2)="확인",R364,"")</f>
      </c>
      <c r="R364" s="504">
        <f>IF(A364="","",IF(C364="생활비","생활비",IF(AND(COUNTIF($A$8:$A$12,C364)=1,ISNUMBER(D364),E364&gt;0,COUNTIF($A$100:$A$399,A364)=1,IFERROR(IF(F364="",AND(LEFT(A364,1)="U",G364="월기록"),AND(F364&gt;=2,COUNTIF($F$100:$F$399,F364)=1,INDEX(RAW!$H:$H,MAX(2,F364))="지출",D364=INDEX(RAW!$A:$A,MAX(2,F364)),E364&lt;=INDEX(RAW!$K:$K,MAX(2,F364)),OR(AND(G364="기존반영",OR(A364="U003",A364="U007")),AND(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AND(OR(A364&lt;&gt;"U003",F364=356),OR(A364&lt;&gt;"U007",F364=2203),OR(G364&lt;&gt;"기존반영",A364="U003",A364="U007")))),FALSE)),"OK","확인: 사용등록")))</f>
      </c>
      <c r="S364" s="504">
        <f>IF(ISNUMBER(D364),DATE(YEAR(D364),MONTH(D364),1),0)</f>
        <v>0</v>
      </c>
      <c r="T364" s="526">
        <f>IF(R364="OK",SUMIFS($O$430:$O$729,$B$430:$B$729,A364,$E$430:$E$729,"&lt;"&amp;EDATE($B$3,1)),0)</f>
        <v>0</v>
      </c>
      <c r="U364" s="526">
        <f>IF(AND(R364="OK",D364&lt;EDATE($B$3,1),$B$3&gt;=DATE(2026,3,1)),MAX(0,E364-T364),0)</f>
        <v>0</v>
      </c>
      <c r="V364" s="526">
        <f>IFERROR(IF(AND(R364="OK",AND(F364&gt;=2,G364&lt;&gt;"기존반영",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E364,0),0)</f>
        <v>0</v>
      </c>
      <c r="W364" s="526">
        <f>IF(V364&gt;0,ROUNDUP(INDEX(RAW!$K:$K,MAX(2,F364))/1000,0)*1000-ROUNDUP((INDEX(RAW!$K:$K,MAX(2,F364))-V364)/1000,0)*1000,0)</f>
        <v>0</v>
      </c>
      <c r="X364" s="504">
        <f>IF(AND(R364="OK",IF($B$43="전체",D364&lt;EDATE($B$3,1),IF($B$43="미정산",U364&gt;0,OR(S364=$B$3,Z364&gt;0,U364&gt;0)))),1,0)</f>
        <v>0</v>
      </c>
      <c r="Y364" s="504">
        <f>IF(X364=1,COUNTIF($X$100:X364,1),0)</f>
        <v>0</v>
      </c>
      <c r="Z364" s="526">
        <f>IF(R364="OK",SUMIFS($O$430:$O$729,$B$430:$B$729,A364,$E$430:$E$729,"&gt;="&amp;$B$3,$E$430:$E$729,"&lt;"&amp;EDATE($B$3,1)),0)</f>
        <v>0</v>
      </c>
    </row>
    <row r="365" hidden="1" outlineLevel="1">
      <c r="A365" s="504">
        <f>IF(F365="","",IF(F365&gt;0,"R"&amp;F365,""))</f>
      </c>
      <c r="B365" s="504">
        <f>IF(F365="","",IFERROR(INDEX(RAW!$F:$F,MAX(2,F365)),""))</f>
      </c>
      <c r="C365" s="522" t="n"/>
      <c r="D365" s="524">
        <f>IF(F365="","",IFERROR(INDEX(RAW!$A:$A,MAX(2,F365)),""))</f>
      </c>
      <c r="E365" s="525">
        <f>IF(F365="","",IFERROR(INDEX(RAW!$K:$K,MAX(2,F365)),0))</f>
      </c>
      <c r="F365" s="522" t="n"/>
      <c r="G365" s="504" t="inlineStr">
        <is>
          <t>신규</t>
        </is>
      </c>
      <c r="O365" s="498">
        <f>IF(LEFT(R365,2)="확인",R365,"")</f>
      </c>
      <c r="R365" s="504">
        <f>IF(A365="","",IF(C365="생활비","생활비",IF(AND(COUNTIF($A$8:$A$12,C365)=1,ISNUMBER(D365),E365&gt;0,COUNTIF($A$100:$A$399,A365)=1,IFERROR(IF(F365="",AND(LEFT(A365,1)="U",G365="월기록"),AND(F365&gt;=2,COUNTIF($F$100:$F$399,F365)=1,INDEX(RAW!$H:$H,MAX(2,F365))="지출",D365=INDEX(RAW!$A:$A,MAX(2,F365)),E365&lt;=INDEX(RAW!$K:$K,MAX(2,F365)),OR(AND(G365="기존반영",OR(A365="U003",A365="U007")),AND(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AND(OR(A365&lt;&gt;"U003",F365=356),OR(A365&lt;&gt;"U007",F365=2203),OR(G365&lt;&gt;"기존반영",A365="U003",A365="U007")))),FALSE)),"OK","확인: 사용등록")))</f>
      </c>
      <c r="S365" s="504">
        <f>IF(ISNUMBER(D365),DATE(YEAR(D365),MONTH(D365),1),0)</f>
        <v>0</v>
      </c>
      <c r="T365" s="526">
        <f>IF(R365="OK",SUMIFS($O$430:$O$729,$B$430:$B$729,A365,$E$430:$E$729,"&lt;"&amp;EDATE($B$3,1)),0)</f>
        <v>0</v>
      </c>
      <c r="U365" s="526">
        <f>IF(AND(R365="OK",D365&lt;EDATE($B$3,1),$B$3&gt;=DATE(2026,3,1)),MAX(0,E365-T365),0)</f>
        <v>0</v>
      </c>
      <c r="V365" s="526">
        <f>IFERROR(IF(AND(R365="OK",AND(F365&gt;=2,G365&lt;&gt;"기존반영",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E365,0),0)</f>
        <v>0</v>
      </c>
      <c r="W365" s="526">
        <f>IF(V365&gt;0,ROUNDUP(INDEX(RAW!$K:$K,MAX(2,F365))/1000,0)*1000-ROUNDUP((INDEX(RAW!$K:$K,MAX(2,F365))-V365)/1000,0)*1000,0)</f>
        <v>0</v>
      </c>
      <c r="X365" s="504">
        <f>IF(AND(R365="OK",IF($B$43="전체",D365&lt;EDATE($B$3,1),IF($B$43="미정산",U365&gt;0,OR(S365=$B$3,Z365&gt;0,U365&gt;0)))),1,0)</f>
        <v>0</v>
      </c>
      <c r="Y365" s="504">
        <f>IF(X365=1,COUNTIF($X$100:X365,1),0)</f>
        <v>0</v>
      </c>
      <c r="Z365" s="526">
        <f>IF(R365="OK",SUMIFS($O$430:$O$729,$B$430:$B$729,A365,$E$430:$E$729,"&gt;="&amp;$B$3,$E$430:$E$729,"&lt;"&amp;EDATE($B$3,1)),0)</f>
        <v>0</v>
      </c>
    </row>
    <row r="366" hidden="1" outlineLevel="1">
      <c r="A366" s="504">
        <f>IF(F366="","",IF(F366&gt;0,"R"&amp;F366,""))</f>
      </c>
      <c r="B366" s="504">
        <f>IF(F366="","",IFERROR(INDEX(RAW!$F:$F,MAX(2,F366)),""))</f>
      </c>
      <c r="C366" s="522" t="n"/>
      <c r="D366" s="524">
        <f>IF(F366="","",IFERROR(INDEX(RAW!$A:$A,MAX(2,F366)),""))</f>
      </c>
      <c r="E366" s="525">
        <f>IF(F366="","",IFERROR(INDEX(RAW!$K:$K,MAX(2,F366)),0))</f>
      </c>
      <c r="F366" s="522" t="n"/>
      <c r="G366" s="504" t="inlineStr">
        <is>
          <t>신규</t>
        </is>
      </c>
      <c r="O366" s="498">
        <f>IF(LEFT(R366,2)="확인",R366,"")</f>
      </c>
      <c r="R366" s="504">
        <f>IF(A366="","",IF(C366="생활비","생활비",IF(AND(COUNTIF($A$8:$A$12,C366)=1,ISNUMBER(D366),E366&gt;0,COUNTIF($A$100:$A$399,A366)=1,IFERROR(IF(F366="",AND(LEFT(A366,1)="U",G366="월기록"),AND(F366&gt;=2,COUNTIF($F$100:$F$399,F366)=1,INDEX(RAW!$H:$H,MAX(2,F366))="지출",D366=INDEX(RAW!$A:$A,MAX(2,F366)),E366&lt;=INDEX(RAW!$K:$K,MAX(2,F366)),OR(AND(G366="기존반영",OR(A366="U003",A366="U007")),AND(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AND(OR(A366&lt;&gt;"U003",F366=356),OR(A366&lt;&gt;"U007",F366=2203),OR(G366&lt;&gt;"기존반영",A366="U003",A366="U007")))),FALSE)),"OK","확인: 사용등록")))</f>
      </c>
      <c r="S366" s="504">
        <f>IF(ISNUMBER(D366),DATE(YEAR(D366),MONTH(D366),1),0)</f>
        <v>0</v>
      </c>
      <c r="T366" s="526">
        <f>IF(R366="OK",SUMIFS($O$430:$O$729,$B$430:$B$729,A366,$E$430:$E$729,"&lt;"&amp;EDATE($B$3,1)),0)</f>
        <v>0</v>
      </c>
      <c r="U366" s="526">
        <f>IF(AND(R366="OK",D366&lt;EDATE($B$3,1),$B$3&gt;=DATE(2026,3,1)),MAX(0,E366-T366),0)</f>
        <v>0</v>
      </c>
      <c r="V366" s="526">
        <f>IFERROR(IF(AND(R366="OK",AND(F366&gt;=2,G366&lt;&gt;"기존반영",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E366,0),0)</f>
        <v>0</v>
      </c>
      <c r="W366" s="526">
        <f>IF(V366&gt;0,ROUNDUP(INDEX(RAW!$K:$K,MAX(2,F366))/1000,0)*1000-ROUNDUP((INDEX(RAW!$K:$K,MAX(2,F366))-V366)/1000,0)*1000,0)</f>
        <v>0</v>
      </c>
      <c r="X366" s="504">
        <f>IF(AND(R366="OK",IF($B$43="전체",D366&lt;EDATE($B$3,1),IF($B$43="미정산",U366&gt;0,OR(S366=$B$3,Z366&gt;0,U366&gt;0)))),1,0)</f>
        <v>0</v>
      </c>
      <c r="Y366" s="504">
        <f>IF(X366=1,COUNTIF($X$100:X366,1),0)</f>
        <v>0</v>
      </c>
      <c r="Z366" s="526">
        <f>IF(R366="OK",SUMIFS($O$430:$O$729,$B$430:$B$729,A366,$E$430:$E$729,"&gt;="&amp;$B$3,$E$430:$E$729,"&lt;"&amp;EDATE($B$3,1)),0)</f>
        <v>0</v>
      </c>
    </row>
    <row r="367" hidden="1" outlineLevel="1">
      <c r="A367" s="504">
        <f>IF(F367="","",IF(F367&gt;0,"R"&amp;F367,""))</f>
      </c>
      <c r="B367" s="504">
        <f>IF(F367="","",IFERROR(INDEX(RAW!$F:$F,MAX(2,F367)),""))</f>
      </c>
      <c r="C367" s="522" t="n"/>
      <c r="D367" s="524">
        <f>IF(F367="","",IFERROR(INDEX(RAW!$A:$A,MAX(2,F367)),""))</f>
      </c>
      <c r="E367" s="525">
        <f>IF(F367="","",IFERROR(INDEX(RAW!$K:$K,MAX(2,F367)),0))</f>
      </c>
      <c r="F367" s="522" t="n"/>
      <c r="G367" s="504" t="inlineStr">
        <is>
          <t>신규</t>
        </is>
      </c>
      <c r="O367" s="498">
        <f>IF(LEFT(R367,2)="확인",R367,"")</f>
      </c>
      <c r="R367" s="504">
        <f>IF(A367="","",IF(C367="생활비","생활비",IF(AND(COUNTIF($A$8:$A$12,C367)=1,ISNUMBER(D367),E367&gt;0,COUNTIF($A$100:$A$399,A367)=1,IFERROR(IF(F367="",AND(LEFT(A367,1)="U",G367="월기록"),AND(F367&gt;=2,COUNTIF($F$100:$F$399,F367)=1,INDEX(RAW!$H:$H,MAX(2,F367))="지출",D367=INDEX(RAW!$A:$A,MAX(2,F367)),E367&lt;=INDEX(RAW!$K:$K,MAX(2,F367)),OR(AND(G367="기존반영",OR(A367="U003",A367="U007")),AND(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AND(OR(A367&lt;&gt;"U003",F367=356),OR(A367&lt;&gt;"U007",F367=2203),OR(G367&lt;&gt;"기존반영",A367="U003",A367="U007")))),FALSE)),"OK","확인: 사용등록")))</f>
      </c>
      <c r="S367" s="504">
        <f>IF(ISNUMBER(D367),DATE(YEAR(D367),MONTH(D367),1),0)</f>
        <v>0</v>
      </c>
      <c r="T367" s="526">
        <f>IF(R367="OK",SUMIFS($O$430:$O$729,$B$430:$B$729,A367,$E$430:$E$729,"&lt;"&amp;EDATE($B$3,1)),0)</f>
        <v>0</v>
      </c>
      <c r="U367" s="526">
        <f>IF(AND(R367="OK",D367&lt;EDATE($B$3,1),$B$3&gt;=DATE(2026,3,1)),MAX(0,E367-T367),0)</f>
        <v>0</v>
      </c>
      <c r="V367" s="526">
        <f>IFERROR(IF(AND(R367="OK",AND(F367&gt;=2,G367&lt;&gt;"기존반영",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E367,0),0)</f>
        <v>0</v>
      </c>
      <c r="W367" s="526">
        <f>IF(V367&gt;0,ROUNDUP(INDEX(RAW!$K:$K,MAX(2,F367))/1000,0)*1000-ROUNDUP((INDEX(RAW!$K:$K,MAX(2,F367))-V367)/1000,0)*1000,0)</f>
        <v>0</v>
      </c>
      <c r="X367" s="504">
        <f>IF(AND(R367="OK",IF($B$43="전체",D367&lt;EDATE($B$3,1),IF($B$43="미정산",U367&gt;0,OR(S367=$B$3,Z367&gt;0,U367&gt;0)))),1,0)</f>
        <v>0</v>
      </c>
      <c r="Y367" s="504">
        <f>IF(X367=1,COUNTIF($X$100:X367,1),0)</f>
        <v>0</v>
      </c>
      <c r="Z367" s="526">
        <f>IF(R367="OK",SUMIFS($O$430:$O$729,$B$430:$B$729,A367,$E$430:$E$729,"&gt;="&amp;$B$3,$E$430:$E$729,"&lt;"&amp;EDATE($B$3,1)),0)</f>
        <v>0</v>
      </c>
    </row>
    <row r="368" hidden="1" outlineLevel="1">
      <c r="A368" s="504">
        <f>IF(F368="","",IF(F368&gt;0,"R"&amp;F368,""))</f>
      </c>
      <c r="B368" s="504">
        <f>IF(F368="","",IFERROR(INDEX(RAW!$F:$F,MAX(2,F368)),""))</f>
      </c>
      <c r="C368" s="522" t="n"/>
      <c r="D368" s="524">
        <f>IF(F368="","",IFERROR(INDEX(RAW!$A:$A,MAX(2,F368)),""))</f>
      </c>
      <c r="E368" s="525">
        <f>IF(F368="","",IFERROR(INDEX(RAW!$K:$K,MAX(2,F368)),0))</f>
      </c>
      <c r="F368" s="522" t="n"/>
      <c r="G368" s="504" t="inlineStr">
        <is>
          <t>신규</t>
        </is>
      </c>
      <c r="O368" s="498">
        <f>IF(LEFT(R368,2)="확인",R368,"")</f>
      </c>
      <c r="R368" s="504">
        <f>IF(A368="","",IF(C368="생활비","생활비",IF(AND(COUNTIF($A$8:$A$12,C368)=1,ISNUMBER(D368),E368&gt;0,COUNTIF($A$100:$A$399,A368)=1,IFERROR(IF(F368="",AND(LEFT(A368,1)="U",G368="월기록"),AND(F368&gt;=2,COUNTIF($F$100:$F$399,F368)=1,INDEX(RAW!$H:$H,MAX(2,F368))="지출",D368=INDEX(RAW!$A:$A,MAX(2,F368)),E368&lt;=INDEX(RAW!$K:$K,MAX(2,F368)),OR(AND(G368="기존반영",OR(A368="U003",A368="U007")),AND(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AND(OR(A368&lt;&gt;"U003",F368=356),OR(A368&lt;&gt;"U007",F368=2203),OR(G368&lt;&gt;"기존반영",A368="U003",A368="U007")))),FALSE)),"OK","확인: 사용등록")))</f>
      </c>
      <c r="S368" s="504">
        <f>IF(ISNUMBER(D368),DATE(YEAR(D368),MONTH(D368),1),0)</f>
        <v>0</v>
      </c>
      <c r="T368" s="526">
        <f>IF(R368="OK",SUMIFS($O$430:$O$729,$B$430:$B$729,A368,$E$430:$E$729,"&lt;"&amp;EDATE($B$3,1)),0)</f>
        <v>0</v>
      </c>
      <c r="U368" s="526">
        <f>IF(AND(R368="OK",D368&lt;EDATE($B$3,1),$B$3&gt;=DATE(2026,3,1)),MAX(0,E368-T368),0)</f>
        <v>0</v>
      </c>
      <c r="V368" s="526">
        <f>IFERROR(IF(AND(R368="OK",AND(F368&gt;=2,G368&lt;&gt;"기존반영",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E368,0),0)</f>
        <v>0</v>
      </c>
      <c r="W368" s="526">
        <f>IF(V368&gt;0,ROUNDUP(INDEX(RAW!$K:$K,MAX(2,F368))/1000,0)*1000-ROUNDUP((INDEX(RAW!$K:$K,MAX(2,F368))-V368)/1000,0)*1000,0)</f>
        <v>0</v>
      </c>
      <c r="X368" s="504">
        <f>IF(AND(R368="OK",IF($B$43="전체",D368&lt;EDATE($B$3,1),IF($B$43="미정산",U368&gt;0,OR(S368=$B$3,Z368&gt;0,U368&gt;0)))),1,0)</f>
        <v>0</v>
      </c>
      <c r="Y368" s="504">
        <f>IF(X368=1,COUNTIF($X$100:X368,1),0)</f>
        <v>0</v>
      </c>
      <c r="Z368" s="526">
        <f>IF(R368="OK",SUMIFS($O$430:$O$729,$B$430:$B$729,A368,$E$430:$E$729,"&gt;="&amp;$B$3,$E$430:$E$729,"&lt;"&amp;EDATE($B$3,1)),0)</f>
        <v>0</v>
      </c>
    </row>
    <row r="369" hidden="1" outlineLevel="1">
      <c r="A369" s="504">
        <f>IF(F369="","",IF(F369&gt;0,"R"&amp;F369,""))</f>
      </c>
      <c r="B369" s="504">
        <f>IF(F369="","",IFERROR(INDEX(RAW!$F:$F,MAX(2,F369)),""))</f>
      </c>
      <c r="C369" s="522" t="n"/>
      <c r="D369" s="524">
        <f>IF(F369="","",IFERROR(INDEX(RAW!$A:$A,MAX(2,F369)),""))</f>
      </c>
      <c r="E369" s="525">
        <f>IF(F369="","",IFERROR(INDEX(RAW!$K:$K,MAX(2,F369)),0))</f>
      </c>
      <c r="F369" s="522" t="n"/>
      <c r="G369" s="504" t="inlineStr">
        <is>
          <t>신규</t>
        </is>
      </c>
      <c r="O369" s="498">
        <f>IF(LEFT(R369,2)="확인",R369,"")</f>
      </c>
      <c r="R369" s="504">
        <f>IF(A369="","",IF(C369="생활비","생활비",IF(AND(COUNTIF($A$8:$A$12,C369)=1,ISNUMBER(D369),E369&gt;0,COUNTIF($A$100:$A$399,A369)=1,IFERROR(IF(F369="",AND(LEFT(A369,1)="U",G369="월기록"),AND(F369&gt;=2,COUNTIF($F$100:$F$399,F369)=1,INDEX(RAW!$H:$H,MAX(2,F369))="지출",D369=INDEX(RAW!$A:$A,MAX(2,F369)),E369&lt;=INDEX(RAW!$K:$K,MAX(2,F369)),OR(AND(G369="기존반영",OR(A369="U003",A369="U007")),AND(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AND(OR(A369&lt;&gt;"U003",F369=356),OR(A369&lt;&gt;"U007",F369=2203),OR(G369&lt;&gt;"기존반영",A369="U003",A369="U007")))),FALSE)),"OK","확인: 사용등록")))</f>
      </c>
      <c r="S369" s="504">
        <f>IF(ISNUMBER(D369),DATE(YEAR(D369),MONTH(D369),1),0)</f>
        <v>0</v>
      </c>
      <c r="T369" s="526">
        <f>IF(R369="OK",SUMIFS($O$430:$O$729,$B$430:$B$729,A369,$E$430:$E$729,"&lt;"&amp;EDATE($B$3,1)),0)</f>
        <v>0</v>
      </c>
      <c r="U369" s="526">
        <f>IF(AND(R369="OK",D369&lt;EDATE($B$3,1),$B$3&gt;=DATE(2026,3,1)),MAX(0,E369-T369),0)</f>
        <v>0</v>
      </c>
      <c r="V369" s="526">
        <f>IFERROR(IF(AND(R369="OK",AND(F369&gt;=2,G369&lt;&gt;"기존반영",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E369,0),0)</f>
        <v>0</v>
      </c>
      <c r="W369" s="526">
        <f>IF(V369&gt;0,ROUNDUP(INDEX(RAW!$K:$K,MAX(2,F369))/1000,0)*1000-ROUNDUP((INDEX(RAW!$K:$K,MAX(2,F369))-V369)/1000,0)*1000,0)</f>
        <v>0</v>
      </c>
      <c r="X369" s="504">
        <f>IF(AND(R369="OK",IF($B$43="전체",D369&lt;EDATE($B$3,1),IF($B$43="미정산",U369&gt;0,OR(S369=$B$3,Z369&gt;0,U369&gt;0)))),1,0)</f>
        <v>0</v>
      </c>
      <c r="Y369" s="504">
        <f>IF(X369=1,COUNTIF($X$100:X369,1),0)</f>
        <v>0</v>
      </c>
      <c r="Z369" s="526">
        <f>IF(R369="OK",SUMIFS($O$430:$O$729,$B$430:$B$729,A369,$E$430:$E$729,"&gt;="&amp;$B$3,$E$430:$E$729,"&lt;"&amp;EDATE($B$3,1)),0)</f>
        <v>0</v>
      </c>
    </row>
    <row r="370" hidden="1" outlineLevel="1">
      <c r="A370" s="504">
        <f>IF(F370="","",IF(F370&gt;0,"R"&amp;F370,""))</f>
      </c>
      <c r="B370" s="504">
        <f>IF(F370="","",IFERROR(INDEX(RAW!$F:$F,MAX(2,F370)),""))</f>
      </c>
      <c r="C370" s="522" t="n"/>
      <c r="D370" s="524">
        <f>IF(F370="","",IFERROR(INDEX(RAW!$A:$A,MAX(2,F370)),""))</f>
      </c>
      <c r="E370" s="525">
        <f>IF(F370="","",IFERROR(INDEX(RAW!$K:$K,MAX(2,F370)),0))</f>
      </c>
      <c r="F370" s="522" t="n"/>
      <c r="G370" s="504" t="inlineStr">
        <is>
          <t>신규</t>
        </is>
      </c>
      <c r="O370" s="498">
        <f>IF(LEFT(R370,2)="확인",R370,"")</f>
      </c>
      <c r="R370" s="504">
        <f>IF(A370="","",IF(C370="생활비","생활비",IF(AND(COUNTIF($A$8:$A$12,C370)=1,ISNUMBER(D370),E370&gt;0,COUNTIF($A$100:$A$399,A370)=1,IFERROR(IF(F370="",AND(LEFT(A370,1)="U",G370="월기록"),AND(F370&gt;=2,COUNTIF($F$100:$F$399,F370)=1,INDEX(RAW!$H:$H,MAX(2,F370))="지출",D370=INDEX(RAW!$A:$A,MAX(2,F370)),E370&lt;=INDEX(RAW!$K:$K,MAX(2,F370)),OR(AND(G370="기존반영",OR(A370="U003",A370="U007")),AND(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AND(OR(A370&lt;&gt;"U003",F370=356),OR(A370&lt;&gt;"U007",F370=2203),OR(G370&lt;&gt;"기존반영",A370="U003",A370="U007")))),FALSE)),"OK","확인: 사용등록")))</f>
      </c>
      <c r="S370" s="504">
        <f>IF(ISNUMBER(D370),DATE(YEAR(D370),MONTH(D370),1),0)</f>
        <v>0</v>
      </c>
      <c r="T370" s="526">
        <f>IF(R370="OK",SUMIFS($O$430:$O$729,$B$430:$B$729,A370,$E$430:$E$729,"&lt;"&amp;EDATE($B$3,1)),0)</f>
        <v>0</v>
      </c>
      <c r="U370" s="526">
        <f>IF(AND(R370="OK",D370&lt;EDATE($B$3,1),$B$3&gt;=DATE(2026,3,1)),MAX(0,E370-T370),0)</f>
        <v>0</v>
      </c>
      <c r="V370" s="526">
        <f>IFERROR(IF(AND(R370="OK",AND(F370&gt;=2,G370&lt;&gt;"기존반영",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E370,0),0)</f>
        <v>0</v>
      </c>
      <c r="W370" s="526">
        <f>IF(V370&gt;0,ROUNDUP(INDEX(RAW!$K:$K,MAX(2,F370))/1000,0)*1000-ROUNDUP((INDEX(RAW!$K:$K,MAX(2,F370))-V370)/1000,0)*1000,0)</f>
        <v>0</v>
      </c>
      <c r="X370" s="504">
        <f>IF(AND(R370="OK",IF($B$43="전체",D370&lt;EDATE($B$3,1),IF($B$43="미정산",U370&gt;0,OR(S370=$B$3,Z370&gt;0,U370&gt;0)))),1,0)</f>
        <v>0</v>
      </c>
      <c r="Y370" s="504">
        <f>IF(X370=1,COUNTIF($X$100:X370,1),0)</f>
        <v>0</v>
      </c>
      <c r="Z370" s="526">
        <f>IF(R370="OK",SUMIFS($O$430:$O$729,$B$430:$B$729,A370,$E$430:$E$729,"&gt;="&amp;$B$3,$E$430:$E$729,"&lt;"&amp;EDATE($B$3,1)),0)</f>
        <v>0</v>
      </c>
    </row>
    <row r="371" hidden="1" outlineLevel="1">
      <c r="A371" s="504">
        <f>IF(F371="","",IF(F371&gt;0,"R"&amp;F371,""))</f>
      </c>
      <c r="B371" s="504">
        <f>IF(F371="","",IFERROR(INDEX(RAW!$F:$F,MAX(2,F371)),""))</f>
      </c>
      <c r="C371" s="522" t="n"/>
      <c r="D371" s="524">
        <f>IF(F371="","",IFERROR(INDEX(RAW!$A:$A,MAX(2,F371)),""))</f>
      </c>
      <c r="E371" s="525">
        <f>IF(F371="","",IFERROR(INDEX(RAW!$K:$K,MAX(2,F371)),0))</f>
      </c>
      <c r="F371" s="522" t="n"/>
      <c r="G371" s="504" t="inlineStr">
        <is>
          <t>신규</t>
        </is>
      </c>
      <c r="O371" s="498">
        <f>IF(LEFT(R371,2)="확인",R371,"")</f>
      </c>
      <c r="R371" s="504">
        <f>IF(A371="","",IF(C371="생활비","생활비",IF(AND(COUNTIF($A$8:$A$12,C371)=1,ISNUMBER(D371),E371&gt;0,COUNTIF($A$100:$A$399,A371)=1,IFERROR(IF(F371="",AND(LEFT(A371,1)="U",G371="월기록"),AND(F371&gt;=2,COUNTIF($F$100:$F$399,F371)=1,INDEX(RAW!$H:$H,MAX(2,F371))="지출",D371=INDEX(RAW!$A:$A,MAX(2,F371)),E371&lt;=INDEX(RAW!$K:$K,MAX(2,F371)),OR(AND(G371="기존반영",OR(A371="U003",A371="U007")),AND(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AND(OR(A371&lt;&gt;"U003",F371=356),OR(A371&lt;&gt;"U007",F371=2203),OR(G371&lt;&gt;"기존반영",A371="U003",A371="U007")))),FALSE)),"OK","확인: 사용등록")))</f>
      </c>
      <c r="S371" s="504">
        <f>IF(ISNUMBER(D371),DATE(YEAR(D371),MONTH(D371),1),0)</f>
        <v>0</v>
      </c>
      <c r="T371" s="526">
        <f>IF(R371="OK",SUMIFS($O$430:$O$729,$B$430:$B$729,A371,$E$430:$E$729,"&lt;"&amp;EDATE($B$3,1)),0)</f>
        <v>0</v>
      </c>
      <c r="U371" s="526">
        <f>IF(AND(R371="OK",D371&lt;EDATE($B$3,1),$B$3&gt;=DATE(2026,3,1)),MAX(0,E371-T371),0)</f>
        <v>0</v>
      </c>
      <c r="V371" s="526">
        <f>IFERROR(IF(AND(R371="OK",AND(F371&gt;=2,G371&lt;&gt;"기존반영",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E371,0),0)</f>
        <v>0</v>
      </c>
      <c r="W371" s="526">
        <f>IF(V371&gt;0,ROUNDUP(INDEX(RAW!$K:$K,MAX(2,F371))/1000,0)*1000-ROUNDUP((INDEX(RAW!$K:$K,MAX(2,F371))-V371)/1000,0)*1000,0)</f>
        <v>0</v>
      </c>
      <c r="X371" s="504">
        <f>IF(AND(R371="OK",IF($B$43="전체",D371&lt;EDATE($B$3,1),IF($B$43="미정산",U371&gt;0,OR(S371=$B$3,Z371&gt;0,U371&gt;0)))),1,0)</f>
        <v>0</v>
      </c>
      <c r="Y371" s="504">
        <f>IF(X371=1,COUNTIF($X$100:X371,1),0)</f>
        <v>0</v>
      </c>
      <c r="Z371" s="526">
        <f>IF(R371="OK",SUMIFS($O$430:$O$729,$B$430:$B$729,A371,$E$430:$E$729,"&gt;="&amp;$B$3,$E$430:$E$729,"&lt;"&amp;EDATE($B$3,1)),0)</f>
        <v>0</v>
      </c>
    </row>
    <row r="372" hidden="1" outlineLevel="1">
      <c r="A372" s="504">
        <f>IF(F372="","",IF(F372&gt;0,"R"&amp;F372,""))</f>
      </c>
      <c r="B372" s="504">
        <f>IF(F372="","",IFERROR(INDEX(RAW!$F:$F,MAX(2,F372)),""))</f>
      </c>
      <c r="C372" s="522" t="n"/>
      <c r="D372" s="524">
        <f>IF(F372="","",IFERROR(INDEX(RAW!$A:$A,MAX(2,F372)),""))</f>
      </c>
      <c r="E372" s="525">
        <f>IF(F372="","",IFERROR(INDEX(RAW!$K:$K,MAX(2,F372)),0))</f>
      </c>
      <c r="F372" s="522" t="n"/>
      <c r="G372" s="504" t="inlineStr">
        <is>
          <t>신규</t>
        </is>
      </c>
      <c r="O372" s="498">
        <f>IF(LEFT(R372,2)="확인",R372,"")</f>
      </c>
      <c r="R372" s="504">
        <f>IF(A372="","",IF(C372="생활비","생활비",IF(AND(COUNTIF($A$8:$A$12,C372)=1,ISNUMBER(D372),E372&gt;0,COUNTIF($A$100:$A$399,A372)=1,IFERROR(IF(F372="",AND(LEFT(A372,1)="U",G372="월기록"),AND(F372&gt;=2,COUNTIF($F$100:$F$399,F372)=1,INDEX(RAW!$H:$H,MAX(2,F372))="지출",D372=INDEX(RAW!$A:$A,MAX(2,F372)),E372&lt;=INDEX(RAW!$K:$K,MAX(2,F372)),OR(AND(G372="기존반영",OR(A372="U003",A372="U007")),AND(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AND(OR(A372&lt;&gt;"U003",F372=356),OR(A372&lt;&gt;"U007",F372=2203),OR(G372&lt;&gt;"기존반영",A372="U003",A372="U007")))),FALSE)),"OK","확인: 사용등록")))</f>
      </c>
      <c r="S372" s="504">
        <f>IF(ISNUMBER(D372),DATE(YEAR(D372),MONTH(D372),1),0)</f>
        <v>0</v>
      </c>
      <c r="T372" s="526">
        <f>IF(R372="OK",SUMIFS($O$430:$O$729,$B$430:$B$729,A372,$E$430:$E$729,"&lt;"&amp;EDATE($B$3,1)),0)</f>
        <v>0</v>
      </c>
      <c r="U372" s="526">
        <f>IF(AND(R372="OK",D372&lt;EDATE($B$3,1),$B$3&gt;=DATE(2026,3,1)),MAX(0,E372-T372),0)</f>
        <v>0</v>
      </c>
      <c r="V372" s="526">
        <f>IFERROR(IF(AND(R372="OK",AND(F372&gt;=2,G372&lt;&gt;"기존반영",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E372,0),0)</f>
        <v>0</v>
      </c>
      <c r="W372" s="526">
        <f>IF(V372&gt;0,ROUNDUP(INDEX(RAW!$K:$K,MAX(2,F372))/1000,0)*1000-ROUNDUP((INDEX(RAW!$K:$K,MAX(2,F372))-V372)/1000,0)*1000,0)</f>
        <v>0</v>
      </c>
      <c r="X372" s="504">
        <f>IF(AND(R372="OK",IF($B$43="전체",D372&lt;EDATE($B$3,1),IF($B$43="미정산",U372&gt;0,OR(S372=$B$3,Z372&gt;0,U372&gt;0)))),1,0)</f>
        <v>0</v>
      </c>
      <c r="Y372" s="504">
        <f>IF(X372=1,COUNTIF($X$100:X372,1),0)</f>
        <v>0</v>
      </c>
      <c r="Z372" s="526">
        <f>IF(R372="OK",SUMIFS($O$430:$O$729,$B$430:$B$729,A372,$E$430:$E$729,"&gt;="&amp;$B$3,$E$430:$E$729,"&lt;"&amp;EDATE($B$3,1)),0)</f>
        <v>0</v>
      </c>
    </row>
    <row r="373" hidden="1" outlineLevel="1">
      <c r="A373" s="504">
        <f>IF(F373="","",IF(F373&gt;0,"R"&amp;F373,""))</f>
      </c>
      <c r="B373" s="504">
        <f>IF(F373="","",IFERROR(INDEX(RAW!$F:$F,MAX(2,F373)),""))</f>
      </c>
      <c r="C373" s="522" t="n"/>
      <c r="D373" s="524">
        <f>IF(F373="","",IFERROR(INDEX(RAW!$A:$A,MAX(2,F373)),""))</f>
      </c>
      <c r="E373" s="525">
        <f>IF(F373="","",IFERROR(INDEX(RAW!$K:$K,MAX(2,F373)),0))</f>
      </c>
      <c r="F373" s="522" t="n"/>
      <c r="G373" s="504" t="inlineStr">
        <is>
          <t>신규</t>
        </is>
      </c>
      <c r="O373" s="498">
        <f>IF(LEFT(R373,2)="확인",R373,"")</f>
      </c>
      <c r="R373" s="504">
        <f>IF(A373="","",IF(C373="생활비","생활비",IF(AND(COUNTIF($A$8:$A$12,C373)=1,ISNUMBER(D373),E373&gt;0,COUNTIF($A$100:$A$399,A373)=1,IFERROR(IF(F373="",AND(LEFT(A373,1)="U",G373="월기록"),AND(F373&gt;=2,COUNTIF($F$100:$F$399,F373)=1,INDEX(RAW!$H:$H,MAX(2,F373))="지출",D373=INDEX(RAW!$A:$A,MAX(2,F373)),E373&lt;=INDEX(RAW!$K:$K,MAX(2,F373)),OR(AND(G373="기존반영",OR(A373="U003",A373="U007")),AND(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AND(OR(A373&lt;&gt;"U003",F373=356),OR(A373&lt;&gt;"U007",F373=2203),OR(G373&lt;&gt;"기존반영",A373="U003",A373="U007")))),FALSE)),"OK","확인: 사용등록")))</f>
      </c>
      <c r="S373" s="504">
        <f>IF(ISNUMBER(D373),DATE(YEAR(D373),MONTH(D373),1),0)</f>
        <v>0</v>
      </c>
      <c r="T373" s="526">
        <f>IF(R373="OK",SUMIFS($O$430:$O$729,$B$430:$B$729,A373,$E$430:$E$729,"&lt;"&amp;EDATE($B$3,1)),0)</f>
        <v>0</v>
      </c>
      <c r="U373" s="526">
        <f>IF(AND(R373="OK",D373&lt;EDATE($B$3,1),$B$3&gt;=DATE(2026,3,1)),MAX(0,E373-T373),0)</f>
        <v>0</v>
      </c>
      <c r="V373" s="526">
        <f>IFERROR(IF(AND(R373="OK",AND(F373&gt;=2,G373&lt;&gt;"기존반영",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E373,0),0)</f>
        <v>0</v>
      </c>
      <c r="W373" s="526">
        <f>IF(V373&gt;0,ROUNDUP(INDEX(RAW!$K:$K,MAX(2,F373))/1000,0)*1000-ROUNDUP((INDEX(RAW!$K:$K,MAX(2,F373))-V373)/1000,0)*1000,0)</f>
        <v>0</v>
      </c>
      <c r="X373" s="504">
        <f>IF(AND(R373="OK",IF($B$43="전체",D373&lt;EDATE($B$3,1),IF($B$43="미정산",U373&gt;0,OR(S373=$B$3,Z373&gt;0,U373&gt;0)))),1,0)</f>
        <v>0</v>
      </c>
      <c r="Y373" s="504">
        <f>IF(X373=1,COUNTIF($X$100:X373,1),0)</f>
        <v>0</v>
      </c>
      <c r="Z373" s="526">
        <f>IF(R373="OK",SUMIFS($O$430:$O$729,$B$430:$B$729,A373,$E$430:$E$729,"&gt;="&amp;$B$3,$E$430:$E$729,"&lt;"&amp;EDATE($B$3,1)),0)</f>
        <v>0</v>
      </c>
    </row>
    <row r="374" hidden="1" outlineLevel="1">
      <c r="A374" s="504">
        <f>IF(F374="","",IF(F374&gt;0,"R"&amp;F374,""))</f>
      </c>
      <c r="B374" s="504">
        <f>IF(F374="","",IFERROR(INDEX(RAW!$F:$F,MAX(2,F374)),""))</f>
      </c>
      <c r="C374" s="522" t="n"/>
      <c r="D374" s="524">
        <f>IF(F374="","",IFERROR(INDEX(RAW!$A:$A,MAX(2,F374)),""))</f>
      </c>
      <c r="E374" s="525">
        <f>IF(F374="","",IFERROR(INDEX(RAW!$K:$K,MAX(2,F374)),0))</f>
      </c>
      <c r="F374" s="522" t="n"/>
      <c r="G374" s="504" t="inlineStr">
        <is>
          <t>신규</t>
        </is>
      </c>
      <c r="O374" s="498">
        <f>IF(LEFT(R374,2)="확인",R374,"")</f>
      </c>
      <c r="R374" s="504">
        <f>IF(A374="","",IF(C374="생활비","생활비",IF(AND(COUNTIF($A$8:$A$12,C374)=1,ISNUMBER(D374),E374&gt;0,COUNTIF($A$100:$A$399,A374)=1,IFERROR(IF(F374="",AND(LEFT(A374,1)="U",G374="월기록"),AND(F374&gt;=2,COUNTIF($F$100:$F$399,F374)=1,INDEX(RAW!$H:$H,MAX(2,F374))="지출",D374=INDEX(RAW!$A:$A,MAX(2,F374)),E374&lt;=INDEX(RAW!$K:$K,MAX(2,F374)),OR(AND(G374="기존반영",OR(A374="U003",A374="U007")),AND(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AND(OR(A374&lt;&gt;"U003",F374=356),OR(A374&lt;&gt;"U007",F374=2203),OR(G374&lt;&gt;"기존반영",A374="U003",A374="U007")))),FALSE)),"OK","확인: 사용등록")))</f>
      </c>
      <c r="S374" s="504">
        <f>IF(ISNUMBER(D374),DATE(YEAR(D374),MONTH(D374),1),0)</f>
        <v>0</v>
      </c>
      <c r="T374" s="526">
        <f>IF(R374="OK",SUMIFS($O$430:$O$729,$B$430:$B$729,A374,$E$430:$E$729,"&lt;"&amp;EDATE($B$3,1)),0)</f>
        <v>0</v>
      </c>
      <c r="U374" s="526">
        <f>IF(AND(R374="OK",D374&lt;EDATE($B$3,1),$B$3&gt;=DATE(2026,3,1)),MAX(0,E374-T374),0)</f>
        <v>0</v>
      </c>
      <c r="V374" s="526">
        <f>IFERROR(IF(AND(R374="OK",AND(F374&gt;=2,G374&lt;&gt;"기존반영",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E374,0),0)</f>
        <v>0</v>
      </c>
      <c r="W374" s="526">
        <f>IF(V374&gt;0,ROUNDUP(INDEX(RAW!$K:$K,MAX(2,F374))/1000,0)*1000-ROUNDUP((INDEX(RAW!$K:$K,MAX(2,F374))-V374)/1000,0)*1000,0)</f>
        <v>0</v>
      </c>
      <c r="X374" s="504">
        <f>IF(AND(R374="OK",IF($B$43="전체",D374&lt;EDATE($B$3,1),IF($B$43="미정산",U374&gt;0,OR(S374=$B$3,Z374&gt;0,U374&gt;0)))),1,0)</f>
        <v>0</v>
      </c>
      <c r="Y374" s="504">
        <f>IF(X374=1,COUNTIF($X$100:X374,1),0)</f>
        <v>0</v>
      </c>
      <c r="Z374" s="526">
        <f>IF(R374="OK",SUMIFS($O$430:$O$729,$B$430:$B$729,A374,$E$430:$E$729,"&gt;="&amp;$B$3,$E$430:$E$729,"&lt;"&amp;EDATE($B$3,1)),0)</f>
        <v>0</v>
      </c>
    </row>
    <row r="375" hidden="1" outlineLevel="1">
      <c r="A375" s="504">
        <f>IF(F375="","",IF(F375&gt;0,"R"&amp;F375,""))</f>
      </c>
      <c r="B375" s="504">
        <f>IF(F375="","",IFERROR(INDEX(RAW!$F:$F,MAX(2,F375)),""))</f>
      </c>
      <c r="C375" s="522" t="n"/>
      <c r="D375" s="524">
        <f>IF(F375="","",IFERROR(INDEX(RAW!$A:$A,MAX(2,F375)),""))</f>
      </c>
      <c r="E375" s="525">
        <f>IF(F375="","",IFERROR(INDEX(RAW!$K:$K,MAX(2,F375)),0))</f>
      </c>
      <c r="F375" s="522" t="n"/>
      <c r="G375" s="504" t="inlineStr">
        <is>
          <t>신규</t>
        </is>
      </c>
      <c r="O375" s="498">
        <f>IF(LEFT(R375,2)="확인",R375,"")</f>
      </c>
      <c r="R375" s="504">
        <f>IF(A375="","",IF(C375="생활비","생활비",IF(AND(COUNTIF($A$8:$A$12,C375)=1,ISNUMBER(D375),E375&gt;0,COUNTIF($A$100:$A$399,A375)=1,IFERROR(IF(F375="",AND(LEFT(A375,1)="U",G375="월기록"),AND(F375&gt;=2,COUNTIF($F$100:$F$399,F375)=1,INDEX(RAW!$H:$H,MAX(2,F375))="지출",D375=INDEX(RAW!$A:$A,MAX(2,F375)),E375&lt;=INDEX(RAW!$K:$K,MAX(2,F375)),OR(AND(G375="기존반영",OR(A375="U003",A375="U007")),AND(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AND(OR(A375&lt;&gt;"U003",F375=356),OR(A375&lt;&gt;"U007",F375=2203),OR(G375&lt;&gt;"기존반영",A375="U003",A375="U007")))),FALSE)),"OK","확인: 사용등록")))</f>
      </c>
      <c r="S375" s="504">
        <f>IF(ISNUMBER(D375),DATE(YEAR(D375),MONTH(D375),1),0)</f>
        <v>0</v>
      </c>
      <c r="T375" s="526">
        <f>IF(R375="OK",SUMIFS($O$430:$O$729,$B$430:$B$729,A375,$E$430:$E$729,"&lt;"&amp;EDATE($B$3,1)),0)</f>
        <v>0</v>
      </c>
      <c r="U375" s="526">
        <f>IF(AND(R375="OK",D375&lt;EDATE($B$3,1),$B$3&gt;=DATE(2026,3,1)),MAX(0,E375-T375),0)</f>
        <v>0</v>
      </c>
      <c r="V375" s="526">
        <f>IFERROR(IF(AND(R375="OK",AND(F375&gt;=2,G375&lt;&gt;"기존반영",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E375,0),0)</f>
        <v>0</v>
      </c>
      <c r="W375" s="526">
        <f>IF(V375&gt;0,ROUNDUP(INDEX(RAW!$K:$K,MAX(2,F375))/1000,0)*1000-ROUNDUP((INDEX(RAW!$K:$K,MAX(2,F375))-V375)/1000,0)*1000,0)</f>
        <v>0</v>
      </c>
      <c r="X375" s="504">
        <f>IF(AND(R375="OK",IF($B$43="전체",D375&lt;EDATE($B$3,1),IF($B$43="미정산",U375&gt;0,OR(S375=$B$3,Z375&gt;0,U375&gt;0)))),1,0)</f>
        <v>0</v>
      </c>
      <c r="Y375" s="504">
        <f>IF(X375=1,COUNTIF($X$100:X375,1),0)</f>
        <v>0</v>
      </c>
      <c r="Z375" s="526">
        <f>IF(R375="OK",SUMIFS($O$430:$O$729,$B$430:$B$729,A375,$E$430:$E$729,"&gt;="&amp;$B$3,$E$430:$E$729,"&lt;"&amp;EDATE($B$3,1)),0)</f>
        <v>0</v>
      </c>
    </row>
    <row r="376" hidden="1" outlineLevel="1">
      <c r="A376" s="504">
        <f>IF(F376="","",IF(F376&gt;0,"R"&amp;F376,""))</f>
      </c>
      <c r="B376" s="504">
        <f>IF(F376="","",IFERROR(INDEX(RAW!$F:$F,MAX(2,F376)),""))</f>
      </c>
      <c r="C376" s="522" t="n"/>
      <c r="D376" s="524">
        <f>IF(F376="","",IFERROR(INDEX(RAW!$A:$A,MAX(2,F376)),""))</f>
      </c>
      <c r="E376" s="525">
        <f>IF(F376="","",IFERROR(INDEX(RAW!$K:$K,MAX(2,F376)),0))</f>
      </c>
      <c r="F376" s="522" t="n"/>
      <c r="G376" s="504" t="inlineStr">
        <is>
          <t>신규</t>
        </is>
      </c>
      <c r="O376" s="498">
        <f>IF(LEFT(R376,2)="확인",R376,"")</f>
      </c>
      <c r="R376" s="504">
        <f>IF(A376="","",IF(C376="생활비","생활비",IF(AND(COUNTIF($A$8:$A$12,C376)=1,ISNUMBER(D376),E376&gt;0,COUNTIF($A$100:$A$399,A376)=1,IFERROR(IF(F376="",AND(LEFT(A376,1)="U",G376="월기록"),AND(F376&gt;=2,COUNTIF($F$100:$F$399,F376)=1,INDEX(RAW!$H:$H,MAX(2,F376))="지출",D376=INDEX(RAW!$A:$A,MAX(2,F376)),E376&lt;=INDEX(RAW!$K:$K,MAX(2,F376)),OR(AND(G376="기존반영",OR(A376="U003",A376="U007")),AND(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AND(OR(A376&lt;&gt;"U003",F376=356),OR(A376&lt;&gt;"U007",F376=2203),OR(G376&lt;&gt;"기존반영",A376="U003",A376="U007")))),FALSE)),"OK","확인: 사용등록")))</f>
      </c>
      <c r="S376" s="504">
        <f>IF(ISNUMBER(D376),DATE(YEAR(D376),MONTH(D376),1),0)</f>
        <v>0</v>
      </c>
      <c r="T376" s="526">
        <f>IF(R376="OK",SUMIFS($O$430:$O$729,$B$430:$B$729,A376,$E$430:$E$729,"&lt;"&amp;EDATE($B$3,1)),0)</f>
        <v>0</v>
      </c>
      <c r="U376" s="526">
        <f>IF(AND(R376="OK",D376&lt;EDATE($B$3,1),$B$3&gt;=DATE(2026,3,1)),MAX(0,E376-T376),0)</f>
        <v>0</v>
      </c>
      <c r="V376" s="526">
        <f>IFERROR(IF(AND(R376="OK",AND(F376&gt;=2,G376&lt;&gt;"기존반영",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E376,0),0)</f>
        <v>0</v>
      </c>
      <c r="W376" s="526">
        <f>IF(V376&gt;0,ROUNDUP(INDEX(RAW!$K:$K,MAX(2,F376))/1000,0)*1000-ROUNDUP((INDEX(RAW!$K:$K,MAX(2,F376))-V376)/1000,0)*1000,0)</f>
        <v>0</v>
      </c>
      <c r="X376" s="504">
        <f>IF(AND(R376="OK",IF($B$43="전체",D376&lt;EDATE($B$3,1),IF($B$43="미정산",U376&gt;0,OR(S376=$B$3,Z376&gt;0,U376&gt;0)))),1,0)</f>
        <v>0</v>
      </c>
      <c r="Y376" s="504">
        <f>IF(X376=1,COUNTIF($X$100:X376,1),0)</f>
        <v>0</v>
      </c>
      <c r="Z376" s="526">
        <f>IF(R376="OK",SUMIFS($O$430:$O$729,$B$430:$B$729,A376,$E$430:$E$729,"&gt;="&amp;$B$3,$E$430:$E$729,"&lt;"&amp;EDATE($B$3,1)),0)</f>
        <v>0</v>
      </c>
    </row>
    <row r="377" hidden="1" outlineLevel="1">
      <c r="A377" s="504">
        <f>IF(F377="","",IF(F377&gt;0,"R"&amp;F377,""))</f>
      </c>
      <c r="B377" s="504">
        <f>IF(F377="","",IFERROR(INDEX(RAW!$F:$F,MAX(2,F377)),""))</f>
      </c>
      <c r="C377" s="522" t="n"/>
      <c r="D377" s="524">
        <f>IF(F377="","",IFERROR(INDEX(RAW!$A:$A,MAX(2,F377)),""))</f>
      </c>
      <c r="E377" s="525">
        <f>IF(F377="","",IFERROR(INDEX(RAW!$K:$K,MAX(2,F377)),0))</f>
      </c>
      <c r="F377" s="522" t="n"/>
      <c r="G377" s="504" t="inlineStr">
        <is>
          <t>신규</t>
        </is>
      </c>
      <c r="O377" s="498">
        <f>IF(LEFT(R377,2)="확인",R377,"")</f>
      </c>
      <c r="R377" s="504">
        <f>IF(A377="","",IF(C377="생활비","생활비",IF(AND(COUNTIF($A$8:$A$12,C377)=1,ISNUMBER(D377),E377&gt;0,COUNTIF($A$100:$A$399,A377)=1,IFERROR(IF(F377="",AND(LEFT(A377,1)="U",G377="월기록"),AND(F377&gt;=2,COUNTIF($F$100:$F$399,F377)=1,INDEX(RAW!$H:$H,MAX(2,F377))="지출",D377=INDEX(RAW!$A:$A,MAX(2,F377)),E377&lt;=INDEX(RAW!$K:$K,MAX(2,F377)),OR(AND(G377="기존반영",OR(A377="U003",A377="U007")),AND(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AND(OR(A377&lt;&gt;"U003",F377=356),OR(A377&lt;&gt;"U007",F377=2203),OR(G377&lt;&gt;"기존반영",A377="U003",A377="U007")))),FALSE)),"OK","확인: 사용등록")))</f>
      </c>
      <c r="S377" s="504">
        <f>IF(ISNUMBER(D377),DATE(YEAR(D377),MONTH(D377),1),0)</f>
        <v>0</v>
      </c>
      <c r="T377" s="526">
        <f>IF(R377="OK",SUMIFS($O$430:$O$729,$B$430:$B$729,A377,$E$430:$E$729,"&lt;"&amp;EDATE($B$3,1)),0)</f>
        <v>0</v>
      </c>
      <c r="U377" s="526">
        <f>IF(AND(R377="OK",D377&lt;EDATE($B$3,1),$B$3&gt;=DATE(2026,3,1)),MAX(0,E377-T377),0)</f>
        <v>0</v>
      </c>
      <c r="V377" s="526">
        <f>IFERROR(IF(AND(R377="OK",AND(F377&gt;=2,G377&lt;&gt;"기존반영",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E377,0),0)</f>
        <v>0</v>
      </c>
      <c r="W377" s="526">
        <f>IF(V377&gt;0,ROUNDUP(INDEX(RAW!$K:$K,MAX(2,F377))/1000,0)*1000-ROUNDUP((INDEX(RAW!$K:$K,MAX(2,F377))-V377)/1000,0)*1000,0)</f>
        <v>0</v>
      </c>
      <c r="X377" s="504">
        <f>IF(AND(R377="OK",IF($B$43="전체",D377&lt;EDATE($B$3,1),IF($B$43="미정산",U377&gt;0,OR(S377=$B$3,Z377&gt;0,U377&gt;0)))),1,0)</f>
        <v>0</v>
      </c>
      <c r="Y377" s="504">
        <f>IF(X377=1,COUNTIF($X$100:X377,1),0)</f>
        <v>0</v>
      </c>
      <c r="Z377" s="526">
        <f>IF(R377="OK",SUMIFS($O$430:$O$729,$B$430:$B$729,A377,$E$430:$E$729,"&gt;="&amp;$B$3,$E$430:$E$729,"&lt;"&amp;EDATE($B$3,1)),0)</f>
        <v>0</v>
      </c>
    </row>
    <row r="378" hidden="1" outlineLevel="1">
      <c r="A378" s="504">
        <f>IF(F378="","",IF(F378&gt;0,"R"&amp;F378,""))</f>
      </c>
      <c r="B378" s="504">
        <f>IF(F378="","",IFERROR(INDEX(RAW!$F:$F,MAX(2,F378)),""))</f>
      </c>
      <c r="C378" s="522" t="n"/>
      <c r="D378" s="524">
        <f>IF(F378="","",IFERROR(INDEX(RAW!$A:$A,MAX(2,F378)),""))</f>
      </c>
      <c r="E378" s="525">
        <f>IF(F378="","",IFERROR(INDEX(RAW!$K:$K,MAX(2,F378)),0))</f>
      </c>
      <c r="F378" s="522" t="n"/>
      <c r="G378" s="504" t="inlineStr">
        <is>
          <t>신규</t>
        </is>
      </c>
      <c r="O378" s="498">
        <f>IF(LEFT(R378,2)="확인",R378,"")</f>
      </c>
      <c r="R378" s="504">
        <f>IF(A378="","",IF(C378="생활비","생활비",IF(AND(COUNTIF($A$8:$A$12,C378)=1,ISNUMBER(D378),E378&gt;0,COUNTIF($A$100:$A$399,A378)=1,IFERROR(IF(F378="",AND(LEFT(A378,1)="U",G378="월기록"),AND(F378&gt;=2,COUNTIF($F$100:$F$399,F378)=1,INDEX(RAW!$H:$H,MAX(2,F378))="지출",D378=INDEX(RAW!$A:$A,MAX(2,F378)),E378&lt;=INDEX(RAW!$K:$K,MAX(2,F378)),OR(AND(G378="기존반영",OR(A378="U003",A378="U007")),AND(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AND(OR(A378&lt;&gt;"U003",F378=356),OR(A378&lt;&gt;"U007",F378=2203),OR(G378&lt;&gt;"기존반영",A378="U003",A378="U007")))),FALSE)),"OK","확인: 사용등록")))</f>
      </c>
      <c r="S378" s="504">
        <f>IF(ISNUMBER(D378),DATE(YEAR(D378),MONTH(D378),1),0)</f>
        <v>0</v>
      </c>
      <c r="T378" s="526">
        <f>IF(R378="OK",SUMIFS($O$430:$O$729,$B$430:$B$729,A378,$E$430:$E$729,"&lt;"&amp;EDATE($B$3,1)),0)</f>
        <v>0</v>
      </c>
      <c r="U378" s="526">
        <f>IF(AND(R378="OK",D378&lt;EDATE($B$3,1),$B$3&gt;=DATE(2026,3,1)),MAX(0,E378-T378),0)</f>
        <v>0</v>
      </c>
      <c r="V378" s="526">
        <f>IFERROR(IF(AND(R378="OK",AND(F378&gt;=2,G378&lt;&gt;"기존반영",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E378,0),0)</f>
        <v>0</v>
      </c>
      <c r="W378" s="526">
        <f>IF(V378&gt;0,ROUNDUP(INDEX(RAW!$K:$K,MAX(2,F378))/1000,0)*1000-ROUNDUP((INDEX(RAW!$K:$K,MAX(2,F378))-V378)/1000,0)*1000,0)</f>
        <v>0</v>
      </c>
      <c r="X378" s="504">
        <f>IF(AND(R378="OK",IF($B$43="전체",D378&lt;EDATE($B$3,1),IF($B$43="미정산",U378&gt;0,OR(S378=$B$3,Z378&gt;0,U378&gt;0)))),1,0)</f>
        <v>0</v>
      </c>
      <c r="Y378" s="504">
        <f>IF(X378=1,COUNTIF($X$100:X378,1),0)</f>
        <v>0</v>
      </c>
      <c r="Z378" s="526">
        <f>IF(R378="OK",SUMIFS($O$430:$O$729,$B$430:$B$729,A378,$E$430:$E$729,"&gt;="&amp;$B$3,$E$430:$E$729,"&lt;"&amp;EDATE($B$3,1)),0)</f>
        <v>0</v>
      </c>
    </row>
    <row r="379" hidden="1" outlineLevel="1">
      <c r="A379" s="504">
        <f>IF(F379="","",IF(F379&gt;0,"R"&amp;F379,""))</f>
      </c>
      <c r="B379" s="504">
        <f>IF(F379="","",IFERROR(INDEX(RAW!$F:$F,MAX(2,F379)),""))</f>
      </c>
      <c r="C379" s="522" t="n"/>
      <c r="D379" s="524">
        <f>IF(F379="","",IFERROR(INDEX(RAW!$A:$A,MAX(2,F379)),""))</f>
      </c>
      <c r="E379" s="525">
        <f>IF(F379="","",IFERROR(INDEX(RAW!$K:$K,MAX(2,F379)),0))</f>
      </c>
      <c r="F379" s="522" t="n"/>
      <c r="G379" s="504" t="inlineStr">
        <is>
          <t>신규</t>
        </is>
      </c>
      <c r="O379" s="498">
        <f>IF(LEFT(R379,2)="확인",R379,"")</f>
      </c>
      <c r="R379" s="504">
        <f>IF(A379="","",IF(C379="생활비","생활비",IF(AND(COUNTIF($A$8:$A$12,C379)=1,ISNUMBER(D379),E379&gt;0,COUNTIF($A$100:$A$399,A379)=1,IFERROR(IF(F379="",AND(LEFT(A379,1)="U",G379="월기록"),AND(F379&gt;=2,COUNTIF($F$100:$F$399,F379)=1,INDEX(RAW!$H:$H,MAX(2,F379))="지출",D379=INDEX(RAW!$A:$A,MAX(2,F379)),E379&lt;=INDEX(RAW!$K:$K,MAX(2,F379)),OR(AND(G379="기존반영",OR(A379="U003",A379="U007")),AND(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AND(OR(A379&lt;&gt;"U003",F379=356),OR(A379&lt;&gt;"U007",F379=2203),OR(G379&lt;&gt;"기존반영",A379="U003",A379="U007")))),FALSE)),"OK","확인: 사용등록")))</f>
      </c>
      <c r="S379" s="504">
        <f>IF(ISNUMBER(D379),DATE(YEAR(D379),MONTH(D379),1),0)</f>
        <v>0</v>
      </c>
      <c r="T379" s="526">
        <f>IF(R379="OK",SUMIFS($O$430:$O$729,$B$430:$B$729,A379,$E$430:$E$729,"&lt;"&amp;EDATE($B$3,1)),0)</f>
        <v>0</v>
      </c>
      <c r="U379" s="526">
        <f>IF(AND(R379="OK",D379&lt;EDATE($B$3,1),$B$3&gt;=DATE(2026,3,1)),MAX(0,E379-T379),0)</f>
        <v>0</v>
      </c>
      <c r="V379" s="526">
        <f>IFERROR(IF(AND(R379="OK",AND(F379&gt;=2,G379&lt;&gt;"기존반영",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E379,0),0)</f>
        <v>0</v>
      </c>
      <c r="W379" s="526">
        <f>IF(V379&gt;0,ROUNDUP(INDEX(RAW!$K:$K,MAX(2,F379))/1000,0)*1000-ROUNDUP((INDEX(RAW!$K:$K,MAX(2,F379))-V379)/1000,0)*1000,0)</f>
        <v>0</v>
      </c>
      <c r="X379" s="504">
        <f>IF(AND(R379="OK",IF($B$43="전체",D379&lt;EDATE($B$3,1),IF($B$43="미정산",U379&gt;0,OR(S379=$B$3,Z379&gt;0,U379&gt;0)))),1,0)</f>
        <v>0</v>
      </c>
      <c r="Y379" s="504">
        <f>IF(X379=1,COUNTIF($X$100:X379,1),0)</f>
        <v>0</v>
      </c>
      <c r="Z379" s="526">
        <f>IF(R379="OK",SUMIFS($O$430:$O$729,$B$430:$B$729,A379,$E$430:$E$729,"&gt;="&amp;$B$3,$E$430:$E$729,"&lt;"&amp;EDATE($B$3,1)),0)</f>
        <v>0</v>
      </c>
    </row>
    <row r="380" hidden="1" outlineLevel="1">
      <c r="A380" s="504">
        <f>IF(F380="","",IF(F380&gt;0,"R"&amp;F380,""))</f>
      </c>
      <c r="B380" s="504">
        <f>IF(F380="","",IFERROR(INDEX(RAW!$F:$F,MAX(2,F380)),""))</f>
      </c>
      <c r="C380" s="522" t="n"/>
      <c r="D380" s="524">
        <f>IF(F380="","",IFERROR(INDEX(RAW!$A:$A,MAX(2,F380)),""))</f>
      </c>
      <c r="E380" s="525">
        <f>IF(F380="","",IFERROR(INDEX(RAW!$K:$K,MAX(2,F380)),0))</f>
      </c>
      <c r="F380" s="522" t="n"/>
      <c r="G380" s="504" t="inlineStr">
        <is>
          <t>신규</t>
        </is>
      </c>
      <c r="O380" s="498">
        <f>IF(LEFT(R380,2)="확인",R380,"")</f>
      </c>
      <c r="R380" s="504">
        <f>IF(A380="","",IF(C380="생활비","생활비",IF(AND(COUNTIF($A$8:$A$12,C380)=1,ISNUMBER(D380),E380&gt;0,COUNTIF($A$100:$A$399,A380)=1,IFERROR(IF(F380="",AND(LEFT(A380,1)="U",G380="월기록"),AND(F380&gt;=2,COUNTIF($F$100:$F$399,F380)=1,INDEX(RAW!$H:$H,MAX(2,F380))="지출",D380=INDEX(RAW!$A:$A,MAX(2,F380)),E380&lt;=INDEX(RAW!$K:$K,MAX(2,F380)),OR(AND(G380="기존반영",OR(A380="U003",A380="U007")),AND(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AND(OR(A380&lt;&gt;"U003",F380=356),OR(A380&lt;&gt;"U007",F380=2203),OR(G380&lt;&gt;"기존반영",A380="U003",A380="U007")))),FALSE)),"OK","확인: 사용등록")))</f>
      </c>
      <c r="S380" s="504">
        <f>IF(ISNUMBER(D380),DATE(YEAR(D380),MONTH(D380),1),0)</f>
        <v>0</v>
      </c>
      <c r="T380" s="526">
        <f>IF(R380="OK",SUMIFS($O$430:$O$729,$B$430:$B$729,A380,$E$430:$E$729,"&lt;"&amp;EDATE($B$3,1)),0)</f>
        <v>0</v>
      </c>
      <c r="U380" s="526">
        <f>IF(AND(R380="OK",D380&lt;EDATE($B$3,1),$B$3&gt;=DATE(2026,3,1)),MAX(0,E380-T380),0)</f>
        <v>0</v>
      </c>
      <c r="V380" s="526">
        <f>IFERROR(IF(AND(R380="OK",AND(F380&gt;=2,G380&lt;&gt;"기존반영",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E380,0),0)</f>
        <v>0</v>
      </c>
      <c r="W380" s="526">
        <f>IF(V380&gt;0,ROUNDUP(INDEX(RAW!$K:$K,MAX(2,F380))/1000,0)*1000-ROUNDUP((INDEX(RAW!$K:$K,MAX(2,F380))-V380)/1000,0)*1000,0)</f>
        <v>0</v>
      </c>
      <c r="X380" s="504">
        <f>IF(AND(R380="OK",IF($B$43="전체",D380&lt;EDATE($B$3,1),IF($B$43="미정산",U380&gt;0,OR(S380=$B$3,Z380&gt;0,U380&gt;0)))),1,0)</f>
        <v>0</v>
      </c>
      <c r="Y380" s="504">
        <f>IF(X380=1,COUNTIF($X$100:X380,1),0)</f>
        <v>0</v>
      </c>
      <c r="Z380" s="526">
        <f>IF(R380="OK",SUMIFS($O$430:$O$729,$B$430:$B$729,A380,$E$430:$E$729,"&gt;="&amp;$B$3,$E$430:$E$729,"&lt;"&amp;EDATE($B$3,1)),0)</f>
        <v>0</v>
      </c>
    </row>
    <row r="381" hidden="1" outlineLevel="1">
      <c r="A381" s="504">
        <f>IF(F381="","",IF(F381&gt;0,"R"&amp;F381,""))</f>
      </c>
      <c r="B381" s="504">
        <f>IF(F381="","",IFERROR(INDEX(RAW!$F:$F,MAX(2,F381)),""))</f>
      </c>
      <c r="C381" s="522" t="n"/>
      <c r="D381" s="524">
        <f>IF(F381="","",IFERROR(INDEX(RAW!$A:$A,MAX(2,F381)),""))</f>
      </c>
      <c r="E381" s="525">
        <f>IF(F381="","",IFERROR(INDEX(RAW!$K:$K,MAX(2,F381)),0))</f>
      </c>
      <c r="F381" s="522" t="n"/>
      <c r="G381" s="504" t="inlineStr">
        <is>
          <t>신규</t>
        </is>
      </c>
      <c r="O381" s="498">
        <f>IF(LEFT(R381,2)="확인",R381,"")</f>
      </c>
      <c r="R381" s="504">
        <f>IF(A381="","",IF(C381="생활비","생활비",IF(AND(COUNTIF($A$8:$A$12,C381)=1,ISNUMBER(D381),E381&gt;0,COUNTIF($A$100:$A$399,A381)=1,IFERROR(IF(F381="",AND(LEFT(A381,1)="U",G381="월기록"),AND(F381&gt;=2,COUNTIF($F$100:$F$399,F381)=1,INDEX(RAW!$H:$H,MAX(2,F381))="지출",D381=INDEX(RAW!$A:$A,MAX(2,F381)),E381&lt;=INDEX(RAW!$K:$K,MAX(2,F381)),OR(AND(G381="기존반영",OR(A381="U003",A381="U007")),AND(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AND(OR(A381&lt;&gt;"U003",F381=356),OR(A381&lt;&gt;"U007",F381=2203),OR(G381&lt;&gt;"기존반영",A381="U003",A381="U007")))),FALSE)),"OK","확인: 사용등록")))</f>
      </c>
      <c r="S381" s="504">
        <f>IF(ISNUMBER(D381),DATE(YEAR(D381),MONTH(D381),1),0)</f>
        <v>0</v>
      </c>
      <c r="T381" s="526">
        <f>IF(R381="OK",SUMIFS($O$430:$O$729,$B$430:$B$729,A381,$E$430:$E$729,"&lt;"&amp;EDATE($B$3,1)),0)</f>
        <v>0</v>
      </c>
      <c r="U381" s="526">
        <f>IF(AND(R381="OK",D381&lt;EDATE($B$3,1),$B$3&gt;=DATE(2026,3,1)),MAX(0,E381-T381),0)</f>
        <v>0</v>
      </c>
      <c r="V381" s="526">
        <f>IFERROR(IF(AND(R381="OK",AND(F381&gt;=2,G381&lt;&gt;"기존반영",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E381,0),0)</f>
        <v>0</v>
      </c>
      <c r="W381" s="526">
        <f>IF(V381&gt;0,ROUNDUP(INDEX(RAW!$K:$K,MAX(2,F381))/1000,0)*1000-ROUNDUP((INDEX(RAW!$K:$K,MAX(2,F381))-V381)/1000,0)*1000,0)</f>
        <v>0</v>
      </c>
      <c r="X381" s="504">
        <f>IF(AND(R381="OK",IF($B$43="전체",D381&lt;EDATE($B$3,1),IF($B$43="미정산",U381&gt;0,OR(S381=$B$3,Z381&gt;0,U381&gt;0)))),1,0)</f>
        <v>0</v>
      </c>
      <c r="Y381" s="504">
        <f>IF(X381=1,COUNTIF($X$100:X381,1),0)</f>
        <v>0</v>
      </c>
      <c r="Z381" s="526">
        <f>IF(R381="OK",SUMIFS($O$430:$O$729,$B$430:$B$729,A381,$E$430:$E$729,"&gt;="&amp;$B$3,$E$430:$E$729,"&lt;"&amp;EDATE($B$3,1)),0)</f>
        <v>0</v>
      </c>
    </row>
    <row r="382" hidden="1" outlineLevel="1">
      <c r="A382" s="504">
        <f>IF(F382="","",IF(F382&gt;0,"R"&amp;F382,""))</f>
      </c>
      <c r="B382" s="504">
        <f>IF(F382="","",IFERROR(INDEX(RAW!$F:$F,MAX(2,F382)),""))</f>
      </c>
      <c r="C382" s="522" t="n"/>
      <c r="D382" s="524">
        <f>IF(F382="","",IFERROR(INDEX(RAW!$A:$A,MAX(2,F382)),""))</f>
      </c>
      <c r="E382" s="525">
        <f>IF(F382="","",IFERROR(INDEX(RAW!$K:$K,MAX(2,F382)),0))</f>
      </c>
      <c r="F382" s="522" t="n"/>
      <c r="G382" s="504" t="inlineStr">
        <is>
          <t>신규</t>
        </is>
      </c>
      <c r="O382" s="498">
        <f>IF(LEFT(R382,2)="확인",R382,"")</f>
      </c>
      <c r="R382" s="504">
        <f>IF(A382="","",IF(C382="생활비","생활비",IF(AND(COUNTIF($A$8:$A$12,C382)=1,ISNUMBER(D382),E382&gt;0,COUNTIF($A$100:$A$399,A382)=1,IFERROR(IF(F382="",AND(LEFT(A382,1)="U",G382="월기록"),AND(F382&gt;=2,COUNTIF($F$100:$F$399,F382)=1,INDEX(RAW!$H:$H,MAX(2,F382))="지출",D382=INDEX(RAW!$A:$A,MAX(2,F382)),E382&lt;=INDEX(RAW!$K:$K,MAX(2,F382)),OR(AND(G382="기존반영",OR(A382="U003",A382="U007")),AND(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AND(OR(A382&lt;&gt;"U003",F382=356),OR(A382&lt;&gt;"U007",F382=2203),OR(G382&lt;&gt;"기존반영",A382="U003",A382="U007")))),FALSE)),"OK","확인: 사용등록")))</f>
      </c>
      <c r="S382" s="504">
        <f>IF(ISNUMBER(D382),DATE(YEAR(D382),MONTH(D382),1),0)</f>
        <v>0</v>
      </c>
      <c r="T382" s="526">
        <f>IF(R382="OK",SUMIFS($O$430:$O$729,$B$430:$B$729,A382,$E$430:$E$729,"&lt;"&amp;EDATE($B$3,1)),0)</f>
        <v>0</v>
      </c>
      <c r="U382" s="526">
        <f>IF(AND(R382="OK",D382&lt;EDATE($B$3,1),$B$3&gt;=DATE(2026,3,1)),MAX(0,E382-T382),0)</f>
        <v>0</v>
      </c>
      <c r="V382" s="526">
        <f>IFERROR(IF(AND(R382="OK",AND(F382&gt;=2,G382&lt;&gt;"기존반영",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E382,0),0)</f>
        <v>0</v>
      </c>
      <c r="W382" s="526">
        <f>IF(V382&gt;0,ROUNDUP(INDEX(RAW!$K:$K,MAX(2,F382))/1000,0)*1000-ROUNDUP((INDEX(RAW!$K:$K,MAX(2,F382))-V382)/1000,0)*1000,0)</f>
        <v>0</v>
      </c>
      <c r="X382" s="504">
        <f>IF(AND(R382="OK",IF($B$43="전체",D382&lt;EDATE($B$3,1),IF($B$43="미정산",U382&gt;0,OR(S382=$B$3,Z382&gt;0,U382&gt;0)))),1,0)</f>
        <v>0</v>
      </c>
      <c r="Y382" s="504">
        <f>IF(X382=1,COUNTIF($X$100:X382,1),0)</f>
        <v>0</v>
      </c>
      <c r="Z382" s="526">
        <f>IF(R382="OK",SUMIFS($O$430:$O$729,$B$430:$B$729,A382,$E$430:$E$729,"&gt;="&amp;$B$3,$E$430:$E$729,"&lt;"&amp;EDATE($B$3,1)),0)</f>
        <v>0</v>
      </c>
    </row>
    <row r="383" hidden="1" outlineLevel="1">
      <c r="A383" s="504">
        <f>IF(F383="","",IF(F383&gt;0,"R"&amp;F383,""))</f>
      </c>
      <c r="B383" s="504">
        <f>IF(F383="","",IFERROR(INDEX(RAW!$F:$F,MAX(2,F383)),""))</f>
      </c>
      <c r="C383" s="522" t="n"/>
      <c r="D383" s="524">
        <f>IF(F383="","",IFERROR(INDEX(RAW!$A:$A,MAX(2,F383)),""))</f>
      </c>
      <c r="E383" s="525">
        <f>IF(F383="","",IFERROR(INDEX(RAW!$K:$K,MAX(2,F383)),0))</f>
      </c>
      <c r="F383" s="522" t="n"/>
      <c r="G383" s="504" t="inlineStr">
        <is>
          <t>신규</t>
        </is>
      </c>
      <c r="O383" s="498">
        <f>IF(LEFT(R383,2)="확인",R383,"")</f>
      </c>
      <c r="R383" s="504">
        <f>IF(A383="","",IF(C383="생활비","생활비",IF(AND(COUNTIF($A$8:$A$12,C383)=1,ISNUMBER(D383),E383&gt;0,COUNTIF($A$100:$A$399,A383)=1,IFERROR(IF(F383="",AND(LEFT(A383,1)="U",G383="월기록"),AND(F383&gt;=2,COUNTIF($F$100:$F$399,F383)=1,INDEX(RAW!$H:$H,MAX(2,F383))="지출",D383=INDEX(RAW!$A:$A,MAX(2,F383)),E383&lt;=INDEX(RAW!$K:$K,MAX(2,F383)),OR(AND(G383="기존반영",OR(A383="U003",A383="U007")),AND(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AND(OR(A383&lt;&gt;"U003",F383=356),OR(A383&lt;&gt;"U007",F383=2203),OR(G383&lt;&gt;"기존반영",A383="U003",A383="U007")))),FALSE)),"OK","확인: 사용등록")))</f>
      </c>
      <c r="S383" s="504">
        <f>IF(ISNUMBER(D383),DATE(YEAR(D383),MONTH(D383),1),0)</f>
        <v>0</v>
      </c>
      <c r="T383" s="526">
        <f>IF(R383="OK",SUMIFS($O$430:$O$729,$B$430:$B$729,A383,$E$430:$E$729,"&lt;"&amp;EDATE($B$3,1)),0)</f>
        <v>0</v>
      </c>
      <c r="U383" s="526">
        <f>IF(AND(R383="OK",D383&lt;EDATE($B$3,1),$B$3&gt;=DATE(2026,3,1)),MAX(0,E383-T383),0)</f>
        <v>0</v>
      </c>
      <c r="V383" s="526">
        <f>IFERROR(IF(AND(R383="OK",AND(F383&gt;=2,G383&lt;&gt;"기존반영",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E383,0),0)</f>
        <v>0</v>
      </c>
      <c r="W383" s="526">
        <f>IF(V383&gt;0,ROUNDUP(INDEX(RAW!$K:$K,MAX(2,F383))/1000,0)*1000-ROUNDUP((INDEX(RAW!$K:$K,MAX(2,F383))-V383)/1000,0)*1000,0)</f>
        <v>0</v>
      </c>
      <c r="X383" s="504">
        <f>IF(AND(R383="OK",IF($B$43="전체",D383&lt;EDATE($B$3,1),IF($B$43="미정산",U383&gt;0,OR(S383=$B$3,Z383&gt;0,U383&gt;0)))),1,0)</f>
        <v>0</v>
      </c>
      <c r="Y383" s="504">
        <f>IF(X383=1,COUNTIF($X$100:X383,1),0)</f>
        <v>0</v>
      </c>
      <c r="Z383" s="526">
        <f>IF(R383="OK",SUMIFS($O$430:$O$729,$B$430:$B$729,A383,$E$430:$E$729,"&gt;="&amp;$B$3,$E$430:$E$729,"&lt;"&amp;EDATE($B$3,1)),0)</f>
        <v>0</v>
      </c>
    </row>
    <row r="384" hidden="1" outlineLevel="1">
      <c r="A384" s="504">
        <f>IF(F384="","",IF(F384&gt;0,"R"&amp;F384,""))</f>
      </c>
      <c r="B384" s="504">
        <f>IF(F384="","",IFERROR(INDEX(RAW!$F:$F,MAX(2,F384)),""))</f>
      </c>
      <c r="C384" s="522" t="n"/>
      <c r="D384" s="524">
        <f>IF(F384="","",IFERROR(INDEX(RAW!$A:$A,MAX(2,F384)),""))</f>
      </c>
      <c r="E384" s="525">
        <f>IF(F384="","",IFERROR(INDEX(RAW!$K:$K,MAX(2,F384)),0))</f>
      </c>
      <c r="F384" s="522" t="n"/>
      <c r="G384" s="504" t="inlineStr">
        <is>
          <t>신규</t>
        </is>
      </c>
      <c r="O384" s="498">
        <f>IF(LEFT(R384,2)="확인",R384,"")</f>
      </c>
      <c r="R384" s="504">
        <f>IF(A384="","",IF(C384="생활비","생활비",IF(AND(COUNTIF($A$8:$A$12,C384)=1,ISNUMBER(D384),E384&gt;0,COUNTIF($A$100:$A$399,A384)=1,IFERROR(IF(F384="",AND(LEFT(A384,1)="U",G384="월기록"),AND(F384&gt;=2,COUNTIF($F$100:$F$399,F384)=1,INDEX(RAW!$H:$H,MAX(2,F384))="지출",D384=INDEX(RAW!$A:$A,MAX(2,F384)),E384&lt;=INDEX(RAW!$K:$K,MAX(2,F384)),OR(AND(G384="기존반영",OR(A384="U003",A384="U007")),AND(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AND(OR(A384&lt;&gt;"U003",F384=356),OR(A384&lt;&gt;"U007",F384=2203),OR(G384&lt;&gt;"기존반영",A384="U003",A384="U007")))),FALSE)),"OK","확인: 사용등록")))</f>
      </c>
      <c r="S384" s="504">
        <f>IF(ISNUMBER(D384),DATE(YEAR(D384),MONTH(D384),1),0)</f>
        <v>0</v>
      </c>
      <c r="T384" s="526">
        <f>IF(R384="OK",SUMIFS($O$430:$O$729,$B$430:$B$729,A384,$E$430:$E$729,"&lt;"&amp;EDATE($B$3,1)),0)</f>
        <v>0</v>
      </c>
      <c r="U384" s="526">
        <f>IF(AND(R384="OK",D384&lt;EDATE($B$3,1),$B$3&gt;=DATE(2026,3,1)),MAX(0,E384-T384),0)</f>
        <v>0</v>
      </c>
      <c r="V384" s="526">
        <f>IFERROR(IF(AND(R384="OK",AND(F384&gt;=2,G384&lt;&gt;"기존반영",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E384,0),0)</f>
        <v>0</v>
      </c>
      <c r="W384" s="526">
        <f>IF(V384&gt;0,ROUNDUP(INDEX(RAW!$K:$K,MAX(2,F384))/1000,0)*1000-ROUNDUP((INDEX(RAW!$K:$K,MAX(2,F384))-V384)/1000,0)*1000,0)</f>
        <v>0</v>
      </c>
      <c r="X384" s="504">
        <f>IF(AND(R384="OK",IF($B$43="전체",D384&lt;EDATE($B$3,1),IF($B$43="미정산",U384&gt;0,OR(S384=$B$3,Z384&gt;0,U384&gt;0)))),1,0)</f>
        <v>0</v>
      </c>
      <c r="Y384" s="504">
        <f>IF(X384=1,COUNTIF($X$100:X384,1),0)</f>
        <v>0</v>
      </c>
      <c r="Z384" s="526">
        <f>IF(R384="OK",SUMIFS($O$430:$O$729,$B$430:$B$729,A384,$E$430:$E$729,"&gt;="&amp;$B$3,$E$430:$E$729,"&lt;"&amp;EDATE($B$3,1)),0)</f>
        <v>0</v>
      </c>
    </row>
    <row r="385" hidden="1" outlineLevel="1">
      <c r="A385" s="504">
        <f>IF(F385="","",IF(F385&gt;0,"R"&amp;F385,""))</f>
      </c>
      <c r="B385" s="504">
        <f>IF(F385="","",IFERROR(INDEX(RAW!$F:$F,MAX(2,F385)),""))</f>
      </c>
      <c r="C385" s="522" t="n"/>
      <c r="D385" s="524">
        <f>IF(F385="","",IFERROR(INDEX(RAW!$A:$A,MAX(2,F385)),""))</f>
      </c>
      <c r="E385" s="525">
        <f>IF(F385="","",IFERROR(INDEX(RAW!$K:$K,MAX(2,F385)),0))</f>
      </c>
      <c r="F385" s="522" t="n"/>
      <c r="G385" s="504" t="inlineStr">
        <is>
          <t>신규</t>
        </is>
      </c>
      <c r="O385" s="498">
        <f>IF(LEFT(R385,2)="확인",R385,"")</f>
      </c>
      <c r="R385" s="504">
        <f>IF(A385="","",IF(C385="생활비","생활비",IF(AND(COUNTIF($A$8:$A$12,C385)=1,ISNUMBER(D385),E385&gt;0,COUNTIF($A$100:$A$399,A385)=1,IFERROR(IF(F385="",AND(LEFT(A385,1)="U",G385="월기록"),AND(F385&gt;=2,COUNTIF($F$100:$F$399,F385)=1,INDEX(RAW!$H:$H,MAX(2,F385))="지출",D385=INDEX(RAW!$A:$A,MAX(2,F385)),E385&lt;=INDEX(RAW!$K:$K,MAX(2,F385)),OR(AND(G385="기존반영",OR(A385="U003",A385="U007")),AND(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AND(OR(A385&lt;&gt;"U003",F385=356),OR(A385&lt;&gt;"U007",F385=2203),OR(G385&lt;&gt;"기존반영",A385="U003",A385="U007")))),FALSE)),"OK","확인: 사용등록")))</f>
      </c>
      <c r="S385" s="504">
        <f>IF(ISNUMBER(D385),DATE(YEAR(D385),MONTH(D385),1),0)</f>
        <v>0</v>
      </c>
      <c r="T385" s="526">
        <f>IF(R385="OK",SUMIFS($O$430:$O$729,$B$430:$B$729,A385,$E$430:$E$729,"&lt;"&amp;EDATE($B$3,1)),0)</f>
        <v>0</v>
      </c>
      <c r="U385" s="526">
        <f>IF(AND(R385="OK",D385&lt;EDATE($B$3,1),$B$3&gt;=DATE(2026,3,1)),MAX(0,E385-T385),0)</f>
        <v>0</v>
      </c>
      <c r="V385" s="526">
        <f>IFERROR(IF(AND(R385="OK",AND(F385&gt;=2,G385&lt;&gt;"기존반영",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E385,0),0)</f>
        <v>0</v>
      </c>
      <c r="W385" s="526">
        <f>IF(V385&gt;0,ROUNDUP(INDEX(RAW!$K:$K,MAX(2,F385))/1000,0)*1000-ROUNDUP((INDEX(RAW!$K:$K,MAX(2,F385))-V385)/1000,0)*1000,0)</f>
        <v>0</v>
      </c>
      <c r="X385" s="504">
        <f>IF(AND(R385="OK",IF($B$43="전체",D385&lt;EDATE($B$3,1),IF($B$43="미정산",U385&gt;0,OR(S385=$B$3,Z385&gt;0,U385&gt;0)))),1,0)</f>
        <v>0</v>
      </c>
      <c r="Y385" s="504">
        <f>IF(X385=1,COUNTIF($X$100:X385,1),0)</f>
        <v>0</v>
      </c>
      <c r="Z385" s="526">
        <f>IF(R385="OK",SUMIFS($O$430:$O$729,$B$430:$B$729,A385,$E$430:$E$729,"&gt;="&amp;$B$3,$E$430:$E$729,"&lt;"&amp;EDATE($B$3,1)),0)</f>
        <v>0</v>
      </c>
    </row>
    <row r="386" hidden="1" outlineLevel="1">
      <c r="A386" s="504">
        <f>IF(F386="","",IF(F386&gt;0,"R"&amp;F386,""))</f>
      </c>
      <c r="B386" s="504">
        <f>IF(F386="","",IFERROR(INDEX(RAW!$F:$F,MAX(2,F386)),""))</f>
      </c>
      <c r="C386" s="522" t="n"/>
      <c r="D386" s="524">
        <f>IF(F386="","",IFERROR(INDEX(RAW!$A:$A,MAX(2,F386)),""))</f>
      </c>
      <c r="E386" s="525">
        <f>IF(F386="","",IFERROR(INDEX(RAW!$K:$K,MAX(2,F386)),0))</f>
      </c>
      <c r="F386" s="522" t="n"/>
      <c r="G386" s="504" t="inlineStr">
        <is>
          <t>신규</t>
        </is>
      </c>
      <c r="O386" s="498">
        <f>IF(LEFT(R386,2)="확인",R386,"")</f>
      </c>
      <c r="R386" s="504">
        <f>IF(A386="","",IF(C386="생활비","생활비",IF(AND(COUNTIF($A$8:$A$12,C386)=1,ISNUMBER(D386),E386&gt;0,COUNTIF($A$100:$A$399,A386)=1,IFERROR(IF(F386="",AND(LEFT(A386,1)="U",G386="월기록"),AND(F386&gt;=2,COUNTIF($F$100:$F$399,F386)=1,INDEX(RAW!$H:$H,MAX(2,F386))="지출",D386=INDEX(RAW!$A:$A,MAX(2,F386)),E386&lt;=INDEX(RAW!$K:$K,MAX(2,F386)),OR(AND(G386="기존반영",OR(A386="U003",A386="U007")),AND(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AND(OR(A386&lt;&gt;"U003",F386=356),OR(A386&lt;&gt;"U007",F386=2203),OR(G386&lt;&gt;"기존반영",A386="U003",A386="U007")))),FALSE)),"OK","확인: 사용등록")))</f>
      </c>
      <c r="S386" s="504">
        <f>IF(ISNUMBER(D386),DATE(YEAR(D386),MONTH(D386),1),0)</f>
        <v>0</v>
      </c>
      <c r="T386" s="526">
        <f>IF(R386="OK",SUMIFS($O$430:$O$729,$B$430:$B$729,A386,$E$430:$E$729,"&lt;"&amp;EDATE($B$3,1)),0)</f>
        <v>0</v>
      </c>
      <c r="U386" s="526">
        <f>IF(AND(R386="OK",D386&lt;EDATE($B$3,1),$B$3&gt;=DATE(2026,3,1)),MAX(0,E386-T386),0)</f>
        <v>0</v>
      </c>
      <c r="V386" s="526">
        <f>IFERROR(IF(AND(R386="OK",AND(F386&gt;=2,G386&lt;&gt;"기존반영",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E386,0),0)</f>
        <v>0</v>
      </c>
      <c r="W386" s="526">
        <f>IF(V386&gt;0,ROUNDUP(INDEX(RAW!$K:$K,MAX(2,F386))/1000,0)*1000-ROUNDUP((INDEX(RAW!$K:$K,MAX(2,F386))-V386)/1000,0)*1000,0)</f>
        <v>0</v>
      </c>
      <c r="X386" s="504">
        <f>IF(AND(R386="OK",IF($B$43="전체",D386&lt;EDATE($B$3,1),IF($B$43="미정산",U386&gt;0,OR(S386=$B$3,Z386&gt;0,U386&gt;0)))),1,0)</f>
        <v>0</v>
      </c>
      <c r="Y386" s="504">
        <f>IF(X386=1,COUNTIF($X$100:X386,1),0)</f>
        <v>0</v>
      </c>
      <c r="Z386" s="526">
        <f>IF(R386="OK",SUMIFS($O$430:$O$729,$B$430:$B$729,A386,$E$430:$E$729,"&gt;="&amp;$B$3,$E$430:$E$729,"&lt;"&amp;EDATE($B$3,1)),0)</f>
        <v>0</v>
      </c>
    </row>
    <row r="387" hidden="1" outlineLevel="1">
      <c r="A387" s="504">
        <f>IF(F387="","",IF(F387&gt;0,"R"&amp;F387,""))</f>
      </c>
      <c r="B387" s="504">
        <f>IF(F387="","",IFERROR(INDEX(RAW!$F:$F,MAX(2,F387)),""))</f>
      </c>
      <c r="C387" s="522" t="n"/>
      <c r="D387" s="524">
        <f>IF(F387="","",IFERROR(INDEX(RAW!$A:$A,MAX(2,F387)),""))</f>
      </c>
      <c r="E387" s="525">
        <f>IF(F387="","",IFERROR(INDEX(RAW!$K:$K,MAX(2,F387)),0))</f>
      </c>
      <c r="F387" s="522" t="n"/>
      <c r="G387" s="504" t="inlineStr">
        <is>
          <t>신규</t>
        </is>
      </c>
      <c r="O387" s="498">
        <f>IF(LEFT(R387,2)="확인",R387,"")</f>
      </c>
      <c r="R387" s="504">
        <f>IF(A387="","",IF(C387="생활비","생활비",IF(AND(COUNTIF($A$8:$A$12,C387)=1,ISNUMBER(D387),E387&gt;0,COUNTIF($A$100:$A$399,A387)=1,IFERROR(IF(F387="",AND(LEFT(A387,1)="U",G387="월기록"),AND(F387&gt;=2,COUNTIF($F$100:$F$399,F387)=1,INDEX(RAW!$H:$H,MAX(2,F387))="지출",D387=INDEX(RAW!$A:$A,MAX(2,F387)),E387&lt;=INDEX(RAW!$K:$K,MAX(2,F387)),OR(AND(G387="기존반영",OR(A387="U003",A387="U007")),AND(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AND(OR(A387&lt;&gt;"U003",F387=356),OR(A387&lt;&gt;"U007",F387=2203),OR(G387&lt;&gt;"기존반영",A387="U003",A387="U007")))),FALSE)),"OK","확인: 사용등록")))</f>
      </c>
      <c r="S387" s="504">
        <f>IF(ISNUMBER(D387),DATE(YEAR(D387),MONTH(D387),1),0)</f>
        <v>0</v>
      </c>
      <c r="T387" s="526">
        <f>IF(R387="OK",SUMIFS($O$430:$O$729,$B$430:$B$729,A387,$E$430:$E$729,"&lt;"&amp;EDATE($B$3,1)),0)</f>
        <v>0</v>
      </c>
      <c r="U387" s="526">
        <f>IF(AND(R387="OK",D387&lt;EDATE($B$3,1),$B$3&gt;=DATE(2026,3,1)),MAX(0,E387-T387),0)</f>
        <v>0</v>
      </c>
      <c r="V387" s="526">
        <f>IFERROR(IF(AND(R387="OK",AND(F387&gt;=2,G387&lt;&gt;"기존반영",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E387,0),0)</f>
        <v>0</v>
      </c>
      <c r="W387" s="526">
        <f>IF(V387&gt;0,ROUNDUP(INDEX(RAW!$K:$K,MAX(2,F387))/1000,0)*1000-ROUNDUP((INDEX(RAW!$K:$K,MAX(2,F387))-V387)/1000,0)*1000,0)</f>
        <v>0</v>
      </c>
      <c r="X387" s="504">
        <f>IF(AND(R387="OK",IF($B$43="전체",D387&lt;EDATE($B$3,1),IF($B$43="미정산",U387&gt;0,OR(S387=$B$3,Z387&gt;0,U387&gt;0)))),1,0)</f>
        <v>0</v>
      </c>
      <c r="Y387" s="504">
        <f>IF(X387=1,COUNTIF($X$100:X387,1),0)</f>
        <v>0</v>
      </c>
      <c r="Z387" s="526">
        <f>IF(R387="OK",SUMIFS($O$430:$O$729,$B$430:$B$729,A387,$E$430:$E$729,"&gt;="&amp;$B$3,$E$430:$E$729,"&lt;"&amp;EDATE($B$3,1)),0)</f>
        <v>0</v>
      </c>
    </row>
    <row r="388" hidden="1" outlineLevel="1">
      <c r="A388" s="504">
        <f>IF(F388="","",IF(F388&gt;0,"R"&amp;F388,""))</f>
      </c>
      <c r="B388" s="504">
        <f>IF(F388="","",IFERROR(INDEX(RAW!$F:$F,MAX(2,F388)),""))</f>
      </c>
      <c r="C388" s="522" t="n"/>
      <c r="D388" s="524">
        <f>IF(F388="","",IFERROR(INDEX(RAW!$A:$A,MAX(2,F388)),""))</f>
      </c>
      <c r="E388" s="525">
        <f>IF(F388="","",IFERROR(INDEX(RAW!$K:$K,MAX(2,F388)),0))</f>
      </c>
      <c r="F388" s="522" t="n"/>
      <c r="G388" s="504" t="inlineStr">
        <is>
          <t>신규</t>
        </is>
      </c>
      <c r="O388" s="498">
        <f>IF(LEFT(R388,2)="확인",R388,"")</f>
      </c>
      <c r="R388" s="504">
        <f>IF(A388="","",IF(C388="생활비","생활비",IF(AND(COUNTIF($A$8:$A$12,C388)=1,ISNUMBER(D388),E388&gt;0,COUNTIF($A$100:$A$399,A388)=1,IFERROR(IF(F388="",AND(LEFT(A388,1)="U",G388="월기록"),AND(F388&gt;=2,COUNTIF($F$100:$F$399,F388)=1,INDEX(RAW!$H:$H,MAX(2,F388))="지출",D388=INDEX(RAW!$A:$A,MAX(2,F388)),E388&lt;=INDEX(RAW!$K:$K,MAX(2,F388)),OR(AND(G388="기존반영",OR(A388="U003",A388="U007")),AND(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AND(OR(A388&lt;&gt;"U003",F388=356),OR(A388&lt;&gt;"U007",F388=2203),OR(G388&lt;&gt;"기존반영",A388="U003",A388="U007")))),FALSE)),"OK","확인: 사용등록")))</f>
      </c>
      <c r="S388" s="504">
        <f>IF(ISNUMBER(D388),DATE(YEAR(D388),MONTH(D388),1),0)</f>
        <v>0</v>
      </c>
      <c r="T388" s="526">
        <f>IF(R388="OK",SUMIFS($O$430:$O$729,$B$430:$B$729,A388,$E$430:$E$729,"&lt;"&amp;EDATE($B$3,1)),0)</f>
        <v>0</v>
      </c>
      <c r="U388" s="526">
        <f>IF(AND(R388="OK",D388&lt;EDATE($B$3,1),$B$3&gt;=DATE(2026,3,1)),MAX(0,E388-T388),0)</f>
        <v>0</v>
      </c>
      <c r="V388" s="526">
        <f>IFERROR(IF(AND(R388="OK",AND(F388&gt;=2,G388&lt;&gt;"기존반영",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E388,0),0)</f>
        <v>0</v>
      </c>
      <c r="W388" s="526">
        <f>IF(V388&gt;0,ROUNDUP(INDEX(RAW!$K:$K,MAX(2,F388))/1000,0)*1000-ROUNDUP((INDEX(RAW!$K:$K,MAX(2,F388))-V388)/1000,0)*1000,0)</f>
        <v>0</v>
      </c>
      <c r="X388" s="504">
        <f>IF(AND(R388="OK",IF($B$43="전체",D388&lt;EDATE($B$3,1),IF($B$43="미정산",U388&gt;0,OR(S388=$B$3,Z388&gt;0,U388&gt;0)))),1,0)</f>
        <v>0</v>
      </c>
      <c r="Y388" s="504">
        <f>IF(X388=1,COUNTIF($X$100:X388,1),0)</f>
        <v>0</v>
      </c>
      <c r="Z388" s="526">
        <f>IF(R388="OK",SUMIFS($O$430:$O$729,$B$430:$B$729,A388,$E$430:$E$729,"&gt;="&amp;$B$3,$E$430:$E$729,"&lt;"&amp;EDATE($B$3,1)),0)</f>
        <v>0</v>
      </c>
    </row>
    <row r="389" hidden="1" outlineLevel="1">
      <c r="A389" s="504">
        <f>IF(F389="","",IF(F389&gt;0,"R"&amp;F389,""))</f>
      </c>
      <c r="B389" s="504">
        <f>IF(F389="","",IFERROR(INDEX(RAW!$F:$F,MAX(2,F389)),""))</f>
      </c>
      <c r="C389" s="522" t="n"/>
      <c r="D389" s="524">
        <f>IF(F389="","",IFERROR(INDEX(RAW!$A:$A,MAX(2,F389)),""))</f>
      </c>
      <c r="E389" s="525">
        <f>IF(F389="","",IFERROR(INDEX(RAW!$K:$K,MAX(2,F389)),0))</f>
      </c>
      <c r="F389" s="522" t="n"/>
      <c r="G389" s="504" t="inlineStr">
        <is>
          <t>신규</t>
        </is>
      </c>
      <c r="O389" s="498">
        <f>IF(LEFT(R389,2)="확인",R389,"")</f>
      </c>
      <c r="R389" s="504">
        <f>IF(A389="","",IF(C389="생활비","생활비",IF(AND(COUNTIF($A$8:$A$12,C389)=1,ISNUMBER(D389),E389&gt;0,COUNTIF($A$100:$A$399,A389)=1,IFERROR(IF(F389="",AND(LEFT(A389,1)="U",G389="월기록"),AND(F389&gt;=2,COUNTIF($F$100:$F$399,F389)=1,INDEX(RAW!$H:$H,MAX(2,F389))="지출",D389=INDEX(RAW!$A:$A,MAX(2,F389)),E389&lt;=INDEX(RAW!$K:$K,MAX(2,F389)),OR(AND(G389="기존반영",OR(A389="U003",A389="U007")),AND(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AND(OR(A389&lt;&gt;"U003",F389=356),OR(A389&lt;&gt;"U007",F389=2203),OR(G389&lt;&gt;"기존반영",A389="U003",A389="U007")))),FALSE)),"OK","확인: 사용등록")))</f>
      </c>
      <c r="S389" s="504">
        <f>IF(ISNUMBER(D389),DATE(YEAR(D389),MONTH(D389),1),0)</f>
        <v>0</v>
      </c>
      <c r="T389" s="526">
        <f>IF(R389="OK",SUMIFS($O$430:$O$729,$B$430:$B$729,A389,$E$430:$E$729,"&lt;"&amp;EDATE($B$3,1)),0)</f>
        <v>0</v>
      </c>
      <c r="U389" s="526">
        <f>IF(AND(R389="OK",D389&lt;EDATE($B$3,1),$B$3&gt;=DATE(2026,3,1)),MAX(0,E389-T389),0)</f>
        <v>0</v>
      </c>
      <c r="V389" s="526">
        <f>IFERROR(IF(AND(R389="OK",AND(F389&gt;=2,G389&lt;&gt;"기존반영",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E389,0),0)</f>
        <v>0</v>
      </c>
      <c r="W389" s="526">
        <f>IF(V389&gt;0,ROUNDUP(INDEX(RAW!$K:$K,MAX(2,F389))/1000,0)*1000-ROUNDUP((INDEX(RAW!$K:$K,MAX(2,F389))-V389)/1000,0)*1000,0)</f>
        <v>0</v>
      </c>
      <c r="X389" s="504">
        <f>IF(AND(R389="OK",IF($B$43="전체",D389&lt;EDATE($B$3,1),IF($B$43="미정산",U389&gt;0,OR(S389=$B$3,Z389&gt;0,U389&gt;0)))),1,0)</f>
        <v>0</v>
      </c>
      <c r="Y389" s="504">
        <f>IF(X389=1,COUNTIF($X$100:X389,1),0)</f>
        <v>0</v>
      </c>
      <c r="Z389" s="526">
        <f>IF(R389="OK",SUMIFS($O$430:$O$729,$B$430:$B$729,A389,$E$430:$E$729,"&gt;="&amp;$B$3,$E$430:$E$729,"&lt;"&amp;EDATE($B$3,1)),0)</f>
        <v>0</v>
      </c>
    </row>
    <row r="390" hidden="1" outlineLevel="1">
      <c r="A390" s="504">
        <f>IF(F390="","",IF(F390&gt;0,"R"&amp;F390,""))</f>
      </c>
      <c r="B390" s="504">
        <f>IF(F390="","",IFERROR(INDEX(RAW!$F:$F,MAX(2,F390)),""))</f>
      </c>
      <c r="C390" s="522" t="n"/>
      <c r="D390" s="524">
        <f>IF(F390="","",IFERROR(INDEX(RAW!$A:$A,MAX(2,F390)),""))</f>
      </c>
      <c r="E390" s="525">
        <f>IF(F390="","",IFERROR(INDEX(RAW!$K:$K,MAX(2,F390)),0))</f>
      </c>
      <c r="F390" s="522" t="n"/>
      <c r="G390" s="504" t="inlineStr">
        <is>
          <t>신규</t>
        </is>
      </c>
      <c r="O390" s="498">
        <f>IF(LEFT(R390,2)="확인",R390,"")</f>
      </c>
      <c r="R390" s="504">
        <f>IF(A390="","",IF(C390="생활비","생활비",IF(AND(COUNTIF($A$8:$A$12,C390)=1,ISNUMBER(D390),E390&gt;0,COUNTIF($A$100:$A$399,A390)=1,IFERROR(IF(F390="",AND(LEFT(A390,1)="U",G390="월기록"),AND(F390&gt;=2,COUNTIF($F$100:$F$399,F390)=1,INDEX(RAW!$H:$H,MAX(2,F390))="지출",D390=INDEX(RAW!$A:$A,MAX(2,F390)),E390&lt;=INDEX(RAW!$K:$K,MAX(2,F390)),OR(AND(G390="기존반영",OR(A390="U003",A390="U007")),AND(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AND(OR(A390&lt;&gt;"U003",F390=356),OR(A390&lt;&gt;"U007",F390=2203),OR(G390&lt;&gt;"기존반영",A390="U003",A390="U007")))),FALSE)),"OK","확인: 사용등록")))</f>
      </c>
      <c r="S390" s="504">
        <f>IF(ISNUMBER(D390),DATE(YEAR(D390),MONTH(D390),1),0)</f>
        <v>0</v>
      </c>
      <c r="T390" s="526">
        <f>IF(R390="OK",SUMIFS($O$430:$O$729,$B$430:$B$729,A390,$E$430:$E$729,"&lt;"&amp;EDATE($B$3,1)),0)</f>
        <v>0</v>
      </c>
      <c r="U390" s="526">
        <f>IF(AND(R390="OK",D390&lt;EDATE($B$3,1),$B$3&gt;=DATE(2026,3,1)),MAX(0,E390-T390),0)</f>
        <v>0</v>
      </c>
      <c r="V390" s="526">
        <f>IFERROR(IF(AND(R390="OK",AND(F390&gt;=2,G390&lt;&gt;"기존반영",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E390,0),0)</f>
        <v>0</v>
      </c>
      <c r="W390" s="526">
        <f>IF(V390&gt;0,ROUNDUP(INDEX(RAW!$K:$K,MAX(2,F390))/1000,0)*1000-ROUNDUP((INDEX(RAW!$K:$K,MAX(2,F390))-V390)/1000,0)*1000,0)</f>
        <v>0</v>
      </c>
      <c r="X390" s="504">
        <f>IF(AND(R390="OK",IF($B$43="전체",D390&lt;EDATE($B$3,1),IF($B$43="미정산",U390&gt;0,OR(S390=$B$3,Z390&gt;0,U390&gt;0)))),1,0)</f>
        <v>0</v>
      </c>
      <c r="Y390" s="504">
        <f>IF(X390=1,COUNTIF($X$100:X390,1),0)</f>
        <v>0</v>
      </c>
      <c r="Z390" s="526">
        <f>IF(R390="OK",SUMIFS($O$430:$O$729,$B$430:$B$729,A390,$E$430:$E$729,"&gt;="&amp;$B$3,$E$430:$E$729,"&lt;"&amp;EDATE($B$3,1)),0)</f>
        <v>0</v>
      </c>
    </row>
    <row r="391" hidden="1" outlineLevel="1">
      <c r="A391" s="504">
        <f>IF(F391="","",IF(F391&gt;0,"R"&amp;F391,""))</f>
      </c>
      <c r="B391" s="504">
        <f>IF(F391="","",IFERROR(INDEX(RAW!$F:$F,MAX(2,F391)),""))</f>
      </c>
      <c r="C391" s="522" t="n"/>
      <c r="D391" s="524">
        <f>IF(F391="","",IFERROR(INDEX(RAW!$A:$A,MAX(2,F391)),""))</f>
      </c>
      <c r="E391" s="525">
        <f>IF(F391="","",IFERROR(INDEX(RAW!$K:$K,MAX(2,F391)),0))</f>
      </c>
      <c r="F391" s="522" t="n"/>
      <c r="G391" s="504" t="inlineStr">
        <is>
          <t>신규</t>
        </is>
      </c>
      <c r="O391" s="498">
        <f>IF(LEFT(R391,2)="확인",R391,"")</f>
      </c>
      <c r="R391" s="504">
        <f>IF(A391="","",IF(C391="생활비","생활비",IF(AND(COUNTIF($A$8:$A$12,C391)=1,ISNUMBER(D391),E391&gt;0,COUNTIF($A$100:$A$399,A391)=1,IFERROR(IF(F391="",AND(LEFT(A391,1)="U",G391="월기록"),AND(F391&gt;=2,COUNTIF($F$100:$F$399,F391)=1,INDEX(RAW!$H:$H,MAX(2,F391))="지출",D391=INDEX(RAW!$A:$A,MAX(2,F391)),E391&lt;=INDEX(RAW!$K:$K,MAX(2,F391)),OR(AND(G391="기존반영",OR(A391="U003",A391="U007")),AND(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AND(OR(A391&lt;&gt;"U003",F391=356),OR(A391&lt;&gt;"U007",F391=2203),OR(G391&lt;&gt;"기존반영",A391="U003",A391="U007")))),FALSE)),"OK","확인: 사용등록")))</f>
      </c>
      <c r="S391" s="504">
        <f>IF(ISNUMBER(D391),DATE(YEAR(D391),MONTH(D391),1),0)</f>
        <v>0</v>
      </c>
      <c r="T391" s="526">
        <f>IF(R391="OK",SUMIFS($O$430:$O$729,$B$430:$B$729,A391,$E$430:$E$729,"&lt;"&amp;EDATE($B$3,1)),0)</f>
        <v>0</v>
      </c>
      <c r="U391" s="526">
        <f>IF(AND(R391="OK",D391&lt;EDATE($B$3,1),$B$3&gt;=DATE(2026,3,1)),MAX(0,E391-T391),0)</f>
        <v>0</v>
      </c>
      <c r="V391" s="526">
        <f>IFERROR(IF(AND(R391="OK",AND(F391&gt;=2,G391&lt;&gt;"기존반영",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E391,0),0)</f>
        <v>0</v>
      </c>
      <c r="W391" s="526">
        <f>IF(V391&gt;0,ROUNDUP(INDEX(RAW!$K:$K,MAX(2,F391))/1000,0)*1000-ROUNDUP((INDEX(RAW!$K:$K,MAX(2,F391))-V391)/1000,0)*1000,0)</f>
        <v>0</v>
      </c>
      <c r="X391" s="504">
        <f>IF(AND(R391="OK",IF($B$43="전체",D391&lt;EDATE($B$3,1),IF($B$43="미정산",U391&gt;0,OR(S391=$B$3,Z391&gt;0,U391&gt;0)))),1,0)</f>
        <v>0</v>
      </c>
      <c r="Y391" s="504">
        <f>IF(X391=1,COUNTIF($X$100:X391,1),0)</f>
        <v>0</v>
      </c>
      <c r="Z391" s="526">
        <f>IF(R391="OK",SUMIFS($O$430:$O$729,$B$430:$B$729,A391,$E$430:$E$729,"&gt;="&amp;$B$3,$E$430:$E$729,"&lt;"&amp;EDATE($B$3,1)),0)</f>
        <v>0</v>
      </c>
    </row>
    <row r="392" hidden="1" outlineLevel="1">
      <c r="A392" s="504">
        <f>IF(F392="","",IF(F392&gt;0,"R"&amp;F392,""))</f>
      </c>
      <c r="B392" s="504">
        <f>IF(F392="","",IFERROR(INDEX(RAW!$F:$F,MAX(2,F392)),""))</f>
      </c>
      <c r="C392" s="522" t="n"/>
      <c r="D392" s="524">
        <f>IF(F392="","",IFERROR(INDEX(RAW!$A:$A,MAX(2,F392)),""))</f>
      </c>
      <c r="E392" s="525">
        <f>IF(F392="","",IFERROR(INDEX(RAW!$K:$K,MAX(2,F392)),0))</f>
      </c>
      <c r="F392" s="522" t="n"/>
      <c r="G392" s="504" t="inlineStr">
        <is>
          <t>신규</t>
        </is>
      </c>
      <c r="O392" s="498">
        <f>IF(LEFT(R392,2)="확인",R392,"")</f>
      </c>
      <c r="R392" s="504">
        <f>IF(A392="","",IF(C392="생활비","생활비",IF(AND(COUNTIF($A$8:$A$12,C392)=1,ISNUMBER(D392),E392&gt;0,COUNTIF($A$100:$A$399,A392)=1,IFERROR(IF(F392="",AND(LEFT(A392,1)="U",G392="월기록"),AND(F392&gt;=2,COUNTIF($F$100:$F$399,F392)=1,INDEX(RAW!$H:$H,MAX(2,F392))="지출",D392=INDEX(RAW!$A:$A,MAX(2,F392)),E392&lt;=INDEX(RAW!$K:$K,MAX(2,F392)),OR(AND(G392="기존반영",OR(A392="U003",A392="U007")),AND(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AND(OR(A392&lt;&gt;"U003",F392=356),OR(A392&lt;&gt;"U007",F392=2203),OR(G392&lt;&gt;"기존반영",A392="U003",A392="U007")))),FALSE)),"OK","확인: 사용등록")))</f>
      </c>
      <c r="S392" s="504">
        <f>IF(ISNUMBER(D392),DATE(YEAR(D392),MONTH(D392),1),0)</f>
        <v>0</v>
      </c>
      <c r="T392" s="526">
        <f>IF(R392="OK",SUMIFS($O$430:$O$729,$B$430:$B$729,A392,$E$430:$E$729,"&lt;"&amp;EDATE($B$3,1)),0)</f>
        <v>0</v>
      </c>
      <c r="U392" s="526">
        <f>IF(AND(R392="OK",D392&lt;EDATE($B$3,1),$B$3&gt;=DATE(2026,3,1)),MAX(0,E392-T392),0)</f>
        <v>0</v>
      </c>
      <c r="V392" s="526">
        <f>IFERROR(IF(AND(R392="OK",AND(F392&gt;=2,G392&lt;&gt;"기존반영",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E392,0),0)</f>
        <v>0</v>
      </c>
      <c r="W392" s="526">
        <f>IF(V392&gt;0,ROUNDUP(INDEX(RAW!$K:$K,MAX(2,F392))/1000,0)*1000-ROUNDUP((INDEX(RAW!$K:$K,MAX(2,F392))-V392)/1000,0)*1000,0)</f>
        <v>0</v>
      </c>
      <c r="X392" s="504">
        <f>IF(AND(R392="OK",IF($B$43="전체",D392&lt;EDATE($B$3,1),IF($B$43="미정산",U392&gt;0,OR(S392=$B$3,Z392&gt;0,U392&gt;0)))),1,0)</f>
        <v>0</v>
      </c>
      <c r="Y392" s="504">
        <f>IF(X392=1,COUNTIF($X$100:X392,1),0)</f>
        <v>0</v>
      </c>
      <c r="Z392" s="526">
        <f>IF(R392="OK",SUMIFS($O$430:$O$729,$B$430:$B$729,A392,$E$430:$E$729,"&gt;="&amp;$B$3,$E$430:$E$729,"&lt;"&amp;EDATE($B$3,1)),0)</f>
        <v>0</v>
      </c>
    </row>
    <row r="393" hidden="1" outlineLevel="1">
      <c r="A393" s="504">
        <f>IF(F393="","",IF(F393&gt;0,"R"&amp;F393,""))</f>
      </c>
      <c r="B393" s="504">
        <f>IF(F393="","",IFERROR(INDEX(RAW!$F:$F,MAX(2,F393)),""))</f>
      </c>
      <c r="C393" s="522" t="n"/>
      <c r="D393" s="524">
        <f>IF(F393="","",IFERROR(INDEX(RAW!$A:$A,MAX(2,F393)),""))</f>
      </c>
      <c r="E393" s="525">
        <f>IF(F393="","",IFERROR(INDEX(RAW!$K:$K,MAX(2,F393)),0))</f>
      </c>
      <c r="F393" s="522" t="n"/>
      <c r="G393" s="504" t="inlineStr">
        <is>
          <t>신규</t>
        </is>
      </c>
      <c r="O393" s="498">
        <f>IF(LEFT(R393,2)="확인",R393,"")</f>
      </c>
      <c r="R393" s="504">
        <f>IF(A393="","",IF(C393="생활비","생활비",IF(AND(COUNTIF($A$8:$A$12,C393)=1,ISNUMBER(D393),E393&gt;0,COUNTIF($A$100:$A$399,A393)=1,IFERROR(IF(F393="",AND(LEFT(A393,1)="U",G393="월기록"),AND(F393&gt;=2,COUNTIF($F$100:$F$399,F393)=1,INDEX(RAW!$H:$H,MAX(2,F393))="지출",D393=INDEX(RAW!$A:$A,MAX(2,F393)),E393&lt;=INDEX(RAW!$K:$K,MAX(2,F393)),OR(AND(G393="기존반영",OR(A393="U003",A393="U007")),AND(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AND(OR(A393&lt;&gt;"U003",F393=356),OR(A393&lt;&gt;"U007",F393=2203),OR(G393&lt;&gt;"기존반영",A393="U003",A393="U007")))),FALSE)),"OK","확인: 사용등록")))</f>
      </c>
      <c r="S393" s="504">
        <f>IF(ISNUMBER(D393),DATE(YEAR(D393),MONTH(D393),1),0)</f>
        <v>0</v>
      </c>
      <c r="T393" s="526">
        <f>IF(R393="OK",SUMIFS($O$430:$O$729,$B$430:$B$729,A393,$E$430:$E$729,"&lt;"&amp;EDATE($B$3,1)),0)</f>
        <v>0</v>
      </c>
      <c r="U393" s="526">
        <f>IF(AND(R393="OK",D393&lt;EDATE($B$3,1),$B$3&gt;=DATE(2026,3,1)),MAX(0,E393-T393),0)</f>
        <v>0</v>
      </c>
      <c r="V393" s="526">
        <f>IFERROR(IF(AND(R393="OK",AND(F393&gt;=2,G393&lt;&gt;"기존반영",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E393,0),0)</f>
        <v>0</v>
      </c>
      <c r="W393" s="526">
        <f>IF(V393&gt;0,ROUNDUP(INDEX(RAW!$K:$K,MAX(2,F393))/1000,0)*1000-ROUNDUP((INDEX(RAW!$K:$K,MAX(2,F393))-V393)/1000,0)*1000,0)</f>
        <v>0</v>
      </c>
      <c r="X393" s="504">
        <f>IF(AND(R393="OK",IF($B$43="전체",D393&lt;EDATE($B$3,1),IF($B$43="미정산",U393&gt;0,OR(S393=$B$3,Z393&gt;0,U393&gt;0)))),1,0)</f>
        <v>0</v>
      </c>
      <c r="Y393" s="504">
        <f>IF(X393=1,COUNTIF($X$100:X393,1),0)</f>
        <v>0</v>
      </c>
      <c r="Z393" s="526">
        <f>IF(R393="OK",SUMIFS($O$430:$O$729,$B$430:$B$729,A393,$E$430:$E$729,"&gt;="&amp;$B$3,$E$430:$E$729,"&lt;"&amp;EDATE($B$3,1)),0)</f>
        <v>0</v>
      </c>
    </row>
    <row r="394" hidden="1" outlineLevel="1">
      <c r="A394" s="504">
        <f>IF(F394="","",IF(F394&gt;0,"R"&amp;F394,""))</f>
      </c>
      <c r="B394" s="504">
        <f>IF(F394="","",IFERROR(INDEX(RAW!$F:$F,MAX(2,F394)),""))</f>
      </c>
      <c r="C394" s="522" t="n"/>
      <c r="D394" s="524">
        <f>IF(F394="","",IFERROR(INDEX(RAW!$A:$A,MAX(2,F394)),""))</f>
      </c>
      <c r="E394" s="525">
        <f>IF(F394="","",IFERROR(INDEX(RAW!$K:$K,MAX(2,F394)),0))</f>
      </c>
      <c r="F394" s="522" t="n"/>
      <c r="G394" s="504" t="inlineStr">
        <is>
          <t>신규</t>
        </is>
      </c>
      <c r="O394" s="498">
        <f>IF(LEFT(R394,2)="확인",R394,"")</f>
      </c>
      <c r="R394" s="504">
        <f>IF(A394="","",IF(C394="생활비","생활비",IF(AND(COUNTIF($A$8:$A$12,C394)=1,ISNUMBER(D394),E394&gt;0,COUNTIF($A$100:$A$399,A394)=1,IFERROR(IF(F394="",AND(LEFT(A394,1)="U",G394="월기록"),AND(F394&gt;=2,COUNTIF($F$100:$F$399,F394)=1,INDEX(RAW!$H:$H,MAX(2,F394))="지출",D394=INDEX(RAW!$A:$A,MAX(2,F394)),E394&lt;=INDEX(RAW!$K:$K,MAX(2,F394)),OR(AND(G394="기존반영",OR(A394="U003",A394="U007")),AND(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AND(OR(A394&lt;&gt;"U003",F394=356),OR(A394&lt;&gt;"U007",F394=2203),OR(G394&lt;&gt;"기존반영",A394="U003",A394="U007")))),FALSE)),"OK","확인: 사용등록")))</f>
      </c>
      <c r="S394" s="504">
        <f>IF(ISNUMBER(D394),DATE(YEAR(D394),MONTH(D394),1),0)</f>
        <v>0</v>
      </c>
      <c r="T394" s="526">
        <f>IF(R394="OK",SUMIFS($O$430:$O$729,$B$430:$B$729,A394,$E$430:$E$729,"&lt;"&amp;EDATE($B$3,1)),0)</f>
        <v>0</v>
      </c>
      <c r="U394" s="526">
        <f>IF(AND(R394="OK",D394&lt;EDATE($B$3,1),$B$3&gt;=DATE(2026,3,1)),MAX(0,E394-T394),0)</f>
        <v>0</v>
      </c>
      <c r="V394" s="526">
        <f>IFERROR(IF(AND(R394="OK",AND(F394&gt;=2,G394&lt;&gt;"기존반영",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E394,0),0)</f>
        <v>0</v>
      </c>
      <c r="W394" s="526">
        <f>IF(V394&gt;0,ROUNDUP(INDEX(RAW!$K:$K,MAX(2,F394))/1000,0)*1000-ROUNDUP((INDEX(RAW!$K:$K,MAX(2,F394))-V394)/1000,0)*1000,0)</f>
        <v>0</v>
      </c>
      <c r="X394" s="504">
        <f>IF(AND(R394="OK",IF($B$43="전체",D394&lt;EDATE($B$3,1),IF($B$43="미정산",U394&gt;0,OR(S394=$B$3,Z394&gt;0,U394&gt;0)))),1,0)</f>
        <v>0</v>
      </c>
      <c r="Y394" s="504">
        <f>IF(X394=1,COUNTIF($X$100:X394,1),0)</f>
        <v>0</v>
      </c>
      <c r="Z394" s="526">
        <f>IF(R394="OK",SUMIFS($O$430:$O$729,$B$430:$B$729,A394,$E$430:$E$729,"&gt;="&amp;$B$3,$E$430:$E$729,"&lt;"&amp;EDATE($B$3,1)),0)</f>
        <v>0</v>
      </c>
    </row>
    <row r="395" hidden="1" outlineLevel="1">
      <c r="A395" s="504">
        <f>IF(F395="","",IF(F395&gt;0,"R"&amp;F395,""))</f>
      </c>
      <c r="B395" s="504">
        <f>IF(F395="","",IFERROR(INDEX(RAW!$F:$F,MAX(2,F395)),""))</f>
      </c>
      <c r="C395" s="522" t="n"/>
      <c r="D395" s="524">
        <f>IF(F395="","",IFERROR(INDEX(RAW!$A:$A,MAX(2,F395)),""))</f>
      </c>
      <c r="E395" s="525">
        <f>IF(F395="","",IFERROR(INDEX(RAW!$K:$K,MAX(2,F395)),0))</f>
      </c>
      <c r="F395" s="522" t="n"/>
      <c r="G395" s="504" t="inlineStr">
        <is>
          <t>신규</t>
        </is>
      </c>
      <c r="O395" s="498">
        <f>IF(LEFT(R395,2)="확인",R395,"")</f>
      </c>
      <c r="R395" s="504">
        <f>IF(A395="","",IF(C395="생활비","생활비",IF(AND(COUNTIF($A$8:$A$12,C395)=1,ISNUMBER(D395),E395&gt;0,COUNTIF($A$100:$A$399,A395)=1,IFERROR(IF(F395="",AND(LEFT(A395,1)="U",G395="월기록"),AND(F395&gt;=2,COUNTIF($F$100:$F$399,F395)=1,INDEX(RAW!$H:$H,MAX(2,F395))="지출",D395=INDEX(RAW!$A:$A,MAX(2,F395)),E395&lt;=INDEX(RAW!$K:$K,MAX(2,F395)),OR(AND(G395="기존반영",OR(A395="U003",A395="U007")),AND(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AND(OR(A395&lt;&gt;"U003",F395=356),OR(A395&lt;&gt;"U007",F395=2203),OR(G395&lt;&gt;"기존반영",A395="U003",A395="U007")))),FALSE)),"OK","확인: 사용등록")))</f>
      </c>
      <c r="S395" s="504">
        <f>IF(ISNUMBER(D395),DATE(YEAR(D395),MONTH(D395),1),0)</f>
        <v>0</v>
      </c>
      <c r="T395" s="526">
        <f>IF(R395="OK",SUMIFS($O$430:$O$729,$B$430:$B$729,A395,$E$430:$E$729,"&lt;"&amp;EDATE($B$3,1)),0)</f>
        <v>0</v>
      </c>
      <c r="U395" s="526">
        <f>IF(AND(R395="OK",D395&lt;EDATE($B$3,1),$B$3&gt;=DATE(2026,3,1)),MAX(0,E395-T395),0)</f>
        <v>0</v>
      </c>
      <c r="V395" s="526">
        <f>IFERROR(IF(AND(R395="OK",AND(F395&gt;=2,G395&lt;&gt;"기존반영",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E395,0),0)</f>
        <v>0</v>
      </c>
      <c r="W395" s="526">
        <f>IF(V395&gt;0,ROUNDUP(INDEX(RAW!$K:$K,MAX(2,F395))/1000,0)*1000-ROUNDUP((INDEX(RAW!$K:$K,MAX(2,F395))-V395)/1000,0)*1000,0)</f>
        <v>0</v>
      </c>
      <c r="X395" s="504">
        <f>IF(AND(R395="OK",IF($B$43="전체",D395&lt;EDATE($B$3,1),IF($B$43="미정산",U395&gt;0,OR(S395=$B$3,Z395&gt;0,U395&gt;0)))),1,0)</f>
        <v>0</v>
      </c>
      <c r="Y395" s="504">
        <f>IF(X395=1,COUNTIF($X$100:X395,1),0)</f>
        <v>0</v>
      </c>
      <c r="Z395" s="526">
        <f>IF(R395="OK",SUMIFS($O$430:$O$729,$B$430:$B$729,A395,$E$430:$E$729,"&gt;="&amp;$B$3,$E$430:$E$729,"&lt;"&amp;EDATE($B$3,1)),0)</f>
        <v>0</v>
      </c>
    </row>
    <row r="396" hidden="1" outlineLevel="1">
      <c r="A396" s="504">
        <f>IF(F396="","",IF(F396&gt;0,"R"&amp;F396,""))</f>
      </c>
      <c r="B396" s="504">
        <f>IF(F396="","",IFERROR(INDEX(RAW!$F:$F,MAX(2,F396)),""))</f>
      </c>
      <c r="C396" s="522" t="n"/>
      <c r="D396" s="524">
        <f>IF(F396="","",IFERROR(INDEX(RAW!$A:$A,MAX(2,F396)),""))</f>
      </c>
      <c r="E396" s="525">
        <f>IF(F396="","",IFERROR(INDEX(RAW!$K:$K,MAX(2,F396)),0))</f>
      </c>
      <c r="F396" s="522" t="n"/>
      <c r="G396" s="504" t="inlineStr">
        <is>
          <t>신규</t>
        </is>
      </c>
      <c r="O396" s="498">
        <f>IF(LEFT(R396,2)="확인",R396,"")</f>
      </c>
      <c r="R396" s="504">
        <f>IF(A396="","",IF(C396="생활비","생활비",IF(AND(COUNTIF($A$8:$A$12,C396)=1,ISNUMBER(D396),E396&gt;0,COUNTIF($A$100:$A$399,A396)=1,IFERROR(IF(F396="",AND(LEFT(A396,1)="U",G396="월기록"),AND(F396&gt;=2,COUNTIF($F$100:$F$399,F396)=1,INDEX(RAW!$H:$H,MAX(2,F396))="지출",D396=INDEX(RAW!$A:$A,MAX(2,F396)),E396&lt;=INDEX(RAW!$K:$K,MAX(2,F396)),OR(AND(G396="기존반영",OR(A396="U003",A396="U007")),AND(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AND(OR(A396&lt;&gt;"U003",F396=356),OR(A396&lt;&gt;"U007",F396=2203),OR(G396&lt;&gt;"기존반영",A396="U003",A396="U007")))),FALSE)),"OK","확인: 사용등록")))</f>
      </c>
      <c r="S396" s="504">
        <f>IF(ISNUMBER(D396),DATE(YEAR(D396),MONTH(D396),1),0)</f>
        <v>0</v>
      </c>
      <c r="T396" s="526">
        <f>IF(R396="OK",SUMIFS($O$430:$O$729,$B$430:$B$729,A396,$E$430:$E$729,"&lt;"&amp;EDATE($B$3,1)),0)</f>
        <v>0</v>
      </c>
      <c r="U396" s="526">
        <f>IF(AND(R396="OK",D396&lt;EDATE($B$3,1),$B$3&gt;=DATE(2026,3,1)),MAX(0,E396-T396),0)</f>
        <v>0</v>
      </c>
      <c r="V396" s="526">
        <f>IFERROR(IF(AND(R396="OK",AND(F396&gt;=2,G396&lt;&gt;"기존반영",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E396,0),0)</f>
        <v>0</v>
      </c>
      <c r="W396" s="526">
        <f>IF(V396&gt;0,ROUNDUP(INDEX(RAW!$K:$K,MAX(2,F396))/1000,0)*1000-ROUNDUP((INDEX(RAW!$K:$K,MAX(2,F396))-V396)/1000,0)*1000,0)</f>
        <v>0</v>
      </c>
      <c r="X396" s="504">
        <f>IF(AND(R396="OK",IF($B$43="전체",D396&lt;EDATE($B$3,1),IF($B$43="미정산",U396&gt;0,OR(S396=$B$3,Z396&gt;0,U396&gt;0)))),1,0)</f>
        <v>0</v>
      </c>
      <c r="Y396" s="504">
        <f>IF(X396=1,COUNTIF($X$100:X396,1),0)</f>
        <v>0</v>
      </c>
      <c r="Z396" s="526">
        <f>IF(R396="OK",SUMIFS($O$430:$O$729,$B$430:$B$729,A396,$E$430:$E$729,"&gt;="&amp;$B$3,$E$430:$E$729,"&lt;"&amp;EDATE($B$3,1)),0)</f>
        <v>0</v>
      </c>
    </row>
    <row r="397" hidden="1" outlineLevel="1">
      <c r="A397" s="504">
        <f>IF(F397="","",IF(F397&gt;0,"R"&amp;F397,""))</f>
      </c>
      <c r="B397" s="504">
        <f>IF(F397="","",IFERROR(INDEX(RAW!$F:$F,MAX(2,F397)),""))</f>
      </c>
      <c r="C397" s="522" t="n"/>
      <c r="D397" s="524">
        <f>IF(F397="","",IFERROR(INDEX(RAW!$A:$A,MAX(2,F397)),""))</f>
      </c>
      <c r="E397" s="525">
        <f>IF(F397="","",IFERROR(INDEX(RAW!$K:$K,MAX(2,F397)),0))</f>
      </c>
      <c r="F397" s="522" t="n"/>
      <c r="G397" s="504" t="inlineStr">
        <is>
          <t>신규</t>
        </is>
      </c>
      <c r="O397" s="498">
        <f>IF(LEFT(R397,2)="확인",R397,"")</f>
      </c>
      <c r="R397" s="504">
        <f>IF(A397="","",IF(C397="생활비","생활비",IF(AND(COUNTIF($A$8:$A$12,C397)=1,ISNUMBER(D397),E397&gt;0,COUNTIF($A$100:$A$399,A397)=1,IFERROR(IF(F397="",AND(LEFT(A397,1)="U",G397="월기록"),AND(F397&gt;=2,COUNTIF($F$100:$F$399,F397)=1,INDEX(RAW!$H:$H,MAX(2,F397))="지출",D397=INDEX(RAW!$A:$A,MAX(2,F397)),E397&lt;=INDEX(RAW!$K:$K,MAX(2,F397)),OR(AND(G397="기존반영",OR(A397="U003",A397="U007")),AND(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AND(OR(A397&lt;&gt;"U003",F397=356),OR(A397&lt;&gt;"U007",F397=2203),OR(G397&lt;&gt;"기존반영",A397="U003",A397="U007")))),FALSE)),"OK","확인: 사용등록")))</f>
      </c>
      <c r="S397" s="504">
        <f>IF(ISNUMBER(D397),DATE(YEAR(D397),MONTH(D397),1),0)</f>
        <v>0</v>
      </c>
      <c r="T397" s="526">
        <f>IF(R397="OK",SUMIFS($O$430:$O$729,$B$430:$B$729,A397,$E$430:$E$729,"&lt;"&amp;EDATE($B$3,1)),0)</f>
        <v>0</v>
      </c>
      <c r="U397" s="526">
        <f>IF(AND(R397="OK",D397&lt;EDATE($B$3,1),$B$3&gt;=DATE(2026,3,1)),MAX(0,E397-T397),0)</f>
        <v>0</v>
      </c>
      <c r="V397" s="526">
        <f>IFERROR(IF(AND(R397="OK",AND(F397&gt;=2,G397&lt;&gt;"기존반영",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E397,0),0)</f>
        <v>0</v>
      </c>
      <c r="W397" s="526">
        <f>IF(V397&gt;0,ROUNDUP(INDEX(RAW!$K:$K,MAX(2,F397))/1000,0)*1000-ROUNDUP((INDEX(RAW!$K:$K,MAX(2,F397))-V397)/1000,0)*1000,0)</f>
        <v>0</v>
      </c>
      <c r="X397" s="504">
        <f>IF(AND(R397="OK",IF($B$43="전체",D397&lt;EDATE($B$3,1),IF($B$43="미정산",U397&gt;0,OR(S397=$B$3,Z397&gt;0,U397&gt;0)))),1,0)</f>
        <v>0</v>
      </c>
      <c r="Y397" s="504">
        <f>IF(X397=1,COUNTIF($X$100:X397,1),0)</f>
        <v>0</v>
      </c>
      <c r="Z397" s="526">
        <f>IF(R397="OK",SUMIFS($O$430:$O$729,$B$430:$B$729,A397,$E$430:$E$729,"&gt;="&amp;$B$3,$E$430:$E$729,"&lt;"&amp;EDATE($B$3,1)),0)</f>
        <v>0</v>
      </c>
    </row>
    <row r="398" hidden="1" outlineLevel="1">
      <c r="A398" s="504">
        <f>IF(F398="","",IF(F398&gt;0,"R"&amp;F398,""))</f>
      </c>
      <c r="B398" s="504">
        <f>IF(F398="","",IFERROR(INDEX(RAW!$F:$F,MAX(2,F398)),""))</f>
      </c>
      <c r="C398" s="522" t="n"/>
      <c r="D398" s="524">
        <f>IF(F398="","",IFERROR(INDEX(RAW!$A:$A,MAX(2,F398)),""))</f>
      </c>
      <c r="E398" s="525">
        <f>IF(F398="","",IFERROR(INDEX(RAW!$K:$K,MAX(2,F398)),0))</f>
      </c>
      <c r="F398" s="522" t="n"/>
      <c r="G398" s="504" t="inlineStr">
        <is>
          <t>신규</t>
        </is>
      </c>
      <c r="O398" s="498">
        <f>IF(LEFT(R398,2)="확인",R398,"")</f>
      </c>
      <c r="R398" s="504">
        <f>IF(A398="","",IF(C398="생활비","생활비",IF(AND(COUNTIF($A$8:$A$12,C398)=1,ISNUMBER(D398),E398&gt;0,COUNTIF($A$100:$A$399,A398)=1,IFERROR(IF(F398="",AND(LEFT(A398,1)="U",G398="월기록"),AND(F398&gt;=2,COUNTIF($F$100:$F$399,F398)=1,INDEX(RAW!$H:$H,MAX(2,F398))="지출",D398=INDEX(RAW!$A:$A,MAX(2,F398)),E398&lt;=INDEX(RAW!$K:$K,MAX(2,F398)),OR(AND(G398="기존반영",OR(A398="U003",A398="U007")),AND(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AND(OR(A398&lt;&gt;"U003",F398=356),OR(A398&lt;&gt;"U007",F398=2203),OR(G398&lt;&gt;"기존반영",A398="U003",A398="U007")))),FALSE)),"OK","확인: 사용등록")))</f>
      </c>
      <c r="S398" s="504">
        <f>IF(ISNUMBER(D398),DATE(YEAR(D398),MONTH(D398),1),0)</f>
        <v>0</v>
      </c>
      <c r="T398" s="526">
        <f>IF(R398="OK",SUMIFS($O$430:$O$729,$B$430:$B$729,A398,$E$430:$E$729,"&lt;"&amp;EDATE($B$3,1)),0)</f>
        <v>0</v>
      </c>
      <c r="U398" s="526">
        <f>IF(AND(R398="OK",D398&lt;EDATE($B$3,1),$B$3&gt;=DATE(2026,3,1)),MAX(0,E398-T398),0)</f>
        <v>0</v>
      </c>
      <c r="V398" s="526">
        <f>IFERROR(IF(AND(R398="OK",AND(F398&gt;=2,G398&lt;&gt;"기존반영",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E398,0),0)</f>
        <v>0</v>
      </c>
      <c r="W398" s="526">
        <f>IF(V398&gt;0,ROUNDUP(INDEX(RAW!$K:$K,MAX(2,F398))/1000,0)*1000-ROUNDUP((INDEX(RAW!$K:$K,MAX(2,F398))-V398)/1000,0)*1000,0)</f>
        <v>0</v>
      </c>
      <c r="X398" s="504">
        <f>IF(AND(R398="OK",IF($B$43="전체",D398&lt;EDATE($B$3,1),IF($B$43="미정산",U398&gt;0,OR(S398=$B$3,Z398&gt;0,U398&gt;0)))),1,0)</f>
        <v>0</v>
      </c>
      <c r="Y398" s="504">
        <f>IF(X398=1,COUNTIF($X$100:X398,1),0)</f>
        <v>0</v>
      </c>
      <c r="Z398" s="526">
        <f>IF(R398="OK",SUMIFS($O$430:$O$729,$B$430:$B$729,A398,$E$430:$E$729,"&gt;="&amp;$B$3,$E$430:$E$729,"&lt;"&amp;EDATE($B$3,1)),0)</f>
        <v>0</v>
      </c>
    </row>
    <row r="399" hidden="1" outlineLevel="1">
      <c r="A399" s="504">
        <f>IF(F399="","",IF(F399&gt;0,"R"&amp;F399,""))</f>
      </c>
      <c r="B399" s="504">
        <f>IF(F399="","",IFERROR(INDEX(RAW!$F:$F,MAX(2,F399)),""))</f>
      </c>
      <c r="C399" s="522" t="n"/>
      <c r="D399" s="524">
        <f>IF(F399="","",IFERROR(INDEX(RAW!$A:$A,MAX(2,F399)),""))</f>
      </c>
      <c r="E399" s="525">
        <f>IF(F399="","",IFERROR(INDEX(RAW!$K:$K,MAX(2,F399)),0))</f>
      </c>
      <c r="F399" s="522" t="n"/>
      <c r="G399" s="504" t="inlineStr">
        <is>
          <t>신규</t>
        </is>
      </c>
      <c r="O399" s="498">
        <f>IF(LEFT(R399,2)="확인",R399,"")</f>
      </c>
      <c r="R399" s="504">
        <f>IF(A399="","",IF(C399="생활비","생활비",IF(AND(COUNTIF($A$8:$A$12,C399)=1,ISNUMBER(D399),E399&gt;0,COUNTIF($A$100:$A$399,A399)=1,IFERROR(IF(F399="",AND(LEFT(A399,1)="U",G399="월기록"),AND(F399&gt;=2,COUNTIF($F$100:$F$399,F399)=1,INDEX(RAW!$H:$H,MAX(2,F399))="지출",D399=INDEX(RAW!$A:$A,MAX(2,F399)),E399&lt;=INDEX(RAW!$K:$K,MAX(2,F399)),OR(AND(G399="기존반영",OR(A399="U003",A399="U007")),AND(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AND(OR(A399&lt;&gt;"U003",F399=356),OR(A399&lt;&gt;"U007",F399=2203),OR(G399&lt;&gt;"기존반영",A399="U003",A399="U007")))),FALSE)),"OK","확인: 사용등록")))</f>
      </c>
      <c r="S399" s="504">
        <f>IF(ISNUMBER(D399),DATE(YEAR(D399),MONTH(D399),1),0)</f>
        <v>0</v>
      </c>
      <c r="T399" s="526">
        <f>IF(R399="OK",SUMIFS($O$430:$O$729,$B$430:$B$729,A399,$E$430:$E$729,"&lt;"&amp;EDATE($B$3,1)),0)</f>
        <v>0</v>
      </c>
      <c r="U399" s="526">
        <f>IF(AND(R399="OK",D399&lt;EDATE($B$3,1),$B$3&gt;=DATE(2026,3,1)),MAX(0,E399-T399),0)</f>
        <v>0</v>
      </c>
      <c r="V399" s="526">
        <f>IFERROR(IF(AND(R399="OK",AND(F399&gt;=2,G399&lt;&gt;"기존반영",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E399,0),0)</f>
        <v>0</v>
      </c>
      <c r="W399" s="526">
        <f>IF(V399&gt;0,ROUNDUP(INDEX(RAW!$K:$K,MAX(2,F399))/1000,0)*1000-ROUNDUP((INDEX(RAW!$K:$K,MAX(2,F399))-V399)/1000,0)*1000,0)</f>
        <v>0</v>
      </c>
      <c r="X399" s="504">
        <f>IF(AND(R399="OK",IF($B$43="전체",D399&lt;EDATE($B$3,1),IF($B$43="미정산",U399&gt;0,OR(S399=$B$3,Z399&gt;0,U399&gt;0)))),1,0)</f>
        <v>0</v>
      </c>
      <c r="Y399" s="504">
        <f>IF(X399=1,COUNTIF($X$100:X399,1),0)</f>
        <v>0</v>
      </c>
      <c r="Z399" s="526">
        <f>IF(R399="OK",SUMIFS($O$430:$O$729,$B$430:$B$729,A399,$E$430:$E$729,"&gt;="&amp;$B$3,$E$430:$E$729,"&lt;"&amp;EDATE($B$3,1)),0)</f>
        <v>0</v>
      </c>
    </row>
    <row r="400">
      <c r="A400" s="502" t="str">
        <f>HYPERLINK("#'예비비'!A1","현황으로 돌아가기 ↑")</f>
        <v>현황으로 돌아가기 ↑</v>
      </c>
      <c r="B400" s="503" t="n"/>
      <c r="C400" s="503" t="n"/>
      <c r="D400" s="503" t="n"/>
      <c r="E400" s="503" t="n"/>
      <c r="F400" s="503" t="n"/>
      <c r="G400" s="503" t="n"/>
      <c r="H400" s="503" t="n"/>
      <c r="I400" s="503" t="n"/>
      <c r="J400" s="503" t="n"/>
      <c r="K400" s="503" t="n"/>
      <c r="L400" s="503" t="n"/>
      <c r="M400" s="503" t="n"/>
      <c r="N400" s="503" t="n"/>
      <c r="O400" s="503" t="n"/>
    </row>
    <row r="428">
      <c r="A428" s="499" t="str">
        <f>"이체 연결 ("&amp;COUNTIF($B$430:$B$729,"?*")&amp;"/300) | 사용ID(B)·원장행(C)·금액(D) 입력. 한 이체를 여러 사용에 나눠 연결 가능."</f>
        <v>이체 연결 (9/300) | 사용ID(B)·원장행(C)·금액(D) 입력. 한 이체를 여러 사용에 나눠 연결 가능.</v>
      </c>
      <c r="B428" s="500" t="n"/>
      <c r="C428" s="500" t="n"/>
      <c r="D428" s="500" t="n"/>
      <c r="E428" s="500" t="n"/>
      <c r="F428" s="500" t="n"/>
      <c r="G428" s="500" t="n"/>
      <c r="H428" s="500" t="n"/>
      <c r="I428" s="500" t="n"/>
      <c r="J428" s="500" t="n"/>
      <c r="K428" s="500" t="n"/>
      <c r="L428" s="500" t="n"/>
      <c r="M428" s="500" t="n"/>
      <c r="N428" s="500" t="n"/>
      <c r="O428" s="500" t="n"/>
    </row>
    <row r="429" collapsed="1" ht="30" customHeight="1">
      <c r="A429" s="507" t="inlineStr">
        <is>
          <t>연결ID</t>
        </is>
      </c>
      <c r="B429" s="507" t="inlineStr">
        <is>
          <t>사용ID</t>
        </is>
      </c>
      <c r="C429" s="507" t="inlineStr">
        <is>
          <t>원장행</t>
        </is>
      </c>
      <c r="D429" s="507" t="inlineStr">
        <is>
          <t>연결금액</t>
        </is>
      </c>
      <c r="E429" s="507" t="inlineStr">
        <is>
          <t>원장일/월</t>
        </is>
      </c>
      <c r="F429" s="507" t="inlineStr">
        <is>
          <t>출금계정</t>
        </is>
      </c>
      <c r="G429" s="507" t="inlineStr">
        <is>
          <t>받는 곳</t>
        </is>
      </c>
      <c r="H429" s="507" t="inlineStr">
        <is>
          <t>근거 유형</t>
        </is>
      </c>
      <c r="I429" s="507" t="inlineStr">
        <is>
          <t>메모</t>
        </is>
      </c>
      <c r="J429" s="507" t="inlineStr">
        <is>
          <t>사용분류</t>
        </is>
      </c>
      <c r="K429" s="507" t="inlineStr">
        <is>
          <t>사용일</t>
        </is>
      </c>
      <c r="L429" s="507" t="inlineStr">
        <is>
          <t>사용월</t>
        </is>
      </c>
      <c r="M429" s="507" t="inlineStr">
        <is>
          <t>허용 확인</t>
        </is>
      </c>
      <c r="N429" s="507" t="inlineStr">
        <is>
          <t>연결 확인</t>
        </is>
      </c>
      <c r="O429" s="507" t="inlineStr">
        <is>
          <t>유효금액</t>
        </is>
      </c>
    </row>
    <row r="430" hidden="1" outlineLevel="1">
      <c r="A430" s="504" t="str">
        <f>IF(B430="","","S"&amp;ROW())</f>
        <v>S430</v>
      </c>
      <c r="B430" s="522" t="inlineStr">
        <is>
          <t>U001</t>
        </is>
      </c>
      <c r="C430" s="522" t="n"/>
      <c r="D430" s="525" t="n">
        <v>50000</v>
      </c>
      <c r="E430" s="501" t="n">
        <v>46082</v>
      </c>
      <c r="F430" s="504" t="inlineStr">
        <is>
          <t>기초 이전</t>
        </is>
      </c>
      <c r="G430" s="504" t="inlineStr">
        <is>
          <t>송금일 미기록</t>
        </is>
      </c>
      <c r="H430" s="504" t="inlineStr">
        <is>
          <t>기초반영</t>
        </is>
      </c>
      <c r="I430" s="504" t="inlineStr">
        <is>
          <t>3월 기초 이전 사용·정산. 실제 송금일 미기록</t>
        </is>
      </c>
      <c r="J430" s="504" t="str">
        <f>IFERROR(INDEX($C$100:$C$399,MATCH(B430,$A$100:$A$399,0)),"")</f>
        <v>경조사비</v>
      </c>
      <c r="K430" s="524">
        <f>IFERROR(INDEX($D$100:$D$399,MATCH(B430,$A$100:$A$399,0)),"")</f>
        <v>46023.0</v>
      </c>
      <c r="L430" s="504">
        <f>IFERROR(INDEX($S$100:$S$399,MATCH(B430,$A$100:$A$399,0)),"")</f>
        <v>46023.0</v>
      </c>
      <c r="M430" s="504">
        <f>IF(B430="","",IFERROR(IF(OR(AND(H430="기초반영",OR(B430="U001",B430="U002",B430="U003"),C430="",E430=DATE(2026,3,1)),AND(H430="원장",C430&gt;=64,C430&lt;=500,INDEX(잔액!$I:$I,MAX(64,C430))="OK",E430=INDEX(잔액!$A:$A,MAX(64,C430)),F430=INDEX(잔액!$C:$C,MAX(64,C430)),OR(F430=J430,F430="결제대금비",AND(B430="U008",C430=223,J430="경조사비",F430="명절비"),AND(B430="U008",C430=208,J430="경조사비",F430="임시보관",SUMIF($C$430:$C$729,C430,$D$430:$D$729)&lt;=39000)),OR(COUNTIF($A$8:$A$12,F430)=1,F430="결제대금비",AND(B430="U008",C430=208,J430="경조사비",F430="임시보관",SUMIF($C$430:$C$729,C430,$D$430:$D$729)&lt;=39000)),COUNTIF($A$8:$A$12,INDEX(잔액!$D:$D,MAX(64,C430)))=0,SUMIF($C$430:$C$729,C430,$D$430:$D$729)&lt;=INDEX(잔액!$Y:$Y,MAX(64,C430)))),1,0),0))</f>
        <v>1</v>
      </c>
      <c r="N430" s="504" t="str">
        <f>IF(B430="","",IFERROR(IF(AND(COUNTIF($A$100:$A$399,B430)=1,INDEX($R$100:$R$399,MATCH(B430,$A$100:$A$399,0))="OK",D430&gt;0,ISNUMBER(E430),M430=1,SUMIF($B$430:$B$729,B430,$D$430:$D$729)&lt;=INDEX($E$100:$E$399,MATCH(B430,$A$100:$A$399,0))),"OK","확인: 정산연결"),"확인: 정산연결"))</f>
        <v>OK</v>
      </c>
      <c r="O430" s="526">
        <f>IF(N430="OK",D430,0)</f>
        <v>50000</v>
      </c>
    </row>
    <row r="431" hidden="1" outlineLevel="1">
      <c r="A431" s="504" t="str">
        <f>IF(B431="","","S"&amp;ROW())</f>
        <v>S431</v>
      </c>
      <c r="B431" s="522" t="inlineStr">
        <is>
          <t>U002</t>
        </is>
      </c>
      <c r="C431" s="522" t="n"/>
      <c r="D431" s="525" t="n">
        <v>100000</v>
      </c>
      <c r="E431" s="501" t="n">
        <v>46082</v>
      </c>
      <c r="F431" s="504" t="inlineStr">
        <is>
          <t>기초 이전</t>
        </is>
      </c>
      <c r="G431" s="504" t="inlineStr">
        <is>
          <t>송금일 미기록</t>
        </is>
      </c>
      <c r="H431" s="504" t="inlineStr">
        <is>
          <t>기초반영</t>
        </is>
      </c>
      <c r="I431" s="504" t="inlineStr">
        <is>
          <t>3월 기초에 반영된 명절 사용. 실제 송금일 미기록</t>
        </is>
      </c>
      <c r="J431" s="504" t="str">
        <f>IFERROR(INDEX($C$100:$C$399,MATCH(B431,$A$100:$A$399,0)),"")</f>
        <v>명절비</v>
      </c>
      <c r="K431" s="524">
        <f>IFERROR(INDEX($D$100:$D$399,MATCH(B431,$A$100:$A$399,0)),"")</f>
        <v>46054.0</v>
      </c>
      <c r="L431" s="504">
        <f>IFERROR(INDEX($S$100:$S$399,MATCH(B431,$A$100:$A$399,0)),"")</f>
        <v>46054.0</v>
      </c>
      <c r="M431" s="504">
        <f>IF(B431="","",IFERROR(IF(OR(AND(H431="기초반영",OR(B431="U001",B431="U002",B431="U003"),C431="",E431=DATE(2026,3,1)),AND(H431="원장",C431&gt;=64,C431&lt;=500,INDEX(잔액!$I:$I,MAX(64,C431))="OK",E431=INDEX(잔액!$A:$A,MAX(64,C431)),F431=INDEX(잔액!$C:$C,MAX(64,C431)),OR(F431=J431,F431="결제대금비",AND(B431="U008",C431=223,J431="경조사비",F431="명절비"),AND(B431="U008",C431=208,J431="경조사비",F431="임시보관",SUMIF($C$430:$C$729,C431,$D$430:$D$729)&lt;=39000)),OR(COUNTIF($A$8:$A$12,F431)=1,F431="결제대금비",AND(B431="U008",C431=208,J431="경조사비",F431="임시보관",SUMIF($C$430:$C$729,C431,$D$430:$D$729)&lt;=39000)),COUNTIF($A$8:$A$12,INDEX(잔액!$D:$D,MAX(64,C431)))=0,SUMIF($C$430:$C$729,C431,$D$430:$D$729)&lt;=INDEX(잔액!$Y:$Y,MAX(64,C431)))),1,0),0))</f>
        <v>1</v>
      </c>
      <c r="N431" s="504" t="str">
        <f>IF(B431="","",IFERROR(IF(AND(COUNTIF($A$100:$A$399,B431)=1,INDEX($R$100:$R$399,MATCH(B431,$A$100:$A$399,0))="OK",D431&gt;0,ISNUMBER(E431),M431=1,SUMIF($B$430:$B$729,B431,$D$430:$D$729)&lt;=INDEX($E$100:$E$399,MATCH(B431,$A$100:$A$399,0))),"OK","확인: 정산연결"),"확인: 정산연결"))</f>
        <v>OK</v>
      </c>
      <c r="O431" s="526">
        <f>IF(N431="OK",D431,0)</f>
        <v>100000</v>
      </c>
    </row>
    <row r="432" hidden="1" outlineLevel="1">
      <c r="A432" s="504" t="str">
        <f>IF(B432="","","S"&amp;ROW())</f>
        <v>S432</v>
      </c>
      <c r="B432" s="522" t="inlineStr">
        <is>
          <t>U003</t>
        </is>
      </c>
      <c r="C432" s="522" t="n"/>
      <c r="D432" s="525" t="n">
        <v>200000</v>
      </c>
      <c r="E432" s="501" t="n">
        <v>46082</v>
      </c>
      <c r="F432" s="504" t="inlineStr">
        <is>
          <t>기초 이전</t>
        </is>
      </c>
      <c r="G432" s="504" t="inlineStr">
        <is>
          <t>송금일 미기록</t>
        </is>
      </c>
      <c r="H432" s="504" t="inlineStr">
        <is>
          <t>기초반영</t>
        </is>
      </c>
      <c r="I432" s="504" t="inlineStr">
        <is>
          <t>3월 기초 이전 사용. 송금일을 2/19로 추정하지 않음</t>
        </is>
      </c>
      <c r="J432" s="504" t="str">
        <f>IFERROR(INDEX($C$100:$C$399,MATCH(B432,$A$100:$A$399,0)),"")</f>
        <v>예비비</v>
      </c>
      <c r="K432" s="524">
        <f>IFERROR(INDEX($D$100:$D$399,MATCH(B432,$A$100:$A$399,0)),"")</f>
        <v>46072.60122685185</v>
      </c>
      <c r="L432" s="504">
        <f>IFERROR(INDEX($S$100:$S$399,MATCH(B432,$A$100:$A$399,0)),"")</f>
        <v>46054.0</v>
      </c>
      <c r="M432" s="504">
        <f>IF(B432="","",IFERROR(IF(OR(AND(H432="기초반영",OR(B432="U001",B432="U002",B432="U003"),C432="",E432=DATE(2026,3,1)),AND(H432="원장",C432&gt;=64,C432&lt;=500,INDEX(잔액!$I:$I,MAX(64,C432))="OK",E432=INDEX(잔액!$A:$A,MAX(64,C432)),F432=INDEX(잔액!$C:$C,MAX(64,C432)),OR(F432=J432,F432="결제대금비",AND(B432="U008",C432=223,J432="경조사비",F432="명절비"),AND(B432="U008",C432=208,J432="경조사비",F432="임시보관",SUMIF($C$430:$C$729,C432,$D$430:$D$729)&lt;=39000)),OR(COUNTIF($A$8:$A$12,F432)=1,F432="결제대금비",AND(B432="U008",C432=208,J432="경조사비",F432="임시보관",SUMIF($C$430:$C$729,C432,$D$430:$D$729)&lt;=39000)),COUNTIF($A$8:$A$12,INDEX(잔액!$D:$D,MAX(64,C432)))=0,SUMIF($C$430:$C$729,C432,$D$430:$D$729)&lt;=INDEX(잔액!$Y:$Y,MAX(64,C432)))),1,0),0))</f>
        <v>1</v>
      </c>
      <c r="N432" s="504" t="str">
        <f>IF(B432="","",IFERROR(IF(AND(COUNTIF($A$100:$A$399,B432)=1,INDEX($R$100:$R$399,MATCH(B432,$A$100:$A$399,0))="OK",D432&gt;0,ISNUMBER(E432),M432=1,SUMIF($B$430:$B$729,B432,$D$430:$D$729)&lt;=INDEX($E$100:$E$399,MATCH(B432,$A$100:$A$399,0))),"OK","확인: 정산연결"),"확인: 정산연결"))</f>
        <v>OK</v>
      </c>
      <c r="O432" s="526">
        <f>IF(N432="OK",D432,0)</f>
        <v>200000</v>
      </c>
    </row>
    <row r="433" hidden="1" outlineLevel="1">
      <c r="A433" s="504" t="str">
        <f>IF(B433="","","S"&amp;ROW())</f>
        <v>S433</v>
      </c>
      <c r="B433" s="522" t="inlineStr">
        <is>
          <t>U004</t>
        </is>
      </c>
      <c r="C433" s="522" t="n">
        <v>102</v>
      </c>
      <c r="D433" s="525" t="n">
        <v>148900</v>
      </c>
      <c r="E433" s="524">
        <f>IF(C433="","",IFERROR(INDEX(잔액!$A:$A,MAX(64,C433)),""))</f>
        <v>46143.0</v>
      </c>
      <c r="F433" s="504" t="str">
        <f>IF(C433="","",IFERROR(INDEX(잔액!$C:$C,MAX(64,C433)),""))</f>
        <v>명절비</v>
      </c>
      <c r="G433" s="504" t="str">
        <f>IF(C433="","",IF(INDEX(잔액!$K:$K,MAX(64,C433))&lt;&gt;"",INDEX(잔액!$K:$K,MAX(64,C433)),INDEX(잔액!$D:$D,MAX(64,C433))))</f>
        <v>지출</v>
      </c>
      <c r="H433" s="504" t="inlineStr">
        <is>
          <t>원장</t>
        </is>
      </c>
      <c r="I433" s="504" t="inlineStr">
        <is>
          <t>명절비 실제 사용</t>
        </is>
      </c>
      <c r="J433" s="504" t="str">
        <f>IFERROR(INDEX($C$100:$C$399,MATCH(B433,$A$100:$A$399,0)),"")</f>
        <v>명절비</v>
      </c>
      <c r="K433" s="524">
        <f>IFERROR(INDEX($D$100:$D$399,MATCH(B433,$A$100:$A$399,0)),"")</f>
        <v>46143.0</v>
      </c>
      <c r="L433" s="504">
        <f>IFERROR(INDEX($S$100:$S$399,MATCH(B433,$A$100:$A$399,0)),"")</f>
        <v>46143.0</v>
      </c>
      <c r="M433" s="504">
        <f>IF(B433="","",IFERROR(IF(OR(AND(H433="기초반영",OR(B433="U001",B433="U002",B433="U003"),C433="",E433=DATE(2026,3,1)),AND(H433="원장",C433&gt;=64,C433&lt;=500,INDEX(잔액!$I:$I,MAX(64,C433))="OK",E433=INDEX(잔액!$A:$A,MAX(64,C433)),F433=INDEX(잔액!$C:$C,MAX(64,C433)),OR(F433=J433,F433="결제대금비",AND(B433="U008",C433=223,J433="경조사비",F433="명절비"),AND(B433="U008",C433=208,J433="경조사비",F433="임시보관",SUMIF($C$430:$C$729,C433,$D$430:$D$729)&lt;=39000)),OR(COUNTIF($A$8:$A$12,F433)=1,F433="결제대금비",AND(B433="U008",C433=208,J433="경조사비",F433="임시보관",SUMIF($C$430:$C$729,C433,$D$430:$D$729)&lt;=39000)),COUNTIF($A$8:$A$12,INDEX(잔액!$D:$D,MAX(64,C433)))=0,SUMIF($C$430:$C$729,C433,$D$430:$D$729)&lt;=INDEX(잔액!$Y:$Y,MAX(64,C433)))),1,0),0))</f>
        <v>1</v>
      </c>
      <c r="N433" s="504" t="str">
        <f>IF(B433="","",IFERROR(IF(AND(COUNTIF($A$100:$A$399,B433)=1,INDEX($R$100:$R$399,MATCH(B433,$A$100:$A$399,0))="OK",D433&gt;0,ISNUMBER(E433),M433=1,SUMIF($B$430:$B$729,B433,$D$430:$D$729)&lt;=INDEX($E$100:$E$399,MATCH(B433,$A$100:$A$399,0))),"OK","확인: 정산연결"),"확인: 정산연결"))</f>
        <v>OK</v>
      </c>
      <c r="O433" s="526">
        <f>IF(N433="OK",D433,0)</f>
        <v>148900</v>
      </c>
    </row>
    <row r="434" hidden="1" outlineLevel="1">
      <c r="A434" s="504" t="str">
        <f>IF(B434="","","S"&amp;ROW())</f>
        <v>S434</v>
      </c>
      <c r="B434" s="522" t="inlineStr">
        <is>
          <t>U005</t>
        </is>
      </c>
      <c r="C434" s="522" t="n">
        <v>106</v>
      </c>
      <c r="D434" s="525" t="n">
        <v>313980</v>
      </c>
      <c r="E434" s="524">
        <f>IF(C434="","",IFERROR(INDEX(잔액!$A:$A,MAX(64,C434)),""))</f>
        <v>46143.0</v>
      </c>
      <c r="F434" s="504" t="str">
        <f>IF(C434="","",IFERROR(INDEX(잔액!$C:$C,MAX(64,C434)),""))</f>
        <v>상환비</v>
      </c>
      <c r="G434" s="504" t="str">
        <f>IF(C434="","",IF(INDEX(잔액!$K:$K,MAX(64,C434))&lt;&gt;"",INDEX(잔액!$K:$K,MAX(64,C434)),INDEX(잔액!$D:$D,MAX(64,C434))))</f>
        <v>지출</v>
      </c>
      <c r="H434" s="504" t="inlineStr">
        <is>
          <t>원장</t>
        </is>
      </c>
      <c r="I434" s="504" t="inlineStr">
        <is>
          <t>상환 실제 사용</t>
        </is>
      </c>
      <c r="J434" s="504" t="str">
        <f>IFERROR(INDEX($C$100:$C$399,MATCH(B434,$A$100:$A$399,0)),"")</f>
        <v>상환비</v>
      </c>
      <c r="K434" s="524">
        <f>IFERROR(INDEX($D$100:$D$399,MATCH(B434,$A$100:$A$399,0)),"")</f>
        <v>46143.0</v>
      </c>
      <c r="L434" s="504">
        <f>IFERROR(INDEX($S$100:$S$399,MATCH(B434,$A$100:$A$399,0)),"")</f>
        <v>46143.0</v>
      </c>
      <c r="M434" s="504">
        <f>IF(B434="","",IFERROR(IF(OR(AND(H434="기초반영",OR(B434="U001",B434="U002",B434="U003"),C434="",E434=DATE(2026,3,1)),AND(H434="원장",C434&gt;=64,C434&lt;=500,INDEX(잔액!$I:$I,MAX(64,C434))="OK",E434=INDEX(잔액!$A:$A,MAX(64,C434)),F434=INDEX(잔액!$C:$C,MAX(64,C434)),OR(F434=J434,F434="결제대금비",AND(B434="U008",C434=223,J434="경조사비",F434="명절비"),AND(B434="U008",C434=208,J434="경조사비",F434="임시보관",SUMIF($C$430:$C$729,C434,$D$430:$D$729)&lt;=39000)),OR(COUNTIF($A$8:$A$12,F434)=1,F434="결제대금비",AND(B434="U008",C434=208,J434="경조사비",F434="임시보관",SUMIF($C$430:$C$729,C434,$D$430:$D$729)&lt;=39000)),COUNTIF($A$8:$A$12,INDEX(잔액!$D:$D,MAX(64,C434)))=0,SUMIF($C$430:$C$729,C434,$D$430:$D$729)&lt;=INDEX(잔액!$Y:$Y,MAX(64,C434)))),1,0),0))</f>
        <v>1</v>
      </c>
      <c r="N434" s="504" t="str">
        <f>IF(B434="","",IFERROR(IF(AND(COUNTIF($A$100:$A$399,B434)=1,INDEX($R$100:$R$399,MATCH(B434,$A$100:$A$399,0))="OK",D434&gt;0,ISNUMBER(E434),M434=1,SUMIF($B$430:$B$729,B434,$D$430:$D$729)&lt;=INDEX($E$100:$E$399,MATCH(B434,$A$100:$A$399,0))),"OK","확인: 정산연결"),"확인: 정산연결"))</f>
        <v>OK</v>
      </c>
      <c r="O434" s="526">
        <f>IF(N434="OK",D434,0)</f>
        <v>313980</v>
      </c>
    </row>
    <row r="435" hidden="1" outlineLevel="1">
      <c r="A435" s="504" t="str">
        <f>IF(B435="","","S"&amp;ROW())</f>
        <v>S435</v>
      </c>
      <c r="B435" s="522" t="inlineStr">
        <is>
          <t>U006</t>
        </is>
      </c>
      <c r="C435" s="522" t="n">
        <v>188</v>
      </c>
      <c r="D435" s="525" t="n">
        <v>300000</v>
      </c>
      <c r="E435" s="524">
        <f>IF(C435="","",IFERROR(INDEX(잔액!$A:$A,MAX(64,C435)),""))</f>
        <v>46235.0</v>
      </c>
      <c r="F435" s="504" t="str">
        <f>IF(C435="","",IFERROR(INDEX(잔액!$C:$C,MAX(64,C435)),""))</f>
        <v>여행비</v>
      </c>
      <c r="G435" s="504" t="str">
        <f>IF(C435="","",IF(INDEX(잔액!$K:$K,MAX(64,C435))&lt;&gt;"",INDEX(잔액!$K:$K,MAX(64,C435)),INDEX(잔액!$D:$D,MAX(64,C435))))</f>
        <v>지출</v>
      </c>
      <c r="H435" s="504" t="inlineStr">
        <is>
          <t>원장</t>
        </is>
      </c>
      <c r="I435" s="504" t="inlineStr">
        <is>
          <t>숙소 지급</t>
        </is>
      </c>
      <c r="J435" s="504" t="str">
        <f>IFERROR(INDEX($C$100:$C$399,MATCH(B435,$A$100:$A$399,0)),"")</f>
        <v>여행비</v>
      </c>
      <c r="K435" s="524">
        <f>IFERROR(INDEX($D$100:$D$399,MATCH(B435,$A$100:$A$399,0)),"")</f>
        <v>46235.0</v>
      </c>
      <c r="L435" s="504">
        <f>IFERROR(INDEX($S$100:$S$399,MATCH(B435,$A$100:$A$399,0)),"")</f>
        <v>46235.0</v>
      </c>
      <c r="M435" s="504">
        <f>IF(B435="","",IFERROR(IF(OR(AND(H435="기초반영",OR(B435="U001",B435="U002",B435="U003"),C435="",E435=DATE(2026,3,1)),AND(H435="원장",C435&gt;=64,C435&lt;=500,INDEX(잔액!$I:$I,MAX(64,C435))="OK",E435=INDEX(잔액!$A:$A,MAX(64,C435)),F435=INDEX(잔액!$C:$C,MAX(64,C435)),OR(F435=J435,F435="결제대금비",AND(B435="U008",C435=223,J435="경조사비",F435="명절비"),AND(B435="U008",C435=208,J435="경조사비",F435="임시보관",SUMIF($C$430:$C$729,C435,$D$430:$D$729)&lt;=39000)),OR(COUNTIF($A$8:$A$12,F435)=1,F435="결제대금비",AND(B435="U008",C435=208,J435="경조사비",F435="임시보관",SUMIF($C$430:$C$729,C435,$D$430:$D$729)&lt;=39000)),COUNTIF($A$8:$A$12,INDEX(잔액!$D:$D,MAX(64,C435)))=0,SUMIF($C$430:$C$729,C435,$D$430:$D$729)&lt;=INDEX(잔액!$Y:$Y,MAX(64,C435)))),1,0),0))</f>
        <v>1</v>
      </c>
      <c r="N435" s="504" t="str">
        <f>IF(B435="","",IFERROR(IF(AND(COUNTIF($A$100:$A$399,B435)=1,INDEX($R$100:$R$399,MATCH(B435,$A$100:$A$399,0))="OK",D435&gt;0,ISNUMBER(E435),M435=1,SUMIF($B$430:$B$729,B435,$D$430:$D$729)&lt;=INDEX($E$100:$E$399,MATCH(B435,$A$100:$A$399,0))),"OK","확인: 정산연결"),"확인: 정산연결"))</f>
        <v>OK</v>
      </c>
      <c r="O435" s="526">
        <f>IF(N435="OK",D435,0)</f>
        <v>300000</v>
      </c>
    </row>
    <row r="436" hidden="1" outlineLevel="1">
      <c r="A436" s="504" t="str">
        <f>IF(B436="","","S"&amp;ROW())</f>
        <v>S436</v>
      </c>
      <c r="B436" s="522" t="inlineStr">
        <is>
          <t>U007</t>
        </is>
      </c>
      <c r="C436" s="522" t="n">
        <v>222</v>
      </c>
      <c r="D436" s="525" t="n">
        <v>50000</v>
      </c>
      <c r="E436" s="524">
        <f>IF(C436="","",IFERROR(INDEX(잔액!$A:$A,MAX(64,C436)),""))</f>
        <v>46266.0</v>
      </c>
      <c r="F436" s="504" t="str">
        <f>IF(C436="","",IFERROR(INDEX(잔액!$C:$C,MAX(64,C436)),""))</f>
        <v>경조사비</v>
      </c>
      <c r="G436" s="504" t="str">
        <f>IF(C436="","",IF(INDEX(잔액!$K:$K,MAX(64,C436))&lt;&gt;"",INDEX(잔액!$K:$K,MAX(64,C436)),INDEX(잔액!$D:$D,MAX(64,C436))))</f>
        <v>지출</v>
      </c>
      <c r="H436" s="504" t="inlineStr">
        <is>
          <t>원장</t>
        </is>
      </c>
      <c r="I436" s="504" t="inlineStr">
        <is>
          <t>9월 생일 사용</t>
        </is>
      </c>
      <c r="J436" s="504" t="str">
        <f>IFERROR(INDEX($C$100:$C$399,MATCH(B436,$A$100:$A$399,0)),"")</f>
        <v>경조사비</v>
      </c>
      <c r="K436" s="524">
        <f>IFERROR(INDEX($D$100:$D$399,MATCH(B436,$A$100:$A$399,0)),"")</f>
        <v>46280.94167222222</v>
      </c>
      <c r="L436" s="504">
        <f>IFERROR(INDEX($S$100:$S$399,MATCH(B436,$A$100:$A$399,0)),"")</f>
        <v>46266.0</v>
      </c>
      <c r="M436" s="504">
        <f>IF(B436="","",IFERROR(IF(OR(AND(H436="기초반영",OR(B436="U001",B436="U002",B436="U003"),C436="",E436=DATE(2026,3,1)),AND(H436="원장",C436&gt;=64,C436&lt;=500,INDEX(잔액!$I:$I,MAX(64,C436))="OK",E436=INDEX(잔액!$A:$A,MAX(64,C436)),F436=INDEX(잔액!$C:$C,MAX(64,C436)),OR(F436=J436,F436="결제대금비",AND(B436="U008",C436=223,J436="경조사비",F436="명절비"),AND(B436="U008",C436=208,J436="경조사비",F436="임시보관",SUMIF($C$430:$C$729,C436,$D$430:$D$729)&lt;=39000)),OR(COUNTIF($A$8:$A$12,F436)=1,F436="결제대금비",AND(B436="U008",C436=208,J436="경조사비",F436="임시보관",SUMIF($C$430:$C$729,C436,$D$430:$D$729)&lt;=39000)),COUNTIF($A$8:$A$12,INDEX(잔액!$D:$D,MAX(64,C436)))=0,SUMIF($C$430:$C$729,C436,$D$430:$D$729)&lt;=INDEX(잔액!$Y:$Y,MAX(64,C436)))),1,0),0))</f>
        <v>1</v>
      </c>
      <c r="N436" s="504" t="str">
        <f>IF(B436="","",IFERROR(IF(AND(COUNTIF($A$100:$A$399,B436)=1,INDEX($R$100:$R$399,MATCH(B436,$A$100:$A$399,0))="OK",D436&gt;0,ISNUMBER(E436),M436=1,SUMIF($B$430:$B$729,B436,$D$430:$D$729)&lt;=INDEX($E$100:$E$399,MATCH(B436,$A$100:$A$399,0))),"OK","확인: 정산연결"),"확인: 정산연결"))</f>
        <v>OK</v>
      </c>
      <c r="O436" s="526">
        <f>IF(N436="OK",D436,0)</f>
        <v>50000</v>
      </c>
    </row>
    <row r="437" hidden="1" outlineLevel="1">
      <c r="A437" s="504" t="str">
        <f>IF(B437="","","S"&amp;ROW())</f>
        <v>S437</v>
      </c>
      <c r="B437" s="522" t="inlineStr">
        <is>
          <t>U008</t>
        </is>
      </c>
      <c r="C437" s="522" t="n">
        <v>223</v>
      </c>
      <c r="D437" s="525" t="n">
        <v>200000</v>
      </c>
      <c r="E437" s="524">
        <f>IF(C437="","",IFERROR(INDEX(잔액!$A:$A,MAX(64,C437)),""))</f>
        <v>46266.0</v>
      </c>
      <c r="F437" s="504" t="str">
        <f>IF(C437="","",IFERROR(INDEX(잔액!$C:$C,MAX(64,C437)),""))</f>
        <v>명절비</v>
      </c>
      <c r="G437" s="504" t="str">
        <f>IF(C437="","",IF(INDEX(잔액!$K:$K,MAX(64,C437))&lt;&gt;"",INDEX(잔액!$K:$K,MAX(64,C437)),INDEX(잔액!$D:$D,MAX(64,C437))))</f>
        <v>가족통장</v>
      </c>
      <c r="H437" s="504" t="inlineStr">
        <is>
          <t>원장</t>
        </is>
      </c>
      <c r="I437" s="504" t="inlineStr">
        <is>
          <t>확정된 교차계정 선이체: 명절비 → 가족통장 → 10월 경조 사용</t>
        </is>
      </c>
      <c r="J437" s="504" t="str">
        <f>IFERROR(INDEX($C$100:$C$399,MATCH(B437,$A$100:$A$399,0)),"")</f>
        <v>경조사비</v>
      </c>
      <c r="K437" s="524">
        <f>IFERROR(INDEX($D$100:$D$399,MATCH(B437,$A$100:$A$399,0)),"")</f>
        <v>46296.0</v>
      </c>
      <c r="L437" s="504">
        <f>IFERROR(INDEX($S$100:$S$399,MATCH(B437,$A$100:$A$399,0)),"")</f>
        <v>46296.0</v>
      </c>
      <c r="M437" s="504">
        <f>IF(B437="","",IFERROR(IF(OR(AND(H437="기초반영",OR(B437="U001",B437="U002",B437="U003"),C437="",E437=DATE(2026,3,1)),AND(H437="원장",C437&gt;=64,C437&lt;=500,INDEX(잔액!$I:$I,MAX(64,C437))="OK",E437=INDEX(잔액!$A:$A,MAX(64,C437)),F437=INDEX(잔액!$C:$C,MAX(64,C437)),OR(F437=J437,F437="결제대금비",AND(B437="U008",C437=223,J437="경조사비",F437="명절비"),AND(B437="U008",C437=208,J437="경조사비",F437="임시보관",SUMIF($C$430:$C$729,C437,$D$430:$D$729)&lt;=39000)),OR(COUNTIF($A$8:$A$12,F437)=1,F437="결제대금비",AND(B437="U008",C437=208,J437="경조사비",F437="임시보관",SUMIF($C$430:$C$729,C437,$D$430:$D$729)&lt;=39000)),COUNTIF($A$8:$A$12,INDEX(잔액!$D:$D,MAX(64,C437)))=0,SUMIF($C$430:$C$729,C437,$D$430:$D$729)&lt;=INDEX(잔액!$Y:$Y,MAX(64,C437)))),1,0),0))</f>
        <v>1</v>
      </c>
      <c r="N437" s="504" t="str">
        <f>IF(B437="","",IFERROR(IF(AND(COUNTIF($A$100:$A$399,B437)=1,INDEX($R$100:$R$399,MATCH(B437,$A$100:$A$399,0))="OK",D437&gt;0,ISNUMBER(E437),M437=1,SUMIF($B$430:$B$729,B437,$D$430:$D$729)&lt;=INDEX($E$100:$E$399,MATCH(B437,$A$100:$A$399,0))),"OK","확인: 정산연결"),"확인: 정산연결"))</f>
        <v>OK</v>
      </c>
      <c r="O437" s="526">
        <f>IF(N437="OK",D437,0)</f>
        <v>200000</v>
      </c>
    </row>
    <row r="438" hidden="1" outlineLevel="1">
      <c r="A438" s="504" t="str">
        <f>IF(B438="","","S"&amp;ROW())</f>
        <v>S438</v>
      </c>
      <c r="B438" s="522" t="inlineStr">
        <is>
          <t xml:space="preserve">U008</t>
        </is>
      </c>
      <c r="C438" s="522">
        <v>208</v>
      </c>
      <c r="D438" s="525">
        <v>39000</v>
      </c>
      <c r="E438" s="524">
        <f>IF(C438="","",IFERROR(INDEX(잔액!$A:$A,MAX(64,C438)),""))</f>
        <v>46235.0</v>
      </c>
      <c r="F438" s="504" t="str">
        <f>IF(C438="","",IFERROR(INDEX(잔액!$C:$C,MAX(64,C438)),""))</f>
        <v>임시보관</v>
      </c>
      <c r="G438" s="504" t="str">
        <f>IF(C438="","",IF(INDEX(잔액!$K:$K,MAX(64,C438))&lt;&gt;"",INDEX(잔액!$K:$K,MAX(64,C438)),INDEX(잔액!$D:$D,MAX(64,C438))))</f>
        <v>지출</v>
      </c>
      <c r="H438" s="504" t="inlineStr">
        <is>
          <t xml:space="preserve">원장</t>
        </is>
      </c>
      <c r="I438" t="inlineStr">
        <is>
          <t xml:space="preserve">임시보관 납입 100,000 중 행사 부담 39,000. 나머지 61,000은 10/15 원장 246행 회수</t>
        </is>
      </c>
      <c r="J438" s="504" t="str">
        <f>IFERROR(INDEX($C$100:$C$399,MATCH(B438,$A$100:$A$399,0)),"")</f>
        <v>경조사비</v>
      </c>
      <c r="K438" s="524">
        <f>IFERROR(INDEX($D$100:$D$399,MATCH(B438,$A$100:$A$399,0)),"")</f>
        <v>46296.0</v>
      </c>
      <c r="L438" s="504">
        <f>IFERROR(INDEX($S$100:$S$399,MATCH(B438,$A$100:$A$399,0)),"")</f>
        <v>46296.0</v>
      </c>
      <c r="M438" s="504">
        <f>IF(B438="","",IFERROR(IF(OR(AND(H438="기초반영",OR(B438="U001",B438="U002",B438="U003"),C438="",E438=DATE(2026,3,1)),AND(H438="원장",C438&gt;=64,C438&lt;=500,INDEX(잔액!$I:$I,MAX(64,C438))="OK",E438=INDEX(잔액!$A:$A,MAX(64,C438)),F438=INDEX(잔액!$C:$C,MAX(64,C438)),OR(F438=J438,F438="결제대금비",AND(B438="U008",C438=223,J438="경조사비",F438="명절비"),AND(B438="U008",C438=208,J438="경조사비",F438="임시보관",SUMIF($C$430:$C$729,C438,$D$430:$D$729)&lt;=39000)),OR(COUNTIF($A$8:$A$12,F438)=1,F438="결제대금비",AND(B438="U008",C438=208,J438="경조사비",F438="임시보관",SUMIF($C$430:$C$729,C438,$D$430:$D$729)&lt;=39000)),COUNTIF($A$8:$A$12,INDEX(잔액!$D:$D,MAX(64,C438)))=0,SUMIF($C$430:$C$729,C438,$D$430:$D$729)&lt;=INDEX(잔액!$Y:$Y,MAX(64,C438)))),1,0),0))</f>
        <v>1</v>
      </c>
      <c r="N438" s="504" t="str">
        <f>IF(B438="","",IFERROR(IF(AND(COUNTIF($A$100:$A$399,B438)=1,INDEX($R$100:$R$399,MATCH(B438,$A$100:$A$399,0))="OK",D438&gt;0,ISNUMBER(E438),M438=1,SUMIF($B$430:$B$729,B438,$D$430:$D$729)&lt;=INDEX($E$100:$E$399,MATCH(B438,$A$100:$A$399,0))),"OK","확인: 정산연결"),"확인: 정산연결"))</f>
        <v>OK</v>
      </c>
      <c r="O438" s="526">
        <f>IF(N438="OK",D438,0)</f>
        <v>39000</v>
      </c>
    </row>
    <row r="439" hidden="1" outlineLevel="1">
      <c r="A439" s="504">
        <f>IF(B439="","","S"&amp;ROW())</f>
      </c>
      <c r="B439" s="522" t="n"/>
      <c r="C439" s="522" t="n"/>
      <c r="D439" s="525">
        <f>IF(C439="","",IFERROR(INDEX(잔액!$Y:$Y,MAX(64,C439)),0))</f>
      </c>
      <c r="E439" s="524">
        <f>IF(C439="","",IFERROR(INDEX(잔액!$A:$A,MAX(64,C439)),""))</f>
      </c>
      <c r="F439" s="504">
        <f>IF(C439="","",IFERROR(INDEX(잔액!$C:$C,MAX(64,C439)),""))</f>
      </c>
      <c r="G439" s="504">
        <f>IF(C439="","",IF(INDEX(잔액!$K:$K,MAX(64,C439))&lt;&gt;"",INDEX(잔액!$K:$K,MAX(64,C439)),INDEX(잔액!$D:$D,MAX(64,C439))))</f>
      </c>
      <c r="H439" s="504" t="inlineStr">
        <is>
          <t>원장</t>
        </is>
      </c>
      <c r="J439" s="504">
        <f>IFERROR(INDEX($C$100:$C$399,MATCH(B439,$A$100:$A$399,0)),"")</f>
        <v>0</v>
      </c>
      <c r="K439" s="524">
        <f>IFERROR(INDEX($D$100:$D$399,MATCH(B439,$A$100:$A$399,0)),"")</f>
      </c>
      <c r="L439" s="504">
        <f>IFERROR(INDEX($S$100:$S$399,MATCH(B439,$A$100:$A$399,0)),"")</f>
        <v>0</v>
      </c>
      <c r="M439" s="504">
        <f>IF(B439="","",IFERROR(IF(OR(AND(H439="기초반영",OR(B439="U001",B439="U002",B439="U003"),C439="",E439=DATE(2026,3,1)),AND(H439="원장",C439&gt;=64,C439&lt;=500,INDEX(잔액!$I:$I,MAX(64,C439))="OK",E439=INDEX(잔액!$A:$A,MAX(64,C439)),F439=INDEX(잔액!$C:$C,MAX(64,C439)),OR(F439=J439,F439="결제대금비",AND(B439="U008",C439=223,J439="경조사비",F439="명절비"),AND(B439="U008",C439=208,J439="경조사비",F439="임시보관",SUMIF($C$430:$C$729,C439,$D$430:$D$729)&lt;=39000)),OR(COUNTIF($A$8:$A$12,F439)=1,F439="결제대금비",AND(B439="U008",C439=208,J439="경조사비",F439="임시보관",SUMIF($C$430:$C$729,C439,$D$430:$D$729)&lt;=39000)),COUNTIF($A$8:$A$12,INDEX(잔액!$D:$D,MAX(64,C439)))=0,SUMIF($C$430:$C$729,C439,$D$430:$D$729)&lt;=INDEX(잔액!$Y:$Y,MAX(64,C439)))),1,0),0))</f>
      </c>
      <c r="N439" s="504">
        <f>IF(B439="","",IFERROR(IF(AND(COUNTIF($A$100:$A$399,B439)=1,INDEX($R$100:$R$399,MATCH(B439,$A$100:$A$399,0))="OK",D439&gt;0,ISNUMBER(E439),M439=1,SUMIF($B$430:$B$729,B439,$D$430:$D$729)&lt;=INDEX($E$100:$E$399,MATCH(B439,$A$100:$A$399,0))),"OK","확인: 정산연결"),"확인: 정산연결"))</f>
      </c>
      <c r="O439" s="526">
        <f>IF(N439="OK",D439,0)</f>
        <v>0</v>
      </c>
    </row>
    <row r="440" hidden="1" outlineLevel="1">
      <c r="A440" s="504">
        <f>IF(B440="","","S"&amp;ROW())</f>
      </c>
      <c r="B440" s="522" t="n"/>
      <c r="C440" s="522" t="n"/>
      <c r="D440" s="525">
        <f>IF(C440="","",IFERROR(INDEX(잔액!$Y:$Y,MAX(64,C440)),0))</f>
      </c>
      <c r="E440" s="524">
        <f>IF(C440="","",IFERROR(INDEX(잔액!$A:$A,MAX(64,C440)),""))</f>
      </c>
      <c r="F440" s="504">
        <f>IF(C440="","",IFERROR(INDEX(잔액!$C:$C,MAX(64,C440)),""))</f>
      </c>
      <c r="G440" s="504">
        <f>IF(C440="","",IF(INDEX(잔액!$K:$K,MAX(64,C440))&lt;&gt;"",INDEX(잔액!$K:$K,MAX(64,C440)),INDEX(잔액!$D:$D,MAX(64,C440))))</f>
      </c>
      <c r="H440" s="504" t="inlineStr">
        <is>
          <t>원장</t>
        </is>
      </c>
      <c r="J440" s="504">
        <f>IFERROR(INDEX($C$100:$C$399,MATCH(B440,$A$100:$A$399,0)),"")</f>
        <v>0</v>
      </c>
      <c r="K440" s="524">
        <f>IFERROR(INDEX($D$100:$D$399,MATCH(B440,$A$100:$A$399,0)),"")</f>
      </c>
      <c r="L440" s="504">
        <f>IFERROR(INDEX($S$100:$S$399,MATCH(B440,$A$100:$A$399,0)),"")</f>
        <v>0</v>
      </c>
      <c r="M440" s="504">
        <f>IF(B440="","",IFERROR(IF(OR(AND(H440="기초반영",OR(B440="U001",B440="U002",B440="U003"),C440="",E440=DATE(2026,3,1)),AND(H440="원장",C440&gt;=64,C440&lt;=500,INDEX(잔액!$I:$I,MAX(64,C440))="OK",E440=INDEX(잔액!$A:$A,MAX(64,C440)),F440=INDEX(잔액!$C:$C,MAX(64,C440)),OR(F440=J440,F440="결제대금비",AND(B440="U008",C440=223,J440="경조사비",F440="명절비"),AND(B440="U008",C440=208,J440="경조사비",F440="임시보관",SUMIF($C$430:$C$729,C440,$D$430:$D$729)&lt;=39000)),OR(COUNTIF($A$8:$A$12,F440)=1,F440="결제대금비",AND(B440="U008",C440=208,J440="경조사비",F440="임시보관",SUMIF($C$430:$C$729,C440,$D$430:$D$729)&lt;=39000)),COUNTIF($A$8:$A$12,INDEX(잔액!$D:$D,MAX(64,C440)))=0,SUMIF($C$430:$C$729,C440,$D$430:$D$729)&lt;=INDEX(잔액!$Y:$Y,MAX(64,C440)))),1,0),0))</f>
      </c>
      <c r="N440" s="504">
        <f>IF(B440="","",IFERROR(IF(AND(COUNTIF($A$100:$A$399,B440)=1,INDEX($R$100:$R$399,MATCH(B440,$A$100:$A$399,0))="OK",D440&gt;0,ISNUMBER(E440),M440=1,SUMIF($B$430:$B$729,B440,$D$430:$D$729)&lt;=INDEX($E$100:$E$399,MATCH(B440,$A$100:$A$399,0))),"OK","확인: 정산연결"),"확인: 정산연결"))</f>
      </c>
      <c r="O440" s="526">
        <f>IF(N440="OK",D440,0)</f>
        <v>0</v>
      </c>
    </row>
    <row r="441" hidden="1" outlineLevel="1">
      <c r="A441" s="504">
        <f>IF(B441="","","S"&amp;ROW())</f>
      </c>
      <c r="B441" s="522" t="n"/>
      <c r="C441" s="522" t="n"/>
      <c r="D441" s="525">
        <f>IF(C441="","",IFERROR(INDEX(잔액!$Y:$Y,MAX(64,C441)),0))</f>
      </c>
      <c r="E441" s="524">
        <f>IF(C441="","",IFERROR(INDEX(잔액!$A:$A,MAX(64,C441)),""))</f>
      </c>
      <c r="F441" s="504">
        <f>IF(C441="","",IFERROR(INDEX(잔액!$C:$C,MAX(64,C441)),""))</f>
      </c>
      <c r="G441" s="504">
        <f>IF(C441="","",IF(INDEX(잔액!$K:$K,MAX(64,C441))&lt;&gt;"",INDEX(잔액!$K:$K,MAX(64,C441)),INDEX(잔액!$D:$D,MAX(64,C441))))</f>
      </c>
      <c r="H441" s="504" t="inlineStr">
        <is>
          <t>원장</t>
        </is>
      </c>
      <c r="J441" s="504">
        <f>IFERROR(INDEX($C$100:$C$399,MATCH(B441,$A$100:$A$399,0)),"")</f>
        <v>0</v>
      </c>
      <c r="K441" s="524">
        <f>IFERROR(INDEX($D$100:$D$399,MATCH(B441,$A$100:$A$399,0)),"")</f>
      </c>
      <c r="L441" s="504">
        <f>IFERROR(INDEX($S$100:$S$399,MATCH(B441,$A$100:$A$399,0)),"")</f>
        <v>0</v>
      </c>
      <c r="M441" s="504">
        <f>IF(B441="","",IFERROR(IF(OR(AND(H441="기초반영",OR(B441="U001",B441="U002",B441="U003"),C441="",E441=DATE(2026,3,1)),AND(H441="원장",C441&gt;=64,C441&lt;=500,INDEX(잔액!$I:$I,MAX(64,C441))="OK",E441=INDEX(잔액!$A:$A,MAX(64,C441)),F441=INDEX(잔액!$C:$C,MAX(64,C441)),OR(F441=J441,F441="결제대금비",AND(B441="U008",C441=223,J441="경조사비",F441="명절비"),AND(B441="U008",C441=208,J441="경조사비",F441="임시보관",SUMIF($C$430:$C$729,C441,$D$430:$D$729)&lt;=39000)),OR(COUNTIF($A$8:$A$12,F441)=1,F441="결제대금비",AND(B441="U008",C441=208,J441="경조사비",F441="임시보관",SUMIF($C$430:$C$729,C441,$D$430:$D$729)&lt;=39000)),COUNTIF($A$8:$A$12,INDEX(잔액!$D:$D,MAX(64,C441)))=0,SUMIF($C$430:$C$729,C441,$D$430:$D$729)&lt;=INDEX(잔액!$Y:$Y,MAX(64,C441)))),1,0),0))</f>
      </c>
      <c r="N441" s="504">
        <f>IF(B441="","",IFERROR(IF(AND(COUNTIF($A$100:$A$399,B441)=1,INDEX($R$100:$R$399,MATCH(B441,$A$100:$A$399,0))="OK",D441&gt;0,ISNUMBER(E441),M441=1,SUMIF($B$430:$B$729,B441,$D$430:$D$729)&lt;=INDEX($E$100:$E$399,MATCH(B441,$A$100:$A$399,0))),"OK","확인: 정산연결"),"확인: 정산연결"))</f>
      </c>
      <c r="O441" s="526">
        <f>IF(N441="OK",D441,0)</f>
        <v>0</v>
      </c>
    </row>
    <row r="442" hidden="1" outlineLevel="1">
      <c r="A442" s="504">
        <f>IF(B442="","","S"&amp;ROW())</f>
      </c>
      <c r="B442" s="522" t="n"/>
      <c r="C442" s="522" t="n"/>
      <c r="D442" s="525">
        <f>IF(C442="","",IFERROR(INDEX(잔액!$Y:$Y,MAX(64,C442)),0))</f>
      </c>
      <c r="E442" s="524">
        <f>IF(C442="","",IFERROR(INDEX(잔액!$A:$A,MAX(64,C442)),""))</f>
      </c>
      <c r="F442" s="504">
        <f>IF(C442="","",IFERROR(INDEX(잔액!$C:$C,MAX(64,C442)),""))</f>
      </c>
      <c r="G442" s="504">
        <f>IF(C442="","",IF(INDEX(잔액!$K:$K,MAX(64,C442))&lt;&gt;"",INDEX(잔액!$K:$K,MAX(64,C442)),INDEX(잔액!$D:$D,MAX(64,C442))))</f>
      </c>
      <c r="H442" s="504" t="inlineStr">
        <is>
          <t>원장</t>
        </is>
      </c>
      <c r="J442" s="504">
        <f>IFERROR(INDEX($C$100:$C$399,MATCH(B442,$A$100:$A$399,0)),"")</f>
        <v>0</v>
      </c>
      <c r="K442" s="524">
        <f>IFERROR(INDEX($D$100:$D$399,MATCH(B442,$A$100:$A$399,0)),"")</f>
      </c>
      <c r="L442" s="504">
        <f>IFERROR(INDEX($S$100:$S$399,MATCH(B442,$A$100:$A$399,0)),"")</f>
        <v>0</v>
      </c>
      <c r="M442" s="504">
        <f>IF(B442="","",IFERROR(IF(OR(AND(H442="기초반영",OR(B442="U001",B442="U002",B442="U003"),C442="",E442=DATE(2026,3,1)),AND(H442="원장",C442&gt;=64,C442&lt;=500,INDEX(잔액!$I:$I,MAX(64,C442))="OK",E442=INDEX(잔액!$A:$A,MAX(64,C442)),F442=INDEX(잔액!$C:$C,MAX(64,C442)),OR(F442=J442,F442="결제대금비",AND(B442="U008",C442=223,J442="경조사비",F442="명절비"),AND(B442="U008",C442=208,J442="경조사비",F442="임시보관",SUMIF($C$430:$C$729,C442,$D$430:$D$729)&lt;=39000)),OR(COUNTIF($A$8:$A$12,F442)=1,F442="결제대금비",AND(B442="U008",C442=208,J442="경조사비",F442="임시보관",SUMIF($C$430:$C$729,C442,$D$430:$D$729)&lt;=39000)),COUNTIF($A$8:$A$12,INDEX(잔액!$D:$D,MAX(64,C442)))=0,SUMIF($C$430:$C$729,C442,$D$430:$D$729)&lt;=INDEX(잔액!$Y:$Y,MAX(64,C442)))),1,0),0))</f>
      </c>
      <c r="N442" s="504">
        <f>IF(B442="","",IFERROR(IF(AND(COUNTIF($A$100:$A$399,B442)=1,INDEX($R$100:$R$399,MATCH(B442,$A$100:$A$399,0))="OK",D442&gt;0,ISNUMBER(E442),M442=1,SUMIF($B$430:$B$729,B442,$D$430:$D$729)&lt;=INDEX($E$100:$E$399,MATCH(B442,$A$100:$A$399,0))),"OK","확인: 정산연결"),"확인: 정산연결"))</f>
      </c>
      <c r="O442" s="526">
        <f>IF(N442="OK",D442,0)</f>
        <v>0</v>
      </c>
    </row>
    <row r="443" hidden="1" outlineLevel="1">
      <c r="A443" s="504">
        <f>IF(B443="","","S"&amp;ROW())</f>
      </c>
      <c r="B443" s="522" t="n"/>
      <c r="C443" s="522" t="n"/>
      <c r="D443" s="525">
        <f>IF(C443="","",IFERROR(INDEX(잔액!$Y:$Y,MAX(64,C443)),0))</f>
      </c>
      <c r="E443" s="524">
        <f>IF(C443="","",IFERROR(INDEX(잔액!$A:$A,MAX(64,C443)),""))</f>
      </c>
      <c r="F443" s="504">
        <f>IF(C443="","",IFERROR(INDEX(잔액!$C:$C,MAX(64,C443)),""))</f>
      </c>
      <c r="G443" s="504">
        <f>IF(C443="","",IF(INDEX(잔액!$K:$K,MAX(64,C443))&lt;&gt;"",INDEX(잔액!$K:$K,MAX(64,C443)),INDEX(잔액!$D:$D,MAX(64,C443))))</f>
      </c>
      <c r="H443" s="504" t="inlineStr">
        <is>
          <t>원장</t>
        </is>
      </c>
      <c r="J443" s="504">
        <f>IFERROR(INDEX($C$100:$C$399,MATCH(B443,$A$100:$A$399,0)),"")</f>
        <v>0</v>
      </c>
      <c r="K443" s="524">
        <f>IFERROR(INDEX($D$100:$D$399,MATCH(B443,$A$100:$A$399,0)),"")</f>
      </c>
      <c r="L443" s="504">
        <f>IFERROR(INDEX($S$100:$S$399,MATCH(B443,$A$100:$A$399,0)),"")</f>
        <v>0</v>
      </c>
      <c r="M443" s="504">
        <f>IF(B443="","",IFERROR(IF(OR(AND(H443="기초반영",OR(B443="U001",B443="U002",B443="U003"),C443="",E443=DATE(2026,3,1)),AND(H443="원장",C443&gt;=64,C443&lt;=500,INDEX(잔액!$I:$I,MAX(64,C443))="OK",E443=INDEX(잔액!$A:$A,MAX(64,C443)),F443=INDEX(잔액!$C:$C,MAX(64,C443)),OR(F443=J443,F443="결제대금비",AND(B443="U008",C443=223,J443="경조사비",F443="명절비"),AND(B443="U008",C443=208,J443="경조사비",F443="임시보관",SUMIF($C$430:$C$729,C443,$D$430:$D$729)&lt;=39000)),OR(COUNTIF($A$8:$A$12,F443)=1,F443="결제대금비",AND(B443="U008",C443=208,J443="경조사비",F443="임시보관",SUMIF($C$430:$C$729,C443,$D$430:$D$729)&lt;=39000)),COUNTIF($A$8:$A$12,INDEX(잔액!$D:$D,MAX(64,C443)))=0,SUMIF($C$430:$C$729,C443,$D$430:$D$729)&lt;=INDEX(잔액!$Y:$Y,MAX(64,C443)))),1,0),0))</f>
      </c>
      <c r="N443" s="504">
        <f>IF(B443="","",IFERROR(IF(AND(COUNTIF($A$100:$A$399,B443)=1,INDEX($R$100:$R$399,MATCH(B443,$A$100:$A$399,0))="OK",D443&gt;0,ISNUMBER(E443),M443=1,SUMIF($B$430:$B$729,B443,$D$430:$D$729)&lt;=INDEX($E$100:$E$399,MATCH(B443,$A$100:$A$399,0))),"OK","확인: 정산연결"),"확인: 정산연결"))</f>
      </c>
      <c r="O443" s="526">
        <f>IF(N443="OK",D443,0)</f>
        <v>0</v>
      </c>
    </row>
    <row r="444" hidden="1" outlineLevel="1">
      <c r="A444" s="504">
        <f>IF(B444="","","S"&amp;ROW())</f>
      </c>
      <c r="B444" s="522" t="n"/>
      <c r="C444" s="522" t="n"/>
      <c r="D444" s="525">
        <f>IF(C444="","",IFERROR(INDEX(잔액!$Y:$Y,MAX(64,C444)),0))</f>
      </c>
      <c r="E444" s="524">
        <f>IF(C444="","",IFERROR(INDEX(잔액!$A:$A,MAX(64,C444)),""))</f>
      </c>
      <c r="F444" s="504">
        <f>IF(C444="","",IFERROR(INDEX(잔액!$C:$C,MAX(64,C444)),""))</f>
      </c>
      <c r="G444" s="504">
        <f>IF(C444="","",IF(INDEX(잔액!$K:$K,MAX(64,C444))&lt;&gt;"",INDEX(잔액!$K:$K,MAX(64,C444)),INDEX(잔액!$D:$D,MAX(64,C444))))</f>
      </c>
      <c r="H444" s="504" t="inlineStr">
        <is>
          <t>원장</t>
        </is>
      </c>
      <c r="J444" s="504">
        <f>IFERROR(INDEX($C$100:$C$399,MATCH(B444,$A$100:$A$399,0)),"")</f>
        <v>0</v>
      </c>
      <c r="K444" s="524">
        <f>IFERROR(INDEX($D$100:$D$399,MATCH(B444,$A$100:$A$399,0)),"")</f>
      </c>
      <c r="L444" s="504">
        <f>IFERROR(INDEX($S$100:$S$399,MATCH(B444,$A$100:$A$399,0)),"")</f>
        <v>0</v>
      </c>
      <c r="M444" s="504">
        <f>IF(B444="","",IFERROR(IF(OR(AND(H444="기초반영",OR(B444="U001",B444="U002",B444="U003"),C444="",E444=DATE(2026,3,1)),AND(H444="원장",C444&gt;=64,C444&lt;=500,INDEX(잔액!$I:$I,MAX(64,C444))="OK",E444=INDEX(잔액!$A:$A,MAX(64,C444)),F444=INDEX(잔액!$C:$C,MAX(64,C444)),OR(F444=J444,F444="결제대금비",AND(B444="U008",C444=223,J444="경조사비",F444="명절비"),AND(B444="U008",C444=208,J444="경조사비",F444="임시보관",SUMIF($C$430:$C$729,C444,$D$430:$D$729)&lt;=39000)),OR(COUNTIF($A$8:$A$12,F444)=1,F444="결제대금비",AND(B444="U008",C444=208,J444="경조사비",F444="임시보관",SUMIF($C$430:$C$729,C444,$D$430:$D$729)&lt;=39000)),COUNTIF($A$8:$A$12,INDEX(잔액!$D:$D,MAX(64,C444)))=0,SUMIF($C$430:$C$729,C444,$D$430:$D$729)&lt;=INDEX(잔액!$Y:$Y,MAX(64,C444)))),1,0),0))</f>
      </c>
      <c r="N444" s="504">
        <f>IF(B444="","",IFERROR(IF(AND(COUNTIF($A$100:$A$399,B444)=1,INDEX($R$100:$R$399,MATCH(B444,$A$100:$A$399,0))="OK",D444&gt;0,ISNUMBER(E444),M444=1,SUMIF($B$430:$B$729,B444,$D$430:$D$729)&lt;=INDEX($E$100:$E$399,MATCH(B444,$A$100:$A$399,0))),"OK","확인: 정산연결"),"확인: 정산연결"))</f>
      </c>
      <c r="O444" s="526">
        <f>IF(N444="OK",D444,0)</f>
        <v>0</v>
      </c>
    </row>
    <row r="445" hidden="1" outlineLevel="1">
      <c r="A445" s="504">
        <f>IF(B445="","","S"&amp;ROW())</f>
      </c>
      <c r="B445" s="522" t="n"/>
      <c r="C445" s="522" t="n"/>
      <c r="D445" s="525">
        <f>IF(C445="","",IFERROR(INDEX(잔액!$Y:$Y,MAX(64,C445)),0))</f>
      </c>
      <c r="E445" s="524">
        <f>IF(C445="","",IFERROR(INDEX(잔액!$A:$A,MAX(64,C445)),""))</f>
      </c>
      <c r="F445" s="504">
        <f>IF(C445="","",IFERROR(INDEX(잔액!$C:$C,MAX(64,C445)),""))</f>
      </c>
      <c r="G445" s="504">
        <f>IF(C445="","",IF(INDEX(잔액!$K:$K,MAX(64,C445))&lt;&gt;"",INDEX(잔액!$K:$K,MAX(64,C445)),INDEX(잔액!$D:$D,MAX(64,C445))))</f>
      </c>
      <c r="H445" s="504" t="inlineStr">
        <is>
          <t>원장</t>
        </is>
      </c>
      <c r="J445" s="504">
        <f>IFERROR(INDEX($C$100:$C$399,MATCH(B445,$A$100:$A$399,0)),"")</f>
        <v>0</v>
      </c>
      <c r="K445" s="524">
        <f>IFERROR(INDEX($D$100:$D$399,MATCH(B445,$A$100:$A$399,0)),"")</f>
      </c>
      <c r="L445" s="504">
        <f>IFERROR(INDEX($S$100:$S$399,MATCH(B445,$A$100:$A$399,0)),"")</f>
        <v>0</v>
      </c>
      <c r="M445" s="504">
        <f>IF(B445="","",IFERROR(IF(OR(AND(H445="기초반영",OR(B445="U001",B445="U002",B445="U003"),C445="",E445=DATE(2026,3,1)),AND(H445="원장",C445&gt;=64,C445&lt;=500,INDEX(잔액!$I:$I,MAX(64,C445))="OK",E445=INDEX(잔액!$A:$A,MAX(64,C445)),F445=INDEX(잔액!$C:$C,MAX(64,C445)),OR(F445=J445,F445="결제대금비",AND(B445="U008",C445=223,J445="경조사비",F445="명절비"),AND(B445="U008",C445=208,J445="경조사비",F445="임시보관",SUMIF($C$430:$C$729,C445,$D$430:$D$729)&lt;=39000)),OR(COUNTIF($A$8:$A$12,F445)=1,F445="결제대금비",AND(B445="U008",C445=208,J445="경조사비",F445="임시보관",SUMIF($C$430:$C$729,C445,$D$430:$D$729)&lt;=39000)),COUNTIF($A$8:$A$12,INDEX(잔액!$D:$D,MAX(64,C445)))=0,SUMIF($C$430:$C$729,C445,$D$430:$D$729)&lt;=INDEX(잔액!$Y:$Y,MAX(64,C445)))),1,0),0))</f>
      </c>
      <c r="N445" s="504">
        <f>IF(B445="","",IFERROR(IF(AND(COUNTIF($A$100:$A$399,B445)=1,INDEX($R$100:$R$399,MATCH(B445,$A$100:$A$399,0))="OK",D445&gt;0,ISNUMBER(E445),M445=1,SUMIF($B$430:$B$729,B445,$D$430:$D$729)&lt;=INDEX($E$100:$E$399,MATCH(B445,$A$100:$A$399,0))),"OK","확인: 정산연결"),"확인: 정산연결"))</f>
      </c>
      <c r="O445" s="526">
        <f>IF(N445="OK",D445,0)</f>
        <v>0</v>
      </c>
    </row>
    <row r="446" hidden="1" outlineLevel="1">
      <c r="A446" s="504">
        <f>IF(B446="","","S"&amp;ROW())</f>
      </c>
      <c r="B446" s="522" t="n"/>
      <c r="C446" s="522" t="n"/>
      <c r="D446" s="525">
        <f>IF(C446="","",IFERROR(INDEX(잔액!$Y:$Y,MAX(64,C446)),0))</f>
      </c>
      <c r="E446" s="524">
        <f>IF(C446="","",IFERROR(INDEX(잔액!$A:$A,MAX(64,C446)),""))</f>
      </c>
      <c r="F446" s="504">
        <f>IF(C446="","",IFERROR(INDEX(잔액!$C:$C,MAX(64,C446)),""))</f>
      </c>
      <c r="G446" s="504">
        <f>IF(C446="","",IF(INDEX(잔액!$K:$K,MAX(64,C446))&lt;&gt;"",INDEX(잔액!$K:$K,MAX(64,C446)),INDEX(잔액!$D:$D,MAX(64,C446))))</f>
      </c>
      <c r="H446" s="504" t="inlineStr">
        <is>
          <t>원장</t>
        </is>
      </c>
      <c r="J446" s="504">
        <f>IFERROR(INDEX($C$100:$C$399,MATCH(B446,$A$100:$A$399,0)),"")</f>
        <v>0</v>
      </c>
      <c r="K446" s="524">
        <f>IFERROR(INDEX($D$100:$D$399,MATCH(B446,$A$100:$A$399,0)),"")</f>
      </c>
      <c r="L446" s="504">
        <f>IFERROR(INDEX($S$100:$S$399,MATCH(B446,$A$100:$A$399,0)),"")</f>
        <v>0</v>
      </c>
      <c r="M446" s="504">
        <f>IF(B446="","",IFERROR(IF(OR(AND(H446="기초반영",OR(B446="U001",B446="U002",B446="U003"),C446="",E446=DATE(2026,3,1)),AND(H446="원장",C446&gt;=64,C446&lt;=500,INDEX(잔액!$I:$I,MAX(64,C446))="OK",E446=INDEX(잔액!$A:$A,MAX(64,C446)),F446=INDEX(잔액!$C:$C,MAX(64,C446)),OR(F446=J446,F446="결제대금비",AND(B446="U008",C446=223,J446="경조사비",F446="명절비"),AND(B446="U008",C446=208,J446="경조사비",F446="임시보관",SUMIF($C$430:$C$729,C446,$D$430:$D$729)&lt;=39000)),OR(COUNTIF($A$8:$A$12,F446)=1,F446="결제대금비",AND(B446="U008",C446=208,J446="경조사비",F446="임시보관",SUMIF($C$430:$C$729,C446,$D$430:$D$729)&lt;=39000)),COUNTIF($A$8:$A$12,INDEX(잔액!$D:$D,MAX(64,C446)))=0,SUMIF($C$430:$C$729,C446,$D$430:$D$729)&lt;=INDEX(잔액!$Y:$Y,MAX(64,C446)))),1,0),0))</f>
      </c>
      <c r="N446" s="504">
        <f>IF(B446="","",IFERROR(IF(AND(COUNTIF($A$100:$A$399,B446)=1,INDEX($R$100:$R$399,MATCH(B446,$A$100:$A$399,0))="OK",D446&gt;0,ISNUMBER(E446),M446=1,SUMIF($B$430:$B$729,B446,$D$430:$D$729)&lt;=INDEX($E$100:$E$399,MATCH(B446,$A$100:$A$399,0))),"OK","확인: 정산연결"),"확인: 정산연결"))</f>
      </c>
      <c r="O446" s="526">
        <f>IF(N446="OK",D446,0)</f>
        <v>0</v>
      </c>
    </row>
    <row r="447" hidden="1" outlineLevel="1">
      <c r="A447" s="504">
        <f>IF(B447="","","S"&amp;ROW())</f>
      </c>
      <c r="B447" s="522" t="n"/>
      <c r="C447" s="522" t="n"/>
      <c r="D447" s="525">
        <f>IF(C447="","",IFERROR(INDEX(잔액!$Y:$Y,MAX(64,C447)),0))</f>
      </c>
      <c r="E447" s="524">
        <f>IF(C447="","",IFERROR(INDEX(잔액!$A:$A,MAX(64,C447)),""))</f>
      </c>
      <c r="F447" s="504">
        <f>IF(C447="","",IFERROR(INDEX(잔액!$C:$C,MAX(64,C447)),""))</f>
      </c>
      <c r="G447" s="504">
        <f>IF(C447="","",IF(INDEX(잔액!$K:$K,MAX(64,C447))&lt;&gt;"",INDEX(잔액!$K:$K,MAX(64,C447)),INDEX(잔액!$D:$D,MAX(64,C447))))</f>
      </c>
      <c r="H447" s="504" t="inlineStr">
        <is>
          <t>원장</t>
        </is>
      </c>
      <c r="J447" s="504">
        <f>IFERROR(INDEX($C$100:$C$399,MATCH(B447,$A$100:$A$399,0)),"")</f>
        <v>0</v>
      </c>
      <c r="K447" s="524">
        <f>IFERROR(INDEX($D$100:$D$399,MATCH(B447,$A$100:$A$399,0)),"")</f>
      </c>
      <c r="L447" s="504">
        <f>IFERROR(INDEX($S$100:$S$399,MATCH(B447,$A$100:$A$399,0)),"")</f>
        <v>0</v>
      </c>
      <c r="M447" s="504">
        <f>IF(B447="","",IFERROR(IF(OR(AND(H447="기초반영",OR(B447="U001",B447="U002",B447="U003"),C447="",E447=DATE(2026,3,1)),AND(H447="원장",C447&gt;=64,C447&lt;=500,INDEX(잔액!$I:$I,MAX(64,C447))="OK",E447=INDEX(잔액!$A:$A,MAX(64,C447)),F447=INDEX(잔액!$C:$C,MAX(64,C447)),OR(F447=J447,F447="결제대금비",AND(B447="U008",C447=223,J447="경조사비",F447="명절비"),AND(B447="U008",C447=208,J447="경조사비",F447="임시보관",SUMIF($C$430:$C$729,C447,$D$430:$D$729)&lt;=39000)),OR(COUNTIF($A$8:$A$12,F447)=1,F447="결제대금비",AND(B447="U008",C447=208,J447="경조사비",F447="임시보관",SUMIF($C$430:$C$729,C447,$D$430:$D$729)&lt;=39000)),COUNTIF($A$8:$A$12,INDEX(잔액!$D:$D,MAX(64,C447)))=0,SUMIF($C$430:$C$729,C447,$D$430:$D$729)&lt;=INDEX(잔액!$Y:$Y,MAX(64,C447)))),1,0),0))</f>
      </c>
      <c r="N447" s="504">
        <f>IF(B447="","",IFERROR(IF(AND(COUNTIF($A$100:$A$399,B447)=1,INDEX($R$100:$R$399,MATCH(B447,$A$100:$A$399,0))="OK",D447&gt;0,ISNUMBER(E447),M447=1,SUMIF($B$430:$B$729,B447,$D$430:$D$729)&lt;=INDEX($E$100:$E$399,MATCH(B447,$A$100:$A$399,0))),"OK","확인: 정산연결"),"확인: 정산연결"))</f>
      </c>
      <c r="O447" s="526">
        <f>IF(N447="OK",D447,0)</f>
        <v>0</v>
      </c>
    </row>
    <row r="448" hidden="1" outlineLevel="1">
      <c r="A448" s="504">
        <f>IF(B448="","","S"&amp;ROW())</f>
      </c>
      <c r="B448" s="522" t="n"/>
      <c r="C448" s="522" t="n"/>
      <c r="D448" s="525">
        <f>IF(C448="","",IFERROR(INDEX(잔액!$Y:$Y,MAX(64,C448)),0))</f>
      </c>
      <c r="E448" s="524">
        <f>IF(C448="","",IFERROR(INDEX(잔액!$A:$A,MAX(64,C448)),""))</f>
      </c>
      <c r="F448" s="504">
        <f>IF(C448="","",IFERROR(INDEX(잔액!$C:$C,MAX(64,C448)),""))</f>
      </c>
      <c r="G448" s="504">
        <f>IF(C448="","",IF(INDEX(잔액!$K:$K,MAX(64,C448))&lt;&gt;"",INDEX(잔액!$K:$K,MAX(64,C448)),INDEX(잔액!$D:$D,MAX(64,C448))))</f>
      </c>
      <c r="H448" s="504" t="inlineStr">
        <is>
          <t>원장</t>
        </is>
      </c>
      <c r="J448" s="504">
        <f>IFERROR(INDEX($C$100:$C$399,MATCH(B448,$A$100:$A$399,0)),"")</f>
        <v>0</v>
      </c>
      <c r="K448" s="524">
        <f>IFERROR(INDEX($D$100:$D$399,MATCH(B448,$A$100:$A$399,0)),"")</f>
      </c>
      <c r="L448" s="504">
        <f>IFERROR(INDEX($S$100:$S$399,MATCH(B448,$A$100:$A$399,0)),"")</f>
        <v>0</v>
      </c>
      <c r="M448" s="504">
        <f>IF(B448="","",IFERROR(IF(OR(AND(H448="기초반영",OR(B448="U001",B448="U002",B448="U003"),C448="",E448=DATE(2026,3,1)),AND(H448="원장",C448&gt;=64,C448&lt;=500,INDEX(잔액!$I:$I,MAX(64,C448))="OK",E448=INDEX(잔액!$A:$A,MAX(64,C448)),F448=INDEX(잔액!$C:$C,MAX(64,C448)),OR(F448=J448,F448="결제대금비",AND(B448="U008",C448=223,J448="경조사비",F448="명절비"),AND(B448="U008",C448=208,J448="경조사비",F448="임시보관",SUMIF($C$430:$C$729,C448,$D$430:$D$729)&lt;=39000)),OR(COUNTIF($A$8:$A$12,F448)=1,F448="결제대금비",AND(B448="U008",C448=208,J448="경조사비",F448="임시보관",SUMIF($C$430:$C$729,C448,$D$430:$D$729)&lt;=39000)),COUNTIF($A$8:$A$12,INDEX(잔액!$D:$D,MAX(64,C448)))=0,SUMIF($C$430:$C$729,C448,$D$430:$D$729)&lt;=INDEX(잔액!$Y:$Y,MAX(64,C448)))),1,0),0))</f>
      </c>
      <c r="N448" s="504">
        <f>IF(B448="","",IFERROR(IF(AND(COUNTIF($A$100:$A$399,B448)=1,INDEX($R$100:$R$399,MATCH(B448,$A$100:$A$399,0))="OK",D448&gt;0,ISNUMBER(E448),M448=1,SUMIF($B$430:$B$729,B448,$D$430:$D$729)&lt;=INDEX($E$100:$E$399,MATCH(B448,$A$100:$A$399,0))),"OK","확인: 정산연결"),"확인: 정산연결"))</f>
      </c>
      <c r="O448" s="526">
        <f>IF(N448="OK",D448,0)</f>
        <v>0</v>
      </c>
    </row>
    <row r="449" hidden="1" outlineLevel="1">
      <c r="A449" s="504">
        <f>IF(B449="","","S"&amp;ROW())</f>
      </c>
      <c r="B449" s="522" t="n"/>
      <c r="C449" s="522" t="n"/>
      <c r="D449" s="525">
        <f>IF(C449="","",IFERROR(INDEX(잔액!$Y:$Y,MAX(64,C449)),0))</f>
      </c>
      <c r="E449" s="524">
        <f>IF(C449="","",IFERROR(INDEX(잔액!$A:$A,MAX(64,C449)),""))</f>
      </c>
      <c r="F449" s="504">
        <f>IF(C449="","",IFERROR(INDEX(잔액!$C:$C,MAX(64,C449)),""))</f>
      </c>
      <c r="G449" s="504">
        <f>IF(C449="","",IF(INDEX(잔액!$K:$K,MAX(64,C449))&lt;&gt;"",INDEX(잔액!$K:$K,MAX(64,C449)),INDEX(잔액!$D:$D,MAX(64,C449))))</f>
      </c>
      <c r="H449" s="504" t="inlineStr">
        <is>
          <t>원장</t>
        </is>
      </c>
      <c r="J449" s="504">
        <f>IFERROR(INDEX($C$100:$C$399,MATCH(B449,$A$100:$A$399,0)),"")</f>
        <v>0</v>
      </c>
      <c r="K449" s="524">
        <f>IFERROR(INDEX($D$100:$D$399,MATCH(B449,$A$100:$A$399,0)),"")</f>
      </c>
      <c r="L449" s="504">
        <f>IFERROR(INDEX($S$100:$S$399,MATCH(B449,$A$100:$A$399,0)),"")</f>
        <v>0</v>
      </c>
      <c r="M449" s="504">
        <f>IF(B449="","",IFERROR(IF(OR(AND(H449="기초반영",OR(B449="U001",B449="U002",B449="U003"),C449="",E449=DATE(2026,3,1)),AND(H449="원장",C449&gt;=64,C449&lt;=500,INDEX(잔액!$I:$I,MAX(64,C449))="OK",E449=INDEX(잔액!$A:$A,MAX(64,C449)),F449=INDEX(잔액!$C:$C,MAX(64,C449)),OR(F449=J449,F449="결제대금비",AND(B449="U008",C449=223,J449="경조사비",F449="명절비"),AND(B449="U008",C449=208,J449="경조사비",F449="임시보관",SUMIF($C$430:$C$729,C449,$D$430:$D$729)&lt;=39000)),OR(COUNTIF($A$8:$A$12,F449)=1,F449="결제대금비",AND(B449="U008",C449=208,J449="경조사비",F449="임시보관",SUMIF($C$430:$C$729,C449,$D$430:$D$729)&lt;=39000)),COUNTIF($A$8:$A$12,INDEX(잔액!$D:$D,MAX(64,C449)))=0,SUMIF($C$430:$C$729,C449,$D$430:$D$729)&lt;=INDEX(잔액!$Y:$Y,MAX(64,C449)))),1,0),0))</f>
      </c>
      <c r="N449" s="504">
        <f>IF(B449="","",IFERROR(IF(AND(COUNTIF($A$100:$A$399,B449)=1,INDEX($R$100:$R$399,MATCH(B449,$A$100:$A$399,0))="OK",D449&gt;0,ISNUMBER(E449),M449=1,SUMIF($B$430:$B$729,B449,$D$430:$D$729)&lt;=INDEX($E$100:$E$399,MATCH(B449,$A$100:$A$399,0))),"OK","확인: 정산연결"),"확인: 정산연결"))</f>
      </c>
      <c r="O449" s="526">
        <f>IF(N449="OK",D449,0)</f>
        <v>0</v>
      </c>
    </row>
    <row r="450" hidden="1" outlineLevel="1">
      <c r="A450" s="504">
        <f>IF(B450="","","S"&amp;ROW())</f>
      </c>
      <c r="B450" s="522" t="n"/>
      <c r="C450" s="522" t="n"/>
      <c r="D450" s="525">
        <f>IF(C450="","",IFERROR(INDEX(잔액!$Y:$Y,MAX(64,C450)),0))</f>
      </c>
      <c r="E450" s="524">
        <f>IF(C450="","",IFERROR(INDEX(잔액!$A:$A,MAX(64,C450)),""))</f>
      </c>
      <c r="F450" s="504">
        <f>IF(C450="","",IFERROR(INDEX(잔액!$C:$C,MAX(64,C450)),""))</f>
      </c>
      <c r="G450" s="504">
        <f>IF(C450="","",IF(INDEX(잔액!$K:$K,MAX(64,C450))&lt;&gt;"",INDEX(잔액!$K:$K,MAX(64,C450)),INDEX(잔액!$D:$D,MAX(64,C450))))</f>
      </c>
      <c r="H450" s="504" t="inlineStr">
        <is>
          <t>원장</t>
        </is>
      </c>
      <c r="J450" s="504">
        <f>IFERROR(INDEX($C$100:$C$399,MATCH(B450,$A$100:$A$399,0)),"")</f>
        <v>0</v>
      </c>
      <c r="K450" s="524">
        <f>IFERROR(INDEX($D$100:$D$399,MATCH(B450,$A$100:$A$399,0)),"")</f>
      </c>
      <c r="L450" s="504">
        <f>IFERROR(INDEX($S$100:$S$399,MATCH(B450,$A$100:$A$399,0)),"")</f>
        <v>0</v>
      </c>
      <c r="M450" s="504">
        <f>IF(B450="","",IFERROR(IF(OR(AND(H450="기초반영",OR(B450="U001",B450="U002",B450="U003"),C450="",E450=DATE(2026,3,1)),AND(H450="원장",C450&gt;=64,C450&lt;=500,INDEX(잔액!$I:$I,MAX(64,C450))="OK",E450=INDEX(잔액!$A:$A,MAX(64,C450)),F450=INDEX(잔액!$C:$C,MAX(64,C450)),OR(F450=J450,F450="결제대금비",AND(B450="U008",C450=223,J450="경조사비",F450="명절비"),AND(B450="U008",C450=208,J450="경조사비",F450="임시보관",SUMIF($C$430:$C$729,C450,$D$430:$D$729)&lt;=39000)),OR(COUNTIF($A$8:$A$12,F450)=1,F450="결제대금비",AND(B450="U008",C450=208,J450="경조사비",F450="임시보관",SUMIF($C$430:$C$729,C450,$D$430:$D$729)&lt;=39000)),COUNTIF($A$8:$A$12,INDEX(잔액!$D:$D,MAX(64,C450)))=0,SUMIF($C$430:$C$729,C450,$D$430:$D$729)&lt;=INDEX(잔액!$Y:$Y,MAX(64,C450)))),1,0),0))</f>
      </c>
      <c r="N450" s="504">
        <f>IF(B450="","",IFERROR(IF(AND(COUNTIF($A$100:$A$399,B450)=1,INDEX($R$100:$R$399,MATCH(B450,$A$100:$A$399,0))="OK",D450&gt;0,ISNUMBER(E450),M450=1,SUMIF($B$430:$B$729,B450,$D$430:$D$729)&lt;=INDEX($E$100:$E$399,MATCH(B450,$A$100:$A$399,0))),"OK","확인: 정산연결"),"확인: 정산연결"))</f>
      </c>
      <c r="O450" s="526">
        <f>IF(N450="OK",D450,0)</f>
        <v>0</v>
      </c>
    </row>
    <row r="451" hidden="1" outlineLevel="1">
      <c r="A451" s="504">
        <f>IF(B451="","","S"&amp;ROW())</f>
      </c>
      <c r="B451" s="522" t="n"/>
      <c r="C451" s="522" t="n"/>
      <c r="D451" s="525">
        <f>IF(C451="","",IFERROR(INDEX(잔액!$Y:$Y,MAX(64,C451)),0))</f>
      </c>
      <c r="E451" s="524">
        <f>IF(C451="","",IFERROR(INDEX(잔액!$A:$A,MAX(64,C451)),""))</f>
      </c>
      <c r="F451" s="504">
        <f>IF(C451="","",IFERROR(INDEX(잔액!$C:$C,MAX(64,C451)),""))</f>
      </c>
      <c r="G451" s="504">
        <f>IF(C451="","",IF(INDEX(잔액!$K:$K,MAX(64,C451))&lt;&gt;"",INDEX(잔액!$K:$K,MAX(64,C451)),INDEX(잔액!$D:$D,MAX(64,C451))))</f>
      </c>
      <c r="H451" s="504" t="inlineStr">
        <is>
          <t>원장</t>
        </is>
      </c>
      <c r="J451" s="504">
        <f>IFERROR(INDEX($C$100:$C$399,MATCH(B451,$A$100:$A$399,0)),"")</f>
        <v>0</v>
      </c>
      <c r="K451" s="524">
        <f>IFERROR(INDEX($D$100:$D$399,MATCH(B451,$A$100:$A$399,0)),"")</f>
      </c>
      <c r="L451" s="504">
        <f>IFERROR(INDEX($S$100:$S$399,MATCH(B451,$A$100:$A$399,0)),"")</f>
        <v>0</v>
      </c>
      <c r="M451" s="504">
        <f>IF(B451="","",IFERROR(IF(OR(AND(H451="기초반영",OR(B451="U001",B451="U002",B451="U003"),C451="",E451=DATE(2026,3,1)),AND(H451="원장",C451&gt;=64,C451&lt;=500,INDEX(잔액!$I:$I,MAX(64,C451))="OK",E451=INDEX(잔액!$A:$A,MAX(64,C451)),F451=INDEX(잔액!$C:$C,MAX(64,C451)),OR(F451=J451,F451="결제대금비",AND(B451="U008",C451=223,J451="경조사비",F451="명절비"),AND(B451="U008",C451=208,J451="경조사비",F451="임시보관",SUMIF($C$430:$C$729,C451,$D$430:$D$729)&lt;=39000)),OR(COUNTIF($A$8:$A$12,F451)=1,F451="결제대금비",AND(B451="U008",C451=208,J451="경조사비",F451="임시보관",SUMIF($C$430:$C$729,C451,$D$430:$D$729)&lt;=39000)),COUNTIF($A$8:$A$12,INDEX(잔액!$D:$D,MAX(64,C451)))=0,SUMIF($C$430:$C$729,C451,$D$430:$D$729)&lt;=INDEX(잔액!$Y:$Y,MAX(64,C451)))),1,0),0))</f>
      </c>
      <c r="N451" s="504">
        <f>IF(B451="","",IFERROR(IF(AND(COUNTIF($A$100:$A$399,B451)=1,INDEX($R$100:$R$399,MATCH(B451,$A$100:$A$399,0))="OK",D451&gt;0,ISNUMBER(E451),M451=1,SUMIF($B$430:$B$729,B451,$D$430:$D$729)&lt;=INDEX($E$100:$E$399,MATCH(B451,$A$100:$A$399,0))),"OK","확인: 정산연결"),"확인: 정산연결"))</f>
      </c>
      <c r="O451" s="526">
        <f>IF(N451="OK",D451,0)</f>
        <v>0</v>
      </c>
    </row>
    <row r="452" hidden="1" outlineLevel="1">
      <c r="A452" s="504">
        <f>IF(B452="","","S"&amp;ROW())</f>
      </c>
      <c r="B452" s="522" t="n"/>
      <c r="C452" s="522" t="n"/>
      <c r="D452" s="525">
        <f>IF(C452="","",IFERROR(INDEX(잔액!$Y:$Y,MAX(64,C452)),0))</f>
      </c>
      <c r="E452" s="524">
        <f>IF(C452="","",IFERROR(INDEX(잔액!$A:$A,MAX(64,C452)),""))</f>
      </c>
      <c r="F452" s="504">
        <f>IF(C452="","",IFERROR(INDEX(잔액!$C:$C,MAX(64,C452)),""))</f>
      </c>
      <c r="G452" s="504">
        <f>IF(C452="","",IF(INDEX(잔액!$K:$K,MAX(64,C452))&lt;&gt;"",INDEX(잔액!$K:$K,MAX(64,C452)),INDEX(잔액!$D:$D,MAX(64,C452))))</f>
      </c>
      <c r="H452" s="504" t="inlineStr">
        <is>
          <t>원장</t>
        </is>
      </c>
      <c r="J452" s="504">
        <f>IFERROR(INDEX($C$100:$C$399,MATCH(B452,$A$100:$A$399,0)),"")</f>
        <v>0</v>
      </c>
      <c r="K452" s="524">
        <f>IFERROR(INDEX($D$100:$D$399,MATCH(B452,$A$100:$A$399,0)),"")</f>
      </c>
      <c r="L452" s="504">
        <f>IFERROR(INDEX($S$100:$S$399,MATCH(B452,$A$100:$A$399,0)),"")</f>
        <v>0</v>
      </c>
      <c r="M452" s="504">
        <f>IF(B452="","",IFERROR(IF(OR(AND(H452="기초반영",OR(B452="U001",B452="U002",B452="U003"),C452="",E452=DATE(2026,3,1)),AND(H452="원장",C452&gt;=64,C452&lt;=500,INDEX(잔액!$I:$I,MAX(64,C452))="OK",E452=INDEX(잔액!$A:$A,MAX(64,C452)),F452=INDEX(잔액!$C:$C,MAX(64,C452)),OR(F452=J452,F452="결제대금비",AND(B452="U008",C452=223,J452="경조사비",F452="명절비"),AND(B452="U008",C452=208,J452="경조사비",F452="임시보관",SUMIF($C$430:$C$729,C452,$D$430:$D$729)&lt;=39000)),OR(COUNTIF($A$8:$A$12,F452)=1,F452="결제대금비",AND(B452="U008",C452=208,J452="경조사비",F452="임시보관",SUMIF($C$430:$C$729,C452,$D$430:$D$729)&lt;=39000)),COUNTIF($A$8:$A$12,INDEX(잔액!$D:$D,MAX(64,C452)))=0,SUMIF($C$430:$C$729,C452,$D$430:$D$729)&lt;=INDEX(잔액!$Y:$Y,MAX(64,C452)))),1,0),0))</f>
      </c>
      <c r="N452" s="504">
        <f>IF(B452="","",IFERROR(IF(AND(COUNTIF($A$100:$A$399,B452)=1,INDEX($R$100:$R$399,MATCH(B452,$A$100:$A$399,0))="OK",D452&gt;0,ISNUMBER(E452),M452=1,SUMIF($B$430:$B$729,B452,$D$430:$D$729)&lt;=INDEX($E$100:$E$399,MATCH(B452,$A$100:$A$399,0))),"OK","확인: 정산연결"),"확인: 정산연결"))</f>
      </c>
      <c r="O452" s="526">
        <f>IF(N452="OK",D452,0)</f>
        <v>0</v>
      </c>
    </row>
    <row r="453" hidden="1" outlineLevel="1">
      <c r="A453" s="504">
        <f>IF(B453="","","S"&amp;ROW())</f>
      </c>
      <c r="B453" s="522" t="n"/>
      <c r="C453" s="522" t="n"/>
      <c r="D453" s="525">
        <f>IF(C453="","",IFERROR(INDEX(잔액!$Y:$Y,MAX(64,C453)),0))</f>
      </c>
      <c r="E453" s="524">
        <f>IF(C453="","",IFERROR(INDEX(잔액!$A:$A,MAX(64,C453)),""))</f>
      </c>
      <c r="F453" s="504">
        <f>IF(C453="","",IFERROR(INDEX(잔액!$C:$C,MAX(64,C453)),""))</f>
      </c>
      <c r="G453" s="504">
        <f>IF(C453="","",IF(INDEX(잔액!$K:$K,MAX(64,C453))&lt;&gt;"",INDEX(잔액!$K:$K,MAX(64,C453)),INDEX(잔액!$D:$D,MAX(64,C453))))</f>
      </c>
      <c r="H453" s="504" t="inlineStr">
        <is>
          <t>원장</t>
        </is>
      </c>
      <c r="J453" s="504">
        <f>IFERROR(INDEX($C$100:$C$399,MATCH(B453,$A$100:$A$399,0)),"")</f>
        <v>0</v>
      </c>
      <c r="K453" s="524">
        <f>IFERROR(INDEX($D$100:$D$399,MATCH(B453,$A$100:$A$399,0)),"")</f>
      </c>
      <c r="L453" s="504">
        <f>IFERROR(INDEX($S$100:$S$399,MATCH(B453,$A$100:$A$399,0)),"")</f>
        <v>0</v>
      </c>
      <c r="M453" s="504">
        <f>IF(B453="","",IFERROR(IF(OR(AND(H453="기초반영",OR(B453="U001",B453="U002",B453="U003"),C453="",E453=DATE(2026,3,1)),AND(H453="원장",C453&gt;=64,C453&lt;=500,INDEX(잔액!$I:$I,MAX(64,C453))="OK",E453=INDEX(잔액!$A:$A,MAX(64,C453)),F453=INDEX(잔액!$C:$C,MAX(64,C453)),OR(F453=J453,F453="결제대금비",AND(B453="U008",C453=223,J453="경조사비",F453="명절비"),AND(B453="U008",C453=208,J453="경조사비",F453="임시보관",SUMIF($C$430:$C$729,C453,$D$430:$D$729)&lt;=39000)),OR(COUNTIF($A$8:$A$12,F453)=1,F453="결제대금비",AND(B453="U008",C453=208,J453="경조사비",F453="임시보관",SUMIF($C$430:$C$729,C453,$D$430:$D$729)&lt;=39000)),COUNTIF($A$8:$A$12,INDEX(잔액!$D:$D,MAX(64,C453)))=0,SUMIF($C$430:$C$729,C453,$D$430:$D$729)&lt;=INDEX(잔액!$Y:$Y,MAX(64,C453)))),1,0),0))</f>
      </c>
      <c r="N453" s="504">
        <f>IF(B453="","",IFERROR(IF(AND(COUNTIF($A$100:$A$399,B453)=1,INDEX($R$100:$R$399,MATCH(B453,$A$100:$A$399,0))="OK",D453&gt;0,ISNUMBER(E453),M453=1,SUMIF($B$430:$B$729,B453,$D$430:$D$729)&lt;=INDEX($E$100:$E$399,MATCH(B453,$A$100:$A$399,0))),"OK","확인: 정산연결"),"확인: 정산연결"))</f>
      </c>
      <c r="O453" s="526">
        <f>IF(N453="OK",D453,0)</f>
        <v>0</v>
      </c>
    </row>
    <row r="454" hidden="1" outlineLevel="1">
      <c r="A454" s="504">
        <f>IF(B454="","","S"&amp;ROW())</f>
      </c>
      <c r="B454" s="522" t="n"/>
      <c r="C454" s="522" t="n"/>
      <c r="D454" s="525">
        <f>IF(C454="","",IFERROR(INDEX(잔액!$Y:$Y,MAX(64,C454)),0))</f>
      </c>
      <c r="E454" s="524">
        <f>IF(C454="","",IFERROR(INDEX(잔액!$A:$A,MAX(64,C454)),""))</f>
      </c>
      <c r="F454" s="504">
        <f>IF(C454="","",IFERROR(INDEX(잔액!$C:$C,MAX(64,C454)),""))</f>
      </c>
      <c r="G454" s="504">
        <f>IF(C454="","",IF(INDEX(잔액!$K:$K,MAX(64,C454))&lt;&gt;"",INDEX(잔액!$K:$K,MAX(64,C454)),INDEX(잔액!$D:$D,MAX(64,C454))))</f>
      </c>
      <c r="H454" s="504" t="inlineStr">
        <is>
          <t>원장</t>
        </is>
      </c>
      <c r="J454" s="504">
        <f>IFERROR(INDEX($C$100:$C$399,MATCH(B454,$A$100:$A$399,0)),"")</f>
        <v>0</v>
      </c>
      <c r="K454" s="524">
        <f>IFERROR(INDEX($D$100:$D$399,MATCH(B454,$A$100:$A$399,0)),"")</f>
      </c>
      <c r="L454" s="504">
        <f>IFERROR(INDEX($S$100:$S$399,MATCH(B454,$A$100:$A$399,0)),"")</f>
        <v>0</v>
      </c>
      <c r="M454" s="504">
        <f>IF(B454="","",IFERROR(IF(OR(AND(H454="기초반영",OR(B454="U001",B454="U002",B454="U003"),C454="",E454=DATE(2026,3,1)),AND(H454="원장",C454&gt;=64,C454&lt;=500,INDEX(잔액!$I:$I,MAX(64,C454))="OK",E454=INDEX(잔액!$A:$A,MAX(64,C454)),F454=INDEX(잔액!$C:$C,MAX(64,C454)),OR(F454=J454,F454="결제대금비",AND(B454="U008",C454=223,J454="경조사비",F454="명절비"),AND(B454="U008",C454=208,J454="경조사비",F454="임시보관",SUMIF($C$430:$C$729,C454,$D$430:$D$729)&lt;=39000)),OR(COUNTIF($A$8:$A$12,F454)=1,F454="결제대금비",AND(B454="U008",C454=208,J454="경조사비",F454="임시보관",SUMIF($C$430:$C$729,C454,$D$430:$D$729)&lt;=39000)),COUNTIF($A$8:$A$12,INDEX(잔액!$D:$D,MAX(64,C454)))=0,SUMIF($C$430:$C$729,C454,$D$430:$D$729)&lt;=INDEX(잔액!$Y:$Y,MAX(64,C454)))),1,0),0))</f>
      </c>
      <c r="N454" s="504">
        <f>IF(B454="","",IFERROR(IF(AND(COUNTIF($A$100:$A$399,B454)=1,INDEX($R$100:$R$399,MATCH(B454,$A$100:$A$399,0))="OK",D454&gt;0,ISNUMBER(E454),M454=1,SUMIF($B$430:$B$729,B454,$D$430:$D$729)&lt;=INDEX($E$100:$E$399,MATCH(B454,$A$100:$A$399,0))),"OK","확인: 정산연결"),"확인: 정산연결"))</f>
      </c>
      <c r="O454" s="526">
        <f>IF(N454="OK",D454,0)</f>
        <v>0</v>
      </c>
    </row>
    <row r="455" hidden="1" outlineLevel="1">
      <c r="A455" s="504">
        <f>IF(B455="","","S"&amp;ROW())</f>
      </c>
      <c r="B455" s="522" t="n"/>
      <c r="C455" s="522" t="n"/>
      <c r="D455" s="525">
        <f>IF(C455="","",IFERROR(INDEX(잔액!$Y:$Y,MAX(64,C455)),0))</f>
      </c>
      <c r="E455" s="524">
        <f>IF(C455="","",IFERROR(INDEX(잔액!$A:$A,MAX(64,C455)),""))</f>
      </c>
      <c r="F455" s="504">
        <f>IF(C455="","",IFERROR(INDEX(잔액!$C:$C,MAX(64,C455)),""))</f>
      </c>
      <c r="G455" s="504">
        <f>IF(C455="","",IF(INDEX(잔액!$K:$K,MAX(64,C455))&lt;&gt;"",INDEX(잔액!$K:$K,MAX(64,C455)),INDEX(잔액!$D:$D,MAX(64,C455))))</f>
      </c>
      <c r="H455" s="504" t="inlineStr">
        <is>
          <t>원장</t>
        </is>
      </c>
      <c r="J455" s="504">
        <f>IFERROR(INDEX($C$100:$C$399,MATCH(B455,$A$100:$A$399,0)),"")</f>
        <v>0</v>
      </c>
      <c r="K455" s="524">
        <f>IFERROR(INDEX($D$100:$D$399,MATCH(B455,$A$100:$A$399,0)),"")</f>
      </c>
      <c r="L455" s="504">
        <f>IFERROR(INDEX($S$100:$S$399,MATCH(B455,$A$100:$A$399,0)),"")</f>
        <v>0</v>
      </c>
      <c r="M455" s="504">
        <f>IF(B455="","",IFERROR(IF(OR(AND(H455="기초반영",OR(B455="U001",B455="U002",B455="U003"),C455="",E455=DATE(2026,3,1)),AND(H455="원장",C455&gt;=64,C455&lt;=500,INDEX(잔액!$I:$I,MAX(64,C455))="OK",E455=INDEX(잔액!$A:$A,MAX(64,C455)),F455=INDEX(잔액!$C:$C,MAX(64,C455)),OR(F455=J455,F455="결제대금비",AND(B455="U008",C455=223,J455="경조사비",F455="명절비"),AND(B455="U008",C455=208,J455="경조사비",F455="임시보관",SUMIF($C$430:$C$729,C455,$D$430:$D$729)&lt;=39000)),OR(COUNTIF($A$8:$A$12,F455)=1,F455="결제대금비",AND(B455="U008",C455=208,J455="경조사비",F455="임시보관",SUMIF($C$430:$C$729,C455,$D$430:$D$729)&lt;=39000)),COUNTIF($A$8:$A$12,INDEX(잔액!$D:$D,MAX(64,C455)))=0,SUMIF($C$430:$C$729,C455,$D$430:$D$729)&lt;=INDEX(잔액!$Y:$Y,MAX(64,C455)))),1,0),0))</f>
      </c>
      <c r="N455" s="504">
        <f>IF(B455="","",IFERROR(IF(AND(COUNTIF($A$100:$A$399,B455)=1,INDEX($R$100:$R$399,MATCH(B455,$A$100:$A$399,0))="OK",D455&gt;0,ISNUMBER(E455),M455=1,SUMIF($B$430:$B$729,B455,$D$430:$D$729)&lt;=INDEX($E$100:$E$399,MATCH(B455,$A$100:$A$399,0))),"OK","확인: 정산연결"),"확인: 정산연결"))</f>
      </c>
      <c r="O455" s="526">
        <f>IF(N455="OK",D455,0)</f>
        <v>0</v>
      </c>
    </row>
    <row r="456" hidden="1" outlineLevel="1">
      <c r="A456" s="504">
        <f>IF(B456="","","S"&amp;ROW())</f>
      </c>
      <c r="B456" s="522" t="n"/>
      <c r="C456" s="522" t="n"/>
      <c r="D456" s="525">
        <f>IF(C456="","",IFERROR(INDEX(잔액!$Y:$Y,MAX(64,C456)),0))</f>
      </c>
      <c r="E456" s="524">
        <f>IF(C456="","",IFERROR(INDEX(잔액!$A:$A,MAX(64,C456)),""))</f>
      </c>
      <c r="F456" s="504">
        <f>IF(C456="","",IFERROR(INDEX(잔액!$C:$C,MAX(64,C456)),""))</f>
      </c>
      <c r="G456" s="504">
        <f>IF(C456="","",IF(INDEX(잔액!$K:$K,MAX(64,C456))&lt;&gt;"",INDEX(잔액!$K:$K,MAX(64,C456)),INDEX(잔액!$D:$D,MAX(64,C456))))</f>
      </c>
      <c r="H456" s="504" t="inlineStr">
        <is>
          <t>원장</t>
        </is>
      </c>
      <c r="J456" s="504">
        <f>IFERROR(INDEX($C$100:$C$399,MATCH(B456,$A$100:$A$399,0)),"")</f>
        <v>0</v>
      </c>
      <c r="K456" s="524">
        <f>IFERROR(INDEX($D$100:$D$399,MATCH(B456,$A$100:$A$399,0)),"")</f>
      </c>
      <c r="L456" s="504">
        <f>IFERROR(INDEX($S$100:$S$399,MATCH(B456,$A$100:$A$399,0)),"")</f>
        <v>0</v>
      </c>
      <c r="M456" s="504">
        <f>IF(B456="","",IFERROR(IF(OR(AND(H456="기초반영",OR(B456="U001",B456="U002",B456="U003"),C456="",E456=DATE(2026,3,1)),AND(H456="원장",C456&gt;=64,C456&lt;=500,INDEX(잔액!$I:$I,MAX(64,C456))="OK",E456=INDEX(잔액!$A:$A,MAX(64,C456)),F456=INDEX(잔액!$C:$C,MAX(64,C456)),OR(F456=J456,F456="결제대금비",AND(B456="U008",C456=223,J456="경조사비",F456="명절비"),AND(B456="U008",C456=208,J456="경조사비",F456="임시보관",SUMIF($C$430:$C$729,C456,$D$430:$D$729)&lt;=39000)),OR(COUNTIF($A$8:$A$12,F456)=1,F456="결제대금비",AND(B456="U008",C456=208,J456="경조사비",F456="임시보관",SUMIF($C$430:$C$729,C456,$D$430:$D$729)&lt;=39000)),COUNTIF($A$8:$A$12,INDEX(잔액!$D:$D,MAX(64,C456)))=0,SUMIF($C$430:$C$729,C456,$D$430:$D$729)&lt;=INDEX(잔액!$Y:$Y,MAX(64,C456)))),1,0),0))</f>
      </c>
      <c r="N456" s="504">
        <f>IF(B456="","",IFERROR(IF(AND(COUNTIF($A$100:$A$399,B456)=1,INDEX($R$100:$R$399,MATCH(B456,$A$100:$A$399,0))="OK",D456&gt;0,ISNUMBER(E456),M456=1,SUMIF($B$430:$B$729,B456,$D$430:$D$729)&lt;=INDEX($E$100:$E$399,MATCH(B456,$A$100:$A$399,0))),"OK","확인: 정산연결"),"확인: 정산연결"))</f>
      </c>
      <c r="O456" s="526">
        <f>IF(N456="OK",D456,0)</f>
        <v>0</v>
      </c>
    </row>
    <row r="457" hidden="1" outlineLevel="1">
      <c r="A457" s="504">
        <f>IF(B457="","","S"&amp;ROW())</f>
      </c>
      <c r="B457" s="522" t="n"/>
      <c r="C457" s="522" t="n"/>
      <c r="D457" s="525">
        <f>IF(C457="","",IFERROR(INDEX(잔액!$Y:$Y,MAX(64,C457)),0))</f>
      </c>
      <c r="E457" s="524">
        <f>IF(C457="","",IFERROR(INDEX(잔액!$A:$A,MAX(64,C457)),""))</f>
      </c>
      <c r="F457" s="504">
        <f>IF(C457="","",IFERROR(INDEX(잔액!$C:$C,MAX(64,C457)),""))</f>
      </c>
      <c r="G457" s="504">
        <f>IF(C457="","",IF(INDEX(잔액!$K:$K,MAX(64,C457))&lt;&gt;"",INDEX(잔액!$K:$K,MAX(64,C457)),INDEX(잔액!$D:$D,MAX(64,C457))))</f>
      </c>
      <c r="H457" s="504" t="inlineStr">
        <is>
          <t>원장</t>
        </is>
      </c>
      <c r="J457" s="504">
        <f>IFERROR(INDEX($C$100:$C$399,MATCH(B457,$A$100:$A$399,0)),"")</f>
        <v>0</v>
      </c>
      <c r="K457" s="524">
        <f>IFERROR(INDEX($D$100:$D$399,MATCH(B457,$A$100:$A$399,0)),"")</f>
      </c>
      <c r="L457" s="504">
        <f>IFERROR(INDEX($S$100:$S$399,MATCH(B457,$A$100:$A$399,0)),"")</f>
        <v>0</v>
      </c>
      <c r="M457" s="504">
        <f>IF(B457="","",IFERROR(IF(OR(AND(H457="기초반영",OR(B457="U001",B457="U002",B457="U003"),C457="",E457=DATE(2026,3,1)),AND(H457="원장",C457&gt;=64,C457&lt;=500,INDEX(잔액!$I:$I,MAX(64,C457))="OK",E457=INDEX(잔액!$A:$A,MAX(64,C457)),F457=INDEX(잔액!$C:$C,MAX(64,C457)),OR(F457=J457,F457="결제대금비",AND(B457="U008",C457=223,J457="경조사비",F457="명절비"),AND(B457="U008",C457=208,J457="경조사비",F457="임시보관",SUMIF($C$430:$C$729,C457,$D$430:$D$729)&lt;=39000)),OR(COUNTIF($A$8:$A$12,F457)=1,F457="결제대금비",AND(B457="U008",C457=208,J457="경조사비",F457="임시보관",SUMIF($C$430:$C$729,C457,$D$430:$D$729)&lt;=39000)),COUNTIF($A$8:$A$12,INDEX(잔액!$D:$D,MAX(64,C457)))=0,SUMIF($C$430:$C$729,C457,$D$430:$D$729)&lt;=INDEX(잔액!$Y:$Y,MAX(64,C457)))),1,0),0))</f>
      </c>
      <c r="N457" s="504">
        <f>IF(B457="","",IFERROR(IF(AND(COUNTIF($A$100:$A$399,B457)=1,INDEX($R$100:$R$399,MATCH(B457,$A$100:$A$399,0))="OK",D457&gt;0,ISNUMBER(E457),M457=1,SUMIF($B$430:$B$729,B457,$D$430:$D$729)&lt;=INDEX($E$100:$E$399,MATCH(B457,$A$100:$A$399,0))),"OK","확인: 정산연결"),"확인: 정산연결"))</f>
      </c>
      <c r="O457" s="526">
        <f>IF(N457="OK",D457,0)</f>
        <v>0</v>
      </c>
    </row>
    <row r="458" hidden="1" outlineLevel="1">
      <c r="A458" s="504">
        <f>IF(B458="","","S"&amp;ROW())</f>
      </c>
      <c r="B458" s="522" t="n"/>
      <c r="C458" s="522" t="n"/>
      <c r="D458" s="525">
        <f>IF(C458="","",IFERROR(INDEX(잔액!$Y:$Y,MAX(64,C458)),0))</f>
      </c>
      <c r="E458" s="524">
        <f>IF(C458="","",IFERROR(INDEX(잔액!$A:$A,MAX(64,C458)),""))</f>
      </c>
      <c r="F458" s="504">
        <f>IF(C458="","",IFERROR(INDEX(잔액!$C:$C,MAX(64,C458)),""))</f>
      </c>
      <c r="G458" s="504">
        <f>IF(C458="","",IF(INDEX(잔액!$K:$K,MAX(64,C458))&lt;&gt;"",INDEX(잔액!$K:$K,MAX(64,C458)),INDEX(잔액!$D:$D,MAX(64,C458))))</f>
      </c>
      <c r="H458" s="504" t="inlineStr">
        <is>
          <t>원장</t>
        </is>
      </c>
      <c r="J458" s="504">
        <f>IFERROR(INDEX($C$100:$C$399,MATCH(B458,$A$100:$A$399,0)),"")</f>
        <v>0</v>
      </c>
      <c r="K458" s="524">
        <f>IFERROR(INDEX($D$100:$D$399,MATCH(B458,$A$100:$A$399,0)),"")</f>
      </c>
      <c r="L458" s="504">
        <f>IFERROR(INDEX($S$100:$S$399,MATCH(B458,$A$100:$A$399,0)),"")</f>
        <v>0</v>
      </c>
      <c r="M458" s="504">
        <f>IF(B458="","",IFERROR(IF(OR(AND(H458="기초반영",OR(B458="U001",B458="U002",B458="U003"),C458="",E458=DATE(2026,3,1)),AND(H458="원장",C458&gt;=64,C458&lt;=500,INDEX(잔액!$I:$I,MAX(64,C458))="OK",E458=INDEX(잔액!$A:$A,MAX(64,C458)),F458=INDEX(잔액!$C:$C,MAX(64,C458)),OR(F458=J458,F458="결제대금비",AND(B458="U008",C458=223,J458="경조사비",F458="명절비"),AND(B458="U008",C458=208,J458="경조사비",F458="임시보관",SUMIF($C$430:$C$729,C458,$D$430:$D$729)&lt;=39000)),OR(COUNTIF($A$8:$A$12,F458)=1,F458="결제대금비",AND(B458="U008",C458=208,J458="경조사비",F458="임시보관",SUMIF($C$430:$C$729,C458,$D$430:$D$729)&lt;=39000)),COUNTIF($A$8:$A$12,INDEX(잔액!$D:$D,MAX(64,C458)))=0,SUMIF($C$430:$C$729,C458,$D$430:$D$729)&lt;=INDEX(잔액!$Y:$Y,MAX(64,C458)))),1,0),0))</f>
      </c>
      <c r="N458" s="504">
        <f>IF(B458="","",IFERROR(IF(AND(COUNTIF($A$100:$A$399,B458)=1,INDEX($R$100:$R$399,MATCH(B458,$A$100:$A$399,0))="OK",D458&gt;0,ISNUMBER(E458),M458=1,SUMIF($B$430:$B$729,B458,$D$430:$D$729)&lt;=INDEX($E$100:$E$399,MATCH(B458,$A$100:$A$399,0))),"OK","확인: 정산연결"),"확인: 정산연결"))</f>
      </c>
      <c r="O458" s="526">
        <f>IF(N458="OK",D458,0)</f>
        <v>0</v>
      </c>
    </row>
    <row r="459" hidden="1" outlineLevel="1">
      <c r="A459" s="504">
        <f>IF(B459="","","S"&amp;ROW())</f>
      </c>
      <c r="B459" s="522" t="n"/>
      <c r="C459" s="522" t="n"/>
      <c r="D459" s="525">
        <f>IF(C459="","",IFERROR(INDEX(잔액!$Y:$Y,MAX(64,C459)),0))</f>
      </c>
      <c r="E459" s="524">
        <f>IF(C459="","",IFERROR(INDEX(잔액!$A:$A,MAX(64,C459)),""))</f>
      </c>
      <c r="F459" s="504">
        <f>IF(C459="","",IFERROR(INDEX(잔액!$C:$C,MAX(64,C459)),""))</f>
      </c>
      <c r="G459" s="504">
        <f>IF(C459="","",IF(INDEX(잔액!$K:$K,MAX(64,C459))&lt;&gt;"",INDEX(잔액!$K:$K,MAX(64,C459)),INDEX(잔액!$D:$D,MAX(64,C459))))</f>
      </c>
      <c r="H459" s="504" t="inlineStr">
        <is>
          <t>원장</t>
        </is>
      </c>
      <c r="J459" s="504">
        <f>IFERROR(INDEX($C$100:$C$399,MATCH(B459,$A$100:$A$399,0)),"")</f>
        <v>0</v>
      </c>
      <c r="K459" s="524">
        <f>IFERROR(INDEX($D$100:$D$399,MATCH(B459,$A$100:$A$399,0)),"")</f>
      </c>
      <c r="L459" s="504">
        <f>IFERROR(INDEX($S$100:$S$399,MATCH(B459,$A$100:$A$399,0)),"")</f>
        <v>0</v>
      </c>
      <c r="M459" s="504">
        <f>IF(B459="","",IFERROR(IF(OR(AND(H459="기초반영",OR(B459="U001",B459="U002",B459="U003"),C459="",E459=DATE(2026,3,1)),AND(H459="원장",C459&gt;=64,C459&lt;=500,INDEX(잔액!$I:$I,MAX(64,C459))="OK",E459=INDEX(잔액!$A:$A,MAX(64,C459)),F459=INDEX(잔액!$C:$C,MAX(64,C459)),OR(F459=J459,F459="결제대금비",AND(B459="U008",C459=223,J459="경조사비",F459="명절비"),AND(B459="U008",C459=208,J459="경조사비",F459="임시보관",SUMIF($C$430:$C$729,C459,$D$430:$D$729)&lt;=39000)),OR(COUNTIF($A$8:$A$12,F459)=1,F459="결제대금비",AND(B459="U008",C459=208,J459="경조사비",F459="임시보관",SUMIF($C$430:$C$729,C459,$D$430:$D$729)&lt;=39000)),COUNTIF($A$8:$A$12,INDEX(잔액!$D:$D,MAX(64,C459)))=0,SUMIF($C$430:$C$729,C459,$D$430:$D$729)&lt;=INDEX(잔액!$Y:$Y,MAX(64,C459)))),1,0),0))</f>
      </c>
      <c r="N459" s="504">
        <f>IF(B459="","",IFERROR(IF(AND(COUNTIF($A$100:$A$399,B459)=1,INDEX($R$100:$R$399,MATCH(B459,$A$100:$A$399,0))="OK",D459&gt;0,ISNUMBER(E459),M459=1,SUMIF($B$430:$B$729,B459,$D$430:$D$729)&lt;=INDEX($E$100:$E$399,MATCH(B459,$A$100:$A$399,0))),"OK","확인: 정산연결"),"확인: 정산연결"))</f>
      </c>
      <c r="O459" s="526">
        <f>IF(N459="OK",D459,0)</f>
        <v>0</v>
      </c>
    </row>
    <row r="460" hidden="1" outlineLevel="1">
      <c r="A460" s="504">
        <f>IF(B460="","","S"&amp;ROW())</f>
      </c>
      <c r="B460" s="522" t="n"/>
      <c r="C460" s="522" t="n"/>
      <c r="D460" s="525">
        <f>IF(C460="","",IFERROR(INDEX(잔액!$Y:$Y,MAX(64,C460)),0))</f>
      </c>
      <c r="E460" s="524">
        <f>IF(C460="","",IFERROR(INDEX(잔액!$A:$A,MAX(64,C460)),""))</f>
      </c>
      <c r="F460" s="504">
        <f>IF(C460="","",IFERROR(INDEX(잔액!$C:$C,MAX(64,C460)),""))</f>
      </c>
      <c r="G460" s="504">
        <f>IF(C460="","",IF(INDEX(잔액!$K:$K,MAX(64,C460))&lt;&gt;"",INDEX(잔액!$K:$K,MAX(64,C460)),INDEX(잔액!$D:$D,MAX(64,C460))))</f>
      </c>
      <c r="H460" s="504" t="inlineStr">
        <is>
          <t>원장</t>
        </is>
      </c>
      <c r="J460" s="504">
        <f>IFERROR(INDEX($C$100:$C$399,MATCH(B460,$A$100:$A$399,0)),"")</f>
        <v>0</v>
      </c>
      <c r="K460" s="524">
        <f>IFERROR(INDEX($D$100:$D$399,MATCH(B460,$A$100:$A$399,0)),"")</f>
      </c>
      <c r="L460" s="504">
        <f>IFERROR(INDEX($S$100:$S$399,MATCH(B460,$A$100:$A$399,0)),"")</f>
        <v>0</v>
      </c>
      <c r="M460" s="504">
        <f>IF(B460="","",IFERROR(IF(OR(AND(H460="기초반영",OR(B460="U001",B460="U002",B460="U003"),C460="",E460=DATE(2026,3,1)),AND(H460="원장",C460&gt;=64,C460&lt;=500,INDEX(잔액!$I:$I,MAX(64,C460))="OK",E460=INDEX(잔액!$A:$A,MAX(64,C460)),F460=INDEX(잔액!$C:$C,MAX(64,C460)),OR(F460=J460,F460="결제대금비",AND(B460="U008",C460=223,J460="경조사비",F460="명절비"),AND(B460="U008",C460=208,J460="경조사비",F460="임시보관",SUMIF($C$430:$C$729,C460,$D$430:$D$729)&lt;=39000)),OR(COUNTIF($A$8:$A$12,F460)=1,F460="결제대금비",AND(B460="U008",C460=208,J460="경조사비",F460="임시보관",SUMIF($C$430:$C$729,C460,$D$430:$D$729)&lt;=39000)),COUNTIF($A$8:$A$12,INDEX(잔액!$D:$D,MAX(64,C460)))=0,SUMIF($C$430:$C$729,C460,$D$430:$D$729)&lt;=INDEX(잔액!$Y:$Y,MAX(64,C460)))),1,0),0))</f>
      </c>
      <c r="N460" s="504">
        <f>IF(B460="","",IFERROR(IF(AND(COUNTIF($A$100:$A$399,B460)=1,INDEX($R$100:$R$399,MATCH(B460,$A$100:$A$399,0))="OK",D460&gt;0,ISNUMBER(E460),M460=1,SUMIF($B$430:$B$729,B460,$D$430:$D$729)&lt;=INDEX($E$100:$E$399,MATCH(B460,$A$100:$A$399,0))),"OK","확인: 정산연결"),"확인: 정산연결"))</f>
      </c>
      <c r="O460" s="526">
        <f>IF(N460="OK",D460,0)</f>
        <v>0</v>
      </c>
    </row>
    <row r="461" hidden="1" outlineLevel="1">
      <c r="A461" s="504">
        <f>IF(B461="","","S"&amp;ROW())</f>
      </c>
      <c r="B461" s="522" t="n"/>
      <c r="C461" s="522" t="n"/>
      <c r="D461" s="525">
        <f>IF(C461="","",IFERROR(INDEX(잔액!$Y:$Y,MAX(64,C461)),0))</f>
      </c>
      <c r="E461" s="524">
        <f>IF(C461="","",IFERROR(INDEX(잔액!$A:$A,MAX(64,C461)),""))</f>
      </c>
      <c r="F461" s="504">
        <f>IF(C461="","",IFERROR(INDEX(잔액!$C:$C,MAX(64,C461)),""))</f>
      </c>
      <c r="G461" s="504">
        <f>IF(C461="","",IF(INDEX(잔액!$K:$K,MAX(64,C461))&lt;&gt;"",INDEX(잔액!$K:$K,MAX(64,C461)),INDEX(잔액!$D:$D,MAX(64,C461))))</f>
      </c>
      <c r="H461" s="504" t="inlineStr">
        <is>
          <t>원장</t>
        </is>
      </c>
      <c r="J461" s="504">
        <f>IFERROR(INDEX($C$100:$C$399,MATCH(B461,$A$100:$A$399,0)),"")</f>
        <v>0</v>
      </c>
      <c r="K461" s="524">
        <f>IFERROR(INDEX($D$100:$D$399,MATCH(B461,$A$100:$A$399,0)),"")</f>
      </c>
      <c r="L461" s="504">
        <f>IFERROR(INDEX($S$100:$S$399,MATCH(B461,$A$100:$A$399,0)),"")</f>
        <v>0</v>
      </c>
      <c r="M461" s="504">
        <f>IF(B461="","",IFERROR(IF(OR(AND(H461="기초반영",OR(B461="U001",B461="U002",B461="U003"),C461="",E461=DATE(2026,3,1)),AND(H461="원장",C461&gt;=64,C461&lt;=500,INDEX(잔액!$I:$I,MAX(64,C461))="OK",E461=INDEX(잔액!$A:$A,MAX(64,C461)),F461=INDEX(잔액!$C:$C,MAX(64,C461)),OR(F461=J461,F461="결제대금비",AND(B461="U008",C461=223,J461="경조사비",F461="명절비"),AND(B461="U008",C461=208,J461="경조사비",F461="임시보관",SUMIF($C$430:$C$729,C461,$D$430:$D$729)&lt;=39000)),OR(COUNTIF($A$8:$A$12,F461)=1,F461="결제대금비",AND(B461="U008",C461=208,J461="경조사비",F461="임시보관",SUMIF($C$430:$C$729,C461,$D$430:$D$729)&lt;=39000)),COUNTIF($A$8:$A$12,INDEX(잔액!$D:$D,MAX(64,C461)))=0,SUMIF($C$430:$C$729,C461,$D$430:$D$729)&lt;=INDEX(잔액!$Y:$Y,MAX(64,C461)))),1,0),0))</f>
      </c>
      <c r="N461" s="504">
        <f>IF(B461="","",IFERROR(IF(AND(COUNTIF($A$100:$A$399,B461)=1,INDEX($R$100:$R$399,MATCH(B461,$A$100:$A$399,0))="OK",D461&gt;0,ISNUMBER(E461),M461=1,SUMIF($B$430:$B$729,B461,$D$430:$D$729)&lt;=INDEX($E$100:$E$399,MATCH(B461,$A$100:$A$399,0))),"OK","확인: 정산연결"),"확인: 정산연결"))</f>
      </c>
      <c r="O461" s="526">
        <f>IF(N461="OK",D461,0)</f>
        <v>0</v>
      </c>
    </row>
    <row r="462" hidden="1" outlineLevel="1">
      <c r="A462" s="504">
        <f>IF(B462="","","S"&amp;ROW())</f>
      </c>
      <c r="B462" s="522" t="n"/>
      <c r="C462" s="522" t="n"/>
      <c r="D462" s="525">
        <f>IF(C462="","",IFERROR(INDEX(잔액!$Y:$Y,MAX(64,C462)),0))</f>
      </c>
      <c r="E462" s="524">
        <f>IF(C462="","",IFERROR(INDEX(잔액!$A:$A,MAX(64,C462)),""))</f>
      </c>
      <c r="F462" s="504">
        <f>IF(C462="","",IFERROR(INDEX(잔액!$C:$C,MAX(64,C462)),""))</f>
      </c>
      <c r="G462" s="504">
        <f>IF(C462="","",IF(INDEX(잔액!$K:$K,MAX(64,C462))&lt;&gt;"",INDEX(잔액!$K:$K,MAX(64,C462)),INDEX(잔액!$D:$D,MAX(64,C462))))</f>
      </c>
      <c r="H462" s="504" t="inlineStr">
        <is>
          <t>원장</t>
        </is>
      </c>
      <c r="J462" s="504">
        <f>IFERROR(INDEX($C$100:$C$399,MATCH(B462,$A$100:$A$399,0)),"")</f>
        <v>0</v>
      </c>
      <c r="K462" s="524">
        <f>IFERROR(INDEX($D$100:$D$399,MATCH(B462,$A$100:$A$399,0)),"")</f>
      </c>
      <c r="L462" s="504">
        <f>IFERROR(INDEX($S$100:$S$399,MATCH(B462,$A$100:$A$399,0)),"")</f>
        <v>0</v>
      </c>
      <c r="M462" s="504">
        <f>IF(B462="","",IFERROR(IF(OR(AND(H462="기초반영",OR(B462="U001",B462="U002",B462="U003"),C462="",E462=DATE(2026,3,1)),AND(H462="원장",C462&gt;=64,C462&lt;=500,INDEX(잔액!$I:$I,MAX(64,C462))="OK",E462=INDEX(잔액!$A:$A,MAX(64,C462)),F462=INDEX(잔액!$C:$C,MAX(64,C462)),OR(F462=J462,F462="결제대금비",AND(B462="U008",C462=223,J462="경조사비",F462="명절비"),AND(B462="U008",C462=208,J462="경조사비",F462="임시보관",SUMIF($C$430:$C$729,C462,$D$430:$D$729)&lt;=39000)),OR(COUNTIF($A$8:$A$12,F462)=1,F462="결제대금비",AND(B462="U008",C462=208,J462="경조사비",F462="임시보관",SUMIF($C$430:$C$729,C462,$D$430:$D$729)&lt;=39000)),COUNTIF($A$8:$A$12,INDEX(잔액!$D:$D,MAX(64,C462)))=0,SUMIF($C$430:$C$729,C462,$D$430:$D$729)&lt;=INDEX(잔액!$Y:$Y,MAX(64,C462)))),1,0),0))</f>
      </c>
      <c r="N462" s="504">
        <f>IF(B462="","",IFERROR(IF(AND(COUNTIF($A$100:$A$399,B462)=1,INDEX($R$100:$R$399,MATCH(B462,$A$100:$A$399,0))="OK",D462&gt;0,ISNUMBER(E462),M462=1,SUMIF($B$430:$B$729,B462,$D$430:$D$729)&lt;=INDEX($E$100:$E$399,MATCH(B462,$A$100:$A$399,0))),"OK","확인: 정산연결"),"확인: 정산연결"))</f>
      </c>
      <c r="O462" s="526">
        <f>IF(N462="OK",D462,0)</f>
        <v>0</v>
      </c>
    </row>
    <row r="463" hidden="1" outlineLevel="1">
      <c r="A463" s="504">
        <f>IF(B463="","","S"&amp;ROW())</f>
      </c>
      <c r="B463" s="522" t="n"/>
      <c r="C463" s="522" t="n"/>
      <c r="D463" s="525">
        <f>IF(C463="","",IFERROR(INDEX(잔액!$Y:$Y,MAX(64,C463)),0))</f>
      </c>
      <c r="E463" s="524">
        <f>IF(C463="","",IFERROR(INDEX(잔액!$A:$A,MAX(64,C463)),""))</f>
      </c>
      <c r="F463" s="504">
        <f>IF(C463="","",IFERROR(INDEX(잔액!$C:$C,MAX(64,C463)),""))</f>
      </c>
      <c r="G463" s="504">
        <f>IF(C463="","",IF(INDEX(잔액!$K:$K,MAX(64,C463))&lt;&gt;"",INDEX(잔액!$K:$K,MAX(64,C463)),INDEX(잔액!$D:$D,MAX(64,C463))))</f>
      </c>
      <c r="H463" s="504" t="inlineStr">
        <is>
          <t>원장</t>
        </is>
      </c>
      <c r="J463" s="504">
        <f>IFERROR(INDEX($C$100:$C$399,MATCH(B463,$A$100:$A$399,0)),"")</f>
        <v>0</v>
      </c>
      <c r="K463" s="524">
        <f>IFERROR(INDEX($D$100:$D$399,MATCH(B463,$A$100:$A$399,0)),"")</f>
      </c>
      <c r="L463" s="504">
        <f>IFERROR(INDEX($S$100:$S$399,MATCH(B463,$A$100:$A$399,0)),"")</f>
        <v>0</v>
      </c>
      <c r="M463" s="504">
        <f>IF(B463="","",IFERROR(IF(OR(AND(H463="기초반영",OR(B463="U001",B463="U002",B463="U003"),C463="",E463=DATE(2026,3,1)),AND(H463="원장",C463&gt;=64,C463&lt;=500,INDEX(잔액!$I:$I,MAX(64,C463))="OK",E463=INDEX(잔액!$A:$A,MAX(64,C463)),F463=INDEX(잔액!$C:$C,MAX(64,C463)),OR(F463=J463,F463="결제대금비",AND(B463="U008",C463=223,J463="경조사비",F463="명절비"),AND(B463="U008",C463=208,J463="경조사비",F463="임시보관",SUMIF($C$430:$C$729,C463,$D$430:$D$729)&lt;=39000)),OR(COUNTIF($A$8:$A$12,F463)=1,F463="결제대금비",AND(B463="U008",C463=208,J463="경조사비",F463="임시보관",SUMIF($C$430:$C$729,C463,$D$430:$D$729)&lt;=39000)),COUNTIF($A$8:$A$12,INDEX(잔액!$D:$D,MAX(64,C463)))=0,SUMIF($C$430:$C$729,C463,$D$430:$D$729)&lt;=INDEX(잔액!$Y:$Y,MAX(64,C463)))),1,0),0))</f>
      </c>
      <c r="N463" s="504">
        <f>IF(B463="","",IFERROR(IF(AND(COUNTIF($A$100:$A$399,B463)=1,INDEX($R$100:$R$399,MATCH(B463,$A$100:$A$399,0))="OK",D463&gt;0,ISNUMBER(E463),M463=1,SUMIF($B$430:$B$729,B463,$D$430:$D$729)&lt;=INDEX($E$100:$E$399,MATCH(B463,$A$100:$A$399,0))),"OK","확인: 정산연결"),"확인: 정산연결"))</f>
      </c>
      <c r="O463" s="526">
        <f>IF(N463="OK",D463,0)</f>
        <v>0</v>
      </c>
    </row>
    <row r="464" hidden="1" outlineLevel="1">
      <c r="A464" s="504">
        <f>IF(B464="","","S"&amp;ROW())</f>
      </c>
      <c r="B464" s="522" t="n"/>
      <c r="C464" s="522" t="n"/>
      <c r="D464" s="525">
        <f>IF(C464="","",IFERROR(INDEX(잔액!$Y:$Y,MAX(64,C464)),0))</f>
      </c>
      <c r="E464" s="524">
        <f>IF(C464="","",IFERROR(INDEX(잔액!$A:$A,MAX(64,C464)),""))</f>
      </c>
      <c r="F464" s="504">
        <f>IF(C464="","",IFERROR(INDEX(잔액!$C:$C,MAX(64,C464)),""))</f>
      </c>
      <c r="G464" s="504">
        <f>IF(C464="","",IF(INDEX(잔액!$K:$K,MAX(64,C464))&lt;&gt;"",INDEX(잔액!$K:$K,MAX(64,C464)),INDEX(잔액!$D:$D,MAX(64,C464))))</f>
      </c>
      <c r="H464" s="504" t="inlineStr">
        <is>
          <t>원장</t>
        </is>
      </c>
      <c r="J464" s="504">
        <f>IFERROR(INDEX($C$100:$C$399,MATCH(B464,$A$100:$A$399,0)),"")</f>
        <v>0</v>
      </c>
      <c r="K464" s="524">
        <f>IFERROR(INDEX($D$100:$D$399,MATCH(B464,$A$100:$A$399,0)),"")</f>
      </c>
      <c r="L464" s="504">
        <f>IFERROR(INDEX($S$100:$S$399,MATCH(B464,$A$100:$A$399,0)),"")</f>
        <v>0</v>
      </c>
      <c r="M464" s="504">
        <f>IF(B464="","",IFERROR(IF(OR(AND(H464="기초반영",OR(B464="U001",B464="U002",B464="U003"),C464="",E464=DATE(2026,3,1)),AND(H464="원장",C464&gt;=64,C464&lt;=500,INDEX(잔액!$I:$I,MAX(64,C464))="OK",E464=INDEX(잔액!$A:$A,MAX(64,C464)),F464=INDEX(잔액!$C:$C,MAX(64,C464)),OR(F464=J464,F464="결제대금비",AND(B464="U008",C464=223,J464="경조사비",F464="명절비"),AND(B464="U008",C464=208,J464="경조사비",F464="임시보관",SUMIF($C$430:$C$729,C464,$D$430:$D$729)&lt;=39000)),OR(COUNTIF($A$8:$A$12,F464)=1,F464="결제대금비",AND(B464="U008",C464=208,J464="경조사비",F464="임시보관",SUMIF($C$430:$C$729,C464,$D$430:$D$729)&lt;=39000)),COUNTIF($A$8:$A$12,INDEX(잔액!$D:$D,MAX(64,C464)))=0,SUMIF($C$430:$C$729,C464,$D$430:$D$729)&lt;=INDEX(잔액!$Y:$Y,MAX(64,C464)))),1,0),0))</f>
      </c>
      <c r="N464" s="504">
        <f>IF(B464="","",IFERROR(IF(AND(COUNTIF($A$100:$A$399,B464)=1,INDEX($R$100:$R$399,MATCH(B464,$A$100:$A$399,0))="OK",D464&gt;0,ISNUMBER(E464),M464=1,SUMIF($B$430:$B$729,B464,$D$430:$D$729)&lt;=INDEX($E$100:$E$399,MATCH(B464,$A$100:$A$399,0))),"OK","확인: 정산연결"),"확인: 정산연결"))</f>
      </c>
      <c r="O464" s="526">
        <f>IF(N464="OK",D464,0)</f>
        <v>0</v>
      </c>
    </row>
    <row r="465" hidden="1" outlineLevel="1">
      <c r="A465" s="504">
        <f>IF(B465="","","S"&amp;ROW())</f>
      </c>
      <c r="B465" s="522" t="n"/>
      <c r="C465" s="522" t="n"/>
      <c r="D465" s="525">
        <f>IF(C465="","",IFERROR(INDEX(잔액!$Y:$Y,MAX(64,C465)),0))</f>
      </c>
      <c r="E465" s="524">
        <f>IF(C465="","",IFERROR(INDEX(잔액!$A:$A,MAX(64,C465)),""))</f>
      </c>
      <c r="F465" s="504">
        <f>IF(C465="","",IFERROR(INDEX(잔액!$C:$C,MAX(64,C465)),""))</f>
      </c>
      <c r="G465" s="504">
        <f>IF(C465="","",IF(INDEX(잔액!$K:$K,MAX(64,C465))&lt;&gt;"",INDEX(잔액!$K:$K,MAX(64,C465)),INDEX(잔액!$D:$D,MAX(64,C465))))</f>
      </c>
      <c r="H465" s="504" t="inlineStr">
        <is>
          <t>원장</t>
        </is>
      </c>
      <c r="J465" s="504">
        <f>IFERROR(INDEX($C$100:$C$399,MATCH(B465,$A$100:$A$399,0)),"")</f>
        <v>0</v>
      </c>
      <c r="K465" s="524">
        <f>IFERROR(INDEX($D$100:$D$399,MATCH(B465,$A$100:$A$399,0)),"")</f>
      </c>
      <c r="L465" s="504">
        <f>IFERROR(INDEX($S$100:$S$399,MATCH(B465,$A$100:$A$399,0)),"")</f>
        <v>0</v>
      </c>
      <c r="M465" s="504">
        <f>IF(B465="","",IFERROR(IF(OR(AND(H465="기초반영",OR(B465="U001",B465="U002",B465="U003"),C465="",E465=DATE(2026,3,1)),AND(H465="원장",C465&gt;=64,C465&lt;=500,INDEX(잔액!$I:$I,MAX(64,C465))="OK",E465=INDEX(잔액!$A:$A,MAX(64,C465)),F465=INDEX(잔액!$C:$C,MAX(64,C465)),OR(F465=J465,F465="결제대금비",AND(B465="U008",C465=223,J465="경조사비",F465="명절비"),AND(B465="U008",C465=208,J465="경조사비",F465="임시보관",SUMIF($C$430:$C$729,C465,$D$430:$D$729)&lt;=39000)),OR(COUNTIF($A$8:$A$12,F465)=1,F465="결제대금비",AND(B465="U008",C465=208,J465="경조사비",F465="임시보관",SUMIF($C$430:$C$729,C465,$D$430:$D$729)&lt;=39000)),COUNTIF($A$8:$A$12,INDEX(잔액!$D:$D,MAX(64,C465)))=0,SUMIF($C$430:$C$729,C465,$D$430:$D$729)&lt;=INDEX(잔액!$Y:$Y,MAX(64,C465)))),1,0),0))</f>
      </c>
      <c r="N465" s="504">
        <f>IF(B465="","",IFERROR(IF(AND(COUNTIF($A$100:$A$399,B465)=1,INDEX($R$100:$R$399,MATCH(B465,$A$100:$A$399,0))="OK",D465&gt;0,ISNUMBER(E465),M465=1,SUMIF($B$430:$B$729,B465,$D$430:$D$729)&lt;=INDEX($E$100:$E$399,MATCH(B465,$A$100:$A$399,0))),"OK","확인: 정산연결"),"확인: 정산연결"))</f>
      </c>
      <c r="O465" s="526">
        <f>IF(N465="OK",D465,0)</f>
        <v>0</v>
      </c>
    </row>
    <row r="466" hidden="1" outlineLevel="1">
      <c r="A466" s="504">
        <f>IF(B466="","","S"&amp;ROW())</f>
      </c>
      <c r="B466" s="522" t="n"/>
      <c r="C466" s="522" t="n"/>
      <c r="D466" s="525">
        <f>IF(C466="","",IFERROR(INDEX(잔액!$Y:$Y,MAX(64,C466)),0))</f>
      </c>
      <c r="E466" s="524">
        <f>IF(C466="","",IFERROR(INDEX(잔액!$A:$A,MAX(64,C466)),""))</f>
      </c>
      <c r="F466" s="504">
        <f>IF(C466="","",IFERROR(INDEX(잔액!$C:$C,MAX(64,C466)),""))</f>
      </c>
      <c r="G466" s="504">
        <f>IF(C466="","",IF(INDEX(잔액!$K:$K,MAX(64,C466))&lt;&gt;"",INDEX(잔액!$K:$K,MAX(64,C466)),INDEX(잔액!$D:$D,MAX(64,C466))))</f>
      </c>
      <c r="H466" s="504" t="inlineStr">
        <is>
          <t>원장</t>
        </is>
      </c>
      <c r="J466" s="504">
        <f>IFERROR(INDEX($C$100:$C$399,MATCH(B466,$A$100:$A$399,0)),"")</f>
        <v>0</v>
      </c>
      <c r="K466" s="524">
        <f>IFERROR(INDEX($D$100:$D$399,MATCH(B466,$A$100:$A$399,0)),"")</f>
      </c>
      <c r="L466" s="504">
        <f>IFERROR(INDEX($S$100:$S$399,MATCH(B466,$A$100:$A$399,0)),"")</f>
        <v>0</v>
      </c>
      <c r="M466" s="504">
        <f>IF(B466="","",IFERROR(IF(OR(AND(H466="기초반영",OR(B466="U001",B466="U002",B466="U003"),C466="",E466=DATE(2026,3,1)),AND(H466="원장",C466&gt;=64,C466&lt;=500,INDEX(잔액!$I:$I,MAX(64,C466))="OK",E466=INDEX(잔액!$A:$A,MAX(64,C466)),F466=INDEX(잔액!$C:$C,MAX(64,C466)),OR(F466=J466,F466="결제대금비",AND(B466="U008",C466=223,J466="경조사비",F466="명절비"),AND(B466="U008",C466=208,J466="경조사비",F466="임시보관",SUMIF($C$430:$C$729,C466,$D$430:$D$729)&lt;=39000)),OR(COUNTIF($A$8:$A$12,F466)=1,F466="결제대금비",AND(B466="U008",C466=208,J466="경조사비",F466="임시보관",SUMIF($C$430:$C$729,C466,$D$430:$D$729)&lt;=39000)),COUNTIF($A$8:$A$12,INDEX(잔액!$D:$D,MAX(64,C466)))=0,SUMIF($C$430:$C$729,C466,$D$430:$D$729)&lt;=INDEX(잔액!$Y:$Y,MAX(64,C466)))),1,0),0))</f>
      </c>
      <c r="N466" s="504">
        <f>IF(B466="","",IFERROR(IF(AND(COUNTIF($A$100:$A$399,B466)=1,INDEX($R$100:$R$399,MATCH(B466,$A$100:$A$399,0))="OK",D466&gt;0,ISNUMBER(E466),M466=1,SUMIF($B$430:$B$729,B466,$D$430:$D$729)&lt;=INDEX($E$100:$E$399,MATCH(B466,$A$100:$A$399,0))),"OK","확인: 정산연결"),"확인: 정산연결"))</f>
      </c>
      <c r="O466" s="526">
        <f>IF(N466="OK",D466,0)</f>
        <v>0</v>
      </c>
    </row>
    <row r="467" hidden="1" outlineLevel="1">
      <c r="A467" s="504">
        <f>IF(B467="","","S"&amp;ROW())</f>
      </c>
      <c r="B467" s="522" t="n"/>
      <c r="C467" s="522" t="n"/>
      <c r="D467" s="525">
        <f>IF(C467="","",IFERROR(INDEX(잔액!$Y:$Y,MAX(64,C467)),0))</f>
      </c>
      <c r="E467" s="524">
        <f>IF(C467="","",IFERROR(INDEX(잔액!$A:$A,MAX(64,C467)),""))</f>
      </c>
      <c r="F467" s="504">
        <f>IF(C467="","",IFERROR(INDEX(잔액!$C:$C,MAX(64,C467)),""))</f>
      </c>
      <c r="G467" s="504">
        <f>IF(C467="","",IF(INDEX(잔액!$K:$K,MAX(64,C467))&lt;&gt;"",INDEX(잔액!$K:$K,MAX(64,C467)),INDEX(잔액!$D:$D,MAX(64,C467))))</f>
      </c>
      <c r="H467" s="504" t="inlineStr">
        <is>
          <t>원장</t>
        </is>
      </c>
      <c r="J467" s="504">
        <f>IFERROR(INDEX($C$100:$C$399,MATCH(B467,$A$100:$A$399,0)),"")</f>
        <v>0</v>
      </c>
      <c r="K467" s="524">
        <f>IFERROR(INDEX($D$100:$D$399,MATCH(B467,$A$100:$A$399,0)),"")</f>
      </c>
      <c r="L467" s="504">
        <f>IFERROR(INDEX($S$100:$S$399,MATCH(B467,$A$100:$A$399,0)),"")</f>
        <v>0</v>
      </c>
      <c r="M467" s="504">
        <f>IF(B467="","",IFERROR(IF(OR(AND(H467="기초반영",OR(B467="U001",B467="U002",B467="U003"),C467="",E467=DATE(2026,3,1)),AND(H467="원장",C467&gt;=64,C467&lt;=500,INDEX(잔액!$I:$I,MAX(64,C467))="OK",E467=INDEX(잔액!$A:$A,MAX(64,C467)),F467=INDEX(잔액!$C:$C,MAX(64,C467)),OR(F467=J467,F467="결제대금비",AND(B467="U008",C467=223,J467="경조사비",F467="명절비"),AND(B467="U008",C467=208,J467="경조사비",F467="임시보관",SUMIF($C$430:$C$729,C467,$D$430:$D$729)&lt;=39000)),OR(COUNTIF($A$8:$A$12,F467)=1,F467="결제대금비",AND(B467="U008",C467=208,J467="경조사비",F467="임시보관",SUMIF($C$430:$C$729,C467,$D$430:$D$729)&lt;=39000)),COUNTIF($A$8:$A$12,INDEX(잔액!$D:$D,MAX(64,C467)))=0,SUMIF($C$430:$C$729,C467,$D$430:$D$729)&lt;=INDEX(잔액!$Y:$Y,MAX(64,C467)))),1,0),0))</f>
      </c>
      <c r="N467" s="504">
        <f>IF(B467="","",IFERROR(IF(AND(COUNTIF($A$100:$A$399,B467)=1,INDEX($R$100:$R$399,MATCH(B467,$A$100:$A$399,0))="OK",D467&gt;0,ISNUMBER(E467),M467=1,SUMIF($B$430:$B$729,B467,$D$430:$D$729)&lt;=INDEX($E$100:$E$399,MATCH(B467,$A$100:$A$399,0))),"OK","확인: 정산연결"),"확인: 정산연결"))</f>
      </c>
      <c r="O467" s="526">
        <f>IF(N467="OK",D467,0)</f>
        <v>0</v>
      </c>
    </row>
    <row r="468" hidden="1" outlineLevel="1">
      <c r="A468" s="504">
        <f>IF(B468="","","S"&amp;ROW())</f>
      </c>
      <c r="B468" s="522" t="n"/>
      <c r="C468" s="522" t="n"/>
      <c r="D468" s="525">
        <f>IF(C468="","",IFERROR(INDEX(잔액!$Y:$Y,MAX(64,C468)),0))</f>
      </c>
      <c r="E468" s="524">
        <f>IF(C468="","",IFERROR(INDEX(잔액!$A:$A,MAX(64,C468)),""))</f>
      </c>
      <c r="F468" s="504">
        <f>IF(C468="","",IFERROR(INDEX(잔액!$C:$C,MAX(64,C468)),""))</f>
      </c>
      <c r="G468" s="504">
        <f>IF(C468="","",IF(INDEX(잔액!$K:$K,MAX(64,C468))&lt;&gt;"",INDEX(잔액!$K:$K,MAX(64,C468)),INDEX(잔액!$D:$D,MAX(64,C468))))</f>
      </c>
      <c r="H468" s="504" t="inlineStr">
        <is>
          <t>원장</t>
        </is>
      </c>
      <c r="J468" s="504">
        <f>IFERROR(INDEX($C$100:$C$399,MATCH(B468,$A$100:$A$399,0)),"")</f>
        <v>0</v>
      </c>
      <c r="K468" s="524">
        <f>IFERROR(INDEX($D$100:$D$399,MATCH(B468,$A$100:$A$399,0)),"")</f>
      </c>
      <c r="L468" s="504">
        <f>IFERROR(INDEX($S$100:$S$399,MATCH(B468,$A$100:$A$399,0)),"")</f>
        <v>0</v>
      </c>
      <c r="M468" s="504">
        <f>IF(B468="","",IFERROR(IF(OR(AND(H468="기초반영",OR(B468="U001",B468="U002",B468="U003"),C468="",E468=DATE(2026,3,1)),AND(H468="원장",C468&gt;=64,C468&lt;=500,INDEX(잔액!$I:$I,MAX(64,C468))="OK",E468=INDEX(잔액!$A:$A,MAX(64,C468)),F468=INDEX(잔액!$C:$C,MAX(64,C468)),OR(F468=J468,F468="결제대금비",AND(B468="U008",C468=223,J468="경조사비",F468="명절비"),AND(B468="U008",C468=208,J468="경조사비",F468="임시보관",SUMIF($C$430:$C$729,C468,$D$430:$D$729)&lt;=39000)),OR(COUNTIF($A$8:$A$12,F468)=1,F468="결제대금비",AND(B468="U008",C468=208,J468="경조사비",F468="임시보관",SUMIF($C$430:$C$729,C468,$D$430:$D$729)&lt;=39000)),COUNTIF($A$8:$A$12,INDEX(잔액!$D:$D,MAX(64,C468)))=0,SUMIF($C$430:$C$729,C468,$D$430:$D$729)&lt;=INDEX(잔액!$Y:$Y,MAX(64,C468)))),1,0),0))</f>
      </c>
      <c r="N468" s="504">
        <f>IF(B468="","",IFERROR(IF(AND(COUNTIF($A$100:$A$399,B468)=1,INDEX($R$100:$R$399,MATCH(B468,$A$100:$A$399,0))="OK",D468&gt;0,ISNUMBER(E468),M468=1,SUMIF($B$430:$B$729,B468,$D$430:$D$729)&lt;=INDEX($E$100:$E$399,MATCH(B468,$A$100:$A$399,0))),"OK","확인: 정산연결"),"확인: 정산연결"))</f>
      </c>
      <c r="O468" s="526">
        <f>IF(N468="OK",D468,0)</f>
        <v>0</v>
      </c>
    </row>
    <row r="469" hidden="1" outlineLevel="1">
      <c r="A469" s="504">
        <f>IF(B469="","","S"&amp;ROW())</f>
      </c>
      <c r="B469" s="522" t="n"/>
      <c r="C469" s="522" t="n"/>
      <c r="D469" s="525">
        <f>IF(C469="","",IFERROR(INDEX(잔액!$Y:$Y,MAX(64,C469)),0))</f>
      </c>
      <c r="E469" s="524">
        <f>IF(C469="","",IFERROR(INDEX(잔액!$A:$A,MAX(64,C469)),""))</f>
      </c>
      <c r="F469" s="504">
        <f>IF(C469="","",IFERROR(INDEX(잔액!$C:$C,MAX(64,C469)),""))</f>
      </c>
      <c r="G469" s="504">
        <f>IF(C469="","",IF(INDEX(잔액!$K:$K,MAX(64,C469))&lt;&gt;"",INDEX(잔액!$K:$K,MAX(64,C469)),INDEX(잔액!$D:$D,MAX(64,C469))))</f>
      </c>
      <c r="H469" s="504" t="inlineStr">
        <is>
          <t>원장</t>
        </is>
      </c>
      <c r="J469" s="504">
        <f>IFERROR(INDEX($C$100:$C$399,MATCH(B469,$A$100:$A$399,0)),"")</f>
        <v>0</v>
      </c>
      <c r="K469" s="524">
        <f>IFERROR(INDEX($D$100:$D$399,MATCH(B469,$A$100:$A$399,0)),"")</f>
      </c>
      <c r="L469" s="504">
        <f>IFERROR(INDEX($S$100:$S$399,MATCH(B469,$A$100:$A$399,0)),"")</f>
        <v>0</v>
      </c>
      <c r="M469" s="504">
        <f>IF(B469="","",IFERROR(IF(OR(AND(H469="기초반영",OR(B469="U001",B469="U002",B469="U003"),C469="",E469=DATE(2026,3,1)),AND(H469="원장",C469&gt;=64,C469&lt;=500,INDEX(잔액!$I:$I,MAX(64,C469))="OK",E469=INDEX(잔액!$A:$A,MAX(64,C469)),F469=INDEX(잔액!$C:$C,MAX(64,C469)),OR(F469=J469,F469="결제대금비",AND(B469="U008",C469=223,J469="경조사비",F469="명절비"),AND(B469="U008",C469=208,J469="경조사비",F469="임시보관",SUMIF($C$430:$C$729,C469,$D$430:$D$729)&lt;=39000)),OR(COUNTIF($A$8:$A$12,F469)=1,F469="결제대금비",AND(B469="U008",C469=208,J469="경조사비",F469="임시보관",SUMIF($C$430:$C$729,C469,$D$430:$D$729)&lt;=39000)),COUNTIF($A$8:$A$12,INDEX(잔액!$D:$D,MAX(64,C469)))=0,SUMIF($C$430:$C$729,C469,$D$430:$D$729)&lt;=INDEX(잔액!$Y:$Y,MAX(64,C469)))),1,0),0))</f>
      </c>
      <c r="N469" s="504">
        <f>IF(B469="","",IFERROR(IF(AND(COUNTIF($A$100:$A$399,B469)=1,INDEX($R$100:$R$399,MATCH(B469,$A$100:$A$399,0))="OK",D469&gt;0,ISNUMBER(E469),M469=1,SUMIF($B$430:$B$729,B469,$D$430:$D$729)&lt;=INDEX($E$100:$E$399,MATCH(B469,$A$100:$A$399,0))),"OK","확인: 정산연결"),"확인: 정산연결"))</f>
      </c>
      <c r="O469" s="526">
        <f>IF(N469="OK",D469,0)</f>
        <v>0</v>
      </c>
    </row>
    <row r="470" hidden="1" outlineLevel="1">
      <c r="A470" s="504">
        <f>IF(B470="","","S"&amp;ROW())</f>
      </c>
      <c r="B470" s="522" t="n"/>
      <c r="C470" s="522" t="n"/>
      <c r="D470" s="525">
        <f>IF(C470="","",IFERROR(INDEX(잔액!$Y:$Y,MAX(64,C470)),0))</f>
      </c>
      <c r="E470" s="524">
        <f>IF(C470="","",IFERROR(INDEX(잔액!$A:$A,MAX(64,C470)),""))</f>
      </c>
      <c r="F470" s="504">
        <f>IF(C470="","",IFERROR(INDEX(잔액!$C:$C,MAX(64,C470)),""))</f>
      </c>
      <c r="G470" s="504">
        <f>IF(C470="","",IF(INDEX(잔액!$K:$K,MAX(64,C470))&lt;&gt;"",INDEX(잔액!$K:$K,MAX(64,C470)),INDEX(잔액!$D:$D,MAX(64,C470))))</f>
      </c>
      <c r="H470" s="504" t="inlineStr">
        <is>
          <t>원장</t>
        </is>
      </c>
      <c r="J470" s="504">
        <f>IFERROR(INDEX($C$100:$C$399,MATCH(B470,$A$100:$A$399,0)),"")</f>
        <v>0</v>
      </c>
      <c r="K470" s="524">
        <f>IFERROR(INDEX($D$100:$D$399,MATCH(B470,$A$100:$A$399,0)),"")</f>
      </c>
      <c r="L470" s="504">
        <f>IFERROR(INDEX($S$100:$S$399,MATCH(B470,$A$100:$A$399,0)),"")</f>
        <v>0</v>
      </c>
      <c r="M470" s="504">
        <f>IF(B470="","",IFERROR(IF(OR(AND(H470="기초반영",OR(B470="U001",B470="U002",B470="U003"),C470="",E470=DATE(2026,3,1)),AND(H470="원장",C470&gt;=64,C470&lt;=500,INDEX(잔액!$I:$I,MAX(64,C470))="OK",E470=INDEX(잔액!$A:$A,MAX(64,C470)),F470=INDEX(잔액!$C:$C,MAX(64,C470)),OR(F470=J470,F470="결제대금비",AND(B470="U008",C470=223,J470="경조사비",F470="명절비"),AND(B470="U008",C470=208,J470="경조사비",F470="임시보관",SUMIF($C$430:$C$729,C470,$D$430:$D$729)&lt;=39000)),OR(COUNTIF($A$8:$A$12,F470)=1,F470="결제대금비",AND(B470="U008",C470=208,J470="경조사비",F470="임시보관",SUMIF($C$430:$C$729,C470,$D$430:$D$729)&lt;=39000)),COUNTIF($A$8:$A$12,INDEX(잔액!$D:$D,MAX(64,C470)))=0,SUMIF($C$430:$C$729,C470,$D$430:$D$729)&lt;=INDEX(잔액!$Y:$Y,MAX(64,C470)))),1,0),0))</f>
      </c>
      <c r="N470" s="504">
        <f>IF(B470="","",IFERROR(IF(AND(COUNTIF($A$100:$A$399,B470)=1,INDEX($R$100:$R$399,MATCH(B470,$A$100:$A$399,0))="OK",D470&gt;0,ISNUMBER(E470),M470=1,SUMIF($B$430:$B$729,B470,$D$430:$D$729)&lt;=INDEX($E$100:$E$399,MATCH(B470,$A$100:$A$399,0))),"OK","확인: 정산연결"),"확인: 정산연결"))</f>
      </c>
      <c r="O470" s="526">
        <f>IF(N470="OK",D470,0)</f>
        <v>0</v>
      </c>
    </row>
    <row r="471" hidden="1" outlineLevel="1">
      <c r="A471" s="504">
        <f>IF(B471="","","S"&amp;ROW())</f>
      </c>
      <c r="B471" s="522" t="n"/>
      <c r="C471" s="522" t="n"/>
      <c r="D471" s="525">
        <f>IF(C471="","",IFERROR(INDEX(잔액!$Y:$Y,MAX(64,C471)),0))</f>
      </c>
      <c r="E471" s="524">
        <f>IF(C471="","",IFERROR(INDEX(잔액!$A:$A,MAX(64,C471)),""))</f>
      </c>
      <c r="F471" s="504">
        <f>IF(C471="","",IFERROR(INDEX(잔액!$C:$C,MAX(64,C471)),""))</f>
      </c>
      <c r="G471" s="504">
        <f>IF(C471="","",IF(INDEX(잔액!$K:$K,MAX(64,C471))&lt;&gt;"",INDEX(잔액!$K:$K,MAX(64,C471)),INDEX(잔액!$D:$D,MAX(64,C471))))</f>
      </c>
      <c r="H471" s="504" t="inlineStr">
        <is>
          <t>원장</t>
        </is>
      </c>
      <c r="J471" s="504">
        <f>IFERROR(INDEX($C$100:$C$399,MATCH(B471,$A$100:$A$399,0)),"")</f>
        <v>0</v>
      </c>
      <c r="K471" s="524">
        <f>IFERROR(INDEX($D$100:$D$399,MATCH(B471,$A$100:$A$399,0)),"")</f>
      </c>
      <c r="L471" s="504">
        <f>IFERROR(INDEX($S$100:$S$399,MATCH(B471,$A$100:$A$399,0)),"")</f>
        <v>0</v>
      </c>
      <c r="M471" s="504">
        <f>IF(B471="","",IFERROR(IF(OR(AND(H471="기초반영",OR(B471="U001",B471="U002",B471="U003"),C471="",E471=DATE(2026,3,1)),AND(H471="원장",C471&gt;=64,C471&lt;=500,INDEX(잔액!$I:$I,MAX(64,C471))="OK",E471=INDEX(잔액!$A:$A,MAX(64,C471)),F471=INDEX(잔액!$C:$C,MAX(64,C471)),OR(F471=J471,F471="결제대금비",AND(B471="U008",C471=223,J471="경조사비",F471="명절비"),AND(B471="U008",C471=208,J471="경조사비",F471="임시보관",SUMIF($C$430:$C$729,C471,$D$430:$D$729)&lt;=39000)),OR(COUNTIF($A$8:$A$12,F471)=1,F471="결제대금비",AND(B471="U008",C471=208,J471="경조사비",F471="임시보관",SUMIF($C$430:$C$729,C471,$D$430:$D$729)&lt;=39000)),COUNTIF($A$8:$A$12,INDEX(잔액!$D:$D,MAX(64,C471)))=0,SUMIF($C$430:$C$729,C471,$D$430:$D$729)&lt;=INDEX(잔액!$Y:$Y,MAX(64,C471)))),1,0),0))</f>
      </c>
      <c r="N471" s="504">
        <f>IF(B471="","",IFERROR(IF(AND(COUNTIF($A$100:$A$399,B471)=1,INDEX($R$100:$R$399,MATCH(B471,$A$100:$A$399,0))="OK",D471&gt;0,ISNUMBER(E471),M471=1,SUMIF($B$430:$B$729,B471,$D$430:$D$729)&lt;=INDEX($E$100:$E$399,MATCH(B471,$A$100:$A$399,0))),"OK","확인: 정산연결"),"확인: 정산연결"))</f>
      </c>
      <c r="O471" s="526">
        <f>IF(N471="OK",D471,0)</f>
        <v>0</v>
      </c>
    </row>
    <row r="472" hidden="1" outlineLevel="1">
      <c r="A472" s="504">
        <f>IF(B472="","","S"&amp;ROW())</f>
      </c>
      <c r="B472" s="522" t="n"/>
      <c r="C472" s="522" t="n"/>
      <c r="D472" s="525">
        <f>IF(C472="","",IFERROR(INDEX(잔액!$Y:$Y,MAX(64,C472)),0))</f>
      </c>
      <c r="E472" s="524">
        <f>IF(C472="","",IFERROR(INDEX(잔액!$A:$A,MAX(64,C472)),""))</f>
      </c>
      <c r="F472" s="504">
        <f>IF(C472="","",IFERROR(INDEX(잔액!$C:$C,MAX(64,C472)),""))</f>
      </c>
      <c r="G472" s="504">
        <f>IF(C472="","",IF(INDEX(잔액!$K:$K,MAX(64,C472))&lt;&gt;"",INDEX(잔액!$K:$K,MAX(64,C472)),INDEX(잔액!$D:$D,MAX(64,C472))))</f>
      </c>
      <c r="H472" s="504" t="inlineStr">
        <is>
          <t>원장</t>
        </is>
      </c>
      <c r="J472" s="504">
        <f>IFERROR(INDEX($C$100:$C$399,MATCH(B472,$A$100:$A$399,0)),"")</f>
        <v>0</v>
      </c>
      <c r="K472" s="524">
        <f>IFERROR(INDEX($D$100:$D$399,MATCH(B472,$A$100:$A$399,0)),"")</f>
      </c>
      <c r="L472" s="504">
        <f>IFERROR(INDEX($S$100:$S$399,MATCH(B472,$A$100:$A$399,0)),"")</f>
        <v>0</v>
      </c>
      <c r="M472" s="504">
        <f>IF(B472="","",IFERROR(IF(OR(AND(H472="기초반영",OR(B472="U001",B472="U002",B472="U003"),C472="",E472=DATE(2026,3,1)),AND(H472="원장",C472&gt;=64,C472&lt;=500,INDEX(잔액!$I:$I,MAX(64,C472))="OK",E472=INDEX(잔액!$A:$A,MAX(64,C472)),F472=INDEX(잔액!$C:$C,MAX(64,C472)),OR(F472=J472,F472="결제대금비",AND(B472="U008",C472=223,J472="경조사비",F472="명절비"),AND(B472="U008",C472=208,J472="경조사비",F472="임시보관",SUMIF($C$430:$C$729,C472,$D$430:$D$729)&lt;=39000)),OR(COUNTIF($A$8:$A$12,F472)=1,F472="결제대금비",AND(B472="U008",C472=208,J472="경조사비",F472="임시보관",SUMIF($C$430:$C$729,C472,$D$430:$D$729)&lt;=39000)),COUNTIF($A$8:$A$12,INDEX(잔액!$D:$D,MAX(64,C472)))=0,SUMIF($C$430:$C$729,C472,$D$430:$D$729)&lt;=INDEX(잔액!$Y:$Y,MAX(64,C472)))),1,0),0))</f>
      </c>
      <c r="N472" s="504">
        <f>IF(B472="","",IFERROR(IF(AND(COUNTIF($A$100:$A$399,B472)=1,INDEX($R$100:$R$399,MATCH(B472,$A$100:$A$399,0))="OK",D472&gt;0,ISNUMBER(E472),M472=1,SUMIF($B$430:$B$729,B472,$D$430:$D$729)&lt;=INDEX($E$100:$E$399,MATCH(B472,$A$100:$A$399,0))),"OK","확인: 정산연결"),"확인: 정산연결"))</f>
      </c>
      <c r="O472" s="526">
        <f>IF(N472="OK",D472,0)</f>
        <v>0</v>
      </c>
    </row>
    <row r="473" hidden="1" outlineLevel="1">
      <c r="A473" s="504">
        <f>IF(B473="","","S"&amp;ROW())</f>
      </c>
      <c r="B473" s="522" t="n"/>
      <c r="C473" s="522" t="n"/>
      <c r="D473" s="525">
        <f>IF(C473="","",IFERROR(INDEX(잔액!$Y:$Y,MAX(64,C473)),0))</f>
      </c>
      <c r="E473" s="524">
        <f>IF(C473="","",IFERROR(INDEX(잔액!$A:$A,MAX(64,C473)),""))</f>
      </c>
      <c r="F473" s="504">
        <f>IF(C473="","",IFERROR(INDEX(잔액!$C:$C,MAX(64,C473)),""))</f>
      </c>
      <c r="G473" s="504">
        <f>IF(C473="","",IF(INDEX(잔액!$K:$K,MAX(64,C473))&lt;&gt;"",INDEX(잔액!$K:$K,MAX(64,C473)),INDEX(잔액!$D:$D,MAX(64,C473))))</f>
      </c>
      <c r="H473" s="504" t="inlineStr">
        <is>
          <t>원장</t>
        </is>
      </c>
      <c r="J473" s="504">
        <f>IFERROR(INDEX($C$100:$C$399,MATCH(B473,$A$100:$A$399,0)),"")</f>
        <v>0</v>
      </c>
      <c r="K473" s="524">
        <f>IFERROR(INDEX($D$100:$D$399,MATCH(B473,$A$100:$A$399,0)),"")</f>
      </c>
      <c r="L473" s="504">
        <f>IFERROR(INDEX($S$100:$S$399,MATCH(B473,$A$100:$A$399,0)),"")</f>
        <v>0</v>
      </c>
      <c r="M473" s="504">
        <f>IF(B473="","",IFERROR(IF(OR(AND(H473="기초반영",OR(B473="U001",B473="U002",B473="U003"),C473="",E473=DATE(2026,3,1)),AND(H473="원장",C473&gt;=64,C473&lt;=500,INDEX(잔액!$I:$I,MAX(64,C473))="OK",E473=INDEX(잔액!$A:$A,MAX(64,C473)),F473=INDEX(잔액!$C:$C,MAX(64,C473)),OR(F473=J473,F473="결제대금비",AND(B473="U008",C473=223,J473="경조사비",F473="명절비"),AND(B473="U008",C473=208,J473="경조사비",F473="임시보관",SUMIF($C$430:$C$729,C473,$D$430:$D$729)&lt;=39000)),OR(COUNTIF($A$8:$A$12,F473)=1,F473="결제대금비",AND(B473="U008",C473=208,J473="경조사비",F473="임시보관",SUMIF($C$430:$C$729,C473,$D$430:$D$729)&lt;=39000)),COUNTIF($A$8:$A$12,INDEX(잔액!$D:$D,MAX(64,C473)))=0,SUMIF($C$430:$C$729,C473,$D$430:$D$729)&lt;=INDEX(잔액!$Y:$Y,MAX(64,C473)))),1,0),0))</f>
      </c>
      <c r="N473" s="504">
        <f>IF(B473="","",IFERROR(IF(AND(COUNTIF($A$100:$A$399,B473)=1,INDEX($R$100:$R$399,MATCH(B473,$A$100:$A$399,0))="OK",D473&gt;0,ISNUMBER(E473),M473=1,SUMIF($B$430:$B$729,B473,$D$430:$D$729)&lt;=INDEX($E$100:$E$399,MATCH(B473,$A$100:$A$399,0))),"OK","확인: 정산연결"),"확인: 정산연결"))</f>
      </c>
      <c r="O473" s="526">
        <f>IF(N473="OK",D473,0)</f>
        <v>0</v>
      </c>
    </row>
    <row r="474" hidden="1" outlineLevel="1">
      <c r="A474" s="504">
        <f>IF(B474="","","S"&amp;ROW())</f>
      </c>
      <c r="B474" s="522" t="n"/>
      <c r="C474" s="522" t="n"/>
      <c r="D474" s="525">
        <f>IF(C474="","",IFERROR(INDEX(잔액!$Y:$Y,MAX(64,C474)),0))</f>
      </c>
      <c r="E474" s="524">
        <f>IF(C474="","",IFERROR(INDEX(잔액!$A:$A,MAX(64,C474)),""))</f>
      </c>
      <c r="F474" s="504">
        <f>IF(C474="","",IFERROR(INDEX(잔액!$C:$C,MAX(64,C474)),""))</f>
      </c>
      <c r="G474" s="504">
        <f>IF(C474="","",IF(INDEX(잔액!$K:$K,MAX(64,C474))&lt;&gt;"",INDEX(잔액!$K:$K,MAX(64,C474)),INDEX(잔액!$D:$D,MAX(64,C474))))</f>
      </c>
      <c r="H474" s="504" t="inlineStr">
        <is>
          <t>원장</t>
        </is>
      </c>
      <c r="J474" s="504">
        <f>IFERROR(INDEX($C$100:$C$399,MATCH(B474,$A$100:$A$399,0)),"")</f>
        <v>0</v>
      </c>
      <c r="K474" s="524">
        <f>IFERROR(INDEX($D$100:$D$399,MATCH(B474,$A$100:$A$399,0)),"")</f>
      </c>
      <c r="L474" s="504">
        <f>IFERROR(INDEX($S$100:$S$399,MATCH(B474,$A$100:$A$399,0)),"")</f>
        <v>0</v>
      </c>
      <c r="M474" s="504">
        <f>IF(B474="","",IFERROR(IF(OR(AND(H474="기초반영",OR(B474="U001",B474="U002",B474="U003"),C474="",E474=DATE(2026,3,1)),AND(H474="원장",C474&gt;=64,C474&lt;=500,INDEX(잔액!$I:$I,MAX(64,C474))="OK",E474=INDEX(잔액!$A:$A,MAX(64,C474)),F474=INDEX(잔액!$C:$C,MAX(64,C474)),OR(F474=J474,F474="결제대금비",AND(B474="U008",C474=223,J474="경조사비",F474="명절비"),AND(B474="U008",C474=208,J474="경조사비",F474="임시보관",SUMIF($C$430:$C$729,C474,$D$430:$D$729)&lt;=39000)),OR(COUNTIF($A$8:$A$12,F474)=1,F474="결제대금비",AND(B474="U008",C474=208,J474="경조사비",F474="임시보관",SUMIF($C$430:$C$729,C474,$D$430:$D$729)&lt;=39000)),COUNTIF($A$8:$A$12,INDEX(잔액!$D:$D,MAX(64,C474)))=0,SUMIF($C$430:$C$729,C474,$D$430:$D$729)&lt;=INDEX(잔액!$Y:$Y,MAX(64,C474)))),1,0),0))</f>
      </c>
      <c r="N474" s="504">
        <f>IF(B474="","",IFERROR(IF(AND(COUNTIF($A$100:$A$399,B474)=1,INDEX($R$100:$R$399,MATCH(B474,$A$100:$A$399,0))="OK",D474&gt;0,ISNUMBER(E474),M474=1,SUMIF($B$430:$B$729,B474,$D$430:$D$729)&lt;=INDEX($E$100:$E$399,MATCH(B474,$A$100:$A$399,0))),"OK","확인: 정산연결"),"확인: 정산연결"))</f>
      </c>
      <c r="O474" s="526">
        <f>IF(N474="OK",D474,0)</f>
        <v>0</v>
      </c>
    </row>
    <row r="475" hidden="1" outlineLevel="1">
      <c r="A475" s="504">
        <f>IF(B475="","","S"&amp;ROW())</f>
      </c>
      <c r="B475" s="522" t="n"/>
      <c r="C475" s="522" t="n"/>
      <c r="D475" s="525">
        <f>IF(C475="","",IFERROR(INDEX(잔액!$Y:$Y,MAX(64,C475)),0))</f>
      </c>
      <c r="E475" s="524">
        <f>IF(C475="","",IFERROR(INDEX(잔액!$A:$A,MAX(64,C475)),""))</f>
      </c>
      <c r="F475" s="504">
        <f>IF(C475="","",IFERROR(INDEX(잔액!$C:$C,MAX(64,C475)),""))</f>
      </c>
      <c r="G475" s="504">
        <f>IF(C475="","",IF(INDEX(잔액!$K:$K,MAX(64,C475))&lt;&gt;"",INDEX(잔액!$K:$K,MAX(64,C475)),INDEX(잔액!$D:$D,MAX(64,C475))))</f>
      </c>
      <c r="H475" s="504" t="inlineStr">
        <is>
          <t>원장</t>
        </is>
      </c>
      <c r="J475" s="504">
        <f>IFERROR(INDEX($C$100:$C$399,MATCH(B475,$A$100:$A$399,0)),"")</f>
        <v>0</v>
      </c>
      <c r="K475" s="524">
        <f>IFERROR(INDEX($D$100:$D$399,MATCH(B475,$A$100:$A$399,0)),"")</f>
      </c>
      <c r="L475" s="504">
        <f>IFERROR(INDEX($S$100:$S$399,MATCH(B475,$A$100:$A$399,0)),"")</f>
        <v>0</v>
      </c>
      <c r="M475" s="504">
        <f>IF(B475="","",IFERROR(IF(OR(AND(H475="기초반영",OR(B475="U001",B475="U002",B475="U003"),C475="",E475=DATE(2026,3,1)),AND(H475="원장",C475&gt;=64,C475&lt;=500,INDEX(잔액!$I:$I,MAX(64,C475))="OK",E475=INDEX(잔액!$A:$A,MAX(64,C475)),F475=INDEX(잔액!$C:$C,MAX(64,C475)),OR(F475=J475,F475="결제대금비",AND(B475="U008",C475=223,J475="경조사비",F475="명절비"),AND(B475="U008",C475=208,J475="경조사비",F475="임시보관",SUMIF($C$430:$C$729,C475,$D$430:$D$729)&lt;=39000)),OR(COUNTIF($A$8:$A$12,F475)=1,F475="결제대금비",AND(B475="U008",C475=208,J475="경조사비",F475="임시보관",SUMIF($C$430:$C$729,C475,$D$430:$D$729)&lt;=39000)),COUNTIF($A$8:$A$12,INDEX(잔액!$D:$D,MAX(64,C475)))=0,SUMIF($C$430:$C$729,C475,$D$430:$D$729)&lt;=INDEX(잔액!$Y:$Y,MAX(64,C475)))),1,0),0))</f>
      </c>
      <c r="N475" s="504">
        <f>IF(B475="","",IFERROR(IF(AND(COUNTIF($A$100:$A$399,B475)=1,INDEX($R$100:$R$399,MATCH(B475,$A$100:$A$399,0))="OK",D475&gt;0,ISNUMBER(E475),M475=1,SUMIF($B$430:$B$729,B475,$D$430:$D$729)&lt;=INDEX($E$100:$E$399,MATCH(B475,$A$100:$A$399,0))),"OK","확인: 정산연결"),"확인: 정산연결"))</f>
      </c>
      <c r="O475" s="526">
        <f>IF(N475="OK",D475,0)</f>
        <v>0</v>
      </c>
    </row>
    <row r="476" hidden="1" outlineLevel="1">
      <c r="A476" s="504">
        <f>IF(B476="","","S"&amp;ROW())</f>
      </c>
      <c r="B476" s="522" t="n"/>
      <c r="C476" s="522" t="n"/>
      <c r="D476" s="525">
        <f>IF(C476="","",IFERROR(INDEX(잔액!$Y:$Y,MAX(64,C476)),0))</f>
      </c>
      <c r="E476" s="524">
        <f>IF(C476="","",IFERROR(INDEX(잔액!$A:$A,MAX(64,C476)),""))</f>
      </c>
      <c r="F476" s="504">
        <f>IF(C476="","",IFERROR(INDEX(잔액!$C:$C,MAX(64,C476)),""))</f>
      </c>
      <c r="G476" s="504">
        <f>IF(C476="","",IF(INDEX(잔액!$K:$K,MAX(64,C476))&lt;&gt;"",INDEX(잔액!$K:$K,MAX(64,C476)),INDEX(잔액!$D:$D,MAX(64,C476))))</f>
      </c>
      <c r="H476" s="504" t="inlineStr">
        <is>
          <t>원장</t>
        </is>
      </c>
      <c r="J476" s="504">
        <f>IFERROR(INDEX($C$100:$C$399,MATCH(B476,$A$100:$A$399,0)),"")</f>
        <v>0</v>
      </c>
      <c r="K476" s="524">
        <f>IFERROR(INDEX($D$100:$D$399,MATCH(B476,$A$100:$A$399,0)),"")</f>
      </c>
      <c r="L476" s="504">
        <f>IFERROR(INDEX($S$100:$S$399,MATCH(B476,$A$100:$A$399,0)),"")</f>
        <v>0</v>
      </c>
      <c r="M476" s="504">
        <f>IF(B476="","",IFERROR(IF(OR(AND(H476="기초반영",OR(B476="U001",B476="U002",B476="U003"),C476="",E476=DATE(2026,3,1)),AND(H476="원장",C476&gt;=64,C476&lt;=500,INDEX(잔액!$I:$I,MAX(64,C476))="OK",E476=INDEX(잔액!$A:$A,MAX(64,C476)),F476=INDEX(잔액!$C:$C,MAX(64,C476)),OR(F476=J476,F476="결제대금비",AND(B476="U008",C476=223,J476="경조사비",F476="명절비"),AND(B476="U008",C476=208,J476="경조사비",F476="임시보관",SUMIF($C$430:$C$729,C476,$D$430:$D$729)&lt;=39000)),OR(COUNTIF($A$8:$A$12,F476)=1,F476="결제대금비",AND(B476="U008",C476=208,J476="경조사비",F476="임시보관",SUMIF($C$430:$C$729,C476,$D$430:$D$729)&lt;=39000)),COUNTIF($A$8:$A$12,INDEX(잔액!$D:$D,MAX(64,C476)))=0,SUMIF($C$430:$C$729,C476,$D$430:$D$729)&lt;=INDEX(잔액!$Y:$Y,MAX(64,C476)))),1,0),0))</f>
      </c>
      <c r="N476" s="504">
        <f>IF(B476="","",IFERROR(IF(AND(COUNTIF($A$100:$A$399,B476)=1,INDEX($R$100:$R$399,MATCH(B476,$A$100:$A$399,0))="OK",D476&gt;0,ISNUMBER(E476),M476=1,SUMIF($B$430:$B$729,B476,$D$430:$D$729)&lt;=INDEX($E$100:$E$399,MATCH(B476,$A$100:$A$399,0))),"OK","확인: 정산연결"),"확인: 정산연결"))</f>
      </c>
      <c r="O476" s="526">
        <f>IF(N476="OK",D476,0)</f>
        <v>0</v>
      </c>
    </row>
    <row r="477" hidden="1" outlineLevel="1">
      <c r="A477" s="504">
        <f>IF(B477="","","S"&amp;ROW())</f>
      </c>
      <c r="B477" s="522" t="n"/>
      <c r="C477" s="522" t="n"/>
      <c r="D477" s="525">
        <f>IF(C477="","",IFERROR(INDEX(잔액!$Y:$Y,MAX(64,C477)),0))</f>
      </c>
      <c r="E477" s="524">
        <f>IF(C477="","",IFERROR(INDEX(잔액!$A:$A,MAX(64,C477)),""))</f>
      </c>
      <c r="F477" s="504">
        <f>IF(C477="","",IFERROR(INDEX(잔액!$C:$C,MAX(64,C477)),""))</f>
      </c>
      <c r="G477" s="504">
        <f>IF(C477="","",IF(INDEX(잔액!$K:$K,MAX(64,C477))&lt;&gt;"",INDEX(잔액!$K:$K,MAX(64,C477)),INDEX(잔액!$D:$D,MAX(64,C477))))</f>
      </c>
      <c r="H477" s="504" t="inlineStr">
        <is>
          <t>원장</t>
        </is>
      </c>
      <c r="J477" s="504">
        <f>IFERROR(INDEX($C$100:$C$399,MATCH(B477,$A$100:$A$399,0)),"")</f>
        <v>0</v>
      </c>
      <c r="K477" s="524">
        <f>IFERROR(INDEX($D$100:$D$399,MATCH(B477,$A$100:$A$399,0)),"")</f>
      </c>
      <c r="L477" s="504">
        <f>IFERROR(INDEX($S$100:$S$399,MATCH(B477,$A$100:$A$399,0)),"")</f>
        <v>0</v>
      </c>
      <c r="M477" s="504">
        <f>IF(B477="","",IFERROR(IF(OR(AND(H477="기초반영",OR(B477="U001",B477="U002",B477="U003"),C477="",E477=DATE(2026,3,1)),AND(H477="원장",C477&gt;=64,C477&lt;=500,INDEX(잔액!$I:$I,MAX(64,C477))="OK",E477=INDEX(잔액!$A:$A,MAX(64,C477)),F477=INDEX(잔액!$C:$C,MAX(64,C477)),OR(F477=J477,F477="결제대금비",AND(B477="U008",C477=223,J477="경조사비",F477="명절비"),AND(B477="U008",C477=208,J477="경조사비",F477="임시보관",SUMIF($C$430:$C$729,C477,$D$430:$D$729)&lt;=39000)),OR(COUNTIF($A$8:$A$12,F477)=1,F477="결제대금비",AND(B477="U008",C477=208,J477="경조사비",F477="임시보관",SUMIF($C$430:$C$729,C477,$D$430:$D$729)&lt;=39000)),COUNTIF($A$8:$A$12,INDEX(잔액!$D:$D,MAX(64,C477)))=0,SUMIF($C$430:$C$729,C477,$D$430:$D$729)&lt;=INDEX(잔액!$Y:$Y,MAX(64,C477)))),1,0),0))</f>
      </c>
      <c r="N477" s="504">
        <f>IF(B477="","",IFERROR(IF(AND(COUNTIF($A$100:$A$399,B477)=1,INDEX($R$100:$R$399,MATCH(B477,$A$100:$A$399,0))="OK",D477&gt;0,ISNUMBER(E477),M477=1,SUMIF($B$430:$B$729,B477,$D$430:$D$729)&lt;=INDEX($E$100:$E$399,MATCH(B477,$A$100:$A$399,0))),"OK","확인: 정산연결"),"확인: 정산연결"))</f>
      </c>
      <c r="O477" s="526">
        <f>IF(N477="OK",D477,0)</f>
        <v>0</v>
      </c>
    </row>
    <row r="478" hidden="1" outlineLevel="1">
      <c r="A478" s="504">
        <f>IF(B478="","","S"&amp;ROW())</f>
      </c>
      <c r="B478" s="522" t="n"/>
      <c r="C478" s="522" t="n"/>
      <c r="D478" s="525">
        <f>IF(C478="","",IFERROR(INDEX(잔액!$Y:$Y,MAX(64,C478)),0))</f>
      </c>
      <c r="E478" s="524">
        <f>IF(C478="","",IFERROR(INDEX(잔액!$A:$A,MAX(64,C478)),""))</f>
      </c>
      <c r="F478" s="504">
        <f>IF(C478="","",IFERROR(INDEX(잔액!$C:$C,MAX(64,C478)),""))</f>
      </c>
      <c r="G478" s="504">
        <f>IF(C478="","",IF(INDEX(잔액!$K:$K,MAX(64,C478))&lt;&gt;"",INDEX(잔액!$K:$K,MAX(64,C478)),INDEX(잔액!$D:$D,MAX(64,C478))))</f>
      </c>
      <c r="H478" s="504" t="inlineStr">
        <is>
          <t>원장</t>
        </is>
      </c>
      <c r="J478" s="504">
        <f>IFERROR(INDEX($C$100:$C$399,MATCH(B478,$A$100:$A$399,0)),"")</f>
        <v>0</v>
      </c>
      <c r="K478" s="524">
        <f>IFERROR(INDEX($D$100:$D$399,MATCH(B478,$A$100:$A$399,0)),"")</f>
      </c>
      <c r="L478" s="504">
        <f>IFERROR(INDEX($S$100:$S$399,MATCH(B478,$A$100:$A$399,0)),"")</f>
        <v>0</v>
      </c>
      <c r="M478" s="504">
        <f>IF(B478="","",IFERROR(IF(OR(AND(H478="기초반영",OR(B478="U001",B478="U002",B478="U003"),C478="",E478=DATE(2026,3,1)),AND(H478="원장",C478&gt;=64,C478&lt;=500,INDEX(잔액!$I:$I,MAX(64,C478))="OK",E478=INDEX(잔액!$A:$A,MAX(64,C478)),F478=INDEX(잔액!$C:$C,MAX(64,C478)),OR(F478=J478,F478="결제대금비",AND(B478="U008",C478=223,J478="경조사비",F478="명절비"),AND(B478="U008",C478=208,J478="경조사비",F478="임시보관",SUMIF($C$430:$C$729,C478,$D$430:$D$729)&lt;=39000)),OR(COUNTIF($A$8:$A$12,F478)=1,F478="결제대금비",AND(B478="U008",C478=208,J478="경조사비",F478="임시보관",SUMIF($C$430:$C$729,C478,$D$430:$D$729)&lt;=39000)),COUNTIF($A$8:$A$12,INDEX(잔액!$D:$D,MAX(64,C478)))=0,SUMIF($C$430:$C$729,C478,$D$430:$D$729)&lt;=INDEX(잔액!$Y:$Y,MAX(64,C478)))),1,0),0))</f>
      </c>
      <c r="N478" s="504">
        <f>IF(B478="","",IFERROR(IF(AND(COUNTIF($A$100:$A$399,B478)=1,INDEX($R$100:$R$399,MATCH(B478,$A$100:$A$399,0))="OK",D478&gt;0,ISNUMBER(E478),M478=1,SUMIF($B$430:$B$729,B478,$D$430:$D$729)&lt;=INDEX($E$100:$E$399,MATCH(B478,$A$100:$A$399,0))),"OK","확인: 정산연결"),"확인: 정산연결"))</f>
      </c>
      <c r="O478" s="526">
        <f>IF(N478="OK",D478,0)</f>
        <v>0</v>
      </c>
    </row>
    <row r="479" hidden="1" outlineLevel="1">
      <c r="A479" s="504">
        <f>IF(B479="","","S"&amp;ROW())</f>
      </c>
      <c r="B479" s="522" t="n"/>
      <c r="C479" s="522" t="n"/>
      <c r="D479" s="525">
        <f>IF(C479="","",IFERROR(INDEX(잔액!$Y:$Y,MAX(64,C479)),0))</f>
      </c>
      <c r="E479" s="524">
        <f>IF(C479="","",IFERROR(INDEX(잔액!$A:$A,MAX(64,C479)),""))</f>
      </c>
      <c r="F479" s="504">
        <f>IF(C479="","",IFERROR(INDEX(잔액!$C:$C,MAX(64,C479)),""))</f>
      </c>
      <c r="G479" s="504">
        <f>IF(C479="","",IF(INDEX(잔액!$K:$K,MAX(64,C479))&lt;&gt;"",INDEX(잔액!$K:$K,MAX(64,C479)),INDEX(잔액!$D:$D,MAX(64,C479))))</f>
      </c>
      <c r="H479" s="504" t="inlineStr">
        <is>
          <t>원장</t>
        </is>
      </c>
      <c r="J479" s="504">
        <f>IFERROR(INDEX($C$100:$C$399,MATCH(B479,$A$100:$A$399,0)),"")</f>
        <v>0</v>
      </c>
      <c r="K479" s="524">
        <f>IFERROR(INDEX($D$100:$D$399,MATCH(B479,$A$100:$A$399,0)),"")</f>
      </c>
      <c r="L479" s="504">
        <f>IFERROR(INDEX($S$100:$S$399,MATCH(B479,$A$100:$A$399,0)),"")</f>
        <v>0</v>
      </c>
      <c r="M479" s="504">
        <f>IF(B479="","",IFERROR(IF(OR(AND(H479="기초반영",OR(B479="U001",B479="U002",B479="U003"),C479="",E479=DATE(2026,3,1)),AND(H479="원장",C479&gt;=64,C479&lt;=500,INDEX(잔액!$I:$I,MAX(64,C479))="OK",E479=INDEX(잔액!$A:$A,MAX(64,C479)),F479=INDEX(잔액!$C:$C,MAX(64,C479)),OR(F479=J479,F479="결제대금비",AND(B479="U008",C479=223,J479="경조사비",F479="명절비"),AND(B479="U008",C479=208,J479="경조사비",F479="임시보관",SUMIF($C$430:$C$729,C479,$D$430:$D$729)&lt;=39000)),OR(COUNTIF($A$8:$A$12,F479)=1,F479="결제대금비",AND(B479="U008",C479=208,J479="경조사비",F479="임시보관",SUMIF($C$430:$C$729,C479,$D$430:$D$729)&lt;=39000)),COUNTIF($A$8:$A$12,INDEX(잔액!$D:$D,MAX(64,C479)))=0,SUMIF($C$430:$C$729,C479,$D$430:$D$729)&lt;=INDEX(잔액!$Y:$Y,MAX(64,C479)))),1,0),0))</f>
      </c>
      <c r="N479" s="504">
        <f>IF(B479="","",IFERROR(IF(AND(COUNTIF($A$100:$A$399,B479)=1,INDEX($R$100:$R$399,MATCH(B479,$A$100:$A$399,0))="OK",D479&gt;0,ISNUMBER(E479),M479=1,SUMIF($B$430:$B$729,B479,$D$430:$D$729)&lt;=INDEX($E$100:$E$399,MATCH(B479,$A$100:$A$399,0))),"OK","확인: 정산연결"),"확인: 정산연결"))</f>
      </c>
      <c r="O479" s="526">
        <f>IF(N479="OK",D479,0)</f>
        <v>0</v>
      </c>
    </row>
    <row r="480" hidden="1" outlineLevel="1">
      <c r="A480" s="504">
        <f>IF(B480="","","S"&amp;ROW())</f>
      </c>
      <c r="B480" s="522" t="n"/>
      <c r="C480" s="522" t="n"/>
      <c r="D480" s="525">
        <f>IF(C480="","",IFERROR(INDEX(잔액!$Y:$Y,MAX(64,C480)),0))</f>
      </c>
      <c r="E480" s="524">
        <f>IF(C480="","",IFERROR(INDEX(잔액!$A:$A,MAX(64,C480)),""))</f>
      </c>
      <c r="F480" s="504">
        <f>IF(C480="","",IFERROR(INDEX(잔액!$C:$C,MAX(64,C480)),""))</f>
      </c>
      <c r="G480" s="504">
        <f>IF(C480="","",IF(INDEX(잔액!$K:$K,MAX(64,C480))&lt;&gt;"",INDEX(잔액!$K:$K,MAX(64,C480)),INDEX(잔액!$D:$D,MAX(64,C480))))</f>
      </c>
      <c r="H480" s="504" t="inlineStr">
        <is>
          <t>원장</t>
        </is>
      </c>
      <c r="J480" s="504">
        <f>IFERROR(INDEX($C$100:$C$399,MATCH(B480,$A$100:$A$399,0)),"")</f>
        <v>0</v>
      </c>
      <c r="K480" s="524">
        <f>IFERROR(INDEX($D$100:$D$399,MATCH(B480,$A$100:$A$399,0)),"")</f>
      </c>
      <c r="L480" s="504">
        <f>IFERROR(INDEX($S$100:$S$399,MATCH(B480,$A$100:$A$399,0)),"")</f>
        <v>0</v>
      </c>
      <c r="M480" s="504">
        <f>IF(B480="","",IFERROR(IF(OR(AND(H480="기초반영",OR(B480="U001",B480="U002",B480="U003"),C480="",E480=DATE(2026,3,1)),AND(H480="원장",C480&gt;=64,C480&lt;=500,INDEX(잔액!$I:$I,MAX(64,C480))="OK",E480=INDEX(잔액!$A:$A,MAX(64,C480)),F480=INDEX(잔액!$C:$C,MAX(64,C480)),OR(F480=J480,F480="결제대금비",AND(B480="U008",C480=223,J480="경조사비",F480="명절비"),AND(B480="U008",C480=208,J480="경조사비",F480="임시보관",SUMIF($C$430:$C$729,C480,$D$430:$D$729)&lt;=39000)),OR(COUNTIF($A$8:$A$12,F480)=1,F480="결제대금비",AND(B480="U008",C480=208,J480="경조사비",F480="임시보관",SUMIF($C$430:$C$729,C480,$D$430:$D$729)&lt;=39000)),COUNTIF($A$8:$A$12,INDEX(잔액!$D:$D,MAX(64,C480)))=0,SUMIF($C$430:$C$729,C480,$D$430:$D$729)&lt;=INDEX(잔액!$Y:$Y,MAX(64,C480)))),1,0),0))</f>
      </c>
      <c r="N480" s="504">
        <f>IF(B480="","",IFERROR(IF(AND(COUNTIF($A$100:$A$399,B480)=1,INDEX($R$100:$R$399,MATCH(B480,$A$100:$A$399,0))="OK",D480&gt;0,ISNUMBER(E480),M480=1,SUMIF($B$430:$B$729,B480,$D$430:$D$729)&lt;=INDEX($E$100:$E$399,MATCH(B480,$A$100:$A$399,0))),"OK","확인: 정산연결"),"확인: 정산연결"))</f>
      </c>
      <c r="O480" s="526">
        <f>IF(N480="OK",D480,0)</f>
        <v>0</v>
      </c>
    </row>
    <row r="481" hidden="1" outlineLevel="1">
      <c r="A481" s="504">
        <f>IF(B481="","","S"&amp;ROW())</f>
      </c>
      <c r="B481" s="522" t="n"/>
      <c r="C481" s="522" t="n"/>
      <c r="D481" s="525">
        <f>IF(C481="","",IFERROR(INDEX(잔액!$Y:$Y,MAX(64,C481)),0))</f>
      </c>
      <c r="E481" s="524">
        <f>IF(C481="","",IFERROR(INDEX(잔액!$A:$A,MAX(64,C481)),""))</f>
      </c>
      <c r="F481" s="504">
        <f>IF(C481="","",IFERROR(INDEX(잔액!$C:$C,MAX(64,C481)),""))</f>
      </c>
      <c r="G481" s="504">
        <f>IF(C481="","",IF(INDEX(잔액!$K:$K,MAX(64,C481))&lt;&gt;"",INDEX(잔액!$K:$K,MAX(64,C481)),INDEX(잔액!$D:$D,MAX(64,C481))))</f>
      </c>
      <c r="H481" s="504" t="inlineStr">
        <is>
          <t>원장</t>
        </is>
      </c>
      <c r="J481" s="504">
        <f>IFERROR(INDEX($C$100:$C$399,MATCH(B481,$A$100:$A$399,0)),"")</f>
        <v>0</v>
      </c>
      <c r="K481" s="524">
        <f>IFERROR(INDEX($D$100:$D$399,MATCH(B481,$A$100:$A$399,0)),"")</f>
      </c>
      <c r="L481" s="504">
        <f>IFERROR(INDEX($S$100:$S$399,MATCH(B481,$A$100:$A$399,0)),"")</f>
        <v>0</v>
      </c>
      <c r="M481" s="504">
        <f>IF(B481="","",IFERROR(IF(OR(AND(H481="기초반영",OR(B481="U001",B481="U002",B481="U003"),C481="",E481=DATE(2026,3,1)),AND(H481="원장",C481&gt;=64,C481&lt;=500,INDEX(잔액!$I:$I,MAX(64,C481))="OK",E481=INDEX(잔액!$A:$A,MAX(64,C481)),F481=INDEX(잔액!$C:$C,MAX(64,C481)),OR(F481=J481,F481="결제대금비",AND(B481="U008",C481=223,J481="경조사비",F481="명절비"),AND(B481="U008",C481=208,J481="경조사비",F481="임시보관",SUMIF($C$430:$C$729,C481,$D$430:$D$729)&lt;=39000)),OR(COUNTIF($A$8:$A$12,F481)=1,F481="결제대금비",AND(B481="U008",C481=208,J481="경조사비",F481="임시보관",SUMIF($C$430:$C$729,C481,$D$430:$D$729)&lt;=39000)),COUNTIF($A$8:$A$12,INDEX(잔액!$D:$D,MAX(64,C481)))=0,SUMIF($C$430:$C$729,C481,$D$430:$D$729)&lt;=INDEX(잔액!$Y:$Y,MAX(64,C481)))),1,0),0))</f>
      </c>
      <c r="N481" s="504">
        <f>IF(B481="","",IFERROR(IF(AND(COUNTIF($A$100:$A$399,B481)=1,INDEX($R$100:$R$399,MATCH(B481,$A$100:$A$399,0))="OK",D481&gt;0,ISNUMBER(E481),M481=1,SUMIF($B$430:$B$729,B481,$D$430:$D$729)&lt;=INDEX($E$100:$E$399,MATCH(B481,$A$100:$A$399,0))),"OK","확인: 정산연결"),"확인: 정산연결"))</f>
      </c>
      <c r="O481" s="526">
        <f>IF(N481="OK",D481,0)</f>
        <v>0</v>
      </c>
    </row>
    <row r="482" hidden="1" outlineLevel="1">
      <c r="A482" s="504">
        <f>IF(B482="","","S"&amp;ROW())</f>
      </c>
      <c r="B482" s="522" t="n"/>
      <c r="C482" s="522" t="n"/>
      <c r="D482" s="525">
        <f>IF(C482="","",IFERROR(INDEX(잔액!$Y:$Y,MAX(64,C482)),0))</f>
      </c>
      <c r="E482" s="524">
        <f>IF(C482="","",IFERROR(INDEX(잔액!$A:$A,MAX(64,C482)),""))</f>
      </c>
      <c r="F482" s="504">
        <f>IF(C482="","",IFERROR(INDEX(잔액!$C:$C,MAX(64,C482)),""))</f>
      </c>
      <c r="G482" s="504">
        <f>IF(C482="","",IF(INDEX(잔액!$K:$K,MAX(64,C482))&lt;&gt;"",INDEX(잔액!$K:$K,MAX(64,C482)),INDEX(잔액!$D:$D,MAX(64,C482))))</f>
      </c>
      <c r="H482" s="504" t="inlineStr">
        <is>
          <t>원장</t>
        </is>
      </c>
      <c r="J482" s="504">
        <f>IFERROR(INDEX($C$100:$C$399,MATCH(B482,$A$100:$A$399,0)),"")</f>
        <v>0</v>
      </c>
      <c r="K482" s="524">
        <f>IFERROR(INDEX($D$100:$D$399,MATCH(B482,$A$100:$A$399,0)),"")</f>
      </c>
      <c r="L482" s="504">
        <f>IFERROR(INDEX($S$100:$S$399,MATCH(B482,$A$100:$A$399,0)),"")</f>
        <v>0</v>
      </c>
      <c r="M482" s="504">
        <f>IF(B482="","",IFERROR(IF(OR(AND(H482="기초반영",OR(B482="U001",B482="U002",B482="U003"),C482="",E482=DATE(2026,3,1)),AND(H482="원장",C482&gt;=64,C482&lt;=500,INDEX(잔액!$I:$I,MAX(64,C482))="OK",E482=INDEX(잔액!$A:$A,MAX(64,C482)),F482=INDEX(잔액!$C:$C,MAX(64,C482)),OR(F482=J482,F482="결제대금비",AND(B482="U008",C482=223,J482="경조사비",F482="명절비"),AND(B482="U008",C482=208,J482="경조사비",F482="임시보관",SUMIF($C$430:$C$729,C482,$D$430:$D$729)&lt;=39000)),OR(COUNTIF($A$8:$A$12,F482)=1,F482="결제대금비",AND(B482="U008",C482=208,J482="경조사비",F482="임시보관",SUMIF($C$430:$C$729,C482,$D$430:$D$729)&lt;=39000)),COUNTIF($A$8:$A$12,INDEX(잔액!$D:$D,MAX(64,C482)))=0,SUMIF($C$430:$C$729,C482,$D$430:$D$729)&lt;=INDEX(잔액!$Y:$Y,MAX(64,C482)))),1,0),0))</f>
      </c>
      <c r="N482" s="504">
        <f>IF(B482="","",IFERROR(IF(AND(COUNTIF($A$100:$A$399,B482)=1,INDEX($R$100:$R$399,MATCH(B482,$A$100:$A$399,0))="OK",D482&gt;0,ISNUMBER(E482),M482=1,SUMIF($B$430:$B$729,B482,$D$430:$D$729)&lt;=INDEX($E$100:$E$399,MATCH(B482,$A$100:$A$399,0))),"OK","확인: 정산연결"),"확인: 정산연결"))</f>
      </c>
      <c r="O482" s="526">
        <f>IF(N482="OK",D482,0)</f>
        <v>0</v>
      </c>
    </row>
    <row r="483" hidden="1" outlineLevel="1">
      <c r="A483" s="504">
        <f>IF(B483="","","S"&amp;ROW())</f>
      </c>
      <c r="B483" s="522" t="n"/>
      <c r="C483" s="522" t="n"/>
      <c r="D483" s="525">
        <f>IF(C483="","",IFERROR(INDEX(잔액!$Y:$Y,MAX(64,C483)),0))</f>
      </c>
      <c r="E483" s="524">
        <f>IF(C483="","",IFERROR(INDEX(잔액!$A:$A,MAX(64,C483)),""))</f>
      </c>
      <c r="F483" s="504">
        <f>IF(C483="","",IFERROR(INDEX(잔액!$C:$C,MAX(64,C483)),""))</f>
      </c>
      <c r="G483" s="504">
        <f>IF(C483="","",IF(INDEX(잔액!$K:$K,MAX(64,C483))&lt;&gt;"",INDEX(잔액!$K:$K,MAX(64,C483)),INDEX(잔액!$D:$D,MAX(64,C483))))</f>
      </c>
      <c r="H483" s="504" t="inlineStr">
        <is>
          <t>원장</t>
        </is>
      </c>
      <c r="J483" s="504">
        <f>IFERROR(INDEX($C$100:$C$399,MATCH(B483,$A$100:$A$399,0)),"")</f>
        <v>0</v>
      </c>
      <c r="K483" s="524">
        <f>IFERROR(INDEX($D$100:$D$399,MATCH(B483,$A$100:$A$399,0)),"")</f>
      </c>
      <c r="L483" s="504">
        <f>IFERROR(INDEX($S$100:$S$399,MATCH(B483,$A$100:$A$399,0)),"")</f>
        <v>0</v>
      </c>
      <c r="M483" s="504">
        <f>IF(B483="","",IFERROR(IF(OR(AND(H483="기초반영",OR(B483="U001",B483="U002",B483="U003"),C483="",E483=DATE(2026,3,1)),AND(H483="원장",C483&gt;=64,C483&lt;=500,INDEX(잔액!$I:$I,MAX(64,C483))="OK",E483=INDEX(잔액!$A:$A,MAX(64,C483)),F483=INDEX(잔액!$C:$C,MAX(64,C483)),OR(F483=J483,F483="결제대금비",AND(B483="U008",C483=223,J483="경조사비",F483="명절비"),AND(B483="U008",C483=208,J483="경조사비",F483="임시보관",SUMIF($C$430:$C$729,C483,$D$430:$D$729)&lt;=39000)),OR(COUNTIF($A$8:$A$12,F483)=1,F483="결제대금비",AND(B483="U008",C483=208,J483="경조사비",F483="임시보관",SUMIF($C$430:$C$729,C483,$D$430:$D$729)&lt;=39000)),COUNTIF($A$8:$A$12,INDEX(잔액!$D:$D,MAX(64,C483)))=0,SUMIF($C$430:$C$729,C483,$D$430:$D$729)&lt;=INDEX(잔액!$Y:$Y,MAX(64,C483)))),1,0),0))</f>
      </c>
      <c r="N483" s="504">
        <f>IF(B483="","",IFERROR(IF(AND(COUNTIF($A$100:$A$399,B483)=1,INDEX($R$100:$R$399,MATCH(B483,$A$100:$A$399,0))="OK",D483&gt;0,ISNUMBER(E483),M483=1,SUMIF($B$430:$B$729,B483,$D$430:$D$729)&lt;=INDEX($E$100:$E$399,MATCH(B483,$A$100:$A$399,0))),"OK","확인: 정산연결"),"확인: 정산연결"))</f>
      </c>
      <c r="O483" s="526">
        <f>IF(N483="OK",D483,0)</f>
        <v>0</v>
      </c>
    </row>
    <row r="484" hidden="1" outlineLevel="1">
      <c r="A484" s="504">
        <f>IF(B484="","","S"&amp;ROW())</f>
      </c>
      <c r="B484" s="522" t="n"/>
      <c r="C484" s="522" t="n"/>
      <c r="D484" s="525">
        <f>IF(C484="","",IFERROR(INDEX(잔액!$Y:$Y,MAX(64,C484)),0))</f>
      </c>
      <c r="E484" s="524">
        <f>IF(C484="","",IFERROR(INDEX(잔액!$A:$A,MAX(64,C484)),""))</f>
      </c>
      <c r="F484" s="504">
        <f>IF(C484="","",IFERROR(INDEX(잔액!$C:$C,MAX(64,C484)),""))</f>
      </c>
      <c r="G484" s="504">
        <f>IF(C484="","",IF(INDEX(잔액!$K:$K,MAX(64,C484))&lt;&gt;"",INDEX(잔액!$K:$K,MAX(64,C484)),INDEX(잔액!$D:$D,MAX(64,C484))))</f>
      </c>
      <c r="H484" s="504" t="inlineStr">
        <is>
          <t>원장</t>
        </is>
      </c>
      <c r="J484" s="504">
        <f>IFERROR(INDEX($C$100:$C$399,MATCH(B484,$A$100:$A$399,0)),"")</f>
        <v>0</v>
      </c>
      <c r="K484" s="524">
        <f>IFERROR(INDEX($D$100:$D$399,MATCH(B484,$A$100:$A$399,0)),"")</f>
      </c>
      <c r="L484" s="504">
        <f>IFERROR(INDEX($S$100:$S$399,MATCH(B484,$A$100:$A$399,0)),"")</f>
        <v>0</v>
      </c>
      <c r="M484" s="504">
        <f>IF(B484="","",IFERROR(IF(OR(AND(H484="기초반영",OR(B484="U001",B484="U002",B484="U003"),C484="",E484=DATE(2026,3,1)),AND(H484="원장",C484&gt;=64,C484&lt;=500,INDEX(잔액!$I:$I,MAX(64,C484))="OK",E484=INDEX(잔액!$A:$A,MAX(64,C484)),F484=INDEX(잔액!$C:$C,MAX(64,C484)),OR(F484=J484,F484="결제대금비",AND(B484="U008",C484=223,J484="경조사비",F484="명절비"),AND(B484="U008",C484=208,J484="경조사비",F484="임시보관",SUMIF($C$430:$C$729,C484,$D$430:$D$729)&lt;=39000)),OR(COUNTIF($A$8:$A$12,F484)=1,F484="결제대금비",AND(B484="U008",C484=208,J484="경조사비",F484="임시보관",SUMIF($C$430:$C$729,C484,$D$430:$D$729)&lt;=39000)),COUNTIF($A$8:$A$12,INDEX(잔액!$D:$D,MAX(64,C484)))=0,SUMIF($C$430:$C$729,C484,$D$430:$D$729)&lt;=INDEX(잔액!$Y:$Y,MAX(64,C484)))),1,0),0))</f>
      </c>
      <c r="N484" s="504">
        <f>IF(B484="","",IFERROR(IF(AND(COUNTIF($A$100:$A$399,B484)=1,INDEX($R$100:$R$399,MATCH(B484,$A$100:$A$399,0))="OK",D484&gt;0,ISNUMBER(E484),M484=1,SUMIF($B$430:$B$729,B484,$D$430:$D$729)&lt;=INDEX($E$100:$E$399,MATCH(B484,$A$100:$A$399,0))),"OK","확인: 정산연결"),"확인: 정산연결"))</f>
      </c>
      <c r="O484" s="526">
        <f>IF(N484="OK",D484,0)</f>
        <v>0</v>
      </c>
    </row>
    <row r="485" hidden="1" outlineLevel="1">
      <c r="A485" s="504">
        <f>IF(B485="","","S"&amp;ROW())</f>
      </c>
      <c r="B485" s="522" t="n"/>
      <c r="C485" s="522" t="n"/>
      <c r="D485" s="525">
        <f>IF(C485="","",IFERROR(INDEX(잔액!$Y:$Y,MAX(64,C485)),0))</f>
      </c>
      <c r="E485" s="524">
        <f>IF(C485="","",IFERROR(INDEX(잔액!$A:$A,MAX(64,C485)),""))</f>
      </c>
      <c r="F485" s="504">
        <f>IF(C485="","",IFERROR(INDEX(잔액!$C:$C,MAX(64,C485)),""))</f>
      </c>
      <c r="G485" s="504">
        <f>IF(C485="","",IF(INDEX(잔액!$K:$K,MAX(64,C485))&lt;&gt;"",INDEX(잔액!$K:$K,MAX(64,C485)),INDEX(잔액!$D:$D,MAX(64,C485))))</f>
      </c>
      <c r="H485" s="504" t="inlineStr">
        <is>
          <t>원장</t>
        </is>
      </c>
      <c r="J485" s="504">
        <f>IFERROR(INDEX($C$100:$C$399,MATCH(B485,$A$100:$A$399,0)),"")</f>
        <v>0</v>
      </c>
      <c r="K485" s="524">
        <f>IFERROR(INDEX($D$100:$D$399,MATCH(B485,$A$100:$A$399,0)),"")</f>
      </c>
      <c r="L485" s="504">
        <f>IFERROR(INDEX($S$100:$S$399,MATCH(B485,$A$100:$A$399,0)),"")</f>
        <v>0</v>
      </c>
      <c r="M485" s="504">
        <f>IF(B485="","",IFERROR(IF(OR(AND(H485="기초반영",OR(B485="U001",B485="U002",B485="U003"),C485="",E485=DATE(2026,3,1)),AND(H485="원장",C485&gt;=64,C485&lt;=500,INDEX(잔액!$I:$I,MAX(64,C485))="OK",E485=INDEX(잔액!$A:$A,MAX(64,C485)),F485=INDEX(잔액!$C:$C,MAX(64,C485)),OR(F485=J485,F485="결제대금비",AND(B485="U008",C485=223,J485="경조사비",F485="명절비"),AND(B485="U008",C485=208,J485="경조사비",F485="임시보관",SUMIF($C$430:$C$729,C485,$D$430:$D$729)&lt;=39000)),OR(COUNTIF($A$8:$A$12,F485)=1,F485="결제대금비",AND(B485="U008",C485=208,J485="경조사비",F485="임시보관",SUMIF($C$430:$C$729,C485,$D$430:$D$729)&lt;=39000)),COUNTIF($A$8:$A$12,INDEX(잔액!$D:$D,MAX(64,C485)))=0,SUMIF($C$430:$C$729,C485,$D$430:$D$729)&lt;=INDEX(잔액!$Y:$Y,MAX(64,C485)))),1,0),0))</f>
      </c>
      <c r="N485" s="504">
        <f>IF(B485="","",IFERROR(IF(AND(COUNTIF($A$100:$A$399,B485)=1,INDEX($R$100:$R$399,MATCH(B485,$A$100:$A$399,0))="OK",D485&gt;0,ISNUMBER(E485),M485=1,SUMIF($B$430:$B$729,B485,$D$430:$D$729)&lt;=INDEX($E$100:$E$399,MATCH(B485,$A$100:$A$399,0))),"OK","확인: 정산연결"),"확인: 정산연결"))</f>
      </c>
      <c r="O485" s="526">
        <f>IF(N485="OK",D485,0)</f>
        <v>0</v>
      </c>
    </row>
    <row r="486" hidden="1" outlineLevel="1">
      <c r="A486" s="504">
        <f>IF(B486="","","S"&amp;ROW())</f>
      </c>
      <c r="B486" s="522" t="n"/>
      <c r="C486" s="522" t="n"/>
      <c r="D486" s="525">
        <f>IF(C486="","",IFERROR(INDEX(잔액!$Y:$Y,MAX(64,C486)),0))</f>
      </c>
      <c r="E486" s="524">
        <f>IF(C486="","",IFERROR(INDEX(잔액!$A:$A,MAX(64,C486)),""))</f>
      </c>
      <c r="F486" s="504">
        <f>IF(C486="","",IFERROR(INDEX(잔액!$C:$C,MAX(64,C486)),""))</f>
      </c>
      <c r="G486" s="504">
        <f>IF(C486="","",IF(INDEX(잔액!$K:$K,MAX(64,C486))&lt;&gt;"",INDEX(잔액!$K:$K,MAX(64,C486)),INDEX(잔액!$D:$D,MAX(64,C486))))</f>
      </c>
      <c r="H486" s="504" t="inlineStr">
        <is>
          <t>원장</t>
        </is>
      </c>
      <c r="J486" s="504">
        <f>IFERROR(INDEX($C$100:$C$399,MATCH(B486,$A$100:$A$399,0)),"")</f>
        <v>0</v>
      </c>
      <c r="K486" s="524">
        <f>IFERROR(INDEX($D$100:$D$399,MATCH(B486,$A$100:$A$399,0)),"")</f>
      </c>
      <c r="L486" s="504">
        <f>IFERROR(INDEX($S$100:$S$399,MATCH(B486,$A$100:$A$399,0)),"")</f>
        <v>0</v>
      </c>
      <c r="M486" s="504">
        <f>IF(B486="","",IFERROR(IF(OR(AND(H486="기초반영",OR(B486="U001",B486="U002",B486="U003"),C486="",E486=DATE(2026,3,1)),AND(H486="원장",C486&gt;=64,C486&lt;=500,INDEX(잔액!$I:$I,MAX(64,C486))="OK",E486=INDEX(잔액!$A:$A,MAX(64,C486)),F486=INDEX(잔액!$C:$C,MAX(64,C486)),OR(F486=J486,F486="결제대금비",AND(B486="U008",C486=223,J486="경조사비",F486="명절비"),AND(B486="U008",C486=208,J486="경조사비",F486="임시보관",SUMIF($C$430:$C$729,C486,$D$430:$D$729)&lt;=39000)),OR(COUNTIF($A$8:$A$12,F486)=1,F486="결제대금비",AND(B486="U008",C486=208,J486="경조사비",F486="임시보관",SUMIF($C$430:$C$729,C486,$D$430:$D$729)&lt;=39000)),COUNTIF($A$8:$A$12,INDEX(잔액!$D:$D,MAX(64,C486)))=0,SUMIF($C$430:$C$729,C486,$D$430:$D$729)&lt;=INDEX(잔액!$Y:$Y,MAX(64,C486)))),1,0),0))</f>
      </c>
      <c r="N486" s="504">
        <f>IF(B486="","",IFERROR(IF(AND(COUNTIF($A$100:$A$399,B486)=1,INDEX($R$100:$R$399,MATCH(B486,$A$100:$A$399,0))="OK",D486&gt;0,ISNUMBER(E486),M486=1,SUMIF($B$430:$B$729,B486,$D$430:$D$729)&lt;=INDEX($E$100:$E$399,MATCH(B486,$A$100:$A$399,0))),"OK","확인: 정산연결"),"확인: 정산연결"))</f>
      </c>
      <c r="O486" s="526">
        <f>IF(N486="OK",D486,0)</f>
        <v>0</v>
      </c>
    </row>
    <row r="487" hidden="1" outlineLevel="1">
      <c r="A487" s="504">
        <f>IF(B487="","","S"&amp;ROW())</f>
      </c>
      <c r="B487" s="522" t="n"/>
      <c r="C487" s="522" t="n"/>
      <c r="D487" s="525">
        <f>IF(C487="","",IFERROR(INDEX(잔액!$Y:$Y,MAX(64,C487)),0))</f>
      </c>
      <c r="E487" s="524">
        <f>IF(C487="","",IFERROR(INDEX(잔액!$A:$A,MAX(64,C487)),""))</f>
      </c>
      <c r="F487" s="504">
        <f>IF(C487="","",IFERROR(INDEX(잔액!$C:$C,MAX(64,C487)),""))</f>
      </c>
      <c r="G487" s="504">
        <f>IF(C487="","",IF(INDEX(잔액!$K:$K,MAX(64,C487))&lt;&gt;"",INDEX(잔액!$K:$K,MAX(64,C487)),INDEX(잔액!$D:$D,MAX(64,C487))))</f>
      </c>
      <c r="H487" s="504" t="inlineStr">
        <is>
          <t>원장</t>
        </is>
      </c>
      <c r="J487" s="504">
        <f>IFERROR(INDEX($C$100:$C$399,MATCH(B487,$A$100:$A$399,0)),"")</f>
        <v>0</v>
      </c>
      <c r="K487" s="524">
        <f>IFERROR(INDEX($D$100:$D$399,MATCH(B487,$A$100:$A$399,0)),"")</f>
      </c>
      <c r="L487" s="504">
        <f>IFERROR(INDEX($S$100:$S$399,MATCH(B487,$A$100:$A$399,0)),"")</f>
        <v>0</v>
      </c>
      <c r="M487" s="504">
        <f>IF(B487="","",IFERROR(IF(OR(AND(H487="기초반영",OR(B487="U001",B487="U002",B487="U003"),C487="",E487=DATE(2026,3,1)),AND(H487="원장",C487&gt;=64,C487&lt;=500,INDEX(잔액!$I:$I,MAX(64,C487))="OK",E487=INDEX(잔액!$A:$A,MAX(64,C487)),F487=INDEX(잔액!$C:$C,MAX(64,C487)),OR(F487=J487,F487="결제대금비",AND(B487="U008",C487=223,J487="경조사비",F487="명절비"),AND(B487="U008",C487=208,J487="경조사비",F487="임시보관",SUMIF($C$430:$C$729,C487,$D$430:$D$729)&lt;=39000)),OR(COUNTIF($A$8:$A$12,F487)=1,F487="결제대금비",AND(B487="U008",C487=208,J487="경조사비",F487="임시보관",SUMIF($C$430:$C$729,C487,$D$430:$D$729)&lt;=39000)),COUNTIF($A$8:$A$12,INDEX(잔액!$D:$D,MAX(64,C487)))=0,SUMIF($C$430:$C$729,C487,$D$430:$D$729)&lt;=INDEX(잔액!$Y:$Y,MAX(64,C487)))),1,0),0))</f>
      </c>
      <c r="N487" s="504">
        <f>IF(B487="","",IFERROR(IF(AND(COUNTIF($A$100:$A$399,B487)=1,INDEX($R$100:$R$399,MATCH(B487,$A$100:$A$399,0))="OK",D487&gt;0,ISNUMBER(E487),M487=1,SUMIF($B$430:$B$729,B487,$D$430:$D$729)&lt;=INDEX($E$100:$E$399,MATCH(B487,$A$100:$A$399,0))),"OK","확인: 정산연결"),"확인: 정산연결"))</f>
      </c>
      <c r="O487" s="526">
        <f>IF(N487="OK",D487,0)</f>
        <v>0</v>
      </c>
    </row>
    <row r="488" hidden="1" outlineLevel="1">
      <c r="A488" s="504">
        <f>IF(B488="","","S"&amp;ROW())</f>
      </c>
      <c r="B488" s="522" t="n"/>
      <c r="C488" s="522" t="n"/>
      <c r="D488" s="525">
        <f>IF(C488="","",IFERROR(INDEX(잔액!$Y:$Y,MAX(64,C488)),0))</f>
      </c>
      <c r="E488" s="524">
        <f>IF(C488="","",IFERROR(INDEX(잔액!$A:$A,MAX(64,C488)),""))</f>
      </c>
      <c r="F488" s="504">
        <f>IF(C488="","",IFERROR(INDEX(잔액!$C:$C,MAX(64,C488)),""))</f>
      </c>
      <c r="G488" s="504">
        <f>IF(C488="","",IF(INDEX(잔액!$K:$K,MAX(64,C488))&lt;&gt;"",INDEX(잔액!$K:$K,MAX(64,C488)),INDEX(잔액!$D:$D,MAX(64,C488))))</f>
      </c>
      <c r="H488" s="504" t="inlineStr">
        <is>
          <t>원장</t>
        </is>
      </c>
      <c r="J488" s="504">
        <f>IFERROR(INDEX($C$100:$C$399,MATCH(B488,$A$100:$A$399,0)),"")</f>
        <v>0</v>
      </c>
      <c r="K488" s="524">
        <f>IFERROR(INDEX($D$100:$D$399,MATCH(B488,$A$100:$A$399,0)),"")</f>
      </c>
      <c r="L488" s="504">
        <f>IFERROR(INDEX($S$100:$S$399,MATCH(B488,$A$100:$A$399,0)),"")</f>
        <v>0</v>
      </c>
      <c r="M488" s="504">
        <f>IF(B488="","",IFERROR(IF(OR(AND(H488="기초반영",OR(B488="U001",B488="U002",B488="U003"),C488="",E488=DATE(2026,3,1)),AND(H488="원장",C488&gt;=64,C488&lt;=500,INDEX(잔액!$I:$I,MAX(64,C488))="OK",E488=INDEX(잔액!$A:$A,MAX(64,C488)),F488=INDEX(잔액!$C:$C,MAX(64,C488)),OR(F488=J488,F488="결제대금비",AND(B488="U008",C488=223,J488="경조사비",F488="명절비"),AND(B488="U008",C488=208,J488="경조사비",F488="임시보관",SUMIF($C$430:$C$729,C488,$D$430:$D$729)&lt;=39000)),OR(COUNTIF($A$8:$A$12,F488)=1,F488="결제대금비",AND(B488="U008",C488=208,J488="경조사비",F488="임시보관",SUMIF($C$430:$C$729,C488,$D$430:$D$729)&lt;=39000)),COUNTIF($A$8:$A$12,INDEX(잔액!$D:$D,MAX(64,C488)))=0,SUMIF($C$430:$C$729,C488,$D$430:$D$729)&lt;=INDEX(잔액!$Y:$Y,MAX(64,C488)))),1,0),0))</f>
      </c>
      <c r="N488" s="504">
        <f>IF(B488="","",IFERROR(IF(AND(COUNTIF($A$100:$A$399,B488)=1,INDEX($R$100:$R$399,MATCH(B488,$A$100:$A$399,0))="OK",D488&gt;0,ISNUMBER(E488),M488=1,SUMIF($B$430:$B$729,B488,$D$430:$D$729)&lt;=INDEX($E$100:$E$399,MATCH(B488,$A$100:$A$399,0))),"OK","확인: 정산연결"),"확인: 정산연결"))</f>
      </c>
      <c r="O488" s="526">
        <f>IF(N488="OK",D488,0)</f>
        <v>0</v>
      </c>
    </row>
    <row r="489" hidden="1" outlineLevel="1">
      <c r="A489" s="504">
        <f>IF(B489="","","S"&amp;ROW())</f>
      </c>
      <c r="B489" s="522" t="n"/>
      <c r="C489" s="522" t="n"/>
      <c r="D489" s="525">
        <f>IF(C489="","",IFERROR(INDEX(잔액!$Y:$Y,MAX(64,C489)),0))</f>
      </c>
      <c r="E489" s="524">
        <f>IF(C489="","",IFERROR(INDEX(잔액!$A:$A,MAX(64,C489)),""))</f>
      </c>
      <c r="F489" s="504">
        <f>IF(C489="","",IFERROR(INDEX(잔액!$C:$C,MAX(64,C489)),""))</f>
      </c>
      <c r="G489" s="504">
        <f>IF(C489="","",IF(INDEX(잔액!$K:$K,MAX(64,C489))&lt;&gt;"",INDEX(잔액!$K:$K,MAX(64,C489)),INDEX(잔액!$D:$D,MAX(64,C489))))</f>
      </c>
      <c r="H489" s="504" t="inlineStr">
        <is>
          <t>원장</t>
        </is>
      </c>
      <c r="J489" s="504">
        <f>IFERROR(INDEX($C$100:$C$399,MATCH(B489,$A$100:$A$399,0)),"")</f>
        <v>0</v>
      </c>
      <c r="K489" s="524">
        <f>IFERROR(INDEX($D$100:$D$399,MATCH(B489,$A$100:$A$399,0)),"")</f>
      </c>
      <c r="L489" s="504">
        <f>IFERROR(INDEX($S$100:$S$399,MATCH(B489,$A$100:$A$399,0)),"")</f>
        <v>0</v>
      </c>
      <c r="M489" s="504">
        <f>IF(B489="","",IFERROR(IF(OR(AND(H489="기초반영",OR(B489="U001",B489="U002",B489="U003"),C489="",E489=DATE(2026,3,1)),AND(H489="원장",C489&gt;=64,C489&lt;=500,INDEX(잔액!$I:$I,MAX(64,C489))="OK",E489=INDEX(잔액!$A:$A,MAX(64,C489)),F489=INDEX(잔액!$C:$C,MAX(64,C489)),OR(F489=J489,F489="결제대금비",AND(B489="U008",C489=223,J489="경조사비",F489="명절비"),AND(B489="U008",C489=208,J489="경조사비",F489="임시보관",SUMIF($C$430:$C$729,C489,$D$430:$D$729)&lt;=39000)),OR(COUNTIF($A$8:$A$12,F489)=1,F489="결제대금비",AND(B489="U008",C489=208,J489="경조사비",F489="임시보관",SUMIF($C$430:$C$729,C489,$D$430:$D$729)&lt;=39000)),COUNTIF($A$8:$A$12,INDEX(잔액!$D:$D,MAX(64,C489)))=0,SUMIF($C$430:$C$729,C489,$D$430:$D$729)&lt;=INDEX(잔액!$Y:$Y,MAX(64,C489)))),1,0),0))</f>
      </c>
      <c r="N489" s="504">
        <f>IF(B489="","",IFERROR(IF(AND(COUNTIF($A$100:$A$399,B489)=1,INDEX($R$100:$R$399,MATCH(B489,$A$100:$A$399,0))="OK",D489&gt;0,ISNUMBER(E489),M489=1,SUMIF($B$430:$B$729,B489,$D$430:$D$729)&lt;=INDEX($E$100:$E$399,MATCH(B489,$A$100:$A$399,0))),"OK","확인: 정산연결"),"확인: 정산연결"))</f>
      </c>
      <c r="O489" s="526">
        <f>IF(N489="OK",D489,0)</f>
        <v>0</v>
      </c>
    </row>
    <row r="490" hidden="1" outlineLevel="1">
      <c r="A490" s="504">
        <f>IF(B490="","","S"&amp;ROW())</f>
      </c>
      <c r="B490" s="522" t="n"/>
      <c r="C490" s="522" t="n"/>
      <c r="D490" s="525">
        <f>IF(C490="","",IFERROR(INDEX(잔액!$Y:$Y,MAX(64,C490)),0))</f>
      </c>
      <c r="E490" s="524">
        <f>IF(C490="","",IFERROR(INDEX(잔액!$A:$A,MAX(64,C490)),""))</f>
      </c>
      <c r="F490" s="504">
        <f>IF(C490="","",IFERROR(INDEX(잔액!$C:$C,MAX(64,C490)),""))</f>
      </c>
      <c r="G490" s="504">
        <f>IF(C490="","",IF(INDEX(잔액!$K:$K,MAX(64,C490))&lt;&gt;"",INDEX(잔액!$K:$K,MAX(64,C490)),INDEX(잔액!$D:$D,MAX(64,C490))))</f>
      </c>
      <c r="H490" s="504" t="inlineStr">
        <is>
          <t>원장</t>
        </is>
      </c>
      <c r="J490" s="504">
        <f>IFERROR(INDEX($C$100:$C$399,MATCH(B490,$A$100:$A$399,0)),"")</f>
        <v>0</v>
      </c>
      <c r="K490" s="524">
        <f>IFERROR(INDEX($D$100:$D$399,MATCH(B490,$A$100:$A$399,0)),"")</f>
      </c>
      <c r="L490" s="504">
        <f>IFERROR(INDEX($S$100:$S$399,MATCH(B490,$A$100:$A$399,0)),"")</f>
        <v>0</v>
      </c>
      <c r="M490" s="504">
        <f>IF(B490="","",IFERROR(IF(OR(AND(H490="기초반영",OR(B490="U001",B490="U002",B490="U003"),C490="",E490=DATE(2026,3,1)),AND(H490="원장",C490&gt;=64,C490&lt;=500,INDEX(잔액!$I:$I,MAX(64,C490))="OK",E490=INDEX(잔액!$A:$A,MAX(64,C490)),F490=INDEX(잔액!$C:$C,MAX(64,C490)),OR(F490=J490,F490="결제대금비",AND(B490="U008",C490=223,J490="경조사비",F490="명절비"),AND(B490="U008",C490=208,J490="경조사비",F490="임시보관",SUMIF($C$430:$C$729,C490,$D$430:$D$729)&lt;=39000)),OR(COUNTIF($A$8:$A$12,F490)=1,F490="결제대금비",AND(B490="U008",C490=208,J490="경조사비",F490="임시보관",SUMIF($C$430:$C$729,C490,$D$430:$D$729)&lt;=39000)),COUNTIF($A$8:$A$12,INDEX(잔액!$D:$D,MAX(64,C490)))=0,SUMIF($C$430:$C$729,C490,$D$430:$D$729)&lt;=INDEX(잔액!$Y:$Y,MAX(64,C490)))),1,0),0))</f>
      </c>
      <c r="N490" s="504">
        <f>IF(B490="","",IFERROR(IF(AND(COUNTIF($A$100:$A$399,B490)=1,INDEX($R$100:$R$399,MATCH(B490,$A$100:$A$399,0))="OK",D490&gt;0,ISNUMBER(E490),M490=1,SUMIF($B$430:$B$729,B490,$D$430:$D$729)&lt;=INDEX($E$100:$E$399,MATCH(B490,$A$100:$A$399,0))),"OK","확인: 정산연결"),"확인: 정산연결"))</f>
      </c>
      <c r="O490" s="526">
        <f>IF(N490="OK",D490,0)</f>
        <v>0</v>
      </c>
    </row>
    <row r="491" hidden="1" outlineLevel="1">
      <c r="A491" s="504">
        <f>IF(B491="","","S"&amp;ROW())</f>
      </c>
      <c r="B491" s="522" t="n"/>
      <c r="C491" s="522" t="n"/>
      <c r="D491" s="525">
        <f>IF(C491="","",IFERROR(INDEX(잔액!$Y:$Y,MAX(64,C491)),0))</f>
      </c>
      <c r="E491" s="524">
        <f>IF(C491="","",IFERROR(INDEX(잔액!$A:$A,MAX(64,C491)),""))</f>
      </c>
      <c r="F491" s="504">
        <f>IF(C491="","",IFERROR(INDEX(잔액!$C:$C,MAX(64,C491)),""))</f>
      </c>
      <c r="G491" s="504">
        <f>IF(C491="","",IF(INDEX(잔액!$K:$K,MAX(64,C491))&lt;&gt;"",INDEX(잔액!$K:$K,MAX(64,C491)),INDEX(잔액!$D:$D,MAX(64,C491))))</f>
      </c>
      <c r="H491" s="504" t="inlineStr">
        <is>
          <t>원장</t>
        </is>
      </c>
      <c r="J491" s="504">
        <f>IFERROR(INDEX($C$100:$C$399,MATCH(B491,$A$100:$A$399,0)),"")</f>
        <v>0</v>
      </c>
      <c r="K491" s="524">
        <f>IFERROR(INDEX($D$100:$D$399,MATCH(B491,$A$100:$A$399,0)),"")</f>
      </c>
      <c r="L491" s="504">
        <f>IFERROR(INDEX($S$100:$S$399,MATCH(B491,$A$100:$A$399,0)),"")</f>
        <v>0</v>
      </c>
      <c r="M491" s="504">
        <f>IF(B491="","",IFERROR(IF(OR(AND(H491="기초반영",OR(B491="U001",B491="U002",B491="U003"),C491="",E491=DATE(2026,3,1)),AND(H491="원장",C491&gt;=64,C491&lt;=500,INDEX(잔액!$I:$I,MAX(64,C491))="OK",E491=INDEX(잔액!$A:$A,MAX(64,C491)),F491=INDEX(잔액!$C:$C,MAX(64,C491)),OR(F491=J491,F491="결제대금비",AND(B491="U008",C491=223,J491="경조사비",F491="명절비"),AND(B491="U008",C491=208,J491="경조사비",F491="임시보관",SUMIF($C$430:$C$729,C491,$D$430:$D$729)&lt;=39000)),OR(COUNTIF($A$8:$A$12,F491)=1,F491="결제대금비",AND(B491="U008",C491=208,J491="경조사비",F491="임시보관",SUMIF($C$430:$C$729,C491,$D$430:$D$729)&lt;=39000)),COUNTIF($A$8:$A$12,INDEX(잔액!$D:$D,MAX(64,C491)))=0,SUMIF($C$430:$C$729,C491,$D$430:$D$729)&lt;=INDEX(잔액!$Y:$Y,MAX(64,C491)))),1,0),0))</f>
      </c>
      <c r="N491" s="504">
        <f>IF(B491="","",IFERROR(IF(AND(COUNTIF($A$100:$A$399,B491)=1,INDEX($R$100:$R$399,MATCH(B491,$A$100:$A$399,0))="OK",D491&gt;0,ISNUMBER(E491),M491=1,SUMIF($B$430:$B$729,B491,$D$430:$D$729)&lt;=INDEX($E$100:$E$399,MATCH(B491,$A$100:$A$399,0))),"OK","확인: 정산연결"),"확인: 정산연결"))</f>
      </c>
      <c r="O491" s="526">
        <f>IF(N491="OK",D491,0)</f>
        <v>0</v>
      </c>
    </row>
    <row r="492" hidden="1" outlineLevel="1">
      <c r="A492" s="504">
        <f>IF(B492="","","S"&amp;ROW())</f>
      </c>
      <c r="B492" s="522" t="n"/>
      <c r="C492" s="522" t="n"/>
      <c r="D492" s="525">
        <f>IF(C492="","",IFERROR(INDEX(잔액!$Y:$Y,MAX(64,C492)),0))</f>
      </c>
      <c r="E492" s="524">
        <f>IF(C492="","",IFERROR(INDEX(잔액!$A:$A,MAX(64,C492)),""))</f>
      </c>
      <c r="F492" s="504">
        <f>IF(C492="","",IFERROR(INDEX(잔액!$C:$C,MAX(64,C492)),""))</f>
      </c>
      <c r="G492" s="504">
        <f>IF(C492="","",IF(INDEX(잔액!$K:$K,MAX(64,C492))&lt;&gt;"",INDEX(잔액!$K:$K,MAX(64,C492)),INDEX(잔액!$D:$D,MAX(64,C492))))</f>
      </c>
      <c r="H492" s="504" t="inlineStr">
        <is>
          <t>원장</t>
        </is>
      </c>
      <c r="J492" s="504">
        <f>IFERROR(INDEX($C$100:$C$399,MATCH(B492,$A$100:$A$399,0)),"")</f>
        <v>0</v>
      </c>
      <c r="K492" s="524">
        <f>IFERROR(INDEX($D$100:$D$399,MATCH(B492,$A$100:$A$399,0)),"")</f>
      </c>
      <c r="L492" s="504">
        <f>IFERROR(INDEX($S$100:$S$399,MATCH(B492,$A$100:$A$399,0)),"")</f>
        <v>0</v>
      </c>
      <c r="M492" s="504">
        <f>IF(B492="","",IFERROR(IF(OR(AND(H492="기초반영",OR(B492="U001",B492="U002",B492="U003"),C492="",E492=DATE(2026,3,1)),AND(H492="원장",C492&gt;=64,C492&lt;=500,INDEX(잔액!$I:$I,MAX(64,C492))="OK",E492=INDEX(잔액!$A:$A,MAX(64,C492)),F492=INDEX(잔액!$C:$C,MAX(64,C492)),OR(F492=J492,F492="결제대금비",AND(B492="U008",C492=223,J492="경조사비",F492="명절비"),AND(B492="U008",C492=208,J492="경조사비",F492="임시보관",SUMIF($C$430:$C$729,C492,$D$430:$D$729)&lt;=39000)),OR(COUNTIF($A$8:$A$12,F492)=1,F492="결제대금비",AND(B492="U008",C492=208,J492="경조사비",F492="임시보관",SUMIF($C$430:$C$729,C492,$D$430:$D$729)&lt;=39000)),COUNTIF($A$8:$A$12,INDEX(잔액!$D:$D,MAX(64,C492)))=0,SUMIF($C$430:$C$729,C492,$D$430:$D$729)&lt;=INDEX(잔액!$Y:$Y,MAX(64,C492)))),1,0),0))</f>
      </c>
      <c r="N492" s="504">
        <f>IF(B492="","",IFERROR(IF(AND(COUNTIF($A$100:$A$399,B492)=1,INDEX($R$100:$R$399,MATCH(B492,$A$100:$A$399,0))="OK",D492&gt;0,ISNUMBER(E492),M492=1,SUMIF($B$430:$B$729,B492,$D$430:$D$729)&lt;=INDEX($E$100:$E$399,MATCH(B492,$A$100:$A$399,0))),"OK","확인: 정산연결"),"확인: 정산연결"))</f>
      </c>
      <c r="O492" s="526">
        <f>IF(N492="OK",D492,0)</f>
        <v>0</v>
      </c>
    </row>
    <row r="493" hidden="1" outlineLevel="1">
      <c r="A493" s="504">
        <f>IF(B493="","","S"&amp;ROW())</f>
      </c>
      <c r="B493" s="522" t="n"/>
      <c r="C493" s="522" t="n"/>
      <c r="D493" s="525">
        <f>IF(C493="","",IFERROR(INDEX(잔액!$Y:$Y,MAX(64,C493)),0))</f>
      </c>
      <c r="E493" s="524">
        <f>IF(C493="","",IFERROR(INDEX(잔액!$A:$A,MAX(64,C493)),""))</f>
      </c>
      <c r="F493" s="504">
        <f>IF(C493="","",IFERROR(INDEX(잔액!$C:$C,MAX(64,C493)),""))</f>
      </c>
      <c r="G493" s="504">
        <f>IF(C493="","",IF(INDEX(잔액!$K:$K,MAX(64,C493))&lt;&gt;"",INDEX(잔액!$K:$K,MAX(64,C493)),INDEX(잔액!$D:$D,MAX(64,C493))))</f>
      </c>
      <c r="H493" s="504" t="inlineStr">
        <is>
          <t>원장</t>
        </is>
      </c>
      <c r="J493" s="504">
        <f>IFERROR(INDEX($C$100:$C$399,MATCH(B493,$A$100:$A$399,0)),"")</f>
        <v>0</v>
      </c>
      <c r="K493" s="524">
        <f>IFERROR(INDEX($D$100:$D$399,MATCH(B493,$A$100:$A$399,0)),"")</f>
      </c>
      <c r="L493" s="504">
        <f>IFERROR(INDEX($S$100:$S$399,MATCH(B493,$A$100:$A$399,0)),"")</f>
        <v>0</v>
      </c>
      <c r="M493" s="504">
        <f>IF(B493="","",IFERROR(IF(OR(AND(H493="기초반영",OR(B493="U001",B493="U002",B493="U003"),C493="",E493=DATE(2026,3,1)),AND(H493="원장",C493&gt;=64,C493&lt;=500,INDEX(잔액!$I:$I,MAX(64,C493))="OK",E493=INDEX(잔액!$A:$A,MAX(64,C493)),F493=INDEX(잔액!$C:$C,MAX(64,C493)),OR(F493=J493,F493="결제대금비",AND(B493="U008",C493=223,J493="경조사비",F493="명절비"),AND(B493="U008",C493=208,J493="경조사비",F493="임시보관",SUMIF($C$430:$C$729,C493,$D$430:$D$729)&lt;=39000)),OR(COUNTIF($A$8:$A$12,F493)=1,F493="결제대금비",AND(B493="U008",C493=208,J493="경조사비",F493="임시보관",SUMIF($C$430:$C$729,C493,$D$430:$D$729)&lt;=39000)),COUNTIF($A$8:$A$12,INDEX(잔액!$D:$D,MAX(64,C493)))=0,SUMIF($C$430:$C$729,C493,$D$430:$D$729)&lt;=INDEX(잔액!$Y:$Y,MAX(64,C493)))),1,0),0))</f>
      </c>
      <c r="N493" s="504">
        <f>IF(B493="","",IFERROR(IF(AND(COUNTIF($A$100:$A$399,B493)=1,INDEX($R$100:$R$399,MATCH(B493,$A$100:$A$399,0))="OK",D493&gt;0,ISNUMBER(E493),M493=1,SUMIF($B$430:$B$729,B493,$D$430:$D$729)&lt;=INDEX($E$100:$E$399,MATCH(B493,$A$100:$A$399,0))),"OK","확인: 정산연결"),"확인: 정산연결"))</f>
      </c>
      <c r="O493" s="526">
        <f>IF(N493="OK",D493,0)</f>
        <v>0</v>
      </c>
    </row>
    <row r="494" hidden="1" outlineLevel="1">
      <c r="A494" s="504">
        <f>IF(B494="","","S"&amp;ROW())</f>
      </c>
      <c r="B494" s="522" t="n"/>
      <c r="C494" s="522" t="n"/>
      <c r="D494" s="525">
        <f>IF(C494="","",IFERROR(INDEX(잔액!$Y:$Y,MAX(64,C494)),0))</f>
      </c>
      <c r="E494" s="524">
        <f>IF(C494="","",IFERROR(INDEX(잔액!$A:$A,MAX(64,C494)),""))</f>
      </c>
      <c r="F494" s="504">
        <f>IF(C494="","",IFERROR(INDEX(잔액!$C:$C,MAX(64,C494)),""))</f>
      </c>
      <c r="G494" s="504">
        <f>IF(C494="","",IF(INDEX(잔액!$K:$K,MAX(64,C494))&lt;&gt;"",INDEX(잔액!$K:$K,MAX(64,C494)),INDEX(잔액!$D:$D,MAX(64,C494))))</f>
      </c>
      <c r="H494" s="504" t="inlineStr">
        <is>
          <t>원장</t>
        </is>
      </c>
      <c r="J494" s="504">
        <f>IFERROR(INDEX($C$100:$C$399,MATCH(B494,$A$100:$A$399,0)),"")</f>
        <v>0</v>
      </c>
      <c r="K494" s="524">
        <f>IFERROR(INDEX($D$100:$D$399,MATCH(B494,$A$100:$A$399,0)),"")</f>
      </c>
      <c r="L494" s="504">
        <f>IFERROR(INDEX($S$100:$S$399,MATCH(B494,$A$100:$A$399,0)),"")</f>
        <v>0</v>
      </c>
      <c r="M494" s="504">
        <f>IF(B494="","",IFERROR(IF(OR(AND(H494="기초반영",OR(B494="U001",B494="U002",B494="U003"),C494="",E494=DATE(2026,3,1)),AND(H494="원장",C494&gt;=64,C494&lt;=500,INDEX(잔액!$I:$I,MAX(64,C494))="OK",E494=INDEX(잔액!$A:$A,MAX(64,C494)),F494=INDEX(잔액!$C:$C,MAX(64,C494)),OR(F494=J494,F494="결제대금비",AND(B494="U008",C494=223,J494="경조사비",F494="명절비"),AND(B494="U008",C494=208,J494="경조사비",F494="임시보관",SUMIF($C$430:$C$729,C494,$D$430:$D$729)&lt;=39000)),OR(COUNTIF($A$8:$A$12,F494)=1,F494="결제대금비",AND(B494="U008",C494=208,J494="경조사비",F494="임시보관",SUMIF($C$430:$C$729,C494,$D$430:$D$729)&lt;=39000)),COUNTIF($A$8:$A$12,INDEX(잔액!$D:$D,MAX(64,C494)))=0,SUMIF($C$430:$C$729,C494,$D$430:$D$729)&lt;=INDEX(잔액!$Y:$Y,MAX(64,C494)))),1,0),0))</f>
      </c>
      <c r="N494" s="504">
        <f>IF(B494="","",IFERROR(IF(AND(COUNTIF($A$100:$A$399,B494)=1,INDEX($R$100:$R$399,MATCH(B494,$A$100:$A$399,0))="OK",D494&gt;0,ISNUMBER(E494),M494=1,SUMIF($B$430:$B$729,B494,$D$430:$D$729)&lt;=INDEX($E$100:$E$399,MATCH(B494,$A$100:$A$399,0))),"OK","확인: 정산연결"),"확인: 정산연결"))</f>
      </c>
      <c r="O494" s="526">
        <f>IF(N494="OK",D494,0)</f>
        <v>0</v>
      </c>
    </row>
    <row r="495" hidden="1" outlineLevel="1">
      <c r="A495" s="504">
        <f>IF(B495="","","S"&amp;ROW())</f>
      </c>
      <c r="B495" s="522" t="n"/>
      <c r="C495" s="522" t="n"/>
      <c r="D495" s="525">
        <f>IF(C495="","",IFERROR(INDEX(잔액!$Y:$Y,MAX(64,C495)),0))</f>
      </c>
      <c r="E495" s="524">
        <f>IF(C495="","",IFERROR(INDEX(잔액!$A:$A,MAX(64,C495)),""))</f>
      </c>
      <c r="F495" s="504">
        <f>IF(C495="","",IFERROR(INDEX(잔액!$C:$C,MAX(64,C495)),""))</f>
      </c>
      <c r="G495" s="504">
        <f>IF(C495="","",IF(INDEX(잔액!$K:$K,MAX(64,C495))&lt;&gt;"",INDEX(잔액!$K:$K,MAX(64,C495)),INDEX(잔액!$D:$D,MAX(64,C495))))</f>
      </c>
      <c r="H495" s="504" t="inlineStr">
        <is>
          <t>원장</t>
        </is>
      </c>
      <c r="J495" s="504">
        <f>IFERROR(INDEX($C$100:$C$399,MATCH(B495,$A$100:$A$399,0)),"")</f>
        <v>0</v>
      </c>
      <c r="K495" s="524">
        <f>IFERROR(INDEX($D$100:$D$399,MATCH(B495,$A$100:$A$399,0)),"")</f>
      </c>
      <c r="L495" s="504">
        <f>IFERROR(INDEX($S$100:$S$399,MATCH(B495,$A$100:$A$399,0)),"")</f>
        <v>0</v>
      </c>
      <c r="M495" s="504">
        <f>IF(B495="","",IFERROR(IF(OR(AND(H495="기초반영",OR(B495="U001",B495="U002",B495="U003"),C495="",E495=DATE(2026,3,1)),AND(H495="원장",C495&gt;=64,C495&lt;=500,INDEX(잔액!$I:$I,MAX(64,C495))="OK",E495=INDEX(잔액!$A:$A,MAX(64,C495)),F495=INDEX(잔액!$C:$C,MAX(64,C495)),OR(F495=J495,F495="결제대금비",AND(B495="U008",C495=223,J495="경조사비",F495="명절비"),AND(B495="U008",C495=208,J495="경조사비",F495="임시보관",SUMIF($C$430:$C$729,C495,$D$430:$D$729)&lt;=39000)),OR(COUNTIF($A$8:$A$12,F495)=1,F495="결제대금비",AND(B495="U008",C495=208,J495="경조사비",F495="임시보관",SUMIF($C$430:$C$729,C495,$D$430:$D$729)&lt;=39000)),COUNTIF($A$8:$A$12,INDEX(잔액!$D:$D,MAX(64,C495)))=0,SUMIF($C$430:$C$729,C495,$D$430:$D$729)&lt;=INDEX(잔액!$Y:$Y,MAX(64,C495)))),1,0),0))</f>
      </c>
      <c r="N495" s="504">
        <f>IF(B495="","",IFERROR(IF(AND(COUNTIF($A$100:$A$399,B495)=1,INDEX($R$100:$R$399,MATCH(B495,$A$100:$A$399,0))="OK",D495&gt;0,ISNUMBER(E495),M495=1,SUMIF($B$430:$B$729,B495,$D$430:$D$729)&lt;=INDEX($E$100:$E$399,MATCH(B495,$A$100:$A$399,0))),"OK","확인: 정산연결"),"확인: 정산연결"))</f>
      </c>
      <c r="O495" s="526">
        <f>IF(N495="OK",D495,0)</f>
        <v>0</v>
      </c>
    </row>
    <row r="496" hidden="1" outlineLevel="1">
      <c r="A496" s="504">
        <f>IF(B496="","","S"&amp;ROW())</f>
      </c>
      <c r="B496" s="522" t="n"/>
      <c r="C496" s="522" t="n"/>
      <c r="D496" s="525">
        <f>IF(C496="","",IFERROR(INDEX(잔액!$Y:$Y,MAX(64,C496)),0))</f>
      </c>
      <c r="E496" s="524">
        <f>IF(C496="","",IFERROR(INDEX(잔액!$A:$A,MAX(64,C496)),""))</f>
      </c>
      <c r="F496" s="504">
        <f>IF(C496="","",IFERROR(INDEX(잔액!$C:$C,MAX(64,C496)),""))</f>
      </c>
      <c r="G496" s="504">
        <f>IF(C496="","",IF(INDEX(잔액!$K:$K,MAX(64,C496))&lt;&gt;"",INDEX(잔액!$K:$K,MAX(64,C496)),INDEX(잔액!$D:$D,MAX(64,C496))))</f>
      </c>
      <c r="H496" s="504" t="inlineStr">
        <is>
          <t>원장</t>
        </is>
      </c>
      <c r="J496" s="504">
        <f>IFERROR(INDEX($C$100:$C$399,MATCH(B496,$A$100:$A$399,0)),"")</f>
        <v>0</v>
      </c>
      <c r="K496" s="524">
        <f>IFERROR(INDEX($D$100:$D$399,MATCH(B496,$A$100:$A$399,0)),"")</f>
      </c>
      <c r="L496" s="504">
        <f>IFERROR(INDEX($S$100:$S$399,MATCH(B496,$A$100:$A$399,0)),"")</f>
        <v>0</v>
      </c>
      <c r="M496" s="504">
        <f>IF(B496="","",IFERROR(IF(OR(AND(H496="기초반영",OR(B496="U001",B496="U002",B496="U003"),C496="",E496=DATE(2026,3,1)),AND(H496="원장",C496&gt;=64,C496&lt;=500,INDEX(잔액!$I:$I,MAX(64,C496))="OK",E496=INDEX(잔액!$A:$A,MAX(64,C496)),F496=INDEX(잔액!$C:$C,MAX(64,C496)),OR(F496=J496,F496="결제대금비",AND(B496="U008",C496=223,J496="경조사비",F496="명절비"),AND(B496="U008",C496=208,J496="경조사비",F496="임시보관",SUMIF($C$430:$C$729,C496,$D$430:$D$729)&lt;=39000)),OR(COUNTIF($A$8:$A$12,F496)=1,F496="결제대금비",AND(B496="U008",C496=208,J496="경조사비",F496="임시보관",SUMIF($C$430:$C$729,C496,$D$430:$D$729)&lt;=39000)),COUNTIF($A$8:$A$12,INDEX(잔액!$D:$D,MAX(64,C496)))=0,SUMIF($C$430:$C$729,C496,$D$430:$D$729)&lt;=INDEX(잔액!$Y:$Y,MAX(64,C496)))),1,0),0))</f>
      </c>
      <c r="N496" s="504">
        <f>IF(B496="","",IFERROR(IF(AND(COUNTIF($A$100:$A$399,B496)=1,INDEX($R$100:$R$399,MATCH(B496,$A$100:$A$399,0))="OK",D496&gt;0,ISNUMBER(E496),M496=1,SUMIF($B$430:$B$729,B496,$D$430:$D$729)&lt;=INDEX($E$100:$E$399,MATCH(B496,$A$100:$A$399,0))),"OK","확인: 정산연결"),"확인: 정산연결"))</f>
      </c>
      <c r="O496" s="526">
        <f>IF(N496="OK",D496,0)</f>
        <v>0</v>
      </c>
    </row>
    <row r="497" hidden="1" outlineLevel="1">
      <c r="A497" s="504">
        <f>IF(B497="","","S"&amp;ROW())</f>
      </c>
      <c r="B497" s="522" t="n"/>
      <c r="C497" s="522" t="n"/>
      <c r="D497" s="525">
        <f>IF(C497="","",IFERROR(INDEX(잔액!$Y:$Y,MAX(64,C497)),0))</f>
      </c>
      <c r="E497" s="524">
        <f>IF(C497="","",IFERROR(INDEX(잔액!$A:$A,MAX(64,C497)),""))</f>
      </c>
      <c r="F497" s="504">
        <f>IF(C497="","",IFERROR(INDEX(잔액!$C:$C,MAX(64,C497)),""))</f>
      </c>
      <c r="G497" s="504">
        <f>IF(C497="","",IF(INDEX(잔액!$K:$K,MAX(64,C497))&lt;&gt;"",INDEX(잔액!$K:$K,MAX(64,C497)),INDEX(잔액!$D:$D,MAX(64,C497))))</f>
      </c>
      <c r="H497" s="504" t="inlineStr">
        <is>
          <t>원장</t>
        </is>
      </c>
      <c r="J497" s="504">
        <f>IFERROR(INDEX($C$100:$C$399,MATCH(B497,$A$100:$A$399,0)),"")</f>
        <v>0</v>
      </c>
      <c r="K497" s="524">
        <f>IFERROR(INDEX($D$100:$D$399,MATCH(B497,$A$100:$A$399,0)),"")</f>
      </c>
      <c r="L497" s="504">
        <f>IFERROR(INDEX($S$100:$S$399,MATCH(B497,$A$100:$A$399,0)),"")</f>
        <v>0</v>
      </c>
      <c r="M497" s="504">
        <f>IF(B497="","",IFERROR(IF(OR(AND(H497="기초반영",OR(B497="U001",B497="U002",B497="U003"),C497="",E497=DATE(2026,3,1)),AND(H497="원장",C497&gt;=64,C497&lt;=500,INDEX(잔액!$I:$I,MAX(64,C497))="OK",E497=INDEX(잔액!$A:$A,MAX(64,C497)),F497=INDEX(잔액!$C:$C,MAX(64,C497)),OR(F497=J497,F497="결제대금비",AND(B497="U008",C497=223,J497="경조사비",F497="명절비"),AND(B497="U008",C497=208,J497="경조사비",F497="임시보관",SUMIF($C$430:$C$729,C497,$D$430:$D$729)&lt;=39000)),OR(COUNTIF($A$8:$A$12,F497)=1,F497="결제대금비",AND(B497="U008",C497=208,J497="경조사비",F497="임시보관",SUMIF($C$430:$C$729,C497,$D$430:$D$729)&lt;=39000)),COUNTIF($A$8:$A$12,INDEX(잔액!$D:$D,MAX(64,C497)))=0,SUMIF($C$430:$C$729,C497,$D$430:$D$729)&lt;=INDEX(잔액!$Y:$Y,MAX(64,C497)))),1,0),0))</f>
      </c>
      <c r="N497" s="504">
        <f>IF(B497="","",IFERROR(IF(AND(COUNTIF($A$100:$A$399,B497)=1,INDEX($R$100:$R$399,MATCH(B497,$A$100:$A$399,0))="OK",D497&gt;0,ISNUMBER(E497),M497=1,SUMIF($B$430:$B$729,B497,$D$430:$D$729)&lt;=INDEX($E$100:$E$399,MATCH(B497,$A$100:$A$399,0))),"OK","확인: 정산연결"),"확인: 정산연결"))</f>
      </c>
      <c r="O497" s="526">
        <f>IF(N497="OK",D497,0)</f>
        <v>0</v>
      </c>
    </row>
    <row r="498" hidden="1" outlineLevel="1">
      <c r="A498" s="504">
        <f>IF(B498="","","S"&amp;ROW())</f>
      </c>
      <c r="B498" s="522" t="n"/>
      <c r="C498" s="522" t="n"/>
      <c r="D498" s="525">
        <f>IF(C498="","",IFERROR(INDEX(잔액!$Y:$Y,MAX(64,C498)),0))</f>
      </c>
      <c r="E498" s="524">
        <f>IF(C498="","",IFERROR(INDEX(잔액!$A:$A,MAX(64,C498)),""))</f>
      </c>
      <c r="F498" s="504">
        <f>IF(C498="","",IFERROR(INDEX(잔액!$C:$C,MAX(64,C498)),""))</f>
      </c>
      <c r="G498" s="504">
        <f>IF(C498="","",IF(INDEX(잔액!$K:$K,MAX(64,C498))&lt;&gt;"",INDEX(잔액!$K:$K,MAX(64,C498)),INDEX(잔액!$D:$D,MAX(64,C498))))</f>
      </c>
      <c r="H498" s="504" t="inlineStr">
        <is>
          <t>원장</t>
        </is>
      </c>
      <c r="J498" s="504">
        <f>IFERROR(INDEX($C$100:$C$399,MATCH(B498,$A$100:$A$399,0)),"")</f>
        <v>0</v>
      </c>
      <c r="K498" s="524">
        <f>IFERROR(INDEX($D$100:$D$399,MATCH(B498,$A$100:$A$399,0)),"")</f>
      </c>
      <c r="L498" s="504">
        <f>IFERROR(INDEX($S$100:$S$399,MATCH(B498,$A$100:$A$399,0)),"")</f>
        <v>0</v>
      </c>
      <c r="M498" s="504">
        <f>IF(B498="","",IFERROR(IF(OR(AND(H498="기초반영",OR(B498="U001",B498="U002",B498="U003"),C498="",E498=DATE(2026,3,1)),AND(H498="원장",C498&gt;=64,C498&lt;=500,INDEX(잔액!$I:$I,MAX(64,C498))="OK",E498=INDEX(잔액!$A:$A,MAX(64,C498)),F498=INDEX(잔액!$C:$C,MAX(64,C498)),OR(F498=J498,F498="결제대금비",AND(B498="U008",C498=223,J498="경조사비",F498="명절비"),AND(B498="U008",C498=208,J498="경조사비",F498="임시보관",SUMIF($C$430:$C$729,C498,$D$430:$D$729)&lt;=39000)),OR(COUNTIF($A$8:$A$12,F498)=1,F498="결제대금비",AND(B498="U008",C498=208,J498="경조사비",F498="임시보관",SUMIF($C$430:$C$729,C498,$D$430:$D$729)&lt;=39000)),COUNTIF($A$8:$A$12,INDEX(잔액!$D:$D,MAX(64,C498)))=0,SUMIF($C$430:$C$729,C498,$D$430:$D$729)&lt;=INDEX(잔액!$Y:$Y,MAX(64,C498)))),1,0),0))</f>
      </c>
      <c r="N498" s="504">
        <f>IF(B498="","",IFERROR(IF(AND(COUNTIF($A$100:$A$399,B498)=1,INDEX($R$100:$R$399,MATCH(B498,$A$100:$A$399,0))="OK",D498&gt;0,ISNUMBER(E498),M498=1,SUMIF($B$430:$B$729,B498,$D$430:$D$729)&lt;=INDEX($E$100:$E$399,MATCH(B498,$A$100:$A$399,0))),"OK","확인: 정산연결"),"확인: 정산연결"))</f>
      </c>
      <c r="O498" s="526">
        <f>IF(N498="OK",D498,0)</f>
        <v>0</v>
      </c>
    </row>
    <row r="499" hidden="1" outlineLevel="1">
      <c r="A499" s="504">
        <f>IF(B499="","","S"&amp;ROW())</f>
      </c>
      <c r="B499" s="522" t="n"/>
      <c r="C499" s="522" t="n"/>
      <c r="D499" s="525">
        <f>IF(C499="","",IFERROR(INDEX(잔액!$Y:$Y,MAX(64,C499)),0))</f>
      </c>
      <c r="E499" s="524">
        <f>IF(C499="","",IFERROR(INDEX(잔액!$A:$A,MAX(64,C499)),""))</f>
      </c>
      <c r="F499" s="504">
        <f>IF(C499="","",IFERROR(INDEX(잔액!$C:$C,MAX(64,C499)),""))</f>
      </c>
      <c r="G499" s="504">
        <f>IF(C499="","",IF(INDEX(잔액!$K:$K,MAX(64,C499))&lt;&gt;"",INDEX(잔액!$K:$K,MAX(64,C499)),INDEX(잔액!$D:$D,MAX(64,C499))))</f>
      </c>
      <c r="H499" s="504" t="inlineStr">
        <is>
          <t>원장</t>
        </is>
      </c>
      <c r="J499" s="504">
        <f>IFERROR(INDEX($C$100:$C$399,MATCH(B499,$A$100:$A$399,0)),"")</f>
        <v>0</v>
      </c>
      <c r="K499" s="524">
        <f>IFERROR(INDEX($D$100:$D$399,MATCH(B499,$A$100:$A$399,0)),"")</f>
      </c>
      <c r="L499" s="504">
        <f>IFERROR(INDEX($S$100:$S$399,MATCH(B499,$A$100:$A$399,0)),"")</f>
        <v>0</v>
      </c>
      <c r="M499" s="504">
        <f>IF(B499="","",IFERROR(IF(OR(AND(H499="기초반영",OR(B499="U001",B499="U002",B499="U003"),C499="",E499=DATE(2026,3,1)),AND(H499="원장",C499&gt;=64,C499&lt;=500,INDEX(잔액!$I:$I,MAX(64,C499))="OK",E499=INDEX(잔액!$A:$A,MAX(64,C499)),F499=INDEX(잔액!$C:$C,MAX(64,C499)),OR(F499=J499,F499="결제대금비",AND(B499="U008",C499=223,J499="경조사비",F499="명절비"),AND(B499="U008",C499=208,J499="경조사비",F499="임시보관",SUMIF($C$430:$C$729,C499,$D$430:$D$729)&lt;=39000)),OR(COUNTIF($A$8:$A$12,F499)=1,F499="결제대금비",AND(B499="U008",C499=208,J499="경조사비",F499="임시보관",SUMIF($C$430:$C$729,C499,$D$430:$D$729)&lt;=39000)),COUNTIF($A$8:$A$12,INDEX(잔액!$D:$D,MAX(64,C499)))=0,SUMIF($C$430:$C$729,C499,$D$430:$D$729)&lt;=INDEX(잔액!$Y:$Y,MAX(64,C499)))),1,0),0))</f>
      </c>
      <c r="N499" s="504">
        <f>IF(B499="","",IFERROR(IF(AND(COUNTIF($A$100:$A$399,B499)=1,INDEX($R$100:$R$399,MATCH(B499,$A$100:$A$399,0))="OK",D499&gt;0,ISNUMBER(E499),M499=1,SUMIF($B$430:$B$729,B499,$D$430:$D$729)&lt;=INDEX($E$100:$E$399,MATCH(B499,$A$100:$A$399,0))),"OK","확인: 정산연결"),"확인: 정산연결"))</f>
      </c>
      <c r="O499" s="526">
        <f>IF(N499="OK",D499,0)</f>
        <v>0</v>
      </c>
    </row>
    <row r="500" hidden="1" outlineLevel="1">
      <c r="A500" s="504">
        <f>IF(B500="","","S"&amp;ROW())</f>
      </c>
      <c r="B500" s="522" t="n"/>
      <c r="C500" s="522" t="n"/>
      <c r="D500" s="525">
        <f>IF(C500="","",IFERROR(INDEX(잔액!$Y:$Y,MAX(64,C500)),0))</f>
      </c>
      <c r="E500" s="524">
        <f>IF(C500="","",IFERROR(INDEX(잔액!$A:$A,MAX(64,C500)),""))</f>
      </c>
      <c r="F500" s="504">
        <f>IF(C500="","",IFERROR(INDEX(잔액!$C:$C,MAX(64,C500)),""))</f>
      </c>
      <c r="G500" s="504">
        <f>IF(C500="","",IF(INDEX(잔액!$K:$K,MAX(64,C500))&lt;&gt;"",INDEX(잔액!$K:$K,MAX(64,C500)),INDEX(잔액!$D:$D,MAX(64,C500))))</f>
      </c>
      <c r="H500" s="504" t="inlineStr">
        <is>
          <t>원장</t>
        </is>
      </c>
      <c r="J500" s="504">
        <f>IFERROR(INDEX($C$100:$C$399,MATCH(B500,$A$100:$A$399,0)),"")</f>
        <v>0</v>
      </c>
      <c r="K500" s="524">
        <f>IFERROR(INDEX($D$100:$D$399,MATCH(B500,$A$100:$A$399,0)),"")</f>
      </c>
      <c r="L500" s="504">
        <f>IFERROR(INDEX($S$100:$S$399,MATCH(B500,$A$100:$A$399,0)),"")</f>
        <v>0</v>
      </c>
      <c r="M500" s="504">
        <f>IF(B500="","",IFERROR(IF(OR(AND(H500="기초반영",OR(B500="U001",B500="U002",B500="U003"),C500="",E500=DATE(2026,3,1)),AND(H500="원장",C500&gt;=64,C500&lt;=500,INDEX(잔액!$I:$I,MAX(64,C500))="OK",E500=INDEX(잔액!$A:$A,MAX(64,C500)),F500=INDEX(잔액!$C:$C,MAX(64,C500)),OR(F500=J500,F500="결제대금비",AND(B500="U008",C500=223,J500="경조사비",F500="명절비"),AND(B500="U008",C500=208,J500="경조사비",F500="임시보관",SUMIF($C$430:$C$729,C500,$D$430:$D$729)&lt;=39000)),OR(COUNTIF($A$8:$A$12,F500)=1,F500="결제대금비",AND(B500="U008",C500=208,J500="경조사비",F500="임시보관",SUMIF($C$430:$C$729,C500,$D$430:$D$729)&lt;=39000)),COUNTIF($A$8:$A$12,INDEX(잔액!$D:$D,MAX(64,C500)))=0,SUMIF($C$430:$C$729,C500,$D$430:$D$729)&lt;=INDEX(잔액!$Y:$Y,MAX(64,C500)))),1,0),0))</f>
      </c>
      <c r="N500" s="504">
        <f>IF(B500="","",IFERROR(IF(AND(COUNTIF($A$100:$A$399,B500)=1,INDEX($R$100:$R$399,MATCH(B500,$A$100:$A$399,0))="OK",D500&gt;0,ISNUMBER(E500),M500=1,SUMIF($B$430:$B$729,B500,$D$430:$D$729)&lt;=INDEX($E$100:$E$399,MATCH(B500,$A$100:$A$399,0))),"OK","확인: 정산연결"),"확인: 정산연결"))</f>
      </c>
      <c r="O500" s="526">
        <f>IF(N500="OK",D500,0)</f>
        <v>0</v>
      </c>
    </row>
    <row r="501" hidden="1" outlineLevel="1">
      <c r="A501" s="504">
        <f>IF(B501="","","S"&amp;ROW())</f>
      </c>
      <c r="B501" s="522" t="n"/>
      <c r="C501" s="522" t="n"/>
      <c r="D501" s="525">
        <f>IF(C501="","",IFERROR(INDEX(잔액!$Y:$Y,MAX(64,C501)),0))</f>
      </c>
      <c r="E501" s="524">
        <f>IF(C501="","",IFERROR(INDEX(잔액!$A:$A,MAX(64,C501)),""))</f>
      </c>
      <c r="F501" s="504">
        <f>IF(C501="","",IFERROR(INDEX(잔액!$C:$C,MAX(64,C501)),""))</f>
      </c>
      <c r="G501" s="504">
        <f>IF(C501="","",IF(INDEX(잔액!$K:$K,MAX(64,C501))&lt;&gt;"",INDEX(잔액!$K:$K,MAX(64,C501)),INDEX(잔액!$D:$D,MAX(64,C501))))</f>
      </c>
      <c r="H501" s="504" t="inlineStr">
        <is>
          <t>원장</t>
        </is>
      </c>
      <c r="J501" s="504">
        <f>IFERROR(INDEX($C$100:$C$399,MATCH(B501,$A$100:$A$399,0)),"")</f>
        <v>0</v>
      </c>
      <c r="K501" s="524">
        <f>IFERROR(INDEX($D$100:$D$399,MATCH(B501,$A$100:$A$399,0)),"")</f>
      </c>
      <c r="L501" s="504">
        <f>IFERROR(INDEX($S$100:$S$399,MATCH(B501,$A$100:$A$399,0)),"")</f>
        <v>0</v>
      </c>
      <c r="M501" s="504">
        <f>IF(B501="","",IFERROR(IF(OR(AND(H501="기초반영",OR(B501="U001",B501="U002",B501="U003"),C501="",E501=DATE(2026,3,1)),AND(H501="원장",C501&gt;=64,C501&lt;=500,INDEX(잔액!$I:$I,MAX(64,C501))="OK",E501=INDEX(잔액!$A:$A,MAX(64,C501)),F501=INDEX(잔액!$C:$C,MAX(64,C501)),OR(F501=J501,F501="결제대금비",AND(B501="U008",C501=223,J501="경조사비",F501="명절비"),AND(B501="U008",C501=208,J501="경조사비",F501="임시보관",SUMIF($C$430:$C$729,C501,$D$430:$D$729)&lt;=39000)),OR(COUNTIF($A$8:$A$12,F501)=1,F501="결제대금비",AND(B501="U008",C501=208,J501="경조사비",F501="임시보관",SUMIF($C$430:$C$729,C501,$D$430:$D$729)&lt;=39000)),COUNTIF($A$8:$A$12,INDEX(잔액!$D:$D,MAX(64,C501)))=0,SUMIF($C$430:$C$729,C501,$D$430:$D$729)&lt;=INDEX(잔액!$Y:$Y,MAX(64,C501)))),1,0),0))</f>
      </c>
      <c r="N501" s="504">
        <f>IF(B501="","",IFERROR(IF(AND(COUNTIF($A$100:$A$399,B501)=1,INDEX($R$100:$R$399,MATCH(B501,$A$100:$A$399,0))="OK",D501&gt;0,ISNUMBER(E501),M501=1,SUMIF($B$430:$B$729,B501,$D$430:$D$729)&lt;=INDEX($E$100:$E$399,MATCH(B501,$A$100:$A$399,0))),"OK","확인: 정산연결"),"확인: 정산연결"))</f>
      </c>
      <c r="O501" s="526">
        <f>IF(N501="OK",D501,0)</f>
        <v>0</v>
      </c>
    </row>
    <row r="502" hidden="1" outlineLevel="1">
      <c r="A502" s="504">
        <f>IF(B502="","","S"&amp;ROW())</f>
      </c>
      <c r="B502" s="522" t="n"/>
      <c r="C502" s="522" t="n"/>
      <c r="D502" s="525">
        <f>IF(C502="","",IFERROR(INDEX(잔액!$Y:$Y,MAX(64,C502)),0))</f>
      </c>
      <c r="E502" s="524">
        <f>IF(C502="","",IFERROR(INDEX(잔액!$A:$A,MAX(64,C502)),""))</f>
      </c>
      <c r="F502" s="504">
        <f>IF(C502="","",IFERROR(INDEX(잔액!$C:$C,MAX(64,C502)),""))</f>
      </c>
      <c r="G502" s="504">
        <f>IF(C502="","",IF(INDEX(잔액!$K:$K,MAX(64,C502))&lt;&gt;"",INDEX(잔액!$K:$K,MAX(64,C502)),INDEX(잔액!$D:$D,MAX(64,C502))))</f>
      </c>
      <c r="H502" s="504" t="inlineStr">
        <is>
          <t>원장</t>
        </is>
      </c>
      <c r="J502" s="504">
        <f>IFERROR(INDEX($C$100:$C$399,MATCH(B502,$A$100:$A$399,0)),"")</f>
        <v>0</v>
      </c>
      <c r="K502" s="524">
        <f>IFERROR(INDEX($D$100:$D$399,MATCH(B502,$A$100:$A$399,0)),"")</f>
      </c>
      <c r="L502" s="504">
        <f>IFERROR(INDEX($S$100:$S$399,MATCH(B502,$A$100:$A$399,0)),"")</f>
        <v>0</v>
      </c>
      <c r="M502" s="504">
        <f>IF(B502="","",IFERROR(IF(OR(AND(H502="기초반영",OR(B502="U001",B502="U002",B502="U003"),C502="",E502=DATE(2026,3,1)),AND(H502="원장",C502&gt;=64,C502&lt;=500,INDEX(잔액!$I:$I,MAX(64,C502))="OK",E502=INDEX(잔액!$A:$A,MAX(64,C502)),F502=INDEX(잔액!$C:$C,MAX(64,C502)),OR(F502=J502,F502="결제대금비",AND(B502="U008",C502=223,J502="경조사비",F502="명절비"),AND(B502="U008",C502=208,J502="경조사비",F502="임시보관",SUMIF($C$430:$C$729,C502,$D$430:$D$729)&lt;=39000)),OR(COUNTIF($A$8:$A$12,F502)=1,F502="결제대금비",AND(B502="U008",C502=208,J502="경조사비",F502="임시보관",SUMIF($C$430:$C$729,C502,$D$430:$D$729)&lt;=39000)),COUNTIF($A$8:$A$12,INDEX(잔액!$D:$D,MAX(64,C502)))=0,SUMIF($C$430:$C$729,C502,$D$430:$D$729)&lt;=INDEX(잔액!$Y:$Y,MAX(64,C502)))),1,0),0))</f>
      </c>
      <c r="N502" s="504">
        <f>IF(B502="","",IFERROR(IF(AND(COUNTIF($A$100:$A$399,B502)=1,INDEX($R$100:$R$399,MATCH(B502,$A$100:$A$399,0))="OK",D502&gt;0,ISNUMBER(E502),M502=1,SUMIF($B$430:$B$729,B502,$D$430:$D$729)&lt;=INDEX($E$100:$E$399,MATCH(B502,$A$100:$A$399,0))),"OK","확인: 정산연결"),"확인: 정산연결"))</f>
      </c>
      <c r="O502" s="526">
        <f>IF(N502="OK",D502,0)</f>
        <v>0</v>
      </c>
    </row>
    <row r="503" hidden="1" outlineLevel="1">
      <c r="A503" s="504">
        <f>IF(B503="","","S"&amp;ROW())</f>
      </c>
      <c r="B503" s="522" t="n"/>
      <c r="C503" s="522" t="n"/>
      <c r="D503" s="525">
        <f>IF(C503="","",IFERROR(INDEX(잔액!$Y:$Y,MAX(64,C503)),0))</f>
      </c>
      <c r="E503" s="524">
        <f>IF(C503="","",IFERROR(INDEX(잔액!$A:$A,MAX(64,C503)),""))</f>
      </c>
      <c r="F503" s="504">
        <f>IF(C503="","",IFERROR(INDEX(잔액!$C:$C,MAX(64,C503)),""))</f>
      </c>
      <c r="G503" s="504">
        <f>IF(C503="","",IF(INDEX(잔액!$K:$K,MAX(64,C503))&lt;&gt;"",INDEX(잔액!$K:$K,MAX(64,C503)),INDEX(잔액!$D:$D,MAX(64,C503))))</f>
      </c>
      <c r="H503" s="504" t="inlineStr">
        <is>
          <t>원장</t>
        </is>
      </c>
      <c r="J503" s="504">
        <f>IFERROR(INDEX($C$100:$C$399,MATCH(B503,$A$100:$A$399,0)),"")</f>
        <v>0</v>
      </c>
      <c r="K503" s="524">
        <f>IFERROR(INDEX($D$100:$D$399,MATCH(B503,$A$100:$A$399,0)),"")</f>
      </c>
      <c r="L503" s="504">
        <f>IFERROR(INDEX($S$100:$S$399,MATCH(B503,$A$100:$A$399,0)),"")</f>
        <v>0</v>
      </c>
      <c r="M503" s="504">
        <f>IF(B503="","",IFERROR(IF(OR(AND(H503="기초반영",OR(B503="U001",B503="U002",B503="U003"),C503="",E503=DATE(2026,3,1)),AND(H503="원장",C503&gt;=64,C503&lt;=500,INDEX(잔액!$I:$I,MAX(64,C503))="OK",E503=INDEX(잔액!$A:$A,MAX(64,C503)),F503=INDEX(잔액!$C:$C,MAX(64,C503)),OR(F503=J503,F503="결제대금비",AND(B503="U008",C503=223,J503="경조사비",F503="명절비"),AND(B503="U008",C503=208,J503="경조사비",F503="임시보관",SUMIF($C$430:$C$729,C503,$D$430:$D$729)&lt;=39000)),OR(COUNTIF($A$8:$A$12,F503)=1,F503="결제대금비",AND(B503="U008",C503=208,J503="경조사비",F503="임시보관",SUMIF($C$430:$C$729,C503,$D$430:$D$729)&lt;=39000)),COUNTIF($A$8:$A$12,INDEX(잔액!$D:$D,MAX(64,C503)))=0,SUMIF($C$430:$C$729,C503,$D$430:$D$729)&lt;=INDEX(잔액!$Y:$Y,MAX(64,C503)))),1,0),0))</f>
      </c>
      <c r="N503" s="504">
        <f>IF(B503="","",IFERROR(IF(AND(COUNTIF($A$100:$A$399,B503)=1,INDEX($R$100:$R$399,MATCH(B503,$A$100:$A$399,0))="OK",D503&gt;0,ISNUMBER(E503),M503=1,SUMIF($B$430:$B$729,B503,$D$430:$D$729)&lt;=INDEX($E$100:$E$399,MATCH(B503,$A$100:$A$399,0))),"OK","확인: 정산연결"),"확인: 정산연결"))</f>
      </c>
      <c r="O503" s="526">
        <f>IF(N503="OK",D503,0)</f>
        <v>0</v>
      </c>
    </row>
    <row r="504" hidden="1" outlineLevel="1">
      <c r="A504" s="504">
        <f>IF(B504="","","S"&amp;ROW())</f>
      </c>
      <c r="B504" s="522" t="n"/>
      <c r="C504" s="522" t="n"/>
      <c r="D504" s="525">
        <f>IF(C504="","",IFERROR(INDEX(잔액!$Y:$Y,MAX(64,C504)),0))</f>
      </c>
      <c r="E504" s="524">
        <f>IF(C504="","",IFERROR(INDEX(잔액!$A:$A,MAX(64,C504)),""))</f>
      </c>
      <c r="F504" s="504">
        <f>IF(C504="","",IFERROR(INDEX(잔액!$C:$C,MAX(64,C504)),""))</f>
      </c>
      <c r="G504" s="504">
        <f>IF(C504="","",IF(INDEX(잔액!$K:$K,MAX(64,C504))&lt;&gt;"",INDEX(잔액!$K:$K,MAX(64,C504)),INDEX(잔액!$D:$D,MAX(64,C504))))</f>
      </c>
      <c r="H504" s="504" t="inlineStr">
        <is>
          <t>원장</t>
        </is>
      </c>
      <c r="J504" s="504">
        <f>IFERROR(INDEX($C$100:$C$399,MATCH(B504,$A$100:$A$399,0)),"")</f>
        <v>0</v>
      </c>
      <c r="K504" s="524">
        <f>IFERROR(INDEX($D$100:$D$399,MATCH(B504,$A$100:$A$399,0)),"")</f>
      </c>
      <c r="L504" s="504">
        <f>IFERROR(INDEX($S$100:$S$399,MATCH(B504,$A$100:$A$399,0)),"")</f>
        <v>0</v>
      </c>
      <c r="M504" s="504">
        <f>IF(B504="","",IFERROR(IF(OR(AND(H504="기초반영",OR(B504="U001",B504="U002",B504="U003"),C504="",E504=DATE(2026,3,1)),AND(H504="원장",C504&gt;=64,C504&lt;=500,INDEX(잔액!$I:$I,MAX(64,C504))="OK",E504=INDEX(잔액!$A:$A,MAX(64,C504)),F504=INDEX(잔액!$C:$C,MAX(64,C504)),OR(F504=J504,F504="결제대금비",AND(B504="U008",C504=223,J504="경조사비",F504="명절비"),AND(B504="U008",C504=208,J504="경조사비",F504="임시보관",SUMIF($C$430:$C$729,C504,$D$430:$D$729)&lt;=39000)),OR(COUNTIF($A$8:$A$12,F504)=1,F504="결제대금비",AND(B504="U008",C504=208,J504="경조사비",F504="임시보관",SUMIF($C$430:$C$729,C504,$D$430:$D$729)&lt;=39000)),COUNTIF($A$8:$A$12,INDEX(잔액!$D:$D,MAX(64,C504)))=0,SUMIF($C$430:$C$729,C504,$D$430:$D$729)&lt;=INDEX(잔액!$Y:$Y,MAX(64,C504)))),1,0),0))</f>
      </c>
      <c r="N504" s="504">
        <f>IF(B504="","",IFERROR(IF(AND(COUNTIF($A$100:$A$399,B504)=1,INDEX($R$100:$R$399,MATCH(B504,$A$100:$A$399,0))="OK",D504&gt;0,ISNUMBER(E504),M504=1,SUMIF($B$430:$B$729,B504,$D$430:$D$729)&lt;=INDEX($E$100:$E$399,MATCH(B504,$A$100:$A$399,0))),"OK","확인: 정산연결"),"확인: 정산연결"))</f>
      </c>
      <c r="O504" s="526">
        <f>IF(N504="OK",D504,0)</f>
        <v>0</v>
      </c>
    </row>
    <row r="505" hidden="1" outlineLevel="1">
      <c r="A505" s="504">
        <f>IF(B505="","","S"&amp;ROW())</f>
      </c>
      <c r="B505" s="522" t="n"/>
      <c r="C505" s="522" t="n"/>
      <c r="D505" s="525">
        <f>IF(C505="","",IFERROR(INDEX(잔액!$Y:$Y,MAX(64,C505)),0))</f>
      </c>
      <c r="E505" s="524">
        <f>IF(C505="","",IFERROR(INDEX(잔액!$A:$A,MAX(64,C505)),""))</f>
      </c>
      <c r="F505" s="504">
        <f>IF(C505="","",IFERROR(INDEX(잔액!$C:$C,MAX(64,C505)),""))</f>
      </c>
      <c r="G505" s="504">
        <f>IF(C505="","",IF(INDEX(잔액!$K:$K,MAX(64,C505))&lt;&gt;"",INDEX(잔액!$K:$K,MAX(64,C505)),INDEX(잔액!$D:$D,MAX(64,C505))))</f>
      </c>
      <c r="H505" s="504" t="inlineStr">
        <is>
          <t>원장</t>
        </is>
      </c>
      <c r="J505" s="504">
        <f>IFERROR(INDEX($C$100:$C$399,MATCH(B505,$A$100:$A$399,0)),"")</f>
        <v>0</v>
      </c>
      <c r="K505" s="524">
        <f>IFERROR(INDEX($D$100:$D$399,MATCH(B505,$A$100:$A$399,0)),"")</f>
      </c>
      <c r="L505" s="504">
        <f>IFERROR(INDEX($S$100:$S$399,MATCH(B505,$A$100:$A$399,0)),"")</f>
        <v>0</v>
      </c>
      <c r="M505" s="504">
        <f>IF(B505="","",IFERROR(IF(OR(AND(H505="기초반영",OR(B505="U001",B505="U002",B505="U003"),C505="",E505=DATE(2026,3,1)),AND(H505="원장",C505&gt;=64,C505&lt;=500,INDEX(잔액!$I:$I,MAX(64,C505))="OK",E505=INDEX(잔액!$A:$A,MAX(64,C505)),F505=INDEX(잔액!$C:$C,MAX(64,C505)),OR(F505=J505,F505="결제대금비",AND(B505="U008",C505=223,J505="경조사비",F505="명절비"),AND(B505="U008",C505=208,J505="경조사비",F505="임시보관",SUMIF($C$430:$C$729,C505,$D$430:$D$729)&lt;=39000)),OR(COUNTIF($A$8:$A$12,F505)=1,F505="결제대금비",AND(B505="U008",C505=208,J505="경조사비",F505="임시보관",SUMIF($C$430:$C$729,C505,$D$430:$D$729)&lt;=39000)),COUNTIF($A$8:$A$12,INDEX(잔액!$D:$D,MAX(64,C505)))=0,SUMIF($C$430:$C$729,C505,$D$430:$D$729)&lt;=INDEX(잔액!$Y:$Y,MAX(64,C505)))),1,0),0))</f>
      </c>
      <c r="N505" s="504">
        <f>IF(B505="","",IFERROR(IF(AND(COUNTIF($A$100:$A$399,B505)=1,INDEX($R$100:$R$399,MATCH(B505,$A$100:$A$399,0))="OK",D505&gt;0,ISNUMBER(E505),M505=1,SUMIF($B$430:$B$729,B505,$D$430:$D$729)&lt;=INDEX($E$100:$E$399,MATCH(B505,$A$100:$A$399,0))),"OK","확인: 정산연결"),"확인: 정산연결"))</f>
      </c>
      <c r="O505" s="526">
        <f>IF(N505="OK",D505,0)</f>
        <v>0</v>
      </c>
    </row>
    <row r="506" hidden="1" outlineLevel="1">
      <c r="A506" s="504">
        <f>IF(B506="","","S"&amp;ROW())</f>
      </c>
      <c r="B506" s="522" t="n"/>
      <c r="C506" s="522" t="n"/>
      <c r="D506" s="525">
        <f>IF(C506="","",IFERROR(INDEX(잔액!$Y:$Y,MAX(64,C506)),0))</f>
      </c>
      <c r="E506" s="524">
        <f>IF(C506="","",IFERROR(INDEX(잔액!$A:$A,MAX(64,C506)),""))</f>
      </c>
      <c r="F506" s="504">
        <f>IF(C506="","",IFERROR(INDEX(잔액!$C:$C,MAX(64,C506)),""))</f>
      </c>
      <c r="G506" s="504">
        <f>IF(C506="","",IF(INDEX(잔액!$K:$K,MAX(64,C506))&lt;&gt;"",INDEX(잔액!$K:$K,MAX(64,C506)),INDEX(잔액!$D:$D,MAX(64,C506))))</f>
      </c>
      <c r="H506" s="504" t="inlineStr">
        <is>
          <t>원장</t>
        </is>
      </c>
      <c r="J506" s="504">
        <f>IFERROR(INDEX($C$100:$C$399,MATCH(B506,$A$100:$A$399,0)),"")</f>
        <v>0</v>
      </c>
      <c r="K506" s="524">
        <f>IFERROR(INDEX($D$100:$D$399,MATCH(B506,$A$100:$A$399,0)),"")</f>
      </c>
      <c r="L506" s="504">
        <f>IFERROR(INDEX($S$100:$S$399,MATCH(B506,$A$100:$A$399,0)),"")</f>
        <v>0</v>
      </c>
      <c r="M506" s="504">
        <f>IF(B506="","",IFERROR(IF(OR(AND(H506="기초반영",OR(B506="U001",B506="U002",B506="U003"),C506="",E506=DATE(2026,3,1)),AND(H506="원장",C506&gt;=64,C506&lt;=500,INDEX(잔액!$I:$I,MAX(64,C506))="OK",E506=INDEX(잔액!$A:$A,MAX(64,C506)),F506=INDEX(잔액!$C:$C,MAX(64,C506)),OR(F506=J506,F506="결제대금비",AND(B506="U008",C506=223,J506="경조사비",F506="명절비"),AND(B506="U008",C506=208,J506="경조사비",F506="임시보관",SUMIF($C$430:$C$729,C506,$D$430:$D$729)&lt;=39000)),OR(COUNTIF($A$8:$A$12,F506)=1,F506="결제대금비",AND(B506="U008",C506=208,J506="경조사비",F506="임시보관",SUMIF($C$430:$C$729,C506,$D$430:$D$729)&lt;=39000)),COUNTIF($A$8:$A$12,INDEX(잔액!$D:$D,MAX(64,C506)))=0,SUMIF($C$430:$C$729,C506,$D$430:$D$729)&lt;=INDEX(잔액!$Y:$Y,MAX(64,C506)))),1,0),0))</f>
      </c>
      <c r="N506" s="504">
        <f>IF(B506="","",IFERROR(IF(AND(COUNTIF($A$100:$A$399,B506)=1,INDEX($R$100:$R$399,MATCH(B506,$A$100:$A$399,0))="OK",D506&gt;0,ISNUMBER(E506),M506=1,SUMIF($B$430:$B$729,B506,$D$430:$D$729)&lt;=INDEX($E$100:$E$399,MATCH(B506,$A$100:$A$399,0))),"OK","확인: 정산연결"),"확인: 정산연결"))</f>
      </c>
      <c r="O506" s="526">
        <f>IF(N506="OK",D506,0)</f>
        <v>0</v>
      </c>
    </row>
    <row r="507" hidden="1" outlineLevel="1">
      <c r="A507" s="504">
        <f>IF(B507="","","S"&amp;ROW())</f>
      </c>
      <c r="B507" s="522" t="n"/>
      <c r="C507" s="522" t="n"/>
      <c r="D507" s="525">
        <f>IF(C507="","",IFERROR(INDEX(잔액!$Y:$Y,MAX(64,C507)),0))</f>
      </c>
      <c r="E507" s="524">
        <f>IF(C507="","",IFERROR(INDEX(잔액!$A:$A,MAX(64,C507)),""))</f>
      </c>
      <c r="F507" s="504">
        <f>IF(C507="","",IFERROR(INDEX(잔액!$C:$C,MAX(64,C507)),""))</f>
      </c>
      <c r="G507" s="504">
        <f>IF(C507="","",IF(INDEX(잔액!$K:$K,MAX(64,C507))&lt;&gt;"",INDEX(잔액!$K:$K,MAX(64,C507)),INDEX(잔액!$D:$D,MAX(64,C507))))</f>
      </c>
      <c r="H507" s="504" t="inlineStr">
        <is>
          <t>원장</t>
        </is>
      </c>
      <c r="J507" s="504">
        <f>IFERROR(INDEX($C$100:$C$399,MATCH(B507,$A$100:$A$399,0)),"")</f>
        <v>0</v>
      </c>
      <c r="K507" s="524">
        <f>IFERROR(INDEX($D$100:$D$399,MATCH(B507,$A$100:$A$399,0)),"")</f>
      </c>
      <c r="L507" s="504">
        <f>IFERROR(INDEX($S$100:$S$399,MATCH(B507,$A$100:$A$399,0)),"")</f>
        <v>0</v>
      </c>
      <c r="M507" s="504">
        <f>IF(B507="","",IFERROR(IF(OR(AND(H507="기초반영",OR(B507="U001",B507="U002",B507="U003"),C507="",E507=DATE(2026,3,1)),AND(H507="원장",C507&gt;=64,C507&lt;=500,INDEX(잔액!$I:$I,MAX(64,C507))="OK",E507=INDEX(잔액!$A:$A,MAX(64,C507)),F507=INDEX(잔액!$C:$C,MAX(64,C507)),OR(F507=J507,F507="결제대금비",AND(B507="U008",C507=223,J507="경조사비",F507="명절비"),AND(B507="U008",C507=208,J507="경조사비",F507="임시보관",SUMIF($C$430:$C$729,C507,$D$430:$D$729)&lt;=39000)),OR(COUNTIF($A$8:$A$12,F507)=1,F507="결제대금비",AND(B507="U008",C507=208,J507="경조사비",F507="임시보관",SUMIF($C$430:$C$729,C507,$D$430:$D$729)&lt;=39000)),COUNTIF($A$8:$A$12,INDEX(잔액!$D:$D,MAX(64,C507)))=0,SUMIF($C$430:$C$729,C507,$D$430:$D$729)&lt;=INDEX(잔액!$Y:$Y,MAX(64,C507)))),1,0),0))</f>
      </c>
      <c r="N507" s="504">
        <f>IF(B507="","",IFERROR(IF(AND(COUNTIF($A$100:$A$399,B507)=1,INDEX($R$100:$R$399,MATCH(B507,$A$100:$A$399,0))="OK",D507&gt;0,ISNUMBER(E507),M507=1,SUMIF($B$430:$B$729,B507,$D$430:$D$729)&lt;=INDEX($E$100:$E$399,MATCH(B507,$A$100:$A$399,0))),"OK","확인: 정산연결"),"확인: 정산연결"))</f>
      </c>
      <c r="O507" s="526">
        <f>IF(N507="OK",D507,0)</f>
        <v>0</v>
      </c>
    </row>
    <row r="508" hidden="1" outlineLevel="1">
      <c r="A508" s="504">
        <f>IF(B508="","","S"&amp;ROW())</f>
      </c>
      <c r="B508" s="522" t="n"/>
      <c r="C508" s="522" t="n"/>
      <c r="D508" s="525">
        <f>IF(C508="","",IFERROR(INDEX(잔액!$Y:$Y,MAX(64,C508)),0))</f>
      </c>
      <c r="E508" s="524">
        <f>IF(C508="","",IFERROR(INDEX(잔액!$A:$A,MAX(64,C508)),""))</f>
      </c>
      <c r="F508" s="504">
        <f>IF(C508="","",IFERROR(INDEX(잔액!$C:$C,MAX(64,C508)),""))</f>
      </c>
      <c r="G508" s="504">
        <f>IF(C508="","",IF(INDEX(잔액!$K:$K,MAX(64,C508))&lt;&gt;"",INDEX(잔액!$K:$K,MAX(64,C508)),INDEX(잔액!$D:$D,MAX(64,C508))))</f>
      </c>
      <c r="H508" s="504" t="inlineStr">
        <is>
          <t>원장</t>
        </is>
      </c>
      <c r="J508" s="504">
        <f>IFERROR(INDEX($C$100:$C$399,MATCH(B508,$A$100:$A$399,0)),"")</f>
        <v>0</v>
      </c>
      <c r="K508" s="524">
        <f>IFERROR(INDEX($D$100:$D$399,MATCH(B508,$A$100:$A$399,0)),"")</f>
      </c>
      <c r="L508" s="504">
        <f>IFERROR(INDEX($S$100:$S$399,MATCH(B508,$A$100:$A$399,0)),"")</f>
        <v>0</v>
      </c>
      <c r="M508" s="504">
        <f>IF(B508="","",IFERROR(IF(OR(AND(H508="기초반영",OR(B508="U001",B508="U002",B508="U003"),C508="",E508=DATE(2026,3,1)),AND(H508="원장",C508&gt;=64,C508&lt;=500,INDEX(잔액!$I:$I,MAX(64,C508))="OK",E508=INDEX(잔액!$A:$A,MAX(64,C508)),F508=INDEX(잔액!$C:$C,MAX(64,C508)),OR(F508=J508,F508="결제대금비",AND(B508="U008",C508=223,J508="경조사비",F508="명절비"),AND(B508="U008",C508=208,J508="경조사비",F508="임시보관",SUMIF($C$430:$C$729,C508,$D$430:$D$729)&lt;=39000)),OR(COUNTIF($A$8:$A$12,F508)=1,F508="결제대금비",AND(B508="U008",C508=208,J508="경조사비",F508="임시보관",SUMIF($C$430:$C$729,C508,$D$430:$D$729)&lt;=39000)),COUNTIF($A$8:$A$12,INDEX(잔액!$D:$D,MAX(64,C508)))=0,SUMIF($C$430:$C$729,C508,$D$430:$D$729)&lt;=INDEX(잔액!$Y:$Y,MAX(64,C508)))),1,0),0))</f>
      </c>
      <c r="N508" s="504">
        <f>IF(B508="","",IFERROR(IF(AND(COUNTIF($A$100:$A$399,B508)=1,INDEX($R$100:$R$399,MATCH(B508,$A$100:$A$399,0))="OK",D508&gt;0,ISNUMBER(E508),M508=1,SUMIF($B$430:$B$729,B508,$D$430:$D$729)&lt;=INDEX($E$100:$E$399,MATCH(B508,$A$100:$A$399,0))),"OK","확인: 정산연결"),"확인: 정산연결"))</f>
      </c>
      <c r="O508" s="526">
        <f>IF(N508="OK",D508,0)</f>
        <v>0</v>
      </c>
    </row>
    <row r="509" hidden="1" outlineLevel="1">
      <c r="A509" s="504">
        <f>IF(B509="","","S"&amp;ROW())</f>
      </c>
      <c r="B509" s="522" t="n"/>
      <c r="C509" s="522" t="n"/>
      <c r="D509" s="525">
        <f>IF(C509="","",IFERROR(INDEX(잔액!$Y:$Y,MAX(64,C509)),0))</f>
      </c>
      <c r="E509" s="524">
        <f>IF(C509="","",IFERROR(INDEX(잔액!$A:$A,MAX(64,C509)),""))</f>
      </c>
      <c r="F509" s="504">
        <f>IF(C509="","",IFERROR(INDEX(잔액!$C:$C,MAX(64,C509)),""))</f>
      </c>
      <c r="G509" s="504">
        <f>IF(C509="","",IF(INDEX(잔액!$K:$K,MAX(64,C509))&lt;&gt;"",INDEX(잔액!$K:$K,MAX(64,C509)),INDEX(잔액!$D:$D,MAX(64,C509))))</f>
      </c>
      <c r="H509" s="504" t="inlineStr">
        <is>
          <t>원장</t>
        </is>
      </c>
      <c r="J509" s="504">
        <f>IFERROR(INDEX($C$100:$C$399,MATCH(B509,$A$100:$A$399,0)),"")</f>
        <v>0</v>
      </c>
      <c r="K509" s="524">
        <f>IFERROR(INDEX($D$100:$D$399,MATCH(B509,$A$100:$A$399,0)),"")</f>
      </c>
      <c r="L509" s="504">
        <f>IFERROR(INDEX($S$100:$S$399,MATCH(B509,$A$100:$A$399,0)),"")</f>
        <v>0</v>
      </c>
      <c r="M509" s="504">
        <f>IF(B509="","",IFERROR(IF(OR(AND(H509="기초반영",OR(B509="U001",B509="U002",B509="U003"),C509="",E509=DATE(2026,3,1)),AND(H509="원장",C509&gt;=64,C509&lt;=500,INDEX(잔액!$I:$I,MAX(64,C509))="OK",E509=INDEX(잔액!$A:$A,MAX(64,C509)),F509=INDEX(잔액!$C:$C,MAX(64,C509)),OR(F509=J509,F509="결제대금비",AND(B509="U008",C509=223,J509="경조사비",F509="명절비"),AND(B509="U008",C509=208,J509="경조사비",F509="임시보관",SUMIF($C$430:$C$729,C509,$D$430:$D$729)&lt;=39000)),OR(COUNTIF($A$8:$A$12,F509)=1,F509="결제대금비",AND(B509="U008",C509=208,J509="경조사비",F509="임시보관",SUMIF($C$430:$C$729,C509,$D$430:$D$729)&lt;=39000)),COUNTIF($A$8:$A$12,INDEX(잔액!$D:$D,MAX(64,C509)))=0,SUMIF($C$430:$C$729,C509,$D$430:$D$729)&lt;=INDEX(잔액!$Y:$Y,MAX(64,C509)))),1,0),0))</f>
      </c>
      <c r="N509" s="504">
        <f>IF(B509="","",IFERROR(IF(AND(COUNTIF($A$100:$A$399,B509)=1,INDEX($R$100:$R$399,MATCH(B509,$A$100:$A$399,0))="OK",D509&gt;0,ISNUMBER(E509),M509=1,SUMIF($B$430:$B$729,B509,$D$430:$D$729)&lt;=INDEX($E$100:$E$399,MATCH(B509,$A$100:$A$399,0))),"OK","확인: 정산연결"),"확인: 정산연결"))</f>
      </c>
      <c r="O509" s="526">
        <f>IF(N509="OK",D509,0)</f>
        <v>0</v>
      </c>
    </row>
    <row r="510" hidden="1" outlineLevel="1">
      <c r="A510" s="504">
        <f>IF(B510="","","S"&amp;ROW())</f>
      </c>
      <c r="B510" s="522" t="n"/>
      <c r="C510" s="522" t="n"/>
      <c r="D510" s="525">
        <f>IF(C510="","",IFERROR(INDEX(잔액!$Y:$Y,MAX(64,C510)),0))</f>
      </c>
      <c r="E510" s="524">
        <f>IF(C510="","",IFERROR(INDEX(잔액!$A:$A,MAX(64,C510)),""))</f>
      </c>
      <c r="F510" s="504">
        <f>IF(C510="","",IFERROR(INDEX(잔액!$C:$C,MAX(64,C510)),""))</f>
      </c>
      <c r="G510" s="504">
        <f>IF(C510="","",IF(INDEX(잔액!$K:$K,MAX(64,C510))&lt;&gt;"",INDEX(잔액!$K:$K,MAX(64,C510)),INDEX(잔액!$D:$D,MAX(64,C510))))</f>
      </c>
      <c r="H510" s="504" t="inlineStr">
        <is>
          <t>원장</t>
        </is>
      </c>
      <c r="J510" s="504">
        <f>IFERROR(INDEX($C$100:$C$399,MATCH(B510,$A$100:$A$399,0)),"")</f>
        <v>0</v>
      </c>
      <c r="K510" s="524">
        <f>IFERROR(INDEX($D$100:$D$399,MATCH(B510,$A$100:$A$399,0)),"")</f>
      </c>
      <c r="L510" s="504">
        <f>IFERROR(INDEX($S$100:$S$399,MATCH(B510,$A$100:$A$399,0)),"")</f>
        <v>0</v>
      </c>
      <c r="M510" s="504">
        <f>IF(B510="","",IFERROR(IF(OR(AND(H510="기초반영",OR(B510="U001",B510="U002",B510="U003"),C510="",E510=DATE(2026,3,1)),AND(H510="원장",C510&gt;=64,C510&lt;=500,INDEX(잔액!$I:$I,MAX(64,C510))="OK",E510=INDEX(잔액!$A:$A,MAX(64,C510)),F510=INDEX(잔액!$C:$C,MAX(64,C510)),OR(F510=J510,F510="결제대금비",AND(B510="U008",C510=223,J510="경조사비",F510="명절비"),AND(B510="U008",C510=208,J510="경조사비",F510="임시보관",SUMIF($C$430:$C$729,C510,$D$430:$D$729)&lt;=39000)),OR(COUNTIF($A$8:$A$12,F510)=1,F510="결제대금비",AND(B510="U008",C510=208,J510="경조사비",F510="임시보관",SUMIF($C$430:$C$729,C510,$D$430:$D$729)&lt;=39000)),COUNTIF($A$8:$A$12,INDEX(잔액!$D:$D,MAX(64,C510)))=0,SUMIF($C$430:$C$729,C510,$D$430:$D$729)&lt;=INDEX(잔액!$Y:$Y,MAX(64,C510)))),1,0),0))</f>
      </c>
      <c r="N510" s="504">
        <f>IF(B510="","",IFERROR(IF(AND(COUNTIF($A$100:$A$399,B510)=1,INDEX($R$100:$R$399,MATCH(B510,$A$100:$A$399,0))="OK",D510&gt;0,ISNUMBER(E510),M510=1,SUMIF($B$430:$B$729,B510,$D$430:$D$729)&lt;=INDEX($E$100:$E$399,MATCH(B510,$A$100:$A$399,0))),"OK","확인: 정산연결"),"확인: 정산연결"))</f>
      </c>
      <c r="O510" s="526">
        <f>IF(N510="OK",D510,0)</f>
        <v>0</v>
      </c>
    </row>
    <row r="511" hidden="1" outlineLevel="1">
      <c r="A511" s="504">
        <f>IF(B511="","","S"&amp;ROW())</f>
      </c>
      <c r="B511" s="522" t="n"/>
      <c r="C511" s="522" t="n"/>
      <c r="D511" s="525">
        <f>IF(C511="","",IFERROR(INDEX(잔액!$Y:$Y,MAX(64,C511)),0))</f>
      </c>
      <c r="E511" s="524">
        <f>IF(C511="","",IFERROR(INDEX(잔액!$A:$A,MAX(64,C511)),""))</f>
      </c>
      <c r="F511" s="504">
        <f>IF(C511="","",IFERROR(INDEX(잔액!$C:$C,MAX(64,C511)),""))</f>
      </c>
      <c r="G511" s="504">
        <f>IF(C511="","",IF(INDEX(잔액!$K:$K,MAX(64,C511))&lt;&gt;"",INDEX(잔액!$K:$K,MAX(64,C511)),INDEX(잔액!$D:$D,MAX(64,C511))))</f>
      </c>
      <c r="H511" s="504" t="inlineStr">
        <is>
          <t>원장</t>
        </is>
      </c>
      <c r="J511" s="504">
        <f>IFERROR(INDEX($C$100:$C$399,MATCH(B511,$A$100:$A$399,0)),"")</f>
        <v>0</v>
      </c>
      <c r="K511" s="524">
        <f>IFERROR(INDEX($D$100:$D$399,MATCH(B511,$A$100:$A$399,0)),"")</f>
      </c>
      <c r="L511" s="504">
        <f>IFERROR(INDEX($S$100:$S$399,MATCH(B511,$A$100:$A$399,0)),"")</f>
        <v>0</v>
      </c>
      <c r="M511" s="504">
        <f>IF(B511="","",IFERROR(IF(OR(AND(H511="기초반영",OR(B511="U001",B511="U002",B511="U003"),C511="",E511=DATE(2026,3,1)),AND(H511="원장",C511&gt;=64,C511&lt;=500,INDEX(잔액!$I:$I,MAX(64,C511))="OK",E511=INDEX(잔액!$A:$A,MAX(64,C511)),F511=INDEX(잔액!$C:$C,MAX(64,C511)),OR(F511=J511,F511="결제대금비",AND(B511="U008",C511=223,J511="경조사비",F511="명절비"),AND(B511="U008",C511=208,J511="경조사비",F511="임시보관",SUMIF($C$430:$C$729,C511,$D$430:$D$729)&lt;=39000)),OR(COUNTIF($A$8:$A$12,F511)=1,F511="결제대금비",AND(B511="U008",C511=208,J511="경조사비",F511="임시보관",SUMIF($C$430:$C$729,C511,$D$430:$D$729)&lt;=39000)),COUNTIF($A$8:$A$12,INDEX(잔액!$D:$D,MAX(64,C511)))=0,SUMIF($C$430:$C$729,C511,$D$430:$D$729)&lt;=INDEX(잔액!$Y:$Y,MAX(64,C511)))),1,0),0))</f>
      </c>
      <c r="N511" s="504">
        <f>IF(B511="","",IFERROR(IF(AND(COUNTIF($A$100:$A$399,B511)=1,INDEX($R$100:$R$399,MATCH(B511,$A$100:$A$399,0))="OK",D511&gt;0,ISNUMBER(E511),M511=1,SUMIF($B$430:$B$729,B511,$D$430:$D$729)&lt;=INDEX($E$100:$E$399,MATCH(B511,$A$100:$A$399,0))),"OK","확인: 정산연결"),"확인: 정산연결"))</f>
      </c>
      <c r="O511" s="526">
        <f>IF(N511="OK",D511,0)</f>
        <v>0</v>
      </c>
    </row>
    <row r="512" hidden="1" outlineLevel="1">
      <c r="A512" s="504">
        <f>IF(B512="","","S"&amp;ROW())</f>
      </c>
      <c r="B512" s="522" t="n"/>
      <c r="C512" s="522" t="n"/>
      <c r="D512" s="525">
        <f>IF(C512="","",IFERROR(INDEX(잔액!$Y:$Y,MAX(64,C512)),0))</f>
      </c>
      <c r="E512" s="524">
        <f>IF(C512="","",IFERROR(INDEX(잔액!$A:$A,MAX(64,C512)),""))</f>
      </c>
      <c r="F512" s="504">
        <f>IF(C512="","",IFERROR(INDEX(잔액!$C:$C,MAX(64,C512)),""))</f>
      </c>
      <c r="G512" s="504">
        <f>IF(C512="","",IF(INDEX(잔액!$K:$K,MAX(64,C512))&lt;&gt;"",INDEX(잔액!$K:$K,MAX(64,C512)),INDEX(잔액!$D:$D,MAX(64,C512))))</f>
      </c>
      <c r="H512" s="504" t="inlineStr">
        <is>
          <t>원장</t>
        </is>
      </c>
      <c r="J512" s="504">
        <f>IFERROR(INDEX($C$100:$C$399,MATCH(B512,$A$100:$A$399,0)),"")</f>
        <v>0</v>
      </c>
      <c r="K512" s="524">
        <f>IFERROR(INDEX($D$100:$D$399,MATCH(B512,$A$100:$A$399,0)),"")</f>
      </c>
      <c r="L512" s="504">
        <f>IFERROR(INDEX($S$100:$S$399,MATCH(B512,$A$100:$A$399,0)),"")</f>
        <v>0</v>
      </c>
      <c r="M512" s="504">
        <f>IF(B512="","",IFERROR(IF(OR(AND(H512="기초반영",OR(B512="U001",B512="U002",B512="U003"),C512="",E512=DATE(2026,3,1)),AND(H512="원장",C512&gt;=64,C512&lt;=500,INDEX(잔액!$I:$I,MAX(64,C512))="OK",E512=INDEX(잔액!$A:$A,MAX(64,C512)),F512=INDEX(잔액!$C:$C,MAX(64,C512)),OR(F512=J512,F512="결제대금비",AND(B512="U008",C512=223,J512="경조사비",F512="명절비"),AND(B512="U008",C512=208,J512="경조사비",F512="임시보관",SUMIF($C$430:$C$729,C512,$D$430:$D$729)&lt;=39000)),OR(COUNTIF($A$8:$A$12,F512)=1,F512="결제대금비",AND(B512="U008",C512=208,J512="경조사비",F512="임시보관",SUMIF($C$430:$C$729,C512,$D$430:$D$729)&lt;=39000)),COUNTIF($A$8:$A$12,INDEX(잔액!$D:$D,MAX(64,C512)))=0,SUMIF($C$430:$C$729,C512,$D$430:$D$729)&lt;=INDEX(잔액!$Y:$Y,MAX(64,C512)))),1,0),0))</f>
      </c>
      <c r="N512" s="504">
        <f>IF(B512="","",IFERROR(IF(AND(COUNTIF($A$100:$A$399,B512)=1,INDEX($R$100:$R$399,MATCH(B512,$A$100:$A$399,0))="OK",D512&gt;0,ISNUMBER(E512),M512=1,SUMIF($B$430:$B$729,B512,$D$430:$D$729)&lt;=INDEX($E$100:$E$399,MATCH(B512,$A$100:$A$399,0))),"OK","확인: 정산연결"),"확인: 정산연결"))</f>
      </c>
      <c r="O512" s="526">
        <f>IF(N512="OK",D512,0)</f>
        <v>0</v>
      </c>
    </row>
    <row r="513" hidden="1" outlineLevel="1">
      <c r="A513" s="504">
        <f>IF(B513="","","S"&amp;ROW())</f>
      </c>
      <c r="B513" s="522" t="n"/>
      <c r="C513" s="522" t="n"/>
      <c r="D513" s="525">
        <f>IF(C513="","",IFERROR(INDEX(잔액!$Y:$Y,MAX(64,C513)),0))</f>
      </c>
      <c r="E513" s="524">
        <f>IF(C513="","",IFERROR(INDEX(잔액!$A:$A,MAX(64,C513)),""))</f>
      </c>
      <c r="F513" s="504">
        <f>IF(C513="","",IFERROR(INDEX(잔액!$C:$C,MAX(64,C513)),""))</f>
      </c>
      <c r="G513" s="504">
        <f>IF(C513="","",IF(INDEX(잔액!$K:$K,MAX(64,C513))&lt;&gt;"",INDEX(잔액!$K:$K,MAX(64,C513)),INDEX(잔액!$D:$D,MAX(64,C513))))</f>
      </c>
      <c r="H513" s="504" t="inlineStr">
        <is>
          <t>원장</t>
        </is>
      </c>
      <c r="J513" s="504">
        <f>IFERROR(INDEX($C$100:$C$399,MATCH(B513,$A$100:$A$399,0)),"")</f>
        <v>0</v>
      </c>
      <c r="K513" s="524">
        <f>IFERROR(INDEX($D$100:$D$399,MATCH(B513,$A$100:$A$399,0)),"")</f>
      </c>
      <c r="L513" s="504">
        <f>IFERROR(INDEX($S$100:$S$399,MATCH(B513,$A$100:$A$399,0)),"")</f>
        <v>0</v>
      </c>
      <c r="M513" s="504">
        <f>IF(B513="","",IFERROR(IF(OR(AND(H513="기초반영",OR(B513="U001",B513="U002",B513="U003"),C513="",E513=DATE(2026,3,1)),AND(H513="원장",C513&gt;=64,C513&lt;=500,INDEX(잔액!$I:$I,MAX(64,C513))="OK",E513=INDEX(잔액!$A:$A,MAX(64,C513)),F513=INDEX(잔액!$C:$C,MAX(64,C513)),OR(F513=J513,F513="결제대금비",AND(B513="U008",C513=223,J513="경조사비",F513="명절비"),AND(B513="U008",C513=208,J513="경조사비",F513="임시보관",SUMIF($C$430:$C$729,C513,$D$430:$D$729)&lt;=39000)),OR(COUNTIF($A$8:$A$12,F513)=1,F513="결제대금비",AND(B513="U008",C513=208,J513="경조사비",F513="임시보관",SUMIF($C$430:$C$729,C513,$D$430:$D$729)&lt;=39000)),COUNTIF($A$8:$A$12,INDEX(잔액!$D:$D,MAX(64,C513)))=0,SUMIF($C$430:$C$729,C513,$D$430:$D$729)&lt;=INDEX(잔액!$Y:$Y,MAX(64,C513)))),1,0),0))</f>
      </c>
      <c r="N513" s="504">
        <f>IF(B513="","",IFERROR(IF(AND(COUNTIF($A$100:$A$399,B513)=1,INDEX($R$100:$R$399,MATCH(B513,$A$100:$A$399,0))="OK",D513&gt;0,ISNUMBER(E513),M513=1,SUMIF($B$430:$B$729,B513,$D$430:$D$729)&lt;=INDEX($E$100:$E$399,MATCH(B513,$A$100:$A$399,0))),"OK","확인: 정산연결"),"확인: 정산연결"))</f>
      </c>
      <c r="O513" s="526">
        <f>IF(N513="OK",D513,0)</f>
        <v>0</v>
      </c>
    </row>
    <row r="514" hidden="1" outlineLevel="1">
      <c r="A514" s="504">
        <f>IF(B514="","","S"&amp;ROW())</f>
      </c>
      <c r="B514" s="522" t="n"/>
      <c r="C514" s="522" t="n"/>
      <c r="D514" s="525">
        <f>IF(C514="","",IFERROR(INDEX(잔액!$Y:$Y,MAX(64,C514)),0))</f>
      </c>
      <c r="E514" s="524">
        <f>IF(C514="","",IFERROR(INDEX(잔액!$A:$A,MAX(64,C514)),""))</f>
      </c>
      <c r="F514" s="504">
        <f>IF(C514="","",IFERROR(INDEX(잔액!$C:$C,MAX(64,C514)),""))</f>
      </c>
      <c r="G514" s="504">
        <f>IF(C514="","",IF(INDEX(잔액!$K:$K,MAX(64,C514))&lt;&gt;"",INDEX(잔액!$K:$K,MAX(64,C514)),INDEX(잔액!$D:$D,MAX(64,C514))))</f>
      </c>
      <c r="H514" s="504" t="inlineStr">
        <is>
          <t>원장</t>
        </is>
      </c>
      <c r="J514" s="504">
        <f>IFERROR(INDEX($C$100:$C$399,MATCH(B514,$A$100:$A$399,0)),"")</f>
        <v>0</v>
      </c>
      <c r="K514" s="524">
        <f>IFERROR(INDEX($D$100:$D$399,MATCH(B514,$A$100:$A$399,0)),"")</f>
      </c>
      <c r="L514" s="504">
        <f>IFERROR(INDEX($S$100:$S$399,MATCH(B514,$A$100:$A$399,0)),"")</f>
        <v>0</v>
      </c>
      <c r="M514" s="504">
        <f>IF(B514="","",IFERROR(IF(OR(AND(H514="기초반영",OR(B514="U001",B514="U002",B514="U003"),C514="",E514=DATE(2026,3,1)),AND(H514="원장",C514&gt;=64,C514&lt;=500,INDEX(잔액!$I:$I,MAX(64,C514))="OK",E514=INDEX(잔액!$A:$A,MAX(64,C514)),F514=INDEX(잔액!$C:$C,MAX(64,C514)),OR(F514=J514,F514="결제대금비",AND(B514="U008",C514=223,J514="경조사비",F514="명절비"),AND(B514="U008",C514=208,J514="경조사비",F514="임시보관",SUMIF($C$430:$C$729,C514,$D$430:$D$729)&lt;=39000)),OR(COUNTIF($A$8:$A$12,F514)=1,F514="결제대금비",AND(B514="U008",C514=208,J514="경조사비",F514="임시보관",SUMIF($C$430:$C$729,C514,$D$430:$D$729)&lt;=39000)),COUNTIF($A$8:$A$12,INDEX(잔액!$D:$D,MAX(64,C514)))=0,SUMIF($C$430:$C$729,C514,$D$430:$D$729)&lt;=INDEX(잔액!$Y:$Y,MAX(64,C514)))),1,0),0))</f>
      </c>
      <c r="N514" s="504">
        <f>IF(B514="","",IFERROR(IF(AND(COUNTIF($A$100:$A$399,B514)=1,INDEX($R$100:$R$399,MATCH(B514,$A$100:$A$399,0))="OK",D514&gt;0,ISNUMBER(E514),M514=1,SUMIF($B$430:$B$729,B514,$D$430:$D$729)&lt;=INDEX($E$100:$E$399,MATCH(B514,$A$100:$A$399,0))),"OK","확인: 정산연결"),"확인: 정산연결"))</f>
      </c>
      <c r="O514" s="526">
        <f>IF(N514="OK",D514,0)</f>
        <v>0</v>
      </c>
    </row>
    <row r="515" hidden="1" outlineLevel="1">
      <c r="A515" s="504">
        <f>IF(B515="","","S"&amp;ROW())</f>
      </c>
      <c r="B515" s="522" t="n"/>
      <c r="C515" s="522" t="n"/>
      <c r="D515" s="525">
        <f>IF(C515="","",IFERROR(INDEX(잔액!$Y:$Y,MAX(64,C515)),0))</f>
      </c>
      <c r="E515" s="524">
        <f>IF(C515="","",IFERROR(INDEX(잔액!$A:$A,MAX(64,C515)),""))</f>
      </c>
      <c r="F515" s="504">
        <f>IF(C515="","",IFERROR(INDEX(잔액!$C:$C,MAX(64,C515)),""))</f>
      </c>
      <c r="G515" s="504">
        <f>IF(C515="","",IF(INDEX(잔액!$K:$K,MAX(64,C515))&lt;&gt;"",INDEX(잔액!$K:$K,MAX(64,C515)),INDEX(잔액!$D:$D,MAX(64,C515))))</f>
      </c>
      <c r="H515" s="504" t="inlineStr">
        <is>
          <t>원장</t>
        </is>
      </c>
      <c r="J515" s="504">
        <f>IFERROR(INDEX($C$100:$C$399,MATCH(B515,$A$100:$A$399,0)),"")</f>
        <v>0</v>
      </c>
      <c r="K515" s="524">
        <f>IFERROR(INDEX($D$100:$D$399,MATCH(B515,$A$100:$A$399,0)),"")</f>
      </c>
      <c r="L515" s="504">
        <f>IFERROR(INDEX($S$100:$S$399,MATCH(B515,$A$100:$A$399,0)),"")</f>
        <v>0</v>
      </c>
      <c r="M515" s="504">
        <f>IF(B515="","",IFERROR(IF(OR(AND(H515="기초반영",OR(B515="U001",B515="U002",B515="U003"),C515="",E515=DATE(2026,3,1)),AND(H515="원장",C515&gt;=64,C515&lt;=500,INDEX(잔액!$I:$I,MAX(64,C515))="OK",E515=INDEX(잔액!$A:$A,MAX(64,C515)),F515=INDEX(잔액!$C:$C,MAX(64,C515)),OR(F515=J515,F515="결제대금비",AND(B515="U008",C515=223,J515="경조사비",F515="명절비"),AND(B515="U008",C515=208,J515="경조사비",F515="임시보관",SUMIF($C$430:$C$729,C515,$D$430:$D$729)&lt;=39000)),OR(COUNTIF($A$8:$A$12,F515)=1,F515="결제대금비",AND(B515="U008",C515=208,J515="경조사비",F515="임시보관",SUMIF($C$430:$C$729,C515,$D$430:$D$729)&lt;=39000)),COUNTIF($A$8:$A$12,INDEX(잔액!$D:$D,MAX(64,C515)))=0,SUMIF($C$430:$C$729,C515,$D$430:$D$729)&lt;=INDEX(잔액!$Y:$Y,MAX(64,C515)))),1,0),0))</f>
      </c>
      <c r="N515" s="504">
        <f>IF(B515="","",IFERROR(IF(AND(COUNTIF($A$100:$A$399,B515)=1,INDEX($R$100:$R$399,MATCH(B515,$A$100:$A$399,0))="OK",D515&gt;0,ISNUMBER(E515),M515=1,SUMIF($B$430:$B$729,B515,$D$430:$D$729)&lt;=INDEX($E$100:$E$399,MATCH(B515,$A$100:$A$399,0))),"OK","확인: 정산연결"),"확인: 정산연결"))</f>
      </c>
      <c r="O515" s="526">
        <f>IF(N515="OK",D515,0)</f>
        <v>0</v>
      </c>
    </row>
    <row r="516" hidden="1" outlineLevel="1">
      <c r="A516" s="504">
        <f>IF(B516="","","S"&amp;ROW())</f>
      </c>
      <c r="B516" s="522" t="n"/>
      <c r="C516" s="522" t="n"/>
      <c r="D516" s="525">
        <f>IF(C516="","",IFERROR(INDEX(잔액!$Y:$Y,MAX(64,C516)),0))</f>
      </c>
      <c r="E516" s="524">
        <f>IF(C516="","",IFERROR(INDEX(잔액!$A:$A,MAX(64,C516)),""))</f>
      </c>
      <c r="F516" s="504">
        <f>IF(C516="","",IFERROR(INDEX(잔액!$C:$C,MAX(64,C516)),""))</f>
      </c>
      <c r="G516" s="504">
        <f>IF(C516="","",IF(INDEX(잔액!$K:$K,MAX(64,C516))&lt;&gt;"",INDEX(잔액!$K:$K,MAX(64,C516)),INDEX(잔액!$D:$D,MAX(64,C516))))</f>
      </c>
      <c r="H516" s="504" t="inlineStr">
        <is>
          <t>원장</t>
        </is>
      </c>
      <c r="J516" s="504">
        <f>IFERROR(INDEX($C$100:$C$399,MATCH(B516,$A$100:$A$399,0)),"")</f>
        <v>0</v>
      </c>
      <c r="K516" s="524">
        <f>IFERROR(INDEX($D$100:$D$399,MATCH(B516,$A$100:$A$399,0)),"")</f>
      </c>
      <c r="L516" s="504">
        <f>IFERROR(INDEX($S$100:$S$399,MATCH(B516,$A$100:$A$399,0)),"")</f>
        <v>0</v>
      </c>
      <c r="M516" s="504">
        <f>IF(B516="","",IFERROR(IF(OR(AND(H516="기초반영",OR(B516="U001",B516="U002",B516="U003"),C516="",E516=DATE(2026,3,1)),AND(H516="원장",C516&gt;=64,C516&lt;=500,INDEX(잔액!$I:$I,MAX(64,C516))="OK",E516=INDEX(잔액!$A:$A,MAX(64,C516)),F516=INDEX(잔액!$C:$C,MAX(64,C516)),OR(F516=J516,F516="결제대금비",AND(B516="U008",C516=223,J516="경조사비",F516="명절비"),AND(B516="U008",C516=208,J516="경조사비",F516="임시보관",SUMIF($C$430:$C$729,C516,$D$430:$D$729)&lt;=39000)),OR(COUNTIF($A$8:$A$12,F516)=1,F516="결제대금비",AND(B516="U008",C516=208,J516="경조사비",F516="임시보관",SUMIF($C$430:$C$729,C516,$D$430:$D$729)&lt;=39000)),COUNTIF($A$8:$A$12,INDEX(잔액!$D:$D,MAX(64,C516)))=0,SUMIF($C$430:$C$729,C516,$D$430:$D$729)&lt;=INDEX(잔액!$Y:$Y,MAX(64,C516)))),1,0),0))</f>
      </c>
      <c r="N516" s="504">
        <f>IF(B516="","",IFERROR(IF(AND(COUNTIF($A$100:$A$399,B516)=1,INDEX($R$100:$R$399,MATCH(B516,$A$100:$A$399,0))="OK",D516&gt;0,ISNUMBER(E516),M516=1,SUMIF($B$430:$B$729,B516,$D$430:$D$729)&lt;=INDEX($E$100:$E$399,MATCH(B516,$A$100:$A$399,0))),"OK","확인: 정산연결"),"확인: 정산연결"))</f>
      </c>
      <c r="O516" s="526">
        <f>IF(N516="OK",D516,0)</f>
        <v>0</v>
      </c>
    </row>
    <row r="517" hidden="1" outlineLevel="1">
      <c r="A517" s="504">
        <f>IF(B517="","","S"&amp;ROW())</f>
      </c>
      <c r="B517" s="522" t="n"/>
      <c r="C517" s="522" t="n"/>
      <c r="D517" s="525">
        <f>IF(C517="","",IFERROR(INDEX(잔액!$Y:$Y,MAX(64,C517)),0))</f>
      </c>
      <c r="E517" s="524">
        <f>IF(C517="","",IFERROR(INDEX(잔액!$A:$A,MAX(64,C517)),""))</f>
      </c>
      <c r="F517" s="504">
        <f>IF(C517="","",IFERROR(INDEX(잔액!$C:$C,MAX(64,C517)),""))</f>
      </c>
      <c r="G517" s="504">
        <f>IF(C517="","",IF(INDEX(잔액!$K:$K,MAX(64,C517))&lt;&gt;"",INDEX(잔액!$K:$K,MAX(64,C517)),INDEX(잔액!$D:$D,MAX(64,C517))))</f>
      </c>
      <c r="H517" s="504" t="inlineStr">
        <is>
          <t>원장</t>
        </is>
      </c>
      <c r="J517" s="504">
        <f>IFERROR(INDEX($C$100:$C$399,MATCH(B517,$A$100:$A$399,0)),"")</f>
        <v>0</v>
      </c>
      <c r="K517" s="524">
        <f>IFERROR(INDEX($D$100:$D$399,MATCH(B517,$A$100:$A$399,0)),"")</f>
      </c>
      <c r="L517" s="504">
        <f>IFERROR(INDEX($S$100:$S$399,MATCH(B517,$A$100:$A$399,0)),"")</f>
        <v>0</v>
      </c>
      <c r="M517" s="504">
        <f>IF(B517="","",IFERROR(IF(OR(AND(H517="기초반영",OR(B517="U001",B517="U002",B517="U003"),C517="",E517=DATE(2026,3,1)),AND(H517="원장",C517&gt;=64,C517&lt;=500,INDEX(잔액!$I:$I,MAX(64,C517))="OK",E517=INDEX(잔액!$A:$A,MAX(64,C517)),F517=INDEX(잔액!$C:$C,MAX(64,C517)),OR(F517=J517,F517="결제대금비",AND(B517="U008",C517=223,J517="경조사비",F517="명절비"),AND(B517="U008",C517=208,J517="경조사비",F517="임시보관",SUMIF($C$430:$C$729,C517,$D$430:$D$729)&lt;=39000)),OR(COUNTIF($A$8:$A$12,F517)=1,F517="결제대금비",AND(B517="U008",C517=208,J517="경조사비",F517="임시보관",SUMIF($C$430:$C$729,C517,$D$430:$D$729)&lt;=39000)),COUNTIF($A$8:$A$12,INDEX(잔액!$D:$D,MAX(64,C517)))=0,SUMIF($C$430:$C$729,C517,$D$430:$D$729)&lt;=INDEX(잔액!$Y:$Y,MAX(64,C517)))),1,0),0))</f>
      </c>
      <c r="N517" s="504">
        <f>IF(B517="","",IFERROR(IF(AND(COUNTIF($A$100:$A$399,B517)=1,INDEX($R$100:$R$399,MATCH(B517,$A$100:$A$399,0))="OK",D517&gt;0,ISNUMBER(E517),M517=1,SUMIF($B$430:$B$729,B517,$D$430:$D$729)&lt;=INDEX($E$100:$E$399,MATCH(B517,$A$100:$A$399,0))),"OK","확인: 정산연결"),"확인: 정산연결"))</f>
      </c>
      <c r="O517" s="526">
        <f>IF(N517="OK",D517,0)</f>
        <v>0</v>
      </c>
    </row>
    <row r="518" hidden="1" outlineLevel="1">
      <c r="A518" s="504">
        <f>IF(B518="","","S"&amp;ROW())</f>
      </c>
      <c r="B518" s="522" t="n"/>
      <c r="C518" s="522" t="n"/>
      <c r="D518" s="525">
        <f>IF(C518="","",IFERROR(INDEX(잔액!$Y:$Y,MAX(64,C518)),0))</f>
      </c>
      <c r="E518" s="524">
        <f>IF(C518="","",IFERROR(INDEX(잔액!$A:$A,MAX(64,C518)),""))</f>
      </c>
      <c r="F518" s="504">
        <f>IF(C518="","",IFERROR(INDEX(잔액!$C:$C,MAX(64,C518)),""))</f>
      </c>
      <c r="G518" s="504">
        <f>IF(C518="","",IF(INDEX(잔액!$K:$K,MAX(64,C518))&lt;&gt;"",INDEX(잔액!$K:$K,MAX(64,C518)),INDEX(잔액!$D:$D,MAX(64,C518))))</f>
      </c>
      <c r="H518" s="504" t="inlineStr">
        <is>
          <t>원장</t>
        </is>
      </c>
      <c r="J518" s="504">
        <f>IFERROR(INDEX($C$100:$C$399,MATCH(B518,$A$100:$A$399,0)),"")</f>
        <v>0</v>
      </c>
      <c r="K518" s="524">
        <f>IFERROR(INDEX($D$100:$D$399,MATCH(B518,$A$100:$A$399,0)),"")</f>
      </c>
      <c r="L518" s="504">
        <f>IFERROR(INDEX($S$100:$S$399,MATCH(B518,$A$100:$A$399,0)),"")</f>
        <v>0</v>
      </c>
      <c r="M518" s="504">
        <f>IF(B518="","",IFERROR(IF(OR(AND(H518="기초반영",OR(B518="U001",B518="U002",B518="U003"),C518="",E518=DATE(2026,3,1)),AND(H518="원장",C518&gt;=64,C518&lt;=500,INDEX(잔액!$I:$I,MAX(64,C518))="OK",E518=INDEX(잔액!$A:$A,MAX(64,C518)),F518=INDEX(잔액!$C:$C,MAX(64,C518)),OR(F518=J518,F518="결제대금비",AND(B518="U008",C518=223,J518="경조사비",F518="명절비"),AND(B518="U008",C518=208,J518="경조사비",F518="임시보관",SUMIF($C$430:$C$729,C518,$D$430:$D$729)&lt;=39000)),OR(COUNTIF($A$8:$A$12,F518)=1,F518="결제대금비",AND(B518="U008",C518=208,J518="경조사비",F518="임시보관",SUMIF($C$430:$C$729,C518,$D$430:$D$729)&lt;=39000)),COUNTIF($A$8:$A$12,INDEX(잔액!$D:$D,MAX(64,C518)))=0,SUMIF($C$430:$C$729,C518,$D$430:$D$729)&lt;=INDEX(잔액!$Y:$Y,MAX(64,C518)))),1,0),0))</f>
      </c>
      <c r="N518" s="504">
        <f>IF(B518="","",IFERROR(IF(AND(COUNTIF($A$100:$A$399,B518)=1,INDEX($R$100:$R$399,MATCH(B518,$A$100:$A$399,0))="OK",D518&gt;0,ISNUMBER(E518),M518=1,SUMIF($B$430:$B$729,B518,$D$430:$D$729)&lt;=INDEX($E$100:$E$399,MATCH(B518,$A$100:$A$399,0))),"OK","확인: 정산연결"),"확인: 정산연결"))</f>
      </c>
      <c r="O518" s="526">
        <f>IF(N518="OK",D518,0)</f>
        <v>0</v>
      </c>
    </row>
    <row r="519" hidden="1" outlineLevel="1">
      <c r="A519" s="504">
        <f>IF(B519="","","S"&amp;ROW())</f>
      </c>
      <c r="B519" s="522" t="n"/>
      <c r="C519" s="522" t="n"/>
      <c r="D519" s="525">
        <f>IF(C519="","",IFERROR(INDEX(잔액!$Y:$Y,MAX(64,C519)),0))</f>
      </c>
      <c r="E519" s="524">
        <f>IF(C519="","",IFERROR(INDEX(잔액!$A:$A,MAX(64,C519)),""))</f>
      </c>
      <c r="F519" s="504">
        <f>IF(C519="","",IFERROR(INDEX(잔액!$C:$C,MAX(64,C519)),""))</f>
      </c>
      <c r="G519" s="504">
        <f>IF(C519="","",IF(INDEX(잔액!$K:$K,MAX(64,C519))&lt;&gt;"",INDEX(잔액!$K:$K,MAX(64,C519)),INDEX(잔액!$D:$D,MAX(64,C519))))</f>
      </c>
      <c r="H519" s="504" t="inlineStr">
        <is>
          <t>원장</t>
        </is>
      </c>
      <c r="J519" s="504">
        <f>IFERROR(INDEX($C$100:$C$399,MATCH(B519,$A$100:$A$399,0)),"")</f>
        <v>0</v>
      </c>
      <c r="K519" s="524">
        <f>IFERROR(INDEX($D$100:$D$399,MATCH(B519,$A$100:$A$399,0)),"")</f>
      </c>
      <c r="L519" s="504">
        <f>IFERROR(INDEX($S$100:$S$399,MATCH(B519,$A$100:$A$399,0)),"")</f>
        <v>0</v>
      </c>
      <c r="M519" s="504">
        <f>IF(B519="","",IFERROR(IF(OR(AND(H519="기초반영",OR(B519="U001",B519="U002",B519="U003"),C519="",E519=DATE(2026,3,1)),AND(H519="원장",C519&gt;=64,C519&lt;=500,INDEX(잔액!$I:$I,MAX(64,C519))="OK",E519=INDEX(잔액!$A:$A,MAX(64,C519)),F519=INDEX(잔액!$C:$C,MAX(64,C519)),OR(F519=J519,F519="결제대금비",AND(B519="U008",C519=223,J519="경조사비",F519="명절비"),AND(B519="U008",C519=208,J519="경조사비",F519="임시보관",SUMIF($C$430:$C$729,C519,$D$430:$D$729)&lt;=39000)),OR(COUNTIF($A$8:$A$12,F519)=1,F519="결제대금비",AND(B519="U008",C519=208,J519="경조사비",F519="임시보관",SUMIF($C$430:$C$729,C519,$D$430:$D$729)&lt;=39000)),COUNTIF($A$8:$A$12,INDEX(잔액!$D:$D,MAX(64,C519)))=0,SUMIF($C$430:$C$729,C519,$D$430:$D$729)&lt;=INDEX(잔액!$Y:$Y,MAX(64,C519)))),1,0),0))</f>
      </c>
      <c r="N519" s="504">
        <f>IF(B519="","",IFERROR(IF(AND(COUNTIF($A$100:$A$399,B519)=1,INDEX($R$100:$R$399,MATCH(B519,$A$100:$A$399,0))="OK",D519&gt;0,ISNUMBER(E519),M519=1,SUMIF($B$430:$B$729,B519,$D$430:$D$729)&lt;=INDEX($E$100:$E$399,MATCH(B519,$A$100:$A$399,0))),"OK","확인: 정산연결"),"확인: 정산연결"))</f>
      </c>
      <c r="O519" s="526">
        <f>IF(N519="OK",D519,0)</f>
        <v>0</v>
      </c>
    </row>
    <row r="520" hidden="1" outlineLevel="1">
      <c r="A520" s="504">
        <f>IF(B520="","","S"&amp;ROW())</f>
      </c>
      <c r="B520" s="522" t="n"/>
      <c r="C520" s="522" t="n"/>
      <c r="D520" s="525">
        <f>IF(C520="","",IFERROR(INDEX(잔액!$Y:$Y,MAX(64,C520)),0))</f>
      </c>
      <c r="E520" s="524">
        <f>IF(C520="","",IFERROR(INDEX(잔액!$A:$A,MAX(64,C520)),""))</f>
      </c>
      <c r="F520" s="504">
        <f>IF(C520="","",IFERROR(INDEX(잔액!$C:$C,MAX(64,C520)),""))</f>
      </c>
      <c r="G520" s="504">
        <f>IF(C520="","",IF(INDEX(잔액!$K:$K,MAX(64,C520))&lt;&gt;"",INDEX(잔액!$K:$K,MAX(64,C520)),INDEX(잔액!$D:$D,MAX(64,C520))))</f>
      </c>
      <c r="H520" s="504" t="inlineStr">
        <is>
          <t>원장</t>
        </is>
      </c>
      <c r="J520" s="504">
        <f>IFERROR(INDEX($C$100:$C$399,MATCH(B520,$A$100:$A$399,0)),"")</f>
        <v>0</v>
      </c>
      <c r="K520" s="524">
        <f>IFERROR(INDEX($D$100:$D$399,MATCH(B520,$A$100:$A$399,0)),"")</f>
      </c>
      <c r="L520" s="504">
        <f>IFERROR(INDEX($S$100:$S$399,MATCH(B520,$A$100:$A$399,0)),"")</f>
        <v>0</v>
      </c>
      <c r="M520" s="504">
        <f>IF(B520="","",IFERROR(IF(OR(AND(H520="기초반영",OR(B520="U001",B520="U002",B520="U003"),C520="",E520=DATE(2026,3,1)),AND(H520="원장",C520&gt;=64,C520&lt;=500,INDEX(잔액!$I:$I,MAX(64,C520))="OK",E520=INDEX(잔액!$A:$A,MAX(64,C520)),F520=INDEX(잔액!$C:$C,MAX(64,C520)),OR(F520=J520,F520="결제대금비",AND(B520="U008",C520=223,J520="경조사비",F520="명절비"),AND(B520="U008",C520=208,J520="경조사비",F520="임시보관",SUMIF($C$430:$C$729,C520,$D$430:$D$729)&lt;=39000)),OR(COUNTIF($A$8:$A$12,F520)=1,F520="결제대금비",AND(B520="U008",C520=208,J520="경조사비",F520="임시보관",SUMIF($C$430:$C$729,C520,$D$430:$D$729)&lt;=39000)),COUNTIF($A$8:$A$12,INDEX(잔액!$D:$D,MAX(64,C520)))=0,SUMIF($C$430:$C$729,C520,$D$430:$D$729)&lt;=INDEX(잔액!$Y:$Y,MAX(64,C520)))),1,0),0))</f>
      </c>
      <c r="N520" s="504">
        <f>IF(B520="","",IFERROR(IF(AND(COUNTIF($A$100:$A$399,B520)=1,INDEX($R$100:$R$399,MATCH(B520,$A$100:$A$399,0))="OK",D520&gt;0,ISNUMBER(E520),M520=1,SUMIF($B$430:$B$729,B520,$D$430:$D$729)&lt;=INDEX($E$100:$E$399,MATCH(B520,$A$100:$A$399,0))),"OK","확인: 정산연결"),"확인: 정산연결"))</f>
      </c>
      <c r="O520" s="526">
        <f>IF(N520="OK",D520,0)</f>
        <v>0</v>
      </c>
    </row>
    <row r="521" hidden="1" outlineLevel="1">
      <c r="A521" s="504">
        <f>IF(B521="","","S"&amp;ROW())</f>
      </c>
      <c r="B521" s="522" t="n"/>
      <c r="C521" s="522" t="n"/>
      <c r="D521" s="525">
        <f>IF(C521="","",IFERROR(INDEX(잔액!$Y:$Y,MAX(64,C521)),0))</f>
      </c>
      <c r="E521" s="524">
        <f>IF(C521="","",IFERROR(INDEX(잔액!$A:$A,MAX(64,C521)),""))</f>
      </c>
      <c r="F521" s="504">
        <f>IF(C521="","",IFERROR(INDEX(잔액!$C:$C,MAX(64,C521)),""))</f>
      </c>
      <c r="G521" s="504">
        <f>IF(C521="","",IF(INDEX(잔액!$K:$K,MAX(64,C521))&lt;&gt;"",INDEX(잔액!$K:$K,MAX(64,C521)),INDEX(잔액!$D:$D,MAX(64,C521))))</f>
      </c>
      <c r="H521" s="504" t="inlineStr">
        <is>
          <t>원장</t>
        </is>
      </c>
      <c r="J521" s="504">
        <f>IFERROR(INDEX($C$100:$C$399,MATCH(B521,$A$100:$A$399,0)),"")</f>
        <v>0</v>
      </c>
      <c r="K521" s="524">
        <f>IFERROR(INDEX($D$100:$D$399,MATCH(B521,$A$100:$A$399,0)),"")</f>
      </c>
      <c r="L521" s="504">
        <f>IFERROR(INDEX($S$100:$S$399,MATCH(B521,$A$100:$A$399,0)),"")</f>
        <v>0</v>
      </c>
      <c r="M521" s="504">
        <f>IF(B521="","",IFERROR(IF(OR(AND(H521="기초반영",OR(B521="U001",B521="U002",B521="U003"),C521="",E521=DATE(2026,3,1)),AND(H521="원장",C521&gt;=64,C521&lt;=500,INDEX(잔액!$I:$I,MAX(64,C521))="OK",E521=INDEX(잔액!$A:$A,MAX(64,C521)),F521=INDEX(잔액!$C:$C,MAX(64,C521)),OR(F521=J521,F521="결제대금비",AND(B521="U008",C521=223,J521="경조사비",F521="명절비"),AND(B521="U008",C521=208,J521="경조사비",F521="임시보관",SUMIF($C$430:$C$729,C521,$D$430:$D$729)&lt;=39000)),OR(COUNTIF($A$8:$A$12,F521)=1,F521="결제대금비",AND(B521="U008",C521=208,J521="경조사비",F521="임시보관",SUMIF($C$430:$C$729,C521,$D$430:$D$729)&lt;=39000)),COUNTIF($A$8:$A$12,INDEX(잔액!$D:$D,MAX(64,C521)))=0,SUMIF($C$430:$C$729,C521,$D$430:$D$729)&lt;=INDEX(잔액!$Y:$Y,MAX(64,C521)))),1,0),0))</f>
      </c>
      <c r="N521" s="504">
        <f>IF(B521="","",IFERROR(IF(AND(COUNTIF($A$100:$A$399,B521)=1,INDEX($R$100:$R$399,MATCH(B521,$A$100:$A$399,0))="OK",D521&gt;0,ISNUMBER(E521),M521=1,SUMIF($B$430:$B$729,B521,$D$430:$D$729)&lt;=INDEX($E$100:$E$399,MATCH(B521,$A$100:$A$399,0))),"OK","확인: 정산연결"),"확인: 정산연결"))</f>
      </c>
      <c r="O521" s="526">
        <f>IF(N521="OK",D521,0)</f>
        <v>0</v>
      </c>
    </row>
    <row r="522" hidden="1" outlineLevel="1">
      <c r="A522" s="504">
        <f>IF(B522="","","S"&amp;ROW())</f>
      </c>
      <c r="B522" s="522" t="n"/>
      <c r="C522" s="522" t="n"/>
      <c r="D522" s="525">
        <f>IF(C522="","",IFERROR(INDEX(잔액!$Y:$Y,MAX(64,C522)),0))</f>
      </c>
      <c r="E522" s="524">
        <f>IF(C522="","",IFERROR(INDEX(잔액!$A:$A,MAX(64,C522)),""))</f>
      </c>
      <c r="F522" s="504">
        <f>IF(C522="","",IFERROR(INDEX(잔액!$C:$C,MAX(64,C522)),""))</f>
      </c>
      <c r="G522" s="504">
        <f>IF(C522="","",IF(INDEX(잔액!$K:$K,MAX(64,C522))&lt;&gt;"",INDEX(잔액!$K:$K,MAX(64,C522)),INDEX(잔액!$D:$D,MAX(64,C522))))</f>
      </c>
      <c r="H522" s="504" t="inlineStr">
        <is>
          <t>원장</t>
        </is>
      </c>
      <c r="J522" s="504">
        <f>IFERROR(INDEX($C$100:$C$399,MATCH(B522,$A$100:$A$399,0)),"")</f>
        <v>0</v>
      </c>
      <c r="K522" s="524">
        <f>IFERROR(INDEX($D$100:$D$399,MATCH(B522,$A$100:$A$399,0)),"")</f>
      </c>
      <c r="L522" s="504">
        <f>IFERROR(INDEX($S$100:$S$399,MATCH(B522,$A$100:$A$399,0)),"")</f>
        <v>0</v>
      </c>
      <c r="M522" s="504">
        <f>IF(B522="","",IFERROR(IF(OR(AND(H522="기초반영",OR(B522="U001",B522="U002",B522="U003"),C522="",E522=DATE(2026,3,1)),AND(H522="원장",C522&gt;=64,C522&lt;=500,INDEX(잔액!$I:$I,MAX(64,C522))="OK",E522=INDEX(잔액!$A:$A,MAX(64,C522)),F522=INDEX(잔액!$C:$C,MAX(64,C522)),OR(F522=J522,F522="결제대금비",AND(B522="U008",C522=223,J522="경조사비",F522="명절비"),AND(B522="U008",C522=208,J522="경조사비",F522="임시보관",SUMIF($C$430:$C$729,C522,$D$430:$D$729)&lt;=39000)),OR(COUNTIF($A$8:$A$12,F522)=1,F522="결제대금비",AND(B522="U008",C522=208,J522="경조사비",F522="임시보관",SUMIF($C$430:$C$729,C522,$D$430:$D$729)&lt;=39000)),COUNTIF($A$8:$A$12,INDEX(잔액!$D:$D,MAX(64,C522)))=0,SUMIF($C$430:$C$729,C522,$D$430:$D$729)&lt;=INDEX(잔액!$Y:$Y,MAX(64,C522)))),1,0),0))</f>
      </c>
      <c r="N522" s="504">
        <f>IF(B522="","",IFERROR(IF(AND(COUNTIF($A$100:$A$399,B522)=1,INDEX($R$100:$R$399,MATCH(B522,$A$100:$A$399,0))="OK",D522&gt;0,ISNUMBER(E522),M522=1,SUMIF($B$430:$B$729,B522,$D$430:$D$729)&lt;=INDEX($E$100:$E$399,MATCH(B522,$A$100:$A$399,0))),"OK","확인: 정산연결"),"확인: 정산연결"))</f>
      </c>
      <c r="O522" s="526">
        <f>IF(N522="OK",D522,0)</f>
        <v>0</v>
      </c>
    </row>
    <row r="523" hidden="1" outlineLevel="1">
      <c r="A523" s="504">
        <f>IF(B523="","","S"&amp;ROW())</f>
      </c>
      <c r="B523" s="522" t="n"/>
      <c r="C523" s="522" t="n"/>
      <c r="D523" s="525">
        <f>IF(C523="","",IFERROR(INDEX(잔액!$Y:$Y,MAX(64,C523)),0))</f>
      </c>
      <c r="E523" s="524">
        <f>IF(C523="","",IFERROR(INDEX(잔액!$A:$A,MAX(64,C523)),""))</f>
      </c>
      <c r="F523" s="504">
        <f>IF(C523="","",IFERROR(INDEX(잔액!$C:$C,MAX(64,C523)),""))</f>
      </c>
      <c r="G523" s="504">
        <f>IF(C523="","",IF(INDEX(잔액!$K:$K,MAX(64,C523))&lt;&gt;"",INDEX(잔액!$K:$K,MAX(64,C523)),INDEX(잔액!$D:$D,MAX(64,C523))))</f>
      </c>
      <c r="H523" s="504" t="inlineStr">
        <is>
          <t>원장</t>
        </is>
      </c>
      <c r="J523" s="504">
        <f>IFERROR(INDEX($C$100:$C$399,MATCH(B523,$A$100:$A$399,0)),"")</f>
        <v>0</v>
      </c>
      <c r="K523" s="524">
        <f>IFERROR(INDEX($D$100:$D$399,MATCH(B523,$A$100:$A$399,0)),"")</f>
      </c>
      <c r="L523" s="504">
        <f>IFERROR(INDEX($S$100:$S$399,MATCH(B523,$A$100:$A$399,0)),"")</f>
        <v>0</v>
      </c>
      <c r="M523" s="504">
        <f>IF(B523="","",IFERROR(IF(OR(AND(H523="기초반영",OR(B523="U001",B523="U002",B523="U003"),C523="",E523=DATE(2026,3,1)),AND(H523="원장",C523&gt;=64,C523&lt;=500,INDEX(잔액!$I:$I,MAX(64,C523))="OK",E523=INDEX(잔액!$A:$A,MAX(64,C523)),F523=INDEX(잔액!$C:$C,MAX(64,C523)),OR(F523=J523,F523="결제대금비",AND(B523="U008",C523=223,J523="경조사비",F523="명절비"),AND(B523="U008",C523=208,J523="경조사비",F523="임시보관",SUMIF($C$430:$C$729,C523,$D$430:$D$729)&lt;=39000)),OR(COUNTIF($A$8:$A$12,F523)=1,F523="결제대금비",AND(B523="U008",C523=208,J523="경조사비",F523="임시보관",SUMIF($C$430:$C$729,C523,$D$430:$D$729)&lt;=39000)),COUNTIF($A$8:$A$12,INDEX(잔액!$D:$D,MAX(64,C523)))=0,SUMIF($C$430:$C$729,C523,$D$430:$D$729)&lt;=INDEX(잔액!$Y:$Y,MAX(64,C523)))),1,0),0))</f>
      </c>
      <c r="N523" s="504">
        <f>IF(B523="","",IFERROR(IF(AND(COUNTIF($A$100:$A$399,B523)=1,INDEX($R$100:$R$399,MATCH(B523,$A$100:$A$399,0))="OK",D523&gt;0,ISNUMBER(E523),M523=1,SUMIF($B$430:$B$729,B523,$D$430:$D$729)&lt;=INDEX($E$100:$E$399,MATCH(B523,$A$100:$A$399,0))),"OK","확인: 정산연결"),"확인: 정산연결"))</f>
      </c>
      <c r="O523" s="526">
        <f>IF(N523="OK",D523,0)</f>
        <v>0</v>
      </c>
    </row>
    <row r="524" hidden="1" outlineLevel="1">
      <c r="A524" s="504">
        <f>IF(B524="","","S"&amp;ROW())</f>
      </c>
      <c r="B524" s="522" t="n"/>
      <c r="C524" s="522" t="n"/>
      <c r="D524" s="525">
        <f>IF(C524="","",IFERROR(INDEX(잔액!$Y:$Y,MAX(64,C524)),0))</f>
      </c>
      <c r="E524" s="524">
        <f>IF(C524="","",IFERROR(INDEX(잔액!$A:$A,MAX(64,C524)),""))</f>
      </c>
      <c r="F524" s="504">
        <f>IF(C524="","",IFERROR(INDEX(잔액!$C:$C,MAX(64,C524)),""))</f>
      </c>
      <c r="G524" s="504">
        <f>IF(C524="","",IF(INDEX(잔액!$K:$K,MAX(64,C524))&lt;&gt;"",INDEX(잔액!$K:$K,MAX(64,C524)),INDEX(잔액!$D:$D,MAX(64,C524))))</f>
      </c>
      <c r="H524" s="504" t="inlineStr">
        <is>
          <t>원장</t>
        </is>
      </c>
      <c r="J524" s="504">
        <f>IFERROR(INDEX($C$100:$C$399,MATCH(B524,$A$100:$A$399,0)),"")</f>
        <v>0</v>
      </c>
      <c r="K524" s="524">
        <f>IFERROR(INDEX($D$100:$D$399,MATCH(B524,$A$100:$A$399,0)),"")</f>
      </c>
      <c r="L524" s="504">
        <f>IFERROR(INDEX($S$100:$S$399,MATCH(B524,$A$100:$A$399,0)),"")</f>
        <v>0</v>
      </c>
      <c r="M524" s="504">
        <f>IF(B524="","",IFERROR(IF(OR(AND(H524="기초반영",OR(B524="U001",B524="U002",B524="U003"),C524="",E524=DATE(2026,3,1)),AND(H524="원장",C524&gt;=64,C524&lt;=500,INDEX(잔액!$I:$I,MAX(64,C524))="OK",E524=INDEX(잔액!$A:$A,MAX(64,C524)),F524=INDEX(잔액!$C:$C,MAX(64,C524)),OR(F524=J524,F524="결제대금비",AND(B524="U008",C524=223,J524="경조사비",F524="명절비"),AND(B524="U008",C524=208,J524="경조사비",F524="임시보관",SUMIF($C$430:$C$729,C524,$D$430:$D$729)&lt;=39000)),OR(COUNTIF($A$8:$A$12,F524)=1,F524="결제대금비",AND(B524="U008",C524=208,J524="경조사비",F524="임시보관",SUMIF($C$430:$C$729,C524,$D$430:$D$729)&lt;=39000)),COUNTIF($A$8:$A$12,INDEX(잔액!$D:$D,MAX(64,C524)))=0,SUMIF($C$430:$C$729,C524,$D$430:$D$729)&lt;=INDEX(잔액!$Y:$Y,MAX(64,C524)))),1,0),0))</f>
      </c>
      <c r="N524" s="504">
        <f>IF(B524="","",IFERROR(IF(AND(COUNTIF($A$100:$A$399,B524)=1,INDEX($R$100:$R$399,MATCH(B524,$A$100:$A$399,0))="OK",D524&gt;0,ISNUMBER(E524),M524=1,SUMIF($B$430:$B$729,B524,$D$430:$D$729)&lt;=INDEX($E$100:$E$399,MATCH(B524,$A$100:$A$399,0))),"OK","확인: 정산연결"),"확인: 정산연결"))</f>
      </c>
      <c r="O524" s="526">
        <f>IF(N524="OK",D524,0)</f>
        <v>0</v>
      </c>
    </row>
    <row r="525" hidden="1" outlineLevel="1">
      <c r="A525" s="504">
        <f>IF(B525="","","S"&amp;ROW())</f>
      </c>
      <c r="B525" s="522" t="n"/>
      <c r="C525" s="522" t="n"/>
      <c r="D525" s="525">
        <f>IF(C525="","",IFERROR(INDEX(잔액!$Y:$Y,MAX(64,C525)),0))</f>
      </c>
      <c r="E525" s="524">
        <f>IF(C525="","",IFERROR(INDEX(잔액!$A:$A,MAX(64,C525)),""))</f>
      </c>
      <c r="F525" s="504">
        <f>IF(C525="","",IFERROR(INDEX(잔액!$C:$C,MAX(64,C525)),""))</f>
      </c>
      <c r="G525" s="504">
        <f>IF(C525="","",IF(INDEX(잔액!$K:$K,MAX(64,C525))&lt;&gt;"",INDEX(잔액!$K:$K,MAX(64,C525)),INDEX(잔액!$D:$D,MAX(64,C525))))</f>
      </c>
      <c r="H525" s="504" t="inlineStr">
        <is>
          <t>원장</t>
        </is>
      </c>
      <c r="J525" s="504">
        <f>IFERROR(INDEX($C$100:$C$399,MATCH(B525,$A$100:$A$399,0)),"")</f>
        <v>0</v>
      </c>
      <c r="K525" s="524">
        <f>IFERROR(INDEX($D$100:$D$399,MATCH(B525,$A$100:$A$399,0)),"")</f>
      </c>
      <c r="L525" s="504">
        <f>IFERROR(INDEX($S$100:$S$399,MATCH(B525,$A$100:$A$399,0)),"")</f>
        <v>0</v>
      </c>
      <c r="M525" s="504">
        <f>IF(B525="","",IFERROR(IF(OR(AND(H525="기초반영",OR(B525="U001",B525="U002",B525="U003"),C525="",E525=DATE(2026,3,1)),AND(H525="원장",C525&gt;=64,C525&lt;=500,INDEX(잔액!$I:$I,MAX(64,C525))="OK",E525=INDEX(잔액!$A:$A,MAX(64,C525)),F525=INDEX(잔액!$C:$C,MAX(64,C525)),OR(F525=J525,F525="결제대금비",AND(B525="U008",C525=223,J525="경조사비",F525="명절비"),AND(B525="U008",C525=208,J525="경조사비",F525="임시보관",SUMIF($C$430:$C$729,C525,$D$430:$D$729)&lt;=39000)),OR(COUNTIF($A$8:$A$12,F525)=1,F525="결제대금비",AND(B525="U008",C525=208,J525="경조사비",F525="임시보관",SUMIF($C$430:$C$729,C525,$D$430:$D$729)&lt;=39000)),COUNTIF($A$8:$A$12,INDEX(잔액!$D:$D,MAX(64,C525)))=0,SUMIF($C$430:$C$729,C525,$D$430:$D$729)&lt;=INDEX(잔액!$Y:$Y,MAX(64,C525)))),1,0),0))</f>
      </c>
      <c r="N525" s="504">
        <f>IF(B525="","",IFERROR(IF(AND(COUNTIF($A$100:$A$399,B525)=1,INDEX($R$100:$R$399,MATCH(B525,$A$100:$A$399,0))="OK",D525&gt;0,ISNUMBER(E525),M525=1,SUMIF($B$430:$B$729,B525,$D$430:$D$729)&lt;=INDEX($E$100:$E$399,MATCH(B525,$A$100:$A$399,0))),"OK","확인: 정산연결"),"확인: 정산연결"))</f>
      </c>
      <c r="O525" s="526">
        <f>IF(N525="OK",D525,0)</f>
        <v>0</v>
      </c>
    </row>
    <row r="526" hidden="1" outlineLevel="1">
      <c r="A526" s="504">
        <f>IF(B526="","","S"&amp;ROW())</f>
      </c>
      <c r="B526" s="522" t="n"/>
      <c r="C526" s="522" t="n"/>
      <c r="D526" s="525">
        <f>IF(C526="","",IFERROR(INDEX(잔액!$Y:$Y,MAX(64,C526)),0))</f>
      </c>
      <c r="E526" s="524">
        <f>IF(C526="","",IFERROR(INDEX(잔액!$A:$A,MAX(64,C526)),""))</f>
      </c>
      <c r="F526" s="504">
        <f>IF(C526="","",IFERROR(INDEX(잔액!$C:$C,MAX(64,C526)),""))</f>
      </c>
      <c r="G526" s="504">
        <f>IF(C526="","",IF(INDEX(잔액!$K:$K,MAX(64,C526))&lt;&gt;"",INDEX(잔액!$K:$K,MAX(64,C526)),INDEX(잔액!$D:$D,MAX(64,C526))))</f>
      </c>
      <c r="H526" s="504" t="inlineStr">
        <is>
          <t>원장</t>
        </is>
      </c>
      <c r="J526" s="504">
        <f>IFERROR(INDEX($C$100:$C$399,MATCH(B526,$A$100:$A$399,0)),"")</f>
        <v>0</v>
      </c>
      <c r="K526" s="524">
        <f>IFERROR(INDEX($D$100:$D$399,MATCH(B526,$A$100:$A$399,0)),"")</f>
      </c>
      <c r="L526" s="504">
        <f>IFERROR(INDEX($S$100:$S$399,MATCH(B526,$A$100:$A$399,0)),"")</f>
        <v>0</v>
      </c>
      <c r="M526" s="504">
        <f>IF(B526="","",IFERROR(IF(OR(AND(H526="기초반영",OR(B526="U001",B526="U002",B526="U003"),C526="",E526=DATE(2026,3,1)),AND(H526="원장",C526&gt;=64,C526&lt;=500,INDEX(잔액!$I:$I,MAX(64,C526))="OK",E526=INDEX(잔액!$A:$A,MAX(64,C526)),F526=INDEX(잔액!$C:$C,MAX(64,C526)),OR(F526=J526,F526="결제대금비",AND(B526="U008",C526=223,J526="경조사비",F526="명절비"),AND(B526="U008",C526=208,J526="경조사비",F526="임시보관",SUMIF($C$430:$C$729,C526,$D$430:$D$729)&lt;=39000)),OR(COUNTIF($A$8:$A$12,F526)=1,F526="결제대금비",AND(B526="U008",C526=208,J526="경조사비",F526="임시보관",SUMIF($C$430:$C$729,C526,$D$430:$D$729)&lt;=39000)),COUNTIF($A$8:$A$12,INDEX(잔액!$D:$D,MAX(64,C526)))=0,SUMIF($C$430:$C$729,C526,$D$430:$D$729)&lt;=INDEX(잔액!$Y:$Y,MAX(64,C526)))),1,0),0))</f>
      </c>
      <c r="N526" s="504">
        <f>IF(B526="","",IFERROR(IF(AND(COUNTIF($A$100:$A$399,B526)=1,INDEX($R$100:$R$399,MATCH(B526,$A$100:$A$399,0))="OK",D526&gt;0,ISNUMBER(E526),M526=1,SUMIF($B$430:$B$729,B526,$D$430:$D$729)&lt;=INDEX($E$100:$E$399,MATCH(B526,$A$100:$A$399,0))),"OK","확인: 정산연결"),"확인: 정산연결"))</f>
      </c>
      <c r="O526" s="526">
        <f>IF(N526="OK",D526,0)</f>
        <v>0</v>
      </c>
    </row>
    <row r="527" hidden="1" outlineLevel="1">
      <c r="A527" s="504">
        <f>IF(B527="","","S"&amp;ROW())</f>
      </c>
      <c r="B527" s="522" t="n"/>
      <c r="C527" s="522" t="n"/>
      <c r="D527" s="525">
        <f>IF(C527="","",IFERROR(INDEX(잔액!$Y:$Y,MAX(64,C527)),0))</f>
      </c>
      <c r="E527" s="524">
        <f>IF(C527="","",IFERROR(INDEX(잔액!$A:$A,MAX(64,C527)),""))</f>
      </c>
      <c r="F527" s="504">
        <f>IF(C527="","",IFERROR(INDEX(잔액!$C:$C,MAX(64,C527)),""))</f>
      </c>
      <c r="G527" s="504">
        <f>IF(C527="","",IF(INDEX(잔액!$K:$K,MAX(64,C527))&lt;&gt;"",INDEX(잔액!$K:$K,MAX(64,C527)),INDEX(잔액!$D:$D,MAX(64,C527))))</f>
      </c>
      <c r="H527" s="504" t="inlineStr">
        <is>
          <t>원장</t>
        </is>
      </c>
      <c r="J527" s="504">
        <f>IFERROR(INDEX($C$100:$C$399,MATCH(B527,$A$100:$A$399,0)),"")</f>
        <v>0</v>
      </c>
      <c r="K527" s="524">
        <f>IFERROR(INDEX($D$100:$D$399,MATCH(B527,$A$100:$A$399,0)),"")</f>
      </c>
      <c r="L527" s="504">
        <f>IFERROR(INDEX($S$100:$S$399,MATCH(B527,$A$100:$A$399,0)),"")</f>
        <v>0</v>
      </c>
      <c r="M527" s="504">
        <f>IF(B527="","",IFERROR(IF(OR(AND(H527="기초반영",OR(B527="U001",B527="U002",B527="U003"),C527="",E527=DATE(2026,3,1)),AND(H527="원장",C527&gt;=64,C527&lt;=500,INDEX(잔액!$I:$I,MAX(64,C527))="OK",E527=INDEX(잔액!$A:$A,MAX(64,C527)),F527=INDEX(잔액!$C:$C,MAX(64,C527)),OR(F527=J527,F527="결제대금비",AND(B527="U008",C527=223,J527="경조사비",F527="명절비"),AND(B527="U008",C527=208,J527="경조사비",F527="임시보관",SUMIF($C$430:$C$729,C527,$D$430:$D$729)&lt;=39000)),OR(COUNTIF($A$8:$A$12,F527)=1,F527="결제대금비",AND(B527="U008",C527=208,J527="경조사비",F527="임시보관",SUMIF($C$430:$C$729,C527,$D$430:$D$729)&lt;=39000)),COUNTIF($A$8:$A$12,INDEX(잔액!$D:$D,MAX(64,C527)))=0,SUMIF($C$430:$C$729,C527,$D$430:$D$729)&lt;=INDEX(잔액!$Y:$Y,MAX(64,C527)))),1,0),0))</f>
      </c>
      <c r="N527" s="504">
        <f>IF(B527="","",IFERROR(IF(AND(COUNTIF($A$100:$A$399,B527)=1,INDEX($R$100:$R$399,MATCH(B527,$A$100:$A$399,0))="OK",D527&gt;0,ISNUMBER(E527),M527=1,SUMIF($B$430:$B$729,B527,$D$430:$D$729)&lt;=INDEX($E$100:$E$399,MATCH(B527,$A$100:$A$399,0))),"OK","확인: 정산연결"),"확인: 정산연결"))</f>
      </c>
      <c r="O527" s="526">
        <f>IF(N527="OK",D527,0)</f>
        <v>0</v>
      </c>
    </row>
    <row r="528" hidden="1" outlineLevel="1">
      <c r="A528" s="504">
        <f>IF(B528="","","S"&amp;ROW())</f>
      </c>
      <c r="B528" s="522" t="n"/>
      <c r="C528" s="522" t="n"/>
      <c r="D528" s="525">
        <f>IF(C528="","",IFERROR(INDEX(잔액!$Y:$Y,MAX(64,C528)),0))</f>
      </c>
      <c r="E528" s="524">
        <f>IF(C528="","",IFERROR(INDEX(잔액!$A:$A,MAX(64,C528)),""))</f>
      </c>
      <c r="F528" s="504">
        <f>IF(C528="","",IFERROR(INDEX(잔액!$C:$C,MAX(64,C528)),""))</f>
      </c>
      <c r="G528" s="504">
        <f>IF(C528="","",IF(INDEX(잔액!$K:$K,MAX(64,C528))&lt;&gt;"",INDEX(잔액!$K:$K,MAX(64,C528)),INDEX(잔액!$D:$D,MAX(64,C528))))</f>
      </c>
      <c r="H528" s="504" t="inlineStr">
        <is>
          <t>원장</t>
        </is>
      </c>
      <c r="J528" s="504">
        <f>IFERROR(INDEX($C$100:$C$399,MATCH(B528,$A$100:$A$399,0)),"")</f>
        <v>0</v>
      </c>
      <c r="K528" s="524">
        <f>IFERROR(INDEX($D$100:$D$399,MATCH(B528,$A$100:$A$399,0)),"")</f>
      </c>
      <c r="L528" s="504">
        <f>IFERROR(INDEX($S$100:$S$399,MATCH(B528,$A$100:$A$399,0)),"")</f>
        <v>0</v>
      </c>
      <c r="M528" s="504">
        <f>IF(B528="","",IFERROR(IF(OR(AND(H528="기초반영",OR(B528="U001",B528="U002",B528="U003"),C528="",E528=DATE(2026,3,1)),AND(H528="원장",C528&gt;=64,C528&lt;=500,INDEX(잔액!$I:$I,MAX(64,C528))="OK",E528=INDEX(잔액!$A:$A,MAX(64,C528)),F528=INDEX(잔액!$C:$C,MAX(64,C528)),OR(F528=J528,F528="결제대금비",AND(B528="U008",C528=223,J528="경조사비",F528="명절비"),AND(B528="U008",C528=208,J528="경조사비",F528="임시보관",SUMIF($C$430:$C$729,C528,$D$430:$D$729)&lt;=39000)),OR(COUNTIF($A$8:$A$12,F528)=1,F528="결제대금비",AND(B528="U008",C528=208,J528="경조사비",F528="임시보관",SUMIF($C$430:$C$729,C528,$D$430:$D$729)&lt;=39000)),COUNTIF($A$8:$A$12,INDEX(잔액!$D:$D,MAX(64,C528)))=0,SUMIF($C$430:$C$729,C528,$D$430:$D$729)&lt;=INDEX(잔액!$Y:$Y,MAX(64,C528)))),1,0),0))</f>
      </c>
      <c r="N528" s="504">
        <f>IF(B528="","",IFERROR(IF(AND(COUNTIF($A$100:$A$399,B528)=1,INDEX($R$100:$R$399,MATCH(B528,$A$100:$A$399,0))="OK",D528&gt;0,ISNUMBER(E528),M528=1,SUMIF($B$430:$B$729,B528,$D$430:$D$729)&lt;=INDEX($E$100:$E$399,MATCH(B528,$A$100:$A$399,0))),"OK","확인: 정산연결"),"확인: 정산연결"))</f>
      </c>
      <c r="O528" s="526">
        <f>IF(N528="OK",D528,0)</f>
        <v>0</v>
      </c>
    </row>
    <row r="529" hidden="1" outlineLevel="1">
      <c r="A529" s="504">
        <f>IF(B529="","","S"&amp;ROW())</f>
      </c>
      <c r="B529" s="522" t="n"/>
      <c r="C529" s="522" t="n"/>
      <c r="D529" s="525">
        <f>IF(C529="","",IFERROR(INDEX(잔액!$Y:$Y,MAX(64,C529)),0))</f>
      </c>
      <c r="E529" s="524">
        <f>IF(C529="","",IFERROR(INDEX(잔액!$A:$A,MAX(64,C529)),""))</f>
      </c>
      <c r="F529" s="504">
        <f>IF(C529="","",IFERROR(INDEX(잔액!$C:$C,MAX(64,C529)),""))</f>
      </c>
      <c r="G529" s="504">
        <f>IF(C529="","",IF(INDEX(잔액!$K:$K,MAX(64,C529))&lt;&gt;"",INDEX(잔액!$K:$K,MAX(64,C529)),INDEX(잔액!$D:$D,MAX(64,C529))))</f>
      </c>
      <c r="H529" s="504" t="inlineStr">
        <is>
          <t>원장</t>
        </is>
      </c>
      <c r="J529" s="504">
        <f>IFERROR(INDEX($C$100:$C$399,MATCH(B529,$A$100:$A$399,0)),"")</f>
        <v>0</v>
      </c>
      <c r="K529" s="524">
        <f>IFERROR(INDEX($D$100:$D$399,MATCH(B529,$A$100:$A$399,0)),"")</f>
      </c>
      <c r="L529" s="504">
        <f>IFERROR(INDEX($S$100:$S$399,MATCH(B529,$A$100:$A$399,0)),"")</f>
        <v>0</v>
      </c>
      <c r="M529" s="504">
        <f>IF(B529="","",IFERROR(IF(OR(AND(H529="기초반영",OR(B529="U001",B529="U002",B529="U003"),C529="",E529=DATE(2026,3,1)),AND(H529="원장",C529&gt;=64,C529&lt;=500,INDEX(잔액!$I:$I,MAX(64,C529))="OK",E529=INDEX(잔액!$A:$A,MAX(64,C529)),F529=INDEX(잔액!$C:$C,MAX(64,C529)),OR(F529=J529,F529="결제대금비",AND(B529="U008",C529=223,J529="경조사비",F529="명절비"),AND(B529="U008",C529=208,J529="경조사비",F529="임시보관",SUMIF($C$430:$C$729,C529,$D$430:$D$729)&lt;=39000)),OR(COUNTIF($A$8:$A$12,F529)=1,F529="결제대금비",AND(B529="U008",C529=208,J529="경조사비",F529="임시보관",SUMIF($C$430:$C$729,C529,$D$430:$D$729)&lt;=39000)),COUNTIF($A$8:$A$12,INDEX(잔액!$D:$D,MAX(64,C529)))=0,SUMIF($C$430:$C$729,C529,$D$430:$D$729)&lt;=INDEX(잔액!$Y:$Y,MAX(64,C529)))),1,0),0))</f>
      </c>
      <c r="N529" s="504">
        <f>IF(B529="","",IFERROR(IF(AND(COUNTIF($A$100:$A$399,B529)=1,INDEX($R$100:$R$399,MATCH(B529,$A$100:$A$399,0))="OK",D529&gt;0,ISNUMBER(E529),M529=1,SUMIF($B$430:$B$729,B529,$D$430:$D$729)&lt;=INDEX($E$100:$E$399,MATCH(B529,$A$100:$A$399,0))),"OK","확인: 정산연결"),"확인: 정산연결"))</f>
      </c>
      <c r="O529" s="526">
        <f>IF(N529="OK",D529,0)</f>
        <v>0</v>
      </c>
    </row>
    <row r="530" hidden="1" outlineLevel="1">
      <c r="A530" s="504">
        <f>IF(B530="","","S"&amp;ROW())</f>
      </c>
      <c r="B530" s="522" t="n"/>
      <c r="C530" s="522" t="n"/>
      <c r="D530" s="525">
        <f>IF(C530="","",IFERROR(INDEX(잔액!$Y:$Y,MAX(64,C530)),0))</f>
      </c>
      <c r="E530" s="524">
        <f>IF(C530="","",IFERROR(INDEX(잔액!$A:$A,MAX(64,C530)),""))</f>
      </c>
      <c r="F530" s="504">
        <f>IF(C530="","",IFERROR(INDEX(잔액!$C:$C,MAX(64,C530)),""))</f>
      </c>
      <c r="G530" s="504">
        <f>IF(C530="","",IF(INDEX(잔액!$K:$K,MAX(64,C530))&lt;&gt;"",INDEX(잔액!$K:$K,MAX(64,C530)),INDEX(잔액!$D:$D,MAX(64,C530))))</f>
      </c>
      <c r="H530" s="504" t="inlineStr">
        <is>
          <t>원장</t>
        </is>
      </c>
      <c r="J530" s="504">
        <f>IFERROR(INDEX($C$100:$C$399,MATCH(B530,$A$100:$A$399,0)),"")</f>
        <v>0</v>
      </c>
      <c r="K530" s="524">
        <f>IFERROR(INDEX($D$100:$D$399,MATCH(B530,$A$100:$A$399,0)),"")</f>
      </c>
      <c r="L530" s="504">
        <f>IFERROR(INDEX($S$100:$S$399,MATCH(B530,$A$100:$A$399,0)),"")</f>
        <v>0</v>
      </c>
      <c r="M530" s="504">
        <f>IF(B530="","",IFERROR(IF(OR(AND(H530="기초반영",OR(B530="U001",B530="U002",B530="U003"),C530="",E530=DATE(2026,3,1)),AND(H530="원장",C530&gt;=64,C530&lt;=500,INDEX(잔액!$I:$I,MAX(64,C530))="OK",E530=INDEX(잔액!$A:$A,MAX(64,C530)),F530=INDEX(잔액!$C:$C,MAX(64,C530)),OR(F530=J530,F530="결제대금비",AND(B530="U008",C530=223,J530="경조사비",F530="명절비"),AND(B530="U008",C530=208,J530="경조사비",F530="임시보관",SUMIF($C$430:$C$729,C530,$D$430:$D$729)&lt;=39000)),OR(COUNTIF($A$8:$A$12,F530)=1,F530="결제대금비",AND(B530="U008",C530=208,J530="경조사비",F530="임시보관",SUMIF($C$430:$C$729,C530,$D$430:$D$729)&lt;=39000)),COUNTIF($A$8:$A$12,INDEX(잔액!$D:$D,MAX(64,C530)))=0,SUMIF($C$430:$C$729,C530,$D$430:$D$729)&lt;=INDEX(잔액!$Y:$Y,MAX(64,C530)))),1,0),0))</f>
      </c>
      <c r="N530" s="504">
        <f>IF(B530="","",IFERROR(IF(AND(COUNTIF($A$100:$A$399,B530)=1,INDEX($R$100:$R$399,MATCH(B530,$A$100:$A$399,0))="OK",D530&gt;0,ISNUMBER(E530),M530=1,SUMIF($B$430:$B$729,B530,$D$430:$D$729)&lt;=INDEX($E$100:$E$399,MATCH(B530,$A$100:$A$399,0))),"OK","확인: 정산연결"),"확인: 정산연결"))</f>
      </c>
      <c r="O530" s="526">
        <f>IF(N530="OK",D530,0)</f>
        <v>0</v>
      </c>
    </row>
    <row r="531" hidden="1" outlineLevel="1">
      <c r="A531" s="504">
        <f>IF(B531="","","S"&amp;ROW())</f>
      </c>
      <c r="B531" s="522" t="n"/>
      <c r="C531" s="522" t="n"/>
      <c r="D531" s="525">
        <f>IF(C531="","",IFERROR(INDEX(잔액!$Y:$Y,MAX(64,C531)),0))</f>
      </c>
      <c r="E531" s="524">
        <f>IF(C531="","",IFERROR(INDEX(잔액!$A:$A,MAX(64,C531)),""))</f>
      </c>
      <c r="F531" s="504">
        <f>IF(C531="","",IFERROR(INDEX(잔액!$C:$C,MAX(64,C531)),""))</f>
      </c>
      <c r="G531" s="504">
        <f>IF(C531="","",IF(INDEX(잔액!$K:$K,MAX(64,C531))&lt;&gt;"",INDEX(잔액!$K:$K,MAX(64,C531)),INDEX(잔액!$D:$D,MAX(64,C531))))</f>
      </c>
      <c r="H531" s="504" t="inlineStr">
        <is>
          <t>원장</t>
        </is>
      </c>
      <c r="J531" s="504">
        <f>IFERROR(INDEX($C$100:$C$399,MATCH(B531,$A$100:$A$399,0)),"")</f>
        <v>0</v>
      </c>
      <c r="K531" s="524">
        <f>IFERROR(INDEX($D$100:$D$399,MATCH(B531,$A$100:$A$399,0)),"")</f>
      </c>
      <c r="L531" s="504">
        <f>IFERROR(INDEX($S$100:$S$399,MATCH(B531,$A$100:$A$399,0)),"")</f>
        <v>0</v>
      </c>
      <c r="M531" s="504">
        <f>IF(B531="","",IFERROR(IF(OR(AND(H531="기초반영",OR(B531="U001",B531="U002",B531="U003"),C531="",E531=DATE(2026,3,1)),AND(H531="원장",C531&gt;=64,C531&lt;=500,INDEX(잔액!$I:$I,MAX(64,C531))="OK",E531=INDEX(잔액!$A:$A,MAX(64,C531)),F531=INDEX(잔액!$C:$C,MAX(64,C531)),OR(F531=J531,F531="결제대금비",AND(B531="U008",C531=223,J531="경조사비",F531="명절비"),AND(B531="U008",C531=208,J531="경조사비",F531="임시보관",SUMIF($C$430:$C$729,C531,$D$430:$D$729)&lt;=39000)),OR(COUNTIF($A$8:$A$12,F531)=1,F531="결제대금비",AND(B531="U008",C531=208,J531="경조사비",F531="임시보관",SUMIF($C$430:$C$729,C531,$D$430:$D$729)&lt;=39000)),COUNTIF($A$8:$A$12,INDEX(잔액!$D:$D,MAX(64,C531)))=0,SUMIF($C$430:$C$729,C531,$D$430:$D$729)&lt;=INDEX(잔액!$Y:$Y,MAX(64,C531)))),1,0),0))</f>
      </c>
      <c r="N531" s="504">
        <f>IF(B531="","",IFERROR(IF(AND(COUNTIF($A$100:$A$399,B531)=1,INDEX($R$100:$R$399,MATCH(B531,$A$100:$A$399,0))="OK",D531&gt;0,ISNUMBER(E531),M531=1,SUMIF($B$430:$B$729,B531,$D$430:$D$729)&lt;=INDEX($E$100:$E$399,MATCH(B531,$A$100:$A$399,0))),"OK","확인: 정산연결"),"확인: 정산연결"))</f>
      </c>
      <c r="O531" s="526">
        <f>IF(N531="OK",D531,0)</f>
        <v>0</v>
      </c>
    </row>
    <row r="532" hidden="1" outlineLevel="1">
      <c r="A532" s="504">
        <f>IF(B532="","","S"&amp;ROW())</f>
      </c>
      <c r="B532" s="522" t="n"/>
      <c r="C532" s="522" t="n"/>
      <c r="D532" s="525">
        <f>IF(C532="","",IFERROR(INDEX(잔액!$Y:$Y,MAX(64,C532)),0))</f>
      </c>
      <c r="E532" s="524">
        <f>IF(C532="","",IFERROR(INDEX(잔액!$A:$A,MAX(64,C532)),""))</f>
      </c>
      <c r="F532" s="504">
        <f>IF(C532="","",IFERROR(INDEX(잔액!$C:$C,MAX(64,C532)),""))</f>
      </c>
      <c r="G532" s="504">
        <f>IF(C532="","",IF(INDEX(잔액!$K:$K,MAX(64,C532))&lt;&gt;"",INDEX(잔액!$K:$K,MAX(64,C532)),INDEX(잔액!$D:$D,MAX(64,C532))))</f>
      </c>
      <c r="H532" s="504" t="inlineStr">
        <is>
          <t>원장</t>
        </is>
      </c>
      <c r="J532" s="504">
        <f>IFERROR(INDEX($C$100:$C$399,MATCH(B532,$A$100:$A$399,0)),"")</f>
        <v>0</v>
      </c>
      <c r="K532" s="524">
        <f>IFERROR(INDEX($D$100:$D$399,MATCH(B532,$A$100:$A$399,0)),"")</f>
      </c>
      <c r="L532" s="504">
        <f>IFERROR(INDEX($S$100:$S$399,MATCH(B532,$A$100:$A$399,0)),"")</f>
        <v>0</v>
      </c>
      <c r="M532" s="504">
        <f>IF(B532="","",IFERROR(IF(OR(AND(H532="기초반영",OR(B532="U001",B532="U002",B532="U003"),C532="",E532=DATE(2026,3,1)),AND(H532="원장",C532&gt;=64,C532&lt;=500,INDEX(잔액!$I:$I,MAX(64,C532))="OK",E532=INDEX(잔액!$A:$A,MAX(64,C532)),F532=INDEX(잔액!$C:$C,MAX(64,C532)),OR(F532=J532,F532="결제대금비",AND(B532="U008",C532=223,J532="경조사비",F532="명절비"),AND(B532="U008",C532=208,J532="경조사비",F532="임시보관",SUMIF($C$430:$C$729,C532,$D$430:$D$729)&lt;=39000)),OR(COUNTIF($A$8:$A$12,F532)=1,F532="결제대금비",AND(B532="U008",C532=208,J532="경조사비",F532="임시보관",SUMIF($C$430:$C$729,C532,$D$430:$D$729)&lt;=39000)),COUNTIF($A$8:$A$12,INDEX(잔액!$D:$D,MAX(64,C532)))=0,SUMIF($C$430:$C$729,C532,$D$430:$D$729)&lt;=INDEX(잔액!$Y:$Y,MAX(64,C532)))),1,0),0))</f>
      </c>
      <c r="N532" s="504">
        <f>IF(B532="","",IFERROR(IF(AND(COUNTIF($A$100:$A$399,B532)=1,INDEX($R$100:$R$399,MATCH(B532,$A$100:$A$399,0))="OK",D532&gt;0,ISNUMBER(E532),M532=1,SUMIF($B$430:$B$729,B532,$D$430:$D$729)&lt;=INDEX($E$100:$E$399,MATCH(B532,$A$100:$A$399,0))),"OK","확인: 정산연결"),"확인: 정산연결"))</f>
      </c>
      <c r="O532" s="526">
        <f>IF(N532="OK",D532,0)</f>
        <v>0</v>
      </c>
    </row>
    <row r="533" hidden="1" outlineLevel="1">
      <c r="A533" s="504">
        <f>IF(B533="","","S"&amp;ROW())</f>
      </c>
      <c r="B533" s="522" t="n"/>
      <c r="C533" s="522" t="n"/>
      <c r="D533" s="525">
        <f>IF(C533="","",IFERROR(INDEX(잔액!$Y:$Y,MAX(64,C533)),0))</f>
      </c>
      <c r="E533" s="524">
        <f>IF(C533="","",IFERROR(INDEX(잔액!$A:$A,MAX(64,C533)),""))</f>
      </c>
      <c r="F533" s="504">
        <f>IF(C533="","",IFERROR(INDEX(잔액!$C:$C,MAX(64,C533)),""))</f>
      </c>
      <c r="G533" s="504">
        <f>IF(C533="","",IF(INDEX(잔액!$K:$K,MAX(64,C533))&lt;&gt;"",INDEX(잔액!$K:$K,MAX(64,C533)),INDEX(잔액!$D:$D,MAX(64,C533))))</f>
      </c>
      <c r="H533" s="504" t="inlineStr">
        <is>
          <t>원장</t>
        </is>
      </c>
      <c r="J533" s="504">
        <f>IFERROR(INDEX($C$100:$C$399,MATCH(B533,$A$100:$A$399,0)),"")</f>
        <v>0</v>
      </c>
      <c r="K533" s="524">
        <f>IFERROR(INDEX($D$100:$D$399,MATCH(B533,$A$100:$A$399,0)),"")</f>
      </c>
      <c r="L533" s="504">
        <f>IFERROR(INDEX($S$100:$S$399,MATCH(B533,$A$100:$A$399,0)),"")</f>
        <v>0</v>
      </c>
      <c r="M533" s="504">
        <f>IF(B533="","",IFERROR(IF(OR(AND(H533="기초반영",OR(B533="U001",B533="U002",B533="U003"),C533="",E533=DATE(2026,3,1)),AND(H533="원장",C533&gt;=64,C533&lt;=500,INDEX(잔액!$I:$I,MAX(64,C533))="OK",E533=INDEX(잔액!$A:$A,MAX(64,C533)),F533=INDEX(잔액!$C:$C,MAX(64,C533)),OR(F533=J533,F533="결제대금비",AND(B533="U008",C533=223,J533="경조사비",F533="명절비"),AND(B533="U008",C533=208,J533="경조사비",F533="임시보관",SUMIF($C$430:$C$729,C533,$D$430:$D$729)&lt;=39000)),OR(COUNTIF($A$8:$A$12,F533)=1,F533="결제대금비",AND(B533="U008",C533=208,J533="경조사비",F533="임시보관",SUMIF($C$430:$C$729,C533,$D$430:$D$729)&lt;=39000)),COUNTIF($A$8:$A$12,INDEX(잔액!$D:$D,MAX(64,C533)))=0,SUMIF($C$430:$C$729,C533,$D$430:$D$729)&lt;=INDEX(잔액!$Y:$Y,MAX(64,C533)))),1,0),0))</f>
      </c>
      <c r="N533" s="504">
        <f>IF(B533="","",IFERROR(IF(AND(COUNTIF($A$100:$A$399,B533)=1,INDEX($R$100:$R$399,MATCH(B533,$A$100:$A$399,0))="OK",D533&gt;0,ISNUMBER(E533),M533=1,SUMIF($B$430:$B$729,B533,$D$430:$D$729)&lt;=INDEX($E$100:$E$399,MATCH(B533,$A$100:$A$399,0))),"OK","확인: 정산연결"),"확인: 정산연결"))</f>
      </c>
      <c r="O533" s="526">
        <f>IF(N533="OK",D533,0)</f>
        <v>0</v>
      </c>
    </row>
    <row r="534" hidden="1" outlineLevel="1">
      <c r="A534" s="504">
        <f>IF(B534="","","S"&amp;ROW())</f>
      </c>
      <c r="B534" s="522" t="n"/>
      <c r="C534" s="522" t="n"/>
      <c r="D534" s="525">
        <f>IF(C534="","",IFERROR(INDEX(잔액!$Y:$Y,MAX(64,C534)),0))</f>
      </c>
      <c r="E534" s="524">
        <f>IF(C534="","",IFERROR(INDEX(잔액!$A:$A,MAX(64,C534)),""))</f>
      </c>
      <c r="F534" s="504">
        <f>IF(C534="","",IFERROR(INDEX(잔액!$C:$C,MAX(64,C534)),""))</f>
      </c>
      <c r="G534" s="504">
        <f>IF(C534="","",IF(INDEX(잔액!$K:$K,MAX(64,C534))&lt;&gt;"",INDEX(잔액!$K:$K,MAX(64,C534)),INDEX(잔액!$D:$D,MAX(64,C534))))</f>
      </c>
      <c r="H534" s="504" t="inlineStr">
        <is>
          <t>원장</t>
        </is>
      </c>
      <c r="J534" s="504">
        <f>IFERROR(INDEX($C$100:$C$399,MATCH(B534,$A$100:$A$399,0)),"")</f>
        <v>0</v>
      </c>
      <c r="K534" s="524">
        <f>IFERROR(INDEX($D$100:$D$399,MATCH(B534,$A$100:$A$399,0)),"")</f>
      </c>
      <c r="L534" s="504">
        <f>IFERROR(INDEX($S$100:$S$399,MATCH(B534,$A$100:$A$399,0)),"")</f>
        <v>0</v>
      </c>
      <c r="M534" s="504">
        <f>IF(B534="","",IFERROR(IF(OR(AND(H534="기초반영",OR(B534="U001",B534="U002",B534="U003"),C534="",E534=DATE(2026,3,1)),AND(H534="원장",C534&gt;=64,C534&lt;=500,INDEX(잔액!$I:$I,MAX(64,C534))="OK",E534=INDEX(잔액!$A:$A,MAX(64,C534)),F534=INDEX(잔액!$C:$C,MAX(64,C534)),OR(F534=J534,F534="결제대금비",AND(B534="U008",C534=223,J534="경조사비",F534="명절비"),AND(B534="U008",C534=208,J534="경조사비",F534="임시보관",SUMIF($C$430:$C$729,C534,$D$430:$D$729)&lt;=39000)),OR(COUNTIF($A$8:$A$12,F534)=1,F534="결제대금비",AND(B534="U008",C534=208,J534="경조사비",F534="임시보관",SUMIF($C$430:$C$729,C534,$D$430:$D$729)&lt;=39000)),COUNTIF($A$8:$A$12,INDEX(잔액!$D:$D,MAX(64,C534)))=0,SUMIF($C$430:$C$729,C534,$D$430:$D$729)&lt;=INDEX(잔액!$Y:$Y,MAX(64,C534)))),1,0),0))</f>
      </c>
      <c r="N534" s="504">
        <f>IF(B534="","",IFERROR(IF(AND(COUNTIF($A$100:$A$399,B534)=1,INDEX($R$100:$R$399,MATCH(B534,$A$100:$A$399,0))="OK",D534&gt;0,ISNUMBER(E534),M534=1,SUMIF($B$430:$B$729,B534,$D$430:$D$729)&lt;=INDEX($E$100:$E$399,MATCH(B534,$A$100:$A$399,0))),"OK","확인: 정산연결"),"확인: 정산연결"))</f>
      </c>
      <c r="O534" s="526">
        <f>IF(N534="OK",D534,0)</f>
        <v>0</v>
      </c>
    </row>
    <row r="535" hidden="1" outlineLevel="1">
      <c r="A535" s="504">
        <f>IF(B535="","","S"&amp;ROW())</f>
      </c>
      <c r="B535" s="522" t="n"/>
      <c r="C535" s="522" t="n"/>
      <c r="D535" s="525">
        <f>IF(C535="","",IFERROR(INDEX(잔액!$Y:$Y,MAX(64,C535)),0))</f>
      </c>
      <c r="E535" s="524">
        <f>IF(C535="","",IFERROR(INDEX(잔액!$A:$A,MAX(64,C535)),""))</f>
      </c>
      <c r="F535" s="504">
        <f>IF(C535="","",IFERROR(INDEX(잔액!$C:$C,MAX(64,C535)),""))</f>
      </c>
      <c r="G535" s="504">
        <f>IF(C535="","",IF(INDEX(잔액!$K:$K,MAX(64,C535))&lt;&gt;"",INDEX(잔액!$K:$K,MAX(64,C535)),INDEX(잔액!$D:$D,MAX(64,C535))))</f>
      </c>
      <c r="H535" s="504" t="inlineStr">
        <is>
          <t>원장</t>
        </is>
      </c>
      <c r="J535" s="504">
        <f>IFERROR(INDEX($C$100:$C$399,MATCH(B535,$A$100:$A$399,0)),"")</f>
        <v>0</v>
      </c>
      <c r="K535" s="524">
        <f>IFERROR(INDEX($D$100:$D$399,MATCH(B535,$A$100:$A$399,0)),"")</f>
      </c>
      <c r="L535" s="504">
        <f>IFERROR(INDEX($S$100:$S$399,MATCH(B535,$A$100:$A$399,0)),"")</f>
        <v>0</v>
      </c>
      <c r="M535" s="504">
        <f>IF(B535="","",IFERROR(IF(OR(AND(H535="기초반영",OR(B535="U001",B535="U002",B535="U003"),C535="",E535=DATE(2026,3,1)),AND(H535="원장",C535&gt;=64,C535&lt;=500,INDEX(잔액!$I:$I,MAX(64,C535))="OK",E535=INDEX(잔액!$A:$A,MAX(64,C535)),F535=INDEX(잔액!$C:$C,MAX(64,C535)),OR(F535=J535,F535="결제대금비",AND(B535="U008",C535=223,J535="경조사비",F535="명절비"),AND(B535="U008",C535=208,J535="경조사비",F535="임시보관",SUMIF($C$430:$C$729,C535,$D$430:$D$729)&lt;=39000)),OR(COUNTIF($A$8:$A$12,F535)=1,F535="결제대금비",AND(B535="U008",C535=208,J535="경조사비",F535="임시보관",SUMIF($C$430:$C$729,C535,$D$430:$D$729)&lt;=39000)),COUNTIF($A$8:$A$12,INDEX(잔액!$D:$D,MAX(64,C535)))=0,SUMIF($C$430:$C$729,C535,$D$430:$D$729)&lt;=INDEX(잔액!$Y:$Y,MAX(64,C535)))),1,0),0))</f>
      </c>
      <c r="N535" s="504">
        <f>IF(B535="","",IFERROR(IF(AND(COUNTIF($A$100:$A$399,B535)=1,INDEX($R$100:$R$399,MATCH(B535,$A$100:$A$399,0))="OK",D535&gt;0,ISNUMBER(E535),M535=1,SUMIF($B$430:$B$729,B535,$D$430:$D$729)&lt;=INDEX($E$100:$E$399,MATCH(B535,$A$100:$A$399,0))),"OK","확인: 정산연결"),"확인: 정산연결"))</f>
      </c>
      <c r="O535" s="526">
        <f>IF(N535="OK",D535,0)</f>
        <v>0</v>
      </c>
    </row>
    <row r="536" hidden="1" outlineLevel="1">
      <c r="A536" s="504">
        <f>IF(B536="","","S"&amp;ROW())</f>
      </c>
      <c r="B536" s="522" t="n"/>
      <c r="C536" s="522" t="n"/>
      <c r="D536" s="525">
        <f>IF(C536="","",IFERROR(INDEX(잔액!$Y:$Y,MAX(64,C536)),0))</f>
      </c>
      <c r="E536" s="524">
        <f>IF(C536="","",IFERROR(INDEX(잔액!$A:$A,MAX(64,C536)),""))</f>
      </c>
      <c r="F536" s="504">
        <f>IF(C536="","",IFERROR(INDEX(잔액!$C:$C,MAX(64,C536)),""))</f>
      </c>
      <c r="G536" s="504">
        <f>IF(C536="","",IF(INDEX(잔액!$K:$K,MAX(64,C536))&lt;&gt;"",INDEX(잔액!$K:$K,MAX(64,C536)),INDEX(잔액!$D:$D,MAX(64,C536))))</f>
      </c>
      <c r="H536" s="504" t="inlineStr">
        <is>
          <t>원장</t>
        </is>
      </c>
      <c r="J536" s="504">
        <f>IFERROR(INDEX($C$100:$C$399,MATCH(B536,$A$100:$A$399,0)),"")</f>
        <v>0</v>
      </c>
      <c r="K536" s="524">
        <f>IFERROR(INDEX($D$100:$D$399,MATCH(B536,$A$100:$A$399,0)),"")</f>
      </c>
      <c r="L536" s="504">
        <f>IFERROR(INDEX($S$100:$S$399,MATCH(B536,$A$100:$A$399,0)),"")</f>
        <v>0</v>
      </c>
      <c r="M536" s="504">
        <f>IF(B536="","",IFERROR(IF(OR(AND(H536="기초반영",OR(B536="U001",B536="U002",B536="U003"),C536="",E536=DATE(2026,3,1)),AND(H536="원장",C536&gt;=64,C536&lt;=500,INDEX(잔액!$I:$I,MAX(64,C536))="OK",E536=INDEX(잔액!$A:$A,MAX(64,C536)),F536=INDEX(잔액!$C:$C,MAX(64,C536)),OR(F536=J536,F536="결제대금비",AND(B536="U008",C536=223,J536="경조사비",F536="명절비"),AND(B536="U008",C536=208,J536="경조사비",F536="임시보관",SUMIF($C$430:$C$729,C536,$D$430:$D$729)&lt;=39000)),OR(COUNTIF($A$8:$A$12,F536)=1,F536="결제대금비",AND(B536="U008",C536=208,J536="경조사비",F536="임시보관",SUMIF($C$430:$C$729,C536,$D$430:$D$729)&lt;=39000)),COUNTIF($A$8:$A$12,INDEX(잔액!$D:$D,MAX(64,C536)))=0,SUMIF($C$430:$C$729,C536,$D$430:$D$729)&lt;=INDEX(잔액!$Y:$Y,MAX(64,C536)))),1,0),0))</f>
      </c>
      <c r="N536" s="504">
        <f>IF(B536="","",IFERROR(IF(AND(COUNTIF($A$100:$A$399,B536)=1,INDEX($R$100:$R$399,MATCH(B536,$A$100:$A$399,0))="OK",D536&gt;0,ISNUMBER(E536),M536=1,SUMIF($B$430:$B$729,B536,$D$430:$D$729)&lt;=INDEX($E$100:$E$399,MATCH(B536,$A$100:$A$399,0))),"OK","확인: 정산연결"),"확인: 정산연결"))</f>
      </c>
      <c r="O536" s="526">
        <f>IF(N536="OK",D536,0)</f>
        <v>0</v>
      </c>
    </row>
    <row r="537" hidden="1" outlineLevel="1">
      <c r="A537" s="504">
        <f>IF(B537="","","S"&amp;ROW())</f>
      </c>
      <c r="B537" s="522" t="n"/>
      <c r="C537" s="522" t="n"/>
      <c r="D537" s="525">
        <f>IF(C537="","",IFERROR(INDEX(잔액!$Y:$Y,MAX(64,C537)),0))</f>
      </c>
      <c r="E537" s="524">
        <f>IF(C537="","",IFERROR(INDEX(잔액!$A:$A,MAX(64,C537)),""))</f>
      </c>
      <c r="F537" s="504">
        <f>IF(C537="","",IFERROR(INDEX(잔액!$C:$C,MAX(64,C537)),""))</f>
      </c>
      <c r="G537" s="504">
        <f>IF(C537="","",IF(INDEX(잔액!$K:$K,MAX(64,C537))&lt;&gt;"",INDEX(잔액!$K:$K,MAX(64,C537)),INDEX(잔액!$D:$D,MAX(64,C537))))</f>
      </c>
      <c r="H537" s="504" t="inlineStr">
        <is>
          <t>원장</t>
        </is>
      </c>
      <c r="J537" s="504">
        <f>IFERROR(INDEX($C$100:$C$399,MATCH(B537,$A$100:$A$399,0)),"")</f>
        <v>0</v>
      </c>
      <c r="K537" s="524">
        <f>IFERROR(INDEX($D$100:$D$399,MATCH(B537,$A$100:$A$399,0)),"")</f>
      </c>
      <c r="L537" s="504">
        <f>IFERROR(INDEX($S$100:$S$399,MATCH(B537,$A$100:$A$399,0)),"")</f>
        <v>0</v>
      </c>
      <c r="M537" s="504">
        <f>IF(B537="","",IFERROR(IF(OR(AND(H537="기초반영",OR(B537="U001",B537="U002",B537="U003"),C537="",E537=DATE(2026,3,1)),AND(H537="원장",C537&gt;=64,C537&lt;=500,INDEX(잔액!$I:$I,MAX(64,C537))="OK",E537=INDEX(잔액!$A:$A,MAX(64,C537)),F537=INDEX(잔액!$C:$C,MAX(64,C537)),OR(F537=J537,F537="결제대금비",AND(B537="U008",C537=223,J537="경조사비",F537="명절비"),AND(B537="U008",C537=208,J537="경조사비",F537="임시보관",SUMIF($C$430:$C$729,C537,$D$430:$D$729)&lt;=39000)),OR(COUNTIF($A$8:$A$12,F537)=1,F537="결제대금비",AND(B537="U008",C537=208,J537="경조사비",F537="임시보관",SUMIF($C$430:$C$729,C537,$D$430:$D$729)&lt;=39000)),COUNTIF($A$8:$A$12,INDEX(잔액!$D:$D,MAX(64,C537)))=0,SUMIF($C$430:$C$729,C537,$D$430:$D$729)&lt;=INDEX(잔액!$Y:$Y,MAX(64,C537)))),1,0),0))</f>
      </c>
      <c r="N537" s="504">
        <f>IF(B537="","",IFERROR(IF(AND(COUNTIF($A$100:$A$399,B537)=1,INDEX($R$100:$R$399,MATCH(B537,$A$100:$A$399,0))="OK",D537&gt;0,ISNUMBER(E537),M537=1,SUMIF($B$430:$B$729,B537,$D$430:$D$729)&lt;=INDEX($E$100:$E$399,MATCH(B537,$A$100:$A$399,0))),"OK","확인: 정산연결"),"확인: 정산연결"))</f>
      </c>
      <c r="O537" s="526">
        <f>IF(N537="OK",D537,0)</f>
        <v>0</v>
      </c>
    </row>
    <row r="538" hidden="1" outlineLevel="1">
      <c r="A538" s="504">
        <f>IF(B538="","","S"&amp;ROW())</f>
      </c>
      <c r="B538" s="522" t="n"/>
      <c r="C538" s="522" t="n"/>
      <c r="D538" s="525">
        <f>IF(C538="","",IFERROR(INDEX(잔액!$Y:$Y,MAX(64,C538)),0))</f>
      </c>
      <c r="E538" s="524">
        <f>IF(C538="","",IFERROR(INDEX(잔액!$A:$A,MAX(64,C538)),""))</f>
      </c>
      <c r="F538" s="504">
        <f>IF(C538="","",IFERROR(INDEX(잔액!$C:$C,MAX(64,C538)),""))</f>
      </c>
      <c r="G538" s="504">
        <f>IF(C538="","",IF(INDEX(잔액!$K:$K,MAX(64,C538))&lt;&gt;"",INDEX(잔액!$K:$K,MAX(64,C538)),INDEX(잔액!$D:$D,MAX(64,C538))))</f>
      </c>
      <c r="H538" s="504" t="inlineStr">
        <is>
          <t>원장</t>
        </is>
      </c>
      <c r="J538" s="504">
        <f>IFERROR(INDEX($C$100:$C$399,MATCH(B538,$A$100:$A$399,0)),"")</f>
        <v>0</v>
      </c>
      <c r="K538" s="524">
        <f>IFERROR(INDEX($D$100:$D$399,MATCH(B538,$A$100:$A$399,0)),"")</f>
      </c>
      <c r="L538" s="504">
        <f>IFERROR(INDEX($S$100:$S$399,MATCH(B538,$A$100:$A$399,0)),"")</f>
        <v>0</v>
      </c>
      <c r="M538" s="504">
        <f>IF(B538="","",IFERROR(IF(OR(AND(H538="기초반영",OR(B538="U001",B538="U002",B538="U003"),C538="",E538=DATE(2026,3,1)),AND(H538="원장",C538&gt;=64,C538&lt;=500,INDEX(잔액!$I:$I,MAX(64,C538))="OK",E538=INDEX(잔액!$A:$A,MAX(64,C538)),F538=INDEX(잔액!$C:$C,MAX(64,C538)),OR(F538=J538,F538="결제대금비",AND(B538="U008",C538=223,J538="경조사비",F538="명절비"),AND(B538="U008",C538=208,J538="경조사비",F538="임시보관",SUMIF($C$430:$C$729,C538,$D$430:$D$729)&lt;=39000)),OR(COUNTIF($A$8:$A$12,F538)=1,F538="결제대금비",AND(B538="U008",C538=208,J538="경조사비",F538="임시보관",SUMIF($C$430:$C$729,C538,$D$430:$D$729)&lt;=39000)),COUNTIF($A$8:$A$12,INDEX(잔액!$D:$D,MAX(64,C538)))=0,SUMIF($C$430:$C$729,C538,$D$430:$D$729)&lt;=INDEX(잔액!$Y:$Y,MAX(64,C538)))),1,0),0))</f>
      </c>
      <c r="N538" s="504">
        <f>IF(B538="","",IFERROR(IF(AND(COUNTIF($A$100:$A$399,B538)=1,INDEX($R$100:$R$399,MATCH(B538,$A$100:$A$399,0))="OK",D538&gt;0,ISNUMBER(E538),M538=1,SUMIF($B$430:$B$729,B538,$D$430:$D$729)&lt;=INDEX($E$100:$E$399,MATCH(B538,$A$100:$A$399,0))),"OK","확인: 정산연결"),"확인: 정산연결"))</f>
      </c>
      <c r="O538" s="526">
        <f>IF(N538="OK",D538,0)</f>
        <v>0</v>
      </c>
    </row>
    <row r="539" hidden="1" outlineLevel="1">
      <c r="A539" s="504">
        <f>IF(B539="","","S"&amp;ROW())</f>
      </c>
      <c r="B539" s="522" t="n"/>
      <c r="C539" s="522" t="n"/>
      <c r="D539" s="525">
        <f>IF(C539="","",IFERROR(INDEX(잔액!$Y:$Y,MAX(64,C539)),0))</f>
      </c>
      <c r="E539" s="524">
        <f>IF(C539="","",IFERROR(INDEX(잔액!$A:$A,MAX(64,C539)),""))</f>
      </c>
      <c r="F539" s="504">
        <f>IF(C539="","",IFERROR(INDEX(잔액!$C:$C,MAX(64,C539)),""))</f>
      </c>
      <c r="G539" s="504">
        <f>IF(C539="","",IF(INDEX(잔액!$K:$K,MAX(64,C539))&lt;&gt;"",INDEX(잔액!$K:$K,MAX(64,C539)),INDEX(잔액!$D:$D,MAX(64,C539))))</f>
      </c>
      <c r="H539" s="504" t="inlineStr">
        <is>
          <t>원장</t>
        </is>
      </c>
      <c r="J539" s="504">
        <f>IFERROR(INDEX($C$100:$C$399,MATCH(B539,$A$100:$A$399,0)),"")</f>
        <v>0</v>
      </c>
      <c r="K539" s="524">
        <f>IFERROR(INDEX($D$100:$D$399,MATCH(B539,$A$100:$A$399,0)),"")</f>
      </c>
      <c r="L539" s="504">
        <f>IFERROR(INDEX($S$100:$S$399,MATCH(B539,$A$100:$A$399,0)),"")</f>
        <v>0</v>
      </c>
      <c r="M539" s="504">
        <f>IF(B539="","",IFERROR(IF(OR(AND(H539="기초반영",OR(B539="U001",B539="U002",B539="U003"),C539="",E539=DATE(2026,3,1)),AND(H539="원장",C539&gt;=64,C539&lt;=500,INDEX(잔액!$I:$I,MAX(64,C539))="OK",E539=INDEX(잔액!$A:$A,MAX(64,C539)),F539=INDEX(잔액!$C:$C,MAX(64,C539)),OR(F539=J539,F539="결제대금비",AND(B539="U008",C539=223,J539="경조사비",F539="명절비"),AND(B539="U008",C539=208,J539="경조사비",F539="임시보관",SUMIF($C$430:$C$729,C539,$D$430:$D$729)&lt;=39000)),OR(COUNTIF($A$8:$A$12,F539)=1,F539="결제대금비",AND(B539="U008",C539=208,J539="경조사비",F539="임시보관",SUMIF($C$430:$C$729,C539,$D$430:$D$729)&lt;=39000)),COUNTIF($A$8:$A$12,INDEX(잔액!$D:$D,MAX(64,C539)))=0,SUMIF($C$430:$C$729,C539,$D$430:$D$729)&lt;=INDEX(잔액!$Y:$Y,MAX(64,C539)))),1,0),0))</f>
      </c>
      <c r="N539" s="504">
        <f>IF(B539="","",IFERROR(IF(AND(COUNTIF($A$100:$A$399,B539)=1,INDEX($R$100:$R$399,MATCH(B539,$A$100:$A$399,0))="OK",D539&gt;0,ISNUMBER(E539),M539=1,SUMIF($B$430:$B$729,B539,$D$430:$D$729)&lt;=INDEX($E$100:$E$399,MATCH(B539,$A$100:$A$399,0))),"OK","확인: 정산연결"),"확인: 정산연결"))</f>
      </c>
      <c r="O539" s="526">
        <f>IF(N539="OK",D539,0)</f>
        <v>0</v>
      </c>
    </row>
    <row r="540" hidden="1" outlineLevel="1">
      <c r="A540" s="504">
        <f>IF(B540="","","S"&amp;ROW())</f>
      </c>
      <c r="B540" s="522" t="n"/>
      <c r="C540" s="522" t="n"/>
      <c r="D540" s="525">
        <f>IF(C540="","",IFERROR(INDEX(잔액!$Y:$Y,MAX(64,C540)),0))</f>
      </c>
      <c r="E540" s="524">
        <f>IF(C540="","",IFERROR(INDEX(잔액!$A:$A,MAX(64,C540)),""))</f>
      </c>
      <c r="F540" s="504">
        <f>IF(C540="","",IFERROR(INDEX(잔액!$C:$C,MAX(64,C540)),""))</f>
      </c>
      <c r="G540" s="504">
        <f>IF(C540="","",IF(INDEX(잔액!$K:$K,MAX(64,C540))&lt;&gt;"",INDEX(잔액!$K:$K,MAX(64,C540)),INDEX(잔액!$D:$D,MAX(64,C540))))</f>
      </c>
      <c r="H540" s="504" t="inlineStr">
        <is>
          <t>원장</t>
        </is>
      </c>
      <c r="J540" s="504">
        <f>IFERROR(INDEX($C$100:$C$399,MATCH(B540,$A$100:$A$399,0)),"")</f>
        <v>0</v>
      </c>
      <c r="K540" s="524">
        <f>IFERROR(INDEX($D$100:$D$399,MATCH(B540,$A$100:$A$399,0)),"")</f>
      </c>
      <c r="L540" s="504">
        <f>IFERROR(INDEX($S$100:$S$399,MATCH(B540,$A$100:$A$399,0)),"")</f>
        <v>0</v>
      </c>
      <c r="M540" s="504">
        <f>IF(B540="","",IFERROR(IF(OR(AND(H540="기초반영",OR(B540="U001",B540="U002",B540="U003"),C540="",E540=DATE(2026,3,1)),AND(H540="원장",C540&gt;=64,C540&lt;=500,INDEX(잔액!$I:$I,MAX(64,C540))="OK",E540=INDEX(잔액!$A:$A,MAX(64,C540)),F540=INDEX(잔액!$C:$C,MAX(64,C540)),OR(F540=J540,F540="결제대금비",AND(B540="U008",C540=223,J540="경조사비",F540="명절비"),AND(B540="U008",C540=208,J540="경조사비",F540="임시보관",SUMIF($C$430:$C$729,C540,$D$430:$D$729)&lt;=39000)),OR(COUNTIF($A$8:$A$12,F540)=1,F540="결제대금비",AND(B540="U008",C540=208,J540="경조사비",F540="임시보관",SUMIF($C$430:$C$729,C540,$D$430:$D$729)&lt;=39000)),COUNTIF($A$8:$A$12,INDEX(잔액!$D:$D,MAX(64,C540)))=0,SUMIF($C$430:$C$729,C540,$D$430:$D$729)&lt;=INDEX(잔액!$Y:$Y,MAX(64,C540)))),1,0),0))</f>
      </c>
      <c r="N540" s="504">
        <f>IF(B540="","",IFERROR(IF(AND(COUNTIF($A$100:$A$399,B540)=1,INDEX($R$100:$R$399,MATCH(B540,$A$100:$A$399,0))="OK",D540&gt;0,ISNUMBER(E540),M540=1,SUMIF($B$430:$B$729,B540,$D$430:$D$729)&lt;=INDEX($E$100:$E$399,MATCH(B540,$A$100:$A$399,0))),"OK","확인: 정산연결"),"확인: 정산연결"))</f>
      </c>
      <c r="O540" s="526">
        <f>IF(N540="OK",D540,0)</f>
        <v>0</v>
      </c>
    </row>
    <row r="541" hidden="1" outlineLevel="1">
      <c r="A541" s="504">
        <f>IF(B541="","","S"&amp;ROW())</f>
      </c>
      <c r="B541" s="522" t="n"/>
      <c r="C541" s="522" t="n"/>
      <c r="D541" s="525">
        <f>IF(C541="","",IFERROR(INDEX(잔액!$Y:$Y,MAX(64,C541)),0))</f>
      </c>
      <c r="E541" s="524">
        <f>IF(C541="","",IFERROR(INDEX(잔액!$A:$A,MAX(64,C541)),""))</f>
      </c>
      <c r="F541" s="504">
        <f>IF(C541="","",IFERROR(INDEX(잔액!$C:$C,MAX(64,C541)),""))</f>
      </c>
      <c r="G541" s="504">
        <f>IF(C541="","",IF(INDEX(잔액!$K:$K,MAX(64,C541))&lt;&gt;"",INDEX(잔액!$K:$K,MAX(64,C541)),INDEX(잔액!$D:$D,MAX(64,C541))))</f>
      </c>
      <c r="H541" s="504" t="inlineStr">
        <is>
          <t>원장</t>
        </is>
      </c>
      <c r="J541" s="504">
        <f>IFERROR(INDEX($C$100:$C$399,MATCH(B541,$A$100:$A$399,0)),"")</f>
        <v>0</v>
      </c>
      <c r="K541" s="524">
        <f>IFERROR(INDEX($D$100:$D$399,MATCH(B541,$A$100:$A$399,0)),"")</f>
      </c>
      <c r="L541" s="504">
        <f>IFERROR(INDEX($S$100:$S$399,MATCH(B541,$A$100:$A$399,0)),"")</f>
        <v>0</v>
      </c>
      <c r="M541" s="504">
        <f>IF(B541="","",IFERROR(IF(OR(AND(H541="기초반영",OR(B541="U001",B541="U002",B541="U003"),C541="",E541=DATE(2026,3,1)),AND(H541="원장",C541&gt;=64,C541&lt;=500,INDEX(잔액!$I:$I,MAX(64,C541))="OK",E541=INDEX(잔액!$A:$A,MAX(64,C541)),F541=INDEX(잔액!$C:$C,MAX(64,C541)),OR(F541=J541,F541="결제대금비",AND(B541="U008",C541=223,J541="경조사비",F541="명절비"),AND(B541="U008",C541=208,J541="경조사비",F541="임시보관",SUMIF($C$430:$C$729,C541,$D$430:$D$729)&lt;=39000)),OR(COUNTIF($A$8:$A$12,F541)=1,F541="결제대금비",AND(B541="U008",C541=208,J541="경조사비",F541="임시보관",SUMIF($C$430:$C$729,C541,$D$430:$D$729)&lt;=39000)),COUNTIF($A$8:$A$12,INDEX(잔액!$D:$D,MAX(64,C541)))=0,SUMIF($C$430:$C$729,C541,$D$430:$D$729)&lt;=INDEX(잔액!$Y:$Y,MAX(64,C541)))),1,0),0))</f>
      </c>
      <c r="N541" s="504">
        <f>IF(B541="","",IFERROR(IF(AND(COUNTIF($A$100:$A$399,B541)=1,INDEX($R$100:$R$399,MATCH(B541,$A$100:$A$399,0))="OK",D541&gt;0,ISNUMBER(E541),M541=1,SUMIF($B$430:$B$729,B541,$D$430:$D$729)&lt;=INDEX($E$100:$E$399,MATCH(B541,$A$100:$A$399,0))),"OK","확인: 정산연결"),"확인: 정산연결"))</f>
      </c>
      <c r="O541" s="526">
        <f>IF(N541="OK",D541,0)</f>
        <v>0</v>
      </c>
    </row>
    <row r="542" hidden="1" outlineLevel="1">
      <c r="A542" s="504">
        <f>IF(B542="","","S"&amp;ROW())</f>
      </c>
      <c r="B542" s="522" t="n"/>
      <c r="C542" s="522" t="n"/>
      <c r="D542" s="525">
        <f>IF(C542="","",IFERROR(INDEX(잔액!$Y:$Y,MAX(64,C542)),0))</f>
      </c>
      <c r="E542" s="524">
        <f>IF(C542="","",IFERROR(INDEX(잔액!$A:$A,MAX(64,C542)),""))</f>
      </c>
      <c r="F542" s="504">
        <f>IF(C542="","",IFERROR(INDEX(잔액!$C:$C,MAX(64,C542)),""))</f>
      </c>
      <c r="G542" s="504">
        <f>IF(C542="","",IF(INDEX(잔액!$K:$K,MAX(64,C542))&lt;&gt;"",INDEX(잔액!$K:$K,MAX(64,C542)),INDEX(잔액!$D:$D,MAX(64,C542))))</f>
      </c>
      <c r="H542" s="504" t="inlineStr">
        <is>
          <t>원장</t>
        </is>
      </c>
      <c r="J542" s="504">
        <f>IFERROR(INDEX($C$100:$C$399,MATCH(B542,$A$100:$A$399,0)),"")</f>
        <v>0</v>
      </c>
      <c r="K542" s="524">
        <f>IFERROR(INDEX($D$100:$D$399,MATCH(B542,$A$100:$A$399,0)),"")</f>
      </c>
      <c r="L542" s="504">
        <f>IFERROR(INDEX($S$100:$S$399,MATCH(B542,$A$100:$A$399,0)),"")</f>
        <v>0</v>
      </c>
      <c r="M542" s="504">
        <f>IF(B542="","",IFERROR(IF(OR(AND(H542="기초반영",OR(B542="U001",B542="U002",B542="U003"),C542="",E542=DATE(2026,3,1)),AND(H542="원장",C542&gt;=64,C542&lt;=500,INDEX(잔액!$I:$I,MAX(64,C542))="OK",E542=INDEX(잔액!$A:$A,MAX(64,C542)),F542=INDEX(잔액!$C:$C,MAX(64,C542)),OR(F542=J542,F542="결제대금비",AND(B542="U008",C542=223,J542="경조사비",F542="명절비"),AND(B542="U008",C542=208,J542="경조사비",F542="임시보관",SUMIF($C$430:$C$729,C542,$D$430:$D$729)&lt;=39000)),OR(COUNTIF($A$8:$A$12,F542)=1,F542="결제대금비",AND(B542="U008",C542=208,J542="경조사비",F542="임시보관",SUMIF($C$430:$C$729,C542,$D$430:$D$729)&lt;=39000)),COUNTIF($A$8:$A$12,INDEX(잔액!$D:$D,MAX(64,C542)))=0,SUMIF($C$430:$C$729,C542,$D$430:$D$729)&lt;=INDEX(잔액!$Y:$Y,MAX(64,C542)))),1,0),0))</f>
      </c>
      <c r="N542" s="504">
        <f>IF(B542="","",IFERROR(IF(AND(COUNTIF($A$100:$A$399,B542)=1,INDEX($R$100:$R$399,MATCH(B542,$A$100:$A$399,0))="OK",D542&gt;0,ISNUMBER(E542),M542=1,SUMIF($B$430:$B$729,B542,$D$430:$D$729)&lt;=INDEX($E$100:$E$399,MATCH(B542,$A$100:$A$399,0))),"OK","확인: 정산연결"),"확인: 정산연결"))</f>
      </c>
      <c r="O542" s="526">
        <f>IF(N542="OK",D542,0)</f>
        <v>0</v>
      </c>
    </row>
    <row r="543" hidden="1" outlineLevel="1">
      <c r="A543" s="504">
        <f>IF(B543="","","S"&amp;ROW())</f>
      </c>
      <c r="B543" s="522" t="n"/>
      <c r="C543" s="522" t="n"/>
      <c r="D543" s="525">
        <f>IF(C543="","",IFERROR(INDEX(잔액!$Y:$Y,MAX(64,C543)),0))</f>
      </c>
      <c r="E543" s="524">
        <f>IF(C543="","",IFERROR(INDEX(잔액!$A:$A,MAX(64,C543)),""))</f>
      </c>
      <c r="F543" s="504">
        <f>IF(C543="","",IFERROR(INDEX(잔액!$C:$C,MAX(64,C543)),""))</f>
      </c>
      <c r="G543" s="504">
        <f>IF(C543="","",IF(INDEX(잔액!$K:$K,MAX(64,C543))&lt;&gt;"",INDEX(잔액!$K:$K,MAX(64,C543)),INDEX(잔액!$D:$D,MAX(64,C543))))</f>
      </c>
      <c r="H543" s="504" t="inlineStr">
        <is>
          <t>원장</t>
        </is>
      </c>
      <c r="J543" s="504">
        <f>IFERROR(INDEX($C$100:$C$399,MATCH(B543,$A$100:$A$399,0)),"")</f>
        <v>0</v>
      </c>
      <c r="K543" s="524">
        <f>IFERROR(INDEX($D$100:$D$399,MATCH(B543,$A$100:$A$399,0)),"")</f>
      </c>
      <c r="L543" s="504">
        <f>IFERROR(INDEX($S$100:$S$399,MATCH(B543,$A$100:$A$399,0)),"")</f>
        <v>0</v>
      </c>
      <c r="M543" s="504">
        <f>IF(B543="","",IFERROR(IF(OR(AND(H543="기초반영",OR(B543="U001",B543="U002",B543="U003"),C543="",E543=DATE(2026,3,1)),AND(H543="원장",C543&gt;=64,C543&lt;=500,INDEX(잔액!$I:$I,MAX(64,C543))="OK",E543=INDEX(잔액!$A:$A,MAX(64,C543)),F543=INDEX(잔액!$C:$C,MAX(64,C543)),OR(F543=J543,F543="결제대금비",AND(B543="U008",C543=223,J543="경조사비",F543="명절비"),AND(B543="U008",C543=208,J543="경조사비",F543="임시보관",SUMIF($C$430:$C$729,C543,$D$430:$D$729)&lt;=39000)),OR(COUNTIF($A$8:$A$12,F543)=1,F543="결제대금비",AND(B543="U008",C543=208,J543="경조사비",F543="임시보관",SUMIF($C$430:$C$729,C543,$D$430:$D$729)&lt;=39000)),COUNTIF($A$8:$A$12,INDEX(잔액!$D:$D,MAX(64,C543)))=0,SUMIF($C$430:$C$729,C543,$D$430:$D$729)&lt;=INDEX(잔액!$Y:$Y,MAX(64,C543)))),1,0),0))</f>
      </c>
      <c r="N543" s="504">
        <f>IF(B543="","",IFERROR(IF(AND(COUNTIF($A$100:$A$399,B543)=1,INDEX($R$100:$R$399,MATCH(B543,$A$100:$A$399,0))="OK",D543&gt;0,ISNUMBER(E543),M543=1,SUMIF($B$430:$B$729,B543,$D$430:$D$729)&lt;=INDEX($E$100:$E$399,MATCH(B543,$A$100:$A$399,0))),"OK","확인: 정산연결"),"확인: 정산연결"))</f>
      </c>
      <c r="O543" s="526">
        <f>IF(N543="OK",D543,0)</f>
        <v>0</v>
      </c>
    </row>
    <row r="544" hidden="1" outlineLevel="1">
      <c r="A544" s="504">
        <f>IF(B544="","","S"&amp;ROW())</f>
      </c>
      <c r="B544" s="522" t="n"/>
      <c r="C544" s="522" t="n"/>
      <c r="D544" s="525">
        <f>IF(C544="","",IFERROR(INDEX(잔액!$Y:$Y,MAX(64,C544)),0))</f>
      </c>
      <c r="E544" s="524">
        <f>IF(C544="","",IFERROR(INDEX(잔액!$A:$A,MAX(64,C544)),""))</f>
      </c>
      <c r="F544" s="504">
        <f>IF(C544="","",IFERROR(INDEX(잔액!$C:$C,MAX(64,C544)),""))</f>
      </c>
      <c r="G544" s="504">
        <f>IF(C544="","",IF(INDEX(잔액!$K:$K,MAX(64,C544))&lt;&gt;"",INDEX(잔액!$K:$K,MAX(64,C544)),INDEX(잔액!$D:$D,MAX(64,C544))))</f>
      </c>
      <c r="H544" s="504" t="inlineStr">
        <is>
          <t>원장</t>
        </is>
      </c>
      <c r="J544" s="504">
        <f>IFERROR(INDEX($C$100:$C$399,MATCH(B544,$A$100:$A$399,0)),"")</f>
        <v>0</v>
      </c>
      <c r="K544" s="524">
        <f>IFERROR(INDEX($D$100:$D$399,MATCH(B544,$A$100:$A$399,0)),"")</f>
      </c>
      <c r="L544" s="504">
        <f>IFERROR(INDEX($S$100:$S$399,MATCH(B544,$A$100:$A$399,0)),"")</f>
        <v>0</v>
      </c>
      <c r="M544" s="504">
        <f>IF(B544="","",IFERROR(IF(OR(AND(H544="기초반영",OR(B544="U001",B544="U002",B544="U003"),C544="",E544=DATE(2026,3,1)),AND(H544="원장",C544&gt;=64,C544&lt;=500,INDEX(잔액!$I:$I,MAX(64,C544))="OK",E544=INDEX(잔액!$A:$A,MAX(64,C544)),F544=INDEX(잔액!$C:$C,MAX(64,C544)),OR(F544=J544,F544="결제대금비",AND(B544="U008",C544=223,J544="경조사비",F544="명절비"),AND(B544="U008",C544=208,J544="경조사비",F544="임시보관",SUMIF($C$430:$C$729,C544,$D$430:$D$729)&lt;=39000)),OR(COUNTIF($A$8:$A$12,F544)=1,F544="결제대금비",AND(B544="U008",C544=208,J544="경조사비",F544="임시보관",SUMIF($C$430:$C$729,C544,$D$430:$D$729)&lt;=39000)),COUNTIF($A$8:$A$12,INDEX(잔액!$D:$D,MAX(64,C544)))=0,SUMIF($C$430:$C$729,C544,$D$430:$D$729)&lt;=INDEX(잔액!$Y:$Y,MAX(64,C544)))),1,0),0))</f>
      </c>
      <c r="N544" s="504">
        <f>IF(B544="","",IFERROR(IF(AND(COUNTIF($A$100:$A$399,B544)=1,INDEX($R$100:$R$399,MATCH(B544,$A$100:$A$399,0))="OK",D544&gt;0,ISNUMBER(E544),M544=1,SUMIF($B$430:$B$729,B544,$D$430:$D$729)&lt;=INDEX($E$100:$E$399,MATCH(B544,$A$100:$A$399,0))),"OK","확인: 정산연결"),"확인: 정산연결"))</f>
      </c>
      <c r="O544" s="526">
        <f>IF(N544="OK",D544,0)</f>
        <v>0</v>
      </c>
    </row>
    <row r="545" hidden="1" outlineLevel="1">
      <c r="A545" s="504">
        <f>IF(B545="","","S"&amp;ROW())</f>
      </c>
      <c r="B545" s="522" t="n"/>
      <c r="C545" s="522" t="n"/>
      <c r="D545" s="525">
        <f>IF(C545="","",IFERROR(INDEX(잔액!$Y:$Y,MAX(64,C545)),0))</f>
      </c>
      <c r="E545" s="524">
        <f>IF(C545="","",IFERROR(INDEX(잔액!$A:$A,MAX(64,C545)),""))</f>
      </c>
      <c r="F545" s="504">
        <f>IF(C545="","",IFERROR(INDEX(잔액!$C:$C,MAX(64,C545)),""))</f>
      </c>
      <c r="G545" s="504">
        <f>IF(C545="","",IF(INDEX(잔액!$K:$K,MAX(64,C545))&lt;&gt;"",INDEX(잔액!$K:$K,MAX(64,C545)),INDEX(잔액!$D:$D,MAX(64,C545))))</f>
      </c>
      <c r="H545" s="504" t="inlineStr">
        <is>
          <t>원장</t>
        </is>
      </c>
      <c r="J545" s="504">
        <f>IFERROR(INDEX($C$100:$C$399,MATCH(B545,$A$100:$A$399,0)),"")</f>
        <v>0</v>
      </c>
      <c r="K545" s="524">
        <f>IFERROR(INDEX($D$100:$D$399,MATCH(B545,$A$100:$A$399,0)),"")</f>
      </c>
      <c r="L545" s="504">
        <f>IFERROR(INDEX($S$100:$S$399,MATCH(B545,$A$100:$A$399,0)),"")</f>
        <v>0</v>
      </c>
      <c r="M545" s="504">
        <f>IF(B545="","",IFERROR(IF(OR(AND(H545="기초반영",OR(B545="U001",B545="U002",B545="U003"),C545="",E545=DATE(2026,3,1)),AND(H545="원장",C545&gt;=64,C545&lt;=500,INDEX(잔액!$I:$I,MAX(64,C545))="OK",E545=INDEX(잔액!$A:$A,MAX(64,C545)),F545=INDEX(잔액!$C:$C,MAX(64,C545)),OR(F545=J545,F545="결제대금비",AND(B545="U008",C545=223,J545="경조사비",F545="명절비"),AND(B545="U008",C545=208,J545="경조사비",F545="임시보관",SUMIF($C$430:$C$729,C545,$D$430:$D$729)&lt;=39000)),OR(COUNTIF($A$8:$A$12,F545)=1,F545="결제대금비",AND(B545="U008",C545=208,J545="경조사비",F545="임시보관",SUMIF($C$430:$C$729,C545,$D$430:$D$729)&lt;=39000)),COUNTIF($A$8:$A$12,INDEX(잔액!$D:$D,MAX(64,C545)))=0,SUMIF($C$430:$C$729,C545,$D$430:$D$729)&lt;=INDEX(잔액!$Y:$Y,MAX(64,C545)))),1,0),0))</f>
      </c>
      <c r="N545" s="504">
        <f>IF(B545="","",IFERROR(IF(AND(COUNTIF($A$100:$A$399,B545)=1,INDEX($R$100:$R$399,MATCH(B545,$A$100:$A$399,0))="OK",D545&gt;0,ISNUMBER(E545),M545=1,SUMIF($B$430:$B$729,B545,$D$430:$D$729)&lt;=INDEX($E$100:$E$399,MATCH(B545,$A$100:$A$399,0))),"OK","확인: 정산연결"),"확인: 정산연결"))</f>
      </c>
      <c r="O545" s="526">
        <f>IF(N545="OK",D545,0)</f>
        <v>0</v>
      </c>
    </row>
    <row r="546" hidden="1" outlineLevel="1">
      <c r="A546" s="504">
        <f>IF(B546="","","S"&amp;ROW())</f>
      </c>
      <c r="B546" s="522" t="n"/>
      <c r="C546" s="522" t="n"/>
      <c r="D546" s="525">
        <f>IF(C546="","",IFERROR(INDEX(잔액!$Y:$Y,MAX(64,C546)),0))</f>
      </c>
      <c r="E546" s="524">
        <f>IF(C546="","",IFERROR(INDEX(잔액!$A:$A,MAX(64,C546)),""))</f>
      </c>
      <c r="F546" s="504">
        <f>IF(C546="","",IFERROR(INDEX(잔액!$C:$C,MAX(64,C546)),""))</f>
      </c>
      <c r="G546" s="504">
        <f>IF(C546="","",IF(INDEX(잔액!$K:$K,MAX(64,C546))&lt;&gt;"",INDEX(잔액!$K:$K,MAX(64,C546)),INDEX(잔액!$D:$D,MAX(64,C546))))</f>
      </c>
      <c r="H546" s="504" t="inlineStr">
        <is>
          <t>원장</t>
        </is>
      </c>
      <c r="J546" s="504">
        <f>IFERROR(INDEX($C$100:$C$399,MATCH(B546,$A$100:$A$399,0)),"")</f>
        <v>0</v>
      </c>
      <c r="K546" s="524">
        <f>IFERROR(INDEX($D$100:$D$399,MATCH(B546,$A$100:$A$399,0)),"")</f>
      </c>
      <c r="L546" s="504">
        <f>IFERROR(INDEX($S$100:$S$399,MATCH(B546,$A$100:$A$399,0)),"")</f>
        <v>0</v>
      </c>
      <c r="M546" s="504">
        <f>IF(B546="","",IFERROR(IF(OR(AND(H546="기초반영",OR(B546="U001",B546="U002",B546="U003"),C546="",E546=DATE(2026,3,1)),AND(H546="원장",C546&gt;=64,C546&lt;=500,INDEX(잔액!$I:$I,MAX(64,C546))="OK",E546=INDEX(잔액!$A:$A,MAX(64,C546)),F546=INDEX(잔액!$C:$C,MAX(64,C546)),OR(F546=J546,F546="결제대금비",AND(B546="U008",C546=223,J546="경조사비",F546="명절비"),AND(B546="U008",C546=208,J546="경조사비",F546="임시보관",SUMIF($C$430:$C$729,C546,$D$430:$D$729)&lt;=39000)),OR(COUNTIF($A$8:$A$12,F546)=1,F546="결제대금비",AND(B546="U008",C546=208,J546="경조사비",F546="임시보관",SUMIF($C$430:$C$729,C546,$D$430:$D$729)&lt;=39000)),COUNTIF($A$8:$A$12,INDEX(잔액!$D:$D,MAX(64,C546)))=0,SUMIF($C$430:$C$729,C546,$D$430:$D$729)&lt;=INDEX(잔액!$Y:$Y,MAX(64,C546)))),1,0),0))</f>
      </c>
      <c r="N546" s="504">
        <f>IF(B546="","",IFERROR(IF(AND(COUNTIF($A$100:$A$399,B546)=1,INDEX($R$100:$R$399,MATCH(B546,$A$100:$A$399,0))="OK",D546&gt;0,ISNUMBER(E546),M546=1,SUMIF($B$430:$B$729,B546,$D$430:$D$729)&lt;=INDEX($E$100:$E$399,MATCH(B546,$A$100:$A$399,0))),"OK","확인: 정산연결"),"확인: 정산연결"))</f>
      </c>
      <c r="O546" s="526">
        <f>IF(N546="OK",D546,0)</f>
        <v>0</v>
      </c>
    </row>
    <row r="547" hidden="1" outlineLevel="1">
      <c r="A547" s="504">
        <f>IF(B547="","","S"&amp;ROW())</f>
      </c>
      <c r="B547" s="522" t="n"/>
      <c r="C547" s="522" t="n"/>
      <c r="D547" s="525">
        <f>IF(C547="","",IFERROR(INDEX(잔액!$Y:$Y,MAX(64,C547)),0))</f>
      </c>
      <c r="E547" s="524">
        <f>IF(C547="","",IFERROR(INDEX(잔액!$A:$A,MAX(64,C547)),""))</f>
      </c>
      <c r="F547" s="504">
        <f>IF(C547="","",IFERROR(INDEX(잔액!$C:$C,MAX(64,C547)),""))</f>
      </c>
      <c r="G547" s="504">
        <f>IF(C547="","",IF(INDEX(잔액!$K:$K,MAX(64,C547))&lt;&gt;"",INDEX(잔액!$K:$K,MAX(64,C547)),INDEX(잔액!$D:$D,MAX(64,C547))))</f>
      </c>
      <c r="H547" s="504" t="inlineStr">
        <is>
          <t>원장</t>
        </is>
      </c>
      <c r="J547" s="504">
        <f>IFERROR(INDEX($C$100:$C$399,MATCH(B547,$A$100:$A$399,0)),"")</f>
        <v>0</v>
      </c>
      <c r="K547" s="524">
        <f>IFERROR(INDEX($D$100:$D$399,MATCH(B547,$A$100:$A$399,0)),"")</f>
      </c>
      <c r="L547" s="504">
        <f>IFERROR(INDEX($S$100:$S$399,MATCH(B547,$A$100:$A$399,0)),"")</f>
        <v>0</v>
      </c>
      <c r="M547" s="504">
        <f>IF(B547="","",IFERROR(IF(OR(AND(H547="기초반영",OR(B547="U001",B547="U002",B547="U003"),C547="",E547=DATE(2026,3,1)),AND(H547="원장",C547&gt;=64,C547&lt;=500,INDEX(잔액!$I:$I,MAX(64,C547))="OK",E547=INDEX(잔액!$A:$A,MAX(64,C547)),F547=INDEX(잔액!$C:$C,MAX(64,C547)),OR(F547=J547,F547="결제대금비",AND(B547="U008",C547=223,J547="경조사비",F547="명절비"),AND(B547="U008",C547=208,J547="경조사비",F547="임시보관",SUMIF($C$430:$C$729,C547,$D$430:$D$729)&lt;=39000)),OR(COUNTIF($A$8:$A$12,F547)=1,F547="결제대금비",AND(B547="U008",C547=208,J547="경조사비",F547="임시보관",SUMIF($C$430:$C$729,C547,$D$430:$D$729)&lt;=39000)),COUNTIF($A$8:$A$12,INDEX(잔액!$D:$D,MAX(64,C547)))=0,SUMIF($C$430:$C$729,C547,$D$430:$D$729)&lt;=INDEX(잔액!$Y:$Y,MAX(64,C547)))),1,0),0))</f>
      </c>
      <c r="N547" s="504">
        <f>IF(B547="","",IFERROR(IF(AND(COUNTIF($A$100:$A$399,B547)=1,INDEX($R$100:$R$399,MATCH(B547,$A$100:$A$399,0))="OK",D547&gt;0,ISNUMBER(E547),M547=1,SUMIF($B$430:$B$729,B547,$D$430:$D$729)&lt;=INDEX($E$100:$E$399,MATCH(B547,$A$100:$A$399,0))),"OK","확인: 정산연결"),"확인: 정산연결"))</f>
      </c>
      <c r="O547" s="526">
        <f>IF(N547="OK",D547,0)</f>
        <v>0</v>
      </c>
    </row>
    <row r="548" hidden="1" outlineLevel="1">
      <c r="A548" s="504">
        <f>IF(B548="","","S"&amp;ROW())</f>
      </c>
      <c r="B548" s="522" t="n"/>
      <c r="C548" s="522" t="n"/>
      <c r="D548" s="525">
        <f>IF(C548="","",IFERROR(INDEX(잔액!$Y:$Y,MAX(64,C548)),0))</f>
      </c>
      <c r="E548" s="524">
        <f>IF(C548="","",IFERROR(INDEX(잔액!$A:$A,MAX(64,C548)),""))</f>
      </c>
      <c r="F548" s="504">
        <f>IF(C548="","",IFERROR(INDEX(잔액!$C:$C,MAX(64,C548)),""))</f>
      </c>
      <c r="G548" s="504">
        <f>IF(C548="","",IF(INDEX(잔액!$K:$K,MAX(64,C548))&lt;&gt;"",INDEX(잔액!$K:$K,MAX(64,C548)),INDEX(잔액!$D:$D,MAX(64,C548))))</f>
      </c>
      <c r="H548" s="504" t="inlineStr">
        <is>
          <t>원장</t>
        </is>
      </c>
      <c r="J548" s="504">
        <f>IFERROR(INDEX($C$100:$C$399,MATCH(B548,$A$100:$A$399,0)),"")</f>
        <v>0</v>
      </c>
      <c r="K548" s="524">
        <f>IFERROR(INDEX($D$100:$D$399,MATCH(B548,$A$100:$A$399,0)),"")</f>
      </c>
      <c r="L548" s="504">
        <f>IFERROR(INDEX($S$100:$S$399,MATCH(B548,$A$100:$A$399,0)),"")</f>
        <v>0</v>
      </c>
      <c r="M548" s="504">
        <f>IF(B548="","",IFERROR(IF(OR(AND(H548="기초반영",OR(B548="U001",B548="U002",B548="U003"),C548="",E548=DATE(2026,3,1)),AND(H548="원장",C548&gt;=64,C548&lt;=500,INDEX(잔액!$I:$I,MAX(64,C548))="OK",E548=INDEX(잔액!$A:$A,MAX(64,C548)),F548=INDEX(잔액!$C:$C,MAX(64,C548)),OR(F548=J548,F548="결제대금비",AND(B548="U008",C548=223,J548="경조사비",F548="명절비"),AND(B548="U008",C548=208,J548="경조사비",F548="임시보관",SUMIF($C$430:$C$729,C548,$D$430:$D$729)&lt;=39000)),OR(COUNTIF($A$8:$A$12,F548)=1,F548="결제대금비",AND(B548="U008",C548=208,J548="경조사비",F548="임시보관",SUMIF($C$430:$C$729,C548,$D$430:$D$729)&lt;=39000)),COUNTIF($A$8:$A$12,INDEX(잔액!$D:$D,MAX(64,C548)))=0,SUMIF($C$430:$C$729,C548,$D$430:$D$729)&lt;=INDEX(잔액!$Y:$Y,MAX(64,C548)))),1,0),0))</f>
      </c>
      <c r="N548" s="504">
        <f>IF(B548="","",IFERROR(IF(AND(COUNTIF($A$100:$A$399,B548)=1,INDEX($R$100:$R$399,MATCH(B548,$A$100:$A$399,0))="OK",D548&gt;0,ISNUMBER(E548),M548=1,SUMIF($B$430:$B$729,B548,$D$430:$D$729)&lt;=INDEX($E$100:$E$399,MATCH(B548,$A$100:$A$399,0))),"OK","확인: 정산연결"),"확인: 정산연결"))</f>
      </c>
      <c r="O548" s="526">
        <f>IF(N548="OK",D548,0)</f>
        <v>0</v>
      </c>
    </row>
    <row r="549" hidden="1" outlineLevel="1">
      <c r="A549" s="504">
        <f>IF(B549="","","S"&amp;ROW())</f>
      </c>
      <c r="B549" s="522" t="n"/>
      <c r="C549" s="522" t="n"/>
      <c r="D549" s="525">
        <f>IF(C549="","",IFERROR(INDEX(잔액!$Y:$Y,MAX(64,C549)),0))</f>
      </c>
      <c r="E549" s="524">
        <f>IF(C549="","",IFERROR(INDEX(잔액!$A:$A,MAX(64,C549)),""))</f>
      </c>
      <c r="F549" s="504">
        <f>IF(C549="","",IFERROR(INDEX(잔액!$C:$C,MAX(64,C549)),""))</f>
      </c>
      <c r="G549" s="504">
        <f>IF(C549="","",IF(INDEX(잔액!$K:$K,MAX(64,C549))&lt;&gt;"",INDEX(잔액!$K:$K,MAX(64,C549)),INDEX(잔액!$D:$D,MAX(64,C549))))</f>
      </c>
      <c r="H549" s="504" t="inlineStr">
        <is>
          <t>원장</t>
        </is>
      </c>
      <c r="J549" s="504">
        <f>IFERROR(INDEX($C$100:$C$399,MATCH(B549,$A$100:$A$399,0)),"")</f>
        <v>0</v>
      </c>
      <c r="K549" s="524">
        <f>IFERROR(INDEX($D$100:$D$399,MATCH(B549,$A$100:$A$399,0)),"")</f>
      </c>
      <c r="L549" s="504">
        <f>IFERROR(INDEX($S$100:$S$399,MATCH(B549,$A$100:$A$399,0)),"")</f>
        <v>0</v>
      </c>
      <c r="M549" s="504">
        <f>IF(B549="","",IFERROR(IF(OR(AND(H549="기초반영",OR(B549="U001",B549="U002",B549="U003"),C549="",E549=DATE(2026,3,1)),AND(H549="원장",C549&gt;=64,C549&lt;=500,INDEX(잔액!$I:$I,MAX(64,C549))="OK",E549=INDEX(잔액!$A:$A,MAX(64,C549)),F549=INDEX(잔액!$C:$C,MAX(64,C549)),OR(F549=J549,F549="결제대금비",AND(B549="U008",C549=223,J549="경조사비",F549="명절비"),AND(B549="U008",C549=208,J549="경조사비",F549="임시보관",SUMIF($C$430:$C$729,C549,$D$430:$D$729)&lt;=39000)),OR(COUNTIF($A$8:$A$12,F549)=1,F549="결제대금비",AND(B549="U008",C549=208,J549="경조사비",F549="임시보관",SUMIF($C$430:$C$729,C549,$D$430:$D$729)&lt;=39000)),COUNTIF($A$8:$A$12,INDEX(잔액!$D:$D,MAX(64,C549)))=0,SUMIF($C$430:$C$729,C549,$D$430:$D$729)&lt;=INDEX(잔액!$Y:$Y,MAX(64,C549)))),1,0),0))</f>
      </c>
      <c r="N549" s="504">
        <f>IF(B549="","",IFERROR(IF(AND(COUNTIF($A$100:$A$399,B549)=1,INDEX($R$100:$R$399,MATCH(B549,$A$100:$A$399,0))="OK",D549&gt;0,ISNUMBER(E549),M549=1,SUMIF($B$430:$B$729,B549,$D$430:$D$729)&lt;=INDEX($E$100:$E$399,MATCH(B549,$A$100:$A$399,0))),"OK","확인: 정산연결"),"확인: 정산연결"))</f>
      </c>
      <c r="O549" s="526">
        <f>IF(N549="OK",D549,0)</f>
        <v>0</v>
      </c>
    </row>
    <row r="550" hidden="1" outlineLevel="1">
      <c r="A550" s="504">
        <f>IF(B550="","","S"&amp;ROW())</f>
      </c>
      <c r="B550" s="522" t="n"/>
      <c r="C550" s="522" t="n"/>
      <c r="D550" s="525">
        <f>IF(C550="","",IFERROR(INDEX(잔액!$Y:$Y,MAX(64,C550)),0))</f>
      </c>
      <c r="E550" s="524">
        <f>IF(C550="","",IFERROR(INDEX(잔액!$A:$A,MAX(64,C550)),""))</f>
      </c>
      <c r="F550" s="504">
        <f>IF(C550="","",IFERROR(INDEX(잔액!$C:$C,MAX(64,C550)),""))</f>
      </c>
      <c r="G550" s="504">
        <f>IF(C550="","",IF(INDEX(잔액!$K:$K,MAX(64,C550))&lt;&gt;"",INDEX(잔액!$K:$K,MAX(64,C550)),INDEX(잔액!$D:$D,MAX(64,C550))))</f>
      </c>
      <c r="H550" s="504" t="inlineStr">
        <is>
          <t>원장</t>
        </is>
      </c>
      <c r="J550" s="504">
        <f>IFERROR(INDEX($C$100:$C$399,MATCH(B550,$A$100:$A$399,0)),"")</f>
        <v>0</v>
      </c>
      <c r="K550" s="524">
        <f>IFERROR(INDEX($D$100:$D$399,MATCH(B550,$A$100:$A$399,0)),"")</f>
      </c>
      <c r="L550" s="504">
        <f>IFERROR(INDEX($S$100:$S$399,MATCH(B550,$A$100:$A$399,0)),"")</f>
        <v>0</v>
      </c>
      <c r="M550" s="504">
        <f>IF(B550="","",IFERROR(IF(OR(AND(H550="기초반영",OR(B550="U001",B550="U002",B550="U003"),C550="",E550=DATE(2026,3,1)),AND(H550="원장",C550&gt;=64,C550&lt;=500,INDEX(잔액!$I:$I,MAX(64,C550))="OK",E550=INDEX(잔액!$A:$A,MAX(64,C550)),F550=INDEX(잔액!$C:$C,MAX(64,C550)),OR(F550=J550,F550="결제대금비",AND(B550="U008",C550=223,J550="경조사비",F550="명절비"),AND(B550="U008",C550=208,J550="경조사비",F550="임시보관",SUMIF($C$430:$C$729,C550,$D$430:$D$729)&lt;=39000)),OR(COUNTIF($A$8:$A$12,F550)=1,F550="결제대금비",AND(B550="U008",C550=208,J550="경조사비",F550="임시보관",SUMIF($C$430:$C$729,C550,$D$430:$D$729)&lt;=39000)),COUNTIF($A$8:$A$12,INDEX(잔액!$D:$D,MAX(64,C550)))=0,SUMIF($C$430:$C$729,C550,$D$430:$D$729)&lt;=INDEX(잔액!$Y:$Y,MAX(64,C550)))),1,0),0))</f>
      </c>
      <c r="N550" s="504">
        <f>IF(B550="","",IFERROR(IF(AND(COUNTIF($A$100:$A$399,B550)=1,INDEX($R$100:$R$399,MATCH(B550,$A$100:$A$399,0))="OK",D550&gt;0,ISNUMBER(E550),M550=1,SUMIF($B$430:$B$729,B550,$D$430:$D$729)&lt;=INDEX($E$100:$E$399,MATCH(B550,$A$100:$A$399,0))),"OK","확인: 정산연결"),"확인: 정산연결"))</f>
      </c>
      <c r="O550" s="526">
        <f>IF(N550="OK",D550,0)</f>
        <v>0</v>
      </c>
    </row>
    <row r="551" hidden="1" outlineLevel="1">
      <c r="A551" s="504">
        <f>IF(B551="","","S"&amp;ROW())</f>
      </c>
      <c r="B551" s="522" t="n"/>
      <c r="C551" s="522" t="n"/>
      <c r="D551" s="525">
        <f>IF(C551="","",IFERROR(INDEX(잔액!$Y:$Y,MAX(64,C551)),0))</f>
      </c>
      <c r="E551" s="524">
        <f>IF(C551="","",IFERROR(INDEX(잔액!$A:$A,MAX(64,C551)),""))</f>
      </c>
      <c r="F551" s="504">
        <f>IF(C551="","",IFERROR(INDEX(잔액!$C:$C,MAX(64,C551)),""))</f>
      </c>
      <c r="G551" s="504">
        <f>IF(C551="","",IF(INDEX(잔액!$K:$K,MAX(64,C551))&lt;&gt;"",INDEX(잔액!$K:$K,MAX(64,C551)),INDEX(잔액!$D:$D,MAX(64,C551))))</f>
      </c>
      <c r="H551" s="504" t="inlineStr">
        <is>
          <t>원장</t>
        </is>
      </c>
      <c r="J551" s="504">
        <f>IFERROR(INDEX($C$100:$C$399,MATCH(B551,$A$100:$A$399,0)),"")</f>
        <v>0</v>
      </c>
      <c r="K551" s="524">
        <f>IFERROR(INDEX($D$100:$D$399,MATCH(B551,$A$100:$A$399,0)),"")</f>
      </c>
      <c r="L551" s="504">
        <f>IFERROR(INDEX($S$100:$S$399,MATCH(B551,$A$100:$A$399,0)),"")</f>
        <v>0</v>
      </c>
      <c r="M551" s="504">
        <f>IF(B551="","",IFERROR(IF(OR(AND(H551="기초반영",OR(B551="U001",B551="U002",B551="U003"),C551="",E551=DATE(2026,3,1)),AND(H551="원장",C551&gt;=64,C551&lt;=500,INDEX(잔액!$I:$I,MAX(64,C551))="OK",E551=INDEX(잔액!$A:$A,MAX(64,C551)),F551=INDEX(잔액!$C:$C,MAX(64,C551)),OR(F551=J551,F551="결제대금비",AND(B551="U008",C551=223,J551="경조사비",F551="명절비"),AND(B551="U008",C551=208,J551="경조사비",F551="임시보관",SUMIF($C$430:$C$729,C551,$D$430:$D$729)&lt;=39000)),OR(COUNTIF($A$8:$A$12,F551)=1,F551="결제대금비",AND(B551="U008",C551=208,J551="경조사비",F551="임시보관",SUMIF($C$430:$C$729,C551,$D$430:$D$729)&lt;=39000)),COUNTIF($A$8:$A$12,INDEX(잔액!$D:$D,MAX(64,C551)))=0,SUMIF($C$430:$C$729,C551,$D$430:$D$729)&lt;=INDEX(잔액!$Y:$Y,MAX(64,C551)))),1,0),0))</f>
      </c>
      <c r="N551" s="504">
        <f>IF(B551="","",IFERROR(IF(AND(COUNTIF($A$100:$A$399,B551)=1,INDEX($R$100:$R$399,MATCH(B551,$A$100:$A$399,0))="OK",D551&gt;0,ISNUMBER(E551),M551=1,SUMIF($B$430:$B$729,B551,$D$430:$D$729)&lt;=INDEX($E$100:$E$399,MATCH(B551,$A$100:$A$399,0))),"OK","확인: 정산연결"),"확인: 정산연결"))</f>
      </c>
      <c r="O551" s="526">
        <f>IF(N551="OK",D551,0)</f>
        <v>0</v>
      </c>
    </row>
    <row r="552" hidden="1" outlineLevel="1">
      <c r="A552" s="504">
        <f>IF(B552="","","S"&amp;ROW())</f>
      </c>
      <c r="B552" s="522" t="n"/>
      <c r="C552" s="522" t="n"/>
      <c r="D552" s="525">
        <f>IF(C552="","",IFERROR(INDEX(잔액!$Y:$Y,MAX(64,C552)),0))</f>
      </c>
      <c r="E552" s="524">
        <f>IF(C552="","",IFERROR(INDEX(잔액!$A:$A,MAX(64,C552)),""))</f>
      </c>
      <c r="F552" s="504">
        <f>IF(C552="","",IFERROR(INDEX(잔액!$C:$C,MAX(64,C552)),""))</f>
      </c>
      <c r="G552" s="504">
        <f>IF(C552="","",IF(INDEX(잔액!$K:$K,MAX(64,C552))&lt;&gt;"",INDEX(잔액!$K:$K,MAX(64,C552)),INDEX(잔액!$D:$D,MAX(64,C552))))</f>
      </c>
      <c r="H552" s="504" t="inlineStr">
        <is>
          <t>원장</t>
        </is>
      </c>
      <c r="J552" s="504">
        <f>IFERROR(INDEX($C$100:$C$399,MATCH(B552,$A$100:$A$399,0)),"")</f>
        <v>0</v>
      </c>
      <c r="K552" s="524">
        <f>IFERROR(INDEX($D$100:$D$399,MATCH(B552,$A$100:$A$399,0)),"")</f>
      </c>
      <c r="L552" s="504">
        <f>IFERROR(INDEX($S$100:$S$399,MATCH(B552,$A$100:$A$399,0)),"")</f>
        <v>0</v>
      </c>
      <c r="M552" s="504">
        <f>IF(B552="","",IFERROR(IF(OR(AND(H552="기초반영",OR(B552="U001",B552="U002",B552="U003"),C552="",E552=DATE(2026,3,1)),AND(H552="원장",C552&gt;=64,C552&lt;=500,INDEX(잔액!$I:$I,MAX(64,C552))="OK",E552=INDEX(잔액!$A:$A,MAX(64,C552)),F552=INDEX(잔액!$C:$C,MAX(64,C552)),OR(F552=J552,F552="결제대금비",AND(B552="U008",C552=223,J552="경조사비",F552="명절비"),AND(B552="U008",C552=208,J552="경조사비",F552="임시보관",SUMIF($C$430:$C$729,C552,$D$430:$D$729)&lt;=39000)),OR(COUNTIF($A$8:$A$12,F552)=1,F552="결제대금비",AND(B552="U008",C552=208,J552="경조사비",F552="임시보관",SUMIF($C$430:$C$729,C552,$D$430:$D$729)&lt;=39000)),COUNTIF($A$8:$A$12,INDEX(잔액!$D:$D,MAX(64,C552)))=0,SUMIF($C$430:$C$729,C552,$D$430:$D$729)&lt;=INDEX(잔액!$Y:$Y,MAX(64,C552)))),1,0),0))</f>
      </c>
      <c r="N552" s="504">
        <f>IF(B552="","",IFERROR(IF(AND(COUNTIF($A$100:$A$399,B552)=1,INDEX($R$100:$R$399,MATCH(B552,$A$100:$A$399,0))="OK",D552&gt;0,ISNUMBER(E552),M552=1,SUMIF($B$430:$B$729,B552,$D$430:$D$729)&lt;=INDEX($E$100:$E$399,MATCH(B552,$A$100:$A$399,0))),"OK","확인: 정산연결"),"확인: 정산연결"))</f>
      </c>
      <c r="O552" s="526">
        <f>IF(N552="OK",D552,0)</f>
        <v>0</v>
      </c>
    </row>
    <row r="553" hidden="1" outlineLevel="1">
      <c r="A553" s="504">
        <f>IF(B553="","","S"&amp;ROW())</f>
      </c>
      <c r="B553" s="522" t="n"/>
      <c r="C553" s="522" t="n"/>
      <c r="D553" s="525">
        <f>IF(C553="","",IFERROR(INDEX(잔액!$Y:$Y,MAX(64,C553)),0))</f>
      </c>
      <c r="E553" s="524">
        <f>IF(C553="","",IFERROR(INDEX(잔액!$A:$A,MAX(64,C553)),""))</f>
      </c>
      <c r="F553" s="504">
        <f>IF(C553="","",IFERROR(INDEX(잔액!$C:$C,MAX(64,C553)),""))</f>
      </c>
      <c r="G553" s="504">
        <f>IF(C553="","",IF(INDEX(잔액!$K:$K,MAX(64,C553))&lt;&gt;"",INDEX(잔액!$K:$K,MAX(64,C553)),INDEX(잔액!$D:$D,MAX(64,C553))))</f>
      </c>
      <c r="H553" s="504" t="inlineStr">
        <is>
          <t>원장</t>
        </is>
      </c>
      <c r="J553" s="504">
        <f>IFERROR(INDEX($C$100:$C$399,MATCH(B553,$A$100:$A$399,0)),"")</f>
        <v>0</v>
      </c>
      <c r="K553" s="524">
        <f>IFERROR(INDEX($D$100:$D$399,MATCH(B553,$A$100:$A$399,0)),"")</f>
      </c>
      <c r="L553" s="504">
        <f>IFERROR(INDEX($S$100:$S$399,MATCH(B553,$A$100:$A$399,0)),"")</f>
        <v>0</v>
      </c>
      <c r="M553" s="504">
        <f>IF(B553="","",IFERROR(IF(OR(AND(H553="기초반영",OR(B553="U001",B553="U002",B553="U003"),C553="",E553=DATE(2026,3,1)),AND(H553="원장",C553&gt;=64,C553&lt;=500,INDEX(잔액!$I:$I,MAX(64,C553))="OK",E553=INDEX(잔액!$A:$A,MAX(64,C553)),F553=INDEX(잔액!$C:$C,MAX(64,C553)),OR(F553=J553,F553="결제대금비",AND(B553="U008",C553=223,J553="경조사비",F553="명절비"),AND(B553="U008",C553=208,J553="경조사비",F553="임시보관",SUMIF($C$430:$C$729,C553,$D$430:$D$729)&lt;=39000)),OR(COUNTIF($A$8:$A$12,F553)=1,F553="결제대금비",AND(B553="U008",C553=208,J553="경조사비",F553="임시보관",SUMIF($C$430:$C$729,C553,$D$430:$D$729)&lt;=39000)),COUNTIF($A$8:$A$12,INDEX(잔액!$D:$D,MAX(64,C553)))=0,SUMIF($C$430:$C$729,C553,$D$430:$D$729)&lt;=INDEX(잔액!$Y:$Y,MAX(64,C553)))),1,0),0))</f>
      </c>
      <c r="N553" s="504">
        <f>IF(B553="","",IFERROR(IF(AND(COUNTIF($A$100:$A$399,B553)=1,INDEX($R$100:$R$399,MATCH(B553,$A$100:$A$399,0))="OK",D553&gt;0,ISNUMBER(E553),M553=1,SUMIF($B$430:$B$729,B553,$D$430:$D$729)&lt;=INDEX($E$100:$E$399,MATCH(B553,$A$100:$A$399,0))),"OK","확인: 정산연결"),"확인: 정산연결"))</f>
      </c>
      <c r="O553" s="526">
        <f>IF(N553="OK",D553,0)</f>
        <v>0</v>
      </c>
    </row>
    <row r="554" hidden="1" outlineLevel="1">
      <c r="A554" s="504">
        <f>IF(B554="","","S"&amp;ROW())</f>
      </c>
      <c r="B554" s="522" t="n"/>
      <c r="C554" s="522" t="n"/>
      <c r="D554" s="525">
        <f>IF(C554="","",IFERROR(INDEX(잔액!$Y:$Y,MAX(64,C554)),0))</f>
      </c>
      <c r="E554" s="524">
        <f>IF(C554="","",IFERROR(INDEX(잔액!$A:$A,MAX(64,C554)),""))</f>
      </c>
      <c r="F554" s="504">
        <f>IF(C554="","",IFERROR(INDEX(잔액!$C:$C,MAX(64,C554)),""))</f>
      </c>
      <c r="G554" s="504">
        <f>IF(C554="","",IF(INDEX(잔액!$K:$K,MAX(64,C554))&lt;&gt;"",INDEX(잔액!$K:$K,MAX(64,C554)),INDEX(잔액!$D:$D,MAX(64,C554))))</f>
      </c>
      <c r="H554" s="504" t="inlineStr">
        <is>
          <t>원장</t>
        </is>
      </c>
      <c r="J554" s="504">
        <f>IFERROR(INDEX($C$100:$C$399,MATCH(B554,$A$100:$A$399,0)),"")</f>
        <v>0</v>
      </c>
      <c r="K554" s="524">
        <f>IFERROR(INDEX($D$100:$D$399,MATCH(B554,$A$100:$A$399,0)),"")</f>
      </c>
      <c r="L554" s="504">
        <f>IFERROR(INDEX($S$100:$S$399,MATCH(B554,$A$100:$A$399,0)),"")</f>
        <v>0</v>
      </c>
      <c r="M554" s="504">
        <f>IF(B554="","",IFERROR(IF(OR(AND(H554="기초반영",OR(B554="U001",B554="U002",B554="U003"),C554="",E554=DATE(2026,3,1)),AND(H554="원장",C554&gt;=64,C554&lt;=500,INDEX(잔액!$I:$I,MAX(64,C554))="OK",E554=INDEX(잔액!$A:$A,MAX(64,C554)),F554=INDEX(잔액!$C:$C,MAX(64,C554)),OR(F554=J554,F554="결제대금비",AND(B554="U008",C554=223,J554="경조사비",F554="명절비"),AND(B554="U008",C554=208,J554="경조사비",F554="임시보관",SUMIF($C$430:$C$729,C554,$D$430:$D$729)&lt;=39000)),OR(COUNTIF($A$8:$A$12,F554)=1,F554="결제대금비",AND(B554="U008",C554=208,J554="경조사비",F554="임시보관",SUMIF($C$430:$C$729,C554,$D$430:$D$729)&lt;=39000)),COUNTIF($A$8:$A$12,INDEX(잔액!$D:$D,MAX(64,C554)))=0,SUMIF($C$430:$C$729,C554,$D$430:$D$729)&lt;=INDEX(잔액!$Y:$Y,MAX(64,C554)))),1,0),0))</f>
      </c>
      <c r="N554" s="504">
        <f>IF(B554="","",IFERROR(IF(AND(COUNTIF($A$100:$A$399,B554)=1,INDEX($R$100:$R$399,MATCH(B554,$A$100:$A$399,0))="OK",D554&gt;0,ISNUMBER(E554),M554=1,SUMIF($B$430:$B$729,B554,$D$430:$D$729)&lt;=INDEX($E$100:$E$399,MATCH(B554,$A$100:$A$399,0))),"OK","확인: 정산연결"),"확인: 정산연결"))</f>
      </c>
      <c r="O554" s="526">
        <f>IF(N554="OK",D554,0)</f>
        <v>0</v>
      </c>
    </row>
    <row r="555" hidden="1" outlineLevel="1">
      <c r="A555" s="504">
        <f>IF(B555="","","S"&amp;ROW())</f>
      </c>
      <c r="B555" s="522" t="n"/>
      <c r="C555" s="522" t="n"/>
      <c r="D555" s="525">
        <f>IF(C555="","",IFERROR(INDEX(잔액!$Y:$Y,MAX(64,C555)),0))</f>
      </c>
      <c r="E555" s="524">
        <f>IF(C555="","",IFERROR(INDEX(잔액!$A:$A,MAX(64,C555)),""))</f>
      </c>
      <c r="F555" s="504">
        <f>IF(C555="","",IFERROR(INDEX(잔액!$C:$C,MAX(64,C555)),""))</f>
      </c>
      <c r="G555" s="504">
        <f>IF(C555="","",IF(INDEX(잔액!$K:$K,MAX(64,C555))&lt;&gt;"",INDEX(잔액!$K:$K,MAX(64,C555)),INDEX(잔액!$D:$D,MAX(64,C555))))</f>
      </c>
      <c r="H555" s="504" t="inlineStr">
        <is>
          <t>원장</t>
        </is>
      </c>
      <c r="J555" s="504">
        <f>IFERROR(INDEX($C$100:$C$399,MATCH(B555,$A$100:$A$399,0)),"")</f>
        <v>0</v>
      </c>
      <c r="K555" s="524">
        <f>IFERROR(INDEX($D$100:$D$399,MATCH(B555,$A$100:$A$399,0)),"")</f>
      </c>
      <c r="L555" s="504">
        <f>IFERROR(INDEX($S$100:$S$399,MATCH(B555,$A$100:$A$399,0)),"")</f>
        <v>0</v>
      </c>
      <c r="M555" s="504">
        <f>IF(B555="","",IFERROR(IF(OR(AND(H555="기초반영",OR(B555="U001",B555="U002",B555="U003"),C555="",E555=DATE(2026,3,1)),AND(H555="원장",C555&gt;=64,C555&lt;=500,INDEX(잔액!$I:$I,MAX(64,C555))="OK",E555=INDEX(잔액!$A:$A,MAX(64,C555)),F555=INDEX(잔액!$C:$C,MAX(64,C555)),OR(F555=J555,F555="결제대금비",AND(B555="U008",C555=223,J555="경조사비",F555="명절비"),AND(B555="U008",C555=208,J555="경조사비",F555="임시보관",SUMIF($C$430:$C$729,C555,$D$430:$D$729)&lt;=39000)),OR(COUNTIF($A$8:$A$12,F555)=1,F555="결제대금비",AND(B555="U008",C555=208,J555="경조사비",F555="임시보관",SUMIF($C$430:$C$729,C555,$D$430:$D$729)&lt;=39000)),COUNTIF($A$8:$A$12,INDEX(잔액!$D:$D,MAX(64,C555)))=0,SUMIF($C$430:$C$729,C555,$D$430:$D$729)&lt;=INDEX(잔액!$Y:$Y,MAX(64,C555)))),1,0),0))</f>
      </c>
      <c r="N555" s="504">
        <f>IF(B555="","",IFERROR(IF(AND(COUNTIF($A$100:$A$399,B555)=1,INDEX($R$100:$R$399,MATCH(B555,$A$100:$A$399,0))="OK",D555&gt;0,ISNUMBER(E555),M555=1,SUMIF($B$430:$B$729,B555,$D$430:$D$729)&lt;=INDEX($E$100:$E$399,MATCH(B555,$A$100:$A$399,0))),"OK","확인: 정산연결"),"확인: 정산연결"))</f>
      </c>
      <c r="O555" s="526">
        <f>IF(N555="OK",D555,0)</f>
        <v>0</v>
      </c>
    </row>
    <row r="556" hidden="1" outlineLevel="1">
      <c r="A556" s="504">
        <f>IF(B556="","","S"&amp;ROW())</f>
      </c>
      <c r="B556" s="522" t="n"/>
      <c r="C556" s="522" t="n"/>
      <c r="D556" s="525">
        <f>IF(C556="","",IFERROR(INDEX(잔액!$Y:$Y,MAX(64,C556)),0))</f>
      </c>
      <c r="E556" s="524">
        <f>IF(C556="","",IFERROR(INDEX(잔액!$A:$A,MAX(64,C556)),""))</f>
      </c>
      <c r="F556" s="504">
        <f>IF(C556="","",IFERROR(INDEX(잔액!$C:$C,MAX(64,C556)),""))</f>
      </c>
      <c r="G556" s="504">
        <f>IF(C556="","",IF(INDEX(잔액!$K:$K,MAX(64,C556))&lt;&gt;"",INDEX(잔액!$K:$K,MAX(64,C556)),INDEX(잔액!$D:$D,MAX(64,C556))))</f>
      </c>
      <c r="H556" s="504" t="inlineStr">
        <is>
          <t>원장</t>
        </is>
      </c>
      <c r="J556" s="504">
        <f>IFERROR(INDEX($C$100:$C$399,MATCH(B556,$A$100:$A$399,0)),"")</f>
        <v>0</v>
      </c>
      <c r="K556" s="524">
        <f>IFERROR(INDEX($D$100:$D$399,MATCH(B556,$A$100:$A$399,0)),"")</f>
      </c>
      <c r="L556" s="504">
        <f>IFERROR(INDEX($S$100:$S$399,MATCH(B556,$A$100:$A$399,0)),"")</f>
        <v>0</v>
      </c>
      <c r="M556" s="504">
        <f>IF(B556="","",IFERROR(IF(OR(AND(H556="기초반영",OR(B556="U001",B556="U002",B556="U003"),C556="",E556=DATE(2026,3,1)),AND(H556="원장",C556&gt;=64,C556&lt;=500,INDEX(잔액!$I:$I,MAX(64,C556))="OK",E556=INDEX(잔액!$A:$A,MAX(64,C556)),F556=INDEX(잔액!$C:$C,MAX(64,C556)),OR(F556=J556,F556="결제대금비",AND(B556="U008",C556=223,J556="경조사비",F556="명절비"),AND(B556="U008",C556=208,J556="경조사비",F556="임시보관",SUMIF($C$430:$C$729,C556,$D$430:$D$729)&lt;=39000)),OR(COUNTIF($A$8:$A$12,F556)=1,F556="결제대금비",AND(B556="U008",C556=208,J556="경조사비",F556="임시보관",SUMIF($C$430:$C$729,C556,$D$430:$D$729)&lt;=39000)),COUNTIF($A$8:$A$12,INDEX(잔액!$D:$D,MAX(64,C556)))=0,SUMIF($C$430:$C$729,C556,$D$430:$D$729)&lt;=INDEX(잔액!$Y:$Y,MAX(64,C556)))),1,0),0))</f>
      </c>
      <c r="N556" s="504">
        <f>IF(B556="","",IFERROR(IF(AND(COUNTIF($A$100:$A$399,B556)=1,INDEX($R$100:$R$399,MATCH(B556,$A$100:$A$399,0))="OK",D556&gt;0,ISNUMBER(E556),M556=1,SUMIF($B$430:$B$729,B556,$D$430:$D$729)&lt;=INDEX($E$100:$E$399,MATCH(B556,$A$100:$A$399,0))),"OK","확인: 정산연결"),"확인: 정산연결"))</f>
      </c>
      <c r="O556" s="526">
        <f>IF(N556="OK",D556,0)</f>
        <v>0</v>
      </c>
    </row>
    <row r="557" hidden="1" outlineLevel="1">
      <c r="A557" s="504">
        <f>IF(B557="","","S"&amp;ROW())</f>
      </c>
      <c r="B557" s="522" t="n"/>
      <c r="C557" s="522" t="n"/>
      <c r="D557" s="525">
        <f>IF(C557="","",IFERROR(INDEX(잔액!$Y:$Y,MAX(64,C557)),0))</f>
      </c>
      <c r="E557" s="524">
        <f>IF(C557="","",IFERROR(INDEX(잔액!$A:$A,MAX(64,C557)),""))</f>
      </c>
      <c r="F557" s="504">
        <f>IF(C557="","",IFERROR(INDEX(잔액!$C:$C,MAX(64,C557)),""))</f>
      </c>
      <c r="G557" s="504">
        <f>IF(C557="","",IF(INDEX(잔액!$K:$K,MAX(64,C557))&lt;&gt;"",INDEX(잔액!$K:$K,MAX(64,C557)),INDEX(잔액!$D:$D,MAX(64,C557))))</f>
      </c>
      <c r="H557" s="504" t="inlineStr">
        <is>
          <t>원장</t>
        </is>
      </c>
      <c r="J557" s="504">
        <f>IFERROR(INDEX($C$100:$C$399,MATCH(B557,$A$100:$A$399,0)),"")</f>
        <v>0</v>
      </c>
      <c r="K557" s="524">
        <f>IFERROR(INDEX($D$100:$D$399,MATCH(B557,$A$100:$A$399,0)),"")</f>
      </c>
      <c r="L557" s="504">
        <f>IFERROR(INDEX($S$100:$S$399,MATCH(B557,$A$100:$A$399,0)),"")</f>
        <v>0</v>
      </c>
      <c r="M557" s="504">
        <f>IF(B557="","",IFERROR(IF(OR(AND(H557="기초반영",OR(B557="U001",B557="U002",B557="U003"),C557="",E557=DATE(2026,3,1)),AND(H557="원장",C557&gt;=64,C557&lt;=500,INDEX(잔액!$I:$I,MAX(64,C557))="OK",E557=INDEX(잔액!$A:$A,MAX(64,C557)),F557=INDEX(잔액!$C:$C,MAX(64,C557)),OR(F557=J557,F557="결제대금비",AND(B557="U008",C557=223,J557="경조사비",F557="명절비"),AND(B557="U008",C557=208,J557="경조사비",F557="임시보관",SUMIF($C$430:$C$729,C557,$D$430:$D$729)&lt;=39000)),OR(COUNTIF($A$8:$A$12,F557)=1,F557="결제대금비",AND(B557="U008",C557=208,J557="경조사비",F557="임시보관",SUMIF($C$430:$C$729,C557,$D$430:$D$729)&lt;=39000)),COUNTIF($A$8:$A$12,INDEX(잔액!$D:$D,MAX(64,C557)))=0,SUMIF($C$430:$C$729,C557,$D$430:$D$729)&lt;=INDEX(잔액!$Y:$Y,MAX(64,C557)))),1,0),0))</f>
      </c>
      <c r="N557" s="504">
        <f>IF(B557="","",IFERROR(IF(AND(COUNTIF($A$100:$A$399,B557)=1,INDEX($R$100:$R$399,MATCH(B557,$A$100:$A$399,0))="OK",D557&gt;0,ISNUMBER(E557),M557=1,SUMIF($B$430:$B$729,B557,$D$430:$D$729)&lt;=INDEX($E$100:$E$399,MATCH(B557,$A$100:$A$399,0))),"OK","확인: 정산연결"),"확인: 정산연결"))</f>
      </c>
      <c r="O557" s="526">
        <f>IF(N557="OK",D557,0)</f>
        <v>0</v>
      </c>
    </row>
    <row r="558" hidden="1" outlineLevel="1">
      <c r="A558" s="504">
        <f>IF(B558="","","S"&amp;ROW())</f>
      </c>
      <c r="B558" s="522" t="n"/>
      <c r="C558" s="522" t="n"/>
      <c r="D558" s="525">
        <f>IF(C558="","",IFERROR(INDEX(잔액!$Y:$Y,MAX(64,C558)),0))</f>
      </c>
      <c r="E558" s="524">
        <f>IF(C558="","",IFERROR(INDEX(잔액!$A:$A,MAX(64,C558)),""))</f>
      </c>
      <c r="F558" s="504">
        <f>IF(C558="","",IFERROR(INDEX(잔액!$C:$C,MAX(64,C558)),""))</f>
      </c>
      <c r="G558" s="504">
        <f>IF(C558="","",IF(INDEX(잔액!$K:$K,MAX(64,C558))&lt;&gt;"",INDEX(잔액!$K:$K,MAX(64,C558)),INDEX(잔액!$D:$D,MAX(64,C558))))</f>
      </c>
      <c r="H558" s="504" t="inlineStr">
        <is>
          <t>원장</t>
        </is>
      </c>
      <c r="J558" s="504">
        <f>IFERROR(INDEX($C$100:$C$399,MATCH(B558,$A$100:$A$399,0)),"")</f>
        <v>0</v>
      </c>
      <c r="K558" s="524">
        <f>IFERROR(INDEX($D$100:$D$399,MATCH(B558,$A$100:$A$399,0)),"")</f>
      </c>
      <c r="L558" s="504">
        <f>IFERROR(INDEX($S$100:$S$399,MATCH(B558,$A$100:$A$399,0)),"")</f>
        <v>0</v>
      </c>
      <c r="M558" s="504">
        <f>IF(B558="","",IFERROR(IF(OR(AND(H558="기초반영",OR(B558="U001",B558="U002",B558="U003"),C558="",E558=DATE(2026,3,1)),AND(H558="원장",C558&gt;=64,C558&lt;=500,INDEX(잔액!$I:$I,MAX(64,C558))="OK",E558=INDEX(잔액!$A:$A,MAX(64,C558)),F558=INDEX(잔액!$C:$C,MAX(64,C558)),OR(F558=J558,F558="결제대금비",AND(B558="U008",C558=223,J558="경조사비",F558="명절비"),AND(B558="U008",C558=208,J558="경조사비",F558="임시보관",SUMIF($C$430:$C$729,C558,$D$430:$D$729)&lt;=39000)),OR(COUNTIF($A$8:$A$12,F558)=1,F558="결제대금비",AND(B558="U008",C558=208,J558="경조사비",F558="임시보관",SUMIF($C$430:$C$729,C558,$D$430:$D$729)&lt;=39000)),COUNTIF($A$8:$A$12,INDEX(잔액!$D:$D,MAX(64,C558)))=0,SUMIF($C$430:$C$729,C558,$D$430:$D$729)&lt;=INDEX(잔액!$Y:$Y,MAX(64,C558)))),1,0),0))</f>
      </c>
      <c r="N558" s="504">
        <f>IF(B558="","",IFERROR(IF(AND(COUNTIF($A$100:$A$399,B558)=1,INDEX($R$100:$R$399,MATCH(B558,$A$100:$A$399,0))="OK",D558&gt;0,ISNUMBER(E558),M558=1,SUMIF($B$430:$B$729,B558,$D$430:$D$729)&lt;=INDEX($E$100:$E$399,MATCH(B558,$A$100:$A$399,0))),"OK","확인: 정산연결"),"확인: 정산연결"))</f>
      </c>
      <c r="O558" s="526">
        <f>IF(N558="OK",D558,0)</f>
        <v>0</v>
      </c>
    </row>
    <row r="559" hidden="1" outlineLevel="1">
      <c r="A559" s="504">
        <f>IF(B559="","","S"&amp;ROW())</f>
      </c>
      <c r="B559" s="522" t="n"/>
      <c r="C559" s="522" t="n"/>
      <c r="D559" s="525">
        <f>IF(C559="","",IFERROR(INDEX(잔액!$Y:$Y,MAX(64,C559)),0))</f>
      </c>
      <c r="E559" s="524">
        <f>IF(C559="","",IFERROR(INDEX(잔액!$A:$A,MAX(64,C559)),""))</f>
      </c>
      <c r="F559" s="504">
        <f>IF(C559="","",IFERROR(INDEX(잔액!$C:$C,MAX(64,C559)),""))</f>
      </c>
      <c r="G559" s="504">
        <f>IF(C559="","",IF(INDEX(잔액!$K:$K,MAX(64,C559))&lt;&gt;"",INDEX(잔액!$K:$K,MAX(64,C559)),INDEX(잔액!$D:$D,MAX(64,C559))))</f>
      </c>
      <c r="H559" s="504" t="inlineStr">
        <is>
          <t>원장</t>
        </is>
      </c>
      <c r="J559" s="504">
        <f>IFERROR(INDEX($C$100:$C$399,MATCH(B559,$A$100:$A$399,0)),"")</f>
        <v>0</v>
      </c>
      <c r="K559" s="524">
        <f>IFERROR(INDEX($D$100:$D$399,MATCH(B559,$A$100:$A$399,0)),"")</f>
      </c>
      <c r="L559" s="504">
        <f>IFERROR(INDEX($S$100:$S$399,MATCH(B559,$A$100:$A$399,0)),"")</f>
        <v>0</v>
      </c>
      <c r="M559" s="504">
        <f>IF(B559="","",IFERROR(IF(OR(AND(H559="기초반영",OR(B559="U001",B559="U002",B559="U003"),C559="",E559=DATE(2026,3,1)),AND(H559="원장",C559&gt;=64,C559&lt;=500,INDEX(잔액!$I:$I,MAX(64,C559))="OK",E559=INDEX(잔액!$A:$A,MAX(64,C559)),F559=INDEX(잔액!$C:$C,MAX(64,C559)),OR(F559=J559,F559="결제대금비",AND(B559="U008",C559=223,J559="경조사비",F559="명절비"),AND(B559="U008",C559=208,J559="경조사비",F559="임시보관",SUMIF($C$430:$C$729,C559,$D$430:$D$729)&lt;=39000)),OR(COUNTIF($A$8:$A$12,F559)=1,F559="결제대금비",AND(B559="U008",C559=208,J559="경조사비",F559="임시보관",SUMIF($C$430:$C$729,C559,$D$430:$D$729)&lt;=39000)),COUNTIF($A$8:$A$12,INDEX(잔액!$D:$D,MAX(64,C559)))=0,SUMIF($C$430:$C$729,C559,$D$430:$D$729)&lt;=INDEX(잔액!$Y:$Y,MAX(64,C559)))),1,0),0))</f>
      </c>
      <c r="N559" s="504">
        <f>IF(B559="","",IFERROR(IF(AND(COUNTIF($A$100:$A$399,B559)=1,INDEX($R$100:$R$399,MATCH(B559,$A$100:$A$399,0))="OK",D559&gt;0,ISNUMBER(E559),M559=1,SUMIF($B$430:$B$729,B559,$D$430:$D$729)&lt;=INDEX($E$100:$E$399,MATCH(B559,$A$100:$A$399,0))),"OK","확인: 정산연결"),"확인: 정산연결"))</f>
      </c>
      <c r="O559" s="526">
        <f>IF(N559="OK",D559,0)</f>
        <v>0</v>
      </c>
    </row>
    <row r="560" hidden="1" outlineLevel="1">
      <c r="A560" s="504">
        <f>IF(B560="","","S"&amp;ROW())</f>
      </c>
      <c r="B560" s="522" t="n"/>
      <c r="C560" s="522" t="n"/>
      <c r="D560" s="525">
        <f>IF(C560="","",IFERROR(INDEX(잔액!$Y:$Y,MAX(64,C560)),0))</f>
      </c>
      <c r="E560" s="524">
        <f>IF(C560="","",IFERROR(INDEX(잔액!$A:$A,MAX(64,C560)),""))</f>
      </c>
      <c r="F560" s="504">
        <f>IF(C560="","",IFERROR(INDEX(잔액!$C:$C,MAX(64,C560)),""))</f>
      </c>
      <c r="G560" s="504">
        <f>IF(C560="","",IF(INDEX(잔액!$K:$K,MAX(64,C560))&lt;&gt;"",INDEX(잔액!$K:$K,MAX(64,C560)),INDEX(잔액!$D:$D,MAX(64,C560))))</f>
      </c>
      <c r="H560" s="504" t="inlineStr">
        <is>
          <t>원장</t>
        </is>
      </c>
      <c r="J560" s="504">
        <f>IFERROR(INDEX($C$100:$C$399,MATCH(B560,$A$100:$A$399,0)),"")</f>
        <v>0</v>
      </c>
      <c r="K560" s="524">
        <f>IFERROR(INDEX($D$100:$D$399,MATCH(B560,$A$100:$A$399,0)),"")</f>
      </c>
      <c r="L560" s="504">
        <f>IFERROR(INDEX($S$100:$S$399,MATCH(B560,$A$100:$A$399,0)),"")</f>
        <v>0</v>
      </c>
      <c r="M560" s="504">
        <f>IF(B560="","",IFERROR(IF(OR(AND(H560="기초반영",OR(B560="U001",B560="U002",B560="U003"),C560="",E560=DATE(2026,3,1)),AND(H560="원장",C560&gt;=64,C560&lt;=500,INDEX(잔액!$I:$I,MAX(64,C560))="OK",E560=INDEX(잔액!$A:$A,MAX(64,C560)),F560=INDEX(잔액!$C:$C,MAX(64,C560)),OR(F560=J560,F560="결제대금비",AND(B560="U008",C560=223,J560="경조사비",F560="명절비"),AND(B560="U008",C560=208,J560="경조사비",F560="임시보관",SUMIF($C$430:$C$729,C560,$D$430:$D$729)&lt;=39000)),OR(COUNTIF($A$8:$A$12,F560)=1,F560="결제대금비",AND(B560="U008",C560=208,J560="경조사비",F560="임시보관",SUMIF($C$430:$C$729,C560,$D$430:$D$729)&lt;=39000)),COUNTIF($A$8:$A$12,INDEX(잔액!$D:$D,MAX(64,C560)))=0,SUMIF($C$430:$C$729,C560,$D$430:$D$729)&lt;=INDEX(잔액!$Y:$Y,MAX(64,C560)))),1,0),0))</f>
      </c>
      <c r="N560" s="504">
        <f>IF(B560="","",IFERROR(IF(AND(COUNTIF($A$100:$A$399,B560)=1,INDEX($R$100:$R$399,MATCH(B560,$A$100:$A$399,0))="OK",D560&gt;0,ISNUMBER(E560),M560=1,SUMIF($B$430:$B$729,B560,$D$430:$D$729)&lt;=INDEX($E$100:$E$399,MATCH(B560,$A$100:$A$399,0))),"OK","확인: 정산연결"),"확인: 정산연결"))</f>
      </c>
      <c r="O560" s="526">
        <f>IF(N560="OK",D560,0)</f>
        <v>0</v>
      </c>
    </row>
    <row r="561" hidden="1" outlineLevel="1">
      <c r="A561" s="504">
        <f>IF(B561="","","S"&amp;ROW())</f>
      </c>
      <c r="B561" s="522" t="n"/>
      <c r="C561" s="522" t="n"/>
      <c r="D561" s="525">
        <f>IF(C561="","",IFERROR(INDEX(잔액!$Y:$Y,MAX(64,C561)),0))</f>
      </c>
      <c r="E561" s="524">
        <f>IF(C561="","",IFERROR(INDEX(잔액!$A:$A,MAX(64,C561)),""))</f>
      </c>
      <c r="F561" s="504">
        <f>IF(C561="","",IFERROR(INDEX(잔액!$C:$C,MAX(64,C561)),""))</f>
      </c>
      <c r="G561" s="504">
        <f>IF(C561="","",IF(INDEX(잔액!$K:$K,MAX(64,C561))&lt;&gt;"",INDEX(잔액!$K:$K,MAX(64,C561)),INDEX(잔액!$D:$D,MAX(64,C561))))</f>
      </c>
      <c r="H561" s="504" t="inlineStr">
        <is>
          <t>원장</t>
        </is>
      </c>
      <c r="J561" s="504">
        <f>IFERROR(INDEX($C$100:$C$399,MATCH(B561,$A$100:$A$399,0)),"")</f>
        <v>0</v>
      </c>
      <c r="K561" s="524">
        <f>IFERROR(INDEX($D$100:$D$399,MATCH(B561,$A$100:$A$399,0)),"")</f>
      </c>
      <c r="L561" s="504">
        <f>IFERROR(INDEX($S$100:$S$399,MATCH(B561,$A$100:$A$399,0)),"")</f>
        <v>0</v>
      </c>
      <c r="M561" s="504">
        <f>IF(B561="","",IFERROR(IF(OR(AND(H561="기초반영",OR(B561="U001",B561="U002",B561="U003"),C561="",E561=DATE(2026,3,1)),AND(H561="원장",C561&gt;=64,C561&lt;=500,INDEX(잔액!$I:$I,MAX(64,C561))="OK",E561=INDEX(잔액!$A:$A,MAX(64,C561)),F561=INDEX(잔액!$C:$C,MAX(64,C561)),OR(F561=J561,F561="결제대금비",AND(B561="U008",C561=223,J561="경조사비",F561="명절비"),AND(B561="U008",C561=208,J561="경조사비",F561="임시보관",SUMIF($C$430:$C$729,C561,$D$430:$D$729)&lt;=39000)),OR(COUNTIF($A$8:$A$12,F561)=1,F561="결제대금비",AND(B561="U008",C561=208,J561="경조사비",F561="임시보관",SUMIF($C$430:$C$729,C561,$D$430:$D$729)&lt;=39000)),COUNTIF($A$8:$A$12,INDEX(잔액!$D:$D,MAX(64,C561)))=0,SUMIF($C$430:$C$729,C561,$D$430:$D$729)&lt;=INDEX(잔액!$Y:$Y,MAX(64,C561)))),1,0),0))</f>
      </c>
      <c r="N561" s="504">
        <f>IF(B561="","",IFERROR(IF(AND(COUNTIF($A$100:$A$399,B561)=1,INDEX($R$100:$R$399,MATCH(B561,$A$100:$A$399,0))="OK",D561&gt;0,ISNUMBER(E561),M561=1,SUMIF($B$430:$B$729,B561,$D$430:$D$729)&lt;=INDEX($E$100:$E$399,MATCH(B561,$A$100:$A$399,0))),"OK","확인: 정산연결"),"확인: 정산연결"))</f>
      </c>
      <c r="O561" s="526">
        <f>IF(N561="OK",D561,0)</f>
        <v>0</v>
      </c>
    </row>
    <row r="562" hidden="1" outlineLevel="1">
      <c r="A562" s="504">
        <f>IF(B562="","","S"&amp;ROW())</f>
      </c>
      <c r="B562" s="522" t="n"/>
      <c r="C562" s="522" t="n"/>
      <c r="D562" s="525">
        <f>IF(C562="","",IFERROR(INDEX(잔액!$Y:$Y,MAX(64,C562)),0))</f>
      </c>
      <c r="E562" s="524">
        <f>IF(C562="","",IFERROR(INDEX(잔액!$A:$A,MAX(64,C562)),""))</f>
      </c>
      <c r="F562" s="504">
        <f>IF(C562="","",IFERROR(INDEX(잔액!$C:$C,MAX(64,C562)),""))</f>
      </c>
      <c r="G562" s="504">
        <f>IF(C562="","",IF(INDEX(잔액!$K:$K,MAX(64,C562))&lt;&gt;"",INDEX(잔액!$K:$K,MAX(64,C562)),INDEX(잔액!$D:$D,MAX(64,C562))))</f>
      </c>
      <c r="H562" s="504" t="inlineStr">
        <is>
          <t>원장</t>
        </is>
      </c>
      <c r="J562" s="504">
        <f>IFERROR(INDEX($C$100:$C$399,MATCH(B562,$A$100:$A$399,0)),"")</f>
        <v>0</v>
      </c>
      <c r="K562" s="524">
        <f>IFERROR(INDEX($D$100:$D$399,MATCH(B562,$A$100:$A$399,0)),"")</f>
      </c>
      <c r="L562" s="504">
        <f>IFERROR(INDEX($S$100:$S$399,MATCH(B562,$A$100:$A$399,0)),"")</f>
        <v>0</v>
      </c>
      <c r="M562" s="504">
        <f>IF(B562="","",IFERROR(IF(OR(AND(H562="기초반영",OR(B562="U001",B562="U002",B562="U003"),C562="",E562=DATE(2026,3,1)),AND(H562="원장",C562&gt;=64,C562&lt;=500,INDEX(잔액!$I:$I,MAX(64,C562))="OK",E562=INDEX(잔액!$A:$A,MAX(64,C562)),F562=INDEX(잔액!$C:$C,MAX(64,C562)),OR(F562=J562,F562="결제대금비",AND(B562="U008",C562=223,J562="경조사비",F562="명절비"),AND(B562="U008",C562=208,J562="경조사비",F562="임시보관",SUMIF($C$430:$C$729,C562,$D$430:$D$729)&lt;=39000)),OR(COUNTIF($A$8:$A$12,F562)=1,F562="결제대금비",AND(B562="U008",C562=208,J562="경조사비",F562="임시보관",SUMIF($C$430:$C$729,C562,$D$430:$D$729)&lt;=39000)),COUNTIF($A$8:$A$12,INDEX(잔액!$D:$D,MAX(64,C562)))=0,SUMIF($C$430:$C$729,C562,$D$430:$D$729)&lt;=INDEX(잔액!$Y:$Y,MAX(64,C562)))),1,0),0))</f>
      </c>
      <c r="N562" s="504">
        <f>IF(B562="","",IFERROR(IF(AND(COUNTIF($A$100:$A$399,B562)=1,INDEX($R$100:$R$399,MATCH(B562,$A$100:$A$399,0))="OK",D562&gt;0,ISNUMBER(E562),M562=1,SUMIF($B$430:$B$729,B562,$D$430:$D$729)&lt;=INDEX($E$100:$E$399,MATCH(B562,$A$100:$A$399,0))),"OK","확인: 정산연결"),"확인: 정산연결"))</f>
      </c>
      <c r="O562" s="526">
        <f>IF(N562="OK",D562,0)</f>
        <v>0</v>
      </c>
    </row>
    <row r="563" hidden="1" outlineLevel="1">
      <c r="A563" s="504">
        <f>IF(B563="","","S"&amp;ROW())</f>
      </c>
      <c r="B563" s="522" t="n"/>
      <c r="C563" s="522" t="n"/>
      <c r="D563" s="525">
        <f>IF(C563="","",IFERROR(INDEX(잔액!$Y:$Y,MAX(64,C563)),0))</f>
      </c>
      <c r="E563" s="524">
        <f>IF(C563="","",IFERROR(INDEX(잔액!$A:$A,MAX(64,C563)),""))</f>
      </c>
      <c r="F563" s="504">
        <f>IF(C563="","",IFERROR(INDEX(잔액!$C:$C,MAX(64,C563)),""))</f>
      </c>
      <c r="G563" s="504">
        <f>IF(C563="","",IF(INDEX(잔액!$K:$K,MAX(64,C563))&lt;&gt;"",INDEX(잔액!$K:$K,MAX(64,C563)),INDEX(잔액!$D:$D,MAX(64,C563))))</f>
      </c>
      <c r="H563" s="504" t="inlineStr">
        <is>
          <t>원장</t>
        </is>
      </c>
      <c r="J563" s="504">
        <f>IFERROR(INDEX($C$100:$C$399,MATCH(B563,$A$100:$A$399,0)),"")</f>
        <v>0</v>
      </c>
      <c r="K563" s="524">
        <f>IFERROR(INDEX($D$100:$D$399,MATCH(B563,$A$100:$A$399,0)),"")</f>
      </c>
      <c r="L563" s="504">
        <f>IFERROR(INDEX($S$100:$S$399,MATCH(B563,$A$100:$A$399,0)),"")</f>
        <v>0</v>
      </c>
      <c r="M563" s="504">
        <f>IF(B563="","",IFERROR(IF(OR(AND(H563="기초반영",OR(B563="U001",B563="U002",B563="U003"),C563="",E563=DATE(2026,3,1)),AND(H563="원장",C563&gt;=64,C563&lt;=500,INDEX(잔액!$I:$I,MAX(64,C563))="OK",E563=INDEX(잔액!$A:$A,MAX(64,C563)),F563=INDEX(잔액!$C:$C,MAX(64,C563)),OR(F563=J563,F563="결제대금비",AND(B563="U008",C563=223,J563="경조사비",F563="명절비"),AND(B563="U008",C563=208,J563="경조사비",F563="임시보관",SUMIF($C$430:$C$729,C563,$D$430:$D$729)&lt;=39000)),OR(COUNTIF($A$8:$A$12,F563)=1,F563="결제대금비",AND(B563="U008",C563=208,J563="경조사비",F563="임시보관",SUMIF($C$430:$C$729,C563,$D$430:$D$729)&lt;=39000)),COUNTIF($A$8:$A$12,INDEX(잔액!$D:$D,MAX(64,C563)))=0,SUMIF($C$430:$C$729,C563,$D$430:$D$729)&lt;=INDEX(잔액!$Y:$Y,MAX(64,C563)))),1,0),0))</f>
      </c>
      <c r="N563" s="504">
        <f>IF(B563="","",IFERROR(IF(AND(COUNTIF($A$100:$A$399,B563)=1,INDEX($R$100:$R$399,MATCH(B563,$A$100:$A$399,0))="OK",D563&gt;0,ISNUMBER(E563),M563=1,SUMIF($B$430:$B$729,B563,$D$430:$D$729)&lt;=INDEX($E$100:$E$399,MATCH(B563,$A$100:$A$399,0))),"OK","확인: 정산연결"),"확인: 정산연결"))</f>
      </c>
      <c r="O563" s="526">
        <f>IF(N563="OK",D563,0)</f>
        <v>0</v>
      </c>
    </row>
    <row r="564" hidden="1" outlineLevel="1">
      <c r="A564" s="504">
        <f>IF(B564="","","S"&amp;ROW())</f>
      </c>
      <c r="B564" s="522" t="n"/>
      <c r="C564" s="522" t="n"/>
      <c r="D564" s="525">
        <f>IF(C564="","",IFERROR(INDEX(잔액!$Y:$Y,MAX(64,C564)),0))</f>
      </c>
      <c r="E564" s="524">
        <f>IF(C564="","",IFERROR(INDEX(잔액!$A:$A,MAX(64,C564)),""))</f>
      </c>
      <c r="F564" s="504">
        <f>IF(C564="","",IFERROR(INDEX(잔액!$C:$C,MAX(64,C564)),""))</f>
      </c>
      <c r="G564" s="504">
        <f>IF(C564="","",IF(INDEX(잔액!$K:$K,MAX(64,C564))&lt;&gt;"",INDEX(잔액!$K:$K,MAX(64,C564)),INDEX(잔액!$D:$D,MAX(64,C564))))</f>
      </c>
      <c r="H564" s="504" t="inlineStr">
        <is>
          <t>원장</t>
        </is>
      </c>
      <c r="J564" s="504">
        <f>IFERROR(INDEX($C$100:$C$399,MATCH(B564,$A$100:$A$399,0)),"")</f>
        <v>0</v>
      </c>
      <c r="K564" s="524">
        <f>IFERROR(INDEX($D$100:$D$399,MATCH(B564,$A$100:$A$399,0)),"")</f>
      </c>
      <c r="L564" s="504">
        <f>IFERROR(INDEX($S$100:$S$399,MATCH(B564,$A$100:$A$399,0)),"")</f>
        <v>0</v>
      </c>
      <c r="M564" s="504">
        <f>IF(B564="","",IFERROR(IF(OR(AND(H564="기초반영",OR(B564="U001",B564="U002",B564="U003"),C564="",E564=DATE(2026,3,1)),AND(H564="원장",C564&gt;=64,C564&lt;=500,INDEX(잔액!$I:$I,MAX(64,C564))="OK",E564=INDEX(잔액!$A:$A,MAX(64,C564)),F564=INDEX(잔액!$C:$C,MAX(64,C564)),OR(F564=J564,F564="결제대금비",AND(B564="U008",C564=223,J564="경조사비",F564="명절비"),AND(B564="U008",C564=208,J564="경조사비",F564="임시보관",SUMIF($C$430:$C$729,C564,$D$430:$D$729)&lt;=39000)),OR(COUNTIF($A$8:$A$12,F564)=1,F564="결제대금비",AND(B564="U008",C564=208,J564="경조사비",F564="임시보관",SUMIF($C$430:$C$729,C564,$D$430:$D$729)&lt;=39000)),COUNTIF($A$8:$A$12,INDEX(잔액!$D:$D,MAX(64,C564)))=0,SUMIF($C$430:$C$729,C564,$D$430:$D$729)&lt;=INDEX(잔액!$Y:$Y,MAX(64,C564)))),1,0),0))</f>
      </c>
      <c r="N564" s="504">
        <f>IF(B564="","",IFERROR(IF(AND(COUNTIF($A$100:$A$399,B564)=1,INDEX($R$100:$R$399,MATCH(B564,$A$100:$A$399,0))="OK",D564&gt;0,ISNUMBER(E564),M564=1,SUMIF($B$430:$B$729,B564,$D$430:$D$729)&lt;=INDEX($E$100:$E$399,MATCH(B564,$A$100:$A$399,0))),"OK","확인: 정산연결"),"확인: 정산연결"))</f>
      </c>
      <c r="O564" s="526">
        <f>IF(N564="OK",D564,0)</f>
        <v>0</v>
      </c>
    </row>
    <row r="565" hidden="1" outlineLevel="1">
      <c r="A565" s="504">
        <f>IF(B565="","","S"&amp;ROW())</f>
      </c>
      <c r="B565" s="522" t="n"/>
      <c r="C565" s="522" t="n"/>
      <c r="D565" s="525">
        <f>IF(C565="","",IFERROR(INDEX(잔액!$Y:$Y,MAX(64,C565)),0))</f>
      </c>
      <c r="E565" s="524">
        <f>IF(C565="","",IFERROR(INDEX(잔액!$A:$A,MAX(64,C565)),""))</f>
      </c>
      <c r="F565" s="504">
        <f>IF(C565="","",IFERROR(INDEX(잔액!$C:$C,MAX(64,C565)),""))</f>
      </c>
      <c r="G565" s="504">
        <f>IF(C565="","",IF(INDEX(잔액!$K:$K,MAX(64,C565))&lt;&gt;"",INDEX(잔액!$K:$K,MAX(64,C565)),INDEX(잔액!$D:$D,MAX(64,C565))))</f>
      </c>
      <c r="H565" s="504" t="inlineStr">
        <is>
          <t>원장</t>
        </is>
      </c>
      <c r="J565" s="504">
        <f>IFERROR(INDEX($C$100:$C$399,MATCH(B565,$A$100:$A$399,0)),"")</f>
        <v>0</v>
      </c>
      <c r="K565" s="524">
        <f>IFERROR(INDEX($D$100:$D$399,MATCH(B565,$A$100:$A$399,0)),"")</f>
      </c>
      <c r="L565" s="504">
        <f>IFERROR(INDEX($S$100:$S$399,MATCH(B565,$A$100:$A$399,0)),"")</f>
        <v>0</v>
      </c>
      <c r="M565" s="504">
        <f>IF(B565="","",IFERROR(IF(OR(AND(H565="기초반영",OR(B565="U001",B565="U002",B565="U003"),C565="",E565=DATE(2026,3,1)),AND(H565="원장",C565&gt;=64,C565&lt;=500,INDEX(잔액!$I:$I,MAX(64,C565))="OK",E565=INDEX(잔액!$A:$A,MAX(64,C565)),F565=INDEX(잔액!$C:$C,MAX(64,C565)),OR(F565=J565,F565="결제대금비",AND(B565="U008",C565=223,J565="경조사비",F565="명절비"),AND(B565="U008",C565=208,J565="경조사비",F565="임시보관",SUMIF($C$430:$C$729,C565,$D$430:$D$729)&lt;=39000)),OR(COUNTIF($A$8:$A$12,F565)=1,F565="결제대금비",AND(B565="U008",C565=208,J565="경조사비",F565="임시보관",SUMIF($C$430:$C$729,C565,$D$430:$D$729)&lt;=39000)),COUNTIF($A$8:$A$12,INDEX(잔액!$D:$D,MAX(64,C565)))=0,SUMIF($C$430:$C$729,C565,$D$430:$D$729)&lt;=INDEX(잔액!$Y:$Y,MAX(64,C565)))),1,0),0))</f>
      </c>
      <c r="N565" s="504">
        <f>IF(B565="","",IFERROR(IF(AND(COUNTIF($A$100:$A$399,B565)=1,INDEX($R$100:$R$399,MATCH(B565,$A$100:$A$399,0))="OK",D565&gt;0,ISNUMBER(E565),M565=1,SUMIF($B$430:$B$729,B565,$D$430:$D$729)&lt;=INDEX($E$100:$E$399,MATCH(B565,$A$100:$A$399,0))),"OK","확인: 정산연결"),"확인: 정산연결"))</f>
      </c>
      <c r="O565" s="526">
        <f>IF(N565="OK",D565,0)</f>
        <v>0</v>
      </c>
    </row>
    <row r="566" hidden="1" outlineLevel="1">
      <c r="A566" s="504">
        <f>IF(B566="","","S"&amp;ROW())</f>
      </c>
      <c r="B566" s="522" t="n"/>
      <c r="C566" s="522" t="n"/>
      <c r="D566" s="525">
        <f>IF(C566="","",IFERROR(INDEX(잔액!$Y:$Y,MAX(64,C566)),0))</f>
      </c>
      <c r="E566" s="524">
        <f>IF(C566="","",IFERROR(INDEX(잔액!$A:$A,MAX(64,C566)),""))</f>
      </c>
      <c r="F566" s="504">
        <f>IF(C566="","",IFERROR(INDEX(잔액!$C:$C,MAX(64,C566)),""))</f>
      </c>
      <c r="G566" s="504">
        <f>IF(C566="","",IF(INDEX(잔액!$K:$K,MAX(64,C566))&lt;&gt;"",INDEX(잔액!$K:$K,MAX(64,C566)),INDEX(잔액!$D:$D,MAX(64,C566))))</f>
      </c>
      <c r="H566" s="504" t="inlineStr">
        <is>
          <t>원장</t>
        </is>
      </c>
      <c r="J566" s="504">
        <f>IFERROR(INDEX($C$100:$C$399,MATCH(B566,$A$100:$A$399,0)),"")</f>
        <v>0</v>
      </c>
      <c r="K566" s="524">
        <f>IFERROR(INDEX($D$100:$D$399,MATCH(B566,$A$100:$A$399,0)),"")</f>
      </c>
      <c r="L566" s="504">
        <f>IFERROR(INDEX($S$100:$S$399,MATCH(B566,$A$100:$A$399,0)),"")</f>
        <v>0</v>
      </c>
      <c r="M566" s="504">
        <f>IF(B566="","",IFERROR(IF(OR(AND(H566="기초반영",OR(B566="U001",B566="U002",B566="U003"),C566="",E566=DATE(2026,3,1)),AND(H566="원장",C566&gt;=64,C566&lt;=500,INDEX(잔액!$I:$I,MAX(64,C566))="OK",E566=INDEX(잔액!$A:$A,MAX(64,C566)),F566=INDEX(잔액!$C:$C,MAX(64,C566)),OR(F566=J566,F566="결제대금비",AND(B566="U008",C566=223,J566="경조사비",F566="명절비"),AND(B566="U008",C566=208,J566="경조사비",F566="임시보관",SUMIF($C$430:$C$729,C566,$D$430:$D$729)&lt;=39000)),OR(COUNTIF($A$8:$A$12,F566)=1,F566="결제대금비",AND(B566="U008",C566=208,J566="경조사비",F566="임시보관",SUMIF($C$430:$C$729,C566,$D$430:$D$729)&lt;=39000)),COUNTIF($A$8:$A$12,INDEX(잔액!$D:$D,MAX(64,C566)))=0,SUMIF($C$430:$C$729,C566,$D$430:$D$729)&lt;=INDEX(잔액!$Y:$Y,MAX(64,C566)))),1,0),0))</f>
      </c>
      <c r="N566" s="504">
        <f>IF(B566="","",IFERROR(IF(AND(COUNTIF($A$100:$A$399,B566)=1,INDEX($R$100:$R$399,MATCH(B566,$A$100:$A$399,0))="OK",D566&gt;0,ISNUMBER(E566),M566=1,SUMIF($B$430:$B$729,B566,$D$430:$D$729)&lt;=INDEX($E$100:$E$399,MATCH(B566,$A$100:$A$399,0))),"OK","확인: 정산연결"),"확인: 정산연결"))</f>
      </c>
      <c r="O566" s="526">
        <f>IF(N566="OK",D566,0)</f>
        <v>0</v>
      </c>
    </row>
    <row r="567" hidden="1" outlineLevel="1">
      <c r="A567" s="504">
        <f>IF(B567="","","S"&amp;ROW())</f>
      </c>
      <c r="B567" s="522" t="n"/>
      <c r="C567" s="522" t="n"/>
      <c r="D567" s="525">
        <f>IF(C567="","",IFERROR(INDEX(잔액!$Y:$Y,MAX(64,C567)),0))</f>
      </c>
      <c r="E567" s="524">
        <f>IF(C567="","",IFERROR(INDEX(잔액!$A:$A,MAX(64,C567)),""))</f>
      </c>
      <c r="F567" s="504">
        <f>IF(C567="","",IFERROR(INDEX(잔액!$C:$C,MAX(64,C567)),""))</f>
      </c>
      <c r="G567" s="504">
        <f>IF(C567="","",IF(INDEX(잔액!$K:$K,MAX(64,C567))&lt;&gt;"",INDEX(잔액!$K:$K,MAX(64,C567)),INDEX(잔액!$D:$D,MAX(64,C567))))</f>
      </c>
      <c r="H567" s="504" t="inlineStr">
        <is>
          <t>원장</t>
        </is>
      </c>
      <c r="J567" s="504">
        <f>IFERROR(INDEX($C$100:$C$399,MATCH(B567,$A$100:$A$399,0)),"")</f>
        <v>0</v>
      </c>
      <c r="K567" s="524">
        <f>IFERROR(INDEX($D$100:$D$399,MATCH(B567,$A$100:$A$399,0)),"")</f>
      </c>
      <c r="L567" s="504">
        <f>IFERROR(INDEX($S$100:$S$399,MATCH(B567,$A$100:$A$399,0)),"")</f>
        <v>0</v>
      </c>
      <c r="M567" s="504">
        <f>IF(B567="","",IFERROR(IF(OR(AND(H567="기초반영",OR(B567="U001",B567="U002",B567="U003"),C567="",E567=DATE(2026,3,1)),AND(H567="원장",C567&gt;=64,C567&lt;=500,INDEX(잔액!$I:$I,MAX(64,C567))="OK",E567=INDEX(잔액!$A:$A,MAX(64,C567)),F567=INDEX(잔액!$C:$C,MAX(64,C567)),OR(F567=J567,F567="결제대금비",AND(B567="U008",C567=223,J567="경조사비",F567="명절비"),AND(B567="U008",C567=208,J567="경조사비",F567="임시보관",SUMIF($C$430:$C$729,C567,$D$430:$D$729)&lt;=39000)),OR(COUNTIF($A$8:$A$12,F567)=1,F567="결제대금비",AND(B567="U008",C567=208,J567="경조사비",F567="임시보관",SUMIF($C$430:$C$729,C567,$D$430:$D$729)&lt;=39000)),COUNTIF($A$8:$A$12,INDEX(잔액!$D:$D,MAX(64,C567)))=0,SUMIF($C$430:$C$729,C567,$D$430:$D$729)&lt;=INDEX(잔액!$Y:$Y,MAX(64,C567)))),1,0),0))</f>
      </c>
      <c r="N567" s="504">
        <f>IF(B567="","",IFERROR(IF(AND(COUNTIF($A$100:$A$399,B567)=1,INDEX($R$100:$R$399,MATCH(B567,$A$100:$A$399,0))="OK",D567&gt;0,ISNUMBER(E567),M567=1,SUMIF($B$430:$B$729,B567,$D$430:$D$729)&lt;=INDEX($E$100:$E$399,MATCH(B567,$A$100:$A$399,0))),"OK","확인: 정산연결"),"확인: 정산연결"))</f>
      </c>
      <c r="O567" s="526">
        <f>IF(N567="OK",D567,0)</f>
        <v>0</v>
      </c>
    </row>
    <row r="568" hidden="1" outlineLevel="1">
      <c r="A568" s="504">
        <f>IF(B568="","","S"&amp;ROW())</f>
      </c>
      <c r="B568" s="522" t="n"/>
      <c r="C568" s="522" t="n"/>
      <c r="D568" s="525">
        <f>IF(C568="","",IFERROR(INDEX(잔액!$Y:$Y,MAX(64,C568)),0))</f>
      </c>
      <c r="E568" s="524">
        <f>IF(C568="","",IFERROR(INDEX(잔액!$A:$A,MAX(64,C568)),""))</f>
      </c>
      <c r="F568" s="504">
        <f>IF(C568="","",IFERROR(INDEX(잔액!$C:$C,MAX(64,C568)),""))</f>
      </c>
      <c r="G568" s="504">
        <f>IF(C568="","",IF(INDEX(잔액!$K:$K,MAX(64,C568))&lt;&gt;"",INDEX(잔액!$K:$K,MAX(64,C568)),INDEX(잔액!$D:$D,MAX(64,C568))))</f>
      </c>
      <c r="H568" s="504" t="inlineStr">
        <is>
          <t>원장</t>
        </is>
      </c>
      <c r="J568" s="504">
        <f>IFERROR(INDEX($C$100:$C$399,MATCH(B568,$A$100:$A$399,0)),"")</f>
        <v>0</v>
      </c>
      <c r="K568" s="524">
        <f>IFERROR(INDEX($D$100:$D$399,MATCH(B568,$A$100:$A$399,0)),"")</f>
      </c>
      <c r="L568" s="504">
        <f>IFERROR(INDEX($S$100:$S$399,MATCH(B568,$A$100:$A$399,0)),"")</f>
        <v>0</v>
      </c>
      <c r="M568" s="504">
        <f>IF(B568="","",IFERROR(IF(OR(AND(H568="기초반영",OR(B568="U001",B568="U002",B568="U003"),C568="",E568=DATE(2026,3,1)),AND(H568="원장",C568&gt;=64,C568&lt;=500,INDEX(잔액!$I:$I,MAX(64,C568))="OK",E568=INDEX(잔액!$A:$A,MAX(64,C568)),F568=INDEX(잔액!$C:$C,MAX(64,C568)),OR(F568=J568,F568="결제대금비",AND(B568="U008",C568=223,J568="경조사비",F568="명절비"),AND(B568="U008",C568=208,J568="경조사비",F568="임시보관",SUMIF($C$430:$C$729,C568,$D$430:$D$729)&lt;=39000)),OR(COUNTIF($A$8:$A$12,F568)=1,F568="결제대금비",AND(B568="U008",C568=208,J568="경조사비",F568="임시보관",SUMIF($C$430:$C$729,C568,$D$430:$D$729)&lt;=39000)),COUNTIF($A$8:$A$12,INDEX(잔액!$D:$D,MAX(64,C568)))=0,SUMIF($C$430:$C$729,C568,$D$430:$D$729)&lt;=INDEX(잔액!$Y:$Y,MAX(64,C568)))),1,0),0))</f>
      </c>
      <c r="N568" s="504">
        <f>IF(B568="","",IFERROR(IF(AND(COUNTIF($A$100:$A$399,B568)=1,INDEX($R$100:$R$399,MATCH(B568,$A$100:$A$399,0))="OK",D568&gt;0,ISNUMBER(E568),M568=1,SUMIF($B$430:$B$729,B568,$D$430:$D$729)&lt;=INDEX($E$100:$E$399,MATCH(B568,$A$100:$A$399,0))),"OK","확인: 정산연결"),"확인: 정산연결"))</f>
      </c>
      <c r="O568" s="526">
        <f>IF(N568="OK",D568,0)</f>
        <v>0</v>
      </c>
    </row>
    <row r="569" hidden="1" outlineLevel="1">
      <c r="A569" s="504">
        <f>IF(B569="","","S"&amp;ROW())</f>
      </c>
      <c r="B569" s="522" t="n"/>
      <c r="C569" s="522" t="n"/>
      <c r="D569" s="525">
        <f>IF(C569="","",IFERROR(INDEX(잔액!$Y:$Y,MAX(64,C569)),0))</f>
      </c>
      <c r="E569" s="524">
        <f>IF(C569="","",IFERROR(INDEX(잔액!$A:$A,MAX(64,C569)),""))</f>
      </c>
      <c r="F569" s="504">
        <f>IF(C569="","",IFERROR(INDEX(잔액!$C:$C,MAX(64,C569)),""))</f>
      </c>
      <c r="G569" s="504">
        <f>IF(C569="","",IF(INDEX(잔액!$K:$K,MAX(64,C569))&lt;&gt;"",INDEX(잔액!$K:$K,MAX(64,C569)),INDEX(잔액!$D:$D,MAX(64,C569))))</f>
      </c>
      <c r="H569" s="504" t="inlineStr">
        <is>
          <t>원장</t>
        </is>
      </c>
      <c r="J569" s="504">
        <f>IFERROR(INDEX($C$100:$C$399,MATCH(B569,$A$100:$A$399,0)),"")</f>
        <v>0</v>
      </c>
      <c r="K569" s="524">
        <f>IFERROR(INDEX($D$100:$D$399,MATCH(B569,$A$100:$A$399,0)),"")</f>
      </c>
      <c r="L569" s="504">
        <f>IFERROR(INDEX($S$100:$S$399,MATCH(B569,$A$100:$A$399,0)),"")</f>
        <v>0</v>
      </c>
      <c r="M569" s="504">
        <f>IF(B569="","",IFERROR(IF(OR(AND(H569="기초반영",OR(B569="U001",B569="U002",B569="U003"),C569="",E569=DATE(2026,3,1)),AND(H569="원장",C569&gt;=64,C569&lt;=500,INDEX(잔액!$I:$I,MAX(64,C569))="OK",E569=INDEX(잔액!$A:$A,MAX(64,C569)),F569=INDEX(잔액!$C:$C,MAX(64,C569)),OR(F569=J569,F569="결제대금비",AND(B569="U008",C569=223,J569="경조사비",F569="명절비"),AND(B569="U008",C569=208,J569="경조사비",F569="임시보관",SUMIF($C$430:$C$729,C569,$D$430:$D$729)&lt;=39000)),OR(COUNTIF($A$8:$A$12,F569)=1,F569="결제대금비",AND(B569="U008",C569=208,J569="경조사비",F569="임시보관",SUMIF($C$430:$C$729,C569,$D$430:$D$729)&lt;=39000)),COUNTIF($A$8:$A$12,INDEX(잔액!$D:$D,MAX(64,C569)))=0,SUMIF($C$430:$C$729,C569,$D$430:$D$729)&lt;=INDEX(잔액!$Y:$Y,MAX(64,C569)))),1,0),0))</f>
      </c>
      <c r="N569" s="504">
        <f>IF(B569="","",IFERROR(IF(AND(COUNTIF($A$100:$A$399,B569)=1,INDEX($R$100:$R$399,MATCH(B569,$A$100:$A$399,0))="OK",D569&gt;0,ISNUMBER(E569),M569=1,SUMIF($B$430:$B$729,B569,$D$430:$D$729)&lt;=INDEX($E$100:$E$399,MATCH(B569,$A$100:$A$399,0))),"OK","확인: 정산연결"),"확인: 정산연결"))</f>
      </c>
      <c r="O569" s="526">
        <f>IF(N569="OK",D569,0)</f>
        <v>0</v>
      </c>
    </row>
    <row r="570" hidden="1" outlineLevel="1">
      <c r="A570" s="504">
        <f>IF(B570="","","S"&amp;ROW())</f>
      </c>
      <c r="B570" s="522" t="n"/>
      <c r="C570" s="522" t="n"/>
      <c r="D570" s="525">
        <f>IF(C570="","",IFERROR(INDEX(잔액!$Y:$Y,MAX(64,C570)),0))</f>
      </c>
      <c r="E570" s="524">
        <f>IF(C570="","",IFERROR(INDEX(잔액!$A:$A,MAX(64,C570)),""))</f>
      </c>
      <c r="F570" s="504">
        <f>IF(C570="","",IFERROR(INDEX(잔액!$C:$C,MAX(64,C570)),""))</f>
      </c>
      <c r="G570" s="504">
        <f>IF(C570="","",IF(INDEX(잔액!$K:$K,MAX(64,C570))&lt;&gt;"",INDEX(잔액!$K:$K,MAX(64,C570)),INDEX(잔액!$D:$D,MAX(64,C570))))</f>
      </c>
      <c r="H570" s="504" t="inlineStr">
        <is>
          <t>원장</t>
        </is>
      </c>
      <c r="J570" s="504">
        <f>IFERROR(INDEX($C$100:$C$399,MATCH(B570,$A$100:$A$399,0)),"")</f>
        <v>0</v>
      </c>
      <c r="K570" s="524">
        <f>IFERROR(INDEX($D$100:$D$399,MATCH(B570,$A$100:$A$399,0)),"")</f>
      </c>
      <c r="L570" s="504">
        <f>IFERROR(INDEX($S$100:$S$399,MATCH(B570,$A$100:$A$399,0)),"")</f>
        <v>0</v>
      </c>
      <c r="M570" s="504">
        <f>IF(B570="","",IFERROR(IF(OR(AND(H570="기초반영",OR(B570="U001",B570="U002",B570="U003"),C570="",E570=DATE(2026,3,1)),AND(H570="원장",C570&gt;=64,C570&lt;=500,INDEX(잔액!$I:$I,MAX(64,C570))="OK",E570=INDEX(잔액!$A:$A,MAX(64,C570)),F570=INDEX(잔액!$C:$C,MAX(64,C570)),OR(F570=J570,F570="결제대금비",AND(B570="U008",C570=223,J570="경조사비",F570="명절비"),AND(B570="U008",C570=208,J570="경조사비",F570="임시보관",SUMIF($C$430:$C$729,C570,$D$430:$D$729)&lt;=39000)),OR(COUNTIF($A$8:$A$12,F570)=1,F570="결제대금비",AND(B570="U008",C570=208,J570="경조사비",F570="임시보관",SUMIF($C$430:$C$729,C570,$D$430:$D$729)&lt;=39000)),COUNTIF($A$8:$A$12,INDEX(잔액!$D:$D,MAX(64,C570)))=0,SUMIF($C$430:$C$729,C570,$D$430:$D$729)&lt;=INDEX(잔액!$Y:$Y,MAX(64,C570)))),1,0),0))</f>
      </c>
      <c r="N570" s="504">
        <f>IF(B570="","",IFERROR(IF(AND(COUNTIF($A$100:$A$399,B570)=1,INDEX($R$100:$R$399,MATCH(B570,$A$100:$A$399,0))="OK",D570&gt;0,ISNUMBER(E570),M570=1,SUMIF($B$430:$B$729,B570,$D$430:$D$729)&lt;=INDEX($E$100:$E$399,MATCH(B570,$A$100:$A$399,0))),"OK","확인: 정산연결"),"확인: 정산연결"))</f>
      </c>
      <c r="O570" s="526">
        <f>IF(N570="OK",D570,0)</f>
        <v>0</v>
      </c>
    </row>
    <row r="571" hidden="1" outlineLevel="1">
      <c r="A571" s="504">
        <f>IF(B571="","","S"&amp;ROW())</f>
      </c>
      <c r="B571" s="522" t="n"/>
      <c r="C571" s="522" t="n"/>
      <c r="D571" s="525">
        <f>IF(C571="","",IFERROR(INDEX(잔액!$Y:$Y,MAX(64,C571)),0))</f>
      </c>
      <c r="E571" s="524">
        <f>IF(C571="","",IFERROR(INDEX(잔액!$A:$A,MAX(64,C571)),""))</f>
      </c>
      <c r="F571" s="504">
        <f>IF(C571="","",IFERROR(INDEX(잔액!$C:$C,MAX(64,C571)),""))</f>
      </c>
      <c r="G571" s="504">
        <f>IF(C571="","",IF(INDEX(잔액!$K:$K,MAX(64,C571))&lt;&gt;"",INDEX(잔액!$K:$K,MAX(64,C571)),INDEX(잔액!$D:$D,MAX(64,C571))))</f>
      </c>
      <c r="H571" s="504" t="inlineStr">
        <is>
          <t>원장</t>
        </is>
      </c>
      <c r="J571" s="504">
        <f>IFERROR(INDEX($C$100:$C$399,MATCH(B571,$A$100:$A$399,0)),"")</f>
        <v>0</v>
      </c>
      <c r="K571" s="524">
        <f>IFERROR(INDEX($D$100:$D$399,MATCH(B571,$A$100:$A$399,0)),"")</f>
      </c>
      <c r="L571" s="504">
        <f>IFERROR(INDEX($S$100:$S$399,MATCH(B571,$A$100:$A$399,0)),"")</f>
        <v>0</v>
      </c>
      <c r="M571" s="504">
        <f>IF(B571="","",IFERROR(IF(OR(AND(H571="기초반영",OR(B571="U001",B571="U002",B571="U003"),C571="",E571=DATE(2026,3,1)),AND(H571="원장",C571&gt;=64,C571&lt;=500,INDEX(잔액!$I:$I,MAX(64,C571))="OK",E571=INDEX(잔액!$A:$A,MAX(64,C571)),F571=INDEX(잔액!$C:$C,MAX(64,C571)),OR(F571=J571,F571="결제대금비",AND(B571="U008",C571=223,J571="경조사비",F571="명절비"),AND(B571="U008",C571=208,J571="경조사비",F571="임시보관",SUMIF($C$430:$C$729,C571,$D$430:$D$729)&lt;=39000)),OR(COUNTIF($A$8:$A$12,F571)=1,F571="결제대금비",AND(B571="U008",C571=208,J571="경조사비",F571="임시보관",SUMIF($C$430:$C$729,C571,$D$430:$D$729)&lt;=39000)),COUNTIF($A$8:$A$12,INDEX(잔액!$D:$D,MAX(64,C571)))=0,SUMIF($C$430:$C$729,C571,$D$430:$D$729)&lt;=INDEX(잔액!$Y:$Y,MAX(64,C571)))),1,0),0))</f>
      </c>
      <c r="N571" s="504">
        <f>IF(B571="","",IFERROR(IF(AND(COUNTIF($A$100:$A$399,B571)=1,INDEX($R$100:$R$399,MATCH(B571,$A$100:$A$399,0))="OK",D571&gt;0,ISNUMBER(E571),M571=1,SUMIF($B$430:$B$729,B571,$D$430:$D$729)&lt;=INDEX($E$100:$E$399,MATCH(B571,$A$100:$A$399,0))),"OK","확인: 정산연결"),"확인: 정산연결"))</f>
      </c>
      <c r="O571" s="526">
        <f>IF(N571="OK",D571,0)</f>
        <v>0</v>
      </c>
    </row>
    <row r="572" hidden="1" outlineLevel="1">
      <c r="A572" s="504">
        <f>IF(B572="","","S"&amp;ROW())</f>
      </c>
      <c r="B572" s="522" t="n"/>
      <c r="C572" s="522" t="n"/>
      <c r="D572" s="525">
        <f>IF(C572="","",IFERROR(INDEX(잔액!$Y:$Y,MAX(64,C572)),0))</f>
      </c>
      <c r="E572" s="524">
        <f>IF(C572="","",IFERROR(INDEX(잔액!$A:$A,MAX(64,C572)),""))</f>
      </c>
      <c r="F572" s="504">
        <f>IF(C572="","",IFERROR(INDEX(잔액!$C:$C,MAX(64,C572)),""))</f>
      </c>
      <c r="G572" s="504">
        <f>IF(C572="","",IF(INDEX(잔액!$K:$K,MAX(64,C572))&lt;&gt;"",INDEX(잔액!$K:$K,MAX(64,C572)),INDEX(잔액!$D:$D,MAX(64,C572))))</f>
      </c>
      <c r="H572" s="504" t="inlineStr">
        <is>
          <t>원장</t>
        </is>
      </c>
      <c r="J572" s="504">
        <f>IFERROR(INDEX($C$100:$C$399,MATCH(B572,$A$100:$A$399,0)),"")</f>
        <v>0</v>
      </c>
      <c r="K572" s="524">
        <f>IFERROR(INDEX($D$100:$D$399,MATCH(B572,$A$100:$A$399,0)),"")</f>
      </c>
      <c r="L572" s="504">
        <f>IFERROR(INDEX($S$100:$S$399,MATCH(B572,$A$100:$A$399,0)),"")</f>
        <v>0</v>
      </c>
      <c r="M572" s="504">
        <f>IF(B572="","",IFERROR(IF(OR(AND(H572="기초반영",OR(B572="U001",B572="U002",B572="U003"),C572="",E572=DATE(2026,3,1)),AND(H572="원장",C572&gt;=64,C572&lt;=500,INDEX(잔액!$I:$I,MAX(64,C572))="OK",E572=INDEX(잔액!$A:$A,MAX(64,C572)),F572=INDEX(잔액!$C:$C,MAX(64,C572)),OR(F572=J572,F572="결제대금비",AND(B572="U008",C572=223,J572="경조사비",F572="명절비"),AND(B572="U008",C572=208,J572="경조사비",F572="임시보관",SUMIF($C$430:$C$729,C572,$D$430:$D$729)&lt;=39000)),OR(COUNTIF($A$8:$A$12,F572)=1,F572="결제대금비",AND(B572="U008",C572=208,J572="경조사비",F572="임시보관",SUMIF($C$430:$C$729,C572,$D$430:$D$729)&lt;=39000)),COUNTIF($A$8:$A$12,INDEX(잔액!$D:$D,MAX(64,C572)))=0,SUMIF($C$430:$C$729,C572,$D$430:$D$729)&lt;=INDEX(잔액!$Y:$Y,MAX(64,C572)))),1,0),0))</f>
      </c>
      <c r="N572" s="504">
        <f>IF(B572="","",IFERROR(IF(AND(COUNTIF($A$100:$A$399,B572)=1,INDEX($R$100:$R$399,MATCH(B572,$A$100:$A$399,0))="OK",D572&gt;0,ISNUMBER(E572),M572=1,SUMIF($B$430:$B$729,B572,$D$430:$D$729)&lt;=INDEX($E$100:$E$399,MATCH(B572,$A$100:$A$399,0))),"OK","확인: 정산연결"),"확인: 정산연결"))</f>
      </c>
      <c r="O572" s="526">
        <f>IF(N572="OK",D572,0)</f>
        <v>0</v>
      </c>
    </row>
    <row r="573" hidden="1" outlineLevel="1">
      <c r="A573" s="504">
        <f>IF(B573="","","S"&amp;ROW())</f>
      </c>
      <c r="B573" s="522" t="n"/>
      <c r="C573" s="522" t="n"/>
      <c r="D573" s="525">
        <f>IF(C573="","",IFERROR(INDEX(잔액!$Y:$Y,MAX(64,C573)),0))</f>
      </c>
      <c r="E573" s="524">
        <f>IF(C573="","",IFERROR(INDEX(잔액!$A:$A,MAX(64,C573)),""))</f>
      </c>
      <c r="F573" s="504">
        <f>IF(C573="","",IFERROR(INDEX(잔액!$C:$C,MAX(64,C573)),""))</f>
      </c>
      <c r="G573" s="504">
        <f>IF(C573="","",IF(INDEX(잔액!$K:$K,MAX(64,C573))&lt;&gt;"",INDEX(잔액!$K:$K,MAX(64,C573)),INDEX(잔액!$D:$D,MAX(64,C573))))</f>
      </c>
      <c r="H573" s="504" t="inlineStr">
        <is>
          <t>원장</t>
        </is>
      </c>
      <c r="J573" s="504">
        <f>IFERROR(INDEX($C$100:$C$399,MATCH(B573,$A$100:$A$399,0)),"")</f>
        <v>0</v>
      </c>
      <c r="K573" s="524">
        <f>IFERROR(INDEX($D$100:$D$399,MATCH(B573,$A$100:$A$399,0)),"")</f>
      </c>
      <c r="L573" s="504">
        <f>IFERROR(INDEX($S$100:$S$399,MATCH(B573,$A$100:$A$399,0)),"")</f>
        <v>0</v>
      </c>
      <c r="M573" s="504">
        <f>IF(B573="","",IFERROR(IF(OR(AND(H573="기초반영",OR(B573="U001",B573="U002",B573="U003"),C573="",E573=DATE(2026,3,1)),AND(H573="원장",C573&gt;=64,C573&lt;=500,INDEX(잔액!$I:$I,MAX(64,C573))="OK",E573=INDEX(잔액!$A:$A,MAX(64,C573)),F573=INDEX(잔액!$C:$C,MAX(64,C573)),OR(F573=J573,F573="결제대금비",AND(B573="U008",C573=223,J573="경조사비",F573="명절비"),AND(B573="U008",C573=208,J573="경조사비",F573="임시보관",SUMIF($C$430:$C$729,C573,$D$430:$D$729)&lt;=39000)),OR(COUNTIF($A$8:$A$12,F573)=1,F573="결제대금비",AND(B573="U008",C573=208,J573="경조사비",F573="임시보관",SUMIF($C$430:$C$729,C573,$D$430:$D$729)&lt;=39000)),COUNTIF($A$8:$A$12,INDEX(잔액!$D:$D,MAX(64,C573)))=0,SUMIF($C$430:$C$729,C573,$D$430:$D$729)&lt;=INDEX(잔액!$Y:$Y,MAX(64,C573)))),1,0),0))</f>
      </c>
      <c r="N573" s="504">
        <f>IF(B573="","",IFERROR(IF(AND(COUNTIF($A$100:$A$399,B573)=1,INDEX($R$100:$R$399,MATCH(B573,$A$100:$A$399,0))="OK",D573&gt;0,ISNUMBER(E573),M573=1,SUMIF($B$430:$B$729,B573,$D$430:$D$729)&lt;=INDEX($E$100:$E$399,MATCH(B573,$A$100:$A$399,0))),"OK","확인: 정산연결"),"확인: 정산연결"))</f>
      </c>
      <c r="O573" s="526">
        <f>IF(N573="OK",D573,0)</f>
        <v>0</v>
      </c>
    </row>
    <row r="574" hidden="1" outlineLevel="1">
      <c r="A574" s="504">
        <f>IF(B574="","","S"&amp;ROW())</f>
      </c>
      <c r="B574" s="522" t="n"/>
      <c r="C574" s="522" t="n"/>
      <c r="D574" s="525">
        <f>IF(C574="","",IFERROR(INDEX(잔액!$Y:$Y,MAX(64,C574)),0))</f>
      </c>
      <c r="E574" s="524">
        <f>IF(C574="","",IFERROR(INDEX(잔액!$A:$A,MAX(64,C574)),""))</f>
      </c>
      <c r="F574" s="504">
        <f>IF(C574="","",IFERROR(INDEX(잔액!$C:$C,MAX(64,C574)),""))</f>
      </c>
      <c r="G574" s="504">
        <f>IF(C574="","",IF(INDEX(잔액!$K:$K,MAX(64,C574))&lt;&gt;"",INDEX(잔액!$K:$K,MAX(64,C574)),INDEX(잔액!$D:$D,MAX(64,C574))))</f>
      </c>
      <c r="H574" s="504" t="inlineStr">
        <is>
          <t>원장</t>
        </is>
      </c>
      <c r="J574" s="504">
        <f>IFERROR(INDEX($C$100:$C$399,MATCH(B574,$A$100:$A$399,0)),"")</f>
        <v>0</v>
      </c>
      <c r="K574" s="524">
        <f>IFERROR(INDEX($D$100:$D$399,MATCH(B574,$A$100:$A$399,0)),"")</f>
      </c>
      <c r="L574" s="504">
        <f>IFERROR(INDEX($S$100:$S$399,MATCH(B574,$A$100:$A$399,0)),"")</f>
        <v>0</v>
      </c>
      <c r="M574" s="504">
        <f>IF(B574="","",IFERROR(IF(OR(AND(H574="기초반영",OR(B574="U001",B574="U002",B574="U003"),C574="",E574=DATE(2026,3,1)),AND(H574="원장",C574&gt;=64,C574&lt;=500,INDEX(잔액!$I:$I,MAX(64,C574))="OK",E574=INDEX(잔액!$A:$A,MAX(64,C574)),F574=INDEX(잔액!$C:$C,MAX(64,C574)),OR(F574=J574,F574="결제대금비",AND(B574="U008",C574=223,J574="경조사비",F574="명절비"),AND(B574="U008",C574=208,J574="경조사비",F574="임시보관",SUMIF($C$430:$C$729,C574,$D$430:$D$729)&lt;=39000)),OR(COUNTIF($A$8:$A$12,F574)=1,F574="결제대금비",AND(B574="U008",C574=208,J574="경조사비",F574="임시보관",SUMIF($C$430:$C$729,C574,$D$430:$D$729)&lt;=39000)),COUNTIF($A$8:$A$12,INDEX(잔액!$D:$D,MAX(64,C574)))=0,SUMIF($C$430:$C$729,C574,$D$430:$D$729)&lt;=INDEX(잔액!$Y:$Y,MAX(64,C574)))),1,0),0))</f>
      </c>
      <c r="N574" s="504">
        <f>IF(B574="","",IFERROR(IF(AND(COUNTIF($A$100:$A$399,B574)=1,INDEX($R$100:$R$399,MATCH(B574,$A$100:$A$399,0))="OK",D574&gt;0,ISNUMBER(E574),M574=1,SUMIF($B$430:$B$729,B574,$D$430:$D$729)&lt;=INDEX($E$100:$E$399,MATCH(B574,$A$100:$A$399,0))),"OK","확인: 정산연결"),"확인: 정산연결"))</f>
      </c>
      <c r="O574" s="526">
        <f>IF(N574="OK",D574,0)</f>
        <v>0</v>
      </c>
    </row>
    <row r="575" hidden="1" outlineLevel="1">
      <c r="A575" s="504">
        <f>IF(B575="","","S"&amp;ROW())</f>
      </c>
      <c r="B575" s="522" t="n"/>
      <c r="C575" s="522" t="n"/>
      <c r="D575" s="525">
        <f>IF(C575="","",IFERROR(INDEX(잔액!$Y:$Y,MAX(64,C575)),0))</f>
      </c>
      <c r="E575" s="524">
        <f>IF(C575="","",IFERROR(INDEX(잔액!$A:$A,MAX(64,C575)),""))</f>
      </c>
      <c r="F575" s="504">
        <f>IF(C575="","",IFERROR(INDEX(잔액!$C:$C,MAX(64,C575)),""))</f>
      </c>
      <c r="G575" s="504">
        <f>IF(C575="","",IF(INDEX(잔액!$K:$K,MAX(64,C575))&lt;&gt;"",INDEX(잔액!$K:$K,MAX(64,C575)),INDEX(잔액!$D:$D,MAX(64,C575))))</f>
      </c>
      <c r="H575" s="504" t="inlineStr">
        <is>
          <t>원장</t>
        </is>
      </c>
      <c r="J575" s="504">
        <f>IFERROR(INDEX($C$100:$C$399,MATCH(B575,$A$100:$A$399,0)),"")</f>
        <v>0</v>
      </c>
      <c r="K575" s="524">
        <f>IFERROR(INDEX($D$100:$D$399,MATCH(B575,$A$100:$A$399,0)),"")</f>
      </c>
      <c r="L575" s="504">
        <f>IFERROR(INDEX($S$100:$S$399,MATCH(B575,$A$100:$A$399,0)),"")</f>
        <v>0</v>
      </c>
      <c r="M575" s="504">
        <f>IF(B575="","",IFERROR(IF(OR(AND(H575="기초반영",OR(B575="U001",B575="U002",B575="U003"),C575="",E575=DATE(2026,3,1)),AND(H575="원장",C575&gt;=64,C575&lt;=500,INDEX(잔액!$I:$I,MAX(64,C575))="OK",E575=INDEX(잔액!$A:$A,MAX(64,C575)),F575=INDEX(잔액!$C:$C,MAX(64,C575)),OR(F575=J575,F575="결제대금비",AND(B575="U008",C575=223,J575="경조사비",F575="명절비"),AND(B575="U008",C575=208,J575="경조사비",F575="임시보관",SUMIF($C$430:$C$729,C575,$D$430:$D$729)&lt;=39000)),OR(COUNTIF($A$8:$A$12,F575)=1,F575="결제대금비",AND(B575="U008",C575=208,J575="경조사비",F575="임시보관",SUMIF($C$430:$C$729,C575,$D$430:$D$729)&lt;=39000)),COUNTIF($A$8:$A$12,INDEX(잔액!$D:$D,MAX(64,C575)))=0,SUMIF($C$430:$C$729,C575,$D$430:$D$729)&lt;=INDEX(잔액!$Y:$Y,MAX(64,C575)))),1,0),0))</f>
      </c>
      <c r="N575" s="504">
        <f>IF(B575="","",IFERROR(IF(AND(COUNTIF($A$100:$A$399,B575)=1,INDEX($R$100:$R$399,MATCH(B575,$A$100:$A$399,0))="OK",D575&gt;0,ISNUMBER(E575),M575=1,SUMIF($B$430:$B$729,B575,$D$430:$D$729)&lt;=INDEX($E$100:$E$399,MATCH(B575,$A$100:$A$399,0))),"OK","확인: 정산연결"),"확인: 정산연결"))</f>
      </c>
      <c r="O575" s="526">
        <f>IF(N575="OK",D575,0)</f>
        <v>0</v>
      </c>
    </row>
    <row r="576" hidden="1" outlineLevel="1">
      <c r="A576" s="504">
        <f>IF(B576="","","S"&amp;ROW())</f>
      </c>
      <c r="B576" s="522" t="n"/>
      <c r="C576" s="522" t="n"/>
      <c r="D576" s="525">
        <f>IF(C576="","",IFERROR(INDEX(잔액!$Y:$Y,MAX(64,C576)),0))</f>
      </c>
      <c r="E576" s="524">
        <f>IF(C576="","",IFERROR(INDEX(잔액!$A:$A,MAX(64,C576)),""))</f>
      </c>
      <c r="F576" s="504">
        <f>IF(C576="","",IFERROR(INDEX(잔액!$C:$C,MAX(64,C576)),""))</f>
      </c>
      <c r="G576" s="504">
        <f>IF(C576="","",IF(INDEX(잔액!$K:$K,MAX(64,C576))&lt;&gt;"",INDEX(잔액!$K:$K,MAX(64,C576)),INDEX(잔액!$D:$D,MAX(64,C576))))</f>
      </c>
      <c r="H576" s="504" t="inlineStr">
        <is>
          <t>원장</t>
        </is>
      </c>
      <c r="J576" s="504">
        <f>IFERROR(INDEX($C$100:$C$399,MATCH(B576,$A$100:$A$399,0)),"")</f>
        <v>0</v>
      </c>
      <c r="K576" s="524">
        <f>IFERROR(INDEX($D$100:$D$399,MATCH(B576,$A$100:$A$399,0)),"")</f>
      </c>
      <c r="L576" s="504">
        <f>IFERROR(INDEX($S$100:$S$399,MATCH(B576,$A$100:$A$399,0)),"")</f>
        <v>0</v>
      </c>
      <c r="M576" s="504">
        <f>IF(B576="","",IFERROR(IF(OR(AND(H576="기초반영",OR(B576="U001",B576="U002",B576="U003"),C576="",E576=DATE(2026,3,1)),AND(H576="원장",C576&gt;=64,C576&lt;=500,INDEX(잔액!$I:$I,MAX(64,C576))="OK",E576=INDEX(잔액!$A:$A,MAX(64,C576)),F576=INDEX(잔액!$C:$C,MAX(64,C576)),OR(F576=J576,F576="결제대금비",AND(B576="U008",C576=223,J576="경조사비",F576="명절비"),AND(B576="U008",C576=208,J576="경조사비",F576="임시보관",SUMIF($C$430:$C$729,C576,$D$430:$D$729)&lt;=39000)),OR(COUNTIF($A$8:$A$12,F576)=1,F576="결제대금비",AND(B576="U008",C576=208,J576="경조사비",F576="임시보관",SUMIF($C$430:$C$729,C576,$D$430:$D$729)&lt;=39000)),COUNTIF($A$8:$A$12,INDEX(잔액!$D:$D,MAX(64,C576)))=0,SUMIF($C$430:$C$729,C576,$D$430:$D$729)&lt;=INDEX(잔액!$Y:$Y,MAX(64,C576)))),1,0),0))</f>
      </c>
      <c r="N576" s="504">
        <f>IF(B576="","",IFERROR(IF(AND(COUNTIF($A$100:$A$399,B576)=1,INDEX($R$100:$R$399,MATCH(B576,$A$100:$A$399,0))="OK",D576&gt;0,ISNUMBER(E576),M576=1,SUMIF($B$430:$B$729,B576,$D$430:$D$729)&lt;=INDEX($E$100:$E$399,MATCH(B576,$A$100:$A$399,0))),"OK","확인: 정산연결"),"확인: 정산연결"))</f>
      </c>
      <c r="O576" s="526">
        <f>IF(N576="OK",D576,0)</f>
        <v>0</v>
      </c>
    </row>
    <row r="577" hidden="1" outlineLevel="1">
      <c r="A577" s="504">
        <f>IF(B577="","","S"&amp;ROW())</f>
      </c>
      <c r="B577" s="522" t="n"/>
      <c r="C577" s="522" t="n"/>
      <c r="D577" s="525">
        <f>IF(C577="","",IFERROR(INDEX(잔액!$Y:$Y,MAX(64,C577)),0))</f>
      </c>
      <c r="E577" s="524">
        <f>IF(C577="","",IFERROR(INDEX(잔액!$A:$A,MAX(64,C577)),""))</f>
      </c>
      <c r="F577" s="504">
        <f>IF(C577="","",IFERROR(INDEX(잔액!$C:$C,MAX(64,C577)),""))</f>
      </c>
      <c r="G577" s="504">
        <f>IF(C577="","",IF(INDEX(잔액!$K:$K,MAX(64,C577))&lt;&gt;"",INDEX(잔액!$K:$K,MAX(64,C577)),INDEX(잔액!$D:$D,MAX(64,C577))))</f>
      </c>
      <c r="H577" s="504" t="inlineStr">
        <is>
          <t>원장</t>
        </is>
      </c>
      <c r="J577" s="504">
        <f>IFERROR(INDEX($C$100:$C$399,MATCH(B577,$A$100:$A$399,0)),"")</f>
        <v>0</v>
      </c>
      <c r="K577" s="524">
        <f>IFERROR(INDEX($D$100:$D$399,MATCH(B577,$A$100:$A$399,0)),"")</f>
      </c>
      <c r="L577" s="504">
        <f>IFERROR(INDEX($S$100:$S$399,MATCH(B577,$A$100:$A$399,0)),"")</f>
        <v>0</v>
      </c>
      <c r="M577" s="504">
        <f>IF(B577="","",IFERROR(IF(OR(AND(H577="기초반영",OR(B577="U001",B577="U002",B577="U003"),C577="",E577=DATE(2026,3,1)),AND(H577="원장",C577&gt;=64,C577&lt;=500,INDEX(잔액!$I:$I,MAX(64,C577))="OK",E577=INDEX(잔액!$A:$A,MAX(64,C577)),F577=INDEX(잔액!$C:$C,MAX(64,C577)),OR(F577=J577,F577="결제대금비",AND(B577="U008",C577=223,J577="경조사비",F577="명절비"),AND(B577="U008",C577=208,J577="경조사비",F577="임시보관",SUMIF($C$430:$C$729,C577,$D$430:$D$729)&lt;=39000)),OR(COUNTIF($A$8:$A$12,F577)=1,F577="결제대금비",AND(B577="U008",C577=208,J577="경조사비",F577="임시보관",SUMIF($C$430:$C$729,C577,$D$430:$D$729)&lt;=39000)),COUNTIF($A$8:$A$12,INDEX(잔액!$D:$D,MAX(64,C577)))=0,SUMIF($C$430:$C$729,C577,$D$430:$D$729)&lt;=INDEX(잔액!$Y:$Y,MAX(64,C577)))),1,0),0))</f>
      </c>
      <c r="N577" s="504">
        <f>IF(B577="","",IFERROR(IF(AND(COUNTIF($A$100:$A$399,B577)=1,INDEX($R$100:$R$399,MATCH(B577,$A$100:$A$399,0))="OK",D577&gt;0,ISNUMBER(E577),M577=1,SUMIF($B$430:$B$729,B577,$D$430:$D$729)&lt;=INDEX($E$100:$E$399,MATCH(B577,$A$100:$A$399,0))),"OK","확인: 정산연결"),"확인: 정산연결"))</f>
      </c>
      <c r="O577" s="526">
        <f>IF(N577="OK",D577,0)</f>
        <v>0</v>
      </c>
    </row>
    <row r="578" hidden="1" outlineLevel="1">
      <c r="A578" s="504">
        <f>IF(B578="","","S"&amp;ROW())</f>
      </c>
      <c r="B578" s="522" t="n"/>
      <c r="C578" s="522" t="n"/>
      <c r="D578" s="525">
        <f>IF(C578="","",IFERROR(INDEX(잔액!$Y:$Y,MAX(64,C578)),0))</f>
      </c>
      <c r="E578" s="524">
        <f>IF(C578="","",IFERROR(INDEX(잔액!$A:$A,MAX(64,C578)),""))</f>
      </c>
      <c r="F578" s="504">
        <f>IF(C578="","",IFERROR(INDEX(잔액!$C:$C,MAX(64,C578)),""))</f>
      </c>
      <c r="G578" s="504">
        <f>IF(C578="","",IF(INDEX(잔액!$K:$K,MAX(64,C578))&lt;&gt;"",INDEX(잔액!$K:$K,MAX(64,C578)),INDEX(잔액!$D:$D,MAX(64,C578))))</f>
      </c>
      <c r="H578" s="504" t="inlineStr">
        <is>
          <t>원장</t>
        </is>
      </c>
      <c r="J578" s="504">
        <f>IFERROR(INDEX($C$100:$C$399,MATCH(B578,$A$100:$A$399,0)),"")</f>
        <v>0</v>
      </c>
      <c r="K578" s="524">
        <f>IFERROR(INDEX($D$100:$D$399,MATCH(B578,$A$100:$A$399,0)),"")</f>
      </c>
      <c r="L578" s="504">
        <f>IFERROR(INDEX($S$100:$S$399,MATCH(B578,$A$100:$A$399,0)),"")</f>
        <v>0</v>
      </c>
      <c r="M578" s="504">
        <f>IF(B578="","",IFERROR(IF(OR(AND(H578="기초반영",OR(B578="U001",B578="U002",B578="U003"),C578="",E578=DATE(2026,3,1)),AND(H578="원장",C578&gt;=64,C578&lt;=500,INDEX(잔액!$I:$I,MAX(64,C578))="OK",E578=INDEX(잔액!$A:$A,MAX(64,C578)),F578=INDEX(잔액!$C:$C,MAX(64,C578)),OR(F578=J578,F578="결제대금비",AND(B578="U008",C578=223,J578="경조사비",F578="명절비"),AND(B578="U008",C578=208,J578="경조사비",F578="임시보관",SUMIF($C$430:$C$729,C578,$D$430:$D$729)&lt;=39000)),OR(COUNTIF($A$8:$A$12,F578)=1,F578="결제대금비",AND(B578="U008",C578=208,J578="경조사비",F578="임시보관",SUMIF($C$430:$C$729,C578,$D$430:$D$729)&lt;=39000)),COUNTIF($A$8:$A$12,INDEX(잔액!$D:$D,MAX(64,C578)))=0,SUMIF($C$430:$C$729,C578,$D$430:$D$729)&lt;=INDEX(잔액!$Y:$Y,MAX(64,C578)))),1,0),0))</f>
      </c>
      <c r="N578" s="504">
        <f>IF(B578="","",IFERROR(IF(AND(COUNTIF($A$100:$A$399,B578)=1,INDEX($R$100:$R$399,MATCH(B578,$A$100:$A$399,0))="OK",D578&gt;0,ISNUMBER(E578),M578=1,SUMIF($B$430:$B$729,B578,$D$430:$D$729)&lt;=INDEX($E$100:$E$399,MATCH(B578,$A$100:$A$399,0))),"OK","확인: 정산연결"),"확인: 정산연결"))</f>
      </c>
      <c r="O578" s="526">
        <f>IF(N578="OK",D578,0)</f>
        <v>0</v>
      </c>
    </row>
    <row r="579" hidden="1" outlineLevel="1">
      <c r="A579" s="504">
        <f>IF(B579="","","S"&amp;ROW())</f>
      </c>
      <c r="B579" s="522" t="n"/>
      <c r="C579" s="522" t="n"/>
      <c r="D579" s="525">
        <f>IF(C579="","",IFERROR(INDEX(잔액!$Y:$Y,MAX(64,C579)),0))</f>
      </c>
      <c r="E579" s="524">
        <f>IF(C579="","",IFERROR(INDEX(잔액!$A:$A,MAX(64,C579)),""))</f>
      </c>
      <c r="F579" s="504">
        <f>IF(C579="","",IFERROR(INDEX(잔액!$C:$C,MAX(64,C579)),""))</f>
      </c>
      <c r="G579" s="504">
        <f>IF(C579="","",IF(INDEX(잔액!$K:$K,MAX(64,C579))&lt;&gt;"",INDEX(잔액!$K:$K,MAX(64,C579)),INDEX(잔액!$D:$D,MAX(64,C579))))</f>
      </c>
      <c r="H579" s="504" t="inlineStr">
        <is>
          <t>원장</t>
        </is>
      </c>
      <c r="J579" s="504">
        <f>IFERROR(INDEX($C$100:$C$399,MATCH(B579,$A$100:$A$399,0)),"")</f>
        <v>0</v>
      </c>
      <c r="K579" s="524">
        <f>IFERROR(INDEX($D$100:$D$399,MATCH(B579,$A$100:$A$399,0)),"")</f>
      </c>
      <c r="L579" s="504">
        <f>IFERROR(INDEX($S$100:$S$399,MATCH(B579,$A$100:$A$399,0)),"")</f>
        <v>0</v>
      </c>
      <c r="M579" s="504">
        <f>IF(B579="","",IFERROR(IF(OR(AND(H579="기초반영",OR(B579="U001",B579="U002",B579="U003"),C579="",E579=DATE(2026,3,1)),AND(H579="원장",C579&gt;=64,C579&lt;=500,INDEX(잔액!$I:$I,MAX(64,C579))="OK",E579=INDEX(잔액!$A:$A,MAX(64,C579)),F579=INDEX(잔액!$C:$C,MAX(64,C579)),OR(F579=J579,F579="결제대금비",AND(B579="U008",C579=223,J579="경조사비",F579="명절비"),AND(B579="U008",C579=208,J579="경조사비",F579="임시보관",SUMIF($C$430:$C$729,C579,$D$430:$D$729)&lt;=39000)),OR(COUNTIF($A$8:$A$12,F579)=1,F579="결제대금비",AND(B579="U008",C579=208,J579="경조사비",F579="임시보관",SUMIF($C$430:$C$729,C579,$D$430:$D$729)&lt;=39000)),COUNTIF($A$8:$A$12,INDEX(잔액!$D:$D,MAX(64,C579)))=0,SUMIF($C$430:$C$729,C579,$D$430:$D$729)&lt;=INDEX(잔액!$Y:$Y,MAX(64,C579)))),1,0),0))</f>
      </c>
      <c r="N579" s="504">
        <f>IF(B579="","",IFERROR(IF(AND(COUNTIF($A$100:$A$399,B579)=1,INDEX($R$100:$R$399,MATCH(B579,$A$100:$A$399,0))="OK",D579&gt;0,ISNUMBER(E579),M579=1,SUMIF($B$430:$B$729,B579,$D$430:$D$729)&lt;=INDEX($E$100:$E$399,MATCH(B579,$A$100:$A$399,0))),"OK","확인: 정산연결"),"확인: 정산연결"))</f>
      </c>
      <c r="O579" s="526">
        <f>IF(N579="OK",D579,0)</f>
        <v>0</v>
      </c>
    </row>
    <row r="580" hidden="1" outlineLevel="1">
      <c r="A580" s="504">
        <f>IF(B580="","","S"&amp;ROW())</f>
      </c>
      <c r="B580" s="522" t="n"/>
      <c r="C580" s="522" t="n"/>
      <c r="D580" s="525">
        <f>IF(C580="","",IFERROR(INDEX(잔액!$Y:$Y,MAX(64,C580)),0))</f>
      </c>
      <c r="E580" s="524">
        <f>IF(C580="","",IFERROR(INDEX(잔액!$A:$A,MAX(64,C580)),""))</f>
      </c>
      <c r="F580" s="504">
        <f>IF(C580="","",IFERROR(INDEX(잔액!$C:$C,MAX(64,C580)),""))</f>
      </c>
      <c r="G580" s="504">
        <f>IF(C580="","",IF(INDEX(잔액!$K:$K,MAX(64,C580))&lt;&gt;"",INDEX(잔액!$K:$K,MAX(64,C580)),INDEX(잔액!$D:$D,MAX(64,C580))))</f>
      </c>
      <c r="H580" s="504" t="inlineStr">
        <is>
          <t>원장</t>
        </is>
      </c>
      <c r="J580" s="504">
        <f>IFERROR(INDEX($C$100:$C$399,MATCH(B580,$A$100:$A$399,0)),"")</f>
        <v>0</v>
      </c>
      <c r="K580" s="524">
        <f>IFERROR(INDEX($D$100:$D$399,MATCH(B580,$A$100:$A$399,0)),"")</f>
      </c>
      <c r="L580" s="504">
        <f>IFERROR(INDEX($S$100:$S$399,MATCH(B580,$A$100:$A$399,0)),"")</f>
        <v>0</v>
      </c>
      <c r="M580" s="504">
        <f>IF(B580="","",IFERROR(IF(OR(AND(H580="기초반영",OR(B580="U001",B580="U002",B580="U003"),C580="",E580=DATE(2026,3,1)),AND(H580="원장",C580&gt;=64,C580&lt;=500,INDEX(잔액!$I:$I,MAX(64,C580))="OK",E580=INDEX(잔액!$A:$A,MAX(64,C580)),F580=INDEX(잔액!$C:$C,MAX(64,C580)),OR(F580=J580,F580="결제대금비",AND(B580="U008",C580=223,J580="경조사비",F580="명절비"),AND(B580="U008",C580=208,J580="경조사비",F580="임시보관",SUMIF($C$430:$C$729,C580,$D$430:$D$729)&lt;=39000)),OR(COUNTIF($A$8:$A$12,F580)=1,F580="결제대금비",AND(B580="U008",C580=208,J580="경조사비",F580="임시보관",SUMIF($C$430:$C$729,C580,$D$430:$D$729)&lt;=39000)),COUNTIF($A$8:$A$12,INDEX(잔액!$D:$D,MAX(64,C580)))=0,SUMIF($C$430:$C$729,C580,$D$430:$D$729)&lt;=INDEX(잔액!$Y:$Y,MAX(64,C580)))),1,0),0))</f>
      </c>
      <c r="N580" s="504">
        <f>IF(B580="","",IFERROR(IF(AND(COUNTIF($A$100:$A$399,B580)=1,INDEX($R$100:$R$399,MATCH(B580,$A$100:$A$399,0))="OK",D580&gt;0,ISNUMBER(E580),M580=1,SUMIF($B$430:$B$729,B580,$D$430:$D$729)&lt;=INDEX($E$100:$E$399,MATCH(B580,$A$100:$A$399,0))),"OK","확인: 정산연결"),"확인: 정산연결"))</f>
      </c>
      <c r="O580" s="526">
        <f>IF(N580="OK",D580,0)</f>
        <v>0</v>
      </c>
    </row>
    <row r="581" hidden="1" outlineLevel="1">
      <c r="A581" s="504">
        <f>IF(B581="","","S"&amp;ROW())</f>
      </c>
      <c r="B581" s="522" t="n"/>
      <c r="C581" s="522" t="n"/>
      <c r="D581" s="525">
        <f>IF(C581="","",IFERROR(INDEX(잔액!$Y:$Y,MAX(64,C581)),0))</f>
      </c>
      <c r="E581" s="524">
        <f>IF(C581="","",IFERROR(INDEX(잔액!$A:$A,MAX(64,C581)),""))</f>
      </c>
      <c r="F581" s="504">
        <f>IF(C581="","",IFERROR(INDEX(잔액!$C:$C,MAX(64,C581)),""))</f>
      </c>
      <c r="G581" s="504">
        <f>IF(C581="","",IF(INDEX(잔액!$K:$K,MAX(64,C581))&lt;&gt;"",INDEX(잔액!$K:$K,MAX(64,C581)),INDEX(잔액!$D:$D,MAX(64,C581))))</f>
      </c>
      <c r="H581" s="504" t="inlineStr">
        <is>
          <t>원장</t>
        </is>
      </c>
      <c r="J581" s="504">
        <f>IFERROR(INDEX($C$100:$C$399,MATCH(B581,$A$100:$A$399,0)),"")</f>
        <v>0</v>
      </c>
      <c r="K581" s="524">
        <f>IFERROR(INDEX($D$100:$D$399,MATCH(B581,$A$100:$A$399,0)),"")</f>
      </c>
      <c r="L581" s="504">
        <f>IFERROR(INDEX($S$100:$S$399,MATCH(B581,$A$100:$A$399,0)),"")</f>
        <v>0</v>
      </c>
      <c r="M581" s="504">
        <f>IF(B581="","",IFERROR(IF(OR(AND(H581="기초반영",OR(B581="U001",B581="U002",B581="U003"),C581="",E581=DATE(2026,3,1)),AND(H581="원장",C581&gt;=64,C581&lt;=500,INDEX(잔액!$I:$I,MAX(64,C581))="OK",E581=INDEX(잔액!$A:$A,MAX(64,C581)),F581=INDEX(잔액!$C:$C,MAX(64,C581)),OR(F581=J581,F581="결제대금비",AND(B581="U008",C581=223,J581="경조사비",F581="명절비"),AND(B581="U008",C581=208,J581="경조사비",F581="임시보관",SUMIF($C$430:$C$729,C581,$D$430:$D$729)&lt;=39000)),OR(COUNTIF($A$8:$A$12,F581)=1,F581="결제대금비",AND(B581="U008",C581=208,J581="경조사비",F581="임시보관",SUMIF($C$430:$C$729,C581,$D$430:$D$729)&lt;=39000)),COUNTIF($A$8:$A$12,INDEX(잔액!$D:$D,MAX(64,C581)))=0,SUMIF($C$430:$C$729,C581,$D$430:$D$729)&lt;=INDEX(잔액!$Y:$Y,MAX(64,C581)))),1,0),0))</f>
      </c>
      <c r="N581" s="504">
        <f>IF(B581="","",IFERROR(IF(AND(COUNTIF($A$100:$A$399,B581)=1,INDEX($R$100:$R$399,MATCH(B581,$A$100:$A$399,0))="OK",D581&gt;0,ISNUMBER(E581),M581=1,SUMIF($B$430:$B$729,B581,$D$430:$D$729)&lt;=INDEX($E$100:$E$399,MATCH(B581,$A$100:$A$399,0))),"OK","확인: 정산연결"),"확인: 정산연결"))</f>
      </c>
      <c r="O581" s="526">
        <f>IF(N581="OK",D581,0)</f>
        <v>0</v>
      </c>
    </row>
    <row r="582" hidden="1" outlineLevel="1">
      <c r="A582" s="504">
        <f>IF(B582="","","S"&amp;ROW())</f>
      </c>
      <c r="B582" s="522" t="n"/>
      <c r="C582" s="522" t="n"/>
      <c r="D582" s="525">
        <f>IF(C582="","",IFERROR(INDEX(잔액!$Y:$Y,MAX(64,C582)),0))</f>
      </c>
      <c r="E582" s="524">
        <f>IF(C582="","",IFERROR(INDEX(잔액!$A:$A,MAX(64,C582)),""))</f>
      </c>
      <c r="F582" s="504">
        <f>IF(C582="","",IFERROR(INDEX(잔액!$C:$C,MAX(64,C582)),""))</f>
      </c>
      <c r="G582" s="504">
        <f>IF(C582="","",IF(INDEX(잔액!$K:$K,MAX(64,C582))&lt;&gt;"",INDEX(잔액!$K:$K,MAX(64,C582)),INDEX(잔액!$D:$D,MAX(64,C582))))</f>
      </c>
      <c r="H582" s="504" t="inlineStr">
        <is>
          <t>원장</t>
        </is>
      </c>
      <c r="J582" s="504">
        <f>IFERROR(INDEX($C$100:$C$399,MATCH(B582,$A$100:$A$399,0)),"")</f>
        <v>0</v>
      </c>
      <c r="K582" s="524">
        <f>IFERROR(INDEX($D$100:$D$399,MATCH(B582,$A$100:$A$399,0)),"")</f>
      </c>
      <c r="L582" s="504">
        <f>IFERROR(INDEX($S$100:$S$399,MATCH(B582,$A$100:$A$399,0)),"")</f>
        <v>0</v>
      </c>
      <c r="M582" s="504">
        <f>IF(B582="","",IFERROR(IF(OR(AND(H582="기초반영",OR(B582="U001",B582="U002",B582="U003"),C582="",E582=DATE(2026,3,1)),AND(H582="원장",C582&gt;=64,C582&lt;=500,INDEX(잔액!$I:$I,MAX(64,C582))="OK",E582=INDEX(잔액!$A:$A,MAX(64,C582)),F582=INDEX(잔액!$C:$C,MAX(64,C582)),OR(F582=J582,F582="결제대금비",AND(B582="U008",C582=223,J582="경조사비",F582="명절비"),AND(B582="U008",C582=208,J582="경조사비",F582="임시보관",SUMIF($C$430:$C$729,C582,$D$430:$D$729)&lt;=39000)),OR(COUNTIF($A$8:$A$12,F582)=1,F582="결제대금비",AND(B582="U008",C582=208,J582="경조사비",F582="임시보관",SUMIF($C$430:$C$729,C582,$D$430:$D$729)&lt;=39000)),COUNTIF($A$8:$A$12,INDEX(잔액!$D:$D,MAX(64,C582)))=0,SUMIF($C$430:$C$729,C582,$D$430:$D$729)&lt;=INDEX(잔액!$Y:$Y,MAX(64,C582)))),1,0),0))</f>
      </c>
      <c r="N582" s="504">
        <f>IF(B582="","",IFERROR(IF(AND(COUNTIF($A$100:$A$399,B582)=1,INDEX($R$100:$R$399,MATCH(B582,$A$100:$A$399,0))="OK",D582&gt;0,ISNUMBER(E582),M582=1,SUMIF($B$430:$B$729,B582,$D$430:$D$729)&lt;=INDEX($E$100:$E$399,MATCH(B582,$A$100:$A$399,0))),"OK","확인: 정산연결"),"확인: 정산연결"))</f>
      </c>
      <c r="O582" s="526">
        <f>IF(N582="OK",D582,0)</f>
        <v>0</v>
      </c>
    </row>
    <row r="583" hidden="1" outlineLevel="1">
      <c r="A583" s="504">
        <f>IF(B583="","","S"&amp;ROW())</f>
      </c>
      <c r="B583" s="522" t="n"/>
      <c r="C583" s="522" t="n"/>
      <c r="D583" s="525">
        <f>IF(C583="","",IFERROR(INDEX(잔액!$Y:$Y,MAX(64,C583)),0))</f>
      </c>
      <c r="E583" s="524">
        <f>IF(C583="","",IFERROR(INDEX(잔액!$A:$A,MAX(64,C583)),""))</f>
      </c>
      <c r="F583" s="504">
        <f>IF(C583="","",IFERROR(INDEX(잔액!$C:$C,MAX(64,C583)),""))</f>
      </c>
      <c r="G583" s="504">
        <f>IF(C583="","",IF(INDEX(잔액!$K:$K,MAX(64,C583))&lt;&gt;"",INDEX(잔액!$K:$K,MAX(64,C583)),INDEX(잔액!$D:$D,MAX(64,C583))))</f>
      </c>
      <c r="H583" s="504" t="inlineStr">
        <is>
          <t>원장</t>
        </is>
      </c>
      <c r="J583" s="504">
        <f>IFERROR(INDEX($C$100:$C$399,MATCH(B583,$A$100:$A$399,0)),"")</f>
        <v>0</v>
      </c>
      <c r="K583" s="524">
        <f>IFERROR(INDEX($D$100:$D$399,MATCH(B583,$A$100:$A$399,0)),"")</f>
      </c>
      <c r="L583" s="504">
        <f>IFERROR(INDEX($S$100:$S$399,MATCH(B583,$A$100:$A$399,0)),"")</f>
        <v>0</v>
      </c>
      <c r="M583" s="504">
        <f>IF(B583="","",IFERROR(IF(OR(AND(H583="기초반영",OR(B583="U001",B583="U002",B583="U003"),C583="",E583=DATE(2026,3,1)),AND(H583="원장",C583&gt;=64,C583&lt;=500,INDEX(잔액!$I:$I,MAX(64,C583))="OK",E583=INDEX(잔액!$A:$A,MAX(64,C583)),F583=INDEX(잔액!$C:$C,MAX(64,C583)),OR(F583=J583,F583="결제대금비",AND(B583="U008",C583=223,J583="경조사비",F583="명절비"),AND(B583="U008",C583=208,J583="경조사비",F583="임시보관",SUMIF($C$430:$C$729,C583,$D$430:$D$729)&lt;=39000)),OR(COUNTIF($A$8:$A$12,F583)=1,F583="결제대금비",AND(B583="U008",C583=208,J583="경조사비",F583="임시보관",SUMIF($C$430:$C$729,C583,$D$430:$D$729)&lt;=39000)),COUNTIF($A$8:$A$12,INDEX(잔액!$D:$D,MAX(64,C583)))=0,SUMIF($C$430:$C$729,C583,$D$430:$D$729)&lt;=INDEX(잔액!$Y:$Y,MAX(64,C583)))),1,0),0))</f>
      </c>
      <c r="N583" s="504">
        <f>IF(B583="","",IFERROR(IF(AND(COUNTIF($A$100:$A$399,B583)=1,INDEX($R$100:$R$399,MATCH(B583,$A$100:$A$399,0))="OK",D583&gt;0,ISNUMBER(E583),M583=1,SUMIF($B$430:$B$729,B583,$D$430:$D$729)&lt;=INDEX($E$100:$E$399,MATCH(B583,$A$100:$A$399,0))),"OK","확인: 정산연결"),"확인: 정산연결"))</f>
      </c>
      <c r="O583" s="526">
        <f>IF(N583="OK",D583,0)</f>
        <v>0</v>
      </c>
    </row>
    <row r="584" hidden="1" outlineLevel="1">
      <c r="A584" s="504">
        <f>IF(B584="","","S"&amp;ROW())</f>
      </c>
      <c r="B584" s="522" t="n"/>
      <c r="C584" s="522" t="n"/>
      <c r="D584" s="525">
        <f>IF(C584="","",IFERROR(INDEX(잔액!$Y:$Y,MAX(64,C584)),0))</f>
      </c>
      <c r="E584" s="524">
        <f>IF(C584="","",IFERROR(INDEX(잔액!$A:$A,MAX(64,C584)),""))</f>
      </c>
      <c r="F584" s="504">
        <f>IF(C584="","",IFERROR(INDEX(잔액!$C:$C,MAX(64,C584)),""))</f>
      </c>
      <c r="G584" s="504">
        <f>IF(C584="","",IF(INDEX(잔액!$K:$K,MAX(64,C584))&lt;&gt;"",INDEX(잔액!$K:$K,MAX(64,C584)),INDEX(잔액!$D:$D,MAX(64,C584))))</f>
      </c>
      <c r="H584" s="504" t="inlineStr">
        <is>
          <t>원장</t>
        </is>
      </c>
      <c r="J584" s="504">
        <f>IFERROR(INDEX($C$100:$C$399,MATCH(B584,$A$100:$A$399,0)),"")</f>
        <v>0</v>
      </c>
      <c r="K584" s="524">
        <f>IFERROR(INDEX($D$100:$D$399,MATCH(B584,$A$100:$A$399,0)),"")</f>
      </c>
      <c r="L584" s="504">
        <f>IFERROR(INDEX($S$100:$S$399,MATCH(B584,$A$100:$A$399,0)),"")</f>
        <v>0</v>
      </c>
      <c r="M584" s="504">
        <f>IF(B584="","",IFERROR(IF(OR(AND(H584="기초반영",OR(B584="U001",B584="U002",B584="U003"),C584="",E584=DATE(2026,3,1)),AND(H584="원장",C584&gt;=64,C584&lt;=500,INDEX(잔액!$I:$I,MAX(64,C584))="OK",E584=INDEX(잔액!$A:$A,MAX(64,C584)),F584=INDEX(잔액!$C:$C,MAX(64,C584)),OR(F584=J584,F584="결제대금비",AND(B584="U008",C584=223,J584="경조사비",F584="명절비"),AND(B584="U008",C584=208,J584="경조사비",F584="임시보관",SUMIF($C$430:$C$729,C584,$D$430:$D$729)&lt;=39000)),OR(COUNTIF($A$8:$A$12,F584)=1,F584="결제대금비",AND(B584="U008",C584=208,J584="경조사비",F584="임시보관",SUMIF($C$430:$C$729,C584,$D$430:$D$729)&lt;=39000)),COUNTIF($A$8:$A$12,INDEX(잔액!$D:$D,MAX(64,C584)))=0,SUMIF($C$430:$C$729,C584,$D$430:$D$729)&lt;=INDEX(잔액!$Y:$Y,MAX(64,C584)))),1,0),0))</f>
      </c>
      <c r="N584" s="504">
        <f>IF(B584="","",IFERROR(IF(AND(COUNTIF($A$100:$A$399,B584)=1,INDEX($R$100:$R$399,MATCH(B584,$A$100:$A$399,0))="OK",D584&gt;0,ISNUMBER(E584),M584=1,SUMIF($B$430:$B$729,B584,$D$430:$D$729)&lt;=INDEX($E$100:$E$399,MATCH(B584,$A$100:$A$399,0))),"OK","확인: 정산연결"),"확인: 정산연결"))</f>
      </c>
      <c r="O584" s="526">
        <f>IF(N584="OK",D584,0)</f>
        <v>0</v>
      </c>
    </row>
    <row r="585" hidden="1" outlineLevel="1">
      <c r="A585" s="504">
        <f>IF(B585="","","S"&amp;ROW())</f>
      </c>
      <c r="B585" s="522" t="n"/>
      <c r="C585" s="522" t="n"/>
      <c r="D585" s="525">
        <f>IF(C585="","",IFERROR(INDEX(잔액!$Y:$Y,MAX(64,C585)),0))</f>
      </c>
      <c r="E585" s="524">
        <f>IF(C585="","",IFERROR(INDEX(잔액!$A:$A,MAX(64,C585)),""))</f>
      </c>
      <c r="F585" s="504">
        <f>IF(C585="","",IFERROR(INDEX(잔액!$C:$C,MAX(64,C585)),""))</f>
      </c>
      <c r="G585" s="504">
        <f>IF(C585="","",IF(INDEX(잔액!$K:$K,MAX(64,C585))&lt;&gt;"",INDEX(잔액!$K:$K,MAX(64,C585)),INDEX(잔액!$D:$D,MAX(64,C585))))</f>
      </c>
      <c r="H585" s="504" t="inlineStr">
        <is>
          <t>원장</t>
        </is>
      </c>
      <c r="J585" s="504">
        <f>IFERROR(INDEX($C$100:$C$399,MATCH(B585,$A$100:$A$399,0)),"")</f>
        <v>0</v>
      </c>
      <c r="K585" s="524">
        <f>IFERROR(INDEX($D$100:$D$399,MATCH(B585,$A$100:$A$399,0)),"")</f>
      </c>
      <c r="L585" s="504">
        <f>IFERROR(INDEX($S$100:$S$399,MATCH(B585,$A$100:$A$399,0)),"")</f>
        <v>0</v>
      </c>
      <c r="M585" s="504">
        <f>IF(B585="","",IFERROR(IF(OR(AND(H585="기초반영",OR(B585="U001",B585="U002",B585="U003"),C585="",E585=DATE(2026,3,1)),AND(H585="원장",C585&gt;=64,C585&lt;=500,INDEX(잔액!$I:$I,MAX(64,C585))="OK",E585=INDEX(잔액!$A:$A,MAX(64,C585)),F585=INDEX(잔액!$C:$C,MAX(64,C585)),OR(F585=J585,F585="결제대금비",AND(B585="U008",C585=223,J585="경조사비",F585="명절비"),AND(B585="U008",C585=208,J585="경조사비",F585="임시보관",SUMIF($C$430:$C$729,C585,$D$430:$D$729)&lt;=39000)),OR(COUNTIF($A$8:$A$12,F585)=1,F585="결제대금비",AND(B585="U008",C585=208,J585="경조사비",F585="임시보관",SUMIF($C$430:$C$729,C585,$D$430:$D$729)&lt;=39000)),COUNTIF($A$8:$A$12,INDEX(잔액!$D:$D,MAX(64,C585)))=0,SUMIF($C$430:$C$729,C585,$D$430:$D$729)&lt;=INDEX(잔액!$Y:$Y,MAX(64,C585)))),1,0),0))</f>
      </c>
      <c r="N585" s="504">
        <f>IF(B585="","",IFERROR(IF(AND(COUNTIF($A$100:$A$399,B585)=1,INDEX($R$100:$R$399,MATCH(B585,$A$100:$A$399,0))="OK",D585&gt;0,ISNUMBER(E585),M585=1,SUMIF($B$430:$B$729,B585,$D$430:$D$729)&lt;=INDEX($E$100:$E$399,MATCH(B585,$A$100:$A$399,0))),"OK","확인: 정산연결"),"확인: 정산연결"))</f>
      </c>
      <c r="O585" s="526">
        <f>IF(N585="OK",D585,0)</f>
        <v>0</v>
      </c>
    </row>
    <row r="586" hidden="1" outlineLevel="1">
      <c r="A586" s="504">
        <f>IF(B586="","","S"&amp;ROW())</f>
      </c>
      <c r="B586" s="522" t="n"/>
      <c r="C586" s="522" t="n"/>
      <c r="D586" s="525">
        <f>IF(C586="","",IFERROR(INDEX(잔액!$Y:$Y,MAX(64,C586)),0))</f>
      </c>
      <c r="E586" s="524">
        <f>IF(C586="","",IFERROR(INDEX(잔액!$A:$A,MAX(64,C586)),""))</f>
      </c>
      <c r="F586" s="504">
        <f>IF(C586="","",IFERROR(INDEX(잔액!$C:$C,MAX(64,C586)),""))</f>
      </c>
      <c r="G586" s="504">
        <f>IF(C586="","",IF(INDEX(잔액!$K:$K,MAX(64,C586))&lt;&gt;"",INDEX(잔액!$K:$K,MAX(64,C586)),INDEX(잔액!$D:$D,MAX(64,C586))))</f>
      </c>
      <c r="H586" s="504" t="inlineStr">
        <is>
          <t>원장</t>
        </is>
      </c>
      <c r="J586" s="504">
        <f>IFERROR(INDEX($C$100:$C$399,MATCH(B586,$A$100:$A$399,0)),"")</f>
        <v>0</v>
      </c>
      <c r="K586" s="524">
        <f>IFERROR(INDEX($D$100:$D$399,MATCH(B586,$A$100:$A$399,0)),"")</f>
      </c>
      <c r="L586" s="504">
        <f>IFERROR(INDEX($S$100:$S$399,MATCH(B586,$A$100:$A$399,0)),"")</f>
        <v>0</v>
      </c>
      <c r="M586" s="504">
        <f>IF(B586="","",IFERROR(IF(OR(AND(H586="기초반영",OR(B586="U001",B586="U002",B586="U003"),C586="",E586=DATE(2026,3,1)),AND(H586="원장",C586&gt;=64,C586&lt;=500,INDEX(잔액!$I:$I,MAX(64,C586))="OK",E586=INDEX(잔액!$A:$A,MAX(64,C586)),F586=INDEX(잔액!$C:$C,MAX(64,C586)),OR(F586=J586,F586="결제대금비",AND(B586="U008",C586=223,J586="경조사비",F586="명절비"),AND(B586="U008",C586=208,J586="경조사비",F586="임시보관",SUMIF($C$430:$C$729,C586,$D$430:$D$729)&lt;=39000)),OR(COUNTIF($A$8:$A$12,F586)=1,F586="결제대금비",AND(B586="U008",C586=208,J586="경조사비",F586="임시보관",SUMIF($C$430:$C$729,C586,$D$430:$D$729)&lt;=39000)),COUNTIF($A$8:$A$12,INDEX(잔액!$D:$D,MAX(64,C586)))=0,SUMIF($C$430:$C$729,C586,$D$430:$D$729)&lt;=INDEX(잔액!$Y:$Y,MAX(64,C586)))),1,0),0))</f>
      </c>
      <c r="N586" s="504">
        <f>IF(B586="","",IFERROR(IF(AND(COUNTIF($A$100:$A$399,B586)=1,INDEX($R$100:$R$399,MATCH(B586,$A$100:$A$399,0))="OK",D586&gt;0,ISNUMBER(E586),M586=1,SUMIF($B$430:$B$729,B586,$D$430:$D$729)&lt;=INDEX($E$100:$E$399,MATCH(B586,$A$100:$A$399,0))),"OK","확인: 정산연결"),"확인: 정산연결"))</f>
      </c>
      <c r="O586" s="526">
        <f>IF(N586="OK",D586,0)</f>
        <v>0</v>
      </c>
    </row>
    <row r="587" hidden="1" outlineLevel="1">
      <c r="A587" s="504">
        <f>IF(B587="","","S"&amp;ROW())</f>
      </c>
      <c r="B587" s="522" t="n"/>
      <c r="C587" s="522" t="n"/>
      <c r="D587" s="525">
        <f>IF(C587="","",IFERROR(INDEX(잔액!$Y:$Y,MAX(64,C587)),0))</f>
      </c>
      <c r="E587" s="524">
        <f>IF(C587="","",IFERROR(INDEX(잔액!$A:$A,MAX(64,C587)),""))</f>
      </c>
      <c r="F587" s="504">
        <f>IF(C587="","",IFERROR(INDEX(잔액!$C:$C,MAX(64,C587)),""))</f>
      </c>
      <c r="G587" s="504">
        <f>IF(C587="","",IF(INDEX(잔액!$K:$K,MAX(64,C587))&lt;&gt;"",INDEX(잔액!$K:$K,MAX(64,C587)),INDEX(잔액!$D:$D,MAX(64,C587))))</f>
      </c>
      <c r="H587" s="504" t="inlineStr">
        <is>
          <t>원장</t>
        </is>
      </c>
      <c r="J587" s="504">
        <f>IFERROR(INDEX($C$100:$C$399,MATCH(B587,$A$100:$A$399,0)),"")</f>
        <v>0</v>
      </c>
      <c r="K587" s="524">
        <f>IFERROR(INDEX($D$100:$D$399,MATCH(B587,$A$100:$A$399,0)),"")</f>
      </c>
      <c r="L587" s="504">
        <f>IFERROR(INDEX($S$100:$S$399,MATCH(B587,$A$100:$A$399,0)),"")</f>
        <v>0</v>
      </c>
      <c r="M587" s="504">
        <f>IF(B587="","",IFERROR(IF(OR(AND(H587="기초반영",OR(B587="U001",B587="U002",B587="U003"),C587="",E587=DATE(2026,3,1)),AND(H587="원장",C587&gt;=64,C587&lt;=500,INDEX(잔액!$I:$I,MAX(64,C587))="OK",E587=INDEX(잔액!$A:$A,MAX(64,C587)),F587=INDEX(잔액!$C:$C,MAX(64,C587)),OR(F587=J587,F587="결제대금비",AND(B587="U008",C587=223,J587="경조사비",F587="명절비"),AND(B587="U008",C587=208,J587="경조사비",F587="임시보관",SUMIF($C$430:$C$729,C587,$D$430:$D$729)&lt;=39000)),OR(COUNTIF($A$8:$A$12,F587)=1,F587="결제대금비",AND(B587="U008",C587=208,J587="경조사비",F587="임시보관",SUMIF($C$430:$C$729,C587,$D$430:$D$729)&lt;=39000)),COUNTIF($A$8:$A$12,INDEX(잔액!$D:$D,MAX(64,C587)))=0,SUMIF($C$430:$C$729,C587,$D$430:$D$729)&lt;=INDEX(잔액!$Y:$Y,MAX(64,C587)))),1,0),0))</f>
      </c>
      <c r="N587" s="504">
        <f>IF(B587="","",IFERROR(IF(AND(COUNTIF($A$100:$A$399,B587)=1,INDEX($R$100:$R$399,MATCH(B587,$A$100:$A$399,0))="OK",D587&gt;0,ISNUMBER(E587),M587=1,SUMIF($B$430:$B$729,B587,$D$430:$D$729)&lt;=INDEX($E$100:$E$399,MATCH(B587,$A$100:$A$399,0))),"OK","확인: 정산연결"),"확인: 정산연결"))</f>
      </c>
      <c r="O587" s="526">
        <f>IF(N587="OK",D587,0)</f>
        <v>0</v>
      </c>
    </row>
    <row r="588" hidden="1" outlineLevel="1">
      <c r="A588" s="504">
        <f>IF(B588="","","S"&amp;ROW())</f>
      </c>
      <c r="B588" s="522" t="n"/>
      <c r="C588" s="522" t="n"/>
      <c r="D588" s="525">
        <f>IF(C588="","",IFERROR(INDEX(잔액!$Y:$Y,MAX(64,C588)),0))</f>
      </c>
      <c r="E588" s="524">
        <f>IF(C588="","",IFERROR(INDEX(잔액!$A:$A,MAX(64,C588)),""))</f>
      </c>
      <c r="F588" s="504">
        <f>IF(C588="","",IFERROR(INDEX(잔액!$C:$C,MAX(64,C588)),""))</f>
      </c>
      <c r="G588" s="504">
        <f>IF(C588="","",IF(INDEX(잔액!$K:$K,MAX(64,C588))&lt;&gt;"",INDEX(잔액!$K:$K,MAX(64,C588)),INDEX(잔액!$D:$D,MAX(64,C588))))</f>
      </c>
      <c r="H588" s="504" t="inlineStr">
        <is>
          <t>원장</t>
        </is>
      </c>
      <c r="J588" s="504">
        <f>IFERROR(INDEX($C$100:$C$399,MATCH(B588,$A$100:$A$399,0)),"")</f>
        <v>0</v>
      </c>
      <c r="K588" s="524">
        <f>IFERROR(INDEX($D$100:$D$399,MATCH(B588,$A$100:$A$399,0)),"")</f>
      </c>
      <c r="L588" s="504">
        <f>IFERROR(INDEX($S$100:$S$399,MATCH(B588,$A$100:$A$399,0)),"")</f>
        <v>0</v>
      </c>
      <c r="M588" s="504">
        <f>IF(B588="","",IFERROR(IF(OR(AND(H588="기초반영",OR(B588="U001",B588="U002",B588="U003"),C588="",E588=DATE(2026,3,1)),AND(H588="원장",C588&gt;=64,C588&lt;=500,INDEX(잔액!$I:$I,MAX(64,C588))="OK",E588=INDEX(잔액!$A:$A,MAX(64,C588)),F588=INDEX(잔액!$C:$C,MAX(64,C588)),OR(F588=J588,F588="결제대금비",AND(B588="U008",C588=223,J588="경조사비",F588="명절비"),AND(B588="U008",C588=208,J588="경조사비",F588="임시보관",SUMIF($C$430:$C$729,C588,$D$430:$D$729)&lt;=39000)),OR(COUNTIF($A$8:$A$12,F588)=1,F588="결제대금비",AND(B588="U008",C588=208,J588="경조사비",F588="임시보관",SUMIF($C$430:$C$729,C588,$D$430:$D$729)&lt;=39000)),COUNTIF($A$8:$A$12,INDEX(잔액!$D:$D,MAX(64,C588)))=0,SUMIF($C$430:$C$729,C588,$D$430:$D$729)&lt;=INDEX(잔액!$Y:$Y,MAX(64,C588)))),1,0),0))</f>
      </c>
      <c r="N588" s="504">
        <f>IF(B588="","",IFERROR(IF(AND(COUNTIF($A$100:$A$399,B588)=1,INDEX($R$100:$R$399,MATCH(B588,$A$100:$A$399,0))="OK",D588&gt;0,ISNUMBER(E588),M588=1,SUMIF($B$430:$B$729,B588,$D$430:$D$729)&lt;=INDEX($E$100:$E$399,MATCH(B588,$A$100:$A$399,0))),"OK","확인: 정산연결"),"확인: 정산연결"))</f>
      </c>
      <c r="O588" s="526">
        <f>IF(N588="OK",D588,0)</f>
        <v>0</v>
      </c>
    </row>
    <row r="589" hidden="1" outlineLevel="1">
      <c r="A589" s="504">
        <f>IF(B589="","","S"&amp;ROW())</f>
      </c>
      <c r="B589" s="522" t="n"/>
      <c r="C589" s="522" t="n"/>
      <c r="D589" s="525">
        <f>IF(C589="","",IFERROR(INDEX(잔액!$Y:$Y,MAX(64,C589)),0))</f>
      </c>
      <c r="E589" s="524">
        <f>IF(C589="","",IFERROR(INDEX(잔액!$A:$A,MAX(64,C589)),""))</f>
      </c>
      <c r="F589" s="504">
        <f>IF(C589="","",IFERROR(INDEX(잔액!$C:$C,MAX(64,C589)),""))</f>
      </c>
      <c r="G589" s="504">
        <f>IF(C589="","",IF(INDEX(잔액!$K:$K,MAX(64,C589))&lt;&gt;"",INDEX(잔액!$K:$K,MAX(64,C589)),INDEX(잔액!$D:$D,MAX(64,C589))))</f>
      </c>
      <c r="H589" s="504" t="inlineStr">
        <is>
          <t>원장</t>
        </is>
      </c>
      <c r="J589" s="504">
        <f>IFERROR(INDEX($C$100:$C$399,MATCH(B589,$A$100:$A$399,0)),"")</f>
        <v>0</v>
      </c>
      <c r="K589" s="524">
        <f>IFERROR(INDEX($D$100:$D$399,MATCH(B589,$A$100:$A$399,0)),"")</f>
      </c>
      <c r="L589" s="504">
        <f>IFERROR(INDEX($S$100:$S$399,MATCH(B589,$A$100:$A$399,0)),"")</f>
        <v>0</v>
      </c>
      <c r="M589" s="504">
        <f>IF(B589="","",IFERROR(IF(OR(AND(H589="기초반영",OR(B589="U001",B589="U002",B589="U003"),C589="",E589=DATE(2026,3,1)),AND(H589="원장",C589&gt;=64,C589&lt;=500,INDEX(잔액!$I:$I,MAX(64,C589))="OK",E589=INDEX(잔액!$A:$A,MAX(64,C589)),F589=INDEX(잔액!$C:$C,MAX(64,C589)),OR(F589=J589,F589="결제대금비",AND(B589="U008",C589=223,J589="경조사비",F589="명절비"),AND(B589="U008",C589=208,J589="경조사비",F589="임시보관",SUMIF($C$430:$C$729,C589,$D$430:$D$729)&lt;=39000)),OR(COUNTIF($A$8:$A$12,F589)=1,F589="결제대금비",AND(B589="U008",C589=208,J589="경조사비",F589="임시보관",SUMIF($C$430:$C$729,C589,$D$430:$D$729)&lt;=39000)),COUNTIF($A$8:$A$12,INDEX(잔액!$D:$D,MAX(64,C589)))=0,SUMIF($C$430:$C$729,C589,$D$430:$D$729)&lt;=INDEX(잔액!$Y:$Y,MAX(64,C589)))),1,0),0))</f>
      </c>
      <c r="N589" s="504">
        <f>IF(B589="","",IFERROR(IF(AND(COUNTIF($A$100:$A$399,B589)=1,INDEX($R$100:$R$399,MATCH(B589,$A$100:$A$399,0))="OK",D589&gt;0,ISNUMBER(E589),M589=1,SUMIF($B$430:$B$729,B589,$D$430:$D$729)&lt;=INDEX($E$100:$E$399,MATCH(B589,$A$100:$A$399,0))),"OK","확인: 정산연결"),"확인: 정산연결"))</f>
      </c>
      <c r="O589" s="526">
        <f>IF(N589="OK",D589,0)</f>
        <v>0</v>
      </c>
    </row>
    <row r="590" hidden="1" outlineLevel="1">
      <c r="A590" s="504">
        <f>IF(B590="","","S"&amp;ROW())</f>
      </c>
      <c r="B590" s="522" t="n"/>
      <c r="C590" s="522" t="n"/>
      <c r="D590" s="525">
        <f>IF(C590="","",IFERROR(INDEX(잔액!$Y:$Y,MAX(64,C590)),0))</f>
      </c>
      <c r="E590" s="524">
        <f>IF(C590="","",IFERROR(INDEX(잔액!$A:$A,MAX(64,C590)),""))</f>
      </c>
      <c r="F590" s="504">
        <f>IF(C590="","",IFERROR(INDEX(잔액!$C:$C,MAX(64,C590)),""))</f>
      </c>
      <c r="G590" s="504">
        <f>IF(C590="","",IF(INDEX(잔액!$K:$K,MAX(64,C590))&lt;&gt;"",INDEX(잔액!$K:$K,MAX(64,C590)),INDEX(잔액!$D:$D,MAX(64,C590))))</f>
      </c>
      <c r="H590" s="504" t="inlineStr">
        <is>
          <t>원장</t>
        </is>
      </c>
      <c r="J590" s="504">
        <f>IFERROR(INDEX($C$100:$C$399,MATCH(B590,$A$100:$A$399,0)),"")</f>
        <v>0</v>
      </c>
      <c r="K590" s="524">
        <f>IFERROR(INDEX($D$100:$D$399,MATCH(B590,$A$100:$A$399,0)),"")</f>
      </c>
      <c r="L590" s="504">
        <f>IFERROR(INDEX($S$100:$S$399,MATCH(B590,$A$100:$A$399,0)),"")</f>
        <v>0</v>
      </c>
      <c r="M590" s="504">
        <f>IF(B590="","",IFERROR(IF(OR(AND(H590="기초반영",OR(B590="U001",B590="U002",B590="U003"),C590="",E590=DATE(2026,3,1)),AND(H590="원장",C590&gt;=64,C590&lt;=500,INDEX(잔액!$I:$I,MAX(64,C590))="OK",E590=INDEX(잔액!$A:$A,MAX(64,C590)),F590=INDEX(잔액!$C:$C,MAX(64,C590)),OR(F590=J590,F590="결제대금비",AND(B590="U008",C590=223,J590="경조사비",F590="명절비"),AND(B590="U008",C590=208,J590="경조사비",F590="임시보관",SUMIF($C$430:$C$729,C590,$D$430:$D$729)&lt;=39000)),OR(COUNTIF($A$8:$A$12,F590)=1,F590="결제대금비",AND(B590="U008",C590=208,J590="경조사비",F590="임시보관",SUMIF($C$430:$C$729,C590,$D$430:$D$729)&lt;=39000)),COUNTIF($A$8:$A$12,INDEX(잔액!$D:$D,MAX(64,C590)))=0,SUMIF($C$430:$C$729,C590,$D$430:$D$729)&lt;=INDEX(잔액!$Y:$Y,MAX(64,C590)))),1,0),0))</f>
      </c>
      <c r="N590" s="504">
        <f>IF(B590="","",IFERROR(IF(AND(COUNTIF($A$100:$A$399,B590)=1,INDEX($R$100:$R$399,MATCH(B590,$A$100:$A$399,0))="OK",D590&gt;0,ISNUMBER(E590),M590=1,SUMIF($B$430:$B$729,B590,$D$430:$D$729)&lt;=INDEX($E$100:$E$399,MATCH(B590,$A$100:$A$399,0))),"OK","확인: 정산연결"),"확인: 정산연결"))</f>
      </c>
      <c r="O590" s="526">
        <f>IF(N590="OK",D590,0)</f>
        <v>0</v>
      </c>
    </row>
    <row r="591" hidden="1" outlineLevel="1">
      <c r="A591" s="504">
        <f>IF(B591="","","S"&amp;ROW())</f>
      </c>
      <c r="B591" s="522" t="n"/>
      <c r="C591" s="522" t="n"/>
      <c r="D591" s="525">
        <f>IF(C591="","",IFERROR(INDEX(잔액!$Y:$Y,MAX(64,C591)),0))</f>
      </c>
      <c r="E591" s="524">
        <f>IF(C591="","",IFERROR(INDEX(잔액!$A:$A,MAX(64,C591)),""))</f>
      </c>
      <c r="F591" s="504">
        <f>IF(C591="","",IFERROR(INDEX(잔액!$C:$C,MAX(64,C591)),""))</f>
      </c>
      <c r="G591" s="504">
        <f>IF(C591="","",IF(INDEX(잔액!$K:$K,MAX(64,C591))&lt;&gt;"",INDEX(잔액!$K:$K,MAX(64,C591)),INDEX(잔액!$D:$D,MAX(64,C591))))</f>
      </c>
      <c r="H591" s="504" t="inlineStr">
        <is>
          <t>원장</t>
        </is>
      </c>
      <c r="J591" s="504">
        <f>IFERROR(INDEX($C$100:$C$399,MATCH(B591,$A$100:$A$399,0)),"")</f>
        <v>0</v>
      </c>
      <c r="K591" s="524">
        <f>IFERROR(INDEX($D$100:$D$399,MATCH(B591,$A$100:$A$399,0)),"")</f>
      </c>
      <c r="L591" s="504">
        <f>IFERROR(INDEX($S$100:$S$399,MATCH(B591,$A$100:$A$399,0)),"")</f>
        <v>0</v>
      </c>
      <c r="M591" s="504">
        <f>IF(B591="","",IFERROR(IF(OR(AND(H591="기초반영",OR(B591="U001",B591="U002",B591="U003"),C591="",E591=DATE(2026,3,1)),AND(H591="원장",C591&gt;=64,C591&lt;=500,INDEX(잔액!$I:$I,MAX(64,C591))="OK",E591=INDEX(잔액!$A:$A,MAX(64,C591)),F591=INDEX(잔액!$C:$C,MAX(64,C591)),OR(F591=J591,F591="결제대금비",AND(B591="U008",C591=223,J591="경조사비",F591="명절비"),AND(B591="U008",C591=208,J591="경조사비",F591="임시보관",SUMIF($C$430:$C$729,C591,$D$430:$D$729)&lt;=39000)),OR(COUNTIF($A$8:$A$12,F591)=1,F591="결제대금비",AND(B591="U008",C591=208,J591="경조사비",F591="임시보관",SUMIF($C$430:$C$729,C591,$D$430:$D$729)&lt;=39000)),COUNTIF($A$8:$A$12,INDEX(잔액!$D:$D,MAX(64,C591)))=0,SUMIF($C$430:$C$729,C591,$D$430:$D$729)&lt;=INDEX(잔액!$Y:$Y,MAX(64,C591)))),1,0),0))</f>
      </c>
      <c r="N591" s="504">
        <f>IF(B591="","",IFERROR(IF(AND(COUNTIF($A$100:$A$399,B591)=1,INDEX($R$100:$R$399,MATCH(B591,$A$100:$A$399,0))="OK",D591&gt;0,ISNUMBER(E591),M591=1,SUMIF($B$430:$B$729,B591,$D$430:$D$729)&lt;=INDEX($E$100:$E$399,MATCH(B591,$A$100:$A$399,0))),"OK","확인: 정산연결"),"확인: 정산연결"))</f>
      </c>
      <c r="O591" s="526">
        <f>IF(N591="OK",D591,0)</f>
        <v>0</v>
      </c>
    </row>
    <row r="592" hidden="1" outlineLevel="1">
      <c r="A592" s="504">
        <f>IF(B592="","","S"&amp;ROW())</f>
      </c>
      <c r="B592" s="522" t="n"/>
      <c r="C592" s="522" t="n"/>
      <c r="D592" s="525">
        <f>IF(C592="","",IFERROR(INDEX(잔액!$Y:$Y,MAX(64,C592)),0))</f>
      </c>
      <c r="E592" s="524">
        <f>IF(C592="","",IFERROR(INDEX(잔액!$A:$A,MAX(64,C592)),""))</f>
      </c>
      <c r="F592" s="504">
        <f>IF(C592="","",IFERROR(INDEX(잔액!$C:$C,MAX(64,C592)),""))</f>
      </c>
      <c r="G592" s="504">
        <f>IF(C592="","",IF(INDEX(잔액!$K:$K,MAX(64,C592))&lt;&gt;"",INDEX(잔액!$K:$K,MAX(64,C592)),INDEX(잔액!$D:$D,MAX(64,C592))))</f>
      </c>
      <c r="H592" s="504" t="inlineStr">
        <is>
          <t>원장</t>
        </is>
      </c>
      <c r="J592" s="504">
        <f>IFERROR(INDEX($C$100:$C$399,MATCH(B592,$A$100:$A$399,0)),"")</f>
        <v>0</v>
      </c>
      <c r="K592" s="524">
        <f>IFERROR(INDEX($D$100:$D$399,MATCH(B592,$A$100:$A$399,0)),"")</f>
      </c>
      <c r="L592" s="504">
        <f>IFERROR(INDEX($S$100:$S$399,MATCH(B592,$A$100:$A$399,0)),"")</f>
        <v>0</v>
      </c>
      <c r="M592" s="504">
        <f>IF(B592="","",IFERROR(IF(OR(AND(H592="기초반영",OR(B592="U001",B592="U002",B592="U003"),C592="",E592=DATE(2026,3,1)),AND(H592="원장",C592&gt;=64,C592&lt;=500,INDEX(잔액!$I:$I,MAX(64,C592))="OK",E592=INDEX(잔액!$A:$A,MAX(64,C592)),F592=INDEX(잔액!$C:$C,MAX(64,C592)),OR(F592=J592,F592="결제대금비",AND(B592="U008",C592=223,J592="경조사비",F592="명절비"),AND(B592="U008",C592=208,J592="경조사비",F592="임시보관",SUMIF($C$430:$C$729,C592,$D$430:$D$729)&lt;=39000)),OR(COUNTIF($A$8:$A$12,F592)=1,F592="결제대금비",AND(B592="U008",C592=208,J592="경조사비",F592="임시보관",SUMIF($C$430:$C$729,C592,$D$430:$D$729)&lt;=39000)),COUNTIF($A$8:$A$12,INDEX(잔액!$D:$D,MAX(64,C592)))=0,SUMIF($C$430:$C$729,C592,$D$430:$D$729)&lt;=INDEX(잔액!$Y:$Y,MAX(64,C592)))),1,0),0))</f>
      </c>
      <c r="N592" s="504">
        <f>IF(B592="","",IFERROR(IF(AND(COUNTIF($A$100:$A$399,B592)=1,INDEX($R$100:$R$399,MATCH(B592,$A$100:$A$399,0))="OK",D592&gt;0,ISNUMBER(E592),M592=1,SUMIF($B$430:$B$729,B592,$D$430:$D$729)&lt;=INDEX($E$100:$E$399,MATCH(B592,$A$100:$A$399,0))),"OK","확인: 정산연결"),"확인: 정산연결"))</f>
      </c>
      <c r="O592" s="526">
        <f>IF(N592="OK",D592,0)</f>
        <v>0</v>
      </c>
    </row>
    <row r="593" hidden="1" outlineLevel="1">
      <c r="A593" s="504">
        <f>IF(B593="","","S"&amp;ROW())</f>
      </c>
      <c r="B593" s="522" t="n"/>
      <c r="C593" s="522" t="n"/>
      <c r="D593" s="525">
        <f>IF(C593="","",IFERROR(INDEX(잔액!$Y:$Y,MAX(64,C593)),0))</f>
      </c>
      <c r="E593" s="524">
        <f>IF(C593="","",IFERROR(INDEX(잔액!$A:$A,MAX(64,C593)),""))</f>
      </c>
      <c r="F593" s="504">
        <f>IF(C593="","",IFERROR(INDEX(잔액!$C:$C,MAX(64,C593)),""))</f>
      </c>
      <c r="G593" s="504">
        <f>IF(C593="","",IF(INDEX(잔액!$K:$K,MAX(64,C593))&lt;&gt;"",INDEX(잔액!$K:$K,MAX(64,C593)),INDEX(잔액!$D:$D,MAX(64,C593))))</f>
      </c>
      <c r="H593" s="504" t="inlineStr">
        <is>
          <t>원장</t>
        </is>
      </c>
      <c r="J593" s="504">
        <f>IFERROR(INDEX($C$100:$C$399,MATCH(B593,$A$100:$A$399,0)),"")</f>
        <v>0</v>
      </c>
      <c r="K593" s="524">
        <f>IFERROR(INDEX($D$100:$D$399,MATCH(B593,$A$100:$A$399,0)),"")</f>
      </c>
      <c r="L593" s="504">
        <f>IFERROR(INDEX($S$100:$S$399,MATCH(B593,$A$100:$A$399,0)),"")</f>
        <v>0</v>
      </c>
      <c r="M593" s="504">
        <f>IF(B593="","",IFERROR(IF(OR(AND(H593="기초반영",OR(B593="U001",B593="U002",B593="U003"),C593="",E593=DATE(2026,3,1)),AND(H593="원장",C593&gt;=64,C593&lt;=500,INDEX(잔액!$I:$I,MAX(64,C593))="OK",E593=INDEX(잔액!$A:$A,MAX(64,C593)),F593=INDEX(잔액!$C:$C,MAX(64,C593)),OR(F593=J593,F593="결제대금비",AND(B593="U008",C593=223,J593="경조사비",F593="명절비"),AND(B593="U008",C593=208,J593="경조사비",F593="임시보관",SUMIF($C$430:$C$729,C593,$D$430:$D$729)&lt;=39000)),OR(COUNTIF($A$8:$A$12,F593)=1,F593="결제대금비",AND(B593="U008",C593=208,J593="경조사비",F593="임시보관",SUMIF($C$430:$C$729,C593,$D$430:$D$729)&lt;=39000)),COUNTIF($A$8:$A$12,INDEX(잔액!$D:$D,MAX(64,C593)))=0,SUMIF($C$430:$C$729,C593,$D$430:$D$729)&lt;=INDEX(잔액!$Y:$Y,MAX(64,C593)))),1,0),0))</f>
      </c>
      <c r="N593" s="504">
        <f>IF(B593="","",IFERROR(IF(AND(COUNTIF($A$100:$A$399,B593)=1,INDEX($R$100:$R$399,MATCH(B593,$A$100:$A$399,0))="OK",D593&gt;0,ISNUMBER(E593),M593=1,SUMIF($B$430:$B$729,B593,$D$430:$D$729)&lt;=INDEX($E$100:$E$399,MATCH(B593,$A$100:$A$399,0))),"OK","확인: 정산연결"),"확인: 정산연결"))</f>
      </c>
      <c r="O593" s="526">
        <f>IF(N593="OK",D593,0)</f>
        <v>0</v>
      </c>
    </row>
    <row r="594" hidden="1" outlineLevel="1">
      <c r="A594" s="504">
        <f>IF(B594="","","S"&amp;ROW())</f>
      </c>
      <c r="B594" s="522" t="n"/>
      <c r="C594" s="522" t="n"/>
      <c r="D594" s="525">
        <f>IF(C594="","",IFERROR(INDEX(잔액!$Y:$Y,MAX(64,C594)),0))</f>
      </c>
      <c r="E594" s="524">
        <f>IF(C594="","",IFERROR(INDEX(잔액!$A:$A,MAX(64,C594)),""))</f>
      </c>
      <c r="F594" s="504">
        <f>IF(C594="","",IFERROR(INDEX(잔액!$C:$C,MAX(64,C594)),""))</f>
      </c>
      <c r="G594" s="504">
        <f>IF(C594="","",IF(INDEX(잔액!$K:$K,MAX(64,C594))&lt;&gt;"",INDEX(잔액!$K:$K,MAX(64,C594)),INDEX(잔액!$D:$D,MAX(64,C594))))</f>
      </c>
      <c r="H594" s="504" t="inlineStr">
        <is>
          <t>원장</t>
        </is>
      </c>
      <c r="J594" s="504">
        <f>IFERROR(INDEX($C$100:$C$399,MATCH(B594,$A$100:$A$399,0)),"")</f>
        <v>0</v>
      </c>
      <c r="K594" s="524">
        <f>IFERROR(INDEX($D$100:$D$399,MATCH(B594,$A$100:$A$399,0)),"")</f>
      </c>
      <c r="L594" s="504">
        <f>IFERROR(INDEX($S$100:$S$399,MATCH(B594,$A$100:$A$399,0)),"")</f>
        <v>0</v>
      </c>
      <c r="M594" s="504">
        <f>IF(B594="","",IFERROR(IF(OR(AND(H594="기초반영",OR(B594="U001",B594="U002",B594="U003"),C594="",E594=DATE(2026,3,1)),AND(H594="원장",C594&gt;=64,C594&lt;=500,INDEX(잔액!$I:$I,MAX(64,C594))="OK",E594=INDEX(잔액!$A:$A,MAX(64,C594)),F594=INDEX(잔액!$C:$C,MAX(64,C594)),OR(F594=J594,F594="결제대금비",AND(B594="U008",C594=223,J594="경조사비",F594="명절비"),AND(B594="U008",C594=208,J594="경조사비",F594="임시보관",SUMIF($C$430:$C$729,C594,$D$430:$D$729)&lt;=39000)),OR(COUNTIF($A$8:$A$12,F594)=1,F594="결제대금비",AND(B594="U008",C594=208,J594="경조사비",F594="임시보관",SUMIF($C$430:$C$729,C594,$D$430:$D$729)&lt;=39000)),COUNTIF($A$8:$A$12,INDEX(잔액!$D:$D,MAX(64,C594)))=0,SUMIF($C$430:$C$729,C594,$D$430:$D$729)&lt;=INDEX(잔액!$Y:$Y,MAX(64,C594)))),1,0),0))</f>
      </c>
      <c r="N594" s="504">
        <f>IF(B594="","",IFERROR(IF(AND(COUNTIF($A$100:$A$399,B594)=1,INDEX($R$100:$R$399,MATCH(B594,$A$100:$A$399,0))="OK",D594&gt;0,ISNUMBER(E594),M594=1,SUMIF($B$430:$B$729,B594,$D$430:$D$729)&lt;=INDEX($E$100:$E$399,MATCH(B594,$A$100:$A$399,0))),"OK","확인: 정산연결"),"확인: 정산연결"))</f>
      </c>
      <c r="O594" s="526">
        <f>IF(N594="OK",D594,0)</f>
        <v>0</v>
      </c>
    </row>
    <row r="595" hidden="1" outlineLevel="1">
      <c r="A595" s="504">
        <f>IF(B595="","","S"&amp;ROW())</f>
      </c>
      <c r="B595" s="522" t="n"/>
      <c r="C595" s="522" t="n"/>
      <c r="D595" s="525">
        <f>IF(C595="","",IFERROR(INDEX(잔액!$Y:$Y,MAX(64,C595)),0))</f>
      </c>
      <c r="E595" s="524">
        <f>IF(C595="","",IFERROR(INDEX(잔액!$A:$A,MAX(64,C595)),""))</f>
      </c>
      <c r="F595" s="504">
        <f>IF(C595="","",IFERROR(INDEX(잔액!$C:$C,MAX(64,C595)),""))</f>
      </c>
      <c r="G595" s="504">
        <f>IF(C595="","",IF(INDEX(잔액!$K:$K,MAX(64,C595))&lt;&gt;"",INDEX(잔액!$K:$K,MAX(64,C595)),INDEX(잔액!$D:$D,MAX(64,C595))))</f>
      </c>
      <c r="H595" s="504" t="inlineStr">
        <is>
          <t>원장</t>
        </is>
      </c>
      <c r="J595" s="504">
        <f>IFERROR(INDEX($C$100:$C$399,MATCH(B595,$A$100:$A$399,0)),"")</f>
        <v>0</v>
      </c>
      <c r="K595" s="524">
        <f>IFERROR(INDEX($D$100:$D$399,MATCH(B595,$A$100:$A$399,0)),"")</f>
      </c>
      <c r="L595" s="504">
        <f>IFERROR(INDEX($S$100:$S$399,MATCH(B595,$A$100:$A$399,0)),"")</f>
        <v>0</v>
      </c>
      <c r="M595" s="504">
        <f>IF(B595="","",IFERROR(IF(OR(AND(H595="기초반영",OR(B595="U001",B595="U002",B595="U003"),C595="",E595=DATE(2026,3,1)),AND(H595="원장",C595&gt;=64,C595&lt;=500,INDEX(잔액!$I:$I,MAX(64,C595))="OK",E595=INDEX(잔액!$A:$A,MAX(64,C595)),F595=INDEX(잔액!$C:$C,MAX(64,C595)),OR(F595=J595,F595="결제대금비",AND(B595="U008",C595=223,J595="경조사비",F595="명절비"),AND(B595="U008",C595=208,J595="경조사비",F595="임시보관",SUMIF($C$430:$C$729,C595,$D$430:$D$729)&lt;=39000)),OR(COUNTIF($A$8:$A$12,F595)=1,F595="결제대금비",AND(B595="U008",C595=208,J595="경조사비",F595="임시보관",SUMIF($C$430:$C$729,C595,$D$430:$D$729)&lt;=39000)),COUNTIF($A$8:$A$12,INDEX(잔액!$D:$D,MAX(64,C595)))=0,SUMIF($C$430:$C$729,C595,$D$430:$D$729)&lt;=INDEX(잔액!$Y:$Y,MAX(64,C595)))),1,0),0))</f>
      </c>
      <c r="N595" s="504">
        <f>IF(B595="","",IFERROR(IF(AND(COUNTIF($A$100:$A$399,B595)=1,INDEX($R$100:$R$399,MATCH(B595,$A$100:$A$399,0))="OK",D595&gt;0,ISNUMBER(E595),M595=1,SUMIF($B$430:$B$729,B595,$D$430:$D$729)&lt;=INDEX($E$100:$E$399,MATCH(B595,$A$100:$A$399,0))),"OK","확인: 정산연결"),"확인: 정산연결"))</f>
      </c>
      <c r="O595" s="526">
        <f>IF(N595="OK",D595,0)</f>
        <v>0</v>
      </c>
    </row>
    <row r="596" hidden="1" outlineLevel="1">
      <c r="A596" s="504">
        <f>IF(B596="","","S"&amp;ROW())</f>
      </c>
      <c r="B596" s="522" t="n"/>
      <c r="C596" s="522" t="n"/>
      <c r="D596" s="525">
        <f>IF(C596="","",IFERROR(INDEX(잔액!$Y:$Y,MAX(64,C596)),0))</f>
      </c>
      <c r="E596" s="524">
        <f>IF(C596="","",IFERROR(INDEX(잔액!$A:$A,MAX(64,C596)),""))</f>
      </c>
      <c r="F596" s="504">
        <f>IF(C596="","",IFERROR(INDEX(잔액!$C:$C,MAX(64,C596)),""))</f>
      </c>
      <c r="G596" s="504">
        <f>IF(C596="","",IF(INDEX(잔액!$K:$K,MAX(64,C596))&lt;&gt;"",INDEX(잔액!$K:$K,MAX(64,C596)),INDEX(잔액!$D:$D,MAX(64,C596))))</f>
      </c>
      <c r="H596" s="504" t="inlineStr">
        <is>
          <t>원장</t>
        </is>
      </c>
      <c r="J596" s="504">
        <f>IFERROR(INDEX($C$100:$C$399,MATCH(B596,$A$100:$A$399,0)),"")</f>
        <v>0</v>
      </c>
      <c r="K596" s="524">
        <f>IFERROR(INDEX($D$100:$D$399,MATCH(B596,$A$100:$A$399,0)),"")</f>
      </c>
      <c r="L596" s="504">
        <f>IFERROR(INDEX($S$100:$S$399,MATCH(B596,$A$100:$A$399,0)),"")</f>
        <v>0</v>
      </c>
      <c r="M596" s="504">
        <f>IF(B596="","",IFERROR(IF(OR(AND(H596="기초반영",OR(B596="U001",B596="U002",B596="U003"),C596="",E596=DATE(2026,3,1)),AND(H596="원장",C596&gt;=64,C596&lt;=500,INDEX(잔액!$I:$I,MAX(64,C596))="OK",E596=INDEX(잔액!$A:$A,MAX(64,C596)),F596=INDEX(잔액!$C:$C,MAX(64,C596)),OR(F596=J596,F596="결제대금비",AND(B596="U008",C596=223,J596="경조사비",F596="명절비"),AND(B596="U008",C596=208,J596="경조사비",F596="임시보관",SUMIF($C$430:$C$729,C596,$D$430:$D$729)&lt;=39000)),OR(COUNTIF($A$8:$A$12,F596)=1,F596="결제대금비",AND(B596="U008",C596=208,J596="경조사비",F596="임시보관",SUMIF($C$430:$C$729,C596,$D$430:$D$729)&lt;=39000)),COUNTIF($A$8:$A$12,INDEX(잔액!$D:$D,MAX(64,C596)))=0,SUMIF($C$430:$C$729,C596,$D$430:$D$729)&lt;=INDEX(잔액!$Y:$Y,MAX(64,C596)))),1,0),0))</f>
      </c>
      <c r="N596" s="504">
        <f>IF(B596="","",IFERROR(IF(AND(COUNTIF($A$100:$A$399,B596)=1,INDEX($R$100:$R$399,MATCH(B596,$A$100:$A$399,0))="OK",D596&gt;0,ISNUMBER(E596),M596=1,SUMIF($B$430:$B$729,B596,$D$430:$D$729)&lt;=INDEX($E$100:$E$399,MATCH(B596,$A$100:$A$399,0))),"OK","확인: 정산연결"),"확인: 정산연결"))</f>
      </c>
      <c r="O596" s="526">
        <f>IF(N596="OK",D596,0)</f>
        <v>0</v>
      </c>
    </row>
    <row r="597" hidden="1" outlineLevel="1">
      <c r="A597" s="504">
        <f>IF(B597="","","S"&amp;ROW())</f>
      </c>
      <c r="B597" s="522" t="n"/>
      <c r="C597" s="522" t="n"/>
      <c r="D597" s="525">
        <f>IF(C597="","",IFERROR(INDEX(잔액!$Y:$Y,MAX(64,C597)),0))</f>
      </c>
      <c r="E597" s="524">
        <f>IF(C597="","",IFERROR(INDEX(잔액!$A:$A,MAX(64,C597)),""))</f>
      </c>
      <c r="F597" s="504">
        <f>IF(C597="","",IFERROR(INDEX(잔액!$C:$C,MAX(64,C597)),""))</f>
      </c>
      <c r="G597" s="504">
        <f>IF(C597="","",IF(INDEX(잔액!$K:$K,MAX(64,C597))&lt;&gt;"",INDEX(잔액!$K:$K,MAX(64,C597)),INDEX(잔액!$D:$D,MAX(64,C597))))</f>
      </c>
      <c r="H597" s="504" t="inlineStr">
        <is>
          <t>원장</t>
        </is>
      </c>
      <c r="J597" s="504">
        <f>IFERROR(INDEX($C$100:$C$399,MATCH(B597,$A$100:$A$399,0)),"")</f>
        <v>0</v>
      </c>
      <c r="K597" s="524">
        <f>IFERROR(INDEX($D$100:$D$399,MATCH(B597,$A$100:$A$399,0)),"")</f>
      </c>
      <c r="L597" s="504">
        <f>IFERROR(INDEX($S$100:$S$399,MATCH(B597,$A$100:$A$399,0)),"")</f>
        <v>0</v>
      </c>
      <c r="M597" s="504">
        <f>IF(B597="","",IFERROR(IF(OR(AND(H597="기초반영",OR(B597="U001",B597="U002",B597="U003"),C597="",E597=DATE(2026,3,1)),AND(H597="원장",C597&gt;=64,C597&lt;=500,INDEX(잔액!$I:$I,MAX(64,C597))="OK",E597=INDEX(잔액!$A:$A,MAX(64,C597)),F597=INDEX(잔액!$C:$C,MAX(64,C597)),OR(F597=J597,F597="결제대금비",AND(B597="U008",C597=223,J597="경조사비",F597="명절비"),AND(B597="U008",C597=208,J597="경조사비",F597="임시보관",SUMIF($C$430:$C$729,C597,$D$430:$D$729)&lt;=39000)),OR(COUNTIF($A$8:$A$12,F597)=1,F597="결제대금비",AND(B597="U008",C597=208,J597="경조사비",F597="임시보관",SUMIF($C$430:$C$729,C597,$D$430:$D$729)&lt;=39000)),COUNTIF($A$8:$A$12,INDEX(잔액!$D:$D,MAX(64,C597)))=0,SUMIF($C$430:$C$729,C597,$D$430:$D$729)&lt;=INDEX(잔액!$Y:$Y,MAX(64,C597)))),1,0),0))</f>
      </c>
      <c r="N597" s="504">
        <f>IF(B597="","",IFERROR(IF(AND(COUNTIF($A$100:$A$399,B597)=1,INDEX($R$100:$R$399,MATCH(B597,$A$100:$A$399,0))="OK",D597&gt;0,ISNUMBER(E597),M597=1,SUMIF($B$430:$B$729,B597,$D$430:$D$729)&lt;=INDEX($E$100:$E$399,MATCH(B597,$A$100:$A$399,0))),"OK","확인: 정산연결"),"확인: 정산연결"))</f>
      </c>
      <c r="O597" s="526">
        <f>IF(N597="OK",D597,0)</f>
        <v>0</v>
      </c>
    </row>
    <row r="598" hidden="1" outlineLevel="1">
      <c r="A598" s="504">
        <f>IF(B598="","","S"&amp;ROW())</f>
      </c>
      <c r="B598" s="522" t="n"/>
      <c r="C598" s="522" t="n"/>
      <c r="D598" s="525">
        <f>IF(C598="","",IFERROR(INDEX(잔액!$Y:$Y,MAX(64,C598)),0))</f>
      </c>
      <c r="E598" s="524">
        <f>IF(C598="","",IFERROR(INDEX(잔액!$A:$A,MAX(64,C598)),""))</f>
      </c>
      <c r="F598" s="504">
        <f>IF(C598="","",IFERROR(INDEX(잔액!$C:$C,MAX(64,C598)),""))</f>
      </c>
      <c r="G598" s="504">
        <f>IF(C598="","",IF(INDEX(잔액!$K:$K,MAX(64,C598))&lt;&gt;"",INDEX(잔액!$K:$K,MAX(64,C598)),INDEX(잔액!$D:$D,MAX(64,C598))))</f>
      </c>
      <c r="H598" s="504" t="inlineStr">
        <is>
          <t>원장</t>
        </is>
      </c>
      <c r="J598" s="504">
        <f>IFERROR(INDEX($C$100:$C$399,MATCH(B598,$A$100:$A$399,0)),"")</f>
        <v>0</v>
      </c>
      <c r="K598" s="524">
        <f>IFERROR(INDEX($D$100:$D$399,MATCH(B598,$A$100:$A$399,0)),"")</f>
      </c>
      <c r="L598" s="504">
        <f>IFERROR(INDEX($S$100:$S$399,MATCH(B598,$A$100:$A$399,0)),"")</f>
        <v>0</v>
      </c>
      <c r="M598" s="504">
        <f>IF(B598="","",IFERROR(IF(OR(AND(H598="기초반영",OR(B598="U001",B598="U002",B598="U003"),C598="",E598=DATE(2026,3,1)),AND(H598="원장",C598&gt;=64,C598&lt;=500,INDEX(잔액!$I:$I,MAX(64,C598))="OK",E598=INDEX(잔액!$A:$A,MAX(64,C598)),F598=INDEX(잔액!$C:$C,MAX(64,C598)),OR(F598=J598,F598="결제대금비",AND(B598="U008",C598=223,J598="경조사비",F598="명절비"),AND(B598="U008",C598=208,J598="경조사비",F598="임시보관",SUMIF($C$430:$C$729,C598,$D$430:$D$729)&lt;=39000)),OR(COUNTIF($A$8:$A$12,F598)=1,F598="결제대금비",AND(B598="U008",C598=208,J598="경조사비",F598="임시보관",SUMIF($C$430:$C$729,C598,$D$430:$D$729)&lt;=39000)),COUNTIF($A$8:$A$12,INDEX(잔액!$D:$D,MAX(64,C598)))=0,SUMIF($C$430:$C$729,C598,$D$430:$D$729)&lt;=INDEX(잔액!$Y:$Y,MAX(64,C598)))),1,0),0))</f>
      </c>
      <c r="N598" s="504">
        <f>IF(B598="","",IFERROR(IF(AND(COUNTIF($A$100:$A$399,B598)=1,INDEX($R$100:$R$399,MATCH(B598,$A$100:$A$399,0))="OK",D598&gt;0,ISNUMBER(E598),M598=1,SUMIF($B$430:$B$729,B598,$D$430:$D$729)&lt;=INDEX($E$100:$E$399,MATCH(B598,$A$100:$A$399,0))),"OK","확인: 정산연결"),"확인: 정산연결"))</f>
      </c>
      <c r="O598" s="526">
        <f>IF(N598="OK",D598,0)</f>
        <v>0</v>
      </c>
    </row>
    <row r="599" hidden="1" outlineLevel="1">
      <c r="A599" s="504">
        <f>IF(B599="","","S"&amp;ROW())</f>
      </c>
      <c r="B599" s="522" t="n"/>
      <c r="C599" s="522" t="n"/>
      <c r="D599" s="525">
        <f>IF(C599="","",IFERROR(INDEX(잔액!$Y:$Y,MAX(64,C599)),0))</f>
      </c>
      <c r="E599" s="524">
        <f>IF(C599="","",IFERROR(INDEX(잔액!$A:$A,MAX(64,C599)),""))</f>
      </c>
      <c r="F599" s="504">
        <f>IF(C599="","",IFERROR(INDEX(잔액!$C:$C,MAX(64,C599)),""))</f>
      </c>
      <c r="G599" s="504">
        <f>IF(C599="","",IF(INDEX(잔액!$K:$K,MAX(64,C599))&lt;&gt;"",INDEX(잔액!$K:$K,MAX(64,C599)),INDEX(잔액!$D:$D,MAX(64,C599))))</f>
      </c>
      <c r="H599" s="504" t="inlineStr">
        <is>
          <t>원장</t>
        </is>
      </c>
      <c r="J599" s="504">
        <f>IFERROR(INDEX($C$100:$C$399,MATCH(B599,$A$100:$A$399,0)),"")</f>
        <v>0</v>
      </c>
      <c r="K599" s="524">
        <f>IFERROR(INDEX($D$100:$D$399,MATCH(B599,$A$100:$A$399,0)),"")</f>
      </c>
      <c r="L599" s="504">
        <f>IFERROR(INDEX($S$100:$S$399,MATCH(B599,$A$100:$A$399,0)),"")</f>
        <v>0</v>
      </c>
      <c r="M599" s="504">
        <f>IF(B599="","",IFERROR(IF(OR(AND(H599="기초반영",OR(B599="U001",B599="U002",B599="U003"),C599="",E599=DATE(2026,3,1)),AND(H599="원장",C599&gt;=64,C599&lt;=500,INDEX(잔액!$I:$I,MAX(64,C599))="OK",E599=INDEX(잔액!$A:$A,MAX(64,C599)),F599=INDEX(잔액!$C:$C,MAX(64,C599)),OR(F599=J599,F599="결제대금비",AND(B599="U008",C599=223,J599="경조사비",F599="명절비"),AND(B599="U008",C599=208,J599="경조사비",F599="임시보관",SUMIF($C$430:$C$729,C599,$D$430:$D$729)&lt;=39000)),OR(COUNTIF($A$8:$A$12,F599)=1,F599="결제대금비",AND(B599="U008",C599=208,J599="경조사비",F599="임시보관",SUMIF($C$430:$C$729,C599,$D$430:$D$729)&lt;=39000)),COUNTIF($A$8:$A$12,INDEX(잔액!$D:$D,MAX(64,C599)))=0,SUMIF($C$430:$C$729,C599,$D$430:$D$729)&lt;=INDEX(잔액!$Y:$Y,MAX(64,C599)))),1,0),0))</f>
      </c>
      <c r="N599" s="504">
        <f>IF(B599="","",IFERROR(IF(AND(COUNTIF($A$100:$A$399,B599)=1,INDEX($R$100:$R$399,MATCH(B599,$A$100:$A$399,0))="OK",D599&gt;0,ISNUMBER(E599),M599=1,SUMIF($B$430:$B$729,B599,$D$430:$D$729)&lt;=INDEX($E$100:$E$399,MATCH(B599,$A$100:$A$399,0))),"OK","확인: 정산연결"),"확인: 정산연결"))</f>
      </c>
      <c r="O599" s="526">
        <f>IF(N599="OK",D599,0)</f>
        <v>0</v>
      </c>
    </row>
    <row r="600" hidden="1" outlineLevel="1">
      <c r="A600" s="504">
        <f>IF(B600="","","S"&amp;ROW())</f>
      </c>
      <c r="B600" s="522" t="n"/>
      <c r="C600" s="522" t="n"/>
      <c r="D600" s="525">
        <f>IF(C600="","",IFERROR(INDEX(잔액!$Y:$Y,MAX(64,C600)),0))</f>
      </c>
      <c r="E600" s="524">
        <f>IF(C600="","",IFERROR(INDEX(잔액!$A:$A,MAX(64,C600)),""))</f>
      </c>
      <c r="F600" s="504">
        <f>IF(C600="","",IFERROR(INDEX(잔액!$C:$C,MAX(64,C600)),""))</f>
      </c>
      <c r="G600" s="504">
        <f>IF(C600="","",IF(INDEX(잔액!$K:$K,MAX(64,C600))&lt;&gt;"",INDEX(잔액!$K:$K,MAX(64,C600)),INDEX(잔액!$D:$D,MAX(64,C600))))</f>
      </c>
      <c r="H600" s="504" t="inlineStr">
        <is>
          <t>원장</t>
        </is>
      </c>
      <c r="J600" s="504">
        <f>IFERROR(INDEX($C$100:$C$399,MATCH(B600,$A$100:$A$399,0)),"")</f>
        <v>0</v>
      </c>
      <c r="K600" s="524">
        <f>IFERROR(INDEX($D$100:$D$399,MATCH(B600,$A$100:$A$399,0)),"")</f>
      </c>
      <c r="L600" s="504">
        <f>IFERROR(INDEX($S$100:$S$399,MATCH(B600,$A$100:$A$399,0)),"")</f>
        <v>0</v>
      </c>
      <c r="M600" s="504">
        <f>IF(B600="","",IFERROR(IF(OR(AND(H600="기초반영",OR(B600="U001",B600="U002",B600="U003"),C600="",E600=DATE(2026,3,1)),AND(H600="원장",C600&gt;=64,C600&lt;=500,INDEX(잔액!$I:$I,MAX(64,C600))="OK",E600=INDEX(잔액!$A:$A,MAX(64,C600)),F600=INDEX(잔액!$C:$C,MAX(64,C600)),OR(F600=J600,F600="결제대금비",AND(B600="U008",C600=223,J600="경조사비",F600="명절비"),AND(B600="U008",C600=208,J600="경조사비",F600="임시보관",SUMIF($C$430:$C$729,C600,$D$430:$D$729)&lt;=39000)),OR(COUNTIF($A$8:$A$12,F600)=1,F600="결제대금비",AND(B600="U008",C600=208,J600="경조사비",F600="임시보관",SUMIF($C$430:$C$729,C600,$D$430:$D$729)&lt;=39000)),COUNTIF($A$8:$A$12,INDEX(잔액!$D:$D,MAX(64,C600)))=0,SUMIF($C$430:$C$729,C600,$D$430:$D$729)&lt;=INDEX(잔액!$Y:$Y,MAX(64,C600)))),1,0),0))</f>
      </c>
      <c r="N600" s="504">
        <f>IF(B600="","",IFERROR(IF(AND(COUNTIF($A$100:$A$399,B600)=1,INDEX($R$100:$R$399,MATCH(B600,$A$100:$A$399,0))="OK",D600&gt;0,ISNUMBER(E600),M600=1,SUMIF($B$430:$B$729,B600,$D$430:$D$729)&lt;=INDEX($E$100:$E$399,MATCH(B600,$A$100:$A$399,0))),"OK","확인: 정산연결"),"확인: 정산연결"))</f>
      </c>
      <c r="O600" s="526">
        <f>IF(N600="OK",D600,0)</f>
        <v>0</v>
      </c>
    </row>
    <row r="601" hidden="1" outlineLevel="1">
      <c r="A601" s="504">
        <f>IF(B601="","","S"&amp;ROW())</f>
      </c>
      <c r="B601" s="522" t="n"/>
      <c r="C601" s="522" t="n"/>
      <c r="D601" s="525">
        <f>IF(C601="","",IFERROR(INDEX(잔액!$Y:$Y,MAX(64,C601)),0))</f>
      </c>
      <c r="E601" s="524">
        <f>IF(C601="","",IFERROR(INDEX(잔액!$A:$A,MAX(64,C601)),""))</f>
      </c>
      <c r="F601" s="504">
        <f>IF(C601="","",IFERROR(INDEX(잔액!$C:$C,MAX(64,C601)),""))</f>
      </c>
      <c r="G601" s="504">
        <f>IF(C601="","",IF(INDEX(잔액!$K:$K,MAX(64,C601))&lt;&gt;"",INDEX(잔액!$K:$K,MAX(64,C601)),INDEX(잔액!$D:$D,MAX(64,C601))))</f>
      </c>
      <c r="H601" s="504" t="inlineStr">
        <is>
          <t>원장</t>
        </is>
      </c>
      <c r="J601" s="504">
        <f>IFERROR(INDEX($C$100:$C$399,MATCH(B601,$A$100:$A$399,0)),"")</f>
        <v>0</v>
      </c>
      <c r="K601" s="524">
        <f>IFERROR(INDEX($D$100:$D$399,MATCH(B601,$A$100:$A$399,0)),"")</f>
      </c>
      <c r="L601" s="504">
        <f>IFERROR(INDEX($S$100:$S$399,MATCH(B601,$A$100:$A$399,0)),"")</f>
        <v>0</v>
      </c>
      <c r="M601" s="504">
        <f>IF(B601="","",IFERROR(IF(OR(AND(H601="기초반영",OR(B601="U001",B601="U002",B601="U003"),C601="",E601=DATE(2026,3,1)),AND(H601="원장",C601&gt;=64,C601&lt;=500,INDEX(잔액!$I:$I,MAX(64,C601))="OK",E601=INDEX(잔액!$A:$A,MAX(64,C601)),F601=INDEX(잔액!$C:$C,MAX(64,C601)),OR(F601=J601,F601="결제대금비",AND(B601="U008",C601=223,J601="경조사비",F601="명절비"),AND(B601="U008",C601=208,J601="경조사비",F601="임시보관",SUMIF($C$430:$C$729,C601,$D$430:$D$729)&lt;=39000)),OR(COUNTIF($A$8:$A$12,F601)=1,F601="결제대금비",AND(B601="U008",C601=208,J601="경조사비",F601="임시보관",SUMIF($C$430:$C$729,C601,$D$430:$D$729)&lt;=39000)),COUNTIF($A$8:$A$12,INDEX(잔액!$D:$D,MAX(64,C601)))=0,SUMIF($C$430:$C$729,C601,$D$430:$D$729)&lt;=INDEX(잔액!$Y:$Y,MAX(64,C601)))),1,0),0))</f>
      </c>
      <c r="N601" s="504">
        <f>IF(B601="","",IFERROR(IF(AND(COUNTIF($A$100:$A$399,B601)=1,INDEX($R$100:$R$399,MATCH(B601,$A$100:$A$399,0))="OK",D601&gt;0,ISNUMBER(E601),M601=1,SUMIF($B$430:$B$729,B601,$D$430:$D$729)&lt;=INDEX($E$100:$E$399,MATCH(B601,$A$100:$A$399,0))),"OK","확인: 정산연결"),"확인: 정산연결"))</f>
      </c>
      <c r="O601" s="526">
        <f>IF(N601="OK",D601,0)</f>
        <v>0</v>
      </c>
    </row>
    <row r="602" hidden="1" outlineLevel="1">
      <c r="A602" s="504">
        <f>IF(B602="","","S"&amp;ROW())</f>
      </c>
      <c r="B602" s="522" t="n"/>
      <c r="C602" s="522" t="n"/>
      <c r="D602" s="525">
        <f>IF(C602="","",IFERROR(INDEX(잔액!$Y:$Y,MAX(64,C602)),0))</f>
      </c>
      <c r="E602" s="524">
        <f>IF(C602="","",IFERROR(INDEX(잔액!$A:$A,MAX(64,C602)),""))</f>
      </c>
      <c r="F602" s="504">
        <f>IF(C602="","",IFERROR(INDEX(잔액!$C:$C,MAX(64,C602)),""))</f>
      </c>
      <c r="G602" s="504">
        <f>IF(C602="","",IF(INDEX(잔액!$K:$K,MAX(64,C602))&lt;&gt;"",INDEX(잔액!$K:$K,MAX(64,C602)),INDEX(잔액!$D:$D,MAX(64,C602))))</f>
      </c>
      <c r="H602" s="504" t="inlineStr">
        <is>
          <t>원장</t>
        </is>
      </c>
      <c r="J602" s="504">
        <f>IFERROR(INDEX($C$100:$C$399,MATCH(B602,$A$100:$A$399,0)),"")</f>
        <v>0</v>
      </c>
      <c r="K602" s="524">
        <f>IFERROR(INDEX($D$100:$D$399,MATCH(B602,$A$100:$A$399,0)),"")</f>
      </c>
      <c r="L602" s="504">
        <f>IFERROR(INDEX($S$100:$S$399,MATCH(B602,$A$100:$A$399,0)),"")</f>
        <v>0</v>
      </c>
      <c r="M602" s="504">
        <f>IF(B602="","",IFERROR(IF(OR(AND(H602="기초반영",OR(B602="U001",B602="U002",B602="U003"),C602="",E602=DATE(2026,3,1)),AND(H602="원장",C602&gt;=64,C602&lt;=500,INDEX(잔액!$I:$I,MAX(64,C602))="OK",E602=INDEX(잔액!$A:$A,MAX(64,C602)),F602=INDEX(잔액!$C:$C,MAX(64,C602)),OR(F602=J602,F602="결제대금비",AND(B602="U008",C602=223,J602="경조사비",F602="명절비"),AND(B602="U008",C602=208,J602="경조사비",F602="임시보관",SUMIF($C$430:$C$729,C602,$D$430:$D$729)&lt;=39000)),OR(COUNTIF($A$8:$A$12,F602)=1,F602="결제대금비",AND(B602="U008",C602=208,J602="경조사비",F602="임시보관",SUMIF($C$430:$C$729,C602,$D$430:$D$729)&lt;=39000)),COUNTIF($A$8:$A$12,INDEX(잔액!$D:$D,MAX(64,C602)))=0,SUMIF($C$430:$C$729,C602,$D$430:$D$729)&lt;=INDEX(잔액!$Y:$Y,MAX(64,C602)))),1,0),0))</f>
      </c>
      <c r="N602" s="504">
        <f>IF(B602="","",IFERROR(IF(AND(COUNTIF($A$100:$A$399,B602)=1,INDEX($R$100:$R$399,MATCH(B602,$A$100:$A$399,0))="OK",D602&gt;0,ISNUMBER(E602),M602=1,SUMIF($B$430:$B$729,B602,$D$430:$D$729)&lt;=INDEX($E$100:$E$399,MATCH(B602,$A$100:$A$399,0))),"OK","확인: 정산연결"),"확인: 정산연결"))</f>
      </c>
      <c r="O602" s="526">
        <f>IF(N602="OK",D602,0)</f>
        <v>0</v>
      </c>
    </row>
    <row r="603" hidden="1" outlineLevel="1">
      <c r="A603" s="504">
        <f>IF(B603="","","S"&amp;ROW())</f>
      </c>
      <c r="B603" s="522" t="n"/>
      <c r="C603" s="522" t="n"/>
      <c r="D603" s="525">
        <f>IF(C603="","",IFERROR(INDEX(잔액!$Y:$Y,MAX(64,C603)),0))</f>
      </c>
      <c r="E603" s="524">
        <f>IF(C603="","",IFERROR(INDEX(잔액!$A:$A,MAX(64,C603)),""))</f>
      </c>
      <c r="F603" s="504">
        <f>IF(C603="","",IFERROR(INDEX(잔액!$C:$C,MAX(64,C603)),""))</f>
      </c>
      <c r="G603" s="504">
        <f>IF(C603="","",IF(INDEX(잔액!$K:$K,MAX(64,C603))&lt;&gt;"",INDEX(잔액!$K:$K,MAX(64,C603)),INDEX(잔액!$D:$D,MAX(64,C603))))</f>
      </c>
      <c r="H603" s="504" t="inlineStr">
        <is>
          <t>원장</t>
        </is>
      </c>
      <c r="J603" s="504">
        <f>IFERROR(INDEX($C$100:$C$399,MATCH(B603,$A$100:$A$399,0)),"")</f>
        <v>0</v>
      </c>
      <c r="K603" s="524">
        <f>IFERROR(INDEX($D$100:$D$399,MATCH(B603,$A$100:$A$399,0)),"")</f>
      </c>
      <c r="L603" s="504">
        <f>IFERROR(INDEX($S$100:$S$399,MATCH(B603,$A$100:$A$399,0)),"")</f>
        <v>0</v>
      </c>
      <c r="M603" s="504">
        <f>IF(B603="","",IFERROR(IF(OR(AND(H603="기초반영",OR(B603="U001",B603="U002",B603="U003"),C603="",E603=DATE(2026,3,1)),AND(H603="원장",C603&gt;=64,C603&lt;=500,INDEX(잔액!$I:$I,MAX(64,C603))="OK",E603=INDEX(잔액!$A:$A,MAX(64,C603)),F603=INDEX(잔액!$C:$C,MAX(64,C603)),OR(F603=J603,F603="결제대금비",AND(B603="U008",C603=223,J603="경조사비",F603="명절비"),AND(B603="U008",C603=208,J603="경조사비",F603="임시보관",SUMIF($C$430:$C$729,C603,$D$430:$D$729)&lt;=39000)),OR(COUNTIF($A$8:$A$12,F603)=1,F603="결제대금비",AND(B603="U008",C603=208,J603="경조사비",F603="임시보관",SUMIF($C$430:$C$729,C603,$D$430:$D$729)&lt;=39000)),COUNTIF($A$8:$A$12,INDEX(잔액!$D:$D,MAX(64,C603)))=0,SUMIF($C$430:$C$729,C603,$D$430:$D$729)&lt;=INDEX(잔액!$Y:$Y,MAX(64,C603)))),1,0),0))</f>
      </c>
      <c r="N603" s="504">
        <f>IF(B603="","",IFERROR(IF(AND(COUNTIF($A$100:$A$399,B603)=1,INDEX($R$100:$R$399,MATCH(B603,$A$100:$A$399,0))="OK",D603&gt;0,ISNUMBER(E603),M603=1,SUMIF($B$430:$B$729,B603,$D$430:$D$729)&lt;=INDEX($E$100:$E$399,MATCH(B603,$A$100:$A$399,0))),"OK","확인: 정산연결"),"확인: 정산연결"))</f>
      </c>
      <c r="O603" s="526">
        <f>IF(N603="OK",D603,0)</f>
        <v>0</v>
      </c>
    </row>
    <row r="604" hidden="1" outlineLevel="1">
      <c r="A604" s="504">
        <f>IF(B604="","","S"&amp;ROW())</f>
      </c>
      <c r="B604" s="522" t="n"/>
      <c r="C604" s="522" t="n"/>
      <c r="D604" s="525">
        <f>IF(C604="","",IFERROR(INDEX(잔액!$Y:$Y,MAX(64,C604)),0))</f>
      </c>
      <c r="E604" s="524">
        <f>IF(C604="","",IFERROR(INDEX(잔액!$A:$A,MAX(64,C604)),""))</f>
      </c>
      <c r="F604" s="504">
        <f>IF(C604="","",IFERROR(INDEX(잔액!$C:$C,MAX(64,C604)),""))</f>
      </c>
      <c r="G604" s="504">
        <f>IF(C604="","",IF(INDEX(잔액!$K:$K,MAX(64,C604))&lt;&gt;"",INDEX(잔액!$K:$K,MAX(64,C604)),INDEX(잔액!$D:$D,MAX(64,C604))))</f>
      </c>
      <c r="H604" s="504" t="inlineStr">
        <is>
          <t>원장</t>
        </is>
      </c>
      <c r="J604" s="504">
        <f>IFERROR(INDEX($C$100:$C$399,MATCH(B604,$A$100:$A$399,0)),"")</f>
        <v>0</v>
      </c>
      <c r="K604" s="524">
        <f>IFERROR(INDEX($D$100:$D$399,MATCH(B604,$A$100:$A$399,0)),"")</f>
      </c>
      <c r="L604" s="504">
        <f>IFERROR(INDEX($S$100:$S$399,MATCH(B604,$A$100:$A$399,0)),"")</f>
        <v>0</v>
      </c>
      <c r="M604" s="504">
        <f>IF(B604="","",IFERROR(IF(OR(AND(H604="기초반영",OR(B604="U001",B604="U002",B604="U003"),C604="",E604=DATE(2026,3,1)),AND(H604="원장",C604&gt;=64,C604&lt;=500,INDEX(잔액!$I:$I,MAX(64,C604))="OK",E604=INDEX(잔액!$A:$A,MAX(64,C604)),F604=INDEX(잔액!$C:$C,MAX(64,C604)),OR(F604=J604,F604="결제대금비",AND(B604="U008",C604=223,J604="경조사비",F604="명절비"),AND(B604="U008",C604=208,J604="경조사비",F604="임시보관",SUMIF($C$430:$C$729,C604,$D$430:$D$729)&lt;=39000)),OR(COUNTIF($A$8:$A$12,F604)=1,F604="결제대금비",AND(B604="U008",C604=208,J604="경조사비",F604="임시보관",SUMIF($C$430:$C$729,C604,$D$430:$D$729)&lt;=39000)),COUNTIF($A$8:$A$12,INDEX(잔액!$D:$D,MAX(64,C604)))=0,SUMIF($C$430:$C$729,C604,$D$430:$D$729)&lt;=INDEX(잔액!$Y:$Y,MAX(64,C604)))),1,0),0))</f>
      </c>
      <c r="N604" s="504">
        <f>IF(B604="","",IFERROR(IF(AND(COUNTIF($A$100:$A$399,B604)=1,INDEX($R$100:$R$399,MATCH(B604,$A$100:$A$399,0))="OK",D604&gt;0,ISNUMBER(E604),M604=1,SUMIF($B$430:$B$729,B604,$D$430:$D$729)&lt;=INDEX($E$100:$E$399,MATCH(B604,$A$100:$A$399,0))),"OK","확인: 정산연결"),"확인: 정산연결"))</f>
      </c>
      <c r="O604" s="526">
        <f>IF(N604="OK",D604,0)</f>
        <v>0</v>
      </c>
    </row>
    <row r="605" hidden="1" outlineLevel="1">
      <c r="A605" s="504">
        <f>IF(B605="","","S"&amp;ROW())</f>
      </c>
      <c r="B605" s="522" t="n"/>
      <c r="C605" s="522" t="n"/>
      <c r="D605" s="525">
        <f>IF(C605="","",IFERROR(INDEX(잔액!$Y:$Y,MAX(64,C605)),0))</f>
      </c>
      <c r="E605" s="524">
        <f>IF(C605="","",IFERROR(INDEX(잔액!$A:$A,MAX(64,C605)),""))</f>
      </c>
      <c r="F605" s="504">
        <f>IF(C605="","",IFERROR(INDEX(잔액!$C:$C,MAX(64,C605)),""))</f>
      </c>
      <c r="G605" s="504">
        <f>IF(C605="","",IF(INDEX(잔액!$K:$K,MAX(64,C605))&lt;&gt;"",INDEX(잔액!$K:$K,MAX(64,C605)),INDEX(잔액!$D:$D,MAX(64,C605))))</f>
      </c>
      <c r="H605" s="504" t="inlineStr">
        <is>
          <t>원장</t>
        </is>
      </c>
      <c r="J605" s="504">
        <f>IFERROR(INDEX($C$100:$C$399,MATCH(B605,$A$100:$A$399,0)),"")</f>
        <v>0</v>
      </c>
      <c r="K605" s="524">
        <f>IFERROR(INDEX($D$100:$D$399,MATCH(B605,$A$100:$A$399,0)),"")</f>
      </c>
      <c r="L605" s="504">
        <f>IFERROR(INDEX($S$100:$S$399,MATCH(B605,$A$100:$A$399,0)),"")</f>
        <v>0</v>
      </c>
      <c r="M605" s="504">
        <f>IF(B605="","",IFERROR(IF(OR(AND(H605="기초반영",OR(B605="U001",B605="U002",B605="U003"),C605="",E605=DATE(2026,3,1)),AND(H605="원장",C605&gt;=64,C605&lt;=500,INDEX(잔액!$I:$I,MAX(64,C605))="OK",E605=INDEX(잔액!$A:$A,MAX(64,C605)),F605=INDEX(잔액!$C:$C,MAX(64,C605)),OR(F605=J605,F605="결제대금비",AND(B605="U008",C605=223,J605="경조사비",F605="명절비"),AND(B605="U008",C605=208,J605="경조사비",F605="임시보관",SUMIF($C$430:$C$729,C605,$D$430:$D$729)&lt;=39000)),OR(COUNTIF($A$8:$A$12,F605)=1,F605="결제대금비",AND(B605="U008",C605=208,J605="경조사비",F605="임시보관",SUMIF($C$430:$C$729,C605,$D$430:$D$729)&lt;=39000)),COUNTIF($A$8:$A$12,INDEX(잔액!$D:$D,MAX(64,C605)))=0,SUMIF($C$430:$C$729,C605,$D$430:$D$729)&lt;=INDEX(잔액!$Y:$Y,MAX(64,C605)))),1,0),0))</f>
      </c>
      <c r="N605" s="504">
        <f>IF(B605="","",IFERROR(IF(AND(COUNTIF($A$100:$A$399,B605)=1,INDEX($R$100:$R$399,MATCH(B605,$A$100:$A$399,0))="OK",D605&gt;0,ISNUMBER(E605),M605=1,SUMIF($B$430:$B$729,B605,$D$430:$D$729)&lt;=INDEX($E$100:$E$399,MATCH(B605,$A$100:$A$399,0))),"OK","확인: 정산연결"),"확인: 정산연결"))</f>
      </c>
      <c r="O605" s="526">
        <f>IF(N605="OK",D605,0)</f>
        <v>0</v>
      </c>
    </row>
    <row r="606" hidden="1" outlineLevel="1">
      <c r="A606" s="504">
        <f>IF(B606="","","S"&amp;ROW())</f>
      </c>
      <c r="B606" s="522" t="n"/>
      <c r="C606" s="522" t="n"/>
      <c r="D606" s="525">
        <f>IF(C606="","",IFERROR(INDEX(잔액!$Y:$Y,MAX(64,C606)),0))</f>
      </c>
      <c r="E606" s="524">
        <f>IF(C606="","",IFERROR(INDEX(잔액!$A:$A,MAX(64,C606)),""))</f>
      </c>
      <c r="F606" s="504">
        <f>IF(C606="","",IFERROR(INDEX(잔액!$C:$C,MAX(64,C606)),""))</f>
      </c>
      <c r="G606" s="504">
        <f>IF(C606="","",IF(INDEX(잔액!$K:$K,MAX(64,C606))&lt;&gt;"",INDEX(잔액!$K:$K,MAX(64,C606)),INDEX(잔액!$D:$D,MAX(64,C606))))</f>
      </c>
      <c r="H606" s="504" t="inlineStr">
        <is>
          <t>원장</t>
        </is>
      </c>
      <c r="J606" s="504">
        <f>IFERROR(INDEX($C$100:$C$399,MATCH(B606,$A$100:$A$399,0)),"")</f>
        <v>0</v>
      </c>
      <c r="K606" s="524">
        <f>IFERROR(INDEX($D$100:$D$399,MATCH(B606,$A$100:$A$399,0)),"")</f>
      </c>
      <c r="L606" s="504">
        <f>IFERROR(INDEX($S$100:$S$399,MATCH(B606,$A$100:$A$399,0)),"")</f>
        <v>0</v>
      </c>
      <c r="M606" s="504">
        <f>IF(B606="","",IFERROR(IF(OR(AND(H606="기초반영",OR(B606="U001",B606="U002",B606="U003"),C606="",E606=DATE(2026,3,1)),AND(H606="원장",C606&gt;=64,C606&lt;=500,INDEX(잔액!$I:$I,MAX(64,C606))="OK",E606=INDEX(잔액!$A:$A,MAX(64,C606)),F606=INDEX(잔액!$C:$C,MAX(64,C606)),OR(F606=J606,F606="결제대금비",AND(B606="U008",C606=223,J606="경조사비",F606="명절비"),AND(B606="U008",C606=208,J606="경조사비",F606="임시보관",SUMIF($C$430:$C$729,C606,$D$430:$D$729)&lt;=39000)),OR(COUNTIF($A$8:$A$12,F606)=1,F606="결제대금비",AND(B606="U008",C606=208,J606="경조사비",F606="임시보관",SUMIF($C$430:$C$729,C606,$D$430:$D$729)&lt;=39000)),COUNTIF($A$8:$A$12,INDEX(잔액!$D:$D,MAX(64,C606)))=0,SUMIF($C$430:$C$729,C606,$D$430:$D$729)&lt;=INDEX(잔액!$Y:$Y,MAX(64,C606)))),1,0),0))</f>
      </c>
      <c r="N606" s="504">
        <f>IF(B606="","",IFERROR(IF(AND(COUNTIF($A$100:$A$399,B606)=1,INDEX($R$100:$R$399,MATCH(B606,$A$100:$A$399,0))="OK",D606&gt;0,ISNUMBER(E606),M606=1,SUMIF($B$430:$B$729,B606,$D$430:$D$729)&lt;=INDEX($E$100:$E$399,MATCH(B606,$A$100:$A$399,0))),"OK","확인: 정산연결"),"확인: 정산연결"))</f>
      </c>
      <c r="O606" s="526">
        <f>IF(N606="OK",D606,0)</f>
        <v>0</v>
      </c>
    </row>
    <row r="607" hidden="1" outlineLevel="1">
      <c r="A607" s="504">
        <f>IF(B607="","","S"&amp;ROW())</f>
      </c>
      <c r="B607" s="522" t="n"/>
      <c r="C607" s="522" t="n"/>
      <c r="D607" s="525">
        <f>IF(C607="","",IFERROR(INDEX(잔액!$Y:$Y,MAX(64,C607)),0))</f>
      </c>
      <c r="E607" s="524">
        <f>IF(C607="","",IFERROR(INDEX(잔액!$A:$A,MAX(64,C607)),""))</f>
      </c>
      <c r="F607" s="504">
        <f>IF(C607="","",IFERROR(INDEX(잔액!$C:$C,MAX(64,C607)),""))</f>
      </c>
      <c r="G607" s="504">
        <f>IF(C607="","",IF(INDEX(잔액!$K:$K,MAX(64,C607))&lt;&gt;"",INDEX(잔액!$K:$K,MAX(64,C607)),INDEX(잔액!$D:$D,MAX(64,C607))))</f>
      </c>
      <c r="H607" s="504" t="inlineStr">
        <is>
          <t>원장</t>
        </is>
      </c>
      <c r="J607" s="504">
        <f>IFERROR(INDEX($C$100:$C$399,MATCH(B607,$A$100:$A$399,0)),"")</f>
        <v>0</v>
      </c>
      <c r="K607" s="524">
        <f>IFERROR(INDEX($D$100:$D$399,MATCH(B607,$A$100:$A$399,0)),"")</f>
      </c>
      <c r="L607" s="504">
        <f>IFERROR(INDEX($S$100:$S$399,MATCH(B607,$A$100:$A$399,0)),"")</f>
        <v>0</v>
      </c>
      <c r="M607" s="504">
        <f>IF(B607="","",IFERROR(IF(OR(AND(H607="기초반영",OR(B607="U001",B607="U002",B607="U003"),C607="",E607=DATE(2026,3,1)),AND(H607="원장",C607&gt;=64,C607&lt;=500,INDEX(잔액!$I:$I,MAX(64,C607))="OK",E607=INDEX(잔액!$A:$A,MAX(64,C607)),F607=INDEX(잔액!$C:$C,MAX(64,C607)),OR(F607=J607,F607="결제대금비",AND(B607="U008",C607=223,J607="경조사비",F607="명절비"),AND(B607="U008",C607=208,J607="경조사비",F607="임시보관",SUMIF($C$430:$C$729,C607,$D$430:$D$729)&lt;=39000)),OR(COUNTIF($A$8:$A$12,F607)=1,F607="결제대금비",AND(B607="U008",C607=208,J607="경조사비",F607="임시보관",SUMIF($C$430:$C$729,C607,$D$430:$D$729)&lt;=39000)),COUNTIF($A$8:$A$12,INDEX(잔액!$D:$D,MAX(64,C607)))=0,SUMIF($C$430:$C$729,C607,$D$430:$D$729)&lt;=INDEX(잔액!$Y:$Y,MAX(64,C607)))),1,0),0))</f>
      </c>
      <c r="N607" s="504">
        <f>IF(B607="","",IFERROR(IF(AND(COUNTIF($A$100:$A$399,B607)=1,INDEX($R$100:$R$399,MATCH(B607,$A$100:$A$399,0))="OK",D607&gt;0,ISNUMBER(E607),M607=1,SUMIF($B$430:$B$729,B607,$D$430:$D$729)&lt;=INDEX($E$100:$E$399,MATCH(B607,$A$100:$A$399,0))),"OK","확인: 정산연결"),"확인: 정산연결"))</f>
      </c>
      <c r="O607" s="526">
        <f>IF(N607="OK",D607,0)</f>
        <v>0</v>
      </c>
    </row>
    <row r="608" hidden="1" outlineLevel="1">
      <c r="A608" s="504">
        <f>IF(B608="","","S"&amp;ROW())</f>
      </c>
      <c r="B608" s="522" t="n"/>
      <c r="C608" s="522" t="n"/>
      <c r="D608" s="525">
        <f>IF(C608="","",IFERROR(INDEX(잔액!$Y:$Y,MAX(64,C608)),0))</f>
      </c>
      <c r="E608" s="524">
        <f>IF(C608="","",IFERROR(INDEX(잔액!$A:$A,MAX(64,C608)),""))</f>
      </c>
      <c r="F608" s="504">
        <f>IF(C608="","",IFERROR(INDEX(잔액!$C:$C,MAX(64,C608)),""))</f>
      </c>
      <c r="G608" s="504">
        <f>IF(C608="","",IF(INDEX(잔액!$K:$K,MAX(64,C608))&lt;&gt;"",INDEX(잔액!$K:$K,MAX(64,C608)),INDEX(잔액!$D:$D,MAX(64,C608))))</f>
      </c>
      <c r="H608" s="504" t="inlineStr">
        <is>
          <t>원장</t>
        </is>
      </c>
      <c r="J608" s="504">
        <f>IFERROR(INDEX($C$100:$C$399,MATCH(B608,$A$100:$A$399,0)),"")</f>
        <v>0</v>
      </c>
      <c r="K608" s="524">
        <f>IFERROR(INDEX($D$100:$D$399,MATCH(B608,$A$100:$A$399,0)),"")</f>
      </c>
      <c r="L608" s="504">
        <f>IFERROR(INDEX($S$100:$S$399,MATCH(B608,$A$100:$A$399,0)),"")</f>
        <v>0</v>
      </c>
      <c r="M608" s="504">
        <f>IF(B608="","",IFERROR(IF(OR(AND(H608="기초반영",OR(B608="U001",B608="U002",B608="U003"),C608="",E608=DATE(2026,3,1)),AND(H608="원장",C608&gt;=64,C608&lt;=500,INDEX(잔액!$I:$I,MAX(64,C608))="OK",E608=INDEX(잔액!$A:$A,MAX(64,C608)),F608=INDEX(잔액!$C:$C,MAX(64,C608)),OR(F608=J608,F608="결제대금비",AND(B608="U008",C608=223,J608="경조사비",F608="명절비"),AND(B608="U008",C608=208,J608="경조사비",F608="임시보관",SUMIF($C$430:$C$729,C608,$D$430:$D$729)&lt;=39000)),OR(COUNTIF($A$8:$A$12,F608)=1,F608="결제대금비",AND(B608="U008",C608=208,J608="경조사비",F608="임시보관",SUMIF($C$430:$C$729,C608,$D$430:$D$729)&lt;=39000)),COUNTIF($A$8:$A$12,INDEX(잔액!$D:$D,MAX(64,C608)))=0,SUMIF($C$430:$C$729,C608,$D$430:$D$729)&lt;=INDEX(잔액!$Y:$Y,MAX(64,C608)))),1,0),0))</f>
      </c>
      <c r="N608" s="504">
        <f>IF(B608="","",IFERROR(IF(AND(COUNTIF($A$100:$A$399,B608)=1,INDEX($R$100:$R$399,MATCH(B608,$A$100:$A$399,0))="OK",D608&gt;0,ISNUMBER(E608),M608=1,SUMIF($B$430:$B$729,B608,$D$430:$D$729)&lt;=INDEX($E$100:$E$399,MATCH(B608,$A$100:$A$399,0))),"OK","확인: 정산연결"),"확인: 정산연결"))</f>
      </c>
      <c r="O608" s="526">
        <f>IF(N608="OK",D608,0)</f>
        <v>0</v>
      </c>
    </row>
    <row r="609" hidden="1" outlineLevel="1">
      <c r="A609" s="504">
        <f>IF(B609="","","S"&amp;ROW())</f>
      </c>
      <c r="B609" s="522" t="n"/>
      <c r="C609" s="522" t="n"/>
      <c r="D609" s="525">
        <f>IF(C609="","",IFERROR(INDEX(잔액!$Y:$Y,MAX(64,C609)),0))</f>
      </c>
      <c r="E609" s="524">
        <f>IF(C609="","",IFERROR(INDEX(잔액!$A:$A,MAX(64,C609)),""))</f>
      </c>
      <c r="F609" s="504">
        <f>IF(C609="","",IFERROR(INDEX(잔액!$C:$C,MAX(64,C609)),""))</f>
      </c>
      <c r="G609" s="504">
        <f>IF(C609="","",IF(INDEX(잔액!$K:$K,MAX(64,C609))&lt;&gt;"",INDEX(잔액!$K:$K,MAX(64,C609)),INDEX(잔액!$D:$D,MAX(64,C609))))</f>
      </c>
      <c r="H609" s="504" t="inlineStr">
        <is>
          <t>원장</t>
        </is>
      </c>
      <c r="J609" s="504">
        <f>IFERROR(INDEX($C$100:$C$399,MATCH(B609,$A$100:$A$399,0)),"")</f>
        <v>0</v>
      </c>
      <c r="K609" s="524">
        <f>IFERROR(INDEX($D$100:$D$399,MATCH(B609,$A$100:$A$399,0)),"")</f>
      </c>
      <c r="L609" s="504">
        <f>IFERROR(INDEX($S$100:$S$399,MATCH(B609,$A$100:$A$399,0)),"")</f>
        <v>0</v>
      </c>
      <c r="M609" s="504">
        <f>IF(B609="","",IFERROR(IF(OR(AND(H609="기초반영",OR(B609="U001",B609="U002",B609="U003"),C609="",E609=DATE(2026,3,1)),AND(H609="원장",C609&gt;=64,C609&lt;=500,INDEX(잔액!$I:$I,MAX(64,C609))="OK",E609=INDEX(잔액!$A:$A,MAX(64,C609)),F609=INDEX(잔액!$C:$C,MAX(64,C609)),OR(F609=J609,F609="결제대금비",AND(B609="U008",C609=223,J609="경조사비",F609="명절비"),AND(B609="U008",C609=208,J609="경조사비",F609="임시보관",SUMIF($C$430:$C$729,C609,$D$430:$D$729)&lt;=39000)),OR(COUNTIF($A$8:$A$12,F609)=1,F609="결제대금비",AND(B609="U008",C609=208,J609="경조사비",F609="임시보관",SUMIF($C$430:$C$729,C609,$D$430:$D$729)&lt;=39000)),COUNTIF($A$8:$A$12,INDEX(잔액!$D:$D,MAX(64,C609)))=0,SUMIF($C$430:$C$729,C609,$D$430:$D$729)&lt;=INDEX(잔액!$Y:$Y,MAX(64,C609)))),1,0),0))</f>
      </c>
      <c r="N609" s="504">
        <f>IF(B609="","",IFERROR(IF(AND(COUNTIF($A$100:$A$399,B609)=1,INDEX($R$100:$R$399,MATCH(B609,$A$100:$A$399,0))="OK",D609&gt;0,ISNUMBER(E609),M609=1,SUMIF($B$430:$B$729,B609,$D$430:$D$729)&lt;=INDEX($E$100:$E$399,MATCH(B609,$A$100:$A$399,0))),"OK","확인: 정산연결"),"확인: 정산연결"))</f>
      </c>
      <c r="O609" s="526">
        <f>IF(N609="OK",D609,0)</f>
        <v>0</v>
      </c>
    </row>
    <row r="610" hidden="1" outlineLevel="1">
      <c r="A610" s="504">
        <f>IF(B610="","","S"&amp;ROW())</f>
      </c>
      <c r="B610" s="522" t="n"/>
      <c r="C610" s="522" t="n"/>
      <c r="D610" s="525">
        <f>IF(C610="","",IFERROR(INDEX(잔액!$Y:$Y,MAX(64,C610)),0))</f>
      </c>
      <c r="E610" s="524">
        <f>IF(C610="","",IFERROR(INDEX(잔액!$A:$A,MAX(64,C610)),""))</f>
      </c>
      <c r="F610" s="504">
        <f>IF(C610="","",IFERROR(INDEX(잔액!$C:$C,MAX(64,C610)),""))</f>
      </c>
      <c r="G610" s="504">
        <f>IF(C610="","",IF(INDEX(잔액!$K:$K,MAX(64,C610))&lt;&gt;"",INDEX(잔액!$K:$K,MAX(64,C610)),INDEX(잔액!$D:$D,MAX(64,C610))))</f>
      </c>
      <c r="H610" s="504" t="inlineStr">
        <is>
          <t>원장</t>
        </is>
      </c>
      <c r="J610" s="504">
        <f>IFERROR(INDEX($C$100:$C$399,MATCH(B610,$A$100:$A$399,0)),"")</f>
        <v>0</v>
      </c>
      <c r="K610" s="524">
        <f>IFERROR(INDEX($D$100:$D$399,MATCH(B610,$A$100:$A$399,0)),"")</f>
      </c>
      <c r="L610" s="504">
        <f>IFERROR(INDEX($S$100:$S$399,MATCH(B610,$A$100:$A$399,0)),"")</f>
        <v>0</v>
      </c>
      <c r="M610" s="504">
        <f>IF(B610="","",IFERROR(IF(OR(AND(H610="기초반영",OR(B610="U001",B610="U002",B610="U003"),C610="",E610=DATE(2026,3,1)),AND(H610="원장",C610&gt;=64,C610&lt;=500,INDEX(잔액!$I:$I,MAX(64,C610))="OK",E610=INDEX(잔액!$A:$A,MAX(64,C610)),F610=INDEX(잔액!$C:$C,MAX(64,C610)),OR(F610=J610,F610="결제대금비",AND(B610="U008",C610=223,J610="경조사비",F610="명절비"),AND(B610="U008",C610=208,J610="경조사비",F610="임시보관",SUMIF($C$430:$C$729,C610,$D$430:$D$729)&lt;=39000)),OR(COUNTIF($A$8:$A$12,F610)=1,F610="결제대금비",AND(B610="U008",C610=208,J610="경조사비",F610="임시보관",SUMIF($C$430:$C$729,C610,$D$430:$D$729)&lt;=39000)),COUNTIF($A$8:$A$12,INDEX(잔액!$D:$D,MAX(64,C610)))=0,SUMIF($C$430:$C$729,C610,$D$430:$D$729)&lt;=INDEX(잔액!$Y:$Y,MAX(64,C610)))),1,0),0))</f>
      </c>
      <c r="N610" s="504">
        <f>IF(B610="","",IFERROR(IF(AND(COUNTIF($A$100:$A$399,B610)=1,INDEX($R$100:$R$399,MATCH(B610,$A$100:$A$399,0))="OK",D610&gt;0,ISNUMBER(E610),M610=1,SUMIF($B$430:$B$729,B610,$D$430:$D$729)&lt;=INDEX($E$100:$E$399,MATCH(B610,$A$100:$A$399,0))),"OK","확인: 정산연결"),"확인: 정산연결"))</f>
      </c>
      <c r="O610" s="526">
        <f>IF(N610="OK",D610,0)</f>
        <v>0</v>
      </c>
    </row>
    <row r="611" hidden="1" outlineLevel="1">
      <c r="A611" s="504">
        <f>IF(B611="","","S"&amp;ROW())</f>
      </c>
      <c r="B611" s="522" t="n"/>
      <c r="C611" s="522" t="n"/>
      <c r="D611" s="525">
        <f>IF(C611="","",IFERROR(INDEX(잔액!$Y:$Y,MAX(64,C611)),0))</f>
      </c>
      <c r="E611" s="524">
        <f>IF(C611="","",IFERROR(INDEX(잔액!$A:$A,MAX(64,C611)),""))</f>
      </c>
      <c r="F611" s="504">
        <f>IF(C611="","",IFERROR(INDEX(잔액!$C:$C,MAX(64,C611)),""))</f>
      </c>
      <c r="G611" s="504">
        <f>IF(C611="","",IF(INDEX(잔액!$K:$K,MAX(64,C611))&lt;&gt;"",INDEX(잔액!$K:$K,MAX(64,C611)),INDEX(잔액!$D:$D,MAX(64,C611))))</f>
      </c>
      <c r="H611" s="504" t="inlineStr">
        <is>
          <t>원장</t>
        </is>
      </c>
      <c r="J611" s="504">
        <f>IFERROR(INDEX($C$100:$C$399,MATCH(B611,$A$100:$A$399,0)),"")</f>
        <v>0</v>
      </c>
      <c r="K611" s="524">
        <f>IFERROR(INDEX($D$100:$D$399,MATCH(B611,$A$100:$A$399,0)),"")</f>
      </c>
      <c r="L611" s="504">
        <f>IFERROR(INDEX($S$100:$S$399,MATCH(B611,$A$100:$A$399,0)),"")</f>
        <v>0</v>
      </c>
      <c r="M611" s="504">
        <f>IF(B611="","",IFERROR(IF(OR(AND(H611="기초반영",OR(B611="U001",B611="U002",B611="U003"),C611="",E611=DATE(2026,3,1)),AND(H611="원장",C611&gt;=64,C611&lt;=500,INDEX(잔액!$I:$I,MAX(64,C611))="OK",E611=INDEX(잔액!$A:$A,MAX(64,C611)),F611=INDEX(잔액!$C:$C,MAX(64,C611)),OR(F611=J611,F611="결제대금비",AND(B611="U008",C611=223,J611="경조사비",F611="명절비"),AND(B611="U008",C611=208,J611="경조사비",F611="임시보관",SUMIF($C$430:$C$729,C611,$D$430:$D$729)&lt;=39000)),OR(COUNTIF($A$8:$A$12,F611)=1,F611="결제대금비",AND(B611="U008",C611=208,J611="경조사비",F611="임시보관",SUMIF($C$430:$C$729,C611,$D$430:$D$729)&lt;=39000)),COUNTIF($A$8:$A$12,INDEX(잔액!$D:$D,MAX(64,C611)))=0,SUMIF($C$430:$C$729,C611,$D$430:$D$729)&lt;=INDEX(잔액!$Y:$Y,MAX(64,C611)))),1,0),0))</f>
      </c>
      <c r="N611" s="504">
        <f>IF(B611="","",IFERROR(IF(AND(COUNTIF($A$100:$A$399,B611)=1,INDEX($R$100:$R$399,MATCH(B611,$A$100:$A$399,0))="OK",D611&gt;0,ISNUMBER(E611),M611=1,SUMIF($B$430:$B$729,B611,$D$430:$D$729)&lt;=INDEX($E$100:$E$399,MATCH(B611,$A$100:$A$399,0))),"OK","확인: 정산연결"),"확인: 정산연결"))</f>
      </c>
      <c r="O611" s="526">
        <f>IF(N611="OK",D611,0)</f>
        <v>0</v>
      </c>
    </row>
    <row r="612" hidden="1" outlineLevel="1">
      <c r="A612" s="504">
        <f>IF(B612="","","S"&amp;ROW())</f>
      </c>
      <c r="B612" s="522" t="n"/>
      <c r="C612" s="522" t="n"/>
      <c r="D612" s="525">
        <f>IF(C612="","",IFERROR(INDEX(잔액!$Y:$Y,MAX(64,C612)),0))</f>
      </c>
      <c r="E612" s="524">
        <f>IF(C612="","",IFERROR(INDEX(잔액!$A:$A,MAX(64,C612)),""))</f>
      </c>
      <c r="F612" s="504">
        <f>IF(C612="","",IFERROR(INDEX(잔액!$C:$C,MAX(64,C612)),""))</f>
      </c>
      <c r="G612" s="504">
        <f>IF(C612="","",IF(INDEX(잔액!$K:$K,MAX(64,C612))&lt;&gt;"",INDEX(잔액!$K:$K,MAX(64,C612)),INDEX(잔액!$D:$D,MAX(64,C612))))</f>
      </c>
      <c r="H612" s="504" t="inlineStr">
        <is>
          <t>원장</t>
        </is>
      </c>
      <c r="J612" s="504">
        <f>IFERROR(INDEX($C$100:$C$399,MATCH(B612,$A$100:$A$399,0)),"")</f>
        <v>0</v>
      </c>
      <c r="K612" s="524">
        <f>IFERROR(INDEX($D$100:$D$399,MATCH(B612,$A$100:$A$399,0)),"")</f>
      </c>
      <c r="L612" s="504">
        <f>IFERROR(INDEX($S$100:$S$399,MATCH(B612,$A$100:$A$399,0)),"")</f>
        <v>0</v>
      </c>
      <c r="M612" s="504">
        <f>IF(B612="","",IFERROR(IF(OR(AND(H612="기초반영",OR(B612="U001",B612="U002",B612="U003"),C612="",E612=DATE(2026,3,1)),AND(H612="원장",C612&gt;=64,C612&lt;=500,INDEX(잔액!$I:$I,MAX(64,C612))="OK",E612=INDEX(잔액!$A:$A,MAX(64,C612)),F612=INDEX(잔액!$C:$C,MAX(64,C612)),OR(F612=J612,F612="결제대금비",AND(B612="U008",C612=223,J612="경조사비",F612="명절비"),AND(B612="U008",C612=208,J612="경조사비",F612="임시보관",SUMIF($C$430:$C$729,C612,$D$430:$D$729)&lt;=39000)),OR(COUNTIF($A$8:$A$12,F612)=1,F612="결제대금비",AND(B612="U008",C612=208,J612="경조사비",F612="임시보관",SUMIF($C$430:$C$729,C612,$D$430:$D$729)&lt;=39000)),COUNTIF($A$8:$A$12,INDEX(잔액!$D:$D,MAX(64,C612)))=0,SUMIF($C$430:$C$729,C612,$D$430:$D$729)&lt;=INDEX(잔액!$Y:$Y,MAX(64,C612)))),1,0),0))</f>
      </c>
      <c r="N612" s="504">
        <f>IF(B612="","",IFERROR(IF(AND(COUNTIF($A$100:$A$399,B612)=1,INDEX($R$100:$R$399,MATCH(B612,$A$100:$A$399,0))="OK",D612&gt;0,ISNUMBER(E612),M612=1,SUMIF($B$430:$B$729,B612,$D$430:$D$729)&lt;=INDEX($E$100:$E$399,MATCH(B612,$A$100:$A$399,0))),"OK","확인: 정산연결"),"확인: 정산연결"))</f>
      </c>
      <c r="O612" s="526">
        <f>IF(N612="OK",D612,0)</f>
        <v>0</v>
      </c>
    </row>
    <row r="613" hidden="1" outlineLevel="1">
      <c r="A613" s="504">
        <f>IF(B613="","","S"&amp;ROW())</f>
      </c>
      <c r="B613" s="522" t="n"/>
      <c r="C613" s="522" t="n"/>
      <c r="D613" s="525">
        <f>IF(C613="","",IFERROR(INDEX(잔액!$Y:$Y,MAX(64,C613)),0))</f>
      </c>
      <c r="E613" s="524">
        <f>IF(C613="","",IFERROR(INDEX(잔액!$A:$A,MAX(64,C613)),""))</f>
      </c>
      <c r="F613" s="504">
        <f>IF(C613="","",IFERROR(INDEX(잔액!$C:$C,MAX(64,C613)),""))</f>
      </c>
      <c r="G613" s="504">
        <f>IF(C613="","",IF(INDEX(잔액!$K:$K,MAX(64,C613))&lt;&gt;"",INDEX(잔액!$K:$K,MAX(64,C613)),INDEX(잔액!$D:$D,MAX(64,C613))))</f>
      </c>
      <c r="H613" s="504" t="inlineStr">
        <is>
          <t>원장</t>
        </is>
      </c>
      <c r="J613" s="504">
        <f>IFERROR(INDEX($C$100:$C$399,MATCH(B613,$A$100:$A$399,0)),"")</f>
        <v>0</v>
      </c>
      <c r="K613" s="524">
        <f>IFERROR(INDEX($D$100:$D$399,MATCH(B613,$A$100:$A$399,0)),"")</f>
      </c>
      <c r="L613" s="504">
        <f>IFERROR(INDEX($S$100:$S$399,MATCH(B613,$A$100:$A$399,0)),"")</f>
        <v>0</v>
      </c>
      <c r="M613" s="504">
        <f>IF(B613="","",IFERROR(IF(OR(AND(H613="기초반영",OR(B613="U001",B613="U002",B613="U003"),C613="",E613=DATE(2026,3,1)),AND(H613="원장",C613&gt;=64,C613&lt;=500,INDEX(잔액!$I:$I,MAX(64,C613))="OK",E613=INDEX(잔액!$A:$A,MAX(64,C613)),F613=INDEX(잔액!$C:$C,MAX(64,C613)),OR(F613=J613,F613="결제대금비",AND(B613="U008",C613=223,J613="경조사비",F613="명절비"),AND(B613="U008",C613=208,J613="경조사비",F613="임시보관",SUMIF($C$430:$C$729,C613,$D$430:$D$729)&lt;=39000)),OR(COUNTIF($A$8:$A$12,F613)=1,F613="결제대금비",AND(B613="U008",C613=208,J613="경조사비",F613="임시보관",SUMIF($C$430:$C$729,C613,$D$430:$D$729)&lt;=39000)),COUNTIF($A$8:$A$12,INDEX(잔액!$D:$D,MAX(64,C613)))=0,SUMIF($C$430:$C$729,C613,$D$430:$D$729)&lt;=INDEX(잔액!$Y:$Y,MAX(64,C613)))),1,0),0))</f>
      </c>
      <c r="N613" s="504">
        <f>IF(B613="","",IFERROR(IF(AND(COUNTIF($A$100:$A$399,B613)=1,INDEX($R$100:$R$399,MATCH(B613,$A$100:$A$399,0))="OK",D613&gt;0,ISNUMBER(E613),M613=1,SUMIF($B$430:$B$729,B613,$D$430:$D$729)&lt;=INDEX($E$100:$E$399,MATCH(B613,$A$100:$A$399,0))),"OK","확인: 정산연결"),"확인: 정산연결"))</f>
      </c>
      <c r="O613" s="526">
        <f>IF(N613="OK",D613,0)</f>
        <v>0</v>
      </c>
    </row>
    <row r="614" hidden="1" outlineLevel="1">
      <c r="A614" s="504">
        <f>IF(B614="","","S"&amp;ROW())</f>
      </c>
      <c r="B614" s="522" t="n"/>
      <c r="C614" s="522" t="n"/>
      <c r="D614" s="525">
        <f>IF(C614="","",IFERROR(INDEX(잔액!$Y:$Y,MAX(64,C614)),0))</f>
      </c>
      <c r="E614" s="524">
        <f>IF(C614="","",IFERROR(INDEX(잔액!$A:$A,MAX(64,C614)),""))</f>
      </c>
      <c r="F614" s="504">
        <f>IF(C614="","",IFERROR(INDEX(잔액!$C:$C,MAX(64,C614)),""))</f>
      </c>
      <c r="G614" s="504">
        <f>IF(C614="","",IF(INDEX(잔액!$K:$K,MAX(64,C614))&lt;&gt;"",INDEX(잔액!$K:$K,MAX(64,C614)),INDEX(잔액!$D:$D,MAX(64,C614))))</f>
      </c>
      <c r="H614" s="504" t="inlineStr">
        <is>
          <t>원장</t>
        </is>
      </c>
      <c r="J614" s="504">
        <f>IFERROR(INDEX($C$100:$C$399,MATCH(B614,$A$100:$A$399,0)),"")</f>
        <v>0</v>
      </c>
      <c r="K614" s="524">
        <f>IFERROR(INDEX($D$100:$D$399,MATCH(B614,$A$100:$A$399,0)),"")</f>
      </c>
      <c r="L614" s="504">
        <f>IFERROR(INDEX($S$100:$S$399,MATCH(B614,$A$100:$A$399,0)),"")</f>
        <v>0</v>
      </c>
      <c r="M614" s="504">
        <f>IF(B614="","",IFERROR(IF(OR(AND(H614="기초반영",OR(B614="U001",B614="U002",B614="U003"),C614="",E614=DATE(2026,3,1)),AND(H614="원장",C614&gt;=64,C614&lt;=500,INDEX(잔액!$I:$I,MAX(64,C614))="OK",E614=INDEX(잔액!$A:$A,MAX(64,C614)),F614=INDEX(잔액!$C:$C,MAX(64,C614)),OR(F614=J614,F614="결제대금비",AND(B614="U008",C614=223,J614="경조사비",F614="명절비"),AND(B614="U008",C614=208,J614="경조사비",F614="임시보관",SUMIF($C$430:$C$729,C614,$D$430:$D$729)&lt;=39000)),OR(COUNTIF($A$8:$A$12,F614)=1,F614="결제대금비",AND(B614="U008",C614=208,J614="경조사비",F614="임시보관",SUMIF($C$430:$C$729,C614,$D$430:$D$729)&lt;=39000)),COUNTIF($A$8:$A$12,INDEX(잔액!$D:$D,MAX(64,C614)))=0,SUMIF($C$430:$C$729,C614,$D$430:$D$729)&lt;=INDEX(잔액!$Y:$Y,MAX(64,C614)))),1,0),0))</f>
      </c>
      <c r="N614" s="504">
        <f>IF(B614="","",IFERROR(IF(AND(COUNTIF($A$100:$A$399,B614)=1,INDEX($R$100:$R$399,MATCH(B614,$A$100:$A$399,0))="OK",D614&gt;0,ISNUMBER(E614),M614=1,SUMIF($B$430:$B$729,B614,$D$430:$D$729)&lt;=INDEX($E$100:$E$399,MATCH(B614,$A$100:$A$399,0))),"OK","확인: 정산연결"),"확인: 정산연결"))</f>
      </c>
      <c r="O614" s="526">
        <f>IF(N614="OK",D614,0)</f>
        <v>0</v>
      </c>
    </row>
    <row r="615" hidden="1" outlineLevel="1">
      <c r="A615" s="504">
        <f>IF(B615="","","S"&amp;ROW())</f>
      </c>
      <c r="B615" s="522" t="n"/>
      <c r="C615" s="522" t="n"/>
      <c r="D615" s="525">
        <f>IF(C615="","",IFERROR(INDEX(잔액!$Y:$Y,MAX(64,C615)),0))</f>
      </c>
      <c r="E615" s="524">
        <f>IF(C615="","",IFERROR(INDEX(잔액!$A:$A,MAX(64,C615)),""))</f>
      </c>
      <c r="F615" s="504">
        <f>IF(C615="","",IFERROR(INDEX(잔액!$C:$C,MAX(64,C615)),""))</f>
      </c>
      <c r="G615" s="504">
        <f>IF(C615="","",IF(INDEX(잔액!$K:$K,MAX(64,C615))&lt;&gt;"",INDEX(잔액!$K:$K,MAX(64,C615)),INDEX(잔액!$D:$D,MAX(64,C615))))</f>
      </c>
      <c r="H615" s="504" t="inlineStr">
        <is>
          <t>원장</t>
        </is>
      </c>
      <c r="J615" s="504">
        <f>IFERROR(INDEX($C$100:$C$399,MATCH(B615,$A$100:$A$399,0)),"")</f>
        <v>0</v>
      </c>
      <c r="K615" s="524">
        <f>IFERROR(INDEX($D$100:$D$399,MATCH(B615,$A$100:$A$399,0)),"")</f>
      </c>
      <c r="L615" s="504">
        <f>IFERROR(INDEX($S$100:$S$399,MATCH(B615,$A$100:$A$399,0)),"")</f>
        <v>0</v>
      </c>
      <c r="M615" s="504">
        <f>IF(B615="","",IFERROR(IF(OR(AND(H615="기초반영",OR(B615="U001",B615="U002",B615="U003"),C615="",E615=DATE(2026,3,1)),AND(H615="원장",C615&gt;=64,C615&lt;=500,INDEX(잔액!$I:$I,MAX(64,C615))="OK",E615=INDEX(잔액!$A:$A,MAX(64,C615)),F615=INDEX(잔액!$C:$C,MAX(64,C615)),OR(F615=J615,F615="결제대금비",AND(B615="U008",C615=223,J615="경조사비",F615="명절비"),AND(B615="U008",C615=208,J615="경조사비",F615="임시보관",SUMIF($C$430:$C$729,C615,$D$430:$D$729)&lt;=39000)),OR(COUNTIF($A$8:$A$12,F615)=1,F615="결제대금비",AND(B615="U008",C615=208,J615="경조사비",F615="임시보관",SUMIF($C$430:$C$729,C615,$D$430:$D$729)&lt;=39000)),COUNTIF($A$8:$A$12,INDEX(잔액!$D:$D,MAX(64,C615)))=0,SUMIF($C$430:$C$729,C615,$D$430:$D$729)&lt;=INDEX(잔액!$Y:$Y,MAX(64,C615)))),1,0),0))</f>
      </c>
      <c r="N615" s="504">
        <f>IF(B615="","",IFERROR(IF(AND(COUNTIF($A$100:$A$399,B615)=1,INDEX($R$100:$R$399,MATCH(B615,$A$100:$A$399,0))="OK",D615&gt;0,ISNUMBER(E615),M615=1,SUMIF($B$430:$B$729,B615,$D$430:$D$729)&lt;=INDEX($E$100:$E$399,MATCH(B615,$A$100:$A$399,0))),"OK","확인: 정산연결"),"확인: 정산연결"))</f>
      </c>
      <c r="O615" s="526">
        <f>IF(N615="OK",D615,0)</f>
        <v>0</v>
      </c>
    </row>
    <row r="616" hidden="1" outlineLevel="1">
      <c r="A616" s="504">
        <f>IF(B616="","","S"&amp;ROW())</f>
      </c>
      <c r="B616" s="522" t="n"/>
      <c r="C616" s="522" t="n"/>
      <c r="D616" s="525">
        <f>IF(C616="","",IFERROR(INDEX(잔액!$Y:$Y,MAX(64,C616)),0))</f>
      </c>
      <c r="E616" s="524">
        <f>IF(C616="","",IFERROR(INDEX(잔액!$A:$A,MAX(64,C616)),""))</f>
      </c>
      <c r="F616" s="504">
        <f>IF(C616="","",IFERROR(INDEX(잔액!$C:$C,MAX(64,C616)),""))</f>
      </c>
      <c r="G616" s="504">
        <f>IF(C616="","",IF(INDEX(잔액!$K:$K,MAX(64,C616))&lt;&gt;"",INDEX(잔액!$K:$K,MAX(64,C616)),INDEX(잔액!$D:$D,MAX(64,C616))))</f>
      </c>
      <c r="H616" s="504" t="inlineStr">
        <is>
          <t>원장</t>
        </is>
      </c>
      <c r="J616" s="504">
        <f>IFERROR(INDEX($C$100:$C$399,MATCH(B616,$A$100:$A$399,0)),"")</f>
        <v>0</v>
      </c>
      <c r="K616" s="524">
        <f>IFERROR(INDEX($D$100:$D$399,MATCH(B616,$A$100:$A$399,0)),"")</f>
      </c>
      <c r="L616" s="504">
        <f>IFERROR(INDEX($S$100:$S$399,MATCH(B616,$A$100:$A$399,0)),"")</f>
        <v>0</v>
      </c>
      <c r="M616" s="504">
        <f>IF(B616="","",IFERROR(IF(OR(AND(H616="기초반영",OR(B616="U001",B616="U002",B616="U003"),C616="",E616=DATE(2026,3,1)),AND(H616="원장",C616&gt;=64,C616&lt;=500,INDEX(잔액!$I:$I,MAX(64,C616))="OK",E616=INDEX(잔액!$A:$A,MAX(64,C616)),F616=INDEX(잔액!$C:$C,MAX(64,C616)),OR(F616=J616,F616="결제대금비",AND(B616="U008",C616=223,J616="경조사비",F616="명절비"),AND(B616="U008",C616=208,J616="경조사비",F616="임시보관",SUMIF($C$430:$C$729,C616,$D$430:$D$729)&lt;=39000)),OR(COUNTIF($A$8:$A$12,F616)=1,F616="결제대금비",AND(B616="U008",C616=208,J616="경조사비",F616="임시보관",SUMIF($C$430:$C$729,C616,$D$430:$D$729)&lt;=39000)),COUNTIF($A$8:$A$12,INDEX(잔액!$D:$D,MAX(64,C616)))=0,SUMIF($C$430:$C$729,C616,$D$430:$D$729)&lt;=INDEX(잔액!$Y:$Y,MAX(64,C616)))),1,0),0))</f>
      </c>
      <c r="N616" s="504">
        <f>IF(B616="","",IFERROR(IF(AND(COUNTIF($A$100:$A$399,B616)=1,INDEX($R$100:$R$399,MATCH(B616,$A$100:$A$399,0))="OK",D616&gt;0,ISNUMBER(E616),M616=1,SUMIF($B$430:$B$729,B616,$D$430:$D$729)&lt;=INDEX($E$100:$E$399,MATCH(B616,$A$100:$A$399,0))),"OK","확인: 정산연결"),"확인: 정산연결"))</f>
      </c>
      <c r="O616" s="526">
        <f>IF(N616="OK",D616,0)</f>
        <v>0</v>
      </c>
    </row>
    <row r="617" hidden="1" outlineLevel="1">
      <c r="A617" s="504">
        <f>IF(B617="","","S"&amp;ROW())</f>
      </c>
      <c r="B617" s="522" t="n"/>
      <c r="C617" s="522" t="n"/>
      <c r="D617" s="525">
        <f>IF(C617="","",IFERROR(INDEX(잔액!$Y:$Y,MAX(64,C617)),0))</f>
      </c>
      <c r="E617" s="524">
        <f>IF(C617="","",IFERROR(INDEX(잔액!$A:$A,MAX(64,C617)),""))</f>
      </c>
      <c r="F617" s="504">
        <f>IF(C617="","",IFERROR(INDEX(잔액!$C:$C,MAX(64,C617)),""))</f>
      </c>
      <c r="G617" s="504">
        <f>IF(C617="","",IF(INDEX(잔액!$K:$K,MAX(64,C617))&lt;&gt;"",INDEX(잔액!$K:$K,MAX(64,C617)),INDEX(잔액!$D:$D,MAX(64,C617))))</f>
      </c>
      <c r="H617" s="504" t="inlineStr">
        <is>
          <t>원장</t>
        </is>
      </c>
      <c r="J617" s="504">
        <f>IFERROR(INDEX($C$100:$C$399,MATCH(B617,$A$100:$A$399,0)),"")</f>
        <v>0</v>
      </c>
      <c r="K617" s="524">
        <f>IFERROR(INDEX($D$100:$D$399,MATCH(B617,$A$100:$A$399,0)),"")</f>
      </c>
      <c r="L617" s="504">
        <f>IFERROR(INDEX($S$100:$S$399,MATCH(B617,$A$100:$A$399,0)),"")</f>
        <v>0</v>
      </c>
      <c r="M617" s="504">
        <f>IF(B617="","",IFERROR(IF(OR(AND(H617="기초반영",OR(B617="U001",B617="U002",B617="U003"),C617="",E617=DATE(2026,3,1)),AND(H617="원장",C617&gt;=64,C617&lt;=500,INDEX(잔액!$I:$I,MAX(64,C617))="OK",E617=INDEX(잔액!$A:$A,MAX(64,C617)),F617=INDEX(잔액!$C:$C,MAX(64,C617)),OR(F617=J617,F617="결제대금비",AND(B617="U008",C617=223,J617="경조사비",F617="명절비"),AND(B617="U008",C617=208,J617="경조사비",F617="임시보관",SUMIF($C$430:$C$729,C617,$D$430:$D$729)&lt;=39000)),OR(COUNTIF($A$8:$A$12,F617)=1,F617="결제대금비",AND(B617="U008",C617=208,J617="경조사비",F617="임시보관",SUMIF($C$430:$C$729,C617,$D$430:$D$729)&lt;=39000)),COUNTIF($A$8:$A$12,INDEX(잔액!$D:$D,MAX(64,C617)))=0,SUMIF($C$430:$C$729,C617,$D$430:$D$729)&lt;=INDEX(잔액!$Y:$Y,MAX(64,C617)))),1,0),0))</f>
      </c>
      <c r="N617" s="504">
        <f>IF(B617="","",IFERROR(IF(AND(COUNTIF($A$100:$A$399,B617)=1,INDEX($R$100:$R$399,MATCH(B617,$A$100:$A$399,0))="OK",D617&gt;0,ISNUMBER(E617),M617=1,SUMIF($B$430:$B$729,B617,$D$430:$D$729)&lt;=INDEX($E$100:$E$399,MATCH(B617,$A$100:$A$399,0))),"OK","확인: 정산연결"),"확인: 정산연결"))</f>
      </c>
      <c r="O617" s="526">
        <f>IF(N617="OK",D617,0)</f>
        <v>0</v>
      </c>
    </row>
    <row r="618" hidden="1" outlineLevel="1">
      <c r="A618" s="504">
        <f>IF(B618="","","S"&amp;ROW())</f>
      </c>
      <c r="B618" s="522" t="n"/>
      <c r="C618" s="522" t="n"/>
      <c r="D618" s="525">
        <f>IF(C618="","",IFERROR(INDEX(잔액!$Y:$Y,MAX(64,C618)),0))</f>
      </c>
      <c r="E618" s="524">
        <f>IF(C618="","",IFERROR(INDEX(잔액!$A:$A,MAX(64,C618)),""))</f>
      </c>
      <c r="F618" s="504">
        <f>IF(C618="","",IFERROR(INDEX(잔액!$C:$C,MAX(64,C618)),""))</f>
      </c>
      <c r="G618" s="504">
        <f>IF(C618="","",IF(INDEX(잔액!$K:$K,MAX(64,C618))&lt;&gt;"",INDEX(잔액!$K:$K,MAX(64,C618)),INDEX(잔액!$D:$D,MAX(64,C618))))</f>
      </c>
      <c r="H618" s="504" t="inlineStr">
        <is>
          <t>원장</t>
        </is>
      </c>
      <c r="J618" s="504">
        <f>IFERROR(INDEX($C$100:$C$399,MATCH(B618,$A$100:$A$399,0)),"")</f>
        <v>0</v>
      </c>
      <c r="K618" s="524">
        <f>IFERROR(INDEX($D$100:$D$399,MATCH(B618,$A$100:$A$399,0)),"")</f>
      </c>
      <c r="L618" s="504">
        <f>IFERROR(INDEX($S$100:$S$399,MATCH(B618,$A$100:$A$399,0)),"")</f>
        <v>0</v>
      </c>
      <c r="M618" s="504">
        <f>IF(B618="","",IFERROR(IF(OR(AND(H618="기초반영",OR(B618="U001",B618="U002",B618="U003"),C618="",E618=DATE(2026,3,1)),AND(H618="원장",C618&gt;=64,C618&lt;=500,INDEX(잔액!$I:$I,MAX(64,C618))="OK",E618=INDEX(잔액!$A:$A,MAX(64,C618)),F618=INDEX(잔액!$C:$C,MAX(64,C618)),OR(F618=J618,F618="결제대금비",AND(B618="U008",C618=223,J618="경조사비",F618="명절비"),AND(B618="U008",C618=208,J618="경조사비",F618="임시보관",SUMIF($C$430:$C$729,C618,$D$430:$D$729)&lt;=39000)),OR(COUNTIF($A$8:$A$12,F618)=1,F618="결제대금비",AND(B618="U008",C618=208,J618="경조사비",F618="임시보관",SUMIF($C$430:$C$729,C618,$D$430:$D$729)&lt;=39000)),COUNTIF($A$8:$A$12,INDEX(잔액!$D:$D,MAX(64,C618)))=0,SUMIF($C$430:$C$729,C618,$D$430:$D$729)&lt;=INDEX(잔액!$Y:$Y,MAX(64,C618)))),1,0),0))</f>
      </c>
      <c r="N618" s="504">
        <f>IF(B618="","",IFERROR(IF(AND(COUNTIF($A$100:$A$399,B618)=1,INDEX($R$100:$R$399,MATCH(B618,$A$100:$A$399,0))="OK",D618&gt;0,ISNUMBER(E618),M618=1,SUMIF($B$430:$B$729,B618,$D$430:$D$729)&lt;=INDEX($E$100:$E$399,MATCH(B618,$A$100:$A$399,0))),"OK","확인: 정산연결"),"확인: 정산연결"))</f>
      </c>
      <c r="O618" s="526">
        <f>IF(N618="OK",D618,0)</f>
        <v>0</v>
      </c>
    </row>
    <row r="619" hidden="1" outlineLevel="1">
      <c r="A619" s="504">
        <f>IF(B619="","","S"&amp;ROW())</f>
      </c>
      <c r="B619" s="522" t="n"/>
      <c r="C619" s="522" t="n"/>
      <c r="D619" s="525">
        <f>IF(C619="","",IFERROR(INDEX(잔액!$Y:$Y,MAX(64,C619)),0))</f>
      </c>
      <c r="E619" s="524">
        <f>IF(C619="","",IFERROR(INDEX(잔액!$A:$A,MAX(64,C619)),""))</f>
      </c>
      <c r="F619" s="504">
        <f>IF(C619="","",IFERROR(INDEX(잔액!$C:$C,MAX(64,C619)),""))</f>
      </c>
      <c r="G619" s="504">
        <f>IF(C619="","",IF(INDEX(잔액!$K:$K,MAX(64,C619))&lt;&gt;"",INDEX(잔액!$K:$K,MAX(64,C619)),INDEX(잔액!$D:$D,MAX(64,C619))))</f>
      </c>
      <c r="H619" s="504" t="inlineStr">
        <is>
          <t>원장</t>
        </is>
      </c>
      <c r="J619" s="504">
        <f>IFERROR(INDEX($C$100:$C$399,MATCH(B619,$A$100:$A$399,0)),"")</f>
        <v>0</v>
      </c>
      <c r="K619" s="524">
        <f>IFERROR(INDEX($D$100:$D$399,MATCH(B619,$A$100:$A$399,0)),"")</f>
      </c>
      <c r="L619" s="504">
        <f>IFERROR(INDEX($S$100:$S$399,MATCH(B619,$A$100:$A$399,0)),"")</f>
        <v>0</v>
      </c>
      <c r="M619" s="504">
        <f>IF(B619="","",IFERROR(IF(OR(AND(H619="기초반영",OR(B619="U001",B619="U002",B619="U003"),C619="",E619=DATE(2026,3,1)),AND(H619="원장",C619&gt;=64,C619&lt;=500,INDEX(잔액!$I:$I,MAX(64,C619))="OK",E619=INDEX(잔액!$A:$A,MAX(64,C619)),F619=INDEX(잔액!$C:$C,MAX(64,C619)),OR(F619=J619,F619="결제대금비",AND(B619="U008",C619=223,J619="경조사비",F619="명절비"),AND(B619="U008",C619=208,J619="경조사비",F619="임시보관",SUMIF($C$430:$C$729,C619,$D$430:$D$729)&lt;=39000)),OR(COUNTIF($A$8:$A$12,F619)=1,F619="결제대금비",AND(B619="U008",C619=208,J619="경조사비",F619="임시보관",SUMIF($C$430:$C$729,C619,$D$430:$D$729)&lt;=39000)),COUNTIF($A$8:$A$12,INDEX(잔액!$D:$D,MAX(64,C619)))=0,SUMIF($C$430:$C$729,C619,$D$430:$D$729)&lt;=INDEX(잔액!$Y:$Y,MAX(64,C619)))),1,0),0))</f>
      </c>
      <c r="N619" s="504">
        <f>IF(B619="","",IFERROR(IF(AND(COUNTIF($A$100:$A$399,B619)=1,INDEX($R$100:$R$399,MATCH(B619,$A$100:$A$399,0))="OK",D619&gt;0,ISNUMBER(E619),M619=1,SUMIF($B$430:$B$729,B619,$D$430:$D$729)&lt;=INDEX($E$100:$E$399,MATCH(B619,$A$100:$A$399,0))),"OK","확인: 정산연결"),"확인: 정산연결"))</f>
      </c>
      <c r="O619" s="526">
        <f>IF(N619="OK",D619,0)</f>
        <v>0</v>
      </c>
    </row>
    <row r="620" hidden="1" outlineLevel="1">
      <c r="A620" s="504">
        <f>IF(B620="","","S"&amp;ROW())</f>
      </c>
      <c r="B620" s="522" t="n"/>
      <c r="C620" s="522" t="n"/>
      <c r="D620" s="525">
        <f>IF(C620="","",IFERROR(INDEX(잔액!$Y:$Y,MAX(64,C620)),0))</f>
      </c>
      <c r="E620" s="524">
        <f>IF(C620="","",IFERROR(INDEX(잔액!$A:$A,MAX(64,C620)),""))</f>
      </c>
      <c r="F620" s="504">
        <f>IF(C620="","",IFERROR(INDEX(잔액!$C:$C,MAX(64,C620)),""))</f>
      </c>
      <c r="G620" s="504">
        <f>IF(C620="","",IF(INDEX(잔액!$K:$K,MAX(64,C620))&lt;&gt;"",INDEX(잔액!$K:$K,MAX(64,C620)),INDEX(잔액!$D:$D,MAX(64,C620))))</f>
      </c>
      <c r="H620" s="504" t="inlineStr">
        <is>
          <t>원장</t>
        </is>
      </c>
      <c r="J620" s="504">
        <f>IFERROR(INDEX($C$100:$C$399,MATCH(B620,$A$100:$A$399,0)),"")</f>
        <v>0</v>
      </c>
      <c r="K620" s="524">
        <f>IFERROR(INDEX($D$100:$D$399,MATCH(B620,$A$100:$A$399,0)),"")</f>
      </c>
      <c r="L620" s="504">
        <f>IFERROR(INDEX($S$100:$S$399,MATCH(B620,$A$100:$A$399,0)),"")</f>
        <v>0</v>
      </c>
      <c r="M620" s="504">
        <f>IF(B620="","",IFERROR(IF(OR(AND(H620="기초반영",OR(B620="U001",B620="U002",B620="U003"),C620="",E620=DATE(2026,3,1)),AND(H620="원장",C620&gt;=64,C620&lt;=500,INDEX(잔액!$I:$I,MAX(64,C620))="OK",E620=INDEX(잔액!$A:$A,MAX(64,C620)),F620=INDEX(잔액!$C:$C,MAX(64,C620)),OR(F620=J620,F620="결제대금비",AND(B620="U008",C620=223,J620="경조사비",F620="명절비"),AND(B620="U008",C620=208,J620="경조사비",F620="임시보관",SUMIF($C$430:$C$729,C620,$D$430:$D$729)&lt;=39000)),OR(COUNTIF($A$8:$A$12,F620)=1,F620="결제대금비",AND(B620="U008",C620=208,J620="경조사비",F620="임시보관",SUMIF($C$430:$C$729,C620,$D$430:$D$729)&lt;=39000)),COUNTIF($A$8:$A$12,INDEX(잔액!$D:$D,MAX(64,C620)))=0,SUMIF($C$430:$C$729,C620,$D$430:$D$729)&lt;=INDEX(잔액!$Y:$Y,MAX(64,C620)))),1,0),0))</f>
      </c>
      <c r="N620" s="504">
        <f>IF(B620="","",IFERROR(IF(AND(COUNTIF($A$100:$A$399,B620)=1,INDEX($R$100:$R$399,MATCH(B620,$A$100:$A$399,0))="OK",D620&gt;0,ISNUMBER(E620),M620=1,SUMIF($B$430:$B$729,B620,$D$430:$D$729)&lt;=INDEX($E$100:$E$399,MATCH(B620,$A$100:$A$399,0))),"OK","확인: 정산연결"),"확인: 정산연결"))</f>
      </c>
      <c r="O620" s="526">
        <f>IF(N620="OK",D620,0)</f>
        <v>0</v>
      </c>
    </row>
    <row r="621" hidden="1" outlineLevel="1">
      <c r="A621" s="504">
        <f>IF(B621="","","S"&amp;ROW())</f>
      </c>
      <c r="B621" s="522" t="n"/>
      <c r="C621" s="522" t="n"/>
      <c r="D621" s="525">
        <f>IF(C621="","",IFERROR(INDEX(잔액!$Y:$Y,MAX(64,C621)),0))</f>
      </c>
      <c r="E621" s="524">
        <f>IF(C621="","",IFERROR(INDEX(잔액!$A:$A,MAX(64,C621)),""))</f>
      </c>
      <c r="F621" s="504">
        <f>IF(C621="","",IFERROR(INDEX(잔액!$C:$C,MAX(64,C621)),""))</f>
      </c>
      <c r="G621" s="504">
        <f>IF(C621="","",IF(INDEX(잔액!$K:$K,MAX(64,C621))&lt;&gt;"",INDEX(잔액!$K:$K,MAX(64,C621)),INDEX(잔액!$D:$D,MAX(64,C621))))</f>
      </c>
      <c r="H621" s="504" t="inlineStr">
        <is>
          <t>원장</t>
        </is>
      </c>
      <c r="J621" s="504">
        <f>IFERROR(INDEX($C$100:$C$399,MATCH(B621,$A$100:$A$399,0)),"")</f>
        <v>0</v>
      </c>
      <c r="K621" s="524">
        <f>IFERROR(INDEX($D$100:$D$399,MATCH(B621,$A$100:$A$399,0)),"")</f>
      </c>
      <c r="L621" s="504">
        <f>IFERROR(INDEX($S$100:$S$399,MATCH(B621,$A$100:$A$399,0)),"")</f>
        <v>0</v>
      </c>
      <c r="M621" s="504">
        <f>IF(B621="","",IFERROR(IF(OR(AND(H621="기초반영",OR(B621="U001",B621="U002",B621="U003"),C621="",E621=DATE(2026,3,1)),AND(H621="원장",C621&gt;=64,C621&lt;=500,INDEX(잔액!$I:$I,MAX(64,C621))="OK",E621=INDEX(잔액!$A:$A,MAX(64,C621)),F621=INDEX(잔액!$C:$C,MAX(64,C621)),OR(F621=J621,F621="결제대금비",AND(B621="U008",C621=223,J621="경조사비",F621="명절비"),AND(B621="U008",C621=208,J621="경조사비",F621="임시보관",SUMIF($C$430:$C$729,C621,$D$430:$D$729)&lt;=39000)),OR(COUNTIF($A$8:$A$12,F621)=1,F621="결제대금비",AND(B621="U008",C621=208,J621="경조사비",F621="임시보관",SUMIF($C$430:$C$729,C621,$D$430:$D$729)&lt;=39000)),COUNTIF($A$8:$A$12,INDEX(잔액!$D:$D,MAX(64,C621)))=0,SUMIF($C$430:$C$729,C621,$D$430:$D$729)&lt;=INDEX(잔액!$Y:$Y,MAX(64,C621)))),1,0),0))</f>
      </c>
      <c r="N621" s="504">
        <f>IF(B621="","",IFERROR(IF(AND(COUNTIF($A$100:$A$399,B621)=1,INDEX($R$100:$R$399,MATCH(B621,$A$100:$A$399,0))="OK",D621&gt;0,ISNUMBER(E621),M621=1,SUMIF($B$430:$B$729,B621,$D$430:$D$729)&lt;=INDEX($E$100:$E$399,MATCH(B621,$A$100:$A$399,0))),"OK","확인: 정산연결"),"확인: 정산연결"))</f>
      </c>
      <c r="O621" s="526">
        <f>IF(N621="OK",D621,0)</f>
        <v>0</v>
      </c>
    </row>
    <row r="622" hidden="1" outlineLevel="1">
      <c r="A622" s="504">
        <f>IF(B622="","","S"&amp;ROW())</f>
      </c>
      <c r="B622" s="522" t="n"/>
      <c r="C622" s="522" t="n"/>
      <c r="D622" s="525">
        <f>IF(C622="","",IFERROR(INDEX(잔액!$Y:$Y,MAX(64,C622)),0))</f>
      </c>
      <c r="E622" s="524">
        <f>IF(C622="","",IFERROR(INDEX(잔액!$A:$A,MAX(64,C622)),""))</f>
      </c>
      <c r="F622" s="504">
        <f>IF(C622="","",IFERROR(INDEX(잔액!$C:$C,MAX(64,C622)),""))</f>
      </c>
      <c r="G622" s="504">
        <f>IF(C622="","",IF(INDEX(잔액!$K:$K,MAX(64,C622))&lt;&gt;"",INDEX(잔액!$K:$K,MAX(64,C622)),INDEX(잔액!$D:$D,MAX(64,C622))))</f>
      </c>
      <c r="H622" s="504" t="inlineStr">
        <is>
          <t>원장</t>
        </is>
      </c>
      <c r="J622" s="504">
        <f>IFERROR(INDEX($C$100:$C$399,MATCH(B622,$A$100:$A$399,0)),"")</f>
        <v>0</v>
      </c>
      <c r="K622" s="524">
        <f>IFERROR(INDEX($D$100:$D$399,MATCH(B622,$A$100:$A$399,0)),"")</f>
      </c>
      <c r="L622" s="504">
        <f>IFERROR(INDEX($S$100:$S$399,MATCH(B622,$A$100:$A$399,0)),"")</f>
        <v>0</v>
      </c>
      <c r="M622" s="504">
        <f>IF(B622="","",IFERROR(IF(OR(AND(H622="기초반영",OR(B622="U001",B622="U002",B622="U003"),C622="",E622=DATE(2026,3,1)),AND(H622="원장",C622&gt;=64,C622&lt;=500,INDEX(잔액!$I:$I,MAX(64,C622))="OK",E622=INDEX(잔액!$A:$A,MAX(64,C622)),F622=INDEX(잔액!$C:$C,MAX(64,C622)),OR(F622=J622,F622="결제대금비",AND(B622="U008",C622=223,J622="경조사비",F622="명절비"),AND(B622="U008",C622=208,J622="경조사비",F622="임시보관",SUMIF($C$430:$C$729,C622,$D$430:$D$729)&lt;=39000)),OR(COUNTIF($A$8:$A$12,F622)=1,F622="결제대금비",AND(B622="U008",C622=208,J622="경조사비",F622="임시보관",SUMIF($C$430:$C$729,C622,$D$430:$D$729)&lt;=39000)),COUNTIF($A$8:$A$12,INDEX(잔액!$D:$D,MAX(64,C622)))=0,SUMIF($C$430:$C$729,C622,$D$430:$D$729)&lt;=INDEX(잔액!$Y:$Y,MAX(64,C622)))),1,0),0))</f>
      </c>
      <c r="N622" s="504">
        <f>IF(B622="","",IFERROR(IF(AND(COUNTIF($A$100:$A$399,B622)=1,INDEX($R$100:$R$399,MATCH(B622,$A$100:$A$399,0))="OK",D622&gt;0,ISNUMBER(E622),M622=1,SUMIF($B$430:$B$729,B622,$D$430:$D$729)&lt;=INDEX($E$100:$E$399,MATCH(B622,$A$100:$A$399,0))),"OK","확인: 정산연결"),"확인: 정산연결"))</f>
      </c>
      <c r="O622" s="526">
        <f>IF(N622="OK",D622,0)</f>
        <v>0</v>
      </c>
    </row>
    <row r="623" hidden="1" outlineLevel="1">
      <c r="A623" s="504">
        <f>IF(B623="","","S"&amp;ROW())</f>
      </c>
      <c r="B623" s="522" t="n"/>
      <c r="C623" s="522" t="n"/>
      <c r="D623" s="525">
        <f>IF(C623="","",IFERROR(INDEX(잔액!$Y:$Y,MAX(64,C623)),0))</f>
      </c>
      <c r="E623" s="524">
        <f>IF(C623="","",IFERROR(INDEX(잔액!$A:$A,MAX(64,C623)),""))</f>
      </c>
      <c r="F623" s="504">
        <f>IF(C623="","",IFERROR(INDEX(잔액!$C:$C,MAX(64,C623)),""))</f>
      </c>
      <c r="G623" s="504">
        <f>IF(C623="","",IF(INDEX(잔액!$K:$K,MAX(64,C623))&lt;&gt;"",INDEX(잔액!$K:$K,MAX(64,C623)),INDEX(잔액!$D:$D,MAX(64,C623))))</f>
      </c>
      <c r="H623" s="504" t="inlineStr">
        <is>
          <t>원장</t>
        </is>
      </c>
      <c r="J623" s="504">
        <f>IFERROR(INDEX($C$100:$C$399,MATCH(B623,$A$100:$A$399,0)),"")</f>
        <v>0</v>
      </c>
      <c r="K623" s="524">
        <f>IFERROR(INDEX($D$100:$D$399,MATCH(B623,$A$100:$A$399,0)),"")</f>
      </c>
      <c r="L623" s="504">
        <f>IFERROR(INDEX($S$100:$S$399,MATCH(B623,$A$100:$A$399,0)),"")</f>
        <v>0</v>
      </c>
      <c r="M623" s="504">
        <f>IF(B623="","",IFERROR(IF(OR(AND(H623="기초반영",OR(B623="U001",B623="U002",B623="U003"),C623="",E623=DATE(2026,3,1)),AND(H623="원장",C623&gt;=64,C623&lt;=500,INDEX(잔액!$I:$I,MAX(64,C623))="OK",E623=INDEX(잔액!$A:$A,MAX(64,C623)),F623=INDEX(잔액!$C:$C,MAX(64,C623)),OR(F623=J623,F623="결제대금비",AND(B623="U008",C623=223,J623="경조사비",F623="명절비"),AND(B623="U008",C623=208,J623="경조사비",F623="임시보관",SUMIF($C$430:$C$729,C623,$D$430:$D$729)&lt;=39000)),OR(COUNTIF($A$8:$A$12,F623)=1,F623="결제대금비",AND(B623="U008",C623=208,J623="경조사비",F623="임시보관",SUMIF($C$430:$C$729,C623,$D$430:$D$729)&lt;=39000)),COUNTIF($A$8:$A$12,INDEX(잔액!$D:$D,MAX(64,C623)))=0,SUMIF($C$430:$C$729,C623,$D$430:$D$729)&lt;=INDEX(잔액!$Y:$Y,MAX(64,C623)))),1,0),0))</f>
      </c>
      <c r="N623" s="504">
        <f>IF(B623="","",IFERROR(IF(AND(COUNTIF($A$100:$A$399,B623)=1,INDEX($R$100:$R$399,MATCH(B623,$A$100:$A$399,0))="OK",D623&gt;0,ISNUMBER(E623),M623=1,SUMIF($B$430:$B$729,B623,$D$430:$D$729)&lt;=INDEX($E$100:$E$399,MATCH(B623,$A$100:$A$399,0))),"OK","확인: 정산연결"),"확인: 정산연결"))</f>
      </c>
      <c r="O623" s="526">
        <f>IF(N623="OK",D623,0)</f>
        <v>0</v>
      </c>
    </row>
    <row r="624" hidden="1" outlineLevel="1">
      <c r="A624" s="504">
        <f>IF(B624="","","S"&amp;ROW())</f>
      </c>
      <c r="B624" s="522" t="n"/>
      <c r="C624" s="522" t="n"/>
      <c r="D624" s="525">
        <f>IF(C624="","",IFERROR(INDEX(잔액!$Y:$Y,MAX(64,C624)),0))</f>
      </c>
      <c r="E624" s="524">
        <f>IF(C624="","",IFERROR(INDEX(잔액!$A:$A,MAX(64,C624)),""))</f>
      </c>
      <c r="F624" s="504">
        <f>IF(C624="","",IFERROR(INDEX(잔액!$C:$C,MAX(64,C624)),""))</f>
      </c>
      <c r="G624" s="504">
        <f>IF(C624="","",IF(INDEX(잔액!$K:$K,MAX(64,C624))&lt;&gt;"",INDEX(잔액!$K:$K,MAX(64,C624)),INDEX(잔액!$D:$D,MAX(64,C624))))</f>
      </c>
      <c r="H624" s="504" t="inlineStr">
        <is>
          <t>원장</t>
        </is>
      </c>
      <c r="J624" s="504">
        <f>IFERROR(INDEX($C$100:$C$399,MATCH(B624,$A$100:$A$399,0)),"")</f>
        <v>0</v>
      </c>
      <c r="K624" s="524">
        <f>IFERROR(INDEX($D$100:$D$399,MATCH(B624,$A$100:$A$399,0)),"")</f>
      </c>
      <c r="L624" s="504">
        <f>IFERROR(INDEX($S$100:$S$399,MATCH(B624,$A$100:$A$399,0)),"")</f>
        <v>0</v>
      </c>
      <c r="M624" s="504">
        <f>IF(B624="","",IFERROR(IF(OR(AND(H624="기초반영",OR(B624="U001",B624="U002",B624="U003"),C624="",E624=DATE(2026,3,1)),AND(H624="원장",C624&gt;=64,C624&lt;=500,INDEX(잔액!$I:$I,MAX(64,C624))="OK",E624=INDEX(잔액!$A:$A,MAX(64,C624)),F624=INDEX(잔액!$C:$C,MAX(64,C624)),OR(F624=J624,F624="결제대금비",AND(B624="U008",C624=223,J624="경조사비",F624="명절비"),AND(B624="U008",C624=208,J624="경조사비",F624="임시보관",SUMIF($C$430:$C$729,C624,$D$430:$D$729)&lt;=39000)),OR(COUNTIF($A$8:$A$12,F624)=1,F624="결제대금비",AND(B624="U008",C624=208,J624="경조사비",F624="임시보관",SUMIF($C$430:$C$729,C624,$D$430:$D$729)&lt;=39000)),COUNTIF($A$8:$A$12,INDEX(잔액!$D:$D,MAX(64,C624)))=0,SUMIF($C$430:$C$729,C624,$D$430:$D$729)&lt;=INDEX(잔액!$Y:$Y,MAX(64,C624)))),1,0),0))</f>
      </c>
      <c r="N624" s="504">
        <f>IF(B624="","",IFERROR(IF(AND(COUNTIF($A$100:$A$399,B624)=1,INDEX($R$100:$R$399,MATCH(B624,$A$100:$A$399,0))="OK",D624&gt;0,ISNUMBER(E624),M624=1,SUMIF($B$430:$B$729,B624,$D$430:$D$729)&lt;=INDEX($E$100:$E$399,MATCH(B624,$A$100:$A$399,0))),"OK","확인: 정산연결"),"확인: 정산연결"))</f>
      </c>
      <c r="O624" s="526">
        <f>IF(N624="OK",D624,0)</f>
        <v>0</v>
      </c>
    </row>
    <row r="625" hidden="1" outlineLevel="1">
      <c r="A625" s="504">
        <f>IF(B625="","","S"&amp;ROW())</f>
      </c>
      <c r="B625" s="522" t="n"/>
      <c r="C625" s="522" t="n"/>
      <c r="D625" s="525">
        <f>IF(C625="","",IFERROR(INDEX(잔액!$Y:$Y,MAX(64,C625)),0))</f>
      </c>
      <c r="E625" s="524">
        <f>IF(C625="","",IFERROR(INDEX(잔액!$A:$A,MAX(64,C625)),""))</f>
      </c>
      <c r="F625" s="504">
        <f>IF(C625="","",IFERROR(INDEX(잔액!$C:$C,MAX(64,C625)),""))</f>
      </c>
      <c r="G625" s="504">
        <f>IF(C625="","",IF(INDEX(잔액!$K:$K,MAX(64,C625))&lt;&gt;"",INDEX(잔액!$K:$K,MAX(64,C625)),INDEX(잔액!$D:$D,MAX(64,C625))))</f>
      </c>
      <c r="H625" s="504" t="inlineStr">
        <is>
          <t>원장</t>
        </is>
      </c>
      <c r="J625" s="504">
        <f>IFERROR(INDEX($C$100:$C$399,MATCH(B625,$A$100:$A$399,0)),"")</f>
        <v>0</v>
      </c>
      <c r="K625" s="524">
        <f>IFERROR(INDEX($D$100:$D$399,MATCH(B625,$A$100:$A$399,0)),"")</f>
      </c>
      <c r="L625" s="504">
        <f>IFERROR(INDEX($S$100:$S$399,MATCH(B625,$A$100:$A$399,0)),"")</f>
        <v>0</v>
      </c>
      <c r="M625" s="504">
        <f>IF(B625="","",IFERROR(IF(OR(AND(H625="기초반영",OR(B625="U001",B625="U002",B625="U003"),C625="",E625=DATE(2026,3,1)),AND(H625="원장",C625&gt;=64,C625&lt;=500,INDEX(잔액!$I:$I,MAX(64,C625))="OK",E625=INDEX(잔액!$A:$A,MAX(64,C625)),F625=INDEX(잔액!$C:$C,MAX(64,C625)),OR(F625=J625,F625="결제대금비",AND(B625="U008",C625=223,J625="경조사비",F625="명절비"),AND(B625="U008",C625=208,J625="경조사비",F625="임시보관",SUMIF($C$430:$C$729,C625,$D$430:$D$729)&lt;=39000)),OR(COUNTIF($A$8:$A$12,F625)=1,F625="결제대금비",AND(B625="U008",C625=208,J625="경조사비",F625="임시보관",SUMIF($C$430:$C$729,C625,$D$430:$D$729)&lt;=39000)),COUNTIF($A$8:$A$12,INDEX(잔액!$D:$D,MAX(64,C625)))=0,SUMIF($C$430:$C$729,C625,$D$430:$D$729)&lt;=INDEX(잔액!$Y:$Y,MAX(64,C625)))),1,0),0))</f>
      </c>
      <c r="N625" s="504">
        <f>IF(B625="","",IFERROR(IF(AND(COUNTIF($A$100:$A$399,B625)=1,INDEX($R$100:$R$399,MATCH(B625,$A$100:$A$399,0))="OK",D625&gt;0,ISNUMBER(E625),M625=1,SUMIF($B$430:$B$729,B625,$D$430:$D$729)&lt;=INDEX($E$100:$E$399,MATCH(B625,$A$100:$A$399,0))),"OK","확인: 정산연결"),"확인: 정산연결"))</f>
      </c>
      <c r="O625" s="526">
        <f>IF(N625="OK",D625,0)</f>
        <v>0</v>
      </c>
    </row>
    <row r="626" hidden="1" outlineLevel="1">
      <c r="A626" s="504">
        <f>IF(B626="","","S"&amp;ROW())</f>
      </c>
      <c r="B626" s="522" t="n"/>
      <c r="C626" s="522" t="n"/>
      <c r="D626" s="525">
        <f>IF(C626="","",IFERROR(INDEX(잔액!$Y:$Y,MAX(64,C626)),0))</f>
      </c>
      <c r="E626" s="524">
        <f>IF(C626="","",IFERROR(INDEX(잔액!$A:$A,MAX(64,C626)),""))</f>
      </c>
      <c r="F626" s="504">
        <f>IF(C626="","",IFERROR(INDEX(잔액!$C:$C,MAX(64,C626)),""))</f>
      </c>
      <c r="G626" s="504">
        <f>IF(C626="","",IF(INDEX(잔액!$K:$K,MAX(64,C626))&lt;&gt;"",INDEX(잔액!$K:$K,MAX(64,C626)),INDEX(잔액!$D:$D,MAX(64,C626))))</f>
      </c>
      <c r="H626" s="504" t="inlineStr">
        <is>
          <t>원장</t>
        </is>
      </c>
      <c r="J626" s="504">
        <f>IFERROR(INDEX($C$100:$C$399,MATCH(B626,$A$100:$A$399,0)),"")</f>
        <v>0</v>
      </c>
      <c r="K626" s="524">
        <f>IFERROR(INDEX($D$100:$D$399,MATCH(B626,$A$100:$A$399,0)),"")</f>
      </c>
      <c r="L626" s="504">
        <f>IFERROR(INDEX($S$100:$S$399,MATCH(B626,$A$100:$A$399,0)),"")</f>
        <v>0</v>
      </c>
      <c r="M626" s="504">
        <f>IF(B626="","",IFERROR(IF(OR(AND(H626="기초반영",OR(B626="U001",B626="U002",B626="U003"),C626="",E626=DATE(2026,3,1)),AND(H626="원장",C626&gt;=64,C626&lt;=500,INDEX(잔액!$I:$I,MAX(64,C626))="OK",E626=INDEX(잔액!$A:$A,MAX(64,C626)),F626=INDEX(잔액!$C:$C,MAX(64,C626)),OR(F626=J626,F626="결제대금비",AND(B626="U008",C626=223,J626="경조사비",F626="명절비"),AND(B626="U008",C626=208,J626="경조사비",F626="임시보관",SUMIF($C$430:$C$729,C626,$D$430:$D$729)&lt;=39000)),OR(COUNTIF($A$8:$A$12,F626)=1,F626="결제대금비",AND(B626="U008",C626=208,J626="경조사비",F626="임시보관",SUMIF($C$430:$C$729,C626,$D$430:$D$729)&lt;=39000)),COUNTIF($A$8:$A$12,INDEX(잔액!$D:$D,MAX(64,C626)))=0,SUMIF($C$430:$C$729,C626,$D$430:$D$729)&lt;=INDEX(잔액!$Y:$Y,MAX(64,C626)))),1,0),0))</f>
      </c>
      <c r="N626" s="504">
        <f>IF(B626="","",IFERROR(IF(AND(COUNTIF($A$100:$A$399,B626)=1,INDEX($R$100:$R$399,MATCH(B626,$A$100:$A$399,0))="OK",D626&gt;0,ISNUMBER(E626),M626=1,SUMIF($B$430:$B$729,B626,$D$430:$D$729)&lt;=INDEX($E$100:$E$399,MATCH(B626,$A$100:$A$399,0))),"OK","확인: 정산연결"),"확인: 정산연결"))</f>
      </c>
      <c r="O626" s="526">
        <f>IF(N626="OK",D626,0)</f>
        <v>0</v>
      </c>
    </row>
    <row r="627" hidden="1" outlineLevel="1">
      <c r="A627" s="504">
        <f>IF(B627="","","S"&amp;ROW())</f>
      </c>
      <c r="B627" s="522" t="n"/>
      <c r="C627" s="522" t="n"/>
      <c r="D627" s="525">
        <f>IF(C627="","",IFERROR(INDEX(잔액!$Y:$Y,MAX(64,C627)),0))</f>
      </c>
      <c r="E627" s="524">
        <f>IF(C627="","",IFERROR(INDEX(잔액!$A:$A,MAX(64,C627)),""))</f>
      </c>
      <c r="F627" s="504">
        <f>IF(C627="","",IFERROR(INDEX(잔액!$C:$C,MAX(64,C627)),""))</f>
      </c>
      <c r="G627" s="504">
        <f>IF(C627="","",IF(INDEX(잔액!$K:$K,MAX(64,C627))&lt;&gt;"",INDEX(잔액!$K:$K,MAX(64,C627)),INDEX(잔액!$D:$D,MAX(64,C627))))</f>
      </c>
      <c r="H627" s="504" t="inlineStr">
        <is>
          <t>원장</t>
        </is>
      </c>
      <c r="J627" s="504">
        <f>IFERROR(INDEX($C$100:$C$399,MATCH(B627,$A$100:$A$399,0)),"")</f>
        <v>0</v>
      </c>
      <c r="K627" s="524">
        <f>IFERROR(INDEX($D$100:$D$399,MATCH(B627,$A$100:$A$399,0)),"")</f>
      </c>
      <c r="L627" s="504">
        <f>IFERROR(INDEX($S$100:$S$399,MATCH(B627,$A$100:$A$399,0)),"")</f>
        <v>0</v>
      </c>
      <c r="M627" s="504">
        <f>IF(B627="","",IFERROR(IF(OR(AND(H627="기초반영",OR(B627="U001",B627="U002",B627="U003"),C627="",E627=DATE(2026,3,1)),AND(H627="원장",C627&gt;=64,C627&lt;=500,INDEX(잔액!$I:$I,MAX(64,C627))="OK",E627=INDEX(잔액!$A:$A,MAX(64,C627)),F627=INDEX(잔액!$C:$C,MAX(64,C627)),OR(F627=J627,F627="결제대금비",AND(B627="U008",C627=223,J627="경조사비",F627="명절비"),AND(B627="U008",C627=208,J627="경조사비",F627="임시보관",SUMIF($C$430:$C$729,C627,$D$430:$D$729)&lt;=39000)),OR(COUNTIF($A$8:$A$12,F627)=1,F627="결제대금비",AND(B627="U008",C627=208,J627="경조사비",F627="임시보관",SUMIF($C$430:$C$729,C627,$D$430:$D$729)&lt;=39000)),COUNTIF($A$8:$A$12,INDEX(잔액!$D:$D,MAX(64,C627)))=0,SUMIF($C$430:$C$729,C627,$D$430:$D$729)&lt;=INDEX(잔액!$Y:$Y,MAX(64,C627)))),1,0),0))</f>
      </c>
      <c r="N627" s="504">
        <f>IF(B627="","",IFERROR(IF(AND(COUNTIF($A$100:$A$399,B627)=1,INDEX($R$100:$R$399,MATCH(B627,$A$100:$A$399,0))="OK",D627&gt;0,ISNUMBER(E627),M627=1,SUMIF($B$430:$B$729,B627,$D$430:$D$729)&lt;=INDEX($E$100:$E$399,MATCH(B627,$A$100:$A$399,0))),"OK","확인: 정산연결"),"확인: 정산연결"))</f>
      </c>
      <c r="O627" s="526">
        <f>IF(N627="OK",D627,0)</f>
        <v>0</v>
      </c>
    </row>
    <row r="628" hidden="1" outlineLevel="1">
      <c r="A628" s="504">
        <f>IF(B628="","","S"&amp;ROW())</f>
      </c>
      <c r="B628" s="522" t="n"/>
      <c r="C628" s="522" t="n"/>
      <c r="D628" s="525">
        <f>IF(C628="","",IFERROR(INDEX(잔액!$Y:$Y,MAX(64,C628)),0))</f>
      </c>
      <c r="E628" s="524">
        <f>IF(C628="","",IFERROR(INDEX(잔액!$A:$A,MAX(64,C628)),""))</f>
      </c>
      <c r="F628" s="504">
        <f>IF(C628="","",IFERROR(INDEX(잔액!$C:$C,MAX(64,C628)),""))</f>
      </c>
      <c r="G628" s="504">
        <f>IF(C628="","",IF(INDEX(잔액!$K:$K,MAX(64,C628))&lt;&gt;"",INDEX(잔액!$K:$K,MAX(64,C628)),INDEX(잔액!$D:$D,MAX(64,C628))))</f>
      </c>
      <c r="H628" s="504" t="inlineStr">
        <is>
          <t>원장</t>
        </is>
      </c>
      <c r="J628" s="504">
        <f>IFERROR(INDEX($C$100:$C$399,MATCH(B628,$A$100:$A$399,0)),"")</f>
        <v>0</v>
      </c>
      <c r="K628" s="524">
        <f>IFERROR(INDEX($D$100:$D$399,MATCH(B628,$A$100:$A$399,0)),"")</f>
      </c>
      <c r="L628" s="504">
        <f>IFERROR(INDEX($S$100:$S$399,MATCH(B628,$A$100:$A$399,0)),"")</f>
        <v>0</v>
      </c>
      <c r="M628" s="504">
        <f>IF(B628="","",IFERROR(IF(OR(AND(H628="기초반영",OR(B628="U001",B628="U002",B628="U003"),C628="",E628=DATE(2026,3,1)),AND(H628="원장",C628&gt;=64,C628&lt;=500,INDEX(잔액!$I:$I,MAX(64,C628))="OK",E628=INDEX(잔액!$A:$A,MAX(64,C628)),F628=INDEX(잔액!$C:$C,MAX(64,C628)),OR(F628=J628,F628="결제대금비",AND(B628="U008",C628=223,J628="경조사비",F628="명절비"),AND(B628="U008",C628=208,J628="경조사비",F628="임시보관",SUMIF($C$430:$C$729,C628,$D$430:$D$729)&lt;=39000)),OR(COUNTIF($A$8:$A$12,F628)=1,F628="결제대금비",AND(B628="U008",C628=208,J628="경조사비",F628="임시보관",SUMIF($C$430:$C$729,C628,$D$430:$D$729)&lt;=39000)),COUNTIF($A$8:$A$12,INDEX(잔액!$D:$D,MAX(64,C628)))=0,SUMIF($C$430:$C$729,C628,$D$430:$D$729)&lt;=INDEX(잔액!$Y:$Y,MAX(64,C628)))),1,0),0))</f>
      </c>
      <c r="N628" s="504">
        <f>IF(B628="","",IFERROR(IF(AND(COUNTIF($A$100:$A$399,B628)=1,INDEX($R$100:$R$399,MATCH(B628,$A$100:$A$399,0))="OK",D628&gt;0,ISNUMBER(E628),M628=1,SUMIF($B$430:$B$729,B628,$D$430:$D$729)&lt;=INDEX($E$100:$E$399,MATCH(B628,$A$100:$A$399,0))),"OK","확인: 정산연결"),"확인: 정산연결"))</f>
      </c>
      <c r="O628" s="526">
        <f>IF(N628="OK",D628,0)</f>
        <v>0</v>
      </c>
    </row>
    <row r="629" hidden="1" outlineLevel="1">
      <c r="A629" s="504">
        <f>IF(B629="","","S"&amp;ROW())</f>
      </c>
      <c r="B629" s="522" t="n"/>
      <c r="C629" s="522" t="n"/>
      <c r="D629" s="525">
        <f>IF(C629="","",IFERROR(INDEX(잔액!$Y:$Y,MAX(64,C629)),0))</f>
      </c>
      <c r="E629" s="524">
        <f>IF(C629="","",IFERROR(INDEX(잔액!$A:$A,MAX(64,C629)),""))</f>
      </c>
      <c r="F629" s="504">
        <f>IF(C629="","",IFERROR(INDEX(잔액!$C:$C,MAX(64,C629)),""))</f>
      </c>
      <c r="G629" s="504">
        <f>IF(C629="","",IF(INDEX(잔액!$K:$K,MAX(64,C629))&lt;&gt;"",INDEX(잔액!$K:$K,MAX(64,C629)),INDEX(잔액!$D:$D,MAX(64,C629))))</f>
      </c>
      <c r="H629" s="504" t="inlineStr">
        <is>
          <t>원장</t>
        </is>
      </c>
      <c r="J629" s="504">
        <f>IFERROR(INDEX($C$100:$C$399,MATCH(B629,$A$100:$A$399,0)),"")</f>
        <v>0</v>
      </c>
      <c r="K629" s="524">
        <f>IFERROR(INDEX($D$100:$D$399,MATCH(B629,$A$100:$A$399,0)),"")</f>
      </c>
      <c r="L629" s="504">
        <f>IFERROR(INDEX($S$100:$S$399,MATCH(B629,$A$100:$A$399,0)),"")</f>
        <v>0</v>
      </c>
      <c r="M629" s="504">
        <f>IF(B629="","",IFERROR(IF(OR(AND(H629="기초반영",OR(B629="U001",B629="U002",B629="U003"),C629="",E629=DATE(2026,3,1)),AND(H629="원장",C629&gt;=64,C629&lt;=500,INDEX(잔액!$I:$I,MAX(64,C629))="OK",E629=INDEX(잔액!$A:$A,MAX(64,C629)),F629=INDEX(잔액!$C:$C,MAX(64,C629)),OR(F629=J629,F629="결제대금비",AND(B629="U008",C629=223,J629="경조사비",F629="명절비"),AND(B629="U008",C629=208,J629="경조사비",F629="임시보관",SUMIF($C$430:$C$729,C629,$D$430:$D$729)&lt;=39000)),OR(COUNTIF($A$8:$A$12,F629)=1,F629="결제대금비",AND(B629="U008",C629=208,J629="경조사비",F629="임시보관",SUMIF($C$430:$C$729,C629,$D$430:$D$729)&lt;=39000)),COUNTIF($A$8:$A$12,INDEX(잔액!$D:$D,MAX(64,C629)))=0,SUMIF($C$430:$C$729,C629,$D$430:$D$729)&lt;=INDEX(잔액!$Y:$Y,MAX(64,C629)))),1,0),0))</f>
      </c>
      <c r="N629" s="504">
        <f>IF(B629="","",IFERROR(IF(AND(COUNTIF($A$100:$A$399,B629)=1,INDEX($R$100:$R$399,MATCH(B629,$A$100:$A$399,0))="OK",D629&gt;0,ISNUMBER(E629),M629=1,SUMIF($B$430:$B$729,B629,$D$430:$D$729)&lt;=INDEX($E$100:$E$399,MATCH(B629,$A$100:$A$399,0))),"OK","확인: 정산연결"),"확인: 정산연결"))</f>
      </c>
      <c r="O629" s="526">
        <f>IF(N629="OK",D629,0)</f>
        <v>0</v>
      </c>
    </row>
    <row r="630" hidden="1" outlineLevel="1">
      <c r="A630" s="504">
        <f>IF(B630="","","S"&amp;ROW())</f>
      </c>
      <c r="B630" s="522" t="n"/>
      <c r="C630" s="522" t="n"/>
      <c r="D630" s="525">
        <f>IF(C630="","",IFERROR(INDEX(잔액!$Y:$Y,MAX(64,C630)),0))</f>
      </c>
      <c r="E630" s="524">
        <f>IF(C630="","",IFERROR(INDEX(잔액!$A:$A,MAX(64,C630)),""))</f>
      </c>
      <c r="F630" s="504">
        <f>IF(C630="","",IFERROR(INDEX(잔액!$C:$C,MAX(64,C630)),""))</f>
      </c>
      <c r="G630" s="504">
        <f>IF(C630="","",IF(INDEX(잔액!$K:$K,MAX(64,C630))&lt;&gt;"",INDEX(잔액!$K:$K,MAX(64,C630)),INDEX(잔액!$D:$D,MAX(64,C630))))</f>
      </c>
      <c r="H630" s="504" t="inlineStr">
        <is>
          <t>원장</t>
        </is>
      </c>
      <c r="J630" s="504">
        <f>IFERROR(INDEX($C$100:$C$399,MATCH(B630,$A$100:$A$399,0)),"")</f>
        <v>0</v>
      </c>
      <c r="K630" s="524">
        <f>IFERROR(INDEX($D$100:$D$399,MATCH(B630,$A$100:$A$399,0)),"")</f>
      </c>
      <c r="L630" s="504">
        <f>IFERROR(INDEX($S$100:$S$399,MATCH(B630,$A$100:$A$399,0)),"")</f>
        <v>0</v>
      </c>
      <c r="M630" s="504">
        <f>IF(B630="","",IFERROR(IF(OR(AND(H630="기초반영",OR(B630="U001",B630="U002",B630="U003"),C630="",E630=DATE(2026,3,1)),AND(H630="원장",C630&gt;=64,C630&lt;=500,INDEX(잔액!$I:$I,MAX(64,C630))="OK",E630=INDEX(잔액!$A:$A,MAX(64,C630)),F630=INDEX(잔액!$C:$C,MAX(64,C630)),OR(F630=J630,F630="결제대금비",AND(B630="U008",C630=223,J630="경조사비",F630="명절비"),AND(B630="U008",C630=208,J630="경조사비",F630="임시보관",SUMIF($C$430:$C$729,C630,$D$430:$D$729)&lt;=39000)),OR(COUNTIF($A$8:$A$12,F630)=1,F630="결제대금비",AND(B630="U008",C630=208,J630="경조사비",F630="임시보관",SUMIF($C$430:$C$729,C630,$D$430:$D$729)&lt;=39000)),COUNTIF($A$8:$A$12,INDEX(잔액!$D:$D,MAX(64,C630)))=0,SUMIF($C$430:$C$729,C630,$D$430:$D$729)&lt;=INDEX(잔액!$Y:$Y,MAX(64,C630)))),1,0),0))</f>
      </c>
      <c r="N630" s="504">
        <f>IF(B630="","",IFERROR(IF(AND(COUNTIF($A$100:$A$399,B630)=1,INDEX($R$100:$R$399,MATCH(B630,$A$100:$A$399,0))="OK",D630&gt;0,ISNUMBER(E630),M630=1,SUMIF($B$430:$B$729,B630,$D$430:$D$729)&lt;=INDEX($E$100:$E$399,MATCH(B630,$A$100:$A$399,0))),"OK","확인: 정산연결"),"확인: 정산연결"))</f>
      </c>
      <c r="O630" s="526">
        <f>IF(N630="OK",D630,0)</f>
        <v>0</v>
      </c>
    </row>
    <row r="631" hidden="1" outlineLevel="1">
      <c r="A631" s="504">
        <f>IF(B631="","","S"&amp;ROW())</f>
      </c>
      <c r="B631" s="522" t="n"/>
      <c r="C631" s="522" t="n"/>
      <c r="D631" s="525">
        <f>IF(C631="","",IFERROR(INDEX(잔액!$Y:$Y,MAX(64,C631)),0))</f>
      </c>
      <c r="E631" s="524">
        <f>IF(C631="","",IFERROR(INDEX(잔액!$A:$A,MAX(64,C631)),""))</f>
      </c>
      <c r="F631" s="504">
        <f>IF(C631="","",IFERROR(INDEX(잔액!$C:$C,MAX(64,C631)),""))</f>
      </c>
      <c r="G631" s="504">
        <f>IF(C631="","",IF(INDEX(잔액!$K:$K,MAX(64,C631))&lt;&gt;"",INDEX(잔액!$K:$K,MAX(64,C631)),INDEX(잔액!$D:$D,MAX(64,C631))))</f>
      </c>
      <c r="H631" s="504" t="inlineStr">
        <is>
          <t>원장</t>
        </is>
      </c>
      <c r="J631" s="504">
        <f>IFERROR(INDEX($C$100:$C$399,MATCH(B631,$A$100:$A$399,0)),"")</f>
        <v>0</v>
      </c>
      <c r="K631" s="524">
        <f>IFERROR(INDEX($D$100:$D$399,MATCH(B631,$A$100:$A$399,0)),"")</f>
      </c>
      <c r="L631" s="504">
        <f>IFERROR(INDEX($S$100:$S$399,MATCH(B631,$A$100:$A$399,0)),"")</f>
        <v>0</v>
      </c>
      <c r="M631" s="504">
        <f>IF(B631="","",IFERROR(IF(OR(AND(H631="기초반영",OR(B631="U001",B631="U002",B631="U003"),C631="",E631=DATE(2026,3,1)),AND(H631="원장",C631&gt;=64,C631&lt;=500,INDEX(잔액!$I:$I,MAX(64,C631))="OK",E631=INDEX(잔액!$A:$A,MAX(64,C631)),F631=INDEX(잔액!$C:$C,MAX(64,C631)),OR(F631=J631,F631="결제대금비",AND(B631="U008",C631=223,J631="경조사비",F631="명절비"),AND(B631="U008",C631=208,J631="경조사비",F631="임시보관",SUMIF($C$430:$C$729,C631,$D$430:$D$729)&lt;=39000)),OR(COUNTIF($A$8:$A$12,F631)=1,F631="결제대금비",AND(B631="U008",C631=208,J631="경조사비",F631="임시보관",SUMIF($C$430:$C$729,C631,$D$430:$D$729)&lt;=39000)),COUNTIF($A$8:$A$12,INDEX(잔액!$D:$D,MAX(64,C631)))=0,SUMIF($C$430:$C$729,C631,$D$430:$D$729)&lt;=INDEX(잔액!$Y:$Y,MAX(64,C631)))),1,0),0))</f>
      </c>
      <c r="N631" s="504">
        <f>IF(B631="","",IFERROR(IF(AND(COUNTIF($A$100:$A$399,B631)=1,INDEX($R$100:$R$399,MATCH(B631,$A$100:$A$399,0))="OK",D631&gt;0,ISNUMBER(E631),M631=1,SUMIF($B$430:$B$729,B631,$D$430:$D$729)&lt;=INDEX($E$100:$E$399,MATCH(B631,$A$100:$A$399,0))),"OK","확인: 정산연결"),"확인: 정산연결"))</f>
      </c>
      <c r="O631" s="526">
        <f>IF(N631="OK",D631,0)</f>
        <v>0</v>
      </c>
    </row>
    <row r="632" hidden="1" outlineLevel="1">
      <c r="A632" s="504">
        <f>IF(B632="","","S"&amp;ROW())</f>
      </c>
      <c r="B632" s="522" t="n"/>
      <c r="C632" s="522" t="n"/>
      <c r="D632" s="525">
        <f>IF(C632="","",IFERROR(INDEX(잔액!$Y:$Y,MAX(64,C632)),0))</f>
      </c>
      <c r="E632" s="524">
        <f>IF(C632="","",IFERROR(INDEX(잔액!$A:$A,MAX(64,C632)),""))</f>
      </c>
      <c r="F632" s="504">
        <f>IF(C632="","",IFERROR(INDEX(잔액!$C:$C,MAX(64,C632)),""))</f>
      </c>
      <c r="G632" s="504">
        <f>IF(C632="","",IF(INDEX(잔액!$K:$K,MAX(64,C632))&lt;&gt;"",INDEX(잔액!$K:$K,MAX(64,C632)),INDEX(잔액!$D:$D,MAX(64,C632))))</f>
      </c>
      <c r="H632" s="504" t="inlineStr">
        <is>
          <t>원장</t>
        </is>
      </c>
      <c r="J632" s="504">
        <f>IFERROR(INDEX($C$100:$C$399,MATCH(B632,$A$100:$A$399,0)),"")</f>
        <v>0</v>
      </c>
      <c r="K632" s="524">
        <f>IFERROR(INDEX($D$100:$D$399,MATCH(B632,$A$100:$A$399,0)),"")</f>
      </c>
      <c r="L632" s="504">
        <f>IFERROR(INDEX($S$100:$S$399,MATCH(B632,$A$100:$A$399,0)),"")</f>
        <v>0</v>
      </c>
      <c r="M632" s="504">
        <f>IF(B632="","",IFERROR(IF(OR(AND(H632="기초반영",OR(B632="U001",B632="U002",B632="U003"),C632="",E632=DATE(2026,3,1)),AND(H632="원장",C632&gt;=64,C632&lt;=500,INDEX(잔액!$I:$I,MAX(64,C632))="OK",E632=INDEX(잔액!$A:$A,MAX(64,C632)),F632=INDEX(잔액!$C:$C,MAX(64,C632)),OR(F632=J632,F632="결제대금비",AND(B632="U008",C632=223,J632="경조사비",F632="명절비"),AND(B632="U008",C632=208,J632="경조사비",F632="임시보관",SUMIF($C$430:$C$729,C632,$D$430:$D$729)&lt;=39000)),OR(COUNTIF($A$8:$A$12,F632)=1,F632="결제대금비",AND(B632="U008",C632=208,J632="경조사비",F632="임시보관",SUMIF($C$430:$C$729,C632,$D$430:$D$729)&lt;=39000)),COUNTIF($A$8:$A$12,INDEX(잔액!$D:$D,MAX(64,C632)))=0,SUMIF($C$430:$C$729,C632,$D$430:$D$729)&lt;=INDEX(잔액!$Y:$Y,MAX(64,C632)))),1,0),0))</f>
      </c>
      <c r="N632" s="504">
        <f>IF(B632="","",IFERROR(IF(AND(COUNTIF($A$100:$A$399,B632)=1,INDEX($R$100:$R$399,MATCH(B632,$A$100:$A$399,0))="OK",D632&gt;0,ISNUMBER(E632),M632=1,SUMIF($B$430:$B$729,B632,$D$430:$D$729)&lt;=INDEX($E$100:$E$399,MATCH(B632,$A$100:$A$399,0))),"OK","확인: 정산연결"),"확인: 정산연결"))</f>
      </c>
      <c r="O632" s="526">
        <f>IF(N632="OK",D632,0)</f>
        <v>0</v>
      </c>
    </row>
    <row r="633" hidden="1" outlineLevel="1">
      <c r="A633" s="504">
        <f>IF(B633="","","S"&amp;ROW())</f>
      </c>
      <c r="B633" s="522" t="n"/>
      <c r="C633" s="522" t="n"/>
      <c r="D633" s="525">
        <f>IF(C633="","",IFERROR(INDEX(잔액!$Y:$Y,MAX(64,C633)),0))</f>
      </c>
      <c r="E633" s="524">
        <f>IF(C633="","",IFERROR(INDEX(잔액!$A:$A,MAX(64,C633)),""))</f>
      </c>
      <c r="F633" s="504">
        <f>IF(C633="","",IFERROR(INDEX(잔액!$C:$C,MAX(64,C633)),""))</f>
      </c>
      <c r="G633" s="504">
        <f>IF(C633="","",IF(INDEX(잔액!$K:$K,MAX(64,C633))&lt;&gt;"",INDEX(잔액!$K:$K,MAX(64,C633)),INDEX(잔액!$D:$D,MAX(64,C633))))</f>
      </c>
      <c r="H633" s="504" t="inlineStr">
        <is>
          <t>원장</t>
        </is>
      </c>
      <c r="J633" s="504">
        <f>IFERROR(INDEX($C$100:$C$399,MATCH(B633,$A$100:$A$399,0)),"")</f>
        <v>0</v>
      </c>
      <c r="K633" s="524">
        <f>IFERROR(INDEX($D$100:$D$399,MATCH(B633,$A$100:$A$399,0)),"")</f>
      </c>
      <c r="L633" s="504">
        <f>IFERROR(INDEX($S$100:$S$399,MATCH(B633,$A$100:$A$399,0)),"")</f>
        <v>0</v>
      </c>
      <c r="M633" s="504">
        <f>IF(B633="","",IFERROR(IF(OR(AND(H633="기초반영",OR(B633="U001",B633="U002",B633="U003"),C633="",E633=DATE(2026,3,1)),AND(H633="원장",C633&gt;=64,C633&lt;=500,INDEX(잔액!$I:$I,MAX(64,C633))="OK",E633=INDEX(잔액!$A:$A,MAX(64,C633)),F633=INDEX(잔액!$C:$C,MAX(64,C633)),OR(F633=J633,F633="결제대금비",AND(B633="U008",C633=223,J633="경조사비",F633="명절비"),AND(B633="U008",C633=208,J633="경조사비",F633="임시보관",SUMIF($C$430:$C$729,C633,$D$430:$D$729)&lt;=39000)),OR(COUNTIF($A$8:$A$12,F633)=1,F633="결제대금비",AND(B633="U008",C633=208,J633="경조사비",F633="임시보관",SUMIF($C$430:$C$729,C633,$D$430:$D$729)&lt;=39000)),COUNTIF($A$8:$A$12,INDEX(잔액!$D:$D,MAX(64,C633)))=0,SUMIF($C$430:$C$729,C633,$D$430:$D$729)&lt;=INDEX(잔액!$Y:$Y,MAX(64,C633)))),1,0),0))</f>
      </c>
      <c r="N633" s="504">
        <f>IF(B633="","",IFERROR(IF(AND(COUNTIF($A$100:$A$399,B633)=1,INDEX($R$100:$R$399,MATCH(B633,$A$100:$A$399,0))="OK",D633&gt;0,ISNUMBER(E633),M633=1,SUMIF($B$430:$B$729,B633,$D$430:$D$729)&lt;=INDEX($E$100:$E$399,MATCH(B633,$A$100:$A$399,0))),"OK","확인: 정산연결"),"확인: 정산연결"))</f>
      </c>
      <c r="O633" s="526">
        <f>IF(N633="OK",D633,0)</f>
        <v>0</v>
      </c>
    </row>
    <row r="634" hidden="1" outlineLevel="1">
      <c r="A634" s="504">
        <f>IF(B634="","","S"&amp;ROW())</f>
      </c>
      <c r="B634" s="522" t="n"/>
      <c r="C634" s="522" t="n"/>
      <c r="D634" s="525">
        <f>IF(C634="","",IFERROR(INDEX(잔액!$Y:$Y,MAX(64,C634)),0))</f>
      </c>
      <c r="E634" s="524">
        <f>IF(C634="","",IFERROR(INDEX(잔액!$A:$A,MAX(64,C634)),""))</f>
      </c>
      <c r="F634" s="504">
        <f>IF(C634="","",IFERROR(INDEX(잔액!$C:$C,MAX(64,C634)),""))</f>
      </c>
      <c r="G634" s="504">
        <f>IF(C634="","",IF(INDEX(잔액!$K:$K,MAX(64,C634))&lt;&gt;"",INDEX(잔액!$K:$K,MAX(64,C634)),INDEX(잔액!$D:$D,MAX(64,C634))))</f>
      </c>
      <c r="H634" s="504" t="inlineStr">
        <is>
          <t>원장</t>
        </is>
      </c>
      <c r="J634" s="504">
        <f>IFERROR(INDEX($C$100:$C$399,MATCH(B634,$A$100:$A$399,0)),"")</f>
        <v>0</v>
      </c>
      <c r="K634" s="524">
        <f>IFERROR(INDEX($D$100:$D$399,MATCH(B634,$A$100:$A$399,0)),"")</f>
      </c>
      <c r="L634" s="504">
        <f>IFERROR(INDEX($S$100:$S$399,MATCH(B634,$A$100:$A$399,0)),"")</f>
        <v>0</v>
      </c>
      <c r="M634" s="504">
        <f>IF(B634="","",IFERROR(IF(OR(AND(H634="기초반영",OR(B634="U001",B634="U002",B634="U003"),C634="",E634=DATE(2026,3,1)),AND(H634="원장",C634&gt;=64,C634&lt;=500,INDEX(잔액!$I:$I,MAX(64,C634))="OK",E634=INDEX(잔액!$A:$A,MAX(64,C634)),F634=INDEX(잔액!$C:$C,MAX(64,C634)),OR(F634=J634,F634="결제대금비",AND(B634="U008",C634=223,J634="경조사비",F634="명절비"),AND(B634="U008",C634=208,J634="경조사비",F634="임시보관",SUMIF($C$430:$C$729,C634,$D$430:$D$729)&lt;=39000)),OR(COUNTIF($A$8:$A$12,F634)=1,F634="결제대금비",AND(B634="U008",C634=208,J634="경조사비",F634="임시보관",SUMIF($C$430:$C$729,C634,$D$430:$D$729)&lt;=39000)),COUNTIF($A$8:$A$12,INDEX(잔액!$D:$D,MAX(64,C634)))=0,SUMIF($C$430:$C$729,C634,$D$430:$D$729)&lt;=INDEX(잔액!$Y:$Y,MAX(64,C634)))),1,0),0))</f>
      </c>
      <c r="N634" s="504">
        <f>IF(B634="","",IFERROR(IF(AND(COUNTIF($A$100:$A$399,B634)=1,INDEX($R$100:$R$399,MATCH(B634,$A$100:$A$399,0))="OK",D634&gt;0,ISNUMBER(E634),M634=1,SUMIF($B$430:$B$729,B634,$D$430:$D$729)&lt;=INDEX($E$100:$E$399,MATCH(B634,$A$100:$A$399,0))),"OK","확인: 정산연결"),"확인: 정산연결"))</f>
      </c>
      <c r="O634" s="526">
        <f>IF(N634="OK",D634,0)</f>
        <v>0</v>
      </c>
    </row>
    <row r="635" hidden="1" outlineLevel="1">
      <c r="A635" s="504">
        <f>IF(B635="","","S"&amp;ROW())</f>
      </c>
      <c r="B635" s="522" t="n"/>
      <c r="C635" s="522" t="n"/>
      <c r="D635" s="525">
        <f>IF(C635="","",IFERROR(INDEX(잔액!$Y:$Y,MAX(64,C635)),0))</f>
      </c>
      <c r="E635" s="524">
        <f>IF(C635="","",IFERROR(INDEX(잔액!$A:$A,MAX(64,C635)),""))</f>
      </c>
      <c r="F635" s="504">
        <f>IF(C635="","",IFERROR(INDEX(잔액!$C:$C,MAX(64,C635)),""))</f>
      </c>
      <c r="G635" s="504">
        <f>IF(C635="","",IF(INDEX(잔액!$K:$K,MAX(64,C635))&lt;&gt;"",INDEX(잔액!$K:$K,MAX(64,C635)),INDEX(잔액!$D:$D,MAX(64,C635))))</f>
      </c>
      <c r="H635" s="504" t="inlineStr">
        <is>
          <t>원장</t>
        </is>
      </c>
      <c r="J635" s="504">
        <f>IFERROR(INDEX($C$100:$C$399,MATCH(B635,$A$100:$A$399,0)),"")</f>
        <v>0</v>
      </c>
      <c r="K635" s="524">
        <f>IFERROR(INDEX($D$100:$D$399,MATCH(B635,$A$100:$A$399,0)),"")</f>
      </c>
      <c r="L635" s="504">
        <f>IFERROR(INDEX($S$100:$S$399,MATCH(B635,$A$100:$A$399,0)),"")</f>
        <v>0</v>
      </c>
      <c r="M635" s="504">
        <f>IF(B635="","",IFERROR(IF(OR(AND(H635="기초반영",OR(B635="U001",B635="U002",B635="U003"),C635="",E635=DATE(2026,3,1)),AND(H635="원장",C635&gt;=64,C635&lt;=500,INDEX(잔액!$I:$I,MAX(64,C635))="OK",E635=INDEX(잔액!$A:$A,MAX(64,C635)),F635=INDEX(잔액!$C:$C,MAX(64,C635)),OR(F635=J635,F635="결제대금비",AND(B635="U008",C635=223,J635="경조사비",F635="명절비"),AND(B635="U008",C635=208,J635="경조사비",F635="임시보관",SUMIF($C$430:$C$729,C635,$D$430:$D$729)&lt;=39000)),OR(COUNTIF($A$8:$A$12,F635)=1,F635="결제대금비",AND(B635="U008",C635=208,J635="경조사비",F635="임시보관",SUMIF($C$430:$C$729,C635,$D$430:$D$729)&lt;=39000)),COUNTIF($A$8:$A$12,INDEX(잔액!$D:$D,MAX(64,C635)))=0,SUMIF($C$430:$C$729,C635,$D$430:$D$729)&lt;=INDEX(잔액!$Y:$Y,MAX(64,C635)))),1,0),0))</f>
      </c>
      <c r="N635" s="504">
        <f>IF(B635="","",IFERROR(IF(AND(COUNTIF($A$100:$A$399,B635)=1,INDEX($R$100:$R$399,MATCH(B635,$A$100:$A$399,0))="OK",D635&gt;0,ISNUMBER(E635),M635=1,SUMIF($B$430:$B$729,B635,$D$430:$D$729)&lt;=INDEX($E$100:$E$399,MATCH(B635,$A$100:$A$399,0))),"OK","확인: 정산연결"),"확인: 정산연결"))</f>
      </c>
      <c r="O635" s="526">
        <f>IF(N635="OK",D635,0)</f>
        <v>0</v>
      </c>
    </row>
    <row r="636" hidden="1" outlineLevel="1">
      <c r="A636" s="504">
        <f>IF(B636="","","S"&amp;ROW())</f>
      </c>
      <c r="B636" s="522" t="n"/>
      <c r="C636" s="522" t="n"/>
      <c r="D636" s="525">
        <f>IF(C636="","",IFERROR(INDEX(잔액!$Y:$Y,MAX(64,C636)),0))</f>
      </c>
      <c r="E636" s="524">
        <f>IF(C636="","",IFERROR(INDEX(잔액!$A:$A,MAX(64,C636)),""))</f>
      </c>
      <c r="F636" s="504">
        <f>IF(C636="","",IFERROR(INDEX(잔액!$C:$C,MAX(64,C636)),""))</f>
      </c>
      <c r="G636" s="504">
        <f>IF(C636="","",IF(INDEX(잔액!$K:$K,MAX(64,C636))&lt;&gt;"",INDEX(잔액!$K:$K,MAX(64,C636)),INDEX(잔액!$D:$D,MAX(64,C636))))</f>
      </c>
      <c r="H636" s="504" t="inlineStr">
        <is>
          <t>원장</t>
        </is>
      </c>
      <c r="J636" s="504">
        <f>IFERROR(INDEX($C$100:$C$399,MATCH(B636,$A$100:$A$399,0)),"")</f>
        <v>0</v>
      </c>
      <c r="K636" s="524">
        <f>IFERROR(INDEX($D$100:$D$399,MATCH(B636,$A$100:$A$399,0)),"")</f>
      </c>
      <c r="L636" s="504">
        <f>IFERROR(INDEX($S$100:$S$399,MATCH(B636,$A$100:$A$399,0)),"")</f>
        <v>0</v>
      </c>
      <c r="M636" s="504">
        <f>IF(B636="","",IFERROR(IF(OR(AND(H636="기초반영",OR(B636="U001",B636="U002",B636="U003"),C636="",E636=DATE(2026,3,1)),AND(H636="원장",C636&gt;=64,C636&lt;=500,INDEX(잔액!$I:$I,MAX(64,C636))="OK",E636=INDEX(잔액!$A:$A,MAX(64,C636)),F636=INDEX(잔액!$C:$C,MAX(64,C636)),OR(F636=J636,F636="결제대금비",AND(B636="U008",C636=223,J636="경조사비",F636="명절비"),AND(B636="U008",C636=208,J636="경조사비",F636="임시보관",SUMIF($C$430:$C$729,C636,$D$430:$D$729)&lt;=39000)),OR(COUNTIF($A$8:$A$12,F636)=1,F636="결제대금비",AND(B636="U008",C636=208,J636="경조사비",F636="임시보관",SUMIF($C$430:$C$729,C636,$D$430:$D$729)&lt;=39000)),COUNTIF($A$8:$A$12,INDEX(잔액!$D:$D,MAX(64,C636)))=0,SUMIF($C$430:$C$729,C636,$D$430:$D$729)&lt;=INDEX(잔액!$Y:$Y,MAX(64,C636)))),1,0),0))</f>
      </c>
      <c r="N636" s="504">
        <f>IF(B636="","",IFERROR(IF(AND(COUNTIF($A$100:$A$399,B636)=1,INDEX($R$100:$R$399,MATCH(B636,$A$100:$A$399,0))="OK",D636&gt;0,ISNUMBER(E636),M636=1,SUMIF($B$430:$B$729,B636,$D$430:$D$729)&lt;=INDEX($E$100:$E$399,MATCH(B636,$A$100:$A$399,0))),"OK","확인: 정산연결"),"확인: 정산연결"))</f>
      </c>
      <c r="O636" s="526">
        <f>IF(N636="OK",D636,0)</f>
        <v>0</v>
      </c>
    </row>
    <row r="637" hidden="1" outlineLevel="1">
      <c r="A637" s="504">
        <f>IF(B637="","","S"&amp;ROW())</f>
      </c>
      <c r="B637" s="522" t="n"/>
      <c r="C637" s="522" t="n"/>
      <c r="D637" s="525">
        <f>IF(C637="","",IFERROR(INDEX(잔액!$Y:$Y,MAX(64,C637)),0))</f>
      </c>
      <c r="E637" s="524">
        <f>IF(C637="","",IFERROR(INDEX(잔액!$A:$A,MAX(64,C637)),""))</f>
      </c>
      <c r="F637" s="504">
        <f>IF(C637="","",IFERROR(INDEX(잔액!$C:$C,MAX(64,C637)),""))</f>
      </c>
      <c r="G637" s="504">
        <f>IF(C637="","",IF(INDEX(잔액!$K:$K,MAX(64,C637))&lt;&gt;"",INDEX(잔액!$K:$K,MAX(64,C637)),INDEX(잔액!$D:$D,MAX(64,C637))))</f>
      </c>
      <c r="H637" s="504" t="inlineStr">
        <is>
          <t>원장</t>
        </is>
      </c>
      <c r="J637" s="504">
        <f>IFERROR(INDEX($C$100:$C$399,MATCH(B637,$A$100:$A$399,0)),"")</f>
        <v>0</v>
      </c>
      <c r="K637" s="524">
        <f>IFERROR(INDEX($D$100:$D$399,MATCH(B637,$A$100:$A$399,0)),"")</f>
      </c>
      <c r="L637" s="504">
        <f>IFERROR(INDEX($S$100:$S$399,MATCH(B637,$A$100:$A$399,0)),"")</f>
        <v>0</v>
      </c>
      <c r="M637" s="504">
        <f>IF(B637="","",IFERROR(IF(OR(AND(H637="기초반영",OR(B637="U001",B637="U002",B637="U003"),C637="",E637=DATE(2026,3,1)),AND(H637="원장",C637&gt;=64,C637&lt;=500,INDEX(잔액!$I:$I,MAX(64,C637))="OK",E637=INDEX(잔액!$A:$A,MAX(64,C637)),F637=INDEX(잔액!$C:$C,MAX(64,C637)),OR(F637=J637,F637="결제대금비",AND(B637="U008",C637=223,J637="경조사비",F637="명절비"),AND(B637="U008",C637=208,J637="경조사비",F637="임시보관",SUMIF($C$430:$C$729,C637,$D$430:$D$729)&lt;=39000)),OR(COUNTIF($A$8:$A$12,F637)=1,F637="결제대금비",AND(B637="U008",C637=208,J637="경조사비",F637="임시보관",SUMIF($C$430:$C$729,C637,$D$430:$D$729)&lt;=39000)),COUNTIF($A$8:$A$12,INDEX(잔액!$D:$D,MAX(64,C637)))=0,SUMIF($C$430:$C$729,C637,$D$430:$D$729)&lt;=INDEX(잔액!$Y:$Y,MAX(64,C637)))),1,0),0))</f>
      </c>
      <c r="N637" s="504">
        <f>IF(B637="","",IFERROR(IF(AND(COUNTIF($A$100:$A$399,B637)=1,INDEX($R$100:$R$399,MATCH(B637,$A$100:$A$399,0))="OK",D637&gt;0,ISNUMBER(E637),M637=1,SUMIF($B$430:$B$729,B637,$D$430:$D$729)&lt;=INDEX($E$100:$E$399,MATCH(B637,$A$100:$A$399,0))),"OK","확인: 정산연결"),"확인: 정산연결"))</f>
      </c>
      <c r="O637" s="526">
        <f>IF(N637="OK",D637,0)</f>
        <v>0</v>
      </c>
    </row>
    <row r="638" hidden="1" outlineLevel="1">
      <c r="A638" s="504">
        <f>IF(B638="","","S"&amp;ROW())</f>
      </c>
      <c r="B638" s="522" t="n"/>
      <c r="C638" s="522" t="n"/>
      <c r="D638" s="525">
        <f>IF(C638="","",IFERROR(INDEX(잔액!$Y:$Y,MAX(64,C638)),0))</f>
      </c>
      <c r="E638" s="524">
        <f>IF(C638="","",IFERROR(INDEX(잔액!$A:$A,MAX(64,C638)),""))</f>
      </c>
      <c r="F638" s="504">
        <f>IF(C638="","",IFERROR(INDEX(잔액!$C:$C,MAX(64,C638)),""))</f>
      </c>
      <c r="G638" s="504">
        <f>IF(C638="","",IF(INDEX(잔액!$K:$K,MAX(64,C638))&lt;&gt;"",INDEX(잔액!$K:$K,MAX(64,C638)),INDEX(잔액!$D:$D,MAX(64,C638))))</f>
      </c>
      <c r="H638" s="504" t="inlineStr">
        <is>
          <t>원장</t>
        </is>
      </c>
      <c r="J638" s="504">
        <f>IFERROR(INDEX($C$100:$C$399,MATCH(B638,$A$100:$A$399,0)),"")</f>
        <v>0</v>
      </c>
      <c r="K638" s="524">
        <f>IFERROR(INDEX($D$100:$D$399,MATCH(B638,$A$100:$A$399,0)),"")</f>
      </c>
      <c r="L638" s="504">
        <f>IFERROR(INDEX($S$100:$S$399,MATCH(B638,$A$100:$A$399,0)),"")</f>
        <v>0</v>
      </c>
      <c r="M638" s="504">
        <f>IF(B638="","",IFERROR(IF(OR(AND(H638="기초반영",OR(B638="U001",B638="U002",B638="U003"),C638="",E638=DATE(2026,3,1)),AND(H638="원장",C638&gt;=64,C638&lt;=500,INDEX(잔액!$I:$I,MAX(64,C638))="OK",E638=INDEX(잔액!$A:$A,MAX(64,C638)),F638=INDEX(잔액!$C:$C,MAX(64,C638)),OR(F638=J638,F638="결제대금비",AND(B638="U008",C638=223,J638="경조사비",F638="명절비"),AND(B638="U008",C638=208,J638="경조사비",F638="임시보관",SUMIF($C$430:$C$729,C638,$D$430:$D$729)&lt;=39000)),OR(COUNTIF($A$8:$A$12,F638)=1,F638="결제대금비",AND(B638="U008",C638=208,J638="경조사비",F638="임시보관",SUMIF($C$430:$C$729,C638,$D$430:$D$729)&lt;=39000)),COUNTIF($A$8:$A$12,INDEX(잔액!$D:$D,MAX(64,C638)))=0,SUMIF($C$430:$C$729,C638,$D$430:$D$729)&lt;=INDEX(잔액!$Y:$Y,MAX(64,C638)))),1,0),0))</f>
      </c>
      <c r="N638" s="504">
        <f>IF(B638="","",IFERROR(IF(AND(COUNTIF($A$100:$A$399,B638)=1,INDEX($R$100:$R$399,MATCH(B638,$A$100:$A$399,0))="OK",D638&gt;0,ISNUMBER(E638),M638=1,SUMIF($B$430:$B$729,B638,$D$430:$D$729)&lt;=INDEX($E$100:$E$399,MATCH(B638,$A$100:$A$399,0))),"OK","확인: 정산연결"),"확인: 정산연결"))</f>
      </c>
      <c r="O638" s="526">
        <f>IF(N638="OK",D638,0)</f>
        <v>0</v>
      </c>
    </row>
    <row r="639" hidden="1" outlineLevel="1">
      <c r="A639" s="504">
        <f>IF(B639="","","S"&amp;ROW())</f>
      </c>
      <c r="B639" s="522" t="n"/>
      <c r="C639" s="522" t="n"/>
      <c r="D639" s="525">
        <f>IF(C639="","",IFERROR(INDEX(잔액!$Y:$Y,MAX(64,C639)),0))</f>
      </c>
      <c r="E639" s="524">
        <f>IF(C639="","",IFERROR(INDEX(잔액!$A:$A,MAX(64,C639)),""))</f>
      </c>
      <c r="F639" s="504">
        <f>IF(C639="","",IFERROR(INDEX(잔액!$C:$C,MAX(64,C639)),""))</f>
      </c>
      <c r="G639" s="504">
        <f>IF(C639="","",IF(INDEX(잔액!$K:$K,MAX(64,C639))&lt;&gt;"",INDEX(잔액!$K:$K,MAX(64,C639)),INDEX(잔액!$D:$D,MAX(64,C639))))</f>
      </c>
      <c r="H639" s="504" t="inlineStr">
        <is>
          <t>원장</t>
        </is>
      </c>
      <c r="J639" s="504">
        <f>IFERROR(INDEX($C$100:$C$399,MATCH(B639,$A$100:$A$399,0)),"")</f>
        <v>0</v>
      </c>
      <c r="K639" s="524">
        <f>IFERROR(INDEX($D$100:$D$399,MATCH(B639,$A$100:$A$399,0)),"")</f>
      </c>
      <c r="L639" s="504">
        <f>IFERROR(INDEX($S$100:$S$399,MATCH(B639,$A$100:$A$399,0)),"")</f>
        <v>0</v>
      </c>
      <c r="M639" s="504">
        <f>IF(B639="","",IFERROR(IF(OR(AND(H639="기초반영",OR(B639="U001",B639="U002",B639="U003"),C639="",E639=DATE(2026,3,1)),AND(H639="원장",C639&gt;=64,C639&lt;=500,INDEX(잔액!$I:$I,MAX(64,C639))="OK",E639=INDEX(잔액!$A:$A,MAX(64,C639)),F639=INDEX(잔액!$C:$C,MAX(64,C639)),OR(F639=J639,F639="결제대금비",AND(B639="U008",C639=223,J639="경조사비",F639="명절비"),AND(B639="U008",C639=208,J639="경조사비",F639="임시보관",SUMIF($C$430:$C$729,C639,$D$430:$D$729)&lt;=39000)),OR(COUNTIF($A$8:$A$12,F639)=1,F639="결제대금비",AND(B639="U008",C639=208,J639="경조사비",F639="임시보관",SUMIF($C$430:$C$729,C639,$D$430:$D$729)&lt;=39000)),COUNTIF($A$8:$A$12,INDEX(잔액!$D:$D,MAX(64,C639)))=0,SUMIF($C$430:$C$729,C639,$D$430:$D$729)&lt;=INDEX(잔액!$Y:$Y,MAX(64,C639)))),1,0),0))</f>
      </c>
      <c r="N639" s="504">
        <f>IF(B639="","",IFERROR(IF(AND(COUNTIF($A$100:$A$399,B639)=1,INDEX($R$100:$R$399,MATCH(B639,$A$100:$A$399,0))="OK",D639&gt;0,ISNUMBER(E639),M639=1,SUMIF($B$430:$B$729,B639,$D$430:$D$729)&lt;=INDEX($E$100:$E$399,MATCH(B639,$A$100:$A$399,0))),"OK","확인: 정산연결"),"확인: 정산연결"))</f>
      </c>
      <c r="O639" s="526">
        <f>IF(N639="OK",D639,0)</f>
        <v>0</v>
      </c>
    </row>
    <row r="640" hidden="1" outlineLevel="1">
      <c r="A640" s="504">
        <f>IF(B640="","","S"&amp;ROW())</f>
      </c>
      <c r="B640" s="522" t="n"/>
      <c r="C640" s="522" t="n"/>
      <c r="D640" s="525">
        <f>IF(C640="","",IFERROR(INDEX(잔액!$Y:$Y,MAX(64,C640)),0))</f>
      </c>
      <c r="E640" s="524">
        <f>IF(C640="","",IFERROR(INDEX(잔액!$A:$A,MAX(64,C640)),""))</f>
      </c>
      <c r="F640" s="504">
        <f>IF(C640="","",IFERROR(INDEX(잔액!$C:$C,MAX(64,C640)),""))</f>
      </c>
      <c r="G640" s="504">
        <f>IF(C640="","",IF(INDEX(잔액!$K:$K,MAX(64,C640))&lt;&gt;"",INDEX(잔액!$K:$K,MAX(64,C640)),INDEX(잔액!$D:$D,MAX(64,C640))))</f>
      </c>
      <c r="H640" s="504" t="inlineStr">
        <is>
          <t>원장</t>
        </is>
      </c>
      <c r="J640" s="504">
        <f>IFERROR(INDEX($C$100:$C$399,MATCH(B640,$A$100:$A$399,0)),"")</f>
        <v>0</v>
      </c>
      <c r="K640" s="524">
        <f>IFERROR(INDEX($D$100:$D$399,MATCH(B640,$A$100:$A$399,0)),"")</f>
      </c>
      <c r="L640" s="504">
        <f>IFERROR(INDEX($S$100:$S$399,MATCH(B640,$A$100:$A$399,0)),"")</f>
        <v>0</v>
      </c>
      <c r="M640" s="504">
        <f>IF(B640="","",IFERROR(IF(OR(AND(H640="기초반영",OR(B640="U001",B640="U002",B640="U003"),C640="",E640=DATE(2026,3,1)),AND(H640="원장",C640&gt;=64,C640&lt;=500,INDEX(잔액!$I:$I,MAX(64,C640))="OK",E640=INDEX(잔액!$A:$A,MAX(64,C640)),F640=INDEX(잔액!$C:$C,MAX(64,C640)),OR(F640=J640,F640="결제대금비",AND(B640="U008",C640=223,J640="경조사비",F640="명절비"),AND(B640="U008",C640=208,J640="경조사비",F640="임시보관",SUMIF($C$430:$C$729,C640,$D$430:$D$729)&lt;=39000)),OR(COUNTIF($A$8:$A$12,F640)=1,F640="결제대금비",AND(B640="U008",C640=208,J640="경조사비",F640="임시보관",SUMIF($C$430:$C$729,C640,$D$430:$D$729)&lt;=39000)),COUNTIF($A$8:$A$12,INDEX(잔액!$D:$D,MAX(64,C640)))=0,SUMIF($C$430:$C$729,C640,$D$430:$D$729)&lt;=INDEX(잔액!$Y:$Y,MAX(64,C640)))),1,0),0))</f>
      </c>
      <c r="N640" s="504">
        <f>IF(B640="","",IFERROR(IF(AND(COUNTIF($A$100:$A$399,B640)=1,INDEX($R$100:$R$399,MATCH(B640,$A$100:$A$399,0))="OK",D640&gt;0,ISNUMBER(E640),M640=1,SUMIF($B$430:$B$729,B640,$D$430:$D$729)&lt;=INDEX($E$100:$E$399,MATCH(B640,$A$100:$A$399,0))),"OK","확인: 정산연결"),"확인: 정산연결"))</f>
      </c>
      <c r="O640" s="526">
        <f>IF(N640="OK",D640,0)</f>
        <v>0</v>
      </c>
    </row>
    <row r="641" hidden="1" outlineLevel="1">
      <c r="A641" s="504">
        <f>IF(B641="","","S"&amp;ROW())</f>
      </c>
      <c r="B641" s="522" t="n"/>
      <c r="C641" s="522" t="n"/>
      <c r="D641" s="525">
        <f>IF(C641="","",IFERROR(INDEX(잔액!$Y:$Y,MAX(64,C641)),0))</f>
      </c>
      <c r="E641" s="524">
        <f>IF(C641="","",IFERROR(INDEX(잔액!$A:$A,MAX(64,C641)),""))</f>
      </c>
      <c r="F641" s="504">
        <f>IF(C641="","",IFERROR(INDEX(잔액!$C:$C,MAX(64,C641)),""))</f>
      </c>
      <c r="G641" s="504">
        <f>IF(C641="","",IF(INDEX(잔액!$K:$K,MAX(64,C641))&lt;&gt;"",INDEX(잔액!$K:$K,MAX(64,C641)),INDEX(잔액!$D:$D,MAX(64,C641))))</f>
      </c>
      <c r="H641" s="504" t="inlineStr">
        <is>
          <t>원장</t>
        </is>
      </c>
      <c r="J641" s="504">
        <f>IFERROR(INDEX($C$100:$C$399,MATCH(B641,$A$100:$A$399,0)),"")</f>
        <v>0</v>
      </c>
      <c r="K641" s="524">
        <f>IFERROR(INDEX($D$100:$D$399,MATCH(B641,$A$100:$A$399,0)),"")</f>
      </c>
      <c r="L641" s="504">
        <f>IFERROR(INDEX($S$100:$S$399,MATCH(B641,$A$100:$A$399,0)),"")</f>
        <v>0</v>
      </c>
      <c r="M641" s="504">
        <f>IF(B641="","",IFERROR(IF(OR(AND(H641="기초반영",OR(B641="U001",B641="U002",B641="U003"),C641="",E641=DATE(2026,3,1)),AND(H641="원장",C641&gt;=64,C641&lt;=500,INDEX(잔액!$I:$I,MAX(64,C641))="OK",E641=INDEX(잔액!$A:$A,MAX(64,C641)),F641=INDEX(잔액!$C:$C,MAX(64,C641)),OR(F641=J641,F641="결제대금비",AND(B641="U008",C641=223,J641="경조사비",F641="명절비"),AND(B641="U008",C641=208,J641="경조사비",F641="임시보관",SUMIF($C$430:$C$729,C641,$D$430:$D$729)&lt;=39000)),OR(COUNTIF($A$8:$A$12,F641)=1,F641="결제대금비",AND(B641="U008",C641=208,J641="경조사비",F641="임시보관",SUMIF($C$430:$C$729,C641,$D$430:$D$729)&lt;=39000)),COUNTIF($A$8:$A$12,INDEX(잔액!$D:$D,MAX(64,C641)))=0,SUMIF($C$430:$C$729,C641,$D$430:$D$729)&lt;=INDEX(잔액!$Y:$Y,MAX(64,C641)))),1,0),0))</f>
      </c>
      <c r="N641" s="504">
        <f>IF(B641="","",IFERROR(IF(AND(COUNTIF($A$100:$A$399,B641)=1,INDEX($R$100:$R$399,MATCH(B641,$A$100:$A$399,0))="OK",D641&gt;0,ISNUMBER(E641),M641=1,SUMIF($B$430:$B$729,B641,$D$430:$D$729)&lt;=INDEX($E$100:$E$399,MATCH(B641,$A$100:$A$399,0))),"OK","확인: 정산연결"),"확인: 정산연결"))</f>
      </c>
      <c r="O641" s="526">
        <f>IF(N641="OK",D641,0)</f>
        <v>0</v>
      </c>
    </row>
    <row r="642" hidden="1" outlineLevel="1">
      <c r="A642" s="504">
        <f>IF(B642="","","S"&amp;ROW())</f>
      </c>
      <c r="B642" s="522" t="n"/>
      <c r="C642" s="522" t="n"/>
      <c r="D642" s="525">
        <f>IF(C642="","",IFERROR(INDEX(잔액!$Y:$Y,MAX(64,C642)),0))</f>
      </c>
      <c r="E642" s="524">
        <f>IF(C642="","",IFERROR(INDEX(잔액!$A:$A,MAX(64,C642)),""))</f>
      </c>
      <c r="F642" s="504">
        <f>IF(C642="","",IFERROR(INDEX(잔액!$C:$C,MAX(64,C642)),""))</f>
      </c>
      <c r="G642" s="504">
        <f>IF(C642="","",IF(INDEX(잔액!$K:$K,MAX(64,C642))&lt;&gt;"",INDEX(잔액!$K:$K,MAX(64,C642)),INDEX(잔액!$D:$D,MAX(64,C642))))</f>
      </c>
      <c r="H642" s="504" t="inlineStr">
        <is>
          <t>원장</t>
        </is>
      </c>
      <c r="J642" s="504">
        <f>IFERROR(INDEX($C$100:$C$399,MATCH(B642,$A$100:$A$399,0)),"")</f>
        <v>0</v>
      </c>
      <c r="K642" s="524">
        <f>IFERROR(INDEX($D$100:$D$399,MATCH(B642,$A$100:$A$399,0)),"")</f>
      </c>
      <c r="L642" s="504">
        <f>IFERROR(INDEX($S$100:$S$399,MATCH(B642,$A$100:$A$399,0)),"")</f>
        <v>0</v>
      </c>
      <c r="M642" s="504">
        <f>IF(B642="","",IFERROR(IF(OR(AND(H642="기초반영",OR(B642="U001",B642="U002",B642="U003"),C642="",E642=DATE(2026,3,1)),AND(H642="원장",C642&gt;=64,C642&lt;=500,INDEX(잔액!$I:$I,MAX(64,C642))="OK",E642=INDEX(잔액!$A:$A,MAX(64,C642)),F642=INDEX(잔액!$C:$C,MAX(64,C642)),OR(F642=J642,F642="결제대금비",AND(B642="U008",C642=223,J642="경조사비",F642="명절비"),AND(B642="U008",C642=208,J642="경조사비",F642="임시보관",SUMIF($C$430:$C$729,C642,$D$430:$D$729)&lt;=39000)),OR(COUNTIF($A$8:$A$12,F642)=1,F642="결제대금비",AND(B642="U008",C642=208,J642="경조사비",F642="임시보관",SUMIF($C$430:$C$729,C642,$D$430:$D$729)&lt;=39000)),COUNTIF($A$8:$A$12,INDEX(잔액!$D:$D,MAX(64,C642)))=0,SUMIF($C$430:$C$729,C642,$D$430:$D$729)&lt;=INDEX(잔액!$Y:$Y,MAX(64,C642)))),1,0),0))</f>
      </c>
      <c r="N642" s="504">
        <f>IF(B642="","",IFERROR(IF(AND(COUNTIF($A$100:$A$399,B642)=1,INDEX($R$100:$R$399,MATCH(B642,$A$100:$A$399,0))="OK",D642&gt;0,ISNUMBER(E642),M642=1,SUMIF($B$430:$B$729,B642,$D$430:$D$729)&lt;=INDEX($E$100:$E$399,MATCH(B642,$A$100:$A$399,0))),"OK","확인: 정산연결"),"확인: 정산연결"))</f>
      </c>
      <c r="O642" s="526">
        <f>IF(N642="OK",D642,0)</f>
        <v>0</v>
      </c>
    </row>
    <row r="643" hidden="1" outlineLevel="1">
      <c r="A643" s="504">
        <f>IF(B643="","","S"&amp;ROW())</f>
      </c>
      <c r="B643" s="522" t="n"/>
      <c r="C643" s="522" t="n"/>
      <c r="D643" s="525">
        <f>IF(C643="","",IFERROR(INDEX(잔액!$Y:$Y,MAX(64,C643)),0))</f>
      </c>
      <c r="E643" s="524">
        <f>IF(C643="","",IFERROR(INDEX(잔액!$A:$A,MAX(64,C643)),""))</f>
      </c>
      <c r="F643" s="504">
        <f>IF(C643="","",IFERROR(INDEX(잔액!$C:$C,MAX(64,C643)),""))</f>
      </c>
      <c r="G643" s="504">
        <f>IF(C643="","",IF(INDEX(잔액!$K:$K,MAX(64,C643))&lt;&gt;"",INDEX(잔액!$K:$K,MAX(64,C643)),INDEX(잔액!$D:$D,MAX(64,C643))))</f>
      </c>
      <c r="H643" s="504" t="inlineStr">
        <is>
          <t>원장</t>
        </is>
      </c>
      <c r="J643" s="504">
        <f>IFERROR(INDEX($C$100:$C$399,MATCH(B643,$A$100:$A$399,0)),"")</f>
        <v>0</v>
      </c>
      <c r="K643" s="524">
        <f>IFERROR(INDEX($D$100:$D$399,MATCH(B643,$A$100:$A$399,0)),"")</f>
      </c>
      <c r="L643" s="504">
        <f>IFERROR(INDEX($S$100:$S$399,MATCH(B643,$A$100:$A$399,0)),"")</f>
        <v>0</v>
      </c>
      <c r="M643" s="504">
        <f>IF(B643="","",IFERROR(IF(OR(AND(H643="기초반영",OR(B643="U001",B643="U002",B643="U003"),C643="",E643=DATE(2026,3,1)),AND(H643="원장",C643&gt;=64,C643&lt;=500,INDEX(잔액!$I:$I,MAX(64,C643))="OK",E643=INDEX(잔액!$A:$A,MAX(64,C643)),F643=INDEX(잔액!$C:$C,MAX(64,C643)),OR(F643=J643,F643="결제대금비",AND(B643="U008",C643=223,J643="경조사비",F643="명절비"),AND(B643="U008",C643=208,J643="경조사비",F643="임시보관",SUMIF($C$430:$C$729,C643,$D$430:$D$729)&lt;=39000)),OR(COUNTIF($A$8:$A$12,F643)=1,F643="결제대금비",AND(B643="U008",C643=208,J643="경조사비",F643="임시보관",SUMIF($C$430:$C$729,C643,$D$430:$D$729)&lt;=39000)),COUNTIF($A$8:$A$12,INDEX(잔액!$D:$D,MAX(64,C643)))=0,SUMIF($C$430:$C$729,C643,$D$430:$D$729)&lt;=INDEX(잔액!$Y:$Y,MAX(64,C643)))),1,0),0))</f>
      </c>
      <c r="N643" s="504">
        <f>IF(B643="","",IFERROR(IF(AND(COUNTIF($A$100:$A$399,B643)=1,INDEX($R$100:$R$399,MATCH(B643,$A$100:$A$399,0))="OK",D643&gt;0,ISNUMBER(E643),M643=1,SUMIF($B$430:$B$729,B643,$D$430:$D$729)&lt;=INDEX($E$100:$E$399,MATCH(B643,$A$100:$A$399,0))),"OK","확인: 정산연결"),"확인: 정산연결"))</f>
      </c>
      <c r="O643" s="526">
        <f>IF(N643="OK",D643,0)</f>
        <v>0</v>
      </c>
    </row>
    <row r="644" hidden="1" outlineLevel="1">
      <c r="A644" s="504">
        <f>IF(B644="","","S"&amp;ROW())</f>
      </c>
      <c r="B644" s="522" t="n"/>
      <c r="C644" s="522" t="n"/>
      <c r="D644" s="525">
        <f>IF(C644="","",IFERROR(INDEX(잔액!$Y:$Y,MAX(64,C644)),0))</f>
      </c>
      <c r="E644" s="524">
        <f>IF(C644="","",IFERROR(INDEX(잔액!$A:$A,MAX(64,C644)),""))</f>
      </c>
      <c r="F644" s="504">
        <f>IF(C644="","",IFERROR(INDEX(잔액!$C:$C,MAX(64,C644)),""))</f>
      </c>
      <c r="G644" s="504">
        <f>IF(C644="","",IF(INDEX(잔액!$K:$K,MAX(64,C644))&lt;&gt;"",INDEX(잔액!$K:$K,MAX(64,C644)),INDEX(잔액!$D:$D,MAX(64,C644))))</f>
      </c>
      <c r="H644" s="504" t="inlineStr">
        <is>
          <t>원장</t>
        </is>
      </c>
      <c r="J644" s="504">
        <f>IFERROR(INDEX($C$100:$C$399,MATCH(B644,$A$100:$A$399,0)),"")</f>
        <v>0</v>
      </c>
      <c r="K644" s="524">
        <f>IFERROR(INDEX($D$100:$D$399,MATCH(B644,$A$100:$A$399,0)),"")</f>
      </c>
      <c r="L644" s="504">
        <f>IFERROR(INDEX($S$100:$S$399,MATCH(B644,$A$100:$A$399,0)),"")</f>
        <v>0</v>
      </c>
      <c r="M644" s="504">
        <f>IF(B644="","",IFERROR(IF(OR(AND(H644="기초반영",OR(B644="U001",B644="U002",B644="U003"),C644="",E644=DATE(2026,3,1)),AND(H644="원장",C644&gt;=64,C644&lt;=500,INDEX(잔액!$I:$I,MAX(64,C644))="OK",E644=INDEX(잔액!$A:$A,MAX(64,C644)),F644=INDEX(잔액!$C:$C,MAX(64,C644)),OR(F644=J644,F644="결제대금비",AND(B644="U008",C644=223,J644="경조사비",F644="명절비"),AND(B644="U008",C644=208,J644="경조사비",F644="임시보관",SUMIF($C$430:$C$729,C644,$D$430:$D$729)&lt;=39000)),OR(COUNTIF($A$8:$A$12,F644)=1,F644="결제대금비",AND(B644="U008",C644=208,J644="경조사비",F644="임시보관",SUMIF($C$430:$C$729,C644,$D$430:$D$729)&lt;=39000)),COUNTIF($A$8:$A$12,INDEX(잔액!$D:$D,MAX(64,C644)))=0,SUMIF($C$430:$C$729,C644,$D$430:$D$729)&lt;=INDEX(잔액!$Y:$Y,MAX(64,C644)))),1,0),0))</f>
      </c>
      <c r="N644" s="504">
        <f>IF(B644="","",IFERROR(IF(AND(COUNTIF($A$100:$A$399,B644)=1,INDEX($R$100:$R$399,MATCH(B644,$A$100:$A$399,0))="OK",D644&gt;0,ISNUMBER(E644),M644=1,SUMIF($B$430:$B$729,B644,$D$430:$D$729)&lt;=INDEX($E$100:$E$399,MATCH(B644,$A$100:$A$399,0))),"OK","확인: 정산연결"),"확인: 정산연결"))</f>
      </c>
      <c r="O644" s="526">
        <f>IF(N644="OK",D644,0)</f>
        <v>0</v>
      </c>
    </row>
    <row r="645" hidden="1" outlineLevel="1">
      <c r="A645" s="504">
        <f>IF(B645="","","S"&amp;ROW())</f>
      </c>
      <c r="B645" s="522" t="n"/>
      <c r="C645" s="522" t="n"/>
      <c r="D645" s="525">
        <f>IF(C645="","",IFERROR(INDEX(잔액!$Y:$Y,MAX(64,C645)),0))</f>
      </c>
      <c r="E645" s="524">
        <f>IF(C645="","",IFERROR(INDEX(잔액!$A:$A,MAX(64,C645)),""))</f>
      </c>
      <c r="F645" s="504">
        <f>IF(C645="","",IFERROR(INDEX(잔액!$C:$C,MAX(64,C645)),""))</f>
      </c>
      <c r="G645" s="504">
        <f>IF(C645="","",IF(INDEX(잔액!$K:$K,MAX(64,C645))&lt;&gt;"",INDEX(잔액!$K:$K,MAX(64,C645)),INDEX(잔액!$D:$D,MAX(64,C645))))</f>
      </c>
      <c r="H645" s="504" t="inlineStr">
        <is>
          <t>원장</t>
        </is>
      </c>
      <c r="J645" s="504">
        <f>IFERROR(INDEX($C$100:$C$399,MATCH(B645,$A$100:$A$399,0)),"")</f>
        <v>0</v>
      </c>
      <c r="K645" s="524">
        <f>IFERROR(INDEX($D$100:$D$399,MATCH(B645,$A$100:$A$399,0)),"")</f>
      </c>
      <c r="L645" s="504">
        <f>IFERROR(INDEX($S$100:$S$399,MATCH(B645,$A$100:$A$399,0)),"")</f>
        <v>0</v>
      </c>
      <c r="M645" s="504">
        <f>IF(B645="","",IFERROR(IF(OR(AND(H645="기초반영",OR(B645="U001",B645="U002",B645="U003"),C645="",E645=DATE(2026,3,1)),AND(H645="원장",C645&gt;=64,C645&lt;=500,INDEX(잔액!$I:$I,MAX(64,C645))="OK",E645=INDEX(잔액!$A:$A,MAX(64,C645)),F645=INDEX(잔액!$C:$C,MAX(64,C645)),OR(F645=J645,F645="결제대금비",AND(B645="U008",C645=223,J645="경조사비",F645="명절비"),AND(B645="U008",C645=208,J645="경조사비",F645="임시보관",SUMIF($C$430:$C$729,C645,$D$430:$D$729)&lt;=39000)),OR(COUNTIF($A$8:$A$12,F645)=1,F645="결제대금비",AND(B645="U008",C645=208,J645="경조사비",F645="임시보관",SUMIF($C$430:$C$729,C645,$D$430:$D$729)&lt;=39000)),COUNTIF($A$8:$A$12,INDEX(잔액!$D:$D,MAX(64,C645)))=0,SUMIF($C$430:$C$729,C645,$D$430:$D$729)&lt;=INDEX(잔액!$Y:$Y,MAX(64,C645)))),1,0),0))</f>
      </c>
      <c r="N645" s="504">
        <f>IF(B645="","",IFERROR(IF(AND(COUNTIF($A$100:$A$399,B645)=1,INDEX($R$100:$R$399,MATCH(B645,$A$100:$A$399,0))="OK",D645&gt;0,ISNUMBER(E645),M645=1,SUMIF($B$430:$B$729,B645,$D$430:$D$729)&lt;=INDEX($E$100:$E$399,MATCH(B645,$A$100:$A$399,0))),"OK","확인: 정산연결"),"확인: 정산연결"))</f>
      </c>
      <c r="O645" s="526">
        <f>IF(N645="OK",D645,0)</f>
        <v>0</v>
      </c>
    </row>
    <row r="646" hidden="1" outlineLevel="1">
      <c r="A646" s="504">
        <f>IF(B646="","","S"&amp;ROW())</f>
      </c>
      <c r="B646" s="522" t="n"/>
      <c r="C646" s="522" t="n"/>
      <c r="D646" s="525">
        <f>IF(C646="","",IFERROR(INDEX(잔액!$Y:$Y,MAX(64,C646)),0))</f>
      </c>
      <c r="E646" s="524">
        <f>IF(C646="","",IFERROR(INDEX(잔액!$A:$A,MAX(64,C646)),""))</f>
      </c>
      <c r="F646" s="504">
        <f>IF(C646="","",IFERROR(INDEX(잔액!$C:$C,MAX(64,C646)),""))</f>
      </c>
      <c r="G646" s="504">
        <f>IF(C646="","",IF(INDEX(잔액!$K:$K,MAX(64,C646))&lt;&gt;"",INDEX(잔액!$K:$K,MAX(64,C646)),INDEX(잔액!$D:$D,MAX(64,C646))))</f>
      </c>
      <c r="H646" s="504" t="inlineStr">
        <is>
          <t>원장</t>
        </is>
      </c>
      <c r="J646" s="504">
        <f>IFERROR(INDEX($C$100:$C$399,MATCH(B646,$A$100:$A$399,0)),"")</f>
        <v>0</v>
      </c>
      <c r="K646" s="524">
        <f>IFERROR(INDEX($D$100:$D$399,MATCH(B646,$A$100:$A$399,0)),"")</f>
      </c>
      <c r="L646" s="504">
        <f>IFERROR(INDEX($S$100:$S$399,MATCH(B646,$A$100:$A$399,0)),"")</f>
        <v>0</v>
      </c>
      <c r="M646" s="504">
        <f>IF(B646="","",IFERROR(IF(OR(AND(H646="기초반영",OR(B646="U001",B646="U002",B646="U003"),C646="",E646=DATE(2026,3,1)),AND(H646="원장",C646&gt;=64,C646&lt;=500,INDEX(잔액!$I:$I,MAX(64,C646))="OK",E646=INDEX(잔액!$A:$A,MAX(64,C646)),F646=INDEX(잔액!$C:$C,MAX(64,C646)),OR(F646=J646,F646="결제대금비",AND(B646="U008",C646=223,J646="경조사비",F646="명절비"),AND(B646="U008",C646=208,J646="경조사비",F646="임시보관",SUMIF($C$430:$C$729,C646,$D$430:$D$729)&lt;=39000)),OR(COUNTIF($A$8:$A$12,F646)=1,F646="결제대금비",AND(B646="U008",C646=208,J646="경조사비",F646="임시보관",SUMIF($C$430:$C$729,C646,$D$430:$D$729)&lt;=39000)),COUNTIF($A$8:$A$12,INDEX(잔액!$D:$D,MAX(64,C646)))=0,SUMIF($C$430:$C$729,C646,$D$430:$D$729)&lt;=INDEX(잔액!$Y:$Y,MAX(64,C646)))),1,0),0))</f>
      </c>
      <c r="N646" s="504">
        <f>IF(B646="","",IFERROR(IF(AND(COUNTIF($A$100:$A$399,B646)=1,INDEX($R$100:$R$399,MATCH(B646,$A$100:$A$399,0))="OK",D646&gt;0,ISNUMBER(E646),M646=1,SUMIF($B$430:$B$729,B646,$D$430:$D$729)&lt;=INDEX($E$100:$E$399,MATCH(B646,$A$100:$A$399,0))),"OK","확인: 정산연결"),"확인: 정산연결"))</f>
      </c>
      <c r="O646" s="526">
        <f>IF(N646="OK",D646,0)</f>
        <v>0</v>
      </c>
    </row>
    <row r="647" hidden="1" outlineLevel="1">
      <c r="A647" s="504">
        <f>IF(B647="","","S"&amp;ROW())</f>
      </c>
      <c r="B647" s="522" t="n"/>
      <c r="C647" s="522" t="n"/>
      <c r="D647" s="525">
        <f>IF(C647="","",IFERROR(INDEX(잔액!$Y:$Y,MAX(64,C647)),0))</f>
      </c>
      <c r="E647" s="524">
        <f>IF(C647="","",IFERROR(INDEX(잔액!$A:$A,MAX(64,C647)),""))</f>
      </c>
      <c r="F647" s="504">
        <f>IF(C647="","",IFERROR(INDEX(잔액!$C:$C,MAX(64,C647)),""))</f>
      </c>
      <c r="G647" s="504">
        <f>IF(C647="","",IF(INDEX(잔액!$K:$K,MAX(64,C647))&lt;&gt;"",INDEX(잔액!$K:$K,MAX(64,C647)),INDEX(잔액!$D:$D,MAX(64,C647))))</f>
      </c>
      <c r="H647" s="504" t="inlineStr">
        <is>
          <t>원장</t>
        </is>
      </c>
      <c r="J647" s="504">
        <f>IFERROR(INDEX($C$100:$C$399,MATCH(B647,$A$100:$A$399,0)),"")</f>
        <v>0</v>
      </c>
      <c r="K647" s="524">
        <f>IFERROR(INDEX($D$100:$D$399,MATCH(B647,$A$100:$A$399,0)),"")</f>
      </c>
      <c r="L647" s="504">
        <f>IFERROR(INDEX($S$100:$S$399,MATCH(B647,$A$100:$A$399,0)),"")</f>
        <v>0</v>
      </c>
      <c r="M647" s="504">
        <f>IF(B647="","",IFERROR(IF(OR(AND(H647="기초반영",OR(B647="U001",B647="U002",B647="U003"),C647="",E647=DATE(2026,3,1)),AND(H647="원장",C647&gt;=64,C647&lt;=500,INDEX(잔액!$I:$I,MAX(64,C647))="OK",E647=INDEX(잔액!$A:$A,MAX(64,C647)),F647=INDEX(잔액!$C:$C,MAX(64,C647)),OR(F647=J647,F647="결제대금비",AND(B647="U008",C647=223,J647="경조사비",F647="명절비"),AND(B647="U008",C647=208,J647="경조사비",F647="임시보관",SUMIF($C$430:$C$729,C647,$D$430:$D$729)&lt;=39000)),OR(COUNTIF($A$8:$A$12,F647)=1,F647="결제대금비",AND(B647="U008",C647=208,J647="경조사비",F647="임시보관",SUMIF($C$430:$C$729,C647,$D$430:$D$729)&lt;=39000)),COUNTIF($A$8:$A$12,INDEX(잔액!$D:$D,MAX(64,C647)))=0,SUMIF($C$430:$C$729,C647,$D$430:$D$729)&lt;=INDEX(잔액!$Y:$Y,MAX(64,C647)))),1,0),0))</f>
      </c>
      <c r="N647" s="504">
        <f>IF(B647="","",IFERROR(IF(AND(COUNTIF($A$100:$A$399,B647)=1,INDEX($R$100:$R$399,MATCH(B647,$A$100:$A$399,0))="OK",D647&gt;0,ISNUMBER(E647),M647=1,SUMIF($B$430:$B$729,B647,$D$430:$D$729)&lt;=INDEX($E$100:$E$399,MATCH(B647,$A$100:$A$399,0))),"OK","확인: 정산연결"),"확인: 정산연결"))</f>
      </c>
      <c r="O647" s="526">
        <f>IF(N647="OK",D647,0)</f>
        <v>0</v>
      </c>
    </row>
    <row r="648" hidden="1" outlineLevel="1">
      <c r="A648" s="504">
        <f>IF(B648="","","S"&amp;ROW())</f>
      </c>
      <c r="B648" s="522" t="n"/>
      <c r="C648" s="522" t="n"/>
      <c r="D648" s="525">
        <f>IF(C648="","",IFERROR(INDEX(잔액!$Y:$Y,MAX(64,C648)),0))</f>
      </c>
      <c r="E648" s="524">
        <f>IF(C648="","",IFERROR(INDEX(잔액!$A:$A,MAX(64,C648)),""))</f>
      </c>
      <c r="F648" s="504">
        <f>IF(C648="","",IFERROR(INDEX(잔액!$C:$C,MAX(64,C648)),""))</f>
      </c>
      <c r="G648" s="504">
        <f>IF(C648="","",IF(INDEX(잔액!$K:$K,MAX(64,C648))&lt;&gt;"",INDEX(잔액!$K:$K,MAX(64,C648)),INDEX(잔액!$D:$D,MAX(64,C648))))</f>
      </c>
      <c r="H648" s="504" t="inlineStr">
        <is>
          <t>원장</t>
        </is>
      </c>
      <c r="J648" s="504">
        <f>IFERROR(INDEX($C$100:$C$399,MATCH(B648,$A$100:$A$399,0)),"")</f>
        <v>0</v>
      </c>
      <c r="K648" s="524">
        <f>IFERROR(INDEX($D$100:$D$399,MATCH(B648,$A$100:$A$399,0)),"")</f>
      </c>
      <c r="L648" s="504">
        <f>IFERROR(INDEX($S$100:$S$399,MATCH(B648,$A$100:$A$399,0)),"")</f>
        <v>0</v>
      </c>
      <c r="M648" s="504">
        <f>IF(B648="","",IFERROR(IF(OR(AND(H648="기초반영",OR(B648="U001",B648="U002",B648="U003"),C648="",E648=DATE(2026,3,1)),AND(H648="원장",C648&gt;=64,C648&lt;=500,INDEX(잔액!$I:$I,MAX(64,C648))="OK",E648=INDEX(잔액!$A:$A,MAX(64,C648)),F648=INDEX(잔액!$C:$C,MAX(64,C648)),OR(F648=J648,F648="결제대금비",AND(B648="U008",C648=223,J648="경조사비",F648="명절비"),AND(B648="U008",C648=208,J648="경조사비",F648="임시보관",SUMIF($C$430:$C$729,C648,$D$430:$D$729)&lt;=39000)),OR(COUNTIF($A$8:$A$12,F648)=1,F648="결제대금비",AND(B648="U008",C648=208,J648="경조사비",F648="임시보관",SUMIF($C$430:$C$729,C648,$D$430:$D$729)&lt;=39000)),COUNTIF($A$8:$A$12,INDEX(잔액!$D:$D,MAX(64,C648)))=0,SUMIF($C$430:$C$729,C648,$D$430:$D$729)&lt;=INDEX(잔액!$Y:$Y,MAX(64,C648)))),1,0),0))</f>
      </c>
      <c r="N648" s="504">
        <f>IF(B648="","",IFERROR(IF(AND(COUNTIF($A$100:$A$399,B648)=1,INDEX($R$100:$R$399,MATCH(B648,$A$100:$A$399,0))="OK",D648&gt;0,ISNUMBER(E648),M648=1,SUMIF($B$430:$B$729,B648,$D$430:$D$729)&lt;=INDEX($E$100:$E$399,MATCH(B648,$A$100:$A$399,0))),"OK","확인: 정산연결"),"확인: 정산연결"))</f>
      </c>
      <c r="O648" s="526">
        <f>IF(N648="OK",D648,0)</f>
        <v>0</v>
      </c>
    </row>
    <row r="649" hidden="1" outlineLevel="1">
      <c r="A649" s="504">
        <f>IF(B649="","","S"&amp;ROW())</f>
      </c>
      <c r="B649" s="522" t="n"/>
      <c r="C649" s="522" t="n"/>
      <c r="D649" s="525">
        <f>IF(C649="","",IFERROR(INDEX(잔액!$Y:$Y,MAX(64,C649)),0))</f>
      </c>
      <c r="E649" s="524">
        <f>IF(C649="","",IFERROR(INDEX(잔액!$A:$A,MAX(64,C649)),""))</f>
      </c>
      <c r="F649" s="504">
        <f>IF(C649="","",IFERROR(INDEX(잔액!$C:$C,MAX(64,C649)),""))</f>
      </c>
      <c r="G649" s="504">
        <f>IF(C649="","",IF(INDEX(잔액!$K:$K,MAX(64,C649))&lt;&gt;"",INDEX(잔액!$K:$K,MAX(64,C649)),INDEX(잔액!$D:$D,MAX(64,C649))))</f>
      </c>
      <c r="H649" s="504" t="inlineStr">
        <is>
          <t>원장</t>
        </is>
      </c>
      <c r="J649" s="504">
        <f>IFERROR(INDEX($C$100:$C$399,MATCH(B649,$A$100:$A$399,0)),"")</f>
        <v>0</v>
      </c>
      <c r="K649" s="524">
        <f>IFERROR(INDEX($D$100:$D$399,MATCH(B649,$A$100:$A$399,0)),"")</f>
      </c>
      <c r="L649" s="504">
        <f>IFERROR(INDEX($S$100:$S$399,MATCH(B649,$A$100:$A$399,0)),"")</f>
        <v>0</v>
      </c>
      <c r="M649" s="504">
        <f>IF(B649="","",IFERROR(IF(OR(AND(H649="기초반영",OR(B649="U001",B649="U002",B649="U003"),C649="",E649=DATE(2026,3,1)),AND(H649="원장",C649&gt;=64,C649&lt;=500,INDEX(잔액!$I:$I,MAX(64,C649))="OK",E649=INDEX(잔액!$A:$A,MAX(64,C649)),F649=INDEX(잔액!$C:$C,MAX(64,C649)),OR(F649=J649,F649="결제대금비",AND(B649="U008",C649=223,J649="경조사비",F649="명절비"),AND(B649="U008",C649=208,J649="경조사비",F649="임시보관",SUMIF($C$430:$C$729,C649,$D$430:$D$729)&lt;=39000)),OR(COUNTIF($A$8:$A$12,F649)=1,F649="결제대금비",AND(B649="U008",C649=208,J649="경조사비",F649="임시보관",SUMIF($C$430:$C$729,C649,$D$430:$D$729)&lt;=39000)),COUNTIF($A$8:$A$12,INDEX(잔액!$D:$D,MAX(64,C649)))=0,SUMIF($C$430:$C$729,C649,$D$430:$D$729)&lt;=INDEX(잔액!$Y:$Y,MAX(64,C649)))),1,0),0))</f>
      </c>
      <c r="N649" s="504">
        <f>IF(B649="","",IFERROR(IF(AND(COUNTIF($A$100:$A$399,B649)=1,INDEX($R$100:$R$399,MATCH(B649,$A$100:$A$399,0))="OK",D649&gt;0,ISNUMBER(E649),M649=1,SUMIF($B$430:$B$729,B649,$D$430:$D$729)&lt;=INDEX($E$100:$E$399,MATCH(B649,$A$100:$A$399,0))),"OK","확인: 정산연결"),"확인: 정산연결"))</f>
      </c>
      <c r="O649" s="526">
        <f>IF(N649="OK",D649,0)</f>
        <v>0</v>
      </c>
    </row>
    <row r="650" hidden="1" outlineLevel="1">
      <c r="A650" s="504">
        <f>IF(B650="","","S"&amp;ROW())</f>
      </c>
      <c r="B650" s="522" t="n"/>
      <c r="C650" s="522" t="n"/>
      <c r="D650" s="525">
        <f>IF(C650="","",IFERROR(INDEX(잔액!$Y:$Y,MAX(64,C650)),0))</f>
      </c>
      <c r="E650" s="524">
        <f>IF(C650="","",IFERROR(INDEX(잔액!$A:$A,MAX(64,C650)),""))</f>
      </c>
      <c r="F650" s="504">
        <f>IF(C650="","",IFERROR(INDEX(잔액!$C:$C,MAX(64,C650)),""))</f>
      </c>
      <c r="G650" s="504">
        <f>IF(C650="","",IF(INDEX(잔액!$K:$K,MAX(64,C650))&lt;&gt;"",INDEX(잔액!$K:$K,MAX(64,C650)),INDEX(잔액!$D:$D,MAX(64,C650))))</f>
      </c>
      <c r="H650" s="504" t="inlineStr">
        <is>
          <t>원장</t>
        </is>
      </c>
      <c r="J650" s="504">
        <f>IFERROR(INDEX($C$100:$C$399,MATCH(B650,$A$100:$A$399,0)),"")</f>
        <v>0</v>
      </c>
      <c r="K650" s="524">
        <f>IFERROR(INDEX($D$100:$D$399,MATCH(B650,$A$100:$A$399,0)),"")</f>
      </c>
      <c r="L650" s="504">
        <f>IFERROR(INDEX($S$100:$S$399,MATCH(B650,$A$100:$A$399,0)),"")</f>
        <v>0</v>
      </c>
      <c r="M650" s="504">
        <f>IF(B650="","",IFERROR(IF(OR(AND(H650="기초반영",OR(B650="U001",B650="U002",B650="U003"),C650="",E650=DATE(2026,3,1)),AND(H650="원장",C650&gt;=64,C650&lt;=500,INDEX(잔액!$I:$I,MAX(64,C650))="OK",E650=INDEX(잔액!$A:$A,MAX(64,C650)),F650=INDEX(잔액!$C:$C,MAX(64,C650)),OR(F650=J650,F650="결제대금비",AND(B650="U008",C650=223,J650="경조사비",F650="명절비"),AND(B650="U008",C650=208,J650="경조사비",F650="임시보관",SUMIF($C$430:$C$729,C650,$D$430:$D$729)&lt;=39000)),OR(COUNTIF($A$8:$A$12,F650)=1,F650="결제대금비",AND(B650="U008",C650=208,J650="경조사비",F650="임시보관",SUMIF($C$430:$C$729,C650,$D$430:$D$729)&lt;=39000)),COUNTIF($A$8:$A$12,INDEX(잔액!$D:$D,MAX(64,C650)))=0,SUMIF($C$430:$C$729,C650,$D$430:$D$729)&lt;=INDEX(잔액!$Y:$Y,MAX(64,C650)))),1,0),0))</f>
      </c>
      <c r="N650" s="504">
        <f>IF(B650="","",IFERROR(IF(AND(COUNTIF($A$100:$A$399,B650)=1,INDEX($R$100:$R$399,MATCH(B650,$A$100:$A$399,0))="OK",D650&gt;0,ISNUMBER(E650),M650=1,SUMIF($B$430:$B$729,B650,$D$430:$D$729)&lt;=INDEX($E$100:$E$399,MATCH(B650,$A$100:$A$399,0))),"OK","확인: 정산연결"),"확인: 정산연결"))</f>
      </c>
      <c r="O650" s="526">
        <f>IF(N650="OK",D650,0)</f>
        <v>0</v>
      </c>
    </row>
    <row r="651" hidden="1" outlineLevel="1">
      <c r="A651" s="504">
        <f>IF(B651="","","S"&amp;ROW())</f>
      </c>
      <c r="B651" s="522" t="n"/>
      <c r="C651" s="522" t="n"/>
      <c r="D651" s="525">
        <f>IF(C651="","",IFERROR(INDEX(잔액!$Y:$Y,MAX(64,C651)),0))</f>
      </c>
      <c r="E651" s="524">
        <f>IF(C651="","",IFERROR(INDEX(잔액!$A:$A,MAX(64,C651)),""))</f>
      </c>
      <c r="F651" s="504">
        <f>IF(C651="","",IFERROR(INDEX(잔액!$C:$C,MAX(64,C651)),""))</f>
      </c>
      <c r="G651" s="504">
        <f>IF(C651="","",IF(INDEX(잔액!$K:$K,MAX(64,C651))&lt;&gt;"",INDEX(잔액!$K:$K,MAX(64,C651)),INDEX(잔액!$D:$D,MAX(64,C651))))</f>
      </c>
      <c r="H651" s="504" t="inlineStr">
        <is>
          <t>원장</t>
        </is>
      </c>
      <c r="J651" s="504">
        <f>IFERROR(INDEX($C$100:$C$399,MATCH(B651,$A$100:$A$399,0)),"")</f>
        <v>0</v>
      </c>
      <c r="K651" s="524">
        <f>IFERROR(INDEX($D$100:$D$399,MATCH(B651,$A$100:$A$399,0)),"")</f>
      </c>
      <c r="L651" s="504">
        <f>IFERROR(INDEX($S$100:$S$399,MATCH(B651,$A$100:$A$399,0)),"")</f>
        <v>0</v>
      </c>
      <c r="M651" s="504">
        <f>IF(B651="","",IFERROR(IF(OR(AND(H651="기초반영",OR(B651="U001",B651="U002",B651="U003"),C651="",E651=DATE(2026,3,1)),AND(H651="원장",C651&gt;=64,C651&lt;=500,INDEX(잔액!$I:$I,MAX(64,C651))="OK",E651=INDEX(잔액!$A:$A,MAX(64,C651)),F651=INDEX(잔액!$C:$C,MAX(64,C651)),OR(F651=J651,F651="결제대금비",AND(B651="U008",C651=223,J651="경조사비",F651="명절비"),AND(B651="U008",C651=208,J651="경조사비",F651="임시보관",SUMIF($C$430:$C$729,C651,$D$430:$D$729)&lt;=39000)),OR(COUNTIF($A$8:$A$12,F651)=1,F651="결제대금비",AND(B651="U008",C651=208,J651="경조사비",F651="임시보관",SUMIF($C$430:$C$729,C651,$D$430:$D$729)&lt;=39000)),COUNTIF($A$8:$A$12,INDEX(잔액!$D:$D,MAX(64,C651)))=0,SUMIF($C$430:$C$729,C651,$D$430:$D$729)&lt;=INDEX(잔액!$Y:$Y,MAX(64,C651)))),1,0),0))</f>
      </c>
      <c r="N651" s="504">
        <f>IF(B651="","",IFERROR(IF(AND(COUNTIF($A$100:$A$399,B651)=1,INDEX($R$100:$R$399,MATCH(B651,$A$100:$A$399,0))="OK",D651&gt;0,ISNUMBER(E651),M651=1,SUMIF($B$430:$B$729,B651,$D$430:$D$729)&lt;=INDEX($E$100:$E$399,MATCH(B651,$A$100:$A$399,0))),"OK","확인: 정산연결"),"확인: 정산연결"))</f>
      </c>
      <c r="O651" s="526">
        <f>IF(N651="OK",D651,0)</f>
        <v>0</v>
      </c>
    </row>
    <row r="652" hidden="1" outlineLevel="1">
      <c r="A652" s="504">
        <f>IF(B652="","","S"&amp;ROW())</f>
      </c>
      <c r="B652" s="522" t="n"/>
      <c r="C652" s="522" t="n"/>
      <c r="D652" s="525">
        <f>IF(C652="","",IFERROR(INDEX(잔액!$Y:$Y,MAX(64,C652)),0))</f>
      </c>
      <c r="E652" s="524">
        <f>IF(C652="","",IFERROR(INDEX(잔액!$A:$A,MAX(64,C652)),""))</f>
      </c>
      <c r="F652" s="504">
        <f>IF(C652="","",IFERROR(INDEX(잔액!$C:$C,MAX(64,C652)),""))</f>
      </c>
      <c r="G652" s="504">
        <f>IF(C652="","",IF(INDEX(잔액!$K:$K,MAX(64,C652))&lt;&gt;"",INDEX(잔액!$K:$K,MAX(64,C652)),INDEX(잔액!$D:$D,MAX(64,C652))))</f>
      </c>
      <c r="H652" s="504" t="inlineStr">
        <is>
          <t>원장</t>
        </is>
      </c>
      <c r="J652" s="504">
        <f>IFERROR(INDEX($C$100:$C$399,MATCH(B652,$A$100:$A$399,0)),"")</f>
        <v>0</v>
      </c>
      <c r="K652" s="524">
        <f>IFERROR(INDEX($D$100:$D$399,MATCH(B652,$A$100:$A$399,0)),"")</f>
      </c>
      <c r="L652" s="504">
        <f>IFERROR(INDEX($S$100:$S$399,MATCH(B652,$A$100:$A$399,0)),"")</f>
        <v>0</v>
      </c>
      <c r="M652" s="504">
        <f>IF(B652="","",IFERROR(IF(OR(AND(H652="기초반영",OR(B652="U001",B652="U002",B652="U003"),C652="",E652=DATE(2026,3,1)),AND(H652="원장",C652&gt;=64,C652&lt;=500,INDEX(잔액!$I:$I,MAX(64,C652))="OK",E652=INDEX(잔액!$A:$A,MAX(64,C652)),F652=INDEX(잔액!$C:$C,MAX(64,C652)),OR(F652=J652,F652="결제대금비",AND(B652="U008",C652=223,J652="경조사비",F652="명절비"),AND(B652="U008",C652=208,J652="경조사비",F652="임시보관",SUMIF($C$430:$C$729,C652,$D$430:$D$729)&lt;=39000)),OR(COUNTIF($A$8:$A$12,F652)=1,F652="결제대금비",AND(B652="U008",C652=208,J652="경조사비",F652="임시보관",SUMIF($C$430:$C$729,C652,$D$430:$D$729)&lt;=39000)),COUNTIF($A$8:$A$12,INDEX(잔액!$D:$D,MAX(64,C652)))=0,SUMIF($C$430:$C$729,C652,$D$430:$D$729)&lt;=INDEX(잔액!$Y:$Y,MAX(64,C652)))),1,0),0))</f>
      </c>
      <c r="N652" s="504">
        <f>IF(B652="","",IFERROR(IF(AND(COUNTIF($A$100:$A$399,B652)=1,INDEX($R$100:$R$399,MATCH(B652,$A$100:$A$399,0))="OK",D652&gt;0,ISNUMBER(E652),M652=1,SUMIF($B$430:$B$729,B652,$D$430:$D$729)&lt;=INDEX($E$100:$E$399,MATCH(B652,$A$100:$A$399,0))),"OK","확인: 정산연결"),"확인: 정산연결"))</f>
      </c>
      <c r="O652" s="526">
        <f>IF(N652="OK",D652,0)</f>
        <v>0</v>
      </c>
    </row>
    <row r="653" hidden="1" outlineLevel="1">
      <c r="A653" s="504">
        <f>IF(B653="","","S"&amp;ROW())</f>
      </c>
      <c r="B653" s="522" t="n"/>
      <c r="C653" s="522" t="n"/>
      <c r="D653" s="525">
        <f>IF(C653="","",IFERROR(INDEX(잔액!$Y:$Y,MAX(64,C653)),0))</f>
      </c>
      <c r="E653" s="524">
        <f>IF(C653="","",IFERROR(INDEX(잔액!$A:$A,MAX(64,C653)),""))</f>
      </c>
      <c r="F653" s="504">
        <f>IF(C653="","",IFERROR(INDEX(잔액!$C:$C,MAX(64,C653)),""))</f>
      </c>
      <c r="G653" s="504">
        <f>IF(C653="","",IF(INDEX(잔액!$K:$K,MAX(64,C653))&lt;&gt;"",INDEX(잔액!$K:$K,MAX(64,C653)),INDEX(잔액!$D:$D,MAX(64,C653))))</f>
      </c>
      <c r="H653" s="504" t="inlineStr">
        <is>
          <t>원장</t>
        </is>
      </c>
      <c r="J653" s="504">
        <f>IFERROR(INDEX($C$100:$C$399,MATCH(B653,$A$100:$A$399,0)),"")</f>
        <v>0</v>
      </c>
      <c r="K653" s="524">
        <f>IFERROR(INDEX($D$100:$D$399,MATCH(B653,$A$100:$A$399,0)),"")</f>
      </c>
      <c r="L653" s="504">
        <f>IFERROR(INDEX($S$100:$S$399,MATCH(B653,$A$100:$A$399,0)),"")</f>
        <v>0</v>
      </c>
      <c r="M653" s="504">
        <f>IF(B653="","",IFERROR(IF(OR(AND(H653="기초반영",OR(B653="U001",B653="U002",B653="U003"),C653="",E653=DATE(2026,3,1)),AND(H653="원장",C653&gt;=64,C653&lt;=500,INDEX(잔액!$I:$I,MAX(64,C653))="OK",E653=INDEX(잔액!$A:$A,MAX(64,C653)),F653=INDEX(잔액!$C:$C,MAX(64,C653)),OR(F653=J653,F653="결제대금비",AND(B653="U008",C653=223,J653="경조사비",F653="명절비"),AND(B653="U008",C653=208,J653="경조사비",F653="임시보관",SUMIF($C$430:$C$729,C653,$D$430:$D$729)&lt;=39000)),OR(COUNTIF($A$8:$A$12,F653)=1,F653="결제대금비",AND(B653="U008",C653=208,J653="경조사비",F653="임시보관",SUMIF($C$430:$C$729,C653,$D$430:$D$729)&lt;=39000)),COUNTIF($A$8:$A$12,INDEX(잔액!$D:$D,MAX(64,C653)))=0,SUMIF($C$430:$C$729,C653,$D$430:$D$729)&lt;=INDEX(잔액!$Y:$Y,MAX(64,C653)))),1,0),0))</f>
      </c>
      <c r="N653" s="504">
        <f>IF(B653="","",IFERROR(IF(AND(COUNTIF($A$100:$A$399,B653)=1,INDEX($R$100:$R$399,MATCH(B653,$A$100:$A$399,0))="OK",D653&gt;0,ISNUMBER(E653),M653=1,SUMIF($B$430:$B$729,B653,$D$430:$D$729)&lt;=INDEX($E$100:$E$399,MATCH(B653,$A$100:$A$399,0))),"OK","확인: 정산연결"),"확인: 정산연결"))</f>
      </c>
      <c r="O653" s="526">
        <f>IF(N653="OK",D653,0)</f>
        <v>0</v>
      </c>
    </row>
    <row r="654" hidden="1" outlineLevel="1">
      <c r="A654" s="504">
        <f>IF(B654="","","S"&amp;ROW())</f>
      </c>
      <c r="B654" s="522" t="n"/>
      <c r="C654" s="522" t="n"/>
      <c r="D654" s="525">
        <f>IF(C654="","",IFERROR(INDEX(잔액!$Y:$Y,MAX(64,C654)),0))</f>
      </c>
      <c r="E654" s="524">
        <f>IF(C654="","",IFERROR(INDEX(잔액!$A:$A,MAX(64,C654)),""))</f>
      </c>
      <c r="F654" s="504">
        <f>IF(C654="","",IFERROR(INDEX(잔액!$C:$C,MAX(64,C654)),""))</f>
      </c>
      <c r="G654" s="504">
        <f>IF(C654="","",IF(INDEX(잔액!$K:$K,MAX(64,C654))&lt;&gt;"",INDEX(잔액!$K:$K,MAX(64,C654)),INDEX(잔액!$D:$D,MAX(64,C654))))</f>
      </c>
      <c r="H654" s="504" t="inlineStr">
        <is>
          <t>원장</t>
        </is>
      </c>
      <c r="J654" s="504">
        <f>IFERROR(INDEX($C$100:$C$399,MATCH(B654,$A$100:$A$399,0)),"")</f>
        <v>0</v>
      </c>
      <c r="K654" s="524">
        <f>IFERROR(INDEX($D$100:$D$399,MATCH(B654,$A$100:$A$399,0)),"")</f>
      </c>
      <c r="L654" s="504">
        <f>IFERROR(INDEX($S$100:$S$399,MATCH(B654,$A$100:$A$399,0)),"")</f>
        <v>0</v>
      </c>
      <c r="M654" s="504">
        <f>IF(B654="","",IFERROR(IF(OR(AND(H654="기초반영",OR(B654="U001",B654="U002",B654="U003"),C654="",E654=DATE(2026,3,1)),AND(H654="원장",C654&gt;=64,C654&lt;=500,INDEX(잔액!$I:$I,MAX(64,C654))="OK",E654=INDEX(잔액!$A:$A,MAX(64,C654)),F654=INDEX(잔액!$C:$C,MAX(64,C654)),OR(F654=J654,F654="결제대금비",AND(B654="U008",C654=223,J654="경조사비",F654="명절비"),AND(B654="U008",C654=208,J654="경조사비",F654="임시보관",SUMIF($C$430:$C$729,C654,$D$430:$D$729)&lt;=39000)),OR(COUNTIF($A$8:$A$12,F654)=1,F654="결제대금비",AND(B654="U008",C654=208,J654="경조사비",F654="임시보관",SUMIF($C$430:$C$729,C654,$D$430:$D$729)&lt;=39000)),COUNTIF($A$8:$A$12,INDEX(잔액!$D:$D,MAX(64,C654)))=0,SUMIF($C$430:$C$729,C654,$D$430:$D$729)&lt;=INDEX(잔액!$Y:$Y,MAX(64,C654)))),1,0),0))</f>
      </c>
      <c r="N654" s="504">
        <f>IF(B654="","",IFERROR(IF(AND(COUNTIF($A$100:$A$399,B654)=1,INDEX($R$100:$R$399,MATCH(B654,$A$100:$A$399,0))="OK",D654&gt;0,ISNUMBER(E654),M654=1,SUMIF($B$430:$B$729,B654,$D$430:$D$729)&lt;=INDEX($E$100:$E$399,MATCH(B654,$A$100:$A$399,0))),"OK","확인: 정산연결"),"확인: 정산연결"))</f>
      </c>
      <c r="O654" s="526">
        <f>IF(N654="OK",D654,0)</f>
        <v>0</v>
      </c>
    </row>
    <row r="655" hidden="1" outlineLevel="1">
      <c r="A655" s="504">
        <f>IF(B655="","","S"&amp;ROW())</f>
      </c>
      <c r="B655" s="522" t="n"/>
      <c r="C655" s="522" t="n"/>
      <c r="D655" s="525">
        <f>IF(C655="","",IFERROR(INDEX(잔액!$Y:$Y,MAX(64,C655)),0))</f>
      </c>
      <c r="E655" s="524">
        <f>IF(C655="","",IFERROR(INDEX(잔액!$A:$A,MAX(64,C655)),""))</f>
      </c>
      <c r="F655" s="504">
        <f>IF(C655="","",IFERROR(INDEX(잔액!$C:$C,MAX(64,C655)),""))</f>
      </c>
      <c r="G655" s="504">
        <f>IF(C655="","",IF(INDEX(잔액!$K:$K,MAX(64,C655))&lt;&gt;"",INDEX(잔액!$K:$K,MAX(64,C655)),INDEX(잔액!$D:$D,MAX(64,C655))))</f>
      </c>
      <c r="H655" s="504" t="inlineStr">
        <is>
          <t>원장</t>
        </is>
      </c>
      <c r="J655" s="504">
        <f>IFERROR(INDEX($C$100:$C$399,MATCH(B655,$A$100:$A$399,0)),"")</f>
        <v>0</v>
      </c>
      <c r="K655" s="524">
        <f>IFERROR(INDEX($D$100:$D$399,MATCH(B655,$A$100:$A$399,0)),"")</f>
      </c>
      <c r="L655" s="504">
        <f>IFERROR(INDEX($S$100:$S$399,MATCH(B655,$A$100:$A$399,0)),"")</f>
        <v>0</v>
      </c>
      <c r="M655" s="504">
        <f>IF(B655="","",IFERROR(IF(OR(AND(H655="기초반영",OR(B655="U001",B655="U002",B655="U003"),C655="",E655=DATE(2026,3,1)),AND(H655="원장",C655&gt;=64,C655&lt;=500,INDEX(잔액!$I:$I,MAX(64,C655))="OK",E655=INDEX(잔액!$A:$A,MAX(64,C655)),F655=INDEX(잔액!$C:$C,MAX(64,C655)),OR(F655=J655,F655="결제대금비",AND(B655="U008",C655=223,J655="경조사비",F655="명절비"),AND(B655="U008",C655=208,J655="경조사비",F655="임시보관",SUMIF($C$430:$C$729,C655,$D$430:$D$729)&lt;=39000)),OR(COUNTIF($A$8:$A$12,F655)=1,F655="결제대금비",AND(B655="U008",C655=208,J655="경조사비",F655="임시보관",SUMIF($C$430:$C$729,C655,$D$430:$D$729)&lt;=39000)),COUNTIF($A$8:$A$12,INDEX(잔액!$D:$D,MAX(64,C655)))=0,SUMIF($C$430:$C$729,C655,$D$430:$D$729)&lt;=INDEX(잔액!$Y:$Y,MAX(64,C655)))),1,0),0))</f>
      </c>
      <c r="N655" s="504">
        <f>IF(B655="","",IFERROR(IF(AND(COUNTIF($A$100:$A$399,B655)=1,INDEX($R$100:$R$399,MATCH(B655,$A$100:$A$399,0))="OK",D655&gt;0,ISNUMBER(E655),M655=1,SUMIF($B$430:$B$729,B655,$D$430:$D$729)&lt;=INDEX($E$100:$E$399,MATCH(B655,$A$100:$A$399,0))),"OK","확인: 정산연결"),"확인: 정산연결"))</f>
      </c>
      <c r="O655" s="526">
        <f>IF(N655="OK",D655,0)</f>
        <v>0</v>
      </c>
    </row>
    <row r="656" hidden="1" outlineLevel="1">
      <c r="A656" s="504">
        <f>IF(B656="","","S"&amp;ROW())</f>
      </c>
      <c r="B656" s="522" t="n"/>
      <c r="C656" s="522" t="n"/>
      <c r="D656" s="525">
        <f>IF(C656="","",IFERROR(INDEX(잔액!$Y:$Y,MAX(64,C656)),0))</f>
      </c>
      <c r="E656" s="524">
        <f>IF(C656="","",IFERROR(INDEX(잔액!$A:$A,MAX(64,C656)),""))</f>
      </c>
      <c r="F656" s="504">
        <f>IF(C656="","",IFERROR(INDEX(잔액!$C:$C,MAX(64,C656)),""))</f>
      </c>
      <c r="G656" s="504">
        <f>IF(C656="","",IF(INDEX(잔액!$K:$K,MAX(64,C656))&lt;&gt;"",INDEX(잔액!$K:$K,MAX(64,C656)),INDEX(잔액!$D:$D,MAX(64,C656))))</f>
      </c>
      <c r="H656" s="504" t="inlineStr">
        <is>
          <t>원장</t>
        </is>
      </c>
      <c r="J656" s="504">
        <f>IFERROR(INDEX($C$100:$C$399,MATCH(B656,$A$100:$A$399,0)),"")</f>
        <v>0</v>
      </c>
      <c r="K656" s="524">
        <f>IFERROR(INDEX($D$100:$D$399,MATCH(B656,$A$100:$A$399,0)),"")</f>
      </c>
      <c r="L656" s="504">
        <f>IFERROR(INDEX($S$100:$S$399,MATCH(B656,$A$100:$A$399,0)),"")</f>
        <v>0</v>
      </c>
      <c r="M656" s="504">
        <f>IF(B656="","",IFERROR(IF(OR(AND(H656="기초반영",OR(B656="U001",B656="U002",B656="U003"),C656="",E656=DATE(2026,3,1)),AND(H656="원장",C656&gt;=64,C656&lt;=500,INDEX(잔액!$I:$I,MAX(64,C656))="OK",E656=INDEX(잔액!$A:$A,MAX(64,C656)),F656=INDEX(잔액!$C:$C,MAX(64,C656)),OR(F656=J656,F656="결제대금비",AND(B656="U008",C656=223,J656="경조사비",F656="명절비"),AND(B656="U008",C656=208,J656="경조사비",F656="임시보관",SUMIF($C$430:$C$729,C656,$D$430:$D$729)&lt;=39000)),OR(COUNTIF($A$8:$A$12,F656)=1,F656="결제대금비",AND(B656="U008",C656=208,J656="경조사비",F656="임시보관",SUMIF($C$430:$C$729,C656,$D$430:$D$729)&lt;=39000)),COUNTIF($A$8:$A$12,INDEX(잔액!$D:$D,MAX(64,C656)))=0,SUMIF($C$430:$C$729,C656,$D$430:$D$729)&lt;=INDEX(잔액!$Y:$Y,MAX(64,C656)))),1,0),0))</f>
      </c>
      <c r="N656" s="504">
        <f>IF(B656="","",IFERROR(IF(AND(COUNTIF($A$100:$A$399,B656)=1,INDEX($R$100:$R$399,MATCH(B656,$A$100:$A$399,0))="OK",D656&gt;0,ISNUMBER(E656),M656=1,SUMIF($B$430:$B$729,B656,$D$430:$D$729)&lt;=INDEX($E$100:$E$399,MATCH(B656,$A$100:$A$399,0))),"OK","확인: 정산연결"),"확인: 정산연결"))</f>
      </c>
      <c r="O656" s="526">
        <f>IF(N656="OK",D656,0)</f>
        <v>0</v>
      </c>
    </row>
    <row r="657" hidden="1" outlineLevel="1">
      <c r="A657" s="504">
        <f>IF(B657="","","S"&amp;ROW())</f>
      </c>
      <c r="B657" s="522" t="n"/>
      <c r="C657" s="522" t="n"/>
      <c r="D657" s="525">
        <f>IF(C657="","",IFERROR(INDEX(잔액!$Y:$Y,MAX(64,C657)),0))</f>
      </c>
      <c r="E657" s="524">
        <f>IF(C657="","",IFERROR(INDEX(잔액!$A:$A,MAX(64,C657)),""))</f>
      </c>
      <c r="F657" s="504">
        <f>IF(C657="","",IFERROR(INDEX(잔액!$C:$C,MAX(64,C657)),""))</f>
      </c>
      <c r="G657" s="504">
        <f>IF(C657="","",IF(INDEX(잔액!$K:$K,MAX(64,C657))&lt;&gt;"",INDEX(잔액!$K:$K,MAX(64,C657)),INDEX(잔액!$D:$D,MAX(64,C657))))</f>
      </c>
      <c r="H657" s="504" t="inlineStr">
        <is>
          <t>원장</t>
        </is>
      </c>
      <c r="J657" s="504">
        <f>IFERROR(INDEX($C$100:$C$399,MATCH(B657,$A$100:$A$399,0)),"")</f>
        <v>0</v>
      </c>
      <c r="K657" s="524">
        <f>IFERROR(INDEX($D$100:$D$399,MATCH(B657,$A$100:$A$399,0)),"")</f>
      </c>
      <c r="L657" s="504">
        <f>IFERROR(INDEX($S$100:$S$399,MATCH(B657,$A$100:$A$399,0)),"")</f>
        <v>0</v>
      </c>
      <c r="M657" s="504">
        <f>IF(B657="","",IFERROR(IF(OR(AND(H657="기초반영",OR(B657="U001",B657="U002",B657="U003"),C657="",E657=DATE(2026,3,1)),AND(H657="원장",C657&gt;=64,C657&lt;=500,INDEX(잔액!$I:$I,MAX(64,C657))="OK",E657=INDEX(잔액!$A:$A,MAX(64,C657)),F657=INDEX(잔액!$C:$C,MAX(64,C657)),OR(F657=J657,F657="결제대금비",AND(B657="U008",C657=223,J657="경조사비",F657="명절비"),AND(B657="U008",C657=208,J657="경조사비",F657="임시보관",SUMIF($C$430:$C$729,C657,$D$430:$D$729)&lt;=39000)),OR(COUNTIF($A$8:$A$12,F657)=1,F657="결제대금비",AND(B657="U008",C657=208,J657="경조사비",F657="임시보관",SUMIF($C$430:$C$729,C657,$D$430:$D$729)&lt;=39000)),COUNTIF($A$8:$A$12,INDEX(잔액!$D:$D,MAX(64,C657)))=0,SUMIF($C$430:$C$729,C657,$D$430:$D$729)&lt;=INDEX(잔액!$Y:$Y,MAX(64,C657)))),1,0),0))</f>
      </c>
      <c r="N657" s="504">
        <f>IF(B657="","",IFERROR(IF(AND(COUNTIF($A$100:$A$399,B657)=1,INDEX($R$100:$R$399,MATCH(B657,$A$100:$A$399,0))="OK",D657&gt;0,ISNUMBER(E657),M657=1,SUMIF($B$430:$B$729,B657,$D$430:$D$729)&lt;=INDEX($E$100:$E$399,MATCH(B657,$A$100:$A$399,0))),"OK","확인: 정산연결"),"확인: 정산연결"))</f>
      </c>
      <c r="O657" s="526">
        <f>IF(N657="OK",D657,0)</f>
        <v>0</v>
      </c>
    </row>
    <row r="658" hidden="1" outlineLevel="1">
      <c r="A658" s="504">
        <f>IF(B658="","","S"&amp;ROW())</f>
      </c>
      <c r="B658" s="522" t="n"/>
      <c r="C658" s="522" t="n"/>
      <c r="D658" s="525">
        <f>IF(C658="","",IFERROR(INDEX(잔액!$Y:$Y,MAX(64,C658)),0))</f>
      </c>
      <c r="E658" s="524">
        <f>IF(C658="","",IFERROR(INDEX(잔액!$A:$A,MAX(64,C658)),""))</f>
      </c>
      <c r="F658" s="504">
        <f>IF(C658="","",IFERROR(INDEX(잔액!$C:$C,MAX(64,C658)),""))</f>
      </c>
      <c r="G658" s="504">
        <f>IF(C658="","",IF(INDEX(잔액!$K:$K,MAX(64,C658))&lt;&gt;"",INDEX(잔액!$K:$K,MAX(64,C658)),INDEX(잔액!$D:$D,MAX(64,C658))))</f>
      </c>
      <c r="H658" s="504" t="inlineStr">
        <is>
          <t>원장</t>
        </is>
      </c>
      <c r="J658" s="504">
        <f>IFERROR(INDEX($C$100:$C$399,MATCH(B658,$A$100:$A$399,0)),"")</f>
        <v>0</v>
      </c>
      <c r="K658" s="524">
        <f>IFERROR(INDEX($D$100:$D$399,MATCH(B658,$A$100:$A$399,0)),"")</f>
      </c>
      <c r="L658" s="504">
        <f>IFERROR(INDEX($S$100:$S$399,MATCH(B658,$A$100:$A$399,0)),"")</f>
        <v>0</v>
      </c>
      <c r="M658" s="504">
        <f>IF(B658="","",IFERROR(IF(OR(AND(H658="기초반영",OR(B658="U001",B658="U002",B658="U003"),C658="",E658=DATE(2026,3,1)),AND(H658="원장",C658&gt;=64,C658&lt;=500,INDEX(잔액!$I:$I,MAX(64,C658))="OK",E658=INDEX(잔액!$A:$A,MAX(64,C658)),F658=INDEX(잔액!$C:$C,MAX(64,C658)),OR(F658=J658,F658="결제대금비",AND(B658="U008",C658=223,J658="경조사비",F658="명절비"),AND(B658="U008",C658=208,J658="경조사비",F658="임시보관",SUMIF($C$430:$C$729,C658,$D$430:$D$729)&lt;=39000)),OR(COUNTIF($A$8:$A$12,F658)=1,F658="결제대금비",AND(B658="U008",C658=208,J658="경조사비",F658="임시보관",SUMIF($C$430:$C$729,C658,$D$430:$D$729)&lt;=39000)),COUNTIF($A$8:$A$12,INDEX(잔액!$D:$D,MAX(64,C658)))=0,SUMIF($C$430:$C$729,C658,$D$430:$D$729)&lt;=INDEX(잔액!$Y:$Y,MAX(64,C658)))),1,0),0))</f>
      </c>
      <c r="N658" s="504">
        <f>IF(B658="","",IFERROR(IF(AND(COUNTIF($A$100:$A$399,B658)=1,INDEX($R$100:$R$399,MATCH(B658,$A$100:$A$399,0))="OK",D658&gt;0,ISNUMBER(E658),M658=1,SUMIF($B$430:$B$729,B658,$D$430:$D$729)&lt;=INDEX($E$100:$E$399,MATCH(B658,$A$100:$A$399,0))),"OK","확인: 정산연결"),"확인: 정산연결"))</f>
      </c>
      <c r="O658" s="526">
        <f>IF(N658="OK",D658,0)</f>
        <v>0</v>
      </c>
    </row>
    <row r="659" hidden="1" outlineLevel="1">
      <c r="A659" s="504">
        <f>IF(B659="","","S"&amp;ROW())</f>
      </c>
      <c r="B659" s="522" t="n"/>
      <c r="C659" s="522" t="n"/>
      <c r="D659" s="525">
        <f>IF(C659="","",IFERROR(INDEX(잔액!$Y:$Y,MAX(64,C659)),0))</f>
      </c>
      <c r="E659" s="524">
        <f>IF(C659="","",IFERROR(INDEX(잔액!$A:$A,MAX(64,C659)),""))</f>
      </c>
      <c r="F659" s="504">
        <f>IF(C659="","",IFERROR(INDEX(잔액!$C:$C,MAX(64,C659)),""))</f>
      </c>
      <c r="G659" s="504">
        <f>IF(C659="","",IF(INDEX(잔액!$K:$K,MAX(64,C659))&lt;&gt;"",INDEX(잔액!$K:$K,MAX(64,C659)),INDEX(잔액!$D:$D,MAX(64,C659))))</f>
      </c>
      <c r="H659" s="504" t="inlineStr">
        <is>
          <t>원장</t>
        </is>
      </c>
      <c r="J659" s="504">
        <f>IFERROR(INDEX($C$100:$C$399,MATCH(B659,$A$100:$A$399,0)),"")</f>
        <v>0</v>
      </c>
      <c r="K659" s="524">
        <f>IFERROR(INDEX($D$100:$D$399,MATCH(B659,$A$100:$A$399,0)),"")</f>
      </c>
      <c r="L659" s="504">
        <f>IFERROR(INDEX($S$100:$S$399,MATCH(B659,$A$100:$A$399,0)),"")</f>
        <v>0</v>
      </c>
      <c r="M659" s="504">
        <f>IF(B659="","",IFERROR(IF(OR(AND(H659="기초반영",OR(B659="U001",B659="U002",B659="U003"),C659="",E659=DATE(2026,3,1)),AND(H659="원장",C659&gt;=64,C659&lt;=500,INDEX(잔액!$I:$I,MAX(64,C659))="OK",E659=INDEX(잔액!$A:$A,MAX(64,C659)),F659=INDEX(잔액!$C:$C,MAX(64,C659)),OR(F659=J659,F659="결제대금비",AND(B659="U008",C659=223,J659="경조사비",F659="명절비"),AND(B659="U008",C659=208,J659="경조사비",F659="임시보관",SUMIF($C$430:$C$729,C659,$D$430:$D$729)&lt;=39000)),OR(COUNTIF($A$8:$A$12,F659)=1,F659="결제대금비",AND(B659="U008",C659=208,J659="경조사비",F659="임시보관",SUMIF($C$430:$C$729,C659,$D$430:$D$729)&lt;=39000)),COUNTIF($A$8:$A$12,INDEX(잔액!$D:$D,MAX(64,C659)))=0,SUMIF($C$430:$C$729,C659,$D$430:$D$729)&lt;=INDEX(잔액!$Y:$Y,MAX(64,C659)))),1,0),0))</f>
      </c>
      <c r="N659" s="504">
        <f>IF(B659="","",IFERROR(IF(AND(COUNTIF($A$100:$A$399,B659)=1,INDEX($R$100:$R$399,MATCH(B659,$A$100:$A$399,0))="OK",D659&gt;0,ISNUMBER(E659),M659=1,SUMIF($B$430:$B$729,B659,$D$430:$D$729)&lt;=INDEX($E$100:$E$399,MATCH(B659,$A$100:$A$399,0))),"OK","확인: 정산연결"),"확인: 정산연결"))</f>
      </c>
      <c r="O659" s="526">
        <f>IF(N659="OK",D659,0)</f>
        <v>0</v>
      </c>
    </row>
    <row r="660" hidden="1" outlineLevel="1">
      <c r="A660" s="504">
        <f>IF(B660="","","S"&amp;ROW())</f>
      </c>
      <c r="B660" s="522" t="n"/>
      <c r="C660" s="522" t="n"/>
      <c r="D660" s="525">
        <f>IF(C660="","",IFERROR(INDEX(잔액!$Y:$Y,MAX(64,C660)),0))</f>
      </c>
      <c r="E660" s="524">
        <f>IF(C660="","",IFERROR(INDEX(잔액!$A:$A,MAX(64,C660)),""))</f>
      </c>
      <c r="F660" s="504">
        <f>IF(C660="","",IFERROR(INDEX(잔액!$C:$C,MAX(64,C660)),""))</f>
      </c>
      <c r="G660" s="504">
        <f>IF(C660="","",IF(INDEX(잔액!$K:$K,MAX(64,C660))&lt;&gt;"",INDEX(잔액!$K:$K,MAX(64,C660)),INDEX(잔액!$D:$D,MAX(64,C660))))</f>
      </c>
      <c r="H660" s="504" t="inlineStr">
        <is>
          <t>원장</t>
        </is>
      </c>
      <c r="J660" s="504">
        <f>IFERROR(INDEX($C$100:$C$399,MATCH(B660,$A$100:$A$399,0)),"")</f>
        <v>0</v>
      </c>
      <c r="K660" s="524">
        <f>IFERROR(INDEX($D$100:$D$399,MATCH(B660,$A$100:$A$399,0)),"")</f>
      </c>
      <c r="L660" s="504">
        <f>IFERROR(INDEX($S$100:$S$399,MATCH(B660,$A$100:$A$399,0)),"")</f>
        <v>0</v>
      </c>
      <c r="M660" s="504">
        <f>IF(B660="","",IFERROR(IF(OR(AND(H660="기초반영",OR(B660="U001",B660="U002",B660="U003"),C660="",E660=DATE(2026,3,1)),AND(H660="원장",C660&gt;=64,C660&lt;=500,INDEX(잔액!$I:$I,MAX(64,C660))="OK",E660=INDEX(잔액!$A:$A,MAX(64,C660)),F660=INDEX(잔액!$C:$C,MAX(64,C660)),OR(F660=J660,F660="결제대금비",AND(B660="U008",C660=223,J660="경조사비",F660="명절비"),AND(B660="U008",C660=208,J660="경조사비",F660="임시보관",SUMIF($C$430:$C$729,C660,$D$430:$D$729)&lt;=39000)),OR(COUNTIF($A$8:$A$12,F660)=1,F660="결제대금비",AND(B660="U008",C660=208,J660="경조사비",F660="임시보관",SUMIF($C$430:$C$729,C660,$D$430:$D$729)&lt;=39000)),COUNTIF($A$8:$A$12,INDEX(잔액!$D:$D,MAX(64,C660)))=0,SUMIF($C$430:$C$729,C660,$D$430:$D$729)&lt;=INDEX(잔액!$Y:$Y,MAX(64,C660)))),1,0),0))</f>
      </c>
      <c r="N660" s="504">
        <f>IF(B660="","",IFERROR(IF(AND(COUNTIF($A$100:$A$399,B660)=1,INDEX($R$100:$R$399,MATCH(B660,$A$100:$A$399,0))="OK",D660&gt;0,ISNUMBER(E660),M660=1,SUMIF($B$430:$B$729,B660,$D$430:$D$729)&lt;=INDEX($E$100:$E$399,MATCH(B660,$A$100:$A$399,0))),"OK","확인: 정산연결"),"확인: 정산연결"))</f>
      </c>
      <c r="O660" s="526">
        <f>IF(N660="OK",D660,0)</f>
        <v>0</v>
      </c>
    </row>
    <row r="661" hidden="1" outlineLevel="1">
      <c r="A661" s="504">
        <f>IF(B661="","","S"&amp;ROW())</f>
      </c>
      <c r="B661" s="522" t="n"/>
      <c r="C661" s="522" t="n"/>
      <c r="D661" s="525">
        <f>IF(C661="","",IFERROR(INDEX(잔액!$Y:$Y,MAX(64,C661)),0))</f>
      </c>
      <c r="E661" s="524">
        <f>IF(C661="","",IFERROR(INDEX(잔액!$A:$A,MAX(64,C661)),""))</f>
      </c>
      <c r="F661" s="504">
        <f>IF(C661="","",IFERROR(INDEX(잔액!$C:$C,MAX(64,C661)),""))</f>
      </c>
      <c r="G661" s="504">
        <f>IF(C661="","",IF(INDEX(잔액!$K:$K,MAX(64,C661))&lt;&gt;"",INDEX(잔액!$K:$K,MAX(64,C661)),INDEX(잔액!$D:$D,MAX(64,C661))))</f>
      </c>
      <c r="H661" s="504" t="inlineStr">
        <is>
          <t>원장</t>
        </is>
      </c>
      <c r="J661" s="504">
        <f>IFERROR(INDEX($C$100:$C$399,MATCH(B661,$A$100:$A$399,0)),"")</f>
        <v>0</v>
      </c>
      <c r="K661" s="524">
        <f>IFERROR(INDEX($D$100:$D$399,MATCH(B661,$A$100:$A$399,0)),"")</f>
      </c>
      <c r="L661" s="504">
        <f>IFERROR(INDEX($S$100:$S$399,MATCH(B661,$A$100:$A$399,0)),"")</f>
        <v>0</v>
      </c>
      <c r="M661" s="504">
        <f>IF(B661="","",IFERROR(IF(OR(AND(H661="기초반영",OR(B661="U001",B661="U002",B661="U003"),C661="",E661=DATE(2026,3,1)),AND(H661="원장",C661&gt;=64,C661&lt;=500,INDEX(잔액!$I:$I,MAX(64,C661))="OK",E661=INDEX(잔액!$A:$A,MAX(64,C661)),F661=INDEX(잔액!$C:$C,MAX(64,C661)),OR(F661=J661,F661="결제대금비",AND(B661="U008",C661=223,J661="경조사비",F661="명절비"),AND(B661="U008",C661=208,J661="경조사비",F661="임시보관",SUMIF($C$430:$C$729,C661,$D$430:$D$729)&lt;=39000)),OR(COUNTIF($A$8:$A$12,F661)=1,F661="결제대금비",AND(B661="U008",C661=208,J661="경조사비",F661="임시보관",SUMIF($C$430:$C$729,C661,$D$430:$D$729)&lt;=39000)),COUNTIF($A$8:$A$12,INDEX(잔액!$D:$D,MAX(64,C661)))=0,SUMIF($C$430:$C$729,C661,$D$430:$D$729)&lt;=INDEX(잔액!$Y:$Y,MAX(64,C661)))),1,0),0))</f>
      </c>
      <c r="N661" s="504">
        <f>IF(B661="","",IFERROR(IF(AND(COUNTIF($A$100:$A$399,B661)=1,INDEX($R$100:$R$399,MATCH(B661,$A$100:$A$399,0))="OK",D661&gt;0,ISNUMBER(E661),M661=1,SUMIF($B$430:$B$729,B661,$D$430:$D$729)&lt;=INDEX($E$100:$E$399,MATCH(B661,$A$100:$A$399,0))),"OK","확인: 정산연결"),"확인: 정산연결"))</f>
      </c>
      <c r="O661" s="526">
        <f>IF(N661="OK",D661,0)</f>
        <v>0</v>
      </c>
    </row>
    <row r="662" hidden="1" outlineLevel="1">
      <c r="A662" s="504">
        <f>IF(B662="","","S"&amp;ROW())</f>
      </c>
      <c r="B662" s="522" t="n"/>
      <c r="C662" s="522" t="n"/>
      <c r="D662" s="525">
        <f>IF(C662="","",IFERROR(INDEX(잔액!$Y:$Y,MAX(64,C662)),0))</f>
      </c>
      <c r="E662" s="524">
        <f>IF(C662="","",IFERROR(INDEX(잔액!$A:$A,MAX(64,C662)),""))</f>
      </c>
      <c r="F662" s="504">
        <f>IF(C662="","",IFERROR(INDEX(잔액!$C:$C,MAX(64,C662)),""))</f>
      </c>
      <c r="G662" s="504">
        <f>IF(C662="","",IF(INDEX(잔액!$K:$K,MAX(64,C662))&lt;&gt;"",INDEX(잔액!$K:$K,MAX(64,C662)),INDEX(잔액!$D:$D,MAX(64,C662))))</f>
      </c>
      <c r="H662" s="504" t="inlineStr">
        <is>
          <t>원장</t>
        </is>
      </c>
      <c r="J662" s="504">
        <f>IFERROR(INDEX($C$100:$C$399,MATCH(B662,$A$100:$A$399,0)),"")</f>
        <v>0</v>
      </c>
      <c r="K662" s="524">
        <f>IFERROR(INDEX($D$100:$D$399,MATCH(B662,$A$100:$A$399,0)),"")</f>
      </c>
      <c r="L662" s="504">
        <f>IFERROR(INDEX($S$100:$S$399,MATCH(B662,$A$100:$A$399,0)),"")</f>
        <v>0</v>
      </c>
      <c r="M662" s="504">
        <f>IF(B662="","",IFERROR(IF(OR(AND(H662="기초반영",OR(B662="U001",B662="U002",B662="U003"),C662="",E662=DATE(2026,3,1)),AND(H662="원장",C662&gt;=64,C662&lt;=500,INDEX(잔액!$I:$I,MAX(64,C662))="OK",E662=INDEX(잔액!$A:$A,MAX(64,C662)),F662=INDEX(잔액!$C:$C,MAX(64,C662)),OR(F662=J662,F662="결제대금비",AND(B662="U008",C662=223,J662="경조사비",F662="명절비"),AND(B662="U008",C662=208,J662="경조사비",F662="임시보관",SUMIF($C$430:$C$729,C662,$D$430:$D$729)&lt;=39000)),OR(COUNTIF($A$8:$A$12,F662)=1,F662="결제대금비",AND(B662="U008",C662=208,J662="경조사비",F662="임시보관",SUMIF($C$430:$C$729,C662,$D$430:$D$729)&lt;=39000)),COUNTIF($A$8:$A$12,INDEX(잔액!$D:$D,MAX(64,C662)))=0,SUMIF($C$430:$C$729,C662,$D$430:$D$729)&lt;=INDEX(잔액!$Y:$Y,MAX(64,C662)))),1,0),0))</f>
      </c>
      <c r="N662" s="504">
        <f>IF(B662="","",IFERROR(IF(AND(COUNTIF($A$100:$A$399,B662)=1,INDEX($R$100:$R$399,MATCH(B662,$A$100:$A$399,0))="OK",D662&gt;0,ISNUMBER(E662),M662=1,SUMIF($B$430:$B$729,B662,$D$430:$D$729)&lt;=INDEX($E$100:$E$399,MATCH(B662,$A$100:$A$399,0))),"OK","확인: 정산연결"),"확인: 정산연결"))</f>
      </c>
      <c r="O662" s="526">
        <f>IF(N662="OK",D662,0)</f>
        <v>0</v>
      </c>
    </row>
    <row r="663" hidden="1" outlineLevel="1">
      <c r="A663" s="504">
        <f>IF(B663="","","S"&amp;ROW())</f>
      </c>
      <c r="B663" s="522" t="n"/>
      <c r="C663" s="522" t="n"/>
      <c r="D663" s="525">
        <f>IF(C663="","",IFERROR(INDEX(잔액!$Y:$Y,MAX(64,C663)),0))</f>
      </c>
      <c r="E663" s="524">
        <f>IF(C663="","",IFERROR(INDEX(잔액!$A:$A,MAX(64,C663)),""))</f>
      </c>
      <c r="F663" s="504">
        <f>IF(C663="","",IFERROR(INDEX(잔액!$C:$C,MAX(64,C663)),""))</f>
      </c>
      <c r="G663" s="504">
        <f>IF(C663="","",IF(INDEX(잔액!$K:$K,MAX(64,C663))&lt;&gt;"",INDEX(잔액!$K:$K,MAX(64,C663)),INDEX(잔액!$D:$D,MAX(64,C663))))</f>
      </c>
      <c r="H663" s="504" t="inlineStr">
        <is>
          <t>원장</t>
        </is>
      </c>
      <c r="J663" s="504">
        <f>IFERROR(INDEX($C$100:$C$399,MATCH(B663,$A$100:$A$399,0)),"")</f>
        <v>0</v>
      </c>
      <c r="K663" s="524">
        <f>IFERROR(INDEX($D$100:$D$399,MATCH(B663,$A$100:$A$399,0)),"")</f>
      </c>
      <c r="L663" s="504">
        <f>IFERROR(INDEX($S$100:$S$399,MATCH(B663,$A$100:$A$399,0)),"")</f>
        <v>0</v>
      </c>
      <c r="M663" s="504">
        <f>IF(B663="","",IFERROR(IF(OR(AND(H663="기초반영",OR(B663="U001",B663="U002",B663="U003"),C663="",E663=DATE(2026,3,1)),AND(H663="원장",C663&gt;=64,C663&lt;=500,INDEX(잔액!$I:$I,MAX(64,C663))="OK",E663=INDEX(잔액!$A:$A,MAX(64,C663)),F663=INDEX(잔액!$C:$C,MAX(64,C663)),OR(F663=J663,F663="결제대금비",AND(B663="U008",C663=223,J663="경조사비",F663="명절비"),AND(B663="U008",C663=208,J663="경조사비",F663="임시보관",SUMIF($C$430:$C$729,C663,$D$430:$D$729)&lt;=39000)),OR(COUNTIF($A$8:$A$12,F663)=1,F663="결제대금비",AND(B663="U008",C663=208,J663="경조사비",F663="임시보관",SUMIF($C$430:$C$729,C663,$D$430:$D$729)&lt;=39000)),COUNTIF($A$8:$A$12,INDEX(잔액!$D:$D,MAX(64,C663)))=0,SUMIF($C$430:$C$729,C663,$D$430:$D$729)&lt;=INDEX(잔액!$Y:$Y,MAX(64,C663)))),1,0),0))</f>
      </c>
      <c r="N663" s="504">
        <f>IF(B663="","",IFERROR(IF(AND(COUNTIF($A$100:$A$399,B663)=1,INDEX($R$100:$R$399,MATCH(B663,$A$100:$A$399,0))="OK",D663&gt;0,ISNUMBER(E663),M663=1,SUMIF($B$430:$B$729,B663,$D$430:$D$729)&lt;=INDEX($E$100:$E$399,MATCH(B663,$A$100:$A$399,0))),"OK","확인: 정산연결"),"확인: 정산연결"))</f>
      </c>
      <c r="O663" s="526">
        <f>IF(N663="OK",D663,0)</f>
        <v>0</v>
      </c>
    </row>
    <row r="664" hidden="1" outlineLevel="1">
      <c r="A664" s="504">
        <f>IF(B664="","","S"&amp;ROW())</f>
      </c>
      <c r="B664" s="522" t="n"/>
      <c r="C664" s="522" t="n"/>
      <c r="D664" s="525">
        <f>IF(C664="","",IFERROR(INDEX(잔액!$Y:$Y,MAX(64,C664)),0))</f>
      </c>
      <c r="E664" s="524">
        <f>IF(C664="","",IFERROR(INDEX(잔액!$A:$A,MAX(64,C664)),""))</f>
      </c>
      <c r="F664" s="504">
        <f>IF(C664="","",IFERROR(INDEX(잔액!$C:$C,MAX(64,C664)),""))</f>
      </c>
      <c r="G664" s="504">
        <f>IF(C664="","",IF(INDEX(잔액!$K:$K,MAX(64,C664))&lt;&gt;"",INDEX(잔액!$K:$K,MAX(64,C664)),INDEX(잔액!$D:$D,MAX(64,C664))))</f>
      </c>
      <c r="H664" s="504" t="inlineStr">
        <is>
          <t>원장</t>
        </is>
      </c>
      <c r="J664" s="504">
        <f>IFERROR(INDEX($C$100:$C$399,MATCH(B664,$A$100:$A$399,0)),"")</f>
        <v>0</v>
      </c>
      <c r="K664" s="524">
        <f>IFERROR(INDEX($D$100:$D$399,MATCH(B664,$A$100:$A$399,0)),"")</f>
      </c>
      <c r="L664" s="504">
        <f>IFERROR(INDEX($S$100:$S$399,MATCH(B664,$A$100:$A$399,0)),"")</f>
        <v>0</v>
      </c>
      <c r="M664" s="504">
        <f>IF(B664="","",IFERROR(IF(OR(AND(H664="기초반영",OR(B664="U001",B664="U002",B664="U003"),C664="",E664=DATE(2026,3,1)),AND(H664="원장",C664&gt;=64,C664&lt;=500,INDEX(잔액!$I:$I,MAX(64,C664))="OK",E664=INDEX(잔액!$A:$A,MAX(64,C664)),F664=INDEX(잔액!$C:$C,MAX(64,C664)),OR(F664=J664,F664="결제대금비",AND(B664="U008",C664=223,J664="경조사비",F664="명절비"),AND(B664="U008",C664=208,J664="경조사비",F664="임시보관",SUMIF($C$430:$C$729,C664,$D$430:$D$729)&lt;=39000)),OR(COUNTIF($A$8:$A$12,F664)=1,F664="결제대금비",AND(B664="U008",C664=208,J664="경조사비",F664="임시보관",SUMIF($C$430:$C$729,C664,$D$430:$D$729)&lt;=39000)),COUNTIF($A$8:$A$12,INDEX(잔액!$D:$D,MAX(64,C664)))=0,SUMIF($C$430:$C$729,C664,$D$430:$D$729)&lt;=INDEX(잔액!$Y:$Y,MAX(64,C664)))),1,0),0))</f>
      </c>
      <c r="N664" s="504">
        <f>IF(B664="","",IFERROR(IF(AND(COUNTIF($A$100:$A$399,B664)=1,INDEX($R$100:$R$399,MATCH(B664,$A$100:$A$399,0))="OK",D664&gt;0,ISNUMBER(E664),M664=1,SUMIF($B$430:$B$729,B664,$D$430:$D$729)&lt;=INDEX($E$100:$E$399,MATCH(B664,$A$100:$A$399,0))),"OK","확인: 정산연결"),"확인: 정산연결"))</f>
      </c>
      <c r="O664" s="526">
        <f>IF(N664="OK",D664,0)</f>
        <v>0</v>
      </c>
    </row>
    <row r="665" hidden="1" outlineLevel="1">
      <c r="A665" s="504">
        <f>IF(B665="","","S"&amp;ROW())</f>
      </c>
      <c r="B665" s="522" t="n"/>
      <c r="C665" s="522" t="n"/>
      <c r="D665" s="525">
        <f>IF(C665="","",IFERROR(INDEX(잔액!$Y:$Y,MAX(64,C665)),0))</f>
      </c>
      <c r="E665" s="524">
        <f>IF(C665="","",IFERROR(INDEX(잔액!$A:$A,MAX(64,C665)),""))</f>
      </c>
      <c r="F665" s="504">
        <f>IF(C665="","",IFERROR(INDEX(잔액!$C:$C,MAX(64,C665)),""))</f>
      </c>
      <c r="G665" s="504">
        <f>IF(C665="","",IF(INDEX(잔액!$K:$K,MAX(64,C665))&lt;&gt;"",INDEX(잔액!$K:$K,MAX(64,C665)),INDEX(잔액!$D:$D,MAX(64,C665))))</f>
      </c>
      <c r="H665" s="504" t="inlineStr">
        <is>
          <t>원장</t>
        </is>
      </c>
      <c r="J665" s="504">
        <f>IFERROR(INDEX($C$100:$C$399,MATCH(B665,$A$100:$A$399,0)),"")</f>
        <v>0</v>
      </c>
      <c r="K665" s="524">
        <f>IFERROR(INDEX($D$100:$D$399,MATCH(B665,$A$100:$A$399,0)),"")</f>
      </c>
      <c r="L665" s="504">
        <f>IFERROR(INDEX($S$100:$S$399,MATCH(B665,$A$100:$A$399,0)),"")</f>
        <v>0</v>
      </c>
      <c r="M665" s="504">
        <f>IF(B665="","",IFERROR(IF(OR(AND(H665="기초반영",OR(B665="U001",B665="U002",B665="U003"),C665="",E665=DATE(2026,3,1)),AND(H665="원장",C665&gt;=64,C665&lt;=500,INDEX(잔액!$I:$I,MAX(64,C665))="OK",E665=INDEX(잔액!$A:$A,MAX(64,C665)),F665=INDEX(잔액!$C:$C,MAX(64,C665)),OR(F665=J665,F665="결제대금비",AND(B665="U008",C665=223,J665="경조사비",F665="명절비"),AND(B665="U008",C665=208,J665="경조사비",F665="임시보관",SUMIF($C$430:$C$729,C665,$D$430:$D$729)&lt;=39000)),OR(COUNTIF($A$8:$A$12,F665)=1,F665="결제대금비",AND(B665="U008",C665=208,J665="경조사비",F665="임시보관",SUMIF($C$430:$C$729,C665,$D$430:$D$729)&lt;=39000)),COUNTIF($A$8:$A$12,INDEX(잔액!$D:$D,MAX(64,C665)))=0,SUMIF($C$430:$C$729,C665,$D$430:$D$729)&lt;=INDEX(잔액!$Y:$Y,MAX(64,C665)))),1,0),0))</f>
      </c>
      <c r="N665" s="504">
        <f>IF(B665="","",IFERROR(IF(AND(COUNTIF($A$100:$A$399,B665)=1,INDEX($R$100:$R$399,MATCH(B665,$A$100:$A$399,0))="OK",D665&gt;0,ISNUMBER(E665),M665=1,SUMIF($B$430:$B$729,B665,$D$430:$D$729)&lt;=INDEX($E$100:$E$399,MATCH(B665,$A$100:$A$399,0))),"OK","확인: 정산연결"),"확인: 정산연결"))</f>
      </c>
      <c r="O665" s="526">
        <f>IF(N665="OK",D665,0)</f>
        <v>0</v>
      </c>
    </row>
    <row r="666" hidden="1" outlineLevel="1">
      <c r="A666" s="504">
        <f>IF(B666="","","S"&amp;ROW())</f>
      </c>
      <c r="B666" s="522" t="n"/>
      <c r="C666" s="522" t="n"/>
      <c r="D666" s="525">
        <f>IF(C666="","",IFERROR(INDEX(잔액!$Y:$Y,MAX(64,C666)),0))</f>
      </c>
      <c r="E666" s="524">
        <f>IF(C666="","",IFERROR(INDEX(잔액!$A:$A,MAX(64,C666)),""))</f>
      </c>
      <c r="F666" s="504">
        <f>IF(C666="","",IFERROR(INDEX(잔액!$C:$C,MAX(64,C666)),""))</f>
      </c>
      <c r="G666" s="504">
        <f>IF(C666="","",IF(INDEX(잔액!$K:$K,MAX(64,C666))&lt;&gt;"",INDEX(잔액!$K:$K,MAX(64,C666)),INDEX(잔액!$D:$D,MAX(64,C666))))</f>
      </c>
      <c r="H666" s="504" t="inlineStr">
        <is>
          <t>원장</t>
        </is>
      </c>
      <c r="J666" s="504">
        <f>IFERROR(INDEX($C$100:$C$399,MATCH(B666,$A$100:$A$399,0)),"")</f>
        <v>0</v>
      </c>
      <c r="K666" s="524">
        <f>IFERROR(INDEX($D$100:$D$399,MATCH(B666,$A$100:$A$399,0)),"")</f>
      </c>
      <c r="L666" s="504">
        <f>IFERROR(INDEX($S$100:$S$399,MATCH(B666,$A$100:$A$399,0)),"")</f>
        <v>0</v>
      </c>
      <c r="M666" s="504">
        <f>IF(B666="","",IFERROR(IF(OR(AND(H666="기초반영",OR(B666="U001",B666="U002",B666="U003"),C666="",E666=DATE(2026,3,1)),AND(H666="원장",C666&gt;=64,C666&lt;=500,INDEX(잔액!$I:$I,MAX(64,C666))="OK",E666=INDEX(잔액!$A:$A,MAX(64,C666)),F666=INDEX(잔액!$C:$C,MAX(64,C666)),OR(F666=J666,F666="결제대금비",AND(B666="U008",C666=223,J666="경조사비",F666="명절비"),AND(B666="U008",C666=208,J666="경조사비",F666="임시보관",SUMIF($C$430:$C$729,C666,$D$430:$D$729)&lt;=39000)),OR(COUNTIF($A$8:$A$12,F666)=1,F666="결제대금비",AND(B666="U008",C666=208,J666="경조사비",F666="임시보관",SUMIF($C$430:$C$729,C666,$D$430:$D$729)&lt;=39000)),COUNTIF($A$8:$A$12,INDEX(잔액!$D:$D,MAX(64,C666)))=0,SUMIF($C$430:$C$729,C666,$D$430:$D$729)&lt;=INDEX(잔액!$Y:$Y,MAX(64,C666)))),1,0),0))</f>
      </c>
      <c r="N666" s="504">
        <f>IF(B666="","",IFERROR(IF(AND(COUNTIF($A$100:$A$399,B666)=1,INDEX($R$100:$R$399,MATCH(B666,$A$100:$A$399,0))="OK",D666&gt;0,ISNUMBER(E666),M666=1,SUMIF($B$430:$B$729,B666,$D$430:$D$729)&lt;=INDEX($E$100:$E$399,MATCH(B666,$A$100:$A$399,0))),"OK","확인: 정산연결"),"확인: 정산연결"))</f>
      </c>
      <c r="O666" s="526">
        <f>IF(N666="OK",D666,0)</f>
        <v>0</v>
      </c>
    </row>
    <row r="667" hidden="1" outlineLevel="1">
      <c r="A667" s="504">
        <f>IF(B667="","","S"&amp;ROW())</f>
      </c>
      <c r="B667" s="522" t="n"/>
      <c r="C667" s="522" t="n"/>
      <c r="D667" s="525">
        <f>IF(C667="","",IFERROR(INDEX(잔액!$Y:$Y,MAX(64,C667)),0))</f>
      </c>
      <c r="E667" s="524">
        <f>IF(C667="","",IFERROR(INDEX(잔액!$A:$A,MAX(64,C667)),""))</f>
      </c>
      <c r="F667" s="504">
        <f>IF(C667="","",IFERROR(INDEX(잔액!$C:$C,MAX(64,C667)),""))</f>
      </c>
      <c r="G667" s="504">
        <f>IF(C667="","",IF(INDEX(잔액!$K:$K,MAX(64,C667))&lt;&gt;"",INDEX(잔액!$K:$K,MAX(64,C667)),INDEX(잔액!$D:$D,MAX(64,C667))))</f>
      </c>
      <c r="H667" s="504" t="inlineStr">
        <is>
          <t>원장</t>
        </is>
      </c>
      <c r="J667" s="504">
        <f>IFERROR(INDEX($C$100:$C$399,MATCH(B667,$A$100:$A$399,0)),"")</f>
        <v>0</v>
      </c>
      <c r="K667" s="524">
        <f>IFERROR(INDEX($D$100:$D$399,MATCH(B667,$A$100:$A$399,0)),"")</f>
      </c>
      <c r="L667" s="504">
        <f>IFERROR(INDEX($S$100:$S$399,MATCH(B667,$A$100:$A$399,0)),"")</f>
        <v>0</v>
      </c>
      <c r="M667" s="504">
        <f>IF(B667="","",IFERROR(IF(OR(AND(H667="기초반영",OR(B667="U001",B667="U002",B667="U003"),C667="",E667=DATE(2026,3,1)),AND(H667="원장",C667&gt;=64,C667&lt;=500,INDEX(잔액!$I:$I,MAX(64,C667))="OK",E667=INDEX(잔액!$A:$A,MAX(64,C667)),F667=INDEX(잔액!$C:$C,MAX(64,C667)),OR(F667=J667,F667="결제대금비",AND(B667="U008",C667=223,J667="경조사비",F667="명절비"),AND(B667="U008",C667=208,J667="경조사비",F667="임시보관",SUMIF($C$430:$C$729,C667,$D$430:$D$729)&lt;=39000)),OR(COUNTIF($A$8:$A$12,F667)=1,F667="결제대금비",AND(B667="U008",C667=208,J667="경조사비",F667="임시보관",SUMIF($C$430:$C$729,C667,$D$430:$D$729)&lt;=39000)),COUNTIF($A$8:$A$12,INDEX(잔액!$D:$D,MAX(64,C667)))=0,SUMIF($C$430:$C$729,C667,$D$430:$D$729)&lt;=INDEX(잔액!$Y:$Y,MAX(64,C667)))),1,0),0))</f>
      </c>
      <c r="N667" s="504">
        <f>IF(B667="","",IFERROR(IF(AND(COUNTIF($A$100:$A$399,B667)=1,INDEX($R$100:$R$399,MATCH(B667,$A$100:$A$399,0))="OK",D667&gt;0,ISNUMBER(E667),M667=1,SUMIF($B$430:$B$729,B667,$D$430:$D$729)&lt;=INDEX($E$100:$E$399,MATCH(B667,$A$100:$A$399,0))),"OK","확인: 정산연결"),"확인: 정산연결"))</f>
      </c>
      <c r="O667" s="526">
        <f>IF(N667="OK",D667,0)</f>
        <v>0</v>
      </c>
    </row>
    <row r="668" hidden="1" outlineLevel="1">
      <c r="A668" s="504">
        <f>IF(B668="","","S"&amp;ROW())</f>
      </c>
      <c r="B668" s="522" t="n"/>
      <c r="C668" s="522" t="n"/>
      <c r="D668" s="525">
        <f>IF(C668="","",IFERROR(INDEX(잔액!$Y:$Y,MAX(64,C668)),0))</f>
      </c>
      <c r="E668" s="524">
        <f>IF(C668="","",IFERROR(INDEX(잔액!$A:$A,MAX(64,C668)),""))</f>
      </c>
      <c r="F668" s="504">
        <f>IF(C668="","",IFERROR(INDEX(잔액!$C:$C,MAX(64,C668)),""))</f>
      </c>
      <c r="G668" s="504">
        <f>IF(C668="","",IF(INDEX(잔액!$K:$K,MAX(64,C668))&lt;&gt;"",INDEX(잔액!$K:$K,MAX(64,C668)),INDEX(잔액!$D:$D,MAX(64,C668))))</f>
      </c>
      <c r="H668" s="504" t="inlineStr">
        <is>
          <t>원장</t>
        </is>
      </c>
      <c r="J668" s="504">
        <f>IFERROR(INDEX($C$100:$C$399,MATCH(B668,$A$100:$A$399,0)),"")</f>
        <v>0</v>
      </c>
      <c r="K668" s="524">
        <f>IFERROR(INDEX($D$100:$D$399,MATCH(B668,$A$100:$A$399,0)),"")</f>
      </c>
      <c r="L668" s="504">
        <f>IFERROR(INDEX($S$100:$S$399,MATCH(B668,$A$100:$A$399,0)),"")</f>
        <v>0</v>
      </c>
      <c r="M668" s="504">
        <f>IF(B668="","",IFERROR(IF(OR(AND(H668="기초반영",OR(B668="U001",B668="U002",B668="U003"),C668="",E668=DATE(2026,3,1)),AND(H668="원장",C668&gt;=64,C668&lt;=500,INDEX(잔액!$I:$I,MAX(64,C668))="OK",E668=INDEX(잔액!$A:$A,MAX(64,C668)),F668=INDEX(잔액!$C:$C,MAX(64,C668)),OR(F668=J668,F668="결제대금비",AND(B668="U008",C668=223,J668="경조사비",F668="명절비"),AND(B668="U008",C668=208,J668="경조사비",F668="임시보관",SUMIF($C$430:$C$729,C668,$D$430:$D$729)&lt;=39000)),OR(COUNTIF($A$8:$A$12,F668)=1,F668="결제대금비",AND(B668="U008",C668=208,J668="경조사비",F668="임시보관",SUMIF($C$430:$C$729,C668,$D$430:$D$729)&lt;=39000)),COUNTIF($A$8:$A$12,INDEX(잔액!$D:$D,MAX(64,C668)))=0,SUMIF($C$430:$C$729,C668,$D$430:$D$729)&lt;=INDEX(잔액!$Y:$Y,MAX(64,C668)))),1,0),0))</f>
      </c>
      <c r="N668" s="504">
        <f>IF(B668="","",IFERROR(IF(AND(COUNTIF($A$100:$A$399,B668)=1,INDEX($R$100:$R$399,MATCH(B668,$A$100:$A$399,0))="OK",D668&gt;0,ISNUMBER(E668),M668=1,SUMIF($B$430:$B$729,B668,$D$430:$D$729)&lt;=INDEX($E$100:$E$399,MATCH(B668,$A$100:$A$399,0))),"OK","확인: 정산연결"),"확인: 정산연결"))</f>
      </c>
      <c r="O668" s="526">
        <f>IF(N668="OK",D668,0)</f>
        <v>0</v>
      </c>
    </row>
    <row r="669" hidden="1" outlineLevel="1">
      <c r="A669" s="504">
        <f>IF(B669="","","S"&amp;ROW())</f>
      </c>
      <c r="B669" s="522" t="n"/>
      <c r="C669" s="522" t="n"/>
      <c r="D669" s="525">
        <f>IF(C669="","",IFERROR(INDEX(잔액!$Y:$Y,MAX(64,C669)),0))</f>
      </c>
      <c r="E669" s="524">
        <f>IF(C669="","",IFERROR(INDEX(잔액!$A:$A,MAX(64,C669)),""))</f>
      </c>
      <c r="F669" s="504">
        <f>IF(C669="","",IFERROR(INDEX(잔액!$C:$C,MAX(64,C669)),""))</f>
      </c>
      <c r="G669" s="504">
        <f>IF(C669="","",IF(INDEX(잔액!$K:$K,MAX(64,C669))&lt;&gt;"",INDEX(잔액!$K:$K,MAX(64,C669)),INDEX(잔액!$D:$D,MAX(64,C669))))</f>
      </c>
      <c r="H669" s="504" t="inlineStr">
        <is>
          <t>원장</t>
        </is>
      </c>
      <c r="J669" s="504">
        <f>IFERROR(INDEX($C$100:$C$399,MATCH(B669,$A$100:$A$399,0)),"")</f>
        <v>0</v>
      </c>
      <c r="K669" s="524">
        <f>IFERROR(INDEX($D$100:$D$399,MATCH(B669,$A$100:$A$399,0)),"")</f>
      </c>
      <c r="L669" s="504">
        <f>IFERROR(INDEX($S$100:$S$399,MATCH(B669,$A$100:$A$399,0)),"")</f>
        <v>0</v>
      </c>
      <c r="M669" s="504">
        <f>IF(B669="","",IFERROR(IF(OR(AND(H669="기초반영",OR(B669="U001",B669="U002",B669="U003"),C669="",E669=DATE(2026,3,1)),AND(H669="원장",C669&gt;=64,C669&lt;=500,INDEX(잔액!$I:$I,MAX(64,C669))="OK",E669=INDEX(잔액!$A:$A,MAX(64,C669)),F669=INDEX(잔액!$C:$C,MAX(64,C669)),OR(F669=J669,F669="결제대금비",AND(B669="U008",C669=223,J669="경조사비",F669="명절비"),AND(B669="U008",C669=208,J669="경조사비",F669="임시보관",SUMIF($C$430:$C$729,C669,$D$430:$D$729)&lt;=39000)),OR(COUNTIF($A$8:$A$12,F669)=1,F669="결제대금비",AND(B669="U008",C669=208,J669="경조사비",F669="임시보관",SUMIF($C$430:$C$729,C669,$D$430:$D$729)&lt;=39000)),COUNTIF($A$8:$A$12,INDEX(잔액!$D:$D,MAX(64,C669)))=0,SUMIF($C$430:$C$729,C669,$D$430:$D$729)&lt;=INDEX(잔액!$Y:$Y,MAX(64,C669)))),1,0),0))</f>
      </c>
      <c r="N669" s="504">
        <f>IF(B669="","",IFERROR(IF(AND(COUNTIF($A$100:$A$399,B669)=1,INDEX($R$100:$R$399,MATCH(B669,$A$100:$A$399,0))="OK",D669&gt;0,ISNUMBER(E669),M669=1,SUMIF($B$430:$B$729,B669,$D$430:$D$729)&lt;=INDEX($E$100:$E$399,MATCH(B669,$A$100:$A$399,0))),"OK","확인: 정산연결"),"확인: 정산연결"))</f>
      </c>
      <c r="O669" s="526">
        <f>IF(N669="OK",D669,0)</f>
        <v>0</v>
      </c>
    </row>
    <row r="670" hidden="1" outlineLevel="1">
      <c r="A670" s="504">
        <f>IF(B670="","","S"&amp;ROW())</f>
      </c>
      <c r="B670" s="522" t="n"/>
      <c r="C670" s="522" t="n"/>
      <c r="D670" s="525">
        <f>IF(C670="","",IFERROR(INDEX(잔액!$Y:$Y,MAX(64,C670)),0))</f>
      </c>
      <c r="E670" s="524">
        <f>IF(C670="","",IFERROR(INDEX(잔액!$A:$A,MAX(64,C670)),""))</f>
      </c>
      <c r="F670" s="504">
        <f>IF(C670="","",IFERROR(INDEX(잔액!$C:$C,MAX(64,C670)),""))</f>
      </c>
      <c r="G670" s="504">
        <f>IF(C670="","",IF(INDEX(잔액!$K:$K,MAX(64,C670))&lt;&gt;"",INDEX(잔액!$K:$K,MAX(64,C670)),INDEX(잔액!$D:$D,MAX(64,C670))))</f>
      </c>
      <c r="H670" s="504" t="inlineStr">
        <is>
          <t>원장</t>
        </is>
      </c>
      <c r="J670" s="504">
        <f>IFERROR(INDEX($C$100:$C$399,MATCH(B670,$A$100:$A$399,0)),"")</f>
        <v>0</v>
      </c>
      <c r="K670" s="524">
        <f>IFERROR(INDEX($D$100:$D$399,MATCH(B670,$A$100:$A$399,0)),"")</f>
      </c>
      <c r="L670" s="504">
        <f>IFERROR(INDEX($S$100:$S$399,MATCH(B670,$A$100:$A$399,0)),"")</f>
        <v>0</v>
      </c>
      <c r="M670" s="504">
        <f>IF(B670="","",IFERROR(IF(OR(AND(H670="기초반영",OR(B670="U001",B670="U002",B670="U003"),C670="",E670=DATE(2026,3,1)),AND(H670="원장",C670&gt;=64,C670&lt;=500,INDEX(잔액!$I:$I,MAX(64,C670))="OK",E670=INDEX(잔액!$A:$A,MAX(64,C670)),F670=INDEX(잔액!$C:$C,MAX(64,C670)),OR(F670=J670,F670="결제대금비",AND(B670="U008",C670=223,J670="경조사비",F670="명절비"),AND(B670="U008",C670=208,J670="경조사비",F670="임시보관",SUMIF($C$430:$C$729,C670,$D$430:$D$729)&lt;=39000)),OR(COUNTIF($A$8:$A$12,F670)=1,F670="결제대금비",AND(B670="U008",C670=208,J670="경조사비",F670="임시보관",SUMIF($C$430:$C$729,C670,$D$430:$D$729)&lt;=39000)),COUNTIF($A$8:$A$12,INDEX(잔액!$D:$D,MAX(64,C670)))=0,SUMIF($C$430:$C$729,C670,$D$430:$D$729)&lt;=INDEX(잔액!$Y:$Y,MAX(64,C670)))),1,0),0))</f>
      </c>
      <c r="N670" s="504">
        <f>IF(B670="","",IFERROR(IF(AND(COUNTIF($A$100:$A$399,B670)=1,INDEX($R$100:$R$399,MATCH(B670,$A$100:$A$399,0))="OK",D670&gt;0,ISNUMBER(E670),M670=1,SUMIF($B$430:$B$729,B670,$D$430:$D$729)&lt;=INDEX($E$100:$E$399,MATCH(B670,$A$100:$A$399,0))),"OK","확인: 정산연결"),"확인: 정산연결"))</f>
      </c>
      <c r="O670" s="526">
        <f>IF(N670="OK",D670,0)</f>
        <v>0</v>
      </c>
    </row>
    <row r="671" hidden="1" outlineLevel="1">
      <c r="A671" s="504">
        <f>IF(B671="","","S"&amp;ROW())</f>
      </c>
      <c r="B671" s="522" t="n"/>
      <c r="C671" s="522" t="n"/>
      <c r="D671" s="525">
        <f>IF(C671="","",IFERROR(INDEX(잔액!$Y:$Y,MAX(64,C671)),0))</f>
      </c>
      <c r="E671" s="524">
        <f>IF(C671="","",IFERROR(INDEX(잔액!$A:$A,MAX(64,C671)),""))</f>
      </c>
      <c r="F671" s="504">
        <f>IF(C671="","",IFERROR(INDEX(잔액!$C:$C,MAX(64,C671)),""))</f>
      </c>
      <c r="G671" s="504">
        <f>IF(C671="","",IF(INDEX(잔액!$K:$K,MAX(64,C671))&lt;&gt;"",INDEX(잔액!$K:$K,MAX(64,C671)),INDEX(잔액!$D:$D,MAX(64,C671))))</f>
      </c>
      <c r="H671" s="504" t="inlineStr">
        <is>
          <t>원장</t>
        </is>
      </c>
      <c r="J671" s="504">
        <f>IFERROR(INDEX($C$100:$C$399,MATCH(B671,$A$100:$A$399,0)),"")</f>
        <v>0</v>
      </c>
      <c r="K671" s="524">
        <f>IFERROR(INDEX($D$100:$D$399,MATCH(B671,$A$100:$A$399,0)),"")</f>
      </c>
      <c r="L671" s="504">
        <f>IFERROR(INDEX($S$100:$S$399,MATCH(B671,$A$100:$A$399,0)),"")</f>
        <v>0</v>
      </c>
      <c r="M671" s="504">
        <f>IF(B671="","",IFERROR(IF(OR(AND(H671="기초반영",OR(B671="U001",B671="U002",B671="U003"),C671="",E671=DATE(2026,3,1)),AND(H671="원장",C671&gt;=64,C671&lt;=500,INDEX(잔액!$I:$I,MAX(64,C671))="OK",E671=INDEX(잔액!$A:$A,MAX(64,C671)),F671=INDEX(잔액!$C:$C,MAX(64,C671)),OR(F671=J671,F671="결제대금비",AND(B671="U008",C671=223,J671="경조사비",F671="명절비"),AND(B671="U008",C671=208,J671="경조사비",F671="임시보관",SUMIF($C$430:$C$729,C671,$D$430:$D$729)&lt;=39000)),OR(COUNTIF($A$8:$A$12,F671)=1,F671="결제대금비",AND(B671="U008",C671=208,J671="경조사비",F671="임시보관",SUMIF($C$430:$C$729,C671,$D$430:$D$729)&lt;=39000)),COUNTIF($A$8:$A$12,INDEX(잔액!$D:$D,MAX(64,C671)))=0,SUMIF($C$430:$C$729,C671,$D$430:$D$729)&lt;=INDEX(잔액!$Y:$Y,MAX(64,C671)))),1,0),0))</f>
      </c>
      <c r="N671" s="504">
        <f>IF(B671="","",IFERROR(IF(AND(COUNTIF($A$100:$A$399,B671)=1,INDEX($R$100:$R$399,MATCH(B671,$A$100:$A$399,0))="OK",D671&gt;0,ISNUMBER(E671),M671=1,SUMIF($B$430:$B$729,B671,$D$430:$D$729)&lt;=INDEX($E$100:$E$399,MATCH(B671,$A$100:$A$399,0))),"OK","확인: 정산연결"),"확인: 정산연결"))</f>
      </c>
      <c r="O671" s="526">
        <f>IF(N671="OK",D671,0)</f>
        <v>0</v>
      </c>
    </row>
    <row r="672" hidden="1" outlineLevel="1">
      <c r="A672" s="504">
        <f>IF(B672="","","S"&amp;ROW())</f>
      </c>
      <c r="B672" s="522" t="n"/>
      <c r="C672" s="522" t="n"/>
      <c r="D672" s="525">
        <f>IF(C672="","",IFERROR(INDEX(잔액!$Y:$Y,MAX(64,C672)),0))</f>
      </c>
      <c r="E672" s="524">
        <f>IF(C672="","",IFERROR(INDEX(잔액!$A:$A,MAX(64,C672)),""))</f>
      </c>
      <c r="F672" s="504">
        <f>IF(C672="","",IFERROR(INDEX(잔액!$C:$C,MAX(64,C672)),""))</f>
      </c>
      <c r="G672" s="504">
        <f>IF(C672="","",IF(INDEX(잔액!$K:$K,MAX(64,C672))&lt;&gt;"",INDEX(잔액!$K:$K,MAX(64,C672)),INDEX(잔액!$D:$D,MAX(64,C672))))</f>
      </c>
      <c r="H672" s="504" t="inlineStr">
        <is>
          <t>원장</t>
        </is>
      </c>
      <c r="J672" s="504">
        <f>IFERROR(INDEX($C$100:$C$399,MATCH(B672,$A$100:$A$399,0)),"")</f>
        <v>0</v>
      </c>
      <c r="K672" s="524">
        <f>IFERROR(INDEX($D$100:$D$399,MATCH(B672,$A$100:$A$399,0)),"")</f>
      </c>
      <c r="L672" s="504">
        <f>IFERROR(INDEX($S$100:$S$399,MATCH(B672,$A$100:$A$399,0)),"")</f>
        <v>0</v>
      </c>
      <c r="M672" s="504">
        <f>IF(B672="","",IFERROR(IF(OR(AND(H672="기초반영",OR(B672="U001",B672="U002",B672="U003"),C672="",E672=DATE(2026,3,1)),AND(H672="원장",C672&gt;=64,C672&lt;=500,INDEX(잔액!$I:$I,MAX(64,C672))="OK",E672=INDEX(잔액!$A:$A,MAX(64,C672)),F672=INDEX(잔액!$C:$C,MAX(64,C672)),OR(F672=J672,F672="결제대금비",AND(B672="U008",C672=223,J672="경조사비",F672="명절비"),AND(B672="U008",C672=208,J672="경조사비",F672="임시보관",SUMIF($C$430:$C$729,C672,$D$430:$D$729)&lt;=39000)),OR(COUNTIF($A$8:$A$12,F672)=1,F672="결제대금비",AND(B672="U008",C672=208,J672="경조사비",F672="임시보관",SUMIF($C$430:$C$729,C672,$D$430:$D$729)&lt;=39000)),COUNTIF($A$8:$A$12,INDEX(잔액!$D:$D,MAX(64,C672)))=0,SUMIF($C$430:$C$729,C672,$D$430:$D$729)&lt;=INDEX(잔액!$Y:$Y,MAX(64,C672)))),1,0),0))</f>
      </c>
      <c r="N672" s="504">
        <f>IF(B672="","",IFERROR(IF(AND(COUNTIF($A$100:$A$399,B672)=1,INDEX($R$100:$R$399,MATCH(B672,$A$100:$A$399,0))="OK",D672&gt;0,ISNUMBER(E672),M672=1,SUMIF($B$430:$B$729,B672,$D$430:$D$729)&lt;=INDEX($E$100:$E$399,MATCH(B672,$A$100:$A$399,0))),"OK","확인: 정산연결"),"확인: 정산연결"))</f>
      </c>
      <c r="O672" s="526">
        <f>IF(N672="OK",D672,0)</f>
        <v>0</v>
      </c>
    </row>
    <row r="673" hidden="1" outlineLevel="1">
      <c r="A673" s="504">
        <f>IF(B673="","","S"&amp;ROW())</f>
      </c>
      <c r="B673" s="522" t="n"/>
      <c r="C673" s="522" t="n"/>
      <c r="D673" s="525">
        <f>IF(C673="","",IFERROR(INDEX(잔액!$Y:$Y,MAX(64,C673)),0))</f>
      </c>
      <c r="E673" s="524">
        <f>IF(C673="","",IFERROR(INDEX(잔액!$A:$A,MAX(64,C673)),""))</f>
      </c>
      <c r="F673" s="504">
        <f>IF(C673="","",IFERROR(INDEX(잔액!$C:$C,MAX(64,C673)),""))</f>
      </c>
      <c r="G673" s="504">
        <f>IF(C673="","",IF(INDEX(잔액!$K:$K,MAX(64,C673))&lt;&gt;"",INDEX(잔액!$K:$K,MAX(64,C673)),INDEX(잔액!$D:$D,MAX(64,C673))))</f>
      </c>
      <c r="H673" s="504" t="inlineStr">
        <is>
          <t>원장</t>
        </is>
      </c>
      <c r="J673" s="504">
        <f>IFERROR(INDEX($C$100:$C$399,MATCH(B673,$A$100:$A$399,0)),"")</f>
        <v>0</v>
      </c>
      <c r="K673" s="524">
        <f>IFERROR(INDEX($D$100:$D$399,MATCH(B673,$A$100:$A$399,0)),"")</f>
      </c>
      <c r="L673" s="504">
        <f>IFERROR(INDEX($S$100:$S$399,MATCH(B673,$A$100:$A$399,0)),"")</f>
        <v>0</v>
      </c>
      <c r="M673" s="504">
        <f>IF(B673="","",IFERROR(IF(OR(AND(H673="기초반영",OR(B673="U001",B673="U002",B673="U003"),C673="",E673=DATE(2026,3,1)),AND(H673="원장",C673&gt;=64,C673&lt;=500,INDEX(잔액!$I:$I,MAX(64,C673))="OK",E673=INDEX(잔액!$A:$A,MAX(64,C673)),F673=INDEX(잔액!$C:$C,MAX(64,C673)),OR(F673=J673,F673="결제대금비",AND(B673="U008",C673=223,J673="경조사비",F673="명절비"),AND(B673="U008",C673=208,J673="경조사비",F673="임시보관",SUMIF($C$430:$C$729,C673,$D$430:$D$729)&lt;=39000)),OR(COUNTIF($A$8:$A$12,F673)=1,F673="결제대금비",AND(B673="U008",C673=208,J673="경조사비",F673="임시보관",SUMIF($C$430:$C$729,C673,$D$430:$D$729)&lt;=39000)),COUNTIF($A$8:$A$12,INDEX(잔액!$D:$D,MAX(64,C673)))=0,SUMIF($C$430:$C$729,C673,$D$430:$D$729)&lt;=INDEX(잔액!$Y:$Y,MAX(64,C673)))),1,0),0))</f>
      </c>
      <c r="N673" s="504">
        <f>IF(B673="","",IFERROR(IF(AND(COUNTIF($A$100:$A$399,B673)=1,INDEX($R$100:$R$399,MATCH(B673,$A$100:$A$399,0))="OK",D673&gt;0,ISNUMBER(E673),M673=1,SUMIF($B$430:$B$729,B673,$D$430:$D$729)&lt;=INDEX($E$100:$E$399,MATCH(B673,$A$100:$A$399,0))),"OK","확인: 정산연결"),"확인: 정산연결"))</f>
      </c>
      <c r="O673" s="526">
        <f>IF(N673="OK",D673,0)</f>
        <v>0</v>
      </c>
    </row>
    <row r="674" hidden="1" outlineLevel="1">
      <c r="A674" s="504">
        <f>IF(B674="","","S"&amp;ROW())</f>
      </c>
      <c r="B674" s="522" t="n"/>
      <c r="C674" s="522" t="n"/>
      <c r="D674" s="525">
        <f>IF(C674="","",IFERROR(INDEX(잔액!$Y:$Y,MAX(64,C674)),0))</f>
      </c>
      <c r="E674" s="524">
        <f>IF(C674="","",IFERROR(INDEX(잔액!$A:$A,MAX(64,C674)),""))</f>
      </c>
      <c r="F674" s="504">
        <f>IF(C674="","",IFERROR(INDEX(잔액!$C:$C,MAX(64,C674)),""))</f>
      </c>
      <c r="G674" s="504">
        <f>IF(C674="","",IF(INDEX(잔액!$K:$K,MAX(64,C674))&lt;&gt;"",INDEX(잔액!$K:$K,MAX(64,C674)),INDEX(잔액!$D:$D,MAX(64,C674))))</f>
      </c>
      <c r="H674" s="504" t="inlineStr">
        <is>
          <t>원장</t>
        </is>
      </c>
      <c r="J674" s="504">
        <f>IFERROR(INDEX($C$100:$C$399,MATCH(B674,$A$100:$A$399,0)),"")</f>
        <v>0</v>
      </c>
      <c r="K674" s="524">
        <f>IFERROR(INDEX($D$100:$D$399,MATCH(B674,$A$100:$A$399,0)),"")</f>
      </c>
      <c r="L674" s="504">
        <f>IFERROR(INDEX($S$100:$S$399,MATCH(B674,$A$100:$A$399,0)),"")</f>
        <v>0</v>
      </c>
      <c r="M674" s="504">
        <f>IF(B674="","",IFERROR(IF(OR(AND(H674="기초반영",OR(B674="U001",B674="U002",B674="U003"),C674="",E674=DATE(2026,3,1)),AND(H674="원장",C674&gt;=64,C674&lt;=500,INDEX(잔액!$I:$I,MAX(64,C674))="OK",E674=INDEX(잔액!$A:$A,MAX(64,C674)),F674=INDEX(잔액!$C:$C,MAX(64,C674)),OR(F674=J674,F674="결제대금비",AND(B674="U008",C674=223,J674="경조사비",F674="명절비"),AND(B674="U008",C674=208,J674="경조사비",F674="임시보관",SUMIF($C$430:$C$729,C674,$D$430:$D$729)&lt;=39000)),OR(COUNTIF($A$8:$A$12,F674)=1,F674="결제대금비",AND(B674="U008",C674=208,J674="경조사비",F674="임시보관",SUMIF($C$430:$C$729,C674,$D$430:$D$729)&lt;=39000)),COUNTIF($A$8:$A$12,INDEX(잔액!$D:$D,MAX(64,C674)))=0,SUMIF($C$430:$C$729,C674,$D$430:$D$729)&lt;=INDEX(잔액!$Y:$Y,MAX(64,C674)))),1,0),0))</f>
      </c>
      <c r="N674" s="504">
        <f>IF(B674="","",IFERROR(IF(AND(COUNTIF($A$100:$A$399,B674)=1,INDEX($R$100:$R$399,MATCH(B674,$A$100:$A$399,0))="OK",D674&gt;0,ISNUMBER(E674),M674=1,SUMIF($B$430:$B$729,B674,$D$430:$D$729)&lt;=INDEX($E$100:$E$399,MATCH(B674,$A$100:$A$399,0))),"OK","확인: 정산연결"),"확인: 정산연결"))</f>
      </c>
      <c r="O674" s="526">
        <f>IF(N674="OK",D674,0)</f>
        <v>0</v>
      </c>
    </row>
    <row r="675" hidden="1" outlineLevel="1">
      <c r="A675" s="504">
        <f>IF(B675="","","S"&amp;ROW())</f>
      </c>
      <c r="B675" s="522" t="n"/>
      <c r="C675" s="522" t="n"/>
      <c r="D675" s="525">
        <f>IF(C675="","",IFERROR(INDEX(잔액!$Y:$Y,MAX(64,C675)),0))</f>
      </c>
      <c r="E675" s="524">
        <f>IF(C675="","",IFERROR(INDEX(잔액!$A:$A,MAX(64,C675)),""))</f>
      </c>
      <c r="F675" s="504">
        <f>IF(C675="","",IFERROR(INDEX(잔액!$C:$C,MAX(64,C675)),""))</f>
      </c>
      <c r="G675" s="504">
        <f>IF(C675="","",IF(INDEX(잔액!$K:$K,MAX(64,C675))&lt;&gt;"",INDEX(잔액!$K:$K,MAX(64,C675)),INDEX(잔액!$D:$D,MAX(64,C675))))</f>
      </c>
      <c r="H675" s="504" t="inlineStr">
        <is>
          <t>원장</t>
        </is>
      </c>
      <c r="J675" s="504">
        <f>IFERROR(INDEX($C$100:$C$399,MATCH(B675,$A$100:$A$399,0)),"")</f>
        <v>0</v>
      </c>
      <c r="K675" s="524">
        <f>IFERROR(INDEX($D$100:$D$399,MATCH(B675,$A$100:$A$399,0)),"")</f>
      </c>
      <c r="L675" s="504">
        <f>IFERROR(INDEX($S$100:$S$399,MATCH(B675,$A$100:$A$399,0)),"")</f>
        <v>0</v>
      </c>
      <c r="M675" s="504">
        <f>IF(B675="","",IFERROR(IF(OR(AND(H675="기초반영",OR(B675="U001",B675="U002",B675="U003"),C675="",E675=DATE(2026,3,1)),AND(H675="원장",C675&gt;=64,C675&lt;=500,INDEX(잔액!$I:$I,MAX(64,C675))="OK",E675=INDEX(잔액!$A:$A,MAX(64,C675)),F675=INDEX(잔액!$C:$C,MAX(64,C675)),OR(F675=J675,F675="결제대금비",AND(B675="U008",C675=223,J675="경조사비",F675="명절비"),AND(B675="U008",C675=208,J675="경조사비",F675="임시보관",SUMIF($C$430:$C$729,C675,$D$430:$D$729)&lt;=39000)),OR(COUNTIF($A$8:$A$12,F675)=1,F675="결제대금비",AND(B675="U008",C675=208,J675="경조사비",F675="임시보관",SUMIF($C$430:$C$729,C675,$D$430:$D$729)&lt;=39000)),COUNTIF($A$8:$A$12,INDEX(잔액!$D:$D,MAX(64,C675)))=0,SUMIF($C$430:$C$729,C675,$D$430:$D$729)&lt;=INDEX(잔액!$Y:$Y,MAX(64,C675)))),1,0),0))</f>
      </c>
      <c r="N675" s="504">
        <f>IF(B675="","",IFERROR(IF(AND(COUNTIF($A$100:$A$399,B675)=1,INDEX($R$100:$R$399,MATCH(B675,$A$100:$A$399,0))="OK",D675&gt;0,ISNUMBER(E675),M675=1,SUMIF($B$430:$B$729,B675,$D$430:$D$729)&lt;=INDEX($E$100:$E$399,MATCH(B675,$A$100:$A$399,0))),"OK","확인: 정산연결"),"확인: 정산연결"))</f>
      </c>
      <c r="O675" s="526">
        <f>IF(N675="OK",D675,0)</f>
        <v>0</v>
      </c>
    </row>
    <row r="676" hidden="1" outlineLevel="1">
      <c r="A676" s="504">
        <f>IF(B676="","","S"&amp;ROW())</f>
      </c>
      <c r="B676" s="522" t="n"/>
      <c r="C676" s="522" t="n"/>
      <c r="D676" s="525">
        <f>IF(C676="","",IFERROR(INDEX(잔액!$Y:$Y,MAX(64,C676)),0))</f>
      </c>
      <c r="E676" s="524">
        <f>IF(C676="","",IFERROR(INDEX(잔액!$A:$A,MAX(64,C676)),""))</f>
      </c>
      <c r="F676" s="504">
        <f>IF(C676="","",IFERROR(INDEX(잔액!$C:$C,MAX(64,C676)),""))</f>
      </c>
      <c r="G676" s="504">
        <f>IF(C676="","",IF(INDEX(잔액!$K:$K,MAX(64,C676))&lt;&gt;"",INDEX(잔액!$K:$K,MAX(64,C676)),INDEX(잔액!$D:$D,MAX(64,C676))))</f>
      </c>
      <c r="H676" s="504" t="inlineStr">
        <is>
          <t>원장</t>
        </is>
      </c>
      <c r="J676" s="504">
        <f>IFERROR(INDEX($C$100:$C$399,MATCH(B676,$A$100:$A$399,0)),"")</f>
        <v>0</v>
      </c>
      <c r="K676" s="524">
        <f>IFERROR(INDEX($D$100:$D$399,MATCH(B676,$A$100:$A$399,0)),"")</f>
      </c>
      <c r="L676" s="504">
        <f>IFERROR(INDEX($S$100:$S$399,MATCH(B676,$A$100:$A$399,0)),"")</f>
        <v>0</v>
      </c>
      <c r="M676" s="504">
        <f>IF(B676="","",IFERROR(IF(OR(AND(H676="기초반영",OR(B676="U001",B676="U002",B676="U003"),C676="",E676=DATE(2026,3,1)),AND(H676="원장",C676&gt;=64,C676&lt;=500,INDEX(잔액!$I:$I,MAX(64,C676))="OK",E676=INDEX(잔액!$A:$A,MAX(64,C676)),F676=INDEX(잔액!$C:$C,MAX(64,C676)),OR(F676=J676,F676="결제대금비",AND(B676="U008",C676=223,J676="경조사비",F676="명절비"),AND(B676="U008",C676=208,J676="경조사비",F676="임시보관",SUMIF($C$430:$C$729,C676,$D$430:$D$729)&lt;=39000)),OR(COUNTIF($A$8:$A$12,F676)=1,F676="결제대금비",AND(B676="U008",C676=208,J676="경조사비",F676="임시보관",SUMIF($C$430:$C$729,C676,$D$430:$D$729)&lt;=39000)),COUNTIF($A$8:$A$12,INDEX(잔액!$D:$D,MAX(64,C676)))=0,SUMIF($C$430:$C$729,C676,$D$430:$D$729)&lt;=INDEX(잔액!$Y:$Y,MAX(64,C676)))),1,0),0))</f>
      </c>
      <c r="N676" s="504">
        <f>IF(B676="","",IFERROR(IF(AND(COUNTIF($A$100:$A$399,B676)=1,INDEX($R$100:$R$399,MATCH(B676,$A$100:$A$399,0))="OK",D676&gt;0,ISNUMBER(E676),M676=1,SUMIF($B$430:$B$729,B676,$D$430:$D$729)&lt;=INDEX($E$100:$E$399,MATCH(B676,$A$100:$A$399,0))),"OK","확인: 정산연결"),"확인: 정산연결"))</f>
      </c>
      <c r="O676" s="526">
        <f>IF(N676="OK",D676,0)</f>
        <v>0</v>
      </c>
    </row>
    <row r="677" hidden="1" outlineLevel="1">
      <c r="A677" s="504">
        <f>IF(B677="","","S"&amp;ROW())</f>
      </c>
      <c r="B677" s="522" t="n"/>
      <c r="C677" s="522" t="n"/>
      <c r="D677" s="525">
        <f>IF(C677="","",IFERROR(INDEX(잔액!$Y:$Y,MAX(64,C677)),0))</f>
      </c>
      <c r="E677" s="524">
        <f>IF(C677="","",IFERROR(INDEX(잔액!$A:$A,MAX(64,C677)),""))</f>
      </c>
      <c r="F677" s="504">
        <f>IF(C677="","",IFERROR(INDEX(잔액!$C:$C,MAX(64,C677)),""))</f>
      </c>
      <c r="G677" s="504">
        <f>IF(C677="","",IF(INDEX(잔액!$K:$K,MAX(64,C677))&lt;&gt;"",INDEX(잔액!$K:$K,MAX(64,C677)),INDEX(잔액!$D:$D,MAX(64,C677))))</f>
      </c>
      <c r="H677" s="504" t="inlineStr">
        <is>
          <t>원장</t>
        </is>
      </c>
      <c r="J677" s="504">
        <f>IFERROR(INDEX($C$100:$C$399,MATCH(B677,$A$100:$A$399,0)),"")</f>
        <v>0</v>
      </c>
      <c r="K677" s="524">
        <f>IFERROR(INDEX($D$100:$D$399,MATCH(B677,$A$100:$A$399,0)),"")</f>
      </c>
      <c r="L677" s="504">
        <f>IFERROR(INDEX($S$100:$S$399,MATCH(B677,$A$100:$A$399,0)),"")</f>
        <v>0</v>
      </c>
      <c r="M677" s="504">
        <f>IF(B677="","",IFERROR(IF(OR(AND(H677="기초반영",OR(B677="U001",B677="U002",B677="U003"),C677="",E677=DATE(2026,3,1)),AND(H677="원장",C677&gt;=64,C677&lt;=500,INDEX(잔액!$I:$I,MAX(64,C677))="OK",E677=INDEX(잔액!$A:$A,MAX(64,C677)),F677=INDEX(잔액!$C:$C,MAX(64,C677)),OR(F677=J677,F677="결제대금비",AND(B677="U008",C677=223,J677="경조사비",F677="명절비"),AND(B677="U008",C677=208,J677="경조사비",F677="임시보관",SUMIF($C$430:$C$729,C677,$D$430:$D$729)&lt;=39000)),OR(COUNTIF($A$8:$A$12,F677)=1,F677="결제대금비",AND(B677="U008",C677=208,J677="경조사비",F677="임시보관",SUMIF($C$430:$C$729,C677,$D$430:$D$729)&lt;=39000)),COUNTIF($A$8:$A$12,INDEX(잔액!$D:$D,MAX(64,C677)))=0,SUMIF($C$430:$C$729,C677,$D$430:$D$729)&lt;=INDEX(잔액!$Y:$Y,MAX(64,C677)))),1,0),0))</f>
      </c>
      <c r="N677" s="504">
        <f>IF(B677="","",IFERROR(IF(AND(COUNTIF($A$100:$A$399,B677)=1,INDEX($R$100:$R$399,MATCH(B677,$A$100:$A$399,0))="OK",D677&gt;0,ISNUMBER(E677),M677=1,SUMIF($B$430:$B$729,B677,$D$430:$D$729)&lt;=INDEX($E$100:$E$399,MATCH(B677,$A$100:$A$399,0))),"OK","확인: 정산연결"),"확인: 정산연결"))</f>
      </c>
      <c r="O677" s="526">
        <f>IF(N677="OK",D677,0)</f>
        <v>0</v>
      </c>
    </row>
    <row r="678" hidden="1" outlineLevel="1">
      <c r="A678" s="504">
        <f>IF(B678="","","S"&amp;ROW())</f>
      </c>
      <c r="B678" s="522" t="n"/>
      <c r="C678" s="522" t="n"/>
      <c r="D678" s="525">
        <f>IF(C678="","",IFERROR(INDEX(잔액!$Y:$Y,MAX(64,C678)),0))</f>
      </c>
      <c r="E678" s="524">
        <f>IF(C678="","",IFERROR(INDEX(잔액!$A:$A,MAX(64,C678)),""))</f>
      </c>
      <c r="F678" s="504">
        <f>IF(C678="","",IFERROR(INDEX(잔액!$C:$C,MAX(64,C678)),""))</f>
      </c>
      <c r="G678" s="504">
        <f>IF(C678="","",IF(INDEX(잔액!$K:$K,MAX(64,C678))&lt;&gt;"",INDEX(잔액!$K:$K,MAX(64,C678)),INDEX(잔액!$D:$D,MAX(64,C678))))</f>
      </c>
      <c r="H678" s="504" t="inlineStr">
        <is>
          <t>원장</t>
        </is>
      </c>
      <c r="J678" s="504">
        <f>IFERROR(INDEX($C$100:$C$399,MATCH(B678,$A$100:$A$399,0)),"")</f>
        <v>0</v>
      </c>
      <c r="K678" s="524">
        <f>IFERROR(INDEX($D$100:$D$399,MATCH(B678,$A$100:$A$399,0)),"")</f>
      </c>
      <c r="L678" s="504">
        <f>IFERROR(INDEX($S$100:$S$399,MATCH(B678,$A$100:$A$399,0)),"")</f>
        <v>0</v>
      </c>
      <c r="M678" s="504">
        <f>IF(B678="","",IFERROR(IF(OR(AND(H678="기초반영",OR(B678="U001",B678="U002",B678="U003"),C678="",E678=DATE(2026,3,1)),AND(H678="원장",C678&gt;=64,C678&lt;=500,INDEX(잔액!$I:$I,MAX(64,C678))="OK",E678=INDEX(잔액!$A:$A,MAX(64,C678)),F678=INDEX(잔액!$C:$C,MAX(64,C678)),OR(F678=J678,F678="결제대금비",AND(B678="U008",C678=223,J678="경조사비",F678="명절비"),AND(B678="U008",C678=208,J678="경조사비",F678="임시보관",SUMIF($C$430:$C$729,C678,$D$430:$D$729)&lt;=39000)),OR(COUNTIF($A$8:$A$12,F678)=1,F678="결제대금비",AND(B678="U008",C678=208,J678="경조사비",F678="임시보관",SUMIF($C$430:$C$729,C678,$D$430:$D$729)&lt;=39000)),COUNTIF($A$8:$A$12,INDEX(잔액!$D:$D,MAX(64,C678)))=0,SUMIF($C$430:$C$729,C678,$D$430:$D$729)&lt;=INDEX(잔액!$Y:$Y,MAX(64,C678)))),1,0),0))</f>
      </c>
      <c r="N678" s="504">
        <f>IF(B678="","",IFERROR(IF(AND(COUNTIF($A$100:$A$399,B678)=1,INDEX($R$100:$R$399,MATCH(B678,$A$100:$A$399,0))="OK",D678&gt;0,ISNUMBER(E678),M678=1,SUMIF($B$430:$B$729,B678,$D$430:$D$729)&lt;=INDEX($E$100:$E$399,MATCH(B678,$A$100:$A$399,0))),"OK","확인: 정산연결"),"확인: 정산연결"))</f>
      </c>
      <c r="O678" s="526">
        <f>IF(N678="OK",D678,0)</f>
        <v>0</v>
      </c>
    </row>
    <row r="679" hidden="1" outlineLevel="1">
      <c r="A679" s="504">
        <f>IF(B679="","","S"&amp;ROW())</f>
      </c>
      <c r="B679" s="522" t="n"/>
      <c r="C679" s="522" t="n"/>
      <c r="D679" s="525">
        <f>IF(C679="","",IFERROR(INDEX(잔액!$Y:$Y,MAX(64,C679)),0))</f>
      </c>
      <c r="E679" s="524">
        <f>IF(C679="","",IFERROR(INDEX(잔액!$A:$A,MAX(64,C679)),""))</f>
      </c>
      <c r="F679" s="504">
        <f>IF(C679="","",IFERROR(INDEX(잔액!$C:$C,MAX(64,C679)),""))</f>
      </c>
      <c r="G679" s="504">
        <f>IF(C679="","",IF(INDEX(잔액!$K:$K,MAX(64,C679))&lt;&gt;"",INDEX(잔액!$K:$K,MAX(64,C679)),INDEX(잔액!$D:$D,MAX(64,C679))))</f>
      </c>
      <c r="H679" s="504" t="inlineStr">
        <is>
          <t>원장</t>
        </is>
      </c>
      <c r="J679" s="504">
        <f>IFERROR(INDEX($C$100:$C$399,MATCH(B679,$A$100:$A$399,0)),"")</f>
        <v>0</v>
      </c>
      <c r="K679" s="524">
        <f>IFERROR(INDEX($D$100:$D$399,MATCH(B679,$A$100:$A$399,0)),"")</f>
      </c>
      <c r="L679" s="504">
        <f>IFERROR(INDEX($S$100:$S$399,MATCH(B679,$A$100:$A$399,0)),"")</f>
        <v>0</v>
      </c>
      <c r="M679" s="504">
        <f>IF(B679="","",IFERROR(IF(OR(AND(H679="기초반영",OR(B679="U001",B679="U002",B679="U003"),C679="",E679=DATE(2026,3,1)),AND(H679="원장",C679&gt;=64,C679&lt;=500,INDEX(잔액!$I:$I,MAX(64,C679))="OK",E679=INDEX(잔액!$A:$A,MAX(64,C679)),F679=INDEX(잔액!$C:$C,MAX(64,C679)),OR(F679=J679,F679="결제대금비",AND(B679="U008",C679=223,J679="경조사비",F679="명절비"),AND(B679="U008",C679=208,J679="경조사비",F679="임시보관",SUMIF($C$430:$C$729,C679,$D$430:$D$729)&lt;=39000)),OR(COUNTIF($A$8:$A$12,F679)=1,F679="결제대금비",AND(B679="U008",C679=208,J679="경조사비",F679="임시보관",SUMIF($C$430:$C$729,C679,$D$430:$D$729)&lt;=39000)),COUNTIF($A$8:$A$12,INDEX(잔액!$D:$D,MAX(64,C679)))=0,SUMIF($C$430:$C$729,C679,$D$430:$D$729)&lt;=INDEX(잔액!$Y:$Y,MAX(64,C679)))),1,0),0))</f>
      </c>
      <c r="N679" s="504">
        <f>IF(B679="","",IFERROR(IF(AND(COUNTIF($A$100:$A$399,B679)=1,INDEX($R$100:$R$399,MATCH(B679,$A$100:$A$399,0))="OK",D679&gt;0,ISNUMBER(E679),M679=1,SUMIF($B$430:$B$729,B679,$D$430:$D$729)&lt;=INDEX($E$100:$E$399,MATCH(B679,$A$100:$A$399,0))),"OK","확인: 정산연결"),"확인: 정산연결"))</f>
      </c>
      <c r="O679" s="526">
        <f>IF(N679="OK",D679,0)</f>
        <v>0</v>
      </c>
    </row>
    <row r="680" hidden="1" outlineLevel="1">
      <c r="A680" s="504">
        <f>IF(B680="","","S"&amp;ROW())</f>
      </c>
      <c r="B680" s="522" t="n"/>
      <c r="C680" s="522" t="n"/>
      <c r="D680" s="525">
        <f>IF(C680="","",IFERROR(INDEX(잔액!$Y:$Y,MAX(64,C680)),0))</f>
      </c>
      <c r="E680" s="524">
        <f>IF(C680="","",IFERROR(INDEX(잔액!$A:$A,MAX(64,C680)),""))</f>
      </c>
      <c r="F680" s="504">
        <f>IF(C680="","",IFERROR(INDEX(잔액!$C:$C,MAX(64,C680)),""))</f>
      </c>
      <c r="G680" s="504">
        <f>IF(C680="","",IF(INDEX(잔액!$K:$K,MAX(64,C680))&lt;&gt;"",INDEX(잔액!$K:$K,MAX(64,C680)),INDEX(잔액!$D:$D,MAX(64,C680))))</f>
      </c>
      <c r="H680" s="504" t="inlineStr">
        <is>
          <t>원장</t>
        </is>
      </c>
      <c r="J680" s="504">
        <f>IFERROR(INDEX($C$100:$C$399,MATCH(B680,$A$100:$A$399,0)),"")</f>
        <v>0</v>
      </c>
      <c r="K680" s="524">
        <f>IFERROR(INDEX($D$100:$D$399,MATCH(B680,$A$100:$A$399,0)),"")</f>
      </c>
      <c r="L680" s="504">
        <f>IFERROR(INDEX($S$100:$S$399,MATCH(B680,$A$100:$A$399,0)),"")</f>
        <v>0</v>
      </c>
      <c r="M680" s="504">
        <f>IF(B680="","",IFERROR(IF(OR(AND(H680="기초반영",OR(B680="U001",B680="U002",B680="U003"),C680="",E680=DATE(2026,3,1)),AND(H680="원장",C680&gt;=64,C680&lt;=500,INDEX(잔액!$I:$I,MAX(64,C680))="OK",E680=INDEX(잔액!$A:$A,MAX(64,C680)),F680=INDEX(잔액!$C:$C,MAX(64,C680)),OR(F680=J680,F680="결제대금비",AND(B680="U008",C680=223,J680="경조사비",F680="명절비"),AND(B680="U008",C680=208,J680="경조사비",F680="임시보관",SUMIF($C$430:$C$729,C680,$D$430:$D$729)&lt;=39000)),OR(COUNTIF($A$8:$A$12,F680)=1,F680="결제대금비",AND(B680="U008",C680=208,J680="경조사비",F680="임시보관",SUMIF($C$430:$C$729,C680,$D$430:$D$729)&lt;=39000)),COUNTIF($A$8:$A$12,INDEX(잔액!$D:$D,MAX(64,C680)))=0,SUMIF($C$430:$C$729,C680,$D$430:$D$729)&lt;=INDEX(잔액!$Y:$Y,MAX(64,C680)))),1,0),0))</f>
      </c>
      <c r="N680" s="504">
        <f>IF(B680="","",IFERROR(IF(AND(COUNTIF($A$100:$A$399,B680)=1,INDEX($R$100:$R$399,MATCH(B680,$A$100:$A$399,0))="OK",D680&gt;0,ISNUMBER(E680),M680=1,SUMIF($B$430:$B$729,B680,$D$430:$D$729)&lt;=INDEX($E$100:$E$399,MATCH(B680,$A$100:$A$399,0))),"OK","확인: 정산연결"),"확인: 정산연결"))</f>
      </c>
      <c r="O680" s="526">
        <f>IF(N680="OK",D680,0)</f>
        <v>0</v>
      </c>
    </row>
    <row r="681" hidden="1" outlineLevel="1">
      <c r="A681" s="504">
        <f>IF(B681="","","S"&amp;ROW())</f>
      </c>
      <c r="B681" s="522" t="n"/>
      <c r="C681" s="522" t="n"/>
      <c r="D681" s="525">
        <f>IF(C681="","",IFERROR(INDEX(잔액!$Y:$Y,MAX(64,C681)),0))</f>
      </c>
      <c r="E681" s="524">
        <f>IF(C681="","",IFERROR(INDEX(잔액!$A:$A,MAX(64,C681)),""))</f>
      </c>
      <c r="F681" s="504">
        <f>IF(C681="","",IFERROR(INDEX(잔액!$C:$C,MAX(64,C681)),""))</f>
      </c>
      <c r="G681" s="504">
        <f>IF(C681="","",IF(INDEX(잔액!$K:$K,MAX(64,C681))&lt;&gt;"",INDEX(잔액!$K:$K,MAX(64,C681)),INDEX(잔액!$D:$D,MAX(64,C681))))</f>
      </c>
      <c r="H681" s="504" t="inlineStr">
        <is>
          <t>원장</t>
        </is>
      </c>
      <c r="J681" s="504">
        <f>IFERROR(INDEX($C$100:$C$399,MATCH(B681,$A$100:$A$399,0)),"")</f>
        <v>0</v>
      </c>
      <c r="K681" s="524">
        <f>IFERROR(INDEX($D$100:$D$399,MATCH(B681,$A$100:$A$399,0)),"")</f>
      </c>
      <c r="L681" s="504">
        <f>IFERROR(INDEX($S$100:$S$399,MATCH(B681,$A$100:$A$399,0)),"")</f>
        <v>0</v>
      </c>
      <c r="M681" s="504">
        <f>IF(B681="","",IFERROR(IF(OR(AND(H681="기초반영",OR(B681="U001",B681="U002",B681="U003"),C681="",E681=DATE(2026,3,1)),AND(H681="원장",C681&gt;=64,C681&lt;=500,INDEX(잔액!$I:$I,MAX(64,C681))="OK",E681=INDEX(잔액!$A:$A,MAX(64,C681)),F681=INDEX(잔액!$C:$C,MAX(64,C681)),OR(F681=J681,F681="결제대금비",AND(B681="U008",C681=223,J681="경조사비",F681="명절비"),AND(B681="U008",C681=208,J681="경조사비",F681="임시보관",SUMIF($C$430:$C$729,C681,$D$430:$D$729)&lt;=39000)),OR(COUNTIF($A$8:$A$12,F681)=1,F681="결제대금비",AND(B681="U008",C681=208,J681="경조사비",F681="임시보관",SUMIF($C$430:$C$729,C681,$D$430:$D$729)&lt;=39000)),COUNTIF($A$8:$A$12,INDEX(잔액!$D:$D,MAX(64,C681)))=0,SUMIF($C$430:$C$729,C681,$D$430:$D$729)&lt;=INDEX(잔액!$Y:$Y,MAX(64,C681)))),1,0),0))</f>
      </c>
      <c r="N681" s="504">
        <f>IF(B681="","",IFERROR(IF(AND(COUNTIF($A$100:$A$399,B681)=1,INDEX($R$100:$R$399,MATCH(B681,$A$100:$A$399,0))="OK",D681&gt;0,ISNUMBER(E681),M681=1,SUMIF($B$430:$B$729,B681,$D$430:$D$729)&lt;=INDEX($E$100:$E$399,MATCH(B681,$A$100:$A$399,0))),"OK","확인: 정산연결"),"확인: 정산연결"))</f>
      </c>
      <c r="O681" s="526">
        <f>IF(N681="OK",D681,0)</f>
        <v>0</v>
      </c>
    </row>
    <row r="682" hidden="1" outlineLevel="1">
      <c r="A682" s="504">
        <f>IF(B682="","","S"&amp;ROW())</f>
      </c>
      <c r="B682" s="522" t="n"/>
      <c r="C682" s="522" t="n"/>
      <c r="D682" s="525">
        <f>IF(C682="","",IFERROR(INDEX(잔액!$Y:$Y,MAX(64,C682)),0))</f>
      </c>
      <c r="E682" s="524">
        <f>IF(C682="","",IFERROR(INDEX(잔액!$A:$A,MAX(64,C682)),""))</f>
      </c>
      <c r="F682" s="504">
        <f>IF(C682="","",IFERROR(INDEX(잔액!$C:$C,MAX(64,C682)),""))</f>
      </c>
      <c r="G682" s="504">
        <f>IF(C682="","",IF(INDEX(잔액!$K:$K,MAX(64,C682))&lt;&gt;"",INDEX(잔액!$K:$K,MAX(64,C682)),INDEX(잔액!$D:$D,MAX(64,C682))))</f>
      </c>
      <c r="H682" s="504" t="inlineStr">
        <is>
          <t>원장</t>
        </is>
      </c>
      <c r="J682" s="504">
        <f>IFERROR(INDEX($C$100:$C$399,MATCH(B682,$A$100:$A$399,0)),"")</f>
        <v>0</v>
      </c>
      <c r="K682" s="524">
        <f>IFERROR(INDEX($D$100:$D$399,MATCH(B682,$A$100:$A$399,0)),"")</f>
      </c>
      <c r="L682" s="504">
        <f>IFERROR(INDEX($S$100:$S$399,MATCH(B682,$A$100:$A$399,0)),"")</f>
        <v>0</v>
      </c>
      <c r="M682" s="504">
        <f>IF(B682="","",IFERROR(IF(OR(AND(H682="기초반영",OR(B682="U001",B682="U002",B682="U003"),C682="",E682=DATE(2026,3,1)),AND(H682="원장",C682&gt;=64,C682&lt;=500,INDEX(잔액!$I:$I,MAX(64,C682))="OK",E682=INDEX(잔액!$A:$A,MAX(64,C682)),F682=INDEX(잔액!$C:$C,MAX(64,C682)),OR(F682=J682,F682="결제대금비",AND(B682="U008",C682=223,J682="경조사비",F682="명절비"),AND(B682="U008",C682=208,J682="경조사비",F682="임시보관",SUMIF($C$430:$C$729,C682,$D$430:$D$729)&lt;=39000)),OR(COUNTIF($A$8:$A$12,F682)=1,F682="결제대금비",AND(B682="U008",C682=208,J682="경조사비",F682="임시보관",SUMIF($C$430:$C$729,C682,$D$430:$D$729)&lt;=39000)),COUNTIF($A$8:$A$12,INDEX(잔액!$D:$D,MAX(64,C682)))=0,SUMIF($C$430:$C$729,C682,$D$430:$D$729)&lt;=INDEX(잔액!$Y:$Y,MAX(64,C682)))),1,0),0))</f>
      </c>
      <c r="N682" s="504">
        <f>IF(B682="","",IFERROR(IF(AND(COUNTIF($A$100:$A$399,B682)=1,INDEX($R$100:$R$399,MATCH(B682,$A$100:$A$399,0))="OK",D682&gt;0,ISNUMBER(E682),M682=1,SUMIF($B$430:$B$729,B682,$D$430:$D$729)&lt;=INDEX($E$100:$E$399,MATCH(B682,$A$100:$A$399,0))),"OK","확인: 정산연결"),"확인: 정산연결"))</f>
      </c>
      <c r="O682" s="526">
        <f>IF(N682="OK",D682,0)</f>
        <v>0</v>
      </c>
    </row>
    <row r="683" hidden="1" outlineLevel="1">
      <c r="A683" s="504">
        <f>IF(B683="","","S"&amp;ROW())</f>
      </c>
      <c r="B683" s="522" t="n"/>
      <c r="C683" s="522" t="n"/>
      <c r="D683" s="525">
        <f>IF(C683="","",IFERROR(INDEX(잔액!$Y:$Y,MAX(64,C683)),0))</f>
      </c>
      <c r="E683" s="524">
        <f>IF(C683="","",IFERROR(INDEX(잔액!$A:$A,MAX(64,C683)),""))</f>
      </c>
      <c r="F683" s="504">
        <f>IF(C683="","",IFERROR(INDEX(잔액!$C:$C,MAX(64,C683)),""))</f>
      </c>
      <c r="G683" s="504">
        <f>IF(C683="","",IF(INDEX(잔액!$K:$K,MAX(64,C683))&lt;&gt;"",INDEX(잔액!$K:$K,MAX(64,C683)),INDEX(잔액!$D:$D,MAX(64,C683))))</f>
      </c>
      <c r="H683" s="504" t="inlineStr">
        <is>
          <t>원장</t>
        </is>
      </c>
      <c r="J683" s="504">
        <f>IFERROR(INDEX($C$100:$C$399,MATCH(B683,$A$100:$A$399,0)),"")</f>
        <v>0</v>
      </c>
      <c r="K683" s="524">
        <f>IFERROR(INDEX($D$100:$D$399,MATCH(B683,$A$100:$A$399,0)),"")</f>
      </c>
      <c r="L683" s="504">
        <f>IFERROR(INDEX($S$100:$S$399,MATCH(B683,$A$100:$A$399,0)),"")</f>
        <v>0</v>
      </c>
      <c r="M683" s="504">
        <f>IF(B683="","",IFERROR(IF(OR(AND(H683="기초반영",OR(B683="U001",B683="U002",B683="U003"),C683="",E683=DATE(2026,3,1)),AND(H683="원장",C683&gt;=64,C683&lt;=500,INDEX(잔액!$I:$I,MAX(64,C683))="OK",E683=INDEX(잔액!$A:$A,MAX(64,C683)),F683=INDEX(잔액!$C:$C,MAX(64,C683)),OR(F683=J683,F683="결제대금비",AND(B683="U008",C683=223,J683="경조사비",F683="명절비"),AND(B683="U008",C683=208,J683="경조사비",F683="임시보관",SUMIF($C$430:$C$729,C683,$D$430:$D$729)&lt;=39000)),OR(COUNTIF($A$8:$A$12,F683)=1,F683="결제대금비",AND(B683="U008",C683=208,J683="경조사비",F683="임시보관",SUMIF($C$430:$C$729,C683,$D$430:$D$729)&lt;=39000)),COUNTIF($A$8:$A$12,INDEX(잔액!$D:$D,MAX(64,C683)))=0,SUMIF($C$430:$C$729,C683,$D$430:$D$729)&lt;=INDEX(잔액!$Y:$Y,MAX(64,C683)))),1,0),0))</f>
      </c>
      <c r="N683" s="504">
        <f>IF(B683="","",IFERROR(IF(AND(COUNTIF($A$100:$A$399,B683)=1,INDEX($R$100:$R$399,MATCH(B683,$A$100:$A$399,0))="OK",D683&gt;0,ISNUMBER(E683),M683=1,SUMIF($B$430:$B$729,B683,$D$430:$D$729)&lt;=INDEX($E$100:$E$399,MATCH(B683,$A$100:$A$399,0))),"OK","확인: 정산연결"),"확인: 정산연결"))</f>
      </c>
      <c r="O683" s="526">
        <f>IF(N683="OK",D683,0)</f>
        <v>0</v>
      </c>
    </row>
    <row r="684" hidden="1" outlineLevel="1">
      <c r="A684" s="504">
        <f>IF(B684="","","S"&amp;ROW())</f>
      </c>
      <c r="B684" s="522" t="n"/>
      <c r="C684" s="522" t="n"/>
      <c r="D684" s="525">
        <f>IF(C684="","",IFERROR(INDEX(잔액!$Y:$Y,MAX(64,C684)),0))</f>
      </c>
      <c r="E684" s="524">
        <f>IF(C684="","",IFERROR(INDEX(잔액!$A:$A,MAX(64,C684)),""))</f>
      </c>
      <c r="F684" s="504">
        <f>IF(C684="","",IFERROR(INDEX(잔액!$C:$C,MAX(64,C684)),""))</f>
      </c>
      <c r="G684" s="504">
        <f>IF(C684="","",IF(INDEX(잔액!$K:$K,MAX(64,C684))&lt;&gt;"",INDEX(잔액!$K:$K,MAX(64,C684)),INDEX(잔액!$D:$D,MAX(64,C684))))</f>
      </c>
      <c r="H684" s="504" t="inlineStr">
        <is>
          <t>원장</t>
        </is>
      </c>
      <c r="J684" s="504">
        <f>IFERROR(INDEX($C$100:$C$399,MATCH(B684,$A$100:$A$399,0)),"")</f>
        <v>0</v>
      </c>
      <c r="K684" s="524">
        <f>IFERROR(INDEX($D$100:$D$399,MATCH(B684,$A$100:$A$399,0)),"")</f>
      </c>
      <c r="L684" s="504">
        <f>IFERROR(INDEX($S$100:$S$399,MATCH(B684,$A$100:$A$399,0)),"")</f>
        <v>0</v>
      </c>
      <c r="M684" s="504">
        <f>IF(B684="","",IFERROR(IF(OR(AND(H684="기초반영",OR(B684="U001",B684="U002",B684="U003"),C684="",E684=DATE(2026,3,1)),AND(H684="원장",C684&gt;=64,C684&lt;=500,INDEX(잔액!$I:$I,MAX(64,C684))="OK",E684=INDEX(잔액!$A:$A,MAX(64,C684)),F684=INDEX(잔액!$C:$C,MAX(64,C684)),OR(F684=J684,F684="결제대금비",AND(B684="U008",C684=223,J684="경조사비",F684="명절비"),AND(B684="U008",C684=208,J684="경조사비",F684="임시보관",SUMIF($C$430:$C$729,C684,$D$430:$D$729)&lt;=39000)),OR(COUNTIF($A$8:$A$12,F684)=1,F684="결제대금비",AND(B684="U008",C684=208,J684="경조사비",F684="임시보관",SUMIF($C$430:$C$729,C684,$D$430:$D$729)&lt;=39000)),COUNTIF($A$8:$A$12,INDEX(잔액!$D:$D,MAX(64,C684)))=0,SUMIF($C$430:$C$729,C684,$D$430:$D$729)&lt;=INDEX(잔액!$Y:$Y,MAX(64,C684)))),1,0),0))</f>
      </c>
      <c r="N684" s="504">
        <f>IF(B684="","",IFERROR(IF(AND(COUNTIF($A$100:$A$399,B684)=1,INDEX($R$100:$R$399,MATCH(B684,$A$100:$A$399,0))="OK",D684&gt;0,ISNUMBER(E684),M684=1,SUMIF($B$430:$B$729,B684,$D$430:$D$729)&lt;=INDEX($E$100:$E$399,MATCH(B684,$A$100:$A$399,0))),"OK","확인: 정산연결"),"확인: 정산연결"))</f>
      </c>
      <c r="O684" s="526">
        <f>IF(N684="OK",D684,0)</f>
        <v>0</v>
      </c>
    </row>
    <row r="685" hidden="1" outlineLevel="1">
      <c r="A685" s="504">
        <f>IF(B685="","","S"&amp;ROW())</f>
      </c>
      <c r="B685" s="522" t="n"/>
      <c r="C685" s="522" t="n"/>
      <c r="D685" s="525">
        <f>IF(C685="","",IFERROR(INDEX(잔액!$Y:$Y,MAX(64,C685)),0))</f>
      </c>
      <c r="E685" s="524">
        <f>IF(C685="","",IFERROR(INDEX(잔액!$A:$A,MAX(64,C685)),""))</f>
      </c>
      <c r="F685" s="504">
        <f>IF(C685="","",IFERROR(INDEX(잔액!$C:$C,MAX(64,C685)),""))</f>
      </c>
      <c r="G685" s="504">
        <f>IF(C685="","",IF(INDEX(잔액!$K:$K,MAX(64,C685))&lt;&gt;"",INDEX(잔액!$K:$K,MAX(64,C685)),INDEX(잔액!$D:$D,MAX(64,C685))))</f>
      </c>
      <c r="H685" s="504" t="inlineStr">
        <is>
          <t>원장</t>
        </is>
      </c>
      <c r="J685" s="504">
        <f>IFERROR(INDEX($C$100:$C$399,MATCH(B685,$A$100:$A$399,0)),"")</f>
        <v>0</v>
      </c>
      <c r="K685" s="524">
        <f>IFERROR(INDEX($D$100:$D$399,MATCH(B685,$A$100:$A$399,0)),"")</f>
      </c>
      <c r="L685" s="504">
        <f>IFERROR(INDEX($S$100:$S$399,MATCH(B685,$A$100:$A$399,0)),"")</f>
        <v>0</v>
      </c>
      <c r="M685" s="504">
        <f>IF(B685="","",IFERROR(IF(OR(AND(H685="기초반영",OR(B685="U001",B685="U002",B685="U003"),C685="",E685=DATE(2026,3,1)),AND(H685="원장",C685&gt;=64,C685&lt;=500,INDEX(잔액!$I:$I,MAX(64,C685))="OK",E685=INDEX(잔액!$A:$A,MAX(64,C685)),F685=INDEX(잔액!$C:$C,MAX(64,C685)),OR(F685=J685,F685="결제대금비",AND(B685="U008",C685=223,J685="경조사비",F685="명절비"),AND(B685="U008",C685=208,J685="경조사비",F685="임시보관",SUMIF($C$430:$C$729,C685,$D$430:$D$729)&lt;=39000)),OR(COUNTIF($A$8:$A$12,F685)=1,F685="결제대금비",AND(B685="U008",C685=208,J685="경조사비",F685="임시보관",SUMIF($C$430:$C$729,C685,$D$430:$D$729)&lt;=39000)),COUNTIF($A$8:$A$12,INDEX(잔액!$D:$D,MAX(64,C685)))=0,SUMIF($C$430:$C$729,C685,$D$430:$D$729)&lt;=INDEX(잔액!$Y:$Y,MAX(64,C685)))),1,0),0))</f>
      </c>
      <c r="N685" s="504">
        <f>IF(B685="","",IFERROR(IF(AND(COUNTIF($A$100:$A$399,B685)=1,INDEX($R$100:$R$399,MATCH(B685,$A$100:$A$399,0))="OK",D685&gt;0,ISNUMBER(E685),M685=1,SUMIF($B$430:$B$729,B685,$D$430:$D$729)&lt;=INDEX($E$100:$E$399,MATCH(B685,$A$100:$A$399,0))),"OK","확인: 정산연결"),"확인: 정산연결"))</f>
      </c>
      <c r="O685" s="526">
        <f>IF(N685="OK",D685,0)</f>
        <v>0</v>
      </c>
    </row>
    <row r="686" hidden="1" outlineLevel="1">
      <c r="A686" s="504">
        <f>IF(B686="","","S"&amp;ROW())</f>
      </c>
      <c r="B686" s="522" t="n"/>
      <c r="C686" s="522" t="n"/>
      <c r="D686" s="525">
        <f>IF(C686="","",IFERROR(INDEX(잔액!$Y:$Y,MAX(64,C686)),0))</f>
      </c>
      <c r="E686" s="524">
        <f>IF(C686="","",IFERROR(INDEX(잔액!$A:$A,MAX(64,C686)),""))</f>
      </c>
      <c r="F686" s="504">
        <f>IF(C686="","",IFERROR(INDEX(잔액!$C:$C,MAX(64,C686)),""))</f>
      </c>
      <c r="G686" s="504">
        <f>IF(C686="","",IF(INDEX(잔액!$K:$K,MAX(64,C686))&lt;&gt;"",INDEX(잔액!$K:$K,MAX(64,C686)),INDEX(잔액!$D:$D,MAX(64,C686))))</f>
      </c>
      <c r="H686" s="504" t="inlineStr">
        <is>
          <t>원장</t>
        </is>
      </c>
      <c r="J686" s="504">
        <f>IFERROR(INDEX($C$100:$C$399,MATCH(B686,$A$100:$A$399,0)),"")</f>
        <v>0</v>
      </c>
      <c r="K686" s="524">
        <f>IFERROR(INDEX($D$100:$D$399,MATCH(B686,$A$100:$A$399,0)),"")</f>
      </c>
      <c r="L686" s="504">
        <f>IFERROR(INDEX($S$100:$S$399,MATCH(B686,$A$100:$A$399,0)),"")</f>
        <v>0</v>
      </c>
      <c r="M686" s="504">
        <f>IF(B686="","",IFERROR(IF(OR(AND(H686="기초반영",OR(B686="U001",B686="U002",B686="U003"),C686="",E686=DATE(2026,3,1)),AND(H686="원장",C686&gt;=64,C686&lt;=500,INDEX(잔액!$I:$I,MAX(64,C686))="OK",E686=INDEX(잔액!$A:$A,MAX(64,C686)),F686=INDEX(잔액!$C:$C,MAX(64,C686)),OR(F686=J686,F686="결제대금비",AND(B686="U008",C686=223,J686="경조사비",F686="명절비"),AND(B686="U008",C686=208,J686="경조사비",F686="임시보관",SUMIF($C$430:$C$729,C686,$D$430:$D$729)&lt;=39000)),OR(COUNTIF($A$8:$A$12,F686)=1,F686="결제대금비",AND(B686="U008",C686=208,J686="경조사비",F686="임시보관",SUMIF($C$430:$C$729,C686,$D$430:$D$729)&lt;=39000)),COUNTIF($A$8:$A$12,INDEX(잔액!$D:$D,MAX(64,C686)))=0,SUMIF($C$430:$C$729,C686,$D$430:$D$729)&lt;=INDEX(잔액!$Y:$Y,MAX(64,C686)))),1,0),0))</f>
      </c>
      <c r="N686" s="504">
        <f>IF(B686="","",IFERROR(IF(AND(COUNTIF($A$100:$A$399,B686)=1,INDEX($R$100:$R$399,MATCH(B686,$A$100:$A$399,0))="OK",D686&gt;0,ISNUMBER(E686),M686=1,SUMIF($B$430:$B$729,B686,$D$430:$D$729)&lt;=INDEX($E$100:$E$399,MATCH(B686,$A$100:$A$399,0))),"OK","확인: 정산연결"),"확인: 정산연결"))</f>
      </c>
      <c r="O686" s="526">
        <f>IF(N686="OK",D686,0)</f>
        <v>0</v>
      </c>
    </row>
    <row r="687" hidden="1" outlineLevel="1">
      <c r="A687" s="504">
        <f>IF(B687="","","S"&amp;ROW())</f>
      </c>
      <c r="B687" s="522" t="n"/>
      <c r="C687" s="522" t="n"/>
      <c r="D687" s="525">
        <f>IF(C687="","",IFERROR(INDEX(잔액!$Y:$Y,MAX(64,C687)),0))</f>
      </c>
      <c r="E687" s="524">
        <f>IF(C687="","",IFERROR(INDEX(잔액!$A:$A,MAX(64,C687)),""))</f>
      </c>
      <c r="F687" s="504">
        <f>IF(C687="","",IFERROR(INDEX(잔액!$C:$C,MAX(64,C687)),""))</f>
      </c>
      <c r="G687" s="504">
        <f>IF(C687="","",IF(INDEX(잔액!$K:$K,MAX(64,C687))&lt;&gt;"",INDEX(잔액!$K:$K,MAX(64,C687)),INDEX(잔액!$D:$D,MAX(64,C687))))</f>
      </c>
      <c r="H687" s="504" t="inlineStr">
        <is>
          <t>원장</t>
        </is>
      </c>
      <c r="J687" s="504">
        <f>IFERROR(INDEX($C$100:$C$399,MATCH(B687,$A$100:$A$399,0)),"")</f>
        <v>0</v>
      </c>
      <c r="K687" s="524">
        <f>IFERROR(INDEX($D$100:$D$399,MATCH(B687,$A$100:$A$399,0)),"")</f>
      </c>
      <c r="L687" s="504">
        <f>IFERROR(INDEX($S$100:$S$399,MATCH(B687,$A$100:$A$399,0)),"")</f>
        <v>0</v>
      </c>
      <c r="M687" s="504">
        <f>IF(B687="","",IFERROR(IF(OR(AND(H687="기초반영",OR(B687="U001",B687="U002",B687="U003"),C687="",E687=DATE(2026,3,1)),AND(H687="원장",C687&gt;=64,C687&lt;=500,INDEX(잔액!$I:$I,MAX(64,C687))="OK",E687=INDEX(잔액!$A:$A,MAX(64,C687)),F687=INDEX(잔액!$C:$C,MAX(64,C687)),OR(F687=J687,F687="결제대금비",AND(B687="U008",C687=223,J687="경조사비",F687="명절비"),AND(B687="U008",C687=208,J687="경조사비",F687="임시보관",SUMIF($C$430:$C$729,C687,$D$430:$D$729)&lt;=39000)),OR(COUNTIF($A$8:$A$12,F687)=1,F687="결제대금비",AND(B687="U008",C687=208,J687="경조사비",F687="임시보관",SUMIF($C$430:$C$729,C687,$D$430:$D$729)&lt;=39000)),COUNTIF($A$8:$A$12,INDEX(잔액!$D:$D,MAX(64,C687)))=0,SUMIF($C$430:$C$729,C687,$D$430:$D$729)&lt;=INDEX(잔액!$Y:$Y,MAX(64,C687)))),1,0),0))</f>
      </c>
      <c r="N687" s="504">
        <f>IF(B687="","",IFERROR(IF(AND(COUNTIF($A$100:$A$399,B687)=1,INDEX($R$100:$R$399,MATCH(B687,$A$100:$A$399,0))="OK",D687&gt;0,ISNUMBER(E687),M687=1,SUMIF($B$430:$B$729,B687,$D$430:$D$729)&lt;=INDEX($E$100:$E$399,MATCH(B687,$A$100:$A$399,0))),"OK","확인: 정산연결"),"확인: 정산연결"))</f>
      </c>
      <c r="O687" s="526">
        <f>IF(N687="OK",D687,0)</f>
        <v>0</v>
      </c>
    </row>
    <row r="688" hidden="1" outlineLevel="1">
      <c r="A688" s="504">
        <f>IF(B688="","","S"&amp;ROW())</f>
      </c>
      <c r="B688" s="522" t="n"/>
      <c r="C688" s="522" t="n"/>
      <c r="D688" s="525">
        <f>IF(C688="","",IFERROR(INDEX(잔액!$Y:$Y,MAX(64,C688)),0))</f>
      </c>
      <c r="E688" s="524">
        <f>IF(C688="","",IFERROR(INDEX(잔액!$A:$A,MAX(64,C688)),""))</f>
      </c>
      <c r="F688" s="504">
        <f>IF(C688="","",IFERROR(INDEX(잔액!$C:$C,MAX(64,C688)),""))</f>
      </c>
      <c r="G688" s="504">
        <f>IF(C688="","",IF(INDEX(잔액!$K:$K,MAX(64,C688))&lt;&gt;"",INDEX(잔액!$K:$K,MAX(64,C688)),INDEX(잔액!$D:$D,MAX(64,C688))))</f>
      </c>
      <c r="H688" s="504" t="inlineStr">
        <is>
          <t>원장</t>
        </is>
      </c>
      <c r="J688" s="504">
        <f>IFERROR(INDEX($C$100:$C$399,MATCH(B688,$A$100:$A$399,0)),"")</f>
        <v>0</v>
      </c>
      <c r="K688" s="524">
        <f>IFERROR(INDEX($D$100:$D$399,MATCH(B688,$A$100:$A$399,0)),"")</f>
      </c>
      <c r="L688" s="504">
        <f>IFERROR(INDEX($S$100:$S$399,MATCH(B688,$A$100:$A$399,0)),"")</f>
        <v>0</v>
      </c>
      <c r="M688" s="504">
        <f>IF(B688="","",IFERROR(IF(OR(AND(H688="기초반영",OR(B688="U001",B688="U002",B688="U003"),C688="",E688=DATE(2026,3,1)),AND(H688="원장",C688&gt;=64,C688&lt;=500,INDEX(잔액!$I:$I,MAX(64,C688))="OK",E688=INDEX(잔액!$A:$A,MAX(64,C688)),F688=INDEX(잔액!$C:$C,MAX(64,C688)),OR(F688=J688,F688="결제대금비",AND(B688="U008",C688=223,J688="경조사비",F688="명절비"),AND(B688="U008",C688=208,J688="경조사비",F688="임시보관",SUMIF($C$430:$C$729,C688,$D$430:$D$729)&lt;=39000)),OR(COUNTIF($A$8:$A$12,F688)=1,F688="결제대금비",AND(B688="U008",C688=208,J688="경조사비",F688="임시보관",SUMIF($C$430:$C$729,C688,$D$430:$D$729)&lt;=39000)),COUNTIF($A$8:$A$12,INDEX(잔액!$D:$D,MAX(64,C688)))=0,SUMIF($C$430:$C$729,C688,$D$430:$D$729)&lt;=INDEX(잔액!$Y:$Y,MAX(64,C688)))),1,0),0))</f>
      </c>
      <c r="N688" s="504">
        <f>IF(B688="","",IFERROR(IF(AND(COUNTIF($A$100:$A$399,B688)=1,INDEX($R$100:$R$399,MATCH(B688,$A$100:$A$399,0))="OK",D688&gt;0,ISNUMBER(E688),M688=1,SUMIF($B$430:$B$729,B688,$D$430:$D$729)&lt;=INDEX($E$100:$E$399,MATCH(B688,$A$100:$A$399,0))),"OK","확인: 정산연결"),"확인: 정산연결"))</f>
      </c>
      <c r="O688" s="526">
        <f>IF(N688="OK",D688,0)</f>
        <v>0</v>
      </c>
    </row>
    <row r="689" hidden="1" outlineLevel="1">
      <c r="A689" s="504">
        <f>IF(B689="","","S"&amp;ROW())</f>
      </c>
      <c r="B689" s="522" t="n"/>
      <c r="C689" s="522" t="n"/>
      <c r="D689" s="525">
        <f>IF(C689="","",IFERROR(INDEX(잔액!$Y:$Y,MAX(64,C689)),0))</f>
      </c>
      <c r="E689" s="524">
        <f>IF(C689="","",IFERROR(INDEX(잔액!$A:$A,MAX(64,C689)),""))</f>
      </c>
      <c r="F689" s="504">
        <f>IF(C689="","",IFERROR(INDEX(잔액!$C:$C,MAX(64,C689)),""))</f>
      </c>
      <c r="G689" s="504">
        <f>IF(C689="","",IF(INDEX(잔액!$K:$K,MAX(64,C689))&lt;&gt;"",INDEX(잔액!$K:$K,MAX(64,C689)),INDEX(잔액!$D:$D,MAX(64,C689))))</f>
      </c>
      <c r="H689" s="504" t="inlineStr">
        <is>
          <t>원장</t>
        </is>
      </c>
      <c r="J689" s="504">
        <f>IFERROR(INDEX($C$100:$C$399,MATCH(B689,$A$100:$A$399,0)),"")</f>
        <v>0</v>
      </c>
      <c r="K689" s="524">
        <f>IFERROR(INDEX($D$100:$D$399,MATCH(B689,$A$100:$A$399,0)),"")</f>
      </c>
      <c r="L689" s="504">
        <f>IFERROR(INDEX($S$100:$S$399,MATCH(B689,$A$100:$A$399,0)),"")</f>
        <v>0</v>
      </c>
      <c r="M689" s="504">
        <f>IF(B689="","",IFERROR(IF(OR(AND(H689="기초반영",OR(B689="U001",B689="U002",B689="U003"),C689="",E689=DATE(2026,3,1)),AND(H689="원장",C689&gt;=64,C689&lt;=500,INDEX(잔액!$I:$I,MAX(64,C689))="OK",E689=INDEX(잔액!$A:$A,MAX(64,C689)),F689=INDEX(잔액!$C:$C,MAX(64,C689)),OR(F689=J689,F689="결제대금비",AND(B689="U008",C689=223,J689="경조사비",F689="명절비"),AND(B689="U008",C689=208,J689="경조사비",F689="임시보관",SUMIF($C$430:$C$729,C689,$D$430:$D$729)&lt;=39000)),OR(COUNTIF($A$8:$A$12,F689)=1,F689="결제대금비",AND(B689="U008",C689=208,J689="경조사비",F689="임시보관",SUMIF($C$430:$C$729,C689,$D$430:$D$729)&lt;=39000)),COUNTIF($A$8:$A$12,INDEX(잔액!$D:$D,MAX(64,C689)))=0,SUMIF($C$430:$C$729,C689,$D$430:$D$729)&lt;=INDEX(잔액!$Y:$Y,MAX(64,C689)))),1,0),0))</f>
      </c>
      <c r="N689" s="504">
        <f>IF(B689="","",IFERROR(IF(AND(COUNTIF($A$100:$A$399,B689)=1,INDEX($R$100:$R$399,MATCH(B689,$A$100:$A$399,0))="OK",D689&gt;0,ISNUMBER(E689),M689=1,SUMIF($B$430:$B$729,B689,$D$430:$D$729)&lt;=INDEX($E$100:$E$399,MATCH(B689,$A$100:$A$399,0))),"OK","확인: 정산연결"),"확인: 정산연결"))</f>
      </c>
      <c r="O689" s="526">
        <f>IF(N689="OK",D689,0)</f>
        <v>0</v>
      </c>
    </row>
    <row r="690" hidden="1" outlineLevel="1">
      <c r="A690" s="504">
        <f>IF(B690="","","S"&amp;ROW())</f>
      </c>
      <c r="B690" s="522" t="n"/>
      <c r="C690" s="522" t="n"/>
      <c r="D690" s="525">
        <f>IF(C690="","",IFERROR(INDEX(잔액!$Y:$Y,MAX(64,C690)),0))</f>
      </c>
      <c r="E690" s="524">
        <f>IF(C690="","",IFERROR(INDEX(잔액!$A:$A,MAX(64,C690)),""))</f>
      </c>
      <c r="F690" s="504">
        <f>IF(C690="","",IFERROR(INDEX(잔액!$C:$C,MAX(64,C690)),""))</f>
      </c>
      <c r="G690" s="504">
        <f>IF(C690="","",IF(INDEX(잔액!$K:$K,MAX(64,C690))&lt;&gt;"",INDEX(잔액!$K:$K,MAX(64,C690)),INDEX(잔액!$D:$D,MAX(64,C690))))</f>
      </c>
      <c r="H690" s="504" t="inlineStr">
        <is>
          <t>원장</t>
        </is>
      </c>
      <c r="J690" s="504">
        <f>IFERROR(INDEX($C$100:$C$399,MATCH(B690,$A$100:$A$399,0)),"")</f>
        <v>0</v>
      </c>
      <c r="K690" s="524">
        <f>IFERROR(INDEX($D$100:$D$399,MATCH(B690,$A$100:$A$399,0)),"")</f>
      </c>
      <c r="L690" s="504">
        <f>IFERROR(INDEX($S$100:$S$399,MATCH(B690,$A$100:$A$399,0)),"")</f>
        <v>0</v>
      </c>
      <c r="M690" s="504">
        <f>IF(B690="","",IFERROR(IF(OR(AND(H690="기초반영",OR(B690="U001",B690="U002",B690="U003"),C690="",E690=DATE(2026,3,1)),AND(H690="원장",C690&gt;=64,C690&lt;=500,INDEX(잔액!$I:$I,MAX(64,C690))="OK",E690=INDEX(잔액!$A:$A,MAX(64,C690)),F690=INDEX(잔액!$C:$C,MAX(64,C690)),OR(F690=J690,F690="결제대금비",AND(B690="U008",C690=223,J690="경조사비",F690="명절비"),AND(B690="U008",C690=208,J690="경조사비",F690="임시보관",SUMIF($C$430:$C$729,C690,$D$430:$D$729)&lt;=39000)),OR(COUNTIF($A$8:$A$12,F690)=1,F690="결제대금비",AND(B690="U008",C690=208,J690="경조사비",F690="임시보관",SUMIF($C$430:$C$729,C690,$D$430:$D$729)&lt;=39000)),COUNTIF($A$8:$A$12,INDEX(잔액!$D:$D,MAX(64,C690)))=0,SUMIF($C$430:$C$729,C690,$D$430:$D$729)&lt;=INDEX(잔액!$Y:$Y,MAX(64,C690)))),1,0),0))</f>
      </c>
      <c r="N690" s="504">
        <f>IF(B690="","",IFERROR(IF(AND(COUNTIF($A$100:$A$399,B690)=1,INDEX($R$100:$R$399,MATCH(B690,$A$100:$A$399,0))="OK",D690&gt;0,ISNUMBER(E690),M690=1,SUMIF($B$430:$B$729,B690,$D$430:$D$729)&lt;=INDEX($E$100:$E$399,MATCH(B690,$A$100:$A$399,0))),"OK","확인: 정산연결"),"확인: 정산연결"))</f>
      </c>
      <c r="O690" s="526">
        <f>IF(N690="OK",D690,0)</f>
        <v>0</v>
      </c>
    </row>
    <row r="691" hidden="1" outlineLevel="1">
      <c r="A691" s="504">
        <f>IF(B691="","","S"&amp;ROW())</f>
      </c>
      <c r="B691" s="522" t="n"/>
      <c r="C691" s="522" t="n"/>
      <c r="D691" s="525">
        <f>IF(C691="","",IFERROR(INDEX(잔액!$Y:$Y,MAX(64,C691)),0))</f>
      </c>
      <c r="E691" s="524">
        <f>IF(C691="","",IFERROR(INDEX(잔액!$A:$A,MAX(64,C691)),""))</f>
      </c>
      <c r="F691" s="504">
        <f>IF(C691="","",IFERROR(INDEX(잔액!$C:$C,MAX(64,C691)),""))</f>
      </c>
      <c r="G691" s="504">
        <f>IF(C691="","",IF(INDEX(잔액!$K:$K,MAX(64,C691))&lt;&gt;"",INDEX(잔액!$K:$K,MAX(64,C691)),INDEX(잔액!$D:$D,MAX(64,C691))))</f>
      </c>
      <c r="H691" s="504" t="inlineStr">
        <is>
          <t>원장</t>
        </is>
      </c>
      <c r="J691" s="504">
        <f>IFERROR(INDEX($C$100:$C$399,MATCH(B691,$A$100:$A$399,0)),"")</f>
        <v>0</v>
      </c>
      <c r="K691" s="524">
        <f>IFERROR(INDEX($D$100:$D$399,MATCH(B691,$A$100:$A$399,0)),"")</f>
      </c>
      <c r="L691" s="504">
        <f>IFERROR(INDEX($S$100:$S$399,MATCH(B691,$A$100:$A$399,0)),"")</f>
        <v>0</v>
      </c>
      <c r="M691" s="504">
        <f>IF(B691="","",IFERROR(IF(OR(AND(H691="기초반영",OR(B691="U001",B691="U002",B691="U003"),C691="",E691=DATE(2026,3,1)),AND(H691="원장",C691&gt;=64,C691&lt;=500,INDEX(잔액!$I:$I,MAX(64,C691))="OK",E691=INDEX(잔액!$A:$A,MAX(64,C691)),F691=INDEX(잔액!$C:$C,MAX(64,C691)),OR(F691=J691,F691="결제대금비",AND(B691="U008",C691=223,J691="경조사비",F691="명절비"),AND(B691="U008",C691=208,J691="경조사비",F691="임시보관",SUMIF($C$430:$C$729,C691,$D$430:$D$729)&lt;=39000)),OR(COUNTIF($A$8:$A$12,F691)=1,F691="결제대금비",AND(B691="U008",C691=208,J691="경조사비",F691="임시보관",SUMIF($C$430:$C$729,C691,$D$430:$D$729)&lt;=39000)),COUNTIF($A$8:$A$12,INDEX(잔액!$D:$D,MAX(64,C691)))=0,SUMIF($C$430:$C$729,C691,$D$430:$D$729)&lt;=INDEX(잔액!$Y:$Y,MAX(64,C691)))),1,0),0))</f>
      </c>
      <c r="N691" s="504">
        <f>IF(B691="","",IFERROR(IF(AND(COUNTIF($A$100:$A$399,B691)=1,INDEX($R$100:$R$399,MATCH(B691,$A$100:$A$399,0))="OK",D691&gt;0,ISNUMBER(E691),M691=1,SUMIF($B$430:$B$729,B691,$D$430:$D$729)&lt;=INDEX($E$100:$E$399,MATCH(B691,$A$100:$A$399,0))),"OK","확인: 정산연결"),"확인: 정산연결"))</f>
      </c>
      <c r="O691" s="526">
        <f>IF(N691="OK",D691,0)</f>
        <v>0</v>
      </c>
    </row>
    <row r="692" hidden="1" outlineLevel="1">
      <c r="A692" s="504">
        <f>IF(B692="","","S"&amp;ROW())</f>
      </c>
      <c r="B692" s="522" t="n"/>
      <c r="C692" s="522" t="n"/>
      <c r="D692" s="525">
        <f>IF(C692="","",IFERROR(INDEX(잔액!$Y:$Y,MAX(64,C692)),0))</f>
      </c>
      <c r="E692" s="524">
        <f>IF(C692="","",IFERROR(INDEX(잔액!$A:$A,MAX(64,C692)),""))</f>
      </c>
      <c r="F692" s="504">
        <f>IF(C692="","",IFERROR(INDEX(잔액!$C:$C,MAX(64,C692)),""))</f>
      </c>
      <c r="G692" s="504">
        <f>IF(C692="","",IF(INDEX(잔액!$K:$K,MAX(64,C692))&lt;&gt;"",INDEX(잔액!$K:$K,MAX(64,C692)),INDEX(잔액!$D:$D,MAX(64,C692))))</f>
      </c>
      <c r="H692" s="504" t="inlineStr">
        <is>
          <t>원장</t>
        </is>
      </c>
      <c r="J692" s="504">
        <f>IFERROR(INDEX($C$100:$C$399,MATCH(B692,$A$100:$A$399,0)),"")</f>
        <v>0</v>
      </c>
      <c r="K692" s="524">
        <f>IFERROR(INDEX($D$100:$D$399,MATCH(B692,$A$100:$A$399,0)),"")</f>
      </c>
      <c r="L692" s="504">
        <f>IFERROR(INDEX($S$100:$S$399,MATCH(B692,$A$100:$A$399,0)),"")</f>
        <v>0</v>
      </c>
      <c r="M692" s="504">
        <f>IF(B692="","",IFERROR(IF(OR(AND(H692="기초반영",OR(B692="U001",B692="U002",B692="U003"),C692="",E692=DATE(2026,3,1)),AND(H692="원장",C692&gt;=64,C692&lt;=500,INDEX(잔액!$I:$I,MAX(64,C692))="OK",E692=INDEX(잔액!$A:$A,MAX(64,C692)),F692=INDEX(잔액!$C:$C,MAX(64,C692)),OR(F692=J692,F692="결제대금비",AND(B692="U008",C692=223,J692="경조사비",F692="명절비"),AND(B692="U008",C692=208,J692="경조사비",F692="임시보관",SUMIF($C$430:$C$729,C692,$D$430:$D$729)&lt;=39000)),OR(COUNTIF($A$8:$A$12,F692)=1,F692="결제대금비",AND(B692="U008",C692=208,J692="경조사비",F692="임시보관",SUMIF($C$430:$C$729,C692,$D$430:$D$729)&lt;=39000)),COUNTIF($A$8:$A$12,INDEX(잔액!$D:$D,MAX(64,C692)))=0,SUMIF($C$430:$C$729,C692,$D$430:$D$729)&lt;=INDEX(잔액!$Y:$Y,MAX(64,C692)))),1,0),0))</f>
      </c>
      <c r="N692" s="504">
        <f>IF(B692="","",IFERROR(IF(AND(COUNTIF($A$100:$A$399,B692)=1,INDEX($R$100:$R$399,MATCH(B692,$A$100:$A$399,0))="OK",D692&gt;0,ISNUMBER(E692),M692=1,SUMIF($B$430:$B$729,B692,$D$430:$D$729)&lt;=INDEX($E$100:$E$399,MATCH(B692,$A$100:$A$399,0))),"OK","확인: 정산연결"),"확인: 정산연결"))</f>
      </c>
      <c r="O692" s="526">
        <f>IF(N692="OK",D692,0)</f>
        <v>0</v>
      </c>
    </row>
    <row r="693" hidden="1" outlineLevel="1">
      <c r="A693" s="504">
        <f>IF(B693="","","S"&amp;ROW())</f>
      </c>
      <c r="B693" s="522" t="n"/>
      <c r="C693" s="522" t="n"/>
      <c r="D693" s="525">
        <f>IF(C693="","",IFERROR(INDEX(잔액!$Y:$Y,MAX(64,C693)),0))</f>
      </c>
      <c r="E693" s="524">
        <f>IF(C693="","",IFERROR(INDEX(잔액!$A:$A,MAX(64,C693)),""))</f>
      </c>
      <c r="F693" s="504">
        <f>IF(C693="","",IFERROR(INDEX(잔액!$C:$C,MAX(64,C693)),""))</f>
      </c>
      <c r="G693" s="504">
        <f>IF(C693="","",IF(INDEX(잔액!$K:$K,MAX(64,C693))&lt;&gt;"",INDEX(잔액!$K:$K,MAX(64,C693)),INDEX(잔액!$D:$D,MAX(64,C693))))</f>
      </c>
      <c r="H693" s="504" t="inlineStr">
        <is>
          <t>원장</t>
        </is>
      </c>
      <c r="J693" s="504">
        <f>IFERROR(INDEX($C$100:$C$399,MATCH(B693,$A$100:$A$399,0)),"")</f>
        <v>0</v>
      </c>
      <c r="K693" s="524">
        <f>IFERROR(INDEX($D$100:$D$399,MATCH(B693,$A$100:$A$399,0)),"")</f>
      </c>
      <c r="L693" s="504">
        <f>IFERROR(INDEX($S$100:$S$399,MATCH(B693,$A$100:$A$399,0)),"")</f>
        <v>0</v>
      </c>
      <c r="M693" s="504">
        <f>IF(B693="","",IFERROR(IF(OR(AND(H693="기초반영",OR(B693="U001",B693="U002",B693="U003"),C693="",E693=DATE(2026,3,1)),AND(H693="원장",C693&gt;=64,C693&lt;=500,INDEX(잔액!$I:$I,MAX(64,C693))="OK",E693=INDEX(잔액!$A:$A,MAX(64,C693)),F693=INDEX(잔액!$C:$C,MAX(64,C693)),OR(F693=J693,F693="결제대금비",AND(B693="U008",C693=223,J693="경조사비",F693="명절비"),AND(B693="U008",C693=208,J693="경조사비",F693="임시보관",SUMIF($C$430:$C$729,C693,$D$430:$D$729)&lt;=39000)),OR(COUNTIF($A$8:$A$12,F693)=1,F693="결제대금비",AND(B693="U008",C693=208,J693="경조사비",F693="임시보관",SUMIF($C$430:$C$729,C693,$D$430:$D$729)&lt;=39000)),COUNTIF($A$8:$A$12,INDEX(잔액!$D:$D,MAX(64,C693)))=0,SUMIF($C$430:$C$729,C693,$D$430:$D$729)&lt;=INDEX(잔액!$Y:$Y,MAX(64,C693)))),1,0),0))</f>
      </c>
      <c r="N693" s="504">
        <f>IF(B693="","",IFERROR(IF(AND(COUNTIF($A$100:$A$399,B693)=1,INDEX($R$100:$R$399,MATCH(B693,$A$100:$A$399,0))="OK",D693&gt;0,ISNUMBER(E693),M693=1,SUMIF($B$430:$B$729,B693,$D$430:$D$729)&lt;=INDEX($E$100:$E$399,MATCH(B693,$A$100:$A$399,0))),"OK","확인: 정산연결"),"확인: 정산연결"))</f>
      </c>
      <c r="O693" s="526">
        <f>IF(N693="OK",D693,0)</f>
        <v>0</v>
      </c>
    </row>
    <row r="694" hidden="1" outlineLevel="1">
      <c r="A694" s="504">
        <f>IF(B694="","","S"&amp;ROW())</f>
      </c>
      <c r="B694" s="522" t="n"/>
      <c r="C694" s="522" t="n"/>
      <c r="D694" s="525">
        <f>IF(C694="","",IFERROR(INDEX(잔액!$Y:$Y,MAX(64,C694)),0))</f>
      </c>
      <c r="E694" s="524">
        <f>IF(C694="","",IFERROR(INDEX(잔액!$A:$A,MAX(64,C694)),""))</f>
      </c>
      <c r="F694" s="504">
        <f>IF(C694="","",IFERROR(INDEX(잔액!$C:$C,MAX(64,C694)),""))</f>
      </c>
      <c r="G694" s="504">
        <f>IF(C694="","",IF(INDEX(잔액!$K:$K,MAX(64,C694))&lt;&gt;"",INDEX(잔액!$K:$K,MAX(64,C694)),INDEX(잔액!$D:$D,MAX(64,C694))))</f>
      </c>
      <c r="H694" s="504" t="inlineStr">
        <is>
          <t>원장</t>
        </is>
      </c>
      <c r="J694" s="504">
        <f>IFERROR(INDEX($C$100:$C$399,MATCH(B694,$A$100:$A$399,0)),"")</f>
        <v>0</v>
      </c>
      <c r="K694" s="524">
        <f>IFERROR(INDEX($D$100:$D$399,MATCH(B694,$A$100:$A$399,0)),"")</f>
      </c>
      <c r="L694" s="504">
        <f>IFERROR(INDEX($S$100:$S$399,MATCH(B694,$A$100:$A$399,0)),"")</f>
        <v>0</v>
      </c>
      <c r="M694" s="504">
        <f>IF(B694="","",IFERROR(IF(OR(AND(H694="기초반영",OR(B694="U001",B694="U002",B694="U003"),C694="",E694=DATE(2026,3,1)),AND(H694="원장",C694&gt;=64,C694&lt;=500,INDEX(잔액!$I:$I,MAX(64,C694))="OK",E694=INDEX(잔액!$A:$A,MAX(64,C694)),F694=INDEX(잔액!$C:$C,MAX(64,C694)),OR(F694=J694,F694="결제대금비",AND(B694="U008",C694=223,J694="경조사비",F694="명절비"),AND(B694="U008",C694=208,J694="경조사비",F694="임시보관",SUMIF($C$430:$C$729,C694,$D$430:$D$729)&lt;=39000)),OR(COUNTIF($A$8:$A$12,F694)=1,F694="결제대금비",AND(B694="U008",C694=208,J694="경조사비",F694="임시보관",SUMIF($C$430:$C$729,C694,$D$430:$D$729)&lt;=39000)),COUNTIF($A$8:$A$12,INDEX(잔액!$D:$D,MAX(64,C694)))=0,SUMIF($C$430:$C$729,C694,$D$430:$D$729)&lt;=INDEX(잔액!$Y:$Y,MAX(64,C694)))),1,0),0))</f>
      </c>
      <c r="N694" s="504">
        <f>IF(B694="","",IFERROR(IF(AND(COUNTIF($A$100:$A$399,B694)=1,INDEX($R$100:$R$399,MATCH(B694,$A$100:$A$399,0))="OK",D694&gt;0,ISNUMBER(E694),M694=1,SUMIF($B$430:$B$729,B694,$D$430:$D$729)&lt;=INDEX($E$100:$E$399,MATCH(B694,$A$100:$A$399,0))),"OK","확인: 정산연결"),"확인: 정산연결"))</f>
      </c>
      <c r="O694" s="526">
        <f>IF(N694="OK",D694,0)</f>
        <v>0</v>
      </c>
    </row>
    <row r="695" hidden="1" outlineLevel="1">
      <c r="A695" s="504">
        <f>IF(B695="","","S"&amp;ROW())</f>
      </c>
      <c r="B695" s="522" t="n"/>
      <c r="C695" s="522" t="n"/>
      <c r="D695" s="525">
        <f>IF(C695="","",IFERROR(INDEX(잔액!$Y:$Y,MAX(64,C695)),0))</f>
      </c>
      <c r="E695" s="524">
        <f>IF(C695="","",IFERROR(INDEX(잔액!$A:$A,MAX(64,C695)),""))</f>
      </c>
      <c r="F695" s="504">
        <f>IF(C695="","",IFERROR(INDEX(잔액!$C:$C,MAX(64,C695)),""))</f>
      </c>
      <c r="G695" s="504">
        <f>IF(C695="","",IF(INDEX(잔액!$K:$K,MAX(64,C695))&lt;&gt;"",INDEX(잔액!$K:$K,MAX(64,C695)),INDEX(잔액!$D:$D,MAX(64,C695))))</f>
      </c>
      <c r="H695" s="504" t="inlineStr">
        <is>
          <t>원장</t>
        </is>
      </c>
      <c r="J695" s="504">
        <f>IFERROR(INDEX($C$100:$C$399,MATCH(B695,$A$100:$A$399,0)),"")</f>
        <v>0</v>
      </c>
      <c r="K695" s="524">
        <f>IFERROR(INDEX($D$100:$D$399,MATCH(B695,$A$100:$A$399,0)),"")</f>
      </c>
      <c r="L695" s="504">
        <f>IFERROR(INDEX($S$100:$S$399,MATCH(B695,$A$100:$A$399,0)),"")</f>
        <v>0</v>
      </c>
      <c r="M695" s="504">
        <f>IF(B695="","",IFERROR(IF(OR(AND(H695="기초반영",OR(B695="U001",B695="U002",B695="U003"),C695="",E695=DATE(2026,3,1)),AND(H695="원장",C695&gt;=64,C695&lt;=500,INDEX(잔액!$I:$I,MAX(64,C695))="OK",E695=INDEX(잔액!$A:$A,MAX(64,C695)),F695=INDEX(잔액!$C:$C,MAX(64,C695)),OR(F695=J695,F695="결제대금비",AND(B695="U008",C695=223,J695="경조사비",F695="명절비"),AND(B695="U008",C695=208,J695="경조사비",F695="임시보관",SUMIF($C$430:$C$729,C695,$D$430:$D$729)&lt;=39000)),OR(COUNTIF($A$8:$A$12,F695)=1,F695="결제대금비",AND(B695="U008",C695=208,J695="경조사비",F695="임시보관",SUMIF($C$430:$C$729,C695,$D$430:$D$729)&lt;=39000)),COUNTIF($A$8:$A$12,INDEX(잔액!$D:$D,MAX(64,C695)))=0,SUMIF($C$430:$C$729,C695,$D$430:$D$729)&lt;=INDEX(잔액!$Y:$Y,MAX(64,C695)))),1,0),0))</f>
      </c>
      <c r="N695" s="504">
        <f>IF(B695="","",IFERROR(IF(AND(COUNTIF($A$100:$A$399,B695)=1,INDEX($R$100:$R$399,MATCH(B695,$A$100:$A$399,0))="OK",D695&gt;0,ISNUMBER(E695),M695=1,SUMIF($B$430:$B$729,B695,$D$430:$D$729)&lt;=INDEX($E$100:$E$399,MATCH(B695,$A$100:$A$399,0))),"OK","확인: 정산연결"),"확인: 정산연결"))</f>
      </c>
      <c r="O695" s="526">
        <f>IF(N695="OK",D695,0)</f>
        <v>0</v>
      </c>
    </row>
    <row r="696" hidden="1" outlineLevel="1">
      <c r="A696" s="504">
        <f>IF(B696="","","S"&amp;ROW())</f>
      </c>
      <c r="B696" s="522" t="n"/>
      <c r="C696" s="522" t="n"/>
      <c r="D696" s="525">
        <f>IF(C696="","",IFERROR(INDEX(잔액!$Y:$Y,MAX(64,C696)),0))</f>
      </c>
      <c r="E696" s="524">
        <f>IF(C696="","",IFERROR(INDEX(잔액!$A:$A,MAX(64,C696)),""))</f>
      </c>
      <c r="F696" s="504">
        <f>IF(C696="","",IFERROR(INDEX(잔액!$C:$C,MAX(64,C696)),""))</f>
      </c>
      <c r="G696" s="504">
        <f>IF(C696="","",IF(INDEX(잔액!$K:$K,MAX(64,C696))&lt;&gt;"",INDEX(잔액!$K:$K,MAX(64,C696)),INDEX(잔액!$D:$D,MAX(64,C696))))</f>
      </c>
      <c r="H696" s="504" t="inlineStr">
        <is>
          <t>원장</t>
        </is>
      </c>
      <c r="J696" s="504">
        <f>IFERROR(INDEX($C$100:$C$399,MATCH(B696,$A$100:$A$399,0)),"")</f>
        <v>0</v>
      </c>
      <c r="K696" s="524">
        <f>IFERROR(INDEX($D$100:$D$399,MATCH(B696,$A$100:$A$399,0)),"")</f>
      </c>
      <c r="L696" s="504">
        <f>IFERROR(INDEX($S$100:$S$399,MATCH(B696,$A$100:$A$399,0)),"")</f>
        <v>0</v>
      </c>
      <c r="M696" s="504">
        <f>IF(B696="","",IFERROR(IF(OR(AND(H696="기초반영",OR(B696="U001",B696="U002",B696="U003"),C696="",E696=DATE(2026,3,1)),AND(H696="원장",C696&gt;=64,C696&lt;=500,INDEX(잔액!$I:$I,MAX(64,C696))="OK",E696=INDEX(잔액!$A:$A,MAX(64,C696)),F696=INDEX(잔액!$C:$C,MAX(64,C696)),OR(F696=J696,F696="결제대금비",AND(B696="U008",C696=223,J696="경조사비",F696="명절비"),AND(B696="U008",C696=208,J696="경조사비",F696="임시보관",SUMIF($C$430:$C$729,C696,$D$430:$D$729)&lt;=39000)),OR(COUNTIF($A$8:$A$12,F696)=1,F696="결제대금비",AND(B696="U008",C696=208,J696="경조사비",F696="임시보관",SUMIF($C$430:$C$729,C696,$D$430:$D$729)&lt;=39000)),COUNTIF($A$8:$A$12,INDEX(잔액!$D:$D,MAX(64,C696)))=0,SUMIF($C$430:$C$729,C696,$D$430:$D$729)&lt;=INDEX(잔액!$Y:$Y,MAX(64,C696)))),1,0),0))</f>
      </c>
      <c r="N696" s="504">
        <f>IF(B696="","",IFERROR(IF(AND(COUNTIF($A$100:$A$399,B696)=1,INDEX($R$100:$R$399,MATCH(B696,$A$100:$A$399,0))="OK",D696&gt;0,ISNUMBER(E696),M696=1,SUMIF($B$430:$B$729,B696,$D$430:$D$729)&lt;=INDEX($E$100:$E$399,MATCH(B696,$A$100:$A$399,0))),"OK","확인: 정산연결"),"확인: 정산연결"))</f>
      </c>
      <c r="O696" s="526">
        <f>IF(N696="OK",D696,0)</f>
        <v>0</v>
      </c>
    </row>
    <row r="697" hidden="1" outlineLevel="1">
      <c r="A697" s="504">
        <f>IF(B697="","","S"&amp;ROW())</f>
      </c>
      <c r="B697" s="522" t="n"/>
      <c r="C697" s="522" t="n"/>
      <c r="D697" s="525">
        <f>IF(C697="","",IFERROR(INDEX(잔액!$Y:$Y,MAX(64,C697)),0))</f>
      </c>
      <c r="E697" s="524">
        <f>IF(C697="","",IFERROR(INDEX(잔액!$A:$A,MAX(64,C697)),""))</f>
      </c>
      <c r="F697" s="504">
        <f>IF(C697="","",IFERROR(INDEX(잔액!$C:$C,MAX(64,C697)),""))</f>
      </c>
      <c r="G697" s="504">
        <f>IF(C697="","",IF(INDEX(잔액!$K:$K,MAX(64,C697))&lt;&gt;"",INDEX(잔액!$K:$K,MAX(64,C697)),INDEX(잔액!$D:$D,MAX(64,C697))))</f>
      </c>
      <c r="H697" s="504" t="inlineStr">
        <is>
          <t>원장</t>
        </is>
      </c>
      <c r="J697" s="504">
        <f>IFERROR(INDEX($C$100:$C$399,MATCH(B697,$A$100:$A$399,0)),"")</f>
        <v>0</v>
      </c>
      <c r="K697" s="524">
        <f>IFERROR(INDEX($D$100:$D$399,MATCH(B697,$A$100:$A$399,0)),"")</f>
      </c>
      <c r="L697" s="504">
        <f>IFERROR(INDEX($S$100:$S$399,MATCH(B697,$A$100:$A$399,0)),"")</f>
        <v>0</v>
      </c>
      <c r="M697" s="504">
        <f>IF(B697="","",IFERROR(IF(OR(AND(H697="기초반영",OR(B697="U001",B697="U002",B697="U003"),C697="",E697=DATE(2026,3,1)),AND(H697="원장",C697&gt;=64,C697&lt;=500,INDEX(잔액!$I:$I,MAX(64,C697))="OK",E697=INDEX(잔액!$A:$A,MAX(64,C697)),F697=INDEX(잔액!$C:$C,MAX(64,C697)),OR(F697=J697,F697="결제대금비",AND(B697="U008",C697=223,J697="경조사비",F697="명절비"),AND(B697="U008",C697=208,J697="경조사비",F697="임시보관",SUMIF($C$430:$C$729,C697,$D$430:$D$729)&lt;=39000)),OR(COUNTIF($A$8:$A$12,F697)=1,F697="결제대금비",AND(B697="U008",C697=208,J697="경조사비",F697="임시보관",SUMIF($C$430:$C$729,C697,$D$430:$D$729)&lt;=39000)),COUNTIF($A$8:$A$12,INDEX(잔액!$D:$D,MAX(64,C697)))=0,SUMIF($C$430:$C$729,C697,$D$430:$D$729)&lt;=INDEX(잔액!$Y:$Y,MAX(64,C697)))),1,0),0))</f>
      </c>
      <c r="N697" s="504">
        <f>IF(B697="","",IFERROR(IF(AND(COUNTIF($A$100:$A$399,B697)=1,INDEX($R$100:$R$399,MATCH(B697,$A$100:$A$399,0))="OK",D697&gt;0,ISNUMBER(E697),M697=1,SUMIF($B$430:$B$729,B697,$D$430:$D$729)&lt;=INDEX($E$100:$E$399,MATCH(B697,$A$100:$A$399,0))),"OK","확인: 정산연결"),"확인: 정산연결"))</f>
      </c>
      <c r="O697" s="526">
        <f>IF(N697="OK",D697,0)</f>
        <v>0</v>
      </c>
    </row>
    <row r="698" hidden="1" outlineLevel="1">
      <c r="A698" s="504">
        <f>IF(B698="","","S"&amp;ROW())</f>
      </c>
      <c r="B698" s="522" t="n"/>
      <c r="C698" s="522" t="n"/>
      <c r="D698" s="525">
        <f>IF(C698="","",IFERROR(INDEX(잔액!$Y:$Y,MAX(64,C698)),0))</f>
      </c>
      <c r="E698" s="524">
        <f>IF(C698="","",IFERROR(INDEX(잔액!$A:$A,MAX(64,C698)),""))</f>
      </c>
      <c r="F698" s="504">
        <f>IF(C698="","",IFERROR(INDEX(잔액!$C:$C,MAX(64,C698)),""))</f>
      </c>
      <c r="G698" s="504">
        <f>IF(C698="","",IF(INDEX(잔액!$K:$K,MAX(64,C698))&lt;&gt;"",INDEX(잔액!$K:$K,MAX(64,C698)),INDEX(잔액!$D:$D,MAX(64,C698))))</f>
      </c>
      <c r="H698" s="504" t="inlineStr">
        <is>
          <t>원장</t>
        </is>
      </c>
      <c r="J698" s="504">
        <f>IFERROR(INDEX($C$100:$C$399,MATCH(B698,$A$100:$A$399,0)),"")</f>
        <v>0</v>
      </c>
      <c r="K698" s="524">
        <f>IFERROR(INDEX($D$100:$D$399,MATCH(B698,$A$100:$A$399,0)),"")</f>
      </c>
      <c r="L698" s="504">
        <f>IFERROR(INDEX($S$100:$S$399,MATCH(B698,$A$100:$A$399,0)),"")</f>
        <v>0</v>
      </c>
      <c r="M698" s="504">
        <f>IF(B698="","",IFERROR(IF(OR(AND(H698="기초반영",OR(B698="U001",B698="U002",B698="U003"),C698="",E698=DATE(2026,3,1)),AND(H698="원장",C698&gt;=64,C698&lt;=500,INDEX(잔액!$I:$I,MAX(64,C698))="OK",E698=INDEX(잔액!$A:$A,MAX(64,C698)),F698=INDEX(잔액!$C:$C,MAX(64,C698)),OR(F698=J698,F698="결제대금비",AND(B698="U008",C698=223,J698="경조사비",F698="명절비"),AND(B698="U008",C698=208,J698="경조사비",F698="임시보관",SUMIF($C$430:$C$729,C698,$D$430:$D$729)&lt;=39000)),OR(COUNTIF($A$8:$A$12,F698)=1,F698="결제대금비",AND(B698="U008",C698=208,J698="경조사비",F698="임시보관",SUMIF($C$430:$C$729,C698,$D$430:$D$729)&lt;=39000)),COUNTIF($A$8:$A$12,INDEX(잔액!$D:$D,MAX(64,C698)))=0,SUMIF($C$430:$C$729,C698,$D$430:$D$729)&lt;=INDEX(잔액!$Y:$Y,MAX(64,C698)))),1,0),0))</f>
      </c>
      <c r="N698" s="504">
        <f>IF(B698="","",IFERROR(IF(AND(COUNTIF($A$100:$A$399,B698)=1,INDEX($R$100:$R$399,MATCH(B698,$A$100:$A$399,0))="OK",D698&gt;0,ISNUMBER(E698),M698=1,SUMIF($B$430:$B$729,B698,$D$430:$D$729)&lt;=INDEX($E$100:$E$399,MATCH(B698,$A$100:$A$399,0))),"OK","확인: 정산연결"),"확인: 정산연결"))</f>
      </c>
      <c r="O698" s="526">
        <f>IF(N698="OK",D698,0)</f>
        <v>0</v>
      </c>
    </row>
    <row r="699" hidden="1" outlineLevel="1">
      <c r="A699" s="504">
        <f>IF(B699="","","S"&amp;ROW())</f>
      </c>
      <c r="B699" s="522" t="n"/>
      <c r="C699" s="522" t="n"/>
      <c r="D699" s="525">
        <f>IF(C699="","",IFERROR(INDEX(잔액!$Y:$Y,MAX(64,C699)),0))</f>
      </c>
      <c r="E699" s="524">
        <f>IF(C699="","",IFERROR(INDEX(잔액!$A:$A,MAX(64,C699)),""))</f>
      </c>
      <c r="F699" s="504">
        <f>IF(C699="","",IFERROR(INDEX(잔액!$C:$C,MAX(64,C699)),""))</f>
      </c>
      <c r="G699" s="504">
        <f>IF(C699="","",IF(INDEX(잔액!$K:$K,MAX(64,C699))&lt;&gt;"",INDEX(잔액!$K:$K,MAX(64,C699)),INDEX(잔액!$D:$D,MAX(64,C699))))</f>
      </c>
      <c r="H699" s="504" t="inlineStr">
        <is>
          <t>원장</t>
        </is>
      </c>
      <c r="J699" s="504">
        <f>IFERROR(INDEX($C$100:$C$399,MATCH(B699,$A$100:$A$399,0)),"")</f>
        <v>0</v>
      </c>
      <c r="K699" s="524">
        <f>IFERROR(INDEX($D$100:$D$399,MATCH(B699,$A$100:$A$399,0)),"")</f>
      </c>
      <c r="L699" s="504">
        <f>IFERROR(INDEX($S$100:$S$399,MATCH(B699,$A$100:$A$399,0)),"")</f>
        <v>0</v>
      </c>
      <c r="M699" s="504">
        <f>IF(B699="","",IFERROR(IF(OR(AND(H699="기초반영",OR(B699="U001",B699="U002",B699="U003"),C699="",E699=DATE(2026,3,1)),AND(H699="원장",C699&gt;=64,C699&lt;=500,INDEX(잔액!$I:$I,MAX(64,C699))="OK",E699=INDEX(잔액!$A:$A,MAX(64,C699)),F699=INDEX(잔액!$C:$C,MAX(64,C699)),OR(F699=J699,F699="결제대금비",AND(B699="U008",C699=223,J699="경조사비",F699="명절비"),AND(B699="U008",C699=208,J699="경조사비",F699="임시보관",SUMIF($C$430:$C$729,C699,$D$430:$D$729)&lt;=39000)),OR(COUNTIF($A$8:$A$12,F699)=1,F699="결제대금비",AND(B699="U008",C699=208,J699="경조사비",F699="임시보관",SUMIF($C$430:$C$729,C699,$D$430:$D$729)&lt;=39000)),COUNTIF($A$8:$A$12,INDEX(잔액!$D:$D,MAX(64,C699)))=0,SUMIF($C$430:$C$729,C699,$D$430:$D$729)&lt;=INDEX(잔액!$Y:$Y,MAX(64,C699)))),1,0),0))</f>
      </c>
      <c r="N699" s="504">
        <f>IF(B699="","",IFERROR(IF(AND(COUNTIF($A$100:$A$399,B699)=1,INDEX($R$100:$R$399,MATCH(B699,$A$100:$A$399,0))="OK",D699&gt;0,ISNUMBER(E699),M699=1,SUMIF($B$430:$B$729,B699,$D$430:$D$729)&lt;=INDEX($E$100:$E$399,MATCH(B699,$A$100:$A$399,0))),"OK","확인: 정산연결"),"확인: 정산연결"))</f>
      </c>
      <c r="O699" s="526">
        <f>IF(N699="OK",D699,0)</f>
        <v>0</v>
      </c>
    </row>
    <row r="700" hidden="1" outlineLevel="1">
      <c r="A700" s="504">
        <f>IF(B700="","","S"&amp;ROW())</f>
      </c>
      <c r="B700" s="522" t="n"/>
      <c r="C700" s="522" t="n"/>
      <c r="D700" s="525">
        <f>IF(C700="","",IFERROR(INDEX(잔액!$Y:$Y,MAX(64,C700)),0))</f>
      </c>
      <c r="E700" s="524">
        <f>IF(C700="","",IFERROR(INDEX(잔액!$A:$A,MAX(64,C700)),""))</f>
      </c>
      <c r="F700" s="504">
        <f>IF(C700="","",IFERROR(INDEX(잔액!$C:$C,MAX(64,C700)),""))</f>
      </c>
      <c r="G700" s="504">
        <f>IF(C700="","",IF(INDEX(잔액!$K:$K,MAX(64,C700))&lt;&gt;"",INDEX(잔액!$K:$K,MAX(64,C700)),INDEX(잔액!$D:$D,MAX(64,C700))))</f>
      </c>
      <c r="H700" s="504" t="inlineStr">
        <is>
          <t>원장</t>
        </is>
      </c>
      <c r="J700" s="504">
        <f>IFERROR(INDEX($C$100:$C$399,MATCH(B700,$A$100:$A$399,0)),"")</f>
        <v>0</v>
      </c>
      <c r="K700" s="524">
        <f>IFERROR(INDEX($D$100:$D$399,MATCH(B700,$A$100:$A$399,0)),"")</f>
      </c>
      <c r="L700" s="504">
        <f>IFERROR(INDEX($S$100:$S$399,MATCH(B700,$A$100:$A$399,0)),"")</f>
        <v>0</v>
      </c>
      <c r="M700" s="504">
        <f>IF(B700="","",IFERROR(IF(OR(AND(H700="기초반영",OR(B700="U001",B700="U002",B700="U003"),C700="",E700=DATE(2026,3,1)),AND(H700="원장",C700&gt;=64,C700&lt;=500,INDEX(잔액!$I:$I,MAX(64,C700))="OK",E700=INDEX(잔액!$A:$A,MAX(64,C700)),F700=INDEX(잔액!$C:$C,MAX(64,C700)),OR(F700=J700,F700="결제대금비",AND(B700="U008",C700=223,J700="경조사비",F700="명절비"),AND(B700="U008",C700=208,J700="경조사비",F700="임시보관",SUMIF($C$430:$C$729,C700,$D$430:$D$729)&lt;=39000)),OR(COUNTIF($A$8:$A$12,F700)=1,F700="결제대금비",AND(B700="U008",C700=208,J700="경조사비",F700="임시보관",SUMIF($C$430:$C$729,C700,$D$430:$D$729)&lt;=39000)),COUNTIF($A$8:$A$12,INDEX(잔액!$D:$D,MAX(64,C700)))=0,SUMIF($C$430:$C$729,C700,$D$430:$D$729)&lt;=INDEX(잔액!$Y:$Y,MAX(64,C700)))),1,0),0))</f>
      </c>
      <c r="N700" s="504">
        <f>IF(B700="","",IFERROR(IF(AND(COUNTIF($A$100:$A$399,B700)=1,INDEX($R$100:$R$399,MATCH(B700,$A$100:$A$399,0))="OK",D700&gt;0,ISNUMBER(E700),M700=1,SUMIF($B$430:$B$729,B700,$D$430:$D$729)&lt;=INDEX($E$100:$E$399,MATCH(B700,$A$100:$A$399,0))),"OK","확인: 정산연결"),"확인: 정산연결"))</f>
      </c>
      <c r="O700" s="526">
        <f>IF(N700="OK",D700,0)</f>
        <v>0</v>
      </c>
    </row>
    <row r="701" hidden="1" outlineLevel="1">
      <c r="A701" s="504">
        <f>IF(B701="","","S"&amp;ROW())</f>
      </c>
      <c r="B701" s="522" t="n"/>
      <c r="C701" s="522" t="n"/>
      <c r="D701" s="525">
        <f>IF(C701="","",IFERROR(INDEX(잔액!$Y:$Y,MAX(64,C701)),0))</f>
      </c>
      <c r="E701" s="524">
        <f>IF(C701="","",IFERROR(INDEX(잔액!$A:$A,MAX(64,C701)),""))</f>
      </c>
      <c r="F701" s="504">
        <f>IF(C701="","",IFERROR(INDEX(잔액!$C:$C,MAX(64,C701)),""))</f>
      </c>
      <c r="G701" s="504">
        <f>IF(C701="","",IF(INDEX(잔액!$K:$K,MAX(64,C701))&lt;&gt;"",INDEX(잔액!$K:$K,MAX(64,C701)),INDEX(잔액!$D:$D,MAX(64,C701))))</f>
      </c>
      <c r="H701" s="504" t="inlineStr">
        <is>
          <t>원장</t>
        </is>
      </c>
      <c r="J701" s="504">
        <f>IFERROR(INDEX($C$100:$C$399,MATCH(B701,$A$100:$A$399,0)),"")</f>
        <v>0</v>
      </c>
      <c r="K701" s="524">
        <f>IFERROR(INDEX($D$100:$D$399,MATCH(B701,$A$100:$A$399,0)),"")</f>
      </c>
      <c r="L701" s="504">
        <f>IFERROR(INDEX($S$100:$S$399,MATCH(B701,$A$100:$A$399,0)),"")</f>
        <v>0</v>
      </c>
      <c r="M701" s="504">
        <f>IF(B701="","",IFERROR(IF(OR(AND(H701="기초반영",OR(B701="U001",B701="U002",B701="U003"),C701="",E701=DATE(2026,3,1)),AND(H701="원장",C701&gt;=64,C701&lt;=500,INDEX(잔액!$I:$I,MAX(64,C701))="OK",E701=INDEX(잔액!$A:$A,MAX(64,C701)),F701=INDEX(잔액!$C:$C,MAX(64,C701)),OR(F701=J701,F701="결제대금비",AND(B701="U008",C701=223,J701="경조사비",F701="명절비"),AND(B701="U008",C701=208,J701="경조사비",F701="임시보관",SUMIF($C$430:$C$729,C701,$D$430:$D$729)&lt;=39000)),OR(COUNTIF($A$8:$A$12,F701)=1,F701="결제대금비",AND(B701="U008",C701=208,J701="경조사비",F701="임시보관",SUMIF($C$430:$C$729,C701,$D$430:$D$729)&lt;=39000)),COUNTIF($A$8:$A$12,INDEX(잔액!$D:$D,MAX(64,C701)))=0,SUMIF($C$430:$C$729,C701,$D$430:$D$729)&lt;=INDEX(잔액!$Y:$Y,MAX(64,C701)))),1,0),0))</f>
      </c>
      <c r="N701" s="504">
        <f>IF(B701="","",IFERROR(IF(AND(COUNTIF($A$100:$A$399,B701)=1,INDEX($R$100:$R$399,MATCH(B701,$A$100:$A$399,0))="OK",D701&gt;0,ISNUMBER(E701),M701=1,SUMIF($B$430:$B$729,B701,$D$430:$D$729)&lt;=INDEX($E$100:$E$399,MATCH(B701,$A$100:$A$399,0))),"OK","확인: 정산연결"),"확인: 정산연결"))</f>
      </c>
      <c r="O701" s="526">
        <f>IF(N701="OK",D701,0)</f>
        <v>0</v>
      </c>
    </row>
    <row r="702" hidden="1" outlineLevel="1">
      <c r="A702" s="504">
        <f>IF(B702="","","S"&amp;ROW())</f>
      </c>
      <c r="B702" s="522" t="n"/>
      <c r="C702" s="522" t="n"/>
      <c r="D702" s="525">
        <f>IF(C702="","",IFERROR(INDEX(잔액!$Y:$Y,MAX(64,C702)),0))</f>
      </c>
      <c r="E702" s="524">
        <f>IF(C702="","",IFERROR(INDEX(잔액!$A:$A,MAX(64,C702)),""))</f>
      </c>
      <c r="F702" s="504">
        <f>IF(C702="","",IFERROR(INDEX(잔액!$C:$C,MAX(64,C702)),""))</f>
      </c>
      <c r="G702" s="504">
        <f>IF(C702="","",IF(INDEX(잔액!$K:$K,MAX(64,C702))&lt;&gt;"",INDEX(잔액!$K:$K,MAX(64,C702)),INDEX(잔액!$D:$D,MAX(64,C702))))</f>
      </c>
      <c r="H702" s="504" t="inlineStr">
        <is>
          <t>원장</t>
        </is>
      </c>
      <c r="J702" s="504">
        <f>IFERROR(INDEX($C$100:$C$399,MATCH(B702,$A$100:$A$399,0)),"")</f>
        <v>0</v>
      </c>
      <c r="K702" s="524">
        <f>IFERROR(INDEX($D$100:$D$399,MATCH(B702,$A$100:$A$399,0)),"")</f>
      </c>
      <c r="L702" s="504">
        <f>IFERROR(INDEX($S$100:$S$399,MATCH(B702,$A$100:$A$399,0)),"")</f>
        <v>0</v>
      </c>
      <c r="M702" s="504">
        <f>IF(B702="","",IFERROR(IF(OR(AND(H702="기초반영",OR(B702="U001",B702="U002",B702="U003"),C702="",E702=DATE(2026,3,1)),AND(H702="원장",C702&gt;=64,C702&lt;=500,INDEX(잔액!$I:$I,MAX(64,C702))="OK",E702=INDEX(잔액!$A:$A,MAX(64,C702)),F702=INDEX(잔액!$C:$C,MAX(64,C702)),OR(F702=J702,F702="결제대금비",AND(B702="U008",C702=223,J702="경조사비",F702="명절비"),AND(B702="U008",C702=208,J702="경조사비",F702="임시보관",SUMIF($C$430:$C$729,C702,$D$430:$D$729)&lt;=39000)),OR(COUNTIF($A$8:$A$12,F702)=1,F702="결제대금비",AND(B702="U008",C702=208,J702="경조사비",F702="임시보관",SUMIF($C$430:$C$729,C702,$D$430:$D$729)&lt;=39000)),COUNTIF($A$8:$A$12,INDEX(잔액!$D:$D,MAX(64,C702)))=0,SUMIF($C$430:$C$729,C702,$D$430:$D$729)&lt;=INDEX(잔액!$Y:$Y,MAX(64,C702)))),1,0),0))</f>
      </c>
      <c r="N702" s="504">
        <f>IF(B702="","",IFERROR(IF(AND(COUNTIF($A$100:$A$399,B702)=1,INDEX($R$100:$R$399,MATCH(B702,$A$100:$A$399,0))="OK",D702&gt;0,ISNUMBER(E702),M702=1,SUMIF($B$430:$B$729,B702,$D$430:$D$729)&lt;=INDEX($E$100:$E$399,MATCH(B702,$A$100:$A$399,0))),"OK","확인: 정산연결"),"확인: 정산연결"))</f>
      </c>
      <c r="O702" s="526">
        <f>IF(N702="OK",D702,0)</f>
        <v>0</v>
      </c>
    </row>
    <row r="703" hidden="1" outlineLevel="1">
      <c r="A703" s="504">
        <f>IF(B703="","","S"&amp;ROW())</f>
      </c>
      <c r="B703" s="522" t="n"/>
      <c r="C703" s="522" t="n"/>
      <c r="D703" s="525">
        <f>IF(C703="","",IFERROR(INDEX(잔액!$Y:$Y,MAX(64,C703)),0))</f>
      </c>
      <c r="E703" s="524">
        <f>IF(C703="","",IFERROR(INDEX(잔액!$A:$A,MAX(64,C703)),""))</f>
      </c>
      <c r="F703" s="504">
        <f>IF(C703="","",IFERROR(INDEX(잔액!$C:$C,MAX(64,C703)),""))</f>
      </c>
      <c r="G703" s="504">
        <f>IF(C703="","",IF(INDEX(잔액!$K:$K,MAX(64,C703))&lt;&gt;"",INDEX(잔액!$K:$K,MAX(64,C703)),INDEX(잔액!$D:$D,MAX(64,C703))))</f>
      </c>
      <c r="H703" s="504" t="inlineStr">
        <is>
          <t>원장</t>
        </is>
      </c>
      <c r="J703" s="504">
        <f>IFERROR(INDEX($C$100:$C$399,MATCH(B703,$A$100:$A$399,0)),"")</f>
        <v>0</v>
      </c>
      <c r="K703" s="524">
        <f>IFERROR(INDEX($D$100:$D$399,MATCH(B703,$A$100:$A$399,0)),"")</f>
      </c>
      <c r="L703" s="504">
        <f>IFERROR(INDEX($S$100:$S$399,MATCH(B703,$A$100:$A$399,0)),"")</f>
        <v>0</v>
      </c>
      <c r="M703" s="504">
        <f>IF(B703="","",IFERROR(IF(OR(AND(H703="기초반영",OR(B703="U001",B703="U002",B703="U003"),C703="",E703=DATE(2026,3,1)),AND(H703="원장",C703&gt;=64,C703&lt;=500,INDEX(잔액!$I:$I,MAX(64,C703))="OK",E703=INDEX(잔액!$A:$A,MAX(64,C703)),F703=INDEX(잔액!$C:$C,MAX(64,C703)),OR(F703=J703,F703="결제대금비",AND(B703="U008",C703=223,J703="경조사비",F703="명절비"),AND(B703="U008",C703=208,J703="경조사비",F703="임시보관",SUMIF($C$430:$C$729,C703,$D$430:$D$729)&lt;=39000)),OR(COUNTIF($A$8:$A$12,F703)=1,F703="결제대금비",AND(B703="U008",C703=208,J703="경조사비",F703="임시보관",SUMIF($C$430:$C$729,C703,$D$430:$D$729)&lt;=39000)),COUNTIF($A$8:$A$12,INDEX(잔액!$D:$D,MAX(64,C703)))=0,SUMIF($C$430:$C$729,C703,$D$430:$D$729)&lt;=INDEX(잔액!$Y:$Y,MAX(64,C703)))),1,0),0))</f>
      </c>
      <c r="N703" s="504">
        <f>IF(B703="","",IFERROR(IF(AND(COUNTIF($A$100:$A$399,B703)=1,INDEX($R$100:$R$399,MATCH(B703,$A$100:$A$399,0))="OK",D703&gt;0,ISNUMBER(E703),M703=1,SUMIF($B$430:$B$729,B703,$D$430:$D$729)&lt;=INDEX($E$100:$E$399,MATCH(B703,$A$100:$A$399,0))),"OK","확인: 정산연결"),"확인: 정산연결"))</f>
      </c>
      <c r="O703" s="526">
        <f>IF(N703="OK",D703,0)</f>
        <v>0</v>
      </c>
    </row>
    <row r="704" hidden="1" outlineLevel="1">
      <c r="A704" s="504">
        <f>IF(B704="","","S"&amp;ROW())</f>
      </c>
      <c r="B704" s="522" t="n"/>
      <c r="C704" s="522" t="n"/>
      <c r="D704" s="525">
        <f>IF(C704="","",IFERROR(INDEX(잔액!$Y:$Y,MAX(64,C704)),0))</f>
      </c>
      <c r="E704" s="524">
        <f>IF(C704="","",IFERROR(INDEX(잔액!$A:$A,MAX(64,C704)),""))</f>
      </c>
      <c r="F704" s="504">
        <f>IF(C704="","",IFERROR(INDEX(잔액!$C:$C,MAX(64,C704)),""))</f>
      </c>
      <c r="G704" s="504">
        <f>IF(C704="","",IF(INDEX(잔액!$K:$K,MAX(64,C704))&lt;&gt;"",INDEX(잔액!$K:$K,MAX(64,C704)),INDEX(잔액!$D:$D,MAX(64,C704))))</f>
      </c>
      <c r="H704" s="504" t="inlineStr">
        <is>
          <t>원장</t>
        </is>
      </c>
      <c r="J704" s="504">
        <f>IFERROR(INDEX($C$100:$C$399,MATCH(B704,$A$100:$A$399,0)),"")</f>
        <v>0</v>
      </c>
      <c r="K704" s="524">
        <f>IFERROR(INDEX($D$100:$D$399,MATCH(B704,$A$100:$A$399,0)),"")</f>
      </c>
      <c r="L704" s="504">
        <f>IFERROR(INDEX($S$100:$S$399,MATCH(B704,$A$100:$A$399,0)),"")</f>
        <v>0</v>
      </c>
      <c r="M704" s="504">
        <f>IF(B704="","",IFERROR(IF(OR(AND(H704="기초반영",OR(B704="U001",B704="U002",B704="U003"),C704="",E704=DATE(2026,3,1)),AND(H704="원장",C704&gt;=64,C704&lt;=500,INDEX(잔액!$I:$I,MAX(64,C704))="OK",E704=INDEX(잔액!$A:$A,MAX(64,C704)),F704=INDEX(잔액!$C:$C,MAX(64,C704)),OR(F704=J704,F704="결제대금비",AND(B704="U008",C704=223,J704="경조사비",F704="명절비"),AND(B704="U008",C704=208,J704="경조사비",F704="임시보관",SUMIF($C$430:$C$729,C704,$D$430:$D$729)&lt;=39000)),OR(COUNTIF($A$8:$A$12,F704)=1,F704="결제대금비",AND(B704="U008",C704=208,J704="경조사비",F704="임시보관",SUMIF($C$430:$C$729,C704,$D$430:$D$729)&lt;=39000)),COUNTIF($A$8:$A$12,INDEX(잔액!$D:$D,MAX(64,C704)))=0,SUMIF($C$430:$C$729,C704,$D$430:$D$729)&lt;=INDEX(잔액!$Y:$Y,MAX(64,C704)))),1,0),0))</f>
      </c>
      <c r="N704" s="504">
        <f>IF(B704="","",IFERROR(IF(AND(COUNTIF($A$100:$A$399,B704)=1,INDEX($R$100:$R$399,MATCH(B704,$A$100:$A$399,0))="OK",D704&gt;0,ISNUMBER(E704),M704=1,SUMIF($B$430:$B$729,B704,$D$430:$D$729)&lt;=INDEX($E$100:$E$399,MATCH(B704,$A$100:$A$399,0))),"OK","확인: 정산연결"),"확인: 정산연결"))</f>
      </c>
      <c r="O704" s="526">
        <f>IF(N704="OK",D704,0)</f>
        <v>0</v>
      </c>
    </row>
    <row r="705" hidden="1" outlineLevel="1">
      <c r="A705" s="504">
        <f>IF(B705="","","S"&amp;ROW())</f>
      </c>
      <c r="B705" s="522" t="n"/>
      <c r="C705" s="522" t="n"/>
      <c r="D705" s="525">
        <f>IF(C705="","",IFERROR(INDEX(잔액!$Y:$Y,MAX(64,C705)),0))</f>
      </c>
      <c r="E705" s="524">
        <f>IF(C705="","",IFERROR(INDEX(잔액!$A:$A,MAX(64,C705)),""))</f>
      </c>
      <c r="F705" s="504">
        <f>IF(C705="","",IFERROR(INDEX(잔액!$C:$C,MAX(64,C705)),""))</f>
      </c>
      <c r="G705" s="504">
        <f>IF(C705="","",IF(INDEX(잔액!$K:$K,MAX(64,C705))&lt;&gt;"",INDEX(잔액!$K:$K,MAX(64,C705)),INDEX(잔액!$D:$D,MAX(64,C705))))</f>
      </c>
      <c r="H705" s="504" t="inlineStr">
        <is>
          <t>원장</t>
        </is>
      </c>
      <c r="J705" s="504">
        <f>IFERROR(INDEX($C$100:$C$399,MATCH(B705,$A$100:$A$399,0)),"")</f>
        <v>0</v>
      </c>
      <c r="K705" s="524">
        <f>IFERROR(INDEX($D$100:$D$399,MATCH(B705,$A$100:$A$399,0)),"")</f>
      </c>
      <c r="L705" s="504">
        <f>IFERROR(INDEX($S$100:$S$399,MATCH(B705,$A$100:$A$399,0)),"")</f>
        <v>0</v>
      </c>
      <c r="M705" s="504">
        <f>IF(B705="","",IFERROR(IF(OR(AND(H705="기초반영",OR(B705="U001",B705="U002",B705="U003"),C705="",E705=DATE(2026,3,1)),AND(H705="원장",C705&gt;=64,C705&lt;=500,INDEX(잔액!$I:$I,MAX(64,C705))="OK",E705=INDEX(잔액!$A:$A,MAX(64,C705)),F705=INDEX(잔액!$C:$C,MAX(64,C705)),OR(F705=J705,F705="결제대금비",AND(B705="U008",C705=223,J705="경조사비",F705="명절비"),AND(B705="U008",C705=208,J705="경조사비",F705="임시보관",SUMIF($C$430:$C$729,C705,$D$430:$D$729)&lt;=39000)),OR(COUNTIF($A$8:$A$12,F705)=1,F705="결제대금비",AND(B705="U008",C705=208,J705="경조사비",F705="임시보관",SUMIF($C$430:$C$729,C705,$D$430:$D$729)&lt;=39000)),COUNTIF($A$8:$A$12,INDEX(잔액!$D:$D,MAX(64,C705)))=0,SUMIF($C$430:$C$729,C705,$D$430:$D$729)&lt;=INDEX(잔액!$Y:$Y,MAX(64,C705)))),1,0),0))</f>
      </c>
      <c r="N705" s="504">
        <f>IF(B705="","",IFERROR(IF(AND(COUNTIF($A$100:$A$399,B705)=1,INDEX($R$100:$R$399,MATCH(B705,$A$100:$A$399,0))="OK",D705&gt;0,ISNUMBER(E705),M705=1,SUMIF($B$430:$B$729,B705,$D$430:$D$729)&lt;=INDEX($E$100:$E$399,MATCH(B705,$A$100:$A$399,0))),"OK","확인: 정산연결"),"확인: 정산연결"))</f>
      </c>
      <c r="O705" s="526">
        <f>IF(N705="OK",D705,0)</f>
        <v>0</v>
      </c>
    </row>
    <row r="706" hidden="1" outlineLevel="1">
      <c r="A706" s="504">
        <f>IF(B706="","","S"&amp;ROW())</f>
      </c>
      <c r="B706" s="522" t="n"/>
      <c r="C706" s="522" t="n"/>
      <c r="D706" s="525">
        <f>IF(C706="","",IFERROR(INDEX(잔액!$Y:$Y,MAX(64,C706)),0))</f>
      </c>
      <c r="E706" s="524">
        <f>IF(C706="","",IFERROR(INDEX(잔액!$A:$A,MAX(64,C706)),""))</f>
      </c>
      <c r="F706" s="504">
        <f>IF(C706="","",IFERROR(INDEX(잔액!$C:$C,MAX(64,C706)),""))</f>
      </c>
      <c r="G706" s="504">
        <f>IF(C706="","",IF(INDEX(잔액!$K:$K,MAX(64,C706))&lt;&gt;"",INDEX(잔액!$K:$K,MAX(64,C706)),INDEX(잔액!$D:$D,MAX(64,C706))))</f>
      </c>
      <c r="H706" s="504" t="inlineStr">
        <is>
          <t>원장</t>
        </is>
      </c>
      <c r="J706" s="504">
        <f>IFERROR(INDEX($C$100:$C$399,MATCH(B706,$A$100:$A$399,0)),"")</f>
        <v>0</v>
      </c>
      <c r="K706" s="524">
        <f>IFERROR(INDEX($D$100:$D$399,MATCH(B706,$A$100:$A$399,0)),"")</f>
      </c>
      <c r="L706" s="504">
        <f>IFERROR(INDEX($S$100:$S$399,MATCH(B706,$A$100:$A$399,0)),"")</f>
        <v>0</v>
      </c>
      <c r="M706" s="504">
        <f>IF(B706="","",IFERROR(IF(OR(AND(H706="기초반영",OR(B706="U001",B706="U002",B706="U003"),C706="",E706=DATE(2026,3,1)),AND(H706="원장",C706&gt;=64,C706&lt;=500,INDEX(잔액!$I:$I,MAX(64,C706))="OK",E706=INDEX(잔액!$A:$A,MAX(64,C706)),F706=INDEX(잔액!$C:$C,MAX(64,C706)),OR(F706=J706,F706="결제대금비",AND(B706="U008",C706=223,J706="경조사비",F706="명절비"),AND(B706="U008",C706=208,J706="경조사비",F706="임시보관",SUMIF($C$430:$C$729,C706,$D$430:$D$729)&lt;=39000)),OR(COUNTIF($A$8:$A$12,F706)=1,F706="결제대금비",AND(B706="U008",C706=208,J706="경조사비",F706="임시보관",SUMIF($C$430:$C$729,C706,$D$430:$D$729)&lt;=39000)),COUNTIF($A$8:$A$12,INDEX(잔액!$D:$D,MAX(64,C706)))=0,SUMIF($C$430:$C$729,C706,$D$430:$D$729)&lt;=INDEX(잔액!$Y:$Y,MAX(64,C706)))),1,0),0))</f>
      </c>
      <c r="N706" s="504">
        <f>IF(B706="","",IFERROR(IF(AND(COUNTIF($A$100:$A$399,B706)=1,INDEX($R$100:$R$399,MATCH(B706,$A$100:$A$399,0))="OK",D706&gt;0,ISNUMBER(E706),M706=1,SUMIF($B$430:$B$729,B706,$D$430:$D$729)&lt;=INDEX($E$100:$E$399,MATCH(B706,$A$100:$A$399,0))),"OK","확인: 정산연결"),"확인: 정산연결"))</f>
      </c>
      <c r="O706" s="526">
        <f>IF(N706="OK",D706,0)</f>
        <v>0</v>
      </c>
    </row>
    <row r="707" hidden="1" outlineLevel="1">
      <c r="A707" s="504">
        <f>IF(B707="","","S"&amp;ROW())</f>
      </c>
      <c r="B707" s="522" t="n"/>
      <c r="C707" s="522" t="n"/>
      <c r="D707" s="525">
        <f>IF(C707="","",IFERROR(INDEX(잔액!$Y:$Y,MAX(64,C707)),0))</f>
      </c>
      <c r="E707" s="524">
        <f>IF(C707="","",IFERROR(INDEX(잔액!$A:$A,MAX(64,C707)),""))</f>
      </c>
      <c r="F707" s="504">
        <f>IF(C707="","",IFERROR(INDEX(잔액!$C:$C,MAX(64,C707)),""))</f>
      </c>
      <c r="G707" s="504">
        <f>IF(C707="","",IF(INDEX(잔액!$K:$K,MAX(64,C707))&lt;&gt;"",INDEX(잔액!$K:$K,MAX(64,C707)),INDEX(잔액!$D:$D,MAX(64,C707))))</f>
      </c>
      <c r="H707" s="504" t="inlineStr">
        <is>
          <t>원장</t>
        </is>
      </c>
      <c r="J707" s="504">
        <f>IFERROR(INDEX($C$100:$C$399,MATCH(B707,$A$100:$A$399,0)),"")</f>
        <v>0</v>
      </c>
      <c r="K707" s="524">
        <f>IFERROR(INDEX($D$100:$D$399,MATCH(B707,$A$100:$A$399,0)),"")</f>
      </c>
      <c r="L707" s="504">
        <f>IFERROR(INDEX($S$100:$S$399,MATCH(B707,$A$100:$A$399,0)),"")</f>
        <v>0</v>
      </c>
      <c r="M707" s="504">
        <f>IF(B707="","",IFERROR(IF(OR(AND(H707="기초반영",OR(B707="U001",B707="U002",B707="U003"),C707="",E707=DATE(2026,3,1)),AND(H707="원장",C707&gt;=64,C707&lt;=500,INDEX(잔액!$I:$I,MAX(64,C707))="OK",E707=INDEX(잔액!$A:$A,MAX(64,C707)),F707=INDEX(잔액!$C:$C,MAX(64,C707)),OR(F707=J707,F707="결제대금비",AND(B707="U008",C707=223,J707="경조사비",F707="명절비"),AND(B707="U008",C707=208,J707="경조사비",F707="임시보관",SUMIF($C$430:$C$729,C707,$D$430:$D$729)&lt;=39000)),OR(COUNTIF($A$8:$A$12,F707)=1,F707="결제대금비",AND(B707="U008",C707=208,J707="경조사비",F707="임시보관",SUMIF($C$430:$C$729,C707,$D$430:$D$729)&lt;=39000)),COUNTIF($A$8:$A$12,INDEX(잔액!$D:$D,MAX(64,C707)))=0,SUMIF($C$430:$C$729,C707,$D$430:$D$729)&lt;=INDEX(잔액!$Y:$Y,MAX(64,C707)))),1,0),0))</f>
      </c>
      <c r="N707" s="504">
        <f>IF(B707="","",IFERROR(IF(AND(COUNTIF($A$100:$A$399,B707)=1,INDEX($R$100:$R$399,MATCH(B707,$A$100:$A$399,0))="OK",D707&gt;0,ISNUMBER(E707),M707=1,SUMIF($B$430:$B$729,B707,$D$430:$D$729)&lt;=INDEX($E$100:$E$399,MATCH(B707,$A$100:$A$399,0))),"OK","확인: 정산연결"),"확인: 정산연결"))</f>
      </c>
      <c r="O707" s="526">
        <f>IF(N707="OK",D707,0)</f>
        <v>0</v>
      </c>
    </row>
    <row r="708" hidden="1" outlineLevel="1">
      <c r="A708" s="504">
        <f>IF(B708="","","S"&amp;ROW())</f>
      </c>
      <c r="B708" s="522" t="n"/>
      <c r="C708" s="522" t="n"/>
      <c r="D708" s="525">
        <f>IF(C708="","",IFERROR(INDEX(잔액!$Y:$Y,MAX(64,C708)),0))</f>
      </c>
      <c r="E708" s="524">
        <f>IF(C708="","",IFERROR(INDEX(잔액!$A:$A,MAX(64,C708)),""))</f>
      </c>
      <c r="F708" s="504">
        <f>IF(C708="","",IFERROR(INDEX(잔액!$C:$C,MAX(64,C708)),""))</f>
      </c>
      <c r="G708" s="504">
        <f>IF(C708="","",IF(INDEX(잔액!$K:$K,MAX(64,C708))&lt;&gt;"",INDEX(잔액!$K:$K,MAX(64,C708)),INDEX(잔액!$D:$D,MAX(64,C708))))</f>
      </c>
      <c r="H708" s="504" t="inlineStr">
        <is>
          <t>원장</t>
        </is>
      </c>
      <c r="J708" s="504">
        <f>IFERROR(INDEX($C$100:$C$399,MATCH(B708,$A$100:$A$399,0)),"")</f>
        <v>0</v>
      </c>
      <c r="K708" s="524">
        <f>IFERROR(INDEX($D$100:$D$399,MATCH(B708,$A$100:$A$399,0)),"")</f>
      </c>
      <c r="L708" s="504">
        <f>IFERROR(INDEX($S$100:$S$399,MATCH(B708,$A$100:$A$399,0)),"")</f>
        <v>0</v>
      </c>
      <c r="M708" s="504">
        <f>IF(B708="","",IFERROR(IF(OR(AND(H708="기초반영",OR(B708="U001",B708="U002",B708="U003"),C708="",E708=DATE(2026,3,1)),AND(H708="원장",C708&gt;=64,C708&lt;=500,INDEX(잔액!$I:$I,MAX(64,C708))="OK",E708=INDEX(잔액!$A:$A,MAX(64,C708)),F708=INDEX(잔액!$C:$C,MAX(64,C708)),OR(F708=J708,F708="결제대금비",AND(B708="U008",C708=223,J708="경조사비",F708="명절비"),AND(B708="U008",C708=208,J708="경조사비",F708="임시보관",SUMIF($C$430:$C$729,C708,$D$430:$D$729)&lt;=39000)),OR(COUNTIF($A$8:$A$12,F708)=1,F708="결제대금비",AND(B708="U008",C708=208,J708="경조사비",F708="임시보관",SUMIF($C$430:$C$729,C708,$D$430:$D$729)&lt;=39000)),COUNTIF($A$8:$A$12,INDEX(잔액!$D:$D,MAX(64,C708)))=0,SUMIF($C$430:$C$729,C708,$D$430:$D$729)&lt;=INDEX(잔액!$Y:$Y,MAX(64,C708)))),1,0),0))</f>
      </c>
      <c r="N708" s="504">
        <f>IF(B708="","",IFERROR(IF(AND(COUNTIF($A$100:$A$399,B708)=1,INDEX($R$100:$R$399,MATCH(B708,$A$100:$A$399,0))="OK",D708&gt;0,ISNUMBER(E708),M708=1,SUMIF($B$430:$B$729,B708,$D$430:$D$729)&lt;=INDEX($E$100:$E$399,MATCH(B708,$A$100:$A$399,0))),"OK","확인: 정산연결"),"확인: 정산연결"))</f>
      </c>
      <c r="O708" s="526">
        <f>IF(N708="OK",D708,0)</f>
        <v>0</v>
      </c>
    </row>
    <row r="709" hidden="1" outlineLevel="1">
      <c r="A709" s="504">
        <f>IF(B709="","","S"&amp;ROW())</f>
      </c>
      <c r="B709" s="522" t="n"/>
      <c r="C709" s="522" t="n"/>
      <c r="D709" s="525">
        <f>IF(C709="","",IFERROR(INDEX(잔액!$Y:$Y,MAX(64,C709)),0))</f>
      </c>
      <c r="E709" s="524">
        <f>IF(C709="","",IFERROR(INDEX(잔액!$A:$A,MAX(64,C709)),""))</f>
      </c>
      <c r="F709" s="504">
        <f>IF(C709="","",IFERROR(INDEX(잔액!$C:$C,MAX(64,C709)),""))</f>
      </c>
      <c r="G709" s="504">
        <f>IF(C709="","",IF(INDEX(잔액!$K:$K,MAX(64,C709))&lt;&gt;"",INDEX(잔액!$K:$K,MAX(64,C709)),INDEX(잔액!$D:$D,MAX(64,C709))))</f>
      </c>
      <c r="H709" s="504" t="inlineStr">
        <is>
          <t>원장</t>
        </is>
      </c>
      <c r="J709" s="504">
        <f>IFERROR(INDEX($C$100:$C$399,MATCH(B709,$A$100:$A$399,0)),"")</f>
        <v>0</v>
      </c>
      <c r="K709" s="524">
        <f>IFERROR(INDEX($D$100:$D$399,MATCH(B709,$A$100:$A$399,0)),"")</f>
      </c>
      <c r="L709" s="504">
        <f>IFERROR(INDEX($S$100:$S$399,MATCH(B709,$A$100:$A$399,0)),"")</f>
        <v>0</v>
      </c>
      <c r="M709" s="504">
        <f>IF(B709="","",IFERROR(IF(OR(AND(H709="기초반영",OR(B709="U001",B709="U002",B709="U003"),C709="",E709=DATE(2026,3,1)),AND(H709="원장",C709&gt;=64,C709&lt;=500,INDEX(잔액!$I:$I,MAX(64,C709))="OK",E709=INDEX(잔액!$A:$A,MAX(64,C709)),F709=INDEX(잔액!$C:$C,MAX(64,C709)),OR(F709=J709,F709="결제대금비",AND(B709="U008",C709=223,J709="경조사비",F709="명절비"),AND(B709="U008",C709=208,J709="경조사비",F709="임시보관",SUMIF($C$430:$C$729,C709,$D$430:$D$729)&lt;=39000)),OR(COUNTIF($A$8:$A$12,F709)=1,F709="결제대금비",AND(B709="U008",C709=208,J709="경조사비",F709="임시보관",SUMIF($C$430:$C$729,C709,$D$430:$D$729)&lt;=39000)),COUNTIF($A$8:$A$12,INDEX(잔액!$D:$D,MAX(64,C709)))=0,SUMIF($C$430:$C$729,C709,$D$430:$D$729)&lt;=INDEX(잔액!$Y:$Y,MAX(64,C709)))),1,0),0))</f>
      </c>
      <c r="N709" s="504">
        <f>IF(B709="","",IFERROR(IF(AND(COUNTIF($A$100:$A$399,B709)=1,INDEX($R$100:$R$399,MATCH(B709,$A$100:$A$399,0))="OK",D709&gt;0,ISNUMBER(E709),M709=1,SUMIF($B$430:$B$729,B709,$D$430:$D$729)&lt;=INDEX($E$100:$E$399,MATCH(B709,$A$100:$A$399,0))),"OK","확인: 정산연결"),"확인: 정산연결"))</f>
      </c>
      <c r="O709" s="526">
        <f>IF(N709="OK",D709,0)</f>
        <v>0</v>
      </c>
    </row>
    <row r="710" hidden="1" outlineLevel="1">
      <c r="A710" s="504">
        <f>IF(B710="","","S"&amp;ROW())</f>
      </c>
      <c r="B710" s="522" t="n"/>
      <c r="C710" s="522" t="n"/>
      <c r="D710" s="525">
        <f>IF(C710="","",IFERROR(INDEX(잔액!$Y:$Y,MAX(64,C710)),0))</f>
      </c>
      <c r="E710" s="524">
        <f>IF(C710="","",IFERROR(INDEX(잔액!$A:$A,MAX(64,C710)),""))</f>
      </c>
      <c r="F710" s="504">
        <f>IF(C710="","",IFERROR(INDEX(잔액!$C:$C,MAX(64,C710)),""))</f>
      </c>
      <c r="G710" s="504">
        <f>IF(C710="","",IF(INDEX(잔액!$K:$K,MAX(64,C710))&lt;&gt;"",INDEX(잔액!$K:$K,MAX(64,C710)),INDEX(잔액!$D:$D,MAX(64,C710))))</f>
      </c>
      <c r="H710" s="504" t="inlineStr">
        <is>
          <t>원장</t>
        </is>
      </c>
      <c r="J710" s="504">
        <f>IFERROR(INDEX($C$100:$C$399,MATCH(B710,$A$100:$A$399,0)),"")</f>
        <v>0</v>
      </c>
      <c r="K710" s="524">
        <f>IFERROR(INDEX($D$100:$D$399,MATCH(B710,$A$100:$A$399,0)),"")</f>
      </c>
      <c r="L710" s="504">
        <f>IFERROR(INDEX($S$100:$S$399,MATCH(B710,$A$100:$A$399,0)),"")</f>
        <v>0</v>
      </c>
      <c r="M710" s="504">
        <f>IF(B710="","",IFERROR(IF(OR(AND(H710="기초반영",OR(B710="U001",B710="U002",B710="U003"),C710="",E710=DATE(2026,3,1)),AND(H710="원장",C710&gt;=64,C710&lt;=500,INDEX(잔액!$I:$I,MAX(64,C710))="OK",E710=INDEX(잔액!$A:$A,MAX(64,C710)),F710=INDEX(잔액!$C:$C,MAX(64,C710)),OR(F710=J710,F710="결제대금비",AND(B710="U008",C710=223,J710="경조사비",F710="명절비"),AND(B710="U008",C710=208,J710="경조사비",F710="임시보관",SUMIF($C$430:$C$729,C710,$D$430:$D$729)&lt;=39000)),OR(COUNTIF($A$8:$A$12,F710)=1,F710="결제대금비",AND(B710="U008",C710=208,J710="경조사비",F710="임시보관",SUMIF($C$430:$C$729,C710,$D$430:$D$729)&lt;=39000)),COUNTIF($A$8:$A$12,INDEX(잔액!$D:$D,MAX(64,C710)))=0,SUMIF($C$430:$C$729,C710,$D$430:$D$729)&lt;=INDEX(잔액!$Y:$Y,MAX(64,C710)))),1,0),0))</f>
      </c>
      <c r="N710" s="504">
        <f>IF(B710="","",IFERROR(IF(AND(COUNTIF($A$100:$A$399,B710)=1,INDEX($R$100:$R$399,MATCH(B710,$A$100:$A$399,0))="OK",D710&gt;0,ISNUMBER(E710),M710=1,SUMIF($B$430:$B$729,B710,$D$430:$D$729)&lt;=INDEX($E$100:$E$399,MATCH(B710,$A$100:$A$399,0))),"OK","확인: 정산연결"),"확인: 정산연결"))</f>
      </c>
      <c r="O710" s="526">
        <f>IF(N710="OK",D710,0)</f>
        <v>0</v>
      </c>
    </row>
    <row r="711" hidden="1" outlineLevel="1">
      <c r="A711" s="504">
        <f>IF(B711="","","S"&amp;ROW())</f>
      </c>
      <c r="B711" s="522" t="n"/>
      <c r="C711" s="522" t="n"/>
      <c r="D711" s="525">
        <f>IF(C711="","",IFERROR(INDEX(잔액!$Y:$Y,MAX(64,C711)),0))</f>
      </c>
      <c r="E711" s="524">
        <f>IF(C711="","",IFERROR(INDEX(잔액!$A:$A,MAX(64,C711)),""))</f>
      </c>
      <c r="F711" s="504">
        <f>IF(C711="","",IFERROR(INDEX(잔액!$C:$C,MAX(64,C711)),""))</f>
      </c>
      <c r="G711" s="504">
        <f>IF(C711="","",IF(INDEX(잔액!$K:$K,MAX(64,C711))&lt;&gt;"",INDEX(잔액!$K:$K,MAX(64,C711)),INDEX(잔액!$D:$D,MAX(64,C711))))</f>
      </c>
      <c r="H711" s="504" t="inlineStr">
        <is>
          <t>원장</t>
        </is>
      </c>
      <c r="J711" s="504">
        <f>IFERROR(INDEX($C$100:$C$399,MATCH(B711,$A$100:$A$399,0)),"")</f>
        <v>0</v>
      </c>
      <c r="K711" s="524">
        <f>IFERROR(INDEX($D$100:$D$399,MATCH(B711,$A$100:$A$399,0)),"")</f>
      </c>
      <c r="L711" s="504">
        <f>IFERROR(INDEX($S$100:$S$399,MATCH(B711,$A$100:$A$399,0)),"")</f>
        <v>0</v>
      </c>
      <c r="M711" s="504">
        <f>IF(B711="","",IFERROR(IF(OR(AND(H711="기초반영",OR(B711="U001",B711="U002",B711="U003"),C711="",E711=DATE(2026,3,1)),AND(H711="원장",C711&gt;=64,C711&lt;=500,INDEX(잔액!$I:$I,MAX(64,C711))="OK",E711=INDEX(잔액!$A:$A,MAX(64,C711)),F711=INDEX(잔액!$C:$C,MAX(64,C711)),OR(F711=J711,F711="결제대금비",AND(B711="U008",C711=223,J711="경조사비",F711="명절비"),AND(B711="U008",C711=208,J711="경조사비",F711="임시보관",SUMIF($C$430:$C$729,C711,$D$430:$D$729)&lt;=39000)),OR(COUNTIF($A$8:$A$12,F711)=1,F711="결제대금비",AND(B711="U008",C711=208,J711="경조사비",F711="임시보관",SUMIF($C$430:$C$729,C711,$D$430:$D$729)&lt;=39000)),COUNTIF($A$8:$A$12,INDEX(잔액!$D:$D,MAX(64,C711)))=0,SUMIF($C$430:$C$729,C711,$D$430:$D$729)&lt;=INDEX(잔액!$Y:$Y,MAX(64,C711)))),1,0),0))</f>
      </c>
      <c r="N711" s="504">
        <f>IF(B711="","",IFERROR(IF(AND(COUNTIF($A$100:$A$399,B711)=1,INDEX($R$100:$R$399,MATCH(B711,$A$100:$A$399,0))="OK",D711&gt;0,ISNUMBER(E711),M711=1,SUMIF($B$430:$B$729,B711,$D$430:$D$729)&lt;=INDEX($E$100:$E$399,MATCH(B711,$A$100:$A$399,0))),"OK","확인: 정산연결"),"확인: 정산연결"))</f>
      </c>
      <c r="O711" s="526">
        <f>IF(N711="OK",D711,0)</f>
        <v>0</v>
      </c>
    </row>
    <row r="712" hidden="1" outlineLevel="1">
      <c r="A712" s="504">
        <f>IF(B712="","","S"&amp;ROW())</f>
      </c>
      <c r="B712" s="522" t="n"/>
      <c r="C712" s="522" t="n"/>
      <c r="D712" s="525">
        <f>IF(C712="","",IFERROR(INDEX(잔액!$Y:$Y,MAX(64,C712)),0))</f>
      </c>
      <c r="E712" s="524">
        <f>IF(C712="","",IFERROR(INDEX(잔액!$A:$A,MAX(64,C712)),""))</f>
      </c>
      <c r="F712" s="504">
        <f>IF(C712="","",IFERROR(INDEX(잔액!$C:$C,MAX(64,C712)),""))</f>
      </c>
      <c r="G712" s="504">
        <f>IF(C712="","",IF(INDEX(잔액!$K:$K,MAX(64,C712))&lt;&gt;"",INDEX(잔액!$K:$K,MAX(64,C712)),INDEX(잔액!$D:$D,MAX(64,C712))))</f>
      </c>
      <c r="H712" s="504" t="inlineStr">
        <is>
          <t>원장</t>
        </is>
      </c>
      <c r="J712" s="504">
        <f>IFERROR(INDEX($C$100:$C$399,MATCH(B712,$A$100:$A$399,0)),"")</f>
        <v>0</v>
      </c>
      <c r="K712" s="524">
        <f>IFERROR(INDEX($D$100:$D$399,MATCH(B712,$A$100:$A$399,0)),"")</f>
      </c>
      <c r="L712" s="504">
        <f>IFERROR(INDEX($S$100:$S$399,MATCH(B712,$A$100:$A$399,0)),"")</f>
        <v>0</v>
      </c>
      <c r="M712" s="504">
        <f>IF(B712="","",IFERROR(IF(OR(AND(H712="기초반영",OR(B712="U001",B712="U002",B712="U003"),C712="",E712=DATE(2026,3,1)),AND(H712="원장",C712&gt;=64,C712&lt;=500,INDEX(잔액!$I:$I,MAX(64,C712))="OK",E712=INDEX(잔액!$A:$A,MAX(64,C712)),F712=INDEX(잔액!$C:$C,MAX(64,C712)),OR(F712=J712,F712="결제대금비",AND(B712="U008",C712=223,J712="경조사비",F712="명절비"),AND(B712="U008",C712=208,J712="경조사비",F712="임시보관",SUMIF($C$430:$C$729,C712,$D$430:$D$729)&lt;=39000)),OR(COUNTIF($A$8:$A$12,F712)=1,F712="결제대금비",AND(B712="U008",C712=208,J712="경조사비",F712="임시보관",SUMIF($C$430:$C$729,C712,$D$430:$D$729)&lt;=39000)),COUNTIF($A$8:$A$12,INDEX(잔액!$D:$D,MAX(64,C712)))=0,SUMIF($C$430:$C$729,C712,$D$430:$D$729)&lt;=INDEX(잔액!$Y:$Y,MAX(64,C712)))),1,0),0))</f>
      </c>
      <c r="N712" s="504">
        <f>IF(B712="","",IFERROR(IF(AND(COUNTIF($A$100:$A$399,B712)=1,INDEX($R$100:$R$399,MATCH(B712,$A$100:$A$399,0))="OK",D712&gt;0,ISNUMBER(E712),M712=1,SUMIF($B$430:$B$729,B712,$D$430:$D$729)&lt;=INDEX($E$100:$E$399,MATCH(B712,$A$100:$A$399,0))),"OK","확인: 정산연결"),"확인: 정산연결"))</f>
      </c>
      <c r="O712" s="526">
        <f>IF(N712="OK",D712,0)</f>
        <v>0</v>
      </c>
    </row>
    <row r="713" hidden="1" outlineLevel="1">
      <c r="A713" s="504">
        <f>IF(B713="","","S"&amp;ROW())</f>
      </c>
      <c r="B713" s="522" t="n"/>
      <c r="C713" s="522" t="n"/>
      <c r="D713" s="525">
        <f>IF(C713="","",IFERROR(INDEX(잔액!$Y:$Y,MAX(64,C713)),0))</f>
      </c>
      <c r="E713" s="524">
        <f>IF(C713="","",IFERROR(INDEX(잔액!$A:$A,MAX(64,C713)),""))</f>
      </c>
      <c r="F713" s="504">
        <f>IF(C713="","",IFERROR(INDEX(잔액!$C:$C,MAX(64,C713)),""))</f>
      </c>
      <c r="G713" s="504">
        <f>IF(C713="","",IF(INDEX(잔액!$K:$K,MAX(64,C713))&lt;&gt;"",INDEX(잔액!$K:$K,MAX(64,C713)),INDEX(잔액!$D:$D,MAX(64,C713))))</f>
      </c>
      <c r="H713" s="504" t="inlineStr">
        <is>
          <t>원장</t>
        </is>
      </c>
      <c r="J713" s="504">
        <f>IFERROR(INDEX($C$100:$C$399,MATCH(B713,$A$100:$A$399,0)),"")</f>
        <v>0</v>
      </c>
      <c r="K713" s="524">
        <f>IFERROR(INDEX($D$100:$D$399,MATCH(B713,$A$100:$A$399,0)),"")</f>
      </c>
      <c r="L713" s="504">
        <f>IFERROR(INDEX($S$100:$S$399,MATCH(B713,$A$100:$A$399,0)),"")</f>
        <v>0</v>
      </c>
      <c r="M713" s="504">
        <f>IF(B713="","",IFERROR(IF(OR(AND(H713="기초반영",OR(B713="U001",B713="U002",B713="U003"),C713="",E713=DATE(2026,3,1)),AND(H713="원장",C713&gt;=64,C713&lt;=500,INDEX(잔액!$I:$I,MAX(64,C713))="OK",E713=INDEX(잔액!$A:$A,MAX(64,C713)),F713=INDEX(잔액!$C:$C,MAX(64,C713)),OR(F713=J713,F713="결제대금비",AND(B713="U008",C713=223,J713="경조사비",F713="명절비"),AND(B713="U008",C713=208,J713="경조사비",F713="임시보관",SUMIF($C$430:$C$729,C713,$D$430:$D$729)&lt;=39000)),OR(COUNTIF($A$8:$A$12,F713)=1,F713="결제대금비",AND(B713="U008",C713=208,J713="경조사비",F713="임시보관",SUMIF($C$430:$C$729,C713,$D$430:$D$729)&lt;=39000)),COUNTIF($A$8:$A$12,INDEX(잔액!$D:$D,MAX(64,C713)))=0,SUMIF($C$430:$C$729,C713,$D$430:$D$729)&lt;=INDEX(잔액!$Y:$Y,MAX(64,C713)))),1,0),0))</f>
      </c>
      <c r="N713" s="504">
        <f>IF(B713="","",IFERROR(IF(AND(COUNTIF($A$100:$A$399,B713)=1,INDEX($R$100:$R$399,MATCH(B713,$A$100:$A$399,0))="OK",D713&gt;0,ISNUMBER(E713),M713=1,SUMIF($B$430:$B$729,B713,$D$430:$D$729)&lt;=INDEX($E$100:$E$399,MATCH(B713,$A$100:$A$399,0))),"OK","확인: 정산연결"),"확인: 정산연결"))</f>
      </c>
      <c r="O713" s="526">
        <f>IF(N713="OK",D713,0)</f>
        <v>0</v>
      </c>
    </row>
    <row r="714" hidden="1" outlineLevel="1">
      <c r="A714" s="504">
        <f>IF(B714="","","S"&amp;ROW())</f>
      </c>
      <c r="B714" s="522" t="n"/>
      <c r="C714" s="522" t="n"/>
      <c r="D714" s="525">
        <f>IF(C714="","",IFERROR(INDEX(잔액!$Y:$Y,MAX(64,C714)),0))</f>
      </c>
      <c r="E714" s="524">
        <f>IF(C714="","",IFERROR(INDEX(잔액!$A:$A,MAX(64,C714)),""))</f>
      </c>
      <c r="F714" s="504">
        <f>IF(C714="","",IFERROR(INDEX(잔액!$C:$C,MAX(64,C714)),""))</f>
      </c>
      <c r="G714" s="504">
        <f>IF(C714="","",IF(INDEX(잔액!$K:$K,MAX(64,C714))&lt;&gt;"",INDEX(잔액!$K:$K,MAX(64,C714)),INDEX(잔액!$D:$D,MAX(64,C714))))</f>
      </c>
      <c r="H714" s="504" t="inlineStr">
        <is>
          <t>원장</t>
        </is>
      </c>
      <c r="J714" s="504">
        <f>IFERROR(INDEX($C$100:$C$399,MATCH(B714,$A$100:$A$399,0)),"")</f>
        <v>0</v>
      </c>
      <c r="K714" s="524">
        <f>IFERROR(INDEX($D$100:$D$399,MATCH(B714,$A$100:$A$399,0)),"")</f>
      </c>
      <c r="L714" s="504">
        <f>IFERROR(INDEX($S$100:$S$399,MATCH(B714,$A$100:$A$399,0)),"")</f>
        <v>0</v>
      </c>
      <c r="M714" s="504">
        <f>IF(B714="","",IFERROR(IF(OR(AND(H714="기초반영",OR(B714="U001",B714="U002",B714="U003"),C714="",E714=DATE(2026,3,1)),AND(H714="원장",C714&gt;=64,C714&lt;=500,INDEX(잔액!$I:$I,MAX(64,C714))="OK",E714=INDEX(잔액!$A:$A,MAX(64,C714)),F714=INDEX(잔액!$C:$C,MAX(64,C714)),OR(F714=J714,F714="결제대금비",AND(B714="U008",C714=223,J714="경조사비",F714="명절비"),AND(B714="U008",C714=208,J714="경조사비",F714="임시보관",SUMIF($C$430:$C$729,C714,$D$430:$D$729)&lt;=39000)),OR(COUNTIF($A$8:$A$12,F714)=1,F714="결제대금비",AND(B714="U008",C714=208,J714="경조사비",F714="임시보관",SUMIF($C$430:$C$729,C714,$D$430:$D$729)&lt;=39000)),COUNTIF($A$8:$A$12,INDEX(잔액!$D:$D,MAX(64,C714)))=0,SUMIF($C$430:$C$729,C714,$D$430:$D$729)&lt;=INDEX(잔액!$Y:$Y,MAX(64,C714)))),1,0),0))</f>
      </c>
      <c r="N714" s="504">
        <f>IF(B714="","",IFERROR(IF(AND(COUNTIF($A$100:$A$399,B714)=1,INDEX($R$100:$R$399,MATCH(B714,$A$100:$A$399,0))="OK",D714&gt;0,ISNUMBER(E714),M714=1,SUMIF($B$430:$B$729,B714,$D$430:$D$729)&lt;=INDEX($E$100:$E$399,MATCH(B714,$A$100:$A$399,0))),"OK","확인: 정산연결"),"확인: 정산연결"))</f>
      </c>
      <c r="O714" s="526">
        <f>IF(N714="OK",D714,0)</f>
        <v>0</v>
      </c>
    </row>
    <row r="715" hidden="1" outlineLevel="1">
      <c r="A715" s="504">
        <f>IF(B715="","","S"&amp;ROW())</f>
      </c>
      <c r="B715" s="522" t="n"/>
      <c r="C715" s="522" t="n"/>
      <c r="D715" s="525">
        <f>IF(C715="","",IFERROR(INDEX(잔액!$Y:$Y,MAX(64,C715)),0))</f>
      </c>
      <c r="E715" s="524">
        <f>IF(C715="","",IFERROR(INDEX(잔액!$A:$A,MAX(64,C715)),""))</f>
      </c>
      <c r="F715" s="504">
        <f>IF(C715="","",IFERROR(INDEX(잔액!$C:$C,MAX(64,C715)),""))</f>
      </c>
      <c r="G715" s="504">
        <f>IF(C715="","",IF(INDEX(잔액!$K:$K,MAX(64,C715))&lt;&gt;"",INDEX(잔액!$K:$K,MAX(64,C715)),INDEX(잔액!$D:$D,MAX(64,C715))))</f>
      </c>
      <c r="H715" s="504" t="inlineStr">
        <is>
          <t>원장</t>
        </is>
      </c>
      <c r="J715" s="504">
        <f>IFERROR(INDEX($C$100:$C$399,MATCH(B715,$A$100:$A$399,0)),"")</f>
        <v>0</v>
      </c>
      <c r="K715" s="524">
        <f>IFERROR(INDEX($D$100:$D$399,MATCH(B715,$A$100:$A$399,0)),"")</f>
      </c>
      <c r="L715" s="504">
        <f>IFERROR(INDEX($S$100:$S$399,MATCH(B715,$A$100:$A$399,0)),"")</f>
        <v>0</v>
      </c>
      <c r="M715" s="504">
        <f>IF(B715="","",IFERROR(IF(OR(AND(H715="기초반영",OR(B715="U001",B715="U002",B715="U003"),C715="",E715=DATE(2026,3,1)),AND(H715="원장",C715&gt;=64,C715&lt;=500,INDEX(잔액!$I:$I,MAX(64,C715))="OK",E715=INDEX(잔액!$A:$A,MAX(64,C715)),F715=INDEX(잔액!$C:$C,MAX(64,C715)),OR(F715=J715,F715="결제대금비",AND(B715="U008",C715=223,J715="경조사비",F715="명절비"),AND(B715="U008",C715=208,J715="경조사비",F715="임시보관",SUMIF($C$430:$C$729,C715,$D$430:$D$729)&lt;=39000)),OR(COUNTIF($A$8:$A$12,F715)=1,F715="결제대금비",AND(B715="U008",C715=208,J715="경조사비",F715="임시보관",SUMIF($C$430:$C$729,C715,$D$430:$D$729)&lt;=39000)),COUNTIF($A$8:$A$12,INDEX(잔액!$D:$D,MAX(64,C715)))=0,SUMIF($C$430:$C$729,C715,$D$430:$D$729)&lt;=INDEX(잔액!$Y:$Y,MAX(64,C715)))),1,0),0))</f>
      </c>
      <c r="N715" s="504">
        <f>IF(B715="","",IFERROR(IF(AND(COUNTIF($A$100:$A$399,B715)=1,INDEX($R$100:$R$399,MATCH(B715,$A$100:$A$399,0))="OK",D715&gt;0,ISNUMBER(E715),M715=1,SUMIF($B$430:$B$729,B715,$D$430:$D$729)&lt;=INDEX($E$100:$E$399,MATCH(B715,$A$100:$A$399,0))),"OK","확인: 정산연결"),"확인: 정산연결"))</f>
      </c>
      <c r="O715" s="526">
        <f>IF(N715="OK",D715,0)</f>
        <v>0</v>
      </c>
    </row>
    <row r="716" hidden="1" outlineLevel="1">
      <c r="A716" s="504">
        <f>IF(B716="","","S"&amp;ROW())</f>
      </c>
      <c r="B716" s="522" t="n"/>
      <c r="C716" s="522" t="n"/>
      <c r="D716" s="525">
        <f>IF(C716="","",IFERROR(INDEX(잔액!$Y:$Y,MAX(64,C716)),0))</f>
      </c>
      <c r="E716" s="524">
        <f>IF(C716="","",IFERROR(INDEX(잔액!$A:$A,MAX(64,C716)),""))</f>
      </c>
      <c r="F716" s="504">
        <f>IF(C716="","",IFERROR(INDEX(잔액!$C:$C,MAX(64,C716)),""))</f>
      </c>
      <c r="G716" s="504">
        <f>IF(C716="","",IF(INDEX(잔액!$K:$K,MAX(64,C716))&lt;&gt;"",INDEX(잔액!$K:$K,MAX(64,C716)),INDEX(잔액!$D:$D,MAX(64,C716))))</f>
      </c>
      <c r="H716" s="504" t="inlineStr">
        <is>
          <t>원장</t>
        </is>
      </c>
      <c r="J716" s="504">
        <f>IFERROR(INDEX($C$100:$C$399,MATCH(B716,$A$100:$A$399,0)),"")</f>
        <v>0</v>
      </c>
      <c r="K716" s="524">
        <f>IFERROR(INDEX($D$100:$D$399,MATCH(B716,$A$100:$A$399,0)),"")</f>
      </c>
      <c r="L716" s="504">
        <f>IFERROR(INDEX($S$100:$S$399,MATCH(B716,$A$100:$A$399,0)),"")</f>
        <v>0</v>
      </c>
      <c r="M716" s="504">
        <f>IF(B716="","",IFERROR(IF(OR(AND(H716="기초반영",OR(B716="U001",B716="U002",B716="U003"),C716="",E716=DATE(2026,3,1)),AND(H716="원장",C716&gt;=64,C716&lt;=500,INDEX(잔액!$I:$I,MAX(64,C716))="OK",E716=INDEX(잔액!$A:$A,MAX(64,C716)),F716=INDEX(잔액!$C:$C,MAX(64,C716)),OR(F716=J716,F716="결제대금비",AND(B716="U008",C716=223,J716="경조사비",F716="명절비"),AND(B716="U008",C716=208,J716="경조사비",F716="임시보관",SUMIF($C$430:$C$729,C716,$D$430:$D$729)&lt;=39000)),OR(COUNTIF($A$8:$A$12,F716)=1,F716="결제대금비",AND(B716="U008",C716=208,J716="경조사비",F716="임시보관",SUMIF($C$430:$C$729,C716,$D$430:$D$729)&lt;=39000)),COUNTIF($A$8:$A$12,INDEX(잔액!$D:$D,MAX(64,C716)))=0,SUMIF($C$430:$C$729,C716,$D$430:$D$729)&lt;=INDEX(잔액!$Y:$Y,MAX(64,C716)))),1,0),0))</f>
      </c>
      <c r="N716" s="504">
        <f>IF(B716="","",IFERROR(IF(AND(COUNTIF($A$100:$A$399,B716)=1,INDEX($R$100:$R$399,MATCH(B716,$A$100:$A$399,0))="OK",D716&gt;0,ISNUMBER(E716),M716=1,SUMIF($B$430:$B$729,B716,$D$430:$D$729)&lt;=INDEX($E$100:$E$399,MATCH(B716,$A$100:$A$399,0))),"OK","확인: 정산연결"),"확인: 정산연결"))</f>
      </c>
      <c r="O716" s="526">
        <f>IF(N716="OK",D716,0)</f>
        <v>0</v>
      </c>
    </row>
    <row r="717" hidden="1" outlineLevel="1">
      <c r="A717" s="504">
        <f>IF(B717="","","S"&amp;ROW())</f>
      </c>
      <c r="B717" s="522" t="n"/>
      <c r="C717" s="522" t="n"/>
      <c r="D717" s="525">
        <f>IF(C717="","",IFERROR(INDEX(잔액!$Y:$Y,MAX(64,C717)),0))</f>
      </c>
      <c r="E717" s="524">
        <f>IF(C717="","",IFERROR(INDEX(잔액!$A:$A,MAX(64,C717)),""))</f>
      </c>
      <c r="F717" s="504">
        <f>IF(C717="","",IFERROR(INDEX(잔액!$C:$C,MAX(64,C717)),""))</f>
      </c>
      <c r="G717" s="504">
        <f>IF(C717="","",IF(INDEX(잔액!$K:$K,MAX(64,C717))&lt;&gt;"",INDEX(잔액!$K:$K,MAX(64,C717)),INDEX(잔액!$D:$D,MAX(64,C717))))</f>
      </c>
      <c r="H717" s="504" t="inlineStr">
        <is>
          <t>원장</t>
        </is>
      </c>
      <c r="J717" s="504">
        <f>IFERROR(INDEX($C$100:$C$399,MATCH(B717,$A$100:$A$399,0)),"")</f>
        <v>0</v>
      </c>
      <c r="K717" s="524">
        <f>IFERROR(INDEX($D$100:$D$399,MATCH(B717,$A$100:$A$399,0)),"")</f>
      </c>
      <c r="L717" s="504">
        <f>IFERROR(INDEX($S$100:$S$399,MATCH(B717,$A$100:$A$399,0)),"")</f>
        <v>0</v>
      </c>
      <c r="M717" s="504">
        <f>IF(B717="","",IFERROR(IF(OR(AND(H717="기초반영",OR(B717="U001",B717="U002",B717="U003"),C717="",E717=DATE(2026,3,1)),AND(H717="원장",C717&gt;=64,C717&lt;=500,INDEX(잔액!$I:$I,MAX(64,C717))="OK",E717=INDEX(잔액!$A:$A,MAX(64,C717)),F717=INDEX(잔액!$C:$C,MAX(64,C717)),OR(F717=J717,F717="결제대금비",AND(B717="U008",C717=223,J717="경조사비",F717="명절비"),AND(B717="U008",C717=208,J717="경조사비",F717="임시보관",SUMIF($C$430:$C$729,C717,$D$430:$D$729)&lt;=39000)),OR(COUNTIF($A$8:$A$12,F717)=1,F717="결제대금비",AND(B717="U008",C717=208,J717="경조사비",F717="임시보관",SUMIF($C$430:$C$729,C717,$D$430:$D$729)&lt;=39000)),COUNTIF($A$8:$A$12,INDEX(잔액!$D:$D,MAX(64,C717)))=0,SUMIF($C$430:$C$729,C717,$D$430:$D$729)&lt;=INDEX(잔액!$Y:$Y,MAX(64,C717)))),1,0),0))</f>
      </c>
      <c r="N717" s="504">
        <f>IF(B717="","",IFERROR(IF(AND(COUNTIF($A$100:$A$399,B717)=1,INDEX($R$100:$R$399,MATCH(B717,$A$100:$A$399,0))="OK",D717&gt;0,ISNUMBER(E717),M717=1,SUMIF($B$430:$B$729,B717,$D$430:$D$729)&lt;=INDEX($E$100:$E$399,MATCH(B717,$A$100:$A$399,0))),"OK","확인: 정산연결"),"확인: 정산연결"))</f>
      </c>
      <c r="O717" s="526">
        <f>IF(N717="OK",D717,0)</f>
        <v>0</v>
      </c>
    </row>
    <row r="718" hidden="1" outlineLevel="1">
      <c r="A718" s="504">
        <f>IF(B718="","","S"&amp;ROW())</f>
      </c>
      <c r="B718" s="522" t="n"/>
      <c r="C718" s="522" t="n"/>
      <c r="D718" s="525">
        <f>IF(C718="","",IFERROR(INDEX(잔액!$Y:$Y,MAX(64,C718)),0))</f>
      </c>
      <c r="E718" s="524">
        <f>IF(C718="","",IFERROR(INDEX(잔액!$A:$A,MAX(64,C718)),""))</f>
      </c>
      <c r="F718" s="504">
        <f>IF(C718="","",IFERROR(INDEX(잔액!$C:$C,MAX(64,C718)),""))</f>
      </c>
      <c r="G718" s="504">
        <f>IF(C718="","",IF(INDEX(잔액!$K:$K,MAX(64,C718))&lt;&gt;"",INDEX(잔액!$K:$K,MAX(64,C718)),INDEX(잔액!$D:$D,MAX(64,C718))))</f>
      </c>
      <c r="H718" s="504" t="inlineStr">
        <is>
          <t>원장</t>
        </is>
      </c>
      <c r="J718" s="504">
        <f>IFERROR(INDEX($C$100:$C$399,MATCH(B718,$A$100:$A$399,0)),"")</f>
        <v>0</v>
      </c>
      <c r="K718" s="524">
        <f>IFERROR(INDEX($D$100:$D$399,MATCH(B718,$A$100:$A$399,0)),"")</f>
      </c>
      <c r="L718" s="504">
        <f>IFERROR(INDEX($S$100:$S$399,MATCH(B718,$A$100:$A$399,0)),"")</f>
        <v>0</v>
      </c>
      <c r="M718" s="504">
        <f>IF(B718="","",IFERROR(IF(OR(AND(H718="기초반영",OR(B718="U001",B718="U002",B718="U003"),C718="",E718=DATE(2026,3,1)),AND(H718="원장",C718&gt;=64,C718&lt;=500,INDEX(잔액!$I:$I,MAX(64,C718))="OK",E718=INDEX(잔액!$A:$A,MAX(64,C718)),F718=INDEX(잔액!$C:$C,MAX(64,C718)),OR(F718=J718,F718="결제대금비",AND(B718="U008",C718=223,J718="경조사비",F718="명절비"),AND(B718="U008",C718=208,J718="경조사비",F718="임시보관",SUMIF($C$430:$C$729,C718,$D$430:$D$729)&lt;=39000)),OR(COUNTIF($A$8:$A$12,F718)=1,F718="결제대금비",AND(B718="U008",C718=208,J718="경조사비",F718="임시보관",SUMIF($C$430:$C$729,C718,$D$430:$D$729)&lt;=39000)),COUNTIF($A$8:$A$12,INDEX(잔액!$D:$D,MAX(64,C718)))=0,SUMIF($C$430:$C$729,C718,$D$430:$D$729)&lt;=INDEX(잔액!$Y:$Y,MAX(64,C718)))),1,0),0))</f>
      </c>
      <c r="N718" s="504">
        <f>IF(B718="","",IFERROR(IF(AND(COUNTIF($A$100:$A$399,B718)=1,INDEX($R$100:$R$399,MATCH(B718,$A$100:$A$399,0))="OK",D718&gt;0,ISNUMBER(E718),M718=1,SUMIF($B$430:$B$729,B718,$D$430:$D$729)&lt;=INDEX($E$100:$E$399,MATCH(B718,$A$100:$A$399,0))),"OK","확인: 정산연결"),"확인: 정산연결"))</f>
      </c>
      <c r="O718" s="526">
        <f>IF(N718="OK",D718,0)</f>
        <v>0</v>
      </c>
    </row>
    <row r="719" hidden="1" outlineLevel="1">
      <c r="A719" s="504">
        <f>IF(B719="","","S"&amp;ROW())</f>
      </c>
      <c r="B719" s="522" t="n"/>
      <c r="C719" s="522" t="n"/>
      <c r="D719" s="525">
        <f>IF(C719="","",IFERROR(INDEX(잔액!$Y:$Y,MAX(64,C719)),0))</f>
      </c>
      <c r="E719" s="524">
        <f>IF(C719="","",IFERROR(INDEX(잔액!$A:$A,MAX(64,C719)),""))</f>
      </c>
      <c r="F719" s="504">
        <f>IF(C719="","",IFERROR(INDEX(잔액!$C:$C,MAX(64,C719)),""))</f>
      </c>
      <c r="G719" s="504">
        <f>IF(C719="","",IF(INDEX(잔액!$K:$K,MAX(64,C719))&lt;&gt;"",INDEX(잔액!$K:$K,MAX(64,C719)),INDEX(잔액!$D:$D,MAX(64,C719))))</f>
      </c>
      <c r="H719" s="504" t="inlineStr">
        <is>
          <t>원장</t>
        </is>
      </c>
      <c r="J719" s="504">
        <f>IFERROR(INDEX($C$100:$C$399,MATCH(B719,$A$100:$A$399,0)),"")</f>
        <v>0</v>
      </c>
      <c r="K719" s="524">
        <f>IFERROR(INDEX($D$100:$D$399,MATCH(B719,$A$100:$A$399,0)),"")</f>
      </c>
      <c r="L719" s="504">
        <f>IFERROR(INDEX($S$100:$S$399,MATCH(B719,$A$100:$A$399,0)),"")</f>
        <v>0</v>
      </c>
      <c r="M719" s="504">
        <f>IF(B719="","",IFERROR(IF(OR(AND(H719="기초반영",OR(B719="U001",B719="U002",B719="U003"),C719="",E719=DATE(2026,3,1)),AND(H719="원장",C719&gt;=64,C719&lt;=500,INDEX(잔액!$I:$I,MAX(64,C719))="OK",E719=INDEX(잔액!$A:$A,MAX(64,C719)),F719=INDEX(잔액!$C:$C,MAX(64,C719)),OR(F719=J719,F719="결제대금비",AND(B719="U008",C719=223,J719="경조사비",F719="명절비"),AND(B719="U008",C719=208,J719="경조사비",F719="임시보관",SUMIF($C$430:$C$729,C719,$D$430:$D$729)&lt;=39000)),OR(COUNTIF($A$8:$A$12,F719)=1,F719="결제대금비",AND(B719="U008",C719=208,J719="경조사비",F719="임시보관",SUMIF($C$430:$C$729,C719,$D$430:$D$729)&lt;=39000)),COUNTIF($A$8:$A$12,INDEX(잔액!$D:$D,MAX(64,C719)))=0,SUMIF($C$430:$C$729,C719,$D$430:$D$729)&lt;=INDEX(잔액!$Y:$Y,MAX(64,C719)))),1,0),0))</f>
      </c>
      <c r="N719" s="504">
        <f>IF(B719="","",IFERROR(IF(AND(COUNTIF($A$100:$A$399,B719)=1,INDEX($R$100:$R$399,MATCH(B719,$A$100:$A$399,0))="OK",D719&gt;0,ISNUMBER(E719),M719=1,SUMIF($B$430:$B$729,B719,$D$430:$D$729)&lt;=INDEX($E$100:$E$399,MATCH(B719,$A$100:$A$399,0))),"OK","확인: 정산연결"),"확인: 정산연결"))</f>
      </c>
      <c r="O719" s="526">
        <f>IF(N719="OK",D719,0)</f>
        <v>0</v>
      </c>
    </row>
    <row r="720" hidden="1" outlineLevel="1">
      <c r="A720" s="504">
        <f>IF(B720="","","S"&amp;ROW())</f>
      </c>
      <c r="B720" s="522" t="n"/>
      <c r="C720" s="522" t="n"/>
      <c r="D720" s="525">
        <f>IF(C720="","",IFERROR(INDEX(잔액!$Y:$Y,MAX(64,C720)),0))</f>
      </c>
      <c r="E720" s="524">
        <f>IF(C720="","",IFERROR(INDEX(잔액!$A:$A,MAX(64,C720)),""))</f>
      </c>
      <c r="F720" s="504">
        <f>IF(C720="","",IFERROR(INDEX(잔액!$C:$C,MAX(64,C720)),""))</f>
      </c>
      <c r="G720" s="504">
        <f>IF(C720="","",IF(INDEX(잔액!$K:$K,MAX(64,C720))&lt;&gt;"",INDEX(잔액!$K:$K,MAX(64,C720)),INDEX(잔액!$D:$D,MAX(64,C720))))</f>
      </c>
      <c r="H720" s="504" t="inlineStr">
        <is>
          <t>원장</t>
        </is>
      </c>
      <c r="J720" s="504">
        <f>IFERROR(INDEX($C$100:$C$399,MATCH(B720,$A$100:$A$399,0)),"")</f>
        <v>0</v>
      </c>
      <c r="K720" s="524">
        <f>IFERROR(INDEX($D$100:$D$399,MATCH(B720,$A$100:$A$399,0)),"")</f>
      </c>
      <c r="L720" s="504">
        <f>IFERROR(INDEX($S$100:$S$399,MATCH(B720,$A$100:$A$399,0)),"")</f>
        <v>0</v>
      </c>
      <c r="M720" s="504">
        <f>IF(B720="","",IFERROR(IF(OR(AND(H720="기초반영",OR(B720="U001",B720="U002",B720="U003"),C720="",E720=DATE(2026,3,1)),AND(H720="원장",C720&gt;=64,C720&lt;=500,INDEX(잔액!$I:$I,MAX(64,C720))="OK",E720=INDEX(잔액!$A:$A,MAX(64,C720)),F720=INDEX(잔액!$C:$C,MAX(64,C720)),OR(F720=J720,F720="결제대금비",AND(B720="U008",C720=223,J720="경조사비",F720="명절비"),AND(B720="U008",C720=208,J720="경조사비",F720="임시보관",SUMIF($C$430:$C$729,C720,$D$430:$D$729)&lt;=39000)),OR(COUNTIF($A$8:$A$12,F720)=1,F720="결제대금비",AND(B720="U008",C720=208,J720="경조사비",F720="임시보관",SUMIF($C$430:$C$729,C720,$D$430:$D$729)&lt;=39000)),COUNTIF($A$8:$A$12,INDEX(잔액!$D:$D,MAX(64,C720)))=0,SUMIF($C$430:$C$729,C720,$D$430:$D$729)&lt;=INDEX(잔액!$Y:$Y,MAX(64,C720)))),1,0),0))</f>
      </c>
      <c r="N720" s="504">
        <f>IF(B720="","",IFERROR(IF(AND(COUNTIF($A$100:$A$399,B720)=1,INDEX($R$100:$R$399,MATCH(B720,$A$100:$A$399,0))="OK",D720&gt;0,ISNUMBER(E720),M720=1,SUMIF($B$430:$B$729,B720,$D$430:$D$729)&lt;=INDEX($E$100:$E$399,MATCH(B720,$A$100:$A$399,0))),"OK","확인: 정산연결"),"확인: 정산연결"))</f>
      </c>
      <c r="O720" s="526">
        <f>IF(N720="OK",D720,0)</f>
        <v>0</v>
      </c>
    </row>
    <row r="721" hidden="1" outlineLevel="1">
      <c r="A721" s="504">
        <f>IF(B721="","","S"&amp;ROW())</f>
      </c>
      <c r="B721" s="522" t="n"/>
      <c r="C721" s="522" t="n"/>
      <c r="D721" s="525">
        <f>IF(C721="","",IFERROR(INDEX(잔액!$Y:$Y,MAX(64,C721)),0))</f>
      </c>
      <c r="E721" s="524">
        <f>IF(C721="","",IFERROR(INDEX(잔액!$A:$A,MAX(64,C721)),""))</f>
      </c>
      <c r="F721" s="504">
        <f>IF(C721="","",IFERROR(INDEX(잔액!$C:$C,MAX(64,C721)),""))</f>
      </c>
      <c r="G721" s="504">
        <f>IF(C721="","",IF(INDEX(잔액!$K:$K,MAX(64,C721))&lt;&gt;"",INDEX(잔액!$K:$K,MAX(64,C721)),INDEX(잔액!$D:$D,MAX(64,C721))))</f>
      </c>
      <c r="H721" s="504" t="inlineStr">
        <is>
          <t>원장</t>
        </is>
      </c>
      <c r="J721" s="504">
        <f>IFERROR(INDEX($C$100:$C$399,MATCH(B721,$A$100:$A$399,0)),"")</f>
        <v>0</v>
      </c>
      <c r="K721" s="524">
        <f>IFERROR(INDEX($D$100:$D$399,MATCH(B721,$A$100:$A$399,0)),"")</f>
      </c>
      <c r="L721" s="504">
        <f>IFERROR(INDEX($S$100:$S$399,MATCH(B721,$A$100:$A$399,0)),"")</f>
        <v>0</v>
      </c>
      <c r="M721" s="504">
        <f>IF(B721="","",IFERROR(IF(OR(AND(H721="기초반영",OR(B721="U001",B721="U002",B721="U003"),C721="",E721=DATE(2026,3,1)),AND(H721="원장",C721&gt;=64,C721&lt;=500,INDEX(잔액!$I:$I,MAX(64,C721))="OK",E721=INDEX(잔액!$A:$A,MAX(64,C721)),F721=INDEX(잔액!$C:$C,MAX(64,C721)),OR(F721=J721,F721="결제대금비",AND(B721="U008",C721=223,J721="경조사비",F721="명절비"),AND(B721="U008",C721=208,J721="경조사비",F721="임시보관",SUMIF($C$430:$C$729,C721,$D$430:$D$729)&lt;=39000)),OR(COUNTIF($A$8:$A$12,F721)=1,F721="결제대금비",AND(B721="U008",C721=208,J721="경조사비",F721="임시보관",SUMIF($C$430:$C$729,C721,$D$430:$D$729)&lt;=39000)),COUNTIF($A$8:$A$12,INDEX(잔액!$D:$D,MAX(64,C721)))=0,SUMIF($C$430:$C$729,C721,$D$430:$D$729)&lt;=INDEX(잔액!$Y:$Y,MAX(64,C721)))),1,0),0))</f>
      </c>
      <c r="N721" s="504">
        <f>IF(B721="","",IFERROR(IF(AND(COUNTIF($A$100:$A$399,B721)=1,INDEX($R$100:$R$399,MATCH(B721,$A$100:$A$399,0))="OK",D721&gt;0,ISNUMBER(E721),M721=1,SUMIF($B$430:$B$729,B721,$D$430:$D$729)&lt;=INDEX($E$100:$E$399,MATCH(B721,$A$100:$A$399,0))),"OK","확인: 정산연결"),"확인: 정산연결"))</f>
      </c>
      <c r="O721" s="526">
        <f>IF(N721="OK",D721,0)</f>
        <v>0</v>
      </c>
    </row>
    <row r="722" hidden="1" outlineLevel="1">
      <c r="A722" s="504">
        <f>IF(B722="","","S"&amp;ROW())</f>
      </c>
      <c r="B722" s="522" t="n"/>
      <c r="C722" s="522" t="n"/>
      <c r="D722" s="525">
        <f>IF(C722="","",IFERROR(INDEX(잔액!$Y:$Y,MAX(64,C722)),0))</f>
      </c>
      <c r="E722" s="524">
        <f>IF(C722="","",IFERROR(INDEX(잔액!$A:$A,MAX(64,C722)),""))</f>
      </c>
      <c r="F722" s="504">
        <f>IF(C722="","",IFERROR(INDEX(잔액!$C:$C,MAX(64,C722)),""))</f>
      </c>
      <c r="G722" s="504">
        <f>IF(C722="","",IF(INDEX(잔액!$K:$K,MAX(64,C722))&lt;&gt;"",INDEX(잔액!$K:$K,MAX(64,C722)),INDEX(잔액!$D:$D,MAX(64,C722))))</f>
      </c>
      <c r="H722" s="504" t="inlineStr">
        <is>
          <t>원장</t>
        </is>
      </c>
      <c r="J722" s="504">
        <f>IFERROR(INDEX($C$100:$C$399,MATCH(B722,$A$100:$A$399,0)),"")</f>
        <v>0</v>
      </c>
      <c r="K722" s="524">
        <f>IFERROR(INDEX($D$100:$D$399,MATCH(B722,$A$100:$A$399,0)),"")</f>
      </c>
      <c r="L722" s="504">
        <f>IFERROR(INDEX($S$100:$S$399,MATCH(B722,$A$100:$A$399,0)),"")</f>
        <v>0</v>
      </c>
      <c r="M722" s="504">
        <f>IF(B722="","",IFERROR(IF(OR(AND(H722="기초반영",OR(B722="U001",B722="U002",B722="U003"),C722="",E722=DATE(2026,3,1)),AND(H722="원장",C722&gt;=64,C722&lt;=500,INDEX(잔액!$I:$I,MAX(64,C722))="OK",E722=INDEX(잔액!$A:$A,MAX(64,C722)),F722=INDEX(잔액!$C:$C,MAX(64,C722)),OR(F722=J722,F722="결제대금비",AND(B722="U008",C722=223,J722="경조사비",F722="명절비"),AND(B722="U008",C722=208,J722="경조사비",F722="임시보관",SUMIF($C$430:$C$729,C722,$D$430:$D$729)&lt;=39000)),OR(COUNTIF($A$8:$A$12,F722)=1,F722="결제대금비",AND(B722="U008",C722=208,J722="경조사비",F722="임시보관",SUMIF($C$430:$C$729,C722,$D$430:$D$729)&lt;=39000)),COUNTIF($A$8:$A$12,INDEX(잔액!$D:$D,MAX(64,C722)))=0,SUMIF($C$430:$C$729,C722,$D$430:$D$729)&lt;=INDEX(잔액!$Y:$Y,MAX(64,C722)))),1,0),0))</f>
      </c>
      <c r="N722" s="504">
        <f>IF(B722="","",IFERROR(IF(AND(COUNTIF($A$100:$A$399,B722)=1,INDEX($R$100:$R$399,MATCH(B722,$A$100:$A$399,0))="OK",D722&gt;0,ISNUMBER(E722),M722=1,SUMIF($B$430:$B$729,B722,$D$430:$D$729)&lt;=INDEX($E$100:$E$399,MATCH(B722,$A$100:$A$399,0))),"OK","확인: 정산연결"),"확인: 정산연결"))</f>
      </c>
      <c r="O722" s="526">
        <f>IF(N722="OK",D722,0)</f>
        <v>0</v>
      </c>
    </row>
    <row r="723" hidden="1" outlineLevel="1">
      <c r="A723" s="504">
        <f>IF(B723="","","S"&amp;ROW())</f>
      </c>
      <c r="B723" s="522" t="n"/>
      <c r="C723" s="522" t="n"/>
      <c r="D723" s="525">
        <f>IF(C723="","",IFERROR(INDEX(잔액!$Y:$Y,MAX(64,C723)),0))</f>
      </c>
      <c r="E723" s="524">
        <f>IF(C723="","",IFERROR(INDEX(잔액!$A:$A,MAX(64,C723)),""))</f>
      </c>
      <c r="F723" s="504">
        <f>IF(C723="","",IFERROR(INDEX(잔액!$C:$C,MAX(64,C723)),""))</f>
      </c>
      <c r="G723" s="504">
        <f>IF(C723="","",IF(INDEX(잔액!$K:$K,MAX(64,C723))&lt;&gt;"",INDEX(잔액!$K:$K,MAX(64,C723)),INDEX(잔액!$D:$D,MAX(64,C723))))</f>
      </c>
      <c r="H723" s="504" t="inlineStr">
        <is>
          <t>원장</t>
        </is>
      </c>
      <c r="J723" s="504">
        <f>IFERROR(INDEX($C$100:$C$399,MATCH(B723,$A$100:$A$399,0)),"")</f>
        <v>0</v>
      </c>
      <c r="K723" s="524">
        <f>IFERROR(INDEX($D$100:$D$399,MATCH(B723,$A$100:$A$399,0)),"")</f>
      </c>
      <c r="L723" s="504">
        <f>IFERROR(INDEX($S$100:$S$399,MATCH(B723,$A$100:$A$399,0)),"")</f>
        <v>0</v>
      </c>
      <c r="M723" s="504">
        <f>IF(B723="","",IFERROR(IF(OR(AND(H723="기초반영",OR(B723="U001",B723="U002",B723="U003"),C723="",E723=DATE(2026,3,1)),AND(H723="원장",C723&gt;=64,C723&lt;=500,INDEX(잔액!$I:$I,MAX(64,C723))="OK",E723=INDEX(잔액!$A:$A,MAX(64,C723)),F723=INDEX(잔액!$C:$C,MAX(64,C723)),OR(F723=J723,F723="결제대금비",AND(B723="U008",C723=223,J723="경조사비",F723="명절비"),AND(B723="U008",C723=208,J723="경조사비",F723="임시보관",SUMIF($C$430:$C$729,C723,$D$430:$D$729)&lt;=39000)),OR(COUNTIF($A$8:$A$12,F723)=1,F723="결제대금비",AND(B723="U008",C723=208,J723="경조사비",F723="임시보관",SUMIF($C$430:$C$729,C723,$D$430:$D$729)&lt;=39000)),COUNTIF($A$8:$A$12,INDEX(잔액!$D:$D,MAX(64,C723)))=0,SUMIF($C$430:$C$729,C723,$D$430:$D$729)&lt;=INDEX(잔액!$Y:$Y,MAX(64,C723)))),1,0),0))</f>
      </c>
      <c r="N723" s="504">
        <f>IF(B723="","",IFERROR(IF(AND(COUNTIF($A$100:$A$399,B723)=1,INDEX($R$100:$R$399,MATCH(B723,$A$100:$A$399,0))="OK",D723&gt;0,ISNUMBER(E723),M723=1,SUMIF($B$430:$B$729,B723,$D$430:$D$729)&lt;=INDEX($E$100:$E$399,MATCH(B723,$A$100:$A$399,0))),"OK","확인: 정산연결"),"확인: 정산연결"))</f>
      </c>
      <c r="O723" s="526">
        <f>IF(N723="OK",D723,0)</f>
        <v>0</v>
      </c>
    </row>
    <row r="724" hidden="1" outlineLevel="1">
      <c r="A724" s="504">
        <f>IF(B724="","","S"&amp;ROW())</f>
      </c>
      <c r="B724" s="522" t="n"/>
      <c r="C724" s="522" t="n"/>
      <c r="D724" s="525">
        <f>IF(C724="","",IFERROR(INDEX(잔액!$Y:$Y,MAX(64,C724)),0))</f>
      </c>
      <c r="E724" s="524">
        <f>IF(C724="","",IFERROR(INDEX(잔액!$A:$A,MAX(64,C724)),""))</f>
      </c>
      <c r="F724" s="504">
        <f>IF(C724="","",IFERROR(INDEX(잔액!$C:$C,MAX(64,C724)),""))</f>
      </c>
      <c r="G724" s="504">
        <f>IF(C724="","",IF(INDEX(잔액!$K:$K,MAX(64,C724))&lt;&gt;"",INDEX(잔액!$K:$K,MAX(64,C724)),INDEX(잔액!$D:$D,MAX(64,C724))))</f>
      </c>
      <c r="H724" s="504" t="inlineStr">
        <is>
          <t>원장</t>
        </is>
      </c>
      <c r="J724" s="504">
        <f>IFERROR(INDEX($C$100:$C$399,MATCH(B724,$A$100:$A$399,0)),"")</f>
        <v>0</v>
      </c>
      <c r="K724" s="524">
        <f>IFERROR(INDEX($D$100:$D$399,MATCH(B724,$A$100:$A$399,0)),"")</f>
      </c>
      <c r="L724" s="504">
        <f>IFERROR(INDEX($S$100:$S$399,MATCH(B724,$A$100:$A$399,0)),"")</f>
        <v>0</v>
      </c>
      <c r="M724" s="504">
        <f>IF(B724="","",IFERROR(IF(OR(AND(H724="기초반영",OR(B724="U001",B724="U002",B724="U003"),C724="",E724=DATE(2026,3,1)),AND(H724="원장",C724&gt;=64,C724&lt;=500,INDEX(잔액!$I:$I,MAX(64,C724))="OK",E724=INDEX(잔액!$A:$A,MAX(64,C724)),F724=INDEX(잔액!$C:$C,MAX(64,C724)),OR(F724=J724,F724="결제대금비",AND(B724="U008",C724=223,J724="경조사비",F724="명절비"),AND(B724="U008",C724=208,J724="경조사비",F724="임시보관",SUMIF($C$430:$C$729,C724,$D$430:$D$729)&lt;=39000)),OR(COUNTIF($A$8:$A$12,F724)=1,F724="결제대금비",AND(B724="U008",C724=208,J724="경조사비",F724="임시보관",SUMIF($C$430:$C$729,C724,$D$430:$D$729)&lt;=39000)),COUNTIF($A$8:$A$12,INDEX(잔액!$D:$D,MAX(64,C724)))=0,SUMIF($C$430:$C$729,C724,$D$430:$D$729)&lt;=INDEX(잔액!$Y:$Y,MAX(64,C724)))),1,0),0))</f>
      </c>
      <c r="N724" s="504">
        <f>IF(B724="","",IFERROR(IF(AND(COUNTIF($A$100:$A$399,B724)=1,INDEX($R$100:$R$399,MATCH(B724,$A$100:$A$399,0))="OK",D724&gt;0,ISNUMBER(E724),M724=1,SUMIF($B$430:$B$729,B724,$D$430:$D$729)&lt;=INDEX($E$100:$E$399,MATCH(B724,$A$100:$A$399,0))),"OK","확인: 정산연결"),"확인: 정산연결"))</f>
      </c>
      <c r="O724" s="526">
        <f>IF(N724="OK",D724,0)</f>
        <v>0</v>
      </c>
    </row>
    <row r="725" hidden="1" outlineLevel="1">
      <c r="A725" s="504">
        <f>IF(B725="","","S"&amp;ROW())</f>
      </c>
      <c r="B725" s="522" t="n"/>
      <c r="C725" s="522" t="n"/>
      <c r="D725" s="525">
        <f>IF(C725="","",IFERROR(INDEX(잔액!$Y:$Y,MAX(64,C725)),0))</f>
      </c>
      <c r="E725" s="524">
        <f>IF(C725="","",IFERROR(INDEX(잔액!$A:$A,MAX(64,C725)),""))</f>
      </c>
      <c r="F725" s="504">
        <f>IF(C725="","",IFERROR(INDEX(잔액!$C:$C,MAX(64,C725)),""))</f>
      </c>
      <c r="G725" s="504">
        <f>IF(C725="","",IF(INDEX(잔액!$K:$K,MAX(64,C725))&lt;&gt;"",INDEX(잔액!$K:$K,MAX(64,C725)),INDEX(잔액!$D:$D,MAX(64,C725))))</f>
      </c>
      <c r="H725" s="504" t="inlineStr">
        <is>
          <t>원장</t>
        </is>
      </c>
      <c r="J725" s="504">
        <f>IFERROR(INDEX($C$100:$C$399,MATCH(B725,$A$100:$A$399,0)),"")</f>
        <v>0</v>
      </c>
      <c r="K725" s="524">
        <f>IFERROR(INDEX($D$100:$D$399,MATCH(B725,$A$100:$A$399,0)),"")</f>
      </c>
      <c r="L725" s="504">
        <f>IFERROR(INDEX($S$100:$S$399,MATCH(B725,$A$100:$A$399,0)),"")</f>
        <v>0</v>
      </c>
      <c r="M725" s="504">
        <f>IF(B725="","",IFERROR(IF(OR(AND(H725="기초반영",OR(B725="U001",B725="U002",B725="U003"),C725="",E725=DATE(2026,3,1)),AND(H725="원장",C725&gt;=64,C725&lt;=500,INDEX(잔액!$I:$I,MAX(64,C725))="OK",E725=INDEX(잔액!$A:$A,MAX(64,C725)),F725=INDEX(잔액!$C:$C,MAX(64,C725)),OR(F725=J725,F725="결제대금비",AND(B725="U008",C725=223,J725="경조사비",F725="명절비"),AND(B725="U008",C725=208,J725="경조사비",F725="임시보관",SUMIF($C$430:$C$729,C725,$D$430:$D$729)&lt;=39000)),OR(COUNTIF($A$8:$A$12,F725)=1,F725="결제대금비",AND(B725="U008",C725=208,J725="경조사비",F725="임시보관",SUMIF($C$430:$C$729,C725,$D$430:$D$729)&lt;=39000)),COUNTIF($A$8:$A$12,INDEX(잔액!$D:$D,MAX(64,C725)))=0,SUMIF($C$430:$C$729,C725,$D$430:$D$729)&lt;=INDEX(잔액!$Y:$Y,MAX(64,C725)))),1,0),0))</f>
      </c>
      <c r="N725" s="504">
        <f>IF(B725="","",IFERROR(IF(AND(COUNTIF($A$100:$A$399,B725)=1,INDEX($R$100:$R$399,MATCH(B725,$A$100:$A$399,0))="OK",D725&gt;0,ISNUMBER(E725),M725=1,SUMIF($B$430:$B$729,B725,$D$430:$D$729)&lt;=INDEX($E$100:$E$399,MATCH(B725,$A$100:$A$399,0))),"OK","확인: 정산연결"),"확인: 정산연결"))</f>
      </c>
      <c r="O725" s="526">
        <f>IF(N725="OK",D725,0)</f>
        <v>0</v>
      </c>
    </row>
    <row r="726" hidden="1" outlineLevel="1">
      <c r="A726" s="504">
        <f>IF(B726="","","S"&amp;ROW())</f>
      </c>
      <c r="B726" s="522" t="n"/>
      <c r="C726" s="522" t="n"/>
      <c r="D726" s="525">
        <f>IF(C726="","",IFERROR(INDEX(잔액!$Y:$Y,MAX(64,C726)),0))</f>
      </c>
      <c r="E726" s="524">
        <f>IF(C726="","",IFERROR(INDEX(잔액!$A:$A,MAX(64,C726)),""))</f>
      </c>
      <c r="F726" s="504">
        <f>IF(C726="","",IFERROR(INDEX(잔액!$C:$C,MAX(64,C726)),""))</f>
      </c>
      <c r="G726" s="504">
        <f>IF(C726="","",IF(INDEX(잔액!$K:$K,MAX(64,C726))&lt;&gt;"",INDEX(잔액!$K:$K,MAX(64,C726)),INDEX(잔액!$D:$D,MAX(64,C726))))</f>
      </c>
      <c r="H726" s="504" t="inlineStr">
        <is>
          <t>원장</t>
        </is>
      </c>
      <c r="J726" s="504">
        <f>IFERROR(INDEX($C$100:$C$399,MATCH(B726,$A$100:$A$399,0)),"")</f>
        <v>0</v>
      </c>
      <c r="K726" s="524">
        <f>IFERROR(INDEX($D$100:$D$399,MATCH(B726,$A$100:$A$399,0)),"")</f>
      </c>
      <c r="L726" s="504">
        <f>IFERROR(INDEX($S$100:$S$399,MATCH(B726,$A$100:$A$399,0)),"")</f>
        <v>0</v>
      </c>
      <c r="M726" s="504">
        <f>IF(B726="","",IFERROR(IF(OR(AND(H726="기초반영",OR(B726="U001",B726="U002",B726="U003"),C726="",E726=DATE(2026,3,1)),AND(H726="원장",C726&gt;=64,C726&lt;=500,INDEX(잔액!$I:$I,MAX(64,C726))="OK",E726=INDEX(잔액!$A:$A,MAX(64,C726)),F726=INDEX(잔액!$C:$C,MAX(64,C726)),OR(F726=J726,F726="결제대금비",AND(B726="U008",C726=223,J726="경조사비",F726="명절비"),AND(B726="U008",C726=208,J726="경조사비",F726="임시보관",SUMIF($C$430:$C$729,C726,$D$430:$D$729)&lt;=39000)),OR(COUNTIF($A$8:$A$12,F726)=1,F726="결제대금비",AND(B726="U008",C726=208,J726="경조사비",F726="임시보관",SUMIF($C$430:$C$729,C726,$D$430:$D$729)&lt;=39000)),COUNTIF($A$8:$A$12,INDEX(잔액!$D:$D,MAX(64,C726)))=0,SUMIF($C$430:$C$729,C726,$D$430:$D$729)&lt;=INDEX(잔액!$Y:$Y,MAX(64,C726)))),1,0),0))</f>
      </c>
      <c r="N726" s="504">
        <f>IF(B726="","",IFERROR(IF(AND(COUNTIF($A$100:$A$399,B726)=1,INDEX($R$100:$R$399,MATCH(B726,$A$100:$A$399,0))="OK",D726&gt;0,ISNUMBER(E726),M726=1,SUMIF($B$430:$B$729,B726,$D$430:$D$729)&lt;=INDEX($E$100:$E$399,MATCH(B726,$A$100:$A$399,0))),"OK","확인: 정산연결"),"확인: 정산연결"))</f>
      </c>
      <c r="O726" s="526">
        <f>IF(N726="OK",D726,0)</f>
        <v>0</v>
      </c>
    </row>
    <row r="727" hidden="1" outlineLevel="1">
      <c r="A727" s="504">
        <f>IF(B727="","","S"&amp;ROW())</f>
      </c>
      <c r="B727" s="522" t="n"/>
      <c r="C727" s="522" t="n"/>
      <c r="D727" s="525">
        <f>IF(C727="","",IFERROR(INDEX(잔액!$Y:$Y,MAX(64,C727)),0))</f>
      </c>
      <c r="E727" s="524">
        <f>IF(C727="","",IFERROR(INDEX(잔액!$A:$A,MAX(64,C727)),""))</f>
      </c>
      <c r="F727" s="504">
        <f>IF(C727="","",IFERROR(INDEX(잔액!$C:$C,MAX(64,C727)),""))</f>
      </c>
      <c r="G727" s="504">
        <f>IF(C727="","",IF(INDEX(잔액!$K:$K,MAX(64,C727))&lt;&gt;"",INDEX(잔액!$K:$K,MAX(64,C727)),INDEX(잔액!$D:$D,MAX(64,C727))))</f>
      </c>
      <c r="H727" s="504" t="inlineStr">
        <is>
          <t>원장</t>
        </is>
      </c>
      <c r="J727" s="504">
        <f>IFERROR(INDEX($C$100:$C$399,MATCH(B727,$A$100:$A$399,0)),"")</f>
        <v>0</v>
      </c>
      <c r="K727" s="524">
        <f>IFERROR(INDEX($D$100:$D$399,MATCH(B727,$A$100:$A$399,0)),"")</f>
      </c>
      <c r="L727" s="504">
        <f>IFERROR(INDEX($S$100:$S$399,MATCH(B727,$A$100:$A$399,0)),"")</f>
        <v>0</v>
      </c>
      <c r="M727" s="504">
        <f>IF(B727="","",IFERROR(IF(OR(AND(H727="기초반영",OR(B727="U001",B727="U002",B727="U003"),C727="",E727=DATE(2026,3,1)),AND(H727="원장",C727&gt;=64,C727&lt;=500,INDEX(잔액!$I:$I,MAX(64,C727))="OK",E727=INDEX(잔액!$A:$A,MAX(64,C727)),F727=INDEX(잔액!$C:$C,MAX(64,C727)),OR(F727=J727,F727="결제대금비",AND(B727="U008",C727=223,J727="경조사비",F727="명절비"),AND(B727="U008",C727=208,J727="경조사비",F727="임시보관",SUMIF($C$430:$C$729,C727,$D$430:$D$729)&lt;=39000)),OR(COUNTIF($A$8:$A$12,F727)=1,F727="결제대금비",AND(B727="U008",C727=208,J727="경조사비",F727="임시보관",SUMIF($C$430:$C$729,C727,$D$430:$D$729)&lt;=39000)),COUNTIF($A$8:$A$12,INDEX(잔액!$D:$D,MAX(64,C727)))=0,SUMIF($C$430:$C$729,C727,$D$430:$D$729)&lt;=INDEX(잔액!$Y:$Y,MAX(64,C727)))),1,0),0))</f>
      </c>
      <c r="N727" s="504">
        <f>IF(B727="","",IFERROR(IF(AND(COUNTIF($A$100:$A$399,B727)=1,INDEX($R$100:$R$399,MATCH(B727,$A$100:$A$399,0))="OK",D727&gt;0,ISNUMBER(E727),M727=1,SUMIF($B$430:$B$729,B727,$D$430:$D$729)&lt;=INDEX($E$100:$E$399,MATCH(B727,$A$100:$A$399,0))),"OK","확인: 정산연결"),"확인: 정산연결"))</f>
      </c>
      <c r="O727" s="526">
        <f>IF(N727="OK",D727,0)</f>
        <v>0</v>
      </c>
    </row>
    <row r="728" hidden="1" outlineLevel="1">
      <c r="A728" s="504">
        <f>IF(B728="","","S"&amp;ROW())</f>
      </c>
      <c r="B728" s="522" t="n"/>
      <c r="C728" s="522" t="n"/>
      <c r="D728" s="525">
        <f>IF(C728="","",IFERROR(INDEX(잔액!$Y:$Y,MAX(64,C728)),0))</f>
      </c>
      <c r="E728" s="524">
        <f>IF(C728="","",IFERROR(INDEX(잔액!$A:$A,MAX(64,C728)),""))</f>
      </c>
      <c r="F728" s="504">
        <f>IF(C728="","",IFERROR(INDEX(잔액!$C:$C,MAX(64,C728)),""))</f>
      </c>
      <c r="G728" s="504">
        <f>IF(C728="","",IF(INDEX(잔액!$K:$K,MAX(64,C728))&lt;&gt;"",INDEX(잔액!$K:$K,MAX(64,C728)),INDEX(잔액!$D:$D,MAX(64,C728))))</f>
      </c>
      <c r="H728" s="504" t="inlineStr">
        <is>
          <t>원장</t>
        </is>
      </c>
      <c r="J728" s="504">
        <f>IFERROR(INDEX($C$100:$C$399,MATCH(B728,$A$100:$A$399,0)),"")</f>
        <v>0</v>
      </c>
      <c r="K728" s="524">
        <f>IFERROR(INDEX($D$100:$D$399,MATCH(B728,$A$100:$A$399,0)),"")</f>
      </c>
      <c r="L728" s="504">
        <f>IFERROR(INDEX($S$100:$S$399,MATCH(B728,$A$100:$A$399,0)),"")</f>
        <v>0</v>
      </c>
      <c r="M728" s="504">
        <f>IF(B728="","",IFERROR(IF(OR(AND(H728="기초반영",OR(B728="U001",B728="U002",B728="U003"),C728="",E728=DATE(2026,3,1)),AND(H728="원장",C728&gt;=64,C728&lt;=500,INDEX(잔액!$I:$I,MAX(64,C728))="OK",E728=INDEX(잔액!$A:$A,MAX(64,C728)),F728=INDEX(잔액!$C:$C,MAX(64,C728)),OR(F728=J728,F728="결제대금비",AND(B728="U008",C728=223,J728="경조사비",F728="명절비"),AND(B728="U008",C728=208,J728="경조사비",F728="임시보관",SUMIF($C$430:$C$729,C728,$D$430:$D$729)&lt;=39000)),OR(COUNTIF($A$8:$A$12,F728)=1,F728="결제대금비",AND(B728="U008",C728=208,J728="경조사비",F728="임시보관",SUMIF($C$430:$C$729,C728,$D$430:$D$729)&lt;=39000)),COUNTIF($A$8:$A$12,INDEX(잔액!$D:$D,MAX(64,C728)))=0,SUMIF($C$430:$C$729,C728,$D$430:$D$729)&lt;=INDEX(잔액!$Y:$Y,MAX(64,C728)))),1,0),0))</f>
      </c>
      <c r="N728" s="504">
        <f>IF(B728="","",IFERROR(IF(AND(COUNTIF($A$100:$A$399,B728)=1,INDEX($R$100:$R$399,MATCH(B728,$A$100:$A$399,0))="OK",D728&gt;0,ISNUMBER(E728),M728=1,SUMIF($B$430:$B$729,B728,$D$430:$D$729)&lt;=INDEX($E$100:$E$399,MATCH(B728,$A$100:$A$399,0))),"OK","확인: 정산연결"),"확인: 정산연결"))</f>
      </c>
      <c r="O728" s="526">
        <f>IF(N728="OK",D728,0)</f>
        <v>0</v>
      </c>
    </row>
    <row r="729" hidden="1" outlineLevel="1">
      <c r="A729" s="504">
        <f>IF(B729="","","S"&amp;ROW())</f>
      </c>
      <c r="B729" s="522" t="n"/>
      <c r="C729" s="522" t="n"/>
      <c r="D729" s="525">
        <f>IF(C729="","",IFERROR(INDEX(잔액!$Y:$Y,MAX(64,C729)),0))</f>
      </c>
      <c r="E729" s="524">
        <f>IF(C729="","",IFERROR(INDEX(잔액!$A:$A,MAX(64,C729)),""))</f>
      </c>
      <c r="F729" s="504">
        <f>IF(C729="","",IFERROR(INDEX(잔액!$C:$C,MAX(64,C729)),""))</f>
      </c>
      <c r="G729" s="504">
        <f>IF(C729="","",IF(INDEX(잔액!$K:$K,MAX(64,C729))&lt;&gt;"",INDEX(잔액!$K:$K,MAX(64,C729)),INDEX(잔액!$D:$D,MAX(64,C729))))</f>
      </c>
      <c r="H729" s="504" t="inlineStr">
        <is>
          <t>원장</t>
        </is>
      </c>
      <c r="J729" s="504">
        <f>IFERROR(INDEX($C$100:$C$399,MATCH(B729,$A$100:$A$399,0)),"")</f>
        <v>0</v>
      </c>
      <c r="K729" s="524">
        <f>IFERROR(INDEX($D$100:$D$399,MATCH(B729,$A$100:$A$399,0)),"")</f>
      </c>
      <c r="L729" s="504">
        <f>IFERROR(INDEX($S$100:$S$399,MATCH(B729,$A$100:$A$399,0)),"")</f>
        <v>0</v>
      </c>
      <c r="M729" s="504">
        <f>IF(B729="","",IFERROR(IF(OR(AND(H729="기초반영",OR(B729="U001",B729="U002",B729="U003"),C729="",E729=DATE(2026,3,1)),AND(H729="원장",C729&gt;=64,C729&lt;=500,INDEX(잔액!$I:$I,MAX(64,C729))="OK",E729=INDEX(잔액!$A:$A,MAX(64,C729)),F729=INDEX(잔액!$C:$C,MAX(64,C729)),OR(F729=J729,F729="결제대금비",AND(B729="U008",C729=223,J729="경조사비",F729="명절비"),AND(B729="U008",C729=208,J729="경조사비",F729="임시보관",SUMIF($C$430:$C$729,C729,$D$430:$D$729)&lt;=39000)),OR(COUNTIF($A$8:$A$12,F729)=1,F729="결제대금비",AND(B729="U008",C729=208,J729="경조사비",F729="임시보관",SUMIF($C$430:$C$729,C729,$D$430:$D$729)&lt;=39000)),COUNTIF($A$8:$A$12,INDEX(잔액!$D:$D,MAX(64,C729)))=0,SUMIF($C$430:$C$729,C729,$D$430:$D$729)&lt;=INDEX(잔액!$Y:$Y,MAX(64,C729)))),1,0),0))</f>
      </c>
      <c r="N729" s="504">
        <f>IF(B729="","",IFERROR(IF(AND(COUNTIF($A$100:$A$399,B729)=1,INDEX($R$100:$R$399,MATCH(B729,$A$100:$A$399,0))="OK",D729&gt;0,ISNUMBER(E729),M729=1,SUMIF($B$430:$B$729,B729,$D$430:$D$729)&lt;=INDEX($E$100:$E$399,MATCH(B729,$A$100:$A$399,0))),"OK","확인: 정산연결"),"확인: 정산연결"))</f>
      </c>
      <c r="O729" s="526">
        <f>IF(N729="OK",D729,0)</f>
        <v>0</v>
      </c>
    </row>
    <row r="730">
      <c r="A730" s="502" t="str">
        <f>HYPERLINK("#'예비비'!A1","현황으로 돌아가기 ↑")</f>
        <v>현황으로 돌아가기 ↑</v>
      </c>
      <c r="B730" s="503" t="n"/>
      <c r="C730" s="503" t="n"/>
      <c r="D730" s="503" t="n"/>
      <c r="E730" s="503" t="n"/>
      <c r="F730" s="503" t="n"/>
      <c r="G730" s="503" t="n"/>
      <c r="H730" s="503" t="n"/>
      <c r="I730" s="503" t="n"/>
      <c r="J730" s="503" t="n"/>
      <c r="K730" s="503" t="n"/>
      <c r="L730" s="503" t="n"/>
      <c r="M730" s="503" t="n"/>
      <c r="N730" s="503" t="n"/>
      <c r="O730" s="503" t="n"/>
    </row>
  </sheetData>
  <mergeCells count="198">
    <mergeCell ref="A79:O79"/>
    <mergeCell ref="D70:E70"/>
    <mergeCell ref="A76:O76"/>
    <mergeCell ref="M50:O50"/>
    <mergeCell ref="K45:L45"/>
    <mergeCell ref="M51:O51"/>
    <mergeCell ref="B71:C71"/>
    <mergeCell ref="A42:O42"/>
    <mergeCell ref="D71:E71"/>
    <mergeCell ref="F71:H71"/>
    <mergeCell ref="I68:J68"/>
    <mergeCell ref="K68:L68"/>
    <mergeCell ref="K62:L62"/>
    <mergeCell ref="B48:C48"/>
    <mergeCell ref="E45"/>
    <mergeCell ref="I52:J52"/>
    <mergeCell ref="K52:L52"/>
    <mergeCell ref="M63:O63"/>
    <mergeCell ref="D72:E72"/>
    <mergeCell ref="B50:C50"/>
    <mergeCell ref="I62:J62"/>
    <mergeCell ref="D66:E66"/>
    <mergeCell ref="I54:J54"/>
    <mergeCell ref="A15:O15"/>
    <mergeCell ref="B65:C65"/>
    <mergeCell ref="K63:L63"/>
    <mergeCell ref="F45"/>
    <mergeCell ref="M65:O65"/>
    <mergeCell ref="B61:C61"/>
    <mergeCell ref="M62:O62"/>
    <mergeCell ref="D61:E61"/>
    <mergeCell ref="M49:O49"/>
    <mergeCell ref="K47:L47"/>
    <mergeCell ref="B51:C51"/>
    <mergeCell ref="B73:C73"/>
    <mergeCell ref="B45:C45"/>
    <mergeCell ref="F61:H61"/>
    <mergeCell ref="I56:J56"/>
    <mergeCell ref="I71:J71"/>
    <mergeCell ref="A18:O18"/>
    <mergeCell ref="K65:L65"/>
    <mergeCell ref="I67:J67"/>
    <mergeCell ref="M47:O47"/>
    <mergeCell ref="K61:L61"/>
    <mergeCell ref="A2:O2"/>
    <mergeCell ref="I64:J64"/>
    <mergeCell ref="H45"/>
    <mergeCell ref="A16:H16"/>
    <mergeCell ref="I51:J51"/>
    <mergeCell ref="K73:L73"/>
    <mergeCell ref="K51:L51"/>
    <mergeCell ref="A61"/>
    <mergeCell ref="M67:O67"/>
    <mergeCell ref="D3:O3"/>
    <mergeCell ref="B63:C63"/>
    <mergeCell ref="I66:J66"/>
    <mergeCell ref="D63:E63"/>
    <mergeCell ref="K66:L66"/>
    <mergeCell ref="I53:J53"/>
    <mergeCell ref="M48:O48"/>
    <mergeCell ref="K53:L53"/>
    <mergeCell ref="B47:C47"/>
    <mergeCell ref="M66:O66"/>
    <mergeCell ref="M53:O53"/>
    <mergeCell ref="M68:O68"/>
    <mergeCell ref="A58:O58"/>
    <mergeCell ref="A30:O30"/>
    <mergeCell ref="I45:J45"/>
    <mergeCell ref="A98:O98"/>
    <mergeCell ref="I69:J69"/>
    <mergeCell ref="M45:O45"/>
    <mergeCell ref="F69:H69"/>
    <mergeCell ref="I70:J70"/>
    <mergeCell ref="F65:H65"/>
    <mergeCell ref="B64:C64"/>
    <mergeCell ref="A45"/>
    <mergeCell ref="D73:E73"/>
    <mergeCell ref="I55:J55"/>
    <mergeCell ref="K55:L55"/>
    <mergeCell ref="B66:C66"/>
    <mergeCell ref="K64:L64"/>
    <mergeCell ref="B53:C53"/>
    <mergeCell ref="B68:C68"/>
    <mergeCell ref="K70:L70"/>
    <mergeCell ref="B62:C62"/>
    <mergeCell ref="D45"/>
    <mergeCell ref="M56:O56"/>
    <mergeCell ref="I57:J57"/>
    <mergeCell ref="D62:E62"/>
    <mergeCell ref="M52:O52"/>
    <mergeCell ref="K57:L57"/>
    <mergeCell ref="B52:C52"/>
    <mergeCell ref="K54:L54"/>
    <mergeCell ref="F68:H68"/>
    <mergeCell ref="I47:J47"/>
    <mergeCell ref="B70:C70"/>
    <mergeCell ref="F62:H62"/>
    <mergeCell ref="K56:L56"/>
    <mergeCell ref="M71:O71"/>
    <mergeCell ref="K50:L50"/>
    <mergeCell ref="B67:C67"/>
    <mergeCell ref="M72:O72"/>
    <mergeCell ref="B54:C54"/>
    <mergeCell ref="F70:H70"/>
    <mergeCell ref="I72:J72"/>
    <mergeCell ref="F67:H67"/>
    <mergeCell ref="A78:O78"/>
    <mergeCell ref="A400:O400"/>
    <mergeCell ref="D60:O60"/>
    <mergeCell ref="F63:H63"/>
    <mergeCell ref="F73:H73"/>
    <mergeCell ref="D44:O44"/>
    <mergeCell ref="M54:O54"/>
    <mergeCell ref="M69:O69"/>
    <mergeCell ref="I61:J61"/>
    <mergeCell ref="D65:E65"/>
    <mergeCell ref="B55:C55"/>
    <mergeCell ref="I73:J73"/>
    <mergeCell ref="A1:O1"/>
    <mergeCell ref="K67:L67"/>
    <mergeCell ref="D64:E64"/>
    <mergeCell ref="M61:O61"/>
    <mergeCell ref="M70:O70"/>
    <mergeCell ref="B57:C57"/>
    <mergeCell ref="B72:C72"/>
    <mergeCell ref="A75:O75"/>
    <mergeCell ref="M64:O64"/>
    <mergeCell ref="G45"/>
    <mergeCell ref="B69:C69"/>
    <mergeCell ref="B56:C56"/>
    <mergeCell ref="I46:J46"/>
    <mergeCell ref="F72:H72"/>
    <mergeCell ref="K46:L46"/>
    <mergeCell ref="B49:C49"/>
    <mergeCell ref="A428:O428"/>
    <mergeCell ref="M46:O46"/>
    <mergeCell ref="D67:E67"/>
    <mergeCell ref="A14:O14"/>
    <mergeCell ref="M55:O55"/>
    <mergeCell ref="F66:H66"/>
    <mergeCell ref="I63:J63"/>
    <mergeCell ref="A4:O4"/>
    <mergeCell ref="M57:O57"/>
    <mergeCell ref="K69:L69"/>
    <mergeCell ref="M73:O73"/>
    <mergeCell ref="D43:O43"/>
    <mergeCell ref="I65:J65"/>
    <mergeCell ref="A730:O730"/>
    <mergeCell ref="I49:J49"/>
    <mergeCell ref="I16:O16"/>
    <mergeCell ref="D68:E68"/>
    <mergeCell ref="K49:L49"/>
    <mergeCell ref="K71:L71"/>
    <mergeCell ref="F64:H64"/>
    <mergeCell ref="I48:J48"/>
    <mergeCell ref="K48:L48"/>
    <mergeCell ref="B46:C46"/>
    <mergeCell ref="A6:O6"/>
    <mergeCell ref="K72:L72"/>
    <mergeCell ref="I50:J50"/>
    <mergeCell ref="D69:E69"/>
    <mergeCell ref="A7:B7"/>
    <mergeCell ref="C7:E7"/>
    <mergeCell ref="F7:H7"/>
    <mergeCell ref="I7:O7"/>
    <mergeCell ref="A8:B8"/>
    <mergeCell ref="C8:E8"/>
    <mergeCell ref="F8:H8"/>
    <mergeCell ref="I8:O8"/>
    <mergeCell ref="A9:B9"/>
    <mergeCell ref="C9:E9"/>
    <mergeCell ref="F9:H9"/>
    <mergeCell ref="I9:O9"/>
    <mergeCell ref="A10:B10"/>
    <mergeCell ref="C10:E10"/>
    <mergeCell ref="F10:H10"/>
    <mergeCell ref="I10:O10"/>
    <mergeCell ref="A11:B11"/>
    <mergeCell ref="C11:E11"/>
    <mergeCell ref="F11:H11"/>
    <mergeCell ref="I11:O11"/>
    <mergeCell ref="A12:B12"/>
    <mergeCell ref="C12:E12"/>
    <mergeCell ref="F12:H12"/>
    <mergeCell ref="I12:O12"/>
    <mergeCell ref="A13:B13"/>
    <mergeCell ref="C13:E13"/>
    <mergeCell ref="F13:H13"/>
    <mergeCell ref="I13:O13"/>
    <mergeCell ref="A32:O32"/>
    <mergeCell ref="A33:C33"/>
    <mergeCell ref="A34:C34"/>
    <mergeCell ref="A35:C35"/>
    <mergeCell ref="A36:C36"/>
    <mergeCell ref="A37:C37"/>
    <mergeCell ref="A38:C38"/>
    <mergeCell ref="A39:C39"/>
    <mergeCell ref="A40:O40"/>
  </mergeCells>
  <dataValidations count="11">
    <dataValidation sqref="B3" showDropDown="0" showInputMessage="1" showErrorMessage="1" allowBlank="1" errorTitle="입력 확인" error="목록 또는 허용 범위의 값을 입력하세요." type="list" errorStyle="stop">
      <formula1>$AD$1:$AD$12</formula1>
    </dataValidation>
    <dataValidation sqref="B43" showDropDown="0" showInputMessage="1" showErrorMessage="1" allowBlank="1" errorTitle="입력 확인" error="목록 또는 허용 범위의 값을 입력하세요." type="list" errorStyle="stop">
      <formula1>"조회월,미정산,전체"</formula1>
    </dataValidation>
    <dataValidation sqref="B44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B60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C100:C399" showDropDown="0" showInputMessage="1" showErrorMessage="1" allowBlank="1" errorTitle="입력 확인" error="목록 또는 허용 범위의 값을 입력하세요." type="list" errorStyle="stop">
      <formula1>"생활비,명절비,여행비,경조사비,상환비,예비비"</formula1>
    </dataValidation>
    <dataValidation sqref="F100:F399" showDropDown="0" showInputMessage="1" showErrorMessage="1" allowBlank="1" errorTitle="입력 확인" error="목록 또는 허용 범위의 값을 입력하세요." type="whole" errorStyle="stop">
      <formula1>2</formula1>
      <formula2>100000</formula2>
    </dataValidation>
    <dataValidation sqref="E100:E399" showDropDown="0" showInputMessage="1" showErrorMessage="1" allowBlank="1" errorTitle="입력 확인" error="목록 또는 허용 범위의 값을 입력하세요." type="whole" errorStyle="stop">
      <formula1>0</formula1>
      <formula2>1000000000</formula2>
    </dataValidation>
    <dataValidation sqref="B430:B729" showDropDown="0" showInputMessage="1" showErrorMessage="1" allowBlank="1" errorTitle="입력 확인" error="목록 또는 허용 범위의 값을 입력하세요." type="list" errorStyle="stop">
      <formula1>$A$100:$A$399</formula1>
    </dataValidation>
    <dataValidation sqref="C430:C729" showDropDown="0" showInputMessage="1" showErrorMessage="1" allowBlank="1" errorTitle="입력 확인" error="목록 또는 허용 범위의 값을 입력하세요." type="whole" errorStyle="stop">
      <formula1>64</formula1>
      <formula2>500</formula2>
    </dataValidation>
    <dataValidation sqref="D430:D729" showDropDown="0" showInputMessage="1" showErrorMessage="1" allowBlank="1" errorTitle="입력 확인" error="목록 또는 허용 범위의 값을 입력하세요." type="whole" errorStyle="stop">
      <formula1>1</formula1>
      <formula2>1000000000</formula2>
    </dataValidation>
    <dataValidation type="whole" operator="between" sqref="D34:O38" allowBlank="1" showInputMessage="1" showErrorMessage="1" errorStyle="stop" promptTitle="선택월 사용계획" prompt="해당 월에 쓸 예정 금액을 입력하세요. 미정이면 비워두세요." errorTitle="금액 확인" error="0 이상 1,000,000,000 이하 정수를 입력하세요.">
      <formula1>0</formula1>
      <formula2>1000000000</formula2>
    </dataValidation>
  </dataValidations>
  <printOptions horizontalCentered="1"/>
  <pageMargins left="0.75" right="0.75" top="1" bottom="1" header="0.5" footer="0.5"/>
  <pageSetup orientation="landscape" paperSize="8" fitToHeight="2" fitToWidth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outlinePr summaryBelow="1" showOutlineSymbols="1"/>
    <pageSetUpPr fitToPage="1"/>
  </sheetPr>
  <dimension ref="A1:AC525"/>
  <sheetViews>
    <sheetView showGridLines="0" tabSelected="1" zoomScale="85" zoomScaleNormal="85" workbookViewId="0" showOutlineSymbols="1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  <col min="26" max="29" width="18" hidden="1" customWidth="1"/>
  </cols>
  <sheetData>
    <row r="1" spans="1:12" ht="30" customHeight="1">
      <c r="A1" s="348" t="s">
        <v>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9">
        <v>46296</v>
      </c>
      <c r="C3" s="12"/>
      <c r="D3" s="355" t="inlineStr">
        <is>
          <t xml:space="preserve">2026-10-18 기준 · WRAP RAW 15건 연결. 카카오페이 충전 15,700원 1회 차감. 카드 사용·타계좌 결제는 WRAP 중복 제외.</t>
        </is>
      </c>
      <c r="E3" s="345"/>
      <c r="F3" s="345"/>
      <c r="G3" s="345"/>
      <c r="H3" s="345"/>
      <c r="I3" s="345"/>
      <c r="J3" s="345"/>
      <c r="K3" s="345"/>
    </row>
    <row r="4" spans="1:12" ht="30" customHeight="1">
      <c r="A4" s="356" t="s">
        <v>3</v>
      </c>
      <c r="B4" s="345"/>
      <c r="C4" s="345"/>
      <c r="D4" s="345"/>
      <c r="E4" s="345"/>
      <c r="F4" s="345"/>
      <c r="G4" s="345"/>
      <c r="H4" s="345"/>
      <c r="I4" s="345"/>
      <c r="J4" s="345"/>
      <c r="K4" s="345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4</v>
      </c>
      <c r="B6" s="30" t="s">
        <v>5</v>
      </c>
      <c r="C6" s="30" t="s">
        <v>6</v>
      </c>
      <c r="D6" s="30" t="s">
        <v>7</v>
      </c>
      <c r="E6" s="30" t="inlineStr">
        <is>
          <t xml:space="preserve">이체·분류 보냄</t>
        </is>
      </c>
      <c r="F6" s="30" t="inlineStr">
        <is>
          <t xml:space="preserve">이체·분류 받음</t>
        </is>
      </c>
      <c r="G6" s="30" t="s">
        <v>10</v>
      </c>
      <c r="H6" s="30" t="s">
        <v>11</v>
      </c>
      <c r="I6" s="30" t="s">
        <v>12</v>
      </c>
      <c r="J6" s="30" t="s">
        <v>13</v>
      </c>
      <c r="K6" s="30" t="s">
        <v>14</v>
      </c>
      <c r="L6" s="86"/>
    </row>
    <row r="7" spans="1:12" ht="24" customHeight="1">
      <c r="A7" s="29" t="s">
        <v>15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9092</v>
      </c>
      <c r="D7" s="28">
        <f t="shared" ref="D7:D15" si="2">SUMIFS($Y$64:$Y$500,$C$64:$C$500,$A7,$H$64:$H$500,$B$3,$B$64:$B$500,"사용")+SUMIFS($Y$64:$Y$500,$C$64:$C$500,$A7,$H$64:$H$500,$B$3,$B$64:$B$500,"출금")</f>
        <v>11900</v>
      </c>
      <c r="E7" s="28">
        <f t="shared" ref="E7:E15" si="3">SUMIFS($Y$64:$Y$500,$C$64:$C$500,$A7,$H$64:$H$500,$B$3)-D7</f>
        <v>2553539</v>
      </c>
      <c r="F7" s="28">
        <f t="shared" ref="F7:F15" si="4">SUMIFS($Y$64:$Y$500,$D$64:$D$500,$A7,$H$64:$H$500,$B$3)-C7</f>
        <v>687510</v>
      </c>
      <c r="G7" s="28">
        <f t="shared" ref="G7:G15" si="5">B7+C7-D7-E7+F7</f>
        <v>4519766</v>
      </c>
      <c r="H7" s="86"/>
      <c r="I7" s="86"/>
      <c r="J7" s="86"/>
      <c r="K7" s="86"/>
      <c r="L7" s="86"/>
    </row>
    <row r="8" spans="1:12" ht="24" customHeight="1">
      <c r="A8" s="29" t="s">
        <v>16</v>
      </c>
      <c r="B8" s="28">
        <f>(SUMIFS($Y$64:$Y$500,$D$64:$D$500,$A8,$A$64:$A$500,"&lt;"&amp;$B$3)-SUMIFS($Y$64:$Y$500,$C$64:$C$500,$A8,$A$64:$A$500,"&lt;"&amp;$B$3))-IFERROR(INDEX('_예비비계산'!$BI$81:$BU$86,MATCH($A8,'_예비비계산'!$BH$81:$BH$86,0),MONTH($B$3)),0)</f>
        <v>0</v>
      </c>
      <c r="C8" s="28">
        <f t="shared" si="1"/>
        <v>0</v>
      </c>
      <c r="D8" s="28">
        <f t="shared" si="2"/>
        <v>0</v>
      </c>
      <c r="E8" s="28">
        <f>(SUMIFS($Y$64:$Y$500,$C$64:$C$500,$A8,$H$64:$H$500,$B$3)-D8)+MAX(IFERROR(INDEX('_예비비계산'!$BI$81:$BU$86,MATCH($A8,'_예비비계산'!$BH$81:$BH$86,0),MONTH($B$3)+1),0)-IFERROR(INDEX('_예비비계산'!$BI$81:$BU$86,MATCH($A8,'_예비비계산'!$BH$81:$BH$86,0),MONTH($B$3)),0),0)</f>
        <v>0</v>
      </c>
      <c r="F8" s="28">
        <f>(SUMIFS($Y$64:$Y$500,$D$64:$D$500,$A8,$H$64:$H$500,$B$3)-C8)+MAX(IFERROR(INDEX('_예비비계산'!$BI$81:$BU$86,MATCH($A8,'_예비비계산'!$BH$81:$BH$86,0),MONTH($B$3)),0)-IFERROR(INDEX('_예비비계산'!$BI$81:$BU$86,MATCH($A8,'_예비비계산'!$BH$81:$BH$86,0),MONTH($B$3)+1),0),0)</f>
        <v>0</v>
      </c>
      <c r="G8" s="28">
        <f t="shared" si="5"/>
        <v>0</v>
      </c>
      <c r="H8" s="28">
        <f>IFERROR(INDEX('_예비비계산'!$G$45:$T$45,1,MATCH($B$3,'_예비비계산'!$G$4:$T$4,0)),0)</f>
        <v>0</v>
      </c>
      <c r="I8" s="28">
        <f>IFERROR(INDEX('_예비비계산'!$G$47:$T$47,1,MATCH($B$3,'_예비비계산'!$G$4:$T$4,0)),0)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17</v>
      </c>
      <c r="B9" s="28">
        <f>(SUMIFS($Y$64:$Y$500,$D$64:$D$500,$A9,$A$64:$A$500,"&lt;"&amp;$B$3)-SUMIFS($Y$64:$Y$500,$C$64:$C$500,$A9,$A$64:$A$500,"&lt;"&amp;$B$3))-IFERROR(INDEX('_예비비계산'!$BI$81:$BU$86,MATCH($A9,'_예비비계산'!$BH$81:$BH$86,0),MONTH($B$3)),0)</f>
        <v>1400000</v>
      </c>
      <c r="C9" s="28">
        <f t="shared" si="1"/>
        <v>0</v>
      </c>
      <c r="D9" s="28">
        <f t="shared" si="2"/>
        <v>0</v>
      </c>
      <c r="E9" s="28">
        <f>(SUMIFS($Y$64:$Y$500,$C$64:$C$500,$A9,$H$64:$H$500,$B$3)-D9)+MAX(IFERROR(INDEX('_예비비계산'!$BI$81:$BU$86,MATCH($A9,'_예비비계산'!$BH$81:$BH$86,0),MONTH($B$3)+1),0)-IFERROR(INDEX('_예비비계산'!$BI$81:$BU$86,MATCH($A9,'_예비비계산'!$BH$81:$BH$86,0),MONTH($B$3)),0),0)</f>
        <v>0</v>
      </c>
      <c r="F9" s="28">
        <f>(SUMIFS($Y$64:$Y$500,$D$64:$D$500,$A9,$H$64:$H$500,$B$3)-C9)+MAX(IFERROR(INDEX('_예비비계산'!$BI$81:$BU$86,MATCH($A9,'_예비비계산'!$BH$81:$BH$86,0),MONTH($B$3)),0)-IFERROR(INDEX('_예비비계산'!$BI$81:$BU$86,MATCH($A9,'_예비비계산'!$BH$81:$BH$86,0),MONTH($B$3)+1),0),0)</f>
        <v>0</v>
      </c>
      <c r="G9" s="28">
        <f t="shared" si="5"/>
        <v>1400000</v>
      </c>
      <c r="H9" s="28">
        <f>IFERROR(INDEX('_예비비계산'!$G$48:$T$48,1,MATCH($B$3,'_예비비계산'!$G$4:$T$4,0)),0)</f>
        <v>100000</v>
      </c>
      <c r="I9" s="28">
        <f>IFERROR(INDEX('_예비비계산'!$G$50:$T$50,1,MATCH($B$3,'_예비비계산'!$G$4:$T$4,0)),0)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18</v>
      </c>
      <c r="B10" s="28">
        <f>(SUMIFS($Y$64:$Y$500,$D$64:$D$500,$A10,$A$64:$A$500,"&lt;"&amp;$B$3)-SUMIFS($Y$64:$Y$500,$C$64:$C$500,$A10,$A$64:$A$500,"&lt;"&amp;$B$3))-IFERROR(INDEX('_예비비계산'!$BI$81:$BU$86,MATCH($A10,'_예비비계산'!$BH$81:$BH$86,0),MONTH($B$3)),0)</f>
        <v>450000</v>
      </c>
      <c r="C10" s="28">
        <f t="shared" si="1"/>
        <v>0</v>
      </c>
      <c r="D10" s="28">
        <f t="shared" si="2"/>
        <v>0</v>
      </c>
      <c r="E10" s="28">
        <f>(SUMIFS($Y$64:$Y$500,$C$64:$C$500,$A10,$H$64:$H$500,$B$3)-D10)+MAX(IFERROR(INDEX('_예비비계산'!$BI$81:$BU$86,MATCH($A10,'_예비비계산'!$BH$81:$BH$86,0),MONTH($B$3)+1),0)-IFERROR(INDEX('_예비비계산'!$BI$81:$BU$86,MATCH($A10,'_예비비계산'!$BH$81:$BH$86,0),MONTH($B$3)),0),0)</f>
        <v>0</v>
      </c>
      <c r="F10" s="28">
        <f>(SUMIFS($Y$64:$Y$500,$D$64:$D$500,$A10,$H$64:$H$500,$B$3)-C10)+MAX(IFERROR(INDEX('_예비비계산'!$BI$81:$BU$86,MATCH($A10,'_예비비계산'!$BH$81:$BH$86,0),MONTH($B$3)),0)-IFERROR(INDEX('_예비비계산'!$BI$81:$BU$86,MATCH($A10,'_예비비계산'!$BH$81:$BH$86,0),MONTH($B$3)+1),0),0)</f>
        <v>0</v>
      </c>
      <c r="G10" s="28">
        <f t="shared" si="5"/>
        <v>450000</v>
      </c>
      <c r="H10" s="28">
        <f>IFERROR(INDEX('_예비비계산'!$G$51:$T$51,1,MATCH($B$3,'_예비비계산'!$G$4:$T$4,0)),0)</f>
        <v>50000</v>
      </c>
      <c r="I10" s="28">
        <f>MAX(0,IFERROR(INDEX('_예비비계산'!$G$53:$T$53,1,MATCH($B$3,'_예비비계산'!$G$4:$T$4,0)),0)-IFERROR(INDEX('_예비비계산'!$G$7:$T$7,1,MATCH($B$3,'_예비비계산'!$G$4:$T$4,0)),0))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19</v>
      </c>
      <c r="B11" s="28">
        <f>(SUMIFS($Y$64:$Y$500,$D$64:$D$500,$A11,$A$64:$A$500,"&lt;"&amp;$B$3)-SUMIFS($Y$64:$Y$500,$C$64:$C$500,$A11,$A$64:$A$500,"&lt;"&amp;$B$3))-IFERROR(INDEX('_예비비계산'!$BI$81:$BU$86,MATCH($A11,'_예비비계산'!$BH$81:$BH$86,0),MONTH($B$3)),0)</f>
        <v>300000</v>
      </c>
      <c r="C11" s="28">
        <f t="shared" si="1"/>
        <v>0</v>
      </c>
      <c r="D11" s="28">
        <f t="shared" si="2"/>
        <v>0</v>
      </c>
      <c r="E11" s="28">
        <f>(SUMIFS($Y$64:$Y$500,$C$64:$C$500,$A11,$H$64:$H$500,$B$3)-D11)+MAX(IFERROR(INDEX('_예비비계산'!$BI$81:$BU$86,MATCH($A11,'_예비비계산'!$BH$81:$BH$86,0),MONTH($B$3)+1),0)-IFERROR(INDEX('_예비비계산'!$BI$81:$BU$86,MATCH($A11,'_예비비계산'!$BH$81:$BH$86,0),MONTH($B$3)),0),0)</f>
        <v>0</v>
      </c>
      <c r="F11" s="28">
        <f>(SUMIFS($Y$64:$Y$500,$D$64:$D$500,$A11,$H$64:$H$500,$B$3)-C11)+MAX(IFERROR(INDEX('_예비비계산'!$BI$81:$BU$86,MATCH($A11,'_예비비계산'!$BH$81:$BH$86,0),MONTH($B$3)),0)-IFERROR(INDEX('_예비비계산'!$BI$81:$BU$86,MATCH($A11,'_예비비계산'!$BH$81:$BH$86,0),MONTH($B$3)+1),0),0)</f>
        <v>0</v>
      </c>
      <c r="G11" s="28">
        <f t="shared" si="5"/>
        <v>300000</v>
      </c>
      <c r="H11" s="28">
        <f>IFERROR(INDEX('_예비비계산'!$G$54:$T$54,1,MATCH($B$3,'_예비비계산'!$G$4:$T$4,0)),0)</f>
        <v>50000</v>
      </c>
      <c r="I11" s="28">
        <f>IFERROR(INDEX('_예비비계산'!$G$56:$T$56,1,MATCH($B$3,'_예비비계산'!$G$4:$T$4,0)),0)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20</v>
      </c>
      <c r="B12" s="28">
        <f>(SUMIFS($Y$64:$Y$500,$D$64:$D$500,$A12,$A$64:$A$500,"&lt;"&amp;$B$3)-SUMIFS($Y$64:$Y$500,$C$64:$C$500,$A12,$A$64:$A$500,"&lt;"&amp;$B$3))-IFERROR(INDEX('_예비비계산'!$BI$81:$BU$86,MATCH($A12,'_예비비계산'!$BH$81:$BH$86,0),MONTH($B$3)),0)</f>
        <v>0</v>
      </c>
      <c r="C12" s="28">
        <f t="shared" si="1"/>
        <v>0</v>
      </c>
      <c r="D12" s="28">
        <f t="shared" si="2"/>
        <v>0</v>
      </c>
      <c r="E12" s="28">
        <f>(SUMIFS($Y$64:$Y$500,$C$64:$C$500,$A12,$H$64:$H$500,$B$3)-D12)+MAX(IFERROR(INDEX('_예비비계산'!$BI$81:$BU$86,MATCH($A12,'_예비비계산'!$BH$81:$BH$86,0),MONTH($B$3)+1),0)-IFERROR(INDEX('_예비비계산'!$BI$81:$BU$86,MATCH($A12,'_예비비계산'!$BH$81:$BH$86,0),MONTH($B$3)),0),0)</f>
        <v>0</v>
      </c>
      <c r="F12" s="28">
        <f>(SUMIFS($Y$64:$Y$500,$D$64:$D$500,$A12,$H$64:$H$500,$B$3)-C12)+MAX(IFERROR(INDEX('_예비비계산'!$BI$81:$BU$86,MATCH($A12,'_예비비계산'!$BH$81:$BH$86,0),MONTH($B$3)),0)-IFERROR(INDEX('_예비비계산'!$BI$81:$BU$86,MATCH($A12,'_예비비계산'!$BH$81:$BH$86,0),MONTH($B$3)+1),0),0)</f>
        <v>0</v>
      </c>
      <c r="G12" s="28">
        <f t="shared" si="5"/>
        <v>0</v>
      </c>
      <c r="H12" s="28">
        <f>IFERROR(INDEX('_예비비계산'!$G$57:$T$57,1,MATCH($B$3,'_예비비계산'!$G$4:$T$4,0)),0)</f>
        <v>0</v>
      </c>
      <c r="I12" s="28">
        <f>IFERROR(INDEX('_예비비계산'!$G$59:$T$59,1,MATCH($B$3,'_예비비계산'!$G$4:$T$4,0)),0)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21</v>
      </c>
      <c r="B13" s="28">
        <f>(SUMIFS($Y$64:$Y$500,$D$64:$D$500,$A13,$A$64:$A$500,"&lt;"&amp;$B$3)-SUMIFS($Y$64:$Y$500,$C$64:$C$500,$A13,$A$64:$A$500,"&lt;"&amp;$B$3))+IFERROR(INDEX('_예비비계산'!$BI$81:$BU$86,MATCH($A13,'_예비비계산'!$BH$81:$BH$86,0),MONTH($B$3)),0)</f>
        <v>0</v>
      </c>
      <c r="C13" s="28">
        <f t="shared" si="1"/>
        <v>0</v>
      </c>
      <c r="D13" s="28">
        <f t="shared" si="2"/>
        <v>0</v>
      </c>
      <c r="E13" s="28">
        <f>(SUMIFS($Y$64:$Y$500,$C$64:$C$500,$A13,$H$64:$H$500,$B$3)-D13)+MAX(IFERROR(INDEX('_예비비계산'!$BI$81:$BU$86,MATCH("명절비",'_예비비계산'!$BH$81:$BH$86,0),MONTH($B$3)),0)-IFERROR(INDEX('_예비비계산'!$BI$81:$BU$86,MATCH("명절비",'_예비비계산'!$BH$81:$BH$86,0),MONTH($B$3)+1),0),0)+MAX(IFERROR(INDEX('_예비비계산'!$BI$81:$BU$86,MATCH("여행비",'_예비비계산'!$BH$81:$BH$86,0),MONTH($B$3)),0)-IFERROR(INDEX('_예비비계산'!$BI$81:$BU$86,MATCH("여행비",'_예비비계산'!$BH$81:$BH$86,0),MONTH($B$3)+1),0),0)+MAX(IFERROR(INDEX('_예비비계산'!$BI$81:$BU$86,MATCH("경조사비",'_예비비계산'!$BH$81:$BH$86,0),MONTH($B$3)),0)-IFERROR(INDEX('_예비비계산'!$BI$81:$BU$86,MATCH("경조사비",'_예비비계산'!$BH$81:$BH$86,0),MONTH($B$3)+1),0),0)+MAX(IFERROR(INDEX('_예비비계산'!$BI$81:$BU$86,MATCH("상환비",'_예비비계산'!$BH$81:$BH$86,0),MONTH($B$3)),0)-IFERROR(INDEX('_예비비계산'!$BI$81:$BU$86,MATCH("상환비",'_예비비계산'!$BH$81:$BH$86,0),MONTH($B$3)+1),0),0)+MAX(IFERROR(INDEX('_예비비계산'!$BI$81:$BU$86,MATCH("예비비",'_예비비계산'!$BH$81:$BH$86,0),MONTH($B$3)),0)-IFERROR(INDEX('_예비비계산'!$BI$81:$BU$86,MATCH("예비비",'_예비비계산'!$BH$81:$BH$86,0),MONTH($B$3)+1),0),0)</f>
        <v>0</v>
      </c>
      <c r="F13" s="28">
        <f>(SUMIFS($Y$64:$Y$500,$D$64:$D$500,$A13,$H$64:$H$500,$B$3)-C13)+MAX(IFERROR(INDEX('_예비비계산'!$BI$81:$BU$86,MATCH("명절비",'_예비비계산'!$BH$81:$BH$86,0),MONTH($B$3)+1),0)-IFERROR(INDEX('_예비비계산'!$BI$81:$BU$86,MATCH("명절비",'_예비비계산'!$BH$81:$BH$86,0),MONTH($B$3)),0),0)+MAX(IFERROR(INDEX('_예비비계산'!$BI$81:$BU$86,MATCH("여행비",'_예비비계산'!$BH$81:$BH$86,0),MONTH($B$3)+1),0)-IFERROR(INDEX('_예비비계산'!$BI$81:$BU$86,MATCH("여행비",'_예비비계산'!$BH$81:$BH$86,0),MONTH($B$3)),0),0)+MAX(IFERROR(INDEX('_예비비계산'!$BI$81:$BU$86,MATCH("경조사비",'_예비비계산'!$BH$81:$BH$86,0),MONTH($B$3)+1),0)-IFERROR(INDEX('_예비비계산'!$BI$81:$BU$86,MATCH("경조사비",'_예비비계산'!$BH$81:$BH$86,0),MONTH($B$3)),0),0)+MAX(IFERROR(INDEX('_예비비계산'!$BI$81:$BU$86,MATCH("상환비",'_예비비계산'!$BH$81:$BH$86,0),MONTH($B$3)+1),0)-IFERROR(INDEX('_예비비계산'!$BI$81:$BU$86,MATCH("상환비",'_예비비계산'!$BH$81:$BH$86,0),MONTH($B$3)),0),0)+MAX(IFERROR(INDEX('_예비비계산'!$BI$81:$BU$86,MATCH("예비비",'_예비비계산'!$BH$81:$BH$86,0),MONTH($B$3)+1),0)-IFERROR(INDEX('_예비비계산'!$BI$81:$BU$86,MATCH("예비비",'_예비비계산'!$BH$81:$BH$86,0),MONTH($B$3)),0),0)</f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22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23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61000</v>
      </c>
      <c r="F15" s="28">
        <f t="shared" si="4"/>
        <v>61000</v>
      </c>
      <c r="G15" s="28">
        <f t="shared" si="5"/>
        <v>0</v>
      </c>
      <c r="H15" s="86"/>
      <c r="I15" s="86"/>
      <c r="J15" s="86"/>
      <c r="K15" s="86"/>
      <c r="L15" s="86"/>
    </row>
    <row r="16" spans="1:12" ht="24" customHeight="1">
      <c r="A16" s="33" t="s">
        <v>24</v>
      </c>
      <c r="B16" s="32">
        <f t="shared" ref="B16:K16" si="7">SUM(B7:B15)</f>
        <v>8538603</v>
      </c>
      <c r="C16" s="32">
        <f t="shared" si="7"/>
        <v>9092</v>
      </c>
      <c r="D16" s="32">
        <f t="shared" si="7"/>
        <v>11900</v>
      </c>
      <c r="E16" s="32">
        <f t="shared" si="7"/>
        <v>2614539</v>
      </c>
      <c r="F16" s="32">
        <f t="shared" si="7"/>
        <v>748510</v>
      </c>
      <c r="G16" s="32">
        <f t="shared" si="7"/>
        <v>6669766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25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346" t="inlineStr">
        <is>
          <t xml:space="preserve">계정 잔액에는 예비비 사용분의 결제대금비 자동 확보가 포함됩니다. 은행 거래가 아니며, 아래 원장 조회는 실제 입력 기록입니다.</t>
        </is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351" t="s">
        <v>27</v>
      </c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2"/>
    </row>
    <row r="21" spans="1:22" ht="24" customHeight="1">
      <c r="A21" s="352" t="s">
        <v>28</v>
      </c>
      <c r="B21" s="342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343" t="s">
        <v>15</v>
      </c>
      <c r="B22" s="342"/>
      <c r="C22" s="92">
        <f>IF(C$21&gt;MAX($A$64:$A$500),"",SUMIFS($Y$64:$Y$500,$D$64:$D$500,$A22,$A$64:$A$500,"&lt;"&amp;EDATE(C$21,1))-SUMIFS($Y$64:$Y$500,$C$64:$C$500,$A22,$A$64:$A$500,"&lt;"&amp;EDATE(C$21,1)))</f>
        <v>993611</v>
      </c>
      <c r="D22" s="92">
        <f>IF(D$21&gt;MAX($A$64:$A$500),"",SUMIFS($Y$64:$Y$500,$D$64:$D$500,$A22,$A$64:$A$500,"&lt;"&amp;EDATE(D$21,1))-SUMIFS($Y$64:$Y$500,$C$64:$C$500,$A22,$A$64:$A$500,"&lt;"&amp;EDATE(D$21,1)))</f>
        <v>944667</v>
      </c>
      <c r="E22" s="92">
        <f>IF(E$21&gt;MAX($A$64:$A$500),"",SUMIFS($Y$64:$Y$500,$D$64:$D$500,$A22,$A$64:$A$500,"&lt;"&amp;EDATE(E$21,1))-SUMIFS($Y$64:$Y$500,$C$64:$C$500,$A22,$A$64:$A$500,"&lt;"&amp;EDATE(E$21,1)))</f>
        <v>1062089</v>
      </c>
      <c r="F22" s="92">
        <f>IF(F$21&gt;MAX($A$64:$A$500),"",SUMIFS($Y$64:$Y$500,$D$64:$D$500,$A22,$A$64:$A$500,"&lt;"&amp;EDATE(F$21,1))-SUMIFS($Y$64:$Y$500,$C$64:$C$500,$A22,$A$64:$A$500,"&lt;"&amp;EDATE(F$21,1)))</f>
        <v>626802</v>
      </c>
      <c r="G22" s="92">
        <f>IF(G$21&gt;MAX($A$64:$A$500),"",SUMIFS($Y$64:$Y$500,$D$64:$D$500,$A22,$A$64:$A$500,"&lt;"&amp;EDATE(G$21,1))-SUMIFS($Y$64:$Y$500,$C$64:$C$500,$A22,$A$64:$A$500,"&lt;"&amp;EDATE(G$21,1)))</f>
        <v>-498498</v>
      </c>
      <c r="H22" s="92">
        <f>IF(H$21&gt;MAX($A$64:$A$500),"",SUMIFS($Y$64:$Y$500,$D$64:$D$500,$A22,$A$64:$A$500,"&lt;"&amp;EDATE(H$21,1))-SUMIFS($Y$64:$Y$500,$C$64:$C$500,$A22,$A$64:$A$500,"&lt;"&amp;EDATE(H$21,1)))</f>
        <v>0</v>
      </c>
      <c r="I22" s="92">
        <f>IF(I$21&gt;MAX($A$64:$A$500),"",SUMIFS($Y$64:$Y$500,$D$64:$D$500,$A22,$A$64:$A$500,"&lt;"&amp;EDATE(I$21,1))-SUMIFS($Y$64:$Y$500,$C$64:$C$500,$A22,$A$64:$A$500,"&lt;"&amp;EDATE(I$21,1)))</f>
        <v>6388603</v>
      </c>
      <c r="J22" s="92">
        <f>IF(J$21&gt;MAX($A$64:$A$500),"",SUMIFS($Y$64:$Y$500,$D$64:$D$500,$A22,$A$64:$A$500,"&lt;"&amp;EDATE(J$21,1))-SUMIFS($Y$64:$Y$500,$C$64:$C$500,$A22,$A$64:$A$500,"&lt;"&amp;EDATE(J$21,1)))</f>
        <v>4519766</v>
      </c>
      <c r="K22" s="92">
        <f>IF(K$21&gt;MAX($A$64:$A$500),"",SUMIFS($Y$64:$Y$500,$D$64:$D$500,$A22,$A$64:$A$500,"&lt;"&amp;EDATE(K$21,1))-SUMIFS($Y$64:$Y$500,$C$64:$C$500,$A22,$A$64:$A$500,"&lt;"&amp;EDATE(K$21,1)))</f>
      </c>
      <c r="L22" s="92">
        <f>IF(L$21&gt;MAX($A$64:$A$500),"",SUMIFS($Y$64:$Y$500,$D$64:$D$500,$A22,$A$64:$A$500,"&lt;"&amp;EDATE(L$21,1))-SUMIFS($Y$64:$Y$500,$C$64:$C$500,$A22,$A$64:$A$500,"&lt;"&amp;EDATE(L$21,1)))</f>
      </c>
    </row>
    <row r="23" spans="1:22" ht="24" customHeight="1">
      <c r="A23" s="343" t="s">
        <v>16</v>
      </c>
      <c r="B23" s="342"/>
      <c r="C23" s="92">
        <f>IF(C$21&gt;MAX($A$64:$A$500),"",SUMIFS($Y$64:$Y$500,$D$64:$D$500,$A23,$A$64:$A$500,"&lt;"&amp;EDATE(C$21,1))-SUMIFS($Y$64:$Y$500,$C$64:$C$500,$A23,$A$64:$A$500,"&lt;"&amp;EDATE(C$21,1))-IFERROR(INDEX('_예비비계산'!$BI$81:$BU$86,MATCH($A23,'_예비비계산'!$BH$81:$BH$86,0),MONTH(C$21)+1),0))</f>
        <v>100000</v>
      </c>
      <c r="D23" s="92">
        <f>IF(D$21&gt;MAX($A$64:$A$500),"",SUMIFS($Y$64:$Y$500,$D$64:$D$500,$A23,$A$64:$A$500,"&lt;"&amp;EDATE(D$21,1))-SUMIFS($Y$64:$Y$500,$C$64:$C$500,$A23,$A$64:$A$500,"&lt;"&amp;EDATE(D$21,1))-IFERROR(INDEX('_예비비계산'!$BI$81:$BU$86,MATCH($A23,'_예비비계산'!$BH$81:$BH$86,0),MONTH(D$21)+1),0))</f>
        <v>200000</v>
      </c>
      <c r="E23" s="92">
        <f>IF(E$21&gt;MAX($A$64:$A$500),"",SUMIFS($Y$64:$Y$500,$D$64:$D$500,$A23,$A$64:$A$500,"&lt;"&amp;EDATE(E$21,1))-SUMIFS($Y$64:$Y$500,$C$64:$C$500,$A23,$A$64:$A$500,"&lt;"&amp;EDATE(E$21,1))-IFERROR(INDEX('_예비비계산'!$BI$81:$BU$86,MATCH($A23,'_예비비계산'!$BH$81:$BH$86,0),MONTH(E$21)+1),0))</f>
        <v>50000</v>
      </c>
      <c r="F23" s="92">
        <f>IF(F$21&gt;MAX($A$64:$A$500),"",SUMIFS($Y$64:$Y$500,$D$64:$D$500,$A23,$A$64:$A$500,"&lt;"&amp;EDATE(F$21,1))-SUMIFS($Y$64:$Y$500,$C$64:$C$500,$A23,$A$64:$A$500,"&lt;"&amp;EDATE(F$21,1))-IFERROR(INDEX('_예비비계산'!$BI$81:$BU$86,MATCH($A23,'_예비비계산'!$BH$81:$BH$86,0),MONTH(F$21)+1),0))</f>
        <v>100000</v>
      </c>
      <c r="G23" s="92">
        <f>IF(G$21&gt;MAX($A$64:$A$500),"",SUMIFS($Y$64:$Y$500,$D$64:$D$500,$A23,$A$64:$A$500,"&lt;"&amp;EDATE(G$21,1))-SUMIFS($Y$64:$Y$500,$C$64:$C$500,$A23,$A$64:$A$500,"&lt;"&amp;EDATE(G$21,1))-IFERROR(INDEX('_예비비계산'!$BI$81:$BU$86,MATCH($A23,'_예비비계산'!$BH$81:$BH$86,0),MONTH(G$21)+1),0))</f>
        <v>200000</v>
      </c>
      <c r="H23" s="92">
        <f>IF(H$21&gt;MAX($A$64:$A$500),"",SUMIFS($Y$64:$Y$500,$D$64:$D$500,$A23,$A$64:$A$500,"&lt;"&amp;EDATE(H$21,1))-SUMIFS($Y$64:$Y$500,$C$64:$C$500,$A23,$A$64:$A$500,"&lt;"&amp;EDATE(H$21,1))-IFERROR(INDEX('_예비비계산'!$BI$81:$BU$86,MATCH($A23,'_예비비계산'!$BH$81:$BH$86,0),MONTH(H$21)+1),0))</f>
        <v>300000</v>
      </c>
      <c r="I23" s="92">
        <f>IF(I$21&gt;MAX($A$64:$A$500),"",SUMIFS($Y$64:$Y$500,$D$64:$D$500,$A23,$A$64:$A$500,"&lt;"&amp;EDATE(I$21,1))-SUMIFS($Y$64:$Y$500,$C$64:$C$500,$A23,$A$64:$A$500,"&lt;"&amp;EDATE(I$21,1))-IFERROR(INDEX('_예비비계산'!$BI$81:$BU$86,MATCH($A23,'_예비비계산'!$BH$81:$BH$86,0),MONTH(I$21)+1),0))</f>
        <v>0</v>
      </c>
      <c r="J23" s="92">
        <f>IF(J$21&gt;MAX($A$64:$A$500),"",SUMIFS($Y$64:$Y$500,$D$64:$D$500,$A23,$A$64:$A$500,"&lt;"&amp;EDATE(J$21,1))-SUMIFS($Y$64:$Y$500,$C$64:$C$500,$A23,$A$64:$A$500,"&lt;"&amp;EDATE(J$21,1))-IFERROR(INDEX('_예비비계산'!$BI$81:$BU$86,MATCH($A23,'_예비비계산'!$BH$81:$BH$86,0),MONTH(J$21)+1),0))</f>
        <v>0</v>
      </c>
      <c r="K23" s="92">
        <f>IF(K$21&gt;MAX($A$64:$A$500),"",SUMIFS($Y$64:$Y$500,$D$64:$D$500,$A23,$A$64:$A$500,"&lt;"&amp;EDATE(K$21,1))-SUMIFS($Y$64:$Y$500,$C$64:$C$500,$A23,$A$64:$A$500,"&lt;"&amp;EDATE(K$21,1))-IFERROR(INDEX('_예비비계산'!$BI$81:$BU$86,MATCH($A23,'_예비비계산'!$BH$81:$BH$86,0),MONTH(K$21)+1),0))</f>
      </c>
      <c r="L23" s="92">
        <f>IF(L$21&gt;MAX($A$64:$A$500),"",SUMIFS($Y$64:$Y$500,$D$64:$D$500,$A23,$A$64:$A$500,"&lt;"&amp;EDATE(L$21,1))-SUMIFS($Y$64:$Y$500,$C$64:$C$500,$A23,$A$64:$A$500,"&lt;"&amp;EDATE(L$21,1))-IFERROR(INDEX('_예비비계산'!$BI$81:$BU$86,MATCH($A23,'_예비비계산'!$BH$81:$BH$86,0),MONTH(L$21)+1),0))</f>
      </c>
    </row>
    <row r="24" spans="1:22" ht="24" customHeight="1">
      <c r="A24" s="343" t="s">
        <v>17</v>
      </c>
      <c r="B24" s="342"/>
      <c r="C24" s="92">
        <f>IF(C$21&gt;MAX($A$64:$A$500),"",SUMIFS($Y$64:$Y$500,$D$64:$D$500,$A24,$A$64:$A$500,"&lt;"&amp;EDATE(C$21,1))-SUMIFS($Y$64:$Y$500,$C$64:$C$500,$A24,$A$64:$A$500,"&lt;"&amp;EDATE(C$21,1))-IFERROR(INDEX('_예비비계산'!$BI$81:$BU$86,MATCH($A24,'_예비비계산'!$BH$81:$BH$86,0),MONTH(C$21)+1),0))</f>
        <v>1300000</v>
      </c>
      <c r="D24" s="92">
        <f>IF(D$21&gt;MAX($A$64:$A$500),"",SUMIFS($Y$64:$Y$500,$D$64:$D$500,$A24,$A$64:$A$500,"&lt;"&amp;EDATE(D$21,1))-SUMIFS($Y$64:$Y$500,$C$64:$C$500,$A24,$A$64:$A$500,"&lt;"&amp;EDATE(D$21,1))-IFERROR(INDEX('_예비비계산'!$BI$81:$BU$86,MATCH($A24,'_예비비계산'!$BH$81:$BH$86,0),MONTH(D$21)+1),0))</f>
        <v>1400000</v>
      </c>
      <c r="E24" s="92">
        <f>IF(E$21&gt;MAX($A$64:$A$500),"",SUMIFS($Y$64:$Y$500,$D$64:$D$500,$A24,$A$64:$A$500,"&lt;"&amp;EDATE(E$21,1))-SUMIFS($Y$64:$Y$500,$C$64:$C$500,$A24,$A$64:$A$500,"&lt;"&amp;EDATE(E$21,1))-IFERROR(INDEX('_예비비계산'!$BI$81:$BU$86,MATCH($A24,'_예비비계산'!$BH$81:$BH$86,0),MONTH(E$21)+1),0))</f>
        <v>1500000</v>
      </c>
      <c r="F24" s="92">
        <f>IF(F$21&gt;MAX($A$64:$A$500),"",SUMIFS($Y$64:$Y$500,$D$64:$D$500,$A24,$A$64:$A$500,"&lt;"&amp;EDATE(F$21,1))-SUMIFS($Y$64:$Y$500,$C$64:$C$500,$A24,$A$64:$A$500,"&lt;"&amp;EDATE(F$21,1))-IFERROR(INDEX('_예비비계산'!$BI$81:$BU$86,MATCH($A24,'_예비비계산'!$BH$81:$BH$86,0),MONTH(F$21)+1),0))</f>
        <v>1600000</v>
      </c>
      <c r="G24" s="92">
        <f>IF(G$21&gt;MAX($A$64:$A$500),"",SUMIFS($Y$64:$Y$500,$D$64:$D$500,$A24,$A$64:$A$500,"&lt;"&amp;EDATE(G$21,1))-SUMIFS($Y$64:$Y$500,$C$64:$C$500,$A24,$A$64:$A$500,"&lt;"&amp;EDATE(G$21,1))-IFERROR(INDEX('_예비비계산'!$BI$81:$BU$86,MATCH($A24,'_예비비계산'!$BH$81:$BH$86,0),MONTH(G$21)+1),0))</f>
        <v>1600000</v>
      </c>
      <c r="H24" s="92">
        <f>IF(H$21&gt;MAX($A$64:$A$500),"",SUMIFS($Y$64:$Y$500,$D$64:$D$500,$A24,$A$64:$A$500,"&lt;"&amp;EDATE(H$21,1))-SUMIFS($Y$64:$Y$500,$C$64:$C$500,$A24,$A$64:$A$500,"&lt;"&amp;EDATE(H$21,1))-IFERROR(INDEX('_예비비계산'!$BI$81:$BU$86,MATCH($A24,'_예비비계산'!$BH$81:$BH$86,0),MONTH(H$21)+1),0))</f>
        <v>1300000</v>
      </c>
      <c r="I24" s="92">
        <f>IF(I$21&gt;MAX($A$64:$A$500),"",SUMIFS($Y$64:$Y$500,$D$64:$D$500,$A24,$A$64:$A$500,"&lt;"&amp;EDATE(I$21,1))-SUMIFS($Y$64:$Y$500,$C$64:$C$500,$A24,$A$64:$A$500,"&lt;"&amp;EDATE(I$21,1))-IFERROR(INDEX('_예비비계산'!$BI$81:$BU$86,MATCH($A24,'_예비비계산'!$BH$81:$BH$86,0),MONTH(I$21)+1),0))</f>
        <v>1400000</v>
      </c>
      <c r="J24" s="92">
        <f>IF(J$21&gt;MAX($A$64:$A$500),"",SUMIFS($Y$64:$Y$500,$D$64:$D$500,$A24,$A$64:$A$500,"&lt;"&amp;EDATE(J$21,1))-SUMIFS($Y$64:$Y$500,$C$64:$C$500,$A24,$A$64:$A$500,"&lt;"&amp;EDATE(J$21,1))-IFERROR(INDEX('_예비비계산'!$BI$81:$BU$86,MATCH($A24,'_예비비계산'!$BH$81:$BH$86,0),MONTH(J$21)+1),0))</f>
        <v>1400000</v>
      </c>
      <c r="K24" s="92">
        <f>IF(K$21&gt;MAX($A$64:$A$500),"",SUMIFS($Y$64:$Y$500,$D$64:$D$500,$A24,$A$64:$A$500,"&lt;"&amp;EDATE(K$21,1))-SUMIFS($Y$64:$Y$500,$C$64:$C$500,$A24,$A$64:$A$500,"&lt;"&amp;EDATE(K$21,1))-IFERROR(INDEX('_예비비계산'!$BI$81:$BU$86,MATCH($A24,'_예비비계산'!$BH$81:$BH$86,0),MONTH(K$21)+1),0))</f>
      </c>
      <c r="L24" s="92">
        <f>IF(L$21&gt;MAX($A$64:$A$500),"",SUMIFS($Y$64:$Y$500,$D$64:$D$500,$A24,$A$64:$A$500,"&lt;"&amp;EDATE(L$21,1))-SUMIFS($Y$64:$Y$500,$C$64:$C$500,$A24,$A$64:$A$500,"&lt;"&amp;EDATE(L$21,1))-IFERROR(INDEX('_예비비계산'!$BI$81:$BU$86,MATCH($A24,'_예비비계산'!$BH$81:$BH$86,0),MONTH(L$21)+1),0))</f>
      </c>
    </row>
    <row r="25" spans="1:22" ht="24" customHeight="1">
      <c r="A25" s="343" t="s">
        <v>18</v>
      </c>
      <c r="B25" s="342"/>
      <c r="C25" s="92">
        <f>IF(C$21&gt;MAX($A$64:$A$500),"",SUMIFS($Y$64:$Y$500,$D$64:$D$500,$A25,$A$64:$A$500,"&lt;"&amp;EDATE(C$21,1))-SUMIFS($Y$64:$Y$500,$C$64:$C$500,$A25,$A$64:$A$500,"&lt;"&amp;EDATE(C$21,1))-IFERROR(INDEX('_예비비계산'!$BI$81:$BU$86,MATCH($A25,'_예비비계산'!$BH$81:$BH$86,0),MONTH(C$21)+1),0))</f>
        <v>0</v>
      </c>
      <c r="D25" s="92">
        <f>IF(D$21&gt;MAX($A$64:$A$500),"",SUMIFS($Y$64:$Y$500,$D$64:$D$500,$A25,$A$64:$A$500,"&lt;"&amp;EDATE(D$21,1))-SUMIFS($Y$64:$Y$500,$C$64:$C$500,$A25,$A$64:$A$500,"&lt;"&amp;EDATE(D$21,1))-IFERROR(INDEX('_예비비계산'!$BI$81:$BU$86,MATCH($A25,'_예비비계산'!$BH$81:$BH$86,0),MONTH(D$21)+1),0))</f>
        <v>0</v>
      </c>
      <c r="E25" s="92">
        <f>IF(E$21&gt;MAX($A$64:$A$500),"",SUMIFS($Y$64:$Y$500,$D$64:$D$500,$A25,$A$64:$A$500,"&lt;"&amp;EDATE(E$21,1))-SUMIFS($Y$64:$Y$500,$C$64:$C$500,$A25,$A$64:$A$500,"&lt;"&amp;EDATE(E$21,1))-IFERROR(INDEX('_예비비계산'!$BI$81:$BU$86,MATCH($A25,'_예비비계산'!$BH$81:$BH$86,0),MONTH(E$21)+1),0))</f>
        <v>50000</v>
      </c>
      <c r="F25" s="92">
        <f>IF(F$21&gt;MAX($A$64:$A$500),"",SUMIFS($Y$64:$Y$500,$D$64:$D$500,$A25,$A$64:$A$500,"&lt;"&amp;EDATE(F$21,1))-SUMIFS($Y$64:$Y$500,$C$64:$C$500,$A25,$A$64:$A$500,"&lt;"&amp;EDATE(F$21,1))-IFERROR(INDEX('_예비비계산'!$BI$81:$BU$86,MATCH($A25,'_예비비계산'!$BH$81:$BH$86,0),MONTH(F$21)+1),0))</f>
        <v>100000</v>
      </c>
      <c r="G25" s="92">
        <f>IF(G$21&gt;MAX($A$64:$A$500),"",SUMIFS($Y$64:$Y$500,$D$64:$D$500,$A25,$A$64:$A$500,"&lt;"&amp;EDATE(G$21,1))-SUMIFS($Y$64:$Y$500,$C$64:$C$500,$A25,$A$64:$A$500,"&lt;"&amp;EDATE(G$21,1))-IFERROR(INDEX('_예비비계산'!$BI$81:$BU$86,MATCH($A25,'_예비비계산'!$BH$81:$BH$86,0),MONTH(G$21)+1),0))</f>
        <v>150000</v>
      </c>
      <c r="H25" s="92">
        <f>IF(H$21&gt;MAX($A$64:$A$500),"",SUMIFS($Y$64:$Y$500,$D$64:$D$500,$A25,$A$64:$A$500,"&lt;"&amp;EDATE(H$21,1))-SUMIFS($Y$64:$Y$500,$C$64:$C$500,$A25,$A$64:$A$500,"&lt;"&amp;EDATE(H$21,1))-IFERROR(INDEX('_예비비계산'!$BI$81:$BU$86,MATCH($A25,'_예비비계산'!$BH$81:$BH$86,0),MONTH(H$21)+1),0))</f>
        <v>200000</v>
      </c>
      <c r="I25" s="92">
        <f>IF(I$21&gt;MAX($A$64:$A$500),"",SUMIFS($Y$64:$Y$500,$D$64:$D$500,$A25,$A$64:$A$500,"&lt;"&amp;EDATE(I$21,1))-SUMIFS($Y$64:$Y$500,$C$64:$C$500,$A25,$A$64:$A$500,"&lt;"&amp;EDATE(I$21,1))-IFERROR(INDEX('_예비비계산'!$BI$81:$BU$86,MATCH($A25,'_예비비계산'!$BH$81:$BH$86,0),MONTH(I$21)+1),0))</f>
        <v>450000</v>
      </c>
      <c r="J25" s="92">
        <f>IF(J$21&gt;MAX($A$64:$A$500),"",SUMIFS($Y$64:$Y$500,$D$64:$D$500,$A25,$A$64:$A$500,"&lt;"&amp;EDATE(J$21,1))-SUMIFS($Y$64:$Y$500,$C$64:$C$500,$A25,$A$64:$A$500,"&lt;"&amp;EDATE(J$21,1))-IFERROR(INDEX('_예비비계산'!$BI$81:$BU$86,MATCH($A25,'_예비비계산'!$BH$81:$BH$86,0),MONTH(J$21)+1),0))</f>
        <v>450000</v>
      </c>
      <c r="K25" s="92">
        <f>IF(K$21&gt;MAX($A$64:$A$500),"",SUMIFS($Y$64:$Y$500,$D$64:$D$500,$A25,$A$64:$A$500,"&lt;"&amp;EDATE(K$21,1))-SUMIFS($Y$64:$Y$500,$C$64:$C$500,$A25,$A$64:$A$500,"&lt;"&amp;EDATE(K$21,1))-IFERROR(INDEX('_예비비계산'!$BI$81:$BU$86,MATCH($A25,'_예비비계산'!$BH$81:$BH$86,0),MONTH(K$21)+1),0))</f>
      </c>
      <c r="L25" s="92">
        <f>IF(L$21&gt;MAX($A$64:$A$500),"",SUMIFS($Y$64:$Y$500,$D$64:$D$500,$A25,$A$64:$A$500,"&lt;"&amp;EDATE(L$21,1))-SUMIFS($Y$64:$Y$500,$C$64:$C$500,$A25,$A$64:$A$500,"&lt;"&amp;EDATE(L$21,1))-IFERROR(INDEX('_예비비계산'!$BI$81:$BU$86,MATCH($A25,'_예비비계산'!$BH$81:$BH$86,0),MONTH(L$21)+1),0))</f>
      </c>
    </row>
    <row r="26" spans="1:22" ht="24" customHeight="1">
      <c r="A26" s="343" t="s">
        <v>19</v>
      </c>
      <c r="B26" s="342"/>
      <c r="C26" s="92">
        <f>IF(C$21&gt;MAX($A$64:$A$500),"",SUMIFS($Y$64:$Y$500,$D$64:$D$500,$A26,$A$64:$A$500,"&lt;"&amp;EDATE(C$21,1))-SUMIFS($Y$64:$Y$500,$C$64:$C$500,$A26,$A$64:$A$500,"&lt;"&amp;EDATE(C$21,1))-IFERROR(INDEX('_예비비계산'!$BI$81:$BU$86,MATCH($A26,'_예비비계산'!$BH$81:$BH$86,0),MONTH(C$21)+1),0))</f>
        <v>350000</v>
      </c>
      <c r="D26" s="92">
        <f>IF(D$21&gt;MAX($A$64:$A$500),"",SUMIFS($Y$64:$Y$500,$D$64:$D$500,$A26,$A$64:$A$500,"&lt;"&amp;EDATE(D$21,1))-SUMIFS($Y$64:$Y$500,$C$64:$C$500,$A26,$A$64:$A$500,"&lt;"&amp;EDATE(D$21,1))-IFERROR(INDEX('_예비비계산'!$BI$81:$BU$86,MATCH($A26,'_예비비계산'!$BH$81:$BH$86,0),MONTH(D$21)+1),0))</f>
        <v>350000</v>
      </c>
      <c r="E26" s="92">
        <f>IF(E$21&gt;MAX($A$64:$A$500),"",SUMIFS($Y$64:$Y$500,$D$64:$D$500,$A26,$A$64:$A$500,"&lt;"&amp;EDATE(E$21,1))-SUMIFS($Y$64:$Y$500,$C$64:$C$500,$A26,$A$64:$A$500,"&lt;"&amp;EDATE(E$21,1))-IFERROR(INDEX('_예비비계산'!$BI$81:$BU$86,MATCH($A26,'_예비비계산'!$BH$81:$BH$86,0),MONTH(E$21)+1),0))</f>
        <v>0</v>
      </c>
      <c r="F26" s="92">
        <f>IF(F$21&gt;MAX($A$64:$A$500),"",SUMIFS($Y$64:$Y$500,$D$64:$D$500,$A26,$A$64:$A$500,"&lt;"&amp;EDATE(F$21,1))-SUMIFS($Y$64:$Y$500,$C$64:$C$500,$A26,$A$64:$A$500,"&lt;"&amp;EDATE(F$21,1))-IFERROR(INDEX('_예비비계산'!$BI$81:$BU$86,MATCH($A26,'_예비비계산'!$BH$81:$BH$86,0),MONTH(F$21)+1),0))</f>
        <v>0</v>
      </c>
      <c r="G26" s="92">
        <f>IF(G$21&gt;MAX($A$64:$A$500),"",SUMIFS($Y$64:$Y$500,$D$64:$D$500,$A26,$A$64:$A$500,"&lt;"&amp;EDATE(G$21,1))-SUMIFS($Y$64:$Y$500,$C$64:$C$500,$A26,$A$64:$A$500,"&lt;"&amp;EDATE(G$21,1))-IFERROR(INDEX('_예비비계산'!$BI$81:$BU$86,MATCH($A26,'_예비비계산'!$BH$81:$BH$86,0),MONTH(G$21)+1),0))</f>
        <v>100000</v>
      </c>
      <c r="H26" s="92">
        <f>IF(H$21&gt;MAX($A$64:$A$500),"",SUMIFS($Y$64:$Y$500,$D$64:$D$500,$A26,$A$64:$A$500,"&lt;"&amp;EDATE(H$21,1))-SUMIFS($Y$64:$Y$500,$C$64:$C$500,$A26,$A$64:$A$500,"&lt;"&amp;EDATE(H$21,1))-IFERROR(INDEX('_예비비계산'!$BI$81:$BU$86,MATCH($A26,'_예비비계산'!$BH$81:$BH$86,0),MONTH(H$21)+1),0))</f>
        <v>200000</v>
      </c>
      <c r="I26" s="92">
        <f>IF(I$21&gt;MAX($A$64:$A$500),"",SUMIFS($Y$64:$Y$500,$D$64:$D$500,$A26,$A$64:$A$500,"&lt;"&amp;EDATE(I$21,1))-SUMIFS($Y$64:$Y$500,$C$64:$C$500,$A26,$A$64:$A$500,"&lt;"&amp;EDATE(I$21,1))-IFERROR(INDEX('_예비비계산'!$BI$81:$BU$86,MATCH($A26,'_예비비계산'!$BH$81:$BH$86,0),MONTH(I$21)+1),0))</f>
        <v>300000</v>
      </c>
      <c r="J26" s="92">
        <f>IF(J$21&gt;MAX($A$64:$A$500),"",SUMIFS($Y$64:$Y$500,$D$64:$D$500,$A26,$A$64:$A$500,"&lt;"&amp;EDATE(J$21,1))-SUMIFS($Y$64:$Y$500,$C$64:$C$500,$A26,$A$64:$A$500,"&lt;"&amp;EDATE(J$21,1))-IFERROR(INDEX('_예비비계산'!$BI$81:$BU$86,MATCH($A26,'_예비비계산'!$BH$81:$BH$86,0),MONTH(J$21)+1),0))</f>
        <v>300000</v>
      </c>
      <c r="K26" s="92">
        <f>IF(K$21&gt;MAX($A$64:$A$500),"",SUMIFS($Y$64:$Y$500,$D$64:$D$500,$A26,$A$64:$A$500,"&lt;"&amp;EDATE(K$21,1))-SUMIFS($Y$64:$Y$500,$C$64:$C$500,$A26,$A$64:$A$500,"&lt;"&amp;EDATE(K$21,1))-IFERROR(INDEX('_예비비계산'!$BI$81:$BU$86,MATCH($A26,'_예비비계산'!$BH$81:$BH$86,0),MONTH(K$21)+1),0))</f>
      </c>
      <c r="L26" s="92">
        <f>IF(L$21&gt;MAX($A$64:$A$500),"",SUMIFS($Y$64:$Y$500,$D$64:$D$500,$A26,$A$64:$A$500,"&lt;"&amp;EDATE(L$21,1))-SUMIFS($Y$64:$Y$500,$C$64:$C$500,$A26,$A$64:$A$500,"&lt;"&amp;EDATE(L$21,1))-IFERROR(INDEX('_예비비계산'!$BI$81:$BU$86,MATCH($A26,'_예비비계산'!$BH$81:$BH$86,0),MONTH(L$21)+1),0))</f>
      </c>
    </row>
    <row r="27" spans="1:22" ht="24" customHeight="1">
      <c r="A27" s="343" t="s">
        <v>20</v>
      </c>
      <c r="B27" s="342"/>
      <c r="C27" s="92">
        <f>IF(C$21&gt;MAX($A$64:$A$500),"",SUMIFS($Y$64:$Y$500,$D$64:$D$500,$A27,$A$64:$A$500,"&lt;"&amp;EDATE(C$21,1))-SUMIFS($Y$64:$Y$500,$C$64:$C$500,$A27,$A$64:$A$500,"&lt;"&amp;EDATE(C$21,1))-IFERROR(INDEX('_예비비계산'!$BI$81:$BU$86,MATCH($A27,'_예비비계산'!$BH$81:$BH$86,0),MONTH(C$21)+1),0))</f>
        <v>0</v>
      </c>
      <c r="D27" s="92">
        <f>IF(D$21&gt;MAX($A$64:$A$500),"",SUMIFS($Y$64:$Y$500,$D$64:$D$500,$A27,$A$64:$A$500,"&lt;"&amp;EDATE(D$21,1))-SUMIFS($Y$64:$Y$500,$C$64:$C$500,$A27,$A$64:$A$500,"&lt;"&amp;EDATE(D$21,1))-IFERROR(INDEX('_예비비계산'!$BI$81:$BU$86,MATCH($A27,'_예비비계산'!$BH$81:$BH$86,0),MONTH(D$21)+1),0))</f>
        <v>0</v>
      </c>
      <c r="E27" s="92">
        <f>IF(E$21&gt;MAX($A$64:$A$500),"",SUMIFS($Y$64:$Y$500,$D$64:$D$500,$A27,$A$64:$A$500,"&lt;"&amp;EDATE(E$21,1))-SUMIFS($Y$64:$Y$500,$C$64:$C$500,$A27,$A$64:$A$500,"&lt;"&amp;EDATE(E$21,1))-IFERROR(INDEX('_예비비계산'!$BI$81:$BU$86,MATCH($A27,'_예비비계산'!$BH$81:$BH$86,0),MONTH(E$21)+1),0))</f>
        <v>0</v>
      </c>
      <c r="F27" s="92">
        <f>IF(F$21&gt;MAX($A$64:$A$500),"",SUMIFS($Y$64:$Y$500,$D$64:$D$500,$A27,$A$64:$A$500,"&lt;"&amp;EDATE(F$21,1))-SUMIFS($Y$64:$Y$500,$C$64:$C$500,$A27,$A$64:$A$500,"&lt;"&amp;EDATE(F$21,1))-IFERROR(INDEX('_예비비계산'!$BI$81:$BU$86,MATCH($A27,'_예비비계산'!$BH$81:$BH$86,0),MONTH(F$21)+1),0))</f>
        <v>0</v>
      </c>
      <c r="G27" s="92">
        <f>IF(G$21&gt;MAX($A$64:$A$500),"",SUMIFS($Y$64:$Y$500,$D$64:$D$500,$A27,$A$64:$A$500,"&lt;"&amp;EDATE(G$21,1))-SUMIFS($Y$64:$Y$500,$C$64:$C$500,$A27,$A$64:$A$500,"&lt;"&amp;EDATE(G$21,1))-IFERROR(INDEX('_예비비계산'!$BI$81:$BU$86,MATCH($A27,'_예비비계산'!$BH$81:$BH$86,0),MONTH(G$21)+1),0))</f>
        <v>0</v>
      </c>
      <c r="H27" s="92">
        <f>IF(H$21&gt;MAX($A$64:$A$500),"",SUMIFS($Y$64:$Y$500,$D$64:$D$500,$A27,$A$64:$A$500,"&lt;"&amp;EDATE(H$21,1))-SUMIFS($Y$64:$Y$500,$C$64:$C$500,$A27,$A$64:$A$500,"&lt;"&amp;EDATE(H$21,1))-IFERROR(INDEX('_예비비계산'!$BI$81:$BU$86,MATCH($A27,'_예비비계산'!$BH$81:$BH$86,0),MONTH(H$21)+1),0))</f>
        <v>0</v>
      </c>
      <c r="I27" s="92">
        <f>IF(I$21&gt;MAX($A$64:$A$500),"",SUMIFS($Y$64:$Y$500,$D$64:$D$500,$A27,$A$64:$A$500,"&lt;"&amp;EDATE(I$21,1))-SUMIFS($Y$64:$Y$500,$C$64:$C$500,$A27,$A$64:$A$500,"&lt;"&amp;EDATE(I$21,1))-IFERROR(INDEX('_예비비계산'!$BI$81:$BU$86,MATCH($A27,'_예비비계산'!$BH$81:$BH$86,0),MONTH(I$21)+1),0))</f>
        <v>0</v>
      </c>
      <c r="J27" s="92">
        <f>IF(J$21&gt;MAX($A$64:$A$500),"",SUMIFS($Y$64:$Y$500,$D$64:$D$500,$A27,$A$64:$A$500,"&lt;"&amp;EDATE(J$21,1))-SUMIFS($Y$64:$Y$500,$C$64:$C$500,$A27,$A$64:$A$500,"&lt;"&amp;EDATE(J$21,1))-IFERROR(INDEX('_예비비계산'!$BI$81:$BU$86,MATCH($A27,'_예비비계산'!$BH$81:$BH$86,0),MONTH(J$21)+1),0))</f>
        <v>0</v>
      </c>
      <c r="K27" s="92">
        <f>IF(K$21&gt;MAX($A$64:$A$500),"",SUMIFS($Y$64:$Y$500,$D$64:$D$500,$A27,$A$64:$A$500,"&lt;"&amp;EDATE(K$21,1))-SUMIFS($Y$64:$Y$500,$C$64:$C$500,$A27,$A$64:$A$500,"&lt;"&amp;EDATE(K$21,1))-IFERROR(INDEX('_예비비계산'!$BI$81:$BU$86,MATCH($A27,'_예비비계산'!$BH$81:$BH$86,0),MONTH(K$21)+1),0))</f>
      </c>
      <c r="L27" s="92">
        <f>IF(L$21&gt;MAX($A$64:$A$500),"",SUMIFS($Y$64:$Y$500,$D$64:$D$500,$A27,$A$64:$A$500,"&lt;"&amp;EDATE(L$21,1))-SUMIFS($Y$64:$Y$500,$C$64:$C$500,$A27,$A$64:$A$500,"&lt;"&amp;EDATE(L$21,1))-IFERROR(INDEX('_예비비계산'!$BI$81:$BU$86,MATCH($A27,'_예비비계산'!$BH$81:$BH$86,0),MONTH(L$21)+1),0))</f>
      </c>
    </row>
    <row r="28" spans="1:22" ht="24" customHeight="1">
      <c r="A28" s="343" t="s">
        <v>21</v>
      </c>
      <c r="B28" s="342"/>
      <c r="C28" s="92">
        <f>IF(C$21&gt;MAX($A$64:$A$500),"",SUMIFS($Y$64:$Y$500,$D$64:$D$500,$A28,$A$64:$A$500,"&lt;"&amp;EDATE(C$21,1))-SUMIFS($Y$64:$Y$500,$C$64:$C$500,$A28,$A$64:$A$500,"&lt;"&amp;EDATE(C$21,1))+IFERROR(INDEX('_예비비계산'!$BI$81:$BU$86,MATCH($A28,'_예비비계산'!$BH$81:$BH$86,0),MONTH(C$21)+1),0))</f>
        <v>21500</v>
      </c>
      <c r="D28" s="92">
        <f>IF(D$21&gt;MAX($A$64:$A$500),"",SUMIFS($Y$64:$Y$500,$D$64:$D$500,$A28,$A$64:$A$500,"&lt;"&amp;EDATE(D$21,1))-SUMIFS($Y$64:$Y$500,$C$64:$C$500,$A28,$A$64:$A$500,"&lt;"&amp;EDATE(D$21,1))+IFERROR(INDEX('_예비비계산'!$BI$81:$BU$86,MATCH($A28,'_예비비계산'!$BH$81:$BH$86,0),MONTH(D$21)+1),0))</f>
        <v>0</v>
      </c>
      <c r="E28" s="92">
        <f>IF(E$21&gt;MAX($A$64:$A$500),"",SUMIFS($Y$64:$Y$500,$D$64:$D$500,$A28,$A$64:$A$500,"&lt;"&amp;EDATE(E$21,1))-SUMIFS($Y$64:$Y$500,$C$64:$C$500,$A28,$A$64:$A$500,"&lt;"&amp;EDATE(E$21,1))+IFERROR(INDEX('_예비비계산'!$BI$81:$BU$86,MATCH($A28,'_예비비계산'!$BH$81:$BH$86,0),MONTH(E$21)+1),0))</f>
        <v>0</v>
      </c>
      <c r="F28" s="92">
        <f>IF(F$21&gt;MAX($A$64:$A$500),"",SUMIFS($Y$64:$Y$500,$D$64:$D$500,$A28,$A$64:$A$500,"&lt;"&amp;EDATE(F$21,1))-SUMIFS($Y$64:$Y$500,$C$64:$C$500,$A28,$A$64:$A$500,"&lt;"&amp;EDATE(F$21,1))+IFERROR(INDEX('_예비비계산'!$BI$81:$BU$86,MATCH($A28,'_예비비계산'!$BH$81:$BH$86,0),MONTH(F$21)+1),0))</f>
        <v>0</v>
      </c>
      <c r="G28" s="92">
        <f>IF(G$21&gt;MAX($A$64:$A$500),"",SUMIFS($Y$64:$Y$500,$D$64:$D$500,$A28,$A$64:$A$500,"&lt;"&amp;EDATE(G$21,1))-SUMIFS($Y$64:$Y$500,$C$64:$C$500,$A28,$A$64:$A$500,"&lt;"&amp;EDATE(G$21,1))+IFERROR(INDEX('_예비비계산'!$BI$81:$BU$86,MATCH($A28,'_예비비계산'!$BH$81:$BH$86,0),MONTH(G$21)+1),0))</f>
        <v>0</v>
      </c>
      <c r="H28" s="92">
        <f>IF(H$21&gt;MAX($A$64:$A$500),"",SUMIFS($Y$64:$Y$500,$D$64:$D$500,$A28,$A$64:$A$500,"&lt;"&amp;EDATE(H$21,1))-SUMIFS($Y$64:$Y$500,$C$64:$C$500,$A28,$A$64:$A$500,"&lt;"&amp;EDATE(H$21,1))+IFERROR(INDEX('_예비비계산'!$BI$81:$BU$86,MATCH($A28,'_예비비계산'!$BH$81:$BH$86,0),MONTH(H$21)+1),0))</f>
        <v>0</v>
      </c>
      <c r="I28" s="92">
        <f>IF(I$21&gt;MAX($A$64:$A$500),"",SUMIFS($Y$64:$Y$500,$D$64:$D$500,$A28,$A$64:$A$500,"&lt;"&amp;EDATE(I$21,1))-SUMIFS($Y$64:$Y$500,$C$64:$C$500,$A28,$A$64:$A$500,"&lt;"&amp;EDATE(I$21,1))+IFERROR(INDEX('_예비비계산'!$BI$81:$BU$86,MATCH($A28,'_예비비계산'!$BH$81:$BH$86,0),MONTH(I$21)+1),0))</f>
        <v>0</v>
      </c>
      <c r="J28" s="92">
        <f>IF(J$21&gt;MAX($A$64:$A$500),"",SUMIFS($Y$64:$Y$500,$D$64:$D$500,$A28,$A$64:$A$500,"&lt;"&amp;EDATE(J$21,1))-SUMIFS($Y$64:$Y$500,$C$64:$C$500,$A28,$A$64:$A$500,"&lt;"&amp;EDATE(J$21,1))+IFERROR(INDEX('_예비비계산'!$BI$81:$BU$86,MATCH($A28,'_예비비계산'!$BH$81:$BH$86,0),MONTH(J$21)+1),0))</f>
        <v>0</v>
      </c>
      <c r="K28" s="92">
        <f>IF(K$21&gt;MAX($A$64:$A$500),"",SUMIFS($Y$64:$Y$500,$D$64:$D$500,$A28,$A$64:$A$500,"&lt;"&amp;EDATE(K$21,1))-SUMIFS($Y$64:$Y$500,$C$64:$C$500,$A28,$A$64:$A$500,"&lt;"&amp;EDATE(K$21,1))+IFERROR(INDEX('_예비비계산'!$BI$81:$BU$86,MATCH($A28,'_예비비계산'!$BH$81:$BH$86,0),MONTH(K$21)+1),0))</f>
      </c>
      <c r="L28" s="92">
        <f>IF(L$21&gt;MAX($A$64:$A$500),"",SUMIFS($Y$64:$Y$500,$D$64:$D$500,$A28,$A$64:$A$500,"&lt;"&amp;EDATE(L$21,1))-SUMIFS($Y$64:$Y$500,$C$64:$C$500,$A28,$A$64:$A$500,"&lt;"&amp;EDATE(L$21,1))+IFERROR(INDEX('_예비비계산'!$BI$81:$BU$86,MATCH($A28,'_예비비계산'!$BH$81:$BH$86,0),MONTH(L$21)+1),0))</f>
      </c>
    </row>
    <row r="29" spans="1:22" ht="24" customHeight="1">
      <c r="A29" s="343" t="s">
        <v>22</v>
      </c>
      <c r="B29" s="342"/>
      <c r="C29" s="92">
        <f>IF(C$21&gt;MAX($A$64:$A$500),"",SUMIFS($Y$64:$Y$500,$D$64:$D$500,$A29,$A$64:$A$500,"&lt;"&amp;EDATE(C$21,1))-SUMIFS($Y$64:$Y$500,$C$64:$C$500,$A29,$A$64:$A$500,"&lt;"&amp;EDATE(C$21,1)))</f>
        <v>0</v>
      </c>
      <c r="D29" s="92">
        <f>IF(D$21&gt;MAX($A$64:$A$500),"",SUMIFS($Y$64:$Y$500,$D$64:$D$500,$A29,$A$64:$A$500,"&lt;"&amp;EDATE(D$21,1))-SUMIFS($Y$64:$Y$500,$C$64:$C$500,$A29,$A$64:$A$500,"&lt;"&amp;EDATE(D$21,1)))</f>
        <v>2151</v>
      </c>
      <c r="E29" s="92">
        <f>IF(E$21&gt;MAX($A$64:$A$500),"",SUMIFS($Y$64:$Y$500,$D$64:$D$500,$A29,$A$64:$A$500,"&lt;"&amp;EDATE(E$21,1))-SUMIFS($Y$64:$Y$500,$C$64:$C$500,$A29,$A$64:$A$500,"&lt;"&amp;EDATE(E$21,1)))</f>
        <v>1137</v>
      </c>
      <c r="F29" s="92">
        <f>IF(F$21&gt;MAX($A$64:$A$500),"",SUMIFS($Y$64:$Y$500,$D$64:$D$500,$A29,$A$64:$A$500,"&lt;"&amp;EDATE(F$21,1))-SUMIFS($Y$64:$Y$500,$C$64:$C$500,$A29,$A$64:$A$500,"&lt;"&amp;EDATE(F$21,1)))</f>
        <v>4897</v>
      </c>
      <c r="G29" s="92">
        <f>IF(G$21&gt;MAX($A$64:$A$500),"",SUMIFS($Y$64:$Y$500,$D$64:$D$500,$A29,$A$64:$A$500,"&lt;"&amp;EDATE(G$21,1))-SUMIFS($Y$64:$Y$500,$C$64:$C$500,$A29,$A$64:$A$500,"&lt;"&amp;EDATE(G$21,1)))</f>
        <v>27858</v>
      </c>
      <c r="H29" s="92">
        <f>IF(H$21&gt;MAX($A$64:$A$500),"",SUMIFS($Y$64:$Y$500,$D$64:$D$500,$A29,$A$64:$A$500,"&lt;"&amp;EDATE(H$21,1))-SUMIFS($Y$64:$Y$500,$C$64:$C$500,$A29,$A$64:$A$500,"&lt;"&amp;EDATE(H$21,1)))</f>
        <v>0</v>
      </c>
      <c r="I29" s="92">
        <f>IF(I$21&gt;MAX($A$64:$A$500),"",SUMIFS($Y$64:$Y$500,$D$64:$D$500,$A29,$A$64:$A$500,"&lt;"&amp;EDATE(I$21,1))-SUMIFS($Y$64:$Y$500,$C$64:$C$500,$A29,$A$64:$A$500,"&lt;"&amp;EDATE(I$21,1)))</f>
        <v>0</v>
      </c>
      <c r="J29" s="92">
        <f>IF(J$21&gt;MAX($A$64:$A$500),"",SUMIFS($Y$64:$Y$500,$D$64:$D$500,$A29,$A$64:$A$500,"&lt;"&amp;EDATE(J$21,1))-SUMIFS($Y$64:$Y$500,$C$64:$C$500,$A29,$A$64:$A$500,"&lt;"&amp;EDATE(J$21,1)))</f>
        <v>0</v>
      </c>
      <c r="K29" s="92">
        <f>IF(K$21&gt;MAX($A$64:$A$500),"",SUMIFS($Y$64:$Y$500,$D$64:$D$500,$A29,$A$64:$A$500,"&lt;"&amp;EDATE(K$21,1))-SUMIFS($Y$64:$Y$500,$C$64:$C$500,$A29,$A$64:$A$500,"&lt;"&amp;EDATE(K$21,1)))</f>
      </c>
      <c r="L29" s="92">
        <f>IF(L$21&gt;MAX($A$64:$A$500),"",SUMIFS($Y$64:$Y$500,$D$64:$D$500,$A29,$A$64:$A$500,"&lt;"&amp;EDATE(L$21,1))-SUMIFS($Y$64:$Y$500,$C$64:$C$500,$A29,$A$64:$A$500,"&lt;"&amp;EDATE(L$21,1)))</f>
      </c>
    </row>
    <row r="30" spans="1:22" ht="24" customHeight="1">
      <c r="A30" s="343" t="s">
        <v>23</v>
      </c>
      <c r="B30" s="342"/>
      <c r="C30" s="92">
        <f>IF(C$21&gt;MAX($A$64:$A$500),"",SUMIFS($Y$64:$Y$500,$D$64:$D$500,$A30,$A$64:$A$500,"&lt;"&amp;EDATE(C$21,1))-SUMIFS($Y$64:$Y$500,$C$64:$C$500,$A30,$A$64:$A$500,"&lt;"&amp;EDATE(C$21,1)))</f>
        <v>2042224</v>
      </c>
      <c r="D30" s="92">
        <f>IF(D$21&gt;MAX($A$64:$A$500),"",SUMIFS($Y$64:$Y$500,$D$64:$D$500,$A30,$A$64:$A$500,"&lt;"&amp;EDATE(D$21,1))-SUMIFS($Y$64:$Y$500,$C$64:$C$500,$A30,$A$64:$A$500,"&lt;"&amp;EDATE(D$21,1)))</f>
        <v>2548910</v>
      </c>
      <c r="E30" s="92">
        <f>IF(E$21&gt;MAX($A$64:$A$500),"",SUMIFS($Y$64:$Y$500,$D$64:$D$500,$A30,$A$64:$A$500,"&lt;"&amp;EDATE(E$21,1))-SUMIFS($Y$64:$Y$500,$C$64:$C$500,$A30,$A$64:$A$500,"&lt;"&amp;EDATE(E$21,1)))</f>
        <v>2042174</v>
      </c>
      <c r="F30" s="92">
        <f>IF(F$21&gt;MAX($A$64:$A$500),"",SUMIFS($Y$64:$Y$500,$D$64:$D$500,$A30,$A$64:$A$500,"&lt;"&amp;EDATE(F$21,1))-SUMIFS($Y$64:$Y$500,$C$64:$C$500,$A30,$A$64:$A$500,"&lt;"&amp;EDATE(F$21,1)))</f>
        <v>6188750</v>
      </c>
      <c r="G30" s="92">
        <f>IF(G$21&gt;MAX($A$64:$A$500),"",SUMIFS($Y$64:$Y$500,$D$64:$D$500,$A30,$A$64:$A$500,"&lt;"&amp;EDATE(G$21,1))-SUMIFS($Y$64:$Y$500,$C$64:$C$500,$A30,$A$64:$A$500,"&lt;"&amp;EDATE(G$21,1)))</f>
        <v>11338850</v>
      </c>
      <c r="H30" s="92">
        <f>IF(H$21&gt;MAX($A$64:$A$500),"",SUMIFS($Y$64:$Y$500,$D$64:$D$500,$A30,$A$64:$A$500,"&lt;"&amp;EDATE(H$21,1))-SUMIFS($Y$64:$Y$500,$C$64:$C$500,$A30,$A$64:$A$500,"&lt;"&amp;EDATE(H$21,1)))</f>
        <v>9495719</v>
      </c>
      <c r="I30" s="92">
        <f>IF(I$21&gt;MAX($A$64:$A$500),"",SUMIFS($Y$64:$Y$500,$D$64:$D$500,$A30,$A$64:$A$500,"&lt;"&amp;EDATE(I$21,1))-SUMIFS($Y$64:$Y$500,$C$64:$C$500,$A30,$A$64:$A$500,"&lt;"&amp;EDATE(I$21,1)))</f>
        <v>0</v>
      </c>
      <c r="J30" s="92">
        <f>IF(J$21&gt;MAX($A$64:$A$500),"",SUMIFS($Y$64:$Y$500,$D$64:$D$500,$A30,$A$64:$A$500,"&lt;"&amp;EDATE(J$21,1))-SUMIFS($Y$64:$Y$500,$C$64:$C$500,$A30,$A$64:$A$500,"&lt;"&amp;EDATE(J$21,1)))</f>
        <v>0</v>
      </c>
      <c r="K30" s="92">
        <f>IF(K$21&gt;MAX($A$64:$A$500),"",SUMIFS($Y$64:$Y$500,$D$64:$D$500,$A30,$A$64:$A$500,"&lt;"&amp;EDATE(K$21,1))-SUMIFS($Y$64:$Y$500,$C$64:$C$500,$A30,$A$64:$A$500,"&lt;"&amp;EDATE(K$21,1)))</f>
      </c>
      <c r="L30" s="92">
        <f>IF(L$21&gt;MAX($A$64:$A$500),"",SUMIFS($Y$64:$Y$500,$D$64:$D$500,$A30,$A$64:$A$500,"&lt;"&amp;EDATE(L$21,1))-SUMIFS($Y$64:$Y$500,$C$64:$C$500,$A30,$A$64:$A$500,"&lt;"&amp;EDATE(L$21,1)))</f>
      </c>
    </row>
    <row r="31" spans="1:22" ht="24" customHeight="1">
      <c r="A31" s="346" t="s">
        <v>29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</row>
    <row r="32" spans="1:22" ht="24" customHeight="1">
      <c r="A32" s="354" t="s">
        <v>24</v>
      </c>
      <c r="B32" s="342"/>
      <c r="C32" s="93">
        <f>IF(C$21&gt;MAX($A$64:$A$500),"",SUM(C22:C30))</f>
        <v>4807335</v>
      </c>
      <c r="D32" s="93">
        <f>IF(D$21&gt;MAX($A$64:$A$500),"",SUM(D22:D30))</f>
        <v>5445728</v>
      </c>
      <c r="E32" s="93">
        <f>IF(E$21&gt;MAX($A$64:$A$500),"",SUM(E22:E30))</f>
        <v>4705400</v>
      </c>
      <c r="F32" s="93">
        <f>IF(F$21&gt;MAX($A$64:$A$500),"",SUM(F22:F30))</f>
        <v>8620449</v>
      </c>
      <c r="G32" s="93">
        <f>IF(G$21&gt;MAX($A$64:$A$500),"",SUM(G22:G30))</f>
        <v>12918210</v>
      </c>
      <c r="H32" s="93">
        <f>IF(H$21&gt;MAX($A$64:$A$500),"",SUM(H22:H30))</f>
        <v>11495719</v>
      </c>
      <c r="I32" s="93">
        <f>IF(I$21&gt;MAX($A$64:$A$500),"",SUM(I22:I30))</f>
        <v>8538603</v>
      </c>
      <c r="J32" s="93">
        <f>IF(J$21&gt;MAX($A$64:$A$500),"",SUM(J22:J30))</f>
        <v>6669766</v>
      </c>
      <c r="K32" s="93">
        <f>IF(K$21&gt;MAX($A$64:$A$500),"",SUM(K22:K30))</f>
      </c>
      <c r="L32" s="93">
        <f>IF(L$21&gt;MAX($A$64:$A$500),"",SUM(L22:L30))</f>
      </c>
      <c r="V32" s="80"/>
    </row>
    <row r="33" spans="1:22" ht="30" customHeight="1">
      <c r="A33" s="349" t="inlineStr">
        <is>
          <t xml:space="preserve">목적계정 사용가능액 + 결제대금비 등 모든 계정 = WRAP 현금. 결제대금 자동 확보는 총현금을 바꾸지 않습니다.</t>
        </is>
      </c>
      <c r="B33" s="345"/>
      <c r="C33" s="345"/>
      <c r="D33" s="345"/>
      <c r="E33" s="345"/>
      <c r="F33" s="345"/>
      <c r="G33" s="345"/>
      <c r="H33" s="345"/>
      <c r="I33" s="345"/>
      <c r="J33" s="345"/>
      <c r="K33" s="345"/>
      <c r="L33" s="345"/>
    </row>
    <row r="34" spans="1:22" ht="24" customHeight="1">
      <c r="A34" s="351" t="s">
        <v>31</v>
      </c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2"/>
    </row>
    <row r="35" spans="1:22" ht="24" customHeight="1">
      <c r="A35" s="86" t="inlineStr">
        <is>
          <t xml:space="preserve">내역 월(연동)</t>
        </is>
      </c>
      <c r="B35" s="308">
        <f>MONTH($B$3)</f>
        <v>10</v>
      </c>
      <c r="C35" s="86"/>
      <c r="D35" s="308" t="s">
        <v>33</v>
      </c>
      <c r="E35" s="309">
        <v>1</v>
      </c>
      <c r="F35" s="308">
        <f>MAX(1,ROUNDUP(COUNTIFS($H$64:$H$500,$V$35,$P$64:$P$500,"내역")/22,0))</f>
        <v>1</v>
      </c>
      <c r="G35" s="308" t="s">
        <v>34</v>
      </c>
      <c r="H35" s="309">
        <v>1</v>
      </c>
      <c r="I35" s="308">
        <f>MAX(1,ROUNDUP(COUNTIFS($H$64:$H$500,$V$35,$P$64:$P$500,"이체")/22,0))</f>
        <v>1</v>
      </c>
      <c r="J35" s="344" t="str">
        <f>"표시: 내역 "&amp;$AA$35&amp;"/"&amp;$F$35&amp;" · 이체 "&amp;$AB$35&amp;"/"&amp;$I$35</f>
        <v>표시: 내역 1/1 · 이체 1/1</v>
      </c>
      <c r="K35" s="345"/>
      <c r="L35" s="345"/>
      <c r="M35" s="80"/>
      <c r="N35" s="80"/>
      <c r="V35" s="80">
        <f>$B$3</f>
        <v>46296.0</v>
      </c>
      <c r="AA35">
        <f>MIN(MAX(1,IFERROR(INT($E$35),1)),$F$35)</f>
        <v>1</v>
      </c>
      <c r="AB35">
        <f>MIN(MAX(1,IFERROR(INT($H$35),1)),$I$35)</f>
        <v>1</v>
      </c>
    </row>
    <row r="36" spans="1:22" ht="24" customHeight="1">
      <c r="A36" s="354" t="str">
        <f>"WRAP 입금·사용 ("&amp;COUNTIFS($H$64:$H$500,$V$35,$P$64:$P$500,"내역")&amp;"건)"</f>
        <v>WRAP 입금·사용 (3건)</v>
      </c>
      <c r="B36" s="341"/>
      <c r="C36" s="341"/>
      <c r="D36" s="341"/>
      <c r="E36" s="341"/>
      <c r="F36" s="342"/>
      <c r="G36" s="357" t="str">
        <f>"WRAP 계좌이체 ("&amp;COUNTIFS($H$64:$H$500,$V$35,$P$64:$P$500,"이체")&amp;"건)"</f>
        <v>WRAP 계좌이체 (13건)</v>
      </c>
      <c r="H36" s="341"/>
      <c r="I36" s="341"/>
      <c r="J36" s="341"/>
      <c r="K36" s="341"/>
      <c r="L36" s="342"/>
      <c r="M36" s="80"/>
      <c r="N36" s="80"/>
    </row>
    <row r="37" spans="1:22" ht="24" customHeight="1">
      <c r="A37" s="95" t="s">
        <v>36</v>
      </c>
      <c r="B37" s="95" t="s">
        <v>4</v>
      </c>
      <c r="C37" s="353" t="s">
        <v>37</v>
      </c>
      <c r="D37" s="341"/>
      <c r="E37" s="342"/>
      <c r="F37" s="95" t="s">
        <v>38</v>
      </c>
      <c r="G37" s="95" t="s">
        <v>36</v>
      </c>
      <c r="H37" s="95" t="s">
        <v>39</v>
      </c>
      <c r="I37" s="95" t="s">
        <v>40</v>
      </c>
      <c r="J37" s="95" t="s">
        <v>38</v>
      </c>
      <c r="K37" s="353" t="s">
        <v>37</v>
      </c>
      <c r="L37" s="342"/>
      <c r="M37" s="80"/>
      <c r="N37" s="80"/>
    </row>
    <row r="38" spans="1:22" ht="24" customHeight="1">
      <c r="A38" s="310">
        <f t="shared" ref="A38:A59" si="10">IF($M38=0,"",INDEX($U$64:$U$500,$M38))</f>
        <v>46308.859037118054</v>
      </c>
      <c r="B38" s="311" t="str">
        <f t="shared" ref="B38:B59" si="11">IF($M38=0,"",INDEX($Q$64:$Q$500,$M38))</f>
        <v>생활비</v>
      </c>
      <c r="C38" s="340" t="str">
        <f t="shared" ref="C38:C59" si="12">IF($M38=0,"",INDEX($F$64:$F$500,$M38))</f>
        <v>미래에셋 WRAP 이자</v>
      </c>
      <c r="D38" s="341"/>
      <c r="E38" s="342"/>
      <c r="F38" s="312">
        <f t="shared" ref="F38:F59" si="13">IF($M38=0,"",INDEX($T$64:$T$500,$M38))</f>
        <v>535</v>
      </c>
      <c r="G38" s="310">
        <f t="shared" ref="G38:G59" si="14">IF($N38=0,"",INDEX($U$64:$U$500,$N38))</f>
        <v>46312.66737074074</v>
      </c>
      <c r="H38" s="311" t="str">
        <f t="shared" ref="H38:H59" si="15">SUBSTITUTE(IF($N38=0,"",IF(INDEX($J$64:$J$500,$N38)&lt;&gt;"",INDEX($J$64:$J$500,$N38),INDEX($C$64:$C$500,$N38))),"미래에셋_WRAP형CMA","미래에셋 WRAP")</f>
        <v>미래에셋 WRAP</v>
      </c>
      <c r="I38" s="311" t="str">
        <f t="shared" ref="I38:I59" si="16">SUBSTITUTE(IF($N38=0,"",IF(INDEX($K$64:$K$500,$N38)&lt;&gt;"",INDEX($K$64:$K$500,$N38),INDEX($D$64:$D$500,$N38))),"미래에셋_WRAP형CMA","미래에셋 WRAP")</f>
        <v>카카오페이머니</v>
      </c>
      <c r="J38" s="313">
        <f t="shared" ref="J38:J59" si="17">IF($N38=0,"",INDEX($E$64:$E$500,$N38))</f>
        <v>15700</v>
      </c>
      <c r="K38" s="340" t="str">
        <f t="shared" ref="K38:K59" si="18">IF($N38=0,"",INDEX($F$64:$F$500,$N38))</f>
        <v>카카오페이 충전 · 플라잉 더치</v>
      </c>
      <c r="L38" s="342"/>
      <c r="M38" s="80">
        <f>IFERROR(MATCH(TEXT($V$35,"yyyymm")&amp;"_내역_"&amp;(38-37+($AA$35-1)*22),$R$64:$R$500,0),0)</f>
        <v>182</v>
      </c>
      <c r="N38" s="80">
        <f>IFERROR(MATCH(TEXT($V$35,"yyyymm")&amp;"_이체_"&amp;(38-37+($AB$35-1)*22),$R$64:$R$500,0),0)</f>
        <v>185</v>
      </c>
    </row>
    <row r="39" spans="1:22" ht="24" customHeight="1">
      <c r="A39" s="310">
        <f t="shared" si="10"/>
        <v>46307.84306710648</v>
      </c>
      <c r="B39" s="311" t="str">
        <f t="shared" si="11"/>
        <v>생활비</v>
      </c>
      <c r="C39" s="340" t="str">
        <f t="shared" si="12"/>
        <v>미래에셋 WRAP 이자</v>
      </c>
      <c r="D39" s="341"/>
      <c r="E39" s="342"/>
      <c r="F39" s="312">
        <f t="shared" si="13"/>
        <v>8557</v>
      </c>
      <c r="G39" s="310">
        <f t="shared" si="14"/>
        <v>46310.9587962963</v>
      </c>
      <c r="H39" s="311" t="str">
        <f t="shared" si="15"/>
        <v>미래에셋 WRAP</v>
      </c>
      <c r="I39" s="311" t="str">
        <f t="shared" si="16"/>
        <v>미래에셋 WRAP</v>
      </c>
      <c r="J39" s="313">
        <f t="shared" si="17"/>
        <v>61000</v>
      </c>
      <c r="K39" s="340" t="str">
        <f t="shared" si="18"/>
        <v>생신 잔금 임시보관 → 생활비</v>
      </c>
      <c r="L39" s="342"/>
      <c r="M39" s="80">
        <f>IFERROR(MATCH(TEXT($V$35,"yyyymm")&amp;"_내역_"&amp;(39-37+($AA$35-1)*22),$R$64:$R$500,0),0)</f>
        <v>175</v>
      </c>
      <c r="N39" s="80">
        <f>IFERROR(MATCH(TEXT($V$35,"yyyymm")&amp;"_이체_"&amp;(39-37+($AB$35-1)*22),$R$64:$R$500,0),0)</f>
        <v>184</v>
      </c>
    </row>
    <row r="40" spans="1:22" ht="24" customHeight="1">
      <c r="A40" s="310">
        <f t="shared" si="10"/>
        <v>46297.6222230787</v>
      </c>
      <c r="B40" s="311" t="str">
        <f t="shared" si="11"/>
        <v>생활비</v>
      </c>
      <c r="C40" s="340" t="str">
        <f t="shared" si="12"/>
        <v>두끼떡볶이</v>
      </c>
      <c r="D40" s="341"/>
      <c r="E40" s="342"/>
      <c r="F40" s="312">
        <f t="shared" si="13"/>
        <v>-11900</v>
      </c>
      <c r="G40" s="310">
        <f t="shared" si="14"/>
        <v>46310.93959303241</v>
      </c>
      <c r="H40" s="311" t="str">
        <f t="shared" si="15"/>
        <v>가족통장</v>
      </c>
      <c r="I40" s="311" t="str">
        <f t="shared" si="16"/>
        <v>미래에셋 WRAP</v>
      </c>
      <c r="J40" s="313">
        <f t="shared" si="17"/>
        <v>61000</v>
      </c>
      <c r="K40" s="340" t="str">
        <f t="shared" si="18"/>
        <v>부모 생신 미사용 원금 회수</v>
      </c>
      <c r="L40" s="342"/>
      <c r="M40" s="80">
        <f>IFERROR(MATCH(TEXT($V$35,"yyyymm")&amp;"_내역_"&amp;(40-37+($AA$35-1)*22),$R$64:$R$500,0),0)</f>
        <v>179</v>
      </c>
      <c r="N40" s="80">
        <f>IFERROR(MATCH(TEXT($V$35,"yyyymm")&amp;"_이체_"&amp;(40-37+($AB$35-1)*22),$R$64:$R$500,0),0)</f>
        <v>183</v>
      </c>
    </row>
    <row r="41" spans="1:22" ht="24" customHeight="1">
      <c r="A41" s="310">
        <f t="shared" si="10"/>
      </c>
      <c r="B41" s="311">
        <f t="shared" si="11"/>
      </c>
      <c r="C41" s="340">
        <f t="shared" si="12"/>
      </c>
      <c r="D41" s="341"/>
      <c r="E41" s="342"/>
      <c r="F41" s="312">
        <f t="shared" si="13"/>
      </c>
      <c r="G41" s="310">
        <f t="shared" si="14"/>
        <v>46308.851395949074</v>
      </c>
      <c r="H41" s="311" t="str">
        <f t="shared" si="15"/>
        <v>신한은행V2</v>
      </c>
      <c r="I41" s="311" t="str">
        <f t="shared" si="16"/>
        <v>미래에셋 WRAP</v>
      </c>
      <c r="J41" s="313">
        <f t="shared" si="17"/>
        <v>22210</v>
      </c>
      <c r="K41" s="340" t="str">
        <f t="shared" si="18"/>
        <v>신한은행V2 → 미래에셋 WRAP</v>
      </c>
      <c r="L41" s="342"/>
      <c r="M41" s="80">
        <f>IFERROR(MATCH(TEXT($V$35,"yyyymm")&amp;"_내역_"&amp;(41-37+($AA$35-1)*22),$R$64:$R$500,0),0)</f>
        <v>0</v>
      </c>
      <c r="N41" s="80">
        <f>IFERROR(MATCH(TEXT($V$35,"yyyymm")&amp;"_이체_"&amp;(41-37+($AB$35-1)*22),$R$64:$R$500,0),0)</f>
        <v>168</v>
      </c>
    </row>
    <row r="42" spans="1:22" ht="24" customHeight="1">
      <c r="A42" s="310">
        <f t="shared" si="10"/>
      </c>
      <c r="B42" s="311">
        <f t="shared" si="11"/>
      </c>
      <c r="C42" s="340">
        <f t="shared" si="12"/>
      </c>
      <c r="D42" s="341"/>
      <c r="E42" s="342"/>
      <c r="F42" s="312">
        <f t="shared" si="13"/>
      </c>
      <c r="G42" s="310">
        <f t="shared" si="14"/>
        <v>46308.850696064816</v>
      </c>
      <c r="H42" s="311" t="str">
        <f t="shared" si="15"/>
        <v>미래에셋 WRAP</v>
      </c>
      <c r="I42" s="311" t="str">
        <f t="shared" si="16"/>
        <v>토스뱅크</v>
      </c>
      <c r="J42" s="313">
        <f t="shared" si="17"/>
        <v>236270</v>
      </c>
      <c r="K42" s="340" t="str">
        <f t="shared" si="18"/>
        <v>미래에셋 WRAP → 토스뱅크</v>
      </c>
      <c r="L42" s="342"/>
      <c r="M42" s="80">
        <f>IFERROR(MATCH(TEXT($V$35,"yyyymm")&amp;"_내역_"&amp;(42-37+($AA$35-1)*22),$R$64:$R$500,0),0)</f>
        <v>0</v>
      </c>
      <c r="N42" s="80">
        <f>IFERROR(MATCH(TEXT($V$35,"yyyymm")&amp;"_이체_"&amp;(42-37+($AB$35-1)*22),$R$64:$R$500,0),0)</f>
        <v>169</v>
      </c>
    </row>
    <row r="43" spans="1:22" ht="24" customHeight="1">
      <c r="A43" s="310">
        <f t="shared" si="10"/>
      </c>
      <c r="B43" s="311">
        <f t="shared" si="11"/>
      </c>
      <c r="C43" s="340">
        <f t="shared" si="12"/>
      </c>
      <c r="D43" s="341"/>
      <c r="E43" s="342"/>
      <c r="F43" s="312">
        <f t="shared" si="13"/>
      </c>
      <c r="G43" s="310">
        <f t="shared" si="14"/>
        <v>46308.85000755787</v>
      </c>
      <c r="H43" s="311" t="str">
        <f t="shared" si="15"/>
        <v>미래에셋 WRAP</v>
      </c>
      <c r="I43" s="311" t="str">
        <f t="shared" si="16"/>
        <v>우리은행</v>
      </c>
      <c r="J43" s="313">
        <f t="shared" si="17"/>
        <v>246568</v>
      </c>
      <c r="K43" s="340" t="str">
        <f t="shared" si="18"/>
        <v>미래에셋 WRAP → 우리은행</v>
      </c>
      <c r="L43" s="342"/>
      <c r="M43" s="80">
        <f>IFERROR(MATCH(TEXT($V$35,"yyyymm")&amp;"_내역_"&amp;(43-37+($AA$35-1)*22),$R$64:$R$500,0),0)</f>
        <v>0</v>
      </c>
      <c r="N43" s="80">
        <f>IFERROR(MATCH(TEXT($V$35,"yyyymm")&amp;"_이체_"&amp;(43-37+($AB$35-1)*22),$R$64:$R$500,0),0)</f>
        <v>170</v>
      </c>
    </row>
    <row r="44" spans="1:22" ht="24" customHeight="1">
      <c r="A44" s="310">
        <f t="shared" si="10"/>
      </c>
      <c r="B44" s="311">
        <f t="shared" si="11"/>
      </c>
      <c r="C44" s="340">
        <f t="shared" si="12"/>
      </c>
      <c r="D44" s="341"/>
      <c r="E44" s="342"/>
      <c r="F44" s="312">
        <f t="shared" si="13"/>
      </c>
      <c r="G44" s="310">
        <f t="shared" si="14"/>
        <v>46308.848613587965</v>
      </c>
      <c r="H44" s="311" t="str">
        <f t="shared" si="15"/>
        <v>미래에셋 WRAP</v>
      </c>
      <c r="I44" s="311" t="str">
        <f t="shared" si="16"/>
        <v>국민은행</v>
      </c>
      <c r="J44" s="313">
        <f t="shared" si="17"/>
        <v>360550</v>
      </c>
      <c r="K44" s="340" t="str">
        <f t="shared" si="18"/>
        <v>미래에셋 WRAP → 국민은행</v>
      </c>
      <c r="L44" s="342"/>
      <c r="M44" s="80">
        <f>IFERROR(MATCH(TEXT($V$35,"yyyymm")&amp;"_내역_"&amp;(44-37+($AA$35-1)*22),$R$64:$R$500,0),0)</f>
        <v>0</v>
      </c>
      <c r="N44" s="80">
        <f>IFERROR(MATCH(TEXT($V$35,"yyyymm")&amp;"_이체_"&amp;(44-37+($AB$35-1)*22),$R$64:$R$500,0),0)</f>
        <v>171</v>
      </c>
    </row>
    <row r="45" spans="1:22" ht="24" customHeight="1">
      <c r="A45" s="310">
        <f t="shared" si="10"/>
      </c>
      <c r="B45" s="311">
        <f t="shared" si="11"/>
      </c>
      <c r="C45" s="340">
        <f t="shared" si="12"/>
      </c>
      <c r="D45" s="341"/>
      <c r="E45" s="342"/>
      <c r="F45" s="312">
        <f t="shared" si="13"/>
      </c>
      <c r="G45" s="310">
        <f t="shared" si="14"/>
        <v>46308.84792493055</v>
      </c>
      <c r="H45" s="311" t="str">
        <f t="shared" si="15"/>
        <v>미래에셋 WRAP</v>
      </c>
      <c r="I45" s="311" t="str">
        <f t="shared" si="16"/>
        <v>토스뱅크</v>
      </c>
      <c r="J45" s="313">
        <f t="shared" si="17"/>
        <v>798746</v>
      </c>
      <c r="K45" s="340" t="str">
        <f t="shared" si="18"/>
        <v>미래에셋 WRAP → 토스뱅크</v>
      </c>
      <c r="L45" s="342"/>
      <c r="M45" s="80">
        <f>IFERROR(MATCH(TEXT($V$35,"yyyymm")&amp;"_내역_"&amp;(45-37+($AA$35-1)*22),$R$64:$R$500,0),0)</f>
        <v>0</v>
      </c>
      <c r="N45" s="80">
        <f>IFERROR(MATCH(TEXT($V$35,"yyyymm")&amp;"_이체_"&amp;(45-37+($AB$35-1)*22),$R$64:$R$500,0),0)</f>
        <v>172</v>
      </c>
    </row>
    <row r="46" spans="1:22" ht="24" customHeight="1">
      <c r="A46" s="310">
        <f t="shared" si="10"/>
      </c>
      <c r="B46" s="311">
        <f t="shared" si="11"/>
      </c>
      <c r="C46" s="340">
        <f t="shared" si="12"/>
      </c>
      <c r="D46" s="341"/>
      <c r="E46" s="342"/>
      <c r="F46" s="312">
        <f t="shared" si="13"/>
      </c>
      <c r="G46" s="310">
        <f t="shared" si="14"/>
        <v>46308.84583777778</v>
      </c>
      <c r="H46" s="311" t="str">
        <f t="shared" si="15"/>
        <v>토스뱅크</v>
      </c>
      <c r="I46" s="311" t="str">
        <f t="shared" si="16"/>
        <v>미래에셋 WRAP</v>
      </c>
      <c r="J46" s="313">
        <f t="shared" si="17"/>
        <v>604300</v>
      </c>
      <c r="K46" s="340" t="str">
        <f t="shared" si="18"/>
        <v>토스뱅크 → 미래에셋 WRAP</v>
      </c>
      <c r="L46" s="342"/>
      <c r="M46" s="80">
        <f>IFERROR(MATCH(TEXT($V$35,"yyyymm")&amp;"_내역_"&amp;(46-37+($AA$35-1)*22),$R$64:$R$500,0),0)</f>
        <v>0</v>
      </c>
      <c r="N46" s="80">
        <f>IFERROR(MATCH(TEXT($V$35,"yyyymm")&amp;"_이체_"&amp;(46-37+($AB$35-1)*22),$R$64:$R$500,0),0)</f>
        <v>173</v>
      </c>
    </row>
    <row r="47" spans="1:22" ht="24" customHeight="1">
      <c r="A47" s="310">
        <f t="shared" si="10"/>
      </c>
      <c r="B47" s="311">
        <f t="shared" si="11"/>
      </c>
      <c r="C47" s="340">
        <f t="shared" si="12"/>
      </c>
      <c r="D47" s="341"/>
      <c r="E47" s="342"/>
      <c r="F47" s="312">
        <f t="shared" si="13"/>
      </c>
      <c r="G47" s="310">
        <f t="shared" si="14"/>
        <v>46308.74901017361</v>
      </c>
      <c r="H47" s="311" t="str">
        <f t="shared" si="15"/>
        <v>미래에셋 WRAP</v>
      </c>
      <c r="I47" s="311" t="str">
        <f t="shared" si="16"/>
        <v>새마을금고</v>
      </c>
      <c r="J47" s="313">
        <f t="shared" si="17"/>
        <v>753905</v>
      </c>
      <c r="K47" s="340" t="str">
        <f t="shared" si="18"/>
        <v>미래에셋 WRAP → 새마을금고</v>
      </c>
      <c r="L47" s="342"/>
      <c r="M47" s="80">
        <f>IFERROR(MATCH(TEXT($V$35,"yyyymm")&amp;"_내역_"&amp;(47-37+($AA$35-1)*22),$R$64:$R$500,0),0)</f>
        <v>0</v>
      </c>
      <c r="N47" s="80">
        <f>IFERROR(MATCH(TEXT($V$35,"yyyymm")&amp;"_이체_"&amp;(47-37+($AB$35-1)*22),$R$64:$R$500,0),0)</f>
        <v>174</v>
      </c>
    </row>
    <row r="48" spans="1:22" ht="24" customHeight="1">
      <c r="A48" s="310">
        <f t="shared" si="10"/>
      </c>
      <c r="B48" s="311">
        <f t="shared" si="11"/>
      </c>
      <c r="C48" s="340">
        <f t="shared" si="12"/>
      </c>
      <c r="D48" s="341"/>
      <c r="E48" s="342"/>
      <c r="F48" s="312">
        <f t="shared" si="13"/>
      </c>
      <c r="G48" s="310">
        <f t="shared" si="14"/>
        <v>46307.82500104167</v>
      </c>
      <c r="H48" s="311" t="str">
        <f t="shared" si="15"/>
        <v>미래에셋 WRAP</v>
      </c>
      <c r="I48" s="311" t="str">
        <f t="shared" si="16"/>
        <v>카카오뱅크</v>
      </c>
      <c r="J48" s="313">
        <f t="shared" si="17"/>
        <v>1390</v>
      </c>
      <c r="K48" s="340" t="str">
        <f t="shared" si="18"/>
        <v>미래에셋 WRAP → 카카오뱅크</v>
      </c>
      <c r="L48" s="342"/>
      <c r="M48" s="80">
        <f>IFERROR(MATCH(TEXT($V$35,"yyyymm")&amp;"_내역_"&amp;(48-37+($AA$35-1)*22),$R$64:$R$500,0),0)</f>
        <v>0</v>
      </c>
      <c r="N48" s="80">
        <f>IFERROR(MATCH(TEXT($V$35,"yyyymm")&amp;"_이체_"&amp;(48-37+($AB$35-1)*22),$R$64:$R$500,0),0)</f>
        <v>176</v>
      </c>
    </row>
    <row r="49" spans="1:25" ht="24" customHeight="1">
      <c r="A49" s="310">
        <f t="shared" si="10"/>
      </c>
      <c r="B49" s="311">
        <f t="shared" si="11"/>
      </c>
      <c r="C49" s="340">
        <f t="shared" si="12"/>
      </c>
      <c r="D49" s="341"/>
      <c r="E49" s="342"/>
      <c r="F49" s="312">
        <f t="shared" si="13"/>
      </c>
      <c r="G49" s="310">
        <f t="shared" si="14"/>
        <v>46307.82431055555</v>
      </c>
      <c r="H49" s="311" t="str">
        <f t="shared" si="15"/>
        <v>미래에셋 WRAP</v>
      </c>
      <c r="I49" s="311" t="str">
        <f t="shared" si="16"/>
        <v>신한은행</v>
      </c>
      <c r="J49" s="313">
        <f t="shared" si="17"/>
        <v>90410</v>
      </c>
      <c r="K49" s="340" t="str">
        <f t="shared" si="18"/>
        <v>미래에셋 WRAP → 신한은행</v>
      </c>
      <c r="L49" s="342"/>
      <c r="M49" s="80">
        <f>IFERROR(MATCH(TEXT($V$35,"yyyymm")&amp;"_내역_"&amp;(49-37+($AA$35-1)*22),$R$64:$R$500,0),0)</f>
        <v>0</v>
      </c>
      <c r="N49" s="80">
        <f>IFERROR(MATCH(TEXT($V$35,"yyyymm")&amp;"_이체_"&amp;(49-37+($AB$35-1)*22),$R$64:$R$500,0),0)</f>
        <v>177</v>
      </c>
    </row>
    <row r="50" spans="1:25" ht="24" customHeight="1">
      <c r="A50" s="310">
        <f t="shared" si="10"/>
      </c>
      <c r="B50" s="311">
        <f t="shared" si="11"/>
      </c>
      <c r="C50" s="340">
        <f t="shared" si="12"/>
      </c>
      <c r="D50" s="341"/>
      <c r="E50" s="342"/>
      <c r="F50" s="312">
        <f t="shared" si="13"/>
      </c>
      <c r="G50" s="310">
        <f t="shared" si="14"/>
        <v>46299.620147118054</v>
      </c>
      <c r="H50" s="311" t="str">
        <f t="shared" si="15"/>
        <v>미래에셋 WRAP</v>
      </c>
      <c r="I50" s="311" t="str">
        <f t="shared" si="16"/>
        <v>모임통장</v>
      </c>
      <c r="J50" s="313">
        <f t="shared" si="17"/>
        <v>50000</v>
      </c>
      <c r="K50" s="340" t="str">
        <f t="shared" si="18"/>
        <v>미래에셋 WRAP → 모임통장</v>
      </c>
      <c r="L50" s="342"/>
      <c r="M50" s="80">
        <f>IFERROR(MATCH(TEXT($V$35,"yyyymm")&amp;"_내역_"&amp;(50-37+($AA$35-1)*22),$R$64:$R$500,0),0)</f>
        <v>0</v>
      </c>
      <c r="N50" s="80">
        <f>IFERROR(MATCH(TEXT($V$35,"yyyymm")&amp;"_이체_"&amp;(50-37+($AB$35-1)*22),$R$64:$R$500,0),0)</f>
        <v>178</v>
      </c>
    </row>
    <row r="51" spans="1:25" ht="24" customHeight="1">
      <c r="A51" s="310">
        <f t="shared" si="10"/>
      </c>
      <c r="B51" s="311">
        <f t="shared" si="11"/>
      </c>
      <c r="C51" s="340">
        <f t="shared" si="12"/>
      </c>
      <c r="D51" s="341"/>
      <c r="E51" s="342"/>
      <c r="F51" s="312">
        <f t="shared" si="13"/>
      </c>
      <c r="G51" s="310">
        <f t="shared" si="14"/>
      </c>
      <c r="H51" s="311">
        <f t="shared" si="15"/>
      </c>
      <c r="I51" s="311">
        <f t="shared" si="16"/>
      </c>
      <c r="J51" s="313">
        <f t="shared" si="17"/>
      </c>
      <c r="K51" s="340">
        <f t="shared" si="18"/>
      </c>
      <c r="L51" s="342"/>
      <c r="M51" s="80">
        <f>IFERROR(MATCH(TEXT($V$35,"yyyymm")&amp;"_내역_"&amp;(51-37+($AA$35-1)*22),$R$64:$R$500,0),0)</f>
        <v>0</v>
      </c>
      <c r="N51" s="80">
        <f>IFERROR(MATCH(TEXT($V$35,"yyyymm")&amp;"_이체_"&amp;(51-37+($AB$35-1)*22),$R$64:$R$500,0),0)</f>
        <v>0</v>
      </c>
    </row>
    <row r="52" spans="1:25" ht="24" customHeight="1">
      <c r="A52" s="310">
        <f t="shared" si="10"/>
      </c>
      <c r="B52" s="311">
        <f t="shared" si="11"/>
      </c>
      <c r="C52" s="340">
        <f t="shared" si="12"/>
      </c>
      <c r="D52" s="341"/>
      <c r="E52" s="342"/>
      <c r="F52" s="312">
        <f t="shared" si="13"/>
      </c>
      <c r="G52" s="310">
        <f t="shared" si="14"/>
      </c>
      <c r="H52" s="311">
        <f t="shared" si="15"/>
      </c>
      <c r="I52" s="311">
        <f t="shared" si="16"/>
      </c>
      <c r="J52" s="313">
        <f t="shared" si="17"/>
      </c>
      <c r="K52" s="340">
        <f t="shared" si="18"/>
      </c>
      <c r="L52" s="342"/>
      <c r="M52" s="80">
        <f>IFERROR(MATCH(TEXT($V$35,"yyyymm")&amp;"_내역_"&amp;(52-37+($AA$35-1)*22),$R$64:$R$500,0),0)</f>
        <v>0</v>
      </c>
      <c r="N52" s="80">
        <f>IFERROR(MATCH(TEXT($V$35,"yyyymm")&amp;"_이체_"&amp;(52-37+($AB$35-1)*22),$R$64:$R$500,0),0)</f>
        <v>0</v>
      </c>
    </row>
    <row r="53" spans="1:25" ht="24" customHeight="1">
      <c r="A53" s="310">
        <f t="shared" si="10"/>
      </c>
      <c r="B53" s="311">
        <f t="shared" si="11"/>
      </c>
      <c r="C53" s="340">
        <f t="shared" si="12"/>
      </c>
      <c r="D53" s="341"/>
      <c r="E53" s="342"/>
      <c r="F53" s="312">
        <f t="shared" si="13"/>
      </c>
      <c r="G53" s="310">
        <f t="shared" si="14"/>
      </c>
      <c r="H53" s="311">
        <f t="shared" si="15"/>
      </c>
      <c r="I53" s="311">
        <f t="shared" si="16"/>
      </c>
      <c r="J53" s="313">
        <f t="shared" si="17"/>
      </c>
      <c r="K53" s="340">
        <f t="shared" si="18"/>
      </c>
      <c r="L53" s="342"/>
      <c r="M53" s="80">
        <f>IFERROR(MATCH(TEXT($V$35,"yyyymm")&amp;"_내역_"&amp;(53-37+($AA$35-1)*22),$R$64:$R$500,0),0)</f>
        <v>0</v>
      </c>
      <c r="N53" s="80">
        <f>IFERROR(MATCH(TEXT($V$35,"yyyymm")&amp;"_이체_"&amp;(53-37+($AB$35-1)*22),$R$64:$R$500,0),0)</f>
        <v>0</v>
      </c>
    </row>
    <row r="54" spans="1:25" ht="24" customHeight="1">
      <c r="A54" s="310">
        <f t="shared" si="10"/>
      </c>
      <c r="B54" s="311">
        <f t="shared" si="11"/>
      </c>
      <c r="C54" s="340">
        <f t="shared" si="12"/>
      </c>
      <c r="D54" s="341"/>
      <c r="E54" s="342"/>
      <c r="F54" s="312">
        <f t="shared" si="13"/>
      </c>
      <c r="G54" s="310">
        <f t="shared" si="14"/>
      </c>
      <c r="H54" s="311">
        <f t="shared" si="15"/>
      </c>
      <c r="I54" s="311">
        <f t="shared" si="16"/>
      </c>
      <c r="J54" s="313">
        <f t="shared" si="17"/>
      </c>
      <c r="K54" s="340">
        <f t="shared" si="18"/>
      </c>
      <c r="L54" s="342"/>
      <c r="M54" s="80">
        <f>IFERROR(MATCH(TEXT($V$35,"yyyymm")&amp;"_내역_"&amp;(54-37+($AA$35-1)*22),$R$64:$R$500,0),0)</f>
        <v>0</v>
      </c>
      <c r="N54" s="80">
        <f>IFERROR(MATCH(TEXT($V$35,"yyyymm")&amp;"_이체_"&amp;(54-37+($AB$35-1)*22),$R$64:$R$500,0),0)</f>
        <v>0</v>
      </c>
    </row>
    <row r="55" spans="1:25" ht="24" customHeight="1">
      <c r="A55" s="310">
        <f t="shared" si="10"/>
      </c>
      <c r="B55" s="311">
        <f t="shared" si="11"/>
      </c>
      <c r="C55" s="340">
        <f t="shared" si="12"/>
      </c>
      <c r="D55" s="341"/>
      <c r="E55" s="342"/>
      <c r="F55" s="312">
        <f t="shared" si="13"/>
      </c>
      <c r="G55" s="310">
        <f t="shared" si="14"/>
      </c>
      <c r="H55" s="311">
        <f t="shared" si="15"/>
      </c>
      <c r="I55" s="311">
        <f t="shared" si="16"/>
      </c>
      <c r="J55" s="313">
        <f t="shared" si="17"/>
      </c>
      <c r="K55" s="340">
        <f t="shared" si="18"/>
      </c>
      <c r="L55" s="342"/>
      <c r="M55" s="80">
        <f>IFERROR(MATCH(TEXT($V$35,"yyyymm")&amp;"_내역_"&amp;(55-37+($AA$35-1)*22),$R$64:$R$500,0),0)</f>
        <v>0</v>
      </c>
      <c r="N55" s="80">
        <f>IFERROR(MATCH(TEXT($V$35,"yyyymm")&amp;"_이체_"&amp;(55-37+($AB$35-1)*22),$R$64:$R$500,0),0)</f>
        <v>0</v>
      </c>
    </row>
    <row r="56" spans="1:25" ht="24" customHeight="1">
      <c r="A56" s="310">
        <f t="shared" si="10"/>
      </c>
      <c r="B56" s="311">
        <f t="shared" si="11"/>
      </c>
      <c r="C56" s="340">
        <f t="shared" si="12"/>
      </c>
      <c r="D56" s="341"/>
      <c r="E56" s="342"/>
      <c r="F56" s="312">
        <f t="shared" si="13"/>
      </c>
      <c r="G56" s="310">
        <f t="shared" si="14"/>
      </c>
      <c r="H56" s="311">
        <f t="shared" si="15"/>
      </c>
      <c r="I56" s="311">
        <f t="shared" si="16"/>
      </c>
      <c r="J56" s="313">
        <f t="shared" si="17"/>
      </c>
      <c r="K56" s="340">
        <f t="shared" si="18"/>
      </c>
      <c r="L56" s="342"/>
      <c r="M56" s="80">
        <f>IFERROR(MATCH(TEXT($V$35,"yyyymm")&amp;"_내역_"&amp;(56-37+($AA$35-1)*22),$R$64:$R$500,0),0)</f>
        <v>0</v>
      </c>
      <c r="N56" s="80">
        <f>IFERROR(MATCH(TEXT($V$35,"yyyymm")&amp;"_이체_"&amp;(56-37+($AB$35-1)*22),$R$64:$R$500,0),0)</f>
        <v>0</v>
      </c>
    </row>
    <row r="57" spans="1:25" ht="24" customHeight="1">
      <c r="A57" s="310">
        <f t="shared" si="10"/>
      </c>
      <c r="B57" s="311">
        <f t="shared" si="11"/>
      </c>
      <c r="C57" s="340">
        <f t="shared" si="12"/>
      </c>
      <c r="D57" s="341"/>
      <c r="E57" s="342"/>
      <c r="F57" s="312">
        <f t="shared" si="13"/>
      </c>
      <c r="G57" s="310">
        <f t="shared" si="14"/>
      </c>
      <c r="H57" s="311">
        <f t="shared" si="15"/>
      </c>
      <c r="I57" s="311">
        <f t="shared" si="16"/>
      </c>
      <c r="J57" s="313">
        <f t="shared" si="17"/>
      </c>
      <c r="K57" s="340">
        <f t="shared" si="18"/>
      </c>
      <c r="L57" s="342"/>
      <c r="M57" s="80">
        <f>IFERROR(MATCH(TEXT($V$35,"yyyymm")&amp;"_내역_"&amp;(57-37+($AA$35-1)*22),$R$64:$R$500,0),0)</f>
        <v>0</v>
      </c>
      <c r="N57" s="80">
        <f>IFERROR(MATCH(TEXT($V$35,"yyyymm")&amp;"_이체_"&amp;(57-37+($AB$35-1)*22),$R$64:$R$500,0),0)</f>
        <v>0</v>
      </c>
    </row>
    <row r="58" spans="1:25" ht="24" customHeight="1">
      <c r="A58" s="310">
        <f t="shared" si="10"/>
      </c>
      <c r="B58" s="311">
        <f t="shared" si="11"/>
      </c>
      <c r="C58" s="340">
        <f t="shared" si="12"/>
      </c>
      <c r="D58" s="341"/>
      <c r="E58" s="342"/>
      <c r="F58" s="312">
        <f t="shared" si="13"/>
      </c>
      <c r="G58" s="310">
        <f t="shared" si="14"/>
      </c>
      <c r="H58" s="311">
        <f t="shared" si="15"/>
      </c>
      <c r="I58" s="311">
        <f t="shared" si="16"/>
      </c>
      <c r="J58" s="313">
        <f t="shared" si="17"/>
      </c>
      <c r="K58" s="340">
        <f t="shared" si="18"/>
      </c>
      <c r="L58" s="342"/>
      <c r="M58" s="80">
        <f>IFERROR(MATCH(TEXT($V$35,"yyyymm")&amp;"_내역_"&amp;(58-37+($AA$35-1)*22),$R$64:$R$500,0),0)</f>
        <v>0</v>
      </c>
      <c r="N58" s="80">
        <f>IFERROR(MATCH(TEXT($V$35,"yyyymm")&amp;"_이체_"&amp;(58-37+($AB$35-1)*22),$R$64:$R$500,0),0)</f>
        <v>0</v>
      </c>
    </row>
    <row r="59" spans="1:25" ht="24" customHeight="1">
      <c r="A59" s="310">
        <f t="shared" si="10"/>
      </c>
      <c r="B59" s="311">
        <f t="shared" si="11"/>
      </c>
      <c r="C59" s="340">
        <f t="shared" si="12"/>
      </c>
      <c r="D59" s="341"/>
      <c r="E59" s="342"/>
      <c r="F59" s="312">
        <f t="shared" si="13"/>
      </c>
      <c r="G59" s="310">
        <f t="shared" si="14"/>
      </c>
      <c r="H59" s="311">
        <f t="shared" si="15"/>
      </c>
      <c r="I59" s="311">
        <f t="shared" si="16"/>
      </c>
      <c r="J59" s="313">
        <f t="shared" si="17"/>
      </c>
      <c r="K59" s="340">
        <f t="shared" si="18"/>
      </c>
      <c r="L59" s="342"/>
      <c r="M59" s="80">
        <f>IFERROR(MATCH(TEXT($V$35,"yyyymm")&amp;"_내역_"&amp;(59-37+($AA$35-1)*22),$R$64:$R$500,0),0)</f>
        <v>0</v>
      </c>
      <c r="N59" s="80">
        <f>IFERROR(MATCH(TEXT($V$35,"yyyymm")&amp;"_이체_"&amp;(59-37+($AB$35-1)*22),$R$64:$R$500,0),0)</f>
        <v>0</v>
      </c>
    </row>
    <row r="60" spans="1:25" ht="40" customHeight="1">
      <c r="A60" s="349" t="inlineStr">
        <is>
          <t xml:space="preserve">내역·원장 조회는 위쪽 조회월(B3)에 자동 연동됩니다. 조회표는 직접 수정하지 말고, 전체 원장 입력자료는 아래 왼쪽 +를 펼쳐 편집하세요.</t>
        </is>
      </c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</row>
    <row r="62" spans="1:25">
      <c r="A62" s="350" t="inlineStr">
        <is>
          <t xml:space="preserve">선택월 WRAP 원장 | 조회월(B3) 자동 연동 · 전체 입력자료는 왼쪽 +로 펼침</t>
        </is>
      </c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2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5" outlineLevel="1" hidden="1">
      <c r="A63" s="82" t="s">
        <v>36</v>
      </c>
      <c r="B63" s="82" t="s">
        <v>43</v>
      </c>
      <c r="C63" s="82" t="s">
        <v>44</v>
      </c>
      <c r="D63" s="82" t="s">
        <v>45</v>
      </c>
      <c r="E63" s="82" t="s">
        <v>38</v>
      </c>
      <c r="F63" s="82" t="s">
        <v>37</v>
      </c>
      <c r="G63" s="82" t="s">
        <v>46</v>
      </c>
      <c r="H63" s="82" t="s">
        <v>47</v>
      </c>
      <c r="I63" s="82" t="s">
        <v>48</v>
      </c>
      <c r="J63" s="82" t="s">
        <v>39</v>
      </c>
      <c r="K63" s="82" t="s">
        <v>40</v>
      </c>
      <c r="L63" s="82" t="s">
        <v>49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50</v>
      </c>
      <c r="X63" s="82" t="s">
        <v>51</v>
      </c>
      <c r="Y63" s="82" t="s">
        <v>52</v>
      </c>
    </row>
    <row r="64" spans="1:25" ht="40" customHeight="1" outlineLevel="1" hidden="1">
      <c r="A64" s="83">
        <v>46082</v>
      </c>
      <c r="B64" s="84" t="s">
        <v>53</v>
      </c>
      <c r="C64" s="84" t="s">
        <v>54</v>
      </c>
      <c r="D64" s="84" t="s">
        <v>15</v>
      </c>
      <c r="E64" s="85">
        <v>229000</v>
      </c>
      <c r="F64" s="89" t="s">
        <v>55</v>
      </c>
      <c r="G64" s="90" t="s">
        <v>56</v>
      </c>
      <c r="H64" s="87">
        <f t="shared" ref="H64:H127" si="19">IF(A64="","",DATE(YEAR(A64),MONTH(A64),1))</f>
        <v>46082.0</v>
      </c>
      <c r="I64" s="88" t="str">
        <f t="shared" ref="I64:I127" si="20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57</v>
      </c>
      <c r="M64" s="81"/>
      <c r="N64" s="81"/>
      <c r="O64" s="81"/>
      <c r="P64" s="81" t="str">
        <f t="shared" ref="P64:P127" si="21">IF(Q64="","",IF(Q64="이체","이체","내역"))</f>
        <v>내역</v>
      </c>
      <c r="Q64" s="81" t="str">
        <f t="shared" ref="Q64:Q127" si="22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3">IF(Q64="","",D64)</f>
        <v>생활비</v>
      </c>
      <c r="T64" s="81">
        <f t="shared" ref="T64:T127" si="24">IF(Q64="","",IF(Q64="이체",E64,IF(D64=Q64,E64,-E64)))</f>
        <v>229000</v>
      </c>
      <c r="U64" s="81">
        <f t="shared" ref="U64:U127" si="25">IF(Q64="","",IF(ISNUMBER(SEARCH("날짜 미기록",G64)),"날짜 미기록",A64))</f>
        <v>46082.0</v>
      </c>
      <c r="V64" s="81"/>
      <c r="Y64">
        <f t="shared" ref="Y64:Y127" si="26">IF(A64="","",IF(I64="OK",E64,0))</f>
        <v>229000</v>
      </c>
      <c r="Z64">
        <f>IFERROR(IF(AND(ISNUMBER(A64),A64&gt;=$B$3,A64&lt;EDATE($B$3,1)),COUNTIFS($A$64:$A$500,"&gt;"&amp;A64,$A$64:$A$500,"&lt;"&amp;EDATE($B$3,1))+COUNTIF($A$64:A64,A64),0),0)</f>
        <v>0</v>
      </c>
    </row>
    <row r="65" spans="1:25" ht="40" customHeight="1" outlineLevel="1" hidden="1">
      <c r="A65" s="83">
        <v>46082</v>
      </c>
      <c r="B65" s="84" t="s">
        <v>53</v>
      </c>
      <c r="C65" s="84" t="s">
        <v>54</v>
      </c>
      <c r="D65" s="84" t="s">
        <v>16</v>
      </c>
      <c r="E65" s="85">
        <v>50000</v>
      </c>
      <c r="F65" s="89" t="s">
        <v>55</v>
      </c>
      <c r="G65" s="90" t="s">
        <v>56</v>
      </c>
      <c r="H65" s="87">
        <f t="shared" si="19"/>
        <v>46082.0</v>
      </c>
      <c r="I65" s="88" t="str">
        <f t="shared" si="20"/>
        <v>OK</v>
      </c>
      <c r="J65" s="81"/>
      <c r="K65" s="81"/>
      <c r="L65" s="81" t="s">
        <v>57</v>
      </c>
      <c r="M65" s="81"/>
      <c r="N65" s="81"/>
      <c r="O65" s="81"/>
      <c r="P65" s="81" t="str">
        <f t="shared" si="21"/>
        <v>내역</v>
      </c>
      <c r="Q65" s="81" t="str">
        <f t="shared" si="22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3"/>
        <v>명절비</v>
      </c>
      <c r="T65" s="81">
        <f t="shared" si="24"/>
        <v>50000</v>
      </c>
      <c r="U65" s="81">
        <f t="shared" si="25"/>
        <v>46082.0</v>
      </c>
      <c r="V65" s="81"/>
      <c r="Y65">
        <f t="shared" si="26"/>
        <v>50000</v>
      </c>
      <c r="Z65">
        <f>IFERROR(IF(AND(ISNUMBER(A65),A65&gt;=$B$3,A65&lt;EDATE($B$3,1)),COUNTIFS($A$64:$A$500,"&gt;"&amp;A65,$A$64:$A$500,"&lt;"&amp;EDATE($B$3,1))+COUNTIF($A$64:A65,A65),0),0)</f>
        <v>0</v>
      </c>
    </row>
    <row r="66" spans="1:25" ht="40" customHeight="1" outlineLevel="1" hidden="1">
      <c r="A66" s="83">
        <v>46082</v>
      </c>
      <c r="B66" s="84" t="s">
        <v>53</v>
      </c>
      <c r="C66" s="84" t="s">
        <v>54</v>
      </c>
      <c r="D66" s="84" t="s">
        <v>17</v>
      </c>
      <c r="E66" s="85">
        <v>1200000</v>
      </c>
      <c r="F66" s="89" t="s">
        <v>55</v>
      </c>
      <c r="G66" s="90" t="s">
        <v>56</v>
      </c>
      <c r="H66" s="87">
        <f t="shared" si="19"/>
        <v>46082.0</v>
      </c>
      <c r="I66" s="88" t="str">
        <f t="shared" si="20"/>
        <v>OK</v>
      </c>
      <c r="J66" s="81"/>
      <c r="K66" s="81"/>
      <c r="L66" s="81" t="s">
        <v>57</v>
      </c>
      <c r="M66" s="81"/>
      <c r="N66" s="81"/>
      <c r="O66" s="81"/>
      <c r="P66" s="81" t="str">
        <f t="shared" si="21"/>
        <v>내역</v>
      </c>
      <c r="Q66" s="81" t="str">
        <f t="shared" si="22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3"/>
        <v>여행비</v>
      </c>
      <c r="T66" s="81">
        <f t="shared" si="24"/>
        <v>1200000</v>
      </c>
      <c r="U66" s="81">
        <f t="shared" si="25"/>
        <v>46082.0</v>
      </c>
      <c r="V66" s="81"/>
      <c r="Y66">
        <f t="shared" si="26"/>
        <v>1200000</v>
      </c>
      <c r="Z66">
        <f>IFERROR(IF(AND(ISNUMBER(A66),A66&gt;=$B$3,A66&lt;EDATE($B$3,1)),COUNTIFS($A$64:$A$500,"&gt;"&amp;A66,$A$64:$A$500,"&lt;"&amp;EDATE($B$3,1))+COUNTIF($A$64:A66,A66),0),0)</f>
        <v>0</v>
      </c>
    </row>
    <row r="67" spans="1:25" ht="40" customHeight="1" outlineLevel="1" hidden="1">
      <c r="A67" s="83">
        <v>46082</v>
      </c>
      <c r="B67" s="84" t="s">
        <v>53</v>
      </c>
      <c r="C67" s="84" t="s">
        <v>54</v>
      </c>
      <c r="D67" s="84" t="s">
        <v>19</v>
      </c>
      <c r="E67" s="85">
        <v>300000</v>
      </c>
      <c r="F67" s="89" t="s">
        <v>55</v>
      </c>
      <c r="G67" s="90" t="s">
        <v>56</v>
      </c>
      <c r="H67" s="87">
        <f t="shared" si="19"/>
        <v>46082.0</v>
      </c>
      <c r="I67" s="88" t="str">
        <f t="shared" si="20"/>
        <v>OK</v>
      </c>
      <c r="J67" s="81"/>
      <c r="K67" s="81"/>
      <c r="L67" s="81" t="s">
        <v>57</v>
      </c>
      <c r="M67" s="81"/>
      <c r="N67" s="81"/>
      <c r="O67" s="81"/>
      <c r="P67" s="81" t="str">
        <f t="shared" si="21"/>
        <v>내역</v>
      </c>
      <c r="Q67" s="81" t="str">
        <f t="shared" si="22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3"/>
        <v>상환비</v>
      </c>
      <c r="T67" s="81">
        <f t="shared" si="24"/>
        <v>300000</v>
      </c>
      <c r="U67" s="81">
        <f t="shared" si="25"/>
        <v>46082.0</v>
      </c>
      <c r="V67" s="81"/>
      <c r="Y67">
        <f t="shared" si="26"/>
        <v>300000</v>
      </c>
      <c r="Z67">
        <f>IFERROR(IF(AND(ISNUMBER(A67),A67&gt;=$B$3,A67&lt;EDATE($B$3,1)),COUNTIFS($A$64:$A$500,"&gt;"&amp;A67,$A$64:$A$500,"&lt;"&amp;EDATE($B$3,1))+COUNTIF($A$64:A67,A67),0),0)</f>
        <v>0</v>
      </c>
    </row>
    <row r="68" spans="1:25" ht="40" customHeight="1" outlineLevel="1" hidden="1">
      <c r="A68" s="83">
        <v>46082</v>
      </c>
      <c r="B68" s="84" t="s">
        <v>53</v>
      </c>
      <c r="C68" s="84" t="s">
        <v>54</v>
      </c>
      <c r="D68" s="84" t="s">
        <v>23</v>
      </c>
      <c r="E68" s="85">
        <v>2042224</v>
      </c>
      <c r="F68" s="89" t="s">
        <v>55</v>
      </c>
      <c r="G68" s="90" t="s">
        <v>58</v>
      </c>
      <c r="H68" s="87">
        <f t="shared" si="19"/>
        <v>46082.0</v>
      </c>
      <c r="I68" s="88" t="str">
        <f t="shared" si="20"/>
        <v>OK</v>
      </c>
      <c r="J68" s="81"/>
      <c r="K68" s="81"/>
      <c r="L68" s="81" t="s">
        <v>57</v>
      </c>
      <c r="M68" s="81"/>
      <c r="N68" s="81"/>
      <c r="O68" s="81"/>
      <c r="P68" s="81" t="str">
        <f t="shared" si="21"/>
        <v>내역</v>
      </c>
      <c r="Q68" s="81" t="str">
        <f t="shared" si="22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3"/>
        <v>임시보관</v>
      </c>
      <c r="T68" s="81">
        <f t="shared" si="24"/>
        <v>2042224</v>
      </c>
      <c r="U68" s="81">
        <f t="shared" si="25"/>
        <v>46082.0</v>
      </c>
      <c r="V68" s="81"/>
      <c r="Y68">
        <f t="shared" si="26"/>
        <v>2042224</v>
      </c>
      <c r="Z68">
        <f>IFERROR(IF(AND(ISNUMBER(A68),A68&gt;=$B$3,A68&lt;EDATE($B$3,1)),COUNTIFS($A$64:$A$500,"&gt;"&amp;A68,$A$64:$A$500,"&lt;"&amp;EDATE($B$3,1))+COUNTIF($A$64:A68,A68),0),0)</f>
        <v>0</v>
      </c>
    </row>
    <row r="69" spans="1:25" ht="40" customHeight="1" outlineLevel="1" hidden="1">
      <c r="A69" s="83">
        <v>46082</v>
      </c>
      <c r="B69" s="84" t="s">
        <v>59</v>
      </c>
      <c r="C69" s="84" t="s">
        <v>54</v>
      </c>
      <c r="D69" s="84" t="s">
        <v>15</v>
      </c>
      <c r="E69" s="85">
        <v>782611</v>
      </c>
      <c r="F69" s="89" t="s">
        <v>60</v>
      </c>
      <c r="G69" s="90" t="s">
        <v>61</v>
      </c>
      <c r="H69" s="87">
        <f t="shared" si="19"/>
        <v>46082.0</v>
      </c>
      <c r="I69" s="88" t="str">
        <f t="shared" si="20"/>
        <v>OK</v>
      </c>
      <c r="J69" s="81"/>
      <c r="K69" s="81"/>
      <c r="L69" s="81" t="s">
        <v>57</v>
      </c>
      <c r="M69" s="81"/>
      <c r="N69" s="81"/>
      <c r="O69" s="81"/>
      <c r="P69" s="81" t="str">
        <f t="shared" si="21"/>
        <v>내역</v>
      </c>
      <c r="Q69" s="81" t="str">
        <f t="shared" si="22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3"/>
        <v>생활비</v>
      </c>
      <c r="T69" s="81">
        <f t="shared" si="24"/>
        <v>782611</v>
      </c>
      <c r="U69" s="81" t="str">
        <f t="shared" si="25"/>
        <v>날짜 미기록</v>
      </c>
      <c r="V69" s="81"/>
      <c r="Y69">
        <f t="shared" si="26"/>
        <v>782611</v>
      </c>
      <c r="Z69">
        <f>IFERROR(IF(AND(ISNUMBER(A69),A69&gt;=$B$3,A69&lt;EDATE($B$3,1)),COUNTIFS($A$64:$A$500,"&gt;"&amp;A69,$A$64:$A$500,"&lt;"&amp;EDATE($B$3,1))+COUNTIF($A$64:A69,A69),0),0)</f>
        <v>0</v>
      </c>
    </row>
    <row r="70" spans="1:25" ht="40" customHeight="1" outlineLevel="1" hidden="1">
      <c r="A70" s="83">
        <v>46082</v>
      </c>
      <c r="B70" s="84" t="s">
        <v>62</v>
      </c>
      <c r="C70" s="84" t="s">
        <v>15</v>
      </c>
      <c r="D70" s="84" t="s">
        <v>63</v>
      </c>
      <c r="E70" s="85">
        <v>18000</v>
      </c>
      <c r="F70" s="89" t="s">
        <v>64</v>
      </c>
      <c r="G70" s="90" t="s">
        <v>61</v>
      </c>
      <c r="H70" s="87">
        <f t="shared" si="19"/>
        <v>46082.0</v>
      </c>
      <c r="I70" s="88" t="str">
        <f t="shared" si="20"/>
        <v>OK</v>
      </c>
      <c r="J70" s="81"/>
      <c r="K70" s="81"/>
      <c r="L70" s="81" t="s">
        <v>57</v>
      </c>
      <c r="M70" s="81"/>
      <c r="N70" s="81"/>
      <c r="O70" s="81"/>
      <c r="P70" s="81" t="str">
        <f t="shared" si="21"/>
        <v>내역</v>
      </c>
      <c r="Q70" s="81" t="str">
        <f t="shared" si="22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3"/>
        <v>지출</v>
      </c>
      <c r="T70" s="81">
        <f t="shared" si="24"/>
        <v>-18000</v>
      </c>
      <c r="U70" s="81" t="str">
        <f t="shared" si="25"/>
        <v>날짜 미기록</v>
      </c>
      <c r="V70" s="81"/>
      <c r="Y70">
        <f t="shared" si="26"/>
        <v>18000</v>
      </c>
      <c r="Z70">
        <f>IFERROR(IF(AND(ISNUMBER(A70),A70&gt;=$B$3,A70&lt;EDATE($B$3,1)),COUNTIFS($A$64:$A$500,"&gt;"&amp;A70,$A$64:$A$500,"&lt;"&amp;EDATE($B$3,1))+COUNTIF($A$64:A70,A70),0),0)</f>
        <v>0</v>
      </c>
    </row>
    <row r="71" spans="1:25" ht="40" customHeight="1" outlineLevel="1" hidden="1">
      <c r="A71" s="83">
        <v>46082</v>
      </c>
      <c r="B71" s="84" t="s">
        <v>65</v>
      </c>
      <c r="C71" s="84" t="s">
        <v>66</v>
      </c>
      <c r="D71" s="84" t="s">
        <v>16</v>
      </c>
      <c r="E71" s="85">
        <v>50000</v>
      </c>
      <c r="F71" s="89" t="s">
        <v>67</v>
      </c>
      <c r="G71" s="90" t="s">
        <v>61</v>
      </c>
      <c r="H71" s="87">
        <f t="shared" si="19"/>
        <v>46082.0</v>
      </c>
      <c r="I71" s="88" t="str">
        <f t="shared" si="20"/>
        <v>OK</v>
      </c>
      <c r="J71" s="81"/>
      <c r="K71" s="81"/>
      <c r="L71" s="81" t="s">
        <v>57</v>
      </c>
      <c r="M71" s="81"/>
      <c r="N71" s="81"/>
      <c r="O71" s="81"/>
      <c r="P71" s="81" t="str">
        <f t="shared" si="21"/>
        <v>내역</v>
      </c>
      <c r="Q71" s="81" t="str">
        <f t="shared" si="22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3"/>
        <v>명절비</v>
      </c>
      <c r="T71" s="81">
        <f t="shared" si="24"/>
        <v>50000</v>
      </c>
      <c r="U71" s="81" t="str">
        <f t="shared" si="25"/>
        <v>날짜 미기록</v>
      </c>
      <c r="V71" s="81"/>
      <c r="Y71">
        <f t="shared" si="26"/>
        <v>50000</v>
      </c>
      <c r="Z71">
        <f>IFERROR(IF(AND(ISNUMBER(A71),A71&gt;=$B$3,A71&lt;EDATE($B$3,1)),COUNTIFS($A$64:$A$500,"&gt;"&amp;A71,$A$64:$A$500,"&lt;"&amp;EDATE($B$3,1))+COUNTIF($A$64:A71,A71),0),0)</f>
        <v>0</v>
      </c>
    </row>
    <row r="72" spans="1:25" ht="40" customHeight="1" outlineLevel="1" hidden="1">
      <c r="A72" s="83">
        <v>46082</v>
      </c>
      <c r="B72" s="84" t="s">
        <v>65</v>
      </c>
      <c r="C72" s="84" t="s">
        <v>66</v>
      </c>
      <c r="D72" s="84" t="s">
        <v>17</v>
      </c>
      <c r="E72" s="85">
        <v>100000</v>
      </c>
      <c r="F72" s="89" t="s">
        <v>68</v>
      </c>
      <c r="G72" s="90" t="s">
        <v>61</v>
      </c>
      <c r="H72" s="87">
        <f t="shared" si="19"/>
        <v>46082.0</v>
      </c>
      <c r="I72" s="88" t="str">
        <f t="shared" si="20"/>
        <v>OK</v>
      </c>
      <c r="J72" s="81"/>
      <c r="K72" s="81"/>
      <c r="L72" s="81" t="s">
        <v>57</v>
      </c>
      <c r="M72" s="81"/>
      <c r="N72" s="81"/>
      <c r="O72" s="81"/>
      <c r="P72" s="81" t="str">
        <f t="shared" si="21"/>
        <v>내역</v>
      </c>
      <c r="Q72" s="81" t="str">
        <f t="shared" si="22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3"/>
        <v>여행비</v>
      </c>
      <c r="T72" s="81">
        <f t="shared" si="24"/>
        <v>100000</v>
      </c>
      <c r="U72" s="81" t="str">
        <f t="shared" si="25"/>
        <v>날짜 미기록</v>
      </c>
      <c r="V72" s="81"/>
      <c r="Y72">
        <f t="shared" si="26"/>
        <v>100000</v>
      </c>
      <c r="Z72">
        <f>IFERROR(IF(AND(ISNUMBER(A72),A72&gt;=$B$3,A72&lt;EDATE($B$3,1)),COUNTIFS($A$64:$A$500,"&gt;"&amp;A72,$A$64:$A$500,"&lt;"&amp;EDATE($B$3,1))+COUNTIF($A$64:A72,A72),0),0)</f>
        <v>0</v>
      </c>
    </row>
    <row r="73" spans="1:25" ht="40" customHeight="1" outlineLevel="1" hidden="1">
      <c r="A73" s="83">
        <v>46082</v>
      </c>
      <c r="B73" s="84" t="s">
        <v>65</v>
      </c>
      <c r="C73" s="84" t="s">
        <v>66</v>
      </c>
      <c r="D73" s="84" t="s">
        <v>19</v>
      </c>
      <c r="E73" s="85">
        <v>50000</v>
      </c>
      <c r="F73" s="89" t="s">
        <v>69</v>
      </c>
      <c r="G73" s="90" t="s">
        <v>61</v>
      </c>
      <c r="H73" s="87">
        <f t="shared" si="19"/>
        <v>46082.0</v>
      </c>
      <c r="I73" s="88" t="str">
        <f t="shared" si="20"/>
        <v>OK</v>
      </c>
      <c r="J73" s="81"/>
      <c r="K73" s="81"/>
      <c r="L73" s="81" t="s">
        <v>57</v>
      </c>
      <c r="M73" s="81"/>
      <c r="N73" s="81"/>
      <c r="O73" s="81"/>
      <c r="P73" s="81" t="str">
        <f t="shared" si="21"/>
        <v>내역</v>
      </c>
      <c r="Q73" s="81" t="str">
        <f t="shared" si="22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3"/>
        <v>상환비</v>
      </c>
      <c r="T73" s="81">
        <f t="shared" si="24"/>
        <v>50000</v>
      </c>
      <c r="U73" s="81" t="str">
        <f t="shared" si="25"/>
        <v>날짜 미기록</v>
      </c>
      <c r="V73" s="81"/>
      <c r="Y73">
        <f t="shared" si="26"/>
        <v>50000</v>
      </c>
      <c r="Z73">
        <f>IFERROR(IF(AND(ISNUMBER(A73),A73&gt;=$B$3,A73&lt;EDATE($B$3,1)),COUNTIFS($A$64:$A$500,"&gt;"&amp;A73,$A$64:$A$500,"&lt;"&amp;EDATE($B$3,1))+COUNTIF($A$64:A73,A73),0),0)</f>
        <v>0</v>
      </c>
    </row>
    <row r="74" spans="1:25" ht="40" customHeight="1" outlineLevel="1" hidden="1">
      <c r="A74" s="83">
        <v>46113</v>
      </c>
      <c r="B74" s="84" t="s">
        <v>59</v>
      </c>
      <c r="C74" s="84" t="s">
        <v>54</v>
      </c>
      <c r="D74" s="84" t="s">
        <v>15</v>
      </c>
      <c r="E74" s="85">
        <v>200000</v>
      </c>
      <c r="F74" s="89" t="s">
        <v>70</v>
      </c>
      <c r="G74" s="90" t="s">
        <v>61</v>
      </c>
      <c r="H74" s="87">
        <f t="shared" si="19"/>
        <v>46113.0</v>
      </c>
      <c r="I74" s="88" t="str">
        <f t="shared" si="20"/>
        <v>OK</v>
      </c>
      <c r="J74" s="81"/>
      <c r="K74" s="81"/>
      <c r="L74" s="81" t="s">
        <v>57</v>
      </c>
      <c r="M74" s="81"/>
      <c r="N74" s="81"/>
      <c r="O74" s="81"/>
      <c r="P74" s="81" t="str">
        <f t="shared" si="21"/>
        <v>내역</v>
      </c>
      <c r="Q74" s="81" t="str">
        <f t="shared" si="22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3"/>
        <v>생활비</v>
      </c>
      <c r="T74" s="81">
        <f t="shared" si="24"/>
        <v>200000</v>
      </c>
      <c r="U74" s="81" t="str">
        <f t="shared" si="25"/>
        <v>날짜 미기록</v>
      </c>
      <c r="V74" s="81"/>
      <c r="Y74">
        <f t="shared" si="26"/>
        <v>200000</v>
      </c>
      <c r="Z74">
        <f>IFERROR(IF(AND(ISNUMBER(A74),A74&gt;=$B$3,A74&lt;EDATE($B$3,1)),COUNTIFS($A$64:$A$500,"&gt;"&amp;A74,$A$64:$A$500,"&lt;"&amp;EDATE($B$3,1))+COUNTIF($A$64:A74,A74),0),0)</f>
        <v>0</v>
      </c>
    </row>
    <row r="75" spans="1:25" ht="40" customHeight="1" outlineLevel="1" hidden="1">
      <c r="A75" s="83">
        <v>46113</v>
      </c>
      <c r="B75" s="84" t="s">
        <v>62</v>
      </c>
      <c r="C75" s="84" t="s">
        <v>15</v>
      </c>
      <c r="D75" s="84" t="s">
        <v>63</v>
      </c>
      <c r="E75" s="85">
        <v>51300</v>
      </c>
      <c r="F75" s="89" t="s">
        <v>71</v>
      </c>
      <c r="G75" s="90" t="s">
        <v>61</v>
      </c>
      <c r="H75" s="87">
        <f t="shared" si="19"/>
        <v>46113.0</v>
      </c>
      <c r="I75" s="88" t="str">
        <f t="shared" si="20"/>
        <v>OK</v>
      </c>
      <c r="J75" s="81"/>
      <c r="K75" s="81"/>
      <c r="L75" s="81" t="s">
        <v>57</v>
      </c>
      <c r="M75" s="81"/>
      <c r="N75" s="81"/>
      <c r="O75" s="81"/>
      <c r="P75" s="81" t="str">
        <f t="shared" si="21"/>
        <v>내역</v>
      </c>
      <c r="Q75" s="81" t="str">
        <f t="shared" si="22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3"/>
        <v>지출</v>
      </c>
      <c r="T75" s="81">
        <f t="shared" si="24"/>
        <v>-51300</v>
      </c>
      <c r="U75" s="81" t="str">
        <f t="shared" si="25"/>
        <v>날짜 미기록</v>
      </c>
      <c r="V75" s="81"/>
      <c r="Y75">
        <f t="shared" si="26"/>
        <v>51300</v>
      </c>
      <c r="Z75">
        <f>IFERROR(IF(AND(ISNUMBER(A75),A75&gt;=$B$3,A75&lt;EDATE($B$3,1)),COUNTIFS($A$64:$A$500,"&gt;"&amp;A75,$A$64:$A$500,"&lt;"&amp;EDATE($B$3,1))+COUNTIF($A$64:A75,A75),0),0)</f>
        <v>0</v>
      </c>
    </row>
    <row r="76" spans="1:25" ht="40" customHeight="1" outlineLevel="1" hidden="1">
      <c r="A76" s="83">
        <v>46113</v>
      </c>
      <c r="B76" s="84" t="s">
        <v>62</v>
      </c>
      <c r="C76" s="84" t="s">
        <v>15</v>
      </c>
      <c r="D76" s="84" t="s">
        <v>63</v>
      </c>
      <c r="E76" s="85">
        <v>9500</v>
      </c>
      <c r="F76" s="89" t="s">
        <v>72</v>
      </c>
      <c r="G76" s="90" t="s">
        <v>61</v>
      </c>
      <c r="H76" s="87">
        <f t="shared" si="19"/>
        <v>46113.0</v>
      </c>
      <c r="I76" s="88" t="str">
        <f t="shared" si="20"/>
        <v>OK</v>
      </c>
      <c r="J76" s="81"/>
      <c r="K76" s="81"/>
      <c r="L76" s="81" t="s">
        <v>57</v>
      </c>
      <c r="M76" s="81"/>
      <c r="N76" s="81"/>
      <c r="O76" s="81"/>
      <c r="P76" s="81" t="str">
        <f t="shared" si="21"/>
        <v>내역</v>
      </c>
      <c r="Q76" s="81" t="str">
        <f t="shared" si="22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3"/>
        <v>지출</v>
      </c>
      <c r="T76" s="81">
        <f t="shared" si="24"/>
        <v>-9500</v>
      </c>
      <c r="U76" s="81" t="str">
        <f t="shared" si="25"/>
        <v>날짜 미기록</v>
      </c>
      <c r="V76" s="81"/>
      <c r="Y76">
        <f t="shared" si="26"/>
        <v>9500</v>
      </c>
      <c r="Z76">
        <f>IFERROR(IF(AND(ISNUMBER(A76),A76&gt;=$B$3,A76&lt;EDATE($B$3,1)),COUNTIFS($A$64:$A$500,"&gt;"&amp;A76,$A$64:$A$500,"&lt;"&amp;EDATE($B$3,1))+COUNTIF($A$64:A76,A76),0),0)</f>
        <v>0</v>
      </c>
    </row>
    <row r="77" spans="1:25" ht="40" customHeight="1" outlineLevel="1" hidden="1">
      <c r="A77" s="83">
        <v>46113</v>
      </c>
      <c r="B77" s="84" t="s">
        <v>62</v>
      </c>
      <c r="C77" s="84" t="s">
        <v>15</v>
      </c>
      <c r="D77" s="84" t="s">
        <v>63</v>
      </c>
      <c r="E77" s="85">
        <v>16000</v>
      </c>
      <c r="F77" s="89" t="s">
        <v>73</v>
      </c>
      <c r="G77" s="90" t="s">
        <v>61</v>
      </c>
      <c r="H77" s="87">
        <f t="shared" si="19"/>
        <v>46113.0</v>
      </c>
      <c r="I77" s="88" t="str">
        <f t="shared" si="20"/>
        <v>OK</v>
      </c>
      <c r="J77" s="81"/>
      <c r="K77" s="81"/>
      <c r="L77" s="81" t="s">
        <v>57</v>
      </c>
      <c r="M77" s="81"/>
      <c r="N77" s="81"/>
      <c r="O77" s="81"/>
      <c r="P77" s="81" t="str">
        <f t="shared" si="21"/>
        <v>내역</v>
      </c>
      <c r="Q77" s="81" t="str">
        <f t="shared" si="22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3"/>
        <v>지출</v>
      </c>
      <c r="T77" s="81">
        <f t="shared" si="24"/>
        <v>-16000</v>
      </c>
      <c r="U77" s="81" t="str">
        <f t="shared" si="25"/>
        <v>날짜 미기록</v>
      </c>
      <c r="V77" s="81"/>
      <c r="Y77">
        <f t="shared" si="26"/>
        <v>16000</v>
      </c>
      <c r="Z77">
        <f>IFERROR(IF(AND(ISNUMBER(A77),A77&gt;=$B$3,A77&lt;EDATE($B$3,1)),COUNTIFS($A$64:$A$500,"&gt;"&amp;A77,$A$64:$A$500,"&lt;"&amp;EDATE($B$3,1))+COUNTIF($A$64:A77,A77),0),0)</f>
        <v>0</v>
      </c>
    </row>
    <row r="78" spans="1:25" ht="40" customHeight="1" outlineLevel="1" hidden="1">
      <c r="A78" s="83">
        <v>46113</v>
      </c>
      <c r="B78" s="84" t="s">
        <v>74</v>
      </c>
      <c r="C78" s="84" t="s">
        <v>15</v>
      </c>
      <c r="D78" s="84" t="s">
        <v>54</v>
      </c>
      <c r="E78" s="85">
        <v>252552</v>
      </c>
      <c r="F78" s="89" t="s">
        <v>75</v>
      </c>
      <c r="G78" s="90" t="s">
        <v>61</v>
      </c>
      <c r="H78" s="87">
        <f t="shared" si="19"/>
        <v>46113.0</v>
      </c>
      <c r="I78" s="88" t="str">
        <f t="shared" si="20"/>
        <v>OK</v>
      </c>
      <c r="J78" s="81"/>
      <c r="K78" s="81"/>
      <c r="L78" s="81" t="s">
        <v>57</v>
      </c>
      <c r="M78" s="81"/>
      <c r="N78" s="81"/>
      <c r="O78" s="81"/>
      <c r="P78" s="81" t="str">
        <f t="shared" si="21"/>
        <v>이체</v>
      </c>
      <c r="Q78" s="81" t="str">
        <f t="shared" si="22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3"/>
        <v>외부</v>
      </c>
      <c r="T78" s="81">
        <f t="shared" si="24"/>
        <v>252552</v>
      </c>
      <c r="U78" s="81" t="str">
        <f t="shared" si="25"/>
        <v>날짜 미기록</v>
      </c>
      <c r="V78" s="81"/>
      <c r="Y78">
        <f t="shared" si="26"/>
        <v>252552</v>
      </c>
      <c r="Z78">
        <f>IFERROR(IF(AND(ISNUMBER(A78),A78&gt;=$B$3,A78&lt;EDATE($B$3,1)),COUNTIFS($A$64:$A$500,"&gt;"&amp;A78,$A$64:$A$500,"&lt;"&amp;EDATE($B$3,1))+COUNTIF($A$64:A78,A78),0),0)</f>
        <v>0</v>
      </c>
    </row>
    <row r="79" spans="1:25" ht="40" customHeight="1" outlineLevel="1" hidden="1">
      <c r="A79" s="83">
        <v>46113</v>
      </c>
      <c r="B79" s="84" t="s">
        <v>74</v>
      </c>
      <c r="C79" s="84" t="s">
        <v>54</v>
      </c>
      <c r="D79" s="84" t="s">
        <v>15</v>
      </c>
      <c r="E79" s="85">
        <v>58908</v>
      </c>
      <c r="F79" s="89" t="s">
        <v>76</v>
      </c>
      <c r="G79" s="90" t="s">
        <v>61</v>
      </c>
      <c r="H79" s="87">
        <f t="shared" si="19"/>
        <v>46113.0</v>
      </c>
      <c r="I79" s="88" t="str">
        <f t="shared" si="20"/>
        <v>OK</v>
      </c>
      <c r="J79" s="81"/>
      <c r="K79" s="81"/>
      <c r="L79" s="81" t="s">
        <v>57</v>
      </c>
      <c r="M79" s="81"/>
      <c r="N79" s="81"/>
      <c r="O79" s="81"/>
      <c r="P79" s="81">
        <f t="shared" si="21"/>
      </c>
      <c r="Q79" s="81">
        <f t="shared" si="22"/>
      </c>
      <c r="R79" s="81">
        <f>IF(P79="","",TEXT(H79,"yyyymm")&amp;"_"&amp;P79&amp;"_"&amp;(COUNTIFS($H$64:$H$500,H79,$P$64:$P$500,P79,$A$64:$A$500,"&gt;"&amp;A79)+COUNTIFS($H$64:H79,H79,$P$64:P79,P79,$A$64:A79,A79)))</f>
      </c>
      <c r="S79" s="81">
        <f t="shared" si="23"/>
      </c>
      <c r="T79" s="81">
        <f t="shared" si="24"/>
      </c>
      <c r="U79" s="81">
        <f t="shared" si="25"/>
      </c>
      <c r="V79" s="81"/>
      <c r="Y79">
        <f t="shared" si="26"/>
        <v>58908</v>
      </c>
      <c r="Z79">
        <f>IFERROR(IF(AND(ISNUMBER(A79),A79&gt;=$B$3,A79&lt;EDATE($B$3,1)),COUNTIFS($A$64:$A$500,"&gt;"&amp;A79,$A$64:$A$500,"&lt;"&amp;EDATE($B$3,1))+COUNTIF($A$64:A79,A79),0),0)</f>
        <v>0</v>
      </c>
    </row>
    <row r="80" spans="1:25" ht="40" customHeight="1" outlineLevel="1" hidden="1">
      <c r="A80" s="83">
        <v>46113</v>
      </c>
      <c r="B80" s="84" t="s">
        <v>74</v>
      </c>
      <c r="C80" s="84" t="s">
        <v>54</v>
      </c>
      <c r="D80" s="84" t="s">
        <v>15</v>
      </c>
      <c r="E80" s="85">
        <v>21500</v>
      </c>
      <c r="F80" s="89" t="s">
        <v>77</v>
      </c>
      <c r="G80" s="90" t="s">
        <v>61</v>
      </c>
      <c r="H80" s="87">
        <f t="shared" si="19"/>
        <v>46113.0</v>
      </c>
      <c r="I80" s="88" t="str">
        <f t="shared" si="20"/>
        <v>OK</v>
      </c>
      <c r="J80" s="81"/>
      <c r="K80" s="81"/>
      <c r="L80" s="81" t="s">
        <v>57</v>
      </c>
      <c r="M80" s="81"/>
      <c r="N80" s="81"/>
      <c r="O80" s="81"/>
      <c r="P80" s="81">
        <f t="shared" si="21"/>
      </c>
      <c r="Q80" s="81">
        <f t="shared" si="22"/>
      </c>
      <c r="R80" s="81">
        <f>IF(P80="","",TEXT(H80,"yyyymm")&amp;"_"&amp;P80&amp;"_"&amp;(COUNTIFS($H$64:$H$500,H80,$P$64:$P$500,P80,$A$64:$A$500,"&gt;"&amp;A80)+COUNTIFS($H$64:H80,H80,$P$64:P80,P80,$A$64:A80,A80)))</f>
      </c>
      <c r="S80" s="81">
        <f t="shared" si="23"/>
      </c>
      <c r="T80" s="81">
        <f t="shared" si="24"/>
      </c>
      <c r="U80" s="81">
        <f t="shared" si="25"/>
      </c>
      <c r="V80" s="81"/>
      <c r="Y80">
        <f t="shared" si="26"/>
        <v>21500</v>
      </c>
      <c r="Z80">
        <f>IFERROR(IF(AND(ISNUMBER(A80),A80&gt;=$B$3,A80&lt;EDATE($B$3,1)),COUNTIFS($A$64:$A$500,"&gt;"&amp;A80,$A$64:$A$500,"&lt;"&amp;EDATE($B$3,1))+COUNTIF($A$64:A80,A80),0),0)</f>
        <v>0</v>
      </c>
    </row>
    <row r="81" spans="1:25" ht="40" customHeight="1" outlineLevel="1" hidden="1">
      <c r="A81" s="83">
        <v>46113</v>
      </c>
      <c r="B81" s="84" t="s">
        <v>65</v>
      </c>
      <c r="C81" s="84" t="s">
        <v>66</v>
      </c>
      <c r="D81" s="84" t="s">
        <v>16</v>
      </c>
      <c r="E81" s="85">
        <v>100000</v>
      </c>
      <c r="F81" s="89" t="s">
        <v>67</v>
      </c>
      <c r="G81" s="90" t="s">
        <v>61</v>
      </c>
      <c r="H81" s="87">
        <f t="shared" si="19"/>
        <v>46113.0</v>
      </c>
      <c r="I81" s="88" t="str">
        <f t="shared" si="20"/>
        <v>OK</v>
      </c>
      <c r="J81" s="81"/>
      <c r="K81" s="81"/>
      <c r="L81" s="81" t="s">
        <v>57</v>
      </c>
      <c r="M81" s="81"/>
      <c r="N81" s="81"/>
      <c r="O81" s="81"/>
      <c r="P81" s="81" t="str">
        <f t="shared" si="21"/>
        <v>내역</v>
      </c>
      <c r="Q81" s="81" t="str">
        <f t="shared" si="22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3"/>
        <v>명절비</v>
      </c>
      <c r="T81" s="81">
        <f t="shared" si="24"/>
        <v>100000</v>
      </c>
      <c r="U81" s="81" t="str">
        <f t="shared" si="25"/>
        <v>날짜 미기록</v>
      </c>
      <c r="V81" s="81"/>
      <c r="Y81">
        <f t="shared" si="26"/>
        <v>100000</v>
      </c>
      <c r="Z81">
        <f>IFERROR(IF(AND(ISNUMBER(A81),A81&gt;=$B$3,A81&lt;EDATE($B$3,1)),COUNTIFS($A$64:$A$500,"&gt;"&amp;A81,$A$64:$A$500,"&lt;"&amp;EDATE($B$3,1))+COUNTIF($A$64:A81,A81),0),0)</f>
        <v>0</v>
      </c>
    </row>
    <row r="82" spans="1:25" ht="40" customHeight="1" outlineLevel="1" hidden="1">
      <c r="A82" s="83">
        <v>46113</v>
      </c>
      <c r="B82" s="84" t="s">
        <v>65</v>
      </c>
      <c r="C82" s="84" t="s">
        <v>66</v>
      </c>
      <c r="D82" s="84" t="s">
        <v>17</v>
      </c>
      <c r="E82" s="85">
        <v>100000</v>
      </c>
      <c r="F82" s="89" t="s">
        <v>68</v>
      </c>
      <c r="G82" s="90" t="s">
        <v>61</v>
      </c>
      <c r="H82" s="87">
        <f t="shared" si="19"/>
        <v>46113.0</v>
      </c>
      <c r="I82" s="88" t="str">
        <f t="shared" si="20"/>
        <v>OK</v>
      </c>
      <c r="J82" s="81"/>
      <c r="K82" s="81"/>
      <c r="L82" s="81" t="s">
        <v>57</v>
      </c>
      <c r="M82" s="81"/>
      <c r="N82" s="81"/>
      <c r="O82" s="81"/>
      <c r="P82" s="81" t="str">
        <f t="shared" si="21"/>
        <v>내역</v>
      </c>
      <c r="Q82" s="81" t="str">
        <f t="shared" si="22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3"/>
        <v>여행비</v>
      </c>
      <c r="T82" s="81">
        <f t="shared" si="24"/>
        <v>100000</v>
      </c>
      <c r="U82" s="81" t="str">
        <f t="shared" si="25"/>
        <v>날짜 미기록</v>
      </c>
      <c r="V82" s="81"/>
      <c r="Y82">
        <f t="shared" si="26"/>
        <v>100000</v>
      </c>
      <c r="Z82">
        <f>IFERROR(IF(AND(ISNUMBER(A82),A82&gt;=$B$3,A82&lt;EDATE($B$3,1)),COUNTIFS($A$64:$A$500,"&gt;"&amp;A82,$A$64:$A$500,"&lt;"&amp;EDATE($B$3,1))+COUNTIF($A$64:A82,A82),0),0)</f>
        <v>0</v>
      </c>
    </row>
    <row r="83" spans="1:25" ht="40" customHeight="1" outlineLevel="1" hidden="1">
      <c r="A83" s="83">
        <v>46113</v>
      </c>
      <c r="B83" s="84" t="s">
        <v>59</v>
      </c>
      <c r="C83" s="84" t="s">
        <v>54</v>
      </c>
      <c r="D83" s="84" t="s">
        <v>22</v>
      </c>
      <c r="E83" s="85">
        <v>868</v>
      </c>
      <c r="F83" s="89" t="s">
        <v>78</v>
      </c>
      <c r="G83" s="90" t="s">
        <v>61</v>
      </c>
      <c r="H83" s="87">
        <f t="shared" si="19"/>
        <v>46113.0</v>
      </c>
      <c r="I83" s="88" t="str">
        <f t="shared" si="20"/>
        <v>OK</v>
      </c>
      <c r="J83" s="81"/>
      <c r="K83" s="81"/>
      <c r="L83" s="81" t="s">
        <v>57</v>
      </c>
      <c r="M83" s="81"/>
      <c r="N83" s="81"/>
      <c r="O83" s="81"/>
      <c r="P83" s="81" t="str">
        <f t="shared" si="21"/>
        <v>내역</v>
      </c>
      <c r="Q83" s="81" t="str">
        <f t="shared" si="22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3"/>
        <v>금융</v>
      </c>
      <c r="T83" s="81">
        <f t="shared" si="24"/>
        <v>868</v>
      </c>
      <c r="U83" s="81" t="str">
        <f t="shared" si="25"/>
        <v>날짜 미기록</v>
      </c>
      <c r="V83" s="81"/>
      <c r="Y83">
        <f t="shared" si="26"/>
        <v>868</v>
      </c>
      <c r="Z83">
        <f>IFERROR(IF(AND(ISNUMBER(A83),A83&gt;=$B$3,A83&lt;EDATE($B$3,1)),COUNTIFS($A$64:$A$500,"&gt;"&amp;A83,$A$64:$A$500,"&lt;"&amp;EDATE($B$3,1))+COUNTIF($A$64:A83,A83),0),0)</f>
        <v>0</v>
      </c>
    </row>
    <row r="84" spans="1:25" ht="40" customHeight="1" outlineLevel="1" hidden="1">
      <c r="A84" s="83">
        <v>46113</v>
      </c>
      <c r="B84" s="84" t="s">
        <v>59</v>
      </c>
      <c r="C84" s="84" t="s">
        <v>54</v>
      </c>
      <c r="D84" s="84" t="s">
        <v>22</v>
      </c>
      <c r="E84" s="85">
        <v>1283</v>
      </c>
      <c r="F84" s="89" t="s">
        <v>78</v>
      </c>
      <c r="G84" s="90" t="s">
        <v>61</v>
      </c>
      <c r="H84" s="87">
        <f t="shared" si="19"/>
        <v>46113.0</v>
      </c>
      <c r="I84" s="88" t="str">
        <f t="shared" si="20"/>
        <v>OK</v>
      </c>
      <c r="J84" s="81"/>
      <c r="K84" s="81"/>
      <c r="L84" s="81" t="s">
        <v>57</v>
      </c>
      <c r="M84" s="81"/>
      <c r="N84" s="81"/>
      <c r="O84" s="81"/>
      <c r="P84" s="81" t="str">
        <f t="shared" si="21"/>
        <v>내역</v>
      </c>
      <c r="Q84" s="81" t="str">
        <f t="shared" si="22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3"/>
        <v>금융</v>
      </c>
      <c r="T84" s="81">
        <f t="shared" si="24"/>
        <v>1283</v>
      </c>
      <c r="U84" s="81" t="str">
        <f t="shared" si="25"/>
        <v>날짜 미기록</v>
      </c>
      <c r="V84" s="81"/>
      <c r="Y84">
        <f t="shared" si="26"/>
        <v>1283</v>
      </c>
      <c r="Z84">
        <f>IFERROR(IF(AND(ISNUMBER(A84),A84&gt;=$B$3,A84&lt;EDATE($B$3,1)),COUNTIFS($A$64:$A$500,"&gt;"&amp;A84,$A$64:$A$500,"&lt;"&amp;EDATE($B$3,1))+COUNTIF($A$64:A84,A84),0),0)</f>
        <v>0</v>
      </c>
    </row>
    <row r="85" spans="1:25" ht="40" customHeight="1" outlineLevel="1" hidden="1">
      <c r="A85" s="83">
        <v>46113</v>
      </c>
      <c r="B85" s="84" t="s">
        <v>59</v>
      </c>
      <c r="C85" s="84" t="s">
        <v>54</v>
      </c>
      <c r="D85" s="84" t="s">
        <v>23</v>
      </c>
      <c r="E85" s="85">
        <v>1991720</v>
      </c>
      <c r="F85" s="89" t="s">
        <v>79</v>
      </c>
      <c r="G85" s="90" t="s">
        <v>61</v>
      </c>
      <c r="H85" s="87">
        <f t="shared" si="19"/>
        <v>46113.0</v>
      </c>
      <c r="I85" s="88" t="str">
        <f t="shared" si="20"/>
        <v>OK</v>
      </c>
      <c r="J85" s="81"/>
      <c r="K85" s="81"/>
      <c r="L85" s="81" t="s">
        <v>57</v>
      </c>
      <c r="M85" s="81"/>
      <c r="N85" s="81"/>
      <c r="O85" s="81"/>
      <c r="P85" s="81" t="str">
        <f t="shared" si="21"/>
        <v>내역</v>
      </c>
      <c r="Q85" s="81" t="str">
        <f t="shared" si="22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3"/>
        <v>임시보관</v>
      </c>
      <c r="T85" s="81">
        <f t="shared" si="24"/>
        <v>1991720</v>
      </c>
      <c r="U85" s="81" t="str">
        <f t="shared" si="25"/>
        <v>날짜 미기록</v>
      </c>
      <c r="V85" s="81"/>
      <c r="Y85">
        <f t="shared" si="26"/>
        <v>1991720</v>
      </c>
      <c r="Z85">
        <f>IFERROR(IF(AND(ISNUMBER(A85),A85&gt;=$B$3,A85&lt;EDATE($B$3,1)),COUNTIFS($A$64:$A$500,"&gt;"&amp;A85,$A$64:$A$500,"&lt;"&amp;EDATE($B$3,1))+COUNTIF($A$64:A85,A85),0),0)</f>
        <v>0</v>
      </c>
    </row>
    <row r="86" spans="1:25" ht="40" customHeight="1" outlineLevel="1" hidden="1">
      <c r="A86" s="83">
        <v>46113</v>
      </c>
      <c r="B86" s="84" t="s">
        <v>59</v>
      </c>
      <c r="C86" s="84" t="s">
        <v>54</v>
      </c>
      <c r="D86" s="84" t="s">
        <v>23</v>
      </c>
      <c r="E86" s="85">
        <v>558000</v>
      </c>
      <c r="F86" s="89" t="s">
        <v>80</v>
      </c>
      <c r="G86" s="90" t="s">
        <v>61</v>
      </c>
      <c r="H86" s="87">
        <f t="shared" si="19"/>
        <v>46113.0</v>
      </c>
      <c r="I86" s="88" t="str">
        <f t="shared" si="20"/>
        <v>OK</v>
      </c>
      <c r="J86" s="81"/>
      <c r="K86" s="81"/>
      <c r="L86" s="81" t="s">
        <v>57</v>
      </c>
      <c r="M86" s="81"/>
      <c r="N86" s="81"/>
      <c r="O86" s="81"/>
      <c r="P86" s="81" t="str">
        <f t="shared" si="21"/>
        <v>내역</v>
      </c>
      <c r="Q86" s="81" t="str">
        <f t="shared" si="22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3"/>
        <v>임시보관</v>
      </c>
      <c r="T86" s="81">
        <f t="shared" si="24"/>
        <v>558000</v>
      </c>
      <c r="U86" s="81" t="str">
        <f t="shared" si="25"/>
        <v>날짜 미기록</v>
      </c>
      <c r="V86" s="81"/>
      <c r="Y86">
        <f t="shared" si="26"/>
        <v>558000</v>
      </c>
      <c r="Z86">
        <f>IFERROR(IF(AND(ISNUMBER(A86),A86&gt;=$B$3,A86&lt;EDATE($B$3,1)),COUNTIFS($A$64:$A$500,"&gt;"&amp;A86,$A$64:$A$500,"&lt;"&amp;EDATE($B$3,1))+COUNTIF($A$64:A86,A86),0),0)</f>
        <v>0</v>
      </c>
    </row>
    <row r="87" spans="1:25" ht="40" customHeight="1" outlineLevel="1" hidden="1">
      <c r="A87" s="83">
        <v>46113</v>
      </c>
      <c r="B87" s="84" t="s">
        <v>59</v>
      </c>
      <c r="C87" s="84" t="s">
        <v>54</v>
      </c>
      <c r="D87" s="84" t="s">
        <v>23</v>
      </c>
      <c r="E87" s="85">
        <v>3419</v>
      </c>
      <c r="F87" s="89" t="s">
        <v>81</v>
      </c>
      <c r="G87" s="90" t="s">
        <v>61</v>
      </c>
      <c r="H87" s="87">
        <f t="shared" si="19"/>
        <v>46113.0</v>
      </c>
      <c r="I87" s="88" t="str">
        <f t="shared" si="20"/>
        <v>OK</v>
      </c>
      <c r="J87" s="81"/>
      <c r="K87" s="81"/>
      <c r="L87" s="81" t="s">
        <v>57</v>
      </c>
      <c r="M87" s="81"/>
      <c r="N87" s="81"/>
      <c r="O87" s="81"/>
      <c r="P87" s="81" t="str">
        <f t="shared" si="21"/>
        <v>내역</v>
      </c>
      <c r="Q87" s="81" t="str">
        <f t="shared" si="22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3"/>
        <v>임시보관</v>
      </c>
      <c r="T87" s="81">
        <f t="shared" si="24"/>
        <v>3419</v>
      </c>
      <c r="U87" s="81" t="str">
        <f t="shared" si="25"/>
        <v>날짜 미기록</v>
      </c>
      <c r="V87" s="81"/>
      <c r="Y87">
        <f t="shared" si="26"/>
        <v>3419</v>
      </c>
      <c r="Z87">
        <f>IFERROR(IF(AND(ISNUMBER(A87),A87&gt;=$B$3,A87&lt;EDATE($B$3,1)),COUNTIFS($A$64:$A$500,"&gt;"&amp;A87,$A$64:$A$500,"&lt;"&amp;EDATE($B$3,1))+COUNTIF($A$64:A87,A87),0),0)</f>
        <v>0</v>
      </c>
    </row>
    <row r="88" spans="1:25" ht="40" customHeight="1" outlineLevel="1" hidden="1">
      <c r="A88" s="83">
        <v>46113</v>
      </c>
      <c r="B88" s="84" t="s">
        <v>62</v>
      </c>
      <c r="C88" s="84" t="s">
        <v>23</v>
      </c>
      <c r="D88" s="84" t="s">
        <v>63</v>
      </c>
      <c r="E88" s="85">
        <v>550000</v>
      </c>
      <c r="F88" s="89" t="s">
        <v>82</v>
      </c>
      <c r="G88" s="90" t="s">
        <v>61</v>
      </c>
      <c r="H88" s="87">
        <f t="shared" si="19"/>
        <v>46113.0</v>
      </c>
      <c r="I88" s="88" t="str">
        <f t="shared" si="20"/>
        <v>OK</v>
      </c>
      <c r="J88" s="81"/>
      <c r="K88" s="81"/>
      <c r="L88" s="81" t="s">
        <v>57</v>
      </c>
      <c r="M88" s="81"/>
      <c r="N88" s="81"/>
      <c r="O88" s="81"/>
      <c r="P88" s="81" t="str">
        <f t="shared" si="21"/>
        <v>내역</v>
      </c>
      <c r="Q88" s="81" t="str">
        <f t="shared" si="22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3"/>
        <v>지출</v>
      </c>
      <c r="T88" s="81">
        <f t="shared" si="24"/>
        <v>-550000</v>
      </c>
      <c r="U88" s="81" t="str">
        <f t="shared" si="25"/>
        <v>날짜 미기록</v>
      </c>
      <c r="V88" s="81"/>
      <c r="Y88">
        <f t="shared" si="26"/>
        <v>550000</v>
      </c>
      <c r="Z88">
        <f>IFERROR(IF(AND(ISNUMBER(A88),A88&gt;=$B$3,A88&lt;EDATE($B$3,1)),COUNTIFS($A$64:$A$500,"&gt;"&amp;A88,$A$64:$A$500,"&lt;"&amp;EDATE($B$3,1))+COUNTIF($A$64:A88,A88),0),0)</f>
        <v>0</v>
      </c>
    </row>
    <row r="89" spans="1:25" ht="40" customHeight="1" outlineLevel="1" hidden="1">
      <c r="A89" s="83">
        <v>46113</v>
      </c>
      <c r="B89" s="84" t="s">
        <v>62</v>
      </c>
      <c r="C89" s="84" t="s">
        <v>23</v>
      </c>
      <c r="D89" s="84" t="s">
        <v>63</v>
      </c>
      <c r="E89" s="85">
        <v>371200</v>
      </c>
      <c r="F89" s="89" t="s">
        <v>83</v>
      </c>
      <c r="G89" s="90" t="s">
        <v>61</v>
      </c>
      <c r="H89" s="87">
        <f t="shared" si="19"/>
        <v>46113.0</v>
      </c>
      <c r="I89" s="88" t="str">
        <f t="shared" si="20"/>
        <v>OK</v>
      </c>
      <c r="J89" s="81"/>
      <c r="K89" s="81"/>
      <c r="L89" s="81" t="s">
        <v>57</v>
      </c>
      <c r="M89" s="81"/>
      <c r="N89" s="81"/>
      <c r="O89" s="81"/>
      <c r="P89" s="81" t="str">
        <f t="shared" si="21"/>
        <v>내역</v>
      </c>
      <c r="Q89" s="81" t="str">
        <f t="shared" si="22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3"/>
        <v>지출</v>
      </c>
      <c r="T89" s="81">
        <f t="shared" si="24"/>
        <v>-371200</v>
      </c>
      <c r="U89" s="81" t="str">
        <f t="shared" si="25"/>
        <v>날짜 미기록</v>
      </c>
      <c r="V89" s="81"/>
      <c r="Y89">
        <f t="shared" si="26"/>
        <v>371200</v>
      </c>
      <c r="Z89">
        <f>IFERROR(IF(AND(ISNUMBER(A89),A89&gt;=$B$3,A89&lt;EDATE($B$3,1)),COUNTIFS($A$64:$A$500,"&gt;"&amp;A89,$A$64:$A$500,"&lt;"&amp;EDATE($B$3,1))+COUNTIF($A$64:A89,A89),0),0)</f>
        <v>0</v>
      </c>
    </row>
    <row r="90" spans="1:25" ht="40" customHeight="1" outlineLevel="1" hidden="1">
      <c r="A90" s="83">
        <v>46113</v>
      </c>
      <c r="B90" s="84" t="s">
        <v>62</v>
      </c>
      <c r="C90" s="84" t="s">
        <v>23</v>
      </c>
      <c r="D90" s="84" t="s">
        <v>63</v>
      </c>
      <c r="E90" s="85">
        <v>663684</v>
      </c>
      <c r="F90" s="89" t="s">
        <v>84</v>
      </c>
      <c r="G90" s="90" t="s">
        <v>61</v>
      </c>
      <c r="H90" s="87">
        <f t="shared" si="19"/>
        <v>46113.0</v>
      </c>
      <c r="I90" s="88" t="str">
        <f t="shared" si="20"/>
        <v>OK</v>
      </c>
      <c r="J90" s="81"/>
      <c r="K90" s="81"/>
      <c r="L90" s="81" t="s">
        <v>57</v>
      </c>
      <c r="M90" s="81"/>
      <c r="N90" s="81"/>
      <c r="O90" s="81"/>
      <c r="P90" s="81" t="str">
        <f t="shared" si="21"/>
        <v>내역</v>
      </c>
      <c r="Q90" s="81" t="str">
        <f t="shared" si="22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3"/>
        <v>지출</v>
      </c>
      <c r="T90" s="81">
        <f t="shared" si="24"/>
        <v>-663684</v>
      </c>
      <c r="U90" s="81" t="str">
        <f t="shared" si="25"/>
        <v>날짜 미기록</v>
      </c>
      <c r="V90" s="81"/>
      <c r="Y90">
        <f t="shared" si="26"/>
        <v>663684</v>
      </c>
      <c r="Z90">
        <f>IFERROR(IF(AND(ISNUMBER(A90),A90&gt;=$B$3,A90&lt;EDATE($B$3,1)),COUNTIFS($A$64:$A$500,"&gt;"&amp;A90,$A$64:$A$500,"&lt;"&amp;EDATE($B$3,1))+COUNTIF($A$64:A90,A90),0),0)</f>
        <v>0</v>
      </c>
    </row>
    <row r="91" spans="1:25" ht="40" customHeight="1" outlineLevel="1" hidden="1">
      <c r="A91" s="83">
        <v>46113</v>
      </c>
      <c r="B91" s="84" t="s">
        <v>62</v>
      </c>
      <c r="C91" s="84" t="s">
        <v>23</v>
      </c>
      <c r="D91" s="84" t="s">
        <v>63</v>
      </c>
      <c r="E91" s="85">
        <v>604883</v>
      </c>
      <c r="F91" s="89" t="s">
        <v>85</v>
      </c>
      <c r="G91" s="90" t="s">
        <v>61</v>
      </c>
      <c r="H91" s="87">
        <f t="shared" si="19"/>
        <v>46113.0</v>
      </c>
      <c r="I91" s="88" t="str">
        <f t="shared" si="20"/>
        <v>OK</v>
      </c>
      <c r="J91" s="81"/>
      <c r="K91" s="81"/>
      <c r="L91" s="81" t="s">
        <v>57</v>
      </c>
      <c r="M91" s="81"/>
      <c r="N91" s="81"/>
      <c r="O91" s="81"/>
      <c r="P91" s="81" t="str">
        <f t="shared" si="21"/>
        <v>내역</v>
      </c>
      <c r="Q91" s="81" t="str">
        <f t="shared" si="22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3"/>
        <v>지출</v>
      </c>
      <c r="T91" s="81">
        <f t="shared" si="24"/>
        <v>-604883</v>
      </c>
      <c r="U91" s="81" t="str">
        <f t="shared" si="25"/>
        <v>날짜 미기록</v>
      </c>
      <c r="V91" s="81"/>
      <c r="Y91">
        <f t="shared" si="26"/>
        <v>604883</v>
      </c>
      <c r="Z91">
        <f>IFERROR(IF(AND(ISNUMBER(A91),A91&gt;=$B$3,A91&lt;EDATE($B$3,1)),COUNTIFS($A$64:$A$500,"&gt;"&amp;A91,$A$64:$A$500,"&lt;"&amp;EDATE($B$3,1))+COUNTIF($A$64:A91,A91),0),0)</f>
        <v>0</v>
      </c>
    </row>
    <row r="92" spans="1:25" ht="40" customHeight="1" outlineLevel="1" hidden="1">
      <c r="A92" s="83">
        <v>46113</v>
      </c>
      <c r="B92" s="84" t="s">
        <v>62</v>
      </c>
      <c r="C92" s="84" t="s">
        <v>23</v>
      </c>
      <c r="D92" s="84" t="s">
        <v>63</v>
      </c>
      <c r="E92" s="85">
        <v>50330</v>
      </c>
      <c r="F92" s="89" t="s">
        <v>86</v>
      </c>
      <c r="G92" s="90" t="s">
        <v>61</v>
      </c>
      <c r="H92" s="87">
        <f t="shared" si="19"/>
        <v>46113.0</v>
      </c>
      <c r="I92" s="88" t="str">
        <f t="shared" si="20"/>
        <v>OK</v>
      </c>
      <c r="J92" s="81"/>
      <c r="K92" s="81"/>
      <c r="L92" s="81" t="s">
        <v>57</v>
      </c>
      <c r="M92" s="81"/>
      <c r="N92" s="81"/>
      <c r="O92" s="81"/>
      <c r="P92" s="81" t="str">
        <f t="shared" si="21"/>
        <v>내역</v>
      </c>
      <c r="Q92" s="81" t="str">
        <f t="shared" si="22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3"/>
        <v>지출</v>
      </c>
      <c r="T92" s="81">
        <f t="shared" si="24"/>
        <v>-50330</v>
      </c>
      <c r="U92" s="81" t="str">
        <f t="shared" si="25"/>
        <v>날짜 미기록</v>
      </c>
      <c r="V92" s="81"/>
      <c r="Y92">
        <f t="shared" si="26"/>
        <v>50330</v>
      </c>
      <c r="Z92">
        <f>IFERROR(IF(AND(ISNUMBER(A92),A92&gt;=$B$3,A92&lt;EDATE($B$3,1)),COUNTIFS($A$64:$A$500,"&gt;"&amp;A92,$A$64:$A$500,"&lt;"&amp;EDATE($B$3,1))+COUNTIF($A$64:A92,A92),0),0)</f>
        <v>0</v>
      </c>
    </row>
    <row r="93" spans="1:25" ht="40" customHeight="1" outlineLevel="1" hidden="1">
      <c r="A93" s="83">
        <v>46113</v>
      </c>
      <c r="B93" s="84" t="s">
        <v>74</v>
      </c>
      <c r="C93" s="84" t="s">
        <v>54</v>
      </c>
      <c r="D93" s="84" t="s">
        <v>23</v>
      </c>
      <c r="E93" s="85">
        <v>252552</v>
      </c>
      <c r="F93" s="89" t="s">
        <v>87</v>
      </c>
      <c r="G93" s="90" t="s">
        <v>61</v>
      </c>
      <c r="H93" s="87">
        <f t="shared" si="19"/>
        <v>46113.0</v>
      </c>
      <c r="I93" s="88" t="str">
        <f t="shared" si="20"/>
        <v>OK</v>
      </c>
      <c r="J93" s="81"/>
      <c r="K93" s="81"/>
      <c r="L93" s="81" t="s">
        <v>57</v>
      </c>
      <c r="M93" s="81"/>
      <c r="N93" s="81"/>
      <c r="O93" s="81"/>
      <c r="P93" s="81">
        <f t="shared" si="21"/>
      </c>
      <c r="Q93" s="81">
        <f t="shared" si="22"/>
      </c>
      <c r="R93" s="81">
        <f>IF(P93="","",TEXT(H93,"yyyymm")&amp;"_"&amp;P93&amp;"_"&amp;(COUNTIFS($H$64:$H$500,H93,$P$64:$P$500,P93,$A$64:$A$500,"&gt;"&amp;A93)+COUNTIFS($H$64:H93,H93,$P$64:P93,P93,$A$64:A93,A93)))</f>
      </c>
      <c r="S93" s="81">
        <f t="shared" si="23"/>
      </c>
      <c r="T93" s="81">
        <f t="shared" si="24"/>
      </c>
      <c r="U93" s="81">
        <f t="shared" si="25"/>
      </c>
      <c r="V93" s="81"/>
      <c r="Y93">
        <f t="shared" si="26"/>
        <v>252552</v>
      </c>
      <c r="Z93">
        <f>IFERROR(IF(AND(ISNUMBER(A93),A93&gt;=$B$3,A93&lt;EDATE($B$3,1)),COUNTIFS($A$64:$A$500,"&gt;"&amp;A93,$A$64:$A$500,"&lt;"&amp;EDATE($B$3,1))+COUNTIF($A$64:A93,A93),0),0)</f>
        <v>0</v>
      </c>
    </row>
    <row r="94" spans="1:25" ht="40" customHeight="1" outlineLevel="1" hidden="1">
      <c r="A94" s="83">
        <v>46113</v>
      </c>
      <c r="B94" s="84" t="s">
        <v>74</v>
      </c>
      <c r="C94" s="84" t="s">
        <v>23</v>
      </c>
      <c r="D94" s="84" t="s">
        <v>54</v>
      </c>
      <c r="E94" s="85">
        <v>58908</v>
      </c>
      <c r="F94" s="89" t="s">
        <v>88</v>
      </c>
      <c r="G94" s="90" t="s">
        <v>61</v>
      </c>
      <c r="H94" s="87">
        <f t="shared" si="19"/>
        <v>46113.0</v>
      </c>
      <c r="I94" s="88" t="str">
        <f t="shared" si="20"/>
        <v>OK</v>
      </c>
      <c r="J94" s="81"/>
      <c r="K94" s="81"/>
      <c r="L94" s="81" t="s">
        <v>57</v>
      </c>
      <c r="M94" s="81"/>
      <c r="N94" s="81"/>
      <c r="O94" s="81"/>
      <c r="P94" s="81" t="str">
        <f t="shared" si="21"/>
        <v>이체</v>
      </c>
      <c r="Q94" s="81" t="str">
        <f t="shared" si="22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3"/>
        <v>외부</v>
      </c>
      <c r="T94" s="81">
        <f t="shared" si="24"/>
        <v>58908</v>
      </c>
      <c r="U94" s="81" t="str">
        <f t="shared" si="25"/>
        <v>날짜 미기록</v>
      </c>
      <c r="V94" s="81"/>
      <c r="Y94">
        <f t="shared" si="26"/>
        <v>58908</v>
      </c>
      <c r="Z94">
        <f>IFERROR(IF(AND(ISNUMBER(A94),A94&gt;=$B$3,A94&lt;EDATE($B$3,1)),COUNTIFS($A$64:$A$500,"&gt;"&amp;A94,$A$64:$A$500,"&lt;"&amp;EDATE($B$3,1))+COUNTIF($A$64:A94,A94),0),0)</f>
        <v>0</v>
      </c>
    </row>
    <row r="95" spans="1:25" ht="40" customHeight="1" outlineLevel="1" hidden="1">
      <c r="A95" s="83">
        <v>46113</v>
      </c>
      <c r="B95" s="84" t="s">
        <v>74</v>
      </c>
      <c r="C95" s="84" t="s">
        <v>21</v>
      </c>
      <c r="D95" s="84" t="s">
        <v>54</v>
      </c>
      <c r="E95" s="85">
        <v>21500</v>
      </c>
      <c r="F95" s="89" t="s">
        <v>89</v>
      </c>
      <c r="G95" s="90" t="s">
        <v>61</v>
      </c>
      <c r="H95" s="87">
        <f t="shared" si="19"/>
        <v>46113.0</v>
      </c>
      <c r="I95" s="88" t="str">
        <f t="shared" si="20"/>
        <v>OK</v>
      </c>
      <c r="J95" s="81"/>
      <c r="K95" s="81"/>
      <c r="L95" s="81" t="s">
        <v>57</v>
      </c>
      <c r="M95" s="81"/>
      <c r="N95" s="81"/>
      <c r="O95" s="81"/>
      <c r="P95" s="81" t="str">
        <f t="shared" si="21"/>
        <v>이체</v>
      </c>
      <c r="Q95" s="81" t="str">
        <f t="shared" si="22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3"/>
        <v>외부</v>
      </c>
      <c r="T95" s="81">
        <f t="shared" si="24"/>
        <v>21500</v>
      </c>
      <c r="U95" s="81" t="str">
        <f t="shared" si="25"/>
        <v>날짜 미기록</v>
      </c>
      <c r="V95" s="81"/>
      <c r="Y95">
        <f t="shared" si="26"/>
        <v>21500</v>
      </c>
      <c r="Z95">
        <f>IFERROR(IF(AND(ISNUMBER(A95),A95&gt;=$B$3,A95&lt;EDATE($B$3,1)),COUNTIFS($A$64:$A$500,"&gt;"&amp;A95,$A$64:$A$500,"&lt;"&amp;EDATE($B$3,1))+COUNTIF($A$64:A95,A95),0),0)</f>
        <v>0</v>
      </c>
    </row>
    <row r="96" spans="1:25" ht="40" customHeight="1" outlineLevel="1" hidden="1">
      <c r="A96" s="83">
        <v>46143</v>
      </c>
      <c r="B96" s="84" t="s">
        <v>59</v>
      </c>
      <c r="C96" s="84" t="s">
        <v>54</v>
      </c>
      <c r="D96" s="84" t="s">
        <v>15</v>
      </c>
      <c r="E96" s="85">
        <v>50000</v>
      </c>
      <c r="F96" s="89" t="s">
        <v>90</v>
      </c>
      <c r="G96" s="90" t="s">
        <v>61</v>
      </c>
      <c r="H96" s="87">
        <f t="shared" si="19"/>
        <v>46143.0</v>
      </c>
      <c r="I96" s="88" t="str">
        <f t="shared" si="20"/>
        <v>OK</v>
      </c>
      <c r="J96" s="81"/>
      <c r="K96" s="81"/>
      <c r="L96" s="81" t="s">
        <v>57</v>
      </c>
      <c r="M96" s="81"/>
      <c r="N96" s="81"/>
      <c r="O96" s="81"/>
      <c r="P96" s="81" t="str">
        <f t="shared" si="21"/>
        <v>내역</v>
      </c>
      <c r="Q96" s="81" t="str">
        <f t="shared" si="22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3"/>
        <v>생활비</v>
      </c>
      <c r="T96" s="81">
        <f t="shared" si="24"/>
        <v>50000</v>
      </c>
      <c r="U96" s="81" t="str">
        <f t="shared" si="25"/>
        <v>날짜 미기록</v>
      </c>
      <c r="V96" s="81"/>
      <c r="Y96">
        <f t="shared" si="26"/>
        <v>50000</v>
      </c>
      <c r="Z96">
        <f>IFERROR(IF(AND(ISNUMBER(A96),A96&gt;=$B$3,A96&lt;EDATE($B$3,1)),COUNTIFS($A$64:$A$500,"&gt;"&amp;A96,$A$64:$A$500,"&lt;"&amp;EDATE($B$3,1))+COUNTIF($A$64:A96,A96),0),0)</f>
        <v>0</v>
      </c>
    </row>
    <row r="97" spans="1:25" ht="40" customHeight="1" outlineLevel="1" hidden="1">
      <c r="A97" s="83">
        <v>46143</v>
      </c>
      <c r="B97" s="84" t="s">
        <v>74</v>
      </c>
      <c r="C97" s="84" t="s">
        <v>54</v>
      </c>
      <c r="D97" s="84" t="s">
        <v>15</v>
      </c>
      <c r="E97" s="85">
        <v>51100</v>
      </c>
      <c r="F97" s="89" t="s">
        <v>91</v>
      </c>
      <c r="G97" s="90" t="s">
        <v>61</v>
      </c>
      <c r="H97" s="87">
        <f t="shared" si="19"/>
        <v>46143.0</v>
      </c>
      <c r="I97" s="88" t="str">
        <f t="shared" si="20"/>
        <v>OK</v>
      </c>
      <c r="J97" s="81"/>
      <c r="K97" s="81"/>
      <c r="L97" s="81" t="s">
        <v>57</v>
      </c>
      <c r="M97" s="81"/>
      <c r="N97" s="81"/>
      <c r="O97" s="81"/>
      <c r="P97" s="81">
        <f t="shared" si="21"/>
      </c>
      <c r="Q97" s="81">
        <f t="shared" si="22"/>
      </c>
      <c r="R97" s="81">
        <f>IF(P97="","",TEXT(H97,"yyyymm")&amp;"_"&amp;P97&amp;"_"&amp;(COUNTIFS($H$64:$H$500,H97,$P$64:$P$500,P97,$A$64:$A$500,"&gt;"&amp;A97)+COUNTIFS($H$64:H97,H97,$P$64:P97,P97,$A$64:A97,A97)))</f>
      </c>
      <c r="S97" s="81">
        <f t="shared" si="23"/>
      </c>
      <c r="T97" s="81">
        <f t="shared" si="24"/>
      </c>
      <c r="U97" s="81">
        <f t="shared" si="25"/>
      </c>
      <c r="V97" s="81"/>
      <c r="Y97">
        <f t="shared" si="26"/>
        <v>51100</v>
      </c>
      <c r="Z97">
        <f>IFERROR(IF(AND(ISNUMBER(A97),A97&gt;=$B$3,A97&lt;EDATE($B$3,1)),COUNTIFS($A$64:$A$500,"&gt;"&amp;A97,$A$64:$A$500,"&lt;"&amp;EDATE($B$3,1))+COUNTIF($A$64:A97,A97),0),0)</f>
        <v>0</v>
      </c>
    </row>
    <row r="98" spans="1:25" ht="40" customHeight="1" outlineLevel="1" hidden="1">
      <c r="A98" s="83">
        <v>46143</v>
      </c>
      <c r="B98" s="84" t="s">
        <v>74</v>
      </c>
      <c r="C98" s="84" t="s">
        <v>15</v>
      </c>
      <c r="D98" s="84" t="s">
        <v>54</v>
      </c>
      <c r="E98" s="85">
        <v>179831</v>
      </c>
      <c r="F98" s="89" t="s">
        <v>92</v>
      </c>
      <c r="G98" s="90" t="s">
        <v>61</v>
      </c>
      <c r="H98" s="87">
        <f t="shared" si="19"/>
        <v>46143.0</v>
      </c>
      <c r="I98" s="88" t="str">
        <f t="shared" si="20"/>
        <v>OK</v>
      </c>
      <c r="J98" s="81"/>
      <c r="K98" s="81"/>
      <c r="L98" s="81" t="s">
        <v>57</v>
      </c>
      <c r="M98" s="81"/>
      <c r="N98" s="81"/>
      <c r="O98" s="81"/>
      <c r="P98" s="81" t="str">
        <f t="shared" si="21"/>
        <v>이체</v>
      </c>
      <c r="Q98" s="81" t="str">
        <f t="shared" si="22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3"/>
        <v>외부</v>
      </c>
      <c r="T98" s="81">
        <f t="shared" si="24"/>
        <v>179831</v>
      </c>
      <c r="U98" s="81" t="str">
        <f t="shared" si="25"/>
        <v>날짜 미기록</v>
      </c>
      <c r="V98" s="81"/>
      <c r="Y98">
        <f t="shared" si="26"/>
        <v>179831</v>
      </c>
      <c r="Z98">
        <f>IFERROR(IF(AND(ISNUMBER(A98),A98&gt;=$B$3,A98&lt;EDATE($B$3,1)),COUNTIFS($A$64:$A$500,"&gt;"&amp;A98,$A$64:$A$500,"&lt;"&amp;EDATE($B$3,1))+COUNTIF($A$64:A98,A98),0),0)</f>
        <v>0</v>
      </c>
    </row>
    <row r="99" spans="1:25" ht="40" customHeight="1" outlineLevel="1" hidden="1">
      <c r="A99" s="83">
        <v>46143</v>
      </c>
      <c r="B99" s="84" t="s">
        <v>74</v>
      </c>
      <c r="C99" s="84" t="s">
        <v>54</v>
      </c>
      <c r="D99" s="84" t="s">
        <v>15</v>
      </c>
      <c r="E99" s="85">
        <v>160133</v>
      </c>
      <c r="F99" s="89" t="s">
        <v>93</v>
      </c>
      <c r="G99" s="90" t="s">
        <v>61</v>
      </c>
      <c r="H99" s="87">
        <f t="shared" si="19"/>
        <v>46143.0</v>
      </c>
      <c r="I99" s="88" t="str">
        <f t="shared" si="20"/>
        <v>OK</v>
      </c>
      <c r="J99" s="81"/>
      <c r="K99" s="81"/>
      <c r="L99" s="81" t="s">
        <v>57</v>
      </c>
      <c r="M99" s="81"/>
      <c r="N99" s="81"/>
      <c r="O99" s="81"/>
      <c r="P99" s="81">
        <f t="shared" si="21"/>
      </c>
      <c r="Q99" s="81">
        <f t="shared" si="22"/>
      </c>
      <c r="R99" s="81">
        <f>IF(P99="","",TEXT(H99,"yyyymm")&amp;"_"&amp;P99&amp;"_"&amp;(COUNTIFS($H$64:$H$500,H99,$P$64:$P$500,P99,$A$64:$A$500,"&gt;"&amp;A99)+COUNTIFS($H$64:H99,H99,$P$64:P99,P99,$A$64:A99,A99)))</f>
      </c>
      <c r="S99" s="81">
        <f t="shared" si="23"/>
      </c>
      <c r="T99" s="81">
        <f t="shared" si="24"/>
      </c>
      <c r="U99" s="81">
        <f t="shared" si="25"/>
      </c>
      <c r="V99" s="81"/>
      <c r="Y99">
        <f t="shared" si="26"/>
        <v>160133</v>
      </c>
      <c r="Z99">
        <f>IFERROR(IF(AND(ISNUMBER(A99),A99&gt;=$B$3,A99&lt;EDATE($B$3,1)),COUNTIFS($A$64:$A$500,"&gt;"&amp;A99,$A$64:$A$500,"&lt;"&amp;EDATE($B$3,1))+COUNTIF($A$64:A99,A99),0),0)</f>
        <v>0</v>
      </c>
    </row>
    <row r="100" spans="1:25" ht="40" customHeight="1" outlineLevel="1" hidden="1">
      <c r="A100" s="83">
        <v>46143</v>
      </c>
      <c r="B100" s="84" t="s">
        <v>74</v>
      </c>
      <c r="C100" s="84" t="s">
        <v>54</v>
      </c>
      <c r="D100" s="84" t="s">
        <v>15</v>
      </c>
      <c r="E100" s="85">
        <v>36020</v>
      </c>
      <c r="F100" s="89" t="s">
        <v>94</v>
      </c>
      <c r="G100" s="90" t="s">
        <v>61</v>
      </c>
      <c r="H100" s="87">
        <f t="shared" si="19"/>
        <v>46143.0</v>
      </c>
      <c r="I100" s="88" t="str">
        <f t="shared" si="20"/>
        <v>OK</v>
      </c>
      <c r="J100" s="81"/>
      <c r="K100" s="81"/>
      <c r="L100" s="81" t="s">
        <v>57</v>
      </c>
      <c r="M100" s="81"/>
      <c r="N100" s="81"/>
      <c r="O100" s="81"/>
      <c r="P100" s="81">
        <f t="shared" si="21"/>
      </c>
      <c r="Q100" s="81">
        <f t="shared" si="22"/>
      </c>
      <c r="R100" s="81">
        <f>IF(P100="","",TEXT(H100,"yyyymm")&amp;"_"&amp;P100&amp;"_"&amp;(COUNTIFS($H$64:$H$500,H100,$P$64:$P$500,P100,$A$64:$A$500,"&gt;"&amp;A100)+COUNTIFS($H$64:H100,H100,$P$64:P100,P100,$A$64:A100,A100)))</f>
      </c>
      <c r="S100" s="81">
        <f t="shared" si="23"/>
      </c>
      <c r="T100" s="81">
        <f t="shared" si="24"/>
      </c>
      <c r="U100" s="81">
        <f t="shared" si="25"/>
      </c>
      <c r="V100" s="81"/>
      <c r="Y100">
        <f t="shared" si="26"/>
        <v>36020</v>
      </c>
      <c r="Z100">
        <f>IFERROR(IF(AND(ISNUMBER(A100),A100&gt;=$B$3,A100&lt;EDATE($B$3,1)),COUNTIFS($A$64:$A$500,"&gt;"&amp;A100,$A$64:$A$500,"&lt;"&amp;EDATE($B$3,1))+COUNTIF($A$64:A100,A100),0),0)</f>
        <v>0</v>
      </c>
    </row>
    <row r="101" spans="1:25" ht="40" customHeight="1" outlineLevel="1" hidden="1">
      <c r="A101" s="83">
        <v>46143</v>
      </c>
      <c r="B101" s="84" t="s">
        <v>65</v>
      </c>
      <c r="C101" s="84" t="s">
        <v>66</v>
      </c>
      <c r="D101" s="84" t="s">
        <v>16</v>
      </c>
      <c r="E101" s="85">
        <v>50000</v>
      </c>
      <c r="F101" s="89" t="s">
        <v>67</v>
      </c>
      <c r="G101" s="90" t="s">
        <v>61</v>
      </c>
      <c r="H101" s="87">
        <f t="shared" si="19"/>
        <v>46143.0</v>
      </c>
      <c r="I101" s="88" t="str">
        <f t="shared" si="20"/>
        <v>OK</v>
      </c>
      <c r="J101" s="81"/>
      <c r="K101" s="81"/>
      <c r="L101" s="81" t="s">
        <v>57</v>
      </c>
      <c r="M101" s="81"/>
      <c r="N101" s="81"/>
      <c r="O101" s="81"/>
      <c r="P101" s="81" t="str">
        <f t="shared" si="21"/>
        <v>내역</v>
      </c>
      <c r="Q101" s="81" t="str">
        <f t="shared" si="22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3"/>
        <v>명절비</v>
      </c>
      <c r="T101" s="81">
        <f t="shared" si="24"/>
        <v>50000</v>
      </c>
      <c r="U101" s="81" t="str">
        <f t="shared" si="25"/>
        <v>날짜 미기록</v>
      </c>
      <c r="V101" s="81"/>
      <c r="Y101">
        <f t="shared" si="26"/>
        <v>50000</v>
      </c>
      <c r="Z101">
        <f>IFERROR(IF(AND(ISNUMBER(A101),A101&gt;=$B$3,A101&lt;EDATE($B$3,1)),COUNTIFS($A$64:$A$500,"&gt;"&amp;A101,$A$64:$A$500,"&lt;"&amp;EDATE($B$3,1))+COUNTIF($A$64:A101,A101),0),0)</f>
        <v>0</v>
      </c>
    </row>
    <row r="102" spans="1:25" ht="40" customHeight="1" outlineLevel="1" hidden="1">
      <c r="A102" s="83">
        <v>46143</v>
      </c>
      <c r="B102" s="84" t="s">
        <v>95</v>
      </c>
      <c r="C102" s="84" t="s">
        <v>16</v>
      </c>
      <c r="D102" s="84" t="s">
        <v>63</v>
      </c>
      <c r="E102" s="85">
        <v>148900</v>
      </c>
      <c r="F102" s="89" t="s">
        <v>96</v>
      </c>
      <c r="G102" s="90" t="s">
        <v>61</v>
      </c>
      <c r="H102" s="87">
        <f t="shared" si="19"/>
        <v>46143.0</v>
      </c>
      <c r="I102" s="88" t="str">
        <f t="shared" si="20"/>
        <v>OK</v>
      </c>
      <c r="J102" s="81"/>
      <c r="K102" s="81"/>
      <c r="L102" s="81" t="s">
        <v>57</v>
      </c>
      <c r="M102" s="81"/>
      <c r="N102" s="81"/>
      <c r="O102" s="81"/>
      <c r="P102" s="81" t="str">
        <f t="shared" si="21"/>
        <v>내역</v>
      </c>
      <c r="Q102" s="81" t="str">
        <f t="shared" si="22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3"/>
        <v>지출</v>
      </c>
      <c r="T102" s="81">
        <f t="shared" si="24"/>
        <v>-148900</v>
      </c>
      <c r="U102" s="81" t="str">
        <f t="shared" si="25"/>
        <v>날짜 미기록</v>
      </c>
      <c r="V102" s="81"/>
      <c r="Y102">
        <f t="shared" si="26"/>
        <v>148900</v>
      </c>
      <c r="Z102">
        <f>IFERROR(IF(AND(ISNUMBER(A102),A102&gt;=$B$3,A102&lt;EDATE($B$3,1)),COUNTIFS($A$64:$A$500,"&gt;"&amp;A102,$A$64:$A$500,"&lt;"&amp;EDATE($B$3,1))+COUNTIF($A$64:A102,A102),0),0)</f>
        <v>0</v>
      </c>
    </row>
    <row r="103" spans="1:25" ht="40" customHeight="1" outlineLevel="1" hidden="1">
      <c r="A103" s="83">
        <v>46143</v>
      </c>
      <c r="B103" s="84" t="s">
        <v>74</v>
      </c>
      <c r="C103" s="84" t="s">
        <v>16</v>
      </c>
      <c r="D103" s="84" t="s">
        <v>54</v>
      </c>
      <c r="E103" s="85">
        <v>51100</v>
      </c>
      <c r="F103" s="89" t="s">
        <v>88</v>
      </c>
      <c r="G103" s="90" t="s">
        <v>61</v>
      </c>
      <c r="H103" s="87">
        <f t="shared" si="19"/>
        <v>46143.0</v>
      </c>
      <c r="I103" s="88" t="str">
        <f t="shared" si="20"/>
        <v>OK</v>
      </c>
      <c r="J103" s="81"/>
      <c r="K103" s="81"/>
      <c r="L103" s="81" t="s">
        <v>57</v>
      </c>
      <c r="M103" s="81"/>
      <c r="N103" s="81"/>
      <c r="O103" s="81"/>
      <c r="P103" s="81" t="str">
        <f t="shared" si="21"/>
        <v>이체</v>
      </c>
      <c r="Q103" s="81" t="str">
        <f t="shared" si="22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3"/>
        <v>외부</v>
      </c>
      <c r="T103" s="81">
        <f t="shared" si="24"/>
        <v>51100</v>
      </c>
      <c r="U103" s="81" t="str">
        <f t="shared" si="25"/>
        <v>날짜 미기록</v>
      </c>
      <c r="V103" s="81"/>
      <c r="Y103">
        <f t="shared" si="26"/>
        <v>51100</v>
      </c>
      <c r="Z103">
        <f>IFERROR(IF(AND(ISNUMBER(A103),A103&gt;=$B$3,A103&lt;EDATE($B$3,1)),COUNTIFS($A$64:$A$500,"&gt;"&amp;A103,$A$64:$A$500,"&lt;"&amp;EDATE($B$3,1))+COUNTIF($A$64:A103,A103),0),0)</f>
        <v>0</v>
      </c>
    </row>
    <row r="104" spans="1:25" ht="40" customHeight="1" outlineLevel="1" hidden="1">
      <c r="A104" s="83">
        <v>46143</v>
      </c>
      <c r="B104" s="84" t="s">
        <v>65</v>
      </c>
      <c r="C104" s="84" t="s">
        <v>66</v>
      </c>
      <c r="D104" s="84" t="s">
        <v>17</v>
      </c>
      <c r="E104" s="85">
        <v>100000</v>
      </c>
      <c r="F104" s="89" t="s">
        <v>68</v>
      </c>
      <c r="G104" s="90" t="s">
        <v>61</v>
      </c>
      <c r="H104" s="87">
        <f t="shared" si="19"/>
        <v>46143.0</v>
      </c>
      <c r="I104" s="88" t="str">
        <f t="shared" si="20"/>
        <v>OK</v>
      </c>
      <c r="J104" s="81"/>
      <c r="K104" s="81"/>
      <c r="L104" s="81" t="s">
        <v>57</v>
      </c>
      <c r="M104" s="81"/>
      <c r="N104" s="81"/>
      <c r="O104" s="81"/>
      <c r="P104" s="81" t="str">
        <f t="shared" si="21"/>
        <v>내역</v>
      </c>
      <c r="Q104" s="81" t="str">
        <f t="shared" si="22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3"/>
        <v>여행비</v>
      </c>
      <c r="T104" s="81">
        <f t="shared" si="24"/>
        <v>100000</v>
      </c>
      <c r="U104" s="81" t="str">
        <f t="shared" si="25"/>
        <v>날짜 미기록</v>
      </c>
      <c r="V104" s="81"/>
      <c r="Y104">
        <f t="shared" si="26"/>
        <v>100000</v>
      </c>
      <c r="Z104">
        <f>IFERROR(IF(AND(ISNUMBER(A104),A104&gt;=$B$3,A104&lt;EDATE($B$3,1)),COUNTIFS($A$64:$A$500,"&gt;"&amp;A104,$A$64:$A$500,"&lt;"&amp;EDATE($B$3,1))+COUNTIF($A$64:A104,A104),0),0)</f>
        <v>0</v>
      </c>
    </row>
    <row r="105" spans="1:25" ht="40" customHeight="1" outlineLevel="1" hidden="1">
      <c r="A105" s="83">
        <v>46143</v>
      </c>
      <c r="B105" s="84" t="s">
        <v>65</v>
      </c>
      <c r="C105" s="84" t="s">
        <v>66</v>
      </c>
      <c r="D105" s="84" t="s">
        <v>18</v>
      </c>
      <c r="E105" s="85">
        <v>50000</v>
      </c>
      <c r="F105" s="89" t="s">
        <v>97</v>
      </c>
      <c r="G105" s="90" t="s">
        <v>61</v>
      </c>
      <c r="H105" s="87">
        <f t="shared" si="19"/>
        <v>46143.0</v>
      </c>
      <c r="I105" s="88" t="str">
        <f t="shared" si="20"/>
        <v>OK</v>
      </c>
      <c r="J105" s="81"/>
      <c r="K105" s="81"/>
      <c r="L105" s="81" t="s">
        <v>57</v>
      </c>
      <c r="M105" s="81"/>
      <c r="N105" s="81"/>
      <c r="O105" s="81"/>
      <c r="P105" s="81" t="str">
        <f t="shared" si="21"/>
        <v>내역</v>
      </c>
      <c r="Q105" s="81" t="str">
        <f t="shared" si="22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3"/>
        <v>경조사비</v>
      </c>
      <c r="T105" s="81">
        <f t="shared" si="24"/>
        <v>50000</v>
      </c>
      <c r="U105" s="81" t="str">
        <f t="shared" si="25"/>
        <v>날짜 미기록</v>
      </c>
      <c r="V105" s="81"/>
      <c r="Y105">
        <f t="shared" si="26"/>
        <v>50000</v>
      </c>
      <c r="Z105">
        <f>IFERROR(IF(AND(ISNUMBER(A105),A105&gt;=$B$3,A105&lt;EDATE($B$3,1)),COUNTIFS($A$64:$A$500,"&gt;"&amp;A105,$A$64:$A$500,"&lt;"&amp;EDATE($B$3,1))+COUNTIF($A$64:A105,A105),0),0)</f>
        <v>0</v>
      </c>
    </row>
    <row r="106" spans="1:25" ht="40" customHeight="1" outlineLevel="1" hidden="1">
      <c r="A106" s="83">
        <v>46143</v>
      </c>
      <c r="B106" s="84" t="s">
        <v>95</v>
      </c>
      <c r="C106" s="84" t="s">
        <v>19</v>
      </c>
      <c r="D106" s="84" t="s">
        <v>63</v>
      </c>
      <c r="E106" s="85">
        <v>313980</v>
      </c>
      <c r="F106" s="89" t="s">
        <v>98</v>
      </c>
      <c r="G106" s="90" t="s">
        <v>61</v>
      </c>
      <c r="H106" s="87">
        <f t="shared" si="19"/>
        <v>46143.0</v>
      </c>
      <c r="I106" s="88" t="str">
        <f t="shared" si="20"/>
        <v>OK</v>
      </c>
      <c r="J106" s="81"/>
      <c r="K106" s="81"/>
      <c r="L106" s="81" t="s">
        <v>57</v>
      </c>
      <c r="M106" s="81"/>
      <c r="N106" s="81"/>
      <c r="O106" s="81"/>
      <c r="P106" s="81" t="str">
        <f t="shared" si="21"/>
        <v>내역</v>
      </c>
      <c r="Q106" s="81" t="str">
        <f t="shared" si="22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3"/>
        <v>지출</v>
      </c>
      <c r="T106" s="81">
        <f t="shared" si="24"/>
        <v>-313980</v>
      </c>
      <c r="U106" s="81" t="str">
        <f t="shared" si="25"/>
        <v>날짜 미기록</v>
      </c>
      <c r="V106" s="81"/>
      <c r="Y106">
        <f t="shared" si="26"/>
        <v>313980</v>
      </c>
      <c r="Z106">
        <f>IFERROR(IF(AND(ISNUMBER(A106),A106&gt;=$B$3,A106&lt;EDATE($B$3,1)),COUNTIFS($A$64:$A$500,"&gt;"&amp;A106,$A$64:$A$500,"&lt;"&amp;EDATE($B$3,1))+COUNTIF($A$64:A106,A106),0),0)</f>
        <v>0</v>
      </c>
    </row>
    <row r="107" spans="1:25" ht="40" customHeight="1" outlineLevel="1" hidden="1">
      <c r="A107" s="83">
        <v>46143</v>
      </c>
      <c r="B107" s="84" t="s">
        <v>74</v>
      </c>
      <c r="C107" s="84" t="s">
        <v>19</v>
      </c>
      <c r="D107" s="84" t="s">
        <v>54</v>
      </c>
      <c r="E107" s="85">
        <v>36020</v>
      </c>
      <c r="F107" s="89" t="s">
        <v>88</v>
      </c>
      <c r="G107" s="90" t="s">
        <v>61</v>
      </c>
      <c r="H107" s="87">
        <f t="shared" si="19"/>
        <v>46143.0</v>
      </c>
      <c r="I107" s="88" t="str">
        <f t="shared" si="20"/>
        <v>OK</v>
      </c>
      <c r="J107" s="81"/>
      <c r="K107" s="81"/>
      <c r="L107" s="81" t="s">
        <v>57</v>
      </c>
      <c r="M107" s="81"/>
      <c r="N107" s="81"/>
      <c r="O107" s="81"/>
      <c r="P107" s="81" t="str">
        <f t="shared" si="21"/>
        <v>이체</v>
      </c>
      <c r="Q107" s="81" t="str">
        <f t="shared" si="22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3"/>
        <v>외부</v>
      </c>
      <c r="T107" s="81">
        <f t="shared" si="24"/>
        <v>36020</v>
      </c>
      <c r="U107" s="81" t="str">
        <f t="shared" si="25"/>
        <v>날짜 미기록</v>
      </c>
      <c r="V107" s="81"/>
      <c r="Y107">
        <f t="shared" si="26"/>
        <v>36020</v>
      </c>
      <c r="Z107">
        <f>IFERROR(IF(AND(ISNUMBER(A107),A107&gt;=$B$3,A107&lt;EDATE($B$3,1)),COUNTIFS($A$64:$A$500,"&gt;"&amp;A107,$A$64:$A$500,"&lt;"&amp;EDATE($B$3,1))+COUNTIF($A$64:A107,A107),0),0)</f>
        <v>0</v>
      </c>
    </row>
    <row r="108" spans="1:25" ht="40" customHeight="1" outlineLevel="1" hidden="1">
      <c r="A108" s="83">
        <v>46143</v>
      </c>
      <c r="B108" s="84" t="s">
        <v>59</v>
      </c>
      <c r="C108" s="84" t="s">
        <v>54</v>
      </c>
      <c r="D108" s="84" t="s">
        <v>22</v>
      </c>
      <c r="E108" s="85">
        <v>151317</v>
      </c>
      <c r="F108" s="89" t="s">
        <v>78</v>
      </c>
      <c r="G108" s="90" t="s">
        <v>61</v>
      </c>
      <c r="H108" s="87">
        <f t="shared" si="19"/>
        <v>46143.0</v>
      </c>
      <c r="I108" s="88" t="str">
        <f t="shared" si="20"/>
        <v>OK</v>
      </c>
      <c r="J108" s="81"/>
      <c r="K108" s="81"/>
      <c r="L108" s="81" t="s">
        <v>57</v>
      </c>
      <c r="M108" s="81"/>
      <c r="N108" s="81"/>
      <c r="O108" s="81"/>
      <c r="P108" s="81" t="str">
        <f t="shared" si="21"/>
        <v>내역</v>
      </c>
      <c r="Q108" s="81" t="str">
        <f t="shared" si="22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3"/>
        <v>금융</v>
      </c>
      <c r="T108" s="81">
        <f t="shared" si="24"/>
        <v>151317</v>
      </c>
      <c r="U108" s="81" t="str">
        <f t="shared" si="25"/>
        <v>날짜 미기록</v>
      </c>
      <c r="V108" s="81"/>
      <c r="Y108">
        <f t="shared" si="26"/>
        <v>151317</v>
      </c>
      <c r="Z108">
        <f>IFERROR(IF(AND(ISNUMBER(A108),A108&gt;=$B$3,A108&lt;EDATE($B$3,1)),COUNTIFS($A$64:$A$500,"&gt;"&amp;A108,$A$64:$A$500,"&lt;"&amp;EDATE($B$3,1))+COUNTIF($A$64:A108,A108),0),0)</f>
        <v>0</v>
      </c>
    </row>
    <row r="109" spans="1:25" ht="40" customHeight="1" outlineLevel="1" hidden="1">
      <c r="A109" s="83">
        <v>46143</v>
      </c>
      <c r="B109" s="84" t="s">
        <v>59</v>
      </c>
      <c r="C109" s="84" t="s">
        <v>54</v>
      </c>
      <c r="D109" s="84" t="s">
        <v>22</v>
      </c>
      <c r="E109" s="85">
        <v>849</v>
      </c>
      <c r="F109" s="89" t="s">
        <v>78</v>
      </c>
      <c r="G109" s="90" t="s">
        <v>61</v>
      </c>
      <c r="H109" s="87">
        <f t="shared" si="19"/>
        <v>46143.0</v>
      </c>
      <c r="I109" s="88" t="str">
        <f t="shared" si="20"/>
        <v>OK</v>
      </c>
      <c r="J109" s="81"/>
      <c r="K109" s="81"/>
      <c r="L109" s="81" t="s">
        <v>57</v>
      </c>
      <c r="M109" s="81"/>
      <c r="N109" s="81"/>
      <c r="O109" s="81"/>
      <c r="P109" s="81" t="str">
        <f t="shared" si="21"/>
        <v>내역</v>
      </c>
      <c r="Q109" s="81" t="str">
        <f t="shared" si="22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3"/>
        <v>금융</v>
      </c>
      <c r="T109" s="81">
        <f t="shared" si="24"/>
        <v>849</v>
      </c>
      <c r="U109" s="81" t="str">
        <f t="shared" si="25"/>
        <v>날짜 미기록</v>
      </c>
      <c r="V109" s="81"/>
      <c r="Y109">
        <f t="shared" si="26"/>
        <v>849</v>
      </c>
      <c r="Z109">
        <f>IFERROR(IF(AND(ISNUMBER(A109),A109&gt;=$B$3,A109&lt;EDATE($B$3,1)),COUNTIFS($A$64:$A$500,"&gt;"&amp;A109,$A$64:$A$500,"&lt;"&amp;EDATE($B$3,1))+COUNTIF($A$64:A109,A109),0),0)</f>
        <v>0</v>
      </c>
    </row>
    <row r="110" spans="1:25" ht="40" customHeight="1" outlineLevel="1" hidden="1">
      <c r="A110" s="83">
        <v>46143</v>
      </c>
      <c r="B110" s="84" t="s">
        <v>59</v>
      </c>
      <c r="C110" s="84" t="s">
        <v>54</v>
      </c>
      <c r="D110" s="84" t="s">
        <v>22</v>
      </c>
      <c r="E110" s="85">
        <v>5816</v>
      </c>
      <c r="F110" s="89" t="s">
        <v>78</v>
      </c>
      <c r="G110" s="90" t="s">
        <v>61</v>
      </c>
      <c r="H110" s="87">
        <f t="shared" si="19"/>
        <v>46143.0</v>
      </c>
      <c r="I110" s="88" t="str">
        <f t="shared" si="20"/>
        <v>OK</v>
      </c>
      <c r="J110" s="81"/>
      <c r="K110" s="81"/>
      <c r="L110" s="81" t="s">
        <v>57</v>
      </c>
      <c r="M110" s="81"/>
      <c r="N110" s="81"/>
      <c r="O110" s="81"/>
      <c r="P110" s="81" t="str">
        <f t="shared" si="21"/>
        <v>내역</v>
      </c>
      <c r="Q110" s="81" t="str">
        <f t="shared" si="22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3"/>
        <v>금융</v>
      </c>
      <c r="T110" s="81">
        <f t="shared" si="24"/>
        <v>5816</v>
      </c>
      <c r="U110" s="81" t="str">
        <f t="shared" si="25"/>
        <v>날짜 미기록</v>
      </c>
      <c r="V110" s="81"/>
      <c r="Y110">
        <f t="shared" si="26"/>
        <v>5816</v>
      </c>
      <c r="Z110">
        <f>IFERROR(IF(AND(ISNUMBER(A110),A110&gt;=$B$3,A110&lt;EDATE($B$3,1)),COUNTIFS($A$64:$A$500,"&gt;"&amp;A110,$A$64:$A$500,"&lt;"&amp;EDATE($B$3,1))+COUNTIF($A$64:A110,A110),0),0)</f>
        <v>0</v>
      </c>
    </row>
    <row r="111" spans="1:25" ht="40" customHeight="1" outlineLevel="1" hidden="1">
      <c r="A111" s="83">
        <v>46143</v>
      </c>
      <c r="B111" s="84" t="s">
        <v>59</v>
      </c>
      <c r="C111" s="84" t="s">
        <v>54</v>
      </c>
      <c r="D111" s="84" t="s">
        <v>22</v>
      </c>
      <c r="E111" s="85">
        <v>1137</v>
      </c>
      <c r="F111" s="89" t="s">
        <v>78</v>
      </c>
      <c r="G111" s="90" t="s">
        <v>61</v>
      </c>
      <c r="H111" s="87">
        <f t="shared" si="19"/>
        <v>46143.0</v>
      </c>
      <c r="I111" s="88" t="str">
        <f t="shared" si="20"/>
        <v>OK</v>
      </c>
      <c r="J111" s="81"/>
      <c r="K111" s="81"/>
      <c r="L111" s="81" t="s">
        <v>57</v>
      </c>
      <c r="M111" s="81"/>
      <c r="N111" s="81"/>
      <c r="O111" s="81"/>
      <c r="P111" s="81" t="str">
        <f t="shared" si="21"/>
        <v>내역</v>
      </c>
      <c r="Q111" s="81" t="str">
        <f t="shared" si="22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3"/>
        <v>금융</v>
      </c>
      <c r="T111" s="81">
        <f t="shared" si="24"/>
        <v>1137</v>
      </c>
      <c r="U111" s="81" t="str">
        <f t="shared" si="25"/>
        <v>날짜 미기록</v>
      </c>
      <c r="V111" s="81"/>
      <c r="Y111">
        <f t="shared" si="26"/>
        <v>1137</v>
      </c>
      <c r="Z111">
        <f>IFERROR(IF(AND(ISNUMBER(A111),A111&gt;=$B$3,A111&lt;EDATE($B$3,1)),COUNTIFS($A$64:$A$500,"&gt;"&amp;A111,$A$64:$A$500,"&lt;"&amp;EDATE($B$3,1))+COUNTIF($A$64:A111,A111),0),0)</f>
        <v>0</v>
      </c>
    </row>
    <row r="112" spans="1:25" ht="40" customHeight="1" outlineLevel="1" hidden="1">
      <c r="A112" s="83">
        <v>46143</v>
      </c>
      <c r="B112" s="84" t="s">
        <v>74</v>
      </c>
      <c r="C112" s="84" t="s">
        <v>22</v>
      </c>
      <c r="D112" s="84" t="s">
        <v>54</v>
      </c>
      <c r="E112" s="85">
        <v>160133</v>
      </c>
      <c r="F112" s="89" t="s">
        <v>88</v>
      </c>
      <c r="G112" s="90" t="s">
        <v>61</v>
      </c>
      <c r="H112" s="87">
        <f t="shared" si="19"/>
        <v>46143.0</v>
      </c>
      <c r="I112" s="88" t="str">
        <f t="shared" si="20"/>
        <v>OK</v>
      </c>
      <c r="J112" s="81"/>
      <c r="K112" s="81"/>
      <c r="L112" s="81" t="s">
        <v>57</v>
      </c>
      <c r="M112" s="81"/>
      <c r="N112" s="81"/>
      <c r="O112" s="81"/>
      <c r="P112" s="81" t="str">
        <f t="shared" si="21"/>
        <v>이체</v>
      </c>
      <c r="Q112" s="81" t="str">
        <f t="shared" si="22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3"/>
        <v>외부</v>
      </c>
      <c r="T112" s="81">
        <f t="shared" si="24"/>
        <v>160133</v>
      </c>
      <c r="U112" s="81" t="str">
        <f t="shared" si="25"/>
        <v>날짜 미기록</v>
      </c>
      <c r="V112" s="81"/>
      <c r="Y112">
        <f t="shared" si="26"/>
        <v>160133</v>
      </c>
      <c r="Z112">
        <f>IFERROR(IF(AND(ISNUMBER(A112),A112&gt;=$B$3,A112&lt;EDATE($B$3,1)),COUNTIFS($A$64:$A$500,"&gt;"&amp;A112,$A$64:$A$500,"&lt;"&amp;EDATE($B$3,1))+COUNTIF($A$64:A112,A112),0),0)</f>
        <v>0</v>
      </c>
    </row>
    <row r="113" spans="1:25" ht="40" customHeight="1" outlineLevel="1" hidden="1">
      <c r="A113" s="83">
        <v>46143</v>
      </c>
      <c r="B113" s="84" t="s">
        <v>59</v>
      </c>
      <c r="C113" s="84" t="s">
        <v>54</v>
      </c>
      <c r="D113" s="84" t="s">
        <v>23</v>
      </c>
      <c r="E113" s="85">
        <v>2042174</v>
      </c>
      <c r="F113" s="89" t="s">
        <v>79</v>
      </c>
      <c r="G113" s="90" t="s">
        <v>61</v>
      </c>
      <c r="H113" s="87">
        <f t="shared" si="19"/>
        <v>46143.0</v>
      </c>
      <c r="I113" s="88" t="str">
        <f t="shared" si="20"/>
        <v>OK</v>
      </c>
      <c r="J113" s="81"/>
      <c r="K113" s="81"/>
      <c r="L113" s="81" t="s">
        <v>57</v>
      </c>
      <c r="M113" s="81"/>
      <c r="N113" s="81"/>
      <c r="O113" s="81"/>
      <c r="P113" s="81" t="str">
        <f t="shared" si="21"/>
        <v>내역</v>
      </c>
      <c r="Q113" s="81" t="str">
        <f t="shared" si="22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3"/>
        <v>임시보관</v>
      </c>
      <c r="T113" s="81">
        <f t="shared" si="24"/>
        <v>2042174</v>
      </c>
      <c r="U113" s="81" t="str">
        <f t="shared" si="25"/>
        <v>날짜 미기록</v>
      </c>
      <c r="V113" s="81"/>
      <c r="Y113">
        <f t="shared" si="26"/>
        <v>2042174</v>
      </c>
      <c r="Z113">
        <f>IFERROR(IF(AND(ISNUMBER(A113),A113&gt;=$B$3,A113&lt;EDATE($B$3,1)),COUNTIFS($A$64:$A$500,"&gt;"&amp;A113,$A$64:$A$500,"&lt;"&amp;EDATE($B$3,1))+COUNTIF($A$64:A113,A113),0),0)</f>
        <v>0</v>
      </c>
    </row>
    <row r="114" spans="1:25" ht="40" customHeight="1" outlineLevel="1" hidden="1">
      <c r="A114" s="83">
        <v>46143</v>
      </c>
      <c r="B114" s="84" t="s">
        <v>62</v>
      </c>
      <c r="C114" s="84" t="s">
        <v>23</v>
      </c>
      <c r="D114" s="84" t="s">
        <v>63</v>
      </c>
      <c r="E114" s="85">
        <v>550000</v>
      </c>
      <c r="F114" s="89" t="s">
        <v>82</v>
      </c>
      <c r="G114" s="90" t="s">
        <v>61</v>
      </c>
      <c r="H114" s="87">
        <f t="shared" si="19"/>
        <v>46143.0</v>
      </c>
      <c r="I114" s="88" t="str">
        <f t="shared" si="20"/>
        <v>OK</v>
      </c>
      <c r="J114" s="81"/>
      <c r="K114" s="81"/>
      <c r="L114" s="81" t="s">
        <v>57</v>
      </c>
      <c r="M114" s="81"/>
      <c r="N114" s="81"/>
      <c r="O114" s="81"/>
      <c r="P114" s="81" t="str">
        <f t="shared" si="21"/>
        <v>내역</v>
      </c>
      <c r="Q114" s="81" t="str">
        <f t="shared" si="22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3"/>
        <v>지출</v>
      </c>
      <c r="T114" s="81">
        <f t="shared" si="24"/>
        <v>-550000</v>
      </c>
      <c r="U114" s="81" t="str">
        <f t="shared" si="25"/>
        <v>날짜 미기록</v>
      </c>
      <c r="V114" s="81"/>
      <c r="Y114">
        <f t="shared" si="26"/>
        <v>550000</v>
      </c>
      <c r="Z114">
        <f>IFERROR(IF(AND(ISNUMBER(A114),A114&gt;=$B$3,A114&lt;EDATE($B$3,1)),COUNTIFS($A$64:$A$500,"&gt;"&amp;A114,$A$64:$A$500,"&lt;"&amp;EDATE($B$3,1))+COUNTIF($A$64:A114,A114),0),0)</f>
        <v>0</v>
      </c>
    </row>
    <row r="115" spans="1:25" ht="40" customHeight="1" outlineLevel="1" hidden="1">
      <c r="A115" s="83">
        <v>46143</v>
      </c>
      <c r="B115" s="84" t="s">
        <v>62</v>
      </c>
      <c r="C115" s="84" t="s">
        <v>23</v>
      </c>
      <c r="D115" s="84" t="s">
        <v>63</v>
      </c>
      <c r="E115" s="85">
        <v>34170</v>
      </c>
      <c r="F115" s="89" t="s">
        <v>99</v>
      </c>
      <c r="G115" s="90" t="s">
        <v>61</v>
      </c>
      <c r="H115" s="87">
        <f t="shared" si="19"/>
        <v>46143.0</v>
      </c>
      <c r="I115" s="88" t="str">
        <f t="shared" si="20"/>
        <v>OK</v>
      </c>
      <c r="J115" s="81"/>
      <c r="K115" s="81"/>
      <c r="L115" s="81" t="s">
        <v>57</v>
      </c>
      <c r="M115" s="81"/>
      <c r="N115" s="81"/>
      <c r="O115" s="81"/>
      <c r="P115" s="81" t="str">
        <f t="shared" si="21"/>
        <v>내역</v>
      </c>
      <c r="Q115" s="81" t="str">
        <f t="shared" si="22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3"/>
        <v>지출</v>
      </c>
      <c r="T115" s="81">
        <f t="shared" si="24"/>
        <v>-34170</v>
      </c>
      <c r="U115" s="81" t="str">
        <f t="shared" si="25"/>
        <v>날짜 미기록</v>
      </c>
      <c r="V115" s="81"/>
      <c r="Y115">
        <f t="shared" si="26"/>
        <v>34170</v>
      </c>
      <c r="Z115">
        <f>IFERROR(IF(AND(ISNUMBER(A115),A115&gt;=$B$3,A115&lt;EDATE($B$3,1)),COUNTIFS($A$64:$A$500,"&gt;"&amp;A115,$A$64:$A$500,"&lt;"&amp;EDATE($B$3,1))+COUNTIF($A$64:A115,A115),0),0)</f>
        <v>0</v>
      </c>
    </row>
    <row r="116" spans="1:25" ht="40" customHeight="1" outlineLevel="1" hidden="1">
      <c r="A116" s="83">
        <v>46143</v>
      </c>
      <c r="B116" s="84" t="s">
        <v>62</v>
      </c>
      <c r="C116" s="84" t="s">
        <v>23</v>
      </c>
      <c r="D116" s="84" t="s">
        <v>63</v>
      </c>
      <c r="E116" s="85">
        <v>428190</v>
      </c>
      <c r="F116" s="89" t="s">
        <v>100</v>
      </c>
      <c r="G116" s="90" t="s">
        <v>61</v>
      </c>
      <c r="H116" s="87">
        <f t="shared" si="19"/>
        <v>46143.0</v>
      </c>
      <c r="I116" s="88" t="str">
        <f t="shared" si="20"/>
        <v>OK</v>
      </c>
      <c r="J116" s="81"/>
      <c r="K116" s="81"/>
      <c r="L116" s="81" t="s">
        <v>57</v>
      </c>
      <c r="M116" s="81"/>
      <c r="N116" s="81"/>
      <c r="O116" s="81"/>
      <c r="P116" s="81" t="str">
        <f t="shared" si="21"/>
        <v>내역</v>
      </c>
      <c r="Q116" s="81" t="str">
        <f t="shared" si="22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3"/>
        <v>지출</v>
      </c>
      <c r="T116" s="81">
        <f t="shared" si="24"/>
        <v>-428190</v>
      </c>
      <c r="U116" s="81" t="str">
        <f t="shared" si="25"/>
        <v>날짜 미기록</v>
      </c>
      <c r="V116" s="81"/>
      <c r="Y116">
        <f t="shared" si="26"/>
        <v>428190</v>
      </c>
      <c r="Z116">
        <f>IFERROR(IF(AND(ISNUMBER(A116),A116&gt;=$B$3,A116&lt;EDATE($B$3,1)),COUNTIFS($A$64:$A$500,"&gt;"&amp;A116,$A$64:$A$500,"&lt;"&amp;EDATE($B$3,1))+COUNTIF($A$64:A116,A116),0),0)</f>
        <v>0</v>
      </c>
    </row>
    <row r="117" spans="1:25" ht="40" customHeight="1" outlineLevel="1" hidden="1">
      <c r="A117" s="83">
        <v>46143</v>
      </c>
      <c r="B117" s="84" t="s">
        <v>62</v>
      </c>
      <c r="C117" s="84" t="s">
        <v>23</v>
      </c>
      <c r="D117" s="84" t="s">
        <v>63</v>
      </c>
      <c r="E117" s="85">
        <v>12000</v>
      </c>
      <c r="F117" s="89" t="s">
        <v>83</v>
      </c>
      <c r="G117" s="90" t="s">
        <v>61</v>
      </c>
      <c r="H117" s="87">
        <f t="shared" si="19"/>
        <v>46143.0</v>
      </c>
      <c r="I117" s="88" t="str">
        <f t="shared" si="20"/>
        <v>OK</v>
      </c>
      <c r="J117" s="81"/>
      <c r="K117" s="81"/>
      <c r="L117" s="81" t="s">
        <v>57</v>
      </c>
      <c r="M117" s="81"/>
      <c r="N117" s="81"/>
      <c r="O117" s="81"/>
      <c r="P117" s="81" t="str">
        <f t="shared" si="21"/>
        <v>내역</v>
      </c>
      <c r="Q117" s="81" t="str">
        <f t="shared" si="22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3"/>
        <v>지출</v>
      </c>
      <c r="T117" s="81">
        <f t="shared" si="24"/>
        <v>-12000</v>
      </c>
      <c r="U117" s="81" t="str">
        <f t="shared" si="25"/>
        <v>날짜 미기록</v>
      </c>
      <c r="V117" s="81"/>
      <c r="Y117">
        <f t="shared" si="26"/>
        <v>12000</v>
      </c>
      <c r="Z117">
        <f>IFERROR(IF(AND(ISNUMBER(A117),A117&gt;=$B$3,A117&lt;EDATE($B$3,1)),COUNTIFS($A$64:$A$500,"&gt;"&amp;A117,$A$64:$A$500,"&lt;"&amp;EDATE($B$3,1))+COUNTIF($A$64:A117,A117),0),0)</f>
        <v>0</v>
      </c>
    </row>
    <row r="118" spans="1:25" ht="40" customHeight="1" outlineLevel="1" hidden="1">
      <c r="A118" s="83">
        <v>46143</v>
      </c>
      <c r="B118" s="84" t="s">
        <v>62</v>
      </c>
      <c r="C118" s="84" t="s">
        <v>23</v>
      </c>
      <c r="D118" s="84" t="s">
        <v>63</v>
      </c>
      <c r="E118" s="85">
        <v>666160</v>
      </c>
      <c r="F118" s="89" t="s">
        <v>84</v>
      </c>
      <c r="G118" s="90" t="s">
        <v>61</v>
      </c>
      <c r="H118" s="87">
        <f t="shared" si="19"/>
        <v>46143.0</v>
      </c>
      <c r="I118" s="88" t="str">
        <f t="shared" si="20"/>
        <v>OK</v>
      </c>
      <c r="J118" s="81"/>
      <c r="K118" s="81"/>
      <c r="L118" s="81" t="s">
        <v>57</v>
      </c>
      <c r="M118" s="81"/>
      <c r="N118" s="81"/>
      <c r="O118" s="81"/>
      <c r="P118" s="81" t="str">
        <f t="shared" si="21"/>
        <v>내역</v>
      </c>
      <c r="Q118" s="81" t="str">
        <f t="shared" si="22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3"/>
        <v>지출</v>
      </c>
      <c r="T118" s="81">
        <f t="shared" si="24"/>
        <v>-666160</v>
      </c>
      <c r="U118" s="81" t="str">
        <f t="shared" si="25"/>
        <v>날짜 미기록</v>
      </c>
      <c r="V118" s="81"/>
      <c r="Y118">
        <f t="shared" si="26"/>
        <v>666160</v>
      </c>
      <c r="Z118">
        <f>IFERROR(IF(AND(ISNUMBER(A118),A118&gt;=$B$3,A118&lt;EDATE($B$3,1)),COUNTIFS($A$64:$A$500,"&gt;"&amp;A118,$A$64:$A$500,"&lt;"&amp;EDATE($B$3,1))+COUNTIF($A$64:A118,A118),0),0)</f>
        <v>0</v>
      </c>
    </row>
    <row r="119" spans="1:25" ht="40" customHeight="1" outlineLevel="1" hidden="1">
      <c r="A119" s="83">
        <v>46143</v>
      </c>
      <c r="B119" s="84" t="s">
        <v>62</v>
      </c>
      <c r="C119" s="84" t="s">
        <v>23</v>
      </c>
      <c r="D119" s="84" t="s">
        <v>63</v>
      </c>
      <c r="E119" s="85">
        <v>257470</v>
      </c>
      <c r="F119" s="89" t="s">
        <v>86</v>
      </c>
      <c r="G119" s="90" t="s">
        <v>61</v>
      </c>
      <c r="H119" s="87">
        <f t="shared" si="19"/>
        <v>46143.0</v>
      </c>
      <c r="I119" s="88" t="str">
        <f t="shared" si="20"/>
        <v>OK</v>
      </c>
      <c r="J119" s="81"/>
      <c r="K119" s="81"/>
      <c r="L119" s="81" t="s">
        <v>57</v>
      </c>
      <c r="M119" s="81"/>
      <c r="N119" s="81"/>
      <c r="O119" s="81"/>
      <c r="P119" s="81" t="str">
        <f t="shared" si="21"/>
        <v>내역</v>
      </c>
      <c r="Q119" s="81" t="str">
        <f t="shared" si="22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3"/>
        <v>지출</v>
      </c>
      <c r="T119" s="81">
        <f t="shared" si="24"/>
        <v>-257470</v>
      </c>
      <c r="U119" s="81" t="str">
        <f t="shared" si="25"/>
        <v>날짜 미기록</v>
      </c>
      <c r="V119" s="81"/>
      <c r="Y119">
        <f t="shared" si="26"/>
        <v>257470</v>
      </c>
      <c r="Z119">
        <f>IFERROR(IF(AND(ISNUMBER(A119),A119&gt;=$B$3,A119&lt;EDATE($B$3,1)),COUNTIFS($A$64:$A$500,"&gt;"&amp;A119,$A$64:$A$500,"&lt;"&amp;EDATE($B$3,1))+COUNTIF($A$64:A119,A119),0),0)</f>
        <v>0</v>
      </c>
    </row>
    <row r="120" spans="1:25" ht="40" customHeight="1" outlineLevel="1" hidden="1">
      <c r="A120" s="83">
        <v>46143</v>
      </c>
      <c r="B120" s="84" t="s">
        <v>62</v>
      </c>
      <c r="C120" s="84" t="s">
        <v>23</v>
      </c>
      <c r="D120" s="84" t="s">
        <v>63</v>
      </c>
      <c r="E120" s="85">
        <v>725751</v>
      </c>
      <c r="F120" s="89" t="s">
        <v>85</v>
      </c>
      <c r="G120" s="90" t="s">
        <v>61</v>
      </c>
      <c r="H120" s="87">
        <f t="shared" si="19"/>
        <v>46143.0</v>
      </c>
      <c r="I120" s="88" t="str">
        <f t="shared" si="20"/>
        <v>OK</v>
      </c>
      <c r="J120" s="81"/>
      <c r="K120" s="81"/>
      <c r="L120" s="81" t="s">
        <v>57</v>
      </c>
      <c r="M120" s="81"/>
      <c r="N120" s="81"/>
      <c r="O120" s="81"/>
      <c r="P120" s="81" t="str">
        <f t="shared" si="21"/>
        <v>내역</v>
      </c>
      <c r="Q120" s="81" t="str">
        <f t="shared" si="22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3"/>
        <v>지출</v>
      </c>
      <c r="T120" s="81">
        <f t="shared" si="24"/>
        <v>-725751</v>
      </c>
      <c r="U120" s="81" t="str">
        <f t="shared" si="25"/>
        <v>날짜 미기록</v>
      </c>
      <c r="V120" s="81"/>
      <c r="Y120">
        <f t="shared" si="26"/>
        <v>725751</v>
      </c>
      <c r="Z120">
        <f>IFERROR(IF(AND(ISNUMBER(A120),A120&gt;=$B$3,A120&lt;EDATE($B$3,1)),COUNTIFS($A$64:$A$500,"&gt;"&amp;A120,$A$64:$A$500,"&lt;"&amp;EDATE($B$3,1))+COUNTIF($A$64:A120,A120),0),0)</f>
        <v>0</v>
      </c>
    </row>
    <row r="121" spans="1:25" ht="40" customHeight="1" outlineLevel="1" hidden="1">
      <c r="A121" s="83">
        <v>46143</v>
      </c>
      <c r="B121" s="84" t="s">
        <v>62</v>
      </c>
      <c r="C121" s="84" t="s">
        <v>23</v>
      </c>
      <c r="D121" s="84" t="s">
        <v>63</v>
      </c>
      <c r="E121" s="85">
        <v>55000</v>
      </c>
      <c r="F121" s="89" t="s">
        <v>101</v>
      </c>
      <c r="G121" s="90" t="s">
        <v>61</v>
      </c>
      <c r="H121" s="87">
        <f t="shared" si="19"/>
        <v>46143.0</v>
      </c>
      <c r="I121" s="88" t="str">
        <f t="shared" si="20"/>
        <v>OK</v>
      </c>
      <c r="J121" s="81"/>
      <c r="K121" s="81"/>
      <c r="L121" s="81" t="s">
        <v>57</v>
      </c>
      <c r="M121" s="81"/>
      <c r="N121" s="81"/>
      <c r="O121" s="81"/>
      <c r="P121" s="81" t="str">
        <f t="shared" si="21"/>
        <v>내역</v>
      </c>
      <c r="Q121" s="81" t="str">
        <f t="shared" si="22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3"/>
        <v>지출</v>
      </c>
      <c r="T121" s="81">
        <f t="shared" si="24"/>
        <v>-55000</v>
      </c>
      <c r="U121" s="81" t="str">
        <f t="shared" si="25"/>
        <v>날짜 미기록</v>
      </c>
      <c r="V121" s="81"/>
      <c r="Y121">
        <f t="shared" si="26"/>
        <v>55000</v>
      </c>
      <c r="Z121">
        <f>IFERROR(IF(AND(ISNUMBER(A121),A121&gt;=$B$3,A121&lt;EDATE($B$3,1)),COUNTIFS($A$64:$A$500,"&gt;"&amp;A121,$A$64:$A$500,"&lt;"&amp;EDATE($B$3,1))+COUNTIF($A$64:A121,A121),0),0)</f>
        <v>0</v>
      </c>
    </row>
    <row r="122" spans="1:25" ht="40" customHeight="1" outlineLevel="1" hidden="1">
      <c r="A122" s="83">
        <v>46143</v>
      </c>
      <c r="B122" s="84" t="s">
        <v>74</v>
      </c>
      <c r="C122" s="84" t="s">
        <v>54</v>
      </c>
      <c r="D122" s="84" t="s">
        <v>23</v>
      </c>
      <c r="E122" s="85">
        <v>179831</v>
      </c>
      <c r="F122" s="89" t="s">
        <v>102</v>
      </c>
      <c r="G122" s="90" t="s">
        <v>61</v>
      </c>
      <c r="H122" s="87">
        <f t="shared" si="19"/>
        <v>46143.0</v>
      </c>
      <c r="I122" s="88" t="str">
        <f t="shared" si="20"/>
        <v>OK</v>
      </c>
      <c r="J122" s="81"/>
      <c r="K122" s="81"/>
      <c r="L122" s="81" t="s">
        <v>57</v>
      </c>
      <c r="M122" s="81"/>
      <c r="N122" s="81"/>
      <c r="O122" s="81"/>
      <c r="P122" s="81">
        <f t="shared" si="21"/>
      </c>
      <c r="Q122" s="81">
        <f t="shared" si="22"/>
      </c>
      <c r="R122" s="81">
        <f>IF(P122="","",TEXT(H122,"yyyymm")&amp;"_"&amp;P122&amp;"_"&amp;(COUNTIFS($H$64:$H$500,H122,$P$64:$P$500,P122,$A$64:$A$500,"&gt;"&amp;A122)+COUNTIFS($H$64:H122,H122,$P$64:P122,P122,$A$64:A122,A122)))</f>
      </c>
      <c r="S122" s="81">
        <f t="shared" si="23"/>
      </c>
      <c r="T122" s="81">
        <f t="shared" si="24"/>
      </c>
      <c r="U122" s="81">
        <f t="shared" si="25"/>
      </c>
      <c r="V122" s="81"/>
      <c r="Y122">
        <f t="shared" si="26"/>
        <v>179831</v>
      </c>
      <c r="Z122">
        <f>IFERROR(IF(AND(ISNUMBER(A122),A122&gt;=$B$3,A122&lt;EDATE($B$3,1)),COUNTIFS($A$64:$A$500,"&gt;"&amp;A122,$A$64:$A$500,"&lt;"&amp;EDATE($B$3,1))+COUNTIF($A$64:A122,A122),0),0)</f>
        <v>0</v>
      </c>
    </row>
    <row r="123" spans="1:25" ht="40" customHeight="1" outlineLevel="1" hidden="1">
      <c r="A123" s="83">
        <v>46174</v>
      </c>
      <c r="B123" s="84" t="s">
        <v>62</v>
      </c>
      <c r="C123" s="84" t="s">
        <v>15</v>
      </c>
      <c r="D123" s="84" t="s">
        <v>63</v>
      </c>
      <c r="E123" s="85">
        <v>14000</v>
      </c>
      <c r="F123" s="89" t="s">
        <v>103</v>
      </c>
      <c r="G123" s="90" t="s">
        <v>61</v>
      </c>
      <c r="H123" s="87">
        <f t="shared" si="19"/>
        <v>46174.0</v>
      </c>
      <c r="I123" s="88" t="str">
        <f t="shared" si="20"/>
        <v>OK</v>
      </c>
      <c r="J123" s="81"/>
      <c r="K123" s="81"/>
      <c r="L123" s="81" t="s">
        <v>57</v>
      </c>
      <c r="M123" s="81"/>
      <c r="N123" s="81"/>
      <c r="O123" s="81"/>
      <c r="P123" s="81" t="str">
        <f t="shared" si="21"/>
        <v>내역</v>
      </c>
      <c r="Q123" s="81" t="str">
        <f t="shared" si="22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3"/>
        <v>지출</v>
      </c>
      <c r="T123" s="81">
        <f t="shared" si="24"/>
        <v>-14000</v>
      </c>
      <c r="U123" s="81" t="str">
        <f t="shared" si="25"/>
        <v>날짜 미기록</v>
      </c>
      <c r="V123" s="81"/>
      <c r="Y123">
        <f t="shared" si="26"/>
        <v>14000</v>
      </c>
      <c r="Z123">
        <f>IFERROR(IF(AND(ISNUMBER(A123),A123&gt;=$B$3,A123&lt;EDATE($B$3,1)),COUNTIFS($A$64:$A$500,"&gt;"&amp;A123,$A$64:$A$500,"&lt;"&amp;EDATE($B$3,1))+COUNTIF($A$64:A123,A123),0),0)</f>
        <v>0</v>
      </c>
    </row>
    <row r="124" spans="1:25" ht="40" customHeight="1" outlineLevel="1" hidden="1">
      <c r="A124" s="83">
        <v>46174</v>
      </c>
      <c r="B124" s="84" t="s">
        <v>62</v>
      </c>
      <c r="C124" s="84" t="s">
        <v>15</v>
      </c>
      <c r="D124" s="84" t="s">
        <v>63</v>
      </c>
      <c r="E124" s="85">
        <v>14000</v>
      </c>
      <c r="F124" s="89" t="s">
        <v>104</v>
      </c>
      <c r="G124" s="90" t="s">
        <v>61</v>
      </c>
      <c r="H124" s="87">
        <f t="shared" si="19"/>
        <v>46174.0</v>
      </c>
      <c r="I124" s="88" t="str">
        <f t="shared" si="20"/>
        <v>OK</v>
      </c>
      <c r="J124" s="81"/>
      <c r="K124" s="81"/>
      <c r="L124" s="81" t="s">
        <v>57</v>
      </c>
      <c r="M124" s="81"/>
      <c r="N124" s="81"/>
      <c r="O124" s="81"/>
      <c r="P124" s="81" t="str">
        <f t="shared" si="21"/>
        <v>내역</v>
      </c>
      <c r="Q124" s="81" t="str">
        <f t="shared" si="22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3"/>
        <v>지출</v>
      </c>
      <c r="T124" s="81">
        <f t="shared" si="24"/>
        <v>-14000</v>
      </c>
      <c r="U124" s="81" t="str">
        <f t="shared" si="25"/>
        <v>날짜 미기록</v>
      </c>
      <c r="V124" s="81"/>
      <c r="Y124">
        <f t="shared" si="26"/>
        <v>14000</v>
      </c>
      <c r="Z124">
        <f>IFERROR(IF(AND(ISNUMBER(A124),A124&gt;=$B$3,A124&lt;EDATE($B$3,1)),COUNTIFS($A$64:$A$500,"&gt;"&amp;A124,$A$64:$A$500,"&lt;"&amp;EDATE($B$3,1))+COUNTIF($A$64:A124,A124),0),0)</f>
        <v>0</v>
      </c>
    </row>
    <row r="125" spans="1:25" ht="40" customHeight="1" outlineLevel="1" hidden="1">
      <c r="A125" s="83">
        <v>46174</v>
      </c>
      <c r="B125" s="84" t="s">
        <v>62</v>
      </c>
      <c r="C125" s="84" t="s">
        <v>15</v>
      </c>
      <c r="D125" s="84" t="s">
        <v>63</v>
      </c>
      <c r="E125" s="85">
        <v>40000</v>
      </c>
      <c r="F125" s="89" t="s">
        <v>105</v>
      </c>
      <c r="G125" s="90" t="s">
        <v>61</v>
      </c>
      <c r="H125" s="87">
        <f t="shared" si="19"/>
        <v>46174.0</v>
      </c>
      <c r="I125" s="88" t="str">
        <f t="shared" si="20"/>
        <v>OK</v>
      </c>
      <c r="J125" s="81"/>
      <c r="K125" s="81"/>
      <c r="L125" s="81" t="s">
        <v>57</v>
      </c>
      <c r="M125" s="81"/>
      <c r="N125" s="81"/>
      <c r="O125" s="81"/>
      <c r="P125" s="81" t="str">
        <f t="shared" si="21"/>
        <v>내역</v>
      </c>
      <c r="Q125" s="81" t="str">
        <f t="shared" si="22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3"/>
        <v>지출</v>
      </c>
      <c r="T125" s="81">
        <f t="shared" si="24"/>
        <v>-40000</v>
      </c>
      <c r="U125" s="81" t="str">
        <f t="shared" si="25"/>
        <v>날짜 미기록</v>
      </c>
      <c r="V125" s="81"/>
      <c r="Y125">
        <f t="shared" si="26"/>
        <v>40000</v>
      </c>
      <c r="Z125">
        <f>IFERROR(IF(AND(ISNUMBER(A125),A125&gt;=$B$3,A125&lt;EDATE($B$3,1)),COUNTIFS($A$64:$A$500,"&gt;"&amp;A125,$A$64:$A$500,"&lt;"&amp;EDATE($B$3,1))+COUNTIF($A$64:A125,A125),0),0)</f>
        <v>0</v>
      </c>
    </row>
    <row r="126" spans="1:25" ht="40" customHeight="1" outlineLevel="1" hidden="1">
      <c r="A126" s="83">
        <v>46174</v>
      </c>
      <c r="B126" s="84" t="s">
        <v>62</v>
      </c>
      <c r="C126" s="84" t="s">
        <v>15</v>
      </c>
      <c r="D126" s="84" t="s">
        <v>63</v>
      </c>
      <c r="E126" s="85">
        <v>10000</v>
      </c>
      <c r="F126" s="89" t="s">
        <v>106</v>
      </c>
      <c r="G126" s="90" t="s">
        <v>61</v>
      </c>
      <c r="H126" s="87">
        <f t="shared" si="19"/>
        <v>46174.0</v>
      </c>
      <c r="I126" s="88" t="str">
        <f t="shared" si="20"/>
        <v>OK</v>
      </c>
      <c r="J126" s="81"/>
      <c r="K126" s="81"/>
      <c r="L126" s="81" t="s">
        <v>57</v>
      </c>
      <c r="M126" s="81"/>
      <c r="N126" s="81"/>
      <c r="O126" s="81"/>
      <c r="P126" s="81" t="str">
        <f t="shared" si="21"/>
        <v>내역</v>
      </c>
      <c r="Q126" s="81" t="str">
        <f t="shared" si="22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3"/>
        <v>지출</v>
      </c>
      <c r="T126" s="81">
        <f t="shared" si="24"/>
        <v>-10000</v>
      </c>
      <c r="U126" s="81" t="str">
        <f t="shared" si="25"/>
        <v>날짜 미기록</v>
      </c>
      <c r="V126" s="81"/>
      <c r="Y126">
        <f t="shared" si="26"/>
        <v>10000</v>
      </c>
      <c r="Z126">
        <f>IFERROR(IF(AND(ISNUMBER(A126),A126&gt;=$B$3,A126&lt;EDATE($B$3,1)),COUNTIFS($A$64:$A$500,"&gt;"&amp;A126,$A$64:$A$500,"&lt;"&amp;EDATE($B$3,1))+COUNTIF($A$64:A126,A126),0),0)</f>
        <v>0</v>
      </c>
    </row>
    <row r="127" spans="1:25" ht="40" customHeight="1" outlineLevel="1" hidden="1">
      <c r="A127" s="83">
        <v>46174</v>
      </c>
      <c r="B127" s="84" t="s">
        <v>62</v>
      </c>
      <c r="C127" s="84" t="s">
        <v>15</v>
      </c>
      <c r="D127" s="84" t="s">
        <v>63</v>
      </c>
      <c r="E127" s="85">
        <v>12000</v>
      </c>
      <c r="F127" s="89" t="s">
        <v>107</v>
      </c>
      <c r="G127" s="90" t="s">
        <v>61</v>
      </c>
      <c r="H127" s="87">
        <f t="shared" si="19"/>
        <v>46174.0</v>
      </c>
      <c r="I127" s="88" t="str">
        <f t="shared" si="20"/>
        <v>OK</v>
      </c>
      <c r="J127" s="81"/>
      <c r="K127" s="81"/>
      <c r="L127" s="81" t="s">
        <v>57</v>
      </c>
      <c r="M127" s="81"/>
      <c r="N127" s="81"/>
      <c r="O127" s="81"/>
      <c r="P127" s="81" t="str">
        <f t="shared" si="21"/>
        <v>내역</v>
      </c>
      <c r="Q127" s="81" t="str">
        <f t="shared" si="22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3"/>
        <v>지출</v>
      </c>
      <c r="T127" s="81">
        <f t="shared" si="24"/>
        <v>-12000</v>
      </c>
      <c r="U127" s="81" t="str">
        <f t="shared" si="25"/>
        <v>날짜 미기록</v>
      </c>
      <c r="V127" s="81"/>
      <c r="Y127">
        <f t="shared" si="26"/>
        <v>12000</v>
      </c>
      <c r="Z127">
        <f>IFERROR(IF(AND(ISNUMBER(A127),A127&gt;=$B$3,A127&lt;EDATE($B$3,1)),COUNTIFS($A$64:$A$500,"&gt;"&amp;A127,$A$64:$A$500,"&lt;"&amp;EDATE($B$3,1))+COUNTIF($A$64:A127,A127),0),0)</f>
        <v>0</v>
      </c>
    </row>
    <row r="128" spans="1:25" ht="40" customHeight="1" outlineLevel="1" hidden="1">
      <c r="A128" s="83">
        <v>46174</v>
      </c>
      <c r="B128" s="84" t="s">
        <v>74</v>
      </c>
      <c r="C128" s="84" t="s">
        <v>15</v>
      </c>
      <c r="D128" s="84" t="s">
        <v>54</v>
      </c>
      <c r="E128" s="85">
        <v>345287</v>
      </c>
      <c r="F128" s="89" t="s">
        <v>92</v>
      </c>
      <c r="G128" s="90" t="s">
        <v>61</v>
      </c>
      <c r="H128" s="87">
        <f t="shared" ref="H128:H191" si="27">IF(A128="","",DATE(YEAR(A128),MONTH(A128),1))</f>
        <v>46174.0</v>
      </c>
      <c r="I128" s="88" t="str">
        <f t="shared" ref="I128:I191" si="28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57</v>
      </c>
      <c r="M128" s="81"/>
      <c r="N128" s="81"/>
      <c r="O128" s="81"/>
      <c r="P128" s="81" t="str">
        <f t="shared" ref="P128:P191" si="29">IF(Q128="","",IF(Q128="이체","이체","내역"))</f>
        <v>이체</v>
      </c>
      <c r="Q128" s="81" t="str">
        <f t="shared" ref="Q128:Q191" si="30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1">IF(Q128="","",D128)</f>
        <v>외부</v>
      </c>
      <c r="T128" s="81">
        <f t="shared" ref="T128:T191" si="32">IF(Q128="","",IF(Q128="이체",E128,IF(D128=Q128,E128,-E128)))</f>
        <v>345287</v>
      </c>
      <c r="U128" s="81" t="str">
        <f t="shared" ref="U128:U191" si="33">IF(Q128="","",IF(ISNUMBER(SEARCH("날짜 미기록",G128)),"날짜 미기록",A128))</f>
        <v>날짜 미기록</v>
      </c>
      <c r="V128" s="81"/>
      <c r="Y128">
        <f t="shared" ref="Y128:Y191" si="34">IF(A128="","",IF(I128="OK",E128,0))</f>
        <v>345287</v>
      </c>
      <c r="Z128">
        <f>IFERROR(IF(AND(ISNUMBER(A128),A128&gt;=$B$3,A128&lt;EDATE($B$3,1)),COUNTIFS($A$64:$A$500,"&gt;"&amp;A128,$A$64:$A$500,"&lt;"&amp;EDATE($B$3,1))+COUNTIF($A$64:A128,A128),0),0)</f>
        <v>0</v>
      </c>
    </row>
    <row r="129" spans="1:25" ht="40" customHeight="1" outlineLevel="1" hidden="1">
      <c r="A129" s="83">
        <v>46174</v>
      </c>
      <c r="B129" s="84" t="s">
        <v>65</v>
      </c>
      <c r="C129" s="84" t="s">
        <v>66</v>
      </c>
      <c r="D129" s="84" t="s">
        <v>16</v>
      </c>
      <c r="E129" s="85">
        <v>50000</v>
      </c>
      <c r="F129" s="89" t="s">
        <v>67</v>
      </c>
      <c r="G129" s="90" t="s">
        <v>61</v>
      </c>
      <c r="H129" s="87">
        <f t="shared" si="27"/>
        <v>46174.0</v>
      </c>
      <c r="I129" s="88" t="str">
        <f t="shared" si="28"/>
        <v>OK</v>
      </c>
      <c r="J129" s="81"/>
      <c r="K129" s="81"/>
      <c r="L129" s="81" t="s">
        <v>57</v>
      </c>
      <c r="M129" s="81"/>
      <c r="N129" s="81"/>
      <c r="O129" s="81"/>
      <c r="P129" s="81" t="str">
        <f t="shared" si="29"/>
        <v>내역</v>
      </c>
      <c r="Q129" s="81" t="str">
        <f t="shared" si="30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1"/>
        <v>명절비</v>
      </c>
      <c r="T129" s="81">
        <f t="shared" si="32"/>
        <v>50000</v>
      </c>
      <c r="U129" s="81" t="str">
        <f t="shared" si="33"/>
        <v>날짜 미기록</v>
      </c>
      <c r="V129" s="81"/>
      <c r="Y129">
        <f t="shared" si="34"/>
        <v>50000</v>
      </c>
      <c r="Z129">
        <f>IFERROR(IF(AND(ISNUMBER(A129),A129&gt;=$B$3,A129&lt;EDATE($B$3,1)),COUNTIFS($A$64:$A$500,"&gt;"&amp;A129,$A$64:$A$500,"&lt;"&amp;EDATE($B$3,1))+COUNTIF($A$64:A129,A129),0),0)</f>
        <v>0</v>
      </c>
    </row>
    <row r="130" spans="1:25" ht="40" customHeight="1" outlineLevel="1" hidden="1">
      <c r="A130" s="83">
        <v>46174</v>
      </c>
      <c r="B130" s="84" t="s">
        <v>65</v>
      </c>
      <c r="C130" s="84" t="s">
        <v>66</v>
      </c>
      <c r="D130" s="84" t="s">
        <v>18</v>
      </c>
      <c r="E130" s="85">
        <v>50000</v>
      </c>
      <c r="F130" s="89" t="s">
        <v>108</v>
      </c>
      <c r="G130" s="90" t="s">
        <v>61</v>
      </c>
      <c r="H130" s="87">
        <f t="shared" si="27"/>
        <v>46174.0</v>
      </c>
      <c r="I130" s="88" t="str">
        <f t="shared" si="28"/>
        <v>OK</v>
      </c>
      <c r="J130" s="81"/>
      <c r="K130" s="81"/>
      <c r="L130" s="81" t="s">
        <v>57</v>
      </c>
      <c r="M130" s="81"/>
      <c r="N130" s="81"/>
      <c r="O130" s="81"/>
      <c r="P130" s="81" t="str">
        <f t="shared" si="29"/>
        <v>내역</v>
      </c>
      <c r="Q130" s="81" t="str">
        <f t="shared" si="30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1"/>
        <v>경조사비</v>
      </c>
      <c r="T130" s="81">
        <f t="shared" si="32"/>
        <v>50000</v>
      </c>
      <c r="U130" s="81" t="str">
        <f t="shared" si="33"/>
        <v>날짜 미기록</v>
      </c>
      <c r="V130" s="81"/>
      <c r="Y130">
        <f t="shared" si="34"/>
        <v>50000</v>
      </c>
      <c r="Z130">
        <f>IFERROR(IF(AND(ISNUMBER(A130),A130&gt;=$B$3,A130&lt;EDATE($B$3,1)),COUNTIFS($A$64:$A$500,"&gt;"&amp;A130,$A$64:$A$500,"&lt;"&amp;EDATE($B$3,1))+COUNTIF($A$64:A130,A130),0),0)</f>
        <v>0</v>
      </c>
    </row>
    <row r="131" spans="1:25" ht="40" customHeight="1" outlineLevel="1" hidden="1">
      <c r="A131" s="83">
        <v>46174</v>
      </c>
      <c r="B131" s="84" t="s">
        <v>65</v>
      </c>
      <c r="C131" s="84" t="s">
        <v>66</v>
      </c>
      <c r="D131" s="84" t="s">
        <v>17</v>
      </c>
      <c r="E131" s="85">
        <v>100000</v>
      </c>
      <c r="F131" s="89" t="s">
        <v>68</v>
      </c>
      <c r="G131" s="90" t="s">
        <v>61</v>
      </c>
      <c r="H131" s="87">
        <f t="shared" si="27"/>
        <v>46174.0</v>
      </c>
      <c r="I131" s="88" t="str">
        <f t="shared" si="28"/>
        <v>OK</v>
      </c>
      <c r="J131" s="81"/>
      <c r="K131" s="81"/>
      <c r="L131" s="81" t="s">
        <v>57</v>
      </c>
      <c r="M131" s="81"/>
      <c r="N131" s="81"/>
      <c r="O131" s="81"/>
      <c r="P131" s="81" t="str">
        <f t="shared" si="29"/>
        <v>내역</v>
      </c>
      <c r="Q131" s="81" t="str">
        <f t="shared" si="30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1"/>
        <v>여행비</v>
      </c>
      <c r="T131" s="81">
        <f t="shared" si="32"/>
        <v>100000</v>
      </c>
      <c r="U131" s="81" t="str">
        <f t="shared" si="33"/>
        <v>날짜 미기록</v>
      </c>
      <c r="V131" s="81"/>
      <c r="Y131">
        <f t="shared" si="34"/>
        <v>100000</v>
      </c>
      <c r="Z131">
        <f>IFERROR(IF(AND(ISNUMBER(A131),A131&gt;=$B$3,A131&lt;EDATE($B$3,1)),COUNTIFS($A$64:$A$500,"&gt;"&amp;A131,$A$64:$A$500,"&lt;"&amp;EDATE($B$3,1))+COUNTIF($A$64:A131,A131),0),0)</f>
        <v>0</v>
      </c>
    </row>
    <row r="132" spans="1:25" ht="40" customHeight="1" outlineLevel="1" hidden="1">
      <c r="A132" s="83">
        <v>46174</v>
      </c>
      <c r="B132" s="84" t="s">
        <v>59</v>
      </c>
      <c r="C132" s="84" t="s">
        <v>54</v>
      </c>
      <c r="D132" s="84" t="s">
        <v>22</v>
      </c>
      <c r="E132" s="85">
        <v>1418</v>
      </c>
      <c r="F132" s="89" t="s">
        <v>78</v>
      </c>
      <c r="G132" s="90" t="s">
        <v>61</v>
      </c>
      <c r="H132" s="87">
        <f t="shared" si="27"/>
        <v>46174.0</v>
      </c>
      <c r="I132" s="88" t="str">
        <f t="shared" si="28"/>
        <v>OK</v>
      </c>
      <c r="J132" s="81"/>
      <c r="K132" s="81"/>
      <c r="L132" s="81" t="s">
        <v>57</v>
      </c>
      <c r="M132" s="81"/>
      <c r="N132" s="81"/>
      <c r="O132" s="81"/>
      <c r="P132" s="81" t="str">
        <f t="shared" si="29"/>
        <v>내역</v>
      </c>
      <c r="Q132" s="81" t="str">
        <f t="shared" si="30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1"/>
        <v>금융</v>
      </c>
      <c r="T132" s="81">
        <f t="shared" si="32"/>
        <v>1418</v>
      </c>
      <c r="U132" s="81" t="str">
        <f t="shared" si="33"/>
        <v>날짜 미기록</v>
      </c>
      <c r="V132" s="81"/>
      <c r="Y132">
        <f t="shared" si="34"/>
        <v>1418</v>
      </c>
      <c r="Z132">
        <f>IFERROR(IF(AND(ISNUMBER(A132),A132&gt;=$B$3,A132&lt;EDATE($B$3,1)),COUNTIFS($A$64:$A$500,"&gt;"&amp;A132,$A$64:$A$500,"&lt;"&amp;EDATE($B$3,1))+COUNTIF($A$64:A132,A132),0),0)</f>
        <v>0</v>
      </c>
    </row>
    <row r="133" spans="1:25" ht="40" customHeight="1" outlineLevel="1" hidden="1">
      <c r="A133" s="83">
        <v>46174</v>
      </c>
      <c r="B133" s="84" t="s">
        <v>59</v>
      </c>
      <c r="C133" s="84" t="s">
        <v>54</v>
      </c>
      <c r="D133" s="84" t="s">
        <v>22</v>
      </c>
      <c r="E133" s="85">
        <v>1293</v>
      </c>
      <c r="F133" s="89" t="s">
        <v>78</v>
      </c>
      <c r="G133" s="90" t="s">
        <v>61</v>
      </c>
      <c r="H133" s="87">
        <f t="shared" si="27"/>
        <v>46174.0</v>
      </c>
      <c r="I133" s="88" t="str">
        <f t="shared" si="28"/>
        <v>OK</v>
      </c>
      <c r="J133" s="81"/>
      <c r="K133" s="81"/>
      <c r="L133" s="81" t="s">
        <v>57</v>
      </c>
      <c r="M133" s="81"/>
      <c r="N133" s="81"/>
      <c r="O133" s="81"/>
      <c r="P133" s="81" t="str">
        <f t="shared" si="29"/>
        <v>내역</v>
      </c>
      <c r="Q133" s="81" t="str">
        <f t="shared" si="30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1"/>
        <v>금융</v>
      </c>
      <c r="T133" s="81">
        <f t="shared" si="32"/>
        <v>1293</v>
      </c>
      <c r="U133" s="81" t="str">
        <f t="shared" si="33"/>
        <v>날짜 미기록</v>
      </c>
      <c r="V133" s="81"/>
      <c r="Y133">
        <f t="shared" si="34"/>
        <v>1293</v>
      </c>
      <c r="Z133">
        <f>IFERROR(IF(AND(ISNUMBER(A133),A133&gt;=$B$3,A133&lt;EDATE($B$3,1)),COUNTIFS($A$64:$A$500,"&gt;"&amp;A133,$A$64:$A$500,"&lt;"&amp;EDATE($B$3,1))+COUNTIF($A$64:A133,A133),0),0)</f>
        <v>0</v>
      </c>
    </row>
    <row r="134" spans="1:25" ht="40" customHeight="1" outlineLevel="1" hidden="1">
      <c r="A134" s="83">
        <v>46174</v>
      </c>
      <c r="B134" s="84" t="s">
        <v>59</v>
      </c>
      <c r="C134" s="84" t="s">
        <v>54</v>
      </c>
      <c r="D134" s="84" t="s">
        <v>22</v>
      </c>
      <c r="E134" s="85">
        <v>1049</v>
      </c>
      <c r="F134" s="89" t="s">
        <v>78</v>
      </c>
      <c r="G134" s="90" t="s">
        <v>61</v>
      </c>
      <c r="H134" s="87">
        <f t="shared" si="27"/>
        <v>46174.0</v>
      </c>
      <c r="I134" s="88" t="str">
        <f t="shared" si="28"/>
        <v>OK</v>
      </c>
      <c r="J134" s="81"/>
      <c r="K134" s="81"/>
      <c r="L134" s="81" t="s">
        <v>57</v>
      </c>
      <c r="M134" s="81"/>
      <c r="N134" s="81"/>
      <c r="O134" s="81"/>
      <c r="P134" s="81" t="str">
        <f t="shared" si="29"/>
        <v>내역</v>
      </c>
      <c r="Q134" s="81" t="str">
        <f t="shared" si="30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1"/>
        <v>금융</v>
      </c>
      <c r="T134" s="81">
        <f t="shared" si="32"/>
        <v>1049</v>
      </c>
      <c r="U134" s="81" t="str">
        <f t="shared" si="33"/>
        <v>날짜 미기록</v>
      </c>
      <c r="V134" s="81"/>
      <c r="Y134">
        <f t="shared" si="34"/>
        <v>1049</v>
      </c>
      <c r="Z134">
        <f>IFERROR(IF(AND(ISNUMBER(A134),A134&gt;=$B$3,A134&lt;EDATE($B$3,1)),COUNTIFS($A$64:$A$500,"&gt;"&amp;A134,$A$64:$A$500,"&lt;"&amp;EDATE($B$3,1))+COUNTIF($A$64:A134,A134),0),0)</f>
        <v>0</v>
      </c>
    </row>
    <row r="135" spans="1:25" ht="40" customHeight="1" outlineLevel="1" hidden="1">
      <c r="A135" s="83">
        <v>46174</v>
      </c>
      <c r="B135" s="84" t="s">
        <v>59</v>
      </c>
      <c r="C135" s="84" t="s">
        <v>54</v>
      </c>
      <c r="D135" s="84" t="s">
        <v>23</v>
      </c>
      <c r="E135" s="85">
        <v>6188750</v>
      </c>
      <c r="F135" s="89" t="s">
        <v>59</v>
      </c>
      <c r="G135" s="90" t="s">
        <v>61</v>
      </c>
      <c r="H135" s="87">
        <f t="shared" si="27"/>
        <v>46174.0</v>
      </c>
      <c r="I135" s="88" t="str">
        <f t="shared" si="28"/>
        <v>OK</v>
      </c>
      <c r="J135" s="81"/>
      <c r="K135" s="81"/>
      <c r="L135" s="81" t="s">
        <v>57</v>
      </c>
      <c r="M135" s="81"/>
      <c r="N135" s="81"/>
      <c r="O135" s="81"/>
      <c r="P135" s="81" t="str">
        <f t="shared" si="29"/>
        <v>내역</v>
      </c>
      <c r="Q135" s="81" t="str">
        <f t="shared" si="30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1"/>
        <v>임시보관</v>
      </c>
      <c r="T135" s="81">
        <f t="shared" si="32"/>
        <v>6188750</v>
      </c>
      <c r="U135" s="81" t="str">
        <f t="shared" si="33"/>
        <v>날짜 미기록</v>
      </c>
      <c r="V135" s="81"/>
      <c r="Y135">
        <f t="shared" si="34"/>
        <v>6188750</v>
      </c>
      <c r="Z135">
        <f>IFERROR(IF(AND(ISNUMBER(A135),A135&gt;=$B$3,A135&lt;EDATE($B$3,1)),COUNTIFS($A$64:$A$500,"&gt;"&amp;A135,$A$64:$A$500,"&lt;"&amp;EDATE($B$3,1))+COUNTIF($A$64:A135,A135),0),0)</f>
        <v>0</v>
      </c>
    </row>
    <row r="136" spans="1:25" ht="40" customHeight="1" outlineLevel="1" hidden="1">
      <c r="A136" s="83">
        <v>46174</v>
      </c>
      <c r="B136" s="84" t="s">
        <v>62</v>
      </c>
      <c r="C136" s="84" t="s">
        <v>23</v>
      </c>
      <c r="D136" s="84" t="s">
        <v>63</v>
      </c>
      <c r="E136" s="85">
        <v>550000</v>
      </c>
      <c r="F136" s="89" t="s">
        <v>82</v>
      </c>
      <c r="G136" s="90" t="s">
        <v>61</v>
      </c>
      <c r="H136" s="87">
        <f t="shared" si="27"/>
        <v>46174.0</v>
      </c>
      <c r="I136" s="88" t="str">
        <f t="shared" si="28"/>
        <v>OK</v>
      </c>
      <c r="J136" s="81"/>
      <c r="K136" s="81"/>
      <c r="L136" s="81" t="s">
        <v>57</v>
      </c>
      <c r="M136" s="81"/>
      <c r="N136" s="81"/>
      <c r="O136" s="81"/>
      <c r="P136" s="81" t="str">
        <f t="shared" si="29"/>
        <v>내역</v>
      </c>
      <c r="Q136" s="81" t="str">
        <f t="shared" si="30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1"/>
        <v>지출</v>
      </c>
      <c r="T136" s="81">
        <f t="shared" si="32"/>
        <v>-550000</v>
      </c>
      <c r="U136" s="81" t="str">
        <f t="shared" si="33"/>
        <v>날짜 미기록</v>
      </c>
      <c r="V136" s="81"/>
      <c r="Y136">
        <f t="shared" si="34"/>
        <v>550000</v>
      </c>
      <c r="Z136">
        <f>IFERROR(IF(AND(ISNUMBER(A136),A136&gt;=$B$3,A136&lt;EDATE($B$3,1)),COUNTIFS($A$64:$A$500,"&gt;"&amp;A136,$A$64:$A$500,"&lt;"&amp;EDATE($B$3,1))+COUNTIF($A$64:A136,A136),0),0)</f>
        <v>0</v>
      </c>
    </row>
    <row r="137" spans="1:25" ht="40" customHeight="1" outlineLevel="1" hidden="1">
      <c r="A137" s="83">
        <v>46174</v>
      </c>
      <c r="B137" s="84" t="s">
        <v>62</v>
      </c>
      <c r="C137" s="84" t="s">
        <v>23</v>
      </c>
      <c r="D137" s="84" t="s">
        <v>63</v>
      </c>
      <c r="E137" s="85">
        <v>1200</v>
      </c>
      <c r="F137" s="89" t="s">
        <v>109</v>
      </c>
      <c r="G137" s="90" t="s">
        <v>61</v>
      </c>
      <c r="H137" s="87">
        <f t="shared" si="27"/>
        <v>46174.0</v>
      </c>
      <c r="I137" s="88" t="str">
        <f t="shared" si="28"/>
        <v>OK</v>
      </c>
      <c r="J137" s="81"/>
      <c r="K137" s="81"/>
      <c r="L137" s="81" t="s">
        <v>57</v>
      </c>
      <c r="M137" s="81"/>
      <c r="N137" s="81"/>
      <c r="O137" s="81"/>
      <c r="P137" s="81" t="str">
        <f t="shared" si="29"/>
        <v>내역</v>
      </c>
      <c r="Q137" s="81" t="str">
        <f t="shared" si="30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1"/>
        <v>지출</v>
      </c>
      <c r="T137" s="81">
        <f t="shared" si="32"/>
        <v>-1200</v>
      </c>
      <c r="U137" s="81" t="str">
        <f t="shared" si="33"/>
        <v>날짜 미기록</v>
      </c>
      <c r="V137" s="81"/>
      <c r="Y137">
        <f t="shared" si="34"/>
        <v>1200</v>
      </c>
      <c r="Z137">
        <f>IFERROR(IF(AND(ISNUMBER(A137),A137&gt;=$B$3,A137&lt;EDATE($B$3,1)),COUNTIFS($A$64:$A$500,"&gt;"&amp;A137,$A$64:$A$500,"&lt;"&amp;EDATE($B$3,1))+COUNTIF($A$64:A137,A137),0),0)</f>
        <v>0</v>
      </c>
    </row>
    <row r="138" spans="1:25" ht="40" customHeight="1" outlineLevel="1" hidden="1">
      <c r="A138" s="83">
        <v>46174</v>
      </c>
      <c r="B138" s="84" t="s">
        <v>62</v>
      </c>
      <c r="C138" s="84" t="s">
        <v>23</v>
      </c>
      <c r="D138" s="84" t="s">
        <v>63</v>
      </c>
      <c r="E138" s="85">
        <v>178820</v>
      </c>
      <c r="F138" s="89" t="s">
        <v>100</v>
      </c>
      <c r="G138" s="90" t="s">
        <v>61</v>
      </c>
      <c r="H138" s="87">
        <f t="shared" si="27"/>
        <v>46174.0</v>
      </c>
      <c r="I138" s="88" t="str">
        <f t="shared" si="28"/>
        <v>OK</v>
      </c>
      <c r="J138" s="81"/>
      <c r="K138" s="81"/>
      <c r="L138" s="81" t="s">
        <v>57</v>
      </c>
      <c r="M138" s="81"/>
      <c r="N138" s="81"/>
      <c r="O138" s="81"/>
      <c r="P138" s="81" t="str">
        <f t="shared" si="29"/>
        <v>내역</v>
      </c>
      <c r="Q138" s="81" t="str">
        <f t="shared" si="30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1"/>
        <v>지출</v>
      </c>
      <c r="T138" s="81">
        <f t="shared" si="32"/>
        <v>-178820</v>
      </c>
      <c r="U138" s="81" t="str">
        <f t="shared" si="33"/>
        <v>날짜 미기록</v>
      </c>
      <c r="V138" s="81"/>
      <c r="Y138">
        <f t="shared" si="34"/>
        <v>178820</v>
      </c>
      <c r="Z138">
        <f>IFERROR(IF(AND(ISNUMBER(A138),A138&gt;=$B$3,A138&lt;EDATE($B$3,1)),COUNTIFS($A$64:$A$500,"&gt;"&amp;A138,$A$64:$A$500,"&lt;"&amp;EDATE($B$3,1))+COUNTIF($A$64:A138,A138),0),0)</f>
        <v>0</v>
      </c>
    </row>
    <row r="139" spans="1:25" ht="40" customHeight="1" outlineLevel="1" hidden="1">
      <c r="A139" s="83">
        <v>46174</v>
      </c>
      <c r="B139" s="84" t="s">
        <v>62</v>
      </c>
      <c r="C139" s="84" t="s">
        <v>23</v>
      </c>
      <c r="D139" s="84" t="s">
        <v>63</v>
      </c>
      <c r="E139" s="85">
        <v>56770</v>
      </c>
      <c r="F139" s="89" t="s">
        <v>110</v>
      </c>
      <c r="G139" s="90" t="s">
        <v>61</v>
      </c>
      <c r="H139" s="87">
        <f t="shared" si="27"/>
        <v>46174.0</v>
      </c>
      <c r="I139" s="88" t="str">
        <f t="shared" si="28"/>
        <v>OK</v>
      </c>
      <c r="J139" s="81"/>
      <c r="K139" s="81"/>
      <c r="L139" s="81" t="s">
        <v>57</v>
      </c>
      <c r="M139" s="81"/>
      <c r="N139" s="81"/>
      <c r="O139" s="81"/>
      <c r="P139" s="81" t="str">
        <f t="shared" si="29"/>
        <v>내역</v>
      </c>
      <c r="Q139" s="81" t="str">
        <f t="shared" si="30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1"/>
        <v>지출</v>
      </c>
      <c r="T139" s="81">
        <f t="shared" si="32"/>
        <v>-56770</v>
      </c>
      <c r="U139" s="81" t="str">
        <f t="shared" si="33"/>
        <v>날짜 미기록</v>
      </c>
      <c r="V139" s="81"/>
      <c r="Y139">
        <f t="shared" si="34"/>
        <v>56770</v>
      </c>
      <c r="Z139">
        <f>IFERROR(IF(AND(ISNUMBER(A139),A139&gt;=$B$3,A139&lt;EDATE($B$3,1)),COUNTIFS($A$64:$A$500,"&gt;"&amp;A139,$A$64:$A$500,"&lt;"&amp;EDATE($B$3,1))+COUNTIF($A$64:A139,A139),0),0)</f>
        <v>0</v>
      </c>
    </row>
    <row r="140" spans="1:25" ht="40" customHeight="1" outlineLevel="1" hidden="1">
      <c r="A140" s="83">
        <v>46174</v>
      </c>
      <c r="B140" s="84" t="s">
        <v>62</v>
      </c>
      <c r="C140" s="84" t="s">
        <v>23</v>
      </c>
      <c r="D140" s="84" t="s">
        <v>63</v>
      </c>
      <c r="E140" s="85">
        <v>601612</v>
      </c>
      <c r="F140" s="89" t="s">
        <v>84</v>
      </c>
      <c r="G140" s="90" t="s">
        <v>61</v>
      </c>
      <c r="H140" s="87">
        <f t="shared" si="27"/>
        <v>46174.0</v>
      </c>
      <c r="I140" s="88" t="str">
        <f t="shared" si="28"/>
        <v>OK</v>
      </c>
      <c r="J140" s="81"/>
      <c r="K140" s="81"/>
      <c r="L140" s="81" t="s">
        <v>57</v>
      </c>
      <c r="M140" s="81"/>
      <c r="N140" s="81"/>
      <c r="O140" s="81"/>
      <c r="P140" s="81" t="str">
        <f t="shared" si="29"/>
        <v>내역</v>
      </c>
      <c r="Q140" s="81" t="str">
        <f t="shared" si="30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1"/>
        <v>지출</v>
      </c>
      <c r="T140" s="81">
        <f t="shared" si="32"/>
        <v>-601612</v>
      </c>
      <c r="U140" s="81" t="str">
        <f t="shared" si="33"/>
        <v>날짜 미기록</v>
      </c>
      <c r="V140" s="81"/>
      <c r="Y140">
        <f t="shared" si="34"/>
        <v>601612</v>
      </c>
      <c r="Z140">
        <f>IFERROR(IF(AND(ISNUMBER(A140),A140&gt;=$B$3,A140&lt;EDATE($B$3,1)),COUNTIFS($A$64:$A$500,"&gt;"&amp;A140,$A$64:$A$500,"&lt;"&amp;EDATE($B$3,1))+COUNTIF($A$64:A140,A140),0),0)</f>
        <v>0</v>
      </c>
    </row>
    <row r="141" spans="1:25" ht="40" customHeight="1" outlineLevel="1" hidden="1">
      <c r="A141" s="83">
        <v>46174</v>
      </c>
      <c r="B141" s="84" t="s">
        <v>62</v>
      </c>
      <c r="C141" s="84" t="s">
        <v>23</v>
      </c>
      <c r="D141" s="84" t="s">
        <v>63</v>
      </c>
      <c r="E141" s="85">
        <v>821239</v>
      </c>
      <c r="F141" s="89" t="s">
        <v>85</v>
      </c>
      <c r="G141" s="90" t="s">
        <v>61</v>
      </c>
      <c r="H141" s="87">
        <f t="shared" si="27"/>
        <v>46174.0</v>
      </c>
      <c r="I141" s="88" t="str">
        <f t="shared" si="28"/>
        <v>OK</v>
      </c>
      <c r="J141" s="81"/>
      <c r="K141" s="81"/>
      <c r="L141" s="81" t="s">
        <v>57</v>
      </c>
      <c r="M141" s="81"/>
      <c r="N141" s="81"/>
      <c r="O141" s="81"/>
      <c r="P141" s="81" t="str">
        <f t="shared" si="29"/>
        <v>내역</v>
      </c>
      <c r="Q141" s="81" t="str">
        <f t="shared" si="30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1"/>
        <v>지출</v>
      </c>
      <c r="T141" s="81">
        <f t="shared" si="32"/>
        <v>-821239</v>
      </c>
      <c r="U141" s="81" t="str">
        <f t="shared" si="33"/>
        <v>날짜 미기록</v>
      </c>
      <c r="V141" s="81"/>
      <c r="Y141">
        <f t="shared" si="34"/>
        <v>821239</v>
      </c>
      <c r="Z141">
        <f>IFERROR(IF(AND(ISNUMBER(A141),A141&gt;=$B$3,A141&lt;EDATE($B$3,1)),COUNTIFS($A$64:$A$500,"&gt;"&amp;A141,$A$64:$A$500,"&lt;"&amp;EDATE($B$3,1))+COUNTIF($A$64:A141,A141),0),0)</f>
        <v>0</v>
      </c>
    </row>
    <row r="142" spans="1:25" ht="40" customHeight="1" outlineLevel="1" hidden="1">
      <c r="A142" s="83">
        <v>46174</v>
      </c>
      <c r="B142" s="84" t="s">
        <v>62</v>
      </c>
      <c r="C142" s="84" t="s">
        <v>23</v>
      </c>
      <c r="D142" s="84" t="s">
        <v>63</v>
      </c>
      <c r="E142" s="85">
        <v>177820</v>
      </c>
      <c r="F142" s="89" t="s">
        <v>111</v>
      </c>
      <c r="G142" s="90" t="s">
        <v>61</v>
      </c>
      <c r="H142" s="87">
        <f t="shared" si="27"/>
        <v>46174.0</v>
      </c>
      <c r="I142" s="88" t="str">
        <f t="shared" si="28"/>
        <v>OK</v>
      </c>
      <c r="J142" s="81"/>
      <c r="K142" s="81"/>
      <c r="L142" s="81" t="s">
        <v>57</v>
      </c>
      <c r="M142" s="81"/>
      <c r="N142" s="81"/>
      <c r="O142" s="81"/>
      <c r="P142" s="81" t="str">
        <f t="shared" si="29"/>
        <v>내역</v>
      </c>
      <c r="Q142" s="81" t="str">
        <f t="shared" si="30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1"/>
        <v>지출</v>
      </c>
      <c r="T142" s="81">
        <f t="shared" si="32"/>
        <v>-177820</v>
      </c>
      <c r="U142" s="81" t="str">
        <f t="shared" si="33"/>
        <v>날짜 미기록</v>
      </c>
      <c r="V142" s="81"/>
      <c r="Y142">
        <f t="shared" si="34"/>
        <v>177820</v>
      </c>
      <c r="Z142">
        <f>IFERROR(IF(AND(ISNUMBER(A142),A142&gt;=$B$3,A142&lt;EDATE($B$3,1)),COUNTIFS($A$64:$A$500,"&gt;"&amp;A142,$A$64:$A$500,"&lt;"&amp;EDATE($B$3,1))+COUNTIF($A$64:A142,A142),0),0)</f>
        <v>0</v>
      </c>
    </row>
    <row r="143" spans="1:25" ht="40" customHeight="1" outlineLevel="1" hidden="1">
      <c r="A143" s="83">
        <v>46174</v>
      </c>
      <c r="B143" s="84" t="s">
        <v>74</v>
      </c>
      <c r="C143" s="84" t="s">
        <v>54</v>
      </c>
      <c r="D143" s="84" t="s">
        <v>23</v>
      </c>
      <c r="E143" s="85">
        <v>345287</v>
      </c>
      <c r="F143" s="89" t="s">
        <v>102</v>
      </c>
      <c r="G143" s="90" t="s">
        <v>61</v>
      </c>
      <c r="H143" s="87">
        <f t="shared" si="27"/>
        <v>46174.0</v>
      </c>
      <c r="I143" s="88" t="str">
        <f t="shared" si="28"/>
        <v>OK</v>
      </c>
      <c r="J143" s="81"/>
      <c r="K143" s="81"/>
      <c r="L143" s="81" t="s">
        <v>57</v>
      </c>
      <c r="M143" s="81"/>
      <c r="N143" s="81"/>
      <c r="O143" s="81"/>
      <c r="P143" s="81">
        <f t="shared" si="29"/>
      </c>
      <c r="Q143" s="81">
        <f t="shared" si="30"/>
      </c>
      <c r="R143" s="81">
        <f>IF(P143="","",TEXT(H143,"yyyymm")&amp;"_"&amp;P143&amp;"_"&amp;(COUNTIFS($H$64:$H$500,H143,$P$64:$P$500,P143,$A$64:$A$500,"&gt;"&amp;A143)+COUNTIFS($H$64:H143,H143,$P$64:P143,P143,$A$64:A143,A143)))</f>
      </c>
      <c r="S143" s="81">
        <f t="shared" si="31"/>
      </c>
      <c r="T143" s="81">
        <f t="shared" si="32"/>
      </c>
      <c r="U143" s="81">
        <f t="shared" si="33"/>
      </c>
      <c r="V143" s="81"/>
      <c r="Y143">
        <f t="shared" si="34"/>
        <v>345287</v>
      </c>
      <c r="Z143">
        <f>IFERROR(IF(AND(ISNUMBER(A143),A143&gt;=$B$3,A143&lt;EDATE($B$3,1)),COUNTIFS($A$64:$A$500,"&gt;"&amp;A143,$A$64:$A$500,"&lt;"&amp;EDATE($B$3,1))+COUNTIF($A$64:A143,A143),0),0)</f>
        <v>0</v>
      </c>
    </row>
    <row r="144" spans="1:25" ht="40" customHeight="1" outlineLevel="1" hidden="1">
      <c r="A144" s="83">
        <v>46204</v>
      </c>
      <c r="B144" s="84" t="s">
        <v>62</v>
      </c>
      <c r="C144" s="84" t="s">
        <v>15</v>
      </c>
      <c r="D144" s="84" t="s">
        <v>63</v>
      </c>
      <c r="E144" s="85">
        <v>280000</v>
      </c>
      <c r="F144" s="89" t="s">
        <v>112</v>
      </c>
      <c r="G144" s="90" t="s">
        <v>61</v>
      </c>
      <c r="H144" s="87">
        <f t="shared" si="27"/>
        <v>46204.0</v>
      </c>
      <c r="I144" s="88" t="str">
        <f t="shared" si="28"/>
        <v>OK</v>
      </c>
      <c r="J144" s="81"/>
      <c r="K144" s="81"/>
      <c r="L144" s="81" t="s">
        <v>57</v>
      </c>
      <c r="M144" s="81"/>
      <c r="N144" s="81"/>
      <c r="O144" s="81"/>
      <c r="P144" s="81" t="str">
        <f t="shared" si="29"/>
        <v>내역</v>
      </c>
      <c r="Q144" s="81" t="str">
        <f t="shared" si="30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1"/>
        <v>지출</v>
      </c>
      <c r="T144" s="81">
        <f t="shared" si="32"/>
        <v>-280000</v>
      </c>
      <c r="U144" s="81" t="str">
        <f t="shared" si="33"/>
        <v>날짜 미기록</v>
      </c>
      <c r="V144" s="81"/>
      <c r="Y144">
        <f t="shared" si="34"/>
        <v>280000</v>
      </c>
      <c r="Z144">
        <f>IFERROR(IF(AND(ISNUMBER(A144),A144&gt;=$B$3,A144&lt;EDATE($B$3,1)),COUNTIFS($A$64:$A$500,"&gt;"&amp;A144,$A$64:$A$500,"&lt;"&amp;EDATE($B$3,1))+COUNTIF($A$64:A144,A144),0),0)</f>
        <v>0</v>
      </c>
    </row>
    <row r="145" spans="1:25" ht="40" customHeight="1" outlineLevel="1" hidden="1">
      <c r="A145" s="83">
        <v>46204</v>
      </c>
      <c r="B145" s="84" t="s">
        <v>62</v>
      </c>
      <c r="C145" s="84" t="s">
        <v>15</v>
      </c>
      <c r="D145" s="84" t="s">
        <v>63</v>
      </c>
      <c r="E145" s="85">
        <v>10000</v>
      </c>
      <c r="F145" s="89" t="s">
        <v>113</v>
      </c>
      <c r="G145" s="90" t="s">
        <v>61</v>
      </c>
      <c r="H145" s="87">
        <f t="shared" si="27"/>
        <v>46204.0</v>
      </c>
      <c r="I145" s="88" t="str">
        <f t="shared" si="28"/>
        <v>OK</v>
      </c>
      <c r="J145" s="81"/>
      <c r="K145" s="81"/>
      <c r="L145" s="81" t="s">
        <v>57</v>
      </c>
      <c r="M145" s="81"/>
      <c r="N145" s="81"/>
      <c r="O145" s="81"/>
      <c r="P145" s="81" t="str">
        <f t="shared" si="29"/>
        <v>내역</v>
      </c>
      <c r="Q145" s="81" t="str">
        <f t="shared" si="30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1"/>
        <v>지출</v>
      </c>
      <c r="T145" s="81">
        <f t="shared" si="32"/>
        <v>-10000</v>
      </c>
      <c r="U145" s="81" t="str">
        <f t="shared" si="33"/>
        <v>날짜 미기록</v>
      </c>
      <c r="V145" s="81"/>
      <c r="Y145">
        <f t="shared" si="34"/>
        <v>10000</v>
      </c>
      <c r="Z145">
        <f>IFERROR(IF(AND(ISNUMBER(A145),A145&gt;=$B$3,A145&lt;EDATE($B$3,1)),COUNTIFS($A$64:$A$500,"&gt;"&amp;A145,$A$64:$A$500,"&lt;"&amp;EDATE($B$3,1))+COUNTIF($A$64:A145,A145),0),0)</f>
        <v>0</v>
      </c>
    </row>
    <row r="146" spans="1:25" ht="40" customHeight="1" outlineLevel="1" hidden="1">
      <c r="A146" s="83">
        <v>46204</v>
      </c>
      <c r="B146" s="84" t="s">
        <v>62</v>
      </c>
      <c r="C146" s="84" t="s">
        <v>15</v>
      </c>
      <c r="D146" s="84" t="s">
        <v>63</v>
      </c>
      <c r="E146" s="85">
        <v>30000</v>
      </c>
      <c r="F146" s="89" t="s">
        <v>114</v>
      </c>
      <c r="G146" s="90" t="s">
        <v>61</v>
      </c>
      <c r="H146" s="87">
        <f t="shared" si="27"/>
        <v>46204.0</v>
      </c>
      <c r="I146" s="88" t="str">
        <f t="shared" si="28"/>
        <v>OK</v>
      </c>
      <c r="J146" s="81"/>
      <c r="K146" s="81"/>
      <c r="L146" s="81" t="s">
        <v>57</v>
      </c>
      <c r="M146" s="81"/>
      <c r="N146" s="81"/>
      <c r="O146" s="81"/>
      <c r="P146" s="81" t="str">
        <f t="shared" si="29"/>
        <v>내역</v>
      </c>
      <c r="Q146" s="81" t="str">
        <f t="shared" si="30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1"/>
        <v>지출</v>
      </c>
      <c r="T146" s="81">
        <f t="shared" si="32"/>
        <v>-30000</v>
      </c>
      <c r="U146" s="81" t="str">
        <f t="shared" si="33"/>
        <v>날짜 미기록</v>
      </c>
      <c r="V146" s="81"/>
      <c r="Y146">
        <f t="shared" si="34"/>
        <v>30000</v>
      </c>
      <c r="Z146">
        <f>IFERROR(IF(AND(ISNUMBER(A146),A146&gt;=$B$3,A146&lt;EDATE($B$3,1)),COUNTIFS($A$64:$A$500,"&gt;"&amp;A146,$A$64:$A$500,"&lt;"&amp;EDATE($B$3,1))+COUNTIF($A$64:A146,A146),0),0)</f>
        <v>0</v>
      </c>
    </row>
    <row r="147" spans="1:25" ht="40" customHeight="1" outlineLevel="1" hidden="1">
      <c r="A147" s="83">
        <v>46204</v>
      </c>
      <c r="B147" s="84" t="s">
        <v>62</v>
      </c>
      <c r="C147" s="84" t="s">
        <v>15</v>
      </c>
      <c r="D147" s="84" t="s">
        <v>63</v>
      </c>
      <c r="E147" s="85">
        <v>20000</v>
      </c>
      <c r="F147" s="89" t="s">
        <v>105</v>
      </c>
      <c r="G147" s="90" t="s">
        <v>61</v>
      </c>
      <c r="H147" s="87">
        <f t="shared" si="27"/>
        <v>46204.0</v>
      </c>
      <c r="I147" s="88" t="str">
        <f t="shared" si="28"/>
        <v>OK</v>
      </c>
      <c r="J147" s="81"/>
      <c r="K147" s="81"/>
      <c r="L147" s="81" t="s">
        <v>57</v>
      </c>
      <c r="M147" s="81"/>
      <c r="N147" s="81"/>
      <c r="O147" s="81"/>
      <c r="P147" s="81" t="str">
        <f t="shared" si="29"/>
        <v>내역</v>
      </c>
      <c r="Q147" s="81" t="str">
        <f t="shared" si="30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1"/>
        <v>지출</v>
      </c>
      <c r="T147" s="81">
        <f t="shared" si="32"/>
        <v>-20000</v>
      </c>
      <c r="U147" s="81" t="str">
        <f t="shared" si="33"/>
        <v>날짜 미기록</v>
      </c>
      <c r="V147" s="81"/>
      <c r="Y147">
        <f t="shared" si="34"/>
        <v>20000</v>
      </c>
      <c r="Z147">
        <f>IFERROR(IF(AND(ISNUMBER(A147),A147&gt;=$B$3,A147&lt;EDATE($B$3,1)),COUNTIFS($A$64:$A$500,"&gt;"&amp;A147,$A$64:$A$500,"&lt;"&amp;EDATE($B$3,1))+COUNTIF($A$64:A147,A147),0),0)</f>
        <v>0</v>
      </c>
    </row>
    <row r="148" spans="1:25" ht="40" customHeight="1" outlineLevel="1" hidden="1">
      <c r="A148" s="83">
        <v>46204</v>
      </c>
      <c r="B148" s="84" t="s">
        <v>62</v>
      </c>
      <c r="C148" s="84" t="s">
        <v>15</v>
      </c>
      <c r="D148" s="84" t="s">
        <v>63</v>
      </c>
      <c r="E148" s="85">
        <v>25000</v>
      </c>
      <c r="F148" s="89" t="s">
        <v>115</v>
      </c>
      <c r="G148" s="90" t="s">
        <v>61</v>
      </c>
      <c r="H148" s="87">
        <f t="shared" si="27"/>
        <v>46204.0</v>
      </c>
      <c r="I148" s="88" t="str">
        <f t="shared" si="28"/>
        <v>OK</v>
      </c>
      <c r="J148" s="81"/>
      <c r="K148" s="81"/>
      <c r="L148" s="81" t="s">
        <v>57</v>
      </c>
      <c r="M148" s="81"/>
      <c r="N148" s="81"/>
      <c r="O148" s="81"/>
      <c r="P148" s="81" t="str">
        <f t="shared" si="29"/>
        <v>내역</v>
      </c>
      <c r="Q148" s="81" t="str">
        <f t="shared" si="30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1"/>
        <v>지출</v>
      </c>
      <c r="T148" s="81">
        <f t="shared" si="32"/>
        <v>-25000</v>
      </c>
      <c r="U148" s="81" t="str">
        <f t="shared" si="33"/>
        <v>날짜 미기록</v>
      </c>
      <c r="V148" s="81"/>
      <c r="Y148">
        <f t="shared" si="34"/>
        <v>25000</v>
      </c>
      <c r="Z148">
        <f>IFERROR(IF(AND(ISNUMBER(A148),A148&gt;=$B$3,A148&lt;EDATE($B$3,1)),COUNTIFS($A$64:$A$500,"&gt;"&amp;A148,$A$64:$A$500,"&lt;"&amp;EDATE($B$3,1))+COUNTIF($A$64:A148,A148),0),0)</f>
        <v>0</v>
      </c>
    </row>
    <row r="149" spans="1:25" ht="40" customHeight="1" outlineLevel="1" hidden="1">
      <c r="A149" s="83">
        <v>46204</v>
      </c>
      <c r="B149" s="84" t="s">
        <v>62</v>
      </c>
      <c r="C149" s="84" t="s">
        <v>15</v>
      </c>
      <c r="D149" s="84" t="s">
        <v>63</v>
      </c>
      <c r="E149" s="85">
        <v>10000</v>
      </c>
      <c r="F149" s="89" t="s">
        <v>116</v>
      </c>
      <c r="G149" s="90" t="s">
        <v>61</v>
      </c>
      <c r="H149" s="87">
        <f t="shared" si="27"/>
        <v>46204.0</v>
      </c>
      <c r="I149" s="88" t="str">
        <f t="shared" si="28"/>
        <v>OK</v>
      </c>
      <c r="J149" s="81"/>
      <c r="K149" s="81"/>
      <c r="L149" s="81" t="s">
        <v>57</v>
      </c>
      <c r="M149" s="81"/>
      <c r="N149" s="81"/>
      <c r="O149" s="81"/>
      <c r="P149" s="81" t="str">
        <f t="shared" si="29"/>
        <v>내역</v>
      </c>
      <c r="Q149" s="81" t="str">
        <f t="shared" si="30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1"/>
        <v>지출</v>
      </c>
      <c r="T149" s="81">
        <f t="shared" si="32"/>
        <v>-10000</v>
      </c>
      <c r="U149" s="81" t="str">
        <f t="shared" si="33"/>
        <v>날짜 미기록</v>
      </c>
      <c r="V149" s="81"/>
      <c r="Y149">
        <f t="shared" si="34"/>
        <v>10000</v>
      </c>
      <c r="Z149">
        <f>IFERROR(IF(AND(ISNUMBER(A149),A149&gt;=$B$3,A149&lt;EDATE($B$3,1)),COUNTIFS($A$64:$A$500,"&gt;"&amp;A149,$A$64:$A$500,"&lt;"&amp;EDATE($B$3,1))+COUNTIF($A$64:A149,A149),0),0)</f>
        <v>0</v>
      </c>
    </row>
    <row r="150" spans="1:25" ht="40" customHeight="1" outlineLevel="1" hidden="1">
      <c r="A150" s="83">
        <v>46204</v>
      </c>
      <c r="B150" s="84" t="s">
        <v>62</v>
      </c>
      <c r="C150" s="84" t="s">
        <v>15</v>
      </c>
      <c r="D150" s="84" t="s">
        <v>63</v>
      </c>
      <c r="E150" s="85">
        <v>28800</v>
      </c>
      <c r="F150" s="89" t="s">
        <v>106</v>
      </c>
      <c r="G150" s="90" t="s">
        <v>61</v>
      </c>
      <c r="H150" s="87">
        <f t="shared" si="27"/>
        <v>46204.0</v>
      </c>
      <c r="I150" s="88" t="str">
        <f t="shared" si="28"/>
        <v>OK</v>
      </c>
      <c r="J150" s="81"/>
      <c r="K150" s="81"/>
      <c r="L150" s="81" t="s">
        <v>57</v>
      </c>
      <c r="M150" s="81"/>
      <c r="N150" s="81"/>
      <c r="O150" s="81"/>
      <c r="P150" s="81" t="str">
        <f t="shared" si="29"/>
        <v>내역</v>
      </c>
      <c r="Q150" s="81" t="str">
        <f t="shared" si="30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1"/>
        <v>지출</v>
      </c>
      <c r="T150" s="81">
        <f t="shared" si="32"/>
        <v>-28800</v>
      </c>
      <c r="U150" s="81" t="str">
        <f t="shared" si="33"/>
        <v>날짜 미기록</v>
      </c>
      <c r="V150" s="81"/>
      <c r="Y150">
        <f t="shared" si="34"/>
        <v>28800</v>
      </c>
      <c r="Z150">
        <f>IFERROR(IF(AND(ISNUMBER(A150),A150&gt;=$B$3,A150&lt;EDATE($B$3,1)),COUNTIFS($A$64:$A$500,"&gt;"&amp;A150,$A$64:$A$500,"&lt;"&amp;EDATE($B$3,1))+COUNTIF($A$64:A150,A150),0),0)</f>
        <v>0</v>
      </c>
    </row>
    <row r="151" spans="1:25" ht="40" customHeight="1" outlineLevel="1" hidden="1">
      <c r="A151" s="83">
        <v>46204</v>
      </c>
      <c r="B151" s="84" t="s">
        <v>62</v>
      </c>
      <c r="C151" s="84" t="s">
        <v>15</v>
      </c>
      <c r="D151" s="84" t="s">
        <v>63</v>
      </c>
      <c r="E151" s="85">
        <v>16500</v>
      </c>
      <c r="F151" s="89" t="s">
        <v>117</v>
      </c>
      <c r="G151" s="90" t="s">
        <v>61</v>
      </c>
      <c r="H151" s="87">
        <f t="shared" si="27"/>
        <v>46204.0</v>
      </c>
      <c r="I151" s="88" t="str">
        <f t="shared" si="28"/>
        <v>OK</v>
      </c>
      <c r="J151" s="81"/>
      <c r="K151" s="81"/>
      <c r="L151" s="81" t="s">
        <v>57</v>
      </c>
      <c r="M151" s="81"/>
      <c r="N151" s="81"/>
      <c r="O151" s="81"/>
      <c r="P151" s="81" t="str">
        <f t="shared" si="29"/>
        <v>내역</v>
      </c>
      <c r="Q151" s="81" t="str">
        <f t="shared" si="30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1"/>
        <v>지출</v>
      </c>
      <c r="T151" s="81">
        <f t="shared" si="32"/>
        <v>-16500</v>
      </c>
      <c r="U151" s="81" t="str">
        <f t="shared" si="33"/>
        <v>날짜 미기록</v>
      </c>
      <c r="V151" s="81"/>
      <c r="Y151">
        <f t="shared" si="34"/>
        <v>16500</v>
      </c>
      <c r="Z151">
        <f>IFERROR(IF(AND(ISNUMBER(A151),A151&gt;=$B$3,A151&lt;EDATE($B$3,1)),COUNTIFS($A$64:$A$500,"&gt;"&amp;A151,$A$64:$A$500,"&lt;"&amp;EDATE($B$3,1))+COUNTIF($A$64:A151,A151),0),0)</f>
        <v>0</v>
      </c>
    </row>
    <row r="152" spans="1:25" ht="40" customHeight="1" outlineLevel="1" hidden="1">
      <c r="A152" s="83">
        <v>46204</v>
      </c>
      <c r="B152" s="84" t="s">
        <v>62</v>
      </c>
      <c r="C152" s="84" t="s">
        <v>15</v>
      </c>
      <c r="D152" s="84" t="s">
        <v>63</v>
      </c>
      <c r="E152" s="85">
        <v>140000</v>
      </c>
      <c r="F152" s="89" t="s">
        <v>118</v>
      </c>
      <c r="G152" s="90" t="s">
        <v>61</v>
      </c>
      <c r="H152" s="87">
        <f t="shared" si="27"/>
        <v>46204.0</v>
      </c>
      <c r="I152" s="88" t="str">
        <f t="shared" si="28"/>
        <v>OK</v>
      </c>
      <c r="J152" s="81"/>
      <c r="K152" s="81"/>
      <c r="L152" s="81" t="s">
        <v>57</v>
      </c>
      <c r="M152" s="81"/>
      <c r="N152" s="81"/>
      <c r="O152" s="81"/>
      <c r="P152" s="81" t="str">
        <f t="shared" si="29"/>
        <v>내역</v>
      </c>
      <c r="Q152" s="81" t="str">
        <f t="shared" si="30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1"/>
        <v>지출</v>
      </c>
      <c r="T152" s="81">
        <f t="shared" si="32"/>
        <v>-140000</v>
      </c>
      <c r="U152" s="81" t="str">
        <f t="shared" si="33"/>
        <v>날짜 미기록</v>
      </c>
      <c r="V152" s="81"/>
      <c r="Y152">
        <f t="shared" si="34"/>
        <v>140000</v>
      </c>
      <c r="Z152">
        <f>IFERROR(IF(AND(ISNUMBER(A152),A152&gt;=$B$3,A152&lt;EDATE($B$3,1)),COUNTIFS($A$64:$A$500,"&gt;"&amp;A152,$A$64:$A$500,"&lt;"&amp;EDATE($B$3,1))+COUNTIF($A$64:A152,A152),0),0)</f>
        <v>0</v>
      </c>
    </row>
    <row r="153" spans="1:25" ht="40" customHeight="1" outlineLevel="1" hidden="1">
      <c r="A153" s="83">
        <v>46204</v>
      </c>
      <c r="B153" s="84" t="s">
        <v>62</v>
      </c>
      <c r="C153" s="84" t="s">
        <v>15</v>
      </c>
      <c r="D153" s="84" t="s">
        <v>63</v>
      </c>
      <c r="E153" s="85">
        <v>540000</v>
      </c>
      <c r="F153" s="89" t="s">
        <v>119</v>
      </c>
      <c r="G153" s="90" t="s">
        <v>120</v>
      </c>
      <c r="H153" s="87">
        <f t="shared" si="27"/>
        <v>46204.0</v>
      </c>
      <c r="I153" s="88" t="str">
        <f t="shared" si="28"/>
        <v>OK</v>
      </c>
      <c r="J153" s="81"/>
      <c r="K153" s="81"/>
      <c r="L153" s="81" t="s">
        <v>57</v>
      </c>
      <c r="M153" s="81"/>
      <c r="N153" s="81"/>
      <c r="O153" s="81"/>
      <c r="P153" s="81" t="str">
        <f t="shared" si="29"/>
        <v>내역</v>
      </c>
      <c r="Q153" s="81" t="str">
        <f t="shared" si="30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1"/>
        <v>지출</v>
      </c>
      <c r="T153" s="81">
        <f t="shared" si="32"/>
        <v>-540000</v>
      </c>
      <c r="U153" s="81" t="str">
        <f t="shared" si="33"/>
        <v>날짜 미기록</v>
      </c>
      <c r="V153" s="81"/>
      <c r="Y153">
        <f t="shared" si="34"/>
        <v>540000</v>
      </c>
      <c r="Z153">
        <f>IFERROR(IF(AND(ISNUMBER(A153),A153&gt;=$B$3,A153&lt;EDATE($B$3,1)),COUNTIFS($A$64:$A$500,"&gt;"&amp;A153,$A$64:$A$500,"&lt;"&amp;EDATE($B$3,1))+COUNTIF($A$64:A153,A153),0),0)</f>
        <v>0</v>
      </c>
    </row>
    <row r="154" spans="1:25" ht="40" customHeight="1" outlineLevel="1" hidden="1">
      <c r="A154" s="83">
        <v>46204</v>
      </c>
      <c r="B154" s="84" t="s">
        <v>62</v>
      </c>
      <c r="C154" s="84" t="s">
        <v>15</v>
      </c>
      <c r="D154" s="84" t="s">
        <v>63</v>
      </c>
      <c r="E154" s="85">
        <v>25000</v>
      </c>
      <c r="F154" s="89" t="s">
        <v>121</v>
      </c>
      <c r="G154" s="90" t="s">
        <v>61</v>
      </c>
      <c r="H154" s="87">
        <f t="shared" si="27"/>
        <v>46204.0</v>
      </c>
      <c r="I154" s="88" t="str">
        <f t="shared" si="28"/>
        <v>OK</v>
      </c>
      <c r="J154" s="81"/>
      <c r="K154" s="81"/>
      <c r="L154" s="81" t="s">
        <v>57</v>
      </c>
      <c r="M154" s="81"/>
      <c r="N154" s="81"/>
      <c r="O154" s="81"/>
      <c r="P154" s="81" t="str">
        <f t="shared" si="29"/>
        <v>내역</v>
      </c>
      <c r="Q154" s="81" t="str">
        <f t="shared" si="30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1"/>
        <v>지출</v>
      </c>
      <c r="T154" s="81">
        <f t="shared" si="32"/>
        <v>-25000</v>
      </c>
      <c r="U154" s="81" t="str">
        <f t="shared" si="33"/>
        <v>날짜 미기록</v>
      </c>
      <c r="V154" s="81"/>
      <c r="Y154">
        <f t="shared" si="34"/>
        <v>25000</v>
      </c>
      <c r="Z154">
        <f>IFERROR(IF(AND(ISNUMBER(A154),A154&gt;=$B$3,A154&lt;EDATE($B$3,1)),COUNTIFS($A$64:$A$500,"&gt;"&amp;A154,$A$64:$A$500,"&lt;"&amp;EDATE($B$3,1))+COUNTIF($A$64:A154,A154),0),0)</f>
        <v>0</v>
      </c>
    </row>
    <row r="155" spans="1:25" ht="40" customHeight="1" outlineLevel="1" hidden="1">
      <c r="A155" s="83">
        <v>46204</v>
      </c>
      <c r="B155" s="84" t="s">
        <v>65</v>
      </c>
      <c r="C155" s="84" t="s">
        <v>66</v>
      </c>
      <c r="D155" s="84" t="s">
        <v>16</v>
      </c>
      <c r="E155" s="85">
        <v>100000</v>
      </c>
      <c r="F155" s="89" t="s">
        <v>67</v>
      </c>
      <c r="G155" s="90" t="s">
        <v>61</v>
      </c>
      <c r="H155" s="87">
        <f t="shared" si="27"/>
        <v>46204.0</v>
      </c>
      <c r="I155" s="88" t="str">
        <f t="shared" si="28"/>
        <v>OK</v>
      </c>
      <c r="J155" s="81"/>
      <c r="K155" s="81"/>
      <c r="L155" s="81" t="s">
        <v>57</v>
      </c>
      <c r="M155" s="81"/>
      <c r="N155" s="81"/>
      <c r="O155" s="81"/>
      <c r="P155" s="81" t="str">
        <f t="shared" si="29"/>
        <v>내역</v>
      </c>
      <c r="Q155" s="81" t="str">
        <f t="shared" si="30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1"/>
        <v>명절비</v>
      </c>
      <c r="T155" s="81">
        <f t="shared" si="32"/>
        <v>100000</v>
      </c>
      <c r="U155" s="81" t="str">
        <f t="shared" si="33"/>
        <v>날짜 미기록</v>
      </c>
      <c r="V155" s="81"/>
      <c r="Y155">
        <f t="shared" si="34"/>
        <v>100000</v>
      </c>
      <c r="Z155">
        <f>IFERROR(IF(AND(ISNUMBER(A155),A155&gt;=$B$3,A155&lt;EDATE($B$3,1)),COUNTIFS($A$64:$A$500,"&gt;"&amp;A155,$A$64:$A$500,"&lt;"&amp;EDATE($B$3,1))+COUNTIF($A$64:A155,A155),0),0)</f>
        <v>0</v>
      </c>
    </row>
    <row r="156" spans="1:25" ht="40" customHeight="1" outlineLevel="1" hidden="1">
      <c r="A156" s="83">
        <v>46204</v>
      </c>
      <c r="B156" s="84" t="s">
        <v>65</v>
      </c>
      <c r="C156" s="84" t="s">
        <v>66</v>
      </c>
      <c r="D156" s="84" t="s">
        <v>18</v>
      </c>
      <c r="E156" s="85">
        <v>50000</v>
      </c>
      <c r="F156" s="89" t="s">
        <v>108</v>
      </c>
      <c r="G156" s="90" t="s">
        <v>61</v>
      </c>
      <c r="H156" s="87">
        <f t="shared" si="27"/>
        <v>46204.0</v>
      </c>
      <c r="I156" s="88" t="str">
        <f t="shared" si="28"/>
        <v>OK</v>
      </c>
      <c r="J156" s="81"/>
      <c r="K156" s="81"/>
      <c r="L156" s="81" t="s">
        <v>57</v>
      </c>
      <c r="M156" s="81"/>
      <c r="N156" s="81"/>
      <c r="O156" s="81"/>
      <c r="P156" s="81" t="str">
        <f t="shared" si="29"/>
        <v>내역</v>
      </c>
      <c r="Q156" s="81" t="str">
        <f t="shared" si="30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1"/>
        <v>경조사비</v>
      </c>
      <c r="T156" s="81">
        <f t="shared" si="32"/>
        <v>50000</v>
      </c>
      <c r="U156" s="81" t="str">
        <f t="shared" si="33"/>
        <v>날짜 미기록</v>
      </c>
      <c r="V156" s="81"/>
      <c r="Y156">
        <f t="shared" si="34"/>
        <v>50000</v>
      </c>
      <c r="Z156">
        <f>IFERROR(IF(AND(ISNUMBER(A156),A156&gt;=$B$3,A156&lt;EDATE($B$3,1)),COUNTIFS($A$64:$A$500,"&gt;"&amp;A156,$A$64:$A$500,"&lt;"&amp;EDATE($B$3,1))+COUNTIF($A$64:A156,A156),0),0)</f>
        <v>0</v>
      </c>
    </row>
    <row r="157" spans="1:25" ht="40" customHeight="1" outlineLevel="1" hidden="1">
      <c r="A157" s="83">
        <v>46204</v>
      </c>
      <c r="B157" s="84" t="s">
        <v>65</v>
      </c>
      <c r="C157" s="84" t="s">
        <v>66</v>
      </c>
      <c r="D157" s="84" t="s">
        <v>19</v>
      </c>
      <c r="E157" s="85">
        <v>100000</v>
      </c>
      <c r="F157" s="89" t="s">
        <v>69</v>
      </c>
      <c r="G157" s="90" t="s">
        <v>61</v>
      </c>
      <c r="H157" s="87">
        <f t="shared" si="27"/>
        <v>46204.0</v>
      </c>
      <c r="I157" s="88" t="str">
        <f t="shared" si="28"/>
        <v>OK</v>
      </c>
      <c r="J157" s="81"/>
      <c r="K157" s="81"/>
      <c r="L157" s="81" t="s">
        <v>57</v>
      </c>
      <c r="M157" s="81"/>
      <c r="N157" s="81"/>
      <c r="O157" s="81"/>
      <c r="P157" s="81" t="str">
        <f t="shared" si="29"/>
        <v>내역</v>
      </c>
      <c r="Q157" s="81" t="str">
        <f t="shared" si="30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1"/>
        <v>상환비</v>
      </c>
      <c r="T157" s="81">
        <f t="shared" si="32"/>
        <v>100000</v>
      </c>
      <c r="U157" s="81" t="str">
        <f t="shared" si="33"/>
        <v>날짜 미기록</v>
      </c>
      <c r="V157" s="81"/>
      <c r="Y157">
        <f t="shared" si="34"/>
        <v>100000</v>
      </c>
      <c r="Z157">
        <f>IFERROR(IF(AND(ISNUMBER(A157),A157&gt;=$B$3,A157&lt;EDATE($B$3,1)),COUNTIFS($A$64:$A$500,"&gt;"&amp;A157,$A$64:$A$500,"&lt;"&amp;EDATE($B$3,1))+COUNTIF($A$64:A157,A157),0),0)</f>
        <v>0</v>
      </c>
    </row>
    <row r="158" spans="1:25" ht="40" customHeight="1" outlineLevel="1" hidden="1">
      <c r="A158" s="83">
        <v>46204</v>
      </c>
      <c r="B158" s="84" t="s">
        <v>59</v>
      </c>
      <c r="C158" s="84" t="s">
        <v>54</v>
      </c>
      <c r="D158" s="84" t="s">
        <v>22</v>
      </c>
      <c r="E158" s="85">
        <v>4448</v>
      </c>
      <c r="F158" s="89" t="s">
        <v>78</v>
      </c>
      <c r="G158" s="90" t="s">
        <v>61</v>
      </c>
      <c r="H158" s="87">
        <f t="shared" si="27"/>
        <v>46204.0</v>
      </c>
      <c r="I158" s="88" t="str">
        <f t="shared" si="28"/>
        <v>OK</v>
      </c>
      <c r="J158" s="81"/>
      <c r="K158" s="81"/>
      <c r="L158" s="81" t="s">
        <v>57</v>
      </c>
      <c r="M158" s="81"/>
      <c r="N158" s="81"/>
      <c r="O158" s="81"/>
      <c r="P158" s="81" t="str">
        <f t="shared" si="29"/>
        <v>내역</v>
      </c>
      <c r="Q158" s="81" t="str">
        <f t="shared" si="30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1"/>
        <v>금융</v>
      </c>
      <c r="T158" s="81">
        <f t="shared" si="32"/>
        <v>4448</v>
      </c>
      <c r="U158" s="81" t="str">
        <f t="shared" si="33"/>
        <v>날짜 미기록</v>
      </c>
      <c r="V158" s="81"/>
      <c r="Y158">
        <f t="shared" si="34"/>
        <v>4448</v>
      </c>
      <c r="Z158">
        <f>IFERROR(IF(AND(ISNUMBER(A158),A158&gt;=$B$3,A158&lt;EDATE($B$3,1)),COUNTIFS($A$64:$A$500,"&gt;"&amp;A158,$A$64:$A$500,"&lt;"&amp;EDATE($B$3,1))+COUNTIF($A$64:A158,A158),0),0)</f>
        <v>0</v>
      </c>
    </row>
    <row r="159" spans="1:25" ht="40" customHeight="1" outlineLevel="1" hidden="1">
      <c r="A159" s="83">
        <v>46204</v>
      </c>
      <c r="B159" s="84" t="s">
        <v>59</v>
      </c>
      <c r="C159" s="84" t="s">
        <v>54</v>
      </c>
      <c r="D159" s="84" t="s">
        <v>22</v>
      </c>
      <c r="E159" s="85">
        <v>821</v>
      </c>
      <c r="F159" s="89" t="s">
        <v>122</v>
      </c>
      <c r="G159" s="90" t="s">
        <v>61</v>
      </c>
      <c r="H159" s="87">
        <f t="shared" si="27"/>
        <v>46204.0</v>
      </c>
      <c r="I159" s="88" t="str">
        <f t="shared" si="28"/>
        <v>OK</v>
      </c>
      <c r="J159" s="81"/>
      <c r="K159" s="81"/>
      <c r="L159" s="81" t="s">
        <v>57</v>
      </c>
      <c r="M159" s="81"/>
      <c r="N159" s="81"/>
      <c r="O159" s="81"/>
      <c r="P159" s="81" t="str">
        <f t="shared" si="29"/>
        <v>내역</v>
      </c>
      <c r="Q159" s="81" t="str">
        <f t="shared" si="30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1"/>
        <v>금융</v>
      </c>
      <c r="T159" s="81">
        <f t="shared" si="32"/>
        <v>821</v>
      </c>
      <c r="U159" s="81" t="str">
        <f t="shared" si="33"/>
        <v>날짜 미기록</v>
      </c>
      <c r="V159" s="81"/>
      <c r="Y159">
        <f t="shared" si="34"/>
        <v>821</v>
      </c>
      <c r="Z159">
        <f>IFERROR(IF(AND(ISNUMBER(A159),A159&gt;=$B$3,A159&lt;EDATE($B$3,1)),COUNTIFS($A$64:$A$500,"&gt;"&amp;A159,$A$64:$A$500,"&lt;"&amp;EDATE($B$3,1))+COUNTIF($A$64:A159,A159),0),0)</f>
        <v>0</v>
      </c>
    </row>
    <row r="160" spans="1:25" ht="40" customHeight="1" outlineLevel="1" hidden="1">
      <c r="A160" s="83">
        <v>46204</v>
      </c>
      <c r="B160" s="84" t="s">
        <v>59</v>
      </c>
      <c r="C160" s="84" t="s">
        <v>54</v>
      </c>
      <c r="D160" s="84" t="s">
        <v>22</v>
      </c>
      <c r="E160" s="85">
        <v>2905</v>
      </c>
      <c r="F160" s="89" t="s">
        <v>78</v>
      </c>
      <c r="G160" s="90" t="s">
        <v>61</v>
      </c>
      <c r="H160" s="87">
        <f t="shared" si="27"/>
        <v>46204.0</v>
      </c>
      <c r="I160" s="88" t="str">
        <f t="shared" si="28"/>
        <v>OK</v>
      </c>
      <c r="J160" s="81"/>
      <c r="K160" s="81"/>
      <c r="L160" s="81" t="s">
        <v>57</v>
      </c>
      <c r="M160" s="81"/>
      <c r="N160" s="81"/>
      <c r="O160" s="81"/>
      <c r="P160" s="81" t="str">
        <f t="shared" si="29"/>
        <v>내역</v>
      </c>
      <c r="Q160" s="81" t="str">
        <f t="shared" si="30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1"/>
        <v>금융</v>
      </c>
      <c r="T160" s="81">
        <f t="shared" si="32"/>
        <v>2905</v>
      </c>
      <c r="U160" s="81" t="str">
        <f t="shared" si="33"/>
        <v>날짜 미기록</v>
      </c>
      <c r="V160" s="81"/>
      <c r="Y160">
        <f t="shared" si="34"/>
        <v>2905</v>
      </c>
      <c r="Z160">
        <f>IFERROR(IF(AND(ISNUMBER(A160),A160&gt;=$B$3,A160&lt;EDATE($B$3,1)),COUNTIFS($A$64:$A$500,"&gt;"&amp;A160,$A$64:$A$500,"&lt;"&amp;EDATE($B$3,1))+COUNTIF($A$64:A160,A160),0),0)</f>
        <v>0</v>
      </c>
    </row>
    <row r="161" spans="1:25" ht="40" customHeight="1" outlineLevel="1" hidden="1">
      <c r="A161" s="83">
        <v>46204</v>
      </c>
      <c r="B161" s="84" t="s">
        <v>59</v>
      </c>
      <c r="C161" s="84" t="s">
        <v>54</v>
      </c>
      <c r="D161" s="84" t="s">
        <v>22</v>
      </c>
      <c r="E161" s="85">
        <v>2263</v>
      </c>
      <c r="F161" s="89" t="s">
        <v>78</v>
      </c>
      <c r="G161" s="90" t="s">
        <v>61</v>
      </c>
      <c r="H161" s="87">
        <f t="shared" si="27"/>
        <v>46204.0</v>
      </c>
      <c r="I161" s="88" t="str">
        <f t="shared" si="28"/>
        <v>OK</v>
      </c>
      <c r="J161" s="81"/>
      <c r="K161" s="81"/>
      <c r="L161" s="81" t="s">
        <v>57</v>
      </c>
      <c r="M161" s="81"/>
      <c r="N161" s="81"/>
      <c r="O161" s="81"/>
      <c r="P161" s="81" t="str">
        <f t="shared" si="29"/>
        <v>내역</v>
      </c>
      <c r="Q161" s="81" t="str">
        <f t="shared" si="30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1"/>
        <v>금융</v>
      </c>
      <c r="T161" s="81">
        <f t="shared" si="32"/>
        <v>2263</v>
      </c>
      <c r="U161" s="81" t="str">
        <f t="shared" si="33"/>
        <v>날짜 미기록</v>
      </c>
      <c r="V161" s="81"/>
      <c r="Y161">
        <f t="shared" si="34"/>
        <v>2263</v>
      </c>
      <c r="Z161">
        <f>IFERROR(IF(AND(ISNUMBER(A161),A161&gt;=$B$3,A161&lt;EDATE($B$3,1)),COUNTIFS($A$64:$A$500,"&gt;"&amp;A161,$A$64:$A$500,"&lt;"&amp;EDATE($B$3,1))+COUNTIF($A$64:A161,A161),0),0)</f>
        <v>0</v>
      </c>
    </row>
    <row r="162" spans="1:25" ht="40" customHeight="1" outlineLevel="1" hidden="1">
      <c r="A162" s="83">
        <v>46204</v>
      </c>
      <c r="B162" s="84" t="s">
        <v>59</v>
      </c>
      <c r="C162" s="84" t="s">
        <v>54</v>
      </c>
      <c r="D162" s="84" t="s">
        <v>22</v>
      </c>
      <c r="E162" s="85">
        <v>27858</v>
      </c>
      <c r="F162" s="89" t="s">
        <v>78</v>
      </c>
      <c r="G162" s="90" t="s">
        <v>61</v>
      </c>
      <c r="H162" s="87">
        <f t="shared" si="27"/>
        <v>46204.0</v>
      </c>
      <c r="I162" s="88" t="str">
        <f t="shared" si="28"/>
        <v>OK</v>
      </c>
      <c r="J162" s="81"/>
      <c r="K162" s="81"/>
      <c r="L162" s="81" t="s">
        <v>57</v>
      </c>
      <c r="M162" s="81"/>
      <c r="N162" s="81"/>
      <c r="O162" s="81"/>
      <c r="P162" s="81" t="str">
        <f t="shared" si="29"/>
        <v>내역</v>
      </c>
      <c r="Q162" s="81" t="str">
        <f t="shared" si="30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1"/>
        <v>금융</v>
      </c>
      <c r="T162" s="81">
        <f t="shared" si="32"/>
        <v>27858</v>
      </c>
      <c r="U162" s="81" t="str">
        <f t="shared" si="33"/>
        <v>날짜 미기록</v>
      </c>
      <c r="V162" s="81"/>
      <c r="Y162">
        <f t="shared" si="34"/>
        <v>27858</v>
      </c>
      <c r="Z162">
        <f>IFERROR(IF(AND(ISNUMBER(A162),A162&gt;=$B$3,A162&lt;EDATE($B$3,1)),COUNTIFS($A$64:$A$500,"&gt;"&amp;A162,$A$64:$A$500,"&lt;"&amp;EDATE($B$3,1))+COUNTIF($A$64:A162,A162),0),0)</f>
        <v>0</v>
      </c>
    </row>
    <row r="163" spans="1:25" ht="40" customHeight="1" outlineLevel="1" hidden="1">
      <c r="A163" s="83">
        <v>46204</v>
      </c>
      <c r="B163" s="84" t="s">
        <v>74</v>
      </c>
      <c r="C163" s="84" t="s">
        <v>22</v>
      </c>
      <c r="D163" s="84" t="s">
        <v>54</v>
      </c>
      <c r="E163" s="85">
        <v>15334</v>
      </c>
      <c r="F163" s="89" t="s">
        <v>92</v>
      </c>
      <c r="G163" s="90" t="s">
        <v>61</v>
      </c>
      <c r="H163" s="87">
        <f t="shared" si="27"/>
        <v>46204.0</v>
      </c>
      <c r="I163" s="88" t="str">
        <f t="shared" si="28"/>
        <v>OK</v>
      </c>
      <c r="J163" s="81"/>
      <c r="K163" s="81"/>
      <c r="L163" s="81" t="s">
        <v>57</v>
      </c>
      <c r="M163" s="81"/>
      <c r="N163" s="81"/>
      <c r="O163" s="81"/>
      <c r="P163" s="81" t="str">
        <f t="shared" si="29"/>
        <v>이체</v>
      </c>
      <c r="Q163" s="81" t="str">
        <f t="shared" si="30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1"/>
        <v>외부</v>
      </c>
      <c r="T163" s="81">
        <f t="shared" si="32"/>
        <v>15334</v>
      </c>
      <c r="U163" s="81" t="str">
        <f t="shared" si="33"/>
        <v>날짜 미기록</v>
      </c>
      <c r="V163" s="81"/>
      <c r="Y163">
        <f t="shared" si="34"/>
        <v>15334</v>
      </c>
      <c r="Z163">
        <f>IFERROR(IF(AND(ISNUMBER(A163),A163&gt;=$B$3,A163&lt;EDATE($B$3,1)),COUNTIFS($A$64:$A$500,"&gt;"&amp;A163,$A$64:$A$500,"&lt;"&amp;EDATE($B$3,1))+COUNTIF($A$64:A163,A163),0),0)</f>
        <v>0</v>
      </c>
    </row>
    <row r="164" spans="1:25" ht="40" customHeight="1" outlineLevel="1" hidden="1">
      <c r="A164" s="83">
        <v>46204</v>
      </c>
      <c r="B164" s="84" t="s">
        <v>59</v>
      </c>
      <c r="C164" s="84" t="s">
        <v>54</v>
      </c>
      <c r="D164" s="84" t="s">
        <v>23</v>
      </c>
      <c r="E164" s="85">
        <v>7434473</v>
      </c>
      <c r="F164" s="89" t="s">
        <v>123</v>
      </c>
      <c r="G164" s="90" t="s">
        <v>61</v>
      </c>
      <c r="H164" s="87">
        <f t="shared" si="27"/>
        <v>46204.0</v>
      </c>
      <c r="I164" s="88" t="str">
        <f t="shared" si="28"/>
        <v>OK</v>
      </c>
      <c r="J164" s="81"/>
      <c r="K164" s="81"/>
      <c r="L164" s="81" t="s">
        <v>57</v>
      </c>
      <c r="M164" s="81"/>
      <c r="N164" s="81"/>
      <c r="O164" s="81"/>
      <c r="P164" s="81" t="str">
        <f t="shared" si="29"/>
        <v>내역</v>
      </c>
      <c r="Q164" s="81" t="str">
        <f t="shared" si="30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1"/>
        <v>임시보관</v>
      </c>
      <c r="T164" s="81">
        <f t="shared" si="32"/>
        <v>7434473</v>
      </c>
      <c r="U164" s="81" t="str">
        <f t="shared" si="33"/>
        <v>날짜 미기록</v>
      </c>
      <c r="V164" s="81"/>
      <c r="Y164">
        <f t="shared" si="34"/>
        <v>7434473</v>
      </c>
      <c r="Z164">
        <f>IFERROR(IF(AND(ISNUMBER(A164),A164&gt;=$B$3,A164&lt;EDATE($B$3,1)),COUNTIFS($A$64:$A$500,"&gt;"&amp;A164,$A$64:$A$500,"&lt;"&amp;EDATE($B$3,1))+COUNTIF($A$64:A164,A164),0),0)</f>
        <v>0</v>
      </c>
    </row>
    <row r="165" spans="1:25" ht="40" customHeight="1" outlineLevel="1" hidden="1">
      <c r="A165" s="83">
        <v>46204</v>
      </c>
      <c r="B165" s="84" t="s">
        <v>59</v>
      </c>
      <c r="C165" s="84" t="s">
        <v>54</v>
      </c>
      <c r="D165" s="84" t="s">
        <v>23</v>
      </c>
      <c r="E165" s="85">
        <v>250000</v>
      </c>
      <c r="F165" s="89" t="s">
        <v>124</v>
      </c>
      <c r="G165" s="90" t="s">
        <v>61</v>
      </c>
      <c r="H165" s="87">
        <f t="shared" si="27"/>
        <v>46204.0</v>
      </c>
      <c r="I165" s="88" t="str">
        <f t="shared" si="28"/>
        <v>OK</v>
      </c>
      <c r="J165" s="81"/>
      <c r="K165" s="81"/>
      <c r="L165" s="81" t="s">
        <v>57</v>
      </c>
      <c r="M165" s="81"/>
      <c r="N165" s="81"/>
      <c r="O165" s="81"/>
      <c r="P165" s="81" t="str">
        <f t="shared" si="29"/>
        <v>내역</v>
      </c>
      <c r="Q165" s="81" t="str">
        <f t="shared" si="30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1"/>
        <v>임시보관</v>
      </c>
      <c r="T165" s="81">
        <f t="shared" si="32"/>
        <v>250000</v>
      </c>
      <c r="U165" s="81" t="str">
        <f t="shared" si="33"/>
        <v>날짜 미기록</v>
      </c>
      <c r="V165" s="81"/>
      <c r="Y165">
        <f t="shared" si="34"/>
        <v>250000</v>
      </c>
      <c r="Z165">
        <f>IFERROR(IF(AND(ISNUMBER(A165),A165&gt;=$B$3,A165&lt;EDATE($B$3,1)),COUNTIFS($A$64:$A$500,"&gt;"&amp;A165,$A$64:$A$500,"&lt;"&amp;EDATE($B$3,1))+COUNTIF($A$64:A165,A165),0),0)</f>
        <v>0</v>
      </c>
    </row>
    <row r="166" spans="1:25" ht="40" customHeight="1" outlineLevel="1" hidden="1">
      <c r="A166" s="83">
        <v>46204</v>
      </c>
      <c r="B166" s="84" t="s">
        <v>62</v>
      </c>
      <c r="C166" s="84" t="s">
        <v>23</v>
      </c>
      <c r="D166" s="84" t="s">
        <v>63</v>
      </c>
      <c r="E166" s="85">
        <v>550000</v>
      </c>
      <c r="F166" s="89" t="s">
        <v>82</v>
      </c>
      <c r="G166" s="90" t="s">
        <v>61</v>
      </c>
      <c r="H166" s="87">
        <f t="shared" si="27"/>
        <v>46204.0</v>
      </c>
      <c r="I166" s="88" t="str">
        <f t="shared" si="28"/>
        <v>OK</v>
      </c>
      <c r="J166" s="81"/>
      <c r="K166" s="81"/>
      <c r="L166" s="81" t="s">
        <v>57</v>
      </c>
      <c r="M166" s="81"/>
      <c r="N166" s="81"/>
      <c r="O166" s="81"/>
      <c r="P166" s="81" t="str">
        <f t="shared" si="29"/>
        <v>내역</v>
      </c>
      <c r="Q166" s="81" t="str">
        <f t="shared" si="30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1"/>
        <v>지출</v>
      </c>
      <c r="T166" s="81">
        <f t="shared" si="32"/>
        <v>-550000</v>
      </c>
      <c r="U166" s="81" t="str">
        <f t="shared" si="33"/>
        <v>날짜 미기록</v>
      </c>
      <c r="V166" s="81"/>
      <c r="Y166">
        <f t="shared" si="34"/>
        <v>550000</v>
      </c>
      <c r="Z166">
        <f>IFERROR(IF(AND(ISNUMBER(A166),A166&gt;=$B$3,A166&lt;EDATE($B$3,1)),COUNTIFS($A$64:$A$500,"&gt;"&amp;A166,$A$64:$A$500,"&lt;"&amp;EDATE($B$3,1))+COUNTIF($A$64:A166,A166),0),0)</f>
        <v>0</v>
      </c>
    </row>
    <row r="167" spans="1:25" ht="40" customHeight="1" outlineLevel="1" hidden="1">
      <c r="A167" s="83">
        <v>46204</v>
      </c>
      <c r="B167" s="84" t="s">
        <v>62</v>
      </c>
      <c r="C167" s="84" t="s">
        <v>23</v>
      </c>
      <c r="D167" s="84" t="s">
        <v>63</v>
      </c>
      <c r="E167" s="85">
        <v>1200</v>
      </c>
      <c r="F167" s="89" t="s">
        <v>125</v>
      </c>
      <c r="G167" s="90" t="s">
        <v>61</v>
      </c>
      <c r="H167" s="87">
        <f t="shared" si="27"/>
        <v>46204.0</v>
      </c>
      <c r="I167" s="88" t="str">
        <f t="shared" si="28"/>
        <v>OK</v>
      </c>
      <c r="J167" s="81"/>
      <c r="K167" s="81"/>
      <c r="L167" s="81" t="s">
        <v>57</v>
      </c>
      <c r="M167" s="81"/>
      <c r="N167" s="81"/>
      <c r="O167" s="81"/>
      <c r="P167" s="81" t="str">
        <f t="shared" si="29"/>
        <v>내역</v>
      </c>
      <c r="Q167" s="81" t="str">
        <f t="shared" si="30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1"/>
        <v>지출</v>
      </c>
      <c r="T167" s="81">
        <f t="shared" si="32"/>
        <v>-1200</v>
      </c>
      <c r="U167" s="81" t="str">
        <f t="shared" si="33"/>
        <v>날짜 미기록</v>
      </c>
      <c r="V167" s="81"/>
      <c r="Y167">
        <f t="shared" si="34"/>
        <v>1200</v>
      </c>
      <c r="Z167">
        <f>IFERROR(IF(AND(ISNUMBER(A167),A167&gt;=$B$3,A167&lt;EDATE($B$3,1)),COUNTIFS($A$64:$A$500,"&gt;"&amp;A167,$A$64:$A$500,"&lt;"&amp;EDATE($B$3,1))+COUNTIF($A$64:A167,A167),0),0)</f>
        <v>0</v>
      </c>
    </row>
    <row r="168" spans="1:25" ht="40" customHeight="1" outlineLevel="1" hidden="1">
      <c r="A168" s="83">
        <v>46204</v>
      </c>
      <c r="B168" s="84" t="s">
        <v>62</v>
      </c>
      <c r="C168" s="84" t="s">
        <v>23</v>
      </c>
      <c r="D168" s="84" t="s">
        <v>63</v>
      </c>
      <c r="E168" s="85">
        <v>55000</v>
      </c>
      <c r="F168" s="89" t="s">
        <v>126</v>
      </c>
      <c r="G168" s="90" t="s">
        <v>61</v>
      </c>
      <c r="H168" s="87">
        <f t="shared" si="27"/>
        <v>46204.0</v>
      </c>
      <c r="I168" s="88" t="str">
        <f t="shared" si="28"/>
        <v>OK</v>
      </c>
      <c r="J168" s="81"/>
      <c r="K168" s="81"/>
      <c r="L168" s="81" t="s">
        <v>57</v>
      </c>
      <c r="M168" s="81"/>
      <c r="N168" s="81"/>
      <c r="O168" s="81"/>
      <c r="P168" s="81" t="str">
        <f t="shared" si="29"/>
        <v>내역</v>
      </c>
      <c r="Q168" s="81" t="str">
        <f t="shared" si="30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1"/>
        <v>지출</v>
      </c>
      <c r="T168" s="81">
        <f t="shared" si="32"/>
        <v>-55000</v>
      </c>
      <c r="U168" s="81" t="str">
        <f t="shared" si="33"/>
        <v>날짜 미기록</v>
      </c>
      <c r="V168" s="81"/>
      <c r="Y168">
        <f t="shared" si="34"/>
        <v>55000</v>
      </c>
      <c r="Z168">
        <f>IFERROR(IF(AND(ISNUMBER(A168),A168&gt;=$B$3,A168&lt;EDATE($B$3,1)),COUNTIFS($A$64:$A$500,"&gt;"&amp;A168,$A$64:$A$500,"&lt;"&amp;EDATE($B$3,1))+COUNTIF($A$64:A168,A168),0),0)</f>
        <v>0</v>
      </c>
    </row>
    <row r="169" spans="1:25" ht="40" customHeight="1" outlineLevel="1" hidden="1">
      <c r="A169" s="83">
        <v>46204</v>
      </c>
      <c r="B169" s="84" t="s">
        <v>62</v>
      </c>
      <c r="C169" s="84" t="s">
        <v>23</v>
      </c>
      <c r="D169" s="84" t="s">
        <v>63</v>
      </c>
      <c r="E169" s="85">
        <v>265210</v>
      </c>
      <c r="F169" s="89" t="s">
        <v>127</v>
      </c>
      <c r="G169" s="90" t="s">
        <v>61</v>
      </c>
      <c r="H169" s="87">
        <f t="shared" si="27"/>
        <v>46204.0</v>
      </c>
      <c r="I169" s="88" t="str">
        <f t="shared" si="28"/>
        <v>OK</v>
      </c>
      <c r="J169" s="81"/>
      <c r="K169" s="81"/>
      <c r="L169" s="81" t="s">
        <v>57</v>
      </c>
      <c r="M169" s="81"/>
      <c r="N169" s="81"/>
      <c r="O169" s="81"/>
      <c r="P169" s="81" t="str">
        <f t="shared" si="29"/>
        <v>내역</v>
      </c>
      <c r="Q169" s="81" t="str">
        <f t="shared" si="30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1"/>
        <v>지출</v>
      </c>
      <c r="T169" s="81">
        <f t="shared" si="32"/>
        <v>-265210</v>
      </c>
      <c r="U169" s="81" t="str">
        <f t="shared" si="33"/>
        <v>날짜 미기록</v>
      </c>
      <c r="V169" s="81"/>
      <c r="Y169">
        <f t="shared" si="34"/>
        <v>265210</v>
      </c>
      <c r="Z169">
        <f>IFERROR(IF(AND(ISNUMBER(A169),A169&gt;=$B$3,A169&lt;EDATE($B$3,1)),COUNTIFS($A$64:$A$500,"&gt;"&amp;A169,$A$64:$A$500,"&lt;"&amp;EDATE($B$3,1))+COUNTIF($A$64:A169,A169),0),0)</f>
        <v>0</v>
      </c>
    </row>
    <row r="170" spans="1:25" ht="40" customHeight="1" outlineLevel="1" hidden="1">
      <c r="A170" s="83">
        <v>46204</v>
      </c>
      <c r="B170" s="84" t="s">
        <v>62</v>
      </c>
      <c r="C170" s="84" t="s">
        <v>23</v>
      </c>
      <c r="D170" s="84" t="s">
        <v>63</v>
      </c>
      <c r="E170" s="85">
        <v>743852</v>
      </c>
      <c r="F170" s="89" t="s">
        <v>85</v>
      </c>
      <c r="G170" s="90" t="s">
        <v>61</v>
      </c>
      <c r="H170" s="87">
        <f t="shared" si="27"/>
        <v>46204.0</v>
      </c>
      <c r="I170" s="88" t="str">
        <f t="shared" si="28"/>
        <v>OK</v>
      </c>
      <c r="J170" s="81"/>
      <c r="K170" s="81"/>
      <c r="L170" s="81" t="s">
        <v>57</v>
      </c>
      <c r="M170" s="81"/>
      <c r="N170" s="81"/>
      <c r="O170" s="81"/>
      <c r="P170" s="81" t="str">
        <f t="shared" si="29"/>
        <v>내역</v>
      </c>
      <c r="Q170" s="81" t="str">
        <f t="shared" si="30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1"/>
        <v>지출</v>
      </c>
      <c r="T170" s="81">
        <f t="shared" si="32"/>
        <v>-743852</v>
      </c>
      <c r="U170" s="81" t="str">
        <f t="shared" si="33"/>
        <v>날짜 미기록</v>
      </c>
      <c r="V170" s="81"/>
      <c r="Y170">
        <f t="shared" si="34"/>
        <v>743852</v>
      </c>
      <c r="Z170">
        <f>IFERROR(IF(AND(ISNUMBER(A170),A170&gt;=$B$3,A170&lt;EDATE($B$3,1)),COUNTIFS($A$64:$A$500,"&gt;"&amp;A170,$A$64:$A$500,"&lt;"&amp;EDATE($B$3,1))+COUNTIF($A$64:A170,A170),0),0)</f>
        <v>0</v>
      </c>
    </row>
    <row r="171" spans="1:25" ht="40" customHeight="1" outlineLevel="1" hidden="1">
      <c r="A171" s="83">
        <v>46204</v>
      </c>
      <c r="B171" s="84" t="s">
        <v>62</v>
      </c>
      <c r="C171" s="84" t="s">
        <v>23</v>
      </c>
      <c r="D171" s="84" t="s">
        <v>63</v>
      </c>
      <c r="E171" s="85">
        <v>202700</v>
      </c>
      <c r="F171" s="89" t="s">
        <v>111</v>
      </c>
      <c r="G171" s="90" t="s">
        <v>61</v>
      </c>
      <c r="H171" s="87">
        <f t="shared" si="27"/>
        <v>46204.0</v>
      </c>
      <c r="I171" s="88" t="str">
        <f t="shared" si="28"/>
        <v>OK</v>
      </c>
      <c r="J171" s="81"/>
      <c r="K171" s="81"/>
      <c r="L171" s="81" t="s">
        <v>57</v>
      </c>
      <c r="M171" s="81"/>
      <c r="N171" s="81"/>
      <c r="O171" s="81"/>
      <c r="P171" s="81" t="str">
        <f t="shared" si="29"/>
        <v>내역</v>
      </c>
      <c r="Q171" s="81" t="str">
        <f t="shared" si="30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1"/>
        <v>지출</v>
      </c>
      <c r="T171" s="81">
        <f t="shared" si="32"/>
        <v>-202700</v>
      </c>
      <c r="U171" s="81" t="str">
        <f t="shared" si="33"/>
        <v>날짜 미기록</v>
      </c>
      <c r="V171" s="81"/>
      <c r="Y171">
        <f t="shared" si="34"/>
        <v>202700</v>
      </c>
      <c r="Z171">
        <f>IFERROR(IF(AND(ISNUMBER(A171),A171&gt;=$B$3,A171&lt;EDATE($B$3,1)),COUNTIFS($A$64:$A$500,"&gt;"&amp;A171,$A$64:$A$500,"&lt;"&amp;EDATE($B$3,1))+COUNTIF($A$64:A171,A171),0),0)</f>
        <v>0</v>
      </c>
    </row>
    <row r="172" spans="1:25" ht="40" customHeight="1" outlineLevel="1" hidden="1">
      <c r="A172" s="83">
        <v>46204</v>
      </c>
      <c r="B172" s="84" t="s">
        <v>62</v>
      </c>
      <c r="C172" s="84" t="s">
        <v>23</v>
      </c>
      <c r="D172" s="84" t="s">
        <v>63</v>
      </c>
      <c r="E172" s="85">
        <v>731745</v>
      </c>
      <c r="F172" s="89" t="s">
        <v>84</v>
      </c>
      <c r="G172" s="90" t="s">
        <v>61</v>
      </c>
      <c r="H172" s="87">
        <f t="shared" si="27"/>
        <v>46204.0</v>
      </c>
      <c r="I172" s="88" t="str">
        <f t="shared" si="28"/>
        <v>OK</v>
      </c>
      <c r="J172" s="81"/>
      <c r="K172" s="81"/>
      <c r="L172" s="81" t="s">
        <v>57</v>
      </c>
      <c r="M172" s="81"/>
      <c r="N172" s="81"/>
      <c r="O172" s="81"/>
      <c r="P172" s="81" t="str">
        <f t="shared" si="29"/>
        <v>내역</v>
      </c>
      <c r="Q172" s="81" t="str">
        <f t="shared" si="30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1"/>
        <v>지출</v>
      </c>
      <c r="T172" s="81">
        <f t="shared" si="32"/>
        <v>-731745</v>
      </c>
      <c r="U172" s="81" t="str">
        <f t="shared" si="33"/>
        <v>날짜 미기록</v>
      </c>
      <c r="V172" s="81"/>
      <c r="Y172">
        <f t="shared" si="34"/>
        <v>731745</v>
      </c>
      <c r="Z172">
        <f>IFERROR(IF(AND(ISNUMBER(A172),A172&gt;=$B$3,A172&lt;EDATE($B$3,1)),COUNTIFS($A$64:$A$500,"&gt;"&amp;A172,$A$64:$A$500,"&lt;"&amp;EDATE($B$3,1))+COUNTIF($A$64:A172,A172),0),0)</f>
        <v>0</v>
      </c>
    </row>
    <row r="173" spans="1:25" ht="40" customHeight="1" outlineLevel="1" hidden="1">
      <c r="A173" s="83">
        <v>46204</v>
      </c>
      <c r="B173" s="84" t="s">
        <v>74</v>
      </c>
      <c r="C173" s="84" t="s">
        <v>54</v>
      </c>
      <c r="D173" s="84" t="s">
        <v>23</v>
      </c>
      <c r="E173" s="85">
        <v>15334</v>
      </c>
      <c r="F173" s="89" t="s">
        <v>93</v>
      </c>
      <c r="G173" s="90" t="s">
        <v>61</v>
      </c>
      <c r="H173" s="87">
        <f t="shared" si="27"/>
        <v>46204.0</v>
      </c>
      <c r="I173" s="88" t="str">
        <f t="shared" si="28"/>
        <v>OK</v>
      </c>
      <c r="J173" s="81"/>
      <c r="K173" s="81"/>
      <c r="L173" s="81" t="s">
        <v>57</v>
      </c>
      <c r="M173" s="81"/>
      <c r="N173" s="81"/>
      <c r="O173" s="81"/>
      <c r="P173" s="81">
        <f t="shared" si="29"/>
      </c>
      <c r="Q173" s="81">
        <f t="shared" si="30"/>
      </c>
      <c r="R173" s="81">
        <f>IF(P173="","",TEXT(H173,"yyyymm")&amp;"_"&amp;P173&amp;"_"&amp;(COUNTIFS($H$64:$H$500,H173,$P$64:$P$500,P173,$A$64:$A$500,"&gt;"&amp;A173)+COUNTIFS($H$64:H173,H173,$P$64:P173,P173,$A$64:A173,A173)))</f>
      </c>
      <c r="S173" s="81">
        <f t="shared" si="31"/>
      </c>
      <c r="T173" s="81">
        <f t="shared" si="32"/>
      </c>
      <c r="U173" s="81">
        <f t="shared" si="33"/>
      </c>
      <c r="V173" s="81"/>
      <c r="Y173">
        <f t="shared" si="34"/>
        <v>15334</v>
      </c>
      <c r="Z173">
        <f>IFERROR(IF(AND(ISNUMBER(A173),A173&gt;=$B$3,A173&lt;EDATE($B$3,1)),COUNTIFS($A$64:$A$500,"&gt;"&amp;A173,$A$64:$A$500,"&lt;"&amp;EDATE($B$3,1))+COUNTIF($A$64:A173,A173),0),0)</f>
        <v>0</v>
      </c>
    </row>
    <row r="174" spans="1:25" ht="40" customHeight="1" outlineLevel="1" hidden="1">
      <c r="A174" s="83">
        <v>46235</v>
      </c>
      <c r="B174" s="84" t="s">
        <v>59</v>
      </c>
      <c r="C174" s="84" t="s">
        <v>54</v>
      </c>
      <c r="D174" s="84" t="s">
        <v>15</v>
      </c>
      <c r="E174" s="85">
        <v>19600</v>
      </c>
      <c r="F174" s="89" t="s">
        <v>128</v>
      </c>
      <c r="G174" s="90" t="s">
        <v>61</v>
      </c>
      <c r="H174" s="87">
        <f t="shared" si="27"/>
        <v>46235.0</v>
      </c>
      <c r="I174" s="88" t="str">
        <f t="shared" si="28"/>
        <v>OK</v>
      </c>
      <c r="J174" s="81"/>
      <c r="K174" s="81"/>
      <c r="L174" s="81" t="s">
        <v>57</v>
      </c>
      <c r="M174" s="81"/>
      <c r="N174" s="81"/>
      <c r="O174" s="81"/>
      <c r="P174" s="81" t="str">
        <f t="shared" si="29"/>
        <v>내역</v>
      </c>
      <c r="Q174" s="81" t="str">
        <f t="shared" si="30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1"/>
        <v>생활비</v>
      </c>
      <c r="T174" s="81">
        <f t="shared" si="32"/>
        <v>19600</v>
      </c>
      <c r="U174" s="81" t="str">
        <f t="shared" si="33"/>
        <v>날짜 미기록</v>
      </c>
      <c r="V174" s="81"/>
      <c r="Y174">
        <f t="shared" si="34"/>
        <v>19600</v>
      </c>
      <c r="Z174">
        <f>IFERROR(IF(AND(ISNUMBER(A174),A174&gt;=$B$3,A174&lt;EDATE($B$3,1)),COUNTIFS($A$64:$A$500,"&gt;"&amp;A174,$A$64:$A$500,"&lt;"&amp;EDATE($B$3,1))+COUNTIF($A$64:A174,A174),0),0)</f>
        <v>0</v>
      </c>
    </row>
    <row r="175" spans="1:25" ht="40" customHeight="1" outlineLevel="1" hidden="1">
      <c r="A175" s="83">
        <v>46235</v>
      </c>
      <c r="B175" s="84" t="s">
        <v>62</v>
      </c>
      <c r="C175" s="84" t="s">
        <v>15</v>
      </c>
      <c r="D175" s="84" t="s">
        <v>63</v>
      </c>
      <c r="E175" s="85">
        <v>5000</v>
      </c>
      <c r="F175" s="89" t="s">
        <v>106</v>
      </c>
      <c r="G175" s="90" t="s">
        <v>61</v>
      </c>
      <c r="H175" s="87">
        <f t="shared" si="27"/>
        <v>46235.0</v>
      </c>
      <c r="I175" s="88" t="str">
        <f t="shared" si="28"/>
        <v>OK</v>
      </c>
      <c r="J175" s="81"/>
      <c r="K175" s="81"/>
      <c r="L175" s="81" t="s">
        <v>57</v>
      </c>
      <c r="M175" s="81"/>
      <c r="N175" s="81"/>
      <c r="O175" s="81"/>
      <c r="P175" s="81" t="str">
        <f t="shared" si="29"/>
        <v>내역</v>
      </c>
      <c r="Q175" s="81" t="str">
        <f t="shared" si="30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1"/>
        <v>지출</v>
      </c>
      <c r="T175" s="81">
        <f t="shared" si="32"/>
        <v>-5000</v>
      </c>
      <c r="U175" s="81" t="str">
        <f t="shared" si="33"/>
        <v>날짜 미기록</v>
      </c>
      <c r="V175" s="81"/>
      <c r="Y175">
        <f t="shared" si="34"/>
        <v>5000</v>
      </c>
      <c r="Z175">
        <f>IFERROR(IF(AND(ISNUMBER(A175),A175&gt;=$B$3,A175&lt;EDATE($B$3,1)),COUNTIFS($A$64:$A$500,"&gt;"&amp;A175,$A$64:$A$500,"&lt;"&amp;EDATE($B$3,1))+COUNTIF($A$64:A175,A175),0),0)</f>
        <v>0</v>
      </c>
    </row>
    <row r="176" spans="1:25" ht="40" customHeight="1" outlineLevel="1" hidden="1">
      <c r="A176" s="83">
        <v>46235</v>
      </c>
      <c r="B176" s="84" t="s">
        <v>62</v>
      </c>
      <c r="C176" s="84" t="s">
        <v>15</v>
      </c>
      <c r="D176" s="84" t="s">
        <v>63</v>
      </c>
      <c r="E176" s="85">
        <v>35000</v>
      </c>
      <c r="F176" s="89" t="s">
        <v>129</v>
      </c>
      <c r="G176" s="90" t="s">
        <v>61</v>
      </c>
      <c r="H176" s="87">
        <f t="shared" si="27"/>
        <v>46235.0</v>
      </c>
      <c r="I176" s="88" t="str">
        <f t="shared" si="28"/>
        <v>OK</v>
      </c>
      <c r="J176" s="81"/>
      <c r="K176" s="81"/>
      <c r="L176" s="81" t="s">
        <v>57</v>
      </c>
      <c r="M176" s="81"/>
      <c r="N176" s="81"/>
      <c r="O176" s="81"/>
      <c r="P176" s="81" t="str">
        <f t="shared" si="29"/>
        <v>내역</v>
      </c>
      <c r="Q176" s="81" t="str">
        <f t="shared" si="30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1"/>
        <v>지출</v>
      </c>
      <c r="T176" s="81">
        <f t="shared" si="32"/>
        <v>-35000</v>
      </c>
      <c r="U176" s="81" t="str">
        <f t="shared" si="33"/>
        <v>날짜 미기록</v>
      </c>
      <c r="V176" s="81"/>
      <c r="Y176">
        <f t="shared" si="34"/>
        <v>35000</v>
      </c>
      <c r="Z176">
        <f>IFERROR(IF(AND(ISNUMBER(A176),A176&gt;=$B$3,A176&lt;EDATE($B$3,1)),COUNTIFS($A$64:$A$500,"&gt;"&amp;A176,$A$64:$A$500,"&lt;"&amp;EDATE($B$3,1))+COUNTIF($A$64:A176,A176),0),0)</f>
        <v>0</v>
      </c>
    </row>
    <row r="177" spans="1:25" ht="40" customHeight="1" outlineLevel="1" hidden="1">
      <c r="A177" s="83">
        <v>46235</v>
      </c>
      <c r="B177" s="84" t="s">
        <v>62</v>
      </c>
      <c r="C177" s="84" t="s">
        <v>15</v>
      </c>
      <c r="D177" s="84" t="s">
        <v>63</v>
      </c>
      <c r="E177" s="85">
        <v>6300</v>
      </c>
      <c r="F177" s="89" t="s">
        <v>130</v>
      </c>
      <c r="G177" s="90" t="s">
        <v>61</v>
      </c>
      <c r="H177" s="87">
        <f t="shared" si="27"/>
        <v>46235.0</v>
      </c>
      <c r="I177" s="88" t="str">
        <f t="shared" si="28"/>
        <v>OK</v>
      </c>
      <c r="J177" s="81"/>
      <c r="K177" s="81"/>
      <c r="L177" s="81" t="s">
        <v>57</v>
      </c>
      <c r="M177" s="81"/>
      <c r="N177" s="81"/>
      <c r="O177" s="81"/>
      <c r="P177" s="81" t="str">
        <f t="shared" si="29"/>
        <v>내역</v>
      </c>
      <c r="Q177" s="81" t="str">
        <f t="shared" si="30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1"/>
        <v>지출</v>
      </c>
      <c r="T177" s="81">
        <f t="shared" si="32"/>
        <v>-6300</v>
      </c>
      <c r="U177" s="81" t="str">
        <f t="shared" si="33"/>
        <v>날짜 미기록</v>
      </c>
      <c r="V177" s="81"/>
      <c r="Y177">
        <f t="shared" si="34"/>
        <v>6300</v>
      </c>
      <c r="Z177">
        <f>IFERROR(IF(AND(ISNUMBER(A177),A177&gt;=$B$3,A177&lt;EDATE($B$3,1)),COUNTIFS($A$64:$A$500,"&gt;"&amp;A177,$A$64:$A$500,"&lt;"&amp;EDATE($B$3,1))+COUNTIF($A$64:A177,A177),0),0)</f>
        <v>0</v>
      </c>
    </row>
    <row r="178" spans="1:25" ht="40" customHeight="1" outlineLevel="1" hidden="1">
      <c r="A178" s="83">
        <v>46235</v>
      </c>
      <c r="B178" s="84" t="s">
        <v>62</v>
      </c>
      <c r="C178" s="84" t="s">
        <v>15</v>
      </c>
      <c r="D178" s="84" t="s">
        <v>63</v>
      </c>
      <c r="E178" s="85">
        <v>10000</v>
      </c>
      <c r="F178" s="89" t="s">
        <v>131</v>
      </c>
      <c r="G178" s="90" t="s">
        <v>61</v>
      </c>
      <c r="H178" s="87">
        <f t="shared" si="27"/>
        <v>46235.0</v>
      </c>
      <c r="I178" s="88" t="str">
        <f t="shared" si="28"/>
        <v>OK</v>
      </c>
      <c r="J178" s="81"/>
      <c r="K178" s="81"/>
      <c r="L178" s="81" t="s">
        <v>57</v>
      </c>
      <c r="M178" s="81"/>
      <c r="N178" s="81"/>
      <c r="O178" s="81"/>
      <c r="P178" s="81" t="str">
        <f t="shared" si="29"/>
        <v>내역</v>
      </c>
      <c r="Q178" s="81" t="str">
        <f t="shared" si="30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1"/>
        <v>지출</v>
      </c>
      <c r="T178" s="81">
        <f t="shared" si="32"/>
        <v>-10000</v>
      </c>
      <c r="U178" s="81" t="str">
        <f t="shared" si="33"/>
        <v>날짜 미기록</v>
      </c>
      <c r="V178" s="81"/>
      <c r="Y178">
        <f t="shared" si="34"/>
        <v>10000</v>
      </c>
      <c r="Z178">
        <f>IFERROR(IF(AND(ISNUMBER(A178),A178&gt;=$B$3,A178&lt;EDATE($B$3,1)),COUNTIFS($A$64:$A$500,"&gt;"&amp;A178,$A$64:$A$500,"&lt;"&amp;EDATE($B$3,1))+COUNTIF($A$64:A178,A178),0),0)</f>
        <v>0</v>
      </c>
    </row>
    <row r="179" spans="1:25" ht="40" customHeight="1" outlineLevel="1" hidden="1">
      <c r="A179" s="83">
        <v>46235</v>
      </c>
      <c r="B179" s="84" t="s">
        <v>62</v>
      </c>
      <c r="C179" s="84" t="s">
        <v>15</v>
      </c>
      <c r="D179" s="84" t="s">
        <v>63</v>
      </c>
      <c r="E179" s="85">
        <v>50000</v>
      </c>
      <c r="F179" s="89" t="s">
        <v>115</v>
      </c>
      <c r="G179" s="90" t="s">
        <v>61</v>
      </c>
      <c r="H179" s="87">
        <f t="shared" si="27"/>
        <v>46235.0</v>
      </c>
      <c r="I179" s="88" t="str">
        <f t="shared" si="28"/>
        <v>OK</v>
      </c>
      <c r="J179" s="81"/>
      <c r="K179" s="81"/>
      <c r="L179" s="81" t="s">
        <v>57</v>
      </c>
      <c r="M179" s="81"/>
      <c r="N179" s="81"/>
      <c r="O179" s="81"/>
      <c r="P179" s="81" t="str">
        <f t="shared" si="29"/>
        <v>내역</v>
      </c>
      <c r="Q179" s="81" t="str">
        <f t="shared" si="30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1"/>
        <v>지출</v>
      </c>
      <c r="T179" s="81">
        <f t="shared" si="32"/>
        <v>-50000</v>
      </c>
      <c r="U179" s="81" t="str">
        <f t="shared" si="33"/>
        <v>날짜 미기록</v>
      </c>
      <c r="V179" s="81"/>
      <c r="Y179">
        <f t="shared" si="34"/>
        <v>50000</v>
      </c>
      <c r="Z179">
        <f>IFERROR(IF(AND(ISNUMBER(A179),A179&gt;=$B$3,A179&lt;EDATE($B$3,1)),COUNTIFS($A$64:$A$500,"&gt;"&amp;A179,$A$64:$A$500,"&lt;"&amp;EDATE($B$3,1))+COUNTIF($A$64:A179,A179),0),0)</f>
        <v>0</v>
      </c>
    </row>
    <row r="180" spans="1:25" ht="40" customHeight="1" outlineLevel="1" hidden="1">
      <c r="A180" s="83">
        <v>46235</v>
      </c>
      <c r="B180" s="84" t="s">
        <v>62</v>
      </c>
      <c r="C180" s="84" t="s">
        <v>15</v>
      </c>
      <c r="D180" s="84" t="s">
        <v>63</v>
      </c>
      <c r="E180" s="85">
        <v>7448</v>
      </c>
      <c r="F180" s="89" t="s">
        <v>132</v>
      </c>
      <c r="G180" s="90" t="s">
        <v>61</v>
      </c>
      <c r="H180" s="87">
        <f t="shared" si="27"/>
        <v>46235.0</v>
      </c>
      <c r="I180" s="88" t="str">
        <f t="shared" si="28"/>
        <v>OK</v>
      </c>
      <c r="J180" s="81"/>
      <c r="K180" s="81"/>
      <c r="L180" s="81" t="s">
        <v>57</v>
      </c>
      <c r="M180" s="81"/>
      <c r="N180" s="81"/>
      <c r="O180" s="81"/>
      <c r="P180" s="81" t="str">
        <f t="shared" si="29"/>
        <v>내역</v>
      </c>
      <c r="Q180" s="81" t="str">
        <f t="shared" si="30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1"/>
        <v>지출</v>
      </c>
      <c r="T180" s="81">
        <f t="shared" si="32"/>
        <v>-7448</v>
      </c>
      <c r="U180" s="81" t="str">
        <f t="shared" si="33"/>
        <v>날짜 미기록</v>
      </c>
      <c r="V180" s="81"/>
      <c r="Y180">
        <f t="shared" si="34"/>
        <v>7448</v>
      </c>
      <c r="Z180">
        <f>IFERROR(IF(AND(ISNUMBER(A180),A180&gt;=$B$3,A180&lt;EDATE($B$3,1)),COUNTIFS($A$64:$A$500,"&gt;"&amp;A180,$A$64:$A$500,"&lt;"&amp;EDATE($B$3,1))+COUNTIF($A$64:A180,A180),0),0)</f>
        <v>0</v>
      </c>
    </row>
    <row r="181" spans="1:25" ht="40" customHeight="1" outlineLevel="1" hidden="1">
      <c r="A181" s="83">
        <v>46235</v>
      </c>
      <c r="B181" s="84" t="s">
        <v>62</v>
      </c>
      <c r="C181" s="84" t="s">
        <v>15</v>
      </c>
      <c r="D181" s="84" t="s">
        <v>63</v>
      </c>
      <c r="E181" s="85">
        <v>34000</v>
      </c>
      <c r="F181" s="89" t="s">
        <v>133</v>
      </c>
      <c r="G181" s="90" t="s">
        <v>61</v>
      </c>
      <c r="H181" s="87">
        <f t="shared" si="27"/>
        <v>46235.0</v>
      </c>
      <c r="I181" s="88" t="str">
        <f t="shared" si="28"/>
        <v>OK</v>
      </c>
      <c r="J181" s="81"/>
      <c r="K181" s="81"/>
      <c r="L181" s="81" t="s">
        <v>57</v>
      </c>
      <c r="M181" s="81"/>
      <c r="N181" s="81"/>
      <c r="O181" s="81"/>
      <c r="P181" s="81" t="str">
        <f t="shared" si="29"/>
        <v>내역</v>
      </c>
      <c r="Q181" s="81" t="str">
        <f t="shared" si="30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1"/>
        <v>지출</v>
      </c>
      <c r="T181" s="81">
        <f t="shared" si="32"/>
        <v>-34000</v>
      </c>
      <c r="U181" s="81" t="str">
        <f t="shared" si="33"/>
        <v>날짜 미기록</v>
      </c>
      <c r="V181" s="81"/>
      <c r="Y181">
        <f t="shared" si="34"/>
        <v>34000</v>
      </c>
      <c r="Z181">
        <f>IFERROR(IF(AND(ISNUMBER(A181),A181&gt;=$B$3,A181&lt;EDATE($B$3,1)),COUNTIFS($A$64:$A$500,"&gt;"&amp;A181,$A$64:$A$500,"&lt;"&amp;EDATE($B$3,1))+COUNTIF($A$64:A181,A181),0),0)</f>
        <v>0</v>
      </c>
    </row>
    <row r="182" spans="1:25" ht="40" customHeight="1" outlineLevel="1" hidden="1">
      <c r="A182" s="83">
        <v>46235</v>
      </c>
      <c r="B182" s="84" t="s">
        <v>62</v>
      </c>
      <c r="C182" s="84" t="s">
        <v>15</v>
      </c>
      <c r="D182" s="84" t="s">
        <v>63</v>
      </c>
      <c r="E182" s="85">
        <v>8500</v>
      </c>
      <c r="F182" s="89" t="s">
        <v>117</v>
      </c>
      <c r="G182" s="90" t="s">
        <v>61</v>
      </c>
      <c r="H182" s="87">
        <f t="shared" si="27"/>
        <v>46235.0</v>
      </c>
      <c r="I182" s="88" t="str">
        <f t="shared" si="28"/>
        <v>OK</v>
      </c>
      <c r="J182" s="81"/>
      <c r="K182" s="81"/>
      <c r="L182" s="81" t="s">
        <v>57</v>
      </c>
      <c r="M182" s="81"/>
      <c r="N182" s="81"/>
      <c r="O182" s="81"/>
      <c r="P182" s="81" t="str">
        <f t="shared" si="29"/>
        <v>내역</v>
      </c>
      <c r="Q182" s="81" t="str">
        <f t="shared" si="30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1"/>
        <v>지출</v>
      </c>
      <c r="T182" s="81">
        <f t="shared" si="32"/>
        <v>-8500</v>
      </c>
      <c r="U182" s="81" t="str">
        <f t="shared" si="33"/>
        <v>날짜 미기록</v>
      </c>
      <c r="V182" s="81"/>
      <c r="Y182">
        <f t="shared" si="34"/>
        <v>8500</v>
      </c>
      <c r="Z182">
        <f>IFERROR(IF(AND(ISNUMBER(A182),A182&gt;=$B$3,A182&lt;EDATE($B$3,1)),COUNTIFS($A$64:$A$500,"&gt;"&amp;A182,$A$64:$A$500,"&lt;"&amp;EDATE($B$3,1))+COUNTIF($A$64:A182,A182),0),0)</f>
        <v>0</v>
      </c>
    </row>
    <row r="183" spans="1:25" ht="40" customHeight="1" outlineLevel="1" hidden="1">
      <c r="A183" s="83">
        <v>46235</v>
      </c>
      <c r="B183" s="84" t="s">
        <v>62</v>
      </c>
      <c r="C183" s="84" t="s">
        <v>15</v>
      </c>
      <c r="D183" s="84" t="s">
        <v>63</v>
      </c>
      <c r="E183" s="85">
        <v>5000</v>
      </c>
      <c r="F183" s="89" t="s">
        <v>106</v>
      </c>
      <c r="G183" s="90" t="s">
        <v>61</v>
      </c>
      <c r="H183" s="87">
        <f t="shared" si="27"/>
        <v>46235.0</v>
      </c>
      <c r="I183" s="88" t="str">
        <f t="shared" si="28"/>
        <v>OK</v>
      </c>
      <c r="J183" s="81"/>
      <c r="K183" s="81"/>
      <c r="L183" s="81" t="s">
        <v>57</v>
      </c>
      <c r="M183" s="81"/>
      <c r="N183" s="81"/>
      <c r="O183" s="81"/>
      <c r="P183" s="81" t="str">
        <f t="shared" si="29"/>
        <v>내역</v>
      </c>
      <c r="Q183" s="81" t="str">
        <f t="shared" si="30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1"/>
        <v>지출</v>
      </c>
      <c r="T183" s="81">
        <f t="shared" si="32"/>
        <v>-5000</v>
      </c>
      <c r="U183" s="81" t="str">
        <f t="shared" si="33"/>
        <v>날짜 미기록</v>
      </c>
      <c r="V183" s="81"/>
      <c r="Y183">
        <f t="shared" si="34"/>
        <v>5000</v>
      </c>
      <c r="Z183">
        <f>IFERROR(IF(AND(ISNUMBER(A183),A183&gt;=$B$3,A183&lt;EDATE($B$3,1)),COUNTIFS($A$64:$A$500,"&gt;"&amp;A183,$A$64:$A$500,"&lt;"&amp;EDATE($B$3,1))+COUNTIF($A$64:A183,A183),0),0)</f>
        <v>0</v>
      </c>
    </row>
    <row r="184" spans="1:25" ht="40" customHeight="1" outlineLevel="1" hidden="1">
      <c r="A184" s="83">
        <v>46235</v>
      </c>
      <c r="B184" s="84" t="s">
        <v>74</v>
      </c>
      <c r="C184" s="84" t="s">
        <v>54</v>
      </c>
      <c r="D184" s="84" t="s">
        <v>15</v>
      </c>
      <c r="E184" s="85">
        <v>54948</v>
      </c>
      <c r="F184" s="89" t="s">
        <v>134</v>
      </c>
      <c r="G184" s="90" t="s">
        <v>61</v>
      </c>
      <c r="H184" s="87">
        <f t="shared" si="27"/>
        <v>46235.0</v>
      </c>
      <c r="I184" s="88" t="str">
        <f t="shared" si="28"/>
        <v>OK</v>
      </c>
      <c r="J184" s="81"/>
      <c r="K184" s="81"/>
      <c r="L184" s="81" t="s">
        <v>57</v>
      </c>
      <c r="M184" s="81"/>
      <c r="N184" s="81"/>
      <c r="O184" s="81"/>
      <c r="P184" s="81">
        <f t="shared" si="29"/>
      </c>
      <c r="Q184" s="81">
        <f t="shared" si="30"/>
      </c>
      <c r="R184" s="81">
        <f>IF(P184="","",TEXT(H184,"yyyymm")&amp;"_"&amp;P184&amp;"_"&amp;(COUNTIFS($H$64:$H$500,H184,$P$64:$P$500,P184,$A$64:$A$500,"&gt;"&amp;A184)+COUNTIFS($H$64:H184,H184,$P$64:P184,P184,$A$64:A184,A184)))</f>
      </c>
      <c r="S184" s="81">
        <f t="shared" si="31"/>
      </c>
      <c r="T184" s="81">
        <f t="shared" si="32"/>
      </c>
      <c r="U184" s="81">
        <f t="shared" si="33"/>
      </c>
      <c r="V184" s="81"/>
      <c r="Y184">
        <f t="shared" si="34"/>
        <v>54948</v>
      </c>
      <c r="Z184">
        <f>IFERROR(IF(AND(ISNUMBER(A184),A184&gt;=$B$3,A184&lt;EDATE($B$3,1)),COUNTIFS($A$64:$A$500,"&gt;"&amp;A184,$A$64:$A$500,"&lt;"&amp;EDATE($B$3,1))+COUNTIF($A$64:A184,A184),0),0)</f>
        <v>0</v>
      </c>
    </row>
    <row r="185" spans="1:25" ht="40" customHeight="1" outlineLevel="1" hidden="1">
      <c r="A185" s="83">
        <v>46235</v>
      </c>
      <c r="B185" s="84" t="s">
        <v>74</v>
      </c>
      <c r="C185" s="84" t="s">
        <v>54</v>
      </c>
      <c r="D185" s="84" t="s">
        <v>15</v>
      </c>
      <c r="E185" s="85">
        <v>585198</v>
      </c>
      <c r="F185" s="89" t="s">
        <v>135</v>
      </c>
      <c r="G185" s="90" t="s">
        <v>61</v>
      </c>
      <c r="H185" s="87">
        <f t="shared" si="27"/>
        <v>46235.0</v>
      </c>
      <c r="I185" s="88" t="str">
        <f t="shared" si="28"/>
        <v>OK</v>
      </c>
      <c r="J185" s="81"/>
      <c r="K185" s="81"/>
      <c r="L185" s="81" t="s">
        <v>57</v>
      </c>
      <c r="M185" s="81"/>
      <c r="N185" s="81"/>
      <c r="O185" s="81"/>
      <c r="P185" s="81">
        <f t="shared" si="29"/>
      </c>
      <c r="Q185" s="81">
        <f t="shared" si="30"/>
      </c>
      <c r="R185" s="81">
        <f>IF(P185="","",TEXT(H185,"yyyymm")&amp;"_"&amp;P185&amp;"_"&amp;(COUNTIFS($H$64:$H$500,H185,$P$64:$P$500,P185,$A$64:$A$500,"&gt;"&amp;A185)+COUNTIFS($H$64:H185,H185,$P$64:P185,P185,$A$64:A185,A185)))</f>
      </c>
      <c r="S185" s="81">
        <f t="shared" si="31"/>
      </c>
      <c r="T185" s="81">
        <f t="shared" si="32"/>
      </c>
      <c r="U185" s="81">
        <f t="shared" si="33"/>
      </c>
      <c r="V185" s="81"/>
      <c r="Y185">
        <f t="shared" si="34"/>
        <v>585198</v>
      </c>
      <c r="Z185">
        <f>IFERROR(IF(AND(ISNUMBER(A185),A185&gt;=$B$3,A185&lt;EDATE($B$3,1)),COUNTIFS($A$64:$A$500,"&gt;"&amp;A185,$A$64:$A$500,"&lt;"&amp;EDATE($B$3,1))+COUNTIF($A$64:A185,A185),0),0)</f>
        <v>0</v>
      </c>
    </row>
    <row r="186" spans="1:25" ht="40" customHeight="1" outlineLevel="1" hidden="1">
      <c r="A186" s="83">
        <v>46235</v>
      </c>
      <c r="B186" s="84" t="s">
        <v>65</v>
      </c>
      <c r="C186" s="84" t="s">
        <v>66</v>
      </c>
      <c r="D186" s="84" t="s">
        <v>16</v>
      </c>
      <c r="E186" s="85">
        <v>100000</v>
      </c>
      <c r="F186" s="89" t="s">
        <v>67</v>
      </c>
      <c r="G186" s="90" t="s">
        <v>61</v>
      </c>
      <c r="H186" s="87">
        <f t="shared" si="27"/>
        <v>46235.0</v>
      </c>
      <c r="I186" s="88" t="str">
        <f t="shared" si="28"/>
        <v>OK</v>
      </c>
      <c r="J186" s="81"/>
      <c r="K186" s="81"/>
      <c r="L186" s="81" t="s">
        <v>57</v>
      </c>
      <c r="M186" s="81"/>
      <c r="N186" s="81"/>
      <c r="O186" s="81"/>
      <c r="P186" s="81" t="str">
        <f t="shared" si="29"/>
        <v>내역</v>
      </c>
      <c r="Q186" s="81" t="str">
        <f t="shared" si="30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1"/>
        <v>명절비</v>
      </c>
      <c r="T186" s="81">
        <f t="shared" si="32"/>
        <v>100000</v>
      </c>
      <c r="U186" s="81" t="str">
        <f t="shared" si="33"/>
        <v>날짜 미기록</v>
      </c>
      <c r="V186" s="81"/>
      <c r="Y186">
        <f t="shared" si="34"/>
        <v>100000</v>
      </c>
      <c r="Z186">
        <f>IFERROR(IF(AND(ISNUMBER(A186),A186&gt;=$B$3,A186&lt;EDATE($B$3,1)),COUNTIFS($A$64:$A$500,"&gt;"&amp;A186,$A$64:$A$500,"&lt;"&amp;EDATE($B$3,1))+COUNTIF($A$64:A186,A186),0),0)</f>
        <v>0</v>
      </c>
    </row>
    <row r="187" spans="1:25" ht="40" customHeight="1" outlineLevel="1" hidden="1">
      <c r="A187" s="83">
        <v>46235</v>
      </c>
      <c r="B187" s="84" t="s">
        <v>65</v>
      </c>
      <c r="C187" s="84" t="s">
        <v>66</v>
      </c>
      <c r="D187" s="84" t="s">
        <v>18</v>
      </c>
      <c r="E187" s="85">
        <v>50000</v>
      </c>
      <c r="F187" s="89" t="s">
        <v>108</v>
      </c>
      <c r="G187" s="90" t="s">
        <v>61</v>
      </c>
      <c r="H187" s="87">
        <f t="shared" si="27"/>
        <v>46235.0</v>
      </c>
      <c r="I187" s="88" t="str">
        <f t="shared" si="28"/>
        <v>OK</v>
      </c>
      <c r="J187" s="81"/>
      <c r="K187" s="81"/>
      <c r="L187" s="81" t="s">
        <v>57</v>
      </c>
      <c r="M187" s="81"/>
      <c r="N187" s="81"/>
      <c r="O187" s="81"/>
      <c r="P187" s="81" t="str">
        <f t="shared" si="29"/>
        <v>내역</v>
      </c>
      <c r="Q187" s="81" t="str">
        <f t="shared" si="30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1"/>
        <v>경조사비</v>
      </c>
      <c r="T187" s="81">
        <f t="shared" si="32"/>
        <v>50000</v>
      </c>
      <c r="U187" s="81" t="str">
        <f t="shared" si="33"/>
        <v>날짜 미기록</v>
      </c>
      <c r="V187" s="81"/>
      <c r="Y187">
        <f t="shared" si="34"/>
        <v>50000</v>
      </c>
      <c r="Z187">
        <f>IFERROR(IF(AND(ISNUMBER(A187),A187&gt;=$B$3,A187&lt;EDATE($B$3,1)),COUNTIFS($A$64:$A$500,"&gt;"&amp;A187,$A$64:$A$500,"&lt;"&amp;EDATE($B$3,1))+COUNTIF($A$64:A187,A187),0),0)</f>
        <v>0</v>
      </c>
    </row>
    <row r="188" spans="1:25" ht="40" customHeight="1" outlineLevel="1" hidden="1">
      <c r="A188" s="83">
        <v>46235</v>
      </c>
      <c r="B188" s="84" t="s">
        <v>95</v>
      </c>
      <c r="C188" s="84" t="s">
        <v>17</v>
      </c>
      <c r="D188" s="84" t="s">
        <v>63</v>
      </c>
      <c r="E188" s="85">
        <v>300000</v>
      </c>
      <c r="F188" s="89" t="s">
        <v>136</v>
      </c>
      <c r="G188" s="90" t="s">
        <v>61</v>
      </c>
      <c r="H188" s="87">
        <f t="shared" si="27"/>
        <v>46235.0</v>
      </c>
      <c r="I188" s="88" t="str">
        <f t="shared" si="28"/>
        <v>OK</v>
      </c>
      <c r="J188" s="81"/>
      <c r="K188" s="81"/>
      <c r="L188" s="81" t="s">
        <v>57</v>
      </c>
      <c r="M188" s="81"/>
      <c r="N188" s="81"/>
      <c r="O188" s="81"/>
      <c r="P188" s="81" t="str">
        <f t="shared" si="29"/>
        <v>내역</v>
      </c>
      <c r="Q188" s="81" t="str">
        <f t="shared" si="30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1"/>
        <v>지출</v>
      </c>
      <c r="T188" s="81">
        <f t="shared" si="32"/>
        <v>-300000</v>
      </c>
      <c r="U188" s="81" t="str">
        <f t="shared" si="33"/>
        <v>날짜 미기록</v>
      </c>
      <c r="V188" s="81"/>
      <c r="Y188">
        <f t="shared" si="34"/>
        <v>300000</v>
      </c>
      <c r="Z188">
        <f>IFERROR(IF(AND(ISNUMBER(A188),A188&gt;=$B$3,A188&lt;EDATE($B$3,1)),COUNTIFS($A$64:$A$500,"&gt;"&amp;A188,$A$64:$A$500,"&lt;"&amp;EDATE($B$3,1))+COUNTIF($A$64:A188,A188),0),0)</f>
        <v>0</v>
      </c>
    </row>
    <row r="189" spans="1:25" ht="40" customHeight="1" outlineLevel="1" hidden="1">
      <c r="A189" s="83">
        <v>46235</v>
      </c>
      <c r="B189" s="84" t="s">
        <v>65</v>
      </c>
      <c r="C189" s="84" t="s">
        <v>66</v>
      </c>
      <c r="D189" s="84" t="s">
        <v>19</v>
      </c>
      <c r="E189" s="85">
        <v>100000</v>
      </c>
      <c r="F189" s="89" t="s">
        <v>69</v>
      </c>
      <c r="G189" s="90" t="s">
        <v>61</v>
      </c>
      <c r="H189" s="87">
        <f t="shared" si="27"/>
        <v>46235.0</v>
      </c>
      <c r="I189" s="88" t="str">
        <f t="shared" si="28"/>
        <v>OK</v>
      </c>
      <c r="J189" s="81"/>
      <c r="K189" s="81"/>
      <c r="L189" s="81" t="s">
        <v>57</v>
      </c>
      <c r="M189" s="81"/>
      <c r="N189" s="81"/>
      <c r="O189" s="81"/>
      <c r="P189" s="81" t="str">
        <f t="shared" si="29"/>
        <v>내역</v>
      </c>
      <c r="Q189" s="81" t="str">
        <f t="shared" si="30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1"/>
        <v>상환비</v>
      </c>
      <c r="T189" s="81">
        <f t="shared" si="32"/>
        <v>100000</v>
      </c>
      <c r="U189" s="81" t="str">
        <f t="shared" si="33"/>
        <v>날짜 미기록</v>
      </c>
      <c r="V189" s="81"/>
      <c r="Y189">
        <f t="shared" si="34"/>
        <v>100000</v>
      </c>
      <c r="Z189">
        <f>IFERROR(IF(AND(ISNUMBER(A189),A189&gt;=$B$3,A189&lt;EDATE($B$3,1)),COUNTIFS($A$64:$A$500,"&gt;"&amp;A189,$A$64:$A$500,"&lt;"&amp;EDATE($B$3,1))+COUNTIF($A$64:A189,A189),0),0)</f>
        <v>0</v>
      </c>
    </row>
    <row r="190" spans="1:25" ht="40" customHeight="1" outlineLevel="1" hidden="1">
      <c r="A190" s="83">
        <v>46235</v>
      </c>
      <c r="B190" s="84" t="s">
        <v>59</v>
      </c>
      <c r="C190" s="84" t="s">
        <v>54</v>
      </c>
      <c r="D190" s="84" t="s">
        <v>22</v>
      </c>
      <c r="E190" s="85">
        <v>5877</v>
      </c>
      <c r="F190" s="89" t="s">
        <v>78</v>
      </c>
      <c r="G190" s="90" t="s">
        <v>61</v>
      </c>
      <c r="H190" s="87">
        <f t="shared" si="27"/>
        <v>46235.0</v>
      </c>
      <c r="I190" s="88" t="str">
        <f t="shared" si="28"/>
        <v>OK</v>
      </c>
      <c r="J190" s="81"/>
      <c r="K190" s="81"/>
      <c r="L190" s="81" t="s">
        <v>57</v>
      </c>
      <c r="M190" s="81"/>
      <c r="N190" s="81"/>
      <c r="O190" s="81"/>
      <c r="P190" s="81" t="str">
        <f t="shared" si="29"/>
        <v>내역</v>
      </c>
      <c r="Q190" s="81" t="str">
        <f t="shared" si="30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1"/>
        <v>금융</v>
      </c>
      <c r="T190" s="81">
        <f t="shared" si="32"/>
        <v>5877</v>
      </c>
      <c r="U190" s="81" t="str">
        <f t="shared" si="33"/>
        <v>날짜 미기록</v>
      </c>
      <c r="V190" s="81"/>
      <c r="Y190">
        <f t="shared" si="34"/>
        <v>5877</v>
      </c>
      <c r="Z190">
        <f>IFERROR(IF(AND(ISNUMBER(A190),A190&gt;=$B$3,A190&lt;EDATE($B$3,1)),COUNTIFS($A$64:$A$500,"&gt;"&amp;A190,$A$64:$A$500,"&lt;"&amp;EDATE($B$3,1))+COUNTIF($A$64:A190,A190),0),0)</f>
        <v>0</v>
      </c>
    </row>
    <row r="191" spans="1:25" ht="40" customHeight="1" outlineLevel="1" hidden="1">
      <c r="A191" s="83">
        <v>46235</v>
      </c>
      <c r="B191" s="84" t="s">
        <v>59</v>
      </c>
      <c r="C191" s="84" t="s">
        <v>54</v>
      </c>
      <c r="D191" s="84" t="s">
        <v>22</v>
      </c>
      <c r="E191" s="85">
        <v>2595</v>
      </c>
      <c r="F191" s="89" t="s">
        <v>78</v>
      </c>
      <c r="G191" s="90" t="s">
        <v>61</v>
      </c>
      <c r="H191" s="87">
        <f t="shared" si="27"/>
        <v>46235.0</v>
      </c>
      <c r="I191" s="88" t="str">
        <f t="shared" si="28"/>
        <v>OK</v>
      </c>
      <c r="J191" s="81"/>
      <c r="K191" s="81"/>
      <c r="L191" s="81" t="s">
        <v>57</v>
      </c>
      <c r="M191" s="81"/>
      <c r="N191" s="81"/>
      <c r="O191" s="81"/>
      <c r="P191" s="81" t="str">
        <f t="shared" si="29"/>
        <v>내역</v>
      </c>
      <c r="Q191" s="81" t="str">
        <f t="shared" si="30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1"/>
        <v>금융</v>
      </c>
      <c r="T191" s="81">
        <f t="shared" si="32"/>
        <v>2595</v>
      </c>
      <c r="U191" s="81" t="str">
        <f t="shared" si="33"/>
        <v>날짜 미기록</v>
      </c>
      <c r="V191" s="81"/>
      <c r="Y191">
        <f t="shared" si="34"/>
        <v>2595</v>
      </c>
      <c r="Z191">
        <f>IFERROR(IF(AND(ISNUMBER(A191),A191&gt;=$B$3,A191&lt;EDATE($B$3,1)),COUNTIFS($A$64:$A$500,"&gt;"&amp;A191,$A$64:$A$500,"&lt;"&amp;EDATE($B$3,1))+COUNTIF($A$64:A191,A191),0),0)</f>
        <v>0</v>
      </c>
    </row>
    <row r="192" spans="1:25" ht="40" customHeight="1" outlineLevel="1" hidden="1">
      <c r="A192" s="83">
        <v>46235</v>
      </c>
      <c r="B192" s="84" t="s">
        <v>59</v>
      </c>
      <c r="C192" s="84" t="s">
        <v>54</v>
      </c>
      <c r="D192" s="84" t="s">
        <v>22</v>
      </c>
      <c r="E192" s="85">
        <v>4467</v>
      </c>
      <c r="F192" s="89" t="s">
        <v>78</v>
      </c>
      <c r="G192" s="90" t="s">
        <v>61</v>
      </c>
      <c r="H192" s="87">
        <f t="shared" ref="H192:H255" si="35">IF(A192="","",DATE(YEAR(A192),MONTH(A192),1))</f>
        <v>46235.0</v>
      </c>
      <c r="I192" s="88" t="str">
        <f t="shared" ref="I192:I255" si="36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57</v>
      </c>
      <c r="M192" s="81"/>
      <c r="N192" s="81"/>
      <c r="O192" s="81"/>
      <c r="P192" s="81" t="str">
        <f t="shared" ref="P192:P255" si="37">IF(Q192="","",IF(Q192="이체","이체","내역"))</f>
        <v>내역</v>
      </c>
      <c r="Q192" s="81" t="str">
        <f t="shared" ref="Q192:Q255" si="38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39">IF(Q192="","",D192)</f>
        <v>금융</v>
      </c>
      <c r="T192" s="81">
        <f t="shared" ref="T192:T255" si="40">IF(Q192="","",IF(Q192="이체",E192,IF(D192=Q192,E192,-E192)))</f>
        <v>4467</v>
      </c>
      <c r="U192" s="81" t="str">
        <f t="shared" ref="U192:U255" si="41">IF(Q192="","",IF(ISNUMBER(SEARCH("날짜 미기록",G192)),"날짜 미기록",A192))</f>
        <v>날짜 미기록</v>
      </c>
      <c r="V192" s="81"/>
      <c r="Y192">
        <f t="shared" ref="Y192:Y255" si="42">IF(A192="","",IF(I192="OK",E192,0))</f>
        <v>4467</v>
      </c>
      <c r="Z192">
        <f>IFERROR(IF(AND(ISNUMBER(A192),A192&gt;=$B$3,A192&lt;EDATE($B$3,1)),COUNTIFS($A$64:$A$500,"&gt;"&amp;A192,$A$64:$A$500,"&lt;"&amp;EDATE($B$3,1))+COUNTIF($A$64:A192,A192),0),0)</f>
        <v>0</v>
      </c>
    </row>
    <row r="193" spans="1:25" ht="40" customHeight="1" outlineLevel="1" hidden="1">
      <c r="A193" s="83">
        <v>46235</v>
      </c>
      <c r="B193" s="84" t="s">
        <v>62</v>
      </c>
      <c r="C193" s="84" t="s">
        <v>22</v>
      </c>
      <c r="D193" s="84" t="s">
        <v>63</v>
      </c>
      <c r="E193" s="85">
        <v>6308</v>
      </c>
      <c r="F193" s="89" t="s">
        <v>137</v>
      </c>
      <c r="G193" s="90" t="s">
        <v>61</v>
      </c>
      <c r="H193" s="87">
        <f t="shared" si="35"/>
        <v>46235.0</v>
      </c>
      <c r="I193" s="88" t="str">
        <f t="shared" si="36"/>
        <v>OK</v>
      </c>
      <c r="J193" s="81"/>
      <c r="K193" s="81"/>
      <c r="L193" s="81" t="s">
        <v>57</v>
      </c>
      <c r="M193" s="81"/>
      <c r="N193" s="81"/>
      <c r="O193" s="81"/>
      <c r="P193" s="81" t="str">
        <f t="shared" si="37"/>
        <v>내역</v>
      </c>
      <c r="Q193" s="81" t="str">
        <f t="shared" si="38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39"/>
        <v>지출</v>
      </c>
      <c r="T193" s="81">
        <f t="shared" si="40"/>
        <v>-6308</v>
      </c>
      <c r="U193" s="81" t="str">
        <f t="shared" si="41"/>
        <v>날짜 미기록</v>
      </c>
      <c r="V193" s="81"/>
      <c r="Y193">
        <f t="shared" si="42"/>
        <v>6308</v>
      </c>
      <c r="Z193">
        <f>IFERROR(IF(AND(ISNUMBER(A193),A193&gt;=$B$3,A193&lt;EDATE($B$3,1)),COUNTIFS($A$64:$A$500,"&gt;"&amp;A193,$A$64:$A$500,"&lt;"&amp;EDATE($B$3,1))+COUNTIF($A$64:A193,A193),0),0)</f>
        <v>0</v>
      </c>
    </row>
    <row r="194" spans="1:25" ht="40" customHeight="1" outlineLevel="1" hidden="1">
      <c r="A194" s="83">
        <v>46235</v>
      </c>
      <c r="B194" s="84" t="s">
        <v>74</v>
      </c>
      <c r="C194" s="84" t="s">
        <v>22</v>
      </c>
      <c r="D194" s="84" t="s">
        <v>54</v>
      </c>
      <c r="E194" s="85">
        <v>34489</v>
      </c>
      <c r="F194" s="89" t="s">
        <v>92</v>
      </c>
      <c r="G194" s="90" t="s">
        <v>61</v>
      </c>
      <c r="H194" s="87">
        <f t="shared" si="35"/>
        <v>46235.0</v>
      </c>
      <c r="I194" s="88" t="str">
        <f t="shared" si="36"/>
        <v>OK</v>
      </c>
      <c r="J194" s="81"/>
      <c r="K194" s="81"/>
      <c r="L194" s="81" t="s">
        <v>57</v>
      </c>
      <c r="M194" s="81"/>
      <c r="N194" s="81"/>
      <c r="O194" s="81"/>
      <c r="P194" s="81" t="str">
        <f t="shared" si="37"/>
        <v>이체</v>
      </c>
      <c r="Q194" s="81" t="str">
        <f t="shared" si="38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39"/>
        <v>외부</v>
      </c>
      <c r="T194" s="81">
        <f t="shared" si="40"/>
        <v>34489</v>
      </c>
      <c r="U194" s="81" t="str">
        <f t="shared" si="41"/>
        <v>날짜 미기록</v>
      </c>
      <c r="V194" s="81"/>
      <c r="Y194">
        <f t="shared" si="42"/>
        <v>34489</v>
      </c>
      <c r="Z194">
        <f>IFERROR(IF(AND(ISNUMBER(A194),A194&gt;=$B$3,A194&lt;EDATE($B$3,1)),COUNTIFS($A$64:$A$500,"&gt;"&amp;A194,$A$64:$A$500,"&lt;"&amp;EDATE($B$3,1))+COUNTIF($A$64:A194,A194),0),0)</f>
        <v>0</v>
      </c>
    </row>
    <row r="195" spans="1:25" ht="40" customHeight="1" outlineLevel="1" hidden="1">
      <c r="A195" s="83">
        <v>46235</v>
      </c>
      <c r="B195" s="84" t="s">
        <v>59</v>
      </c>
      <c r="C195" s="84" t="s">
        <v>54</v>
      </c>
      <c r="D195" s="84" t="s">
        <v>23</v>
      </c>
      <c r="E195" s="85">
        <v>814000</v>
      </c>
      <c r="F195" s="89" t="s">
        <v>80</v>
      </c>
      <c r="G195" s="90" t="s">
        <v>61</v>
      </c>
      <c r="H195" s="87">
        <f t="shared" si="35"/>
        <v>46235.0</v>
      </c>
      <c r="I195" s="88" t="str">
        <f t="shared" si="36"/>
        <v>OK</v>
      </c>
      <c r="J195" s="81"/>
      <c r="K195" s="81"/>
      <c r="L195" s="81" t="s">
        <v>57</v>
      </c>
      <c r="M195" s="81"/>
      <c r="N195" s="81"/>
      <c r="O195" s="81"/>
      <c r="P195" s="81" t="str">
        <f t="shared" si="37"/>
        <v>내역</v>
      </c>
      <c r="Q195" s="81" t="str">
        <f t="shared" si="38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39"/>
        <v>임시보관</v>
      </c>
      <c r="T195" s="81">
        <f t="shared" si="40"/>
        <v>814000</v>
      </c>
      <c r="U195" s="81" t="str">
        <f t="shared" si="41"/>
        <v>날짜 미기록</v>
      </c>
      <c r="V195" s="81"/>
      <c r="Y195">
        <f t="shared" si="42"/>
        <v>814000</v>
      </c>
      <c r="Z195">
        <f>IFERROR(IF(AND(ISNUMBER(A195),A195&gt;=$B$3,A195&lt;EDATE($B$3,1)),COUNTIFS($A$64:$A$500,"&gt;"&amp;A195,$A$64:$A$500,"&lt;"&amp;EDATE($B$3,1))+COUNTIF($A$64:A195,A195),0),0)</f>
        <v>0</v>
      </c>
    </row>
    <row r="196" spans="1:25" ht="40" customHeight="1" outlineLevel="1" hidden="1">
      <c r="A196" s="83">
        <v>46235</v>
      </c>
      <c r="B196" s="84" t="s">
        <v>59</v>
      </c>
      <c r="C196" s="84" t="s">
        <v>54</v>
      </c>
      <c r="D196" s="84" t="s">
        <v>23</v>
      </c>
      <c r="E196" s="85">
        <v>300000</v>
      </c>
      <c r="F196" s="89" t="s">
        <v>138</v>
      </c>
      <c r="G196" s="90" t="s">
        <v>61</v>
      </c>
      <c r="H196" s="87">
        <f t="shared" si="35"/>
        <v>46235.0</v>
      </c>
      <c r="I196" s="88" t="str">
        <f t="shared" si="36"/>
        <v>OK</v>
      </c>
      <c r="J196" s="81"/>
      <c r="K196" s="81"/>
      <c r="L196" s="81" t="s">
        <v>57</v>
      </c>
      <c r="M196" s="81"/>
      <c r="N196" s="81"/>
      <c r="O196" s="81"/>
      <c r="P196" s="81" t="str">
        <f t="shared" si="37"/>
        <v>내역</v>
      </c>
      <c r="Q196" s="81" t="str">
        <f t="shared" si="38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39"/>
        <v>임시보관</v>
      </c>
      <c r="T196" s="81">
        <f t="shared" si="40"/>
        <v>300000</v>
      </c>
      <c r="U196" s="81" t="str">
        <f t="shared" si="41"/>
        <v>날짜 미기록</v>
      </c>
      <c r="V196" s="81"/>
      <c r="Y196">
        <f t="shared" si="42"/>
        <v>300000</v>
      </c>
      <c r="Z196">
        <f>IFERROR(IF(AND(ISNUMBER(A196),A196&gt;=$B$3,A196&lt;EDATE($B$3,1)),COUNTIFS($A$64:$A$500,"&gt;"&amp;A196,$A$64:$A$500,"&lt;"&amp;EDATE($B$3,1))+COUNTIF($A$64:A196,A196),0),0)</f>
        <v>0</v>
      </c>
    </row>
    <row r="197" spans="1:25" ht="40" customHeight="1" outlineLevel="1" hidden="1">
      <c r="A197" s="83">
        <v>46235</v>
      </c>
      <c r="B197" s="84" t="s">
        <v>59</v>
      </c>
      <c r="C197" s="84" t="s">
        <v>54</v>
      </c>
      <c r="D197" s="84" t="s">
        <v>23</v>
      </c>
      <c r="E197" s="85">
        <v>2017599</v>
      </c>
      <c r="F197" s="89" t="s">
        <v>139</v>
      </c>
      <c r="G197" s="90" t="s">
        <v>61</v>
      </c>
      <c r="H197" s="87">
        <f t="shared" si="35"/>
        <v>46235.0</v>
      </c>
      <c r="I197" s="88" t="str">
        <f t="shared" si="36"/>
        <v>OK</v>
      </c>
      <c r="J197" s="81"/>
      <c r="K197" s="81"/>
      <c r="L197" s="81" t="s">
        <v>57</v>
      </c>
      <c r="M197" s="81"/>
      <c r="N197" s="81"/>
      <c r="O197" s="81"/>
      <c r="P197" s="81" t="str">
        <f t="shared" si="37"/>
        <v>내역</v>
      </c>
      <c r="Q197" s="81" t="str">
        <f t="shared" si="38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39"/>
        <v>임시보관</v>
      </c>
      <c r="T197" s="81">
        <f t="shared" si="40"/>
        <v>2017599</v>
      </c>
      <c r="U197" s="81" t="str">
        <f t="shared" si="41"/>
        <v>날짜 미기록</v>
      </c>
      <c r="V197" s="81"/>
      <c r="Y197">
        <f t="shared" si="42"/>
        <v>2017599</v>
      </c>
      <c r="Z197">
        <f>IFERROR(IF(AND(ISNUMBER(A197),A197&gt;=$B$3,A197&lt;EDATE($B$3,1)),COUNTIFS($A$64:$A$500,"&gt;"&amp;A197,$A$64:$A$500,"&lt;"&amp;EDATE($B$3,1))+COUNTIF($A$64:A197,A197),0),0)</f>
        <v>0</v>
      </c>
    </row>
    <row r="198" spans="1:25" ht="40" customHeight="1" outlineLevel="1" hidden="1">
      <c r="A198" s="83">
        <v>46235</v>
      </c>
      <c r="B198" s="84" t="s">
        <v>62</v>
      </c>
      <c r="C198" s="84" t="s">
        <v>23</v>
      </c>
      <c r="D198" s="84" t="s">
        <v>63</v>
      </c>
      <c r="E198" s="85">
        <v>93200</v>
      </c>
      <c r="F198" s="89" t="s">
        <v>140</v>
      </c>
      <c r="G198" s="90" t="s">
        <v>61</v>
      </c>
      <c r="H198" s="87">
        <f t="shared" si="35"/>
        <v>46235.0</v>
      </c>
      <c r="I198" s="88" t="str">
        <f t="shared" si="36"/>
        <v>OK</v>
      </c>
      <c r="J198" s="81"/>
      <c r="K198" s="81"/>
      <c r="L198" s="81" t="s">
        <v>57</v>
      </c>
      <c r="M198" s="81"/>
      <c r="N198" s="81"/>
      <c r="O198" s="81"/>
      <c r="P198" s="81" t="str">
        <f t="shared" si="37"/>
        <v>내역</v>
      </c>
      <c r="Q198" s="81" t="str">
        <f t="shared" si="38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39"/>
        <v>지출</v>
      </c>
      <c r="T198" s="81">
        <f t="shared" si="40"/>
        <v>-93200</v>
      </c>
      <c r="U198" s="81" t="str">
        <f t="shared" si="41"/>
        <v>날짜 미기록</v>
      </c>
      <c r="V198" s="81"/>
      <c r="Y198">
        <f t="shared" si="42"/>
        <v>93200</v>
      </c>
      <c r="Z198">
        <f>IFERROR(IF(AND(ISNUMBER(A198),A198&gt;=$B$3,A198&lt;EDATE($B$3,1)),COUNTIFS($A$64:$A$500,"&gt;"&amp;A198,$A$64:$A$500,"&lt;"&amp;EDATE($B$3,1))+COUNTIF($A$64:A198,A198),0),0)</f>
        <v>0</v>
      </c>
    </row>
    <row r="199" spans="1:25" ht="40" customHeight="1" outlineLevel="1" hidden="1">
      <c r="A199" s="83">
        <v>46235</v>
      </c>
      <c r="B199" s="84" t="s">
        <v>62</v>
      </c>
      <c r="C199" s="84" t="s">
        <v>23</v>
      </c>
      <c r="D199" s="84" t="s">
        <v>63</v>
      </c>
      <c r="E199" s="85">
        <v>538565</v>
      </c>
      <c r="F199" s="89" t="s">
        <v>85</v>
      </c>
      <c r="G199" s="90" t="s">
        <v>61</v>
      </c>
      <c r="H199" s="87">
        <f t="shared" si="35"/>
        <v>46235.0</v>
      </c>
      <c r="I199" s="88" t="str">
        <f t="shared" si="36"/>
        <v>OK</v>
      </c>
      <c r="J199" s="81"/>
      <c r="K199" s="81"/>
      <c r="L199" s="81" t="s">
        <v>57</v>
      </c>
      <c r="M199" s="81"/>
      <c r="N199" s="81"/>
      <c r="O199" s="81"/>
      <c r="P199" s="81" t="str">
        <f t="shared" si="37"/>
        <v>내역</v>
      </c>
      <c r="Q199" s="81" t="str">
        <f t="shared" si="38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39"/>
        <v>지출</v>
      </c>
      <c r="T199" s="81">
        <f t="shared" si="40"/>
        <v>-538565</v>
      </c>
      <c r="U199" s="81" t="str">
        <f t="shared" si="41"/>
        <v>날짜 미기록</v>
      </c>
      <c r="V199" s="81"/>
      <c r="Y199">
        <f t="shared" si="42"/>
        <v>538565</v>
      </c>
      <c r="Z199">
        <f>IFERROR(IF(AND(ISNUMBER(A199),A199&gt;=$B$3,A199&lt;EDATE($B$3,1)),COUNTIFS($A$64:$A$500,"&gt;"&amp;A199,$A$64:$A$500,"&lt;"&amp;EDATE($B$3,1))+COUNTIF($A$64:A199,A199),0),0)</f>
        <v>0</v>
      </c>
    </row>
    <row r="200" spans="1:25" ht="40" customHeight="1" outlineLevel="1" hidden="1">
      <c r="A200" s="83">
        <v>46235</v>
      </c>
      <c r="B200" s="84" t="s">
        <v>62</v>
      </c>
      <c r="C200" s="84" t="s">
        <v>23</v>
      </c>
      <c r="D200" s="84" t="s">
        <v>63</v>
      </c>
      <c r="E200" s="85">
        <v>30000</v>
      </c>
      <c r="F200" s="89" t="s">
        <v>141</v>
      </c>
      <c r="G200" s="90" t="s">
        <v>61</v>
      </c>
      <c r="H200" s="87">
        <f t="shared" si="35"/>
        <v>46235.0</v>
      </c>
      <c r="I200" s="88" t="str">
        <f t="shared" si="36"/>
        <v>OK</v>
      </c>
      <c r="J200" s="81"/>
      <c r="K200" s="81"/>
      <c r="L200" s="81" t="s">
        <v>57</v>
      </c>
      <c r="M200" s="81"/>
      <c r="N200" s="81"/>
      <c r="O200" s="81"/>
      <c r="P200" s="81" t="str">
        <f t="shared" si="37"/>
        <v>내역</v>
      </c>
      <c r="Q200" s="81" t="str">
        <f t="shared" si="38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39"/>
        <v>지출</v>
      </c>
      <c r="T200" s="81">
        <f t="shared" si="40"/>
        <v>-30000</v>
      </c>
      <c r="U200" s="81" t="str">
        <f t="shared" si="41"/>
        <v>날짜 미기록</v>
      </c>
      <c r="V200" s="81"/>
      <c r="Y200">
        <f t="shared" si="42"/>
        <v>30000</v>
      </c>
      <c r="Z200">
        <f>IFERROR(IF(AND(ISNUMBER(A200),A200&gt;=$B$3,A200&lt;EDATE($B$3,1)),COUNTIFS($A$64:$A$500,"&gt;"&amp;A200,$A$64:$A$500,"&lt;"&amp;EDATE($B$3,1))+COUNTIF($A$64:A200,A200),0),0)</f>
        <v>0</v>
      </c>
    </row>
    <row r="201" spans="1:25" ht="40" customHeight="1" outlineLevel="1" hidden="1">
      <c r="A201" s="83">
        <v>46235</v>
      </c>
      <c r="B201" s="84" t="s">
        <v>62</v>
      </c>
      <c r="C201" s="84" t="s">
        <v>23</v>
      </c>
      <c r="D201" s="84" t="s">
        <v>63</v>
      </c>
      <c r="E201" s="85">
        <v>383984</v>
      </c>
      <c r="F201" s="89" t="s">
        <v>111</v>
      </c>
      <c r="G201" s="90" t="s">
        <v>61</v>
      </c>
      <c r="H201" s="87">
        <f t="shared" si="35"/>
        <v>46235.0</v>
      </c>
      <c r="I201" s="88" t="str">
        <f t="shared" si="36"/>
        <v>OK</v>
      </c>
      <c r="J201" s="81"/>
      <c r="K201" s="81"/>
      <c r="L201" s="81" t="s">
        <v>57</v>
      </c>
      <c r="M201" s="81"/>
      <c r="N201" s="81"/>
      <c r="O201" s="81"/>
      <c r="P201" s="81" t="str">
        <f t="shared" si="37"/>
        <v>내역</v>
      </c>
      <c r="Q201" s="81" t="str">
        <f t="shared" si="38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39"/>
        <v>지출</v>
      </c>
      <c r="T201" s="81">
        <f t="shared" si="40"/>
        <v>-383984</v>
      </c>
      <c r="U201" s="81" t="str">
        <f t="shared" si="41"/>
        <v>날짜 미기록</v>
      </c>
      <c r="V201" s="81"/>
      <c r="Y201">
        <f t="shared" si="42"/>
        <v>383984</v>
      </c>
      <c r="Z201">
        <f>IFERROR(IF(AND(ISNUMBER(A201),A201&gt;=$B$3,A201&lt;EDATE($B$3,1)),COUNTIFS($A$64:$A$500,"&gt;"&amp;A201,$A$64:$A$500,"&lt;"&amp;EDATE($B$3,1))+COUNTIF($A$64:A201,A201),0),0)</f>
        <v>0</v>
      </c>
    </row>
    <row r="202" spans="1:25" ht="40" customHeight="1" outlineLevel="1" hidden="1">
      <c r="A202" s="83">
        <v>46235</v>
      </c>
      <c r="B202" s="84" t="s">
        <v>62</v>
      </c>
      <c r="C202" s="84" t="s">
        <v>23</v>
      </c>
      <c r="D202" s="84" t="s">
        <v>63</v>
      </c>
      <c r="E202" s="85">
        <v>387960</v>
      </c>
      <c r="F202" s="89" t="s">
        <v>142</v>
      </c>
      <c r="G202" s="90" t="s">
        <v>61</v>
      </c>
      <c r="H202" s="87">
        <f t="shared" si="35"/>
        <v>46235.0</v>
      </c>
      <c r="I202" s="88" t="str">
        <f t="shared" si="36"/>
        <v>OK</v>
      </c>
      <c r="J202" s="81"/>
      <c r="K202" s="81"/>
      <c r="L202" s="81" t="s">
        <v>57</v>
      </c>
      <c r="M202" s="81"/>
      <c r="N202" s="81"/>
      <c r="O202" s="81"/>
      <c r="P202" s="81" t="str">
        <f t="shared" si="37"/>
        <v>내역</v>
      </c>
      <c r="Q202" s="81" t="str">
        <f t="shared" si="38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39"/>
        <v>지출</v>
      </c>
      <c r="T202" s="81">
        <f t="shared" si="40"/>
        <v>-387960</v>
      </c>
      <c r="U202" s="81" t="str">
        <f t="shared" si="41"/>
        <v>날짜 미기록</v>
      </c>
      <c r="V202" s="81"/>
      <c r="Y202">
        <f t="shared" si="42"/>
        <v>387960</v>
      </c>
      <c r="Z202">
        <f>IFERROR(IF(AND(ISNUMBER(A202),A202&gt;=$B$3,A202&lt;EDATE($B$3,1)),COUNTIFS($A$64:$A$500,"&gt;"&amp;A202,$A$64:$A$500,"&lt;"&amp;EDATE($B$3,1))+COUNTIF($A$64:A202,A202),0),0)</f>
        <v>0</v>
      </c>
    </row>
    <row r="203" spans="1:25" ht="40" customHeight="1" outlineLevel="1" hidden="1">
      <c r="A203" s="83">
        <v>46235</v>
      </c>
      <c r="B203" s="84" t="s">
        <v>62</v>
      </c>
      <c r="C203" s="84" t="s">
        <v>23</v>
      </c>
      <c r="D203" s="84" t="s">
        <v>63</v>
      </c>
      <c r="E203" s="85">
        <v>550361</v>
      </c>
      <c r="F203" s="89" t="s">
        <v>143</v>
      </c>
      <c r="G203" s="90" t="s">
        <v>61</v>
      </c>
      <c r="H203" s="87">
        <f t="shared" si="35"/>
        <v>46235.0</v>
      </c>
      <c r="I203" s="88" t="str">
        <f t="shared" si="36"/>
        <v>OK</v>
      </c>
      <c r="J203" s="81"/>
      <c r="K203" s="81"/>
      <c r="L203" s="81" t="s">
        <v>57</v>
      </c>
      <c r="M203" s="81"/>
      <c r="N203" s="81"/>
      <c r="O203" s="81"/>
      <c r="P203" s="81" t="str">
        <f t="shared" si="37"/>
        <v>내역</v>
      </c>
      <c r="Q203" s="81" t="str">
        <f t="shared" si="38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39"/>
        <v>지출</v>
      </c>
      <c r="T203" s="81">
        <f t="shared" si="40"/>
        <v>-550361</v>
      </c>
      <c r="U203" s="81" t="str">
        <f t="shared" si="41"/>
        <v>날짜 미기록</v>
      </c>
      <c r="V203" s="81"/>
      <c r="Y203">
        <f t="shared" si="42"/>
        <v>550361</v>
      </c>
      <c r="Z203">
        <f>IFERROR(IF(AND(ISNUMBER(A203),A203&gt;=$B$3,A203&lt;EDATE($B$3,1)),COUNTIFS($A$64:$A$500,"&gt;"&amp;A203,$A$64:$A$500,"&lt;"&amp;EDATE($B$3,1))+COUNTIF($A$64:A203,A203),0),0)</f>
        <v>0</v>
      </c>
    </row>
    <row r="204" spans="1:25" ht="40" customHeight="1" outlineLevel="1" hidden="1">
      <c r="A204" s="83">
        <v>46235</v>
      </c>
      <c r="B204" s="84" t="s">
        <v>62</v>
      </c>
      <c r="C204" s="84" t="s">
        <v>23</v>
      </c>
      <c r="D204" s="84" t="s">
        <v>63</v>
      </c>
      <c r="E204" s="85">
        <v>70000</v>
      </c>
      <c r="F204" s="89" t="s">
        <v>144</v>
      </c>
      <c r="G204" s="90" t="s">
        <v>145</v>
      </c>
      <c r="H204" s="87">
        <f t="shared" si="35"/>
        <v>46235.0</v>
      </c>
      <c r="I204" s="88" t="str">
        <f t="shared" si="36"/>
        <v>OK</v>
      </c>
      <c r="J204" s="81"/>
      <c r="K204" s="81"/>
      <c r="L204" s="81" t="s">
        <v>57</v>
      </c>
      <c r="M204" s="81"/>
      <c r="N204" s="81"/>
      <c r="O204" s="81"/>
      <c r="P204" s="81" t="str">
        <f t="shared" si="37"/>
        <v>내역</v>
      </c>
      <c r="Q204" s="81" t="str">
        <f t="shared" si="38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39"/>
        <v>지출</v>
      </c>
      <c r="T204" s="81">
        <f t="shared" si="40"/>
        <v>-70000</v>
      </c>
      <c r="U204" s="81" t="str">
        <f t="shared" si="41"/>
        <v>날짜 미기록</v>
      </c>
      <c r="V204" s="81"/>
      <c r="Y204">
        <f t="shared" si="42"/>
        <v>70000</v>
      </c>
      <c r="Z204">
        <f>IFERROR(IF(AND(ISNUMBER(A204),A204&gt;=$B$3,A204&lt;EDATE($B$3,1)),COUNTIFS($A$64:$A$500,"&gt;"&amp;A204,$A$64:$A$500,"&lt;"&amp;EDATE($B$3,1))+COUNTIF($A$64:A204,A204),0),0)</f>
        <v>0</v>
      </c>
    </row>
    <row r="205" spans="1:25" ht="40" customHeight="1" outlineLevel="1" hidden="1">
      <c r="A205" s="83">
        <v>46235</v>
      </c>
      <c r="B205" s="84" t="s">
        <v>62</v>
      </c>
      <c r="C205" s="84" t="s">
        <v>23</v>
      </c>
      <c r="D205" s="84" t="s">
        <v>63</v>
      </c>
      <c r="E205" s="85">
        <v>1383483</v>
      </c>
      <c r="F205" s="89" t="s">
        <v>84</v>
      </c>
      <c r="G205" s="90" t="s">
        <v>61</v>
      </c>
      <c r="H205" s="87">
        <f t="shared" si="35"/>
        <v>46235.0</v>
      </c>
      <c r="I205" s="88" t="str">
        <f t="shared" si="36"/>
        <v>OK</v>
      </c>
      <c r="J205" s="81"/>
      <c r="K205" s="81"/>
      <c r="L205" s="81" t="s">
        <v>57</v>
      </c>
      <c r="M205" s="81"/>
      <c r="N205" s="81"/>
      <c r="O205" s="81"/>
      <c r="P205" s="81" t="str">
        <f t="shared" si="37"/>
        <v>내역</v>
      </c>
      <c r="Q205" s="81" t="str">
        <f t="shared" si="38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39"/>
        <v>지출</v>
      </c>
      <c r="T205" s="81">
        <f t="shared" si="40"/>
        <v>-1383483</v>
      </c>
      <c r="U205" s="81" t="str">
        <f t="shared" si="41"/>
        <v>날짜 미기록</v>
      </c>
      <c r="V205" s="81"/>
      <c r="Y205">
        <f t="shared" si="42"/>
        <v>1383483</v>
      </c>
      <c r="Z205">
        <f>IFERROR(IF(AND(ISNUMBER(A205),A205&gt;=$B$3,A205&lt;EDATE($B$3,1)),COUNTIFS($A$64:$A$500,"&gt;"&amp;A205,$A$64:$A$500,"&lt;"&amp;EDATE($B$3,1))+COUNTIF($A$64:A205,A205),0),0)</f>
        <v>0</v>
      </c>
    </row>
    <row r="206" spans="1:25" ht="40" customHeight="1" outlineLevel="1" hidden="1">
      <c r="A206" s="83">
        <v>46235</v>
      </c>
      <c r="B206" s="84" t="s">
        <v>62</v>
      </c>
      <c r="C206" s="84" t="s">
        <v>23</v>
      </c>
      <c r="D206" s="84" t="s">
        <v>63</v>
      </c>
      <c r="E206" s="85">
        <v>336100</v>
      </c>
      <c r="F206" s="89" t="s">
        <v>100</v>
      </c>
      <c r="G206" s="90" t="s">
        <v>61</v>
      </c>
      <c r="H206" s="87">
        <f t="shared" si="35"/>
        <v>46235.0</v>
      </c>
      <c r="I206" s="88" t="str">
        <f t="shared" si="36"/>
        <v>OK</v>
      </c>
      <c r="J206" s="81"/>
      <c r="K206" s="81"/>
      <c r="L206" s="81" t="s">
        <v>57</v>
      </c>
      <c r="M206" s="81"/>
      <c r="N206" s="81"/>
      <c r="O206" s="81"/>
      <c r="P206" s="81" t="str">
        <f t="shared" si="37"/>
        <v>내역</v>
      </c>
      <c r="Q206" s="81" t="str">
        <f t="shared" si="38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39"/>
        <v>지출</v>
      </c>
      <c r="T206" s="81">
        <f t="shared" si="40"/>
        <v>-336100</v>
      </c>
      <c r="U206" s="81" t="str">
        <f t="shared" si="41"/>
        <v>날짜 미기록</v>
      </c>
      <c r="V206" s="81"/>
      <c r="Y206">
        <f t="shared" si="42"/>
        <v>336100</v>
      </c>
      <c r="Z206">
        <f>IFERROR(IF(AND(ISNUMBER(A206),A206&gt;=$B$3,A206&lt;EDATE($B$3,1)),COUNTIFS($A$64:$A$500,"&gt;"&amp;A206,$A$64:$A$500,"&lt;"&amp;EDATE($B$3,1))+COUNTIF($A$64:A206,A206),0),0)</f>
        <v>0</v>
      </c>
    </row>
    <row r="207" spans="1:25" ht="40" customHeight="1" outlineLevel="1" hidden="1">
      <c r="A207" s="83">
        <v>46235</v>
      </c>
      <c r="B207" s="84" t="s">
        <v>62</v>
      </c>
      <c r="C207" s="84" t="s">
        <v>23</v>
      </c>
      <c r="D207" s="84" t="s">
        <v>63</v>
      </c>
      <c r="E207" s="85">
        <v>93420</v>
      </c>
      <c r="F207" s="89" t="s">
        <v>146</v>
      </c>
      <c r="G207" s="90" t="s">
        <v>61</v>
      </c>
      <c r="H207" s="87">
        <f t="shared" si="35"/>
        <v>46235.0</v>
      </c>
      <c r="I207" s="88" t="str">
        <f t="shared" si="36"/>
        <v>OK</v>
      </c>
      <c r="J207" s="81"/>
      <c r="K207" s="81"/>
      <c r="L207" s="81" t="s">
        <v>57</v>
      </c>
      <c r="M207" s="81"/>
      <c r="N207" s="81"/>
      <c r="O207" s="81"/>
      <c r="P207" s="81" t="str">
        <f t="shared" si="37"/>
        <v>내역</v>
      </c>
      <c r="Q207" s="81" t="str">
        <f t="shared" si="38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39"/>
        <v>지출</v>
      </c>
      <c r="T207" s="81">
        <f t="shared" si="40"/>
        <v>-93420</v>
      </c>
      <c r="U207" s="81" t="str">
        <f t="shared" si="41"/>
        <v>날짜 미기록</v>
      </c>
      <c r="V207" s="81"/>
      <c r="Y207">
        <f t="shared" si="42"/>
        <v>93420</v>
      </c>
      <c r="Z207">
        <f>IFERROR(IF(AND(ISNUMBER(A207),A207&gt;=$B$3,A207&lt;EDATE($B$3,1)),COUNTIFS($A$64:$A$500,"&gt;"&amp;A207,$A$64:$A$500,"&lt;"&amp;EDATE($B$3,1))+COUNTIF($A$64:A207,A207),0),0)</f>
        <v>0</v>
      </c>
    </row>
    <row r="208" spans="1:25" ht="40" customHeight="1" outlineLevel="1" hidden="1">
      <c r="A208" s="83">
        <v>46235</v>
      </c>
      <c r="B208" s="84" t="s">
        <v>62</v>
      </c>
      <c r="C208" s="84" t="s">
        <v>23</v>
      </c>
      <c r="D208" s="84" t="s">
        <v>63</v>
      </c>
      <c r="E208" s="85">
        <v>100000</v>
      </c>
      <c r="F208" s="89" t="s">
        <v>147</v>
      </c>
      <c r="G208" s="90" t="inlineStr">
        <is>
          <t xml:space="preserve">원본 8월 임시보관의 가족통장 납입 100,000원. 10월 생신 사용 39,000원에 배분하고 잔금 61,000원은 원장 246행에서 회수. 날짜 미기록: 월 기준일.</t>
        </is>
      </c>
      <c r="H208" s="87">
        <f t="shared" si="35"/>
        <v>46235.0</v>
      </c>
      <c r="I208" s="88" t="str">
        <f t="shared" si="36"/>
        <v>OK</v>
      </c>
      <c r="J208" s="81"/>
      <c r="K208" s="81"/>
      <c r="L208" s="81" t="s">
        <v>57</v>
      </c>
      <c r="M208" s="81"/>
      <c r="N208" s="81"/>
      <c r="O208" s="81"/>
      <c r="P208" s="81" t="str">
        <f t="shared" si="37"/>
        <v>내역</v>
      </c>
      <c r="Q208" s="81" t="str">
        <f t="shared" si="38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39"/>
        <v>지출</v>
      </c>
      <c r="T208" s="81">
        <f t="shared" si="40"/>
        <v>-100000</v>
      </c>
      <c r="U208" s="81" t="str">
        <f t="shared" si="41"/>
        <v>날짜 미기록</v>
      </c>
      <c r="V208" s="81"/>
      <c r="Y208">
        <f t="shared" si="42"/>
        <v>100000</v>
      </c>
      <c r="Z208">
        <f>IFERROR(IF(AND(ISNUMBER(A208),A208&gt;=$B$3,A208&lt;EDATE($B$3,1)),COUNTIFS($A$64:$A$500,"&gt;"&amp;A208,$A$64:$A$500,"&lt;"&amp;EDATE($B$3,1))+COUNTIF($A$64:A208,A208),0),0)</f>
        <v>0</v>
      </c>
    </row>
    <row r="209" spans="1:25" ht="40" customHeight="1" outlineLevel="1" hidden="1">
      <c r="A209" s="83">
        <v>46235</v>
      </c>
      <c r="B209" s="84" t="s">
        <v>62</v>
      </c>
      <c r="C209" s="84" t="s">
        <v>23</v>
      </c>
      <c r="D209" s="84" t="s">
        <v>63</v>
      </c>
      <c r="E209" s="85">
        <v>391000</v>
      </c>
      <c r="F209" s="89" t="s">
        <v>82</v>
      </c>
      <c r="G209" s="90" t="s">
        <v>61</v>
      </c>
      <c r="H209" s="87">
        <f t="shared" si="35"/>
        <v>46235.0</v>
      </c>
      <c r="I209" s="88" t="str">
        <f t="shared" si="36"/>
        <v>OK</v>
      </c>
      <c r="J209" s="81"/>
      <c r="K209" s="81"/>
      <c r="L209" s="81" t="s">
        <v>57</v>
      </c>
      <c r="M209" s="81"/>
      <c r="N209" s="81"/>
      <c r="O209" s="81"/>
      <c r="P209" s="81" t="str">
        <f t="shared" si="37"/>
        <v>내역</v>
      </c>
      <c r="Q209" s="81" t="str">
        <f t="shared" si="38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39"/>
        <v>지출</v>
      </c>
      <c r="T209" s="81">
        <f t="shared" si="40"/>
        <v>-391000</v>
      </c>
      <c r="U209" s="81" t="str">
        <f t="shared" si="41"/>
        <v>날짜 미기록</v>
      </c>
      <c r="V209" s="81"/>
      <c r="Y209">
        <f t="shared" si="42"/>
        <v>391000</v>
      </c>
      <c r="Z209">
        <f>IFERROR(IF(AND(ISNUMBER(A209),A209&gt;=$B$3,A209&lt;EDATE($B$3,1)),COUNTIFS($A$64:$A$500,"&gt;"&amp;A209,$A$64:$A$500,"&lt;"&amp;EDATE($B$3,1))+COUNTIF($A$64:A209,A209),0),0)</f>
        <v>0</v>
      </c>
    </row>
    <row r="210" spans="1:25" ht="40" customHeight="1" outlineLevel="1" hidden="1">
      <c r="A210" s="83">
        <v>46235</v>
      </c>
      <c r="B210" s="84" t="s">
        <v>62</v>
      </c>
      <c r="C210" s="84" t="s">
        <v>23</v>
      </c>
      <c r="D210" s="84" t="s">
        <v>63</v>
      </c>
      <c r="E210" s="85">
        <v>11000</v>
      </c>
      <c r="F210" s="89" t="s">
        <v>148</v>
      </c>
      <c r="G210" s="90" t="s">
        <v>149</v>
      </c>
      <c r="H210" s="87">
        <f t="shared" si="35"/>
        <v>46235.0</v>
      </c>
      <c r="I210" s="88" t="str">
        <f t="shared" si="36"/>
        <v>OK</v>
      </c>
      <c r="J210" s="81"/>
      <c r="K210" s="81"/>
      <c r="L210" s="81" t="s">
        <v>57</v>
      </c>
      <c r="M210" s="81"/>
      <c r="N210" s="81"/>
      <c r="O210" s="81"/>
      <c r="P210" s="81" t="str">
        <f t="shared" si="37"/>
        <v>내역</v>
      </c>
      <c r="Q210" s="81" t="str">
        <f t="shared" si="38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39"/>
        <v>지출</v>
      </c>
      <c r="T210" s="81">
        <f t="shared" si="40"/>
        <v>-11000</v>
      </c>
      <c r="U210" s="81" t="str">
        <f t="shared" si="41"/>
        <v>날짜 미기록</v>
      </c>
      <c r="V210" s="81"/>
      <c r="Y210">
        <f t="shared" si="42"/>
        <v>11000</v>
      </c>
      <c r="Z210">
        <f>IFERROR(IF(AND(ISNUMBER(A210),A210&gt;=$B$3,A210&lt;EDATE($B$3,1)),COUNTIFS($A$64:$A$500,"&gt;"&amp;A210,$A$64:$A$500,"&lt;"&amp;EDATE($B$3,1))+COUNTIF($A$64:A210,A210),0),0)</f>
        <v>0</v>
      </c>
    </row>
    <row r="211" spans="1:25" ht="40" customHeight="1" outlineLevel="1" hidden="1">
      <c r="A211" s="83">
        <v>46235</v>
      </c>
      <c r="B211" s="84" t="s">
        <v>74</v>
      </c>
      <c r="C211" s="84" t="s">
        <v>23</v>
      </c>
      <c r="D211" s="84" t="s">
        <v>54</v>
      </c>
      <c r="E211" s="85">
        <v>54948</v>
      </c>
      <c r="F211" s="89" t="s">
        <v>150</v>
      </c>
      <c r="G211" s="90" t="s">
        <v>61</v>
      </c>
      <c r="H211" s="87">
        <f t="shared" si="35"/>
        <v>46235.0</v>
      </c>
      <c r="I211" s="88" t="str">
        <f t="shared" si="36"/>
        <v>OK</v>
      </c>
      <c r="J211" s="81"/>
      <c r="K211" s="81"/>
      <c r="L211" s="81" t="s">
        <v>57</v>
      </c>
      <c r="M211" s="81"/>
      <c r="N211" s="81"/>
      <c r="O211" s="81"/>
      <c r="P211" s="81" t="str">
        <f t="shared" si="37"/>
        <v>이체</v>
      </c>
      <c r="Q211" s="81" t="str">
        <f t="shared" si="38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39"/>
        <v>외부</v>
      </c>
      <c r="T211" s="81">
        <f t="shared" si="40"/>
        <v>54948</v>
      </c>
      <c r="U211" s="81" t="str">
        <f t="shared" si="41"/>
        <v>날짜 미기록</v>
      </c>
      <c r="V211" s="81"/>
      <c r="Y211">
        <f t="shared" si="42"/>
        <v>54948</v>
      </c>
      <c r="Z211">
        <f>IFERROR(IF(AND(ISNUMBER(A211),A211&gt;=$B$3,A211&lt;EDATE($B$3,1)),COUNTIFS($A$64:$A$500,"&gt;"&amp;A211,$A$64:$A$500,"&lt;"&amp;EDATE($B$3,1))+COUNTIF($A$64:A211,A211),0),0)</f>
        <v>0</v>
      </c>
    </row>
    <row r="212" spans="1:25" ht="40" customHeight="1" outlineLevel="1" hidden="1">
      <c r="A212" s="83">
        <v>46235</v>
      </c>
      <c r="B212" s="84" t="s">
        <v>74</v>
      </c>
      <c r="C212" s="84" t="s">
        <v>23</v>
      </c>
      <c r="D212" s="84" t="s">
        <v>54</v>
      </c>
      <c r="E212" s="85">
        <v>585198</v>
      </c>
      <c r="F212" s="89" t="s">
        <v>151</v>
      </c>
      <c r="G212" s="90" t="s">
        <v>61</v>
      </c>
      <c r="H212" s="87">
        <f t="shared" si="35"/>
        <v>46235.0</v>
      </c>
      <c r="I212" s="88" t="str">
        <f t="shared" si="36"/>
        <v>OK</v>
      </c>
      <c r="J212" s="81"/>
      <c r="K212" s="81"/>
      <c r="L212" s="81" t="s">
        <v>57</v>
      </c>
      <c r="M212" s="81"/>
      <c r="N212" s="81"/>
      <c r="O212" s="81"/>
      <c r="P212" s="81" t="str">
        <f t="shared" si="37"/>
        <v>이체</v>
      </c>
      <c r="Q212" s="81" t="str">
        <f t="shared" si="38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39"/>
        <v>외부</v>
      </c>
      <c r="T212" s="81">
        <f t="shared" si="40"/>
        <v>585198</v>
      </c>
      <c r="U212" s="81" t="str">
        <f t="shared" si="41"/>
        <v>날짜 미기록</v>
      </c>
      <c r="V212" s="81"/>
      <c r="Y212">
        <f t="shared" si="42"/>
        <v>585198</v>
      </c>
      <c r="Z212">
        <f>IFERROR(IF(AND(ISNUMBER(A212),A212&gt;=$B$3,A212&lt;EDATE($B$3,1)),COUNTIFS($A$64:$A$500,"&gt;"&amp;A212,$A$64:$A$500,"&lt;"&amp;EDATE($B$3,1))+COUNTIF($A$64:A212,A212),0),0)</f>
        <v>0</v>
      </c>
    </row>
    <row r="213" spans="1:25" ht="40" customHeight="1" outlineLevel="1" hidden="1">
      <c r="A213" s="83">
        <v>46235</v>
      </c>
      <c r="B213" s="84" t="s">
        <v>74</v>
      </c>
      <c r="C213" s="84" t="s">
        <v>54</v>
      </c>
      <c r="D213" s="84" t="s">
        <v>23</v>
      </c>
      <c r="E213" s="85">
        <v>34489</v>
      </c>
      <c r="F213" s="89" t="s">
        <v>93</v>
      </c>
      <c r="G213" s="90" t="s">
        <v>61</v>
      </c>
      <c r="H213" s="87">
        <f t="shared" si="35"/>
        <v>46235.0</v>
      </c>
      <c r="I213" s="88" t="str">
        <f t="shared" si="36"/>
        <v>OK</v>
      </c>
      <c r="J213" s="81"/>
      <c r="K213" s="81"/>
      <c r="L213" s="81" t="s">
        <v>57</v>
      </c>
      <c r="M213" s="81"/>
      <c r="N213" s="81"/>
      <c r="O213" s="81"/>
      <c r="P213" s="81">
        <f t="shared" si="37"/>
      </c>
      <c r="Q213" s="81">
        <f t="shared" si="38"/>
      </c>
      <c r="R213" s="81">
        <f>IF(P213="","",TEXT(H213,"yyyymm")&amp;"_"&amp;P213&amp;"_"&amp;(COUNTIFS($H$64:$H$500,H213,$P$64:$P$500,P213,$A$64:$A$500,"&gt;"&amp;A213)+COUNTIFS($H$64:H213,H213,$P$64:P213,P213,$A$64:A213,A213)))</f>
      </c>
      <c r="S213" s="81">
        <f t="shared" si="39"/>
      </c>
      <c r="T213" s="81">
        <f t="shared" si="40"/>
      </c>
      <c r="U213" s="81">
        <f t="shared" si="41"/>
      </c>
      <c r="V213" s="81"/>
      <c r="Y213">
        <f t="shared" si="42"/>
        <v>34489</v>
      </c>
      <c r="Z213">
        <f>IFERROR(IF(AND(ISNUMBER(A213),A213&gt;=$B$3,A213&lt;EDATE($B$3,1)),COUNTIFS($A$64:$A$500,"&gt;"&amp;A213,$A$64:$A$500,"&lt;"&amp;EDATE($B$3,1))+COUNTIF($A$64:A213,A213),0),0)</f>
        <v>0</v>
      </c>
    </row>
    <row r="214" spans="1:25" ht="40" customHeight="1" outlineLevel="1" hidden="1">
      <c r="A214" s="83">
        <v>46266</v>
      </c>
      <c r="B214" s="84" t="s">
        <v>59</v>
      </c>
      <c r="C214" s="84" t="s">
        <v>54</v>
      </c>
      <c r="D214" s="84" t="s">
        <v>15</v>
      </c>
      <c r="E214" s="85">
        <v>2082285</v>
      </c>
      <c r="F214" s="89" t="s">
        <v>152</v>
      </c>
      <c r="G214" s="90" t="s">
        <v>61</v>
      </c>
      <c r="H214" s="87">
        <f t="shared" si="35"/>
        <v>46266.0</v>
      </c>
      <c r="I214" s="88" t="str">
        <f t="shared" si="36"/>
        <v>OK</v>
      </c>
      <c r="J214" s="81"/>
      <c r="K214" s="81"/>
      <c r="L214" s="81" t="s">
        <v>57</v>
      </c>
      <c r="M214" s="81"/>
      <c r="N214" s="81"/>
      <c r="O214" s="81"/>
      <c r="P214" s="81" t="str">
        <f t="shared" si="37"/>
        <v>내역</v>
      </c>
      <c r="Q214" s="81" t="str">
        <f t="shared" si="38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39"/>
        <v>생활비</v>
      </c>
      <c r="T214" s="81">
        <f t="shared" si="40"/>
        <v>2082285</v>
      </c>
      <c r="U214" s="81" t="str">
        <f t="shared" si="41"/>
        <v>날짜 미기록</v>
      </c>
      <c r="V214" s="81"/>
      <c r="Y214">
        <f t="shared" si="42"/>
        <v>2082285</v>
      </c>
      <c r="Z214">
        <f>IFERROR(IF(AND(ISNUMBER(A214),A214&gt;=$B$3,A214&lt;EDATE($B$3,1)),COUNTIFS($A$64:$A$500,"&gt;"&amp;A214,$A$64:$A$500,"&lt;"&amp;EDATE($B$3,1))+COUNTIF($A$64:A214,A214),0),0)</f>
        <v>0</v>
      </c>
    </row>
    <row r="215" spans="1:25" ht="40" customHeight="1" outlineLevel="1" hidden="1">
      <c r="A215" s="83">
        <v>46266</v>
      </c>
      <c r="B215" s="84" t="s">
        <v>59</v>
      </c>
      <c r="C215" s="84" t="s">
        <v>54</v>
      </c>
      <c r="D215" s="84" t="s">
        <v>15</v>
      </c>
      <c r="E215" s="85">
        <v>8803</v>
      </c>
      <c r="F215" s="89" t="s">
        <v>153</v>
      </c>
      <c r="G215" s="90" t="s">
        <v>61</v>
      </c>
      <c r="H215" s="87">
        <f t="shared" si="35"/>
        <v>46266.0</v>
      </c>
      <c r="I215" s="88" t="str">
        <f t="shared" si="36"/>
        <v>OK</v>
      </c>
      <c r="J215" s="81"/>
      <c r="K215" s="81"/>
      <c r="L215" s="81" t="s">
        <v>57</v>
      </c>
      <c r="M215" s="81"/>
      <c r="N215" s="81"/>
      <c r="O215" s="81"/>
      <c r="P215" s="81" t="str">
        <f t="shared" si="37"/>
        <v>내역</v>
      </c>
      <c r="Q215" s="81" t="str">
        <f t="shared" si="38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39"/>
        <v>생활비</v>
      </c>
      <c r="T215" s="81">
        <f t="shared" si="40"/>
        <v>8803</v>
      </c>
      <c r="U215" s="81" t="str">
        <f t="shared" si="41"/>
        <v>날짜 미기록</v>
      </c>
      <c r="V215" s="81"/>
      <c r="Y215">
        <f t="shared" si="42"/>
        <v>8803</v>
      </c>
      <c r="Z215">
        <f>IFERROR(IF(AND(ISNUMBER(A215),A215&gt;=$B$3,A215&lt;EDATE($B$3,1)),COUNTIFS($A$64:$A$500,"&gt;"&amp;A215,$A$64:$A$500,"&lt;"&amp;EDATE($B$3,1))+COUNTIF($A$64:A215,A215),0),0)</f>
        <v>0</v>
      </c>
    </row>
    <row r="216" spans="1:25" ht="40" customHeight="1" outlineLevel="1" hidden="1">
      <c r="A216" s="83">
        <v>46266</v>
      </c>
      <c r="B216" s="84" t="s">
        <v>62</v>
      </c>
      <c r="C216" s="84" t="s">
        <v>15</v>
      </c>
      <c r="D216" s="84" t="s">
        <v>63</v>
      </c>
      <c r="E216" s="85">
        <v>14701</v>
      </c>
      <c r="F216" s="89" t="s">
        <v>154</v>
      </c>
      <c r="G216" s="90" t="s">
        <v>61</v>
      </c>
      <c r="H216" s="87">
        <f t="shared" si="35"/>
        <v>46266.0</v>
      </c>
      <c r="I216" s="88" t="str">
        <f t="shared" si="36"/>
        <v>OK</v>
      </c>
      <c r="J216" s="81"/>
      <c r="K216" s="81"/>
      <c r="L216" s="81" t="s">
        <v>57</v>
      </c>
      <c r="M216" s="81"/>
      <c r="N216" s="81"/>
      <c r="O216" s="81"/>
      <c r="P216" s="81" t="str">
        <f t="shared" si="37"/>
        <v>내역</v>
      </c>
      <c r="Q216" s="81" t="str">
        <f t="shared" si="38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39"/>
        <v>지출</v>
      </c>
      <c r="T216" s="81">
        <f t="shared" si="40"/>
        <v>-14701</v>
      </c>
      <c r="U216" s="81" t="str">
        <f t="shared" si="41"/>
        <v>날짜 미기록</v>
      </c>
      <c r="V216" s="81"/>
      <c r="Y216">
        <f t="shared" si="42"/>
        <v>14701</v>
      </c>
      <c r="Z216">
        <f>IFERROR(IF(AND(ISNUMBER(A216),A216&gt;=$B$3,A216&lt;EDATE($B$3,1)),COUNTIFS($A$64:$A$500,"&gt;"&amp;A216,$A$64:$A$500,"&lt;"&amp;EDATE($B$3,1))+COUNTIF($A$64:A216,A216),0),0)</f>
        <v>0</v>
      </c>
    </row>
    <row r="217" spans="1:25" ht="40" customHeight="1" outlineLevel="1" hidden="1">
      <c r="A217" s="83">
        <v>46266</v>
      </c>
      <c r="B217" s="84" t="s">
        <v>62</v>
      </c>
      <c r="C217" s="84" t="s">
        <v>15</v>
      </c>
      <c r="D217" s="84" t="s">
        <v>63</v>
      </c>
      <c r="E217" s="85">
        <v>93420</v>
      </c>
      <c r="F217" s="89" t="s">
        <v>155</v>
      </c>
      <c r="G217" s="90" t="s">
        <v>61</v>
      </c>
      <c r="H217" s="87">
        <f t="shared" si="35"/>
        <v>46266.0</v>
      </c>
      <c r="I217" s="88" t="str">
        <f t="shared" si="36"/>
        <v>OK</v>
      </c>
      <c r="J217" s="81"/>
      <c r="K217" s="81"/>
      <c r="L217" s="81" t="s">
        <v>57</v>
      </c>
      <c r="M217" s="81"/>
      <c r="N217" s="81"/>
      <c r="O217" s="81"/>
      <c r="P217" s="81" t="str">
        <f t="shared" si="37"/>
        <v>내역</v>
      </c>
      <c r="Q217" s="81" t="str">
        <f t="shared" si="38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39"/>
        <v>지출</v>
      </c>
      <c r="T217" s="81">
        <f t="shared" si="40"/>
        <v>-93420</v>
      </c>
      <c r="U217" s="81" t="str">
        <f t="shared" si="41"/>
        <v>날짜 미기록</v>
      </c>
      <c r="V217" s="81"/>
      <c r="Y217">
        <f t="shared" si="42"/>
        <v>93420</v>
      </c>
      <c r="Z217">
        <f>IFERROR(IF(AND(ISNUMBER(A217),A217&gt;=$B$3,A217&lt;EDATE($B$3,1)),COUNTIFS($A$64:$A$500,"&gt;"&amp;A217,$A$64:$A$500,"&lt;"&amp;EDATE($B$3,1))+COUNTIF($A$64:A217,A217),0),0)</f>
        <v>0</v>
      </c>
    </row>
    <row r="218" spans="1:25" ht="40" customHeight="1" outlineLevel="1" hidden="1">
      <c r="A218" s="83">
        <v>46266</v>
      </c>
      <c r="B218" s="84" t="s">
        <v>62</v>
      </c>
      <c r="C218" s="84" t="s">
        <v>15</v>
      </c>
      <c r="D218" s="84" t="s">
        <v>63</v>
      </c>
      <c r="E218" s="85">
        <v>7030</v>
      </c>
      <c r="F218" s="89" t="s">
        <v>156</v>
      </c>
      <c r="G218" s="90" t="s">
        <v>157</v>
      </c>
      <c r="H218" s="87">
        <f t="shared" si="35"/>
        <v>46266.0</v>
      </c>
      <c r="I218" s="88" t="str">
        <f t="shared" si="36"/>
        <v>OK</v>
      </c>
      <c r="J218" s="81"/>
      <c r="K218" s="81"/>
      <c r="L218" s="81" t="s">
        <v>57</v>
      </c>
      <c r="M218" s="81"/>
      <c r="N218" s="81"/>
      <c r="O218" s="81"/>
      <c r="P218" s="81" t="str">
        <f t="shared" si="37"/>
        <v>내역</v>
      </c>
      <c r="Q218" s="81" t="str">
        <f t="shared" si="38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39"/>
        <v>지출</v>
      </c>
      <c r="T218" s="81">
        <f t="shared" si="40"/>
        <v>-7030</v>
      </c>
      <c r="U218" s="81" t="str">
        <f t="shared" si="41"/>
        <v>날짜 미기록</v>
      </c>
      <c r="V218" s="81"/>
      <c r="Y218">
        <f t="shared" si="42"/>
        <v>7030</v>
      </c>
      <c r="Z218">
        <f>IFERROR(IF(AND(ISNUMBER(A218),A218&gt;=$B$3,A218&lt;EDATE($B$3,1)),COUNTIFS($A$64:$A$500,"&gt;"&amp;A218,$A$64:$A$500,"&lt;"&amp;EDATE($B$3,1))+COUNTIF($A$64:A218,A218),0),0)</f>
        <v>0</v>
      </c>
    </row>
    <row r="219" spans="1:25" ht="40" customHeight="1" outlineLevel="1" hidden="1">
      <c r="A219" s="83">
        <v>46266</v>
      </c>
      <c r="B219" s="84" t="s">
        <v>74</v>
      </c>
      <c r="C219" s="84" t="s">
        <v>54</v>
      </c>
      <c r="D219" s="84" t="s">
        <v>15</v>
      </c>
      <c r="E219" s="85">
        <v>4812666</v>
      </c>
      <c r="F219" s="89" t="s">
        <v>76</v>
      </c>
      <c r="G219" s="90" t="s">
        <v>61</v>
      </c>
      <c r="H219" s="87">
        <f t="shared" si="35"/>
        <v>46266.0</v>
      </c>
      <c r="I219" s="88" t="str">
        <f t="shared" si="36"/>
        <v>OK</v>
      </c>
      <c r="J219" s="81"/>
      <c r="K219" s="81"/>
      <c r="L219" s="81" t="s">
        <v>57</v>
      </c>
      <c r="M219" s="81"/>
      <c r="N219" s="81"/>
      <c r="O219" s="81"/>
      <c r="P219" s="81">
        <f t="shared" si="37"/>
      </c>
      <c r="Q219" s="81">
        <f t="shared" si="38"/>
      </c>
      <c r="R219" s="81">
        <f>IF(P219="","",TEXT(H219,"yyyymm")&amp;"_"&amp;P219&amp;"_"&amp;(COUNTIFS($H$64:$H$500,H219,$P$64:$P$500,P219,$A$64:$A$500,"&gt;"&amp;A219)+COUNTIFS($H$64:H219,H219,$P$64:P219,P219,$A$64:A219,A219)))</f>
      </c>
      <c r="S219" s="81">
        <f t="shared" si="39"/>
      </c>
      <c r="T219" s="81">
        <f t="shared" si="40"/>
      </c>
      <c r="U219" s="81">
        <f t="shared" si="41"/>
      </c>
      <c r="V219" s="81"/>
      <c r="Y219">
        <f t="shared" si="42"/>
        <v>4812666</v>
      </c>
      <c r="Z219">
        <f>IFERROR(IF(AND(ISNUMBER(A219),A219&gt;=$B$3,A219&lt;EDATE($B$3,1)),COUNTIFS($A$64:$A$500,"&gt;"&amp;A219,$A$64:$A$500,"&lt;"&amp;EDATE($B$3,1))+COUNTIF($A$64:A219,A219),0),0)</f>
        <v>0</v>
      </c>
    </row>
    <row r="220" spans="1:25" ht="40" customHeight="1" outlineLevel="1" hidden="1">
      <c r="A220" s="83">
        <v>46266</v>
      </c>
      <c r="B220" s="84" t="s">
        <v>74</v>
      </c>
      <c r="C220" s="84" t="s">
        <v>15</v>
      </c>
      <c r="D220" s="84" t="s">
        <v>54</v>
      </c>
      <c r="E220" s="85">
        <v>100000</v>
      </c>
      <c r="F220" s="89" t="s">
        <v>158</v>
      </c>
      <c r="G220" s="90" t="s">
        <v>61</v>
      </c>
      <c r="H220" s="87">
        <f t="shared" si="35"/>
        <v>46266.0</v>
      </c>
      <c r="I220" s="88" t="str">
        <f t="shared" si="36"/>
        <v>OK</v>
      </c>
      <c r="J220" s="81"/>
      <c r="K220" s="81"/>
      <c r="L220" s="81" t="s">
        <v>57</v>
      </c>
      <c r="M220" s="81"/>
      <c r="N220" s="81"/>
      <c r="O220" s="81"/>
      <c r="P220" s="81" t="str">
        <f t="shared" si="37"/>
        <v>이체</v>
      </c>
      <c r="Q220" s="81" t="str">
        <f t="shared" si="38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39"/>
        <v>외부</v>
      </c>
      <c r="T220" s="81">
        <f t="shared" si="40"/>
        <v>100000</v>
      </c>
      <c r="U220" s="81" t="str">
        <f t="shared" si="41"/>
        <v>날짜 미기록</v>
      </c>
      <c r="V220" s="81"/>
      <c r="Y220">
        <f t="shared" si="42"/>
        <v>100000</v>
      </c>
      <c r="Z220">
        <f>IFERROR(IF(AND(ISNUMBER(A220),A220&gt;=$B$3,A220&lt;EDATE($B$3,1)),COUNTIFS($A$64:$A$500,"&gt;"&amp;A220,$A$64:$A$500,"&lt;"&amp;EDATE($B$3,1))+COUNTIF($A$64:A220,A220),0),0)</f>
        <v>0</v>
      </c>
    </row>
    <row r="221" spans="1:25" ht="40" customHeight="1" outlineLevel="1" hidden="1">
      <c r="A221" s="83">
        <v>46266</v>
      </c>
      <c r="B221" s="84" t="s">
        <v>65</v>
      </c>
      <c r="C221" s="84" t="s">
        <v>15</v>
      </c>
      <c r="D221" s="84" t="s">
        <v>18</v>
      </c>
      <c r="E221" s="85">
        <v>50000</v>
      </c>
      <c r="F221" s="89" t="s">
        <v>159</v>
      </c>
      <c r="G221" s="90" t="s">
        <v>61</v>
      </c>
      <c r="H221" s="87">
        <f t="shared" si="35"/>
        <v>46266.0</v>
      </c>
      <c r="I221" s="88" t="str">
        <f t="shared" si="36"/>
        <v>OK</v>
      </c>
      <c r="J221" s="81"/>
      <c r="K221" s="81"/>
      <c r="L221" s="81" t="s">
        <v>57</v>
      </c>
      <c r="M221" s="81"/>
      <c r="N221" s="81"/>
      <c r="O221" s="81"/>
      <c r="P221" s="81" t="str">
        <f t="shared" si="37"/>
        <v>이체</v>
      </c>
      <c r="Q221" s="81" t="str">
        <f t="shared" si="38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39"/>
        <v>경조사비</v>
      </c>
      <c r="T221" s="81">
        <f t="shared" si="40"/>
        <v>50000</v>
      </c>
      <c r="U221" s="81" t="str">
        <f t="shared" si="41"/>
        <v>날짜 미기록</v>
      </c>
      <c r="V221" s="81"/>
      <c r="Y221">
        <f t="shared" si="42"/>
        <v>50000</v>
      </c>
      <c r="Z221">
        <f>IFERROR(IF(AND(ISNUMBER(A221),A221&gt;=$B$3,A221&lt;EDATE($B$3,1)),COUNTIFS($A$64:$A$500,"&gt;"&amp;A221,$A$64:$A$500,"&lt;"&amp;EDATE($B$3,1))+COUNTIF($A$64:A221,A221),0),0)</f>
        <v>0</v>
      </c>
    </row>
    <row r="222" spans="1:25" ht="40" customHeight="1" outlineLevel="1" hidden="1">
      <c r="A222" s="83">
        <v>46266</v>
      </c>
      <c r="B222" s="84" t="s">
        <v>95</v>
      </c>
      <c r="C222" s="84" t="s">
        <v>18</v>
      </c>
      <c r="D222" s="84" t="s">
        <v>63</v>
      </c>
      <c r="E222" s="85">
        <v>50000</v>
      </c>
      <c r="F222" s="89" t="s">
        <v>160</v>
      </c>
      <c r="G222" s="90" t="s">
        <v>61</v>
      </c>
      <c r="H222" s="87">
        <f t="shared" si="35"/>
        <v>46266.0</v>
      </c>
      <c r="I222" s="88" t="str">
        <f t="shared" si="36"/>
        <v>OK</v>
      </c>
      <c r="J222" s="81"/>
      <c r="K222" s="81"/>
      <c r="L222" s="81" t="s">
        <v>57</v>
      </c>
      <c r="M222" s="81"/>
      <c r="N222" s="81"/>
      <c r="O222" s="81"/>
      <c r="P222" s="81" t="str">
        <f t="shared" si="37"/>
        <v>내역</v>
      </c>
      <c r="Q222" s="81" t="str">
        <f t="shared" si="38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39"/>
        <v>지출</v>
      </c>
      <c r="T222" s="81">
        <f t="shared" si="40"/>
        <v>-50000</v>
      </c>
      <c r="U222" s="81" t="str">
        <f t="shared" si="41"/>
        <v>날짜 미기록</v>
      </c>
      <c r="V222" s="81"/>
      <c r="Y222">
        <f t="shared" si="42"/>
        <v>50000</v>
      </c>
      <c r="Z222">
        <f>IFERROR(IF(AND(ISNUMBER(A222),A222&gt;=$B$3,A222&lt;EDATE($B$3,1)),COUNTIFS($A$64:$A$500,"&gt;"&amp;A222,$A$64:$A$500,"&lt;"&amp;EDATE($B$3,1))+COUNTIF($A$64:A222,A222),0),0)</f>
        <v>0</v>
      </c>
    </row>
    <row r="223" spans="1:25" ht="40" customHeight="1" outlineLevel="1" hidden="1">
      <c r="A223" s="83">
        <v>46266</v>
      </c>
      <c r="B223" s="84" t="s">
        <v>81</v>
      </c>
      <c r="C223" s="84" t="s">
        <v>16</v>
      </c>
      <c r="D223" s="84" t="s">
        <v>54</v>
      </c>
      <c r="E223" s="85">
        <v>200000</v>
      </c>
      <c r="F223" s="89" t="s">
        <v>161</v>
      </c>
      <c r="G223" s="90" t="s">
        <v>162</v>
      </c>
      <c r="H223" s="87">
        <f t="shared" si="35"/>
        <v>46266.0</v>
      </c>
      <c r="I223" s="88" t="str">
        <f t="shared" si="36"/>
        <v>OK</v>
      </c>
      <c r="J223" s="81" t="s">
        <v>163</v>
      </c>
      <c r="K223" s="81" t="s">
        <v>147</v>
      </c>
      <c r="L223" s="81" t="s">
        <v>57</v>
      </c>
      <c r="M223" s="81"/>
      <c r="N223" s="81"/>
      <c r="O223" s="81"/>
      <c r="P223" s="81" t="str">
        <f t="shared" si="37"/>
        <v>이체</v>
      </c>
      <c r="Q223" s="81" t="str">
        <f t="shared" si="38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39"/>
        <v>외부</v>
      </c>
      <c r="T223" s="81">
        <f t="shared" si="40"/>
        <v>200000</v>
      </c>
      <c r="U223" s="81" t="str">
        <f t="shared" si="41"/>
        <v>날짜 미기록</v>
      </c>
      <c r="V223" s="81"/>
      <c r="Y223">
        <f t="shared" si="42"/>
        <v>200000</v>
      </c>
      <c r="Z223">
        <f>IFERROR(IF(AND(ISNUMBER(A223),A223&gt;=$B$3,A223&lt;EDATE($B$3,1)),COUNTIFS($A$64:$A$500,"&gt;"&amp;A223,$A$64:$A$500,"&lt;"&amp;EDATE($B$3,1))+COUNTIF($A$64:A223,A223),0),0)</f>
        <v>0</v>
      </c>
    </row>
    <row r="224" spans="1:25" ht="40" customHeight="1" outlineLevel="1" hidden="1">
      <c r="A224" s="83">
        <v>46266</v>
      </c>
      <c r="B224" s="84" t="s">
        <v>74</v>
      </c>
      <c r="C224" s="84" t="s">
        <v>54</v>
      </c>
      <c r="D224" s="84" t="s">
        <v>18</v>
      </c>
      <c r="E224" s="85">
        <v>100000</v>
      </c>
      <c r="F224" s="89" t="s">
        <v>164</v>
      </c>
      <c r="G224" s="90" t="s">
        <v>61</v>
      </c>
      <c r="H224" s="87">
        <f t="shared" si="35"/>
        <v>46266.0</v>
      </c>
      <c r="I224" s="88" t="str">
        <f t="shared" si="36"/>
        <v>OK</v>
      </c>
      <c r="J224" s="81"/>
      <c r="K224" s="81"/>
      <c r="L224" s="81" t="s">
        <v>57</v>
      </c>
      <c r="M224" s="81"/>
      <c r="N224" s="81"/>
      <c r="O224" s="81"/>
      <c r="P224" s="81">
        <f t="shared" si="37"/>
      </c>
      <c r="Q224" s="81">
        <f t="shared" si="38"/>
      </c>
      <c r="R224" s="81">
        <f>IF(P224="","",TEXT(H224,"yyyymm")&amp;"_"&amp;P224&amp;"_"&amp;(COUNTIFS($H$64:$H$500,H224,$P$64:$P$500,P224,$A$64:$A$500,"&gt;"&amp;A224)+COUNTIFS($H$64:H224,H224,$P$64:P224,P224,$A$64:A224,A224)))</f>
      </c>
      <c r="S224" s="81">
        <f t="shared" si="39"/>
      </c>
      <c r="T224" s="81">
        <f t="shared" si="40"/>
      </c>
      <c r="U224" s="81">
        <f t="shared" si="41"/>
      </c>
      <c r="V224" s="81"/>
      <c r="Y224">
        <f t="shared" si="42"/>
        <v>100000</v>
      </c>
      <c r="Z224">
        <f>IFERROR(IF(AND(ISNUMBER(A224),A224&gt;=$B$3,A224&lt;EDATE($B$3,1)),COUNTIFS($A$64:$A$500,"&gt;"&amp;A224,$A$64:$A$500,"&lt;"&amp;EDATE($B$3,1))+COUNTIF($A$64:A224,A224),0),0)</f>
        <v>0</v>
      </c>
    </row>
    <row r="225" spans="1:25" ht="40" customHeight="1" outlineLevel="1" hidden="1">
      <c r="A225" s="83">
        <v>46266</v>
      </c>
      <c r="B225" s="84" t="s">
        <v>65</v>
      </c>
      <c r="C225" s="84" t="s">
        <v>15</v>
      </c>
      <c r="D225" s="84" t="s">
        <v>17</v>
      </c>
      <c r="E225" s="85">
        <v>100000</v>
      </c>
      <c r="F225" s="89" t="s">
        <v>68</v>
      </c>
      <c r="G225" s="90" t="s">
        <v>61</v>
      </c>
      <c r="H225" s="87">
        <f t="shared" si="35"/>
        <v>46266.0</v>
      </c>
      <c r="I225" s="88" t="str">
        <f t="shared" si="36"/>
        <v>OK</v>
      </c>
      <c r="J225" s="81"/>
      <c r="K225" s="81"/>
      <c r="L225" s="81" t="s">
        <v>57</v>
      </c>
      <c r="M225" s="81"/>
      <c r="N225" s="81"/>
      <c r="O225" s="81"/>
      <c r="P225" s="81" t="str">
        <f t="shared" si="37"/>
        <v>이체</v>
      </c>
      <c r="Q225" s="81" t="str">
        <f t="shared" si="38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39"/>
        <v>여행비</v>
      </c>
      <c r="T225" s="81">
        <f t="shared" si="40"/>
        <v>100000</v>
      </c>
      <c r="U225" s="81" t="str">
        <f t="shared" si="41"/>
        <v>날짜 미기록</v>
      </c>
      <c r="V225" s="81"/>
      <c r="Y225">
        <f t="shared" si="42"/>
        <v>100000</v>
      </c>
      <c r="Z225">
        <f>IFERROR(IF(AND(ISNUMBER(A225),A225&gt;=$B$3,A225&lt;EDATE($B$3,1)),COUNTIFS($A$64:$A$500,"&gt;"&amp;A225,$A$64:$A$500,"&lt;"&amp;EDATE($B$3,1))+COUNTIF($A$64:A225,A225),0),0)</f>
        <v>0</v>
      </c>
    </row>
    <row r="226" spans="1:25" ht="40" customHeight="1" outlineLevel="1" hidden="1">
      <c r="A226" s="83">
        <v>46266</v>
      </c>
      <c r="B226" s="84" t="s">
        <v>65</v>
      </c>
      <c r="C226" s="84" t="s">
        <v>15</v>
      </c>
      <c r="D226" s="84" t="s">
        <v>18</v>
      </c>
      <c r="E226" s="85">
        <v>50000</v>
      </c>
      <c r="F226" s="89" t="s">
        <v>97</v>
      </c>
      <c r="G226" s="90" t="s">
        <v>61</v>
      </c>
      <c r="H226" s="87">
        <f t="shared" si="35"/>
        <v>46266.0</v>
      </c>
      <c r="I226" s="88" t="str">
        <f t="shared" si="36"/>
        <v>OK</v>
      </c>
      <c r="J226" s="81"/>
      <c r="K226" s="81"/>
      <c r="L226" s="81" t="s">
        <v>57</v>
      </c>
      <c r="M226" s="81"/>
      <c r="N226" s="81"/>
      <c r="O226" s="81"/>
      <c r="P226" s="81" t="str">
        <f t="shared" si="37"/>
        <v>이체</v>
      </c>
      <c r="Q226" s="81" t="str">
        <f t="shared" si="38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39"/>
        <v>경조사비</v>
      </c>
      <c r="T226" s="81">
        <f t="shared" si="40"/>
        <v>50000</v>
      </c>
      <c r="U226" s="81" t="str">
        <f t="shared" si="41"/>
        <v>날짜 미기록</v>
      </c>
      <c r="V226" s="81"/>
      <c r="Y226">
        <f t="shared" si="42"/>
        <v>50000</v>
      </c>
      <c r="Z226">
        <f>IFERROR(IF(AND(ISNUMBER(A226),A226&gt;=$B$3,A226&lt;EDATE($B$3,1)),COUNTIFS($A$64:$A$500,"&gt;"&amp;A226,$A$64:$A$500,"&lt;"&amp;EDATE($B$3,1))+COUNTIF($A$64:A226,A226),0),0)</f>
        <v>0</v>
      </c>
    </row>
    <row r="227" spans="1:25" ht="40" customHeight="1" outlineLevel="1" hidden="1">
      <c r="A227" s="83">
        <v>46266</v>
      </c>
      <c r="B227" s="84" t="s">
        <v>65</v>
      </c>
      <c r="C227" s="84" t="s">
        <v>15</v>
      </c>
      <c r="D227" s="84" t="s">
        <v>19</v>
      </c>
      <c r="E227" s="85">
        <v>100000</v>
      </c>
      <c r="F227" s="89" t="s">
        <v>69</v>
      </c>
      <c r="G227" s="90" t="s">
        <v>61</v>
      </c>
      <c r="H227" s="87">
        <f t="shared" si="35"/>
        <v>46266.0</v>
      </c>
      <c r="I227" s="88" t="str">
        <f t="shared" si="36"/>
        <v>OK</v>
      </c>
      <c r="J227" s="81"/>
      <c r="K227" s="81"/>
      <c r="L227" s="81" t="s">
        <v>57</v>
      </c>
      <c r="M227" s="81"/>
      <c r="N227" s="81"/>
      <c r="O227" s="81"/>
      <c r="P227" s="81" t="str">
        <f t="shared" si="37"/>
        <v>이체</v>
      </c>
      <c r="Q227" s="81" t="str">
        <f t="shared" si="38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39"/>
        <v>상환비</v>
      </c>
      <c r="T227" s="81">
        <f t="shared" si="40"/>
        <v>100000</v>
      </c>
      <c r="U227" s="81" t="str">
        <f t="shared" si="41"/>
        <v>날짜 미기록</v>
      </c>
      <c r="V227" s="81"/>
      <c r="Y227">
        <f t="shared" si="42"/>
        <v>100000</v>
      </c>
      <c r="Z227">
        <f>IFERROR(IF(AND(ISNUMBER(A227),A227&gt;=$B$3,A227&lt;EDATE($B$3,1)),COUNTIFS($A$64:$A$500,"&gt;"&amp;A227,$A$64:$A$500,"&lt;"&amp;EDATE($B$3,1))+COUNTIF($A$64:A227,A227),0),0)</f>
        <v>0</v>
      </c>
    </row>
    <row r="228" spans="1:25" ht="40" customHeight="1" outlineLevel="1" hidden="1">
      <c r="A228" s="83">
        <v>46266</v>
      </c>
      <c r="B228" s="84" t="s">
        <v>59</v>
      </c>
      <c r="C228" s="84" t="s">
        <v>54</v>
      </c>
      <c r="D228" s="84" t="s">
        <v>23</v>
      </c>
      <c r="E228" s="85">
        <v>165100</v>
      </c>
      <c r="F228" s="89" t="s">
        <v>165</v>
      </c>
      <c r="G228" s="90" t="s">
        <v>61</v>
      </c>
      <c r="H228" s="87">
        <f t="shared" si="35"/>
        <v>46266.0</v>
      </c>
      <c r="I228" s="88" t="str">
        <f t="shared" si="36"/>
        <v>OK</v>
      </c>
      <c r="J228" s="81"/>
      <c r="K228" s="81"/>
      <c r="L228" s="81" t="s">
        <v>57</v>
      </c>
      <c r="M228" s="81"/>
      <c r="N228" s="81"/>
      <c r="O228" s="81"/>
      <c r="P228" s="81" t="str">
        <f t="shared" si="37"/>
        <v>내역</v>
      </c>
      <c r="Q228" s="81" t="str">
        <f t="shared" si="38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39"/>
        <v>임시보관</v>
      </c>
      <c r="T228" s="81">
        <f t="shared" si="40"/>
        <v>165100</v>
      </c>
      <c r="U228" s="81" t="str">
        <f t="shared" si="41"/>
        <v>날짜 미기록</v>
      </c>
      <c r="V228" s="81"/>
      <c r="Y228">
        <f t="shared" si="42"/>
        <v>165100</v>
      </c>
      <c r="Z228">
        <f>IFERROR(IF(AND(ISNUMBER(A228),A228&gt;=$B$3,A228&lt;EDATE($B$3,1)),COUNTIFS($A$64:$A$500,"&gt;"&amp;A228,$A$64:$A$500,"&lt;"&amp;EDATE($B$3,1))+COUNTIF($A$64:A228,A228),0),0)</f>
        <v>0</v>
      </c>
    </row>
    <row r="229" spans="1:25" ht="40" customHeight="1" outlineLevel="1" hidden="1">
      <c r="A229" s="83">
        <v>46266</v>
      </c>
      <c r="B229" s="84" t="s">
        <v>62</v>
      </c>
      <c r="C229" s="84" t="s">
        <v>23</v>
      </c>
      <c r="D229" s="84" t="s">
        <v>63</v>
      </c>
      <c r="E229" s="85">
        <v>4848153</v>
      </c>
      <c r="F229" s="89" t="s">
        <v>166</v>
      </c>
      <c r="G229" s="90" t="s">
        <v>61</v>
      </c>
      <c r="H229" s="87">
        <f t="shared" si="35"/>
        <v>46266.0</v>
      </c>
      <c r="I229" s="88" t="str">
        <f t="shared" si="36"/>
        <v>OK</v>
      </c>
      <c r="J229" s="81"/>
      <c r="K229" s="81"/>
      <c r="L229" s="81" t="s">
        <v>57</v>
      </c>
      <c r="M229" s="81"/>
      <c r="N229" s="81"/>
      <c r="O229" s="81"/>
      <c r="P229" s="81" t="str">
        <f t="shared" si="37"/>
        <v>내역</v>
      </c>
      <c r="Q229" s="81" t="str">
        <f t="shared" si="38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39"/>
        <v>지출</v>
      </c>
      <c r="T229" s="81">
        <f t="shared" si="40"/>
        <v>-4848153</v>
      </c>
      <c r="U229" s="81" t="str">
        <f t="shared" si="41"/>
        <v>날짜 미기록</v>
      </c>
      <c r="V229" s="81"/>
      <c r="Y229">
        <f t="shared" si="42"/>
        <v>4848153</v>
      </c>
      <c r="Z229">
        <f>IFERROR(IF(AND(ISNUMBER(A229),A229&gt;=$B$3,A229&lt;EDATE($B$3,1)),COUNTIFS($A$64:$A$500,"&gt;"&amp;A229,$A$64:$A$500,"&lt;"&amp;EDATE($B$3,1))+COUNTIF($A$64:A229,A229),0),0)</f>
        <v>0</v>
      </c>
    </row>
    <row r="230" spans="1:25" ht="40" customHeight="1" outlineLevel="1" hidden="1">
      <c r="A230" s="83">
        <v>46266</v>
      </c>
      <c r="B230" s="84" t="s">
        <v>74</v>
      </c>
      <c r="C230" s="84" t="s">
        <v>23</v>
      </c>
      <c r="D230" s="84" t="s">
        <v>54</v>
      </c>
      <c r="E230" s="85">
        <v>4812666</v>
      </c>
      <c r="F230" s="89" t="s">
        <v>167</v>
      </c>
      <c r="G230" s="90" t="s">
        <v>61</v>
      </c>
      <c r="H230" s="87">
        <f t="shared" si="35"/>
        <v>46266.0</v>
      </c>
      <c r="I230" s="88" t="str">
        <f t="shared" si="36"/>
        <v>OK</v>
      </c>
      <c r="J230" s="81"/>
      <c r="K230" s="81"/>
      <c r="L230" s="81" t="s">
        <v>57</v>
      </c>
      <c r="M230" s="81"/>
      <c r="N230" s="81"/>
      <c r="O230" s="81"/>
      <c r="P230" s="81" t="str">
        <f t="shared" si="37"/>
        <v>이체</v>
      </c>
      <c r="Q230" s="81" t="str">
        <f t="shared" si="38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39"/>
        <v>외부</v>
      </c>
      <c r="T230" s="81">
        <f t="shared" si="40"/>
        <v>4812666</v>
      </c>
      <c r="U230" s="81" t="str">
        <f t="shared" si="41"/>
        <v>날짜 미기록</v>
      </c>
      <c r="V230" s="81"/>
      <c r="Y230">
        <f t="shared" si="42"/>
        <v>4812666</v>
      </c>
      <c r="Z230">
        <f>IFERROR(IF(AND(ISNUMBER(A230),A230&gt;=$B$3,A230&lt;EDATE($B$3,1)),COUNTIFS($A$64:$A$500,"&gt;"&amp;A230,$A$64:$A$500,"&lt;"&amp;EDATE($B$3,1))+COUNTIF($A$64:A230,A230),0),0)</f>
        <v>0</v>
      </c>
    </row>
    <row r="231" spans="1:25" ht="45" hidden="1" customHeight="1" outlineLevel="1">
      <c r="A231" s="314">
        <v>46308.851395949067</v>
      </c>
      <c r="B231" s="318" t="s">
        <v>168</v>
      </c>
      <c r="C231" s="318" t="s">
        <v>54</v>
      </c>
      <c r="D231" s="318" t="s">
        <v>15</v>
      </c>
      <c r="E231" s="316">
        <v>22210</v>
      </c>
      <c r="F231" s="318" t="s">
        <v>169</v>
      </c>
      <c r="G231" s="318" t="s">
        <v>170</v>
      </c>
      <c r="H231" s="317">
        <f t="shared" si="35"/>
        <v>46296.0</v>
      </c>
      <c r="I231" s="318" t="str">
        <f t="shared" si="36"/>
        <v>OK</v>
      </c>
      <c r="J231" s="318" t="s">
        <v>171</v>
      </c>
      <c r="K231" s="318" t="s">
        <v>163</v>
      </c>
      <c r="L231" s="320" t="s">
        <v>172</v>
      </c>
      <c r="M231" s="81"/>
      <c r="N231" s="81"/>
      <c r="O231" s="81"/>
      <c r="P231" s="81" t="str">
        <f t="shared" si="37"/>
        <v>이체</v>
      </c>
      <c r="Q231" s="81" t="str">
        <f t="shared" si="38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202610_이체_4</v>
      </c>
      <c r="S231" s="81" t="str">
        <f t="shared" si="39"/>
        <v>생활비</v>
      </c>
      <c r="T231" s="81">
        <f t="shared" si="40"/>
        <v>22210</v>
      </c>
      <c r="U231" s="81">
        <f t="shared" si="41"/>
        <v>46308.851395949074</v>
      </c>
      <c r="V231" s="81"/>
      <c r="W231">
        <v>2453</v>
      </c>
      <c r="Y231">
        <f t="shared" si="42"/>
        <v>22210</v>
      </c>
      <c r="Z231">
        <f>IFERROR(IF(AND(ISNUMBER(A231),A231&gt;=$B$3,A231&lt;EDATE($B$3,1)),COUNTIFS($A$64:$A$500,"&gt;"&amp;A231,$A$64:$A$500,"&lt;"&amp;EDATE($B$3,1))+COUNTIF($A$64:A231,A231),0),0)</f>
        <v>5</v>
      </c>
    </row>
    <row r="232" spans="1:25" ht="45" hidden="1" customHeight="1" outlineLevel="1">
      <c r="A232" s="314">
        <v>46308.850696064823</v>
      </c>
      <c r="B232" s="318" t="s">
        <v>168</v>
      </c>
      <c r="C232" s="318" t="s">
        <v>15</v>
      </c>
      <c r="D232" s="318" t="s">
        <v>54</v>
      </c>
      <c r="E232" s="316">
        <v>236270</v>
      </c>
      <c r="F232" s="318" t="s">
        <v>173</v>
      </c>
      <c r="G232" s="318" t="s">
        <v>174</v>
      </c>
      <c r="H232" s="317">
        <f t="shared" si="35"/>
        <v>46296.0</v>
      </c>
      <c r="I232" s="318" t="str">
        <f t="shared" si="36"/>
        <v>OK</v>
      </c>
      <c r="J232" s="318" t="s">
        <v>163</v>
      </c>
      <c r="K232" s="318" t="s">
        <v>175</v>
      </c>
      <c r="L232" s="320" t="s">
        <v>172</v>
      </c>
      <c r="M232" s="81"/>
      <c r="N232" s="81"/>
      <c r="O232" s="81"/>
      <c r="P232" s="81" t="str">
        <f t="shared" si="37"/>
        <v>이체</v>
      </c>
      <c r="Q232" s="81" t="str">
        <f t="shared" si="38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202610_이체_5</v>
      </c>
      <c r="S232" s="81" t="str">
        <f t="shared" si="39"/>
        <v>외부</v>
      </c>
      <c r="T232" s="81">
        <f t="shared" si="40"/>
        <v>236270</v>
      </c>
      <c r="U232" s="81">
        <f t="shared" si="41"/>
        <v>46308.850696064816</v>
      </c>
      <c r="V232" s="81"/>
      <c r="W232">
        <v>2452</v>
      </c>
      <c r="Y232">
        <f t="shared" si="42"/>
        <v>236270</v>
      </c>
      <c r="Z232">
        <f>IFERROR(IF(AND(ISNUMBER(A232),A232&gt;=$B$3,A232&lt;EDATE($B$3,1)),COUNTIFS($A$64:$A$500,"&gt;"&amp;A232,$A$64:$A$500,"&lt;"&amp;EDATE($B$3,1))+COUNTIF($A$64:A232,A232),0),0)</f>
        <v>6</v>
      </c>
    </row>
    <row r="233" spans="1:25" ht="45" hidden="1" customHeight="1" outlineLevel="1">
      <c r="A233" s="314">
        <v>46308.85000755787</v>
      </c>
      <c r="B233" s="318" t="s">
        <v>168</v>
      </c>
      <c r="C233" s="318" t="s">
        <v>15</v>
      </c>
      <c r="D233" s="318" t="s">
        <v>54</v>
      </c>
      <c r="E233" s="316">
        <v>246568</v>
      </c>
      <c r="F233" s="318" t="s">
        <v>176</v>
      </c>
      <c r="G233" s="318" t="s">
        <v>177</v>
      </c>
      <c r="H233" s="317">
        <f t="shared" si="35"/>
        <v>46296.0</v>
      </c>
      <c r="I233" s="318" t="str">
        <f t="shared" si="36"/>
        <v>OK</v>
      </c>
      <c r="J233" s="318" t="s">
        <v>163</v>
      </c>
      <c r="K233" s="318" t="s">
        <v>178</v>
      </c>
      <c r="L233" s="320" t="s">
        <v>172</v>
      </c>
      <c r="M233" s="81"/>
      <c r="N233" s="81"/>
      <c r="O233" s="81"/>
      <c r="P233" s="81" t="str">
        <f t="shared" si="37"/>
        <v>이체</v>
      </c>
      <c r="Q233" s="81" t="str">
        <f t="shared" si="38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202610_이체_6</v>
      </c>
      <c r="S233" s="81" t="str">
        <f t="shared" si="39"/>
        <v>외부</v>
      </c>
      <c r="T233" s="81">
        <f t="shared" si="40"/>
        <v>246568</v>
      </c>
      <c r="U233" s="81">
        <f t="shared" si="41"/>
        <v>46308.85000755787</v>
      </c>
      <c r="V233" s="81"/>
      <c r="W233">
        <v>2451</v>
      </c>
      <c r="Y233">
        <f t="shared" si="42"/>
        <v>246568</v>
      </c>
      <c r="Z233">
        <f>IFERROR(IF(AND(ISNUMBER(A233),A233&gt;=$B$3,A233&lt;EDATE($B$3,1)),COUNTIFS($A$64:$A$500,"&gt;"&amp;A233,$A$64:$A$500,"&lt;"&amp;EDATE($B$3,1))+COUNTIF($A$64:A233,A233),0),0)</f>
        <v>7</v>
      </c>
    </row>
    <row r="234" spans="1:25" ht="45" hidden="1" customHeight="1" outlineLevel="1">
      <c r="A234" s="314">
        <v>46308.848613587958</v>
      </c>
      <c r="B234" s="318" t="s">
        <v>168</v>
      </c>
      <c r="C234" s="318" t="s">
        <v>15</v>
      </c>
      <c r="D234" s="318" t="s">
        <v>54</v>
      </c>
      <c r="E234" s="316">
        <v>360550</v>
      </c>
      <c r="F234" s="318" t="s">
        <v>179</v>
      </c>
      <c r="G234" s="318" t="s">
        <v>180</v>
      </c>
      <c r="H234" s="317">
        <f t="shared" si="35"/>
        <v>46296.0</v>
      </c>
      <c r="I234" s="318" t="str">
        <f t="shared" si="36"/>
        <v>OK</v>
      </c>
      <c r="J234" s="318" t="s">
        <v>163</v>
      </c>
      <c r="K234" s="318" t="s">
        <v>181</v>
      </c>
      <c r="L234" s="320" t="s">
        <v>172</v>
      </c>
      <c r="M234" s="81"/>
      <c r="N234" s="81"/>
      <c r="O234" s="81"/>
      <c r="P234" s="81" t="str">
        <f t="shared" si="37"/>
        <v>이체</v>
      </c>
      <c r="Q234" s="81" t="str">
        <f t="shared" si="38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202610_이체_7</v>
      </c>
      <c r="S234" s="81" t="str">
        <f t="shared" si="39"/>
        <v>외부</v>
      </c>
      <c r="T234" s="81">
        <f t="shared" si="40"/>
        <v>360550</v>
      </c>
      <c r="U234" s="81">
        <f t="shared" si="41"/>
        <v>46308.848613587965</v>
      </c>
      <c r="V234" s="81"/>
      <c r="W234">
        <v>2450</v>
      </c>
      <c r="Y234">
        <f t="shared" si="42"/>
        <v>360550</v>
      </c>
      <c r="Z234">
        <f>IFERROR(IF(AND(ISNUMBER(A234),A234&gt;=$B$3,A234&lt;EDATE($B$3,1)),COUNTIFS($A$64:$A$500,"&gt;"&amp;A234,$A$64:$A$500,"&lt;"&amp;EDATE($B$3,1))+COUNTIF($A$64:A234,A234),0),0)</f>
        <v>8</v>
      </c>
    </row>
    <row r="235" spans="1:25" ht="45" hidden="1" customHeight="1" outlineLevel="1">
      <c r="A235" s="314">
        <v>46308.847924930553</v>
      </c>
      <c r="B235" s="318" t="s">
        <v>168</v>
      </c>
      <c r="C235" s="318" t="s">
        <v>15</v>
      </c>
      <c r="D235" s="318" t="s">
        <v>54</v>
      </c>
      <c r="E235" s="316">
        <v>798746</v>
      </c>
      <c r="F235" s="318" t="s">
        <v>173</v>
      </c>
      <c r="G235" s="318" t="s">
        <v>182</v>
      </c>
      <c r="H235" s="317">
        <f t="shared" si="35"/>
        <v>46296.0</v>
      </c>
      <c r="I235" s="318" t="str">
        <f t="shared" si="36"/>
        <v>OK</v>
      </c>
      <c r="J235" s="318" t="s">
        <v>163</v>
      </c>
      <c r="K235" s="318" t="s">
        <v>175</v>
      </c>
      <c r="L235" s="320" t="s">
        <v>172</v>
      </c>
      <c r="P235" t="str">
        <f t="shared" si="37"/>
        <v>이체</v>
      </c>
      <c r="Q235" t="str">
        <f t="shared" si="38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202610_이체_8</v>
      </c>
      <c r="S235" t="str">
        <f t="shared" si="39"/>
        <v>외부</v>
      </c>
      <c r="T235">
        <f t="shared" si="40"/>
        <v>798746</v>
      </c>
      <c r="U235">
        <f t="shared" si="41"/>
        <v>46308.84792493055</v>
      </c>
      <c r="W235">
        <v>2449</v>
      </c>
      <c r="Y235">
        <f t="shared" si="42"/>
        <v>798746</v>
      </c>
      <c r="Z235">
        <f>IFERROR(IF(AND(ISNUMBER(A235),A235&gt;=$B$3,A235&lt;EDATE($B$3,1)),COUNTIFS($A$64:$A$500,"&gt;"&amp;A235,$A$64:$A$500,"&lt;"&amp;EDATE($B$3,1))+COUNTIF($A$64:A235,A235),0),0)</f>
        <v>9</v>
      </c>
    </row>
    <row r="236" spans="1:25" ht="45" hidden="1" customHeight="1" outlineLevel="1">
      <c r="A236" s="314">
        <v>46308.845837777779</v>
      </c>
      <c r="B236" s="318" t="s">
        <v>168</v>
      </c>
      <c r="C236" s="318" t="s">
        <v>54</v>
      </c>
      <c r="D236" s="318" t="s">
        <v>15</v>
      </c>
      <c r="E236" s="316">
        <v>604300</v>
      </c>
      <c r="F236" s="318" t="s">
        <v>183</v>
      </c>
      <c r="G236" s="318" t="s">
        <v>184</v>
      </c>
      <c r="H236" s="317">
        <f t="shared" si="35"/>
        <v>46296.0</v>
      </c>
      <c r="I236" s="318" t="str">
        <f t="shared" si="36"/>
        <v>OK</v>
      </c>
      <c r="J236" s="318" t="s">
        <v>175</v>
      </c>
      <c r="K236" s="318" t="s">
        <v>163</v>
      </c>
      <c r="L236" s="320" t="s">
        <v>172</v>
      </c>
      <c r="P236" t="str">
        <f t="shared" si="37"/>
        <v>이체</v>
      </c>
      <c r="Q236" t="str">
        <f t="shared" si="38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202610_이체_9</v>
      </c>
      <c r="S236" t="str">
        <f t="shared" si="39"/>
        <v>생활비</v>
      </c>
      <c r="T236">
        <f t="shared" si="40"/>
        <v>604300</v>
      </c>
      <c r="U236">
        <f t="shared" si="41"/>
        <v>46308.84583777778</v>
      </c>
      <c r="W236">
        <v>2448</v>
      </c>
      <c r="Y236">
        <f t="shared" si="42"/>
        <v>604300</v>
      </c>
      <c r="Z236">
        <f>IFERROR(IF(AND(ISNUMBER(A236),A236&gt;=$B$3,A236&lt;EDATE($B$3,1)),COUNTIFS($A$64:$A$500,"&gt;"&amp;A236,$A$64:$A$500,"&lt;"&amp;EDATE($B$3,1))+COUNTIF($A$64:A236,A236),0),0)</f>
        <v>10</v>
      </c>
    </row>
    <row r="237" spans="1:25" ht="45" hidden="1" customHeight="1" outlineLevel="1">
      <c r="A237" s="314">
        <v>46308.749010173611</v>
      </c>
      <c r="B237" s="318" t="s">
        <v>168</v>
      </c>
      <c r="C237" s="318" t="s">
        <v>15</v>
      </c>
      <c r="D237" s="318" t="s">
        <v>54</v>
      </c>
      <c r="E237" s="316">
        <v>753905</v>
      </c>
      <c r="F237" s="318" t="s">
        <v>185</v>
      </c>
      <c r="G237" s="318" t="s">
        <v>186</v>
      </c>
      <c r="H237" s="317">
        <f t="shared" si="35"/>
        <v>46296.0</v>
      </c>
      <c r="I237" s="318" t="str">
        <f t="shared" si="36"/>
        <v>OK</v>
      </c>
      <c r="J237" s="318" t="s">
        <v>163</v>
      </c>
      <c r="K237" s="318" t="s">
        <v>187</v>
      </c>
      <c r="L237" s="320" t="s">
        <v>172</v>
      </c>
      <c r="P237" t="str">
        <f t="shared" si="37"/>
        <v>이체</v>
      </c>
      <c r="Q237" t="str">
        <f t="shared" si="38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202610_이체_10</v>
      </c>
      <c r="S237" t="str">
        <f t="shared" si="39"/>
        <v>외부</v>
      </c>
      <c r="T237">
        <f t="shared" si="40"/>
        <v>753905</v>
      </c>
      <c r="U237">
        <f t="shared" si="41"/>
        <v>46308.74901017361</v>
      </c>
      <c r="W237">
        <v>2446</v>
      </c>
      <c r="Y237">
        <f t="shared" si="42"/>
        <v>753905</v>
      </c>
      <c r="Z237">
        <f>IFERROR(IF(AND(ISNUMBER(A237),A237&gt;=$B$3,A237&lt;EDATE($B$3,1)),COUNTIFS($A$64:$A$500,"&gt;"&amp;A237,$A$64:$A$500,"&lt;"&amp;EDATE($B$3,1))+COUNTIF($A$64:A237,A237),0),0)</f>
        <v>11</v>
      </c>
    </row>
    <row r="238" spans="1:25" ht="45" hidden="1" customHeight="1" outlineLevel="1">
      <c r="A238" s="314">
        <v>46307.843067106478</v>
      </c>
      <c r="B238" s="318" t="s">
        <v>59</v>
      </c>
      <c r="C238" s="318" t="s">
        <v>54</v>
      </c>
      <c r="D238" s="318" t="s">
        <v>15</v>
      </c>
      <c r="E238" s="316">
        <v>8557</v>
      </c>
      <c r="F238" s="318" t="s">
        <v>188</v>
      </c>
      <c r="G238" s="318" t="s">
        <v>189</v>
      </c>
      <c r="H238" s="317">
        <f t="shared" si="35"/>
        <v>46296.0</v>
      </c>
      <c r="I238" s="318" t="str">
        <f t="shared" si="36"/>
        <v>OK</v>
      </c>
      <c r="J238" s="318" t="s">
        <v>54</v>
      </c>
      <c r="K238" s="318" t="s">
        <v>163</v>
      </c>
      <c r="L238" s="320" t="s">
        <v>190</v>
      </c>
      <c r="P238" t="str">
        <f t="shared" si="37"/>
        <v>내역</v>
      </c>
      <c r="Q238" t="str">
        <f t="shared" si="38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202610_내역_2</v>
      </c>
      <c r="S238" t="str">
        <f t="shared" si="39"/>
        <v>생활비</v>
      </c>
      <c r="T238">
        <f t="shared" si="40"/>
        <v>8557</v>
      </c>
      <c r="U238">
        <f t="shared" si="41"/>
        <v>46307.84306710648</v>
      </c>
      <c r="W238">
        <v>2442</v>
      </c>
      <c r="Y238">
        <f t="shared" si="42"/>
        <v>8557</v>
      </c>
      <c r="Z238">
        <f>IFERROR(IF(AND(ISNUMBER(A238),A238&gt;=$B$3,A238&lt;EDATE($B$3,1)),COUNTIFS($A$64:$A$500,"&gt;"&amp;A238,$A$64:$A$500,"&lt;"&amp;EDATE($B$3,1))+COUNTIF($A$64:A238,A238),0),0)</f>
        <v>12</v>
      </c>
    </row>
    <row r="239" spans="1:25" ht="45" hidden="1" customHeight="1" outlineLevel="1">
      <c r="A239" s="314">
        <v>46307.825001041667</v>
      </c>
      <c r="B239" s="318" t="s">
        <v>168</v>
      </c>
      <c r="C239" s="318" t="s">
        <v>15</v>
      </c>
      <c r="D239" s="318" t="s">
        <v>54</v>
      </c>
      <c r="E239" s="316">
        <v>1390</v>
      </c>
      <c r="F239" s="318" t="s">
        <v>191</v>
      </c>
      <c r="G239" s="318" t="s">
        <v>192</v>
      </c>
      <c r="H239" s="317">
        <f t="shared" si="35"/>
        <v>46296.0</v>
      </c>
      <c r="I239" s="318" t="str">
        <f t="shared" si="36"/>
        <v>OK</v>
      </c>
      <c r="J239" s="318" t="s">
        <v>163</v>
      </c>
      <c r="K239" s="318" t="s">
        <v>193</v>
      </c>
      <c r="L239" s="320" t="s">
        <v>172</v>
      </c>
      <c r="P239" t="str">
        <f t="shared" si="37"/>
        <v>이체</v>
      </c>
      <c r="Q239" t="str">
        <f t="shared" si="38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202610_이체_11</v>
      </c>
      <c r="S239" t="str">
        <f t="shared" si="39"/>
        <v>외부</v>
      </c>
      <c r="T239">
        <f t="shared" si="40"/>
        <v>1390</v>
      </c>
      <c r="U239">
        <f t="shared" si="41"/>
        <v>46307.82500104167</v>
      </c>
      <c r="W239">
        <v>2430</v>
      </c>
      <c r="Y239">
        <f t="shared" si="42"/>
        <v>1390</v>
      </c>
      <c r="Z239">
        <f>IFERROR(IF(AND(ISNUMBER(A239),A239&gt;=$B$3,A239&lt;EDATE($B$3,1)),COUNTIFS($A$64:$A$500,"&gt;"&amp;A239,$A$64:$A$500,"&lt;"&amp;EDATE($B$3,1))+COUNTIF($A$64:A239,A239),0),0)</f>
        <v>13</v>
      </c>
    </row>
    <row r="240" spans="1:25" ht="45" hidden="1" customHeight="1" outlineLevel="1">
      <c r="A240" s="314">
        <v>46307.824310555552</v>
      </c>
      <c r="B240" s="318" t="s">
        <v>168</v>
      </c>
      <c r="C240" s="318" t="s">
        <v>15</v>
      </c>
      <c r="D240" s="318" t="s">
        <v>54</v>
      </c>
      <c r="E240" s="316">
        <v>90410</v>
      </c>
      <c r="F240" s="318" t="s">
        <v>194</v>
      </c>
      <c r="G240" s="318" t="s">
        <v>195</v>
      </c>
      <c r="H240" s="317">
        <f t="shared" si="35"/>
        <v>46296.0</v>
      </c>
      <c r="I240" s="318" t="str">
        <f t="shared" si="36"/>
        <v>OK</v>
      </c>
      <c r="J240" s="318" t="s">
        <v>163</v>
      </c>
      <c r="K240" s="318" t="s">
        <v>196</v>
      </c>
      <c r="L240" s="320" t="s">
        <v>172</v>
      </c>
      <c r="P240" t="str">
        <f t="shared" si="37"/>
        <v>이체</v>
      </c>
      <c r="Q240" t="str">
        <f t="shared" si="38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202610_이체_12</v>
      </c>
      <c r="S240" t="str">
        <f t="shared" si="39"/>
        <v>외부</v>
      </c>
      <c r="T240">
        <f t="shared" si="40"/>
        <v>90410</v>
      </c>
      <c r="U240">
        <f t="shared" si="41"/>
        <v>46307.82431055555</v>
      </c>
      <c r="W240">
        <v>2429</v>
      </c>
      <c r="Y240">
        <f t="shared" si="42"/>
        <v>90410</v>
      </c>
      <c r="Z240">
        <f>IFERROR(IF(AND(ISNUMBER(A240),A240&gt;=$B$3,A240&lt;EDATE($B$3,1)),COUNTIFS($A$64:$A$500,"&gt;"&amp;A240,$A$64:$A$500,"&lt;"&amp;EDATE($B$3,1))+COUNTIF($A$64:A240,A240),0),0)</f>
        <v>14</v>
      </c>
    </row>
    <row r="241" spans="1:25" ht="45" hidden="1" customHeight="1" outlineLevel="1">
      <c r="A241" s="314">
        <v>46299.620147118047</v>
      </c>
      <c r="B241" s="318" t="s">
        <v>168</v>
      </c>
      <c r="C241" s="318" t="s">
        <v>15</v>
      </c>
      <c r="D241" s="318" t="s">
        <v>54</v>
      </c>
      <c r="E241" s="316">
        <v>50000</v>
      </c>
      <c r="F241" s="318" t="s">
        <v>197</v>
      </c>
      <c r="G241" s="318" t="s">
        <v>198</v>
      </c>
      <c r="H241" s="317">
        <f t="shared" si="35"/>
        <v>46296.0</v>
      </c>
      <c r="I241" s="318" t="str">
        <f t="shared" si="36"/>
        <v>OK</v>
      </c>
      <c r="J241" s="318" t="s">
        <v>163</v>
      </c>
      <c r="K241" s="318" t="s">
        <v>199</v>
      </c>
      <c r="L241" s="320" t="s">
        <v>172</v>
      </c>
      <c r="P241" t="str">
        <f t="shared" si="37"/>
        <v>이체</v>
      </c>
      <c r="Q241" t="str">
        <f t="shared" si="38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202610_이체_13</v>
      </c>
      <c r="S241" t="str">
        <f t="shared" si="39"/>
        <v>외부</v>
      </c>
      <c r="T241">
        <f t="shared" si="40"/>
        <v>50000</v>
      </c>
      <c r="U241">
        <f t="shared" si="41"/>
        <v>46299.620147118054</v>
      </c>
      <c r="W241">
        <v>2347</v>
      </c>
      <c r="Y241">
        <f t="shared" si="42"/>
        <v>50000</v>
      </c>
      <c r="Z241">
        <f>IFERROR(IF(AND(ISNUMBER(A241),A241&gt;=$B$3,A241&lt;EDATE($B$3,1)),COUNTIFS($A$64:$A$500,"&gt;"&amp;A241,$A$64:$A$500,"&lt;"&amp;EDATE($B$3,1))+COUNTIF($A$64:A241,A241),0),0)</f>
        <v>15</v>
      </c>
    </row>
    <row r="242" spans="1:25" ht="45" hidden="1" customHeight="1" outlineLevel="1">
      <c r="A242" s="314">
        <v>46297.622223078703</v>
      </c>
      <c r="B242" s="318" t="s">
        <v>95</v>
      </c>
      <c r="C242" s="318" t="s">
        <v>15</v>
      </c>
      <c r="D242" s="318" t="s">
        <v>63</v>
      </c>
      <c r="E242" s="316">
        <v>11900</v>
      </c>
      <c r="F242" s="318" t="s">
        <v>200</v>
      </c>
      <c r="G242" s="318" t="s">
        <v>201</v>
      </c>
      <c r="H242" s="317">
        <f t="shared" si="35"/>
        <v>46296.0</v>
      </c>
      <c r="I242" s="318" t="str">
        <f t="shared" si="36"/>
        <v>OK</v>
      </c>
      <c r="J242" s="318" t="s">
        <v>163</v>
      </c>
      <c r="K242" s="318" t="s">
        <v>54</v>
      </c>
      <c r="L242" s="320" t="s">
        <v>190</v>
      </c>
      <c r="P242" t="str">
        <f t="shared" si="37"/>
        <v>내역</v>
      </c>
      <c r="Q242" t="str">
        <f t="shared" si="38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202610_내역_3</v>
      </c>
      <c r="S242" t="str">
        <f t="shared" si="39"/>
        <v>지출</v>
      </c>
      <c r="T242">
        <f t="shared" si="40"/>
        <v>-11900</v>
      </c>
      <c r="U242">
        <f t="shared" si="41"/>
        <v>46297.6222230787</v>
      </c>
      <c r="W242">
        <v>2334</v>
      </c>
      <c r="Y242">
        <f t="shared" si="42"/>
        <v>11900</v>
      </c>
      <c r="Z242">
        <f>IFERROR(IF(AND(ISNUMBER(A242),A242&gt;=$B$3,A242&lt;EDATE($B$3,1)),COUNTIFS($A$64:$A$500,"&gt;"&amp;A242,$A$64:$A$500,"&lt;"&amp;EDATE($B$3,1))+COUNTIF($A$64:A242,A242),0),0)</f>
        <v>16</v>
      </c>
    </row>
    <row r="243" spans="1:25" ht="80" hidden="1" customHeight="1" outlineLevel="1">
      <c r="A243" s="83">
        <v>46266</v>
      </c>
      <c r="B243" s="84" t="s">
        <v>81</v>
      </c>
      <c r="C243" s="84" t="s">
        <v>16</v>
      </c>
      <c r="D243" s="84" t="s">
        <v>18</v>
      </c>
      <c r="E243" s="85">
        <v>100000</v>
      </c>
      <c r="F243" s="89" t="s">
        <v>202</v>
      </c>
      <c r="G243" s="90" t="s">
        <v>203</v>
      </c>
      <c r="H243" s="317">
        <f t="shared" si="35"/>
        <v>46266.0</v>
      </c>
      <c r="I243" s="318" t="str">
        <f t="shared" si="36"/>
        <v>OK</v>
      </c>
      <c r="J243" s="315"/>
      <c r="K243" s="315"/>
      <c r="L243" s="319" t="s">
        <v>57</v>
      </c>
      <c r="P243" t="str">
        <f t="shared" si="37"/>
        <v>이체</v>
      </c>
      <c r="Q243" t="str">
        <f t="shared" si="38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39"/>
        <v>경조사비</v>
      </c>
      <c r="T243">
        <f t="shared" si="40"/>
        <v>100000</v>
      </c>
      <c r="U243" t="str">
        <f t="shared" si="41"/>
        <v>날짜 미기록</v>
      </c>
      <c r="Y243">
        <f t="shared" si="42"/>
        <v>100000</v>
      </c>
      <c r="Z243">
        <f>IFERROR(IF(AND(ISNUMBER(A243),A243&gt;=$B$3,A243&lt;EDATE($B$3,1)),COUNTIFS($A$64:$A$500,"&gt;"&amp;A243,$A$64:$A$500,"&lt;"&amp;EDATE($B$3,1))+COUNTIF($A$64:A243,A243),0),0)</f>
        <v>0</v>
      </c>
    </row>
    <row r="244" spans="1:25" ht="32" hidden="1" customHeight="1" outlineLevel="1">
      <c r="A244" s="83">
        <v>46082</v>
      </c>
      <c r="B244" s="84" t="s">
        <v>53</v>
      </c>
      <c r="C244" s="84" t="s">
        <v>54</v>
      </c>
      <c r="D244" s="84" t="s">
        <v>21</v>
      </c>
      <c r="E244" s="85">
        <v>21500</v>
      </c>
      <c r="F244" s="89" t="s">
        <v>204</v>
      </c>
      <c r="G244" s="90" t="s">
        <v>205</v>
      </c>
      <c r="H244" s="317">
        <f t="shared" si="35"/>
        <v>46082.0</v>
      </c>
      <c r="I244" s="318" t="str">
        <f t="shared" si="36"/>
        <v>OK</v>
      </c>
      <c r="J244" s="315"/>
      <c r="K244" s="315"/>
      <c r="L244" s="319" t="s">
        <v>57</v>
      </c>
      <c r="P244" t="str">
        <f t="shared" si="37"/>
        <v>내역</v>
      </c>
      <c r="Q244" t="str">
        <f t="shared" si="38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39"/>
        <v>결제대금비</v>
      </c>
      <c r="T244">
        <f t="shared" si="40"/>
        <v>21500</v>
      </c>
      <c r="U244">
        <f t="shared" si="41"/>
        <v>46082.0</v>
      </c>
      <c r="Y244">
        <f t="shared" si="42"/>
        <v>21500</v>
      </c>
      <c r="Z244">
        <f>IFERROR(IF(AND(ISNUMBER(A244),A244&gt;=$B$3,A244&lt;EDATE($B$3,1)),COUNTIFS($A$64:$A$500,"&gt;"&amp;A244,$A$64:$A$500,"&lt;"&amp;EDATE($B$3,1))+COUNTIF($A$64:A244,A244),0),0)</f>
        <v>0</v>
      </c>
    </row>
    <row r="245" spans="1:25" ht="80" hidden="1" customHeight="1" outlineLevel="1">
      <c r="A245" s="314">
        <v>46308.859037118054</v>
      </c>
      <c r="B245" s="318" t="inlineStr">
        <is>
          <t xml:space="preserve">입금</t>
        </is>
      </c>
      <c r="C245" s="318" t="inlineStr">
        <is>
          <t xml:space="preserve">외부</t>
        </is>
      </c>
      <c r="D245" s="318" t="inlineStr">
        <is>
          <t xml:space="preserve">생활비</t>
        </is>
      </c>
      <c r="E245" s="316">
        <v>535</v>
      </c>
      <c r="F245" s="318" t="inlineStr">
        <is>
          <t xml:space="preserve">미래에셋 WRAP 이자</t>
        </is>
      </c>
      <c r="G245" s="318" t="inlineStr">
        <is>
          <t xml:space="preserve">RAW 2454행 · 10/13 추가 이자 535원. 10/15 RAW 재대조, WRAP에 1회 가산.</t>
        </is>
      </c>
      <c r="H245" s="317">
        <f t="shared" si="35"/>
        <v>46296.0</v>
      </c>
      <c r="I245" s="318" t="str">
        <f t="shared" si="36"/>
        <v>OK</v>
      </c>
      <c r="J245" s="318" t="inlineStr">
        <is>
          <t xml:space="preserve">외부</t>
        </is>
      </c>
      <c r="K245" s="318" t="inlineStr">
        <is>
          <t xml:space="preserve">미래에셋_WRAP형CMA</t>
        </is>
      </c>
      <c r="L245" s="320" t="inlineStr">
        <is>
          <t xml:space="preserve">WRAP입출금</t>
        </is>
      </c>
      <c r="P245" t="str">
        <f t="shared" si="37"/>
        <v>내역</v>
      </c>
      <c r="Q245" t="str">
        <f t="shared" si="38"/>
        <v>생활비</v>
      </c>
      <c r="R245" t="str">
        <f>IF(P245="","",TEXT(H245,"yyyymm")&amp;"_"&amp;P245&amp;"_"&amp;(COUNTIFS($H$64:$H$500,H245,$P$64:$P$500,P245,$A$64:$A$500,"&gt;"&amp;A245)+COUNTIFS($H$64:H245,H245,$P$64:P245,P245,$A$64:A245,A245)))</f>
        <v>202610_내역_1</v>
      </c>
      <c r="S245" t="str">
        <f t="shared" si="39"/>
        <v>생활비</v>
      </c>
      <c r="T245">
        <f t="shared" si="40"/>
        <v>535</v>
      </c>
      <c r="U245">
        <f t="shared" si="41"/>
        <v>46308.859037118054</v>
      </c>
      <c r="W245">
        <v>2454</v>
      </c>
      <c r="X245"/>
      <c r="Y245">
        <f t="shared" si="42"/>
        <v>535</v>
      </c>
      <c r="Z245">
        <f>IFERROR(IF(AND(ISNUMBER(A245),A245&gt;=$B$3,A245&lt;EDATE($B$3,1)),COUNTIFS($A$64:$A$500,"&gt;"&amp;A245,$A$64:$A$500,"&lt;"&amp;EDATE($B$3,1))+COUNTIF($A$64:A245,A245),0),0)</f>
        <v>4</v>
      </c>
    </row>
    <row r="246" spans="1:25" ht="80" hidden="1" customHeight="1" outlineLevel="1">
      <c r="A246" s="314">
        <v>46310.93959303241</v>
      </c>
      <c r="B246" s="318" t="inlineStr">
        <is>
          <t xml:space="preserve">이체</t>
        </is>
      </c>
      <c r="C246" s="318" t="inlineStr">
        <is>
          <t xml:space="preserve">외부</t>
        </is>
      </c>
      <c r="D246" s="318" t="inlineStr">
        <is>
          <t xml:space="preserve">임시보관</t>
        </is>
      </c>
      <c r="E246" s="316">
        <v>61000</v>
      </c>
      <c r="F246" s="318" t="inlineStr">
        <is>
          <t xml:space="preserve">부모 생신 미사용 원금 회수</t>
        </is>
      </c>
      <c r="G246" s="318" t="inlineStr">
        <is>
          <t xml:space="preserve">RAW 2466행. 8월 가족통장 납입 100,000 중 행사 39,000 사용, 원금 61,000 회수. 신규 수입·예비비 적립 아님. 회수 후 원장 247행에서 임시보관 → 생활비로 분류 이동.</t>
        </is>
      </c>
      <c r="H246" s="317">
        <f t="shared" si="35"/>
        <v>46296.0</v>
      </c>
      <c r="I246" s="318" t="str">
        <f t="shared" si="36"/>
        <v>OK</v>
      </c>
      <c r="J246" s="318" t="inlineStr">
        <is>
          <t xml:space="preserve">가족통장</t>
        </is>
      </c>
      <c r="K246" s="318" t="inlineStr">
        <is>
          <t xml:space="preserve">미래에셋_WRAP형CMA</t>
        </is>
      </c>
      <c r="L246" s="320" t="inlineStr">
        <is>
          <t xml:space="preserve">WRAP계좌이체</t>
        </is>
      </c>
      <c r="P246" t="str">
        <f t="shared" si="37"/>
        <v>이체</v>
      </c>
      <c r="Q246" t="str">
        <f t="shared" si="38"/>
        <v>이체</v>
      </c>
      <c r="R246" t="str">
        <f>IF(P246="","",TEXT(H246,"yyyymm")&amp;"_"&amp;P246&amp;"_"&amp;(COUNTIFS($H$64:$H$500,H246,$P$64:$P$500,P246,$A$64:$A$500,"&gt;"&amp;A246)+COUNTIFS($H$64:H246,H246,$P$64:P246,P246,$A$64:A246,A246)))</f>
        <v>202610_이체_3</v>
      </c>
      <c r="S246" t="str">
        <f t="shared" si="39"/>
        <v>임시보관</v>
      </c>
      <c r="T246">
        <f t="shared" si="40"/>
        <v>61000</v>
      </c>
      <c r="U246">
        <f t="shared" si="41"/>
        <v>46310.93959303241</v>
      </c>
      <c r="W246">
        <v>2466</v>
      </c>
      <c r="Y246">
        <f t="shared" si="42"/>
        <v>61000</v>
      </c>
      <c r="Z246">
        <f>IFERROR(IF(AND(ISNUMBER(A246),A246&gt;=$B$3,A246&lt;EDATE($B$3,1)),COUNTIFS($A$64:$A$500,"&gt;"&amp;A246,$A$64:$A$500,"&lt;"&amp;EDATE($B$3,1))+COUNTIF($A$64:A246,A246),0),0)</f>
        <v>3</v>
      </c>
    </row>
    <row r="247" spans="1:25" ht="68" hidden="1" customHeight="1" outlineLevel="1">
      <c r="A247" s="314">
        <v>46310.9587962963</v>
      </c>
      <c r="B247" s="318" t="inlineStr">
        <is>
          <t xml:space="preserve">이체</t>
        </is>
      </c>
      <c r="C247" s="318" t="inlineStr">
        <is>
          <t xml:space="preserve">임시보관</t>
        </is>
      </c>
      <c r="D247" s="318" t="inlineStr">
        <is>
          <t xml:space="preserve">생활비</t>
        </is>
      </c>
      <c r="E247" s="316">
        <v>61000</v>
      </c>
      <c r="F247" s="318" t="inlineStr">
        <is>
          <t xml:space="preserve">생신 잔금 임시보관 → 생활비</t>
        </is>
      </c>
      <c r="G247" s="318" t="inlineStr">
        <is>
          <t xml:space="preserve">사용자 요청으로 회수 원금 61,000원을 생활비로 분류 이동. 날짜는 분류 기록 시각이며 실제 은행 송금 아님. 원금 회수는 원장 246행에 별도 보존. 신규 수입·지출·적립 아님.</t>
        </is>
      </c>
      <c r="H247" s="317">
        <f t="shared" si="35"/>
        <v>46296.0</v>
      </c>
      <c r="I247" s="318" t="str">
        <f t="shared" si="36"/>
        <v>OK</v>
      </c>
      <c r="J247" s="318" t="inlineStr">
        <is>
          <t xml:space="preserve">미래에셋_WRAP형CMA</t>
        </is>
      </c>
      <c r="K247" s="318" t="inlineStr">
        <is>
          <t xml:space="preserve">미래에셋_WRAP형CMA</t>
        </is>
      </c>
      <c r="L247" s="320" t="inlineStr">
        <is>
          <t xml:space="preserve">WRAP내계정이동</t>
        </is>
      </c>
      <c r="P247" t="str">
        <f t="shared" si="37"/>
        <v>이체</v>
      </c>
      <c r="Q247" t="str">
        <f t="shared" si="38"/>
        <v>이체</v>
      </c>
      <c r="R247" t="str">
        <f>IF(P247="","",TEXT(H247,"yyyymm")&amp;"_"&amp;P247&amp;"_"&amp;(COUNTIFS($H$64:$H$500,H247,$P$64:$P$500,P247,$A$64:$A$500,"&gt;"&amp;A247)+COUNTIFS($H$64:H247,H247,$P$64:P247,P247,$A$64:A247,A247)))</f>
        <v>202610_이체_2</v>
      </c>
      <c r="S247" t="str">
        <f t="shared" si="39"/>
        <v>생활비</v>
      </c>
      <c r="T247">
        <f t="shared" si="40"/>
        <v>61000</v>
      </c>
      <c r="U247">
        <f t="shared" si="41"/>
        <v>46310.9587962963</v>
      </c>
      <c r="Y247">
        <f t="shared" si="42"/>
        <v>61000</v>
      </c>
      <c r="Z247">
        <f>IFERROR(IF(AND(ISNUMBER(A247),A247&gt;=$B$3,A247&lt;EDATE($B$3,1)),COUNTIFS($A$64:$A$500,"&gt;"&amp;A247,$A$64:$A$500,"&lt;"&amp;EDATE($B$3,1))+COUNTIF($A$64:A247,A247),0),0)</f>
        <v>2</v>
      </c>
    </row>
    <row r="248" spans="1:25" ht="68" hidden="1" customHeight="1" outlineLevel="1">
      <c r="A248" s="314">
        <v>46312.66737074074</v>
      </c>
      <c r="B248" s="315" t="inlineStr">
        <is>
          <t xml:space="preserve">이체</t>
        </is>
      </c>
      <c r="C248" s="315" t="inlineStr">
        <is>
          <t xml:space="preserve">생활비</t>
        </is>
      </c>
      <c r="D248" s="315" t="inlineStr">
        <is>
          <t xml:space="preserve">외부</t>
        </is>
      </c>
      <c r="E248" s="316">
        <v>15700</v>
      </c>
      <c r="F248" s="315" t="inlineStr">
        <is>
          <t xml:space="preserve">카카오페이 충전 · 플라잉 더치</t>
        </is>
      </c>
      <c r="G248" s="315" t="inlineStr">
        <is>
          <t xml:space="preserve">KP20261017-01 · 플라잉 더치 구매 연결(사용자 확인). 충전 RAW 2475행 15,700원 ↔ 구매 RAW 2474행 17,000원. 차액 1,300원 재원 미확정. 현금은 충전에서만 차감, 소비는 구매에서만 집계.</t>
        </is>
      </c>
      <c r="H248" s="317">
        <f t="shared" si="35"/>
        <v>46296.0</v>
      </c>
      <c r="I248" s="318" t="str">
        <f t="shared" si="36"/>
        <v>OK</v>
      </c>
      <c r="J248" s="315" t="inlineStr">
        <is>
          <t xml:space="preserve">미래에셋_WRAP형CMA</t>
        </is>
      </c>
      <c r="K248" s="315" t="inlineStr">
        <is>
          <t xml:space="preserve">카카오페이머니</t>
        </is>
      </c>
      <c r="L248" s="319" t="inlineStr">
        <is>
          <t xml:space="preserve">WRAP계좌이체</t>
        </is>
      </c>
      <c r="P248" t="str">
        <f t="shared" si="37"/>
        <v>이체</v>
      </c>
      <c r="Q248" t="str">
        <f t="shared" si="38"/>
        <v>이체</v>
      </c>
      <c r="R248" t="str">
        <f>IF(P248="","",TEXT(H248,"yyyymm")&amp;"_"&amp;P248&amp;"_"&amp;(COUNTIFS($H$64:$H$500,H248,$P$64:$P$500,P248,$A$64:$A$500,"&gt;"&amp;A248)+COUNTIFS($H$64:H248,H248,$P$64:P248,P248,$A$64:A248,A248)))</f>
        <v>202610_이체_1</v>
      </c>
      <c r="S248" t="str">
        <f t="shared" si="39"/>
        <v>외부</v>
      </c>
      <c r="T248">
        <f t="shared" si="40"/>
        <v>15700</v>
      </c>
      <c r="U248">
        <f t="shared" si="41"/>
        <v>46312.66737074074</v>
      </c>
      <c r="W248">
        <v>2475</v>
      </c>
      <c r="Y248">
        <f t="shared" si="42"/>
        <v>15700</v>
      </c>
      <c r="Z248">
        <f>IFERROR(IF(AND(ISNUMBER(A248),A248&gt;=$B$3,A248&lt;EDATE($B$3,1)),COUNTIFS($A$64:$A$500,"&gt;"&amp;A248,$A$64:$A$500,"&lt;"&amp;EDATE($B$3,1))+COUNTIF($A$64:A248,A248),0),0)</f>
        <v>1</v>
      </c>
    </row>
    <row r="249" spans="1:25" ht="32" hidden="1" customHeight="1" outlineLevel="1">
      <c r="A249" s="314"/>
      <c r="B249" s="318"/>
      <c r="C249" s="318"/>
      <c r="D249" s="318"/>
      <c r="E249" s="316"/>
      <c r="F249" s="318"/>
      <c r="G249" s="318"/>
      <c r="H249" s="317">
        <f t="shared" si="35"/>
      </c>
      <c r="I249" s="318">
        <f t="shared" si="36"/>
      </c>
      <c r="J249" s="318"/>
      <c r="K249" s="318"/>
      <c r="L249" s="320"/>
      <c r="P249">
        <f t="shared" si="37"/>
      </c>
      <c r="Q249">
        <f t="shared" si="38"/>
      </c>
      <c r="R249">
        <f>IF(P249="","",TEXT(H249,"yyyymm")&amp;"_"&amp;P249&amp;"_"&amp;(COUNTIFS($H$64:$H$500,H249,$P$64:$P$500,P249,$A$64:$A$500,"&gt;"&amp;A249)+COUNTIFS($H$64:H249,H249,$P$64:P249,P249,$A$64:A249,A249)))</f>
      </c>
      <c r="S249">
        <f t="shared" si="39"/>
      </c>
      <c r="T249">
        <f t="shared" si="40"/>
      </c>
      <c r="U249">
        <f t="shared" si="41"/>
      </c>
      <c r="Y249">
        <f t="shared" si="42"/>
      </c>
      <c r="Z249">
        <f>IFERROR(IF(AND(ISNUMBER(A249),A249&gt;=$B$3,A249&lt;EDATE($B$3,1)),COUNTIFS($A$64:$A$500,"&gt;"&amp;A249,$A$64:$A$500,"&lt;"&amp;EDATE($B$3,1))+COUNTIF($A$64:A249,A249),0),0)</f>
        <v>0</v>
      </c>
    </row>
    <row r="250" spans="1:25" ht="32" hidden="1" customHeight="1" outlineLevel="1">
      <c r="A250" s="314"/>
      <c r="B250" s="318"/>
      <c r="C250" s="318"/>
      <c r="D250" s="318"/>
      <c r="E250" s="316"/>
      <c r="F250" s="318"/>
      <c r="G250" s="318"/>
      <c r="H250" s="317">
        <f t="shared" si="35"/>
      </c>
      <c r="I250" s="318">
        <f t="shared" si="36"/>
      </c>
      <c r="J250" s="318"/>
      <c r="K250" s="318"/>
      <c r="L250" s="320"/>
      <c r="P250">
        <f t="shared" si="37"/>
      </c>
      <c r="Q250">
        <f t="shared" si="38"/>
      </c>
      <c r="R250">
        <f>IF(P250="","",TEXT(H250,"yyyymm")&amp;"_"&amp;P250&amp;"_"&amp;(COUNTIFS($H$64:$H$500,H250,$P$64:$P$500,P250,$A$64:$A$500,"&gt;"&amp;A250)+COUNTIFS($H$64:H250,H250,$P$64:P250,P250,$A$64:A250,A250)))</f>
      </c>
      <c r="S250">
        <f t="shared" si="39"/>
      </c>
      <c r="T250">
        <f t="shared" si="40"/>
      </c>
      <c r="U250">
        <f t="shared" si="41"/>
      </c>
      <c r="Y250">
        <f t="shared" si="42"/>
      </c>
      <c r="Z250">
        <f>IFERROR(IF(AND(ISNUMBER(A250),A250&gt;=$B$3,A250&lt;EDATE($B$3,1)),COUNTIFS($A$64:$A$500,"&gt;"&amp;A250,$A$64:$A$500,"&lt;"&amp;EDATE($B$3,1))+COUNTIF($A$64:A250,A250),0),0)</f>
        <v>0</v>
      </c>
    </row>
    <row r="251" spans="1:25" ht="68" hidden="1" customHeight="1" outlineLevel="1">
      <c r="A251" s="314"/>
      <c r="B251" s="315"/>
      <c r="C251" s="315"/>
      <c r="D251" s="315"/>
      <c r="E251" s="316"/>
      <c r="F251" s="315"/>
      <c r="G251" s="315"/>
      <c r="H251" s="317">
        <f t="shared" si="35"/>
      </c>
      <c r="I251" s="318">
        <f t="shared" si="36"/>
      </c>
      <c r="J251" s="315"/>
      <c r="K251" s="315"/>
      <c r="L251" s="319"/>
      <c r="P251">
        <f t="shared" si="37"/>
      </c>
      <c r="Q251">
        <f t="shared" si="38"/>
      </c>
      <c r="R251">
        <f>IF(P251="","",TEXT(H251,"yyyymm")&amp;"_"&amp;P251&amp;"_"&amp;(COUNTIFS($H$64:$H$500,H251,$P$64:$P$500,P251,$A$64:$A$500,"&gt;"&amp;A251)+COUNTIFS($H$64:H251,H251,$P$64:P251,P251,$A$64:A251,A251)))</f>
      </c>
      <c r="S251">
        <f t="shared" si="39"/>
      </c>
      <c r="T251">
        <f t="shared" si="40"/>
      </c>
      <c r="U251">
        <f t="shared" si="41"/>
      </c>
      <c r="Y251">
        <f t="shared" si="42"/>
      </c>
      <c r="Z251">
        <f>IFERROR(IF(AND(ISNUMBER(A251),A251&gt;=$B$3,A251&lt;EDATE($B$3,1)),COUNTIFS($A$64:$A$500,"&gt;"&amp;A251,$A$64:$A$500,"&lt;"&amp;EDATE($B$3,1))+COUNTIF($A$64:A251,A251),0),0)</f>
        <v>0</v>
      </c>
    </row>
    <row r="252" spans="1:25" ht="32" hidden="1" customHeight="1" outlineLevel="1">
      <c r="A252" s="314"/>
      <c r="B252" s="318"/>
      <c r="C252" s="318"/>
      <c r="D252" s="318"/>
      <c r="E252" s="316"/>
      <c r="F252" s="318"/>
      <c r="G252" s="318"/>
      <c r="H252" s="317">
        <f t="shared" si="35"/>
      </c>
      <c r="I252" s="318">
        <f t="shared" si="36"/>
      </c>
      <c r="J252" s="318"/>
      <c r="K252" s="318"/>
      <c r="L252" s="320"/>
      <c r="P252">
        <f t="shared" si="37"/>
      </c>
      <c r="Q252">
        <f t="shared" si="38"/>
      </c>
      <c r="R252">
        <f>IF(P252="","",TEXT(H252,"yyyymm")&amp;"_"&amp;P252&amp;"_"&amp;(COUNTIFS($H$64:$H$500,H252,$P$64:$P$500,P252,$A$64:$A$500,"&gt;"&amp;A252)+COUNTIFS($H$64:H252,H252,$P$64:P252,P252,$A$64:A252,A252)))</f>
      </c>
      <c r="S252">
        <f t="shared" si="39"/>
      </c>
      <c r="T252">
        <f t="shared" si="40"/>
      </c>
      <c r="U252">
        <f t="shared" si="41"/>
      </c>
      <c r="Y252">
        <f t="shared" si="42"/>
      </c>
      <c r="Z252">
        <f>IFERROR(IF(AND(ISNUMBER(A252),A252&gt;=$B$3,A252&lt;EDATE($B$3,1)),COUNTIFS($A$64:$A$500,"&gt;"&amp;A252,$A$64:$A$500,"&lt;"&amp;EDATE($B$3,1))+COUNTIF($A$64:A252,A252),0),0)</f>
        <v>0</v>
      </c>
    </row>
    <row r="253" spans="1:25" ht="32" hidden="1" customHeight="1" outlineLevel="1">
      <c r="A253" s="314"/>
      <c r="B253" s="318"/>
      <c r="C253" s="318"/>
      <c r="D253" s="318"/>
      <c r="E253" s="316"/>
      <c r="F253" s="318"/>
      <c r="G253" s="318"/>
      <c r="H253" s="317">
        <f t="shared" si="35"/>
      </c>
      <c r="I253" s="318">
        <f t="shared" si="36"/>
      </c>
      <c r="J253" s="318"/>
      <c r="K253" s="318"/>
      <c r="L253" s="320"/>
      <c r="P253">
        <f t="shared" si="37"/>
      </c>
      <c r="Q253">
        <f t="shared" si="38"/>
      </c>
      <c r="R253">
        <f>IF(P253="","",TEXT(H253,"yyyymm")&amp;"_"&amp;P253&amp;"_"&amp;(COUNTIFS($H$64:$H$500,H253,$P$64:$P$500,P253,$A$64:$A$500,"&gt;"&amp;A253)+COUNTIFS($H$64:H253,H253,$P$64:P253,P253,$A$64:A253,A253)))</f>
      </c>
      <c r="S253">
        <f t="shared" si="39"/>
      </c>
      <c r="T253">
        <f t="shared" si="40"/>
      </c>
      <c r="U253">
        <f t="shared" si="41"/>
      </c>
      <c r="Y253">
        <f t="shared" si="42"/>
      </c>
      <c r="Z253">
        <f>IFERROR(IF(AND(ISNUMBER(A253),A253&gt;=$B$3,A253&lt;EDATE($B$3,1)),COUNTIFS($A$64:$A$500,"&gt;"&amp;A253,$A$64:$A$500,"&lt;"&amp;EDATE($B$3,1))+COUNTIF($A$64:A253,A253),0),0)</f>
        <v>0</v>
      </c>
    </row>
    <row r="254" spans="1:25" ht="80" hidden="1" customHeight="1" outlineLevel="1">
      <c r="A254" s="314"/>
      <c r="B254" s="318"/>
      <c r="C254" s="318"/>
      <c r="D254" s="318"/>
      <c r="E254" s="316"/>
      <c r="F254" s="318"/>
      <c r="G254" s="318"/>
      <c r="H254" s="317">
        <f t="shared" si="35"/>
      </c>
      <c r="I254" s="318">
        <f t="shared" si="36"/>
      </c>
      <c r="J254" s="318"/>
      <c r="K254" s="318"/>
      <c r="L254" s="320"/>
      <c r="P254">
        <f t="shared" si="37"/>
      </c>
      <c r="Q254">
        <f t="shared" si="38"/>
      </c>
      <c r="R254">
        <f>IF(P254="","",TEXT(H254,"yyyymm")&amp;"_"&amp;P254&amp;"_"&amp;(COUNTIFS($H$64:$H$500,H254,$P$64:$P$500,P254,$A$64:$A$500,"&gt;"&amp;A254)+COUNTIFS($H$64:H254,H254,$P$64:P254,P254,$A$64:A254,A254)))</f>
      </c>
      <c r="S254">
        <f t="shared" si="39"/>
      </c>
      <c r="T254">
        <f t="shared" si="40"/>
      </c>
      <c r="U254">
        <f t="shared" si="41"/>
      </c>
      <c r="Y254">
        <f t="shared" si="42"/>
      </c>
      <c r="Z254">
        <f>IFERROR(IF(AND(ISNUMBER(A254),A254&gt;=$B$3,A254&lt;EDATE($B$3,1)),COUNTIFS($A$64:$A$500,"&gt;"&amp;A254,$A$64:$A$500,"&lt;"&amp;EDATE($B$3,1))+COUNTIF($A$64:A254,A254),0),0)</f>
        <v>0</v>
      </c>
    </row>
    <row r="255" spans="1:25" ht="68" hidden="1" customHeight="1" outlineLevel="1">
      <c r="A255" s="314"/>
      <c r="B255" s="315"/>
      <c r="C255" s="315"/>
      <c r="D255" s="315"/>
      <c r="E255" s="316"/>
      <c r="F255" s="315"/>
      <c r="G255" s="315"/>
      <c r="H255" s="317">
        <f t="shared" si="35"/>
      </c>
      <c r="I255" s="318">
        <f t="shared" si="36"/>
      </c>
      <c r="J255" s="315"/>
      <c r="K255" s="315"/>
      <c r="L255" s="319"/>
      <c r="P255">
        <f t="shared" si="37"/>
      </c>
      <c r="Q255">
        <f t="shared" si="38"/>
      </c>
      <c r="R255">
        <f>IF(P255="","",TEXT(H255,"yyyymm")&amp;"_"&amp;P255&amp;"_"&amp;(COUNTIFS($H$64:$H$500,H255,$P$64:$P$500,P255,$A$64:$A$500,"&gt;"&amp;A255)+COUNTIFS($H$64:H255,H255,$P$64:P255,P255,$A$64:A255,A255)))</f>
      </c>
      <c r="S255">
        <f t="shared" si="39"/>
      </c>
      <c r="T255">
        <f t="shared" si="40"/>
      </c>
      <c r="U255">
        <f t="shared" si="41"/>
      </c>
      <c r="Y255">
        <f t="shared" si="42"/>
      </c>
      <c r="Z255">
        <f>IFERROR(IF(AND(ISNUMBER(A255),A255&gt;=$B$3,A255&lt;EDATE($B$3,1)),COUNTIFS($A$64:$A$500,"&gt;"&amp;A255,$A$64:$A$500,"&lt;"&amp;EDATE($B$3,1))+COUNTIF($A$64:A255,A255),0),0)</f>
        <v>0</v>
      </c>
    </row>
    <row r="256" spans="1:25" ht="68" hidden="1" customHeight="1" outlineLevel="1">
      <c r="A256" s="314"/>
      <c r="B256" s="315"/>
      <c r="C256" s="315"/>
      <c r="D256" s="315"/>
      <c r="E256" s="316"/>
      <c r="F256" s="315"/>
      <c r="G256" s="315"/>
      <c r="H256" s="317">
        <f t="shared" ref="H256:H319" si="43">IF(A256="","",DATE(YEAR(A256),MONTH(A256),1))</f>
      </c>
      <c r="I256" s="318">
        <f t="shared" ref="I256:I319" si="44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</c>
      <c r="J256" s="315"/>
      <c r="K256" s="315"/>
      <c r="L256" s="319"/>
      <c r="P256">
        <f t="shared" ref="P256:P319" si="45">IF(Q256="","",IF(Q256="이체","이체","내역"))</f>
      </c>
      <c r="Q256">
        <f t="shared" ref="Q256:Q319" si="46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</c>
      <c r="R256">
        <f>IF(P256="","",TEXT(H256,"yyyymm")&amp;"_"&amp;P256&amp;"_"&amp;(COUNTIFS($H$64:$H$500,H256,$P$64:$P$500,P256,$A$64:$A$500,"&gt;"&amp;A256)+COUNTIFS($H$64:H256,H256,$P$64:P256,P256,$A$64:A256,A256)))</f>
      </c>
      <c r="S256">
        <f t="shared" ref="S256:S319" si="47">IF(Q256="","",D256)</f>
      </c>
      <c r="T256">
        <f t="shared" ref="T256:T319" si="48">IF(Q256="","",IF(Q256="이체",E256,IF(D256=Q256,E256,-E256)))</f>
      </c>
      <c r="U256">
        <f t="shared" ref="U256:U319" si="49">IF(Q256="","",IF(ISNUMBER(SEARCH("날짜 미기록",G256)),"날짜 미기록",A256))</f>
      </c>
      <c r="Y256">
        <f t="shared" ref="Y256:Y319" si="50">IF(A256="","",IF(I256="OK",E256,0))</f>
      </c>
      <c r="Z256">
        <f>IFERROR(IF(AND(ISNUMBER(A256),A256&gt;=$B$3,A256&lt;EDATE($B$3,1)),COUNTIFS($A$64:$A$500,"&gt;"&amp;A256,$A$64:$A$500,"&lt;"&amp;EDATE($B$3,1))+COUNTIF($A$64:A256,A256),0),0)</f>
        <v>0</v>
      </c>
    </row>
    <row r="257" spans="1:25" ht="68" hidden="1" customHeight="1" outlineLevel="1">
      <c r="A257" s="314"/>
      <c r="B257" s="315"/>
      <c r="C257" s="315"/>
      <c r="D257" s="315"/>
      <c r="E257" s="316"/>
      <c r="F257" s="315"/>
      <c r="G257" s="315"/>
      <c r="H257" s="317">
        <f t="shared" si="43"/>
      </c>
      <c r="I257" s="318">
        <f t="shared" si="44"/>
      </c>
      <c r="J257" s="315"/>
      <c r="K257" s="315"/>
      <c r="L257" s="319"/>
      <c r="P257">
        <f t="shared" si="45"/>
      </c>
      <c r="Q257">
        <f t="shared" si="46"/>
      </c>
      <c r="R257">
        <f>IF(P257="","",TEXT(H257,"yyyymm")&amp;"_"&amp;P257&amp;"_"&amp;(COUNTIFS($H$64:$H$500,H257,$P$64:$P$500,P257,$A$64:$A$500,"&gt;"&amp;A257)+COUNTIFS($H$64:H257,H257,$P$64:P257,P257,$A$64:A257,A257)))</f>
      </c>
      <c r="S257">
        <f t="shared" si="47"/>
      </c>
      <c r="T257">
        <f t="shared" si="48"/>
      </c>
      <c r="U257">
        <f t="shared" si="49"/>
      </c>
      <c r="Y257">
        <f t="shared" si="50"/>
      </c>
      <c r="Z257">
        <f>IFERROR(IF(AND(ISNUMBER(A257),A257&gt;=$B$3,A257&lt;EDATE($B$3,1)),COUNTIFS($A$64:$A$500,"&gt;"&amp;A257,$A$64:$A$500,"&lt;"&amp;EDATE($B$3,1))+COUNTIF($A$64:A257,A257),0),0)</f>
        <v>0</v>
      </c>
    </row>
    <row r="258" spans="1:25" ht="32" hidden="1" customHeight="1" outlineLevel="1">
      <c r="A258" s="314"/>
      <c r="B258" s="318"/>
      <c r="C258" s="318"/>
      <c r="D258" s="318"/>
      <c r="E258" s="316"/>
      <c r="F258" s="318"/>
      <c r="G258" s="318"/>
      <c r="H258" s="317">
        <f t="shared" si="43"/>
      </c>
      <c r="I258" s="318">
        <f t="shared" si="44"/>
      </c>
      <c r="J258" s="318"/>
      <c r="K258" s="318"/>
      <c r="L258" s="320"/>
      <c r="P258">
        <f t="shared" si="45"/>
      </c>
      <c r="Q258">
        <f t="shared" si="46"/>
      </c>
      <c r="R258">
        <f>IF(P258="","",TEXT(H258,"yyyymm")&amp;"_"&amp;P258&amp;"_"&amp;(COUNTIFS($H$64:$H$500,H258,$P$64:$P$500,P258,$A$64:$A$500,"&gt;"&amp;A258)+COUNTIFS($H$64:H258,H258,$P$64:P258,P258,$A$64:A258,A258)))</f>
      </c>
      <c r="S258">
        <f t="shared" si="47"/>
      </c>
      <c r="T258">
        <f t="shared" si="48"/>
      </c>
      <c r="U258">
        <f t="shared" si="49"/>
      </c>
      <c r="Y258">
        <f t="shared" si="50"/>
      </c>
      <c r="Z258">
        <f>IFERROR(IF(AND(ISNUMBER(A258),A258&gt;=$B$3,A258&lt;EDATE($B$3,1)),COUNTIFS($A$64:$A$500,"&gt;"&amp;A258,$A$64:$A$500,"&lt;"&amp;EDATE($B$3,1))+COUNTIF($A$64:A258,A258),0),0)</f>
        <v>0</v>
      </c>
    </row>
    <row r="259" spans="1:25" ht="32" hidden="1" customHeight="1" outlineLevel="1">
      <c r="A259" s="314"/>
      <c r="B259" s="318"/>
      <c r="C259" s="318"/>
      <c r="D259" s="318"/>
      <c r="E259" s="316"/>
      <c r="F259" s="318"/>
      <c r="G259" s="318"/>
      <c r="H259" s="317">
        <f t="shared" si="43"/>
      </c>
      <c r="I259" s="318">
        <f t="shared" si="44"/>
      </c>
      <c r="J259" s="318"/>
      <c r="K259" s="318"/>
      <c r="L259" s="320"/>
      <c r="P259">
        <f t="shared" si="45"/>
      </c>
      <c r="Q259">
        <f t="shared" si="46"/>
      </c>
      <c r="R259">
        <f>IF(P259="","",TEXT(H259,"yyyymm")&amp;"_"&amp;P259&amp;"_"&amp;(COUNTIFS($H$64:$H$500,H259,$P$64:$P$500,P259,$A$64:$A$500,"&gt;"&amp;A259)+COUNTIFS($H$64:H259,H259,$P$64:P259,P259,$A$64:A259,A259)))</f>
      </c>
      <c r="S259">
        <f t="shared" si="47"/>
      </c>
      <c r="T259">
        <f t="shared" si="48"/>
      </c>
      <c r="U259">
        <f t="shared" si="49"/>
      </c>
      <c r="Y259">
        <f t="shared" si="50"/>
      </c>
      <c r="Z259">
        <f>IFERROR(IF(AND(ISNUMBER(A259),A259&gt;=$B$3,A259&lt;EDATE($B$3,1)),COUNTIFS($A$64:$A$500,"&gt;"&amp;A259,$A$64:$A$500,"&lt;"&amp;EDATE($B$3,1))+COUNTIF($A$64:A259,A259),0),0)</f>
        <v>0</v>
      </c>
    </row>
    <row r="260" spans="1:25" ht="56" hidden="1" customHeight="1" outlineLevel="1">
      <c r="A260" s="314"/>
      <c r="B260" s="318"/>
      <c r="C260" s="318"/>
      <c r="D260" s="318"/>
      <c r="E260" s="316"/>
      <c r="F260" s="318"/>
      <c r="G260" s="318"/>
      <c r="H260" s="317">
        <f t="shared" si="43"/>
      </c>
      <c r="I260" s="318">
        <f t="shared" si="44"/>
      </c>
      <c r="J260" s="318"/>
      <c r="K260" s="318"/>
      <c r="L260" s="320"/>
      <c r="P260">
        <f t="shared" si="45"/>
      </c>
      <c r="Q260">
        <f t="shared" si="46"/>
      </c>
      <c r="R260">
        <f>IF(P260="","",TEXT(H260,"yyyymm")&amp;"_"&amp;P260&amp;"_"&amp;(COUNTIFS($H$64:$H$500,H260,$P$64:$P$500,P260,$A$64:$A$500,"&gt;"&amp;A260)+COUNTIFS($H$64:H260,H260,$P$64:P260,P260,$A$64:A260,A260)))</f>
      </c>
      <c r="S260">
        <f t="shared" si="47"/>
      </c>
      <c r="T260">
        <f t="shared" si="48"/>
      </c>
      <c r="U260">
        <f t="shared" si="49"/>
      </c>
      <c r="Y260">
        <f t="shared" si="50"/>
      </c>
      <c r="Z260">
        <f>IFERROR(IF(AND(ISNUMBER(A260),A260&gt;=$B$3,A260&lt;EDATE($B$3,1)),COUNTIFS($A$64:$A$500,"&gt;"&amp;A260,$A$64:$A$500,"&lt;"&amp;EDATE($B$3,1))+COUNTIF($A$64:A260,A260),0),0)</f>
        <v>0</v>
      </c>
    </row>
    <row r="261" spans="1:25" ht="32" hidden="1" customHeight="1" outlineLevel="1">
      <c r="A261" s="314"/>
      <c r="B261" s="318"/>
      <c r="C261" s="318"/>
      <c r="D261" s="318"/>
      <c r="E261" s="316"/>
      <c r="F261" s="318"/>
      <c r="G261" s="318"/>
      <c r="H261" s="317">
        <f t="shared" si="43"/>
      </c>
      <c r="I261" s="318">
        <f t="shared" si="44"/>
      </c>
      <c r="J261" s="318"/>
      <c r="K261" s="318"/>
      <c r="L261" s="320"/>
      <c r="P261">
        <f t="shared" si="45"/>
      </c>
      <c r="Q261">
        <f t="shared" si="46"/>
      </c>
      <c r="R261">
        <f>IF(P261="","",TEXT(H261,"yyyymm")&amp;"_"&amp;P261&amp;"_"&amp;(COUNTIFS($H$64:$H$500,H261,$P$64:$P$500,P261,$A$64:$A$500,"&gt;"&amp;A261)+COUNTIFS($H$64:H261,H261,$P$64:P261,P261,$A$64:A261,A261)))</f>
      </c>
      <c r="S261">
        <f t="shared" si="47"/>
      </c>
      <c r="T261">
        <f t="shared" si="48"/>
      </c>
      <c r="U261">
        <f t="shared" si="49"/>
      </c>
      <c r="Y261">
        <f t="shared" si="50"/>
      </c>
      <c r="Z261">
        <f>IFERROR(IF(AND(ISNUMBER(A261),A261&gt;=$B$3,A261&lt;EDATE($B$3,1)),COUNTIFS($A$64:$A$500,"&gt;"&amp;A261,$A$64:$A$500,"&lt;"&amp;EDATE($B$3,1))+COUNTIF($A$64:A261,A261),0),0)</f>
        <v>0</v>
      </c>
    </row>
    <row r="262" spans="1:25" ht="32" hidden="1" customHeight="1" outlineLevel="1">
      <c r="A262" s="314"/>
      <c r="B262" s="318"/>
      <c r="C262" s="318"/>
      <c r="D262" s="318"/>
      <c r="E262" s="316"/>
      <c r="F262" s="318"/>
      <c r="G262" s="318"/>
      <c r="H262" s="317">
        <f t="shared" si="43"/>
      </c>
      <c r="I262" s="318">
        <f t="shared" si="44"/>
      </c>
      <c r="J262" s="318"/>
      <c r="K262" s="318"/>
      <c r="L262" s="320"/>
      <c r="P262">
        <f t="shared" si="45"/>
      </c>
      <c r="Q262">
        <f t="shared" si="46"/>
      </c>
      <c r="R262">
        <f>IF(P262="","",TEXT(H262,"yyyymm")&amp;"_"&amp;P262&amp;"_"&amp;(COUNTIFS($H$64:$H$500,H262,$P$64:$P$500,P262,$A$64:$A$500,"&gt;"&amp;A262)+COUNTIFS($H$64:H262,H262,$P$64:P262,P262,$A$64:A262,A262)))</f>
      </c>
      <c r="S262">
        <f t="shared" si="47"/>
      </c>
      <c r="T262">
        <f t="shared" si="48"/>
      </c>
      <c r="U262">
        <f t="shared" si="49"/>
      </c>
      <c r="Y262">
        <f t="shared" si="50"/>
      </c>
      <c r="Z262">
        <f>IFERROR(IF(AND(ISNUMBER(A262),A262&gt;=$B$3,A262&lt;EDATE($B$3,1)),COUNTIFS($A$64:$A$500,"&gt;"&amp;A262,$A$64:$A$500,"&lt;"&amp;EDATE($B$3,1))+COUNTIF($A$64:A262,A262),0),0)</f>
        <v>0</v>
      </c>
    </row>
    <row r="263" spans="1:25" ht="32" hidden="1" customHeight="1" outlineLevel="1">
      <c r="A263" s="314"/>
      <c r="B263" s="318"/>
      <c r="C263" s="318"/>
      <c r="D263" s="318"/>
      <c r="E263" s="316"/>
      <c r="F263" s="318"/>
      <c r="G263" s="318"/>
      <c r="H263" s="317">
        <f t="shared" si="43"/>
      </c>
      <c r="I263" s="318">
        <f t="shared" si="44"/>
      </c>
      <c r="J263" s="318"/>
      <c r="K263" s="318"/>
      <c r="L263" s="320"/>
      <c r="P263">
        <f t="shared" si="45"/>
      </c>
      <c r="Q263">
        <f t="shared" si="46"/>
      </c>
      <c r="R263">
        <f>IF(P263="","",TEXT(H263,"yyyymm")&amp;"_"&amp;P263&amp;"_"&amp;(COUNTIFS($H$64:$H$500,H263,$P$64:$P$500,P263,$A$64:$A$500,"&gt;"&amp;A263)+COUNTIFS($H$64:H263,H263,$P$64:P263,P263,$A$64:A263,A263)))</f>
      </c>
      <c r="S263">
        <f t="shared" si="47"/>
      </c>
      <c r="T263">
        <f t="shared" si="48"/>
      </c>
      <c r="U263">
        <f t="shared" si="49"/>
      </c>
      <c r="Y263">
        <f t="shared" si="50"/>
      </c>
      <c r="Z263">
        <f>IFERROR(IF(AND(ISNUMBER(A263),A263&gt;=$B$3,A263&lt;EDATE($B$3,1)),COUNTIFS($A$64:$A$500,"&gt;"&amp;A263,$A$64:$A$500,"&lt;"&amp;EDATE($B$3,1))+COUNTIF($A$64:A263,A263),0),0)</f>
        <v>0</v>
      </c>
    </row>
    <row r="264" spans="1:25" ht="68" hidden="1" customHeight="1" outlineLevel="1">
      <c r="A264" s="314"/>
      <c r="B264" s="315"/>
      <c r="C264" s="315"/>
      <c r="D264" s="315"/>
      <c r="E264" s="316"/>
      <c r="F264" s="315"/>
      <c r="G264" s="315"/>
      <c r="H264" s="317">
        <f t="shared" si="43"/>
      </c>
      <c r="I264" s="318">
        <f t="shared" si="44"/>
      </c>
      <c r="J264" s="315"/>
      <c r="K264" s="315"/>
      <c r="L264" s="319"/>
      <c r="P264">
        <f t="shared" si="45"/>
      </c>
      <c r="Q264">
        <f t="shared" si="46"/>
      </c>
      <c r="R264">
        <f>IF(P264="","",TEXT(H264,"yyyymm")&amp;"_"&amp;P264&amp;"_"&amp;(COUNTIFS($H$64:$H$500,H264,$P$64:$P$500,P264,$A$64:$A$500,"&gt;"&amp;A264)+COUNTIFS($H$64:H264,H264,$P$64:P264,P264,$A$64:A264,A264)))</f>
      </c>
      <c r="S264">
        <f t="shared" si="47"/>
      </c>
      <c r="T264">
        <f t="shared" si="48"/>
      </c>
      <c r="U264">
        <f t="shared" si="49"/>
      </c>
      <c r="Y264">
        <f t="shared" si="50"/>
      </c>
      <c r="Z264">
        <f>IFERROR(IF(AND(ISNUMBER(A264),A264&gt;=$B$3,A264&lt;EDATE($B$3,1)),COUNTIFS($A$64:$A$500,"&gt;"&amp;A264,$A$64:$A$500,"&lt;"&amp;EDATE($B$3,1))+COUNTIF($A$64:A264,A264),0),0)</f>
        <v>0</v>
      </c>
    </row>
    <row r="265" spans="1:25" ht="68" hidden="1" customHeight="1" outlineLevel="1">
      <c r="A265" s="314"/>
      <c r="B265" s="315"/>
      <c r="C265" s="315"/>
      <c r="D265" s="315"/>
      <c r="E265" s="316"/>
      <c r="F265" s="315"/>
      <c r="G265" s="315"/>
      <c r="H265" s="317">
        <f t="shared" si="43"/>
      </c>
      <c r="I265" s="318">
        <f t="shared" si="44"/>
      </c>
      <c r="J265" s="315"/>
      <c r="K265" s="315"/>
      <c r="L265" s="319"/>
      <c r="P265">
        <f t="shared" si="45"/>
      </c>
      <c r="Q265">
        <f t="shared" si="46"/>
      </c>
      <c r="R265">
        <f>IF(P265="","",TEXT(H265,"yyyymm")&amp;"_"&amp;P265&amp;"_"&amp;(COUNTIFS($H$64:$H$500,H265,$P$64:$P$500,P265,$A$64:$A$500,"&gt;"&amp;A265)+COUNTIFS($H$64:H265,H265,$P$64:P265,P265,$A$64:A265,A265)))</f>
      </c>
      <c r="S265">
        <f t="shared" si="47"/>
      </c>
      <c r="T265">
        <f t="shared" si="48"/>
      </c>
      <c r="U265">
        <f t="shared" si="49"/>
      </c>
      <c r="Y265">
        <f t="shared" si="50"/>
      </c>
      <c r="Z265">
        <f>IFERROR(IF(AND(ISNUMBER(A265),A265&gt;=$B$3,A265&lt;EDATE($B$3,1)),COUNTIFS($A$64:$A$500,"&gt;"&amp;A265,$A$64:$A$500,"&lt;"&amp;EDATE($B$3,1))+COUNTIF($A$64:A265,A265),0),0)</f>
        <v>0</v>
      </c>
    </row>
    <row r="266" spans="1:25" ht="56" hidden="1" customHeight="1" outlineLevel="1">
      <c r="A266" s="314"/>
      <c r="B266" s="318"/>
      <c r="C266" s="318"/>
      <c r="D266" s="318"/>
      <c r="E266" s="316"/>
      <c r="F266" s="318"/>
      <c r="G266" s="318"/>
      <c r="H266" s="317">
        <f t="shared" si="43"/>
      </c>
      <c r="I266" s="318">
        <f t="shared" si="44"/>
      </c>
      <c r="J266" s="318"/>
      <c r="K266" s="318"/>
      <c r="L266" s="320"/>
      <c r="P266">
        <f t="shared" si="45"/>
      </c>
      <c r="Q266">
        <f t="shared" si="46"/>
      </c>
      <c r="R266">
        <f>IF(P266="","",TEXT(H266,"yyyymm")&amp;"_"&amp;P266&amp;"_"&amp;(COUNTIFS($H$64:$H$500,H266,$P$64:$P$500,P266,$A$64:$A$500,"&gt;"&amp;A266)+COUNTIFS($H$64:H266,H266,$P$64:P266,P266,$A$64:A266,A266)))</f>
      </c>
      <c r="S266">
        <f t="shared" si="47"/>
      </c>
      <c r="T266">
        <f t="shared" si="48"/>
      </c>
      <c r="U266">
        <f t="shared" si="49"/>
      </c>
      <c r="Y266">
        <f t="shared" si="50"/>
      </c>
      <c r="Z266">
        <f>IFERROR(IF(AND(ISNUMBER(A266),A266&gt;=$B$3,A266&lt;EDATE($B$3,1)),COUNTIFS($A$64:$A$500,"&gt;"&amp;A266,$A$64:$A$500,"&lt;"&amp;EDATE($B$3,1))+COUNTIF($A$64:A266,A266),0),0)</f>
        <v>0</v>
      </c>
    </row>
    <row r="267" spans="1:25" ht="32" hidden="1" customHeight="1" outlineLevel="1">
      <c r="A267" s="314"/>
      <c r="B267" s="318"/>
      <c r="C267" s="318"/>
      <c r="D267" s="318"/>
      <c r="E267" s="316"/>
      <c r="F267" s="318"/>
      <c r="G267" s="318"/>
      <c r="H267" s="317">
        <f t="shared" si="43"/>
      </c>
      <c r="I267" s="318">
        <f t="shared" si="44"/>
      </c>
      <c r="J267" s="318"/>
      <c r="K267" s="318"/>
      <c r="L267" s="320"/>
      <c r="P267">
        <f t="shared" si="45"/>
      </c>
      <c r="Q267">
        <f t="shared" si="46"/>
      </c>
      <c r="R267">
        <f>IF(P267="","",TEXT(H267,"yyyymm")&amp;"_"&amp;P267&amp;"_"&amp;(COUNTIFS($H$64:$H$500,H267,$P$64:$P$500,P267,$A$64:$A$500,"&gt;"&amp;A267)+COUNTIFS($H$64:H267,H267,$P$64:P267,P267,$A$64:A267,A267)))</f>
      </c>
      <c r="S267">
        <f t="shared" si="47"/>
      </c>
      <c r="T267">
        <f t="shared" si="48"/>
      </c>
      <c r="U267">
        <f t="shared" si="49"/>
      </c>
      <c r="Y267">
        <f t="shared" si="50"/>
      </c>
      <c r="Z267">
        <f>IFERROR(IF(AND(ISNUMBER(A267),A267&gt;=$B$3,A267&lt;EDATE($B$3,1)),COUNTIFS($A$64:$A$500,"&gt;"&amp;A267,$A$64:$A$500,"&lt;"&amp;EDATE($B$3,1))+COUNTIF($A$64:A267,A267),0),0)</f>
        <v>0</v>
      </c>
    </row>
    <row r="268" spans="1:25" ht="68" hidden="1" customHeight="1" outlineLevel="1">
      <c r="A268" s="314"/>
      <c r="B268" s="315"/>
      <c r="C268" s="315"/>
      <c r="D268" s="315"/>
      <c r="E268" s="316"/>
      <c r="F268" s="315"/>
      <c r="G268" s="315"/>
      <c r="H268" s="317">
        <f t="shared" si="43"/>
      </c>
      <c r="I268" s="318">
        <f t="shared" si="44"/>
      </c>
      <c r="J268" s="315"/>
      <c r="K268" s="315"/>
      <c r="L268" s="319"/>
      <c r="P268">
        <f t="shared" si="45"/>
      </c>
      <c r="Q268">
        <f t="shared" si="46"/>
      </c>
      <c r="R268">
        <f>IF(P268="","",TEXT(H268,"yyyymm")&amp;"_"&amp;P268&amp;"_"&amp;(COUNTIFS($H$64:$H$500,H268,$P$64:$P$500,P268,$A$64:$A$500,"&gt;"&amp;A268)+COUNTIFS($H$64:H268,H268,$P$64:P268,P268,$A$64:A268,A268)))</f>
      </c>
      <c r="S268">
        <f t="shared" si="47"/>
      </c>
      <c r="T268">
        <f t="shared" si="48"/>
      </c>
      <c r="U268">
        <f t="shared" si="49"/>
      </c>
      <c r="Y268">
        <f t="shared" si="50"/>
      </c>
      <c r="Z268">
        <f>IFERROR(IF(AND(ISNUMBER(A268),A268&gt;=$B$3,A268&lt;EDATE($B$3,1)),COUNTIFS($A$64:$A$500,"&gt;"&amp;A268,$A$64:$A$500,"&lt;"&amp;EDATE($B$3,1))+COUNTIF($A$64:A268,A268),0),0)</f>
        <v>0</v>
      </c>
    </row>
    <row r="269" spans="1:25" ht="68" hidden="1" customHeight="1" outlineLevel="1">
      <c r="A269" s="314"/>
      <c r="B269" s="315"/>
      <c r="C269" s="315"/>
      <c r="D269" s="315"/>
      <c r="E269" s="316"/>
      <c r="F269" s="315"/>
      <c r="G269" s="315"/>
      <c r="H269" s="317">
        <f t="shared" si="43"/>
      </c>
      <c r="I269" s="318">
        <f t="shared" si="44"/>
      </c>
      <c r="J269" s="315"/>
      <c r="K269" s="315"/>
      <c r="L269" s="319"/>
      <c r="P269">
        <f t="shared" si="45"/>
      </c>
      <c r="Q269">
        <f t="shared" si="46"/>
      </c>
      <c r="R269">
        <f>IF(P269="","",TEXT(H269,"yyyymm")&amp;"_"&amp;P269&amp;"_"&amp;(COUNTIFS($H$64:$H$500,H269,$P$64:$P$500,P269,$A$64:$A$500,"&gt;"&amp;A269)+COUNTIFS($H$64:H269,H269,$P$64:P269,P269,$A$64:A269,A269)))</f>
      </c>
      <c r="S269">
        <f t="shared" si="47"/>
      </c>
      <c r="T269">
        <f t="shared" si="48"/>
      </c>
      <c r="U269">
        <f t="shared" si="49"/>
      </c>
      <c r="Y269">
        <f t="shared" si="50"/>
      </c>
      <c r="Z269">
        <f>IFERROR(IF(AND(ISNUMBER(A269),A269&gt;=$B$3,A269&lt;EDATE($B$3,1)),COUNTIFS($A$64:$A$500,"&gt;"&amp;A269,$A$64:$A$500,"&lt;"&amp;EDATE($B$3,1))+COUNTIF($A$64:A269,A269),0),0)</f>
        <v>0</v>
      </c>
    </row>
    <row r="270" spans="1:25" ht="68" hidden="1" customHeight="1" outlineLevel="1">
      <c r="A270" s="314"/>
      <c r="B270" s="315"/>
      <c r="C270" s="315"/>
      <c r="D270" s="315"/>
      <c r="E270" s="316"/>
      <c r="F270" s="315"/>
      <c r="G270" s="315"/>
      <c r="H270" s="317">
        <f t="shared" si="43"/>
      </c>
      <c r="I270" s="318">
        <f t="shared" si="44"/>
      </c>
      <c r="J270" s="315"/>
      <c r="K270" s="315"/>
      <c r="L270" s="319"/>
      <c r="P270">
        <f t="shared" si="45"/>
      </c>
      <c r="Q270">
        <f t="shared" si="46"/>
      </c>
      <c r="R270">
        <f>IF(P270="","",TEXT(H270,"yyyymm")&amp;"_"&amp;P270&amp;"_"&amp;(COUNTIFS($H$64:$H$500,H270,$P$64:$P$500,P270,$A$64:$A$500,"&gt;"&amp;A270)+COUNTIFS($H$64:H270,H270,$P$64:P270,P270,$A$64:A270,A270)))</f>
      </c>
      <c r="S270">
        <f t="shared" si="47"/>
      </c>
      <c r="T270">
        <f t="shared" si="48"/>
      </c>
      <c r="U270">
        <f t="shared" si="49"/>
      </c>
      <c r="Y270">
        <f t="shared" si="50"/>
      </c>
      <c r="Z270">
        <f>IFERROR(IF(AND(ISNUMBER(A270),A270&gt;=$B$3,A270&lt;EDATE($B$3,1)),COUNTIFS($A$64:$A$500,"&gt;"&amp;A270,$A$64:$A$500,"&lt;"&amp;EDATE($B$3,1))+COUNTIF($A$64:A270,A270),0),0)</f>
        <v>0</v>
      </c>
    </row>
    <row r="271" spans="1:25" ht="68" hidden="1" customHeight="1" outlineLevel="1">
      <c r="A271" s="314"/>
      <c r="B271" s="315"/>
      <c r="C271" s="315"/>
      <c r="D271" s="315"/>
      <c r="E271" s="316"/>
      <c r="F271" s="315"/>
      <c r="G271" s="315"/>
      <c r="H271" s="317">
        <f t="shared" si="43"/>
      </c>
      <c r="I271" s="318">
        <f t="shared" si="44"/>
      </c>
      <c r="J271" s="315"/>
      <c r="K271" s="315"/>
      <c r="L271" s="319"/>
      <c r="P271">
        <f t="shared" si="45"/>
      </c>
      <c r="Q271">
        <f t="shared" si="46"/>
      </c>
      <c r="R271">
        <f>IF(P271="","",TEXT(H271,"yyyymm")&amp;"_"&amp;P271&amp;"_"&amp;(COUNTIFS($H$64:$H$500,H271,$P$64:$P$500,P271,$A$64:$A$500,"&gt;"&amp;A271)+COUNTIFS($H$64:H271,H271,$P$64:P271,P271,$A$64:A271,A271)))</f>
      </c>
      <c r="S271">
        <f t="shared" si="47"/>
      </c>
      <c r="T271">
        <f t="shared" si="48"/>
      </c>
      <c r="U271">
        <f t="shared" si="49"/>
      </c>
      <c r="Y271">
        <f t="shared" si="50"/>
      </c>
      <c r="Z271">
        <f>IFERROR(IF(AND(ISNUMBER(A271),A271&gt;=$B$3,A271&lt;EDATE($B$3,1)),COUNTIFS($A$64:$A$500,"&gt;"&amp;A271,$A$64:$A$500,"&lt;"&amp;EDATE($B$3,1))+COUNTIF($A$64:A271,A271),0),0)</f>
        <v>0</v>
      </c>
    </row>
    <row r="272" spans="1:25" ht="68" hidden="1" customHeight="1" outlineLevel="1">
      <c r="A272" s="314"/>
      <c r="B272" s="315"/>
      <c r="C272" s="315"/>
      <c r="D272" s="315"/>
      <c r="E272" s="316"/>
      <c r="F272" s="315"/>
      <c r="G272" s="315"/>
      <c r="H272" s="317">
        <f t="shared" si="43"/>
      </c>
      <c r="I272" s="318">
        <f t="shared" si="44"/>
      </c>
      <c r="J272" s="315"/>
      <c r="K272" s="315"/>
      <c r="L272" s="319"/>
      <c r="P272">
        <f t="shared" si="45"/>
      </c>
      <c r="Q272">
        <f t="shared" si="46"/>
      </c>
      <c r="R272">
        <f>IF(P272="","",TEXT(H272,"yyyymm")&amp;"_"&amp;P272&amp;"_"&amp;(COUNTIFS($H$64:$H$500,H272,$P$64:$P$500,P272,$A$64:$A$500,"&gt;"&amp;A272)+COUNTIFS($H$64:H272,H272,$P$64:P272,P272,$A$64:A272,A272)))</f>
      </c>
      <c r="S272">
        <f t="shared" si="47"/>
      </c>
      <c r="T272">
        <f t="shared" si="48"/>
      </c>
      <c r="U272">
        <f t="shared" si="49"/>
      </c>
      <c r="Y272">
        <f t="shared" si="50"/>
      </c>
      <c r="Z272">
        <f>IFERROR(IF(AND(ISNUMBER(A272),A272&gt;=$B$3,A272&lt;EDATE($B$3,1)),COUNTIFS($A$64:$A$500,"&gt;"&amp;A272,$A$64:$A$500,"&lt;"&amp;EDATE($B$3,1))+COUNTIF($A$64:A272,A272),0),0)</f>
        <v>0</v>
      </c>
    </row>
    <row r="273" spans="1:25" ht="68" hidden="1" customHeight="1" outlineLevel="1">
      <c r="A273" s="314"/>
      <c r="B273" s="315"/>
      <c r="C273" s="315"/>
      <c r="D273" s="315"/>
      <c r="E273" s="316"/>
      <c r="F273" s="315"/>
      <c r="G273" s="315"/>
      <c r="H273" s="317">
        <f t="shared" si="43"/>
      </c>
      <c r="I273" s="318">
        <f t="shared" si="44"/>
      </c>
      <c r="J273" s="315"/>
      <c r="K273" s="315"/>
      <c r="L273" s="319"/>
      <c r="P273">
        <f t="shared" si="45"/>
      </c>
      <c r="Q273">
        <f t="shared" si="46"/>
      </c>
      <c r="R273">
        <f>IF(P273="","",TEXT(H273,"yyyymm")&amp;"_"&amp;P273&amp;"_"&amp;(COUNTIFS($H$64:$H$500,H273,$P$64:$P$500,P273,$A$64:$A$500,"&gt;"&amp;A273)+COUNTIFS($H$64:H273,H273,$P$64:P273,P273,$A$64:A273,A273)))</f>
      </c>
      <c r="S273">
        <f t="shared" si="47"/>
      </c>
      <c r="T273">
        <f t="shared" si="48"/>
      </c>
      <c r="U273">
        <f t="shared" si="49"/>
      </c>
      <c r="Y273">
        <f t="shared" si="50"/>
      </c>
      <c r="Z273">
        <f>IFERROR(IF(AND(ISNUMBER(A273),A273&gt;=$B$3,A273&lt;EDATE($B$3,1)),COUNTIFS($A$64:$A$500,"&gt;"&amp;A273,$A$64:$A$500,"&lt;"&amp;EDATE($B$3,1))+COUNTIF($A$64:A273,A273),0),0)</f>
        <v>0</v>
      </c>
    </row>
    <row r="274" spans="1:25" ht="68" hidden="1" customHeight="1" outlineLevel="1">
      <c r="A274" s="314"/>
      <c r="B274" s="315"/>
      <c r="C274" s="315"/>
      <c r="D274" s="315"/>
      <c r="E274" s="316"/>
      <c r="F274" s="315"/>
      <c r="G274" s="315"/>
      <c r="H274" s="317">
        <f t="shared" si="43"/>
      </c>
      <c r="I274" s="318">
        <f t="shared" si="44"/>
      </c>
      <c r="J274" s="315"/>
      <c r="K274" s="315"/>
      <c r="L274" s="319"/>
      <c r="P274">
        <f t="shared" si="45"/>
      </c>
      <c r="Q274">
        <f t="shared" si="46"/>
      </c>
      <c r="R274">
        <f>IF(P274="","",TEXT(H274,"yyyymm")&amp;"_"&amp;P274&amp;"_"&amp;(COUNTIFS($H$64:$H$500,H274,$P$64:$P$500,P274,$A$64:$A$500,"&gt;"&amp;A274)+COUNTIFS($H$64:H274,H274,$P$64:P274,P274,$A$64:A274,A274)))</f>
      </c>
      <c r="S274">
        <f t="shared" si="47"/>
      </c>
      <c r="T274">
        <f t="shared" si="48"/>
      </c>
      <c r="U274">
        <f t="shared" si="49"/>
      </c>
      <c r="Y274">
        <f t="shared" si="50"/>
      </c>
      <c r="Z274">
        <f>IFERROR(IF(AND(ISNUMBER(A274),A274&gt;=$B$3,A274&lt;EDATE($B$3,1)),COUNTIFS($A$64:$A$500,"&gt;"&amp;A274,$A$64:$A$500,"&lt;"&amp;EDATE($B$3,1))+COUNTIF($A$64:A274,A274),0),0)</f>
        <v>0</v>
      </c>
    </row>
    <row r="275" spans="1:25" ht="68" hidden="1" customHeight="1" outlineLevel="1">
      <c r="A275" s="314"/>
      <c r="B275" s="315"/>
      <c r="C275" s="315"/>
      <c r="D275" s="315"/>
      <c r="E275" s="316"/>
      <c r="F275" s="315"/>
      <c r="G275" s="315"/>
      <c r="H275" s="317">
        <f t="shared" si="43"/>
      </c>
      <c r="I275" s="318">
        <f t="shared" si="44"/>
      </c>
      <c r="J275" s="315"/>
      <c r="K275" s="315"/>
      <c r="L275" s="319"/>
      <c r="P275">
        <f t="shared" si="45"/>
      </c>
      <c r="Q275">
        <f t="shared" si="46"/>
      </c>
      <c r="R275">
        <f>IF(P275="","",TEXT(H275,"yyyymm")&amp;"_"&amp;P275&amp;"_"&amp;(COUNTIFS($H$64:$H$500,H275,$P$64:$P$500,P275,$A$64:$A$500,"&gt;"&amp;A275)+COUNTIFS($H$64:H275,H275,$P$64:P275,P275,$A$64:A275,A275)))</f>
      </c>
      <c r="S275">
        <f t="shared" si="47"/>
      </c>
      <c r="T275">
        <f t="shared" si="48"/>
      </c>
      <c r="U275">
        <f t="shared" si="49"/>
      </c>
      <c r="Y275">
        <f t="shared" si="50"/>
      </c>
      <c r="Z275">
        <f>IFERROR(IF(AND(ISNUMBER(A275),A275&gt;=$B$3,A275&lt;EDATE($B$3,1)),COUNTIFS($A$64:$A$500,"&gt;"&amp;A275,$A$64:$A$500,"&lt;"&amp;EDATE($B$3,1))+COUNTIF($A$64:A275,A275),0),0)</f>
        <v>0</v>
      </c>
    </row>
    <row r="276" spans="1:25" ht="32" hidden="1" customHeight="1" outlineLevel="1">
      <c r="A276" s="314"/>
      <c r="B276" s="318"/>
      <c r="C276" s="318"/>
      <c r="D276" s="318"/>
      <c r="E276" s="316"/>
      <c r="F276" s="318"/>
      <c r="G276" s="318"/>
      <c r="H276" s="317">
        <f t="shared" si="43"/>
      </c>
      <c r="I276" s="318">
        <f t="shared" si="44"/>
      </c>
      <c r="J276" s="318"/>
      <c r="K276" s="318"/>
      <c r="L276" s="320"/>
      <c r="P276">
        <f t="shared" si="45"/>
      </c>
      <c r="Q276">
        <f t="shared" si="46"/>
      </c>
      <c r="R276">
        <f>IF(P276="","",TEXT(H276,"yyyymm")&amp;"_"&amp;P276&amp;"_"&amp;(COUNTIFS($H$64:$H$500,H276,$P$64:$P$500,P276,$A$64:$A$500,"&gt;"&amp;A276)+COUNTIFS($H$64:H276,H276,$P$64:P276,P276,$A$64:A276,A276)))</f>
      </c>
      <c r="S276">
        <f t="shared" si="47"/>
      </c>
      <c r="T276">
        <f t="shared" si="48"/>
      </c>
      <c r="U276">
        <f t="shared" si="49"/>
      </c>
      <c r="Y276">
        <f t="shared" si="50"/>
      </c>
      <c r="Z276">
        <f>IFERROR(IF(AND(ISNUMBER(A276),A276&gt;=$B$3,A276&lt;EDATE($B$3,1)),COUNTIFS($A$64:$A$500,"&gt;"&amp;A276,$A$64:$A$500,"&lt;"&amp;EDATE($B$3,1))+COUNTIF($A$64:A276,A276),0),0)</f>
        <v>0</v>
      </c>
    </row>
    <row r="277" spans="1:25" ht="32" hidden="1" customHeight="1" outlineLevel="1">
      <c r="A277" s="314"/>
      <c r="B277" s="318"/>
      <c r="C277" s="318"/>
      <c r="D277" s="318"/>
      <c r="E277" s="316"/>
      <c r="F277" s="318"/>
      <c r="G277" s="318"/>
      <c r="H277" s="317">
        <f t="shared" si="43"/>
      </c>
      <c r="I277" s="318">
        <f t="shared" si="44"/>
      </c>
      <c r="J277" s="318"/>
      <c r="K277" s="318"/>
      <c r="L277" s="320"/>
      <c r="P277">
        <f t="shared" si="45"/>
      </c>
      <c r="Q277">
        <f t="shared" si="46"/>
      </c>
      <c r="R277">
        <f>IF(P277="","",TEXT(H277,"yyyymm")&amp;"_"&amp;P277&amp;"_"&amp;(COUNTIFS($H$64:$H$500,H277,$P$64:$P$500,P277,$A$64:$A$500,"&gt;"&amp;A277)+COUNTIFS($H$64:H277,H277,$P$64:P277,P277,$A$64:A277,A277)))</f>
      </c>
      <c r="S277">
        <f t="shared" si="47"/>
      </c>
      <c r="T277">
        <f t="shared" si="48"/>
      </c>
      <c r="U277">
        <f t="shared" si="49"/>
      </c>
      <c r="Y277">
        <f t="shared" si="50"/>
      </c>
      <c r="Z277">
        <f>IFERROR(IF(AND(ISNUMBER(A277),A277&gt;=$B$3,A277&lt;EDATE($B$3,1)),COUNTIFS($A$64:$A$500,"&gt;"&amp;A277,$A$64:$A$500,"&lt;"&amp;EDATE($B$3,1))+COUNTIF($A$64:A277,A277),0),0)</f>
        <v>0</v>
      </c>
    </row>
    <row r="278" spans="1:25" ht="32" hidden="1" customHeight="1" outlineLevel="1">
      <c r="A278" s="314"/>
      <c r="B278" s="318"/>
      <c r="C278" s="318"/>
      <c r="D278" s="318"/>
      <c r="E278" s="316"/>
      <c r="F278" s="318"/>
      <c r="G278" s="318"/>
      <c r="H278" s="317">
        <f t="shared" si="43"/>
      </c>
      <c r="I278" s="318">
        <f t="shared" si="44"/>
      </c>
      <c r="J278" s="318"/>
      <c r="K278" s="318"/>
      <c r="L278" s="320"/>
      <c r="P278">
        <f t="shared" si="45"/>
      </c>
      <c r="Q278">
        <f t="shared" si="46"/>
      </c>
      <c r="R278">
        <f>IF(P278="","",TEXT(H278,"yyyymm")&amp;"_"&amp;P278&amp;"_"&amp;(COUNTIFS($H$64:$H$500,H278,$P$64:$P$500,P278,$A$64:$A$500,"&gt;"&amp;A278)+COUNTIFS($H$64:H278,H278,$P$64:P278,P278,$A$64:A278,A278)))</f>
      </c>
      <c r="S278">
        <f t="shared" si="47"/>
      </c>
      <c r="T278">
        <f t="shared" si="48"/>
      </c>
      <c r="U278">
        <f t="shared" si="49"/>
      </c>
      <c r="Y278">
        <f t="shared" si="50"/>
      </c>
      <c r="Z278">
        <f>IFERROR(IF(AND(ISNUMBER(A278),A278&gt;=$B$3,A278&lt;EDATE($B$3,1)),COUNTIFS($A$64:$A$500,"&gt;"&amp;A278,$A$64:$A$500,"&lt;"&amp;EDATE($B$3,1))+COUNTIF($A$64:A278,A278),0),0)</f>
        <v>0</v>
      </c>
    </row>
    <row r="279" spans="1:25" ht="68" hidden="1" customHeight="1" outlineLevel="1">
      <c r="A279" s="314"/>
      <c r="B279" s="315"/>
      <c r="C279" s="315"/>
      <c r="D279" s="315"/>
      <c r="E279" s="316"/>
      <c r="F279" s="315"/>
      <c r="G279" s="315"/>
      <c r="H279" s="317">
        <f t="shared" si="43"/>
      </c>
      <c r="I279" s="318">
        <f t="shared" si="44"/>
      </c>
      <c r="J279" s="315"/>
      <c r="K279" s="315"/>
      <c r="L279" s="319"/>
      <c r="P279">
        <f t="shared" si="45"/>
      </c>
      <c r="Q279">
        <f t="shared" si="46"/>
      </c>
      <c r="R279">
        <f>IF(P279="","",TEXT(H279,"yyyymm")&amp;"_"&amp;P279&amp;"_"&amp;(COUNTIFS($H$64:$H$500,H279,$P$64:$P$500,P279,$A$64:$A$500,"&gt;"&amp;A279)+COUNTIFS($H$64:H279,H279,$P$64:P279,P279,$A$64:A279,A279)))</f>
      </c>
      <c r="S279">
        <f t="shared" si="47"/>
      </c>
      <c r="T279">
        <f t="shared" si="48"/>
      </c>
      <c r="U279">
        <f t="shared" si="49"/>
      </c>
      <c r="Y279">
        <f t="shared" si="50"/>
      </c>
      <c r="Z279">
        <f>IFERROR(IF(AND(ISNUMBER(A279),A279&gt;=$B$3,A279&lt;EDATE($B$3,1)),COUNTIFS($A$64:$A$500,"&gt;"&amp;A279,$A$64:$A$500,"&lt;"&amp;EDATE($B$3,1))+COUNTIF($A$64:A279,A279),0),0)</f>
        <v>0</v>
      </c>
    </row>
    <row r="280" spans="1:25" ht="32" hidden="1" customHeight="1" outlineLevel="1">
      <c r="A280" s="314"/>
      <c r="B280" s="318"/>
      <c r="C280" s="318"/>
      <c r="D280" s="318"/>
      <c r="E280" s="316"/>
      <c r="F280" s="318"/>
      <c r="G280" s="318"/>
      <c r="H280" s="317">
        <f t="shared" si="43"/>
      </c>
      <c r="I280" s="318">
        <f t="shared" si="44"/>
      </c>
      <c r="J280" s="318"/>
      <c r="K280" s="318"/>
      <c r="L280" s="320"/>
      <c r="P280">
        <f t="shared" si="45"/>
      </c>
      <c r="Q280">
        <f t="shared" si="46"/>
      </c>
      <c r="R280">
        <f>IF(P280="","",TEXT(H280,"yyyymm")&amp;"_"&amp;P280&amp;"_"&amp;(COUNTIFS($H$64:$H$500,H280,$P$64:$P$500,P280,$A$64:$A$500,"&gt;"&amp;A280)+COUNTIFS($H$64:H280,H280,$P$64:P280,P280,$A$64:A280,A280)))</f>
      </c>
      <c r="S280">
        <f t="shared" si="47"/>
      </c>
      <c r="T280">
        <f t="shared" si="48"/>
      </c>
      <c r="U280">
        <f t="shared" si="49"/>
      </c>
      <c r="Y280">
        <f t="shared" si="50"/>
      </c>
      <c r="Z280">
        <f>IFERROR(IF(AND(ISNUMBER(A280),A280&gt;=$B$3,A280&lt;EDATE($B$3,1)),COUNTIFS($A$64:$A$500,"&gt;"&amp;A280,$A$64:$A$500,"&lt;"&amp;EDATE($B$3,1))+COUNTIF($A$64:A280,A280),0),0)</f>
        <v>0</v>
      </c>
    </row>
    <row r="281" spans="1:25" ht="32" hidden="1" customHeight="1" outlineLevel="1">
      <c r="A281" s="314"/>
      <c r="B281" s="318"/>
      <c r="C281" s="318"/>
      <c r="D281" s="318"/>
      <c r="E281" s="316"/>
      <c r="F281" s="318"/>
      <c r="G281" s="318"/>
      <c r="H281" s="317">
        <f t="shared" si="43"/>
      </c>
      <c r="I281" s="318">
        <f t="shared" si="44"/>
      </c>
      <c r="J281" s="318"/>
      <c r="K281" s="318"/>
      <c r="L281" s="320"/>
      <c r="P281">
        <f t="shared" si="45"/>
      </c>
      <c r="Q281">
        <f t="shared" si="46"/>
      </c>
      <c r="R281">
        <f>IF(P281="","",TEXT(H281,"yyyymm")&amp;"_"&amp;P281&amp;"_"&amp;(COUNTIFS($H$64:$H$500,H281,$P$64:$P$500,P281,$A$64:$A$500,"&gt;"&amp;A281)+COUNTIFS($H$64:H281,H281,$P$64:P281,P281,$A$64:A281,A281)))</f>
      </c>
      <c r="S281">
        <f t="shared" si="47"/>
      </c>
      <c r="T281">
        <f t="shared" si="48"/>
      </c>
      <c r="U281">
        <f t="shared" si="49"/>
      </c>
      <c r="Y281">
        <f t="shared" si="50"/>
      </c>
      <c r="Z281">
        <f>IFERROR(IF(AND(ISNUMBER(A281),A281&gt;=$B$3,A281&lt;EDATE($B$3,1)),COUNTIFS($A$64:$A$500,"&gt;"&amp;A281,$A$64:$A$500,"&lt;"&amp;EDATE($B$3,1))+COUNTIF($A$64:A281,A281),0),0)</f>
        <v>0</v>
      </c>
    </row>
    <row r="282" spans="1:25" ht="68" hidden="1" customHeight="1" outlineLevel="1">
      <c r="A282" s="314"/>
      <c r="B282" s="315"/>
      <c r="C282" s="315"/>
      <c r="D282" s="315"/>
      <c r="E282" s="316"/>
      <c r="F282" s="315"/>
      <c r="G282" s="315"/>
      <c r="H282" s="317">
        <f t="shared" si="43"/>
      </c>
      <c r="I282" s="318">
        <f t="shared" si="44"/>
      </c>
      <c r="J282" s="315"/>
      <c r="K282" s="315"/>
      <c r="L282" s="319"/>
      <c r="P282">
        <f t="shared" si="45"/>
      </c>
      <c r="Q282">
        <f t="shared" si="46"/>
      </c>
      <c r="R282">
        <f>IF(P282="","",TEXT(H282,"yyyymm")&amp;"_"&amp;P282&amp;"_"&amp;(COUNTIFS($H$64:$H$500,H282,$P$64:$P$500,P282,$A$64:$A$500,"&gt;"&amp;A282)+COUNTIFS($H$64:H282,H282,$P$64:P282,P282,$A$64:A282,A282)))</f>
      </c>
      <c r="S282">
        <f t="shared" si="47"/>
      </c>
      <c r="T282">
        <f t="shared" si="48"/>
      </c>
      <c r="U282">
        <f t="shared" si="49"/>
      </c>
      <c r="Y282">
        <f t="shared" si="50"/>
      </c>
      <c r="Z282">
        <f>IFERROR(IF(AND(ISNUMBER(A282),A282&gt;=$B$3,A282&lt;EDATE($B$3,1)),COUNTIFS($A$64:$A$500,"&gt;"&amp;A282,$A$64:$A$500,"&lt;"&amp;EDATE($B$3,1))+COUNTIF($A$64:A282,A282),0),0)</f>
        <v>0</v>
      </c>
    </row>
    <row r="283" spans="1:25" ht="30" hidden="1" customHeight="1" outlineLevel="1">
      <c r="A283" s="83"/>
      <c r="B283" s="84"/>
      <c r="C283" s="84"/>
      <c r="D283" s="84"/>
      <c r="E283" s="85"/>
      <c r="F283" s="89"/>
      <c r="G283" s="90"/>
      <c r="H283" s="317">
        <f t="shared" si="43"/>
      </c>
      <c r="I283" s="318">
        <f t="shared" si="44"/>
      </c>
      <c r="J283" s="315"/>
      <c r="K283" s="315"/>
      <c r="L283" s="319"/>
      <c r="P283">
        <f t="shared" si="45"/>
      </c>
      <c r="Q283">
        <f t="shared" si="46"/>
      </c>
      <c r="R283">
        <f>IF(P283="","",TEXT(H283,"yyyymm")&amp;"_"&amp;P283&amp;"_"&amp;(COUNTIFS($H$64:$H$500,H283,$P$64:$P$500,P283,$A$64:$A$500,"&gt;"&amp;A283)+COUNTIFS($H$64:H283,H283,$P$64:P283,P283,$A$64:A283,A283)))</f>
      </c>
      <c r="S283">
        <f t="shared" si="47"/>
      </c>
      <c r="T283">
        <f t="shared" si="48"/>
      </c>
      <c r="U283">
        <f t="shared" si="49"/>
      </c>
      <c r="Y283">
        <f t="shared" si="50"/>
      </c>
      <c r="Z283">
        <f>IFERROR(IF(AND(ISNUMBER(A283),A283&gt;=$B$3,A283&lt;EDATE($B$3,1)),COUNTIFS($A$64:$A$500,"&gt;"&amp;A283,$A$64:$A$500,"&lt;"&amp;EDATE($B$3,1))+COUNTIF($A$64:A283,A283),0),0)</f>
        <v>0</v>
      </c>
    </row>
    <row r="284" spans="1:25" ht="30" hidden="1" customHeight="1" outlineLevel="1">
      <c r="A284" s="83"/>
      <c r="B284" s="84"/>
      <c r="C284" s="84"/>
      <c r="D284" s="84"/>
      <c r="E284" s="85"/>
      <c r="F284" s="89"/>
      <c r="G284" s="90"/>
      <c r="H284" s="317">
        <f t="shared" si="43"/>
      </c>
      <c r="I284" s="318">
        <f t="shared" si="44"/>
      </c>
      <c r="J284" s="315"/>
      <c r="K284" s="315"/>
      <c r="L284" s="319"/>
      <c r="P284">
        <f t="shared" si="45"/>
      </c>
      <c r="Q284">
        <f t="shared" si="46"/>
      </c>
      <c r="R284">
        <f>IF(P284="","",TEXT(H284,"yyyymm")&amp;"_"&amp;P284&amp;"_"&amp;(COUNTIFS($H$64:$H$500,H284,$P$64:$P$500,P284,$A$64:$A$500,"&gt;"&amp;A284)+COUNTIFS($H$64:H284,H284,$P$64:P284,P284,$A$64:A284,A284)))</f>
      </c>
      <c r="S284">
        <f t="shared" si="47"/>
      </c>
      <c r="T284">
        <f t="shared" si="48"/>
      </c>
      <c r="U284">
        <f t="shared" si="49"/>
      </c>
      <c r="Y284">
        <f t="shared" si="50"/>
      </c>
      <c r="Z284">
        <f>IFERROR(IF(AND(ISNUMBER(A284),A284&gt;=$B$3,A284&lt;EDATE($B$3,1)),COUNTIFS($A$64:$A$500,"&gt;"&amp;A284,$A$64:$A$500,"&lt;"&amp;EDATE($B$3,1))+COUNTIF($A$64:A284,A284),0),0)</f>
        <v>0</v>
      </c>
    </row>
    <row r="285" spans="1:25" ht="80" hidden="1" customHeight="1" outlineLevel="1">
      <c r="A285" s="314"/>
      <c r="B285" s="318"/>
      <c r="C285" s="318"/>
      <c r="D285" s="318"/>
      <c r="E285" s="316"/>
      <c r="F285" s="318"/>
      <c r="G285" s="318"/>
      <c r="H285" s="317">
        <f t="shared" si="43"/>
      </c>
      <c r="I285" s="318">
        <f t="shared" si="44"/>
      </c>
      <c r="J285" s="318"/>
      <c r="K285" s="318"/>
      <c r="L285" s="320"/>
      <c r="P285">
        <f t="shared" si="45"/>
      </c>
      <c r="Q285">
        <f t="shared" si="46"/>
      </c>
      <c r="R285">
        <f>IF(P285="","",TEXT(H285,"yyyymm")&amp;"_"&amp;P285&amp;"_"&amp;(COUNTIFS($H$64:$H$500,H285,$P$64:$P$500,P285,$A$64:$A$500,"&gt;"&amp;A285)+COUNTIFS($H$64:H285,H285,$P$64:P285,P285,$A$64:A285,A285)))</f>
      </c>
      <c r="S285">
        <f t="shared" si="47"/>
      </c>
      <c r="T285">
        <f t="shared" si="48"/>
      </c>
      <c r="U285">
        <f t="shared" si="49"/>
      </c>
      <c r="Y285">
        <f t="shared" si="50"/>
      </c>
      <c r="Z285">
        <f>IFERROR(IF(AND(ISNUMBER(A285),A285&gt;=$B$3,A285&lt;EDATE($B$3,1)),COUNTIFS($A$64:$A$500,"&gt;"&amp;A285,$A$64:$A$500,"&lt;"&amp;EDATE($B$3,1))+COUNTIF($A$64:A285,A285),0),0)</f>
        <v>0</v>
      </c>
    </row>
    <row r="286" spans="1:25" ht="68" hidden="1" customHeight="1" outlineLevel="1">
      <c r="A286" s="314"/>
      <c r="B286" s="315"/>
      <c r="C286" s="315"/>
      <c r="D286" s="315"/>
      <c r="E286" s="316"/>
      <c r="F286" s="315"/>
      <c r="G286" s="315"/>
      <c r="H286" s="317">
        <f t="shared" si="43"/>
      </c>
      <c r="I286" s="318">
        <f t="shared" si="44"/>
      </c>
      <c r="J286" s="315"/>
      <c r="K286" s="315"/>
      <c r="L286" s="319"/>
      <c r="P286">
        <f t="shared" si="45"/>
      </c>
      <c r="Q286">
        <f t="shared" si="46"/>
      </c>
      <c r="R286">
        <f>IF(P286="","",TEXT(H286,"yyyymm")&amp;"_"&amp;P286&amp;"_"&amp;(COUNTIFS($H$64:$H$500,H286,$P$64:$P$500,P286,$A$64:$A$500,"&gt;"&amp;A286)+COUNTIFS($H$64:H286,H286,$P$64:P286,P286,$A$64:A286,A286)))</f>
      </c>
      <c r="S286">
        <f t="shared" si="47"/>
      </c>
      <c r="T286">
        <f t="shared" si="48"/>
      </c>
      <c r="U286">
        <f t="shared" si="49"/>
      </c>
      <c r="Y286">
        <f t="shared" si="50"/>
      </c>
      <c r="Z286">
        <f>IFERROR(IF(AND(ISNUMBER(A286),A286&gt;=$B$3,A286&lt;EDATE($B$3,1)),COUNTIFS($A$64:$A$500,"&gt;"&amp;A286,$A$64:$A$500,"&lt;"&amp;EDATE($B$3,1))+COUNTIF($A$64:A286,A286),0),0)</f>
        <v>0</v>
      </c>
    </row>
    <row r="287" spans="1:25" ht="68" hidden="1" customHeight="1" outlineLevel="1">
      <c r="A287" s="314"/>
      <c r="B287" s="315"/>
      <c r="C287" s="315"/>
      <c r="D287" s="315"/>
      <c r="E287" s="316"/>
      <c r="F287" s="315"/>
      <c r="G287" s="315"/>
      <c r="H287" s="317">
        <f t="shared" si="43"/>
      </c>
      <c r="I287" s="318">
        <f t="shared" si="44"/>
      </c>
      <c r="J287" s="315"/>
      <c r="K287" s="315"/>
      <c r="L287" s="319"/>
      <c r="P287">
        <f t="shared" si="45"/>
      </c>
      <c r="Q287">
        <f t="shared" si="46"/>
      </c>
      <c r="R287">
        <f>IF(P287="","",TEXT(H287,"yyyymm")&amp;"_"&amp;P287&amp;"_"&amp;(COUNTIFS($H$64:$H$500,H287,$P$64:$P$500,P287,$A$64:$A$500,"&gt;"&amp;A287)+COUNTIFS($H$64:H287,H287,$P$64:P287,P287,$A$64:A287,A287)))</f>
      </c>
      <c r="S287">
        <f t="shared" si="47"/>
      </c>
      <c r="T287">
        <f t="shared" si="48"/>
      </c>
      <c r="U287">
        <f t="shared" si="49"/>
      </c>
      <c r="Y287">
        <f t="shared" si="50"/>
      </c>
      <c r="Z287">
        <f>IFERROR(IF(AND(ISNUMBER(A287),A287&gt;=$B$3,A287&lt;EDATE($B$3,1)),COUNTIFS($A$64:$A$500,"&gt;"&amp;A287,$A$64:$A$500,"&lt;"&amp;EDATE($B$3,1))+COUNTIF($A$64:A287,A287),0),0)</f>
        <v>0</v>
      </c>
    </row>
    <row r="288" spans="1:25" ht="68" hidden="1" customHeight="1" outlineLevel="1">
      <c r="A288" s="314"/>
      <c r="B288" s="315"/>
      <c r="C288" s="315"/>
      <c r="D288" s="315"/>
      <c r="E288" s="316"/>
      <c r="F288" s="315"/>
      <c r="G288" s="315"/>
      <c r="H288" s="317">
        <f t="shared" si="43"/>
      </c>
      <c r="I288" s="318">
        <f t="shared" si="44"/>
      </c>
      <c r="J288" s="315"/>
      <c r="K288" s="315"/>
      <c r="L288" s="319"/>
      <c r="P288">
        <f t="shared" si="45"/>
      </c>
      <c r="Q288">
        <f t="shared" si="46"/>
      </c>
      <c r="R288">
        <f>IF(P288="","",TEXT(H288,"yyyymm")&amp;"_"&amp;P288&amp;"_"&amp;(COUNTIFS($H$64:$H$500,H288,$P$64:$P$500,P288,$A$64:$A$500,"&gt;"&amp;A288)+COUNTIFS($H$64:H288,H288,$P$64:P288,P288,$A$64:A288,A288)))</f>
      </c>
      <c r="S288">
        <f t="shared" si="47"/>
      </c>
      <c r="T288">
        <f t="shared" si="48"/>
      </c>
      <c r="U288">
        <f t="shared" si="49"/>
      </c>
      <c r="Y288">
        <f t="shared" si="50"/>
      </c>
      <c r="Z288">
        <f>IFERROR(IF(AND(ISNUMBER(A288),A288&gt;=$B$3,A288&lt;EDATE($B$3,1)),COUNTIFS($A$64:$A$500,"&gt;"&amp;A288,$A$64:$A$500,"&lt;"&amp;EDATE($B$3,1))+COUNTIF($A$64:A288,A288),0),0)</f>
        <v>0</v>
      </c>
    </row>
    <row r="289" spans="1:25" ht="32" hidden="1" customHeight="1" outlineLevel="1">
      <c r="A289" s="314"/>
      <c r="B289" s="318"/>
      <c r="C289" s="318"/>
      <c r="D289" s="318"/>
      <c r="E289" s="316"/>
      <c r="F289" s="318"/>
      <c r="G289" s="318"/>
      <c r="H289" s="317">
        <f t="shared" si="43"/>
      </c>
      <c r="I289" s="318">
        <f t="shared" si="44"/>
      </c>
      <c r="J289" s="318"/>
      <c r="K289" s="318"/>
      <c r="L289" s="320"/>
      <c r="P289">
        <f t="shared" si="45"/>
      </c>
      <c r="Q289">
        <f t="shared" si="46"/>
      </c>
      <c r="R289">
        <f>IF(P289="","",TEXT(H289,"yyyymm")&amp;"_"&amp;P289&amp;"_"&amp;(COUNTIFS($H$64:$H$500,H289,$P$64:$P$500,P289,$A$64:$A$500,"&gt;"&amp;A289)+COUNTIFS($H$64:H289,H289,$P$64:P289,P289,$A$64:A289,A289)))</f>
      </c>
      <c r="S289">
        <f t="shared" si="47"/>
      </c>
      <c r="T289">
        <f t="shared" si="48"/>
      </c>
      <c r="U289">
        <f t="shared" si="49"/>
      </c>
      <c r="Y289">
        <f t="shared" si="50"/>
      </c>
      <c r="Z289">
        <f>IFERROR(IF(AND(ISNUMBER(A289),A289&gt;=$B$3,A289&lt;EDATE($B$3,1)),COUNTIFS($A$64:$A$500,"&gt;"&amp;A289,$A$64:$A$500,"&lt;"&amp;EDATE($B$3,1))+COUNTIF($A$64:A289,A289),0),0)</f>
        <v>0</v>
      </c>
    </row>
    <row r="290" spans="1:25" ht="68" hidden="1" customHeight="1" outlineLevel="1">
      <c r="A290" s="314"/>
      <c r="B290" s="315"/>
      <c r="C290" s="315"/>
      <c r="D290" s="315"/>
      <c r="E290" s="316"/>
      <c r="F290" s="315"/>
      <c r="G290" s="315"/>
      <c r="H290" s="317">
        <f t="shared" si="43"/>
      </c>
      <c r="I290" s="318">
        <f t="shared" si="44"/>
      </c>
      <c r="J290" s="315"/>
      <c r="K290" s="315"/>
      <c r="L290" s="319"/>
      <c r="P290">
        <f t="shared" si="45"/>
      </c>
      <c r="Q290">
        <f t="shared" si="46"/>
      </c>
      <c r="R290">
        <f>IF(P290="","",TEXT(H290,"yyyymm")&amp;"_"&amp;P290&amp;"_"&amp;(COUNTIFS($H$64:$H$500,H290,$P$64:$P$500,P290,$A$64:$A$500,"&gt;"&amp;A290)+COUNTIFS($H$64:H290,H290,$P$64:P290,P290,$A$64:A290,A290)))</f>
      </c>
      <c r="S290">
        <f t="shared" si="47"/>
      </c>
      <c r="T290">
        <f t="shared" si="48"/>
      </c>
      <c r="U290">
        <f t="shared" si="49"/>
      </c>
      <c r="Y290">
        <f t="shared" si="50"/>
      </c>
      <c r="Z290">
        <f>IFERROR(IF(AND(ISNUMBER(A290),A290&gt;=$B$3,A290&lt;EDATE($B$3,1)),COUNTIFS($A$64:$A$500,"&gt;"&amp;A290,$A$64:$A$500,"&lt;"&amp;EDATE($B$3,1))+COUNTIF($A$64:A290,A290),0),0)</f>
        <v>0</v>
      </c>
    </row>
    <row r="291" spans="1:25" ht="68" hidden="1" customHeight="1" outlineLevel="1">
      <c r="A291" s="314"/>
      <c r="B291" s="315"/>
      <c r="C291" s="315"/>
      <c r="D291" s="315"/>
      <c r="E291" s="316"/>
      <c r="F291" s="315"/>
      <c r="G291" s="315"/>
      <c r="H291" s="317">
        <f t="shared" si="43"/>
      </c>
      <c r="I291" s="318">
        <f t="shared" si="44"/>
      </c>
      <c r="J291" s="315"/>
      <c r="K291" s="315"/>
      <c r="L291" s="319"/>
      <c r="P291">
        <f t="shared" si="45"/>
      </c>
      <c r="Q291">
        <f t="shared" si="46"/>
      </c>
      <c r="R291">
        <f>IF(P291="","",TEXT(H291,"yyyymm")&amp;"_"&amp;P291&amp;"_"&amp;(COUNTIFS($H$64:$H$500,H291,$P$64:$P$500,P291,$A$64:$A$500,"&gt;"&amp;A291)+COUNTIFS($H$64:H291,H291,$P$64:P291,P291,$A$64:A291,A291)))</f>
      </c>
      <c r="S291">
        <f t="shared" si="47"/>
      </c>
      <c r="T291">
        <f t="shared" si="48"/>
      </c>
      <c r="U291">
        <f t="shared" si="49"/>
      </c>
      <c r="Y291">
        <f t="shared" si="50"/>
      </c>
      <c r="Z291">
        <f>IFERROR(IF(AND(ISNUMBER(A291),A291&gt;=$B$3,A291&lt;EDATE($B$3,1)),COUNTIFS($A$64:$A$500,"&gt;"&amp;A291,$A$64:$A$500,"&lt;"&amp;EDATE($B$3,1))+COUNTIF($A$64:A291,A291),0),0)</f>
        <v>0</v>
      </c>
    </row>
    <row r="292" spans="1:25" ht="68" hidden="1" customHeight="1" outlineLevel="1">
      <c r="A292" s="314"/>
      <c r="B292" s="315"/>
      <c r="C292" s="315"/>
      <c r="D292" s="315"/>
      <c r="E292" s="316"/>
      <c r="F292" s="315"/>
      <c r="G292" s="315"/>
      <c r="H292" s="317">
        <f t="shared" si="43"/>
      </c>
      <c r="I292" s="318">
        <f t="shared" si="44"/>
      </c>
      <c r="J292" s="315"/>
      <c r="K292" s="315"/>
      <c r="L292" s="319"/>
      <c r="P292">
        <f t="shared" si="45"/>
      </c>
      <c r="Q292">
        <f t="shared" si="46"/>
      </c>
      <c r="R292">
        <f>IF(P292="","",TEXT(H292,"yyyymm")&amp;"_"&amp;P292&amp;"_"&amp;(COUNTIFS($H$64:$H$500,H292,$P$64:$P$500,P292,$A$64:$A$500,"&gt;"&amp;A292)+COUNTIFS($H$64:H292,H292,$P$64:P292,P292,$A$64:A292,A292)))</f>
      </c>
      <c r="S292">
        <f t="shared" si="47"/>
      </c>
      <c r="T292">
        <f t="shared" si="48"/>
      </c>
      <c r="U292">
        <f t="shared" si="49"/>
      </c>
      <c r="Y292">
        <f t="shared" si="50"/>
      </c>
      <c r="Z292">
        <f>IFERROR(IF(AND(ISNUMBER(A292),A292&gt;=$B$3,A292&lt;EDATE($B$3,1)),COUNTIFS($A$64:$A$500,"&gt;"&amp;A292,$A$64:$A$500,"&lt;"&amp;EDATE($B$3,1))+COUNTIF($A$64:A292,A292),0),0)</f>
        <v>0</v>
      </c>
    </row>
    <row r="293" spans="1:25" ht="32" hidden="1" customHeight="1" outlineLevel="1">
      <c r="A293" s="314"/>
      <c r="B293" s="318"/>
      <c r="C293" s="318"/>
      <c r="D293" s="318"/>
      <c r="E293" s="316"/>
      <c r="F293" s="318"/>
      <c r="G293" s="318"/>
      <c r="H293" s="317">
        <f t="shared" si="43"/>
      </c>
      <c r="I293" s="318">
        <f t="shared" si="44"/>
      </c>
      <c r="J293" s="318"/>
      <c r="K293" s="318"/>
      <c r="L293" s="320"/>
      <c r="P293">
        <f t="shared" si="45"/>
      </c>
      <c r="Q293">
        <f t="shared" si="46"/>
      </c>
      <c r="R293">
        <f>IF(P293="","",TEXT(H293,"yyyymm")&amp;"_"&amp;P293&amp;"_"&amp;(COUNTIFS($H$64:$H$500,H293,$P$64:$P$500,P293,$A$64:$A$500,"&gt;"&amp;A293)+COUNTIFS($H$64:H293,H293,$P$64:P293,P293,$A$64:A293,A293)))</f>
      </c>
      <c r="S293">
        <f t="shared" si="47"/>
      </c>
      <c r="T293">
        <f t="shared" si="48"/>
      </c>
      <c r="U293">
        <f t="shared" si="49"/>
      </c>
      <c r="Y293">
        <f t="shared" si="50"/>
      </c>
      <c r="Z293">
        <f>IFERROR(IF(AND(ISNUMBER(A293),A293&gt;=$B$3,A293&lt;EDATE($B$3,1)),COUNTIFS($A$64:$A$500,"&gt;"&amp;A293,$A$64:$A$500,"&lt;"&amp;EDATE($B$3,1))+COUNTIF($A$64:A293,A293),0),0)</f>
        <v>0</v>
      </c>
    </row>
    <row r="294" spans="1:25" ht="68" hidden="1" customHeight="1" outlineLevel="1">
      <c r="A294" s="314"/>
      <c r="B294" s="315"/>
      <c r="C294" s="315"/>
      <c r="D294" s="315"/>
      <c r="E294" s="316"/>
      <c r="F294" s="315"/>
      <c r="G294" s="315"/>
      <c r="H294" s="317">
        <f t="shared" si="43"/>
      </c>
      <c r="I294" s="318">
        <f t="shared" si="44"/>
      </c>
      <c r="J294" s="315"/>
      <c r="K294" s="315"/>
      <c r="L294" s="319"/>
      <c r="P294">
        <f t="shared" si="45"/>
      </c>
      <c r="Q294">
        <f t="shared" si="46"/>
      </c>
      <c r="R294">
        <f>IF(P294="","",TEXT(H294,"yyyymm")&amp;"_"&amp;P294&amp;"_"&amp;(COUNTIFS($H$64:$H$500,H294,$P$64:$P$500,P294,$A$64:$A$500,"&gt;"&amp;A294)+COUNTIFS($H$64:H294,H294,$P$64:P294,P294,$A$64:A294,A294)))</f>
      </c>
      <c r="S294">
        <f t="shared" si="47"/>
      </c>
      <c r="T294">
        <f t="shared" si="48"/>
      </c>
      <c r="U294">
        <f t="shared" si="49"/>
      </c>
      <c r="Y294">
        <f t="shared" si="50"/>
      </c>
      <c r="Z294">
        <f>IFERROR(IF(AND(ISNUMBER(A294),A294&gt;=$B$3,A294&lt;EDATE($B$3,1)),COUNTIFS($A$64:$A$500,"&gt;"&amp;A294,$A$64:$A$500,"&lt;"&amp;EDATE($B$3,1))+COUNTIF($A$64:A294,A294),0),0)</f>
        <v>0</v>
      </c>
    </row>
    <row r="295" spans="1:25" ht="68" hidden="1" customHeight="1" outlineLevel="1">
      <c r="A295" s="314"/>
      <c r="B295" s="315"/>
      <c r="C295" s="315"/>
      <c r="D295" s="315"/>
      <c r="E295" s="316"/>
      <c r="F295" s="315"/>
      <c r="G295" s="315"/>
      <c r="H295" s="317">
        <f t="shared" si="43"/>
      </c>
      <c r="I295" s="318">
        <f t="shared" si="44"/>
      </c>
      <c r="J295" s="315"/>
      <c r="K295" s="315"/>
      <c r="L295" s="319"/>
      <c r="P295">
        <f t="shared" si="45"/>
      </c>
      <c r="Q295">
        <f t="shared" si="46"/>
      </c>
      <c r="R295">
        <f>IF(P295="","",TEXT(H295,"yyyymm")&amp;"_"&amp;P295&amp;"_"&amp;(COUNTIFS($H$64:$H$500,H295,$P$64:$P$500,P295,$A$64:$A$500,"&gt;"&amp;A295)+COUNTIFS($H$64:H295,H295,$P$64:P295,P295,$A$64:A295,A295)))</f>
      </c>
      <c r="S295">
        <f t="shared" si="47"/>
      </c>
      <c r="T295">
        <f t="shared" si="48"/>
      </c>
      <c r="U295">
        <f t="shared" si="49"/>
      </c>
      <c r="Y295">
        <f t="shared" si="50"/>
      </c>
      <c r="Z295">
        <f>IFERROR(IF(AND(ISNUMBER(A295),A295&gt;=$B$3,A295&lt;EDATE($B$3,1)),COUNTIFS($A$64:$A$500,"&gt;"&amp;A295,$A$64:$A$500,"&lt;"&amp;EDATE($B$3,1))+COUNTIF($A$64:A295,A295),0),0)</f>
        <v>0</v>
      </c>
    </row>
    <row r="296" spans="1:25" ht="68" hidden="1" customHeight="1" outlineLevel="1">
      <c r="A296" s="314"/>
      <c r="B296" s="315"/>
      <c r="C296" s="315"/>
      <c r="D296" s="315"/>
      <c r="E296" s="316"/>
      <c r="F296" s="315"/>
      <c r="G296" s="315"/>
      <c r="H296" s="317">
        <f t="shared" si="43"/>
      </c>
      <c r="I296" s="318">
        <f t="shared" si="44"/>
      </c>
      <c r="J296" s="315"/>
      <c r="K296" s="315"/>
      <c r="L296" s="319"/>
      <c r="P296">
        <f t="shared" si="45"/>
      </c>
      <c r="Q296">
        <f t="shared" si="46"/>
      </c>
      <c r="R296">
        <f>IF(P296="","",TEXT(H296,"yyyymm")&amp;"_"&amp;P296&amp;"_"&amp;(COUNTIFS($H$64:$H$500,H296,$P$64:$P$500,P296,$A$64:$A$500,"&gt;"&amp;A296)+COUNTIFS($H$64:H296,H296,$P$64:P296,P296,$A$64:A296,A296)))</f>
      </c>
      <c r="S296">
        <f t="shared" si="47"/>
      </c>
      <c r="T296">
        <f t="shared" si="48"/>
      </c>
      <c r="U296">
        <f t="shared" si="49"/>
      </c>
      <c r="Y296">
        <f t="shared" si="50"/>
      </c>
      <c r="Z296">
        <f>IFERROR(IF(AND(ISNUMBER(A296),A296&gt;=$B$3,A296&lt;EDATE($B$3,1)),COUNTIFS($A$64:$A$500,"&gt;"&amp;A296,$A$64:$A$500,"&lt;"&amp;EDATE($B$3,1))+COUNTIF($A$64:A296,A296),0),0)</f>
        <v>0</v>
      </c>
    </row>
    <row r="297" spans="1:25" ht="68" hidden="1" customHeight="1" outlineLevel="1">
      <c r="A297" s="314"/>
      <c r="B297" s="315"/>
      <c r="C297" s="315"/>
      <c r="D297" s="315"/>
      <c r="E297" s="316"/>
      <c r="F297" s="315"/>
      <c r="G297" s="315"/>
      <c r="H297" s="317">
        <f t="shared" si="43"/>
      </c>
      <c r="I297" s="318">
        <f t="shared" si="44"/>
      </c>
      <c r="J297" s="315"/>
      <c r="K297" s="315"/>
      <c r="L297" s="319"/>
      <c r="P297">
        <f t="shared" si="45"/>
      </c>
      <c r="Q297">
        <f t="shared" si="46"/>
      </c>
      <c r="R297">
        <f>IF(P297="","",TEXT(H297,"yyyymm")&amp;"_"&amp;P297&amp;"_"&amp;(COUNTIFS($H$64:$H$500,H297,$P$64:$P$500,P297,$A$64:$A$500,"&gt;"&amp;A297)+COUNTIFS($H$64:H297,H297,$P$64:P297,P297,$A$64:A297,A297)))</f>
      </c>
      <c r="S297">
        <f t="shared" si="47"/>
      </c>
      <c r="T297">
        <f t="shared" si="48"/>
      </c>
      <c r="U297">
        <f t="shared" si="49"/>
      </c>
      <c r="Y297">
        <f t="shared" si="50"/>
      </c>
      <c r="Z297">
        <f>IFERROR(IF(AND(ISNUMBER(A297),A297&gt;=$B$3,A297&lt;EDATE($B$3,1)),COUNTIFS($A$64:$A$500,"&gt;"&amp;A297,$A$64:$A$500,"&lt;"&amp;EDATE($B$3,1))+COUNTIF($A$64:A297,A297),0),0)</f>
        <v>0</v>
      </c>
    </row>
    <row r="298" spans="1:25" ht="68" hidden="1" customHeight="1" outlineLevel="1">
      <c r="A298" s="314"/>
      <c r="B298" s="315"/>
      <c r="C298" s="315"/>
      <c r="D298" s="315"/>
      <c r="E298" s="316"/>
      <c r="F298" s="315"/>
      <c r="G298" s="315"/>
      <c r="H298" s="317">
        <f t="shared" si="43"/>
      </c>
      <c r="I298" s="318">
        <f t="shared" si="44"/>
      </c>
      <c r="J298" s="315"/>
      <c r="K298" s="315"/>
      <c r="L298" s="319"/>
      <c r="P298">
        <f t="shared" si="45"/>
      </c>
      <c r="Q298">
        <f t="shared" si="46"/>
      </c>
      <c r="R298">
        <f>IF(P298="","",TEXT(H298,"yyyymm")&amp;"_"&amp;P298&amp;"_"&amp;(COUNTIFS($H$64:$H$500,H298,$P$64:$P$500,P298,$A$64:$A$500,"&gt;"&amp;A298)+COUNTIFS($H$64:H298,H298,$P$64:P298,P298,$A$64:A298,A298)))</f>
      </c>
      <c r="S298">
        <f t="shared" si="47"/>
      </c>
      <c r="T298">
        <f t="shared" si="48"/>
      </c>
      <c r="U298">
        <f t="shared" si="49"/>
      </c>
      <c r="Y298">
        <f t="shared" si="50"/>
      </c>
      <c r="Z298">
        <f>IFERROR(IF(AND(ISNUMBER(A298),A298&gt;=$B$3,A298&lt;EDATE($B$3,1)),COUNTIFS($A$64:$A$500,"&gt;"&amp;A298,$A$64:$A$500,"&lt;"&amp;EDATE($B$3,1))+COUNTIF($A$64:A298,A298),0),0)</f>
        <v>0</v>
      </c>
    </row>
    <row r="299" spans="1:25" ht="56" hidden="1" customHeight="1" outlineLevel="1">
      <c r="A299" s="314"/>
      <c r="B299" s="318"/>
      <c r="C299" s="318"/>
      <c r="D299" s="318"/>
      <c r="E299" s="316"/>
      <c r="F299" s="318"/>
      <c r="G299" s="318"/>
      <c r="H299" s="317">
        <f t="shared" si="43"/>
      </c>
      <c r="I299" s="318">
        <f t="shared" si="44"/>
      </c>
      <c r="J299" s="318"/>
      <c r="K299" s="318"/>
      <c r="L299" s="320"/>
      <c r="P299">
        <f t="shared" si="45"/>
      </c>
      <c r="Q299">
        <f t="shared" si="46"/>
      </c>
      <c r="R299">
        <f>IF(P299="","",TEXT(H299,"yyyymm")&amp;"_"&amp;P299&amp;"_"&amp;(COUNTIFS($H$64:$H$500,H299,$P$64:$P$500,P299,$A$64:$A$500,"&gt;"&amp;A299)+COUNTIFS($H$64:H299,H299,$P$64:P299,P299,$A$64:A299,A299)))</f>
      </c>
      <c r="S299">
        <f t="shared" si="47"/>
      </c>
      <c r="T299">
        <f t="shared" si="48"/>
      </c>
      <c r="U299">
        <f t="shared" si="49"/>
      </c>
      <c r="Y299">
        <f t="shared" si="50"/>
      </c>
      <c r="Z299">
        <f>IFERROR(IF(AND(ISNUMBER(A299),A299&gt;=$B$3,A299&lt;EDATE($B$3,1)),COUNTIFS($A$64:$A$500,"&gt;"&amp;A299,$A$64:$A$500,"&lt;"&amp;EDATE($B$3,1))+COUNTIF($A$64:A299,A299),0),0)</f>
        <v>0</v>
      </c>
    </row>
    <row r="300" spans="1:25" ht="32" hidden="1" customHeight="1" outlineLevel="1">
      <c r="A300" s="314"/>
      <c r="B300" s="318"/>
      <c r="C300" s="318"/>
      <c r="D300" s="318"/>
      <c r="E300" s="316"/>
      <c r="F300" s="318"/>
      <c r="G300" s="318"/>
      <c r="H300" s="317">
        <f t="shared" si="43"/>
      </c>
      <c r="I300" s="318">
        <f t="shared" si="44"/>
      </c>
      <c r="J300" s="318"/>
      <c r="K300" s="318"/>
      <c r="L300" s="320"/>
      <c r="P300">
        <f t="shared" si="45"/>
      </c>
      <c r="Q300">
        <f t="shared" si="46"/>
      </c>
      <c r="R300">
        <f>IF(P300="","",TEXT(H300,"yyyymm")&amp;"_"&amp;P300&amp;"_"&amp;(COUNTIFS($H$64:$H$500,H300,$P$64:$P$500,P300,$A$64:$A$500,"&gt;"&amp;A300)+COUNTIFS($H$64:H300,H300,$P$64:P300,P300,$A$64:A300,A300)))</f>
      </c>
      <c r="S300">
        <f t="shared" si="47"/>
      </c>
      <c r="T300">
        <f t="shared" si="48"/>
      </c>
      <c r="U300">
        <f t="shared" si="49"/>
      </c>
      <c r="Y300">
        <f t="shared" si="50"/>
      </c>
      <c r="Z300">
        <f>IFERROR(IF(AND(ISNUMBER(A300),A300&gt;=$B$3,A300&lt;EDATE($B$3,1)),COUNTIFS($A$64:$A$500,"&gt;"&amp;A300,$A$64:$A$500,"&lt;"&amp;EDATE($B$3,1))+COUNTIF($A$64:A300,A300),0),0)</f>
        <v>0</v>
      </c>
    </row>
    <row r="301" spans="1:25" ht="68" hidden="1" customHeight="1" outlineLevel="1">
      <c r="A301" s="314"/>
      <c r="B301" s="315"/>
      <c r="C301" s="315"/>
      <c r="D301" s="315"/>
      <c r="E301" s="316"/>
      <c r="F301" s="315"/>
      <c r="G301" s="315"/>
      <c r="H301" s="317">
        <f t="shared" si="43"/>
      </c>
      <c r="I301" s="318">
        <f t="shared" si="44"/>
      </c>
      <c r="J301" s="315"/>
      <c r="K301" s="315"/>
      <c r="L301" s="319"/>
      <c r="P301">
        <f t="shared" si="45"/>
      </c>
      <c r="Q301">
        <f t="shared" si="46"/>
      </c>
      <c r="R301">
        <f>IF(P301="","",TEXT(H301,"yyyymm")&amp;"_"&amp;P301&amp;"_"&amp;(COUNTIFS($H$64:$H$500,H301,$P$64:$P$500,P301,$A$64:$A$500,"&gt;"&amp;A301)+COUNTIFS($H$64:H301,H301,$P$64:P301,P301,$A$64:A301,A301)))</f>
      </c>
      <c r="S301">
        <f t="shared" si="47"/>
      </c>
      <c r="T301">
        <f t="shared" si="48"/>
      </c>
      <c r="U301">
        <f t="shared" si="49"/>
      </c>
      <c r="Y301">
        <f t="shared" si="50"/>
      </c>
      <c r="Z301">
        <f>IFERROR(IF(AND(ISNUMBER(A301),A301&gt;=$B$3,A301&lt;EDATE($B$3,1)),COUNTIFS($A$64:$A$500,"&gt;"&amp;A301,$A$64:$A$500,"&lt;"&amp;EDATE($B$3,1))+COUNTIF($A$64:A301,A301),0),0)</f>
        <v>0</v>
      </c>
    </row>
    <row r="302" spans="1:25" ht="68" hidden="1" customHeight="1" outlineLevel="1">
      <c r="A302" s="314"/>
      <c r="B302" s="315"/>
      <c r="C302" s="315"/>
      <c r="D302" s="315"/>
      <c r="E302" s="316"/>
      <c r="F302" s="315"/>
      <c r="G302" s="315"/>
      <c r="H302" s="317">
        <f t="shared" si="43"/>
      </c>
      <c r="I302" s="318">
        <f t="shared" si="44"/>
      </c>
      <c r="J302" s="315"/>
      <c r="K302" s="315"/>
      <c r="L302" s="319"/>
      <c r="P302">
        <f t="shared" si="45"/>
      </c>
      <c r="Q302">
        <f t="shared" si="46"/>
      </c>
      <c r="R302">
        <f>IF(P302="","",TEXT(H302,"yyyymm")&amp;"_"&amp;P302&amp;"_"&amp;(COUNTIFS($H$64:$H$500,H302,$P$64:$P$500,P302,$A$64:$A$500,"&gt;"&amp;A302)+COUNTIFS($H$64:H302,H302,$P$64:P302,P302,$A$64:A302,A302)))</f>
      </c>
      <c r="S302">
        <f t="shared" si="47"/>
      </c>
      <c r="T302">
        <f t="shared" si="48"/>
      </c>
      <c r="U302">
        <f t="shared" si="49"/>
      </c>
      <c r="Y302">
        <f t="shared" si="50"/>
      </c>
      <c r="Z302">
        <f>IFERROR(IF(AND(ISNUMBER(A302),A302&gt;=$B$3,A302&lt;EDATE($B$3,1)),COUNTIFS($A$64:$A$500,"&gt;"&amp;A302,$A$64:$A$500,"&lt;"&amp;EDATE($B$3,1))+COUNTIF($A$64:A302,A302),0),0)</f>
        <v>0</v>
      </c>
    </row>
    <row r="303" spans="1:25" ht="68" hidden="1" customHeight="1" outlineLevel="1">
      <c r="A303" s="314"/>
      <c r="B303" s="315"/>
      <c r="C303" s="315"/>
      <c r="D303" s="315"/>
      <c r="E303" s="316"/>
      <c r="F303" s="315"/>
      <c r="G303" s="315"/>
      <c r="H303" s="317">
        <f t="shared" si="43"/>
      </c>
      <c r="I303" s="318">
        <f t="shared" si="44"/>
      </c>
      <c r="J303" s="315"/>
      <c r="K303" s="315"/>
      <c r="L303" s="319"/>
      <c r="P303">
        <f t="shared" si="45"/>
      </c>
      <c r="Q303">
        <f t="shared" si="46"/>
      </c>
      <c r="R303">
        <f>IF(P303="","",TEXT(H303,"yyyymm")&amp;"_"&amp;P303&amp;"_"&amp;(COUNTIFS($H$64:$H$500,H303,$P$64:$P$500,P303,$A$64:$A$500,"&gt;"&amp;A303)+COUNTIFS($H$64:H303,H303,$P$64:P303,P303,$A$64:A303,A303)))</f>
      </c>
      <c r="S303">
        <f t="shared" si="47"/>
      </c>
      <c r="T303">
        <f t="shared" si="48"/>
      </c>
      <c r="U303">
        <f t="shared" si="49"/>
      </c>
      <c r="Y303">
        <f t="shared" si="50"/>
      </c>
      <c r="Z303">
        <f>IFERROR(IF(AND(ISNUMBER(A303),A303&gt;=$B$3,A303&lt;EDATE($B$3,1)),COUNTIFS($A$64:$A$500,"&gt;"&amp;A303,$A$64:$A$500,"&lt;"&amp;EDATE($B$3,1))+COUNTIF($A$64:A303,A303),0),0)</f>
        <v>0</v>
      </c>
    </row>
    <row r="304" spans="1:25" ht="68" hidden="1" customHeight="1" outlineLevel="1">
      <c r="A304" s="314"/>
      <c r="B304" s="315"/>
      <c r="C304" s="315"/>
      <c r="D304" s="315"/>
      <c r="E304" s="316"/>
      <c r="F304" s="315"/>
      <c r="G304" s="315"/>
      <c r="H304" s="317">
        <f t="shared" si="43"/>
      </c>
      <c r="I304" s="318">
        <f t="shared" si="44"/>
      </c>
      <c r="J304" s="315"/>
      <c r="K304" s="315"/>
      <c r="L304" s="319"/>
      <c r="P304">
        <f t="shared" si="45"/>
      </c>
      <c r="Q304">
        <f t="shared" si="46"/>
      </c>
      <c r="R304">
        <f>IF(P304="","",TEXT(H304,"yyyymm")&amp;"_"&amp;P304&amp;"_"&amp;(COUNTIFS($H$64:$H$500,H304,$P$64:$P$500,P304,$A$64:$A$500,"&gt;"&amp;A304)+COUNTIFS($H$64:H304,H304,$P$64:P304,P304,$A$64:A304,A304)))</f>
      </c>
      <c r="S304">
        <f t="shared" si="47"/>
      </c>
      <c r="T304">
        <f t="shared" si="48"/>
      </c>
      <c r="U304">
        <f t="shared" si="49"/>
      </c>
      <c r="Y304">
        <f t="shared" si="50"/>
      </c>
      <c r="Z304">
        <f>IFERROR(IF(AND(ISNUMBER(A304),A304&gt;=$B$3,A304&lt;EDATE($B$3,1)),COUNTIFS($A$64:$A$500,"&gt;"&amp;A304,$A$64:$A$500,"&lt;"&amp;EDATE($B$3,1))+COUNTIF($A$64:A304,A304),0),0)</f>
        <v>0</v>
      </c>
    </row>
    <row r="305" spans="1:25" ht="68" hidden="1" customHeight="1" outlineLevel="1">
      <c r="A305" s="314"/>
      <c r="B305" s="315"/>
      <c r="C305" s="315"/>
      <c r="D305" s="315"/>
      <c r="E305" s="316"/>
      <c r="F305" s="315"/>
      <c r="G305" s="315"/>
      <c r="H305" s="317">
        <f t="shared" si="43"/>
      </c>
      <c r="I305" s="318">
        <f t="shared" si="44"/>
      </c>
      <c r="J305" s="315"/>
      <c r="K305" s="315"/>
      <c r="L305" s="319"/>
      <c r="P305">
        <f t="shared" si="45"/>
      </c>
      <c r="Q305">
        <f t="shared" si="46"/>
      </c>
      <c r="R305">
        <f>IF(P305="","",TEXT(H305,"yyyymm")&amp;"_"&amp;P305&amp;"_"&amp;(COUNTIFS($H$64:$H$500,H305,$P$64:$P$500,P305,$A$64:$A$500,"&gt;"&amp;A305)+COUNTIFS($H$64:H305,H305,$P$64:P305,P305,$A$64:A305,A305)))</f>
      </c>
      <c r="S305">
        <f t="shared" si="47"/>
      </c>
      <c r="T305">
        <f t="shared" si="48"/>
      </c>
      <c r="U305">
        <f t="shared" si="49"/>
      </c>
      <c r="Y305">
        <f t="shared" si="50"/>
      </c>
      <c r="Z305">
        <f>IFERROR(IF(AND(ISNUMBER(A305),A305&gt;=$B$3,A305&lt;EDATE($B$3,1)),COUNTIFS($A$64:$A$500,"&gt;"&amp;A305,$A$64:$A$500,"&lt;"&amp;EDATE($B$3,1))+COUNTIF($A$64:A305,A305),0),0)</f>
        <v>0</v>
      </c>
    </row>
    <row r="306" spans="1:25" ht="68" hidden="1" customHeight="1" outlineLevel="1">
      <c r="A306" s="314"/>
      <c r="B306" s="315"/>
      <c r="C306" s="315"/>
      <c r="D306" s="315"/>
      <c r="E306" s="316"/>
      <c r="F306" s="315"/>
      <c r="G306" s="315"/>
      <c r="H306" s="317">
        <f t="shared" si="43"/>
      </c>
      <c r="I306" s="318">
        <f t="shared" si="44"/>
      </c>
      <c r="J306" s="315"/>
      <c r="K306" s="315"/>
      <c r="L306" s="319"/>
      <c r="P306">
        <f t="shared" si="45"/>
      </c>
      <c r="Q306">
        <f t="shared" si="46"/>
      </c>
      <c r="R306">
        <f>IF(P306="","",TEXT(H306,"yyyymm")&amp;"_"&amp;P306&amp;"_"&amp;(COUNTIFS($H$64:$H$500,H306,$P$64:$P$500,P306,$A$64:$A$500,"&gt;"&amp;A306)+COUNTIFS($H$64:H306,H306,$P$64:P306,P306,$A$64:A306,A306)))</f>
      </c>
      <c r="S306">
        <f t="shared" si="47"/>
      </c>
      <c r="T306">
        <f t="shared" si="48"/>
      </c>
      <c r="U306">
        <f t="shared" si="49"/>
      </c>
      <c r="Y306">
        <f t="shared" si="50"/>
      </c>
      <c r="Z306">
        <f>IFERROR(IF(AND(ISNUMBER(A306),A306&gt;=$B$3,A306&lt;EDATE($B$3,1)),COUNTIFS($A$64:$A$500,"&gt;"&amp;A306,$A$64:$A$500,"&lt;"&amp;EDATE($B$3,1))+COUNTIF($A$64:A306,A306),0),0)</f>
        <v>0</v>
      </c>
    </row>
    <row r="307" spans="1:25" ht="32" hidden="1" customHeight="1" outlineLevel="1">
      <c r="A307" s="314"/>
      <c r="B307" s="318"/>
      <c r="C307" s="318"/>
      <c r="D307" s="318"/>
      <c r="E307" s="316"/>
      <c r="F307" s="318"/>
      <c r="G307" s="318"/>
      <c r="H307" s="317">
        <f t="shared" si="43"/>
      </c>
      <c r="I307" s="318">
        <f t="shared" si="44"/>
      </c>
      <c r="J307" s="318"/>
      <c r="K307" s="318"/>
      <c r="L307" s="320"/>
      <c r="P307">
        <f t="shared" si="45"/>
      </c>
      <c r="Q307">
        <f t="shared" si="46"/>
      </c>
      <c r="R307">
        <f>IF(P307="","",TEXT(H307,"yyyymm")&amp;"_"&amp;P307&amp;"_"&amp;(COUNTIFS($H$64:$H$500,H307,$P$64:$P$500,P307,$A$64:$A$500,"&gt;"&amp;A307)+COUNTIFS($H$64:H307,H307,$P$64:P307,P307,$A$64:A307,A307)))</f>
      </c>
      <c r="S307">
        <f t="shared" si="47"/>
      </c>
      <c r="T307">
        <f t="shared" si="48"/>
      </c>
      <c r="U307">
        <f t="shared" si="49"/>
      </c>
      <c r="Y307">
        <f t="shared" si="50"/>
      </c>
      <c r="Z307">
        <f>IFERROR(IF(AND(ISNUMBER(A307),A307&gt;=$B$3,A307&lt;EDATE($B$3,1)),COUNTIFS($A$64:$A$500,"&gt;"&amp;A307,$A$64:$A$500,"&lt;"&amp;EDATE($B$3,1))+COUNTIF($A$64:A307,A307),0),0)</f>
        <v>0</v>
      </c>
    </row>
    <row r="308" spans="1:25" ht="68" hidden="1" customHeight="1" outlineLevel="1">
      <c r="A308" s="314"/>
      <c r="B308" s="315"/>
      <c r="C308" s="315"/>
      <c r="D308" s="315"/>
      <c r="E308" s="316"/>
      <c r="F308" s="315"/>
      <c r="G308" s="315"/>
      <c r="H308" s="317">
        <f t="shared" si="43"/>
      </c>
      <c r="I308" s="318">
        <f t="shared" si="44"/>
      </c>
      <c r="J308" s="315"/>
      <c r="K308" s="315"/>
      <c r="L308" s="319"/>
      <c r="P308">
        <f t="shared" si="45"/>
      </c>
      <c r="Q308">
        <f t="shared" si="46"/>
      </c>
      <c r="R308">
        <f>IF(P308="","",TEXT(H308,"yyyymm")&amp;"_"&amp;P308&amp;"_"&amp;(COUNTIFS($H$64:$H$500,H308,$P$64:$P$500,P308,$A$64:$A$500,"&gt;"&amp;A308)+COUNTIFS($H$64:H308,H308,$P$64:P308,P308,$A$64:A308,A308)))</f>
      </c>
      <c r="S308">
        <f t="shared" si="47"/>
      </c>
      <c r="T308">
        <f t="shared" si="48"/>
      </c>
      <c r="U308">
        <f t="shared" si="49"/>
      </c>
      <c r="Y308">
        <f t="shared" si="50"/>
      </c>
      <c r="Z308">
        <f>IFERROR(IF(AND(ISNUMBER(A308),A308&gt;=$B$3,A308&lt;EDATE($B$3,1)),COUNTIFS($A$64:$A$500,"&gt;"&amp;A308,$A$64:$A$500,"&lt;"&amp;EDATE($B$3,1))+COUNTIF($A$64:A308,A308),0),0)</f>
        <v>0</v>
      </c>
    </row>
    <row r="309" spans="1:25" ht="68" hidden="1" customHeight="1" outlineLevel="1">
      <c r="A309" s="314"/>
      <c r="B309" s="315"/>
      <c r="C309" s="315"/>
      <c r="D309" s="315"/>
      <c r="E309" s="316"/>
      <c r="F309" s="315"/>
      <c r="G309" s="315"/>
      <c r="H309" s="317">
        <f t="shared" si="43"/>
      </c>
      <c r="I309" s="318">
        <f t="shared" si="44"/>
      </c>
      <c r="J309" s="315"/>
      <c r="K309" s="315"/>
      <c r="L309" s="319"/>
      <c r="P309">
        <f t="shared" si="45"/>
      </c>
      <c r="Q309">
        <f t="shared" si="46"/>
      </c>
      <c r="R309">
        <f>IF(P309="","",TEXT(H309,"yyyymm")&amp;"_"&amp;P309&amp;"_"&amp;(COUNTIFS($H$64:$H$500,H309,$P$64:$P$500,P309,$A$64:$A$500,"&gt;"&amp;A309)+COUNTIFS($H$64:H309,H309,$P$64:P309,P309,$A$64:A309,A309)))</f>
      </c>
      <c r="S309">
        <f t="shared" si="47"/>
      </c>
      <c r="T309">
        <f t="shared" si="48"/>
      </c>
      <c r="U309">
        <f t="shared" si="49"/>
      </c>
      <c r="Y309">
        <f t="shared" si="50"/>
      </c>
      <c r="Z309">
        <f>IFERROR(IF(AND(ISNUMBER(A309),A309&gt;=$B$3,A309&lt;EDATE($B$3,1)),COUNTIFS($A$64:$A$500,"&gt;"&amp;A309,$A$64:$A$500,"&lt;"&amp;EDATE($B$3,1))+COUNTIF($A$64:A309,A309),0),0)</f>
        <v>0</v>
      </c>
    </row>
    <row r="310" spans="1:25" ht="68" hidden="1" customHeight="1" outlineLevel="1">
      <c r="A310" s="314"/>
      <c r="B310" s="315"/>
      <c r="C310" s="315"/>
      <c r="D310" s="315"/>
      <c r="E310" s="316"/>
      <c r="F310" s="315"/>
      <c r="G310" s="315"/>
      <c r="H310" s="317">
        <f t="shared" si="43"/>
      </c>
      <c r="I310" s="318">
        <f t="shared" si="44"/>
      </c>
      <c r="J310" s="315"/>
      <c r="K310" s="315"/>
      <c r="L310" s="319"/>
      <c r="P310">
        <f t="shared" si="45"/>
      </c>
      <c r="Q310">
        <f t="shared" si="46"/>
      </c>
      <c r="R310">
        <f>IF(P310="","",TEXT(H310,"yyyymm")&amp;"_"&amp;P310&amp;"_"&amp;(COUNTIFS($H$64:$H$500,H310,$P$64:$P$500,P310,$A$64:$A$500,"&gt;"&amp;A310)+COUNTIFS($H$64:H310,H310,$P$64:P310,P310,$A$64:A310,A310)))</f>
      </c>
      <c r="S310">
        <f t="shared" si="47"/>
      </c>
      <c r="T310">
        <f t="shared" si="48"/>
      </c>
      <c r="U310">
        <f t="shared" si="49"/>
      </c>
      <c r="Y310">
        <f t="shared" si="50"/>
      </c>
      <c r="Z310">
        <f>IFERROR(IF(AND(ISNUMBER(A310),A310&gt;=$B$3,A310&lt;EDATE($B$3,1)),COUNTIFS($A$64:$A$500,"&gt;"&amp;A310,$A$64:$A$500,"&lt;"&amp;EDATE($B$3,1))+COUNTIF($A$64:A310,A310),0),0)</f>
        <v>0</v>
      </c>
    </row>
    <row r="311" spans="1:25" ht="68" hidden="1" customHeight="1" outlineLevel="1">
      <c r="A311" s="314"/>
      <c r="B311" s="315"/>
      <c r="C311" s="315"/>
      <c r="D311" s="315"/>
      <c r="E311" s="316"/>
      <c r="F311" s="315"/>
      <c r="G311" s="315"/>
      <c r="H311" s="317">
        <f t="shared" si="43"/>
      </c>
      <c r="I311" s="318">
        <f t="shared" si="44"/>
      </c>
      <c r="J311" s="315"/>
      <c r="K311" s="315"/>
      <c r="L311" s="319"/>
      <c r="P311">
        <f t="shared" si="45"/>
      </c>
      <c r="Q311">
        <f t="shared" si="46"/>
      </c>
      <c r="R311">
        <f>IF(P311="","",TEXT(H311,"yyyymm")&amp;"_"&amp;P311&amp;"_"&amp;(COUNTIFS($H$64:$H$500,H311,$P$64:$P$500,P311,$A$64:$A$500,"&gt;"&amp;A311)+COUNTIFS($H$64:H311,H311,$P$64:P311,P311,$A$64:A311,A311)))</f>
      </c>
      <c r="S311">
        <f t="shared" si="47"/>
      </c>
      <c r="T311">
        <f t="shared" si="48"/>
      </c>
      <c r="U311">
        <f t="shared" si="49"/>
      </c>
      <c r="Y311">
        <f t="shared" si="50"/>
      </c>
      <c r="Z311">
        <f>IFERROR(IF(AND(ISNUMBER(A311),A311&gt;=$B$3,A311&lt;EDATE($B$3,1)),COUNTIFS($A$64:$A$500,"&gt;"&amp;A311,$A$64:$A$500,"&lt;"&amp;EDATE($B$3,1))+COUNTIF($A$64:A311,A311),0),0)</f>
        <v>0</v>
      </c>
    </row>
    <row r="312" spans="1:25" ht="68" hidden="1" customHeight="1" outlineLevel="1">
      <c r="A312" s="314"/>
      <c r="B312" s="315"/>
      <c r="C312" s="315"/>
      <c r="D312" s="315"/>
      <c r="E312" s="316"/>
      <c r="F312" s="315"/>
      <c r="G312" s="315"/>
      <c r="H312" s="317">
        <f t="shared" si="43"/>
      </c>
      <c r="I312" s="318">
        <f t="shared" si="44"/>
      </c>
      <c r="J312" s="315"/>
      <c r="K312" s="315"/>
      <c r="L312" s="319"/>
      <c r="P312">
        <f t="shared" si="45"/>
      </c>
      <c r="Q312">
        <f t="shared" si="46"/>
      </c>
      <c r="R312">
        <f>IF(P312="","",TEXT(H312,"yyyymm")&amp;"_"&amp;P312&amp;"_"&amp;(COUNTIFS($H$64:$H$500,H312,$P$64:$P$500,P312,$A$64:$A$500,"&gt;"&amp;A312)+COUNTIFS($H$64:H312,H312,$P$64:P312,P312,$A$64:A312,A312)))</f>
      </c>
      <c r="S312">
        <f t="shared" si="47"/>
      </c>
      <c r="T312">
        <f t="shared" si="48"/>
      </c>
      <c r="U312">
        <f t="shared" si="49"/>
      </c>
      <c r="Y312">
        <f t="shared" si="50"/>
      </c>
      <c r="Z312">
        <f>IFERROR(IF(AND(ISNUMBER(A312),A312&gt;=$B$3,A312&lt;EDATE($B$3,1)),COUNTIFS($A$64:$A$500,"&gt;"&amp;A312,$A$64:$A$500,"&lt;"&amp;EDATE($B$3,1))+COUNTIF($A$64:A312,A312),0),0)</f>
        <v>0</v>
      </c>
    </row>
    <row r="313" spans="1:25" ht="68" hidden="1" customHeight="1" outlineLevel="1">
      <c r="A313" s="314"/>
      <c r="B313" s="315"/>
      <c r="C313" s="315"/>
      <c r="D313" s="315"/>
      <c r="E313" s="316"/>
      <c r="F313" s="315"/>
      <c r="G313" s="315"/>
      <c r="H313" s="317">
        <f t="shared" si="43"/>
      </c>
      <c r="I313" s="318">
        <f t="shared" si="44"/>
      </c>
      <c r="J313" s="315"/>
      <c r="K313" s="315"/>
      <c r="L313" s="319"/>
      <c r="P313">
        <f t="shared" si="45"/>
      </c>
      <c r="Q313">
        <f t="shared" si="46"/>
      </c>
      <c r="R313">
        <f>IF(P313="","",TEXT(H313,"yyyymm")&amp;"_"&amp;P313&amp;"_"&amp;(COUNTIFS($H$64:$H$500,H313,$P$64:$P$500,P313,$A$64:$A$500,"&gt;"&amp;A313)+COUNTIFS($H$64:H313,H313,$P$64:P313,P313,$A$64:A313,A313)))</f>
      </c>
      <c r="S313">
        <f t="shared" si="47"/>
      </c>
      <c r="T313">
        <f t="shared" si="48"/>
      </c>
      <c r="U313">
        <f t="shared" si="49"/>
      </c>
      <c r="Y313">
        <f t="shared" si="50"/>
      </c>
      <c r="Z313">
        <f>IFERROR(IF(AND(ISNUMBER(A313),A313&gt;=$B$3,A313&lt;EDATE($B$3,1)),COUNTIFS($A$64:$A$500,"&gt;"&amp;A313,$A$64:$A$500,"&lt;"&amp;EDATE($B$3,1))+COUNTIF($A$64:A313,A313),0),0)</f>
        <v>0</v>
      </c>
    </row>
    <row r="314" spans="1:25" ht="68" hidden="1" customHeight="1" outlineLevel="1">
      <c r="A314" s="314"/>
      <c r="B314" s="315"/>
      <c r="C314" s="315"/>
      <c r="D314" s="315"/>
      <c r="E314" s="316"/>
      <c r="F314" s="315"/>
      <c r="G314" s="315"/>
      <c r="H314" s="317">
        <f t="shared" si="43"/>
      </c>
      <c r="I314" s="318">
        <f t="shared" si="44"/>
      </c>
      <c r="J314" s="315"/>
      <c r="K314" s="315"/>
      <c r="L314" s="319"/>
      <c r="P314">
        <f t="shared" si="45"/>
      </c>
      <c r="Q314">
        <f t="shared" si="46"/>
      </c>
      <c r="R314">
        <f>IF(P314="","",TEXT(H314,"yyyymm")&amp;"_"&amp;P314&amp;"_"&amp;(COUNTIFS($H$64:$H$500,H314,$P$64:$P$500,P314,$A$64:$A$500,"&gt;"&amp;A314)+COUNTIFS($H$64:H314,H314,$P$64:P314,P314,$A$64:A314,A314)))</f>
      </c>
      <c r="S314">
        <f t="shared" si="47"/>
      </c>
      <c r="T314">
        <f t="shared" si="48"/>
      </c>
      <c r="U314">
        <f t="shared" si="49"/>
      </c>
      <c r="Y314">
        <f t="shared" si="50"/>
      </c>
      <c r="Z314">
        <f>IFERROR(IF(AND(ISNUMBER(A314),A314&gt;=$B$3,A314&lt;EDATE($B$3,1)),COUNTIFS($A$64:$A$500,"&gt;"&amp;A314,$A$64:$A$500,"&lt;"&amp;EDATE($B$3,1))+COUNTIF($A$64:A314,A314),0),0)</f>
        <v>0</v>
      </c>
    </row>
    <row r="315" spans="1:25" ht="68" hidden="1" customHeight="1" outlineLevel="1">
      <c r="A315" s="314"/>
      <c r="B315" s="315"/>
      <c r="C315" s="315"/>
      <c r="D315" s="315"/>
      <c r="E315" s="316"/>
      <c r="F315" s="315"/>
      <c r="G315" s="315"/>
      <c r="H315" s="317">
        <f t="shared" si="43"/>
      </c>
      <c r="I315" s="318">
        <f t="shared" si="44"/>
      </c>
      <c r="J315" s="315"/>
      <c r="K315" s="315"/>
      <c r="L315" s="319"/>
      <c r="P315">
        <f t="shared" si="45"/>
      </c>
      <c r="Q315">
        <f t="shared" si="46"/>
      </c>
      <c r="R315">
        <f>IF(P315="","",TEXT(H315,"yyyymm")&amp;"_"&amp;P315&amp;"_"&amp;(COUNTIFS($H$64:$H$500,H315,$P$64:$P$500,P315,$A$64:$A$500,"&gt;"&amp;A315)+COUNTIFS($H$64:H315,H315,$P$64:P315,P315,$A$64:A315,A315)))</f>
      </c>
      <c r="S315">
        <f t="shared" si="47"/>
      </c>
      <c r="T315">
        <f t="shared" si="48"/>
      </c>
      <c r="U315">
        <f t="shared" si="49"/>
      </c>
      <c r="Y315">
        <f t="shared" si="50"/>
      </c>
      <c r="Z315">
        <f>IFERROR(IF(AND(ISNUMBER(A315),A315&gt;=$B$3,A315&lt;EDATE($B$3,1)),COUNTIFS($A$64:$A$500,"&gt;"&amp;A315,$A$64:$A$500,"&lt;"&amp;EDATE($B$3,1))+COUNTIF($A$64:A315,A315),0),0)</f>
        <v>0</v>
      </c>
    </row>
    <row r="316" spans="1:25" ht="32" hidden="1" customHeight="1" outlineLevel="1">
      <c r="A316" s="314"/>
      <c r="B316" s="318"/>
      <c r="C316" s="318"/>
      <c r="D316" s="318"/>
      <c r="E316" s="316"/>
      <c r="F316" s="318"/>
      <c r="G316" s="318"/>
      <c r="H316" s="317">
        <f t="shared" si="43"/>
      </c>
      <c r="I316" s="318">
        <f t="shared" si="44"/>
      </c>
      <c r="J316" s="318"/>
      <c r="K316" s="318"/>
      <c r="L316" s="320"/>
      <c r="P316">
        <f t="shared" si="45"/>
      </c>
      <c r="Q316">
        <f t="shared" si="46"/>
      </c>
      <c r="R316">
        <f>IF(P316="","",TEXT(H316,"yyyymm")&amp;"_"&amp;P316&amp;"_"&amp;(COUNTIFS($H$64:$H$500,H316,$P$64:$P$500,P316,$A$64:$A$500,"&gt;"&amp;A316)+COUNTIFS($H$64:H316,H316,$P$64:P316,P316,$A$64:A316,A316)))</f>
      </c>
      <c r="S316">
        <f t="shared" si="47"/>
      </c>
      <c r="T316">
        <f t="shared" si="48"/>
      </c>
      <c r="U316">
        <f t="shared" si="49"/>
      </c>
      <c r="Y316">
        <f t="shared" si="50"/>
      </c>
      <c r="Z316">
        <f>IFERROR(IF(AND(ISNUMBER(A316),A316&gt;=$B$3,A316&lt;EDATE($B$3,1)),COUNTIFS($A$64:$A$500,"&gt;"&amp;A316,$A$64:$A$500,"&lt;"&amp;EDATE($B$3,1))+COUNTIF($A$64:A316,A316),0),0)</f>
        <v>0</v>
      </c>
    </row>
    <row r="317" spans="1:25" ht="68" hidden="1" customHeight="1" outlineLevel="1">
      <c r="A317" s="314"/>
      <c r="B317" s="315"/>
      <c r="C317" s="315"/>
      <c r="D317" s="315"/>
      <c r="E317" s="316"/>
      <c r="F317" s="315"/>
      <c r="G317" s="315"/>
      <c r="H317" s="317">
        <f t="shared" si="43"/>
      </c>
      <c r="I317" s="318">
        <f t="shared" si="44"/>
      </c>
      <c r="J317" s="315"/>
      <c r="K317" s="315"/>
      <c r="L317" s="319"/>
      <c r="P317">
        <f t="shared" si="45"/>
      </c>
      <c r="Q317">
        <f t="shared" si="46"/>
      </c>
      <c r="R317">
        <f>IF(P317="","",TEXT(H317,"yyyymm")&amp;"_"&amp;P317&amp;"_"&amp;(COUNTIFS($H$64:$H$500,H317,$P$64:$P$500,P317,$A$64:$A$500,"&gt;"&amp;A317)+COUNTIFS($H$64:H317,H317,$P$64:P317,P317,$A$64:A317,A317)))</f>
      </c>
      <c r="S317">
        <f t="shared" si="47"/>
      </c>
      <c r="T317">
        <f t="shared" si="48"/>
      </c>
      <c r="U317">
        <f t="shared" si="49"/>
      </c>
      <c r="Y317">
        <f t="shared" si="50"/>
      </c>
      <c r="Z317">
        <f>IFERROR(IF(AND(ISNUMBER(A317),A317&gt;=$B$3,A317&lt;EDATE($B$3,1)),COUNTIFS($A$64:$A$500,"&gt;"&amp;A317,$A$64:$A$500,"&lt;"&amp;EDATE($B$3,1))+COUNTIF($A$64:A317,A317),0),0)</f>
        <v>0</v>
      </c>
    </row>
    <row r="318" spans="1:25" ht="68" hidden="1" customHeight="1" outlineLevel="1">
      <c r="A318" s="314"/>
      <c r="B318" s="315"/>
      <c r="C318" s="315"/>
      <c r="D318" s="315"/>
      <c r="E318" s="316"/>
      <c r="F318" s="315"/>
      <c r="G318" s="315"/>
      <c r="H318" s="317">
        <f t="shared" si="43"/>
      </c>
      <c r="I318" s="318">
        <f t="shared" si="44"/>
      </c>
      <c r="J318" s="315"/>
      <c r="K318" s="315"/>
      <c r="L318" s="319"/>
      <c r="P318">
        <f t="shared" si="45"/>
      </c>
      <c r="Q318">
        <f t="shared" si="46"/>
      </c>
      <c r="R318">
        <f>IF(P318="","",TEXT(H318,"yyyymm")&amp;"_"&amp;P318&amp;"_"&amp;(COUNTIFS($H$64:$H$500,H318,$P$64:$P$500,P318,$A$64:$A$500,"&gt;"&amp;A318)+COUNTIFS($H$64:H318,H318,$P$64:P318,P318,$A$64:A318,A318)))</f>
      </c>
      <c r="S318">
        <f t="shared" si="47"/>
      </c>
      <c r="T318">
        <f t="shared" si="48"/>
      </c>
      <c r="U318">
        <f t="shared" si="49"/>
      </c>
      <c r="Y318">
        <f t="shared" si="50"/>
      </c>
      <c r="Z318">
        <f>IFERROR(IF(AND(ISNUMBER(A318),A318&gt;=$B$3,A318&lt;EDATE($B$3,1)),COUNTIFS($A$64:$A$500,"&gt;"&amp;A318,$A$64:$A$500,"&lt;"&amp;EDATE($B$3,1))+COUNTIF($A$64:A318,A318),0),0)</f>
        <v>0</v>
      </c>
    </row>
    <row r="319" spans="1:25" ht="68" hidden="1" customHeight="1" outlineLevel="1">
      <c r="A319" s="314"/>
      <c r="B319" s="315"/>
      <c r="C319" s="315"/>
      <c r="D319" s="315"/>
      <c r="E319" s="316"/>
      <c r="F319" s="315"/>
      <c r="G319" s="315"/>
      <c r="H319" s="317">
        <f t="shared" si="43"/>
      </c>
      <c r="I319" s="318">
        <f t="shared" si="44"/>
      </c>
      <c r="J319" s="315"/>
      <c r="K319" s="315"/>
      <c r="L319" s="319"/>
      <c r="P319">
        <f t="shared" si="45"/>
      </c>
      <c r="Q319">
        <f t="shared" si="46"/>
      </c>
      <c r="R319">
        <f>IF(P319="","",TEXT(H319,"yyyymm")&amp;"_"&amp;P319&amp;"_"&amp;(COUNTIFS($H$64:$H$500,H319,$P$64:$P$500,P319,$A$64:$A$500,"&gt;"&amp;A319)+COUNTIFS($H$64:H319,H319,$P$64:P319,P319,$A$64:A319,A319)))</f>
      </c>
      <c r="S319">
        <f t="shared" si="47"/>
      </c>
      <c r="T319">
        <f t="shared" si="48"/>
      </c>
      <c r="U319">
        <f t="shared" si="49"/>
      </c>
      <c r="Y319">
        <f t="shared" si="50"/>
      </c>
      <c r="Z319">
        <f>IFERROR(IF(AND(ISNUMBER(A319),A319&gt;=$B$3,A319&lt;EDATE($B$3,1)),COUNTIFS($A$64:$A$500,"&gt;"&amp;A319,$A$64:$A$500,"&lt;"&amp;EDATE($B$3,1))+COUNTIF($A$64:A319,A319),0),0)</f>
        <v>0</v>
      </c>
    </row>
    <row r="320" spans="1:25" ht="68" hidden="1" customHeight="1" outlineLevel="1">
      <c r="A320" s="314"/>
      <c r="B320" s="315"/>
      <c r="C320" s="315"/>
      <c r="D320" s="315"/>
      <c r="E320" s="316"/>
      <c r="F320" s="315"/>
      <c r="G320" s="315"/>
      <c r="H320" s="317">
        <f t="shared" ref="H320:H383" si="51">IF(A320="","",DATE(YEAR(A320),MONTH(A320),1))</f>
      </c>
      <c r="I320" s="318">
        <f t="shared" ref="I320:I383" si="52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</c>
      <c r="J320" s="315"/>
      <c r="K320" s="315"/>
      <c r="L320" s="319"/>
      <c r="P320">
        <f t="shared" ref="P320:P383" si="53">IF(Q320="","",IF(Q320="이체","이체","내역"))</f>
      </c>
      <c r="Q320">
        <f t="shared" ref="Q320:Q383" si="54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</c>
      <c r="R320">
        <f>IF(P320="","",TEXT(H320,"yyyymm")&amp;"_"&amp;P320&amp;"_"&amp;(COUNTIFS($H$64:$H$500,H320,$P$64:$P$500,P320,$A$64:$A$500,"&gt;"&amp;A320)+COUNTIFS($H$64:H320,H320,$P$64:P320,P320,$A$64:A320,A320)))</f>
      </c>
      <c r="S320">
        <f t="shared" ref="S320:S383" si="55">IF(Q320="","",D320)</f>
      </c>
      <c r="T320">
        <f t="shared" ref="T320:T383" si="56">IF(Q320="","",IF(Q320="이체",E320,IF(D320=Q320,E320,-E320)))</f>
      </c>
      <c r="U320">
        <f t="shared" ref="U320:U383" si="57">IF(Q320="","",IF(ISNUMBER(SEARCH("날짜 미기록",G320)),"날짜 미기록",A320))</f>
      </c>
      <c r="Y320">
        <f t="shared" ref="Y320:Y383" si="58">IF(A320="","",IF(I320="OK",E320,0))</f>
      </c>
      <c r="Z320">
        <f>IFERROR(IF(AND(ISNUMBER(A320),A320&gt;=$B$3,A320&lt;EDATE($B$3,1)),COUNTIFS($A$64:$A$500,"&gt;"&amp;A320,$A$64:$A$500,"&lt;"&amp;EDATE($B$3,1))+COUNTIF($A$64:A320,A320),0),0)</f>
        <v>0</v>
      </c>
    </row>
    <row r="321" spans="1:25" ht="68" hidden="1" customHeight="1" outlineLevel="1">
      <c r="A321" s="314"/>
      <c r="B321" s="315"/>
      <c r="C321" s="315"/>
      <c r="D321" s="315"/>
      <c r="E321" s="316"/>
      <c r="F321" s="315"/>
      <c r="G321" s="315"/>
      <c r="H321" s="317">
        <f t="shared" si="51"/>
      </c>
      <c r="I321" s="318">
        <f t="shared" si="52"/>
      </c>
      <c r="J321" s="315"/>
      <c r="K321" s="315"/>
      <c r="L321" s="319"/>
      <c r="P321">
        <f t="shared" si="53"/>
      </c>
      <c r="Q321">
        <f t="shared" si="54"/>
      </c>
      <c r="R321">
        <f>IF(P321="","",TEXT(H321,"yyyymm")&amp;"_"&amp;P321&amp;"_"&amp;(COUNTIFS($H$64:$H$500,H321,$P$64:$P$500,P321,$A$64:$A$500,"&gt;"&amp;A321)+COUNTIFS($H$64:H321,H321,$P$64:P321,P321,$A$64:A321,A321)))</f>
      </c>
      <c r="S321">
        <f t="shared" si="55"/>
      </c>
      <c r="T321">
        <f t="shared" si="56"/>
      </c>
      <c r="U321">
        <f t="shared" si="57"/>
      </c>
      <c r="Y321">
        <f t="shared" si="58"/>
      </c>
      <c r="Z321">
        <f>IFERROR(IF(AND(ISNUMBER(A321),A321&gt;=$B$3,A321&lt;EDATE($B$3,1)),COUNTIFS($A$64:$A$500,"&gt;"&amp;A321,$A$64:$A$500,"&lt;"&amp;EDATE($B$3,1))+COUNTIF($A$64:A321,A321),0),0)</f>
        <v>0</v>
      </c>
    </row>
    <row r="322" spans="1:25" ht="68" hidden="1" customHeight="1" outlineLevel="1">
      <c r="A322" s="314"/>
      <c r="B322" s="315"/>
      <c r="C322" s="315"/>
      <c r="D322" s="315"/>
      <c r="E322" s="316"/>
      <c r="F322" s="315"/>
      <c r="G322" s="315"/>
      <c r="H322" s="317">
        <f t="shared" si="51"/>
      </c>
      <c r="I322" s="318">
        <f t="shared" si="52"/>
      </c>
      <c r="J322" s="315"/>
      <c r="K322" s="315"/>
      <c r="L322" s="319"/>
      <c r="P322">
        <f t="shared" si="53"/>
      </c>
      <c r="Q322">
        <f t="shared" si="54"/>
      </c>
      <c r="R322">
        <f>IF(P322="","",TEXT(H322,"yyyymm")&amp;"_"&amp;P322&amp;"_"&amp;(COUNTIFS($H$64:$H$500,H322,$P$64:$P$500,P322,$A$64:$A$500,"&gt;"&amp;A322)+COUNTIFS($H$64:H322,H322,$P$64:P322,P322,$A$64:A322,A322)))</f>
      </c>
      <c r="S322">
        <f t="shared" si="55"/>
      </c>
      <c r="T322">
        <f t="shared" si="56"/>
      </c>
      <c r="U322">
        <f t="shared" si="57"/>
      </c>
      <c r="Y322">
        <f t="shared" si="58"/>
      </c>
      <c r="Z322">
        <f>IFERROR(IF(AND(ISNUMBER(A322),A322&gt;=$B$3,A322&lt;EDATE($B$3,1)),COUNTIFS($A$64:$A$500,"&gt;"&amp;A322,$A$64:$A$500,"&lt;"&amp;EDATE($B$3,1))+COUNTIF($A$64:A322,A322),0),0)</f>
        <v>0</v>
      </c>
    </row>
    <row r="323" spans="1:25" ht="68" hidden="1" customHeight="1" outlineLevel="1">
      <c r="A323" s="314"/>
      <c r="B323" s="315"/>
      <c r="C323" s="315"/>
      <c r="D323" s="315"/>
      <c r="E323" s="316"/>
      <c r="F323" s="315"/>
      <c r="G323" s="315"/>
      <c r="H323" s="317">
        <f t="shared" si="51"/>
      </c>
      <c r="I323" s="318">
        <f t="shared" si="52"/>
      </c>
      <c r="J323" s="315"/>
      <c r="K323" s="315"/>
      <c r="L323" s="319"/>
      <c r="P323">
        <f t="shared" si="53"/>
      </c>
      <c r="Q323">
        <f t="shared" si="54"/>
      </c>
      <c r="R323">
        <f>IF(P323="","",TEXT(H323,"yyyymm")&amp;"_"&amp;P323&amp;"_"&amp;(COUNTIFS($H$64:$H$500,H323,$P$64:$P$500,P323,$A$64:$A$500,"&gt;"&amp;A323)+COUNTIFS($H$64:H323,H323,$P$64:P323,P323,$A$64:A323,A323)))</f>
      </c>
      <c r="S323">
        <f t="shared" si="55"/>
      </c>
      <c r="T323">
        <f t="shared" si="56"/>
      </c>
      <c r="U323">
        <f t="shared" si="57"/>
      </c>
      <c r="Y323">
        <f t="shared" si="58"/>
      </c>
      <c r="Z323">
        <f>IFERROR(IF(AND(ISNUMBER(A323),A323&gt;=$B$3,A323&lt;EDATE($B$3,1)),COUNTIFS($A$64:$A$500,"&gt;"&amp;A323,$A$64:$A$500,"&lt;"&amp;EDATE($B$3,1))+COUNTIF($A$64:A323,A323),0),0)</f>
        <v>0</v>
      </c>
    </row>
    <row r="324" spans="1:25" ht="68" hidden="1" customHeight="1" outlineLevel="1">
      <c r="A324" s="314"/>
      <c r="B324" s="315"/>
      <c r="C324" s="315"/>
      <c r="D324" s="315"/>
      <c r="E324" s="316"/>
      <c r="F324" s="315"/>
      <c r="G324" s="315"/>
      <c r="H324" s="317">
        <f t="shared" si="51"/>
      </c>
      <c r="I324" s="318">
        <f t="shared" si="52"/>
      </c>
      <c r="J324" s="315"/>
      <c r="K324" s="315"/>
      <c r="L324" s="319"/>
      <c r="P324">
        <f t="shared" si="53"/>
      </c>
      <c r="Q324">
        <f t="shared" si="54"/>
      </c>
      <c r="R324">
        <f>IF(P324="","",TEXT(H324,"yyyymm")&amp;"_"&amp;P324&amp;"_"&amp;(COUNTIFS($H$64:$H$500,H324,$P$64:$P$500,P324,$A$64:$A$500,"&gt;"&amp;A324)+COUNTIFS($H$64:H324,H324,$P$64:P324,P324,$A$64:A324,A324)))</f>
      </c>
      <c r="S324">
        <f t="shared" si="55"/>
      </c>
      <c r="T324">
        <f t="shared" si="56"/>
      </c>
      <c r="U324">
        <f t="shared" si="57"/>
      </c>
      <c r="Y324">
        <f t="shared" si="58"/>
      </c>
      <c r="Z324">
        <f>IFERROR(IF(AND(ISNUMBER(A324),A324&gt;=$B$3,A324&lt;EDATE($B$3,1)),COUNTIFS($A$64:$A$500,"&gt;"&amp;A324,$A$64:$A$500,"&lt;"&amp;EDATE($B$3,1))+COUNTIF($A$64:A324,A324),0),0)</f>
        <v>0</v>
      </c>
    </row>
    <row r="325" spans="1:25" ht="68" hidden="1" customHeight="1" outlineLevel="1">
      <c r="A325" s="314"/>
      <c r="B325" s="315"/>
      <c r="C325" s="315"/>
      <c r="D325" s="315"/>
      <c r="E325" s="316"/>
      <c r="F325" s="315"/>
      <c r="G325" s="315"/>
      <c r="H325" s="317">
        <f t="shared" si="51"/>
      </c>
      <c r="I325" s="318">
        <f t="shared" si="52"/>
      </c>
      <c r="J325" s="315"/>
      <c r="K325" s="315"/>
      <c r="L325" s="319"/>
      <c r="P325">
        <f t="shared" si="53"/>
      </c>
      <c r="Q325">
        <f t="shared" si="54"/>
      </c>
      <c r="R325">
        <f>IF(P325="","",TEXT(H325,"yyyymm")&amp;"_"&amp;P325&amp;"_"&amp;(COUNTIFS($H$64:$H$500,H325,$P$64:$P$500,P325,$A$64:$A$500,"&gt;"&amp;A325)+COUNTIFS($H$64:H325,H325,$P$64:P325,P325,$A$64:A325,A325)))</f>
      </c>
      <c r="S325">
        <f t="shared" si="55"/>
      </c>
      <c r="T325">
        <f t="shared" si="56"/>
      </c>
      <c r="U325">
        <f t="shared" si="57"/>
      </c>
      <c r="Y325">
        <f t="shared" si="58"/>
      </c>
      <c r="Z325">
        <f>IFERROR(IF(AND(ISNUMBER(A325),A325&gt;=$B$3,A325&lt;EDATE($B$3,1)),COUNTIFS($A$64:$A$500,"&gt;"&amp;A325,$A$64:$A$500,"&lt;"&amp;EDATE($B$3,1))+COUNTIF($A$64:A325,A325),0),0)</f>
        <v>0</v>
      </c>
    </row>
    <row r="326" spans="1:25" ht="68" hidden="1" customHeight="1" outlineLevel="1">
      <c r="A326" s="314"/>
      <c r="B326" s="315"/>
      <c r="C326" s="315"/>
      <c r="D326" s="315"/>
      <c r="E326" s="316"/>
      <c r="F326" s="315"/>
      <c r="G326" s="315"/>
      <c r="H326" s="317">
        <f t="shared" si="51"/>
      </c>
      <c r="I326" s="318">
        <f t="shared" si="52"/>
      </c>
      <c r="J326" s="315"/>
      <c r="K326" s="315"/>
      <c r="L326" s="319"/>
      <c r="P326">
        <f t="shared" si="53"/>
      </c>
      <c r="Q326">
        <f t="shared" si="54"/>
      </c>
      <c r="R326">
        <f>IF(P326="","",TEXT(H326,"yyyymm")&amp;"_"&amp;P326&amp;"_"&amp;(COUNTIFS($H$64:$H$500,H326,$P$64:$P$500,P326,$A$64:$A$500,"&gt;"&amp;A326)+COUNTIFS($H$64:H326,H326,$P$64:P326,P326,$A$64:A326,A326)))</f>
      </c>
      <c r="S326">
        <f t="shared" si="55"/>
      </c>
      <c r="T326">
        <f t="shared" si="56"/>
      </c>
      <c r="U326">
        <f t="shared" si="57"/>
      </c>
      <c r="Y326">
        <f t="shared" si="58"/>
      </c>
      <c r="Z326">
        <f>IFERROR(IF(AND(ISNUMBER(A326),A326&gt;=$B$3,A326&lt;EDATE($B$3,1)),COUNTIFS($A$64:$A$500,"&gt;"&amp;A326,$A$64:$A$500,"&lt;"&amp;EDATE($B$3,1))+COUNTIF($A$64:A326,A326),0),0)</f>
        <v>0</v>
      </c>
    </row>
    <row r="327" spans="1:25" ht="56" hidden="1" customHeight="1" outlineLevel="1">
      <c r="A327" s="314"/>
      <c r="B327" s="318"/>
      <c r="C327" s="318"/>
      <c r="D327" s="318"/>
      <c r="E327" s="316"/>
      <c r="F327" s="318"/>
      <c r="G327" s="318"/>
      <c r="H327" s="317">
        <f t="shared" si="51"/>
      </c>
      <c r="I327" s="318">
        <f t="shared" si="52"/>
      </c>
      <c r="J327" s="318"/>
      <c r="K327" s="318"/>
      <c r="L327" s="320"/>
      <c r="P327">
        <f t="shared" si="53"/>
      </c>
      <c r="Q327">
        <f t="shared" si="54"/>
      </c>
      <c r="R327">
        <f>IF(P327="","",TEXT(H327,"yyyymm")&amp;"_"&amp;P327&amp;"_"&amp;(COUNTIFS($H$64:$H$500,H327,$P$64:$P$500,P327,$A$64:$A$500,"&gt;"&amp;A327)+COUNTIFS($H$64:H327,H327,$P$64:P327,P327,$A$64:A327,A327)))</f>
      </c>
      <c r="S327">
        <f t="shared" si="55"/>
      </c>
      <c r="T327">
        <f t="shared" si="56"/>
      </c>
      <c r="U327">
        <f t="shared" si="57"/>
      </c>
      <c r="Y327">
        <f t="shared" si="58"/>
      </c>
      <c r="Z327">
        <f>IFERROR(IF(AND(ISNUMBER(A327),A327&gt;=$B$3,A327&lt;EDATE($B$3,1)),COUNTIFS($A$64:$A$500,"&gt;"&amp;A327,$A$64:$A$500,"&lt;"&amp;EDATE($B$3,1))+COUNTIF($A$64:A327,A327),0),0)</f>
        <v>0</v>
      </c>
    </row>
    <row r="328" spans="1:25" ht="32" hidden="1" customHeight="1" outlineLevel="1">
      <c r="A328" s="314"/>
      <c r="B328" s="318"/>
      <c r="C328" s="318"/>
      <c r="D328" s="318"/>
      <c r="E328" s="316"/>
      <c r="F328" s="318"/>
      <c r="G328" s="318"/>
      <c r="H328" s="317">
        <f t="shared" si="51"/>
      </c>
      <c r="I328" s="318">
        <f t="shared" si="52"/>
      </c>
      <c r="J328" s="318"/>
      <c r="K328" s="318"/>
      <c r="L328" s="320"/>
      <c r="P328">
        <f t="shared" si="53"/>
      </c>
      <c r="Q328">
        <f t="shared" si="54"/>
      </c>
      <c r="R328">
        <f>IF(P328="","",TEXT(H328,"yyyymm")&amp;"_"&amp;P328&amp;"_"&amp;(COUNTIFS($H$64:$H$500,H328,$P$64:$P$500,P328,$A$64:$A$500,"&gt;"&amp;A328)+COUNTIFS($H$64:H328,H328,$P$64:P328,P328,$A$64:A328,A328)))</f>
      </c>
      <c r="S328">
        <f t="shared" si="55"/>
      </c>
      <c r="T328">
        <f t="shared" si="56"/>
      </c>
      <c r="U328">
        <f t="shared" si="57"/>
      </c>
      <c r="Y328">
        <f t="shared" si="58"/>
      </c>
      <c r="Z328">
        <f>IFERROR(IF(AND(ISNUMBER(A328),A328&gt;=$B$3,A328&lt;EDATE($B$3,1)),COUNTIFS($A$64:$A$500,"&gt;"&amp;A328,$A$64:$A$500,"&lt;"&amp;EDATE($B$3,1))+COUNTIF($A$64:A328,A328),0),0)</f>
        <v>0</v>
      </c>
    </row>
    <row r="329" spans="1:25" ht="68" hidden="1" customHeight="1" outlineLevel="1">
      <c r="A329" s="314"/>
      <c r="B329" s="315"/>
      <c r="C329" s="315"/>
      <c r="D329" s="315"/>
      <c r="E329" s="316"/>
      <c r="F329" s="315"/>
      <c r="G329" s="315"/>
      <c r="H329" s="317">
        <f t="shared" si="51"/>
      </c>
      <c r="I329" s="318">
        <f t="shared" si="52"/>
      </c>
      <c r="J329" s="315"/>
      <c r="K329" s="315"/>
      <c r="L329" s="319"/>
      <c r="P329">
        <f t="shared" si="53"/>
      </c>
      <c r="Q329">
        <f t="shared" si="54"/>
      </c>
      <c r="R329">
        <f>IF(P329="","",TEXT(H329,"yyyymm")&amp;"_"&amp;P329&amp;"_"&amp;(COUNTIFS($H$64:$H$500,H329,$P$64:$P$500,P329,$A$64:$A$500,"&gt;"&amp;A329)+COUNTIFS($H$64:H329,H329,$P$64:P329,P329,$A$64:A329,A329)))</f>
      </c>
      <c r="S329">
        <f t="shared" si="55"/>
      </c>
      <c r="T329">
        <f t="shared" si="56"/>
      </c>
      <c r="U329">
        <f t="shared" si="57"/>
      </c>
      <c r="Y329">
        <f t="shared" si="58"/>
      </c>
      <c r="Z329">
        <f>IFERROR(IF(AND(ISNUMBER(A329),A329&gt;=$B$3,A329&lt;EDATE($B$3,1)),COUNTIFS($A$64:$A$500,"&gt;"&amp;A329,$A$64:$A$500,"&lt;"&amp;EDATE($B$3,1))+COUNTIF($A$64:A329,A329),0),0)</f>
        <v>0</v>
      </c>
    </row>
    <row r="330" spans="1:25" ht="68" hidden="1" customHeight="1" outlineLevel="1">
      <c r="A330" s="314"/>
      <c r="B330" s="315"/>
      <c r="C330" s="315"/>
      <c r="D330" s="315"/>
      <c r="E330" s="316"/>
      <c r="F330" s="315"/>
      <c r="G330" s="315"/>
      <c r="H330" s="317">
        <f t="shared" si="51"/>
      </c>
      <c r="I330" s="318">
        <f t="shared" si="52"/>
      </c>
      <c r="J330" s="315"/>
      <c r="K330" s="315"/>
      <c r="L330" s="319"/>
      <c r="P330">
        <f t="shared" si="53"/>
      </c>
      <c r="Q330">
        <f t="shared" si="54"/>
      </c>
      <c r="R330">
        <f>IF(P330="","",TEXT(H330,"yyyymm")&amp;"_"&amp;P330&amp;"_"&amp;(COUNTIFS($H$64:$H$500,H330,$P$64:$P$500,P330,$A$64:$A$500,"&gt;"&amp;A330)+COUNTIFS($H$64:H330,H330,$P$64:P330,P330,$A$64:A330,A330)))</f>
      </c>
      <c r="S330">
        <f t="shared" si="55"/>
      </c>
      <c r="T330">
        <f t="shared" si="56"/>
      </c>
      <c r="U330">
        <f t="shared" si="57"/>
      </c>
      <c r="Y330">
        <f t="shared" si="58"/>
      </c>
      <c r="Z330">
        <f>IFERROR(IF(AND(ISNUMBER(A330),A330&gt;=$B$3,A330&lt;EDATE($B$3,1)),COUNTIFS($A$64:$A$500,"&gt;"&amp;A330,$A$64:$A$500,"&lt;"&amp;EDATE($B$3,1))+COUNTIF($A$64:A330,A330),0),0)</f>
        <v>0</v>
      </c>
    </row>
    <row r="331" spans="1:25" ht="68" hidden="1" customHeight="1" outlineLevel="1">
      <c r="A331" s="314"/>
      <c r="B331" s="315"/>
      <c r="C331" s="315"/>
      <c r="D331" s="315"/>
      <c r="E331" s="316"/>
      <c r="F331" s="315"/>
      <c r="G331" s="315"/>
      <c r="H331" s="317">
        <f t="shared" si="51"/>
      </c>
      <c r="I331" s="318">
        <f t="shared" si="52"/>
      </c>
      <c r="J331" s="315"/>
      <c r="K331" s="315"/>
      <c r="L331" s="319"/>
      <c r="P331">
        <f t="shared" si="53"/>
      </c>
      <c r="Q331">
        <f t="shared" si="54"/>
      </c>
      <c r="R331">
        <f>IF(P331="","",TEXT(H331,"yyyymm")&amp;"_"&amp;P331&amp;"_"&amp;(COUNTIFS($H$64:$H$500,H331,$P$64:$P$500,P331,$A$64:$A$500,"&gt;"&amp;A331)+COUNTIFS($H$64:H331,H331,$P$64:P331,P331,$A$64:A331,A331)))</f>
      </c>
      <c r="S331">
        <f t="shared" si="55"/>
      </c>
      <c r="T331">
        <f t="shared" si="56"/>
      </c>
      <c r="U331">
        <f t="shared" si="57"/>
      </c>
      <c r="Y331">
        <f t="shared" si="58"/>
      </c>
      <c r="Z331">
        <f>IFERROR(IF(AND(ISNUMBER(A331),A331&gt;=$B$3,A331&lt;EDATE($B$3,1)),COUNTIFS($A$64:$A$500,"&gt;"&amp;A331,$A$64:$A$500,"&lt;"&amp;EDATE($B$3,1))+COUNTIF($A$64:A331,A331),0),0)</f>
        <v>0</v>
      </c>
    </row>
    <row r="332" spans="1:25" ht="68" hidden="1" customHeight="1" outlineLevel="1">
      <c r="A332" s="314"/>
      <c r="B332" s="315"/>
      <c r="C332" s="315"/>
      <c r="D332" s="315"/>
      <c r="E332" s="316"/>
      <c r="F332" s="315"/>
      <c r="G332" s="315"/>
      <c r="H332" s="317">
        <f t="shared" si="51"/>
      </c>
      <c r="I332" s="318">
        <f t="shared" si="52"/>
      </c>
      <c r="J332" s="315"/>
      <c r="K332" s="315"/>
      <c r="L332" s="319"/>
      <c r="P332">
        <f t="shared" si="53"/>
      </c>
      <c r="Q332">
        <f t="shared" si="54"/>
      </c>
      <c r="R332">
        <f>IF(P332="","",TEXT(H332,"yyyymm")&amp;"_"&amp;P332&amp;"_"&amp;(COUNTIFS($H$64:$H$500,H332,$P$64:$P$500,P332,$A$64:$A$500,"&gt;"&amp;A332)+COUNTIFS($H$64:H332,H332,$P$64:P332,P332,$A$64:A332,A332)))</f>
      </c>
      <c r="S332">
        <f t="shared" si="55"/>
      </c>
      <c r="T332">
        <f t="shared" si="56"/>
      </c>
      <c r="U332">
        <f t="shared" si="57"/>
      </c>
      <c r="Y332">
        <f t="shared" si="58"/>
      </c>
      <c r="Z332">
        <f>IFERROR(IF(AND(ISNUMBER(A332),A332&gt;=$B$3,A332&lt;EDATE($B$3,1)),COUNTIFS($A$64:$A$500,"&gt;"&amp;A332,$A$64:$A$500,"&lt;"&amp;EDATE($B$3,1))+COUNTIF($A$64:A332,A332),0),0)</f>
        <v>0</v>
      </c>
    </row>
    <row r="333" spans="1:25" ht="68" hidden="1" customHeight="1" outlineLevel="1">
      <c r="A333" s="314"/>
      <c r="B333" s="315"/>
      <c r="C333" s="315"/>
      <c r="D333" s="315"/>
      <c r="E333" s="316"/>
      <c r="F333" s="315"/>
      <c r="G333" s="315"/>
      <c r="H333" s="317">
        <f t="shared" si="51"/>
      </c>
      <c r="I333" s="318">
        <f t="shared" si="52"/>
      </c>
      <c r="J333" s="315"/>
      <c r="K333" s="315"/>
      <c r="L333" s="319"/>
      <c r="P333">
        <f t="shared" si="53"/>
      </c>
      <c r="Q333">
        <f t="shared" si="54"/>
      </c>
      <c r="R333">
        <f>IF(P333="","",TEXT(H333,"yyyymm")&amp;"_"&amp;P333&amp;"_"&amp;(COUNTIFS($H$64:$H$500,H333,$P$64:$P$500,P333,$A$64:$A$500,"&gt;"&amp;A333)+COUNTIFS($H$64:H333,H333,$P$64:P333,P333,$A$64:A333,A333)))</f>
      </c>
      <c r="S333">
        <f t="shared" si="55"/>
      </c>
      <c r="T333">
        <f t="shared" si="56"/>
      </c>
      <c r="U333">
        <f t="shared" si="57"/>
      </c>
      <c r="Y333">
        <f t="shared" si="58"/>
      </c>
      <c r="Z333">
        <f>IFERROR(IF(AND(ISNUMBER(A333),A333&gt;=$B$3,A333&lt;EDATE($B$3,1)),COUNTIFS($A$64:$A$500,"&gt;"&amp;A333,$A$64:$A$500,"&lt;"&amp;EDATE($B$3,1))+COUNTIF($A$64:A333,A333),0),0)</f>
        <v>0</v>
      </c>
    </row>
    <row r="334" spans="1:25" ht="68" hidden="1" customHeight="1" outlineLevel="1">
      <c r="A334" s="314"/>
      <c r="B334" s="315"/>
      <c r="C334" s="315"/>
      <c r="D334" s="315"/>
      <c r="E334" s="316"/>
      <c r="F334" s="315"/>
      <c r="G334" s="315"/>
      <c r="H334" s="317">
        <f t="shared" si="51"/>
      </c>
      <c r="I334" s="318">
        <f t="shared" si="52"/>
      </c>
      <c r="J334" s="315"/>
      <c r="K334" s="315"/>
      <c r="L334" s="319"/>
      <c r="P334">
        <f t="shared" si="53"/>
      </c>
      <c r="Q334">
        <f t="shared" si="54"/>
      </c>
      <c r="R334">
        <f>IF(P334="","",TEXT(H334,"yyyymm")&amp;"_"&amp;P334&amp;"_"&amp;(COUNTIFS($H$64:$H$500,H334,$P$64:$P$500,P334,$A$64:$A$500,"&gt;"&amp;A334)+COUNTIFS($H$64:H334,H334,$P$64:P334,P334,$A$64:A334,A334)))</f>
      </c>
      <c r="S334">
        <f t="shared" si="55"/>
      </c>
      <c r="T334">
        <f t="shared" si="56"/>
      </c>
      <c r="U334">
        <f t="shared" si="57"/>
      </c>
      <c r="Y334">
        <f t="shared" si="58"/>
      </c>
      <c r="Z334">
        <f>IFERROR(IF(AND(ISNUMBER(A334),A334&gt;=$B$3,A334&lt;EDATE($B$3,1)),COUNTIFS($A$64:$A$500,"&gt;"&amp;A334,$A$64:$A$500,"&lt;"&amp;EDATE($B$3,1))+COUNTIF($A$64:A334,A334),0),0)</f>
        <v>0</v>
      </c>
    </row>
    <row r="335" spans="1:25" ht="68" hidden="1" customHeight="1" outlineLevel="1">
      <c r="A335" s="314"/>
      <c r="B335" s="315"/>
      <c r="C335" s="315"/>
      <c r="D335" s="315"/>
      <c r="E335" s="316"/>
      <c r="F335" s="315"/>
      <c r="G335" s="315"/>
      <c r="H335" s="317">
        <f t="shared" si="51"/>
      </c>
      <c r="I335" s="318">
        <f t="shared" si="52"/>
      </c>
      <c r="J335" s="315"/>
      <c r="K335" s="315"/>
      <c r="L335" s="319"/>
      <c r="P335">
        <f t="shared" si="53"/>
      </c>
      <c r="Q335">
        <f t="shared" si="54"/>
      </c>
      <c r="R335">
        <f>IF(P335="","",TEXT(H335,"yyyymm")&amp;"_"&amp;P335&amp;"_"&amp;(COUNTIFS($H$64:$H$500,H335,$P$64:$P$500,P335,$A$64:$A$500,"&gt;"&amp;A335)+COUNTIFS($H$64:H335,H335,$P$64:P335,P335,$A$64:A335,A335)))</f>
      </c>
      <c r="S335">
        <f t="shared" si="55"/>
      </c>
      <c r="T335">
        <f t="shared" si="56"/>
      </c>
      <c r="U335">
        <f t="shared" si="57"/>
      </c>
      <c r="Y335">
        <f t="shared" si="58"/>
      </c>
      <c r="Z335">
        <f>IFERROR(IF(AND(ISNUMBER(A335),A335&gt;=$B$3,A335&lt;EDATE($B$3,1)),COUNTIFS($A$64:$A$500,"&gt;"&amp;A335,$A$64:$A$500,"&lt;"&amp;EDATE($B$3,1))+COUNTIF($A$64:A335,A335),0),0)</f>
        <v>0</v>
      </c>
    </row>
    <row r="336" spans="1:25" ht="68" hidden="1" customHeight="1" outlineLevel="1">
      <c r="A336" s="314"/>
      <c r="B336" s="315"/>
      <c r="C336" s="315"/>
      <c r="D336" s="315"/>
      <c r="E336" s="316"/>
      <c r="F336" s="315"/>
      <c r="G336" s="315"/>
      <c r="H336" s="317">
        <f t="shared" si="51"/>
      </c>
      <c r="I336" s="318">
        <f t="shared" si="52"/>
      </c>
      <c r="J336" s="315"/>
      <c r="K336" s="315"/>
      <c r="L336" s="319"/>
      <c r="P336">
        <f t="shared" si="53"/>
      </c>
      <c r="Q336">
        <f t="shared" si="54"/>
      </c>
      <c r="R336">
        <f>IF(P336="","",TEXT(H336,"yyyymm")&amp;"_"&amp;P336&amp;"_"&amp;(COUNTIFS($H$64:$H$500,H336,$P$64:$P$500,P336,$A$64:$A$500,"&gt;"&amp;A336)+COUNTIFS($H$64:H336,H336,$P$64:P336,P336,$A$64:A336,A336)))</f>
      </c>
      <c r="S336">
        <f t="shared" si="55"/>
      </c>
      <c r="T336">
        <f t="shared" si="56"/>
      </c>
      <c r="U336">
        <f t="shared" si="57"/>
      </c>
      <c r="Y336">
        <f t="shared" si="58"/>
      </c>
      <c r="Z336">
        <f>IFERROR(IF(AND(ISNUMBER(A336),A336&gt;=$B$3,A336&lt;EDATE($B$3,1)),COUNTIFS($A$64:$A$500,"&gt;"&amp;A336,$A$64:$A$500,"&lt;"&amp;EDATE($B$3,1))+COUNTIF($A$64:A336,A336),0),0)</f>
        <v>0</v>
      </c>
    </row>
    <row r="337" spans="1:25" ht="68" hidden="1" customHeight="1" outlineLevel="1">
      <c r="A337" s="314"/>
      <c r="B337" s="315"/>
      <c r="C337" s="315"/>
      <c r="D337" s="315"/>
      <c r="E337" s="316"/>
      <c r="F337" s="315"/>
      <c r="G337" s="315"/>
      <c r="H337" s="317">
        <f t="shared" si="51"/>
      </c>
      <c r="I337" s="318">
        <f t="shared" si="52"/>
      </c>
      <c r="J337" s="315"/>
      <c r="K337" s="315"/>
      <c r="L337" s="319"/>
      <c r="P337">
        <f t="shared" si="53"/>
      </c>
      <c r="Q337">
        <f t="shared" si="54"/>
      </c>
      <c r="R337">
        <f>IF(P337="","",TEXT(H337,"yyyymm")&amp;"_"&amp;P337&amp;"_"&amp;(COUNTIFS($H$64:$H$500,H337,$P$64:$P$500,P337,$A$64:$A$500,"&gt;"&amp;A337)+COUNTIFS($H$64:H337,H337,$P$64:P337,P337,$A$64:A337,A337)))</f>
      </c>
      <c r="S337">
        <f t="shared" si="55"/>
      </c>
      <c r="T337">
        <f t="shared" si="56"/>
      </c>
      <c r="U337">
        <f t="shared" si="57"/>
      </c>
      <c r="Y337">
        <f t="shared" si="58"/>
      </c>
      <c r="Z337">
        <f>IFERROR(IF(AND(ISNUMBER(A337),A337&gt;=$B$3,A337&lt;EDATE($B$3,1)),COUNTIFS($A$64:$A$500,"&gt;"&amp;A337,$A$64:$A$500,"&lt;"&amp;EDATE($B$3,1))+COUNTIF($A$64:A337,A337),0),0)</f>
        <v>0</v>
      </c>
    </row>
    <row r="338" spans="1:25" ht="32" hidden="1" customHeight="1" outlineLevel="1">
      <c r="A338" s="314"/>
      <c r="B338" s="318"/>
      <c r="C338" s="318"/>
      <c r="D338" s="318"/>
      <c r="E338" s="316"/>
      <c r="F338" s="318"/>
      <c r="G338" s="318"/>
      <c r="H338" s="317">
        <f t="shared" si="51"/>
      </c>
      <c r="I338" s="318">
        <f t="shared" si="52"/>
      </c>
      <c r="J338" s="318"/>
      <c r="K338" s="318"/>
      <c r="L338" s="320"/>
      <c r="P338">
        <f t="shared" si="53"/>
      </c>
      <c r="Q338">
        <f t="shared" si="54"/>
      </c>
      <c r="R338">
        <f>IF(P338="","",TEXT(H338,"yyyymm")&amp;"_"&amp;P338&amp;"_"&amp;(COUNTIFS($H$64:$H$500,H338,$P$64:$P$500,P338,$A$64:$A$500,"&gt;"&amp;A338)+COUNTIFS($H$64:H338,H338,$P$64:P338,P338,$A$64:A338,A338)))</f>
      </c>
      <c r="S338">
        <f t="shared" si="55"/>
      </c>
      <c r="T338">
        <f t="shared" si="56"/>
      </c>
      <c r="U338">
        <f t="shared" si="57"/>
      </c>
      <c r="Y338">
        <f t="shared" si="58"/>
      </c>
      <c r="Z338">
        <f>IFERROR(IF(AND(ISNUMBER(A338),A338&gt;=$B$3,A338&lt;EDATE($B$3,1)),COUNTIFS($A$64:$A$500,"&gt;"&amp;A338,$A$64:$A$500,"&lt;"&amp;EDATE($B$3,1))+COUNTIF($A$64:A338,A338),0),0)</f>
        <v>0</v>
      </c>
    </row>
    <row r="339" spans="1:25" ht="32" hidden="1" customHeight="1" outlineLevel="1">
      <c r="A339" s="314"/>
      <c r="B339" s="318"/>
      <c r="C339" s="318"/>
      <c r="D339" s="318"/>
      <c r="E339" s="316"/>
      <c r="F339" s="318"/>
      <c r="G339" s="318"/>
      <c r="H339" s="317">
        <f t="shared" si="51"/>
      </c>
      <c r="I339" s="318">
        <f t="shared" si="52"/>
      </c>
      <c r="J339" s="318"/>
      <c r="K339" s="318"/>
      <c r="L339" s="320"/>
      <c r="P339">
        <f t="shared" si="53"/>
      </c>
      <c r="Q339">
        <f t="shared" si="54"/>
      </c>
      <c r="R339">
        <f>IF(P339="","",TEXT(H339,"yyyymm")&amp;"_"&amp;P339&amp;"_"&amp;(COUNTIFS($H$64:$H$500,H339,$P$64:$P$500,P339,$A$64:$A$500,"&gt;"&amp;A339)+COUNTIFS($H$64:H339,H339,$P$64:P339,P339,$A$64:A339,A339)))</f>
      </c>
      <c r="S339">
        <f t="shared" si="55"/>
      </c>
      <c r="T339">
        <f t="shared" si="56"/>
      </c>
      <c r="U339">
        <f t="shared" si="57"/>
      </c>
      <c r="Y339">
        <f t="shared" si="58"/>
      </c>
      <c r="Z339">
        <f>IFERROR(IF(AND(ISNUMBER(A339),A339&gt;=$B$3,A339&lt;EDATE($B$3,1)),COUNTIFS($A$64:$A$500,"&gt;"&amp;A339,$A$64:$A$500,"&lt;"&amp;EDATE($B$3,1))+COUNTIF($A$64:A339,A339),0),0)</f>
        <v>0</v>
      </c>
    </row>
    <row r="340" spans="1:25" ht="32" hidden="1" customHeight="1" outlineLevel="1">
      <c r="A340" s="314"/>
      <c r="B340" s="318"/>
      <c r="C340" s="318"/>
      <c r="D340" s="318"/>
      <c r="E340" s="316"/>
      <c r="F340" s="318"/>
      <c r="G340" s="318"/>
      <c r="H340" s="317">
        <f t="shared" si="51"/>
      </c>
      <c r="I340" s="318">
        <f t="shared" si="52"/>
      </c>
      <c r="J340" s="318"/>
      <c r="K340" s="318"/>
      <c r="L340" s="320"/>
      <c r="P340">
        <f t="shared" si="53"/>
      </c>
      <c r="Q340">
        <f t="shared" si="54"/>
      </c>
      <c r="R340">
        <f>IF(P340="","",TEXT(H340,"yyyymm")&amp;"_"&amp;P340&amp;"_"&amp;(COUNTIFS($H$64:$H$500,H340,$P$64:$P$500,P340,$A$64:$A$500,"&gt;"&amp;A340)+COUNTIFS($H$64:H340,H340,$P$64:P340,P340,$A$64:A340,A340)))</f>
      </c>
      <c r="S340">
        <f t="shared" si="55"/>
      </c>
      <c r="T340">
        <f t="shared" si="56"/>
      </c>
      <c r="U340">
        <f t="shared" si="57"/>
      </c>
      <c r="Y340">
        <f t="shared" si="58"/>
      </c>
      <c r="Z340">
        <f>IFERROR(IF(AND(ISNUMBER(A340),A340&gt;=$B$3,A340&lt;EDATE($B$3,1)),COUNTIFS($A$64:$A$500,"&gt;"&amp;A340,$A$64:$A$500,"&lt;"&amp;EDATE($B$3,1))+COUNTIF($A$64:A340,A340),0),0)</f>
        <v>0</v>
      </c>
    </row>
    <row r="341" spans="1:25" ht="68" hidden="1" customHeight="1" outlineLevel="1">
      <c r="A341" s="314"/>
      <c r="B341" s="315"/>
      <c r="C341" s="315"/>
      <c r="D341" s="315"/>
      <c r="E341" s="316"/>
      <c r="F341" s="315"/>
      <c r="G341" s="315"/>
      <c r="H341" s="317">
        <f t="shared" si="51"/>
      </c>
      <c r="I341" s="318">
        <f t="shared" si="52"/>
      </c>
      <c r="J341" s="315"/>
      <c r="K341" s="315"/>
      <c r="L341" s="319"/>
      <c r="P341">
        <f t="shared" si="53"/>
      </c>
      <c r="Q341">
        <f t="shared" si="54"/>
      </c>
      <c r="R341">
        <f>IF(P341="","",TEXT(H341,"yyyymm")&amp;"_"&amp;P341&amp;"_"&amp;(COUNTIFS($H$64:$H$500,H341,$P$64:$P$500,P341,$A$64:$A$500,"&gt;"&amp;A341)+COUNTIFS($H$64:H341,H341,$P$64:P341,P341,$A$64:A341,A341)))</f>
      </c>
      <c r="S341">
        <f t="shared" si="55"/>
      </c>
      <c r="T341">
        <f t="shared" si="56"/>
      </c>
      <c r="U341">
        <f t="shared" si="57"/>
      </c>
      <c r="Y341">
        <f t="shared" si="58"/>
      </c>
      <c r="Z341">
        <f>IFERROR(IF(AND(ISNUMBER(A341),A341&gt;=$B$3,A341&lt;EDATE($B$3,1)),COUNTIFS($A$64:$A$500,"&gt;"&amp;A341,$A$64:$A$500,"&lt;"&amp;EDATE($B$3,1))+COUNTIF($A$64:A341,A341),0),0)</f>
        <v>0</v>
      </c>
    </row>
    <row r="342" spans="1:25" ht="68" hidden="1" customHeight="1" outlineLevel="1">
      <c r="A342" s="314"/>
      <c r="B342" s="315"/>
      <c r="C342" s="315"/>
      <c r="D342" s="315"/>
      <c r="E342" s="316"/>
      <c r="F342" s="315"/>
      <c r="G342" s="315"/>
      <c r="H342" s="317">
        <f t="shared" si="51"/>
      </c>
      <c r="I342" s="318">
        <f t="shared" si="52"/>
      </c>
      <c r="J342" s="315"/>
      <c r="K342" s="315"/>
      <c r="L342" s="319"/>
      <c r="P342">
        <f t="shared" si="53"/>
      </c>
      <c r="Q342">
        <f t="shared" si="54"/>
      </c>
      <c r="R342">
        <f>IF(P342="","",TEXT(H342,"yyyymm")&amp;"_"&amp;P342&amp;"_"&amp;(COUNTIFS($H$64:$H$500,H342,$P$64:$P$500,P342,$A$64:$A$500,"&gt;"&amp;A342)+COUNTIFS($H$64:H342,H342,$P$64:P342,P342,$A$64:A342,A342)))</f>
      </c>
      <c r="S342">
        <f t="shared" si="55"/>
      </c>
      <c r="T342">
        <f t="shared" si="56"/>
      </c>
      <c r="U342">
        <f t="shared" si="57"/>
      </c>
      <c r="Y342">
        <f t="shared" si="58"/>
      </c>
      <c r="Z342">
        <f>IFERROR(IF(AND(ISNUMBER(A342),A342&gt;=$B$3,A342&lt;EDATE($B$3,1)),COUNTIFS($A$64:$A$500,"&gt;"&amp;A342,$A$64:$A$500,"&lt;"&amp;EDATE($B$3,1))+COUNTIF($A$64:A342,A342),0),0)</f>
        <v>0</v>
      </c>
    </row>
    <row r="343" spans="1:25" ht="68" hidden="1" customHeight="1" outlineLevel="1">
      <c r="A343" s="314"/>
      <c r="B343" s="315"/>
      <c r="C343" s="315"/>
      <c r="D343" s="315"/>
      <c r="E343" s="316"/>
      <c r="F343" s="315"/>
      <c r="G343" s="315"/>
      <c r="H343" s="317">
        <f t="shared" si="51"/>
      </c>
      <c r="I343" s="318">
        <f t="shared" si="52"/>
      </c>
      <c r="J343" s="315"/>
      <c r="K343" s="315"/>
      <c r="L343" s="319"/>
      <c r="P343">
        <f t="shared" si="53"/>
      </c>
      <c r="Q343">
        <f t="shared" si="54"/>
      </c>
      <c r="R343">
        <f>IF(P343="","",TEXT(H343,"yyyymm")&amp;"_"&amp;P343&amp;"_"&amp;(COUNTIFS($H$64:$H$500,H343,$P$64:$P$500,P343,$A$64:$A$500,"&gt;"&amp;A343)+COUNTIFS($H$64:H343,H343,$P$64:P343,P343,$A$64:A343,A343)))</f>
      </c>
      <c r="S343">
        <f t="shared" si="55"/>
      </c>
      <c r="T343">
        <f t="shared" si="56"/>
      </c>
      <c r="U343">
        <f t="shared" si="57"/>
      </c>
      <c r="Y343">
        <f t="shared" si="58"/>
      </c>
      <c r="Z343">
        <f>IFERROR(IF(AND(ISNUMBER(A343),A343&gt;=$B$3,A343&lt;EDATE($B$3,1)),COUNTIFS($A$64:$A$500,"&gt;"&amp;A343,$A$64:$A$500,"&lt;"&amp;EDATE($B$3,1))+COUNTIF($A$64:A343,A343),0),0)</f>
        <v>0</v>
      </c>
    </row>
    <row r="344" spans="1:25" ht="32" hidden="1" customHeight="1" outlineLevel="1">
      <c r="A344" s="314"/>
      <c r="B344" s="318"/>
      <c r="C344" s="318"/>
      <c r="D344" s="318"/>
      <c r="E344" s="316"/>
      <c r="F344" s="318"/>
      <c r="G344" s="318"/>
      <c r="H344" s="317">
        <f t="shared" si="51"/>
      </c>
      <c r="I344" s="318">
        <f t="shared" si="52"/>
      </c>
      <c r="J344" s="318"/>
      <c r="K344" s="318"/>
      <c r="L344" s="320"/>
      <c r="P344">
        <f t="shared" si="53"/>
      </c>
      <c r="Q344">
        <f t="shared" si="54"/>
      </c>
      <c r="R344">
        <f>IF(P344="","",TEXT(H344,"yyyymm")&amp;"_"&amp;P344&amp;"_"&amp;(COUNTIFS($H$64:$H$500,H344,$P$64:$P$500,P344,$A$64:$A$500,"&gt;"&amp;A344)+COUNTIFS($H$64:H344,H344,$P$64:P344,P344,$A$64:A344,A344)))</f>
      </c>
      <c r="S344">
        <f t="shared" si="55"/>
      </c>
      <c r="T344">
        <f t="shared" si="56"/>
      </c>
      <c r="U344">
        <f t="shared" si="57"/>
      </c>
      <c r="Y344">
        <f t="shared" si="58"/>
      </c>
      <c r="Z344">
        <f>IFERROR(IF(AND(ISNUMBER(A344),A344&gt;=$B$3,A344&lt;EDATE($B$3,1)),COUNTIFS($A$64:$A$500,"&gt;"&amp;A344,$A$64:$A$500,"&lt;"&amp;EDATE($B$3,1))+COUNTIF($A$64:A344,A344),0),0)</f>
        <v>0</v>
      </c>
    </row>
    <row r="345" spans="1:25" ht="68" hidden="1" customHeight="1" outlineLevel="1">
      <c r="A345" s="314"/>
      <c r="B345" s="315"/>
      <c r="C345" s="315"/>
      <c r="D345" s="315"/>
      <c r="E345" s="316"/>
      <c r="F345" s="315"/>
      <c r="G345" s="315"/>
      <c r="H345" s="317">
        <f t="shared" si="51"/>
      </c>
      <c r="I345" s="318">
        <f t="shared" si="52"/>
      </c>
      <c r="J345" s="315"/>
      <c r="K345" s="315"/>
      <c r="L345" s="319"/>
      <c r="P345">
        <f t="shared" si="53"/>
      </c>
      <c r="Q345">
        <f t="shared" si="54"/>
      </c>
      <c r="R345">
        <f>IF(P345="","",TEXT(H345,"yyyymm")&amp;"_"&amp;P345&amp;"_"&amp;(COUNTIFS($H$64:$H$500,H345,$P$64:$P$500,P345,$A$64:$A$500,"&gt;"&amp;A345)+COUNTIFS($H$64:H345,H345,$P$64:P345,P345,$A$64:A345,A345)))</f>
      </c>
      <c r="S345">
        <f t="shared" si="55"/>
      </c>
      <c r="T345">
        <f t="shared" si="56"/>
      </c>
      <c r="U345">
        <f t="shared" si="57"/>
      </c>
      <c r="Y345">
        <f t="shared" si="58"/>
      </c>
      <c r="Z345">
        <f>IFERROR(IF(AND(ISNUMBER(A345),A345&gt;=$B$3,A345&lt;EDATE($B$3,1)),COUNTIFS($A$64:$A$500,"&gt;"&amp;A345,$A$64:$A$500,"&lt;"&amp;EDATE($B$3,1))+COUNTIF($A$64:A345,A345),0),0)</f>
        <v>0</v>
      </c>
    </row>
    <row r="346" spans="1:25" ht="68" hidden="1" customHeight="1" outlineLevel="1">
      <c r="A346" s="314"/>
      <c r="B346" s="315"/>
      <c r="C346" s="315"/>
      <c r="D346" s="315"/>
      <c r="E346" s="316"/>
      <c r="F346" s="315"/>
      <c r="G346" s="315"/>
      <c r="H346" s="317">
        <f t="shared" si="51"/>
      </c>
      <c r="I346" s="318">
        <f t="shared" si="52"/>
      </c>
      <c r="J346" s="315"/>
      <c r="K346" s="315"/>
      <c r="L346" s="319"/>
      <c r="P346">
        <f t="shared" si="53"/>
      </c>
      <c r="Q346">
        <f t="shared" si="54"/>
      </c>
      <c r="R346">
        <f>IF(P346="","",TEXT(H346,"yyyymm")&amp;"_"&amp;P346&amp;"_"&amp;(COUNTIFS($H$64:$H$500,H346,$P$64:$P$500,P346,$A$64:$A$500,"&gt;"&amp;A346)+COUNTIFS($H$64:H346,H346,$P$64:P346,P346,$A$64:A346,A346)))</f>
      </c>
      <c r="S346">
        <f t="shared" si="55"/>
      </c>
      <c r="T346">
        <f t="shared" si="56"/>
      </c>
      <c r="U346">
        <f t="shared" si="57"/>
      </c>
      <c r="Y346">
        <f t="shared" si="58"/>
      </c>
      <c r="Z346">
        <f>IFERROR(IF(AND(ISNUMBER(A346),A346&gt;=$B$3,A346&lt;EDATE($B$3,1)),COUNTIFS($A$64:$A$500,"&gt;"&amp;A346,$A$64:$A$500,"&lt;"&amp;EDATE($B$3,1))+COUNTIF($A$64:A346,A346),0),0)</f>
        <v>0</v>
      </c>
    </row>
    <row r="347" spans="1:25" ht="32" hidden="1" customHeight="1" outlineLevel="1">
      <c r="A347" s="314"/>
      <c r="B347" s="318"/>
      <c r="C347" s="318"/>
      <c r="D347" s="318"/>
      <c r="E347" s="316"/>
      <c r="F347" s="318"/>
      <c r="G347" s="318"/>
      <c r="H347" s="317">
        <f t="shared" si="51"/>
      </c>
      <c r="I347" s="318">
        <f t="shared" si="52"/>
      </c>
      <c r="J347" s="318"/>
      <c r="K347" s="318"/>
      <c r="L347" s="320"/>
      <c r="P347">
        <f t="shared" si="53"/>
      </c>
      <c r="Q347">
        <f t="shared" si="54"/>
      </c>
      <c r="R347">
        <f>IF(P347="","",TEXT(H347,"yyyymm")&amp;"_"&amp;P347&amp;"_"&amp;(COUNTIFS($H$64:$H$500,H347,$P$64:$P$500,P347,$A$64:$A$500,"&gt;"&amp;A347)+COUNTIFS($H$64:H347,H347,$P$64:P347,P347,$A$64:A347,A347)))</f>
      </c>
      <c r="S347">
        <f t="shared" si="55"/>
      </c>
      <c r="T347">
        <f t="shared" si="56"/>
      </c>
      <c r="U347">
        <f t="shared" si="57"/>
      </c>
      <c r="Y347">
        <f t="shared" si="58"/>
      </c>
      <c r="Z347">
        <f>IFERROR(IF(AND(ISNUMBER(A347),A347&gt;=$B$3,A347&lt;EDATE($B$3,1)),COUNTIFS($A$64:$A$500,"&gt;"&amp;A347,$A$64:$A$500,"&lt;"&amp;EDATE($B$3,1))+COUNTIF($A$64:A347,A347),0),0)</f>
        <v>0</v>
      </c>
    </row>
    <row r="348" spans="1:25" ht="68" hidden="1" customHeight="1" outlineLevel="1">
      <c r="A348" s="314"/>
      <c r="B348" s="315"/>
      <c r="C348" s="315"/>
      <c r="D348" s="315"/>
      <c r="E348" s="316"/>
      <c r="F348" s="315"/>
      <c r="G348" s="315"/>
      <c r="H348" s="317">
        <f t="shared" si="51"/>
      </c>
      <c r="I348" s="318">
        <f t="shared" si="52"/>
      </c>
      <c r="J348" s="315"/>
      <c r="K348" s="315"/>
      <c r="L348" s="319"/>
      <c r="P348">
        <f t="shared" si="53"/>
      </c>
      <c r="Q348">
        <f t="shared" si="54"/>
      </c>
      <c r="R348">
        <f>IF(P348="","",TEXT(H348,"yyyymm")&amp;"_"&amp;P348&amp;"_"&amp;(COUNTIFS($H$64:$H$500,H348,$P$64:$P$500,P348,$A$64:$A$500,"&gt;"&amp;A348)+COUNTIFS($H$64:H348,H348,$P$64:P348,P348,$A$64:A348,A348)))</f>
      </c>
      <c r="S348">
        <f t="shared" si="55"/>
      </c>
      <c r="T348">
        <f t="shared" si="56"/>
      </c>
      <c r="U348">
        <f t="shared" si="57"/>
      </c>
      <c r="Y348">
        <f t="shared" si="58"/>
      </c>
      <c r="Z348">
        <f>IFERROR(IF(AND(ISNUMBER(A348),A348&gt;=$B$3,A348&lt;EDATE($B$3,1)),COUNTIFS($A$64:$A$500,"&gt;"&amp;A348,$A$64:$A$500,"&lt;"&amp;EDATE($B$3,1))+COUNTIF($A$64:A348,A348),0),0)</f>
        <v>0</v>
      </c>
    </row>
    <row r="349" spans="1:25" ht="68" hidden="1" customHeight="1" outlineLevel="1">
      <c r="A349" s="314"/>
      <c r="B349" s="315"/>
      <c r="C349" s="315"/>
      <c r="D349" s="315"/>
      <c r="E349" s="316"/>
      <c r="F349" s="315"/>
      <c r="G349" s="315"/>
      <c r="H349" s="317">
        <f t="shared" si="51"/>
      </c>
      <c r="I349" s="318">
        <f t="shared" si="52"/>
      </c>
      <c r="J349" s="315"/>
      <c r="K349" s="315"/>
      <c r="L349" s="319"/>
      <c r="P349">
        <f t="shared" si="53"/>
      </c>
      <c r="Q349">
        <f t="shared" si="54"/>
      </c>
      <c r="R349">
        <f>IF(P349="","",TEXT(H349,"yyyymm")&amp;"_"&amp;P349&amp;"_"&amp;(COUNTIFS($H$64:$H$500,H349,$P$64:$P$500,P349,$A$64:$A$500,"&gt;"&amp;A349)+COUNTIFS($H$64:H349,H349,$P$64:P349,P349,$A$64:A349,A349)))</f>
      </c>
      <c r="S349">
        <f t="shared" si="55"/>
      </c>
      <c r="T349">
        <f t="shared" si="56"/>
      </c>
      <c r="U349">
        <f t="shared" si="57"/>
      </c>
      <c r="Y349">
        <f t="shared" si="58"/>
      </c>
      <c r="Z349">
        <f>IFERROR(IF(AND(ISNUMBER(A349),A349&gt;=$B$3,A349&lt;EDATE($B$3,1)),COUNTIFS($A$64:$A$500,"&gt;"&amp;A349,$A$64:$A$500,"&lt;"&amp;EDATE($B$3,1))+COUNTIF($A$64:A349,A349),0),0)</f>
        <v>0</v>
      </c>
    </row>
    <row r="350" spans="1:25" ht="68" hidden="1" customHeight="1" outlineLevel="1">
      <c r="A350" s="314"/>
      <c r="B350" s="315"/>
      <c r="C350" s="315"/>
      <c r="D350" s="315"/>
      <c r="E350" s="316"/>
      <c r="F350" s="315"/>
      <c r="G350" s="315"/>
      <c r="H350" s="317">
        <f t="shared" si="51"/>
      </c>
      <c r="I350" s="318">
        <f t="shared" si="52"/>
      </c>
      <c r="J350" s="315"/>
      <c r="K350" s="315"/>
      <c r="L350" s="319"/>
      <c r="P350">
        <f t="shared" si="53"/>
      </c>
      <c r="Q350">
        <f t="shared" si="54"/>
      </c>
      <c r="R350">
        <f>IF(P350="","",TEXT(H350,"yyyymm")&amp;"_"&amp;P350&amp;"_"&amp;(COUNTIFS($H$64:$H$500,H350,$P$64:$P$500,P350,$A$64:$A$500,"&gt;"&amp;A350)+COUNTIFS($H$64:H350,H350,$P$64:P350,P350,$A$64:A350,A350)))</f>
      </c>
      <c r="S350">
        <f t="shared" si="55"/>
      </c>
      <c r="T350">
        <f t="shared" si="56"/>
      </c>
      <c r="U350">
        <f t="shared" si="57"/>
      </c>
      <c r="Y350">
        <f t="shared" si="58"/>
      </c>
      <c r="Z350">
        <f>IFERROR(IF(AND(ISNUMBER(A350),A350&gt;=$B$3,A350&lt;EDATE($B$3,1)),COUNTIFS($A$64:$A$500,"&gt;"&amp;A350,$A$64:$A$500,"&lt;"&amp;EDATE($B$3,1))+COUNTIF($A$64:A350,A350),0),0)</f>
        <v>0</v>
      </c>
    </row>
    <row r="351" spans="1:25" ht="68" hidden="1" customHeight="1" outlineLevel="1">
      <c r="A351" s="314"/>
      <c r="B351" s="315"/>
      <c r="C351" s="315"/>
      <c r="D351" s="315"/>
      <c r="E351" s="316"/>
      <c r="F351" s="315"/>
      <c r="G351" s="315"/>
      <c r="H351" s="317">
        <f t="shared" si="51"/>
      </c>
      <c r="I351" s="318">
        <f t="shared" si="52"/>
      </c>
      <c r="J351" s="315"/>
      <c r="K351" s="315"/>
      <c r="L351" s="319"/>
      <c r="P351">
        <f t="shared" si="53"/>
      </c>
      <c r="Q351">
        <f t="shared" si="54"/>
      </c>
      <c r="R351">
        <f>IF(P351="","",TEXT(H351,"yyyymm")&amp;"_"&amp;P351&amp;"_"&amp;(COUNTIFS($H$64:$H$500,H351,$P$64:$P$500,P351,$A$64:$A$500,"&gt;"&amp;A351)+COUNTIFS($H$64:H351,H351,$P$64:P351,P351,$A$64:A351,A351)))</f>
      </c>
      <c r="S351">
        <f t="shared" si="55"/>
      </c>
      <c r="T351">
        <f t="shared" si="56"/>
      </c>
      <c r="U351">
        <f t="shared" si="57"/>
      </c>
      <c r="Y351">
        <f t="shared" si="58"/>
      </c>
      <c r="Z351">
        <f>IFERROR(IF(AND(ISNUMBER(A351),A351&gt;=$B$3,A351&lt;EDATE($B$3,1)),COUNTIFS($A$64:$A$500,"&gt;"&amp;A351,$A$64:$A$500,"&lt;"&amp;EDATE($B$3,1))+COUNTIF($A$64:A351,A351),0),0)</f>
        <v>0</v>
      </c>
    </row>
    <row r="352" spans="1:25" ht="68" hidden="1" customHeight="1" outlineLevel="1">
      <c r="A352" s="314"/>
      <c r="B352" s="318"/>
      <c r="C352" s="318"/>
      <c r="D352" s="318"/>
      <c r="E352" s="316"/>
      <c r="F352" s="318"/>
      <c r="G352" s="318"/>
      <c r="H352" s="317">
        <f t="shared" si="51"/>
      </c>
      <c r="I352" s="318">
        <f t="shared" si="52"/>
      </c>
      <c r="J352" s="318"/>
      <c r="K352" s="318"/>
      <c r="L352" s="320"/>
      <c r="P352">
        <f t="shared" si="53"/>
      </c>
      <c r="Q352">
        <f t="shared" si="54"/>
      </c>
      <c r="R352">
        <f>IF(P352="","",TEXT(H352,"yyyymm")&amp;"_"&amp;P352&amp;"_"&amp;(COUNTIFS($H$64:$H$500,H352,$P$64:$P$500,P352,$A$64:$A$500,"&gt;"&amp;A352)+COUNTIFS($H$64:H352,H352,$P$64:P352,P352,$A$64:A352,A352)))</f>
      </c>
      <c r="S352">
        <f t="shared" si="55"/>
      </c>
      <c r="T352">
        <f t="shared" si="56"/>
      </c>
      <c r="U352">
        <f t="shared" si="57"/>
      </c>
      <c r="Y352">
        <f t="shared" si="58"/>
      </c>
      <c r="Z352">
        <f>IFERROR(IF(AND(ISNUMBER(A352),A352&gt;=$B$3,A352&lt;EDATE($B$3,1)),COUNTIFS($A$64:$A$500,"&gt;"&amp;A352,$A$64:$A$500,"&lt;"&amp;EDATE($B$3,1))+COUNTIF($A$64:A352,A352),0),0)</f>
        <v>0</v>
      </c>
    </row>
    <row r="353" spans="1:25" ht="68" hidden="1" customHeight="1" outlineLevel="1">
      <c r="A353" s="314"/>
      <c r="B353" s="318"/>
      <c r="C353" s="318"/>
      <c r="D353" s="318"/>
      <c r="E353" s="316"/>
      <c r="F353" s="318"/>
      <c r="G353" s="318"/>
      <c r="H353" s="317">
        <f t="shared" si="51"/>
      </c>
      <c r="I353" s="318">
        <f t="shared" si="52"/>
      </c>
      <c r="J353" s="318"/>
      <c r="K353" s="318"/>
      <c r="L353" s="320"/>
      <c r="P353">
        <f t="shared" si="53"/>
      </c>
      <c r="Q353">
        <f t="shared" si="54"/>
      </c>
      <c r="R353">
        <f>IF(P353="","",TEXT(H353,"yyyymm")&amp;"_"&amp;P353&amp;"_"&amp;(COUNTIFS($H$64:$H$500,H353,$P$64:$P$500,P353,$A$64:$A$500,"&gt;"&amp;A353)+COUNTIFS($H$64:H353,H353,$P$64:P353,P353,$A$64:A353,A353)))</f>
      </c>
      <c r="S353">
        <f t="shared" si="55"/>
      </c>
      <c r="T353">
        <f t="shared" si="56"/>
      </c>
      <c r="U353">
        <f t="shared" si="57"/>
      </c>
      <c r="Y353">
        <f t="shared" si="58"/>
      </c>
      <c r="Z353">
        <f>IFERROR(IF(AND(ISNUMBER(A353),A353&gt;=$B$3,A353&lt;EDATE($B$3,1)),COUNTIFS($A$64:$A$500,"&gt;"&amp;A353,$A$64:$A$500,"&lt;"&amp;EDATE($B$3,1))+COUNTIF($A$64:A353,A353),0),0)</f>
        <v>0</v>
      </c>
    </row>
    <row r="354" spans="1:25" ht="68" hidden="1" customHeight="1" outlineLevel="1">
      <c r="A354" s="314"/>
      <c r="B354" s="318"/>
      <c r="C354" s="318"/>
      <c r="D354" s="318"/>
      <c r="E354" s="316"/>
      <c r="F354" s="318"/>
      <c r="G354" s="318"/>
      <c r="H354" s="317">
        <f t="shared" si="51"/>
      </c>
      <c r="I354" s="318">
        <f t="shared" si="52"/>
      </c>
      <c r="J354" s="318"/>
      <c r="K354" s="318"/>
      <c r="L354" s="320"/>
      <c r="P354">
        <f t="shared" si="53"/>
      </c>
      <c r="Q354">
        <f t="shared" si="54"/>
      </c>
      <c r="R354">
        <f>IF(P354="","",TEXT(H354,"yyyymm")&amp;"_"&amp;P354&amp;"_"&amp;(COUNTIFS($H$64:$H$500,H354,$P$64:$P$500,P354,$A$64:$A$500,"&gt;"&amp;A354)+COUNTIFS($H$64:H354,H354,$P$64:P354,P354,$A$64:A354,A354)))</f>
      </c>
      <c r="S354">
        <f t="shared" si="55"/>
      </c>
      <c r="T354">
        <f t="shared" si="56"/>
      </c>
      <c r="U354">
        <f t="shared" si="57"/>
      </c>
      <c r="Y354">
        <f t="shared" si="58"/>
      </c>
      <c r="Z354">
        <f>IFERROR(IF(AND(ISNUMBER(A354),A354&gt;=$B$3,A354&lt;EDATE($B$3,1)),COUNTIFS($A$64:$A$500,"&gt;"&amp;A354,$A$64:$A$500,"&lt;"&amp;EDATE($B$3,1))+COUNTIF($A$64:A354,A354),0),0)</f>
        <v>0</v>
      </c>
    </row>
    <row r="355" spans="1:25" ht="68" hidden="1" customHeight="1" outlineLevel="1">
      <c r="A355" s="314"/>
      <c r="B355" s="318"/>
      <c r="C355" s="318"/>
      <c r="D355" s="318"/>
      <c r="E355" s="316"/>
      <c r="F355" s="318"/>
      <c r="G355" s="318"/>
      <c r="H355" s="317">
        <f t="shared" si="51"/>
      </c>
      <c r="I355" s="318">
        <f t="shared" si="52"/>
      </c>
      <c r="J355" s="318"/>
      <c r="K355" s="318"/>
      <c r="L355" s="320"/>
      <c r="P355">
        <f t="shared" si="53"/>
      </c>
      <c r="Q355">
        <f t="shared" si="54"/>
      </c>
      <c r="R355">
        <f>IF(P355="","",TEXT(H355,"yyyymm")&amp;"_"&amp;P355&amp;"_"&amp;(COUNTIFS($H$64:$H$500,H355,$P$64:$P$500,P355,$A$64:$A$500,"&gt;"&amp;A355)+COUNTIFS($H$64:H355,H355,$P$64:P355,P355,$A$64:A355,A355)))</f>
      </c>
      <c r="S355">
        <f t="shared" si="55"/>
      </c>
      <c r="T355">
        <f t="shared" si="56"/>
      </c>
      <c r="U355">
        <f t="shared" si="57"/>
      </c>
      <c r="Y355">
        <f t="shared" si="58"/>
      </c>
      <c r="Z355">
        <f>IFERROR(IF(AND(ISNUMBER(A355),A355&gt;=$B$3,A355&lt;EDATE($B$3,1)),COUNTIFS($A$64:$A$500,"&gt;"&amp;A355,$A$64:$A$500,"&lt;"&amp;EDATE($B$3,1))+COUNTIF($A$64:A355,A355),0),0)</f>
        <v>0</v>
      </c>
    </row>
    <row r="356" spans="1:25" ht="68" hidden="1" customHeight="1" outlineLevel="1">
      <c r="A356" s="314"/>
      <c r="B356" s="318"/>
      <c r="C356" s="318"/>
      <c r="D356" s="318"/>
      <c r="E356" s="316"/>
      <c r="F356" s="318"/>
      <c r="G356" s="318"/>
      <c r="H356" s="317">
        <f t="shared" si="51"/>
      </c>
      <c r="I356" s="318">
        <f t="shared" si="52"/>
      </c>
      <c r="J356" s="318"/>
      <c r="K356" s="318"/>
      <c r="L356" s="320"/>
      <c r="P356">
        <f t="shared" si="53"/>
      </c>
      <c r="Q356">
        <f t="shared" si="54"/>
      </c>
      <c r="R356">
        <f>IF(P356="","",TEXT(H356,"yyyymm")&amp;"_"&amp;P356&amp;"_"&amp;(COUNTIFS($H$64:$H$500,H356,$P$64:$P$500,P356,$A$64:$A$500,"&gt;"&amp;A356)+COUNTIFS($H$64:H356,H356,$P$64:P356,P356,$A$64:A356,A356)))</f>
      </c>
      <c r="S356">
        <f t="shared" si="55"/>
      </c>
      <c r="T356">
        <f t="shared" si="56"/>
      </c>
      <c r="U356">
        <f t="shared" si="57"/>
      </c>
      <c r="Y356">
        <f t="shared" si="58"/>
      </c>
      <c r="Z356">
        <f>IFERROR(IF(AND(ISNUMBER(A356),A356&gt;=$B$3,A356&lt;EDATE($B$3,1)),COUNTIFS($A$64:$A$500,"&gt;"&amp;A356,$A$64:$A$500,"&lt;"&amp;EDATE($B$3,1))+COUNTIF($A$64:A356,A356),0),0)</f>
        <v>0</v>
      </c>
    </row>
    <row r="357" spans="1:25" ht="68" hidden="1" customHeight="1" outlineLevel="1">
      <c r="A357" s="314"/>
      <c r="B357" s="318"/>
      <c r="C357" s="318"/>
      <c r="D357" s="318"/>
      <c r="E357" s="316"/>
      <c r="F357" s="318"/>
      <c r="G357" s="318"/>
      <c r="H357" s="317">
        <f t="shared" si="51"/>
      </c>
      <c r="I357" s="318">
        <f t="shared" si="52"/>
      </c>
      <c r="J357" s="318"/>
      <c r="K357" s="318"/>
      <c r="L357" s="320"/>
      <c r="P357">
        <f t="shared" si="53"/>
      </c>
      <c r="Q357">
        <f t="shared" si="54"/>
      </c>
      <c r="R357">
        <f>IF(P357="","",TEXT(H357,"yyyymm")&amp;"_"&amp;P357&amp;"_"&amp;(COUNTIFS($H$64:$H$500,H357,$P$64:$P$500,P357,$A$64:$A$500,"&gt;"&amp;A357)+COUNTIFS($H$64:H357,H357,$P$64:P357,P357,$A$64:A357,A357)))</f>
      </c>
      <c r="S357">
        <f t="shared" si="55"/>
      </c>
      <c r="T357">
        <f t="shared" si="56"/>
      </c>
      <c r="U357">
        <f t="shared" si="57"/>
      </c>
      <c r="Y357">
        <f t="shared" si="58"/>
      </c>
      <c r="Z357">
        <f>IFERROR(IF(AND(ISNUMBER(A357),A357&gt;=$B$3,A357&lt;EDATE($B$3,1)),COUNTIFS($A$64:$A$500,"&gt;"&amp;A357,$A$64:$A$500,"&lt;"&amp;EDATE($B$3,1))+COUNTIF($A$64:A357,A357),0),0)</f>
        <v>0</v>
      </c>
    </row>
    <row r="358" spans="1:25" ht="56" hidden="1" customHeight="1" outlineLevel="1">
      <c r="A358" s="321"/>
      <c r="B358" s="315"/>
      <c r="C358" s="315"/>
      <c r="D358" s="315"/>
      <c r="E358" s="322"/>
      <c r="F358" s="315"/>
      <c r="G358" s="315"/>
      <c r="H358" s="323">
        <f t="shared" si="51"/>
      </c>
      <c r="I358" s="315">
        <f t="shared" si="52"/>
      </c>
      <c r="J358" s="315"/>
      <c r="K358" s="315"/>
      <c r="L358" s="319"/>
      <c r="P358">
        <f t="shared" si="53"/>
      </c>
      <c r="Q358">
        <f t="shared" si="54"/>
      </c>
      <c r="R358">
        <f>IF(P358="","",TEXT(H358,"yyyymm")&amp;"_"&amp;P358&amp;"_"&amp;(COUNTIFS($H$64:$H$500,H358,$P$64:$P$500,P358,$A$64:$A$500,"&gt;"&amp;A358)+COUNTIFS($H$64:H358,H358,$P$64:P358,P358,$A$64:A358,A358)))</f>
      </c>
      <c r="S358">
        <f t="shared" si="55"/>
      </c>
      <c r="T358">
        <f t="shared" si="56"/>
      </c>
      <c r="U358">
        <f t="shared" si="57"/>
      </c>
      <c r="Y358">
        <f t="shared" si="58"/>
      </c>
      <c r="Z358">
        <f>IFERROR(IF(AND(ISNUMBER(A358),A358&gt;=$B$3,A358&lt;EDATE($B$3,1)),COUNTIFS($A$64:$A$500,"&gt;"&amp;A358,$A$64:$A$500,"&lt;"&amp;EDATE($B$3,1))+COUNTIF($A$64:A358,A358),0),0)</f>
        <v>0</v>
      </c>
    </row>
    <row r="359" spans="1:25" ht="68" hidden="1" customHeight="1" outlineLevel="1">
      <c r="A359" s="314"/>
      <c r="B359" s="318"/>
      <c r="C359" s="318"/>
      <c r="D359" s="318"/>
      <c r="E359" s="316"/>
      <c r="F359" s="318"/>
      <c r="G359" s="318"/>
      <c r="H359" s="317">
        <f t="shared" si="51"/>
      </c>
      <c r="I359" s="318">
        <f t="shared" si="52"/>
      </c>
      <c r="J359" s="318"/>
      <c r="K359" s="318"/>
      <c r="L359" s="320"/>
      <c r="P359">
        <f t="shared" si="53"/>
      </c>
      <c r="Q359">
        <f t="shared" si="54"/>
      </c>
      <c r="R359">
        <f>IF(P359="","",TEXT(H359,"yyyymm")&amp;"_"&amp;P359&amp;"_"&amp;(COUNTIFS($H$64:$H$500,H359,$P$64:$P$500,P359,$A$64:$A$500,"&gt;"&amp;A359)+COUNTIFS($H$64:H359,H359,$P$64:P359,P359,$A$64:A359,A359)))</f>
      </c>
      <c r="S359">
        <f t="shared" si="55"/>
      </c>
      <c r="T359">
        <f t="shared" si="56"/>
      </c>
      <c r="U359">
        <f t="shared" si="57"/>
      </c>
      <c r="Y359">
        <f t="shared" si="58"/>
      </c>
      <c r="Z359">
        <f>IFERROR(IF(AND(ISNUMBER(A359),A359&gt;=$B$3,A359&lt;EDATE($B$3,1)),COUNTIFS($A$64:$A$500,"&gt;"&amp;A359,$A$64:$A$500,"&lt;"&amp;EDATE($B$3,1))+COUNTIF($A$64:A359,A359),0),0)</f>
        <v>0</v>
      </c>
    </row>
    <row r="360" spans="1:25" ht="32" hidden="1" customHeight="1" outlineLevel="1">
      <c r="A360" s="314"/>
      <c r="B360" s="318"/>
      <c r="C360" s="318"/>
      <c r="D360" s="318"/>
      <c r="E360" s="316"/>
      <c r="F360" s="318"/>
      <c r="G360" s="318"/>
      <c r="H360" s="317">
        <f t="shared" si="51"/>
      </c>
      <c r="I360" s="318">
        <f t="shared" si="52"/>
      </c>
      <c r="J360" s="318"/>
      <c r="K360" s="318"/>
      <c r="L360" s="320"/>
      <c r="P360">
        <f t="shared" si="53"/>
      </c>
      <c r="Q360">
        <f t="shared" si="54"/>
      </c>
      <c r="R360">
        <f>IF(P360="","",TEXT(H360,"yyyymm")&amp;"_"&amp;P360&amp;"_"&amp;(COUNTIFS($H$64:$H$500,H360,$P$64:$P$500,P360,$A$64:$A$500,"&gt;"&amp;A360)+COUNTIFS($H$64:H360,H360,$P$64:P360,P360,$A$64:A360,A360)))</f>
      </c>
      <c r="S360">
        <f t="shared" si="55"/>
      </c>
      <c r="T360">
        <f t="shared" si="56"/>
      </c>
      <c r="U360">
        <f t="shared" si="57"/>
      </c>
      <c r="Y360">
        <f t="shared" si="58"/>
      </c>
      <c r="Z360">
        <f>IFERROR(IF(AND(ISNUMBER(A360),A360&gt;=$B$3,A360&lt;EDATE($B$3,1)),COUNTIFS($A$64:$A$500,"&gt;"&amp;A360,$A$64:$A$500,"&lt;"&amp;EDATE($B$3,1))+COUNTIF($A$64:A360,A360),0),0)</f>
        <v>0</v>
      </c>
    </row>
    <row r="361" spans="1:25" ht="68" hidden="1" customHeight="1" outlineLevel="1">
      <c r="A361" s="314"/>
      <c r="B361" s="318"/>
      <c r="C361" s="318"/>
      <c r="D361" s="318"/>
      <c r="E361" s="316"/>
      <c r="F361" s="318"/>
      <c r="G361" s="318"/>
      <c r="H361" s="317">
        <f t="shared" si="51"/>
      </c>
      <c r="I361" s="318">
        <f t="shared" si="52"/>
      </c>
      <c r="J361" s="318"/>
      <c r="K361" s="318"/>
      <c r="L361" s="320"/>
      <c r="P361">
        <f t="shared" si="53"/>
      </c>
      <c r="Q361">
        <f t="shared" si="54"/>
      </c>
      <c r="R361">
        <f>IF(P361="","",TEXT(H361,"yyyymm")&amp;"_"&amp;P361&amp;"_"&amp;(COUNTIFS($H$64:$H$500,H361,$P$64:$P$500,P361,$A$64:$A$500,"&gt;"&amp;A361)+COUNTIFS($H$64:H361,H361,$P$64:P361,P361,$A$64:A361,A361)))</f>
      </c>
      <c r="S361">
        <f t="shared" si="55"/>
      </c>
      <c r="T361">
        <f t="shared" si="56"/>
      </c>
      <c r="U361">
        <f t="shared" si="57"/>
      </c>
      <c r="Y361">
        <f t="shared" si="58"/>
      </c>
      <c r="Z361">
        <f>IFERROR(IF(AND(ISNUMBER(A361),A361&gt;=$B$3,A361&lt;EDATE($B$3,1)),COUNTIFS($A$64:$A$500,"&gt;"&amp;A361,$A$64:$A$500,"&lt;"&amp;EDATE($B$3,1))+COUNTIF($A$64:A361,A361),0),0)</f>
        <v>0</v>
      </c>
    </row>
    <row r="362" spans="1:25" ht="28" hidden="1" customHeight="1" outlineLevel="1">
      <c r="A362" s="314"/>
      <c r="B362" s="318"/>
      <c r="C362" s="318"/>
      <c r="D362" s="318"/>
      <c r="E362" s="316"/>
      <c r="F362" s="318"/>
      <c r="G362" s="318"/>
      <c r="H362" s="317">
        <f t="shared" si="51"/>
      </c>
      <c r="I362" s="318">
        <f t="shared" si="52"/>
      </c>
      <c r="J362" s="318"/>
      <c r="K362" s="318"/>
      <c r="L362" s="318"/>
      <c r="P362">
        <f t="shared" si="53"/>
      </c>
      <c r="Q362">
        <f t="shared" si="54"/>
      </c>
      <c r="R362">
        <f>IF(P362="","",TEXT(H362,"yyyymm")&amp;"_"&amp;P362&amp;"_"&amp;(COUNTIFS($H$64:$H$500,H362,$P$64:$P$500,P362,$A$64:$A$500,"&gt;"&amp;A362)+COUNTIFS($H$64:H362,H362,$P$64:P362,P362,$A$64:A362,A362)))</f>
      </c>
      <c r="S362">
        <f t="shared" si="55"/>
      </c>
      <c r="T362">
        <f t="shared" si="56"/>
      </c>
      <c r="U362">
        <f t="shared" si="57"/>
      </c>
      <c r="Y362">
        <f t="shared" si="58"/>
      </c>
      <c r="Z362">
        <f>IFERROR(IF(AND(ISNUMBER(A362),A362&gt;=$B$3,A362&lt;EDATE($B$3,1)),COUNTIFS($A$64:$A$500,"&gt;"&amp;A362,$A$64:$A$500,"&lt;"&amp;EDATE($B$3,1))+COUNTIF($A$64:A362,A362),0),0)</f>
        <v>0</v>
      </c>
    </row>
    <row r="363" spans="1:25" ht="28" hidden="1" customHeight="1" outlineLevel="1">
      <c r="A363" s="314"/>
      <c r="B363" s="318"/>
      <c r="C363" s="318"/>
      <c r="D363" s="318"/>
      <c r="E363" s="316"/>
      <c r="F363" s="318"/>
      <c r="G363" s="318"/>
      <c r="H363" s="317">
        <f t="shared" si="51"/>
      </c>
      <c r="I363" s="318">
        <f t="shared" si="52"/>
      </c>
      <c r="J363" s="318"/>
      <c r="K363" s="318"/>
      <c r="L363" s="318"/>
      <c r="P363">
        <f t="shared" si="53"/>
      </c>
      <c r="Q363">
        <f t="shared" si="54"/>
      </c>
      <c r="R363">
        <f>IF(P363="","",TEXT(H363,"yyyymm")&amp;"_"&amp;P363&amp;"_"&amp;(COUNTIFS($H$64:$H$500,H363,$P$64:$P$500,P363,$A$64:$A$500,"&gt;"&amp;A363)+COUNTIFS($H$64:H363,H363,$P$64:P363,P363,$A$64:A363,A363)))</f>
      </c>
      <c r="S363">
        <f t="shared" si="55"/>
      </c>
      <c r="T363">
        <f t="shared" si="56"/>
      </c>
      <c r="U363">
        <f t="shared" si="57"/>
      </c>
      <c r="Y363">
        <f t="shared" si="58"/>
      </c>
      <c r="Z363">
        <f>IFERROR(IF(AND(ISNUMBER(A363),A363&gt;=$B$3,A363&lt;EDATE($B$3,1)),COUNTIFS($A$64:$A$500,"&gt;"&amp;A363,$A$64:$A$500,"&lt;"&amp;EDATE($B$3,1))+COUNTIF($A$64:A363,A363),0),0)</f>
        <v>0</v>
      </c>
    </row>
    <row r="364" spans="1:25" ht="28" hidden="1" customHeight="1" outlineLevel="1">
      <c r="A364" s="314"/>
      <c r="B364" s="318"/>
      <c r="C364" s="318"/>
      <c r="D364" s="318"/>
      <c r="E364" s="316"/>
      <c r="F364" s="318"/>
      <c r="G364" s="318"/>
      <c r="H364" s="317">
        <f t="shared" si="51"/>
      </c>
      <c r="I364" s="318">
        <f t="shared" si="52"/>
      </c>
      <c r="J364" s="318"/>
      <c r="K364" s="318"/>
      <c r="L364" s="318"/>
      <c r="P364">
        <f t="shared" si="53"/>
      </c>
      <c r="Q364">
        <f t="shared" si="54"/>
      </c>
      <c r="R364">
        <f>IF(P364="","",TEXT(H364,"yyyymm")&amp;"_"&amp;P364&amp;"_"&amp;(COUNTIFS($H$64:$H$500,H364,$P$64:$P$500,P364,$A$64:$A$500,"&gt;"&amp;A364)+COUNTIFS($H$64:H364,H364,$P$64:P364,P364,$A$64:A364,A364)))</f>
      </c>
      <c r="S364">
        <f t="shared" si="55"/>
      </c>
      <c r="T364">
        <f t="shared" si="56"/>
      </c>
      <c r="U364">
        <f t="shared" si="57"/>
      </c>
      <c r="Y364">
        <f t="shared" si="58"/>
      </c>
      <c r="Z364">
        <f>IFERROR(IF(AND(ISNUMBER(A364),A364&gt;=$B$3,A364&lt;EDATE($B$3,1)),COUNTIFS($A$64:$A$500,"&gt;"&amp;A364,$A$64:$A$500,"&lt;"&amp;EDATE($B$3,1))+COUNTIF($A$64:A364,A364),0),0)</f>
        <v>0</v>
      </c>
    </row>
    <row r="365" spans="1:25" ht="28" hidden="1" customHeight="1" outlineLevel="1">
      <c r="A365" s="314"/>
      <c r="B365" s="318"/>
      <c r="C365" s="318"/>
      <c r="D365" s="318"/>
      <c r="E365" s="316"/>
      <c r="F365" s="318"/>
      <c r="G365" s="318"/>
      <c r="H365" s="317">
        <f t="shared" si="51"/>
      </c>
      <c r="I365" s="318">
        <f t="shared" si="52"/>
      </c>
      <c r="J365" s="318"/>
      <c r="K365" s="318"/>
      <c r="L365" s="318"/>
      <c r="P365">
        <f t="shared" si="53"/>
      </c>
      <c r="Q365">
        <f t="shared" si="54"/>
      </c>
      <c r="R365">
        <f>IF(P365="","",TEXT(H365,"yyyymm")&amp;"_"&amp;P365&amp;"_"&amp;(COUNTIFS($H$64:$H$500,H365,$P$64:$P$500,P365,$A$64:$A$500,"&gt;"&amp;A365)+COUNTIFS($H$64:H365,H365,$P$64:P365,P365,$A$64:A365,A365)))</f>
      </c>
      <c r="S365">
        <f t="shared" si="55"/>
      </c>
      <c r="T365">
        <f t="shared" si="56"/>
      </c>
      <c r="U365">
        <f t="shared" si="57"/>
      </c>
      <c r="Y365">
        <f t="shared" si="58"/>
      </c>
      <c r="Z365">
        <f>IFERROR(IF(AND(ISNUMBER(A365),A365&gt;=$B$3,A365&lt;EDATE($B$3,1)),COUNTIFS($A$64:$A$500,"&gt;"&amp;A365,$A$64:$A$500,"&lt;"&amp;EDATE($B$3,1))+COUNTIF($A$64:A365,A365),0),0)</f>
        <v>0</v>
      </c>
    </row>
    <row r="366" spans="1:25" ht="28" hidden="1" customHeight="1" outlineLevel="1">
      <c r="A366" s="314"/>
      <c r="B366" s="318"/>
      <c r="C366" s="318"/>
      <c r="D366" s="318"/>
      <c r="E366" s="316"/>
      <c r="F366" s="318"/>
      <c r="G366" s="318"/>
      <c r="H366" s="317">
        <f t="shared" si="51"/>
      </c>
      <c r="I366" s="318">
        <f t="shared" si="52"/>
      </c>
      <c r="J366" s="318"/>
      <c r="K366" s="318"/>
      <c r="L366" s="318"/>
      <c r="P366">
        <f t="shared" si="53"/>
      </c>
      <c r="Q366">
        <f t="shared" si="54"/>
      </c>
      <c r="R366">
        <f>IF(P366="","",TEXT(H366,"yyyymm")&amp;"_"&amp;P366&amp;"_"&amp;(COUNTIFS($H$64:$H$500,H366,$P$64:$P$500,P366,$A$64:$A$500,"&gt;"&amp;A366)+COUNTIFS($H$64:H366,H366,$P$64:P366,P366,$A$64:A366,A366)))</f>
      </c>
      <c r="S366">
        <f t="shared" si="55"/>
      </c>
      <c r="T366">
        <f t="shared" si="56"/>
      </c>
      <c r="U366">
        <f t="shared" si="57"/>
      </c>
      <c r="Y366">
        <f t="shared" si="58"/>
      </c>
      <c r="Z366">
        <f>IFERROR(IF(AND(ISNUMBER(A366),A366&gt;=$B$3,A366&lt;EDATE($B$3,1)),COUNTIFS($A$64:$A$500,"&gt;"&amp;A366,$A$64:$A$500,"&lt;"&amp;EDATE($B$3,1))+COUNTIF($A$64:A366,A366),0),0)</f>
        <v>0</v>
      </c>
    </row>
    <row r="367" spans="1:25" ht="28" hidden="1" customHeight="1" outlineLevel="1">
      <c r="A367" s="314"/>
      <c r="B367" s="318"/>
      <c r="C367" s="318"/>
      <c r="D367" s="318"/>
      <c r="E367" s="316"/>
      <c r="F367" s="318"/>
      <c r="G367" s="318"/>
      <c r="H367" s="317">
        <f t="shared" si="51"/>
      </c>
      <c r="I367" s="318">
        <f t="shared" si="52"/>
      </c>
      <c r="J367" s="318"/>
      <c r="K367" s="318"/>
      <c r="L367" s="318"/>
      <c r="P367">
        <f t="shared" si="53"/>
      </c>
      <c r="Q367">
        <f t="shared" si="54"/>
      </c>
      <c r="R367">
        <f>IF(P367="","",TEXT(H367,"yyyymm")&amp;"_"&amp;P367&amp;"_"&amp;(COUNTIFS($H$64:$H$500,H367,$P$64:$P$500,P367,$A$64:$A$500,"&gt;"&amp;A367)+COUNTIFS($H$64:H367,H367,$P$64:P367,P367,$A$64:A367,A367)))</f>
      </c>
      <c r="S367">
        <f t="shared" si="55"/>
      </c>
      <c r="T367">
        <f t="shared" si="56"/>
      </c>
      <c r="U367">
        <f t="shared" si="57"/>
      </c>
      <c r="Y367">
        <f t="shared" si="58"/>
      </c>
      <c r="Z367">
        <f>IFERROR(IF(AND(ISNUMBER(A367),A367&gt;=$B$3,A367&lt;EDATE($B$3,1)),COUNTIFS($A$64:$A$500,"&gt;"&amp;A367,$A$64:$A$500,"&lt;"&amp;EDATE($B$3,1))+COUNTIF($A$64:A367,A367),0),0)</f>
        <v>0</v>
      </c>
    </row>
    <row r="368" spans="1:25" ht="28" hidden="1" customHeight="1" outlineLevel="1">
      <c r="A368" s="314"/>
      <c r="B368" s="318"/>
      <c r="C368" s="318"/>
      <c r="D368" s="318"/>
      <c r="E368" s="316"/>
      <c r="F368" s="318"/>
      <c r="G368" s="318"/>
      <c r="H368" s="317">
        <f t="shared" si="51"/>
      </c>
      <c r="I368" s="318">
        <f t="shared" si="52"/>
      </c>
      <c r="J368" s="318"/>
      <c r="K368" s="318"/>
      <c r="L368" s="318"/>
      <c r="P368">
        <f t="shared" si="53"/>
      </c>
      <c r="Q368">
        <f t="shared" si="54"/>
      </c>
      <c r="R368">
        <f>IF(P368="","",TEXT(H368,"yyyymm")&amp;"_"&amp;P368&amp;"_"&amp;(COUNTIFS($H$64:$H$500,H368,$P$64:$P$500,P368,$A$64:$A$500,"&gt;"&amp;A368)+COUNTIFS($H$64:H368,H368,$P$64:P368,P368,$A$64:A368,A368)))</f>
      </c>
      <c r="S368">
        <f t="shared" si="55"/>
      </c>
      <c r="T368">
        <f t="shared" si="56"/>
      </c>
      <c r="U368">
        <f t="shared" si="57"/>
      </c>
      <c r="Y368">
        <f t="shared" si="58"/>
      </c>
      <c r="Z368">
        <f>IFERROR(IF(AND(ISNUMBER(A368),A368&gt;=$B$3,A368&lt;EDATE($B$3,1)),COUNTIFS($A$64:$A$500,"&gt;"&amp;A368,$A$64:$A$500,"&lt;"&amp;EDATE($B$3,1))+COUNTIF($A$64:A368,A368),0),0)</f>
        <v>0</v>
      </c>
    </row>
    <row r="369" spans="1:25" ht="28" hidden="1" customHeight="1" outlineLevel="1">
      <c r="A369" s="314"/>
      <c r="B369" s="318"/>
      <c r="C369" s="318"/>
      <c r="D369" s="318"/>
      <c r="E369" s="316"/>
      <c r="F369" s="318"/>
      <c r="G369" s="318"/>
      <c r="H369" s="317">
        <f t="shared" si="51"/>
      </c>
      <c r="I369" s="318">
        <f t="shared" si="52"/>
      </c>
      <c r="J369" s="318"/>
      <c r="K369" s="318"/>
      <c r="L369" s="318"/>
      <c r="P369">
        <f t="shared" si="53"/>
      </c>
      <c r="Q369">
        <f t="shared" si="54"/>
      </c>
      <c r="R369">
        <f>IF(P369="","",TEXT(H369,"yyyymm")&amp;"_"&amp;P369&amp;"_"&amp;(COUNTIFS($H$64:$H$500,H369,$P$64:$P$500,P369,$A$64:$A$500,"&gt;"&amp;A369)+COUNTIFS($H$64:H369,H369,$P$64:P369,P369,$A$64:A369,A369)))</f>
      </c>
      <c r="S369">
        <f t="shared" si="55"/>
      </c>
      <c r="T369">
        <f t="shared" si="56"/>
      </c>
      <c r="U369">
        <f t="shared" si="57"/>
      </c>
      <c r="Y369">
        <f t="shared" si="58"/>
      </c>
      <c r="Z369">
        <f>IFERROR(IF(AND(ISNUMBER(A369),A369&gt;=$B$3,A369&lt;EDATE($B$3,1)),COUNTIFS($A$64:$A$500,"&gt;"&amp;A369,$A$64:$A$500,"&lt;"&amp;EDATE($B$3,1))+COUNTIF($A$64:A369,A369),0),0)</f>
        <v>0</v>
      </c>
    </row>
    <row r="370" spans="1:25" ht="28" hidden="1" customHeight="1" outlineLevel="1">
      <c r="A370" s="314"/>
      <c r="B370" s="318"/>
      <c r="C370" s="318"/>
      <c r="D370" s="318"/>
      <c r="E370" s="316"/>
      <c r="F370" s="318"/>
      <c r="G370" s="318"/>
      <c r="H370" s="317">
        <f t="shared" si="51"/>
      </c>
      <c r="I370" s="318">
        <f t="shared" si="52"/>
      </c>
      <c r="J370" s="318"/>
      <c r="K370" s="318"/>
      <c r="L370" s="318"/>
      <c r="P370">
        <f t="shared" si="53"/>
      </c>
      <c r="Q370">
        <f t="shared" si="54"/>
      </c>
      <c r="R370">
        <f>IF(P370="","",TEXT(H370,"yyyymm")&amp;"_"&amp;P370&amp;"_"&amp;(COUNTIFS($H$64:$H$500,H370,$P$64:$P$500,P370,$A$64:$A$500,"&gt;"&amp;A370)+COUNTIFS($H$64:H370,H370,$P$64:P370,P370,$A$64:A370,A370)))</f>
      </c>
      <c r="S370">
        <f t="shared" si="55"/>
      </c>
      <c r="T370">
        <f t="shared" si="56"/>
      </c>
      <c r="U370">
        <f t="shared" si="57"/>
      </c>
      <c r="Y370">
        <f t="shared" si="58"/>
      </c>
      <c r="Z370">
        <f>IFERROR(IF(AND(ISNUMBER(A370),A370&gt;=$B$3,A370&lt;EDATE($B$3,1)),COUNTIFS($A$64:$A$500,"&gt;"&amp;A370,$A$64:$A$500,"&lt;"&amp;EDATE($B$3,1))+COUNTIF($A$64:A370,A370),0),0)</f>
        <v>0</v>
      </c>
    </row>
    <row r="371" spans="1:25" ht="28" hidden="1" customHeight="1" outlineLevel="1">
      <c r="A371" s="314"/>
      <c r="B371" s="318"/>
      <c r="C371" s="318"/>
      <c r="D371" s="318"/>
      <c r="E371" s="316"/>
      <c r="F371" s="318"/>
      <c r="G371" s="318"/>
      <c r="H371" s="317">
        <f t="shared" si="51"/>
      </c>
      <c r="I371" s="318">
        <f t="shared" si="52"/>
      </c>
      <c r="J371" s="318"/>
      <c r="K371" s="318"/>
      <c r="L371" s="318"/>
      <c r="P371">
        <f t="shared" si="53"/>
      </c>
      <c r="Q371">
        <f t="shared" si="54"/>
      </c>
      <c r="R371">
        <f>IF(P371="","",TEXT(H371,"yyyymm")&amp;"_"&amp;P371&amp;"_"&amp;(COUNTIFS($H$64:$H$500,H371,$P$64:$P$500,P371,$A$64:$A$500,"&gt;"&amp;A371)+COUNTIFS($H$64:H371,H371,$P$64:P371,P371,$A$64:A371,A371)))</f>
      </c>
      <c r="S371">
        <f t="shared" si="55"/>
      </c>
      <c r="T371">
        <f t="shared" si="56"/>
      </c>
      <c r="U371">
        <f t="shared" si="57"/>
      </c>
      <c r="Y371">
        <f t="shared" si="58"/>
      </c>
      <c r="Z371">
        <f>IFERROR(IF(AND(ISNUMBER(A371),A371&gt;=$B$3,A371&lt;EDATE($B$3,1)),COUNTIFS($A$64:$A$500,"&gt;"&amp;A371,$A$64:$A$500,"&lt;"&amp;EDATE($B$3,1))+COUNTIF($A$64:A371,A371),0),0)</f>
        <v>0</v>
      </c>
    </row>
    <row r="372" spans="1:25" ht="28" hidden="1" customHeight="1" outlineLevel="1">
      <c r="A372" s="314"/>
      <c r="B372" s="318"/>
      <c r="C372" s="318"/>
      <c r="D372" s="318"/>
      <c r="E372" s="316"/>
      <c r="F372" s="318"/>
      <c r="G372" s="318"/>
      <c r="H372" s="317">
        <f t="shared" si="51"/>
      </c>
      <c r="I372" s="318">
        <f t="shared" si="52"/>
      </c>
      <c r="J372" s="318"/>
      <c r="K372" s="318"/>
      <c r="L372" s="318"/>
      <c r="P372">
        <f t="shared" si="53"/>
      </c>
      <c r="Q372">
        <f t="shared" si="54"/>
      </c>
      <c r="R372">
        <f>IF(P372="","",TEXT(H372,"yyyymm")&amp;"_"&amp;P372&amp;"_"&amp;(COUNTIFS($H$64:$H$500,H372,$P$64:$P$500,P372,$A$64:$A$500,"&gt;"&amp;A372)+COUNTIFS($H$64:H372,H372,$P$64:P372,P372,$A$64:A372,A372)))</f>
      </c>
      <c r="S372">
        <f t="shared" si="55"/>
      </c>
      <c r="T372">
        <f t="shared" si="56"/>
      </c>
      <c r="U372">
        <f t="shared" si="57"/>
      </c>
      <c r="Y372">
        <f t="shared" si="58"/>
      </c>
      <c r="Z372">
        <f>IFERROR(IF(AND(ISNUMBER(A372),A372&gt;=$B$3,A372&lt;EDATE($B$3,1)),COUNTIFS($A$64:$A$500,"&gt;"&amp;A372,$A$64:$A$500,"&lt;"&amp;EDATE($B$3,1))+COUNTIF($A$64:A372,A372),0),0)</f>
        <v>0</v>
      </c>
    </row>
    <row r="373" spans="1:25" ht="28" hidden="1" customHeight="1" outlineLevel="1">
      <c r="A373" s="314"/>
      <c r="B373" s="318"/>
      <c r="C373" s="318"/>
      <c r="D373" s="318"/>
      <c r="E373" s="316"/>
      <c r="F373" s="318"/>
      <c r="G373" s="318"/>
      <c r="H373" s="317">
        <f t="shared" si="51"/>
      </c>
      <c r="I373" s="318">
        <f t="shared" si="52"/>
      </c>
      <c r="J373" s="318"/>
      <c r="K373" s="318"/>
      <c r="L373" s="318"/>
      <c r="P373">
        <f t="shared" si="53"/>
      </c>
      <c r="Q373">
        <f t="shared" si="54"/>
      </c>
      <c r="R373">
        <f>IF(P373="","",TEXT(H373,"yyyymm")&amp;"_"&amp;P373&amp;"_"&amp;(COUNTIFS($H$64:$H$500,H373,$P$64:$P$500,P373,$A$64:$A$500,"&gt;"&amp;A373)+COUNTIFS($H$64:H373,H373,$P$64:P373,P373,$A$64:A373,A373)))</f>
      </c>
      <c r="S373">
        <f t="shared" si="55"/>
      </c>
      <c r="T373">
        <f t="shared" si="56"/>
      </c>
      <c r="U373">
        <f t="shared" si="57"/>
      </c>
      <c r="Y373">
        <f t="shared" si="58"/>
      </c>
      <c r="Z373">
        <f>IFERROR(IF(AND(ISNUMBER(A373),A373&gt;=$B$3,A373&lt;EDATE($B$3,1)),COUNTIFS($A$64:$A$500,"&gt;"&amp;A373,$A$64:$A$500,"&lt;"&amp;EDATE($B$3,1))+COUNTIF($A$64:A373,A373),0),0)</f>
        <v>0</v>
      </c>
    </row>
    <row r="374" spans="1:25" ht="28" hidden="1" customHeight="1" outlineLevel="1">
      <c r="A374" s="314"/>
      <c r="B374" s="318"/>
      <c r="C374" s="318"/>
      <c r="D374" s="318"/>
      <c r="E374" s="316"/>
      <c r="F374" s="318"/>
      <c r="G374" s="318"/>
      <c r="H374" s="317">
        <f t="shared" si="51"/>
      </c>
      <c r="I374" s="318">
        <f t="shared" si="52"/>
      </c>
      <c r="J374" s="318"/>
      <c r="K374" s="318"/>
      <c r="L374" s="318"/>
      <c r="P374">
        <f t="shared" si="53"/>
      </c>
      <c r="Q374">
        <f t="shared" si="54"/>
      </c>
      <c r="R374">
        <f>IF(P374="","",TEXT(H374,"yyyymm")&amp;"_"&amp;P374&amp;"_"&amp;(COUNTIFS($H$64:$H$500,H374,$P$64:$P$500,P374,$A$64:$A$500,"&gt;"&amp;A374)+COUNTIFS($H$64:H374,H374,$P$64:P374,P374,$A$64:A374,A374)))</f>
      </c>
      <c r="S374">
        <f t="shared" si="55"/>
      </c>
      <c r="T374">
        <f t="shared" si="56"/>
      </c>
      <c r="U374">
        <f t="shared" si="57"/>
      </c>
      <c r="Y374">
        <f t="shared" si="58"/>
      </c>
      <c r="Z374">
        <f>IFERROR(IF(AND(ISNUMBER(A374),A374&gt;=$B$3,A374&lt;EDATE($B$3,1)),COUNTIFS($A$64:$A$500,"&gt;"&amp;A374,$A$64:$A$500,"&lt;"&amp;EDATE($B$3,1))+COUNTIF($A$64:A374,A374),0),0)</f>
        <v>0</v>
      </c>
    </row>
    <row r="375" spans="1:25" ht="28" hidden="1" customHeight="1" outlineLevel="1">
      <c r="A375" s="314"/>
      <c r="B375" s="318"/>
      <c r="C375" s="318"/>
      <c r="D375" s="318"/>
      <c r="E375" s="316"/>
      <c r="F375" s="318"/>
      <c r="G375" s="318"/>
      <c r="H375" s="317">
        <f t="shared" si="51"/>
      </c>
      <c r="I375" s="318">
        <f t="shared" si="52"/>
      </c>
      <c r="J375" s="318"/>
      <c r="K375" s="318"/>
      <c r="L375" s="318"/>
      <c r="P375">
        <f t="shared" si="53"/>
      </c>
      <c r="Q375">
        <f t="shared" si="54"/>
      </c>
      <c r="R375">
        <f>IF(P375="","",TEXT(H375,"yyyymm")&amp;"_"&amp;P375&amp;"_"&amp;(COUNTIFS($H$64:$H$500,H375,$P$64:$P$500,P375,$A$64:$A$500,"&gt;"&amp;A375)+COUNTIFS($H$64:H375,H375,$P$64:P375,P375,$A$64:A375,A375)))</f>
      </c>
      <c r="S375">
        <f t="shared" si="55"/>
      </c>
      <c r="T375">
        <f t="shared" si="56"/>
      </c>
      <c r="U375">
        <f t="shared" si="57"/>
      </c>
      <c r="Y375">
        <f t="shared" si="58"/>
      </c>
      <c r="Z375">
        <f>IFERROR(IF(AND(ISNUMBER(A375),A375&gt;=$B$3,A375&lt;EDATE($B$3,1)),COUNTIFS($A$64:$A$500,"&gt;"&amp;A375,$A$64:$A$500,"&lt;"&amp;EDATE($B$3,1))+COUNTIF($A$64:A375,A375),0),0)</f>
        <v>0</v>
      </c>
    </row>
    <row r="376" spans="1:25" ht="28" hidden="1" customHeight="1" outlineLevel="1">
      <c r="A376" s="314"/>
      <c r="B376" s="318"/>
      <c r="C376" s="318"/>
      <c r="D376" s="318"/>
      <c r="E376" s="316"/>
      <c r="F376" s="318"/>
      <c r="G376" s="318"/>
      <c r="H376" s="317">
        <f t="shared" si="51"/>
      </c>
      <c r="I376" s="318">
        <f t="shared" si="52"/>
      </c>
      <c r="J376" s="318"/>
      <c r="K376" s="318"/>
      <c r="L376" s="318"/>
      <c r="P376">
        <f t="shared" si="53"/>
      </c>
      <c r="Q376">
        <f t="shared" si="54"/>
      </c>
      <c r="R376">
        <f>IF(P376="","",TEXT(H376,"yyyymm")&amp;"_"&amp;P376&amp;"_"&amp;(COUNTIFS($H$64:$H$500,H376,$P$64:$P$500,P376,$A$64:$A$500,"&gt;"&amp;A376)+COUNTIFS($H$64:H376,H376,$P$64:P376,P376,$A$64:A376,A376)))</f>
      </c>
      <c r="S376">
        <f t="shared" si="55"/>
      </c>
      <c r="T376">
        <f t="shared" si="56"/>
      </c>
      <c r="U376">
        <f t="shared" si="57"/>
      </c>
      <c r="Y376">
        <f t="shared" si="58"/>
      </c>
      <c r="Z376">
        <f>IFERROR(IF(AND(ISNUMBER(A376),A376&gt;=$B$3,A376&lt;EDATE($B$3,1)),COUNTIFS($A$64:$A$500,"&gt;"&amp;A376,$A$64:$A$500,"&lt;"&amp;EDATE($B$3,1))+COUNTIF($A$64:A376,A376),0),0)</f>
        <v>0</v>
      </c>
    </row>
    <row r="377" spans="1:25" ht="28" hidden="1" customHeight="1" outlineLevel="1">
      <c r="A377" s="314"/>
      <c r="B377" s="318"/>
      <c r="C377" s="318"/>
      <c r="D377" s="318"/>
      <c r="E377" s="316"/>
      <c r="F377" s="318"/>
      <c r="G377" s="318"/>
      <c r="H377" s="317">
        <f t="shared" si="51"/>
      </c>
      <c r="I377" s="318">
        <f t="shared" si="52"/>
      </c>
      <c r="J377" s="318"/>
      <c r="K377" s="318"/>
      <c r="L377" s="318"/>
      <c r="P377">
        <f t="shared" si="53"/>
      </c>
      <c r="Q377">
        <f t="shared" si="54"/>
      </c>
      <c r="R377">
        <f>IF(P377="","",TEXT(H377,"yyyymm")&amp;"_"&amp;P377&amp;"_"&amp;(COUNTIFS($H$64:$H$500,H377,$P$64:$P$500,P377,$A$64:$A$500,"&gt;"&amp;A377)+COUNTIFS($H$64:H377,H377,$P$64:P377,P377,$A$64:A377,A377)))</f>
      </c>
      <c r="S377">
        <f t="shared" si="55"/>
      </c>
      <c r="T377">
        <f t="shared" si="56"/>
      </c>
      <c r="U377">
        <f t="shared" si="57"/>
      </c>
      <c r="Y377">
        <f t="shared" si="58"/>
      </c>
      <c r="Z377">
        <f>IFERROR(IF(AND(ISNUMBER(A377),A377&gt;=$B$3,A377&lt;EDATE($B$3,1)),COUNTIFS($A$64:$A$500,"&gt;"&amp;A377,$A$64:$A$500,"&lt;"&amp;EDATE($B$3,1))+COUNTIF($A$64:A377,A377),0),0)</f>
        <v>0</v>
      </c>
    </row>
    <row r="378" spans="1:25" ht="28" hidden="1" customHeight="1" outlineLevel="1">
      <c r="A378" s="314"/>
      <c r="B378" s="318"/>
      <c r="C378" s="318"/>
      <c r="D378" s="318"/>
      <c r="E378" s="316"/>
      <c r="F378" s="318"/>
      <c r="G378" s="318"/>
      <c r="H378" s="317">
        <f t="shared" si="51"/>
      </c>
      <c r="I378" s="318">
        <f t="shared" si="52"/>
      </c>
      <c r="J378" s="318"/>
      <c r="K378" s="318"/>
      <c r="L378" s="318"/>
      <c r="P378">
        <f t="shared" si="53"/>
      </c>
      <c r="Q378">
        <f t="shared" si="54"/>
      </c>
      <c r="R378">
        <f>IF(P378="","",TEXT(H378,"yyyymm")&amp;"_"&amp;P378&amp;"_"&amp;(COUNTIFS($H$64:$H$500,H378,$P$64:$P$500,P378,$A$64:$A$500,"&gt;"&amp;A378)+COUNTIFS($H$64:H378,H378,$P$64:P378,P378,$A$64:A378,A378)))</f>
      </c>
      <c r="S378">
        <f t="shared" si="55"/>
      </c>
      <c r="T378">
        <f t="shared" si="56"/>
      </c>
      <c r="U378">
        <f t="shared" si="57"/>
      </c>
      <c r="Y378">
        <f t="shared" si="58"/>
      </c>
      <c r="Z378">
        <f>IFERROR(IF(AND(ISNUMBER(A378),A378&gt;=$B$3,A378&lt;EDATE($B$3,1)),COUNTIFS($A$64:$A$500,"&gt;"&amp;A378,$A$64:$A$500,"&lt;"&amp;EDATE($B$3,1))+COUNTIF($A$64:A378,A378),0),0)</f>
        <v>0</v>
      </c>
    </row>
    <row r="379" spans="1:25" ht="28" hidden="1" customHeight="1" outlineLevel="1">
      <c r="A379" s="314"/>
      <c r="B379" s="318"/>
      <c r="C379" s="318"/>
      <c r="D379" s="318"/>
      <c r="E379" s="316"/>
      <c r="F379" s="318"/>
      <c r="G379" s="318"/>
      <c r="H379" s="317">
        <f t="shared" si="51"/>
      </c>
      <c r="I379" s="318">
        <f t="shared" si="52"/>
      </c>
      <c r="J379" s="318"/>
      <c r="K379" s="318"/>
      <c r="L379" s="318"/>
      <c r="P379">
        <f t="shared" si="53"/>
      </c>
      <c r="Q379">
        <f t="shared" si="54"/>
      </c>
      <c r="R379">
        <f>IF(P379="","",TEXT(H379,"yyyymm")&amp;"_"&amp;P379&amp;"_"&amp;(COUNTIFS($H$64:$H$500,H379,$P$64:$P$500,P379,$A$64:$A$500,"&gt;"&amp;A379)+COUNTIFS($H$64:H379,H379,$P$64:P379,P379,$A$64:A379,A379)))</f>
      </c>
      <c r="S379">
        <f t="shared" si="55"/>
      </c>
      <c r="T379">
        <f t="shared" si="56"/>
      </c>
      <c r="U379">
        <f t="shared" si="57"/>
      </c>
      <c r="Y379">
        <f t="shared" si="58"/>
      </c>
      <c r="Z379">
        <f>IFERROR(IF(AND(ISNUMBER(A379),A379&gt;=$B$3,A379&lt;EDATE($B$3,1)),COUNTIFS($A$64:$A$500,"&gt;"&amp;A379,$A$64:$A$500,"&lt;"&amp;EDATE($B$3,1))+COUNTIF($A$64:A379,A379),0),0)</f>
        <v>0</v>
      </c>
    </row>
    <row r="380" spans="1:25" ht="28" hidden="1" customHeight="1" outlineLevel="1">
      <c r="A380" s="314"/>
      <c r="B380" s="318"/>
      <c r="C380" s="318"/>
      <c r="D380" s="318"/>
      <c r="E380" s="316"/>
      <c r="F380" s="318"/>
      <c r="G380" s="318"/>
      <c r="H380" s="317">
        <f t="shared" si="51"/>
      </c>
      <c r="I380" s="318">
        <f t="shared" si="52"/>
      </c>
      <c r="J380" s="318"/>
      <c r="K380" s="318"/>
      <c r="L380" s="318"/>
      <c r="P380">
        <f t="shared" si="53"/>
      </c>
      <c r="Q380">
        <f t="shared" si="54"/>
      </c>
      <c r="R380">
        <f>IF(P380="","",TEXT(H380,"yyyymm")&amp;"_"&amp;P380&amp;"_"&amp;(COUNTIFS($H$64:$H$500,H380,$P$64:$P$500,P380,$A$64:$A$500,"&gt;"&amp;A380)+COUNTIFS($H$64:H380,H380,$P$64:P380,P380,$A$64:A380,A380)))</f>
      </c>
      <c r="S380">
        <f t="shared" si="55"/>
      </c>
      <c r="T380">
        <f t="shared" si="56"/>
      </c>
      <c r="U380">
        <f t="shared" si="57"/>
      </c>
      <c r="Y380">
        <f t="shared" si="58"/>
      </c>
      <c r="Z380">
        <f>IFERROR(IF(AND(ISNUMBER(A380),A380&gt;=$B$3,A380&lt;EDATE($B$3,1)),COUNTIFS($A$64:$A$500,"&gt;"&amp;A380,$A$64:$A$500,"&lt;"&amp;EDATE($B$3,1))+COUNTIF($A$64:A380,A380),0),0)</f>
        <v>0</v>
      </c>
    </row>
    <row r="381" spans="1:25" ht="28" hidden="1" customHeight="1" outlineLevel="1">
      <c r="A381" s="314"/>
      <c r="B381" s="318"/>
      <c r="C381" s="318"/>
      <c r="D381" s="318"/>
      <c r="E381" s="316"/>
      <c r="F381" s="318"/>
      <c r="G381" s="318"/>
      <c r="H381" s="317">
        <f t="shared" si="51"/>
      </c>
      <c r="I381" s="318">
        <f t="shared" si="52"/>
      </c>
      <c r="J381" s="318"/>
      <c r="K381" s="318"/>
      <c r="L381" s="318"/>
      <c r="P381">
        <f t="shared" si="53"/>
      </c>
      <c r="Q381">
        <f t="shared" si="54"/>
      </c>
      <c r="R381">
        <f>IF(P381="","",TEXT(H381,"yyyymm")&amp;"_"&amp;P381&amp;"_"&amp;(COUNTIFS($H$64:$H$500,H381,$P$64:$P$500,P381,$A$64:$A$500,"&gt;"&amp;A381)+COUNTIFS($H$64:H381,H381,$P$64:P381,P381,$A$64:A381,A381)))</f>
      </c>
      <c r="S381">
        <f t="shared" si="55"/>
      </c>
      <c r="T381">
        <f t="shared" si="56"/>
      </c>
      <c r="U381">
        <f t="shared" si="57"/>
      </c>
      <c r="Y381">
        <f t="shared" si="58"/>
      </c>
      <c r="Z381">
        <f>IFERROR(IF(AND(ISNUMBER(A381),A381&gt;=$B$3,A381&lt;EDATE($B$3,1)),COUNTIFS($A$64:$A$500,"&gt;"&amp;A381,$A$64:$A$500,"&lt;"&amp;EDATE($B$3,1))+COUNTIF($A$64:A381,A381),0),0)</f>
        <v>0</v>
      </c>
    </row>
    <row r="382" spans="1:25" ht="28" hidden="1" customHeight="1" outlineLevel="1">
      <c r="A382" s="314"/>
      <c r="B382" s="318"/>
      <c r="C382" s="318"/>
      <c r="D382" s="318"/>
      <c r="E382" s="316"/>
      <c r="F382" s="318"/>
      <c r="G382" s="318"/>
      <c r="H382" s="317">
        <f t="shared" si="51"/>
      </c>
      <c r="I382" s="318">
        <f t="shared" si="52"/>
      </c>
      <c r="J382" s="318"/>
      <c r="K382" s="318"/>
      <c r="L382" s="318"/>
      <c r="P382">
        <f t="shared" si="53"/>
      </c>
      <c r="Q382">
        <f t="shared" si="54"/>
      </c>
      <c r="R382">
        <f>IF(P382="","",TEXT(H382,"yyyymm")&amp;"_"&amp;P382&amp;"_"&amp;(COUNTIFS($H$64:$H$500,H382,$P$64:$P$500,P382,$A$64:$A$500,"&gt;"&amp;A382)+COUNTIFS($H$64:H382,H382,$P$64:P382,P382,$A$64:A382,A382)))</f>
      </c>
      <c r="S382">
        <f t="shared" si="55"/>
      </c>
      <c r="T382">
        <f t="shared" si="56"/>
      </c>
      <c r="U382">
        <f t="shared" si="57"/>
      </c>
      <c r="Y382">
        <f t="shared" si="58"/>
      </c>
      <c r="Z382">
        <f>IFERROR(IF(AND(ISNUMBER(A382),A382&gt;=$B$3,A382&lt;EDATE($B$3,1)),COUNTIFS($A$64:$A$500,"&gt;"&amp;A382,$A$64:$A$500,"&lt;"&amp;EDATE($B$3,1))+COUNTIF($A$64:A382,A382),0),0)</f>
        <v>0</v>
      </c>
    </row>
    <row r="383" spans="1:25" ht="28" hidden="1" customHeight="1" outlineLevel="1">
      <c r="A383" s="314"/>
      <c r="B383" s="318"/>
      <c r="C383" s="318"/>
      <c r="D383" s="318"/>
      <c r="E383" s="316"/>
      <c r="F383" s="318"/>
      <c r="G383" s="318"/>
      <c r="H383" s="317">
        <f t="shared" si="51"/>
      </c>
      <c r="I383" s="318">
        <f t="shared" si="52"/>
      </c>
      <c r="J383" s="318"/>
      <c r="K383" s="318"/>
      <c r="L383" s="318"/>
      <c r="P383">
        <f t="shared" si="53"/>
      </c>
      <c r="Q383">
        <f t="shared" si="54"/>
      </c>
      <c r="R383">
        <f>IF(P383="","",TEXT(H383,"yyyymm")&amp;"_"&amp;P383&amp;"_"&amp;(COUNTIFS($H$64:$H$500,H383,$P$64:$P$500,P383,$A$64:$A$500,"&gt;"&amp;A383)+COUNTIFS($H$64:H383,H383,$P$64:P383,P383,$A$64:A383,A383)))</f>
      </c>
      <c r="S383">
        <f t="shared" si="55"/>
      </c>
      <c r="T383">
        <f t="shared" si="56"/>
      </c>
      <c r="U383">
        <f t="shared" si="57"/>
      </c>
      <c r="Y383">
        <f t="shared" si="58"/>
      </c>
      <c r="Z383">
        <f>IFERROR(IF(AND(ISNUMBER(A383),A383&gt;=$B$3,A383&lt;EDATE($B$3,1)),COUNTIFS($A$64:$A$500,"&gt;"&amp;A383,$A$64:$A$500,"&lt;"&amp;EDATE($B$3,1))+COUNTIF($A$64:A383,A383),0),0)</f>
        <v>0</v>
      </c>
    </row>
    <row r="384" spans="1:25" ht="28" hidden="1" customHeight="1" outlineLevel="1">
      <c r="A384" s="314"/>
      <c r="B384" s="318"/>
      <c r="C384" s="318"/>
      <c r="D384" s="318"/>
      <c r="E384" s="316"/>
      <c r="F384" s="318"/>
      <c r="G384" s="318"/>
      <c r="H384" s="317">
        <f t="shared" ref="H384:H447" si="59">IF(A384="","",DATE(YEAR(A384),MONTH(A384),1))</f>
      </c>
      <c r="I384" s="318">
        <f t="shared" ref="I384:I447" si="60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</c>
      <c r="J384" s="318"/>
      <c r="K384" s="318"/>
      <c r="L384" s="318"/>
      <c r="P384">
        <f t="shared" ref="P384:P447" si="61">IF(Q384="","",IF(Q384="이체","이체","내역"))</f>
      </c>
      <c r="Q384">
        <f t="shared" ref="Q384:Q447" si="62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</c>
      <c r="R384">
        <f>IF(P384="","",TEXT(H384,"yyyymm")&amp;"_"&amp;P384&amp;"_"&amp;(COUNTIFS($H$64:$H$500,H384,$P$64:$P$500,P384,$A$64:$A$500,"&gt;"&amp;A384)+COUNTIFS($H$64:H384,H384,$P$64:P384,P384,$A$64:A384,A384)))</f>
      </c>
      <c r="S384">
        <f t="shared" ref="S384:S447" si="63">IF(Q384="","",D384)</f>
      </c>
      <c r="T384">
        <f t="shared" ref="T384:T447" si="64">IF(Q384="","",IF(Q384="이체",E384,IF(D384=Q384,E384,-E384)))</f>
      </c>
      <c r="U384">
        <f t="shared" ref="U384:U447" si="65">IF(Q384="","",IF(ISNUMBER(SEARCH("날짜 미기록",G384)),"날짜 미기록",A384))</f>
      </c>
      <c r="Y384">
        <f t="shared" ref="Y384:Y447" si="66">IF(A384="","",IF(I384="OK",E384,0))</f>
      </c>
      <c r="Z384">
        <f>IFERROR(IF(AND(ISNUMBER(A384),A384&gt;=$B$3,A384&lt;EDATE($B$3,1)),COUNTIFS($A$64:$A$500,"&gt;"&amp;A384,$A$64:$A$500,"&lt;"&amp;EDATE($B$3,1))+COUNTIF($A$64:A384,A384),0),0)</f>
        <v>0</v>
      </c>
    </row>
    <row r="385" spans="1:25" ht="28" hidden="1" customHeight="1" outlineLevel="1">
      <c r="A385" s="314"/>
      <c r="B385" s="318"/>
      <c r="C385" s="318"/>
      <c r="D385" s="318"/>
      <c r="E385" s="316"/>
      <c r="F385" s="318"/>
      <c r="G385" s="318"/>
      <c r="H385" s="317">
        <f t="shared" si="59"/>
      </c>
      <c r="I385" s="318">
        <f t="shared" si="60"/>
      </c>
      <c r="J385" s="318"/>
      <c r="K385" s="318"/>
      <c r="L385" s="318"/>
      <c r="P385">
        <f t="shared" si="61"/>
      </c>
      <c r="Q385">
        <f t="shared" si="62"/>
      </c>
      <c r="R385">
        <f>IF(P385="","",TEXT(H385,"yyyymm")&amp;"_"&amp;P385&amp;"_"&amp;(COUNTIFS($H$64:$H$500,H385,$P$64:$P$500,P385,$A$64:$A$500,"&gt;"&amp;A385)+COUNTIFS($H$64:H385,H385,$P$64:P385,P385,$A$64:A385,A385)))</f>
      </c>
      <c r="S385">
        <f t="shared" si="63"/>
      </c>
      <c r="T385">
        <f t="shared" si="64"/>
      </c>
      <c r="U385">
        <f t="shared" si="65"/>
      </c>
      <c r="Y385">
        <f t="shared" si="66"/>
      </c>
      <c r="Z385">
        <f>IFERROR(IF(AND(ISNUMBER(A385),A385&gt;=$B$3,A385&lt;EDATE($B$3,1)),COUNTIFS($A$64:$A$500,"&gt;"&amp;A385,$A$64:$A$500,"&lt;"&amp;EDATE($B$3,1))+COUNTIF($A$64:A385,A385),0),0)</f>
        <v>0</v>
      </c>
    </row>
    <row r="386" spans="1:25" ht="28" hidden="1" customHeight="1" outlineLevel="1">
      <c r="A386" s="314"/>
      <c r="B386" s="318"/>
      <c r="C386" s="318"/>
      <c r="D386" s="318"/>
      <c r="E386" s="316"/>
      <c r="F386" s="318"/>
      <c r="G386" s="318"/>
      <c r="H386" s="317">
        <f t="shared" si="59"/>
      </c>
      <c r="I386" s="318">
        <f t="shared" si="60"/>
      </c>
      <c r="J386" s="318"/>
      <c r="K386" s="318"/>
      <c r="L386" s="318"/>
      <c r="P386">
        <f t="shared" si="61"/>
      </c>
      <c r="Q386">
        <f t="shared" si="62"/>
      </c>
      <c r="R386">
        <f>IF(P386="","",TEXT(H386,"yyyymm")&amp;"_"&amp;P386&amp;"_"&amp;(COUNTIFS($H$64:$H$500,H386,$P$64:$P$500,P386,$A$64:$A$500,"&gt;"&amp;A386)+COUNTIFS($H$64:H386,H386,$P$64:P386,P386,$A$64:A386,A386)))</f>
      </c>
      <c r="S386">
        <f t="shared" si="63"/>
      </c>
      <c r="T386">
        <f t="shared" si="64"/>
      </c>
      <c r="U386">
        <f t="shared" si="65"/>
      </c>
      <c r="Y386">
        <f t="shared" si="66"/>
      </c>
      <c r="Z386">
        <f>IFERROR(IF(AND(ISNUMBER(A386),A386&gt;=$B$3,A386&lt;EDATE($B$3,1)),COUNTIFS($A$64:$A$500,"&gt;"&amp;A386,$A$64:$A$500,"&lt;"&amp;EDATE($B$3,1))+COUNTIF($A$64:A386,A386),0),0)</f>
        <v>0</v>
      </c>
    </row>
    <row r="387" spans="1:25" ht="28" hidden="1" customHeight="1" outlineLevel="1">
      <c r="A387" s="314"/>
      <c r="B387" s="318"/>
      <c r="C387" s="318"/>
      <c r="D387" s="318"/>
      <c r="E387" s="316"/>
      <c r="F387" s="318"/>
      <c r="G387" s="318"/>
      <c r="H387" s="317">
        <f t="shared" si="59"/>
      </c>
      <c r="I387" s="318">
        <f t="shared" si="60"/>
      </c>
      <c r="J387" s="318"/>
      <c r="K387" s="318"/>
      <c r="L387" s="318"/>
      <c r="P387">
        <f t="shared" si="61"/>
      </c>
      <c r="Q387">
        <f t="shared" si="62"/>
      </c>
      <c r="R387">
        <f>IF(P387="","",TEXT(H387,"yyyymm")&amp;"_"&amp;P387&amp;"_"&amp;(COUNTIFS($H$64:$H$500,H387,$P$64:$P$500,P387,$A$64:$A$500,"&gt;"&amp;A387)+COUNTIFS($H$64:H387,H387,$P$64:P387,P387,$A$64:A387,A387)))</f>
      </c>
      <c r="S387">
        <f t="shared" si="63"/>
      </c>
      <c r="T387">
        <f t="shared" si="64"/>
      </c>
      <c r="U387">
        <f t="shared" si="65"/>
      </c>
      <c r="Y387">
        <f t="shared" si="66"/>
      </c>
      <c r="Z387">
        <f>IFERROR(IF(AND(ISNUMBER(A387),A387&gt;=$B$3,A387&lt;EDATE($B$3,1)),COUNTIFS($A$64:$A$500,"&gt;"&amp;A387,$A$64:$A$500,"&lt;"&amp;EDATE($B$3,1))+COUNTIF($A$64:A387,A387),0),0)</f>
        <v>0</v>
      </c>
    </row>
    <row r="388" spans="1:25" ht="28" hidden="1" customHeight="1" outlineLevel="1">
      <c r="A388" s="314"/>
      <c r="B388" s="318"/>
      <c r="C388" s="318"/>
      <c r="D388" s="318"/>
      <c r="E388" s="316"/>
      <c r="F388" s="318"/>
      <c r="G388" s="318"/>
      <c r="H388" s="317">
        <f t="shared" si="59"/>
      </c>
      <c r="I388" s="318">
        <f t="shared" si="60"/>
      </c>
      <c r="J388" s="318"/>
      <c r="K388" s="318"/>
      <c r="L388" s="318"/>
      <c r="P388">
        <f t="shared" si="61"/>
      </c>
      <c r="Q388">
        <f t="shared" si="62"/>
      </c>
      <c r="R388">
        <f>IF(P388="","",TEXT(H388,"yyyymm")&amp;"_"&amp;P388&amp;"_"&amp;(COUNTIFS($H$64:$H$500,H388,$P$64:$P$500,P388,$A$64:$A$500,"&gt;"&amp;A388)+COUNTIFS($H$64:H388,H388,$P$64:P388,P388,$A$64:A388,A388)))</f>
      </c>
      <c r="S388">
        <f t="shared" si="63"/>
      </c>
      <c r="T388">
        <f t="shared" si="64"/>
      </c>
      <c r="U388">
        <f t="shared" si="65"/>
      </c>
      <c r="Y388">
        <f t="shared" si="66"/>
      </c>
      <c r="Z388">
        <f>IFERROR(IF(AND(ISNUMBER(A388),A388&gt;=$B$3,A388&lt;EDATE($B$3,1)),COUNTIFS($A$64:$A$500,"&gt;"&amp;A388,$A$64:$A$500,"&lt;"&amp;EDATE($B$3,1))+COUNTIF($A$64:A388,A388),0),0)</f>
        <v>0</v>
      </c>
    </row>
    <row r="389" spans="1:25" ht="28" hidden="1" customHeight="1" outlineLevel="1">
      <c r="A389" s="314"/>
      <c r="B389" s="318"/>
      <c r="C389" s="318"/>
      <c r="D389" s="318"/>
      <c r="E389" s="316"/>
      <c r="F389" s="318"/>
      <c r="G389" s="318"/>
      <c r="H389" s="317">
        <f t="shared" si="59"/>
      </c>
      <c r="I389" s="318">
        <f t="shared" si="60"/>
      </c>
      <c r="J389" s="318"/>
      <c r="K389" s="318"/>
      <c r="L389" s="318"/>
      <c r="P389">
        <f t="shared" si="61"/>
      </c>
      <c r="Q389">
        <f t="shared" si="62"/>
      </c>
      <c r="R389">
        <f>IF(P389="","",TEXT(H389,"yyyymm")&amp;"_"&amp;P389&amp;"_"&amp;(COUNTIFS($H$64:$H$500,H389,$P$64:$P$500,P389,$A$64:$A$500,"&gt;"&amp;A389)+COUNTIFS($H$64:H389,H389,$P$64:P389,P389,$A$64:A389,A389)))</f>
      </c>
      <c r="S389">
        <f t="shared" si="63"/>
      </c>
      <c r="T389">
        <f t="shared" si="64"/>
      </c>
      <c r="U389">
        <f t="shared" si="65"/>
      </c>
      <c r="Y389">
        <f t="shared" si="66"/>
      </c>
      <c r="Z389">
        <f>IFERROR(IF(AND(ISNUMBER(A389),A389&gt;=$B$3,A389&lt;EDATE($B$3,1)),COUNTIFS($A$64:$A$500,"&gt;"&amp;A389,$A$64:$A$500,"&lt;"&amp;EDATE($B$3,1))+COUNTIF($A$64:A389,A389),0),0)</f>
        <v>0</v>
      </c>
    </row>
    <row r="390" spans="1:25" ht="28" hidden="1" customHeight="1" outlineLevel="1">
      <c r="A390" s="314"/>
      <c r="B390" s="318"/>
      <c r="C390" s="318"/>
      <c r="D390" s="318"/>
      <c r="E390" s="316"/>
      <c r="F390" s="318"/>
      <c r="G390" s="318"/>
      <c r="H390" s="317">
        <f t="shared" si="59"/>
      </c>
      <c r="I390" s="318">
        <f t="shared" si="60"/>
      </c>
      <c r="J390" s="318"/>
      <c r="K390" s="318"/>
      <c r="L390" s="318"/>
      <c r="P390">
        <f t="shared" si="61"/>
      </c>
      <c r="Q390">
        <f t="shared" si="62"/>
      </c>
      <c r="R390">
        <f>IF(P390="","",TEXT(H390,"yyyymm")&amp;"_"&amp;P390&amp;"_"&amp;(COUNTIFS($H$64:$H$500,H390,$P$64:$P$500,P390,$A$64:$A$500,"&gt;"&amp;A390)+COUNTIFS($H$64:H390,H390,$P$64:P390,P390,$A$64:A390,A390)))</f>
      </c>
      <c r="S390">
        <f t="shared" si="63"/>
      </c>
      <c r="T390">
        <f t="shared" si="64"/>
      </c>
      <c r="U390">
        <f t="shared" si="65"/>
      </c>
      <c r="Y390">
        <f t="shared" si="66"/>
      </c>
      <c r="Z390">
        <f>IFERROR(IF(AND(ISNUMBER(A390),A390&gt;=$B$3,A390&lt;EDATE($B$3,1)),COUNTIFS($A$64:$A$500,"&gt;"&amp;A390,$A$64:$A$500,"&lt;"&amp;EDATE($B$3,1))+COUNTIF($A$64:A390,A390),0),0)</f>
        <v>0</v>
      </c>
    </row>
    <row r="391" spans="1:25" ht="28" hidden="1" customHeight="1" outlineLevel="1">
      <c r="A391" s="314"/>
      <c r="B391" s="318"/>
      <c r="C391" s="318"/>
      <c r="D391" s="318"/>
      <c r="E391" s="316"/>
      <c r="F391" s="318"/>
      <c r="G391" s="318"/>
      <c r="H391" s="317">
        <f t="shared" si="59"/>
      </c>
      <c r="I391" s="318">
        <f t="shared" si="60"/>
      </c>
      <c r="J391" s="318"/>
      <c r="K391" s="318"/>
      <c r="L391" s="318"/>
      <c r="P391">
        <f t="shared" si="61"/>
      </c>
      <c r="Q391">
        <f t="shared" si="62"/>
      </c>
      <c r="R391">
        <f>IF(P391="","",TEXT(H391,"yyyymm")&amp;"_"&amp;P391&amp;"_"&amp;(COUNTIFS($H$64:$H$500,H391,$P$64:$P$500,P391,$A$64:$A$500,"&gt;"&amp;A391)+COUNTIFS($H$64:H391,H391,$P$64:P391,P391,$A$64:A391,A391)))</f>
      </c>
      <c r="S391">
        <f t="shared" si="63"/>
      </c>
      <c r="T391">
        <f t="shared" si="64"/>
      </c>
      <c r="U391">
        <f t="shared" si="65"/>
      </c>
      <c r="Y391">
        <f t="shared" si="66"/>
      </c>
      <c r="Z391">
        <f>IFERROR(IF(AND(ISNUMBER(A391),A391&gt;=$B$3,A391&lt;EDATE($B$3,1)),COUNTIFS($A$64:$A$500,"&gt;"&amp;A391,$A$64:$A$500,"&lt;"&amp;EDATE($B$3,1))+COUNTIF($A$64:A391,A391),0),0)</f>
        <v>0</v>
      </c>
    </row>
    <row r="392" spans="1:25" ht="28" hidden="1" customHeight="1" outlineLevel="1">
      <c r="A392" s="314"/>
      <c r="B392" s="318"/>
      <c r="C392" s="318"/>
      <c r="D392" s="318"/>
      <c r="E392" s="316"/>
      <c r="F392" s="318"/>
      <c r="G392" s="318"/>
      <c r="H392" s="317">
        <f t="shared" si="59"/>
      </c>
      <c r="I392" s="318">
        <f t="shared" si="60"/>
      </c>
      <c r="J392" s="318"/>
      <c r="K392" s="318"/>
      <c r="L392" s="318"/>
      <c r="P392">
        <f t="shared" si="61"/>
      </c>
      <c r="Q392">
        <f t="shared" si="62"/>
      </c>
      <c r="R392">
        <f>IF(P392="","",TEXT(H392,"yyyymm")&amp;"_"&amp;P392&amp;"_"&amp;(COUNTIFS($H$64:$H$500,H392,$P$64:$P$500,P392,$A$64:$A$500,"&gt;"&amp;A392)+COUNTIFS($H$64:H392,H392,$P$64:P392,P392,$A$64:A392,A392)))</f>
      </c>
      <c r="S392">
        <f t="shared" si="63"/>
      </c>
      <c r="T392">
        <f t="shared" si="64"/>
      </c>
      <c r="U392">
        <f t="shared" si="65"/>
      </c>
      <c r="Y392">
        <f t="shared" si="66"/>
      </c>
      <c r="Z392">
        <f>IFERROR(IF(AND(ISNUMBER(A392),A392&gt;=$B$3,A392&lt;EDATE($B$3,1)),COUNTIFS($A$64:$A$500,"&gt;"&amp;A392,$A$64:$A$500,"&lt;"&amp;EDATE($B$3,1))+COUNTIF($A$64:A392,A392),0),0)</f>
        <v>0</v>
      </c>
    </row>
    <row r="393" spans="1:25" ht="28" hidden="1" customHeight="1" outlineLevel="1">
      <c r="A393" s="314"/>
      <c r="B393" s="318"/>
      <c r="C393" s="318"/>
      <c r="D393" s="318"/>
      <c r="E393" s="316"/>
      <c r="F393" s="318"/>
      <c r="G393" s="318"/>
      <c r="H393" s="317">
        <f t="shared" si="59"/>
      </c>
      <c r="I393" s="318">
        <f t="shared" si="60"/>
      </c>
      <c r="J393" s="318"/>
      <c r="K393" s="318"/>
      <c r="L393" s="318"/>
      <c r="P393">
        <f t="shared" si="61"/>
      </c>
      <c r="Q393">
        <f t="shared" si="62"/>
      </c>
      <c r="R393">
        <f>IF(P393="","",TEXT(H393,"yyyymm")&amp;"_"&amp;P393&amp;"_"&amp;(COUNTIFS($H$64:$H$500,H393,$P$64:$P$500,P393,$A$64:$A$500,"&gt;"&amp;A393)+COUNTIFS($H$64:H393,H393,$P$64:P393,P393,$A$64:A393,A393)))</f>
      </c>
      <c r="S393">
        <f t="shared" si="63"/>
      </c>
      <c r="T393">
        <f t="shared" si="64"/>
      </c>
      <c r="U393">
        <f t="shared" si="65"/>
      </c>
      <c r="Y393">
        <f t="shared" si="66"/>
      </c>
      <c r="Z393">
        <f>IFERROR(IF(AND(ISNUMBER(A393),A393&gt;=$B$3,A393&lt;EDATE($B$3,1)),COUNTIFS($A$64:$A$500,"&gt;"&amp;A393,$A$64:$A$500,"&lt;"&amp;EDATE($B$3,1))+COUNTIF($A$64:A393,A393),0),0)</f>
        <v>0</v>
      </c>
    </row>
    <row r="394" spans="1:25" ht="28" hidden="1" customHeight="1" outlineLevel="1">
      <c r="A394" s="314"/>
      <c r="B394" s="318"/>
      <c r="C394" s="318"/>
      <c r="D394" s="318"/>
      <c r="E394" s="316"/>
      <c r="F394" s="318"/>
      <c r="G394" s="318"/>
      <c r="H394" s="317">
        <f t="shared" si="59"/>
      </c>
      <c r="I394" s="318">
        <f t="shared" si="60"/>
      </c>
      <c r="J394" s="318"/>
      <c r="K394" s="318"/>
      <c r="L394" s="318"/>
      <c r="P394">
        <f t="shared" si="61"/>
      </c>
      <c r="Q394">
        <f t="shared" si="62"/>
      </c>
      <c r="R394">
        <f>IF(P394="","",TEXT(H394,"yyyymm")&amp;"_"&amp;P394&amp;"_"&amp;(COUNTIFS($H$64:$H$500,H394,$P$64:$P$500,P394,$A$64:$A$500,"&gt;"&amp;A394)+COUNTIFS($H$64:H394,H394,$P$64:P394,P394,$A$64:A394,A394)))</f>
      </c>
      <c r="S394">
        <f t="shared" si="63"/>
      </c>
      <c r="T394">
        <f t="shared" si="64"/>
      </c>
      <c r="U394">
        <f t="shared" si="65"/>
      </c>
      <c r="Y394">
        <f t="shared" si="66"/>
      </c>
      <c r="Z394">
        <f>IFERROR(IF(AND(ISNUMBER(A394),A394&gt;=$B$3,A394&lt;EDATE($B$3,1)),COUNTIFS($A$64:$A$500,"&gt;"&amp;A394,$A$64:$A$500,"&lt;"&amp;EDATE($B$3,1))+COUNTIF($A$64:A394,A394),0),0)</f>
        <v>0</v>
      </c>
    </row>
    <row r="395" spans="1:25" ht="28" hidden="1" customHeight="1" outlineLevel="1">
      <c r="A395" s="314"/>
      <c r="B395" s="318"/>
      <c r="C395" s="318"/>
      <c r="D395" s="318"/>
      <c r="E395" s="316"/>
      <c r="F395" s="318"/>
      <c r="G395" s="318"/>
      <c r="H395" s="317">
        <f t="shared" si="59"/>
      </c>
      <c r="I395" s="318">
        <f t="shared" si="60"/>
      </c>
      <c r="J395" s="318"/>
      <c r="K395" s="318"/>
      <c r="L395" s="318"/>
      <c r="P395">
        <f t="shared" si="61"/>
      </c>
      <c r="Q395">
        <f t="shared" si="62"/>
      </c>
      <c r="R395">
        <f>IF(P395="","",TEXT(H395,"yyyymm")&amp;"_"&amp;P395&amp;"_"&amp;(COUNTIFS($H$64:$H$500,H395,$P$64:$P$500,P395,$A$64:$A$500,"&gt;"&amp;A395)+COUNTIFS($H$64:H395,H395,$P$64:P395,P395,$A$64:A395,A395)))</f>
      </c>
      <c r="S395">
        <f t="shared" si="63"/>
      </c>
      <c r="T395">
        <f t="shared" si="64"/>
      </c>
      <c r="U395">
        <f t="shared" si="65"/>
      </c>
      <c r="Y395">
        <f t="shared" si="66"/>
      </c>
      <c r="Z395">
        <f>IFERROR(IF(AND(ISNUMBER(A395),A395&gt;=$B$3,A395&lt;EDATE($B$3,1)),COUNTIFS($A$64:$A$500,"&gt;"&amp;A395,$A$64:$A$500,"&lt;"&amp;EDATE($B$3,1))+COUNTIF($A$64:A395,A395),0),0)</f>
        <v>0</v>
      </c>
    </row>
    <row r="396" spans="1:25" ht="28" hidden="1" customHeight="1" outlineLevel="1">
      <c r="A396" s="314"/>
      <c r="B396" s="318"/>
      <c r="C396" s="318"/>
      <c r="D396" s="318"/>
      <c r="E396" s="316"/>
      <c r="F396" s="318"/>
      <c r="G396" s="318"/>
      <c r="H396" s="317">
        <f t="shared" si="59"/>
      </c>
      <c r="I396" s="318">
        <f t="shared" si="60"/>
      </c>
      <c r="J396" s="318"/>
      <c r="K396" s="318"/>
      <c r="L396" s="318"/>
      <c r="P396">
        <f t="shared" si="61"/>
      </c>
      <c r="Q396">
        <f t="shared" si="62"/>
      </c>
      <c r="R396">
        <f>IF(P396="","",TEXT(H396,"yyyymm")&amp;"_"&amp;P396&amp;"_"&amp;(COUNTIFS($H$64:$H$500,H396,$P$64:$P$500,P396,$A$64:$A$500,"&gt;"&amp;A396)+COUNTIFS($H$64:H396,H396,$P$64:P396,P396,$A$64:A396,A396)))</f>
      </c>
      <c r="S396">
        <f t="shared" si="63"/>
      </c>
      <c r="T396">
        <f t="shared" si="64"/>
      </c>
      <c r="U396">
        <f t="shared" si="65"/>
      </c>
      <c r="Y396">
        <f t="shared" si="66"/>
      </c>
      <c r="Z396">
        <f>IFERROR(IF(AND(ISNUMBER(A396),A396&gt;=$B$3,A396&lt;EDATE($B$3,1)),COUNTIFS($A$64:$A$500,"&gt;"&amp;A396,$A$64:$A$500,"&lt;"&amp;EDATE($B$3,1))+COUNTIF($A$64:A396,A396),0),0)</f>
        <v>0</v>
      </c>
    </row>
    <row r="397" spans="1:25" ht="28" hidden="1" customHeight="1" outlineLevel="1">
      <c r="A397" s="314"/>
      <c r="B397" s="318"/>
      <c r="C397" s="318"/>
      <c r="D397" s="318"/>
      <c r="E397" s="316"/>
      <c r="F397" s="318"/>
      <c r="G397" s="318"/>
      <c r="H397" s="317">
        <f t="shared" si="59"/>
      </c>
      <c r="I397" s="318">
        <f t="shared" si="60"/>
      </c>
      <c r="J397" s="318"/>
      <c r="K397" s="318"/>
      <c r="L397" s="318"/>
      <c r="P397">
        <f t="shared" si="61"/>
      </c>
      <c r="Q397">
        <f t="shared" si="62"/>
      </c>
      <c r="R397">
        <f>IF(P397="","",TEXT(H397,"yyyymm")&amp;"_"&amp;P397&amp;"_"&amp;(COUNTIFS($H$64:$H$500,H397,$P$64:$P$500,P397,$A$64:$A$500,"&gt;"&amp;A397)+COUNTIFS($H$64:H397,H397,$P$64:P397,P397,$A$64:A397,A397)))</f>
      </c>
      <c r="S397">
        <f t="shared" si="63"/>
      </c>
      <c r="T397">
        <f t="shared" si="64"/>
      </c>
      <c r="U397">
        <f t="shared" si="65"/>
      </c>
      <c r="Y397">
        <f t="shared" si="66"/>
      </c>
      <c r="Z397">
        <f>IFERROR(IF(AND(ISNUMBER(A397),A397&gt;=$B$3,A397&lt;EDATE($B$3,1)),COUNTIFS($A$64:$A$500,"&gt;"&amp;A397,$A$64:$A$500,"&lt;"&amp;EDATE($B$3,1))+COUNTIF($A$64:A397,A397),0),0)</f>
        <v>0</v>
      </c>
    </row>
    <row r="398" spans="1:25" ht="28" hidden="1" customHeight="1" outlineLevel="1">
      <c r="A398" s="314"/>
      <c r="B398" s="318"/>
      <c r="C398" s="318"/>
      <c r="D398" s="318"/>
      <c r="E398" s="316"/>
      <c r="F398" s="318"/>
      <c r="G398" s="318"/>
      <c r="H398" s="317">
        <f t="shared" si="59"/>
      </c>
      <c r="I398" s="318">
        <f t="shared" si="60"/>
      </c>
      <c r="J398" s="318"/>
      <c r="K398" s="318"/>
      <c r="L398" s="318"/>
      <c r="P398">
        <f t="shared" si="61"/>
      </c>
      <c r="Q398">
        <f t="shared" si="62"/>
      </c>
      <c r="R398">
        <f>IF(P398="","",TEXT(H398,"yyyymm")&amp;"_"&amp;P398&amp;"_"&amp;(COUNTIFS($H$64:$H$500,H398,$P$64:$P$500,P398,$A$64:$A$500,"&gt;"&amp;A398)+COUNTIFS($H$64:H398,H398,$P$64:P398,P398,$A$64:A398,A398)))</f>
      </c>
      <c r="S398">
        <f t="shared" si="63"/>
      </c>
      <c r="T398">
        <f t="shared" si="64"/>
      </c>
      <c r="U398">
        <f t="shared" si="65"/>
      </c>
      <c r="Y398">
        <f t="shared" si="66"/>
      </c>
      <c r="Z398">
        <f>IFERROR(IF(AND(ISNUMBER(A398),A398&gt;=$B$3,A398&lt;EDATE($B$3,1)),COUNTIFS($A$64:$A$500,"&gt;"&amp;A398,$A$64:$A$500,"&lt;"&amp;EDATE($B$3,1))+COUNTIF($A$64:A398,A398),0),0)</f>
        <v>0</v>
      </c>
    </row>
    <row r="399" spans="1:25" ht="28" hidden="1" customHeight="1" outlineLevel="1">
      <c r="A399" s="314"/>
      <c r="B399" s="318"/>
      <c r="C399" s="318"/>
      <c r="D399" s="318"/>
      <c r="E399" s="316"/>
      <c r="F399" s="318"/>
      <c r="G399" s="318"/>
      <c r="H399" s="317">
        <f t="shared" si="59"/>
      </c>
      <c r="I399" s="318">
        <f t="shared" si="60"/>
      </c>
      <c r="J399" s="318"/>
      <c r="K399" s="318"/>
      <c r="L399" s="318"/>
      <c r="P399">
        <f t="shared" si="61"/>
      </c>
      <c r="Q399">
        <f t="shared" si="62"/>
      </c>
      <c r="R399">
        <f>IF(P399="","",TEXT(H399,"yyyymm")&amp;"_"&amp;P399&amp;"_"&amp;(COUNTIFS($H$64:$H$500,H399,$P$64:$P$500,P399,$A$64:$A$500,"&gt;"&amp;A399)+COUNTIFS($H$64:H399,H399,$P$64:P399,P399,$A$64:A399,A399)))</f>
      </c>
      <c r="S399">
        <f t="shared" si="63"/>
      </c>
      <c r="T399">
        <f t="shared" si="64"/>
      </c>
      <c r="U399">
        <f t="shared" si="65"/>
      </c>
      <c r="Y399">
        <f t="shared" si="66"/>
      </c>
      <c r="Z399">
        <f>IFERROR(IF(AND(ISNUMBER(A399),A399&gt;=$B$3,A399&lt;EDATE($B$3,1)),COUNTIFS($A$64:$A$500,"&gt;"&amp;A399,$A$64:$A$500,"&lt;"&amp;EDATE($B$3,1))+COUNTIF($A$64:A399,A399),0),0)</f>
        <v>0</v>
      </c>
    </row>
    <row r="400" spans="1:25" ht="28" hidden="1" customHeight="1" outlineLevel="1">
      <c r="A400" s="314"/>
      <c r="B400" s="318"/>
      <c r="C400" s="318"/>
      <c r="D400" s="318"/>
      <c r="E400" s="316"/>
      <c r="F400" s="318"/>
      <c r="G400" s="318"/>
      <c r="H400" s="317">
        <f t="shared" si="59"/>
      </c>
      <c r="I400" s="318">
        <f t="shared" si="60"/>
      </c>
      <c r="J400" s="318"/>
      <c r="K400" s="318"/>
      <c r="L400" s="318"/>
      <c r="P400">
        <f t="shared" si="61"/>
      </c>
      <c r="Q400">
        <f t="shared" si="62"/>
      </c>
      <c r="R400">
        <f>IF(P400="","",TEXT(H400,"yyyymm")&amp;"_"&amp;P400&amp;"_"&amp;(COUNTIFS($H$64:$H$500,H400,$P$64:$P$500,P400,$A$64:$A$500,"&gt;"&amp;A400)+COUNTIFS($H$64:H400,H400,$P$64:P400,P400,$A$64:A400,A400)))</f>
      </c>
      <c r="S400">
        <f t="shared" si="63"/>
      </c>
      <c r="T400">
        <f t="shared" si="64"/>
      </c>
      <c r="U400">
        <f t="shared" si="65"/>
      </c>
      <c r="Y400">
        <f t="shared" si="66"/>
      </c>
      <c r="Z400">
        <f>IFERROR(IF(AND(ISNUMBER(A400),A400&gt;=$B$3,A400&lt;EDATE($B$3,1)),COUNTIFS($A$64:$A$500,"&gt;"&amp;A400,$A$64:$A$500,"&lt;"&amp;EDATE($B$3,1))+COUNTIF($A$64:A400,A400),0),0)</f>
        <v>0</v>
      </c>
    </row>
    <row r="401" spans="1:25" ht="28" hidden="1" customHeight="1" outlineLevel="1">
      <c r="A401" s="314"/>
      <c r="B401" s="318"/>
      <c r="C401" s="318"/>
      <c r="D401" s="318"/>
      <c r="E401" s="316"/>
      <c r="F401" s="318"/>
      <c r="G401" s="318"/>
      <c r="H401" s="317">
        <f t="shared" si="59"/>
      </c>
      <c r="I401" s="318">
        <f t="shared" si="60"/>
      </c>
      <c r="J401" s="318"/>
      <c r="K401" s="318"/>
      <c r="L401" s="318"/>
      <c r="P401">
        <f t="shared" si="61"/>
      </c>
      <c r="Q401">
        <f t="shared" si="62"/>
      </c>
      <c r="R401">
        <f>IF(P401="","",TEXT(H401,"yyyymm")&amp;"_"&amp;P401&amp;"_"&amp;(COUNTIFS($H$64:$H$500,H401,$P$64:$P$500,P401,$A$64:$A$500,"&gt;"&amp;A401)+COUNTIFS($H$64:H401,H401,$P$64:P401,P401,$A$64:A401,A401)))</f>
      </c>
      <c r="S401">
        <f t="shared" si="63"/>
      </c>
      <c r="T401">
        <f t="shared" si="64"/>
      </c>
      <c r="U401">
        <f t="shared" si="65"/>
      </c>
      <c r="Y401">
        <f t="shared" si="66"/>
      </c>
      <c r="Z401">
        <f>IFERROR(IF(AND(ISNUMBER(A401),A401&gt;=$B$3,A401&lt;EDATE($B$3,1)),COUNTIFS($A$64:$A$500,"&gt;"&amp;A401,$A$64:$A$500,"&lt;"&amp;EDATE($B$3,1))+COUNTIF($A$64:A401,A401),0),0)</f>
        <v>0</v>
      </c>
    </row>
    <row r="402" spans="1:25" ht="28" hidden="1" customHeight="1" outlineLevel="1">
      <c r="A402" s="314"/>
      <c r="B402" s="318"/>
      <c r="C402" s="318"/>
      <c r="D402" s="318"/>
      <c r="E402" s="316"/>
      <c r="F402" s="318"/>
      <c r="G402" s="318"/>
      <c r="H402" s="317">
        <f t="shared" si="59"/>
      </c>
      <c r="I402" s="318">
        <f t="shared" si="60"/>
      </c>
      <c r="J402" s="318"/>
      <c r="K402" s="318"/>
      <c r="L402" s="318"/>
      <c r="P402">
        <f t="shared" si="61"/>
      </c>
      <c r="Q402">
        <f t="shared" si="62"/>
      </c>
      <c r="R402">
        <f>IF(P402="","",TEXT(H402,"yyyymm")&amp;"_"&amp;P402&amp;"_"&amp;(COUNTIFS($H$64:$H$500,H402,$P$64:$P$500,P402,$A$64:$A$500,"&gt;"&amp;A402)+COUNTIFS($H$64:H402,H402,$P$64:P402,P402,$A$64:A402,A402)))</f>
      </c>
      <c r="S402">
        <f t="shared" si="63"/>
      </c>
      <c r="T402">
        <f t="shared" si="64"/>
      </c>
      <c r="U402">
        <f t="shared" si="65"/>
      </c>
      <c r="Y402">
        <f t="shared" si="66"/>
      </c>
      <c r="Z402">
        <f>IFERROR(IF(AND(ISNUMBER(A402),A402&gt;=$B$3,A402&lt;EDATE($B$3,1)),COUNTIFS($A$64:$A$500,"&gt;"&amp;A402,$A$64:$A$500,"&lt;"&amp;EDATE($B$3,1))+COUNTIF($A$64:A402,A402),0),0)</f>
        <v>0</v>
      </c>
    </row>
    <row r="403" spans="1:25" ht="28" hidden="1" customHeight="1" outlineLevel="1">
      <c r="A403" s="314"/>
      <c r="B403" s="318"/>
      <c r="C403" s="318"/>
      <c r="D403" s="318"/>
      <c r="E403" s="316"/>
      <c r="F403" s="318"/>
      <c r="G403" s="318"/>
      <c r="H403" s="317">
        <f t="shared" si="59"/>
      </c>
      <c r="I403" s="318">
        <f t="shared" si="60"/>
      </c>
      <c r="J403" s="318"/>
      <c r="K403" s="318"/>
      <c r="L403" s="318"/>
      <c r="P403">
        <f t="shared" si="61"/>
      </c>
      <c r="Q403">
        <f t="shared" si="62"/>
      </c>
      <c r="R403">
        <f>IF(P403="","",TEXT(H403,"yyyymm")&amp;"_"&amp;P403&amp;"_"&amp;(COUNTIFS($H$64:$H$500,H403,$P$64:$P$500,P403,$A$64:$A$500,"&gt;"&amp;A403)+COUNTIFS($H$64:H403,H403,$P$64:P403,P403,$A$64:A403,A403)))</f>
      </c>
      <c r="S403">
        <f t="shared" si="63"/>
      </c>
      <c r="T403">
        <f t="shared" si="64"/>
      </c>
      <c r="U403">
        <f t="shared" si="65"/>
      </c>
      <c r="Y403">
        <f t="shared" si="66"/>
      </c>
      <c r="Z403">
        <f>IFERROR(IF(AND(ISNUMBER(A403),A403&gt;=$B$3,A403&lt;EDATE($B$3,1)),COUNTIFS($A$64:$A$500,"&gt;"&amp;A403,$A$64:$A$500,"&lt;"&amp;EDATE($B$3,1))+COUNTIF($A$64:A403,A403),0),0)</f>
        <v>0</v>
      </c>
    </row>
    <row r="404" spans="1:25" ht="28" hidden="1" customHeight="1" outlineLevel="1">
      <c r="A404" s="314"/>
      <c r="B404" s="318"/>
      <c r="C404" s="318"/>
      <c r="D404" s="318"/>
      <c r="E404" s="316"/>
      <c r="F404" s="318"/>
      <c r="G404" s="318"/>
      <c r="H404" s="317">
        <f t="shared" si="59"/>
      </c>
      <c r="I404" s="318">
        <f t="shared" si="60"/>
      </c>
      <c r="J404" s="318"/>
      <c r="K404" s="318"/>
      <c r="L404" s="318"/>
      <c r="P404">
        <f t="shared" si="61"/>
      </c>
      <c r="Q404">
        <f t="shared" si="62"/>
      </c>
      <c r="R404">
        <f>IF(P404="","",TEXT(H404,"yyyymm")&amp;"_"&amp;P404&amp;"_"&amp;(COUNTIFS($H$64:$H$500,H404,$P$64:$P$500,P404,$A$64:$A$500,"&gt;"&amp;A404)+COUNTIFS($H$64:H404,H404,$P$64:P404,P404,$A$64:A404,A404)))</f>
      </c>
      <c r="S404">
        <f t="shared" si="63"/>
      </c>
      <c r="T404">
        <f t="shared" si="64"/>
      </c>
      <c r="U404">
        <f t="shared" si="65"/>
      </c>
      <c r="Y404">
        <f t="shared" si="66"/>
      </c>
      <c r="Z404">
        <f>IFERROR(IF(AND(ISNUMBER(A404),A404&gt;=$B$3,A404&lt;EDATE($B$3,1)),COUNTIFS($A$64:$A$500,"&gt;"&amp;A404,$A$64:$A$500,"&lt;"&amp;EDATE($B$3,1))+COUNTIF($A$64:A404,A404),0),0)</f>
        <v>0</v>
      </c>
    </row>
    <row r="405" spans="1:25" ht="28" hidden="1" customHeight="1" outlineLevel="1">
      <c r="A405" s="314"/>
      <c r="B405" s="318"/>
      <c r="C405" s="318"/>
      <c r="D405" s="318"/>
      <c r="E405" s="316"/>
      <c r="F405" s="318"/>
      <c r="G405" s="318"/>
      <c r="H405" s="317">
        <f t="shared" si="59"/>
      </c>
      <c r="I405" s="318">
        <f t="shared" si="60"/>
      </c>
      <c r="J405" s="318"/>
      <c r="K405" s="318"/>
      <c r="L405" s="318"/>
      <c r="P405">
        <f t="shared" si="61"/>
      </c>
      <c r="Q405">
        <f t="shared" si="62"/>
      </c>
      <c r="R405">
        <f>IF(P405="","",TEXT(H405,"yyyymm")&amp;"_"&amp;P405&amp;"_"&amp;(COUNTIFS($H$64:$H$500,H405,$P$64:$P$500,P405,$A$64:$A$500,"&gt;"&amp;A405)+COUNTIFS($H$64:H405,H405,$P$64:P405,P405,$A$64:A405,A405)))</f>
      </c>
      <c r="S405">
        <f t="shared" si="63"/>
      </c>
      <c r="T405">
        <f t="shared" si="64"/>
      </c>
      <c r="U405">
        <f t="shared" si="65"/>
      </c>
      <c r="Y405">
        <f t="shared" si="66"/>
      </c>
      <c r="Z405">
        <f>IFERROR(IF(AND(ISNUMBER(A405),A405&gt;=$B$3,A405&lt;EDATE($B$3,1)),COUNTIFS($A$64:$A$500,"&gt;"&amp;A405,$A$64:$A$500,"&lt;"&amp;EDATE($B$3,1))+COUNTIF($A$64:A405,A405),0),0)</f>
        <v>0</v>
      </c>
    </row>
    <row r="406" spans="1:25" ht="28" hidden="1" customHeight="1" outlineLevel="1">
      <c r="A406" s="314"/>
      <c r="B406" s="318"/>
      <c r="C406" s="318"/>
      <c r="D406" s="318"/>
      <c r="E406" s="316"/>
      <c r="F406" s="318"/>
      <c r="G406" s="318"/>
      <c r="H406" s="317">
        <f t="shared" si="59"/>
      </c>
      <c r="I406" s="318">
        <f t="shared" si="60"/>
      </c>
      <c r="J406" s="318"/>
      <c r="K406" s="318"/>
      <c r="L406" s="318"/>
      <c r="P406">
        <f t="shared" si="61"/>
      </c>
      <c r="Q406">
        <f t="shared" si="62"/>
      </c>
      <c r="R406">
        <f>IF(P406="","",TEXT(H406,"yyyymm")&amp;"_"&amp;P406&amp;"_"&amp;(COUNTIFS($H$64:$H$500,H406,$P$64:$P$500,P406,$A$64:$A$500,"&gt;"&amp;A406)+COUNTIFS($H$64:H406,H406,$P$64:P406,P406,$A$64:A406,A406)))</f>
      </c>
      <c r="S406">
        <f t="shared" si="63"/>
      </c>
      <c r="T406">
        <f t="shared" si="64"/>
      </c>
      <c r="U406">
        <f t="shared" si="65"/>
      </c>
      <c r="Y406">
        <f t="shared" si="66"/>
      </c>
      <c r="Z406">
        <f>IFERROR(IF(AND(ISNUMBER(A406),A406&gt;=$B$3,A406&lt;EDATE($B$3,1)),COUNTIFS($A$64:$A$500,"&gt;"&amp;A406,$A$64:$A$500,"&lt;"&amp;EDATE($B$3,1))+COUNTIF($A$64:A406,A406),0),0)</f>
        <v>0</v>
      </c>
    </row>
    <row r="407" spans="1:25" ht="28" hidden="1" customHeight="1" outlineLevel="1">
      <c r="A407" s="314"/>
      <c r="B407" s="318"/>
      <c r="C407" s="318"/>
      <c r="D407" s="318"/>
      <c r="E407" s="316"/>
      <c r="F407" s="318"/>
      <c r="G407" s="318"/>
      <c r="H407" s="317">
        <f t="shared" si="59"/>
      </c>
      <c r="I407" s="318">
        <f t="shared" si="60"/>
      </c>
      <c r="J407" s="318"/>
      <c r="K407" s="318"/>
      <c r="L407" s="318"/>
      <c r="P407">
        <f t="shared" si="61"/>
      </c>
      <c r="Q407">
        <f t="shared" si="62"/>
      </c>
      <c r="R407">
        <f>IF(P407="","",TEXT(H407,"yyyymm")&amp;"_"&amp;P407&amp;"_"&amp;(COUNTIFS($H$64:$H$500,H407,$P$64:$P$500,P407,$A$64:$A$500,"&gt;"&amp;A407)+COUNTIFS($H$64:H407,H407,$P$64:P407,P407,$A$64:A407,A407)))</f>
      </c>
      <c r="S407">
        <f t="shared" si="63"/>
      </c>
      <c r="T407">
        <f t="shared" si="64"/>
      </c>
      <c r="U407">
        <f t="shared" si="65"/>
      </c>
      <c r="Y407">
        <f t="shared" si="66"/>
      </c>
      <c r="Z407">
        <f>IFERROR(IF(AND(ISNUMBER(A407),A407&gt;=$B$3,A407&lt;EDATE($B$3,1)),COUNTIFS($A$64:$A$500,"&gt;"&amp;A407,$A$64:$A$500,"&lt;"&amp;EDATE($B$3,1))+COUNTIF($A$64:A407,A407),0),0)</f>
        <v>0</v>
      </c>
    </row>
    <row r="408" spans="1:25" ht="28" hidden="1" customHeight="1" outlineLevel="1">
      <c r="A408" s="314"/>
      <c r="B408" s="318"/>
      <c r="C408" s="318"/>
      <c r="D408" s="318"/>
      <c r="E408" s="316"/>
      <c r="F408" s="318"/>
      <c r="G408" s="318"/>
      <c r="H408" s="317">
        <f t="shared" si="59"/>
      </c>
      <c r="I408" s="318">
        <f t="shared" si="60"/>
      </c>
      <c r="J408" s="318"/>
      <c r="K408" s="318"/>
      <c r="L408" s="318"/>
      <c r="P408">
        <f t="shared" si="61"/>
      </c>
      <c r="Q408">
        <f t="shared" si="62"/>
      </c>
      <c r="R408">
        <f>IF(P408="","",TEXT(H408,"yyyymm")&amp;"_"&amp;P408&amp;"_"&amp;(COUNTIFS($H$64:$H$500,H408,$P$64:$P$500,P408,$A$64:$A$500,"&gt;"&amp;A408)+COUNTIFS($H$64:H408,H408,$P$64:P408,P408,$A$64:A408,A408)))</f>
      </c>
      <c r="S408">
        <f t="shared" si="63"/>
      </c>
      <c r="T408">
        <f t="shared" si="64"/>
      </c>
      <c r="U408">
        <f t="shared" si="65"/>
      </c>
      <c r="Y408">
        <f t="shared" si="66"/>
      </c>
      <c r="Z408">
        <f>IFERROR(IF(AND(ISNUMBER(A408),A408&gt;=$B$3,A408&lt;EDATE($B$3,1)),COUNTIFS($A$64:$A$500,"&gt;"&amp;A408,$A$64:$A$500,"&lt;"&amp;EDATE($B$3,1))+COUNTIF($A$64:A408,A408),0),0)</f>
        <v>0</v>
      </c>
    </row>
    <row r="409" spans="1:25" ht="28" hidden="1" customHeight="1" outlineLevel="1">
      <c r="A409" s="314"/>
      <c r="B409" s="318"/>
      <c r="C409" s="318"/>
      <c r="D409" s="318"/>
      <c r="E409" s="316"/>
      <c r="F409" s="318"/>
      <c r="G409" s="318"/>
      <c r="H409" s="317">
        <f t="shared" si="59"/>
      </c>
      <c r="I409" s="318">
        <f t="shared" si="60"/>
      </c>
      <c r="J409" s="318"/>
      <c r="K409" s="318"/>
      <c r="L409" s="318"/>
      <c r="P409">
        <f t="shared" si="61"/>
      </c>
      <c r="Q409">
        <f t="shared" si="62"/>
      </c>
      <c r="R409">
        <f>IF(P409="","",TEXT(H409,"yyyymm")&amp;"_"&amp;P409&amp;"_"&amp;(COUNTIFS($H$64:$H$500,H409,$P$64:$P$500,P409,$A$64:$A$500,"&gt;"&amp;A409)+COUNTIFS($H$64:H409,H409,$P$64:P409,P409,$A$64:A409,A409)))</f>
      </c>
      <c r="S409">
        <f t="shared" si="63"/>
      </c>
      <c r="T409">
        <f t="shared" si="64"/>
      </c>
      <c r="U409">
        <f t="shared" si="65"/>
      </c>
      <c r="Y409">
        <f t="shared" si="66"/>
      </c>
      <c r="Z409">
        <f>IFERROR(IF(AND(ISNUMBER(A409),A409&gt;=$B$3,A409&lt;EDATE($B$3,1)),COUNTIFS($A$64:$A$500,"&gt;"&amp;A409,$A$64:$A$500,"&lt;"&amp;EDATE($B$3,1))+COUNTIF($A$64:A409,A409),0),0)</f>
        <v>0</v>
      </c>
    </row>
    <row r="410" spans="1:25" ht="28" hidden="1" customHeight="1" outlineLevel="1">
      <c r="A410" s="314"/>
      <c r="B410" s="318"/>
      <c r="C410" s="318"/>
      <c r="D410" s="318"/>
      <c r="E410" s="316"/>
      <c r="F410" s="318"/>
      <c r="G410" s="318"/>
      <c r="H410" s="317">
        <f t="shared" si="59"/>
      </c>
      <c r="I410" s="318">
        <f t="shared" si="60"/>
      </c>
      <c r="J410" s="318"/>
      <c r="K410" s="318"/>
      <c r="L410" s="318"/>
      <c r="P410">
        <f t="shared" si="61"/>
      </c>
      <c r="Q410">
        <f t="shared" si="62"/>
      </c>
      <c r="R410">
        <f>IF(P410="","",TEXT(H410,"yyyymm")&amp;"_"&amp;P410&amp;"_"&amp;(COUNTIFS($H$64:$H$500,H410,$P$64:$P$500,P410,$A$64:$A$500,"&gt;"&amp;A410)+COUNTIFS($H$64:H410,H410,$P$64:P410,P410,$A$64:A410,A410)))</f>
      </c>
      <c r="S410">
        <f t="shared" si="63"/>
      </c>
      <c r="T410">
        <f t="shared" si="64"/>
      </c>
      <c r="U410">
        <f t="shared" si="65"/>
      </c>
      <c r="Y410">
        <f t="shared" si="66"/>
      </c>
      <c r="Z410">
        <f>IFERROR(IF(AND(ISNUMBER(A410),A410&gt;=$B$3,A410&lt;EDATE($B$3,1)),COUNTIFS($A$64:$A$500,"&gt;"&amp;A410,$A$64:$A$500,"&lt;"&amp;EDATE($B$3,1))+COUNTIF($A$64:A410,A410),0),0)</f>
        <v>0</v>
      </c>
    </row>
    <row r="411" spans="1:25" ht="28" hidden="1" customHeight="1" outlineLevel="1">
      <c r="A411" s="314"/>
      <c r="B411" s="318"/>
      <c r="C411" s="318"/>
      <c r="D411" s="318"/>
      <c r="E411" s="316"/>
      <c r="F411" s="318"/>
      <c r="G411" s="318"/>
      <c r="H411" s="317">
        <f t="shared" si="59"/>
      </c>
      <c r="I411" s="318">
        <f t="shared" si="60"/>
      </c>
      <c r="J411" s="318"/>
      <c r="K411" s="318"/>
      <c r="L411" s="318"/>
      <c r="P411">
        <f t="shared" si="61"/>
      </c>
      <c r="Q411">
        <f t="shared" si="62"/>
      </c>
      <c r="R411">
        <f>IF(P411="","",TEXT(H411,"yyyymm")&amp;"_"&amp;P411&amp;"_"&amp;(COUNTIFS($H$64:$H$500,H411,$P$64:$P$500,P411,$A$64:$A$500,"&gt;"&amp;A411)+COUNTIFS($H$64:H411,H411,$P$64:P411,P411,$A$64:A411,A411)))</f>
      </c>
      <c r="S411">
        <f t="shared" si="63"/>
      </c>
      <c r="T411">
        <f t="shared" si="64"/>
      </c>
      <c r="U411">
        <f t="shared" si="65"/>
      </c>
      <c r="Y411">
        <f t="shared" si="66"/>
      </c>
      <c r="Z411">
        <f>IFERROR(IF(AND(ISNUMBER(A411),A411&gt;=$B$3,A411&lt;EDATE($B$3,1)),COUNTIFS($A$64:$A$500,"&gt;"&amp;A411,$A$64:$A$500,"&lt;"&amp;EDATE($B$3,1))+COUNTIF($A$64:A411,A411),0),0)</f>
        <v>0</v>
      </c>
    </row>
    <row r="412" spans="1:25" ht="28" hidden="1" customHeight="1" outlineLevel="1">
      <c r="A412" s="314"/>
      <c r="B412" s="318"/>
      <c r="C412" s="318"/>
      <c r="D412" s="318"/>
      <c r="E412" s="316"/>
      <c r="F412" s="318"/>
      <c r="G412" s="318"/>
      <c r="H412" s="317">
        <f t="shared" si="59"/>
      </c>
      <c r="I412" s="318">
        <f t="shared" si="60"/>
      </c>
      <c r="J412" s="318"/>
      <c r="K412" s="318"/>
      <c r="L412" s="318"/>
      <c r="P412">
        <f t="shared" si="61"/>
      </c>
      <c r="Q412">
        <f t="shared" si="62"/>
      </c>
      <c r="R412">
        <f>IF(P412="","",TEXT(H412,"yyyymm")&amp;"_"&amp;P412&amp;"_"&amp;(COUNTIFS($H$64:$H$500,H412,$P$64:$P$500,P412,$A$64:$A$500,"&gt;"&amp;A412)+COUNTIFS($H$64:H412,H412,$P$64:P412,P412,$A$64:A412,A412)))</f>
      </c>
      <c r="S412">
        <f t="shared" si="63"/>
      </c>
      <c r="T412">
        <f t="shared" si="64"/>
      </c>
      <c r="U412">
        <f t="shared" si="65"/>
      </c>
      <c r="Y412">
        <f t="shared" si="66"/>
      </c>
      <c r="Z412">
        <f>IFERROR(IF(AND(ISNUMBER(A412),A412&gt;=$B$3,A412&lt;EDATE($B$3,1)),COUNTIFS($A$64:$A$500,"&gt;"&amp;A412,$A$64:$A$500,"&lt;"&amp;EDATE($B$3,1))+COUNTIF($A$64:A412,A412),0),0)</f>
        <v>0</v>
      </c>
    </row>
    <row r="413" spans="1:25" ht="28" hidden="1" customHeight="1" outlineLevel="1">
      <c r="A413" s="314"/>
      <c r="B413" s="318"/>
      <c r="C413" s="318"/>
      <c r="D413" s="318"/>
      <c r="E413" s="316"/>
      <c r="F413" s="318"/>
      <c r="G413" s="318"/>
      <c r="H413" s="317">
        <f t="shared" si="59"/>
      </c>
      <c r="I413" s="318">
        <f t="shared" si="60"/>
      </c>
      <c r="J413" s="318"/>
      <c r="K413" s="318"/>
      <c r="L413" s="318"/>
      <c r="P413">
        <f t="shared" si="61"/>
      </c>
      <c r="Q413">
        <f t="shared" si="62"/>
      </c>
      <c r="R413">
        <f>IF(P413="","",TEXT(H413,"yyyymm")&amp;"_"&amp;P413&amp;"_"&amp;(COUNTIFS($H$64:$H$500,H413,$P$64:$P$500,P413,$A$64:$A$500,"&gt;"&amp;A413)+COUNTIFS($H$64:H413,H413,$P$64:P413,P413,$A$64:A413,A413)))</f>
      </c>
      <c r="S413">
        <f t="shared" si="63"/>
      </c>
      <c r="T413">
        <f t="shared" si="64"/>
      </c>
      <c r="U413">
        <f t="shared" si="65"/>
      </c>
      <c r="Y413">
        <f t="shared" si="66"/>
      </c>
      <c r="Z413">
        <f>IFERROR(IF(AND(ISNUMBER(A413),A413&gt;=$B$3,A413&lt;EDATE($B$3,1)),COUNTIFS($A$64:$A$500,"&gt;"&amp;A413,$A$64:$A$500,"&lt;"&amp;EDATE($B$3,1))+COUNTIF($A$64:A413,A413),0),0)</f>
        <v>0</v>
      </c>
    </row>
    <row r="414" spans="1:25" ht="28" hidden="1" customHeight="1" outlineLevel="1">
      <c r="A414" s="314"/>
      <c r="B414" s="318"/>
      <c r="C414" s="318"/>
      <c r="D414" s="318"/>
      <c r="E414" s="316"/>
      <c r="F414" s="318"/>
      <c r="G414" s="318"/>
      <c r="H414" s="317">
        <f t="shared" si="59"/>
      </c>
      <c r="I414" s="318">
        <f t="shared" si="60"/>
      </c>
      <c r="J414" s="318"/>
      <c r="K414" s="318"/>
      <c r="L414" s="318"/>
      <c r="P414">
        <f t="shared" si="61"/>
      </c>
      <c r="Q414">
        <f t="shared" si="62"/>
      </c>
      <c r="R414">
        <f>IF(P414="","",TEXT(H414,"yyyymm")&amp;"_"&amp;P414&amp;"_"&amp;(COUNTIFS($H$64:$H$500,H414,$P$64:$P$500,P414,$A$64:$A$500,"&gt;"&amp;A414)+COUNTIFS($H$64:H414,H414,$P$64:P414,P414,$A$64:A414,A414)))</f>
      </c>
      <c r="S414">
        <f t="shared" si="63"/>
      </c>
      <c r="T414">
        <f t="shared" si="64"/>
      </c>
      <c r="U414">
        <f t="shared" si="65"/>
      </c>
      <c r="Y414">
        <f t="shared" si="66"/>
      </c>
      <c r="Z414">
        <f>IFERROR(IF(AND(ISNUMBER(A414),A414&gt;=$B$3,A414&lt;EDATE($B$3,1)),COUNTIFS($A$64:$A$500,"&gt;"&amp;A414,$A$64:$A$500,"&lt;"&amp;EDATE($B$3,1))+COUNTIF($A$64:A414,A414),0),0)</f>
        <v>0</v>
      </c>
    </row>
    <row r="415" spans="1:25" ht="28" hidden="1" customHeight="1" outlineLevel="1">
      <c r="A415" s="314"/>
      <c r="B415" s="318"/>
      <c r="C415" s="318"/>
      <c r="D415" s="318"/>
      <c r="E415" s="316"/>
      <c r="F415" s="318"/>
      <c r="G415" s="318"/>
      <c r="H415" s="317">
        <f t="shared" si="59"/>
      </c>
      <c r="I415" s="318">
        <f t="shared" si="60"/>
      </c>
      <c r="J415" s="318"/>
      <c r="K415" s="318"/>
      <c r="L415" s="318"/>
      <c r="P415">
        <f t="shared" si="61"/>
      </c>
      <c r="Q415">
        <f t="shared" si="62"/>
      </c>
      <c r="R415">
        <f>IF(P415="","",TEXT(H415,"yyyymm")&amp;"_"&amp;P415&amp;"_"&amp;(COUNTIFS($H$64:$H$500,H415,$P$64:$P$500,P415,$A$64:$A$500,"&gt;"&amp;A415)+COUNTIFS($H$64:H415,H415,$P$64:P415,P415,$A$64:A415,A415)))</f>
      </c>
      <c r="S415">
        <f t="shared" si="63"/>
      </c>
      <c r="T415">
        <f t="shared" si="64"/>
      </c>
      <c r="U415">
        <f t="shared" si="65"/>
      </c>
      <c r="Y415">
        <f t="shared" si="66"/>
      </c>
      <c r="Z415">
        <f>IFERROR(IF(AND(ISNUMBER(A415),A415&gt;=$B$3,A415&lt;EDATE($B$3,1)),COUNTIFS($A$64:$A$500,"&gt;"&amp;A415,$A$64:$A$500,"&lt;"&amp;EDATE($B$3,1))+COUNTIF($A$64:A415,A415),0),0)</f>
        <v>0</v>
      </c>
    </row>
    <row r="416" spans="1:25" ht="28" hidden="1" customHeight="1" outlineLevel="1">
      <c r="A416" s="314"/>
      <c r="B416" s="318"/>
      <c r="C416" s="318"/>
      <c r="D416" s="318"/>
      <c r="E416" s="316"/>
      <c r="F416" s="318"/>
      <c r="G416" s="318"/>
      <c r="H416" s="317">
        <f t="shared" si="59"/>
      </c>
      <c r="I416" s="318">
        <f t="shared" si="60"/>
      </c>
      <c r="J416" s="318"/>
      <c r="K416" s="318"/>
      <c r="L416" s="318"/>
      <c r="P416">
        <f t="shared" si="61"/>
      </c>
      <c r="Q416">
        <f t="shared" si="62"/>
      </c>
      <c r="R416">
        <f>IF(P416="","",TEXT(H416,"yyyymm")&amp;"_"&amp;P416&amp;"_"&amp;(COUNTIFS($H$64:$H$500,H416,$P$64:$P$500,P416,$A$64:$A$500,"&gt;"&amp;A416)+COUNTIFS($H$64:H416,H416,$P$64:P416,P416,$A$64:A416,A416)))</f>
      </c>
      <c r="S416">
        <f t="shared" si="63"/>
      </c>
      <c r="T416">
        <f t="shared" si="64"/>
      </c>
      <c r="U416">
        <f t="shared" si="65"/>
      </c>
      <c r="Y416">
        <f t="shared" si="66"/>
      </c>
      <c r="Z416">
        <f>IFERROR(IF(AND(ISNUMBER(A416),A416&gt;=$B$3,A416&lt;EDATE($B$3,1)),COUNTIFS($A$64:$A$500,"&gt;"&amp;A416,$A$64:$A$500,"&lt;"&amp;EDATE($B$3,1))+COUNTIF($A$64:A416,A416),0),0)</f>
        <v>0</v>
      </c>
    </row>
    <row r="417" spans="1:25" ht="28" hidden="1" customHeight="1" outlineLevel="1">
      <c r="A417" s="314"/>
      <c r="B417" s="318"/>
      <c r="C417" s="318"/>
      <c r="D417" s="318"/>
      <c r="E417" s="316"/>
      <c r="F417" s="318"/>
      <c r="G417" s="318"/>
      <c r="H417" s="317">
        <f t="shared" si="59"/>
      </c>
      <c r="I417" s="318">
        <f t="shared" si="60"/>
      </c>
      <c r="J417" s="318"/>
      <c r="K417" s="318"/>
      <c r="L417" s="318"/>
      <c r="P417">
        <f t="shared" si="61"/>
      </c>
      <c r="Q417">
        <f t="shared" si="62"/>
      </c>
      <c r="R417">
        <f>IF(P417="","",TEXT(H417,"yyyymm")&amp;"_"&amp;P417&amp;"_"&amp;(COUNTIFS($H$64:$H$500,H417,$P$64:$P$500,P417,$A$64:$A$500,"&gt;"&amp;A417)+COUNTIFS($H$64:H417,H417,$P$64:P417,P417,$A$64:A417,A417)))</f>
      </c>
      <c r="S417">
        <f t="shared" si="63"/>
      </c>
      <c r="T417">
        <f t="shared" si="64"/>
      </c>
      <c r="U417">
        <f t="shared" si="65"/>
      </c>
      <c r="Y417">
        <f t="shared" si="66"/>
      </c>
      <c r="Z417">
        <f>IFERROR(IF(AND(ISNUMBER(A417),A417&gt;=$B$3,A417&lt;EDATE($B$3,1)),COUNTIFS($A$64:$A$500,"&gt;"&amp;A417,$A$64:$A$500,"&lt;"&amp;EDATE($B$3,1))+COUNTIF($A$64:A417,A417),0),0)</f>
        <v>0</v>
      </c>
    </row>
    <row r="418" spans="1:25" ht="28" hidden="1" customHeight="1" outlineLevel="1">
      <c r="A418" s="314"/>
      <c r="B418" s="318"/>
      <c r="C418" s="318"/>
      <c r="D418" s="318"/>
      <c r="E418" s="316"/>
      <c r="F418" s="318"/>
      <c r="G418" s="318"/>
      <c r="H418" s="317">
        <f t="shared" si="59"/>
      </c>
      <c r="I418" s="318">
        <f t="shared" si="60"/>
      </c>
      <c r="J418" s="318"/>
      <c r="K418" s="318"/>
      <c r="L418" s="318"/>
      <c r="P418">
        <f t="shared" si="61"/>
      </c>
      <c r="Q418">
        <f t="shared" si="62"/>
      </c>
      <c r="R418">
        <f>IF(P418="","",TEXT(H418,"yyyymm")&amp;"_"&amp;P418&amp;"_"&amp;(COUNTIFS($H$64:$H$500,H418,$P$64:$P$500,P418,$A$64:$A$500,"&gt;"&amp;A418)+COUNTIFS($H$64:H418,H418,$P$64:P418,P418,$A$64:A418,A418)))</f>
      </c>
      <c r="S418">
        <f t="shared" si="63"/>
      </c>
      <c r="T418">
        <f t="shared" si="64"/>
      </c>
      <c r="U418">
        <f t="shared" si="65"/>
      </c>
      <c r="Y418">
        <f t="shared" si="66"/>
      </c>
      <c r="Z418">
        <f>IFERROR(IF(AND(ISNUMBER(A418),A418&gt;=$B$3,A418&lt;EDATE($B$3,1)),COUNTIFS($A$64:$A$500,"&gt;"&amp;A418,$A$64:$A$500,"&lt;"&amp;EDATE($B$3,1))+COUNTIF($A$64:A418,A418),0),0)</f>
        <v>0</v>
      </c>
    </row>
    <row r="419" spans="1:25" ht="28" hidden="1" customHeight="1" outlineLevel="1">
      <c r="A419" s="314"/>
      <c r="B419" s="318"/>
      <c r="C419" s="318"/>
      <c r="D419" s="318"/>
      <c r="E419" s="316"/>
      <c r="F419" s="318"/>
      <c r="G419" s="318"/>
      <c r="H419" s="317">
        <f t="shared" si="59"/>
      </c>
      <c r="I419" s="318">
        <f t="shared" si="60"/>
      </c>
      <c r="J419" s="318"/>
      <c r="K419" s="318"/>
      <c r="L419" s="318"/>
      <c r="P419">
        <f t="shared" si="61"/>
      </c>
      <c r="Q419">
        <f t="shared" si="62"/>
      </c>
      <c r="R419">
        <f>IF(P419="","",TEXT(H419,"yyyymm")&amp;"_"&amp;P419&amp;"_"&amp;(COUNTIFS($H$64:$H$500,H419,$P$64:$P$500,P419,$A$64:$A$500,"&gt;"&amp;A419)+COUNTIFS($H$64:H419,H419,$P$64:P419,P419,$A$64:A419,A419)))</f>
      </c>
      <c r="S419">
        <f t="shared" si="63"/>
      </c>
      <c r="T419">
        <f t="shared" si="64"/>
      </c>
      <c r="U419">
        <f t="shared" si="65"/>
      </c>
      <c r="Y419">
        <f t="shared" si="66"/>
      </c>
      <c r="Z419">
        <f>IFERROR(IF(AND(ISNUMBER(A419),A419&gt;=$B$3,A419&lt;EDATE($B$3,1)),COUNTIFS($A$64:$A$500,"&gt;"&amp;A419,$A$64:$A$500,"&lt;"&amp;EDATE($B$3,1))+COUNTIF($A$64:A419,A419),0),0)</f>
        <v>0</v>
      </c>
    </row>
    <row r="420" spans="1:25" ht="28" hidden="1" customHeight="1" outlineLevel="1">
      <c r="A420" s="314"/>
      <c r="B420" s="318"/>
      <c r="C420" s="318"/>
      <c r="D420" s="318"/>
      <c r="E420" s="316"/>
      <c r="F420" s="318"/>
      <c r="G420" s="318"/>
      <c r="H420" s="317">
        <f t="shared" si="59"/>
      </c>
      <c r="I420" s="318">
        <f t="shared" si="60"/>
      </c>
      <c r="J420" s="318"/>
      <c r="K420" s="318"/>
      <c r="L420" s="318"/>
      <c r="P420">
        <f t="shared" si="61"/>
      </c>
      <c r="Q420">
        <f t="shared" si="62"/>
      </c>
      <c r="R420">
        <f>IF(P420="","",TEXT(H420,"yyyymm")&amp;"_"&amp;P420&amp;"_"&amp;(COUNTIFS($H$64:$H$500,H420,$P$64:$P$500,P420,$A$64:$A$500,"&gt;"&amp;A420)+COUNTIFS($H$64:H420,H420,$P$64:P420,P420,$A$64:A420,A420)))</f>
      </c>
      <c r="S420">
        <f t="shared" si="63"/>
      </c>
      <c r="T420">
        <f t="shared" si="64"/>
      </c>
      <c r="U420">
        <f t="shared" si="65"/>
      </c>
      <c r="Y420">
        <f t="shared" si="66"/>
      </c>
      <c r="Z420">
        <f>IFERROR(IF(AND(ISNUMBER(A420),A420&gt;=$B$3,A420&lt;EDATE($B$3,1)),COUNTIFS($A$64:$A$500,"&gt;"&amp;A420,$A$64:$A$500,"&lt;"&amp;EDATE($B$3,1))+COUNTIF($A$64:A420,A420),0),0)</f>
        <v>0</v>
      </c>
    </row>
    <row r="421" spans="1:25" ht="28" hidden="1" customHeight="1" outlineLevel="1">
      <c r="A421" s="314"/>
      <c r="B421" s="318"/>
      <c r="C421" s="318"/>
      <c r="D421" s="318"/>
      <c r="E421" s="316"/>
      <c r="F421" s="318"/>
      <c r="G421" s="318"/>
      <c r="H421" s="317">
        <f t="shared" si="59"/>
      </c>
      <c r="I421" s="318">
        <f t="shared" si="60"/>
      </c>
      <c r="J421" s="318"/>
      <c r="K421" s="318"/>
      <c r="L421" s="318"/>
      <c r="P421">
        <f t="shared" si="61"/>
      </c>
      <c r="Q421">
        <f t="shared" si="62"/>
      </c>
      <c r="R421">
        <f>IF(P421="","",TEXT(H421,"yyyymm")&amp;"_"&amp;P421&amp;"_"&amp;(COUNTIFS($H$64:$H$500,H421,$P$64:$P$500,P421,$A$64:$A$500,"&gt;"&amp;A421)+COUNTIFS($H$64:H421,H421,$P$64:P421,P421,$A$64:A421,A421)))</f>
      </c>
      <c r="S421">
        <f t="shared" si="63"/>
      </c>
      <c r="T421">
        <f t="shared" si="64"/>
      </c>
      <c r="U421">
        <f t="shared" si="65"/>
      </c>
      <c r="Y421">
        <f t="shared" si="66"/>
      </c>
      <c r="Z421">
        <f>IFERROR(IF(AND(ISNUMBER(A421),A421&gt;=$B$3,A421&lt;EDATE($B$3,1)),COUNTIFS($A$64:$A$500,"&gt;"&amp;A421,$A$64:$A$500,"&lt;"&amp;EDATE($B$3,1))+COUNTIF($A$64:A421,A421),0),0)</f>
        <v>0</v>
      </c>
    </row>
    <row r="422" spans="1:25" ht="28" hidden="1" customHeight="1" outlineLevel="1">
      <c r="A422" s="314"/>
      <c r="B422" s="318"/>
      <c r="C422" s="318"/>
      <c r="D422" s="318"/>
      <c r="E422" s="316"/>
      <c r="F422" s="318"/>
      <c r="G422" s="318"/>
      <c r="H422" s="317">
        <f t="shared" si="59"/>
      </c>
      <c r="I422" s="318">
        <f t="shared" si="60"/>
      </c>
      <c r="J422" s="318"/>
      <c r="K422" s="318"/>
      <c r="L422" s="318"/>
      <c r="P422">
        <f t="shared" si="61"/>
      </c>
      <c r="Q422">
        <f t="shared" si="62"/>
      </c>
      <c r="R422">
        <f>IF(P422="","",TEXT(H422,"yyyymm")&amp;"_"&amp;P422&amp;"_"&amp;(COUNTIFS($H$64:$H$500,H422,$P$64:$P$500,P422,$A$64:$A$500,"&gt;"&amp;A422)+COUNTIFS($H$64:H422,H422,$P$64:P422,P422,$A$64:A422,A422)))</f>
      </c>
      <c r="S422">
        <f t="shared" si="63"/>
      </c>
      <c r="T422">
        <f t="shared" si="64"/>
      </c>
      <c r="U422">
        <f t="shared" si="65"/>
      </c>
      <c r="Y422">
        <f t="shared" si="66"/>
      </c>
      <c r="Z422">
        <f>IFERROR(IF(AND(ISNUMBER(A422),A422&gt;=$B$3,A422&lt;EDATE($B$3,1)),COUNTIFS($A$64:$A$500,"&gt;"&amp;A422,$A$64:$A$500,"&lt;"&amp;EDATE($B$3,1))+COUNTIF($A$64:A422,A422),0),0)</f>
        <v>0</v>
      </c>
    </row>
    <row r="423" spans="1:25" ht="28" hidden="1" customHeight="1" outlineLevel="1">
      <c r="A423" s="314"/>
      <c r="B423" s="318"/>
      <c r="C423" s="318"/>
      <c r="D423" s="318"/>
      <c r="E423" s="316"/>
      <c r="F423" s="318"/>
      <c r="G423" s="318"/>
      <c r="H423" s="317">
        <f t="shared" si="59"/>
      </c>
      <c r="I423" s="318">
        <f t="shared" si="60"/>
      </c>
      <c r="J423" s="318"/>
      <c r="K423" s="318"/>
      <c r="L423" s="318"/>
      <c r="P423">
        <f t="shared" si="61"/>
      </c>
      <c r="Q423">
        <f t="shared" si="62"/>
      </c>
      <c r="R423">
        <f>IF(P423="","",TEXT(H423,"yyyymm")&amp;"_"&amp;P423&amp;"_"&amp;(COUNTIFS($H$64:$H$500,H423,$P$64:$P$500,P423,$A$64:$A$500,"&gt;"&amp;A423)+COUNTIFS($H$64:H423,H423,$P$64:P423,P423,$A$64:A423,A423)))</f>
      </c>
      <c r="S423">
        <f t="shared" si="63"/>
      </c>
      <c r="T423">
        <f t="shared" si="64"/>
      </c>
      <c r="U423">
        <f t="shared" si="65"/>
      </c>
      <c r="Y423">
        <f t="shared" si="66"/>
      </c>
      <c r="Z423">
        <f>IFERROR(IF(AND(ISNUMBER(A423),A423&gt;=$B$3,A423&lt;EDATE($B$3,1)),COUNTIFS($A$64:$A$500,"&gt;"&amp;A423,$A$64:$A$500,"&lt;"&amp;EDATE($B$3,1))+COUNTIF($A$64:A423,A423),0),0)</f>
        <v>0</v>
      </c>
    </row>
    <row r="424" spans="1:25" ht="28" hidden="1" customHeight="1" outlineLevel="1">
      <c r="A424" s="314"/>
      <c r="B424" s="318"/>
      <c r="C424" s="318"/>
      <c r="D424" s="318"/>
      <c r="E424" s="316"/>
      <c r="F424" s="318"/>
      <c r="G424" s="318"/>
      <c r="H424" s="317">
        <f t="shared" si="59"/>
      </c>
      <c r="I424" s="318">
        <f t="shared" si="60"/>
      </c>
      <c r="J424" s="318"/>
      <c r="K424" s="318"/>
      <c r="L424" s="318"/>
      <c r="P424">
        <f t="shared" si="61"/>
      </c>
      <c r="Q424">
        <f t="shared" si="62"/>
      </c>
      <c r="R424">
        <f>IF(P424="","",TEXT(H424,"yyyymm")&amp;"_"&amp;P424&amp;"_"&amp;(COUNTIFS($H$64:$H$500,H424,$P$64:$P$500,P424,$A$64:$A$500,"&gt;"&amp;A424)+COUNTIFS($H$64:H424,H424,$P$64:P424,P424,$A$64:A424,A424)))</f>
      </c>
      <c r="S424">
        <f t="shared" si="63"/>
      </c>
      <c r="T424">
        <f t="shared" si="64"/>
      </c>
      <c r="U424">
        <f t="shared" si="65"/>
      </c>
      <c r="Y424">
        <f t="shared" si="66"/>
      </c>
      <c r="Z424">
        <f>IFERROR(IF(AND(ISNUMBER(A424),A424&gt;=$B$3,A424&lt;EDATE($B$3,1)),COUNTIFS($A$64:$A$500,"&gt;"&amp;A424,$A$64:$A$500,"&lt;"&amp;EDATE($B$3,1))+COUNTIF($A$64:A424,A424),0),0)</f>
        <v>0</v>
      </c>
    </row>
    <row r="425" spans="1:25" ht="28" hidden="1" customHeight="1" outlineLevel="1">
      <c r="A425" s="314"/>
      <c r="B425" s="318"/>
      <c r="C425" s="318"/>
      <c r="D425" s="318"/>
      <c r="E425" s="316"/>
      <c r="F425" s="318"/>
      <c r="G425" s="318"/>
      <c r="H425" s="317">
        <f t="shared" si="59"/>
      </c>
      <c r="I425" s="318">
        <f t="shared" si="60"/>
      </c>
      <c r="J425" s="318"/>
      <c r="K425" s="318"/>
      <c r="L425" s="318"/>
      <c r="P425">
        <f t="shared" si="61"/>
      </c>
      <c r="Q425">
        <f t="shared" si="62"/>
      </c>
      <c r="R425">
        <f>IF(P425="","",TEXT(H425,"yyyymm")&amp;"_"&amp;P425&amp;"_"&amp;(COUNTIFS($H$64:$H$500,H425,$P$64:$P$500,P425,$A$64:$A$500,"&gt;"&amp;A425)+COUNTIFS($H$64:H425,H425,$P$64:P425,P425,$A$64:A425,A425)))</f>
      </c>
      <c r="S425">
        <f t="shared" si="63"/>
      </c>
      <c r="T425">
        <f t="shared" si="64"/>
      </c>
      <c r="U425">
        <f t="shared" si="65"/>
      </c>
      <c r="Y425">
        <f t="shared" si="66"/>
      </c>
      <c r="Z425">
        <f>IFERROR(IF(AND(ISNUMBER(A425),A425&gt;=$B$3,A425&lt;EDATE($B$3,1)),COUNTIFS($A$64:$A$500,"&gt;"&amp;A425,$A$64:$A$500,"&lt;"&amp;EDATE($B$3,1))+COUNTIF($A$64:A425,A425),0),0)</f>
        <v>0</v>
      </c>
    </row>
    <row r="426" spans="1:25" ht="28" hidden="1" customHeight="1" outlineLevel="1">
      <c r="A426" s="314"/>
      <c r="B426" s="318"/>
      <c r="C426" s="318"/>
      <c r="D426" s="318"/>
      <c r="E426" s="316"/>
      <c r="F426" s="318"/>
      <c r="G426" s="318"/>
      <c r="H426" s="317">
        <f t="shared" si="59"/>
      </c>
      <c r="I426" s="318">
        <f t="shared" si="60"/>
      </c>
      <c r="J426" s="318"/>
      <c r="K426" s="318"/>
      <c r="L426" s="318"/>
      <c r="P426">
        <f t="shared" si="61"/>
      </c>
      <c r="Q426">
        <f t="shared" si="62"/>
      </c>
      <c r="R426">
        <f>IF(P426="","",TEXT(H426,"yyyymm")&amp;"_"&amp;P426&amp;"_"&amp;(COUNTIFS($H$64:$H$500,H426,$P$64:$P$500,P426,$A$64:$A$500,"&gt;"&amp;A426)+COUNTIFS($H$64:H426,H426,$P$64:P426,P426,$A$64:A426,A426)))</f>
      </c>
      <c r="S426">
        <f t="shared" si="63"/>
      </c>
      <c r="T426">
        <f t="shared" si="64"/>
      </c>
      <c r="U426">
        <f t="shared" si="65"/>
      </c>
      <c r="Y426">
        <f t="shared" si="66"/>
      </c>
      <c r="Z426">
        <f>IFERROR(IF(AND(ISNUMBER(A426),A426&gt;=$B$3,A426&lt;EDATE($B$3,1)),COUNTIFS($A$64:$A$500,"&gt;"&amp;A426,$A$64:$A$500,"&lt;"&amp;EDATE($B$3,1))+COUNTIF($A$64:A426,A426),0),0)</f>
        <v>0</v>
      </c>
    </row>
    <row r="427" spans="1:25" ht="28" hidden="1" customHeight="1" outlineLevel="1">
      <c r="A427" s="314"/>
      <c r="B427" s="318"/>
      <c r="C427" s="318"/>
      <c r="D427" s="318"/>
      <c r="E427" s="316"/>
      <c r="F427" s="318"/>
      <c r="G427" s="318"/>
      <c r="H427" s="317">
        <f t="shared" si="59"/>
      </c>
      <c r="I427" s="318">
        <f t="shared" si="60"/>
      </c>
      <c r="J427" s="318"/>
      <c r="K427" s="318"/>
      <c r="L427" s="318"/>
      <c r="P427">
        <f t="shared" si="61"/>
      </c>
      <c r="Q427">
        <f t="shared" si="62"/>
      </c>
      <c r="R427">
        <f>IF(P427="","",TEXT(H427,"yyyymm")&amp;"_"&amp;P427&amp;"_"&amp;(COUNTIFS($H$64:$H$500,H427,$P$64:$P$500,P427,$A$64:$A$500,"&gt;"&amp;A427)+COUNTIFS($H$64:H427,H427,$P$64:P427,P427,$A$64:A427,A427)))</f>
      </c>
      <c r="S427">
        <f t="shared" si="63"/>
      </c>
      <c r="T427">
        <f t="shared" si="64"/>
      </c>
      <c r="U427">
        <f t="shared" si="65"/>
      </c>
      <c r="Y427">
        <f t="shared" si="66"/>
      </c>
      <c r="Z427">
        <f>IFERROR(IF(AND(ISNUMBER(A427),A427&gt;=$B$3,A427&lt;EDATE($B$3,1)),COUNTIFS($A$64:$A$500,"&gt;"&amp;A427,$A$64:$A$500,"&lt;"&amp;EDATE($B$3,1))+COUNTIF($A$64:A427,A427),0),0)</f>
        <v>0</v>
      </c>
    </row>
    <row r="428" spans="1:25" ht="28" hidden="1" customHeight="1" outlineLevel="1">
      <c r="A428" s="314"/>
      <c r="B428" s="318"/>
      <c r="C428" s="318"/>
      <c r="D428" s="318"/>
      <c r="E428" s="316"/>
      <c r="F428" s="318"/>
      <c r="G428" s="318"/>
      <c r="H428" s="317">
        <f t="shared" si="59"/>
      </c>
      <c r="I428" s="318">
        <f t="shared" si="60"/>
      </c>
      <c r="J428" s="318"/>
      <c r="K428" s="318"/>
      <c r="L428" s="318"/>
      <c r="P428">
        <f t="shared" si="61"/>
      </c>
      <c r="Q428">
        <f t="shared" si="62"/>
      </c>
      <c r="R428">
        <f>IF(P428="","",TEXT(H428,"yyyymm")&amp;"_"&amp;P428&amp;"_"&amp;(COUNTIFS($H$64:$H$500,H428,$P$64:$P$500,P428,$A$64:$A$500,"&gt;"&amp;A428)+COUNTIFS($H$64:H428,H428,$P$64:P428,P428,$A$64:A428,A428)))</f>
      </c>
      <c r="S428">
        <f t="shared" si="63"/>
      </c>
      <c r="T428">
        <f t="shared" si="64"/>
      </c>
      <c r="U428">
        <f t="shared" si="65"/>
      </c>
      <c r="Y428">
        <f t="shared" si="66"/>
      </c>
      <c r="Z428">
        <f>IFERROR(IF(AND(ISNUMBER(A428),A428&gt;=$B$3,A428&lt;EDATE($B$3,1)),COUNTIFS($A$64:$A$500,"&gt;"&amp;A428,$A$64:$A$500,"&lt;"&amp;EDATE($B$3,1))+COUNTIF($A$64:A428,A428),0),0)</f>
        <v>0</v>
      </c>
    </row>
    <row r="429" spans="1:25" ht="28" hidden="1" customHeight="1" outlineLevel="1">
      <c r="A429" s="314"/>
      <c r="B429" s="318"/>
      <c r="C429" s="318"/>
      <c r="D429" s="318"/>
      <c r="E429" s="316"/>
      <c r="F429" s="318"/>
      <c r="G429" s="318"/>
      <c r="H429" s="317">
        <f t="shared" si="59"/>
      </c>
      <c r="I429" s="318">
        <f t="shared" si="60"/>
      </c>
      <c r="J429" s="318"/>
      <c r="K429" s="318"/>
      <c r="L429" s="318"/>
      <c r="P429">
        <f t="shared" si="61"/>
      </c>
      <c r="Q429">
        <f t="shared" si="62"/>
      </c>
      <c r="R429">
        <f>IF(P429="","",TEXT(H429,"yyyymm")&amp;"_"&amp;P429&amp;"_"&amp;(COUNTIFS($H$64:$H$500,H429,$P$64:$P$500,P429,$A$64:$A$500,"&gt;"&amp;A429)+COUNTIFS($H$64:H429,H429,$P$64:P429,P429,$A$64:A429,A429)))</f>
      </c>
      <c r="S429">
        <f t="shared" si="63"/>
      </c>
      <c r="T429">
        <f t="shared" si="64"/>
      </c>
      <c r="U429">
        <f t="shared" si="65"/>
      </c>
      <c r="Y429">
        <f t="shared" si="66"/>
      </c>
      <c r="Z429">
        <f>IFERROR(IF(AND(ISNUMBER(A429),A429&gt;=$B$3,A429&lt;EDATE($B$3,1)),COUNTIFS($A$64:$A$500,"&gt;"&amp;A429,$A$64:$A$500,"&lt;"&amp;EDATE($B$3,1))+COUNTIF($A$64:A429,A429),0),0)</f>
        <v>0</v>
      </c>
    </row>
    <row r="430" spans="1:25" ht="28" hidden="1" customHeight="1" outlineLevel="1">
      <c r="A430" s="314"/>
      <c r="B430" s="318"/>
      <c r="C430" s="318"/>
      <c r="D430" s="318"/>
      <c r="E430" s="316"/>
      <c r="F430" s="318"/>
      <c r="G430" s="318"/>
      <c r="H430" s="317">
        <f t="shared" si="59"/>
      </c>
      <c r="I430" s="318">
        <f t="shared" si="60"/>
      </c>
      <c r="J430" s="318"/>
      <c r="K430" s="318"/>
      <c r="L430" s="318"/>
      <c r="P430">
        <f t="shared" si="61"/>
      </c>
      <c r="Q430">
        <f t="shared" si="62"/>
      </c>
      <c r="R430">
        <f>IF(P430="","",TEXT(H430,"yyyymm")&amp;"_"&amp;P430&amp;"_"&amp;(COUNTIFS($H$64:$H$500,H430,$P$64:$P$500,P430,$A$64:$A$500,"&gt;"&amp;A430)+COUNTIFS($H$64:H430,H430,$P$64:P430,P430,$A$64:A430,A430)))</f>
      </c>
      <c r="S430">
        <f t="shared" si="63"/>
      </c>
      <c r="T430">
        <f t="shared" si="64"/>
      </c>
      <c r="U430">
        <f t="shared" si="65"/>
      </c>
      <c r="Y430">
        <f t="shared" si="66"/>
      </c>
      <c r="Z430">
        <f>IFERROR(IF(AND(ISNUMBER(A430),A430&gt;=$B$3,A430&lt;EDATE($B$3,1)),COUNTIFS($A$64:$A$500,"&gt;"&amp;A430,$A$64:$A$500,"&lt;"&amp;EDATE($B$3,1))+COUNTIF($A$64:A430,A430),0),0)</f>
        <v>0</v>
      </c>
    </row>
    <row r="431" spans="1:25" ht="28" hidden="1" customHeight="1" outlineLevel="1">
      <c r="A431" s="314"/>
      <c r="B431" s="318"/>
      <c r="C431" s="318"/>
      <c r="D431" s="318"/>
      <c r="E431" s="316"/>
      <c r="F431" s="318"/>
      <c r="G431" s="318"/>
      <c r="H431" s="317">
        <f t="shared" si="59"/>
      </c>
      <c r="I431" s="318">
        <f t="shared" si="60"/>
      </c>
      <c r="J431" s="318"/>
      <c r="K431" s="318"/>
      <c r="L431" s="318"/>
      <c r="P431">
        <f t="shared" si="61"/>
      </c>
      <c r="Q431">
        <f t="shared" si="62"/>
      </c>
      <c r="R431">
        <f>IF(P431="","",TEXT(H431,"yyyymm")&amp;"_"&amp;P431&amp;"_"&amp;(COUNTIFS($H$64:$H$500,H431,$P$64:$P$500,P431,$A$64:$A$500,"&gt;"&amp;A431)+COUNTIFS($H$64:H431,H431,$P$64:P431,P431,$A$64:A431,A431)))</f>
      </c>
      <c r="S431">
        <f t="shared" si="63"/>
      </c>
      <c r="T431">
        <f t="shared" si="64"/>
      </c>
      <c r="U431">
        <f t="shared" si="65"/>
      </c>
      <c r="Y431">
        <f t="shared" si="66"/>
      </c>
      <c r="Z431">
        <f>IFERROR(IF(AND(ISNUMBER(A431),A431&gt;=$B$3,A431&lt;EDATE($B$3,1)),COUNTIFS($A$64:$A$500,"&gt;"&amp;A431,$A$64:$A$500,"&lt;"&amp;EDATE($B$3,1))+COUNTIF($A$64:A431,A431),0),0)</f>
        <v>0</v>
      </c>
    </row>
    <row r="432" spans="1:25" ht="28" hidden="1" customHeight="1" outlineLevel="1">
      <c r="A432" s="314"/>
      <c r="B432" s="318"/>
      <c r="C432" s="318"/>
      <c r="D432" s="318"/>
      <c r="E432" s="316"/>
      <c r="F432" s="318"/>
      <c r="G432" s="318"/>
      <c r="H432" s="317">
        <f t="shared" si="59"/>
      </c>
      <c r="I432" s="318">
        <f t="shared" si="60"/>
      </c>
      <c r="J432" s="318"/>
      <c r="K432" s="318"/>
      <c r="L432" s="318"/>
      <c r="P432">
        <f t="shared" si="61"/>
      </c>
      <c r="Q432">
        <f t="shared" si="62"/>
      </c>
      <c r="R432">
        <f>IF(P432="","",TEXT(H432,"yyyymm")&amp;"_"&amp;P432&amp;"_"&amp;(COUNTIFS($H$64:$H$500,H432,$P$64:$P$500,P432,$A$64:$A$500,"&gt;"&amp;A432)+COUNTIFS($H$64:H432,H432,$P$64:P432,P432,$A$64:A432,A432)))</f>
      </c>
      <c r="S432">
        <f t="shared" si="63"/>
      </c>
      <c r="T432">
        <f t="shared" si="64"/>
      </c>
      <c r="U432">
        <f t="shared" si="65"/>
      </c>
      <c r="Y432">
        <f t="shared" si="66"/>
      </c>
      <c r="Z432">
        <f>IFERROR(IF(AND(ISNUMBER(A432),A432&gt;=$B$3,A432&lt;EDATE($B$3,1)),COUNTIFS($A$64:$A$500,"&gt;"&amp;A432,$A$64:$A$500,"&lt;"&amp;EDATE($B$3,1))+COUNTIF($A$64:A432,A432),0),0)</f>
        <v>0</v>
      </c>
    </row>
    <row r="433" spans="1:25" ht="28" hidden="1" customHeight="1" outlineLevel="1">
      <c r="A433" s="314"/>
      <c r="B433" s="318"/>
      <c r="C433" s="318"/>
      <c r="D433" s="318"/>
      <c r="E433" s="316"/>
      <c r="F433" s="318"/>
      <c r="G433" s="318"/>
      <c r="H433" s="317">
        <f t="shared" si="59"/>
      </c>
      <c r="I433" s="318">
        <f t="shared" si="60"/>
      </c>
      <c r="J433" s="318"/>
      <c r="K433" s="318"/>
      <c r="L433" s="318"/>
      <c r="P433">
        <f t="shared" si="61"/>
      </c>
      <c r="Q433">
        <f t="shared" si="62"/>
      </c>
      <c r="R433">
        <f>IF(P433="","",TEXT(H433,"yyyymm")&amp;"_"&amp;P433&amp;"_"&amp;(COUNTIFS($H$64:$H$500,H433,$P$64:$P$500,P433,$A$64:$A$500,"&gt;"&amp;A433)+COUNTIFS($H$64:H433,H433,$P$64:P433,P433,$A$64:A433,A433)))</f>
      </c>
      <c r="S433">
        <f t="shared" si="63"/>
      </c>
      <c r="T433">
        <f t="shared" si="64"/>
      </c>
      <c r="U433">
        <f t="shared" si="65"/>
      </c>
      <c r="Y433">
        <f t="shared" si="66"/>
      </c>
      <c r="Z433">
        <f>IFERROR(IF(AND(ISNUMBER(A433),A433&gt;=$B$3,A433&lt;EDATE($B$3,1)),COUNTIFS($A$64:$A$500,"&gt;"&amp;A433,$A$64:$A$500,"&lt;"&amp;EDATE($B$3,1))+COUNTIF($A$64:A433,A433),0),0)</f>
        <v>0</v>
      </c>
    </row>
    <row r="434" spans="1:25" ht="28" hidden="1" customHeight="1" outlineLevel="1">
      <c r="A434" s="314"/>
      <c r="B434" s="318"/>
      <c r="C434" s="318"/>
      <c r="D434" s="318"/>
      <c r="E434" s="316"/>
      <c r="F434" s="318"/>
      <c r="G434" s="318"/>
      <c r="H434" s="317">
        <f t="shared" si="59"/>
      </c>
      <c r="I434" s="318">
        <f t="shared" si="60"/>
      </c>
      <c r="J434" s="318"/>
      <c r="K434" s="318"/>
      <c r="L434" s="318"/>
      <c r="P434">
        <f t="shared" si="61"/>
      </c>
      <c r="Q434">
        <f t="shared" si="62"/>
      </c>
      <c r="R434">
        <f>IF(P434="","",TEXT(H434,"yyyymm")&amp;"_"&amp;P434&amp;"_"&amp;(COUNTIFS($H$64:$H$500,H434,$P$64:$P$500,P434,$A$64:$A$500,"&gt;"&amp;A434)+COUNTIFS($H$64:H434,H434,$P$64:P434,P434,$A$64:A434,A434)))</f>
      </c>
      <c r="S434">
        <f t="shared" si="63"/>
      </c>
      <c r="T434">
        <f t="shared" si="64"/>
      </c>
      <c r="U434">
        <f t="shared" si="65"/>
      </c>
      <c r="Y434">
        <f t="shared" si="66"/>
      </c>
      <c r="Z434">
        <f>IFERROR(IF(AND(ISNUMBER(A434),A434&gt;=$B$3,A434&lt;EDATE($B$3,1)),COUNTIFS($A$64:$A$500,"&gt;"&amp;A434,$A$64:$A$500,"&lt;"&amp;EDATE($B$3,1))+COUNTIF($A$64:A434,A434),0),0)</f>
        <v>0</v>
      </c>
    </row>
    <row r="435" spans="1:25" ht="28" hidden="1" customHeight="1" outlineLevel="1">
      <c r="A435" s="314"/>
      <c r="B435" s="318"/>
      <c r="C435" s="318"/>
      <c r="D435" s="318"/>
      <c r="E435" s="316"/>
      <c r="F435" s="318"/>
      <c r="G435" s="318"/>
      <c r="H435" s="317">
        <f t="shared" si="59"/>
      </c>
      <c r="I435" s="318">
        <f t="shared" si="60"/>
      </c>
      <c r="J435" s="318"/>
      <c r="K435" s="318"/>
      <c r="L435" s="318"/>
      <c r="P435">
        <f t="shared" si="61"/>
      </c>
      <c r="Q435">
        <f t="shared" si="62"/>
      </c>
      <c r="R435">
        <f>IF(P435="","",TEXT(H435,"yyyymm")&amp;"_"&amp;P435&amp;"_"&amp;(COUNTIFS($H$64:$H$500,H435,$P$64:$P$500,P435,$A$64:$A$500,"&gt;"&amp;A435)+COUNTIFS($H$64:H435,H435,$P$64:P435,P435,$A$64:A435,A435)))</f>
      </c>
      <c r="S435">
        <f t="shared" si="63"/>
      </c>
      <c r="T435">
        <f t="shared" si="64"/>
      </c>
      <c r="U435">
        <f t="shared" si="65"/>
      </c>
      <c r="Y435">
        <f t="shared" si="66"/>
      </c>
      <c r="Z435">
        <f>IFERROR(IF(AND(ISNUMBER(A435),A435&gt;=$B$3,A435&lt;EDATE($B$3,1)),COUNTIFS($A$64:$A$500,"&gt;"&amp;A435,$A$64:$A$500,"&lt;"&amp;EDATE($B$3,1))+COUNTIF($A$64:A435,A435),0),0)</f>
        <v>0</v>
      </c>
    </row>
    <row r="436" spans="1:25" ht="28" hidden="1" customHeight="1" outlineLevel="1">
      <c r="A436" s="314"/>
      <c r="B436" s="318"/>
      <c r="C436" s="318"/>
      <c r="D436" s="318"/>
      <c r="E436" s="316"/>
      <c r="F436" s="318"/>
      <c r="G436" s="318"/>
      <c r="H436" s="317">
        <f t="shared" si="59"/>
      </c>
      <c r="I436" s="318">
        <f t="shared" si="60"/>
      </c>
      <c r="J436" s="318"/>
      <c r="K436" s="318"/>
      <c r="L436" s="318"/>
      <c r="P436">
        <f t="shared" si="61"/>
      </c>
      <c r="Q436">
        <f t="shared" si="62"/>
      </c>
      <c r="R436">
        <f>IF(P436="","",TEXT(H436,"yyyymm")&amp;"_"&amp;P436&amp;"_"&amp;(COUNTIFS($H$64:$H$500,H436,$P$64:$P$500,P436,$A$64:$A$500,"&gt;"&amp;A436)+COUNTIFS($H$64:H436,H436,$P$64:P436,P436,$A$64:A436,A436)))</f>
      </c>
      <c r="S436">
        <f t="shared" si="63"/>
      </c>
      <c r="T436">
        <f t="shared" si="64"/>
      </c>
      <c r="U436">
        <f t="shared" si="65"/>
      </c>
      <c r="Y436">
        <f t="shared" si="66"/>
      </c>
      <c r="Z436">
        <f>IFERROR(IF(AND(ISNUMBER(A436),A436&gt;=$B$3,A436&lt;EDATE($B$3,1)),COUNTIFS($A$64:$A$500,"&gt;"&amp;A436,$A$64:$A$500,"&lt;"&amp;EDATE($B$3,1))+COUNTIF($A$64:A436,A436),0),0)</f>
        <v>0</v>
      </c>
    </row>
    <row r="437" spans="1:25" ht="28" hidden="1" customHeight="1" outlineLevel="1">
      <c r="A437" s="314"/>
      <c r="B437" s="318"/>
      <c r="C437" s="318"/>
      <c r="D437" s="318"/>
      <c r="E437" s="316"/>
      <c r="F437" s="318"/>
      <c r="G437" s="318"/>
      <c r="H437" s="317">
        <f t="shared" si="59"/>
      </c>
      <c r="I437" s="318">
        <f t="shared" si="60"/>
      </c>
      <c r="J437" s="318"/>
      <c r="K437" s="318"/>
      <c r="L437" s="318"/>
      <c r="P437">
        <f t="shared" si="61"/>
      </c>
      <c r="Q437">
        <f t="shared" si="62"/>
      </c>
      <c r="R437">
        <f>IF(P437="","",TEXT(H437,"yyyymm")&amp;"_"&amp;P437&amp;"_"&amp;(COUNTIFS($H$64:$H$500,H437,$P$64:$P$500,P437,$A$64:$A$500,"&gt;"&amp;A437)+COUNTIFS($H$64:H437,H437,$P$64:P437,P437,$A$64:A437,A437)))</f>
      </c>
      <c r="S437">
        <f t="shared" si="63"/>
      </c>
      <c r="T437">
        <f t="shared" si="64"/>
      </c>
      <c r="U437">
        <f t="shared" si="65"/>
      </c>
      <c r="Y437">
        <f t="shared" si="66"/>
      </c>
      <c r="Z437">
        <f>IFERROR(IF(AND(ISNUMBER(A437),A437&gt;=$B$3,A437&lt;EDATE($B$3,1)),COUNTIFS($A$64:$A$500,"&gt;"&amp;A437,$A$64:$A$500,"&lt;"&amp;EDATE($B$3,1))+COUNTIF($A$64:A437,A437),0),0)</f>
        <v>0</v>
      </c>
    </row>
    <row r="438" spans="1:25" ht="28" hidden="1" customHeight="1" outlineLevel="1">
      <c r="A438" s="314"/>
      <c r="B438" s="318"/>
      <c r="C438" s="318"/>
      <c r="D438" s="318"/>
      <c r="E438" s="316"/>
      <c r="F438" s="318"/>
      <c r="G438" s="318"/>
      <c r="H438" s="317">
        <f t="shared" si="59"/>
      </c>
      <c r="I438" s="318">
        <f t="shared" si="60"/>
      </c>
      <c r="J438" s="318"/>
      <c r="K438" s="318"/>
      <c r="L438" s="318"/>
      <c r="P438">
        <f t="shared" si="61"/>
      </c>
      <c r="Q438">
        <f t="shared" si="62"/>
      </c>
      <c r="R438">
        <f>IF(P438="","",TEXT(H438,"yyyymm")&amp;"_"&amp;P438&amp;"_"&amp;(COUNTIFS($H$64:$H$500,H438,$P$64:$P$500,P438,$A$64:$A$500,"&gt;"&amp;A438)+COUNTIFS($H$64:H438,H438,$P$64:P438,P438,$A$64:A438,A438)))</f>
      </c>
      <c r="S438">
        <f t="shared" si="63"/>
      </c>
      <c r="T438">
        <f t="shared" si="64"/>
      </c>
      <c r="U438">
        <f t="shared" si="65"/>
      </c>
      <c r="Y438">
        <f t="shared" si="66"/>
      </c>
      <c r="Z438">
        <f>IFERROR(IF(AND(ISNUMBER(A438),A438&gt;=$B$3,A438&lt;EDATE($B$3,1)),COUNTIFS($A$64:$A$500,"&gt;"&amp;A438,$A$64:$A$500,"&lt;"&amp;EDATE($B$3,1))+COUNTIF($A$64:A438,A438),0),0)</f>
        <v>0</v>
      </c>
    </row>
    <row r="439" spans="1:25" ht="28" hidden="1" customHeight="1" outlineLevel="1">
      <c r="A439" s="314"/>
      <c r="B439" s="318"/>
      <c r="C439" s="318"/>
      <c r="D439" s="318"/>
      <c r="E439" s="316"/>
      <c r="F439" s="318"/>
      <c r="G439" s="318"/>
      <c r="H439" s="317">
        <f t="shared" si="59"/>
      </c>
      <c r="I439" s="318">
        <f t="shared" si="60"/>
      </c>
      <c r="J439" s="318"/>
      <c r="K439" s="318"/>
      <c r="L439" s="318"/>
      <c r="P439">
        <f t="shared" si="61"/>
      </c>
      <c r="Q439">
        <f t="shared" si="62"/>
      </c>
      <c r="R439">
        <f>IF(P439="","",TEXT(H439,"yyyymm")&amp;"_"&amp;P439&amp;"_"&amp;(COUNTIFS($H$64:$H$500,H439,$P$64:$P$500,P439,$A$64:$A$500,"&gt;"&amp;A439)+COUNTIFS($H$64:H439,H439,$P$64:P439,P439,$A$64:A439,A439)))</f>
      </c>
      <c r="S439">
        <f t="shared" si="63"/>
      </c>
      <c r="T439">
        <f t="shared" si="64"/>
      </c>
      <c r="U439">
        <f t="shared" si="65"/>
      </c>
      <c r="Y439">
        <f t="shared" si="66"/>
      </c>
      <c r="Z439">
        <f>IFERROR(IF(AND(ISNUMBER(A439),A439&gt;=$B$3,A439&lt;EDATE($B$3,1)),COUNTIFS($A$64:$A$500,"&gt;"&amp;A439,$A$64:$A$500,"&lt;"&amp;EDATE($B$3,1))+COUNTIF($A$64:A439,A439),0),0)</f>
        <v>0</v>
      </c>
    </row>
    <row r="440" spans="1:25" ht="28" hidden="1" customHeight="1" outlineLevel="1">
      <c r="A440" s="314"/>
      <c r="B440" s="318"/>
      <c r="C440" s="318"/>
      <c r="D440" s="318"/>
      <c r="E440" s="316"/>
      <c r="F440" s="318"/>
      <c r="G440" s="318"/>
      <c r="H440" s="317">
        <f t="shared" si="59"/>
      </c>
      <c r="I440" s="318">
        <f t="shared" si="60"/>
      </c>
      <c r="J440" s="318"/>
      <c r="K440" s="318"/>
      <c r="L440" s="318"/>
      <c r="P440">
        <f t="shared" si="61"/>
      </c>
      <c r="Q440">
        <f t="shared" si="62"/>
      </c>
      <c r="R440">
        <f>IF(P440="","",TEXT(H440,"yyyymm")&amp;"_"&amp;P440&amp;"_"&amp;(COUNTIFS($H$64:$H$500,H440,$P$64:$P$500,P440,$A$64:$A$500,"&gt;"&amp;A440)+COUNTIFS($H$64:H440,H440,$P$64:P440,P440,$A$64:A440,A440)))</f>
      </c>
      <c r="S440">
        <f t="shared" si="63"/>
      </c>
      <c r="T440">
        <f t="shared" si="64"/>
      </c>
      <c r="U440">
        <f t="shared" si="65"/>
      </c>
      <c r="Y440">
        <f t="shared" si="66"/>
      </c>
      <c r="Z440">
        <f>IFERROR(IF(AND(ISNUMBER(A440),A440&gt;=$B$3,A440&lt;EDATE($B$3,1)),COUNTIFS($A$64:$A$500,"&gt;"&amp;A440,$A$64:$A$500,"&lt;"&amp;EDATE($B$3,1))+COUNTIF($A$64:A440,A440),0),0)</f>
        <v>0</v>
      </c>
    </row>
    <row r="441" spans="1:25" ht="28" hidden="1" customHeight="1" outlineLevel="1">
      <c r="A441" s="314"/>
      <c r="B441" s="318"/>
      <c r="C441" s="318"/>
      <c r="D441" s="318"/>
      <c r="E441" s="316"/>
      <c r="F441" s="318"/>
      <c r="G441" s="318"/>
      <c r="H441" s="317">
        <f t="shared" si="59"/>
      </c>
      <c r="I441" s="318">
        <f t="shared" si="60"/>
      </c>
      <c r="J441" s="318"/>
      <c r="K441" s="318"/>
      <c r="L441" s="318"/>
      <c r="P441">
        <f t="shared" si="61"/>
      </c>
      <c r="Q441">
        <f t="shared" si="62"/>
      </c>
      <c r="R441">
        <f>IF(P441="","",TEXT(H441,"yyyymm")&amp;"_"&amp;P441&amp;"_"&amp;(COUNTIFS($H$64:$H$500,H441,$P$64:$P$500,P441,$A$64:$A$500,"&gt;"&amp;A441)+COUNTIFS($H$64:H441,H441,$P$64:P441,P441,$A$64:A441,A441)))</f>
      </c>
      <c r="S441">
        <f t="shared" si="63"/>
      </c>
      <c r="T441">
        <f t="shared" si="64"/>
      </c>
      <c r="U441">
        <f t="shared" si="65"/>
      </c>
      <c r="Y441">
        <f t="shared" si="66"/>
      </c>
      <c r="Z441">
        <f>IFERROR(IF(AND(ISNUMBER(A441),A441&gt;=$B$3,A441&lt;EDATE($B$3,1)),COUNTIFS($A$64:$A$500,"&gt;"&amp;A441,$A$64:$A$500,"&lt;"&amp;EDATE($B$3,1))+COUNTIF($A$64:A441,A441),0),0)</f>
        <v>0</v>
      </c>
    </row>
    <row r="442" spans="1:25" ht="28" hidden="1" customHeight="1" outlineLevel="1">
      <c r="A442" s="314"/>
      <c r="B442" s="318"/>
      <c r="C442" s="318"/>
      <c r="D442" s="318"/>
      <c r="E442" s="316"/>
      <c r="F442" s="318"/>
      <c r="G442" s="318"/>
      <c r="H442" s="317">
        <f t="shared" si="59"/>
      </c>
      <c r="I442" s="318">
        <f t="shared" si="60"/>
      </c>
      <c r="J442" s="318"/>
      <c r="K442" s="318"/>
      <c r="L442" s="318"/>
      <c r="P442">
        <f t="shared" si="61"/>
      </c>
      <c r="Q442">
        <f t="shared" si="62"/>
      </c>
      <c r="R442">
        <f>IF(P442="","",TEXT(H442,"yyyymm")&amp;"_"&amp;P442&amp;"_"&amp;(COUNTIFS($H$64:$H$500,H442,$P$64:$P$500,P442,$A$64:$A$500,"&gt;"&amp;A442)+COUNTIFS($H$64:H442,H442,$P$64:P442,P442,$A$64:A442,A442)))</f>
      </c>
      <c r="S442">
        <f t="shared" si="63"/>
      </c>
      <c r="T442">
        <f t="shared" si="64"/>
      </c>
      <c r="U442">
        <f t="shared" si="65"/>
      </c>
      <c r="Y442">
        <f t="shared" si="66"/>
      </c>
      <c r="Z442">
        <f>IFERROR(IF(AND(ISNUMBER(A442),A442&gt;=$B$3,A442&lt;EDATE($B$3,1)),COUNTIFS($A$64:$A$500,"&gt;"&amp;A442,$A$64:$A$500,"&lt;"&amp;EDATE($B$3,1))+COUNTIF($A$64:A442,A442),0),0)</f>
        <v>0</v>
      </c>
    </row>
    <row r="443" spans="1:25" ht="28" hidden="1" customHeight="1" outlineLevel="1">
      <c r="A443" s="314"/>
      <c r="B443" s="318"/>
      <c r="C443" s="318"/>
      <c r="D443" s="318"/>
      <c r="E443" s="316"/>
      <c r="F443" s="318"/>
      <c r="G443" s="318"/>
      <c r="H443" s="317">
        <f t="shared" si="59"/>
      </c>
      <c r="I443" s="318">
        <f t="shared" si="60"/>
      </c>
      <c r="J443" s="318"/>
      <c r="K443" s="318"/>
      <c r="L443" s="318"/>
      <c r="P443">
        <f t="shared" si="61"/>
      </c>
      <c r="Q443">
        <f t="shared" si="62"/>
      </c>
      <c r="R443">
        <f>IF(P443="","",TEXT(H443,"yyyymm")&amp;"_"&amp;P443&amp;"_"&amp;(COUNTIFS($H$64:$H$500,H443,$P$64:$P$500,P443,$A$64:$A$500,"&gt;"&amp;A443)+COUNTIFS($H$64:H443,H443,$P$64:P443,P443,$A$64:A443,A443)))</f>
      </c>
      <c r="S443">
        <f t="shared" si="63"/>
      </c>
      <c r="T443">
        <f t="shared" si="64"/>
      </c>
      <c r="U443">
        <f t="shared" si="65"/>
      </c>
      <c r="Y443">
        <f t="shared" si="66"/>
      </c>
      <c r="Z443">
        <f>IFERROR(IF(AND(ISNUMBER(A443),A443&gt;=$B$3,A443&lt;EDATE($B$3,1)),COUNTIFS($A$64:$A$500,"&gt;"&amp;A443,$A$64:$A$500,"&lt;"&amp;EDATE($B$3,1))+COUNTIF($A$64:A443,A443),0),0)</f>
        <v>0</v>
      </c>
    </row>
    <row r="444" spans="1:25" ht="28" hidden="1" customHeight="1" outlineLevel="1">
      <c r="A444" s="314"/>
      <c r="B444" s="318"/>
      <c r="C444" s="318"/>
      <c r="D444" s="318"/>
      <c r="E444" s="316"/>
      <c r="F444" s="318"/>
      <c r="G444" s="318"/>
      <c r="H444" s="317">
        <f t="shared" si="59"/>
      </c>
      <c r="I444" s="318">
        <f t="shared" si="60"/>
      </c>
      <c r="J444" s="318"/>
      <c r="K444" s="318"/>
      <c r="L444" s="318"/>
      <c r="P444">
        <f t="shared" si="61"/>
      </c>
      <c r="Q444">
        <f t="shared" si="62"/>
      </c>
      <c r="R444">
        <f>IF(P444="","",TEXT(H444,"yyyymm")&amp;"_"&amp;P444&amp;"_"&amp;(COUNTIFS($H$64:$H$500,H444,$P$64:$P$500,P444,$A$64:$A$500,"&gt;"&amp;A444)+COUNTIFS($H$64:H444,H444,$P$64:P444,P444,$A$64:A444,A444)))</f>
      </c>
      <c r="S444">
        <f t="shared" si="63"/>
      </c>
      <c r="T444">
        <f t="shared" si="64"/>
      </c>
      <c r="U444">
        <f t="shared" si="65"/>
      </c>
      <c r="Y444">
        <f t="shared" si="66"/>
      </c>
      <c r="Z444">
        <f>IFERROR(IF(AND(ISNUMBER(A444),A444&gt;=$B$3,A444&lt;EDATE($B$3,1)),COUNTIFS($A$64:$A$500,"&gt;"&amp;A444,$A$64:$A$500,"&lt;"&amp;EDATE($B$3,1))+COUNTIF($A$64:A444,A444),0),0)</f>
        <v>0</v>
      </c>
    </row>
    <row r="445" spans="1:25" ht="28" hidden="1" customHeight="1" outlineLevel="1">
      <c r="A445" s="314"/>
      <c r="B445" s="318"/>
      <c r="C445" s="318"/>
      <c r="D445" s="318"/>
      <c r="E445" s="316"/>
      <c r="F445" s="318"/>
      <c r="G445" s="318"/>
      <c r="H445" s="317">
        <f t="shared" si="59"/>
      </c>
      <c r="I445" s="318">
        <f t="shared" si="60"/>
      </c>
      <c r="J445" s="318"/>
      <c r="K445" s="318"/>
      <c r="L445" s="318"/>
      <c r="P445">
        <f t="shared" si="61"/>
      </c>
      <c r="Q445">
        <f t="shared" si="62"/>
      </c>
      <c r="R445">
        <f>IF(P445="","",TEXT(H445,"yyyymm")&amp;"_"&amp;P445&amp;"_"&amp;(COUNTIFS($H$64:$H$500,H445,$P$64:$P$500,P445,$A$64:$A$500,"&gt;"&amp;A445)+COUNTIFS($H$64:H445,H445,$P$64:P445,P445,$A$64:A445,A445)))</f>
      </c>
      <c r="S445">
        <f t="shared" si="63"/>
      </c>
      <c r="T445">
        <f t="shared" si="64"/>
      </c>
      <c r="U445">
        <f t="shared" si="65"/>
      </c>
      <c r="Y445">
        <f t="shared" si="66"/>
      </c>
      <c r="Z445">
        <f>IFERROR(IF(AND(ISNUMBER(A445),A445&gt;=$B$3,A445&lt;EDATE($B$3,1)),COUNTIFS($A$64:$A$500,"&gt;"&amp;A445,$A$64:$A$500,"&lt;"&amp;EDATE($B$3,1))+COUNTIF($A$64:A445,A445),0),0)</f>
        <v>0</v>
      </c>
    </row>
    <row r="446" spans="1:25" ht="28" hidden="1" customHeight="1" outlineLevel="1">
      <c r="A446" s="314"/>
      <c r="B446" s="318"/>
      <c r="C446" s="318"/>
      <c r="D446" s="318"/>
      <c r="E446" s="316"/>
      <c r="F446" s="318"/>
      <c r="G446" s="318"/>
      <c r="H446" s="317">
        <f t="shared" si="59"/>
      </c>
      <c r="I446" s="318">
        <f t="shared" si="60"/>
      </c>
      <c r="J446" s="318"/>
      <c r="K446" s="318"/>
      <c r="L446" s="318"/>
      <c r="P446">
        <f t="shared" si="61"/>
      </c>
      <c r="Q446">
        <f t="shared" si="62"/>
      </c>
      <c r="R446">
        <f>IF(P446="","",TEXT(H446,"yyyymm")&amp;"_"&amp;P446&amp;"_"&amp;(COUNTIFS($H$64:$H$500,H446,$P$64:$P$500,P446,$A$64:$A$500,"&gt;"&amp;A446)+COUNTIFS($H$64:H446,H446,$P$64:P446,P446,$A$64:A446,A446)))</f>
      </c>
      <c r="S446">
        <f t="shared" si="63"/>
      </c>
      <c r="T446">
        <f t="shared" si="64"/>
      </c>
      <c r="U446">
        <f t="shared" si="65"/>
      </c>
      <c r="Y446">
        <f t="shared" si="66"/>
      </c>
      <c r="Z446">
        <f>IFERROR(IF(AND(ISNUMBER(A446),A446&gt;=$B$3,A446&lt;EDATE($B$3,1)),COUNTIFS($A$64:$A$500,"&gt;"&amp;A446,$A$64:$A$500,"&lt;"&amp;EDATE($B$3,1))+COUNTIF($A$64:A446,A446),0),0)</f>
        <v>0</v>
      </c>
    </row>
    <row r="447" spans="1:25" ht="28" hidden="1" customHeight="1" outlineLevel="1">
      <c r="A447" s="314"/>
      <c r="B447" s="318"/>
      <c r="C447" s="318"/>
      <c r="D447" s="318"/>
      <c r="E447" s="316"/>
      <c r="F447" s="318"/>
      <c r="G447" s="318"/>
      <c r="H447" s="317">
        <f t="shared" si="59"/>
      </c>
      <c r="I447" s="318">
        <f t="shared" si="60"/>
      </c>
      <c r="J447" s="318"/>
      <c r="K447" s="318"/>
      <c r="L447" s="318"/>
      <c r="P447">
        <f t="shared" si="61"/>
      </c>
      <c r="Q447">
        <f t="shared" si="62"/>
      </c>
      <c r="R447">
        <f>IF(P447="","",TEXT(H447,"yyyymm")&amp;"_"&amp;P447&amp;"_"&amp;(COUNTIFS($H$64:$H$500,H447,$P$64:$P$500,P447,$A$64:$A$500,"&gt;"&amp;A447)+COUNTIFS($H$64:H447,H447,$P$64:P447,P447,$A$64:A447,A447)))</f>
      </c>
      <c r="S447">
        <f t="shared" si="63"/>
      </c>
      <c r="T447">
        <f t="shared" si="64"/>
      </c>
      <c r="U447">
        <f t="shared" si="65"/>
      </c>
      <c r="Y447">
        <f t="shared" si="66"/>
      </c>
      <c r="Z447">
        <f>IFERROR(IF(AND(ISNUMBER(A447),A447&gt;=$B$3,A447&lt;EDATE($B$3,1)),COUNTIFS($A$64:$A$500,"&gt;"&amp;A447,$A$64:$A$500,"&lt;"&amp;EDATE($B$3,1))+COUNTIF($A$64:A447,A447),0),0)</f>
        <v>0</v>
      </c>
    </row>
    <row r="448" spans="1:25" ht="28" hidden="1" customHeight="1" outlineLevel="1">
      <c r="A448" s="314"/>
      <c r="B448" s="318"/>
      <c r="C448" s="318"/>
      <c r="D448" s="318"/>
      <c r="E448" s="316"/>
      <c r="F448" s="318"/>
      <c r="G448" s="318"/>
      <c r="H448" s="317">
        <f t="shared" ref="H448:H500" si="67">IF(A448="","",DATE(YEAR(A448),MONTH(A448),1))</f>
      </c>
      <c r="I448" s="318">
        <f t="shared" ref="I448:I511" si="68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</c>
      <c r="J448" s="318"/>
      <c r="K448" s="318"/>
      <c r="L448" s="318"/>
      <c r="P448">
        <f t="shared" ref="P448:P511" si="69">IF(Q448="","",IF(Q448="이체","이체","내역"))</f>
      </c>
      <c r="Q448">
        <f t="shared" ref="Q448:Q500" si="70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</c>
      <c r="R448">
        <f>IF(P448="","",TEXT(H448,"yyyymm")&amp;"_"&amp;P448&amp;"_"&amp;(COUNTIFS($H$64:$H$500,H448,$P$64:$P$500,P448,$A$64:$A$500,"&gt;"&amp;A448)+COUNTIFS($H$64:H448,H448,$P$64:P448,P448,$A$64:A448,A448)))</f>
      </c>
      <c r="S448">
        <f t="shared" ref="S448:S500" si="71">IF(Q448="","",D448)</f>
      </c>
      <c r="T448">
        <f t="shared" ref="T448:T500" si="72">IF(Q448="","",IF(Q448="이체",E448,IF(D448=Q448,E448,-E448)))</f>
      </c>
      <c r="U448">
        <f t="shared" ref="U448:U500" si="73">IF(Q448="","",IF(ISNUMBER(SEARCH("날짜 미기록",G448)),"날짜 미기록",A448))</f>
      </c>
      <c r="Y448">
        <f t="shared" ref="Y448:Y500" si="74">IF(A448="","",IF(I448="OK",E448,0))</f>
      </c>
      <c r="Z448">
        <f>IFERROR(IF(AND(ISNUMBER(A448),A448&gt;=$B$3,A448&lt;EDATE($B$3,1)),COUNTIFS($A$64:$A$500,"&gt;"&amp;A448,$A$64:$A$500,"&lt;"&amp;EDATE($B$3,1))+COUNTIF($A$64:A448,A448),0),0)</f>
        <v>0</v>
      </c>
    </row>
    <row r="449" spans="1:25" ht="28" hidden="1" customHeight="1" outlineLevel="1">
      <c r="A449" s="314"/>
      <c r="B449" s="318"/>
      <c r="C449" s="318"/>
      <c r="D449" s="318"/>
      <c r="E449" s="316"/>
      <c r="F449" s="318"/>
      <c r="G449" s="318"/>
      <c r="H449" s="317">
        <f t="shared" si="67"/>
      </c>
      <c r="I449" s="318">
        <f t="shared" si="68"/>
      </c>
      <c r="J449" s="318"/>
      <c r="K449" s="318"/>
      <c r="L449" s="318"/>
      <c r="P449">
        <f t="shared" si="69"/>
      </c>
      <c r="Q449">
        <f t="shared" si="70"/>
      </c>
      <c r="R449">
        <f>IF(P449="","",TEXT(H449,"yyyymm")&amp;"_"&amp;P449&amp;"_"&amp;(COUNTIFS($H$64:$H$500,H449,$P$64:$P$500,P449,$A$64:$A$500,"&gt;"&amp;A449)+COUNTIFS($H$64:H449,H449,$P$64:P449,P449,$A$64:A449,A449)))</f>
      </c>
      <c r="S449">
        <f t="shared" si="71"/>
      </c>
      <c r="T449">
        <f t="shared" si="72"/>
      </c>
      <c r="U449">
        <f t="shared" si="73"/>
      </c>
      <c r="Y449">
        <f t="shared" si="74"/>
      </c>
      <c r="Z449">
        <f>IFERROR(IF(AND(ISNUMBER(A449),A449&gt;=$B$3,A449&lt;EDATE($B$3,1)),COUNTIFS($A$64:$A$500,"&gt;"&amp;A449,$A$64:$A$500,"&lt;"&amp;EDATE($B$3,1))+COUNTIF($A$64:A449,A449),0),0)</f>
        <v>0</v>
      </c>
    </row>
    <row r="450" spans="1:25" ht="28" hidden="1" customHeight="1" outlineLevel="1">
      <c r="A450" s="314"/>
      <c r="B450" s="318"/>
      <c r="C450" s="318"/>
      <c r="D450" s="318"/>
      <c r="E450" s="316"/>
      <c r="F450" s="318"/>
      <c r="G450" s="318"/>
      <c r="H450" s="317">
        <f t="shared" si="67"/>
      </c>
      <c r="I450" s="318">
        <f t="shared" si="68"/>
      </c>
      <c r="J450" s="318"/>
      <c r="K450" s="318"/>
      <c r="L450" s="318"/>
      <c r="P450">
        <f t="shared" si="69"/>
      </c>
      <c r="Q450">
        <f t="shared" si="70"/>
      </c>
      <c r="R450">
        <f>IF(P450="","",TEXT(H450,"yyyymm")&amp;"_"&amp;P450&amp;"_"&amp;(COUNTIFS($H$64:$H$500,H450,$P$64:$P$500,P450,$A$64:$A$500,"&gt;"&amp;A450)+COUNTIFS($H$64:H450,H450,$P$64:P450,P450,$A$64:A450,A450)))</f>
      </c>
      <c r="S450">
        <f t="shared" si="71"/>
      </c>
      <c r="T450">
        <f t="shared" si="72"/>
      </c>
      <c r="U450">
        <f t="shared" si="73"/>
      </c>
      <c r="Y450">
        <f t="shared" si="74"/>
      </c>
      <c r="Z450">
        <f>IFERROR(IF(AND(ISNUMBER(A450),A450&gt;=$B$3,A450&lt;EDATE($B$3,1)),COUNTIFS($A$64:$A$500,"&gt;"&amp;A450,$A$64:$A$500,"&lt;"&amp;EDATE($B$3,1))+COUNTIF($A$64:A450,A450),0),0)</f>
        <v>0</v>
      </c>
    </row>
    <row r="451" spans="1:25" ht="28" hidden="1" customHeight="1" outlineLevel="1">
      <c r="A451" s="314"/>
      <c r="B451" s="318"/>
      <c r="C451" s="318"/>
      <c r="D451" s="318"/>
      <c r="E451" s="316"/>
      <c r="F451" s="318"/>
      <c r="G451" s="318"/>
      <c r="H451" s="317">
        <f t="shared" si="67"/>
      </c>
      <c r="I451" s="318">
        <f t="shared" si="68"/>
      </c>
      <c r="J451" s="318"/>
      <c r="K451" s="318"/>
      <c r="L451" s="318"/>
      <c r="P451">
        <f t="shared" si="69"/>
      </c>
      <c r="Q451">
        <f t="shared" si="70"/>
      </c>
      <c r="R451">
        <f>IF(P451="","",TEXT(H451,"yyyymm")&amp;"_"&amp;P451&amp;"_"&amp;(COUNTIFS($H$64:$H$500,H451,$P$64:$P$500,P451,$A$64:$A$500,"&gt;"&amp;A451)+COUNTIFS($H$64:H451,H451,$P$64:P451,P451,$A$64:A451,A451)))</f>
      </c>
      <c r="S451">
        <f t="shared" si="71"/>
      </c>
      <c r="T451">
        <f t="shared" si="72"/>
      </c>
      <c r="U451">
        <f t="shared" si="73"/>
      </c>
      <c r="Y451">
        <f t="shared" si="74"/>
      </c>
      <c r="Z451">
        <f>IFERROR(IF(AND(ISNUMBER(A451),A451&gt;=$B$3,A451&lt;EDATE($B$3,1)),COUNTIFS($A$64:$A$500,"&gt;"&amp;A451,$A$64:$A$500,"&lt;"&amp;EDATE($B$3,1))+COUNTIF($A$64:A451,A451),0),0)</f>
        <v>0</v>
      </c>
    </row>
    <row r="452" spans="1:25" ht="28" hidden="1" customHeight="1" outlineLevel="1">
      <c r="A452" s="314"/>
      <c r="B452" s="318"/>
      <c r="C452" s="318"/>
      <c r="D452" s="318"/>
      <c r="E452" s="316"/>
      <c r="F452" s="318"/>
      <c r="G452" s="318"/>
      <c r="H452" s="317">
        <f t="shared" si="67"/>
      </c>
      <c r="I452" s="318">
        <f t="shared" si="68"/>
      </c>
      <c r="J452" s="318"/>
      <c r="K452" s="318"/>
      <c r="L452" s="318"/>
      <c r="P452">
        <f t="shared" si="69"/>
      </c>
      <c r="Q452">
        <f t="shared" si="70"/>
      </c>
      <c r="R452">
        <f>IF(P452="","",TEXT(H452,"yyyymm")&amp;"_"&amp;P452&amp;"_"&amp;(COUNTIFS($H$64:$H$500,H452,$P$64:$P$500,P452,$A$64:$A$500,"&gt;"&amp;A452)+COUNTIFS($H$64:H452,H452,$P$64:P452,P452,$A$64:A452,A452)))</f>
      </c>
      <c r="S452">
        <f t="shared" si="71"/>
      </c>
      <c r="T452">
        <f t="shared" si="72"/>
      </c>
      <c r="U452">
        <f t="shared" si="73"/>
      </c>
      <c r="Y452">
        <f t="shared" si="74"/>
      </c>
      <c r="Z452">
        <f>IFERROR(IF(AND(ISNUMBER(A452),A452&gt;=$B$3,A452&lt;EDATE($B$3,1)),COUNTIFS($A$64:$A$500,"&gt;"&amp;A452,$A$64:$A$500,"&lt;"&amp;EDATE($B$3,1))+COUNTIF($A$64:A452,A452),0),0)</f>
        <v>0</v>
      </c>
    </row>
    <row r="453" spans="1:25" ht="28" hidden="1" customHeight="1" outlineLevel="1">
      <c r="A453" s="314"/>
      <c r="B453" s="318"/>
      <c r="C453" s="318"/>
      <c r="D453" s="318"/>
      <c r="E453" s="316"/>
      <c r="F453" s="318"/>
      <c r="G453" s="318"/>
      <c r="H453" s="317">
        <f t="shared" si="67"/>
      </c>
      <c r="I453" s="318">
        <f t="shared" si="68"/>
      </c>
      <c r="J453" s="318"/>
      <c r="K453" s="318"/>
      <c r="L453" s="318"/>
      <c r="P453">
        <f t="shared" si="69"/>
      </c>
      <c r="Q453">
        <f t="shared" si="70"/>
      </c>
      <c r="R453">
        <f>IF(P453="","",TEXT(H453,"yyyymm")&amp;"_"&amp;P453&amp;"_"&amp;(COUNTIFS($H$64:$H$500,H453,$P$64:$P$500,P453,$A$64:$A$500,"&gt;"&amp;A453)+COUNTIFS($H$64:H453,H453,$P$64:P453,P453,$A$64:A453,A453)))</f>
      </c>
      <c r="S453">
        <f t="shared" si="71"/>
      </c>
      <c r="T453">
        <f t="shared" si="72"/>
      </c>
      <c r="U453">
        <f t="shared" si="73"/>
      </c>
      <c r="Y453">
        <f t="shared" si="74"/>
      </c>
      <c r="Z453">
        <f>IFERROR(IF(AND(ISNUMBER(A453),A453&gt;=$B$3,A453&lt;EDATE($B$3,1)),COUNTIFS($A$64:$A$500,"&gt;"&amp;A453,$A$64:$A$500,"&lt;"&amp;EDATE($B$3,1))+COUNTIF($A$64:A453,A453),0),0)</f>
        <v>0</v>
      </c>
    </row>
    <row r="454" spans="1:25" ht="28" hidden="1" customHeight="1" outlineLevel="1">
      <c r="A454" s="314"/>
      <c r="B454" s="318"/>
      <c r="C454" s="318"/>
      <c r="D454" s="318"/>
      <c r="E454" s="316"/>
      <c r="F454" s="318"/>
      <c r="G454" s="318"/>
      <c r="H454" s="317">
        <f t="shared" si="67"/>
      </c>
      <c r="I454" s="318">
        <f t="shared" si="68"/>
      </c>
      <c r="J454" s="318"/>
      <c r="K454" s="318"/>
      <c r="L454" s="318"/>
      <c r="P454">
        <f t="shared" si="69"/>
      </c>
      <c r="Q454">
        <f t="shared" si="70"/>
      </c>
      <c r="R454">
        <f>IF(P454="","",TEXT(H454,"yyyymm")&amp;"_"&amp;P454&amp;"_"&amp;(COUNTIFS($H$64:$H$500,H454,$P$64:$P$500,P454,$A$64:$A$500,"&gt;"&amp;A454)+COUNTIFS($H$64:H454,H454,$P$64:P454,P454,$A$64:A454,A454)))</f>
      </c>
      <c r="S454">
        <f t="shared" si="71"/>
      </c>
      <c r="T454">
        <f t="shared" si="72"/>
      </c>
      <c r="U454">
        <f t="shared" si="73"/>
      </c>
      <c r="Y454">
        <f t="shared" si="74"/>
      </c>
      <c r="Z454">
        <f>IFERROR(IF(AND(ISNUMBER(A454),A454&gt;=$B$3,A454&lt;EDATE($B$3,1)),COUNTIFS($A$64:$A$500,"&gt;"&amp;A454,$A$64:$A$500,"&lt;"&amp;EDATE($B$3,1))+COUNTIF($A$64:A454,A454),0),0)</f>
        <v>0</v>
      </c>
    </row>
    <row r="455" spans="1:25" ht="28" hidden="1" customHeight="1" outlineLevel="1">
      <c r="A455" s="314"/>
      <c r="B455" s="318"/>
      <c r="C455" s="318"/>
      <c r="D455" s="318"/>
      <c r="E455" s="316"/>
      <c r="F455" s="318"/>
      <c r="G455" s="318"/>
      <c r="H455" s="317">
        <f t="shared" si="67"/>
      </c>
      <c r="I455" s="318">
        <f t="shared" si="68"/>
      </c>
      <c r="J455" s="318"/>
      <c r="K455" s="318"/>
      <c r="L455" s="318"/>
      <c r="P455">
        <f t="shared" si="69"/>
      </c>
      <c r="Q455">
        <f t="shared" si="70"/>
      </c>
      <c r="R455">
        <f>IF(P455="","",TEXT(H455,"yyyymm")&amp;"_"&amp;P455&amp;"_"&amp;(COUNTIFS($H$64:$H$500,H455,$P$64:$P$500,P455,$A$64:$A$500,"&gt;"&amp;A455)+COUNTIFS($H$64:H455,H455,$P$64:P455,P455,$A$64:A455,A455)))</f>
      </c>
      <c r="S455">
        <f t="shared" si="71"/>
      </c>
      <c r="T455">
        <f t="shared" si="72"/>
      </c>
      <c r="U455">
        <f t="shared" si="73"/>
      </c>
      <c r="Y455">
        <f t="shared" si="74"/>
      </c>
      <c r="Z455">
        <f>IFERROR(IF(AND(ISNUMBER(A455),A455&gt;=$B$3,A455&lt;EDATE($B$3,1)),COUNTIFS($A$64:$A$500,"&gt;"&amp;A455,$A$64:$A$500,"&lt;"&amp;EDATE($B$3,1))+COUNTIF($A$64:A455,A455),0),0)</f>
        <v>0</v>
      </c>
    </row>
    <row r="456" spans="1:25" ht="28" hidden="1" customHeight="1" outlineLevel="1">
      <c r="A456" s="314"/>
      <c r="B456" s="318"/>
      <c r="C456" s="318"/>
      <c r="D456" s="318"/>
      <c r="E456" s="316"/>
      <c r="F456" s="318"/>
      <c r="G456" s="318"/>
      <c r="H456" s="317">
        <f t="shared" si="67"/>
      </c>
      <c r="I456" s="318">
        <f t="shared" si="68"/>
      </c>
      <c r="J456" s="318"/>
      <c r="K456" s="318"/>
      <c r="L456" s="318"/>
      <c r="P456">
        <f t="shared" si="69"/>
      </c>
      <c r="Q456">
        <f t="shared" si="70"/>
      </c>
      <c r="R456">
        <f>IF(P456="","",TEXT(H456,"yyyymm")&amp;"_"&amp;P456&amp;"_"&amp;(COUNTIFS($H$64:$H$500,H456,$P$64:$P$500,P456,$A$64:$A$500,"&gt;"&amp;A456)+COUNTIFS($H$64:H456,H456,$P$64:P456,P456,$A$64:A456,A456)))</f>
      </c>
      <c r="S456">
        <f t="shared" si="71"/>
      </c>
      <c r="T456">
        <f t="shared" si="72"/>
      </c>
      <c r="U456">
        <f t="shared" si="73"/>
      </c>
      <c r="Y456">
        <f t="shared" si="74"/>
      </c>
      <c r="Z456">
        <f>IFERROR(IF(AND(ISNUMBER(A456),A456&gt;=$B$3,A456&lt;EDATE($B$3,1)),COUNTIFS($A$64:$A$500,"&gt;"&amp;A456,$A$64:$A$500,"&lt;"&amp;EDATE($B$3,1))+COUNTIF($A$64:A456,A456),0),0)</f>
        <v>0</v>
      </c>
    </row>
    <row r="457" spans="1:25" ht="28" hidden="1" customHeight="1" outlineLevel="1">
      <c r="A457" s="314"/>
      <c r="B457" s="318"/>
      <c r="C457" s="318"/>
      <c r="D457" s="318"/>
      <c r="E457" s="316"/>
      <c r="F457" s="318"/>
      <c r="G457" s="318"/>
      <c r="H457" s="317">
        <f t="shared" si="67"/>
      </c>
      <c r="I457" s="318">
        <f t="shared" si="68"/>
      </c>
      <c r="J457" s="318"/>
      <c r="K457" s="318"/>
      <c r="L457" s="318"/>
      <c r="P457">
        <f t="shared" si="69"/>
      </c>
      <c r="Q457">
        <f t="shared" si="70"/>
      </c>
      <c r="R457">
        <f>IF(P457="","",TEXT(H457,"yyyymm")&amp;"_"&amp;P457&amp;"_"&amp;(COUNTIFS($H$64:$H$500,H457,$P$64:$P$500,P457,$A$64:$A$500,"&gt;"&amp;A457)+COUNTIFS($H$64:H457,H457,$P$64:P457,P457,$A$64:A457,A457)))</f>
      </c>
      <c r="S457">
        <f t="shared" si="71"/>
      </c>
      <c r="T457">
        <f t="shared" si="72"/>
      </c>
      <c r="U457">
        <f t="shared" si="73"/>
      </c>
      <c r="Y457">
        <f t="shared" si="74"/>
      </c>
      <c r="Z457">
        <f>IFERROR(IF(AND(ISNUMBER(A457),A457&gt;=$B$3,A457&lt;EDATE($B$3,1)),COUNTIFS($A$64:$A$500,"&gt;"&amp;A457,$A$64:$A$500,"&lt;"&amp;EDATE($B$3,1))+COUNTIF($A$64:A457,A457),0),0)</f>
        <v>0</v>
      </c>
    </row>
    <row r="458" spans="1:25" ht="28" hidden="1" customHeight="1" outlineLevel="1">
      <c r="A458" s="314"/>
      <c r="B458" s="318"/>
      <c r="C458" s="318"/>
      <c r="D458" s="318"/>
      <c r="E458" s="316"/>
      <c r="F458" s="318"/>
      <c r="G458" s="318"/>
      <c r="H458" s="317">
        <f t="shared" si="67"/>
      </c>
      <c r="I458" s="318">
        <f t="shared" si="68"/>
      </c>
      <c r="J458" s="318"/>
      <c r="K458" s="318"/>
      <c r="L458" s="318"/>
      <c r="P458">
        <f t="shared" si="69"/>
      </c>
      <c r="Q458">
        <f t="shared" si="70"/>
      </c>
      <c r="R458">
        <f>IF(P458="","",TEXT(H458,"yyyymm")&amp;"_"&amp;P458&amp;"_"&amp;(COUNTIFS($H$64:$H$500,H458,$P$64:$P$500,P458,$A$64:$A$500,"&gt;"&amp;A458)+COUNTIFS($H$64:H458,H458,$P$64:P458,P458,$A$64:A458,A458)))</f>
      </c>
      <c r="S458">
        <f t="shared" si="71"/>
      </c>
      <c r="T458">
        <f t="shared" si="72"/>
      </c>
      <c r="U458">
        <f t="shared" si="73"/>
      </c>
      <c r="Y458">
        <f t="shared" si="74"/>
      </c>
      <c r="Z458">
        <f>IFERROR(IF(AND(ISNUMBER(A458),A458&gt;=$B$3,A458&lt;EDATE($B$3,1)),COUNTIFS($A$64:$A$500,"&gt;"&amp;A458,$A$64:$A$500,"&lt;"&amp;EDATE($B$3,1))+COUNTIF($A$64:A458,A458),0),0)</f>
        <v>0</v>
      </c>
    </row>
    <row r="459" spans="1:25" ht="28" hidden="1" customHeight="1" outlineLevel="1">
      <c r="A459" s="314"/>
      <c r="B459" s="318"/>
      <c r="C459" s="318"/>
      <c r="D459" s="318"/>
      <c r="E459" s="316"/>
      <c r="F459" s="318"/>
      <c r="G459" s="318"/>
      <c r="H459" s="317">
        <f t="shared" si="67"/>
      </c>
      <c r="I459" s="318">
        <f t="shared" si="68"/>
      </c>
      <c r="J459" s="318"/>
      <c r="K459" s="318"/>
      <c r="L459" s="318"/>
      <c r="P459">
        <f t="shared" si="69"/>
      </c>
      <c r="Q459">
        <f t="shared" si="70"/>
      </c>
      <c r="R459">
        <f>IF(P459="","",TEXT(H459,"yyyymm")&amp;"_"&amp;P459&amp;"_"&amp;(COUNTIFS($H$64:$H$500,H459,$P$64:$P$500,P459,$A$64:$A$500,"&gt;"&amp;A459)+COUNTIFS($H$64:H459,H459,$P$64:P459,P459,$A$64:A459,A459)))</f>
      </c>
      <c r="S459">
        <f t="shared" si="71"/>
      </c>
      <c r="T459">
        <f t="shared" si="72"/>
      </c>
      <c r="U459">
        <f t="shared" si="73"/>
      </c>
      <c r="Y459">
        <f t="shared" si="74"/>
      </c>
      <c r="Z459">
        <f>IFERROR(IF(AND(ISNUMBER(A459),A459&gt;=$B$3,A459&lt;EDATE($B$3,1)),COUNTIFS($A$64:$A$500,"&gt;"&amp;A459,$A$64:$A$500,"&lt;"&amp;EDATE($B$3,1))+COUNTIF($A$64:A459,A459),0),0)</f>
        <v>0</v>
      </c>
    </row>
    <row r="460" spans="1:25" ht="28" hidden="1" customHeight="1" outlineLevel="1">
      <c r="A460" s="314"/>
      <c r="B460" s="318"/>
      <c r="C460" s="318"/>
      <c r="D460" s="318"/>
      <c r="E460" s="316"/>
      <c r="F460" s="318"/>
      <c r="G460" s="318"/>
      <c r="H460" s="317">
        <f t="shared" si="67"/>
      </c>
      <c r="I460" s="318">
        <f t="shared" si="68"/>
      </c>
      <c r="J460" s="318"/>
      <c r="K460" s="318"/>
      <c r="L460" s="318"/>
      <c r="P460">
        <f t="shared" si="69"/>
      </c>
      <c r="Q460">
        <f t="shared" si="70"/>
      </c>
      <c r="R460">
        <f>IF(P460="","",TEXT(H460,"yyyymm")&amp;"_"&amp;P460&amp;"_"&amp;(COUNTIFS($H$64:$H$500,H460,$P$64:$P$500,P460,$A$64:$A$500,"&gt;"&amp;A460)+COUNTIFS($H$64:H460,H460,$P$64:P460,P460,$A$64:A460,A460)))</f>
      </c>
      <c r="S460">
        <f t="shared" si="71"/>
      </c>
      <c r="T460">
        <f t="shared" si="72"/>
      </c>
      <c r="U460">
        <f t="shared" si="73"/>
      </c>
      <c r="Y460">
        <f t="shared" si="74"/>
      </c>
      <c r="Z460">
        <f>IFERROR(IF(AND(ISNUMBER(A460),A460&gt;=$B$3,A460&lt;EDATE($B$3,1)),COUNTIFS($A$64:$A$500,"&gt;"&amp;A460,$A$64:$A$500,"&lt;"&amp;EDATE($B$3,1))+COUNTIF($A$64:A460,A460),0),0)</f>
        <v>0</v>
      </c>
    </row>
    <row r="461" spans="1:25" ht="28" hidden="1" customHeight="1" outlineLevel="1">
      <c r="A461" s="314"/>
      <c r="B461" s="318"/>
      <c r="C461" s="318"/>
      <c r="D461" s="318"/>
      <c r="E461" s="316"/>
      <c r="F461" s="318"/>
      <c r="G461" s="318"/>
      <c r="H461" s="317">
        <f t="shared" si="67"/>
      </c>
      <c r="I461" s="318">
        <f t="shared" si="68"/>
      </c>
      <c r="J461" s="318"/>
      <c r="K461" s="318"/>
      <c r="L461" s="318"/>
      <c r="P461">
        <f t="shared" si="69"/>
      </c>
      <c r="Q461">
        <f t="shared" si="70"/>
      </c>
      <c r="R461">
        <f>IF(P461="","",TEXT(H461,"yyyymm")&amp;"_"&amp;P461&amp;"_"&amp;(COUNTIFS($H$64:$H$500,H461,$P$64:$P$500,P461,$A$64:$A$500,"&gt;"&amp;A461)+COUNTIFS($H$64:H461,H461,$P$64:P461,P461,$A$64:A461,A461)))</f>
      </c>
      <c r="S461">
        <f t="shared" si="71"/>
      </c>
      <c r="T461">
        <f t="shared" si="72"/>
      </c>
      <c r="U461">
        <f t="shared" si="73"/>
      </c>
      <c r="Y461">
        <f t="shared" si="74"/>
      </c>
      <c r="Z461">
        <f>IFERROR(IF(AND(ISNUMBER(A461),A461&gt;=$B$3,A461&lt;EDATE($B$3,1)),COUNTIFS($A$64:$A$500,"&gt;"&amp;A461,$A$64:$A$500,"&lt;"&amp;EDATE($B$3,1))+COUNTIF($A$64:A461,A461),0),0)</f>
        <v>0</v>
      </c>
    </row>
    <row r="462" spans="1:25" ht="28" hidden="1" customHeight="1" outlineLevel="1">
      <c r="A462" s="314"/>
      <c r="B462" s="318"/>
      <c r="C462" s="318"/>
      <c r="D462" s="318"/>
      <c r="E462" s="316"/>
      <c r="F462" s="318"/>
      <c r="G462" s="318"/>
      <c r="H462" s="317">
        <f t="shared" si="67"/>
      </c>
      <c r="I462" s="318">
        <f t="shared" si="68"/>
      </c>
      <c r="J462" s="318"/>
      <c r="K462" s="318"/>
      <c r="L462" s="318"/>
      <c r="P462">
        <f t="shared" si="69"/>
      </c>
      <c r="Q462">
        <f t="shared" si="70"/>
      </c>
      <c r="R462">
        <f>IF(P462="","",TEXT(H462,"yyyymm")&amp;"_"&amp;P462&amp;"_"&amp;(COUNTIFS($H$64:$H$500,H462,$P$64:$P$500,P462,$A$64:$A$500,"&gt;"&amp;A462)+COUNTIFS($H$64:H462,H462,$P$64:P462,P462,$A$64:A462,A462)))</f>
      </c>
      <c r="S462">
        <f t="shared" si="71"/>
      </c>
      <c r="T462">
        <f t="shared" si="72"/>
      </c>
      <c r="U462">
        <f t="shared" si="73"/>
      </c>
      <c r="Y462">
        <f t="shared" si="74"/>
      </c>
      <c r="Z462">
        <f>IFERROR(IF(AND(ISNUMBER(A462),A462&gt;=$B$3,A462&lt;EDATE($B$3,1)),COUNTIFS($A$64:$A$500,"&gt;"&amp;A462,$A$64:$A$500,"&lt;"&amp;EDATE($B$3,1))+COUNTIF($A$64:A462,A462),0),0)</f>
        <v>0</v>
      </c>
    </row>
    <row r="463" spans="1:25" ht="28" hidden="1" customHeight="1" outlineLevel="1">
      <c r="A463" s="314"/>
      <c r="B463" s="318"/>
      <c r="C463" s="318"/>
      <c r="D463" s="318"/>
      <c r="E463" s="316"/>
      <c r="F463" s="318"/>
      <c r="G463" s="318"/>
      <c r="H463" s="317">
        <f t="shared" si="67"/>
      </c>
      <c r="I463" s="318">
        <f t="shared" si="68"/>
      </c>
      <c r="J463" s="318"/>
      <c r="K463" s="318"/>
      <c r="L463" s="318"/>
      <c r="P463">
        <f t="shared" si="69"/>
      </c>
      <c r="Q463">
        <f t="shared" si="70"/>
      </c>
      <c r="R463">
        <f>IF(P463="","",TEXT(H463,"yyyymm")&amp;"_"&amp;P463&amp;"_"&amp;(COUNTIFS($H$64:$H$500,H463,$P$64:$P$500,P463,$A$64:$A$500,"&gt;"&amp;A463)+COUNTIFS($H$64:H463,H463,$P$64:P463,P463,$A$64:A463,A463)))</f>
      </c>
      <c r="S463">
        <f t="shared" si="71"/>
      </c>
      <c r="T463">
        <f t="shared" si="72"/>
      </c>
      <c r="U463">
        <f t="shared" si="73"/>
      </c>
      <c r="Y463">
        <f t="shared" si="74"/>
      </c>
      <c r="Z463">
        <f>IFERROR(IF(AND(ISNUMBER(A463),A463&gt;=$B$3,A463&lt;EDATE($B$3,1)),COUNTIFS($A$64:$A$500,"&gt;"&amp;A463,$A$64:$A$500,"&lt;"&amp;EDATE($B$3,1))+COUNTIF($A$64:A463,A463),0),0)</f>
        <v>0</v>
      </c>
    </row>
    <row r="464" spans="1:25" ht="28" hidden="1" customHeight="1" outlineLevel="1">
      <c r="A464" s="314"/>
      <c r="B464" s="318"/>
      <c r="C464" s="318"/>
      <c r="D464" s="318"/>
      <c r="E464" s="316"/>
      <c r="F464" s="318"/>
      <c r="G464" s="318"/>
      <c r="H464" s="317">
        <f t="shared" si="67"/>
      </c>
      <c r="I464" s="318">
        <f t="shared" si="68"/>
      </c>
      <c r="J464" s="318"/>
      <c r="K464" s="318"/>
      <c r="L464" s="318"/>
      <c r="P464">
        <f t="shared" si="69"/>
      </c>
      <c r="Q464">
        <f t="shared" si="70"/>
      </c>
      <c r="R464">
        <f>IF(P464="","",TEXT(H464,"yyyymm")&amp;"_"&amp;P464&amp;"_"&amp;(COUNTIFS($H$64:$H$500,H464,$P$64:$P$500,P464,$A$64:$A$500,"&gt;"&amp;A464)+COUNTIFS($H$64:H464,H464,$P$64:P464,P464,$A$64:A464,A464)))</f>
      </c>
      <c r="S464">
        <f t="shared" si="71"/>
      </c>
      <c r="T464">
        <f t="shared" si="72"/>
      </c>
      <c r="U464">
        <f t="shared" si="73"/>
      </c>
      <c r="Y464">
        <f t="shared" si="74"/>
      </c>
      <c r="Z464">
        <f>IFERROR(IF(AND(ISNUMBER(A464),A464&gt;=$B$3,A464&lt;EDATE($B$3,1)),COUNTIFS($A$64:$A$500,"&gt;"&amp;A464,$A$64:$A$500,"&lt;"&amp;EDATE($B$3,1))+COUNTIF($A$64:A464,A464),0),0)</f>
        <v>0</v>
      </c>
    </row>
    <row r="465" spans="1:25" ht="28" hidden="1" customHeight="1" outlineLevel="1">
      <c r="A465" s="314"/>
      <c r="B465" s="318"/>
      <c r="C465" s="318"/>
      <c r="D465" s="318"/>
      <c r="E465" s="316"/>
      <c r="F465" s="318"/>
      <c r="G465" s="318"/>
      <c r="H465" s="317">
        <f t="shared" si="67"/>
      </c>
      <c r="I465" s="318">
        <f t="shared" si="68"/>
      </c>
      <c r="J465" s="318"/>
      <c r="K465" s="318"/>
      <c r="L465" s="318"/>
      <c r="P465">
        <f t="shared" si="69"/>
      </c>
      <c r="Q465">
        <f t="shared" si="70"/>
      </c>
      <c r="R465">
        <f>IF(P465="","",TEXT(H465,"yyyymm")&amp;"_"&amp;P465&amp;"_"&amp;(COUNTIFS($H$64:$H$500,H465,$P$64:$P$500,P465,$A$64:$A$500,"&gt;"&amp;A465)+COUNTIFS($H$64:H465,H465,$P$64:P465,P465,$A$64:A465,A465)))</f>
      </c>
      <c r="S465">
        <f t="shared" si="71"/>
      </c>
      <c r="T465">
        <f t="shared" si="72"/>
      </c>
      <c r="U465">
        <f t="shared" si="73"/>
      </c>
      <c r="Y465">
        <f t="shared" si="74"/>
      </c>
      <c r="Z465">
        <f>IFERROR(IF(AND(ISNUMBER(A465),A465&gt;=$B$3,A465&lt;EDATE($B$3,1)),COUNTIFS($A$64:$A$500,"&gt;"&amp;A465,$A$64:$A$500,"&lt;"&amp;EDATE($B$3,1))+COUNTIF($A$64:A465,A465),0),0)</f>
        <v>0</v>
      </c>
    </row>
    <row r="466" spans="1:25" ht="28" hidden="1" customHeight="1" outlineLevel="1">
      <c r="A466" s="314"/>
      <c r="B466" s="318"/>
      <c r="C466" s="318"/>
      <c r="D466" s="318"/>
      <c r="E466" s="316"/>
      <c r="F466" s="318"/>
      <c r="G466" s="318"/>
      <c r="H466" s="317">
        <f t="shared" si="67"/>
      </c>
      <c r="I466" s="318">
        <f t="shared" si="68"/>
      </c>
      <c r="J466" s="318"/>
      <c r="K466" s="318"/>
      <c r="L466" s="318"/>
      <c r="P466">
        <f t="shared" si="69"/>
      </c>
      <c r="Q466">
        <f t="shared" si="70"/>
      </c>
      <c r="R466">
        <f>IF(P466="","",TEXT(H466,"yyyymm")&amp;"_"&amp;P466&amp;"_"&amp;(COUNTIFS($H$64:$H$500,H466,$P$64:$P$500,P466,$A$64:$A$500,"&gt;"&amp;A466)+COUNTIFS($H$64:H466,H466,$P$64:P466,P466,$A$64:A466,A466)))</f>
      </c>
      <c r="S466">
        <f t="shared" si="71"/>
      </c>
      <c r="T466">
        <f t="shared" si="72"/>
      </c>
      <c r="U466">
        <f t="shared" si="73"/>
      </c>
      <c r="Y466">
        <f t="shared" si="74"/>
      </c>
      <c r="Z466">
        <f>IFERROR(IF(AND(ISNUMBER(A466),A466&gt;=$B$3,A466&lt;EDATE($B$3,1)),COUNTIFS($A$64:$A$500,"&gt;"&amp;A466,$A$64:$A$500,"&lt;"&amp;EDATE($B$3,1))+COUNTIF($A$64:A466,A466),0),0)</f>
        <v>0</v>
      </c>
    </row>
    <row r="467" spans="1:25" ht="28" hidden="1" customHeight="1" outlineLevel="1">
      <c r="A467" s="314"/>
      <c r="B467" s="318"/>
      <c r="C467" s="318"/>
      <c r="D467" s="318"/>
      <c r="E467" s="316"/>
      <c r="F467" s="318"/>
      <c r="G467" s="318"/>
      <c r="H467" s="317">
        <f t="shared" si="67"/>
      </c>
      <c r="I467" s="318">
        <f t="shared" si="68"/>
      </c>
      <c r="J467" s="318"/>
      <c r="K467" s="318"/>
      <c r="L467" s="318"/>
      <c r="P467">
        <f t="shared" si="69"/>
      </c>
      <c r="Q467">
        <f t="shared" si="70"/>
      </c>
      <c r="R467">
        <f>IF(P467="","",TEXT(H467,"yyyymm")&amp;"_"&amp;P467&amp;"_"&amp;(COUNTIFS($H$64:$H$500,H467,$P$64:$P$500,P467,$A$64:$A$500,"&gt;"&amp;A467)+COUNTIFS($H$64:H467,H467,$P$64:P467,P467,$A$64:A467,A467)))</f>
      </c>
      <c r="S467">
        <f t="shared" si="71"/>
      </c>
      <c r="T467">
        <f t="shared" si="72"/>
      </c>
      <c r="U467">
        <f t="shared" si="73"/>
      </c>
      <c r="Y467">
        <f t="shared" si="74"/>
      </c>
      <c r="Z467">
        <f>IFERROR(IF(AND(ISNUMBER(A467),A467&gt;=$B$3,A467&lt;EDATE($B$3,1)),COUNTIFS($A$64:$A$500,"&gt;"&amp;A467,$A$64:$A$500,"&lt;"&amp;EDATE($B$3,1))+COUNTIF($A$64:A467,A467),0),0)</f>
        <v>0</v>
      </c>
    </row>
    <row r="468" spans="1:25" ht="28" hidden="1" customHeight="1" outlineLevel="1">
      <c r="A468" s="314"/>
      <c r="B468" s="318"/>
      <c r="C468" s="318"/>
      <c r="D468" s="318"/>
      <c r="E468" s="316"/>
      <c r="F468" s="318"/>
      <c r="G468" s="318"/>
      <c r="H468" s="317">
        <f t="shared" si="67"/>
      </c>
      <c r="I468" s="318">
        <f t="shared" si="68"/>
      </c>
      <c r="J468" s="318"/>
      <c r="K468" s="318"/>
      <c r="L468" s="318"/>
      <c r="P468">
        <f t="shared" si="69"/>
      </c>
      <c r="Q468">
        <f t="shared" si="70"/>
      </c>
      <c r="R468">
        <f>IF(P468="","",TEXT(H468,"yyyymm")&amp;"_"&amp;P468&amp;"_"&amp;(COUNTIFS($H$64:$H$500,H468,$P$64:$P$500,P468,$A$64:$A$500,"&gt;"&amp;A468)+COUNTIFS($H$64:H468,H468,$P$64:P468,P468,$A$64:A468,A468)))</f>
      </c>
      <c r="S468">
        <f t="shared" si="71"/>
      </c>
      <c r="T468">
        <f t="shared" si="72"/>
      </c>
      <c r="U468">
        <f t="shared" si="73"/>
      </c>
      <c r="Y468">
        <f t="shared" si="74"/>
      </c>
      <c r="Z468">
        <f>IFERROR(IF(AND(ISNUMBER(A468),A468&gt;=$B$3,A468&lt;EDATE($B$3,1)),COUNTIFS($A$64:$A$500,"&gt;"&amp;A468,$A$64:$A$500,"&lt;"&amp;EDATE($B$3,1))+COUNTIF($A$64:A468,A468),0),0)</f>
        <v>0</v>
      </c>
    </row>
    <row r="469" spans="1:25" ht="28" hidden="1" customHeight="1" outlineLevel="1">
      <c r="A469" s="314"/>
      <c r="B469" s="318"/>
      <c r="C469" s="318"/>
      <c r="D469" s="318"/>
      <c r="E469" s="316"/>
      <c r="F469" s="318"/>
      <c r="G469" s="318"/>
      <c r="H469" s="317">
        <f t="shared" si="67"/>
      </c>
      <c r="I469" s="318">
        <f t="shared" si="68"/>
      </c>
      <c r="J469" s="318"/>
      <c r="K469" s="318"/>
      <c r="L469" s="318"/>
      <c r="P469">
        <f t="shared" si="69"/>
      </c>
      <c r="Q469">
        <f t="shared" si="70"/>
      </c>
      <c r="R469">
        <f>IF(P469="","",TEXT(H469,"yyyymm")&amp;"_"&amp;P469&amp;"_"&amp;(COUNTIFS($H$64:$H$500,H469,$P$64:$P$500,P469,$A$64:$A$500,"&gt;"&amp;A469)+COUNTIFS($H$64:H469,H469,$P$64:P469,P469,$A$64:A469,A469)))</f>
      </c>
      <c r="S469">
        <f t="shared" si="71"/>
      </c>
      <c r="T469">
        <f t="shared" si="72"/>
      </c>
      <c r="U469">
        <f t="shared" si="73"/>
      </c>
      <c r="Y469">
        <f t="shared" si="74"/>
      </c>
      <c r="Z469">
        <f>IFERROR(IF(AND(ISNUMBER(A469),A469&gt;=$B$3,A469&lt;EDATE($B$3,1)),COUNTIFS($A$64:$A$500,"&gt;"&amp;A469,$A$64:$A$500,"&lt;"&amp;EDATE($B$3,1))+COUNTIF($A$64:A469,A469),0),0)</f>
        <v>0</v>
      </c>
    </row>
    <row r="470" spans="1:25" ht="28" hidden="1" customHeight="1" outlineLevel="1">
      <c r="A470" s="314"/>
      <c r="B470" s="318"/>
      <c r="C470" s="318"/>
      <c r="D470" s="318"/>
      <c r="E470" s="316"/>
      <c r="F470" s="318"/>
      <c r="G470" s="318"/>
      <c r="H470" s="317">
        <f t="shared" si="67"/>
      </c>
      <c r="I470" s="318">
        <f t="shared" si="68"/>
      </c>
      <c r="J470" s="318"/>
      <c r="K470" s="318"/>
      <c r="L470" s="318"/>
      <c r="P470">
        <f t="shared" si="69"/>
      </c>
      <c r="Q470">
        <f t="shared" si="70"/>
      </c>
      <c r="R470">
        <f>IF(P470="","",TEXT(H470,"yyyymm")&amp;"_"&amp;P470&amp;"_"&amp;(COUNTIFS($H$64:$H$500,H470,$P$64:$P$500,P470,$A$64:$A$500,"&gt;"&amp;A470)+COUNTIFS($H$64:H470,H470,$P$64:P470,P470,$A$64:A470,A470)))</f>
      </c>
      <c r="S470">
        <f t="shared" si="71"/>
      </c>
      <c r="T470">
        <f t="shared" si="72"/>
      </c>
      <c r="U470">
        <f t="shared" si="73"/>
      </c>
      <c r="Y470">
        <f t="shared" si="74"/>
      </c>
      <c r="Z470">
        <f>IFERROR(IF(AND(ISNUMBER(A470),A470&gt;=$B$3,A470&lt;EDATE($B$3,1)),COUNTIFS($A$64:$A$500,"&gt;"&amp;A470,$A$64:$A$500,"&lt;"&amp;EDATE($B$3,1))+COUNTIF($A$64:A470,A470),0),0)</f>
        <v>0</v>
      </c>
    </row>
    <row r="471" spans="1:25" ht="28" hidden="1" customHeight="1" outlineLevel="1">
      <c r="A471" s="314"/>
      <c r="B471" s="318"/>
      <c r="C471" s="318"/>
      <c r="D471" s="318"/>
      <c r="E471" s="316"/>
      <c r="F471" s="318"/>
      <c r="G471" s="318"/>
      <c r="H471" s="317">
        <f t="shared" si="67"/>
      </c>
      <c r="I471" s="318">
        <f t="shared" si="68"/>
      </c>
      <c r="J471" s="318"/>
      <c r="K471" s="318"/>
      <c r="L471" s="318"/>
      <c r="P471">
        <f t="shared" si="69"/>
      </c>
      <c r="Q471">
        <f t="shared" si="70"/>
      </c>
      <c r="R471">
        <f>IF(P471="","",TEXT(H471,"yyyymm")&amp;"_"&amp;P471&amp;"_"&amp;(COUNTIFS($H$64:$H$500,H471,$P$64:$P$500,P471,$A$64:$A$500,"&gt;"&amp;A471)+COUNTIFS($H$64:H471,H471,$P$64:P471,P471,$A$64:A471,A471)))</f>
      </c>
      <c r="S471">
        <f t="shared" si="71"/>
      </c>
      <c r="T471">
        <f t="shared" si="72"/>
      </c>
      <c r="U471">
        <f t="shared" si="73"/>
      </c>
      <c r="Y471">
        <f t="shared" si="74"/>
      </c>
      <c r="Z471">
        <f>IFERROR(IF(AND(ISNUMBER(A471),A471&gt;=$B$3,A471&lt;EDATE($B$3,1)),COUNTIFS($A$64:$A$500,"&gt;"&amp;A471,$A$64:$A$500,"&lt;"&amp;EDATE($B$3,1))+COUNTIF($A$64:A471,A471),0),0)</f>
        <v>0</v>
      </c>
    </row>
    <row r="472" spans="1:25" ht="28" hidden="1" customHeight="1" outlineLevel="1">
      <c r="A472" s="314"/>
      <c r="B472" s="318"/>
      <c r="C472" s="318"/>
      <c r="D472" s="318"/>
      <c r="E472" s="316"/>
      <c r="F472" s="318"/>
      <c r="G472" s="318"/>
      <c r="H472" s="317">
        <f t="shared" si="67"/>
      </c>
      <c r="I472" s="318">
        <f t="shared" si="68"/>
      </c>
      <c r="J472" s="318"/>
      <c r="K472" s="318"/>
      <c r="L472" s="318"/>
      <c r="P472">
        <f t="shared" si="69"/>
      </c>
      <c r="Q472">
        <f t="shared" si="70"/>
      </c>
      <c r="R472">
        <f>IF(P472="","",TEXT(H472,"yyyymm")&amp;"_"&amp;P472&amp;"_"&amp;(COUNTIFS($H$64:$H$500,H472,$P$64:$P$500,P472,$A$64:$A$500,"&gt;"&amp;A472)+COUNTIFS($H$64:H472,H472,$P$64:P472,P472,$A$64:A472,A472)))</f>
      </c>
      <c r="S472">
        <f t="shared" si="71"/>
      </c>
      <c r="T472">
        <f t="shared" si="72"/>
      </c>
      <c r="U472">
        <f t="shared" si="73"/>
      </c>
      <c r="Y472">
        <f t="shared" si="74"/>
      </c>
      <c r="Z472">
        <f>IFERROR(IF(AND(ISNUMBER(A472),A472&gt;=$B$3,A472&lt;EDATE($B$3,1)),COUNTIFS($A$64:$A$500,"&gt;"&amp;A472,$A$64:$A$500,"&lt;"&amp;EDATE($B$3,1))+COUNTIF($A$64:A472,A472),0),0)</f>
        <v>0</v>
      </c>
    </row>
    <row r="473" spans="1:25" ht="28" hidden="1" customHeight="1" outlineLevel="1">
      <c r="A473" s="314"/>
      <c r="B473" s="318"/>
      <c r="C473" s="318"/>
      <c r="D473" s="318"/>
      <c r="E473" s="316"/>
      <c r="F473" s="318"/>
      <c r="G473" s="318"/>
      <c r="H473" s="317">
        <f t="shared" si="67"/>
      </c>
      <c r="I473" s="318">
        <f t="shared" si="68"/>
      </c>
      <c r="J473" s="318"/>
      <c r="K473" s="318"/>
      <c r="L473" s="318"/>
      <c r="P473">
        <f t="shared" si="69"/>
      </c>
      <c r="Q473">
        <f t="shared" si="70"/>
      </c>
      <c r="R473">
        <f>IF(P473="","",TEXT(H473,"yyyymm")&amp;"_"&amp;P473&amp;"_"&amp;(COUNTIFS($H$64:$H$500,H473,$P$64:$P$500,P473,$A$64:$A$500,"&gt;"&amp;A473)+COUNTIFS($H$64:H473,H473,$P$64:P473,P473,$A$64:A473,A473)))</f>
      </c>
      <c r="S473">
        <f t="shared" si="71"/>
      </c>
      <c r="T473">
        <f t="shared" si="72"/>
      </c>
      <c r="U473">
        <f t="shared" si="73"/>
      </c>
      <c r="Y473">
        <f t="shared" si="74"/>
      </c>
      <c r="Z473">
        <f>IFERROR(IF(AND(ISNUMBER(A473),A473&gt;=$B$3,A473&lt;EDATE($B$3,1)),COUNTIFS($A$64:$A$500,"&gt;"&amp;A473,$A$64:$A$500,"&lt;"&amp;EDATE($B$3,1))+COUNTIF($A$64:A473,A473),0),0)</f>
        <v>0</v>
      </c>
    </row>
    <row r="474" spans="1:25" ht="28" hidden="1" customHeight="1" outlineLevel="1">
      <c r="A474" s="314"/>
      <c r="B474" s="318"/>
      <c r="C474" s="318"/>
      <c r="D474" s="318"/>
      <c r="E474" s="316"/>
      <c r="F474" s="318"/>
      <c r="G474" s="318"/>
      <c r="H474" s="317">
        <f t="shared" si="67"/>
      </c>
      <c r="I474" s="318">
        <f t="shared" si="68"/>
      </c>
      <c r="J474" s="318"/>
      <c r="K474" s="318"/>
      <c r="L474" s="318"/>
      <c r="P474">
        <f t="shared" si="69"/>
      </c>
      <c r="Q474">
        <f t="shared" si="70"/>
      </c>
      <c r="R474">
        <f>IF(P474="","",TEXT(H474,"yyyymm")&amp;"_"&amp;P474&amp;"_"&amp;(COUNTIFS($H$64:$H$500,H474,$P$64:$P$500,P474,$A$64:$A$500,"&gt;"&amp;A474)+COUNTIFS($H$64:H474,H474,$P$64:P474,P474,$A$64:A474,A474)))</f>
      </c>
      <c r="S474">
        <f t="shared" si="71"/>
      </c>
      <c r="T474">
        <f t="shared" si="72"/>
      </c>
      <c r="U474">
        <f t="shared" si="73"/>
      </c>
      <c r="Y474">
        <f t="shared" si="74"/>
      </c>
      <c r="Z474">
        <f>IFERROR(IF(AND(ISNUMBER(A474),A474&gt;=$B$3,A474&lt;EDATE($B$3,1)),COUNTIFS($A$64:$A$500,"&gt;"&amp;A474,$A$64:$A$500,"&lt;"&amp;EDATE($B$3,1))+COUNTIF($A$64:A474,A474),0),0)</f>
        <v>0</v>
      </c>
    </row>
    <row r="475" spans="1:25" ht="28" hidden="1" customHeight="1" outlineLevel="1">
      <c r="A475" s="314"/>
      <c r="B475" s="318"/>
      <c r="C475" s="318"/>
      <c r="D475" s="318"/>
      <c r="E475" s="316"/>
      <c r="F475" s="318"/>
      <c r="G475" s="318"/>
      <c r="H475" s="317">
        <f t="shared" si="67"/>
      </c>
      <c r="I475" s="318">
        <f t="shared" si="68"/>
      </c>
      <c r="J475" s="318"/>
      <c r="K475" s="318"/>
      <c r="L475" s="318"/>
      <c r="P475">
        <f t="shared" si="69"/>
      </c>
      <c r="Q475">
        <f t="shared" si="70"/>
      </c>
      <c r="R475">
        <f>IF(P475="","",TEXT(H475,"yyyymm")&amp;"_"&amp;P475&amp;"_"&amp;(COUNTIFS($H$64:$H$500,H475,$P$64:$P$500,P475,$A$64:$A$500,"&gt;"&amp;A475)+COUNTIFS($H$64:H475,H475,$P$64:P475,P475,$A$64:A475,A475)))</f>
      </c>
      <c r="S475">
        <f t="shared" si="71"/>
      </c>
      <c r="T475">
        <f t="shared" si="72"/>
      </c>
      <c r="U475">
        <f t="shared" si="73"/>
      </c>
      <c r="Y475">
        <f t="shared" si="74"/>
      </c>
      <c r="Z475">
        <f>IFERROR(IF(AND(ISNUMBER(A475),A475&gt;=$B$3,A475&lt;EDATE($B$3,1)),COUNTIFS($A$64:$A$500,"&gt;"&amp;A475,$A$64:$A$500,"&lt;"&amp;EDATE($B$3,1))+COUNTIF($A$64:A475,A475),0),0)</f>
        <v>0</v>
      </c>
    </row>
    <row r="476" spans="1:25" ht="28" hidden="1" customHeight="1" outlineLevel="1">
      <c r="A476" s="314"/>
      <c r="B476" s="318"/>
      <c r="C476" s="318"/>
      <c r="D476" s="318"/>
      <c r="E476" s="316"/>
      <c r="F476" s="318"/>
      <c r="G476" s="318"/>
      <c r="H476" s="317">
        <f t="shared" si="67"/>
      </c>
      <c r="I476" s="318">
        <f t="shared" si="68"/>
      </c>
      <c r="J476" s="318"/>
      <c r="K476" s="318"/>
      <c r="L476" s="318"/>
      <c r="P476">
        <f t="shared" si="69"/>
      </c>
      <c r="Q476">
        <f t="shared" si="70"/>
      </c>
      <c r="R476">
        <f>IF(P476="","",TEXT(H476,"yyyymm")&amp;"_"&amp;P476&amp;"_"&amp;(COUNTIFS($H$64:$H$500,H476,$P$64:$P$500,P476,$A$64:$A$500,"&gt;"&amp;A476)+COUNTIFS($H$64:H476,H476,$P$64:P476,P476,$A$64:A476,A476)))</f>
      </c>
      <c r="S476">
        <f t="shared" si="71"/>
      </c>
      <c r="T476">
        <f t="shared" si="72"/>
      </c>
      <c r="U476">
        <f t="shared" si="73"/>
      </c>
      <c r="Y476">
        <f t="shared" si="74"/>
      </c>
      <c r="Z476">
        <f>IFERROR(IF(AND(ISNUMBER(A476),A476&gt;=$B$3,A476&lt;EDATE($B$3,1)),COUNTIFS($A$64:$A$500,"&gt;"&amp;A476,$A$64:$A$500,"&lt;"&amp;EDATE($B$3,1))+COUNTIF($A$64:A476,A476),0),0)</f>
        <v>0</v>
      </c>
    </row>
    <row r="477" spans="1:25" ht="28" hidden="1" customHeight="1" outlineLevel="1">
      <c r="A477" s="314"/>
      <c r="B477" s="318"/>
      <c r="C477" s="318"/>
      <c r="D477" s="318"/>
      <c r="E477" s="316"/>
      <c r="F477" s="318"/>
      <c r="G477" s="318"/>
      <c r="H477" s="317">
        <f t="shared" si="67"/>
      </c>
      <c r="I477" s="318">
        <f t="shared" si="68"/>
      </c>
      <c r="J477" s="318"/>
      <c r="K477" s="318"/>
      <c r="L477" s="318"/>
      <c r="P477">
        <f t="shared" si="69"/>
      </c>
      <c r="Q477">
        <f t="shared" si="70"/>
      </c>
      <c r="R477">
        <f>IF(P477="","",TEXT(H477,"yyyymm")&amp;"_"&amp;P477&amp;"_"&amp;(COUNTIFS($H$64:$H$500,H477,$P$64:$P$500,P477,$A$64:$A$500,"&gt;"&amp;A477)+COUNTIFS($H$64:H477,H477,$P$64:P477,P477,$A$64:A477,A477)))</f>
      </c>
      <c r="S477">
        <f t="shared" si="71"/>
      </c>
      <c r="T477">
        <f t="shared" si="72"/>
      </c>
      <c r="U477">
        <f t="shared" si="73"/>
      </c>
      <c r="Y477">
        <f t="shared" si="74"/>
      </c>
      <c r="Z477">
        <f>IFERROR(IF(AND(ISNUMBER(A477),A477&gt;=$B$3,A477&lt;EDATE($B$3,1)),COUNTIFS($A$64:$A$500,"&gt;"&amp;A477,$A$64:$A$500,"&lt;"&amp;EDATE($B$3,1))+COUNTIF($A$64:A477,A477),0),0)</f>
        <v>0</v>
      </c>
    </row>
    <row r="478" spans="1:25" ht="28" hidden="1" customHeight="1" outlineLevel="1">
      <c r="A478" s="314"/>
      <c r="B478" s="318"/>
      <c r="C478" s="318"/>
      <c r="D478" s="318"/>
      <c r="E478" s="316"/>
      <c r="F478" s="318"/>
      <c r="G478" s="318"/>
      <c r="H478" s="317">
        <f t="shared" si="67"/>
      </c>
      <c r="I478" s="318">
        <f t="shared" si="68"/>
      </c>
      <c r="J478" s="318"/>
      <c r="K478" s="318"/>
      <c r="L478" s="318"/>
      <c r="P478">
        <f t="shared" si="69"/>
      </c>
      <c r="Q478">
        <f t="shared" si="70"/>
      </c>
      <c r="R478">
        <f>IF(P478="","",TEXT(H478,"yyyymm")&amp;"_"&amp;P478&amp;"_"&amp;(COUNTIFS($H$64:$H$500,H478,$P$64:$P$500,P478,$A$64:$A$500,"&gt;"&amp;A478)+COUNTIFS($H$64:H478,H478,$P$64:P478,P478,$A$64:A478,A478)))</f>
      </c>
      <c r="S478">
        <f t="shared" si="71"/>
      </c>
      <c r="T478">
        <f t="shared" si="72"/>
      </c>
      <c r="U478">
        <f t="shared" si="73"/>
      </c>
      <c r="Y478">
        <f t="shared" si="74"/>
      </c>
      <c r="Z478">
        <f>IFERROR(IF(AND(ISNUMBER(A478),A478&gt;=$B$3,A478&lt;EDATE($B$3,1)),COUNTIFS($A$64:$A$500,"&gt;"&amp;A478,$A$64:$A$500,"&lt;"&amp;EDATE($B$3,1))+COUNTIF($A$64:A478,A478),0),0)</f>
        <v>0</v>
      </c>
    </row>
    <row r="479" spans="1:25" ht="28" hidden="1" customHeight="1" outlineLevel="1">
      <c r="A479" s="314"/>
      <c r="B479" s="318"/>
      <c r="C479" s="318"/>
      <c r="D479" s="318"/>
      <c r="E479" s="316"/>
      <c r="F479" s="318"/>
      <c r="G479" s="318"/>
      <c r="H479" s="317">
        <f t="shared" si="67"/>
      </c>
      <c r="I479" s="318">
        <f t="shared" si="68"/>
      </c>
      <c r="J479" s="318"/>
      <c r="K479" s="318"/>
      <c r="L479" s="318"/>
      <c r="P479">
        <f t="shared" si="69"/>
      </c>
      <c r="Q479">
        <f t="shared" si="70"/>
      </c>
      <c r="R479">
        <f>IF(P479="","",TEXT(H479,"yyyymm")&amp;"_"&amp;P479&amp;"_"&amp;(COUNTIFS($H$64:$H$500,H479,$P$64:$P$500,P479,$A$64:$A$500,"&gt;"&amp;A479)+COUNTIFS($H$64:H479,H479,$P$64:P479,P479,$A$64:A479,A479)))</f>
      </c>
      <c r="S479">
        <f t="shared" si="71"/>
      </c>
      <c r="T479">
        <f t="shared" si="72"/>
      </c>
      <c r="U479">
        <f t="shared" si="73"/>
      </c>
      <c r="Y479">
        <f t="shared" si="74"/>
      </c>
      <c r="Z479">
        <f>IFERROR(IF(AND(ISNUMBER(A479),A479&gt;=$B$3,A479&lt;EDATE($B$3,1)),COUNTIFS($A$64:$A$500,"&gt;"&amp;A479,$A$64:$A$500,"&lt;"&amp;EDATE($B$3,1))+COUNTIF($A$64:A479,A479),0),0)</f>
        <v>0</v>
      </c>
    </row>
    <row r="480" spans="1:25" ht="28" hidden="1" customHeight="1" outlineLevel="1">
      <c r="A480" s="314"/>
      <c r="B480" s="318"/>
      <c r="C480" s="318"/>
      <c r="D480" s="318"/>
      <c r="E480" s="316"/>
      <c r="F480" s="318"/>
      <c r="G480" s="318"/>
      <c r="H480" s="317">
        <f t="shared" si="67"/>
      </c>
      <c r="I480" s="318">
        <f t="shared" si="68"/>
      </c>
      <c r="J480" s="318"/>
      <c r="K480" s="318"/>
      <c r="L480" s="318"/>
      <c r="P480">
        <f t="shared" si="69"/>
      </c>
      <c r="Q480">
        <f t="shared" si="70"/>
      </c>
      <c r="R480">
        <f>IF(P480="","",TEXT(H480,"yyyymm")&amp;"_"&amp;P480&amp;"_"&amp;(COUNTIFS($H$64:$H$500,H480,$P$64:$P$500,P480,$A$64:$A$500,"&gt;"&amp;A480)+COUNTIFS($H$64:H480,H480,$P$64:P480,P480,$A$64:A480,A480)))</f>
      </c>
      <c r="S480">
        <f t="shared" si="71"/>
      </c>
      <c r="T480">
        <f t="shared" si="72"/>
      </c>
      <c r="U480">
        <f t="shared" si="73"/>
      </c>
      <c r="Y480">
        <f t="shared" si="74"/>
      </c>
      <c r="Z480">
        <f>IFERROR(IF(AND(ISNUMBER(A480),A480&gt;=$B$3,A480&lt;EDATE($B$3,1)),COUNTIFS($A$64:$A$500,"&gt;"&amp;A480,$A$64:$A$500,"&lt;"&amp;EDATE($B$3,1))+COUNTIF($A$64:A480,A480),0),0)</f>
        <v>0</v>
      </c>
    </row>
    <row r="481" spans="1:25" ht="28" hidden="1" customHeight="1" outlineLevel="1">
      <c r="A481" s="314"/>
      <c r="B481" s="318"/>
      <c r="C481" s="318"/>
      <c r="D481" s="318"/>
      <c r="E481" s="316"/>
      <c r="F481" s="318"/>
      <c r="G481" s="318"/>
      <c r="H481" s="317">
        <f t="shared" si="67"/>
      </c>
      <c r="I481" s="318">
        <f t="shared" si="68"/>
      </c>
      <c r="J481" s="318"/>
      <c r="K481" s="318"/>
      <c r="L481" s="318"/>
      <c r="P481">
        <f t="shared" si="69"/>
      </c>
      <c r="Q481">
        <f t="shared" si="70"/>
      </c>
      <c r="R481">
        <f>IF(P481="","",TEXT(H481,"yyyymm")&amp;"_"&amp;P481&amp;"_"&amp;(COUNTIFS($H$64:$H$500,H481,$P$64:$P$500,P481,$A$64:$A$500,"&gt;"&amp;A481)+COUNTIFS($H$64:H481,H481,$P$64:P481,P481,$A$64:A481,A481)))</f>
      </c>
      <c r="S481">
        <f t="shared" si="71"/>
      </c>
      <c r="T481">
        <f t="shared" si="72"/>
      </c>
      <c r="U481">
        <f t="shared" si="73"/>
      </c>
      <c r="Y481">
        <f t="shared" si="74"/>
      </c>
      <c r="Z481">
        <f>IFERROR(IF(AND(ISNUMBER(A481),A481&gt;=$B$3,A481&lt;EDATE($B$3,1)),COUNTIFS($A$64:$A$500,"&gt;"&amp;A481,$A$64:$A$500,"&lt;"&amp;EDATE($B$3,1))+COUNTIF($A$64:A481,A481),0),0)</f>
        <v>0</v>
      </c>
    </row>
    <row r="482" spans="1:25" ht="28" hidden="1" customHeight="1" outlineLevel="1">
      <c r="A482" s="314"/>
      <c r="B482" s="318"/>
      <c r="C482" s="318"/>
      <c r="D482" s="318"/>
      <c r="E482" s="316"/>
      <c r="F482" s="318"/>
      <c r="G482" s="318"/>
      <c r="H482" s="317">
        <f t="shared" si="67"/>
      </c>
      <c r="I482" s="318">
        <f t="shared" si="68"/>
      </c>
      <c r="J482" s="318"/>
      <c r="K482" s="318"/>
      <c r="L482" s="318"/>
      <c r="P482">
        <f t="shared" si="69"/>
      </c>
      <c r="Q482">
        <f t="shared" si="70"/>
      </c>
      <c r="R482">
        <f>IF(P482="","",TEXT(H482,"yyyymm")&amp;"_"&amp;P482&amp;"_"&amp;(COUNTIFS($H$64:$H$500,H482,$P$64:$P$500,P482,$A$64:$A$500,"&gt;"&amp;A482)+COUNTIFS($H$64:H482,H482,$P$64:P482,P482,$A$64:A482,A482)))</f>
      </c>
      <c r="S482">
        <f t="shared" si="71"/>
      </c>
      <c r="T482">
        <f t="shared" si="72"/>
      </c>
      <c r="U482">
        <f t="shared" si="73"/>
      </c>
      <c r="Y482">
        <f t="shared" si="74"/>
      </c>
      <c r="Z482">
        <f>IFERROR(IF(AND(ISNUMBER(A482),A482&gt;=$B$3,A482&lt;EDATE($B$3,1)),COUNTIFS($A$64:$A$500,"&gt;"&amp;A482,$A$64:$A$500,"&lt;"&amp;EDATE($B$3,1))+COUNTIF($A$64:A482,A482),0),0)</f>
        <v>0</v>
      </c>
    </row>
    <row r="483" spans="1:25" ht="28" hidden="1" customHeight="1" outlineLevel="1">
      <c r="A483" s="314"/>
      <c r="B483" s="318"/>
      <c r="C483" s="318"/>
      <c r="D483" s="318"/>
      <c r="E483" s="316"/>
      <c r="F483" s="318"/>
      <c r="G483" s="318"/>
      <c r="H483" s="317">
        <f t="shared" si="67"/>
      </c>
      <c r="I483" s="318">
        <f t="shared" si="68"/>
      </c>
      <c r="J483" s="318"/>
      <c r="K483" s="318"/>
      <c r="L483" s="318"/>
      <c r="P483">
        <f t="shared" si="69"/>
      </c>
      <c r="Q483">
        <f t="shared" si="70"/>
      </c>
      <c r="R483">
        <f>IF(P483="","",TEXT(H483,"yyyymm")&amp;"_"&amp;P483&amp;"_"&amp;(COUNTIFS($H$64:$H$500,H483,$P$64:$P$500,P483,$A$64:$A$500,"&gt;"&amp;A483)+COUNTIFS($H$64:H483,H483,$P$64:P483,P483,$A$64:A483,A483)))</f>
      </c>
      <c r="S483">
        <f t="shared" si="71"/>
      </c>
      <c r="T483">
        <f t="shared" si="72"/>
      </c>
      <c r="U483">
        <f t="shared" si="73"/>
      </c>
      <c r="Y483">
        <f t="shared" si="74"/>
      </c>
      <c r="Z483">
        <f>IFERROR(IF(AND(ISNUMBER(A483),A483&gt;=$B$3,A483&lt;EDATE($B$3,1)),COUNTIFS($A$64:$A$500,"&gt;"&amp;A483,$A$64:$A$500,"&lt;"&amp;EDATE($B$3,1))+COUNTIF($A$64:A483,A483),0),0)</f>
        <v>0</v>
      </c>
    </row>
    <row r="484" spans="1:25" ht="28" hidden="1" customHeight="1" outlineLevel="1">
      <c r="A484" s="314"/>
      <c r="B484" s="318"/>
      <c r="C484" s="318"/>
      <c r="D484" s="318"/>
      <c r="E484" s="316"/>
      <c r="F484" s="318"/>
      <c r="G484" s="318"/>
      <c r="H484" s="317">
        <f t="shared" si="67"/>
      </c>
      <c r="I484" s="318">
        <f t="shared" si="68"/>
      </c>
      <c r="J484" s="318"/>
      <c r="K484" s="318"/>
      <c r="L484" s="318"/>
      <c r="P484">
        <f t="shared" si="69"/>
      </c>
      <c r="Q484">
        <f t="shared" si="70"/>
      </c>
      <c r="R484">
        <f>IF(P484="","",TEXT(H484,"yyyymm")&amp;"_"&amp;P484&amp;"_"&amp;(COUNTIFS($H$64:$H$500,H484,$P$64:$P$500,P484,$A$64:$A$500,"&gt;"&amp;A484)+COUNTIFS($H$64:H484,H484,$P$64:P484,P484,$A$64:A484,A484)))</f>
      </c>
      <c r="S484">
        <f t="shared" si="71"/>
      </c>
      <c r="T484">
        <f t="shared" si="72"/>
      </c>
      <c r="U484">
        <f t="shared" si="73"/>
      </c>
      <c r="Y484">
        <f t="shared" si="74"/>
      </c>
      <c r="Z484">
        <f>IFERROR(IF(AND(ISNUMBER(A484),A484&gt;=$B$3,A484&lt;EDATE($B$3,1)),COUNTIFS($A$64:$A$500,"&gt;"&amp;A484,$A$64:$A$500,"&lt;"&amp;EDATE($B$3,1))+COUNTIF($A$64:A484,A484),0),0)</f>
        <v>0</v>
      </c>
    </row>
    <row r="485" spans="1:25" ht="28" hidden="1" customHeight="1" outlineLevel="1">
      <c r="A485" s="314"/>
      <c r="B485" s="318"/>
      <c r="C485" s="318"/>
      <c r="D485" s="318"/>
      <c r="E485" s="316"/>
      <c r="F485" s="318"/>
      <c r="G485" s="318"/>
      <c r="H485" s="317">
        <f t="shared" si="67"/>
      </c>
      <c r="I485" s="318">
        <f t="shared" si="68"/>
      </c>
      <c r="J485" s="318"/>
      <c r="K485" s="318"/>
      <c r="L485" s="318"/>
      <c r="P485">
        <f t="shared" si="69"/>
      </c>
      <c r="Q485">
        <f t="shared" si="70"/>
      </c>
      <c r="R485">
        <f>IF(P485="","",TEXT(H485,"yyyymm")&amp;"_"&amp;P485&amp;"_"&amp;(COUNTIFS($H$64:$H$500,H485,$P$64:$P$500,P485,$A$64:$A$500,"&gt;"&amp;A485)+COUNTIFS($H$64:H485,H485,$P$64:P485,P485,$A$64:A485,A485)))</f>
      </c>
      <c r="S485">
        <f t="shared" si="71"/>
      </c>
      <c r="T485">
        <f t="shared" si="72"/>
      </c>
      <c r="U485">
        <f t="shared" si="73"/>
      </c>
      <c r="Y485">
        <f t="shared" si="74"/>
      </c>
      <c r="Z485">
        <f>IFERROR(IF(AND(ISNUMBER(A485),A485&gt;=$B$3,A485&lt;EDATE($B$3,1)),COUNTIFS($A$64:$A$500,"&gt;"&amp;A485,$A$64:$A$500,"&lt;"&amp;EDATE($B$3,1))+COUNTIF($A$64:A485,A485),0),0)</f>
        <v>0</v>
      </c>
    </row>
    <row r="486" spans="1:25" ht="28" hidden="1" customHeight="1" outlineLevel="1">
      <c r="A486" s="314"/>
      <c r="B486" s="318"/>
      <c r="C486" s="318"/>
      <c r="D486" s="318"/>
      <c r="E486" s="316"/>
      <c r="F486" s="318"/>
      <c r="G486" s="318"/>
      <c r="H486" s="317">
        <f t="shared" si="67"/>
      </c>
      <c r="I486" s="318">
        <f t="shared" si="68"/>
      </c>
      <c r="J486" s="318"/>
      <c r="K486" s="318"/>
      <c r="L486" s="318"/>
      <c r="P486">
        <f t="shared" si="69"/>
      </c>
      <c r="Q486">
        <f t="shared" si="70"/>
      </c>
      <c r="R486">
        <f>IF(P486="","",TEXT(H486,"yyyymm")&amp;"_"&amp;P486&amp;"_"&amp;(COUNTIFS($H$64:$H$500,H486,$P$64:$P$500,P486,$A$64:$A$500,"&gt;"&amp;A486)+COUNTIFS($H$64:H486,H486,$P$64:P486,P486,$A$64:A486,A486)))</f>
      </c>
      <c r="S486">
        <f t="shared" si="71"/>
      </c>
      <c r="T486">
        <f t="shared" si="72"/>
      </c>
      <c r="U486">
        <f t="shared" si="73"/>
      </c>
      <c r="Y486">
        <f t="shared" si="74"/>
      </c>
      <c r="Z486">
        <f>IFERROR(IF(AND(ISNUMBER(A486),A486&gt;=$B$3,A486&lt;EDATE($B$3,1)),COUNTIFS($A$64:$A$500,"&gt;"&amp;A486,$A$64:$A$500,"&lt;"&amp;EDATE($B$3,1))+COUNTIF($A$64:A486,A486),0),0)</f>
        <v>0</v>
      </c>
    </row>
    <row r="487" spans="1:25" ht="28" hidden="1" customHeight="1" outlineLevel="1">
      <c r="A487" s="314"/>
      <c r="B487" s="318"/>
      <c r="C487" s="318"/>
      <c r="D487" s="318"/>
      <c r="E487" s="316"/>
      <c r="F487" s="318"/>
      <c r="G487" s="318"/>
      <c r="H487" s="317">
        <f t="shared" si="67"/>
      </c>
      <c r="I487" s="318">
        <f t="shared" si="68"/>
      </c>
      <c r="J487" s="318"/>
      <c r="K487" s="318"/>
      <c r="L487" s="318"/>
      <c r="P487">
        <f t="shared" si="69"/>
      </c>
      <c r="Q487">
        <f t="shared" si="70"/>
      </c>
      <c r="R487">
        <f>IF(P487="","",TEXT(H487,"yyyymm")&amp;"_"&amp;P487&amp;"_"&amp;(COUNTIFS($H$64:$H$500,H487,$P$64:$P$500,P487,$A$64:$A$500,"&gt;"&amp;A487)+COUNTIFS($H$64:H487,H487,$P$64:P487,P487,$A$64:A487,A487)))</f>
      </c>
      <c r="S487">
        <f t="shared" si="71"/>
      </c>
      <c r="T487">
        <f t="shared" si="72"/>
      </c>
      <c r="U487">
        <f t="shared" si="73"/>
      </c>
      <c r="Y487">
        <f t="shared" si="74"/>
      </c>
      <c r="Z487">
        <f>IFERROR(IF(AND(ISNUMBER(A487),A487&gt;=$B$3,A487&lt;EDATE($B$3,1)),COUNTIFS($A$64:$A$500,"&gt;"&amp;A487,$A$64:$A$500,"&lt;"&amp;EDATE($B$3,1))+COUNTIF($A$64:A487,A487),0),0)</f>
        <v>0</v>
      </c>
    </row>
    <row r="488" spans="1:25" ht="28" hidden="1" customHeight="1" outlineLevel="1">
      <c r="A488" s="314"/>
      <c r="B488" s="318"/>
      <c r="C488" s="318"/>
      <c r="D488" s="318"/>
      <c r="E488" s="316"/>
      <c r="F488" s="318"/>
      <c r="G488" s="318"/>
      <c r="H488" s="317">
        <f t="shared" si="67"/>
      </c>
      <c r="I488" s="318">
        <f t="shared" si="68"/>
      </c>
      <c r="J488" s="318"/>
      <c r="K488" s="318"/>
      <c r="L488" s="318"/>
      <c r="P488">
        <f t="shared" si="69"/>
      </c>
      <c r="Q488">
        <f t="shared" si="70"/>
      </c>
      <c r="R488">
        <f>IF(P488="","",TEXT(H488,"yyyymm")&amp;"_"&amp;P488&amp;"_"&amp;(COUNTIFS($H$64:$H$500,H488,$P$64:$P$500,P488,$A$64:$A$500,"&gt;"&amp;A488)+COUNTIFS($H$64:H488,H488,$P$64:P488,P488,$A$64:A488,A488)))</f>
      </c>
      <c r="S488">
        <f t="shared" si="71"/>
      </c>
      <c r="T488">
        <f t="shared" si="72"/>
      </c>
      <c r="U488">
        <f t="shared" si="73"/>
      </c>
      <c r="Y488">
        <f t="shared" si="74"/>
      </c>
      <c r="Z488">
        <f>IFERROR(IF(AND(ISNUMBER(A488),A488&gt;=$B$3,A488&lt;EDATE($B$3,1)),COUNTIFS($A$64:$A$500,"&gt;"&amp;A488,$A$64:$A$500,"&lt;"&amp;EDATE($B$3,1))+COUNTIF($A$64:A488,A488),0),0)</f>
        <v>0</v>
      </c>
    </row>
    <row r="489" spans="1:25" ht="28" hidden="1" customHeight="1" outlineLevel="1">
      <c r="A489" s="314"/>
      <c r="B489" s="318"/>
      <c r="C489" s="318"/>
      <c r="D489" s="318"/>
      <c r="E489" s="316"/>
      <c r="F489" s="318"/>
      <c r="G489" s="318"/>
      <c r="H489" s="317">
        <f t="shared" si="67"/>
      </c>
      <c r="I489" s="318">
        <f t="shared" si="68"/>
      </c>
      <c r="J489" s="318"/>
      <c r="K489" s="318"/>
      <c r="L489" s="318"/>
      <c r="P489">
        <f t="shared" si="69"/>
      </c>
      <c r="Q489">
        <f t="shared" si="70"/>
      </c>
      <c r="R489">
        <f>IF(P489="","",TEXT(H489,"yyyymm")&amp;"_"&amp;P489&amp;"_"&amp;(COUNTIFS($H$64:$H$500,H489,$P$64:$P$500,P489,$A$64:$A$500,"&gt;"&amp;A489)+COUNTIFS($H$64:H489,H489,$P$64:P489,P489,$A$64:A489,A489)))</f>
      </c>
      <c r="S489">
        <f t="shared" si="71"/>
      </c>
      <c r="T489">
        <f t="shared" si="72"/>
      </c>
      <c r="U489">
        <f t="shared" si="73"/>
      </c>
      <c r="Y489">
        <f t="shared" si="74"/>
      </c>
      <c r="Z489">
        <f>IFERROR(IF(AND(ISNUMBER(A489),A489&gt;=$B$3,A489&lt;EDATE($B$3,1)),COUNTIFS($A$64:$A$500,"&gt;"&amp;A489,$A$64:$A$500,"&lt;"&amp;EDATE($B$3,1))+COUNTIF($A$64:A489,A489),0),0)</f>
        <v>0</v>
      </c>
    </row>
    <row r="490" spans="1:25" ht="28" hidden="1" customHeight="1" outlineLevel="1">
      <c r="A490" s="314"/>
      <c r="B490" s="318"/>
      <c r="C490" s="318"/>
      <c r="D490" s="318"/>
      <c r="E490" s="316"/>
      <c r="F490" s="318"/>
      <c r="G490" s="318"/>
      <c r="H490" s="317">
        <f t="shared" si="67"/>
      </c>
      <c r="I490" s="318">
        <f t="shared" si="68"/>
      </c>
      <c r="J490" s="318"/>
      <c r="K490" s="318"/>
      <c r="L490" s="318"/>
      <c r="P490">
        <f t="shared" si="69"/>
      </c>
      <c r="Q490">
        <f t="shared" si="70"/>
      </c>
      <c r="R490">
        <f>IF(P490="","",TEXT(H490,"yyyymm")&amp;"_"&amp;P490&amp;"_"&amp;(COUNTIFS($H$64:$H$500,H490,$P$64:$P$500,P490,$A$64:$A$500,"&gt;"&amp;A490)+COUNTIFS($H$64:H490,H490,$P$64:P490,P490,$A$64:A490,A490)))</f>
      </c>
      <c r="S490">
        <f t="shared" si="71"/>
      </c>
      <c r="T490">
        <f t="shared" si="72"/>
      </c>
      <c r="U490">
        <f t="shared" si="73"/>
      </c>
      <c r="Y490">
        <f t="shared" si="74"/>
      </c>
      <c r="Z490">
        <f>IFERROR(IF(AND(ISNUMBER(A490),A490&gt;=$B$3,A490&lt;EDATE($B$3,1)),COUNTIFS($A$64:$A$500,"&gt;"&amp;A490,$A$64:$A$500,"&lt;"&amp;EDATE($B$3,1))+COUNTIF($A$64:A490,A490),0),0)</f>
        <v>0</v>
      </c>
    </row>
    <row r="491" spans="1:25" ht="28" hidden="1" customHeight="1" outlineLevel="1">
      <c r="A491" s="314"/>
      <c r="B491" s="318"/>
      <c r="C491" s="318"/>
      <c r="D491" s="318"/>
      <c r="E491" s="316"/>
      <c r="F491" s="318"/>
      <c r="G491" s="318"/>
      <c r="H491" s="317">
        <f t="shared" si="67"/>
      </c>
      <c r="I491" s="318">
        <f t="shared" si="68"/>
      </c>
      <c r="J491" s="318"/>
      <c r="K491" s="318"/>
      <c r="L491" s="318"/>
      <c r="P491">
        <f t="shared" si="69"/>
      </c>
      <c r="Q491">
        <f t="shared" si="70"/>
      </c>
      <c r="R491">
        <f>IF(P491="","",TEXT(H491,"yyyymm")&amp;"_"&amp;P491&amp;"_"&amp;(COUNTIFS($H$64:$H$500,H491,$P$64:$P$500,P491,$A$64:$A$500,"&gt;"&amp;A491)+COUNTIFS($H$64:H491,H491,$P$64:P491,P491,$A$64:A491,A491)))</f>
      </c>
      <c r="S491">
        <f t="shared" si="71"/>
      </c>
      <c r="T491">
        <f t="shared" si="72"/>
      </c>
      <c r="U491">
        <f t="shared" si="73"/>
      </c>
      <c r="Y491">
        <f t="shared" si="74"/>
      </c>
      <c r="Z491">
        <f>IFERROR(IF(AND(ISNUMBER(A491),A491&gt;=$B$3,A491&lt;EDATE($B$3,1)),COUNTIFS($A$64:$A$500,"&gt;"&amp;A491,$A$64:$A$500,"&lt;"&amp;EDATE($B$3,1))+COUNTIF($A$64:A491,A491),0),0)</f>
        <v>0</v>
      </c>
    </row>
    <row r="492" spans="1:25" ht="28" hidden="1" customHeight="1" outlineLevel="1">
      <c r="A492" s="314"/>
      <c r="B492" s="318"/>
      <c r="C492" s="318"/>
      <c r="D492" s="318"/>
      <c r="E492" s="316"/>
      <c r="F492" s="318"/>
      <c r="G492" s="318"/>
      <c r="H492" s="317">
        <f t="shared" si="67"/>
      </c>
      <c r="I492" s="318">
        <f t="shared" si="68"/>
      </c>
      <c r="J492" s="318"/>
      <c r="K492" s="318"/>
      <c r="L492" s="318"/>
      <c r="P492">
        <f t="shared" si="69"/>
      </c>
      <c r="Q492">
        <f t="shared" si="70"/>
      </c>
      <c r="R492">
        <f>IF(P492="","",TEXT(H492,"yyyymm")&amp;"_"&amp;P492&amp;"_"&amp;(COUNTIFS($H$64:$H$500,H492,$P$64:$P$500,P492,$A$64:$A$500,"&gt;"&amp;A492)+COUNTIFS($H$64:H492,H492,$P$64:P492,P492,$A$64:A492,A492)))</f>
      </c>
      <c r="S492">
        <f t="shared" si="71"/>
      </c>
      <c r="T492">
        <f t="shared" si="72"/>
      </c>
      <c r="U492">
        <f t="shared" si="73"/>
      </c>
      <c r="Y492">
        <f t="shared" si="74"/>
      </c>
      <c r="Z492">
        <f>IFERROR(IF(AND(ISNUMBER(A492),A492&gt;=$B$3,A492&lt;EDATE($B$3,1)),COUNTIFS($A$64:$A$500,"&gt;"&amp;A492,$A$64:$A$500,"&lt;"&amp;EDATE($B$3,1))+COUNTIF($A$64:A492,A492),0),0)</f>
        <v>0</v>
      </c>
    </row>
    <row r="493" spans="1:25" ht="28" hidden="1" customHeight="1" outlineLevel="1">
      <c r="A493" s="314"/>
      <c r="B493" s="318"/>
      <c r="C493" s="318"/>
      <c r="D493" s="318"/>
      <c r="E493" s="316"/>
      <c r="F493" s="318"/>
      <c r="G493" s="318"/>
      <c r="H493" s="317">
        <f t="shared" si="67"/>
      </c>
      <c r="I493" s="318">
        <f t="shared" si="68"/>
      </c>
      <c r="J493" s="318"/>
      <c r="K493" s="318"/>
      <c r="L493" s="318"/>
      <c r="P493">
        <f t="shared" si="69"/>
      </c>
      <c r="Q493">
        <f t="shared" si="70"/>
      </c>
      <c r="R493">
        <f>IF(P493="","",TEXT(H493,"yyyymm")&amp;"_"&amp;P493&amp;"_"&amp;(COUNTIFS($H$64:$H$500,H493,$P$64:$P$500,P493,$A$64:$A$500,"&gt;"&amp;A493)+COUNTIFS($H$64:H493,H493,$P$64:P493,P493,$A$64:A493,A493)))</f>
      </c>
      <c r="S493">
        <f t="shared" si="71"/>
      </c>
      <c r="T493">
        <f t="shared" si="72"/>
      </c>
      <c r="U493">
        <f t="shared" si="73"/>
      </c>
      <c r="Y493">
        <f t="shared" si="74"/>
      </c>
      <c r="Z493">
        <f>IFERROR(IF(AND(ISNUMBER(A493),A493&gt;=$B$3,A493&lt;EDATE($B$3,1)),COUNTIFS($A$64:$A$500,"&gt;"&amp;A493,$A$64:$A$500,"&lt;"&amp;EDATE($B$3,1))+COUNTIF($A$64:A493,A493),0),0)</f>
        <v>0</v>
      </c>
    </row>
    <row r="494" spans="1:25" ht="28" hidden="1" customHeight="1" outlineLevel="1">
      <c r="A494" s="314"/>
      <c r="B494" s="318"/>
      <c r="C494" s="318"/>
      <c r="D494" s="318"/>
      <c r="E494" s="316"/>
      <c r="F494" s="318"/>
      <c r="G494" s="318"/>
      <c r="H494" s="317">
        <f t="shared" si="67"/>
      </c>
      <c r="I494" s="318">
        <f t="shared" si="68"/>
      </c>
      <c r="J494" s="318"/>
      <c r="K494" s="318"/>
      <c r="L494" s="318"/>
      <c r="P494">
        <f t="shared" si="69"/>
      </c>
      <c r="Q494">
        <f t="shared" si="70"/>
      </c>
      <c r="R494">
        <f>IF(P494="","",TEXT(H494,"yyyymm")&amp;"_"&amp;P494&amp;"_"&amp;(COUNTIFS($H$64:$H$500,H494,$P$64:$P$500,P494,$A$64:$A$500,"&gt;"&amp;A494)+COUNTIFS($H$64:H494,H494,$P$64:P494,P494,$A$64:A494,A494)))</f>
      </c>
      <c r="S494">
        <f t="shared" si="71"/>
      </c>
      <c r="T494">
        <f t="shared" si="72"/>
      </c>
      <c r="U494">
        <f t="shared" si="73"/>
      </c>
      <c r="Y494">
        <f t="shared" si="74"/>
      </c>
      <c r="Z494">
        <f>IFERROR(IF(AND(ISNUMBER(A494),A494&gt;=$B$3,A494&lt;EDATE($B$3,1)),COUNTIFS($A$64:$A$500,"&gt;"&amp;A494,$A$64:$A$500,"&lt;"&amp;EDATE($B$3,1))+COUNTIF($A$64:A494,A494),0),0)</f>
        <v>0</v>
      </c>
    </row>
    <row r="495" spans="1:25" ht="28" hidden="1" customHeight="1" outlineLevel="1">
      <c r="A495" s="314"/>
      <c r="B495" s="318"/>
      <c r="C495" s="318"/>
      <c r="D495" s="318"/>
      <c r="E495" s="316"/>
      <c r="F495" s="318"/>
      <c r="G495" s="318"/>
      <c r="H495" s="317">
        <f t="shared" si="67"/>
      </c>
      <c r="I495" s="318">
        <f t="shared" si="68"/>
      </c>
      <c r="J495" s="318"/>
      <c r="K495" s="318"/>
      <c r="L495" s="318"/>
      <c r="P495">
        <f t="shared" si="69"/>
      </c>
      <c r="Q495">
        <f t="shared" si="70"/>
      </c>
      <c r="R495">
        <f>IF(P495="","",TEXT(H495,"yyyymm")&amp;"_"&amp;P495&amp;"_"&amp;(COUNTIFS($H$64:$H$500,H495,$P$64:$P$500,P495,$A$64:$A$500,"&gt;"&amp;A495)+COUNTIFS($H$64:H495,H495,$P$64:P495,P495,$A$64:A495,A495)))</f>
      </c>
      <c r="S495">
        <f t="shared" si="71"/>
      </c>
      <c r="T495">
        <f t="shared" si="72"/>
      </c>
      <c r="U495">
        <f t="shared" si="73"/>
      </c>
      <c r="Y495">
        <f t="shared" si="74"/>
      </c>
      <c r="Z495">
        <f>IFERROR(IF(AND(ISNUMBER(A495),A495&gt;=$B$3,A495&lt;EDATE($B$3,1)),COUNTIFS($A$64:$A$500,"&gt;"&amp;A495,$A$64:$A$500,"&lt;"&amp;EDATE($B$3,1))+COUNTIF($A$64:A495,A495),0),0)</f>
        <v>0</v>
      </c>
    </row>
    <row r="496" spans="1:25" ht="28" hidden="1" customHeight="1" outlineLevel="1">
      <c r="A496" s="314"/>
      <c r="B496" s="318"/>
      <c r="C496" s="318"/>
      <c r="D496" s="318"/>
      <c r="E496" s="316"/>
      <c r="F496" s="318"/>
      <c r="G496" s="318"/>
      <c r="H496" s="317">
        <f t="shared" si="67"/>
      </c>
      <c r="I496" s="318">
        <f t="shared" si="68"/>
      </c>
      <c r="J496" s="318"/>
      <c r="K496" s="318"/>
      <c r="L496" s="318"/>
      <c r="P496">
        <f t="shared" si="69"/>
      </c>
      <c r="Q496">
        <f t="shared" si="70"/>
      </c>
      <c r="R496">
        <f>IF(P496="","",TEXT(H496,"yyyymm")&amp;"_"&amp;P496&amp;"_"&amp;(COUNTIFS($H$64:$H$500,H496,$P$64:$P$500,P496,$A$64:$A$500,"&gt;"&amp;A496)+COUNTIFS($H$64:H496,H496,$P$64:P496,P496,$A$64:A496,A496)))</f>
      </c>
      <c r="S496">
        <f t="shared" si="71"/>
      </c>
      <c r="T496">
        <f t="shared" si="72"/>
      </c>
      <c r="U496">
        <f t="shared" si="73"/>
      </c>
      <c r="Y496">
        <f t="shared" si="74"/>
      </c>
      <c r="Z496">
        <f>IFERROR(IF(AND(ISNUMBER(A496),A496&gt;=$B$3,A496&lt;EDATE($B$3,1)),COUNTIFS($A$64:$A$500,"&gt;"&amp;A496,$A$64:$A$500,"&lt;"&amp;EDATE($B$3,1))+COUNTIF($A$64:A496,A496),0),0)</f>
        <v>0</v>
      </c>
    </row>
    <row r="497" spans="1:25" ht="28" hidden="1" customHeight="1" outlineLevel="1">
      <c r="A497" s="314"/>
      <c r="B497" s="318"/>
      <c r="C497" s="318"/>
      <c r="D497" s="318"/>
      <c r="E497" s="316"/>
      <c r="F497" s="318"/>
      <c r="G497" s="318"/>
      <c r="H497" s="317">
        <f t="shared" si="67"/>
      </c>
      <c r="I497" s="318">
        <f t="shared" si="68"/>
      </c>
      <c r="J497" s="318"/>
      <c r="K497" s="318"/>
      <c r="L497" s="318"/>
      <c r="P497">
        <f t="shared" si="69"/>
      </c>
      <c r="Q497">
        <f t="shared" si="70"/>
      </c>
      <c r="R497">
        <f>IF(P497="","",TEXT(H497,"yyyymm")&amp;"_"&amp;P497&amp;"_"&amp;(COUNTIFS($H$64:$H$500,H497,$P$64:$P$500,P497,$A$64:$A$500,"&gt;"&amp;A497)+COUNTIFS($H$64:H497,H497,$P$64:P497,P497,$A$64:A497,A497)))</f>
      </c>
      <c r="S497">
        <f t="shared" si="71"/>
      </c>
      <c r="T497">
        <f t="shared" si="72"/>
      </c>
      <c r="U497">
        <f t="shared" si="73"/>
      </c>
      <c r="Y497">
        <f t="shared" si="74"/>
      </c>
      <c r="Z497">
        <f>IFERROR(IF(AND(ISNUMBER(A497),A497&gt;=$B$3,A497&lt;EDATE($B$3,1)),COUNTIFS($A$64:$A$500,"&gt;"&amp;A497,$A$64:$A$500,"&lt;"&amp;EDATE($B$3,1))+COUNTIF($A$64:A497,A497),0),0)</f>
        <v>0</v>
      </c>
    </row>
    <row r="498" spans="1:25" ht="28" hidden="1" customHeight="1" outlineLevel="1">
      <c r="A498" s="314"/>
      <c r="B498" s="318"/>
      <c r="C498" s="318"/>
      <c r="D498" s="318"/>
      <c r="E498" s="316"/>
      <c r="F498" s="318"/>
      <c r="G498" s="318"/>
      <c r="H498" s="317">
        <f t="shared" si="67"/>
      </c>
      <c r="I498" s="318">
        <f t="shared" si="68"/>
      </c>
      <c r="J498" s="318"/>
      <c r="K498" s="318"/>
      <c r="L498" s="318"/>
      <c r="P498">
        <f t="shared" si="69"/>
      </c>
      <c r="Q498">
        <f t="shared" si="70"/>
      </c>
      <c r="R498">
        <f>IF(P498="","",TEXT(H498,"yyyymm")&amp;"_"&amp;P498&amp;"_"&amp;(COUNTIFS($H$64:$H$500,H498,$P$64:$P$500,P498,$A$64:$A$500,"&gt;"&amp;A498)+COUNTIFS($H$64:H498,H498,$P$64:P498,P498,$A$64:A498,A498)))</f>
      </c>
      <c r="S498">
        <f t="shared" si="71"/>
      </c>
      <c r="T498">
        <f t="shared" si="72"/>
      </c>
      <c r="U498">
        <f t="shared" si="73"/>
      </c>
      <c r="Y498">
        <f t="shared" si="74"/>
      </c>
      <c r="Z498">
        <f>IFERROR(IF(AND(ISNUMBER(A498),A498&gt;=$B$3,A498&lt;EDATE($B$3,1)),COUNTIFS($A$64:$A$500,"&gt;"&amp;A498,$A$64:$A$500,"&lt;"&amp;EDATE($B$3,1))+COUNTIF($A$64:A498,A498),0),0)</f>
        <v>0</v>
      </c>
    </row>
    <row r="499" spans="1:25" ht="28" hidden="1" customHeight="1" outlineLevel="1">
      <c r="A499" s="314"/>
      <c r="B499" s="318"/>
      <c r="C499" s="318"/>
      <c r="D499" s="318"/>
      <c r="E499" s="316"/>
      <c r="F499" s="318"/>
      <c r="G499" s="318"/>
      <c r="H499" s="317">
        <f t="shared" si="67"/>
      </c>
      <c r="I499" s="318">
        <f t="shared" si="68"/>
      </c>
      <c r="J499" s="318"/>
      <c r="K499" s="318"/>
      <c r="L499" s="318"/>
      <c r="P499">
        <f t="shared" si="69"/>
      </c>
      <c r="Q499">
        <f t="shared" si="70"/>
      </c>
      <c r="R499">
        <f>IF(P499="","",TEXT(H499,"yyyymm")&amp;"_"&amp;P499&amp;"_"&amp;(COUNTIFS($H$64:$H$500,H499,$P$64:$P$500,P499,$A$64:$A$500,"&gt;"&amp;A499)+COUNTIFS($H$64:H499,H499,$P$64:P499,P499,$A$64:A499,A499)))</f>
      </c>
      <c r="S499">
        <f t="shared" si="71"/>
      </c>
      <c r="T499">
        <f t="shared" si="72"/>
      </c>
      <c r="U499">
        <f t="shared" si="73"/>
      </c>
      <c r="Y499">
        <f t="shared" si="74"/>
      </c>
      <c r="Z499">
        <f>IFERROR(IF(AND(ISNUMBER(A499),A499&gt;=$B$3,A499&lt;EDATE($B$3,1)),COUNTIFS($A$64:$A$500,"&gt;"&amp;A499,$A$64:$A$500,"&lt;"&amp;EDATE($B$3,1))+COUNTIF($A$64:A499,A499),0),0)</f>
        <v>0</v>
      </c>
    </row>
    <row r="500" spans="1:25" ht="28" hidden="1" customHeight="1" outlineLevel="1">
      <c r="A500" s="314"/>
      <c r="B500" s="318"/>
      <c r="C500" s="318"/>
      <c r="D500" s="318"/>
      <c r="E500" s="316"/>
      <c r="F500" s="318"/>
      <c r="G500" s="318"/>
      <c r="H500" s="317">
        <f t="shared" si="67"/>
      </c>
      <c r="I500" s="318">
        <f t="shared" si="68"/>
      </c>
      <c r="J500" s="318"/>
      <c r="K500" s="318"/>
      <c r="L500" s="318"/>
      <c r="P500">
        <f t="shared" si="69"/>
      </c>
      <c r="Q500">
        <f t="shared" si="70"/>
      </c>
      <c r="R500">
        <f>IF(P500="","",TEXT(H500,"yyyymm")&amp;"_"&amp;P500&amp;"_"&amp;(COUNTIFS($H$64:$H$500,H500,$P$64:$P$500,P500,$A$64:$A$500,"&gt;"&amp;A500)+COUNTIFS($H$64:H500,H500,$P$64:P500,P500,$A$64:A500,A500)))</f>
      </c>
      <c r="S500">
        <f t="shared" si="71"/>
      </c>
      <c r="T500">
        <f t="shared" si="72"/>
      </c>
      <c r="U500">
        <f t="shared" si="73"/>
      </c>
      <c r="Y500">
        <f t="shared" si="74"/>
      </c>
      <c r="Z500">
        <f>IFERROR(IF(AND(ISNUMBER(A500),A500&gt;=$B$3,A500&lt;EDATE($B$3,1)),COUNTIFS($A$64:$A$500,"&gt;"&amp;A500,$A$64:$A$500,"&lt;"&amp;EDATE($B$3,1))+COUNTIF($A$64:A500,A500),0),0)</f>
        <v>0</v>
      </c>
    </row>
    <row r="501" spans="1:25" hidden="0" outlineLevel="0" ht="32" customHeight="1" collapsed="1">
      <c r="A501" s="86" t="inlineStr">
        <is>
          <t xml:space="preserve">원장 페이지</t>
        </is>
      </c>
      <c r="B501" s="309">
        <v>1</v>
      </c>
      <c r="C501" s="308" t="str">
        <f>$AC$501&amp;"건 · 표시 페이지 "&amp;$AA$501&amp;" / "&amp;$AB$501&amp;" · 최신 기록순"</f>
        <v>16건 · 표시 페이지 1 / 1 · 최신 기록순</v>
      </c>
      <c r="I501" s="311" t="str">
        <f>HYPERLINK("#'잔액'!A63",IF(COUNTIF($I$64:$I$500,"*확인*")&gt;0,"전체 원장 확인 필요: "&amp;COUNTIF($I$64:$I$500,"*확인*")&amp;"건 (+로 펼침)","전체 원장 입력은 +로 펼침"))</f>
        <v>전체 원장 입력은 +로 펼침</v>
      </c>
      <c r="AA501">
        <f>MIN(MAX(1,IFERROR(INT($B$501),1)),$AB$501)</f>
        <v>1</v>
      </c>
      <c r="AB501">
        <f>MAX(1,ROUNDUP($AC$501/22,0))</f>
        <v>1</v>
      </c>
      <c r="AC501">
        <f>COUNTIF($Z$64:$Z$500,"&gt;0")</f>
        <v>16</v>
      </c>
    </row>
    <row r="502" hidden="0" outlineLevel="0" ht="32" customHeight="1">
      <c r="A502" s="82" t="inlineStr">
        <is>
          <t xml:space="preserve">날짜/월</t>
        </is>
      </c>
      <c r="B502" s="82" t="inlineStr">
        <is>
          <t xml:space="preserve">유형</t>
        </is>
      </c>
      <c r="C502" s="82" t="inlineStr">
        <is>
          <t xml:space="preserve">보내는 곳</t>
        </is>
      </c>
      <c r="D502" s="82" t="inlineStr">
        <is>
          <t xml:space="preserve">받는 곳</t>
        </is>
      </c>
      <c r="E502" s="82" t="inlineStr">
        <is>
          <t xml:space="preserve">금액</t>
        </is>
      </c>
      <c r="F502" s="82" t="inlineStr">
        <is>
          <t xml:space="preserve">내용</t>
        </is>
      </c>
      <c r="G502" s="82" t="inlineStr">
        <is>
          <t xml:space="preserve">메모 요약</t>
        </is>
      </c>
      <c r="H502" s="82" t="inlineStr">
        <is>
          <t xml:space="preserve">월</t>
        </is>
      </c>
      <c r="I502" s="82" t="inlineStr">
        <is>
          <t xml:space="preserve">검증</t>
        </is>
      </c>
      <c r="J502" s="82" t="inlineStr">
        <is>
          <t xml:space="preserve">보낸 계좌</t>
        </is>
      </c>
      <c r="K502" s="82" t="inlineStr">
        <is>
          <t xml:space="preserve">받은 계좌</t>
        </is>
      </c>
      <c r="L502" s="82" t="inlineStr">
        <is>
          <t xml:space="preserve">원본 행</t>
        </is>
      </c>
    </row>
    <row r="503" hidden="0" outlineLevel="0" ht="54" customHeight="1">
      <c r="A503" s="311" t="str">
        <f>IF($AA503=0,"",TEXT(INDEX($A$64:$A$500,MAX(1,$AA503)),IF(INDEX($L$64:$L$500,MAX(1,$AA503))="원본WRAP","yyyy-mm","m/d hh:mm")))</f>
        <v>10/17 16:01</v>
      </c>
      <c r="B503" s="311" t="str">
        <f>IF($AA503=0,"",IF(INDEX($B$64:$B$500,MAX(1,$AA503))="","",INDEX($B$64:$B$500,MAX(1,$AA503))))</f>
        <v>이체</v>
      </c>
      <c r="C503" s="311" t="str">
        <f>IF($AA503=0,"",IF(INDEX($C$64:$C$500,MAX(1,$AA503))="","",INDEX($C$64:$C$500,MAX(1,$AA503))))</f>
        <v>생활비</v>
      </c>
      <c r="D503" s="311" t="str">
        <f>IF($AA503=0,"",IF(INDEX($D$64:$D$500,MAX(1,$AA503))="","",INDEX($D$64:$D$500,MAX(1,$AA503))))</f>
        <v>외부</v>
      </c>
      <c r="E503" s="28">
        <f>IF($AA503=0,"",INDEX($E$64:$E$500,MAX(1,$AA503)))</f>
        <v>15700</v>
      </c>
      <c r="F503" s="311" t="str">
        <f>IF($AA503=0,"",IF(INDEX($F$64:$F$500,MAX(1,$AA503))="","",INDEX($F$64:$F$500,MAX(1,$AA503))))</f>
        <v>카카오페이 충전 · 플라잉 더치</v>
      </c>
      <c r="G503" s="90" t="str">
        <f>IF($AA503=0,"",LEFT(INDEX($G$64:$G$500,MAX(1,$AA503)),40)&amp;IF(LEN(INDEX($G$64:$G$500,MAX(1,$AA503)))&gt;40,"…",""))</f>
        <v>KP20261017-01 · 플라잉 더치 구매 연결(사용자 확인). 충전…</v>
      </c>
      <c r="H503" s="311" t="str">
        <f>IF($AA503=0,"",TEXT(INDEX($H$64:$H$500,MAX(1,$AA503)),"yyyy-mm"))</f>
        <v>2026-10</v>
      </c>
      <c r="I503" s="311" t="str">
        <f>IF($AA503=0,"",IF(INDEX($I$64:$I$500,MAX(1,$AA503))="","",INDEX($I$64:$I$500,MAX(1,$AA503))))</f>
        <v>OK</v>
      </c>
      <c r="J503" s="311" t="str">
        <f>IF($AA503=0,"",IF(INDEX($J$64:$J$500,MAX(1,$AA503))="","",INDEX($J$64:$J$500,MAX(1,$AA503))))</f>
        <v>미래에셋_WRAP형CMA</v>
      </c>
      <c r="K503" s="311" t="str">
        <f>IF($AA503=0,"",IF(INDEX($K$64:$K$500,MAX(1,$AA503))="","",INDEX($K$64:$K$500,MAX(1,$AA503))))</f>
        <v>카카오페이머니</v>
      </c>
      <c r="L503" s="311" t="str">
        <f>IF($AA503=0,"",HYPERLINK("#'잔액'!A"&amp;($AA503+63),"원장 "&amp;($AA503+63)&amp;"행 ↗"))</f>
        <v>원장 248행 ↗</v>
      </c>
      <c r="AA503">
        <f>IFERROR(MATCH(($AA$501-1)*22+1,$Z$64:$Z$500,0),0)</f>
        <v>185</v>
      </c>
    </row>
    <row r="504" hidden="0" outlineLevel="0" ht="54" customHeight="1">
      <c r="A504" s="311" t="str">
        <f>IF($AA504=0,"",TEXT(INDEX($A$64:$A$500,MAX(1,$AA504)),IF(INDEX($L$64:$L$500,MAX(1,$AA504))="원본WRAP","yyyy-mm","m/d hh:mm")))</f>
        <v>10/15 23:00</v>
      </c>
      <c r="B504" s="311" t="str">
        <f>IF($AA504=0,"",IF(INDEX($B$64:$B$500,MAX(1,$AA504))="","",INDEX($B$64:$B$500,MAX(1,$AA504))))</f>
        <v>이체</v>
      </c>
      <c r="C504" s="311" t="str">
        <f>IF($AA504=0,"",IF(INDEX($C$64:$C$500,MAX(1,$AA504))="","",INDEX($C$64:$C$500,MAX(1,$AA504))))</f>
        <v>임시보관</v>
      </c>
      <c r="D504" s="311" t="str">
        <f>IF($AA504=0,"",IF(INDEX($D$64:$D$500,MAX(1,$AA504))="","",INDEX($D$64:$D$500,MAX(1,$AA504))))</f>
        <v>생활비</v>
      </c>
      <c r="E504" s="28">
        <f>IF($AA504=0,"",INDEX($E$64:$E$500,MAX(1,$AA504)))</f>
        <v>61000</v>
      </c>
      <c r="F504" s="311" t="str">
        <f>IF($AA504=0,"",IF(INDEX($F$64:$F$500,MAX(1,$AA504))="","",INDEX($F$64:$F$500,MAX(1,$AA504))))</f>
        <v>생신 잔금 임시보관 → 생활비</v>
      </c>
      <c r="G504" s="90" t="str">
        <f>IF($AA504=0,"",LEFT(INDEX($G$64:$G$500,MAX(1,$AA504)),40)&amp;IF(LEN(INDEX($G$64:$G$500,MAX(1,$AA504)))&gt;40,"…",""))</f>
        <v>사용자 요청으로 회수 원금 61,000원을 생활비로 분류 이동. 날짜는 …</v>
      </c>
      <c r="H504" s="311" t="str">
        <f>IF($AA504=0,"",TEXT(INDEX($H$64:$H$500,MAX(1,$AA504)),"yyyy-mm"))</f>
        <v>2026-10</v>
      </c>
      <c r="I504" s="311" t="str">
        <f>IF($AA504=0,"",IF(INDEX($I$64:$I$500,MAX(1,$AA504))="","",INDEX($I$64:$I$500,MAX(1,$AA504))))</f>
        <v>OK</v>
      </c>
      <c r="J504" s="311" t="str">
        <f>IF($AA504=0,"",IF(INDEX($J$64:$J$500,MAX(1,$AA504))="","",INDEX($J$64:$J$500,MAX(1,$AA504))))</f>
        <v>미래에셋_WRAP형CMA</v>
      </c>
      <c r="K504" s="311" t="str">
        <f>IF($AA504=0,"",IF(INDEX($K$64:$K$500,MAX(1,$AA504))="","",INDEX($K$64:$K$500,MAX(1,$AA504))))</f>
        <v>미래에셋_WRAP형CMA</v>
      </c>
      <c r="L504" s="311" t="str">
        <f>IF($AA504=0,"",HYPERLINK("#'잔액'!A"&amp;($AA504+63),"원장 "&amp;($AA504+63)&amp;"행 ↗"))</f>
        <v>원장 247행 ↗</v>
      </c>
      <c r="AA504">
        <f>IFERROR(MATCH(($AA$501-1)*22+2,$Z$64:$Z$500,0),0)</f>
        <v>184</v>
      </c>
    </row>
    <row r="505" hidden="0" outlineLevel="0" ht="54" customHeight="1">
      <c r="A505" s="311" t="str">
        <f>IF($AA505=0,"",TEXT(INDEX($A$64:$A$500,MAX(1,$AA505)),IF(INDEX($L$64:$L$500,MAX(1,$AA505))="원본WRAP","yyyy-mm","m/d hh:mm")))</f>
        <v>10/15 22:33</v>
      </c>
      <c r="B505" s="311" t="str">
        <f>IF($AA505=0,"",IF(INDEX($B$64:$B$500,MAX(1,$AA505))="","",INDEX($B$64:$B$500,MAX(1,$AA505))))</f>
        <v>이체</v>
      </c>
      <c r="C505" s="311" t="str">
        <f>IF($AA505=0,"",IF(INDEX($C$64:$C$500,MAX(1,$AA505))="","",INDEX($C$64:$C$500,MAX(1,$AA505))))</f>
        <v>외부</v>
      </c>
      <c r="D505" s="311" t="str">
        <f>IF($AA505=0,"",IF(INDEX($D$64:$D$500,MAX(1,$AA505))="","",INDEX($D$64:$D$500,MAX(1,$AA505))))</f>
        <v>임시보관</v>
      </c>
      <c r="E505" s="28">
        <f>IF($AA505=0,"",INDEX($E$64:$E$500,MAX(1,$AA505)))</f>
        <v>61000</v>
      </c>
      <c r="F505" s="311" t="str">
        <f>IF($AA505=0,"",IF(INDEX($F$64:$F$500,MAX(1,$AA505))="","",INDEX($F$64:$F$500,MAX(1,$AA505))))</f>
        <v>부모 생신 미사용 원금 회수</v>
      </c>
      <c r="G505" s="90" t="str">
        <f>IF($AA505=0,"",LEFT(INDEX($G$64:$G$500,MAX(1,$AA505)),40)&amp;IF(LEN(INDEX($G$64:$G$500,MAX(1,$AA505)))&gt;40,"…",""))</f>
        <v>RAW 2466행. 8월 가족통장 납입 100,000 중 행사 39,00…</v>
      </c>
      <c r="H505" s="311" t="str">
        <f>IF($AA505=0,"",TEXT(INDEX($H$64:$H$500,MAX(1,$AA505)),"yyyy-mm"))</f>
        <v>2026-10</v>
      </c>
      <c r="I505" s="311" t="str">
        <f>IF($AA505=0,"",IF(INDEX($I$64:$I$500,MAX(1,$AA505))="","",INDEX($I$64:$I$500,MAX(1,$AA505))))</f>
        <v>OK</v>
      </c>
      <c r="J505" s="311" t="str">
        <f>IF($AA505=0,"",IF(INDEX($J$64:$J$500,MAX(1,$AA505))="","",INDEX($J$64:$J$500,MAX(1,$AA505))))</f>
        <v>가족통장</v>
      </c>
      <c r="K505" s="311" t="str">
        <f>IF($AA505=0,"",IF(INDEX($K$64:$K$500,MAX(1,$AA505))="","",INDEX($K$64:$K$500,MAX(1,$AA505))))</f>
        <v>미래에셋_WRAP형CMA</v>
      </c>
      <c r="L505" s="311" t="str">
        <f>IF($AA505=0,"",HYPERLINK("#'잔액'!A"&amp;($AA505+63),"원장 "&amp;($AA505+63)&amp;"행 ↗"))</f>
        <v>원장 246행 ↗</v>
      </c>
      <c r="AA505">
        <f>IFERROR(MATCH(($AA$501-1)*22+3,$Z$64:$Z$500,0),0)</f>
        <v>183</v>
      </c>
    </row>
    <row r="506" hidden="0" outlineLevel="0" ht="54" customHeight="1">
      <c r="A506" s="311" t="str">
        <f>IF($AA506=0,"",TEXT(INDEX($A$64:$A$500,MAX(1,$AA506)),IF(INDEX($L$64:$L$500,MAX(1,$AA506))="원본WRAP","yyyy-mm","m/d hh:mm")))</f>
        <v>10/13 20:37</v>
      </c>
      <c r="B506" s="311" t="str">
        <f>IF($AA506=0,"",IF(INDEX($B$64:$B$500,MAX(1,$AA506))="","",INDEX($B$64:$B$500,MAX(1,$AA506))))</f>
        <v>입금</v>
      </c>
      <c r="C506" s="311" t="str">
        <f>IF($AA506=0,"",IF(INDEX($C$64:$C$500,MAX(1,$AA506))="","",INDEX($C$64:$C$500,MAX(1,$AA506))))</f>
        <v>외부</v>
      </c>
      <c r="D506" s="311" t="str">
        <f>IF($AA506=0,"",IF(INDEX($D$64:$D$500,MAX(1,$AA506))="","",INDEX($D$64:$D$500,MAX(1,$AA506))))</f>
        <v>생활비</v>
      </c>
      <c r="E506" s="28">
        <f>IF($AA506=0,"",INDEX($E$64:$E$500,MAX(1,$AA506)))</f>
        <v>535</v>
      </c>
      <c r="F506" s="311" t="str">
        <f>IF($AA506=0,"",IF(INDEX($F$64:$F$500,MAX(1,$AA506))="","",INDEX($F$64:$F$500,MAX(1,$AA506))))</f>
        <v>미래에셋 WRAP 이자</v>
      </c>
      <c r="G506" s="90" t="str">
        <f>IF($AA506=0,"",LEFT(INDEX($G$64:$G$500,MAX(1,$AA506)),40)&amp;IF(LEN(INDEX($G$64:$G$500,MAX(1,$AA506)))&gt;40,"…",""))</f>
        <v>RAW 2454행 · 10/13 추가 이자 535원. 10/15 RAW …</v>
      </c>
      <c r="H506" s="311" t="str">
        <f>IF($AA506=0,"",TEXT(INDEX($H$64:$H$500,MAX(1,$AA506)),"yyyy-mm"))</f>
        <v>2026-10</v>
      </c>
      <c r="I506" s="311" t="str">
        <f>IF($AA506=0,"",IF(INDEX($I$64:$I$500,MAX(1,$AA506))="","",INDEX($I$64:$I$500,MAX(1,$AA506))))</f>
        <v>OK</v>
      </c>
      <c r="J506" s="311" t="str">
        <f>IF($AA506=0,"",IF(INDEX($J$64:$J$500,MAX(1,$AA506))="","",INDEX($J$64:$J$500,MAX(1,$AA506))))</f>
        <v>외부</v>
      </c>
      <c r="K506" s="311" t="str">
        <f>IF($AA506=0,"",IF(INDEX($K$64:$K$500,MAX(1,$AA506))="","",INDEX($K$64:$K$500,MAX(1,$AA506))))</f>
        <v>미래에셋_WRAP형CMA</v>
      </c>
      <c r="L506" s="311" t="str">
        <f>IF($AA506=0,"",HYPERLINK("#'잔액'!A"&amp;($AA506+63),"원장 "&amp;($AA506+63)&amp;"행 ↗"))</f>
        <v>원장 245행 ↗</v>
      </c>
      <c r="AA506">
        <f>IFERROR(MATCH(($AA$501-1)*22+4,$Z$64:$Z$500,0),0)</f>
        <v>182</v>
      </c>
    </row>
    <row r="507" hidden="0" outlineLevel="0" ht="54" customHeight="1">
      <c r="A507" s="311" t="str">
        <f>IF($AA507=0,"",TEXT(INDEX($A$64:$A$500,MAX(1,$AA507)),IF(INDEX($L$64:$L$500,MAX(1,$AA507))="원본WRAP","yyyy-mm","m/d hh:mm")))</f>
        <v>10/13 20:26</v>
      </c>
      <c r="B507" s="311" t="str">
        <f>IF($AA507=0,"",IF(INDEX($B$64:$B$500,MAX(1,$AA507))="","",INDEX($B$64:$B$500,MAX(1,$AA507))))</f>
        <v>계좌이체</v>
      </c>
      <c r="C507" s="311" t="str">
        <f>IF($AA507=0,"",IF(INDEX($C$64:$C$500,MAX(1,$AA507))="","",INDEX($C$64:$C$500,MAX(1,$AA507))))</f>
        <v>외부</v>
      </c>
      <c r="D507" s="311" t="str">
        <f>IF($AA507=0,"",IF(INDEX($D$64:$D$500,MAX(1,$AA507))="","",INDEX($D$64:$D$500,MAX(1,$AA507))))</f>
        <v>생활비</v>
      </c>
      <c r="E507" s="28">
        <f>IF($AA507=0,"",INDEX($E$64:$E$500,MAX(1,$AA507)))</f>
        <v>22210</v>
      </c>
      <c r="F507" s="311" t="str">
        <f>IF($AA507=0,"",IF(INDEX($F$64:$F$500,MAX(1,$AA507))="","",INDEX($F$64:$F$500,MAX(1,$AA507))))</f>
        <v>신한은행V2 → 미래에셋 WRAP</v>
      </c>
      <c r="G507" s="90" t="str">
        <f>IF($AA507=0,"",LEFT(INDEX($G$64:$G$500,MAX(1,$AA507)),40)&amp;IF(LEN(INDEX($G$64:$G$500,MAX(1,$AA507)))&gt;40,"…",""))</f>
        <v>RAW 2453행 · WRAP 이체입금 22,210원. WRAP에서 나가…</v>
      </c>
      <c r="H507" s="311" t="str">
        <f>IF($AA507=0,"",TEXT(INDEX($H$64:$H$500,MAX(1,$AA507)),"yyyy-mm"))</f>
        <v>2026-10</v>
      </c>
      <c r="I507" s="311" t="str">
        <f>IF($AA507=0,"",IF(INDEX($I$64:$I$500,MAX(1,$AA507))="","",INDEX($I$64:$I$500,MAX(1,$AA507))))</f>
        <v>OK</v>
      </c>
      <c r="J507" s="311" t="str">
        <f>IF($AA507=0,"",IF(INDEX($J$64:$J$500,MAX(1,$AA507))="","",INDEX($J$64:$J$500,MAX(1,$AA507))))</f>
        <v>신한은행V2</v>
      </c>
      <c r="K507" s="311" t="str">
        <f>IF($AA507=0,"",IF(INDEX($K$64:$K$500,MAX(1,$AA507))="","",INDEX($K$64:$K$500,MAX(1,$AA507))))</f>
        <v>미래에셋_WRAP형CMA</v>
      </c>
      <c r="L507" s="311" t="str">
        <f>IF($AA507=0,"",HYPERLINK("#'잔액'!A"&amp;($AA507+63),"원장 "&amp;($AA507+63)&amp;"행 ↗"))</f>
        <v>원장 231행 ↗</v>
      </c>
      <c r="AA507">
        <f>IFERROR(MATCH(($AA$501-1)*22+5,$Z$64:$Z$500,0),0)</f>
        <v>168</v>
      </c>
    </row>
    <row r="508" hidden="0" outlineLevel="0" ht="54" customHeight="1">
      <c r="A508" s="311" t="str">
        <f>IF($AA508=0,"",TEXT(INDEX($A$64:$A$500,MAX(1,$AA508)),IF(INDEX($L$64:$L$500,MAX(1,$AA508))="원본WRAP","yyyy-mm","m/d hh:mm")))</f>
        <v>10/13 20:25</v>
      </c>
      <c r="B508" s="311" t="str">
        <f>IF($AA508=0,"",IF(INDEX($B$64:$B$500,MAX(1,$AA508))="","",INDEX($B$64:$B$500,MAX(1,$AA508))))</f>
        <v>계좌이체</v>
      </c>
      <c r="C508" s="311" t="str">
        <f>IF($AA508=0,"",IF(INDEX($C$64:$C$500,MAX(1,$AA508))="","",INDEX($C$64:$C$500,MAX(1,$AA508))))</f>
        <v>생활비</v>
      </c>
      <c r="D508" s="311" t="str">
        <f>IF($AA508=0,"",IF(INDEX($D$64:$D$500,MAX(1,$AA508))="","",INDEX($D$64:$D$500,MAX(1,$AA508))))</f>
        <v>외부</v>
      </c>
      <c r="E508" s="28">
        <f>IF($AA508=0,"",INDEX($E$64:$E$500,MAX(1,$AA508)))</f>
        <v>236270</v>
      </c>
      <c r="F508" s="311" t="str">
        <f>IF($AA508=0,"",IF(INDEX($F$64:$F$500,MAX(1,$AA508))="","",INDEX($F$64:$F$500,MAX(1,$AA508))))</f>
        <v>미래에셋 WRAP → 토스뱅크</v>
      </c>
      <c r="G508" s="90" t="str">
        <f>IF($AA508=0,"",LEFT(INDEX($G$64:$G$500,MAX(1,$AA508)),40)&amp;IF(LEN(INDEX($G$64:$G$500,MAX(1,$AA508)))&gt;40,"…",""))</f>
        <v>RAW 2452행 · WRAP 이체출금 236,270원. WRAP에서 나…</v>
      </c>
      <c r="H508" s="311" t="str">
        <f>IF($AA508=0,"",TEXT(INDEX($H$64:$H$500,MAX(1,$AA508)),"yyyy-mm"))</f>
        <v>2026-10</v>
      </c>
      <c r="I508" s="311" t="str">
        <f>IF($AA508=0,"",IF(INDEX($I$64:$I$500,MAX(1,$AA508))="","",INDEX($I$64:$I$500,MAX(1,$AA508))))</f>
        <v>OK</v>
      </c>
      <c r="J508" s="311" t="str">
        <f>IF($AA508=0,"",IF(INDEX($J$64:$J$500,MAX(1,$AA508))="","",INDEX($J$64:$J$500,MAX(1,$AA508))))</f>
        <v>미래에셋_WRAP형CMA</v>
      </c>
      <c r="K508" s="311" t="str">
        <f>IF($AA508=0,"",IF(INDEX($K$64:$K$500,MAX(1,$AA508))="","",INDEX($K$64:$K$500,MAX(1,$AA508))))</f>
        <v>토스뱅크</v>
      </c>
      <c r="L508" s="311" t="str">
        <f>IF($AA508=0,"",HYPERLINK("#'잔액'!A"&amp;($AA508+63),"원장 "&amp;($AA508+63)&amp;"행 ↗"))</f>
        <v>원장 232행 ↗</v>
      </c>
      <c r="AA508">
        <f>IFERROR(MATCH(($AA$501-1)*22+6,$Z$64:$Z$500,0),0)</f>
        <v>169</v>
      </c>
    </row>
    <row r="509" hidden="0" outlineLevel="0" ht="54" customHeight="1">
      <c r="A509" s="311" t="str">
        <f>IF($AA509=0,"",TEXT(INDEX($A$64:$A$500,MAX(1,$AA509)),IF(INDEX($L$64:$L$500,MAX(1,$AA509))="원본WRAP","yyyy-mm","m/d hh:mm")))</f>
        <v>10/13 20:24</v>
      </c>
      <c r="B509" s="311" t="str">
        <f>IF($AA509=0,"",IF(INDEX($B$64:$B$500,MAX(1,$AA509))="","",INDEX($B$64:$B$500,MAX(1,$AA509))))</f>
        <v>계좌이체</v>
      </c>
      <c r="C509" s="311" t="str">
        <f>IF($AA509=0,"",IF(INDEX($C$64:$C$500,MAX(1,$AA509))="","",INDEX($C$64:$C$500,MAX(1,$AA509))))</f>
        <v>생활비</v>
      </c>
      <c r="D509" s="311" t="str">
        <f>IF($AA509=0,"",IF(INDEX($D$64:$D$500,MAX(1,$AA509))="","",INDEX($D$64:$D$500,MAX(1,$AA509))))</f>
        <v>외부</v>
      </c>
      <c r="E509" s="28">
        <f>IF($AA509=0,"",INDEX($E$64:$E$500,MAX(1,$AA509)))</f>
        <v>246568</v>
      </c>
      <c r="F509" s="311" t="str">
        <f>IF($AA509=0,"",IF(INDEX($F$64:$F$500,MAX(1,$AA509))="","",INDEX($F$64:$F$500,MAX(1,$AA509))))</f>
        <v>미래에셋 WRAP → 우리은행</v>
      </c>
      <c r="G509" s="90" t="str">
        <f>IF($AA509=0,"",LEFT(INDEX($G$64:$G$500,MAX(1,$AA509)),40)&amp;IF(LEN(INDEX($G$64:$G$500,MAX(1,$AA509)))&gt;40,"…",""))</f>
        <v>RAW 2451행 · WRAP 이체출금 246,568원. WRAP에서 나…</v>
      </c>
      <c r="H509" s="311" t="str">
        <f>IF($AA509=0,"",TEXT(INDEX($H$64:$H$500,MAX(1,$AA509)),"yyyy-mm"))</f>
        <v>2026-10</v>
      </c>
      <c r="I509" s="311" t="str">
        <f>IF($AA509=0,"",IF(INDEX($I$64:$I$500,MAX(1,$AA509))="","",INDEX($I$64:$I$500,MAX(1,$AA509))))</f>
        <v>OK</v>
      </c>
      <c r="J509" s="311" t="str">
        <f>IF($AA509=0,"",IF(INDEX($J$64:$J$500,MAX(1,$AA509))="","",INDEX($J$64:$J$500,MAX(1,$AA509))))</f>
        <v>미래에셋_WRAP형CMA</v>
      </c>
      <c r="K509" s="311" t="str">
        <f>IF($AA509=0,"",IF(INDEX($K$64:$K$500,MAX(1,$AA509))="","",INDEX($K$64:$K$500,MAX(1,$AA509))))</f>
        <v>우리은행</v>
      </c>
      <c r="L509" s="311" t="str">
        <f>IF($AA509=0,"",HYPERLINK("#'잔액'!A"&amp;($AA509+63),"원장 "&amp;($AA509+63)&amp;"행 ↗"))</f>
        <v>원장 233행 ↗</v>
      </c>
      <c r="AA509">
        <f>IFERROR(MATCH(($AA$501-1)*22+7,$Z$64:$Z$500,0),0)</f>
        <v>170</v>
      </c>
    </row>
    <row r="510" hidden="0" outlineLevel="0" ht="54" customHeight="1">
      <c r="A510" s="311" t="str">
        <f>IF($AA510=0,"",TEXT(INDEX($A$64:$A$500,MAX(1,$AA510)),IF(INDEX($L$64:$L$500,MAX(1,$AA510))="원본WRAP","yyyy-mm","m/d hh:mm")))</f>
        <v>10/13 20:22</v>
      </c>
      <c r="B510" s="311" t="str">
        <f>IF($AA510=0,"",IF(INDEX($B$64:$B$500,MAX(1,$AA510))="","",INDEX($B$64:$B$500,MAX(1,$AA510))))</f>
        <v>계좌이체</v>
      </c>
      <c r="C510" s="311" t="str">
        <f>IF($AA510=0,"",IF(INDEX($C$64:$C$500,MAX(1,$AA510))="","",INDEX($C$64:$C$500,MAX(1,$AA510))))</f>
        <v>생활비</v>
      </c>
      <c r="D510" s="311" t="str">
        <f>IF($AA510=0,"",IF(INDEX($D$64:$D$500,MAX(1,$AA510))="","",INDEX($D$64:$D$500,MAX(1,$AA510))))</f>
        <v>외부</v>
      </c>
      <c r="E510" s="28">
        <f>IF($AA510=0,"",INDEX($E$64:$E$500,MAX(1,$AA510)))</f>
        <v>360550</v>
      </c>
      <c r="F510" s="311" t="str">
        <f>IF($AA510=0,"",IF(INDEX($F$64:$F$500,MAX(1,$AA510))="","",INDEX($F$64:$F$500,MAX(1,$AA510))))</f>
        <v>미래에셋 WRAP → 국민은행</v>
      </c>
      <c r="G510" s="90" t="str">
        <f>IF($AA510=0,"",LEFT(INDEX($G$64:$G$500,MAX(1,$AA510)),40)&amp;IF(LEN(INDEX($G$64:$G$500,MAX(1,$AA510)))&gt;40,"…",""))</f>
        <v>RAW 2450행 · WRAP 이체출금 360,550원. WRAP에서 나…</v>
      </c>
      <c r="H510" s="311" t="str">
        <f>IF($AA510=0,"",TEXT(INDEX($H$64:$H$500,MAX(1,$AA510)),"yyyy-mm"))</f>
        <v>2026-10</v>
      </c>
      <c r="I510" s="311" t="str">
        <f>IF($AA510=0,"",IF(INDEX($I$64:$I$500,MAX(1,$AA510))="","",INDEX($I$64:$I$500,MAX(1,$AA510))))</f>
        <v>OK</v>
      </c>
      <c r="J510" s="311" t="str">
        <f>IF($AA510=0,"",IF(INDEX($J$64:$J$500,MAX(1,$AA510))="","",INDEX($J$64:$J$500,MAX(1,$AA510))))</f>
        <v>미래에셋_WRAP형CMA</v>
      </c>
      <c r="K510" s="311" t="str">
        <f>IF($AA510=0,"",IF(INDEX($K$64:$K$500,MAX(1,$AA510))="","",INDEX($K$64:$K$500,MAX(1,$AA510))))</f>
        <v>국민은행</v>
      </c>
      <c r="L510" s="311" t="str">
        <f>IF($AA510=0,"",HYPERLINK("#'잔액'!A"&amp;($AA510+63),"원장 "&amp;($AA510+63)&amp;"행 ↗"))</f>
        <v>원장 234행 ↗</v>
      </c>
      <c r="AA510">
        <f>IFERROR(MATCH(($AA$501-1)*22+8,$Z$64:$Z$500,0),0)</f>
        <v>171</v>
      </c>
    </row>
    <row r="511" hidden="0" outlineLevel="0" ht="54" customHeight="1">
      <c r="A511" s="311" t="str">
        <f>IF($AA511=0,"",TEXT(INDEX($A$64:$A$500,MAX(1,$AA511)),IF(INDEX($L$64:$L$500,MAX(1,$AA511))="원본WRAP","yyyy-mm","m/d hh:mm")))</f>
        <v>10/13 20:21</v>
      </c>
      <c r="B511" s="311" t="str">
        <f>IF($AA511=0,"",IF(INDEX($B$64:$B$500,MAX(1,$AA511))="","",INDEX($B$64:$B$500,MAX(1,$AA511))))</f>
        <v>계좌이체</v>
      </c>
      <c r="C511" s="311" t="str">
        <f>IF($AA511=0,"",IF(INDEX($C$64:$C$500,MAX(1,$AA511))="","",INDEX($C$64:$C$500,MAX(1,$AA511))))</f>
        <v>생활비</v>
      </c>
      <c r="D511" s="311" t="str">
        <f>IF($AA511=0,"",IF(INDEX($D$64:$D$500,MAX(1,$AA511))="","",INDEX($D$64:$D$500,MAX(1,$AA511))))</f>
        <v>외부</v>
      </c>
      <c r="E511" s="28">
        <f>IF($AA511=0,"",INDEX($E$64:$E$500,MAX(1,$AA511)))</f>
        <v>798746</v>
      </c>
      <c r="F511" s="311" t="str">
        <f>IF($AA511=0,"",IF(INDEX($F$64:$F$500,MAX(1,$AA511))="","",INDEX($F$64:$F$500,MAX(1,$AA511))))</f>
        <v>미래에셋 WRAP → 토스뱅크</v>
      </c>
      <c r="G511" s="90" t="str">
        <f>IF($AA511=0,"",LEFT(INDEX($G$64:$G$500,MAX(1,$AA511)),40)&amp;IF(LEN(INDEX($G$64:$G$500,MAX(1,$AA511)))&gt;40,"…",""))</f>
        <v>RAW 2449행 · WRAP 이체출금 798,746원. WRAP에서 나…</v>
      </c>
      <c r="H511" s="311" t="str">
        <f>IF($AA511=0,"",TEXT(INDEX($H$64:$H$500,MAX(1,$AA511)),"yyyy-mm"))</f>
        <v>2026-10</v>
      </c>
      <c r="I511" s="311" t="str">
        <f>IF($AA511=0,"",IF(INDEX($I$64:$I$500,MAX(1,$AA511))="","",INDEX($I$64:$I$500,MAX(1,$AA511))))</f>
        <v>OK</v>
      </c>
      <c r="J511" s="311" t="str">
        <f>IF($AA511=0,"",IF(INDEX($J$64:$J$500,MAX(1,$AA511))="","",INDEX($J$64:$J$500,MAX(1,$AA511))))</f>
        <v>미래에셋_WRAP형CMA</v>
      </c>
      <c r="K511" s="311" t="str">
        <f>IF($AA511=0,"",IF(INDEX($K$64:$K$500,MAX(1,$AA511))="","",INDEX($K$64:$K$500,MAX(1,$AA511))))</f>
        <v>토스뱅크</v>
      </c>
      <c r="L511" s="311" t="str">
        <f>IF($AA511=0,"",HYPERLINK("#'잔액'!A"&amp;($AA511+63),"원장 "&amp;($AA511+63)&amp;"행 ↗"))</f>
        <v>원장 235행 ↗</v>
      </c>
      <c r="AA511">
        <f>IFERROR(MATCH(($AA$501-1)*22+9,$Z$64:$Z$500,0),0)</f>
        <v>172</v>
      </c>
    </row>
    <row r="512" hidden="0" outlineLevel="0" ht="54" customHeight="1">
      <c r="A512" s="311" t="str">
        <f>IF($AA512=0,"",TEXT(INDEX($A$64:$A$500,MAX(1,$AA512)),IF(INDEX($L$64:$L$500,MAX(1,$AA512))="원본WRAP","yyyy-mm","m/d hh:mm")))</f>
        <v>10/13 20:18</v>
      </c>
      <c r="B512" s="311" t="str">
        <f>IF($AA512=0,"",IF(INDEX($B$64:$B$500,MAX(1,$AA512))="","",INDEX($B$64:$B$500,MAX(1,$AA512))))</f>
        <v>계좌이체</v>
      </c>
      <c r="C512" s="311" t="str">
        <f>IF($AA512=0,"",IF(INDEX($C$64:$C$500,MAX(1,$AA512))="","",INDEX($C$64:$C$500,MAX(1,$AA512))))</f>
        <v>외부</v>
      </c>
      <c r="D512" s="311" t="str">
        <f>IF($AA512=0,"",IF(INDEX($D$64:$D$500,MAX(1,$AA512))="","",INDEX($D$64:$D$500,MAX(1,$AA512))))</f>
        <v>생활비</v>
      </c>
      <c r="E512" s="28">
        <f>IF($AA512=0,"",INDEX($E$64:$E$500,MAX(1,$AA512)))</f>
        <v>604300</v>
      </c>
      <c r="F512" s="311" t="str">
        <f>IF($AA512=0,"",IF(INDEX($F$64:$F$500,MAX(1,$AA512))="","",INDEX($F$64:$F$500,MAX(1,$AA512))))</f>
        <v>토스뱅크 → 미래에셋 WRAP</v>
      </c>
      <c r="G512" s="90" t="str">
        <f>IF($AA512=0,"",LEFT(INDEX($G$64:$G$500,MAX(1,$AA512)),40)&amp;IF(LEN(INDEX($G$64:$G$500,MAX(1,$AA512)))&gt;40,"…",""))</f>
        <v>RAW 2448행 · WRAP 이체입금 604,300원. WRAP에서 나…</v>
      </c>
      <c r="H512" s="311" t="str">
        <f>IF($AA512=0,"",TEXT(INDEX($H$64:$H$500,MAX(1,$AA512)),"yyyy-mm"))</f>
        <v>2026-10</v>
      </c>
      <c r="I512" s="311" t="str">
        <f>IF($AA512=0,"",IF(INDEX($I$64:$I$500,MAX(1,$AA512))="","",INDEX($I$64:$I$500,MAX(1,$AA512))))</f>
        <v>OK</v>
      </c>
      <c r="J512" s="311" t="str">
        <f>IF($AA512=0,"",IF(INDEX($J$64:$J$500,MAX(1,$AA512))="","",INDEX($J$64:$J$500,MAX(1,$AA512))))</f>
        <v>토스뱅크</v>
      </c>
      <c r="K512" s="311" t="str">
        <f>IF($AA512=0,"",IF(INDEX($K$64:$K$500,MAX(1,$AA512))="","",INDEX($K$64:$K$500,MAX(1,$AA512))))</f>
        <v>미래에셋_WRAP형CMA</v>
      </c>
      <c r="L512" s="311" t="str">
        <f>IF($AA512=0,"",HYPERLINK("#'잔액'!A"&amp;($AA512+63),"원장 "&amp;($AA512+63)&amp;"행 ↗"))</f>
        <v>원장 236행 ↗</v>
      </c>
      <c r="AA512">
        <f>IFERROR(MATCH(($AA$501-1)*22+10,$Z$64:$Z$500,0),0)</f>
        <v>173</v>
      </c>
    </row>
    <row r="513" hidden="0" outlineLevel="0" ht="54" customHeight="1">
      <c r="A513" s="311" t="str">
        <f>IF($AA513=0,"",TEXT(INDEX($A$64:$A$500,MAX(1,$AA513)),IF(INDEX($L$64:$L$500,MAX(1,$AA513))="원본WRAP","yyyy-mm","m/d hh:mm")))</f>
        <v>10/13 17:58</v>
      </c>
      <c r="B513" s="311" t="str">
        <f>IF($AA513=0,"",IF(INDEX($B$64:$B$500,MAX(1,$AA513))="","",INDEX($B$64:$B$500,MAX(1,$AA513))))</f>
        <v>계좌이체</v>
      </c>
      <c r="C513" s="311" t="str">
        <f>IF($AA513=0,"",IF(INDEX($C$64:$C$500,MAX(1,$AA513))="","",INDEX($C$64:$C$500,MAX(1,$AA513))))</f>
        <v>생활비</v>
      </c>
      <c r="D513" s="311" t="str">
        <f>IF($AA513=0,"",IF(INDEX($D$64:$D$500,MAX(1,$AA513))="","",INDEX($D$64:$D$500,MAX(1,$AA513))))</f>
        <v>외부</v>
      </c>
      <c r="E513" s="28">
        <f>IF($AA513=0,"",INDEX($E$64:$E$500,MAX(1,$AA513)))</f>
        <v>753905</v>
      </c>
      <c r="F513" s="311" t="str">
        <f>IF($AA513=0,"",IF(INDEX($F$64:$F$500,MAX(1,$AA513))="","",INDEX($F$64:$F$500,MAX(1,$AA513))))</f>
        <v>미래에셋 WRAP → 새마을금고</v>
      </c>
      <c r="G513" s="90" t="str">
        <f>IF($AA513=0,"",LEFT(INDEX($G$64:$G$500,MAX(1,$AA513)),40)&amp;IF(LEN(INDEX($G$64:$G$500,MAX(1,$AA513)))&gt;40,"…",""))</f>
        <v>RAW 2446행 · WRAP 이체출금 753,905원. WRAP에서 나…</v>
      </c>
      <c r="H513" s="311" t="str">
        <f>IF($AA513=0,"",TEXT(INDEX($H$64:$H$500,MAX(1,$AA513)),"yyyy-mm"))</f>
        <v>2026-10</v>
      </c>
      <c r="I513" s="311" t="str">
        <f>IF($AA513=0,"",IF(INDEX($I$64:$I$500,MAX(1,$AA513))="","",INDEX($I$64:$I$500,MAX(1,$AA513))))</f>
        <v>OK</v>
      </c>
      <c r="J513" s="311" t="str">
        <f>IF($AA513=0,"",IF(INDEX($J$64:$J$500,MAX(1,$AA513))="","",INDEX($J$64:$J$500,MAX(1,$AA513))))</f>
        <v>미래에셋_WRAP형CMA</v>
      </c>
      <c r="K513" s="311" t="str">
        <f>IF($AA513=0,"",IF(INDEX($K$64:$K$500,MAX(1,$AA513))="","",INDEX($K$64:$K$500,MAX(1,$AA513))))</f>
        <v>새마을금고</v>
      </c>
      <c r="L513" s="311" t="str">
        <f>IF($AA513=0,"",HYPERLINK("#'잔액'!A"&amp;($AA513+63),"원장 "&amp;($AA513+63)&amp;"행 ↗"))</f>
        <v>원장 237행 ↗</v>
      </c>
      <c r="AA513">
        <f>IFERROR(MATCH(($AA$501-1)*22+11,$Z$64:$Z$500,0),0)</f>
        <v>174</v>
      </c>
    </row>
    <row r="514" hidden="0" outlineLevel="0" ht="54" customHeight="1">
      <c r="A514" s="311" t="str">
        <f>IF($AA514=0,"",TEXT(INDEX($A$64:$A$500,MAX(1,$AA514)),IF(INDEX($L$64:$L$500,MAX(1,$AA514))="원본WRAP","yyyy-mm","m/d hh:mm")))</f>
        <v>10/12 20:14</v>
      </c>
      <c r="B514" s="311" t="str">
        <f>IF($AA514=0,"",IF(INDEX($B$64:$B$500,MAX(1,$AA514))="","",INDEX($B$64:$B$500,MAX(1,$AA514))))</f>
        <v>입금</v>
      </c>
      <c r="C514" s="311" t="str">
        <f>IF($AA514=0,"",IF(INDEX($C$64:$C$500,MAX(1,$AA514))="","",INDEX($C$64:$C$500,MAX(1,$AA514))))</f>
        <v>외부</v>
      </c>
      <c r="D514" s="311" t="str">
        <f>IF($AA514=0,"",IF(INDEX($D$64:$D$500,MAX(1,$AA514))="","",INDEX($D$64:$D$500,MAX(1,$AA514))))</f>
        <v>생활비</v>
      </c>
      <c r="E514" s="28">
        <f>IF($AA514=0,"",INDEX($E$64:$E$500,MAX(1,$AA514)))</f>
        <v>8557</v>
      </c>
      <c r="F514" s="311" t="str">
        <f>IF($AA514=0,"",IF(INDEX($F$64:$F$500,MAX(1,$AA514))="","",INDEX($F$64:$F$500,MAX(1,$AA514))))</f>
        <v>미래에셋 WRAP 이자</v>
      </c>
      <c r="G514" s="90" t="str">
        <f>IF($AA514=0,"",LEFT(INDEX($G$64:$G$500,MAX(1,$AA514)),40)&amp;IF(LEN(INDEX($G$64:$G$500,MAX(1,$AA514)))&gt;40,"…",""))</f>
        <v>RAW 2442행 · WRAP 입금 8,557원. 실제 자산은 미래에셋_…</v>
      </c>
      <c r="H514" s="311" t="str">
        <f>IF($AA514=0,"",TEXT(INDEX($H$64:$H$500,MAX(1,$AA514)),"yyyy-mm"))</f>
        <v>2026-10</v>
      </c>
      <c r="I514" s="311" t="str">
        <f>IF($AA514=0,"",IF(INDEX($I$64:$I$500,MAX(1,$AA514))="","",INDEX($I$64:$I$500,MAX(1,$AA514))))</f>
        <v>OK</v>
      </c>
      <c r="J514" s="311" t="str">
        <f>IF($AA514=0,"",IF(INDEX($J$64:$J$500,MAX(1,$AA514))="","",INDEX($J$64:$J$500,MAX(1,$AA514))))</f>
        <v>외부</v>
      </c>
      <c r="K514" s="311" t="str">
        <f>IF($AA514=0,"",IF(INDEX($K$64:$K$500,MAX(1,$AA514))="","",INDEX($K$64:$K$500,MAX(1,$AA514))))</f>
        <v>미래에셋_WRAP형CMA</v>
      </c>
      <c r="L514" s="311" t="str">
        <f>IF($AA514=0,"",HYPERLINK("#'잔액'!A"&amp;($AA514+63),"원장 "&amp;($AA514+63)&amp;"행 ↗"))</f>
        <v>원장 238행 ↗</v>
      </c>
      <c r="AA514">
        <f>IFERROR(MATCH(($AA$501-1)*22+12,$Z$64:$Z$500,0),0)</f>
        <v>175</v>
      </c>
    </row>
    <row r="515" hidden="0" outlineLevel="0" ht="54" customHeight="1">
      <c r="A515" s="311" t="str">
        <f>IF($AA515=0,"",TEXT(INDEX($A$64:$A$500,MAX(1,$AA515)),IF(INDEX($L$64:$L$500,MAX(1,$AA515))="원본WRAP","yyyy-mm","m/d hh:mm")))</f>
        <v>10/12 19:48</v>
      </c>
      <c r="B515" s="311" t="str">
        <f>IF($AA515=0,"",IF(INDEX($B$64:$B$500,MAX(1,$AA515))="","",INDEX($B$64:$B$500,MAX(1,$AA515))))</f>
        <v>계좌이체</v>
      </c>
      <c r="C515" s="311" t="str">
        <f>IF($AA515=0,"",IF(INDEX($C$64:$C$500,MAX(1,$AA515))="","",INDEX($C$64:$C$500,MAX(1,$AA515))))</f>
        <v>생활비</v>
      </c>
      <c r="D515" s="311" t="str">
        <f>IF($AA515=0,"",IF(INDEX($D$64:$D$500,MAX(1,$AA515))="","",INDEX($D$64:$D$500,MAX(1,$AA515))))</f>
        <v>외부</v>
      </c>
      <c r="E515" s="28">
        <f>IF($AA515=0,"",INDEX($E$64:$E$500,MAX(1,$AA515)))</f>
        <v>1390</v>
      </c>
      <c r="F515" s="311" t="str">
        <f>IF($AA515=0,"",IF(INDEX($F$64:$F$500,MAX(1,$AA515))="","",INDEX($F$64:$F$500,MAX(1,$AA515))))</f>
        <v>미래에셋 WRAP → 카카오뱅크</v>
      </c>
      <c r="G515" s="90" t="str">
        <f>IF($AA515=0,"",LEFT(INDEX($G$64:$G$500,MAX(1,$AA515)),40)&amp;IF(LEN(INDEX($G$64:$G$500,MAX(1,$AA515)))&gt;40,"…",""))</f>
        <v>RAW 2430행 · WRAP 이체출금 1,390원. WRAP에서 나가면…</v>
      </c>
      <c r="H515" s="311" t="str">
        <f>IF($AA515=0,"",TEXT(INDEX($H$64:$H$500,MAX(1,$AA515)),"yyyy-mm"))</f>
        <v>2026-10</v>
      </c>
      <c r="I515" s="311" t="str">
        <f>IF($AA515=0,"",IF(INDEX($I$64:$I$500,MAX(1,$AA515))="","",INDEX($I$64:$I$500,MAX(1,$AA515))))</f>
        <v>OK</v>
      </c>
      <c r="J515" s="311" t="str">
        <f>IF($AA515=0,"",IF(INDEX($J$64:$J$500,MAX(1,$AA515))="","",INDEX($J$64:$J$500,MAX(1,$AA515))))</f>
        <v>미래에셋_WRAP형CMA</v>
      </c>
      <c r="K515" s="311" t="str">
        <f>IF($AA515=0,"",IF(INDEX($K$64:$K$500,MAX(1,$AA515))="","",INDEX($K$64:$K$500,MAX(1,$AA515))))</f>
        <v>카카오뱅크</v>
      </c>
      <c r="L515" s="311" t="str">
        <f>IF($AA515=0,"",HYPERLINK("#'잔액'!A"&amp;($AA515+63),"원장 "&amp;($AA515+63)&amp;"행 ↗"))</f>
        <v>원장 239행 ↗</v>
      </c>
      <c r="AA515">
        <f>IFERROR(MATCH(($AA$501-1)*22+13,$Z$64:$Z$500,0),0)</f>
        <v>176</v>
      </c>
    </row>
    <row r="516" hidden="0" outlineLevel="0" ht="54" customHeight="1">
      <c r="A516" s="311" t="str">
        <f>IF($AA516=0,"",TEXT(INDEX($A$64:$A$500,MAX(1,$AA516)),IF(INDEX($L$64:$L$500,MAX(1,$AA516))="원본WRAP","yyyy-mm","m/d hh:mm")))</f>
        <v>10/12 19:47</v>
      </c>
      <c r="B516" s="311" t="str">
        <f>IF($AA516=0,"",IF(INDEX($B$64:$B$500,MAX(1,$AA516))="","",INDEX($B$64:$B$500,MAX(1,$AA516))))</f>
        <v>계좌이체</v>
      </c>
      <c r="C516" s="311" t="str">
        <f>IF($AA516=0,"",IF(INDEX($C$64:$C$500,MAX(1,$AA516))="","",INDEX($C$64:$C$500,MAX(1,$AA516))))</f>
        <v>생활비</v>
      </c>
      <c r="D516" s="311" t="str">
        <f>IF($AA516=0,"",IF(INDEX($D$64:$D$500,MAX(1,$AA516))="","",INDEX($D$64:$D$500,MAX(1,$AA516))))</f>
        <v>외부</v>
      </c>
      <c r="E516" s="28">
        <f>IF($AA516=0,"",INDEX($E$64:$E$500,MAX(1,$AA516)))</f>
        <v>90410</v>
      </c>
      <c r="F516" s="311" t="str">
        <f>IF($AA516=0,"",IF(INDEX($F$64:$F$500,MAX(1,$AA516))="","",INDEX($F$64:$F$500,MAX(1,$AA516))))</f>
        <v>미래에셋 WRAP → 신한은행</v>
      </c>
      <c r="G516" s="90" t="str">
        <f>IF($AA516=0,"",LEFT(INDEX($G$64:$G$500,MAX(1,$AA516)),40)&amp;IF(LEN(INDEX($G$64:$G$500,MAX(1,$AA516)))&gt;40,"…",""))</f>
        <v>RAW 2429행 · WRAP 이체출금 90,410원. WRAP에서 나가…</v>
      </c>
      <c r="H516" s="311" t="str">
        <f>IF($AA516=0,"",TEXT(INDEX($H$64:$H$500,MAX(1,$AA516)),"yyyy-mm"))</f>
        <v>2026-10</v>
      </c>
      <c r="I516" s="311" t="str">
        <f>IF($AA516=0,"",IF(INDEX($I$64:$I$500,MAX(1,$AA516))="","",INDEX($I$64:$I$500,MAX(1,$AA516))))</f>
        <v>OK</v>
      </c>
      <c r="J516" s="311" t="str">
        <f>IF($AA516=0,"",IF(INDEX($J$64:$J$500,MAX(1,$AA516))="","",INDEX($J$64:$J$500,MAX(1,$AA516))))</f>
        <v>미래에셋_WRAP형CMA</v>
      </c>
      <c r="K516" s="311" t="str">
        <f>IF($AA516=0,"",IF(INDEX($K$64:$K$500,MAX(1,$AA516))="","",INDEX($K$64:$K$500,MAX(1,$AA516))))</f>
        <v>신한은행</v>
      </c>
      <c r="L516" s="311" t="str">
        <f>IF($AA516=0,"",HYPERLINK("#'잔액'!A"&amp;($AA516+63),"원장 "&amp;($AA516+63)&amp;"행 ↗"))</f>
        <v>원장 240행 ↗</v>
      </c>
      <c r="AA516">
        <f>IFERROR(MATCH(($AA$501-1)*22+14,$Z$64:$Z$500,0),0)</f>
        <v>177</v>
      </c>
    </row>
    <row r="517" hidden="0" outlineLevel="0" ht="54" customHeight="1">
      <c r="A517" s="311" t="str">
        <f>IF($AA517=0,"",TEXT(INDEX($A$64:$A$500,MAX(1,$AA517)),IF(INDEX($L$64:$L$500,MAX(1,$AA517))="원본WRAP","yyyy-mm","m/d hh:mm")))</f>
        <v>10/4 14:53</v>
      </c>
      <c r="B517" s="311" t="str">
        <f>IF($AA517=0,"",IF(INDEX($B$64:$B$500,MAX(1,$AA517))="","",INDEX($B$64:$B$500,MAX(1,$AA517))))</f>
        <v>계좌이체</v>
      </c>
      <c r="C517" s="311" t="str">
        <f>IF($AA517=0,"",IF(INDEX($C$64:$C$500,MAX(1,$AA517))="","",INDEX($C$64:$C$500,MAX(1,$AA517))))</f>
        <v>생활비</v>
      </c>
      <c r="D517" s="311" t="str">
        <f>IF($AA517=0,"",IF(INDEX($D$64:$D$500,MAX(1,$AA517))="","",INDEX($D$64:$D$500,MAX(1,$AA517))))</f>
        <v>외부</v>
      </c>
      <c r="E517" s="28">
        <f>IF($AA517=0,"",INDEX($E$64:$E$500,MAX(1,$AA517)))</f>
        <v>50000</v>
      </c>
      <c r="F517" s="311" t="str">
        <f>IF($AA517=0,"",IF(INDEX($F$64:$F$500,MAX(1,$AA517))="","",INDEX($F$64:$F$500,MAX(1,$AA517))))</f>
        <v>미래에셋 WRAP → 모임통장</v>
      </c>
      <c r="G517" s="90" t="str">
        <f>IF($AA517=0,"",LEFT(INDEX($G$64:$G$500,MAX(1,$AA517)),40)&amp;IF(LEN(INDEX($G$64:$G$500,MAX(1,$AA517)))&gt;40,"…",""))</f>
        <v>RAW 2347행 · WRAP 이체출금 50,000원. WRAP에서 나가…</v>
      </c>
      <c r="H517" s="311" t="str">
        <f>IF($AA517=0,"",TEXT(INDEX($H$64:$H$500,MAX(1,$AA517)),"yyyy-mm"))</f>
        <v>2026-10</v>
      </c>
      <c r="I517" s="311" t="str">
        <f>IF($AA517=0,"",IF(INDEX($I$64:$I$500,MAX(1,$AA517))="","",INDEX($I$64:$I$500,MAX(1,$AA517))))</f>
        <v>OK</v>
      </c>
      <c r="J517" s="311" t="str">
        <f>IF($AA517=0,"",IF(INDEX($J$64:$J$500,MAX(1,$AA517))="","",INDEX($J$64:$J$500,MAX(1,$AA517))))</f>
        <v>미래에셋_WRAP형CMA</v>
      </c>
      <c r="K517" s="311" t="str">
        <f>IF($AA517=0,"",IF(INDEX($K$64:$K$500,MAX(1,$AA517))="","",INDEX($K$64:$K$500,MAX(1,$AA517))))</f>
        <v>모임통장</v>
      </c>
      <c r="L517" s="311" t="str">
        <f>IF($AA517=0,"",HYPERLINK("#'잔액'!A"&amp;($AA517+63),"원장 "&amp;($AA517+63)&amp;"행 ↗"))</f>
        <v>원장 241행 ↗</v>
      </c>
      <c r="AA517">
        <f>IFERROR(MATCH(($AA$501-1)*22+15,$Z$64:$Z$500,0),0)</f>
        <v>178</v>
      </c>
    </row>
    <row r="518" hidden="0" outlineLevel="0" ht="54" customHeight="1">
      <c r="A518" s="311" t="str">
        <f>IF($AA518=0,"",TEXT(INDEX($A$64:$A$500,MAX(1,$AA518)),IF(INDEX($L$64:$L$500,MAX(1,$AA518))="원본WRAP","yyyy-mm","m/d hh:mm")))</f>
        <v>10/2 14:56</v>
      </c>
      <c r="B518" s="311" t="str">
        <f>IF($AA518=0,"",IF(INDEX($B$64:$B$500,MAX(1,$AA518))="","",INDEX($B$64:$B$500,MAX(1,$AA518))))</f>
        <v>사용</v>
      </c>
      <c r="C518" s="311" t="str">
        <f>IF($AA518=0,"",IF(INDEX($C$64:$C$500,MAX(1,$AA518))="","",INDEX($C$64:$C$500,MAX(1,$AA518))))</f>
        <v>생활비</v>
      </c>
      <c r="D518" s="311" t="str">
        <f>IF($AA518=0,"",IF(INDEX($D$64:$D$500,MAX(1,$AA518))="","",INDEX($D$64:$D$500,MAX(1,$AA518))))</f>
        <v>지출</v>
      </c>
      <c r="E518" s="28">
        <f>IF($AA518=0,"",INDEX($E$64:$E$500,MAX(1,$AA518)))</f>
        <v>11900</v>
      </c>
      <c r="F518" s="311" t="str">
        <f>IF($AA518=0,"",IF(INDEX($F$64:$F$500,MAX(1,$AA518))="","",INDEX($F$64:$F$500,MAX(1,$AA518))))</f>
        <v>두끼떡볶이</v>
      </c>
      <c r="G518" s="90" t="str">
        <f>IF($AA518=0,"",LEFT(INDEX($G$64:$G$500,MAX(1,$AA518)),40)&amp;IF(LEN(INDEX($G$64:$G$500,MAX(1,$AA518)))&gt;40,"…",""))</f>
        <v>RAW 2334행 · WRAP 출금 11,900원. 실제 자산은 미래에셋…</v>
      </c>
      <c r="H518" s="311" t="str">
        <f>IF($AA518=0,"",TEXT(INDEX($H$64:$H$500,MAX(1,$AA518)),"yyyy-mm"))</f>
        <v>2026-10</v>
      </c>
      <c r="I518" s="311" t="str">
        <f>IF($AA518=0,"",IF(INDEX($I$64:$I$500,MAX(1,$AA518))="","",INDEX($I$64:$I$500,MAX(1,$AA518))))</f>
        <v>OK</v>
      </c>
      <c r="J518" s="311" t="str">
        <f>IF($AA518=0,"",IF(INDEX($J$64:$J$500,MAX(1,$AA518))="","",INDEX($J$64:$J$500,MAX(1,$AA518))))</f>
        <v>미래에셋_WRAP형CMA</v>
      </c>
      <c r="K518" s="311" t="str">
        <f>IF($AA518=0,"",IF(INDEX($K$64:$K$500,MAX(1,$AA518))="","",INDEX($K$64:$K$500,MAX(1,$AA518))))</f>
        <v>외부</v>
      </c>
      <c r="L518" s="311" t="str">
        <f>IF($AA518=0,"",HYPERLINK("#'잔액'!A"&amp;($AA518+63),"원장 "&amp;($AA518+63)&amp;"행 ↗"))</f>
        <v>원장 242행 ↗</v>
      </c>
      <c r="AA518">
        <f>IFERROR(MATCH(($AA$501-1)*22+16,$Z$64:$Z$500,0),0)</f>
        <v>179</v>
      </c>
    </row>
    <row r="519" hidden="0" outlineLevel="0" ht="54" customHeight="1">
      <c r="A519" s="311">
        <f>IF($AA519=0,"",TEXT(INDEX($A$64:$A$500,MAX(1,$AA519)),IF(INDEX($L$64:$L$500,MAX(1,$AA519))="원본WRAP","yyyy-mm","m/d hh:mm")))</f>
      </c>
      <c r="B519" s="311">
        <f>IF($AA519=0,"",IF(INDEX($B$64:$B$500,MAX(1,$AA519))="","",INDEX($B$64:$B$500,MAX(1,$AA519))))</f>
      </c>
      <c r="C519" s="311">
        <f>IF($AA519=0,"",IF(INDEX($C$64:$C$500,MAX(1,$AA519))="","",INDEX($C$64:$C$500,MAX(1,$AA519))))</f>
      </c>
      <c r="D519" s="311">
        <f>IF($AA519=0,"",IF(INDEX($D$64:$D$500,MAX(1,$AA519))="","",INDEX($D$64:$D$500,MAX(1,$AA519))))</f>
      </c>
      <c r="E519" s="28">
        <f>IF($AA519=0,"",INDEX($E$64:$E$500,MAX(1,$AA519)))</f>
      </c>
      <c r="F519" s="311">
        <f>IF($AA519=0,"",IF(INDEX($F$64:$F$500,MAX(1,$AA519))="","",INDEX($F$64:$F$500,MAX(1,$AA519))))</f>
      </c>
      <c r="G519" s="90">
        <f>IF($AA519=0,"",LEFT(INDEX($G$64:$G$500,MAX(1,$AA519)),40)&amp;IF(LEN(INDEX($G$64:$G$500,MAX(1,$AA519)))&gt;40,"…",""))</f>
      </c>
      <c r="H519" s="311">
        <f>IF($AA519=0,"",TEXT(INDEX($H$64:$H$500,MAX(1,$AA519)),"yyyy-mm"))</f>
      </c>
      <c r="I519" s="311">
        <f>IF($AA519=0,"",IF(INDEX($I$64:$I$500,MAX(1,$AA519))="","",INDEX($I$64:$I$500,MAX(1,$AA519))))</f>
      </c>
      <c r="J519" s="311">
        <f>IF($AA519=0,"",IF(INDEX($J$64:$J$500,MAX(1,$AA519))="","",INDEX($J$64:$J$500,MAX(1,$AA519))))</f>
      </c>
      <c r="K519" s="311">
        <f>IF($AA519=0,"",IF(INDEX($K$64:$K$500,MAX(1,$AA519))="","",INDEX($K$64:$K$500,MAX(1,$AA519))))</f>
      </c>
      <c r="L519" s="311">
        <f>IF($AA519=0,"",HYPERLINK("#'잔액'!A"&amp;($AA519+63),"원장 "&amp;($AA519+63)&amp;"행 ↗"))</f>
      </c>
      <c r="AA519">
        <f>IFERROR(MATCH(($AA$501-1)*22+17,$Z$64:$Z$500,0),0)</f>
        <v>0</v>
      </c>
    </row>
    <row r="520" hidden="0" outlineLevel="0" ht="54" customHeight="1">
      <c r="A520" s="311">
        <f>IF($AA520=0,"",TEXT(INDEX($A$64:$A$500,MAX(1,$AA520)),IF(INDEX($L$64:$L$500,MAX(1,$AA520))="원본WRAP","yyyy-mm","m/d hh:mm")))</f>
      </c>
      <c r="B520" s="311">
        <f>IF($AA520=0,"",IF(INDEX($B$64:$B$500,MAX(1,$AA520))="","",INDEX($B$64:$B$500,MAX(1,$AA520))))</f>
      </c>
      <c r="C520" s="311">
        <f>IF($AA520=0,"",IF(INDEX($C$64:$C$500,MAX(1,$AA520))="","",INDEX($C$64:$C$500,MAX(1,$AA520))))</f>
      </c>
      <c r="D520" s="311">
        <f>IF($AA520=0,"",IF(INDEX($D$64:$D$500,MAX(1,$AA520))="","",INDEX($D$64:$D$500,MAX(1,$AA520))))</f>
      </c>
      <c r="E520" s="28">
        <f>IF($AA520=0,"",INDEX($E$64:$E$500,MAX(1,$AA520)))</f>
      </c>
      <c r="F520" s="311">
        <f>IF($AA520=0,"",IF(INDEX($F$64:$F$500,MAX(1,$AA520))="","",INDEX($F$64:$F$500,MAX(1,$AA520))))</f>
      </c>
      <c r="G520" s="90">
        <f>IF($AA520=0,"",LEFT(INDEX($G$64:$G$500,MAX(1,$AA520)),40)&amp;IF(LEN(INDEX($G$64:$G$500,MAX(1,$AA520)))&gt;40,"…",""))</f>
      </c>
      <c r="H520" s="311">
        <f>IF($AA520=0,"",TEXT(INDEX($H$64:$H$500,MAX(1,$AA520)),"yyyy-mm"))</f>
      </c>
      <c r="I520" s="311">
        <f>IF($AA520=0,"",IF(INDEX($I$64:$I$500,MAX(1,$AA520))="","",INDEX($I$64:$I$500,MAX(1,$AA520))))</f>
      </c>
      <c r="J520" s="311">
        <f>IF($AA520=0,"",IF(INDEX($J$64:$J$500,MAX(1,$AA520))="","",INDEX($J$64:$J$500,MAX(1,$AA520))))</f>
      </c>
      <c r="K520" s="311">
        <f>IF($AA520=0,"",IF(INDEX($K$64:$K$500,MAX(1,$AA520))="","",INDEX($K$64:$K$500,MAX(1,$AA520))))</f>
      </c>
      <c r="L520" s="311">
        <f>IF($AA520=0,"",HYPERLINK("#'잔액'!A"&amp;($AA520+63),"원장 "&amp;($AA520+63)&amp;"행 ↗"))</f>
      </c>
      <c r="AA520">
        <f>IFERROR(MATCH(($AA$501-1)*22+18,$Z$64:$Z$500,0),0)</f>
        <v>0</v>
      </c>
    </row>
    <row r="521" hidden="0" outlineLevel="0" ht="54" customHeight="1">
      <c r="A521" s="311">
        <f>IF($AA521=0,"",TEXT(INDEX($A$64:$A$500,MAX(1,$AA521)),IF(INDEX($L$64:$L$500,MAX(1,$AA521))="원본WRAP","yyyy-mm","m/d hh:mm")))</f>
      </c>
      <c r="B521" s="311">
        <f>IF($AA521=0,"",IF(INDEX($B$64:$B$500,MAX(1,$AA521))="","",INDEX($B$64:$B$500,MAX(1,$AA521))))</f>
      </c>
      <c r="C521" s="311">
        <f>IF($AA521=0,"",IF(INDEX($C$64:$C$500,MAX(1,$AA521))="","",INDEX($C$64:$C$500,MAX(1,$AA521))))</f>
      </c>
      <c r="D521" s="311">
        <f>IF($AA521=0,"",IF(INDEX($D$64:$D$500,MAX(1,$AA521))="","",INDEX($D$64:$D$500,MAX(1,$AA521))))</f>
      </c>
      <c r="E521" s="28">
        <f>IF($AA521=0,"",INDEX($E$64:$E$500,MAX(1,$AA521)))</f>
      </c>
      <c r="F521" s="311">
        <f>IF($AA521=0,"",IF(INDEX($F$64:$F$500,MAX(1,$AA521))="","",INDEX($F$64:$F$500,MAX(1,$AA521))))</f>
      </c>
      <c r="G521" s="90">
        <f>IF($AA521=0,"",LEFT(INDEX($G$64:$G$500,MAX(1,$AA521)),40)&amp;IF(LEN(INDEX($G$64:$G$500,MAX(1,$AA521)))&gt;40,"…",""))</f>
      </c>
      <c r="H521" s="311">
        <f>IF($AA521=0,"",TEXT(INDEX($H$64:$H$500,MAX(1,$AA521)),"yyyy-mm"))</f>
      </c>
      <c r="I521" s="311">
        <f>IF($AA521=0,"",IF(INDEX($I$64:$I$500,MAX(1,$AA521))="","",INDEX($I$64:$I$500,MAX(1,$AA521))))</f>
      </c>
      <c r="J521" s="311">
        <f>IF($AA521=0,"",IF(INDEX($J$64:$J$500,MAX(1,$AA521))="","",INDEX($J$64:$J$500,MAX(1,$AA521))))</f>
      </c>
      <c r="K521" s="311">
        <f>IF($AA521=0,"",IF(INDEX($K$64:$K$500,MAX(1,$AA521))="","",INDEX($K$64:$K$500,MAX(1,$AA521))))</f>
      </c>
      <c r="L521" s="311">
        <f>IF($AA521=0,"",HYPERLINK("#'잔액'!A"&amp;($AA521+63),"원장 "&amp;($AA521+63)&amp;"행 ↗"))</f>
      </c>
      <c r="AA521">
        <f>IFERROR(MATCH(($AA$501-1)*22+19,$Z$64:$Z$500,0),0)</f>
        <v>0</v>
      </c>
    </row>
    <row r="522" hidden="0" outlineLevel="0" ht="54" customHeight="1">
      <c r="A522" s="311">
        <f>IF($AA522=0,"",TEXT(INDEX($A$64:$A$500,MAX(1,$AA522)),IF(INDEX($L$64:$L$500,MAX(1,$AA522))="원본WRAP","yyyy-mm","m/d hh:mm")))</f>
      </c>
      <c r="B522" s="311">
        <f>IF($AA522=0,"",IF(INDEX($B$64:$B$500,MAX(1,$AA522))="","",INDEX($B$64:$B$500,MAX(1,$AA522))))</f>
      </c>
      <c r="C522" s="311">
        <f>IF($AA522=0,"",IF(INDEX($C$64:$C$500,MAX(1,$AA522))="","",INDEX($C$64:$C$500,MAX(1,$AA522))))</f>
      </c>
      <c r="D522" s="311">
        <f>IF($AA522=0,"",IF(INDEX($D$64:$D$500,MAX(1,$AA522))="","",INDEX($D$64:$D$500,MAX(1,$AA522))))</f>
      </c>
      <c r="E522" s="28">
        <f>IF($AA522=0,"",INDEX($E$64:$E$500,MAX(1,$AA522)))</f>
      </c>
      <c r="F522" s="311">
        <f>IF($AA522=0,"",IF(INDEX($F$64:$F$500,MAX(1,$AA522))="","",INDEX($F$64:$F$500,MAX(1,$AA522))))</f>
      </c>
      <c r="G522" s="90">
        <f>IF($AA522=0,"",LEFT(INDEX($G$64:$G$500,MAX(1,$AA522)),40)&amp;IF(LEN(INDEX($G$64:$G$500,MAX(1,$AA522)))&gt;40,"…",""))</f>
      </c>
      <c r="H522" s="311">
        <f>IF($AA522=0,"",TEXT(INDEX($H$64:$H$500,MAX(1,$AA522)),"yyyy-mm"))</f>
      </c>
      <c r="I522" s="311">
        <f>IF($AA522=0,"",IF(INDEX($I$64:$I$500,MAX(1,$AA522))="","",INDEX($I$64:$I$500,MAX(1,$AA522))))</f>
      </c>
      <c r="J522" s="311">
        <f>IF($AA522=0,"",IF(INDEX($J$64:$J$500,MAX(1,$AA522))="","",INDEX($J$64:$J$500,MAX(1,$AA522))))</f>
      </c>
      <c r="K522" s="311">
        <f>IF($AA522=0,"",IF(INDEX($K$64:$K$500,MAX(1,$AA522))="","",INDEX($K$64:$K$500,MAX(1,$AA522))))</f>
      </c>
      <c r="L522" s="311">
        <f>IF($AA522=0,"",HYPERLINK("#'잔액'!A"&amp;($AA522+63),"원장 "&amp;($AA522+63)&amp;"행 ↗"))</f>
      </c>
      <c r="AA522">
        <f>IFERROR(MATCH(($AA$501-1)*22+20,$Z$64:$Z$500,0),0)</f>
        <v>0</v>
      </c>
    </row>
    <row r="523" hidden="0" outlineLevel="0" ht="54" customHeight="1">
      <c r="A523" s="311">
        <f>IF($AA523=0,"",TEXT(INDEX($A$64:$A$500,MAX(1,$AA523)),IF(INDEX($L$64:$L$500,MAX(1,$AA523))="원본WRAP","yyyy-mm","m/d hh:mm")))</f>
      </c>
      <c r="B523" s="311">
        <f>IF($AA523=0,"",IF(INDEX($B$64:$B$500,MAX(1,$AA523))="","",INDEX($B$64:$B$500,MAX(1,$AA523))))</f>
      </c>
      <c r="C523" s="311">
        <f>IF($AA523=0,"",IF(INDEX($C$64:$C$500,MAX(1,$AA523))="","",INDEX($C$64:$C$500,MAX(1,$AA523))))</f>
      </c>
      <c r="D523" s="311">
        <f>IF($AA523=0,"",IF(INDEX($D$64:$D$500,MAX(1,$AA523))="","",INDEX($D$64:$D$500,MAX(1,$AA523))))</f>
      </c>
      <c r="E523" s="28">
        <f>IF($AA523=0,"",INDEX($E$64:$E$500,MAX(1,$AA523)))</f>
      </c>
      <c r="F523" s="311">
        <f>IF($AA523=0,"",IF(INDEX($F$64:$F$500,MAX(1,$AA523))="","",INDEX($F$64:$F$500,MAX(1,$AA523))))</f>
      </c>
      <c r="G523" s="90">
        <f>IF($AA523=0,"",LEFT(INDEX($G$64:$G$500,MAX(1,$AA523)),40)&amp;IF(LEN(INDEX($G$64:$G$500,MAX(1,$AA523)))&gt;40,"…",""))</f>
      </c>
      <c r="H523" s="311">
        <f>IF($AA523=0,"",TEXT(INDEX($H$64:$H$500,MAX(1,$AA523)),"yyyy-mm"))</f>
      </c>
      <c r="I523" s="311">
        <f>IF($AA523=0,"",IF(INDEX($I$64:$I$500,MAX(1,$AA523))="","",INDEX($I$64:$I$500,MAX(1,$AA523))))</f>
      </c>
      <c r="J523" s="311">
        <f>IF($AA523=0,"",IF(INDEX($J$64:$J$500,MAX(1,$AA523))="","",INDEX($J$64:$J$500,MAX(1,$AA523))))</f>
      </c>
      <c r="K523" s="311">
        <f>IF($AA523=0,"",IF(INDEX($K$64:$K$500,MAX(1,$AA523))="","",INDEX($K$64:$K$500,MAX(1,$AA523))))</f>
      </c>
      <c r="L523" s="311">
        <f>IF($AA523=0,"",HYPERLINK("#'잔액'!A"&amp;($AA523+63),"원장 "&amp;($AA523+63)&amp;"행 ↗"))</f>
      </c>
      <c r="AA523">
        <f>IFERROR(MATCH(($AA$501-1)*22+21,$Z$64:$Z$500,0),0)</f>
        <v>0</v>
      </c>
    </row>
    <row r="524" hidden="0" outlineLevel="0" ht="54" customHeight="1">
      <c r="A524" s="311">
        <f>IF($AA524=0,"",TEXT(INDEX($A$64:$A$500,MAX(1,$AA524)),IF(INDEX($L$64:$L$500,MAX(1,$AA524))="원본WRAP","yyyy-mm","m/d hh:mm")))</f>
      </c>
      <c r="B524" s="311">
        <f>IF($AA524=0,"",IF(INDEX($B$64:$B$500,MAX(1,$AA524))="","",INDEX($B$64:$B$500,MAX(1,$AA524))))</f>
      </c>
      <c r="C524" s="311">
        <f>IF($AA524=0,"",IF(INDEX($C$64:$C$500,MAX(1,$AA524))="","",INDEX($C$64:$C$500,MAX(1,$AA524))))</f>
      </c>
      <c r="D524" s="311">
        <f>IF($AA524=0,"",IF(INDEX($D$64:$D$500,MAX(1,$AA524))="","",INDEX($D$64:$D$500,MAX(1,$AA524))))</f>
      </c>
      <c r="E524" s="28">
        <f>IF($AA524=0,"",INDEX($E$64:$E$500,MAX(1,$AA524)))</f>
      </c>
      <c r="F524" s="311">
        <f>IF($AA524=0,"",IF(INDEX($F$64:$F$500,MAX(1,$AA524))="","",INDEX($F$64:$F$500,MAX(1,$AA524))))</f>
      </c>
      <c r="G524" s="90">
        <f>IF($AA524=0,"",LEFT(INDEX($G$64:$G$500,MAX(1,$AA524)),40)&amp;IF(LEN(INDEX($G$64:$G$500,MAX(1,$AA524)))&gt;40,"…",""))</f>
      </c>
      <c r="H524" s="311">
        <f>IF($AA524=0,"",TEXT(INDEX($H$64:$H$500,MAX(1,$AA524)),"yyyy-mm"))</f>
      </c>
      <c r="I524" s="311">
        <f>IF($AA524=0,"",IF(INDEX($I$64:$I$500,MAX(1,$AA524))="","",INDEX($I$64:$I$500,MAX(1,$AA524))))</f>
      </c>
      <c r="J524" s="311">
        <f>IF($AA524=0,"",IF(INDEX($J$64:$J$500,MAX(1,$AA524))="","",INDEX($J$64:$J$500,MAX(1,$AA524))))</f>
      </c>
      <c r="K524" s="311">
        <f>IF($AA524=0,"",IF(INDEX($K$64:$K$500,MAX(1,$AA524))="","",INDEX($K$64:$K$500,MAX(1,$AA524))))</f>
      </c>
      <c r="L524" s="311">
        <f>IF($AA524=0,"",HYPERLINK("#'잔액'!A"&amp;($AA524+63),"원장 "&amp;($AA524+63)&amp;"행 ↗"))</f>
      </c>
      <c r="AA524">
        <f>IFERROR(MATCH(($AA$501-1)*22+22,$Z$64:$Z$500,0),0)</f>
        <v>0</v>
      </c>
    </row>
    <row r="525" hidden="0" outlineLevel="0" ht="40" customHeight="1">
      <c r="A525" s="349" t="inlineStr">
        <is>
          <t xml:space="preserve">선택월 실제 입력 원장입니다. 자동 결제대금 분류는 상단 계정 잔액에 별도로 반영되며 새 은행 거래가 아닙니다. 원장 편집은 왼쪽 +를 펼칩니다.</t>
        </is>
      </c>
    </row>
  </sheetData>
  <mergeCells count="73">
    <mergeCell ref="D3:K3"/>
    <mergeCell ref="K53:L53"/>
    <mergeCell ref="A4:K4"/>
    <mergeCell ref="A29:B29"/>
    <mergeCell ref="A60:L60"/>
    <mergeCell ref="A36:F36"/>
    <mergeCell ref="G36:L36"/>
    <mergeCell ref="K38:L38"/>
    <mergeCell ref="C45:E45"/>
    <mergeCell ref="A28:B28"/>
    <mergeCell ref="K57:L57"/>
    <mergeCell ref="K37:L37"/>
    <mergeCell ref="C47:E47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K42:L42"/>
    <mergeCell ref="C49:E49"/>
    <mergeCell ref="A32:B32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A27:B27"/>
    <mergeCell ref="K40:L40"/>
    <mergeCell ref="A31:L31"/>
    <mergeCell ref="A18:L18"/>
    <mergeCell ref="C59:E59"/>
    <mergeCell ref="C43:E43"/>
    <mergeCell ref="K55:L55"/>
    <mergeCell ref="K54:L54"/>
    <mergeCell ref="C52:E52"/>
    <mergeCell ref="A23:B23"/>
    <mergeCell ref="K39:L39"/>
    <mergeCell ref="A34:L34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  <mergeCell ref="C44:E44"/>
    <mergeCell ref="C41:E41"/>
    <mergeCell ref="C50:E50"/>
    <mergeCell ref="C501:H501"/>
    <mergeCell ref="I501:L501"/>
    <mergeCell ref="A525:L525"/>
  </mergeCells>
  <phoneticPr fontId="27" type="noConversion"/>
  <conditionalFormatting sqref="F35:F59">
    <cfRule type="cellIs" dxfId="99" priority="1" operator="greaterThan">
      <formula>0</formula>
    </cfRule>
    <cfRule type="cellIs" dxfId="98" priority="2" operator="lessThan">
      <formula>0</formula>
    </cfRule>
  </conditionalFormatting>
  <dataValidations count="7">
    <dataValidation type="list" sqref="B64:B500" xr:uid="{00000000-0002-0000-0300-000000000000}">
      <formula1>"기초,입금,적립,사용,출금,이체,계좌이체,환입"</formula1>
    </dataValidation>
    <dataValidation type="whole" sqref="E35" xr:uid="{00000000-0002-0000-0300-000002000000}">
      <formula1>1</formula1>
      <formula2>$F$35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$I$35</formula2>
    </dataValidation>
    <dataValidation type="list" sqref="B3" allowBlank="0" showDropDown="0" showInputMessage="1" showErrorMessage="1" errorStyle="stop" promptTitle="조회월 선택" prompt="조회월을 고르면 상단 잔액·내역과 하단 WRAP 원장이 같은 월로 바뀝니다." errorTitle="목록에서 월을 선택하세요" error="조회월은 목록에 있는 2026년 3~12월 중에서 선택해주세요.">
      <formula1>$C$21:$L$21</formula1>
    </dataValidation>
    <dataValidation type="whole" operator="between" sqref="B501" allowBlank="0" showInputMessage="1" showErrorMessage="1" errorStyle="stop" promptTitle="선택월 원장 페이지" prompt="표시된 페이지 범위 안의 정수를 입력하세요." errorTitle="페이지 확인" error="현재 월의 페이지 범위 안에서 선택하세요.">
      <formula1>1</formula1>
      <formula2>$AB$501</formula2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451</v>
      </c>
      <c r="L5" s="38" t="s">
        <v>452</v>
      </c>
      <c r="M5" s="34" t="s">
        <v>453</v>
      </c>
      <c r="N5" s="34" t="s">
        <v>454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456</v>
      </c>
      <c r="L6" s="31" t="s">
        <v>452</v>
      </c>
      <c r="M6" s="27" t="s">
        <v>453</v>
      </c>
      <c r="N6" s="27" t="s">
        <v>457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473</v>
      </c>
      <c r="L11" s="38" t="s">
        <v>474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505</v>
      </c>
      <c r="T22" s="27" t="s">
        <v>506</v>
      </c>
      <c r="U22" s="27"/>
    </row>
    <row r="23" spans="1:22" ht="22" customHeight="1">
      <c r="A23" s="39" t="s">
        <v>507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509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HYPERLINK("#'1월계산기'!A1","계산기 대조 · 1월계산기 열기")</f>
        <v>계산기 대조 · 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1157000</v>
      </c>
      <c r="N28" s="367"/>
      <c r="O28" s="429" t="s">
        <v>234</v>
      </c>
      <c r="P28" s="367"/>
      <c r="Q28" s="431">
        <f>'1월계산기'!W12</f>
        <v>1157000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1157000</v>
      </c>
      <c r="N29" s="367"/>
      <c r="O29" s="429" t="s">
        <v>239</v>
      </c>
      <c r="P29" s="367"/>
      <c r="Q29" s="431">
        <f>'1월계산기'!W13</f>
        <v>1157000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19120</v>
      </c>
      <c r="N30" s="367"/>
      <c r="O30" s="429" t="s">
        <v>514</v>
      </c>
      <c r="P30" s="367"/>
      <c r="Q30" s="431">
        <f>SUM(I4,I9,I14,I19,I24,I29)-I33</f>
        <v>19120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I33-'_예비비계산'!AG2</f>
        <v>1137880</v>
      </c>
      <c r="I38" s="27">
        <f>SUM(I4,I9,I14,I19,I24,I29)-'_예비비계산'!AH2</f>
        <v>1157000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525</v>
      </c>
      <c r="L39" s="31" t="s">
        <v>529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181088</v>
      </c>
      <c r="I43" s="27">
        <f>H43</f>
        <v>181088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541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>
        <v>46045</v>
      </c>
      <c r="B52" s="35" t="s">
        <v>554</v>
      </c>
      <c r="C52" s="35" t="s">
        <v>108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6">
        <v>46052</v>
      </c>
      <c r="B53" s="35" t="s">
        <v>554</v>
      </c>
      <c r="C53" s="35" t="s">
        <v>108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94000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44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'_예비비계산'!AD2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30" t="s">
        <v>570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200000</v>
      </c>
      <c r="N68" s="40">
        <f>'_예비비계산'!AF2</f>
        <v>0</v>
      </c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7" priority="1" operator="lessThan">
      <formula>0</formula>
    </cfRule>
  </conditionalFormatting>
  <conditionalFormatting sqref="C12">
    <cfRule type="expression" dxfId="96" priority="2">
      <formula>$C$12="SUCCESS"</formula>
    </cfRule>
    <cfRule type="expression" dxfId="95" priority="3">
      <formula>$C$12="FALSE"</formula>
    </cfRule>
  </conditionalFormatting>
  <conditionalFormatting sqref="C14">
    <cfRule type="expression" dxfId="94" priority="4">
      <formula>C14="FALSE"</formula>
    </cfRule>
  </conditionalFormatting>
  <conditionalFormatting sqref="H45:I45">
    <cfRule type="cellIs" dxfId="93" priority="6" operator="lessThan">
      <formula>0</formula>
    </cfRule>
  </conditionalFormatting>
  <conditionalFormatting sqref="H46:I46">
    <cfRule type="expression" dxfId="92" priority="7">
      <formula>H46="FALSE"</formula>
    </cfRule>
  </conditionalFormatting>
  <conditionalFormatting sqref="I5">
    <cfRule type="cellIs" dxfId="91" priority="5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572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649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649000</v>
      </c>
      <c r="AA3">
        <v>649</v>
      </c>
    </row>
    <row r="4" spans="1:27" ht="18" customHeight="1">
      <c r="A4" s="122" t="s">
        <v>576</v>
      </c>
      <c r="B4" s="130"/>
      <c r="C4" s="124">
        <f>IFERROR(colorfunction(B4,$B$15:$U$144,FALSE),$AA$4)</f>
        <v>129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129000</v>
      </c>
      <c r="AA4">
        <v>129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5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5000</v>
      </c>
      <c r="AA6">
        <v>5</v>
      </c>
    </row>
    <row r="7" spans="1:27" ht="18" customHeight="1">
      <c r="A7" s="122" t="s">
        <v>579</v>
      </c>
      <c r="B7" s="134"/>
      <c r="C7" s="124">
        <f>IFERROR(colorfunction(B7,$B$15:$U$144,FALSE),$AA$7)</f>
        <v>57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57000</v>
      </c>
      <c r="AA7">
        <v>57</v>
      </c>
    </row>
    <row r="8" spans="1:27" ht="18" customHeight="1">
      <c r="A8" s="122" t="s">
        <v>580</v>
      </c>
      <c r="B8" s="135"/>
      <c r="C8" s="124">
        <f>IFERROR(colorfunction(B8,$B$15:$U$144,FALSE),$AA$8)</f>
        <v>94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94000</v>
      </c>
      <c r="AA8">
        <v>94</v>
      </c>
    </row>
    <row r="9" spans="1:27" ht="18" customHeight="1">
      <c r="A9" s="122" t="s">
        <v>581</v>
      </c>
      <c r="B9" s="136"/>
      <c r="C9" s="124">
        <f>IFERROR(colorfunction(B9,$B$15:$U$144,FALSE),$AA$9)</f>
        <v>212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212000</v>
      </c>
      <c r="AA9">
        <v>212</v>
      </c>
    </row>
    <row r="10" spans="1:27" ht="18" customHeight="1">
      <c r="A10" s="122" t="s">
        <v>582</v>
      </c>
      <c r="B10" s="137"/>
      <c r="C10" s="124">
        <f>IFERROR(colorfunction(B10,$B$15:$U$144,FALSE),$AA$10)</f>
        <v>11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11000</v>
      </c>
      <c r="AA10">
        <v>11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1157000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1157000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0+'_예비비계산'!AH2</f>
        <v>0</v>
      </c>
    </row>
    <row r="15" spans="1:27" ht="12" customHeight="1">
      <c r="A15" s="127"/>
      <c r="B15" s="138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1157000</v>
      </c>
    </row>
    <row r="17" spans="1:27" ht="12" customHeight="1">
      <c r="A17" s="127"/>
      <c r="B17" s="142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47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51"/>
      <c r="G20" s="152"/>
      <c r="H20" s="140"/>
      <c r="I20" s="141"/>
      <c r="J20" s="138"/>
      <c r="K20" s="139"/>
      <c r="L20" s="151"/>
      <c r="M20" s="152"/>
      <c r="N20" s="151"/>
      <c r="O20" s="141"/>
      <c r="P20" s="140"/>
      <c r="Q20" s="153"/>
      <c r="R20" s="154"/>
      <c r="S20" s="155"/>
      <c r="T20" s="156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57"/>
      <c r="G21" s="158"/>
      <c r="H21" s="144"/>
      <c r="I21" s="145"/>
      <c r="J21" s="142"/>
      <c r="K21" s="143"/>
      <c r="L21" s="157"/>
      <c r="M21" s="158"/>
      <c r="N21" s="157"/>
      <c r="O21" s="145"/>
      <c r="P21" s="144"/>
      <c r="Q21" s="159"/>
      <c r="R21" s="160"/>
      <c r="S21" s="161"/>
      <c r="T21" s="162"/>
      <c r="U21" s="158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57"/>
      <c r="G22" s="158"/>
      <c r="H22" s="144"/>
      <c r="I22" s="145"/>
      <c r="J22" s="142"/>
      <c r="K22" s="143"/>
      <c r="L22" s="157"/>
      <c r="M22" s="158"/>
      <c r="N22" s="157"/>
      <c r="O22" s="145"/>
      <c r="P22" s="144"/>
      <c r="Q22" s="159"/>
      <c r="R22" s="160"/>
      <c r="S22" s="161"/>
      <c r="T22" s="162"/>
      <c r="U22" s="158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57"/>
      <c r="G23" s="158"/>
      <c r="H23" s="144"/>
      <c r="I23" s="145"/>
      <c r="J23" s="142"/>
      <c r="K23" s="143"/>
      <c r="L23" s="157"/>
      <c r="M23" s="158"/>
      <c r="N23" s="157"/>
      <c r="O23" s="145"/>
      <c r="P23" s="144"/>
      <c r="Q23" s="159"/>
      <c r="R23" s="160"/>
      <c r="S23" s="161"/>
      <c r="T23" s="162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64"/>
      <c r="F24" s="163"/>
      <c r="G24" s="164"/>
      <c r="H24" s="149"/>
      <c r="I24" s="150"/>
      <c r="J24" s="147"/>
      <c r="K24" s="148"/>
      <c r="L24" s="163"/>
      <c r="M24" s="164"/>
      <c r="N24" s="163"/>
      <c r="O24" s="150"/>
      <c r="P24" s="149"/>
      <c r="Q24" s="165"/>
      <c r="R24" s="166"/>
      <c r="S24" s="167"/>
      <c r="T24" s="168"/>
      <c r="U24" s="165"/>
      <c r="V24" s="127"/>
      <c r="W24" s="127"/>
    </row>
    <row r="25" spans="1:27" ht="12" customHeight="1">
      <c r="A25" s="127"/>
      <c r="B25" s="156"/>
      <c r="C25" s="155"/>
      <c r="D25" s="156"/>
      <c r="E25" s="155"/>
      <c r="F25" s="156"/>
      <c r="G25" s="155"/>
      <c r="H25" s="140"/>
      <c r="I25" s="141"/>
      <c r="J25" s="138"/>
      <c r="K25" s="139"/>
      <c r="L25" s="151"/>
      <c r="M25" s="152"/>
      <c r="N25" s="151"/>
      <c r="O25" s="152"/>
      <c r="P25" s="151"/>
      <c r="Q25" s="152"/>
      <c r="R25" s="138"/>
      <c r="S25" s="139"/>
      <c r="T25" s="138"/>
      <c r="U25" s="139"/>
      <c r="V25" s="127"/>
      <c r="W25" s="127"/>
    </row>
    <row r="26" spans="1:27" ht="12" customHeight="1">
      <c r="A26" s="127"/>
      <c r="B26" s="162"/>
      <c r="C26" s="161"/>
      <c r="D26" s="162"/>
      <c r="E26" s="161"/>
      <c r="F26" s="162"/>
      <c r="G26" s="161"/>
      <c r="H26" s="144"/>
      <c r="I26" s="145"/>
      <c r="J26" s="142"/>
      <c r="K26" s="143"/>
      <c r="L26" s="157"/>
      <c r="M26" s="158"/>
      <c r="N26" s="157"/>
      <c r="O26" s="158"/>
      <c r="P26" s="157"/>
      <c r="Q26" s="158"/>
      <c r="R26" s="142"/>
      <c r="S26" s="143"/>
      <c r="T26" s="142"/>
      <c r="U26" s="143"/>
      <c r="V26" s="127"/>
      <c r="W26" s="127"/>
    </row>
    <row r="27" spans="1:27" ht="12" customHeight="1">
      <c r="A27" s="127"/>
      <c r="B27" s="162"/>
      <c r="C27" s="161"/>
      <c r="D27" s="162"/>
      <c r="E27" s="161"/>
      <c r="F27" s="162"/>
      <c r="G27" s="161"/>
      <c r="H27" s="144"/>
      <c r="I27" s="145"/>
      <c r="J27" s="142"/>
      <c r="K27" s="143"/>
      <c r="L27" s="157"/>
      <c r="M27" s="158"/>
      <c r="N27" s="157"/>
      <c r="O27" s="158"/>
      <c r="P27" s="157"/>
      <c r="Q27" s="158"/>
      <c r="R27" s="142"/>
      <c r="S27" s="143"/>
      <c r="T27" s="142"/>
      <c r="U27" s="143"/>
      <c r="V27" s="127"/>
      <c r="W27" s="127"/>
    </row>
    <row r="28" spans="1:27" ht="12" customHeight="1">
      <c r="A28" s="127"/>
      <c r="B28" s="162"/>
      <c r="C28" s="161"/>
      <c r="D28" s="162"/>
      <c r="E28" s="161"/>
      <c r="F28" s="162"/>
      <c r="G28" s="161"/>
      <c r="H28" s="144"/>
      <c r="I28" s="145"/>
      <c r="J28" s="142"/>
      <c r="K28" s="143"/>
      <c r="L28" s="157"/>
      <c r="M28" s="158"/>
      <c r="N28" s="157"/>
      <c r="O28" s="158"/>
      <c r="P28" s="157"/>
      <c r="Q28" s="158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68"/>
      <c r="C29" s="167"/>
      <c r="D29" s="168"/>
      <c r="E29" s="167"/>
      <c r="F29" s="168"/>
      <c r="G29" s="167"/>
      <c r="H29" s="149"/>
      <c r="I29" s="150"/>
      <c r="J29" s="147"/>
      <c r="K29" s="148"/>
      <c r="L29" s="163"/>
      <c r="M29" s="164"/>
      <c r="N29" s="163"/>
      <c r="O29" s="164"/>
      <c r="P29" s="163"/>
      <c r="Q29" s="164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51"/>
      <c r="E30" s="152"/>
      <c r="F30" s="151"/>
      <c r="G30" s="152"/>
      <c r="H30" s="151"/>
      <c r="I30" s="139"/>
      <c r="J30" s="138"/>
      <c r="K30" s="139"/>
      <c r="L30" s="138"/>
      <c r="M30" s="139"/>
      <c r="N30" s="138"/>
      <c r="O30" s="139"/>
      <c r="P30" s="138"/>
      <c r="Q30" s="139"/>
      <c r="R30" s="151"/>
      <c r="S30" s="139"/>
      <c r="T30" s="140"/>
      <c r="U30" s="139"/>
      <c r="V30" s="127"/>
      <c r="W30" s="127"/>
    </row>
    <row r="31" spans="1:27" ht="12" customHeight="1">
      <c r="A31" s="127"/>
      <c r="B31" s="142"/>
      <c r="C31" s="145"/>
      <c r="D31" s="157"/>
      <c r="E31" s="158"/>
      <c r="F31" s="157"/>
      <c r="G31" s="158"/>
      <c r="H31" s="157"/>
      <c r="I31" s="143"/>
      <c r="J31" s="142"/>
      <c r="K31" s="143"/>
      <c r="L31" s="142"/>
      <c r="M31" s="143"/>
      <c r="N31" s="142"/>
      <c r="O31" s="143"/>
      <c r="P31" s="142"/>
      <c r="Q31" s="143"/>
      <c r="R31" s="157"/>
      <c r="S31" s="143"/>
      <c r="T31" s="144"/>
      <c r="U31" s="143"/>
      <c r="V31" s="127"/>
      <c r="W31" s="127"/>
    </row>
    <row r="32" spans="1:27" ht="12" customHeight="1">
      <c r="A32" s="127"/>
      <c r="B32" s="142"/>
      <c r="C32" s="145"/>
      <c r="D32" s="157"/>
      <c r="E32" s="158"/>
      <c r="F32" s="157"/>
      <c r="G32" s="158"/>
      <c r="H32" s="157"/>
      <c r="I32" s="143"/>
      <c r="J32" s="142"/>
      <c r="K32" s="143"/>
      <c r="L32" s="142"/>
      <c r="M32" s="143"/>
      <c r="N32" s="142"/>
      <c r="O32" s="143"/>
      <c r="P32" s="142"/>
      <c r="Q32" s="143"/>
      <c r="R32" s="142"/>
      <c r="S32" s="143"/>
      <c r="T32" s="144"/>
      <c r="U32" s="143"/>
      <c r="V32" s="127"/>
      <c r="W32" s="127"/>
    </row>
    <row r="33" spans="1:23" ht="12" customHeight="1">
      <c r="A33" s="127"/>
      <c r="B33" s="142"/>
      <c r="C33" s="145"/>
      <c r="D33" s="157"/>
      <c r="E33" s="158"/>
      <c r="F33" s="157"/>
      <c r="G33" s="158"/>
      <c r="H33" s="157"/>
      <c r="I33" s="143"/>
      <c r="J33" s="142"/>
      <c r="K33" s="143"/>
      <c r="L33" s="142"/>
      <c r="M33" s="143"/>
      <c r="N33" s="142"/>
      <c r="O33" s="143"/>
      <c r="P33" s="142"/>
      <c r="Q33" s="143"/>
      <c r="R33" s="142"/>
      <c r="S33" s="143"/>
      <c r="T33" s="144"/>
      <c r="U33" s="143"/>
      <c r="V33" s="127"/>
      <c r="W33" s="127"/>
    </row>
    <row r="34" spans="1:23" ht="12" customHeight="1" thickBot="1">
      <c r="A34" s="146">
        <v>4</v>
      </c>
      <c r="B34" s="147"/>
      <c r="C34" s="150"/>
      <c r="D34" s="163"/>
      <c r="E34" s="164"/>
      <c r="F34" s="163"/>
      <c r="G34" s="164"/>
      <c r="H34" s="163"/>
      <c r="I34" s="148"/>
      <c r="J34" s="147"/>
      <c r="K34" s="148"/>
      <c r="L34" s="147"/>
      <c r="M34" s="148"/>
      <c r="N34" s="147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51"/>
      <c r="C35" s="152"/>
      <c r="D35" s="138"/>
      <c r="E35" s="139"/>
      <c r="F35" s="140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42"/>
      <c r="E36" s="143"/>
      <c r="F36" s="144"/>
      <c r="G36" s="145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57"/>
      <c r="U36" s="158"/>
      <c r="V36" s="127"/>
      <c r="W36" s="127"/>
    </row>
    <row r="37" spans="1:23" ht="12" customHeight="1">
      <c r="A37" s="127"/>
      <c r="B37" s="157"/>
      <c r="C37" s="158"/>
      <c r="D37" s="142"/>
      <c r="E37" s="143"/>
      <c r="F37" s="144"/>
      <c r="G37" s="145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57"/>
      <c r="U37" s="158"/>
      <c r="V37" s="127"/>
      <c r="W37" s="127"/>
    </row>
    <row r="38" spans="1:23" ht="12" customHeight="1">
      <c r="A38" s="127"/>
      <c r="B38" s="157"/>
      <c r="C38" s="158"/>
      <c r="D38" s="142"/>
      <c r="E38" s="143"/>
      <c r="F38" s="144"/>
      <c r="G38" s="145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57"/>
      <c r="U38" s="158"/>
      <c r="V38" s="127"/>
      <c r="W38" s="127"/>
    </row>
    <row r="39" spans="1:23" ht="12" customHeight="1" thickBot="1">
      <c r="A39" s="146">
        <v>5</v>
      </c>
      <c r="B39" s="163"/>
      <c r="C39" s="164"/>
      <c r="D39" s="147"/>
      <c r="E39" s="148"/>
      <c r="F39" s="149"/>
      <c r="G39" s="150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63"/>
      <c r="U39" s="164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41"/>
      <c r="H40" s="140"/>
      <c r="I40" s="139"/>
      <c r="J40" s="138"/>
      <c r="K40" s="139"/>
      <c r="L40" s="138"/>
      <c r="M40" s="139"/>
      <c r="N40" s="138"/>
      <c r="O40" s="152"/>
      <c r="P40" s="151"/>
      <c r="Q40" s="152"/>
      <c r="R40" s="151"/>
      <c r="S40" s="152"/>
      <c r="T40" s="151"/>
      <c r="U40" s="139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5"/>
      <c r="H41" s="144"/>
      <c r="I41" s="143"/>
      <c r="J41" s="142"/>
      <c r="K41" s="143"/>
      <c r="L41" s="142"/>
      <c r="M41" s="143"/>
      <c r="N41" s="142"/>
      <c r="O41" s="158"/>
      <c r="P41" s="157"/>
      <c r="Q41" s="158"/>
      <c r="R41" s="157"/>
      <c r="S41" s="158"/>
      <c r="T41" s="142"/>
      <c r="U41" s="14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5"/>
      <c r="H42" s="144"/>
      <c r="I42" s="143"/>
      <c r="J42" s="142"/>
      <c r="K42" s="143"/>
      <c r="L42" s="142"/>
      <c r="M42" s="143"/>
      <c r="N42" s="142"/>
      <c r="O42" s="158"/>
      <c r="P42" s="157"/>
      <c r="Q42" s="158"/>
      <c r="R42" s="157"/>
      <c r="S42" s="158"/>
      <c r="T42" s="142"/>
      <c r="U42" s="14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5"/>
      <c r="H43" s="144"/>
      <c r="I43" s="143"/>
      <c r="J43" s="142"/>
      <c r="K43" s="143"/>
      <c r="L43" s="142"/>
      <c r="M43" s="143"/>
      <c r="N43" s="142"/>
      <c r="O43" s="158"/>
      <c r="P43" s="157"/>
      <c r="Q43" s="158"/>
      <c r="R43" s="157"/>
      <c r="S43" s="158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50"/>
      <c r="H44" s="149"/>
      <c r="I44" s="148"/>
      <c r="J44" s="147"/>
      <c r="K44" s="148"/>
      <c r="L44" s="147"/>
      <c r="M44" s="148"/>
      <c r="N44" s="147"/>
      <c r="O44" s="164"/>
      <c r="P44" s="163"/>
      <c r="Q44" s="164"/>
      <c r="R44" s="163"/>
      <c r="S44" s="164"/>
      <c r="T44" s="147"/>
      <c r="U44" s="148"/>
      <c r="V44" s="127"/>
      <c r="W44" s="127"/>
    </row>
    <row r="45" spans="1:23" ht="12" customHeight="1">
      <c r="A45" s="127"/>
      <c r="B45" s="151"/>
      <c r="C45" s="139"/>
      <c r="D45" s="138"/>
      <c r="E45" s="139"/>
      <c r="F45" s="138"/>
      <c r="G45" s="139"/>
      <c r="H45" s="138"/>
      <c r="I45" s="139"/>
      <c r="J45" s="138"/>
      <c r="K45" s="139"/>
      <c r="L45" s="138"/>
      <c r="M45" s="139"/>
      <c r="N45" s="138"/>
      <c r="O45" s="139"/>
      <c r="P45" s="138"/>
      <c r="Q45" s="141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57"/>
      <c r="C46" s="143"/>
      <c r="D46" s="142"/>
      <c r="E46" s="143"/>
      <c r="F46" s="142"/>
      <c r="G46" s="143"/>
      <c r="H46" s="142"/>
      <c r="I46" s="143"/>
      <c r="J46" s="142"/>
      <c r="K46" s="143"/>
      <c r="L46" s="142"/>
      <c r="M46" s="143"/>
      <c r="N46" s="142"/>
      <c r="O46" s="143"/>
      <c r="P46" s="142"/>
      <c r="Q46" s="145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57"/>
      <c r="C47" s="143"/>
      <c r="D47" s="142"/>
      <c r="E47" s="143"/>
      <c r="F47" s="142"/>
      <c r="G47" s="143"/>
      <c r="H47" s="142"/>
      <c r="I47" s="143"/>
      <c r="J47" s="142"/>
      <c r="K47" s="143"/>
      <c r="L47" s="142"/>
      <c r="M47" s="143"/>
      <c r="N47" s="142"/>
      <c r="O47" s="143"/>
      <c r="P47" s="142"/>
      <c r="Q47" s="145"/>
      <c r="R47" s="144"/>
      <c r="S47" s="143"/>
      <c r="T47" s="142"/>
      <c r="U47" s="143"/>
      <c r="V47" s="127"/>
      <c r="W47" s="127"/>
    </row>
    <row r="48" spans="1:23" ht="12" customHeight="1">
      <c r="A48" s="127"/>
      <c r="B48" s="157"/>
      <c r="C48" s="143"/>
      <c r="D48" s="142"/>
      <c r="E48" s="143"/>
      <c r="F48" s="142"/>
      <c r="G48" s="143"/>
      <c r="H48" s="142"/>
      <c r="I48" s="143"/>
      <c r="J48" s="142"/>
      <c r="K48" s="143"/>
      <c r="L48" s="142"/>
      <c r="M48" s="143"/>
      <c r="N48" s="142"/>
      <c r="O48" s="143"/>
      <c r="P48" s="142"/>
      <c r="Q48" s="145"/>
      <c r="R48" s="144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3"/>
      <c r="C49" s="148"/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7"/>
      <c r="O49" s="148"/>
      <c r="P49" s="147"/>
      <c r="Q49" s="150"/>
      <c r="R49" s="149"/>
      <c r="S49" s="148"/>
      <c r="T49" s="147"/>
      <c r="U49" s="148"/>
      <c r="V49" s="127"/>
      <c r="W49" s="127"/>
    </row>
    <row r="50" spans="1:23" ht="12" customHeight="1">
      <c r="A50" s="127"/>
      <c r="B50" s="151"/>
      <c r="C50" s="152"/>
      <c r="D50" s="138"/>
      <c r="E50" s="139"/>
      <c r="F50" s="140"/>
      <c r="G50" s="141"/>
      <c r="H50" s="138"/>
      <c r="I50" s="139"/>
      <c r="J50" s="138"/>
      <c r="K50" s="139"/>
      <c r="L50" s="140"/>
      <c r="M50" s="141"/>
      <c r="N50" s="138"/>
      <c r="O50" s="139"/>
      <c r="P50" s="138"/>
      <c r="Q50" s="152"/>
      <c r="R50" s="151"/>
      <c r="S50" s="139"/>
      <c r="T50" s="142"/>
      <c r="U50" s="152"/>
      <c r="V50" s="127"/>
      <c r="W50" s="127"/>
    </row>
    <row r="51" spans="1:23" ht="12" customHeight="1">
      <c r="A51" s="127"/>
      <c r="B51" s="157"/>
      <c r="C51" s="158"/>
      <c r="D51" s="142"/>
      <c r="E51" s="143"/>
      <c r="F51" s="144"/>
      <c r="G51" s="145"/>
      <c r="H51" s="142"/>
      <c r="I51" s="143"/>
      <c r="J51" s="142"/>
      <c r="K51" s="143"/>
      <c r="L51" s="144"/>
      <c r="M51" s="145"/>
      <c r="N51" s="142"/>
      <c r="O51" s="143"/>
      <c r="P51" s="142"/>
      <c r="Q51" s="158"/>
      <c r="R51" s="157"/>
      <c r="S51" s="143"/>
      <c r="T51" s="142"/>
      <c r="U51" s="158"/>
      <c r="V51" s="127"/>
      <c r="W51" s="127"/>
    </row>
    <row r="52" spans="1:23" ht="12" customHeight="1">
      <c r="A52" s="127"/>
      <c r="B52" s="157"/>
      <c r="C52" s="158"/>
      <c r="D52" s="142"/>
      <c r="E52" s="143"/>
      <c r="F52" s="144"/>
      <c r="G52" s="145"/>
      <c r="H52" s="142"/>
      <c r="I52" s="143"/>
      <c r="J52" s="142"/>
      <c r="K52" s="143"/>
      <c r="L52" s="144"/>
      <c r="M52" s="145"/>
      <c r="N52" s="142"/>
      <c r="O52" s="143"/>
      <c r="P52" s="142"/>
      <c r="Q52" s="158"/>
      <c r="R52" s="142"/>
      <c r="S52" s="143"/>
      <c r="T52" s="169"/>
      <c r="U52" s="158"/>
      <c r="V52" s="127"/>
      <c r="W52" s="127"/>
    </row>
    <row r="53" spans="1:23" ht="12" customHeight="1">
      <c r="A53" s="127"/>
      <c r="B53" s="157"/>
      <c r="C53" s="158"/>
      <c r="D53" s="142"/>
      <c r="E53" s="143"/>
      <c r="F53" s="144"/>
      <c r="G53" s="145"/>
      <c r="H53" s="142"/>
      <c r="I53" s="143"/>
      <c r="J53" s="142"/>
      <c r="K53" s="143"/>
      <c r="L53" s="144"/>
      <c r="M53" s="145"/>
      <c r="N53" s="142"/>
      <c r="O53" s="143"/>
      <c r="P53" s="142"/>
      <c r="Q53" s="158"/>
      <c r="R53" s="142"/>
      <c r="S53" s="143"/>
      <c r="T53" s="169"/>
      <c r="U53" s="158"/>
      <c r="V53" s="127"/>
      <c r="W53" s="127"/>
    </row>
    <row r="54" spans="1:23" ht="12" customHeight="1" thickBot="1">
      <c r="A54" s="146">
        <v>8</v>
      </c>
      <c r="B54" s="163"/>
      <c r="C54" s="164"/>
      <c r="D54" s="147"/>
      <c r="E54" s="148"/>
      <c r="F54" s="149"/>
      <c r="G54" s="150"/>
      <c r="H54" s="147"/>
      <c r="I54" s="148"/>
      <c r="J54" s="147"/>
      <c r="K54" s="148"/>
      <c r="L54" s="149"/>
      <c r="M54" s="150"/>
      <c r="N54" s="147"/>
      <c r="O54" s="148"/>
      <c r="P54" s="147"/>
      <c r="Q54" s="164"/>
      <c r="R54" s="147"/>
      <c r="S54" s="148"/>
      <c r="T54" s="170"/>
      <c r="U54" s="164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40"/>
      <c r="Q55" s="141"/>
      <c r="R55" s="138"/>
      <c r="S55" s="171"/>
      <c r="T55" s="172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42"/>
      <c r="K56" s="143"/>
      <c r="L56" s="142"/>
      <c r="M56" s="143"/>
      <c r="N56" s="142"/>
      <c r="O56" s="143"/>
      <c r="P56" s="144"/>
      <c r="Q56" s="143"/>
      <c r="R56" s="142"/>
      <c r="S56" s="173"/>
      <c r="T56" s="174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42"/>
      <c r="K57" s="143"/>
      <c r="L57" s="142"/>
      <c r="M57" s="143"/>
      <c r="N57" s="142"/>
      <c r="O57" s="145"/>
      <c r="P57" s="144"/>
      <c r="Q57" s="143"/>
      <c r="R57" s="142"/>
      <c r="S57" s="173"/>
      <c r="T57" s="174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43"/>
      <c r="L58" s="142"/>
      <c r="M58" s="143"/>
      <c r="N58" s="142"/>
      <c r="O58" s="145"/>
      <c r="P58" s="144"/>
      <c r="Q58" s="143"/>
      <c r="R58" s="142"/>
      <c r="S58" s="173"/>
      <c r="T58" s="174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7"/>
      <c r="O59" s="150"/>
      <c r="P59" s="149"/>
      <c r="Q59" s="148"/>
      <c r="R59" s="147"/>
      <c r="S59" s="175"/>
      <c r="T59" s="176"/>
      <c r="U59" s="177"/>
      <c r="V59" s="127"/>
      <c r="W59" s="127"/>
    </row>
    <row r="60" spans="1:23" ht="12" customHeight="1">
      <c r="A60" s="127"/>
      <c r="B60" s="172"/>
      <c r="C60" s="171"/>
      <c r="D60" s="172"/>
      <c r="E60" s="139"/>
      <c r="F60" s="138"/>
      <c r="G60" s="141"/>
      <c r="H60" s="140"/>
      <c r="I60" s="139"/>
      <c r="J60" s="151"/>
      <c r="K60" s="152"/>
      <c r="L60" s="151"/>
      <c r="M60" s="152"/>
      <c r="N60" s="151"/>
      <c r="O60" s="139"/>
      <c r="P60" s="138"/>
      <c r="Q60" s="139"/>
      <c r="R60" s="138"/>
      <c r="S60" s="139"/>
      <c r="T60" s="151"/>
      <c r="U60" s="178"/>
      <c r="V60" s="127"/>
      <c r="W60" s="127"/>
    </row>
    <row r="61" spans="1:23" ht="12" customHeight="1">
      <c r="A61" s="127"/>
      <c r="B61" s="174"/>
      <c r="C61" s="173"/>
      <c r="D61" s="174"/>
      <c r="E61" s="143"/>
      <c r="F61" s="142"/>
      <c r="G61" s="145"/>
      <c r="H61" s="144"/>
      <c r="I61" s="143"/>
      <c r="J61" s="157"/>
      <c r="K61" s="158"/>
      <c r="L61" s="157"/>
      <c r="M61" s="158"/>
      <c r="N61" s="157"/>
      <c r="O61" s="143"/>
      <c r="P61" s="142"/>
      <c r="Q61" s="143"/>
      <c r="R61" s="142"/>
      <c r="S61" s="143"/>
      <c r="T61" s="157"/>
      <c r="U61" s="143"/>
      <c r="V61" s="127"/>
      <c r="W61" s="127"/>
    </row>
    <row r="62" spans="1:23" ht="12" customHeight="1">
      <c r="A62" s="127"/>
      <c r="B62" s="174"/>
      <c r="C62" s="173"/>
      <c r="D62" s="174"/>
      <c r="E62" s="143"/>
      <c r="F62" s="142"/>
      <c r="G62" s="145"/>
      <c r="H62" s="144"/>
      <c r="I62" s="143"/>
      <c r="J62" s="157"/>
      <c r="K62" s="158"/>
      <c r="L62" s="157"/>
      <c r="M62" s="158"/>
      <c r="N62" s="157"/>
      <c r="O62" s="143"/>
      <c r="P62" s="142"/>
      <c r="Q62" s="143"/>
      <c r="R62" s="142"/>
      <c r="S62" s="143"/>
      <c r="T62" s="157"/>
      <c r="U62" s="143"/>
      <c r="V62" s="127"/>
      <c r="W62" s="127"/>
    </row>
    <row r="63" spans="1:23" ht="12" customHeight="1">
      <c r="A63" s="127"/>
      <c r="B63" s="174"/>
      <c r="C63" s="173"/>
      <c r="D63" s="174"/>
      <c r="E63" s="143"/>
      <c r="F63" s="142"/>
      <c r="G63" s="145"/>
      <c r="H63" s="144"/>
      <c r="I63" s="143"/>
      <c r="J63" s="157"/>
      <c r="K63" s="158"/>
      <c r="L63" s="157"/>
      <c r="M63" s="158"/>
      <c r="N63" s="157"/>
      <c r="O63" s="143"/>
      <c r="P63" s="142"/>
      <c r="Q63" s="143"/>
      <c r="R63" s="142"/>
      <c r="S63" s="143"/>
      <c r="T63" s="157"/>
      <c r="U63" s="143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48"/>
      <c r="F64" s="147"/>
      <c r="G64" s="150"/>
      <c r="H64" s="149"/>
      <c r="I64" s="148"/>
      <c r="J64" s="163"/>
      <c r="K64" s="164"/>
      <c r="L64" s="163"/>
      <c r="M64" s="164"/>
      <c r="N64" s="163"/>
      <c r="O64" s="148"/>
      <c r="P64" s="147"/>
      <c r="Q64" s="148"/>
      <c r="R64" s="147"/>
      <c r="S64" s="148"/>
      <c r="T64" s="147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40"/>
      <c r="K65" s="141"/>
      <c r="L65" s="156"/>
      <c r="M65" s="155"/>
      <c r="N65" s="156"/>
      <c r="O65" s="139"/>
      <c r="P65" s="138"/>
      <c r="Q65" s="152"/>
      <c r="R65" s="151"/>
      <c r="S65" s="171"/>
      <c r="T65" s="172"/>
      <c r="U65" s="139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4"/>
      <c r="K66" s="145"/>
      <c r="L66" s="162"/>
      <c r="M66" s="161"/>
      <c r="N66" s="162"/>
      <c r="O66" s="143"/>
      <c r="P66" s="142"/>
      <c r="Q66" s="158"/>
      <c r="R66" s="157"/>
      <c r="S66" s="173"/>
      <c r="T66" s="174"/>
      <c r="U66" s="143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44"/>
      <c r="K67" s="145"/>
      <c r="L67" s="162"/>
      <c r="M67" s="161"/>
      <c r="N67" s="162"/>
      <c r="O67" s="143"/>
      <c r="P67" s="142"/>
      <c r="Q67" s="145"/>
      <c r="R67" s="157"/>
      <c r="S67" s="173"/>
      <c r="T67" s="174"/>
      <c r="U67" s="143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45"/>
      <c r="L68" s="162"/>
      <c r="M68" s="161"/>
      <c r="N68" s="162"/>
      <c r="O68" s="161"/>
      <c r="P68" s="142"/>
      <c r="Q68" s="143"/>
      <c r="R68" s="174"/>
      <c r="S68" s="173"/>
      <c r="T68" s="174"/>
      <c r="U68" s="143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9"/>
      <c r="K69" s="150"/>
      <c r="L69" s="168"/>
      <c r="M69" s="167"/>
      <c r="N69" s="168"/>
      <c r="O69" s="167"/>
      <c r="P69" s="147"/>
      <c r="Q69" s="148"/>
      <c r="R69" s="176"/>
      <c r="S69" s="175"/>
      <c r="T69" s="176"/>
      <c r="U69" s="148"/>
      <c r="V69" s="127"/>
      <c r="W69" s="127"/>
    </row>
    <row r="70" spans="1:23" ht="12" customHeight="1">
      <c r="A70" s="127"/>
      <c r="B70" s="172"/>
      <c r="C70" s="171"/>
      <c r="D70" s="172"/>
      <c r="E70" s="171"/>
      <c r="F70" s="172"/>
      <c r="G70" s="171"/>
      <c r="H70" s="172"/>
      <c r="I70" s="171"/>
      <c r="J70" s="172"/>
      <c r="K70" s="171"/>
      <c r="L70" s="172"/>
      <c r="M70" s="171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74"/>
      <c r="C71" s="173"/>
      <c r="D71" s="174"/>
      <c r="E71" s="173"/>
      <c r="F71" s="174"/>
      <c r="G71" s="173"/>
      <c r="H71" s="174"/>
      <c r="I71" s="173"/>
      <c r="J71" s="174"/>
      <c r="K71" s="173"/>
      <c r="L71" s="174"/>
      <c r="M71" s="173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74"/>
      <c r="C72" s="173"/>
      <c r="D72" s="174"/>
      <c r="E72" s="173"/>
      <c r="F72" s="174"/>
      <c r="G72" s="173"/>
      <c r="H72" s="174"/>
      <c r="I72" s="173"/>
      <c r="J72" s="174"/>
      <c r="K72" s="173"/>
      <c r="L72" s="174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74"/>
      <c r="C73" s="173"/>
      <c r="D73" s="174"/>
      <c r="E73" s="173"/>
      <c r="F73" s="174"/>
      <c r="G73" s="173"/>
      <c r="H73" s="174"/>
      <c r="I73" s="173"/>
      <c r="J73" s="174"/>
      <c r="K73" s="173"/>
      <c r="L73" s="174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76"/>
      <c r="C74" s="175"/>
      <c r="D74" s="176"/>
      <c r="E74" s="175"/>
      <c r="F74" s="176"/>
      <c r="G74" s="175"/>
      <c r="H74" s="176"/>
      <c r="I74" s="175"/>
      <c r="J74" s="176"/>
      <c r="K74" s="175"/>
      <c r="L74" s="176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HYPERLINK("#'1월'!A1","← 1월 월간 가계부로 돌아가기")</f>
        <v>← 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1157000</v>
      </c>
      <c r="J149" s="366"/>
      <c r="K149" s="366"/>
      <c r="L149" s="366"/>
      <c r="M149" s="366"/>
      <c r="N149" s="367"/>
      <c r="O149" s="423" t="b">
        <f>IF('1월'!AA1,I149=('1월'!M28),"미입력")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1157000</v>
      </c>
      <c r="J150" s="366"/>
      <c r="K150" s="366"/>
      <c r="L150" s="366"/>
      <c r="M150" s="366"/>
      <c r="N150" s="367"/>
      <c r="O150" s="423" t="b">
        <f>IF('1월'!AA1,I150=('1월'!I38),"미입력")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451</v>
      </c>
      <c r="L5" s="38" t="s">
        <v>591</v>
      </c>
      <c r="M5" s="34" t="s">
        <v>453</v>
      </c>
      <c r="N5" s="34" t="s">
        <v>454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456</v>
      </c>
      <c r="L6" s="31" t="s">
        <v>591</v>
      </c>
      <c r="M6" s="27" t="s">
        <v>453</v>
      </c>
      <c r="N6" s="27" t="s">
        <v>457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473</v>
      </c>
      <c r="L11" s="38" t="s">
        <v>592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593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594</v>
      </c>
      <c r="T22" s="27" t="s">
        <v>506</v>
      </c>
      <c r="U22" s="27"/>
    </row>
    <row r="23" spans="1:22" ht="22" customHeight="1">
      <c r="A23" s="39" t="s">
        <v>507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595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HYPERLINK("#'2월계산기'!A1","계산기 대조 · 2월계산기 열기")</f>
        <v>계산기 대조 · 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975000</v>
      </c>
      <c r="N28" s="367"/>
      <c r="O28" s="429" t="s">
        <v>234</v>
      </c>
      <c r="P28" s="367"/>
      <c r="Q28" s="431">
        <f>'2월계산기'!W12</f>
        <v>975000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975000</v>
      </c>
      <c r="N29" s="367"/>
      <c r="O29" s="429" t="s">
        <v>239</v>
      </c>
      <c r="P29" s="367"/>
      <c r="Q29" s="431">
        <f>'2월계산기'!W13</f>
        <v>975000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24740</v>
      </c>
      <c r="N30" s="367"/>
      <c r="O30" s="429" t="s">
        <v>514</v>
      </c>
      <c r="P30" s="367"/>
      <c r="Q30" s="431">
        <f>SUM(I4,I9,I14,I19,I24,I29)-I33</f>
        <v>24740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3409110</v>
      </c>
      <c r="D37" s="27"/>
      <c r="E37" s="27" t="s">
        <v>429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I33-'_예비비계산'!AG3</f>
        <v>950260</v>
      </c>
      <c r="I38" s="27">
        <f>SUM(I4,I9,I14,I19,I24,I29)-'_예비비계산'!AH3</f>
        <v>975000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300000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3709110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24800</v>
      </c>
      <c r="I43" s="27">
        <f>H43</f>
        <v>24800</v>
      </c>
      <c r="J43" s="12"/>
      <c r="K43" s="31" t="s">
        <v>525</v>
      </c>
      <c r="L43" s="31" t="s">
        <v>539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541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100000</v>
      </c>
      <c r="N64" s="40">
        <f>'_예비비계산'!AB3</f>
        <v>100000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100000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'_예비비계산'!AF3</f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69" t="s">
        <v>596</v>
      </c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100000</v>
      </c>
      <c r="N69" s="37">
        <f>SUM(N64:N68)</f>
        <v>300000</v>
      </c>
      <c r="O69" s="37"/>
      <c r="P69" s="37"/>
      <c r="Q69" s="37">
        <f>SUM(Q64:Q68)</f>
        <v>0</v>
      </c>
      <c r="R69" s="37">
        <f>SUM(R64:R68)</f>
        <v>300000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0" priority="1" operator="lessThan">
      <formula>0</formula>
    </cfRule>
  </conditionalFormatting>
  <conditionalFormatting sqref="C12">
    <cfRule type="expression" dxfId="89" priority="2">
      <formula>$C$12="SUCCESS"</formula>
    </cfRule>
    <cfRule type="expression" dxfId="88" priority="3">
      <formula>$C$12="FALSE"</formula>
    </cfRule>
  </conditionalFormatting>
  <conditionalFormatting sqref="C14">
    <cfRule type="expression" dxfId="87" priority="4">
      <formula>C14="FALSE"</formula>
    </cfRule>
  </conditionalFormatting>
  <conditionalFormatting sqref="H45:I45">
    <cfRule type="cellIs" dxfId="86" priority="6" operator="lessThan">
      <formula>0</formula>
    </cfRule>
  </conditionalFormatting>
  <conditionalFormatting sqref="H46:I46">
    <cfRule type="expression" dxfId="85" priority="7">
      <formula>H46="FALSE"</formula>
    </cfRule>
  </conditionalFormatting>
  <conditionalFormatting sqref="I5">
    <cfRule type="cellIs" dxfId="84" priority="5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597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608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608000</v>
      </c>
      <c r="AA3">
        <v>608</v>
      </c>
    </row>
    <row r="4" spans="1:27" ht="18" customHeight="1">
      <c r="A4" s="122" t="s">
        <v>576</v>
      </c>
      <c r="B4" s="130"/>
      <c r="C4" s="124">
        <f>IFERROR(colorfunction(B4,$B$15:$U$144,FALSE),$AA$4)</f>
        <v>69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69000</v>
      </c>
      <c r="AA4">
        <v>69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72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72000</v>
      </c>
      <c r="AA6">
        <v>72</v>
      </c>
    </row>
    <row r="7" spans="1:27" ht="18" customHeight="1">
      <c r="A7" s="122" t="s">
        <v>579</v>
      </c>
      <c r="B7" s="134"/>
      <c r="C7" s="124">
        <f>IFERROR(colorfunction(B7,$B$15:$U$144,FALSE),$AA$7)</f>
        <v>67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67000</v>
      </c>
      <c r="AA7">
        <v>67</v>
      </c>
    </row>
    <row r="8" spans="1:27" ht="18" customHeight="1">
      <c r="A8" s="122" t="s">
        <v>580</v>
      </c>
      <c r="B8" s="135"/>
      <c r="C8" s="124">
        <f>IFERROR(colorfunction(B8,$B$15:$U$144,FALSE),$AA$8)</f>
        <v>72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72000</v>
      </c>
      <c r="AA8">
        <v>72</v>
      </c>
    </row>
    <row r="9" spans="1:27" ht="18" customHeight="1">
      <c r="A9" s="122" t="s">
        <v>581</v>
      </c>
      <c r="B9" s="136"/>
      <c r="C9" s="124">
        <f>IFERROR(colorfunction(B9,$B$15:$U$144,FALSE),$AA$9)</f>
        <v>87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87000</v>
      </c>
      <c r="AA9">
        <v>87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975000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975000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0+'_예비비계산'!AH3</f>
        <v>0</v>
      </c>
    </row>
    <row r="15" spans="1:27" ht="12" customHeight="1">
      <c r="A15" s="127"/>
      <c r="B15" s="140"/>
      <c r="C15" s="141"/>
      <c r="D15" s="138"/>
      <c r="E15" s="139"/>
      <c r="F15" s="138"/>
      <c r="G15" s="139"/>
      <c r="H15" s="138"/>
      <c r="I15" s="178"/>
      <c r="J15" s="186"/>
      <c r="K15" s="139"/>
      <c r="L15" s="138"/>
      <c r="M15" s="139"/>
      <c r="N15" s="138"/>
      <c r="O15" s="139"/>
      <c r="P15" s="138"/>
      <c r="Q15" s="139"/>
      <c r="R15" s="138"/>
      <c r="S15" s="139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5"/>
      <c r="D16" s="142"/>
      <c r="E16" s="143"/>
      <c r="F16" s="142"/>
      <c r="G16" s="143"/>
      <c r="H16" s="142"/>
      <c r="I16" s="187"/>
      <c r="J16" s="169"/>
      <c r="K16" s="143"/>
      <c r="L16" s="142"/>
      <c r="M16" s="143"/>
      <c r="N16" s="142"/>
      <c r="O16" s="143"/>
      <c r="P16" s="142"/>
      <c r="Q16" s="143"/>
      <c r="R16" s="142"/>
      <c r="S16" s="158"/>
      <c r="T16" s="157"/>
      <c r="U16" s="158"/>
      <c r="V16" s="304" t="s">
        <v>232</v>
      </c>
      <c r="W16" s="305">
        <f>SUM(W3:W10)</f>
        <v>975000</v>
      </c>
    </row>
    <row r="17" spans="1:27" ht="12" customHeight="1">
      <c r="A17" s="127"/>
      <c r="B17" s="144"/>
      <c r="C17" s="145"/>
      <c r="D17" s="142"/>
      <c r="E17" s="143"/>
      <c r="F17" s="142"/>
      <c r="G17" s="143"/>
      <c r="H17" s="142"/>
      <c r="I17" s="187"/>
      <c r="J17" s="169"/>
      <c r="K17" s="143"/>
      <c r="L17" s="142"/>
      <c r="M17" s="143"/>
      <c r="N17" s="142"/>
      <c r="O17" s="143"/>
      <c r="P17" s="142"/>
      <c r="Q17" s="143"/>
      <c r="R17" s="142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5"/>
      <c r="D18" s="142"/>
      <c r="E18" s="143"/>
      <c r="F18" s="142"/>
      <c r="G18" s="143"/>
      <c r="H18" s="142"/>
      <c r="I18" s="187"/>
      <c r="J18" s="169"/>
      <c r="K18" s="143"/>
      <c r="L18" s="142"/>
      <c r="M18" s="143"/>
      <c r="N18" s="142"/>
      <c r="O18" s="143"/>
      <c r="P18" s="142"/>
      <c r="Q18" s="143"/>
      <c r="R18" s="142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70"/>
      <c r="I19" s="177"/>
      <c r="J19" s="147"/>
      <c r="K19" s="148"/>
      <c r="L19" s="147"/>
      <c r="M19" s="148"/>
      <c r="N19" s="147"/>
      <c r="O19" s="148"/>
      <c r="P19" s="147"/>
      <c r="Q19" s="148"/>
      <c r="R19" s="147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38"/>
      <c r="E20" s="139"/>
      <c r="F20" s="138"/>
      <c r="G20" s="139"/>
      <c r="H20" s="140"/>
      <c r="I20" s="139"/>
      <c r="J20" s="138"/>
      <c r="K20" s="141"/>
      <c r="L20" s="140"/>
      <c r="M20" s="171"/>
      <c r="N20" s="172"/>
      <c r="O20" s="171"/>
      <c r="P20" s="172"/>
      <c r="Q20" s="171"/>
      <c r="R20" s="172"/>
      <c r="S20" s="171"/>
      <c r="T20" s="138"/>
      <c r="U20" s="139"/>
      <c r="V20" s="127"/>
      <c r="W20" s="127"/>
    </row>
    <row r="21" spans="1:27" ht="12" customHeight="1">
      <c r="A21" s="127"/>
      <c r="B21" s="157"/>
      <c r="C21" s="145"/>
      <c r="D21" s="142"/>
      <c r="E21" s="143"/>
      <c r="F21" s="142"/>
      <c r="G21" s="143"/>
      <c r="H21" s="144"/>
      <c r="I21" s="143"/>
      <c r="J21" s="142"/>
      <c r="K21" s="145"/>
      <c r="L21" s="144"/>
      <c r="M21" s="173"/>
      <c r="N21" s="174"/>
      <c r="O21" s="173"/>
      <c r="P21" s="174"/>
      <c r="Q21" s="173"/>
      <c r="R21" s="174"/>
      <c r="S21" s="173"/>
      <c r="T21" s="142"/>
      <c r="U21" s="143"/>
      <c r="V21" s="127"/>
      <c r="W21" s="127"/>
    </row>
    <row r="22" spans="1:27" ht="12" customHeight="1">
      <c r="A22" s="127"/>
      <c r="B22" s="157"/>
      <c r="C22" s="145"/>
      <c r="D22" s="142"/>
      <c r="E22" s="143"/>
      <c r="F22" s="142"/>
      <c r="G22" s="143"/>
      <c r="H22" s="144"/>
      <c r="I22" s="143"/>
      <c r="J22" s="157"/>
      <c r="K22" s="158"/>
      <c r="L22" s="144"/>
      <c r="M22" s="173"/>
      <c r="N22" s="174"/>
      <c r="O22" s="173"/>
      <c r="P22" s="174"/>
      <c r="Q22" s="173"/>
      <c r="R22" s="174"/>
      <c r="S22" s="173"/>
      <c r="T22" s="142"/>
      <c r="U22" s="143"/>
      <c r="V22" s="127"/>
      <c r="W22" s="127"/>
    </row>
    <row r="23" spans="1:27" ht="12" customHeight="1">
      <c r="A23" s="127"/>
      <c r="B23" s="157"/>
      <c r="C23" s="145"/>
      <c r="D23" s="142"/>
      <c r="E23" s="143"/>
      <c r="F23" s="142"/>
      <c r="G23" s="145"/>
      <c r="H23" s="142"/>
      <c r="I23" s="143"/>
      <c r="J23" s="157"/>
      <c r="K23" s="158"/>
      <c r="L23" s="174"/>
      <c r="M23" s="173"/>
      <c r="N23" s="174"/>
      <c r="O23" s="173"/>
      <c r="P23" s="174"/>
      <c r="Q23" s="173"/>
      <c r="R23" s="174"/>
      <c r="S23" s="173"/>
      <c r="T23" s="142"/>
      <c r="U23" s="143"/>
      <c r="V23" s="127"/>
      <c r="W23" s="127"/>
    </row>
    <row r="24" spans="1:27" ht="12" customHeight="1" thickBot="1">
      <c r="A24" s="146">
        <v>2</v>
      </c>
      <c r="B24" s="163"/>
      <c r="C24" s="150"/>
      <c r="D24" s="149"/>
      <c r="E24" s="148"/>
      <c r="F24" s="147"/>
      <c r="G24" s="150"/>
      <c r="H24" s="147"/>
      <c r="I24" s="148"/>
      <c r="J24" s="163"/>
      <c r="K24" s="164"/>
      <c r="L24" s="176"/>
      <c r="M24" s="175"/>
      <c r="N24" s="176"/>
      <c r="O24" s="175"/>
      <c r="P24" s="176"/>
      <c r="Q24" s="175"/>
      <c r="R24" s="176"/>
      <c r="S24" s="175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40"/>
      <c r="G25" s="141"/>
      <c r="H25" s="138"/>
      <c r="I25" s="155"/>
      <c r="J25" s="156"/>
      <c r="K25" s="152"/>
      <c r="L25" s="138"/>
      <c r="M25" s="139"/>
      <c r="N25" s="138"/>
      <c r="O25" s="141"/>
      <c r="P25" s="140"/>
      <c r="Q25" s="139"/>
      <c r="R25" s="138"/>
      <c r="S25" s="155"/>
      <c r="T25" s="156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4"/>
      <c r="G26" s="145"/>
      <c r="H26" s="142"/>
      <c r="I26" s="143"/>
      <c r="J26" s="162"/>
      <c r="K26" s="161"/>
      <c r="L26" s="142"/>
      <c r="M26" s="143"/>
      <c r="N26" s="142"/>
      <c r="O26" s="145"/>
      <c r="P26" s="144"/>
      <c r="Q26" s="143"/>
      <c r="R26" s="142"/>
      <c r="S26" s="161"/>
      <c r="T26" s="16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4"/>
      <c r="G27" s="145"/>
      <c r="H27" s="142"/>
      <c r="I27" s="143"/>
      <c r="J27" s="162"/>
      <c r="K27" s="161"/>
      <c r="L27" s="142"/>
      <c r="M27" s="143"/>
      <c r="N27" s="142"/>
      <c r="O27" s="145"/>
      <c r="P27" s="144"/>
      <c r="Q27" s="143"/>
      <c r="R27" s="162"/>
      <c r="S27" s="161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4"/>
      <c r="G28" s="145"/>
      <c r="H28" s="142"/>
      <c r="I28" s="143"/>
      <c r="J28" s="162"/>
      <c r="K28" s="161"/>
      <c r="L28" s="142"/>
      <c r="M28" s="143"/>
      <c r="N28" s="142"/>
      <c r="O28" s="145"/>
      <c r="P28" s="144"/>
      <c r="Q28" s="143"/>
      <c r="R28" s="162"/>
      <c r="S28" s="161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9"/>
      <c r="G29" s="150"/>
      <c r="H29" s="147"/>
      <c r="I29" s="148"/>
      <c r="J29" s="168"/>
      <c r="K29" s="167"/>
      <c r="L29" s="147"/>
      <c r="M29" s="148"/>
      <c r="N29" s="147"/>
      <c r="O29" s="150"/>
      <c r="P29" s="149"/>
      <c r="Q29" s="148"/>
      <c r="R29" s="168"/>
      <c r="S29" s="167"/>
      <c r="T29" s="147"/>
      <c r="U29" s="148"/>
      <c r="V29" s="127"/>
      <c r="W29" s="127"/>
    </row>
    <row r="30" spans="1:27" ht="12" customHeight="1">
      <c r="A30" s="127"/>
      <c r="B30" s="138"/>
      <c r="C30" s="155"/>
      <c r="D30" s="156"/>
      <c r="E30" s="155"/>
      <c r="F30" s="140"/>
      <c r="G30" s="141"/>
      <c r="H30" s="138"/>
      <c r="I30" s="139"/>
      <c r="J30" s="138"/>
      <c r="K30" s="139"/>
      <c r="L30" s="138"/>
      <c r="M30" s="139"/>
      <c r="N30" s="186"/>
      <c r="O30" s="178"/>
      <c r="P30" s="186"/>
      <c r="Q30" s="178"/>
      <c r="R30" s="151"/>
      <c r="S30" s="152"/>
      <c r="T30" s="151"/>
      <c r="U30" s="139"/>
      <c r="V30" s="127"/>
      <c r="W30" s="127"/>
    </row>
    <row r="31" spans="1:27" ht="12" customHeight="1">
      <c r="A31" s="127"/>
      <c r="B31" s="142"/>
      <c r="C31" s="161"/>
      <c r="D31" s="162"/>
      <c r="E31" s="161"/>
      <c r="F31" s="144"/>
      <c r="G31" s="145"/>
      <c r="H31" s="142"/>
      <c r="I31" s="143"/>
      <c r="J31" s="142"/>
      <c r="K31" s="143"/>
      <c r="L31" s="142"/>
      <c r="M31" s="143"/>
      <c r="N31" s="169"/>
      <c r="O31" s="187"/>
      <c r="P31" s="169"/>
      <c r="Q31" s="187"/>
      <c r="R31" s="157"/>
      <c r="S31" s="158"/>
      <c r="T31" s="157"/>
      <c r="U31" s="143"/>
      <c r="V31" s="127"/>
      <c r="W31" s="127"/>
    </row>
    <row r="32" spans="1:27" ht="12" customHeight="1">
      <c r="A32" s="127"/>
      <c r="B32" s="142"/>
      <c r="C32" s="161"/>
      <c r="D32" s="162"/>
      <c r="E32" s="161"/>
      <c r="F32" s="162"/>
      <c r="G32" s="145"/>
      <c r="H32" s="144"/>
      <c r="I32" s="143"/>
      <c r="J32" s="142"/>
      <c r="K32" s="143"/>
      <c r="L32" s="142"/>
      <c r="M32" s="143"/>
      <c r="N32" s="169"/>
      <c r="O32" s="187"/>
      <c r="P32" s="169"/>
      <c r="Q32" s="187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61"/>
      <c r="D33" s="162"/>
      <c r="E33" s="161"/>
      <c r="F33" s="162"/>
      <c r="G33" s="145"/>
      <c r="H33" s="144"/>
      <c r="I33" s="143"/>
      <c r="J33" s="142"/>
      <c r="K33" s="143"/>
      <c r="L33" s="142"/>
      <c r="M33" s="143"/>
      <c r="N33" s="142"/>
      <c r="O33" s="187"/>
      <c r="P33" s="169"/>
      <c r="Q33" s="187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67"/>
      <c r="D34" s="168"/>
      <c r="E34" s="167"/>
      <c r="F34" s="168"/>
      <c r="G34" s="150"/>
      <c r="H34" s="149"/>
      <c r="I34" s="148"/>
      <c r="J34" s="147"/>
      <c r="K34" s="148"/>
      <c r="L34" s="147"/>
      <c r="M34" s="148"/>
      <c r="N34" s="147"/>
      <c r="O34" s="177"/>
      <c r="P34" s="170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52"/>
      <c r="F35" s="138"/>
      <c r="G35" s="139"/>
      <c r="H35" s="138"/>
      <c r="I35" s="139"/>
      <c r="J35" s="138"/>
      <c r="K35" s="139"/>
      <c r="L35" s="138"/>
      <c r="M35" s="139"/>
      <c r="N35" s="138"/>
      <c r="O35" s="139"/>
      <c r="P35" s="138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3"/>
      <c r="F36" s="142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58"/>
      <c r="R36" s="157"/>
      <c r="S36" s="158"/>
      <c r="T36" s="142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3"/>
      <c r="F37" s="142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58"/>
      <c r="R37" s="157"/>
      <c r="S37" s="158"/>
      <c r="T37" s="142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3"/>
      <c r="F38" s="142"/>
      <c r="G38" s="143"/>
      <c r="H38" s="142"/>
      <c r="I38" s="143"/>
      <c r="J38" s="142"/>
      <c r="K38" s="143"/>
      <c r="L38" s="142"/>
      <c r="M38" s="143"/>
      <c r="N38" s="142"/>
      <c r="O38" s="143"/>
      <c r="P38" s="157"/>
      <c r="Q38" s="158"/>
      <c r="R38" s="157"/>
      <c r="S38" s="158"/>
      <c r="T38" s="142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63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63"/>
      <c r="Q39" s="164"/>
      <c r="R39" s="163"/>
      <c r="S39" s="164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71"/>
      <c r="H40" s="172"/>
      <c r="I40" s="171"/>
      <c r="J40" s="138"/>
      <c r="K40" s="139"/>
      <c r="L40" s="138"/>
      <c r="M40" s="139"/>
      <c r="N40" s="138"/>
      <c r="O40" s="139"/>
      <c r="P40" s="138"/>
      <c r="Q40" s="139"/>
      <c r="R40" s="140"/>
      <c r="S40" s="171"/>
      <c r="T40" s="172"/>
      <c r="U40" s="171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73"/>
      <c r="H41" s="174"/>
      <c r="I41" s="173"/>
      <c r="J41" s="142"/>
      <c r="K41" s="143"/>
      <c r="L41" s="142"/>
      <c r="M41" s="143"/>
      <c r="N41" s="142"/>
      <c r="O41" s="143"/>
      <c r="P41" s="142"/>
      <c r="Q41" s="143"/>
      <c r="R41" s="144"/>
      <c r="S41" s="173"/>
      <c r="T41" s="174"/>
      <c r="U41" s="17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73"/>
      <c r="H42" s="174"/>
      <c r="I42" s="173"/>
      <c r="J42" s="142"/>
      <c r="K42" s="143"/>
      <c r="L42" s="142"/>
      <c r="M42" s="143"/>
      <c r="N42" s="142"/>
      <c r="O42" s="143"/>
      <c r="P42" s="142"/>
      <c r="Q42" s="145"/>
      <c r="R42" s="174"/>
      <c r="S42" s="173"/>
      <c r="T42" s="174"/>
      <c r="U42" s="17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74"/>
      <c r="I43" s="173"/>
      <c r="J43" s="142"/>
      <c r="K43" s="143"/>
      <c r="L43" s="142"/>
      <c r="M43" s="143"/>
      <c r="N43" s="142"/>
      <c r="O43" s="143"/>
      <c r="P43" s="142"/>
      <c r="Q43" s="145"/>
      <c r="R43" s="174"/>
      <c r="S43" s="173"/>
      <c r="T43" s="174"/>
      <c r="U43" s="17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76"/>
      <c r="I44" s="175"/>
      <c r="J44" s="147"/>
      <c r="K44" s="148"/>
      <c r="L44" s="147"/>
      <c r="M44" s="148"/>
      <c r="N44" s="147"/>
      <c r="O44" s="148"/>
      <c r="P44" s="147"/>
      <c r="Q44" s="150"/>
      <c r="R44" s="176"/>
      <c r="S44" s="175"/>
      <c r="T44" s="176"/>
      <c r="U44" s="175"/>
      <c r="V44" s="127"/>
      <c r="W44" s="127"/>
    </row>
    <row r="45" spans="1:23" ht="12" customHeight="1">
      <c r="A45" s="127"/>
      <c r="B45" s="172"/>
      <c r="C45" s="139"/>
      <c r="D45" s="138"/>
      <c r="E45" s="178"/>
      <c r="F45" s="186"/>
      <c r="G45" s="178"/>
      <c r="H45" s="186"/>
      <c r="I45" s="178"/>
      <c r="J45" s="186"/>
      <c r="K45" s="178"/>
      <c r="L45" s="186"/>
      <c r="M45" s="178"/>
      <c r="N45" s="151"/>
      <c r="O45" s="152"/>
      <c r="P45" s="140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74"/>
      <c r="C46" s="143"/>
      <c r="D46" s="142"/>
      <c r="E46" s="187"/>
      <c r="F46" s="169"/>
      <c r="G46" s="187"/>
      <c r="H46" s="169"/>
      <c r="I46" s="187"/>
      <c r="J46" s="169"/>
      <c r="K46" s="187"/>
      <c r="L46" s="169"/>
      <c r="M46" s="187"/>
      <c r="N46" s="157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74"/>
      <c r="C47" s="143"/>
      <c r="D47" s="142"/>
      <c r="E47" s="187"/>
      <c r="F47" s="169"/>
      <c r="G47" s="187"/>
      <c r="H47" s="169"/>
      <c r="I47" s="187"/>
      <c r="J47" s="169"/>
      <c r="K47" s="187"/>
      <c r="L47" s="169"/>
      <c r="M47" s="187"/>
      <c r="N47" s="157"/>
      <c r="O47" s="145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74"/>
      <c r="C48" s="143"/>
      <c r="D48" s="142"/>
      <c r="E48" s="187"/>
      <c r="F48" s="169"/>
      <c r="G48" s="187"/>
      <c r="H48" s="169"/>
      <c r="I48" s="187"/>
      <c r="J48" s="169"/>
      <c r="K48" s="187"/>
      <c r="L48" s="169"/>
      <c r="M48" s="187"/>
      <c r="N48" s="157"/>
      <c r="O48" s="145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48"/>
      <c r="D49" s="170"/>
      <c r="E49" s="177"/>
      <c r="F49" s="170"/>
      <c r="G49" s="177"/>
      <c r="H49" s="170"/>
      <c r="I49" s="177"/>
      <c r="J49" s="170"/>
      <c r="K49" s="177"/>
      <c r="L49" s="170"/>
      <c r="M49" s="164"/>
      <c r="N49" s="163"/>
      <c r="O49" s="150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41"/>
      <c r="J50" s="138"/>
      <c r="K50" s="139"/>
      <c r="L50" s="138"/>
      <c r="M50" s="139"/>
      <c r="N50" s="138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5"/>
      <c r="J51" s="142"/>
      <c r="K51" s="143"/>
      <c r="L51" s="142"/>
      <c r="M51" s="143"/>
      <c r="N51" s="142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5"/>
      <c r="J52" s="142"/>
      <c r="K52" s="143"/>
      <c r="L52" s="142"/>
      <c r="M52" s="143"/>
      <c r="N52" s="142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5"/>
      <c r="J53" s="142"/>
      <c r="K53" s="143"/>
      <c r="L53" s="142"/>
      <c r="M53" s="143"/>
      <c r="N53" s="142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50"/>
      <c r="J54" s="147"/>
      <c r="K54" s="148"/>
      <c r="L54" s="147"/>
      <c r="M54" s="148"/>
      <c r="N54" s="147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56"/>
      <c r="K55" s="155"/>
      <c r="L55" s="138"/>
      <c r="M55" s="139"/>
      <c r="N55" s="138"/>
      <c r="O55" s="139"/>
      <c r="P55" s="138"/>
      <c r="Q55" s="155"/>
      <c r="R55" s="156"/>
      <c r="S55" s="155"/>
      <c r="T55" s="156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62"/>
      <c r="K56" s="161"/>
      <c r="L56" s="142"/>
      <c r="M56" s="143"/>
      <c r="N56" s="142"/>
      <c r="O56" s="143"/>
      <c r="P56" s="142"/>
      <c r="Q56" s="161"/>
      <c r="R56" s="162"/>
      <c r="S56" s="161"/>
      <c r="T56" s="142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62"/>
      <c r="K57" s="161"/>
      <c r="L57" s="142"/>
      <c r="M57" s="143"/>
      <c r="N57" s="142"/>
      <c r="O57" s="143"/>
      <c r="P57" s="162"/>
      <c r="Q57" s="161"/>
      <c r="R57" s="162"/>
      <c r="S57" s="161"/>
      <c r="T57" s="142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61"/>
      <c r="L58" s="162"/>
      <c r="M58" s="143"/>
      <c r="N58" s="142"/>
      <c r="O58" s="143"/>
      <c r="P58" s="162"/>
      <c r="Q58" s="161"/>
      <c r="R58" s="162"/>
      <c r="S58" s="161"/>
      <c r="T58" s="142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67"/>
      <c r="L59" s="168"/>
      <c r="M59" s="148"/>
      <c r="N59" s="147"/>
      <c r="O59" s="148"/>
      <c r="P59" s="168"/>
      <c r="Q59" s="167"/>
      <c r="R59" s="168"/>
      <c r="S59" s="167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38"/>
      <c r="I60" s="139"/>
      <c r="J60" s="138"/>
      <c r="K60" s="139"/>
      <c r="L60" s="138"/>
      <c r="M60" s="139"/>
      <c r="N60" s="138"/>
      <c r="O60" s="139"/>
      <c r="P60" s="138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2"/>
      <c r="I61" s="143"/>
      <c r="J61" s="142"/>
      <c r="K61" s="143"/>
      <c r="L61" s="142"/>
      <c r="M61" s="143"/>
      <c r="N61" s="142"/>
      <c r="O61" s="143"/>
      <c r="P61" s="142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3"/>
      <c r="H62" s="142"/>
      <c r="I62" s="143"/>
      <c r="J62" s="142"/>
      <c r="K62" s="143"/>
      <c r="L62" s="142"/>
      <c r="M62" s="143"/>
      <c r="N62" s="142"/>
      <c r="O62" s="143"/>
      <c r="P62" s="142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3"/>
      <c r="H63" s="142"/>
      <c r="I63" s="143"/>
      <c r="J63" s="142"/>
      <c r="K63" s="143"/>
      <c r="L63" s="142"/>
      <c r="M63" s="143"/>
      <c r="N63" s="142"/>
      <c r="O63" s="143"/>
      <c r="P63" s="142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48"/>
      <c r="H64" s="147"/>
      <c r="I64" s="148"/>
      <c r="J64" s="147"/>
      <c r="K64" s="148"/>
      <c r="L64" s="147"/>
      <c r="M64" s="148"/>
      <c r="N64" s="147"/>
      <c r="O64" s="148"/>
      <c r="P64" s="147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HYPERLINK("#'2월'!A1","← 2월 월간 가계부로 돌아가기")</f>
        <v>← 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975000</v>
      </c>
      <c r="J149" s="366"/>
      <c r="K149" s="366"/>
      <c r="L149" s="366"/>
      <c r="M149" s="366"/>
      <c r="N149" s="367"/>
      <c r="O149" s="423" t="b">
        <f>IF('2월'!AA1,I149=('2월'!M28),"미입력")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975000</v>
      </c>
      <c r="J150" s="366"/>
      <c r="K150" s="366"/>
      <c r="L150" s="366"/>
      <c r="M150" s="366"/>
      <c r="N150" s="367"/>
      <c r="O150" s="423" t="b">
        <f>IF('2월'!AA1,I150=('2월'!I38),"미입력")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451</v>
      </c>
      <c r="L5" s="38" t="s">
        <v>598</v>
      </c>
      <c r="M5" s="34" t="s">
        <v>453</v>
      </c>
      <c r="N5" s="34" t="s">
        <v>454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456</v>
      </c>
      <c r="L6" s="31" t="s">
        <v>598</v>
      </c>
      <c r="M6" s="27" t="s">
        <v>453</v>
      </c>
      <c r="N6" s="27" t="s">
        <v>457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473</v>
      </c>
      <c r="L11" s="38" t="s">
        <v>599</v>
      </c>
      <c r="M11" s="34" t="s">
        <v>475</v>
      </c>
      <c r="N11" s="34" t="s">
        <v>476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600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601</v>
      </c>
      <c r="T22" s="27" t="s">
        <v>506</v>
      </c>
      <c r="U22" s="27"/>
    </row>
    <row r="23" spans="1:22" ht="22" customHeight="1">
      <c r="A23" s="39" t="s">
        <v>507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505</v>
      </c>
      <c r="T23" s="34" t="s">
        <v>494</v>
      </c>
      <c r="U23" s="34"/>
    </row>
    <row r="24" spans="1:22" ht="22" customHeight="1">
      <c r="A24" s="31" t="s">
        <v>446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HYPERLINK("#'3월계산기'!A1","계산기 대조 · 3월계산기 열기")</f>
        <v>계산기 대조 · 3월계산기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926000</v>
      </c>
      <c r="N28" s="367"/>
      <c r="O28" s="429" t="s">
        <v>234</v>
      </c>
      <c r="P28" s="367"/>
      <c r="Q28" s="431">
        <f>'3월계산기'!W12</f>
        <v>926000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425" t="s">
        <v>512</v>
      </c>
      <c r="L29" s="367"/>
      <c r="M29" s="431">
        <f>I38</f>
        <v>926000</v>
      </c>
      <c r="N29" s="367"/>
      <c r="O29" s="429" t="s">
        <v>239</v>
      </c>
      <c r="P29" s="367"/>
      <c r="Q29" s="431">
        <f>'3월계산기'!W13</f>
        <v>926000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425" t="s">
        <v>513</v>
      </c>
      <c r="L30" s="367"/>
      <c r="M30" s="431">
        <f>SUM(I6,I11,I16,I21,I26,I31)</f>
        <v>31520</v>
      </c>
      <c r="N30" s="367"/>
      <c r="O30" s="429" t="s">
        <v>514</v>
      </c>
      <c r="P30" s="367"/>
      <c r="Q30" s="431">
        <f>SUM(I4,I9,I14,I19,I24,I29)-I33</f>
        <v>31520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425" t="s">
        <v>240</v>
      </c>
      <c r="L31" s="367"/>
      <c r="M31" s="431">
        <f>'3월계산기'!W14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I33-'_예비비계산'!AG4</f>
        <v>894480</v>
      </c>
      <c r="I38" s="27">
        <f>SUM(I4,I9,I14,I19,I24,I29)-'_예비비계산'!AH4</f>
        <v>926000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41600</v>
      </c>
      <c r="I43" s="27">
        <f>H43</f>
        <v>41600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46107</v>
      </c>
      <c r="B52" s="35" t="s">
        <v>554</v>
      </c>
      <c r="C52" s="35" t="s">
        <v>108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RAW!A528</f>
        <v>46087.967939814815</v>
      </c>
      <c r="B53" s="35" t="s">
        <v>603</v>
      </c>
      <c r="C53" s="35" t="s">
        <v>604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605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47900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'_예비비계산'!AB4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'_예비비계산'!AC4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'_예비비계산'!AD4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'_예비비계산'!AE4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'_예비비계산'!AF4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606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617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617000</v>
      </c>
      <c r="AA3">
        <v>617</v>
      </c>
    </row>
    <row r="4" spans="1:27" ht="18" customHeight="1">
      <c r="A4" s="122" t="s">
        <v>576</v>
      </c>
      <c r="B4" s="130"/>
      <c r="C4" s="124">
        <f>IFERROR(colorfunction(B4,$B$15:$U$144,FALSE),$AA$4)</f>
        <v>50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50000</v>
      </c>
      <c r="AA4">
        <v>50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101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101000</v>
      </c>
      <c r="AA6">
        <v>101</v>
      </c>
    </row>
    <row r="7" spans="1:27" ht="18" customHeight="1">
      <c r="A7" s="122" t="s">
        <v>579</v>
      </c>
      <c r="B7" s="134"/>
      <c r="C7" s="124">
        <f>IFERROR(colorfunction(B7,$B$15:$U$144,FALSE),$AA$7)</f>
        <v>27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27000</v>
      </c>
      <c r="AA7">
        <v>27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111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111000</v>
      </c>
      <c r="AA9">
        <v>111</v>
      </c>
    </row>
    <row r="10" spans="1:27" ht="18" customHeight="1">
      <c r="A10" s="122" t="s">
        <v>582</v>
      </c>
      <c r="B10" s="137"/>
      <c r="C10" s="124">
        <f>IFERROR(colorfunction(B10,$B$15:$U$144,FALSE),$AA$10)</f>
        <v>20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20000</v>
      </c>
      <c r="AA10">
        <v>20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926000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926000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0+'_예비비계산'!AH4</f>
        <v>0</v>
      </c>
    </row>
    <row r="15" spans="1:27" ht="12" customHeight="1">
      <c r="A15" s="127"/>
      <c r="B15" s="138"/>
      <c r="C15" s="178"/>
      <c r="D15" s="186"/>
      <c r="E15" s="152"/>
      <c r="F15" s="151"/>
      <c r="G15" s="139"/>
      <c r="H15" s="151"/>
      <c r="I15" s="152"/>
      <c r="J15" s="138"/>
      <c r="K15" s="139"/>
      <c r="L15" s="151"/>
      <c r="M15" s="139"/>
      <c r="N15" s="138"/>
      <c r="O15" s="139"/>
      <c r="P15" s="138"/>
      <c r="Q15" s="139"/>
      <c r="R15" s="154"/>
      <c r="S15" s="153"/>
      <c r="T15" s="154"/>
      <c r="U15" s="1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87"/>
      <c r="D16" s="169"/>
      <c r="E16" s="158"/>
      <c r="F16" s="142"/>
      <c r="G16" s="158"/>
      <c r="H16" s="157"/>
      <c r="I16" s="143"/>
      <c r="J16" s="142"/>
      <c r="K16" s="143"/>
      <c r="L16" s="157"/>
      <c r="M16" s="143"/>
      <c r="N16" s="142"/>
      <c r="O16" s="143"/>
      <c r="P16" s="142"/>
      <c r="Q16" s="143"/>
      <c r="R16" s="160"/>
      <c r="S16" s="159"/>
      <c r="T16" s="160"/>
      <c r="U16" s="159"/>
      <c r="V16" s="304" t="s">
        <v>232</v>
      </c>
      <c r="W16" s="305">
        <f>SUM(W3:W10)</f>
        <v>926000</v>
      </c>
    </row>
    <row r="17" spans="1:27" ht="12" customHeight="1">
      <c r="A17" s="127"/>
      <c r="B17" s="142"/>
      <c r="C17" s="187"/>
      <c r="D17" s="157"/>
      <c r="E17" s="158"/>
      <c r="F17" s="142"/>
      <c r="G17" s="158"/>
      <c r="H17" s="157"/>
      <c r="I17" s="143"/>
      <c r="J17" s="142"/>
      <c r="K17" s="143"/>
      <c r="L17" s="157"/>
      <c r="M17" s="143"/>
      <c r="N17" s="142"/>
      <c r="O17" s="143"/>
      <c r="P17" s="142"/>
      <c r="Q17" s="159"/>
      <c r="R17" s="160"/>
      <c r="S17" s="159"/>
      <c r="T17" s="160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87"/>
      <c r="D18" s="157"/>
      <c r="E18" s="158"/>
      <c r="F18" s="142"/>
      <c r="G18" s="158"/>
      <c r="H18" s="157"/>
      <c r="I18" s="143"/>
      <c r="J18" s="142"/>
      <c r="K18" s="143"/>
      <c r="L18" s="157"/>
      <c r="M18" s="143"/>
      <c r="N18" s="142"/>
      <c r="O18" s="143"/>
      <c r="P18" s="142"/>
      <c r="Q18" s="159"/>
      <c r="R18" s="160"/>
      <c r="S18" s="159"/>
      <c r="T18" s="160"/>
      <c r="U18" s="143"/>
      <c r="V18" s="127"/>
      <c r="W18" s="127"/>
    </row>
    <row r="19" spans="1:27" ht="12" customHeight="1" thickBot="1">
      <c r="A19" s="146">
        <v>1</v>
      </c>
      <c r="B19" s="147"/>
      <c r="C19" s="177"/>
      <c r="D19" s="163"/>
      <c r="E19" s="164"/>
      <c r="F19" s="147"/>
      <c r="G19" s="164"/>
      <c r="H19" s="163"/>
      <c r="I19" s="148"/>
      <c r="J19" s="147"/>
      <c r="K19" s="164"/>
      <c r="L19" s="147"/>
      <c r="M19" s="148"/>
      <c r="N19" s="147"/>
      <c r="O19" s="148"/>
      <c r="P19" s="147"/>
      <c r="Q19" s="165"/>
      <c r="R19" s="166"/>
      <c r="S19" s="165"/>
      <c r="T19" s="166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38"/>
      <c r="G20" s="139"/>
      <c r="H20" s="138"/>
      <c r="I20" s="139"/>
      <c r="J20" s="138"/>
      <c r="K20" s="139"/>
      <c r="L20" s="138"/>
      <c r="M20" s="139"/>
      <c r="N20" s="138"/>
      <c r="O20" s="139"/>
      <c r="P20" s="138"/>
      <c r="Q20" s="139"/>
      <c r="R20" s="138"/>
      <c r="S20" s="139"/>
      <c r="T20" s="151"/>
      <c r="U20" s="152"/>
      <c r="V20" s="127"/>
      <c r="W20" s="127"/>
    </row>
    <row r="21" spans="1:27" ht="12" customHeight="1">
      <c r="A21" s="127"/>
      <c r="B21" s="142"/>
      <c r="C21" s="143"/>
      <c r="D21" s="142"/>
      <c r="E21" s="143"/>
      <c r="F21" s="142"/>
      <c r="G21" s="143"/>
      <c r="H21" s="142"/>
      <c r="I21" s="143"/>
      <c r="J21" s="142"/>
      <c r="K21" s="143"/>
      <c r="L21" s="142"/>
      <c r="M21" s="143"/>
      <c r="N21" s="142"/>
      <c r="O21" s="143"/>
      <c r="P21" s="142"/>
      <c r="Q21" s="143"/>
      <c r="R21" s="142"/>
      <c r="S21" s="143"/>
      <c r="T21" s="157"/>
      <c r="U21" s="158"/>
      <c r="V21" s="127"/>
      <c r="W21" s="127"/>
    </row>
    <row r="22" spans="1:27" ht="12" customHeight="1">
      <c r="A22" s="127"/>
      <c r="B22" s="142"/>
      <c r="C22" s="143"/>
      <c r="D22" s="142"/>
      <c r="E22" s="143"/>
      <c r="F22" s="142"/>
      <c r="G22" s="143"/>
      <c r="H22" s="142"/>
      <c r="I22" s="143"/>
      <c r="J22" s="142"/>
      <c r="K22" s="143"/>
      <c r="L22" s="142"/>
      <c r="M22" s="143"/>
      <c r="N22" s="157"/>
      <c r="O22" s="158"/>
      <c r="P22" s="142"/>
      <c r="Q22" s="143"/>
      <c r="R22" s="142"/>
      <c r="S22" s="143"/>
      <c r="T22" s="157"/>
      <c r="U22" s="143"/>
      <c r="V22" s="127"/>
      <c r="W22" s="127"/>
    </row>
    <row r="23" spans="1:27" ht="12" customHeight="1">
      <c r="A23" s="127"/>
      <c r="B23" s="142"/>
      <c r="C23" s="143"/>
      <c r="D23" s="142"/>
      <c r="E23" s="143"/>
      <c r="F23" s="142"/>
      <c r="G23" s="143"/>
      <c r="H23" s="142"/>
      <c r="I23" s="143"/>
      <c r="J23" s="142"/>
      <c r="K23" s="143"/>
      <c r="L23" s="142"/>
      <c r="M23" s="143"/>
      <c r="N23" s="157"/>
      <c r="O23" s="158"/>
      <c r="P23" s="142"/>
      <c r="Q23" s="143"/>
      <c r="R23" s="142"/>
      <c r="S23" s="143"/>
      <c r="T23" s="157"/>
      <c r="U23" s="143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8"/>
      <c r="N24" s="163"/>
      <c r="O24" s="164"/>
      <c r="P24" s="147"/>
      <c r="Q24" s="148"/>
      <c r="R24" s="147"/>
      <c r="S24" s="164"/>
      <c r="T24" s="163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52"/>
      <c r="F25" s="138"/>
      <c r="G25" s="139"/>
      <c r="H25" s="138"/>
      <c r="I25" s="139"/>
      <c r="J25" s="138"/>
      <c r="K25" s="139"/>
      <c r="L25" s="138"/>
      <c r="M25" s="139"/>
      <c r="N25" s="138"/>
      <c r="O25" s="152"/>
      <c r="P25" s="138"/>
      <c r="Q25" s="139"/>
      <c r="R25" s="186"/>
      <c r="S25" s="139"/>
      <c r="T25" s="138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58"/>
      <c r="F26" s="142"/>
      <c r="G26" s="143"/>
      <c r="H26" s="142"/>
      <c r="I26" s="143"/>
      <c r="J26" s="142"/>
      <c r="K26" s="143"/>
      <c r="L26" s="142"/>
      <c r="M26" s="143"/>
      <c r="N26" s="142"/>
      <c r="O26" s="158"/>
      <c r="P26" s="142"/>
      <c r="Q26" s="143"/>
      <c r="R26" s="169"/>
      <c r="S26" s="143"/>
      <c r="T26" s="14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58"/>
      <c r="F27" s="142"/>
      <c r="G27" s="143"/>
      <c r="H27" s="142"/>
      <c r="I27" s="143"/>
      <c r="J27" s="142"/>
      <c r="K27" s="143"/>
      <c r="L27" s="142"/>
      <c r="M27" s="143"/>
      <c r="N27" s="142"/>
      <c r="O27" s="158"/>
      <c r="P27" s="142"/>
      <c r="Q27" s="143"/>
      <c r="R27" s="169"/>
      <c r="S27" s="143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58"/>
      <c r="F28" s="142"/>
      <c r="G28" s="143"/>
      <c r="H28" s="142"/>
      <c r="I28" s="143"/>
      <c r="J28" s="142"/>
      <c r="K28" s="143"/>
      <c r="L28" s="142"/>
      <c r="M28" s="143"/>
      <c r="N28" s="142"/>
      <c r="O28" s="158"/>
      <c r="P28" s="142"/>
      <c r="Q28" s="143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64"/>
      <c r="F29" s="147"/>
      <c r="G29" s="148"/>
      <c r="H29" s="147"/>
      <c r="I29" s="148"/>
      <c r="J29" s="147"/>
      <c r="K29" s="148"/>
      <c r="L29" s="147"/>
      <c r="M29" s="148"/>
      <c r="N29" s="147"/>
      <c r="O29" s="164"/>
      <c r="P29" s="147"/>
      <c r="Q29" s="148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38"/>
      <c r="E30" s="139"/>
      <c r="F30" s="138"/>
      <c r="G30" s="139"/>
      <c r="H30" s="138"/>
      <c r="I30" s="152"/>
      <c r="J30" s="151"/>
      <c r="K30" s="152"/>
      <c r="L30" s="151"/>
      <c r="M30" s="152"/>
      <c r="N30" s="151"/>
      <c r="O30" s="139"/>
      <c r="P30" s="138"/>
      <c r="Q30" s="139"/>
      <c r="R30" s="138"/>
      <c r="S30" s="139"/>
      <c r="T30" s="138"/>
      <c r="U30" s="139"/>
      <c r="V30" s="127"/>
      <c r="W30" s="127"/>
    </row>
    <row r="31" spans="1:27" ht="12" customHeight="1">
      <c r="A31" s="127"/>
      <c r="B31" s="142"/>
      <c r="C31" s="143"/>
      <c r="D31" s="142"/>
      <c r="E31" s="143"/>
      <c r="F31" s="142"/>
      <c r="G31" s="143"/>
      <c r="H31" s="142"/>
      <c r="I31" s="158"/>
      <c r="J31" s="157"/>
      <c r="K31" s="158"/>
      <c r="L31" s="157"/>
      <c r="M31" s="158"/>
      <c r="N31" s="157"/>
      <c r="O31" s="143"/>
      <c r="P31" s="142"/>
      <c r="Q31" s="143"/>
      <c r="R31" s="142"/>
      <c r="S31" s="143"/>
      <c r="T31" s="142"/>
      <c r="U31" s="143"/>
      <c r="V31" s="127"/>
      <c r="W31" s="127"/>
    </row>
    <row r="32" spans="1:27" ht="12" customHeight="1">
      <c r="A32" s="127"/>
      <c r="B32" s="142"/>
      <c r="C32" s="143"/>
      <c r="D32" s="142"/>
      <c r="E32" s="143"/>
      <c r="F32" s="142"/>
      <c r="G32" s="143"/>
      <c r="H32" s="142"/>
      <c r="I32" s="158"/>
      <c r="J32" s="157"/>
      <c r="K32" s="158"/>
      <c r="L32" s="157"/>
      <c r="M32" s="158"/>
      <c r="N32" s="157"/>
      <c r="O32" s="143"/>
      <c r="P32" s="142"/>
      <c r="Q32" s="143"/>
      <c r="R32" s="142"/>
      <c r="S32" s="143"/>
      <c r="T32" s="142"/>
      <c r="U32" s="143"/>
      <c r="V32" s="127"/>
      <c r="W32" s="127"/>
    </row>
    <row r="33" spans="1:23" ht="12" customHeight="1">
      <c r="A33" s="127"/>
      <c r="B33" s="142"/>
      <c r="C33" s="143"/>
      <c r="D33" s="142"/>
      <c r="E33" s="158"/>
      <c r="F33" s="142"/>
      <c r="G33" s="143"/>
      <c r="H33" s="142"/>
      <c r="I33" s="158"/>
      <c r="J33" s="157"/>
      <c r="K33" s="158"/>
      <c r="L33" s="157"/>
      <c r="M33" s="158"/>
      <c r="N33" s="157"/>
      <c r="O33" s="143"/>
      <c r="P33" s="142"/>
      <c r="Q33" s="143"/>
      <c r="R33" s="142"/>
      <c r="S33" s="143"/>
      <c r="T33" s="142"/>
      <c r="U33" s="143"/>
      <c r="V33" s="127"/>
      <c r="W33" s="127"/>
    </row>
    <row r="34" spans="1:23" ht="12" customHeight="1" thickBot="1">
      <c r="A34" s="146">
        <v>4</v>
      </c>
      <c r="B34" s="147"/>
      <c r="C34" s="148"/>
      <c r="D34" s="147"/>
      <c r="E34" s="164"/>
      <c r="F34" s="147"/>
      <c r="G34" s="148"/>
      <c r="H34" s="163"/>
      <c r="I34" s="164"/>
      <c r="J34" s="163"/>
      <c r="K34" s="164"/>
      <c r="L34" s="163"/>
      <c r="M34" s="164"/>
      <c r="N34" s="163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39"/>
      <c r="H35" s="138"/>
      <c r="I35" s="139"/>
      <c r="J35" s="138"/>
      <c r="K35" s="139"/>
      <c r="L35" s="138"/>
      <c r="M35" s="139"/>
      <c r="N35" s="151"/>
      <c r="O35" s="139"/>
      <c r="P35" s="138"/>
      <c r="Q35" s="139"/>
      <c r="R35" s="138"/>
      <c r="S35" s="155"/>
      <c r="T35" s="156"/>
      <c r="U35" s="155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3"/>
      <c r="H36" s="142"/>
      <c r="I36" s="143"/>
      <c r="J36" s="142"/>
      <c r="K36" s="143"/>
      <c r="L36" s="142"/>
      <c r="M36" s="143"/>
      <c r="N36" s="157"/>
      <c r="O36" s="143"/>
      <c r="P36" s="142"/>
      <c r="Q36" s="143"/>
      <c r="R36" s="142"/>
      <c r="S36" s="161"/>
      <c r="T36" s="162"/>
      <c r="U36" s="161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2"/>
      <c r="G37" s="143"/>
      <c r="H37" s="142"/>
      <c r="I37" s="143"/>
      <c r="J37" s="142"/>
      <c r="K37" s="143"/>
      <c r="L37" s="142"/>
      <c r="M37" s="143"/>
      <c r="N37" s="157"/>
      <c r="O37" s="143"/>
      <c r="P37" s="142"/>
      <c r="Q37" s="143"/>
      <c r="R37" s="144"/>
      <c r="S37" s="161"/>
      <c r="T37" s="162"/>
      <c r="U37" s="161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3"/>
      <c r="H38" s="142"/>
      <c r="I38" s="143"/>
      <c r="J38" s="142"/>
      <c r="K38" s="143"/>
      <c r="L38" s="142"/>
      <c r="M38" s="143"/>
      <c r="N38" s="157"/>
      <c r="O38" s="143"/>
      <c r="P38" s="142"/>
      <c r="Q38" s="143"/>
      <c r="R38" s="144"/>
      <c r="S38" s="145"/>
      <c r="T38" s="162"/>
      <c r="U38" s="16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9"/>
      <c r="S39" s="150"/>
      <c r="T39" s="168"/>
      <c r="U39" s="167"/>
      <c r="V39" s="127"/>
      <c r="W39" s="127"/>
    </row>
    <row r="40" spans="1:23" ht="12" customHeight="1">
      <c r="A40" s="127"/>
      <c r="B40" s="156"/>
      <c r="C40" s="155"/>
      <c r="D40" s="156"/>
      <c r="E40" s="139"/>
      <c r="F40" s="138"/>
      <c r="G40" s="139"/>
      <c r="H40" s="140"/>
      <c r="I40" s="139"/>
      <c r="J40" s="138"/>
      <c r="K40" s="139"/>
      <c r="L40" s="138"/>
      <c r="M40" s="152"/>
      <c r="N40" s="151"/>
      <c r="O40" s="139"/>
      <c r="P40" s="138"/>
      <c r="Q40" s="178"/>
      <c r="R40" s="186"/>
      <c r="S40" s="139"/>
      <c r="T40" s="138"/>
      <c r="U40" s="141"/>
      <c r="V40" s="127"/>
      <c r="W40" s="127"/>
    </row>
    <row r="41" spans="1:23" ht="12" customHeight="1">
      <c r="A41" s="127"/>
      <c r="B41" s="162"/>
      <c r="C41" s="161"/>
      <c r="D41" s="162"/>
      <c r="E41" s="143"/>
      <c r="F41" s="142"/>
      <c r="G41" s="145"/>
      <c r="H41" s="142"/>
      <c r="I41" s="143"/>
      <c r="J41" s="142"/>
      <c r="K41" s="143"/>
      <c r="L41" s="142"/>
      <c r="M41" s="158"/>
      <c r="N41" s="157"/>
      <c r="O41" s="143"/>
      <c r="P41" s="169"/>
      <c r="Q41" s="187"/>
      <c r="R41" s="169"/>
      <c r="S41" s="143"/>
      <c r="T41" s="142"/>
      <c r="U41" s="145"/>
      <c r="V41" s="127"/>
      <c r="W41" s="127"/>
    </row>
    <row r="42" spans="1:23" ht="12" customHeight="1">
      <c r="A42" s="127"/>
      <c r="B42" s="162"/>
      <c r="C42" s="161"/>
      <c r="D42" s="162"/>
      <c r="E42" s="143"/>
      <c r="F42" s="142"/>
      <c r="G42" s="145"/>
      <c r="H42" s="142"/>
      <c r="I42" s="143"/>
      <c r="J42" s="142"/>
      <c r="K42" s="143"/>
      <c r="L42" s="142"/>
      <c r="M42" s="158"/>
      <c r="N42" s="157"/>
      <c r="O42" s="143"/>
      <c r="P42" s="169"/>
      <c r="Q42" s="187"/>
      <c r="R42" s="169"/>
      <c r="S42" s="143"/>
      <c r="T42" s="144"/>
      <c r="U42" s="143"/>
      <c r="V42" s="127"/>
      <c r="W42" s="127"/>
    </row>
    <row r="43" spans="1:23" ht="12" customHeight="1">
      <c r="A43" s="127"/>
      <c r="B43" s="162"/>
      <c r="C43" s="161"/>
      <c r="D43" s="162"/>
      <c r="E43" s="143"/>
      <c r="F43" s="142"/>
      <c r="G43" s="145"/>
      <c r="H43" s="142"/>
      <c r="I43" s="143"/>
      <c r="J43" s="142"/>
      <c r="K43" s="143"/>
      <c r="L43" s="142"/>
      <c r="M43" s="158"/>
      <c r="N43" s="142"/>
      <c r="O43" s="143"/>
      <c r="P43" s="169"/>
      <c r="Q43" s="187"/>
      <c r="R43" s="157"/>
      <c r="S43" s="143"/>
      <c r="T43" s="144"/>
      <c r="U43" s="143"/>
      <c r="V43" s="127"/>
      <c r="W43" s="127"/>
    </row>
    <row r="44" spans="1:23" ht="12" customHeight="1" thickBot="1">
      <c r="A44" s="146">
        <v>6</v>
      </c>
      <c r="B44" s="168"/>
      <c r="C44" s="167"/>
      <c r="D44" s="147"/>
      <c r="E44" s="148"/>
      <c r="F44" s="147"/>
      <c r="G44" s="150"/>
      <c r="H44" s="147"/>
      <c r="I44" s="148"/>
      <c r="J44" s="147"/>
      <c r="K44" s="148"/>
      <c r="L44" s="163"/>
      <c r="M44" s="164"/>
      <c r="N44" s="147"/>
      <c r="O44" s="148"/>
      <c r="P44" s="170"/>
      <c r="Q44" s="177"/>
      <c r="R44" s="163"/>
      <c r="S44" s="148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51"/>
      <c r="E45" s="152"/>
      <c r="F45" s="151"/>
      <c r="G45" s="139"/>
      <c r="H45" s="138"/>
      <c r="I45" s="141"/>
      <c r="J45" s="138"/>
      <c r="K45" s="141"/>
      <c r="L45" s="138"/>
      <c r="M45" s="139"/>
      <c r="N45" s="138"/>
      <c r="O45" s="139"/>
      <c r="P45" s="138"/>
      <c r="Q45" s="139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43"/>
      <c r="H46" s="142"/>
      <c r="I46" s="145"/>
      <c r="J46" s="144"/>
      <c r="K46" s="143"/>
      <c r="L46" s="142"/>
      <c r="M46" s="143"/>
      <c r="N46" s="142"/>
      <c r="O46" s="143"/>
      <c r="P46" s="142"/>
      <c r="Q46" s="143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43"/>
      <c r="H47" s="142"/>
      <c r="I47" s="145"/>
      <c r="J47" s="144"/>
      <c r="K47" s="143"/>
      <c r="L47" s="142"/>
      <c r="M47" s="143"/>
      <c r="N47" s="142"/>
      <c r="O47" s="143"/>
      <c r="P47" s="142"/>
      <c r="Q47" s="145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42"/>
      <c r="C48" s="158"/>
      <c r="D48" s="157"/>
      <c r="E48" s="158"/>
      <c r="F48" s="142"/>
      <c r="G48" s="143"/>
      <c r="H48" s="142"/>
      <c r="I48" s="145"/>
      <c r="J48" s="144"/>
      <c r="K48" s="143"/>
      <c r="L48" s="142"/>
      <c r="M48" s="143"/>
      <c r="N48" s="142"/>
      <c r="O48" s="143"/>
      <c r="P48" s="142"/>
      <c r="Q48" s="145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64"/>
      <c r="D49" s="163"/>
      <c r="E49" s="164"/>
      <c r="F49" s="147"/>
      <c r="G49" s="148"/>
      <c r="H49" s="147"/>
      <c r="I49" s="150"/>
      <c r="J49" s="149"/>
      <c r="K49" s="148"/>
      <c r="L49" s="147"/>
      <c r="M49" s="148"/>
      <c r="N49" s="147"/>
      <c r="O49" s="148"/>
      <c r="P49" s="147"/>
      <c r="Q49" s="150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41"/>
      <c r="H50" s="186"/>
      <c r="I50" s="178"/>
      <c r="J50" s="138"/>
      <c r="K50" s="139"/>
      <c r="L50" s="186"/>
      <c r="M50" s="178"/>
      <c r="N50" s="186"/>
      <c r="O50" s="178"/>
      <c r="P50" s="186"/>
      <c r="Q50" s="178"/>
      <c r="R50" s="186"/>
      <c r="S50" s="178"/>
      <c r="T50" s="169"/>
      <c r="U50" s="17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5"/>
      <c r="H51" s="169"/>
      <c r="I51" s="187"/>
      <c r="J51" s="142"/>
      <c r="K51" s="143"/>
      <c r="L51" s="169"/>
      <c r="M51" s="187"/>
      <c r="N51" s="169"/>
      <c r="O51" s="187"/>
      <c r="P51" s="169"/>
      <c r="Q51" s="187"/>
      <c r="R51" s="169"/>
      <c r="S51" s="187"/>
      <c r="T51" s="169"/>
      <c r="U51" s="187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69"/>
      <c r="I52" s="187"/>
      <c r="J52" s="142"/>
      <c r="K52" s="143"/>
      <c r="L52" s="169"/>
      <c r="M52" s="187"/>
      <c r="N52" s="169"/>
      <c r="O52" s="187"/>
      <c r="P52" s="169"/>
      <c r="Q52" s="187"/>
      <c r="R52" s="169"/>
      <c r="S52" s="187"/>
      <c r="T52" s="169"/>
      <c r="U52" s="187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5"/>
      <c r="H53" s="169"/>
      <c r="I53" s="187"/>
      <c r="J53" s="142"/>
      <c r="K53" s="187"/>
      <c r="L53" s="169"/>
      <c r="M53" s="187"/>
      <c r="N53" s="169"/>
      <c r="O53" s="187"/>
      <c r="P53" s="169"/>
      <c r="Q53" s="187"/>
      <c r="R53" s="169"/>
      <c r="S53" s="187"/>
      <c r="T53" s="169"/>
      <c r="U53" s="187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50"/>
      <c r="H54" s="170"/>
      <c r="I54" s="177"/>
      <c r="J54" s="147"/>
      <c r="K54" s="177"/>
      <c r="L54" s="170"/>
      <c r="M54" s="177"/>
      <c r="N54" s="170"/>
      <c r="O54" s="177"/>
      <c r="P54" s="170"/>
      <c r="Q54" s="177"/>
      <c r="R54" s="170"/>
      <c r="S54" s="177"/>
      <c r="T54" s="170"/>
      <c r="U54" s="177"/>
      <c r="V54" s="127"/>
      <c r="W54" s="127"/>
    </row>
    <row r="55" spans="1:23" ht="12" customHeight="1">
      <c r="A55" s="127"/>
      <c r="B55" s="186"/>
      <c r="C55" s="178"/>
      <c r="D55" s="186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2" customHeight="1">
      <c r="A56" s="127"/>
      <c r="B56" s="169"/>
      <c r="C56" s="187"/>
      <c r="D56" s="169"/>
      <c r="E56" s="143"/>
      <c r="F56" s="142"/>
      <c r="G56" s="145"/>
      <c r="H56" s="142"/>
      <c r="I56" s="143"/>
      <c r="J56" s="142"/>
      <c r="K56" s="145"/>
      <c r="L56" s="142"/>
      <c r="M56" s="143"/>
      <c r="N56" s="142"/>
      <c r="O56" s="145"/>
      <c r="P56" s="142"/>
      <c r="Q56" s="143"/>
      <c r="R56" s="142"/>
      <c r="S56" s="143"/>
      <c r="T56" s="142"/>
      <c r="U56" s="143"/>
      <c r="V56" s="127"/>
      <c r="W56" s="127"/>
    </row>
    <row r="57" spans="1:23" ht="12" customHeight="1">
      <c r="A57" s="127"/>
      <c r="B57" s="169"/>
      <c r="C57" s="187"/>
      <c r="D57" s="169"/>
      <c r="E57" s="143"/>
      <c r="F57" s="142"/>
      <c r="G57" s="145"/>
      <c r="H57" s="142"/>
      <c r="I57" s="143"/>
      <c r="J57" s="142"/>
      <c r="K57" s="145"/>
      <c r="L57" s="142"/>
      <c r="M57" s="143"/>
      <c r="N57" s="142"/>
      <c r="O57" s="145"/>
      <c r="P57" s="142"/>
      <c r="Q57" s="143"/>
      <c r="R57" s="142"/>
      <c r="S57" s="143"/>
      <c r="T57" s="142"/>
      <c r="U57" s="143"/>
      <c r="V57" s="127"/>
      <c r="W57" s="127"/>
    </row>
    <row r="58" spans="1:23" ht="12" customHeight="1">
      <c r="A58" s="127"/>
      <c r="B58" s="169"/>
      <c r="C58" s="187"/>
      <c r="D58" s="169"/>
      <c r="E58" s="187"/>
      <c r="F58" s="142"/>
      <c r="G58" s="145"/>
      <c r="H58" s="142"/>
      <c r="I58" s="143"/>
      <c r="J58" s="142"/>
      <c r="K58" s="145"/>
      <c r="L58" s="142"/>
      <c r="M58" s="143"/>
      <c r="N58" s="142"/>
      <c r="O58" s="145"/>
      <c r="P58" s="142"/>
      <c r="Q58" s="143"/>
      <c r="R58" s="142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70"/>
      <c r="C59" s="177"/>
      <c r="D59" s="170"/>
      <c r="E59" s="177"/>
      <c r="F59" s="149"/>
      <c r="G59" s="150"/>
      <c r="H59" s="147"/>
      <c r="I59" s="148"/>
      <c r="J59" s="149"/>
      <c r="K59" s="150"/>
      <c r="L59" s="147"/>
      <c r="M59" s="148"/>
      <c r="N59" s="149"/>
      <c r="O59" s="150"/>
      <c r="P59" s="147"/>
      <c r="Q59" s="148"/>
      <c r="R59" s="147"/>
      <c r="S59" s="148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HYPERLINK("#'3월'!A1","← 3월 월간 가계부로 돌아가기")</f>
        <v>← 3월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926000</v>
      </c>
      <c r="J149" s="366"/>
      <c r="K149" s="366"/>
      <c r="L149" s="366"/>
      <c r="M149" s="366"/>
      <c r="N149" s="367"/>
      <c r="O149" s="423" t="b">
        <f>IF('3월'!AA1,I149=('3월'!M28),"미입력")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926000</v>
      </c>
      <c r="J150" s="366"/>
      <c r="K150" s="366"/>
      <c r="L150" s="366"/>
      <c r="M150" s="366"/>
      <c r="N150" s="367"/>
      <c r="O150" s="423" t="b">
        <f>IF('3월'!AA1,I150=('3월'!I38),"미입력")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451</v>
      </c>
      <c r="L5" s="38" t="s">
        <v>607</v>
      </c>
      <c r="M5" s="34" t="s">
        <v>453</v>
      </c>
      <c r="N5" s="34" t="s">
        <v>454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456</v>
      </c>
      <c r="L6" s="31" t="s">
        <v>607</v>
      </c>
      <c r="M6" s="27" t="s">
        <v>453</v>
      </c>
      <c r="N6" s="27" t="s">
        <v>457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473</v>
      </c>
      <c r="L11" s="38" t="s">
        <v>608</v>
      </c>
      <c r="M11" s="34" t="s">
        <v>475</v>
      </c>
      <c r="N11" s="34" t="s">
        <v>476</v>
      </c>
      <c r="O11" s="35"/>
      <c r="P11" s="35"/>
      <c r="Q11" s="34">
        <f t="shared" si="0"/>
      </c>
      <c r="R11" s="34">
        <f t="shared" si="1"/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609</v>
      </c>
      <c r="M12" s="27" t="s">
        <v>478</v>
      </c>
      <c r="N12" s="27" t="s">
        <v>479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610</v>
      </c>
      <c r="T22" s="27" t="s">
        <v>506</v>
      </c>
      <c r="U22" s="27"/>
    </row>
    <row r="23" spans="1:22" ht="22" customHeight="1">
      <c r="A23" s="39" t="s">
        <v>507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>
        <f t="shared" si="0"/>
      </c>
      <c r="R23" s="34">
        <f t="shared" si="1"/>
      </c>
      <c r="S23" s="34"/>
      <c r="T23" s="34"/>
      <c r="U23" s="34"/>
    </row>
    <row r="24" spans="1:22" ht="22" customHeight="1">
      <c r="A24" s="31" t="s">
        <v>446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HYPERLINK("#'4월계산기'!A1","계산기 대조 · 4월계산기 열기")</f>
        <v>계산기 대조 · 4월계산기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1047000</v>
      </c>
      <c r="N28" s="367"/>
      <c r="O28" s="429" t="s">
        <v>234</v>
      </c>
      <c r="P28" s="367"/>
      <c r="Q28" s="431">
        <f>'4월계산기'!W12</f>
        <v>1047000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1047000</v>
      </c>
      <c r="N29" s="367"/>
      <c r="O29" s="429" t="s">
        <v>239</v>
      </c>
      <c r="P29" s="367"/>
      <c r="Q29" s="431">
        <f>'4월계산기'!W13</f>
        <v>1047000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30360</v>
      </c>
      <c r="N30" s="367"/>
      <c r="O30" s="429" t="s">
        <v>514</v>
      </c>
      <c r="P30" s="367"/>
      <c r="Q30" s="431">
        <f>SUM(I4,I9,I14,I19,I24,I29)-I33</f>
        <v>30360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'4월계산기'!W14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2716370</v>
      </c>
      <c r="D37" s="27"/>
      <c r="E37" s="27" t="s">
        <v>429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200000</v>
      </c>
      <c r="D38" s="27"/>
      <c r="E38" s="27" t="s">
        <v>428</v>
      </c>
      <c r="F38" s="27"/>
      <c r="G38" s="27"/>
      <c r="H38" s="27">
        <f>I33-'_예비비계산'!AG5</f>
        <v>1016640</v>
      </c>
      <c r="I38" s="27">
        <f>SUM(I4,I9,I14,I19,I24,I29)-'_예비비계산'!AH5</f>
        <v>1047000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2916370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19350</v>
      </c>
      <c r="I43" s="27">
        <f>H43</f>
        <v>19350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6">
        <v>46137</v>
      </c>
      <c r="B52" s="35" t="s">
        <v>68</v>
      </c>
      <c r="C52" s="35" t="s">
        <v>611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612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RAW!A740</f>
        <v>46113.010150462964</v>
      </c>
      <c r="B53" s="35" t="s">
        <v>603</v>
      </c>
      <c r="C53" s="35" t="s">
        <v>71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613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5"/>
      </c>
      <c r="G54" s="35"/>
      <c r="H54" s="27">
        <f t="shared" si="6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60550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'_예비비계산'!AB5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'_예비비계산'!AC5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'_예비비계산'!AD5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'_예비비계산'!AE5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'_예비비계산'!AF5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614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640000</v>
      </c>
      <c r="AA3">
        <v>640</v>
      </c>
    </row>
    <row r="4" spans="1:27" ht="18" customHeight="1">
      <c r="A4" s="122" t="s">
        <v>576</v>
      </c>
      <c r="B4" s="130"/>
      <c r="C4" s="124">
        <f>IFERROR(colorfunction(B4,$B$15:$U$144,FALSE),$AA$4)</f>
        <v>121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121000</v>
      </c>
      <c r="AA4">
        <v>121</v>
      </c>
    </row>
    <row r="5" spans="1:27" ht="18" customHeight="1">
      <c r="A5" s="122" t="s">
        <v>577</v>
      </c>
      <c r="B5" s="132"/>
      <c r="C5" s="124">
        <f>IFERROR(colorfunction(B5,$B$15:$U$144,FALSE),$AA$5)</f>
        <v>17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17000</v>
      </c>
      <c r="AA5">
        <v>17</v>
      </c>
    </row>
    <row r="6" spans="1:27" ht="18" customHeight="1">
      <c r="A6" s="122" t="s">
        <v>578</v>
      </c>
      <c r="B6" s="133"/>
      <c r="C6" s="124">
        <f>IFERROR(colorfunction(B6,$B$15:$U$144,FALSE),$AA$6)</f>
        <v>124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124000</v>
      </c>
      <c r="AA6">
        <v>124</v>
      </c>
    </row>
    <row r="7" spans="1:27" ht="18" customHeight="1">
      <c r="A7" s="122" t="s">
        <v>579</v>
      </c>
      <c r="B7" s="134"/>
      <c r="C7" s="124">
        <f>IFERROR(colorfunction(B7,$B$15:$U$144,FALSE),$AA$7)</f>
        <v>6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6000</v>
      </c>
      <c r="AA7">
        <v>6</v>
      </c>
    </row>
    <row r="8" spans="1:27" ht="18" customHeight="1">
      <c r="A8" s="122" t="s">
        <v>580</v>
      </c>
      <c r="B8" s="135"/>
      <c r="C8" s="124">
        <f>IFERROR(colorfunction(B8,$B$15:$U$144,FALSE),$AA$8)</f>
        <v>20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20000</v>
      </c>
      <c r="AA8">
        <v>20</v>
      </c>
    </row>
    <row r="9" spans="1:27" ht="18" customHeight="1">
      <c r="A9" s="122" t="s">
        <v>581</v>
      </c>
      <c r="B9" s="136"/>
      <c r="C9" s="124">
        <f>IFERROR(colorfunction(B9,$B$15:$U$144,FALSE),$AA$9)</f>
        <v>119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119000</v>
      </c>
      <c r="AA9">
        <v>119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1047000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0+'_예비비계산'!AH5</f>
        <v>0</v>
      </c>
    </row>
    <row r="15" spans="1:27" ht="12" customHeight="1">
      <c r="A15" s="127"/>
      <c r="B15" s="140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41"/>
      <c r="N15" s="138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5"/>
      <c r="N16" s="142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1047000</v>
      </c>
    </row>
    <row r="17" spans="1:27" ht="12" customHeight="1">
      <c r="A17" s="127"/>
      <c r="B17" s="144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5"/>
      <c r="N17" s="142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5"/>
      <c r="N18" s="142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50"/>
      <c r="N19" s="147"/>
      <c r="O19" s="150"/>
      <c r="P19" s="147"/>
      <c r="Q19" s="148"/>
      <c r="R19" s="147"/>
      <c r="S19" s="148"/>
      <c r="T19" s="147"/>
      <c r="U19" s="177"/>
      <c r="V19" s="127"/>
      <c r="W19" s="127"/>
    </row>
    <row r="20" spans="1:27" ht="12" customHeight="1">
      <c r="A20" s="127"/>
      <c r="B20" s="140"/>
      <c r="C20" s="178"/>
      <c r="D20" s="186"/>
      <c r="E20" s="178"/>
      <c r="F20" s="186"/>
      <c r="G20" s="178"/>
      <c r="H20" s="186"/>
      <c r="I20" s="171"/>
      <c r="J20" s="172"/>
      <c r="K20" s="171"/>
      <c r="L20" s="172"/>
      <c r="M20" s="141"/>
      <c r="N20" s="138"/>
      <c r="O20" s="139"/>
      <c r="P20" s="138"/>
      <c r="Q20" s="139"/>
      <c r="R20" s="138"/>
      <c r="S20" s="139"/>
      <c r="T20" s="138"/>
      <c r="U20" s="141"/>
      <c r="V20" s="127"/>
      <c r="W20" s="127"/>
    </row>
    <row r="21" spans="1:27" ht="12" customHeight="1">
      <c r="A21" s="127"/>
      <c r="B21" s="144"/>
      <c r="C21" s="187"/>
      <c r="D21" s="169"/>
      <c r="E21" s="187"/>
      <c r="F21" s="169"/>
      <c r="G21" s="187"/>
      <c r="H21" s="169"/>
      <c r="I21" s="173"/>
      <c r="J21" s="174"/>
      <c r="K21" s="173"/>
      <c r="L21" s="174"/>
      <c r="M21" s="145"/>
      <c r="N21" s="142"/>
      <c r="O21" s="143"/>
      <c r="P21" s="142"/>
      <c r="Q21" s="143"/>
      <c r="R21" s="142"/>
      <c r="S21" s="143"/>
      <c r="T21" s="142"/>
      <c r="U21" s="145"/>
      <c r="V21" s="127"/>
      <c r="W21" s="127"/>
    </row>
    <row r="22" spans="1:27" ht="12" customHeight="1">
      <c r="A22" s="127"/>
      <c r="B22" s="144"/>
      <c r="C22" s="187"/>
      <c r="D22" s="169"/>
      <c r="E22" s="187"/>
      <c r="F22" s="169"/>
      <c r="G22" s="187"/>
      <c r="H22" s="169"/>
      <c r="I22" s="173"/>
      <c r="J22" s="174"/>
      <c r="K22" s="173"/>
      <c r="L22" s="174"/>
      <c r="M22" s="145"/>
      <c r="N22" s="142"/>
      <c r="O22" s="143"/>
      <c r="P22" s="142"/>
      <c r="Q22" s="143"/>
      <c r="R22" s="142"/>
      <c r="S22" s="143"/>
      <c r="T22" s="142"/>
      <c r="U22" s="145"/>
      <c r="V22" s="127"/>
      <c r="W22" s="127"/>
    </row>
    <row r="23" spans="1:27" ht="12" customHeight="1">
      <c r="A23" s="127"/>
      <c r="B23" s="144"/>
      <c r="C23" s="187"/>
      <c r="D23" s="169"/>
      <c r="E23" s="187"/>
      <c r="F23" s="169"/>
      <c r="G23" s="187"/>
      <c r="H23" s="169"/>
      <c r="I23" s="173"/>
      <c r="J23" s="174"/>
      <c r="K23" s="173"/>
      <c r="L23" s="174"/>
      <c r="M23" s="145"/>
      <c r="N23" s="142"/>
      <c r="O23" s="143"/>
      <c r="P23" s="142"/>
      <c r="Q23" s="143"/>
      <c r="R23" s="142"/>
      <c r="S23" s="143"/>
      <c r="T23" s="142"/>
      <c r="U23" s="145"/>
      <c r="V23" s="127"/>
      <c r="W23" s="127"/>
    </row>
    <row r="24" spans="1:27" ht="12" customHeight="1" thickBot="1">
      <c r="A24" s="146">
        <v>2</v>
      </c>
      <c r="B24" s="149"/>
      <c r="C24" s="177"/>
      <c r="D24" s="170"/>
      <c r="E24" s="177"/>
      <c r="F24" s="170"/>
      <c r="G24" s="177"/>
      <c r="H24" s="170"/>
      <c r="I24" s="175"/>
      <c r="J24" s="176"/>
      <c r="K24" s="175"/>
      <c r="L24" s="176"/>
      <c r="M24" s="150"/>
      <c r="N24" s="147"/>
      <c r="O24" s="148"/>
      <c r="P24" s="147"/>
      <c r="Q24" s="148"/>
      <c r="R24" s="147"/>
      <c r="S24" s="148"/>
      <c r="T24" s="147"/>
      <c r="U24" s="150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38"/>
      <c r="M25" s="139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42"/>
      <c r="K26" s="143"/>
      <c r="L26" s="142"/>
      <c r="M26" s="143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42"/>
      <c r="K27" s="145"/>
      <c r="L27" s="142"/>
      <c r="M27" s="143"/>
      <c r="N27" s="142"/>
      <c r="O27" s="143"/>
      <c r="P27" s="142"/>
      <c r="Q27" s="143"/>
      <c r="R27" s="142"/>
      <c r="S27" s="143"/>
      <c r="T27" s="142"/>
      <c r="U27" s="187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44"/>
      <c r="K28" s="145"/>
      <c r="L28" s="142"/>
      <c r="M28" s="143"/>
      <c r="N28" s="142"/>
      <c r="O28" s="143"/>
      <c r="P28" s="142"/>
      <c r="Q28" s="143"/>
      <c r="R28" s="142"/>
      <c r="S28" s="143"/>
      <c r="T28" s="142"/>
      <c r="U28" s="187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50"/>
      <c r="J29" s="149"/>
      <c r="K29" s="150"/>
      <c r="L29" s="147"/>
      <c r="M29" s="148"/>
      <c r="N29" s="147"/>
      <c r="O29" s="148"/>
      <c r="P29" s="147"/>
      <c r="Q29" s="148"/>
      <c r="R29" s="147"/>
      <c r="S29" s="148"/>
      <c r="T29" s="147"/>
      <c r="U29" s="177"/>
      <c r="V29" s="127"/>
      <c r="W29" s="127"/>
    </row>
    <row r="30" spans="1:27" ht="12" customHeight="1">
      <c r="A30" s="127"/>
      <c r="B30" s="186"/>
      <c r="C30" s="178"/>
      <c r="D30" s="186"/>
      <c r="E30" s="139"/>
      <c r="F30" s="138"/>
      <c r="G30" s="152"/>
      <c r="H30" s="151"/>
      <c r="I30" s="139"/>
      <c r="J30" s="138"/>
      <c r="K30" s="141"/>
      <c r="L30" s="186"/>
      <c r="M30" s="178"/>
      <c r="N30" s="186"/>
      <c r="O30" s="178"/>
      <c r="P30" s="186"/>
      <c r="Q30" s="178"/>
      <c r="R30" s="186"/>
      <c r="S30" s="188"/>
      <c r="T30" s="189"/>
      <c r="U30" s="188"/>
      <c r="V30" s="127"/>
      <c r="W30" s="127"/>
    </row>
    <row r="31" spans="1:27" ht="12" customHeight="1">
      <c r="A31" s="127"/>
      <c r="B31" s="169"/>
      <c r="C31" s="187"/>
      <c r="D31" s="169"/>
      <c r="E31" s="143"/>
      <c r="F31" s="142"/>
      <c r="G31" s="158"/>
      <c r="H31" s="157"/>
      <c r="I31" s="143"/>
      <c r="J31" s="144"/>
      <c r="K31" s="187"/>
      <c r="L31" s="169"/>
      <c r="M31" s="187"/>
      <c r="N31" s="169"/>
      <c r="O31" s="187"/>
      <c r="P31" s="169"/>
      <c r="Q31" s="187"/>
      <c r="R31" s="190"/>
      <c r="S31" s="191"/>
      <c r="T31" s="190"/>
      <c r="U31" s="191"/>
      <c r="V31" s="127"/>
      <c r="W31" s="127"/>
    </row>
    <row r="32" spans="1:27" ht="12" customHeight="1">
      <c r="A32" s="127"/>
      <c r="B32" s="169"/>
      <c r="C32" s="187"/>
      <c r="D32" s="142"/>
      <c r="E32" s="143"/>
      <c r="F32" s="142"/>
      <c r="G32" s="158"/>
      <c r="H32" s="157"/>
      <c r="I32" s="143"/>
      <c r="J32" s="144"/>
      <c r="K32" s="187"/>
      <c r="L32" s="169"/>
      <c r="M32" s="187"/>
      <c r="N32" s="169"/>
      <c r="O32" s="187"/>
      <c r="P32" s="169"/>
      <c r="Q32" s="187"/>
      <c r="R32" s="190"/>
      <c r="S32" s="191"/>
      <c r="T32" s="190"/>
      <c r="U32" s="191"/>
      <c r="V32" s="127"/>
      <c r="W32" s="127"/>
    </row>
    <row r="33" spans="1:23" ht="12" customHeight="1">
      <c r="A33" s="127"/>
      <c r="B33" s="169"/>
      <c r="C33" s="187"/>
      <c r="D33" s="142"/>
      <c r="E33" s="143"/>
      <c r="F33" s="157"/>
      <c r="G33" s="158"/>
      <c r="H33" s="157"/>
      <c r="I33" s="143"/>
      <c r="J33" s="144"/>
      <c r="K33" s="187"/>
      <c r="L33" s="169"/>
      <c r="M33" s="187"/>
      <c r="N33" s="169"/>
      <c r="O33" s="187"/>
      <c r="P33" s="169"/>
      <c r="Q33" s="187"/>
      <c r="R33" s="190"/>
      <c r="S33" s="191"/>
      <c r="T33" s="190"/>
      <c r="U33" s="143"/>
      <c r="V33" s="127"/>
      <c r="W33" s="127"/>
    </row>
    <row r="34" spans="1:23" ht="12" customHeight="1" thickBot="1">
      <c r="A34" s="146">
        <v>4</v>
      </c>
      <c r="B34" s="170"/>
      <c r="C34" s="177"/>
      <c r="D34" s="147"/>
      <c r="E34" s="148"/>
      <c r="F34" s="163"/>
      <c r="G34" s="164"/>
      <c r="H34" s="163"/>
      <c r="I34" s="148"/>
      <c r="J34" s="149"/>
      <c r="K34" s="177"/>
      <c r="L34" s="170"/>
      <c r="M34" s="177"/>
      <c r="N34" s="170"/>
      <c r="O34" s="177"/>
      <c r="P34" s="170"/>
      <c r="Q34" s="177"/>
      <c r="R34" s="192"/>
      <c r="S34" s="193"/>
      <c r="T34" s="192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40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4"/>
      <c r="U36" s="145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4"/>
      <c r="G37" s="143"/>
      <c r="H37" s="142"/>
      <c r="I37" s="143"/>
      <c r="J37" s="142"/>
      <c r="K37" s="143"/>
      <c r="L37" s="142"/>
      <c r="M37" s="145"/>
      <c r="N37" s="142"/>
      <c r="O37" s="143"/>
      <c r="P37" s="142"/>
      <c r="Q37" s="143"/>
      <c r="R37" s="142"/>
      <c r="S37" s="143"/>
      <c r="T37" s="142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4"/>
      <c r="G38" s="143"/>
      <c r="H38" s="142"/>
      <c r="I38" s="143"/>
      <c r="J38" s="142"/>
      <c r="K38" s="143"/>
      <c r="L38" s="144"/>
      <c r="M38" s="145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47"/>
      <c r="K39" s="148"/>
      <c r="L39" s="149"/>
      <c r="M39" s="150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38"/>
      <c r="K40" s="152"/>
      <c r="L40" s="151"/>
      <c r="M40" s="152"/>
      <c r="N40" s="151"/>
      <c r="O40" s="141"/>
      <c r="P40" s="138"/>
      <c r="Q40" s="139"/>
      <c r="R40" s="138"/>
      <c r="S40" s="139"/>
      <c r="T40" s="138"/>
      <c r="U40" s="152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2"/>
      <c r="K41" s="158"/>
      <c r="L41" s="157"/>
      <c r="M41" s="158"/>
      <c r="N41" s="157"/>
      <c r="O41" s="145"/>
      <c r="P41" s="142"/>
      <c r="Q41" s="143"/>
      <c r="R41" s="142"/>
      <c r="S41" s="143"/>
      <c r="T41" s="142"/>
      <c r="U41" s="158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2"/>
      <c r="K42" s="158"/>
      <c r="L42" s="157"/>
      <c r="M42" s="158"/>
      <c r="N42" s="157"/>
      <c r="O42" s="145"/>
      <c r="P42" s="142"/>
      <c r="Q42" s="143"/>
      <c r="R42" s="142"/>
      <c r="S42" s="143"/>
      <c r="T42" s="142"/>
      <c r="U42" s="158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57"/>
      <c r="K43" s="158"/>
      <c r="L43" s="157"/>
      <c r="M43" s="158"/>
      <c r="N43" s="157"/>
      <c r="O43" s="145"/>
      <c r="P43" s="142"/>
      <c r="Q43" s="143"/>
      <c r="R43" s="142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48"/>
      <c r="J44" s="163"/>
      <c r="K44" s="164"/>
      <c r="L44" s="163"/>
      <c r="M44" s="164"/>
      <c r="N44" s="163"/>
      <c r="O44" s="150"/>
      <c r="P44" s="147"/>
      <c r="Q44" s="148"/>
      <c r="R44" s="147"/>
      <c r="S44" s="148"/>
      <c r="T44" s="147"/>
      <c r="U44" s="148"/>
      <c r="V44" s="127"/>
      <c r="W44" s="127"/>
    </row>
    <row r="45" spans="1:23" ht="12" customHeight="1">
      <c r="A45" s="127"/>
      <c r="B45" s="151"/>
      <c r="C45" s="152"/>
      <c r="D45" s="151"/>
      <c r="E45" s="152"/>
      <c r="F45" s="140"/>
      <c r="G45" s="139"/>
      <c r="H45" s="138"/>
      <c r="I45" s="178"/>
      <c r="J45" s="186"/>
      <c r="K45" s="178"/>
      <c r="L45" s="186"/>
      <c r="M45" s="178"/>
      <c r="N45" s="186"/>
      <c r="O45" s="178"/>
      <c r="P45" s="186"/>
      <c r="Q45" s="152"/>
      <c r="R45" s="151"/>
      <c r="S45" s="152"/>
      <c r="T45" s="140"/>
      <c r="U45" s="139"/>
      <c r="V45" s="127"/>
      <c r="W45" s="127"/>
    </row>
    <row r="46" spans="1:23" ht="12" customHeight="1">
      <c r="A46" s="127"/>
      <c r="B46" s="157"/>
      <c r="C46" s="158"/>
      <c r="D46" s="157"/>
      <c r="E46" s="143"/>
      <c r="F46" s="144"/>
      <c r="G46" s="143"/>
      <c r="H46" s="142"/>
      <c r="I46" s="187"/>
      <c r="J46" s="169"/>
      <c r="K46" s="187"/>
      <c r="L46" s="169"/>
      <c r="M46" s="187"/>
      <c r="N46" s="169"/>
      <c r="O46" s="187"/>
      <c r="P46" s="157"/>
      <c r="Q46" s="158"/>
      <c r="R46" s="157"/>
      <c r="S46" s="158"/>
      <c r="T46" s="144"/>
      <c r="U46" s="143"/>
      <c r="V46" s="127"/>
      <c r="W46" s="127"/>
    </row>
    <row r="47" spans="1:23" ht="12" customHeight="1">
      <c r="A47" s="127"/>
      <c r="B47" s="157"/>
      <c r="C47" s="158"/>
      <c r="D47" s="157"/>
      <c r="E47" s="143"/>
      <c r="F47" s="144"/>
      <c r="G47" s="143"/>
      <c r="H47" s="142"/>
      <c r="I47" s="143"/>
      <c r="J47" s="169"/>
      <c r="K47" s="187"/>
      <c r="L47" s="169"/>
      <c r="M47" s="187"/>
      <c r="N47" s="169"/>
      <c r="O47" s="187"/>
      <c r="P47" s="157"/>
      <c r="Q47" s="158"/>
      <c r="R47" s="157"/>
      <c r="S47" s="143"/>
      <c r="T47" s="144"/>
      <c r="U47" s="143"/>
      <c r="V47" s="127"/>
      <c r="W47" s="127"/>
    </row>
    <row r="48" spans="1:23" ht="12" customHeight="1">
      <c r="A48" s="127"/>
      <c r="B48" s="157"/>
      <c r="C48" s="158"/>
      <c r="D48" s="157"/>
      <c r="E48" s="145"/>
      <c r="F48" s="142"/>
      <c r="G48" s="143"/>
      <c r="H48" s="142"/>
      <c r="I48" s="143"/>
      <c r="J48" s="169"/>
      <c r="K48" s="187"/>
      <c r="L48" s="169"/>
      <c r="M48" s="187"/>
      <c r="N48" s="169"/>
      <c r="O48" s="187"/>
      <c r="P48" s="157"/>
      <c r="Q48" s="158"/>
      <c r="R48" s="157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63"/>
      <c r="C49" s="164"/>
      <c r="D49" s="163"/>
      <c r="E49" s="150"/>
      <c r="F49" s="147"/>
      <c r="G49" s="148"/>
      <c r="H49" s="147"/>
      <c r="I49" s="148"/>
      <c r="J49" s="170"/>
      <c r="K49" s="177"/>
      <c r="L49" s="170"/>
      <c r="M49" s="177"/>
      <c r="N49" s="170"/>
      <c r="O49" s="177"/>
      <c r="P49" s="163"/>
      <c r="Q49" s="164"/>
      <c r="R49" s="163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40"/>
      <c r="K50" s="141"/>
      <c r="L50" s="138"/>
      <c r="M50" s="139"/>
      <c r="N50" s="140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4"/>
      <c r="K51" s="145"/>
      <c r="L51" s="142"/>
      <c r="M51" s="143"/>
      <c r="N51" s="144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42"/>
      <c r="I52" s="143"/>
      <c r="J52" s="142"/>
      <c r="K52" s="145"/>
      <c r="L52" s="142"/>
      <c r="M52" s="143"/>
      <c r="N52" s="144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4"/>
      <c r="G53" s="145"/>
      <c r="H53" s="142"/>
      <c r="I53" s="143"/>
      <c r="J53" s="142"/>
      <c r="K53" s="143"/>
      <c r="L53" s="142"/>
      <c r="M53" s="143"/>
      <c r="N53" s="144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9"/>
      <c r="G54" s="150"/>
      <c r="H54" s="147"/>
      <c r="I54" s="148"/>
      <c r="J54" s="147"/>
      <c r="K54" s="148"/>
      <c r="L54" s="147"/>
      <c r="M54" s="148"/>
      <c r="N54" s="149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40"/>
      <c r="I55" s="178"/>
      <c r="J55" s="138"/>
      <c r="K55" s="139"/>
      <c r="L55" s="138"/>
      <c r="M55" s="139"/>
      <c r="N55" s="138"/>
      <c r="O55" s="139"/>
      <c r="P55" s="138"/>
      <c r="Q55" s="139"/>
      <c r="R55" s="140"/>
      <c r="S55" s="152"/>
      <c r="T55" s="151"/>
      <c r="U55" s="152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4"/>
      <c r="I56" s="187"/>
      <c r="J56" s="142"/>
      <c r="K56" s="143"/>
      <c r="L56" s="142"/>
      <c r="M56" s="143"/>
      <c r="N56" s="142"/>
      <c r="O56" s="143"/>
      <c r="P56" s="142"/>
      <c r="Q56" s="143"/>
      <c r="R56" s="144"/>
      <c r="S56" s="158"/>
      <c r="T56" s="157"/>
      <c r="U56" s="158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5"/>
      <c r="H57" s="169"/>
      <c r="I57" s="187"/>
      <c r="J57" s="142"/>
      <c r="K57" s="143"/>
      <c r="L57" s="142"/>
      <c r="M57" s="143"/>
      <c r="N57" s="142"/>
      <c r="O57" s="143"/>
      <c r="P57" s="142"/>
      <c r="Q57" s="145"/>
      <c r="R57" s="142"/>
      <c r="S57" s="158"/>
      <c r="T57" s="157"/>
      <c r="U57" s="158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5"/>
      <c r="H58" s="169"/>
      <c r="I58" s="187"/>
      <c r="J58" s="142"/>
      <c r="K58" s="143"/>
      <c r="L58" s="142"/>
      <c r="M58" s="143"/>
      <c r="N58" s="142"/>
      <c r="O58" s="143"/>
      <c r="P58" s="142"/>
      <c r="Q58" s="145"/>
      <c r="R58" s="142"/>
      <c r="S58" s="158"/>
      <c r="T58" s="157"/>
      <c r="U58" s="158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50"/>
      <c r="H59" s="170"/>
      <c r="I59" s="177"/>
      <c r="J59" s="147"/>
      <c r="K59" s="148"/>
      <c r="L59" s="147"/>
      <c r="M59" s="148"/>
      <c r="N59" s="147"/>
      <c r="O59" s="148"/>
      <c r="P59" s="147"/>
      <c r="Q59" s="150"/>
      <c r="R59" s="147"/>
      <c r="S59" s="164"/>
      <c r="T59" s="163"/>
      <c r="U59" s="164"/>
      <c r="V59" s="127"/>
      <c r="W59" s="127"/>
    </row>
    <row r="60" spans="1:23" ht="12" customHeight="1">
      <c r="A60" s="127"/>
      <c r="B60" s="151"/>
      <c r="C60" s="152"/>
      <c r="D60" s="151"/>
      <c r="E60" s="152"/>
      <c r="F60" s="151"/>
      <c r="G60" s="152"/>
      <c r="H60" s="151"/>
      <c r="I60" s="139"/>
      <c r="J60" s="138"/>
      <c r="K60" s="139"/>
      <c r="L60" s="156"/>
      <c r="M60" s="141"/>
      <c r="N60" s="140"/>
      <c r="O60" s="141"/>
      <c r="P60" s="140"/>
      <c r="Q60" s="139"/>
      <c r="R60" s="138"/>
      <c r="S60" s="139"/>
      <c r="T60" s="140"/>
      <c r="U60" s="139"/>
      <c r="V60" s="127"/>
      <c r="W60" s="127"/>
    </row>
    <row r="61" spans="1:23" ht="12" customHeight="1">
      <c r="A61" s="127"/>
      <c r="B61" s="157"/>
      <c r="C61" s="158"/>
      <c r="D61" s="157"/>
      <c r="E61" s="158"/>
      <c r="F61" s="157"/>
      <c r="G61" s="158"/>
      <c r="H61" s="157"/>
      <c r="I61" s="143"/>
      <c r="J61" s="142"/>
      <c r="K61" s="161"/>
      <c r="L61" s="162"/>
      <c r="M61" s="145"/>
      <c r="N61" s="144"/>
      <c r="O61" s="143"/>
      <c r="P61" s="144"/>
      <c r="Q61" s="143"/>
      <c r="R61" s="142"/>
      <c r="S61" s="143"/>
      <c r="T61" s="144"/>
      <c r="U61" s="143"/>
      <c r="V61" s="127"/>
      <c r="W61" s="127"/>
    </row>
    <row r="62" spans="1:23" ht="12" customHeight="1">
      <c r="A62" s="127"/>
      <c r="B62" s="157"/>
      <c r="C62" s="158"/>
      <c r="D62" s="157"/>
      <c r="E62" s="158"/>
      <c r="F62" s="157"/>
      <c r="G62" s="158"/>
      <c r="H62" s="157"/>
      <c r="I62" s="143"/>
      <c r="J62" s="142"/>
      <c r="K62" s="161"/>
      <c r="L62" s="142"/>
      <c r="M62" s="143"/>
      <c r="N62" s="144"/>
      <c r="O62" s="143"/>
      <c r="P62" s="144"/>
      <c r="Q62" s="143"/>
      <c r="R62" s="142"/>
      <c r="S62" s="143"/>
      <c r="T62" s="144"/>
      <c r="U62" s="143"/>
      <c r="V62" s="127"/>
      <c r="W62" s="127"/>
    </row>
    <row r="63" spans="1:23" ht="12" customHeight="1">
      <c r="A63" s="127"/>
      <c r="B63" s="157"/>
      <c r="C63" s="158"/>
      <c r="D63" s="157"/>
      <c r="E63" s="158"/>
      <c r="F63" s="157"/>
      <c r="G63" s="158"/>
      <c r="H63" s="157"/>
      <c r="I63" s="143"/>
      <c r="J63" s="142"/>
      <c r="K63" s="161"/>
      <c r="L63" s="142"/>
      <c r="M63" s="143"/>
      <c r="N63" s="144"/>
      <c r="O63" s="143"/>
      <c r="P63" s="144"/>
      <c r="Q63" s="143"/>
      <c r="R63" s="142"/>
      <c r="S63" s="143"/>
      <c r="T63" s="144"/>
      <c r="U63" s="143"/>
      <c r="V63" s="127"/>
      <c r="W63" s="127"/>
    </row>
    <row r="64" spans="1:23" ht="12" customHeight="1" thickBot="1">
      <c r="A64" s="146">
        <v>10</v>
      </c>
      <c r="B64" s="163"/>
      <c r="C64" s="164"/>
      <c r="D64" s="163"/>
      <c r="E64" s="164"/>
      <c r="F64" s="163"/>
      <c r="G64" s="164"/>
      <c r="H64" s="163"/>
      <c r="I64" s="148"/>
      <c r="J64" s="147"/>
      <c r="K64" s="167"/>
      <c r="L64" s="147"/>
      <c r="M64" s="148"/>
      <c r="N64" s="147"/>
      <c r="O64" s="148"/>
      <c r="P64" s="147"/>
      <c r="Q64" s="148"/>
      <c r="R64" s="147"/>
      <c r="S64" s="148"/>
      <c r="T64" s="149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38"/>
      <c r="K65" s="141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2"/>
      <c r="K66" s="145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94"/>
      <c r="K67" s="182"/>
      <c r="L67" s="127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4"/>
      <c r="K69" s="183"/>
      <c r="L69" s="181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HYPERLINK("#'4월'!A1","← 4월 월간 가계부로 돌아가기")</f>
        <v>← 4월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1047000</v>
      </c>
      <c r="J149" s="366"/>
      <c r="K149" s="366"/>
      <c r="L149" s="366"/>
      <c r="M149" s="366"/>
      <c r="N149" s="367"/>
      <c r="O149" s="423" t="b">
        <f>IF('4월'!AA1,I149=('4월'!M28),"미입력")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1047000</v>
      </c>
      <c r="J150" s="366"/>
      <c r="K150" s="366"/>
      <c r="L150" s="366"/>
      <c r="M150" s="366"/>
      <c r="N150" s="367"/>
      <c r="O150" s="423" t="b">
        <f>IF('4월'!AA1,I150=('4월'!I38),"미입력")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451</v>
      </c>
      <c r="L5" s="38" t="s">
        <v>615</v>
      </c>
      <c r="M5" s="34" t="s">
        <v>453</v>
      </c>
      <c r="N5" s="34" t="s">
        <v>454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456</v>
      </c>
      <c r="L6" s="31" t="s">
        <v>615</v>
      </c>
      <c r="M6" s="27" t="s">
        <v>453</v>
      </c>
      <c r="N6" s="27" t="s">
        <v>457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473</v>
      </c>
      <c r="L11" s="38" t="s">
        <v>616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617</v>
      </c>
      <c r="M12" s="27" t="s">
        <v>478</v>
      </c>
      <c r="N12" s="27" t="s">
        <v>479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618</v>
      </c>
      <c r="T22" s="27" t="s">
        <v>506</v>
      </c>
      <c r="U22" s="27"/>
    </row>
    <row r="23" spans="1:22" ht="22" customHeight="1">
      <c r="A23" s="39" t="s">
        <v>507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621</v>
      </c>
      <c r="T23" s="34" t="s">
        <v>85</v>
      </c>
      <c r="U23" s="34"/>
    </row>
    <row r="24" spans="1:22" ht="22" customHeight="1">
      <c r="A24" s="31" t="s">
        <v>446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HYPERLINK("#'5월계산기'!A1","계산기 대조 · 5월계산기 열기")</f>
        <v>계산기 대조 · 5월계산기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1197000</v>
      </c>
      <c r="N28" s="367"/>
      <c r="O28" s="429" t="s">
        <v>234</v>
      </c>
      <c r="P28" s="367"/>
      <c r="Q28" s="431">
        <f>'5월계산기'!W12</f>
        <v>1197000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1048000</v>
      </c>
      <c r="N29" s="367"/>
      <c r="O29" s="429" t="s">
        <v>239</v>
      </c>
      <c r="P29" s="367"/>
      <c r="Q29" s="431">
        <f>'5월계산기'!W13</f>
        <v>1048000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44185</v>
      </c>
      <c r="N30" s="367"/>
      <c r="O30" s="429" t="s">
        <v>514</v>
      </c>
      <c r="P30" s="367"/>
      <c r="Q30" s="431">
        <f>SUM(I4,I9,I14,I19,I24,I29)-I33</f>
        <v>44185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'5월계산기'!W14</f>
        <v>149000</v>
      </c>
      <c r="N31" s="367"/>
      <c r="O31" s="429" t="s">
        <v>515</v>
      </c>
      <c r="P31" s="367"/>
      <c r="Q31" s="431">
        <f>SUM(I4,I9,I14,I19,I24,I29)-I38</f>
        <v>149000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50000</v>
      </c>
      <c r="D38" s="27"/>
      <c r="E38" s="27" t="s">
        <v>622</v>
      </c>
      <c r="F38" s="27"/>
      <c r="G38" s="27"/>
      <c r="H38" s="27">
        <f>I33-148900-'_예비비계산'!AG6</f>
        <v>1003915</v>
      </c>
      <c r="I38" s="27">
        <f>SUM(I4,I9,I14,I19,I24,I29)-149000-'_예비비계산'!AH6</f>
        <v>1048000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2835740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47100</v>
      </c>
      <c r="I43" s="27">
        <f>H43</f>
        <v>47100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200000</v>
      </c>
      <c r="N64" s="40">
        <f>'_예비비계산'!AB6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30" t="s">
        <v>623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'_예비비계산'!AC6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'_예비비계산'!AD6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350000</v>
      </c>
      <c r="N67" s="46">
        <f>'_예비비계산'!AE6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'_예비비계산'!AF6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624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538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538000</v>
      </c>
      <c r="AA3">
        <v>538</v>
      </c>
    </row>
    <row r="4" spans="1:27" ht="18" customHeight="1">
      <c r="A4" s="122" t="s">
        <v>576</v>
      </c>
      <c r="B4" s="130"/>
      <c r="C4" s="124">
        <f>IFERROR(colorfunction(B4,$B$15:$U$144,FALSE),$AA$4)</f>
        <v>132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132000</v>
      </c>
      <c r="AA4">
        <v>132</v>
      </c>
    </row>
    <row r="5" spans="1:27" ht="18" customHeight="1">
      <c r="A5" s="122" t="s">
        <v>577</v>
      </c>
      <c r="B5" s="132"/>
      <c r="C5" s="124">
        <f>IFERROR(colorfunction(B5,$B$15:$U$144,FALSE),$AA$5)</f>
        <v>14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14000</v>
      </c>
      <c r="AA5">
        <v>14</v>
      </c>
    </row>
    <row r="6" spans="1:27" ht="18" customHeight="1">
      <c r="A6" s="122" t="s">
        <v>578</v>
      </c>
      <c r="B6" s="133"/>
      <c r="C6" s="124">
        <f>IFERROR(colorfunction(B6,$B$15:$U$144,FALSE),$AA$6)</f>
        <v>87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87000</v>
      </c>
      <c r="AA6">
        <v>87</v>
      </c>
    </row>
    <row r="7" spans="1:27" ht="18" customHeight="1">
      <c r="A7" s="122" t="s">
        <v>579</v>
      </c>
      <c r="B7" s="134"/>
      <c r="C7" s="124">
        <f>IFERROR(colorfunction(B7,$B$15:$U$144,FALSE),$AA$7)</f>
        <v>91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91000</v>
      </c>
      <c r="AA7">
        <v>91</v>
      </c>
    </row>
    <row r="8" spans="1:27" ht="18" customHeight="1">
      <c r="A8" s="122" t="s">
        <v>580</v>
      </c>
      <c r="B8" s="135"/>
      <c r="C8" s="124">
        <f>IFERROR(colorfunction(B8,$B$15:$U$144,FALSE),$AA$8)</f>
        <v>103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103000</v>
      </c>
      <c r="AA8">
        <v>103</v>
      </c>
    </row>
    <row r="9" spans="1:27" ht="18" customHeight="1">
      <c r="A9" s="122" t="s">
        <v>581</v>
      </c>
      <c r="B9" s="136"/>
      <c r="C9" s="124">
        <f>IFERROR(colorfunction(B9,$B$15:$U$144,FALSE),$AA$9)</f>
        <v>165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165000</v>
      </c>
      <c r="AA9">
        <v>165</v>
      </c>
    </row>
    <row r="10" spans="1:27" ht="18" customHeight="1">
      <c r="A10" s="122" t="s">
        <v>582</v>
      </c>
      <c r="B10" s="137"/>
      <c r="C10" s="124">
        <f>IFERROR(colorfunction(B10,$B$15:$U$144,FALSE),$AA$10)</f>
        <v>67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67000</v>
      </c>
      <c r="AA10">
        <v>67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1197000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1048000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CEILING(RAW!K960,1000)+CEILING(RAW!K991,1000)+'_예비비계산'!AH6</f>
        <v>149000</v>
      </c>
    </row>
    <row r="15" spans="1:27" ht="12" customHeight="1">
      <c r="A15" s="127"/>
      <c r="B15" s="138"/>
      <c r="C15" s="152"/>
      <c r="D15" s="151"/>
      <c r="E15" s="152"/>
      <c r="F15" s="151"/>
      <c r="G15" s="139"/>
      <c r="H15" s="140"/>
      <c r="I15" s="139"/>
      <c r="J15" s="138"/>
      <c r="K15" s="139"/>
      <c r="L15" s="138"/>
      <c r="M15" s="139"/>
      <c r="N15" s="138"/>
      <c r="O15" s="139"/>
      <c r="P15" s="140"/>
      <c r="Q15" s="139"/>
      <c r="R15" s="138"/>
      <c r="S15" s="152"/>
      <c r="T15" s="138"/>
      <c r="U15" s="141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58"/>
      <c r="D16" s="157"/>
      <c r="E16" s="158"/>
      <c r="F16" s="142"/>
      <c r="G16" s="145"/>
      <c r="H16" s="142"/>
      <c r="I16" s="143"/>
      <c r="J16" s="142"/>
      <c r="K16" s="143"/>
      <c r="L16" s="142"/>
      <c r="M16" s="143"/>
      <c r="N16" s="142"/>
      <c r="O16" s="143"/>
      <c r="P16" s="144"/>
      <c r="Q16" s="143"/>
      <c r="R16" s="157"/>
      <c r="S16" s="158"/>
      <c r="T16" s="142"/>
      <c r="U16" s="145"/>
      <c r="V16" s="304" t="s">
        <v>232</v>
      </c>
      <c r="W16" s="305">
        <f>SUM(W3:W10)</f>
        <v>1197000</v>
      </c>
    </row>
    <row r="17" spans="1:27" ht="12" customHeight="1">
      <c r="A17" s="127"/>
      <c r="B17" s="142"/>
      <c r="C17" s="158"/>
      <c r="D17" s="157"/>
      <c r="E17" s="158"/>
      <c r="F17" s="142"/>
      <c r="G17" s="145"/>
      <c r="H17" s="142"/>
      <c r="I17" s="143"/>
      <c r="J17" s="142"/>
      <c r="K17" s="143"/>
      <c r="L17" s="142"/>
      <c r="M17" s="143"/>
      <c r="N17" s="142"/>
      <c r="O17" s="143"/>
      <c r="P17" s="144"/>
      <c r="Q17" s="143"/>
      <c r="R17" s="157"/>
      <c r="S17" s="158"/>
      <c r="T17" s="142"/>
      <c r="U17" s="14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58"/>
      <c r="D18" s="157"/>
      <c r="E18" s="158"/>
      <c r="F18" s="142"/>
      <c r="G18" s="145"/>
      <c r="H18" s="142"/>
      <c r="I18" s="143"/>
      <c r="J18" s="142"/>
      <c r="K18" s="143"/>
      <c r="L18" s="142"/>
      <c r="M18" s="143"/>
      <c r="N18" s="142"/>
      <c r="O18" s="145"/>
      <c r="P18" s="142"/>
      <c r="Q18" s="143"/>
      <c r="R18" s="157"/>
      <c r="S18" s="143"/>
      <c r="T18" s="144"/>
      <c r="U18" s="158"/>
      <c r="V18" s="127"/>
      <c r="W18" s="127"/>
    </row>
    <row r="19" spans="1:27" ht="12" customHeight="1" thickBot="1">
      <c r="A19" s="146">
        <v>1</v>
      </c>
      <c r="B19" s="147"/>
      <c r="C19" s="164"/>
      <c r="D19" s="163"/>
      <c r="E19" s="164"/>
      <c r="F19" s="147"/>
      <c r="G19" s="150"/>
      <c r="H19" s="147"/>
      <c r="I19" s="148"/>
      <c r="J19" s="147"/>
      <c r="K19" s="148"/>
      <c r="L19" s="147"/>
      <c r="M19" s="148"/>
      <c r="N19" s="147"/>
      <c r="O19" s="150"/>
      <c r="P19" s="147"/>
      <c r="Q19" s="148"/>
      <c r="R19" s="163"/>
      <c r="S19" s="148"/>
      <c r="T19" s="149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39"/>
      <c r="F20" s="138"/>
      <c r="G20" s="141"/>
      <c r="H20" s="138"/>
      <c r="I20" s="139"/>
      <c r="J20" s="138"/>
      <c r="K20" s="141"/>
      <c r="L20" s="138"/>
      <c r="M20" s="139"/>
      <c r="N20" s="140"/>
      <c r="O20" s="139"/>
      <c r="P20" s="140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43"/>
      <c r="F21" s="142"/>
      <c r="G21" s="145"/>
      <c r="H21" s="142"/>
      <c r="I21" s="143"/>
      <c r="J21" s="142"/>
      <c r="K21" s="145"/>
      <c r="L21" s="142"/>
      <c r="M21" s="145"/>
      <c r="N21" s="142"/>
      <c r="O21" s="145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57"/>
      <c r="C22" s="158"/>
      <c r="D22" s="142"/>
      <c r="E22" s="143"/>
      <c r="F22" s="142"/>
      <c r="G22" s="145"/>
      <c r="H22" s="142"/>
      <c r="I22" s="143"/>
      <c r="J22" s="142"/>
      <c r="K22" s="145"/>
      <c r="L22" s="142"/>
      <c r="M22" s="145"/>
      <c r="N22" s="142"/>
      <c r="O22" s="145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57"/>
      <c r="C23" s="158"/>
      <c r="D23" s="142"/>
      <c r="E23" s="143"/>
      <c r="F23" s="142"/>
      <c r="G23" s="145"/>
      <c r="H23" s="142"/>
      <c r="I23" s="143"/>
      <c r="J23" s="142"/>
      <c r="K23" s="145"/>
      <c r="L23" s="142"/>
      <c r="M23" s="145"/>
      <c r="N23" s="142"/>
      <c r="O23" s="145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47"/>
      <c r="E24" s="148"/>
      <c r="F24" s="147"/>
      <c r="G24" s="150"/>
      <c r="H24" s="147"/>
      <c r="I24" s="148"/>
      <c r="J24" s="147"/>
      <c r="K24" s="150"/>
      <c r="L24" s="147"/>
      <c r="M24" s="150"/>
      <c r="N24" s="147"/>
      <c r="O24" s="150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39"/>
      <c r="D25" s="138"/>
      <c r="E25" s="139"/>
      <c r="F25" s="138"/>
      <c r="G25" s="139"/>
      <c r="H25" s="140"/>
      <c r="I25" s="139"/>
      <c r="J25" s="151"/>
      <c r="K25" s="171"/>
      <c r="L25" s="172"/>
      <c r="M25" s="171"/>
      <c r="N25" s="172"/>
      <c r="O25" s="171"/>
      <c r="P25" s="172"/>
      <c r="Q25" s="171"/>
      <c r="R25" s="172"/>
      <c r="S25" s="171"/>
      <c r="T25" s="172"/>
      <c r="U25" s="171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57"/>
      <c r="K26" s="173"/>
      <c r="L26" s="174"/>
      <c r="M26" s="173"/>
      <c r="N26" s="174"/>
      <c r="O26" s="173"/>
      <c r="P26" s="174"/>
      <c r="Q26" s="173"/>
      <c r="R26" s="174"/>
      <c r="S26" s="173"/>
      <c r="T26" s="174"/>
      <c r="U26" s="17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57"/>
      <c r="K27" s="173"/>
      <c r="L27" s="174"/>
      <c r="M27" s="173"/>
      <c r="N27" s="174"/>
      <c r="O27" s="173"/>
      <c r="P27" s="174"/>
      <c r="Q27" s="173"/>
      <c r="R27" s="174"/>
      <c r="S27" s="173"/>
      <c r="T27" s="174"/>
      <c r="U27" s="17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57"/>
      <c r="K28" s="173"/>
      <c r="L28" s="174"/>
      <c r="M28" s="173"/>
      <c r="N28" s="174"/>
      <c r="O28" s="173"/>
      <c r="P28" s="174"/>
      <c r="Q28" s="173"/>
      <c r="R28" s="174"/>
      <c r="S28" s="173"/>
      <c r="T28" s="174"/>
      <c r="U28" s="17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48"/>
      <c r="J29" s="163"/>
      <c r="K29" s="175"/>
      <c r="L29" s="176"/>
      <c r="M29" s="175"/>
      <c r="N29" s="176"/>
      <c r="O29" s="175"/>
      <c r="P29" s="176"/>
      <c r="Q29" s="175"/>
      <c r="R29" s="176"/>
      <c r="S29" s="175"/>
      <c r="T29" s="176"/>
      <c r="U29" s="175"/>
      <c r="V29" s="127"/>
      <c r="W29" s="127"/>
    </row>
    <row r="30" spans="1:27" ht="12" customHeight="1">
      <c r="A30" s="127"/>
      <c r="B30" s="172"/>
      <c r="C30" s="171"/>
      <c r="D30" s="140"/>
      <c r="E30" s="139"/>
      <c r="F30" s="138"/>
      <c r="G30" s="139"/>
      <c r="H30" s="186"/>
      <c r="I30" s="178"/>
      <c r="J30" s="186"/>
      <c r="K30" s="178"/>
      <c r="L30" s="186"/>
      <c r="M30" s="178"/>
      <c r="N30" s="138"/>
      <c r="O30" s="139"/>
      <c r="P30" s="138"/>
      <c r="Q30" s="155"/>
      <c r="R30" s="156"/>
      <c r="S30" s="155"/>
      <c r="T30" s="140"/>
      <c r="U30" s="152"/>
      <c r="V30" s="127"/>
      <c r="W30" s="127"/>
    </row>
    <row r="31" spans="1:27" ht="12" customHeight="1">
      <c r="A31" s="127"/>
      <c r="B31" s="174"/>
      <c r="C31" s="173"/>
      <c r="D31" s="144"/>
      <c r="E31" s="143"/>
      <c r="F31" s="142"/>
      <c r="G31" s="143"/>
      <c r="H31" s="169"/>
      <c r="I31" s="187"/>
      <c r="J31" s="169"/>
      <c r="K31" s="187"/>
      <c r="L31" s="169"/>
      <c r="M31" s="143"/>
      <c r="N31" s="142"/>
      <c r="O31" s="143"/>
      <c r="P31" s="162"/>
      <c r="Q31" s="161"/>
      <c r="R31" s="162"/>
      <c r="S31" s="161"/>
      <c r="T31" s="144"/>
      <c r="U31" s="158"/>
      <c r="V31" s="127"/>
      <c r="W31" s="127"/>
    </row>
    <row r="32" spans="1:27" ht="12" customHeight="1">
      <c r="A32" s="127"/>
      <c r="B32" s="174"/>
      <c r="C32" s="173"/>
      <c r="D32" s="144"/>
      <c r="E32" s="143"/>
      <c r="F32" s="142"/>
      <c r="G32" s="143"/>
      <c r="H32" s="169"/>
      <c r="I32" s="187"/>
      <c r="J32" s="169"/>
      <c r="K32" s="187"/>
      <c r="L32" s="169"/>
      <c r="M32" s="143"/>
      <c r="N32" s="142"/>
      <c r="O32" s="143"/>
      <c r="P32" s="162"/>
      <c r="Q32" s="161"/>
      <c r="R32" s="162"/>
      <c r="S32" s="161"/>
      <c r="T32" s="144"/>
      <c r="U32" s="158"/>
      <c r="V32" s="127"/>
      <c r="W32" s="127"/>
    </row>
    <row r="33" spans="1:23" ht="12" customHeight="1">
      <c r="A33" s="127"/>
      <c r="B33" s="174"/>
      <c r="C33" s="145"/>
      <c r="D33" s="142"/>
      <c r="E33" s="143"/>
      <c r="F33" s="142"/>
      <c r="G33" s="143"/>
      <c r="H33" s="169"/>
      <c r="I33" s="187"/>
      <c r="J33" s="169"/>
      <c r="K33" s="187"/>
      <c r="L33" s="169"/>
      <c r="M33" s="143"/>
      <c r="N33" s="142"/>
      <c r="O33" s="143"/>
      <c r="P33" s="162"/>
      <c r="Q33" s="161"/>
      <c r="R33" s="162"/>
      <c r="S33" s="161"/>
      <c r="T33" s="144"/>
      <c r="U33" s="161"/>
      <c r="V33" s="127"/>
      <c r="W33" s="127"/>
    </row>
    <row r="34" spans="1:23" ht="12" customHeight="1" thickBot="1">
      <c r="A34" s="146">
        <v>4</v>
      </c>
      <c r="B34" s="176"/>
      <c r="C34" s="150"/>
      <c r="D34" s="147"/>
      <c r="E34" s="148"/>
      <c r="F34" s="147"/>
      <c r="G34" s="148"/>
      <c r="H34" s="170"/>
      <c r="I34" s="177"/>
      <c r="J34" s="170"/>
      <c r="K34" s="177"/>
      <c r="L34" s="170"/>
      <c r="M34" s="148"/>
      <c r="N34" s="147"/>
      <c r="O34" s="148"/>
      <c r="P34" s="168"/>
      <c r="Q34" s="167"/>
      <c r="R34" s="168"/>
      <c r="S34" s="150"/>
      <c r="T34" s="163"/>
      <c r="U34" s="167"/>
      <c r="V34" s="127"/>
      <c r="W34" s="127"/>
    </row>
    <row r="35" spans="1:23" ht="12" customHeight="1">
      <c r="A35" s="127"/>
      <c r="B35" s="156"/>
      <c r="C35" s="155"/>
      <c r="D35" s="156"/>
      <c r="E35" s="155"/>
      <c r="F35" s="186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38"/>
      <c r="U35" s="139"/>
      <c r="V35" s="127"/>
      <c r="W35" s="127"/>
    </row>
    <row r="36" spans="1:23" ht="12" customHeight="1">
      <c r="A36" s="127"/>
      <c r="B36" s="162"/>
      <c r="C36" s="161"/>
      <c r="D36" s="162"/>
      <c r="E36" s="161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2"/>
      <c r="U36" s="143"/>
      <c r="V36" s="127"/>
      <c r="W36" s="127"/>
    </row>
    <row r="37" spans="1:23" ht="12" customHeight="1">
      <c r="A37" s="127"/>
      <c r="B37" s="162"/>
      <c r="C37" s="161"/>
      <c r="D37" s="162"/>
      <c r="E37" s="187"/>
      <c r="F37" s="144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42"/>
      <c r="U37" s="143"/>
      <c r="V37" s="127"/>
      <c r="W37" s="127"/>
    </row>
    <row r="38" spans="1:23" ht="12" customHeight="1">
      <c r="A38" s="127"/>
      <c r="B38" s="162"/>
      <c r="C38" s="161"/>
      <c r="D38" s="162"/>
      <c r="E38" s="187"/>
      <c r="F38" s="144"/>
      <c r="G38" s="143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68"/>
      <c r="C39" s="167"/>
      <c r="D39" s="168"/>
      <c r="E39" s="177"/>
      <c r="F39" s="149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40"/>
      <c r="K40" s="139"/>
      <c r="L40" s="138"/>
      <c r="M40" s="139"/>
      <c r="N40" s="138"/>
      <c r="O40" s="139"/>
      <c r="P40" s="140"/>
      <c r="Q40" s="178"/>
      <c r="R40" s="186"/>
      <c r="S40" s="178"/>
      <c r="T40" s="186"/>
      <c r="U40" s="178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4"/>
      <c r="K41" s="143"/>
      <c r="L41" s="142"/>
      <c r="M41" s="143"/>
      <c r="N41" s="142"/>
      <c r="O41" s="161"/>
      <c r="P41" s="144"/>
      <c r="Q41" s="187"/>
      <c r="R41" s="169"/>
      <c r="S41" s="187"/>
      <c r="T41" s="169"/>
      <c r="U41" s="187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4"/>
      <c r="K42" s="143"/>
      <c r="L42" s="142"/>
      <c r="M42" s="143"/>
      <c r="N42" s="142"/>
      <c r="O42" s="161"/>
      <c r="P42" s="144"/>
      <c r="Q42" s="187"/>
      <c r="R42" s="169"/>
      <c r="S42" s="187"/>
      <c r="T42" s="169"/>
      <c r="U42" s="187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44"/>
      <c r="K43" s="143"/>
      <c r="L43" s="142"/>
      <c r="M43" s="143"/>
      <c r="N43" s="142"/>
      <c r="O43" s="161"/>
      <c r="P43" s="144"/>
      <c r="Q43" s="187"/>
      <c r="R43" s="169"/>
      <c r="S43" s="187"/>
      <c r="T43" s="169"/>
      <c r="U43" s="187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50"/>
      <c r="J44" s="147"/>
      <c r="K44" s="148"/>
      <c r="L44" s="147"/>
      <c r="M44" s="148"/>
      <c r="N44" s="147"/>
      <c r="O44" s="167"/>
      <c r="P44" s="149"/>
      <c r="Q44" s="177"/>
      <c r="R44" s="170"/>
      <c r="S44" s="177"/>
      <c r="T44" s="170"/>
      <c r="U44" s="177"/>
      <c r="V44" s="127"/>
      <c r="W44" s="127"/>
    </row>
    <row r="45" spans="1:23" ht="12" customHeight="1">
      <c r="A45" s="127"/>
      <c r="B45" s="186"/>
      <c r="C45" s="178"/>
      <c r="D45" s="186"/>
      <c r="E45" s="139"/>
      <c r="F45" s="138"/>
      <c r="G45" s="139"/>
      <c r="H45" s="138"/>
      <c r="I45" s="152"/>
      <c r="J45" s="151"/>
      <c r="K45" s="141"/>
      <c r="L45" s="138"/>
      <c r="M45" s="141"/>
      <c r="N45" s="138"/>
      <c r="O45" s="141"/>
      <c r="P45" s="151"/>
      <c r="Q45" s="139"/>
      <c r="R45" s="138"/>
      <c r="S45" s="141"/>
      <c r="T45" s="138"/>
      <c r="U45" s="139"/>
      <c r="V45" s="127"/>
      <c r="W45" s="127"/>
    </row>
    <row r="46" spans="1:23" ht="12" customHeight="1">
      <c r="A46" s="127"/>
      <c r="B46" s="169"/>
      <c r="C46" s="187"/>
      <c r="D46" s="169"/>
      <c r="E46" s="143"/>
      <c r="F46" s="142"/>
      <c r="G46" s="143"/>
      <c r="H46" s="142"/>
      <c r="I46" s="158"/>
      <c r="J46" s="157"/>
      <c r="K46" s="145"/>
      <c r="L46" s="142"/>
      <c r="M46" s="145"/>
      <c r="N46" s="142"/>
      <c r="O46" s="145"/>
      <c r="P46" s="157"/>
      <c r="Q46" s="143"/>
      <c r="R46" s="142"/>
      <c r="S46" s="145"/>
      <c r="T46" s="142"/>
      <c r="U46" s="143"/>
      <c r="V46" s="127"/>
      <c r="W46" s="127"/>
    </row>
    <row r="47" spans="1:23" ht="12" customHeight="1">
      <c r="A47" s="127"/>
      <c r="B47" s="169"/>
      <c r="C47" s="187"/>
      <c r="D47" s="169"/>
      <c r="E47" s="143"/>
      <c r="F47" s="142"/>
      <c r="G47" s="143"/>
      <c r="H47" s="142"/>
      <c r="I47" s="158"/>
      <c r="J47" s="157"/>
      <c r="K47" s="145"/>
      <c r="L47" s="144"/>
      <c r="M47" s="143"/>
      <c r="N47" s="174"/>
      <c r="O47" s="145"/>
      <c r="P47" s="157"/>
      <c r="Q47" s="143"/>
      <c r="R47" s="142"/>
      <c r="S47" s="145"/>
      <c r="T47" s="142"/>
      <c r="U47" s="143"/>
      <c r="V47" s="127"/>
      <c r="W47" s="127"/>
    </row>
    <row r="48" spans="1:23" ht="12" customHeight="1">
      <c r="A48" s="127"/>
      <c r="B48" s="169"/>
      <c r="C48" s="187"/>
      <c r="D48" s="169"/>
      <c r="E48" s="143"/>
      <c r="F48" s="142"/>
      <c r="G48" s="143"/>
      <c r="H48" s="142"/>
      <c r="I48" s="158"/>
      <c r="J48" s="157"/>
      <c r="K48" s="145"/>
      <c r="L48" s="144"/>
      <c r="M48" s="143"/>
      <c r="N48" s="174"/>
      <c r="O48" s="145"/>
      <c r="P48" s="157"/>
      <c r="Q48" s="143"/>
      <c r="R48" s="142"/>
      <c r="S48" s="145"/>
      <c r="T48" s="142"/>
      <c r="U48" s="145"/>
      <c r="V48" s="127"/>
      <c r="W48" s="127"/>
    </row>
    <row r="49" spans="1:23" ht="12" customHeight="1" thickBot="1">
      <c r="A49" s="146">
        <v>7</v>
      </c>
      <c r="B49" s="170"/>
      <c r="C49" s="177"/>
      <c r="D49" s="170"/>
      <c r="E49" s="148"/>
      <c r="F49" s="147"/>
      <c r="G49" s="148"/>
      <c r="H49" s="147"/>
      <c r="I49" s="164"/>
      <c r="J49" s="163"/>
      <c r="K49" s="150"/>
      <c r="L49" s="149"/>
      <c r="M49" s="148"/>
      <c r="N49" s="149"/>
      <c r="O49" s="164"/>
      <c r="P49" s="163"/>
      <c r="Q49" s="148"/>
      <c r="R49" s="147"/>
      <c r="S49" s="150"/>
      <c r="T49" s="147"/>
      <c r="U49" s="150"/>
      <c r="V49" s="127"/>
      <c r="W49" s="127"/>
    </row>
    <row r="50" spans="1:23" ht="12" customHeight="1">
      <c r="A50" s="127"/>
      <c r="B50" s="140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55"/>
      <c r="R50" s="156"/>
      <c r="S50" s="155"/>
      <c r="T50" s="162"/>
      <c r="U50" s="155"/>
      <c r="V50" s="127"/>
      <c r="W50" s="127"/>
    </row>
    <row r="51" spans="1:23" ht="12" customHeight="1">
      <c r="A51" s="127"/>
      <c r="B51" s="144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5"/>
      <c r="P51" s="162"/>
      <c r="Q51" s="161"/>
      <c r="R51" s="162"/>
      <c r="S51" s="161"/>
      <c r="T51" s="162"/>
      <c r="U51" s="161"/>
      <c r="V51" s="127"/>
      <c r="W51" s="127"/>
    </row>
    <row r="52" spans="1:23" ht="12" customHeight="1">
      <c r="A52" s="127"/>
      <c r="B52" s="144"/>
      <c r="C52" s="143"/>
      <c r="D52" s="142"/>
      <c r="E52" s="143"/>
      <c r="F52" s="142"/>
      <c r="G52" s="143"/>
      <c r="H52" s="142"/>
      <c r="I52" s="143"/>
      <c r="J52" s="142"/>
      <c r="K52" s="143"/>
      <c r="L52" s="142"/>
      <c r="M52" s="143"/>
      <c r="N52" s="142"/>
      <c r="O52" s="145"/>
      <c r="P52" s="162"/>
      <c r="Q52" s="161"/>
      <c r="R52" s="162"/>
      <c r="S52" s="161"/>
      <c r="T52" s="162"/>
      <c r="U52" s="16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43"/>
      <c r="L53" s="142"/>
      <c r="M53" s="143"/>
      <c r="N53" s="142"/>
      <c r="O53" s="145"/>
      <c r="P53" s="162"/>
      <c r="Q53" s="161"/>
      <c r="R53" s="162"/>
      <c r="S53" s="161"/>
      <c r="T53" s="162"/>
      <c r="U53" s="16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48"/>
      <c r="L54" s="147"/>
      <c r="M54" s="148"/>
      <c r="N54" s="147"/>
      <c r="O54" s="150"/>
      <c r="P54" s="168"/>
      <c r="Q54" s="167"/>
      <c r="R54" s="168"/>
      <c r="S54" s="167"/>
      <c r="T54" s="168"/>
      <c r="U54" s="167"/>
      <c r="V54" s="127"/>
      <c r="W54" s="127"/>
    </row>
    <row r="55" spans="1:23" ht="12" customHeight="1">
      <c r="A55" s="127"/>
      <c r="B55" s="156"/>
      <c r="C55" s="155"/>
      <c r="D55" s="156"/>
      <c r="E55" s="155"/>
      <c r="F55" s="156"/>
      <c r="G55" s="141"/>
      <c r="H55" s="138"/>
      <c r="I55" s="139"/>
      <c r="J55" s="138"/>
      <c r="K55" s="139"/>
      <c r="L55" s="138"/>
      <c r="M55" s="139"/>
      <c r="N55" s="140"/>
      <c r="O55" s="153"/>
      <c r="P55" s="154"/>
      <c r="Q55" s="153"/>
      <c r="R55" s="154"/>
      <c r="S55" s="153"/>
      <c r="T55" s="154"/>
      <c r="U55" s="139"/>
      <c r="V55" s="127"/>
      <c r="W55" s="127"/>
    </row>
    <row r="56" spans="1:23" ht="12" customHeight="1">
      <c r="A56" s="127"/>
      <c r="B56" s="162"/>
      <c r="C56" s="161"/>
      <c r="D56" s="162"/>
      <c r="E56" s="161"/>
      <c r="F56" s="144"/>
      <c r="G56" s="159"/>
      <c r="H56" s="142"/>
      <c r="I56" s="143"/>
      <c r="J56" s="142"/>
      <c r="K56" s="143"/>
      <c r="L56" s="142"/>
      <c r="M56" s="143"/>
      <c r="N56" s="144"/>
      <c r="O56" s="159"/>
      <c r="P56" s="160"/>
      <c r="Q56" s="159"/>
      <c r="R56" s="160"/>
      <c r="S56" s="159"/>
      <c r="T56" s="160"/>
      <c r="U56" s="143"/>
      <c r="V56" s="127"/>
      <c r="W56" s="127"/>
    </row>
    <row r="57" spans="1:23" ht="12" customHeight="1">
      <c r="A57" s="127"/>
      <c r="B57" s="162"/>
      <c r="C57" s="161"/>
      <c r="D57" s="162"/>
      <c r="E57" s="161"/>
      <c r="F57" s="144"/>
      <c r="G57" s="159"/>
      <c r="H57" s="142"/>
      <c r="I57" s="143"/>
      <c r="J57" s="142"/>
      <c r="K57" s="143"/>
      <c r="L57" s="142"/>
      <c r="M57" s="143"/>
      <c r="N57" s="144"/>
      <c r="O57" s="159"/>
      <c r="P57" s="160"/>
      <c r="Q57" s="159"/>
      <c r="R57" s="160"/>
      <c r="S57" s="159"/>
      <c r="T57" s="160"/>
      <c r="U57" s="173"/>
      <c r="V57" s="127"/>
      <c r="W57" s="127"/>
    </row>
    <row r="58" spans="1:23" ht="12" customHeight="1">
      <c r="A58" s="127"/>
      <c r="B58" s="162"/>
      <c r="C58" s="161"/>
      <c r="D58" s="162"/>
      <c r="E58" s="161"/>
      <c r="F58" s="144"/>
      <c r="G58" s="143"/>
      <c r="H58" s="142"/>
      <c r="I58" s="143"/>
      <c r="J58" s="142"/>
      <c r="K58" s="143"/>
      <c r="L58" s="142"/>
      <c r="M58" s="145"/>
      <c r="N58" s="160"/>
      <c r="O58" s="159"/>
      <c r="P58" s="160"/>
      <c r="Q58" s="159"/>
      <c r="R58" s="160"/>
      <c r="S58" s="159"/>
      <c r="T58" s="142"/>
      <c r="U58" s="173"/>
      <c r="V58" s="127"/>
      <c r="W58" s="127"/>
    </row>
    <row r="59" spans="1:23" ht="12" customHeight="1" thickBot="1">
      <c r="A59" s="146">
        <v>9</v>
      </c>
      <c r="B59" s="168"/>
      <c r="C59" s="167"/>
      <c r="D59" s="168"/>
      <c r="E59" s="167"/>
      <c r="F59" s="149"/>
      <c r="G59" s="148"/>
      <c r="H59" s="147"/>
      <c r="I59" s="148"/>
      <c r="J59" s="147"/>
      <c r="K59" s="148"/>
      <c r="L59" s="147"/>
      <c r="M59" s="150"/>
      <c r="N59" s="166"/>
      <c r="O59" s="165"/>
      <c r="P59" s="166"/>
      <c r="Q59" s="165"/>
      <c r="R59" s="166"/>
      <c r="S59" s="165"/>
      <c r="T59" s="147"/>
      <c r="U59" s="175"/>
      <c r="V59" s="127"/>
      <c r="W59" s="127"/>
    </row>
    <row r="60" spans="1:23" ht="12" customHeight="1">
      <c r="A60" s="127"/>
      <c r="B60" s="172"/>
      <c r="C60" s="171"/>
      <c r="D60" s="172"/>
      <c r="E60" s="171"/>
      <c r="F60" s="172"/>
      <c r="G60" s="171"/>
      <c r="H60" s="151"/>
      <c r="I60" s="152"/>
      <c r="J60" s="151"/>
      <c r="K60" s="188"/>
      <c r="L60" s="189"/>
      <c r="M60" s="188"/>
      <c r="N60" s="154"/>
      <c r="O60" s="152"/>
      <c r="P60" s="151"/>
      <c r="Q60" s="139"/>
      <c r="R60" s="138"/>
      <c r="S60" s="139"/>
      <c r="T60" s="151"/>
      <c r="U60" s="152"/>
      <c r="V60" s="127"/>
      <c r="W60" s="127"/>
    </row>
    <row r="61" spans="1:23" ht="12" customHeight="1">
      <c r="A61" s="127"/>
      <c r="B61" s="174"/>
      <c r="C61" s="173"/>
      <c r="D61" s="174"/>
      <c r="E61" s="173"/>
      <c r="F61" s="174"/>
      <c r="G61" s="173"/>
      <c r="H61" s="157"/>
      <c r="I61" s="158"/>
      <c r="J61" s="157"/>
      <c r="K61" s="191"/>
      <c r="L61" s="190"/>
      <c r="M61" s="191"/>
      <c r="N61" s="160"/>
      <c r="O61" s="158"/>
      <c r="P61" s="157"/>
      <c r="Q61" s="143"/>
      <c r="R61" s="142"/>
      <c r="S61" s="143"/>
      <c r="T61" s="157"/>
      <c r="U61" s="158"/>
      <c r="V61" s="127"/>
      <c r="W61" s="127"/>
    </row>
    <row r="62" spans="1:23" ht="12" customHeight="1">
      <c r="A62" s="127"/>
      <c r="B62" s="174"/>
      <c r="C62" s="173"/>
      <c r="D62" s="174"/>
      <c r="E62" s="173"/>
      <c r="F62" s="174"/>
      <c r="G62" s="158"/>
      <c r="H62" s="157"/>
      <c r="I62" s="158"/>
      <c r="J62" s="157"/>
      <c r="K62" s="191"/>
      <c r="L62" s="190"/>
      <c r="M62" s="191"/>
      <c r="N62" s="160"/>
      <c r="O62" s="158"/>
      <c r="P62" s="157"/>
      <c r="Q62" s="143"/>
      <c r="R62" s="142"/>
      <c r="S62" s="143"/>
      <c r="T62" s="157"/>
      <c r="U62" s="158"/>
      <c r="V62" s="127"/>
      <c r="W62" s="127"/>
    </row>
    <row r="63" spans="1:23" ht="12" customHeight="1">
      <c r="A63" s="127"/>
      <c r="B63" s="174"/>
      <c r="C63" s="173"/>
      <c r="D63" s="174"/>
      <c r="E63" s="173"/>
      <c r="F63" s="174"/>
      <c r="G63" s="158"/>
      <c r="H63" s="157"/>
      <c r="I63" s="158"/>
      <c r="J63" s="157"/>
      <c r="K63" s="191"/>
      <c r="L63" s="190"/>
      <c r="M63" s="159"/>
      <c r="N63" s="157"/>
      <c r="O63" s="158"/>
      <c r="P63" s="157"/>
      <c r="Q63" s="143"/>
      <c r="R63" s="142"/>
      <c r="S63" s="143"/>
      <c r="T63" s="142"/>
      <c r="U63" s="158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75"/>
      <c r="F64" s="176"/>
      <c r="G64" s="164"/>
      <c r="H64" s="163"/>
      <c r="I64" s="164"/>
      <c r="J64" s="192"/>
      <c r="K64" s="193"/>
      <c r="L64" s="192"/>
      <c r="M64" s="165"/>
      <c r="N64" s="163"/>
      <c r="O64" s="164"/>
      <c r="P64" s="147"/>
      <c r="Q64" s="148"/>
      <c r="R64" s="147"/>
      <c r="S64" s="148"/>
      <c r="T64" s="147"/>
      <c r="U64" s="164"/>
      <c r="V64" s="127"/>
      <c r="W64" s="127"/>
    </row>
    <row r="65" spans="1:23" ht="12" customHeight="1">
      <c r="A65" s="127"/>
      <c r="B65" s="151"/>
      <c r="C65" s="153"/>
      <c r="D65" s="154"/>
      <c r="E65" s="153"/>
      <c r="F65" s="154"/>
      <c r="G65" s="153"/>
      <c r="H65" s="154"/>
      <c r="I65" s="139"/>
      <c r="J65" s="138"/>
      <c r="K65" s="139"/>
      <c r="L65" s="138"/>
      <c r="M65" s="141"/>
      <c r="N65" s="140"/>
      <c r="O65" s="139"/>
      <c r="P65" s="138"/>
      <c r="Q65" s="139"/>
      <c r="R65" s="138"/>
      <c r="S65" s="178"/>
      <c r="T65" s="186"/>
      <c r="U65" s="178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42"/>
      <c r="I66" s="143"/>
      <c r="J66" s="142"/>
      <c r="K66" s="143"/>
      <c r="L66" s="142"/>
      <c r="M66" s="145"/>
      <c r="N66" s="144"/>
      <c r="O66" s="143"/>
      <c r="P66" s="142"/>
      <c r="Q66" s="143"/>
      <c r="R66" s="142"/>
      <c r="S66" s="187"/>
      <c r="T66" s="169"/>
      <c r="U66" s="187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42"/>
      <c r="I67" s="143"/>
      <c r="J67" s="195"/>
      <c r="K67" s="143"/>
      <c r="L67" s="195"/>
      <c r="M67" s="143"/>
      <c r="N67" s="144"/>
      <c r="O67" s="143"/>
      <c r="P67" s="142"/>
      <c r="Q67" s="143"/>
      <c r="R67" s="142"/>
      <c r="S67" s="187"/>
      <c r="T67" s="169"/>
      <c r="U67" s="187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42"/>
      <c r="I68" s="143"/>
      <c r="J68" s="142"/>
      <c r="K68" s="143"/>
      <c r="L68" s="142"/>
      <c r="M68" s="143"/>
      <c r="N68" s="144"/>
      <c r="O68" s="143"/>
      <c r="P68" s="142"/>
      <c r="Q68" s="143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47"/>
      <c r="I69" s="148"/>
      <c r="J69" s="142"/>
      <c r="K69" s="148"/>
      <c r="L69" s="142"/>
      <c r="M69" s="148"/>
      <c r="N69" s="149"/>
      <c r="O69" s="148"/>
      <c r="P69" s="147"/>
      <c r="Q69" s="148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40"/>
      <c r="C70" s="141"/>
      <c r="D70" s="138"/>
      <c r="E70" s="139"/>
      <c r="F70" s="138"/>
      <c r="G70" s="152"/>
      <c r="H70" s="151"/>
      <c r="I70" s="152"/>
      <c r="J70" s="151"/>
      <c r="K70" s="171"/>
      <c r="L70" s="138"/>
      <c r="M70" s="141"/>
      <c r="N70" s="138"/>
      <c r="O70" s="139"/>
      <c r="P70" s="151"/>
      <c r="Q70" s="152"/>
      <c r="R70" s="151"/>
      <c r="S70" s="141"/>
      <c r="T70" s="138"/>
      <c r="U70" s="139"/>
      <c r="V70" s="127"/>
      <c r="W70" s="127"/>
    </row>
    <row r="71" spans="1:23" ht="12" customHeight="1">
      <c r="A71" s="127"/>
      <c r="B71" s="144"/>
      <c r="C71" s="145"/>
      <c r="D71" s="142"/>
      <c r="E71" s="143"/>
      <c r="F71" s="157"/>
      <c r="G71" s="158"/>
      <c r="H71" s="157"/>
      <c r="I71" s="158"/>
      <c r="J71" s="157"/>
      <c r="K71" s="173"/>
      <c r="L71" s="142"/>
      <c r="M71" s="145"/>
      <c r="N71" s="142"/>
      <c r="O71" s="143"/>
      <c r="P71" s="157"/>
      <c r="Q71" s="158"/>
      <c r="R71" s="157"/>
      <c r="S71" s="145"/>
      <c r="T71" s="142"/>
      <c r="U71" s="143"/>
      <c r="V71" s="127"/>
      <c r="W71" s="127"/>
    </row>
    <row r="72" spans="1:23" ht="12" customHeight="1">
      <c r="A72" s="127"/>
      <c r="B72" s="144"/>
      <c r="C72" s="145"/>
      <c r="D72" s="142"/>
      <c r="E72" s="143"/>
      <c r="F72" s="157"/>
      <c r="G72" s="158"/>
      <c r="H72" s="157"/>
      <c r="I72" s="158"/>
      <c r="J72" s="174"/>
      <c r="K72" s="173"/>
      <c r="L72" s="142"/>
      <c r="M72" s="145"/>
      <c r="N72" s="142"/>
      <c r="O72" s="143"/>
      <c r="P72" s="157"/>
      <c r="Q72" s="158"/>
      <c r="R72" s="157"/>
      <c r="S72" s="145"/>
      <c r="T72" s="142"/>
      <c r="U72" s="182"/>
      <c r="V72" s="127"/>
      <c r="W72" s="127"/>
    </row>
    <row r="73" spans="1:23" ht="12" customHeight="1">
      <c r="A73" s="127"/>
      <c r="B73" s="144"/>
      <c r="C73" s="145"/>
      <c r="D73" s="142"/>
      <c r="E73" s="143"/>
      <c r="F73" s="157"/>
      <c r="G73" s="158"/>
      <c r="H73" s="157"/>
      <c r="I73" s="158"/>
      <c r="J73" s="174"/>
      <c r="K73" s="173"/>
      <c r="L73" s="144"/>
      <c r="M73" s="143"/>
      <c r="N73" s="142"/>
      <c r="O73" s="143"/>
      <c r="P73" s="157"/>
      <c r="Q73" s="158"/>
      <c r="R73" s="157"/>
      <c r="S73" s="145"/>
      <c r="T73" s="142"/>
      <c r="U73" s="182"/>
      <c r="V73" s="127"/>
      <c r="W73" s="127"/>
    </row>
    <row r="74" spans="1:23" ht="12" customHeight="1" thickBot="1">
      <c r="A74" s="146">
        <v>12</v>
      </c>
      <c r="B74" s="149"/>
      <c r="C74" s="150"/>
      <c r="D74" s="147"/>
      <c r="E74" s="148"/>
      <c r="F74" s="163"/>
      <c r="G74" s="164"/>
      <c r="H74" s="163"/>
      <c r="I74" s="164"/>
      <c r="J74" s="176"/>
      <c r="K74" s="175"/>
      <c r="L74" s="149"/>
      <c r="M74" s="148"/>
      <c r="N74" s="147"/>
      <c r="O74" s="148"/>
      <c r="P74" s="163"/>
      <c r="Q74" s="164"/>
      <c r="R74" s="163"/>
      <c r="S74" s="150"/>
      <c r="T74" s="147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HYPERLINK("#'5월'!A1","← 5월 월간 가계부로 돌아가기")</f>
        <v>← 5월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1197000</v>
      </c>
      <c r="J149" s="366"/>
      <c r="K149" s="366"/>
      <c r="L149" s="366"/>
      <c r="M149" s="366"/>
      <c r="N149" s="367"/>
      <c r="O149" s="423" t="b">
        <f>IF('5월'!AA1,I149=('5월'!M28),"미입력")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1048000</v>
      </c>
      <c r="J150" s="366"/>
      <c r="K150" s="366"/>
      <c r="L150" s="366"/>
      <c r="M150" s="366"/>
      <c r="N150" s="367"/>
      <c r="O150" s="423" t="b">
        <f>IF('5월'!AA1,I150=('5월'!I38),"미입력")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149000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625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451</v>
      </c>
      <c r="L5" s="38" t="s">
        <v>626</v>
      </c>
      <c r="M5" s="34" t="s">
        <v>453</v>
      </c>
      <c r="N5" s="34" t="s">
        <v>454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455</v>
      </c>
      <c r="U5" s="34"/>
    </row>
    <row r="6" spans="1:27" ht="22" customHeight="1">
      <c r="A6" s="31" t="s">
        <v>323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456</v>
      </c>
      <c r="L6" s="31" t="s">
        <v>626</v>
      </c>
      <c r="M6" s="27" t="s">
        <v>453</v>
      </c>
      <c r="N6" s="27" t="s">
        <v>457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473</v>
      </c>
      <c r="L11" s="38" t="s">
        <v>627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628</v>
      </c>
      <c r="M12" s="27" t="s">
        <v>478</v>
      </c>
      <c r="N12" s="27" t="s">
        <v>479</v>
      </c>
      <c r="O12" s="35"/>
      <c r="P12" s="35"/>
      <c r="Q12" s="27">
        <f t="shared" si="0"/>
      </c>
      <c r="R12" s="27">
        <f t="shared" si="1"/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629</v>
      </c>
      <c r="T22" s="27" t="s">
        <v>506</v>
      </c>
      <c r="U22" s="27"/>
    </row>
    <row r="23" spans="1:22" ht="22" customHeight="1">
      <c r="A23" s="39" t="s">
        <v>507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630</v>
      </c>
      <c r="T23" s="34" t="s">
        <v>85</v>
      </c>
      <c r="U23" s="34"/>
    </row>
    <row r="24" spans="1:22" ht="22" customHeight="1">
      <c r="A24" s="31" t="s">
        <v>446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HYPERLINK("#'6월계산기'!A1","계산기 대조 · 6월계산기 열기")</f>
        <v>계산기 대조 · 6월계산기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1481000</v>
      </c>
      <c r="N28" s="367"/>
      <c r="O28" s="429" t="s">
        <v>234</v>
      </c>
      <c r="P28" s="367"/>
      <c r="Q28" s="431">
        <f>'6월계산기'!W12</f>
        <v>1481000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1481000</v>
      </c>
      <c r="N29" s="367"/>
      <c r="O29" s="429" t="s">
        <v>239</v>
      </c>
      <c r="P29" s="367"/>
      <c r="Q29" s="431">
        <f>'6월계산기'!W13</f>
        <v>1481000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39745</v>
      </c>
      <c r="N30" s="367"/>
      <c r="O30" s="429" t="s">
        <v>514</v>
      </c>
      <c r="P30" s="367"/>
      <c r="Q30" s="431">
        <f>SUM(I4,I9,I14,I19,I24,I29)-I33</f>
        <v>39745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'6월계산기'!W14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I33-'_예비비계산'!AG7</f>
        <v>1441255</v>
      </c>
      <c r="I38" s="27">
        <f>SUM(I4,I9,I14,I19,I24,I29)-'_예비비계산'!AH7</f>
        <v>1481000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525</v>
      </c>
      <c r="L42" s="38" t="s">
        <v>538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46203</v>
      </c>
      <c r="B52" s="35" t="s">
        <v>554</v>
      </c>
      <c r="C52" s="35" t="s">
        <v>631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RAW!A1402</f>
        <v>46202.66388888889</v>
      </c>
      <c r="B53" s="35" t="s">
        <v>603</v>
      </c>
      <c r="C53" s="35" t="s">
        <v>632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633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90000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'_예비비계산'!AB7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'_예비비계산'!AC7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'_예비비계산'!AD7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'_예비비계산'!AE7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'_예비비계산'!AF7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634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509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509000</v>
      </c>
      <c r="AA3">
        <v>509</v>
      </c>
    </row>
    <row r="4" spans="1:27" ht="18" customHeight="1">
      <c r="A4" s="122" t="s">
        <v>576</v>
      </c>
      <c r="B4" s="130"/>
      <c r="C4" s="124">
        <f>IFERROR(colorfunction(B4,$B$15:$U$144,FALSE),$AA$4)</f>
        <v>160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160000</v>
      </c>
      <c r="AA4">
        <v>160</v>
      </c>
    </row>
    <row r="5" spans="1:27" ht="18" customHeight="1">
      <c r="A5" s="122" t="s">
        <v>577</v>
      </c>
      <c r="B5" s="132"/>
      <c r="C5" s="124">
        <f>IFERROR(colorfunction(B5,$B$15:$U$144,FALSE),$AA$5)</f>
        <v>293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293000</v>
      </c>
      <c r="AA5">
        <v>293</v>
      </c>
    </row>
    <row r="6" spans="1:27" ht="18" customHeight="1">
      <c r="A6" s="122" t="s">
        <v>578</v>
      </c>
      <c r="B6" s="133"/>
      <c r="C6" s="124">
        <f>IFERROR(colorfunction(B6,$B$15:$U$144,FALSE),$AA$6)</f>
        <v>160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160000</v>
      </c>
      <c r="AA6">
        <v>160</v>
      </c>
    </row>
    <row r="7" spans="1:27" ht="18" customHeight="1">
      <c r="A7" s="122" t="s">
        <v>579</v>
      </c>
      <c r="B7" s="134"/>
      <c r="C7" s="124">
        <f>IFERROR(colorfunction(B7,$B$15:$U$144,FALSE),$AA$7)</f>
        <v>81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81000</v>
      </c>
      <c r="AA7">
        <v>81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232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232000</v>
      </c>
      <c r="AA9">
        <v>232</v>
      </c>
    </row>
    <row r="10" spans="1:27" ht="18" customHeight="1">
      <c r="A10" s="122" t="s">
        <v>582</v>
      </c>
      <c r="B10" s="137"/>
      <c r="C10" s="124">
        <f>IFERROR(colorfunction(B10,$B$15:$U$144,FALSE),$AA$10)</f>
        <v>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46000</v>
      </c>
      <c r="AA10">
        <v>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1481000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1481000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0+'_예비비계산'!AH7</f>
        <v>0</v>
      </c>
    </row>
    <row r="15" spans="1:27" ht="12" customHeight="1">
      <c r="A15" s="127"/>
      <c r="B15" s="140"/>
      <c r="C15" s="139"/>
      <c r="D15" s="138"/>
      <c r="E15" s="141"/>
      <c r="F15" s="138"/>
      <c r="G15" s="139"/>
      <c r="H15" s="138"/>
      <c r="I15" s="139"/>
      <c r="J15" s="138"/>
      <c r="K15" s="139"/>
      <c r="L15" s="138"/>
      <c r="M15" s="139"/>
      <c r="N15" s="138"/>
      <c r="O15" s="139"/>
      <c r="P15" s="138"/>
      <c r="Q15" s="139"/>
      <c r="R15" s="151"/>
      <c r="S15" s="152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4"/>
      <c r="E16" s="143"/>
      <c r="F16" s="142"/>
      <c r="G16" s="143"/>
      <c r="H16" s="142"/>
      <c r="I16" s="143"/>
      <c r="J16" s="142"/>
      <c r="K16" s="143"/>
      <c r="L16" s="142"/>
      <c r="M16" s="143"/>
      <c r="N16" s="142"/>
      <c r="O16" s="143"/>
      <c r="P16" s="142"/>
      <c r="Q16" s="143"/>
      <c r="R16" s="157"/>
      <c r="S16" s="158"/>
      <c r="T16" s="157"/>
      <c r="U16" s="158"/>
      <c r="V16" s="304" t="s">
        <v>232</v>
      </c>
      <c r="W16" s="305">
        <f>SUM(W3:W10)</f>
        <v>1481000</v>
      </c>
    </row>
    <row r="17" spans="1:27" ht="12" customHeight="1">
      <c r="A17" s="127"/>
      <c r="B17" s="144"/>
      <c r="C17" s="143"/>
      <c r="D17" s="144"/>
      <c r="E17" s="143"/>
      <c r="F17" s="142"/>
      <c r="G17" s="143"/>
      <c r="H17" s="142"/>
      <c r="I17" s="143"/>
      <c r="J17" s="142"/>
      <c r="K17" s="143"/>
      <c r="L17" s="142"/>
      <c r="M17" s="143"/>
      <c r="N17" s="142"/>
      <c r="O17" s="143"/>
      <c r="P17" s="144"/>
      <c r="Q17" s="158"/>
      <c r="R17" s="157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4"/>
      <c r="E18" s="143"/>
      <c r="F18" s="142"/>
      <c r="G18" s="143"/>
      <c r="H18" s="142"/>
      <c r="I18" s="143"/>
      <c r="J18" s="142"/>
      <c r="K18" s="143"/>
      <c r="L18" s="142"/>
      <c r="M18" s="143"/>
      <c r="N18" s="142"/>
      <c r="O18" s="145"/>
      <c r="P18" s="144"/>
      <c r="Q18" s="158"/>
      <c r="R18" s="157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9"/>
      <c r="E19" s="148"/>
      <c r="F19" s="147"/>
      <c r="G19" s="148"/>
      <c r="H19" s="147"/>
      <c r="I19" s="148"/>
      <c r="J19" s="147"/>
      <c r="K19" s="148"/>
      <c r="L19" s="147"/>
      <c r="M19" s="148"/>
      <c r="N19" s="147"/>
      <c r="O19" s="150"/>
      <c r="P19" s="149"/>
      <c r="Q19" s="164"/>
      <c r="R19" s="163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38"/>
      <c r="G20" s="141"/>
      <c r="H20" s="138"/>
      <c r="I20" s="139"/>
      <c r="J20" s="140"/>
      <c r="K20" s="139"/>
      <c r="L20" s="138"/>
      <c r="M20" s="139"/>
      <c r="N20" s="138"/>
      <c r="O20" s="139"/>
      <c r="P20" s="186"/>
      <c r="Q20" s="178"/>
      <c r="R20" s="186"/>
      <c r="S20" s="178"/>
      <c r="T20" s="156"/>
      <c r="U20" s="188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42"/>
      <c r="G21" s="145"/>
      <c r="H21" s="142"/>
      <c r="I21" s="143"/>
      <c r="J21" s="144"/>
      <c r="K21" s="143"/>
      <c r="L21" s="142"/>
      <c r="M21" s="143"/>
      <c r="N21" s="142"/>
      <c r="O21" s="143"/>
      <c r="P21" s="169"/>
      <c r="Q21" s="187"/>
      <c r="R21" s="169"/>
      <c r="S21" s="187"/>
      <c r="T21" s="162"/>
      <c r="U21" s="191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44"/>
      <c r="G22" s="143"/>
      <c r="H22" s="142"/>
      <c r="I22" s="143"/>
      <c r="J22" s="144"/>
      <c r="K22" s="143"/>
      <c r="L22" s="142"/>
      <c r="M22" s="143"/>
      <c r="N22" s="142"/>
      <c r="O22" s="143"/>
      <c r="P22" s="144"/>
      <c r="Q22" s="187"/>
      <c r="R22" s="169"/>
      <c r="S22" s="187"/>
      <c r="T22" s="190"/>
      <c r="U22" s="191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44"/>
      <c r="G23" s="143"/>
      <c r="H23" s="142"/>
      <c r="I23" s="143"/>
      <c r="J23" s="144"/>
      <c r="K23" s="143"/>
      <c r="L23" s="142"/>
      <c r="M23" s="143"/>
      <c r="N23" s="142"/>
      <c r="O23" s="145"/>
      <c r="P23" s="144"/>
      <c r="Q23" s="187"/>
      <c r="R23" s="169"/>
      <c r="S23" s="187"/>
      <c r="T23" s="190"/>
      <c r="U23" s="191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48"/>
      <c r="F24" s="149"/>
      <c r="G24" s="148"/>
      <c r="H24" s="147"/>
      <c r="I24" s="150"/>
      <c r="J24" s="147"/>
      <c r="K24" s="148"/>
      <c r="L24" s="147"/>
      <c r="M24" s="148"/>
      <c r="N24" s="147"/>
      <c r="O24" s="150"/>
      <c r="P24" s="149"/>
      <c r="Q24" s="177"/>
      <c r="R24" s="170"/>
      <c r="S24" s="167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89"/>
      <c r="K25" s="141"/>
      <c r="L25" s="138"/>
      <c r="M25" s="139"/>
      <c r="N25" s="138"/>
      <c r="O25" s="139"/>
      <c r="P25" s="140"/>
      <c r="Q25" s="139"/>
      <c r="R25" s="138"/>
      <c r="S25" s="141"/>
      <c r="T25" s="140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90"/>
      <c r="K26" s="145"/>
      <c r="L26" s="142"/>
      <c r="M26" s="143"/>
      <c r="N26" s="142"/>
      <c r="O26" s="143"/>
      <c r="P26" s="144"/>
      <c r="Q26" s="143"/>
      <c r="R26" s="142"/>
      <c r="S26" s="145"/>
      <c r="T26" s="144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91"/>
      <c r="J27" s="190"/>
      <c r="K27" s="145"/>
      <c r="L27" s="142"/>
      <c r="M27" s="143"/>
      <c r="N27" s="142"/>
      <c r="O27" s="143"/>
      <c r="P27" s="144"/>
      <c r="Q27" s="143"/>
      <c r="R27" s="142"/>
      <c r="S27" s="145"/>
      <c r="T27" s="144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91"/>
      <c r="J28" s="190"/>
      <c r="K28" s="145"/>
      <c r="L28" s="142"/>
      <c r="M28" s="143"/>
      <c r="N28" s="142"/>
      <c r="O28" s="145"/>
      <c r="P28" s="142"/>
      <c r="Q28" s="143"/>
      <c r="R28" s="142"/>
      <c r="S28" s="145"/>
      <c r="T28" s="144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93"/>
      <c r="J29" s="149"/>
      <c r="K29" s="148"/>
      <c r="L29" s="147"/>
      <c r="M29" s="148"/>
      <c r="N29" s="147"/>
      <c r="O29" s="150"/>
      <c r="P29" s="147"/>
      <c r="Q29" s="148"/>
      <c r="R29" s="147"/>
      <c r="S29" s="150"/>
      <c r="T29" s="149"/>
      <c r="U29" s="148"/>
      <c r="V29" s="127"/>
      <c r="W29" s="127"/>
    </row>
    <row r="30" spans="1:27" ht="12" customHeight="1">
      <c r="A30" s="127"/>
      <c r="B30" s="140"/>
      <c r="C30" s="139"/>
      <c r="D30" s="138"/>
      <c r="E30" s="139"/>
      <c r="F30" s="154"/>
      <c r="G30" s="153"/>
      <c r="H30" s="154"/>
      <c r="I30" s="153"/>
      <c r="J30" s="154"/>
      <c r="K30" s="153"/>
      <c r="L30" s="154"/>
      <c r="M30" s="139"/>
      <c r="N30" s="138"/>
      <c r="O30" s="139"/>
      <c r="P30" s="138"/>
      <c r="Q30" s="139"/>
      <c r="R30" s="189"/>
      <c r="S30" s="188"/>
      <c r="T30" s="140"/>
      <c r="U30" s="141"/>
      <c r="V30" s="127"/>
      <c r="W30" s="127"/>
    </row>
    <row r="31" spans="1:27" ht="12" customHeight="1">
      <c r="A31" s="127"/>
      <c r="B31" s="144"/>
      <c r="C31" s="143"/>
      <c r="D31" s="142"/>
      <c r="E31" s="143"/>
      <c r="F31" s="160"/>
      <c r="G31" s="159"/>
      <c r="H31" s="160"/>
      <c r="I31" s="159"/>
      <c r="J31" s="160"/>
      <c r="K31" s="159"/>
      <c r="L31" s="160"/>
      <c r="M31" s="143"/>
      <c r="N31" s="157"/>
      <c r="O31" s="158"/>
      <c r="P31" s="142"/>
      <c r="Q31" s="158"/>
      <c r="R31" s="190"/>
      <c r="S31" s="191"/>
      <c r="T31" s="144"/>
      <c r="U31" s="145"/>
      <c r="V31" s="127"/>
      <c r="W31" s="127"/>
    </row>
    <row r="32" spans="1:27" ht="12" customHeight="1">
      <c r="A32" s="127"/>
      <c r="B32" s="144"/>
      <c r="C32" s="143"/>
      <c r="D32" s="142"/>
      <c r="E32" s="143"/>
      <c r="F32" s="160"/>
      <c r="G32" s="159"/>
      <c r="H32" s="160"/>
      <c r="I32" s="159"/>
      <c r="J32" s="160"/>
      <c r="K32" s="159"/>
      <c r="L32" s="160"/>
      <c r="M32" s="143"/>
      <c r="N32" s="157"/>
      <c r="O32" s="158"/>
      <c r="P32" s="142"/>
      <c r="Q32" s="191"/>
      <c r="R32" s="190"/>
      <c r="S32" s="191"/>
      <c r="T32" s="144"/>
      <c r="U32" s="145"/>
      <c r="V32" s="127"/>
      <c r="W32" s="127"/>
    </row>
    <row r="33" spans="1:23" ht="12" customHeight="1">
      <c r="A33" s="127"/>
      <c r="B33" s="144"/>
      <c r="C33" s="143"/>
      <c r="D33" s="142"/>
      <c r="E33" s="143"/>
      <c r="F33" s="160"/>
      <c r="G33" s="159"/>
      <c r="H33" s="160"/>
      <c r="I33" s="159"/>
      <c r="J33" s="160"/>
      <c r="K33" s="159"/>
      <c r="L33" s="160"/>
      <c r="M33" s="143"/>
      <c r="N33" s="157"/>
      <c r="O33" s="158"/>
      <c r="P33" s="142"/>
      <c r="Q33" s="191"/>
      <c r="R33" s="190"/>
      <c r="S33" s="191"/>
      <c r="T33" s="144"/>
      <c r="U33" s="145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66"/>
      <c r="G34" s="165"/>
      <c r="H34" s="166"/>
      <c r="I34" s="165"/>
      <c r="J34" s="166"/>
      <c r="K34" s="165"/>
      <c r="L34" s="166"/>
      <c r="M34" s="148"/>
      <c r="N34" s="163"/>
      <c r="O34" s="164"/>
      <c r="P34" s="147"/>
      <c r="Q34" s="193"/>
      <c r="R34" s="192"/>
      <c r="S34" s="193"/>
      <c r="T34" s="149"/>
      <c r="U34" s="150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52"/>
      <c r="L35" s="151"/>
      <c r="M35" s="152"/>
      <c r="N35" s="151"/>
      <c r="O35" s="152"/>
      <c r="P35" s="151"/>
      <c r="Q35" s="188"/>
      <c r="R35" s="189"/>
      <c r="S35" s="188"/>
      <c r="T35" s="189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5"/>
      <c r="H36" s="142"/>
      <c r="I36" s="143"/>
      <c r="J36" s="142"/>
      <c r="K36" s="158"/>
      <c r="L36" s="157"/>
      <c r="M36" s="158"/>
      <c r="N36" s="157"/>
      <c r="O36" s="158"/>
      <c r="P36" s="190"/>
      <c r="Q36" s="191"/>
      <c r="R36" s="190"/>
      <c r="S36" s="191"/>
      <c r="T36" s="190"/>
      <c r="U36" s="145"/>
      <c r="V36" s="127"/>
      <c r="W36" s="127"/>
    </row>
    <row r="37" spans="1:23" ht="12" customHeight="1">
      <c r="A37" s="127"/>
      <c r="B37" s="142"/>
      <c r="C37" s="191"/>
      <c r="D37" s="142"/>
      <c r="E37" s="143"/>
      <c r="F37" s="142"/>
      <c r="G37" s="145"/>
      <c r="H37" s="142"/>
      <c r="I37" s="143"/>
      <c r="J37" s="157"/>
      <c r="K37" s="158"/>
      <c r="L37" s="157"/>
      <c r="M37" s="158"/>
      <c r="N37" s="157"/>
      <c r="O37" s="158"/>
      <c r="P37" s="190"/>
      <c r="Q37" s="191"/>
      <c r="R37" s="190"/>
      <c r="S37" s="191"/>
      <c r="T37" s="190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5"/>
      <c r="H38" s="142"/>
      <c r="I38" s="143"/>
      <c r="J38" s="157"/>
      <c r="K38" s="158"/>
      <c r="L38" s="157"/>
      <c r="M38" s="158"/>
      <c r="N38" s="157"/>
      <c r="O38" s="158"/>
      <c r="P38" s="190"/>
      <c r="Q38" s="191"/>
      <c r="R38" s="190"/>
      <c r="S38" s="191"/>
      <c r="T38" s="190"/>
      <c r="U38" s="145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63"/>
      <c r="K39" s="164"/>
      <c r="L39" s="163"/>
      <c r="M39" s="164"/>
      <c r="N39" s="163"/>
      <c r="O39" s="164"/>
      <c r="P39" s="192"/>
      <c r="Q39" s="193"/>
      <c r="R39" s="192"/>
      <c r="S39" s="193"/>
      <c r="T39" s="149"/>
      <c r="U39" s="148"/>
      <c r="V39" s="127"/>
      <c r="W39" s="127"/>
    </row>
    <row r="40" spans="1:23" ht="12" customHeight="1">
      <c r="A40" s="127"/>
      <c r="B40" s="138"/>
      <c r="C40" s="139"/>
      <c r="D40" s="142"/>
      <c r="E40" s="152"/>
      <c r="F40" s="151"/>
      <c r="G40" s="152"/>
      <c r="H40" s="189"/>
      <c r="I40" s="188"/>
      <c r="J40" s="189"/>
      <c r="K40" s="188"/>
      <c r="L40" s="140"/>
      <c r="M40" s="139"/>
      <c r="N40" s="189"/>
      <c r="O40" s="188"/>
      <c r="P40" s="189"/>
      <c r="Q40" s="188"/>
      <c r="R40" s="151"/>
      <c r="S40" s="152"/>
      <c r="T40" s="140"/>
      <c r="U40" s="139"/>
      <c r="V40" s="127"/>
      <c r="W40" s="127"/>
    </row>
    <row r="41" spans="1:23" ht="12" customHeight="1">
      <c r="A41" s="127"/>
      <c r="B41" s="142"/>
      <c r="C41" s="143"/>
      <c r="D41" s="195"/>
      <c r="E41" s="158"/>
      <c r="F41" s="157"/>
      <c r="G41" s="158"/>
      <c r="H41" s="190"/>
      <c r="I41" s="191"/>
      <c r="J41" s="190"/>
      <c r="K41" s="145"/>
      <c r="L41" s="142"/>
      <c r="M41" s="191"/>
      <c r="N41" s="190"/>
      <c r="O41" s="191"/>
      <c r="P41" s="190"/>
      <c r="Q41" s="191"/>
      <c r="R41" s="157"/>
      <c r="S41" s="158"/>
      <c r="T41" s="144"/>
      <c r="U41" s="143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90"/>
      <c r="I42" s="191"/>
      <c r="J42" s="190"/>
      <c r="K42" s="145"/>
      <c r="L42" s="142"/>
      <c r="M42" s="191"/>
      <c r="N42" s="190"/>
      <c r="O42" s="191"/>
      <c r="P42" s="190"/>
      <c r="Q42" s="191"/>
      <c r="R42" s="157"/>
      <c r="S42" s="158"/>
      <c r="T42" s="144"/>
      <c r="U42" s="143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90"/>
      <c r="I43" s="191"/>
      <c r="J43" s="190"/>
      <c r="K43" s="145"/>
      <c r="L43" s="142"/>
      <c r="M43" s="191"/>
      <c r="N43" s="190"/>
      <c r="O43" s="191"/>
      <c r="P43" s="190"/>
      <c r="Q43" s="191"/>
      <c r="R43" s="157"/>
      <c r="S43" s="158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63"/>
      <c r="E44" s="164"/>
      <c r="F44" s="163"/>
      <c r="G44" s="193"/>
      <c r="H44" s="192"/>
      <c r="I44" s="193"/>
      <c r="J44" s="192"/>
      <c r="K44" s="150"/>
      <c r="L44" s="147"/>
      <c r="M44" s="193"/>
      <c r="N44" s="192"/>
      <c r="O44" s="193"/>
      <c r="P44" s="192"/>
      <c r="Q44" s="193"/>
      <c r="R44" s="163"/>
      <c r="S44" s="150"/>
      <c r="T44" s="147"/>
      <c r="U44" s="148"/>
      <c r="V44" s="127"/>
      <c r="W44" s="127"/>
    </row>
    <row r="45" spans="1:23" ht="12" customHeight="1">
      <c r="A45" s="127"/>
      <c r="B45" s="138"/>
      <c r="C45" s="141"/>
      <c r="D45" s="156"/>
      <c r="E45" s="188"/>
      <c r="F45" s="189"/>
      <c r="G45" s="141"/>
      <c r="H45" s="138"/>
      <c r="I45" s="152"/>
      <c r="J45" s="151"/>
      <c r="K45" s="152"/>
      <c r="L45" s="138"/>
      <c r="M45" s="139"/>
      <c r="N45" s="140"/>
      <c r="O45" s="139"/>
      <c r="P45" s="140"/>
      <c r="Q45" s="139"/>
      <c r="R45" s="138"/>
      <c r="S45" s="139"/>
      <c r="T45" s="138"/>
      <c r="U45" s="141"/>
      <c r="V45" s="127"/>
      <c r="W45" s="127"/>
    </row>
    <row r="46" spans="1:23" ht="12" customHeight="1">
      <c r="A46" s="127"/>
      <c r="B46" s="144"/>
      <c r="C46" s="143"/>
      <c r="D46" s="162"/>
      <c r="E46" s="191"/>
      <c r="F46" s="190"/>
      <c r="G46" s="145"/>
      <c r="H46" s="142"/>
      <c r="I46" s="158"/>
      <c r="J46" s="157"/>
      <c r="K46" s="158"/>
      <c r="L46" s="142"/>
      <c r="M46" s="145"/>
      <c r="N46" s="142"/>
      <c r="O46" s="143"/>
      <c r="P46" s="144"/>
      <c r="Q46" s="143"/>
      <c r="R46" s="142"/>
      <c r="S46" s="143"/>
      <c r="T46" s="144"/>
      <c r="U46" s="143"/>
      <c r="V46" s="127"/>
      <c r="W46" s="127"/>
    </row>
    <row r="47" spans="1:23" ht="12" customHeight="1">
      <c r="A47" s="127"/>
      <c r="B47" s="144"/>
      <c r="C47" s="143"/>
      <c r="D47" s="162"/>
      <c r="E47" s="191"/>
      <c r="F47" s="190"/>
      <c r="G47" s="145"/>
      <c r="H47" s="157"/>
      <c r="I47" s="158"/>
      <c r="J47" s="157"/>
      <c r="K47" s="143"/>
      <c r="L47" s="142"/>
      <c r="M47" s="145"/>
      <c r="N47" s="142"/>
      <c r="O47" s="143"/>
      <c r="P47" s="144"/>
      <c r="Q47" s="143"/>
      <c r="R47" s="142"/>
      <c r="S47" s="143"/>
      <c r="T47" s="144"/>
      <c r="U47" s="143"/>
      <c r="V47" s="127"/>
      <c r="W47" s="127"/>
    </row>
    <row r="48" spans="1:23" ht="12" customHeight="1">
      <c r="A48" s="127"/>
      <c r="B48" s="144"/>
      <c r="C48" s="143"/>
      <c r="D48" s="162"/>
      <c r="E48" s="191"/>
      <c r="F48" s="142"/>
      <c r="G48" s="145"/>
      <c r="H48" s="157"/>
      <c r="I48" s="158"/>
      <c r="J48" s="157"/>
      <c r="K48" s="143"/>
      <c r="L48" s="142"/>
      <c r="M48" s="145"/>
      <c r="N48" s="142"/>
      <c r="O48" s="143"/>
      <c r="P48" s="144"/>
      <c r="Q48" s="143"/>
      <c r="R48" s="142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49"/>
      <c r="C49" s="148"/>
      <c r="D49" s="168"/>
      <c r="E49" s="193"/>
      <c r="F49" s="147"/>
      <c r="G49" s="150"/>
      <c r="H49" s="163"/>
      <c r="I49" s="164"/>
      <c r="J49" s="163"/>
      <c r="K49" s="148"/>
      <c r="L49" s="147"/>
      <c r="M49" s="150"/>
      <c r="N49" s="147"/>
      <c r="O49" s="150"/>
      <c r="P49" s="147"/>
      <c r="Q49" s="148"/>
      <c r="R49" s="147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3"/>
      <c r="P51" s="144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3"/>
      <c r="J52" s="142"/>
      <c r="K52" s="191"/>
      <c r="L52" s="142"/>
      <c r="M52" s="143"/>
      <c r="N52" s="142"/>
      <c r="O52" s="145"/>
      <c r="P52" s="157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91"/>
      <c r="L53" s="142"/>
      <c r="M53" s="143"/>
      <c r="N53" s="142"/>
      <c r="O53" s="145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93"/>
      <c r="L54" s="147"/>
      <c r="M54" s="148"/>
      <c r="N54" s="147"/>
      <c r="O54" s="150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88"/>
      <c r="F55" s="189"/>
      <c r="G55" s="188"/>
      <c r="H55" s="189"/>
      <c r="I55" s="141"/>
      <c r="J55" s="189"/>
      <c r="K55" s="188"/>
      <c r="L55" s="154"/>
      <c r="M55" s="153"/>
      <c r="N55" s="189"/>
      <c r="O55" s="188"/>
      <c r="P55" s="189"/>
      <c r="Q55" s="188"/>
      <c r="R55" s="189"/>
      <c r="S55" s="141"/>
      <c r="T55" s="138"/>
      <c r="U55" s="139"/>
      <c r="V55" s="127"/>
      <c r="W55" s="127"/>
    </row>
    <row r="56" spans="1:23" ht="12" customHeight="1">
      <c r="A56" s="127"/>
      <c r="B56" s="196"/>
      <c r="C56" s="191"/>
      <c r="D56" s="190"/>
      <c r="E56" s="191"/>
      <c r="F56" s="190"/>
      <c r="G56" s="191"/>
      <c r="H56" s="190"/>
      <c r="I56" s="145"/>
      <c r="J56" s="190"/>
      <c r="K56" s="191"/>
      <c r="L56" s="160"/>
      <c r="M56" s="159"/>
      <c r="N56" s="160"/>
      <c r="O56" s="191"/>
      <c r="P56" s="190"/>
      <c r="Q56" s="191"/>
      <c r="R56" s="144"/>
      <c r="S56" s="143"/>
      <c r="T56" s="142"/>
      <c r="U56" s="143"/>
      <c r="V56" s="127"/>
      <c r="W56" s="127"/>
    </row>
    <row r="57" spans="1:23" ht="12" customHeight="1">
      <c r="A57" s="127"/>
      <c r="B57" s="196"/>
      <c r="C57" s="191"/>
      <c r="D57" s="190"/>
      <c r="E57" s="191"/>
      <c r="F57" s="190"/>
      <c r="G57" s="191"/>
      <c r="H57" s="144"/>
      <c r="I57" s="191"/>
      <c r="J57" s="190"/>
      <c r="K57" s="191"/>
      <c r="L57" s="190"/>
      <c r="M57" s="159"/>
      <c r="N57" s="160"/>
      <c r="O57" s="191"/>
      <c r="P57" s="190"/>
      <c r="Q57" s="191"/>
      <c r="R57" s="144"/>
      <c r="S57" s="143"/>
      <c r="T57" s="142"/>
      <c r="U57" s="143"/>
      <c r="V57" s="127"/>
      <c r="W57" s="127"/>
    </row>
    <row r="58" spans="1:23" ht="12" customHeight="1">
      <c r="A58" s="127"/>
      <c r="B58" s="196"/>
      <c r="C58" s="191"/>
      <c r="D58" s="190"/>
      <c r="E58" s="191"/>
      <c r="F58" s="190"/>
      <c r="G58" s="191"/>
      <c r="H58" s="144"/>
      <c r="I58" s="191"/>
      <c r="J58" s="190"/>
      <c r="K58" s="191"/>
      <c r="L58" s="190"/>
      <c r="M58" s="159"/>
      <c r="N58" s="160"/>
      <c r="O58" s="191"/>
      <c r="P58" s="190"/>
      <c r="Q58" s="191"/>
      <c r="R58" s="144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92"/>
      <c r="E59" s="193"/>
      <c r="F59" s="192"/>
      <c r="G59" s="193"/>
      <c r="H59" s="149"/>
      <c r="I59" s="193"/>
      <c r="J59" s="192"/>
      <c r="K59" s="193"/>
      <c r="L59" s="192"/>
      <c r="M59" s="165"/>
      <c r="N59" s="166"/>
      <c r="O59" s="193"/>
      <c r="P59" s="192"/>
      <c r="Q59" s="193"/>
      <c r="R59" s="149"/>
      <c r="S59" s="148"/>
      <c r="T59" s="147"/>
      <c r="U59" s="148"/>
      <c r="V59" s="127"/>
      <c r="W59" s="127"/>
    </row>
    <row r="60" spans="1:23" ht="12" customHeight="1">
      <c r="A60" s="127"/>
      <c r="B60" s="156"/>
      <c r="C60" s="155"/>
      <c r="D60" s="156"/>
      <c r="E60" s="155"/>
      <c r="F60" s="156"/>
      <c r="G60" s="155"/>
      <c r="H60" s="156"/>
      <c r="I60" s="155"/>
      <c r="J60" s="156"/>
      <c r="K60" s="139"/>
      <c r="L60" s="140"/>
      <c r="M60" s="139"/>
      <c r="N60" s="138"/>
      <c r="O60" s="139"/>
      <c r="P60" s="138"/>
      <c r="Q60" s="152"/>
      <c r="R60" s="151"/>
      <c r="S60" s="188"/>
      <c r="T60" s="189"/>
      <c r="U60" s="188"/>
      <c r="V60" s="127"/>
      <c r="W60" s="127"/>
    </row>
    <row r="61" spans="1:23" ht="12" customHeight="1">
      <c r="A61" s="127"/>
      <c r="B61" s="162"/>
      <c r="C61" s="161"/>
      <c r="D61" s="162"/>
      <c r="E61" s="161"/>
      <c r="F61" s="162"/>
      <c r="G61" s="161"/>
      <c r="H61" s="162"/>
      <c r="I61" s="161"/>
      <c r="J61" s="162"/>
      <c r="K61" s="143"/>
      <c r="L61" s="144"/>
      <c r="M61" s="143"/>
      <c r="N61" s="142"/>
      <c r="O61" s="143"/>
      <c r="P61" s="142"/>
      <c r="Q61" s="158"/>
      <c r="R61" s="190"/>
      <c r="S61" s="191"/>
      <c r="T61" s="190"/>
      <c r="U61" s="191"/>
      <c r="V61" s="127"/>
      <c r="W61" s="127"/>
    </row>
    <row r="62" spans="1:23" ht="12" customHeight="1">
      <c r="A62" s="127"/>
      <c r="B62" s="162"/>
      <c r="C62" s="161"/>
      <c r="D62" s="162"/>
      <c r="E62" s="161"/>
      <c r="F62" s="162"/>
      <c r="G62" s="161"/>
      <c r="H62" s="162"/>
      <c r="I62" s="161"/>
      <c r="J62" s="162"/>
      <c r="K62" s="143"/>
      <c r="L62" s="144"/>
      <c r="M62" s="143"/>
      <c r="N62" s="142"/>
      <c r="O62" s="143"/>
      <c r="P62" s="157"/>
      <c r="Q62" s="158"/>
      <c r="R62" s="190"/>
      <c r="S62" s="191"/>
      <c r="T62" s="190"/>
      <c r="U62" s="191"/>
      <c r="V62" s="127"/>
      <c r="W62" s="127"/>
    </row>
    <row r="63" spans="1:23" ht="12" customHeight="1">
      <c r="A63" s="127"/>
      <c r="B63" s="162"/>
      <c r="C63" s="161"/>
      <c r="D63" s="162"/>
      <c r="E63" s="161"/>
      <c r="F63" s="162"/>
      <c r="G63" s="161"/>
      <c r="H63" s="162"/>
      <c r="I63" s="161"/>
      <c r="J63" s="162"/>
      <c r="K63" s="143"/>
      <c r="L63" s="144"/>
      <c r="M63" s="143"/>
      <c r="N63" s="142"/>
      <c r="O63" s="143"/>
      <c r="P63" s="157"/>
      <c r="Q63" s="158"/>
      <c r="R63" s="190"/>
      <c r="S63" s="191"/>
      <c r="T63" s="190"/>
      <c r="U63" s="191"/>
      <c r="V63" s="127"/>
      <c r="W63" s="127"/>
    </row>
    <row r="64" spans="1:23" ht="12" customHeight="1" thickBot="1">
      <c r="A64" s="146">
        <v>10</v>
      </c>
      <c r="B64" s="168"/>
      <c r="C64" s="167"/>
      <c r="D64" s="168"/>
      <c r="E64" s="167"/>
      <c r="F64" s="168"/>
      <c r="G64" s="167"/>
      <c r="H64" s="168"/>
      <c r="I64" s="167"/>
      <c r="J64" s="168"/>
      <c r="K64" s="148"/>
      <c r="L64" s="149"/>
      <c r="M64" s="148"/>
      <c r="N64" s="147"/>
      <c r="O64" s="148"/>
      <c r="P64" s="163"/>
      <c r="Q64" s="164"/>
      <c r="R64" s="192"/>
      <c r="S64" s="193"/>
      <c r="T64" s="192"/>
      <c r="U64" s="193"/>
      <c r="V64" s="127"/>
      <c r="W64" s="127"/>
    </row>
    <row r="65" spans="1:23" ht="12" customHeight="1">
      <c r="A65" s="127"/>
      <c r="B65" s="189"/>
      <c r="C65" s="141"/>
      <c r="D65" s="138"/>
      <c r="E65" s="139"/>
      <c r="F65" s="138"/>
      <c r="G65" s="178"/>
      <c r="H65" s="186"/>
      <c r="I65" s="178"/>
      <c r="J65" s="186"/>
      <c r="K65" s="178"/>
      <c r="L65" s="186"/>
      <c r="M65" s="178"/>
      <c r="N65" s="186"/>
      <c r="O65" s="178"/>
      <c r="P65" s="186"/>
      <c r="Q65" s="178"/>
      <c r="R65" s="186"/>
      <c r="S65" s="178"/>
      <c r="T65" s="186"/>
      <c r="U65" s="178"/>
      <c r="V65" s="127"/>
      <c r="W65" s="127"/>
    </row>
    <row r="66" spans="1:23" ht="12" customHeight="1">
      <c r="A66" s="127"/>
      <c r="B66" s="142"/>
      <c r="C66" s="145"/>
      <c r="D66" s="142"/>
      <c r="E66" s="143"/>
      <c r="F66" s="142"/>
      <c r="G66" s="187"/>
      <c r="H66" s="169"/>
      <c r="I66" s="187"/>
      <c r="J66" s="169"/>
      <c r="K66" s="187"/>
      <c r="L66" s="169"/>
      <c r="M66" s="187"/>
      <c r="N66" s="169"/>
      <c r="O66" s="187"/>
      <c r="P66" s="169"/>
      <c r="Q66" s="187"/>
      <c r="R66" s="169"/>
      <c r="S66" s="187"/>
      <c r="T66" s="169"/>
      <c r="U66" s="187"/>
      <c r="V66" s="127"/>
      <c r="W66" s="127"/>
    </row>
    <row r="67" spans="1:23" ht="12" customHeight="1">
      <c r="A67" s="127"/>
      <c r="B67" s="142"/>
      <c r="C67" s="145"/>
      <c r="D67" s="142"/>
      <c r="E67" s="143"/>
      <c r="F67" s="169"/>
      <c r="G67" s="187"/>
      <c r="H67" s="169"/>
      <c r="I67" s="187"/>
      <c r="J67" s="198"/>
      <c r="K67" s="187"/>
      <c r="L67" s="198"/>
      <c r="M67" s="187"/>
      <c r="N67" s="169"/>
      <c r="O67" s="187"/>
      <c r="P67" s="169"/>
      <c r="Q67" s="187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44"/>
      <c r="C68" s="143"/>
      <c r="D68" s="142"/>
      <c r="E68" s="143"/>
      <c r="F68" s="169"/>
      <c r="G68" s="187"/>
      <c r="H68" s="169"/>
      <c r="I68" s="187"/>
      <c r="J68" s="169"/>
      <c r="K68" s="187"/>
      <c r="L68" s="169"/>
      <c r="M68" s="187"/>
      <c r="N68" s="169"/>
      <c r="O68" s="187"/>
      <c r="P68" s="169"/>
      <c r="Q68" s="187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49"/>
      <c r="C69" s="148"/>
      <c r="D69" s="147"/>
      <c r="E69" s="148"/>
      <c r="F69" s="170"/>
      <c r="G69" s="177"/>
      <c r="H69" s="170"/>
      <c r="I69" s="177"/>
      <c r="J69" s="169"/>
      <c r="K69" s="177"/>
      <c r="L69" s="169"/>
      <c r="M69" s="177"/>
      <c r="N69" s="170"/>
      <c r="O69" s="177"/>
      <c r="P69" s="170"/>
      <c r="Q69" s="177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86"/>
      <c r="C70" s="178"/>
      <c r="D70" s="186"/>
      <c r="E70" s="178"/>
      <c r="F70" s="186"/>
      <c r="G70" s="178"/>
      <c r="H70" s="186"/>
      <c r="I70" s="178"/>
      <c r="J70" s="186"/>
      <c r="K70" s="178"/>
      <c r="L70" s="138"/>
      <c r="M70" s="141"/>
      <c r="N70" s="186"/>
      <c r="O70" s="178"/>
      <c r="P70" s="186"/>
      <c r="Q70" s="178"/>
      <c r="R70" s="140"/>
      <c r="S70" s="139"/>
      <c r="T70" s="138"/>
      <c r="U70" s="155"/>
      <c r="V70" s="127"/>
      <c r="W70" s="127"/>
    </row>
    <row r="71" spans="1:23" ht="12" customHeight="1">
      <c r="A71" s="127"/>
      <c r="B71" s="169"/>
      <c r="C71" s="187"/>
      <c r="D71" s="169"/>
      <c r="E71" s="187"/>
      <c r="F71" s="169"/>
      <c r="G71" s="187"/>
      <c r="H71" s="169"/>
      <c r="I71" s="187"/>
      <c r="J71" s="169"/>
      <c r="K71" s="143"/>
      <c r="L71" s="142"/>
      <c r="M71" s="145"/>
      <c r="N71" s="169"/>
      <c r="O71" s="187"/>
      <c r="P71" s="169"/>
      <c r="Q71" s="187"/>
      <c r="R71" s="144"/>
      <c r="S71" s="143"/>
      <c r="T71" s="142"/>
      <c r="U71" s="161"/>
      <c r="V71" s="127"/>
      <c r="W71" s="127"/>
    </row>
    <row r="72" spans="1:23" ht="12" customHeight="1">
      <c r="A72" s="127"/>
      <c r="B72" s="169"/>
      <c r="C72" s="187"/>
      <c r="D72" s="169"/>
      <c r="E72" s="187"/>
      <c r="F72" s="169"/>
      <c r="G72" s="187"/>
      <c r="H72" s="169"/>
      <c r="I72" s="187"/>
      <c r="J72" s="169"/>
      <c r="K72" s="143"/>
      <c r="L72" s="142"/>
      <c r="M72" s="145"/>
      <c r="N72" s="169"/>
      <c r="O72" s="187"/>
      <c r="P72" s="169"/>
      <c r="Q72" s="187"/>
      <c r="R72" s="144"/>
      <c r="S72" s="143"/>
      <c r="T72" s="142"/>
      <c r="U72" s="161"/>
      <c r="V72" s="127"/>
      <c r="W72" s="127"/>
    </row>
    <row r="73" spans="1:23" ht="12" customHeight="1">
      <c r="A73" s="127"/>
      <c r="B73" s="169"/>
      <c r="C73" s="187"/>
      <c r="D73" s="169"/>
      <c r="E73" s="187"/>
      <c r="F73" s="169"/>
      <c r="G73" s="187"/>
      <c r="H73" s="169"/>
      <c r="I73" s="187"/>
      <c r="J73" s="169"/>
      <c r="K73" s="143"/>
      <c r="L73" s="142"/>
      <c r="M73" s="145"/>
      <c r="N73" s="169"/>
      <c r="O73" s="187"/>
      <c r="P73" s="169"/>
      <c r="Q73" s="187"/>
      <c r="R73" s="144"/>
      <c r="S73" s="143"/>
      <c r="T73" s="142"/>
      <c r="U73" s="143"/>
      <c r="V73" s="127"/>
      <c r="W73" s="127"/>
    </row>
    <row r="74" spans="1:23" ht="12" customHeight="1" thickBot="1">
      <c r="A74" s="146">
        <v>12</v>
      </c>
      <c r="B74" s="170"/>
      <c r="C74" s="177"/>
      <c r="D74" s="170"/>
      <c r="E74" s="177"/>
      <c r="F74" s="170"/>
      <c r="G74" s="177"/>
      <c r="H74" s="170"/>
      <c r="I74" s="177"/>
      <c r="J74" s="170"/>
      <c r="K74" s="148"/>
      <c r="L74" s="149"/>
      <c r="M74" s="177"/>
      <c r="N74" s="170"/>
      <c r="O74" s="177"/>
      <c r="P74" s="170"/>
      <c r="Q74" s="150"/>
      <c r="R74" s="147"/>
      <c r="S74" s="148"/>
      <c r="T74" s="168"/>
      <c r="U74" s="148"/>
      <c r="V74" s="127"/>
      <c r="W74" s="127"/>
    </row>
    <row r="75" spans="1:23" ht="12" customHeight="1">
      <c r="A75" s="127"/>
      <c r="B75" s="138"/>
      <c r="C75" s="139"/>
      <c r="D75" s="151"/>
      <c r="E75" s="152"/>
      <c r="F75" s="151"/>
      <c r="G75" s="152"/>
      <c r="H75" s="138"/>
      <c r="I75" s="139"/>
      <c r="J75" s="138"/>
      <c r="K75" s="139"/>
      <c r="L75" s="138"/>
      <c r="M75" s="188"/>
      <c r="N75" s="189"/>
      <c r="O75" s="139"/>
      <c r="P75" s="138"/>
      <c r="Q75" s="139"/>
      <c r="R75" s="138"/>
      <c r="S75" s="141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57"/>
      <c r="E76" s="158"/>
      <c r="F76" s="157"/>
      <c r="G76" s="158"/>
      <c r="H76" s="142"/>
      <c r="I76" s="143"/>
      <c r="J76" s="142"/>
      <c r="K76" s="143"/>
      <c r="L76" s="142"/>
      <c r="M76" s="191"/>
      <c r="N76" s="190"/>
      <c r="O76" s="143"/>
      <c r="P76" s="142"/>
      <c r="Q76" s="143"/>
      <c r="R76" s="142"/>
      <c r="S76" s="145"/>
      <c r="T76" s="157"/>
      <c r="U76" s="158"/>
      <c r="V76" s="127"/>
      <c r="W76" s="127"/>
    </row>
    <row r="77" spans="1:23" ht="12" customHeight="1">
      <c r="A77" s="127"/>
      <c r="B77" s="142"/>
      <c r="C77" s="158"/>
      <c r="D77" s="157"/>
      <c r="E77" s="158"/>
      <c r="F77" s="157"/>
      <c r="G77" s="158"/>
      <c r="H77" s="142"/>
      <c r="I77" s="143"/>
      <c r="J77" s="142"/>
      <c r="K77" s="143"/>
      <c r="L77" s="142"/>
      <c r="M77" s="191"/>
      <c r="N77" s="190"/>
      <c r="O77" s="143"/>
      <c r="P77" s="142"/>
      <c r="Q77" s="143"/>
      <c r="R77" s="142"/>
      <c r="S77" s="145"/>
      <c r="T77" s="157"/>
      <c r="U77" s="158"/>
      <c r="V77" s="127"/>
      <c r="W77" s="127"/>
    </row>
    <row r="78" spans="1:23" ht="12" customHeight="1">
      <c r="A78" s="127"/>
      <c r="B78" s="142"/>
      <c r="C78" s="158"/>
      <c r="D78" s="157"/>
      <c r="E78" s="158"/>
      <c r="F78" s="157"/>
      <c r="G78" s="158"/>
      <c r="H78" s="142"/>
      <c r="I78" s="143"/>
      <c r="J78" s="142"/>
      <c r="K78" s="143"/>
      <c r="L78" s="142"/>
      <c r="M78" s="191"/>
      <c r="N78" s="142"/>
      <c r="O78" s="143"/>
      <c r="P78" s="142"/>
      <c r="Q78" s="143"/>
      <c r="R78" s="142"/>
      <c r="S78" s="145"/>
      <c r="T78" s="157"/>
      <c r="U78" s="143"/>
      <c r="V78" s="127"/>
      <c r="W78" s="127"/>
    </row>
    <row r="79" spans="1:23" ht="12" customHeight="1" thickBot="1">
      <c r="A79" s="146">
        <v>13</v>
      </c>
      <c r="B79" s="147"/>
      <c r="C79" s="164"/>
      <c r="D79" s="163"/>
      <c r="E79" s="164"/>
      <c r="F79" s="163"/>
      <c r="G79" s="148"/>
      <c r="H79" s="147"/>
      <c r="I79" s="148"/>
      <c r="J79" s="147"/>
      <c r="K79" s="148"/>
      <c r="L79" s="147"/>
      <c r="M79" s="193"/>
      <c r="N79" s="147"/>
      <c r="O79" s="148"/>
      <c r="P79" s="147"/>
      <c r="Q79" s="148"/>
      <c r="R79" s="147"/>
      <c r="S79" s="150"/>
      <c r="T79" s="163"/>
      <c r="U79" s="148"/>
      <c r="V79" s="127"/>
      <c r="W79" s="127"/>
    </row>
    <row r="80" spans="1:23" ht="12" customHeight="1">
      <c r="A80" s="127"/>
      <c r="B80" s="138"/>
      <c r="C80" s="139"/>
      <c r="D80" s="189"/>
      <c r="E80" s="188"/>
      <c r="F80" s="189"/>
      <c r="G80" s="151"/>
      <c r="H80" s="151"/>
      <c r="I80" s="152"/>
      <c r="J80" s="151"/>
      <c r="K80" s="152"/>
      <c r="L80" s="151"/>
      <c r="M80" s="152"/>
      <c r="N80" s="151"/>
      <c r="O80" s="152"/>
      <c r="P80" s="151"/>
      <c r="Q80" s="152"/>
      <c r="R80" s="189"/>
      <c r="S80" s="188"/>
      <c r="T80" s="189"/>
      <c r="U80" s="139"/>
      <c r="V80" s="127"/>
      <c r="W80" s="127"/>
    </row>
    <row r="81" spans="1:23" ht="12" customHeight="1">
      <c r="A81" s="127"/>
      <c r="B81" s="142"/>
      <c r="C81" s="191"/>
      <c r="D81" s="190"/>
      <c r="E81" s="191"/>
      <c r="F81" s="190"/>
      <c r="G81" s="157"/>
      <c r="H81" s="157"/>
      <c r="I81" s="158"/>
      <c r="J81" s="157"/>
      <c r="K81" s="158"/>
      <c r="L81" s="157"/>
      <c r="M81" s="158"/>
      <c r="N81" s="157"/>
      <c r="O81" s="158"/>
      <c r="P81" s="157"/>
      <c r="Q81" s="158"/>
      <c r="R81" s="190"/>
      <c r="S81" s="191"/>
      <c r="T81" s="190"/>
      <c r="U81" s="143"/>
      <c r="V81" s="127"/>
      <c r="W81" s="127"/>
    </row>
    <row r="82" spans="1:23" ht="12" customHeight="1">
      <c r="A82" s="127"/>
      <c r="B82" s="142"/>
      <c r="C82" s="191"/>
      <c r="D82" s="190"/>
      <c r="E82" s="191"/>
      <c r="F82" s="190"/>
      <c r="G82" s="157"/>
      <c r="H82" s="157"/>
      <c r="I82" s="158"/>
      <c r="J82" s="157"/>
      <c r="K82" s="158"/>
      <c r="L82" s="157"/>
      <c r="M82" s="158"/>
      <c r="N82" s="157"/>
      <c r="O82" s="158"/>
      <c r="P82" s="157"/>
      <c r="Q82" s="158"/>
      <c r="R82" s="190"/>
      <c r="S82" s="191"/>
      <c r="T82" s="142"/>
      <c r="U82" s="145"/>
      <c r="V82" s="127"/>
      <c r="W82" s="127"/>
    </row>
    <row r="83" spans="1:23" ht="12" customHeight="1">
      <c r="A83" s="127"/>
      <c r="B83" s="142"/>
      <c r="C83" s="191"/>
      <c r="D83" s="190"/>
      <c r="E83" s="191"/>
      <c r="F83" s="190"/>
      <c r="G83" s="157"/>
      <c r="H83" s="157"/>
      <c r="I83" s="158"/>
      <c r="J83" s="157"/>
      <c r="K83" s="158"/>
      <c r="L83" s="157"/>
      <c r="M83" s="158"/>
      <c r="N83" s="157"/>
      <c r="O83" s="158"/>
      <c r="P83" s="157"/>
      <c r="Q83" s="158"/>
      <c r="R83" s="190"/>
      <c r="S83" s="191"/>
      <c r="T83" s="142"/>
      <c r="U83" s="145"/>
      <c r="V83" s="127"/>
      <c r="W83" s="127"/>
    </row>
    <row r="84" spans="1:23" ht="12" customHeight="1" thickBot="1">
      <c r="A84" s="146">
        <v>14</v>
      </c>
      <c r="B84" s="147"/>
      <c r="C84" s="193"/>
      <c r="D84" s="192"/>
      <c r="E84" s="193"/>
      <c r="F84" s="192"/>
      <c r="G84" s="163"/>
      <c r="H84" s="163"/>
      <c r="I84" s="164"/>
      <c r="J84" s="163"/>
      <c r="K84" s="164"/>
      <c r="L84" s="163"/>
      <c r="M84" s="164"/>
      <c r="N84" s="163"/>
      <c r="O84" s="164"/>
      <c r="P84" s="163"/>
      <c r="Q84" s="193"/>
      <c r="R84" s="190"/>
      <c r="S84" s="193"/>
      <c r="T84" s="147"/>
      <c r="U84" s="150"/>
      <c r="V84" s="127"/>
      <c r="W84" s="127"/>
    </row>
    <row r="85" spans="1:23" ht="12" customHeight="1">
      <c r="A85" s="127"/>
      <c r="B85" s="140"/>
      <c r="C85" s="155"/>
      <c r="D85" s="156"/>
      <c r="E85" s="139"/>
      <c r="F85" s="138"/>
      <c r="G85" s="152"/>
      <c r="H85" s="151"/>
      <c r="I85" s="155"/>
      <c r="J85" s="156"/>
      <c r="K85" s="141"/>
      <c r="L85" s="138"/>
      <c r="M85" s="139"/>
      <c r="N85" s="138"/>
      <c r="O85" s="152"/>
      <c r="P85" s="151"/>
      <c r="Q85" s="139"/>
      <c r="R85" s="138"/>
      <c r="S85" s="180"/>
      <c r="T85" s="179"/>
      <c r="U85" s="180"/>
      <c r="V85" s="127"/>
      <c r="W85" s="127"/>
    </row>
    <row r="86" spans="1:23" ht="12" customHeight="1">
      <c r="A86" s="127"/>
      <c r="B86" s="144"/>
      <c r="C86" s="161"/>
      <c r="D86" s="162"/>
      <c r="E86" s="143"/>
      <c r="F86" s="142"/>
      <c r="G86" s="158"/>
      <c r="H86" s="157"/>
      <c r="I86" s="161"/>
      <c r="J86" s="162"/>
      <c r="K86" s="145"/>
      <c r="L86" s="142"/>
      <c r="M86" s="143"/>
      <c r="N86" s="142"/>
      <c r="O86" s="158"/>
      <c r="P86" s="157"/>
      <c r="Q86" s="143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62"/>
      <c r="C87" s="161"/>
      <c r="D87" s="162"/>
      <c r="E87" s="161"/>
      <c r="F87" s="142"/>
      <c r="G87" s="143"/>
      <c r="H87" s="157"/>
      <c r="I87" s="161"/>
      <c r="J87" s="162"/>
      <c r="K87" s="145"/>
      <c r="L87" s="142"/>
      <c r="M87" s="143"/>
      <c r="N87" s="142"/>
      <c r="O87" s="158"/>
      <c r="P87" s="157"/>
      <c r="Q87" s="143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62"/>
      <c r="C88" s="161"/>
      <c r="D88" s="162"/>
      <c r="E88" s="161"/>
      <c r="F88" s="142"/>
      <c r="G88" s="143"/>
      <c r="H88" s="157"/>
      <c r="I88" s="161"/>
      <c r="J88" s="144"/>
      <c r="K88" s="143"/>
      <c r="L88" s="142"/>
      <c r="M88" s="143"/>
      <c r="N88" s="142"/>
      <c r="O88" s="158"/>
      <c r="P88" s="157"/>
      <c r="Q88" s="143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68"/>
      <c r="C89" s="167"/>
      <c r="D89" s="168"/>
      <c r="E89" s="167"/>
      <c r="F89" s="147"/>
      <c r="G89" s="148"/>
      <c r="H89" s="163"/>
      <c r="I89" s="167"/>
      <c r="J89" s="149"/>
      <c r="K89" s="148"/>
      <c r="L89" s="147"/>
      <c r="M89" s="148"/>
      <c r="N89" s="147"/>
      <c r="O89" s="164"/>
      <c r="P89" s="163"/>
      <c r="Q89" s="148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HYPERLINK("#'6월'!A1","← 6월 월간 가계부로 돌아가기")</f>
        <v>← 6월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1481000</v>
      </c>
      <c r="J149" s="366"/>
      <c r="K149" s="366"/>
      <c r="L149" s="366"/>
      <c r="M149" s="366"/>
      <c r="N149" s="367"/>
      <c r="O149" s="423" t="b">
        <f>IF('6월'!AA1,I149=('6월'!M28),"미입력")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1481000</v>
      </c>
      <c r="J150" s="366"/>
      <c r="K150" s="366"/>
      <c r="L150" s="366"/>
      <c r="M150" s="366"/>
      <c r="N150" s="367"/>
      <c r="O150" s="423" t="b">
        <f>IF('6월'!AA1,I150=('6월'!I38),"미입력")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451</v>
      </c>
      <c r="L5" s="38" t="s">
        <v>635</v>
      </c>
      <c r="M5" s="34" t="s">
        <v>453</v>
      </c>
      <c r="N5" s="34" t="s">
        <v>454</v>
      </c>
      <c r="O5" s="35"/>
      <c r="P5" s="35"/>
      <c r="Q5" s="34">
        <f t="shared" si="0"/>
      </c>
      <c r="R5" s="34">
        <f t="shared" si="1"/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456</v>
      </c>
      <c r="L6" s="31" t="s">
        <v>635</v>
      </c>
      <c r="M6" s="27" t="s">
        <v>453</v>
      </c>
      <c r="N6" s="27" t="s">
        <v>457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473</v>
      </c>
      <c r="L11" s="38" t="s">
        <v>636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637</v>
      </c>
      <c r="M12" s="27" t="s">
        <v>171</v>
      </c>
      <c r="N12" s="27" t="s">
        <v>638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639</v>
      </c>
      <c r="T22" s="27" t="s">
        <v>506</v>
      </c>
      <c r="U22" s="27"/>
    </row>
    <row r="23" spans="1:22" ht="22" customHeight="1">
      <c r="A23" s="39" t="s">
        <v>507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509</v>
      </c>
      <c r="T23" s="34" t="s">
        <v>85</v>
      </c>
      <c r="U23" s="34"/>
    </row>
    <row r="24" spans="1:22" ht="22" customHeight="1">
      <c r="A24" s="31" t="s">
        <v>446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621</v>
      </c>
      <c r="T24" s="27" t="s">
        <v>85</v>
      </c>
      <c r="U24" s="27"/>
    </row>
    <row r="25" spans="1:22" ht="25" customHeight="1">
      <c r="A25" s="31" t="s">
        <v>445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HYPERLINK("#'7월계산기'!A1","계산기 대조 · 7월계산기 열기")</f>
        <v>계산기 대조 · 7월계산기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1519000</v>
      </c>
      <c r="N28" s="367"/>
      <c r="O28" s="429" t="s">
        <v>234</v>
      </c>
      <c r="P28" s="367"/>
      <c r="Q28" s="431">
        <f>'7월계산기'!W12</f>
        <v>1519000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1519000</v>
      </c>
      <c r="N29" s="367"/>
      <c r="O29" s="429" t="s">
        <v>239</v>
      </c>
      <c r="P29" s="367"/>
      <c r="Q29" s="431">
        <f>'7월계산기'!W13</f>
        <v>1519000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41466</v>
      </c>
      <c r="N30" s="367"/>
      <c r="O30" s="429" t="s">
        <v>514</v>
      </c>
      <c r="P30" s="367"/>
      <c r="Q30" s="431">
        <f>SUM(I4,I9,I14,I19,I24,I29)-I33</f>
        <v>41466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'7월계산기'!W14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I33-'_예비비계산'!AG8</f>
        <v>1477534</v>
      </c>
      <c r="I38" s="27">
        <f>SUM(I4,I9,I14,I19,I24,I29)-'_예비비계산'!AH8</f>
        <v>1519000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46210</v>
      </c>
      <c r="B52" s="35" t="s">
        <v>554</v>
      </c>
      <c r="C52" s="35" t="s">
        <v>108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RAW!A1761</f>
        <v>46234.697222222225</v>
      </c>
      <c r="B53" s="35" t="s">
        <v>603</v>
      </c>
      <c r="C53" s="35" t="s">
        <v>641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642</v>
      </c>
      <c r="J53" s="12"/>
      <c r="K53" s="50" t="s">
        <v>555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RAW!A1574</f>
        <v>46218.934432870374</v>
      </c>
      <c r="B54" s="35" t="s">
        <v>643</v>
      </c>
      <c r="C54" s="35" t="s">
        <v>644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645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1333900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'_예비비계산'!AB8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'_예비비계산'!AC8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'_예비비계산'!AD8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'_예비비계산'!AE8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'_예비비계산'!AF8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643000</v>
      </c>
      <c r="AA3">
        <v>643</v>
      </c>
    </row>
    <row r="4" spans="1:27" ht="18" customHeight="1">
      <c r="A4" s="122" t="s">
        <v>576</v>
      </c>
      <c r="B4" s="130"/>
      <c r="C4" s="124">
        <f>IFERROR(colorfunction(B4,$B$15:$U$144,FALSE),$AA$4)</f>
        <v>170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170000</v>
      </c>
      <c r="AA4">
        <v>170</v>
      </c>
    </row>
    <row r="5" spans="1:27" ht="18" customHeight="1">
      <c r="A5" s="122" t="s">
        <v>577</v>
      </c>
      <c r="B5" s="132"/>
      <c r="C5" s="124">
        <f>IFERROR(colorfunction(B5,$B$15:$U$144,FALSE),$AA$5)</f>
        <v>376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376000</v>
      </c>
      <c r="AA5">
        <v>376</v>
      </c>
    </row>
    <row r="6" spans="1:27" ht="18" customHeight="1">
      <c r="A6" s="122" t="s">
        <v>578</v>
      </c>
      <c r="B6" s="133"/>
      <c r="C6" s="124">
        <f>IFERROR(colorfunction(B6,$B$15:$U$144,FALSE),$AA$6)</f>
        <v>122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122000</v>
      </c>
      <c r="AA6">
        <v>122</v>
      </c>
    </row>
    <row r="7" spans="1:27" ht="18" customHeight="1">
      <c r="A7" s="122" t="s">
        <v>579</v>
      </c>
      <c r="B7" s="134"/>
      <c r="C7" s="124">
        <f>IFERROR(colorfunction(B7,$B$15:$U$144,FALSE),$AA$7)</f>
        <v>52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52000</v>
      </c>
      <c r="AA7">
        <v>52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156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156000</v>
      </c>
      <c r="AA9">
        <v>156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1519000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1519000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0+'_예비비계산'!AH8</f>
        <v>0</v>
      </c>
    </row>
    <row r="15" spans="1:27" ht="12" customHeight="1">
      <c r="A15" s="127"/>
      <c r="B15" s="138"/>
      <c r="C15" s="139"/>
      <c r="D15" s="138"/>
      <c r="E15" s="141"/>
      <c r="F15" s="138"/>
      <c r="G15" s="139"/>
      <c r="H15" s="140"/>
      <c r="I15" s="139"/>
      <c r="J15" s="140"/>
      <c r="K15" s="139"/>
      <c r="L15" s="138"/>
      <c r="M15" s="139"/>
      <c r="N15" s="138"/>
      <c r="O15" s="139"/>
      <c r="P15" s="138"/>
      <c r="Q15" s="188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5"/>
      <c r="F16" s="142"/>
      <c r="G16" s="143"/>
      <c r="H16" s="144"/>
      <c r="I16" s="145"/>
      <c r="J16" s="142"/>
      <c r="K16" s="143"/>
      <c r="L16" s="142"/>
      <c r="M16" s="143"/>
      <c r="N16" s="142"/>
      <c r="O16" s="143"/>
      <c r="P16" s="142"/>
      <c r="Q16" s="191"/>
      <c r="R16" s="142"/>
      <c r="S16" s="143"/>
      <c r="T16" s="142"/>
      <c r="U16" s="143"/>
      <c r="V16" s="304" t="s">
        <v>232</v>
      </c>
      <c r="W16" s="305">
        <f>SUM(W3:W10)</f>
        <v>1519000</v>
      </c>
    </row>
    <row r="17" spans="1:27" ht="12" customHeight="1">
      <c r="A17" s="127"/>
      <c r="B17" s="142"/>
      <c r="C17" s="143"/>
      <c r="D17" s="144"/>
      <c r="E17" s="143"/>
      <c r="F17" s="142"/>
      <c r="G17" s="143"/>
      <c r="H17" s="144"/>
      <c r="I17" s="145"/>
      <c r="J17" s="142"/>
      <c r="K17" s="143"/>
      <c r="L17" s="142"/>
      <c r="M17" s="143"/>
      <c r="N17" s="142"/>
      <c r="O17" s="143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4"/>
      <c r="E18" s="143"/>
      <c r="F18" s="142"/>
      <c r="G18" s="143"/>
      <c r="H18" s="144"/>
      <c r="I18" s="145"/>
      <c r="J18" s="142"/>
      <c r="K18" s="143"/>
      <c r="L18" s="142"/>
      <c r="M18" s="143"/>
      <c r="N18" s="142"/>
      <c r="O18" s="143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9"/>
      <c r="E19" s="148"/>
      <c r="F19" s="147"/>
      <c r="G19" s="150"/>
      <c r="H19" s="147"/>
      <c r="I19" s="150"/>
      <c r="J19" s="147"/>
      <c r="K19" s="148"/>
      <c r="L19" s="147"/>
      <c r="M19" s="148"/>
      <c r="N19" s="147"/>
      <c r="O19" s="148"/>
      <c r="P19" s="192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51"/>
      <c r="G20" s="152"/>
      <c r="H20" s="138"/>
      <c r="I20" s="141"/>
      <c r="J20" s="140"/>
      <c r="K20" s="139"/>
      <c r="L20" s="189"/>
      <c r="M20" s="188"/>
      <c r="N20" s="189"/>
      <c r="O20" s="188"/>
      <c r="P20" s="189"/>
      <c r="Q20" s="188"/>
      <c r="R20" s="189"/>
      <c r="S20" s="188"/>
      <c r="T20" s="189"/>
      <c r="U20" s="188"/>
      <c r="V20" s="127"/>
      <c r="W20" s="127"/>
    </row>
    <row r="21" spans="1:27" ht="12" customHeight="1">
      <c r="A21" s="127"/>
      <c r="B21" s="142"/>
      <c r="C21" s="143"/>
      <c r="D21" s="142"/>
      <c r="E21" s="158"/>
      <c r="F21" s="157"/>
      <c r="G21" s="143"/>
      <c r="H21" s="144"/>
      <c r="I21" s="145"/>
      <c r="J21" s="142"/>
      <c r="K21" s="191"/>
      <c r="L21" s="190"/>
      <c r="M21" s="191"/>
      <c r="N21" s="190"/>
      <c r="O21" s="191"/>
      <c r="P21" s="190"/>
      <c r="Q21" s="191"/>
      <c r="R21" s="190"/>
      <c r="S21" s="191"/>
      <c r="T21" s="190"/>
      <c r="U21" s="191"/>
      <c r="V21" s="127"/>
      <c r="W21" s="127"/>
    </row>
    <row r="22" spans="1:27" ht="12" customHeight="1">
      <c r="A22" s="127"/>
      <c r="B22" s="142"/>
      <c r="C22" s="143"/>
      <c r="D22" s="142"/>
      <c r="E22" s="158"/>
      <c r="F22" s="157"/>
      <c r="G22" s="143"/>
      <c r="H22" s="144"/>
      <c r="I22" s="145"/>
      <c r="J22" s="142"/>
      <c r="K22" s="191"/>
      <c r="L22" s="190"/>
      <c r="M22" s="191"/>
      <c r="N22" s="190"/>
      <c r="O22" s="191"/>
      <c r="P22" s="190"/>
      <c r="Q22" s="191"/>
      <c r="R22" s="190"/>
      <c r="S22" s="191"/>
      <c r="T22" s="190"/>
      <c r="U22" s="191"/>
      <c r="V22" s="127"/>
      <c r="W22" s="127"/>
    </row>
    <row r="23" spans="1:27" ht="12" customHeight="1">
      <c r="A23" s="127"/>
      <c r="B23" s="142"/>
      <c r="C23" s="143"/>
      <c r="D23" s="142"/>
      <c r="E23" s="158"/>
      <c r="F23" s="157"/>
      <c r="G23" s="143"/>
      <c r="H23" s="144"/>
      <c r="I23" s="145"/>
      <c r="J23" s="142"/>
      <c r="K23" s="191"/>
      <c r="L23" s="190"/>
      <c r="M23" s="191"/>
      <c r="N23" s="190"/>
      <c r="O23" s="191"/>
      <c r="P23" s="190"/>
      <c r="Q23" s="191"/>
      <c r="R23" s="190"/>
      <c r="S23" s="191"/>
      <c r="T23" s="190"/>
      <c r="U23" s="191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64"/>
      <c r="F24" s="163"/>
      <c r="G24" s="148"/>
      <c r="H24" s="149"/>
      <c r="I24" s="150"/>
      <c r="J24" s="147"/>
      <c r="K24" s="193"/>
      <c r="L24" s="192"/>
      <c r="M24" s="193"/>
      <c r="N24" s="192"/>
      <c r="O24" s="193"/>
      <c r="P24" s="192"/>
      <c r="Q24" s="193"/>
      <c r="R24" s="192"/>
      <c r="S24" s="193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40"/>
      <c r="K25" s="139"/>
      <c r="L25" s="138"/>
      <c r="M25" s="139"/>
      <c r="N25" s="138"/>
      <c r="O25" s="141"/>
      <c r="P25" s="138"/>
      <c r="Q25" s="139"/>
      <c r="R25" s="138"/>
      <c r="S25" s="141"/>
      <c r="T25" s="138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44"/>
      <c r="K26" s="143"/>
      <c r="L26" s="142"/>
      <c r="M26" s="143"/>
      <c r="N26" s="142"/>
      <c r="O26" s="145"/>
      <c r="P26" s="142"/>
      <c r="Q26" s="143"/>
      <c r="R26" s="142"/>
      <c r="S26" s="145"/>
      <c r="T26" s="142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45"/>
      <c r="J27" s="142"/>
      <c r="K27" s="143"/>
      <c r="L27" s="142"/>
      <c r="M27" s="143"/>
      <c r="N27" s="144"/>
      <c r="O27" s="143"/>
      <c r="P27" s="142"/>
      <c r="Q27" s="143"/>
      <c r="R27" s="142"/>
      <c r="S27" s="145"/>
      <c r="T27" s="142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45"/>
      <c r="J28" s="142"/>
      <c r="K28" s="143"/>
      <c r="L28" s="142"/>
      <c r="M28" s="143"/>
      <c r="N28" s="144"/>
      <c r="O28" s="143"/>
      <c r="P28" s="142"/>
      <c r="Q28" s="143"/>
      <c r="R28" s="142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50"/>
      <c r="J29" s="147"/>
      <c r="K29" s="148"/>
      <c r="L29" s="147"/>
      <c r="M29" s="148"/>
      <c r="N29" s="149"/>
      <c r="O29" s="148"/>
      <c r="P29" s="147"/>
      <c r="Q29" s="148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38"/>
      <c r="E30" s="139"/>
      <c r="F30" s="138"/>
      <c r="G30" s="139"/>
      <c r="H30" s="138"/>
      <c r="I30" s="139"/>
      <c r="J30" s="138"/>
      <c r="K30" s="139"/>
      <c r="L30" s="138"/>
      <c r="M30" s="139"/>
      <c r="N30" s="140"/>
      <c r="O30" s="141"/>
      <c r="P30" s="138"/>
      <c r="Q30" s="178"/>
      <c r="R30" s="186"/>
      <c r="S30" s="178"/>
      <c r="T30" s="186"/>
      <c r="U30" s="178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4"/>
      <c r="O31" s="143"/>
      <c r="P31" s="169"/>
      <c r="Q31" s="187"/>
      <c r="R31" s="169"/>
      <c r="S31" s="187"/>
      <c r="T31" s="169"/>
      <c r="U31" s="187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2"/>
      <c r="M32" s="145"/>
      <c r="N32" s="144"/>
      <c r="O32" s="143"/>
      <c r="P32" s="169"/>
      <c r="Q32" s="187"/>
      <c r="R32" s="169"/>
      <c r="S32" s="187"/>
      <c r="T32" s="169"/>
      <c r="U32" s="187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2"/>
      <c r="M33" s="145"/>
      <c r="N33" s="144"/>
      <c r="O33" s="143"/>
      <c r="P33" s="169"/>
      <c r="Q33" s="187"/>
      <c r="R33" s="169"/>
      <c r="S33" s="187"/>
      <c r="T33" s="169"/>
      <c r="U33" s="187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47"/>
      <c r="G34" s="148"/>
      <c r="H34" s="147"/>
      <c r="I34" s="148"/>
      <c r="J34" s="147"/>
      <c r="K34" s="148"/>
      <c r="L34" s="147"/>
      <c r="M34" s="150"/>
      <c r="N34" s="149"/>
      <c r="O34" s="148"/>
      <c r="P34" s="170"/>
      <c r="Q34" s="177"/>
      <c r="R34" s="170"/>
      <c r="S34" s="177"/>
      <c r="T34" s="170"/>
      <c r="U34" s="177"/>
      <c r="V34" s="127"/>
      <c r="W34" s="127"/>
    </row>
    <row r="35" spans="1:23" ht="12" customHeight="1">
      <c r="A35" s="127"/>
      <c r="B35" s="186"/>
      <c r="C35" s="178"/>
      <c r="D35" s="186"/>
      <c r="E35" s="178"/>
      <c r="F35" s="186"/>
      <c r="G35" s="178"/>
      <c r="H35" s="186"/>
      <c r="I35" s="178"/>
      <c r="J35" s="186"/>
      <c r="K35" s="178"/>
      <c r="L35" s="151"/>
      <c r="M35" s="152"/>
      <c r="N35" s="140"/>
      <c r="O35" s="139"/>
      <c r="P35" s="140"/>
      <c r="Q35" s="139"/>
      <c r="R35" s="138"/>
      <c r="S35" s="139"/>
      <c r="T35" s="156"/>
      <c r="U35" s="141"/>
      <c r="V35" s="127"/>
      <c r="W35" s="127"/>
    </row>
    <row r="36" spans="1:23" ht="12" customHeight="1">
      <c r="A36" s="127"/>
      <c r="B36" s="169"/>
      <c r="C36" s="187"/>
      <c r="D36" s="169"/>
      <c r="E36" s="187"/>
      <c r="F36" s="169"/>
      <c r="G36" s="187"/>
      <c r="H36" s="169"/>
      <c r="I36" s="187"/>
      <c r="J36" s="169"/>
      <c r="K36" s="187"/>
      <c r="L36" s="157"/>
      <c r="M36" s="158"/>
      <c r="N36" s="144"/>
      <c r="O36" s="143"/>
      <c r="P36" s="144"/>
      <c r="Q36" s="143"/>
      <c r="R36" s="142"/>
      <c r="S36" s="143"/>
      <c r="T36" s="162"/>
      <c r="U36" s="145"/>
      <c r="V36" s="127"/>
      <c r="W36" s="127"/>
    </row>
    <row r="37" spans="1:23" ht="12" customHeight="1">
      <c r="A37" s="127"/>
      <c r="B37" s="169"/>
      <c r="C37" s="187"/>
      <c r="D37" s="169"/>
      <c r="E37" s="187"/>
      <c r="F37" s="169"/>
      <c r="G37" s="187"/>
      <c r="H37" s="169"/>
      <c r="I37" s="187"/>
      <c r="J37" s="169"/>
      <c r="K37" s="187"/>
      <c r="L37" s="157"/>
      <c r="M37" s="158"/>
      <c r="N37" s="144"/>
      <c r="O37" s="143"/>
      <c r="P37" s="144"/>
      <c r="Q37" s="143"/>
      <c r="R37" s="142"/>
      <c r="S37" s="143"/>
      <c r="T37" s="162"/>
      <c r="U37" s="145"/>
      <c r="V37" s="127"/>
      <c r="W37" s="127"/>
    </row>
    <row r="38" spans="1:23" ht="12" customHeight="1">
      <c r="A38" s="127"/>
      <c r="B38" s="169"/>
      <c r="C38" s="187"/>
      <c r="D38" s="169"/>
      <c r="E38" s="187"/>
      <c r="F38" s="169"/>
      <c r="G38" s="187"/>
      <c r="H38" s="169"/>
      <c r="I38" s="187"/>
      <c r="J38" s="169"/>
      <c r="K38" s="187"/>
      <c r="L38" s="157"/>
      <c r="M38" s="145"/>
      <c r="N38" s="142"/>
      <c r="O38" s="143"/>
      <c r="P38" s="144"/>
      <c r="Q38" s="143"/>
      <c r="R38" s="142"/>
      <c r="S38" s="161"/>
      <c r="T38" s="162"/>
      <c r="U38" s="145"/>
      <c r="V38" s="127"/>
      <c r="W38" s="127"/>
    </row>
    <row r="39" spans="1:23" ht="12" customHeight="1" thickBot="1">
      <c r="A39" s="146">
        <v>5</v>
      </c>
      <c r="B39" s="170"/>
      <c r="C39" s="177"/>
      <c r="D39" s="170"/>
      <c r="E39" s="177"/>
      <c r="F39" s="170"/>
      <c r="G39" s="177"/>
      <c r="H39" s="170"/>
      <c r="I39" s="177"/>
      <c r="J39" s="170"/>
      <c r="K39" s="177"/>
      <c r="L39" s="163"/>
      <c r="M39" s="150"/>
      <c r="N39" s="147"/>
      <c r="O39" s="150"/>
      <c r="P39" s="147"/>
      <c r="Q39" s="148"/>
      <c r="R39" s="147"/>
      <c r="S39" s="167"/>
      <c r="T39" s="149"/>
      <c r="U39" s="148"/>
      <c r="V39" s="127"/>
      <c r="W39" s="127"/>
    </row>
    <row r="40" spans="1:23" ht="12" customHeight="1">
      <c r="A40" s="127"/>
      <c r="B40" s="138"/>
      <c r="C40" s="141"/>
      <c r="D40" s="169"/>
      <c r="E40" s="178"/>
      <c r="F40" s="140"/>
      <c r="G40" s="139"/>
      <c r="H40" s="186"/>
      <c r="I40" s="178"/>
      <c r="J40" s="186"/>
      <c r="K40" s="141"/>
      <c r="L40" s="186"/>
      <c r="M40" s="139"/>
      <c r="N40" s="138"/>
      <c r="O40" s="139"/>
      <c r="P40" s="140"/>
      <c r="Q40" s="139"/>
      <c r="R40" s="138"/>
      <c r="S40" s="155"/>
      <c r="T40" s="156"/>
      <c r="U40" s="155"/>
      <c r="V40" s="127"/>
      <c r="W40" s="127"/>
    </row>
    <row r="41" spans="1:23" ht="12" customHeight="1">
      <c r="A41" s="127"/>
      <c r="B41" s="144"/>
      <c r="C41" s="143"/>
      <c r="D41" s="198"/>
      <c r="E41" s="187"/>
      <c r="F41" s="144"/>
      <c r="G41" s="143"/>
      <c r="H41" s="169"/>
      <c r="I41" s="187"/>
      <c r="J41" s="169"/>
      <c r="K41" s="145"/>
      <c r="L41" s="169"/>
      <c r="M41" s="143"/>
      <c r="N41" s="142"/>
      <c r="O41" s="143"/>
      <c r="P41" s="144"/>
      <c r="Q41" s="143"/>
      <c r="R41" s="162"/>
      <c r="S41" s="161"/>
      <c r="T41" s="162"/>
      <c r="U41" s="161"/>
      <c r="V41" s="127"/>
      <c r="W41" s="127"/>
    </row>
    <row r="42" spans="1:23" ht="12" customHeight="1">
      <c r="A42" s="127"/>
      <c r="B42" s="144"/>
      <c r="C42" s="143"/>
      <c r="D42" s="169"/>
      <c r="E42" s="145"/>
      <c r="F42" s="142"/>
      <c r="G42" s="143"/>
      <c r="H42" s="169"/>
      <c r="I42" s="187"/>
      <c r="J42" s="169"/>
      <c r="K42" s="145"/>
      <c r="L42" s="142"/>
      <c r="M42" s="143"/>
      <c r="N42" s="142"/>
      <c r="O42" s="145"/>
      <c r="P42" s="142"/>
      <c r="Q42" s="143"/>
      <c r="R42" s="162"/>
      <c r="S42" s="161"/>
      <c r="T42" s="162"/>
      <c r="U42" s="161"/>
      <c r="V42" s="127"/>
      <c r="W42" s="127"/>
    </row>
    <row r="43" spans="1:23" ht="12" customHeight="1">
      <c r="A43" s="127"/>
      <c r="B43" s="144"/>
      <c r="C43" s="143"/>
      <c r="D43" s="169"/>
      <c r="E43" s="145"/>
      <c r="F43" s="142"/>
      <c r="G43" s="187"/>
      <c r="H43" s="169"/>
      <c r="I43" s="187"/>
      <c r="J43" s="169"/>
      <c r="K43" s="145"/>
      <c r="L43" s="142"/>
      <c r="M43" s="143"/>
      <c r="N43" s="142"/>
      <c r="O43" s="145"/>
      <c r="P43" s="142"/>
      <c r="Q43" s="143"/>
      <c r="R43" s="162"/>
      <c r="S43" s="161"/>
      <c r="T43" s="162"/>
      <c r="U43" s="161"/>
      <c r="V43" s="127"/>
      <c r="W43" s="127"/>
    </row>
    <row r="44" spans="1:23" ht="12" customHeight="1" thickBot="1">
      <c r="A44" s="146">
        <v>6</v>
      </c>
      <c r="B44" s="149"/>
      <c r="C44" s="148"/>
      <c r="D44" s="170"/>
      <c r="E44" s="150"/>
      <c r="F44" s="147"/>
      <c r="G44" s="177"/>
      <c r="H44" s="170"/>
      <c r="I44" s="177"/>
      <c r="J44" s="170"/>
      <c r="K44" s="150"/>
      <c r="L44" s="147"/>
      <c r="M44" s="148"/>
      <c r="N44" s="147"/>
      <c r="O44" s="150"/>
      <c r="P44" s="147"/>
      <c r="Q44" s="148"/>
      <c r="R44" s="168"/>
      <c r="S44" s="167"/>
      <c r="T44" s="168"/>
      <c r="U44" s="167"/>
      <c r="V44" s="127"/>
      <c r="W44" s="127"/>
    </row>
    <row r="45" spans="1:23" ht="12" customHeight="1">
      <c r="A45" s="127"/>
      <c r="B45" s="156"/>
      <c r="C45" s="155"/>
      <c r="D45" s="138"/>
      <c r="E45" s="139"/>
      <c r="F45" s="138"/>
      <c r="G45" s="141"/>
      <c r="H45" s="138"/>
      <c r="I45" s="139"/>
      <c r="J45" s="138"/>
      <c r="K45" s="139"/>
      <c r="L45" s="138"/>
      <c r="M45" s="139"/>
      <c r="N45" s="140"/>
      <c r="O45" s="141"/>
      <c r="P45" s="138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62"/>
      <c r="C46" s="143"/>
      <c r="D46" s="142"/>
      <c r="E46" s="143"/>
      <c r="F46" s="142"/>
      <c r="G46" s="145"/>
      <c r="H46" s="142"/>
      <c r="I46" s="143"/>
      <c r="J46" s="142"/>
      <c r="K46" s="143"/>
      <c r="L46" s="142"/>
      <c r="M46" s="143"/>
      <c r="N46" s="144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62"/>
      <c r="C47" s="143"/>
      <c r="D47" s="142"/>
      <c r="E47" s="143"/>
      <c r="F47" s="142"/>
      <c r="G47" s="145"/>
      <c r="H47" s="142"/>
      <c r="I47" s="143"/>
      <c r="J47" s="142"/>
      <c r="K47" s="143"/>
      <c r="L47" s="142"/>
      <c r="M47" s="143"/>
      <c r="N47" s="144"/>
      <c r="O47" s="143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62"/>
      <c r="C48" s="143"/>
      <c r="D48" s="142"/>
      <c r="E48" s="143"/>
      <c r="F48" s="142"/>
      <c r="G48" s="145"/>
      <c r="H48" s="142"/>
      <c r="I48" s="143"/>
      <c r="J48" s="142"/>
      <c r="K48" s="143"/>
      <c r="L48" s="142"/>
      <c r="M48" s="143"/>
      <c r="N48" s="142"/>
      <c r="O48" s="143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8"/>
      <c r="C49" s="148"/>
      <c r="D49" s="147"/>
      <c r="E49" s="148"/>
      <c r="F49" s="147"/>
      <c r="G49" s="150"/>
      <c r="H49" s="147"/>
      <c r="I49" s="148"/>
      <c r="J49" s="147"/>
      <c r="K49" s="148"/>
      <c r="L49" s="147"/>
      <c r="M49" s="148"/>
      <c r="N49" s="147"/>
      <c r="O49" s="148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89"/>
      <c r="E50" s="188"/>
      <c r="F50" s="189"/>
      <c r="G50" s="188"/>
      <c r="H50" s="189"/>
      <c r="I50" s="188"/>
      <c r="J50" s="189"/>
      <c r="K50" s="188"/>
      <c r="L50" s="189"/>
      <c r="M50" s="188"/>
      <c r="N50" s="189"/>
      <c r="O50" s="188"/>
      <c r="P50" s="189"/>
      <c r="Q50" s="188"/>
      <c r="R50" s="189"/>
      <c r="S50" s="188"/>
      <c r="T50" s="190"/>
      <c r="U50" s="178"/>
      <c r="V50" s="127"/>
      <c r="W50" s="127"/>
    </row>
    <row r="51" spans="1:23" ht="12" customHeight="1">
      <c r="A51" s="127"/>
      <c r="B51" s="142"/>
      <c r="C51" s="143"/>
      <c r="D51" s="190"/>
      <c r="E51" s="191"/>
      <c r="F51" s="190"/>
      <c r="G51" s="191"/>
      <c r="H51" s="190"/>
      <c r="I51" s="191"/>
      <c r="J51" s="190"/>
      <c r="K51" s="191"/>
      <c r="L51" s="190"/>
      <c r="M51" s="191"/>
      <c r="N51" s="190"/>
      <c r="O51" s="191"/>
      <c r="P51" s="190"/>
      <c r="Q51" s="191"/>
      <c r="R51" s="190"/>
      <c r="S51" s="191"/>
      <c r="T51" s="190"/>
      <c r="U51" s="161"/>
      <c r="V51" s="127"/>
      <c r="W51" s="127"/>
    </row>
    <row r="52" spans="1:23" ht="12" customHeight="1">
      <c r="A52" s="127"/>
      <c r="B52" s="142"/>
      <c r="C52" s="191"/>
      <c r="D52" s="190"/>
      <c r="E52" s="191"/>
      <c r="F52" s="190"/>
      <c r="G52" s="191"/>
      <c r="H52" s="190"/>
      <c r="I52" s="191"/>
      <c r="J52" s="190"/>
      <c r="K52" s="191"/>
      <c r="L52" s="190"/>
      <c r="M52" s="191"/>
      <c r="N52" s="190"/>
      <c r="O52" s="191"/>
      <c r="P52" s="190"/>
      <c r="Q52" s="191"/>
      <c r="R52" s="190"/>
      <c r="S52" s="191"/>
      <c r="T52" s="190"/>
      <c r="U52" s="161"/>
      <c r="V52" s="127"/>
      <c r="W52" s="127"/>
    </row>
    <row r="53" spans="1:23" ht="12" customHeight="1">
      <c r="A53" s="127"/>
      <c r="B53" s="142"/>
      <c r="C53" s="191"/>
      <c r="D53" s="190"/>
      <c r="E53" s="191"/>
      <c r="F53" s="190"/>
      <c r="G53" s="191"/>
      <c r="H53" s="190"/>
      <c r="I53" s="191"/>
      <c r="J53" s="190"/>
      <c r="K53" s="191"/>
      <c r="L53" s="190"/>
      <c r="M53" s="191"/>
      <c r="N53" s="190"/>
      <c r="O53" s="191"/>
      <c r="P53" s="190"/>
      <c r="Q53" s="191"/>
      <c r="R53" s="190"/>
      <c r="S53" s="191"/>
      <c r="T53" s="190"/>
      <c r="U53" s="161"/>
      <c r="V53" s="127"/>
      <c r="W53" s="127"/>
    </row>
    <row r="54" spans="1:23" ht="12" customHeight="1" thickBot="1">
      <c r="A54" s="146">
        <v>8</v>
      </c>
      <c r="B54" s="147"/>
      <c r="C54" s="193"/>
      <c r="D54" s="192"/>
      <c r="E54" s="193"/>
      <c r="F54" s="192"/>
      <c r="G54" s="193"/>
      <c r="H54" s="192"/>
      <c r="I54" s="193"/>
      <c r="J54" s="192"/>
      <c r="K54" s="193"/>
      <c r="L54" s="192"/>
      <c r="M54" s="193"/>
      <c r="N54" s="192"/>
      <c r="O54" s="193"/>
      <c r="P54" s="192"/>
      <c r="Q54" s="193"/>
      <c r="R54" s="192"/>
      <c r="S54" s="193"/>
      <c r="T54" s="192"/>
      <c r="U54" s="167"/>
      <c r="V54" s="127"/>
      <c r="W54" s="127"/>
    </row>
    <row r="55" spans="1:23" ht="12" customHeight="1">
      <c r="A55" s="127"/>
      <c r="B55" s="156"/>
      <c r="C55" s="188"/>
      <c r="D55" s="189"/>
      <c r="E55" s="188"/>
      <c r="F55" s="189"/>
      <c r="G55" s="152"/>
      <c r="H55" s="151"/>
      <c r="I55" s="152"/>
      <c r="J55" s="151"/>
      <c r="K55" s="152"/>
      <c r="L55" s="151"/>
      <c r="M55" s="141"/>
      <c r="N55" s="138"/>
      <c r="O55" s="139"/>
      <c r="P55" s="151"/>
      <c r="Q55" s="152"/>
      <c r="R55" s="189"/>
      <c r="S55" s="188"/>
      <c r="T55" s="189"/>
      <c r="U55" s="141"/>
      <c r="V55" s="127"/>
      <c r="W55" s="127"/>
    </row>
    <row r="56" spans="1:23" ht="12" customHeight="1">
      <c r="A56" s="127"/>
      <c r="B56" s="199"/>
      <c r="C56" s="191"/>
      <c r="D56" s="190"/>
      <c r="E56" s="191"/>
      <c r="F56" s="190"/>
      <c r="G56" s="158"/>
      <c r="H56" s="157"/>
      <c r="I56" s="158"/>
      <c r="J56" s="157"/>
      <c r="K56" s="158"/>
      <c r="L56" s="157"/>
      <c r="M56" s="145"/>
      <c r="N56" s="142"/>
      <c r="O56" s="158"/>
      <c r="P56" s="157"/>
      <c r="Q56" s="158"/>
      <c r="R56" s="190"/>
      <c r="S56" s="191"/>
      <c r="T56" s="190"/>
      <c r="U56" s="145"/>
      <c r="V56" s="127"/>
      <c r="W56" s="127"/>
    </row>
    <row r="57" spans="1:23" ht="12" customHeight="1">
      <c r="A57" s="127"/>
      <c r="B57" s="199"/>
      <c r="C57" s="191"/>
      <c r="D57" s="190"/>
      <c r="E57" s="191"/>
      <c r="F57" s="157"/>
      <c r="G57" s="158"/>
      <c r="H57" s="157"/>
      <c r="I57" s="158"/>
      <c r="J57" s="157"/>
      <c r="K57" s="158"/>
      <c r="L57" s="157"/>
      <c r="M57" s="145"/>
      <c r="N57" s="142"/>
      <c r="O57" s="158"/>
      <c r="P57" s="157"/>
      <c r="Q57" s="158"/>
      <c r="R57" s="190"/>
      <c r="S57" s="191"/>
      <c r="T57" s="142"/>
      <c r="U57" s="145"/>
      <c r="V57" s="127"/>
      <c r="W57" s="127"/>
    </row>
    <row r="58" spans="1:23" ht="12" customHeight="1">
      <c r="A58" s="127"/>
      <c r="B58" s="199"/>
      <c r="C58" s="191"/>
      <c r="D58" s="190"/>
      <c r="E58" s="191"/>
      <c r="F58" s="157"/>
      <c r="G58" s="158"/>
      <c r="H58" s="157"/>
      <c r="I58" s="158"/>
      <c r="J58" s="157"/>
      <c r="K58" s="158"/>
      <c r="L58" s="157"/>
      <c r="M58" s="145"/>
      <c r="N58" s="142"/>
      <c r="O58" s="158"/>
      <c r="P58" s="157"/>
      <c r="Q58" s="158"/>
      <c r="R58" s="190"/>
      <c r="S58" s="191"/>
      <c r="T58" s="142"/>
      <c r="U58" s="145"/>
      <c r="V58" s="127"/>
      <c r="W58" s="127"/>
    </row>
    <row r="59" spans="1:23" ht="12" customHeight="1" thickBot="1">
      <c r="A59" s="146">
        <v>9</v>
      </c>
      <c r="B59" s="200"/>
      <c r="C59" s="193"/>
      <c r="D59" s="192"/>
      <c r="E59" s="193"/>
      <c r="F59" s="163"/>
      <c r="G59" s="164"/>
      <c r="H59" s="163"/>
      <c r="I59" s="164"/>
      <c r="J59" s="163"/>
      <c r="K59" s="164"/>
      <c r="L59" s="163"/>
      <c r="M59" s="150"/>
      <c r="N59" s="147"/>
      <c r="O59" s="164"/>
      <c r="P59" s="163"/>
      <c r="Q59" s="193"/>
      <c r="R59" s="192"/>
      <c r="S59" s="193"/>
      <c r="T59" s="147"/>
      <c r="U59" s="150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40"/>
      <c r="I60" s="139"/>
      <c r="J60" s="138"/>
      <c r="K60" s="139"/>
      <c r="L60" s="186"/>
      <c r="M60" s="139"/>
      <c r="N60" s="138"/>
      <c r="O60" s="139"/>
      <c r="P60" s="140"/>
      <c r="Q60" s="141"/>
      <c r="R60" s="138"/>
      <c r="S60" s="139"/>
      <c r="T60" s="138"/>
      <c r="U60" s="141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4"/>
      <c r="I61" s="143"/>
      <c r="J61" s="142"/>
      <c r="K61" s="143"/>
      <c r="L61" s="169"/>
      <c r="M61" s="143"/>
      <c r="N61" s="142"/>
      <c r="O61" s="143"/>
      <c r="P61" s="144"/>
      <c r="Q61" s="145"/>
      <c r="R61" s="142"/>
      <c r="S61" s="143"/>
      <c r="T61" s="142"/>
      <c r="U61" s="145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5"/>
      <c r="H62" s="142"/>
      <c r="I62" s="143"/>
      <c r="J62" s="142"/>
      <c r="K62" s="143"/>
      <c r="L62" s="169"/>
      <c r="M62" s="143"/>
      <c r="N62" s="142"/>
      <c r="O62" s="143"/>
      <c r="P62" s="144"/>
      <c r="Q62" s="145"/>
      <c r="R62" s="142"/>
      <c r="S62" s="143"/>
      <c r="T62" s="142"/>
      <c r="U62" s="145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5"/>
      <c r="H63" s="142"/>
      <c r="I63" s="143"/>
      <c r="J63" s="142"/>
      <c r="K63" s="143"/>
      <c r="L63" s="169"/>
      <c r="M63" s="143"/>
      <c r="N63" s="142"/>
      <c r="O63" s="143"/>
      <c r="P63" s="144"/>
      <c r="Q63" s="145"/>
      <c r="R63" s="142"/>
      <c r="S63" s="143"/>
      <c r="T63" s="144"/>
      <c r="U63" s="158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50"/>
      <c r="H64" s="147"/>
      <c r="I64" s="148"/>
      <c r="J64" s="147"/>
      <c r="K64" s="177"/>
      <c r="L64" s="170"/>
      <c r="M64" s="148"/>
      <c r="N64" s="147"/>
      <c r="O64" s="148"/>
      <c r="P64" s="149"/>
      <c r="Q64" s="150"/>
      <c r="R64" s="147"/>
      <c r="S64" s="148"/>
      <c r="T64" s="149"/>
      <c r="U64" s="164"/>
      <c r="V64" s="127"/>
      <c r="W64" s="127"/>
    </row>
    <row r="65" spans="1:23" ht="12" customHeight="1">
      <c r="A65" s="127"/>
      <c r="B65" s="151"/>
      <c r="C65" s="152"/>
      <c r="D65" s="140"/>
      <c r="E65" s="139"/>
      <c r="F65" s="138"/>
      <c r="G65" s="139"/>
      <c r="H65" s="189"/>
      <c r="I65" s="188"/>
      <c r="J65" s="189"/>
      <c r="K65" s="139"/>
      <c r="L65" s="138"/>
      <c r="M65" s="139"/>
      <c r="N65" s="189"/>
      <c r="O65" s="188"/>
      <c r="P65" s="189"/>
      <c r="Q65" s="188"/>
      <c r="R65" s="189"/>
      <c r="S65" s="188"/>
      <c r="T65" s="189"/>
      <c r="U65" s="139"/>
      <c r="V65" s="127"/>
      <c r="W65" s="127"/>
    </row>
    <row r="66" spans="1:23" ht="12" customHeight="1">
      <c r="A66" s="127"/>
      <c r="B66" s="157"/>
      <c r="C66" s="158"/>
      <c r="D66" s="144"/>
      <c r="E66" s="143"/>
      <c r="F66" s="142"/>
      <c r="G66" s="143"/>
      <c r="H66" s="190"/>
      <c r="I66" s="191"/>
      <c r="J66" s="190"/>
      <c r="K66" s="143"/>
      <c r="L66" s="142"/>
      <c r="M66" s="143"/>
      <c r="N66" s="190"/>
      <c r="O66" s="191"/>
      <c r="P66" s="190"/>
      <c r="Q66" s="191"/>
      <c r="R66" s="190"/>
      <c r="S66" s="191"/>
      <c r="T66" s="190"/>
      <c r="U66" s="143"/>
      <c r="V66" s="127"/>
      <c r="W66" s="127"/>
    </row>
    <row r="67" spans="1:23" ht="12" customHeight="1">
      <c r="A67" s="127"/>
      <c r="B67" s="157"/>
      <c r="C67" s="145"/>
      <c r="D67" s="142"/>
      <c r="E67" s="143"/>
      <c r="F67" s="142"/>
      <c r="G67" s="191"/>
      <c r="H67" s="190"/>
      <c r="I67" s="191"/>
      <c r="J67" s="201"/>
      <c r="K67" s="143"/>
      <c r="L67" s="195"/>
      <c r="M67" s="191"/>
      <c r="N67" s="190"/>
      <c r="O67" s="191"/>
      <c r="P67" s="190"/>
      <c r="Q67" s="191"/>
      <c r="R67" s="190"/>
      <c r="S67" s="191"/>
      <c r="T67" s="190"/>
      <c r="U67" s="143"/>
      <c r="V67" s="127"/>
      <c r="W67" s="127"/>
    </row>
    <row r="68" spans="1:23" ht="12" customHeight="1">
      <c r="A68" s="127"/>
      <c r="B68" s="157"/>
      <c r="C68" s="145"/>
      <c r="D68" s="142"/>
      <c r="E68" s="143"/>
      <c r="F68" s="142"/>
      <c r="G68" s="191"/>
      <c r="H68" s="190"/>
      <c r="I68" s="191"/>
      <c r="J68" s="142"/>
      <c r="K68" s="143"/>
      <c r="L68" s="142"/>
      <c r="M68" s="191"/>
      <c r="N68" s="190"/>
      <c r="O68" s="191"/>
      <c r="P68" s="190"/>
      <c r="Q68" s="191"/>
      <c r="R68" s="190"/>
      <c r="S68" s="191"/>
      <c r="T68" s="142"/>
      <c r="U68" s="143"/>
      <c r="V68" s="127"/>
      <c r="W68" s="127"/>
    </row>
    <row r="69" spans="1:23" ht="12" customHeight="1" thickBot="1">
      <c r="A69" s="146">
        <v>11</v>
      </c>
      <c r="B69" s="163"/>
      <c r="C69" s="150"/>
      <c r="D69" s="147"/>
      <c r="E69" s="148"/>
      <c r="F69" s="147"/>
      <c r="G69" s="193"/>
      <c r="H69" s="192"/>
      <c r="I69" s="193"/>
      <c r="J69" s="142"/>
      <c r="K69" s="148"/>
      <c r="L69" s="142"/>
      <c r="M69" s="193"/>
      <c r="N69" s="192"/>
      <c r="O69" s="193"/>
      <c r="P69" s="192"/>
      <c r="Q69" s="193"/>
      <c r="R69" s="192"/>
      <c r="S69" s="193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39"/>
      <c r="F70" s="138"/>
      <c r="G70" s="139"/>
      <c r="H70" s="138"/>
      <c r="I70" s="139"/>
      <c r="J70" s="138"/>
      <c r="K70" s="141"/>
      <c r="L70" s="138"/>
      <c r="M70" s="139"/>
      <c r="N70" s="138"/>
      <c r="O70" s="139"/>
      <c r="P70" s="189"/>
      <c r="Q70" s="188"/>
      <c r="R70" s="189"/>
      <c r="S70" s="188"/>
      <c r="T70" s="189"/>
      <c r="U70" s="188"/>
      <c r="V70" s="127"/>
      <c r="W70" s="127"/>
    </row>
    <row r="71" spans="1:23" ht="12" customHeight="1">
      <c r="A71" s="127"/>
      <c r="B71" s="142"/>
      <c r="C71" s="143"/>
      <c r="D71" s="142"/>
      <c r="E71" s="143"/>
      <c r="F71" s="142"/>
      <c r="G71" s="143"/>
      <c r="H71" s="142"/>
      <c r="I71" s="143"/>
      <c r="J71" s="142"/>
      <c r="K71" s="145"/>
      <c r="L71" s="142"/>
      <c r="M71" s="143"/>
      <c r="N71" s="142"/>
      <c r="O71" s="143"/>
      <c r="P71" s="190"/>
      <c r="Q71" s="191"/>
      <c r="R71" s="190"/>
      <c r="S71" s="191"/>
      <c r="T71" s="190"/>
      <c r="U71" s="191"/>
      <c r="V71" s="127"/>
      <c r="W71" s="127"/>
    </row>
    <row r="72" spans="1:23" ht="12" customHeight="1">
      <c r="A72" s="127"/>
      <c r="B72" s="142"/>
      <c r="C72" s="143"/>
      <c r="D72" s="142"/>
      <c r="E72" s="143"/>
      <c r="F72" s="142"/>
      <c r="G72" s="143"/>
      <c r="H72" s="142"/>
      <c r="I72" s="143"/>
      <c r="J72" s="142"/>
      <c r="K72" s="145"/>
      <c r="L72" s="142"/>
      <c r="M72" s="143"/>
      <c r="N72" s="142"/>
      <c r="O72" s="191"/>
      <c r="P72" s="190"/>
      <c r="Q72" s="191"/>
      <c r="R72" s="190"/>
      <c r="S72" s="191"/>
      <c r="T72" s="190"/>
      <c r="U72" s="191"/>
      <c r="V72" s="127"/>
      <c r="W72" s="127"/>
    </row>
    <row r="73" spans="1:23" ht="12" customHeight="1">
      <c r="A73" s="127"/>
      <c r="B73" s="142"/>
      <c r="C73" s="143"/>
      <c r="D73" s="142"/>
      <c r="E73" s="143"/>
      <c r="F73" s="142"/>
      <c r="G73" s="143"/>
      <c r="H73" s="142"/>
      <c r="I73" s="143"/>
      <c r="J73" s="142"/>
      <c r="K73" s="145"/>
      <c r="L73" s="142"/>
      <c r="M73" s="143"/>
      <c r="N73" s="142"/>
      <c r="O73" s="191"/>
      <c r="P73" s="190"/>
      <c r="Q73" s="191"/>
      <c r="R73" s="190"/>
      <c r="S73" s="191"/>
      <c r="T73" s="190"/>
      <c r="U73" s="191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48"/>
      <c r="F74" s="147"/>
      <c r="G74" s="148"/>
      <c r="H74" s="147"/>
      <c r="I74" s="148"/>
      <c r="J74" s="149"/>
      <c r="K74" s="148"/>
      <c r="L74" s="147"/>
      <c r="M74" s="148"/>
      <c r="N74" s="147"/>
      <c r="O74" s="193"/>
      <c r="P74" s="192"/>
      <c r="Q74" s="193"/>
      <c r="R74" s="192"/>
      <c r="S74" s="193"/>
      <c r="T74" s="192"/>
      <c r="U74" s="193"/>
      <c r="V74" s="127"/>
      <c r="W74" s="127"/>
    </row>
    <row r="75" spans="1:23" ht="12" customHeight="1">
      <c r="A75" s="127"/>
      <c r="B75" s="189"/>
      <c r="C75" s="188"/>
      <c r="D75" s="189"/>
      <c r="E75" s="139"/>
      <c r="F75" s="138"/>
      <c r="G75" s="139"/>
      <c r="H75" s="138"/>
      <c r="I75" s="155"/>
      <c r="J75" s="156"/>
      <c r="K75" s="141"/>
      <c r="L75" s="138"/>
      <c r="M75" s="139"/>
      <c r="N75" s="189"/>
      <c r="O75" s="188"/>
      <c r="P75" s="189"/>
      <c r="Q75" s="188"/>
      <c r="R75" s="189"/>
      <c r="S75" s="178"/>
      <c r="T75" s="186"/>
      <c r="U75" s="141"/>
      <c r="V75" s="127"/>
      <c r="W75" s="127"/>
    </row>
    <row r="76" spans="1:23" ht="12" customHeight="1">
      <c r="A76" s="127"/>
      <c r="B76" s="190"/>
      <c r="C76" s="191"/>
      <c r="D76" s="190"/>
      <c r="E76" s="143"/>
      <c r="F76" s="142"/>
      <c r="G76" s="143"/>
      <c r="H76" s="162"/>
      <c r="I76" s="161"/>
      <c r="J76" s="162"/>
      <c r="K76" s="145"/>
      <c r="L76" s="142"/>
      <c r="M76" s="143"/>
      <c r="N76" s="190"/>
      <c r="O76" s="191"/>
      <c r="P76" s="190"/>
      <c r="Q76" s="191"/>
      <c r="R76" s="190"/>
      <c r="S76" s="187"/>
      <c r="T76" s="169"/>
      <c r="U76" s="145"/>
      <c r="V76" s="127"/>
      <c r="W76" s="127"/>
    </row>
    <row r="77" spans="1:23" ht="12" customHeight="1">
      <c r="A77" s="127"/>
      <c r="B77" s="190"/>
      <c r="C77" s="191"/>
      <c r="D77" s="190"/>
      <c r="E77" s="143"/>
      <c r="F77" s="142"/>
      <c r="G77" s="143"/>
      <c r="H77" s="162"/>
      <c r="I77" s="161"/>
      <c r="J77" s="162"/>
      <c r="K77" s="145"/>
      <c r="L77" s="142"/>
      <c r="M77" s="143"/>
      <c r="N77" s="190"/>
      <c r="O77" s="191"/>
      <c r="P77" s="190"/>
      <c r="Q77" s="191"/>
      <c r="R77" s="190"/>
      <c r="S77" s="187"/>
      <c r="T77" s="169"/>
      <c r="U77" s="145"/>
      <c r="V77" s="127"/>
      <c r="W77" s="127"/>
    </row>
    <row r="78" spans="1:23" ht="12" customHeight="1">
      <c r="A78" s="127"/>
      <c r="B78" s="190"/>
      <c r="C78" s="191"/>
      <c r="D78" s="190"/>
      <c r="E78" s="143"/>
      <c r="F78" s="142"/>
      <c r="G78" s="143"/>
      <c r="H78" s="162"/>
      <c r="I78" s="161"/>
      <c r="J78" s="144"/>
      <c r="K78" s="143"/>
      <c r="L78" s="142"/>
      <c r="M78" s="191"/>
      <c r="N78" s="190"/>
      <c r="O78" s="191"/>
      <c r="P78" s="190"/>
      <c r="Q78" s="191"/>
      <c r="R78" s="190"/>
      <c r="S78" s="187"/>
      <c r="T78" s="169"/>
      <c r="U78" s="145"/>
      <c r="V78" s="127"/>
      <c r="W78" s="127"/>
    </row>
    <row r="79" spans="1:23" ht="12" customHeight="1" thickBot="1">
      <c r="A79" s="146">
        <v>13</v>
      </c>
      <c r="B79" s="192"/>
      <c r="C79" s="193"/>
      <c r="D79" s="192"/>
      <c r="E79" s="148"/>
      <c r="F79" s="147"/>
      <c r="G79" s="148"/>
      <c r="H79" s="168"/>
      <c r="I79" s="167"/>
      <c r="J79" s="149"/>
      <c r="K79" s="148"/>
      <c r="L79" s="147"/>
      <c r="M79" s="193"/>
      <c r="N79" s="192"/>
      <c r="O79" s="193"/>
      <c r="P79" s="192"/>
      <c r="Q79" s="193"/>
      <c r="R79" s="170"/>
      <c r="S79" s="177"/>
      <c r="T79" s="149"/>
      <c r="U79" s="148"/>
      <c r="V79" s="127"/>
      <c r="W79" s="127"/>
    </row>
    <row r="80" spans="1:23" ht="12" customHeight="1">
      <c r="A80" s="127"/>
      <c r="B80" s="138"/>
      <c r="C80" s="139"/>
      <c r="D80" s="138"/>
      <c r="E80" s="139"/>
      <c r="F80" s="138"/>
      <c r="G80" s="188"/>
      <c r="H80" s="189"/>
      <c r="I80" s="188"/>
      <c r="J80" s="189"/>
      <c r="K80" s="188"/>
      <c r="L80" s="189"/>
      <c r="M80" s="188"/>
      <c r="N80" s="151"/>
      <c r="O80" s="152"/>
      <c r="P80" s="140"/>
      <c r="Q80" s="139"/>
      <c r="R80" s="138"/>
      <c r="S80" s="152"/>
      <c r="T80" s="151"/>
      <c r="U80" s="152"/>
      <c r="V80" s="127"/>
      <c r="W80" s="127"/>
    </row>
    <row r="81" spans="1:23" ht="12" customHeight="1">
      <c r="A81" s="127"/>
      <c r="B81" s="142"/>
      <c r="C81" s="143"/>
      <c r="D81" s="142"/>
      <c r="E81" s="143"/>
      <c r="F81" s="190"/>
      <c r="G81" s="191"/>
      <c r="H81" s="190"/>
      <c r="I81" s="191"/>
      <c r="J81" s="190"/>
      <c r="K81" s="191"/>
      <c r="L81" s="190"/>
      <c r="M81" s="191"/>
      <c r="N81" s="157"/>
      <c r="O81" s="158"/>
      <c r="P81" s="144"/>
      <c r="Q81" s="143"/>
      <c r="R81" s="142"/>
      <c r="S81" s="158"/>
      <c r="T81" s="157"/>
      <c r="U81" s="158"/>
      <c r="V81" s="127"/>
      <c r="W81" s="127"/>
    </row>
    <row r="82" spans="1:23" ht="12" customHeight="1">
      <c r="A82" s="127"/>
      <c r="B82" s="142"/>
      <c r="C82" s="143"/>
      <c r="D82" s="142"/>
      <c r="E82" s="143"/>
      <c r="F82" s="190"/>
      <c r="G82" s="191"/>
      <c r="H82" s="190"/>
      <c r="I82" s="191"/>
      <c r="J82" s="190"/>
      <c r="K82" s="191"/>
      <c r="L82" s="190"/>
      <c r="M82" s="191"/>
      <c r="N82" s="157"/>
      <c r="O82" s="145"/>
      <c r="P82" s="142"/>
      <c r="Q82" s="143"/>
      <c r="R82" s="157"/>
      <c r="S82" s="158"/>
      <c r="T82" s="157"/>
      <c r="U82" s="158"/>
      <c r="V82" s="127"/>
      <c r="W82" s="127"/>
    </row>
    <row r="83" spans="1:23" ht="12" customHeight="1">
      <c r="A83" s="127"/>
      <c r="B83" s="142"/>
      <c r="C83" s="143"/>
      <c r="D83" s="142"/>
      <c r="E83" s="143"/>
      <c r="F83" s="190"/>
      <c r="G83" s="191"/>
      <c r="H83" s="190"/>
      <c r="I83" s="191"/>
      <c r="J83" s="190"/>
      <c r="K83" s="191"/>
      <c r="L83" s="190"/>
      <c r="M83" s="191"/>
      <c r="N83" s="157"/>
      <c r="O83" s="145"/>
      <c r="P83" s="142"/>
      <c r="Q83" s="143"/>
      <c r="R83" s="157"/>
      <c r="S83" s="158"/>
      <c r="T83" s="157"/>
      <c r="U83" s="158"/>
      <c r="V83" s="127"/>
      <c r="W83" s="127"/>
    </row>
    <row r="84" spans="1:23" ht="12" customHeight="1" thickBot="1">
      <c r="A84" s="146">
        <v>14</v>
      </c>
      <c r="B84" s="147"/>
      <c r="C84" s="148"/>
      <c r="D84" s="147"/>
      <c r="E84" s="148"/>
      <c r="F84" s="192"/>
      <c r="G84" s="193"/>
      <c r="H84" s="192"/>
      <c r="I84" s="193"/>
      <c r="J84" s="192"/>
      <c r="K84" s="193"/>
      <c r="L84" s="192"/>
      <c r="M84" s="164"/>
      <c r="N84" s="163"/>
      <c r="O84" s="150"/>
      <c r="P84" s="147"/>
      <c r="Q84" s="148"/>
      <c r="R84" s="157"/>
      <c r="S84" s="164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52"/>
      <c r="F85" s="140"/>
      <c r="G85" s="139"/>
      <c r="H85" s="138"/>
      <c r="I85" s="139"/>
      <c r="J85" s="138"/>
      <c r="K85" s="139"/>
      <c r="L85" s="138"/>
      <c r="M85" s="152"/>
      <c r="N85" s="151"/>
      <c r="O85" s="152"/>
      <c r="P85" s="151"/>
      <c r="Q85" s="152"/>
      <c r="R85" s="151"/>
      <c r="S85" s="152"/>
      <c r="T85" s="151"/>
      <c r="U85" s="139"/>
      <c r="V85" s="127"/>
      <c r="W85" s="127"/>
    </row>
    <row r="86" spans="1:23" ht="12" customHeight="1">
      <c r="A86" s="127"/>
      <c r="B86" s="157"/>
      <c r="C86" s="158"/>
      <c r="D86" s="157"/>
      <c r="E86" s="158"/>
      <c r="F86" s="144"/>
      <c r="G86" s="143"/>
      <c r="H86" s="142"/>
      <c r="I86" s="143"/>
      <c r="J86" s="142"/>
      <c r="K86" s="143"/>
      <c r="L86" s="142"/>
      <c r="M86" s="158"/>
      <c r="N86" s="157"/>
      <c r="O86" s="158"/>
      <c r="P86" s="157"/>
      <c r="Q86" s="158"/>
      <c r="R86" s="157"/>
      <c r="S86" s="158"/>
      <c r="T86" s="142"/>
      <c r="U86" s="143"/>
      <c r="V86" s="127"/>
      <c r="W86" s="127"/>
    </row>
    <row r="87" spans="1:23" ht="12" customHeight="1">
      <c r="A87" s="127"/>
      <c r="B87" s="157"/>
      <c r="C87" s="158"/>
      <c r="D87" s="157"/>
      <c r="E87" s="158"/>
      <c r="F87" s="144"/>
      <c r="G87" s="143"/>
      <c r="H87" s="142"/>
      <c r="I87" s="143"/>
      <c r="J87" s="142"/>
      <c r="K87" s="143"/>
      <c r="L87" s="142"/>
      <c r="M87" s="158"/>
      <c r="N87" s="157"/>
      <c r="O87" s="158"/>
      <c r="P87" s="157"/>
      <c r="Q87" s="158"/>
      <c r="R87" s="157"/>
      <c r="S87" s="158"/>
      <c r="T87" s="142"/>
      <c r="U87" s="145"/>
      <c r="V87" s="127"/>
      <c r="W87" s="127"/>
    </row>
    <row r="88" spans="1:23" ht="12" customHeight="1">
      <c r="A88" s="127"/>
      <c r="B88" s="157"/>
      <c r="C88" s="158"/>
      <c r="D88" s="157"/>
      <c r="E88" s="158"/>
      <c r="F88" s="144"/>
      <c r="G88" s="143"/>
      <c r="H88" s="142"/>
      <c r="I88" s="143"/>
      <c r="J88" s="142"/>
      <c r="K88" s="143"/>
      <c r="L88" s="157"/>
      <c r="M88" s="158"/>
      <c r="N88" s="157"/>
      <c r="O88" s="158"/>
      <c r="P88" s="157"/>
      <c r="Q88" s="158"/>
      <c r="R88" s="157"/>
      <c r="S88" s="158"/>
      <c r="T88" s="142"/>
      <c r="U88" s="145"/>
      <c r="V88" s="127"/>
      <c r="W88" s="127"/>
    </row>
    <row r="89" spans="1:23" ht="12" customHeight="1" thickBot="1">
      <c r="A89" s="146">
        <v>15</v>
      </c>
      <c r="B89" s="163"/>
      <c r="C89" s="164"/>
      <c r="D89" s="163"/>
      <c r="E89" s="150"/>
      <c r="F89" s="147"/>
      <c r="G89" s="148"/>
      <c r="H89" s="147"/>
      <c r="I89" s="148"/>
      <c r="J89" s="147"/>
      <c r="K89" s="148"/>
      <c r="L89" s="163"/>
      <c r="M89" s="164"/>
      <c r="N89" s="163"/>
      <c r="O89" s="164"/>
      <c r="P89" s="163"/>
      <c r="Q89" s="164"/>
      <c r="R89" s="163"/>
      <c r="S89" s="164"/>
      <c r="T89" s="147"/>
      <c r="U89" s="150"/>
      <c r="V89" s="127"/>
      <c r="W89" s="127"/>
    </row>
    <row r="90" spans="1:23" ht="12" customHeight="1">
      <c r="A90" s="127"/>
      <c r="B90" s="140"/>
      <c r="C90" s="139"/>
      <c r="D90" s="140"/>
      <c r="E90" s="139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ht="12" customHeight="1">
      <c r="A91" s="127"/>
      <c r="B91" s="144"/>
      <c r="C91" s="143"/>
      <c r="D91" s="144"/>
      <c r="E91" s="143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ht="12" customHeight="1">
      <c r="A92" s="127"/>
      <c r="B92" s="142"/>
      <c r="C92" s="143"/>
      <c r="D92" s="144"/>
      <c r="E92" s="143"/>
      <c r="F92" s="181"/>
      <c r="G92" s="182"/>
      <c r="H92" s="181"/>
      <c r="I92" s="182"/>
      <c r="J92" s="127"/>
      <c r="K92" s="182"/>
      <c r="L92" s="127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ht="12" customHeight="1">
      <c r="A93" s="127"/>
      <c r="B93" s="142"/>
      <c r="C93" s="143"/>
      <c r="D93" s="144"/>
      <c r="E93" s="143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ht="12" customHeight="1" thickBot="1">
      <c r="A94" s="146">
        <v>16</v>
      </c>
      <c r="B94" s="147"/>
      <c r="C94" s="148"/>
      <c r="D94" s="149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5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5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HYPERLINK("#'7월'!A1","← 7월 월간 가계부로 돌아가기")</f>
        <v>← 7월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1519000</v>
      </c>
      <c r="J149" s="366"/>
      <c r="K149" s="366"/>
      <c r="L149" s="366"/>
      <c r="M149" s="366"/>
      <c r="N149" s="367"/>
      <c r="O149" s="423" t="b">
        <f>IF('7월'!AA1,I149=('7월'!M28),"미입력")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1519000</v>
      </c>
      <c r="J150" s="366"/>
      <c r="K150" s="366"/>
      <c r="L150" s="366"/>
      <c r="M150" s="366"/>
      <c r="N150" s="367"/>
      <c r="O150" s="423" t="b">
        <f>IF('7월'!AA1,I150=('7월'!I38),"미입력")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451</v>
      </c>
      <c r="L5" s="38" t="s">
        <v>648</v>
      </c>
      <c r="M5" s="34" t="s">
        <v>453</v>
      </c>
      <c r="N5" s="34" t="s">
        <v>454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456</v>
      </c>
      <c r="L6" s="31" t="s">
        <v>648</v>
      </c>
      <c r="M6" s="27" t="s">
        <v>453</v>
      </c>
      <c r="N6" s="27" t="s">
        <v>457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455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651</v>
      </c>
      <c r="M12" s="27"/>
      <c r="N12" s="27" t="s">
        <v>652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653</v>
      </c>
      <c r="U12" s="27"/>
    </row>
    <row r="13" spans="1:27" ht="22" customHeight="1">
      <c r="A13" s="39" t="s">
        <v>480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>
        <f t="shared" si="0"/>
      </c>
      <c r="R15" s="34">
        <f t="shared" si="1"/>
      </c>
      <c r="S15" s="34"/>
      <c r="T15" s="34"/>
      <c r="U15" s="34"/>
    </row>
    <row r="16" spans="1:27" ht="22" customHeight="1">
      <c r="A16" s="31" t="s">
        <v>323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656</v>
      </c>
      <c r="T22" s="27" t="s">
        <v>506</v>
      </c>
      <c r="U22" s="27"/>
    </row>
    <row r="23" spans="1:22" ht="22" customHeight="1">
      <c r="A23" s="39" t="s">
        <v>507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595</v>
      </c>
      <c r="T23" s="34" t="s">
        <v>85</v>
      </c>
      <c r="U23" s="34"/>
    </row>
    <row r="24" spans="1:22" ht="22" customHeight="1">
      <c r="A24" s="31" t="s">
        <v>446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630</v>
      </c>
      <c r="T24" s="27" t="s">
        <v>85</v>
      </c>
      <c r="U24" s="27"/>
    </row>
    <row r="25" spans="1:22" ht="25" customHeight="1">
      <c r="A25" s="31" t="s">
        <v>445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HYPERLINK("#'8월계산기'!A1","계산기 대조 · 8월계산기 열기")</f>
        <v>계산기 대조 · 8월계산기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2354000</v>
      </c>
      <c r="N28" s="367"/>
      <c r="O28" s="429" t="s">
        <v>234</v>
      </c>
      <c r="P28" s="367"/>
      <c r="Q28" s="431">
        <f>'8월계산기'!W12</f>
        <v>2354000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425" t="s">
        <v>512</v>
      </c>
      <c r="L29" s="367"/>
      <c r="M29" s="431">
        <f>I38</f>
        <v>2354000</v>
      </c>
      <c r="N29" s="367"/>
      <c r="O29" s="429" t="s">
        <v>239</v>
      </c>
      <c r="P29" s="367"/>
      <c r="Q29" s="431">
        <f>'8월계산기'!W13</f>
        <v>2354000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425" t="s">
        <v>513</v>
      </c>
      <c r="L30" s="367"/>
      <c r="M30" s="431">
        <f>SUM(I6,I11,I16,I21,I26,I31)</f>
        <v>54557</v>
      </c>
      <c r="N30" s="367"/>
      <c r="O30" s="429" t="s">
        <v>514</v>
      </c>
      <c r="P30" s="367"/>
      <c r="Q30" s="431">
        <f>SUM(I4,I9,I14,I19,I24,I29)-I33</f>
        <v>54557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425" t="s">
        <v>240</v>
      </c>
      <c r="L31" s="367"/>
      <c r="M31" s="431">
        <f>'8월계산기'!W14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I33-'_예비비계산'!AG9</f>
        <v>2299443</v>
      </c>
      <c r="I38" s="27">
        <f>SUM(I4,I9,I14,I19,I24,I29)-'_예비비계산'!AH9</f>
        <v>2354000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30000</v>
      </c>
      <c r="I43" s="27">
        <f>H43</f>
        <v>30000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46243</v>
      </c>
      <c r="B52" s="35" t="s">
        <v>68</v>
      </c>
      <c r="C52" s="35" t="s">
        <v>657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>
        <v>46244</v>
      </c>
      <c r="B53" s="35" t="s">
        <v>554</v>
      </c>
      <c r="C53" s="35" t="s">
        <v>658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6">
        <v>46250</v>
      </c>
      <c r="B54" s="35" t="s">
        <v>554</v>
      </c>
      <c r="C54" s="35" t="s">
        <v>631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6">
        <v>46264</v>
      </c>
      <c r="B55" s="35" t="s">
        <v>68</v>
      </c>
      <c r="C55" s="35" t="s">
        <v>659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660</v>
      </c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6">
        <f>RAW!A1811</f>
        <v>46239.95216435185</v>
      </c>
      <c r="B56" s="35" t="s">
        <v>603</v>
      </c>
      <c r="C56" s="35" t="s">
        <v>661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662</v>
      </c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227491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'_예비비계산'!AB9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426"/>
      <c r="T64" s="427"/>
      <c r="U64" s="428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300000</v>
      </c>
      <c r="N65" s="46">
        <f>'_예비비계산'!AC9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69" t="s">
        <v>663</v>
      </c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'_예비비계산'!AD9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'_예비비계산'!AE9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'_예비비계산'!AF9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664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581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581000</v>
      </c>
      <c r="AA3">
        <v>581</v>
      </c>
    </row>
    <row r="4" spans="1:27" ht="18" customHeight="1">
      <c r="A4" s="122" t="s">
        <v>576</v>
      </c>
      <c r="B4" s="130"/>
      <c r="C4" s="124">
        <f>IFERROR(colorfunction(B4,$B$15:$U$144,FALSE),$AA$4)</f>
        <v>155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155000</v>
      </c>
      <c r="AA4">
        <v>155</v>
      </c>
    </row>
    <row r="5" spans="1:27" ht="18" customHeight="1">
      <c r="A5" s="122" t="s">
        <v>577</v>
      </c>
      <c r="B5" s="132"/>
      <c r="C5" s="124">
        <f>IFERROR(colorfunction(B5,$B$15:$U$144,FALSE),$AA$5)</f>
        <v>259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259000</v>
      </c>
      <c r="AA5">
        <v>259</v>
      </c>
    </row>
    <row r="6" spans="1:27" ht="18" customHeight="1">
      <c r="A6" s="122" t="s">
        <v>578</v>
      </c>
      <c r="B6" s="133"/>
      <c r="C6" s="124">
        <f>IFERROR(colorfunction(B6,$B$15:$U$144,FALSE),$AA$6)</f>
        <v>268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268000</v>
      </c>
      <c r="AA6">
        <v>268</v>
      </c>
    </row>
    <row r="7" spans="1:27" ht="18" customHeight="1">
      <c r="A7" s="122" t="s">
        <v>579</v>
      </c>
      <c r="B7" s="134"/>
      <c r="C7" s="124">
        <f>IFERROR(colorfunction(B7,$B$15:$U$144,FALSE),$AA$7)</f>
        <v>105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105000</v>
      </c>
      <c r="AA7">
        <v>105</v>
      </c>
    </row>
    <row r="8" spans="1:27" ht="18" customHeight="1">
      <c r="A8" s="122" t="s">
        <v>580</v>
      </c>
      <c r="B8" s="135"/>
      <c r="C8" s="124">
        <f>IFERROR(colorfunction(B8,$B$15:$U$144,FALSE),$AA$8)</f>
        <v>28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28000</v>
      </c>
      <c r="AA8">
        <v>28</v>
      </c>
    </row>
    <row r="9" spans="1:27" ht="18" customHeight="1">
      <c r="A9" s="122" t="s">
        <v>581</v>
      </c>
      <c r="B9" s="136"/>
      <c r="C9" s="124">
        <f>IFERROR(colorfunction(B9,$B$15:$U$144,FALSE),$AA$9)</f>
        <v>925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925000</v>
      </c>
      <c r="AA9">
        <v>925</v>
      </c>
    </row>
    <row r="10" spans="1:27" ht="18" customHeight="1">
      <c r="A10" s="122" t="s">
        <v>582</v>
      </c>
      <c r="B10" s="137"/>
      <c r="C10" s="124">
        <f>IFERROR(colorfunction(B10,$B$15:$U$144,FALSE),$AA$10)</f>
        <v>33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33000</v>
      </c>
      <c r="AA10">
        <v>33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2354000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2354000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0+'_예비비계산'!AH9</f>
        <v>0</v>
      </c>
    </row>
    <row r="15" spans="1:27" ht="12" customHeight="1">
      <c r="A15" s="127"/>
      <c r="B15" s="151"/>
      <c r="C15" s="152"/>
      <c r="D15" s="151"/>
      <c r="E15" s="152"/>
      <c r="F15" s="151"/>
      <c r="G15" s="152"/>
      <c r="H15" s="138"/>
      <c r="I15" s="139"/>
      <c r="J15" s="138"/>
      <c r="K15" s="139"/>
      <c r="L15" s="151"/>
      <c r="M15" s="152"/>
      <c r="N15" s="151"/>
      <c r="O15" s="152"/>
      <c r="P15" s="189"/>
      <c r="Q15" s="188"/>
      <c r="R15" s="156"/>
      <c r="S15" s="155"/>
      <c r="T15" s="186"/>
      <c r="U15" s="178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57"/>
      <c r="C16" s="158"/>
      <c r="D16" s="157"/>
      <c r="E16" s="158"/>
      <c r="F16" s="157"/>
      <c r="G16" s="158"/>
      <c r="H16" s="142"/>
      <c r="I16" s="143"/>
      <c r="J16" s="142"/>
      <c r="K16" s="158"/>
      <c r="L16" s="157"/>
      <c r="M16" s="158"/>
      <c r="N16" s="157"/>
      <c r="O16" s="143"/>
      <c r="P16" s="190"/>
      <c r="Q16" s="191"/>
      <c r="R16" s="162"/>
      <c r="S16" s="161"/>
      <c r="T16" s="169"/>
      <c r="U16" s="187"/>
      <c r="V16" s="304" t="s">
        <v>232</v>
      </c>
      <c r="W16" s="305">
        <f>SUM(W3:W10)</f>
        <v>2354000</v>
      </c>
    </row>
    <row r="17" spans="1:27" ht="12" customHeight="1">
      <c r="A17" s="127"/>
      <c r="B17" s="157"/>
      <c r="C17" s="158"/>
      <c r="D17" s="157"/>
      <c r="E17" s="158"/>
      <c r="F17" s="157"/>
      <c r="G17" s="158"/>
      <c r="H17" s="142"/>
      <c r="I17" s="143"/>
      <c r="J17" s="142"/>
      <c r="K17" s="158"/>
      <c r="L17" s="157"/>
      <c r="M17" s="158"/>
      <c r="N17" s="157"/>
      <c r="O17" s="143"/>
      <c r="P17" s="190"/>
      <c r="Q17" s="191"/>
      <c r="R17" s="162"/>
      <c r="S17" s="161"/>
      <c r="T17" s="169"/>
      <c r="U17" s="187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57"/>
      <c r="C18" s="158"/>
      <c r="D18" s="157"/>
      <c r="E18" s="158"/>
      <c r="F18" s="157"/>
      <c r="G18" s="143"/>
      <c r="H18" s="142"/>
      <c r="I18" s="143"/>
      <c r="J18" s="142"/>
      <c r="K18" s="158"/>
      <c r="L18" s="157"/>
      <c r="M18" s="158"/>
      <c r="N18" s="157"/>
      <c r="O18" s="143"/>
      <c r="P18" s="190"/>
      <c r="Q18" s="161"/>
      <c r="R18" s="162"/>
      <c r="S18" s="161"/>
      <c r="T18" s="169"/>
      <c r="U18" s="187"/>
      <c r="V18" s="127"/>
      <c r="W18" s="127"/>
    </row>
    <row r="19" spans="1:27" ht="12" customHeight="1" thickBot="1">
      <c r="A19" s="146">
        <v>1</v>
      </c>
      <c r="B19" s="163"/>
      <c r="C19" s="164"/>
      <c r="D19" s="163"/>
      <c r="E19" s="164"/>
      <c r="F19" s="163"/>
      <c r="G19" s="148"/>
      <c r="H19" s="147"/>
      <c r="I19" s="148"/>
      <c r="J19" s="147"/>
      <c r="K19" s="164"/>
      <c r="L19" s="163"/>
      <c r="M19" s="164"/>
      <c r="N19" s="163"/>
      <c r="O19" s="193"/>
      <c r="P19" s="192"/>
      <c r="Q19" s="167"/>
      <c r="R19" s="168"/>
      <c r="S19" s="167"/>
      <c r="T19" s="170"/>
      <c r="U19" s="177"/>
      <c r="V19" s="127"/>
      <c r="W19" s="127"/>
    </row>
    <row r="20" spans="1:27" ht="12" customHeight="1">
      <c r="A20" s="127"/>
      <c r="B20" s="186"/>
      <c r="C20" s="178"/>
      <c r="D20" s="140"/>
      <c r="E20" s="139"/>
      <c r="F20" s="138"/>
      <c r="G20" s="152"/>
      <c r="H20" s="151"/>
      <c r="I20" s="152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69"/>
      <c r="C21" s="187"/>
      <c r="D21" s="144"/>
      <c r="E21" s="143"/>
      <c r="F21" s="142"/>
      <c r="G21" s="158"/>
      <c r="H21" s="157"/>
      <c r="I21" s="158"/>
      <c r="J21" s="157"/>
      <c r="K21" s="158"/>
      <c r="L21" s="157"/>
      <c r="M21" s="158"/>
      <c r="N21" s="157"/>
      <c r="O21" s="158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69"/>
      <c r="C22" s="187"/>
      <c r="D22" s="144"/>
      <c r="E22" s="143"/>
      <c r="F22" s="142"/>
      <c r="G22" s="158"/>
      <c r="H22" s="157"/>
      <c r="I22" s="158"/>
      <c r="J22" s="157"/>
      <c r="K22" s="158"/>
      <c r="L22" s="157"/>
      <c r="M22" s="158"/>
      <c r="N22" s="157"/>
      <c r="O22" s="158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69"/>
      <c r="C23" s="187"/>
      <c r="D23" s="144"/>
      <c r="E23" s="143"/>
      <c r="F23" s="142"/>
      <c r="G23" s="158"/>
      <c r="H23" s="157"/>
      <c r="I23" s="158"/>
      <c r="J23" s="157"/>
      <c r="K23" s="158"/>
      <c r="L23" s="157"/>
      <c r="M23" s="158"/>
      <c r="N23" s="157"/>
      <c r="O23" s="158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70"/>
      <c r="C24" s="177"/>
      <c r="D24" s="149"/>
      <c r="E24" s="148"/>
      <c r="F24" s="163"/>
      <c r="G24" s="164"/>
      <c r="H24" s="163"/>
      <c r="I24" s="164"/>
      <c r="J24" s="163"/>
      <c r="K24" s="164"/>
      <c r="L24" s="163"/>
      <c r="M24" s="164"/>
      <c r="N24" s="163"/>
      <c r="O24" s="164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52"/>
      <c r="D25" s="138"/>
      <c r="E25" s="139"/>
      <c r="F25" s="138"/>
      <c r="G25" s="139"/>
      <c r="H25" s="138"/>
      <c r="I25" s="152"/>
      <c r="J25" s="151"/>
      <c r="K25" s="152"/>
      <c r="L25" s="151"/>
      <c r="M25" s="152"/>
      <c r="N25" s="186"/>
      <c r="O25" s="178"/>
      <c r="P25" s="186"/>
      <c r="Q25" s="178"/>
      <c r="R25" s="186"/>
      <c r="S25" s="141"/>
      <c r="T25" s="138"/>
      <c r="U25" s="139"/>
      <c r="V25" s="127"/>
      <c r="W25" s="127"/>
    </row>
    <row r="26" spans="1:27" ht="12" customHeight="1">
      <c r="A26" s="127"/>
      <c r="B26" s="157"/>
      <c r="C26" s="158"/>
      <c r="D26" s="142"/>
      <c r="E26" s="143"/>
      <c r="F26" s="142"/>
      <c r="G26" s="143"/>
      <c r="H26" s="142"/>
      <c r="I26" s="158"/>
      <c r="J26" s="157"/>
      <c r="K26" s="158"/>
      <c r="L26" s="157"/>
      <c r="M26" s="187"/>
      <c r="N26" s="169"/>
      <c r="O26" s="187"/>
      <c r="P26" s="169"/>
      <c r="Q26" s="187"/>
      <c r="R26" s="169"/>
      <c r="S26" s="145"/>
      <c r="T26" s="142"/>
      <c r="U26" s="143"/>
      <c r="V26" s="127"/>
      <c r="W26" s="127"/>
    </row>
    <row r="27" spans="1:27" ht="12" customHeight="1">
      <c r="A27" s="127"/>
      <c r="B27" s="157"/>
      <c r="C27" s="158"/>
      <c r="D27" s="142"/>
      <c r="E27" s="143"/>
      <c r="F27" s="142"/>
      <c r="G27" s="143"/>
      <c r="H27" s="142"/>
      <c r="I27" s="158"/>
      <c r="J27" s="157"/>
      <c r="K27" s="158"/>
      <c r="L27" s="157"/>
      <c r="M27" s="187"/>
      <c r="N27" s="169"/>
      <c r="O27" s="187"/>
      <c r="P27" s="169"/>
      <c r="Q27" s="187"/>
      <c r="R27" s="169"/>
      <c r="S27" s="145"/>
      <c r="T27" s="142"/>
      <c r="U27" s="143"/>
      <c r="V27" s="127"/>
      <c r="W27" s="127"/>
    </row>
    <row r="28" spans="1:27" ht="12" customHeight="1">
      <c r="A28" s="127"/>
      <c r="B28" s="157"/>
      <c r="C28" s="158"/>
      <c r="D28" s="142"/>
      <c r="E28" s="143"/>
      <c r="F28" s="142"/>
      <c r="G28" s="143"/>
      <c r="H28" s="142"/>
      <c r="I28" s="158"/>
      <c r="J28" s="157"/>
      <c r="K28" s="158"/>
      <c r="L28" s="157"/>
      <c r="M28" s="187"/>
      <c r="N28" s="169"/>
      <c r="O28" s="187"/>
      <c r="P28" s="169"/>
      <c r="Q28" s="187"/>
      <c r="R28" s="169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63"/>
      <c r="C29" s="164"/>
      <c r="D29" s="147"/>
      <c r="E29" s="148"/>
      <c r="F29" s="147"/>
      <c r="G29" s="148"/>
      <c r="H29" s="147"/>
      <c r="I29" s="164"/>
      <c r="J29" s="163"/>
      <c r="K29" s="164"/>
      <c r="L29" s="163"/>
      <c r="M29" s="177"/>
      <c r="N29" s="170"/>
      <c r="O29" s="177"/>
      <c r="P29" s="170"/>
      <c r="Q29" s="177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40"/>
      <c r="E30" s="139"/>
      <c r="F30" s="138"/>
      <c r="G30" s="139"/>
      <c r="H30" s="138"/>
      <c r="I30" s="139"/>
      <c r="J30" s="138"/>
      <c r="K30" s="139"/>
      <c r="L30" s="138"/>
      <c r="M30" s="141"/>
      <c r="N30" s="138"/>
      <c r="O30" s="139"/>
      <c r="P30" s="140"/>
      <c r="Q30" s="139"/>
      <c r="R30" s="151"/>
      <c r="S30" s="152"/>
      <c r="T30" s="151"/>
      <c r="U30" s="152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2"/>
      <c r="O31" s="145"/>
      <c r="P31" s="142"/>
      <c r="Q31" s="143"/>
      <c r="R31" s="157"/>
      <c r="S31" s="158"/>
      <c r="T31" s="157"/>
      <c r="U31" s="158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4"/>
      <c r="M32" s="143"/>
      <c r="N32" s="142"/>
      <c r="O32" s="145"/>
      <c r="P32" s="142"/>
      <c r="Q32" s="158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4"/>
      <c r="M33" s="143"/>
      <c r="N33" s="142"/>
      <c r="O33" s="145"/>
      <c r="P33" s="142"/>
      <c r="Q33" s="158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50"/>
      <c r="D34" s="147"/>
      <c r="E34" s="148"/>
      <c r="F34" s="147"/>
      <c r="G34" s="148"/>
      <c r="H34" s="147"/>
      <c r="I34" s="148"/>
      <c r="J34" s="147"/>
      <c r="K34" s="148"/>
      <c r="L34" s="149"/>
      <c r="M34" s="148"/>
      <c r="N34" s="147"/>
      <c r="O34" s="150"/>
      <c r="P34" s="147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41"/>
      <c r="F35" s="138"/>
      <c r="G35" s="155"/>
      <c r="H35" s="156"/>
      <c r="I35" s="155"/>
      <c r="J35" s="138"/>
      <c r="K35" s="139"/>
      <c r="L35" s="140"/>
      <c r="M35" s="139"/>
      <c r="N35" s="138"/>
      <c r="O35" s="152"/>
      <c r="P35" s="151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5"/>
      <c r="F36" s="142"/>
      <c r="G36" s="161"/>
      <c r="H36" s="162"/>
      <c r="I36" s="161"/>
      <c r="J36" s="142"/>
      <c r="K36" s="143"/>
      <c r="L36" s="144"/>
      <c r="M36" s="143"/>
      <c r="N36" s="142"/>
      <c r="O36" s="158"/>
      <c r="P36" s="157"/>
      <c r="Q36" s="158"/>
      <c r="R36" s="157"/>
      <c r="S36" s="158"/>
      <c r="T36" s="157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5"/>
      <c r="F37" s="142"/>
      <c r="G37" s="161"/>
      <c r="H37" s="162"/>
      <c r="I37" s="161"/>
      <c r="J37" s="142"/>
      <c r="K37" s="143"/>
      <c r="L37" s="144"/>
      <c r="M37" s="143"/>
      <c r="N37" s="157"/>
      <c r="O37" s="158"/>
      <c r="P37" s="157"/>
      <c r="Q37" s="158"/>
      <c r="R37" s="157"/>
      <c r="S37" s="158"/>
      <c r="T37" s="157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5"/>
      <c r="F38" s="142"/>
      <c r="G38" s="161"/>
      <c r="H38" s="162"/>
      <c r="I38" s="143"/>
      <c r="J38" s="142"/>
      <c r="K38" s="143"/>
      <c r="L38" s="144"/>
      <c r="M38" s="143"/>
      <c r="N38" s="157"/>
      <c r="O38" s="158"/>
      <c r="P38" s="157"/>
      <c r="Q38" s="158"/>
      <c r="R38" s="157"/>
      <c r="S38" s="158"/>
      <c r="T38" s="157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49"/>
      <c r="E39" s="148"/>
      <c r="F39" s="168"/>
      <c r="G39" s="167"/>
      <c r="H39" s="168"/>
      <c r="I39" s="148"/>
      <c r="J39" s="147"/>
      <c r="K39" s="150"/>
      <c r="L39" s="147"/>
      <c r="M39" s="148"/>
      <c r="N39" s="163"/>
      <c r="O39" s="164"/>
      <c r="P39" s="163"/>
      <c r="Q39" s="164"/>
      <c r="R39" s="163"/>
      <c r="S39" s="164"/>
      <c r="T39" s="163"/>
      <c r="U39" s="148"/>
      <c r="V39" s="127"/>
      <c r="W39" s="127"/>
    </row>
    <row r="40" spans="1:23" ht="12" customHeight="1">
      <c r="A40" s="127"/>
      <c r="B40" s="138"/>
      <c r="C40" s="139"/>
      <c r="D40" s="157"/>
      <c r="E40" s="152"/>
      <c r="F40" s="151"/>
      <c r="G40" s="152"/>
      <c r="H40" s="151"/>
      <c r="I40" s="152"/>
      <c r="J40" s="151"/>
      <c r="K40" s="152"/>
      <c r="L40" s="151"/>
      <c r="M40" s="152"/>
      <c r="N40" s="189"/>
      <c r="O40" s="188"/>
      <c r="P40" s="189"/>
      <c r="Q40" s="188"/>
      <c r="R40" s="189"/>
      <c r="S40" s="188"/>
      <c r="T40" s="189"/>
      <c r="U40" s="141"/>
      <c r="V40" s="127"/>
      <c r="W40" s="127"/>
    </row>
    <row r="41" spans="1:23" ht="12" customHeight="1">
      <c r="A41" s="127"/>
      <c r="B41" s="142"/>
      <c r="C41" s="143"/>
      <c r="D41" s="202"/>
      <c r="E41" s="158"/>
      <c r="F41" s="157"/>
      <c r="G41" s="158"/>
      <c r="H41" s="157"/>
      <c r="I41" s="158"/>
      <c r="J41" s="157"/>
      <c r="K41" s="158"/>
      <c r="L41" s="157"/>
      <c r="M41" s="158"/>
      <c r="N41" s="190"/>
      <c r="O41" s="191"/>
      <c r="P41" s="190"/>
      <c r="Q41" s="191"/>
      <c r="R41" s="190"/>
      <c r="S41" s="191"/>
      <c r="T41" s="190"/>
      <c r="U41" s="145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57"/>
      <c r="I42" s="158"/>
      <c r="J42" s="157"/>
      <c r="K42" s="158"/>
      <c r="L42" s="157"/>
      <c r="M42" s="158"/>
      <c r="N42" s="190"/>
      <c r="O42" s="191"/>
      <c r="P42" s="190"/>
      <c r="Q42" s="191"/>
      <c r="R42" s="190"/>
      <c r="S42" s="191"/>
      <c r="T42" s="190"/>
      <c r="U42" s="145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57"/>
      <c r="I43" s="158"/>
      <c r="J43" s="157"/>
      <c r="K43" s="158"/>
      <c r="L43" s="157"/>
      <c r="M43" s="158"/>
      <c r="N43" s="190"/>
      <c r="O43" s="191"/>
      <c r="P43" s="190"/>
      <c r="Q43" s="191"/>
      <c r="R43" s="190"/>
      <c r="S43" s="191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64"/>
      <c r="D44" s="163"/>
      <c r="E44" s="164"/>
      <c r="F44" s="163"/>
      <c r="G44" s="164"/>
      <c r="H44" s="163"/>
      <c r="I44" s="164"/>
      <c r="J44" s="163"/>
      <c r="K44" s="164"/>
      <c r="L44" s="163"/>
      <c r="M44" s="193"/>
      <c r="N44" s="192"/>
      <c r="O44" s="193"/>
      <c r="P44" s="192"/>
      <c r="Q44" s="193"/>
      <c r="R44" s="192"/>
      <c r="S44" s="193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38"/>
      <c r="E45" s="152"/>
      <c r="F45" s="151"/>
      <c r="G45" s="152"/>
      <c r="H45" s="151"/>
      <c r="I45" s="152"/>
      <c r="J45" s="151"/>
      <c r="K45" s="152"/>
      <c r="L45" s="151"/>
      <c r="M45" s="152"/>
      <c r="N45" s="140"/>
      <c r="O45" s="139"/>
      <c r="P45" s="138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58"/>
      <c r="H46" s="157"/>
      <c r="I46" s="158"/>
      <c r="J46" s="157"/>
      <c r="K46" s="158"/>
      <c r="L46" s="157"/>
      <c r="M46" s="158"/>
      <c r="N46" s="144"/>
      <c r="O46" s="143"/>
      <c r="P46" s="142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58"/>
      <c r="H47" s="157"/>
      <c r="I47" s="158"/>
      <c r="J47" s="157"/>
      <c r="K47" s="158"/>
      <c r="L47" s="157"/>
      <c r="M47" s="158"/>
      <c r="N47" s="144"/>
      <c r="O47" s="143"/>
      <c r="P47" s="142"/>
      <c r="Q47" s="187"/>
      <c r="R47" s="169"/>
      <c r="S47" s="187"/>
      <c r="T47" s="169"/>
      <c r="U47" s="187"/>
      <c r="V47" s="127"/>
      <c r="W47" s="127"/>
    </row>
    <row r="48" spans="1:23" ht="12" customHeight="1">
      <c r="A48" s="127"/>
      <c r="B48" s="142"/>
      <c r="C48" s="143"/>
      <c r="D48" s="157"/>
      <c r="E48" s="158"/>
      <c r="F48" s="157"/>
      <c r="G48" s="158"/>
      <c r="H48" s="157"/>
      <c r="I48" s="158"/>
      <c r="J48" s="157"/>
      <c r="K48" s="158"/>
      <c r="L48" s="157"/>
      <c r="M48" s="158"/>
      <c r="N48" s="144"/>
      <c r="O48" s="143"/>
      <c r="P48" s="142"/>
      <c r="Q48" s="187"/>
      <c r="R48" s="169"/>
      <c r="S48" s="187"/>
      <c r="T48" s="169"/>
      <c r="U48" s="187"/>
      <c r="V48" s="127"/>
      <c r="W48" s="127"/>
    </row>
    <row r="49" spans="1:23" ht="12" customHeight="1" thickBot="1">
      <c r="A49" s="146">
        <v>7</v>
      </c>
      <c r="B49" s="147"/>
      <c r="C49" s="148"/>
      <c r="D49" s="163"/>
      <c r="E49" s="164"/>
      <c r="F49" s="163"/>
      <c r="G49" s="164"/>
      <c r="H49" s="163"/>
      <c r="I49" s="164"/>
      <c r="J49" s="163"/>
      <c r="K49" s="164"/>
      <c r="L49" s="163"/>
      <c r="M49" s="164"/>
      <c r="N49" s="149"/>
      <c r="O49" s="148"/>
      <c r="P49" s="147"/>
      <c r="Q49" s="177"/>
      <c r="R49" s="170"/>
      <c r="S49" s="177"/>
      <c r="T49" s="170"/>
      <c r="U49" s="177"/>
      <c r="V49" s="127"/>
      <c r="W49" s="127"/>
    </row>
    <row r="50" spans="1:23" ht="12" customHeight="1">
      <c r="A50" s="127"/>
      <c r="B50" s="186"/>
      <c r="C50" s="178"/>
      <c r="D50" s="186"/>
      <c r="E50" s="178"/>
      <c r="F50" s="151"/>
      <c r="G50" s="152"/>
      <c r="H50" s="151"/>
      <c r="I50" s="152"/>
      <c r="J50" s="151"/>
      <c r="K50" s="152"/>
      <c r="L50" s="151"/>
      <c r="M50" s="141"/>
      <c r="N50" s="138"/>
      <c r="O50" s="139"/>
      <c r="P50" s="138"/>
      <c r="Q50" s="141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69"/>
      <c r="C51" s="187"/>
      <c r="D51" s="169"/>
      <c r="E51" s="187"/>
      <c r="F51" s="157"/>
      <c r="G51" s="158"/>
      <c r="H51" s="157"/>
      <c r="I51" s="158"/>
      <c r="J51" s="157"/>
      <c r="K51" s="158"/>
      <c r="L51" s="144"/>
      <c r="M51" s="143"/>
      <c r="N51" s="142"/>
      <c r="O51" s="143"/>
      <c r="P51" s="142"/>
      <c r="Q51" s="145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69"/>
      <c r="C52" s="187"/>
      <c r="D52" s="169"/>
      <c r="E52" s="158"/>
      <c r="F52" s="157"/>
      <c r="G52" s="158"/>
      <c r="H52" s="157"/>
      <c r="I52" s="158"/>
      <c r="J52" s="157"/>
      <c r="K52" s="158"/>
      <c r="L52" s="144"/>
      <c r="M52" s="143"/>
      <c r="N52" s="142"/>
      <c r="O52" s="143"/>
      <c r="P52" s="142"/>
      <c r="Q52" s="145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69"/>
      <c r="C53" s="187"/>
      <c r="D53" s="169"/>
      <c r="E53" s="158"/>
      <c r="F53" s="157"/>
      <c r="G53" s="158"/>
      <c r="H53" s="157"/>
      <c r="I53" s="158"/>
      <c r="J53" s="157"/>
      <c r="K53" s="158"/>
      <c r="L53" s="144"/>
      <c r="M53" s="143"/>
      <c r="N53" s="142"/>
      <c r="O53" s="143"/>
      <c r="P53" s="142"/>
      <c r="Q53" s="145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70"/>
      <c r="C54" s="177"/>
      <c r="D54" s="170"/>
      <c r="E54" s="164"/>
      <c r="F54" s="163"/>
      <c r="G54" s="164"/>
      <c r="H54" s="163"/>
      <c r="I54" s="164"/>
      <c r="J54" s="163"/>
      <c r="K54" s="164"/>
      <c r="L54" s="149"/>
      <c r="M54" s="148"/>
      <c r="N54" s="147"/>
      <c r="O54" s="148"/>
      <c r="P54" s="147"/>
      <c r="Q54" s="150"/>
      <c r="R54" s="147"/>
      <c r="S54" s="148"/>
      <c r="T54" s="147"/>
      <c r="U54" s="150"/>
      <c r="V54" s="127"/>
      <c r="W54" s="127"/>
    </row>
    <row r="55" spans="1:23" ht="12" customHeight="1">
      <c r="A55" s="127"/>
      <c r="B55" s="140"/>
      <c r="C55" s="139"/>
      <c r="D55" s="151"/>
      <c r="E55" s="152"/>
      <c r="F55" s="151"/>
      <c r="G55" s="152"/>
      <c r="H55" s="151"/>
      <c r="I55" s="152"/>
      <c r="J55" s="151"/>
      <c r="K55" s="152"/>
      <c r="L55" s="151"/>
      <c r="M55" s="152"/>
      <c r="N55" s="151"/>
      <c r="O55" s="152"/>
      <c r="P55" s="151"/>
      <c r="Q55" s="152"/>
      <c r="R55" s="151"/>
      <c r="S55" s="178"/>
      <c r="T55" s="186"/>
      <c r="U55" s="178"/>
      <c r="V55" s="127"/>
      <c r="W55" s="127"/>
    </row>
    <row r="56" spans="1:23" ht="12" customHeight="1">
      <c r="A56" s="127"/>
      <c r="B56" s="203"/>
      <c r="C56" s="143"/>
      <c r="D56" s="157"/>
      <c r="E56" s="158"/>
      <c r="F56" s="157"/>
      <c r="G56" s="158"/>
      <c r="H56" s="157"/>
      <c r="I56" s="158"/>
      <c r="J56" s="157"/>
      <c r="K56" s="158"/>
      <c r="L56" s="157"/>
      <c r="M56" s="158"/>
      <c r="N56" s="157"/>
      <c r="O56" s="158"/>
      <c r="P56" s="157"/>
      <c r="Q56" s="158"/>
      <c r="R56" s="157"/>
      <c r="S56" s="187"/>
      <c r="T56" s="169"/>
      <c r="U56" s="187"/>
      <c r="V56" s="127"/>
      <c r="W56" s="127"/>
    </row>
    <row r="57" spans="1:23" ht="12" customHeight="1">
      <c r="A57" s="127"/>
      <c r="B57" s="203"/>
      <c r="C57" s="143"/>
      <c r="D57" s="157"/>
      <c r="E57" s="158"/>
      <c r="F57" s="157"/>
      <c r="G57" s="158"/>
      <c r="H57" s="157"/>
      <c r="I57" s="158"/>
      <c r="J57" s="157"/>
      <c r="K57" s="158"/>
      <c r="L57" s="157"/>
      <c r="M57" s="158"/>
      <c r="N57" s="157"/>
      <c r="O57" s="158"/>
      <c r="P57" s="157"/>
      <c r="Q57" s="158"/>
      <c r="R57" s="157"/>
      <c r="S57" s="187"/>
      <c r="T57" s="169"/>
      <c r="U57" s="187"/>
      <c r="V57" s="127"/>
      <c r="W57" s="127"/>
    </row>
    <row r="58" spans="1:23" ht="12" customHeight="1">
      <c r="A58" s="127"/>
      <c r="B58" s="203"/>
      <c r="C58" s="158"/>
      <c r="D58" s="157"/>
      <c r="E58" s="158"/>
      <c r="F58" s="157"/>
      <c r="G58" s="158"/>
      <c r="H58" s="157"/>
      <c r="I58" s="158"/>
      <c r="J58" s="157"/>
      <c r="K58" s="158"/>
      <c r="L58" s="157"/>
      <c r="M58" s="158"/>
      <c r="N58" s="157"/>
      <c r="O58" s="158"/>
      <c r="P58" s="157"/>
      <c r="Q58" s="158"/>
      <c r="R58" s="169"/>
      <c r="S58" s="187"/>
      <c r="T58" s="169"/>
      <c r="U58" s="187"/>
      <c r="V58" s="127"/>
      <c r="W58" s="127"/>
    </row>
    <row r="59" spans="1:23" ht="12" customHeight="1" thickBot="1">
      <c r="A59" s="146">
        <v>9</v>
      </c>
      <c r="B59" s="204"/>
      <c r="C59" s="164"/>
      <c r="D59" s="163"/>
      <c r="E59" s="164"/>
      <c r="F59" s="163"/>
      <c r="G59" s="164"/>
      <c r="H59" s="163"/>
      <c r="I59" s="164"/>
      <c r="J59" s="163"/>
      <c r="K59" s="164"/>
      <c r="L59" s="163"/>
      <c r="M59" s="164"/>
      <c r="N59" s="163"/>
      <c r="O59" s="164"/>
      <c r="P59" s="163"/>
      <c r="Q59" s="164"/>
      <c r="R59" s="170"/>
      <c r="S59" s="177"/>
      <c r="T59" s="170"/>
      <c r="U59" s="177"/>
      <c r="V59" s="127"/>
      <c r="W59" s="127"/>
    </row>
    <row r="60" spans="1:23" ht="12" customHeight="1">
      <c r="A60" s="127"/>
      <c r="B60" s="186"/>
      <c r="C60" s="178"/>
      <c r="D60" s="186"/>
      <c r="E60" s="152"/>
      <c r="F60" s="151"/>
      <c r="G60" s="152"/>
      <c r="H60" s="138"/>
      <c r="I60" s="139"/>
      <c r="J60" s="138"/>
      <c r="K60" s="153"/>
      <c r="L60" s="154"/>
      <c r="M60" s="153"/>
      <c r="N60" s="154"/>
      <c r="O60" s="153"/>
      <c r="P60" s="138"/>
      <c r="Q60" s="152"/>
      <c r="R60" s="151"/>
      <c r="S60" s="152"/>
      <c r="T60" s="151"/>
      <c r="U60" s="152"/>
      <c r="V60" s="127"/>
      <c r="W60" s="127"/>
    </row>
    <row r="61" spans="1:23" ht="12" customHeight="1">
      <c r="A61" s="127"/>
      <c r="B61" s="169"/>
      <c r="C61" s="187"/>
      <c r="D61" s="169"/>
      <c r="E61" s="158"/>
      <c r="F61" s="157"/>
      <c r="G61" s="158"/>
      <c r="H61" s="142"/>
      <c r="I61" s="143"/>
      <c r="J61" s="142"/>
      <c r="K61" s="159"/>
      <c r="L61" s="160"/>
      <c r="M61" s="159"/>
      <c r="N61" s="160"/>
      <c r="O61" s="159"/>
      <c r="P61" s="142"/>
      <c r="Q61" s="158"/>
      <c r="R61" s="157"/>
      <c r="S61" s="158"/>
      <c r="T61" s="157"/>
      <c r="U61" s="158"/>
      <c r="V61" s="127"/>
      <c r="W61" s="127"/>
    </row>
    <row r="62" spans="1:23" ht="12" customHeight="1">
      <c r="A62" s="127"/>
      <c r="B62" s="169"/>
      <c r="C62" s="187"/>
      <c r="D62" s="169"/>
      <c r="E62" s="158"/>
      <c r="F62" s="157"/>
      <c r="G62" s="158"/>
      <c r="H62" s="142"/>
      <c r="I62" s="143"/>
      <c r="J62" s="142"/>
      <c r="K62" s="159"/>
      <c r="L62" s="160"/>
      <c r="M62" s="159"/>
      <c r="N62" s="160"/>
      <c r="O62" s="159"/>
      <c r="P62" s="142"/>
      <c r="Q62" s="158"/>
      <c r="R62" s="157"/>
      <c r="S62" s="158"/>
      <c r="T62" s="157"/>
      <c r="U62" s="158"/>
      <c r="V62" s="127"/>
      <c r="W62" s="127"/>
    </row>
    <row r="63" spans="1:23" ht="12" customHeight="1">
      <c r="A63" s="127"/>
      <c r="B63" s="169"/>
      <c r="C63" s="187"/>
      <c r="D63" s="157"/>
      <c r="E63" s="158"/>
      <c r="F63" s="157"/>
      <c r="G63" s="158"/>
      <c r="H63" s="142"/>
      <c r="I63" s="143"/>
      <c r="J63" s="142"/>
      <c r="K63" s="159"/>
      <c r="L63" s="160"/>
      <c r="M63" s="159"/>
      <c r="N63" s="160"/>
      <c r="O63" s="143"/>
      <c r="P63" s="169"/>
      <c r="Q63" s="158"/>
      <c r="R63" s="157"/>
      <c r="S63" s="158"/>
      <c r="T63" s="157"/>
      <c r="U63" s="158"/>
      <c r="V63" s="127"/>
      <c r="W63" s="127"/>
    </row>
    <row r="64" spans="1:23" ht="12" customHeight="1" thickBot="1">
      <c r="A64" s="146">
        <v>10</v>
      </c>
      <c r="B64" s="170"/>
      <c r="C64" s="177"/>
      <c r="D64" s="163"/>
      <c r="E64" s="164"/>
      <c r="F64" s="163"/>
      <c r="G64" s="164"/>
      <c r="H64" s="147"/>
      <c r="I64" s="148"/>
      <c r="J64" s="166"/>
      <c r="K64" s="165"/>
      <c r="L64" s="166"/>
      <c r="M64" s="165"/>
      <c r="N64" s="166"/>
      <c r="O64" s="148"/>
      <c r="P64" s="163"/>
      <c r="Q64" s="164"/>
      <c r="R64" s="163"/>
      <c r="S64" s="164"/>
      <c r="T64" s="163"/>
      <c r="U64" s="164"/>
      <c r="V64" s="127"/>
      <c r="W64" s="127"/>
    </row>
    <row r="65" spans="1:23" ht="12" customHeight="1">
      <c r="A65" s="127"/>
      <c r="B65" s="151"/>
      <c r="C65" s="152"/>
      <c r="D65" s="151"/>
      <c r="E65" s="152"/>
      <c r="F65" s="140"/>
      <c r="G65" s="139"/>
      <c r="H65" s="138"/>
      <c r="I65" s="141"/>
      <c r="J65" s="151"/>
      <c r="K65" s="152"/>
      <c r="L65" s="138"/>
      <c r="M65" s="139"/>
      <c r="N65" s="138"/>
      <c r="O65" s="139"/>
      <c r="P65" s="151"/>
      <c r="Q65" s="139"/>
      <c r="R65" s="140"/>
      <c r="S65" s="178"/>
      <c r="T65" s="186"/>
      <c r="U65" s="178"/>
      <c r="V65" s="127"/>
      <c r="W65" s="127"/>
    </row>
    <row r="66" spans="1:23" ht="12" customHeight="1">
      <c r="A66" s="127"/>
      <c r="B66" s="157"/>
      <c r="C66" s="158"/>
      <c r="D66" s="157"/>
      <c r="E66" s="158"/>
      <c r="F66" s="144"/>
      <c r="G66" s="143"/>
      <c r="H66" s="142"/>
      <c r="I66" s="145"/>
      <c r="J66" s="157"/>
      <c r="K66" s="158"/>
      <c r="L66" s="142"/>
      <c r="M66" s="143"/>
      <c r="N66" s="142"/>
      <c r="O66" s="143"/>
      <c r="P66" s="142"/>
      <c r="Q66" s="143"/>
      <c r="R66" s="144"/>
      <c r="S66" s="187"/>
      <c r="T66" s="169"/>
      <c r="U66" s="187"/>
      <c r="V66" s="127"/>
      <c r="W66" s="127"/>
    </row>
    <row r="67" spans="1:23" ht="12" customHeight="1">
      <c r="A67" s="127"/>
      <c r="B67" s="157"/>
      <c r="C67" s="158"/>
      <c r="D67" s="157"/>
      <c r="E67" s="158"/>
      <c r="F67" s="144"/>
      <c r="G67" s="143"/>
      <c r="H67" s="142"/>
      <c r="I67" s="145"/>
      <c r="J67" s="202"/>
      <c r="K67" s="158"/>
      <c r="L67" s="195"/>
      <c r="M67" s="143"/>
      <c r="N67" s="142"/>
      <c r="O67" s="143"/>
      <c r="P67" s="142"/>
      <c r="Q67" s="145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57"/>
      <c r="C68" s="158"/>
      <c r="D68" s="157"/>
      <c r="E68" s="158"/>
      <c r="F68" s="144"/>
      <c r="G68" s="143"/>
      <c r="H68" s="144"/>
      <c r="I68" s="158"/>
      <c r="J68" s="157"/>
      <c r="K68" s="158"/>
      <c r="L68" s="142"/>
      <c r="M68" s="143"/>
      <c r="N68" s="142"/>
      <c r="O68" s="143"/>
      <c r="P68" s="142"/>
      <c r="Q68" s="145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3"/>
      <c r="C69" s="164"/>
      <c r="D69" s="163"/>
      <c r="E69" s="150"/>
      <c r="F69" s="147"/>
      <c r="G69" s="148"/>
      <c r="H69" s="149"/>
      <c r="I69" s="164"/>
      <c r="J69" s="157"/>
      <c r="K69" s="148"/>
      <c r="L69" s="142"/>
      <c r="M69" s="148"/>
      <c r="N69" s="147"/>
      <c r="O69" s="164"/>
      <c r="P69" s="147"/>
      <c r="Q69" s="150"/>
      <c r="R69" s="170"/>
      <c r="S69" s="177"/>
      <c r="T69" s="170"/>
      <c r="U69" s="164"/>
      <c r="V69" s="127"/>
      <c r="W69" s="127"/>
    </row>
    <row r="70" spans="1:23" ht="12" customHeight="1">
      <c r="A70" s="127"/>
      <c r="B70" s="151"/>
      <c r="C70" s="152"/>
      <c r="D70" s="151"/>
      <c r="E70" s="152"/>
      <c r="F70" s="151"/>
      <c r="G70" s="139"/>
      <c r="H70" s="140"/>
      <c r="I70" s="178"/>
      <c r="J70" s="186"/>
      <c r="K70" s="178"/>
      <c r="L70" s="186"/>
      <c r="M70" s="152"/>
      <c r="N70" s="151"/>
      <c r="O70" s="152"/>
      <c r="P70" s="151"/>
      <c r="Q70" s="139"/>
      <c r="R70" s="138"/>
      <c r="S70" s="139"/>
      <c r="T70" s="140"/>
      <c r="U70" s="139"/>
      <c r="V70" s="127"/>
      <c r="W70" s="127"/>
    </row>
    <row r="71" spans="1:23" ht="12" customHeight="1">
      <c r="A71" s="127"/>
      <c r="B71" s="157"/>
      <c r="C71" s="158"/>
      <c r="D71" s="157"/>
      <c r="E71" s="158"/>
      <c r="F71" s="157"/>
      <c r="G71" s="143"/>
      <c r="H71" s="144"/>
      <c r="I71" s="187"/>
      <c r="J71" s="169"/>
      <c r="K71" s="187"/>
      <c r="L71" s="169"/>
      <c r="M71" s="158"/>
      <c r="N71" s="157"/>
      <c r="O71" s="158"/>
      <c r="P71" s="157"/>
      <c r="Q71" s="143"/>
      <c r="R71" s="142"/>
      <c r="S71" s="143"/>
      <c r="T71" s="144"/>
      <c r="U71" s="143"/>
      <c r="V71" s="127"/>
      <c r="W71" s="127"/>
    </row>
    <row r="72" spans="1:23" ht="12" customHeight="1">
      <c r="A72" s="127"/>
      <c r="B72" s="157"/>
      <c r="C72" s="158"/>
      <c r="D72" s="157"/>
      <c r="E72" s="158"/>
      <c r="F72" s="157"/>
      <c r="G72" s="143"/>
      <c r="H72" s="144"/>
      <c r="I72" s="187"/>
      <c r="J72" s="169"/>
      <c r="K72" s="187"/>
      <c r="L72" s="169"/>
      <c r="M72" s="158"/>
      <c r="N72" s="157"/>
      <c r="O72" s="158"/>
      <c r="P72" s="157"/>
      <c r="Q72" s="143"/>
      <c r="R72" s="142"/>
      <c r="S72" s="143"/>
      <c r="T72" s="144"/>
      <c r="U72" s="143"/>
      <c r="V72" s="127"/>
      <c r="W72" s="127"/>
    </row>
    <row r="73" spans="1:23" ht="12" customHeight="1">
      <c r="A73" s="127"/>
      <c r="B73" s="157"/>
      <c r="C73" s="158"/>
      <c r="D73" s="157"/>
      <c r="E73" s="158"/>
      <c r="F73" s="157"/>
      <c r="G73" s="145"/>
      <c r="H73" s="169"/>
      <c r="I73" s="187"/>
      <c r="J73" s="169"/>
      <c r="K73" s="187"/>
      <c r="L73" s="190"/>
      <c r="M73" s="158"/>
      <c r="N73" s="157"/>
      <c r="O73" s="158"/>
      <c r="P73" s="157"/>
      <c r="Q73" s="143"/>
      <c r="R73" s="142"/>
      <c r="S73" s="145"/>
      <c r="T73" s="142"/>
      <c r="U73" s="143"/>
      <c r="V73" s="127"/>
      <c r="W73" s="127"/>
    </row>
    <row r="74" spans="1:23" ht="12" customHeight="1" thickBot="1">
      <c r="A74" s="146">
        <v>12</v>
      </c>
      <c r="B74" s="163"/>
      <c r="C74" s="164"/>
      <c r="D74" s="163"/>
      <c r="E74" s="164"/>
      <c r="F74" s="147"/>
      <c r="G74" s="150"/>
      <c r="H74" s="170"/>
      <c r="I74" s="177"/>
      <c r="J74" s="170"/>
      <c r="K74" s="177"/>
      <c r="L74" s="192"/>
      <c r="M74" s="164"/>
      <c r="N74" s="163"/>
      <c r="O74" s="164"/>
      <c r="P74" s="163"/>
      <c r="Q74" s="148"/>
      <c r="R74" s="147"/>
      <c r="S74" s="150"/>
      <c r="T74" s="147"/>
      <c r="U74" s="148"/>
      <c r="V74" s="127"/>
      <c r="W74" s="127"/>
    </row>
    <row r="75" spans="1:23" ht="12" customHeight="1">
      <c r="A75" s="127"/>
      <c r="B75" s="138"/>
      <c r="C75" s="139"/>
      <c r="D75" s="138"/>
      <c r="E75" s="139"/>
      <c r="F75" s="189"/>
      <c r="G75" s="139"/>
      <c r="H75" s="138"/>
      <c r="I75" s="139"/>
      <c r="J75" s="138"/>
      <c r="K75" s="141"/>
      <c r="L75" s="138"/>
      <c r="M75" s="139"/>
      <c r="N75" s="151"/>
      <c r="O75" s="152"/>
      <c r="P75" s="151"/>
      <c r="Q75" s="152"/>
      <c r="R75" s="151"/>
      <c r="S75" s="152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42"/>
      <c r="E76" s="143"/>
      <c r="F76" s="190"/>
      <c r="G76" s="143"/>
      <c r="H76" s="142"/>
      <c r="I76" s="143"/>
      <c r="J76" s="142"/>
      <c r="K76" s="145"/>
      <c r="L76" s="142"/>
      <c r="M76" s="143"/>
      <c r="N76" s="157"/>
      <c r="O76" s="158"/>
      <c r="P76" s="157"/>
      <c r="Q76" s="158"/>
      <c r="R76" s="157"/>
      <c r="S76" s="158"/>
      <c r="T76" s="157"/>
      <c r="U76" s="158"/>
      <c r="V76" s="127"/>
      <c r="W76" s="127"/>
    </row>
    <row r="77" spans="1:23" ht="12" customHeight="1">
      <c r="A77" s="127"/>
      <c r="B77" s="142"/>
      <c r="C77" s="143"/>
      <c r="D77" s="142"/>
      <c r="E77" s="143"/>
      <c r="F77" s="190"/>
      <c r="G77" s="143"/>
      <c r="H77" s="142"/>
      <c r="I77" s="143"/>
      <c r="J77" s="142"/>
      <c r="K77" s="145"/>
      <c r="L77" s="142"/>
      <c r="M77" s="143"/>
      <c r="N77" s="157"/>
      <c r="O77" s="158"/>
      <c r="P77" s="157"/>
      <c r="Q77" s="158"/>
      <c r="R77" s="157"/>
      <c r="S77" s="158"/>
      <c r="T77" s="157"/>
      <c r="U77" s="158"/>
      <c r="V77" s="127"/>
      <c r="W77" s="127"/>
    </row>
    <row r="78" spans="1:23" ht="12" customHeight="1">
      <c r="A78" s="127"/>
      <c r="B78" s="142"/>
      <c r="C78" s="143"/>
      <c r="D78" s="142"/>
      <c r="E78" s="143"/>
      <c r="F78" s="190"/>
      <c r="G78" s="143"/>
      <c r="H78" s="142"/>
      <c r="I78" s="143"/>
      <c r="J78" s="142"/>
      <c r="K78" s="145"/>
      <c r="L78" s="142"/>
      <c r="M78" s="143"/>
      <c r="N78" s="157"/>
      <c r="O78" s="158"/>
      <c r="P78" s="157"/>
      <c r="Q78" s="158"/>
      <c r="R78" s="157"/>
      <c r="S78" s="158"/>
      <c r="T78" s="157"/>
      <c r="U78" s="158"/>
      <c r="V78" s="127"/>
      <c r="W78" s="127"/>
    </row>
    <row r="79" spans="1:23" ht="12" customHeight="1" thickBot="1">
      <c r="A79" s="146">
        <v>13</v>
      </c>
      <c r="B79" s="147"/>
      <c r="C79" s="148"/>
      <c r="D79" s="147"/>
      <c r="E79" s="193"/>
      <c r="F79" s="147"/>
      <c r="G79" s="148"/>
      <c r="H79" s="147"/>
      <c r="I79" s="148"/>
      <c r="J79" s="147"/>
      <c r="K79" s="150"/>
      <c r="L79" s="147"/>
      <c r="M79" s="148"/>
      <c r="N79" s="163"/>
      <c r="O79" s="164"/>
      <c r="P79" s="163"/>
      <c r="Q79" s="164"/>
      <c r="R79" s="163"/>
      <c r="S79" s="164"/>
      <c r="T79" s="163"/>
      <c r="U79" s="164"/>
      <c r="V79" s="127"/>
      <c r="W79" s="127"/>
    </row>
    <row r="80" spans="1:23" ht="12" customHeight="1">
      <c r="A80" s="127"/>
      <c r="B80" s="151"/>
      <c r="C80" s="152"/>
      <c r="D80" s="151"/>
      <c r="E80" s="152"/>
      <c r="F80" s="189"/>
      <c r="G80" s="188"/>
      <c r="H80" s="189"/>
      <c r="I80" s="188"/>
      <c r="J80" s="189"/>
      <c r="K80" s="188"/>
      <c r="L80" s="189"/>
      <c r="M80" s="188"/>
      <c r="N80" s="189"/>
      <c r="O80" s="152"/>
      <c r="P80" s="151"/>
      <c r="Q80" s="141"/>
      <c r="R80" s="138"/>
      <c r="S80" s="139"/>
      <c r="T80" s="140"/>
      <c r="U80" s="152"/>
      <c r="V80" s="127"/>
      <c r="W80" s="127"/>
    </row>
    <row r="81" spans="1:23" ht="12" customHeight="1">
      <c r="A81" s="127"/>
      <c r="B81" s="157"/>
      <c r="C81" s="158"/>
      <c r="D81" s="157"/>
      <c r="E81" s="161"/>
      <c r="F81" s="190"/>
      <c r="G81" s="191"/>
      <c r="H81" s="190"/>
      <c r="I81" s="191"/>
      <c r="J81" s="190"/>
      <c r="K81" s="191"/>
      <c r="L81" s="190"/>
      <c r="M81" s="191"/>
      <c r="N81" s="190"/>
      <c r="O81" s="158"/>
      <c r="P81" s="142"/>
      <c r="Q81" s="145"/>
      <c r="R81" s="142"/>
      <c r="S81" s="143"/>
      <c r="T81" s="144"/>
      <c r="U81" s="158"/>
      <c r="V81" s="127"/>
      <c r="W81" s="127"/>
    </row>
    <row r="82" spans="1:23" ht="12" customHeight="1">
      <c r="A82" s="127"/>
      <c r="B82" s="157"/>
      <c r="C82" s="158"/>
      <c r="D82" s="157"/>
      <c r="E82" s="161"/>
      <c r="F82" s="190"/>
      <c r="G82" s="191"/>
      <c r="H82" s="190"/>
      <c r="I82" s="191"/>
      <c r="J82" s="190"/>
      <c r="K82" s="191"/>
      <c r="L82" s="190"/>
      <c r="M82" s="191"/>
      <c r="N82" s="157"/>
      <c r="O82" s="158"/>
      <c r="P82" s="142"/>
      <c r="Q82" s="145"/>
      <c r="R82" s="142"/>
      <c r="S82" s="145"/>
      <c r="T82" s="142"/>
      <c r="U82" s="158"/>
      <c r="V82" s="127"/>
      <c r="W82" s="127"/>
    </row>
    <row r="83" spans="1:23" ht="12" customHeight="1">
      <c r="A83" s="127"/>
      <c r="B83" s="157"/>
      <c r="C83" s="158"/>
      <c r="D83" s="157"/>
      <c r="E83" s="191"/>
      <c r="F83" s="190"/>
      <c r="G83" s="191"/>
      <c r="H83" s="190"/>
      <c r="I83" s="191"/>
      <c r="J83" s="190"/>
      <c r="K83" s="191"/>
      <c r="L83" s="190"/>
      <c r="M83" s="191"/>
      <c r="N83" s="157"/>
      <c r="O83" s="158"/>
      <c r="P83" s="142"/>
      <c r="Q83" s="145"/>
      <c r="R83" s="142"/>
      <c r="S83" s="145"/>
      <c r="T83" s="142"/>
      <c r="U83" s="158"/>
      <c r="V83" s="127"/>
      <c r="W83" s="127"/>
    </row>
    <row r="84" spans="1:23" ht="12" customHeight="1" thickBot="1">
      <c r="A84" s="146">
        <v>14</v>
      </c>
      <c r="B84" s="163"/>
      <c r="C84" s="164"/>
      <c r="D84" s="163"/>
      <c r="E84" s="193"/>
      <c r="F84" s="192"/>
      <c r="G84" s="193"/>
      <c r="H84" s="192"/>
      <c r="I84" s="193"/>
      <c r="J84" s="192"/>
      <c r="K84" s="193"/>
      <c r="L84" s="192"/>
      <c r="M84" s="193"/>
      <c r="N84" s="163"/>
      <c r="O84" s="164"/>
      <c r="P84" s="147"/>
      <c r="Q84" s="150"/>
      <c r="R84" s="142"/>
      <c r="S84" s="150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78"/>
      <c r="F85" s="186"/>
      <c r="G85" s="139"/>
      <c r="H85" s="138"/>
      <c r="I85" s="155"/>
      <c r="J85" s="156"/>
      <c r="K85" s="139"/>
      <c r="L85" s="138"/>
      <c r="M85" s="188"/>
      <c r="N85" s="189"/>
      <c r="O85" s="188"/>
      <c r="P85" s="189"/>
      <c r="Q85" s="188"/>
      <c r="R85" s="189"/>
      <c r="S85" s="188"/>
      <c r="T85" s="189"/>
      <c r="U85" s="152"/>
      <c r="V85" s="127"/>
      <c r="W85" s="127"/>
    </row>
    <row r="86" spans="1:23" ht="12" customHeight="1">
      <c r="A86" s="127"/>
      <c r="B86" s="157"/>
      <c r="C86" s="158"/>
      <c r="D86" s="169"/>
      <c r="E86" s="187"/>
      <c r="F86" s="169"/>
      <c r="G86" s="143"/>
      <c r="H86" s="162"/>
      <c r="I86" s="161"/>
      <c r="J86" s="162"/>
      <c r="K86" s="143"/>
      <c r="L86" s="142"/>
      <c r="M86" s="191"/>
      <c r="N86" s="190"/>
      <c r="O86" s="191"/>
      <c r="P86" s="190"/>
      <c r="Q86" s="191"/>
      <c r="R86" s="190"/>
      <c r="S86" s="191"/>
      <c r="T86" s="190"/>
      <c r="U86" s="158"/>
      <c r="V86" s="127"/>
      <c r="W86" s="127"/>
    </row>
    <row r="87" spans="1:23" ht="12" customHeight="1">
      <c r="A87" s="127"/>
      <c r="B87" s="157"/>
      <c r="C87" s="158"/>
      <c r="D87" s="169"/>
      <c r="E87" s="187"/>
      <c r="F87" s="169"/>
      <c r="G87" s="143"/>
      <c r="H87" s="162"/>
      <c r="I87" s="161"/>
      <c r="J87" s="162"/>
      <c r="K87" s="143"/>
      <c r="L87" s="142"/>
      <c r="M87" s="191"/>
      <c r="N87" s="190"/>
      <c r="O87" s="191"/>
      <c r="P87" s="190"/>
      <c r="Q87" s="191"/>
      <c r="R87" s="190"/>
      <c r="S87" s="191"/>
      <c r="T87" s="157"/>
      <c r="U87" s="158"/>
      <c r="V87" s="127"/>
      <c r="W87" s="127"/>
    </row>
    <row r="88" spans="1:23" ht="12" customHeight="1">
      <c r="A88" s="127"/>
      <c r="B88" s="157"/>
      <c r="C88" s="158"/>
      <c r="D88" s="169"/>
      <c r="E88" s="187"/>
      <c r="F88" s="169"/>
      <c r="G88" s="143"/>
      <c r="H88" s="162"/>
      <c r="I88" s="161"/>
      <c r="J88" s="162"/>
      <c r="K88" s="143"/>
      <c r="L88" s="190"/>
      <c r="M88" s="191"/>
      <c r="N88" s="190"/>
      <c r="O88" s="191"/>
      <c r="P88" s="190"/>
      <c r="Q88" s="191"/>
      <c r="R88" s="190"/>
      <c r="S88" s="191"/>
      <c r="T88" s="157"/>
      <c r="U88" s="158"/>
      <c r="V88" s="127"/>
      <c r="W88" s="127"/>
    </row>
    <row r="89" spans="1:23" ht="12" customHeight="1" thickBot="1">
      <c r="A89" s="146">
        <v>15</v>
      </c>
      <c r="B89" s="163"/>
      <c r="C89" s="164"/>
      <c r="D89" s="170"/>
      <c r="E89" s="177"/>
      <c r="F89" s="170"/>
      <c r="G89" s="148"/>
      <c r="H89" s="168"/>
      <c r="I89" s="167"/>
      <c r="J89" s="147"/>
      <c r="K89" s="148"/>
      <c r="L89" s="192"/>
      <c r="M89" s="193"/>
      <c r="N89" s="192"/>
      <c r="O89" s="193"/>
      <c r="P89" s="192"/>
      <c r="Q89" s="193"/>
      <c r="R89" s="192"/>
      <c r="S89" s="193"/>
      <c r="T89" s="163"/>
      <c r="U89" s="148"/>
      <c r="V89" s="127"/>
      <c r="W89" s="127"/>
    </row>
    <row r="90" spans="1:23" ht="12" customHeight="1">
      <c r="A90" s="127"/>
      <c r="B90" s="138"/>
      <c r="C90" s="141"/>
      <c r="D90" s="138"/>
      <c r="E90" s="139"/>
      <c r="F90" s="140"/>
      <c r="G90" s="139"/>
      <c r="H90" s="138"/>
      <c r="I90" s="139"/>
      <c r="J90" s="189"/>
      <c r="K90" s="188"/>
      <c r="L90" s="189"/>
      <c r="M90" s="188"/>
      <c r="N90" s="189"/>
      <c r="O90" s="188"/>
      <c r="P90" s="189"/>
      <c r="Q90" s="188"/>
      <c r="R90" s="140"/>
      <c r="S90" s="139"/>
      <c r="T90" s="138"/>
      <c r="U90" s="139"/>
      <c r="V90" s="127"/>
      <c r="W90" s="127"/>
    </row>
    <row r="91" spans="1:23" ht="12" customHeight="1">
      <c r="A91" s="127"/>
      <c r="B91" s="142"/>
      <c r="C91" s="145"/>
      <c r="D91" s="142"/>
      <c r="E91" s="143"/>
      <c r="F91" s="144"/>
      <c r="G91" s="143"/>
      <c r="H91" s="142"/>
      <c r="I91" s="143"/>
      <c r="J91" s="190"/>
      <c r="K91" s="191"/>
      <c r="L91" s="190"/>
      <c r="M91" s="191"/>
      <c r="N91" s="190"/>
      <c r="O91" s="191"/>
      <c r="P91" s="190"/>
      <c r="Q91" s="191"/>
      <c r="R91" s="144"/>
      <c r="S91" s="143"/>
      <c r="T91" s="142"/>
      <c r="U91" s="143"/>
      <c r="V91" s="127"/>
      <c r="W91" s="127"/>
    </row>
    <row r="92" spans="1:23" ht="12" customHeight="1">
      <c r="A92" s="127"/>
      <c r="B92" s="142"/>
      <c r="C92" s="145"/>
      <c r="D92" s="142"/>
      <c r="E92" s="145"/>
      <c r="F92" s="142"/>
      <c r="G92" s="143"/>
      <c r="H92" s="142"/>
      <c r="I92" s="191"/>
      <c r="J92" s="201"/>
      <c r="K92" s="191"/>
      <c r="L92" s="201"/>
      <c r="M92" s="191"/>
      <c r="N92" s="190"/>
      <c r="O92" s="191"/>
      <c r="P92" s="190"/>
      <c r="Q92" s="191"/>
      <c r="R92" s="144"/>
      <c r="S92" s="143"/>
      <c r="T92" s="142"/>
      <c r="U92" s="143"/>
      <c r="V92" s="127"/>
      <c r="W92" s="127"/>
    </row>
    <row r="93" spans="1:23" ht="12" customHeight="1">
      <c r="A93" s="127"/>
      <c r="B93" s="144"/>
      <c r="C93" s="143"/>
      <c r="D93" s="142"/>
      <c r="E93" s="145"/>
      <c r="F93" s="142"/>
      <c r="G93" s="143"/>
      <c r="H93" s="142"/>
      <c r="I93" s="191"/>
      <c r="J93" s="190"/>
      <c r="K93" s="191"/>
      <c r="L93" s="190"/>
      <c r="M93" s="191"/>
      <c r="N93" s="190"/>
      <c r="O93" s="191"/>
      <c r="P93" s="190"/>
      <c r="Q93" s="191"/>
      <c r="R93" s="144"/>
      <c r="S93" s="143"/>
      <c r="T93" s="142"/>
      <c r="U93" s="143"/>
      <c r="V93" s="127"/>
      <c r="W93" s="127"/>
    </row>
    <row r="94" spans="1:23" ht="12" customHeight="1" thickBot="1">
      <c r="A94" s="146">
        <v>16</v>
      </c>
      <c r="B94" s="149"/>
      <c r="C94" s="148"/>
      <c r="D94" s="147"/>
      <c r="E94" s="150"/>
      <c r="F94" s="147"/>
      <c r="G94" s="148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49"/>
      <c r="S94" s="148"/>
      <c r="T94" s="147"/>
      <c r="U94" s="148"/>
      <c r="V94" s="127"/>
      <c r="W94" s="127"/>
    </row>
    <row r="95" spans="1:23" ht="12" customHeight="1">
      <c r="A95" s="127"/>
      <c r="B95" s="138"/>
      <c r="C95" s="139"/>
      <c r="D95" s="156"/>
      <c r="E95" s="155"/>
      <c r="F95" s="156"/>
      <c r="G95" s="155"/>
      <c r="H95" s="140"/>
      <c r="I95" s="139"/>
      <c r="J95" s="138"/>
      <c r="K95" s="139"/>
      <c r="L95" s="140"/>
      <c r="M95" s="152"/>
      <c r="N95" s="151"/>
      <c r="O95" s="152"/>
      <c r="P95" s="151"/>
      <c r="Q95" s="152"/>
      <c r="R95" s="151"/>
      <c r="S95" s="178"/>
      <c r="T95" s="138"/>
      <c r="U95" s="139"/>
      <c r="V95" s="127"/>
      <c r="W95" s="127"/>
    </row>
    <row r="96" spans="1:23" ht="12" customHeight="1">
      <c r="A96" s="127"/>
      <c r="B96" s="142"/>
      <c r="C96" s="143"/>
      <c r="D96" s="162"/>
      <c r="E96" s="161"/>
      <c r="F96" s="162"/>
      <c r="G96" s="161"/>
      <c r="H96" s="144"/>
      <c r="I96" s="143"/>
      <c r="J96" s="142"/>
      <c r="K96" s="143"/>
      <c r="L96" s="144"/>
      <c r="M96" s="158"/>
      <c r="N96" s="157"/>
      <c r="O96" s="158"/>
      <c r="P96" s="157"/>
      <c r="Q96" s="158"/>
      <c r="R96" s="157"/>
      <c r="S96" s="187"/>
      <c r="T96" s="142"/>
      <c r="U96" s="143"/>
      <c r="V96" s="127"/>
      <c r="W96" s="127"/>
    </row>
    <row r="97" spans="1:23" ht="12" customHeight="1">
      <c r="A97" s="127"/>
      <c r="B97" s="142"/>
      <c r="C97" s="143"/>
      <c r="D97" s="162"/>
      <c r="E97" s="161"/>
      <c r="F97" s="162"/>
      <c r="G97" s="145"/>
      <c r="H97" s="142"/>
      <c r="I97" s="143"/>
      <c r="J97" s="142"/>
      <c r="K97" s="143"/>
      <c r="L97" s="144"/>
      <c r="M97" s="158"/>
      <c r="N97" s="157"/>
      <c r="O97" s="158"/>
      <c r="P97" s="157"/>
      <c r="Q97" s="158"/>
      <c r="R97" s="157"/>
      <c r="S97" s="187"/>
      <c r="T97" s="142"/>
      <c r="U97" s="143"/>
      <c r="V97" s="127"/>
      <c r="W97" s="127"/>
    </row>
    <row r="98" spans="1:23" ht="12" customHeight="1">
      <c r="A98" s="127"/>
      <c r="B98" s="142"/>
      <c r="C98" s="161"/>
      <c r="D98" s="162"/>
      <c r="E98" s="161"/>
      <c r="F98" s="162"/>
      <c r="G98" s="145"/>
      <c r="H98" s="142"/>
      <c r="I98" s="143"/>
      <c r="J98" s="142"/>
      <c r="K98" s="143"/>
      <c r="L98" s="144"/>
      <c r="M98" s="158"/>
      <c r="N98" s="157"/>
      <c r="O98" s="158"/>
      <c r="P98" s="157"/>
      <c r="Q98" s="158"/>
      <c r="R98" s="157"/>
      <c r="S98" s="187"/>
      <c r="T98" s="142"/>
      <c r="U98" s="143"/>
      <c r="V98" s="127"/>
      <c r="W98" s="127"/>
    </row>
    <row r="99" spans="1:23" ht="12" customHeight="1" thickBot="1">
      <c r="A99" s="146">
        <v>17</v>
      </c>
      <c r="B99" s="147"/>
      <c r="C99" s="167"/>
      <c r="D99" s="168"/>
      <c r="E99" s="167"/>
      <c r="F99" s="168"/>
      <c r="G99" s="150"/>
      <c r="H99" s="147"/>
      <c r="I99" s="148"/>
      <c r="J99" s="147"/>
      <c r="K99" s="148"/>
      <c r="L99" s="149"/>
      <c r="M99" s="164"/>
      <c r="N99" s="163"/>
      <c r="O99" s="164"/>
      <c r="P99" s="163"/>
      <c r="Q99" s="164"/>
      <c r="R99" s="170"/>
      <c r="S99" s="148"/>
      <c r="T99" s="147"/>
      <c r="U99" s="175"/>
      <c r="V99" s="127"/>
      <c r="W99" s="127"/>
    </row>
    <row r="100" spans="1:23" ht="12" customHeight="1">
      <c r="A100" s="127"/>
      <c r="B100" s="172"/>
      <c r="C100" s="171"/>
      <c r="D100" s="172"/>
      <c r="E100" s="139"/>
      <c r="F100" s="138"/>
      <c r="G100" s="141"/>
      <c r="H100" s="138"/>
      <c r="I100" s="139"/>
      <c r="J100" s="151"/>
      <c r="K100" s="152"/>
      <c r="L100" s="151"/>
      <c r="M100" s="152"/>
      <c r="N100" s="151"/>
      <c r="O100" s="141"/>
      <c r="P100" s="138"/>
      <c r="Q100" s="152"/>
      <c r="R100" s="151"/>
      <c r="S100" s="152"/>
      <c r="T100" s="151"/>
      <c r="U100" s="152"/>
      <c r="V100" s="127"/>
      <c r="W100" s="127"/>
    </row>
    <row r="101" spans="1:23" ht="12" customHeight="1">
      <c r="A101" s="127"/>
      <c r="B101" s="174"/>
      <c r="C101" s="173"/>
      <c r="D101" s="174"/>
      <c r="E101" s="143"/>
      <c r="F101" s="142"/>
      <c r="G101" s="145"/>
      <c r="H101" s="142"/>
      <c r="I101" s="143"/>
      <c r="J101" s="157"/>
      <c r="K101" s="158"/>
      <c r="L101" s="157"/>
      <c r="M101" s="158"/>
      <c r="N101" s="157"/>
      <c r="O101" s="145"/>
      <c r="P101" s="157"/>
      <c r="Q101" s="158"/>
      <c r="R101" s="157"/>
      <c r="S101" s="158"/>
      <c r="T101" s="157"/>
      <c r="U101" s="158"/>
      <c r="V101" s="127"/>
      <c r="W101" s="127"/>
    </row>
    <row r="102" spans="1:23" ht="12" customHeight="1">
      <c r="A102" s="127"/>
      <c r="B102" s="174"/>
      <c r="C102" s="173"/>
      <c r="D102" s="174"/>
      <c r="E102" s="143"/>
      <c r="F102" s="144"/>
      <c r="G102" s="143"/>
      <c r="H102" s="142"/>
      <c r="I102" s="143"/>
      <c r="J102" s="157"/>
      <c r="K102" s="158"/>
      <c r="L102" s="157"/>
      <c r="M102" s="158"/>
      <c r="N102" s="157"/>
      <c r="O102" s="145"/>
      <c r="P102" s="157"/>
      <c r="Q102" s="158"/>
      <c r="R102" s="157"/>
      <c r="S102" s="158"/>
      <c r="T102" s="157"/>
      <c r="U102" s="158"/>
      <c r="V102" s="127"/>
      <c r="W102" s="127"/>
    </row>
    <row r="103" spans="1:23" ht="12" customHeight="1">
      <c r="A103" s="127"/>
      <c r="B103" s="174"/>
      <c r="C103" s="173"/>
      <c r="D103" s="174"/>
      <c r="E103" s="143"/>
      <c r="F103" s="144"/>
      <c r="G103" s="143"/>
      <c r="H103" s="142"/>
      <c r="I103" s="158"/>
      <c r="J103" s="157"/>
      <c r="K103" s="158"/>
      <c r="L103" s="157"/>
      <c r="M103" s="158"/>
      <c r="N103" s="157"/>
      <c r="O103" s="145"/>
      <c r="P103" s="157"/>
      <c r="Q103" s="158"/>
      <c r="R103" s="157"/>
      <c r="S103" s="158"/>
      <c r="T103" s="157"/>
      <c r="U103" s="158"/>
      <c r="V103" s="127"/>
      <c r="W103" s="127"/>
    </row>
    <row r="104" spans="1:23" ht="12" customHeight="1" thickBot="1">
      <c r="A104" s="146">
        <v>18</v>
      </c>
      <c r="B104" s="176"/>
      <c r="C104" s="175"/>
      <c r="D104" s="176"/>
      <c r="E104" s="148"/>
      <c r="F104" s="149"/>
      <c r="G104" s="148"/>
      <c r="H104" s="147"/>
      <c r="I104" s="164"/>
      <c r="J104" s="163"/>
      <c r="K104" s="164"/>
      <c r="L104" s="163"/>
      <c r="M104" s="164"/>
      <c r="N104" s="149"/>
      <c r="O104" s="148"/>
      <c r="P104" s="163"/>
      <c r="Q104" s="164"/>
      <c r="R104" s="163"/>
      <c r="S104" s="164"/>
      <c r="T104" s="163"/>
      <c r="U104" s="164"/>
      <c r="V104" s="127"/>
      <c r="W104" s="127"/>
    </row>
    <row r="105" spans="1:23" ht="12" customHeight="1">
      <c r="A105" s="127"/>
      <c r="B105" s="151"/>
      <c r="C105" s="152"/>
      <c r="D105" s="156"/>
      <c r="E105" s="155"/>
      <c r="F105" s="156"/>
      <c r="G105" s="178"/>
      <c r="H105" s="186"/>
      <c r="I105" s="178"/>
      <c r="J105" s="186"/>
      <c r="K105" s="178"/>
      <c r="L105" s="186"/>
      <c r="M105" s="139"/>
      <c r="N105" s="138"/>
      <c r="O105" s="139"/>
      <c r="P105" s="138"/>
      <c r="Q105" s="141"/>
      <c r="R105" s="140"/>
      <c r="S105" s="139"/>
      <c r="T105" s="151"/>
      <c r="U105" s="139"/>
      <c r="V105" s="127"/>
      <c r="W105" s="127"/>
    </row>
    <row r="106" spans="1:23" ht="12" customHeight="1">
      <c r="A106" s="127"/>
      <c r="B106" s="157"/>
      <c r="C106" s="158"/>
      <c r="D106" s="162"/>
      <c r="E106" s="161"/>
      <c r="F106" s="162"/>
      <c r="G106" s="187"/>
      <c r="H106" s="169"/>
      <c r="I106" s="187"/>
      <c r="J106" s="169"/>
      <c r="K106" s="187"/>
      <c r="L106" s="169"/>
      <c r="M106" s="143"/>
      <c r="N106" s="142"/>
      <c r="O106" s="143"/>
      <c r="P106" s="142"/>
      <c r="Q106" s="145"/>
      <c r="R106" s="144"/>
      <c r="S106" s="143"/>
      <c r="T106" s="157"/>
      <c r="U106" s="143"/>
      <c r="V106" s="127"/>
      <c r="W106" s="127"/>
    </row>
    <row r="107" spans="1:23" ht="12" customHeight="1">
      <c r="A107" s="127"/>
      <c r="B107" s="157"/>
      <c r="C107" s="161"/>
      <c r="D107" s="162"/>
      <c r="E107" s="161"/>
      <c r="F107" s="162"/>
      <c r="G107" s="187"/>
      <c r="H107" s="169"/>
      <c r="I107" s="187"/>
      <c r="J107" s="169"/>
      <c r="K107" s="187"/>
      <c r="L107" s="142"/>
      <c r="M107" s="143"/>
      <c r="N107" s="142"/>
      <c r="O107" s="143"/>
      <c r="P107" s="144"/>
      <c r="Q107" s="145"/>
      <c r="R107" s="142"/>
      <c r="S107" s="158"/>
      <c r="T107" s="157"/>
      <c r="U107" s="143"/>
      <c r="V107" s="127"/>
      <c r="W107" s="127"/>
    </row>
    <row r="108" spans="1:23" ht="12" customHeight="1">
      <c r="A108" s="127"/>
      <c r="B108" s="157"/>
      <c r="C108" s="161"/>
      <c r="D108" s="162"/>
      <c r="E108" s="161"/>
      <c r="F108" s="169"/>
      <c r="G108" s="187"/>
      <c r="H108" s="169"/>
      <c r="I108" s="187"/>
      <c r="J108" s="169"/>
      <c r="K108" s="187"/>
      <c r="L108" s="142"/>
      <c r="M108" s="143"/>
      <c r="N108" s="142"/>
      <c r="O108" s="143"/>
      <c r="P108" s="144"/>
      <c r="Q108" s="145"/>
      <c r="R108" s="142"/>
      <c r="S108" s="158"/>
      <c r="T108" s="157"/>
      <c r="U108" s="143"/>
      <c r="V108" s="127"/>
      <c r="W108" s="127"/>
    </row>
    <row r="109" spans="1:23" ht="12" customHeight="1" thickBot="1">
      <c r="A109" s="146">
        <v>19</v>
      </c>
      <c r="B109" s="163"/>
      <c r="C109" s="167"/>
      <c r="D109" s="168"/>
      <c r="E109" s="167"/>
      <c r="F109" s="170"/>
      <c r="G109" s="177"/>
      <c r="H109" s="170"/>
      <c r="I109" s="177"/>
      <c r="J109" s="170"/>
      <c r="K109" s="177"/>
      <c r="L109" s="147"/>
      <c r="M109" s="148"/>
      <c r="N109" s="147"/>
      <c r="O109" s="148"/>
      <c r="P109" s="149"/>
      <c r="Q109" s="150"/>
      <c r="R109" s="142"/>
      <c r="S109" s="164"/>
      <c r="T109" s="163"/>
      <c r="U109" s="148"/>
      <c r="V109" s="127"/>
      <c r="W109" s="127"/>
    </row>
    <row r="110" spans="1:23" ht="12" customHeight="1">
      <c r="A110" s="127"/>
      <c r="B110" s="138"/>
      <c r="C110" s="139"/>
      <c r="D110" s="138"/>
      <c r="E110" s="139"/>
      <c r="F110" s="140"/>
      <c r="G110" s="153"/>
      <c r="H110" s="154"/>
      <c r="I110" s="188"/>
      <c r="J110" s="189"/>
      <c r="K110" s="188"/>
      <c r="L110" s="189"/>
      <c r="M110" s="188"/>
      <c r="N110" s="189"/>
      <c r="O110" s="188"/>
      <c r="P110" s="189"/>
      <c r="Q110" s="188"/>
      <c r="R110" s="189"/>
      <c r="S110" s="152"/>
      <c r="T110" s="151"/>
      <c r="U110" s="171"/>
      <c r="V110" s="127"/>
      <c r="W110" s="127"/>
    </row>
    <row r="111" spans="1:23" ht="12" customHeight="1">
      <c r="A111" s="127"/>
      <c r="B111" s="142"/>
      <c r="C111" s="143"/>
      <c r="D111" s="142"/>
      <c r="E111" s="143"/>
      <c r="F111" s="144"/>
      <c r="G111" s="159"/>
      <c r="H111" s="190"/>
      <c r="I111" s="191"/>
      <c r="J111" s="190"/>
      <c r="K111" s="191"/>
      <c r="L111" s="190"/>
      <c r="M111" s="191"/>
      <c r="N111" s="190"/>
      <c r="O111" s="191"/>
      <c r="P111" s="190"/>
      <c r="Q111" s="191"/>
      <c r="R111" s="190"/>
      <c r="S111" s="158"/>
      <c r="T111" s="157"/>
      <c r="U111" s="173"/>
      <c r="V111" s="127"/>
      <c r="W111" s="127"/>
    </row>
    <row r="112" spans="1:23" ht="12" customHeight="1">
      <c r="A112" s="127"/>
      <c r="B112" s="142"/>
      <c r="C112" s="143"/>
      <c r="D112" s="142"/>
      <c r="E112" s="145"/>
      <c r="F112" s="160"/>
      <c r="G112" s="159"/>
      <c r="H112" s="190"/>
      <c r="I112" s="191"/>
      <c r="J112" s="190"/>
      <c r="K112" s="191"/>
      <c r="L112" s="190"/>
      <c r="M112" s="191"/>
      <c r="N112" s="190"/>
      <c r="O112" s="191"/>
      <c r="P112" s="190"/>
      <c r="Q112" s="191"/>
      <c r="R112" s="190"/>
      <c r="S112" s="158"/>
      <c r="T112" s="174"/>
      <c r="U112" s="173"/>
      <c r="V112" s="127"/>
      <c r="W112" s="127"/>
    </row>
    <row r="113" spans="1:23" ht="12" customHeight="1">
      <c r="A113" s="127"/>
      <c r="B113" s="142"/>
      <c r="C113" s="143"/>
      <c r="D113" s="142"/>
      <c r="E113" s="145"/>
      <c r="F113" s="160"/>
      <c r="G113" s="159"/>
      <c r="H113" s="190"/>
      <c r="I113" s="191"/>
      <c r="J113" s="190"/>
      <c r="K113" s="191"/>
      <c r="L113" s="190"/>
      <c r="M113" s="191"/>
      <c r="N113" s="190"/>
      <c r="O113" s="191"/>
      <c r="P113" s="190"/>
      <c r="Q113" s="191"/>
      <c r="R113" s="157"/>
      <c r="S113" s="158"/>
      <c r="T113" s="174"/>
      <c r="U113" s="173"/>
      <c r="V113" s="127"/>
      <c r="W113" s="127"/>
    </row>
    <row r="114" spans="1:23" ht="12" customHeight="1" thickBot="1">
      <c r="A114" s="146">
        <v>20</v>
      </c>
      <c r="B114" s="147"/>
      <c r="C114" s="148"/>
      <c r="D114" s="147"/>
      <c r="E114" s="150"/>
      <c r="F114" s="166"/>
      <c r="G114" s="165"/>
      <c r="H114" s="192"/>
      <c r="I114" s="193"/>
      <c r="J114" s="192"/>
      <c r="K114" s="193"/>
      <c r="L114" s="192"/>
      <c r="M114" s="193"/>
      <c r="N114" s="192"/>
      <c r="O114" s="193"/>
      <c r="P114" s="192"/>
      <c r="Q114" s="193"/>
      <c r="R114" s="163"/>
      <c r="S114" s="164"/>
      <c r="T114" s="176"/>
      <c r="U114" s="175"/>
      <c r="V114" s="127"/>
      <c r="W114" s="127"/>
    </row>
    <row r="115" spans="1:23" ht="12" customHeight="1">
      <c r="A115" s="127"/>
      <c r="B115" s="172"/>
      <c r="C115" s="139"/>
      <c r="D115" s="138"/>
      <c r="E115" s="188"/>
      <c r="F115" s="189"/>
      <c r="G115" s="139"/>
      <c r="H115" s="138"/>
      <c r="I115" s="139"/>
      <c r="J115" s="138"/>
      <c r="K115" s="139"/>
      <c r="L115" s="138"/>
      <c r="M115" s="155"/>
      <c r="N115" s="156"/>
      <c r="O115" s="178"/>
      <c r="P115" s="186"/>
      <c r="Q115" s="178"/>
      <c r="R115" s="186"/>
      <c r="S115" s="178"/>
      <c r="T115" s="186"/>
      <c r="U115" s="178"/>
      <c r="V115" s="127"/>
      <c r="W115" s="127"/>
    </row>
    <row r="116" spans="1:23" ht="12" customHeight="1">
      <c r="A116" s="127"/>
      <c r="B116" s="174"/>
      <c r="C116" s="143"/>
      <c r="D116" s="190"/>
      <c r="E116" s="191"/>
      <c r="F116" s="142"/>
      <c r="G116" s="143"/>
      <c r="H116" s="142"/>
      <c r="I116" s="143"/>
      <c r="J116" s="142"/>
      <c r="K116" s="143"/>
      <c r="L116" s="142"/>
      <c r="M116" s="161"/>
      <c r="N116" s="169"/>
      <c r="O116" s="187"/>
      <c r="P116" s="169"/>
      <c r="Q116" s="187"/>
      <c r="R116" s="169"/>
      <c r="S116" s="187"/>
      <c r="T116" s="169"/>
      <c r="U116" s="187"/>
      <c r="V116" s="127"/>
      <c r="W116" s="127"/>
    </row>
    <row r="117" spans="1:23" ht="12" customHeight="1">
      <c r="A117" s="127"/>
      <c r="B117" s="174"/>
      <c r="C117" s="143"/>
      <c r="D117" s="190"/>
      <c r="E117" s="191"/>
      <c r="F117" s="142"/>
      <c r="G117" s="143"/>
      <c r="H117" s="142"/>
      <c r="I117" s="143"/>
      <c r="J117" s="142"/>
      <c r="K117" s="143"/>
      <c r="L117" s="162"/>
      <c r="M117" s="161"/>
      <c r="N117" s="169"/>
      <c r="O117" s="187"/>
      <c r="P117" s="169"/>
      <c r="Q117" s="187"/>
      <c r="R117" s="169"/>
      <c r="S117" s="187"/>
      <c r="T117" s="169"/>
      <c r="U117" s="187"/>
      <c r="V117" s="127"/>
      <c r="W117" s="127"/>
    </row>
    <row r="118" spans="1:23" ht="12" customHeight="1">
      <c r="A118" s="127"/>
      <c r="B118" s="174"/>
      <c r="C118" s="143"/>
      <c r="D118" s="190"/>
      <c r="E118" s="191"/>
      <c r="F118" s="142"/>
      <c r="G118" s="143"/>
      <c r="H118" s="142"/>
      <c r="I118" s="143"/>
      <c r="J118" s="142"/>
      <c r="K118" s="143"/>
      <c r="L118" s="162"/>
      <c r="M118" s="161"/>
      <c r="N118" s="169"/>
      <c r="O118" s="187"/>
      <c r="P118" s="169"/>
      <c r="Q118" s="187"/>
      <c r="R118" s="169"/>
      <c r="S118" s="187"/>
      <c r="T118" s="169"/>
      <c r="U118" s="187"/>
      <c r="V118" s="127"/>
      <c r="W118" s="127"/>
    </row>
    <row r="119" spans="1:23" ht="12" customHeight="1" thickBot="1">
      <c r="A119" s="146">
        <v>21</v>
      </c>
      <c r="B119" s="147"/>
      <c r="C119" s="148"/>
      <c r="D119" s="192"/>
      <c r="E119" s="193"/>
      <c r="F119" s="147"/>
      <c r="G119" s="148"/>
      <c r="H119" s="147"/>
      <c r="I119" s="148"/>
      <c r="J119" s="147"/>
      <c r="K119" s="148"/>
      <c r="L119" s="168"/>
      <c r="M119" s="167"/>
      <c r="N119" s="170"/>
      <c r="O119" s="177"/>
      <c r="P119" s="170"/>
      <c r="Q119" s="177"/>
      <c r="R119" s="170"/>
      <c r="S119" s="177"/>
      <c r="T119" s="170"/>
      <c r="U119" s="177"/>
      <c r="V119" s="127"/>
      <c r="W119" s="127"/>
    </row>
    <row r="120" spans="1:23" ht="12" customHeight="1">
      <c r="A120" s="127"/>
      <c r="B120" s="186"/>
      <c r="C120" s="178"/>
      <c r="D120" s="186"/>
      <c r="E120" s="178"/>
      <c r="F120" s="186"/>
      <c r="G120" s="152"/>
      <c r="H120" s="151"/>
      <c r="I120" s="152"/>
      <c r="J120" s="151"/>
      <c r="K120" s="152"/>
      <c r="L120" s="156"/>
      <c r="M120" s="155"/>
      <c r="N120" s="156"/>
      <c r="O120" s="155"/>
      <c r="P120" s="138"/>
      <c r="Q120" s="139"/>
      <c r="R120" s="140"/>
      <c r="S120" s="188"/>
      <c r="T120" s="189"/>
      <c r="U120" s="188"/>
      <c r="V120" s="127"/>
      <c r="W120" s="127"/>
    </row>
    <row r="121" spans="1:23" ht="12" customHeight="1">
      <c r="A121" s="127"/>
      <c r="B121" s="169"/>
      <c r="C121" s="187"/>
      <c r="D121" s="169"/>
      <c r="E121" s="187"/>
      <c r="F121" s="169"/>
      <c r="G121" s="158"/>
      <c r="H121" s="157"/>
      <c r="I121" s="158"/>
      <c r="J121" s="157"/>
      <c r="K121" s="158"/>
      <c r="L121" s="162"/>
      <c r="M121" s="161"/>
      <c r="N121" s="162"/>
      <c r="O121" s="161"/>
      <c r="P121" s="142"/>
      <c r="Q121" s="143"/>
      <c r="R121" s="144"/>
      <c r="S121" s="191"/>
      <c r="T121" s="190"/>
      <c r="U121" s="191"/>
      <c r="V121" s="127"/>
      <c r="W121" s="127"/>
    </row>
    <row r="122" spans="1:23" ht="12" customHeight="1">
      <c r="A122" s="127"/>
      <c r="B122" s="169"/>
      <c r="C122" s="187"/>
      <c r="D122" s="169"/>
      <c r="E122" s="187"/>
      <c r="F122" s="169"/>
      <c r="G122" s="158"/>
      <c r="H122" s="157"/>
      <c r="I122" s="158"/>
      <c r="J122" s="202"/>
      <c r="K122" s="158"/>
      <c r="L122" s="205"/>
      <c r="M122" s="161"/>
      <c r="N122" s="162"/>
      <c r="O122" s="161"/>
      <c r="P122" s="142"/>
      <c r="Q122" s="143"/>
      <c r="R122" s="144"/>
      <c r="S122" s="191"/>
      <c r="T122" s="190"/>
      <c r="U122" s="191"/>
      <c r="V122" s="127"/>
      <c r="W122" s="127"/>
    </row>
    <row r="123" spans="1:23" ht="12" customHeight="1">
      <c r="A123" s="127"/>
      <c r="B123" s="169"/>
      <c r="C123" s="187"/>
      <c r="D123" s="169"/>
      <c r="E123" s="187"/>
      <c r="F123" s="157"/>
      <c r="G123" s="158"/>
      <c r="H123" s="157"/>
      <c r="I123" s="158"/>
      <c r="J123" s="157"/>
      <c r="K123" s="158"/>
      <c r="L123" s="162"/>
      <c r="M123" s="161"/>
      <c r="N123" s="162"/>
      <c r="O123" s="161"/>
      <c r="P123" s="142"/>
      <c r="Q123" s="143"/>
      <c r="R123" s="144"/>
      <c r="S123" s="191"/>
      <c r="T123" s="190"/>
      <c r="U123" s="191"/>
      <c r="V123" s="127"/>
      <c r="W123" s="127"/>
    </row>
    <row r="124" spans="1:23" ht="12" customHeight="1" thickBot="1">
      <c r="A124" s="146">
        <v>22</v>
      </c>
      <c r="B124" s="170"/>
      <c r="C124" s="177"/>
      <c r="D124" s="170"/>
      <c r="E124" s="177"/>
      <c r="F124" s="163"/>
      <c r="G124" s="164"/>
      <c r="H124" s="163"/>
      <c r="I124" s="164"/>
      <c r="J124" s="157"/>
      <c r="K124" s="167"/>
      <c r="L124" s="162"/>
      <c r="M124" s="167"/>
      <c r="N124" s="168"/>
      <c r="O124" s="148"/>
      <c r="P124" s="147"/>
      <c r="Q124" s="150"/>
      <c r="R124" s="192"/>
      <c r="S124" s="193"/>
      <c r="T124" s="192"/>
      <c r="U124" s="193"/>
      <c r="V124" s="127"/>
      <c r="W124" s="127"/>
    </row>
    <row r="125" spans="1:23" ht="12" customHeight="1">
      <c r="A125" s="127"/>
      <c r="B125" s="189"/>
      <c r="C125" s="152"/>
      <c r="D125" s="151"/>
      <c r="E125" s="152"/>
      <c r="F125" s="151"/>
      <c r="G125" s="152"/>
      <c r="H125" s="151"/>
      <c r="I125" s="152"/>
      <c r="J125" s="151"/>
      <c r="K125" s="152"/>
      <c r="L125" s="151"/>
      <c r="M125" s="152"/>
      <c r="N125" s="151"/>
      <c r="O125" s="152"/>
      <c r="P125" s="151"/>
      <c r="Q125" s="152"/>
      <c r="R125" s="151"/>
      <c r="S125" s="152"/>
      <c r="T125" s="151"/>
      <c r="U125" s="152"/>
      <c r="V125" s="127"/>
      <c r="W125" s="127"/>
    </row>
    <row r="126" spans="1:23" ht="12" customHeight="1">
      <c r="A126" s="127"/>
      <c r="B126" s="190"/>
      <c r="C126" s="158"/>
      <c r="D126" s="157"/>
      <c r="E126" s="158"/>
      <c r="F126" s="157"/>
      <c r="G126" s="158"/>
      <c r="H126" s="157"/>
      <c r="I126" s="158"/>
      <c r="J126" s="157"/>
      <c r="K126" s="158"/>
      <c r="L126" s="157"/>
      <c r="M126" s="158"/>
      <c r="N126" s="157"/>
      <c r="O126" s="158"/>
      <c r="P126" s="157"/>
      <c r="Q126" s="158"/>
      <c r="R126" s="157"/>
      <c r="S126" s="158"/>
      <c r="T126" s="157"/>
      <c r="U126" s="158"/>
      <c r="V126" s="127"/>
      <c r="W126" s="127"/>
    </row>
    <row r="127" spans="1:23" ht="12" customHeight="1">
      <c r="A127" s="127"/>
      <c r="B127" s="190"/>
      <c r="C127" s="158"/>
      <c r="D127" s="157"/>
      <c r="E127" s="158"/>
      <c r="F127" s="157"/>
      <c r="G127" s="158"/>
      <c r="H127" s="157"/>
      <c r="I127" s="158"/>
      <c r="J127" s="157"/>
      <c r="K127" s="158"/>
      <c r="L127" s="157"/>
      <c r="M127" s="158"/>
      <c r="N127" s="157"/>
      <c r="O127" s="158"/>
      <c r="P127" s="157"/>
      <c r="Q127" s="158"/>
      <c r="R127" s="157"/>
      <c r="S127" s="158"/>
      <c r="T127" s="157"/>
      <c r="U127" s="158"/>
      <c r="V127" s="127"/>
      <c r="W127" s="127"/>
    </row>
    <row r="128" spans="1:23" ht="12" customHeight="1">
      <c r="A128" s="127"/>
      <c r="B128" s="190"/>
      <c r="C128" s="158"/>
      <c r="D128" s="157"/>
      <c r="E128" s="158"/>
      <c r="F128" s="157"/>
      <c r="G128" s="158"/>
      <c r="H128" s="157"/>
      <c r="I128" s="158"/>
      <c r="J128" s="157"/>
      <c r="K128" s="158"/>
      <c r="L128" s="157"/>
      <c r="M128" s="158"/>
      <c r="N128" s="157"/>
      <c r="O128" s="158"/>
      <c r="P128" s="157"/>
      <c r="Q128" s="158"/>
      <c r="R128" s="157"/>
      <c r="S128" s="158"/>
      <c r="T128" s="157"/>
      <c r="U128" s="158"/>
      <c r="V128" s="127"/>
      <c r="W128" s="127"/>
    </row>
    <row r="129" spans="1:23" ht="12" customHeight="1" thickBot="1">
      <c r="A129" s="146">
        <v>23</v>
      </c>
      <c r="B129" s="192"/>
      <c r="C129" s="164"/>
      <c r="D129" s="163"/>
      <c r="E129" s="164"/>
      <c r="F129" s="163"/>
      <c r="G129" s="164"/>
      <c r="H129" s="163"/>
      <c r="I129" s="164"/>
      <c r="J129" s="163"/>
      <c r="K129" s="164"/>
      <c r="L129" s="163"/>
      <c r="M129" s="164"/>
      <c r="N129" s="163"/>
      <c r="O129" s="164"/>
      <c r="P129" s="163"/>
      <c r="Q129" s="164"/>
      <c r="R129" s="163"/>
      <c r="S129" s="164"/>
      <c r="T129" s="163"/>
      <c r="U129" s="164"/>
      <c r="V129" s="127"/>
      <c r="W129" s="127"/>
    </row>
    <row r="130" spans="1:23" ht="12" customHeight="1">
      <c r="A130" s="127"/>
      <c r="B130" s="151"/>
      <c r="C130" s="152"/>
      <c r="D130" s="151"/>
      <c r="E130" s="152"/>
      <c r="F130" s="151"/>
      <c r="G130" s="152"/>
      <c r="H130" s="151"/>
      <c r="I130" s="152"/>
      <c r="J130" s="151"/>
      <c r="K130" s="152"/>
      <c r="L130" s="151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57"/>
      <c r="C131" s="158"/>
      <c r="D131" s="157"/>
      <c r="E131" s="158"/>
      <c r="F131" s="157"/>
      <c r="G131" s="158"/>
      <c r="H131" s="157"/>
      <c r="I131" s="158"/>
      <c r="J131" s="157"/>
      <c r="K131" s="158"/>
      <c r="L131" s="157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57"/>
      <c r="C132" s="158"/>
      <c r="D132" s="157"/>
      <c r="E132" s="158"/>
      <c r="F132" s="157"/>
      <c r="G132" s="158"/>
      <c r="H132" s="157"/>
      <c r="I132" s="158"/>
      <c r="J132" s="157"/>
      <c r="K132" s="158"/>
      <c r="L132" s="157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57"/>
      <c r="C133" s="158"/>
      <c r="D133" s="157"/>
      <c r="E133" s="158"/>
      <c r="F133" s="157"/>
      <c r="G133" s="158"/>
      <c r="H133" s="157"/>
      <c r="I133" s="158"/>
      <c r="J133" s="157"/>
      <c r="K133" s="158"/>
      <c r="L133" s="157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63"/>
      <c r="C134" s="164"/>
      <c r="D134" s="163"/>
      <c r="E134" s="164"/>
      <c r="F134" s="163"/>
      <c r="G134" s="164"/>
      <c r="H134" s="163"/>
      <c r="I134" s="164"/>
      <c r="J134" s="163"/>
      <c r="K134" s="164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HYPERLINK("#'8월'!A1","← 8월 월간 가계부로 돌아가기")</f>
        <v>← 8월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2354000</v>
      </c>
      <c r="J149" s="366"/>
      <c r="K149" s="366"/>
      <c r="L149" s="366"/>
      <c r="M149" s="366"/>
      <c r="N149" s="367"/>
      <c r="O149" s="423" t="b">
        <f>IF('8월'!AA1,I149=('8월'!M28),"미입력")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2354000</v>
      </c>
      <c r="J150" s="366"/>
      <c r="K150" s="366"/>
      <c r="L150" s="366"/>
      <c r="M150" s="366"/>
      <c r="N150" s="367"/>
      <c r="O150" s="423" t="b">
        <f>IF('8월'!AA1,I150=('8월'!I38),"미입력")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A70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v>42000</v>
      </c>
      <c r="D4" s="35">
        <v>57000</v>
      </c>
      <c r="E4" s="35">
        <v>74000</v>
      </c>
      <c r="F4" s="35">
        <v>92000</v>
      </c>
      <c r="G4" s="35">
        <v>66000</v>
      </c>
      <c r="H4" s="35">
        <v>36000</v>
      </c>
      <c r="I4" s="45">
        <f>SUM(B4:H4)</f>
        <v>367000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665</v>
      </c>
    </row>
    <row r="5" spans="1:27" ht="22" customHeight="1">
      <c r="A5" s="31" t="s">
        <v>445</v>
      </c>
      <c r="B5" s="27"/>
      <c r="C5" s="35">
        <f>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</f>
        <v>41500</v>
      </c>
      <c r="D5" s="35">
        <f>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</f>
        <v>55590</v>
      </c>
      <c r="E5" s="35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</f>
        <v>73120</v>
      </c>
      <c r="F5" s="35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</f>
        <v>91100</v>
      </c>
      <c r="G5" s="35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</f>
        <v>64500</v>
      </c>
      <c r="H5" s="35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</f>
        <v>34670</v>
      </c>
      <c r="I5" s="45">
        <f>SUM(B5:H5)</f>
        <v>360480</v>
      </c>
      <c r="J5" s="12"/>
      <c r="K5" s="38" t="s">
        <v>451</v>
      </c>
      <c r="L5" s="38" t="s">
        <v>666</v>
      </c>
      <c r="M5" s="34" t="s">
        <v>453</v>
      </c>
      <c r="N5" s="34" t="s">
        <v>454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34" t="s">
        <v>667</v>
      </c>
    </row>
    <row r="6" spans="1:27" ht="22" customHeight="1">
      <c r="A6" s="31" t="s">
        <v>323</v>
      </c>
      <c r="B6" s="27"/>
      <c r="C6" s="27">
        <f t="shared" ref="C6:H6" si="2">IF(COUNTA(C4:C5)=0,"",C4-C5)</f>
        <v>500</v>
      </c>
      <c r="D6" s="27">
        <f t="shared" si="2"/>
        <v>1410</v>
      </c>
      <c r="E6" s="27">
        <f t="shared" si="2"/>
        <v>880</v>
      </c>
      <c r="F6" s="27">
        <f t="shared" si="2"/>
        <v>900</v>
      </c>
      <c r="G6" s="27">
        <f t="shared" si="2"/>
        <v>1500</v>
      </c>
      <c r="H6" s="27">
        <f t="shared" si="2"/>
        <v>1330</v>
      </c>
      <c r="I6" s="45">
        <f>SUM(B6:H6)</f>
        <v>6520</v>
      </c>
      <c r="J6" s="12"/>
      <c r="K6" s="31" t="s">
        <v>456</v>
      </c>
      <c r="L6" s="31" t="s">
        <v>666</v>
      </c>
      <c r="M6" s="27" t="s">
        <v>453</v>
      </c>
      <c r="N6" s="27" t="s">
        <v>457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27" t="s">
        <v>665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 t="s">
        <v>665</v>
      </c>
    </row>
    <row r="8" spans="1:27" ht="22" customHeight="1">
      <c r="A8" s="39" t="s">
        <v>462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 t="s">
        <v>665</v>
      </c>
    </row>
    <row r="9" spans="1:27" ht="22" customHeight="1">
      <c r="A9" s="31" t="s">
        <v>446</v>
      </c>
      <c r="B9" s="35">
        <v>29000</v>
      </c>
      <c r="C9" s="35">
        <v>31000</v>
      </c>
      <c r="D9" s="35">
        <v>30000</v>
      </c>
      <c r="E9" s="35">
        <v>142000</v>
      </c>
      <c r="F9" s="35">
        <v>30000</v>
      </c>
      <c r="G9" s="35">
        <v>78000</v>
      </c>
      <c r="H9" s="35">
        <v>4000</v>
      </c>
      <c r="I9" s="45">
        <f>SUM(B9:H9)</f>
        <v>344000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 t="s">
        <v>665</v>
      </c>
    </row>
    <row r="10" spans="1:27" ht="22" customHeight="1">
      <c r="A10" s="31" t="s">
        <v>445</v>
      </c>
      <c r="B10" s="35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</f>
        <v>26470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</f>
        <v>27300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</f>
        <v>29020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</f>
        <v>140201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</f>
        <v>28000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</f>
        <v>76400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</f>
        <v>3300</v>
      </c>
      <c r="I10" s="45">
        <f>SUM(B10:H10)</f>
        <v>330691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27" t="s">
        <v>665</v>
      </c>
    </row>
    <row r="11" spans="1:27" ht="22" customHeight="1">
      <c r="A11" s="31" t="s">
        <v>323</v>
      </c>
      <c r="B11" s="27">
        <f t="shared" ref="B11:H11" si="3">IF(COUNTA(B9:B10)=0,"",B9-B10)</f>
        <v>2530</v>
      </c>
      <c r="C11" s="27">
        <f t="shared" si="3"/>
        <v>3700</v>
      </c>
      <c r="D11" s="27">
        <f t="shared" si="3"/>
        <v>980</v>
      </c>
      <c r="E11" s="27">
        <f t="shared" si="3"/>
        <v>1799</v>
      </c>
      <c r="F11" s="27">
        <f t="shared" si="3"/>
        <v>2000</v>
      </c>
      <c r="G11" s="27">
        <f t="shared" si="3"/>
        <v>1600</v>
      </c>
      <c r="H11" s="27">
        <f t="shared" si="3"/>
        <v>700</v>
      </c>
      <c r="I11" s="45">
        <f>SUM(B11:H11)</f>
        <v>13309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34" t="s">
        <v>667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668</v>
      </c>
      <c r="M12" s="27" t="s">
        <v>669</v>
      </c>
      <c r="N12" s="27" t="s">
        <v>499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665</v>
      </c>
    </row>
    <row r="13" spans="1:27" ht="22" customHeight="1">
      <c r="A13" s="39" t="s">
        <v>480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 t="s">
        <v>665</v>
      </c>
    </row>
    <row r="14" spans="1:27" ht="22" customHeight="1">
      <c r="A14" s="31" t="s">
        <v>446</v>
      </c>
      <c r="B14" s="35">
        <v>14000</v>
      </c>
      <c r="C14" s="35">
        <f>16000+CEILING(RAW!K2203,1000)</f>
        <v>66000</v>
      </c>
      <c r="D14" s="35">
        <v>69000</v>
      </c>
      <c r="E14" s="35">
        <v>55000</v>
      </c>
      <c r="F14" s="35">
        <v>199000</v>
      </c>
      <c r="G14" s="35">
        <v>81000</v>
      </c>
      <c r="H14" s="35"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</f>
        <v>13400</v>
      </c>
      <c r="C15" s="35">
        <f>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</f>
        <v>65100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</f>
        <v>68190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</f>
        <v>53900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</f>
        <v>196170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</f>
        <v>79000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</f>
        <v>23950</v>
      </c>
      <c r="I15" s="45">
        <f>SUM(B15:H15)</f>
        <v>499710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665</v>
      </c>
    </row>
    <row r="16" spans="1:27" ht="22" customHeight="1">
      <c r="A16" s="31" t="s">
        <v>323</v>
      </c>
      <c r="B16" s="27">
        <f t="shared" ref="B16:H16" si="4">IF(COUNTA(B14:B15)=0,"",B14-B15)</f>
        <v>600</v>
      </c>
      <c r="C16" s="27">
        <f t="shared" si="4"/>
        <v>900</v>
      </c>
      <c r="D16" s="27">
        <f t="shared" si="4"/>
        <v>810</v>
      </c>
      <c r="E16" s="27">
        <f t="shared" si="4"/>
        <v>1100</v>
      </c>
      <c r="F16" s="27">
        <f t="shared" si="4"/>
        <v>2830</v>
      </c>
      <c r="G16" s="27">
        <f t="shared" si="4"/>
        <v>2000</v>
      </c>
      <c r="H16" s="27">
        <f t="shared" si="4"/>
        <v>1050</v>
      </c>
      <c r="I16" s="45">
        <f>SUM(B16:H16)</f>
        <v>9290</v>
      </c>
      <c r="J16" s="12"/>
      <c r="K16" s="31"/>
      <c r="L16" s="31" t="s">
        <v>486</v>
      </c>
      <c r="M16" s="27" t="s">
        <v>467</v>
      </c>
      <c r="N16" s="27" t="s">
        <v>487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 t="s">
        <v>665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 t="s">
        <v>665</v>
      </c>
    </row>
    <row r="18" spans="1:22" ht="22" customHeight="1">
      <c r="A18" s="39" t="s">
        <v>491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27" t="s">
        <v>665</v>
      </c>
    </row>
    <row r="19" spans="1:22" ht="22" customHeight="1">
      <c r="A19" s="31" t="s">
        <v>446</v>
      </c>
      <c r="B19" s="35">
        <v>35000</v>
      </c>
      <c r="C19" s="35">
        <v>29000</v>
      </c>
      <c r="D19" s="35">
        <v>43000</v>
      </c>
      <c r="E19" s="35">
        <v>250000</v>
      </c>
      <c r="F19" s="35">
        <v>62000</v>
      </c>
      <c r="G19" s="35">
        <v>52000</v>
      </c>
      <c r="H19" s="35">
        <v>48000</v>
      </c>
      <c r="I19" s="45">
        <f>SUM(B19:H19)</f>
        <v>519000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34" t="s">
        <v>665</v>
      </c>
    </row>
    <row r="20" spans="1:22" ht="22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</f>
        <v>33800</v>
      </c>
      <c r="C20" s="35">
        <f>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</f>
        <v>28400</v>
      </c>
      <c r="D20" s="35">
        <f>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</f>
        <v>41890</v>
      </c>
      <c r="E20" s="35">
        <f>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</f>
        <v>245130</v>
      </c>
      <c r="F20" s="35">
        <f>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</f>
        <v>60300</v>
      </c>
      <c r="G20" s="35">
        <f>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</f>
        <v>52000</v>
      </c>
      <c r="H20" s="35">
        <f>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</f>
        <v>48000</v>
      </c>
      <c r="I20" s="45">
        <f>SUM(B20:H20)</f>
        <v>509520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27" t="s">
        <v>665</v>
      </c>
    </row>
    <row r="21" spans="1:22" ht="22" customHeight="1">
      <c r="A21" s="31" t="s">
        <v>323</v>
      </c>
      <c r="B21" s="27">
        <f t="shared" ref="B21:H21" si="5">IF(COUNTA(B19:B20)=0,"",B19-B20)</f>
        <v>1200</v>
      </c>
      <c r="C21" s="27">
        <f t="shared" si="5"/>
        <v>600</v>
      </c>
      <c r="D21" s="27">
        <f t="shared" si="5"/>
        <v>1110</v>
      </c>
      <c r="E21" s="27">
        <f t="shared" si="5"/>
        <v>4870</v>
      </c>
      <c r="F21" s="27">
        <f t="shared" si="5"/>
        <v>1700</v>
      </c>
      <c r="G21" s="27">
        <f t="shared" si="5"/>
        <v>0</v>
      </c>
      <c r="H21" s="27">
        <f t="shared" si="5"/>
        <v>0</v>
      </c>
      <c r="I21" s="45">
        <f>SUM(B21:H21)</f>
        <v>9480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 t="s">
        <v>665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671</v>
      </c>
      <c r="T22" s="27" t="s">
        <v>506</v>
      </c>
      <c r="U22" s="27" t="s">
        <v>665</v>
      </c>
    </row>
    <row r="23" spans="1:22" ht="22" customHeight="1">
      <c r="A23" s="39" t="s">
        <v>507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505</v>
      </c>
      <c r="T23" s="34" t="s">
        <v>85</v>
      </c>
      <c r="U23" s="34" t="s">
        <v>665</v>
      </c>
    </row>
    <row r="24" spans="1:22" ht="22" customHeight="1">
      <c r="A24" s="31" t="s">
        <v>446</v>
      </c>
      <c r="B24" s="35">
        <v>24000</v>
      </c>
      <c r="C24" s="35">
        <v>174000</v>
      </c>
      <c r="D24" s="35"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509</v>
      </c>
      <c r="T24" s="27" t="s">
        <v>85</v>
      </c>
      <c r="U24" s="27" t="s">
        <v>665</v>
      </c>
    </row>
    <row r="25" spans="1:22" ht="25" customHeight="1">
      <c r="A25" s="31" t="s">
        <v>445</v>
      </c>
      <c r="B25" s="35">
        <f>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</f>
        <v>23900</v>
      </c>
      <c r="C25" s="35">
        <f>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</f>
        <v>171750</v>
      </c>
      <c r="D25" s="35">
        <f>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100</v>
      </c>
      <c r="C26" s="27">
        <f>IF(COUNTA(C24:C25)=0,"",C24-C25)</f>
        <v>2250</v>
      </c>
      <c r="D26" s="27">
        <f>IF(COUNTA(D24:D25)=0,"",D24-D25)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HYPERLINK("#'9월계산기'!A1","계산기 대조 · 9월계산기 열기")</f>
        <v>계산기 대조 · 9월계산기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1955000</v>
      </c>
      <c r="N28" s="367"/>
      <c r="O28" s="429" t="s">
        <v>234</v>
      </c>
      <c r="P28" s="367"/>
      <c r="Q28" s="431">
        <f>'9월계산기'!W12</f>
        <v>1955000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1905000</v>
      </c>
      <c r="N29" s="367"/>
      <c r="O29" s="429" t="s">
        <v>239</v>
      </c>
      <c r="P29" s="367"/>
      <c r="Q29" s="431">
        <f>'9월계산기'!W13</f>
        <v>1905000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42149</v>
      </c>
      <c r="N30" s="367"/>
      <c r="O30" s="429" t="s">
        <v>514</v>
      </c>
      <c r="P30" s="367"/>
      <c r="Q30" s="431">
        <f>SUM(I4,I9,I14,I19,I24,I29)-I33</f>
        <v>42149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'9월계산기'!W14</f>
        <v>50000</v>
      </c>
      <c r="N31" s="367"/>
      <c r="O31" s="429" t="s">
        <v>515</v>
      </c>
      <c r="P31" s="367"/>
      <c r="Q31" s="431">
        <f>SUM(I4,I9,I14,I19,I24,I29)-I38</f>
        <v>50000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1912851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429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SUMIFS(RAW!$G$2:$G$10018,RAW!$B$2:$B$10018,$T$1,RAW!$H$2:$H$10018,"수입",RAW!$J$2:$J$10018,"용돈")</f>
        <v>50000</v>
      </c>
      <c r="D38" s="27"/>
      <c r="E38" s="27" t="s">
        <v>622</v>
      </c>
      <c r="F38" s="27"/>
      <c r="G38" s="27"/>
      <c r="H38" s="27">
        <f>I33-50000-'_예비비계산'!AG10</f>
        <v>1862851</v>
      </c>
      <c r="I38" s="27">
        <f>SUM(I4,I9,I14,I19,I24,I29)-50000-'_예비비계산'!AH10</f>
        <v>1905000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SUMIFS(RAW!$G$2:$G$10018,RAW!$B$2:$B$10018,$T$1,RAW!$H$2:$H$10018,"수입",RAW!$J$2:$J$10018,"상여")</f>
        <v>300000</v>
      </c>
      <c r="D39" s="27"/>
      <c r="E39" s="49" t="s">
        <v>528</v>
      </c>
      <c r="F39" s="27"/>
      <c r="G39" s="27"/>
      <c r="H39" s="27">
        <f>I62</f>
        <v>161000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161000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3126050</v>
      </c>
      <c r="D41" s="27"/>
      <c r="E41" s="49" t="s">
        <v>534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4278097</v>
      </c>
      <c r="I44" s="37">
        <f>SUM(I37:I42)+I47-I43</f>
        <v>4328000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64" customHeight="1">
      <c r="A52" s="96">
        <v>46275</v>
      </c>
      <c r="B52" s="35" t="s">
        <v>672</v>
      </c>
      <c r="C52" s="35" t="s">
        <v>673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s">
        <v>674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RAW!A2080</f>
        <v>46266.84861246528</v>
      </c>
      <c r="B53" s="35" t="s">
        <v>603</v>
      </c>
      <c r="C53" s="35" t="s">
        <v>675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s">
        <v>676</v>
      </c>
      <c r="J53" s="12"/>
      <c r="K53" s="50" t="s">
        <v>555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RAW!A2286</f>
        <v>46292.87639164352</v>
      </c>
      <c r="B54" s="35" t="s">
        <v>603</v>
      </c>
      <c r="C54" s="35" t="s">
        <v>677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s">
        <v>678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161000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'_예비비계산'!AB10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71" t="s">
        <v>679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'_예비비계산'!AC10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'_예비비계산'!AD10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30" t="s">
        <v>680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'_예비비계산'!AE10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'_예비비계산'!AF10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70" t="s">
        <v>681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2"/>
    </row>
  </sheetData>
  <mergeCells count="37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682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434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434000</v>
      </c>
      <c r="AA3">
        <v>434</v>
      </c>
    </row>
    <row r="4" spans="1:27" ht="18" customHeight="1">
      <c r="A4" s="122" t="s">
        <v>576</v>
      </c>
      <c r="B4" s="130"/>
      <c r="C4" s="124">
        <f>IFERROR(colorfunction(B4,$B$15:$U$144,FALSE),$AA$4)</f>
        <v>165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165000</v>
      </c>
      <c r="AA4">
        <v>165</v>
      </c>
    </row>
    <row r="5" spans="1:27" ht="18" customHeight="1">
      <c r="A5" s="122" t="s">
        <v>577</v>
      </c>
      <c r="B5" s="132"/>
      <c r="C5" s="124">
        <f>IFERROR(colorfunction(B5,$B$15:$U$144,FALSE),$AA$5)</f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441000</v>
      </c>
      <c r="AA5">
        <v>441</v>
      </c>
    </row>
    <row r="6" spans="1:27" ht="18" customHeight="1">
      <c r="A6" s="122" t="s">
        <v>578</v>
      </c>
      <c r="B6" s="133"/>
      <c r="C6" s="124">
        <f>IFERROR(colorfunction(B6,$B$15:$U$144,FALSE),$AA$6)</f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318000</v>
      </c>
      <c r="AA6">
        <v>318</v>
      </c>
    </row>
    <row r="7" spans="1:27" ht="18" customHeight="1">
      <c r="A7" s="122" t="s">
        <v>579</v>
      </c>
      <c r="B7" s="134"/>
      <c r="C7" s="124">
        <f>IFERROR(colorfunction(B7,$B$15:$U$144,FALSE),$AA$7)</f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124000</v>
      </c>
      <c r="AA7">
        <v>124</v>
      </c>
    </row>
    <row r="8" spans="1:27" ht="18" customHeight="1">
      <c r="A8" s="122" t="s">
        <v>580</v>
      </c>
      <c r="B8" s="135"/>
      <c r="C8" s="124">
        <f>IFERROR(colorfunction(B8,$B$15:$U$144,FALSE),$AA$8)</f>
        <v>68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68000</v>
      </c>
      <c r="AA8">
        <v>68</v>
      </c>
    </row>
    <row r="9" spans="1:27" ht="18" customHeight="1">
      <c r="A9" s="122" t="s">
        <v>581</v>
      </c>
      <c r="B9" s="136"/>
      <c r="C9" s="124">
        <f>IFERROR(colorfunction(B9,$B$15:$U$144,FALSE),$AA$9)</f>
        <v>211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211000</v>
      </c>
      <c r="AA9">
        <v>211</v>
      </c>
    </row>
    <row r="10" spans="1:27" ht="18" customHeight="1">
      <c r="A10" s="122" t="s">
        <v>582</v>
      </c>
      <c r="B10" s="137"/>
      <c r="C10" s="124">
        <f>IFERROR(colorfunction(B10,$B$15:$U$144,FALSE),$AA$10)</f>
        <v>146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146000</v>
      </c>
      <c r="AA10">
        <v>146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1955000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1905000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CEILING(RAW!K2203,1000)+'_예비비계산'!AH10</f>
        <v>50000</v>
      </c>
    </row>
    <row r="15" spans="1:27" ht="12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304" t="s">
        <v>585</v>
      </c>
      <c r="W15" s="305">
        <f>AA15</f>
        <v>50000</v>
      </c>
      <c r="AA15">
        <f>CEILING(RAW!K2203,1000)</f>
        <v>50000</v>
      </c>
    </row>
    <row r="16" spans="1:27" ht="12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304" t="s">
        <v>232</v>
      </c>
      <c r="W16" s="305">
        <f>SUM(W3:W10)</f>
        <v>1907000</v>
      </c>
    </row>
    <row r="17" spans="1:27" ht="12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306" t="s">
        <v>586</v>
      </c>
      <c r="W17" s="307">
        <f>AA17</f>
        <v>2000</v>
      </c>
      <c r="AA17">
        <f>CEILING(RAW!K2085,1000)</f>
        <v>2000</v>
      </c>
    </row>
    <row r="18" spans="1:27" ht="12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7" ht="12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7" ht="12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7" ht="12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7" ht="12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7" ht="12" customHeight="1" thickBot="1">
      <c r="A24" s="146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7" ht="12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7" ht="12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7" ht="12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2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2" customHeight="1" thickBot="1">
      <c r="A34" s="146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2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2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2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2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2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2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2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2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2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2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2" customHeight="1" thickBot="1">
      <c r="A49" s="146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2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2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2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2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2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2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2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2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2" customHeight="1" thickBot="1">
      <c r="A64" s="146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2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2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2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2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2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2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2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2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2" customHeight="1" thickBot="1">
      <c r="A79" s="146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2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2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2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2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2" customHeight="1" thickBot="1">
      <c r="A84" s="146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2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2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2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2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2" customHeight="1" thickBot="1">
      <c r="A89" s="146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2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2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2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2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2" customHeight="1" thickBot="1">
      <c r="A94" s="146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2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206"/>
      <c r="V95" s="127"/>
      <c r="W95" s="127"/>
    </row>
    <row r="96" spans="1:23" ht="12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207"/>
      <c r="U96" s="208"/>
      <c r="V96" s="127"/>
      <c r="W96" s="127"/>
    </row>
    <row r="97" spans="1:23" ht="12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207"/>
      <c r="U97" s="208"/>
      <c r="V97" s="127"/>
      <c r="W97" s="127"/>
    </row>
    <row r="98" spans="1:23" ht="12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209"/>
      <c r="U98" s="210"/>
      <c r="V98" s="127"/>
      <c r="W98" s="127"/>
    </row>
    <row r="99" spans="1:23" ht="12" customHeight="1" thickBot="1">
      <c r="A99" s="146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211"/>
      <c r="U99" s="212"/>
      <c r="V99" s="127"/>
      <c r="W99" s="127"/>
    </row>
    <row r="100" spans="1:23" ht="12" customHeight="1">
      <c r="A100" s="127"/>
      <c r="B100" s="213"/>
      <c r="C100" s="214"/>
      <c r="D100" s="213"/>
      <c r="E100" s="214"/>
      <c r="F100" s="213"/>
      <c r="G100" s="214"/>
      <c r="H100" s="215"/>
      <c r="I100" s="206"/>
      <c r="J100" s="215"/>
      <c r="K100" s="206"/>
      <c r="L100" s="215"/>
      <c r="M100" s="206"/>
      <c r="N100" s="215"/>
      <c r="O100" s="206"/>
      <c r="P100" s="215"/>
      <c r="Q100" s="216"/>
      <c r="R100" s="217"/>
      <c r="S100" s="216"/>
      <c r="T100" s="217"/>
      <c r="U100" s="216"/>
      <c r="V100" s="127"/>
      <c r="W100" s="127"/>
    </row>
    <row r="101" spans="1:23" ht="12" customHeight="1">
      <c r="A101" s="127"/>
      <c r="B101" s="218"/>
      <c r="C101" s="219"/>
      <c r="D101" s="218"/>
      <c r="E101" s="219"/>
      <c r="F101" s="218"/>
      <c r="G101" s="219"/>
      <c r="H101" s="218"/>
      <c r="I101" s="219"/>
      <c r="J101" s="218"/>
      <c r="K101" s="219"/>
      <c r="L101" s="218"/>
      <c r="M101" s="219"/>
      <c r="N101" s="218"/>
      <c r="O101" s="219"/>
      <c r="P101" s="218"/>
      <c r="Q101" s="219"/>
      <c r="R101" s="218"/>
      <c r="S101" s="219"/>
      <c r="T101" s="218"/>
      <c r="U101" s="219"/>
      <c r="V101" s="127"/>
      <c r="W101" s="127"/>
    </row>
    <row r="102" spans="1:23" ht="12" customHeight="1">
      <c r="A102" s="127"/>
      <c r="B102" s="218"/>
      <c r="C102" s="219"/>
      <c r="D102" s="218"/>
      <c r="E102" s="219"/>
      <c r="F102" s="218"/>
      <c r="G102" s="219"/>
      <c r="H102" s="218"/>
      <c r="I102" s="219"/>
      <c r="J102" s="218"/>
      <c r="K102" s="219"/>
      <c r="L102" s="218"/>
      <c r="M102" s="219"/>
      <c r="N102" s="218"/>
      <c r="O102" s="219"/>
      <c r="P102" s="218"/>
      <c r="Q102" s="219"/>
      <c r="R102" s="218"/>
      <c r="S102" s="219"/>
      <c r="T102" s="207"/>
      <c r="U102" s="208"/>
      <c r="V102" s="127"/>
      <c r="W102" s="127"/>
    </row>
    <row r="103" spans="1:23" ht="12" customHeight="1">
      <c r="A103" s="127"/>
      <c r="B103" s="207"/>
      <c r="C103" s="208"/>
      <c r="D103" s="207"/>
      <c r="E103" s="208"/>
      <c r="F103" s="207"/>
      <c r="G103" s="208"/>
      <c r="H103" s="220"/>
      <c r="I103" s="221"/>
      <c r="J103" s="220"/>
      <c r="K103" s="221"/>
      <c r="L103" s="220"/>
      <c r="M103" s="221"/>
      <c r="N103" s="220"/>
      <c r="O103" s="221"/>
      <c r="P103" s="220"/>
      <c r="Q103" s="221"/>
      <c r="R103" s="220"/>
      <c r="S103" s="221"/>
      <c r="T103" s="220"/>
      <c r="U103" s="221"/>
      <c r="V103" s="127"/>
      <c r="W103" s="127"/>
    </row>
    <row r="104" spans="1:23" ht="12" customHeight="1" thickBot="1">
      <c r="A104" s="146">
        <v>18</v>
      </c>
      <c r="B104" s="222"/>
      <c r="C104" s="223"/>
      <c r="D104" s="222"/>
      <c r="E104" s="223"/>
      <c r="F104" s="222"/>
      <c r="G104" s="223"/>
      <c r="H104" s="222"/>
      <c r="I104" s="223"/>
      <c r="J104" s="222"/>
      <c r="K104" s="223"/>
      <c r="L104" s="222"/>
      <c r="M104" s="223"/>
      <c r="N104" s="222"/>
      <c r="O104" s="223"/>
      <c r="P104" s="222"/>
      <c r="Q104" s="223"/>
      <c r="R104" s="222"/>
      <c r="S104" s="223"/>
      <c r="T104" s="222"/>
      <c r="U104" s="223"/>
      <c r="V104" s="127"/>
      <c r="W104" s="127"/>
    </row>
    <row r="105" spans="1:23" ht="12" customHeight="1">
      <c r="A105" s="127"/>
      <c r="B105" s="224"/>
      <c r="C105" s="225"/>
      <c r="D105" s="224"/>
      <c r="E105" s="225"/>
      <c r="F105" s="224"/>
      <c r="G105" s="225"/>
      <c r="H105" s="224"/>
      <c r="I105" s="225"/>
      <c r="J105" s="224"/>
      <c r="K105" s="225"/>
      <c r="L105" s="224"/>
      <c r="M105" s="225"/>
      <c r="N105" s="224"/>
      <c r="O105" s="225"/>
      <c r="P105" s="224"/>
      <c r="Q105" s="225"/>
      <c r="R105" s="224"/>
      <c r="S105" s="225"/>
      <c r="T105" s="224"/>
      <c r="U105" s="225"/>
      <c r="V105" s="127"/>
      <c r="W105" s="127"/>
    </row>
    <row r="106" spans="1:23" ht="12" customHeight="1">
      <c r="A106" s="127"/>
      <c r="B106" s="220"/>
      <c r="C106" s="221"/>
      <c r="D106" s="220"/>
      <c r="E106" s="221"/>
      <c r="F106" s="220"/>
      <c r="G106" s="221"/>
      <c r="H106" s="220"/>
      <c r="I106" s="221"/>
      <c r="J106" s="220"/>
      <c r="K106" s="221"/>
      <c r="L106" s="220"/>
      <c r="M106" s="221"/>
      <c r="N106" s="220"/>
      <c r="O106" s="221"/>
      <c r="P106" s="226"/>
      <c r="Q106" s="227"/>
      <c r="R106" s="226"/>
      <c r="S106" s="227"/>
      <c r="T106" s="226"/>
      <c r="U106" s="227"/>
      <c r="V106" s="127"/>
      <c r="W106" s="127"/>
    </row>
    <row r="107" spans="1:23" ht="12" customHeight="1">
      <c r="A107" s="127"/>
      <c r="B107" s="226"/>
      <c r="C107" s="227"/>
      <c r="D107" s="226"/>
      <c r="E107" s="227"/>
      <c r="F107" s="226"/>
      <c r="G107" s="227"/>
      <c r="H107" s="226"/>
      <c r="I107" s="227"/>
      <c r="J107" s="226"/>
      <c r="K107" s="227"/>
      <c r="L107" s="226"/>
      <c r="M107" s="227"/>
      <c r="N107" s="226"/>
      <c r="O107" s="219"/>
      <c r="P107" s="218"/>
      <c r="Q107" s="219"/>
      <c r="R107" s="218"/>
      <c r="S107" s="219"/>
      <c r="T107" s="218"/>
      <c r="U107" s="219"/>
      <c r="V107" s="127"/>
      <c r="W107" s="127"/>
    </row>
    <row r="108" spans="1:23" ht="12" customHeight="1">
      <c r="A108" s="127"/>
      <c r="B108" s="218"/>
      <c r="C108" s="219"/>
      <c r="D108" s="218"/>
      <c r="E108" s="219"/>
      <c r="F108" s="218"/>
      <c r="G108" s="219"/>
      <c r="H108" s="218"/>
      <c r="I108" s="219"/>
      <c r="J108" s="218"/>
      <c r="K108" s="219"/>
      <c r="L108" s="218"/>
      <c r="M108" s="219"/>
      <c r="N108" s="218"/>
      <c r="O108" s="219"/>
      <c r="P108" s="218"/>
      <c r="Q108" s="219"/>
      <c r="R108" s="218"/>
      <c r="S108" s="219"/>
      <c r="T108" s="218"/>
      <c r="U108" s="219"/>
      <c r="V108" s="127"/>
      <c r="W108" s="127"/>
    </row>
    <row r="109" spans="1:23" ht="12" customHeight="1" thickBot="1">
      <c r="A109" s="146">
        <v>19</v>
      </c>
      <c r="B109" s="228"/>
      <c r="C109" s="229"/>
      <c r="D109" s="228"/>
      <c r="E109" s="229"/>
      <c r="F109" s="211"/>
      <c r="G109" s="212"/>
      <c r="H109" s="211"/>
      <c r="I109" s="212"/>
      <c r="J109" s="211"/>
      <c r="K109" s="230"/>
      <c r="L109" s="231"/>
      <c r="M109" s="230"/>
      <c r="N109" s="231"/>
      <c r="O109" s="230"/>
      <c r="P109" s="231"/>
      <c r="Q109" s="230"/>
      <c r="R109" s="207"/>
      <c r="S109" s="230"/>
      <c r="T109" s="231"/>
      <c r="U109" s="230"/>
      <c r="V109" s="127"/>
      <c r="W109" s="127"/>
    </row>
    <row r="110" spans="1:23" ht="12" customHeight="1">
      <c r="A110" s="127"/>
      <c r="B110" s="215"/>
      <c r="C110" s="206"/>
      <c r="D110" s="213"/>
      <c r="E110" s="214"/>
      <c r="F110" s="213"/>
      <c r="G110" s="214"/>
      <c r="H110" s="213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HYPERLINK("#'9월'!A1","← 9월 월간 가계부로 돌아가기")</f>
        <v>← 9월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1955000</v>
      </c>
      <c r="J149" s="366"/>
      <c r="K149" s="366"/>
      <c r="L149" s="366"/>
      <c r="M149" s="366"/>
      <c r="N149" s="367"/>
      <c r="O149" s="423" t="b">
        <f>IF('9월'!AA1,I149=('9월'!M28),"미입력")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1905000</v>
      </c>
      <c r="J150" s="366"/>
      <c r="K150" s="366"/>
      <c r="L150" s="366"/>
      <c r="M150" s="366"/>
      <c r="N150" s="367"/>
      <c r="O150" s="423" t="b">
        <f>IF('9월'!AA1,I150=('9월'!I38),"미입력")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50000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50000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683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A127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46296</v>
      </c>
      <c r="U1" s="110">
        <v>46313.0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  <c r="V3" s="115" t="s">
        <v>244</v>
      </c>
    </row>
    <row r="4" spans="1:27" ht="29" customHeight="1">
      <c r="A4" s="31" t="s">
        <v>446</v>
      </c>
      <c r="B4" s="27"/>
      <c r="C4" s="27"/>
      <c r="D4" s="27"/>
      <c r="E4" s="99">
        <v>18000</v>
      </c>
      <c r="F4" s="99">
        <v>31000</v>
      </c>
      <c r="G4" s="99">
        <v>5000</v>
      </c>
      <c r="H4" s="99">
        <v>114000</v>
      </c>
      <c r="I4" s="45">
        <f>SUM(B4:H4)</f>
        <v>168000</v>
      </c>
      <c r="J4" s="12"/>
      <c r="K4" s="31" t="s">
        <v>82</v>
      </c>
      <c r="L4" s="31"/>
      <c r="M4" s="27" t="s">
        <v>449</v>
      </c>
      <c r="N4" s="27" t="s">
        <v>647</v>
      </c>
      <c r="O4" s="97">
        <v>391000</v>
      </c>
      <c r="P4" s="102"/>
      <c r="Q4" s="103">
        <f t="shared" ref="Q4:Q24" si="0">IF(COUNTA(O4:P4)=0,"",O4-P4)</f>
        <v>391000</v>
      </c>
      <c r="R4" s="103">
        <f t="shared" ref="R4:R24" si="1">IF(Q4="","",ROUNDUP(Q4,-3))</f>
        <v>391000</v>
      </c>
      <c r="S4" s="27"/>
      <c r="T4" s="27"/>
      <c r="U4" s="97" t="s">
        <v>685</v>
      </c>
      <c r="V4" s="116" t="inlineStr">
        <is>
          <t xml:space="preserve">10/18 RAW 집계에 없음 · 예정액 유지</t>
        </is>
      </c>
    </row>
    <row r="5" spans="1:27" ht="29" customHeight="1">
      <c r="A5" s="31" t="s">
        <v>445</v>
      </c>
      <c r="B5" s="27"/>
      <c r="C5" s="27"/>
      <c r="D5" s="27"/>
      <c r="E5" s="99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</f>
        <v>17300</v>
      </c>
      <c r="F5" s="99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</f>
        <v>30500</v>
      </c>
      <c r="G5" s="99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</f>
        <v>5000</v>
      </c>
      <c r="H5" s="99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</f>
        <v>112890</v>
      </c>
      <c r="I5" s="45">
        <f>SUM(B5:H5)</f>
        <v>165690</v>
      </c>
      <c r="J5" s="12"/>
      <c r="K5" s="38" t="s">
        <v>451</v>
      </c>
      <c r="L5" s="38" t="s">
        <v>687</v>
      </c>
      <c r="M5" s="34" t="s">
        <v>453</v>
      </c>
      <c r="N5" s="34" t="s">
        <v>454</v>
      </c>
      <c r="O5" s="97">
        <v>170350</v>
      </c>
      <c r="P5" s="102"/>
      <c r="Q5" s="104">
        <f t="shared" si="0"/>
        <v>170350</v>
      </c>
      <c r="R5" s="104">
        <f t="shared" si="1"/>
        <v>171000</v>
      </c>
      <c r="S5" s="34"/>
      <c r="T5" s="34" t="s">
        <v>455</v>
      </c>
      <c r="U5" s="97" t="s">
        <v>685</v>
      </c>
      <c r="V5" s="117" t="inlineStr">
        <is>
          <t xml:space="preserve">10/18 RAW 집계에 없음 · 예정액 유지</t>
        </is>
      </c>
    </row>
    <row r="6" spans="1:27" ht="29" customHeight="1">
      <c r="A6" s="31" t="s">
        <v>323</v>
      </c>
      <c r="B6" s="27"/>
      <c r="C6" s="27"/>
      <c r="D6" s="27"/>
      <c r="E6" s="27">
        <f>IF(E3&gt;$U$1,"",E4-E5)</f>
        <v>700</v>
      </c>
      <c r="F6" s="27">
        <f>IF(F3&gt;$U$1,"",F4-F5)</f>
        <v>500</v>
      </c>
      <c r="G6" s="27">
        <f>IF(G3&gt;$U$1,"",G4-G5)</f>
        <v>0</v>
      </c>
      <c r="H6" s="27">
        <f>IF(H3&gt;$U$1,"",H4-H5)</f>
        <v>1110</v>
      </c>
      <c r="I6" s="45">
        <f>SUM(B6:H6)</f>
        <v>2310</v>
      </c>
      <c r="J6" s="12"/>
      <c r="K6" s="31" t="s">
        <v>456</v>
      </c>
      <c r="L6" s="31" t="s">
        <v>687</v>
      </c>
      <c r="M6" s="27" t="s">
        <v>453</v>
      </c>
      <c r="N6" s="27" t="s">
        <v>457</v>
      </c>
      <c r="O6" s="97">
        <v>7690</v>
      </c>
      <c r="P6" s="102"/>
      <c r="Q6" s="103">
        <f t="shared" si="0"/>
        <v>7690</v>
      </c>
      <c r="R6" s="103">
        <f t="shared" si="1"/>
        <v>8000</v>
      </c>
      <c r="S6" s="27"/>
      <c r="T6" s="27" t="s">
        <v>455</v>
      </c>
      <c r="U6" s="97" t="s">
        <v>685</v>
      </c>
      <c r="V6" s="116" t="inlineStr">
        <is>
          <t xml:space="preserve">10/18 RAW 집계에 없음 · 예정액 유지</t>
        </is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97">
        <v>143506</v>
      </c>
      <c r="P7" s="102"/>
      <c r="Q7" s="104">
        <f t="shared" si="0"/>
        <v>143506</v>
      </c>
      <c r="R7" s="104">
        <f t="shared" si="1"/>
        <v>144000</v>
      </c>
      <c r="S7" s="34"/>
      <c r="T7" s="34" t="s">
        <v>461</v>
      </c>
      <c r="U7" s="97" t="s">
        <v>685</v>
      </c>
      <c r="V7" s="117" t="inlineStr">
        <is>
          <t xml:space="preserve">10/18 RAW 집계에 없음 · 예정액 유지</t>
        </is>
      </c>
    </row>
    <row r="8" spans="1:27" ht="29" customHeight="1">
      <c r="A8" s="39" t="s">
        <v>462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111">
        <f>RAW!G2435</f>
        <v>53620</v>
      </c>
      <c r="P8" s="102">
        <v>0</v>
      </c>
      <c r="Q8" s="103">
        <f t="shared" si="0"/>
        <v>53620</v>
      </c>
      <c r="R8" s="103">
        <f t="shared" si="1"/>
        <v>54000</v>
      </c>
      <c r="S8" s="27"/>
      <c r="T8" s="27" t="s">
        <v>455</v>
      </c>
      <c r="U8" s="97" t="s">
        <v>688</v>
      </c>
      <c r="V8" s="116" t="inlineStr">
        <is>
          <t xml:space="preserve">10/18 기준 RAW 확인 · 10/12 거래</t>
        </is>
      </c>
    </row>
    <row r="9" spans="1:27" ht="29" customHeight="1">
      <c r="A9" s="31" t="s">
        <v>446</v>
      </c>
      <c r="B9" s="99">
        <v>184000</v>
      </c>
      <c r="C9" s="35">
        <v>130000</v>
      </c>
      <c r="D9" s="35">
        <v>128000</v>
      </c>
      <c r="E9" s="35">
        <v>128000</v>
      </c>
      <c r="F9" s="35">
        <v>175000</v>
      </c>
      <c r="G9" s="35">
        <v>42000</v>
      </c>
      <c r="H9" s="35">
        <v>38000</v>
      </c>
      <c r="I9" s="45">
        <f>SUM(B9:H9)</f>
        <v>825000</v>
      </c>
      <c r="J9" s="12"/>
      <c r="K9" s="38"/>
      <c r="L9" s="38" t="s">
        <v>466</v>
      </c>
      <c r="M9" s="34" t="s">
        <v>467</v>
      </c>
      <c r="N9" s="34" t="s">
        <v>468</v>
      </c>
      <c r="O9" s="97">
        <v>10</v>
      </c>
      <c r="P9" s="102"/>
      <c r="Q9" s="104">
        <f t="shared" si="0"/>
        <v>10</v>
      </c>
      <c r="R9" s="104">
        <f t="shared" si="1"/>
        <v>1000</v>
      </c>
      <c r="S9" s="34"/>
      <c r="T9" s="34" t="s">
        <v>455</v>
      </c>
      <c r="U9" s="97" t="s">
        <v>685</v>
      </c>
      <c r="V9" s="117" t="inlineStr">
        <is>
          <t xml:space="preserve">10/18 RAW 집계에 없음 · 예정액 유지 · 원본 예정액 10원 확인 필요</t>
        </is>
      </c>
    </row>
    <row r="10" spans="1:27" ht="29" customHeight="1">
      <c r="A10" s="31" t="s">
        <v>445</v>
      </c>
      <c r="B10" s="99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</f>
        <v>181550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</f>
        <v>127860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</f>
        <v>125870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</f>
        <v>125800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</f>
        <v>170550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</f>
        <v>40800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</f>
        <v>37700</v>
      </c>
      <c r="I10" s="45">
        <f>SUM(B10:H10)</f>
        <v>810130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111">
        <f>RAW!G2427</f>
        <v>27610</v>
      </c>
      <c r="P10" s="102">
        <v>0</v>
      </c>
      <c r="Q10" s="103">
        <f t="shared" si="0"/>
        <v>27610</v>
      </c>
      <c r="R10" s="103">
        <f t="shared" si="1"/>
        <v>28000</v>
      </c>
      <c r="S10" s="27"/>
      <c r="T10" s="27" t="s">
        <v>455</v>
      </c>
      <c r="U10" s="97" t="s">
        <v>688</v>
      </c>
      <c r="V10" s="116" t="inlineStr">
        <is>
          <t xml:space="preserve">10/18 기준 RAW 확인 · 10/12 거래</t>
        </is>
      </c>
    </row>
    <row r="11" spans="1:27" ht="29" customHeight="1">
      <c r="A11" s="31" t="s">
        <v>323</v>
      </c>
      <c r="B11" s="27">
        <f t="shared" ref="B11:H11" si="2">IF(B8&gt;$U$1,"",B9-B10)</f>
        <v>2450</v>
      </c>
      <c r="C11" s="27">
        <f t="shared" si="2"/>
        <v>2140</v>
      </c>
      <c r="D11" s="27">
        <f t="shared" si="2"/>
        <v>2130</v>
      </c>
      <c r="E11" s="27">
        <f t="shared" si="2"/>
        <v>2200</v>
      </c>
      <c r="F11" s="27">
        <f t="shared" si="2"/>
        <v>4450</v>
      </c>
      <c r="G11" s="27">
        <f t="shared" si="2"/>
        <v>1200</v>
      </c>
      <c r="H11" s="27">
        <f t="shared" si="2"/>
        <v>300</v>
      </c>
      <c r="I11" s="45">
        <f>SUM(B11:H11)</f>
        <v>14870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111">
        <f>RAW!G2438</f>
        <v>136350</v>
      </c>
      <c r="P11" s="102">
        <v>0</v>
      </c>
      <c r="Q11" s="104">
        <f t="shared" si="0"/>
        <v>136350</v>
      </c>
      <c r="R11" s="104">
        <f t="shared" si="1"/>
        <v>137000</v>
      </c>
      <c r="S11" s="34"/>
      <c r="T11" s="34" t="s">
        <v>455</v>
      </c>
      <c r="U11" s="97" t="s">
        <v>688</v>
      </c>
      <c r="V11" s="117" t="inlineStr">
        <is>
          <t xml:space="preserve">10/18 기준 RAW 확인 · 10/12 거래</t>
        </is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691</v>
      </c>
      <c r="M12" s="27" t="s">
        <v>467</v>
      </c>
      <c r="N12" s="27">
        <v>4</v>
      </c>
      <c r="O12" s="112">
        <f>RAW!G2353</f>
        <v>4900</v>
      </c>
      <c r="P12" s="99">
        <v>0</v>
      </c>
      <c r="Q12" s="100">
        <f t="shared" si="0"/>
        <v>4900</v>
      </c>
      <c r="R12" s="100">
        <f t="shared" si="1"/>
        <v>5000</v>
      </c>
      <c r="S12" s="27"/>
      <c r="T12" s="27" t="s">
        <v>494</v>
      </c>
      <c r="U12" s="100" t="s">
        <v>688</v>
      </c>
      <c r="V12" s="116" t="inlineStr">
        <is>
          <t xml:space="preserve">10/18 기준 RAW 확인 · 10/04 거래</t>
        </is>
      </c>
    </row>
    <row r="13" spans="1:27" ht="29" customHeight="1">
      <c r="A13" s="39" t="s">
        <v>480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111">
        <f>RAW!G2444</f>
        <v>90410</v>
      </c>
      <c r="P13" s="102">
        <v>0</v>
      </c>
      <c r="Q13" s="104">
        <f t="shared" si="0"/>
        <v>90410</v>
      </c>
      <c r="R13" s="104">
        <f t="shared" si="1"/>
        <v>91000</v>
      </c>
      <c r="S13" s="34"/>
      <c r="T13" s="34" t="s">
        <v>455</v>
      </c>
      <c r="U13" s="97" t="s">
        <v>688</v>
      </c>
      <c r="V13" s="117" t="inlineStr">
        <is>
          <t xml:space="preserve">10/13 RAW 2444행 실제 이자 90,410원 확인. 10/12 준비 이체와 분리. 9월 결제방식 유지.</t>
        </is>
      </c>
    </row>
    <row r="14" spans="1:27" ht="29" customHeight="1">
      <c r="A14" s="31" t="s">
        <v>446</v>
      </c>
      <c r="B14" s="35">
        <v>240000</v>
      </c>
      <c r="C14" s="35">
        <f>CEILING(RAW!K2447,1000)</f>
        <v>5000</v>
      </c>
      <c r="D14" s="35">
        <f>SUMPRODUCT((RAW!$A$2323:$A$2486&gt;=D13)*(RAW!$A$2323:$A$2486&lt;D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63000</v>
      </c>
      <c r="E14" s="35">
        <f>SUMPRODUCT((RAW!$A$2323:$A$2486&gt;=E13)*(RAW!$A$2323:$A$2486&lt;E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20000</v>
      </c>
      <c r="F14" s="35">
        <f>SUMPRODUCT((RAW!$A$2323:$A$2486&gt;=F13)*(RAW!$A$2323:$A$2486&lt;F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23000</v>
      </c>
      <c r="G14" s="35">
        <f>SUMPRODUCT((RAW!$A$2323:$A$2486&gt;=G13)*(RAW!$A$2323:$A$2486&lt;G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63000</v>
      </c>
      <c r="H14" s="35">
        <f>SUMPRODUCT((RAW!$A$2323:$A$2486&gt;=H13)*(RAW!$A$2323:$A$2486&lt;H13+1)*(RAW!$H$2323:$H$2486="지출")*(RAW!$L$2323:$L$2486="본인")*((RAW!$J$2323:$J$2486="경조·선물")+(RAW!$J$2323:$J$2486="담배")+(RAW!$J$2323:$J$2486="변동비")+(RAW!$J$2323:$J$2486="약속·만남")+(RAW!$J$2323:$J$2486="여행")+(RAW!$J$2323:$J$2486="일회성전자"))*ROUNDUP(RAW!$K$2323:$K$2486/1000,0)*1000)</f>
        <v>94000</v>
      </c>
      <c r="I14" s="45">
        <f>SUM(B14:H14)</f>
        <v>508000</v>
      </c>
      <c r="J14" s="12"/>
      <c r="K14" s="31" t="s">
        <v>485</v>
      </c>
      <c r="L14" s="31" t="s">
        <v>694</v>
      </c>
      <c r="M14" s="27" t="s">
        <v>467</v>
      </c>
      <c r="N14" s="27">
        <v>4</v>
      </c>
      <c r="O14" s="112">
        <f>RAW!G2351</f>
        <v>45267</v>
      </c>
      <c r="P14" s="99">
        <v>0</v>
      </c>
      <c r="Q14" s="100">
        <f t="shared" si="0"/>
        <v>45267</v>
      </c>
      <c r="R14" s="100">
        <f t="shared" si="1"/>
        <v>46000</v>
      </c>
      <c r="S14" s="27"/>
      <c r="T14" s="27"/>
      <c r="U14" s="100" t="s">
        <v>688</v>
      </c>
      <c r="V14" s="116" t="inlineStr">
        <is>
          <t xml:space="preserve">10/18 기준 RAW 확인 · 10/04 거래 · 9월 동일 항목 없음(결제방식 미기재)</t>
        </is>
      </c>
    </row>
    <row r="15" spans="1:27" ht="29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</f>
        <v>238120</v>
      </c>
      <c r="C15" s="35">
        <f>RAW!K2447</f>
        <v>4500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경조·선물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일회성전자")+SUMIFS(RAW!$K$2:$K$10018,RAW!$A$2:$A$10018,"&gt;="&amp;D13,RAW!$A$2:$A$10018,"&lt;"&amp;D13+1,RAW!$H$2:$H$10018,"지출",RAW!$L$2:$L$10018,"본인",RAW!$J$2:$J$10018,"여행")</f>
        <v>62400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경조·선물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일회성전자")+SUMIFS(RAW!$K$2:$K$10018,RAW!$A$2:$A$10018,"&gt;="&amp;E13,RAW!$A$2:$A$10018,"&lt;"&amp;E13+1,RAW!$H$2:$H$10018,"지출",RAW!$L$2:$L$10018,"본인",RAW!$J$2:$J$10018,"여행")</f>
        <v>18900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경조·선물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일회성전자")+SUMIFS(RAW!$K$2:$K$10018,RAW!$A$2:$A$10018,"&gt;="&amp;F13,RAW!$A$2:$A$10018,"&lt;"&amp;F13+1,RAW!$H$2:$H$10018,"지출",RAW!$L$2:$L$10018,"본인",RAW!$J$2:$J$10018,"여행")</f>
        <v>22900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경조·선물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일회성전자")+SUMIFS(RAW!$K$2:$K$10018,RAW!$A$2:$A$10018,"&gt;="&amp;G13,RAW!$A$2:$A$10018,"&lt;"&amp;G13+1,RAW!$H$2:$H$10018,"지출",RAW!$L$2:$L$10018,"본인",RAW!$J$2:$J$10018,"여행")</f>
        <v>61630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경조·선물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일회성전자")+SUMIFS(RAW!$K$2:$K$10018,RAW!$A$2:$A$10018,"&gt;="&amp;H13,RAW!$A$2:$A$10018,"&lt;"&amp;H13+1,RAW!$H$2:$H$10018,"지출",RAW!$L$2:$L$10018,"본인",RAW!$J$2:$J$10018,"여행")</f>
        <v>92630</v>
      </c>
      <c r="I15" s="45">
        <f>SUM(B15:H15)</f>
        <v>501080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97">
        <v>29000</v>
      </c>
      <c r="P15" s="102"/>
      <c r="Q15" s="104">
        <f t="shared" si="0"/>
        <v>29000</v>
      </c>
      <c r="R15" s="104">
        <f t="shared" si="1"/>
        <v>29000</v>
      </c>
      <c r="S15" s="34"/>
      <c r="T15" s="34"/>
      <c r="U15" s="97" t="s">
        <v>685</v>
      </c>
      <c r="V15" s="117" t="inlineStr">
        <is>
          <t xml:space="preserve">10/18 RAW 집계에 없음 · 예정액 유지</t>
        </is>
      </c>
    </row>
    <row r="16" spans="1:27" ht="29" customHeight="1">
      <c r="A16" s="31" t="s">
        <v>323</v>
      </c>
      <c r="B16" s="27">
        <f t="shared" ref="B16:H16" si="3">IF(B13&gt;$U$1,"",B14-B15)</f>
        <v>1880</v>
      </c>
      <c r="C16" s="27">
        <f t="shared" si="3"/>
        <v>500</v>
      </c>
      <c r="D16" s="27">
        <f t="shared" si="3"/>
        <v>600</v>
      </c>
      <c r="E16" s="27">
        <f t="shared" si="3"/>
        <v>1100</v>
      </c>
      <c r="F16" s="27">
        <f t="shared" si="3"/>
        <v>100</v>
      </c>
      <c r="G16" s="27">
        <f t="shared" si="3"/>
        <v>1370</v>
      </c>
      <c r="H16" s="27">
        <f t="shared" si="3"/>
        <v>1370</v>
      </c>
      <c r="I16" s="45">
        <f>SUM(B16:H16)</f>
        <v>6920</v>
      </c>
      <c r="J16" s="12"/>
      <c r="K16" s="31"/>
      <c r="L16" s="31" t="s">
        <v>486</v>
      </c>
      <c r="M16" s="27" t="s">
        <v>467</v>
      </c>
      <c r="N16" s="27" t="s">
        <v>487</v>
      </c>
      <c r="O16" s="97">
        <v>7890</v>
      </c>
      <c r="P16" s="102"/>
      <c r="Q16" s="103">
        <f t="shared" si="0"/>
        <v>7890</v>
      </c>
      <c r="R16" s="103">
        <f t="shared" si="1"/>
        <v>8000</v>
      </c>
      <c r="S16" s="27"/>
      <c r="T16" s="27" t="s">
        <v>488</v>
      </c>
      <c r="U16" s="97" t="s">
        <v>685</v>
      </c>
      <c r="V16" s="116" t="inlineStr">
        <is>
          <t xml:space="preserve">10/18 RAW 집계에 없음 · 예정액 유지</t>
        </is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97">
        <v>4890</v>
      </c>
      <c r="P17" s="102"/>
      <c r="Q17" s="104">
        <f t="shared" si="0"/>
        <v>4890</v>
      </c>
      <c r="R17" s="104">
        <f t="shared" si="1"/>
        <v>5000</v>
      </c>
      <c r="S17" s="34"/>
      <c r="T17" s="34" t="s">
        <v>490</v>
      </c>
      <c r="U17" s="97" t="s">
        <v>685</v>
      </c>
      <c r="V17" s="117" t="inlineStr">
        <is>
          <t xml:space="preserve">10/18 RAW 집계에 없음 · 예정액 유지</t>
        </is>
      </c>
    </row>
    <row r="18" spans="1:22" ht="29" customHeight="1">
      <c r="A18" s="39" t="s">
        <v>491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696</v>
      </c>
      <c r="M18" s="27" t="s">
        <v>467</v>
      </c>
      <c r="N18" s="27">
        <v>4</v>
      </c>
      <c r="O18" s="111">
        <f>RAW!G2355</f>
        <v>8965</v>
      </c>
      <c r="P18" s="99">
        <v>0</v>
      </c>
      <c r="Q18" s="105">
        <f t="shared" si="0"/>
        <v>8965</v>
      </c>
      <c r="R18" s="105">
        <f t="shared" si="1"/>
        <v>9000</v>
      </c>
      <c r="S18" s="27"/>
      <c r="T18" s="27" t="s">
        <v>494</v>
      </c>
      <c r="U18" s="98" t="s">
        <v>688</v>
      </c>
      <c r="V18" s="116" t="inlineStr">
        <is>
          <t xml:space="preserve">10/18 기준 RAW 확인 · 10/04 거래</t>
        </is>
      </c>
    </row>
    <row r="19" spans="1:22" ht="29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97">
        <v>7737</v>
      </c>
      <c r="P19" s="102"/>
      <c r="Q19" s="104">
        <f t="shared" si="0"/>
        <v>7737</v>
      </c>
      <c r="R19" s="104">
        <f t="shared" si="1"/>
        <v>8000</v>
      </c>
      <c r="S19" s="34"/>
      <c r="T19" s="34" t="s">
        <v>497</v>
      </c>
      <c r="U19" s="97" t="s">
        <v>685</v>
      </c>
      <c r="V19" s="117" t="inlineStr">
        <is>
          <t xml:space="preserve">10/18 RAW 집계에 없음 · 예정액 유지</t>
        </is>
      </c>
    </row>
    <row r="20" spans="1:22" ht="29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>
        <v>1</v>
      </c>
      <c r="O20" s="111">
        <f>RAW!G2328</f>
        <v>0</v>
      </c>
      <c r="P20" s="99">
        <v>0</v>
      </c>
      <c r="Q20" s="105">
        <f t="shared" si="0"/>
        <v>0</v>
      </c>
      <c r="R20" s="105">
        <f t="shared" si="1"/>
        <v>0</v>
      </c>
      <c r="S20" s="27"/>
      <c r="T20" s="27" t="s">
        <v>494</v>
      </c>
      <c r="U20" s="98" t="s">
        <v>688</v>
      </c>
      <c r="V20" s="116" t="inlineStr">
        <is>
          <t xml:space="preserve">10/18 기준 RAW 확인 · 10/01 거래</t>
        </is>
      </c>
    </row>
    <row r="21" spans="1:22" ht="29" customHeight="1">
      <c r="A21" s="31" t="s">
        <v>323</v>
      </c>
      <c r="B21" s="27">
        <f t="shared" ref="B21:H21" si="4">IF(B18&gt;$U$1,"",B19-B20)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>
        <v>2</v>
      </c>
      <c r="O21" s="111">
        <f>RAW!G2329</f>
        <v>18000</v>
      </c>
      <c r="P21" s="99">
        <v>0</v>
      </c>
      <c r="Q21" s="106">
        <f t="shared" si="0"/>
        <v>18000</v>
      </c>
      <c r="R21" s="106">
        <f t="shared" si="1"/>
        <v>18000</v>
      </c>
      <c r="S21" s="34"/>
      <c r="T21" s="34" t="s">
        <v>502</v>
      </c>
      <c r="U21" s="98" t="s">
        <v>688</v>
      </c>
      <c r="V21" s="117" t="inlineStr">
        <is>
          <t xml:space="preserve">10/18 기준 RAW 확인 · 10/02 거래</t>
        </is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111">
        <f>RAW!G2443</f>
        <v>74700</v>
      </c>
      <c r="P22" s="102">
        <v>0</v>
      </c>
      <c r="Q22" s="103">
        <f t="shared" si="0"/>
        <v>74700</v>
      </c>
      <c r="R22" s="103">
        <f t="shared" si="1"/>
        <v>75000</v>
      </c>
      <c r="S22" s="27" t="s">
        <v>699</v>
      </c>
      <c r="T22" s="27" t="s">
        <v>506</v>
      </c>
      <c r="U22" s="97" t="s">
        <v>688</v>
      </c>
      <c r="V22" s="116" t="inlineStr">
        <is>
          <t xml:space="preserve">10/18 기준 RAW 확인 · 10/12 거래</t>
        </is>
      </c>
    </row>
    <row r="23" spans="1:22" ht="29" customHeight="1">
      <c r="A23" s="39" t="s">
        <v>507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619</v>
      </c>
      <c r="M23" s="34" t="s">
        <v>453</v>
      </c>
      <c r="N23" s="34">
        <v>5</v>
      </c>
      <c r="O23" s="111">
        <f>RAW!G2362</f>
        <v>10200</v>
      </c>
      <c r="P23" s="99">
        <v>0</v>
      </c>
      <c r="Q23" s="106">
        <f t="shared" si="0"/>
        <v>10200</v>
      </c>
      <c r="R23" s="106">
        <f t="shared" si="1"/>
        <v>11000</v>
      </c>
      <c r="S23" s="34" t="s">
        <v>700</v>
      </c>
      <c r="T23" s="34" t="s">
        <v>85</v>
      </c>
      <c r="U23" s="98" t="s">
        <v>688</v>
      </c>
      <c r="V23" s="117" t="inlineStr">
        <is>
          <t xml:space="preserve">10/18 기준 RAW 확인 · 10/05 거래</t>
        </is>
      </c>
    </row>
    <row r="24" spans="1:22" ht="29" customHeight="1">
      <c r="A24" s="31" t="s">
        <v>446</v>
      </c>
      <c r="B24" s="35"/>
      <c r="C24" s="35"/>
      <c r="D24" s="35"/>
      <c r="E24" s="35"/>
      <c r="F24" s="35"/>
      <c r="G24" s="35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97">
        <v>0</v>
      </c>
      <c r="P24" s="102"/>
      <c r="Q24" s="103">
        <f t="shared" si="0"/>
        <v>0</v>
      </c>
      <c r="R24" s="103">
        <f t="shared" si="1"/>
        <v>0</v>
      </c>
      <c r="S24" s="27" t="s">
        <v>702</v>
      </c>
      <c r="T24" s="27" t="s">
        <v>85</v>
      </c>
      <c r="U24" s="97" t="s">
        <v>688</v>
      </c>
      <c r="V24" s="116" t="inlineStr">
        <is>
          <t xml:space="preserve">9월 3/3 완납 · 추가 청구 없음</t>
        </is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27"/>
      <c r="I25" s="45">
        <f>SUM(B25:H25)</f>
        <v>0</v>
      </c>
      <c r="J25" s="12"/>
      <c r="K25" s="50" t="s">
        <v>704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IF(B23&gt;$U$1,"",B24-B25)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HYPERLINK("#'10월계산기'!A1","계산기 대조 · 10월계산기 열기")</f>
        <v>계산기 대조 · 10월계산기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1501000</v>
      </c>
      <c r="N28" s="367"/>
      <c r="O28" s="429" t="s">
        <v>234</v>
      </c>
      <c r="P28" s="367"/>
      <c r="Q28" s="431">
        <f>'10월계산기'!W12</f>
        <v>1501000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1501000</v>
      </c>
      <c r="N29" s="367"/>
      <c r="O29" s="429" t="s">
        <v>239</v>
      </c>
      <c r="P29" s="367"/>
      <c r="Q29" s="431">
        <f>'10월계산기'!W13</f>
        <v>1501000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24100</v>
      </c>
      <c r="N30" s="367"/>
      <c r="O30" s="429" t="s">
        <v>514</v>
      </c>
      <c r="P30" s="367"/>
      <c r="Q30" s="431">
        <f>SUM(I4,I9,I14,I19,I24,I29)-I33</f>
        <v>24100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'10월계산기'!W14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80" t="s">
        <v>705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1476900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107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706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525</v>
      </c>
      <c r="L37" s="31" t="s">
        <v>526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s">
        <v>428</v>
      </c>
      <c r="F38" s="27"/>
      <c r="G38" s="27"/>
      <c r="H38" s="27">
        <f>I33-'_예비비계산'!AG11</f>
        <v>1476900</v>
      </c>
      <c r="I38" s="27">
        <f>SUM(I4,I9,I14,I19,I24,I29)-'_예비비계산'!AH11</f>
        <v>1501000</v>
      </c>
      <c r="J38" s="12"/>
      <c r="K38" s="38" t="s">
        <v>525</v>
      </c>
      <c r="L38" s="38" t="s">
        <v>527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9283</v>
      </c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509283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525</v>
      </c>
      <c r="L42" s="38" t="s">
        <v>538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525</v>
      </c>
      <c r="L43" s="31" t="s">
        <v>539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1995922</v>
      </c>
      <c r="I44" s="37">
        <f>SUM(I37:I42)+I47-I43</f>
        <v>2024000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113">
        <f>IF(AND(COUNT(B5:H5,B10:H10,B15:H15,B20:H20,B25:H25,B30:H30,N37:N43,N57:N59,D52:D61)=0,SUM(N64:N68)=0,COUNTIF(U4:U24,"확정")=0),"",C41-H44)</f>
        <v>-1486639</v>
      </c>
      <c r="I45" s="113">
        <f>IF(H45="","",C41-I44)</f>
        <v>-1514717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</row>
    <row r="52" spans="1:21" ht="44" customHeight="1">
      <c r="A52" s="96">
        <f>INT(RAW!A2334)</f>
        <v>46297.0</v>
      </c>
      <c r="B52" s="35" t="s">
        <v>603</v>
      </c>
      <c r="C52" s="101" t="s">
        <v>200</v>
      </c>
      <c r="D52" s="35">
        <f>RAW!K2334</f>
        <v>11900</v>
      </c>
      <c r="E52" s="35"/>
      <c r="F52" s="27">
        <f t="shared" ref="F52:F61" si="6">IF(D52="","",D52-E52)</f>
        <v>11900</v>
      </c>
      <c r="G52" s="35">
        <f>RAW!K2334</f>
        <v>11900</v>
      </c>
      <c r="H52" s="27">
        <f t="shared" ref="H52:H61" si="7">IF(D52="","",F52-G52)</f>
        <v>0</v>
      </c>
      <c r="I52" s="101" t="s">
        <v>707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708</v>
      </c>
      <c r="S63" s="476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'_예비비계산'!AB11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471" t="s">
        <v>709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'_예비비계산'!AC11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239000</v>
      </c>
      <c r="N66" s="40">
        <f>'_예비비계산'!AD11</f>
        <v>239000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239000</v>
      </c>
      <c r="S66" s="471" t="inlineStr">
        <is>
          <t xml:space="preserve">생신 본인 사용 239,000 = 명절비 200,000 + 임시보관 39,000. 기존 현금 납입과 연결; WRAP·월급 재차감 없음.</t>
        </is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'_예비비계산'!AE11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'_예비비계산'!AF11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239000</v>
      </c>
      <c r="N69" s="37">
        <f>SUM(N64:N68)</f>
        <v>239000</v>
      </c>
      <c r="O69" s="37"/>
      <c r="P69" s="37"/>
      <c r="Q69" s="37">
        <f>SUM(Q64:Q68)</f>
        <v>0</v>
      </c>
      <c r="R69" s="37">
        <f>SUM(R64:R68)</f>
        <v>239000</v>
      </c>
      <c r="S69" s="13"/>
      <c r="T69" s="13"/>
    </row>
    <row r="70" spans="1:21" ht="42" customHeight="1">
      <c r="A70" s="479" t="inlineStr">
        <is>
          <t xml:space="preserve">10/1~18 RAW 164건. 기존 144건 유지 + 신규 20건. 본인 생활비 177,160원 추가; 공금 사용·카카오페이 충전은 중복 소비 제외.</t>
        </is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</row>
    <row r="71" spans="1:21" ht="22" customHeight="1"/>
    <row r="72" spans="1:21" ht="25" customHeight="1">
      <c r="A72" s="481" t="inlineStr">
        <is>
          <t xml:space="preserve">10/18 실제 / 예정 / 공동자금 · 달력 합계와 연결</t>
        </is>
      </c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</row>
    <row r="73" spans="1:21" ht="30" customHeight="1">
      <c r="A73" s="472" t="s">
        <v>713</v>
      </c>
      <c r="B73" s="473"/>
      <c r="C73" s="473"/>
      <c r="D73" s="474"/>
      <c r="E73" s="478">
        <v>2776050</v>
      </c>
      <c r="F73" s="473"/>
      <c r="G73" s="473"/>
      <c r="H73" s="474"/>
      <c r="J73" s="472" t="s">
        <v>714</v>
      </c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4"/>
    </row>
    <row r="74" spans="1:21" ht="30" customHeight="1">
      <c r="A74" s="472" t="s">
        <v>715</v>
      </c>
      <c r="B74" s="473"/>
      <c r="C74" s="473"/>
      <c r="D74" s="474"/>
      <c r="E74" s="478">
        <f>Q25-H37</f>
        <v>762073</v>
      </c>
      <c r="F74" s="473"/>
      <c r="G74" s="473"/>
      <c r="H74" s="474"/>
      <c r="J74" s="472" t="s">
        <v>716</v>
      </c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4"/>
    </row>
    <row r="75" spans="1:21" ht="30" customHeight="1">
      <c r="A75" s="472" t="s">
        <v>717</v>
      </c>
      <c r="B75" s="473"/>
      <c r="C75" s="473"/>
      <c r="D75" s="474"/>
      <c r="E75" s="478">
        <f>SUMIFS(RAW!$G$2323:$G$2486,RAW!$C$2323:$C$2486,"모임통장",RAW!$H$2323:$H$2486,"지출")</f>
        <v>357230</v>
      </c>
      <c r="F75" s="473"/>
      <c r="G75" s="473"/>
      <c r="H75" s="474"/>
      <c r="J75" s="472" t="s">
        <v>718</v>
      </c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4"/>
    </row>
    <row r="76" spans="1:21" ht="30" customHeight="1">
      <c r="A76" s="472" t="s">
        <v>719</v>
      </c>
      <c r="B76" s="473"/>
      <c r="C76" s="473"/>
      <c r="D76" s="474"/>
      <c r="E76" s="478">
        <v>639000</v>
      </c>
      <c r="F76" s="473"/>
      <c r="G76" s="473"/>
      <c r="H76" s="474"/>
      <c r="J76" s="472" t="inlineStr">
        <is>
          <t xml:space="preserve">용돈 500,000 + 식사 139,000 = 639,000. 본인 부담 239,000 + 형제자매 400,000.</t>
        </is>
      </c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4"/>
    </row>
    <row r="77" spans="1:21" ht="30" customHeight="1">
      <c r="A77" s="472" t="s">
        <v>721</v>
      </c>
      <c r="B77" s="473"/>
      <c r="C77" s="473"/>
      <c r="D77" s="474"/>
      <c r="E77" s="478">
        <v>100000</v>
      </c>
      <c r="F77" s="473"/>
      <c r="G77" s="473"/>
      <c r="H77" s="474"/>
      <c r="J77" s="472" t="s">
        <v>722</v>
      </c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4"/>
    </row>
    <row r="78" spans="1:21" ht="30" customHeight="1">
      <c r="A78" s="472" t="s">
        <v>723</v>
      </c>
      <c r="B78" s="473"/>
      <c r="C78" s="473"/>
      <c r="D78" s="474"/>
      <c r="E78" s="478">
        <f>SUMIFS(RAW!$G$2323:$G$2486,RAW!$C$2323:$C$2486,"가족통장",RAW!$H$2323:$H$2486,"지출")+SUMIFS(RAW!$G$2323:$G$2486,RAW!$C$2323:$C$2486,"가족통장",RAW!$H$2323:$H$2486,"이체지출")</f>
        <v>800000</v>
      </c>
      <c r="F78" s="473"/>
      <c r="G78" s="473"/>
      <c r="H78" s="474"/>
      <c r="J78" s="472" t="inlineStr">
        <is>
          <t xml:space="preserve">실제 출금 800,000 = 행사 639,000 + 형제자매 반환 100,000 + 본인 원금 회수 61,000. 식사 정산 중복 제외.</t>
        </is>
      </c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4"/>
    </row>
    <row r="79" spans="1:21" ht="30" customHeight="1">
      <c r="A79" s="472" t="s">
        <v>725</v>
      </c>
      <c r="B79" s="473"/>
      <c r="C79" s="473"/>
      <c r="D79" s="474"/>
      <c r="E79" s="477">
        <f>N66</f>
        <v>239000</v>
      </c>
      <c r="F79" s="473"/>
      <c r="G79" s="473"/>
      <c r="H79" s="474"/>
      <c r="J79" s="475" t="inlineStr">
        <is>
          <t xml:space="preserve">본인 납입 300,000 − 회수 61,000 = 사용 239,000. 가족통장 이자 25원 잔존. WRAP·당월 월급 중복 차감 없음.</t>
        </is>
      </c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4"/>
    </row>
    <row r="80" spans="1:21" ht="30" customHeight="1">
      <c r="A80" s="472" t="s">
        <v>727</v>
      </c>
      <c r="B80" s="473"/>
      <c r="C80" s="473"/>
      <c r="D80" s="474"/>
      <c r="E80" s="478">
        <f>SUMIFS(RAW!$G$2323:$G$2486,RAW!$J$2323:$J$2486,"대납",RAW!$L$2323:$L$2486,"정산대기",RAW!$H$2323:$H$2486,"지출")</f>
        <v>103600</v>
      </c>
      <c r="F80" s="473"/>
      <c r="G80" s="473"/>
      <c r="H80" s="474"/>
      <c r="J80" s="472" t="inlineStr">
        <is>
          <t xml:space="preserve">사용자 확인: 10/12·10/14 각 51,800원 철도 대납. 회수 입금 없음. 미회수 합계 103,600원, 본인 소비 제외.</t>
        </is>
      </c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4"/>
    </row>
    <row r="81" spans="1:21" ht="30" customHeight="1">
      <c r="A81" s="472" t="s">
        <v>729</v>
      </c>
      <c r="B81" s="473"/>
      <c r="C81" s="473"/>
      <c r="D81" s="474"/>
      <c r="E81" s="478">
        <f>I33</f>
        <v>1476900</v>
      </c>
      <c r="F81" s="473"/>
      <c r="G81" s="473"/>
      <c r="H81" s="474"/>
      <c r="J81" s="472" t="s">
        <v>730</v>
      </c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4"/>
    </row>
    <row r="82" spans="1:21" ht="30" customHeight="1">
      <c r="A82" s="472" t="s">
        <v>731</v>
      </c>
      <c r="B82" s="473"/>
      <c r="C82" s="473"/>
      <c r="D82" s="474"/>
      <c r="E82" s="478">
        <f>SUM(I4,I9,I14,I19,I24)</f>
        <v>1501000</v>
      </c>
      <c r="F82" s="473"/>
      <c r="G82" s="473"/>
      <c r="H82" s="474"/>
      <c r="J82" s="472" t="inlineStr">
        <is>
          <t xml:space="preserve">각 본인 소비 거래를 천원 단위 올림해 합산. 대납 2건·목적자금·공동자금·카드대금 납부 제외.</t>
        </is>
      </c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4"/>
    </row>
    <row r="83" spans="1:21" ht="30" customHeight="1">
      <c r="A83" s="472" t="s">
        <v>287</v>
      </c>
      <c r="B83" s="473"/>
      <c r="C83" s="473"/>
      <c r="D83" s="474"/>
      <c r="E83" s="477">
        <f>COUNT(RAW!G2323:G2486)-164</f>
        <v>0</v>
      </c>
      <c r="F83" s="473"/>
      <c r="G83" s="473"/>
      <c r="H83" s="474"/>
      <c r="J83" s="475" t="inlineStr">
        <is>
          <t xml:space="preserve">0이면 최신 10/18 첨부 RAW 164건 모두 유지. 기존 분류·행번호 보존.</t>
        </is>
      </c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4"/>
    </row>
    <row r="84" spans="1:21" ht="30" customHeight="1">
      <c r="A84" s="472" t="s">
        <v>734</v>
      </c>
      <c r="B84" s="473"/>
      <c r="C84" s="473"/>
      <c r="D84" s="474"/>
      <c r="E84" s="477">
        <f>I33-1476900</f>
        <v>0</v>
      </c>
      <c r="F84" s="473"/>
      <c r="G84" s="473"/>
      <c r="H84" s="474"/>
      <c r="J84" s="472" t="s">
        <v>735</v>
      </c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4"/>
    </row>
    <row r="85" spans="1:21" ht="30" customHeight="1">
      <c r="A85" s="472" t="s">
        <v>736</v>
      </c>
      <c r="B85" s="473"/>
      <c r="C85" s="473"/>
      <c r="D85" s="474"/>
      <c r="E85" s="477">
        <f>SUM(I4,I9,I14,I19,I24,I29)-1501000</f>
        <v>0</v>
      </c>
      <c r="F85" s="473"/>
      <c r="G85" s="473"/>
      <c r="H85" s="474"/>
      <c r="J85" s="472" t="s">
        <v>737</v>
      </c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4"/>
    </row>
    <row r="86" spans="1:21" ht="30" customHeight="1">
      <c r="A86" s="472" t="s">
        <v>738</v>
      </c>
      <c r="B86" s="473"/>
      <c r="C86" s="473"/>
      <c r="D86" s="474"/>
      <c r="E86" s="478">
        <f>C37-H44</f>
        <v>-1995922</v>
      </c>
      <c r="F86" s="473"/>
      <c r="G86" s="473"/>
      <c r="H86" s="474"/>
      <c r="J86" s="475" t="inlineStr">
        <is>
          <t xml:space="preserve">급여 미입금: 10/18 중간 집계이며 월말 결과가 아님</t>
        </is>
      </c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4"/>
    </row>
    <row r="87" spans="1:21" ht="22" customHeight="1"/>
    <row r="88" spans="1:21" ht="22" customHeight="1"/>
    <row r="89" spans="1:21" ht="22" customHeight="1"/>
    <row r="90" spans="1:21" ht="22" customHeight="1"/>
    <row r="91" spans="1:21" ht="26" customHeight="1"/>
    <row r="92" spans="1:21" ht="22" customHeight="1"/>
    <row r="93" spans="1:21" ht="27" customHeight="1"/>
    <row r="94" spans="1:21" ht="24" customHeight="1"/>
    <row r="95" spans="1:21" ht="22" customHeight="1"/>
    <row r="96" spans="1:21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80">
    <mergeCell ref="M28:N28"/>
    <mergeCell ref="A84:D84"/>
    <mergeCell ref="A75:D75"/>
    <mergeCell ref="J73:U73"/>
    <mergeCell ref="S29:T29"/>
    <mergeCell ref="U29:V29"/>
    <mergeCell ref="E77:H77"/>
    <mergeCell ref="A47:D47"/>
    <mergeCell ref="S31:T31"/>
    <mergeCell ref="E86:H86"/>
    <mergeCell ref="E80:H80"/>
    <mergeCell ref="E81:H81"/>
    <mergeCell ref="A50:I50"/>
    <mergeCell ref="J86:U86"/>
    <mergeCell ref="S65:U65"/>
    <mergeCell ref="A82:D82"/>
    <mergeCell ref="E83:H83"/>
    <mergeCell ref="A86:D86"/>
    <mergeCell ref="O28:P28"/>
    <mergeCell ref="S66:U66"/>
    <mergeCell ref="J80:U80"/>
    <mergeCell ref="Q28:R28"/>
    <mergeCell ref="E76:H76"/>
    <mergeCell ref="U30:V30"/>
    <mergeCell ref="O30:P30"/>
    <mergeCell ref="K29:L29"/>
    <mergeCell ref="S68:U68"/>
    <mergeCell ref="S28:T28"/>
    <mergeCell ref="K31:L31"/>
    <mergeCell ref="M31:N31"/>
    <mergeCell ref="A72:U72"/>
    <mergeCell ref="A78:D78"/>
    <mergeCell ref="J76:U76"/>
    <mergeCell ref="A80:D80"/>
    <mergeCell ref="O29:P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E85:H85"/>
    <mergeCell ref="J79:U79"/>
    <mergeCell ref="E75:H75"/>
    <mergeCell ref="J84:U84"/>
    <mergeCell ref="J78:U78"/>
    <mergeCell ref="J82:U82"/>
    <mergeCell ref="E84:H84"/>
    <mergeCell ref="E78:H78"/>
    <mergeCell ref="J85:U85"/>
    <mergeCell ref="K27:V27"/>
    <mergeCell ref="A73:D73"/>
    <mergeCell ref="J75:U75"/>
    <mergeCell ref="S64:U64"/>
    <mergeCell ref="S63:U63"/>
    <mergeCell ref="E79:H79"/>
    <mergeCell ref="E73:H73"/>
    <mergeCell ref="E82:H82"/>
    <mergeCell ref="U28:V28"/>
    <mergeCell ref="Q30:R30"/>
    <mergeCell ref="S30:T30"/>
    <mergeCell ref="J81:U81"/>
    <mergeCell ref="E74:H74"/>
    <mergeCell ref="K28:L28"/>
    <mergeCell ref="A85:D85"/>
    <mergeCell ref="U31:V31"/>
    <mergeCell ref="J77:U77"/>
    <mergeCell ref="J74:U74"/>
    <mergeCell ref="A81:D81"/>
    <mergeCell ref="J83:U83"/>
    <mergeCell ref="A42:D46"/>
    <mergeCell ref="A79:D79"/>
    <mergeCell ref="A74:D74"/>
    <mergeCell ref="A76:D76"/>
    <mergeCell ref="A77:D77"/>
    <mergeCell ref="A83:D83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  <cfRule type="expression" dxfId="31" priority="5">
      <formula>$C$12="미입력"</formula>
    </cfRule>
  </conditionalFormatting>
  <conditionalFormatting sqref="C14">
    <cfRule type="expression" dxfId="30" priority="7">
      <formula>C14="FALSE"</formula>
    </cfRule>
  </conditionalFormatting>
  <conditionalFormatting sqref="H45:I45">
    <cfRule type="cellIs" dxfId="29" priority="9" operator="lessThan">
      <formula>0</formula>
    </cfRule>
  </conditionalFormatting>
  <conditionalFormatting sqref="H46:I46">
    <cfRule type="expression" dxfId="28" priority="10">
      <formula>H46="FALSE"</formula>
    </cfRule>
  </conditionalFormatting>
  <conditionalFormatting sqref="I5">
    <cfRule type="cellIs" dxfId="27" priority="8" operator="lessThan">
      <formula>0</formula>
    </cfRule>
  </conditionalFormatting>
  <conditionalFormatting sqref="O4:R24">
    <cfRule type="expression" dxfId="26" priority="11">
      <formula>$U4="예상"</formula>
    </cfRule>
    <cfRule type="expression" dxfId="25" priority="11">
      <formula>$U4="미확인"</formula>
    </cfRule>
    <cfRule type="expression" dxfId="24" priority="11">
      <formula>$U4="확정"</formula>
    </cfRule>
  </conditionalFormatting>
  <conditionalFormatting sqref="U4:U24">
    <cfRule type="expression" dxfId="23" priority="12">
      <formula>$U4="예상"</formula>
    </cfRule>
    <cfRule type="expression" dxfId="22" priority="13">
      <formula>$U4="미확인"</formula>
    </cfRule>
    <cfRule type="expression" dxfId="21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s="106" customFormat="1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</row>
    <row r="3" spans="1:27" s="106" customFormat="1" ht="18" customHeight="1">
      <c r="A3" s="122" t="s">
        <v>575</v>
      </c>
      <c r="B3" s="123"/>
      <c r="C3" s="124">
        <f>IFERROR(colorfunction(B3,$B$15:$U$144,FALSE),$AA$3)</f>
        <v>323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323000</v>
      </c>
      <c r="AA3">
        <v>323</v>
      </c>
    </row>
    <row r="4" spans="1:27" s="106" customFormat="1" ht="18" customHeight="1">
      <c r="A4" s="122" t="s">
        <v>576</v>
      </c>
      <c r="B4" s="130"/>
      <c r="C4" s="124">
        <f>IFERROR(colorfunction(B4,$B$15:$U$144,FALSE),$AA$4)</f>
        <v>75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75000</v>
      </c>
      <c r="AA4">
        <v>75</v>
      </c>
    </row>
    <row r="5" spans="1:27" s="106" customFormat="1" ht="18" customHeight="1">
      <c r="A5" s="122" t="s">
        <v>577</v>
      </c>
      <c r="B5" s="132"/>
      <c r="C5" s="124">
        <f>IFERROR(colorfunction(B5,$B$15:$U$144,FALSE),$AA$5)</f>
        <v>418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418000</v>
      </c>
      <c r="AA5">
        <v>418</v>
      </c>
    </row>
    <row r="6" spans="1:27" s="106" customFormat="1" ht="18" customHeight="1">
      <c r="A6" s="122" t="s">
        <v>578</v>
      </c>
      <c r="B6" s="133"/>
      <c r="C6" s="124">
        <f>IFERROR(colorfunction(B6,$B$15:$U$144,FALSE),$AA$6)</f>
        <v>126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126000</v>
      </c>
      <c r="AA6">
        <v>126</v>
      </c>
    </row>
    <row r="7" spans="1:27" s="106" customFormat="1" ht="18" customHeight="1">
      <c r="A7" s="122" t="s">
        <v>579</v>
      </c>
      <c r="B7" s="134"/>
      <c r="C7" s="124">
        <f>IFERROR(colorfunction(B7,$B$15:$U$144,FALSE),$AA$7)</f>
        <v>147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147000</v>
      </c>
      <c r="AA7">
        <v>147</v>
      </c>
    </row>
    <row r="8" spans="1:27" s="106" customFormat="1" ht="18" customHeight="1">
      <c r="A8" s="122" t="s">
        <v>580</v>
      </c>
      <c r="B8" s="135"/>
      <c r="C8" s="124">
        <f>IFERROR(colorfunction(B8,$B$15:$U$144,FALSE),$AA$8)</f>
        <v>92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92000</v>
      </c>
      <c r="AA8">
        <v>92</v>
      </c>
    </row>
    <row r="9" spans="1:27" s="106" customFormat="1" ht="18" customHeight="1">
      <c r="A9" s="122" t="s">
        <v>581</v>
      </c>
      <c r="B9" s="136"/>
      <c r="C9" s="124">
        <f>IFERROR(colorfunction(B9,$B$15:$U$144,FALSE),$AA$9)</f>
        <v>277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277000</v>
      </c>
      <c r="AA9">
        <v>277</v>
      </c>
    </row>
    <row r="10" spans="1:27" s="106" customFormat="1" ht="18" customHeight="1">
      <c r="A10" s="122" t="s">
        <v>582</v>
      </c>
      <c r="B10" s="137"/>
      <c r="C10" s="124">
        <f>IFERROR(colorfunction(B10,$B$15:$U$144,FALSE),$AA$10)</f>
        <v>43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43000</v>
      </c>
      <c r="AA10">
        <v>43</v>
      </c>
    </row>
    <row r="11" spans="1:27" s="106" customFormat="1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s="106" customFormat="1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1501000</v>
      </c>
    </row>
    <row r="13" spans="1:27" s="106" customFormat="1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1501000</v>
      </c>
    </row>
    <row r="14" spans="1:27" s="106" customFormat="1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0+'_예비비계산'!AH11</f>
        <v>0</v>
      </c>
    </row>
    <row r="15" spans="1:27" s="106" customFormat="1" ht="12" customHeight="1">
      <c r="A15" s="127"/>
      <c r="B15" s="215"/>
      <c r="C15" s="206"/>
      <c r="D15" s="215"/>
      <c r="E15" s="214"/>
      <c r="F15" s="213"/>
      <c r="G15" s="206"/>
      <c r="H15" s="215"/>
      <c r="I15" s="206"/>
      <c r="J15" s="215"/>
      <c r="K15" s="206"/>
      <c r="L15" s="213"/>
      <c r="M15" s="245"/>
      <c r="N15" s="244"/>
      <c r="O15" s="245"/>
      <c r="P15" s="244"/>
      <c r="Q15" s="245"/>
      <c r="R15" s="244"/>
      <c r="S15" s="245"/>
      <c r="T15" s="244"/>
      <c r="U15" s="245"/>
      <c r="V15" s="304" t="s">
        <v>585</v>
      </c>
      <c r="W15" s="305">
        <f>AA15</f>
        <v>0</v>
      </c>
      <c r="AA15">
        <v>0</v>
      </c>
    </row>
    <row r="16" spans="1:27" s="106" customFormat="1" ht="12" customHeight="1">
      <c r="A16" s="127"/>
      <c r="B16" s="207"/>
      <c r="C16" s="208"/>
      <c r="D16" s="207"/>
      <c r="E16" s="210"/>
      <c r="F16" s="209"/>
      <c r="G16" s="208"/>
      <c r="H16" s="207"/>
      <c r="I16" s="208"/>
      <c r="J16" s="207"/>
      <c r="K16" s="208"/>
      <c r="L16" s="209"/>
      <c r="M16" s="232"/>
      <c r="N16" s="233"/>
      <c r="O16" s="232"/>
      <c r="P16" s="233"/>
      <c r="Q16" s="232"/>
      <c r="R16" s="233"/>
      <c r="S16" s="232"/>
      <c r="T16" s="233"/>
      <c r="U16" s="219"/>
      <c r="V16" s="304" t="s">
        <v>232</v>
      </c>
      <c r="W16" s="305">
        <f>SUM(W3:W10)</f>
        <v>1501000</v>
      </c>
    </row>
    <row r="17" spans="1:27" s="106" customFormat="1" ht="12" customHeight="1">
      <c r="A17" s="127"/>
      <c r="B17" s="207"/>
      <c r="C17" s="208"/>
      <c r="D17" s="209"/>
      <c r="E17" s="210"/>
      <c r="F17" s="207"/>
      <c r="G17" s="208"/>
      <c r="H17" s="207"/>
      <c r="I17" s="208"/>
      <c r="J17" s="207"/>
      <c r="K17" s="208"/>
      <c r="L17" s="209"/>
      <c r="M17" s="232"/>
      <c r="N17" s="233"/>
      <c r="O17" s="232"/>
      <c r="P17" s="233"/>
      <c r="Q17" s="232"/>
      <c r="R17" s="233"/>
      <c r="S17" s="232"/>
      <c r="T17" s="233"/>
      <c r="U17" s="219"/>
      <c r="V17" s="306" t="s">
        <v>586</v>
      </c>
      <c r="W17" s="307">
        <f>AA17</f>
        <v>0</v>
      </c>
      <c r="AA17">
        <v>0</v>
      </c>
    </row>
    <row r="18" spans="1:27" s="106" customFormat="1" ht="12" customHeight="1">
      <c r="A18" s="127"/>
      <c r="B18" s="207"/>
      <c r="C18" s="208"/>
      <c r="D18" s="209"/>
      <c r="E18" s="210"/>
      <c r="F18" s="207"/>
      <c r="G18" s="208"/>
      <c r="H18" s="207"/>
      <c r="I18" s="208"/>
      <c r="J18" s="207"/>
      <c r="K18" s="210"/>
      <c r="L18" s="233"/>
      <c r="M18" s="232"/>
      <c r="N18" s="233"/>
      <c r="O18" s="232"/>
      <c r="P18" s="233"/>
      <c r="Q18" s="232"/>
      <c r="R18" s="233"/>
      <c r="S18" s="232"/>
      <c r="T18" s="233"/>
      <c r="U18" s="219"/>
      <c r="V18" s="127"/>
      <c r="W18" s="127"/>
    </row>
    <row r="19" spans="1:27" s="106" customFormat="1" ht="12" customHeight="1" thickBot="1">
      <c r="A19" s="146">
        <v>1</v>
      </c>
      <c r="B19" s="231"/>
      <c r="C19" s="230"/>
      <c r="D19" s="211"/>
      <c r="E19" s="212"/>
      <c r="F19" s="231"/>
      <c r="G19" s="230"/>
      <c r="H19" s="231"/>
      <c r="I19" s="230"/>
      <c r="J19" s="231"/>
      <c r="K19" s="212"/>
      <c r="L19" s="234"/>
      <c r="M19" s="235"/>
      <c r="N19" s="234"/>
      <c r="O19" s="235"/>
      <c r="P19" s="234"/>
      <c r="Q19" s="235"/>
      <c r="R19" s="234"/>
      <c r="S19" s="235"/>
      <c r="T19" s="234"/>
      <c r="U19" s="229"/>
      <c r="V19" s="127"/>
      <c r="W19" s="127"/>
    </row>
    <row r="20" spans="1:27" s="106" customFormat="1" ht="12" customHeight="1">
      <c r="A20" s="127"/>
      <c r="B20" s="217"/>
      <c r="C20" s="237"/>
      <c r="D20" s="236"/>
      <c r="E20" s="237"/>
      <c r="F20" s="236"/>
      <c r="G20" s="237"/>
      <c r="H20" s="236"/>
      <c r="I20" s="237"/>
      <c r="J20" s="236"/>
      <c r="K20" s="206"/>
      <c r="L20" s="236"/>
      <c r="M20" s="237"/>
      <c r="N20" s="236"/>
      <c r="O20" s="206"/>
      <c r="P20" s="236"/>
      <c r="Q20" s="237"/>
      <c r="R20" s="236"/>
      <c r="S20" s="237"/>
      <c r="T20" s="236"/>
      <c r="U20" s="237"/>
      <c r="V20" s="127"/>
      <c r="W20" s="127"/>
    </row>
    <row r="21" spans="1:27" s="106" customFormat="1" ht="12" customHeight="1">
      <c r="A21" s="127"/>
      <c r="B21" s="218"/>
      <c r="C21" s="227"/>
      <c r="D21" s="226"/>
      <c r="E21" s="227"/>
      <c r="F21" s="226"/>
      <c r="G21" s="227"/>
      <c r="H21" s="226"/>
      <c r="I21" s="227"/>
      <c r="J21" s="226"/>
      <c r="K21" s="208"/>
      <c r="L21" s="226"/>
      <c r="M21" s="227"/>
      <c r="N21" s="207"/>
      <c r="O21" s="208"/>
      <c r="P21" s="226"/>
      <c r="Q21" s="227"/>
      <c r="R21" s="226"/>
      <c r="S21" s="227"/>
      <c r="T21" s="226"/>
      <c r="U21" s="227"/>
      <c r="V21" s="127"/>
      <c r="W21" s="127"/>
    </row>
    <row r="22" spans="1:27" s="106" customFormat="1" ht="12" customHeight="1">
      <c r="A22" s="127"/>
      <c r="B22" s="226"/>
      <c r="C22" s="227"/>
      <c r="D22" s="226"/>
      <c r="E22" s="227"/>
      <c r="F22" s="226"/>
      <c r="G22" s="227"/>
      <c r="H22" s="226"/>
      <c r="I22" s="227"/>
      <c r="J22" s="207"/>
      <c r="K22" s="208"/>
      <c r="L22" s="226"/>
      <c r="M22" s="227"/>
      <c r="N22" s="207"/>
      <c r="O22" s="227"/>
      <c r="P22" s="226"/>
      <c r="Q22" s="227"/>
      <c r="R22" s="226"/>
      <c r="S22" s="227"/>
      <c r="T22" s="226"/>
      <c r="U22" s="227"/>
      <c r="V22" s="127"/>
      <c r="W22" s="127"/>
    </row>
    <row r="23" spans="1:27" s="106" customFormat="1" ht="12" customHeight="1">
      <c r="A23" s="127"/>
      <c r="B23" s="226"/>
      <c r="C23" s="227"/>
      <c r="D23" s="226"/>
      <c r="E23" s="227"/>
      <c r="F23" s="226"/>
      <c r="G23" s="227"/>
      <c r="H23" s="226"/>
      <c r="I23" s="227"/>
      <c r="J23" s="207"/>
      <c r="K23" s="208"/>
      <c r="L23" s="226"/>
      <c r="M23" s="227"/>
      <c r="N23" s="207"/>
      <c r="O23" s="227"/>
      <c r="P23" s="226"/>
      <c r="Q23" s="227"/>
      <c r="R23" s="226"/>
      <c r="S23" s="227"/>
      <c r="T23" s="226"/>
      <c r="U23" s="227"/>
      <c r="V23" s="127"/>
      <c r="W23" s="127"/>
    </row>
    <row r="24" spans="1:27" s="106" customFormat="1" ht="12" customHeight="1" thickBot="1">
      <c r="A24" s="146">
        <v>2</v>
      </c>
      <c r="B24" s="238"/>
      <c r="C24" s="239"/>
      <c r="D24" s="238"/>
      <c r="E24" s="239"/>
      <c r="F24" s="238"/>
      <c r="G24" s="239"/>
      <c r="H24" s="238"/>
      <c r="I24" s="239"/>
      <c r="J24" s="231"/>
      <c r="K24" s="239"/>
      <c r="L24" s="238"/>
      <c r="M24" s="239"/>
      <c r="N24" s="231"/>
      <c r="O24" s="239"/>
      <c r="P24" s="238"/>
      <c r="Q24" s="239"/>
      <c r="R24" s="238"/>
      <c r="S24" s="239"/>
      <c r="T24" s="238"/>
      <c r="U24" s="239"/>
      <c r="V24" s="127"/>
      <c r="W24" s="127"/>
    </row>
    <row r="25" spans="1:27" s="106" customFormat="1" ht="12" customHeight="1">
      <c r="A25" s="127"/>
      <c r="B25" s="240"/>
      <c r="C25" s="241"/>
      <c r="D25" s="240"/>
      <c r="E25" s="206"/>
      <c r="F25" s="236"/>
      <c r="G25" s="237"/>
      <c r="H25" s="236"/>
      <c r="I25" s="237"/>
      <c r="J25" s="236"/>
      <c r="K25" s="237"/>
      <c r="L25" s="236"/>
      <c r="M25" s="237"/>
      <c r="N25" s="236"/>
      <c r="O25" s="237"/>
      <c r="P25" s="236"/>
      <c r="Q25" s="237"/>
      <c r="R25" s="236"/>
      <c r="S25" s="237"/>
      <c r="T25" s="215"/>
      <c r="U25" s="206"/>
      <c r="V25" s="127"/>
      <c r="W25" s="127"/>
    </row>
    <row r="26" spans="1:27" s="106" customFormat="1" ht="12" customHeight="1">
      <c r="A26" s="127"/>
      <c r="B26" s="242"/>
      <c r="C26" s="243"/>
      <c r="D26" s="242"/>
      <c r="E26" s="208"/>
      <c r="F26" s="226"/>
      <c r="G26" s="227"/>
      <c r="H26" s="226"/>
      <c r="I26" s="227"/>
      <c r="J26" s="226"/>
      <c r="K26" s="227"/>
      <c r="L26" s="226"/>
      <c r="M26" s="227"/>
      <c r="N26" s="226"/>
      <c r="O26" s="227"/>
      <c r="P26" s="226"/>
      <c r="Q26" s="227"/>
      <c r="R26" s="226"/>
      <c r="S26" s="227"/>
      <c r="T26" s="207"/>
      <c r="U26" s="208"/>
      <c r="V26" s="127"/>
      <c r="W26" s="127"/>
    </row>
    <row r="27" spans="1:27" s="106" customFormat="1" ht="12" customHeight="1">
      <c r="A27" s="127"/>
      <c r="B27" s="242"/>
      <c r="C27" s="243"/>
      <c r="D27" s="242"/>
      <c r="E27" s="208"/>
      <c r="F27" s="226"/>
      <c r="G27" s="227"/>
      <c r="H27" s="226"/>
      <c r="I27" s="227"/>
      <c r="J27" s="226"/>
      <c r="K27" s="227"/>
      <c r="L27" s="226"/>
      <c r="M27" s="227"/>
      <c r="N27" s="226"/>
      <c r="O27" s="227"/>
      <c r="P27" s="226"/>
      <c r="Q27" s="227"/>
      <c r="R27" s="226"/>
      <c r="S27" s="227"/>
      <c r="T27" s="207"/>
      <c r="U27" s="208"/>
      <c r="V27" s="127"/>
      <c r="W27" s="127"/>
    </row>
    <row r="28" spans="1:27" s="106" customFormat="1" ht="12" customHeight="1">
      <c r="A28" s="127"/>
      <c r="B28" s="242"/>
      <c r="C28" s="243"/>
      <c r="D28" s="207"/>
      <c r="E28" s="227"/>
      <c r="F28" s="226"/>
      <c r="G28" s="227"/>
      <c r="H28" s="226"/>
      <c r="I28" s="227"/>
      <c r="J28" s="226"/>
      <c r="K28" s="227"/>
      <c r="L28" s="226"/>
      <c r="M28" s="227"/>
      <c r="N28" s="226"/>
      <c r="O28" s="227"/>
      <c r="P28" s="226"/>
      <c r="Q28" s="227"/>
      <c r="R28" s="226"/>
      <c r="S28" s="227"/>
      <c r="T28" s="207"/>
      <c r="U28" s="208"/>
      <c r="V28" s="127"/>
      <c r="W28" s="127"/>
    </row>
    <row r="29" spans="1:27" s="106" customFormat="1" ht="12" customHeight="1" thickBot="1">
      <c r="A29" s="146">
        <v>3</v>
      </c>
      <c r="B29" s="298"/>
      <c r="C29" s="299"/>
      <c r="D29" s="231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1"/>
      <c r="U29" s="230"/>
      <c r="V29" s="127"/>
      <c r="W29" s="127"/>
    </row>
    <row r="30" spans="1:27" s="106" customFormat="1" ht="12" customHeight="1">
      <c r="A30" s="127"/>
      <c r="B30" s="215"/>
      <c r="C30" s="206"/>
      <c r="D30" s="215"/>
      <c r="E30" s="206"/>
      <c r="F30" s="215"/>
      <c r="G30" s="206"/>
      <c r="H30" s="215"/>
      <c r="I30" s="206"/>
      <c r="J30" s="215"/>
      <c r="K30" s="206"/>
      <c r="L30" s="215"/>
      <c r="M30" s="237"/>
      <c r="N30" s="236"/>
      <c r="O30" s="237"/>
      <c r="P30" s="236"/>
      <c r="Q30" s="237"/>
      <c r="R30" s="236"/>
      <c r="S30" s="237"/>
      <c r="T30" s="236"/>
      <c r="U30" s="237"/>
      <c r="V30" s="127"/>
      <c r="W30" s="127"/>
    </row>
    <row r="31" spans="1:27" s="106" customFormat="1" ht="12" customHeight="1">
      <c r="A31" s="127"/>
      <c r="B31" s="207"/>
      <c r="C31" s="208"/>
      <c r="D31" s="207"/>
      <c r="E31" s="208"/>
      <c r="F31" s="207"/>
      <c r="G31" s="208"/>
      <c r="H31" s="207"/>
      <c r="I31" s="208"/>
      <c r="J31" s="207"/>
      <c r="K31" s="208"/>
      <c r="L31" s="226"/>
      <c r="M31" s="227"/>
      <c r="N31" s="226"/>
      <c r="O31" s="227"/>
      <c r="P31" s="226"/>
      <c r="Q31" s="227"/>
      <c r="R31" s="226"/>
      <c r="S31" s="227"/>
      <c r="T31" s="226"/>
      <c r="U31" s="227"/>
      <c r="V31" s="127"/>
      <c r="W31" s="127"/>
    </row>
    <row r="32" spans="1:27" s="106" customFormat="1" ht="12" customHeight="1">
      <c r="A32" s="127"/>
      <c r="B32" s="207"/>
      <c r="C32" s="208"/>
      <c r="D32" s="207"/>
      <c r="E32" s="208"/>
      <c r="F32" s="207"/>
      <c r="G32" s="208"/>
      <c r="H32" s="207"/>
      <c r="I32" s="208"/>
      <c r="J32" s="207"/>
      <c r="K32" s="208"/>
      <c r="L32" s="226"/>
      <c r="M32" s="227"/>
      <c r="N32" s="226"/>
      <c r="O32" s="227"/>
      <c r="P32" s="226"/>
      <c r="Q32" s="227"/>
      <c r="R32" s="226"/>
      <c r="S32" s="227"/>
      <c r="T32" s="226"/>
      <c r="U32" s="227"/>
      <c r="V32" s="127"/>
      <c r="W32" s="127"/>
    </row>
    <row r="33" spans="1:23" s="106" customFormat="1" ht="12" customHeight="1">
      <c r="A33" s="127"/>
      <c r="B33" s="207"/>
      <c r="C33" s="208"/>
      <c r="D33" s="207"/>
      <c r="E33" s="208"/>
      <c r="F33" s="207"/>
      <c r="G33" s="208"/>
      <c r="H33" s="207"/>
      <c r="I33" s="208"/>
      <c r="J33" s="207"/>
      <c r="K33" s="208"/>
      <c r="L33" s="226"/>
      <c r="M33" s="227"/>
      <c r="N33" s="226"/>
      <c r="O33" s="227"/>
      <c r="P33" s="226"/>
      <c r="Q33" s="227"/>
      <c r="R33" s="226"/>
      <c r="S33" s="227"/>
      <c r="T33" s="226"/>
      <c r="U33" s="227"/>
      <c r="V33" s="127"/>
      <c r="W33" s="127"/>
    </row>
    <row r="34" spans="1:23" s="106" customFormat="1" ht="12" customHeight="1" thickBot="1">
      <c r="A34" s="146">
        <v>4</v>
      </c>
      <c r="B34" s="231"/>
      <c r="C34" s="230"/>
      <c r="D34" s="231"/>
      <c r="E34" s="230"/>
      <c r="F34" s="231"/>
      <c r="G34" s="230"/>
      <c r="H34" s="231"/>
      <c r="I34" s="230"/>
      <c r="J34" s="231"/>
      <c r="K34" s="230"/>
      <c r="L34" s="238"/>
      <c r="M34" s="239"/>
      <c r="N34" s="238"/>
      <c r="O34" s="239"/>
      <c r="P34" s="238"/>
      <c r="Q34" s="239"/>
      <c r="R34" s="238"/>
      <c r="S34" s="239"/>
      <c r="T34" s="238"/>
      <c r="U34" s="239"/>
      <c r="V34" s="127"/>
      <c r="W34" s="127"/>
    </row>
    <row r="35" spans="1:23" s="106" customFormat="1" ht="12" customHeight="1">
      <c r="A35" s="127"/>
      <c r="B35" s="236"/>
      <c r="C35" s="241"/>
      <c r="D35" s="240"/>
      <c r="E35" s="241"/>
      <c r="F35" s="240"/>
      <c r="G35" s="241"/>
      <c r="H35" s="240"/>
      <c r="I35" s="241"/>
      <c r="J35" s="240"/>
      <c r="K35" s="214"/>
      <c r="L35" s="240"/>
      <c r="M35" s="241"/>
      <c r="N35" s="240"/>
      <c r="O35" s="241"/>
      <c r="P35" s="240"/>
      <c r="Q35" s="206"/>
      <c r="R35" s="215"/>
      <c r="S35" s="214"/>
      <c r="T35" s="244"/>
      <c r="U35" s="245"/>
      <c r="V35" s="127"/>
      <c r="W35" s="127"/>
    </row>
    <row r="36" spans="1:23" s="106" customFormat="1" ht="12" customHeight="1">
      <c r="A36" s="127"/>
      <c r="B36" s="242"/>
      <c r="C36" s="243"/>
      <c r="D36" s="242"/>
      <c r="E36" s="243"/>
      <c r="F36" s="242"/>
      <c r="G36" s="243"/>
      <c r="H36" s="242"/>
      <c r="I36" s="243"/>
      <c r="J36" s="242"/>
      <c r="K36" s="210"/>
      <c r="L36" s="242"/>
      <c r="M36" s="243"/>
      <c r="N36" s="242"/>
      <c r="O36" s="243"/>
      <c r="P36" s="242"/>
      <c r="Q36" s="208"/>
      <c r="R36" s="207"/>
      <c r="S36" s="210"/>
      <c r="T36" s="233"/>
      <c r="U36" s="232"/>
      <c r="V36" s="127"/>
      <c r="W36" s="127"/>
    </row>
    <row r="37" spans="1:23" s="106" customFormat="1" ht="12" customHeight="1">
      <c r="A37" s="127"/>
      <c r="B37" s="242"/>
      <c r="C37" s="243"/>
      <c r="D37" s="242"/>
      <c r="E37" s="243"/>
      <c r="F37" s="242"/>
      <c r="G37" s="243"/>
      <c r="H37" s="242"/>
      <c r="I37" s="243"/>
      <c r="J37" s="242"/>
      <c r="K37" s="210"/>
      <c r="L37" s="242"/>
      <c r="M37" s="243"/>
      <c r="N37" s="242"/>
      <c r="O37" s="243"/>
      <c r="P37" s="207"/>
      <c r="Q37" s="208"/>
      <c r="R37" s="209"/>
      <c r="S37" s="232"/>
      <c r="T37" s="233"/>
      <c r="U37" s="232"/>
      <c r="V37" s="127"/>
      <c r="W37" s="127"/>
    </row>
    <row r="38" spans="1:23" s="106" customFormat="1" ht="12" customHeight="1">
      <c r="A38" s="127"/>
      <c r="B38" s="242"/>
      <c r="C38" s="243"/>
      <c r="D38" s="242"/>
      <c r="E38" s="243"/>
      <c r="F38" s="242"/>
      <c r="G38" s="243"/>
      <c r="H38" s="242"/>
      <c r="I38" s="243"/>
      <c r="J38" s="209"/>
      <c r="K38" s="243"/>
      <c r="L38" s="242"/>
      <c r="M38" s="243"/>
      <c r="N38" s="242"/>
      <c r="O38" s="243"/>
      <c r="P38" s="207"/>
      <c r="Q38" s="208"/>
      <c r="R38" s="209"/>
      <c r="S38" s="232"/>
      <c r="T38" s="233"/>
      <c r="U38" s="232"/>
      <c r="V38" s="127"/>
      <c r="W38" s="127"/>
    </row>
    <row r="39" spans="1:23" s="106" customFormat="1" ht="12" customHeight="1" thickBot="1">
      <c r="A39" s="146">
        <v>5</v>
      </c>
      <c r="B39" s="298"/>
      <c r="C39" s="299"/>
      <c r="D39" s="298"/>
      <c r="E39" s="299"/>
      <c r="F39" s="298"/>
      <c r="G39" s="299"/>
      <c r="H39" s="298"/>
      <c r="I39" s="299"/>
      <c r="J39" s="211"/>
      <c r="K39" s="299"/>
      <c r="L39" s="298"/>
      <c r="M39" s="299"/>
      <c r="N39" s="298"/>
      <c r="O39" s="299"/>
      <c r="P39" s="231"/>
      <c r="Q39" s="230"/>
      <c r="R39" s="211"/>
      <c r="S39" s="235"/>
      <c r="T39" s="234"/>
      <c r="U39" s="235"/>
      <c r="V39" s="127"/>
      <c r="W39" s="127"/>
    </row>
    <row r="40" spans="1:23" s="106" customFormat="1" ht="12" customHeight="1">
      <c r="A40" s="127"/>
      <c r="B40" s="244"/>
      <c r="C40" s="245"/>
      <c r="D40" s="233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06"/>
      <c r="P40" s="215"/>
      <c r="Q40" s="206"/>
      <c r="R40" s="215"/>
      <c r="S40" s="206"/>
      <c r="T40" s="215"/>
      <c r="U40" s="206"/>
      <c r="V40" s="127"/>
      <c r="W40" s="127"/>
    </row>
    <row r="41" spans="1:23" s="106" customFormat="1" ht="12" customHeight="1">
      <c r="A41" s="127"/>
      <c r="B41" s="233"/>
      <c r="C41" s="232"/>
      <c r="D41" s="132"/>
      <c r="E41" s="232"/>
      <c r="F41" s="233"/>
      <c r="G41" s="232"/>
      <c r="H41" s="233"/>
      <c r="I41" s="232"/>
      <c r="J41" s="233"/>
      <c r="K41" s="232"/>
      <c r="L41" s="233"/>
      <c r="M41" s="232"/>
      <c r="N41" s="207"/>
      <c r="O41" s="208"/>
      <c r="P41" s="207"/>
      <c r="Q41" s="208"/>
      <c r="R41" s="207"/>
      <c r="S41" s="208"/>
      <c r="T41" s="207"/>
      <c r="U41" s="208"/>
      <c r="V41" s="127"/>
      <c r="W41" s="127"/>
    </row>
    <row r="42" spans="1:23" s="106" customFormat="1" ht="12" customHeight="1">
      <c r="A42" s="127"/>
      <c r="B42" s="233"/>
      <c r="C42" s="232"/>
      <c r="D42" s="233"/>
      <c r="E42" s="232"/>
      <c r="F42" s="233"/>
      <c r="G42" s="232"/>
      <c r="H42" s="233"/>
      <c r="I42" s="232"/>
      <c r="J42" s="233"/>
      <c r="K42" s="232"/>
      <c r="L42" s="233"/>
      <c r="M42" s="232"/>
      <c r="N42" s="207"/>
      <c r="O42" s="208"/>
      <c r="P42" s="207"/>
      <c r="Q42" s="208"/>
      <c r="R42" s="207"/>
      <c r="S42" s="208"/>
      <c r="T42" s="207"/>
      <c r="U42" s="208"/>
      <c r="V42" s="127"/>
      <c r="W42" s="127"/>
    </row>
    <row r="43" spans="1:23" s="106" customFormat="1" ht="12" customHeight="1">
      <c r="A43" s="127"/>
      <c r="B43" s="233"/>
      <c r="C43" s="232"/>
      <c r="D43" s="233"/>
      <c r="E43" s="232"/>
      <c r="F43" s="233"/>
      <c r="G43" s="232"/>
      <c r="H43" s="233"/>
      <c r="I43" s="232"/>
      <c r="J43" s="233"/>
      <c r="K43" s="232"/>
      <c r="L43" s="233"/>
      <c r="M43" s="232"/>
      <c r="N43" s="207"/>
      <c r="O43" s="208"/>
      <c r="P43" s="207"/>
      <c r="Q43" s="208"/>
      <c r="R43" s="207"/>
      <c r="S43" s="208"/>
      <c r="T43" s="207"/>
      <c r="U43" s="208"/>
      <c r="V43" s="127"/>
      <c r="W43" s="127"/>
    </row>
    <row r="44" spans="1:23" s="106" customFormat="1" ht="12" customHeight="1" thickBot="1">
      <c r="A44" s="146">
        <v>6</v>
      </c>
      <c r="B44" s="234"/>
      <c r="C44" s="235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1"/>
      <c r="O44" s="230"/>
      <c r="P44" s="231"/>
      <c r="Q44" s="230"/>
      <c r="R44" s="231"/>
      <c r="S44" s="230"/>
      <c r="T44" s="231"/>
      <c r="U44" s="230"/>
      <c r="V44" s="127"/>
      <c r="W44" s="127"/>
    </row>
    <row r="45" spans="1:23" s="106" customFormat="1" ht="12" customHeight="1">
      <c r="A45" s="127"/>
      <c r="B45" s="215"/>
      <c r="C45" s="214"/>
      <c r="D45" s="244"/>
      <c r="E45" s="245"/>
      <c r="F45" s="244"/>
      <c r="G45" s="245"/>
      <c r="H45" s="244"/>
      <c r="I45" s="245"/>
      <c r="J45" s="244"/>
      <c r="K45" s="245"/>
      <c r="L45" s="215"/>
      <c r="M45" s="241"/>
      <c r="N45" s="240"/>
      <c r="O45" s="241"/>
      <c r="P45" s="215"/>
      <c r="Q45" s="206"/>
      <c r="R45" s="215"/>
      <c r="S45" s="245"/>
      <c r="T45" s="244"/>
      <c r="U45" s="245"/>
      <c r="V45" s="127"/>
      <c r="W45" s="127"/>
    </row>
    <row r="46" spans="1:23" s="106" customFormat="1" ht="12" customHeight="1">
      <c r="A46" s="127"/>
      <c r="B46" s="207"/>
      <c r="C46" s="210"/>
      <c r="D46" s="233"/>
      <c r="E46" s="232"/>
      <c r="F46" s="233"/>
      <c r="G46" s="232"/>
      <c r="H46" s="233"/>
      <c r="I46" s="232"/>
      <c r="J46" s="233"/>
      <c r="K46" s="232"/>
      <c r="L46" s="207"/>
      <c r="M46" s="243"/>
      <c r="N46" s="242"/>
      <c r="O46" s="243"/>
      <c r="P46" s="207"/>
      <c r="Q46" s="208"/>
      <c r="R46" s="233"/>
      <c r="S46" s="232"/>
      <c r="T46" s="233"/>
      <c r="U46" s="232"/>
      <c r="V46" s="127"/>
      <c r="W46" s="127"/>
    </row>
    <row r="47" spans="1:23" s="106" customFormat="1" ht="12" customHeight="1">
      <c r="A47" s="127"/>
      <c r="B47" s="207"/>
      <c r="C47" s="210"/>
      <c r="D47" s="233"/>
      <c r="E47" s="232"/>
      <c r="F47" s="233"/>
      <c r="G47" s="232"/>
      <c r="H47" s="233"/>
      <c r="I47" s="232"/>
      <c r="J47" s="233"/>
      <c r="K47" s="232"/>
      <c r="L47" s="207"/>
      <c r="M47" s="243"/>
      <c r="N47" s="242"/>
      <c r="O47" s="243"/>
      <c r="P47" s="207"/>
      <c r="Q47" s="208"/>
      <c r="R47" s="233"/>
      <c r="S47" s="232"/>
      <c r="T47" s="233"/>
      <c r="U47" s="232"/>
      <c r="V47" s="127"/>
      <c r="W47" s="127"/>
    </row>
    <row r="48" spans="1:23" s="106" customFormat="1" ht="12" customHeight="1">
      <c r="A48" s="127"/>
      <c r="B48" s="207"/>
      <c r="C48" s="210"/>
      <c r="D48" s="233"/>
      <c r="E48" s="232"/>
      <c r="F48" s="233"/>
      <c r="G48" s="232"/>
      <c r="H48" s="233"/>
      <c r="I48" s="232"/>
      <c r="J48" s="233"/>
      <c r="K48" s="232"/>
      <c r="L48" s="207"/>
      <c r="M48" s="243"/>
      <c r="N48" s="242"/>
      <c r="O48" s="208"/>
      <c r="P48" s="207"/>
      <c r="Q48" s="208"/>
      <c r="R48" s="233"/>
      <c r="S48" s="232"/>
      <c r="T48" s="233"/>
      <c r="U48" s="232"/>
      <c r="V48" s="127"/>
      <c r="W48" s="127"/>
    </row>
    <row r="49" spans="1:23" s="106" customFormat="1" ht="12" customHeight="1" thickBot="1">
      <c r="A49" s="146">
        <v>7</v>
      </c>
      <c r="B49" s="231"/>
      <c r="C49" s="212"/>
      <c r="D49" s="234"/>
      <c r="E49" s="235"/>
      <c r="F49" s="234"/>
      <c r="G49" s="235"/>
      <c r="H49" s="234"/>
      <c r="I49" s="235"/>
      <c r="J49" s="234"/>
      <c r="K49" s="235"/>
      <c r="L49" s="298"/>
      <c r="M49" s="299"/>
      <c r="N49" s="298"/>
      <c r="O49" s="230"/>
      <c r="P49" s="231"/>
      <c r="Q49" s="230"/>
      <c r="R49" s="234"/>
      <c r="S49" s="235"/>
      <c r="T49" s="234"/>
      <c r="U49" s="235"/>
      <c r="V49" s="127"/>
      <c r="W49" s="127"/>
    </row>
    <row r="50" spans="1:23" s="106" customFormat="1" ht="12" customHeight="1">
      <c r="A50" s="127"/>
      <c r="B50" s="244"/>
      <c r="C50" s="245"/>
      <c r="D50" s="244"/>
      <c r="E50" s="237"/>
      <c r="F50" s="224"/>
      <c r="G50" s="249"/>
      <c r="H50" s="248"/>
      <c r="I50" s="249"/>
      <c r="J50" s="244"/>
      <c r="K50" s="245"/>
      <c r="L50" s="244"/>
      <c r="M50" s="245"/>
      <c r="N50" s="244"/>
      <c r="O50" s="245"/>
      <c r="P50" s="244"/>
      <c r="Q50" s="245"/>
      <c r="R50" s="244"/>
      <c r="S50" s="245"/>
      <c r="T50" s="233"/>
      <c r="U50" s="245"/>
      <c r="V50" s="127"/>
      <c r="W50" s="127"/>
    </row>
    <row r="51" spans="1:23" s="106" customFormat="1" ht="12" customHeight="1">
      <c r="A51" s="127"/>
      <c r="B51" s="233"/>
      <c r="C51" s="232"/>
      <c r="D51" s="233"/>
      <c r="E51" s="227"/>
      <c r="F51" s="220"/>
      <c r="G51" s="246"/>
      <c r="H51" s="247"/>
      <c r="I51" s="246"/>
      <c r="J51" s="233"/>
      <c r="K51" s="232"/>
      <c r="L51" s="233"/>
      <c r="M51" s="232"/>
      <c r="N51" s="233"/>
      <c r="O51" s="232"/>
      <c r="P51" s="233"/>
      <c r="Q51" s="232"/>
      <c r="R51" s="233"/>
      <c r="S51" s="232"/>
      <c r="T51" s="233"/>
      <c r="U51" s="232"/>
      <c r="V51" s="127"/>
      <c r="W51" s="127"/>
    </row>
    <row r="52" spans="1:23" s="106" customFormat="1" ht="12" customHeight="1">
      <c r="A52" s="127"/>
      <c r="B52" s="233"/>
      <c r="C52" s="232"/>
      <c r="D52" s="233"/>
      <c r="E52" s="227"/>
      <c r="F52" s="220"/>
      <c r="G52" s="246"/>
      <c r="H52" s="247"/>
      <c r="I52" s="246"/>
      <c r="J52" s="233"/>
      <c r="K52" s="232"/>
      <c r="L52" s="233"/>
      <c r="M52" s="232"/>
      <c r="N52" s="233"/>
      <c r="O52" s="232"/>
      <c r="P52" s="233"/>
      <c r="Q52" s="232"/>
      <c r="R52" s="233"/>
      <c r="S52" s="232"/>
      <c r="T52" s="233"/>
      <c r="U52" s="232"/>
      <c r="V52" s="127"/>
      <c r="W52" s="127"/>
    </row>
    <row r="53" spans="1:23" s="106" customFormat="1" ht="12" customHeight="1">
      <c r="A53" s="127"/>
      <c r="B53" s="233"/>
      <c r="C53" s="232"/>
      <c r="D53" s="226"/>
      <c r="E53" s="227"/>
      <c r="F53" s="247"/>
      <c r="G53" s="246"/>
      <c r="H53" s="247"/>
      <c r="I53" s="232"/>
      <c r="J53" s="233"/>
      <c r="K53" s="232"/>
      <c r="L53" s="233"/>
      <c r="M53" s="232"/>
      <c r="N53" s="233"/>
      <c r="O53" s="232"/>
      <c r="P53" s="233"/>
      <c r="Q53" s="232"/>
      <c r="R53" s="233"/>
      <c r="S53" s="232"/>
      <c r="T53" s="233"/>
      <c r="U53" s="232"/>
      <c r="V53" s="127"/>
      <c r="W53" s="127"/>
    </row>
    <row r="54" spans="1:23" s="106" customFormat="1" ht="12" customHeight="1" thickBot="1">
      <c r="A54" s="146">
        <v>8</v>
      </c>
      <c r="B54" s="234"/>
      <c r="C54" s="235"/>
      <c r="D54" s="238"/>
      <c r="E54" s="239"/>
      <c r="F54" s="250"/>
      <c r="G54" s="251"/>
      <c r="H54" s="250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127"/>
      <c r="W54" s="127"/>
    </row>
    <row r="55" spans="1:23" s="106" customFormat="1" ht="12" customHeight="1">
      <c r="A55" s="127"/>
      <c r="B55" s="244"/>
      <c r="C55" s="245"/>
      <c r="D55" s="213"/>
      <c r="E55" s="214"/>
      <c r="F55" s="224"/>
      <c r="G55" s="206"/>
      <c r="H55" s="224"/>
      <c r="I55" s="225"/>
      <c r="J55" s="224"/>
      <c r="K55" s="225"/>
      <c r="L55" s="224"/>
      <c r="M55" s="225"/>
      <c r="N55" s="224"/>
      <c r="O55" s="225"/>
      <c r="P55" s="224"/>
      <c r="Q55" s="225"/>
      <c r="R55" s="217"/>
      <c r="S55" s="216"/>
      <c r="T55" s="217"/>
      <c r="U55" s="216"/>
      <c r="V55" s="127"/>
      <c r="W55" s="127"/>
    </row>
    <row r="56" spans="1:23" s="106" customFormat="1" ht="12" customHeight="1">
      <c r="A56" s="127"/>
      <c r="B56" s="300"/>
      <c r="C56" s="232"/>
      <c r="D56" s="209"/>
      <c r="E56" s="210"/>
      <c r="F56" s="220"/>
      <c r="G56" s="208"/>
      <c r="H56" s="220"/>
      <c r="I56" s="221"/>
      <c r="J56" s="220"/>
      <c r="K56" s="221"/>
      <c r="L56" s="220"/>
      <c r="M56" s="221"/>
      <c r="N56" s="220"/>
      <c r="O56" s="221"/>
      <c r="P56" s="220"/>
      <c r="Q56" s="219"/>
      <c r="R56" s="218"/>
      <c r="S56" s="219"/>
      <c r="T56" s="218"/>
      <c r="U56" s="219"/>
      <c r="V56" s="127"/>
      <c r="W56" s="127"/>
    </row>
    <row r="57" spans="1:23" s="106" customFormat="1" ht="12" customHeight="1">
      <c r="A57" s="127"/>
      <c r="B57" s="300"/>
      <c r="C57" s="232"/>
      <c r="D57" s="209"/>
      <c r="E57" s="210"/>
      <c r="F57" s="220"/>
      <c r="G57" s="208"/>
      <c r="H57" s="220"/>
      <c r="I57" s="221"/>
      <c r="J57" s="220"/>
      <c r="K57" s="221"/>
      <c r="L57" s="220"/>
      <c r="M57" s="221"/>
      <c r="N57" s="220"/>
      <c r="O57" s="221"/>
      <c r="P57" s="220"/>
      <c r="Q57" s="219"/>
      <c r="R57" s="218"/>
      <c r="S57" s="219"/>
      <c r="T57" s="218"/>
      <c r="U57" s="219"/>
      <c r="V57" s="127"/>
      <c r="W57" s="127"/>
    </row>
    <row r="58" spans="1:23" s="106" customFormat="1" ht="12" customHeight="1">
      <c r="A58" s="127"/>
      <c r="B58" s="300"/>
      <c r="C58" s="232"/>
      <c r="D58" s="209"/>
      <c r="E58" s="210"/>
      <c r="F58" s="207"/>
      <c r="G58" s="221"/>
      <c r="H58" s="220"/>
      <c r="I58" s="221"/>
      <c r="J58" s="220"/>
      <c r="K58" s="221"/>
      <c r="L58" s="220"/>
      <c r="M58" s="221"/>
      <c r="N58" s="220"/>
      <c r="O58" s="221"/>
      <c r="P58" s="220"/>
      <c r="Q58" s="219"/>
      <c r="R58" s="218"/>
      <c r="S58" s="219"/>
      <c r="T58" s="218"/>
      <c r="U58" s="219"/>
      <c r="V58" s="127"/>
      <c r="W58" s="127"/>
    </row>
    <row r="59" spans="1:23" s="106" customFormat="1" ht="12" customHeight="1" thickBot="1">
      <c r="A59" s="146">
        <v>9</v>
      </c>
      <c r="B59" s="301"/>
      <c r="C59" s="212"/>
      <c r="D59" s="211"/>
      <c r="E59" s="223"/>
      <c r="F59" s="231"/>
      <c r="G59" s="223"/>
      <c r="H59" s="222"/>
      <c r="I59" s="223"/>
      <c r="J59" s="222"/>
      <c r="K59" s="223"/>
      <c r="L59" s="222"/>
      <c r="M59" s="223"/>
      <c r="N59" s="222"/>
      <c r="O59" s="223"/>
      <c r="P59" s="222"/>
      <c r="Q59" s="229"/>
      <c r="R59" s="228"/>
      <c r="S59" s="229"/>
      <c r="T59" s="228"/>
      <c r="U59" s="229"/>
      <c r="V59" s="127"/>
      <c r="W59" s="127"/>
    </row>
    <row r="60" spans="1:23" s="106" customFormat="1" ht="12" customHeight="1">
      <c r="A60" s="127"/>
      <c r="B60" s="217"/>
      <c r="C60" s="216"/>
      <c r="D60" s="217"/>
      <c r="E60" s="245"/>
      <c r="F60" s="215"/>
      <c r="G60" s="206"/>
      <c r="H60" s="236"/>
      <c r="I60" s="237"/>
      <c r="J60" s="236"/>
      <c r="K60" s="237"/>
      <c r="L60" s="236"/>
      <c r="M60" s="206"/>
      <c r="N60" s="215"/>
      <c r="O60" s="214"/>
      <c r="P60" s="224"/>
      <c r="Q60" s="225"/>
      <c r="R60" s="224"/>
      <c r="S60" s="225"/>
      <c r="T60" s="224"/>
      <c r="U60" s="206"/>
      <c r="V60" s="127"/>
      <c r="W60" s="127"/>
    </row>
    <row r="61" spans="1:23" s="106" customFormat="1" ht="12" customHeight="1">
      <c r="A61" s="127"/>
      <c r="B61" s="218"/>
      <c r="C61" s="219"/>
      <c r="D61" s="218"/>
      <c r="E61" s="232"/>
      <c r="F61" s="207"/>
      <c r="G61" s="208"/>
      <c r="H61" s="226"/>
      <c r="I61" s="227"/>
      <c r="J61" s="226"/>
      <c r="K61" s="227"/>
      <c r="L61" s="226"/>
      <c r="M61" s="208"/>
      <c r="N61" s="207"/>
      <c r="O61" s="210"/>
      <c r="P61" s="220"/>
      <c r="Q61" s="221"/>
      <c r="R61" s="220"/>
      <c r="S61" s="221"/>
      <c r="T61" s="220"/>
      <c r="U61" s="208"/>
      <c r="V61" s="127"/>
      <c r="W61" s="127"/>
    </row>
    <row r="62" spans="1:23" s="106" customFormat="1" ht="12" customHeight="1">
      <c r="A62" s="127"/>
      <c r="B62" s="218"/>
      <c r="C62" s="219"/>
      <c r="D62" s="218"/>
      <c r="E62" s="232"/>
      <c r="F62" s="207"/>
      <c r="G62" s="208"/>
      <c r="H62" s="226"/>
      <c r="I62" s="227"/>
      <c r="J62" s="226"/>
      <c r="K62" s="227"/>
      <c r="L62" s="226"/>
      <c r="M62" s="208"/>
      <c r="N62" s="207"/>
      <c r="O62" s="210"/>
      <c r="P62" s="220"/>
      <c r="Q62" s="221"/>
      <c r="R62" s="220"/>
      <c r="S62" s="221"/>
      <c r="T62" s="220"/>
      <c r="U62" s="208"/>
      <c r="V62" s="127"/>
      <c r="W62" s="127"/>
    </row>
    <row r="63" spans="1:23" s="106" customFormat="1" ht="12" customHeight="1">
      <c r="A63" s="127"/>
      <c r="B63" s="218"/>
      <c r="C63" s="219"/>
      <c r="D63" s="233"/>
      <c r="E63" s="232"/>
      <c r="F63" s="207"/>
      <c r="G63" s="227"/>
      <c r="H63" s="226"/>
      <c r="I63" s="227"/>
      <c r="J63" s="226"/>
      <c r="K63" s="227"/>
      <c r="L63" s="226"/>
      <c r="M63" s="208"/>
      <c r="N63" s="209"/>
      <c r="O63" s="221"/>
      <c r="P63" s="220"/>
      <c r="Q63" s="221"/>
      <c r="R63" s="220"/>
      <c r="S63" s="221"/>
      <c r="T63" s="207"/>
      <c r="U63" s="208"/>
      <c r="V63" s="127"/>
      <c r="W63" s="127"/>
    </row>
    <row r="64" spans="1:23" s="106" customFormat="1" ht="12" customHeight="1" thickBot="1">
      <c r="A64" s="146">
        <v>10</v>
      </c>
      <c r="B64" s="228"/>
      <c r="C64" s="229"/>
      <c r="D64" s="234"/>
      <c r="E64" s="235"/>
      <c r="F64" s="231"/>
      <c r="G64" s="239"/>
      <c r="H64" s="238"/>
      <c r="I64" s="239"/>
      <c r="J64" s="238"/>
      <c r="K64" s="239"/>
      <c r="L64" s="238"/>
      <c r="M64" s="230"/>
      <c r="N64" s="211"/>
      <c r="O64" s="223"/>
      <c r="P64" s="222"/>
      <c r="Q64" s="223"/>
      <c r="R64" s="222"/>
      <c r="S64" s="223"/>
      <c r="T64" s="231"/>
      <c r="U64" s="230"/>
      <c r="V64" s="127"/>
      <c r="W64" s="127"/>
    </row>
    <row r="65" spans="1:23" s="106" customFormat="1" ht="12" customHeight="1">
      <c r="A65" s="127"/>
      <c r="B65" s="215"/>
      <c r="C65" s="245"/>
      <c r="D65" s="244"/>
      <c r="E65" s="245"/>
      <c r="F65" s="244"/>
      <c r="G65" s="245"/>
      <c r="H65" s="244"/>
      <c r="I65" s="245"/>
      <c r="J65" s="244"/>
      <c r="K65" s="214"/>
      <c r="L65" s="215"/>
      <c r="M65" s="245"/>
      <c r="N65" s="244"/>
      <c r="O65" s="245"/>
      <c r="P65" s="244"/>
      <c r="Q65" s="245"/>
      <c r="R65" s="244"/>
      <c r="S65" s="245"/>
      <c r="T65" s="244"/>
      <c r="U65" s="245"/>
      <c r="V65" s="127"/>
      <c r="W65" s="127"/>
    </row>
    <row r="66" spans="1:23" s="106" customFormat="1" ht="12" customHeight="1">
      <c r="A66" s="127"/>
      <c r="B66" s="233"/>
      <c r="C66" s="232"/>
      <c r="D66" s="233"/>
      <c r="E66" s="232"/>
      <c r="F66" s="233"/>
      <c r="G66" s="232"/>
      <c r="H66" s="233"/>
      <c r="I66" s="232"/>
      <c r="J66" s="233"/>
      <c r="K66" s="210"/>
      <c r="L66" s="207"/>
      <c r="M66" s="232"/>
      <c r="N66" s="233"/>
      <c r="O66" s="232"/>
      <c r="P66" s="233"/>
      <c r="Q66" s="232"/>
      <c r="R66" s="233"/>
      <c r="S66" s="232"/>
      <c r="T66" s="233"/>
      <c r="U66" s="232"/>
      <c r="V66" s="127"/>
      <c r="W66" s="127"/>
    </row>
    <row r="67" spans="1:23" s="106" customFormat="1" ht="12" customHeight="1">
      <c r="A67" s="127"/>
      <c r="B67" s="233"/>
      <c r="C67" s="232"/>
      <c r="D67" s="233"/>
      <c r="E67" s="232"/>
      <c r="F67" s="233"/>
      <c r="G67" s="232"/>
      <c r="H67" s="233"/>
      <c r="I67" s="232"/>
      <c r="J67" s="132"/>
      <c r="K67" s="210"/>
      <c r="L67" s="132"/>
      <c r="M67" s="232"/>
      <c r="N67" s="233"/>
      <c r="O67" s="232"/>
      <c r="P67" s="233"/>
      <c r="Q67" s="232"/>
      <c r="R67" s="233"/>
      <c r="S67" s="232"/>
      <c r="T67" s="233"/>
      <c r="U67" s="232"/>
      <c r="V67" s="127"/>
      <c r="W67" s="127"/>
    </row>
    <row r="68" spans="1:23" s="106" customFormat="1" ht="12" customHeight="1">
      <c r="A68" s="127"/>
      <c r="B68" s="233"/>
      <c r="C68" s="232"/>
      <c r="D68" s="233"/>
      <c r="E68" s="232"/>
      <c r="F68" s="233"/>
      <c r="G68" s="232"/>
      <c r="H68" s="233"/>
      <c r="I68" s="232"/>
      <c r="J68" s="233"/>
      <c r="K68" s="210"/>
      <c r="L68" s="233"/>
      <c r="M68" s="232"/>
      <c r="N68" s="233"/>
      <c r="O68" s="232"/>
      <c r="P68" s="233"/>
      <c r="Q68" s="232"/>
      <c r="R68" s="233"/>
      <c r="S68" s="232"/>
      <c r="T68" s="233"/>
      <c r="U68" s="232"/>
      <c r="V68" s="127"/>
      <c r="W68" s="127"/>
    </row>
    <row r="69" spans="1:23" s="106" customFormat="1" ht="12" customHeight="1" thickBot="1">
      <c r="A69" s="146">
        <v>11</v>
      </c>
      <c r="B69" s="234"/>
      <c r="C69" s="235"/>
      <c r="D69" s="234"/>
      <c r="E69" s="235"/>
      <c r="F69" s="234"/>
      <c r="G69" s="235"/>
      <c r="H69" s="234"/>
      <c r="I69" s="235"/>
      <c r="J69" s="209"/>
      <c r="K69" s="230"/>
      <c r="L69" s="233"/>
      <c r="M69" s="235"/>
      <c r="N69" s="234"/>
      <c r="O69" s="235"/>
      <c r="P69" s="234"/>
      <c r="Q69" s="235"/>
      <c r="R69" s="234"/>
      <c r="S69" s="235"/>
      <c r="T69" s="234"/>
      <c r="U69" s="235"/>
      <c r="V69" s="127"/>
      <c r="W69" s="127"/>
    </row>
    <row r="70" spans="1:23" s="106" customFormat="1" ht="12" customHeight="1">
      <c r="A70" s="127"/>
      <c r="B70" s="244"/>
      <c r="C70" s="245"/>
      <c r="D70" s="248"/>
      <c r="E70" s="249"/>
      <c r="F70" s="248"/>
      <c r="G70" s="249"/>
      <c r="H70" s="248"/>
      <c r="I70" s="249"/>
      <c r="J70" s="248"/>
      <c r="K70" s="249"/>
      <c r="L70" s="248"/>
      <c r="M70" s="249"/>
      <c r="N70" s="248"/>
      <c r="O70" s="249"/>
      <c r="P70" s="248"/>
      <c r="Q70" s="249"/>
      <c r="R70" s="248"/>
      <c r="S70" s="249"/>
      <c r="T70" s="248"/>
      <c r="U70" s="249"/>
      <c r="V70" s="127"/>
      <c r="W70" s="127"/>
    </row>
    <row r="71" spans="1:23" s="106" customFormat="1" ht="12" customHeight="1">
      <c r="A71" s="127"/>
      <c r="B71" s="233"/>
      <c r="C71" s="246"/>
      <c r="D71" s="247"/>
      <c r="E71" s="246"/>
      <c r="F71" s="247"/>
      <c r="G71" s="246"/>
      <c r="H71" s="247"/>
      <c r="I71" s="246"/>
      <c r="J71" s="247"/>
      <c r="K71" s="246"/>
      <c r="L71" s="247"/>
      <c r="M71" s="246"/>
      <c r="N71" s="247"/>
      <c r="O71" s="246"/>
      <c r="P71" s="247"/>
      <c r="Q71" s="246"/>
      <c r="R71" s="247"/>
      <c r="S71" s="246"/>
      <c r="T71" s="247"/>
      <c r="U71" s="246"/>
      <c r="V71" s="127"/>
      <c r="W71" s="127"/>
    </row>
    <row r="72" spans="1:23" s="106" customFormat="1" ht="12" customHeight="1">
      <c r="A72" s="127"/>
      <c r="B72" s="233"/>
      <c r="C72" s="246"/>
      <c r="D72" s="247"/>
      <c r="E72" s="246"/>
      <c r="F72" s="247"/>
      <c r="G72" s="246"/>
      <c r="H72" s="247"/>
      <c r="I72" s="246"/>
      <c r="J72" s="247"/>
      <c r="K72" s="246"/>
      <c r="L72" s="247"/>
      <c r="M72" s="246"/>
      <c r="N72" s="247"/>
      <c r="O72" s="246"/>
      <c r="P72" s="247"/>
      <c r="Q72" s="246"/>
      <c r="R72" s="247"/>
      <c r="S72" s="246"/>
      <c r="T72" s="247"/>
      <c r="U72" s="246"/>
      <c r="V72" s="127"/>
      <c r="W72" s="127"/>
    </row>
    <row r="73" spans="1:23" s="106" customFormat="1" ht="12" customHeight="1">
      <c r="A73" s="127"/>
      <c r="B73" s="233"/>
      <c r="C73" s="246"/>
      <c r="D73" s="247"/>
      <c r="E73" s="246"/>
      <c r="F73" s="247"/>
      <c r="G73" s="246"/>
      <c r="H73" s="247"/>
      <c r="I73" s="246"/>
      <c r="J73" s="247"/>
      <c r="K73" s="246"/>
      <c r="L73" s="247"/>
      <c r="M73" s="246"/>
      <c r="N73" s="247"/>
      <c r="O73" s="246"/>
      <c r="P73" s="247"/>
      <c r="Q73" s="246"/>
      <c r="R73" s="247"/>
      <c r="S73" s="246"/>
      <c r="T73" s="247"/>
      <c r="U73" s="246"/>
      <c r="V73" s="127"/>
      <c r="W73" s="127"/>
    </row>
    <row r="74" spans="1:23" s="106" customFormat="1" ht="12" customHeight="1" thickBot="1">
      <c r="A74" s="146">
        <v>12</v>
      </c>
      <c r="B74" s="234"/>
      <c r="C74" s="251"/>
      <c r="D74" s="250"/>
      <c r="E74" s="251"/>
      <c r="F74" s="250"/>
      <c r="G74" s="251"/>
      <c r="H74" s="250"/>
      <c r="I74" s="251"/>
      <c r="J74" s="250"/>
      <c r="K74" s="251"/>
      <c r="L74" s="250"/>
      <c r="M74" s="251"/>
      <c r="N74" s="250"/>
      <c r="O74" s="251"/>
      <c r="P74" s="250"/>
      <c r="Q74" s="251"/>
      <c r="R74" s="250"/>
      <c r="S74" s="251"/>
      <c r="T74" s="250"/>
      <c r="U74" s="251"/>
      <c r="V74" s="127"/>
      <c r="W74" s="127"/>
    </row>
    <row r="75" spans="1:23" s="106" customFormat="1" ht="12" customHeight="1">
      <c r="A75" s="127"/>
      <c r="B75" s="248"/>
      <c r="C75" s="249"/>
      <c r="D75" s="248"/>
      <c r="E75" s="249"/>
      <c r="F75" s="248"/>
      <c r="G75" s="225"/>
      <c r="H75" s="224"/>
      <c r="I75" s="214"/>
      <c r="J75" s="485"/>
      <c r="K75" s="488"/>
      <c r="L75" s="491"/>
      <c r="M75" s="494"/>
      <c r="N75" s="491"/>
      <c r="O75" s="494"/>
      <c r="P75" s="491"/>
      <c r="Q75" s="494"/>
      <c r="R75" s="491"/>
      <c r="S75" s="494"/>
      <c r="T75" s="491"/>
      <c r="U75" s="494"/>
      <c r="V75" s="127"/>
      <c r="W75" s="127"/>
    </row>
    <row r="76" spans="1:23" s="106" customFormat="1" ht="12" customHeight="1">
      <c r="A76" s="127"/>
      <c r="B76" s="247"/>
      <c r="C76" s="246"/>
      <c r="D76" s="247"/>
      <c r="E76" s="246"/>
      <c r="F76" s="220"/>
      <c r="G76" s="221"/>
      <c r="H76" s="220"/>
      <c r="I76" s="210"/>
      <c r="J76" s="486"/>
      <c r="K76" s="483"/>
      <c r="L76" s="492"/>
      <c r="M76" s="489"/>
      <c r="N76" s="492"/>
      <c r="O76" s="489"/>
      <c r="P76" s="492"/>
      <c r="Q76" s="489"/>
      <c r="R76" s="492"/>
      <c r="S76" s="489"/>
      <c r="T76" s="492"/>
      <c r="U76" s="489"/>
      <c r="V76" s="127"/>
      <c r="W76" s="127"/>
    </row>
    <row r="77" spans="1:23" s="106" customFormat="1" ht="12" customHeight="1">
      <c r="A77" s="127"/>
      <c r="B77" s="247"/>
      <c r="C77" s="246"/>
      <c r="D77" s="247"/>
      <c r="E77" s="246"/>
      <c r="F77" s="220"/>
      <c r="G77" s="221"/>
      <c r="H77" s="220"/>
      <c r="I77" s="210"/>
      <c r="J77" s="486"/>
      <c r="K77" s="489"/>
      <c r="L77" s="492"/>
      <c r="M77" s="489"/>
      <c r="N77" s="492"/>
      <c r="O77" s="489"/>
      <c r="P77" s="492"/>
      <c r="Q77" s="489"/>
      <c r="R77" s="492"/>
      <c r="S77" s="489"/>
      <c r="T77" s="492"/>
      <c r="U77" s="489"/>
      <c r="V77" s="127"/>
      <c r="W77" s="127"/>
    </row>
    <row r="78" spans="1:23" s="106" customFormat="1" ht="12" customHeight="1">
      <c r="A78" s="127"/>
      <c r="B78" s="247"/>
      <c r="C78" s="246"/>
      <c r="D78" s="247"/>
      <c r="E78" s="246"/>
      <c r="F78" s="220"/>
      <c r="G78" s="221"/>
      <c r="H78" s="209"/>
      <c r="I78" s="483"/>
      <c r="J78" s="486"/>
      <c r="K78" s="489"/>
      <c r="L78" s="492"/>
      <c r="M78" s="489"/>
      <c r="N78" s="492"/>
      <c r="O78" s="489"/>
      <c r="P78" s="492"/>
      <c r="Q78" s="489"/>
      <c r="R78" s="492"/>
      <c r="S78" s="489"/>
      <c r="T78" s="492"/>
      <c r="U78" s="489"/>
      <c r="V78" s="127"/>
      <c r="W78" s="127"/>
    </row>
    <row r="79" spans="1:23" s="106" customFormat="1" ht="12" customHeight="1" thickBot="1">
      <c r="A79" s="146">
        <v>13</v>
      </c>
      <c r="B79" s="250"/>
      <c r="C79" s="251"/>
      <c r="D79" s="250"/>
      <c r="E79" s="251"/>
      <c r="F79" s="222"/>
      <c r="G79" s="223"/>
      <c r="H79" s="211"/>
      <c r="I79" s="484"/>
      <c r="J79" s="487"/>
      <c r="K79" s="490"/>
      <c r="L79" s="493"/>
      <c r="M79" s="490"/>
      <c r="N79" s="493"/>
      <c r="O79" s="490"/>
      <c r="P79" s="493"/>
      <c r="Q79" s="490"/>
      <c r="R79" s="493"/>
      <c r="S79" s="490"/>
      <c r="T79" s="493"/>
      <c r="U79" s="490"/>
      <c r="V79" s="127"/>
      <c r="W79" s="127"/>
    </row>
    <row r="80" spans="1:23" s="106" customFormat="1" ht="12" customHeight="1">
      <c r="A80" s="127"/>
      <c r="B80" s="491"/>
      <c r="C80" s="488"/>
      <c r="D80" s="496"/>
      <c r="E80" s="488"/>
      <c r="F80" s="485"/>
      <c r="G80" s="529"/>
      <c r="H80" s="532"/>
      <c r="I80" s="535"/>
      <c r="J80" s="532"/>
      <c r="K80" s="529"/>
      <c r="L80" s="539"/>
      <c r="M80" s="535"/>
      <c r="N80" s="543"/>
      <c r="O80" s="546"/>
      <c r="P80" s="543"/>
      <c r="Q80" s="529"/>
      <c r="R80" s="532"/>
      <c r="S80" s="529"/>
      <c r="T80" s="532"/>
      <c r="U80" s="529"/>
      <c r="V80" s="127"/>
      <c r="W80" s="127"/>
    </row>
    <row r="81" spans="1:23" s="106" customFormat="1" ht="12" customHeight="1">
      <c r="A81" s="127"/>
      <c r="B81" s="486"/>
      <c r="C81" s="483"/>
      <c r="D81" s="497"/>
      <c r="E81" s="483"/>
      <c r="F81" s="527"/>
      <c r="G81" s="530"/>
      <c r="H81" s="527"/>
      <c r="I81" s="536"/>
      <c r="J81" s="527"/>
      <c r="K81" s="530"/>
      <c r="L81" s="540"/>
      <c r="M81" s="536"/>
      <c r="N81" s="544"/>
      <c r="O81" s="541"/>
      <c r="P81" s="527"/>
      <c r="Q81" s="530"/>
      <c r="R81" s="527"/>
      <c r="S81" s="530"/>
      <c r="T81" s="527"/>
      <c r="U81" s="530"/>
      <c r="V81" s="127"/>
      <c r="W81" s="127"/>
    </row>
    <row r="82" spans="1:23" s="106" customFormat="1" ht="12" customHeight="1">
      <c r="A82" s="127"/>
      <c r="B82" s="486"/>
      <c r="C82" s="483"/>
      <c r="D82" s="497"/>
      <c r="E82" s="483"/>
      <c r="F82" s="527"/>
      <c r="G82" s="530"/>
      <c r="H82" s="533"/>
      <c r="I82" s="530"/>
      <c r="J82" s="527"/>
      <c r="K82" s="530"/>
      <c r="L82" s="540"/>
      <c r="M82" s="536"/>
      <c r="N82" s="544"/>
      <c r="O82" s="541"/>
      <c r="P82" s="527"/>
      <c r="Q82" s="530"/>
      <c r="R82" s="527"/>
      <c r="S82" s="530"/>
      <c r="T82" s="527"/>
      <c r="U82" s="530"/>
      <c r="V82" s="127"/>
      <c r="W82" s="127"/>
    </row>
    <row r="83" spans="1:23" s="106" customFormat="1" ht="12" customHeight="1">
      <c r="A83" s="127"/>
      <c r="B83" s="486"/>
      <c r="C83" s="483"/>
      <c r="D83" s="497"/>
      <c r="E83" s="483"/>
      <c r="F83" s="527"/>
      <c r="G83" s="530"/>
      <c r="H83" s="533"/>
      <c r="I83" s="530"/>
      <c r="J83" s="527"/>
      <c r="K83" s="537"/>
      <c r="L83" s="533"/>
      <c r="M83" s="541"/>
      <c r="N83" s="544"/>
      <c r="O83" s="541"/>
      <c r="P83" s="527"/>
      <c r="Q83" s="530"/>
      <c r="R83" s="527"/>
      <c r="S83" s="530"/>
      <c r="T83" s="527"/>
      <c r="U83" s="530"/>
      <c r="V83" s="127"/>
      <c r="W83" s="127"/>
    </row>
    <row r="84" spans="1:23" s="106" customFormat="1" ht="12" customHeight="1" thickBot="1">
      <c r="A84" s="146">
        <v>14</v>
      </c>
      <c r="B84" s="487"/>
      <c r="C84" s="495"/>
      <c r="D84" s="487"/>
      <c r="E84" s="484"/>
      <c r="F84" s="528"/>
      <c r="G84" s="531"/>
      <c r="H84" s="534"/>
      <c r="I84" s="531"/>
      <c r="J84" s="528"/>
      <c r="K84" s="538"/>
      <c r="L84" s="534"/>
      <c r="M84" s="542"/>
      <c r="N84" s="545"/>
      <c r="O84" s="542"/>
      <c r="P84" s="528"/>
      <c r="Q84" s="531"/>
      <c r="R84" s="527"/>
      <c r="S84" s="531"/>
      <c r="T84" s="528"/>
      <c r="U84" s="531"/>
      <c r="V84" s="127"/>
      <c r="W84" s="127"/>
    </row>
    <row r="85" spans="1:23" s="106" customFormat="1" ht="12" customHeight="1">
      <c r="A85" s="127"/>
      <c r="B85" s="532"/>
      <c r="C85" s="529"/>
      <c r="D85" s="539"/>
      <c r="E85" s="548"/>
      <c r="F85" s="532"/>
      <c r="G85" s="529"/>
      <c r="H85" s="532"/>
      <c r="I85" s="546"/>
      <c r="J85" s="543"/>
      <c r="K85" s="546"/>
      <c r="L85" s="543"/>
      <c r="M85" s="535"/>
      <c r="N85" s="549"/>
      <c r="O85" s="552"/>
      <c r="P85" s="549"/>
      <c r="Q85" s="552"/>
      <c r="R85" s="549"/>
      <c r="S85" s="552"/>
      <c r="T85" s="549"/>
      <c r="U85" s="552"/>
      <c r="V85" s="127"/>
      <c r="W85" s="127"/>
    </row>
    <row r="86" spans="1:23" s="106" customFormat="1" ht="12" customHeight="1">
      <c r="A86" s="127"/>
      <c r="B86" s="527"/>
      <c r="C86" s="530"/>
      <c r="D86" s="540"/>
      <c r="E86" s="537"/>
      <c r="F86" s="527"/>
      <c r="G86" s="530"/>
      <c r="H86" s="527"/>
      <c r="I86" s="541"/>
      <c r="J86" s="544"/>
      <c r="K86" s="541"/>
      <c r="L86" s="544"/>
      <c r="M86" s="536"/>
      <c r="N86" s="550"/>
      <c r="O86" s="553"/>
      <c r="P86" s="550"/>
      <c r="Q86" s="553"/>
      <c r="R86" s="550"/>
      <c r="S86" s="553"/>
      <c r="T86" s="550"/>
      <c r="U86" s="530"/>
      <c r="V86" s="127"/>
      <c r="W86" s="127"/>
    </row>
    <row r="87" spans="1:23" s="106" customFormat="1" ht="12" customHeight="1">
      <c r="A87" s="127"/>
      <c r="B87" s="527"/>
      <c r="C87" s="537"/>
      <c r="D87" s="540"/>
      <c r="E87" s="537"/>
      <c r="F87" s="527"/>
      <c r="G87" s="530"/>
      <c r="H87" s="544"/>
      <c r="I87" s="541"/>
      <c r="J87" s="544"/>
      <c r="K87" s="541"/>
      <c r="L87" s="533"/>
      <c r="M87" s="530"/>
      <c r="N87" s="550"/>
      <c r="O87" s="553"/>
      <c r="P87" s="550"/>
      <c r="Q87" s="553"/>
      <c r="R87" s="550"/>
      <c r="S87" s="553"/>
      <c r="T87" s="550"/>
      <c r="U87" s="530"/>
      <c r="V87" s="127"/>
      <c r="W87" s="127"/>
    </row>
    <row r="88" spans="1:23" s="106" customFormat="1" ht="12" customHeight="1">
      <c r="A88" s="127"/>
      <c r="B88" s="527"/>
      <c r="C88" s="537"/>
      <c r="D88" s="540"/>
      <c r="E88" s="537"/>
      <c r="F88" s="527"/>
      <c r="G88" s="530"/>
      <c r="H88" s="544"/>
      <c r="I88" s="541"/>
      <c r="J88" s="544"/>
      <c r="K88" s="541"/>
      <c r="L88" s="533"/>
      <c r="M88" s="530"/>
      <c r="N88" s="550"/>
      <c r="O88" s="553"/>
      <c r="P88" s="550"/>
      <c r="Q88" s="553"/>
      <c r="R88" s="550"/>
      <c r="S88" s="553"/>
      <c r="T88" s="550"/>
      <c r="U88" s="530"/>
      <c r="V88" s="127"/>
      <c r="W88" s="127"/>
    </row>
    <row r="89" spans="1:23" s="106" customFormat="1" ht="12" customHeight="1" thickBot="1">
      <c r="A89" s="146">
        <v>15</v>
      </c>
      <c r="B89" s="528"/>
      <c r="C89" s="538"/>
      <c r="D89" s="547"/>
      <c r="E89" s="531"/>
      <c r="F89" s="528"/>
      <c r="G89" s="531"/>
      <c r="H89" s="545"/>
      <c r="I89" s="542"/>
      <c r="J89" s="545"/>
      <c r="K89" s="542"/>
      <c r="L89" s="534"/>
      <c r="M89" s="531"/>
      <c r="N89" s="551"/>
      <c r="O89" s="554"/>
      <c r="P89" s="551"/>
      <c r="Q89" s="554"/>
      <c r="R89" s="551"/>
      <c r="S89" s="554"/>
      <c r="T89" s="551"/>
      <c r="U89" s="531"/>
      <c r="V89" s="127"/>
      <c r="W89" s="127"/>
    </row>
    <row r="90" spans="1:23" s="106" customFormat="1" ht="12" customHeight="1">
      <c r="A90" s="127"/>
      <c r="B90" s="532"/>
      <c r="C90" s="180"/>
      <c r="D90" s="179"/>
      <c r="E90" s="180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s="106" customFormat="1" ht="12" customHeight="1">
      <c r="A91" s="127"/>
      <c r="B91" s="181"/>
      <c r="C91" s="182"/>
      <c r="D91" s="181"/>
      <c r="E91" s="182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s="106" customFormat="1" ht="12" customHeight="1">
      <c r="A92" s="127"/>
      <c r="B92" s="181"/>
      <c r="C92" s="182"/>
      <c r="D92" s="181"/>
      <c r="E92" s="182"/>
      <c r="F92" s="181"/>
      <c r="G92" s="182"/>
      <c r="H92" s="181"/>
      <c r="I92" s="182"/>
      <c r="J92" s="131"/>
      <c r="K92" s="182"/>
      <c r="L92" s="131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s="106" customFormat="1" ht="12" customHeight="1">
      <c r="A93" s="127"/>
      <c r="B93" s="181"/>
      <c r="C93" s="182"/>
      <c r="D93" s="181"/>
      <c r="E93" s="182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s="106" customFormat="1" ht="12" customHeight="1" thickBot="1">
      <c r="A94" s="146">
        <v>16</v>
      </c>
      <c r="B94" s="184"/>
      <c r="C94" s="183"/>
      <c r="D94" s="184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s="106" customFormat="1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s="106" customFormat="1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s="106" customFormat="1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s="106" customFormat="1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s="106" customFormat="1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s="106" customFormat="1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s="106" customFormat="1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s="106" customFormat="1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s="106" customFormat="1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s="106" customFormat="1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s="106" customFormat="1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s="106" customFormat="1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s="106" customFormat="1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s="106" customFormat="1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s="106" customFormat="1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s="106" customFormat="1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s="106" customFormat="1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s="106" customFormat="1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s="106" customFormat="1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s="106" customFormat="1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s="106" customFormat="1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s="106" customFormat="1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s="106" customFormat="1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s="106" customFormat="1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s="106" customFormat="1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s="106" customFormat="1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s="106" customFormat="1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s="106" customFormat="1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s="106" customFormat="1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s="106" customFormat="1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s="106" customFormat="1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s="106" customFormat="1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s="106" customFormat="1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s="106" customFormat="1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s="106" customFormat="1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s="106" customFormat="1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s="106" customFormat="1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s="106" customFormat="1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s="106" customFormat="1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s="106" customFormat="1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s="106" customFormat="1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s="106" customFormat="1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s="106" customFormat="1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s="106" customFormat="1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s="106" customFormat="1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s="106" customFormat="1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s="106" customFormat="1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s="106" customFormat="1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s="106" customFormat="1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s="106" customFormat="1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HYPERLINK("#'10월'!A1","← 10월 월간 가계부로 돌아가기")</f>
        <v>← 10월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1501000</v>
      </c>
      <c r="J149" s="366"/>
      <c r="K149" s="366"/>
      <c r="L149" s="366"/>
      <c r="M149" s="366"/>
      <c r="N149" s="367"/>
      <c r="O149" s="423" t="b">
        <f>IF('10월'!AA1,I149=('10월'!M28),"미입력")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1501000</v>
      </c>
      <c r="J150" s="366"/>
      <c r="K150" s="366"/>
      <c r="L150" s="366"/>
      <c r="M150" s="366"/>
      <c r="N150" s="367"/>
      <c r="O150" s="423" t="b">
        <f>IF('10월'!AA1,I150=('10월'!I38),"미입력")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82" t="inlineStr">
        <is>
          <t xml:space="preserve">10/18까지 본인 생활비 반영. 이전 색상·블록 유지 + 180칸 추가. 공금 사용·미회수 대납 103,600원·생신 예비비 239,000원은 중복 합산하지 않음.</t>
        </is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:W1"/>
    <mergeCell ref="I150:N150"/>
    <mergeCell ref="A146:W146"/>
    <mergeCell ref="I151:N151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/>
      <c r="I5" s="45">
        <f>SUM(B5:H5)</f>
        <v>0</v>
      </c>
      <c r="J5" s="12"/>
      <c r="K5" s="38" t="s">
        <v>451</v>
      </c>
      <c r="L5" s="38" t="s">
        <v>743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</c>
      <c r="I6" s="45">
        <f>SUM(B6:H6)</f>
        <v>0</v>
      </c>
      <c r="J6" s="12"/>
      <c r="K6" s="31" t="s">
        <v>456</v>
      </c>
      <c r="L6" s="31" t="s">
        <v>743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2">IF(COUNTA(B9:B10)=0,"",B9-B10)</f>
      </c>
      <c r="C11" s="27">
        <f t="shared" si="2"/>
      </c>
      <c r="D11" s="27">
        <f t="shared" si="2"/>
      </c>
      <c r="E11" s="27">
        <f t="shared" si="2"/>
      </c>
      <c r="F11" s="27">
        <f t="shared" si="2"/>
      </c>
      <c r="G11" s="27">
        <f t="shared" si="2"/>
      </c>
      <c r="H11" s="27">
        <f t="shared" si="2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3">IF(COUNTA(B14:B15)=0,"",B14-B15)</f>
      </c>
      <c r="C16" s="27">
        <f t="shared" si="3"/>
      </c>
      <c r="D16" s="27">
        <f t="shared" si="3"/>
      </c>
      <c r="E16" s="27">
        <f t="shared" si="3"/>
      </c>
      <c r="F16" s="27">
        <f t="shared" si="3"/>
      </c>
      <c r="G16" s="27">
        <f t="shared" si="3"/>
      </c>
      <c r="H16" s="27">
        <f t="shared" si="3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4">IF(COUNTA(B19:B20)=0,"",B19-B20)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744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601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35"/>
      <c r="G24" s="35"/>
      <c r="H24" s="35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505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35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>
        <f t="shared" si="5"/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HYPERLINK("#'11월계산기'!A1","계산기 대조 · 11월계산기 열기")</f>
        <v>계산기 대조 · 11월계산기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'11월계산기'!W12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 t="s">
        <v>446</v>
      </c>
      <c r="B29" s="35"/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'11월계산기'!W13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 t="s">
        <v>445</v>
      </c>
      <c r="B30" s="35"/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 t="s">
        <v>323</v>
      </c>
      <c r="B31" s="27">
        <f>IF(COUNTA(B29:B30)=0,"",B29-B30)</f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425" t="s">
        <v>240</v>
      </c>
      <c r="L31" s="367"/>
      <c r="M31" s="431">
        <f>'11월계산기'!W14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I33-'_예비비계산'!AG12</f>
        <v>0</v>
      </c>
      <c r="I38" s="27">
        <f>SUM(I4,I9,I14,I19,I24,I29)-'_예비비계산'!AH12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'_예비비계산'!AD12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'_예비비계산'!AF12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0+'_예비비계산'!AH12</f>
        <v>0</v>
      </c>
    </row>
    <row r="15" spans="1:27" ht="12" customHeight="1">
      <c r="A15" s="127"/>
      <c r="B15" s="252"/>
      <c r="C15" s="253"/>
      <c r="D15" s="252"/>
      <c r="E15" s="253"/>
      <c r="F15" s="252"/>
      <c r="G15" s="253"/>
      <c r="H15" s="252"/>
      <c r="I15" s="253"/>
      <c r="J15" s="252"/>
      <c r="K15" s="253"/>
      <c r="L15" s="252"/>
      <c r="M15" s="253"/>
      <c r="N15" s="252"/>
      <c r="O15" s="253"/>
      <c r="P15" s="252"/>
      <c r="Q15" s="253"/>
      <c r="R15" s="252"/>
      <c r="S15" s="253"/>
      <c r="T15" s="252"/>
      <c r="U15" s="2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254"/>
      <c r="C16" s="255"/>
      <c r="D16" s="254"/>
      <c r="E16" s="255"/>
      <c r="F16" s="254"/>
      <c r="G16" s="255"/>
      <c r="H16" s="254"/>
      <c r="I16" s="255"/>
      <c r="J16" s="254"/>
      <c r="K16" s="255"/>
      <c r="L16" s="254"/>
      <c r="M16" s="255"/>
      <c r="N16" s="254"/>
      <c r="O16" s="255"/>
      <c r="P16" s="254"/>
      <c r="Q16" s="255"/>
      <c r="R16" s="254"/>
      <c r="S16" s="255"/>
      <c r="T16" s="254"/>
      <c r="U16" s="255"/>
      <c r="V16" s="304" t="s">
        <v>232</v>
      </c>
      <c r="W16" s="305">
        <f>SUM(W3:W10)</f>
        <v>0</v>
      </c>
    </row>
    <row r="17" spans="1:27" ht="12" customHeight="1">
      <c r="A17" s="127"/>
      <c r="B17" s="254"/>
      <c r="C17" s="255"/>
      <c r="D17" s="254"/>
      <c r="E17" s="255"/>
      <c r="F17" s="254"/>
      <c r="G17" s="255"/>
      <c r="H17" s="254"/>
      <c r="I17" s="255"/>
      <c r="J17" s="254"/>
      <c r="K17" s="255"/>
      <c r="L17" s="254"/>
      <c r="M17" s="255"/>
      <c r="N17" s="254"/>
      <c r="O17" s="255"/>
      <c r="P17" s="254"/>
      <c r="Q17" s="255"/>
      <c r="R17" s="254"/>
      <c r="S17" s="255"/>
      <c r="T17" s="254"/>
      <c r="U17" s="25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254"/>
      <c r="C18" s="255"/>
      <c r="D18" s="254"/>
      <c r="E18" s="255"/>
      <c r="F18" s="254"/>
      <c r="G18" s="255"/>
      <c r="H18" s="254"/>
      <c r="I18" s="255"/>
      <c r="J18" s="254"/>
      <c r="K18" s="255"/>
      <c r="L18" s="254"/>
      <c r="M18" s="255"/>
      <c r="N18" s="254"/>
      <c r="O18" s="255"/>
      <c r="P18" s="254"/>
      <c r="Q18" s="255"/>
      <c r="R18" s="254"/>
      <c r="S18" s="255"/>
      <c r="T18" s="254"/>
      <c r="U18" s="255"/>
      <c r="V18" s="127"/>
      <c r="W18" s="127"/>
    </row>
    <row r="19" spans="1:27" ht="12" customHeight="1" thickBot="1">
      <c r="A19" s="146">
        <v>1</v>
      </c>
      <c r="B19" s="256"/>
      <c r="C19" s="257"/>
      <c r="D19" s="256"/>
      <c r="E19" s="257"/>
      <c r="F19" s="256"/>
      <c r="G19" s="257"/>
      <c r="H19" s="256"/>
      <c r="I19" s="257"/>
      <c r="J19" s="256"/>
      <c r="K19" s="257"/>
      <c r="L19" s="256"/>
      <c r="M19" s="257"/>
      <c r="N19" s="256"/>
      <c r="O19" s="257"/>
      <c r="P19" s="256"/>
      <c r="Q19" s="257"/>
      <c r="R19" s="256"/>
      <c r="S19" s="257"/>
      <c r="T19" s="256"/>
      <c r="U19" s="257"/>
      <c r="V19" s="127"/>
      <c r="W19" s="127"/>
    </row>
    <row r="20" spans="1:27" ht="12" customHeight="1">
      <c r="A20" s="127"/>
      <c r="B20" s="252"/>
      <c r="C20" s="253"/>
      <c r="D20" s="252"/>
      <c r="E20" s="253"/>
      <c r="F20" s="252"/>
      <c r="G20" s="253"/>
      <c r="H20" s="252"/>
      <c r="I20" s="253"/>
      <c r="J20" s="252"/>
      <c r="K20" s="253"/>
      <c r="L20" s="252"/>
      <c r="M20" s="253"/>
      <c r="N20" s="252"/>
      <c r="O20" s="253"/>
      <c r="P20" s="252"/>
      <c r="Q20" s="253"/>
      <c r="R20" s="252"/>
      <c r="S20" s="253"/>
      <c r="T20" s="252"/>
      <c r="U20" s="253"/>
      <c r="V20" s="127"/>
      <c r="W20" s="127"/>
    </row>
    <row r="21" spans="1:27" ht="12" customHeight="1">
      <c r="A21" s="127"/>
      <c r="B21" s="254"/>
      <c r="C21" s="255"/>
      <c r="D21" s="254"/>
      <c r="E21" s="255"/>
      <c r="F21" s="254"/>
      <c r="G21" s="255"/>
      <c r="H21" s="254"/>
      <c r="I21" s="255"/>
      <c r="J21" s="254"/>
      <c r="K21" s="255"/>
      <c r="L21" s="254"/>
      <c r="M21" s="255"/>
      <c r="N21" s="254"/>
      <c r="O21" s="255"/>
      <c r="P21" s="254"/>
      <c r="Q21" s="255"/>
      <c r="R21" s="254"/>
      <c r="S21" s="255"/>
      <c r="T21" s="254"/>
      <c r="U21" s="255"/>
      <c r="V21" s="127"/>
      <c r="W21" s="127"/>
    </row>
    <row r="22" spans="1:27" ht="12" customHeight="1">
      <c r="A22" s="127"/>
      <c r="B22" s="254"/>
      <c r="C22" s="255"/>
      <c r="D22" s="254"/>
      <c r="E22" s="255"/>
      <c r="F22" s="254"/>
      <c r="G22" s="255"/>
      <c r="H22" s="254"/>
      <c r="I22" s="255"/>
      <c r="J22" s="254"/>
      <c r="K22" s="255"/>
      <c r="L22" s="254"/>
      <c r="M22" s="255"/>
      <c r="N22" s="254"/>
      <c r="O22" s="255"/>
      <c r="P22" s="254"/>
      <c r="Q22" s="255"/>
      <c r="R22" s="254"/>
      <c r="S22" s="255"/>
      <c r="T22" s="254"/>
      <c r="U22" s="255"/>
      <c r="V22" s="127"/>
      <c r="W22" s="127"/>
    </row>
    <row r="23" spans="1:27" ht="12" customHeight="1">
      <c r="A23" s="127"/>
      <c r="B23" s="254"/>
      <c r="C23" s="255"/>
      <c r="D23" s="254"/>
      <c r="E23" s="255"/>
      <c r="F23" s="254"/>
      <c r="G23" s="255"/>
      <c r="H23" s="254"/>
      <c r="I23" s="255"/>
      <c r="J23" s="254"/>
      <c r="K23" s="255"/>
      <c r="L23" s="254"/>
      <c r="M23" s="255"/>
      <c r="N23" s="254"/>
      <c r="O23" s="255"/>
      <c r="P23" s="254"/>
      <c r="Q23" s="255"/>
      <c r="R23" s="254"/>
      <c r="S23" s="255"/>
      <c r="T23" s="254"/>
      <c r="U23" s="255"/>
      <c r="V23" s="127"/>
      <c r="W23" s="127"/>
    </row>
    <row r="24" spans="1:27" ht="12" customHeight="1" thickBot="1">
      <c r="A24" s="146">
        <v>2</v>
      </c>
      <c r="B24" s="256"/>
      <c r="C24" s="257"/>
      <c r="D24" s="256"/>
      <c r="E24" s="257"/>
      <c r="F24" s="256"/>
      <c r="G24" s="257"/>
      <c r="H24" s="256"/>
      <c r="I24" s="257"/>
      <c r="J24" s="256"/>
      <c r="K24" s="257"/>
      <c r="L24" s="256"/>
      <c r="M24" s="257"/>
      <c r="N24" s="256"/>
      <c r="O24" s="257"/>
      <c r="P24" s="256"/>
      <c r="Q24" s="257"/>
      <c r="R24" s="256"/>
      <c r="S24" s="257"/>
      <c r="T24" s="256"/>
      <c r="U24" s="257"/>
      <c r="V24" s="127"/>
      <c r="W24" s="127"/>
    </row>
    <row r="25" spans="1:27" ht="12" customHeight="1">
      <c r="A25" s="127"/>
      <c r="B25" s="252"/>
      <c r="C25" s="253"/>
      <c r="D25" s="252"/>
      <c r="E25" s="253"/>
      <c r="F25" s="252"/>
      <c r="G25" s="253"/>
      <c r="H25" s="252"/>
      <c r="I25" s="253"/>
      <c r="J25" s="252"/>
      <c r="K25" s="253"/>
      <c r="L25" s="252"/>
      <c r="M25" s="253"/>
      <c r="N25" s="252"/>
      <c r="O25" s="253"/>
      <c r="P25" s="252"/>
      <c r="Q25" s="253"/>
      <c r="R25" s="252"/>
      <c r="S25" s="253"/>
      <c r="T25" s="252"/>
      <c r="U25" s="253"/>
      <c r="V25" s="127"/>
      <c r="W25" s="127"/>
    </row>
    <row r="26" spans="1:27" ht="12" customHeight="1">
      <c r="A26" s="127"/>
      <c r="B26" s="254"/>
      <c r="C26" s="255"/>
      <c r="D26" s="254"/>
      <c r="E26" s="255"/>
      <c r="F26" s="254"/>
      <c r="G26" s="255"/>
      <c r="H26" s="254"/>
      <c r="I26" s="255"/>
      <c r="J26" s="254"/>
      <c r="K26" s="255"/>
      <c r="L26" s="254"/>
      <c r="M26" s="255"/>
      <c r="N26" s="254"/>
      <c r="O26" s="255"/>
      <c r="P26" s="254"/>
      <c r="Q26" s="255"/>
      <c r="R26" s="254"/>
      <c r="S26" s="255"/>
      <c r="T26" s="254"/>
      <c r="U26" s="255"/>
      <c r="V26" s="127"/>
      <c r="W26" s="127"/>
    </row>
    <row r="27" spans="1:27" ht="12" customHeight="1">
      <c r="A27" s="127"/>
      <c r="B27" s="254"/>
      <c r="C27" s="255"/>
      <c r="D27" s="254"/>
      <c r="E27" s="255"/>
      <c r="F27" s="254"/>
      <c r="G27" s="255"/>
      <c r="H27" s="254"/>
      <c r="I27" s="255"/>
      <c r="J27" s="254"/>
      <c r="K27" s="255"/>
      <c r="L27" s="254"/>
      <c r="M27" s="255"/>
      <c r="N27" s="254"/>
      <c r="O27" s="255"/>
      <c r="P27" s="254"/>
      <c r="Q27" s="255"/>
      <c r="R27" s="254"/>
      <c r="S27" s="255"/>
      <c r="T27" s="254"/>
      <c r="U27" s="255"/>
      <c r="V27" s="127"/>
      <c r="W27" s="127"/>
    </row>
    <row r="28" spans="1:27" ht="12" customHeight="1">
      <c r="A28" s="127"/>
      <c r="B28" s="254"/>
      <c r="C28" s="255"/>
      <c r="D28" s="254"/>
      <c r="E28" s="255"/>
      <c r="F28" s="254"/>
      <c r="G28" s="255"/>
      <c r="H28" s="254"/>
      <c r="I28" s="255"/>
      <c r="J28" s="254"/>
      <c r="K28" s="255"/>
      <c r="L28" s="254"/>
      <c r="M28" s="255"/>
      <c r="N28" s="254"/>
      <c r="O28" s="255"/>
      <c r="P28" s="254"/>
      <c r="Q28" s="255"/>
      <c r="R28" s="254"/>
      <c r="S28" s="255"/>
      <c r="T28" s="254"/>
      <c r="U28" s="255"/>
      <c r="V28" s="127"/>
      <c r="W28" s="127"/>
    </row>
    <row r="29" spans="1:27" ht="12" customHeight="1" thickBot="1">
      <c r="A29" s="146">
        <v>3</v>
      </c>
      <c r="B29" s="256"/>
      <c r="C29" s="257"/>
      <c r="D29" s="256"/>
      <c r="E29" s="257"/>
      <c r="F29" s="256"/>
      <c r="G29" s="257"/>
      <c r="H29" s="256"/>
      <c r="I29" s="257"/>
      <c r="J29" s="256"/>
      <c r="K29" s="257"/>
      <c r="L29" s="256"/>
      <c r="M29" s="257"/>
      <c r="N29" s="256"/>
      <c r="O29" s="257"/>
      <c r="P29" s="256"/>
      <c r="Q29" s="257"/>
      <c r="R29" s="256"/>
      <c r="S29" s="257"/>
      <c r="T29" s="256"/>
      <c r="U29" s="257"/>
      <c r="V29" s="127"/>
      <c r="W29" s="127"/>
    </row>
    <row r="30" spans="1:27" ht="12" customHeight="1">
      <c r="A30" s="127"/>
      <c r="B30" s="252"/>
      <c r="C30" s="253"/>
      <c r="D30" s="252"/>
      <c r="E30" s="253"/>
      <c r="F30" s="252"/>
      <c r="G30" s="253"/>
      <c r="H30" s="252"/>
      <c r="I30" s="253"/>
      <c r="J30" s="252"/>
      <c r="K30" s="253"/>
      <c r="L30" s="252"/>
      <c r="M30" s="253"/>
      <c r="N30" s="252"/>
      <c r="O30" s="253"/>
      <c r="P30" s="252"/>
      <c r="Q30" s="253"/>
      <c r="R30" s="252"/>
      <c r="S30" s="253"/>
      <c r="T30" s="252"/>
      <c r="U30" s="253"/>
      <c r="V30" s="127"/>
      <c r="W30" s="127"/>
    </row>
    <row r="31" spans="1:27" ht="12" customHeight="1">
      <c r="A31" s="127"/>
      <c r="B31" s="254"/>
      <c r="C31" s="255"/>
      <c r="D31" s="254"/>
      <c r="E31" s="255"/>
      <c r="F31" s="254"/>
      <c r="G31" s="255"/>
      <c r="H31" s="254"/>
      <c r="I31" s="255"/>
      <c r="J31" s="254"/>
      <c r="K31" s="255"/>
      <c r="L31" s="254"/>
      <c r="M31" s="255"/>
      <c r="N31" s="254"/>
      <c r="O31" s="255"/>
      <c r="P31" s="254"/>
      <c r="Q31" s="255"/>
      <c r="R31" s="254"/>
      <c r="S31" s="255"/>
      <c r="T31" s="254"/>
      <c r="U31" s="255"/>
      <c r="V31" s="127"/>
      <c r="W31" s="127"/>
    </row>
    <row r="32" spans="1:27" ht="12" customHeight="1">
      <c r="A32" s="127"/>
      <c r="B32" s="254"/>
      <c r="C32" s="255"/>
      <c r="D32" s="254"/>
      <c r="E32" s="255"/>
      <c r="F32" s="254"/>
      <c r="G32" s="255"/>
      <c r="H32" s="254"/>
      <c r="I32" s="255"/>
      <c r="J32" s="254"/>
      <c r="K32" s="255"/>
      <c r="L32" s="254"/>
      <c r="M32" s="255"/>
      <c r="N32" s="254"/>
      <c r="O32" s="255"/>
      <c r="P32" s="254"/>
      <c r="Q32" s="255"/>
      <c r="R32" s="254"/>
      <c r="S32" s="255"/>
      <c r="T32" s="254"/>
      <c r="U32" s="255"/>
      <c r="V32" s="127"/>
      <c r="W32" s="127"/>
    </row>
    <row r="33" spans="1:23" ht="12" customHeight="1">
      <c r="A33" s="127"/>
      <c r="B33" s="254"/>
      <c r="C33" s="255"/>
      <c r="D33" s="254"/>
      <c r="E33" s="255"/>
      <c r="F33" s="254"/>
      <c r="G33" s="255"/>
      <c r="H33" s="254"/>
      <c r="I33" s="255"/>
      <c r="J33" s="254"/>
      <c r="K33" s="255"/>
      <c r="L33" s="254"/>
      <c r="M33" s="255"/>
      <c r="N33" s="254"/>
      <c r="O33" s="255"/>
      <c r="P33" s="254"/>
      <c r="Q33" s="255"/>
      <c r="R33" s="254"/>
      <c r="S33" s="255"/>
      <c r="T33" s="254"/>
      <c r="U33" s="255"/>
      <c r="V33" s="127"/>
      <c r="W33" s="127"/>
    </row>
    <row r="34" spans="1:23" ht="12" customHeight="1" thickBot="1">
      <c r="A34" s="146">
        <v>4</v>
      </c>
      <c r="B34" s="256"/>
      <c r="C34" s="257"/>
      <c r="D34" s="256"/>
      <c r="E34" s="257"/>
      <c r="F34" s="256"/>
      <c r="G34" s="257"/>
      <c r="H34" s="256"/>
      <c r="I34" s="257"/>
      <c r="J34" s="256"/>
      <c r="K34" s="257"/>
      <c r="L34" s="256"/>
      <c r="M34" s="257"/>
      <c r="N34" s="256"/>
      <c r="O34" s="257"/>
      <c r="P34" s="256"/>
      <c r="Q34" s="257"/>
      <c r="R34" s="256"/>
      <c r="S34" s="257"/>
      <c r="T34" s="256"/>
      <c r="U34" s="257"/>
      <c r="V34" s="127"/>
      <c r="W34" s="127"/>
    </row>
    <row r="35" spans="1:23" ht="12" customHeight="1">
      <c r="A35" s="127"/>
      <c r="B35" s="252"/>
      <c r="C35" s="253"/>
      <c r="D35" s="252"/>
      <c r="E35" s="253"/>
      <c r="F35" s="252"/>
      <c r="G35" s="253"/>
      <c r="H35" s="252"/>
      <c r="I35" s="253"/>
      <c r="J35" s="252"/>
      <c r="K35" s="253"/>
      <c r="L35" s="252"/>
      <c r="M35" s="253"/>
      <c r="N35" s="252"/>
      <c r="O35" s="253"/>
      <c r="P35" s="252"/>
      <c r="Q35" s="253"/>
      <c r="R35" s="252"/>
      <c r="S35" s="253"/>
      <c r="T35" s="252"/>
      <c r="U35" s="253"/>
      <c r="V35" s="127"/>
      <c r="W35" s="127"/>
    </row>
    <row r="36" spans="1:23" ht="12" customHeight="1">
      <c r="A36" s="127"/>
      <c r="B36" s="254"/>
      <c r="C36" s="255"/>
      <c r="D36" s="254"/>
      <c r="E36" s="255"/>
      <c r="F36" s="254"/>
      <c r="G36" s="255"/>
      <c r="H36" s="254"/>
      <c r="I36" s="255"/>
      <c r="J36" s="254"/>
      <c r="K36" s="255"/>
      <c r="L36" s="254"/>
      <c r="M36" s="255"/>
      <c r="N36" s="254"/>
      <c r="O36" s="255"/>
      <c r="P36" s="254"/>
      <c r="Q36" s="255"/>
      <c r="R36" s="254"/>
      <c r="S36" s="255"/>
      <c r="T36" s="254"/>
      <c r="U36" s="255"/>
      <c r="V36" s="127"/>
      <c r="W36" s="127"/>
    </row>
    <row r="37" spans="1:23" ht="12" customHeight="1">
      <c r="A37" s="127"/>
      <c r="B37" s="254"/>
      <c r="C37" s="255"/>
      <c r="D37" s="254"/>
      <c r="E37" s="255"/>
      <c r="F37" s="254"/>
      <c r="G37" s="255"/>
      <c r="H37" s="254"/>
      <c r="I37" s="255"/>
      <c r="J37" s="254"/>
      <c r="K37" s="255"/>
      <c r="L37" s="254"/>
      <c r="M37" s="255"/>
      <c r="N37" s="254"/>
      <c r="O37" s="255"/>
      <c r="P37" s="254"/>
      <c r="Q37" s="255"/>
      <c r="R37" s="254"/>
      <c r="S37" s="255"/>
      <c r="T37" s="254"/>
      <c r="U37" s="255"/>
      <c r="V37" s="127"/>
      <c r="W37" s="127"/>
    </row>
    <row r="38" spans="1:23" ht="12" customHeight="1">
      <c r="A38" s="127"/>
      <c r="B38" s="254"/>
      <c r="C38" s="255"/>
      <c r="D38" s="254"/>
      <c r="E38" s="255"/>
      <c r="F38" s="254"/>
      <c r="G38" s="255"/>
      <c r="H38" s="254"/>
      <c r="I38" s="255"/>
      <c r="J38" s="254"/>
      <c r="K38" s="255"/>
      <c r="L38" s="254"/>
      <c r="M38" s="255"/>
      <c r="N38" s="254"/>
      <c r="O38" s="255"/>
      <c r="P38" s="254"/>
      <c r="Q38" s="255"/>
      <c r="R38" s="254"/>
      <c r="S38" s="255"/>
      <c r="T38" s="254"/>
      <c r="U38" s="255"/>
      <c r="V38" s="127"/>
      <c r="W38" s="127"/>
    </row>
    <row r="39" spans="1:23" ht="12" customHeight="1" thickBot="1">
      <c r="A39" s="146">
        <v>5</v>
      </c>
      <c r="B39" s="256"/>
      <c r="C39" s="257"/>
      <c r="D39" s="256"/>
      <c r="E39" s="257"/>
      <c r="F39" s="256"/>
      <c r="G39" s="257"/>
      <c r="H39" s="256"/>
      <c r="I39" s="257"/>
      <c r="J39" s="256"/>
      <c r="K39" s="257"/>
      <c r="L39" s="256"/>
      <c r="M39" s="257"/>
      <c r="N39" s="256"/>
      <c r="O39" s="257"/>
      <c r="P39" s="256"/>
      <c r="Q39" s="257"/>
      <c r="R39" s="256"/>
      <c r="S39" s="257"/>
      <c r="T39" s="256"/>
      <c r="U39" s="257"/>
      <c r="V39" s="127"/>
      <c r="W39" s="127"/>
    </row>
    <row r="40" spans="1:23" ht="12" customHeight="1">
      <c r="A40" s="127"/>
      <c r="B40" s="252"/>
      <c r="C40" s="253"/>
      <c r="D40" s="252"/>
      <c r="E40" s="253"/>
      <c r="F40" s="252"/>
      <c r="G40" s="253"/>
      <c r="H40" s="252"/>
      <c r="I40" s="253"/>
      <c r="J40" s="252"/>
      <c r="K40" s="253"/>
      <c r="L40" s="252"/>
      <c r="M40" s="253"/>
      <c r="N40" s="252"/>
      <c r="O40" s="253"/>
      <c r="P40" s="252"/>
      <c r="Q40" s="253"/>
      <c r="R40" s="252"/>
      <c r="S40" s="253"/>
      <c r="T40" s="252"/>
      <c r="U40" s="253"/>
      <c r="V40" s="127"/>
      <c r="W40" s="127"/>
    </row>
    <row r="41" spans="1:23" ht="12" customHeight="1">
      <c r="A41" s="127"/>
      <c r="B41" s="254"/>
      <c r="C41" s="255"/>
      <c r="D41" s="254"/>
      <c r="E41" s="255"/>
      <c r="F41" s="254"/>
      <c r="G41" s="255"/>
      <c r="H41" s="254"/>
      <c r="I41" s="255"/>
      <c r="J41" s="254"/>
      <c r="K41" s="255"/>
      <c r="L41" s="254"/>
      <c r="M41" s="255"/>
      <c r="N41" s="254"/>
      <c r="O41" s="255"/>
      <c r="P41" s="254"/>
      <c r="Q41" s="255"/>
      <c r="R41" s="254"/>
      <c r="S41" s="255"/>
      <c r="T41" s="254"/>
      <c r="U41" s="255"/>
      <c r="V41" s="127"/>
      <c r="W41" s="127"/>
    </row>
    <row r="42" spans="1:23" ht="12" customHeight="1">
      <c r="A42" s="127"/>
      <c r="B42" s="254"/>
      <c r="C42" s="255"/>
      <c r="D42" s="254"/>
      <c r="E42" s="255"/>
      <c r="F42" s="254"/>
      <c r="G42" s="255"/>
      <c r="H42" s="254"/>
      <c r="I42" s="255"/>
      <c r="J42" s="254"/>
      <c r="K42" s="255"/>
      <c r="L42" s="254"/>
      <c r="M42" s="255"/>
      <c r="N42" s="254"/>
      <c r="O42" s="255"/>
      <c r="P42" s="254"/>
      <c r="Q42" s="255"/>
      <c r="R42" s="254"/>
      <c r="S42" s="255"/>
      <c r="T42" s="254"/>
      <c r="U42" s="255"/>
      <c r="V42" s="127"/>
      <c r="W42" s="127"/>
    </row>
    <row r="43" spans="1:23" ht="12" customHeight="1">
      <c r="A43" s="127"/>
      <c r="B43" s="254"/>
      <c r="C43" s="255"/>
      <c r="D43" s="254"/>
      <c r="E43" s="255"/>
      <c r="F43" s="254"/>
      <c r="G43" s="255"/>
      <c r="H43" s="254"/>
      <c r="I43" s="255"/>
      <c r="J43" s="254"/>
      <c r="K43" s="255"/>
      <c r="L43" s="254"/>
      <c r="M43" s="255"/>
      <c r="N43" s="254"/>
      <c r="O43" s="255"/>
      <c r="P43" s="254"/>
      <c r="Q43" s="255"/>
      <c r="R43" s="254"/>
      <c r="S43" s="255"/>
      <c r="T43" s="254"/>
      <c r="U43" s="255"/>
      <c r="V43" s="127"/>
      <c r="W43" s="127"/>
    </row>
    <row r="44" spans="1:23" ht="12" customHeight="1" thickBot="1">
      <c r="A44" s="146">
        <v>6</v>
      </c>
      <c r="B44" s="256"/>
      <c r="C44" s="257"/>
      <c r="D44" s="256"/>
      <c r="E44" s="257"/>
      <c r="F44" s="256"/>
      <c r="G44" s="257"/>
      <c r="H44" s="256"/>
      <c r="I44" s="257"/>
      <c r="J44" s="256"/>
      <c r="K44" s="257"/>
      <c r="L44" s="256"/>
      <c r="M44" s="257"/>
      <c r="N44" s="256"/>
      <c r="O44" s="257"/>
      <c r="P44" s="256"/>
      <c r="Q44" s="257"/>
      <c r="R44" s="256"/>
      <c r="S44" s="257"/>
      <c r="T44" s="256"/>
      <c r="U44" s="257"/>
      <c r="V44" s="127"/>
      <c r="W44" s="127"/>
    </row>
    <row r="45" spans="1:23" ht="12" customHeight="1">
      <c r="A45" s="127"/>
      <c r="B45" s="252"/>
      <c r="C45" s="253"/>
      <c r="D45" s="252"/>
      <c r="E45" s="253"/>
      <c r="F45" s="252"/>
      <c r="G45" s="253"/>
      <c r="H45" s="252"/>
      <c r="I45" s="253"/>
      <c r="J45" s="252"/>
      <c r="K45" s="253"/>
      <c r="L45" s="252"/>
      <c r="M45" s="253"/>
      <c r="N45" s="252"/>
      <c r="O45" s="253"/>
      <c r="P45" s="252"/>
      <c r="Q45" s="253"/>
      <c r="R45" s="252"/>
      <c r="S45" s="253"/>
      <c r="T45" s="252"/>
      <c r="U45" s="253"/>
      <c r="V45" s="127"/>
      <c r="W45" s="127"/>
    </row>
    <row r="46" spans="1:23" ht="12" customHeight="1">
      <c r="A46" s="127"/>
      <c r="B46" s="254"/>
      <c r="C46" s="255"/>
      <c r="D46" s="254"/>
      <c r="E46" s="255"/>
      <c r="F46" s="254"/>
      <c r="G46" s="255"/>
      <c r="H46" s="254"/>
      <c r="I46" s="255"/>
      <c r="J46" s="254"/>
      <c r="K46" s="255"/>
      <c r="L46" s="254"/>
      <c r="M46" s="255"/>
      <c r="N46" s="254"/>
      <c r="O46" s="255"/>
      <c r="P46" s="254"/>
      <c r="Q46" s="255"/>
      <c r="R46" s="254"/>
      <c r="S46" s="255"/>
      <c r="T46" s="254"/>
      <c r="U46" s="255"/>
      <c r="V46" s="127"/>
      <c r="W46" s="127"/>
    </row>
    <row r="47" spans="1:23" ht="12" customHeight="1">
      <c r="A47" s="127"/>
      <c r="B47" s="254"/>
      <c r="C47" s="255"/>
      <c r="D47" s="254"/>
      <c r="E47" s="255"/>
      <c r="F47" s="254"/>
      <c r="G47" s="255"/>
      <c r="H47" s="254"/>
      <c r="I47" s="255"/>
      <c r="J47" s="254"/>
      <c r="K47" s="255"/>
      <c r="L47" s="254"/>
      <c r="M47" s="255"/>
      <c r="N47" s="254"/>
      <c r="O47" s="255"/>
      <c r="P47" s="254"/>
      <c r="Q47" s="255"/>
      <c r="R47" s="254"/>
      <c r="S47" s="255"/>
      <c r="T47" s="254"/>
      <c r="U47" s="255"/>
      <c r="V47" s="127"/>
      <c r="W47" s="127"/>
    </row>
    <row r="48" spans="1:23" ht="12" customHeight="1">
      <c r="A48" s="127"/>
      <c r="B48" s="254"/>
      <c r="C48" s="255"/>
      <c r="D48" s="254"/>
      <c r="E48" s="255"/>
      <c r="F48" s="254"/>
      <c r="G48" s="255"/>
      <c r="H48" s="254"/>
      <c r="I48" s="255"/>
      <c r="J48" s="254"/>
      <c r="K48" s="255"/>
      <c r="L48" s="254"/>
      <c r="M48" s="255"/>
      <c r="N48" s="254"/>
      <c r="O48" s="255"/>
      <c r="P48" s="254"/>
      <c r="Q48" s="255"/>
      <c r="R48" s="254"/>
      <c r="S48" s="255"/>
      <c r="T48" s="254"/>
      <c r="U48" s="255"/>
      <c r="V48" s="127"/>
      <c r="W48" s="127"/>
    </row>
    <row r="49" spans="1:23" ht="12" customHeight="1" thickBot="1">
      <c r="A49" s="146">
        <v>7</v>
      </c>
      <c r="B49" s="256"/>
      <c r="C49" s="257"/>
      <c r="D49" s="256"/>
      <c r="E49" s="257"/>
      <c r="F49" s="256"/>
      <c r="G49" s="257"/>
      <c r="H49" s="256"/>
      <c r="I49" s="257"/>
      <c r="J49" s="256"/>
      <c r="K49" s="257"/>
      <c r="L49" s="256"/>
      <c r="M49" s="257"/>
      <c r="N49" s="256"/>
      <c r="O49" s="257"/>
      <c r="P49" s="256"/>
      <c r="Q49" s="257"/>
      <c r="R49" s="256"/>
      <c r="S49" s="257"/>
      <c r="T49" s="256"/>
      <c r="U49" s="257"/>
      <c r="V49" s="127"/>
      <c r="W49" s="127"/>
    </row>
    <row r="50" spans="1:23" ht="12" customHeight="1">
      <c r="A50" s="127"/>
      <c r="B50" s="252"/>
      <c r="C50" s="253"/>
      <c r="D50" s="252"/>
      <c r="E50" s="253"/>
      <c r="F50" s="252"/>
      <c r="G50" s="253"/>
      <c r="H50" s="252"/>
      <c r="I50" s="253"/>
      <c r="J50" s="252"/>
      <c r="K50" s="253"/>
      <c r="L50" s="252"/>
      <c r="M50" s="253"/>
      <c r="N50" s="252"/>
      <c r="O50" s="253"/>
      <c r="P50" s="252"/>
      <c r="Q50" s="253"/>
      <c r="R50" s="252"/>
      <c r="S50" s="253"/>
      <c r="T50" s="252"/>
      <c r="U50" s="253"/>
      <c r="V50" s="127"/>
      <c r="W50" s="127"/>
    </row>
    <row r="51" spans="1:23" ht="12" customHeight="1">
      <c r="A51" s="127"/>
      <c r="B51" s="254"/>
      <c r="C51" s="255"/>
      <c r="D51" s="254"/>
      <c r="E51" s="255"/>
      <c r="F51" s="254"/>
      <c r="G51" s="255"/>
      <c r="H51" s="254"/>
      <c r="I51" s="255"/>
      <c r="J51" s="254"/>
      <c r="K51" s="255"/>
      <c r="L51" s="254"/>
      <c r="M51" s="255"/>
      <c r="N51" s="254"/>
      <c r="O51" s="255"/>
      <c r="P51" s="254"/>
      <c r="Q51" s="255"/>
      <c r="R51" s="254"/>
      <c r="S51" s="255"/>
      <c r="T51" s="254"/>
      <c r="U51" s="255"/>
      <c r="V51" s="127"/>
      <c r="W51" s="127"/>
    </row>
    <row r="52" spans="1:23" ht="12" customHeight="1">
      <c r="A52" s="127"/>
      <c r="B52" s="254"/>
      <c r="C52" s="255"/>
      <c r="D52" s="254"/>
      <c r="E52" s="255"/>
      <c r="F52" s="254"/>
      <c r="G52" s="255"/>
      <c r="H52" s="254"/>
      <c r="I52" s="255"/>
      <c r="J52" s="254"/>
      <c r="K52" s="255"/>
      <c r="L52" s="254"/>
      <c r="M52" s="255"/>
      <c r="N52" s="254"/>
      <c r="O52" s="255"/>
      <c r="P52" s="254"/>
      <c r="Q52" s="255"/>
      <c r="R52" s="254"/>
      <c r="S52" s="255"/>
      <c r="T52" s="254"/>
      <c r="U52" s="255"/>
      <c r="V52" s="127"/>
      <c r="W52" s="127"/>
    </row>
    <row r="53" spans="1:23" ht="12" customHeight="1">
      <c r="A53" s="127"/>
      <c r="B53" s="254"/>
      <c r="C53" s="255"/>
      <c r="D53" s="254"/>
      <c r="E53" s="255"/>
      <c r="F53" s="254"/>
      <c r="G53" s="255"/>
      <c r="H53" s="254"/>
      <c r="I53" s="255"/>
      <c r="J53" s="254"/>
      <c r="K53" s="255"/>
      <c r="L53" s="254"/>
      <c r="M53" s="255"/>
      <c r="N53" s="254"/>
      <c r="O53" s="255"/>
      <c r="P53" s="254"/>
      <c r="Q53" s="255"/>
      <c r="R53" s="254"/>
      <c r="S53" s="255"/>
      <c r="T53" s="254"/>
      <c r="U53" s="255"/>
      <c r="V53" s="127"/>
      <c r="W53" s="127"/>
    </row>
    <row r="54" spans="1:23" ht="12" customHeight="1" thickBot="1">
      <c r="A54" s="146">
        <v>8</v>
      </c>
      <c r="B54" s="256"/>
      <c r="C54" s="257"/>
      <c r="D54" s="256"/>
      <c r="E54" s="257"/>
      <c r="F54" s="256"/>
      <c r="G54" s="257"/>
      <c r="H54" s="256"/>
      <c r="I54" s="257"/>
      <c r="J54" s="256"/>
      <c r="K54" s="257"/>
      <c r="L54" s="256"/>
      <c r="M54" s="257"/>
      <c r="N54" s="256"/>
      <c r="O54" s="257"/>
      <c r="P54" s="256"/>
      <c r="Q54" s="257"/>
      <c r="R54" s="256"/>
      <c r="S54" s="257"/>
      <c r="T54" s="256"/>
      <c r="U54" s="257"/>
      <c r="V54" s="127"/>
      <c r="W54" s="127"/>
    </row>
    <row r="55" spans="1:23" ht="12" customHeight="1">
      <c r="A55" s="127"/>
      <c r="B55" s="252"/>
      <c r="C55" s="253"/>
      <c r="D55" s="252"/>
      <c r="E55" s="253"/>
      <c r="F55" s="252"/>
      <c r="G55" s="253"/>
      <c r="H55" s="252"/>
      <c r="I55" s="25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52"/>
      <c r="U55" s="253"/>
      <c r="V55" s="127"/>
      <c r="W55" s="127"/>
    </row>
    <row r="56" spans="1:23" ht="12" customHeight="1">
      <c r="A56" s="127"/>
      <c r="B56" s="254"/>
      <c r="C56" s="255"/>
      <c r="D56" s="254"/>
      <c r="E56" s="255"/>
      <c r="F56" s="254"/>
      <c r="G56" s="255"/>
      <c r="H56" s="254"/>
      <c r="I56" s="255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54"/>
      <c r="U56" s="255"/>
      <c r="V56" s="127"/>
      <c r="W56" s="127"/>
    </row>
    <row r="57" spans="1:23" ht="12" customHeight="1">
      <c r="A57" s="127"/>
      <c r="B57" s="254"/>
      <c r="C57" s="255"/>
      <c r="D57" s="254"/>
      <c r="E57" s="255"/>
      <c r="F57" s="254"/>
      <c r="G57" s="255"/>
      <c r="H57" s="254"/>
      <c r="I57" s="255"/>
      <c r="J57" s="254"/>
      <c r="K57" s="255"/>
      <c r="L57" s="254"/>
      <c r="M57" s="255"/>
      <c r="N57" s="254"/>
      <c r="O57" s="255"/>
      <c r="P57" s="254"/>
      <c r="Q57" s="255"/>
      <c r="R57" s="254"/>
      <c r="S57" s="255"/>
      <c r="T57" s="254"/>
      <c r="U57" s="255"/>
      <c r="V57" s="127"/>
      <c r="W57" s="127"/>
    </row>
    <row r="58" spans="1:23" ht="12" customHeight="1">
      <c r="A58" s="127"/>
      <c r="B58" s="254"/>
      <c r="C58" s="255"/>
      <c r="D58" s="254"/>
      <c r="E58" s="255"/>
      <c r="F58" s="254"/>
      <c r="G58" s="255"/>
      <c r="H58" s="254"/>
      <c r="I58" s="255"/>
      <c r="J58" s="254"/>
      <c r="K58" s="255"/>
      <c r="L58" s="254"/>
      <c r="M58" s="255"/>
      <c r="N58" s="254"/>
      <c r="O58" s="255"/>
      <c r="P58" s="254"/>
      <c r="Q58" s="255"/>
      <c r="R58" s="254"/>
      <c r="S58" s="255"/>
      <c r="T58" s="254"/>
      <c r="U58" s="255"/>
      <c r="V58" s="127"/>
      <c r="W58" s="127"/>
    </row>
    <row r="59" spans="1:23" ht="12" customHeight="1" thickBot="1">
      <c r="A59" s="146">
        <v>9</v>
      </c>
      <c r="B59" s="256"/>
      <c r="C59" s="257"/>
      <c r="D59" s="256"/>
      <c r="E59" s="257"/>
      <c r="F59" s="256"/>
      <c r="G59" s="257"/>
      <c r="H59" s="256"/>
      <c r="I59" s="257"/>
      <c r="J59" s="256"/>
      <c r="K59" s="257"/>
      <c r="L59" s="256"/>
      <c r="M59" s="257"/>
      <c r="N59" s="256"/>
      <c r="O59" s="257"/>
      <c r="P59" s="256"/>
      <c r="Q59" s="257"/>
      <c r="R59" s="256"/>
      <c r="S59" s="257"/>
      <c r="T59" s="256"/>
      <c r="U59" s="257"/>
      <c r="V59" s="127"/>
      <c r="W59" s="127"/>
    </row>
    <row r="60" spans="1:23" ht="12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2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2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2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2" customHeight="1" thickBot="1">
      <c r="A64" s="146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  <row r="65" spans="1:21" ht="12" customHeight="1">
      <c r="B65" s="258"/>
      <c r="C65" s="258"/>
      <c r="D65" s="258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</row>
    <row r="66" spans="1:21" ht="12" customHeight="1">
      <c r="B66" s="258"/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</row>
    <row r="67" spans="1:21" ht="12" customHeight="1"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</row>
    <row r="68" spans="1:21" ht="12" customHeight="1">
      <c r="B68" s="258"/>
      <c r="C68" s="258"/>
      <c r="D68" s="258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</row>
    <row r="69" spans="1:21" ht="12" customHeight="1">
      <c r="A69" s="185">
        <v>11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</row>
    <row r="70" spans="1:21" ht="12" customHeight="1"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</row>
    <row r="71" spans="1:21" ht="12" customHeight="1">
      <c r="B71" s="258"/>
      <c r="C71" s="258"/>
      <c r="D71" s="258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</row>
    <row r="72" spans="1:21" ht="12" customHeight="1">
      <c r="B72" s="258"/>
      <c r="C72" s="258"/>
      <c r="D72" s="258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</row>
    <row r="73" spans="1:21" ht="12" customHeight="1"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</row>
    <row r="74" spans="1:21" ht="12" customHeight="1">
      <c r="A74" s="185">
        <v>12</v>
      </c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</row>
    <row r="75" spans="1:21" ht="12" customHeight="1"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</row>
    <row r="76" spans="1:21" ht="12" customHeight="1"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</row>
    <row r="77" spans="1:21" ht="12" customHeight="1"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</row>
    <row r="78" spans="1:21" ht="12" customHeight="1"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</row>
    <row r="79" spans="1:21" ht="12" customHeight="1">
      <c r="A79" s="185">
        <v>13</v>
      </c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</row>
    <row r="80" spans="1:21" ht="12" customHeight="1">
      <c r="B80" s="258"/>
      <c r="C80" s="258"/>
      <c r="D80" s="258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</row>
    <row r="81" spans="1:21" ht="12" customHeight="1">
      <c r="B81" s="258"/>
      <c r="C81" s="258"/>
      <c r="D81" s="258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</row>
    <row r="82" spans="1:21" ht="12" customHeight="1">
      <c r="B82" s="258"/>
      <c r="C82" s="258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</row>
    <row r="83" spans="1:21" ht="12" customHeight="1"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</row>
    <row r="84" spans="1:21" ht="12" customHeight="1">
      <c r="A84" s="185">
        <v>14</v>
      </c>
      <c r="B84" s="258"/>
      <c r="C84" s="258"/>
      <c r="D84" s="258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</row>
    <row r="85" spans="1:21" ht="12" customHeight="1">
      <c r="B85" s="258"/>
      <c r="C85" s="258"/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</row>
    <row r="86" spans="1:21" ht="12" customHeight="1">
      <c r="B86" s="258"/>
      <c r="C86" s="258"/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</row>
    <row r="87" spans="1:21" ht="12" customHeight="1">
      <c r="B87" s="258"/>
      <c r="C87" s="258"/>
      <c r="D87" s="258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</row>
    <row r="88" spans="1:21" ht="12" customHeight="1">
      <c r="B88" s="258"/>
      <c r="C88" s="258"/>
      <c r="D88" s="258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</row>
    <row r="89" spans="1:21" ht="12" customHeight="1">
      <c r="A89" s="185">
        <v>15</v>
      </c>
      <c r="B89" s="258"/>
      <c r="C89" s="258"/>
      <c r="D89" s="258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</row>
    <row r="90" spans="1:21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1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1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1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1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1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1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HYPERLINK("#'11월'!A1","← 11월 월간 가계부로 돌아가기")</f>
        <v>← 11월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IF('11월'!AA1,I149=('11월'!M28),"미입력")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IF('11월'!AA1,I150=('11월'!I38),"미입력")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/>
      <c r="D4" s="35"/>
      <c r="E4" s="35"/>
      <c r="F4" s="35"/>
      <c r="G4" s="35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35"/>
      <c r="D5" s="35"/>
      <c r="E5" s="35"/>
      <c r="F5" s="35"/>
      <c r="G5" s="35"/>
      <c r="H5" s="35"/>
      <c r="I5" s="45">
        <f>SUM(B5:H5)</f>
        <v>0</v>
      </c>
      <c r="J5" s="12"/>
      <c r="K5" s="38" t="s">
        <v>451</v>
      </c>
      <c r="L5" s="38" t="s">
        <v>748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>
        <f t="shared" ref="C6:H6" si="2">IF(COUNTA(C4:C5)=0,"",C4-C5)</f>
      </c>
      <c r="D6" s="27">
        <f t="shared" si="2"/>
      </c>
      <c r="E6" s="27">
        <f t="shared" si="2"/>
      </c>
      <c r="F6" s="27">
        <f t="shared" si="2"/>
      </c>
      <c r="G6" s="27">
        <f t="shared" si="2"/>
      </c>
      <c r="H6" s="27">
        <f t="shared" si="2"/>
      </c>
      <c r="I6" s="45">
        <f>SUM(B6:H6)</f>
        <v>0</v>
      </c>
      <c r="J6" s="12"/>
      <c r="K6" s="31" t="s">
        <v>456</v>
      </c>
      <c r="L6" s="31" t="s">
        <v>748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3">IF(COUNTA(B9:B10)=0,"",B9-B10)</f>
      </c>
      <c r="C11" s="27">
        <f t="shared" si="3"/>
      </c>
      <c r="D11" s="27">
        <f t="shared" si="3"/>
      </c>
      <c r="E11" s="27">
        <f t="shared" si="3"/>
      </c>
      <c r="F11" s="27">
        <f t="shared" si="3"/>
      </c>
      <c r="G11" s="27">
        <f t="shared" si="3"/>
      </c>
      <c r="H11" s="27">
        <f t="shared" si="3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4">IF(COUNTA(B14:B15)=0,"",B14-B15)</f>
      </c>
      <c r="C16" s="27">
        <f t="shared" si="4"/>
      </c>
      <c r="D16" s="27">
        <f t="shared" si="4"/>
      </c>
      <c r="E16" s="27">
        <f t="shared" si="4"/>
      </c>
      <c r="F16" s="27">
        <f t="shared" si="4"/>
      </c>
      <c r="G16" s="27">
        <f t="shared" si="4"/>
      </c>
      <c r="H16" s="27">
        <f t="shared" si="4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5">IF(COUNTA(B19:B20)=0,"",B19-B20)</f>
      </c>
      <c r="C21" s="27">
        <f t="shared" si="5"/>
      </c>
      <c r="D21" s="27">
        <f t="shared" si="5"/>
      </c>
      <c r="E21" s="27">
        <f t="shared" si="5"/>
      </c>
      <c r="F21" s="27">
        <f t="shared" si="5"/>
      </c>
      <c r="G21" s="27">
        <f t="shared" si="5"/>
      </c>
      <c r="H21" s="27">
        <f t="shared" si="5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749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610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27"/>
      <c r="G24" s="27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594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27"/>
      <c r="G25" s="27"/>
      <c r="H25" s="27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</c>
      <c r="C26" s="27">
        <f>IF(COUNTA(C24:C25)=0,"",C24-C25)</f>
      </c>
      <c r="D26" s="27">
        <f>IF(COUNTA(D24:D25)=0,"",D24-D25)</f>
      </c>
      <c r="E26" s="27">
        <f>IF(COUNTA(E24:E25)=0,"",E24-E25)</f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HYPERLINK("#'12월계산기'!A1","계산기 대조 · 12월계산기 열기")</f>
        <v>계산기 대조 · 12월계산기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'12월계산기'!W12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'12월계산기'!W13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I33-'_예비비계산'!AG13</f>
        <v>0</v>
      </c>
      <c r="I38" s="27">
        <f>SUM(I4,I9,I14,I19,I24,I29)-'_예비비계산'!AH13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'_예비비계산'!AB13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'_예비비계산'!AF13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750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0+'_예비비계산'!AH13</f>
        <v>0</v>
      </c>
    </row>
    <row r="15" spans="1:27" ht="12" customHeight="1">
      <c r="A15" s="127"/>
      <c r="B15" s="179"/>
      <c r="C15" s="180"/>
      <c r="D15" s="179"/>
      <c r="E15" s="180"/>
      <c r="F15" s="179"/>
      <c r="G15" s="180"/>
      <c r="H15" s="179"/>
      <c r="I15" s="180"/>
      <c r="J15" s="179"/>
      <c r="K15" s="180"/>
      <c r="L15" s="179"/>
      <c r="M15" s="180"/>
      <c r="N15" s="179"/>
      <c r="O15" s="180"/>
      <c r="P15" s="179"/>
      <c r="Q15" s="180"/>
      <c r="R15" s="179"/>
      <c r="S15" s="180"/>
      <c r="T15" s="179"/>
      <c r="U15" s="180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81"/>
      <c r="C16" s="182"/>
      <c r="D16" s="181"/>
      <c r="E16" s="182"/>
      <c r="F16" s="181"/>
      <c r="G16" s="182"/>
      <c r="H16" s="181"/>
      <c r="I16" s="182"/>
      <c r="J16" s="181"/>
      <c r="K16" s="182"/>
      <c r="L16" s="181"/>
      <c r="M16" s="182"/>
      <c r="N16" s="181"/>
      <c r="O16" s="182"/>
      <c r="P16" s="181"/>
      <c r="Q16" s="182"/>
      <c r="R16" s="181"/>
      <c r="S16" s="182"/>
      <c r="T16" s="181"/>
      <c r="U16" s="182"/>
      <c r="V16" s="304" t="s">
        <v>232</v>
      </c>
      <c r="W16" s="305">
        <f>SUM(W3:W10)</f>
        <v>0</v>
      </c>
    </row>
    <row r="17" spans="1:27" ht="12" customHeight="1">
      <c r="A17" s="127"/>
      <c r="B17" s="181"/>
      <c r="C17" s="182"/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1"/>
      <c r="U17" s="182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81"/>
      <c r="C18" s="182"/>
      <c r="D18" s="181"/>
      <c r="E18" s="182"/>
      <c r="F18" s="181"/>
      <c r="G18" s="182"/>
      <c r="H18" s="181"/>
      <c r="I18" s="182"/>
      <c r="J18" s="181"/>
      <c r="K18" s="182"/>
      <c r="L18" s="181"/>
      <c r="M18" s="182"/>
      <c r="N18" s="181"/>
      <c r="O18" s="182"/>
      <c r="P18" s="181"/>
      <c r="Q18" s="182"/>
      <c r="R18" s="181"/>
      <c r="S18" s="182"/>
      <c r="T18" s="181"/>
      <c r="U18" s="182"/>
      <c r="V18" s="127"/>
      <c r="W18" s="127"/>
    </row>
    <row r="19" spans="1:27" ht="12" customHeight="1" thickBot="1">
      <c r="A19" s="146">
        <v>1</v>
      </c>
      <c r="B19" s="184"/>
      <c r="C19" s="183"/>
      <c r="D19" s="184"/>
      <c r="E19" s="183"/>
      <c r="F19" s="184"/>
      <c r="G19" s="183"/>
      <c r="H19" s="184"/>
      <c r="I19" s="183"/>
      <c r="J19" s="184"/>
      <c r="K19" s="183"/>
      <c r="L19" s="184"/>
      <c r="M19" s="183"/>
      <c r="N19" s="184"/>
      <c r="O19" s="183"/>
      <c r="P19" s="184"/>
      <c r="Q19" s="183"/>
      <c r="R19" s="184"/>
      <c r="S19" s="183"/>
      <c r="T19" s="184"/>
      <c r="U19" s="183"/>
      <c r="V19" s="127"/>
      <c r="W19" s="127"/>
    </row>
    <row r="20" spans="1:27" ht="12" customHeight="1">
      <c r="A20" s="127"/>
      <c r="B20" s="179"/>
      <c r="C20" s="180"/>
      <c r="D20" s="179"/>
      <c r="E20" s="180"/>
      <c r="F20" s="179"/>
      <c r="G20" s="180"/>
      <c r="H20" s="179"/>
      <c r="I20" s="180"/>
      <c r="J20" s="179"/>
      <c r="K20" s="180"/>
      <c r="L20" s="179"/>
      <c r="M20" s="180"/>
      <c r="N20" s="179"/>
      <c r="O20" s="180"/>
      <c r="P20" s="179"/>
      <c r="Q20" s="180"/>
      <c r="R20" s="179"/>
      <c r="S20" s="180"/>
      <c r="T20" s="179"/>
      <c r="U20" s="180"/>
      <c r="V20" s="127"/>
      <c r="W20" s="127"/>
    </row>
    <row r="21" spans="1:27" ht="12" customHeight="1">
      <c r="A21" s="127"/>
      <c r="B21" s="181"/>
      <c r="C21" s="182"/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1"/>
      <c r="U21" s="182"/>
      <c r="V21" s="127"/>
      <c r="W21" s="127"/>
    </row>
    <row r="22" spans="1:27" ht="12" customHeight="1">
      <c r="A22" s="127"/>
      <c r="B22" s="181"/>
      <c r="C22" s="182"/>
      <c r="D22" s="181"/>
      <c r="E22" s="182"/>
      <c r="F22" s="181"/>
      <c r="G22" s="182"/>
      <c r="H22" s="181"/>
      <c r="I22" s="182"/>
      <c r="J22" s="181"/>
      <c r="K22" s="182"/>
      <c r="L22" s="181"/>
      <c r="M22" s="182"/>
      <c r="N22" s="181"/>
      <c r="O22" s="182"/>
      <c r="P22" s="181"/>
      <c r="Q22" s="182"/>
      <c r="R22" s="181"/>
      <c r="S22" s="182"/>
      <c r="T22" s="181"/>
      <c r="U22" s="182"/>
      <c r="V22" s="127"/>
      <c r="W22" s="127"/>
    </row>
    <row r="23" spans="1:27" ht="12" customHeight="1">
      <c r="A23" s="127"/>
      <c r="B23" s="181"/>
      <c r="C23" s="182"/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1"/>
      <c r="U23" s="182"/>
      <c r="V23" s="127"/>
      <c r="W23" s="127"/>
    </row>
    <row r="24" spans="1:27" ht="12" customHeight="1" thickBot="1">
      <c r="A24" s="146">
        <v>2</v>
      </c>
      <c r="B24" s="184"/>
      <c r="C24" s="183"/>
      <c r="D24" s="184"/>
      <c r="E24" s="183"/>
      <c r="F24" s="184"/>
      <c r="G24" s="183"/>
      <c r="H24" s="184"/>
      <c r="I24" s="183"/>
      <c r="J24" s="184"/>
      <c r="K24" s="183"/>
      <c r="L24" s="184"/>
      <c r="M24" s="183"/>
      <c r="N24" s="184"/>
      <c r="O24" s="183"/>
      <c r="P24" s="184"/>
      <c r="Q24" s="183"/>
      <c r="R24" s="184"/>
      <c r="S24" s="183"/>
      <c r="T24" s="184"/>
      <c r="U24" s="183"/>
      <c r="V24" s="127"/>
      <c r="W24" s="127"/>
    </row>
    <row r="25" spans="1:27" ht="12" customHeight="1">
      <c r="A25" s="127"/>
      <c r="B25" s="179"/>
      <c r="C25" s="180"/>
      <c r="D25" s="179"/>
      <c r="E25" s="180"/>
      <c r="F25" s="179"/>
      <c r="G25" s="180"/>
      <c r="H25" s="179"/>
      <c r="I25" s="180"/>
      <c r="J25" s="179"/>
      <c r="K25" s="180"/>
      <c r="L25" s="179"/>
      <c r="M25" s="180"/>
      <c r="N25" s="179"/>
      <c r="O25" s="180"/>
      <c r="P25" s="179"/>
      <c r="Q25" s="180"/>
      <c r="R25" s="179"/>
      <c r="S25" s="180"/>
      <c r="T25" s="179"/>
      <c r="U25" s="180"/>
      <c r="V25" s="127"/>
      <c r="W25" s="127"/>
    </row>
    <row r="26" spans="1:27" ht="12" customHeight="1">
      <c r="A26" s="127"/>
      <c r="B26" s="181"/>
      <c r="C26" s="182"/>
      <c r="D26" s="181"/>
      <c r="E26" s="182"/>
      <c r="F26" s="181"/>
      <c r="G26" s="182"/>
      <c r="H26" s="181"/>
      <c r="I26" s="182"/>
      <c r="J26" s="181"/>
      <c r="K26" s="182"/>
      <c r="L26" s="181"/>
      <c r="M26" s="182"/>
      <c r="N26" s="181"/>
      <c r="O26" s="182"/>
      <c r="P26" s="181"/>
      <c r="Q26" s="182"/>
      <c r="R26" s="181"/>
      <c r="S26" s="182"/>
      <c r="T26" s="181"/>
      <c r="U26" s="182"/>
      <c r="V26" s="127"/>
      <c r="W26" s="127"/>
    </row>
    <row r="27" spans="1:27" ht="12" customHeight="1">
      <c r="A27" s="127"/>
      <c r="B27" s="181"/>
      <c r="C27" s="182"/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1"/>
      <c r="U27" s="182"/>
      <c r="V27" s="127"/>
      <c r="W27" s="127"/>
    </row>
    <row r="28" spans="1:27" ht="12" customHeight="1">
      <c r="A28" s="127"/>
      <c r="B28" s="181"/>
      <c r="C28" s="182"/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1"/>
      <c r="O28" s="182"/>
      <c r="P28" s="181"/>
      <c r="Q28" s="182"/>
      <c r="R28" s="181"/>
      <c r="S28" s="182"/>
      <c r="T28" s="181"/>
      <c r="U28" s="182"/>
      <c r="V28" s="127"/>
      <c r="W28" s="127"/>
    </row>
    <row r="29" spans="1:27" ht="12" customHeight="1" thickBot="1">
      <c r="A29" s="146">
        <v>3</v>
      </c>
      <c r="B29" s="184"/>
      <c r="C29" s="183"/>
      <c r="D29" s="184"/>
      <c r="E29" s="183"/>
      <c r="F29" s="184"/>
      <c r="G29" s="183"/>
      <c r="H29" s="184"/>
      <c r="I29" s="183"/>
      <c r="J29" s="184"/>
      <c r="K29" s="183"/>
      <c r="L29" s="184"/>
      <c r="M29" s="183"/>
      <c r="N29" s="184"/>
      <c r="O29" s="183"/>
      <c r="P29" s="184"/>
      <c r="Q29" s="183"/>
      <c r="R29" s="184"/>
      <c r="S29" s="183"/>
      <c r="T29" s="184"/>
      <c r="U29" s="183"/>
      <c r="V29" s="127"/>
      <c r="W29" s="127"/>
    </row>
    <row r="30" spans="1:27" ht="12" customHeight="1">
      <c r="A30" s="127"/>
      <c r="B30" s="179"/>
      <c r="C30" s="180"/>
      <c r="D30" s="179"/>
      <c r="E30" s="180"/>
      <c r="F30" s="179"/>
      <c r="G30" s="180"/>
      <c r="H30" s="179"/>
      <c r="I30" s="180"/>
      <c r="J30" s="179"/>
      <c r="K30" s="180"/>
      <c r="L30" s="179"/>
      <c r="M30" s="180"/>
      <c r="N30" s="179"/>
      <c r="O30" s="180"/>
      <c r="P30" s="179"/>
      <c r="Q30" s="180"/>
      <c r="R30" s="179"/>
      <c r="S30" s="180"/>
      <c r="T30" s="179"/>
      <c r="U30" s="180"/>
      <c r="V30" s="127"/>
      <c r="W30" s="127"/>
    </row>
    <row r="31" spans="1:27" ht="12" customHeight="1">
      <c r="A31" s="127"/>
      <c r="B31" s="181"/>
      <c r="C31" s="182"/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1"/>
      <c r="U31" s="182"/>
      <c r="V31" s="127"/>
      <c r="W31" s="127"/>
    </row>
    <row r="32" spans="1:27" ht="12" customHeight="1">
      <c r="A32" s="127"/>
      <c r="B32" s="181"/>
      <c r="C32" s="182"/>
      <c r="D32" s="181"/>
      <c r="E32" s="182"/>
      <c r="F32" s="181"/>
      <c r="G32" s="182"/>
      <c r="H32" s="181"/>
      <c r="I32" s="182"/>
      <c r="J32" s="181"/>
      <c r="K32" s="182"/>
      <c r="L32" s="181"/>
      <c r="M32" s="182"/>
      <c r="N32" s="181"/>
      <c r="O32" s="182"/>
      <c r="P32" s="181"/>
      <c r="Q32" s="182"/>
      <c r="R32" s="181"/>
      <c r="S32" s="182"/>
      <c r="T32" s="181"/>
      <c r="U32" s="182"/>
      <c r="V32" s="127"/>
      <c r="W32" s="127"/>
    </row>
    <row r="33" spans="1:23" ht="12" customHeight="1">
      <c r="A33" s="127"/>
      <c r="B33" s="181"/>
      <c r="C33" s="182"/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1"/>
      <c r="U33" s="182"/>
      <c r="V33" s="127"/>
      <c r="W33" s="127"/>
    </row>
    <row r="34" spans="1:23" ht="12" customHeight="1" thickBot="1">
      <c r="A34" s="146">
        <v>4</v>
      </c>
      <c r="B34" s="184"/>
      <c r="C34" s="183"/>
      <c r="D34" s="184"/>
      <c r="E34" s="183"/>
      <c r="F34" s="184"/>
      <c r="G34" s="183"/>
      <c r="H34" s="184"/>
      <c r="I34" s="183"/>
      <c r="J34" s="184"/>
      <c r="K34" s="183"/>
      <c r="L34" s="184"/>
      <c r="M34" s="183"/>
      <c r="N34" s="184"/>
      <c r="O34" s="183"/>
      <c r="P34" s="184"/>
      <c r="Q34" s="183"/>
      <c r="R34" s="184"/>
      <c r="S34" s="183"/>
      <c r="T34" s="184"/>
      <c r="U34" s="183"/>
      <c r="V34" s="127"/>
      <c r="W34" s="127"/>
    </row>
    <row r="35" spans="1:23" ht="12" customHeight="1">
      <c r="A35" s="127"/>
      <c r="B35" s="179"/>
      <c r="C35" s="180"/>
      <c r="D35" s="179"/>
      <c r="E35" s="180"/>
      <c r="F35" s="179"/>
      <c r="G35" s="180"/>
      <c r="H35" s="179"/>
      <c r="I35" s="180"/>
      <c r="J35" s="179"/>
      <c r="K35" s="180"/>
      <c r="L35" s="179"/>
      <c r="M35" s="180"/>
      <c r="N35" s="179"/>
      <c r="O35" s="180"/>
      <c r="P35" s="179"/>
      <c r="Q35" s="180"/>
      <c r="R35" s="179"/>
      <c r="S35" s="180"/>
      <c r="T35" s="179"/>
      <c r="U35" s="180"/>
      <c r="V35" s="127"/>
      <c r="W35" s="127"/>
    </row>
    <row r="36" spans="1:23" ht="12" customHeight="1">
      <c r="A36" s="127"/>
      <c r="B36" s="181"/>
      <c r="C36" s="182"/>
      <c r="D36" s="181"/>
      <c r="E36" s="182"/>
      <c r="F36" s="181"/>
      <c r="G36" s="182"/>
      <c r="H36" s="181"/>
      <c r="I36" s="182"/>
      <c r="J36" s="181"/>
      <c r="K36" s="182"/>
      <c r="L36" s="181"/>
      <c r="M36" s="182"/>
      <c r="N36" s="181"/>
      <c r="O36" s="182"/>
      <c r="P36" s="181"/>
      <c r="Q36" s="182"/>
      <c r="R36" s="181"/>
      <c r="S36" s="182"/>
      <c r="T36" s="181"/>
      <c r="U36" s="182"/>
      <c r="V36" s="127"/>
      <c r="W36" s="127"/>
    </row>
    <row r="37" spans="1:23" ht="12" customHeight="1">
      <c r="A37" s="127"/>
      <c r="B37" s="181"/>
      <c r="C37" s="182"/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1"/>
      <c r="U37" s="182"/>
      <c r="V37" s="127"/>
      <c r="W37" s="127"/>
    </row>
    <row r="38" spans="1:23" ht="12" customHeight="1">
      <c r="A38" s="127"/>
      <c r="B38" s="181"/>
      <c r="C38" s="182"/>
      <c r="D38" s="181"/>
      <c r="E38" s="182"/>
      <c r="F38" s="181"/>
      <c r="G38" s="182"/>
      <c r="H38" s="181"/>
      <c r="I38" s="182"/>
      <c r="J38" s="181"/>
      <c r="K38" s="182"/>
      <c r="L38" s="181"/>
      <c r="M38" s="182"/>
      <c r="N38" s="181"/>
      <c r="O38" s="182"/>
      <c r="P38" s="181"/>
      <c r="Q38" s="182"/>
      <c r="R38" s="181"/>
      <c r="S38" s="182"/>
      <c r="T38" s="181"/>
      <c r="U38" s="182"/>
      <c r="V38" s="127"/>
      <c r="W38" s="127"/>
    </row>
    <row r="39" spans="1:23" ht="12" customHeight="1" thickBot="1">
      <c r="A39" s="146">
        <v>5</v>
      </c>
      <c r="B39" s="184"/>
      <c r="C39" s="183"/>
      <c r="D39" s="184"/>
      <c r="E39" s="183"/>
      <c r="F39" s="184"/>
      <c r="G39" s="183"/>
      <c r="H39" s="184"/>
      <c r="I39" s="183"/>
      <c r="J39" s="184"/>
      <c r="K39" s="183"/>
      <c r="L39" s="184"/>
      <c r="M39" s="183"/>
      <c r="N39" s="184"/>
      <c r="O39" s="183"/>
      <c r="P39" s="184"/>
      <c r="Q39" s="183"/>
      <c r="R39" s="184"/>
      <c r="S39" s="183"/>
      <c r="T39" s="184"/>
      <c r="U39" s="183"/>
      <c r="V39" s="127"/>
      <c r="W39" s="127"/>
    </row>
    <row r="40" spans="1:23" ht="12" customHeight="1">
      <c r="A40" s="127"/>
      <c r="B40" s="179"/>
      <c r="C40" s="180"/>
      <c r="D40" s="179"/>
      <c r="E40" s="180"/>
      <c r="F40" s="179"/>
      <c r="G40" s="180"/>
      <c r="H40" s="179"/>
      <c r="I40" s="180"/>
      <c r="J40" s="179"/>
      <c r="K40" s="180"/>
      <c r="L40" s="179"/>
      <c r="M40" s="180"/>
      <c r="N40" s="179"/>
      <c r="O40" s="180"/>
      <c r="P40" s="179"/>
      <c r="Q40" s="180"/>
      <c r="R40" s="179"/>
      <c r="S40" s="180"/>
      <c r="T40" s="179"/>
      <c r="U40" s="180"/>
      <c r="V40" s="127"/>
      <c r="W40" s="127"/>
    </row>
    <row r="41" spans="1:23" ht="12" customHeight="1">
      <c r="A41" s="127"/>
      <c r="B41" s="181"/>
      <c r="C41" s="182"/>
      <c r="D41" s="181"/>
      <c r="E41" s="182"/>
      <c r="F41" s="181"/>
      <c r="G41" s="182"/>
      <c r="H41" s="181"/>
      <c r="I41" s="182"/>
      <c r="J41" s="181"/>
      <c r="K41" s="182"/>
      <c r="L41" s="181"/>
      <c r="M41" s="182"/>
      <c r="N41" s="181"/>
      <c r="O41" s="182"/>
      <c r="P41" s="181"/>
      <c r="Q41" s="182"/>
      <c r="R41" s="181"/>
      <c r="S41" s="182"/>
      <c r="T41" s="181"/>
      <c r="U41" s="182"/>
      <c r="V41" s="127"/>
      <c r="W41" s="127"/>
    </row>
    <row r="42" spans="1:23" ht="12" customHeight="1">
      <c r="A42" s="127"/>
      <c r="B42" s="181"/>
      <c r="C42" s="182"/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1"/>
      <c r="O42" s="182"/>
      <c r="P42" s="181"/>
      <c r="Q42" s="182"/>
      <c r="R42" s="181"/>
      <c r="S42" s="182"/>
      <c r="T42" s="181"/>
      <c r="U42" s="182"/>
      <c r="V42" s="127"/>
      <c r="W42" s="127"/>
    </row>
    <row r="43" spans="1:23" ht="12" customHeight="1">
      <c r="A43" s="127"/>
      <c r="B43" s="181"/>
      <c r="C43" s="182"/>
      <c r="D43" s="181"/>
      <c r="E43" s="182"/>
      <c r="F43" s="181"/>
      <c r="G43" s="182"/>
      <c r="H43" s="181"/>
      <c r="I43" s="182"/>
      <c r="J43" s="181"/>
      <c r="K43" s="182"/>
      <c r="L43" s="181"/>
      <c r="M43" s="182"/>
      <c r="N43" s="181"/>
      <c r="O43" s="182"/>
      <c r="P43" s="181"/>
      <c r="Q43" s="182"/>
      <c r="R43" s="181"/>
      <c r="S43" s="182"/>
      <c r="T43" s="181"/>
      <c r="U43" s="182"/>
      <c r="V43" s="127"/>
      <c r="W43" s="127"/>
    </row>
    <row r="44" spans="1:23" ht="12" customHeight="1" thickBot="1">
      <c r="A44" s="146">
        <v>6</v>
      </c>
      <c r="B44" s="184"/>
      <c r="C44" s="183"/>
      <c r="D44" s="184"/>
      <c r="E44" s="183"/>
      <c r="F44" s="184"/>
      <c r="G44" s="183"/>
      <c r="H44" s="184"/>
      <c r="I44" s="183"/>
      <c r="J44" s="184"/>
      <c r="K44" s="183"/>
      <c r="L44" s="184"/>
      <c r="M44" s="183"/>
      <c r="N44" s="184"/>
      <c r="O44" s="183"/>
      <c r="P44" s="184"/>
      <c r="Q44" s="183"/>
      <c r="R44" s="184"/>
      <c r="S44" s="183"/>
      <c r="T44" s="184"/>
      <c r="U44" s="183"/>
      <c r="V44" s="127"/>
      <c r="W44" s="127"/>
    </row>
    <row r="45" spans="1:23" ht="12" customHeight="1">
      <c r="A45" s="127"/>
      <c r="B45" s="179"/>
      <c r="C45" s="180"/>
      <c r="D45" s="179"/>
      <c r="E45" s="180"/>
      <c r="F45" s="179"/>
      <c r="G45" s="180"/>
      <c r="H45" s="179"/>
      <c r="I45" s="180"/>
      <c r="J45" s="179"/>
      <c r="K45" s="180"/>
      <c r="L45" s="179"/>
      <c r="M45" s="180"/>
      <c r="N45" s="179"/>
      <c r="O45" s="180"/>
      <c r="P45" s="179"/>
      <c r="Q45" s="180"/>
      <c r="R45" s="179"/>
      <c r="S45" s="180"/>
      <c r="T45" s="179"/>
      <c r="U45" s="180"/>
      <c r="V45" s="127"/>
      <c r="W45" s="127"/>
    </row>
    <row r="46" spans="1:23" ht="12" customHeight="1">
      <c r="A46" s="127"/>
      <c r="B46" s="181"/>
      <c r="C46" s="182"/>
      <c r="D46" s="181"/>
      <c r="E46" s="182"/>
      <c r="F46" s="181"/>
      <c r="G46" s="182"/>
      <c r="H46" s="181"/>
      <c r="I46" s="182"/>
      <c r="J46" s="181"/>
      <c r="K46" s="182"/>
      <c r="L46" s="181"/>
      <c r="M46" s="182"/>
      <c r="N46" s="181"/>
      <c r="O46" s="182"/>
      <c r="P46" s="181"/>
      <c r="Q46" s="182"/>
      <c r="R46" s="181"/>
      <c r="S46" s="182"/>
      <c r="T46" s="181"/>
      <c r="U46" s="182"/>
      <c r="V46" s="127"/>
      <c r="W46" s="127"/>
    </row>
    <row r="47" spans="1:23" ht="12" customHeight="1">
      <c r="A47" s="127"/>
      <c r="B47" s="181"/>
      <c r="C47" s="182"/>
      <c r="D47" s="181"/>
      <c r="E47" s="182"/>
      <c r="F47" s="181"/>
      <c r="G47" s="182"/>
      <c r="H47" s="181"/>
      <c r="I47" s="182"/>
      <c r="J47" s="181"/>
      <c r="K47" s="182"/>
      <c r="L47" s="181"/>
      <c r="M47" s="182"/>
      <c r="N47" s="181"/>
      <c r="O47" s="182"/>
      <c r="P47" s="181"/>
      <c r="Q47" s="182"/>
      <c r="R47" s="181"/>
      <c r="S47" s="182"/>
      <c r="T47" s="181"/>
      <c r="U47" s="182"/>
      <c r="V47" s="127"/>
      <c r="W47" s="127"/>
    </row>
    <row r="48" spans="1:23" ht="12" customHeight="1">
      <c r="A48" s="127"/>
      <c r="B48" s="181"/>
      <c r="C48" s="182"/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1"/>
      <c r="O48" s="182"/>
      <c r="P48" s="181"/>
      <c r="Q48" s="182"/>
      <c r="R48" s="181"/>
      <c r="S48" s="182"/>
      <c r="T48" s="181"/>
      <c r="U48" s="182"/>
      <c r="V48" s="127"/>
      <c r="W48" s="127"/>
    </row>
    <row r="49" spans="1:23" ht="12" customHeight="1" thickBot="1">
      <c r="A49" s="146">
        <v>7</v>
      </c>
      <c r="B49" s="184"/>
      <c r="C49" s="183"/>
      <c r="D49" s="184"/>
      <c r="E49" s="183"/>
      <c r="F49" s="184"/>
      <c r="G49" s="183"/>
      <c r="H49" s="184"/>
      <c r="I49" s="183"/>
      <c r="J49" s="184"/>
      <c r="K49" s="183"/>
      <c r="L49" s="184"/>
      <c r="M49" s="183"/>
      <c r="N49" s="184"/>
      <c r="O49" s="183"/>
      <c r="P49" s="184"/>
      <c r="Q49" s="183"/>
      <c r="R49" s="184"/>
      <c r="S49" s="183"/>
      <c r="T49" s="184"/>
      <c r="U49" s="183"/>
      <c r="V49" s="127"/>
      <c r="W49" s="127"/>
    </row>
    <row r="50" spans="1:23" ht="12" customHeight="1">
      <c r="A50" s="127"/>
      <c r="B50" s="179"/>
      <c r="C50" s="180"/>
      <c r="D50" s="179"/>
      <c r="E50" s="180"/>
      <c r="F50" s="179"/>
      <c r="G50" s="180"/>
      <c r="H50" s="179"/>
      <c r="I50" s="180"/>
      <c r="J50" s="179"/>
      <c r="K50" s="180"/>
      <c r="L50" s="179"/>
      <c r="M50" s="180"/>
      <c r="N50" s="179"/>
      <c r="O50" s="180"/>
      <c r="P50" s="179"/>
      <c r="Q50" s="180"/>
      <c r="R50" s="179"/>
      <c r="S50" s="180"/>
      <c r="T50" s="181"/>
      <c r="U50" s="180"/>
      <c r="V50" s="127"/>
      <c r="W50" s="127"/>
    </row>
    <row r="51" spans="1:23" ht="12" customHeight="1">
      <c r="A51" s="127"/>
      <c r="B51" s="181"/>
      <c r="C51" s="182"/>
      <c r="D51" s="181"/>
      <c r="E51" s="182"/>
      <c r="F51" s="181"/>
      <c r="G51" s="182"/>
      <c r="H51" s="181"/>
      <c r="I51" s="182"/>
      <c r="J51" s="181"/>
      <c r="K51" s="182"/>
      <c r="L51" s="181"/>
      <c r="M51" s="182"/>
      <c r="N51" s="181"/>
      <c r="O51" s="182"/>
      <c r="P51" s="181"/>
      <c r="Q51" s="182"/>
      <c r="R51" s="181"/>
      <c r="S51" s="182"/>
      <c r="T51" s="181"/>
      <c r="U51" s="182"/>
      <c r="V51" s="127"/>
      <c r="W51" s="127"/>
    </row>
    <row r="52" spans="1:23" ht="12" customHeight="1">
      <c r="A52" s="127"/>
      <c r="B52" s="181"/>
      <c r="C52" s="182"/>
      <c r="D52" s="181"/>
      <c r="E52" s="182"/>
      <c r="F52" s="181"/>
      <c r="G52" s="182"/>
      <c r="H52" s="181"/>
      <c r="I52" s="182"/>
      <c r="J52" s="181"/>
      <c r="K52" s="182"/>
      <c r="L52" s="181"/>
      <c r="M52" s="182"/>
      <c r="N52" s="181"/>
      <c r="O52" s="182"/>
      <c r="P52" s="181"/>
      <c r="Q52" s="182"/>
      <c r="R52" s="181"/>
      <c r="S52" s="182"/>
      <c r="T52" s="181"/>
      <c r="U52" s="182"/>
      <c r="V52" s="127"/>
      <c r="W52" s="127"/>
    </row>
    <row r="53" spans="1:23" ht="12" customHeight="1">
      <c r="A53" s="127"/>
      <c r="B53" s="181"/>
      <c r="C53" s="182"/>
      <c r="D53" s="181"/>
      <c r="E53" s="182"/>
      <c r="F53" s="181"/>
      <c r="G53" s="182"/>
      <c r="H53" s="181"/>
      <c r="I53" s="182"/>
      <c r="J53" s="181"/>
      <c r="K53" s="182"/>
      <c r="L53" s="181"/>
      <c r="M53" s="182"/>
      <c r="N53" s="181"/>
      <c r="O53" s="182"/>
      <c r="P53" s="181"/>
      <c r="Q53" s="182"/>
      <c r="R53" s="181"/>
      <c r="S53" s="182"/>
      <c r="T53" s="181"/>
      <c r="U53" s="182"/>
      <c r="V53" s="127"/>
      <c r="W53" s="127"/>
    </row>
    <row r="54" spans="1:23" ht="12" customHeight="1" thickBot="1">
      <c r="A54" s="146">
        <v>8</v>
      </c>
      <c r="B54" s="184"/>
      <c r="C54" s="183"/>
      <c r="D54" s="184"/>
      <c r="E54" s="183"/>
      <c r="F54" s="184"/>
      <c r="G54" s="183"/>
      <c r="H54" s="184"/>
      <c r="I54" s="183"/>
      <c r="J54" s="184"/>
      <c r="K54" s="183"/>
      <c r="L54" s="184"/>
      <c r="M54" s="183"/>
      <c r="N54" s="184"/>
      <c r="O54" s="183"/>
      <c r="P54" s="184"/>
      <c r="Q54" s="183"/>
      <c r="R54" s="184"/>
      <c r="S54" s="183"/>
      <c r="T54" s="184"/>
      <c r="U54" s="183"/>
      <c r="V54" s="127"/>
      <c r="W54" s="127"/>
    </row>
    <row r="55" spans="1:23" ht="12" customHeight="1">
      <c r="A55" s="127"/>
      <c r="B55" s="179"/>
      <c r="C55" s="180"/>
      <c r="D55" s="179"/>
      <c r="E55" s="180"/>
      <c r="F55" s="179"/>
      <c r="G55" s="180"/>
      <c r="H55" s="179"/>
      <c r="I55" s="180"/>
      <c r="J55" s="179"/>
      <c r="K55" s="180"/>
      <c r="L55" s="179"/>
      <c r="M55" s="180"/>
      <c r="N55" s="179"/>
      <c r="O55" s="180"/>
      <c r="P55" s="179"/>
      <c r="Q55" s="180"/>
      <c r="R55" s="179"/>
      <c r="S55" s="180"/>
      <c r="T55" s="179"/>
      <c r="U55" s="180"/>
      <c r="V55" s="127"/>
      <c r="W55" s="127"/>
    </row>
    <row r="56" spans="1:23" ht="12" customHeight="1">
      <c r="A56" s="127"/>
      <c r="B56" s="181"/>
      <c r="C56" s="182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1"/>
      <c r="O56" s="182"/>
      <c r="P56" s="181"/>
      <c r="Q56" s="182"/>
      <c r="R56" s="181"/>
      <c r="S56" s="182"/>
      <c r="T56" s="181"/>
      <c r="U56" s="182"/>
      <c r="V56" s="127"/>
      <c r="W56" s="127"/>
    </row>
    <row r="57" spans="1:23" ht="12" customHeight="1">
      <c r="A57" s="127"/>
      <c r="B57" s="181"/>
      <c r="C57" s="182"/>
      <c r="D57" s="181"/>
      <c r="E57" s="182"/>
      <c r="F57" s="181"/>
      <c r="G57" s="182"/>
      <c r="H57" s="181"/>
      <c r="I57" s="182"/>
      <c r="J57" s="181"/>
      <c r="K57" s="182"/>
      <c r="L57" s="181"/>
      <c r="M57" s="182"/>
      <c r="N57" s="181"/>
      <c r="O57" s="182"/>
      <c r="P57" s="181"/>
      <c r="Q57" s="182"/>
      <c r="R57" s="181"/>
      <c r="S57" s="182"/>
      <c r="T57" s="181"/>
      <c r="U57" s="182"/>
      <c r="V57" s="127"/>
      <c r="W57" s="127"/>
    </row>
    <row r="58" spans="1:23" ht="12" customHeight="1">
      <c r="A58" s="127"/>
      <c r="B58" s="181"/>
      <c r="C58" s="182"/>
      <c r="D58" s="181"/>
      <c r="E58" s="182"/>
      <c r="F58" s="181"/>
      <c r="G58" s="182"/>
      <c r="H58" s="181"/>
      <c r="I58" s="182"/>
      <c r="J58" s="181"/>
      <c r="K58" s="182"/>
      <c r="L58" s="181"/>
      <c r="M58" s="182"/>
      <c r="N58" s="181"/>
      <c r="O58" s="182"/>
      <c r="P58" s="181"/>
      <c r="Q58" s="182"/>
      <c r="R58" s="181"/>
      <c r="S58" s="182"/>
      <c r="T58" s="181"/>
      <c r="U58" s="182"/>
      <c r="V58" s="127"/>
      <c r="W58" s="127"/>
    </row>
    <row r="59" spans="1:23" ht="12" customHeight="1" thickBot="1">
      <c r="A59" s="146">
        <v>9</v>
      </c>
      <c r="B59" s="184"/>
      <c r="C59" s="183"/>
      <c r="D59" s="184"/>
      <c r="E59" s="183"/>
      <c r="F59" s="184"/>
      <c r="G59" s="183"/>
      <c r="H59" s="184"/>
      <c r="I59" s="183"/>
      <c r="J59" s="184"/>
      <c r="K59" s="183"/>
      <c r="L59" s="184"/>
      <c r="M59" s="183"/>
      <c r="N59" s="184"/>
      <c r="O59" s="183"/>
      <c r="P59" s="184"/>
      <c r="Q59" s="183"/>
      <c r="R59" s="184"/>
      <c r="S59" s="183"/>
      <c r="T59" s="184"/>
      <c r="U59" s="183"/>
      <c r="V59" s="127"/>
      <c r="W59" s="127"/>
    </row>
    <row r="60" spans="1:23" ht="12" customHeight="1">
      <c r="A60" s="127"/>
      <c r="B60" s="179"/>
      <c r="C60" s="180"/>
      <c r="D60" s="179"/>
      <c r="E60" s="180"/>
      <c r="F60" s="179"/>
      <c r="G60" s="180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81"/>
      <c r="C61" s="182"/>
      <c r="D61" s="181"/>
      <c r="E61" s="182"/>
      <c r="F61" s="181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81"/>
      <c r="C62" s="182"/>
      <c r="D62" s="181"/>
      <c r="E62" s="182"/>
      <c r="F62" s="181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81"/>
      <c r="C63" s="182"/>
      <c r="D63" s="181"/>
      <c r="E63" s="182"/>
      <c r="F63" s="181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84"/>
      <c r="C64" s="183"/>
      <c r="D64" s="184"/>
      <c r="E64" s="183"/>
      <c r="F64" s="184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3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3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3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3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3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3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HYPERLINK("#'12월'!A1","← 12월 월간 가계부로 돌아가기")</f>
        <v>← 12월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IF('12월'!AA1,I149=('12월'!M28),"미입력")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IF('12월'!AA1,I150=('12월'!I38),"미입력")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86"/>
  <sheetViews>
    <sheetView showGridLines="0" workbookViewId="0">
      <pane ySplit="1" topLeftCell="A2145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751</v>
      </c>
      <c r="B1" s="76" t="s">
        <v>47</v>
      </c>
      <c r="C1" s="76" t="s">
        <v>752</v>
      </c>
      <c r="D1" s="76" t="s">
        <v>753</v>
      </c>
      <c r="E1" s="76" t="s">
        <v>754</v>
      </c>
      <c r="F1" s="76" t="s">
        <v>37</v>
      </c>
      <c r="G1" s="76" t="s">
        <v>755</v>
      </c>
      <c r="H1" s="76" t="s">
        <v>756</v>
      </c>
      <c r="I1" s="76" t="s">
        <v>757</v>
      </c>
      <c r="J1" s="76" t="s">
        <v>758</v>
      </c>
      <c r="K1" s="76" t="s">
        <v>759</v>
      </c>
      <c r="L1" s="76" t="s">
        <v>760</v>
      </c>
      <c r="M1" s="76" t="s">
        <v>553</v>
      </c>
      <c r="N1" s="76" t="s">
        <v>761</v>
      </c>
      <c r="O1" s="76" t="s">
        <v>762</v>
      </c>
      <c r="P1" s="76"/>
      <c r="Q1" s="76" t="inlineStr">
        <is>
          <t xml:space="preserve">10월 RAW 갱신 · 2026-10-18 기준</t>
        </is>
      </c>
      <c r="R1" s="76" t="s">
        <v>764</v>
      </c>
      <c r="S1" s="76" t="s">
        <v>765</v>
      </c>
    </row>
    <row r="2" spans="1:19">
      <c r="A2" s="59">
        <v>46023.038194444453</v>
      </c>
      <c r="B2" s="59">
        <v>46023</v>
      </c>
      <c r="C2" s="31" t="s">
        <v>766</v>
      </c>
      <c r="D2" s="31" t="s">
        <v>485</v>
      </c>
      <c r="E2" s="31"/>
      <c r="F2" s="31" t="s">
        <v>767</v>
      </c>
      <c r="G2" s="27">
        <v>2312</v>
      </c>
      <c r="H2" s="31" t="s">
        <v>63</v>
      </c>
      <c r="I2" s="31"/>
      <c r="J2" s="26" t="s">
        <v>768</v>
      </c>
      <c r="K2" s="27">
        <v>2312</v>
      </c>
      <c r="L2" s="31" t="s">
        <v>769</v>
      </c>
      <c r="M2" s="31"/>
      <c r="N2" s="76"/>
      <c r="O2" s="76" t="s">
        <v>768</v>
      </c>
      <c r="P2" s="76"/>
      <c r="Q2" s="76" t="inlineStr">
        <is>
          <t xml:space="preserve">10/1~18 RAW 164건: 기존 144건 유지 + 신규 20건. WRAP 15건 연결·타계좌 48건·카드사용 101건.</t>
        </is>
      </c>
    </row>
    <row r="3" spans="1:19">
      <c r="A3" s="59">
        <v>46023.804131944453</v>
      </c>
      <c r="B3" s="59">
        <v>46023</v>
      </c>
      <c r="C3" s="31" t="s">
        <v>771</v>
      </c>
      <c r="D3" s="31" t="s">
        <v>575</v>
      </c>
      <c r="E3" s="31" t="s">
        <v>772</v>
      </c>
      <c r="F3" s="31" t="s">
        <v>773</v>
      </c>
      <c r="G3" s="27">
        <v>4600</v>
      </c>
      <c r="H3" s="31" t="s">
        <v>63</v>
      </c>
      <c r="I3" s="31" t="s">
        <v>774</v>
      </c>
      <c r="J3" s="26" t="s">
        <v>775</v>
      </c>
      <c r="K3" s="27">
        <v>4600</v>
      </c>
      <c r="L3" s="31" t="s">
        <v>769</v>
      </c>
      <c r="M3" s="31"/>
      <c r="N3" s="76"/>
      <c r="O3" s="76" t="s">
        <v>775</v>
      </c>
      <c r="P3" s="76"/>
      <c r="Q3" s="76" t="s">
        <v>776</v>
      </c>
    </row>
    <row r="4" spans="1:19">
      <c r="A4" s="59">
        <v>46024.038888888892</v>
      </c>
      <c r="B4" s="59">
        <v>46023</v>
      </c>
      <c r="C4" s="31" t="s">
        <v>766</v>
      </c>
      <c r="D4" s="31" t="s">
        <v>485</v>
      </c>
      <c r="E4" s="31"/>
      <c r="F4" s="31" t="s">
        <v>777</v>
      </c>
      <c r="G4" s="27">
        <v>9000</v>
      </c>
      <c r="H4" s="31" t="s">
        <v>63</v>
      </c>
      <c r="I4" s="31"/>
      <c r="J4" s="26" t="s">
        <v>768</v>
      </c>
      <c r="K4" s="27">
        <v>9000</v>
      </c>
      <c r="L4" s="31" t="s">
        <v>769</v>
      </c>
      <c r="M4" s="31"/>
      <c r="N4" s="76"/>
      <c r="O4" s="76" t="s">
        <v>778</v>
      </c>
      <c r="P4" s="76"/>
      <c r="Q4" s="76" t="s">
        <v>779</v>
      </c>
    </row>
    <row r="5" spans="1:19">
      <c r="A5" s="59">
        <v>46024.039050925923</v>
      </c>
      <c r="B5" s="59">
        <v>46023</v>
      </c>
      <c r="C5" s="31" t="s">
        <v>780</v>
      </c>
      <c r="D5" s="31" t="s">
        <v>575</v>
      </c>
      <c r="E5" s="31" t="s">
        <v>781</v>
      </c>
      <c r="F5" s="31" t="s">
        <v>782</v>
      </c>
      <c r="G5" s="27">
        <v>17500</v>
      </c>
      <c r="H5" s="31" t="s">
        <v>63</v>
      </c>
      <c r="I5" s="31"/>
      <c r="J5" s="26" t="s">
        <v>775</v>
      </c>
      <c r="K5" s="27">
        <v>17500</v>
      </c>
      <c r="L5" s="31" t="s">
        <v>769</v>
      </c>
      <c r="M5" s="31"/>
      <c r="N5" s="76"/>
      <c r="O5" s="76" t="s">
        <v>783</v>
      </c>
      <c r="P5" s="76"/>
      <c r="Q5" s="76" t="inlineStr">
        <is>
          <t xml:space="preserve">생신 본인 사용 239,000원 = 명절비 200,000 + 임시보관 39,000. 기존 현금 납입으로 충당; 월급 부담에 다시 더하지 않음.</t>
        </is>
      </c>
    </row>
    <row r="6" spans="1:19">
      <c r="A6" s="59">
        <v>46024.040358796286</v>
      </c>
      <c r="B6" s="59">
        <v>46023</v>
      </c>
      <c r="C6" s="31" t="s">
        <v>766</v>
      </c>
      <c r="D6" s="31" t="s">
        <v>575</v>
      </c>
      <c r="E6" s="31" t="s">
        <v>785</v>
      </c>
      <c r="F6" s="31" t="s">
        <v>488</v>
      </c>
      <c r="G6" s="27">
        <v>53390</v>
      </c>
      <c r="H6" s="31" t="s">
        <v>63</v>
      </c>
      <c r="I6" s="31" t="s">
        <v>786</v>
      </c>
      <c r="J6" s="26" t="s">
        <v>775</v>
      </c>
      <c r="K6" s="27">
        <v>53390</v>
      </c>
      <c r="L6" s="31" t="s">
        <v>769</v>
      </c>
      <c r="M6" s="31"/>
      <c r="N6" s="76"/>
      <c r="O6" s="76" t="s">
        <v>787</v>
      </c>
      <c r="P6" s="76"/>
      <c r="Q6" s="76" t="inlineStr">
        <is>
          <t xml:space="preserve">생신 실비 639,000 / 형제자매 반환 100,000 / 본인 원금 회수 61,000. 철도 대납 미회수 103,600원. 이체 중복 소비 제외.</t>
        </is>
      </c>
    </row>
    <row r="7" spans="1:19">
      <c r="A7" s="59">
        <v>46025.017627314817</v>
      </c>
      <c r="B7" s="59">
        <v>46023</v>
      </c>
      <c r="C7" s="31" t="s">
        <v>780</v>
      </c>
      <c r="D7" s="31" t="s">
        <v>576</v>
      </c>
      <c r="E7" s="31"/>
      <c r="F7" s="31" t="s">
        <v>576</v>
      </c>
      <c r="G7" s="27">
        <v>10000</v>
      </c>
      <c r="H7" s="31" t="s">
        <v>63</v>
      </c>
      <c r="I7" s="31"/>
      <c r="J7" s="26" t="s">
        <v>778</v>
      </c>
      <c r="K7" s="27">
        <v>10000</v>
      </c>
      <c r="L7" s="31" t="s">
        <v>769</v>
      </c>
      <c r="M7" s="31"/>
      <c r="N7" s="76"/>
      <c r="O7" s="76" t="s">
        <v>789</v>
      </c>
      <c r="P7" s="76"/>
      <c r="Q7" s="76" t="s">
        <v>790</v>
      </c>
    </row>
    <row r="8" spans="1:19">
      <c r="A8" s="59">
        <v>46025.017870370371</v>
      </c>
      <c r="B8" s="59">
        <v>46023</v>
      </c>
      <c r="C8" s="31" t="s">
        <v>780</v>
      </c>
      <c r="D8" s="31" t="s">
        <v>575</v>
      </c>
      <c r="E8" s="31"/>
      <c r="F8" s="31" t="s">
        <v>773</v>
      </c>
      <c r="G8" s="27">
        <v>4800</v>
      </c>
      <c r="H8" s="31" t="s">
        <v>63</v>
      </c>
      <c r="I8" s="31" t="s">
        <v>791</v>
      </c>
      <c r="J8" s="26" t="s">
        <v>775</v>
      </c>
      <c r="K8" s="27">
        <v>4800</v>
      </c>
      <c r="L8" s="31" t="s">
        <v>769</v>
      </c>
      <c r="M8" s="31"/>
      <c r="N8" s="76"/>
      <c r="O8" s="76" t="s">
        <v>68</v>
      </c>
      <c r="P8" s="76"/>
      <c r="Q8" s="76"/>
    </row>
    <row r="9" spans="1:19">
      <c r="A9" s="59">
        <v>46025.022638888891</v>
      </c>
      <c r="B9" s="59">
        <v>46023</v>
      </c>
      <c r="C9" s="31" t="s">
        <v>780</v>
      </c>
      <c r="D9" s="31" t="s">
        <v>575</v>
      </c>
      <c r="E9" s="31" t="s">
        <v>792</v>
      </c>
      <c r="F9" s="31" t="s">
        <v>793</v>
      </c>
      <c r="G9" s="27">
        <v>5890</v>
      </c>
      <c r="H9" s="31" t="s">
        <v>63</v>
      </c>
      <c r="I9" s="31" t="s">
        <v>794</v>
      </c>
      <c r="J9" s="26" t="s">
        <v>775</v>
      </c>
      <c r="K9" s="27">
        <v>5890</v>
      </c>
      <c r="L9" s="31" t="s">
        <v>769</v>
      </c>
      <c r="M9" s="31"/>
      <c r="N9" s="76"/>
      <c r="O9" s="76" t="s">
        <v>795</v>
      </c>
      <c r="P9" s="76"/>
      <c r="Q9" s="76"/>
    </row>
    <row r="10" spans="1:19">
      <c r="A10" s="59">
        <v>46025.022951388892</v>
      </c>
      <c r="B10" s="59">
        <v>46023</v>
      </c>
      <c r="C10" s="31" t="s">
        <v>780</v>
      </c>
      <c r="D10" s="31" t="s">
        <v>796</v>
      </c>
      <c r="E10" s="31"/>
      <c r="F10" s="31" t="s">
        <v>797</v>
      </c>
      <c r="G10" s="27">
        <v>30000</v>
      </c>
      <c r="H10" s="31" t="s">
        <v>63</v>
      </c>
      <c r="I10" s="31" t="s">
        <v>798</v>
      </c>
      <c r="J10" s="26" t="s">
        <v>775</v>
      </c>
      <c r="K10" s="27">
        <v>30000</v>
      </c>
      <c r="L10" s="31" t="s">
        <v>769</v>
      </c>
      <c r="M10" s="31"/>
      <c r="N10" s="76"/>
      <c r="O10" s="76" t="s">
        <v>799</v>
      </c>
      <c r="P10" s="76"/>
      <c r="Q10" s="76"/>
    </row>
    <row r="11" spans="1:19">
      <c r="A11" s="59">
        <v>46025.023541666669</v>
      </c>
      <c r="B11" s="59">
        <v>46023</v>
      </c>
      <c r="C11" s="31" t="s">
        <v>780</v>
      </c>
      <c r="D11" s="31" t="s">
        <v>575</v>
      </c>
      <c r="E11" s="31" t="s">
        <v>772</v>
      </c>
      <c r="F11" s="31" t="s">
        <v>773</v>
      </c>
      <c r="G11" s="27">
        <v>2700</v>
      </c>
      <c r="H11" s="31" t="s">
        <v>63</v>
      </c>
      <c r="I11" s="31" t="s">
        <v>800</v>
      </c>
      <c r="J11" s="26" t="s">
        <v>775</v>
      </c>
      <c r="K11" s="27">
        <v>2700</v>
      </c>
      <c r="L11" s="31" t="s">
        <v>769</v>
      </c>
      <c r="M11" s="31"/>
      <c r="N11" s="76"/>
      <c r="O11" s="76" t="s">
        <v>801</v>
      </c>
      <c r="P11" s="76"/>
      <c r="Q11" s="76"/>
    </row>
    <row r="12" spans="1:19">
      <c r="A12" s="59">
        <v>46026.474699074082</v>
      </c>
      <c r="B12" s="59">
        <v>46023</v>
      </c>
      <c r="C12" s="31" t="s">
        <v>802</v>
      </c>
      <c r="D12" s="31" t="s">
        <v>803</v>
      </c>
      <c r="E12" s="31"/>
      <c r="F12" s="31" t="s">
        <v>81</v>
      </c>
      <c r="G12" s="27">
        <v>980570</v>
      </c>
      <c r="H12" s="31" t="s">
        <v>804</v>
      </c>
      <c r="I12" s="31"/>
      <c r="J12" s="26" t="s">
        <v>805</v>
      </c>
      <c r="K12" s="27">
        <v>980570</v>
      </c>
      <c r="L12" s="31" t="s">
        <v>769</v>
      </c>
      <c r="M12" s="31"/>
      <c r="N12" s="76"/>
      <c r="O12" s="76" t="s">
        <v>806</v>
      </c>
      <c r="P12" s="76"/>
      <c r="Q12" s="76"/>
    </row>
    <row r="13" spans="1:19">
      <c r="A13" s="59">
        <v>46026.474699074082</v>
      </c>
      <c r="B13" s="59">
        <v>46023</v>
      </c>
      <c r="C13" s="31" t="s">
        <v>803</v>
      </c>
      <c r="D13" s="31" t="s">
        <v>802</v>
      </c>
      <c r="E13" s="31"/>
      <c r="F13" s="31" t="s">
        <v>81</v>
      </c>
      <c r="G13" s="27">
        <v>980570</v>
      </c>
      <c r="H13" s="31" t="s">
        <v>807</v>
      </c>
      <c r="I13" s="31"/>
      <c r="J13" s="26" t="s">
        <v>805</v>
      </c>
      <c r="K13" s="27">
        <v>980570</v>
      </c>
      <c r="L13" s="31" t="s">
        <v>769</v>
      </c>
      <c r="M13" s="31"/>
      <c r="N13" s="76"/>
      <c r="O13" s="76" t="s">
        <v>69</v>
      </c>
      <c r="P13" s="76"/>
      <c r="Q13" s="76"/>
    </row>
    <row r="14" spans="1:19">
      <c r="A14" s="59">
        <v>46026.815312500003</v>
      </c>
      <c r="B14" s="59">
        <v>46023</v>
      </c>
      <c r="C14" s="31" t="s">
        <v>766</v>
      </c>
      <c r="D14" s="31" t="s">
        <v>485</v>
      </c>
      <c r="E14" s="31"/>
      <c r="F14" s="31" t="s">
        <v>808</v>
      </c>
      <c r="G14" s="27">
        <v>13330</v>
      </c>
      <c r="H14" s="31" t="s">
        <v>63</v>
      </c>
      <c r="I14" s="31"/>
      <c r="J14" s="26" t="s">
        <v>768</v>
      </c>
      <c r="K14" s="27">
        <v>13330</v>
      </c>
      <c r="L14" s="31" t="s">
        <v>769</v>
      </c>
      <c r="M14" s="31"/>
      <c r="N14" s="76"/>
      <c r="O14" s="76" t="s">
        <v>809</v>
      </c>
      <c r="P14" s="76"/>
      <c r="Q14" s="76"/>
    </row>
    <row r="15" spans="1:19">
      <c r="A15" s="59">
        <v>46026.815358796302</v>
      </c>
      <c r="B15" s="59">
        <v>46023</v>
      </c>
      <c r="C15" s="31" t="s">
        <v>766</v>
      </c>
      <c r="D15" s="31" t="s">
        <v>485</v>
      </c>
      <c r="E15" s="31"/>
      <c r="F15" s="31" t="s">
        <v>691</v>
      </c>
      <c r="G15" s="27">
        <v>1800</v>
      </c>
      <c r="H15" s="31" t="s">
        <v>63</v>
      </c>
      <c r="I15" s="31" t="s">
        <v>810</v>
      </c>
      <c r="J15" s="26" t="s">
        <v>768</v>
      </c>
      <c r="K15" s="27">
        <v>1800</v>
      </c>
      <c r="L15" s="31" t="s">
        <v>769</v>
      </c>
      <c r="M15" s="31"/>
      <c r="N15" s="76"/>
      <c r="O15" s="76" t="s">
        <v>66</v>
      </c>
      <c r="P15" s="76"/>
      <c r="Q15" s="76"/>
    </row>
    <row r="16" spans="1:19">
      <c r="A16" s="59">
        <v>46027.868136574078</v>
      </c>
      <c r="B16" s="59">
        <v>46023</v>
      </c>
      <c r="C16" s="31" t="s">
        <v>766</v>
      </c>
      <c r="D16" s="31" t="s">
        <v>811</v>
      </c>
      <c r="E16" s="31"/>
      <c r="F16" s="31" t="s">
        <v>812</v>
      </c>
      <c r="G16" s="27">
        <v>18200</v>
      </c>
      <c r="H16" s="31" t="s">
        <v>63</v>
      </c>
      <c r="I16" s="31" t="s">
        <v>813</v>
      </c>
      <c r="J16" s="26" t="s">
        <v>768</v>
      </c>
      <c r="K16" s="27">
        <v>18200</v>
      </c>
      <c r="L16" s="31" t="s">
        <v>769</v>
      </c>
      <c r="M16" s="31"/>
      <c r="N16" s="76"/>
      <c r="O16" s="76" t="s">
        <v>388</v>
      </c>
      <c r="P16" s="76"/>
      <c r="Q16" s="76"/>
    </row>
    <row r="17" spans="1:17">
      <c r="A17" s="59">
        <v>46027.925949074073</v>
      </c>
      <c r="B17" s="59">
        <v>46023</v>
      </c>
      <c r="C17" s="31" t="s">
        <v>780</v>
      </c>
      <c r="D17" s="31" t="s">
        <v>576</v>
      </c>
      <c r="E17" s="31"/>
      <c r="F17" s="31" t="s">
        <v>576</v>
      </c>
      <c r="G17" s="27">
        <v>10000</v>
      </c>
      <c r="H17" s="31" t="s">
        <v>63</v>
      </c>
      <c r="I17" s="31"/>
      <c r="J17" s="26" t="s">
        <v>778</v>
      </c>
      <c r="K17" s="27">
        <v>10000</v>
      </c>
      <c r="L17" s="31" t="s">
        <v>769</v>
      </c>
      <c r="M17" s="31"/>
      <c r="N17" s="76"/>
      <c r="O17" s="76" t="s">
        <v>70</v>
      </c>
      <c r="P17" s="76"/>
      <c r="Q17" s="76"/>
    </row>
    <row r="18" spans="1:17">
      <c r="A18" s="59">
        <v>46027.926076388889</v>
      </c>
      <c r="B18" s="59">
        <v>46023</v>
      </c>
      <c r="C18" s="31" t="s">
        <v>780</v>
      </c>
      <c r="D18" s="31" t="s">
        <v>575</v>
      </c>
      <c r="E18" s="31" t="s">
        <v>781</v>
      </c>
      <c r="F18" s="31" t="s">
        <v>814</v>
      </c>
      <c r="G18" s="27">
        <v>11700</v>
      </c>
      <c r="H18" s="31" t="s">
        <v>63</v>
      </c>
      <c r="I18" s="31"/>
      <c r="J18" s="26" t="s">
        <v>775</v>
      </c>
      <c r="K18" s="27">
        <v>11700</v>
      </c>
      <c r="L18" s="31" t="s">
        <v>769</v>
      </c>
      <c r="M18" s="31"/>
      <c r="N18" s="76"/>
      <c r="O18" s="76" t="s">
        <v>815</v>
      </c>
      <c r="P18" s="76"/>
      <c r="Q18" s="76"/>
    </row>
    <row r="19" spans="1:17">
      <c r="A19" s="59">
        <v>46027.92633101852</v>
      </c>
      <c r="B19" s="59">
        <v>46023</v>
      </c>
      <c r="C19" s="31" t="s">
        <v>816</v>
      </c>
      <c r="D19" s="31" t="s">
        <v>817</v>
      </c>
      <c r="E19" s="31"/>
      <c r="F19" s="31" t="s">
        <v>82</v>
      </c>
      <c r="G19" s="27">
        <v>550000</v>
      </c>
      <c r="H19" s="31" t="s">
        <v>63</v>
      </c>
      <c r="I19" s="31"/>
      <c r="J19" s="26" t="s">
        <v>768</v>
      </c>
      <c r="K19" s="27">
        <v>550000</v>
      </c>
      <c r="L19" s="31" t="s">
        <v>769</v>
      </c>
      <c r="M19" s="31"/>
      <c r="N19" s="76"/>
      <c r="O19" s="76" t="s">
        <v>818</v>
      </c>
      <c r="P19" s="76"/>
      <c r="Q19" s="76"/>
    </row>
    <row r="20" spans="1:17">
      <c r="A20" s="59">
        <v>46027.934664351851</v>
      </c>
      <c r="B20" s="59">
        <v>46023</v>
      </c>
      <c r="C20" s="31" t="s">
        <v>816</v>
      </c>
      <c r="D20" s="31" t="s">
        <v>181</v>
      </c>
      <c r="E20" s="31"/>
      <c r="F20" s="31" t="s">
        <v>81</v>
      </c>
      <c r="G20" s="27">
        <v>1800</v>
      </c>
      <c r="H20" s="31" t="s">
        <v>807</v>
      </c>
      <c r="I20" s="31" t="s">
        <v>819</v>
      </c>
      <c r="J20" s="26" t="s">
        <v>805</v>
      </c>
      <c r="K20" s="27">
        <v>1800</v>
      </c>
      <c r="L20" s="31" t="s">
        <v>769</v>
      </c>
      <c r="M20" s="31"/>
      <c r="N20" s="76"/>
      <c r="O20" s="76" t="s">
        <v>820</v>
      </c>
      <c r="P20" s="76"/>
      <c r="Q20" s="76"/>
    </row>
    <row r="21" spans="1:17">
      <c r="A21" s="59">
        <v>46027.934664351851</v>
      </c>
      <c r="B21" s="59">
        <v>46023</v>
      </c>
      <c r="C21" s="31" t="s">
        <v>181</v>
      </c>
      <c r="D21" s="31" t="s">
        <v>816</v>
      </c>
      <c r="E21" s="31"/>
      <c r="F21" s="31" t="s">
        <v>81</v>
      </c>
      <c r="G21" s="27">
        <v>1800</v>
      </c>
      <c r="H21" s="31" t="s">
        <v>804</v>
      </c>
      <c r="I21" s="31" t="s">
        <v>819</v>
      </c>
      <c r="J21" s="26" t="s">
        <v>805</v>
      </c>
      <c r="K21" s="27">
        <v>1800</v>
      </c>
      <c r="L21" s="31" t="s">
        <v>769</v>
      </c>
      <c r="M21" s="31"/>
      <c r="N21" s="76"/>
      <c r="O21" s="76" t="s">
        <v>821</v>
      </c>
      <c r="P21" s="76"/>
      <c r="Q21" s="76"/>
    </row>
    <row r="22" spans="1:17">
      <c r="A22" s="59">
        <v>46028.943078703713</v>
      </c>
      <c r="B22" s="59">
        <v>46023</v>
      </c>
      <c r="C22" s="31" t="s">
        <v>802</v>
      </c>
      <c r="D22" s="31" t="s">
        <v>811</v>
      </c>
      <c r="E22" s="31"/>
      <c r="F22" s="31" t="s">
        <v>822</v>
      </c>
      <c r="G22" s="27">
        <v>100</v>
      </c>
      <c r="H22" s="31" t="s">
        <v>63</v>
      </c>
      <c r="I22" s="31" t="s">
        <v>823</v>
      </c>
      <c r="J22" s="26" t="s">
        <v>775</v>
      </c>
      <c r="K22" s="27">
        <v>100</v>
      </c>
      <c r="L22" s="31" t="s">
        <v>769</v>
      </c>
      <c r="M22" s="31"/>
      <c r="N22" s="76"/>
      <c r="O22" s="76" t="s">
        <v>824</v>
      </c>
      <c r="P22" s="76"/>
      <c r="Q22" s="76"/>
    </row>
    <row r="23" spans="1:17">
      <c r="A23" s="59">
        <v>46028.943831018521</v>
      </c>
      <c r="B23" s="59">
        <v>46023</v>
      </c>
      <c r="C23" s="31" t="s">
        <v>780</v>
      </c>
      <c r="D23" s="31" t="s">
        <v>811</v>
      </c>
      <c r="E23" s="31"/>
      <c r="F23" s="31" t="s">
        <v>825</v>
      </c>
      <c r="G23" s="27">
        <v>18900</v>
      </c>
      <c r="H23" s="31" t="s">
        <v>63</v>
      </c>
      <c r="I23" s="31" t="s">
        <v>826</v>
      </c>
      <c r="J23" s="26" t="s">
        <v>775</v>
      </c>
      <c r="K23" s="27">
        <v>18900</v>
      </c>
      <c r="L23" s="31" t="s">
        <v>769</v>
      </c>
      <c r="M23" s="31"/>
      <c r="N23" s="76"/>
      <c r="O23" s="76" t="s">
        <v>530</v>
      </c>
      <c r="P23" s="76"/>
      <c r="Q23" s="76"/>
    </row>
    <row r="24" spans="1:17">
      <c r="A24" s="59">
        <v>46028.944409722222</v>
      </c>
      <c r="B24" s="59">
        <v>46023</v>
      </c>
      <c r="C24" s="31" t="s">
        <v>181</v>
      </c>
      <c r="D24" s="31" t="s">
        <v>827</v>
      </c>
      <c r="E24" s="31"/>
      <c r="F24" s="31" t="s">
        <v>828</v>
      </c>
      <c r="G24" s="27">
        <v>1800</v>
      </c>
      <c r="H24" s="31" t="s">
        <v>807</v>
      </c>
      <c r="I24" s="31"/>
      <c r="J24" s="26" t="s">
        <v>805</v>
      </c>
      <c r="K24" s="27">
        <v>1800</v>
      </c>
      <c r="L24" s="31" t="s">
        <v>769</v>
      </c>
      <c r="M24" s="31"/>
      <c r="N24" s="76"/>
      <c r="O24" s="76" t="s">
        <v>829</v>
      </c>
      <c r="P24" s="76"/>
      <c r="Q24" s="76"/>
    </row>
    <row r="25" spans="1:17">
      <c r="A25" s="59">
        <v>46028.944409722222</v>
      </c>
      <c r="B25" s="59">
        <v>46023</v>
      </c>
      <c r="C25" s="31" t="s">
        <v>827</v>
      </c>
      <c r="D25" s="31" t="s">
        <v>181</v>
      </c>
      <c r="E25" s="31"/>
      <c r="F25" s="31" t="s">
        <v>828</v>
      </c>
      <c r="G25" s="27">
        <v>1800</v>
      </c>
      <c r="H25" s="31" t="s">
        <v>804</v>
      </c>
      <c r="I25" s="31"/>
      <c r="J25" s="26" t="s">
        <v>805</v>
      </c>
      <c r="K25" s="27">
        <v>1800</v>
      </c>
      <c r="L25" s="31" t="s">
        <v>769</v>
      </c>
      <c r="M25" s="31"/>
      <c r="N25" s="76"/>
      <c r="O25" s="76" t="s">
        <v>830</v>
      </c>
      <c r="P25" s="76"/>
      <c r="Q25" s="76"/>
    </row>
    <row r="26" spans="1:17">
      <c r="A26" s="59">
        <v>46028.951631944437</v>
      </c>
      <c r="B26" s="59">
        <v>46023</v>
      </c>
      <c r="C26" s="31" t="s">
        <v>802</v>
      </c>
      <c r="D26" s="31" t="s">
        <v>831</v>
      </c>
      <c r="E26" s="31"/>
      <c r="F26" s="31" t="s">
        <v>81</v>
      </c>
      <c r="G26" s="27">
        <v>900000</v>
      </c>
      <c r="H26" s="31" t="s">
        <v>807</v>
      </c>
      <c r="I26" s="31" t="s">
        <v>832</v>
      </c>
      <c r="J26" s="26" t="s">
        <v>805</v>
      </c>
      <c r="K26" s="27">
        <v>900000</v>
      </c>
      <c r="L26" s="31" t="s">
        <v>769</v>
      </c>
      <c r="M26" s="31"/>
      <c r="N26" s="76"/>
      <c r="O26" s="76" t="s">
        <v>833</v>
      </c>
      <c r="P26" s="76"/>
      <c r="Q26" s="76"/>
    </row>
    <row r="27" spans="1:17">
      <c r="A27" s="59">
        <v>46028.951631944437</v>
      </c>
      <c r="B27" s="59">
        <v>46023</v>
      </c>
      <c r="C27" s="31" t="s">
        <v>831</v>
      </c>
      <c r="D27" s="31" t="s">
        <v>802</v>
      </c>
      <c r="E27" s="31"/>
      <c r="F27" s="31" t="s">
        <v>81</v>
      </c>
      <c r="G27" s="27">
        <v>900000</v>
      </c>
      <c r="H27" s="31" t="s">
        <v>804</v>
      </c>
      <c r="I27" s="31" t="s">
        <v>832</v>
      </c>
      <c r="J27" s="26" t="s">
        <v>805</v>
      </c>
      <c r="K27" s="27">
        <v>900000</v>
      </c>
      <c r="L27" s="31" t="s">
        <v>769</v>
      </c>
      <c r="M27" s="31"/>
      <c r="N27" s="76"/>
      <c r="O27" s="76" t="s">
        <v>834</v>
      </c>
      <c r="P27" s="76"/>
      <c r="Q27" s="76"/>
    </row>
    <row r="28" spans="1:17">
      <c r="A28" s="59">
        <v>46029.378993055558</v>
      </c>
      <c r="B28" s="59">
        <v>46023</v>
      </c>
      <c r="C28" s="31" t="s">
        <v>802</v>
      </c>
      <c r="D28" s="31" t="s">
        <v>831</v>
      </c>
      <c r="E28" s="31"/>
      <c r="F28" s="31" t="s">
        <v>81</v>
      </c>
      <c r="G28" s="27">
        <v>857030</v>
      </c>
      <c r="H28" s="31" t="s">
        <v>807</v>
      </c>
      <c r="I28" s="31"/>
      <c r="J28" s="26" t="s">
        <v>805</v>
      </c>
      <c r="K28" s="27">
        <v>857030</v>
      </c>
      <c r="L28" s="31" t="s">
        <v>769</v>
      </c>
      <c r="M28" s="31"/>
      <c r="N28" s="76"/>
      <c r="O28" s="76" t="s">
        <v>835</v>
      </c>
      <c r="P28" s="76"/>
      <c r="Q28" s="76"/>
    </row>
    <row r="29" spans="1:17">
      <c r="A29" s="59">
        <v>46029.378993055558</v>
      </c>
      <c r="B29" s="59">
        <v>46023</v>
      </c>
      <c r="C29" s="31" t="s">
        <v>831</v>
      </c>
      <c r="D29" s="31" t="s">
        <v>802</v>
      </c>
      <c r="E29" s="31"/>
      <c r="F29" s="31" t="s">
        <v>81</v>
      </c>
      <c r="G29" s="27">
        <v>857030</v>
      </c>
      <c r="H29" s="31" t="s">
        <v>804</v>
      </c>
      <c r="I29" s="31"/>
      <c r="J29" s="26" t="s">
        <v>805</v>
      </c>
      <c r="K29" s="27">
        <v>857030</v>
      </c>
      <c r="L29" s="31" t="s">
        <v>769</v>
      </c>
      <c r="M29" s="31"/>
      <c r="N29" s="76"/>
      <c r="O29" s="76" t="s">
        <v>836</v>
      </c>
      <c r="P29" s="76"/>
      <c r="Q29" s="76"/>
    </row>
    <row r="30" spans="1:17">
      <c r="A30" s="59">
        <v>46029.379444444443</v>
      </c>
      <c r="B30" s="59">
        <v>46023</v>
      </c>
      <c r="C30" s="31" t="s">
        <v>831</v>
      </c>
      <c r="D30" s="31" t="s">
        <v>22</v>
      </c>
      <c r="E30" s="31"/>
      <c r="F30" s="31" t="s">
        <v>837</v>
      </c>
      <c r="G30" s="27">
        <v>34</v>
      </c>
      <c r="H30" s="31" t="s">
        <v>520</v>
      </c>
      <c r="I30" s="31"/>
      <c r="J30" s="26" t="s">
        <v>824</v>
      </c>
      <c r="K30" s="27">
        <v>34</v>
      </c>
      <c r="L30" s="31" t="s">
        <v>769</v>
      </c>
      <c r="M30" s="31"/>
      <c r="N30" s="76"/>
      <c r="O30" s="76" t="s">
        <v>838</v>
      </c>
      <c r="P30" s="76"/>
      <c r="Q30" s="76"/>
    </row>
    <row r="31" spans="1:17">
      <c r="A31" s="59">
        <v>46029.910057870373</v>
      </c>
      <c r="B31" s="59">
        <v>46023</v>
      </c>
      <c r="C31" s="31" t="s">
        <v>780</v>
      </c>
      <c r="D31" s="31" t="s">
        <v>576</v>
      </c>
      <c r="E31" s="31"/>
      <c r="F31" s="31" t="s">
        <v>576</v>
      </c>
      <c r="G31" s="27">
        <v>10000</v>
      </c>
      <c r="H31" s="31" t="s">
        <v>63</v>
      </c>
      <c r="I31" s="31"/>
      <c r="J31" s="26" t="s">
        <v>778</v>
      </c>
      <c r="K31" s="27">
        <v>10000</v>
      </c>
      <c r="L31" s="31" t="s">
        <v>769</v>
      </c>
      <c r="M31" s="31"/>
      <c r="N31" s="76"/>
      <c r="O31" s="76" t="s">
        <v>839</v>
      </c>
      <c r="P31" s="76"/>
      <c r="Q31" s="76"/>
    </row>
    <row r="32" spans="1:17">
      <c r="A32" s="59">
        <v>46029.910231481481</v>
      </c>
      <c r="B32" s="59">
        <v>46023</v>
      </c>
      <c r="C32" s="31" t="s">
        <v>780</v>
      </c>
      <c r="D32" s="31" t="s">
        <v>840</v>
      </c>
      <c r="E32" s="31"/>
      <c r="F32" s="31" t="s">
        <v>841</v>
      </c>
      <c r="G32" s="27">
        <v>10900</v>
      </c>
      <c r="H32" s="31" t="s">
        <v>63</v>
      </c>
      <c r="I32" s="31" t="s">
        <v>658</v>
      </c>
      <c r="J32" s="26" t="s">
        <v>787</v>
      </c>
      <c r="K32" s="27">
        <v>10900</v>
      </c>
      <c r="L32" s="31" t="s">
        <v>769</v>
      </c>
      <c r="M32" s="31"/>
      <c r="N32" s="76"/>
      <c r="O32" s="76" t="s">
        <v>842</v>
      </c>
      <c r="P32" s="76"/>
      <c r="Q32" s="76"/>
    </row>
    <row r="33" spans="1:17">
      <c r="A33" s="59">
        <v>46029.910509259258</v>
      </c>
      <c r="B33" s="59">
        <v>46023</v>
      </c>
      <c r="C33" s="31" t="s">
        <v>780</v>
      </c>
      <c r="D33" s="31" t="s">
        <v>843</v>
      </c>
      <c r="E33" s="31" t="s">
        <v>844</v>
      </c>
      <c r="F33" s="31" t="s">
        <v>845</v>
      </c>
      <c r="G33" s="27">
        <v>4000</v>
      </c>
      <c r="H33" s="31" t="s">
        <v>63</v>
      </c>
      <c r="I33" s="31"/>
      <c r="J33" s="26" t="s">
        <v>775</v>
      </c>
      <c r="K33" s="27">
        <v>4000</v>
      </c>
      <c r="L33" s="31" t="s">
        <v>769</v>
      </c>
      <c r="M33" s="31"/>
      <c r="N33" s="76"/>
      <c r="O33" s="76" t="s">
        <v>846</v>
      </c>
      <c r="P33" s="76"/>
      <c r="Q33" s="76"/>
    </row>
    <row r="34" spans="1:17">
      <c r="A34" s="59">
        <v>46029.910624999997</v>
      </c>
      <c r="B34" s="59">
        <v>46023</v>
      </c>
      <c r="C34" s="31" t="s">
        <v>780</v>
      </c>
      <c r="D34" s="31" t="s">
        <v>843</v>
      </c>
      <c r="E34" s="31" t="s">
        <v>844</v>
      </c>
      <c r="F34" s="31" t="s">
        <v>847</v>
      </c>
      <c r="G34" s="27">
        <v>35200</v>
      </c>
      <c r="H34" s="31" t="s">
        <v>63</v>
      </c>
      <c r="I34" s="31"/>
      <c r="J34" s="26" t="s">
        <v>775</v>
      </c>
      <c r="K34" s="27">
        <v>35200</v>
      </c>
      <c r="L34" s="31" t="s">
        <v>769</v>
      </c>
      <c r="M34" s="31"/>
      <c r="N34" s="76"/>
      <c r="O34" s="76" t="s">
        <v>805</v>
      </c>
      <c r="P34" s="76"/>
      <c r="Q34" s="76"/>
    </row>
    <row r="35" spans="1:17">
      <c r="A35" s="59">
        <v>46029.910821759258</v>
      </c>
      <c r="B35" s="59">
        <v>46023</v>
      </c>
      <c r="C35" s="31" t="s">
        <v>780</v>
      </c>
      <c r="D35" s="31" t="s">
        <v>575</v>
      </c>
      <c r="E35" s="31" t="s">
        <v>785</v>
      </c>
      <c r="F35" s="31" t="s">
        <v>773</v>
      </c>
      <c r="G35" s="27">
        <v>1900</v>
      </c>
      <c r="H35" s="31" t="s">
        <v>63</v>
      </c>
      <c r="I35" s="31" t="s">
        <v>848</v>
      </c>
      <c r="J35" s="26" t="s">
        <v>775</v>
      </c>
      <c r="K35" s="27">
        <v>1900</v>
      </c>
      <c r="L35" s="31" t="s">
        <v>769</v>
      </c>
      <c r="M35" s="31"/>
      <c r="N35" s="76"/>
      <c r="O35" s="76" t="s">
        <v>849</v>
      </c>
      <c r="P35" s="76"/>
      <c r="Q35" s="76"/>
    </row>
    <row r="36" spans="1:17">
      <c r="A36" s="59">
        <v>46030.749594907407</v>
      </c>
      <c r="B36" s="59">
        <v>46023</v>
      </c>
      <c r="C36" s="31" t="s">
        <v>780</v>
      </c>
      <c r="D36" s="31" t="s">
        <v>817</v>
      </c>
      <c r="E36" s="31"/>
      <c r="F36" s="31" t="s">
        <v>850</v>
      </c>
      <c r="G36" s="27">
        <v>12810</v>
      </c>
      <c r="H36" s="31" t="s">
        <v>63</v>
      </c>
      <c r="I36" s="31"/>
      <c r="J36" s="26" t="s">
        <v>768</v>
      </c>
      <c r="K36" s="27">
        <v>12810</v>
      </c>
      <c r="L36" s="31" t="s">
        <v>769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780</v>
      </c>
      <c r="D37" s="31" t="s">
        <v>575</v>
      </c>
      <c r="E37" s="31" t="s">
        <v>785</v>
      </c>
      <c r="F37" s="31" t="s">
        <v>773</v>
      </c>
      <c r="G37" s="27">
        <v>1700</v>
      </c>
      <c r="H37" s="31" t="s">
        <v>63</v>
      </c>
      <c r="I37" s="31" t="s">
        <v>851</v>
      </c>
      <c r="J37" s="26" t="s">
        <v>775</v>
      </c>
      <c r="K37" s="27">
        <v>1700</v>
      </c>
      <c r="L37" s="31" t="s">
        <v>769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831</v>
      </c>
      <c r="D38" s="31" t="s">
        <v>22</v>
      </c>
      <c r="E38" s="31"/>
      <c r="F38" s="31" t="s">
        <v>837</v>
      </c>
      <c r="G38" s="27">
        <v>67</v>
      </c>
      <c r="H38" s="31" t="s">
        <v>520</v>
      </c>
      <c r="I38" s="31"/>
      <c r="J38" s="26" t="s">
        <v>824</v>
      </c>
      <c r="K38" s="27">
        <v>67</v>
      </c>
      <c r="L38" s="31" t="s">
        <v>769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831</v>
      </c>
      <c r="D39" s="31" t="s">
        <v>22</v>
      </c>
      <c r="E39" s="31"/>
      <c r="F39" s="31" t="s">
        <v>837</v>
      </c>
      <c r="G39" s="27">
        <v>67</v>
      </c>
      <c r="H39" s="31" t="s">
        <v>520</v>
      </c>
      <c r="I39" s="31"/>
      <c r="J39" s="26" t="s">
        <v>824</v>
      </c>
      <c r="K39" s="27">
        <v>67</v>
      </c>
      <c r="L39" s="31" t="s">
        <v>769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780</v>
      </c>
      <c r="D40" s="31" t="s">
        <v>576</v>
      </c>
      <c r="E40" s="31"/>
      <c r="F40" s="31" t="s">
        <v>576</v>
      </c>
      <c r="G40" s="27">
        <v>10000</v>
      </c>
      <c r="H40" s="31" t="s">
        <v>63</v>
      </c>
      <c r="I40" s="31"/>
      <c r="J40" s="26" t="s">
        <v>778</v>
      </c>
      <c r="K40" s="27">
        <v>10000</v>
      </c>
      <c r="L40" s="31" t="s">
        <v>769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780</v>
      </c>
      <c r="D41" s="31" t="s">
        <v>575</v>
      </c>
      <c r="E41" s="31" t="s">
        <v>772</v>
      </c>
      <c r="F41" s="31" t="s">
        <v>814</v>
      </c>
      <c r="G41" s="27">
        <v>2400</v>
      </c>
      <c r="H41" s="31" t="s">
        <v>63</v>
      </c>
      <c r="I41" s="31"/>
      <c r="J41" s="26" t="s">
        <v>775</v>
      </c>
      <c r="K41" s="27">
        <v>2400</v>
      </c>
      <c r="L41" s="31" t="s">
        <v>769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852</v>
      </c>
      <c r="D42" s="31" t="s">
        <v>575</v>
      </c>
      <c r="E42" s="31" t="s">
        <v>781</v>
      </c>
      <c r="F42" s="31" t="s">
        <v>853</v>
      </c>
      <c r="G42" s="27">
        <v>14800</v>
      </c>
      <c r="H42" s="31" t="s">
        <v>63</v>
      </c>
      <c r="I42" s="31"/>
      <c r="J42" s="26" t="s">
        <v>775</v>
      </c>
      <c r="K42" s="27">
        <v>14800</v>
      </c>
      <c r="L42" s="31" t="s">
        <v>769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196</v>
      </c>
      <c r="D43" s="31" t="s">
        <v>575</v>
      </c>
      <c r="E43" s="31" t="s">
        <v>781</v>
      </c>
      <c r="F43" s="31" t="s">
        <v>854</v>
      </c>
      <c r="G43" s="27">
        <v>-8200</v>
      </c>
      <c r="H43" s="31" t="s">
        <v>63</v>
      </c>
      <c r="I43" s="31" t="s">
        <v>855</v>
      </c>
      <c r="J43" s="26" t="s">
        <v>775</v>
      </c>
      <c r="K43" s="27">
        <v>-8200</v>
      </c>
      <c r="L43" s="31" t="s">
        <v>769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780</v>
      </c>
      <c r="D44" s="31" t="s">
        <v>796</v>
      </c>
      <c r="E44" s="31"/>
      <c r="F44" s="31" t="s">
        <v>797</v>
      </c>
      <c r="G44" s="27">
        <v>10000</v>
      </c>
      <c r="H44" s="31" t="s">
        <v>63</v>
      </c>
      <c r="I44" s="31"/>
      <c r="J44" s="26" t="s">
        <v>775</v>
      </c>
      <c r="K44" s="27">
        <v>10000</v>
      </c>
      <c r="L44" s="31" t="s">
        <v>769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766</v>
      </c>
      <c r="D45" s="31" t="s">
        <v>796</v>
      </c>
      <c r="E45" s="31"/>
      <c r="F45" s="31" t="s">
        <v>488</v>
      </c>
      <c r="G45" s="27">
        <v>19940</v>
      </c>
      <c r="H45" s="31" t="s">
        <v>63</v>
      </c>
      <c r="I45" s="31" t="s">
        <v>856</v>
      </c>
      <c r="J45" s="26" t="s">
        <v>775</v>
      </c>
      <c r="K45" s="27">
        <v>19940</v>
      </c>
      <c r="L45" s="31" t="s">
        <v>769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766</v>
      </c>
      <c r="D46" s="31" t="s">
        <v>575</v>
      </c>
      <c r="E46" s="31" t="s">
        <v>792</v>
      </c>
      <c r="F46" s="31" t="s">
        <v>853</v>
      </c>
      <c r="G46" s="27">
        <v>12410</v>
      </c>
      <c r="H46" s="31" t="s">
        <v>63</v>
      </c>
      <c r="I46" s="31" t="s">
        <v>857</v>
      </c>
      <c r="J46" s="26" t="s">
        <v>775</v>
      </c>
      <c r="K46" s="27">
        <v>12410</v>
      </c>
      <c r="L46" s="31" t="s">
        <v>769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559</v>
      </c>
      <c r="D47" s="31" t="s">
        <v>821</v>
      </c>
      <c r="E47" s="31"/>
      <c r="F47" s="31" t="s">
        <v>858</v>
      </c>
      <c r="G47" s="27">
        <v>20000</v>
      </c>
      <c r="H47" s="31" t="s">
        <v>520</v>
      </c>
      <c r="I47" s="31"/>
      <c r="J47" s="26" t="s">
        <v>821</v>
      </c>
      <c r="K47" s="27">
        <v>20000</v>
      </c>
      <c r="L47" s="31" t="s">
        <v>769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780</v>
      </c>
      <c r="D48" s="31" t="s">
        <v>575</v>
      </c>
      <c r="E48" s="31" t="s">
        <v>772</v>
      </c>
      <c r="F48" s="31" t="s">
        <v>773</v>
      </c>
      <c r="G48" s="27">
        <v>6600</v>
      </c>
      <c r="H48" s="31" t="s">
        <v>63</v>
      </c>
      <c r="I48" s="31" t="s">
        <v>859</v>
      </c>
      <c r="J48" s="26" t="s">
        <v>775</v>
      </c>
      <c r="K48" s="27">
        <v>6600</v>
      </c>
      <c r="L48" s="31" t="s">
        <v>769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831</v>
      </c>
      <c r="D49" s="31" t="s">
        <v>22</v>
      </c>
      <c r="E49" s="31"/>
      <c r="F49" s="31" t="s">
        <v>837</v>
      </c>
      <c r="G49" s="27">
        <v>67</v>
      </c>
      <c r="H49" s="31" t="s">
        <v>520</v>
      </c>
      <c r="I49" s="31"/>
      <c r="J49" s="26" t="s">
        <v>824</v>
      </c>
      <c r="K49" s="27">
        <v>67</v>
      </c>
      <c r="L49" s="31" t="s">
        <v>769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860</v>
      </c>
      <c r="D50" s="31" t="s">
        <v>831</v>
      </c>
      <c r="E50" s="31"/>
      <c r="F50" s="31" t="s">
        <v>81</v>
      </c>
      <c r="G50" s="27">
        <v>100002</v>
      </c>
      <c r="H50" s="31" t="s">
        <v>804</v>
      </c>
      <c r="I50" s="31"/>
      <c r="J50" s="26" t="s">
        <v>805</v>
      </c>
      <c r="K50" s="27">
        <v>100002</v>
      </c>
      <c r="L50" s="31" t="s">
        <v>769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831</v>
      </c>
      <c r="D51" s="31" t="s">
        <v>860</v>
      </c>
      <c r="E51" s="31"/>
      <c r="F51" s="31" t="s">
        <v>81</v>
      </c>
      <c r="G51" s="27">
        <v>100002</v>
      </c>
      <c r="H51" s="31" t="s">
        <v>807</v>
      </c>
      <c r="I51" s="31"/>
      <c r="J51" s="26" t="s">
        <v>805</v>
      </c>
      <c r="K51" s="27">
        <v>100002</v>
      </c>
      <c r="L51" s="31" t="s">
        <v>769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831</v>
      </c>
      <c r="D52" s="31" t="s">
        <v>861</v>
      </c>
      <c r="E52" s="31"/>
      <c r="F52" s="31" t="s">
        <v>81</v>
      </c>
      <c r="G52" s="27">
        <v>1100000</v>
      </c>
      <c r="H52" s="31" t="s">
        <v>807</v>
      </c>
      <c r="I52" s="31"/>
      <c r="J52" s="26" t="s">
        <v>805</v>
      </c>
      <c r="K52" s="27">
        <v>1100000</v>
      </c>
      <c r="L52" s="31" t="s">
        <v>769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861</v>
      </c>
      <c r="D53" s="31" t="s">
        <v>831</v>
      </c>
      <c r="E53" s="31"/>
      <c r="F53" s="31" t="s">
        <v>81</v>
      </c>
      <c r="G53" s="27">
        <v>1100000</v>
      </c>
      <c r="H53" s="31" t="s">
        <v>804</v>
      </c>
      <c r="I53" s="31"/>
      <c r="J53" s="26" t="s">
        <v>805</v>
      </c>
      <c r="K53" s="27">
        <v>1100000</v>
      </c>
      <c r="L53" s="31" t="s">
        <v>769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831</v>
      </c>
      <c r="D54" s="31" t="s">
        <v>862</v>
      </c>
      <c r="E54" s="31"/>
      <c r="F54" s="31" t="s">
        <v>81</v>
      </c>
      <c r="G54" s="27">
        <v>50000</v>
      </c>
      <c r="H54" s="31" t="s">
        <v>807</v>
      </c>
      <c r="I54" s="31"/>
      <c r="J54" s="26" t="s">
        <v>805</v>
      </c>
      <c r="K54" s="27">
        <v>50000</v>
      </c>
      <c r="L54" s="31" t="s">
        <v>769</v>
      </c>
      <c r="M54" s="31" t="s">
        <v>863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862</v>
      </c>
      <c r="D55" s="31" t="s">
        <v>831</v>
      </c>
      <c r="E55" s="31"/>
      <c r="F55" s="31" t="s">
        <v>81</v>
      </c>
      <c r="G55" s="27">
        <v>50000</v>
      </c>
      <c r="H55" s="31" t="s">
        <v>804</v>
      </c>
      <c r="I55" s="31"/>
      <c r="J55" s="26" t="s">
        <v>805</v>
      </c>
      <c r="K55" s="27">
        <v>50000</v>
      </c>
      <c r="L55" s="31" t="s">
        <v>769</v>
      </c>
      <c r="M55" s="31" t="s">
        <v>864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831</v>
      </c>
      <c r="D56" s="31" t="s">
        <v>862</v>
      </c>
      <c r="E56" s="31"/>
      <c r="F56" s="31" t="s">
        <v>81</v>
      </c>
      <c r="G56" s="27">
        <v>50000</v>
      </c>
      <c r="H56" s="31" t="s">
        <v>807</v>
      </c>
      <c r="I56" s="31"/>
      <c r="J56" s="26" t="s">
        <v>805</v>
      </c>
      <c r="K56" s="27">
        <v>50000</v>
      </c>
      <c r="L56" s="31" t="s">
        <v>769</v>
      </c>
      <c r="M56" s="31" t="s">
        <v>863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862</v>
      </c>
      <c r="D57" s="31" t="s">
        <v>831</v>
      </c>
      <c r="E57" s="31"/>
      <c r="F57" s="31" t="s">
        <v>81</v>
      </c>
      <c r="G57" s="27">
        <v>50000</v>
      </c>
      <c r="H57" s="31" t="s">
        <v>804</v>
      </c>
      <c r="I57" s="31"/>
      <c r="J57" s="26" t="s">
        <v>805</v>
      </c>
      <c r="K57" s="27">
        <v>50000</v>
      </c>
      <c r="L57" s="31" t="s">
        <v>769</v>
      </c>
      <c r="M57" s="31" t="s">
        <v>864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831</v>
      </c>
      <c r="D58" s="31" t="s">
        <v>865</v>
      </c>
      <c r="E58" s="31"/>
      <c r="F58" s="31" t="s">
        <v>81</v>
      </c>
      <c r="G58" s="27">
        <v>50000</v>
      </c>
      <c r="H58" s="31" t="s">
        <v>807</v>
      </c>
      <c r="I58" s="31"/>
      <c r="J58" s="26" t="s">
        <v>805</v>
      </c>
      <c r="K58" s="27">
        <v>50000</v>
      </c>
      <c r="L58" s="31" t="s">
        <v>769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865</v>
      </c>
      <c r="D59" s="31" t="s">
        <v>831</v>
      </c>
      <c r="E59" s="31"/>
      <c r="F59" s="31" t="s">
        <v>81</v>
      </c>
      <c r="G59" s="27">
        <v>50000</v>
      </c>
      <c r="H59" s="31" t="s">
        <v>804</v>
      </c>
      <c r="I59" s="31"/>
      <c r="J59" s="26" t="s">
        <v>805</v>
      </c>
      <c r="K59" s="27">
        <v>50000</v>
      </c>
      <c r="L59" s="31" t="s">
        <v>769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831</v>
      </c>
      <c r="D60" s="31" t="s">
        <v>860</v>
      </c>
      <c r="E60" s="31"/>
      <c r="F60" s="31" t="s">
        <v>81</v>
      </c>
      <c r="G60" s="27">
        <v>100000</v>
      </c>
      <c r="H60" s="31" t="s">
        <v>807</v>
      </c>
      <c r="I60" s="31"/>
      <c r="J60" s="26" t="s">
        <v>805</v>
      </c>
      <c r="K60" s="27">
        <v>100000</v>
      </c>
      <c r="L60" s="31" t="s">
        <v>769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860</v>
      </c>
      <c r="D61" s="31" t="s">
        <v>831</v>
      </c>
      <c r="E61" s="31"/>
      <c r="F61" s="31" t="s">
        <v>81</v>
      </c>
      <c r="G61" s="27">
        <v>100000</v>
      </c>
      <c r="H61" s="31" t="s">
        <v>804</v>
      </c>
      <c r="I61" s="31"/>
      <c r="J61" s="26" t="s">
        <v>805</v>
      </c>
      <c r="K61" s="27">
        <v>100000</v>
      </c>
      <c r="L61" s="31" t="s">
        <v>769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831</v>
      </c>
      <c r="D62" s="31" t="s">
        <v>866</v>
      </c>
      <c r="E62" s="31"/>
      <c r="F62" s="31" t="s">
        <v>81</v>
      </c>
      <c r="G62" s="27">
        <v>275015</v>
      </c>
      <c r="H62" s="31" t="s">
        <v>807</v>
      </c>
      <c r="I62" s="31" t="s">
        <v>867</v>
      </c>
      <c r="J62" s="26" t="s">
        <v>805</v>
      </c>
      <c r="K62" s="27">
        <v>275015</v>
      </c>
      <c r="L62" s="31" t="s">
        <v>769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866</v>
      </c>
      <c r="D63" s="31" t="s">
        <v>831</v>
      </c>
      <c r="E63" s="31"/>
      <c r="F63" s="31" t="s">
        <v>81</v>
      </c>
      <c r="G63" s="27">
        <v>275015</v>
      </c>
      <c r="H63" s="31" t="s">
        <v>804</v>
      </c>
      <c r="I63" s="31" t="s">
        <v>867</v>
      </c>
      <c r="J63" s="26" t="s">
        <v>805</v>
      </c>
      <c r="K63" s="27">
        <v>275015</v>
      </c>
      <c r="L63" s="31" t="s">
        <v>769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780</v>
      </c>
      <c r="D64" s="31" t="s">
        <v>576</v>
      </c>
      <c r="E64" s="31"/>
      <c r="F64" s="31" t="s">
        <v>576</v>
      </c>
      <c r="G64" s="27">
        <v>9000</v>
      </c>
      <c r="H64" s="31" t="s">
        <v>63</v>
      </c>
      <c r="I64" s="31"/>
      <c r="J64" s="26" t="s">
        <v>778</v>
      </c>
      <c r="K64" s="27">
        <v>9000</v>
      </c>
      <c r="L64" s="31" t="s">
        <v>769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780</v>
      </c>
      <c r="D65" s="31" t="s">
        <v>575</v>
      </c>
      <c r="E65" s="31" t="s">
        <v>772</v>
      </c>
      <c r="F65" s="31" t="s">
        <v>773</v>
      </c>
      <c r="G65" s="27">
        <v>5100</v>
      </c>
      <c r="H65" s="31" t="s">
        <v>63</v>
      </c>
      <c r="I65" s="31" t="s">
        <v>868</v>
      </c>
      <c r="J65" s="26" t="s">
        <v>775</v>
      </c>
      <c r="K65" s="27">
        <v>5100</v>
      </c>
      <c r="L65" s="31" t="s">
        <v>769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780</v>
      </c>
      <c r="D66" s="31" t="s">
        <v>796</v>
      </c>
      <c r="E66" s="31"/>
      <c r="F66" s="31" t="s">
        <v>797</v>
      </c>
      <c r="G66" s="27">
        <v>27000</v>
      </c>
      <c r="H66" s="31" t="s">
        <v>63</v>
      </c>
      <c r="I66" s="31"/>
      <c r="J66" s="26" t="s">
        <v>775</v>
      </c>
      <c r="K66" s="27">
        <v>27000</v>
      </c>
      <c r="L66" s="31" t="s">
        <v>769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831</v>
      </c>
      <c r="D67" s="31" t="s">
        <v>22</v>
      </c>
      <c r="E67" s="31"/>
      <c r="F67" s="31" t="s">
        <v>837</v>
      </c>
      <c r="G67" s="27">
        <v>64</v>
      </c>
      <c r="H67" s="31" t="s">
        <v>520</v>
      </c>
      <c r="I67" s="31" t="s">
        <v>869</v>
      </c>
      <c r="J67" s="26" t="s">
        <v>824</v>
      </c>
      <c r="K67" s="27">
        <v>64</v>
      </c>
      <c r="L67" s="31" t="s">
        <v>769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766</v>
      </c>
      <c r="D68" s="31" t="s">
        <v>575</v>
      </c>
      <c r="E68" s="31" t="s">
        <v>785</v>
      </c>
      <c r="F68" s="31" t="s">
        <v>488</v>
      </c>
      <c r="G68" s="27">
        <v>43140</v>
      </c>
      <c r="H68" s="31" t="s">
        <v>63</v>
      </c>
      <c r="I68" s="31" t="s">
        <v>870</v>
      </c>
      <c r="J68" s="26" t="s">
        <v>775</v>
      </c>
      <c r="K68" s="27">
        <v>43140</v>
      </c>
      <c r="L68" s="31" t="s">
        <v>769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831</v>
      </c>
      <c r="D69" s="31" t="s">
        <v>22</v>
      </c>
      <c r="E69" s="31"/>
      <c r="F69" s="31" t="s">
        <v>837</v>
      </c>
      <c r="G69" s="27">
        <v>64</v>
      </c>
      <c r="H69" s="31" t="s">
        <v>520</v>
      </c>
      <c r="I69" s="31" t="s">
        <v>869</v>
      </c>
      <c r="J69" s="26" t="s">
        <v>824</v>
      </c>
      <c r="K69" s="27">
        <v>64</v>
      </c>
      <c r="L69" s="31" t="s">
        <v>769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766</v>
      </c>
      <c r="D70" s="31" t="s">
        <v>811</v>
      </c>
      <c r="E70" s="31"/>
      <c r="F70" s="31" t="s">
        <v>488</v>
      </c>
      <c r="G70" s="27">
        <v>9900</v>
      </c>
      <c r="H70" s="31" t="s">
        <v>63</v>
      </c>
      <c r="I70" s="31" t="s">
        <v>871</v>
      </c>
      <c r="J70" s="26" t="s">
        <v>775</v>
      </c>
      <c r="K70" s="27">
        <v>9900</v>
      </c>
      <c r="L70" s="31" t="s">
        <v>769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780</v>
      </c>
      <c r="D71" s="31" t="s">
        <v>575</v>
      </c>
      <c r="E71" s="31" t="s">
        <v>781</v>
      </c>
      <c r="F71" s="31" t="s">
        <v>872</v>
      </c>
      <c r="G71" s="27">
        <v>9000</v>
      </c>
      <c r="H71" s="31" t="s">
        <v>63</v>
      </c>
      <c r="I71" s="31"/>
      <c r="J71" s="26" t="s">
        <v>775</v>
      </c>
      <c r="K71" s="27">
        <v>9000</v>
      </c>
      <c r="L71" s="31" t="s">
        <v>769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780</v>
      </c>
      <c r="D72" s="31" t="s">
        <v>575</v>
      </c>
      <c r="E72" s="31" t="s">
        <v>772</v>
      </c>
      <c r="F72" s="31" t="s">
        <v>814</v>
      </c>
      <c r="G72" s="27">
        <v>5900</v>
      </c>
      <c r="H72" s="31" t="s">
        <v>63</v>
      </c>
      <c r="I72" s="31"/>
      <c r="J72" s="26" t="s">
        <v>775</v>
      </c>
      <c r="K72" s="27">
        <v>5900</v>
      </c>
      <c r="L72" s="31" t="s">
        <v>769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852</v>
      </c>
      <c r="D73" s="31" t="s">
        <v>796</v>
      </c>
      <c r="E73" s="31"/>
      <c r="F73" s="31" t="s">
        <v>488</v>
      </c>
      <c r="G73" s="27">
        <v>8590</v>
      </c>
      <c r="H73" s="31" t="s">
        <v>63</v>
      </c>
      <c r="I73" s="31" t="s">
        <v>873</v>
      </c>
      <c r="J73" s="26" t="s">
        <v>775</v>
      </c>
      <c r="K73" s="27">
        <v>8590</v>
      </c>
      <c r="L73" s="31" t="s">
        <v>769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196</v>
      </c>
      <c r="D74" s="31" t="s">
        <v>843</v>
      </c>
      <c r="E74" s="31" t="s">
        <v>844</v>
      </c>
      <c r="F74" s="31" t="s">
        <v>874</v>
      </c>
      <c r="G74" s="27">
        <v>-27200</v>
      </c>
      <c r="H74" s="31" t="s">
        <v>63</v>
      </c>
      <c r="I74" s="31" t="s">
        <v>875</v>
      </c>
      <c r="J74" s="26" t="s">
        <v>775</v>
      </c>
      <c r="K74" s="27">
        <v>-27200</v>
      </c>
      <c r="L74" s="31" t="s">
        <v>769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780</v>
      </c>
      <c r="D75" s="31" t="s">
        <v>876</v>
      </c>
      <c r="E75" s="31"/>
      <c r="F75" s="31" t="s">
        <v>464</v>
      </c>
      <c r="G75" s="27">
        <v>48620</v>
      </c>
      <c r="H75" s="31" t="s">
        <v>63</v>
      </c>
      <c r="I75" s="31"/>
      <c r="J75" s="26" t="s">
        <v>768</v>
      </c>
      <c r="K75" s="27">
        <v>48620</v>
      </c>
      <c r="L75" s="31" t="s">
        <v>769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780</v>
      </c>
      <c r="D76" s="31" t="s">
        <v>811</v>
      </c>
      <c r="E76" s="31"/>
      <c r="F76" s="31" t="s">
        <v>877</v>
      </c>
      <c r="G76" s="27">
        <v>74700</v>
      </c>
      <c r="H76" s="31" t="s">
        <v>63</v>
      </c>
      <c r="I76" s="31" t="s">
        <v>878</v>
      </c>
      <c r="J76" s="26" t="s">
        <v>768</v>
      </c>
      <c r="K76" s="27">
        <v>74700</v>
      </c>
      <c r="L76" s="31" t="s">
        <v>769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831</v>
      </c>
      <c r="D77" s="31" t="s">
        <v>22</v>
      </c>
      <c r="E77" s="31"/>
      <c r="F77" s="31" t="s">
        <v>837</v>
      </c>
      <c r="G77" s="27">
        <v>64</v>
      </c>
      <c r="H77" s="31" t="s">
        <v>520</v>
      </c>
      <c r="I77" s="31" t="s">
        <v>869</v>
      </c>
      <c r="J77" s="26" t="s">
        <v>824</v>
      </c>
      <c r="K77" s="27">
        <v>64</v>
      </c>
      <c r="L77" s="31" t="s">
        <v>769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780</v>
      </c>
      <c r="D78" s="31" t="s">
        <v>576</v>
      </c>
      <c r="E78" s="31"/>
      <c r="F78" s="31" t="s">
        <v>576</v>
      </c>
      <c r="G78" s="27">
        <v>10000</v>
      </c>
      <c r="H78" s="31" t="s">
        <v>63</v>
      </c>
      <c r="I78" s="31"/>
      <c r="J78" s="26" t="s">
        <v>778</v>
      </c>
      <c r="K78" s="27">
        <v>10000</v>
      </c>
      <c r="L78" s="31" t="s">
        <v>769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780</v>
      </c>
      <c r="D79" s="31" t="s">
        <v>575</v>
      </c>
      <c r="E79" s="31" t="s">
        <v>772</v>
      </c>
      <c r="F79" s="31" t="s">
        <v>879</v>
      </c>
      <c r="G79" s="27">
        <v>19800</v>
      </c>
      <c r="H79" s="31" t="s">
        <v>63</v>
      </c>
      <c r="I79" s="31"/>
      <c r="J79" s="26" t="s">
        <v>775</v>
      </c>
      <c r="K79" s="27">
        <v>19800</v>
      </c>
      <c r="L79" s="31" t="s">
        <v>769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766</v>
      </c>
      <c r="D80" s="31" t="s">
        <v>575</v>
      </c>
      <c r="E80" s="31" t="s">
        <v>781</v>
      </c>
      <c r="F80" s="31" t="s">
        <v>853</v>
      </c>
      <c r="G80" s="27">
        <v>20600</v>
      </c>
      <c r="H80" s="31" t="s">
        <v>63</v>
      </c>
      <c r="I80" s="31" t="s">
        <v>880</v>
      </c>
      <c r="J80" s="26" t="s">
        <v>775</v>
      </c>
      <c r="K80" s="27">
        <v>20600</v>
      </c>
      <c r="L80" s="31" t="s">
        <v>769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816</v>
      </c>
      <c r="D81" s="31" t="s">
        <v>771</v>
      </c>
      <c r="E81" s="31"/>
      <c r="F81" s="31" t="s">
        <v>828</v>
      </c>
      <c r="G81" s="27">
        <v>551870</v>
      </c>
      <c r="H81" s="31" t="s">
        <v>807</v>
      </c>
      <c r="I81" s="31"/>
      <c r="J81" s="26" t="s">
        <v>805</v>
      </c>
      <c r="K81" s="27">
        <v>551870</v>
      </c>
      <c r="L81" s="31" t="s">
        <v>769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771</v>
      </c>
      <c r="D82" s="31" t="s">
        <v>816</v>
      </c>
      <c r="E82" s="31"/>
      <c r="F82" s="31" t="s">
        <v>828</v>
      </c>
      <c r="G82" s="27">
        <v>551870</v>
      </c>
      <c r="H82" s="31" t="s">
        <v>804</v>
      </c>
      <c r="I82" s="31"/>
      <c r="J82" s="26" t="s">
        <v>805</v>
      </c>
      <c r="K82" s="27">
        <v>551870</v>
      </c>
      <c r="L82" s="31" t="s">
        <v>769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881</v>
      </c>
      <c r="D83" s="31" t="s">
        <v>187</v>
      </c>
      <c r="E83" s="31"/>
      <c r="F83" s="31" t="s">
        <v>81</v>
      </c>
      <c r="G83" s="27">
        <v>91500</v>
      </c>
      <c r="H83" s="31" t="s">
        <v>807</v>
      </c>
      <c r="I83" s="31"/>
      <c r="J83" s="26" t="s">
        <v>805</v>
      </c>
      <c r="K83" s="27">
        <v>91500</v>
      </c>
      <c r="L83" s="31" t="s">
        <v>769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187</v>
      </c>
      <c r="D84" s="31" t="s">
        <v>881</v>
      </c>
      <c r="E84" s="31"/>
      <c r="F84" s="31" t="s">
        <v>81</v>
      </c>
      <c r="G84" s="27">
        <v>91500</v>
      </c>
      <c r="H84" s="31" t="s">
        <v>804</v>
      </c>
      <c r="I84" s="31"/>
      <c r="J84" s="26" t="s">
        <v>805</v>
      </c>
      <c r="K84" s="27">
        <v>91500</v>
      </c>
      <c r="L84" s="31" t="s">
        <v>769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187</v>
      </c>
      <c r="D85" s="31" t="s">
        <v>816</v>
      </c>
      <c r="E85" s="31"/>
      <c r="F85" s="31" t="s">
        <v>81</v>
      </c>
      <c r="G85" s="27">
        <v>1139349</v>
      </c>
      <c r="H85" s="31" t="s">
        <v>804</v>
      </c>
      <c r="I85" s="31"/>
      <c r="J85" s="26" t="s">
        <v>805</v>
      </c>
      <c r="K85" s="27">
        <v>1139349</v>
      </c>
      <c r="L85" s="31" t="s">
        <v>769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816</v>
      </c>
      <c r="D86" s="31" t="s">
        <v>187</v>
      </c>
      <c r="E86" s="31"/>
      <c r="F86" s="31" t="s">
        <v>81</v>
      </c>
      <c r="G86" s="27">
        <v>1139349</v>
      </c>
      <c r="H86" s="31" t="s">
        <v>807</v>
      </c>
      <c r="I86" s="31"/>
      <c r="J86" s="26" t="s">
        <v>805</v>
      </c>
      <c r="K86" s="27">
        <v>1139349</v>
      </c>
      <c r="L86" s="31" t="s">
        <v>769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766</v>
      </c>
      <c r="D87" s="31" t="s">
        <v>187</v>
      </c>
      <c r="E87" s="31"/>
      <c r="F87" s="31" t="s">
        <v>828</v>
      </c>
      <c r="G87" s="27">
        <v>1230849</v>
      </c>
      <c r="H87" s="31" t="s">
        <v>804</v>
      </c>
      <c r="I87" s="31"/>
      <c r="J87" s="26" t="s">
        <v>805</v>
      </c>
      <c r="K87" s="27">
        <v>1230849</v>
      </c>
      <c r="L87" s="31" t="s">
        <v>769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187</v>
      </c>
      <c r="D88" s="31" t="s">
        <v>766</v>
      </c>
      <c r="E88" s="31"/>
      <c r="F88" s="31" t="s">
        <v>828</v>
      </c>
      <c r="G88" s="27">
        <v>1230849</v>
      </c>
      <c r="H88" s="31" t="s">
        <v>807</v>
      </c>
      <c r="I88" s="31"/>
      <c r="J88" s="26" t="s">
        <v>805</v>
      </c>
      <c r="K88" s="27">
        <v>1230849</v>
      </c>
      <c r="L88" s="31" t="s">
        <v>769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196</v>
      </c>
      <c r="D89" s="31" t="s">
        <v>575</v>
      </c>
      <c r="E89" s="31" t="s">
        <v>781</v>
      </c>
      <c r="F89" s="31" t="s">
        <v>854</v>
      </c>
      <c r="G89" s="27">
        <v>-14600</v>
      </c>
      <c r="H89" s="31" t="s">
        <v>63</v>
      </c>
      <c r="I89" s="31" t="s">
        <v>882</v>
      </c>
      <c r="J89" s="26" t="s">
        <v>775</v>
      </c>
      <c r="K89" s="27">
        <v>-14600</v>
      </c>
      <c r="L89" s="31" t="s">
        <v>769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883</v>
      </c>
      <c r="D90" s="31" t="s">
        <v>175</v>
      </c>
      <c r="E90" s="31"/>
      <c r="F90" s="31" t="s">
        <v>81</v>
      </c>
      <c r="G90" s="27">
        <v>571000</v>
      </c>
      <c r="H90" s="31" t="s">
        <v>807</v>
      </c>
      <c r="I90" s="31"/>
      <c r="J90" s="26" t="s">
        <v>805</v>
      </c>
      <c r="K90" s="27">
        <v>571000</v>
      </c>
      <c r="L90" s="31" t="s">
        <v>769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175</v>
      </c>
      <c r="D91" s="31" t="s">
        <v>883</v>
      </c>
      <c r="E91" s="31"/>
      <c r="F91" s="31" t="s">
        <v>81</v>
      </c>
      <c r="G91" s="27">
        <v>571000</v>
      </c>
      <c r="H91" s="31" t="s">
        <v>804</v>
      </c>
      <c r="I91" s="31"/>
      <c r="J91" s="26" t="s">
        <v>805</v>
      </c>
      <c r="K91" s="27">
        <v>571000</v>
      </c>
      <c r="L91" s="31" t="s">
        <v>769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866</v>
      </c>
      <c r="D92" s="31" t="s">
        <v>175</v>
      </c>
      <c r="E92" s="31"/>
      <c r="F92" s="31" t="s">
        <v>81</v>
      </c>
      <c r="G92" s="27">
        <v>275015</v>
      </c>
      <c r="H92" s="31" t="s">
        <v>807</v>
      </c>
      <c r="I92" s="31"/>
      <c r="J92" s="26" t="s">
        <v>805</v>
      </c>
      <c r="K92" s="27">
        <v>275015</v>
      </c>
      <c r="L92" s="31" t="s">
        <v>769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175</v>
      </c>
      <c r="D93" s="31" t="s">
        <v>866</v>
      </c>
      <c r="E93" s="31"/>
      <c r="F93" s="31" t="s">
        <v>81</v>
      </c>
      <c r="G93" s="27">
        <v>275015</v>
      </c>
      <c r="H93" s="31" t="s">
        <v>804</v>
      </c>
      <c r="I93" s="31"/>
      <c r="J93" s="26" t="s">
        <v>805</v>
      </c>
      <c r="K93" s="27">
        <v>275015</v>
      </c>
      <c r="L93" s="31" t="s">
        <v>769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816</v>
      </c>
      <c r="D94" s="31" t="s">
        <v>175</v>
      </c>
      <c r="E94" s="31"/>
      <c r="F94" s="31" t="s">
        <v>81</v>
      </c>
      <c r="G94" s="27">
        <v>128762</v>
      </c>
      <c r="H94" s="31" t="s">
        <v>807</v>
      </c>
      <c r="I94" s="31"/>
      <c r="J94" s="26" t="s">
        <v>805</v>
      </c>
      <c r="K94" s="27">
        <v>128762</v>
      </c>
      <c r="L94" s="31" t="s">
        <v>769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175</v>
      </c>
      <c r="D95" s="31" t="s">
        <v>816</v>
      </c>
      <c r="E95" s="31"/>
      <c r="F95" s="31" t="s">
        <v>81</v>
      </c>
      <c r="G95" s="27">
        <v>128762</v>
      </c>
      <c r="H95" s="31" t="s">
        <v>804</v>
      </c>
      <c r="I95" s="31"/>
      <c r="J95" s="26" t="s">
        <v>805</v>
      </c>
      <c r="K95" s="27">
        <v>128762</v>
      </c>
      <c r="L95" s="31" t="s">
        <v>769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175</v>
      </c>
      <c r="D96" s="31" t="s">
        <v>181</v>
      </c>
      <c r="E96" s="31"/>
      <c r="F96" s="31" t="s">
        <v>81</v>
      </c>
      <c r="G96" s="27">
        <v>262558</v>
      </c>
      <c r="H96" s="31" t="s">
        <v>807</v>
      </c>
      <c r="I96" s="31"/>
      <c r="J96" s="26" t="s">
        <v>805</v>
      </c>
      <c r="K96" s="27">
        <v>262558</v>
      </c>
      <c r="L96" s="31" t="s">
        <v>769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181</v>
      </c>
      <c r="D97" s="31" t="s">
        <v>175</v>
      </c>
      <c r="E97" s="31"/>
      <c r="F97" s="31" t="s">
        <v>81</v>
      </c>
      <c r="G97" s="27">
        <v>262558</v>
      </c>
      <c r="H97" s="31" t="s">
        <v>804</v>
      </c>
      <c r="I97" s="31"/>
      <c r="J97" s="26" t="s">
        <v>805</v>
      </c>
      <c r="K97" s="27">
        <v>262558</v>
      </c>
      <c r="L97" s="31" t="s">
        <v>769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196</v>
      </c>
      <c r="D98" s="31" t="s">
        <v>866</v>
      </c>
      <c r="E98" s="31"/>
      <c r="F98" s="31" t="s">
        <v>81</v>
      </c>
      <c r="G98" s="27">
        <v>50000</v>
      </c>
      <c r="H98" s="31" t="s">
        <v>807</v>
      </c>
      <c r="I98" s="31"/>
      <c r="J98" s="26" t="s">
        <v>805</v>
      </c>
      <c r="K98" s="27">
        <v>50000</v>
      </c>
      <c r="L98" s="31" t="s">
        <v>769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866</v>
      </c>
      <c r="D99" s="31" t="s">
        <v>196</v>
      </c>
      <c r="E99" s="31"/>
      <c r="F99" s="31" t="s">
        <v>81</v>
      </c>
      <c r="G99" s="27">
        <v>50000</v>
      </c>
      <c r="H99" s="31" t="s">
        <v>804</v>
      </c>
      <c r="I99" s="31"/>
      <c r="J99" s="26" t="s">
        <v>805</v>
      </c>
      <c r="K99" s="27">
        <v>50000</v>
      </c>
      <c r="L99" s="31" t="s">
        <v>769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831</v>
      </c>
      <c r="D100" s="31" t="s">
        <v>22</v>
      </c>
      <c r="E100" s="31"/>
      <c r="F100" s="31" t="s">
        <v>837</v>
      </c>
      <c r="G100" s="27">
        <v>55</v>
      </c>
      <c r="H100" s="31" t="s">
        <v>520</v>
      </c>
      <c r="I100" s="31" t="s">
        <v>869</v>
      </c>
      <c r="J100" s="26" t="s">
        <v>824</v>
      </c>
      <c r="K100" s="27">
        <v>55</v>
      </c>
      <c r="L100" s="31" t="s">
        <v>769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766</v>
      </c>
      <c r="D101" s="31" t="s">
        <v>575</v>
      </c>
      <c r="E101" s="31" t="s">
        <v>781</v>
      </c>
      <c r="F101" s="31" t="s">
        <v>853</v>
      </c>
      <c r="G101" s="27">
        <v>31050</v>
      </c>
      <c r="H101" s="31" t="s">
        <v>63</v>
      </c>
      <c r="I101" s="31"/>
      <c r="J101" s="26" t="s">
        <v>775</v>
      </c>
      <c r="K101" s="27">
        <v>31050</v>
      </c>
      <c r="L101" s="31" t="s">
        <v>769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196</v>
      </c>
      <c r="D102" s="31" t="s">
        <v>575</v>
      </c>
      <c r="E102" s="31" t="s">
        <v>781</v>
      </c>
      <c r="F102" s="31" t="s">
        <v>854</v>
      </c>
      <c r="G102" s="27">
        <v>-22500</v>
      </c>
      <c r="H102" s="31" t="s">
        <v>63</v>
      </c>
      <c r="I102" s="31" t="s">
        <v>882</v>
      </c>
      <c r="J102" s="26" t="s">
        <v>775</v>
      </c>
      <c r="K102" s="27">
        <v>-22500</v>
      </c>
      <c r="L102" s="31" t="s">
        <v>769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780</v>
      </c>
      <c r="D103" s="31" t="s">
        <v>575</v>
      </c>
      <c r="E103" s="31" t="s">
        <v>772</v>
      </c>
      <c r="F103" s="31" t="s">
        <v>884</v>
      </c>
      <c r="G103" s="27">
        <v>8100</v>
      </c>
      <c r="H103" s="31" t="s">
        <v>63</v>
      </c>
      <c r="I103" s="31"/>
      <c r="J103" s="26" t="s">
        <v>775</v>
      </c>
      <c r="K103" s="27">
        <v>8100</v>
      </c>
      <c r="L103" s="31" t="s">
        <v>769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766</v>
      </c>
      <c r="D104" s="31" t="s">
        <v>575</v>
      </c>
      <c r="E104" s="31" t="s">
        <v>885</v>
      </c>
      <c r="F104" s="31" t="s">
        <v>773</v>
      </c>
      <c r="G104" s="27">
        <v>3500</v>
      </c>
      <c r="H104" s="31" t="s">
        <v>63</v>
      </c>
      <c r="I104" s="31" t="s">
        <v>886</v>
      </c>
      <c r="J104" s="26" t="s">
        <v>775</v>
      </c>
      <c r="K104" s="27">
        <v>3500</v>
      </c>
      <c r="L104" s="31" t="s">
        <v>769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780</v>
      </c>
      <c r="D105" s="31" t="s">
        <v>175</v>
      </c>
      <c r="E105" s="31"/>
      <c r="F105" s="31" t="s">
        <v>828</v>
      </c>
      <c r="G105" s="27">
        <v>712226</v>
      </c>
      <c r="H105" s="31" t="s">
        <v>804</v>
      </c>
      <c r="I105" s="31"/>
      <c r="J105" s="26" t="s">
        <v>805</v>
      </c>
      <c r="K105" s="27">
        <v>712226</v>
      </c>
      <c r="L105" s="31" t="s">
        <v>769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175</v>
      </c>
      <c r="D106" s="31" t="s">
        <v>780</v>
      </c>
      <c r="E106" s="31"/>
      <c r="F106" s="31" t="s">
        <v>828</v>
      </c>
      <c r="G106" s="27">
        <v>712226</v>
      </c>
      <c r="H106" s="31" t="s">
        <v>807</v>
      </c>
      <c r="I106" s="31"/>
      <c r="J106" s="26" t="s">
        <v>805</v>
      </c>
      <c r="K106" s="27">
        <v>712226</v>
      </c>
      <c r="L106" s="31" t="s">
        <v>769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852</v>
      </c>
      <c r="D107" s="31" t="s">
        <v>181</v>
      </c>
      <c r="E107" s="31"/>
      <c r="F107" s="31" t="s">
        <v>828</v>
      </c>
      <c r="G107" s="27">
        <v>259288</v>
      </c>
      <c r="H107" s="31" t="s">
        <v>804</v>
      </c>
      <c r="I107" s="31"/>
      <c r="J107" s="26" t="s">
        <v>805</v>
      </c>
      <c r="K107" s="27">
        <v>259288</v>
      </c>
      <c r="L107" s="31" t="s">
        <v>769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181</v>
      </c>
      <c r="D108" s="31" t="s">
        <v>852</v>
      </c>
      <c r="E108" s="31"/>
      <c r="F108" s="31" t="s">
        <v>828</v>
      </c>
      <c r="G108" s="27">
        <v>259288</v>
      </c>
      <c r="H108" s="31" t="s">
        <v>807</v>
      </c>
      <c r="I108" s="31"/>
      <c r="J108" s="26" t="s">
        <v>805</v>
      </c>
      <c r="K108" s="27">
        <v>259288</v>
      </c>
      <c r="L108" s="31" t="s">
        <v>769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181</v>
      </c>
      <c r="D109" s="31" t="s">
        <v>887</v>
      </c>
      <c r="E109" s="31"/>
      <c r="F109" s="31" t="s">
        <v>828</v>
      </c>
      <c r="G109" s="27">
        <v>56770</v>
      </c>
      <c r="H109" s="31" t="s">
        <v>807</v>
      </c>
      <c r="I109" s="31"/>
      <c r="J109" s="26" t="s">
        <v>805</v>
      </c>
      <c r="K109" s="27">
        <v>56770</v>
      </c>
      <c r="L109" s="31" t="s">
        <v>769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887</v>
      </c>
      <c r="D110" s="31" t="s">
        <v>181</v>
      </c>
      <c r="E110" s="31"/>
      <c r="F110" s="31" t="s">
        <v>828</v>
      </c>
      <c r="G110" s="27">
        <v>56770</v>
      </c>
      <c r="H110" s="31" t="s">
        <v>804</v>
      </c>
      <c r="I110" s="31"/>
      <c r="J110" s="26" t="s">
        <v>805</v>
      </c>
      <c r="K110" s="27">
        <v>56770</v>
      </c>
      <c r="L110" s="31" t="s">
        <v>769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766</v>
      </c>
      <c r="D111" s="31" t="s">
        <v>576</v>
      </c>
      <c r="E111" s="31"/>
      <c r="F111" s="31" t="s">
        <v>576</v>
      </c>
      <c r="G111" s="27">
        <v>10000</v>
      </c>
      <c r="H111" s="31" t="s">
        <v>63</v>
      </c>
      <c r="I111" s="31"/>
      <c r="J111" s="26" t="s">
        <v>778</v>
      </c>
      <c r="K111" s="27">
        <v>10000</v>
      </c>
      <c r="L111" s="31" t="s">
        <v>769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766</v>
      </c>
      <c r="D112" s="31" t="s">
        <v>876</v>
      </c>
      <c r="E112" s="31"/>
      <c r="F112" s="31" t="s">
        <v>888</v>
      </c>
      <c r="G112" s="27">
        <v>12400</v>
      </c>
      <c r="H112" s="31" t="s">
        <v>63</v>
      </c>
      <c r="I112" s="31"/>
      <c r="J112" s="26" t="s">
        <v>768</v>
      </c>
      <c r="K112" s="27">
        <v>12400</v>
      </c>
      <c r="L112" s="31" t="s">
        <v>769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831</v>
      </c>
      <c r="D113" s="31" t="s">
        <v>22</v>
      </c>
      <c r="E113" s="31"/>
      <c r="F113" s="31" t="s">
        <v>837</v>
      </c>
      <c r="G113" s="27">
        <v>55</v>
      </c>
      <c r="H113" s="31" t="s">
        <v>520</v>
      </c>
      <c r="I113" s="31" t="s">
        <v>869</v>
      </c>
      <c r="J113" s="26" t="s">
        <v>824</v>
      </c>
      <c r="K113" s="27">
        <v>55</v>
      </c>
      <c r="L113" s="31" t="s">
        <v>769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766</v>
      </c>
      <c r="D114" s="31" t="s">
        <v>575</v>
      </c>
      <c r="E114" s="31" t="s">
        <v>772</v>
      </c>
      <c r="F114" s="31" t="s">
        <v>879</v>
      </c>
      <c r="G114" s="27">
        <v>21700</v>
      </c>
      <c r="H114" s="31" t="s">
        <v>63</v>
      </c>
      <c r="I114" s="31"/>
      <c r="J114" s="26" t="s">
        <v>775</v>
      </c>
      <c r="K114" s="27">
        <v>21700</v>
      </c>
      <c r="L114" s="31" t="s">
        <v>769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196</v>
      </c>
      <c r="D115" s="31" t="s">
        <v>575</v>
      </c>
      <c r="E115" s="31" t="s">
        <v>772</v>
      </c>
      <c r="F115" s="31" t="s">
        <v>889</v>
      </c>
      <c r="G115" s="27">
        <v>-11500</v>
      </c>
      <c r="H115" s="31" t="s">
        <v>63</v>
      </c>
      <c r="I115" s="31" t="s">
        <v>890</v>
      </c>
      <c r="J115" s="26" t="s">
        <v>775</v>
      </c>
      <c r="K115" s="27">
        <v>-11500</v>
      </c>
      <c r="L115" s="31" t="s">
        <v>769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766</v>
      </c>
      <c r="D116" s="31" t="s">
        <v>876</v>
      </c>
      <c r="E116" s="31"/>
      <c r="F116" s="31" t="s">
        <v>132</v>
      </c>
      <c r="G116" s="27">
        <v>16500</v>
      </c>
      <c r="H116" s="31" t="s">
        <v>63</v>
      </c>
      <c r="I116" s="31"/>
      <c r="J116" s="26" t="s">
        <v>768</v>
      </c>
      <c r="K116" s="27">
        <v>16500</v>
      </c>
      <c r="L116" s="31" t="s">
        <v>769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766</v>
      </c>
      <c r="D117" s="31" t="s">
        <v>575</v>
      </c>
      <c r="E117" s="31" t="s">
        <v>781</v>
      </c>
      <c r="F117" s="31" t="s">
        <v>891</v>
      </c>
      <c r="G117" s="27">
        <v>13350</v>
      </c>
      <c r="H117" s="31" t="s">
        <v>63</v>
      </c>
      <c r="I117" s="31"/>
      <c r="J117" s="26" t="s">
        <v>775</v>
      </c>
      <c r="K117" s="27">
        <v>13350</v>
      </c>
      <c r="L117" s="31" t="s">
        <v>769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766</v>
      </c>
      <c r="D118" s="31" t="s">
        <v>811</v>
      </c>
      <c r="E118" s="31"/>
      <c r="F118" s="31" t="s">
        <v>825</v>
      </c>
      <c r="G118" s="27">
        <v>30400</v>
      </c>
      <c r="H118" s="31" t="s">
        <v>63</v>
      </c>
      <c r="I118" s="31" t="s">
        <v>892</v>
      </c>
      <c r="J118" s="26" t="s">
        <v>775</v>
      </c>
      <c r="K118" s="27">
        <v>30400</v>
      </c>
      <c r="L118" s="31" t="s">
        <v>769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766</v>
      </c>
      <c r="D119" s="31" t="s">
        <v>575</v>
      </c>
      <c r="E119" s="31" t="s">
        <v>772</v>
      </c>
      <c r="F119" s="31" t="s">
        <v>879</v>
      </c>
      <c r="G119" s="27">
        <v>17000</v>
      </c>
      <c r="H119" s="31" t="s">
        <v>63</v>
      </c>
      <c r="I119" s="31"/>
      <c r="J119" s="26" t="s">
        <v>775</v>
      </c>
      <c r="K119" s="27">
        <v>17000</v>
      </c>
      <c r="L119" s="31" t="s">
        <v>769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766</v>
      </c>
      <c r="D120" s="31" t="s">
        <v>575</v>
      </c>
      <c r="E120" s="31" t="s">
        <v>781</v>
      </c>
      <c r="F120" s="31" t="s">
        <v>893</v>
      </c>
      <c r="G120" s="27">
        <v>0</v>
      </c>
      <c r="H120" s="31" t="s">
        <v>63</v>
      </c>
      <c r="I120" s="31" t="s">
        <v>894</v>
      </c>
      <c r="J120" s="26" t="s">
        <v>775</v>
      </c>
      <c r="K120" s="27">
        <v>0</v>
      </c>
      <c r="L120" s="31" t="s">
        <v>769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766</v>
      </c>
      <c r="D121" s="31" t="s">
        <v>575</v>
      </c>
      <c r="E121" s="31" t="s">
        <v>772</v>
      </c>
      <c r="F121" s="31" t="s">
        <v>895</v>
      </c>
      <c r="G121" s="27">
        <v>0</v>
      </c>
      <c r="H121" s="31" t="s">
        <v>63</v>
      </c>
      <c r="I121" s="31" t="s">
        <v>894</v>
      </c>
      <c r="J121" s="26" t="s">
        <v>775</v>
      </c>
      <c r="K121" s="27">
        <v>0</v>
      </c>
      <c r="L121" s="31" t="s">
        <v>769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831</v>
      </c>
      <c r="D122" s="31" t="s">
        <v>22</v>
      </c>
      <c r="E122" s="31"/>
      <c r="F122" s="31" t="s">
        <v>837</v>
      </c>
      <c r="G122" s="27">
        <v>55</v>
      </c>
      <c r="H122" s="31" t="s">
        <v>520</v>
      </c>
      <c r="I122" s="31" t="s">
        <v>869</v>
      </c>
      <c r="J122" s="26" t="s">
        <v>824</v>
      </c>
      <c r="K122" s="27">
        <v>55</v>
      </c>
      <c r="L122" s="31" t="s">
        <v>769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766</v>
      </c>
      <c r="D123" s="31" t="s">
        <v>575</v>
      </c>
      <c r="E123" s="31" t="s">
        <v>772</v>
      </c>
      <c r="F123" s="31" t="s">
        <v>773</v>
      </c>
      <c r="G123" s="27">
        <v>1750</v>
      </c>
      <c r="H123" s="31" t="s">
        <v>63</v>
      </c>
      <c r="I123" s="31" t="s">
        <v>896</v>
      </c>
      <c r="J123" s="26" t="s">
        <v>775</v>
      </c>
      <c r="K123" s="27">
        <v>1750</v>
      </c>
      <c r="L123" s="31" t="s">
        <v>769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831</v>
      </c>
      <c r="D124" s="31" t="s">
        <v>22</v>
      </c>
      <c r="E124" s="31"/>
      <c r="F124" s="31" t="s">
        <v>837</v>
      </c>
      <c r="G124" s="27">
        <v>55</v>
      </c>
      <c r="H124" s="31" t="s">
        <v>520</v>
      </c>
      <c r="I124" s="31" t="s">
        <v>869</v>
      </c>
      <c r="J124" s="26" t="s">
        <v>824</v>
      </c>
      <c r="K124" s="27">
        <v>55</v>
      </c>
      <c r="L124" s="31" t="s">
        <v>769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766</v>
      </c>
      <c r="D125" s="31" t="s">
        <v>575</v>
      </c>
      <c r="E125" s="31" t="s">
        <v>785</v>
      </c>
      <c r="F125" s="31" t="s">
        <v>488</v>
      </c>
      <c r="G125" s="27">
        <v>51620</v>
      </c>
      <c r="H125" s="31" t="s">
        <v>63</v>
      </c>
      <c r="I125" s="31" t="s">
        <v>786</v>
      </c>
      <c r="J125" s="26" t="s">
        <v>775</v>
      </c>
      <c r="K125" s="27">
        <v>51620</v>
      </c>
      <c r="L125" s="31" t="s">
        <v>769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771</v>
      </c>
      <c r="D126" s="31" t="s">
        <v>575</v>
      </c>
      <c r="E126" s="31" t="s">
        <v>772</v>
      </c>
      <c r="F126" s="31" t="s">
        <v>773</v>
      </c>
      <c r="G126" s="27">
        <v>7000</v>
      </c>
      <c r="H126" s="31" t="s">
        <v>63</v>
      </c>
      <c r="I126" s="31" t="s">
        <v>859</v>
      </c>
      <c r="J126" s="26" t="s">
        <v>775</v>
      </c>
      <c r="K126" s="27">
        <v>7000</v>
      </c>
      <c r="L126" s="31" t="s">
        <v>769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816</v>
      </c>
      <c r="D127" s="31" t="s">
        <v>22</v>
      </c>
      <c r="E127" s="31"/>
      <c r="F127" s="31" t="s">
        <v>897</v>
      </c>
      <c r="G127" s="27">
        <v>1386</v>
      </c>
      <c r="H127" s="31" t="s">
        <v>520</v>
      </c>
      <c r="I127" s="31"/>
      <c r="J127" s="26" t="s">
        <v>824</v>
      </c>
      <c r="K127" s="27">
        <v>1386</v>
      </c>
      <c r="L127" s="31" t="s">
        <v>769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816</v>
      </c>
      <c r="D128" s="31" t="s">
        <v>22</v>
      </c>
      <c r="E128" s="31"/>
      <c r="F128" s="31" t="s">
        <v>898</v>
      </c>
      <c r="G128" s="27">
        <v>2</v>
      </c>
      <c r="H128" s="31" t="s">
        <v>520</v>
      </c>
      <c r="I128" s="31"/>
      <c r="J128" s="26" t="s">
        <v>824</v>
      </c>
      <c r="K128" s="27">
        <v>2</v>
      </c>
      <c r="L128" s="31" t="s">
        <v>769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766</v>
      </c>
      <c r="D129" s="31" t="s">
        <v>575</v>
      </c>
      <c r="E129" s="31" t="s">
        <v>792</v>
      </c>
      <c r="F129" s="31" t="s">
        <v>899</v>
      </c>
      <c r="G129" s="27">
        <v>3000</v>
      </c>
      <c r="H129" s="31" t="s">
        <v>63</v>
      </c>
      <c r="I129" s="31" t="s">
        <v>900</v>
      </c>
      <c r="J129" s="26" t="s">
        <v>775</v>
      </c>
      <c r="K129" s="27">
        <v>3000</v>
      </c>
      <c r="L129" s="31" t="s">
        <v>769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766</v>
      </c>
      <c r="D130" s="31" t="s">
        <v>576</v>
      </c>
      <c r="E130" s="31"/>
      <c r="F130" s="31" t="s">
        <v>576</v>
      </c>
      <c r="G130" s="27">
        <v>10000</v>
      </c>
      <c r="H130" s="31" t="s">
        <v>63</v>
      </c>
      <c r="I130" s="31"/>
      <c r="J130" s="26" t="s">
        <v>778</v>
      </c>
      <c r="K130" s="27">
        <v>10000</v>
      </c>
      <c r="L130" s="31" t="s">
        <v>769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771</v>
      </c>
      <c r="D131" s="31" t="s">
        <v>575</v>
      </c>
      <c r="E131" s="31" t="s">
        <v>772</v>
      </c>
      <c r="F131" s="31" t="s">
        <v>773</v>
      </c>
      <c r="G131" s="27">
        <v>6500</v>
      </c>
      <c r="H131" s="31" t="s">
        <v>63</v>
      </c>
      <c r="I131" s="31" t="s">
        <v>859</v>
      </c>
      <c r="J131" s="26" t="s">
        <v>775</v>
      </c>
      <c r="K131" s="27">
        <v>6500</v>
      </c>
      <c r="L131" s="31" t="s">
        <v>769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766</v>
      </c>
      <c r="D132" s="31" t="s">
        <v>796</v>
      </c>
      <c r="E132" s="31"/>
      <c r="F132" s="31" t="s">
        <v>488</v>
      </c>
      <c r="G132" s="27">
        <v>14720</v>
      </c>
      <c r="H132" s="31" t="s">
        <v>63</v>
      </c>
      <c r="I132" s="31" t="s">
        <v>901</v>
      </c>
      <c r="J132" s="26" t="s">
        <v>775</v>
      </c>
      <c r="K132" s="27">
        <v>14720</v>
      </c>
      <c r="L132" s="31" t="s">
        <v>769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831</v>
      </c>
      <c r="D133" s="31" t="s">
        <v>22</v>
      </c>
      <c r="E133" s="31"/>
      <c r="F133" s="31" t="s">
        <v>837</v>
      </c>
      <c r="G133" s="27">
        <v>55</v>
      </c>
      <c r="H133" s="31" t="s">
        <v>520</v>
      </c>
      <c r="I133" s="31" t="s">
        <v>869</v>
      </c>
      <c r="J133" s="26" t="s">
        <v>824</v>
      </c>
      <c r="K133" s="27">
        <v>55</v>
      </c>
      <c r="L133" s="31" t="s">
        <v>769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766</v>
      </c>
      <c r="D134" s="31" t="s">
        <v>575</v>
      </c>
      <c r="E134" s="31" t="s">
        <v>781</v>
      </c>
      <c r="F134" s="31" t="s">
        <v>902</v>
      </c>
      <c r="G134" s="27">
        <v>11000</v>
      </c>
      <c r="H134" s="31" t="s">
        <v>63</v>
      </c>
      <c r="I134" s="31"/>
      <c r="J134" s="26" t="s">
        <v>775</v>
      </c>
      <c r="K134" s="27">
        <v>11000</v>
      </c>
      <c r="L134" s="31" t="s">
        <v>769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831</v>
      </c>
      <c r="D135" s="31" t="s">
        <v>22</v>
      </c>
      <c r="E135" s="31"/>
      <c r="F135" s="31" t="s">
        <v>837</v>
      </c>
      <c r="G135" s="27">
        <v>55</v>
      </c>
      <c r="H135" s="31" t="s">
        <v>520</v>
      </c>
      <c r="I135" s="31" t="s">
        <v>869</v>
      </c>
      <c r="J135" s="26" t="s">
        <v>824</v>
      </c>
      <c r="K135" s="27">
        <v>55</v>
      </c>
      <c r="L135" s="31" t="s">
        <v>769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802</v>
      </c>
      <c r="D136" s="31" t="s">
        <v>22</v>
      </c>
      <c r="E136" s="31"/>
      <c r="F136" s="31" t="s">
        <v>903</v>
      </c>
      <c r="G136" s="27">
        <v>124</v>
      </c>
      <c r="H136" s="31" t="s">
        <v>520</v>
      </c>
      <c r="I136" s="31"/>
      <c r="J136" s="26" t="s">
        <v>824</v>
      </c>
      <c r="K136" s="27">
        <v>124</v>
      </c>
      <c r="L136" s="31" t="s">
        <v>769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766</v>
      </c>
      <c r="D137" s="31" t="s">
        <v>576</v>
      </c>
      <c r="E137" s="31"/>
      <c r="F137" s="31" t="s">
        <v>576</v>
      </c>
      <c r="G137" s="27">
        <v>10000</v>
      </c>
      <c r="H137" s="31" t="s">
        <v>63</v>
      </c>
      <c r="I137" s="31"/>
      <c r="J137" s="26" t="s">
        <v>778</v>
      </c>
      <c r="K137" s="27">
        <v>10000</v>
      </c>
      <c r="L137" s="31" t="s">
        <v>769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771</v>
      </c>
      <c r="D138" s="31" t="s">
        <v>575</v>
      </c>
      <c r="E138" s="31" t="s">
        <v>904</v>
      </c>
      <c r="F138" s="31" t="s">
        <v>905</v>
      </c>
      <c r="G138" s="27">
        <v>19000</v>
      </c>
      <c r="H138" s="31" t="s">
        <v>63</v>
      </c>
      <c r="I138" s="31"/>
      <c r="J138" s="26" t="s">
        <v>775</v>
      </c>
      <c r="K138" s="27">
        <v>19000</v>
      </c>
      <c r="L138" s="31" t="s">
        <v>769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831</v>
      </c>
      <c r="D139" s="31" t="s">
        <v>22</v>
      </c>
      <c r="E139" s="31"/>
      <c r="F139" s="31" t="s">
        <v>837</v>
      </c>
      <c r="G139" s="27">
        <v>55</v>
      </c>
      <c r="H139" s="31" t="s">
        <v>520</v>
      </c>
      <c r="I139" s="31" t="s">
        <v>869</v>
      </c>
      <c r="J139" s="26" t="s">
        <v>824</v>
      </c>
      <c r="K139" s="27">
        <v>55</v>
      </c>
      <c r="L139" s="31" t="s">
        <v>769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766</v>
      </c>
      <c r="D140" s="31" t="s">
        <v>906</v>
      </c>
      <c r="E140" s="31"/>
      <c r="F140" s="31" t="s">
        <v>907</v>
      </c>
      <c r="G140" s="27">
        <v>3000</v>
      </c>
      <c r="H140" s="31" t="s">
        <v>63</v>
      </c>
      <c r="I140" s="31" t="s">
        <v>908</v>
      </c>
      <c r="J140" s="26" t="s">
        <v>775</v>
      </c>
      <c r="K140" s="27">
        <v>3000</v>
      </c>
      <c r="L140" s="31" t="s">
        <v>769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766</v>
      </c>
      <c r="D141" s="31" t="s">
        <v>575</v>
      </c>
      <c r="E141" s="31" t="s">
        <v>781</v>
      </c>
      <c r="F141" s="31" t="s">
        <v>909</v>
      </c>
      <c r="G141" s="27">
        <v>7000</v>
      </c>
      <c r="H141" s="31" t="s">
        <v>63</v>
      </c>
      <c r="I141" s="31"/>
      <c r="J141" s="26" t="s">
        <v>775</v>
      </c>
      <c r="K141" s="27">
        <v>7000</v>
      </c>
      <c r="L141" s="31" t="s">
        <v>769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831</v>
      </c>
      <c r="D142" s="31" t="s">
        <v>22</v>
      </c>
      <c r="E142" s="31"/>
      <c r="F142" s="31" t="s">
        <v>837</v>
      </c>
      <c r="G142" s="27">
        <v>55</v>
      </c>
      <c r="H142" s="31" t="s">
        <v>520</v>
      </c>
      <c r="I142" s="31" t="s">
        <v>869</v>
      </c>
      <c r="J142" s="26" t="s">
        <v>824</v>
      </c>
      <c r="K142" s="27">
        <v>55</v>
      </c>
      <c r="L142" s="31" t="s">
        <v>769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831</v>
      </c>
      <c r="D143" s="31" t="s">
        <v>22</v>
      </c>
      <c r="E143" s="31"/>
      <c r="F143" s="31" t="s">
        <v>837</v>
      </c>
      <c r="G143" s="27">
        <v>55</v>
      </c>
      <c r="H143" s="31" t="s">
        <v>520</v>
      </c>
      <c r="I143" s="31" t="s">
        <v>869</v>
      </c>
      <c r="J143" s="26" t="s">
        <v>824</v>
      </c>
      <c r="K143" s="27">
        <v>55</v>
      </c>
      <c r="L143" s="31" t="s">
        <v>769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766</v>
      </c>
      <c r="D144" s="31" t="s">
        <v>576</v>
      </c>
      <c r="E144" s="31"/>
      <c r="F144" s="31" t="s">
        <v>576</v>
      </c>
      <c r="G144" s="27">
        <v>10000</v>
      </c>
      <c r="H144" s="31" t="s">
        <v>63</v>
      </c>
      <c r="I144" s="31"/>
      <c r="J144" s="26" t="s">
        <v>778</v>
      </c>
      <c r="K144" s="27">
        <v>10000</v>
      </c>
      <c r="L144" s="31" t="s">
        <v>769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766</v>
      </c>
      <c r="D145" s="31" t="s">
        <v>575</v>
      </c>
      <c r="E145" s="31" t="s">
        <v>781</v>
      </c>
      <c r="F145" s="31" t="s">
        <v>910</v>
      </c>
      <c r="G145" s="27">
        <v>0</v>
      </c>
      <c r="H145" s="31" t="s">
        <v>63</v>
      </c>
      <c r="I145" s="31" t="s">
        <v>894</v>
      </c>
      <c r="J145" s="26" t="s">
        <v>775</v>
      </c>
      <c r="K145" s="27">
        <v>0</v>
      </c>
      <c r="L145" s="31" t="s">
        <v>769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766</v>
      </c>
      <c r="D146" s="31" t="s">
        <v>575</v>
      </c>
      <c r="E146" s="31" t="s">
        <v>781</v>
      </c>
      <c r="F146" s="31" t="s">
        <v>884</v>
      </c>
      <c r="G146" s="27">
        <v>11500</v>
      </c>
      <c r="H146" s="31" t="s">
        <v>63</v>
      </c>
      <c r="I146" s="31"/>
      <c r="J146" s="26" t="s">
        <v>775</v>
      </c>
      <c r="K146" s="27">
        <v>11500</v>
      </c>
      <c r="L146" s="31" t="s">
        <v>769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831</v>
      </c>
      <c r="D147" s="31" t="s">
        <v>22</v>
      </c>
      <c r="E147" s="31"/>
      <c r="F147" s="31" t="s">
        <v>837</v>
      </c>
      <c r="G147" s="27">
        <v>55</v>
      </c>
      <c r="H147" s="31" t="s">
        <v>520</v>
      </c>
      <c r="I147" s="31" t="s">
        <v>869</v>
      </c>
      <c r="J147" s="26" t="s">
        <v>824</v>
      </c>
      <c r="K147" s="27">
        <v>55</v>
      </c>
      <c r="L147" s="31" t="s">
        <v>769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803</v>
      </c>
      <c r="D148" s="31" t="s">
        <v>66</v>
      </c>
      <c r="E148" s="31"/>
      <c r="F148" s="31" t="s">
        <v>66</v>
      </c>
      <c r="G148" s="27">
        <v>2785740</v>
      </c>
      <c r="H148" s="31" t="s">
        <v>520</v>
      </c>
      <c r="I148" s="31"/>
      <c r="J148" s="26" t="s">
        <v>66</v>
      </c>
      <c r="K148" s="27">
        <v>2785740</v>
      </c>
      <c r="L148" s="31" t="s">
        <v>769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766</v>
      </c>
      <c r="D149" s="31" t="s">
        <v>575</v>
      </c>
      <c r="E149" s="31" t="s">
        <v>781</v>
      </c>
      <c r="F149" s="31" t="s">
        <v>911</v>
      </c>
      <c r="G149" s="27">
        <v>44000</v>
      </c>
      <c r="H149" s="31" t="s">
        <v>63</v>
      </c>
      <c r="I149" s="31"/>
      <c r="J149" s="26" t="s">
        <v>775</v>
      </c>
      <c r="K149" s="27">
        <v>44000</v>
      </c>
      <c r="L149" s="31" t="s">
        <v>769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865</v>
      </c>
      <c r="D150" s="31" t="s">
        <v>175</v>
      </c>
      <c r="E150" s="31"/>
      <c r="F150" s="31" t="s">
        <v>81</v>
      </c>
      <c r="G150" s="27">
        <v>50000</v>
      </c>
      <c r="H150" s="31" t="s">
        <v>807</v>
      </c>
      <c r="I150" s="31"/>
      <c r="J150" s="26" t="s">
        <v>805</v>
      </c>
      <c r="K150" s="27">
        <v>50000</v>
      </c>
      <c r="L150" s="31" t="s">
        <v>769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175</v>
      </c>
      <c r="D151" s="31" t="s">
        <v>865</v>
      </c>
      <c r="E151" s="31"/>
      <c r="F151" s="31" t="s">
        <v>81</v>
      </c>
      <c r="G151" s="27">
        <v>50000</v>
      </c>
      <c r="H151" s="31" t="s">
        <v>804</v>
      </c>
      <c r="I151" s="31"/>
      <c r="J151" s="26" t="s">
        <v>805</v>
      </c>
      <c r="K151" s="27">
        <v>50000</v>
      </c>
      <c r="L151" s="31" t="s">
        <v>769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175</v>
      </c>
      <c r="D152" s="31" t="s">
        <v>840</v>
      </c>
      <c r="E152" s="31"/>
      <c r="F152" s="31" t="s">
        <v>108</v>
      </c>
      <c r="G152" s="27">
        <v>60000</v>
      </c>
      <c r="H152" s="31" t="s">
        <v>63</v>
      </c>
      <c r="I152" s="31"/>
      <c r="J152" s="26" t="s">
        <v>787</v>
      </c>
      <c r="K152" s="27">
        <v>60000</v>
      </c>
      <c r="L152" s="31" t="s">
        <v>769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175</v>
      </c>
      <c r="D153" s="31" t="s">
        <v>831</v>
      </c>
      <c r="E153" s="31"/>
      <c r="F153" s="31" t="s">
        <v>81</v>
      </c>
      <c r="G153" s="27">
        <v>10000</v>
      </c>
      <c r="H153" s="31" t="s">
        <v>804</v>
      </c>
      <c r="I153" s="31"/>
      <c r="J153" s="26" t="s">
        <v>805</v>
      </c>
      <c r="K153" s="27">
        <v>10000</v>
      </c>
      <c r="L153" s="31" t="s">
        <v>769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831</v>
      </c>
      <c r="D154" s="31" t="s">
        <v>175</v>
      </c>
      <c r="E154" s="31"/>
      <c r="F154" s="31" t="s">
        <v>81</v>
      </c>
      <c r="G154" s="27">
        <v>10000</v>
      </c>
      <c r="H154" s="31" t="s">
        <v>807</v>
      </c>
      <c r="I154" s="31"/>
      <c r="J154" s="26" t="s">
        <v>805</v>
      </c>
      <c r="K154" s="27">
        <v>10000</v>
      </c>
      <c r="L154" s="31" t="s">
        <v>769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831</v>
      </c>
      <c r="D155" s="31" t="s">
        <v>175</v>
      </c>
      <c r="E155" s="31"/>
      <c r="F155" s="31" t="s">
        <v>81</v>
      </c>
      <c r="G155" s="27">
        <v>22000</v>
      </c>
      <c r="H155" s="31" t="s">
        <v>807</v>
      </c>
      <c r="I155" s="31"/>
      <c r="J155" s="26" t="s">
        <v>805</v>
      </c>
      <c r="K155" s="27">
        <v>22000</v>
      </c>
      <c r="L155" s="31" t="s">
        <v>769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175</v>
      </c>
      <c r="D156" s="31" t="s">
        <v>831</v>
      </c>
      <c r="E156" s="31"/>
      <c r="F156" s="31" t="s">
        <v>81</v>
      </c>
      <c r="G156" s="27">
        <v>22000</v>
      </c>
      <c r="H156" s="31" t="s">
        <v>804</v>
      </c>
      <c r="I156" s="31"/>
      <c r="J156" s="26" t="s">
        <v>805</v>
      </c>
      <c r="K156" s="27">
        <v>22000</v>
      </c>
      <c r="L156" s="31" t="s">
        <v>769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175</v>
      </c>
      <c r="D157" s="31" t="s">
        <v>912</v>
      </c>
      <c r="E157" s="31" t="s">
        <v>580</v>
      </c>
      <c r="F157" s="31" t="s">
        <v>913</v>
      </c>
      <c r="G157" s="27">
        <v>24500</v>
      </c>
      <c r="H157" s="31" t="s">
        <v>63</v>
      </c>
      <c r="I157" s="31" t="s">
        <v>914</v>
      </c>
      <c r="J157" s="26" t="s">
        <v>783</v>
      </c>
      <c r="K157" s="27">
        <v>24500</v>
      </c>
      <c r="L157" s="31" t="s">
        <v>769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766</v>
      </c>
      <c r="D158" s="31" t="s">
        <v>796</v>
      </c>
      <c r="E158" s="31"/>
      <c r="F158" s="31" t="s">
        <v>797</v>
      </c>
      <c r="G158" s="27">
        <v>7000</v>
      </c>
      <c r="H158" s="31" t="s">
        <v>63</v>
      </c>
      <c r="I158" s="31"/>
      <c r="J158" s="26" t="s">
        <v>775</v>
      </c>
      <c r="K158" s="27">
        <v>7000</v>
      </c>
      <c r="L158" s="31" t="s">
        <v>769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766</v>
      </c>
      <c r="D159" s="31" t="s">
        <v>906</v>
      </c>
      <c r="E159" s="31"/>
      <c r="F159" s="31" t="s">
        <v>915</v>
      </c>
      <c r="G159" s="27">
        <v>990</v>
      </c>
      <c r="H159" s="31" t="s">
        <v>63</v>
      </c>
      <c r="I159" s="31"/>
      <c r="J159" s="26" t="s">
        <v>775</v>
      </c>
      <c r="K159" s="27">
        <v>990</v>
      </c>
      <c r="L159" s="31" t="s">
        <v>769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559</v>
      </c>
      <c r="D160" s="31" t="s">
        <v>821</v>
      </c>
      <c r="E160" s="31"/>
      <c r="F160" s="31" t="s">
        <v>858</v>
      </c>
      <c r="G160" s="27">
        <v>20000</v>
      </c>
      <c r="H160" s="31" t="s">
        <v>520</v>
      </c>
      <c r="I160" s="31"/>
      <c r="J160" s="26" t="s">
        <v>821</v>
      </c>
      <c r="K160" s="27">
        <v>20000</v>
      </c>
      <c r="L160" s="31" t="s">
        <v>769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766</v>
      </c>
      <c r="D161" s="31" t="s">
        <v>906</v>
      </c>
      <c r="E161" s="31"/>
      <c r="F161" s="31" t="s">
        <v>915</v>
      </c>
      <c r="G161" s="27">
        <v>990</v>
      </c>
      <c r="H161" s="31" t="s">
        <v>63</v>
      </c>
      <c r="I161" s="31"/>
      <c r="J161" s="26" t="s">
        <v>775</v>
      </c>
      <c r="K161" s="27">
        <v>990</v>
      </c>
      <c r="L161" s="31" t="s">
        <v>769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831</v>
      </c>
      <c r="D162" s="31" t="s">
        <v>22</v>
      </c>
      <c r="E162" s="31"/>
      <c r="F162" s="31" t="s">
        <v>837</v>
      </c>
      <c r="G162" s="27">
        <v>53</v>
      </c>
      <c r="H162" s="31" t="s">
        <v>520</v>
      </c>
      <c r="I162" s="31" t="s">
        <v>869</v>
      </c>
      <c r="J162" s="26" t="s">
        <v>824</v>
      </c>
      <c r="K162" s="27">
        <v>53</v>
      </c>
      <c r="L162" s="31" t="s">
        <v>769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559</v>
      </c>
      <c r="D163" s="31" t="s">
        <v>22</v>
      </c>
      <c r="E163" s="31"/>
      <c r="F163" s="31" t="s">
        <v>916</v>
      </c>
      <c r="G163" s="27">
        <v>553</v>
      </c>
      <c r="H163" s="31" t="s">
        <v>520</v>
      </c>
      <c r="I163" s="31"/>
      <c r="J163" s="26" t="s">
        <v>824</v>
      </c>
      <c r="K163" s="27">
        <v>553</v>
      </c>
      <c r="L163" s="31" t="s">
        <v>769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766</v>
      </c>
      <c r="D164" s="31" t="s">
        <v>485</v>
      </c>
      <c r="E164" s="31"/>
      <c r="F164" s="31" t="s">
        <v>917</v>
      </c>
      <c r="G164" s="27">
        <v>7840</v>
      </c>
      <c r="H164" s="31" t="s">
        <v>63</v>
      </c>
      <c r="I164" s="31" t="s">
        <v>918</v>
      </c>
      <c r="J164" s="26" t="s">
        <v>768</v>
      </c>
      <c r="K164" s="27">
        <v>7840</v>
      </c>
      <c r="L164" s="31" t="s">
        <v>769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766</v>
      </c>
      <c r="D165" s="31" t="s">
        <v>576</v>
      </c>
      <c r="E165" s="31"/>
      <c r="F165" s="31" t="s">
        <v>576</v>
      </c>
      <c r="G165" s="27">
        <v>10000</v>
      </c>
      <c r="H165" s="31" t="s">
        <v>63</v>
      </c>
      <c r="I165" s="31"/>
      <c r="J165" s="26" t="s">
        <v>778</v>
      </c>
      <c r="K165" s="27">
        <v>10000</v>
      </c>
      <c r="L165" s="31" t="s">
        <v>769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766</v>
      </c>
      <c r="D166" s="31" t="s">
        <v>575</v>
      </c>
      <c r="E166" s="31" t="s">
        <v>772</v>
      </c>
      <c r="F166" s="31" t="s">
        <v>773</v>
      </c>
      <c r="G166" s="27">
        <v>6800</v>
      </c>
      <c r="H166" s="31" t="s">
        <v>63</v>
      </c>
      <c r="I166" s="31" t="s">
        <v>859</v>
      </c>
      <c r="J166" s="26" t="s">
        <v>775</v>
      </c>
      <c r="K166" s="27">
        <v>6800</v>
      </c>
      <c r="L166" s="31" t="s">
        <v>769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766</v>
      </c>
      <c r="D167" s="31" t="s">
        <v>575</v>
      </c>
      <c r="E167" s="31" t="s">
        <v>785</v>
      </c>
      <c r="F167" s="31" t="s">
        <v>488</v>
      </c>
      <c r="G167" s="27">
        <v>17650</v>
      </c>
      <c r="H167" s="31" t="s">
        <v>63</v>
      </c>
      <c r="I167" s="31" t="s">
        <v>786</v>
      </c>
      <c r="J167" s="26" t="s">
        <v>775</v>
      </c>
      <c r="K167" s="27">
        <v>17650</v>
      </c>
      <c r="L167" s="31" t="s">
        <v>769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766</v>
      </c>
      <c r="D168" s="31" t="s">
        <v>796</v>
      </c>
      <c r="E168" s="31"/>
      <c r="F168" s="31" t="s">
        <v>488</v>
      </c>
      <c r="G168" s="27">
        <v>28250</v>
      </c>
      <c r="H168" s="31" t="s">
        <v>63</v>
      </c>
      <c r="I168" s="31" t="s">
        <v>919</v>
      </c>
      <c r="J168" s="26" t="s">
        <v>775</v>
      </c>
      <c r="K168" s="27">
        <v>28250</v>
      </c>
      <c r="L168" s="31" t="s">
        <v>769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831</v>
      </c>
      <c r="D169" s="31" t="s">
        <v>22</v>
      </c>
      <c r="E169" s="31"/>
      <c r="F169" s="31" t="s">
        <v>837</v>
      </c>
      <c r="G169" s="27">
        <v>53</v>
      </c>
      <c r="H169" s="31" t="s">
        <v>520</v>
      </c>
      <c r="I169" s="31" t="s">
        <v>869</v>
      </c>
      <c r="J169" s="26" t="s">
        <v>824</v>
      </c>
      <c r="K169" s="27">
        <v>53</v>
      </c>
      <c r="L169" s="31" t="s">
        <v>769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803</v>
      </c>
      <c r="D170" s="31" t="s">
        <v>816</v>
      </c>
      <c r="E170" s="31"/>
      <c r="F170" s="31" t="s">
        <v>81</v>
      </c>
      <c r="G170" s="27">
        <v>2785740</v>
      </c>
      <c r="H170" s="31" t="s">
        <v>807</v>
      </c>
      <c r="I170" s="31"/>
      <c r="J170" s="26" t="s">
        <v>805</v>
      </c>
      <c r="K170" s="27">
        <v>2785740</v>
      </c>
      <c r="L170" s="31" t="s">
        <v>769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816</v>
      </c>
      <c r="D171" s="31" t="s">
        <v>803</v>
      </c>
      <c r="E171" s="31"/>
      <c r="F171" s="31" t="s">
        <v>81</v>
      </c>
      <c r="G171" s="27">
        <v>2785740</v>
      </c>
      <c r="H171" s="31" t="s">
        <v>804</v>
      </c>
      <c r="I171" s="31"/>
      <c r="J171" s="26" t="s">
        <v>805</v>
      </c>
      <c r="K171" s="27">
        <v>2785740</v>
      </c>
      <c r="L171" s="31" t="s">
        <v>769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766</v>
      </c>
      <c r="D172" s="31" t="s">
        <v>575</v>
      </c>
      <c r="E172" s="31" t="s">
        <v>772</v>
      </c>
      <c r="F172" s="31" t="s">
        <v>773</v>
      </c>
      <c r="G172" s="27">
        <v>3000</v>
      </c>
      <c r="H172" s="31" t="s">
        <v>63</v>
      </c>
      <c r="I172" s="31" t="s">
        <v>920</v>
      </c>
      <c r="J172" s="26" t="s">
        <v>775</v>
      </c>
      <c r="K172" s="27">
        <v>3000</v>
      </c>
      <c r="L172" s="31" t="s">
        <v>769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816</v>
      </c>
      <c r="D173" s="31" t="s">
        <v>559</v>
      </c>
      <c r="E173" s="31"/>
      <c r="F173" s="31" t="s">
        <v>921</v>
      </c>
      <c r="G173" s="27">
        <v>20000</v>
      </c>
      <c r="H173" s="31" t="s">
        <v>807</v>
      </c>
      <c r="I173" s="31"/>
      <c r="J173" s="26" t="s">
        <v>839</v>
      </c>
      <c r="K173" s="27">
        <v>20000</v>
      </c>
      <c r="L173" s="31" t="s">
        <v>769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559</v>
      </c>
      <c r="D174" s="31" t="s">
        <v>816</v>
      </c>
      <c r="E174" s="31"/>
      <c r="F174" s="31" t="s">
        <v>921</v>
      </c>
      <c r="G174" s="27">
        <v>20000</v>
      </c>
      <c r="H174" s="31" t="s">
        <v>804</v>
      </c>
      <c r="I174" s="31"/>
      <c r="J174" s="26" t="s">
        <v>805</v>
      </c>
      <c r="K174" s="27">
        <v>20000</v>
      </c>
      <c r="L174" s="31" t="s">
        <v>769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816</v>
      </c>
      <c r="D175" s="31" t="s">
        <v>193</v>
      </c>
      <c r="E175" s="31"/>
      <c r="F175" s="31" t="s">
        <v>81</v>
      </c>
      <c r="G175" s="27">
        <v>16000</v>
      </c>
      <c r="H175" s="31" t="s">
        <v>807</v>
      </c>
      <c r="I175" s="31"/>
      <c r="J175" s="26" t="s">
        <v>805</v>
      </c>
      <c r="K175" s="27">
        <v>16000</v>
      </c>
      <c r="L175" s="31" t="s">
        <v>769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193</v>
      </c>
      <c r="D176" s="31" t="s">
        <v>816</v>
      </c>
      <c r="E176" s="31"/>
      <c r="F176" s="31" t="s">
        <v>81</v>
      </c>
      <c r="G176" s="27">
        <v>16000</v>
      </c>
      <c r="H176" s="31" t="s">
        <v>804</v>
      </c>
      <c r="I176" s="31"/>
      <c r="J176" s="26" t="s">
        <v>805</v>
      </c>
      <c r="K176" s="27">
        <v>16000</v>
      </c>
      <c r="L176" s="31" t="s">
        <v>769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861</v>
      </c>
      <c r="D177" s="31" t="s">
        <v>816</v>
      </c>
      <c r="E177" s="31"/>
      <c r="F177" s="31" t="s">
        <v>81</v>
      </c>
      <c r="G177" s="27">
        <v>150000</v>
      </c>
      <c r="H177" s="31" t="s">
        <v>804</v>
      </c>
      <c r="I177" s="31"/>
      <c r="J177" s="26" t="s">
        <v>805</v>
      </c>
      <c r="K177" s="27">
        <v>150000</v>
      </c>
      <c r="L177" s="31" t="s">
        <v>769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816</v>
      </c>
      <c r="D178" s="31" t="s">
        <v>861</v>
      </c>
      <c r="E178" s="31"/>
      <c r="F178" s="31" t="s">
        <v>81</v>
      </c>
      <c r="G178" s="27">
        <v>150000</v>
      </c>
      <c r="H178" s="31" t="s">
        <v>807</v>
      </c>
      <c r="I178" s="31"/>
      <c r="J178" s="26" t="s">
        <v>805</v>
      </c>
      <c r="K178" s="27">
        <v>150000</v>
      </c>
      <c r="L178" s="31" t="s">
        <v>769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922</v>
      </c>
      <c r="D179" s="31" t="s">
        <v>816</v>
      </c>
      <c r="E179" s="31"/>
      <c r="F179" s="31" t="s">
        <v>81</v>
      </c>
      <c r="G179" s="27">
        <v>150000</v>
      </c>
      <c r="H179" s="31" t="s">
        <v>804</v>
      </c>
      <c r="I179" s="31"/>
      <c r="J179" s="26" t="s">
        <v>805</v>
      </c>
      <c r="K179" s="27">
        <v>150000</v>
      </c>
      <c r="L179" s="31" t="s">
        <v>769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816</v>
      </c>
      <c r="D180" s="31" t="s">
        <v>922</v>
      </c>
      <c r="E180" s="31"/>
      <c r="F180" s="31" t="s">
        <v>81</v>
      </c>
      <c r="G180" s="27">
        <v>150000</v>
      </c>
      <c r="H180" s="31" t="s">
        <v>807</v>
      </c>
      <c r="I180" s="31"/>
      <c r="J180" s="26" t="s">
        <v>829</v>
      </c>
      <c r="K180" s="27">
        <v>150000</v>
      </c>
      <c r="L180" s="31" t="s">
        <v>769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196</v>
      </c>
      <c r="D181" s="31" t="s">
        <v>527</v>
      </c>
      <c r="E181" s="31"/>
      <c r="F181" s="31" t="s">
        <v>923</v>
      </c>
      <c r="G181" s="27">
        <v>20000</v>
      </c>
      <c r="H181" s="31" t="s">
        <v>807</v>
      </c>
      <c r="I181" s="31"/>
      <c r="J181" s="26" t="s">
        <v>830</v>
      </c>
      <c r="K181" s="27">
        <v>20000</v>
      </c>
      <c r="L181" s="31" t="s">
        <v>769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527</v>
      </c>
      <c r="D182" s="31" t="s">
        <v>196</v>
      </c>
      <c r="E182" s="31"/>
      <c r="F182" s="31" t="s">
        <v>923</v>
      </c>
      <c r="G182" s="27">
        <v>20000</v>
      </c>
      <c r="H182" s="31" t="s">
        <v>804</v>
      </c>
      <c r="I182" s="31"/>
      <c r="J182" s="26" t="s">
        <v>805</v>
      </c>
      <c r="K182" s="27">
        <v>20000</v>
      </c>
      <c r="L182" s="31" t="s">
        <v>769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816</v>
      </c>
      <c r="D183" s="31" t="s">
        <v>196</v>
      </c>
      <c r="E183" s="31"/>
      <c r="F183" s="31" t="s">
        <v>81</v>
      </c>
      <c r="G183" s="27">
        <v>20000</v>
      </c>
      <c r="H183" s="31" t="s">
        <v>807</v>
      </c>
      <c r="I183" s="31"/>
      <c r="J183" s="26" t="s">
        <v>805</v>
      </c>
      <c r="K183" s="27">
        <v>20000</v>
      </c>
      <c r="L183" s="31" t="s">
        <v>769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196</v>
      </c>
      <c r="D184" s="31" t="s">
        <v>816</v>
      </c>
      <c r="E184" s="31"/>
      <c r="F184" s="31" t="s">
        <v>81</v>
      </c>
      <c r="G184" s="27">
        <v>20000</v>
      </c>
      <c r="H184" s="31" t="s">
        <v>804</v>
      </c>
      <c r="I184" s="31"/>
      <c r="J184" s="26" t="s">
        <v>805</v>
      </c>
      <c r="K184" s="27">
        <v>20000</v>
      </c>
      <c r="L184" s="31" t="s">
        <v>769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816</v>
      </c>
      <c r="D185" s="31" t="s">
        <v>924</v>
      </c>
      <c r="E185" s="31"/>
      <c r="F185" s="31" t="s">
        <v>81</v>
      </c>
      <c r="G185" s="27">
        <v>200000</v>
      </c>
      <c r="H185" s="31" t="s">
        <v>807</v>
      </c>
      <c r="I185" s="31"/>
      <c r="J185" s="26" t="s">
        <v>842</v>
      </c>
      <c r="K185" s="27">
        <v>200000</v>
      </c>
      <c r="L185" s="31" t="s">
        <v>769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924</v>
      </c>
      <c r="D186" s="31" t="s">
        <v>816</v>
      </c>
      <c r="E186" s="31"/>
      <c r="F186" s="31" t="s">
        <v>81</v>
      </c>
      <c r="G186" s="27">
        <v>200000</v>
      </c>
      <c r="H186" s="31" t="s">
        <v>804</v>
      </c>
      <c r="I186" s="31"/>
      <c r="J186" s="26" t="s">
        <v>805</v>
      </c>
      <c r="K186" s="27">
        <v>200000</v>
      </c>
      <c r="L186" s="31" t="s">
        <v>769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196</v>
      </c>
      <c r="D187" s="31" t="s">
        <v>866</v>
      </c>
      <c r="E187" s="31"/>
      <c r="F187" s="31" t="s">
        <v>81</v>
      </c>
      <c r="G187" s="27">
        <v>34000</v>
      </c>
      <c r="H187" s="31" t="s">
        <v>807</v>
      </c>
      <c r="I187" s="31"/>
      <c r="J187" s="26" t="s">
        <v>805</v>
      </c>
      <c r="K187" s="27">
        <v>34000</v>
      </c>
      <c r="L187" s="31" t="s">
        <v>769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866</v>
      </c>
      <c r="D188" s="31" t="s">
        <v>196</v>
      </c>
      <c r="E188" s="31"/>
      <c r="F188" s="31" t="s">
        <v>81</v>
      </c>
      <c r="G188" s="27">
        <v>34000</v>
      </c>
      <c r="H188" s="31" t="s">
        <v>804</v>
      </c>
      <c r="I188" s="31"/>
      <c r="J188" s="26" t="s">
        <v>805</v>
      </c>
      <c r="K188" s="27">
        <v>34000</v>
      </c>
      <c r="L188" s="31" t="s">
        <v>769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861</v>
      </c>
      <c r="D189" s="31" t="s">
        <v>925</v>
      </c>
      <c r="E189" s="31"/>
      <c r="F189" s="31" t="s">
        <v>81</v>
      </c>
      <c r="G189" s="27">
        <v>200000</v>
      </c>
      <c r="H189" s="31" t="s">
        <v>807</v>
      </c>
      <c r="I189" s="31"/>
      <c r="J189" s="26" t="s">
        <v>805</v>
      </c>
      <c r="K189" s="27">
        <v>200000</v>
      </c>
      <c r="L189" s="31" t="s">
        <v>769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925</v>
      </c>
      <c r="D190" s="31" t="s">
        <v>861</v>
      </c>
      <c r="E190" s="31"/>
      <c r="F190" s="31" t="s">
        <v>81</v>
      </c>
      <c r="G190" s="27">
        <v>200000</v>
      </c>
      <c r="H190" s="31" t="s">
        <v>804</v>
      </c>
      <c r="I190" s="31"/>
      <c r="J190" s="26" t="s">
        <v>805</v>
      </c>
      <c r="K190" s="27">
        <v>200000</v>
      </c>
      <c r="L190" s="31" t="s">
        <v>769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831</v>
      </c>
      <c r="D191" s="31" t="s">
        <v>22</v>
      </c>
      <c r="E191" s="31"/>
      <c r="F191" s="31" t="s">
        <v>837</v>
      </c>
      <c r="G191" s="27">
        <v>60</v>
      </c>
      <c r="H191" s="31" t="s">
        <v>520</v>
      </c>
      <c r="I191" s="31" t="s">
        <v>869</v>
      </c>
      <c r="J191" s="26" t="s">
        <v>824</v>
      </c>
      <c r="K191" s="27">
        <v>60</v>
      </c>
      <c r="L191" s="31" t="s">
        <v>769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766</v>
      </c>
      <c r="D192" s="31" t="s">
        <v>485</v>
      </c>
      <c r="E192" s="31"/>
      <c r="F192" s="31" t="s">
        <v>926</v>
      </c>
      <c r="G192" s="27">
        <v>4890</v>
      </c>
      <c r="H192" s="31" t="s">
        <v>63</v>
      </c>
      <c r="I192" s="31"/>
      <c r="J192" s="26" t="s">
        <v>768</v>
      </c>
      <c r="K192" s="27">
        <v>4890</v>
      </c>
      <c r="L192" s="31" t="s">
        <v>769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193</v>
      </c>
      <c r="D193" s="31" t="s">
        <v>22</v>
      </c>
      <c r="E193" s="31"/>
      <c r="F193" s="31" t="s">
        <v>927</v>
      </c>
      <c r="G193" s="27">
        <v>15375</v>
      </c>
      <c r="H193" s="31" t="s">
        <v>63</v>
      </c>
      <c r="I193" s="31"/>
      <c r="J193" s="26" t="s">
        <v>768</v>
      </c>
      <c r="K193" s="27">
        <v>15375</v>
      </c>
      <c r="L193" s="31" t="s">
        <v>769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766</v>
      </c>
      <c r="D194" s="31" t="s">
        <v>575</v>
      </c>
      <c r="E194" s="31" t="s">
        <v>772</v>
      </c>
      <c r="F194" s="31" t="s">
        <v>928</v>
      </c>
      <c r="G194" s="27">
        <v>15500</v>
      </c>
      <c r="H194" s="31" t="s">
        <v>63</v>
      </c>
      <c r="I194" s="31"/>
      <c r="J194" s="26" t="s">
        <v>775</v>
      </c>
      <c r="K194" s="27">
        <v>15500</v>
      </c>
      <c r="L194" s="31" t="s">
        <v>769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766</v>
      </c>
      <c r="D195" s="31" t="s">
        <v>575</v>
      </c>
      <c r="E195" s="31" t="s">
        <v>772</v>
      </c>
      <c r="F195" s="31" t="s">
        <v>773</v>
      </c>
      <c r="G195" s="27">
        <v>2200</v>
      </c>
      <c r="H195" s="31" t="s">
        <v>63</v>
      </c>
      <c r="I195" s="31" t="s">
        <v>929</v>
      </c>
      <c r="J195" s="26" t="s">
        <v>775</v>
      </c>
      <c r="K195" s="27">
        <v>2200</v>
      </c>
      <c r="L195" s="31" t="s">
        <v>769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831</v>
      </c>
      <c r="D196" s="31" t="s">
        <v>22</v>
      </c>
      <c r="E196" s="31"/>
      <c r="F196" s="31" t="s">
        <v>837</v>
      </c>
      <c r="G196" s="27">
        <v>60</v>
      </c>
      <c r="H196" s="31" t="s">
        <v>520</v>
      </c>
      <c r="I196" s="31" t="s">
        <v>869</v>
      </c>
      <c r="J196" s="26" t="s">
        <v>824</v>
      </c>
      <c r="K196" s="27">
        <v>60</v>
      </c>
      <c r="L196" s="31" t="s">
        <v>769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866</v>
      </c>
      <c r="D197" s="31" t="s">
        <v>575</v>
      </c>
      <c r="E197" s="31" t="s">
        <v>781</v>
      </c>
      <c r="F197" s="31" t="s">
        <v>930</v>
      </c>
      <c r="G197" s="27">
        <v>12000</v>
      </c>
      <c r="H197" s="31" t="s">
        <v>63</v>
      </c>
      <c r="I197" s="31" t="s">
        <v>931</v>
      </c>
      <c r="J197" s="26" t="s">
        <v>775</v>
      </c>
      <c r="K197" s="27">
        <v>12000</v>
      </c>
      <c r="L197" s="31" t="s">
        <v>769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780</v>
      </c>
      <c r="D198" s="31" t="s">
        <v>843</v>
      </c>
      <c r="E198" s="31" t="s">
        <v>932</v>
      </c>
      <c r="F198" s="31" t="s">
        <v>933</v>
      </c>
      <c r="G198" s="27">
        <v>138056</v>
      </c>
      <c r="H198" s="31" t="s">
        <v>63</v>
      </c>
      <c r="I198" s="31"/>
      <c r="J198" s="26" t="s">
        <v>768</v>
      </c>
      <c r="K198" s="27">
        <v>138056</v>
      </c>
      <c r="L198" s="31" t="s">
        <v>769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780</v>
      </c>
      <c r="D199" s="31" t="s">
        <v>817</v>
      </c>
      <c r="E199" s="31"/>
      <c r="F199" s="31" t="s">
        <v>451</v>
      </c>
      <c r="G199" s="27">
        <v>140390</v>
      </c>
      <c r="H199" s="31" t="s">
        <v>63</v>
      </c>
      <c r="I199" s="31"/>
      <c r="J199" s="26" t="s">
        <v>768</v>
      </c>
      <c r="K199" s="27">
        <v>140390</v>
      </c>
      <c r="L199" s="31" t="s">
        <v>769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831</v>
      </c>
      <c r="D200" s="31" t="s">
        <v>22</v>
      </c>
      <c r="E200" s="31"/>
      <c r="F200" s="31" t="s">
        <v>837</v>
      </c>
      <c r="G200" s="27">
        <v>59</v>
      </c>
      <c r="H200" s="31" t="s">
        <v>520</v>
      </c>
      <c r="I200" s="31" t="s">
        <v>869</v>
      </c>
      <c r="J200" s="26" t="s">
        <v>824</v>
      </c>
      <c r="K200" s="27">
        <v>59</v>
      </c>
      <c r="L200" s="31" t="s">
        <v>769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766</v>
      </c>
      <c r="D201" s="31" t="s">
        <v>576</v>
      </c>
      <c r="E201" s="31"/>
      <c r="F201" s="31" t="s">
        <v>576</v>
      </c>
      <c r="G201" s="27">
        <v>9000</v>
      </c>
      <c r="H201" s="31" t="s">
        <v>63</v>
      </c>
      <c r="I201" s="31"/>
      <c r="J201" s="26" t="s">
        <v>778</v>
      </c>
      <c r="K201" s="27">
        <v>9000</v>
      </c>
      <c r="L201" s="31" t="s">
        <v>769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766</v>
      </c>
      <c r="D202" s="31" t="s">
        <v>575</v>
      </c>
      <c r="E202" s="31" t="s">
        <v>781</v>
      </c>
      <c r="F202" s="31" t="s">
        <v>911</v>
      </c>
      <c r="G202" s="27">
        <v>11000</v>
      </c>
      <c r="H202" s="31" t="s">
        <v>63</v>
      </c>
      <c r="I202" s="31"/>
      <c r="J202" s="26" t="s">
        <v>775</v>
      </c>
      <c r="K202" s="27">
        <v>11000</v>
      </c>
      <c r="L202" s="31" t="s">
        <v>769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175</v>
      </c>
      <c r="D203" s="31" t="s">
        <v>22</v>
      </c>
      <c r="E203" s="31"/>
      <c r="F203" s="31" t="s">
        <v>934</v>
      </c>
      <c r="G203" s="27">
        <v>1</v>
      </c>
      <c r="H203" s="31" t="s">
        <v>520</v>
      </c>
      <c r="I203" s="31"/>
      <c r="J203" s="26" t="s">
        <v>824</v>
      </c>
      <c r="K203" s="27">
        <v>1</v>
      </c>
      <c r="L203" s="31" t="s">
        <v>769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766</v>
      </c>
      <c r="D204" s="31" t="s">
        <v>485</v>
      </c>
      <c r="E204" s="31"/>
      <c r="F204" s="31" t="s">
        <v>486</v>
      </c>
      <c r="G204" s="27">
        <v>7890</v>
      </c>
      <c r="H204" s="31" t="s">
        <v>63</v>
      </c>
      <c r="I204" s="31"/>
      <c r="J204" s="26" t="s">
        <v>768</v>
      </c>
      <c r="K204" s="27">
        <v>7890</v>
      </c>
      <c r="L204" s="31" t="s">
        <v>769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766</v>
      </c>
      <c r="D205" s="31" t="s">
        <v>575</v>
      </c>
      <c r="E205" s="31" t="s">
        <v>781</v>
      </c>
      <c r="F205" s="31" t="s">
        <v>935</v>
      </c>
      <c r="G205" s="27">
        <v>57340</v>
      </c>
      <c r="H205" s="31" t="s">
        <v>63</v>
      </c>
      <c r="I205" s="31"/>
      <c r="J205" s="26" t="s">
        <v>775</v>
      </c>
      <c r="K205" s="27">
        <v>57340</v>
      </c>
      <c r="L205" s="31" t="s">
        <v>769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196</v>
      </c>
      <c r="D206" s="31" t="s">
        <v>575</v>
      </c>
      <c r="E206" s="31" t="s">
        <v>781</v>
      </c>
      <c r="F206" s="31" t="s">
        <v>936</v>
      </c>
      <c r="G206" s="27">
        <v>-45600</v>
      </c>
      <c r="H206" s="31" t="s">
        <v>63</v>
      </c>
      <c r="I206" s="31"/>
      <c r="J206" s="26" t="s">
        <v>775</v>
      </c>
      <c r="K206" s="27">
        <v>-45600</v>
      </c>
      <c r="L206" s="31" t="s">
        <v>769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831</v>
      </c>
      <c r="D207" s="31" t="s">
        <v>22</v>
      </c>
      <c r="E207" s="31"/>
      <c r="F207" s="31" t="s">
        <v>837</v>
      </c>
      <c r="G207" s="27">
        <v>60</v>
      </c>
      <c r="H207" s="31" t="s">
        <v>520</v>
      </c>
      <c r="I207" s="31" t="s">
        <v>869</v>
      </c>
      <c r="J207" s="26" t="s">
        <v>824</v>
      </c>
      <c r="K207" s="27">
        <v>60</v>
      </c>
      <c r="L207" s="31" t="s">
        <v>769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816</v>
      </c>
      <c r="D208" s="31" t="s">
        <v>22</v>
      </c>
      <c r="E208" s="31"/>
      <c r="F208" s="31" t="s">
        <v>897</v>
      </c>
      <c r="G208" s="27">
        <v>365</v>
      </c>
      <c r="H208" s="31" t="s">
        <v>520</v>
      </c>
      <c r="I208" s="31"/>
      <c r="J208" s="26" t="s">
        <v>824</v>
      </c>
      <c r="K208" s="27">
        <v>365</v>
      </c>
      <c r="L208" s="31" t="s">
        <v>769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816</v>
      </c>
      <c r="D209" s="31" t="s">
        <v>175</v>
      </c>
      <c r="E209" s="31"/>
      <c r="F209" s="31" t="s">
        <v>81</v>
      </c>
      <c r="G209" s="27">
        <v>16000</v>
      </c>
      <c r="H209" s="31" t="s">
        <v>807</v>
      </c>
      <c r="I209" s="31"/>
      <c r="J209" s="26" t="s">
        <v>805</v>
      </c>
      <c r="K209" s="27">
        <v>16000</v>
      </c>
      <c r="L209" s="31" t="s">
        <v>769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175</v>
      </c>
      <c r="D210" s="31" t="s">
        <v>816</v>
      </c>
      <c r="E210" s="31"/>
      <c r="F210" s="31" t="s">
        <v>81</v>
      </c>
      <c r="G210" s="27">
        <v>16000</v>
      </c>
      <c r="H210" s="31" t="s">
        <v>804</v>
      </c>
      <c r="I210" s="31"/>
      <c r="J210" s="26" t="s">
        <v>805</v>
      </c>
      <c r="K210" s="27">
        <v>16000</v>
      </c>
      <c r="L210" s="31" t="s">
        <v>769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766</v>
      </c>
      <c r="D211" s="31" t="s">
        <v>840</v>
      </c>
      <c r="E211" s="31"/>
      <c r="F211" s="31" t="s">
        <v>937</v>
      </c>
      <c r="G211" s="27">
        <v>34000</v>
      </c>
      <c r="H211" s="31" t="s">
        <v>63</v>
      </c>
      <c r="I211" s="31" t="s">
        <v>108</v>
      </c>
      <c r="J211" s="26" t="s">
        <v>787</v>
      </c>
      <c r="K211" s="27">
        <v>34000</v>
      </c>
      <c r="L211" s="31" t="s">
        <v>769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175</v>
      </c>
      <c r="D212" s="31" t="s">
        <v>22</v>
      </c>
      <c r="E212" s="31"/>
      <c r="F212" s="31" t="s">
        <v>938</v>
      </c>
      <c r="G212" s="27">
        <v>16386</v>
      </c>
      <c r="H212" s="31" t="s">
        <v>63</v>
      </c>
      <c r="I212" s="31"/>
      <c r="J212" s="26" t="s">
        <v>768</v>
      </c>
      <c r="K212" s="27">
        <v>16386</v>
      </c>
      <c r="L212" s="31" t="s">
        <v>769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766</v>
      </c>
      <c r="D213" s="31" t="s">
        <v>843</v>
      </c>
      <c r="E213" s="31" t="s">
        <v>844</v>
      </c>
      <c r="F213" s="31" t="s">
        <v>845</v>
      </c>
      <c r="G213" s="27">
        <v>4000</v>
      </c>
      <c r="H213" s="31" t="s">
        <v>63</v>
      </c>
      <c r="I213" s="31"/>
      <c r="J213" s="26" t="s">
        <v>775</v>
      </c>
      <c r="K213" s="27">
        <v>4000</v>
      </c>
      <c r="L213" s="31" t="s">
        <v>769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766</v>
      </c>
      <c r="D214" s="31" t="s">
        <v>843</v>
      </c>
      <c r="E214" s="31" t="s">
        <v>844</v>
      </c>
      <c r="F214" s="31" t="s">
        <v>847</v>
      </c>
      <c r="G214" s="27">
        <v>12900</v>
      </c>
      <c r="H214" s="31" t="s">
        <v>63</v>
      </c>
      <c r="I214" s="31"/>
      <c r="J214" s="26" t="s">
        <v>775</v>
      </c>
      <c r="K214" s="27">
        <v>12900</v>
      </c>
      <c r="L214" s="31" t="s">
        <v>769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766</v>
      </c>
      <c r="D215" s="31" t="s">
        <v>575</v>
      </c>
      <c r="E215" s="31" t="s">
        <v>781</v>
      </c>
      <c r="F215" s="31" t="s">
        <v>939</v>
      </c>
      <c r="G215" s="27">
        <v>9500</v>
      </c>
      <c r="H215" s="31" t="s">
        <v>63</v>
      </c>
      <c r="I215" s="31"/>
      <c r="J215" s="26" t="s">
        <v>775</v>
      </c>
      <c r="K215" s="27">
        <v>9500</v>
      </c>
      <c r="L215" s="31" t="s">
        <v>769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196</v>
      </c>
      <c r="D216" s="31" t="s">
        <v>22</v>
      </c>
      <c r="E216" s="31"/>
      <c r="F216" s="31" t="s">
        <v>934</v>
      </c>
      <c r="G216" s="27">
        <v>1</v>
      </c>
      <c r="H216" s="31" t="s">
        <v>520</v>
      </c>
      <c r="I216" s="31"/>
      <c r="J216" s="26" t="s">
        <v>824</v>
      </c>
      <c r="K216" s="27">
        <v>1</v>
      </c>
      <c r="L216" s="31" t="s">
        <v>769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831</v>
      </c>
      <c r="D217" s="31" t="s">
        <v>22</v>
      </c>
      <c r="E217" s="31"/>
      <c r="F217" s="31" t="s">
        <v>837</v>
      </c>
      <c r="G217" s="27">
        <v>59</v>
      </c>
      <c r="H217" s="31" t="s">
        <v>520</v>
      </c>
      <c r="I217" s="31" t="s">
        <v>869</v>
      </c>
      <c r="J217" s="26" t="s">
        <v>824</v>
      </c>
      <c r="K217" s="27">
        <v>59</v>
      </c>
      <c r="L217" s="31" t="s">
        <v>769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766</v>
      </c>
      <c r="D218" s="31" t="s">
        <v>576</v>
      </c>
      <c r="E218" s="31"/>
      <c r="F218" s="31" t="s">
        <v>576</v>
      </c>
      <c r="G218" s="27">
        <v>10000</v>
      </c>
      <c r="H218" s="31" t="s">
        <v>63</v>
      </c>
      <c r="I218" s="31"/>
      <c r="J218" s="26" t="s">
        <v>778</v>
      </c>
      <c r="K218" s="27">
        <v>10000</v>
      </c>
      <c r="L218" s="31" t="s">
        <v>769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766</v>
      </c>
      <c r="D219" s="31" t="s">
        <v>575</v>
      </c>
      <c r="E219" s="31" t="s">
        <v>772</v>
      </c>
      <c r="F219" s="31" t="s">
        <v>940</v>
      </c>
      <c r="G219" s="27">
        <v>2310</v>
      </c>
      <c r="H219" s="31" t="s">
        <v>63</v>
      </c>
      <c r="I219" s="31"/>
      <c r="J219" s="26" t="s">
        <v>775</v>
      </c>
      <c r="K219" s="27">
        <v>2310</v>
      </c>
      <c r="L219" s="31" t="s">
        <v>769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766</v>
      </c>
      <c r="D220" s="31" t="s">
        <v>22</v>
      </c>
      <c r="E220" s="31"/>
      <c r="F220" s="31" t="s">
        <v>941</v>
      </c>
      <c r="G220" s="27">
        <v>-46588</v>
      </c>
      <c r="H220" s="31" t="s">
        <v>63</v>
      </c>
      <c r="I220" s="31"/>
      <c r="J220" s="26" t="s">
        <v>849</v>
      </c>
      <c r="K220" s="27">
        <v>-46588</v>
      </c>
      <c r="L220" s="31" t="s">
        <v>769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887</v>
      </c>
      <c r="D221" s="31" t="s">
        <v>942</v>
      </c>
      <c r="E221" s="31"/>
      <c r="F221" s="31" t="s">
        <v>943</v>
      </c>
      <c r="G221" s="27">
        <v>56770</v>
      </c>
      <c r="H221" s="31" t="s">
        <v>63</v>
      </c>
      <c r="I221" s="31" t="s">
        <v>944</v>
      </c>
      <c r="J221" s="26" t="s">
        <v>768</v>
      </c>
      <c r="K221" s="27">
        <v>56770</v>
      </c>
      <c r="L221" s="31" t="s">
        <v>769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831</v>
      </c>
      <c r="D222" s="31" t="s">
        <v>22</v>
      </c>
      <c r="E222" s="31"/>
      <c r="F222" s="31" t="s">
        <v>837</v>
      </c>
      <c r="G222" s="27">
        <v>59</v>
      </c>
      <c r="H222" s="31" t="s">
        <v>520</v>
      </c>
      <c r="I222" s="31" t="s">
        <v>869</v>
      </c>
      <c r="J222" s="26" t="s">
        <v>824</v>
      </c>
      <c r="K222" s="27">
        <v>59</v>
      </c>
      <c r="L222" s="31" t="s">
        <v>769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766</v>
      </c>
      <c r="D223" s="31" t="s">
        <v>912</v>
      </c>
      <c r="E223" s="31" t="s">
        <v>580</v>
      </c>
      <c r="F223" s="31" t="s">
        <v>945</v>
      </c>
      <c r="G223" s="27">
        <v>69000</v>
      </c>
      <c r="H223" s="31" t="s">
        <v>63</v>
      </c>
      <c r="I223" s="31"/>
      <c r="J223" s="26" t="s">
        <v>783</v>
      </c>
      <c r="K223" s="27">
        <v>69000</v>
      </c>
      <c r="L223" s="31" t="s">
        <v>769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766</v>
      </c>
      <c r="D224" s="31" t="s">
        <v>946</v>
      </c>
      <c r="E224" s="31"/>
      <c r="F224" s="31" t="s">
        <v>797</v>
      </c>
      <c r="G224" s="27">
        <v>5000</v>
      </c>
      <c r="H224" s="31" t="s">
        <v>63</v>
      </c>
      <c r="I224" s="31"/>
      <c r="J224" s="26" t="s">
        <v>775</v>
      </c>
      <c r="K224" s="27">
        <v>5000</v>
      </c>
      <c r="L224" s="31" t="s">
        <v>769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816</v>
      </c>
      <c r="D225" s="31" t="s">
        <v>947</v>
      </c>
      <c r="E225" s="31"/>
      <c r="F225" s="31" t="s">
        <v>948</v>
      </c>
      <c r="G225" s="27">
        <v>5000</v>
      </c>
      <c r="H225" s="31" t="s">
        <v>63</v>
      </c>
      <c r="I225" s="31"/>
      <c r="J225" s="26" t="s">
        <v>775</v>
      </c>
      <c r="K225" s="27">
        <v>5000</v>
      </c>
      <c r="L225" s="31" t="s">
        <v>769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766</v>
      </c>
      <c r="D226" s="31" t="s">
        <v>576</v>
      </c>
      <c r="E226" s="31"/>
      <c r="F226" s="31" t="s">
        <v>576</v>
      </c>
      <c r="G226" s="27">
        <v>1000</v>
      </c>
      <c r="H226" s="31" t="s">
        <v>63</v>
      </c>
      <c r="I226" s="31" t="s">
        <v>949</v>
      </c>
      <c r="J226" s="26" t="s">
        <v>778</v>
      </c>
      <c r="K226" s="27">
        <v>1000</v>
      </c>
      <c r="L226" s="31" t="s">
        <v>769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831</v>
      </c>
      <c r="D227" s="31" t="s">
        <v>22</v>
      </c>
      <c r="E227" s="31"/>
      <c r="F227" s="31" t="s">
        <v>837</v>
      </c>
      <c r="G227" s="27">
        <v>59</v>
      </c>
      <c r="H227" s="31" t="s">
        <v>520</v>
      </c>
      <c r="I227" s="31" t="s">
        <v>869</v>
      </c>
      <c r="J227" s="26" t="s">
        <v>824</v>
      </c>
      <c r="K227" s="27">
        <v>59</v>
      </c>
      <c r="L227" s="31" t="s">
        <v>769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924</v>
      </c>
      <c r="D228" s="31" t="s">
        <v>22</v>
      </c>
      <c r="E228" s="31"/>
      <c r="F228" s="31" t="s">
        <v>950</v>
      </c>
      <c r="G228" s="27">
        <v>16544</v>
      </c>
      <c r="H228" s="31" t="s">
        <v>63</v>
      </c>
      <c r="I228" s="31"/>
      <c r="J228" s="26" t="s">
        <v>768</v>
      </c>
      <c r="K228" s="27">
        <v>16544</v>
      </c>
      <c r="L228" s="31" t="s">
        <v>769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196</v>
      </c>
      <c r="D229" s="31" t="s">
        <v>866</v>
      </c>
      <c r="E229" s="31"/>
      <c r="F229" s="31" t="s">
        <v>81</v>
      </c>
      <c r="G229" s="27">
        <v>45600</v>
      </c>
      <c r="H229" s="31" t="s">
        <v>807</v>
      </c>
      <c r="I229" s="31" t="s">
        <v>951</v>
      </c>
      <c r="J229" s="26" t="s">
        <v>805</v>
      </c>
      <c r="K229" s="27">
        <v>45600</v>
      </c>
      <c r="L229" s="31" t="s">
        <v>769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866</v>
      </c>
      <c r="D230" s="31" t="s">
        <v>196</v>
      </c>
      <c r="E230" s="31"/>
      <c r="F230" s="31" t="s">
        <v>81</v>
      </c>
      <c r="G230" s="27">
        <v>45600</v>
      </c>
      <c r="H230" s="31" t="s">
        <v>804</v>
      </c>
      <c r="I230" s="31" t="s">
        <v>951</v>
      </c>
      <c r="J230" s="26" t="s">
        <v>805</v>
      </c>
      <c r="K230" s="27">
        <v>45600</v>
      </c>
      <c r="L230" s="31" t="s">
        <v>769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766</v>
      </c>
      <c r="D231" s="31" t="s">
        <v>485</v>
      </c>
      <c r="E231" s="31"/>
      <c r="F231" s="31" t="s">
        <v>767</v>
      </c>
      <c r="G231" s="27">
        <v>845</v>
      </c>
      <c r="H231" s="31" t="s">
        <v>63</v>
      </c>
      <c r="I231" s="31"/>
      <c r="J231" s="26" t="s">
        <v>768</v>
      </c>
      <c r="K231" s="27">
        <v>845</v>
      </c>
      <c r="L231" s="31" t="s">
        <v>769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780</v>
      </c>
      <c r="D232" s="31" t="s">
        <v>576</v>
      </c>
      <c r="E232" s="31"/>
      <c r="F232" s="31" t="s">
        <v>576</v>
      </c>
      <c r="G232" s="27">
        <v>9000</v>
      </c>
      <c r="H232" s="31" t="s">
        <v>63</v>
      </c>
      <c r="I232" s="31"/>
      <c r="J232" s="26" t="s">
        <v>778</v>
      </c>
      <c r="K232" s="27">
        <v>9000</v>
      </c>
      <c r="L232" s="31" t="s">
        <v>769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766</v>
      </c>
      <c r="D233" s="31" t="s">
        <v>485</v>
      </c>
      <c r="E233" s="31"/>
      <c r="F233" s="31" t="s">
        <v>777</v>
      </c>
      <c r="G233" s="27">
        <v>9000</v>
      </c>
      <c r="H233" s="31" t="s">
        <v>63</v>
      </c>
      <c r="I233" s="31"/>
      <c r="J233" s="26" t="s">
        <v>768</v>
      </c>
      <c r="K233" s="27">
        <v>9000</v>
      </c>
      <c r="L233" s="31" t="s">
        <v>769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196</v>
      </c>
      <c r="D234" s="31" t="s">
        <v>843</v>
      </c>
      <c r="E234" s="31" t="s">
        <v>844</v>
      </c>
      <c r="F234" s="31" t="s">
        <v>874</v>
      </c>
      <c r="G234" s="27">
        <v>-4900</v>
      </c>
      <c r="H234" s="31" t="s">
        <v>63</v>
      </c>
      <c r="I234" s="31" t="s">
        <v>952</v>
      </c>
      <c r="J234" s="26" t="s">
        <v>775</v>
      </c>
      <c r="K234" s="27">
        <v>-4900</v>
      </c>
      <c r="L234" s="31" t="s">
        <v>769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780</v>
      </c>
      <c r="D235" s="31" t="s">
        <v>575</v>
      </c>
      <c r="E235" s="31" t="s">
        <v>781</v>
      </c>
      <c r="F235" s="31" t="s">
        <v>953</v>
      </c>
      <c r="G235" s="27">
        <v>12900</v>
      </c>
      <c r="H235" s="31" t="s">
        <v>63</v>
      </c>
      <c r="I235" s="31"/>
      <c r="J235" s="26" t="s">
        <v>775</v>
      </c>
      <c r="K235" s="27">
        <v>12900</v>
      </c>
      <c r="L235" s="31" t="s">
        <v>769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831</v>
      </c>
      <c r="D236" s="31" t="s">
        <v>22</v>
      </c>
      <c r="E236" s="31"/>
      <c r="F236" s="31" t="s">
        <v>837</v>
      </c>
      <c r="G236" s="27">
        <v>60</v>
      </c>
      <c r="H236" s="31" t="s">
        <v>520</v>
      </c>
      <c r="I236" s="31" t="s">
        <v>869</v>
      </c>
      <c r="J236" s="26" t="s">
        <v>824</v>
      </c>
      <c r="K236" s="27">
        <v>60</v>
      </c>
      <c r="L236" s="31" t="s">
        <v>769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780</v>
      </c>
      <c r="D237" s="31" t="s">
        <v>575</v>
      </c>
      <c r="E237" s="31" t="s">
        <v>772</v>
      </c>
      <c r="F237" s="31" t="s">
        <v>814</v>
      </c>
      <c r="G237" s="27">
        <v>9400</v>
      </c>
      <c r="H237" s="31" t="s">
        <v>63</v>
      </c>
      <c r="I237" s="31"/>
      <c r="J237" s="26" t="s">
        <v>775</v>
      </c>
      <c r="K237" s="27">
        <v>9400</v>
      </c>
      <c r="L237" s="31" t="s">
        <v>769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831</v>
      </c>
      <c r="D238" s="31" t="s">
        <v>22</v>
      </c>
      <c r="E238" s="31"/>
      <c r="F238" s="31" t="s">
        <v>837</v>
      </c>
      <c r="G238" s="27">
        <v>61</v>
      </c>
      <c r="H238" s="31" t="s">
        <v>520</v>
      </c>
      <c r="I238" s="31" t="s">
        <v>869</v>
      </c>
      <c r="J238" s="26" t="s">
        <v>824</v>
      </c>
      <c r="K238" s="27">
        <v>61</v>
      </c>
      <c r="L238" s="31" t="s">
        <v>769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780</v>
      </c>
      <c r="D239" s="31" t="s">
        <v>575</v>
      </c>
      <c r="E239" s="31" t="s">
        <v>772</v>
      </c>
      <c r="F239" s="31" t="s">
        <v>814</v>
      </c>
      <c r="G239" s="27">
        <v>1700</v>
      </c>
      <c r="H239" s="31" t="s">
        <v>63</v>
      </c>
      <c r="I239" s="31"/>
      <c r="J239" s="26" t="s">
        <v>775</v>
      </c>
      <c r="K239" s="27">
        <v>1700</v>
      </c>
      <c r="L239" s="31" t="s">
        <v>769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196</v>
      </c>
      <c r="D240" s="31" t="s">
        <v>575</v>
      </c>
      <c r="E240" s="31" t="s">
        <v>781</v>
      </c>
      <c r="F240" s="31" t="s">
        <v>954</v>
      </c>
      <c r="G240" s="27">
        <v>-19000</v>
      </c>
      <c r="H240" s="31" t="s">
        <v>63</v>
      </c>
      <c r="I240" s="31" t="s">
        <v>955</v>
      </c>
      <c r="J240" s="26" t="s">
        <v>775</v>
      </c>
      <c r="K240" s="27">
        <v>-19000</v>
      </c>
      <c r="L240" s="31" t="s">
        <v>769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766</v>
      </c>
      <c r="D241" s="31" t="s">
        <v>575</v>
      </c>
      <c r="E241" s="31" t="s">
        <v>781</v>
      </c>
      <c r="F241" s="31" t="s">
        <v>853</v>
      </c>
      <c r="G241" s="27">
        <v>32500</v>
      </c>
      <c r="H241" s="31" t="s">
        <v>63</v>
      </c>
      <c r="I241" s="31" t="s">
        <v>956</v>
      </c>
      <c r="J241" s="26" t="s">
        <v>775</v>
      </c>
      <c r="K241" s="27">
        <v>32500</v>
      </c>
      <c r="L241" s="31" t="s">
        <v>769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780</v>
      </c>
      <c r="D242" s="31" t="s">
        <v>906</v>
      </c>
      <c r="E242" s="31"/>
      <c r="F242" s="31" t="s">
        <v>957</v>
      </c>
      <c r="G242" s="27">
        <v>10000</v>
      </c>
      <c r="H242" s="31" t="s">
        <v>63</v>
      </c>
      <c r="I242" s="31" t="s">
        <v>958</v>
      </c>
      <c r="J242" s="26" t="s">
        <v>775</v>
      </c>
      <c r="K242" s="27">
        <v>10000</v>
      </c>
      <c r="L242" s="31" t="s">
        <v>769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831</v>
      </c>
      <c r="D243" s="31" t="s">
        <v>22</v>
      </c>
      <c r="E243" s="31"/>
      <c r="F243" s="31" t="s">
        <v>837</v>
      </c>
      <c r="G243" s="27">
        <v>61</v>
      </c>
      <c r="H243" s="31" t="s">
        <v>520</v>
      </c>
      <c r="I243" s="31" t="s">
        <v>869</v>
      </c>
      <c r="J243" s="26" t="s">
        <v>824</v>
      </c>
      <c r="K243" s="27">
        <v>61</v>
      </c>
      <c r="L243" s="31" t="s">
        <v>769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766</v>
      </c>
      <c r="D244" s="31" t="s">
        <v>485</v>
      </c>
      <c r="E244" s="31"/>
      <c r="F244" s="31" t="s">
        <v>691</v>
      </c>
      <c r="G244" s="27">
        <v>1800</v>
      </c>
      <c r="H244" s="31" t="s">
        <v>63</v>
      </c>
      <c r="I244" s="31" t="s">
        <v>810</v>
      </c>
      <c r="J244" s="26" t="s">
        <v>768</v>
      </c>
      <c r="K244" s="27">
        <v>1800</v>
      </c>
      <c r="L244" s="31" t="s">
        <v>769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766</v>
      </c>
      <c r="D245" s="31" t="s">
        <v>485</v>
      </c>
      <c r="E245" s="31"/>
      <c r="F245" s="31" t="s">
        <v>808</v>
      </c>
      <c r="G245" s="27">
        <v>3230</v>
      </c>
      <c r="H245" s="31" t="s">
        <v>63</v>
      </c>
      <c r="I245" s="31"/>
      <c r="J245" s="26" t="s">
        <v>768</v>
      </c>
      <c r="K245" s="27">
        <v>3230</v>
      </c>
      <c r="L245" s="31" t="s">
        <v>769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780</v>
      </c>
      <c r="D246" s="31" t="s">
        <v>575</v>
      </c>
      <c r="E246" s="31" t="s">
        <v>781</v>
      </c>
      <c r="F246" s="31" t="s">
        <v>959</v>
      </c>
      <c r="G246" s="27">
        <v>9000</v>
      </c>
      <c r="H246" s="31" t="s">
        <v>63</v>
      </c>
      <c r="I246" s="31"/>
      <c r="J246" s="26" t="s">
        <v>775</v>
      </c>
      <c r="K246" s="27">
        <v>9000</v>
      </c>
      <c r="L246" s="31" t="s">
        <v>769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766</v>
      </c>
      <c r="D247" s="31" t="s">
        <v>796</v>
      </c>
      <c r="E247" s="31"/>
      <c r="F247" s="31" t="s">
        <v>488</v>
      </c>
      <c r="G247" s="27">
        <v>19570</v>
      </c>
      <c r="H247" s="31" t="s">
        <v>63</v>
      </c>
      <c r="I247" s="31" t="s">
        <v>960</v>
      </c>
      <c r="J247" s="26" t="s">
        <v>775</v>
      </c>
      <c r="K247" s="27">
        <v>19570</v>
      </c>
      <c r="L247" s="31" t="s">
        <v>769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766</v>
      </c>
      <c r="D248" s="31" t="s">
        <v>811</v>
      </c>
      <c r="E248" s="31"/>
      <c r="F248" s="31" t="s">
        <v>961</v>
      </c>
      <c r="G248" s="27">
        <v>18200</v>
      </c>
      <c r="H248" s="31" t="s">
        <v>63</v>
      </c>
      <c r="I248" s="31" t="s">
        <v>813</v>
      </c>
      <c r="J248" s="26" t="s">
        <v>768</v>
      </c>
      <c r="K248" s="27">
        <v>18200</v>
      </c>
      <c r="L248" s="31" t="s">
        <v>769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831</v>
      </c>
      <c r="D249" s="31" t="s">
        <v>22</v>
      </c>
      <c r="E249" s="31"/>
      <c r="F249" s="31" t="s">
        <v>837</v>
      </c>
      <c r="G249" s="27">
        <v>61</v>
      </c>
      <c r="H249" s="31" t="s">
        <v>520</v>
      </c>
      <c r="I249" s="31" t="s">
        <v>869</v>
      </c>
      <c r="J249" s="26" t="s">
        <v>824</v>
      </c>
      <c r="K249" s="27">
        <v>61</v>
      </c>
      <c r="L249" s="31" t="s">
        <v>769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780</v>
      </c>
      <c r="D250" s="31" t="s">
        <v>576</v>
      </c>
      <c r="E250" s="31"/>
      <c r="F250" s="31" t="s">
        <v>576</v>
      </c>
      <c r="G250" s="27">
        <v>5000</v>
      </c>
      <c r="H250" s="31" t="s">
        <v>63</v>
      </c>
      <c r="I250" s="31"/>
      <c r="J250" s="26" t="s">
        <v>778</v>
      </c>
      <c r="K250" s="27">
        <v>5000</v>
      </c>
      <c r="L250" s="31" t="s">
        <v>769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816</v>
      </c>
      <c r="D251" s="31" t="s">
        <v>817</v>
      </c>
      <c r="E251" s="31"/>
      <c r="F251" s="31" t="s">
        <v>82</v>
      </c>
      <c r="G251" s="27">
        <v>550000</v>
      </c>
      <c r="H251" s="31" t="s">
        <v>63</v>
      </c>
      <c r="I251" s="31"/>
      <c r="J251" s="26" t="s">
        <v>768</v>
      </c>
      <c r="K251" s="27">
        <v>550000</v>
      </c>
      <c r="L251" s="31" t="s">
        <v>769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780</v>
      </c>
      <c r="D252" s="31" t="s">
        <v>575</v>
      </c>
      <c r="E252" s="31" t="s">
        <v>781</v>
      </c>
      <c r="F252" s="31" t="s">
        <v>902</v>
      </c>
      <c r="G252" s="27">
        <v>14500</v>
      </c>
      <c r="H252" s="31" t="s">
        <v>63</v>
      </c>
      <c r="I252" s="31"/>
      <c r="J252" s="26" t="s">
        <v>775</v>
      </c>
      <c r="K252" s="27">
        <v>14500</v>
      </c>
      <c r="L252" s="31" t="s">
        <v>769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780</v>
      </c>
      <c r="D253" s="31" t="s">
        <v>575</v>
      </c>
      <c r="E253" s="31" t="s">
        <v>885</v>
      </c>
      <c r="F253" s="31" t="s">
        <v>773</v>
      </c>
      <c r="G253" s="27">
        <v>1500</v>
      </c>
      <c r="H253" s="31" t="s">
        <v>63</v>
      </c>
      <c r="I253" s="31" t="s">
        <v>962</v>
      </c>
      <c r="J253" s="26" t="s">
        <v>775</v>
      </c>
      <c r="K253" s="27">
        <v>1500</v>
      </c>
      <c r="L253" s="31" t="s">
        <v>769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780</v>
      </c>
      <c r="D254" s="31" t="s">
        <v>576</v>
      </c>
      <c r="E254" s="31"/>
      <c r="F254" s="31" t="s">
        <v>576</v>
      </c>
      <c r="G254" s="27">
        <v>4500</v>
      </c>
      <c r="H254" s="31" t="s">
        <v>63</v>
      </c>
      <c r="I254" s="31"/>
      <c r="J254" s="26" t="s">
        <v>778</v>
      </c>
      <c r="K254" s="27">
        <v>4500</v>
      </c>
      <c r="L254" s="31" t="s">
        <v>769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780</v>
      </c>
      <c r="D255" s="31" t="s">
        <v>575</v>
      </c>
      <c r="E255" s="31" t="s">
        <v>772</v>
      </c>
      <c r="F255" s="31" t="s">
        <v>884</v>
      </c>
      <c r="G255" s="27">
        <v>8800</v>
      </c>
      <c r="H255" s="31" t="s">
        <v>63</v>
      </c>
      <c r="I255" s="31"/>
      <c r="J255" s="26" t="s">
        <v>775</v>
      </c>
      <c r="K255" s="27">
        <v>8800</v>
      </c>
      <c r="L255" s="31" t="s">
        <v>769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780</v>
      </c>
      <c r="D256" s="31" t="s">
        <v>817</v>
      </c>
      <c r="E256" s="31"/>
      <c r="F256" s="31" t="s">
        <v>850</v>
      </c>
      <c r="G256" s="27">
        <v>23688</v>
      </c>
      <c r="H256" s="31" t="s">
        <v>63</v>
      </c>
      <c r="I256" s="31"/>
      <c r="J256" s="26" t="s">
        <v>768</v>
      </c>
      <c r="K256" s="27">
        <v>23688</v>
      </c>
      <c r="L256" s="31" t="s">
        <v>769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780</v>
      </c>
      <c r="D257" s="31" t="s">
        <v>796</v>
      </c>
      <c r="E257" s="31"/>
      <c r="F257" s="31" t="s">
        <v>797</v>
      </c>
      <c r="G257" s="27">
        <v>6000</v>
      </c>
      <c r="H257" s="31" t="s">
        <v>63</v>
      </c>
      <c r="I257" s="31" t="s">
        <v>963</v>
      </c>
      <c r="J257" s="26" t="s">
        <v>775</v>
      </c>
      <c r="K257" s="27">
        <v>6000</v>
      </c>
      <c r="L257" s="31" t="s">
        <v>769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831</v>
      </c>
      <c r="D258" s="31" t="s">
        <v>22</v>
      </c>
      <c r="E258" s="31"/>
      <c r="F258" s="31" t="s">
        <v>837</v>
      </c>
      <c r="G258" s="27">
        <v>61</v>
      </c>
      <c r="H258" s="31" t="s">
        <v>520</v>
      </c>
      <c r="I258" s="31" t="s">
        <v>869</v>
      </c>
      <c r="J258" s="26" t="s">
        <v>824</v>
      </c>
      <c r="K258" s="27">
        <v>61</v>
      </c>
      <c r="L258" s="31" t="s">
        <v>769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831</v>
      </c>
      <c r="D259" s="31" t="s">
        <v>22</v>
      </c>
      <c r="E259" s="31"/>
      <c r="F259" s="31" t="s">
        <v>837</v>
      </c>
      <c r="G259" s="27">
        <v>61</v>
      </c>
      <c r="H259" s="31" t="s">
        <v>520</v>
      </c>
      <c r="I259" s="31" t="s">
        <v>869</v>
      </c>
      <c r="J259" s="26" t="s">
        <v>824</v>
      </c>
      <c r="K259" s="27">
        <v>61</v>
      </c>
      <c r="L259" s="31" t="s">
        <v>769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780</v>
      </c>
      <c r="D260" s="31" t="s">
        <v>576</v>
      </c>
      <c r="E260" s="31"/>
      <c r="F260" s="31" t="s">
        <v>576</v>
      </c>
      <c r="G260" s="27">
        <v>4500</v>
      </c>
      <c r="H260" s="31" t="s">
        <v>63</v>
      </c>
      <c r="I260" s="31"/>
      <c r="J260" s="26" t="s">
        <v>778</v>
      </c>
      <c r="K260" s="27">
        <v>4500</v>
      </c>
      <c r="L260" s="31" t="s">
        <v>769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780</v>
      </c>
      <c r="D261" s="31" t="s">
        <v>912</v>
      </c>
      <c r="E261" s="31" t="s">
        <v>580</v>
      </c>
      <c r="F261" s="31" t="s">
        <v>964</v>
      </c>
      <c r="G261" s="27">
        <v>37000</v>
      </c>
      <c r="H261" s="31" t="s">
        <v>63</v>
      </c>
      <c r="I261" s="31"/>
      <c r="J261" s="26" t="s">
        <v>783</v>
      </c>
      <c r="K261" s="27">
        <v>37000</v>
      </c>
      <c r="L261" s="31" t="s">
        <v>769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780</v>
      </c>
      <c r="D262" s="31" t="s">
        <v>575</v>
      </c>
      <c r="E262" s="31" t="s">
        <v>772</v>
      </c>
      <c r="F262" s="31" t="s">
        <v>859</v>
      </c>
      <c r="G262" s="27">
        <v>6000</v>
      </c>
      <c r="H262" s="31" t="s">
        <v>63</v>
      </c>
      <c r="I262" s="31"/>
      <c r="J262" s="26" t="s">
        <v>775</v>
      </c>
      <c r="K262" s="27">
        <v>6000</v>
      </c>
      <c r="L262" s="31" t="s">
        <v>769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766</v>
      </c>
      <c r="D263" s="31" t="s">
        <v>575</v>
      </c>
      <c r="E263" s="31" t="s">
        <v>792</v>
      </c>
      <c r="F263" s="31" t="s">
        <v>853</v>
      </c>
      <c r="G263" s="27">
        <v>15400</v>
      </c>
      <c r="H263" s="31" t="s">
        <v>63</v>
      </c>
      <c r="I263" s="31" t="s">
        <v>965</v>
      </c>
      <c r="J263" s="26" t="s">
        <v>775</v>
      </c>
      <c r="K263" s="27">
        <v>15400</v>
      </c>
      <c r="L263" s="31" t="s">
        <v>769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196</v>
      </c>
      <c r="D264" s="31" t="s">
        <v>22</v>
      </c>
      <c r="E264" s="31"/>
      <c r="F264" s="31" t="s">
        <v>934</v>
      </c>
      <c r="G264" s="27">
        <v>1</v>
      </c>
      <c r="H264" s="31" t="s">
        <v>520</v>
      </c>
      <c r="I264" s="31"/>
      <c r="J264" s="26" t="s">
        <v>824</v>
      </c>
      <c r="K264" s="27">
        <v>1</v>
      </c>
      <c r="L264" s="31" t="s">
        <v>769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831</v>
      </c>
      <c r="D265" s="31" t="s">
        <v>22</v>
      </c>
      <c r="E265" s="31"/>
      <c r="F265" s="31" t="s">
        <v>837</v>
      </c>
      <c r="G265" s="27">
        <v>61</v>
      </c>
      <c r="H265" s="31" t="s">
        <v>520</v>
      </c>
      <c r="I265" s="31" t="s">
        <v>869</v>
      </c>
      <c r="J265" s="26" t="s">
        <v>824</v>
      </c>
      <c r="K265" s="27">
        <v>61</v>
      </c>
      <c r="L265" s="31" t="s">
        <v>769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780</v>
      </c>
      <c r="D266" s="31" t="s">
        <v>576</v>
      </c>
      <c r="E266" s="31"/>
      <c r="F266" s="31" t="s">
        <v>576</v>
      </c>
      <c r="G266" s="27">
        <v>4500</v>
      </c>
      <c r="H266" s="31" t="s">
        <v>63</v>
      </c>
      <c r="I266" s="31"/>
      <c r="J266" s="26" t="s">
        <v>778</v>
      </c>
      <c r="K266" s="27">
        <v>4500</v>
      </c>
      <c r="L266" s="31" t="s">
        <v>769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780</v>
      </c>
      <c r="D267" s="31" t="s">
        <v>575</v>
      </c>
      <c r="E267" s="31" t="s">
        <v>772</v>
      </c>
      <c r="F267" s="31" t="s">
        <v>773</v>
      </c>
      <c r="G267" s="27">
        <v>7200</v>
      </c>
      <c r="H267" s="31" t="s">
        <v>63</v>
      </c>
      <c r="I267" s="31"/>
      <c r="J267" s="26" t="s">
        <v>775</v>
      </c>
      <c r="K267" s="27">
        <v>7200</v>
      </c>
      <c r="L267" s="31" t="s">
        <v>769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196</v>
      </c>
      <c r="D268" s="31" t="s">
        <v>866</v>
      </c>
      <c r="E268" s="31"/>
      <c r="F268" s="31" t="s">
        <v>81</v>
      </c>
      <c r="G268" s="27">
        <v>4900</v>
      </c>
      <c r="H268" s="31" t="s">
        <v>807</v>
      </c>
      <c r="I268" s="31"/>
      <c r="J268" s="26" t="s">
        <v>805</v>
      </c>
      <c r="K268" s="27">
        <v>4900</v>
      </c>
      <c r="L268" s="31" t="s">
        <v>769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866</v>
      </c>
      <c r="D269" s="31" t="s">
        <v>196</v>
      </c>
      <c r="E269" s="31"/>
      <c r="F269" s="31" t="s">
        <v>81</v>
      </c>
      <c r="G269" s="27">
        <v>4900</v>
      </c>
      <c r="H269" s="31" t="s">
        <v>804</v>
      </c>
      <c r="I269" s="31"/>
      <c r="J269" s="26" t="s">
        <v>805</v>
      </c>
      <c r="K269" s="27">
        <v>4900</v>
      </c>
      <c r="L269" s="31" t="s">
        <v>769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780</v>
      </c>
      <c r="D270" s="31" t="s">
        <v>576</v>
      </c>
      <c r="E270" s="31"/>
      <c r="F270" s="31" t="s">
        <v>576</v>
      </c>
      <c r="G270" s="27">
        <v>5000</v>
      </c>
      <c r="H270" s="31" t="s">
        <v>63</v>
      </c>
      <c r="I270" s="31"/>
      <c r="J270" s="26" t="s">
        <v>778</v>
      </c>
      <c r="K270" s="27">
        <v>5000</v>
      </c>
      <c r="L270" s="31" t="s">
        <v>769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780</v>
      </c>
      <c r="D271" s="31" t="s">
        <v>575</v>
      </c>
      <c r="E271" s="31" t="s">
        <v>781</v>
      </c>
      <c r="F271" s="31" t="s">
        <v>872</v>
      </c>
      <c r="G271" s="27">
        <v>9000</v>
      </c>
      <c r="H271" s="31" t="s">
        <v>63</v>
      </c>
      <c r="I271" s="31"/>
      <c r="J271" s="26" t="s">
        <v>775</v>
      </c>
      <c r="K271" s="27">
        <v>9000</v>
      </c>
      <c r="L271" s="31" t="s">
        <v>769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831</v>
      </c>
      <c r="D272" s="31" t="s">
        <v>22</v>
      </c>
      <c r="E272" s="31"/>
      <c r="F272" s="31" t="s">
        <v>837</v>
      </c>
      <c r="G272" s="27">
        <v>61</v>
      </c>
      <c r="H272" s="31" t="s">
        <v>520</v>
      </c>
      <c r="I272" s="31" t="s">
        <v>869</v>
      </c>
      <c r="J272" s="26" t="s">
        <v>824</v>
      </c>
      <c r="K272" s="27">
        <v>61</v>
      </c>
      <c r="L272" s="31" t="s">
        <v>769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780</v>
      </c>
      <c r="D273" s="31" t="s">
        <v>843</v>
      </c>
      <c r="E273" s="31" t="s">
        <v>844</v>
      </c>
      <c r="F273" s="31" t="s">
        <v>966</v>
      </c>
      <c r="G273" s="27">
        <v>4000</v>
      </c>
      <c r="H273" s="31" t="s">
        <v>63</v>
      </c>
      <c r="I273" s="31"/>
      <c r="J273" s="26" t="s">
        <v>775</v>
      </c>
      <c r="K273" s="27">
        <v>4000</v>
      </c>
      <c r="L273" s="31" t="s">
        <v>769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780</v>
      </c>
      <c r="D274" s="31" t="s">
        <v>843</v>
      </c>
      <c r="E274" s="31" t="s">
        <v>844</v>
      </c>
      <c r="F274" s="31" t="s">
        <v>967</v>
      </c>
      <c r="G274" s="27">
        <v>5700</v>
      </c>
      <c r="H274" s="31" t="s">
        <v>63</v>
      </c>
      <c r="I274" s="31"/>
      <c r="J274" s="26" t="s">
        <v>775</v>
      </c>
      <c r="K274" s="27">
        <v>5700</v>
      </c>
      <c r="L274" s="31" t="s">
        <v>769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780</v>
      </c>
      <c r="D275" s="31" t="s">
        <v>796</v>
      </c>
      <c r="E275" s="31"/>
      <c r="F275" s="31" t="s">
        <v>797</v>
      </c>
      <c r="G275" s="27">
        <v>1000</v>
      </c>
      <c r="H275" s="31" t="s">
        <v>63</v>
      </c>
      <c r="I275" s="31" t="s">
        <v>968</v>
      </c>
      <c r="J275" s="26" t="s">
        <v>775</v>
      </c>
      <c r="K275" s="27">
        <v>1000</v>
      </c>
      <c r="L275" s="31" t="s">
        <v>769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766</v>
      </c>
      <c r="D276" s="31" t="s">
        <v>575</v>
      </c>
      <c r="E276" s="31" t="s">
        <v>785</v>
      </c>
      <c r="F276" s="31" t="s">
        <v>969</v>
      </c>
      <c r="G276" s="27">
        <v>14100</v>
      </c>
      <c r="H276" s="31" t="s">
        <v>63</v>
      </c>
      <c r="I276" s="31"/>
      <c r="J276" s="26" t="s">
        <v>775</v>
      </c>
      <c r="K276" s="27">
        <v>14100</v>
      </c>
      <c r="L276" s="31" t="s">
        <v>769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766</v>
      </c>
      <c r="D277" s="31" t="s">
        <v>576</v>
      </c>
      <c r="E277" s="31"/>
      <c r="F277" s="31" t="s">
        <v>576</v>
      </c>
      <c r="G277" s="27">
        <v>10000</v>
      </c>
      <c r="H277" s="31" t="s">
        <v>63</v>
      </c>
      <c r="I277" s="31"/>
      <c r="J277" s="26" t="s">
        <v>778</v>
      </c>
      <c r="K277" s="27">
        <v>10000</v>
      </c>
      <c r="L277" s="31" t="s">
        <v>769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559</v>
      </c>
      <c r="D278" s="31" t="s">
        <v>821</v>
      </c>
      <c r="E278" s="31"/>
      <c r="F278" s="31" t="s">
        <v>858</v>
      </c>
      <c r="G278" s="27">
        <v>20000</v>
      </c>
      <c r="H278" s="31" t="s">
        <v>520</v>
      </c>
      <c r="I278" s="31"/>
      <c r="J278" s="26" t="s">
        <v>821</v>
      </c>
      <c r="K278" s="27">
        <v>20000</v>
      </c>
      <c r="L278" s="31" t="s">
        <v>769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831</v>
      </c>
      <c r="D279" s="31" t="s">
        <v>22</v>
      </c>
      <c r="E279" s="31"/>
      <c r="F279" s="31" t="s">
        <v>837</v>
      </c>
      <c r="G279" s="27">
        <v>61</v>
      </c>
      <c r="H279" s="31" t="s">
        <v>520</v>
      </c>
      <c r="I279" s="31" t="s">
        <v>869</v>
      </c>
      <c r="J279" s="26" t="s">
        <v>824</v>
      </c>
      <c r="K279" s="27">
        <v>61</v>
      </c>
      <c r="L279" s="31" t="s">
        <v>769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766</v>
      </c>
      <c r="D280" s="31" t="s">
        <v>843</v>
      </c>
      <c r="E280" s="31" t="s">
        <v>844</v>
      </c>
      <c r="F280" s="31" t="s">
        <v>970</v>
      </c>
      <c r="G280" s="27">
        <v>9800</v>
      </c>
      <c r="H280" s="31" t="s">
        <v>63</v>
      </c>
      <c r="I280" s="31"/>
      <c r="J280" s="26" t="s">
        <v>775</v>
      </c>
      <c r="K280" s="27">
        <v>9800</v>
      </c>
      <c r="L280" s="31" t="s">
        <v>769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766</v>
      </c>
      <c r="D281" s="31" t="s">
        <v>575</v>
      </c>
      <c r="E281" s="31" t="s">
        <v>781</v>
      </c>
      <c r="F281" s="31" t="s">
        <v>940</v>
      </c>
      <c r="G281" s="27">
        <v>6900</v>
      </c>
      <c r="H281" s="31" t="s">
        <v>63</v>
      </c>
      <c r="I281" s="31"/>
      <c r="J281" s="26" t="s">
        <v>775</v>
      </c>
      <c r="K281" s="27">
        <v>6900</v>
      </c>
      <c r="L281" s="31" t="s">
        <v>769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766</v>
      </c>
      <c r="D282" s="31" t="s">
        <v>575</v>
      </c>
      <c r="E282" s="31" t="s">
        <v>781</v>
      </c>
      <c r="F282" s="31" t="s">
        <v>910</v>
      </c>
      <c r="G282" s="27">
        <v>13000</v>
      </c>
      <c r="H282" s="31" t="s">
        <v>63</v>
      </c>
      <c r="I282" s="31"/>
      <c r="J282" s="26" t="s">
        <v>775</v>
      </c>
      <c r="K282" s="27">
        <v>13000</v>
      </c>
      <c r="L282" s="31" t="s">
        <v>769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831</v>
      </c>
      <c r="D283" s="31" t="s">
        <v>22</v>
      </c>
      <c r="E283" s="31"/>
      <c r="F283" s="31" t="s">
        <v>837</v>
      </c>
      <c r="G283" s="27">
        <v>61</v>
      </c>
      <c r="H283" s="31" t="s">
        <v>520</v>
      </c>
      <c r="I283" s="31" t="s">
        <v>869</v>
      </c>
      <c r="J283" s="26" t="s">
        <v>824</v>
      </c>
      <c r="K283" s="27">
        <v>61</v>
      </c>
      <c r="L283" s="31" t="s">
        <v>769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816</v>
      </c>
      <c r="D284" s="31" t="s">
        <v>181</v>
      </c>
      <c r="E284" s="31"/>
      <c r="F284" s="31" t="s">
        <v>81</v>
      </c>
      <c r="G284" s="27">
        <v>56770</v>
      </c>
      <c r="H284" s="31" t="s">
        <v>807</v>
      </c>
      <c r="I284" s="31"/>
      <c r="J284" s="26" t="s">
        <v>805</v>
      </c>
      <c r="K284" s="27">
        <v>56770</v>
      </c>
      <c r="L284" s="31" t="s">
        <v>769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181</v>
      </c>
      <c r="D285" s="31" t="s">
        <v>816</v>
      </c>
      <c r="E285" s="31"/>
      <c r="F285" s="31" t="s">
        <v>81</v>
      </c>
      <c r="G285" s="27">
        <v>56770</v>
      </c>
      <c r="H285" s="31" t="s">
        <v>804</v>
      </c>
      <c r="I285" s="31"/>
      <c r="J285" s="26" t="s">
        <v>805</v>
      </c>
      <c r="K285" s="27">
        <v>56770</v>
      </c>
      <c r="L285" s="31" t="s">
        <v>769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780</v>
      </c>
      <c r="D286" s="31" t="s">
        <v>876</v>
      </c>
      <c r="E286" s="31"/>
      <c r="F286" s="31" t="s">
        <v>464</v>
      </c>
      <c r="G286" s="27">
        <v>48620</v>
      </c>
      <c r="H286" s="31" t="s">
        <v>63</v>
      </c>
      <c r="I286" s="31"/>
      <c r="J286" s="26" t="s">
        <v>768</v>
      </c>
      <c r="K286" s="27">
        <v>48620</v>
      </c>
      <c r="L286" s="31" t="s">
        <v>769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831</v>
      </c>
      <c r="D287" s="31" t="s">
        <v>22</v>
      </c>
      <c r="E287" s="31"/>
      <c r="F287" s="31" t="s">
        <v>837</v>
      </c>
      <c r="G287" s="27">
        <v>61</v>
      </c>
      <c r="H287" s="31" t="s">
        <v>520</v>
      </c>
      <c r="I287" s="31" t="s">
        <v>869</v>
      </c>
      <c r="J287" s="26" t="s">
        <v>824</v>
      </c>
      <c r="K287" s="27">
        <v>61</v>
      </c>
      <c r="L287" s="31" t="s">
        <v>769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181</v>
      </c>
      <c r="D288" s="31" t="s">
        <v>887</v>
      </c>
      <c r="E288" s="31"/>
      <c r="F288" s="31" t="s">
        <v>828</v>
      </c>
      <c r="G288" s="27">
        <v>56770</v>
      </c>
      <c r="H288" s="31" t="s">
        <v>807</v>
      </c>
      <c r="I288" s="31"/>
      <c r="J288" s="26" t="s">
        <v>805</v>
      </c>
      <c r="K288" s="27">
        <v>56770</v>
      </c>
      <c r="L288" s="31" t="s">
        <v>769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887</v>
      </c>
      <c r="D289" s="31" t="s">
        <v>181</v>
      </c>
      <c r="E289" s="31"/>
      <c r="F289" s="31" t="s">
        <v>828</v>
      </c>
      <c r="G289" s="27">
        <v>56770</v>
      </c>
      <c r="H289" s="31" t="s">
        <v>804</v>
      </c>
      <c r="I289" s="31"/>
      <c r="J289" s="26" t="s">
        <v>805</v>
      </c>
      <c r="K289" s="27">
        <v>56770</v>
      </c>
      <c r="L289" s="31" t="s">
        <v>769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766</v>
      </c>
      <c r="D290" s="31" t="s">
        <v>843</v>
      </c>
      <c r="E290" s="31" t="s">
        <v>844</v>
      </c>
      <c r="F290" s="31" t="s">
        <v>966</v>
      </c>
      <c r="G290" s="27">
        <v>4000</v>
      </c>
      <c r="H290" s="31" t="s">
        <v>63</v>
      </c>
      <c r="I290" s="31"/>
      <c r="J290" s="26" t="s">
        <v>775</v>
      </c>
      <c r="K290" s="27">
        <v>4000</v>
      </c>
      <c r="L290" s="31" t="s">
        <v>769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766</v>
      </c>
      <c r="D291" s="31" t="s">
        <v>843</v>
      </c>
      <c r="E291" s="31" t="s">
        <v>844</v>
      </c>
      <c r="F291" s="31" t="s">
        <v>967</v>
      </c>
      <c r="G291" s="27">
        <v>13500</v>
      </c>
      <c r="H291" s="31" t="s">
        <v>63</v>
      </c>
      <c r="I291" s="31"/>
      <c r="J291" s="26" t="s">
        <v>775</v>
      </c>
      <c r="K291" s="27">
        <v>13500</v>
      </c>
      <c r="L291" s="31" t="s">
        <v>769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766</v>
      </c>
      <c r="D292" s="31" t="s">
        <v>576</v>
      </c>
      <c r="E292" s="31"/>
      <c r="F292" s="31" t="s">
        <v>576</v>
      </c>
      <c r="G292" s="27">
        <v>10000</v>
      </c>
      <c r="H292" s="31" t="s">
        <v>63</v>
      </c>
      <c r="I292" s="31"/>
      <c r="J292" s="26" t="s">
        <v>778</v>
      </c>
      <c r="K292" s="27">
        <v>10000</v>
      </c>
      <c r="L292" s="31" t="s">
        <v>769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766</v>
      </c>
      <c r="D293" s="31" t="s">
        <v>575</v>
      </c>
      <c r="E293" s="31" t="s">
        <v>781</v>
      </c>
      <c r="F293" s="31" t="s">
        <v>971</v>
      </c>
      <c r="G293" s="27">
        <v>10000</v>
      </c>
      <c r="H293" s="31" t="s">
        <v>63</v>
      </c>
      <c r="I293" s="31"/>
      <c r="J293" s="26" t="s">
        <v>775</v>
      </c>
      <c r="K293" s="27">
        <v>10000</v>
      </c>
      <c r="L293" s="31" t="s">
        <v>769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803</v>
      </c>
      <c r="D294" s="31" t="s">
        <v>388</v>
      </c>
      <c r="E294" s="31"/>
      <c r="F294" s="31" t="s">
        <v>972</v>
      </c>
      <c r="G294" s="27">
        <v>300000</v>
      </c>
      <c r="H294" s="31" t="s">
        <v>520</v>
      </c>
      <c r="I294" s="31"/>
      <c r="J294" s="26" t="s">
        <v>388</v>
      </c>
      <c r="K294" s="27">
        <v>300000</v>
      </c>
      <c r="L294" s="31" t="s">
        <v>769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780</v>
      </c>
      <c r="D295" s="31" t="s">
        <v>811</v>
      </c>
      <c r="E295" s="31"/>
      <c r="F295" s="31" t="s">
        <v>973</v>
      </c>
      <c r="G295" s="27">
        <v>74700</v>
      </c>
      <c r="H295" s="31" t="s">
        <v>63</v>
      </c>
      <c r="I295" s="31" t="s">
        <v>878</v>
      </c>
      <c r="J295" s="26" t="s">
        <v>768</v>
      </c>
      <c r="K295" s="27">
        <v>74700</v>
      </c>
      <c r="L295" s="31" t="s">
        <v>769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559</v>
      </c>
      <c r="D296" s="31" t="s">
        <v>821</v>
      </c>
      <c r="E296" s="31"/>
      <c r="F296" s="31" t="s">
        <v>858</v>
      </c>
      <c r="G296" s="27">
        <v>20000</v>
      </c>
      <c r="H296" s="31" t="s">
        <v>520</v>
      </c>
      <c r="I296" s="31"/>
      <c r="J296" s="26" t="s">
        <v>821</v>
      </c>
      <c r="K296" s="27">
        <v>20000</v>
      </c>
      <c r="L296" s="31" t="s">
        <v>769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831</v>
      </c>
      <c r="D297" s="31" t="s">
        <v>22</v>
      </c>
      <c r="E297" s="31"/>
      <c r="F297" s="31" t="s">
        <v>837</v>
      </c>
      <c r="G297" s="27">
        <v>61</v>
      </c>
      <c r="H297" s="31" t="s">
        <v>520</v>
      </c>
      <c r="I297" s="31" t="s">
        <v>869</v>
      </c>
      <c r="J297" s="26" t="s">
        <v>824</v>
      </c>
      <c r="K297" s="27">
        <v>61</v>
      </c>
      <c r="L297" s="31" t="s">
        <v>769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766</v>
      </c>
      <c r="D298" s="31" t="s">
        <v>575</v>
      </c>
      <c r="E298" s="31" t="s">
        <v>772</v>
      </c>
      <c r="F298" s="31" t="s">
        <v>974</v>
      </c>
      <c r="G298" s="27">
        <v>4300</v>
      </c>
      <c r="H298" s="31" t="s">
        <v>63</v>
      </c>
      <c r="I298" s="31"/>
      <c r="J298" s="26" t="s">
        <v>775</v>
      </c>
      <c r="K298" s="27">
        <v>4300</v>
      </c>
      <c r="L298" s="31" t="s">
        <v>769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196</v>
      </c>
      <c r="D299" s="31" t="s">
        <v>843</v>
      </c>
      <c r="E299" s="31" t="s">
        <v>844</v>
      </c>
      <c r="F299" s="31" t="s">
        <v>874</v>
      </c>
      <c r="G299" s="27">
        <v>-2500</v>
      </c>
      <c r="H299" s="31" t="s">
        <v>63</v>
      </c>
      <c r="I299" s="31" t="s">
        <v>975</v>
      </c>
      <c r="J299" s="26" t="s">
        <v>775</v>
      </c>
      <c r="K299" s="27">
        <v>-2500</v>
      </c>
      <c r="L299" s="31" t="s">
        <v>769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816</v>
      </c>
      <c r="D300" s="31" t="s">
        <v>22</v>
      </c>
      <c r="E300" s="31"/>
      <c r="F300" s="31" t="s">
        <v>976</v>
      </c>
      <c r="G300" s="27">
        <v>2100</v>
      </c>
      <c r="H300" s="31" t="s">
        <v>520</v>
      </c>
      <c r="I300" s="31"/>
      <c r="J300" s="26" t="s">
        <v>824</v>
      </c>
      <c r="K300" s="27">
        <v>2100</v>
      </c>
      <c r="L300" s="31" t="s">
        <v>769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766</v>
      </c>
      <c r="D301" s="31" t="s">
        <v>575</v>
      </c>
      <c r="E301" s="31" t="s">
        <v>781</v>
      </c>
      <c r="F301" s="31" t="s">
        <v>884</v>
      </c>
      <c r="G301" s="27">
        <v>13200</v>
      </c>
      <c r="H301" s="31" t="s">
        <v>63</v>
      </c>
      <c r="I301" s="31"/>
      <c r="J301" s="26" t="s">
        <v>775</v>
      </c>
      <c r="K301" s="27">
        <v>13200</v>
      </c>
      <c r="L301" s="31" t="s">
        <v>769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771</v>
      </c>
      <c r="D302" s="31" t="s">
        <v>816</v>
      </c>
      <c r="E302" s="31"/>
      <c r="F302" s="31" t="s">
        <v>828</v>
      </c>
      <c r="G302" s="27">
        <v>37100</v>
      </c>
      <c r="H302" s="31" t="s">
        <v>804</v>
      </c>
      <c r="I302" s="31"/>
      <c r="J302" s="26" t="s">
        <v>805</v>
      </c>
      <c r="K302" s="27">
        <v>37100</v>
      </c>
      <c r="L302" s="31" t="s">
        <v>769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816</v>
      </c>
      <c r="D303" s="31" t="s">
        <v>771</v>
      </c>
      <c r="E303" s="31"/>
      <c r="F303" s="31" t="s">
        <v>828</v>
      </c>
      <c r="G303" s="27">
        <v>37100</v>
      </c>
      <c r="H303" s="31" t="s">
        <v>807</v>
      </c>
      <c r="I303" s="31"/>
      <c r="J303" s="26" t="s">
        <v>805</v>
      </c>
      <c r="K303" s="27">
        <v>37100</v>
      </c>
      <c r="L303" s="31" t="s">
        <v>769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816</v>
      </c>
      <c r="D304" s="31" t="s">
        <v>766</v>
      </c>
      <c r="E304" s="31"/>
      <c r="F304" s="31" t="s">
        <v>828</v>
      </c>
      <c r="G304" s="27">
        <v>827974</v>
      </c>
      <c r="H304" s="31" t="s">
        <v>807</v>
      </c>
      <c r="I304" s="31"/>
      <c r="J304" s="26" t="s">
        <v>805</v>
      </c>
      <c r="K304" s="27">
        <v>827974</v>
      </c>
      <c r="L304" s="31" t="s">
        <v>769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766</v>
      </c>
      <c r="D305" s="31" t="s">
        <v>816</v>
      </c>
      <c r="E305" s="31"/>
      <c r="F305" s="31" t="s">
        <v>828</v>
      </c>
      <c r="G305" s="27">
        <v>827974</v>
      </c>
      <c r="H305" s="31" t="s">
        <v>804</v>
      </c>
      <c r="I305" s="31"/>
      <c r="J305" s="26" t="s">
        <v>805</v>
      </c>
      <c r="K305" s="27">
        <v>827974</v>
      </c>
      <c r="L305" s="31" t="s">
        <v>769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831</v>
      </c>
      <c r="D306" s="31" t="s">
        <v>22</v>
      </c>
      <c r="E306" s="31"/>
      <c r="F306" s="31" t="s">
        <v>837</v>
      </c>
      <c r="G306" s="27">
        <v>61</v>
      </c>
      <c r="H306" s="31" t="s">
        <v>520</v>
      </c>
      <c r="I306" s="31" t="s">
        <v>869</v>
      </c>
      <c r="J306" s="26" t="s">
        <v>824</v>
      </c>
      <c r="K306" s="27">
        <v>61</v>
      </c>
      <c r="L306" s="31" t="s">
        <v>769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766</v>
      </c>
      <c r="D307" s="31" t="s">
        <v>946</v>
      </c>
      <c r="E307" s="31"/>
      <c r="F307" s="31" t="s">
        <v>977</v>
      </c>
      <c r="G307" s="27">
        <v>17000</v>
      </c>
      <c r="H307" s="31" t="s">
        <v>63</v>
      </c>
      <c r="I307" s="31"/>
      <c r="J307" s="26" t="s">
        <v>775</v>
      </c>
      <c r="K307" s="27">
        <v>17000</v>
      </c>
      <c r="L307" s="31" t="s">
        <v>769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766</v>
      </c>
      <c r="D308" s="31" t="s">
        <v>796</v>
      </c>
      <c r="E308" s="31"/>
      <c r="F308" s="31" t="s">
        <v>797</v>
      </c>
      <c r="G308" s="27">
        <v>14000</v>
      </c>
      <c r="H308" s="31" t="s">
        <v>63</v>
      </c>
      <c r="I308" s="31" t="s">
        <v>978</v>
      </c>
      <c r="J308" s="26" t="s">
        <v>775</v>
      </c>
      <c r="K308" s="27">
        <v>14000</v>
      </c>
      <c r="L308" s="31" t="s">
        <v>769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766</v>
      </c>
      <c r="D309" s="31" t="s">
        <v>575</v>
      </c>
      <c r="E309" s="31" t="s">
        <v>772</v>
      </c>
      <c r="F309" s="31" t="s">
        <v>884</v>
      </c>
      <c r="G309" s="27">
        <v>1900</v>
      </c>
      <c r="H309" s="31" t="s">
        <v>63</v>
      </c>
      <c r="I309" s="31"/>
      <c r="J309" s="26" t="s">
        <v>775</v>
      </c>
      <c r="K309" s="27">
        <v>1900</v>
      </c>
      <c r="L309" s="31" t="s">
        <v>769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766</v>
      </c>
      <c r="D310" s="31" t="s">
        <v>796</v>
      </c>
      <c r="E310" s="31"/>
      <c r="F310" s="31" t="s">
        <v>797</v>
      </c>
      <c r="G310" s="27">
        <v>2000</v>
      </c>
      <c r="H310" s="31" t="s">
        <v>63</v>
      </c>
      <c r="I310" s="31" t="s">
        <v>979</v>
      </c>
      <c r="J310" s="26" t="s">
        <v>775</v>
      </c>
      <c r="K310" s="27">
        <v>2000</v>
      </c>
      <c r="L310" s="31" t="s">
        <v>769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766</v>
      </c>
      <c r="D311" s="31" t="s">
        <v>796</v>
      </c>
      <c r="E311" s="31"/>
      <c r="F311" s="31" t="s">
        <v>488</v>
      </c>
      <c r="G311" s="27">
        <v>18780</v>
      </c>
      <c r="H311" s="31" t="s">
        <v>63</v>
      </c>
      <c r="I311" s="31" t="s">
        <v>980</v>
      </c>
      <c r="J311" s="26" t="s">
        <v>775</v>
      </c>
      <c r="K311" s="27">
        <v>18780</v>
      </c>
      <c r="L311" s="31" t="s">
        <v>769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766</v>
      </c>
      <c r="D312" s="31" t="s">
        <v>575</v>
      </c>
      <c r="E312" s="31" t="s">
        <v>792</v>
      </c>
      <c r="F312" s="31" t="s">
        <v>853</v>
      </c>
      <c r="G312" s="27">
        <v>29900</v>
      </c>
      <c r="H312" s="31" t="s">
        <v>63</v>
      </c>
      <c r="I312" s="31" t="s">
        <v>981</v>
      </c>
      <c r="J312" s="26" t="s">
        <v>775</v>
      </c>
      <c r="K312" s="27">
        <v>29900</v>
      </c>
      <c r="L312" s="31" t="s">
        <v>769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766</v>
      </c>
      <c r="D313" s="31" t="s">
        <v>876</v>
      </c>
      <c r="E313" s="31"/>
      <c r="F313" s="31" t="s">
        <v>888</v>
      </c>
      <c r="G313" s="27">
        <v>12400</v>
      </c>
      <c r="H313" s="31" t="s">
        <v>63</v>
      </c>
      <c r="I313" s="31"/>
      <c r="J313" s="26" t="s">
        <v>768</v>
      </c>
      <c r="K313" s="27">
        <v>12400</v>
      </c>
      <c r="L313" s="31" t="s">
        <v>769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831</v>
      </c>
      <c r="D314" s="31" t="s">
        <v>22</v>
      </c>
      <c r="E314" s="31"/>
      <c r="F314" s="31" t="s">
        <v>837</v>
      </c>
      <c r="G314" s="27">
        <v>61</v>
      </c>
      <c r="H314" s="31" t="s">
        <v>520</v>
      </c>
      <c r="I314" s="31" t="s">
        <v>869</v>
      </c>
      <c r="J314" s="26" t="s">
        <v>824</v>
      </c>
      <c r="K314" s="27">
        <v>61</v>
      </c>
      <c r="L314" s="31" t="s">
        <v>769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766</v>
      </c>
      <c r="D315" s="31" t="s">
        <v>575</v>
      </c>
      <c r="E315" s="31" t="s">
        <v>792</v>
      </c>
      <c r="F315" s="31" t="s">
        <v>853</v>
      </c>
      <c r="G315" s="27">
        <v>14300</v>
      </c>
      <c r="H315" s="31" t="s">
        <v>63</v>
      </c>
      <c r="I315" s="31" t="s">
        <v>982</v>
      </c>
      <c r="J315" s="26" t="s">
        <v>775</v>
      </c>
      <c r="K315" s="27">
        <v>14300</v>
      </c>
      <c r="L315" s="31" t="s">
        <v>769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766</v>
      </c>
      <c r="D316" s="31" t="s">
        <v>575</v>
      </c>
      <c r="E316" s="31" t="s">
        <v>772</v>
      </c>
      <c r="F316" s="31" t="s">
        <v>773</v>
      </c>
      <c r="G316" s="27">
        <v>3000</v>
      </c>
      <c r="H316" s="31" t="s">
        <v>63</v>
      </c>
      <c r="I316" s="31" t="s">
        <v>859</v>
      </c>
      <c r="J316" s="26" t="s">
        <v>775</v>
      </c>
      <c r="K316" s="27">
        <v>3000</v>
      </c>
      <c r="L316" s="31" t="s">
        <v>769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816</v>
      </c>
      <c r="D317" s="31" t="s">
        <v>852</v>
      </c>
      <c r="E317" s="31"/>
      <c r="F317" s="31" t="s">
        <v>828</v>
      </c>
      <c r="G317" s="27">
        <v>23390</v>
      </c>
      <c r="H317" s="31" t="s">
        <v>807</v>
      </c>
      <c r="I317" s="31"/>
      <c r="J317" s="26" t="s">
        <v>805</v>
      </c>
      <c r="K317" s="27">
        <v>23390</v>
      </c>
      <c r="L317" s="31" t="s">
        <v>769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852</v>
      </c>
      <c r="D318" s="31" t="s">
        <v>816</v>
      </c>
      <c r="E318" s="31"/>
      <c r="F318" s="31" t="s">
        <v>828</v>
      </c>
      <c r="G318" s="27">
        <v>23390</v>
      </c>
      <c r="H318" s="31" t="s">
        <v>804</v>
      </c>
      <c r="I318" s="31"/>
      <c r="J318" s="26" t="s">
        <v>805</v>
      </c>
      <c r="K318" s="27">
        <v>23390</v>
      </c>
      <c r="L318" s="31" t="s">
        <v>769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816</v>
      </c>
      <c r="D319" s="31" t="s">
        <v>780</v>
      </c>
      <c r="E319" s="31"/>
      <c r="F319" s="31" t="s">
        <v>828</v>
      </c>
      <c r="G319" s="27">
        <v>712666</v>
      </c>
      <c r="H319" s="31" t="s">
        <v>807</v>
      </c>
      <c r="I319" s="31"/>
      <c r="J319" s="26" t="s">
        <v>805</v>
      </c>
      <c r="K319" s="27">
        <v>712666</v>
      </c>
      <c r="L319" s="31" t="s">
        <v>769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780</v>
      </c>
      <c r="D320" s="31" t="s">
        <v>816</v>
      </c>
      <c r="E320" s="31"/>
      <c r="F320" s="31" t="s">
        <v>828</v>
      </c>
      <c r="G320" s="27">
        <v>712666</v>
      </c>
      <c r="H320" s="31" t="s">
        <v>804</v>
      </c>
      <c r="I320" s="31"/>
      <c r="J320" s="26" t="s">
        <v>805</v>
      </c>
      <c r="K320" s="27">
        <v>712666</v>
      </c>
      <c r="L320" s="31" t="s">
        <v>769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816</v>
      </c>
      <c r="D321" s="31" t="s">
        <v>22</v>
      </c>
      <c r="E321" s="31"/>
      <c r="F321" s="31" t="s">
        <v>897</v>
      </c>
      <c r="G321" s="27">
        <v>1221</v>
      </c>
      <c r="H321" s="31" t="s">
        <v>520</v>
      </c>
      <c r="I321" s="31"/>
      <c r="J321" s="26" t="s">
        <v>824</v>
      </c>
      <c r="K321" s="27">
        <v>1221</v>
      </c>
      <c r="L321" s="31" t="s">
        <v>769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831</v>
      </c>
      <c r="D322" s="31" t="s">
        <v>816</v>
      </c>
      <c r="E322" s="31"/>
      <c r="F322" s="31" t="s">
        <v>81</v>
      </c>
      <c r="G322" s="27">
        <v>5914</v>
      </c>
      <c r="H322" s="31" t="s">
        <v>804</v>
      </c>
      <c r="I322" s="31"/>
      <c r="J322" s="26" t="s">
        <v>805</v>
      </c>
      <c r="K322" s="27">
        <v>5914</v>
      </c>
      <c r="L322" s="31" t="s">
        <v>769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816</v>
      </c>
      <c r="D323" s="31" t="s">
        <v>831</v>
      </c>
      <c r="E323" s="31"/>
      <c r="F323" s="31" t="s">
        <v>81</v>
      </c>
      <c r="G323" s="27">
        <v>5914</v>
      </c>
      <c r="H323" s="31" t="s">
        <v>807</v>
      </c>
      <c r="I323" s="31"/>
      <c r="J323" s="26" t="s">
        <v>805</v>
      </c>
      <c r="K323" s="27">
        <v>5914</v>
      </c>
      <c r="L323" s="31" t="s">
        <v>769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831</v>
      </c>
      <c r="D324" s="31" t="s">
        <v>866</v>
      </c>
      <c r="E324" s="31"/>
      <c r="F324" s="31" t="s">
        <v>81</v>
      </c>
      <c r="G324" s="27">
        <v>122500</v>
      </c>
      <c r="H324" s="31" t="s">
        <v>804</v>
      </c>
      <c r="I324" s="31"/>
      <c r="J324" s="26" t="s">
        <v>805</v>
      </c>
      <c r="K324" s="27">
        <v>122500</v>
      </c>
      <c r="L324" s="31" t="s">
        <v>769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866</v>
      </c>
      <c r="D325" s="31" t="s">
        <v>831</v>
      </c>
      <c r="E325" s="31"/>
      <c r="F325" s="31" t="s">
        <v>81</v>
      </c>
      <c r="G325" s="27">
        <v>122500</v>
      </c>
      <c r="H325" s="31" t="s">
        <v>807</v>
      </c>
      <c r="I325" s="31"/>
      <c r="J325" s="26" t="s">
        <v>805</v>
      </c>
      <c r="K325" s="27">
        <v>122500</v>
      </c>
      <c r="L325" s="31" t="s">
        <v>769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862</v>
      </c>
      <c r="D326" s="31" t="s">
        <v>831</v>
      </c>
      <c r="E326" s="31"/>
      <c r="F326" s="31" t="s">
        <v>81</v>
      </c>
      <c r="G326" s="27">
        <v>100000</v>
      </c>
      <c r="H326" s="31" t="s">
        <v>807</v>
      </c>
      <c r="I326" s="31"/>
      <c r="J326" s="26" t="s">
        <v>805</v>
      </c>
      <c r="K326" s="27">
        <v>100000</v>
      </c>
      <c r="L326" s="31" t="s">
        <v>769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831</v>
      </c>
      <c r="D327" s="31" t="s">
        <v>862</v>
      </c>
      <c r="E327" s="31"/>
      <c r="F327" s="31" t="s">
        <v>81</v>
      </c>
      <c r="G327" s="27">
        <v>100000</v>
      </c>
      <c r="H327" s="31" t="s">
        <v>804</v>
      </c>
      <c r="I327" s="31"/>
      <c r="J327" s="26" t="s">
        <v>805</v>
      </c>
      <c r="K327" s="27">
        <v>100000</v>
      </c>
      <c r="L327" s="31" t="s">
        <v>769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831</v>
      </c>
      <c r="D328" s="31" t="s">
        <v>22</v>
      </c>
      <c r="E328" s="31"/>
      <c r="F328" s="31" t="s">
        <v>837</v>
      </c>
      <c r="G328" s="27">
        <v>61</v>
      </c>
      <c r="H328" s="31" t="s">
        <v>520</v>
      </c>
      <c r="I328" s="31" t="s">
        <v>869</v>
      </c>
      <c r="J328" s="26" t="s">
        <v>824</v>
      </c>
      <c r="K328" s="27">
        <v>61</v>
      </c>
      <c r="L328" s="31" t="s">
        <v>769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831</v>
      </c>
      <c r="D329" s="31" t="s">
        <v>925</v>
      </c>
      <c r="E329" s="31"/>
      <c r="F329" s="31" t="s">
        <v>983</v>
      </c>
      <c r="G329" s="27">
        <v>154</v>
      </c>
      <c r="H329" s="31" t="s">
        <v>807</v>
      </c>
      <c r="I329" s="31"/>
      <c r="J329" s="26" t="s">
        <v>805</v>
      </c>
      <c r="K329" s="27">
        <v>154</v>
      </c>
      <c r="L329" s="31" t="s">
        <v>769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925</v>
      </c>
      <c r="D330" s="31" t="s">
        <v>831</v>
      </c>
      <c r="E330" s="31"/>
      <c r="F330" s="31" t="s">
        <v>983</v>
      </c>
      <c r="G330" s="27">
        <v>154</v>
      </c>
      <c r="H330" s="31" t="s">
        <v>804</v>
      </c>
      <c r="I330" s="31"/>
      <c r="J330" s="26" t="s">
        <v>805</v>
      </c>
      <c r="K330" s="27">
        <v>154</v>
      </c>
      <c r="L330" s="31" t="s">
        <v>769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831</v>
      </c>
      <c r="D331" s="31" t="s">
        <v>861</v>
      </c>
      <c r="E331" s="31"/>
      <c r="F331" s="31" t="s">
        <v>983</v>
      </c>
      <c r="G331" s="27">
        <v>1510</v>
      </c>
      <c r="H331" s="31" t="s">
        <v>807</v>
      </c>
      <c r="I331" s="31"/>
      <c r="J331" s="26" t="s">
        <v>805</v>
      </c>
      <c r="K331" s="27">
        <v>1510</v>
      </c>
      <c r="L331" s="31" t="s">
        <v>769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861</v>
      </c>
      <c r="D332" s="31" t="s">
        <v>831</v>
      </c>
      <c r="E332" s="31"/>
      <c r="F332" s="31" t="s">
        <v>983</v>
      </c>
      <c r="G332" s="27">
        <v>1510</v>
      </c>
      <c r="H332" s="31" t="s">
        <v>804</v>
      </c>
      <c r="I332" s="31"/>
      <c r="J332" s="26" t="s">
        <v>805</v>
      </c>
      <c r="K332" s="27">
        <v>1510</v>
      </c>
      <c r="L332" s="31" t="s">
        <v>769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831</v>
      </c>
      <c r="D333" s="31" t="s">
        <v>860</v>
      </c>
      <c r="E333" s="31"/>
      <c r="F333" s="31" t="s">
        <v>983</v>
      </c>
      <c r="G333" s="27">
        <v>257</v>
      </c>
      <c r="H333" s="31" t="s">
        <v>807</v>
      </c>
      <c r="I333" s="31"/>
      <c r="J333" s="26" t="s">
        <v>805</v>
      </c>
      <c r="K333" s="27">
        <v>257</v>
      </c>
      <c r="L333" s="31" t="s">
        <v>769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860</v>
      </c>
      <c r="D334" s="31" t="s">
        <v>831</v>
      </c>
      <c r="E334" s="31"/>
      <c r="F334" s="31" t="s">
        <v>983</v>
      </c>
      <c r="G334" s="27">
        <v>257</v>
      </c>
      <c r="H334" s="31" t="s">
        <v>804</v>
      </c>
      <c r="I334" s="31"/>
      <c r="J334" s="26" t="s">
        <v>805</v>
      </c>
      <c r="K334" s="27">
        <v>257</v>
      </c>
      <c r="L334" s="31" t="s">
        <v>769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175</v>
      </c>
      <c r="D335" s="31" t="s">
        <v>22</v>
      </c>
      <c r="E335" s="31"/>
      <c r="F335" s="31" t="s">
        <v>984</v>
      </c>
      <c r="G335" s="27">
        <v>3</v>
      </c>
      <c r="H335" s="31" t="s">
        <v>520</v>
      </c>
      <c r="I335" s="31"/>
      <c r="J335" s="26" t="s">
        <v>824</v>
      </c>
      <c r="K335" s="27">
        <v>3</v>
      </c>
      <c r="L335" s="31" t="s">
        <v>769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196</v>
      </c>
      <c r="D336" s="31" t="s">
        <v>866</v>
      </c>
      <c r="E336" s="31"/>
      <c r="F336" s="31" t="s">
        <v>81</v>
      </c>
      <c r="G336" s="27">
        <v>21500</v>
      </c>
      <c r="H336" s="31" t="s">
        <v>807</v>
      </c>
      <c r="I336" s="31" t="s">
        <v>985</v>
      </c>
      <c r="J336" s="26" t="s">
        <v>805</v>
      </c>
      <c r="K336" s="27">
        <v>21500</v>
      </c>
      <c r="L336" s="31" t="s">
        <v>769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866</v>
      </c>
      <c r="D337" s="31" t="s">
        <v>196</v>
      </c>
      <c r="E337" s="31"/>
      <c r="F337" s="31" t="s">
        <v>81</v>
      </c>
      <c r="G337" s="27">
        <v>21500</v>
      </c>
      <c r="H337" s="31" t="s">
        <v>804</v>
      </c>
      <c r="I337" s="31" t="s">
        <v>985</v>
      </c>
      <c r="J337" s="26" t="s">
        <v>805</v>
      </c>
      <c r="K337" s="27">
        <v>21500</v>
      </c>
      <c r="L337" s="31" t="s">
        <v>769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766</v>
      </c>
      <c r="D338" s="31" t="s">
        <v>575</v>
      </c>
      <c r="E338" s="31" t="s">
        <v>772</v>
      </c>
      <c r="F338" s="31" t="s">
        <v>986</v>
      </c>
      <c r="G338" s="27">
        <v>4800</v>
      </c>
      <c r="H338" s="31" t="s">
        <v>63</v>
      </c>
      <c r="I338" s="31"/>
      <c r="J338" s="26" t="s">
        <v>775</v>
      </c>
      <c r="K338" s="27">
        <v>4800</v>
      </c>
      <c r="L338" s="31" t="s">
        <v>769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766</v>
      </c>
      <c r="D339" s="31" t="s">
        <v>575</v>
      </c>
      <c r="E339" s="31" t="s">
        <v>772</v>
      </c>
      <c r="F339" s="31" t="s">
        <v>773</v>
      </c>
      <c r="G339" s="27">
        <v>3900</v>
      </c>
      <c r="H339" s="31" t="s">
        <v>63</v>
      </c>
      <c r="I339" s="31" t="s">
        <v>859</v>
      </c>
      <c r="J339" s="26" t="s">
        <v>775</v>
      </c>
      <c r="K339" s="27">
        <v>3900</v>
      </c>
      <c r="L339" s="31" t="s">
        <v>769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766</v>
      </c>
      <c r="D340" s="31" t="s">
        <v>811</v>
      </c>
      <c r="E340" s="31"/>
      <c r="F340" s="31" t="s">
        <v>488</v>
      </c>
      <c r="G340" s="27">
        <v>17900</v>
      </c>
      <c r="H340" s="31" t="s">
        <v>63</v>
      </c>
      <c r="I340" s="31" t="s">
        <v>987</v>
      </c>
      <c r="J340" s="26" t="s">
        <v>775</v>
      </c>
      <c r="K340" s="27">
        <v>17900</v>
      </c>
      <c r="L340" s="31" t="s">
        <v>769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766</v>
      </c>
      <c r="D341" s="31" t="s">
        <v>575</v>
      </c>
      <c r="E341" s="31" t="s">
        <v>792</v>
      </c>
      <c r="F341" s="31" t="s">
        <v>853</v>
      </c>
      <c r="G341" s="27">
        <v>21700</v>
      </c>
      <c r="H341" s="31" t="s">
        <v>63</v>
      </c>
      <c r="I341" s="31" t="s">
        <v>988</v>
      </c>
      <c r="J341" s="26" t="s">
        <v>775</v>
      </c>
      <c r="K341" s="27">
        <v>21700</v>
      </c>
      <c r="L341" s="31" t="s">
        <v>769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766</v>
      </c>
      <c r="D342" s="31" t="s">
        <v>912</v>
      </c>
      <c r="E342" s="31" t="s">
        <v>580</v>
      </c>
      <c r="F342" s="31" t="s">
        <v>989</v>
      </c>
      <c r="G342" s="27">
        <v>12530</v>
      </c>
      <c r="H342" s="31" t="s">
        <v>63</v>
      </c>
      <c r="I342" s="31" t="s">
        <v>104</v>
      </c>
      <c r="J342" s="26" t="s">
        <v>783</v>
      </c>
      <c r="K342" s="27">
        <v>12530</v>
      </c>
      <c r="L342" s="31" t="s">
        <v>769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766</v>
      </c>
      <c r="D343" s="31" t="s">
        <v>575</v>
      </c>
      <c r="E343" s="31" t="s">
        <v>885</v>
      </c>
      <c r="F343" s="31" t="s">
        <v>773</v>
      </c>
      <c r="G343" s="27">
        <v>4300</v>
      </c>
      <c r="H343" s="31" t="s">
        <v>63</v>
      </c>
      <c r="I343" s="31" t="s">
        <v>72</v>
      </c>
      <c r="J343" s="26" t="s">
        <v>775</v>
      </c>
      <c r="K343" s="27">
        <v>4300</v>
      </c>
      <c r="L343" s="31" t="s">
        <v>769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766</v>
      </c>
      <c r="D344" s="31" t="s">
        <v>575</v>
      </c>
      <c r="E344" s="31" t="s">
        <v>772</v>
      </c>
      <c r="F344" s="31" t="s">
        <v>773</v>
      </c>
      <c r="G344" s="27">
        <v>8800</v>
      </c>
      <c r="H344" s="31" t="s">
        <v>63</v>
      </c>
      <c r="I344" s="31" t="s">
        <v>868</v>
      </c>
      <c r="J344" s="26" t="s">
        <v>775</v>
      </c>
      <c r="K344" s="27">
        <v>8800</v>
      </c>
      <c r="L344" s="31" t="s">
        <v>769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766</v>
      </c>
      <c r="D345" s="31" t="s">
        <v>876</v>
      </c>
      <c r="E345" s="31"/>
      <c r="F345" s="31" t="s">
        <v>132</v>
      </c>
      <c r="G345" s="27">
        <v>16500</v>
      </c>
      <c r="H345" s="31" t="s">
        <v>63</v>
      </c>
      <c r="I345" s="31"/>
      <c r="J345" s="26" t="s">
        <v>768</v>
      </c>
      <c r="K345" s="27">
        <v>16500</v>
      </c>
      <c r="L345" s="31" t="s">
        <v>769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831</v>
      </c>
      <c r="D346" s="31" t="s">
        <v>22</v>
      </c>
      <c r="E346" s="31"/>
      <c r="F346" s="31" t="s">
        <v>837</v>
      </c>
      <c r="G346" s="27">
        <v>9</v>
      </c>
      <c r="H346" s="31" t="s">
        <v>520</v>
      </c>
      <c r="I346" s="31"/>
      <c r="J346" s="26" t="s">
        <v>824</v>
      </c>
      <c r="K346" s="27">
        <v>9</v>
      </c>
      <c r="L346" s="31" t="s">
        <v>769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861</v>
      </c>
      <c r="D347" s="31" t="s">
        <v>22</v>
      </c>
      <c r="E347" s="31"/>
      <c r="F347" s="31" t="s">
        <v>837</v>
      </c>
      <c r="G347" s="27">
        <v>40</v>
      </c>
      <c r="H347" s="31" t="s">
        <v>520</v>
      </c>
      <c r="I347" s="31"/>
      <c r="J347" s="26" t="s">
        <v>824</v>
      </c>
      <c r="K347" s="27">
        <v>40</v>
      </c>
      <c r="L347" s="31" t="s">
        <v>769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860</v>
      </c>
      <c r="D348" s="31" t="s">
        <v>22</v>
      </c>
      <c r="E348" s="31"/>
      <c r="F348" s="31" t="s">
        <v>837</v>
      </c>
      <c r="G348" s="27">
        <v>7</v>
      </c>
      <c r="H348" s="31" t="s">
        <v>520</v>
      </c>
      <c r="I348" s="31"/>
      <c r="J348" s="26" t="s">
        <v>824</v>
      </c>
      <c r="K348" s="27">
        <v>7</v>
      </c>
      <c r="L348" s="31" t="s">
        <v>769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925</v>
      </c>
      <c r="D349" s="31" t="s">
        <v>22</v>
      </c>
      <c r="E349" s="31"/>
      <c r="F349" s="31" t="s">
        <v>837</v>
      </c>
      <c r="G349" s="27">
        <v>7</v>
      </c>
      <c r="H349" s="31" t="s">
        <v>520</v>
      </c>
      <c r="I349" s="31"/>
      <c r="J349" s="26" t="s">
        <v>824</v>
      </c>
      <c r="K349" s="27">
        <v>7</v>
      </c>
      <c r="L349" s="31" t="s">
        <v>769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831</v>
      </c>
      <c r="D350" s="31" t="s">
        <v>22</v>
      </c>
      <c r="E350" s="31"/>
      <c r="F350" s="31" t="s">
        <v>837</v>
      </c>
      <c r="G350" s="27">
        <v>8</v>
      </c>
      <c r="H350" s="31" t="s">
        <v>520</v>
      </c>
      <c r="I350" s="31"/>
      <c r="J350" s="26" t="s">
        <v>824</v>
      </c>
      <c r="K350" s="27">
        <v>8</v>
      </c>
      <c r="L350" s="31" t="s">
        <v>769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866</v>
      </c>
      <c r="D351" s="31" t="s">
        <v>22</v>
      </c>
      <c r="E351" s="31"/>
      <c r="F351" s="31" t="s">
        <v>837</v>
      </c>
      <c r="G351" s="27">
        <v>1</v>
      </c>
      <c r="H351" s="31" t="s">
        <v>520</v>
      </c>
      <c r="I351" s="31"/>
      <c r="J351" s="26" t="s">
        <v>824</v>
      </c>
      <c r="K351" s="27">
        <v>1</v>
      </c>
      <c r="L351" s="31" t="s">
        <v>769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861</v>
      </c>
      <c r="D352" s="31" t="s">
        <v>22</v>
      </c>
      <c r="E352" s="31"/>
      <c r="F352" s="31" t="s">
        <v>837</v>
      </c>
      <c r="G352" s="27">
        <v>40</v>
      </c>
      <c r="H352" s="31" t="s">
        <v>520</v>
      </c>
      <c r="I352" s="31"/>
      <c r="J352" s="26" t="s">
        <v>824</v>
      </c>
      <c r="K352" s="27">
        <v>40</v>
      </c>
      <c r="L352" s="31" t="s">
        <v>769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860</v>
      </c>
      <c r="D353" s="31" t="s">
        <v>22</v>
      </c>
      <c r="E353" s="31"/>
      <c r="F353" s="31" t="s">
        <v>837</v>
      </c>
      <c r="G353" s="27">
        <v>7</v>
      </c>
      <c r="H353" s="31" t="s">
        <v>520</v>
      </c>
      <c r="I353" s="31"/>
      <c r="J353" s="26" t="s">
        <v>824</v>
      </c>
      <c r="K353" s="27">
        <v>7</v>
      </c>
      <c r="L353" s="31" t="s">
        <v>769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925</v>
      </c>
      <c r="D354" s="31" t="s">
        <v>22</v>
      </c>
      <c r="E354" s="31"/>
      <c r="F354" s="31" t="s">
        <v>837</v>
      </c>
      <c r="G354" s="27">
        <v>7</v>
      </c>
      <c r="H354" s="31" t="s">
        <v>520</v>
      </c>
      <c r="I354" s="31"/>
      <c r="J354" s="26" t="s">
        <v>824</v>
      </c>
      <c r="K354" s="27">
        <v>7</v>
      </c>
      <c r="L354" s="31" t="s">
        <v>769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766</v>
      </c>
      <c r="D355" s="31" t="s">
        <v>575</v>
      </c>
      <c r="E355" s="31" t="s">
        <v>772</v>
      </c>
      <c r="F355" s="31" t="s">
        <v>814</v>
      </c>
      <c r="G355" s="27">
        <v>1500</v>
      </c>
      <c r="H355" s="31" t="s">
        <v>63</v>
      </c>
      <c r="I355" s="31"/>
      <c r="J355" s="26" t="s">
        <v>775</v>
      </c>
      <c r="K355" s="27">
        <v>1500</v>
      </c>
      <c r="L355" s="31" t="s">
        <v>769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925</v>
      </c>
      <c r="D356" s="31" t="s">
        <v>906</v>
      </c>
      <c r="E356" s="31"/>
      <c r="F356" s="31" t="s">
        <v>990</v>
      </c>
      <c r="G356" s="27">
        <v>200000</v>
      </c>
      <c r="H356" s="31" t="s">
        <v>63</v>
      </c>
      <c r="I356" s="31"/>
      <c r="J356" s="26" t="s">
        <v>789</v>
      </c>
      <c r="K356" s="27">
        <v>200000</v>
      </c>
      <c r="L356" s="31" t="s">
        <v>569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766</v>
      </c>
      <c r="D357" s="31" t="s">
        <v>575</v>
      </c>
      <c r="E357" s="31" t="s">
        <v>781</v>
      </c>
      <c r="F357" s="31" t="s">
        <v>902</v>
      </c>
      <c r="G357" s="27">
        <v>12000</v>
      </c>
      <c r="H357" s="31" t="s">
        <v>63</v>
      </c>
      <c r="I357" s="31"/>
      <c r="J357" s="26" t="s">
        <v>775</v>
      </c>
      <c r="K357" s="27">
        <v>12000</v>
      </c>
      <c r="L357" s="31" t="s">
        <v>769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175</v>
      </c>
      <c r="D358" s="31" t="s">
        <v>22</v>
      </c>
      <c r="E358" s="31"/>
      <c r="F358" s="31" t="s">
        <v>984</v>
      </c>
      <c r="G358" s="27">
        <v>5</v>
      </c>
      <c r="H358" s="31" t="s">
        <v>520</v>
      </c>
      <c r="I358" s="31"/>
      <c r="J358" s="26" t="s">
        <v>824</v>
      </c>
      <c r="K358" s="27">
        <v>5</v>
      </c>
      <c r="L358" s="31" t="s">
        <v>769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831</v>
      </c>
      <c r="D359" s="31" t="s">
        <v>22</v>
      </c>
      <c r="E359" s="31"/>
      <c r="F359" s="31" t="s">
        <v>837</v>
      </c>
      <c r="G359" s="27">
        <v>8</v>
      </c>
      <c r="H359" s="31" t="s">
        <v>520</v>
      </c>
      <c r="I359" s="31"/>
      <c r="J359" s="26" t="s">
        <v>824</v>
      </c>
      <c r="K359" s="27">
        <v>8</v>
      </c>
      <c r="L359" s="31" t="s">
        <v>769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861</v>
      </c>
      <c r="D360" s="31" t="s">
        <v>22</v>
      </c>
      <c r="E360" s="31"/>
      <c r="F360" s="31" t="s">
        <v>837</v>
      </c>
      <c r="G360" s="27">
        <v>40</v>
      </c>
      <c r="H360" s="31" t="s">
        <v>520</v>
      </c>
      <c r="I360" s="31"/>
      <c r="J360" s="26" t="s">
        <v>824</v>
      </c>
      <c r="K360" s="27">
        <v>40</v>
      </c>
      <c r="L360" s="31" t="s">
        <v>769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860</v>
      </c>
      <c r="D361" s="31" t="s">
        <v>22</v>
      </c>
      <c r="E361" s="31"/>
      <c r="F361" s="31" t="s">
        <v>837</v>
      </c>
      <c r="G361" s="27">
        <v>7</v>
      </c>
      <c r="H361" s="31" t="s">
        <v>520</v>
      </c>
      <c r="I361" s="31"/>
      <c r="J361" s="26" t="s">
        <v>824</v>
      </c>
      <c r="K361" s="27">
        <v>7</v>
      </c>
      <c r="L361" s="31" t="s">
        <v>769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925</v>
      </c>
      <c r="D362" s="31" t="s">
        <v>22</v>
      </c>
      <c r="E362" s="31"/>
      <c r="F362" s="31" t="s">
        <v>837</v>
      </c>
      <c r="G362" s="27">
        <v>7</v>
      </c>
      <c r="H362" s="31" t="s">
        <v>520</v>
      </c>
      <c r="I362" s="31"/>
      <c r="J362" s="26" t="s">
        <v>824</v>
      </c>
      <c r="K362" s="27">
        <v>7</v>
      </c>
      <c r="L362" s="31" t="s">
        <v>769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925</v>
      </c>
      <c r="D363" s="31" t="s">
        <v>831</v>
      </c>
      <c r="E363" s="31"/>
      <c r="F363" s="31" t="s">
        <v>81</v>
      </c>
      <c r="G363" s="27">
        <v>175</v>
      </c>
      <c r="H363" s="31" t="s">
        <v>807</v>
      </c>
      <c r="I363" s="31"/>
      <c r="J363" s="26" t="s">
        <v>805</v>
      </c>
      <c r="K363" s="27">
        <v>175</v>
      </c>
      <c r="L363" s="31" t="s">
        <v>769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831</v>
      </c>
      <c r="D364" s="31" t="s">
        <v>925</v>
      </c>
      <c r="E364" s="31"/>
      <c r="F364" s="31" t="s">
        <v>81</v>
      </c>
      <c r="G364" s="27">
        <v>175</v>
      </c>
      <c r="H364" s="31" t="s">
        <v>804</v>
      </c>
      <c r="I364" s="31"/>
      <c r="J364" s="26" t="s">
        <v>805</v>
      </c>
      <c r="K364" s="27">
        <v>175</v>
      </c>
      <c r="L364" s="31" t="s">
        <v>769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766</v>
      </c>
      <c r="D365" s="31" t="s">
        <v>575</v>
      </c>
      <c r="E365" s="31" t="s">
        <v>772</v>
      </c>
      <c r="F365" s="31" t="s">
        <v>991</v>
      </c>
      <c r="G365" s="27">
        <v>4500</v>
      </c>
      <c r="H365" s="31" t="s">
        <v>63</v>
      </c>
      <c r="I365" s="31" t="s">
        <v>992</v>
      </c>
      <c r="J365" s="26" t="s">
        <v>775</v>
      </c>
      <c r="K365" s="27">
        <v>4500</v>
      </c>
      <c r="L365" s="31" t="s">
        <v>769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766</v>
      </c>
      <c r="D366" s="31" t="s">
        <v>575</v>
      </c>
      <c r="E366" s="31" t="s">
        <v>772</v>
      </c>
      <c r="F366" s="31" t="s">
        <v>884</v>
      </c>
      <c r="G366" s="27">
        <v>4300</v>
      </c>
      <c r="H366" s="31" t="s">
        <v>63</v>
      </c>
      <c r="I366" s="31"/>
      <c r="J366" s="26" t="s">
        <v>775</v>
      </c>
      <c r="K366" s="27">
        <v>4300</v>
      </c>
      <c r="L366" s="31" t="s">
        <v>769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866</v>
      </c>
      <c r="D367" s="31" t="s">
        <v>22</v>
      </c>
      <c r="E367" s="31"/>
      <c r="F367" s="31" t="s">
        <v>837</v>
      </c>
      <c r="G367" s="27">
        <v>1</v>
      </c>
      <c r="H367" s="31" t="s">
        <v>520</v>
      </c>
      <c r="I367" s="31"/>
      <c r="J367" s="26" t="s">
        <v>824</v>
      </c>
      <c r="K367" s="27">
        <v>1</v>
      </c>
      <c r="L367" s="31" t="s">
        <v>769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831</v>
      </c>
      <c r="D368" s="31" t="s">
        <v>22</v>
      </c>
      <c r="E368" s="31"/>
      <c r="F368" s="31" t="s">
        <v>837</v>
      </c>
      <c r="G368" s="27">
        <v>8</v>
      </c>
      <c r="H368" s="31" t="s">
        <v>520</v>
      </c>
      <c r="I368" s="31"/>
      <c r="J368" s="26" t="s">
        <v>824</v>
      </c>
      <c r="K368" s="27">
        <v>8</v>
      </c>
      <c r="L368" s="31" t="s">
        <v>769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861</v>
      </c>
      <c r="D369" s="31" t="s">
        <v>22</v>
      </c>
      <c r="E369" s="31"/>
      <c r="F369" s="31" t="s">
        <v>837</v>
      </c>
      <c r="G369" s="27">
        <v>40</v>
      </c>
      <c r="H369" s="31" t="s">
        <v>520</v>
      </c>
      <c r="I369" s="31"/>
      <c r="J369" s="26" t="s">
        <v>824</v>
      </c>
      <c r="K369" s="27">
        <v>40</v>
      </c>
      <c r="L369" s="31" t="s">
        <v>769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860</v>
      </c>
      <c r="D370" s="31" t="s">
        <v>22</v>
      </c>
      <c r="E370" s="31"/>
      <c r="F370" s="31" t="s">
        <v>837</v>
      </c>
      <c r="G370" s="27">
        <v>7</v>
      </c>
      <c r="H370" s="31" t="s">
        <v>520</v>
      </c>
      <c r="I370" s="31"/>
      <c r="J370" s="26" t="s">
        <v>824</v>
      </c>
      <c r="K370" s="27">
        <v>7</v>
      </c>
      <c r="L370" s="31" t="s">
        <v>769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766</v>
      </c>
      <c r="D371" s="31" t="s">
        <v>575</v>
      </c>
      <c r="E371" s="31" t="s">
        <v>772</v>
      </c>
      <c r="F371" s="31" t="s">
        <v>814</v>
      </c>
      <c r="G371" s="27">
        <v>800</v>
      </c>
      <c r="H371" s="31" t="s">
        <v>63</v>
      </c>
      <c r="I371" s="31"/>
      <c r="J371" s="26" t="s">
        <v>775</v>
      </c>
      <c r="K371" s="27">
        <v>800</v>
      </c>
      <c r="L371" s="31" t="s">
        <v>769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766</v>
      </c>
      <c r="D372" s="31" t="s">
        <v>575</v>
      </c>
      <c r="E372" s="31" t="s">
        <v>781</v>
      </c>
      <c r="F372" s="31" t="s">
        <v>993</v>
      </c>
      <c r="G372" s="27">
        <v>12000</v>
      </c>
      <c r="H372" s="31" t="s">
        <v>63</v>
      </c>
      <c r="I372" s="31"/>
      <c r="J372" s="26" t="s">
        <v>775</v>
      </c>
      <c r="K372" s="27">
        <v>12000</v>
      </c>
      <c r="L372" s="31" t="s">
        <v>769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766</v>
      </c>
      <c r="D373" s="31" t="s">
        <v>576</v>
      </c>
      <c r="E373" s="31"/>
      <c r="F373" s="31" t="s">
        <v>576</v>
      </c>
      <c r="G373" s="27">
        <v>4500</v>
      </c>
      <c r="H373" s="31" t="s">
        <v>63</v>
      </c>
      <c r="I373" s="31"/>
      <c r="J373" s="26" t="s">
        <v>778</v>
      </c>
      <c r="K373" s="27">
        <v>4500</v>
      </c>
      <c r="L373" s="31" t="s">
        <v>769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766</v>
      </c>
      <c r="D374" s="31" t="s">
        <v>912</v>
      </c>
      <c r="E374" s="31" t="s">
        <v>580</v>
      </c>
      <c r="F374" s="31" t="s">
        <v>994</v>
      </c>
      <c r="G374" s="27">
        <v>12800</v>
      </c>
      <c r="H374" s="31" t="s">
        <v>63</v>
      </c>
      <c r="I374" s="31"/>
      <c r="J374" s="26" t="s">
        <v>783</v>
      </c>
      <c r="K374" s="27">
        <v>12800</v>
      </c>
      <c r="L374" s="31" t="s">
        <v>769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766</v>
      </c>
      <c r="D375" s="31" t="s">
        <v>912</v>
      </c>
      <c r="E375" s="31" t="s">
        <v>580</v>
      </c>
      <c r="F375" s="31" t="s">
        <v>989</v>
      </c>
      <c r="G375" s="27">
        <v>8190</v>
      </c>
      <c r="H375" s="31" t="s">
        <v>63</v>
      </c>
      <c r="I375" s="31"/>
      <c r="J375" s="26" t="s">
        <v>783</v>
      </c>
      <c r="K375" s="27">
        <v>8190</v>
      </c>
      <c r="L375" s="31" t="s">
        <v>769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831</v>
      </c>
      <c r="D376" s="31" t="s">
        <v>22</v>
      </c>
      <c r="E376" s="31"/>
      <c r="F376" s="31" t="s">
        <v>837</v>
      </c>
      <c r="G376" s="27">
        <v>8</v>
      </c>
      <c r="H376" s="31" t="s">
        <v>520</v>
      </c>
      <c r="I376" s="31"/>
      <c r="J376" s="26" t="s">
        <v>824</v>
      </c>
      <c r="K376" s="27">
        <v>8</v>
      </c>
      <c r="L376" s="31" t="s">
        <v>769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861</v>
      </c>
      <c r="D377" s="31" t="s">
        <v>22</v>
      </c>
      <c r="E377" s="31"/>
      <c r="F377" s="31" t="s">
        <v>837</v>
      </c>
      <c r="G377" s="27">
        <v>40</v>
      </c>
      <c r="H377" s="31" t="s">
        <v>520</v>
      </c>
      <c r="I377" s="31"/>
      <c r="J377" s="26" t="s">
        <v>824</v>
      </c>
      <c r="K377" s="27">
        <v>40</v>
      </c>
      <c r="L377" s="31" t="s">
        <v>769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860</v>
      </c>
      <c r="D378" s="31" t="s">
        <v>22</v>
      </c>
      <c r="E378" s="31"/>
      <c r="F378" s="31" t="s">
        <v>837</v>
      </c>
      <c r="G378" s="27">
        <v>7</v>
      </c>
      <c r="H378" s="31" t="s">
        <v>520</v>
      </c>
      <c r="I378" s="31"/>
      <c r="J378" s="26" t="s">
        <v>824</v>
      </c>
      <c r="K378" s="27">
        <v>7</v>
      </c>
      <c r="L378" s="31" t="s">
        <v>769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852</v>
      </c>
      <c r="D379" s="31" t="s">
        <v>575</v>
      </c>
      <c r="E379" s="31" t="s">
        <v>792</v>
      </c>
      <c r="F379" s="31" t="s">
        <v>853</v>
      </c>
      <c r="G379" s="27">
        <v>9900</v>
      </c>
      <c r="H379" s="31" t="s">
        <v>63</v>
      </c>
      <c r="I379" s="31" t="s">
        <v>995</v>
      </c>
      <c r="J379" s="26" t="s">
        <v>775</v>
      </c>
      <c r="K379" s="27">
        <v>9900</v>
      </c>
      <c r="L379" s="31" t="s">
        <v>769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766</v>
      </c>
      <c r="D380" s="31" t="s">
        <v>906</v>
      </c>
      <c r="E380" s="31"/>
      <c r="F380" s="31" t="s">
        <v>996</v>
      </c>
      <c r="G380" s="27">
        <v>44770</v>
      </c>
      <c r="H380" s="31" t="s">
        <v>63</v>
      </c>
      <c r="I380" s="31"/>
      <c r="J380" s="26" t="s">
        <v>775</v>
      </c>
      <c r="K380" s="27">
        <v>44770</v>
      </c>
      <c r="L380" s="31" t="s">
        <v>769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766</v>
      </c>
      <c r="D381" s="31" t="s">
        <v>796</v>
      </c>
      <c r="E381" s="31"/>
      <c r="F381" s="31" t="s">
        <v>797</v>
      </c>
      <c r="G381" s="27">
        <v>6500</v>
      </c>
      <c r="H381" s="31" t="s">
        <v>63</v>
      </c>
      <c r="I381" s="31" t="s">
        <v>997</v>
      </c>
      <c r="J381" s="26" t="s">
        <v>775</v>
      </c>
      <c r="K381" s="27">
        <v>6500</v>
      </c>
      <c r="L381" s="31" t="s">
        <v>769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766</v>
      </c>
      <c r="D382" s="31" t="s">
        <v>575</v>
      </c>
      <c r="E382" s="31" t="s">
        <v>772</v>
      </c>
      <c r="F382" s="31" t="s">
        <v>773</v>
      </c>
      <c r="G382" s="27">
        <v>7700</v>
      </c>
      <c r="H382" s="31" t="s">
        <v>63</v>
      </c>
      <c r="I382" s="31" t="s">
        <v>998</v>
      </c>
      <c r="J382" s="26" t="s">
        <v>775</v>
      </c>
      <c r="K382" s="27">
        <v>7700</v>
      </c>
      <c r="L382" s="31" t="s">
        <v>769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766</v>
      </c>
      <c r="D383" s="31" t="s">
        <v>576</v>
      </c>
      <c r="E383" s="31"/>
      <c r="F383" s="31" t="s">
        <v>576</v>
      </c>
      <c r="G383" s="27">
        <v>5000</v>
      </c>
      <c r="H383" s="31" t="s">
        <v>63</v>
      </c>
      <c r="I383" s="31"/>
      <c r="J383" s="26" t="s">
        <v>778</v>
      </c>
      <c r="K383" s="27">
        <v>5000</v>
      </c>
      <c r="L383" s="31" t="s">
        <v>769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766</v>
      </c>
      <c r="D384" s="31" t="s">
        <v>575</v>
      </c>
      <c r="E384" s="31" t="s">
        <v>792</v>
      </c>
      <c r="F384" s="31" t="s">
        <v>853</v>
      </c>
      <c r="G384" s="27">
        <v>16110</v>
      </c>
      <c r="H384" s="31" t="s">
        <v>63</v>
      </c>
      <c r="I384" s="31" t="s">
        <v>999</v>
      </c>
      <c r="J384" s="26" t="s">
        <v>775</v>
      </c>
      <c r="K384" s="27">
        <v>16110</v>
      </c>
      <c r="L384" s="31" t="s">
        <v>769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766</v>
      </c>
      <c r="D385" s="31" t="s">
        <v>575</v>
      </c>
      <c r="E385" s="31" t="s">
        <v>785</v>
      </c>
      <c r="F385" s="31" t="s">
        <v>488</v>
      </c>
      <c r="G385" s="27">
        <v>38260</v>
      </c>
      <c r="H385" s="31" t="s">
        <v>63</v>
      </c>
      <c r="I385" s="31" t="s">
        <v>786</v>
      </c>
      <c r="J385" s="26" t="s">
        <v>775</v>
      </c>
      <c r="K385" s="27">
        <v>38260</v>
      </c>
      <c r="L385" s="31" t="s">
        <v>769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866</v>
      </c>
      <c r="D386" s="31" t="s">
        <v>22</v>
      </c>
      <c r="E386" s="31"/>
      <c r="F386" s="31" t="s">
        <v>837</v>
      </c>
      <c r="G386" s="27">
        <v>1</v>
      </c>
      <c r="H386" s="31" t="s">
        <v>520</v>
      </c>
      <c r="I386" s="31"/>
      <c r="J386" s="26" t="s">
        <v>824</v>
      </c>
      <c r="K386" s="27">
        <v>1</v>
      </c>
      <c r="L386" s="31" t="s">
        <v>769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831</v>
      </c>
      <c r="D387" s="31" t="s">
        <v>22</v>
      </c>
      <c r="E387" s="31"/>
      <c r="F387" s="31" t="s">
        <v>837</v>
      </c>
      <c r="G387" s="27">
        <v>8</v>
      </c>
      <c r="H387" s="31" t="s">
        <v>520</v>
      </c>
      <c r="I387" s="31"/>
      <c r="J387" s="26" t="s">
        <v>824</v>
      </c>
      <c r="K387" s="27">
        <v>8</v>
      </c>
      <c r="L387" s="31" t="s">
        <v>769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861</v>
      </c>
      <c r="D388" s="31" t="s">
        <v>22</v>
      </c>
      <c r="E388" s="31"/>
      <c r="F388" s="31" t="s">
        <v>837</v>
      </c>
      <c r="G388" s="27">
        <v>40</v>
      </c>
      <c r="H388" s="31" t="s">
        <v>520</v>
      </c>
      <c r="I388" s="31"/>
      <c r="J388" s="26" t="s">
        <v>824</v>
      </c>
      <c r="K388" s="27">
        <v>40</v>
      </c>
      <c r="L388" s="31" t="s">
        <v>769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860</v>
      </c>
      <c r="D389" s="31" t="s">
        <v>22</v>
      </c>
      <c r="E389" s="31"/>
      <c r="F389" s="31" t="s">
        <v>837</v>
      </c>
      <c r="G389" s="27">
        <v>7</v>
      </c>
      <c r="H389" s="31" t="s">
        <v>520</v>
      </c>
      <c r="I389" s="31"/>
      <c r="J389" s="26" t="s">
        <v>824</v>
      </c>
      <c r="K389" s="27">
        <v>7</v>
      </c>
      <c r="L389" s="31" t="s">
        <v>769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766</v>
      </c>
      <c r="D390" s="31" t="s">
        <v>576</v>
      </c>
      <c r="E390" s="31"/>
      <c r="F390" s="31" t="s">
        <v>576</v>
      </c>
      <c r="G390" s="27">
        <v>4500</v>
      </c>
      <c r="H390" s="31" t="s">
        <v>63</v>
      </c>
      <c r="I390" s="31"/>
      <c r="J390" s="26" t="s">
        <v>778</v>
      </c>
      <c r="K390" s="27">
        <v>4500</v>
      </c>
      <c r="L390" s="31" t="s">
        <v>769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766</v>
      </c>
      <c r="D391" s="31" t="s">
        <v>575</v>
      </c>
      <c r="E391" s="31" t="s">
        <v>772</v>
      </c>
      <c r="F391" s="31" t="s">
        <v>773</v>
      </c>
      <c r="G391" s="27">
        <v>4900</v>
      </c>
      <c r="H391" s="31" t="s">
        <v>63</v>
      </c>
      <c r="I391" s="31"/>
      <c r="J391" s="26" t="s">
        <v>775</v>
      </c>
      <c r="K391" s="27">
        <v>4900</v>
      </c>
      <c r="L391" s="31" t="s">
        <v>769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766</v>
      </c>
      <c r="D392" s="31" t="s">
        <v>575</v>
      </c>
      <c r="E392" s="31" t="s">
        <v>792</v>
      </c>
      <c r="F392" s="31" t="s">
        <v>853</v>
      </c>
      <c r="G392" s="27">
        <v>14000</v>
      </c>
      <c r="H392" s="31" t="s">
        <v>63</v>
      </c>
      <c r="I392" s="31" t="s">
        <v>1000</v>
      </c>
      <c r="J392" s="26" t="s">
        <v>775</v>
      </c>
      <c r="K392" s="27">
        <v>14000</v>
      </c>
      <c r="L392" s="31" t="s">
        <v>769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831</v>
      </c>
      <c r="D393" s="31" t="s">
        <v>22</v>
      </c>
      <c r="E393" s="31"/>
      <c r="F393" s="31" t="s">
        <v>837</v>
      </c>
      <c r="G393" s="27">
        <v>8</v>
      </c>
      <c r="H393" s="31" t="s">
        <v>520</v>
      </c>
      <c r="I393" s="31"/>
      <c r="J393" s="26" t="s">
        <v>824</v>
      </c>
      <c r="K393" s="27">
        <v>8</v>
      </c>
      <c r="L393" s="31" t="s">
        <v>769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861</v>
      </c>
      <c r="D394" s="31" t="s">
        <v>22</v>
      </c>
      <c r="E394" s="31"/>
      <c r="F394" s="31" t="s">
        <v>837</v>
      </c>
      <c r="G394" s="27">
        <v>40</v>
      </c>
      <c r="H394" s="31" t="s">
        <v>520</v>
      </c>
      <c r="I394" s="31"/>
      <c r="J394" s="26" t="s">
        <v>824</v>
      </c>
      <c r="K394" s="27">
        <v>40</v>
      </c>
      <c r="L394" s="31" t="s">
        <v>769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860</v>
      </c>
      <c r="D395" s="31" t="s">
        <v>22</v>
      </c>
      <c r="E395" s="31"/>
      <c r="F395" s="31" t="s">
        <v>837</v>
      </c>
      <c r="G395" s="27">
        <v>7</v>
      </c>
      <c r="H395" s="31" t="s">
        <v>520</v>
      </c>
      <c r="I395" s="31"/>
      <c r="J395" s="26" t="s">
        <v>824</v>
      </c>
      <c r="K395" s="27">
        <v>7</v>
      </c>
      <c r="L395" s="31" t="s">
        <v>769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831</v>
      </c>
      <c r="D396" s="31" t="s">
        <v>22</v>
      </c>
      <c r="E396" s="31"/>
      <c r="F396" s="31" t="s">
        <v>837</v>
      </c>
      <c r="G396" s="27">
        <v>8</v>
      </c>
      <c r="H396" s="31" t="s">
        <v>520</v>
      </c>
      <c r="I396" s="31"/>
      <c r="J396" s="26" t="s">
        <v>824</v>
      </c>
      <c r="K396" s="27">
        <v>8</v>
      </c>
      <c r="L396" s="31" t="s">
        <v>769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860</v>
      </c>
      <c r="D397" s="31" t="s">
        <v>22</v>
      </c>
      <c r="E397" s="31"/>
      <c r="F397" s="31" t="s">
        <v>837</v>
      </c>
      <c r="G397" s="27">
        <v>7</v>
      </c>
      <c r="H397" s="31" t="s">
        <v>520</v>
      </c>
      <c r="I397" s="31"/>
      <c r="J397" s="26" t="s">
        <v>824</v>
      </c>
      <c r="K397" s="27">
        <v>7</v>
      </c>
      <c r="L397" s="31" t="s">
        <v>769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861</v>
      </c>
      <c r="D398" s="31" t="s">
        <v>22</v>
      </c>
      <c r="E398" s="31"/>
      <c r="F398" s="31" t="s">
        <v>837</v>
      </c>
      <c r="G398" s="27">
        <v>40</v>
      </c>
      <c r="H398" s="31" t="s">
        <v>520</v>
      </c>
      <c r="I398" s="31"/>
      <c r="J398" s="26" t="s">
        <v>824</v>
      </c>
      <c r="K398" s="27">
        <v>40</v>
      </c>
      <c r="L398" s="31" t="s">
        <v>769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866</v>
      </c>
      <c r="D399" s="31" t="s">
        <v>22</v>
      </c>
      <c r="E399" s="31"/>
      <c r="F399" s="31" t="s">
        <v>837</v>
      </c>
      <c r="G399" s="27">
        <v>1</v>
      </c>
      <c r="H399" s="31" t="s">
        <v>520</v>
      </c>
      <c r="I399" s="31"/>
      <c r="J399" s="26" t="s">
        <v>824</v>
      </c>
      <c r="K399" s="27">
        <v>1</v>
      </c>
      <c r="L399" s="31" t="s">
        <v>769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766</v>
      </c>
      <c r="D400" s="31" t="s">
        <v>485</v>
      </c>
      <c r="E400" s="31"/>
      <c r="F400" s="31" t="s">
        <v>917</v>
      </c>
      <c r="G400" s="27">
        <v>7972</v>
      </c>
      <c r="H400" s="31" t="s">
        <v>63</v>
      </c>
      <c r="I400" s="31" t="s">
        <v>918</v>
      </c>
      <c r="J400" s="26" t="s">
        <v>768</v>
      </c>
      <c r="K400" s="27">
        <v>7972</v>
      </c>
      <c r="L400" s="31" t="s">
        <v>769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766</v>
      </c>
      <c r="D401" s="31" t="s">
        <v>575</v>
      </c>
      <c r="E401" s="31" t="s">
        <v>772</v>
      </c>
      <c r="F401" s="31" t="s">
        <v>974</v>
      </c>
      <c r="G401" s="27">
        <v>2900</v>
      </c>
      <c r="H401" s="31" t="s">
        <v>63</v>
      </c>
      <c r="I401" s="31"/>
      <c r="J401" s="26" t="s">
        <v>775</v>
      </c>
      <c r="K401" s="27">
        <v>2900</v>
      </c>
      <c r="L401" s="31" t="s">
        <v>769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766</v>
      </c>
      <c r="D402" s="31" t="s">
        <v>575</v>
      </c>
      <c r="E402" s="31" t="s">
        <v>781</v>
      </c>
      <c r="F402" s="31" t="s">
        <v>1001</v>
      </c>
      <c r="G402" s="27">
        <v>11900</v>
      </c>
      <c r="H402" s="31" t="s">
        <v>63</v>
      </c>
      <c r="I402" s="31"/>
      <c r="J402" s="26" t="s">
        <v>775</v>
      </c>
      <c r="K402" s="27">
        <v>11900</v>
      </c>
      <c r="L402" s="31" t="s">
        <v>769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766</v>
      </c>
      <c r="D403" s="31" t="s">
        <v>575</v>
      </c>
      <c r="E403" s="31" t="s">
        <v>785</v>
      </c>
      <c r="F403" s="31" t="s">
        <v>488</v>
      </c>
      <c r="G403" s="27">
        <v>29980</v>
      </c>
      <c r="H403" s="31" t="s">
        <v>63</v>
      </c>
      <c r="I403" s="31" t="s">
        <v>1002</v>
      </c>
      <c r="J403" s="26" t="s">
        <v>775</v>
      </c>
      <c r="K403" s="27">
        <v>29980</v>
      </c>
      <c r="L403" s="31" t="s">
        <v>769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780</v>
      </c>
      <c r="D404" s="31" t="s">
        <v>817</v>
      </c>
      <c r="E404" s="31"/>
      <c r="F404" s="31" t="s">
        <v>451</v>
      </c>
      <c r="G404" s="27">
        <v>154320</v>
      </c>
      <c r="H404" s="31" t="s">
        <v>63</v>
      </c>
      <c r="I404" s="31"/>
      <c r="J404" s="26" t="s">
        <v>768</v>
      </c>
      <c r="K404" s="27">
        <v>154320</v>
      </c>
      <c r="L404" s="31" t="s">
        <v>769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803</v>
      </c>
      <c r="D405" s="31" t="s">
        <v>66</v>
      </c>
      <c r="E405" s="31"/>
      <c r="F405" s="31" t="s">
        <v>66</v>
      </c>
      <c r="G405" s="27">
        <v>3409110</v>
      </c>
      <c r="H405" s="31" t="s">
        <v>520</v>
      </c>
      <c r="I405" s="31" t="s">
        <v>1003</v>
      </c>
      <c r="J405" s="26" t="s">
        <v>66</v>
      </c>
      <c r="K405" s="27">
        <v>3409110</v>
      </c>
      <c r="L405" s="31" t="s">
        <v>769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831</v>
      </c>
      <c r="D406" s="31" t="s">
        <v>22</v>
      </c>
      <c r="E406" s="31"/>
      <c r="F406" s="31" t="s">
        <v>837</v>
      </c>
      <c r="G406" s="27">
        <v>8</v>
      </c>
      <c r="H406" s="31" t="s">
        <v>520</v>
      </c>
      <c r="I406" s="31"/>
      <c r="J406" s="26" t="s">
        <v>824</v>
      </c>
      <c r="K406" s="27">
        <v>8</v>
      </c>
      <c r="L406" s="31" t="s">
        <v>769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861</v>
      </c>
      <c r="D407" s="31" t="s">
        <v>22</v>
      </c>
      <c r="E407" s="31"/>
      <c r="F407" s="31" t="s">
        <v>837</v>
      </c>
      <c r="G407" s="27">
        <v>40</v>
      </c>
      <c r="H407" s="31" t="s">
        <v>520</v>
      </c>
      <c r="I407" s="31"/>
      <c r="J407" s="26" t="s">
        <v>824</v>
      </c>
      <c r="K407" s="27">
        <v>40</v>
      </c>
      <c r="L407" s="31" t="s">
        <v>769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860</v>
      </c>
      <c r="D408" s="31" t="s">
        <v>22</v>
      </c>
      <c r="E408" s="31"/>
      <c r="F408" s="31" t="s">
        <v>837</v>
      </c>
      <c r="G408" s="27">
        <v>7</v>
      </c>
      <c r="H408" s="31" t="s">
        <v>520</v>
      </c>
      <c r="I408" s="31"/>
      <c r="J408" s="26" t="s">
        <v>824</v>
      </c>
      <c r="K408" s="27">
        <v>7</v>
      </c>
      <c r="L408" s="31" t="s">
        <v>769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766</v>
      </c>
      <c r="D409" s="31" t="s">
        <v>575</v>
      </c>
      <c r="E409" s="31" t="s">
        <v>772</v>
      </c>
      <c r="F409" s="31" t="s">
        <v>814</v>
      </c>
      <c r="G409" s="27">
        <v>2500</v>
      </c>
      <c r="H409" s="31" t="s">
        <v>63</v>
      </c>
      <c r="I409" s="31"/>
      <c r="J409" s="26" t="s">
        <v>775</v>
      </c>
      <c r="K409" s="27">
        <v>2500</v>
      </c>
      <c r="L409" s="31" t="s">
        <v>769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766</v>
      </c>
      <c r="D410" s="31" t="s">
        <v>575</v>
      </c>
      <c r="E410" s="31" t="s">
        <v>781</v>
      </c>
      <c r="F410" s="31" t="s">
        <v>902</v>
      </c>
      <c r="G410" s="27">
        <v>11000</v>
      </c>
      <c r="H410" s="31" t="s">
        <v>63</v>
      </c>
      <c r="I410" s="31"/>
      <c r="J410" s="26" t="s">
        <v>775</v>
      </c>
      <c r="K410" s="27">
        <v>11000</v>
      </c>
      <c r="L410" s="31" t="s">
        <v>769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803</v>
      </c>
      <c r="D411" s="31" t="s">
        <v>816</v>
      </c>
      <c r="E411" s="31"/>
      <c r="F411" s="31" t="s">
        <v>81</v>
      </c>
      <c r="G411" s="27">
        <v>3709110</v>
      </c>
      <c r="H411" s="31" t="s">
        <v>807</v>
      </c>
      <c r="I411" s="31"/>
      <c r="J411" s="26" t="s">
        <v>805</v>
      </c>
      <c r="K411" s="27">
        <v>3709110</v>
      </c>
      <c r="L411" s="31" t="s">
        <v>769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816</v>
      </c>
      <c r="D412" s="31" t="s">
        <v>803</v>
      </c>
      <c r="E412" s="31"/>
      <c r="F412" s="31" t="s">
        <v>81</v>
      </c>
      <c r="G412" s="27">
        <v>3709110</v>
      </c>
      <c r="H412" s="31" t="s">
        <v>804</v>
      </c>
      <c r="I412" s="31"/>
      <c r="J412" s="26" t="s">
        <v>805</v>
      </c>
      <c r="K412" s="27">
        <v>3709110</v>
      </c>
      <c r="L412" s="31" t="s">
        <v>769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816</v>
      </c>
      <c r="D413" s="31" t="s">
        <v>922</v>
      </c>
      <c r="E413" s="31"/>
      <c r="F413" s="31" t="s">
        <v>81</v>
      </c>
      <c r="G413" s="27">
        <v>150000</v>
      </c>
      <c r="H413" s="31" t="s">
        <v>807</v>
      </c>
      <c r="I413" s="31"/>
      <c r="J413" s="26" t="s">
        <v>829</v>
      </c>
      <c r="K413" s="27">
        <v>150000</v>
      </c>
      <c r="L413" s="31" t="s">
        <v>769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922</v>
      </c>
      <c r="D414" s="31" t="s">
        <v>816</v>
      </c>
      <c r="E414" s="31"/>
      <c r="F414" s="31" t="s">
        <v>81</v>
      </c>
      <c r="G414" s="27">
        <v>150000</v>
      </c>
      <c r="H414" s="31" t="s">
        <v>804</v>
      </c>
      <c r="I414" s="31"/>
      <c r="J414" s="26" t="s">
        <v>805</v>
      </c>
      <c r="K414" s="27">
        <v>150000</v>
      </c>
      <c r="L414" s="31" t="s">
        <v>769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816</v>
      </c>
      <c r="D415" s="31" t="s">
        <v>527</v>
      </c>
      <c r="E415" s="31"/>
      <c r="F415" s="31" t="s">
        <v>81</v>
      </c>
      <c r="G415" s="27">
        <v>20000</v>
      </c>
      <c r="H415" s="31" t="s">
        <v>807</v>
      </c>
      <c r="I415" s="31"/>
      <c r="J415" s="26" t="s">
        <v>830</v>
      </c>
      <c r="K415" s="27">
        <v>20000</v>
      </c>
      <c r="L415" s="31" t="s">
        <v>769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527</v>
      </c>
      <c r="D416" s="31" t="s">
        <v>816</v>
      </c>
      <c r="E416" s="31"/>
      <c r="F416" s="31" t="s">
        <v>81</v>
      </c>
      <c r="G416" s="27">
        <v>20000</v>
      </c>
      <c r="H416" s="31" t="s">
        <v>804</v>
      </c>
      <c r="I416" s="31"/>
      <c r="J416" s="26" t="s">
        <v>805</v>
      </c>
      <c r="K416" s="27">
        <v>20000</v>
      </c>
      <c r="L416" s="31" t="s">
        <v>769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816</v>
      </c>
      <c r="D417" s="31" t="s">
        <v>559</v>
      </c>
      <c r="E417" s="31"/>
      <c r="F417" s="31" t="s">
        <v>858</v>
      </c>
      <c r="G417" s="27">
        <v>20000</v>
      </c>
      <c r="H417" s="31" t="s">
        <v>807</v>
      </c>
      <c r="I417" s="31"/>
      <c r="J417" s="26" t="s">
        <v>839</v>
      </c>
      <c r="K417" s="27">
        <v>20000</v>
      </c>
      <c r="L417" s="31" t="s">
        <v>769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559</v>
      </c>
      <c r="D418" s="31" t="s">
        <v>816</v>
      </c>
      <c r="E418" s="31"/>
      <c r="F418" s="31" t="s">
        <v>858</v>
      </c>
      <c r="G418" s="27">
        <v>20000</v>
      </c>
      <c r="H418" s="31" t="s">
        <v>804</v>
      </c>
      <c r="I418" s="31"/>
      <c r="J418" s="26" t="s">
        <v>805</v>
      </c>
      <c r="K418" s="27">
        <v>20000</v>
      </c>
      <c r="L418" s="31" t="s">
        <v>769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816</v>
      </c>
      <c r="D419" s="31" t="s">
        <v>193</v>
      </c>
      <c r="E419" s="31"/>
      <c r="F419" s="31" t="s">
        <v>81</v>
      </c>
      <c r="G419" s="27">
        <v>8000</v>
      </c>
      <c r="H419" s="31" t="s">
        <v>807</v>
      </c>
      <c r="I419" s="31"/>
      <c r="J419" s="26" t="s">
        <v>805</v>
      </c>
      <c r="K419" s="27">
        <v>8000</v>
      </c>
      <c r="L419" s="31" t="s">
        <v>769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193</v>
      </c>
      <c r="D420" s="31" t="s">
        <v>816</v>
      </c>
      <c r="E420" s="31"/>
      <c r="F420" s="31" t="s">
        <v>81</v>
      </c>
      <c r="G420" s="27">
        <v>8000</v>
      </c>
      <c r="H420" s="31" t="s">
        <v>804</v>
      </c>
      <c r="I420" s="31"/>
      <c r="J420" s="26" t="s">
        <v>805</v>
      </c>
      <c r="K420" s="27">
        <v>8000</v>
      </c>
      <c r="L420" s="31" t="s">
        <v>769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766</v>
      </c>
      <c r="D421" s="31" t="s">
        <v>485</v>
      </c>
      <c r="E421" s="31"/>
      <c r="F421" s="31" t="s">
        <v>926</v>
      </c>
      <c r="G421" s="27">
        <v>4890</v>
      </c>
      <c r="H421" s="31" t="s">
        <v>63</v>
      </c>
      <c r="I421" s="31"/>
      <c r="J421" s="26" t="s">
        <v>768</v>
      </c>
      <c r="K421" s="27">
        <v>4890</v>
      </c>
      <c r="L421" s="31" t="s">
        <v>769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766</v>
      </c>
      <c r="D422" s="31" t="s">
        <v>575</v>
      </c>
      <c r="E422" s="31" t="s">
        <v>772</v>
      </c>
      <c r="F422" s="31" t="s">
        <v>891</v>
      </c>
      <c r="G422" s="27">
        <v>1900</v>
      </c>
      <c r="H422" s="31" t="s">
        <v>63</v>
      </c>
      <c r="I422" s="31"/>
      <c r="J422" s="26" t="s">
        <v>775</v>
      </c>
      <c r="K422" s="27">
        <v>1900</v>
      </c>
      <c r="L422" s="31" t="s">
        <v>769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866</v>
      </c>
      <c r="D423" s="31" t="s">
        <v>22</v>
      </c>
      <c r="E423" s="31"/>
      <c r="F423" s="31" t="s">
        <v>837</v>
      </c>
      <c r="G423" s="27">
        <v>1</v>
      </c>
      <c r="H423" s="31" t="s">
        <v>520</v>
      </c>
      <c r="I423" s="31"/>
      <c r="J423" s="26" t="s">
        <v>824</v>
      </c>
      <c r="K423" s="27">
        <v>1</v>
      </c>
      <c r="L423" s="31" t="s">
        <v>769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860</v>
      </c>
      <c r="D424" s="31" t="s">
        <v>22</v>
      </c>
      <c r="E424" s="31"/>
      <c r="F424" s="31" t="s">
        <v>837</v>
      </c>
      <c r="G424" s="27">
        <v>7</v>
      </c>
      <c r="H424" s="31" t="s">
        <v>520</v>
      </c>
      <c r="I424" s="31"/>
      <c r="J424" s="26" t="s">
        <v>824</v>
      </c>
      <c r="K424" s="27">
        <v>7</v>
      </c>
      <c r="L424" s="31" t="s">
        <v>769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861</v>
      </c>
      <c r="D425" s="31" t="s">
        <v>22</v>
      </c>
      <c r="E425" s="31"/>
      <c r="F425" s="31" t="s">
        <v>837</v>
      </c>
      <c r="G425" s="27">
        <v>40</v>
      </c>
      <c r="H425" s="31" t="s">
        <v>520</v>
      </c>
      <c r="I425" s="31"/>
      <c r="J425" s="26" t="s">
        <v>824</v>
      </c>
      <c r="K425" s="27">
        <v>40</v>
      </c>
      <c r="L425" s="31" t="s">
        <v>769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831</v>
      </c>
      <c r="D426" s="31" t="s">
        <v>22</v>
      </c>
      <c r="E426" s="31"/>
      <c r="F426" s="31" t="s">
        <v>837</v>
      </c>
      <c r="G426" s="27">
        <v>8</v>
      </c>
      <c r="H426" s="31" t="s">
        <v>520</v>
      </c>
      <c r="I426" s="31"/>
      <c r="J426" s="26" t="s">
        <v>824</v>
      </c>
      <c r="K426" s="27">
        <v>8</v>
      </c>
      <c r="L426" s="31" t="s">
        <v>769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780</v>
      </c>
      <c r="D427" s="31" t="s">
        <v>843</v>
      </c>
      <c r="E427" s="31" t="s">
        <v>932</v>
      </c>
      <c r="F427" s="31" t="s">
        <v>933</v>
      </c>
      <c r="G427" s="27">
        <v>138056</v>
      </c>
      <c r="H427" s="31" t="s">
        <v>63</v>
      </c>
      <c r="I427" s="31"/>
      <c r="J427" s="26" t="s">
        <v>768</v>
      </c>
      <c r="K427" s="27">
        <v>138056</v>
      </c>
      <c r="L427" s="31" t="s">
        <v>769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175</v>
      </c>
      <c r="D428" s="31" t="s">
        <v>22</v>
      </c>
      <c r="E428" s="31"/>
      <c r="F428" s="31" t="s">
        <v>984</v>
      </c>
      <c r="G428" s="27">
        <v>4</v>
      </c>
      <c r="H428" s="31" t="s">
        <v>520</v>
      </c>
      <c r="I428" s="31"/>
      <c r="J428" s="26" t="s">
        <v>824</v>
      </c>
      <c r="K428" s="27">
        <v>4</v>
      </c>
      <c r="L428" s="31" t="s">
        <v>769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766</v>
      </c>
      <c r="D429" s="31" t="s">
        <v>575</v>
      </c>
      <c r="E429" s="31" t="s">
        <v>781</v>
      </c>
      <c r="F429" s="31" t="s">
        <v>1004</v>
      </c>
      <c r="G429" s="27">
        <v>7500</v>
      </c>
      <c r="H429" s="31" t="s">
        <v>63</v>
      </c>
      <c r="I429" s="31"/>
      <c r="J429" s="26" t="s">
        <v>775</v>
      </c>
      <c r="K429" s="27">
        <v>7500</v>
      </c>
      <c r="L429" s="31" t="s">
        <v>769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766</v>
      </c>
      <c r="D430" s="31" t="s">
        <v>575</v>
      </c>
      <c r="E430" s="31" t="s">
        <v>772</v>
      </c>
      <c r="F430" s="31" t="s">
        <v>884</v>
      </c>
      <c r="G430" s="27">
        <v>10100</v>
      </c>
      <c r="H430" s="31" t="s">
        <v>63</v>
      </c>
      <c r="I430" s="31"/>
      <c r="J430" s="26" t="s">
        <v>775</v>
      </c>
      <c r="K430" s="27">
        <v>10100</v>
      </c>
      <c r="L430" s="31" t="s">
        <v>769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816</v>
      </c>
      <c r="D431" s="31" t="s">
        <v>1005</v>
      </c>
      <c r="E431" s="31"/>
      <c r="F431" s="31" t="s">
        <v>81</v>
      </c>
      <c r="G431" s="27">
        <v>60000</v>
      </c>
      <c r="H431" s="31" t="s">
        <v>807</v>
      </c>
      <c r="I431" s="31"/>
      <c r="J431" s="26" t="s">
        <v>833</v>
      </c>
      <c r="K431" s="27">
        <v>60000</v>
      </c>
      <c r="L431" s="31" t="s">
        <v>769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1005</v>
      </c>
      <c r="D432" s="31" t="s">
        <v>816</v>
      </c>
      <c r="E432" s="31"/>
      <c r="F432" s="31" t="s">
        <v>81</v>
      </c>
      <c r="G432" s="27">
        <v>60000</v>
      </c>
      <c r="H432" s="31" t="s">
        <v>804</v>
      </c>
      <c r="I432" s="31"/>
      <c r="J432" s="26" t="s">
        <v>805</v>
      </c>
      <c r="K432" s="27">
        <v>60000</v>
      </c>
      <c r="L432" s="31" t="s">
        <v>769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816</v>
      </c>
      <c r="D433" s="31" t="s">
        <v>1006</v>
      </c>
      <c r="E433" s="31"/>
      <c r="F433" s="31" t="s">
        <v>81</v>
      </c>
      <c r="G433" s="27">
        <v>60000</v>
      </c>
      <c r="H433" s="31" t="s">
        <v>807</v>
      </c>
      <c r="I433" s="31"/>
      <c r="J433" s="26" t="s">
        <v>833</v>
      </c>
      <c r="K433" s="27">
        <v>60000</v>
      </c>
      <c r="L433" s="31" t="s">
        <v>769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1006</v>
      </c>
      <c r="D434" s="31" t="s">
        <v>816</v>
      </c>
      <c r="E434" s="31"/>
      <c r="F434" s="31" t="s">
        <v>81</v>
      </c>
      <c r="G434" s="27">
        <v>60000</v>
      </c>
      <c r="H434" s="31" t="s">
        <v>804</v>
      </c>
      <c r="I434" s="31"/>
      <c r="J434" s="26" t="s">
        <v>805</v>
      </c>
      <c r="K434" s="27">
        <v>60000</v>
      </c>
      <c r="L434" s="31" t="s">
        <v>769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196</v>
      </c>
      <c r="D435" s="31" t="s">
        <v>22</v>
      </c>
      <c r="E435" s="31"/>
      <c r="F435" s="31" t="s">
        <v>1007</v>
      </c>
      <c r="G435" s="27">
        <v>90</v>
      </c>
      <c r="H435" s="31" t="s">
        <v>520</v>
      </c>
      <c r="I435" s="31"/>
      <c r="J435" s="26" t="s">
        <v>824</v>
      </c>
      <c r="K435" s="27">
        <v>90</v>
      </c>
      <c r="L435" s="31" t="s">
        <v>769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816</v>
      </c>
      <c r="D436" s="31" t="s">
        <v>860</v>
      </c>
      <c r="E436" s="31"/>
      <c r="F436" s="31" t="s">
        <v>81</v>
      </c>
      <c r="G436" s="27">
        <v>100000</v>
      </c>
      <c r="H436" s="31" t="s">
        <v>807</v>
      </c>
      <c r="I436" s="31"/>
      <c r="J436" s="26" t="s">
        <v>805</v>
      </c>
      <c r="K436" s="27">
        <v>100000</v>
      </c>
      <c r="L436" s="31" t="s">
        <v>769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860</v>
      </c>
      <c r="D437" s="31" t="s">
        <v>816</v>
      </c>
      <c r="E437" s="31"/>
      <c r="F437" s="31" t="s">
        <v>81</v>
      </c>
      <c r="G437" s="27">
        <v>100000</v>
      </c>
      <c r="H437" s="31" t="s">
        <v>804</v>
      </c>
      <c r="I437" s="31"/>
      <c r="J437" s="26" t="s">
        <v>805</v>
      </c>
      <c r="K437" s="27">
        <v>100000</v>
      </c>
      <c r="L437" s="31" t="s">
        <v>769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816</v>
      </c>
      <c r="D438" s="31" t="s">
        <v>862</v>
      </c>
      <c r="E438" s="31"/>
      <c r="F438" s="31" t="s">
        <v>81</v>
      </c>
      <c r="G438" s="27">
        <v>50000</v>
      </c>
      <c r="H438" s="31" t="s">
        <v>807</v>
      </c>
      <c r="I438" s="31"/>
      <c r="J438" s="26" t="s">
        <v>805</v>
      </c>
      <c r="K438" s="27">
        <v>50000</v>
      </c>
      <c r="L438" s="31" t="s">
        <v>769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862</v>
      </c>
      <c r="D439" s="31" t="s">
        <v>816</v>
      </c>
      <c r="E439" s="31"/>
      <c r="F439" s="31" t="s">
        <v>81</v>
      </c>
      <c r="G439" s="27">
        <v>50000</v>
      </c>
      <c r="H439" s="31" t="s">
        <v>804</v>
      </c>
      <c r="I439" s="31"/>
      <c r="J439" s="26" t="s">
        <v>805</v>
      </c>
      <c r="K439" s="27">
        <v>50000</v>
      </c>
      <c r="L439" s="31" t="s">
        <v>769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861</v>
      </c>
      <c r="D440" s="31" t="s">
        <v>816</v>
      </c>
      <c r="E440" s="31"/>
      <c r="F440" s="31" t="s">
        <v>81</v>
      </c>
      <c r="G440" s="27">
        <v>150000</v>
      </c>
      <c r="H440" s="31" t="s">
        <v>804</v>
      </c>
      <c r="I440" s="31"/>
      <c r="J440" s="26" t="s">
        <v>805</v>
      </c>
      <c r="K440" s="27">
        <v>150000</v>
      </c>
      <c r="L440" s="31" t="s">
        <v>769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816</v>
      </c>
      <c r="D441" s="31" t="s">
        <v>861</v>
      </c>
      <c r="E441" s="31"/>
      <c r="F441" s="31" t="s">
        <v>81</v>
      </c>
      <c r="G441" s="27">
        <v>150000</v>
      </c>
      <c r="H441" s="31" t="s">
        <v>807</v>
      </c>
      <c r="I441" s="31"/>
      <c r="J441" s="26" t="s">
        <v>805</v>
      </c>
      <c r="K441" s="27">
        <v>150000</v>
      </c>
      <c r="L441" s="31" t="s">
        <v>769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924</v>
      </c>
      <c r="D442" s="31" t="s">
        <v>816</v>
      </c>
      <c r="E442" s="31"/>
      <c r="F442" s="31" t="s">
        <v>81</v>
      </c>
      <c r="G442" s="27">
        <v>300000</v>
      </c>
      <c r="H442" s="31" t="s">
        <v>804</v>
      </c>
      <c r="I442" s="31"/>
      <c r="J442" s="26" t="s">
        <v>805</v>
      </c>
      <c r="K442" s="27">
        <v>300000</v>
      </c>
      <c r="L442" s="31" t="s">
        <v>769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816</v>
      </c>
      <c r="D443" s="31" t="s">
        <v>924</v>
      </c>
      <c r="E443" s="31"/>
      <c r="F443" s="31" t="s">
        <v>81</v>
      </c>
      <c r="G443" s="27">
        <v>300000</v>
      </c>
      <c r="H443" s="31" t="s">
        <v>807</v>
      </c>
      <c r="I443" s="31"/>
      <c r="J443" s="26" t="s">
        <v>842</v>
      </c>
      <c r="K443" s="27">
        <v>300000</v>
      </c>
      <c r="L443" s="31" t="s">
        <v>769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193</v>
      </c>
      <c r="D444" s="31" t="s">
        <v>22</v>
      </c>
      <c r="E444" s="31"/>
      <c r="F444" s="31" t="s">
        <v>927</v>
      </c>
      <c r="G444" s="27">
        <v>15374</v>
      </c>
      <c r="H444" s="31" t="s">
        <v>63</v>
      </c>
      <c r="I444" s="31"/>
      <c r="J444" s="26" t="s">
        <v>768</v>
      </c>
      <c r="K444" s="27">
        <v>15374</v>
      </c>
      <c r="L444" s="31" t="s">
        <v>769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831</v>
      </c>
      <c r="D445" s="31" t="s">
        <v>22</v>
      </c>
      <c r="E445" s="31"/>
      <c r="F445" s="31" t="s">
        <v>837</v>
      </c>
      <c r="G445" s="27">
        <v>8</v>
      </c>
      <c r="H445" s="31" t="s">
        <v>520</v>
      </c>
      <c r="I445" s="31"/>
      <c r="J445" s="26" t="s">
        <v>824</v>
      </c>
      <c r="K445" s="27">
        <v>8</v>
      </c>
      <c r="L445" s="31" t="s">
        <v>769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861</v>
      </c>
      <c r="D446" s="31" t="s">
        <v>22</v>
      </c>
      <c r="E446" s="31"/>
      <c r="F446" s="31" t="s">
        <v>837</v>
      </c>
      <c r="G446" s="27">
        <v>46</v>
      </c>
      <c r="H446" s="31" t="s">
        <v>520</v>
      </c>
      <c r="I446" s="31"/>
      <c r="J446" s="26" t="s">
        <v>824</v>
      </c>
      <c r="K446" s="27">
        <v>46</v>
      </c>
      <c r="L446" s="31" t="s">
        <v>769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860</v>
      </c>
      <c r="D447" s="31" t="s">
        <v>22</v>
      </c>
      <c r="E447" s="31"/>
      <c r="F447" s="31" t="s">
        <v>837</v>
      </c>
      <c r="G447" s="27">
        <v>11</v>
      </c>
      <c r="H447" s="31" t="s">
        <v>520</v>
      </c>
      <c r="I447" s="31"/>
      <c r="J447" s="26" t="s">
        <v>824</v>
      </c>
      <c r="K447" s="27">
        <v>11</v>
      </c>
      <c r="L447" s="31" t="s">
        <v>769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862</v>
      </c>
      <c r="D448" s="31" t="s">
        <v>22</v>
      </c>
      <c r="E448" s="31"/>
      <c r="F448" s="31" t="s">
        <v>837</v>
      </c>
      <c r="G448" s="27">
        <v>1</v>
      </c>
      <c r="H448" s="31" t="s">
        <v>520</v>
      </c>
      <c r="I448" s="31"/>
      <c r="J448" s="26" t="s">
        <v>824</v>
      </c>
      <c r="K448" s="27">
        <v>1</v>
      </c>
      <c r="L448" s="31" t="s">
        <v>769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766</v>
      </c>
      <c r="D449" s="31" t="s">
        <v>575</v>
      </c>
      <c r="E449" s="31" t="s">
        <v>772</v>
      </c>
      <c r="F449" s="31" t="s">
        <v>814</v>
      </c>
      <c r="G449" s="27">
        <v>2300</v>
      </c>
      <c r="H449" s="31" t="s">
        <v>63</v>
      </c>
      <c r="I449" s="31"/>
      <c r="J449" s="26" t="s">
        <v>775</v>
      </c>
      <c r="K449" s="27">
        <v>2300</v>
      </c>
      <c r="L449" s="31" t="s">
        <v>769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766</v>
      </c>
      <c r="D450" s="31" t="s">
        <v>843</v>
      </c>
      <c r="E450" s="31" t="s">
        <v>844</v>
      </c>
      <c r="F450" s="31" t="s">
        <v>970</v>
      </c>
      <c r="G450" s="27">
        <v>10000</v>
      </c>
      <c r="H450" s="31" t="s">
        <v>63</v>
      </c>
      <c r="I450" s="31" t="s">
        <v>1008</v>
      </c>
      <c r="J450" s="26" t="s">
        <v>775</v>
      </c>
      <c r="K450" s="27">
        <v>10000</v>
      </c>
      <c r="L450" s="31" t="s">
        <v>769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766</v>
      </c>
      <c r="D451" s="31" t="s">
        <v>575</v>
      </c>
      <c r="E451" s="31" t="s">
        <v>781</v>
      </c>
      <c r="F451" s="31" t="s">
        <v>910</v>
      </c>
      <c r="G451" s="27">
        <v>11000</v>
      </c>
      <c r="H451" s="31" t="s">
        <v>63</v>
      </c>
      <c r="I451" s="31"/>
      <c r="J451" s="26" t="s">
        <v>775</v>
      </c>
      <c r="K451" s="27">
        <v>11000</v>
      </c>
      <c r="L451" s="31" t="s">
        <v>769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766</v>
      </c>
      <c r="D452" s="31" t="s">
        <v>575</v>
      </c>
      <c r="E452" s="31" t="s">
        <v>785</v>
      </c>
      <c r="F452" s="31" t="s">
        <v>488</v>
      </c>
      <c r="G452" s="27">
        <v>8590</v>
      </c>
      <c r="H452" s="31" t="s">
        <v>63</v>
      </c>
      <c r="I452" s="31" t="s">
        <v>1009</v>
      </c>
      <c r="J452" s="26" t="s">
        <v>775</v>
      </c>
      <c r="K452" s="27">
        <v>8590</v>
      </c>
      <c r="L452" s="31" t="s">
        <v>769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887</v>
      </c>
      <c r="D453" s="31" t="s">
        <v>942</v>
      </c>
      <c r="E453" s="31"/>
      <c r="F453" s="31" t="s">
        <v>943</v>
      </c>
      <c r="G453" s="27">
        <v>51460</v>
      </c>
      <c r="H453" s="31" t="s">
        <v>63</v>
      </c>
      <c r="I453" s="31" t="s">
        <v>1010</v>
      </c>
      <c r="J453" s="26" t="s">
        <v>768</v>
      </c>
      <c r="K453" s="27">
        <v>51460</v>
      </c>
      <c r="L453" s="31" t="s">
        <v>769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766</v>
      </c>
      <c r="D454" s="31" t="s">
        <v>485</v>
      </c>
      <c r="E454" s="31"/>
      <c r="F454" s="31" t="s">
        <v>486</v>
      </c>
      <c r="G454" s="27">
        <v>7890</v>
      </c>
      <c r="H454" s="31" t="s">
        <v>63</v>
      </c>
      <c r="I454" s="31"/>
      <c r="J454" s="26" t="s">
        <v>768</v>
      </c>
      <c r="K454" s="27">
        <v>7890</v>
      </c>
      <c r="L454" s="31" t="s">
        <v>769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766</v>
      </c>
      <c r="D455" s="31" t="s">
        <v>22</v>
      </c>
      <c r="E455" s="31"/>
      <c r="F455" s="31" t="s">
        <v>941</v>
      </c>
      <c r="G455" s="27">
        <v>-20156</v>
      </c>
      <c r="H455" s="31" t="s">
        <v>63</v>
      </c>
      <c r="I455" s="31"/>
      <c r="J455" s="26" t="s">
        <v>849</v>
      </c>
      <c r="K455" s="27">
        <v>-20156</v>
      </c>
      <c r="L455" s="31" t="s">
        <v>769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766</v>
      </c>
      <c r="D456" s="31" t="s">
        <v>843</v>
      </c>
      <c r="E456" s="31" t="s">
        <v>844</v>
      </c>
      <c r="F456" s="31" t="s">
        <v>1011</v>
      </c>
      <c r="G456" s="27">
        <v>6900</v>
      </c>
      <c r="H456" s="31" t="s">
        <v>63</v>
      </c>
      <c r="I456" s="31"/>
      <c r="J456" s="26" t="s">
        <v>775</v>
      </c>
      <c r="K456" s="27">
        <v>6900</v>
      </c>
      <c r="L456" s="31" t="s">
        <v>769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766</v>
      </c>
      <c r="D457" s="31" t="s">
        <v>843</v>
      </c>
      <c r="E457" s="31" t="s">
        <v>844</v>
      </c>
      <c r="F457" s="31" t="s">
        <v>1012</v>
      </c>
      <c r="G457" s="27">
        <v>11300</v>
      </c>
      <c r="H457" s="31" t="s">
        <v>63</v>
      </c>
      <c r="I457" s="31"/>
      <c r="J457" s="26" t="s">
        <v>775</v>
      </c>
      <c r="K457" s="27">
        <v>11300</v>
      </c>
      <c r="L457" s="31" t="s">
        <v>769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766</v>
      </c>
      <c r="D458" s="31" t="s">
        <v>575</v>
      </c>
      <c r="E458" s="31" t="s">
        <v>792</v>
      </c>
      <c r="F458" s="31" t="s">
        <v>853</v>
      </c>
      <c r="G458" s="27">
        <v>14900</v>
      </c>
      <c r="H458" s="31" t="s">
        <v>63</v>
      </c>
      <c r="I458" s="31" t="s">
        <v>1013</v>
      </c>
      <c r="J458" s="26" t="s">
        <v>775</v>
      </c>
      <c r="K458" s="27">
        <v>14900</v>
      </c>
      <c r="L458" s="31" t="s">
        <v>769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766</v>
      </c>
      <c r="D459" s="31" t="s">
        <v>575</v>
      </c>
      <c r="E459" s="31" t="s">
        <v>785</v>
      </c>
      <c r="F459" s="31" t="s">
        <v>1014</v>
      </c>
      <c r="G459" s="27">
        <v>41880</v>
      </c>
      <c r="H459" s="31" t="s">
        <v>63</v>
      </c>
      <c r="I459" s="31" t="s">
        <v>1015</v>
      </c>
      <c r="J459" s="26" t="s">
        <v>775</v>
      </c>
      <c r="K459" s="27">
        <v>41880</v>
      </c>
      <c r="L459" s="31" t="s">
        <v>769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766</v>
      </c>
      <c r="D460" s="31" t="s">
        <v>575</v>
      </c>
      <c r="E460" s="31" t="s">
        <v>792</v>
      </c>
      <c r="F460" s="31" t="s">
        <v>853</v>
      </c>
      <c r="G460" s="27">
        <v>15400</v>
      </c>
      <c r="H460" s="31" t="s">
        <v>63</v>
      </c>
      <c r="I460" s="31" t="s">
        <v>1016</v>
      </c>
      <c r="J460" s="26" t="s">
        <v>775</v>
      </c>
      <c r="K460" s="27">
        <v>15400</v>
      </c>
      <c r="L460" s="31" t="s">
        <v>769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816</v>
      </c>
      <c r="D461" s="31" t="s">
        <v>22</v>
      </c>
      <c r="E461" s="31"/>
      <c r="F461" s="31" t="s">
        <v>897</v>
      </c>
      <c r="G461" s="27">
        <v>373</v>
      </c>
      <c r="H461" s="31" t="s">
        <v>520</v>
      </c>
      <c r="I461" s="31"/>
      <c r="J461" s="26" t="s">
        <v>824</v>
      </c>
      <c r="K461" s="27">
        <v>373</v>
      </c>
      <c r="L461" s="31" t="s">
        <v>769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866</v>
      </c>
      <c r="D462" s="31" t="s">
        <v>22</v>
      </c>
      <c r="E462" s="31"/>
      <c r="F462" s="31" t="s">
        <v>837</v>
      </c>
      <c r="G462" s="27">
        <v>1</v>
      </c>
      <c r="H462" s="31" t="s">
        <v>520</v>
      </c>
      <c r="I462" s="31"/>
      <c r="J462" s="26" t="s">
        <v>824</v>
      </c>
      <c r="K462" s="27">
        <v>1</v>
      </c>
      <c r="L462" s="31" t="s">
        <v>769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831</v>
      </c>
      <c r="D463" s="31" t="s">
        <v>22</v>
      </c>
      <c r="E463" s="31"/>
      <c r="F463" s="31" t="s">
        <v>837</v>
      </c>
      <c r="G463" s="27">
        <v>8</v>
      </c>
      <c r="H463" s="31" t="s">
        <v>520</v>
      </c>
      <c r="I463" s="31"/>
      <c r="J463" s="26" t="s">
        <v>824</v>
      </c>
      <c r="K463" s="27">
        <v>8</v>
      </c>
      <c r="L463" s="31" t="s">
        <v>769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861</v>
      </c>
      <c r="D464" s="31" t="s">
        <v>22</v>
      </c>
      <c r="E464" s="31"/>
      <c r="F464" s="31" t="s">
        <v>837</v>
      </c>
      <c r="G464" s="27">
        <v>46</v>
      </c>
      <c r="H464" s="31" t="s">
        <v>520</v>
      </c>
      <c r="I464" s="31"/>
      <c r="J464" s="26" t="s">
        <v>824</v>
      </c>
      <c r="K464" s="27">
        <v>46</v>
      </c>
      <c r="L464" s="31" t="s">
        <v>769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559</v>
      </c>
      <c r="D465" s="31" t="s">
        <v>22</v>
      </c>
      <c r="E465" s="31"/>
      <c r="F465" s="31" t="s">
        <v>1017</v>
      </c>
      <c r="G465" s="27">
        <v>745</v>
      </c>
      <c r="H465" s="31" t="s">
        <v>520</v>
      </c>
      <c r="I465" s="31"/>
      <c r="J465" s="26" t="s">
        <v>824</v>
      </c>
      <c r="K465" s="27">
        <v>745</v>
      </c>
      <c r="L465" s="31" t="s">
        <v>769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860</v>
      </c>
      <c r="D466" s="31" t="s">
        <v>22</v>
      </c>
      <c r="E466" s="31"/>
      <c r="F466" s="31" t="s">
        <v>837</v>
      </c>
      <c r="G466" s="27">
        <v>11</v>
      </c>
      <c r="H466" s="31" t="s">
        <v>520</v>
      </c>
      <c r="I466" s="31"/>
      <c r="J466" s="26" t="s">
        <v>824</v>
      </c>
      <c r="K466" s="27">
        <v>11</v>
      </c>
      <c r="L466" s="31" t="s">
        <v>769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862</v>
      </c>
      <c r="D467" s="31" t="s">
        <v>22</v>
      </c>
      <c r="E467" s="31"/>
      <c r="F467" s="31" t="s">
        <v>837</v>
      </c>
      <c r="G467" s="27">
        <v>1</v>
      </c>
      <c r="H467" s="31" t="s">
        <v>520</v>
      </c>
      <c r="I467" s="31"/>
      <c r="J467" s="26" t="s">
        <v>824</v>
      </c>
      <c r="K467" s="27">
        <v>1</v>
      </c>
      <c r="L467" s="31" t="s">
        <v>769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559</v>
      </c>
      <c r="D468" s="31" t="s">
        <v>22</v>
      </c>
      <c r="E468" s="31"/>
      <c r="F468" s="31" t="s">
        <v>916</v>
      </c>
      <c r="G468" s="27">
        <v>1</v>
      </c>
      <c r="H468" s="31" t="s">
        <v>520</v>
      </c>
      <c r="I468" s="31"/>
      <c r="J468" s="26" t="s">
        <v>824</v>
      </c>
      <c r="K468" s="27">
        <v>1</v>
      </c>
      <c r="L468" s="31" t="s">
        <v>769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196</v>
      </c>
      <c r="D469" s="31" t="s">
        <v>22</v>
      </c>
      <c r="E469" s="31"/>
      <c r="F469" s="31" t="s">
        <v>916</v>
      </c>
      <c r="G469" s="27">
        <v>1</v>
      </c>
      <c r="H469" s="31" t="s">
        <v>520</v>
      </c>
      <c r="I469" s="31"/>
      <c r="J469" s="26" t="s">
        <v>824</v>
      </c>
      <c r="K469" s="27">
        <v>1</v>
      </c>
      <c r="L469" s="31" t="s">
        <v>769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766</v>
      </c>
      <c r="D470" s="31" t="s">
        <v>485</v>
      </c>
      <c r="E470" s="31"/>
      <c r="F470" s="31" t="s">
        <v>767</v>
      </c>
      <c r="G470" s="27">
        <v>3177</v>
      </c>
      <c r="H470" s="31" t="s">
        <v>63</v>
      </c>
      <c r="I470" s="31"/>
      <c r="J470" s="26" t="s">
        <v>768</v>
      </c>
      <c r="K470" s="27">
        <v>3177</v>
      </c>
      <c r="L470" s="31" t="s">
        <v>769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766</v>
      </c>
      <c r="D471" s="31" t="s">
        <v>575</v>
      </c>
      <c r="E471" s="31" t="s">
        <v>772</v>
      </c>
      <c r="F471" s="31" t="s">
        <v>773</v>
      </c>
      <c r="G471" s="27">
        <v>1000</v>
      </c>
      <c r="H471" s="31" t="s">
        <v>63</v>
      </c>
      <c r="I471" s="31" t="s">
        <v>1018</v>
      </c>
      <c r="J471" s="26" t="s">
        <v>775</v>
      </c>
      <c r="K471" s="27">
        <v>1000</v>
      </c>
      <c r="L471" s="31" t="s">
        <v>769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766</v>
      </c>
      <c r="D472" s="31" t="s">
        <v>575</v>
      </c>
      <c r="E472" s="31" t="s">
        <v>772</v>
      </c>
      <c r="F472" s="31" t="s">
        <v>773</v>
      </c>
      <c r="G472" s="27">
        <v>9700</v>
      </c>
      <c r="H472" s="31" t="s">
        <v>63</v>
      </c>
      <c r="I472" s="31" t="s">
        <v>1019</v>
      </c>
      <c r="J472" s="26" t="s">
        <v>775</v>
      </c>
      <c r="K472" s="27">
        <v>9700</v>
      </c>
      <c r="L472" s="31" t="s">
        <v>769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831</v>
      </c>
      <c r="D473" s="31" t="s">
        <v>22</v>
      </c>
      <c r="E473" s="31"/>
      <c r="F473" s="31" t="s">
        <v>837</v>
      </c>
      <c r="G473" s="27">
        <v>8</v>
      </c>
      <c r="H473" s="31" t="s">
        <v>520</v>
      </c>
      <c r="I473" s="31"/>
      <c r="J473" s="26" t="s">
        <v>824</v>
      </c>
      <c r="K473" s="27">
        <v>8</v>
      </c>
      <c r="L473" s="31" t="s">
        <v>769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861</v>
      </c>
      <c r="D474" s="31" t="s">
        <v>22</v>
      </c>
      <c r="E474" s="31"/>
      <c r="F474" s="31" t="s">
        <v>837</v>
      </c>
      <c r="G474" s="27">
        <v>46</v>
      </c>
      <c r="H474" s="31" t="s">
        <v>520</v>
      </c>
      <c r="I474" s="31"/>
      <c r="J474" s="26" t="s">
        <v>824</v>
      </c>
      <c r="K474" s="27">
        <v>46</v>
      </c>
      <c r="L474" s="31" t="s">
        <v>769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860</v>
      </c>
      <c r="D475" s="31" t="s">
        <v>22</v>
      </c>
      <c r="E475" s="31"/>
      <c r="F475" s="31" t="s">
        <v>837</v>
      </c>
      <c r="G475" s="27">
        <v>11</v>
      </c>
      <c r="H475" s="31" t="s">
        <v>520</v>
      </c>
      <c r="I475" s="31"/>
      <c r="J475" s="26" t="s">
        <v>824</v>
      </c>
      <c r="K475" s="27">
        <v>11</v>
      </c>
      <c r="L475" s="31" t="s">
        <v>769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862</v>
      </c>
      <c r="D476" s="31" t="s">
        <v>22</v>
      </c>
      <c r="E476" s="31"/>
      <c r="F476" s="31" t="s">
        <v>837</v>
      </c>
      <c r="G476" s="27">
        <v>1</v>
      </c>
      <c r="H476" s="31" t="s">
        <v>520</v>
      </c>
      <c r="I476" s="31"/>
      <c r="J476" s="26" t="s">
        <v>824</v>
      </c>
      <c r="K476" s="27">
        <v>1</v>
      </c>
      <c r="L476" s="31" t="s">
        <v>769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780</v>
      </c>
      <c r="D477" s="31" t="s">
        <v>575</v>
      </c>
      <c r="E477" s="31" t="s">
        <v>772</v>
      </c>
      <c r="F477" s="31" t="s">
        <v>773</v>
      </c>
      <c r="G477" s="27">
        <v>4300</v>
      </c>
      <c r="H477" s="31" t="s">
        <v>63</v>
      </c>
      <c r="I477" s="31" t="s">
        <v>868</v>
      </c>
      <c r="J477" s="26" t="s">
        <v>775</v>
      </c>
      <c r="K477" s="27">
        <v>4300</v>
      </c>
      <c r="L477" s="31" t="s">
        <v>769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780</v>
      </c>
      <c r="D478" s="31" t="s">
        <v>906</v>
      </c>
      <c r="E478" s="31"/>
      <c r="F478" s="31" t="s">
        <v>1020</v>
      </c>
      <c r="G478" s="27">
        <v>6500</v>
      </c>
      <c r="H478" s="31" t="s">
        <v>63</v>
      </c>
      <c r="I478" s="31" t="s">
        <v>1021</v>
      </c>
      <c r="J478" s="26" t="s">
        <v>775</v>
      </c>
      <c r="K478" s="27">
        <v>6500</v>
      </c>
      <c r="L478" s="31" t="s">
        <v>769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924</v>
      </c>
      <c r="D479" s="31" t="s">
        <v>22</v>
      </c>
      <c r="E479" s="31"/>
      <c r="F479" s="31" t="s">
        <v>950</v>
      </c>
      <c r="G479" s="27">
        <v>12450</v>
      </c>
      <c r="H479" s="31" t="s">
        <v>63</v>
      </c>
      <c r="I479" s="31"/>
      <c r="J479" s="26" t="s">
        <v>768</v>
      </c>
      <c r="K479" s="27">
        <v>12450</v>
      </c>
      <c r="L479" s="31" t="s">
        <v>769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780</v>
      </c>
      <c r="D480" s="31" t="s">
        <v>811</v>
      </c>
      <c r="E480" s="31"/>
      <c r="F480" s="31" t="s">
        <v>488</v>
      </c>
      <c r="G480" s="27">
        <v>8730</v>
      </c>
      <c r="H480" s="31" t="s">
        <v>63</v>
      </c>
      <c r="I480" s="31" t="s">
        <v>1022</v>
      </c>
      <c r="J480" s="26" t="s">
        <v>775</v>
      </c>
      <c r="K480" s="27">
        <v>8730</v>
      </c>
      <c r="L480" s="31" t="s">
        <v>769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866</v>
      </c>
      <c r="D481" s="31" t="s">
        <v>22</v>
      </c>
      <c r="E481" s="31"/>
      <c r="F481" s="31" t="s">
        <v>837</v>
      </c>
      <c r="G481" s="27">
        <v>1</v>
      </c>
      <c r="H481" s="31" t="s">
        <v>520</v>
      </c>
      <c r="I481" s="31"/>
      <c r="J481" s="26" t="s">
        <v>824</v>
      </c>
      <c r="K481" s="27">
        <v>1</v>
      </c>
      <c r="L481" s="31" t="s">
        <v>769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831</v>
      </c>
      <c r="D482" s="31" t="s">
        <v>22</v>
      </c>
      <c r="E482" s="31"/>
      <c r="F482" s="31" t="s">
        <v>837</v>
      </c>
      <c r="G482" s="27">
        <v>8</v>
      </c>
      <c r="H482" s="31" t="s">
        <v>520</v>
      </c>
      <c r="I482" s="31"/>
      <c r="J482" s="26" t="s">
        <v>824</v>
      </c>
      <c r="K482" s="27">
        <v>8</v>
      </c>
      <c r="L482" s="31" t="s">
        <v>769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861</v>
      </c>
      <c r="D483" s="31" t="s">
        <v>22</v>
      </c>
      <c r="E483" s="31"/>
      <c r="F483" s="31" t="s">
        <v>837</v>
      </c>
      <c r="G483" s="27">
        <v>46</v>
      </c>
      <c r="H483" s="31" t="s">
        <v>520</v>
      </c>
      <c r="I483" s="31"/>
      <c r="J483" s="26" t="s">
        <v>824</v>
      </c>
      <c r="K483" s="27">
        <v>46</v>
      </c>
      <c r="L483" s="31" t="s">
        <v>769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860</v>
      </c>
      <c r="D484" s="31" t="s">
        <v>22</v>
      </c>
      <c r="E484" s="31"/>
      <c r="F484" s="31" t="s">
        <v>837</v>
      </c>
      <c r="G484" s="27">
        <v>11</v>
      </c>
      <c r="H484" s="31" t="s">
        <v>520</v>
      </c>
      <c r="I484" s="31"/>
      <c r="J484" s="26" t="s">
        <v>824</v>
      </c>
      <c r="K484" s="27">
        <v>11</v>
      </c>
      <c r="L484" s="31" t="s">
        <v>769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862</v>
      </c>
      <c r="D485" s="31" t="s">
        <v>22</v>
      </c>
      <c r="E485" s="31"/>
      <c r="F485" s="31" t="s">
        <v>837</v>
      </c>
      <c r="G485" s="27">
        <v>1</v>
      </c>
      <c r="H485" s="31" t="s">
        <v>520</v>
      </c>
      <c r="I485" s="31"/>
      <c r="J485" s="26" t="s">
        <v>824</v>
      </c>
      <c r="K485" s="27">
        <v>1</v>
      </c>
      <c r="L485" s="31" t="s">
        <v>769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766</v>
      </c>
      <c r="D486" s="31" t="s">
        <v>485</v>
      </c>
      <c r="E486" s="31"/>
      <c r="F486" s="31" t="s">
        <v>777</v>
      </c>
      <c r="G486" s="27">
        <v>9000</v>
      </c>
      <c r="H486" s="31" t="s">
        <v>63</v>
      </c>
      <c r="I486" s="31"/>
      <c r="J486" s="26" t="s">
        <v>768</v>
      </c>
      <c r="K486" s="27">
        <v>9000</v>
      </c>
      <c r="L486" s="31" t="s">
        <v>769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780</v>
      </c>
      <c r="D487" s="31" t="s">
        <v>575</v>
      </c>
      <c r="E487" s="31" t="s">
        <v>772</v>
      </c>
      <c r="F487" s="31" t="s">
        <v>773</v>
      </c>
      <c r="G487" s="27">
        <v>4400</v>
      </c>
      <c r="H487" s="31" t="s">
        <v>63</v>
      </c>
      <c r="I487" s="31" t="s">
        <v>868</v>
      </c>
      <c r="J487" s="26" t="s">
        <v>775</v>
      </c>
      <c r="K487" s="27">
        <v>4400</v>
      </c>
      <c r="L487" s="31" t="s">
        <v>769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780</v>
      </c>
      <c r="D488" s="31" t="s">
        <v>796</v>
      </c>
      <c r="E488" s="31"/>
      <c r="F488" s="31" t="s">
        <v>797</v>
      </c>
      <c r="G488" s="27">
        <v>10000</v>
      </c>
      <c r="H488" s="31" t="s">
        <v>63</v>
      </c>
      <c r="I488" s="31"/>
      <c r="J488" s="26" t="s">
        <v>775</v>
      </c>
      <c r="K488" s="27">
        <v>10000</v>
      </c>
      <c r="L488" s="31" t="s">
        <v>769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175</v>
      </c>
      <c r="D489" s="31" t="s">
        <v>22</v>
      </c>
      <c r="E489" s="31"/>
      <c r="F489" s="31" t="s">
        <v>938</v>
      </c>
      <c r="G489" s="27">
        <v>15462</v>
      </c>
      <c r="H489" s="31" t="s">
        <v>63</v>
      </c>
      <c r="I489" s="31"/>
      <c r="J489" s="26" t="s">
        <v>768</v>
      </c>
      <c r="K489" s="27">
        <v>15462</v>
      </c>
      <c r="L489" s="31" t="s">
        <v>769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831</v>
      </c>
      <c r="D490" s="31" t="s">
        <v>22</v>
      </c>
      <c r="E490" s="31"/>
      <c r="F490" s="31" t="s">
        <v>837</v>
      </c>
      <c r="G490" s="27">
        <v>8</v>
      </c>
      <c r="H490" s="31" t="s">
        <v>520</v>
      </c>
      <c r="I490" s="31"/>
      <c r="J490" s="26" t="s">
        <v>824</v>
      </c>
      <c r="K490" s="27">
        <v>8</v>
      </c>
      <c r="L490" s="31" t="s">
        <v>769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861</v>
      </c>
      <c r="D491" s="31" t="s">
        <v>22</v>
      </c>
      <c r="E491" s="31"/>
      <c r="F491" s="31" t="s">
        <v>837</v>
      </c>
      <c r="G491" s="27">
        <v>46</v>
      </c>
      <c r="H491" s="31" t="s">
        <v>520</v>
      </c>
      <c r="I491" s="31"/>
      <c r="J491" s="26" t="s">
        <v>824</v>
      </c>
      <c r="K491" s="27">
        <v>46</v>
      </c>
      <c r="L491" s="31" t="s">
        <v>769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860</v>
      </c>
      <c r="D492" s="31" t="s">
        <v>22</v>
      </c>
      <c r="E492" s="31"/>
      <c r="F492" s="31" t="s">
        <v>837</v>
      </c>
      <c r="G492" s="27">
        <v>11</v>
      </c>
      <c r="H492" s="31" t="s">
        <v>520</v>
      </c>
      <c r="I492" s="31"/>
      <c r="J492" s="26" t="s">
        <v>824</v>
      </c>
      <c r="K492" s="27">
        <v>11</v>
      </c>
      <c r="L492" s="31" t="s">
        <v>769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862</v>
      </c>
      <c r="D493" s="31" t="s">
        <v>22</v>
      </c>
      <c r="E493" s="31"/>
      <c r="F493" s="31" t="s">
        <v>837</v>
      </c>
      <c r="G493" s="27">
        <v>1</v>
      </c>
      <c r="H493" s="31" t="s">
        <v>520</v>
      </c>
      <c r="I493" s="31"/>
      <c r="J493" s="26" t="s">
        <v>824</v>
      </c>
      <c r="K493" s="27">
        <v>1</v>
      </c>
      <c r="L493" s="31" t="s">
        <v>769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816</v>
      </c>
      <c r="D494" s="31" t="s">
        <v>175</v>
      </c>
      <c r="E494" s="31"/>
      <c r="F494" s="31" t="s">
        <v>81</v>
      </c>
      <c r="G494" s="27">
        <v>15000</v>
      </c>
      <c r="H494" s="31" t="s">
        <v>807</v>
      </c>
      <c r="I494" s="31"/>
      <c r="J494" s="26" t="s">
        <v>805</v>
      </c>
      <c r="K494" s="27">
        <v>15000</v>
      </c>
      <c r="L494" s="31" t="s">
        <v>769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175</v>
      </c>
      <c r="D495" s="31" t="s">
        <v>816</v>
      </c>
      <c r="E495" s="31"/>
      <c r="F495" s="31" t="s">
        <v>81</v>
      </c>
      <c r="G495" s="27">
        <v>15000</v>
      </c>
      <c r="H495" s="31" t="s">
        <v>804</v>
      </c>
      <c r="I495" s="31"/>
      <c r="J495" s="26" t="s">
        <v>805</v>
      </c>
      <c r="K495" s="27">
        <v>15000</v>
      </c>
      <c r="L495" s="31" t="s">
        <v>769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780</v>
      </c>
      <c r="D496" s="31" t="s">
        <v>575</v>
      </c>
      <c r="E496" s="31" t="s">
        <v>781</v>
      </c>
      <c r="F496" s="31" t="s">
        <v>1023</v>
      </c>
      <c r="G496" s="27">
        <v>13000</v>
      </c>
      <c r="H496" s="31" t="s">
        <v>63</v>
      </c>
      <c r="I496" s="31"/>
      <c r="J496" s="26" t="s">
        <v>775</v>
      </c>
      <c r="K496" s="27">
        <v>13000</v>
      </c>
      <c r="L496" s="31" t="s">
        <v>769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780</v>
      </c>
      <c r="D497" s="31" t="s">
        <v>811</v>
      </c>
      <c r="E497" s="31"/>
      <c r="F497" s="31" t="s">
        <v>797</v>
      </c>
      <c r="G497" s="27">
        <v>5000</v>
      </c>
      <c r="H497" s="31" t="s">
        <v>63</v>
      </c>
      <c r="I497" s="31" t="s">
        <v>1024</v>
      </c>
      <c r="J497" s="26" t="s">
        <v>775</v>
      </c>
      <c r="K497" s="27">
        <v>5000</v>
      </c>
      <c r="L497" s="31" t="s">
        <v>769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196</v>
      </c>
      <c r="D498" s="31" t="s">
        <v>843</v>
      </c>
      <c r="E498" s="31" t="s">
        <v>844</v>
      </c>
      <c r="F498" s="31" t="s">
        <v>874</v>
      </c>
      <c r="G498" s="27">
        <v>-3300</v>
      </c>
      <c r="H498" s="31" t="s">
        <v>63</v>
      </c>
      <c r="I498" s="31" t="s">
        <v>952</v>
      </c>
      <c r="J498" s="26" t="s">
        <v>775</v>
      </c>
      <c r="K498" s="27">
        <v>-3300</v>
      </c>
      <c r="L498" s="31" t="s">
        <v>769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866</v>
      </c>
      <c r="D499" s="31" t="s">
        <v>22</v>
      </c>
      <c r="E499" s="31"/>
      <c r="F499" s="31" t="s">
        <v>837</v>
      </c>
      <c r="G499" s="27">
        <v>1</v>
      </c>
      <c r="H499" s="31" t="s">
        <v>520</v>
      </c>
      <c r="I499" s="31"/>
      <c r="J499" s="26" t="s">
        <v>824</v>
      </c>
      <c r="K499" s="27">
        <v>1</v>
      </c>
      <c r="L499" s="31" t="s">
        <v>769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831</v>
      </c>
      <c r="D500" s="31" t="s">
        <v>22</v>
      </c>
      <c r="E500" s="31"/>
      <c r="F500" s="31" t="s">
        <v>837</v>
      </c>
      <c r="G500" s="27">
        <v>8</v>
      </c>
      <c r="H500" s="31" t="s">
        <v>520</v>
      </c>
      <c r="I500" s="31"/>
      <c r="J500" s="26" t="s">
        <v>824</v>
      </c>
      <c r="K500" s="27">
        <v>8</v>
      </c>
      <c r="L500" s="31" t="s">
        <v>769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861</v>
      </c>
      <c r="D501" s="31" t="s">
        <v>22</v>
      </c>
      <c r="E501" s="31"/>
      <c r="F501" s="31" t="s">
        <v>837</v>
      </c>
      <c r="G501" s="27">
        <v>46</v>
      </c>
      <c r="H501" s="31" t="s">
        <v>520</v>
      </c>
      <c r="I501" s="31"/>
      <c r="J501" s="26" t="s">
        <v>824</v>
      </c>
      <c r="K501" s="27">
        <v>46</v>
      </c>
      <c r="L501" s="31" t="s">
        <v>769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860</v>
      </c>
      <c r="D502" s="31" t="s">
        <v>22</v>
      </c>
      <c r="E502" s="31"/>
      <c r="F502" s="31" t="s">
        <v>837</v>
      </c>
      <c r="G502" s="27">
        <v>11</v>
      </c>
      <c r="H502" s="31" t="s">
        <v>520</v>
      </c>
      <c r="I502" s="31"/>
      <c r="J502" s="26" t="s">
        <v>824</v>
      </c>
      <c r="K502" s="27">
        <v>11</v>
      </c>
      <c r="L502" s="31" t="s">
        <v>769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862</v>
      </c>
      <c r="D503" s="31" t="s">
        <v>22</v>
      </c>
      <c r="E503" s="31"/>
      <c r="F503" s="31" t="s">
        <v>837</v>
      </c>
      <c r="G503" s="27">
        <v>1</v>
      </c>
      <c r="H503" s="31" t="s">
        <v>520</v>
      </c>
      <c r="I503" s="31"/>
      <c r="J503" s="26" t="s">
        <v>824</v>
      </c>
      <c r="K503" s="27">
        <v>1</v>
      </c>
      <c r="L503" s="31" t="s">
        <v>769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766</v>
      </c>
      <c r="D504" s="31" t="s">
        <v>485</v>
      </c>
      <c r="E504" s="31"/>
      <c r="F504" s="31" t="s">
        <v>808</v>
      </c>
      <c r="G504" s="27">
        <v>3565</v>
      </c>
      <c r="H504" s="31" t="s">
        <v>63</v>
      </c>
      <c r="I504" s="31"/>
      <c r="J504" s="26" t="s">
        <v>768</v>
      </c>
      <c r="K504" s="27">
        <v>3565</v>
      </c>
      <c r="L504" s="31" t="s">
        <v>769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766</v>
      </c>
      <c r="D505" s="31" t="s">
        <v>485</v>
      </c>
      <c r="E505" s="31"/>
      <c r="F505" s="31" t="s">
        <v>691</v>
      </c>
      <c r="G505" s="27">
        <v>1800</v>
      </c>
      <c r="H505" s="31" t="s">
        <v>63</v>
      </c>
      <c r="I505" s="31" t="s">
        <v>810</v>
      </c>
      <c r="J505" s="26" t="s">
        <v>768</v>
      </c>
      <c r="K505" s="27">
        <v>1800</v>
      </c>
      <c r="L505" s="31" t="s">
        <v>769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175</v>
      </c>
      <c r="D506" s="31" t="s">
        <v>22</v>
      </c>
      <c r="E506" s="31"/>
      <c r="F506" s="31" t="s">
        <v>984</v>
      </c>
      <c r="G506" s="27">
        <v>6</v>
      </c>
      <c r="H506" s="31" t="s">
        <v>520</v>
      </c>
      <c r="I506" s="31"/>
      <c r="J506" s="26" t="s">
        <v>824</v>
      </c>
      <c r="K506" s="27">
        <v>6</v>
      </c>
      <c r="L506" s="31" t="s">
        <v>769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780</v>
      </c>
      <c r="D507" s="31" t="s">
        <v>575</v>
      </c>
      <c r="E507" s="31" t="s">
        <v>781</v>
      </c>
      <c r="F507" s="31" t="s">
        <v>971</v>
      </c>
      <c r="G507" s="27">
        <v>12000</v>
      </c>
      <c r="H507" s="31" t="s">
        <v>63</v>
      </c>
      <c r="I507" s="31"/>
      <c r="J507" s="26" t="s">
        <v>775</v>
      </c>
      <c r="K507" s="27">
        <v>12000</v>
      </c>
      <c r="L507" s="31" t="s">
        <v>769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780</v>
      </c>
      <c r="D508" s="31" t="s">
        <v>575</v>
      </c>
      <c r="E508" s="31" t="s">
        <v>772</v>
      </c>
      <c r="F508" s="31" t="s">
        <v>884</v>
      </c>
      <c r="G508" s="27">
        <v>10800</v>
      </c>
      <c r="H508" s="31" t="s">
        <v>63</v>
      </c>
      <c r="I508" s="31"/>
      <c r="J508" s="26" t="s">
        <v>775</v>
      </c>
      <c r="K508" s="27">
        <v>10800</v>
      </c>
      <c r="L508" s="31" t="s">
        <v>769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780</v>
      </c>
      <c r="D509" s="31" t="s">
        <v>840</v>
      </c>
      <c r="E509" s="31"/>
      <c r="F509" s="31" t="s">
        <v>937</v>
      </c>
      <c r="G509" s="27">
        <v>19900</v>
      </c>
      <c r="H509" s="31" t="s">
        <v>63</v>
      </c>
      <c r="I509" s="31" t="s">
        <v>631</v>
      </c>
      <c r="J509" s="26" t="s">
        <v>787</v>
      </c>
      <c r="K509" s="27">
        <v>19900</v>
      </c>
      <c r="L509" s="31" t="s">
        <v>769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816</v>
      </c>
      <c r="D510" s="31" t="s">
        <v>817</v>
      </c>
      <c r="E510" s="31"/>
      <c r="F510" s="31" t="s">
        <v>82</v>
      </c>
      <c r="G510" s="27">
        <v>550000</v>
      </c>
      <c r="H510" s="31" t="s">
        <v>63</v>
      </c>
      <c r="I510" s="31"/>
      <c r="J510" s="26" t="s">
        <v>768</v>
      </c>
      <c r="K510" s="27">
        <v>550000</v>
      </c>
      <c r="L510" s="31" t="s">
        <v>769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780</v>
      </c>
      <c r="D511" s="31" t="s">
        <v>575</v>
      </c>
      <c r="E511" s="31" t="s">
        <v>781</v>
      </c>
      <c r="F511" s="31" t="s">
        <v>1001</v>
      </c>
      <c r="G511" s="27">
        <v>10900</v>
      </c>
      <c r="H511" s="31" t="s">
        <v>63</v>
      </c>
      <c r="I511" s="31"/>
      <c r="J511" s="26" t="s">
        <v>775</v>
      </c>
      <c r="K511" s="27">
        <v>10900</v>
      </c>
      <c r="L511" s="31" t="s">
        <v>769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831</v>
      </c>
      <c r="D512" s="31" t="s">
        <v>22</v>
      </c>
      <c r="E512" s="31"/>
      <c r="F512" s="31" t="s">
        <v>837</v>
      </c>
      <c r="G512" s="27">
        <v>8</v>
      </c>
      <c r="H512" s="31" t="s">
        <v>520</v>
      </c>
      <c r="I512" s="31"/>
      <c r="J512" s="26" t="s">
        <v>824</v>
      </c>
      <c r="K512" s="27">
        <v>8</v>
      </c>
      <c r="L512" s="31" t="s">
        <v>769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861</v>
      </c>
      <c r="D513" s="31" t="s">
        <v>22</v>
      </c>
      <c r="E513" s="31"/>
      <c r="F513" s="31" t="s">
        <v>837</v>
      </c>
      <c r="G513" s="27">
        <v>46</v>
      </c>
      <c r="H513" s="31" t="s">
        <v>520</v>
      </c>
      <c r="I513" s="31"/>
      <c r="J513" s="26" t="s">
        <v>824</v>
      </c>
      <c r="K513" s="27">
        <v>46</v>
      </c>
      <c r="L513" s="31" t="s">
        <v>769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860</v>
      </c>
      <c r="D514" s="31" t="s">
        <v>22</v>
      </c>
      <c r="E514" s="31"/>
      <c r="F514" s="31" t="s">
        <v>837</v>
      </c>
      <c r="G514" s="27">
        <v>11</v>
      </c>
      <c r="H514" s="31" t="s">
        <v>520</v>
      </c>
      <c r="I514" s="31"/>
      <c r="J514" s="26" t="s">
        <v>824</v>
      </c>
      <c r="K514" s="27">
        <v>11</v>
      </c>
      <c r="L514" s="31" t="s">
        <v>769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862</v>
      </c>
      <c r="D515" s="31" t="s">
        <v>22</v>
      </c>
      <c r="E515" s="31"/>
      <c r="F515" s="31" t="s">
        <v>837</v>
      </c>
      <c r="G515" s="27">
        <v>1</v>
      </c>
      <c r="H515" s="31" t="s">
        <v>520</v>
      </c>
      <c r="I515" s="31"/>
      <c r="J515" s="26" t="s">
        <v>824</v>
      </c>
      <c r="K515" s="27">
        <v>1</v>
      </c>
      <c r="L515" s="31" t="s">
        <v>769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175</v>
      </c>
      <c r="D516" s="31" t="s">
        <v>22</v>
      </c>
      <c r="E516" s="31"/>
      <c r="F516" s="31" t="s">
        <v>984</v>
      </c>
      <c r="G516" s="27">
        <v>6</v>
      </c>
      <c r="H516" s="31" t="s">
        <v>520</v>
      </c>
      <c r="I516" s="31"/>
      <c r="J516" s="26" t="s">
        <v>824</v>
      </c>
      <c r="K516" s="27">
        <v>6</v>
      </c>
      <c r="L516" s="31" t="s">
        <v>769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766</v>
      </c>
      <c r="D517" s="31" t="s">
        <v>811</v>
      </c>
      <c r="E517" s="31"/>
      <c r="F517" s="31" t="s">
        <v>1025</v>
      </c>
      <c r="G517" s="27">
        <v>18200</v>
      </c>
      <c r="H517" s="31" t="s">
        <v>63</v>
      </c>
      <c r="I517" s="31" t="s">
        <v>813</v>
      </c>
      <c r="J517" s="26" t="s">
        <v>768</v>
      </c>
      <c r="K517" s="27">
        <v>18200</v>
      </c>
      <c r="L517" s="31" t="s">
        <v>769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816</v>
      </c>
      <c r="D518" s="31" t="s">
        <v>1026</v>
      </c>
      <c r="E518" s="31"/>
      <c r="F518" s="31" t="s">
        <v>81</v>
      </c>
      <c r="G518" s="27">
        <v>2226483</v>
      </c>
      <c r="H518" s="31" t="s">
        <v>807</v>
      </c>
      <c r="I518" s="31"/>
      <c r="J518" s="26" t="s">
        <v>805</v>
      </c>
      <c r="K518" s="27">
        <v>2226483</v>
      </c>
      <c r="L518" s="31" t="s">
        <v>769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1026</v>
      </c>
      <c r="D519" s="31" t="s">
        <v>816</v>
      </c>
      <c r="E519" s="31"/>
      <c r="F519" s="31" t="s">
        <v>81</v>
      </c>
      <c r="G519" s="27">
        <v>2226483</v>
      </c>
      <c r="H519" s="31" t="s">
        <v>804</v>
      </c>
      <c r="I519" s="31"/>
      <c r="J519" s="26" t="s">
        <v>805</v>
      </c>
      <c r="K519" s="27">
        <v>2226483</v>
      </c>
      <c r="L519" s="31" t="s">
        <v>769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866</v>
      </c>
      <c r="D520" s="31" t="s">
        <v>22</v>
      </c>
      <c r="E520" s="31"/>
      <c r="F520" s="31" t="s">
        <v>837</v>
      </c>
      <c r="G520" s="27">
        <v>1</v>
      </c>
      <c r="H520" s="31" t="s">
        <v>520</v>
      </c>
      <c r="I520" s="31"/>
      <c r="J520" s="26" t="s">
        <v>824</v>
      </c>
      <c r="K520" s="27">
        <v>1</v>
      </c>
      <c r="L520" s="31" t="s">
        <v>769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831</v>
      </c>
      <c r="D521" s="31" t="s">
        <v>22</v>
      </c>
      <c r="E521" s="31"/>
      <c r="F521" s="31" t="s">
        <v>837</v>
      </c>
      <c r="G521" s="27">
        <v>8</v>
      </c>
      <c r="H521" s="31" t="s">
        <v>520</v>
      </c>
      <c r="I521" s="31"/>
      <c r="J521" s="26" t="s">
        <v>824</v>
      </c>
      <c r="K521" s="27">
        <v>8</v>
      </c>
      <c r="L521" s="31" t="s">
        <v>769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861</v>
      </c>
      <c r="D522" s="31" t="s">
        <v>22</v>
      </c>
      <c r="E522" s="31"/>
      <c r="F522" s="31" t="s">
        <v>837</v>
      </c>
      <c r="G522" s="27">
        <v>46</v>
      </c>
      <c r="H522" s="31" t="s">
        <v>520</v>
      </c>
      <c r="I522" s="31"/>
      <c r="J522" s="26" t="s">
        <v>824</v>
      </c>
      <c r="K522" s="27">
        <v>46</v>
      </c>
      <c r="L522" s="31" t="s">
        <v>769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862</v>
      </c>
      <c r="D523" s="31" t="s">
        <v>22</v>
      </c>
      <c r="E523" s="31"/>
      <c r="F523" s="31" t="s">
        <v>837</v>
      </c>
      <c r="G523" s="27">
        <v>1</v>
      </c>
      <c r="H523" s="31" t="s">
        <v>520</v>
      </c>
      <c r="I523" s="31"/>
      <c r="J523" s="26" t="s">
        <v>824</v>
      </c>
      <c r="K523" s="27">
        <v>1</v>
      </c>
      <c r="L523" s="31" t="s">
        <v>769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860</v>
      </c>
      <c r="D524" s="31" t="s">
        <v>22</v>
      </c>
      <c r="E524" s="31"/>
      <c r="F524" s="31" t="s">
        <v>837</v>
      </c>
      <c r="G524" s="27">
        <v>11</v>
      </c>
      <c r="H524" s="31" t="s">
        <v>520</v>
      </c>
      <c r="I524" s="31"/>
      <c r="J524" s="26" t="s">
        <v>824</v>
      </c>
      <c r="K524" s="27">
        <v>11</v>
      </c>
      <c r="L524" s="31" t="s">
        <v>769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780</v>
      </c>
      <c r="D525" s="31" t="s">
        <v>817</v>
      </c>
      <c r="E525" s="31"/>
      <c r="F525" s="31" t="s">
        <v>850</v>
      </c>
      <c r="G525" s="27">
        <v>24687</v>
      </c>
      <c r="H525" s="31" t="s">
        <v>63</v>
      </c>
      <c r="I525" s="31"/>
      <c r="J525" s="26" t="s">
        <v>768</v>
      </c>
      <c r="K525" s="27">
        <v>24687</v>
      </c>
      <c r="L525" s="31" t="s">
        <v>769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766</v>
      </c>
      <c r="D526" s="31" t="s">
        <v>575</v>
      </c>
      <c r="E526" s="31" t="s">
        <v>785</v>
      </c>
      <c r="F526" s="31" t="s">
        <v>488</v>
      </c>
      <c r="G526" s="27">
        <v>33540</v>
      </c>
      <c r="H526" s="31" t="s">
        <v>63</v>
      </c>
      <c r="I526" s="31" t="s">
        <v>786</v>
      </c>
      <c r="J526" s="26" t="s">
        <v>775</v>
      </c>
      <c r="K526" s="27">
        <v>33540</v>
      </c>
      <c r="L526" s="31" t="s">
        <v>769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780</v>
      </c>
      <c r="D527" s="31" t="s">
        <v>575</v>
      </c>
      <c r="E527" s="31" t="s">
        <v>781</v>
      </c>
      <c r="F527" s="31" t="s">
        <v>910</v>
      </c>
      <c r="G527" s="27">
        <v>13000</v>
      </c>
      <c r="H527" s="31" t="s">
        <v>63</v>
      </c>
      <c r="I527" s="31"/>
      <c r="J527" s="26" t="s">
        <v>775</v>
      </c>
      <c r="K527" s="27">
        <v>13000</v>
      </c>
      <c r="L527" s="31" t="s">
        <v>769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831</v>
      </c>
      <c r="D528" s="31" t="s">
        <v>906</v>
      </c>
      <c r="E528" s="31"/>
      <c r="F528" s="31" t="s">
        <v>1027</v>
      </c>
      <c r="G528" s="27">
        <v>18000</v>
      </c>
      <c r="H528" s="31" t="s">
        <v>63</v>
      </c>
      <c r="I528" s="31"/>
      <c r="J528" s="26" t="s">
        <v>775</v>
      </c>
      <c r="K528" s="27">
        <v>18000</v>
      </c>
      <c r="L528" s="31" t="s">
        <v>1028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831</v>
      </c>
      <c r="D529" s="31" t="s">
        <v>22</v>
      </c>
      <c r="E529" s="31"/>
      <c r="F529" s="31" t="s">
        <v>837</v>
      </c>
      <c r="G529" s="27">
        <v>8</v>
      </c>
      <c r="H529" s="31" t="s">
        <v>520</v>
      </c>
      <c r="I529" s="31"/>
      <c r="J529" s="26" t="s">
        <v>824</v>
      </c>
      <c r="K529" s="27">
        <v>8</v>
      </c>
      <c r="L529" s="31" t="s">
        <v>769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860</v>
      </c>
      <c r="D530" s="31" t="s">
        <v>22</v>
      </c>
      <c r="E530" s="31"/>
      <c r="F530" s="31" t="s">
        <v>837</v>
      </c>
      <c r="G530" s="27">
        <v>11</v>
      </c>
      <c r="H530" s="31" t="s">
        <v>520</v>
      </c>
      <c r="I530" s="31"/>
      <c r="J530" s="26" t="s">
        <v>824</v>
      </c>
      <c r="K530" s="27">
        <v>11</v>
      </c>
      <c r="L530" s="31" t="s">
        <v>769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861</v>
      </c>
      <c r="D531" s="31" t="s">
        <v>22</v>
      </c>
      <c r="E531" s="31"/>
      <c r="F531" s="31" t="s">
        <v>837</v>
      </c>
      <c r="G531" s="27">
        <v>46</v>
      </c>
      <c r="H531" s="31" t="s">
        <v>520</v>
      </c>
      <c r="I531" s="31"/>
      <c r="J531" s="26" t="s">
        <v>824</v>
      </c>
      <c r="K531" s="27">
        <v>46</v>
      </c>
      <c r="L531" s="31" t="s">
        <v>769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862</v>
      </c>
      <c r="D532" s="31" t="s">
        <v>22</v>
      </c>
      <c r="E532" s="31"/>
      <c r="F532" s="31" t="s">
        <v>837</v>
      </c>
      <c r="G532" s="27">
        <v>1</v>
      </c>
      <c r="H532" s="31" t="s">
        <v>520</v>
      </c>
      <c r="I532" s="31"/>
      <c r="J532" s="26" t="s">
        <v>824</v>
      </c>
      <c r="K532" s="27">
        <v>1</v>
      </c>
      <c r="L532" s="31" t="s">
        <v>769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780</v>
      </c>
      <c r="D533" s="31" t="s">
        <v>575</v>
      </c>
      <c r="E533" s="31" t="s">
        <v>772</v>
      </c>
      <c r="F533" s="31" t="s">
        <v>940</v>
      </c>
      <c r="G533" s="27">
        <v>3920</v>
      </c>
      <c r="H533" s="31" t="s">
        <v>63</v>
      </c>
      <c r="I533" s="31"/>
      <c r="J533" s="26" t="s">
        <v>775</v>
      </c>
      <c r="K533" s="27">
        <v>3920</v>
      </c>
      <c r="L533" s="31" t="s">
        <v>769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780</v>
      </c>
      <c r="D534" s="31" t="s">
        <v>575</v>
      </c>
      <c r="E534" s="31" t="s">
        <v>772</v>
      </c>
      <c r="F534" s="31" t="s">
        <v>773</v>
      </c>
      <c r="G534" s="27">
        <v>2100</v>
      </c>
      <c r="H534" s="31" t="s">
        <v>63</v>
      </c>
      <c r="I534" s="31" t="s">
        <v>859</v>
      </c>
      <c r="J534" s="26" t="s">
        <v>775</v>
      </c>
      <c r="K534" s="27">
        <v>2100</v>
      </c>
      <c r="L534" s="31" t="s">
        <v>769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866</v>
      </c>
      <c r="D535" s="31" t="s">
        <v>22</v>
      </c>
      <c r="E535" s="31"/>
      <c r="F535" s="31" t="s">
        <v>837</v>
      </c>
      <c r="G535" s="27">
        <v>1</v>
      </c>
      <c r="H535" s="31" t="s">
        <v>520</v>
      </c>
      <c r="I535" s="31"/>
      <c r="J535" s="26" t="s">
        <v>824</v>
      </c>
      <c r="K535" s="27">
        <v>1</v>
      </c>
      <c r="L535" s="31" t="s">
        <v>769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831</v>
      </c>
      <c r="D536" s="31" t="s">
        <v>22</v>
      </c>
      <c r="E536" s="31"/>
      <c r="F536" s="31" t="s">
        <v>837</v>
      </c>
      <c r="G536" s="27">
        <v>8</v>
      </c>
      <c r="H536" s="31" t="s">
        <v>520</v>
      </c>
      <c r="I536" s="31"/>
      <c r="J536" s="26" t="s">
        <v>824</v>
      </c>
      <c r="K536" s="27">
        <v>8</v>
      </c>
      <c r="L536" s="31" t="s">
        <v>769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861</v>
      </c>
      <c r="D537" s="31" t="s">
        <v>22</v>
      </c>
      <c r="E537" s="31"/>
      <c r="F537" s="31" t="s">
        <v>837</v>
      </c>
      <c r="G537" s="27">
        <v>46</v>
      </c>
      <c r="H537" s="31" t="s">
        <v>520</v>
      </c>
      <c r="I537" s="31"/>
      <c r="J537" s="26" t="s">
        <v>824</v>
      </c>
      <c r="K537" s="27">
        <v>46</v>
      </c>
      <c r="L537" s="31" t="s">
        <v>769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860</v>
      </c>
      <c r="D538" s="31" t="s">
        <v>22</v>
      </c>
      <c r="E538" s="31"/>
      <c r="F538" s="31" t="s">
        <v>837</v>
      </c>
      <c r="G538" s="27">
        <v>11</v>
      </c>
      <c r="H538" s="31" t="s">
        <v>520</v>
      </c>
      <c r="I538" s="31"/>
      <c r="J538" s="26" t="s">
        <v>824</v>
      </c>
      <c r="K538" s="27">
        <v>11</v>
      </c>
      <c r="L538" s="31" t="s">
        <v>769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862</v>
      </c>
      <c r="D539" s="31" t="s">
        <v>22</v>
      </c>
      <c r="E539" s="31"/>
      <c r="F539" s="31" t="s">
        <v>837</v>
      </c>
      <c r="G539" s="27">
        <v>1</v>
      </c>
      <c r="H539" s="31" t="s">
        <v>520</v>
      </c>
      <c r="I539" s="31"/>
      <c r="J539" s="26" t="s">
        <v>824</v>
      </c>
      <c r="K539" s="27">
        <v>1</v>
      </c>
      <c r="L539" s="31" t="s">
        <v>769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780</v>
      </c>
      <c r="D540" s="31" t="s">
        <v>796</v>
      </c>
      <c r="E540" s="31"/>
      <c r="F540" s="31" t="s">
        <v>797</v>
      </c>
      <c r="G540" s="27">
        <v>6000</v>
      </c>
      <c r="H540" s="31" t="s">
        <v>63</v>
      </c>
      <c r="I540" s="31"/>
      <c r="J540" s="26" t="s">
        <v>775</v>
      </c>
      <c r="K540" s="27">
        <v>6000</v>
      </c>
      <c r="L540" s="31" t="s">
        <v>769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780</v>
      </c>
      <c r="D541" s="31" t="s">
        <v>575</v>
      </c>
      <c r="E541" s="31" t="s">
        <v>772</v>
      </c>
      <c r="F541" s="31" t="s">
        <v>940</v>
      </c>
      <c r="G541" s="27">
        <v>3040</v>
      </c>
      <c r="H541" s="31" t="s">
        <v>63</v>
      </c>
      <c r="I541" s="31"/>
      <c r="J541" s="26" t="s">
        <v>775</v>
      </c>
      <c r="K541" s="27">
        <v>3040</v>
      </c>
      <c r="L541" s="31" t="s">
        <v>769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780</v>
      </c>
      <c r="D542" s="31" t="s">
        <v>796</v>
      </c>
      <c r="E542" s="31"/>
      <c r="F542" s="31" t="s">
        <v>488</v>
      </c>
      <c r="G542" s="27">
        <v>7890</v>
      </c>
      <c r="H542" s="31" t="s">
        <v>63</v>
      </c>
      <c r="I542" s="31" t="s">
        <v>873</v>
      </c>
      <c r="J542" s="26" t="s">
        <v>775</v>
      </c>
      <c r="K542" s="27">
        <v>7890</v>
      </c>
      <c r="L542" s="31" t="s">
        <v>769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780</v>
      </c>
      <c r="D543" s="31" t="s">
        <v>575</v>
      </c>
      <c r="E543" s="31" t="s">
        <v>781</v>
      </c>
      <c r="F543" s="31" t="s">
        <v>872</v>
      </c>
      <c r="G543" s="27">
        <v>11000</v>
      </c>
      <c r="H543" s="31" t="s">
        <v>63</v>
      </c>
      <c r="I543" s="31"/>
      <c r="J543" s="26" t="s">
        <v>775</v>
      </c>
      <c r="K543" s="27">
        <v>11000</v>
      </c>
      <c r="L543" s="31" t="s">
        <v>769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780</v>
      </c>
      <c r="D544" s="31" t="s">
        <v>575</v>
      </c>
      <c r="E544" s="31" t="s">
        <v>772</v>
      </c>
      <c r="F544" s="31" t="s">
        <v>814</v>
      </c>
      <c r="G544" s="27">
        <v>6000</v>
      </c>
      <c r="H544" s="31" t="s">
        <v>63</v>
      </c>
      <c r="I544" s="31"/>
      <c r="J544" s="26" t="s">
        <v>775</v>
      </c>
      <c r="K544" s="27">
        <v>6000</v>
      </c>
      <c r="L544" s="31" t="s">
        <v>769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831</v>
      </c>
      <c r="D545" s="31" t="s">
        <v>22</v>
      </c>
      <c r="E545" s="31"/>
      <c r="F545" s="31" t="s">
        <v>837</v>
      </c>
      <c r="G545" s="27">
        <v>8</v>
      </c>
      <c r="H545" s="31" t="s">
        <v>520</v>
      </c>
      <c r="I545" s="31"/>
      <c r="J545" s="26" t="s">
        <v>824</v>
      </c>
      <c r="K545" s="27">
        <v>8</v>
      </c>
      <c r="L545" s="31" t="s">
        <v>769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860</v>
      </c>
      <c r="D546" s="31" t="s">
        <v>22</v>
      </c>
      <c r="E546" s="31"/>
      <c r="F546" s="31" t="s">
        <v>837</v>
      </c>
      <c r="G546" s="27">
        <v>11</v>
      </c>
      <c r="H546" s="31" t="s">
        <v>520</v>
      </c>
      <c r="I546" s="31"/>
      <c r="J546" s="26" t="s">
        <v>824</v>
      </c>
      <c r="K546" s="27">
        <v>11</v>
      </c>
      <c r="L546" s="31" t="s">
        <v>769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861</v>
      </c>
      <c r="D547" s="31" t="s">
        <v>22</v>
      </c>
      <c r="E547" s="31"/>
      <c r="F547" s="31" t="s">
        <v>837</v>
      </c>
      <c r="G547" s="27">
        <v>46</v>
      </c>
      <c r="H547" s="31" t="s">
        <v>520</v>
      </c>
      <c r="I547" s="31"/>
      <c r="J547" s="26" t="s">
        <v>824</v>
      </c>
      <c r="K547" s="27">
        <v>46</v>
      </c>
      <c r="L547" s="31" t="s">
        <v>769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862</v>
      </c>
      <c r="D548" s="31" t="s">
        <v>22</v>
      </c>
      <c r="E548" s="31"/>
      <c r="F548" s="31" t="s">
        <v>837</v>
      </c>
      <c r="G548" s="27">
        <v>1</v>
      </c>
      <c r="H548" s="31" t="s">
        <v>520</v>
      </c>
      <c r="I548" s="31"/>
      <c r="J548" s="26" t="s">
        <v>824</v>
      </c>
      <c r="K548" s="27">
        <v>1</v>
      </c>
      <c r="L548" s="31" t="s">
        <v>769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1029</v>
      </c>
      <c r="D549" s="31" t="s">
        <v>831</v>
      </c>
      <c r="E549" s="31"/>
      <c r="F549" s="31" t="s">
        <v>81</v>
      </c>
      <c r="G549" s="27">
        <v>211263</v>
      </c>
      <c r="H549" s="31" t="s">
        <v>804</v>
      </c>
      <c r="I549" s="31"/>
      <c r="J549" s="26" t="s">
        <v>805</v>
      </c>
      <c r="K549" s="27">
        <v>211263</v>
      </c>
      <c r="L549" s="31" t="s">
        <v>769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831</v>
      </c>
      <c r="D550" s="31" t="s">
        <v>1029</v>
      </c>
      <c r="E550" s="31"/>
      <c r="F550" s="31" t="s">
        <v>81</v>
      </c>
      <c r="G550" s="27">
        <v>211263</v>
      </c>
      <c r="H550" s="31" t="s">
        <v>807</v>
      </c>
      <c r="I550" s="31"/>
      <c r="J550" s="26" t="s">
        <v>805</v>
      </c>
      <c r="K550" s="27">
        <v>211263</v>
      </c>
      <c r="L550" s="31" t="s">
        <v>769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1029</v>
      </c>
      <c r="D551" s="31" t="s">
        <v>860</v>
      </c>
      <c r="E551" s="31"/>
      <c r="F551" s="31" t="s">
        <v>81</v>
      </c>
      <c r="G551" s="27">
        <v>300450</v>
      </c>
      <c r="H551" s="31" t="s">
        <v>804</v>
      </c>
      <c r="I551" s="31"/>
      <c r="J551" s="26" t="s">
        <v>805</v>
      </c>
      <c r="K551" s="27">
        <v>300450</v>
      </c>
      <c r="L551" s="31" t="s">
        <v>769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860</v>
      </c>
      <c r="D552" s="31" t="s">
        <v>1029</v>
      </c>
      <c r="E552" s="31"/>
      <c r="F552" s="31" t="s">
        <v>81</v>
      </c>
      <c r="G552" s="27">
        <v>300450</v>
      </c>
      <c r="H552" s="31" t="s">
        <v>807</v>
      </c>
      <c r="I552" s="31"/>
      <c r="J552" s="26" t="s">
        <v>805</v>
      </c>
      <c r="K552" s="27">
        <v>300450</v>
      </c>
      <c r="L552" s="31" t="s">
        <v>769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861</v>
      </c>
      <c r="D553" s="31" t="s">
        <v>1029</v>
      </c>
      <c r="E553" s="31"/>
      <c r="F553" s="31" t="s">
        <v>81</v>
      </c>
      <c r="G553" s="27">
        <v>1202416</v>
      </c>
      <c r="H553" s="31" t="s">
        <v>807</v>
      </c>
      <c r="I553" s="31"/>
      <c r="J553" s="26" t="s">
        <v>805</v>
      </c>
      <c r="K553" s="27">
        <v>1202416</v>
      </c>
      <c r="L553" s="31" t="s">
        <v>769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1029</v>
      </c>
      <c r="D554" s="31" t="s">
        <v>861</v>
      </c>
      <c r="E554" s="31"/>
      <c r="F554" s="31" t="s">
        <v>81</v>
      </c>
      <c r="G554" s="27">
        <v>1202416</v>
      </c>
      <c r="H554" s="31" t="s">
        <v>804</v>
      </c>
      <c r="I554" s="31"/>
      <c r="J554" s="26" t="s">
        <v>805</v>
      </c>
      <c r="K554" s="27">
        <v>1202416</v>
      </c>
      <c r="L554" s="31" t="s">
        <v>769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862</v>
      </c>
      <c r="D555" s="31" t="s">
        <v>1029</v>
      </c>
      <c r="E555" s="31"/>
      <c r="F555" s="31" t="s">
        <v>81</v>
      </c>
      <c r="G555" s="27">
        <v>50011</v>
      </c>
      <c r="H555" s="31" t="s">
        <v>807</v>
      </c>
      <c r="I555" s="31"/>
      <c r="J555" s="26" t="s">
        <v>805</v>
      </c>
      <c r="K555" s="27">
        <v>50011</v>
      </c>
      <c r="L555" s="31" t="s">
        <v>769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1029</v>
      </c>
      <c r="D556" s="31" t="s">
        <v>862</v>
      </c>
      <c r="E556" s="31"/>
      <c r="F556" s="31" t="s">
        <v>81</v>
      </c>
      <c r="G556" s="27">
        <v>50011</v>
      </c>
      <c r="H556" s="31" t="s">
        <v>804</v>
      </c>
      <c r="I556" s="31"/>
      <c r="J556" s="26" t="s">
        <v>805</v>
      </c>
      <c r="K556" s="27">
        <v>50011</v>
      </c>
      <c r="L556" s="31" t="s">
        <v>769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866</v>
      </c>
      <c r="D557" s="31" t="s">
        <v>1029</v>
      </c>
      <c r="E557" s="31"/>
      <c r="F557" s="31" t="s">
        <v>81</v>
      </c>
      <c r="G557" s="27">
        <v>21510</v>
      </c>
      <c r="H557" s="31" t="s">
        <v>807</v>
      </c>
      <c r="I557" s="31"/>
      <c r="J557" s="26" t="s">
        <v>805</v>
      </c>
      <c r="K557" s="27">
        <v>21510</v>
      </c>
      <c r="L557" s="31" t="s">
        <v>769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1029</v>
      </c>
      <c r="D558" s="31" t="s">
        <v>866</v>
      </c>
      <c r="E558" s="31"/>
      <c r="F558" s="31" t="s">
        <v>81</v>
      </c>
      <c r="G558" s="27">
        <v>21510</v>
      </c>
      <c r="H558" s="31" t="s">
        <v>804</v>
      </c>
      <c r="I558" s="31"/>
      <c r="J558" s="26" t="s">
        <v>805</v>
      </c>
      <c r="K558" s="27">
        <v>21510</v>
      </c>
      <c r="L558" s="31" t="s">
        <v>769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780</v>
      </c>
      <c r="D559" s="31" t="s">
        <v>575</v>
      </c>
      <c r="E559" s="31" t="s">
        <v>781</v>
      </c>
      <c r="F559" s="31" t="s">
        <v>1001</v>
      </c>
      <c r="G559" s="27">
        <v>11900</v>
      </c>
      <c r="H559" s="31" t="s">
        <v>63</v>
      </c>
      <c r="I559" s="31"/>
      <c r="J559" s="26" t="s">
        <v>775</v>
      </c>
      <c r="K559" s="27">
        <v>11900</v>
      </c>
      <c r="L559" s="31" t="s">
        <v>769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559</v>
      </c>
      <c r="D560" s="31" t="s">
        <v>821</v>
      </c>
      <c r="E560" s="31"/>
      <c r="F560" s="31" t="s">
        <v>858</v>
      </c>
      <c r="G560" s="27">
        <v>20000</v>
      </c>
      <c r="H560" s="31" t="s">
        <v>520</v>
      </c>
      <c r="I560" s="31"/>
      <c r="J560" s="26" t="s">
        <v>821</v>
      </c>
      <c r="K560" s="27">
        <v>20000</v>
      </c>
      <c r="L560" s="31" t="s">
        <v>769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780</v>
      </c>
      <c r="D561" s="31" t="s">
        <v>796</v>
      </c>
      <c r="E561" s="31"/>
      <c r="F561" s="31" t="s">
        <v>488</v>
      </c>
      <c r="G561" s="27">
        <v>4080</v>
      </c>
      <c r="H561" s="31" t="s">
        <v>63</v>
      </c>
      <c r="I561" s="31" t="s">
        <v>1030</v>
      </c>
      <c r="J561" s="26" t="s">
        <v>775</v>
      </c>
      <c r="K561" s="27">
        <v>4080</v>
      </c>
      <c r="L561" s="31" t="s">
        <v>769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780</v>
      </c>
      <c r="D562" s="31" t="s">
        <v>876</v>
      </c>
      <c r="E562" s="31"/>
      <c r="F562" s="31" t="s">
        <v>464</v>
      </c>
      <c r="G562" s="27">
        <v>48620</v>
      </c>
      <c r="H562" s="31" t="s">
        <v>63</v>
      </c>
      <c r="I562" s="31"/>
      <c r="J562" s="26" t="s">
        <v>768</v>
      </c>
      <c r="K562" s="27">
        <v>48620</v>
      </c>
      <c r="L562" s="31" t="s">
        <v>769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1029</v>
      </c>
      <c r="D563" s="31" t="s">
        <v>1031</v>
      </c>
      <c r="E563" s="31"/>
      <c r="F563" s="31" t="s">
        <v>81</v>
      </c>
      <c r="G563" s="27">
        <v>1785650</v>
      </c>
      <c r="H563" s="31" t="s">
        <v>807</v>
      </c>
      <c r="I563" s="31"/>
      <c r="J563" s="26" t="s">
        <v>805</v>
      </c>
      <c r="K563" s="27">
        <v>1785650</v>
      </c>
      <c r="L563" s="31" t="s">
        <v>769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1031</v>
      </c>
      <c r="D564" s="31" t="s">
        <v>1029</v>
      </c>
      <c r="E564" s="31"/>
      <c r="F564" s="31" t="s">
        <v>81</v>
      </c>
      <c r="G564" s="27">
        <v>1785650</v>
      </c>
      <c r="H564" s="31" t="s">
        <v>804</v>
      </c>
      <c r="I564" s="31"/>
      <c r="J564" s="26" t="s">
        <v>805</v>
      </c>
      <c r="K564" s="27">
        <v>1785650</v>
      </c>
      <c r="L564" s="31" t="s">
        <v>769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175</v>
      </c>
      <c r="D565" s="31" t="s">
        <v>22</v>
      </c>
      <c r="E565" s="31"/>
      <c r="F565" s="31" t="s">
        <v>984</v>
      </c>
      <c r="G565" s="27">
        <v>7</v>
      </c>
      <c r="H565" s="31" t="s">
        <v>520</v>
      </c>
      <c r="I565" s="31"/>
      <c r="J565" s="26" t="s">
        <v>824</v>
      </c>
      <c r="K565" s="27">
        <v>7</v>
      </c>
      <c r="L565" s="31" t="s">
        <v>769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766</v>
      </c>
      <c r="D566" s="31" t="s">
        <v>575</v>
      </c>
      <c r="E566" s="31" t="s">
        <v>885</v>
      </c>
      <c r="F566" s="31" t="s">
        <v>773</v>
      </c>
      <c r="G566" s="27">
        <v>5600</v>
      </c>
      <c r="H566" s="31" t="s">
        <v>63</v>
      </c>
      <c r="I566" s="31" t="s">
        <v>992</v>
      </c>
      <c r="J566" s="26" t="s">
        <v>775</v>
      </c>
      <c r="K566" s="27">
        <v>5600</v>
      </c>
      <c r="L566" s="31" t="s">
        <v>769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766</v>
      </c>
      <c r="D567" s="31" t="s">
        <v>575</v>
      </c>
      <c r="E567" s="31" t="s">
        <v>781</v>
      </c>
      <c r="F567" s="31" t="s">
        <v>1004</v>
      </c>
      <c r="G567" s="27">
        <v>8500</v>
      </c>
      <c r="H567" s="31" t="s">
        <v>63</v>
      </c>
      <c r="I567" s="31"/>
      <c r="J567" s="26" t="s">
        <v>775</v>
      </c>
      <c r="K567" s="27">
        <v>8500</v>
      </c>
      <c r="L567" s="31" t="s">
        <v>769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780</v>
      </c>
      <c r="D568" s="31" t="s">
        <v>811</v>
      </c>
      <c r="E568" s="31"/>
      <c r="F568" s="31" t="s">
        <v>1032</v>
      </c>
      <c r="G568" s="27">
        <v>74700</v>
      </c>
      <c r="H568" s="31" t="s">
        <v>63</v>
      </c>
      <c r="I568" s="31" t="s">
        <v>878</v>
      </c>
      <c r="J568" s="26" t="s">
        <v>768</v>
      </c>
      <c r="K568" s="27">
        <v>74700</v>
      </c>
      <c r="L568" s="31" t="s">
        <v>769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766</v>
      </c>
      <c r="D569" s="31" t="s">
        <v>575</v>
      </c>
      <c r="E569" s="31" t="s">
        <v>772</v>
      </c>
      <c r="F569" s="31" t="s">
        <v>891</v>
      </c>
      <c r="G569" s="27">
        <v>3800</v>
      </c>
      <c r="H569" s="31" t="s">
        <v>63</v>
      </c>
      <c r="I569" s="31"/>
      <c r="J569" s="26" t="s">
        <v>775</v>
      </c>
      <c r="K569" s="27">
        <v>3800</v>
      </c>
      <c r="L569" s="31" t="s">
        <v>769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1005</v>
      </c>
      <c r="D570" s="31" t="s">
        <v>1026</v>
      </c>
      <c r="E570" s="31"/>
      <c r="F570" s="31" t="s">
        <v>81</v>
      </c>
      <c r="G570" s="27">
        <v>2214240</v>
      </c>
      <c r="H570" s="31" t="s">
        <v>804</v>
      </c>
      <c r="I570" s="31"/>
      <c r="J570" s="26" t="s">
        <v>805</v>
      </c>
      <c r="K570" s="27">
        <v>2214240</v>
      </c>
      <c r="L570" s="31" t="s">
        <v>769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1026</v>
      </c>
      <c r="D571" s="31" t="s">
        <v>1005</v>
      </c>
      <c r="E571" s="31"/>
      <c r="F571" s="31" t="s">
        <v>81</v>
      </c>
      <c r="G571" s="27">
        <v>2214240</v>
      </c>
      <c r="H571" s="31" t="s">
        <v>807</v>
      </c>
      <c r="I571" s="31"/>
      <c r="J571" s="26" t="s">
        <v>805</v>
      </c>
      <c r="K571" s="27">
        <v>2214240</v>
      </c>
      <c r="L571" s="31" t="s">
        <v>769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1031</v>
      </c>
      <c r="D572" s="31" t="s">
        <v>1005</v>
      </c>
      <c r="E572" s="31"/>
      <c r="F572" s="31" t="s">
        <v>81</v>
      </c>
      <c r="G572" s="27">
        <v>1786296</v>
      </c>
      <c r="H572" s="31" t="s">
        <v>807</v>
      </c>
      <c r="I572" s="31"/>
      <c r="J572" s="26" t="s">
        <v>805</v>
      </c>
      <c r="K572" s="27">
        <v>1786296</v>
      </c>
      <c r="L572" s="31" t="s">
        <v>769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1005</v>
      </c>
      <c r="D573" s="31" t="s">
        <v>1031</v>
      </c>
      <c r="E573" s="31"/>
      <c r="F573" s="31" t="s">
        <v>81</v>
      </c>
      <c r="G573" s="27">
        <v>1786296</v>
      </c>
      <c r="H573" s="31" t="s">
        <v>804</v>
      </c>
      <c r="I573" s="31"/>
      <c r="J573" s="26" t="s">
        <v>805</v>
      </c>
      <c r="K573" s="27">
        <v>1786296</v>
      </c>
      <c r="L573" s="31" t="s">
        <v>769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1005</v>
      </c>
      <c r="D574" s="31" t="s">
        <v>175</v>
      </c>
      <c r="E574" s="31"/>
      <c r="F574" s="31" t="s">
        <v>81</v>
      </c>
      <c r="G574" s="27">
        <v>1000000</v>
      </c>
      <c r="H574" s="31" t="s">
        <v>807</v>
      </c>
      <c r="I574" s="31" t="s">
        <v>1033</v>
      </c>
      <c r="J574" s="26" t="s">
        <v>805</v>
      </c>
      <c r="K574" s="27">
        <v>1000000</v>
      </c>
      <c r="L574" s="31" t="s">
        <v>769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175</v>
      </c>
      <c r="D575" s="31" t="s">
        <v>1005</v>
      </c>
      <c r="E575" s="31"/>
      <c r="F575" s="31" t="s">
        <v>81</v>
      </c>
      <c r="G575" s="27">
        <v>1000000</v>
      </c>
      <c r="H575" s="31" t="s">
        <v>804</v>
      </c>
      <c r="I575" s="31" t="s">
        <v>1033</v>
      </c>
      <c r="J575" s="26" t="s">
        <v>805</v>
      </c>
      <c r="K575" s="27">
        <v>1000000</v>
      </c>
      <c r="L575" s="31" t="s">
        <v>769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175</v>
      </c>
      <c r="D576" s="31" t="s">
        <v>187</v>
      </c>
      <c r="E576" s="31"/>
      <c r="F576" s="31" t="s">
        <v>81</v>
      </c>
      <c r="G576" s="27">
        <v>817031</v>
      </c>
      <c r="H576" s="31" t="s">
        <v>807</v>
      </c>
      <c r="I576" s="31"/>
      <c r="J576" s="26" t="s">
        <v>805</v>
      </c>
      <c r="K576" s="27">
        <v>817031</v>
      </c>
      <c r="L576" s="31" t="s">
        <v>769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187</v>
      </c>
      <c r="D577" s="31" t="s">
        <v>175</v>
      </c>
      <c r="E577" s="31"/>
      <c r="F577" s="31" t="s">
        <v>81</v>
      </c>
      <c r="G577" s="27">
        <v>817031</v>
      </c>
      <c r="H577" s="31" t="s">
        <v>804</v>
      </c>
      <c r="I577" s="31"/>
      <c r="J577" s="26" t="s">
        <v>805</v>
      </c>
      <c r="K577" s="27">
        <v>817031</v>
      </c>
      <c r="L577" s="31" t="s">
        <v>769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175</v>
      </c>
      <c r="D578" s="31" t="s">
        <v>181</v>
      </c>
      <c r="E578" s="31"/>
      <c r="F578" s="31" t="s">
        <v>81</v>
      </c>
      <c r="G578" s="27">
        <v>51460</v>
      </c>
      <c r="H578" s="31" t="s">
        <v>807</v>
      </c>
      <c r="I578" s="31"/>
      <c r="J578" s="26" t="s">
        <v>805</v>
      </c>
      <c r="K578" s="27">
        <v>51460</v>
      </c>
      <c r="L578" s="31" t="s">
        <v>769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181</v>
      </c>
      <c r="D579" s="31" t="s">
        <v>175</v>
      </c>
      <c r="E579" s="31"/>
      <c r="F579" s="31" t="s">
        <v>81</v>
      </c>
      <c r="G579" s="27">
        <v>51460</v>
      </c>
      <c r="H579" s="31" t="s">
        <v>804</v>
      </c>
      <c r="I579" s="31"/>
      <c r="J579" s="26" t="s">
        <v>805</v>
      </c>
      <c r="K579" s="27">
        <v>51460</v>
      </c>
      <c r="L579" s="31" t="s">
        <v>769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181</v>
      </c>
      <c r="D580" s="31" t="s">
        <v>887</v>
      </c>
      <c r="E580" s="31"/>
      <c r="F580" s="31" t="s">
        <v>828</v>
      </c>
      <c r="G580" s="27">
        <v>51460</v>
      </c>
      <c r="H580" s="31" t="s">
        <v>807</v>
      </c>
      <c r="I580" s="31"/>
      <c r="J580" s="26" t="s">
        <v>805</v>
      </c>
      <c r="K580" s="27">
        <v>51460</v>
      </c>
      <c r="L580" s="31" t="s">
        <v>769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887</v>
      </c>
      <c r="D581" s="31" t="s">
        <v>181</v>
      </c>
      <c r="E581" s="31"/>
      <c r="F581" s="31" t="s">
        <v>828</v>
      </c>
      <c r="G581" s="27">
        <v>51460</v>
      </c>
      <c r="H581" s="31" t="s">
        <v>804</v>
      </c>
      <c r="I581" s="31"/>
      <c r="J581" s="26" t="s">
        <v>805</v>
      </c>
      <c r="K581" s="27">
        <v>51460</v>
      </c>
      <c r="L581" s="31" t="s">
        <v>769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175</v>
      </c>
      <c r="D582" s="31" t="s">
        <v>22</v>
      </c>
      <c r="E582" s="31"/>
      <c r="F582" s="31" t="s">
        <v>984</v>
      </c>
      <c r="G582" s="27">
        <v>7</v>
      </c>
      <c r="H582" s="31" t="s">
        <v>520</v>
      </c>
      <c r="I582" s="31"/>
      <c r="J582" s="26" t="s">
        <v>824</v>
      </c>
      <c r="K582" s="27">
        <v>7</v>
      </c>
      <c r="L582" s="31" t="s">
        <v>769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1034</v>
      </c>
      <c r="D583" s="31" t="s">
        <v>175</v>
      </c>
      <c r="E583" s="31"/>
      <c r="F583" s="31" t="s">
        <v>81</v>
      </c>
      <c r="G583" s="27">
        <v>131509</v>
      </c>
      <c r="H583" s="31" t="s">
        <v>804</v>
      </c>
      <c r="I583" s="31"/>
      <c r="J583" s="26" t="s">
        <v>805</v>
      </c>
      <c r="K583" s="27">
        <v>131509</v>
      </c>
      <c r="L583" s="31" t="s">
        <v>769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175</v>
      </c>
      <c r="D584" s="31" t="s">
        <v>1034</v>
      </c>
      <c r="E584" s="31"/>
      <c r="F584" s="31" t="s">
        <v>81</v>
      </c>
      <c r="G584" s="27">
        <v>131509</v>
      </c>
      <c r="H584" s="31" t="s">
        <v>807</v>
      </c>
      <c r="I584" s="31"/>
      <c r="J584" s="26" t="s">
        <v>805</v>
      </c>
      <c r="K584" s="27">
        <v>131509</v>
      </c>
      <c r="L584" s="31" t="s">
        <v>769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1005</v>
      </c>
      <c r="D585" s="31" t="s">
        <v>1034</v>
      </c>
      <c r="E585" s="31"/>
      <c r="F585" s="31" t="s">
        <v>81</v>
      </c>
      <c r="G585" s="27">
        <v>1811939</v>
      </c>
      <c r="H585" s="31" t="s">
        <v>807</v>
      </c>
      <c r="I585" s="31"/>
      <c r="J585" s="26" t="s">
        <v>805</v>
      </c>
      <c r="K585" s="27">
        <v>1811939</v>
      </c>
      <c r="L585" s="31" t="s">
        <v>769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1034</v>
      </c>
      <c r="D586" s="31" t="s">
        <v>1005</v>
      </c>
      <c r="E586" s="31"/>
      <c r="F586" s="31" t="s">
        <v>81</v>
      </c>
      <c r="G586" s="27">
        <v>1811939</v>
      </c>
      <c r="H586" s="31" t="s">
        <v>804</v>
      </c>
      <c r="I586" s="31"/>
      <c r="J586" s="26" t="s">
        <v>805</v>
      </c>
      <c r="K586" s="27">
        <v>1811939</v>
      </c>
      <c r="L586" s="31" t="s">
        <v>769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1034</v>
      </c>
      <c r="D587" s="31" t="s">
        <v>1005</v>
      </c>
      <c r="E587" s="31"/>
      <c r="F587" s="31" t="s">
        <v>81</v>
      </c>
      <c r="G587" s="27">
        <v>1245650</v>
      </c>
      <c r="H587" s="31" t="s">
        <v>804</v>
      </c>
      <c r="I587" s="31"/>
      <c r="J587" s="26" t="s">
        <v>805</v>
      </c>
      <c r="K587" s="27">
        <v>1245650</v>
      </c>
      <c r="L587" s="31" t="s">
        <v>769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1005</v>
      </c>
      <c r="D588" s="31" t="s">
        <v>1034</v>
      </c>
      <c r="E588" s="31"/>
      <c r="F588" s="31" t="s">
        <v>81</v>
      </c>
      <c r="G588" s="27">
        <v>1245650</v>
      </c>
      <c r="H588" s="31" t="s">
        <v>807</v>
      </c>
      <c r="I588" s="31"/>
      <c r="J588" s="26" t="s">
        <v>805</v>
      </c>
      <c r="K588" s="27">
        <v>1245650</v>
      </c>
      <c r="L588" s="31" t="s">
        <v>769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1005</v>
      </c>
      <c r="D589" s="31" t="s">
        <v>22</v>
      </c>
      <c r="E589" s="31"/>
      <c r="F589" s="31" t="s">
        <v>1035</v>
      </c>
      <c r="G589" s="27">
        <v>57053</v>
      </c>
      <c r="H589" s="31" t="s">
        <v>520</v>
      </c>
      <c r="I589" s="31" t="s">
        <v>1035</v>
      </c>
      <c r="J589" s="26" t="s">
        <v>824</v>
      </c>
      <c r="K589" s="27">
        <v>57053</v>
      </c>
      <c r="L589" s="31" t="s">
        <v>769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1006</v>
      </c>
      <c r="D590" s="31" t="s">
        <v>806</v>
      </c>
      <c r="E590" s="31"/>
      <c r="F590" s="31" t="s">
        <v>1036</v>
      </c>
      <c r="G590" s="27">
        <v>29974</v>
      </c>
      <c r="H590" s="31" t="s">
        <v>63</v>
      </c>
      <c r="I590" s="31" t="s">
        <v>1037</v>
      </c>
      <c r="J590" s="26" t="s">
        <v>806</v>
      </c>
      <c r="K590" s="27">
        <v>29974</v>
      </c>
      <c r="L590" s="31" t="s">
        <v>769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1005</v>
      </c>
      <c r="D591" s="31" t="s">
        <v>806</v>
      </c>
      <c r="E591" s="31"/>
      <c r="F591" s="31" t="s">
        <v>1036</v>
      </c>
      <c r="G591" s="27">
        <v>30985</v>
      </c>
      <c r="H591" s="31" t="s">
        <v>63</v>
      </c>
      <c r="I591" s="31" t="s">
        <v>1037</v>
      </c>
      <c r="J591" s="26" t="s">
        <v>806</v>
      </c>
      <c r="K591" s="27">
        <v>30985</v>
      </c>
      <c r="L591" s="31" t="s">
        <v>769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766</v>
      </c>
      <c r="D592" s="31" t="s">
        <v>575</v>
      </c>
      <c r="E592" s="31" t="s">
        <v>781</v>
      </c>
      <c r="F592" s="31" t="s">
        <v>911</v>
      </c>
      <c r="G592" s="27">
        <v>11000</v>
      </c>
      <c r="H592" s="31" t="s">
        <v>63</v>
      </c>
      <c r="I592" s="31"/>
      <c r="J592" s="26" t="s">
        <v>775</v>
      </c>
      <c r="K592" s="27">
        <v>11000</v>
      </c>
      <c r="L592" s="31" t="s">
        <v>769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766</v>
      </c>
      <c r="D593" s="31" t="s">
        <v>575</v>
      </c>
      <c r="E593" s="31" t="s">
        <v>772</v>
      </c>
      <c r="F593" s="31" t="s">
        <v>1038</v>
      </c>
      <c r="G593" s="27">
        <v>15120</v>
      </c>
      <c r="H593" s="31" t="s">
        <v>63</v>
      </c>
      <c r="I593" s="31"/>
      <c r="J593" s="26" t="s">
        <v>775</v>
      </c>
      <c r="K593" s="27">
        <v>15120</v>
      </c>
      <c r="L593" s="31" t="s">
        <v>769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766</v>
      </c>
      <c r="D594" s="31" t="s">
        <v>575</v>
      </c>
      <c r="E594" s="31" t="s">
        <v>772</v>
      </c>
      <c r="F594" s="31" t="s">
        <v>773</v>
      </c>
      <c r="G594" s="27">
        <v>4300</v>
      </c>
      <c r="H594" s="31" t="s">
        <v>63</v>
      </c>
      <c r="I594" s="31" t="s">
        <v>859</v>
      </c>
      <c r="J594" s="26" t="s">
        <v>775</v>
      </c>
      <c r="K594" s="27">
        <v>4300</v>
      </c>
      <c r="L594" s="31" t="s">
        <v>769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766</v>
      </c>
      <c r="D595" s="31" t="s">
        <v>796</v>
      </c>
      <c r="E595" s="31"/>
      <c r="F595" s="31" t="s">
        <v>797</v>
      </c>
      <c r="G595" s="27">
        <v>5000</v>
      </c>
      <c r="H595" s="31" t="s">
        <v>63</v>
      </c>
      <c r="I595" s="31"/>
      <c r="J595" s="26" t="s">
        <v>775</v>
      </c>
      <c r="K595" s="27">
        <v>5000</v>
      </c>
      <c r="L595" s="31" t="s">
        <v>769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766</v>
      </c>
      <c r="D596" s="31" t="s">
        <v>187</v>
      </c>
      <c r="E596" s="31"/>
      <c r="F596" s="31" t="s">
        <v>828</v>
      </c>
      <c r="G596" s="27">
        <v>817031</v>
      </c>
      <c r="H596" s="31" t="s">
        <v>804</v>
      </c>
      <c r="I596" s="31"/>
      <c r="J596" s="26" t="s">
        <v>805</v>
      </c>
      <c r="K596" s="27">
        <v>817031</v>
      </c>
      <c r="L596" s="31" t="s">
        <v>769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187</v>
      </c>
      <c r="D597" s="31" t="s">
        <v>766</v>
      </c>
      <c r="E597" s="31"/>
      <c r="F597" s="31" t="s">
        <v>828</v>
      </c>
      <c r="G597" s="27">
        <v>817031</v>
      </c>
      <c r="H597" s="31" t="s">
        <v>807</v>
      </c>
      <c r="I597" s="31"/>
      <c r="J597" s="26" t="s">
        <v>805</v>
      </c>
      <c r="K597" s="27">
        <v>817031</v>
      </c>
      <c r="L597" s="31" t="s">
        <v>769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766</v>
      </c>
      <c r="D598" s="31" t="s">
        <v>575</v>
      </c>
      <c r="E598" s="31" t="s">
        <v>772</v>
      </c>
      <c r="F598" s="31" t="s">
        <v>986</v>
      </c>
      <c r="G598" s="27">
        <v>3500</v>
      </c>
      <c r="H598" s="31" t="s">
        <v>63</v>
      </c>
      <c r="I598" s="31"/>
      <c r="J598" s="26" t="s">
        <v>775</v>
      </c>
      <c r="K598" s="27">
        <v>3500</v>
      </c>
      <c r="L598" s="31" t="s">
        <v>769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766</v>
      </c>
      <c r="D599" s="31" t="s">
        <v>575</v>
      </c>
      <c r="E599" s="31" t="s">
        <v>772</v>
      </c>
      <c r="F599" s="31" t="s">
        <v>773</v>
      </c>
      <c r="G599" s="27">
        <v>5800</v>
      </c>
      <c r="H599" s="31" t="s">
        <v>63</v>
      </c>
      <c r="I599" s="31" t="s">
        <v>859</v>
      </c>
      <c r="J599" s="26" t="s">
        <v>775</v>
      </c>
      <c r="K599" s="27">
        <v>5800</v>
      </c>
      <c r="L599" s="31" t="s">
        <v>769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766</v>
      </c>
      <c r="D600" s="31" t="s">
        <v>906</v>
      </c>
      <c r="E600" s="31"/>
      <c r="F600" s="31" t="s">
        <v>773</v>
      </c>
      <c r="G600" s="27">
        <v>2500</v>
      </c>
      <c r="H600" s="31" t="s">
        <v>63</v>
      </c>
      <c r="I600" s="31" t="s">
        <v>1039</v>
      </c>
      <c r="J600" s="26" t="s">
        <v>775</v>
      </c>
      <c r="K600" s="27">
        <v>2500</v>
      </c>
      <c r="L600" s="31" t="s">
        <v>769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766</v>
      </c>
      <c r="D601" s="31" t="s">
        <v>575</v>
      </c>
      <c r="E601" s="31" t="s">
        <v>785</v>
      </c>
      <c r="F601" s="31" t="s">
        <v>488</v>
      </c>
      <c r="G601" s="27">
        <v>31300</v>
      </c>
      <c r="H601" s="31" t="s">
        <v>63</v>
      </c>
      <c r="I601" s="31" t="s">
        <v>786</v>
      </c>
      <c r="J601" s="26" t="s">
        <v>775</v>
      </c>
      <c r="K601" s="27">
        <v>31300</v>
      </c>
      <c r="L601" s="31" t="s">
        <v>769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766</v>
      </c>
      <c r="D602" s="31" t="s">
        <v>876</v>
      </c>
      <c r="E602" s="31"/>
      <c r="F602" s="31" t="s">
        <v>132</v>
      </c>
      <c r="G602" s="27">
        <v>16500</v>
      </c>
      <c r="H602" s="31" t="s">
        <v>63</v>
      </c>
      <c r="I602" s="31"/>
      <c r="J602" s="26" t="s">
        <v>768</v>
      </c>
      <c r="K602" s="27">
        <v>16500</v>
      </c>
      <c r="L602" s="31" t="s">
        <v>769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766</v>
      </c>
      <c r="D603" s="31" t="s">
        <v>575</v>
      </c>
      <c r="E603" s="31" t="s">
        <v>772</v>
      </c>
      <c r="F603" s="31" t="s">
        <v>940</v>
      </c>
      <c r="G603" s="27">
        <v>2960</v>
      </c>
      <c r="H603" s="31" t="s">
        <v>63</v>
      </c>
      <c r="I603" s="31"/>
      <c r="J603" s="26" t="s">
        <v>775</v>
      </c>
      <c r="K603" s="27">
        <v>2960</v>
      </c>
      <c r="L603" s="31" t="s">
        <v>769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766</v>
      </c>
      <c r="D604" s="31" t="s">
        <v>811</v>
      </c>
      <c r="E604" s="31"/>
      <c r="F604" s="31" t="s">
        <v>488</v>
      </c>
      <c r="G604" s="27">
        <v>260100</v>
      </c>
      <c r="H604" s="31" t="s">
        <v>63</v>
      </c>
      <c r="I604" s="31" t="s">
        <v>1040</v>
      </c>
      <c r="J604" s="26" t="s">
        <v>795</v>
      </c>
      <c r="K604" s="27">
        <v>260100</v>
      </c>
      <c r="L604" s="31" t="s">
        <v>769</v>
      </c>
      <c r="M604" s="31" t="s">
        <v>1041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766</v>
      </c>
      <c r="D605" s="31" t="s">
        <v>796</v>
      </c>
      <c r="E605" s="31"/>
      <c r="F605" s="31" t="s">
        <v>797</v>
      </c>
      <c r="G605" s="27">
        <v>2000</v>
      </c>
      <c r="H605" s="31" t="s">
        <v>63</v>
      </c>
      <c r="I605" s="31"/>
      <c r="J605" s="26" t="s">
        <v>775</v>
      </c>
      <c r="K605" s="27">
        <v>2000</v>
      </c>
      <c r="L605" s="31" t="s">
        <v>769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766</v>
      </c>
      <c r="D606" s="31" t="s">
        <v>575</v>
      </c>
      <c r="E606" s="31" t="s">
        <v>785</v>
      </c>
      <c r="F606" s="31" t="s">
        <v>969</v>
      </c>
      <c r="G606" s="27">
        <v>11180</v>
      </c>
      <c r="H606" s="31" t="s">
        <v>63</v>
      </c>
      <c r="I606" s="31"/>
      <c r="J606" s="26" t="s">
        <v>775</v>
      </c>
      <c r="K606" s="27">
        <v>11180</v>
      </c>
      <c r="L606" s="31" t="s">
        <v>769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766</v>
      </c>
      <c r="D607" s="31" t="s">
        <v>575</v>
      </c>
      <c r="E607" s="31" t="s">
        <v>772</v>
      </c>
      <c r="F607" s="31" t="s">
        <v>773</v>
      </c>
      <c r="G607" s="27">
        <v>1900</v>
      </c>
      <c r="H607" s="31" t="s">
        <v>63</v>
      </c>
      <c r="I607" s="31" t="s">
        <v>1042</v>
      </c>
      <c r="J607" s="26" t="s">
        <v>775</v>
      </c>
      <c r="K607" s="27">
        <v>1900</v>
      </c>
      <c r="L607" s="31" t="s">
        <v>769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766</v>
      </c>
      <c r="D608" s="31" t="s">
        <v>811</v>
      </c>
      <c r="E608" s="31"/>
      <c r="F608" s="31" t="s">
        <v>488</v>
      </c>
      <c r="G608" s="27">
        <v>9110</v>
      </c>
      <c r="H608" s="31" t="s">
        <v>63</v>
      </c>
      <c r="I608" s="31" t="s">
        <v>1043</v>
      </c>
      <c r="J608" s="26" t="s">
        <v>795</v>
      </c>
      <c r="K608" s="27">
        <v>9110</v>
      </c>
      <c r="L608" s="31" t="s">
        <v>769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766</v>
      </c>
      <c r="D609" s="31" t="s">
        <v>796</v>
      </c>
      <c r="E609" s="31"/>
      <c r="F609" s="31" t="s">
        <v>488</v>
      </c>
      <c r="G609" s="27">
        <v>20130</v>
      </c>
      <c r="H609" s="31" t="s">
        <v>63</v>
      </c>
      <c r="I609" s="31" t="s">
        <v>1044</v>
      </c>
      <c r="J609" s="26" t="s">
        <v>775</v>
      </c>
      <c r="K609" s="27">
        <v>20130</v>
      </c>
      <c r="L609" s="31" t="s">
        <v>769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766</v>
      </c>
      <c r="D610" s="31" t="s">
        <v>876</v>
      </c>
      <c r="E610" s="31"/>
      <c r="F610" s="31" t="s">
        <v>888</v>
      </c>
      <c r="G610" s="27">
        <v>12400</v>
      </c>
      <c r="H610" s="31" t="s">
        <v>63</v>
      </c>
      <c r="I610" s="31"/>
      <c r="J610" s="26" t="s">
        <v>768</v>
      </c>
      <c r="K610" s="27">
        <v>12400</v>
      </c>
      <c r="L610" s="31" t="s">
        <v>769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766</v>
      </c>
      <c r="D611" s="31" t="s">
        <v>575</v>
      </c>
      <c r="E611" s="31" t="s">
        <v>772</v>
      </c>
      <c r="F611" s="31" t="s">
        <v>773</v>
      </c>
      <c r="G611" s="27">
        <v>4300</v>
      </c>
      <c r="H611" s="31" t="s">
        <v>63</v>
      </c>
      <c r="I611" s="31" t="s">
        <v>1045</v>
      </c>
      <c r="J611" s="26" t="s">
        <v>775</v>
      </c>
      <c r="K611" s="27">
        <v>4300</v>
      </c>
      <c r="L611" s="31" t="s">
        <v>769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766</v>
      </c>
      <c r="D612" s="31" t="s">
        <v>575</v>
      </c>
      <c r="E612" s="31" t="s">
        <v>781</v>
      </c>
      <c r="F612" s="31" t="s">
        <v>953</v>
      </c>
      <c r="G612" s="27">
        <v>9900</v>
      </c>
      <c r="H612" s="31" t="s">
        <v>63</v>
      </c>
      <c r="I612" s="31"/>
      <c r="J612" s="26" t="s">
        <v>775</v>
      </c>
      <c r="K612" s="27">
        <v>9900</v>
      </c>
      <c r="L612" s="31" t="s">
        <v>769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175</v>
      </c>
      <c r="D613" s="31" t="s">
        <v>1034</v>
      </c>
      <c r="E613" s="31"/>
      <c r="F613" s="31" t="s">
        <v>81</v>
      </c>
      <c r="G613" s="27">
        <v>625484</v>
      </c>
      <c r="H613" s="31" t="s">
        <v>804</v>
      </c>
      <c r="I613" s="31"/>
      <c r="J613" s="26" t="s">
        <v>805</v>
      </c>
      <c r="K613" s="27">
        <v>625484</v>
      </c>
      <c r="L613" s="31" t="s">
        <v>769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1034</v>
      </c>
      <c r="D614" s="31" t="s">
        <v>175</v>
      </c>
      <c r="E614" s="31"/>
      <c r="F614" s="31" t="s">
        <v>81</v>
      </c>
      <c r="G614" s="27">
        <v>625484</v>
      </c>
      <c r="H614" s="31" t="s">
        <v>807</v>
      </c>
      <c r="I614" s="31"/>
      <c r="J614" s="26" t="s">
        <v>805</v>
      </c>
      <c r="K614" s="27">
        <v>625484</v>
      </c>
      <c r="L614" s="31" t="s">
        <v>769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181</v>
      </c>
      <c r="D615" s="31" t="s">
        <v>175</v>
      </c>
      <c r="E615" s="31"/>
      <c r="F615" s="31" t="s">
        <v>81</v>
      </c>
      <c r="G615" s="27">
        <v>9900</v>
      </c>
      <c r="H615" s="31" t="s">
        <v>804</v>
      </c>
      <c r="I615" s="31"/>
      <c r="J615" s="26" t="s">
        <v>805</v>
      </c>
      <c r="K615" s="27">
        <v>9900</v>
      </c>
      <c r="L615" s="31" t="s">
        <v>769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175</v>
      </c>
      <c r="D616" s="31" t="s">
        <v>181</v>
      </c>
      <c r="E616" s="31"/>
      <c r="F616" s="31" t="s">
        <v>81</v>
      </c>
      <c r="G616" s="27">
        <v>9900</v>
      </c>
      <c r="H616" s="31" t="s">
        <v>807</v>
      </c>
      <c r="I616" s="31"/>
      <c r="J616" s="26" t="s">
        <v>805</v>
      </c>
      <c r="K616" s="27">
        <v>9900</v>
      </c>
      <c r="L616" s="31" t="s">
        <v>769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181</v>
      </c>
      <c r="D617" s="31" t="s">
        <v>852</v>
      </c>
      <c r="E617" s="31"/>
      <c r="F617" s="31" t="s">
        <v>828</v>
      </c>
      <c r="G617" s="27">
        <v>9900</v>
      </c>
      <c r="H617" s="31" t="s">
        <v>807</v>
      </c>
      <c r="I617" s="31"/>
      <c r="J617" s="26" t="s">
        <v>805</v>
      </c>
      <c r="K617" s="27">
        <v>9900</v>
      </c>
      <c r="L617" s="31" t="s">
        <v>769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852</v>
      </c>
      <c r="D618" s="31" t="s">
        <v>181</v>
      </c>
      <c r="E618" s="31"/>
      <c r="F618" s="31" t="s">
        <v>828</v>
      </c>
      <c r="G618" s="27">
        <v>9900</v>
      </c>
      <c r="H618" s="31" t="s">
        <v>804</v>
      </c>
      <c r="I618" s="31"/>
      <c r="J618" s="26" t="s">
        <v>805</v>
      </c>
      <c r="K618" s="27">
        <v>9900</v>
      </c>
      <c r="L618" s="31" t="s">
        <v>769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175</v>
      </c>
      <c r="D619" s="31" t="s">
        <v>780</v>
      </c>
      <c r="E619" s="31"/>
      <c r="F619" s="31" t="s">
        <v>828</v>
      </c>
      <c r="G619" s="27">
        <v>615584</v>
      </c>
      <c r="H619" s="31" t="s">
        <v>807</v>
      </c>
      <c r="I619" s="31"/>
      <c r="J619" s="26" t="s">
        <v>805</v>
      </c>
      <c r="K619" s="27">
        <v>615584</v>
      </c>
      <c r="L619" s="31" t="s">
        <v>769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780</v>
      </c>
      <c r="D620" s="31" t="s">
        <v>175</v>
      </c>
      <c r="E620" s="31"/>
      <c r="F620" s="31" t="s">
        <v>828</v>
      </c>
      <c r="G620" s="27">
        <v>615584</v>
      </c>
      <c r="H620" s="31" t="s">
        <v>804</v>
      </c>
      <c r="I620" s="31"/>
      <c r="J620" s="26" t="s">
        <v>805</v>
      </c>
      <c r="K620" s="27">
        <v>615584</v>
      </c>
      <c r="L620" s="31" t="s">
        <v>769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1034</v>
      </c>
      <c r="D621" s="31" t="s">
        <v>22</v>
      </c>
      <c r="E621" s="31"/>
      <c r="F621" s="31" t="s">
        <v>1046</v>
      </c>
      <c r="G621" s="27">
        <v>549</v>
      </c>
      <c r="H621" s="31" t="s">
        <v>520</v>
      </c>
      <c r="I621" s="31"/>
      <c r="J621" s="26" t="s">
        <v>824</v>
      </c>
      <c r="K621" s="27">
        <v>549</v>
      </c>
      <c r="L621" s="31" t="s">
        <v>769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766</v>
      </c>
      <c r="D622" s="31" t="s">
        <v>575</v>
      </c>
      <c r="E622" s="31" t="s">
        <v>772</v>
      </c>
      <c r="F622" s="31" t="s">
        <v>773</v>
      </c>
      <c r="G622" s="27">
        <v>4900</v>
      </c>
      <c r="H622" s="31" t="s">
        <v>63</v>
      </c>
      <c r="I622" s="31" t="s">
        <v>1047</v>
      </c>
      <c r="J622" s="26" t="s">
        <v>775</v>
      </c>
      <c r="K622" s="27">
        <v>4900</v>
      </c>
      <c r="L622" s="31" t="s">
        <v>769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766</v>
      </c>
      <c r="D623" s="31" t="s">
        <v>575</v>
      </c>
      <c r="E623" s="31" t="s">
        <v>781</v>
      </c>
      <c r="F623" s="31" t="s">
        <v>910</v>
      </c>
      <c r="G623" s="27">
        <v>12000</v>
      </c>
      <c r="H623" s="31" t="s">
        <v>63</v>
      </c>
      <c r="I623" s="31"/>
      <c r="J623" s="26" t="s">
        <v>775</v>
      </c>
      <c r="K623" s="27">
        <v>12000</v>
      </c>
      <c r="L623" s="31" t="s">
        <v>769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766</v>
      </c>
      <c r="D624" s="31" t="s">
        <v>575</v>
      </c>
      <c r="E624" s="31" t="s">
        <v>785</v>
      </c>
      <c r="F624" s="31" t="s">
        <v>969</v>
      </c>
      <c r="G624" s="27">
        <v>2850</v>
      </c>
      <c r="H624" s="31" t="s">
        <v>63</v>
      </c>
      <c r="I624" s="31" t="s">
        <v>1048</v>
      </c>
      <c r="J624" s="26" t="s">
        <v>775</v>
      </c>
      <c r="K624" s="27">
        <v>2850</v>
      </c>
      <c r="L624" s="31" t="s">
        <v>769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559</v>
      </c>
      <c r="D625" s="31" t="s">
        <v>821</v>
      </c>
      <c r="E625" s="31"/>
      <c r="F625" s="31" t="s">
        <v>858</v>
      </c>
      <c r="G625" s="27">
        <v>20000</v>
      </c>
      <c r="H625" s="31" t="s">
        <v>520</v>
      </c>
      <c r="I625" s="31"/>
      <c r="J625" s="26" t="s">
        <v>821</v>
      </c>
      <c r="K625" s="27">
        <v>20000</v>
      </c>
      <c r="L625" s="31" t="s">
        <v>769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766</v>
      </c>
      <c r="D626" s="31" t="s">
        <v>575</v>
      </c>
      <c r="E626" s="31" t="s">
        <v>772</v>
      </c>
      <c r="F626" s="31" t="s">
        <v>773</v>
      </c>
      <c r="G626" s="27">
        <v>4000</v>
      </c>
      <c r="H626" s="31" t="s">
        <v>63</v>
      </c>
      <c r="I626" s="31" t="s">
        <v>1047</v>
      </c>
      <c r="J626" s="26" t="s">
        <v>775</v>
      </c>
      <c r="K626" s="27">
        <v>4000</v>
      </c>
      <c r="L626" s="31" t="s">
        <v>769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766</v>
      </c>
      <c r="D627" s="31" t="s">
        <v>575</v>
      </c>
      <c r="E627" s="31" t="s">
        <v>781</v>
      </c>
      <c r="F627" s="31" t="s">
        <v>1001</v>
      </c>
      <c r="G627" s="27">
        <v>12900</v>
      </c>
      <c r="H627" s="31" t="s">
        <v>63</v>
      </c>
      <c r="I627" s="31"/>
      <c r="J627" s="26" t="s">
        <v>775</v>
      </c>
      <c r="K627" s="27">
        <v>12900</v>
      </c>
      <c r="L627" s="31" t="s">
        <v>769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766</v>
      </c>
      <c r="D628" s="31" t="s">
        <v>575</v>
      </c>
      <c r="E628" s="31" t="s">
        <v>772</v>
      </c>
      <c r="F628" s="31" t="s">
        <v>814</v>
      </c>
      <c r="G628" s="27">
        <v>4500</v>
      </c>
      <c r="H628" s="31" t="s">
        <v>63</v>
      </c>
      <c r="I628" s="31"/>
      <c r="J628" s="26" t="s">
        <v>775</v>
      </c>
      <c r="K628" s="27">
        <v>4500</v>
      </c>
      <c r="L628" s="31" t="s">
        <v>769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766</v>
      </c>
      <c r="D629" s="31" t="s">
        <v>575</v>
      </c>
      <c r="E629" s="31" t="s">
        <v>772</v>
      </c>
      <c r="F629" s="31" t="s">
        <v>884</v>
      </c>
      <c r="G629" s="27">
        <v>2100</v>
      </c>
      <c r="H629" s="31" t="s">
        <v>63</v>
      </c>
      <c r="I629" s="31"/>
      <c r="J629" s="26" t="s">
        <v>775</v>
      </c>
      <c r="K629" s="27">
        <v>2100</v>
      </c>
      <c r="L629" s="31" t="s">
        <v>769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766</v>
      </c>
      <c r="D630" s="31" t="s">
        <v>575</v>
      </c>
      <c r="E630" s="31" t="s">
        <v>781</v>
      </c>
      <c r="F630" s="31" t="s">
        <v>1004</v>
      </c>
      <c r="G630" s="27">
        <v>8500</v>
      </c>
      <c r="H630" s="31" t="s">
        <v>63</v>
      </c>
      <c r="I630" s="31"/>
      <c r="J630" s="26" t="s">
        <v>775</v>
      </c>
      <c r="K630" s="27">
        <v>8500</v>
      </c>
      <c r="L630" s="31" t="s">
        <v>769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766</v>
      </c>
      <c r="D631" s="31" t="s">
        <v>575</v>
      </c>
      <c r="E631" s="31" t="s">
        <v>781</v>
      </c>
      <c r="F631" s="31" t="s">
        <v>935</v>
      </c>
      <c r="G631" s="27">
        <v>25600</v>
      </c>
      <c r="H631" s="31" t="s">
        <v>63</v>
      </c>
      <c r="I631" s="31"/>
      <c r="J631" s="26" t="s">
        <v>775</v>
      </c>
      <c r="K631" s="27">
        <v>25600</v>
      </c>
      <c r="L631" s="31" t="s">
        <v>769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196</v>
      </c>
      <c r="D632" s="31" t="s">
        <v>575</v>
      </c>
      <c r="E632" s="31" t="s">
        <v>781</v>
      </c>
      <c r="F632" s="31" t="s">
        <v>936</v>
      </c>
      <c r="G632" s="27">
        <v>-17000</v>
      </c>
      <c r="H632" s="31" t="s">
        <v>63</v>
      </c>
      <c r="I632" s="31"/>
      <c r="J632" s="26" t="s">
        <v>775</v>
      </c>
      <c r="K632" s="27">
        <v>-17000</v>
      </c>
      <c r="L632" s="31" t="s">
        <v>769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883</v>
      </c>
      <c r="D633" s="31" t="s">
        <v>575</v>
      </c>
      <c r="E633" s="31" t="s">
        <v>772</v>
      </c>
      <c r="F633" s="31" t="s">
        <v>1049</v>
      </c>
      <c r="G633" s="27">
        <v>-19000</v>
      </c>
      <c r="H633" s="31" t="s">
        <v>63</v>
      </c>
      <c r="I633" s="31"/>
      <c r="J633" s="26" t="s">
        <v>775</v>
      </c>
      <c r="K633" s="27">
        <v>-19000</v>
      </c>
      <c r="L633" s="31" t="s">
        <v>769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766</v>
      </c>
      <c r="D634" s="31" t="s">
        <v>796</v>
      </c>
      <c r="E634" s="31"/>
      <c r="F634" s="31" t="s">
        <v>797</v>
      </c>
      <c r="G634" s="27">
        <v>4000</v>
      </c>
      <c r="H634" s="31" t="s">
        <v>63</v>
      </c>
      <c r="I634" s="31"/>
      <c r="J634" s="26" t="s">
        <v>775</v>
      </c>
      <c r="K634" s="27">
        <v>4000</v>
      </c>
      <c r="L634" s="31" t="s">
        <v>769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766</v>
      </c>
      <c r="D635" s="31" t="s">
        <v>575</v>
      </c>
      <c r="E635" s="31" t="s">
        <v>885</v>
      </c>
      <c r="F635" s="31" t="s">
        <v>991</v>
      </c>
      <c r="G635" s="27">
        <v>17600</v>
      </c>
      <c r="H635" s="31" t="s">
        <v>63</v>
      </c>
      <c r="I635" s="31"/>
      <c r="J635" s="26" t="s">
        <v>775</v>
      </c>
      <c r="K635" s="27">
        <v>17600</v>
      </c>
      <c r="L635" s="31" t="s">
        <v>769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766</v>
      </c>
      <c r="D636" s="31" t="s">
        <v>576</v>
      </c>
      <c r="E636" s="31"/>
      <c r="F636" s="31" t="s">
        <v>576</v>
      </c>
      <c r="G636" s="27">
        <v>5000</v>
      </c>
      <c r="H636" s="31" t="s">
        <v>63</v>
      </c>
      <c r="I636" s="31"/>
      <c r="J636" s="26" t="s">
        <v>778</v>
      </c>
      <c r="K636" s="27">
        <v>5000</v>
      </c>
      <c r="L636" s="31" t="s">
        <v>769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766</v>
      </c>
      <c r="D637" s="31" t="s">
        <v>843</v>
      </c>
      <c r="E637" s="31" t="s">
        <v>844</v>
      </c>
      <c r="F637" s="31" t="s">
        <v>773</v>
      </c>
      <c r="G637" s="27">
        <v>9700</v>
      </c>
      <c r="H637" s="31" t="s">
        <v>63</v>
      </c>
      <c r="I637" s="31" t="s">
        <v>1050</v>
      </c>
      <c r="J637" s="26" t="s">
        <v>775</v>
      </c>
      <c r="K637" s="27">
        <v>9700</v>
      </c>
      <c r="L637" s="31" t="s">
        <v>769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852</v>
      </c>
      <c r="D638" s="31" t="s">
        <v>575</v>
      </c>
      <c r="E638" s="31" t="s">
        <v>785</v>
      </c>
      <c r="F638" s="31" t="s">
        <v>488</v>
      </c>
      <c r="G638" s="27">
        <v>17900</v>
      </c>
      <c r="H638" s="31" t="s">
        <v>63</v>
      </c>
      <c r="I638" s="31" t="s">
        <v>786</v>
      </c>
      <c r="J638" s="26" t="s">
        <v>775</v>
      </c>
      <c r="K638" s="27">
        <v>17900</v>
      </c>
      <c r="L638" s="31" t="s">
        <v>769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196</v>
      </c>
      <c r="D639" s="31" t="s">
        <v>22</v>
      </c>
      <c r="E639" s="31"/>
      <c r="F639" s="31" t="s">
        <v>916</v>
      </c>
      <c r="G639" s="27">
        <v>6</v>
      </c>
      <c r="H639" s="31" t="s">
        <v>520</v>
      </c>
      <c r="I639" s="31"/>
      <c r="J639" s="26" t="s">
        <v>824</v>
      </c>
      <c r="K639" s="27">
        <v>6</v>
      </c>
      <c r="L639" s="31" t="s">
        <v>769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766</v>
      </c>
      <c r="D640" s="31" t="s">
        <v>843</v>
      </c>
      <c r="E640" s="31" t="s">
        <v>844</v>
      </c>
      <c r="F640" s="31" t="s">
        <v>1011</v>
      </c>
      <c r="G640" s="27">
        <v>4800</v>
      </c>
      <c r="H640" s="31" t="s">
        <v>63</v>
      </c>
      <c r="I640" s="31"/>
      <c r="J640" s="26" t="s">
        <v>775</v>
      </c>
      <c r="K640" s="27">
        <v>4800</v>
      </c>
      <c r="L640" s="31" t="s">
        <v>769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766</v>
      </c>
      <c r="D641" s="31" t="s">
        <v>843</v>
      </c>
      <c r="E641" s="31" t="s">
        <v>844</v>
      </c>
      <c r="F641" s="31" t="s">
        <v>1012</v>
      </c>
      <c r="G641" s="27">
        <v>11300</v>
      </c>
      <c r="H641" s="31" t="s">
        <v>63</v>
      </c>
      <c r="I641" s="31"/>
      <c r="J641" s="26" t="s">
        <v>775</v>
      </c>
      <c r="K641" s="27">
        <v>11300</v>
      </c>
      <c r="L641" s="31" t="s">
        <v>769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766</v>
      </c>
      <c r="D642" s="31" t="s">
        <v>575</v>
      </c>
      <c r="E642" s="31" t="s">
        <v>885</v>
      </c>
      <c r="F642" s="31" t="s">
        <v>773</v>
      </c>
      <c r="G642" s="27">
        <v>7200</v>
      </c>
      <c r="H642" s="31" t="s">
        <v>63</v>
      </c>
      <c r="I642" s="31" t="s">
        <v>992</v>
      </c>
      <c r="J642" s="26" t="s">
        <v>775</v>
      </c>
      <c r="K642" s="27">
        <v>7200</v>
      </c>
      <c r="L642" s="31" t="s">
        <v>769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771</v>
      </c>
      <c r="D643" s="31" t="s">
        <v>575</v>
      </c>
      <c r="E643" s="31" t="s">
        <v>772</v>
      </c>
      <c r="F643" s="31" t="s">
        <v>773</v>
      </c>
      <c r="G643" s="27">
        <v>3300</v>
      </c>
      <c r="H643" s="31" t="s">
        <v>63</v>
      </c>
      <c r="I643" s="31" t="s">
        <v>859</v>
      </c>
      <c r="J643" s="26" t="s">
        <v>775</v>
      </c>
      <c r="K643" s="27">
        <v>3300</v>
      </c>
      <c r="L643" s="31" t="s">
        <v>769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771</v>
      </c>
      <c r="D644" s="31" t="s">
        <v>576</v>
      </c>
      <c r="E644" s="31"/>
      <c r="F644" s="31" t="s">
        <v>576</v>
      </c>
      <c r="G644" s="27">
        <v>4500</v>
      </c>
      <c r="H644" s="31" t="s">
        <v>63</v>
      </c>
      <c r="I644" s="31"/>
      <c r="J644" s="26" t="s">
        <v>778</v>
      </c>
      <c r="K644" s="27">
        <v>4500</v>
      </c>
      <c r="L644" s="31" t="s">
        <v>769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1034</v>
      </c>
      <c r="D645" s="31" t="s">
        <v>22</v>
      </c>
      <c r="E645" s="31"/>
      <c r="F645" s="31" t="s">
        <v>1046</v>
      </c>
      <c r="G645" s="27">
        <v>948</v>
      </c>
      <c r="H645" s="31" t="s">
        <v>520</v>
      </c>
      <c r="I645" s="31"/>
      <c r="J645" s="26" t="s">
        <v>824</v>
      </c>
      <c r="K645" s="27">
        <v>948</v>
      </c>
      <c r="L645" s="31" t="s">
        <v>769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1005</v>
      </c>
      <c r="D646" s="31" t="s">
        <v>806</v>
      </c>
      <c r="E646" s="31"/>
      <c r="F646" s="31" t="s">
        <v>1036</v>
      </c>
      <c r="G646" s="27">
        <v>16794</v>
      </c>
      <c r="H646" s="31" t="s">
        <v>63</v>
      </c>
      <c r="I646" s="31" t="s">
        <v>1051</v>
      </c>
      <c r="J646" s="26" t="s">
        <v>806</v>
      </c>
      <c r="K646" s="27">
        <v>16794</v>
      </c>
      <c r="L646" s="31" t="s">
        <v>769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1006</v>
      </c>
      <c r="D647" s="31" t="s">
        <v>806</v>
      </c>
      <c r="E647" s="31"/>
      <c r="F647" s="31" t="s">
        <v>1036</v>
      </c>
      <c r="G647" s="27">
        <v>14990</v>
      </c>
      <c r="H647" s="31" t="s">
        <v>63</v>
      </c>
      <c r="I647" s="31" t="s">
        <v>1051</v>
      </c>
      <c r="J647" s="26" t="s">
        <v>806</v>
      </c>
      <c r="K647" s="27">
        <v>14990</v>
      </c>
      <c r="L647" s="31" t="s">
        <v>769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771</v>
      </c>
      <c r="D648" s="31" t="s">
        <v>575</v>
      </c>
      <c r="E648" s="31" t="s">
        <v>885</v>
      </c>
      <c r="F648" s="31" t="s">
        <v>773</v>
      </c>
      <c r="G648" s="27">
        <v>4800</v>
      </c>
      <c r="H648" s="31" t="s">
        <v>63</v>
      </c>
      <c r="I648" s="31"/>
      <c r="J648" s="26" t="s">
        <v>775</v>
      </c>
      <c r="K648" s="27">
        <v>4800</v>
      </c>
      <c r="L648" s="31" t="s">
        <v>769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771</v>
      </c>
      <c r="D649" s="31" t="s">
        <v>796</v>
      </c>
      <c r="E649" s="31"/>
      <c r="F649" s="31" t="s">
        <v>797</v>
      </c>
      <c r="G649" s="27">
        <v>9000</v>
      </c>
      <c r="H649" s="31" t="s">
        <v>63</v>
      </c>
      <c r="I649" s="31"/>
      <c r="J649" s="26" t="s">
        <v>775</v>
      </c>
      <c r="K649" s="27">
        <v>9000</v>
      </c>
      <c r="L649" s="31" t="s">
        <v>769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771</v>
      </c>
      <c r="D650" s="31" t="s">
        <v>575</v>
      </c>
      <c r="E650" s="31" t="s">
        <v>781</v>
      </c>
      <c r="F650" s="31" t="s">
        <v>1052</v>
      </c>
      <c r="G650" s="27">
        <v>7700</v>
      </c>
      <c r="H650" s="31" t="s">
        <v>63</v>
      </c>
      <c r="I650" s="31"/>
      <c r="J650" s="26" t="s">
        <v>775</v>
      </c>
      <c r="K650" s="27">
        <v>7700</v>
      </c>
      <c r="L650" s="31" t="s">
        <v>769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771</v>
      </c>
      <c r="D651" s="31" t="s">
        <v>1053</v>
      </c>
      <c r="E651" s="31"/>
      <c r="F651" s="31" t="s">
        <v>1054</v>
      </c>
      <c r="G651" s="27">
        <v>11300</v>
      </c>
      <c r="H651" s="31" t="s">
        <v>63</v>
      </c>
      <c r="I651" s="31" t="s">
        <v>1055</v>
      </c>
      <c r="J651" s="26" t="s">
        <v>775</v>
      </c>
      <c r="K651" s="27">
        <v>11300</v>
      </c>
      <c r="L651" s="31" t="s">
        <v>769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771</v>
      </c>
      <c r="D652" s="31" t="s">
        <v>796</v>
      </c>
      <c r="E652" s="31"/>
      <c r="F652" s="31" t="s">
        <v>797</v>
      </c>
      <c r="G652" s="27">
        <v>2000</v>
      </c>
      <c r="H652" s="31" t="s">
        <v>63</v>
      </c>
      <c r="I652" s="31" t="s">
        <v>1056</v>
      </c>
      <c r="J652" s="26" t="s">
        <v>775</v>
      </c>
      <c r="K652" s="27">
        <v>2000</v>
      </c>
      <c r="L652" s="31" t="s">
        <v>769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771</v>
      </c>
      <c r="D653" s="31" t="s">
        <v>575</v>
      </c>
      <c r="E653" s="31" t="s">
        <v>885</v>
      </c>
      <c r="F653" s="31" t="s">
        <v>773</v>
      </c>
      <c r="G653" s="27">
        <v>6700</v>
      </c>
      <c r="H653" s="31" t="s">
        <v>63</v>
      </c>
      <c r="I653" s="31" t="s">
        <v>992</v>
      </c>
      <c r="J653" s="26" t="s">
        <v>775</v>
      </c>
      <c r="K653" s="27">
        <v>6700</v>
      </c>
      <c r="L653" s="31" t="s">
        <v>769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771</v>
      </c>
      <c r="D654" s="31" t="s">
        <v>576</v>
      </c>
      <c r="E654" s="31"/>
      <c r="F654" s="31" t="s">
        <v>576</v>
      </c>
      <c r="G654" s="27">
        <v>5000</v>
      </c>
      <c r="H654" s="31" t="s">
        <v>63</v>
      </c>
      <c r="I654" s="31"/>
      <c r="J654" s="26" t="s">
        <v>778</v>
      </c>
      <c r="K654" s="27">
        <v>5000</v>
      </c>
      <c r="L654" s="31" t="s">
        <v>769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771</v>
      </c>
      <c r="D655" s="31" t="s">
        <v>575</v>
      </c>
      <c r="E655" s="31" t="s">
        <v>772</v>
      </c>
      <c r="F655" s="31" t="s">
        <v>814</v>
      </c>
      <c r="G655" s="27">
        <v>800</v>
      </c>
      <c r="H655" s="31" t="s">
        <v>63</v>
      </c>
      <c r="I655" s="31"/>
      <c r="J655" s="26" t="s">
        <v>775</v>
      </c>
      <c r="K655" s="27">
        <v>800</v>
      </c>
      <c r="L655" s="31" t="s">
        <v>769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771</v>
      </c>
      <c r="D656" s="31" t="s">
        <v>575</v>
      </c>
      <c r="E656" s="31" t="s">
        <v>781</v>
      </c>
      <c r="F656" s="31" t="s">
        <v>1057</v>
      </c>
      <c r="G656" s="27">
        <v>9600</v>
      </c>
      <c r="H656" s="31" t="s">
        <v>63</v>
      </c>
      <c r="I656" s="31"/>
      <c r="J656" s="26" t="s">
        <v>775</v>
      </c>
      <c r="K656" s="27">
        <v>9600</v>
      </c>
      <c r="L656" s="31" t="s">
        <v>769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771</v>
      </c>
      <c r="D657" s="31" t="s">
        <v>796</v>
      </c>
      <c r="E657" s="31"/>
      <c r="F657" s="31" t="s">
        <v>797</v>
      </c>
      <c r="G657" s="27">
        <v>7000</v>
      </c>
      <c r="H657" s="31" t="s">
        <v>63</v>
      </c>
      <c r="I657" s="31"/>
      <c r="J657" s="26" t="s">
        <v>775</v>
      </c>
      <c r="K657" s="27">
        <v>7000</v>
      </c>
      <c r="L657" s="31" t="s">
        <v>769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766</v>
      </c>
      <c r="D658" s="31" t="s">
        <v>485</v>
      </c>
      <c r="E658" s="31"/>
      <c r="F658" s="31" t="s">
        <v>917</v>
      </c>
      <c r="G658" s="27">
        <v>8072</v>
      </c>
      <c r="H658" s="31" t="s">
        <v>63</v>
      </c>
      <c r="I658" s="31" t="s">
        <v>918</v>
      </c>
      <c r="J658" s="26" t="s">
        <v>768</v>
      </c>
      <c r="K658" s="27">
        <v>8072</v>
      </c>
      <c r="L658" s="31" t="s">
        <v>769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196</v>
      </c>
      <c r="D659" s="31" t="s">
        <v>843</v>
      </c>
      <c r="E659" s="31" t="s">
        <v>844</v>
      </c>
      <c r="F659" s="31" t="s">
        <v>874</v>
      </c>
      <c r="G659" s="27">
        <v>-3300</v>
      </c>
      <c r="H659" s="31" t="s">
        <v>63</v>
      </c>
      <c r="I659" s="31" t="s">
        <v>952</v>
      </c>
      <c r="J659" s="26" t="s">
        <v>775</v>
      </c>
      <c r="K659" s="27">
        <v>-3300</v>
      </c>
      <c r="L659" s="31" t="s">
        <v>769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852</v>
      </c>
      <c r="D660" s="31" t="s">
        <v>796</v>
      </c>
      <c r="E660" s="31"/>
      <c r="F660" s="31" t="s">
        <v>488</v>
      </c>
      <c r="G660" s="27">
        <v>7900</v>
      </c>
      <c r="H660" s="31" t="s">
        <v>63</v>
      </c>
      <c r="I660" s="31" t="s">
        <v>1058</v>
      </c>
      <c r="J660" s="26" t="s">
        <v>775</v>
      </c>
      <c r="K660" s="27">
        <v>7900</v>
      </c>
      <c r="L660" s="31" t="s">
        <v>769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771</v>
      </c>
      <c r="D661" s="31" t="s">
        <v>576</v>
      </c>
      <c r="E661" s="31"/>
      <c r="F661" s="31" t="s">
        <v>576</v>
      </c>
      <c r="G661" s="27">
        <v>5000</v>
      </c>
      <c r="H661" s="31" t="s">
        <v>63</v>
      </c>
      <c r="I661" s="31"/>
      <c r="J661" s="26" t="s">
        <v>778</v>
      </c>
      <c r="K661" s="27">
        <v>5000</v>
      </c>
      <c r="L661" s="31" t="s">
        <v>769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771</v>
      </c>
      <c r="D662" s="31" t="s">
        <v>575</v>
      </c>
      <c r="E662" s="31" t="s">
        <v>772</v>
      </c>
      <c r="F662" s="31" t="s">
        <v>814</v>
      </c>
      <c r="G662" s="27">
        <v>800</v>
      </c>
      <c r="H662" s="31" t="s">
        <v>63</v>
      </c>
      <c r="I662" s="31"/>
      <c r="J662" s="26" t="s">
        <v>775</v>
      </c>
      <c r="K662" s="27">
        <v>800</v>
      </c>
      <c r="L662" s="31" t="s">
        <v>769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771</v>
      </c>
      <c r="D663" s="31" t="s">
        <v>575</v>
      </c>
      <c r="E663" s="31" t="s">
        <v>781</v>
      </c>
      <c r="F663" s="31" t="s">
        <v>902</v>
      </c>
      <c r="G663" s="27">
        <v>12000</v>
      </c>
      <c r="H663" s="31" t="s">
        <v>63</v>
      </c>
      <c r="I663" s="31"/>
      <c r="J663" s="26" t="s">
        <v>775</v>
      </c>
      <c r="K663" s="27">
        <v>12000</v>
      </c>
      <c r="L663" s="31" t="s">
        <v>769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780</v>
      </c>
      <c r="D664" s="31" t="s">
        <v>817</v>
      </c>
      <c r="E664" s="31"/>
      <c r="F664" s="31" t="s">
        <v>451</v>
      </c>
      <c r="G664" s="27">
        <v>144360</v>
      </c>
      <c r="H664" s="31" t="s">
        <v>63</v>
      </c>
      <c r="I664" s="31"/>
      <c r="J664" s="26" t="s">
        <v>768</v>
      </c>
      <c r="K664" s="27">
        <v>144360</v>
      </c>
      <c r="L664" s="31" t="s">
        <v>769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803</v>
      </c>
      <c r="D665" s="31" t="s">
        <v>66</v>
      </c>
      <c r="E665" s="31"/>
      <c r="F665" s="31" t="s">
        <v>66</v>
      </c>
      <c r="G665" s="27">
        <v>2785740</v>
      </c>
      <c r="H665" s="31" t="s">
        <v>520</v>
      </c>
      <c r="I665" s="31"/>
      <c r="J665" s="26" t="s">
        <v>66</v>
      </c>
      <c r="K665" s="27">
        <v>2785740</v>
      </c>
      <c r="L665" s="31" t="s">
        <v>769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559</v>
      </c>
      <c r="D666" s="31" t="s">
        <v>803</v>
      </c>
      <c r="E666" s="31"/>
      <c r="F666" s="31" t="s">
        <v>858</v>
      </c>
      <c r="G666" s="27">
        <v>20000</v>
      </c>
      <c r="H666" s="31" t="s">
        <v>804</v>
      </c>
      <c r="I666" s="31"/>
      <c r="J666" s="26" t="s">
        <v>805</v>
      </c>
      <c r="K666" s="27">
        <v>20000</v>
      </c>
      <c r="L666" s="31" t="s">
        <v>769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803</v>
      </c>
      <c r="D667" s="31" t="s">
        <v>559</v>
      </c>
      <c r="E667" s="31"/>
      <c r="F667" s="31" t="s">
        <v>858</v>
      </c>
      <c r="G667" s="27">
        <v>20000</v>
      </c>
      <c r="H667" s="31" t="s">
        <v>807</v>
      </c>
      <c r="I667" s="31"/>
      <c r="J667" s="26" t="s">
        <v>839</v>
      </c>
      <c r="K667" s="27">
        <v>20000</v>
      </c>
      <c r="L667" s="31" t="s">
        <v>769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803</v>
      </c>
      <c r="D668" s="31" t="s">
        <v>922</v>
      </c>
      <c r="E668" s="31"/>
      <c r="F668" s="31" t="s">
        <v>81</v>
      </c>
      <c r="G668" s="27">
        <v>150000</v>
      </c>
      <c r="H668" s="31" t="s">
        <v>807</v>
      </c>
      <c r="I668" s="31"/>
      <c r="J668" s="26" t="s">
        <v>829</v>
      </c>
      <c r="K668" s="27">
        <v>150000</v>
      </c>
      <c r="L668" s="31" t="s">
        <v>769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922</v>
      </c>
      <c r="D669" s="31" t="s">
        <v>803</v>
      </c>
      <c r="E669" s="31"/>
      <c r="F669" s="31" t="s">
        <v>81</v>
      </c>
      <c r="G669" s="27">
        <v>150000</v>
      </c>
      <c r="H669" s="31" t="s">
        <v>804</v>
      </c>
      <c r="I669" s="31"/>
      <c r="J669" s="26" t="s">
        <v>805</v>
      </c>
      <c r="K669" s="27">
        <v>150000</v>
      </c>
      <c r="L669" s="31" t="s">
        <v>769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527</v>
      </c>
      <c r="D670" s="31" t="s">
        <v>803</v>
      </c>
      <c r="E670" s="31"/>
      <c r="F670" s="31" t="s">
        <v>81</v>
      </c>
      <c r="G670" s="27">
        <v>20000</v>
      </c>
      <c r="H670" s="31" t="s">
        <v>804</v>
      </c>
      <c r="I670" s="31"/>
      <c r="J670" s="26" t="s">
        <v>805</v>
      </c>
      <c r="K670" s="27">
        <v>20000</v>
      </c>
      <c r="L670" s="31" t="s">
        <v>769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803</v>
      </c>
      <c r="D671" s="31" t="s">
        <v>527</v>
      </c>
      <c r="E671" s="31"/>
      <c r="F671" s="31" t="s">
        <v>81</v>
      </c>
      <c r="G671" s="27">
        <v>20000</v>
      </c>
      <c r="H671" s="31" t="s">
        <v>807</v>
      </c>
      <c r="I671" s="31"/>
      <c r="J671" s="26" t="s">
        <v>830</v>
      </c>
      <c r="K671" s="27">
        <v>20000</v>
      </c>
      <c r="L671" s="31" t="s">
        <v>769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196</v>
      </c>
      <c r="D672" s="31" t="s">
        <v>22</v>
      </c>
      <c r="E672" s="31"/>
      <c r="F672" s="31" t="s">
        <v>916</v>
      </c>
      <c r="G672" s="27">
        <v>1</v>
      </c>
      <c r="H672" s="31" t="s">
        <v>520</v>
      </c>
      <c r="I672" s="31"/>
      <c r="J672" s="26" t="s">
        <v>824</v>
      </c>
      <c r="K672" s="27">
        <v>1</v>
      </c>
      <c r="L672" s="31" t="s">
        <v>769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803</v>
      </c>
      <c r="D673" s="31" t="s">
        <v>1005</v>
      </c>
      <c r="E673" s="31"/>
      <c r="F673" s="31" t="s">
        <v>81</v>
      </c>
      <c r="G673" s="27">
        <v>60000</v>
      </c>
      <c r="H673" s="31" t="s">
        <v>807</v>
      </c>
      <c r="I673" s="31"/>
      <c r="J673" s="26" t="s">
        <v>833</v>
      </c>
      <c r="K673" s="27">
        <v>60000</v>
      </c>
      <c r="L673" s="31" t="s">
        <v>769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1005</v>
      </c>
      <c r="D674" s="31" t="s">
        <v>803</v>
      </c>
      <c r="E674" s="31"/>
      <c r="F674" s="31" t="s">
        <v>81</v>
      </c>
      <c r="G674" s="27">
        <v>60000</v>
      </c>
      <c r="H674" s="31" t="s">
        <v>804</v>
      </c>
      <c r="I674" s="31"/>
      <c r="J674" s="26" t="s">
        <v>805</v>
      </c>
      <c r="K674" s="27">
        <v>60000</v>
      </c>
      <c r="L674" s="31" t="s">
        <v>769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803</v>
      </c>
      <c r="D675" s="31" t="s">
        <v>1006</v>
      </c>
      <c r="E675" s="31"/>
      <c r="F675" s="31" t="s">
        <v>81</v>
      </c>
      <c r="G675" s="27">
        <v>60000</v>
      </c>
      <c r="H675" s="31" t="s">
        <v>807</v>
      </c>
      <c r="I675" s="31"/>
      <c r="J675" s="26" t="s">
        <v>833</v>
      </c>
      <c r="K675" s="27">
        <v>60000</v>
      </c>
      <c r="L675" s="31" t="s">
        <v>769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1006</v>
      </c>
      <c r="D676" s="31" t="s">
        <v>803</v>
      </c>
      <c r="E676" s="31"/>
      <c r="F676" s="31" t="s">
        <v>81</v>
      </c>
      <c r="G676" s="27">
        <v>60000</v>
      </c>
      <c r="H676" s="31" t="s">
        <v>804</v>
      </c>
      <c r="I676" s="31"/>
      <c r="J676" s="26" t="s">
        <v>805</v>
      </c>
      <c r="K676" s="27">
        <v>60000</v>
      </c>
      <c r="L676" s="31" t="s">
        <v>769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1006</v>
      </c>
      <c r="D677" s="31" t="s">
        <v>806</v>
      </c>
      <c r="E677" s="31"/>
      <c r="F677" s="31" t="s">
        <v>1036</v>
      </c>
      <c r="G677" s="27">
        <v>8394</v>
      </c>
      <c r="H677" s="31" t="s">
        <v>63</v>
      </c>
      <c r="I677" s="31" t="s">
        <v>1051</v>
      </c>
      <c r="J677" s="26" t="s">
        <v>806</v>
      </c>
      <c r="K677" s="27">
        <v>8394</v>
      </c>
      <c r="L677" s="31" t="s">
        <v>769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1005</v>
      </c>
      <c r="D678" s="31" t="s">
        <v>806</v>
      </c>
      <c r="E678" s="31"/>
      <c r="F678" s="31" t="s">
        <v>1036</v>
      </c>
      <c r="G678" s="27">
        <v>6179</v>
      </c>
      <c r="H678" s="31" t="s">
        <v>63</v>
      </c>
      <c r="I678" s="31" t="s">
        <v>1051</v>
      </c>
      <c r="J678" s="26" t="s">
        <v>806</v>
      </c>
      <c r="K678" s="27">
        <v>6179</v>
      </c>
      <c r="L678" s="31" t="s">
        <v>769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1034</v>
      </c>
      <c r="D679" s="31" t="s">
        <v>22</v>
      </c>
      <c r="E679" s="31"/>
      <c r="F679" s="31" t="s">
        <v>1046</v>
      </c>
      <c r="G679" s="27">
        <v>474</v>
      </c>
      <c r="H679" s="31" t="s">
        <v>520</v>
      </c>
      <c r="I679" s="31"/>
      <c r="J679" s="26" t="s">
        <v>824</v>
      </c>
      <c r="K679" s="27">
        <v>474</v>
      </c>
      <c r="L679" s="31" t="s">
        <v>769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803</v>
      </c>
      <c r="D680" s="31" t="s">
        <v>924</v>
      </c>
      <c r="E680" s="31"/>
      <c r="F680" s="31" t="s">
        <v>81</v>
      </c>
      <c r="G680" s="27">
        <v>200000</v>
      </c>
      <c r="H680" s="31" t="s">
        <v>807</v>
      </c>
      <c r="I680" s="31"/>
      <c r="J680" s="26" t="s">
        <v>842</v>
      </c>
      <c r="K680" s="27">
        <v>200000</v>
      </c>
      <c r="L680" s="31" t="s">
        <v>769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924</v>
      </c>
      <c r="D681" s="31" t="s">
        <v>803</v>
      </c>
      <c r="E681" s="31"/>
      <c r="F681" s="31" t="s">
        <v>81</v>
      </c>
      <c r="G681" s="27">
        <v>200000</v>
      </c>
      <c r="H681" s="31" t="s">
        <v>804</v>
      </c>
      <c r="I681" s="31"/>
      <c r="J681" s="26" t="s">
        <v>805</v>
      </c>
      <c r="K681" s="27">
        <v>200000</v>
      </c>
      <c r="L681" s="31" t="s">
        <v>769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803</v>
      </c>
      <c r="D682" s="31" t="s">
        <v>1034</v>
      </c>
      <c r="E682" s="31"/>
      <c r="F682" s="31" t="s">
        <v>81</v>
      </c>
      <c r="G682" s="27">
        <v>200000</v>
      </c>
      <c r="H682" s="31" t="s">
        <v>807</v>
      </c>
      <c r="I682" s="31"/>
      <c r="J682" s="26" t="s">
        <v>805</v>
      </c>
      <c r="K682" s="27">
        <v>200000</v>
      </c>
      <c r="L682" s="31" t="s">
        <v>769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1034</v>
      </c>
      <c r="D683" s="31" t="s">
        <v>803</v>
      </c>
      <c r="E683" s="31"/>
      <c r="F683" s="31" t="s">
        <v>81</v>
      </c>
      <c r="G683" s="27">
        <v>200000</v>
      </c>
      <c r="H683" s="31" t="s">
        <v>804</v>
      </c>
      <c r="I683" s="31"/>
      <c r="J683" s="26" t="s">
        <v>805</v>
      </c>
      <c r="K683" s="27">
        <v>200000</v>
      </c>
      <c r="L683" s="31" t="s">
        <v>769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816</v>
      </c>
      <c r="D684" s="31" t="s">
        <v>803</v>
      </c>
      <c r="E684" s="31"/>
      <c r="F684" s="31" t="s">
        <v>81</v>
      </c>
      <c r="G684" s="27">
        <v>2075740</v>
      </c>
      <c r="H684" s="31" t="s">
        <v>804</v>
      </c>
      <c r="I684" s="31"/>
      <c r="J684" s="26" t="s">
        <v>805</v>
      </c>
      <c r="K684" s="27">
        <v>2075740</v>
      </c>
      <c r="L684" s="31" t="s">
        <v>769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803</v>
      </c>
      <c r="D685" s="31" t="s">
        <v>816</v>
      </c>
      <c r="E685" s="31"/>
      <c r="F685" s="31" t="s">
        <v>81</v>
      </c>
      <c r="G685" s="27">
        <v>2075740</v>
      </c>
      <c r="H685" s="31" t="s">
        <v>807</v>
      </c>
      <c r="I685" s="31"/>
      <c r="J685" s="26" t="s">
        <v>805</v>
      </c>
      <c r="K685" s="27">
        <v>2075740</v>
      </c>
      <c r="L685" s="31" t="s">
        <v>769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816</v>
      </c>
      <c r="D686" s="31" t="s">
        <v>22</v>
      </c>
      <c r="E686" s="31"/>
      <c r="F686" s="31" t="s">
        <v>897</v>
      </c>
      <c r="G686" s="27">
        <v>642</v>
      </c>
      <c r="H686" s="31" t="s">
        <v>520</v>
      </c>
      <c r="I686" s="31"/>
      <c r="J686" s="26" t="s">
        <v>824</v>
      </c>
      <c r="K686" s="27">
        <v>642</v>
      </c>
      <c r="L686" s="31" t="s">
        <v>769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816</v>
      </c>
      <c r="D687" s="31" t="s">
        <v>193</v>
      </c>
      <c r="E687" s="31"/>
      <c r="F687" s="31" t="s">
        <v>81</v>
      </c>
      <c r="G687" s="27">
        <v>14000</v>
      </c>
      <c r="H687" s="31" t="s">
        <v>807</v>
      </c>
      <c r="I687" s="31"/>
      <c r="J687" s="26" t="s">
        <v>805</v>
      </c>
      <c r="K687" s="27">
        <v>14000</v>
      </c>
      <c r="L687" s="31" t="s">
        <v>769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193</v>
      </c>
      <c r="D688" s="31" t="s">
        <v>816</v>
      </c>
      <c r="E688" s="31"/>
      <c r="F688" s="31" t="s">
        <v>81</v>
      </c>
      <c r="G688" s="27">
        <v>14000</v>
      </c>
      <c r="H688" s="31" t="s">
        <v>804</v>
      </c>
      <c r="I688" s="31"/>
      <c r="J688" s="26" t="s">
        <v>805</v>
      </c>
      <c r="K688" s="27">
        <v>14000</v>
      </c>
      <c r="L688" s="31" t="s">
        <v>769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766</v>
      </c>
      <c r="D689" s="31" t="s">
        <v>485</v>
      </c>
      <c r="E689" s="31"/>
      <c r="F689" s="31" t="s">
        <v>926</v>
      </c>
      <c r="G689" s="27">
        <v>4890</v>
      </c>
      <c r="H689" s="31" t="s">
        <v>63</v>
      </c>
      <c r="I689" s="31"/>
      <c r="J689" s="26" t="s">
        <v>768</v>
      </c>
      <c r="K689" s="27">
        <v>4890</v>
      </c>
      <c r="L689" s="31" t="s">
        <v>769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816</v>
      </c>
      <c r="D690" s="31" t="s">
        <v>1034</v>
      </c>
      <c r="E690" s="31"/>
      <c r="F690" s="31" t="s">
        <v>81</v>
      </c>
      <c r="G690" s="27">
        <v>1900000</v>
      </c>
      <c r="H690" s="31" t="s">
        <v>807</v>
      </c>
      <c r="I690" s="31"/>
      <c r="J690" s="26" t="s">
        <v>805</v>
      </c>
      <c r="K690" s="27">
        <v>1900000</v>
      </c>
      <c r="L690" s="31" t="s">
        <v>769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1034</v>
      </c>
      <c r="D691" s="31" t="s">
        <v>816</v>
      </c>
      <c r="E691" s="31"/>
      <c r="F691" s="31" t="s">
        <v>81</v>
      </c>
      <c r="G691" s="27">
        <v>1900000</v>
      </c>
      <c r="H691" s="31" t="s">
        <v>804</v>
      </c>
      <c r="I691" s="31"/>
      <c r="J691" s="26" t="s">
        <v>805</v>
      </c>
      <c r="K691" s="27">
        <v>1900000</v>
      </c>
      <c r="L691" s="31" t="s">
        <v>769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1034</v>
      </c>
      <c r="D692" s="31" t="s">
        <v>22</v>
      </c>
      <c r="E692" s="31"/>
      <c r="F692" s="31" t="s">
        <v>1046</v>
      </c>
      <c r="G692" s="27">
        <v>158</v>
      </c>
      <c r="H692" s="31" t="s">
        <v>520</v>
      </c>
      <c r="I692" s="31"/>
      <c r="J692" s="26" t="s">
        <v>824</v>
      </c>
      <c r="K692" s="27">
        <v>158</v>
      </c>
      <c r="L692" s="31" t="s">
        <v>769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193</v>
      </c>
      <c r="D693" s="31" t="s">
        <v>22</v>
      </c>
      <c r="E693" s="31"/>
      <c r="F693" s="31" t="s">
        <v>927</v>
      </c>
      <c r="G693" s="27">
        <v>13918</v>
      </c>
      <c r="H693" s="31" t="s">
        <v>63</v>
      </c>
      <c r="I693" s="31"/>
      <c r="J693" s="26" t="s">
        <v>768</v>
      </c>
      <c r="K693" s="27">
        <v>13918</v>
      </c>
      <c r="L693" s="31" t="s">
        <v>769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771</v>
      </c>
      <c r="D694" s="31" t="s">
        <v>576</v>
      </c>
      <c r="E694" s="31"/>
      <c r="F694" s="31" t="s">
        <v>576</v>
      </c>
      <c r="G694" s="27">
        <v>5000</v>
      </c>
      <c r="H694" s="31" t="s">
        <v>63</v>
      </c>
      <c r="I694" s="31"/>
      <c r="J694" s="26" t="s">
        <v>778</v>
      </c>
      <c r="K694" s="27">
        <v>5000</v>
      </c>
      <c r="L694" s="31" t="s">
        <v>769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771</v>
      </c>
      <c r="D695" s="31" t="s">
        <v>575</v>
      </c>
      <c r="E695" s="31" t="s">
        <v>772</v>
      </c>
      <c r="F695" s="31" t="s">
        <v>841</v>
      </c>
      <c r="G695" s="27">
        <v>9400</v>
      </c>
      <c r="H695" s="31" t="s">
        <v>63</v>
      </c>
      <c r="I695" s="31"/>
      <c r="J695" s="26" t="s">
        <v>775</v>
      </c>
      <c r="K695" s="27">
        <v>9400</v>
      </c>
      <c r="L695" s="31" t="s">
        <v>769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771</v>
      </c>
      <c r="D696" s="31" t="s">
        <v>575</v>
      </c>
      <c r="E696" s="31" t="s">
        <v>781</v>
      </c>
      <c r="F696" s="31" t="s">
        <v>953</v>
      </c>
      <c r="G696" s="27">
        <v>12900</v>
      </c>
      <c r="H696" s="31" t="s">
        <v>63</v>
      </c>
      <c r="I696" s="31"/>
      <c r="J696" s="26" t="s">
        <v>775</v>
      </c>
      <c r="K696" s="27">
        <v>12900</v>
      </c>
      <c r="L696" s="31" t="s">
        <v>769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771</v>
      </c>
      <c r="D697" s="31" t="s">
        <v>575</v>
      </c>
      <c r="E697" s="31" t="s">
        <v>772</v>
      </c>
      <c r="F697" s="31" t="s">
        <v>814</v>
      </c>
      <c r="G697" s="27">
        <v>2300</v>
      </c>
      <c r="H697" s="31" t="s">
        <v>63</v>
      </c>
      <c r="I697" s="31"/>
      <c r="J697" s="26" t="s">
        <v>775</v>
      </c>
      <c r="K697" s="27">
        <v>2300</v>
      </c>
      <c r="L697" s="31" t="s">
        <v>769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780</v>
      </c>
      <c r="D698" s="31" t="s">
        <v>843</v>
      </c>
      <c r="E698" s="31" t="s">
        <v>932</v>
      </c>
      <c r="F698" s="31" t="s">
        <v>933</v>
      </c>
      <c r="G698" s="27">
        <v>138056</v>
      </c>
      <c r="H698" s="31" t="s">
        <v>63</v>
      </c>
      <c r="I698" s="31"/>
      <c r="J698" s="26" t="s">
        <v>768</v>
      </c>
      <c r="K698" s="27">
        <v>138056</v>
      </c>
      <c r="L698" s="31" t="s">
        <v>769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771</v>
      </c>
      <c r="D699" s="31" t="s">
        <v>840</v>
      </c>
      <c r="E699" s="31"/>
      <c r="F699" s="31" t="s">
        <v>937</v>
      </c>
      <c r="G699" s="27">
        <v>29900</v>
      </c>
      <c r="H699" s="31" t="s">
        <v>63</v>
      </c>
      <c r="I699" s="31" t="s">
        <v>108</v>
      </c>
      <c r="J699" s="26" t="s">
        <v>787</v>
      </c>
      <c r="K699" s="27">
        <v>29900</v>
      </c>
      <c r="L699" s="31" t="s">
        <v>769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187</v>
      </c>
      <c r="D700" s="31" t="s">
        <v>22</v>
      </c>
      <c r="E700" s="31"/>
      <c r="F700" s="31" t="s">
        <v>1059</v>
      </c>
      <c r="G700" s="27">
        <v>242</v>
      </c>
      <c r="H700" s="31" t="s">
        <v>520</v>
      </c>
      <c r="I700" s="31"/>
      <c r="J700" s="26" t="s">
        <v>824</v>
      </c>
      <c r="K700" s="27">
        <v>242</v>
      </c>
      <c r="L700" s="31" t="s">
        <v>769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771</v>
      </c>
      <c r="D701" s="31" t="s">
        <v>575</v>
      </c>
      <c r="E701" s="31" t="s">
        <v>885</v>
      </c>
      <c r="F701" s="31" t="s">
        <v>773</v>
      </c>
      <c r="G701" s="27">
        <v>4400</v>
      </c>
      <c r="H701" s="31" t="s">
        <v>63</v>
      </c>
      <c r="I701" s="31" t="s">
        <v>992</v>
      </c>
      <c r="J701" s="26" t="s">
        <v>775</v>
      </c>
      <c r="K701" s="27">
        <v>4400</v>
      </c>
      <c r="L701" s="31" t="s">
        <v>769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771</v>
      </c>
      <c r="D702" s="31" t="s">
        <v>576</v>
      </c>
      <c r="E702" s="31"/>
      <c r="F702" s="31" t="s">
        <v>576</v>
      </c>
      <c r="G702" s="27">
        <v>5000</v>
      </c>
      <c r="H702" s="31" t="s">
        <v>63</v>
      </c>
      <c r="I702" s="31"/>
      <c r="J702" s="26" t="s">
        <v>778</v>
      </c>
      <c r="K702" s="27">
        <v>5000</v>
      </c>
      <c r="L702" s="31" t="s">
        <v>769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771</v>
      </c>
      <c r="D703" s="31" t="s">
        <v>575</v>
      </c>
      <c r="E703" s="31" t="s">
        <v>781</v>
      </c>
      <c r="F703" s="31" t="s">
        <v>1004</v>
      </c>
      <c r="G703" s="27">
        <v>8500</v>
      </c>
      <c r="H703" s="31" t="s">
        <v>63</v>
      </c>
      <c r="I703" s="31"/>
      <c r="J703" s="26" t="s">
        <v>775</v>
      </c>
      <c r="K703" s="27">
        <v>8500</v>
      </c>
      <c r="L703" s="31" t="s">
        <v>769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771</v>
      </c>
      <c r="D704" s="31" t="s">
        <v>575</v>
      </c>
      <c r="E704" s="31" t="s">
        <v>772</v>
      </c>
      <c r="F704" s="31" t="s">
        <v>1060</v>
      </c>
      <c r="G704" s="27">
        <v>6000</v>
      </c>
      <c r="H704" s="31" t="s">
        <v>63</v>
      </c>
      <c r="I704" s="31"/>
      <c r="J704" s="26" t="s">
        <v>775</v>
      </c>
      <c r="K704" s="27">
        <v>6000</v>
      </c>
      <c r="L704" s="31" t="s">
        <v>769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852</v>
      </c>
      <c r="D705" s="31" t="s">
        <v>575</v>
      </c>
      <c r="E705" s="31" t="s">
        <v>792</v>
      </c>
      <c r="F705" s="31" t="s">
        <v>853</v>
      </c>
      <c r="G705" s="27">
        <v>13400</v>
      </c>
      <c r="H705" s="31" t="s">
        <v>63</v>
      </c>
      <c r="I705" s="31" t="s">
        <v>857</v>
      </c>
      <c r="J705" s="26" t="s">
        <v>775</v>
      </c>
      <c r="K705" s="27">
        <v>13400</v>
      </c>
      <c r="L705" s="31" t="s">
        <v>769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771</v>
      </c>
      <c r="D706" s="31" t="s">
        <v>575</v>
      </c>
      <c r="E706" s="31" t="s">
        <v>772</v>
      </c>
      <c r="F706" s="31" t="s">
        <v>773</v>
      </c>
      <c r="G706" s="27">
        <v>1400</v>
      </c>
      <c r="H706" s="31" t="s">
        <v>63</v>
      </c>
      <c r="I706" s="31" t="s">
        <v>1061</v>
      </c>
      <c r="J706" s="26" t="s">
        <v>775</v>
      </c>
      <c r="K706" s="27">
        <v>1400</v>
      </c>
      <c r="L706" s="31" t="s">
        <v>769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771</v>
      </c>
      <c r="D707" s="31" t="s">
        <v>906</v>
      </c>
      <c r="E707" s="31"/>
      <c r="F707" s="31" t="s">
        <v>1062</v>
      </c>
      <c r="G707" s="27">
        <v>10000</v>
      </c>
      <c r="H707" s="31" t="s">
        <v>63</v>
      </c>
      <c r="I707" s="31" t="s">
        <v>1063</v>
      </c>
      <c r="J707" s="26" t="s">
        <v>775</v>
      </c>
      <c r="K707" s="27">
        <v>10000</v>
      </c>
      <c r="L707" s="31" t="s">
        <v>769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771</v>
      </c>
      <c r="D708" s="31" t="s">
        <v>575</v>
      </c>
      <c r="E708" s="31" t="s">
        <v>772</v>
      </c>
      <c r="F708" s="31" t="s">
        <v>773</v>
      </c>
      <c r="G708" s="27">
        <v>7400</v>
      </c>
      <c r="H708" s="31" t="s">
        <v>63</v>
      </c>
      <c r="I708" s="31" t="s">
        <v>859</v>
      </c>
      <c r="J708" s="26" t="s">
        <v>775</v>
      </c>
      <c r="K708" s="27">
        <v>7400</v>
      </c>
      <c r="L708" s="31" t="s">
        <v>769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816</v>
      </c>
      <c r="D709" s="31" t="s">
        <v>22</v>
      </c>
      <c r="E709" s="31"/>
      <c r="F709" s="31" t="s">
        <v>897</v>
      </c>
      <c r="G709" s="27">
        <v>101</v>
      </c>
      <c r="H709" s="31" t="s">
        <v>520</v>
      </c>
      <c r="I709" s="31"/>
      <c r="J709" s="26" t="s">
        <v>824</v>
      </c>
      <c r="K709" s="27">
        <v>101</v>
      </c>
      <c r="L709" s="31" t="s">
        <v>769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816</v>
      </c>
      <c r="D710" s="31" t="s">
        <v>175</v>
      </c>
      <c r="E710" s="31"/>
      <c r="F710" s="31" t="s">
        <v>81</v>
      </c>
      <c r="G710" s="27">
        <v>14930</v>
      </c>
      <c r="H710" s="31" t="s">
        <v>807</v>
      </c>
      <c r="I710" s="31"/>
      <c r="J710" s="26" t="s">
        <v>805</v>
      </c>
      <c r="K710" s="27">
        <v>14930</v>
      </c>
      <c r="L710" s="31" t="s">
        <v>769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175</v>
      </c>
      <c r="D711" s="31" t="s">
        <v>816</v>
      </c>
      <c r="E711" s="31"/>
      <c r="F711" s="31" t="s">
        <v>81</v>
      </c>
      <c r="G711" s="27">
        <v>14930</v>
      </c>
      <c r="H711" s="31" t="s">
        <v>804</v>
      </c>
      <c r="I711" s="31"/>
      <c r="J711" s="26" t="s">
        <v>805</v>
      </c>
      <c r="K711" s="27">
        <v>14930</v>
      </c>
      <c r="L711" s="31" t="s">
        <v>769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852</v>
      </c>
      <c r="D712" s="31" t="s">
        <v>575</v>
      </c>
      <c r="E712" s="31" t="s">
        <v>792</v>
      </c>
      <c r="F712" s="31" t="s">
        <v>853</v>
      </c>
      <c r="G712" s="27">
        <v>11130</v>
      </c>
      <c r="H712" s="31" t="s">
        <v>63</v>
      </c>
      <c r="I712" s="31"/>
      <c r="J712" s="26" t="s">
        <v>775</v>
      </c>
      <c r="K712" s="27">
        <v>11130</v>
      </c>
      <c r="L712" s="31" t="s">
        <v>769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771</v>
      </c>
      <c r="D713" s="31" t="s">
        <v>576</v>
      </c>
      <c r="E713" s="31"/>
      <c r="F713" s="31" t="s">
        <v>576</v>
      </c>
      <c r="G713" s="27">
        <v>5000</v>
      </c>
      <c r="H713" s="31" t="s">
        <v>63</v>
      </c>
      <c r="I713" s="31"/>
      <c r="J713" s="26" t="s">
        <v>778</v>
      </c>
      <c r="K713" s="27">
        <v>5000</v>
      </c>
      <c r="L713" s="31" t="s">
        <v>769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559</v>
      </c>
      <c r="D714" s="31" t="s">
        <v>22</v>
      </c>
      <c r="E714" s="31"/>
      <c r="F714" s="31" t="s">
        <v>916</v>
      </c>
      <c r="G714" s="27">
        <v>1</v>
      </c>
      <c r="H714" s="31" t="s">
        <v>520</v>
      </c>
      <c r="I714" s="31"/>
      <c r="J714" s="26" t="s">
        <v>824</v>
      </c>
      <c r="K714" s="27">
        <v>1</v>
      </c>
      <c r="L714" s="31" t="s">
        <v>769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827</v>
      </c>
      <c r="D715" s="31" t="s">
        <v>942</v>
      </c>
      <c r="E715" s="31"/>
      <c r="F715" s="31" t="s">
        <v>943</v>
      </c>
      <c r="G715" s="27">
        <v>76390</v>
      </c>
      <c r="H715" s="31" t="s">
        <v>63</v>
      </c>
      <c r="I715" s="31" t="s">
        <v>1064</v>
      </c>
      <c r="J715" s="26" t="s">
        <v>768</v>
      </c>
      <c r="K715" s="27">
        <v>76390</v>
      </c>
      <c r="L715" s="31" t="s">
        <v>769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827</v>
      </c>
      <c r="D716" s="31" t="s">
        <v>942</v>
      </c>
      <c r="E716" s="31"/>
      <c r="F716" s="31" t="s">
        <v>1065</v>
      </c>
      <c r="G716" s="27">
        <v>-5000</v>
      </c>
      <c r="H716" s="31" t="s">
        <v>63</v>
      </c>
      <c r="I716" s="31"/>
      <c r="J716" s="26" t="s">
        <v>849</v>
      </c>
      <c r="K716" s="27">
        <v>-5000</v>
      </c>
      <c r="L716" s="31" t="s">
        <v>769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766</v>
      </c>
      <c r="D717" s="31" t="s">
        <v>485</v>
      </c>
      <c r="E717" s="31"/>
      <c r="F717" s="31" t="s">
        <v>486</v>
      </c>
      <c r="G717" s="27">
        <v>7890</v>
      </c>
      <c r="H717" s="31" t="s">
        <v>63</v>
      </c>
      <c r="I717" s="31"/>
      <c r="J717" s="26" t="s">
        <v>768</v>
      </c>
      <c r="K717" s="27">
        <v>7890</v>
      </c>
      <c r="L717" s="31" t="s">
        <v>769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771</v>
      </c>
      <c r="D718" s="31" t="s">
        <v>946</v>
      </c>
      <c r="E718" s="31"/>
      <c r="F718" s="31" t="s">
        <v>1066</v>
      </c>
      <c r="G718" s="27">
        <v>24200</v>
      </c>
      <c r="H718" s="31" t="s">
        <v>63</v>
      </c>
      <c r="I718" s="31"/>
      <c r="J718" s="26" t="s">
        <v>775</v>
      </c>
      <c r="K718" s="27">
        <v>24200</v>
      </c>
      <c r="L718" s="31" t="s">
        <v>769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924</v>
      </c>
      <c r="D719" s="31" t="s">
        <v>22</v>
      </c>
      <c r="E719" s="31"/>
      <c r="F719" s="31" t="s">
        <v>950</v>
      </c>
      <c r="G719" s="27">
        <v>11180</v>
      </c>
      <c r="H719" s="31" t="s">
        <v>63</v>
      </c>
      <c r="I719" s="31"/>
      <c r="J719" s="26" t="s">
        <v>768</v>
      </c>
      <c r="K719" s="27">
        <v>11180</v>
      </c>
      <c r="L719" s="31" t="s">
        <v>769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771</v>
      </c>
      <c r="D720" s="31" t="s">
        <v>946</v>
      </c>
      <c r="E720" s="31"/>
      <c r="F720" s="31" t="s">
        <v>1067</v>
      </c>
      <c r="G720" s="27">
        <v>43300</v>
      </c>
      <c r="H720" s="31" t="s">
        <v>63</v>
      </c>
      <c r="I720" s="31"/>
      <c r="J720" s="26" t="s">
        <v>775</v>
      </c>
      <c r="K720" s="27">
        <v>43300</v>
      </c>
      <c r="L720" s="31" t="s">
        <v>769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771</v>
      </c>
      <c r="D721" s="31" t="s">
        <v>575</v>
      </c>
      <c r="E721" s="31" t="s">
        <v>772</v>
      </c>
      <c r="F721" s="31" t="s">
        <v>773</v>
      </c>
      <c r="G721" s="27">
        <v>6900</v>
      </c>
      <c r="H721" s="31" t="s">
        <v>63</v>
      </c>
      <c r="I721" s="31" t="s">
        <v>859</v>
      </c>
      <c r="J721" s="26" t="s">
        <v>775</v>
      </c>
      <c r="K721" s="27">
        <v>6900</v>
      </c>
      <c r="L721" s="31" t="s">
        <v>769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771</v>
      </c>
      <c r="D722" s="31" t="s">
        <v>576</v>
      </c>
      <c r="E722" s="31"/>
      <c r="F722" s="31" t="s">
        <v>576</v>
      </c>
      <c r="G722" s="27">
        <v>5000</v>
      </c>
      <c r="H722" s="31" t="s">
        <v>63</v>
      </c>
      <c r="I722" s="31"/>
      <c r="J722" s="26" t="s">
        <v>778</v>
      </c>
      <c r="K722" s="27">
        <v>5000</v>
      </c>
      <c r="L722" s="31" t="s">
        <v>769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771</v>
      </c>
      <c r="D723" s="31" t="s">
        <v>575</v>
      </c>
      <c r="E723" s="31" t="s">
        <v>904</v>
      </c>
      <c r="F723" s="31" t="s">
        <v>994</v>
      </c>
      <c r="G723" s="27">
        <v>14500</v>
      </c>
      <c r="H723" s="31" t="s">
        <v>63</v>
      </c>
      <c r="I723" s="31"/>
      <c r="J723" s="26" t="s">
        <v>775</v>
      </c>
      <c r="K723" s="27">
        <v>14500</v>
      </c>
      <c r="L723" s="31" t="s">
        <v>769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771</v>
      </c>
      <c r="D724" s="31" t="s">
        <v>576</v>
      </c>
      <c r="E724" s="31"/>
      <c r="F724" s="31" t="s">
        <v>576</v>
      </c>
      <c r="G724" s="27">
        <v>5000</v>
      </c>
      <c r="H724" s="31" t="s">
        <v>63</v>
      </c>
      <c r="I724" s="31"/>
      <c r="J724" s="26" t="s">
        <v>778</v>
      </c>
      <c r="K724" s="27">
        <v>5000</v>
      </c>
      <c r="L724" s="31" t="s">
        <v>769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771</v>
      </c>
      <c r="D725" s="31" t="s">
        <v>575</v>
      </c>
      <c r="E725" s="31" t="s">
        <v>772</v>
      </c>
      <c r="F725" s="31" t="s">
        <v>773</v>
      </c>
      <c r="G725" s="27">
        <v>1700</v>
      </c>
      <c r="H725" s="31" t="s">
        <v>63</v>
      </c>
      <c r="I725" s="31" t="s">
        <v>1068</v>
      </c>
      <c r="J725" s="26" t="s">
        <v>775</v>
      </c>
      <c r="K725" s="27">
        <v>1700</v>
      </c>
      <c r="L725" s="31" t="s">
        <v>769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816</v>
      </c>
      <c r="D726" s="31" t="s">
        <v>175</v>
      </c>
      <c r="E726" s="31"/>
      <c r="F726" s="31" t="s">
        <v>81</v>
      </c>
      <c r="G726" s="27">
        <v>1000</v>
      </c>
      <c r="H726" s="31" t="s">
        <v>807</v>
      </c>
      <c r="I726" s="31"/>
      <c r="J726" s="26" t="s">
        <v>805</v>
      </c>
      <c r="K726" s="27">
        <v>1000</v>
      </c>
      <c r="L726" s="31" t="s">
        <v>769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175</v>
      </c>
      <c r="D727" s="31" t="s">
        <v>816</v>
      </c>
      <c r="E727" s="31"/>
      <c r="F727" s="31" t="s">
        <v>81</v>
      </c>
      <c r="G727" s="27">
        <v>1000</v>
      </c>
      <c r="H727" s="31" t="s">
        <v>804</v>
      </c>
      <c r="I727" s="31"/>
      <c r="J727" s="26" t="s">
        <v>805</v>
      </c>
      <c r="K727" s="27">
        <v>1000</v>
      </c>
      <c r="L727" s="31" t="s">
        <v>769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175</v>
      </c>
      <c r="D728" s="31" t="s">
        <v>22</v>
      </c>
      <c r="E728" s="31"/>
      <c r="F728" s="31" t="s">
        <v>938</v>
      </c>
      <c r="G728" s="27">
        <v>15992</v>
      </c>
      <c r="H728" s="31" t="s">
        <v>63</v>
      </c>
      <c r="I728" s="31"/>
      <c r="J728" s="26" t="s">
        <v>768</v>
      </c>
      <c r="K728" s="27">
        <v>15992</v>
      </c>
      <c r="L728" s="31" t="s">
        <v>769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771</v>
      </c>
      <c r="D729" s="31" t="s">
        <v>575</v>
      </c>
      <c r="E729" s="31" t="s">
        <v>904</v>
      </c>
      <c r="F729" s="31" t="s">
        <v>1069</v>
      </c>
      <c r="G729" s="27">
        <v>13000</v>
      </c>
      <c r="H729" s="31" t="s">
        <v>63</v>
      </c>
      <c r="I729" s="31"/>
      <c r="J729" s="26" t="s">
        <v>775</v>
      </c>
      <c r="K729" s="27">
        <v>13000</v>
      </c>
      <c r="L729" s="31" t="s">
        <v>769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771</v>
      </c>
      <c r="D730" s="31" t="s">
        <v>576</v>
      </c>
      <c r="E730" s="31"/>
      <c r="F730" s="31" t="s">
        <v>576</v>
      </c>
      <c r="G730" s="27">
        <v>5000</v>
      </c>
      <c r="H730" s="31" t="s">
        <v>63</v>
      </c>
      <c r="I730" s="31"/>
      <c r="J730" s="26" t="s">
        <v>778</v>
      </c>
      <c r="K730" s="27">
        <v>5000</v>
      </c>
      <c r="L730" s="31" t="s">
        <v>769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771</v>
      </c>
      <c r="D731" s="31" t="s">
        <v>575</v>
      </c>
      <c r="E731" s="31" t="s">
        <v>772</v>
      </c>
      <c r="F731" s="31" t="s">
        <v>773</v>
      </c>
      <c r="G731" s="27">
        <v>5400</v>
      </c>
      <c r="H731" s="31" t="s">
        <v>63</v>
      </c>
      <c r="I731" s="31" t="s">
        <v>859</v>
      </c>
      <c r="J731" s="26" t="s">
        <v>775</v>
      </c>
      <c r="K731" s="27">
        <v>5400</v>
      </c>
      <c r="L731" s="31" t="s">
        <v>769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771</v>
      </c>
      <c r="D732" s="31" t="s">
        <v>575</v>
      </c>
      <c r="E732" s="31" t="s">
        <v>781</v>
      </c>
      <c r="F732" s="31" t="s">
        <v>1070</v>
      </c>
      <c r="G732" s="27">
        <v>32000</v>
      </c>
      <c r="H732" s="31" t="s">
        <v>63</v>
      </c>
      <c r="I732" s="31"/>
      <c r="J732" s="26" t="s">
        <v>775</v>
      </c>
      <c r="K732" s="27">
        <v>32000</v>
      </c>
      <c r="L732" s="31" t="s">
        <v>769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771</v>
      </c>
      <c r="D733" s="31" t="s">
        <v>575</v>
      </c>
      <c r="E733" s="31" t="s">
        <v>772</v>
      </c>
      <c r="F733" s="31" t="s">
        <v>1071</v>
      </c>
      <c r="G733" s="27">
        <v>18500</v>
      </c>
      <c r="H733" s="31" t="s">
        <v>63</v>
      </c>
      <c r="I733" s="31"/>
      <c r="J733" s="26" t="s">
        <v>775</v>
      </c>
      <c r="K733" s="27">
        <v>18500</v>
      </c>
      <c r="L733" s="31" t="s">
        <v>769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196</v>
      </c>
      <c r="D734" s="31" t="s">
        <v>22</v>
      </c>
      <c r="E734" s="31"/>
      <c r="F734" s="31" t="s">
        <v>1007</v>
      </c>
      <c r="G734" s="27">
        <v>90</v>
      </c>
      <c r="H734" s="31" t="s">
        <v>520</v>
      </c>
      <c r="I734" s="31"/>
      <c r="J734" s="26" t="s">
        <v>824</v>
      </c>
      <c r="K734" s="27">
        <v>90</v>
      </c>
      <c r="L734" s="31" t="s">
        <v>769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196</v>
      </c>
      <c r="D735" s="31" t="s">
        <v>575</v>
      </c>
      <c r="E735" s="31" t="s">
        <v>781</v>
      </c>
      <c r="F735" s="31" t="s">
        <v>854</v>
      </c>
      <c r="G735" s="27">
        <v>-21300</v>
      </c>
      <c r="H735" s="31" t="s">
        <v>63</v>
      </c>
      <c r="I735" s="31" t="s">
        <v>1072</v>
      </c>
      <c r="J735" s="26" t="s">
        <v>775</v>
      </c>
      <c r="K735" s="27">
        <v>-21300</v>
      </c>
      <c r="L735" s="31" t="s">
        <v>769</v>
      </c>
      <c r="M735" s="31" t="s">
        <v>1073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766</v>
      </c>
      <c r="D736" s="31" t="s">
        <v>22</v>
      </c>
      <c r="E736" s="31"/>
      <c r="F736" s="31" t="s">
        <v>941</v>
      </c>
      <c r="G736" s="27">
        <v>-21000</v>
      </c>
      <c r="H736" s="31" t="s">
        <v>63</v>
      </c>
      <c r="I736" s="31"/>
      <c r="J736" s="26" t="s">
        <v>849</v>
      </c>
      <c r="K736" s="27">
        <v>-21000</v>
      </c>
      <c r="L736" s="31" t="s">
        <v>769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780</v>
      </c>
      <c r="D737" s="31" t="s">
        <v>576</v>
      </c>
      <c r="E737" s="31"/>
      <c r="F737" s="31" t="s">
        <v>576</v>
      </c>
      <c r="G737" s="27">
        <v>5000</v>
      </c>
      <c r="H737" s="31" t="s">
        <v>63</v>
      </c>
      <c r="I737" s="31"/>
      <c r="J737" s="26" t="s">
        <v>778</v>
      </c>
      <c r="K737" s="27">
        <v>5000</v>
      </c>
      <c r="L737" s="31" t="s">
        <v>769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780</v>
      </c>
      <c r="D738" s="31" t="s">
        <v>575</v>
      </c>
      <c r="E738" s="31" t="s">
        <v>781</v>
      </c>
      <c r="F738" s="31" t="s">
        <v>910</v>
      </c>
      <c r="G738" s="27">
        <v>12000</v>
      </c>
      <c r="H738" s="31" t="s">
        <v>63</v>
      </c>
      <c r="I738" s="31"/>
      <c r="J738" s="26" t="s">
        <v>775</v>
      </c>
      <c r="K738" s="27">
        <v>12000</v>
      </c>
      <c r="L738" s="31" t="s">
        <v>769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766</v>
      </c>
      <c r="D739" s="31" t="s">
        <v>485</v>
      </c>
      <c r="E739" s="31"/>
      <c r="F739" s="31" t="s">
        <v>767</v>
      </c>
      <c r="G739" s="27">
        <v>3856</v>
      </c>
      <c r="H739" s="31" t="s">
        <v>63</v>
      </c>
      <c r="I739" s="31"/>
      <c r="J739" s="26" t="s">
        <v>768</v>
      </c>
      <c r="K739" s="27">
        <v>3856</v>
      </c>
      <c r="L739" s="31" t="s">
        <v>769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816</v>
      </c>
      <c r="D740" s="31" t="s">
        <v>575</v>
      </c>
      <c r="E740" s="31" t="s">
        <v>772</v>
      </c>
      <c r="F740" s="31" t="s">
        <v>71</v>
      </c>
      <c r="G740" s="27">
        <v>51300</v>
      </c>
      <c r="H740" s="31" t="s">
        <v>63</v>
      </c>
      <c r="I740" s="31"/>
      <c r="J740" s="26" t="s">
        <v>775</v>
      </c>
      <c r="K740" s="27">
        <v>51300</v>
      </c>
      <c r="L740" s="31" t="s">
        <v>769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780</v>
      </c>
      <c r="D741" s="31" t="s">
        <v>575</v>
      </c>
      <c r="E741" s="31" t="s">
        <v>885</v>
      </c>
      <c r="F741" s="31" t="s">
        <v>773</v>
      </c>
      <c r="G741" s="27">
        <v>1590</v>
      </c>
      <c r="H741" s="31" t="s">
        <v>63</v>
      </c>
      <c r="I741" s="31" t="s">
        <v>1074</v>
      </c>
      <c r="J741" s="26" t="s">
        <v>775</v>
      </c>
      <c r="K741" s="27">
        <v>1590</v>
      </c>
      <c r="L741" s="31" t="s">
        <v>769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852</v>
      </c>
      <c r="D742" s="31" t="s">
        <v>22</v>
      </c>
      <c r="E742" s="31"/>
      <c r="F742" s="31" t="s">
        <v>1075</v>
      </c>
      <c r="G742" s="27">
        <v>20000</v>
      </c>
      <c r="H742" s="31" t="s">
        <v>63</v>
      </c>
      <c r="I742" s="31"/>
      <c r="J742" s="26" t="s">
        <v>768</v>
      </c>
      <c r="K742" s="27">
        <v>20000</v>
      </c>
      <c r="L742" s="31" t="s">
        <v>769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771</v>
      </c>
      <c r="D743" s="31" t="s">
        <v>22</v>
      </c>
      <c r="E743" s="31"/>
      <c r="F743" s="31" t="s">
        <v>1076</v>
      </c>
      <c r="G743" s="27">
        <v>12000</v>
      </c>
      <c r="H743" s="31" t="s">
        <v>63</v>
      </c>
      <c r="I743" s="31"/>
      <c r="J743" s="26" t="s">
        <v>768</v>
      </c>
      <c r="K743" s="27">
        <v>12000</v>
      </c>
      <c r="L743" s="31" t="s">
        <v>769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766</v>
      </c>
      <c r="D744" s="31" t="s">
        <v>485</v>
      </c>
      <c r="E744" s="31"/>
      <c r="F744" s="31" t="s">
        <v>777</v>
      </c>
      <c r="G744" s="27">
        <v>9000</v>
      </c>
      <c r="H744" s="31" t="s">
        <v>63</v>
      </c>
      <c r="I744" s="31"/>
      <c r="J744" s="26" t="s">
        <v>768</v>
      </c>
      <c r="K744" s="27">
        <v>9000</v>
      </c>
      <c r="L744" s="31" t="s">
        <v>769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780</v>
      </c>
      <c r="D745" s="31" t="s">
        <v>576</v>
      </c>
      <c r="E745" s="31"/>
      <c r="F745" s="31" t="s">
        <v>576</v>
      </c>
      <c r="G745" s="27">
        <v>5000</v>
      </c>
      <c r="H745" s="31" t="s">
        <v>63</v>
      </c>
      <c r="I745" s="31"/>
      <c r="J745" s="26" t="s">
        <v>778</v>
      </c>
      <c r="K745" s="27">
        <v>5000</v>
      </c>
      <c r="L745" s="31" t="s">
        <v>769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780</v>
      </c>
      <c r="D746" s="31" t="s">
        <v>575</v>
      </c>
      <c r="E746" s="31" t="s">
        <v>781</v>
      </c>
      <c r="F746" s="31" t="s">
        <v>902</v>
      </c>
      <c r="G746" s="27">
        <v>35000</v>
      </c>
      <c r="H746" s="31" t="s">
        <v>63</v>
      </c>
      <c r="I746" s="31"/>
      <c r="J746" s="26" t="s">
        <v>775</v>
      </c>
      <c r="K746" s="27">
        <v>35000</v>
      </c>
      <c r="L746" s="31" t="s">
        <v>769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780</v>
      </c>
      <c r="D747" s="31" t="s">
        <v>575</v>
      </c>
      <c r="E747" s="31" t="s">
        <v>885</v>
      </c>
      <c r="F747" s="31" t="s">
        <v>773</v>
      </c>
      <c r="G747" s="27">
        <v>3900</v>
      </c>
      <c r="H747" s="31" t="s">
        <v>63</v>
      </c>
      <c r="I747" s="31" t="s">
        <v>992</v>
      </c>
      <c r="J747" s="26" t="s">
        <v>775</v>
      </c>
      <c r="K747" s="27">
        <v>3900</v>
      </c>
      <c r="L747" s="31" t="s">
        <v>769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816</v>
      </c>
      <c r="D748" s="31" t="s">
        <v>181</v>
      </c>
      <c r="E748" s="31"/>
      <c r="F748" s="31" t="s">
        <v>81</v>
      </c>
      <c r="G748" s="27">
        <v>71390</v>
      </c>
      <c r="H748" s="31" t="s">
        <v>807</v>
      </c>
      <c r="I748" s="31"/>
      <c r="J748" s="26" t="s">
        <v>805</v>
      </c>
      <c r="K748" s="27">
        <v>71390</v>
      </c>
      <c r="L748" s="31" t="s">
        <v>769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181</v>
      </c>
      <c r="D749" s="31" t="s">
        <v>816</v>
      </c>
      <c r="E749" s="31"/>
      <c r="F749" s="31" t="s">
        <v>81</v>
      </c>
      <c r="G749" s="27">
        <v>71390</v>
      </c>
      <c r="H749" s="31" t="s">
        <v>804</v>
      </c>
      <c r="I749" s="31"/>
      <c r="J749" s="26" t="s">
        <v>805</v>
      </c>
      <c r="K749" s="27">
        <v>71390</v>
      </c>
      <c r="L749" s="31" t="s">
        <v>769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181</v>
      </c>
      <c r="D750" s="31" t="s">
        <v>827</v>
      </c>
      <c r="E750" s="31"/>
      <c r="F750" s="31" t="s">
        <v>828</v>
      </c>
      <c r="G750" s="27">
        <v>71390</v>
      </c>
      <c r="H750" s="31" t="s">
        <v>807</v>
      </c>
      <c r="I750" s="31"/>
      <c r="J750" s="26" t="s">
        <v>805</v>
      </c>
      <c r="K750" s="27">
        <v>71390</v>
      </c>
      <c r="L750" s="31" t="s">
        <v>769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827</v>
      </c>
      <c r="D751" s="31" t="s">
        <v>181</v>
      </c>
      <c r="E751" s="31"/>
      <c r="F751" s="31" t="s">
        <v>828</v>
      </c>
      <c r="G751" s="27">
        <v>71390</v>
      </c>
      <c r="H751" s="31" t="s">
        <v>804</v>
      </c>
      <c r="I751" s="31"/>
      <c r="J751" s="26" t="s">
        <v>805</v>
      </c>
      <c r="K751" s="27">
        <v>71390</v>
      </c>
      <c r="L751" s="31" t="s">
        <v>769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780</v>
      </c>
      <c r="D752" s="31" t="s">
        <v>576</v>
      </c>
      <c r="E752" s="31"/>
      <c r="F752" s="31" t="s">
        <v>576</v>
      </c>
      <c r="G752" s="27">
        <v>5000</v>
      </c>
      <c r="H752" s="31" t="s">
        <v>63</v>
      </c>
      <c r="I752" s="31"/>
      <c r="J752" s="26" t="s">
        <v>778</v>
      </c>
      <c r="K752" s="27">
        <v>5000</v>
      </c>
      <c r="L752" s="31" t="s">
        <v>769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780</v>
      </c>
      <c r="D753" s="31" t="s">
        <v>575</v>
      </c>
      <c r="E753" s="31" t="s">
        <v>772</v>
      </c>
      <c r="F753" s="31" t="s">
        <v>814</v>
      </c>
      <c r="G753" s="27">
        <v>9800</v>
      </c>
      <c r="H753" s="31" t="s">
        <v>63</v>
      </c>
      <c r="I753" s="31"/>
      <c r="J753" s="26" t="s">
        <v>775</v>
      </c>
      <c r="K753" s="27">
        <v>9800</v>
      </c>
      <c r="L753" s="31" t="s">
        <v>769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852</v>
      </c>
      <c r="D754" s="31" t="s">
        <v>575</v>
      </c>
      <c r="E754" s="31" t="s">
        <v>792</v>
      </c>
      <c r="F754" s="31" t="s">
        <v>853</v>
      </c>
      <c r="G754" s="27">
        <v>18900</v>
      </c>
      <c r="H754" s="31" t="s">
        <v>63</v>
      </c>
      <c r="I754" s="31"/>
      <c r="J754" s="26" t="s">
        <v>775</v>
      </c>
      <c r="K754" s="27">
        <v>18900</v>
      </c>
      <c r="L754" s="31" t="s">
        <v>769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780</v>
      </c>
      <c r="D755" s="31" t="s">
        <v>575</v>
      </c>
      <c r="E755" s="31" t="s">
        <v>772</v>
      </c>
      <c r="F755" s="31" t="s">
        <v>773</v>
      </c>
      <c r="G755" s="27">
        <v>1700</v>
      </c>
      <c r="H755" s="31" t="s">
        <v>63</v>
      </c>
      <c r="I755" s="31" t="s">
        <v>1077</v>
      </c>
      <c r="J755" s="26" t="s">
        <v>775</v>
      </c>
      <c r="K755" s="27">
        <v>1700</v>
      </c>
      <c r="L755" s="31" t="s">
        <v>769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196</v>
      </c>
      <c r="D756" s="31" t="s">
        <v>22</v>
      </c>
      <c r="E756" s="31"/>
      <c r="F756" s="31" t="s">
        <v>934</v>
      </c>
      <c r="G756" s="27">
        <v>1</v>
      </c>
      <c r="H756" s="31" t="s">
        <v>520</v>
      </c>
      <c r="I756" s="31"/>
      <c r="J756" s="26" t="s">
        <v>824</v>
      </c>
      <c r="K756" s="27">
        <v>1</v>
      </c>
      <c r="L756" s="31" t="s">
        <v>769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1078</v>
      </c>
      <c r="D757" s="31" t="s">
        <v>1034</v>
      </c>
      <c r="E757" s="31"/>
      <c r="F757" s="31" t="s">
        <v>81</v>
      </c>
      <c r="G757" s="27">
        <v>4667442</v>
      </c>
      <c r="H757" s="31" t="s">
        <v>804</v>
      </c>
      <c r="I757" s="31"/>
      <c r="J757" s="26" t="s">
        <v>805</v>
      </c>
      <c r="K757" s="27">
        <v>4667442</v>
      </c>
      <c r="L757" s="31" t="s">
        <v>769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1034</v>
      </c>
      <c r="D758" s="31" t="s">
        <v>1078</v>
      </c>
      <c r="E758" s="31"/>
      <c r="F758" s="31" t="s">
        <v>81</v>
      </c>
      <c r="G758" s="27">
        <v>4667442</v>
      </c>
      <c r="H758" s="31" t="s">
        <v>807</v>
      </c>
      <c r="I758" s="31"/>
      <c r="J758" s="26" t="s">
        <v>805</v>
      </c>
      <c r="K758" s="27">
        <v>4667442</v>
      </c>
      <c r="L758" s="31" t="s">
        <v>769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1034</v>
      </c>
      <c r="D759" s="31" t="s">
        <v>22</v>
      </c>
      <c r="E759" s="31"/>
      <c r="F759" s="31" t="s">
        <v>1079</v>
      </c>
      <c r="G759" s="27">
        <v>1699</v>
      </c>
      <c r="H759" s="31" t="s">
        <v>520</v>
      </c>
      <c r="I759" s="31"/>
      <c r="J759" s="26" t="s">
        <v>824</v>
      </c>
      <c r="K759" s="27">
        <v>1699</v>
      </c>
      <c r="L759" s="31" t="s">
        <v>769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780</v>
      </c>
      <c r="D760" s="31" t="s">
        <v>576</v>
      </c>
      <c r="E760" s="31"/>
      <c r="F760" s="31" t="s">
        <v>576</v>
      </c>
      <c r="G760" s="27">
        <v>5000</v>
      </c>
      <c r="H760" s="31" t="s">
        <v>63</v>
      </c>
      <c r="I760" s="31"/>
      <c r="J760" s="26" t="s">
        <v>778</v>
      </c>
      <c r="K760" s="27">
        <v>5000</v>
      </c>
      <c r="L760" s="31" t="s">
        <v>769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780</v>
      </c>
      <c r="D761" s="31" t="s">
        <v>912</v>
      </c>
      <c r="E761" s="31" t="s">
        <v>580</v>
      </c>
      <c r="F761" s="31" t="s">
        <v>1080</v>
      </c>
      <c r="G761" s="27">
        <v>19800</v>
      </c>
      <c r="H761" s="31" t="s">
        <v>63</v>
      </c>
      <c r="I761" s="31" t="s">
        <v>1081</v>
      </c>
      <c r="J761" s="26" t="s">
        <v>783</v>
      </c>
      <c r="K761" s="27">
        <v>19800</v>
      </c>
      <c r="L761" s="31" t="s">
        <v>769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780</v>
      </c>
      <c r="D762" s="31" t="s">
        <v>946</v>
      </c>
      <c r="E762" s="31"/>
      <c r="F762" s="31" t="s">
        <v>1082</v>
      </c>
      <c r="G762" s="27">
        <v>30300</v>
      </c>
      <c r="H762" s="31" t="s">
        <v>63</v>
      </c>
      <c r="I762" s="31" t="s">
        <v>1083</v>
      </c>
      <c r="J762" s="26" t="s">
        <v>775</v>
      </c>
      <c r="K762" s="27">
        <v>30300</v>
      </c>
      <c r="L762" s="31" t="s">
        <v>769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766</v>
      </c>
      <c r="D763" s="31" t="s">
        <v>485</v>
      </c>
      <c r="E763" s="31"/>
      <c r="F763" s="31" t="s">
        <v>691</v>
      </c>
      <c r="G763" s="27">
        <v>1800</v>
      </c>
      <c r="H763" s="31" t="s">
        <v>63</v>
      </c>
      <c r="I763" s="31" t="s">
        <v>810</v>
      </c>
      <c r="J763" s="26" t="s">
        <v>768</v>
      </c>
      <c r="K763" s="27">
        <v>1800</v>
      </c>
      <c r="L763" s="31" t="s">
        <v>769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766</v>
      </c>
      <c r="D764" s="31" t="s">
        <v>485</v>
      </c>
      <c r="E764" s="31"/>
      <c r="F764" s="31" t="s">
        <v>808</v>
      </c>
      <c r="G764" s="27">
        <v>3565</v>
      </c>
      <c r="H764" s="31" t="s">
        <v>63</v>
      </c>
      <c r="I764" s="31"/>
      <c r="J764" s="26" t="s">
        <v>768</v>
      </c>
      <c r="K764" s="27">
        <v>3565</v>
      </c>
      <c r="L764" s="31" t="s">
        <v>769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883</v>
      </c>
      <c r="D765" s="31" t="s">
        <v>196</v>
      </c>
      <c r="E765" s="31"/>
      <c r="F765" s="31" t="s">
        <v>81</v>
      </c>
      <c r="G765" s="27">
        <v>19000</v>
      </c>
      <c r="H765" s="31" t="s">
        <v>807</v>
      </c>
      <c r="I765" s="31"/>
      <c r="J765" s="26" t="s">
        <v>805</v>
      </c>
      <c r="K765" s="27">
        <v>19000</v>
      </c>
      <c r="L765" s="31" t="s">
        <v>769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196</v>
      </c>
      <c r="D766" s="31" t="s">
        <v>883</v>
      </c>
      <c r="E766" s="31"/>
      <c r="F766" s="31" t="s">
        <v>81</v>
      </c>
      <c r="G766" s="27">
        <v>19000</v>
      </c>
      <c r="H766" s="31" t="s">
        <v>804</v>
      </c>
      <c r="I766" s="31"/>
      <c r="J766" s="26" t="s">
        <v>805</v>
      </c>
      <c r="K766" s="27">
        <v>19000</v>
      </c>
      <c r="L766" s="31" t="s">
        <v>769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196</v>
      </c>
      <c r="D767" s="31" t="s">
        <v>1078</v>
      </c>
      <c r="E767" s="31"/>
      <c r="F767" s="31" t="s">
        <v>81</v>
      </c>
      <c r="G767" s="27">
        <v>64091</v>
      </c>
      <c r="H767" s="31" t="s">
        <v>807</v>
      </c>
      <c r="I767" s="31"/>
      <c r="J767" s="26" t="s">
        <v>805</v>
      </c>
      <c r="K767" s="27">
        <v>64091</v>
      </c>
      <c r="L767" s="31" t="s">
        <v>769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1078</v>
      </c>
      <c r="D768" s="31" t="s">
        <v>196</v>
      </c>
      <c r="E768" s="31"/>
      <c r="F768" s="31" t="s">
        <v>81</v>
      </c>
      <c r="G768" s="27">
        <v>64091</v>
      </c>
      <c r="H768" s="31" t="s">
        <v>804</v>
      </c>
      <c r="I768" s="31"/>
      <c r="J768" s="26" t="s">
        <v>805</v>
      </c>
      <c r="K768" s="27">
        <v>64091</v>
      </c>
      <c r="L768" s="31" t="s">
        <v>769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1078</v>
      </c>
      <c r="D769" s="31" t="s">
        <v>22</v>
      </c>
      <c r="E769" s="31"/>
      <c r="F769" s="31" t="s">
        <v>916</v>
      </c>
      <c r="G769" s="27">
        <v>639</v>
      </c>
      <c r="H769" s="31" t="s">
        <v>520</v>
      </c>
      <c r="I769" s="31"/>
      <c r="J769" s="26" t="s">
        <v>824</v>
      </c>
      <c r="K769" s="27">
        <v>639</v>
      </c>
      <c r="L769" s="31" t="s">
        <v>769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816</v>
      </c>
      <c r="D770" s="31" t="s">
        <v>1078</v>
      </c>
      <c r="E770" s="31"/>
      <c r="F770" s="31" t="s">
        <v>81</v>
      </c>
      <c r="G770" s="27">
        <v>23863</v>
      </c>
      <c r="H770" s="31" t="s">
        <v>807</v>
      </c>
      <c r="I770" s="31"/>
      <c r="J770" s="26" t="s">
        <v>805</v>
      </c>
      <c r="K770" s="27">
        <v>23863</v>
      </c>
      <c r="L770" s="31" t="s">
        <v>769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1078</v>
      </c>
      <c r="D771" s="31" t="s">
        <v>816</v>
      </c>
      <c r="E771" s="31"/>
      <c r="F771" s="31" t="s">
        <v>81</v>
      </c>
      <c r="G771" s="27">
        <v>23863</v>
      </c>
      <c r="H771" s="31" t="s">
        <v>804</v>
      </c>
      <c r="I771" s="31"/>
      <c r="J771" s="26" t="s">
        <v>805</v>
      </c>
      <c r="K771" s="27">
        <v>23863</v>
      </c>
      <c r="L771" s="31" t="s">
        <v>769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1078</v>
      </c>
      <c r="D772" s="31" t="s">
        <v>817</v>
      </c>
      <c r="E772" s="31"/>
      <c r="F772" s="31" t="s">
        <v>82</v>
      </c>
      <c r="G772" s="27">
        <v>550000</v>
      </c>
      <c r="H772" s="31" t="s">
        <v>63</v>
      </c>
      <c r="I772" s="31"/>
      <c r="J772" s="26" t="s">
        <v>768</v>
      </c>
      <c r="K772" s="27">
        <v>550000</v>
      </c>
      <c r="L772" s="31" t="s">
        <v>769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196</v>
      </c>
      <c r="D773" s="31" t="s">
        <v>22</v>
      </c>
      <c r="E773" s="31"/>
      <c r="F773" s="31" t="s">
        <v>70</v>
      </c>
      <c r="G773" s="27">
        <v>200000</v>
      </c>
      <c r="H773" s="31" t="s">
        <v>520</v>
      </c>
      <c r="I773" s="31" t="s">
        <v>1084</v>
      </c>
      <c r="J773" s="26" t="s">
        <v>70</v>
      </c>
      <c r="K773" s="27">
        <v>200000</v>
      </c>
      <c r="L773" s="31" t="s">
        <v>769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780</v>
      </c>
      <c r="D774" s="31" t="s">
        <v>575</v>
      </c>
      <c r="E774" s="31" t="s">
        <v>772</v>
      </c>
      <c r="F774" s="31" t="s">
        <v>773</v>
      </c>
      <c r="G774" s="27">
        <v>2200</v>
      </c>
      <c r="H774" s="31" t="s">
        <v>63</v>
      </c>
      <c r="I774" s="31" t="s">
        <v>1085</v>
      </c>
      <c r="J774" s="26" t="s">
        <v>775</v>
      </c>
      <c r="K774" s="27">
        <v>2200</v>
      </c>
      <c r="L774" s="31" t="s">
        <v>769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1078</v>
      </c>
      <c r="D775" s="31" t="s">
        <v>196</v>
      </c>
      <c r="E775" s="31"/>
      <c r="F775" s="31" t="s">
        <v>81</v>
      </c>
      <c r="G775" s="27">
        <v>200000</v>
      </c>
      <c r="H775" s="31" t="s">
        <v>804</v>
      </c>
      <c r="I775" s="31"/>
      <c r="J775" s="26" t="s">
        <v>805</v>
      </c>
      <c r="K775" s="27">
        <v>200000</v>
      </c>
      <c r="L775" s="31" t="s">
        <v>769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780</v>
      </c>
      <c r="D776" s="31" t="s">
        <v>576</v>
      </c>
      <c r="E776" s="31"/>
      <c r="F776" s="31" t="s">
        <v>576</v>
      </c>
      <c r="G776" s="27">
        <v>5000</v>
      </c>
      <c r="H776" s="31" t="s">
        <v>63</v>
      </c>
      <c r="I776" s="31"/>
      <c r="J776" s="26" t="s">
        <v>778</v>
      </c>
      <c r="K776" s="27">
        <v>5000</v>
      </c>
      <c r="L776" s="31" t="s">
        <v>769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780</v>
      </c>
      <c r="D777" s="31" t="s">
        <v>575</v>
      </c>
      <c r="E777" s="31" t="s">
        <v>772</v>
      </c>
      <c r="F777" s="31" t="s">
        <v>773</v>
      </c>
      <c r="G777" s="27">
        <v>3600</v>
      </c>
      <c r="H777" s="31" t="s">
        <v>63</v>
      </c>
      <c r="I777" s="31" t="s">
        <v>1086</v>
      </c>
      <c r="J777" s="26" t="s">
        <v>775</v>
      </c>
      <c r="K777" s="27">
        <v>3600</v>
      </c>
      <c r="L777" s="31" t="s">
        <v>769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196</v>
      </c>
      <c r="D778" s="31" t="s">
        <v>1078</v>
      </c>
      <c r="E778" s="31"/>
      <c r="F778" s="31" t="s">
        <v>81</v>
      </c>
      <c r="G778" s="27">
        <v>200000</v>
      </c>
      <c r="H778" s="31" t="s">
        <v>807</v>
      </c>
      <c r="I778" s="31"/>
      <c r="J778" s="26" t="s">
        <v>805</v>
      </c>
      <c r="K778" s="27">
        <v>200000</v>
      </c>
      <c r="L778" s="31" t="s">
        <v>769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852</v>
      </c>
      <c r="D779" s="31" t="s">
        <v>796</v>
      </c>
      <c r="E779" s="31"/>
      <c r="F779" s="31" t="s">
        <v>488</v>
      </c>
      <c r="G779" s="27">
        <v>8490</v>
      </c>
      <c r="H779" s="31" t="s">
        <v>63</v>
      </c>
      <c r="I779" s="31" t="s">
        <v>873</v>
      </c>
      <c r="J779" s="26" t="s">
        <v>775</v>
      </c>
      <c r="K779" s="27">
        <v>8490</v>
      </c>
      <c r="L779" s="31" t="s">
        <v>769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780</v>
      </c>
      <c r="D780" s="31" t="s">
        <v>575</v>
      </c>
      <c r="E780" s="31" t="s">
        <v>781</v>
      </c>
      <c r="F780" s="31" t="s">
        <v>782</v>
      </c>
      <c r="G780" s="27">
        <v>15500</v>
      </c>
      <c r="H780" s="31" t="s">
        <v>63</v>
      </c>
      <c r="I780" s="31"/>
      <c r="J780" s="26" t="s">
        <v>775</v>
      </c>
      <c r="K780" s="27">
        <v>15500</v>
      </c>
      <c r="L780" s="31" t="s">
        <v>769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780</v>
      </c>
      <c r="D781" s="31" t="s">
        <v>576</v>
      </c>
      <c r="E781" s="31"/>
      <c r="F781" s="31" t="s">
        <v>576</v>
      </c>
      <c r="G781" s="27">
        <v>1200</v>
      </c>
      <c r="H781" s="31" t="s">
        <v>63</v>
      </c>
      <c r="I781" s="31"/>
      <c r="J781" s="26" t="s">
        <v>778</v>
      </c>
      <c r="K781" s="27">
        <v>1200</v>
      </c>
      <c r="L781" s="31" t="s">
        <v>769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780</v>
      </c>
      <c r="D782" s="31" t="s">
        <v>575</v>
      </c>
      <c r="E782" s="31" t="s">
        <v>781</v>
      </c>
      <c r="F782" s="31" t="s">
        <v>884</v>
      </c>
      <c r="G782" s="27">
        <v>9700</v>
      </c>
      <c r="H782" s="31" t="s">
        <v>63</v>
      </c>
      <c r="I782" s="31"/>
      <c r="J782" s="26" t="s">
        <v>775</v>
      </c>
      <c r="K782" s="27">
        <v>9700</v>
      </c>
      <c r="L782" s="31" t="s">
        <v>769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780</v>
      </c>
      <c r="D783" s="31" t="s">
        <v>576</v>
      </c>
      <c r="E783" s="31"/>
      <c r="F783" s="31" t="s">
        <v>576</v>
      </c>
      <c r="G783" s="27">
        <v>4500</v>
      </c>
      <c r="H783" s="31" t="s">
        <v>63</v>
      </c>
      <c r="I783" s="31"/>
      <c r="J783" s="26" t="s">
        <v>778</v>
      </c>
      <c r="K783" s="27">
        <v>4500</v>
      </c>
      <c r="L783" s="31" t="s">
        <v>769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780</v>
      </c>
      <c r="D784" s="31" t="s">
        <v>575</v>
      </c>
      <c r="E784" s="31" t="s">
        <v>885</v>
      </c>
      <c r="F784" s="31" t="s">
        <v>773</v>
      </c>
      <c r="G784" s="27">
        <v>2450</v>
      </c>
      <c r="H784" s="31" t="s">
        <v>63</v>
      </c>
      <c r="I784" s="31"/>
      <c r="J784" s="26" t="s">
        <v>775</v>
      </c>
      <c r="K784" s="27">
        <v>2450</v>
      </c>
      <c r="L784" s="31" t="s">
        <v>769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780</v>
      </c>
      <c r="D785" s="31" t="s">
        <v>575</v>
      </c>
      <c r="E785" s="31" t="s">
        <v>781</v>
      </c>
      <c r="F785" s="31" t="s">
        <v>1052</v>
      </c>
      <c r="G785" s="27">
        <v>9900</v>
      </c>
      <c r="H785" s="31" t="s">
        <v>63</v>
      </c>
      <c r="I785" s="31"/>
      <c r="J785" s="26" t="s">
        <v>775</v>
      </c>
      <c r="K785" s="27">
        <v>9900</v>
      </c>
      <c r="L785" s="31" t="s">
        <v>769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780</v>
      </c>
      <c r="D786" s="31" t="s">
        <v>575</v>
      </c>
      <c r="E786" s="31" t="s">
        <v>885</v>
      </c>
      <c r="F786" s="31" t="s">
        <v>773</v>
      </c>
      <c r="G786" s="27">
        <v>5800</v>
      </c>
      <c r="H786" s="31" t="s">
        <v>63</v>
      </c>
      <c r="I786" s="31" t="s">
        <v>992</v>
      </c>
      <c r="J786" s="26" t="s">
        <v>775</v>
      </c>
      <c r="K786" s="27">
        <v>5800</v>
      </c>
      <c r="L786" s="31" t="s">
        <v>769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780</v>
      </c>
      <c r="D787" s="31" t="s">
        <v>817</v>
      </c>
      <c r="E787" s="31"/>
      <c r="F787" s="31" t="s">
        <v>850</v>
      </c>
      <c r="G787" s="27">
        <v>24705</v>
      </c>
      <c r="H787" s="31" t="s">
        <v>63</v>
      </c>
      <c r="I787" s="31"/>
      <c r="J787" s="26" t="s">
        <v>768</v>
      </c>
      <c r="K787" s="27">
        <v>24705</v>
      </c>
      <c r="L787" s="31" t="s">
        <v>769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780</v>
      </c>
      <c r="D788" s="31" t="s">
        <v>576</v>
      </c>
      <c r="E788" s="31"/>
      <c r="F788" s="31" t="s">
        <v>576</v>
      </c>
      <c r="G788" s="27">
        <v>5000</v>
      </c>
      <c r="H788" s="31" t="s">
        <v>63</v>
      </c>
      <c r="I788" s="31"/>
      <c r="J788" s="26" t="s">
        <v>778</v>
      </c>
      <c r="K788" s="27">
        <v>5000</v>
      </c>
      <c r="L788" s="31" t="s">
        <v>769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766</v>
      </c>
      <c r="D789" s="31" t="s">
        <v>912</v>
      </c>
      <c r="E789" s="31" t="s">
        <v>68</v>
      </c>
      <c r="F789" s="31" t="s">
        <v>1087</v>
      </c>
      <c r="G789" s="27">
        <v>43100</v>
      </c>
      <c r="H789" s="31" t="s">
        <v>63</v>
      </c>
      <c r="I789" s="31" t="s">
        <v>1088</v>
      </c>
      <c r="J789" s="26" t="s">
        <v>68</v>
      </c>
      <c r="K789" s="27">
        <v>43100</v>
      </c>
      <c r="L789" s="31" t="s">
        <v>769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766</v>
      </c>
      <c r="D790" s="31" t="s">
        <v>912</v>
      </c>
      <c r="E790" s="31" t="s">
        <v>68</v>
      </c>
      <c r="F790" s="31" t="s">
        <v>1087</v>
      </c>
      <c r="G790" s="27">
        <v>43500</v>
      </c>
      <c r="H790" s="31" t="s">
        <v>63</v>
      </c>
      <c r="I790" s="31" t="s">
        <v>1089</v>
      </c>
      <c r="J790" s="26" t="s">
        <v>68</v>
      </c>
      <c r="K790" s="27">
        <v>43500</v>
      </c>
      <c r="L790" s="31" t="s">
        <v>769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766</v>
      </c>
      <c r="D791" s="31" t="s">
        <v>912</v>
      </c>
      <c r="E791" s="31" t="s">
        <v>68</v>
      </c>
      <c r="F791" s="31" t="s">
        <v>1087</v>
      </c>
      <c r="G791" s="27">
        <v>40900</v>
      </c>
      <c r="H791" s="31" t="s">
        <v>63</v>
      </c>
      <c r="I791" s="31" t="s">
        <v>1090</v>
      </c>
      <c r="J791" s="26" t="s">
        <v>68</v>
      </c>
      <c r="K791" s="27">
        <v>40900</v>
      </c>
      <c r="L791" s="31" t="s">
        <v>769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780</v>
      </c>
      <c r="D792" s="31" t="s">
        <v>575</v>
      </c>
      <c r="E792" s="31" t="s">
        <v>885</v>
      </c>
      <c r="F792" s="31" t="s">
        <v>773</v>
      </c>
      <c r="G792" s="27">
        <v>6400</v>
      </c>
      <c r="H792" s="31" t="s">
        <v>63</v>
      </c>
      <c r="I792" s="31"/>
      <c r="J792" s="26" t="s">
        <v>775</v>
      </c>
      <c r="K792" s="27">
        <v>6400</v>
      </c>
      <c r="L792" s="31" t="s">
        <v>769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780</v>
      </c>
      <c r="D793" s="31" t="s">
        <v>575</v>
      </c>
      <c r="E793" s="31" t="s">
        <v>781</v>
      </c>
      <c r="F793" s="31" t="s">
        <v>902</v>
      </c>
      <c r="G793" s="27">
        <v>12000</v>
      </c>
      <c r="H793" s="31" t="s">
        <v>63</v>
      </c>
      <c r="I793" s="31"/>
      <c r="J793" s="26" t="s">
        <v>775</v>
      </c>
      <c r="K793" s="27">
        <v>12000</v>
      </c>
      <c r="L793" s="31" t="s">
        <v>769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1078</v>
      </c>
      <c r="D794" s="31" t="s">
        <v>22</v>
      </c>
      <c r="E794" s="31"/>
      <c r="F794" s="31" t="s">
        <v>1091</v>
      </c>
      <c r="G794" s="27">
        <v>10</v>
      </c>
      <c r="H794" s="31" t="s">
        <v>520</v>
      </c>
      <c r="I794" s="31"/>
      <c r="J794" s="26" t="s">
        <v>824</v>
      </c>
      <c r="K794" s="27">
        <v>10</v>
      </c>
      <c r="L794" s="31" t="s">
        <v>769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780</v>
      </c>
      <c r="D795" s="31" t="s">
        <v>576</v>
      </c>
      <c r="E795" s="31"/>
      <c r="F795" s="31" t="s">
        <v>576</v>
      </c>
      <c r="G795" s="27">
        <v>5000</v>
      </c>
      <c r="H795" s="31" t="s">
        <v>63</v>
      </c>
      <c r="I795" s="31"/>
      <c r="J795" s="26" t="s">
        <v>778</v>
      </c>
      <c r="K795" s="27">
        <v>5000</v>
      </c>
      <c r="L795" s="31" t="s">
        <v>769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780</v>
      </c>
      <c r="D796" s="31" t="s">
        <v>575</v>
      </c>
      <c r="E796" s="31" t="s">
        <v>781</v>
      </c>
      <c r="F796" s="31" t="s">
        <v>911</v>
      </c>
      <c r="G796" s="27">
        <v>12000</v>
      </c>
      <c r="H796" s="31" t="s">
        <v>63</v>
      </c>
      <c r="I796" s="31"/>
      <c r="J796" s="26" t="s">
        <v>775</v>
      </c>
      <c r="K796" s="27">
        <v>12000</v>
      </c>
      <c r="L796" s="31" t="s">
        <v>769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780</v>
      </c>
      <c r="D797" s="31" t="s">
        <v>575</v>
      </c>
      <c r="E797" s="31" t="s">
        <v>772</v>
      </c>
      <c r="F797" s="31" t="s">
        <v>1038</v>
      </c>
      <c r="G797" s="27">
        <v>11800</v>
      </c>
      <c r="H797" s="31" t="s">
        <v>63</v>
      </c>
      <c r="I797" s="31"/>
      <c r="J797" s="26" t="s">
        <v>775</v>
      </c>
      <c r="K797" s="27">
        <v>11800</v>
      </c>
      <c r="L797" s="31" t="s">
        <v>769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852</v>
      </c>
      <c r="D798" s="31" t="s">
        <v>575</v>
      </c>
      <c r="E798" s="31" t="s">
        <v>772</v>
      </c>
      <c r="F798" s="31" t="s">
        <v>853</v>
      </c>
      <c r="G798" s="27">
        <v>17900</v>
      </c>
      <c r="H798" s="31" t="s">
        <v>63</v>
      </c>
      <c r="I798" s="31"/>
      <c r="J798" s="26" t="s">
        <v>775</v>
      </c>
      <c r="K798" s="27">
        <v>17900</v>
      </c>
      <c r="L798" s="31" t="s">
        <v>769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780</v>
      </c>
      <c r="D799" s="31" t="s">
        <v>575</v>
      </c>
      <c r="E799" s="31" t="s">
        <v>772</v>
      </c>
      <c r="F799" s="31" t="s">
        <v>773</v>
      </c>
      <c r="G799" s="27">
        <v>4500</v>
      </c>
      <c r="H799" s="31" t="s">
        <v>63</v>
      </c>
      <c r="I799" s="31"/>
      <c r="J799" s="26" t="s">
        <v>775</v>
      </c>
      <c r="K799" s="27">
        <v>4500</v>
      </c>
      <c r="L799" s="31" t="s">
        <v>769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780</v>
      </c>
      <c r="D800" s="31" t="s">
        <v>946</v>
      </c>
      <c r="E800" s="31"/>
      <c r="F800" s="31" t="s">
        <v>977</v>
      </c>
      <c r="G800" s="27">
        <v>17000</v>
      </c>
      <c r="H800" s="31" t="s">
        <v>63</v>
      </c>
      <c r="I800" s="31"/>
      <c r="J800" s="26" t="s">
        <v>775</v>
      </c>
      <c r="K800" s="27">
        <v>17000</v>
      </c>
      <c r="L800" s="31" t="s">
        <v>769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780</v>
      </c>
      <c r="D801" s="31" t="s">
        <v>575</v>
      </c>
      <c r="E801" s="31" t="s">
        <v>904</v>
      </c>
      <c r="F801" s="31" t="s">
        <v>1092</v>
      </c>
      <c r="G801" s="27">
        <v>11000</v>
      </c>
      <c r="H801" s="31" t="s">
        <v>63</v>
      </c>
      <c r="I801" s="31"/>
      <c r="J801" s="26" t="s">
        <v>775</v>
      </c>
      <c r="K801" s="27">
        <v>11000</v>
      </c>
      <c r="L801" s="31" t="s">
        <v>769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780</v>
      </c>
      <c r="D802" s="31" t="s">
        <v>796</v>
      </c>
      <c r="E802" s="31"/>
      <c r="F802" s="31" t="s">
        <v>797</v>
      </c>
      <c r="G802" s="27">
        <v>12000</v>
      </c>
      <c r="H802" s="31" t="s">
        <v>63</v>
      </c>
      <c r="I802" s="31"/>
      <c r="J802" s="26" t="s">
        <v>775</v>
      </c>
      <c r="K802" s="27">
        <v>12000</v>
      </c>
      <c r="L802" s="31" t="s">
        <v>769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780</v>
      </c>
      <c r="D803" s="31" t="s">
        <v>575</v>
      </c>
      <c r="E803" s="31" t="s">
        <v>772</v>
      </c>
      <c r="F803" s="31" t="s">
        <v>884</v>
      </c>
      <c r="G803" s="27">
        <v>5100</v>
      </c>
      <c r="H803" s="31" t="s">
        <v>63</v>
      </c>
      <c r="I803" s="31"/>
      <c r="J803" s="26" t="s">
        <v>775</v>
      </c>
      <c r="K803" s="27">
        <v>5100</v>
      </c>
      <c r="L803" s="31" t="s">
        <v>769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766</v>
      </c>
      <c r="D804" s="31" t="s">
        <v>576</v>
      </c>
      <c r="E804" s="31"/>
      <c r="F804" s="31" t="s">
        <v>576</v>
      </c>
      <c r="G804" s="27">
        <v>5000</v>
      </c>
      <c r="H804" s="31" t="s">
        <v>63</v>
      </c>
      <c r="I804" s="31"/>
      <c r="J804" s="26" t="s">
        <v>778</v>
      </c>
      <c r="K804" s="27">
        <v>5000</v>
      </c>
      <c r="L804" s="31" t="s">
        <v>769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766</v>
      </c>
      <c r="D805" s="31" t="s">
        <v>906</v>
      </c>
      <c r="E805" s="31"/>
      <c r="F805" s="31" t="s">
        <v>1093</v>
      </c>
      <c r="G805" s="27">
        <v>35000</v>
      </c>
      <c r="H805" s="31" t="s">
        <v>63</v>
      </c>
      <c r="I805" s="31"/>
      <c r="J805" s="26" t="s">
        <v>775</v>
      </c>
      <c r="K805" s="27">
        <v>35000</v>
      </c>
      <c r="L805" s="31" t="s">
        <v>769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766</v>
      </c>
      <c r="D806" s="31" t="s">
        <v>942</v>
      </c>
      <c r="E806" s="31"/>
      <c r="F806" s="31" t="s">
        <v>1094</v>
      </c>
      <c r="G806" s="27">
        <v>16800</v>
      </c>
      <c r="H806" s="31" t="s">
        <v>63</v>
      </c>
      <c r="I806" s="31"/>
      <c r="J806" s="26" t="s">
        <v>775</v>
      </c>
      <c r="K806" s="27">
        <v>16800</v>
      </c>
      <c r="L806" s="31" t="s">
        <v>769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766</v>
      </c>
      <c r="D807" s="31" t="s">
        <v>575</v>
      </c>
      <c r="E807" s="31" t="s">
        <v>772</v>
      </c>
      <c r="F807" s="31" t="s">
        <v>773</v>
      </c>
      <c r="G807" s="27">
        <v>1610</v>
      </c>
      <c r="H807" s="31" t="s">
        <v>63</v>
      </c>
      <c r="I807" s="31" t="s">
        <v>1095</v>
      </c>
      <c r="J807" s="26" t="s">
        <v>775</v>
      </c>
      <c r="K807" s="27">
        <v>1610</v>
      </c>
      <c r="L807" s="31" t="s">
        <v>769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766</v>
      </c>
      <c r="D808" s="31" t="s">
        <v>575</v>
      </c>
      <c r="E808" s="31" t="s">
        <v>772</v>
      </c>
      <c r="F808" s="31" t="s">
        <v>773</v>
      </c>
      <c r="G808" s="27">
        <v>3500</v>
      </c>
      <c r="H808" s="31" t="s">
        <v>63</v>
      </c>
      <c r="I808" s="31" t="s">
        <v>1095</v>
      </c>
      <c r="J808" s="26" t="s">
        <v>775</v>
      </c>
      <c r="K808" s="27">
        <v>3500</v>
      </c>
      <c r="L808" s="31" t="s">
        <v>769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852</v>
      </c>
      <c r="D809" s="31" t="s">
        <v>575</v>
      </c>
      <c r="E809" s="31" t="s">
        <v>792</v>
      </c>
      <c r="F809" s="31" t="s">
        <v>853</v>
      </c>
      <c r="G809" s="27">
        <v>14500</v>
      </c>
      <c r="H809" s="31" t="s">
        <v>63</v>
      </c>
      <c r="I809" s="31"/>
      <c r="J809" s="26" t="s">
        <v>775</v>
      </c>
      <c r="K809" s="27">
        <v>14500</v>
      </c>
      <c r="L809" s="31" t="s">
        <v>769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766</v>
      </c>
      <c r="D810" s="31" t="s">
        <v>576</v>
      </c>
      <c r="E810" s="31"/>
      <c r="F810" s="31" t="s">
        <v>576</v>
      </c>
      <c r="G810" s="27">
        <v>5000</v>
      </c>
      <c r="H810" s="31" t="s">
        <v>63</v>
      </c>
      <c r="I810" s="31"/>
      <c r="J810" s="26" t="s">
        <v>778</v>
      </c>
      <c r="K810" s="27">
        <v>5000</v>
      </c>
      <c r="L810" s="31" t="s">
        <v>769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766</v>
      </c>
      <c r="D811" s="31" t="s">
        <v>575</v>
      </c>
      <c r="E811" s="31" t="s">
        <v>772</v>
      </c>
      <c r="F811" s="31" t="s">
        <v>773</v>
      </c>
      <c r="G811" s="27">
        <v>1700</v>
      </c>
      <c r="H811" s="31" t="s">
        <v>63</v>
      </c>
      <c r="I811" s="31" t="s">
        <v>1096</v>
      </c>
      <c r="J811" s="26" t="s">
        <v>775</v>
      </c>
      <c r="K811" s="27">
        <v>1700</v>
      </c>
      <c r="L811" s="31" t="s">
        <v>769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780</v>
      </c>
      <c r="D812" s="31" t="s">
        <v>811</v>
      </c>
      <c r="E812" s="31"/>
      <c r="F812" s="31" t="s">
        <v>1097</v>
      </c>
      <c r="G812" s="27">
        <v>74700</v>
      </c>
      <c r="H812" s="31" t="s">
        <v>63</v>
      </c>
      <c r="I812" s="31" t="s">
        <v>878</v>
      </c>
      <c r="J812" s="26" t="s">
        <v>768</v>
      </c>
      <c r="K812" s="27">
        <v>74700</v>
      </c>
      <c r="L812" s="31" t="s">
        <v>769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771</v>
      </c>
      <c r="D813" s="31" t="s">
        <v>1078</v>
      </c>
      <c r="E813" s="31"/>
      <c r="F813" s="31" t="s">
        <v>828</v>
      </c>
      <c r="G813" s="27">
        <v>371200</v>
      </c>
      <c r="H813" s="31" t="s">
        <v>804</v>
      </c>
      <c r="I813" s="31"/>
      <c r="J813" s="26" t="s">
        <v>805</v>
      </c>
      <c r="K813" s="27">
        <v>371200</v>
      </c>
      <c r="L813" s="31" t="s">
        <v>769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1078</v>
      </c>
      <c r="D814" s="31" t="s">
        <v>771</v>
      </c>
      <c r="E814" s="31"/>
      <c r="F814" s="31" t="s">
        <v>828</v>
      </c>
      <c r="G814" s="27">
        <v>371200</v>
      </c>
      <c r="H814" s="31" t="s">
        <v>807</v>
      </c>
      <c r="I814" s="31"/>
      <c r="J814" s="26" t="s">
        <v>805</v>
      </c>
      <c r="K814" s="27">
        <v>371200</v>
      </c>
      <c r="L814" s="31" t="s">
        <v>769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1078</v>
      </c>
      <c r="D815" s="31" t="s">
        <v>766</v>
      </c>
      <c r="E815" s="31"/>
      <c r="F815" s="31" t="s">
        <v>828</v>
      </c>
      <c r="G815" s="27">
        <v>663684</v>
      </c>
      <c r="H815" s="31" t="s">
        <v>807</v>
      </c>
      <c r="I815" s="31"/>
      <c r="J815" s="26" t="s">
        <v>805</v>
      </c>
      <c r="K815" s="27">
        <v>663684</v>
      </c>
      <c r="L815" s="31" t="s">
        <v>769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766</v>
      </c>
      <c r="D816" s="31" t="s">
        <v>1078</v>
      </c>
      <c r="E816" s="31"/>
      <c r="F816" s="31" t="s">
        <v>828</v>
      </c>
      <c r="G816" s="27">
        <v>663684</v>
      </c>
      <c r="H816" s="31" t="s">
        <v>804</v>
      </c>
      <c r="I816" s="31"/>
      <c r="J816" s="26" t="s">
        <v>805</v>
      </c>
      <c r="K816" s="27">
        <v>663684</v>
      </c>
      <c r="L816" s="31" t="s">
        <v>769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1078</v>
      </c>
      <c r="D817" s="31" t="s">
        <v>22</v>
      </c>
      <c r="E817" s="31"/>
      <c r="F817" s="31" t="s">
        <v>916</v>
      </c>
      <c r="G817" s="27">
        <v>2309</v>
      </c>
      <c r="H817" s="31" t="s">
        <v>520</v>
      </c>
      <c r="I817" s="31"/>
      <c r="J817" s="26" t="s">
        <v>824</v>
      </c>
      <c r="K817" s="27">
        <v>2309</v>
      </c>
      <c r="L817" s="31" t="s">
        <v>769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780</v>
      </c>
      <c r="D818" s="31" t="s">
        <v>876</v>
      </c>
      <c r="E818" s="31"/>
      <c r="F818" s="31" t="s">
        <v>464</v>
      </c>
      <c r="G818" s="27">
        <v>48620</v>
      </c>
      <c r="H818" s="31" t="s">
        <v>63</v>
      </c>
      <c r="I818" s="31"/>
      <c r="J818" s="26" t="s">
        <v>768</v>
      </c>
      <c r="K818" s="27">
        <v>48620</v>
      </c>
      <c r="L818" s="31" t="s">
        <v>769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766</v>
      </c>
      <c r="D819" s="31" t="s">
        <v>575</v>
      </c>
      <c r="E819" s="31" t="s">
        <v>781</v>
      </c>
      <c r="F819" s="31" t="s">
        <v>1098</v>
      </c>
      <c r="G819" s="27">
        <v>8000</v>
      </c>
      <c r="H819" s="31" t="s">
        <v>63</v>
      </c>
      <c r="I819" s="31" t="s">
        <v>1099</v>
      </c>
      <c r="J819" s="26" t="s">
        <v>775</v>
      </c>
      <c r="K819" s="27">
        <v>8000</v>
      </c>
      <c r="L819" s="31" t="s">
        <v>769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766</v>
      </c>
      <c r="D820" s="31" t="s">
        <v>575</v>
      </c>
      <c r="E820" s="31" t="s">
        <v>772</v>
      </c>
      <c r="F820" s="31" t="s">
        <v>814</v>
      </c>
      <c r="G820" s="27">
        <v>2700</v>
      </c>
      <c r="H820" s="31" t="s">
        <v>63</v>
      </c>
      <c r="I820" s="31"/>
      <c r="J820" s="26" t="s">
        <v>775</v>
      </c>
      <c r="K820" s="27">
        <v>2700</v>
      </c>
      <c r="L820" s="31" t="s">
        <v>769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766</v>
      </c>
      <c r="D821" s="31" t="s">
        <v>576</v>
      </c>
      <c r="E821" s="31"/>
      <c r="F821" s="31" t="s">
        <v>576</v>
      </c>
      <c r="G821" s="27">
        <v>5000</v>
      </c>
      <c r="H821" s="31" t="s">
        <v>63</v>
      </c>
      <c r="I821" s="31"/>
      <c r="J821" s="26" t="s">
        <v>778</v>
      </c>
      <c r="K821" s="27">
        <v>5000</v>
      </c>
      <c r="L821" s="31" t="s">
        <v>769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766</v>
      </c>
      <c r="D822" s="31" t="s">
        <v>575</v>
      </c>
      <c r="E822" s="31" t="s">
        <v>781</v>
      </c>
      <c r="F822" s="31" t="s">
        <v>1100</v>
      </c>
      <c r="G822" s="27">
        <v>12000</v>
      </c>
      <c r="H822" s="31" t="s">
        <v>63</v>
      </c>
      <c r="I822" s="31" t="s">
        <v>1101</v>
      </c>
      <c r="J822" s="26" t="s">
        <v>775</v>
      </c>
      <c r="K822" s="27">
        <v>12000</v>
      </c>
      <c r="L822" s="31" t="s">
        <v>769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766</v>
      </c>
      <c r="D823" s="31" t="s">
        <v>575</v>
      </c>
      <c r="E823" s="31" t="s">
        <v>885</v>
      </c>
      <c r="F823" s="31" t="s">
        <v>991</v>
      </c>
      <c r="G823" s="27">
        <v>4300</v>
      </c>
      <c r="H823" s="31" t="s">
        <v>63</v>
      </c>
      <c r="I823" s="31"/>
      <c r="J823" s="26" t="s">
        <v>775</v>
      </c>
      <c r="K823" s="27">
        <v>4300</v>
      </c>
      <c r="L823" s="31" t="s">
        <v>769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766</v>
      </c>
      <c r="D824" s="31" t="s">
        <v>575</v>
      </c>
      <c r="E824" s="31" t="s">
        <v>885</v>
      </c>
      <c r="F824" s="31" t="s">
        <v>773</v>
      </c>
      <c r="G824" s="27">
        <v>2000</v>
      </c>
      <c r="H824" s="31" t="s">
        <v>63</v>
      </c>
      <c r="I824" s="31"/>
      <c r="J824" s="26" t="s">
        <v>775</v>
      </c>
      <c r="K824" s="27">
        <v>2000</v>
      </c>
      <c r="L824" s="31" t="s">
        <v>769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1078</v>
      </c>
      <c r="D825" s="31" t="s">
        <v>780</v>
      </c>
      <c r="E825" s="31"/>
      <c r="F825" s="31" t="s">
        <v>828</v>
      </c>
      <c r="G825" s="27">
        <v>604883</v>
      </c>
      <c r="H825" s="31" t="s">
        <v>807</v>
      </c>
      <c r="I825" s="31"/>
      <c r="J825" s="26" t="s">
        <v>805</v>
      </c>
      <c r="K825" s="27">
        <v>604883</v>
      </c>
      <c r="L825" s="31" t="s">
        <v>769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780</v>
      </c>
      <c r="D826" s="31" t="s">
        <v>1078</v>
      </c>
      <c r="E826" s="31"/>
      <c r="F826" s="31" t="s">
        <v>828</v>
      </c>
      <c r="G826" s="27">
        <v>604883</v>
      </c>
      <c r="H826" s="31" t="s">
        <v>804</v>
      </c>
      <c r="I826" s="31"/>
      <c r="J826" s="26" t="s">
        <v>805</v>
      </c>
      <c r="K826" s="27">
        <v>604883</v>
      </c>
      <c r="L826" s="31" t="s">
        <v>769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852</v>
      </c>
      <c r="D827" s="31" t="s">
        <v>1078</v>
      </c>
      <c r="E827" s="31"/>
      <c r="F827" s="31" t="s">
        <v>828</v>
      </c>
      <c r="G827" s="27">
        <v>50330</v>
      </c>
      <c r="H827" s="31" t="s">
        <v>804</v>
      </c>
      <c r="I827" s="31"/>
      <c r="J827" s="26" t="s">
        <v>805</v>
      </c>
      <c r="K827" s="27">
        <v>50330</v>
      </c>
      <c r="L827" s="31" t="s">
        <v>769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1078</v>
      </c>
      <c r="D828" s="31" t="s">
        <v>852</v>
      </c>
      <c r="E828" s="31"/>
      <c r="F828" s="31" t="s">
        <v>828</v>
      </c>
      <c r="G828" s="27">
        <v>50330</v>
      </c>
      <c r="H828" s="31" t="s">
        <v>807</v>
      </c>
      <c r="I828" s="31"/>
      <c r="J828" s="26" t="s">
        <v>805</v>
      </c>
      <c r="K828" s="27">
        <v>50330</v>
      </c>
      <c r="L828" s="31" t="s">
        <v>769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766</v>
      </c>
      <c r="D829" s="31" t="s">
        <v>876</v>
      </c>
      <c r="E829" s="31"/>
      <c r="F829" s="31" t="s">
        <v>888</v>
      </c>
      <c r="G829" s="27">
        <v>12400</v>
      </c>
      <c r="H829" s="31" t="s">
        <v>63</v>
      </c>
      <c r="I829" s="31"/>
      <c r="J829" s="26" t="s">
        <v>768</v>
      </c>
      <c r="K829" s="27">
        <v>12400</v>
      </c>
      <c r="L829" s="31" t="s">
        <v>769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766</v>
      </c>
      <c r="D830" s="31" t="s">
        <v>575</v>
      </c>
      <c r="E830" s="31" t="s">
        <v>772</v>
      </c>
      <c r="F830" s="31" t="s">
        <v>814</v>
      </c>
      <c r="G830" s="27">
        <v>800</v>
      </c>
      <c r="H830" s="31" t="s">
        <v>63</v>
      </c>
      <c r="I830" s="31"/>
      <c r="J830" s="26" t="s">
        <v>775</v>
      </c>
      <c r="K830" s="27">
        <v>800</v>
      </c>
      <c r="L830" s="31" t="s">
        <v>769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766</v>
      </c>
      <c r="D831" s="31" t="s">
        <v>576</v>
      </c>
      <c r="E831" s="31"/>
      <c r="F831" s="31" t="s">
        <v>576</v>
      </c>
      <c r="G831" s="27">
        <v>5000</v>
      </c>
      <c r="H831" s="31" t="s">
        <v>63</v>
      </c>
      <c r="I831" s="31"/>
      <c r="J831" s="26" t="s">
        <v>778</v>
      </c>
      <c r="K831" s="27">
        <v>5000</v>
      </c>
      <c r="L831" s="31" t="s">
        <v>769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766</v>
      </c>
      <c r="D832" s="31" t="s">
        <v>575</v>
      </c>
      <c r="E832" s="31" t="s">
        <v>885</v>
      </c>
      <c r="F832" s="31" t="s">
        <v>991</v>
      </c>
      <c r="G832" s="27">
        <v>4000</v>
      </c>
      <c r="H832" s="31" t="s">
        <v>63</v>
      </c>
      <c r="I832" s="31"/>
      <c r="J832" s="26" t="s">
        <v>775</v>
      </c>
      <c r="K832" s="27">
        <v>4000</v>
      </c>
      <c r="L832" s="31" t="s">
        <v>769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766</v>
      </c>
      <c r="D833" s="31" t="s">
        <v>876</v>
      </c>
      <c r="E833" s="31"/>
      <c r="F833" s="31" t="s">
        <v>132</v>
      </c>
      <c r="G833" s="27">
        <v>16500</v>
      </c>
      <c r="H833" s="31" t="s">
        <v>63</v>
      </c>
      <c r="I833" s="31"/>
      <c r="J833" s="26" t="s">
        <v>768</v>
      </c>
      <c r="K833" s="27">
        <v>16500</v>
      </c>
      <c r="L833" s="31" t="s">
        <v>769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766</v>
      </c>
      <c r="D834" s="31" t="s">
        <v>575</v>
      </c>
      <c r="E834" s="31" t="s">
        <v>772</v>
      </c>
      <c r="F834" s="31" t="s">
        <v>891</v>
      </c>
      <c r="G834" s="27">
        <v>4400</v>
      </c>
      <c r="H834" s="31" t="s">
        <v>63</v>
      </c>
      <c r="I834" s="31"/>
      <c r="J834" s="26" t="s">
        <v>775</v>
      </c>
      <c r="K834" s="27">
        <v>4400</v>
      </c>
      <c r="L834" s="31" t="s">
        <v>769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766</v>
      </c>
      <c r="D835" s="31" t="s">
        <v>912</v>
      </c>
      <c r="E835" s="31" t="s">
        <v>68</v>
      </c>
      <c r="F835" s="31" t="s">
        <v>1087</v>
      </c>
      <c r="G835" s="27">
        <v>41300</v>
      </c>
      <c r="H835" s="31" t="s">
        <v>63</v>
      </c>
      <c r="I835" s="31" t="s">
        <v>1102</v>
      </c>
      <c r="J835" s="26" t="s">
        <v>68</v>
      </c>
      <c r="K835" s="27">
        <v>41300</v>
      </c>
      <c r="L835" s="31" t="s">
        <v>769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766</v>
      </c>
      <c r="D836" s="31" t="s">
        <v>575</v>
      </c>
      <c r="E836" s="31" t="s">
        <v>781</v>
      </c>
      <c r="F836" s="31" t="s">
        <v>910</v>
      </c>
      <c r="G836" s="27">
        <v>11000</v>
      </c>
      <c r="H836" s="31" t="s">
        <v>63</v>
      </c>
      <c r="I836" s="31"/>
      <c r="J836" s="26" t="s">
        <v>775</v>
      </c>
      <c r="K836" s="27">
        <v>11000</v>
      </c>
      <c r="L836" s="31" t="s">
        <v>769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766</v>
      </c>
      <c r="D837" s="31" t="s">
        <v>575</v>
      </c>
      <c r="E837" s="31" t="s">
        <v>885</v>
      </c>
      <c r="F837" s="31" t="s">
        <v>773</v>
      </c>
      <c r="G837" s="27">
        <v>5600</v>
      </c>
      <c r="H837" s="31" t="s">
        <v>63</v>
      </c>
      <c r="I837" s="31"/>
      <c r="J837" s="26" t="s">
        <v>775</v>
      </c>
      <c r="K837" s="27">
        <v>5600</v>
      </c>
      <c r="L837" s="31" t="s">
        <v>769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766</v>
      </c>
      <c r="D838" s="31" t="s">
        <v>576</v>
      </c>
      <c r="E838" s="31"/>
      <c r="F838" s="31" t="s">
        <v>576</v>
      </c>
      <c r="G838" s="27">
        <v>5000</v>
      </c>
      <c r="H838" s="31" t="s">
        <v>63</v>
      </c>
      <c r="I838" s="31"/>
      <c r="J838" s="26" t="s">
        <v>778</v>
      </c>
      <c r="K838" s="27">
        <v>5000</v>
      </c>
      <c r="L838" s="31" t="s">
        <v>769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766</v>
      </c>
      <c r="D839" s="31" t="s">
        <v>575</v>
      </c>
      <c r="E839" s="31" t="s">
        <v>772</v>
      </c>
      <c r="F839" s="31" t="s">
        <v>940</v>
      </c>
      <c r="G839" s="27">
        <v>2960</v>
      </c>
      <c r="H839" s="31" t="s">
        <v>63</v>
      </c>
      <c r="I839" s="31"/>
      <c r="J839" s="26" t="s">
        <v>775</v>
      </c>
      <c r="K839" s="27">
        <v>2960</v>
      </c>
      <c r="L839" s="31" t="s">
        <v>769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766</v>
      </c>
      <c r="D840" s="31" t="s">
        <v>575</v>
      </c>
      <c r="E840" s="31" t="s">
        <v>781</v>
      </c>
      <c r="F840" s="31" t="s">
        <v>1004</v>
      </c>
      <c r="G840" s="27">
        <v>8500</v>
      </c>
      <c r="H840" s="31" t="s">
        <v>63</v>
      </c>
      <c r="I840" s="31"/>
      <c r="J840" s="26" t="s">
        <v>775</v>
      </c>
      <c r="K840" s="27">
        <v>8500</v>
      </c>
      <c r="L840" s="31" t="s">
        <v>769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766</v>
      </c>
      <c r="D841" s="31" t="s">
        <v>575</v>
      </c>
      <c r="E841" s="31" t="s">
        <v>772</v>
      </c>
      <c r="F841" s="31" t="s">
        <v>884</v>
      </c>
      <c r="G841" s="27">
        <v>10300</v>
      </c>
      <c r="H841" s="31" t="s">
        <v>63</v>
      </c>
      <c r="I841" s="31"/>
      <c r="J841" s="26" t="s">
        <v>775</v>
      </c>
      <c r="K841" s="27">
        <v>10300</v>
      </c>
      <c r="L841" s="31" t="s">
        <v>769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766</v>
      </c>
      <c r="D842" s="31" t="s">
        <v>575</v>
      </c>
      <c r="E842" s="31" t="s">
        <v>772</v>
      </c>
      <c r="F842" s="31" t="s">
        <v>773</v>
      </c>
      <c r="G842" s="27">
        <v>2500</v>
      </c>
      <c r="H842" s="31" t="s">
        <v>63</v>
      </c>
      <c r="I842" s="31" t="s">
        <v>859</v>
      </c>
      <c r="J842" s="26" t="s">
        <v>775</v>
      </c>
      <c r="K842" s="27">
        <v>2500</v>
      </c>
      <c r="L842" s="31" t="s">
        <v>769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852</v>
      </c>
      <c r="D843" s="31" t="s">
        <v>575</v>
      </c>
      <c r="E843" s="31" t="s">
        <v>792</v>
      </c>
      <c r="F843" s="31" t="s">
        <v>853</v>
      </c>
      <c r="G843" s="27">
        <v>18400</v>
      </c>
      <c r="H843" s="31" t="s">
        <v>63</v>
      </c>
      <c r="I843" s="31" t="s">
        <v>999</v>
      </c>
      <c r="J843" s="26" t="s">
        <v>775</v>
      </c>
      <c r="K843" s="27">
        <v>18400</v>
      </c>
      <c r="L843" s="31" t="s">
        <v>769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852</v>
      </c>
      <c r="D844" s="31" t="s">
        <v>796</v>
      </c>
      <c r="E844" s="31"/>
      <c r="F844" s="31" t="s">
        <v>488</v>
      </c>
      <c r="G844" s="27">
        <v>22000</v>
      </c>
      <c r="H844" s="31" t="s">
        <v>63</v>
      </c>
      <c r="I844" s="31" t="s">
        <v>1103</v>
      </c>
      <c r="J844" s="26" t="s">
        <v>775</v>
      </c>
      <c r="K844" s="27">
        <v>22000</v>
      </c>
      <c r="L844" s="31" t="s">
        <v>769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766</v>
      </c>
      <c r="D845" s="31" t="s">
        <v>576</v>
      </c>
      <c r="E845" s="31"/>
      <c r="F845" s="31" t="s">
        <v>576</v>
      </c>
      <c r="G845" s="27">
        <v>5000</v>
      </c>
      <c r="H845" s="31" t="s">
        <v>63</v>
      </c>
      <c r="I845" s="31"/>
      <c r="J845" s="26" t="s">
        <v>778</v>
      </c>
      <c r="K845" s="27">
        <v>5000</v>
      </c>
      <c r="L845" s="31" t="s">
        <v>769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766</v>
      </c>
      <c r="D846" s="31" t="s">
        <v>575</v>
      </c>
      <c r="E846" s="31" t="s">
        <v>772</v>
      </c>
      <c r="F846" s="31" t="s">
        <v>773</v>
      </c>
      <c r="G846" s="27">
        <v>3400</v>
      </c>
      <c r="H846" s="31" t="s">
        <v>63</v>
      </c>
      <c r="I846" s="31" t="s">
        <v>859</v>
      </c>
      <c r="J846" s="26" t="s">
        <v>775</v>
      </c>
      <c r="K846" s="27">
        <v>3400</v>
      </c>
      <c r="L846" s="31" t="s">
        <v>769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852</v>
      </c>
      <c r="D847" s="31" t="s">
        <v>575</v>
      </c>
      <c r="E847" s="31" t="s">
        <v>792</v>
      </c>
      <c r="F847" s="31" t="s">
        <v>853</v>
      </c>
      <c r="G847" s="27">
        <v>15000</v>
      </c>
      <c r="H847" s="31" t="s">
        <v>63</v>
      </c>
      <c r="I847" s="31" t="s">
        <v>1104</v>
      </c>
      <c r="J847" s="26" t="s">
        <v>775</v>
      </c>
      <c r="K847" s="27">
        <v>15000</v>
      </c>
      <c r="L847" s="31" t="s">
        <v>769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766</v>
      </c>
      <c r="D848" s="31" t="s">
        <v>575</v>
      </c>
      <c r="E848" s="31" t="s">
        <v>772</v>
      </c>
      <c r="F848" s="31" t="s">
        <v>940</v>
      </c>
      <c r="G848" s="27">
        <v>7520</v>
      </c>
      <c r="H848" s="31" t="s">
        <v>63</v>
      </c>
      <c r="I848" s="31"/>
      <c r="J848" s="26" t="s">
        <v>775</v>
      </c>
      <c r="K848" s="27">
        <v>7520</v>
      </c>
      <c r="L848" s="31" t="s">
        <v>769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766</v>
      </c>
      <c r="D849" s="31" t="s">
        <v>796</v>
      </c>
      <c r="E849" s="31"/>
      <c r="F849" s="31" t="s">
        <v>1105</v>
      </c>
      <c r="G849" s="27">
        <v>19000</v>
      </c>
      <c r="H849" s="31" t="s">
        <v>63</v>
      </c>
      <c r="I849" s="31" t="s">
        <v>1106</v>
      </c>
      <c r="J849" s="26" t="s">
        <v>775</v>
      </c>
      <c r="K849" s="27">
        <v>19000</v>
      </c>
      <c r="L849" s="31" t="s">
        <v>769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766</v>
      </c>
      <c r="D850" s="31" t="s">
        <v>575</v>
      </c>
      <c r="E850" s="31" t="s">
        <v>772</v>
      </c>
      <c r="F850" s="31" t="s">
        <v>773</v>
      </c>
      <c r="G850" s="27">
        <v>1900</v>
      </c>
      <c r="H850" s="31" t="s">
        <v>63</v>
      </c>
      <c r="I850" s="31" t="s">
        <v>1042</v>
      </c>
      <c r="J850" s="26" t="s">
        <v>775</v>
      </c>
      <c r="K850" s="27">
        <v>1900</v>
      </c>
      <c r="L850" s="31" t="s">
        <v>769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766</v>
      </c>
      <c r="D851" s="31" t="s">
        <v>576</v>
      </c>
      <c r="E851" s="31"/>
      <c r="F851" s="31" t="s">
        <v>576</v>
      </c>
      <c r="G851" s="27">
        <v>5000</v>
      </c>
      <c r="H851" s="31" t="s">
        <v>63</v>
      </c>
      <c r="I851" s="31"/>
      <c r="J851" s="26" t="s">
        <v>778</v>
      </c>
      <c r="K851" s="27">
        <v>5000</v>
      </c>
      <c r="L851" s="31" t="s">
        <v>769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766</v>
      </c>
      <c r="D852" s="31" t="s">
        <v>575</v>
      </c>
      <c r="E852" s="31" t="s">
        <v>772</v>
      </c>
      <c r="F852" s="31" t="s">
        <v>773</v>
      </c>
      <c r="G852" s="27">
        <v>2500</v>
      </c>
      <c r="H852" s="31" t="s">
        <v>63</v>
      </c>
      <c r="I852" s="31" t="s">
        <v>794</v>
      </c>
      <c r="J852" s="26" t="s">
        <v>775</v>
      </c>
      <c r="K852" s="27">
        <v>2500</v>
      </c>
      <c r="L852" s="31" t="s">
        <v>769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852</v>
      </c>
      <c r="D853" s="31" t="s">
        <v>575</v>
      </c>
      <c r="E853" s="31" t="s">
        <v>792</v>
      </c>
      <c r="F853" s="31" t="s">
        <v>853</v>
      </c>
      <c r="G853" s="27">
        <v>12000</v>
      </c>
      <c r="H853" s="31" t="s">
        <v>63</v>
      </c>
      <c r="I853" s="31" t="s">
        <v>1107</v>
      </c>
      <c r="J853" s="26" t="s">
        <v>775</v>
      </c>
      <c r="K853" s="27">
        <v>12000</v>
      </c>
      <c r="L853" s="31" t="s">
        <v>769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852</v>
      </c>
      <c r="D854" s="31" t="s">
        <v>946</v>
      </c>
      <c r="E854" s="31"/>
      <c r="F854" s="31" t="s">
        <v>488</v>
      </c>
      <c r="G854" s="27">
        <v>32800</v>
      </c>
      <c r="H854" s="31" t="s">
        <v>63</v>
      </c>
      <c r="I854" s="31" t="s">
        <v>1108</v>
      </c>
      <c r="J854" s="26" t="s">
        <v>775</v>
      </c>
      <c r="K854" s="27">
        <v>32800</v>
      </c>
      <c r="L854" s="31" t="s">
        <v>769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852</v>
      </c>
      <c r="D855" s="31" t="s">
        <v>796</v>
      </c>
      <c r="E855" s="31"/>
      <c r="F855" s="31" t="s">
        <v>488</v>
      </c>
      <c r="G855" s="27">
        <v>15480</v>
      </c>
      <c r="H855" s="31" t="s">
        <v>63</v>
      </c>
      <c r="I855" s="31" t="s">
        <v>1109</v>
      </c>
      <c r="J855" s="26" t="s">
        <v>775</v>
      </c>
      <c r="K855" s="27">
        <v>15480</v>
      </c>
      <c r="L855" s="31" t="s">
        <v>769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766</v>
      </c>
      <c r="D856" s="31" t="s">
        <v>575</v>
      </c>
      <c r="E856" s="31" t="s">
        <v>772</v>
      </c>
      <c r="F856" s="31" t="s">
        <v>814</v>
      </c>
      <c r="G856" s="27">
        <v>2500</v>
      </c>
      <c r="H856" s="31" t="s">
        <v>63</v>
      </c>
      <c r="I856" s="31"/>
      <c r="J856" s="26" t="s">
        <v>775</v>
      </c>
      <c r="K856" s="27">
        <v>2500</v>
      </c>
      <c r="L856" s="31" t="s">
        <v>769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766</v>
      </c>
      <c r="D857" s="31" t="s">
        <v>576</v>
      </c>
      <c r="E857" s="31"/>
      <c r="F857" s="31" t="s">
        <v>576</v>
      </c>
      <c r="G857" s="27">
        <v>5000</v>
      </c>
      <c r="H857" s="31" t="s">
        <v>63</v>
      </c>
      <c r="I857" s="31"/>
      <c r="J857" s="26" t="s">
        <v>778</v>
      </c>
      <c r="K857" s="27">
        <v>5000</v>
      </c>
      <c r="L857" s="31" t="s">
        <v>769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766</v>
      </c>
      <c r="D858" s="31" t="s">
        <v>575</v>
      </c>
      <c r="E858" s="31" t="s">
        <v>781</v>
      </c>
      <c r="F858" s="31" t="s">
        <v>902</v>
      </c>
      <c r="G858" s="27">
        <v>12000</v>
      </c>
      <c r="H858" s="31" t="s">
        <v>63</v>
      </c>
      <c r="I858" s="31"/>
      <c r="J858" s="26" t="s">
        <v>775</v>
      </c>
      <c r="K858" s="27">
        <v>12000</v>
      </c>
      <c r="L858" s="31" t="s">
        <v>769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766</v>
      </c>
      <c r="D859" s="31" t="s">
        <v>575</v>
      </c>
      <c r="E859" s="31" t="s">
        <v>885</v>
      </c>
      <c r="F859" s="31" t="s">
        <v>773</v>
      </c>
      <c r="G859" s="27">
        <v>4400</v>
      </c>
      <c r="H859" s="31" t="s">
        <v>63</v>
      </c>
      <c r="I859" s="31" t="s">
        <v>1110</v>
      </c>
      <c r="J859" s="26" t="s">
        <v>775</v>
      </c>
      <c r="K859" s="27">
        <v>4400</v>
      </c>
      <c r="L859" s="31" t="s">
        <v>769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766</v>
      </c>
      <c r="D860" s="31" t="s">
        <v>575</v>
      </c>
      <c r="E860" s="31" t="s">
        <v>885</v>
      </c>
      <c r="F860" s="31" t="s">
        <v>773</v>
      </c>
      <c r="G860" s="27">
        <v>8480</v>
      </c>
      <c r="H860" s="31" t="s">
        <v>63</v>
      </c>
      <c r="I860" s="31" t="s">
        <v>859</v>
      </c>
      <c r="J860" s="26" t="s">
        <v>775</v>
      </c>
      <c r="K860" s="27">
        <v>8480</v>
      </c>
      <c r="L860" s="31" t="s">
        <v>769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766</v>
      </c>
      <c r="D861" s="31" t="s">
        <v>576</v>
      </c>
      <c r="E861" s="31"/>
      <c r="F861" s="31" t="s">
        <v>576</v>
      </c>
      <c r="G861" s="27">
        <v>5000</v>
      </c>
      <c r="H861" s="31" t="s">
        <v>63</v>
      </c>
      <c r="I861" s="31"/>
      <c r="J861" s="26" t="s">
        <v>778</v>
      </c>
      <c r="K861" s="27">
        <v>5000</v>
      </c>
      <c r="L861" s="31" t="s">
        <v>769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766</v>
      </c>
      <c r="D862" s="31" t="s">
        <v>575</v>
      </c>
      <c r="E862" s="31" t="s">
        <v>772</v>
      </c>
      <c r="F862" s="31" t="s">
        <v>814</v>
      </c>
      <c r="G862" s="27">
        <v>1800</v>
      </c>
      <c r="H862" s="31" t="s">
        <v>63</v>
      </c>
      <c r="I862" s="31"/>
      <c r="J862" s="26" t="s">
        <v>775</v>
      </c>
      <c r="K862" s="27">
        <v>1800</v>
      </c>
      <c r="L862" s="31" t="s">
        <v>769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766</v>
      </c>
      <c r="D863" s="31" t="s">
        <v>575</v>
      </c>
      <c r="E863" s="31" t="s">
        <v>781</v>
      </c>
      <c r="F863" s="31" t="s">
        <v>1057</v>
      </c>
      <c r="G863" s="27">
        <v>8900</v>
      </c>
      <c r="H863" s="31" t="s">
        <v>63</v>
      </c>
      <c r="I863" s="31"/>
      <c r="J863" s="26" t="s">
        <v>775</v>
      </c>
      <c r="K863" s="27">
        <v>8900</v>
      </c>
      <c r="L863" s="31" t="s">
        <v>769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766</v>
      </c>
      <c r="D864" s="31" t="s">
        <v>575</v>
      </c>
      <c r="E864" s="31" t="s">
        <v>885</v>
      </c>
      <c r="F864" s="31" t="s">
        <v>773</v>
      </c>
      <c r="G864" s="27">
        <v>5700</v>
      </c>
      <c r="H864" s="31" t="s">
        <v>63</v>
      </c>
      <c r="I864" s="31" t="s">
        <v>992</v>
      </c>
      <c r="J864" s="26" t="s">
        <v>775</v>
      </c>
      <c r="K864" s="27">
        <v>5700</v>
      </c>
      <c r="L864" s="31" t="s">
        <v>769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766</v>
      </c>
      <c r="D865" s="31" t="s">
        <v>576</v>
      </c>
      <c r="E865" s="31"/>
      <c r="F865" s="31" t="s">
        <v>576</v>
      </c>
      <c r="G865" s="27">
        <v>5000</v>
      </c>
      <c r="H865" s="31" t="s">
        <v>63</v>
      </c>
      <c r="I865" s="31"/>
      <c r="J865" s="26" t="s">
        <v>778</v>
      </c>
      <c r="K865" s="27">
        <v>5000</v>
      </c>
      <c r="L865" s="31" t="s">
        <v>769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766</v>
      </c>
      <c r="D866" s="31" t="s">
        <v>575</v>
      </c>
      <c r="E866" s="31" t="s">
        <v>772</v>
      </c>
      <c r="F866" s="31" t="s">
        <v>814</v>
      </c>
      <c r="G866" s="27">
        <v>1800</v>
      </c>
      <c r="H866" s="31" t="s">
        <v>63</v>
      </c>
      <c r="I866" s="31"/>
      <c r="J866" s="26" t="s">
        <v>775</v>
      </c>
      <c r="K866" s="27">
        <v>1800</v>
      </c>
      <c r="L866" s="31" t="s">
        <v>769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196</v>
      </c>
      <c r="D867" s="31" t="s">
        <v>22</v>
      </c>
      <c r="E867" s="31"/>
      <c r="F867" s="31" t="s">
        <v>934</v>
      </c>
      <c r="G867" s="27">
        <v>1</v>
      </c>
      <c r="H867" s="31" t="s">
        <v>520</v>
      </c>
      <c r="I867" s="31"/>
      <c r="J867" s="26" t="s">
        <v>824</v>
      </c>
      <c r="K867" s="27">
        <v>1</v>
      </c>
      <c r="L867" s="31" t="s">
        <v>769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766</v>
      </c>
      <c r="D868" s="31" t="s">
        <v>575</v>
      </c>
      <c r="E868" s="31" t="s">
        <v>781</v>
      </c>
      <c r="F868" s="31" t="s">
        <v>1004</v>
      </c>
      <c r="G868" s="27">
        <v>7500</v>
      </c>
      <c r="H868" s="31" t="s">
        <v>63</v>
      </c>
      <c r="I868" s="31"/>
      <c r="J868" s="26" t="s">
        <v>775</v>
      </c>
      <c r="K868" s="27">
        <v>7500</v>
      </c>
      <c r="L868" s="31" t="s">
        <v>769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766</v>
      </c>
      <c r="D869" s="31" t="s">
        <v>575</v>
      </c>
      <c r="E869" s="31" t="s">
        <v>772</v>
      </c>
      <c r="F869" s="31" t="s">
        <v>773</v>
      </c>
      <c r="G869" s="27">
        <v>1400</v>
      </c>
      <c r="H869" s="31" t="s">
        <v>63</v>
      </c>
      <c r="I869" s="31" t="s">
        <v>1095</v>
      </c>
      <c r="J869" s="26" t="s">
        <v>775</v>
      </c>
      <c r="K869" s="27">
        <v>1400</v>
      </c>
      <c r="L869" s="31" t="s">
        <v>769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766</v>
      </c>
      <c r="D870" s="31" t="s">
        <v>576</v>
      </c>
      <c r="E870" s="31"/>
      <c r="F870" s="31" t="s">
        <v>576</v>
      </c>
      <c r="G870" s="27">
        <v>5000</v>
      </c>
      <c r="H870" s="31" t="s">
        <v>63</v>
      </c>
      <c r="I870" s="31"/>
      <c r="J870" s="26" t="s">
        <v>778</v>
      </c>
      <c r="K870" s="27">
        <v>5000</v>
      </c>
      <c r="L870" s="31" t="s">
        <v>769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766</v>
      </c>
      <c r="D871" s="31" t="s">
        <v>575</v>
      </c>
      <c r="E871" s="31" t="s">
        <v>772</v>
      </c>
      <c r="F871" s="31" t="s">
        <v>814</v>
      </c>
      <c r="G871" s="27">
        <v>1800</v>
      </c>
      <c r="H871" s="31" t="s">
        <v>63</v>
      </c>
      <c r="I871" s="31"/>
      <c r="J871" s="26" t="s">
        <v>775</v>
      </c>
      <c r="K871" s="27">
        <v>1800</v>
      </c>
      <c r="L871" s="31" t="s">
        <v>769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766</v>
      </c>
      <c r="D872" s="31" t="s">
        <v>575</v>
      </c>
      <c r="E872" s="31" t="s">
        <v>781</v>
      </c>
      <c r="F872" s="31" t="s">
        <v>884</v>
      </c>
      <c r="G872" s="27">
        <v>9000</v>
      </c>
      <c r="H872" s="31" t="s">
        <v>63</v>
      </c>
      <c r="I872" s="31"/>
      <c r="J872" s="26" t="s">
        <v>775</v>
      </c>
      <c r="K872" s="27">
        <v>9000</v>
      </c>
      <c r="L872" s="31" t="s">
        <v>769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766</v>
      </c>
      <c r="D873" s="31" t="s">
        <v>485</v>
      </c>
      <c r="E873" s="31"/>
      <c r="F873" s="31" t="s">
        <v>917</v>
      </c>
      <c r="G873" s="27">
        <v>4129</v>
      </c>
      <c r="H873" s="31" t="s">
        <v>63</v>
      </c>
      <c r="I873" s="31" t="s">
        <v>918</v>
      </c>
      <c r="J873" s="26" t="s">
        <v>768</v>
      </c>
      <c r="K873" s="27">
        <v>4129</v>
      </c>
      <c r="L873" s="31" t="s">
        <v>769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766</v>
      </c>
      <c r="D874" s="31" t="s">
        <v>575</v>
      </c>
      <c r="E874" s="31" t="s">
        <v>772</v>
      </c>
      <c r="F874" s="31" t="s">
        <v>1111</v>
      </c>
      <c r="G874" s="27">
        <v>41400</v>
      </c>
      <c r="H874" s="31" t="s">
        <v>63</v>
      </c>
      <c r="I874" s="31"/>
      <c r="J874" s="26" t="s">
        <v>775</v>
      </c>
      <c r="K874" s="27">
        <v>41400</v>
      </c>
      <c r="L874" s="31" t="s">
        <v>769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766</v>
      </c>
      <c r="D875" s="31" t="s">
        <v>575</v>
      </c>
      <c r="E875" s="31" t="s">
        <v>781</v>
      </c>
      <c r="F875" s="31" t="s">
        <v>814</v>
      </c>
      <c r="G875" s="27">
        <v>9000</v>
      </c>
      <c r="H875" s="31" t="s">
        <v>63</v>
      </c>
      <c r="I875" s="31"/>
      <c r="J875" s="26" t="s">
        <v>775</v>
      </c>
      <c r="K875" s="27">
        <v>9000</v>
      </c>
      <c r="L875" s="31" t="s">
        <v>769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1006</v>
      </c>
      <c r="D876" s="31" t="s">
        <v>806</v>
      </c>
      <c r="E876" s="31"/>
      <c r="F876" s="31" t="s">
        <v>1036</v>
      </c>
      <c r="G876" s="27">
        <v>66447</v>
      </c>
      <c r="H876" s="31" t="s">
        <v>63</v>
      </c>
      <c r="I876" s="31" t="s">
        <v>1051</v>
      </c>
      <c r="J876" s="26" t="s">
        <v>806</v>
      </c>
      <c r="K876" s="27">
        <v>66447</v>
      </c>
      <c r="L876" s="31" t="s">
        <v>769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1078</v>
      </c>
      <c r="D877" s="31" t="s">
        <v>22</v>
      </c>
      <c r="E877" s="31"/>
      <c r="F877" s="31" t="s">
        <v>66</v>
      </c>
      <c r="G877" s="27">
        <v>2716370</v>
      </c>
      <c r="H877" s="31" t="s">
        <v>520</v>
      </c>
      <c r="I877" s="31"/>
      <c r="J877" s="26" t="s">
        <v>66</v>
      </c>
      <c r="K877" s="27">
        <v>2716370</v>
      </c>
      <c r="L877" s="31" t="s">
        <v>769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1005</v>
      </c>
      <c r="D878" s="31" t="s">
        <v>806</v>
      </c>
      <c r="E878" s="31"/>
      <c r="F878" s="31" t="s">
        <v>1036</v>
      </c>
      <c r="G878" s="27">
        <v>58244</v>
      </c>
      <c r="H878" s="31" t="s">
        <v>63</v>
      </c>
      <c r="I878" s="31" t="s">
        <v>1051</v>
      </c>
      <c r="J878" s="26" t="s">
        <v>806</v>
      </c>
      <c r="K878" s="27">
        <v>58244</v>
      </c>
      <c r="L878" s="31" t="s">
        <v>769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1005</v>
      </c>
      <c r="D879" s="31" t="s">
        <v>1078</v>
      </c>
      <c r="E879" s="31"/>
      <c r="F879" s="31" t="s">
        <v>81</v>
      </c>
      <c r="G879" s="27">
        <v>60000</v>
      </c>
      <c r="H879" s="31" t="s">
        <v>804</v>
      </c>
      <c r="I879" s="31"/>
      <c r="J879" s="26" t="s">
        <v>805</v>
      </c>
      <c r="K879" s="27">
        <v>60000</v>
      </c>
      <c r="L879" s="31" t="s">
        <v>769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1078</v>
      </c>
      <c r="D880" s="31" t="s">
        <v>1005</v>
      </c>
      <c r="E880" s="31"/>
      <c r="F880" s="31" t="s">
        <v>81</v>
      </c>
      <c r="G880" s="27">
        <v>60000</v>
      </c>
      <c r="H880" s="31" t="s">
        <v>807</v>
      </c>
      <c r="I880" s="31"/>
      <c r="J880" s="26" t="s">
        <v>833</v>
      </c>
      <c r="K880" s="27">
        <v>60000</v>
      </c>
      <c r="L880" s="31" t="s">
        <v>769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1078</v>
      </c>
      <c r="D881" s="31" t="s">
        <v>1006</v>
      </c>
      <c r="E881" s="31"/>
      <c r="F881" s="31" t="s">
        <v>81</v>
      </c>
      <c r="G881" s="27">
        <v>60000</v>
      </c>
      <c r="H881" s="31" t="s">
        <v>807</v>
      </c>
      <c r="I881" s="31"/>
      <c r="J881" s="26" t="s">
        <v>833</v>
      </c>
      <c r="K881" s="27">
        <v>60000</v>
      </c>
      <c r="L881" s="31" t="s">
        <v>769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1006</v>
      </c>
      <c r="D882" s="31" t="s">
        <v>1078</v>
      </c>
      <c r="E882" s="31"/>
      <c r="F882" s="31" t="s">
        <v>81</v>
      </c>
      <c r="G882" s="27">
        <v>60000</v>
      </c>
      <c r="H882" s="31" t="s">
        <v>804</v>
      </c>
      <c r="I882" s="31"/>
      <c r="J882" s="26" t="s">
        <v>805</v>
      </c>
      <c r="K882" s="27">
        <v>60000</v>
      </c>
      <c r="L882" s="31" t="s">
        <v>769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559</v>
      </c>
      <c r="D883" s="31" t="s">
        <v>821</v>
      </c>
      <c r="E883" s="31"/>
      <c r="F883" s="31" t="s">
        <v>858</v>
      </c>
      <c r="G883" s="27">
        <v>40000</v>
      </c>
      <c r="H883" s="31" t="s">
        <v>520</v>
      </c>
      <c r="I883" s="31"/>
      <c r="J883" s="26" t="s">
        <v>821</v>
      </c>
      <c r="K883" s="27">
        <v>40000</v>
      </c>
      <c r="L883" s="31" t="s">
        <v>769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559</v>
      </c>
      <c r="D884" s="31" t="s">
        <v>22</v>
      </c>
      <c r="E884" s="31"/>
      <c r="F884" s="31" t="s">
        <v>916</v>
      </c>
      <c r="G884" s="27">
        <v>667</v>
      </c>
      <c r="H884" s="31" t="s">
        <v>520</v>
      </c>
      <c r="I884" s="31"/>
      <c r="J884" s="26" t="s">
        <v>824</v>
      </c>
      <c r="K884" s="27">
        <v>667</v>
      </c>
      <c r="L884" s="31" t="s">
        <v>769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559</v>
      </c>
      <c r="D885" s="31" t="s">
        <v>1078</v>
      </c>
      <c r="E885" s="31"/>
      <c r="F885" s="31" t="s">
        <v>858</v>
      </c>
      <c r="G885" s="27">
        <v>20000</v>
      </c>
      <c r="H885" s="31" t="s">
        <v>804</v>
      </c>
      <c r="I885" s="31"/>
      <c r="J885" s="26" t="s">
        <v>805</v>
      </c>
      <c r="K885" s="27">
        <v>20000</v>
      </c>
      <c r="L885" s="31" t="s">
        <v>769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1078</v>
      </c>
      <c r="D886" s="31" t="s">
        <v>559</v>
      </c>
      <c r="E886" s="31"/>
      <c r="F886" s="31" t="s">
        <v>858</v>
      </c>
      <c r="G886" s="27">
        <v>20000</v>
      </c>
      <c r="H886" s="31" t="s">
        <v>807</v>
      </c>
      <c r="I886" s="31"/>
      <c r="J886" s="26" t="s">
        <v>839</v>
      </c>
      <c r="K886" s="27">
        <v>20000</v>
      </c>
      <c r="L886" s="31" t="s">
        <v>769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780</v>
      </c>
      <c r="D887" s="31" t="s">
        <v>843</v>
      </c>
      <c r="E887" s="31" t="s">
        <v>932</v>
      </c>
      <c r="F887" s="31" t="s">
        <v>933</v>
      </c>
      <c r="G887" s="27">
        <v>138056</v>
      </c>
      <c r="H887" s="31" t="s">
        <v>63</v>
      </c>
      <c r="I887" s="31"/>
      <c r="J887" s="26" t="s">
        <v>768</v>
      </c>
      <c r="K887" s="27">
        <v>138056</v>
      </c>
      <c r="L887" s="31" t="s">
        <v>769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922</v>
      </c>
      <c r="D888" s="31" t="s">
        <v>1078</v>
      </c>
      <c r="E888" s="31"/>
      <c r="F888" s="31" t="s">
        <v>81</v>
      </c>
      <c r="G888" s="27">
        <v>150000</v>
      </c>
      <c r="H888" s="31" t="s">
        <v>804</v>
      </c>
      <c r="I888" s="31"/>
      <c r="J888" s="26" t="s">
        <v>805</v>
      </c>
      <c r="K888" s="27">
        <v>150000</v>
      </c>
      <c r="L888" s="31" t="s">
        <v>769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1078</v>
      </c>
      <c r="D889" s="31" t="s">
        <v>922</v>
      </c>
      <c r="E889" s="31"/>
      <c r="F889" s="31" t="s">
        <v>81</v>
      </c>
      <c r="G889" s="27">
        <v>150000</v>
      </c>
      <c r="H889" s="31" t="s">
        <v>807</v>
      </c>
      <c r="I889" s="31"/>
      <c r="J889" s="26" t="s">
        <v>829</v>
      </c>
      <c r="K889" s="27">
        <v>150000</v>
      </c>
      <c r="L889" s="31" t="s">
        <v>769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1078</v>
      </c>
      <c r="D890" s="31" t="s">
        <v>527</v>
      </c>
      <c r="E890" s="31"/>
      <c r="F890" s="31" t="s">
        <v>81</v>
      </c>
      <c r="G890" s="27">
        <v>20000</v>
      </c>
      <c r="H890" s="31" t="s">
        <v>807</v>
      </c>
      <c r="I890" s="31"/>
      <c r="J890" s="26" t="s">
        <v>830</v>
      </c>
      <c r="K890" s="27">
        <v>20000</v>
      </c>
      <c r="L890" s="31" t="s">
        <v>769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527</v>
      </c>
      <c r="D891" s="31" t="s">
        <v>1078</v>
      </c>
      <c r="E891" s="31"/>
      <c r="F891" s="31" t="s">
        <v>81</v>
      </c>
      <c r="G891" s="27">
        <v>20000</v>
      </c>
      <c r="H891" s="31" t="s">
        <v>804</v>
      </c>
      <c r="I891" s="31"/>
      <c r="J891" s="26" t="s">
        <v>805</v>
      </c>
      <c r="K891" s="27">
        <v>20000</v>
      </c>
      <c r="L891" s="31" t="s">
        <v>769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1078</v>
      </c>
      <c r="D892" s="31" t="s">
        <v>924</v>
      </c>
      <c r="E892" s="31"/>
      <c r="F892" s="31" t="s">
        <v>81</v>
      </c>
      <c r="G892" s="27">
        <v>200000</v>
      </c>
      <c r="H892" s="31" t="s">
        <v>807</v>
      </c>
      <c r="I892" s="31"/>
      <c r="J892" s="26" t="s">
        <v>842</v>
      </c>
      <c r="K892" s="27">
        <v>200000</v>
      </c>
      <c r="L892" s="31" t="s">
        <v>769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924</v>
      </c>
      <c r="D893" s="31" t="s">
        <v>1078</v>
      </c>
      <c r="E893" s="31"/>
      <c r="F893" s="31" t="s">
        <v>81</v>
      </c>
      <c r="G893" s="27">
        <v>200000</v>
      </c>
      <c r="H893" s="31" t="s">
        <v>804</v>
      </c>
      <c r="I893" s="31"/>
      <c r="J893" s="26" t="s">
        <v>805</v>
      </c>
      <c r="K893" s="27">
        <v>200000</v>
      </c>
      <c r="L893" s="31" t="s">
        <v>769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1078</v>
      </c>
      <c r="D894" s="31" t="s">
        <v>193</v>
      </c>
      <c r="E894" s="31"/>
      <c r="F894" s="31" t="s">
        <v>81</v>
      </c>
      <c r="G894" s="27">
        <v>15000</v>
      </c>
      <c r="H894" s="31" t="s">
        <v>807</v>
      </c>
      <c r="I894" s="31"/>
      <c r="J894" s="26" t="s">
        <v>805</v>
      </c>
      <c r="K894" s="27">
        <v>15000</v>
      </c>
      <c r="L894" s="31" t="s">
        <v>769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193</v>
      </c>
      <c r="D895" s="31" t="s">
        <v>1078</v>
      </c>
      <c r="E895" s="31"/>
      <c r="F895" s="31" t="s">
        <v>81</v>
      </c>
      <c r="G895" s="27">
        <v>15000</v>
      </c>
      <c r="H895" s="31" t="s">
        <v>804</v>
      </c>
      <c r="I895" s="31"/>
      <c r="J895" s="26" t="s">
        <v>805</v>
      </c>
      <c r="K895" s="27">
        <v>15000</v>
      </c>
      <c r="L895" s="31" t="s">
        <v>769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780</v>
      </c>
      <c r="D896" s="31" t="s">
        <v>817</v>
      </c>
      <c r="E896" s="31"/>
      <c r="F896" s="31" t="s">
        <v>451</v>
      </c>
      <c r="G896" s="27">
        <v>143930</v>
      </c>
      <c r="H896" s="31" t="s">
        <v>63</v>
      </c>
      <c r="I896" s="31"/>
      <c r="J896" s="26" t="s">
        <v>768</v>
      </c>
      <c r="K896" s="27">
        <v>143930</v>
      </c>
      <c r="L896" s="31" t="s">
        <v>769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766</v>
      </c>
      <c r="D897" s="31" t="s">
        <v>576</v>
      </c>
      <c r="E897" s="31"/>
      <c r="F897" s="31" t="s">
        <v>576</v>
      </c>
      <c r="G897" s="27">
        <v>5000</v>
      </c>
      <c r="H897" s="31" t="s">
        <v>63</v>
      </c>
      <c r="I897" s="31"/>
      <c r="J897" s="26" t="s">
        <v>778</v>
      </c>
      <c r="K897" s="27">
        <v>5000</v>
      </c>
      <c r="L897" s="31" t="s">
        <v>769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766</v>
      </c>
      <c r="D898" s="31" t="s">
        <v>906</v>
      </c>
      <c r="E898" s="31"/>
      <c r="F898" s="31" t="s">
        <v>1112</v>
      </c>
      <c r="G898" s="27">
        <v>7900</v>
      </c>
      <c r="H898" s="31" t="s">
        <v>63</v>
      </c>
      <c r="I898" s="31"/>
      <c r="J898" s="26" t="s">
        <v>775</v>
      </c>
      <c r="K898" s="27">
        <v>7900</v>
      </c>
      <c r="L898" s="31" t="s">
        <v>769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852</v>
      </c>
      <c r="D899" s="31" t="s">
        <v>575</v>
      </c>
      <c r="E899" s="31" t="s">
        <v>792</v>
      </c>
      <c r="F899" s="31" t="s">
        <v>853</v>
      </c>
      <c r="G899" s="27">
        <v>31600</v>
      </c>
      <c r="H899" s="31" t="s">
        <v>63</v>
      </c>
      <c r="I899" s="31" t="s">
        <v>1113</v>
      </c>
      <c r="J899" s="26" t="s">
        <v>775</v>
      </c>
      <c r="K899" s="27">
        <v>31600</v>
      </c>
      <c r="L899" s="31" t="s">
        <v>769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816</v>
      </c>
      <c r="D900" s="31" t="s">
        <v>22</v>
      </c>
      <c r="E900" s="31"/>
      <c r="F900" s="31" t="s">
        <v>897</v>
      </c>
      <c r="G900" s="27">
        <v>38</v>
      </c>
      <c r="H900" s="31" t="s">
        <v>520</v>
      </c>
      <c r="I900" s="31" t="s">
        <v>1114</v>
      </c>
      <c r="J900" s="26" t="s">
        <v>824</v>
      </c>
      <c r="K900" s="27">
        <v>38</v>
      </c>
      <c r="L900" s="31" t="s">
        <v>769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559</v>
      </c>
      <c r="D901" s="31" t="s">
        <v>22</v>
      </c>
      <c r="E901" s="31"/>
      <c r="F901" s="31" t="s">
        <v>1017</v>
      </c>
      <c r="G901" s="27">
        <v>726</v>
      </c>
      <c r="H901" s="31" t="s">
        <v>520</v>
      </c>
      <c r="I901" s="31"/>
      <c r="J901" s="26" t="s">
        <v>824</v>
      </c>
      <c r="K901" s="27">
        <v>726</v>
      </c>
      <c r="L901" s="31" t="s">
        <v>769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852</v>
      </c>
      <c r="D902" s="31" t="s">
        <v>811</v>
      </c>
      <c r="E902" s="31"/>
      <c r="F902" s="31" t="s">
        <v>488</v>
      </c>
      <c r="G902" s="27">
        <v>19900</v>
      </c>
      <c r="H902" s="31" t="s">
        <v>63</v>
      </c>
      <c r="I902" s="31" t="s">
        <v>1115</v>
      </c>
      <c r="J902" s="26" t="s">
        <v>775</v>
      </c>
      <c r="K902" s="27">
        <v>19900</v>
      </c>
      <c r="L902" s="31" t="s">
        <v>769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766</v>
      </c>
      <c r="D903" s="31" t="s">
        <v>575</v>
      </c>
      <c r="E903" s="31" t="s">
        <v>772</v>
      </c>
      <c r="F903" s="31" t="s">
        <v>1116</v>
      </c>
      <c r="G903" s="27">
        <v>4300</v>
      </c>
      <c r="H903" s="31" t="s">
        <v>63</v>
      </c>
      <c r="I903" s="31"/>
      <c r="J903" s="26" t="s">
        <v>775</v>
      </c>
      <c r="K903" s="27">
        <v>4300</v>
      </c>
      <c r="L903" s="31" t="s">
        <v>769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669</v>
      </c>
      <c r="D904" s="31" t="s">
        <v>843</v>
      </c>
      <c r="E904" s="31" t="s">
        <v>844</v>
      </c>
      <c r="F904" s="31" t="s">
        <v>1117</v>
      </c>
      <c r="G904" s="27">
        <v>2700</v>
      </c>
      <c r="H904" s="31" t="s">
        <v>63</v>
      </c>
      <c r="I904" s="31" t="s">
        <v>1118</v>
      </c>
      <c r="J904" s="26" t="s">
        <v>775</v>
      </c>
      <c r="K904" s="27">
        <v>2700</v>
      </c>
      <c r="L904" s="31" t="s">
        <v>769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669</v>
      </c>
      <c r="D905" s="31" t="s">
        <v>576</v>
      </c>
      <c r="E905" s="31"/>
      <c r="F905" s="31" t="s">
        <v>576</v>
      </c>
      <c r="G905" s="27">
        <v>5000</v>
      </c>
      <c r="H905" s="31" t="s">
        <v>63</v>
      </c>
      <c r="I905" s="31"/>
      <c r="J905" s="26" t="s">
        <v>778</v>
      </c>
      <c r="K905" s="27">
        <v>5000</v>
      </c>
      <c r="L905" s="31" t="s">
        <v>769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766</v>
      </c>
      <c r="D906" s="31" t="s">
        <v>796</v>
      </c>
      <c r="E906" s="31"/>
      <c r="F906" s="31" t="s">
        <v>581</v>
      </c>
      <c r="G906" s="27">
        <v>660</v>
      </c>
      <c r="H906" s="31" t="s">
        <v>63</v>
      </c>
      <c r="I906" s="31" t="s">
        <v>1119</v>
      </c>
      <c r="J906" s="26" t="s">
        <v>775</v>
      </c>
      <c r="K906" s="27">
        <v>660</v>
      </c>
      <c r="L906" s="31" t="s">
        <v>769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669</v>
      </c>
      <c r="D907" s="31" t="s">
        <v>912</v>
      </c>
      <c r="E907" s="31" t="s">
        <v>68</v>
      </c>
      <c r="F907" s="31" t="s">
        <v>1120</v>
      </c>
      <c r="G907" s="27">
        <v>64000</v>
      </c>
      <c r="H907" s="31" t="s">
        <v>63</v>
      </c>
      <c r="I907" s="31" t="s">
        <v>1121</v>
      </c>
      <c r="J907" s="26" t="s">
        <v>68</v>
      </c>
      <c r="K907" s="27">
        <v>64000</v>
      </c>
      <c r="L907" s="31" t="s">
        <v>769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669</v>
      </c>
      <c r="D908" s="31" t="s">
        <v>912</v>
      </c>
      <c r="E908" s="31" t="s">
        <v>68</v>
      </c>
      <c r="F908" s="31" t="s">
        <v>1122</v>
      </c>
      <c r="G908" s="27">
        <v>31000</v>
      </c>
      <c r="H908" s="31" t="s">
        <v>63</v>
      </c>
      <c r="I908" s="31" t="s">
        <v>1121</v>
      </c>
      <c r="J908" s="26" t="s">
        <v>68</v>
      </c>
      <c r="K908" s="27">
        <v>31000</v>
      </c>
      <c r="L908" s="31" t="s">
        <v>769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766</v>
      </c>
      <c r="D909" s="31" t="s">
        <v>912</v>
      </c>
      <c r="E909" s="31" t="s">
        <v>68</v>
      </c>
      <c r="F909" s="31" t="s">
        <v>1123</v>
      </c>
      <c r="G909" s="27">
        <v>20000</v>
      </c>
      <c r="H909" s="31" t="s">
        <v>63</v>
      </c>
      <c r="I909" s="31" t="s">
        <v>1124</v>
      </c>
      <c r="J909" s="26" t="s">
        <v>68</v>
      </c>
      <c r="K909" s="27">
        <v>20000</v>
      </c>
      <c r="L909" s="31" t="s">
        <v>769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766</v>
      </c>
      <c r="D910" s="31" t="s">
        <v>912</v>
      </c>
      <c r="E910" s="31" t="s">
        <v>68</v>
      </c>
      <c r="F910" s="31" t="s">
        <v>1125</v>
      </c>
      <c r="G910" s="27">
        <v>13800</v>
      </c>
      <c r="H910" s="31" t="s">
        <v>63</v>
      </c>
      <c r="I910" s="31" t="s">
        <v>1121</v>
      </c>
      <c r="J910" s="26" t="s">
        <v>68</v>
      </c>
      <c r="K910" s="27">
        <v>13800</v>
      </c>
      <c r="L910" s="31" t="s">
        <v>769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669</v>
      </c>
      <c r="D911" s="31" t="s">
        <v>912</v>
      </c>
      <c r="E911" s="31" t="s">
        <v>68</v>
      </c>
      <c r="F911" s="31" t="s">
        <v>1126</v>
      </c>
      <c r="G911" s="27">
        <v>126000</v>
      </c>
      <c r="H911" s="31" t="s">
        <v>63</v>
      </c>
      <c r="I911" s="31" t="s">
        <v>1121</v>
      </c>
      <c r="J911" s="26" t="s">
        <v>68</v>
      </c>
      <c r="K911" s="27">
        <v>126000</v>
      </c>
      <c r="L911" s="31" t="s">
        <v>769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669</v>
      </c>
      <c r="D912" s="31" t="s">
        <v>912</v>
      </c>
      <c r="E912" s="31" t="s">
        <v>68</v>
      </c>
      <c r="F912" s="31" t="s">
        <v>773</v>
      </c>
      <c r="G912" s="27">
        <v>43000</v>
      </c>
      <c r="H912" s="31" t="s">
        <v>63</v>
      </c>
      <c r="I912" s="31" t="s">
        <v>1121</v>
      </c>
      <c r="J912" s="26" t="s">
        <v>68</v>
      </c>
      <c r="K912" s="27">
        <v>43000</v>
      </c>
      <c r="L912" s="31" t="s">
        <v>769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669</v>
      </c>
      <c r="D913" s="31" t="s">
        <v>912</v>
      </c>
      <c r="E913" s="31" t="s">
        <v>68</v>
      </c>
      <c r="F913" s="31" t="s">
        <v>1127</v>
      </c>
      <c r="G913" s="27">
        <v>28500</v>
      </c>
      <c r="H913" s="31" t="s">
        <v>63</v>
      </c>
      <c r="I913" s="31" t="s">
        <v>1128</v>
      </c>
      <c r="J913" s="26" t="s">
        <v>68</v>
      </c>
      <c r="K913" s="27">
        <v>28500</v>
      </c>
      <c r="L913" s="31" t="s">
        <v>769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669</v>
      </c>
      <c r="D914" s="31" t="s">
        <v>796</v>
      </c>
      <c r="E914" s="31"/>
      <c r="F914" s="31" t="s">
        <v>797</v>
      </c>
      <c r="G914" s="27">
        <v>10000</v>
      </c>
      <c r="H914" s="31" t="s">
        <v>63</v>
      </c>
      <c r="I914" s="31"/>
      <c r="J914" s="26" t="s">
        <v>775</v>
      </c>
      <c r="K914" s="27">
        <v>10000</v>
      </c>
      <c r="L914" s="31" t="s">
        <v>769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669</v>
      </c>
      <c r="D915" s="31" t="s">
        <v>796</v>
      </c>
      <c r="E915" s="31"/>
      <c r="F915" s="31" t="s">
        <v>1129</v>
      </c>
      <c r="G915" s="27">
        <v>18140</v>
      </c>
      <c r="H915" s="31" t="s">
        <v>63</v>
      </c>
      <c r="I915" s="31" t="s">
        <v>1130</v>
      </c>
      <c r="J915" s="26" t="s">
        <v>775</v>
      </c>
      <c r="K915" s="27">
        <v>18140</v>
      </c>
      <c r="L915" s="31" t="s">
        <v>769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852</v>
      </c>
      <c r="D916" s="31" t="s">
        <v>575</v>
      </c>
      <c r="E916" s="31" t="s">
        <v>792</v>
      </c>
      <c r="F916" s="31" t="s">
        <v>853</v>
      </c>
      <c r="G916" s="27">
        <v>10500</v>
      </c>
      <c r="H916" s="31" t="s">
        <v>63</v>
      </c>
      <c r="I916" s="31" t="s">
        <v>995</v>
      </c>
      <c r="J916" s="26" t="s">
        <v>775</v>
      </c>
      <c r="K916" s="27">
        <v>10500</v>
      </c>
      <c r="L916" s="31" t="s">
        <v>769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669</v>
      </c>
      <c r="D917" s="31" t="s">
        <v>843</v>
      </c>
      <c r="E917" s="31" t="s">
        <v>844</v>
      </c>
      <c r="F917" s="31" t="s">
        <v>1131</v>
      </c>
      <c r="G917" s="27">
        <v>6000</v>
      </c>
      <c r="H917" s="31" t="s">
        <v>63</v>
      </c>
      <c r="I917" s="31"/>
      <c r="J917" s="26" t="s">
        <v>775</v>
      </c>
      <c r="K917" s="27">
        <v>6000</v>
      </c>
      <c r="L917" s="31" t="s">
        <v>769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669</v>
      </c>
      <c r="D918" s="31" t="s">
        <v>575</v>
      </c>
      <c r="E918" s="31" t="s">
        <v>772</v>
      </c>
      <c r="F918" s="31" t="s">
        <v>773</v>
      </c>
      <c r="G918" s="27">
        <v>1900</v>
      </c>
      <c r="H918" s="31" t="s">
        <v>63</v>
      </c>
      <c r="I918" s="31" t="s">
        <v>1042</v>
      </c>
      <c r="J918" s="26" t="s">
        <v>775</v>
      </c>
      <c r="K918" s="27">
        <v>1900</v>
      </c>
      <c r="L918" s="31" t="s">
        <v>769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766</v>
      </c>
      <c r="D919" s="31" t="s">
        <v>912</v>
      </c>
      <c r="E919" s="31" t="s">
        <v>68</v>
      </c>
      <c r="F919" s="31" t="s">
        <v>1132</v>
      </c>
      <c r="G919" s="27">
        <v>55000</v>
      </c>
      <c r="H919" s="31" t="s">
        <v>63</v>
      </c>
      <c r="I919" s="31" t="s">
        <v>1121</v>
      </c>
      <c r="J919" s="26" t="s">
        <v>68</v>
      </c>
      <c r="K919" s="27">
        <v>55000</v>
      </c>
      <c r="L919" s="31" t="s">
        <v>769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766</v>
      </c>
      <c r="D920" s="31" t="s">
        <v>485</v>
      </c>
      <c r="E920" s="31"/>
      <c r="F920" s="31" t="s">
        <v>926</v>
      </c>
      <c r="G920" s="27">
        <v>4890</v>
      </c>
      <c r="H920" s="31" t="s">
        <v>63</v>
      </c>
      <c r="I920" s="31"/>
      <c r="J920" s="26" t="s">
        <v>768</v>
      </c>
      <c r="K920" s="27">
        <v>4890</v>
      </c>
      <c r="L920" s="31" t="s">
        <v>769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669</v>
      </c>
      <c r="D921" s="31" t="s">
        <v>912</v>
      </c>
      <c r="E921" s="31" t="s">
        <v>68</v>
      </c>
      <c r="F921" s="31" t="s">
        <v>989</v>
      </c>
      <c r="G921" s="27">
        <v>17150</v>
      </c>
      <c r="H921" s="31" t="s">
        <v>63</v>
      </c>
      <c r="I921" s="31" t="s">
        <v>1121</v>
      </c>
      <c r="J921" s="26" t="s">
        <v>68</v>
      </c>
      <c r="K921" s="27">
        <v>17150</v>
      </c>
      <c r="L921" s="31" t="s">
        <v>769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924</v>
      </c>
      <c r="D922" s="31" t="s">
        <v>22</v>
      </c>
      <c r="E922" s="31"/>
      <c r="F922" s="31" t="s">
        <v>950</v>
      </c>
      <c r="G922" s="27">
        <v>10399</v>
      </c>
      <c r="H922" s="31" t="s">
        <v>63</v>
      </c>
      <c r="I922" s="31"/>
      <c r="J922" s="26" t="s">
        <v>768</v>
      </c>
      <c r="K922" s="27">
        <v>10399</v>
      </c>
      <c r="L922" s="31" t="s">
        <v>769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669</v>
      </c>
      <c r="D923" s="31" t="s">
        <v>575</v>
      </c>
      <c r="E923" s="31" t="s">
        <v>772</v>
      </c>
      <c r="F923" s="31" t="s">
        <v>940</v>
      </c>
      <c r="G923" s="27">
        <v>3700</v>
      </c>
      <c r="H923" s="31" t="s">
        <v>63</v>
      </c>
      <c r="I923" s="31"/>
      <c r="J923" s="26" t="s">
        <v>775</v>
      </c>
      <c r="K923" s="27">
        <v>3700</v>
      </c>
      <c r="L923" s="31" t="s">
        <v>769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669</v>
      </c>
      <c r="D924" s="31" t="s">
        <v>576</v>
      </c>
      <c r="E924" s="31"/>
      <c r="F924" s="31" t="s">
        <v>576</v>
      </c>
      <c r="G924" s="27">
        <v>5100</v>
      </c>
      <c r="H924" s="31" t="s">
        <v>63</v>
      </c>
      <c r="I924" s="31"/>
      <c r="J924" s="26" t="s">
        <v>778</v>
      </c>
      <c r="K924" s="27">
        <v>5100</v>
      </c>
      <c r="L924" s="31" t="s">
        <v>769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193</v>
      </c>
      <c r="D925" s="31" t="s">
        <v>22</v>
      </c>
      <c r="E925" s="31"/>
      <c r="F925" s="31" t="s">
        <v>927</v>
      </c>
      <c r="G925" s="27">
        <v>15407</v>
      </c>
      <c r="H925" s="31" t="s">
        <v>63</v>
      </c>
      <c r="I925" s="31"/>
      <c r="J925" s="26" t="s">
        <v>768</v>
      </c>
      <c r="K925" s="27">
        <v>15407</v>
      </c>
      <c r="L925" s="31" t="s">
        <v>769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1078</v>
      </c>
      <c r="D926" s="31" t="s">
        <v>912</v>
      </c>
      <c r="E926" s="31" t="s">
        <v>68</v>
      </c>
      <c r="F926" s="31" t="s">
        <v>1133</v>
      </c>
      <c r="G926" s="27">
        <v>-558000</v>
      </c>
      <c r="H926" s="31" t="s">
        <v>63</v>
      </c>
      <c r="I926" s="31"/>
      <c r="J926" s="26" t="s">
        <v>68</v>
      </c>
      <c r="K926" s="27">
        <v>-558000</v>
      </c>
      <c r="L926" s="31" t="s">
        <v>769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669</v>
      </c>
      <c r="D927" s="31" t="s">
        <v>575</v>
      </c>
      <c r="E927" s="31" t="s">
        <v>885</v>
      </c>
      <c r="F927" s="31" t="s">
        <v>773</v>
      </c>
      <c r="G927" s="27">
        <v>4100</v>
      </c>
      <c r="H927" s="31" t="s">
        <v>63</v>
      </c>
      <c r="I927" s="31"/>
      <c r="J927" s="26" t="s">
        <v>775</v>
      </c>
      <c r="K927" s="27">
        <v>4100</v>
      </c>
      <c r="L927" s="31" t="s">
        <v>769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669</v>
      </c>
      <c r="D928" s="31" t="s">
        <v>575</v>
      </c>
      <c r="E928" s="31" t="s">
        <v>885</v>
      </c>
      <c r="F928" s="31" t="s">
        <v>773</v>
      </c>
      <c r="G928" s="27">
        <v>4400</v>
      </c>
      <c r="H928" s="31" t="s">
        <v>63</v>
      </c>
      <c r="I928" s="31"/>
      <c r="J928" s="26" t="s">
        <v>775</v>
      </c>
      <c r="K928" s="27">
        <v>4400</v>
      </c>
      <c r="L928" s="31" t="s">
        <v>769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669</v>
      </c>
      <c r="D929" s="31" t="s">
        <v>576</v>
      </c>
      <c r="E929" s="31"/>
      <c r="F929" s="31" t="s">
        <v>576</v>
      </c>
      <c r="G929" s="27">
        <v>5000</v>
      </c>
      <c r="H929" s="31" t="s">
        <v>63</v>
      </c>
      <c r="I929" s="31"/>
      <c r="J929" s="26" t="s">
        <v>778</v>
      </c>
      <c r="K929" s="27">
        <v>5000</v>
      </c>
      <c r="L929" s="31" t="s">
        <v>769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669</v>
      </c>
      <c r="D930" s="31" t="s">
        <v>575</v>
      </c>
      <c r="E930" s="31" t="s">
        <v>772</v>
      </c>
      <c r="F930" s="31" t="s">
        <v>814</v>
      </c>
      <c r="G930" s="27">
        <v>1700</v>
      </c>
      <c r="H930" s="31" t="s">
        <v>63</v>
      </c>
      <c r="I930" s="31"/>
      <c r="J930" s="26" t="s">
        <v>775</v>
      </c>
      <c r="K930" s="27">
        <v>1700</v>
      </c>
      <c r="L930" s="31" t="s">
        <v>769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669</v>
      </c>
      <c r="D931" s="31" t="s">
        <v>575</v>
      </c>
      <c r="E931" s="31" t="s">
        <v>781</v>
      </c>
      <c r="F931" s="31" t="s">
        <v>911</v>
      </c>
      <c r="G931" s="27">
        <v>9000</v>
      </c>
      <c r="H931" s="31" t="s">
        <v>63</v>
      </c>
      <c r="I931" s="31"/>
      <c r="J931" s="26" t="s">
        <v>775</v>
      </c>
      <c r="K931" s="27">
        <v>9000</v>
      </c>
      <c r="L931" s="31" t="s">
        <v>769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766</v>
      </c>
      <c r="D932" s="31" t="s">
        <v>485</v>
      </c>
      <c r="E932" s="31"/>
      <c r="F932" s="31" t="s">
        <v>486</v>
      </c>
      <c r="G932" s="27">
        <v>7890</v>
      </c>
      <c r="H932" s="31" t="s">
        <v>63</v>
      </c>
      <c r="I932" s="31"/>
      <c r="J932" s="26" t="s">
        <v>768</v>
      </c>
      <c r="K932" s="27">
        <v>7890</v>
      </c>
      <c r="L932" s="31" t="s">
        <v>769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669</v>
      </c>
      <c r="D933" s="31" t="s">
        <v>575</v>
      </c>
      <c r="E933" s="31" t="s">
        <v>772</v>
      </c>
      <c r="F933" s="31" t="s">
        <v>884</v>
      </c>
      <c r="G933" s="27">
        <v>5200</v>
      </c>
      <c r="H933" s="31" t="s">
        <v>63</v>
      </c>
      <c r="I933" s="31"/>
      <c r="J933" s="26" t="s">
        <v>775</v>
      </c>
      <c r="K933" s="27">
        <v>5200</v>
      </c>
      <c r="L933" s="31" t="s">
        <v>769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669</v>
      </c>
      <c r="D934" s="31" t="s">
        <v>576</v>
      </c>
      <c r="E934" s="31"/>
      <c r="F934" s="31" t="s">
        <v>576</v>
      </c>
      <c r="G934" s="27">
        <v>5000</v>
      </c>
      <c r="H934" s="31" t="s">
        <v>63</v>
      </c>
      <c r="I934" s="31"/>
      <c r="J934" s="26" t="s">
        <v>778</v>
      </c>
      <c r="K934" s="27">
        <v>5000</v>
      </c>
      <c r="L934" s="31" t="s">
        <v>769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669</v>
      </c>
      <c r="D935" s="31" t="s">
        <v>575</v>
      </c>
      <c r="E935" s="31" t="s">
        <v>781</v>
      </c>
      <c r="F935" s="31" t="s">
        <v>902</v>
      </c>
      <c r="G935" s="27">
        <v>11000</v>
      </c>
      <c r="H935" s="31" t="s">
        <v>63</v>
      </c>
      <c r="I935" s="31"/>
      <c r="J935" s="26" t="s">
        <v>775</v>
      </c>
      <c r="K935" s="27">
        <v>11000</v>
      </c>
      <c r="L935" s="31" t="s">
        <v>769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669</v>
      </c>
      <c r="D936" s="31" t="s">
        <v>575</v>
      </c>
      <c r="E936" s="31" t="s">
        <v>885</v>
      </c>
      <c r="F936" s="31" t="s">
        <v>991</v>
      </c>
      <c r="G936" s="27">
        <v>5400</v>
      </c>
      <c r="H936" s="31" t="s">
        <v>63</v>
      </c>
      <c r="I936" s="31"/>
      <c r="J936" s="26" t="s">
        <v>775</v>
      </c>
      <c r="K936" s="27">
        <v>5400</v>
      </c>
      <c r="L936" s="31" t="s">
        <v>769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1078</v>
      </c>
      <c r="D937" s="31" t="s">
        <v>175</v>
      </c>
      <c r="E937" s="31"/>
      <c r="F937" s="31" t="s">
        <v>81</v>
      </c>
      <c r="G937" s="27">
        <v>16000</v>
      </c>
      <c r="H937" s="31" t="s">
        <v>807</v>
      </c>
      <c r="I937" s="31"/>
      <c r="J937" s="26" t="s">
        <v>805</v>
      </c>
      <c r="K937" s="27">
        <v>16000</v>
      </c>
      <c r="L937" s="31" t="s">
        <v>769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175</v>
      </c>
      <c r="D938" s="31" t="s">
        <v>1078</v>
      </c>
      <c r="E938" s="31"/>
      <c r="F938" s="31" t="s">
        <v>81</v>
      </c>
      <c r="G938" s="27">
        <v>16000</v>
      </c>
      <c r="H938" s="31" t="s">
        <v>804</v>
      </c>
      <c r="I938" s="31"/>
      <c r="J938" s="26" t="s">
        <v>805</v>
      </c>
      <c r="K938" s="27">
        <v>16000</v>
      </c>
      <c r="L938" s="31" t="s">
        <v>769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175</v>
      </c>
      <c r="D939" s="31" t="s">
        <v>22</v>
      </c>
      <c r="E939" s="31"/>
      <c r="F939" s="31" t="s">
        <v>938</v>
      </c>
      <c r="G939" s="27">
        <v>16528</v>
      </c>
      <c r="H939" s="31" t="s">
        <v>63</v>
      </c>
      <c r="I939" s="31"/>
      <c r="J939" s="26" t="s">
        <v>768</v>
      </c>
      <c r="K939" s="27">
        <v>16528</v>
      </c>
      <c r="L939" s="31" t="s">
        <v>769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1078</v>
      </c>
      <c r="D940" s="31" t="s">
        <v>575</v>
      </c>
      <c r="E940" s="31" t="s">
        <v>781</v>
      </c>
      <c r="F940" s="31" t="s">
        <v>853</v>
      </c>
      <c r="G940" s="27">
        <v>9500</v>
      </c>
      <c r="H940" s="31" t="s">
        <v>63</v>
      </c>
      <c r="I940" s="31" t="s">
        <v>1134</v>
      </c>
      <c r="J940" s="26" t="s">
        <v>775</v>
      </c>
      <c r="K940" s="27">
        <v>9500</v>
      </c>
      <c r="L940" s="31" t="s">
        <v>769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669</v>
      </c>
      <c r="D941" s="31" t="s">
        <v>575</v>
      </c>
      <c r="E941" s="31" t="s">
        <v>772</v>
      </c>
      <c r="F941" s="31" t="s">
        <v>974</v>
      </c>
      <c r="G941" s="27">
        <v>15200</v>
      </c>
      <c r="H941" s="31" t="s">
        <v>63</v>
      </c>
      <c r="I941" s="31"/>
      <c r="J941" s="26" t="s">
        <v>775</v>
      </c>
      <c r="K941" s="27">
        <v>15200</v>
      </c>
      <c r="L941" s="31" t="s">
        <v>769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766</v>
      </c>
      <c r="D942" s="31" t="s">
        <v>576</v>
      </c>
      <c r="E942" s="31"/>
      <c r="F942" s="31" t="s">
        <v>576</v>
      </c>
      <c r="G942" s="27">
        <v>5000</v>
      </c>
      <c r="H942" s="31" t="s">
        <v>63</v>
      </c>
      <c r="I942" s="31"/>
      <c r="J942" s="26" t="s">
        <v>778</v>
      </c>
      <c r="K942" s="27">
        <v>5000</v>
      </c>
      <c r="L942" s="31" t="s">
        <v>769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1078</v>
      </c>
      <c r="D943" s="31" t="s">
        <v>22</v>
      </c>
      <c r="E943" s="31"/>
      <c r="F943" s="31" t="s">
        <v>1135</v>
      </c>
      <c r="G943" s="27">
        <v>3601</v>
      </c>
      <c r="H943" s="31" t="s">
        <v>520</v>
      </c>
      <c r="I943" s="31"/>
      <c r="J943" s="26" t="s">
        <v>824</v>
      </c>
      <c r="K943" s="27">
        <v>3601</v>
      </c>
      <c r="L943" s="31" t="s">
        <v>769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766</v>
      </c>
      <c r="D944" s="31" t="s">
        <v>22</v>
      </c>
      <c r="E944" s="31"/>
      <c r="F944" s="31" t="s">
        <v>941</v>
      </c>
      <c r="G944" s="27">
        <v>-21000</v>
      </c>
      <c r="H944" s="31" t="s">
        <v>63</v>
      </c>
      <c r="I944" s="31"/>
      <c r="J944" s="26" t="s">
        <v>849</v>
      </c>
      <c r="K944" s="27">
        <v>-21000</v>
      </c>
      <c r="L944" s="31" t="s">
        <v>769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887</v>
      </c>
      <c r="D945" s="31" t="s">
        <v>942</v>
      </c>
      <c r="E945" s="31"/>
      <c r="F945" s="31" t="s">
        <v>943</v>
      </c>
      <c r="G945" s="27">
        <v>55000</v>
      </c>
      <c r="H945" s="31" t="s">
        <v>63</v>
      </c>
      <c r="I945" s="31" t="s">
        <v>1136</v>
      </c>
      <c r="J945" s="26" t="s">
        <v>768</v>
      </c>
      <c r="K945" s="27">
        <v>55000</v>
      </c>
      <c r="L945" s="31" t="s">
        <v>769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827</v>
      </c>
      <c r="D946" s="31" t="s">
        <v>942</v>
      </c>
      <c r="E946" s="31"/>
      <c r="F946" s="31" t="s">
        <v>943</v>
      </c>
      <c r="G946" s="27">
        <v>34170</v>
      </c>
      <c r="H946" s="31" t="s">
        <v>63</v>
      </c>
      <c r="I946" s="31" t="s">
        <v>1137</v>
      </c>
      <c r="J946" s="26" t="s">
        <v>768</v>
      </c>
      <c r="K946" s="27">
        <v>34170</v>
      </c>
      <c r="L946" s="31" t="s">
        <v>769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766</v>
      </c>
      <c r="D947" s="31" t="s">
        <v>485</v>
      </c>
      <c r="E947" s="31"/>
      <c r="F947" s="31" t="s">
        <v>767</v>
      </c>
      <c r="G947" s="27">
        <v>1419</v>
      </c>
      <c r="H947" s="31" t="s">
        <v>63</v>
      </c>
      <c r="I947" s="31"/>
      <c r="J947" s="26" t="s">
        <v>768</v>
      </c>
      <c r="K947" s="27">
        <v>1419</v>
      </c>
      <c r="L947" s="31" t="s">
        <v>769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780</v>
      </c>
      <c r="D948" s="31" t="s">
        <v>575</v>
      </c>
      <c r="E948" s="31" t="s">
        <v>772</v>
      </c>
      <c r="F948" s="31" t="s">
        <v>773</v>
      </c>
      <c r="G948" s="27">
        <v>4500</v>
      </c>
      <c r="H948" s="31" t="s">
        <v>63</v>
      </c>
      <c r="I948" s="31" t="s">
        <v>1138</v>
      </c>
      <c r="J948" s="26" t="s">
        <v>775</v>
      </c>
      <c r="K948" s="27">
        <v>4500</v>
      </c>
      <c r="L948" s="31" t="s">
        <v>769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196</v>
      </c>
      <c r="D949" s="31" t="s">
        <v>22</v>
      </c>
      <c r="E949" s="31"/>
      <c r="F949" s="31" t="s">
        <v>934</v>
      </c>
      <c r="G949" s="27">
        <v>1</v>
      </c>
      <c r="H949" s="31" t="s">
        <v>520</v>
      </c>
      <c r="I949" s="31"/>
      <c r="J949" s="26" t="s">
        <v>824</v>
      </c>
      <c r="K949" s="27">
        <v>1</v>
      </c>
      <c r="L949" s="31" t="s">
        <v>769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780</v>
      </c>
      <c r="D950" s="31" t="s">
        <v>796</v>
      </c>
      <c r="E950" s="31"/>
      <c r="F950" s="31" t="s">
        <v>797</v>
      </c>
      <c r="G950" s="27">
        <v>15200</v>
      </c>
      <c r="H950" s="31" t="s">
        <v>63</v>
      </c>
      <c r="I950" s="31"/>
      <c r="J950" s="26" t="s">
        <v>775</v>
      </c>
      <c r="K950" s="27">
        <v>15200</v>
      </c>
      <c r="L950" s="31" t="s">
        <v>769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669</v>
      </c>
      <c r="D951" s="31" t="s">
        <v>575</v>
      </c>
      <c r="E951" s="31" t="s">
        <v>885</v>
      </c>
      <c r="F951" s="31" t="s">
        <v>773</v>
      </c>
      <c r="G951" s="27">
        <v>7850</v>
      </c>
      <c r="H951" s="31" t="s">
        <v>63</v>
      </c>
      <c r="I951" s="31" t="s">
        <v>1139</v>
      </c>
      <c r="J951" s="26" t="s">
        <v>775</v>
      </c>
      <c r="K951" s="27">
        <v>7850</v>
      </c>
      <c r="L951" s="31" t="s">
        <v>769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669</v>
      </c>
      <c r="D952" s="31" t="s">
        <v>576</v>
      </c>
      <c r="E952" s="31"/>
      <c r="F952" s="31" t="s">
        <v>576</v>
      </c>
      <c r="G952" s="27">
        <v>5000</v>
      </c>
      <c r="H952" s="31" t="s">
        <v>63</v>
      </c>
      <c r="I952" s="31" t="s">
        <v>1140</v>
      </c>
      <c r="J952" s="26" t="s">
        <v>778</v>
      </c>
      <c r="K952" s="27">
        <v>5000</v>
      </c>
      <c r="L952" s="31" t="s">
        <v>769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766</v>
      </c>
      <c r="D953" s="31" t="s">
        <v>485</v>
      </c>
      <c r="E953" s="31"/>
      <c r="F953" s="31" t="s">
        <v>777</v>
      </c>
      <c r="G953" s="27">
        <v>9000</v>
      </c>
      <c r="H953" s="31" t="s">
        <v>63</v>
      </c>
      <c r="I953" s="31"/>
      <c r="J953" s="26" t="s">
        <v>768</v>
      </c>
      <c r="K953" s="27">
        <v>9000</v>
      </c>
      <c r="L953" s="31" t="s">
        <v>769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780</v>
      </c>
      <c r="D954" s="31" t="s">
        <v>575</v>
      </c>
      <c r="E954" s="31" t="s">
        <v>772</v>
      </c>
      <c r="F954" s="31" t="s">
        <v>884</v>
      </c>
      <c r="G954" s="27">
        <v>5900</v>
      </c>
      <c r="H954" s="31" t="s">
        <v>63</v>
      </c>
      <c r="I954" s="31"/>
      <c r="J954" s="26" t="s">
        <v>775</v>
      </c>
      <c r="K954" s="27">
        <v>5900</v>
      </c>
      <c r="L954" s="31" t="s">
        <v>769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780</v>
      </c>
      <c r="D955" s="31" t="s">
        <v>575</v>
      </c>
      <c r="E955" s="31" t="s">
        <v>772</v>
      </c>
      <c r="F955" s="31" t="s">
        <v>773</v>
      </c>
      <c r="G955" s="27">
        <v>2300</v>
      </c>
      <c r="H955" s="31" t="s">
        <v>63</v>
      </c>
      <c r="I955" s="31" t="s">
        <v>859</v>
      </c>
      <c r="J955" s="26" t="s">
        <v>775</v>
      </c>
      <c r="K955" s="27">
        <v>2300</v>
      </c>
      <c r="L955" s="31" t="s">
        <v>769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852</v>
      </c>
      <c r="D956" s="31" t="s">
        <v>575</v>
      </c>
      <c r="E956" s="31" t="s">
        <v>792</v>
      </c>
      <c r="F956" s="31" t="s">
        <v>853</v>
      </c>
      <c r="G956" s="27">
        <v>12220</v>
      </c>
      <c r="H956" s="31" t="s">
        <v>63</v>
      </c>
      <c r="I956" s="31" t="s">
        <v>1141</v>
      </c>
      <c r="J956" s="26" t="s">
        <v>775</v>
      </c>
      <c r="K956" s="27">
        <v>12220</v>
      </c>
      <c r="L956" s="31" t="s">
        <v>769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780</v>
      </c>
      <c r="D957" s="31" t="s">
        <v>575</v>
      </c>
      <c r="E957" s="31" t="s">
        <v>772</v>
      </c>
      <c r="F957" s="31" t="s">
        <v>773</v>
      </c>
      <c r="G957" s="27">
        <v>5900</v>
      </c>
      <c r="H957" s="31" t="s">
        <v>63</v>
      </c>
      <c r="I957" s="31" t="s">
        <v>1142</v>
      </c>
      <c r="J957" s="26" t="s">
        <v>775</v>
      </c>
      <c r="K957" s="27">
        <v>5900</v>
      </c>
      <c r="L957" s="31" t="s">
        <v>769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780</v>
      </c>
      <c r="D958" s="31" t="s">
        <v>575</v>
      </c>
      <c r="E958" s="31" t="s">
        <v>885</v>
      </c>
      <c r="F958" s="31" t="s">
        <v>773</v>
      </c>
      <c r="G958" s="27">
        <v>4800</v>
      </c>
      <c r="H958" s="31" t="s">
        <v>63</v>
      </c>
      <c r="I958" s="31" t="s">
        <v>1110</v>
      </c>
      <c r="J958" s="26" t="s">
        <v>775</v>
      </c>
      <c r="K958" s="27">
        <v>4800</v>
      </c>
      <c r="L958" s="31" t="s">
        <v>769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780</v>
      </c>
      <c r="D959" s="31" t="s">
        <v>576</v>
      </c>
      <c r="E959" s="31"/>
      <c r="F959" s="31" t="s">
        <v>576</v>
      </c>
      <c r="G959" s="27">
        <v>5000</v>
      </c>
      <c r="H959" s="31" t="s">
        <v>63</v>
      </c>
      <c r="I959" s="31"/>
      <c r="J959" s="26" t="s">
        <v>778</v>
      </c>
      <c r="K959" s="27">
        <v>5000</v>
      </c>
      <c r="L959" s="31" t="s">
        <v>769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669</v>
      </c>
      <c r="D960" s="31" t="s">
        <v>840</v>
      </c>
      <c r="E960" s="31"/>
      <c r="F960" s="31" t="s">
        <v>825</v>
      </c>
      <c r="G960" s="27">
        <v>99000</v>
      </c>
      <c r="H960" s="31" t="s">
        <v>63</v>
      </c>
      <c r="I960" s="31" t="s">
        <v>1143</v>
      </c>
      <c r="J960" s="26" t="s">
        <v>787</v>
      </c>
      <c r="K960" s="27">
        <v>99000</v>
      </c>
      <c r="L960" s="31" t="s">
        <v>769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852</v>
      </c>
      <c r="D961" s="31" t="s">
        <v>575</v>
      </c>
      <c r="E961" s="31" t="s">
        <v>792</v>
      </c>
      <c r="F961" s="31" t="s">
        <v>853</v>
      </c>
      <c r="G961" s="27">
        <v>9000</v>
      </c>
      <c r="H961" s="31" t="s">
        <v>63</v>
      </c>
      <c r="I961" s="31" t="s">
        <v>995</v>
      </c>
      <c r="J961" s="26" t="s">
        <v>775</v>
      </c>
      <c r="K961" s="27">
        <v>9000</v>
      </c>
      <c r="L961" s="31" t="s">
        <v>769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780</v>
      </c>
      <c r="D962" s="31" t="s">
        <v>575</v>
      </c>
      <c r="E962" s="31" t="s">
        <v>772</v>
      </c>
      <c r="F962" s="31" t="s">
        <v>773</v>
      </c>
      <c r="G962" s="27">
        <v>5800</v>
      </c>
      <c r="H962" s="31" t="s">
        <v>63</v>
      </c>
      <c r="I962" s="31" t="s">
        <v>859</v>
      </c>
      <c r="J962" s="26" t="s">
        <v>775</v>
      </c>
      <c r="K962" s="27">
        <v>5800</v>
      </c>
      <c r="L962" s="31" t="s">
        <v>769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780</v>
      </c>
      <c r="D963" s="31" t="s">
        <v>576</v>
      </c>
      <c r="E963" s="31"/>
      <c r="F963" s="31" t="s">
        <v>576</v>
      </c>
      <c r="G963" s="27">
        <v>5000</v>
      </c>
      <c r="H963" s="31" t="s">
        <v>63</v>
      </c>
      <c r="I963" s="31"/>
      <c r="J963" s="26" t="s">
        <v>778</v>
      </c>
      <c r="K963" s="27">
        <v>5000</v>
      </c>
      <c r="L963" s="31" t="s">
        <v>769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780</v>
      </c>
      <c r="D964" s="31" t="s">
        <v>575</v>
      </c>
      <c r="E964" s="31" t="s">
        <v>885</v>
      </c>
      <c r="F964" s="31" t="s">
        <v>773</v>
      </c>
      <c r="G964" s="27">
        <v>1800</v>
      </c>
      <c r="H964" s="31" t="s">
        <v>63</v>
      </c>
      <c r="I964" s="31" t="s">
        <v>1144</v>
      </c>
      <c r="J964" s="26" t="s">
        <v>775</v>
      </c>
      <c r="K964" s="27">
        <v>1800</v>
      </c>
      <c r="L964" s="31" t="s">
        <v>769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780</v>
      </c>
      <c r="D965" s="31" t="s">
        <v>576</v>
      </c>
      <c r="E965" s="31"/>
      <c r="F965" s="31" t="s">
        <v>576</v>
      </c>
      <c r="G965" s="27">
        <v>5000</v>
      </c>
      <c r="H965" s="31" t="s">
        <v>63</v>
      </c>
      <c r="I965" s="31"/>
      <c r="J965" s="26" t="s">
        <v>778</v>
      </c>
      <c r="K965" s="27">
        <v>5000</v>
      </c>
      <c r="L965" s="31" t="s">
        <v>769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780</v>
      </c>
      <c r="D966" s="31" t="s">
        <v>575</v>
      </c>
      <c r="E966" s="31" t="s">
        <v>772</v>
      </c>
      <c r="F966" s="31" t="s">
        <v>814</v>
      </c>
      <c r="G966" s="27">
        <v>3700</v>
      </c>
      <c r="H966" s="31" t="s">
        <v>63</v>
      </c>
      <c r="I966" s="31"/>
      <c r="J966" s="26" t="s">
        <v>775</v>
      </c>
      <c r="K966" s="27">
        <v>3700</v>
      </c>
      <c r="L966" s="31" t="s">
        <v>769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766</v>
      </c>
      <c r="D967" s="31" t="s">
        <v>485</v>
      </c>
      <c r="E967" s="31"/>
      <c r="F967" s="31" t="s">
        <v>691</v>
      </c>
      <c r="G967" s="27">
        <v>1800</v>
      </c>
      <c r="H967" s="31" t="s">
        <v>63</v>
      </c>
      <c r="I967" s="31" t="s">
        <v>810</v>
      </c>
      <c r="J967" s="26" t="s">
        <v>768</v>
      </c>
      <c r="K967" s="27">
        <v>1800</v>
      </c>
      <c r="L967" s="31" t="s">
        <v>769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766</v>
      </c>
      <c r="D968" s="31" t="s">
        <v>485</v>
      </c>
      <c r="E968" s="31"/>
      <c r="F968" s="31" t="s">
        <v>808</v>
      </c>
      <c r="G968" s="27">
        <v>8550</v>
      </c>
      <c r="H968" s="31" t="s">
        <v>63</v>
      </c>
      <c r="I968" s="31"/>
      <c r="J968" s="26" t="s">
        <v>768</v>
      </c>
      <c r="K968" s="27">
        <v>8550</v>
      </c>
      <c r="L968" s="31" t="s">
        <v>769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780</v>
      </c>
      <c r="D969" s="31" t="s">
        <v>575</v>
      </c>
      <c r="E969" s="31" t="s">
        <v>781</v>
      </c>
      <c r="F969" s="31" t="s">
        <v>1098</v>
      </c>
      <c r="G969" s="27">
        <v>10000</v>
      </c>
      <c r="H969" s="31" t="s">
        <v>63</v>
      </c>
      <c r="I969" s="31"/>
      <c r="J969" s="26" t="s">
        <v>775</v>
      </c>
      <c r="K969" s="27">
        <v>10000</v>
      </c>
      <c r="L969" s="31" t="s">
        <v>769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780</v>
      </c>
      <c r="D970" s="31" t="s">
        <v>575</v>
      </c>
      <c r="E970" s="31" t="s">
        <v>772</v>
      </c>
      <c r="F970" s="31" t="s">
        <v>773</v>
      </c>
      <c r="G970" s="27">
        <v>2500</v>
      </c>
      <c r="H970" s="31" t="s">
        <v>63</v>
      </c>
      <c r="I970" s="31" t="s">
        <v>1145</v>
      </c>
      <c r="J970" s="26" t="s">
        <v>775</v>
      </c>
      <c r="K970" s="27">
        <v>2500</v>
      </c>
      <c r="L970" s="31" t="s">
        <v>769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780</v>
      </c>
      <c r="D971" s="31" t="s">
        <v>811</v>
      </c>
      <c r="E971" s="31"/>
      <c r="F971" s="31" t="s">
        <v>1146</v>
      </c>
      <c r="G971" s="27">
        <v>12020</v>
      </c>
      <c r="H971" s="31" t="s">
        <v>63</v>
      </c>
      <c r="I971" s="31" t="s">
        <v>619</v>
      </c>
      <c r="J971" s="26" t="s">
        <v>768</v>
      </c>
      <c r="K971" s="27">
        <v>12020</v>
      </c>
      <c r="L971" s="31" t="s">
        <v>769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852</v>
      </c>
      <c r="D972" s="31" t="s">
        <v>811</v>
      </c>
      <c r="E972" s="31"/>
      <c r="F972" s="31" t="s">
        <v>488</v>
      </c>
      <c r="G972" s="27">
        <v>6930</v>
      </c>
      <c r="H972" s="31" t="s">
        <v>63</v>
      </c>
      <c r="I972" s="31"/>
      <c r="J972" s="26" t="s">
        <v>775</v>
      </c>
      <c r="K972" s="27">
        <v>6930</v>
      </c>
      <c r="L972" s="31" t="s">
        <v>769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780</v>
      </c>
      <c r="D973" s="31" t="s">
        <v>575</v>
      </c>
      <c r="E973" s="31" t="s">
        <v>885</v>
      </c>
      <c r="F973" s="31" t="s">
        <v>773</v>
      </c>
      <c r="G973" s="27">
        <v>4400</v>
      </c>
      <c r="H973" s="31" t="s">
        <v>63</v>
      </c>
      <c r="I973" s="31" t="s">
        <v>1147</v>
      </c>
      <c r="J973" s="26" t="s">
        <v>775</v>
      </c>
      <c r="K973" s="27">
        <v>4400</v>
      </c>
      <c r="L973" s="31" t="s">
        <v>769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780</v>
      </c>
      <c r="D974" s="31" t="s">
        <v>796</v>
      </c>
      <c r="E974" s="31"/>
      <c r="F974" s="31" t="s">
        <v>797</v>
      </c>
      <c r="G974" s="27">
        <v>14000</v>
      </c>
      <c r="H974" s="31" t="s">
        <v>63</v>
      </c>
      <c r="I974" s="31"/>
      <c r="J974" s="26" t="s">
        <v>775</v>
      </c>
      <c r="K974" s="27">
        <v>14000</v>
      </c>
      <c r="L974" s="31" t="s">
        <v>769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780</v>
      </c>
      <c r="D975" s="31" t="s">
        <v>576</v>
      </c>
      <c r="E975" s="31"/>
      <c r="F975" s="31" t="s">
        <v>576</v>
      </c>
      <c r="G975" s="27">
        <v>5000</v>
      </c>
      <c r="H975" s="31" t="s">
        <v>63</v>
      </c>
      <c r="I975" s="31"/>
      <c r="J975" s="26" t="s">
        <v>778</v>
      </c>
      <c r="K975" s="27">
        <v>5000</v>
      </c>
      <c r="L975" s="31" t="s">
        <v>769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1078</v>
      </c>
      <c r="D976" s="31" t="s">
        <v>817</v>
      </c>
      <c r="E976" s="31"/>
      <c r="F976" s="31" t="s">
        <v>82</v>
      </c>
      <c r="G976" s="27">
        <v>550000</v>
      </c>
      <c r="H976" s="31" t="s">
        <v>63</v>
      </c>
      <c r="I976" s="31"/>
      <c r="J976" s="26" t="s">
        <v>768</v>
      </c>
      <c r="K976" s="27">
        <v>550000</v>
      </c>
      <c r="L976" s="31" t="s">
        <v>769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196</v>
      </c>
      <c r="D977" s="31" t="s">
        <v>22</v>
      </c>
      <c r="E977" s="31"/>
      <c r="F977" s="31" t="s">
        <v>70</v>
      </c>
      <c r="G977" s="27">
        <v>50000</v>
      </c>
      <c r="H977" s="31" t="s">
        <v>520</v>
      </c>
      <c r="I977" s="31"/>
      <c r="J977" s="26" t="s">
        <v>70</v>
      </c>
      <c r="K977" s="27">
        <v>50000</v>
      </c>
      <c r="L977" s="31" t="s">
        <v>769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196</v>
      </c>
      <c r="D978" s="31" t="s">
        <v>22</v>
      </c>
      <c r="E978" s="31"/>
      <c r="F978" s="31" t="s">
        <v>1007</v>
      </c>
      <c r="G978" s="27">
        <v>40</v>
      </c>
      <c r="H978" s="31" t="s">
        <v>520</v>
      </c>
      <c r="I978" s="31"/>
      <c r="J978" s="26" t="s">
        <v>824</v>
      </c>
      <c r="K978" s="27">
        <v>40</v>
      </c>
      <c r="L978" s="31" t="s">
        <v>769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780</v>
      </c>
      <c r="D979" s="31" t="s">
        <v>576</v>
      </c>
      <c r="E979" s="31"/>
      <c r="F979" s="31" t="s">
        <v>576</v>
      </c>
      <c r="G979" s="27">
        <v>5000</v>
      </c>
      <c r="H979" s="31" t="s">
        <v>63</v>
      </c>
      <c r="I979" s="31"/>
      <c r="J979" s="26" t="s">
        <v>778</v>
      </c>
      <c r="K979" s="27">
        <v>5000</v>
      </c>
      <c r="L979" s="31" t="s">
        <v>769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780</v>
      </c>
      <c r="D980" s="31" t="s">
        <v>575</v>
      </c>
      <c r="E980" s="31" t="s">
        <v>781</v>
      </c>
      <c r="F980" s="31" t="s">
        <v>1148</v>
      </c>
      <c r="G980" s="27">
        <v>11000</v>
      </c>
      <c r="H980" s="31" t="s">
        <v>63</v>
      </c>
      <c r="I980" s="31"/>
      <c r="J980" s="26" t="s">
        <v>775</v>
      </c>
      <c r="K980" s="27">
        <v>11000</v>
      </c>
      <c r="L980" s="31" t="s">
        <v>769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780</v>
      </c>
      <c r="D981" s="31" t="s">
        <v>575</v>
      </c>
      <c r="E981" s="31" t="s">
        <v>772</v>
      </c>
      <c r="F981" s="31" t="s">
        <v>814</v>
      </c>
      <c r="G981" s="27">
        <v>5400</v>
      </c>
      <c r="H981" s="31" t="s">
        <v>63</v>
      </c>
      <c r="I981" s="31"/>
      <c r="J981" s="26" t="s">
        <v>775</v>
      </c>
      <c r="K981" s="27">
        <v>5400</v>
      </c>
      <c r="L981" s="31" t="s">
        <v>769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1078</v>
      </c>
      <c r="D982" s="31" t="s">
        <v>181</v>
      </c>
      <c r="E982" s="31"/>
      <c r="F982" s="31" t="s">
        <v>81</v>
      </c>
      <c r="G982" s="27">
        <v>35000</v>
      </c>
      <c r="H982" s="31" t="s">
        <v>807</v>
      </c>
      <c r="I982" s="31"/>
      <c r="J982" s="26" t="s">
        <v>805</v>
      </c>
      <c r="K982" s="27">
        <v>35000</v>
      </c>
      <c r="L982" s="31" t="s">
        <v>769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181</v>
      </c>
      <c r="D983" s="31" t="s">
        <v>1078</v>
      </c>
      <c r="E983" s="31"/>
      <c r="F983" s="31" t="s">
        <v>81</v>
      </c>
      <c r="G983" s="27">
        <v>35000</v>
      </c>
      <c r="H983" s="31" t="s">
        <v>804</v>
      </c>
      <c r="I983" s="31"/>
      <c r="J983" s="26" t="s">
        <v>805</v>
      </c>
      <c r="K983" s="27">
        <v>35000</v>
      </c>
      <c r="L983" s="31" t="s">
        <v>769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780</v>
      </c>
      <c r="D984" s="31" t="s">
        <v>817</v>
      </c>
      <c r="E984" s="31"/>
      <c r="F984" s="31" t="s">
        <v>850</v>
      </c>
      <c r="G984" s="27">
        <v>24723</v>
      </c>
      <c r="H984" s="31" t="s">
        <v>63</v>
      </c>
      <c r="I984" s="31"/>
      <c r="J984" s="26" t="s">
        <v>768</v>
      </c>
      <c r="K984" s="27">
        <v>24723</v>
      </c>
      <c r="L984" s="31" t="s">
        <v>769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181</v>
      </c>
      <c r="D985" s="31" t="s">
        <v>827</v>
      </c>
      <c r="E985" s="31"/>
      <c r="F985" s="31" t="s">
        <v>828</v>
      </c>
      <c r="G985" s="27">
        <v>34170</v>
      </c>
      <c r="H985" s="31" t="s">
        <v>807</v>
      </c>
      <c r="I985" s="31"/>
      <c r="J985" s="26" t="s">
        <v>805</v>
      </c>
      <c r="K985" s="27">
        <v>34170</v>
      </c>
      <c r="L985" s="31" t="s">
        <v>769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827</v>
      </c>
      <c r="D986" s="31" t="s">
        <v>181</v>
      </c>
      <c r="E986" s="31"/>
      <c r="F986" s="31" t="s">
        <v>828</v>
      </c>
      <c r="G986" s="27">
        <v>34170</v>
      </c>
      <c r="H986" s="31" t="s">
        <v>804</v>
      </c>
      <c r="I986" s="31"/>
      <c r="J986" s="26" t="s">
        <v>805</v>
      </c>
      <c r="K986" s="27">
        <v>34170</v>
      </c>
      <c r="L986" s="31" t="s">
        <v>769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1078</v>
      </c>
      <c r="D987" s="31" t="s">
        <v>181</v>
      </c>
      <c r="E987" s="31"/>
      <c r="F987" s="31" t="s">
        <v>81</v>
      </c>
      <c r="G987" s="27">
        <v>830</v>
      </c>
      <c r="H987" s="31" t="s">
        <v>804</v>
      </c>
      <c r="I987" s="31"/>
      <c r="J987" s="26" t="s">
        <v>805</v>
      </c>
      <c r="K987" s="27">
        <v>830</v>
      </c>
      <c r="L987" s="31" t="s">
        <v>769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181</v>
      </c>
      <c r="D988" s="31" t="s">
        <v>1078</v>
      </c>
      <c r="E988" s="31"/>
      <c r="F988" s="31" t="s">
        <v>81</v>
      </c>
      <c r="G988" s="27">
        <v>830</v>
      </c>
      <c r="H988" s="31" t="s">
        <v>807</v>
      </c>
      <c r="I988" s="31"/>
      <c r="J988" s="26" t="s">
        <v>805</v>
      </c>
      <c r="K988" s="27">
        <v>830</v>
      </c>
      <c r="L988" s="31" t="s">
        <v>769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780</v>
      </c>
      <c r="D989" s="31" t="s">
        <v>576</v>
      </c>
      <c r="E989" s="31"/>
      <c r="F989" s="31" t="s">
        <v>576</v>
      </c>
      <c r="G989" s="27">
        <v>5000</v>
      </c>
      <c r="H989" s="31" t="s">
        <v>63</v>
      </c>
      <c r="I989" s="31"/>
      <c r="J989" s="26" t="s">
        <v>778</v>
      </c>
      <c r="K989" s="27">
        <v>5000</v>
      </c>
      <c r="L989" s="31" t="s">
        <v>769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780</v>
      </c>
      <c r="D990" s="31" t="s">
        <v>575</v>
      </c>
      <c r="E990" s="31" t="s">
        <v>885</v>
      </c>
      <c r="F990" s="31" t="s">
        <v>773</v>
      </c>
      <c r="G990" s="27">
        <v>4800</v>
      </c>
      <c r="H990" s="31" t="s">
        <v>63</v>
      </c>
      <c r="I990" s="31" t="s">
        <v>1149</v>
      </c>
      <c r="J990" s="26" t="s">
        <v>775</v>
      </c>
      <c r="K990" s="27">
        <v>4800</v>
      </c>
      <c r="L990" s="31" t="s">
        <v>769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780</v>
      </c>
      <c r="D991" s="31" t="s">
        <v>840</v>
      </c>
      <c r="E991" s="31"/>
      <c r="F991" s="31" t="s">
        <v>937</v>
      </c>
      <c r="G991" s="27">
        <v>49900</v>
      </c>
      <c r="H991" s="31" t="s">
        <v>63</v>
      </c>
      <c r="I991" s="31" t="s">
        <v>1143</v>
      </c>
      <c r="J991" s="26" t="s">
        <v>787</v>
      </c>
      <c r="K991" s="27">
        <v>49900</v>
      </c>
      <c r="L991" s="31" t="s">
        <v>769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852</v>
      </c>
      <c r="D992" s="31" t="s">
        <v>811</v>
      </c>
      <c r="E992" s="31"/>
      <c r="F992" s="31" t="s">
        <v>488</v>
      </c>
      <c r="G992" s="27">
        <v>29600</v>
      </c>
      <c r="H992" s="31" t="s">
        <v>63</v>
      </c>
      <c r="I992" s="31" t="s">
        <v>1150</v>
      </c>
      <c r="J992" s="26" t="s">
        <v>775</v>
      </c>
      <c r="K992" s="27">
        <v>29600</v>
      </c>
      <c r="L992" s="31" t="s">
        <v>769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852</v>
      </c>
      <c r="D993" s="31" t="s">
        <v>575</v>
      </c>
      <c r="E993" s="31" t="s">
        <v>792</v>
      </c>
      <c r="F993" s="31" t="s">
        <v>853</v>
      </c>
      <c r="G993" s="27">
        <v>15300</v>
      </c>
      <c r="H993" s="31" t="s">
        <v>63</v>
      </c>
      <c r="I993" s="31" t="s">
        <v>857</v>
      </c>
      <c r="J993" s="26" t="s">
        <v>775</v>
      </c>
      <c r="K993" s="27">
        <v>15300</v>
      </c>
      <c r="L993" s="31" t="s">
        <v>769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780</v>
      </c>
      <c r="D994" s="31" t="s">
        <v>576</v>
      </c>
      <c r="E994" s="31"/>
      <c r="F994" s="31" t="s">
        <v>576</v>
      </c>
      <c r="G994" s="27">
        <v>5000</v>
      </c>
      <c r="H994" s="31" t="s">
        <v>63</v>
      </c>
      <c r="I994" s="31"/>
      <c r="J994" s="26" t="s">
        <v>778</v>
      </c>
      <c r="K994" s="27">
        <v>5000</v>
      </c>
      <c r="L994" s="31" t="s">
        <v>769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669</v>
      </c>
      <c r="D995" s="31" t="s">
        <v>575</v>
      </c>
      <c r="E995" s="31" t="s">
        <v>772</v>
      </c>
      <c r="F995" s="31" t="s">
        <v>773</v>
      </c>
      <c r="G995" s="27">
        <v>2300</v>
      </c>
      <c r="H995" s="31" t="s">
        <v>63</v>
      </c>
      <c r="I995" s="31" t="s">
        <v>1151</v>
      </c>
      <c r="J995" s="26" t="s">
        <v>775</v>
      </c>
      <c r="K995" s="27">
        <v>2300</v>
      </c>
      <c r="L995" s="31" t="s">
        <v>769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193</v>
      </c>
      <c r="D996" s="31" t="s">
        <v>22</v>
      </c>
      <c r="E996" s="31"/>
      <c r="F996" s="31" t="s">
        <v>1152</v>
      </c>
      <c r="G996" s="27">
        <v>27</v>
      </c>
      <c r="H996" s="31" t="s">
        <v>520</v>
      </c>
      <c r="I996" s="31"/>
      <c r="J996" s="26" t="s">
        <v>824</v>
      </c>
      <c r="K996" s="27">
        <v>27</v>
      </c>
      <c r="L996" s="31" t="s">
        <v>769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852</v>
      </c>
      <c r="D997" s="31" t="s">
        <v>575</v>
      </c>
      <c r="E997" s="31" t="s">
        <v>785</v>
      </c>
      <c r="F997" s="31" t="s">
        <v>488</v>
      </c>
      <c r="G997" s="27">
        <v>8590</v>
      </c>
      <c r="H997" s="31" t="s">
        <v>63</v>
      </c>
      <c r="I997" s="31" t="s">
        <v>1009</v>
      </c>
      <c r="J997" s="26" t="s">
        <v>775</v>
      </c>
      <c r="K997" s="27">
        <v>8590</v>
      </c>
      <c r="L997" s="31" t="s">
        <v>769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780</v>
      </c>
      <c r="D998" s="31" t="s">
        <v>575</v>
      </c>
      <c r="E998" s="31" t="s">
        <v>785</v>
      </c>
      <c r="F998" s="31" t="s">
        <v>773</v>
      </c>
      <c r="G998" s="27">
        <v>1000</v>
      </c>
      <c r="H998" s="31" t="s">
        <v>63</v>
      </c>
      <c r="I998" s="31" t="s">
        <v>1009</v>
      </c>
      <c r="J998" s="26" t="s">
        <v>775</v>
      </c>
      <c r="K998" s="27">
        <v>1000</v>
      </c>
      <c r="L998" s="31" t="s">
        <v>769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780</v>
      </c>
      <c r="D999" s="31" t="s">
        <v>576</v>
      </c>
      <c r="E999" s="31"/>
      <c r="F999" s="31" t="s">
        <v>576</v>
      </c>
      <c r="G999" s="27">
        <v>5000</v>
      </c>
      <c r="H999" s="31" t="s">
        <v>63</v>
      </c>
      <c r="I999" s="31"/>
      <c r="J999" s="26" t="s">
        <v>778</v>
      </c>
      <c r="K999" s="27">
        <v>5000</v>
      </c>
      <c r="L999" s="31" t="s">
        <v>769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780</v>
      </c>
      <c r="D1000" s="31" t="s">
        <v>575</v>
      </c>
      <c r="E1000" s="31" t="s">
        <v>772</v>
      </c>
      <c r="F1000" s="31" t="s">
        <v>773</v>
      </c>
      <c r="G1000" s="27">
        <v>4080</v>
      </c>
      <c r="H1000" s="31" t="s">
        <v>63</v>
      </c>
      <c r="I1000" s="31" t="s">
        <v>794</v>
      </c>
      <c r="J1000" s="26" t="s">
        <v>775</v>
      </c>
      <c r="K1000" s="27">
        <v>4080</v>
      </c>
      <c r="L1000" s="31" t="s">
        <v>769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780</v>
      </c>
      <c r="D1001" s="31" t="s">
        <v>796</v>
      </c>
      <c r="E1001" s="31"/>
      <c r="F1001" s="31" t="s">
        <v>797</v>
      </c>
      <c r="G1001" s="27">
        <v>5000</v>
      </c>
      <c r="H1001" s="31" t="s">
        <v>63</v>
      </c>
      <c r="I1001" s="31" t="s">
        <v>148</v>
      </c>
      <c r="J1001" s="26" t="s">
        <v>775</v>
      </c>
      <c r="K1001" s="27">
        <v>5000</v>
      </c>
      <c r="L1001" s="31" t="s">
        <v>769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1078</v>
      </c>
      <c r="D1002" s="31" t="s">
        <v>22</v>
      </c>
      <c r="E1002" s="31"/>
      <c r="F1002" s="31" t="s">
        <v>1135</v>
      </c>
      <c r="G1002" s="27">
        <v>2867</v>
      </c>
      <c r="H1002" s="31" t="s">
        <v>520</v>
      </c>
      <c r="I1002" s="31"/>
      <c r="J1002" s="26" t="s">
        <v>824</v>
      </c>
      <c r="K1002" s="27">
        <v>2867</v>
      </c>
      <c r="L1002" s="31" t="s">
        <v>769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780</v>
      </c>
      <c r="D1003" s="31" t="s">
        <v>912</v>
      </c>
      <c r="E1003" s="31" t="s">
        <v>580</v>
      </c>
      <c r="F1003" s="31" t="s">
        <v>1153</v>
      </c>
      <c r="G1003" s="27">
        <v>62500</v>
      </c>
      <c r="H1003" s="31" t="s">
        <v>63</v>
      </c>
      <c r="I1003" s="31" t="s">
        <v>1154</v>
      </c>
      <c r="J1003" s="26" t="s">
        <v>783</v>
      </c>
      <c r="K1003" s="27">
        <v>62500</v>
      </c>
      <c r="L1003" s="31" t="s">
        <v>769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780</v>
      </c>
      <c r="D1004" s="31" t="s">
        <v>906</v>
      </c>
      <c r="E1004" s="31"/>
      <c r="F1004" s="31" t="s">
        <v>1020</v>
      </c>
      <c r="G1004" s="27">
        <v>26000</v>
      </c>
      <c r="H1004" s="31" t="s">
        <v>63</v>
      </c>
      <c r="I1004" s="31"/>
      <c r="J1004" s="26" t="s">
        <v>775</v>
      </c>
      <c r="K1004" s="27">
        <v>26000</v>
      </c>
      <c r="L1004" s="31" t="s">
        <v>769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780</v>
      </c>
      <c r="D1005" s="31" t="s">
        <v>576</v>
      </c>
      <c r="E1005" s="31"/>
      <c r="F1005" s="31" t="s">
        <v>576</v>
      </c>
      <c r="G1005" s="27">
        <v>5000</v>
      </c>
      <c r="H1005" s="31" t="s">
        <v>63</v>
      </c>
      <c r="I1005" s="31"/>
      <c r="J1005" s="26" t="s">
        <v>778</v>
      </c>
      <c r="K1005" s="27">
        <v>5000</v>
      </c>
      <c r="L1005" s="31" t="s">
        <v>769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780</v>
      </c>
      <c r="D1006" s="31" t="s">
        <v>912</v>
      </c>
      <c r="E1006" s="31" t="s">
        <v>580</v>
      </c>
      <c r="F1006" s="31" t="s">
        <v>1155</v>
      </c>
      <c r="G1006" s="27">
        <v>16600</v>
      </c>
      <c r="H1006" s="31" t="s">
        <v>63</v>
      </c>
      <c r="I1006" s="31" t="s">
        <v>1154</v>
      </c>
      <c r="J1006" s="26" t="s">
        <v>783</v>
      </c>
      <c r="K1006" s="27">
        <v>16600</v>
      </c>
      <c r="L1006" s="31" t="s">
        <v>769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780</v>
      </c>
      <c r="D1007" s="31" t="s">
        <v>843</v>
      </c>
      <c r="E1007" s="31" t="s">
        <v>844</v>
      </c>
      <c r="F1007" s="31" t="s">
        <v>1156</v>
      </c>
      <c r="G1007" s="27">
        <v>18000</v>
      </c>
      <c r="H1007" s="31" t="s">
        <v>63</v>
      </c>
      <c r="I1007" s="31"/>
      <c r="J1007" s="26" t="s">
        <v>775</v>
      </c>
      <c r="K1007" s="27">
        <v>18000</v>
      </c>
      <c r="L1007" s="31" t="s">
        <v>769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852</v>
      </c>
      <c r="D1008" s="31" t="s">
        <v>575</v>
      </c>
      <c r="E1008" s="31" t="s">
        <v>781</v>
      </c>
      <c r="F1008" s="31" t="s">
        <v>853</v>
      </c>
      <c r="G1008" s="27">
        <v>15000</v>
      </c>
      <c r="H1008" s="31" t="s">
        <v>63</v>
      </c>
      <c r="I1008" s="31" t="s">
        <v>1157</v>
      </c>
      <c r="J1008" s="26" t="s">
        <v>775</v>
      </c>
      <c r="K1008" s="27">
        <v>15000</v>
      </c>
      <c r="L1008" s="31" t="s">
        <v>769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780</v>
      </c>
      <c r="D1009" s="31" t="s">
        <v>576</v>
      </c>
      <c r="E1009" s="31"/>
      <c r="F1009" s="31" t="s">
        <v>576</v>
      </c>
      <c r="G1009" s="27">
        <v>5000</v>
      </c>
      <c r="H1009" s="31" t="s">
        <v>63</v>
      </c>
      <c r="I1009" s="31"/>
      <c r="J1009" s="26" t="s">
        <v>778</v>
      </c>
      <c r="K1009" s="27">
        <v>5000</v>
      </c>
      <c r="L1009" s="31" t="s">
        <v>769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780</v>
      </c>
      <c r="D1010" s="31" t="s">
        <v>843</v>
      </c>
      <c r="E1010" s="31" t="s">
        <v>844</v>
      </c>
      <c r="F1010" s="31" t="s">
        <v>1158</v>
      </c>
      <c r="G1010" s="27">
        <v>18200</v>
      </c>
      <c r="H1010" s="31" t="s">
        <v>63</v>
      </c>
      <c r="I1010" s="31" t="s">
        <v>1159</v>
      </c>
      <c r="J1010" s="26" t="s">
        <v>775</v>
      </c>
      <c r="K1010" s="27">
        <v>18200</v>
      </c>
      <c r="L1010" s="31" t="s">
        <v>769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780</v>
      </c>
      <c r="D1011" s="31" t="s">
        <v>906</v>
      </c>
      <c r="E1011" s="31"/>
      <c r="F1011" s="31" t="s">
        <v>1160</v>
      </c>
      <c r="G1011" s="27">
        <v>3200</v>
      </c>
      <c r="H1011" s="31" t="s">
        <v>63</v>
      </c>
      <c r="I1011" s="31" t="s">
        <v>1161</v>
      </c>
      <c r="J1011" s="26" t="s">
        <v>775</v>
      </c>
      <c r="K1011" s="27">
        <v>3200</v>
      </c>
      <c r="L1011" s="31" t="s">
        <v>769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780</v>
      </c>
      <c r="D1012" s="31" t="s">
        <v>796</v>
      </c>
      <c r="E1012" s="31"/>
      <c r="F1012" s="31" t="s">
        <v>797</v>
      </c>
      <c r="G1012" s="27">
        <v>4000</v>
      </c>
      <c r="H1012" s="31" t="s">
        <v>63</v>
      </c>
      <c r="I1012" s="31"/>
      <c r="J1012" s="26" t="s">
        <v>775</v>
      </c>
      <c r="K1012" s="27">
        <v>4000</v>
      </c>
      <c r="L1012" s="31" t="s">
        <v>769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780</v>
      </c>
      <c r="D1013" s="31" t="s">
        <v>876</v>
      </c>
      <c r="E1013" s="31"/>
      <c r="F1013" s="31" t="s">
        <v>464</v>
      </c>
      <c r="G1013" s="27">
        <v>48620</v>
      </c>
      <c r="H1013" s="31" t="s">
        <v>63</v>
      </c>
      <c r="I1013" s="31"/>
      <c r="J1013" s="26" t="s">
        <v>768</v>
      </c>
      <c r="K1013" s="27">
        <v>48620</v>
      </c>
      <c r="L1013" s="31" t="s">
        <v>769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780</v>
      </c>
      <c r="D1014" s="31" t="s">
        <v>576</v>
      </c>
      <c r="E1014" s="31"/>
      <c r="F1014" s="31" t="s">
        <v>576</v>
      </c>
      <c r="G1014" s="27">
        <v>5000</v>
      </c>
      <c r="H1014" s="31" t="s">
        <v>63</v>
      </c>
      <c r="I1014" s="31"/>
      <c r="J1014" s="26" t="s">
        <v>778</v>
      </c>
      <c r="K1014" s="27">
        <v>5000</v>
      </c>
      <c r="L1014" s="31" t="s">
        <v>769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780</v>
      </c>
      <c r="D1015" s="31" t="s">
        <v>575</v>
      </c>
      <c r="E1015" s="31" t="s">
        <v>781</v>
      </c>
      <c r="F1015" s="31" t="s">
        <v>902</v>
      </c>
      <c r="G1015" s="27">
        <v>12000</v>
      </c>
      <c r="H1015" s="31" t="s">
        <v>63</v>
      </c>
      <c r="I1015" s="31"/>
      <c r="J1015" s="26" t="s">
        <v>775</v>
      </c>
      <c r="K1015" s="27">
        <v>12000</v>
      </c>
      <c r="L1015" s="31" t="s">
        <v>769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1078</v>
      </c>
      <c r="D1016" s="31" t="s">
        <v>669</v>
      </c>
      <c r="E1016" s="31"/>
      <c r="F1016" s="31" t="s">
        <v>828</v>
      </c>
      <c r="G1016" s="27">
        <v>428190</v>
      </c>
      <c r="H1016" s="31" t="s">
        <v>807</v>
      </c>
      <c r="I1016" s="31"/>
      <c r="J1016" s="26" t="s">
        <v>805</v>
      </c>
      <c r="K1016" s="27">
        <v>428190</v>
      </c>
      <c r="L1016" s="31" t="s">
        <v>769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669</v>
      </c>
      <c r="D1017" s="31" t="s">
        <v>1078</v>
      </c>
      <c r="E1017" s="31"/>
      <c r="F1017" s="31" t="s">
        <v>828</v>
      </c>
      <c r="G1017" s="27">
        <v>428190</v>
      </c>
      <c r="H1017" s="31" t="s">
        <v>804</v>
      </c>
      <c r="I1017" s="31"/>
      <c r="J1017" s="26" t="s">
        <v>805</v>
      </c>
      <c r="K1017" s="27">
        <v>428190</v>
      </c>
      <c r="L1017" s="31" t="s">
        <v>769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1078</v>
      </c>
      <c r="D1018" s="31" t="s">
        <v>22</v>
      </c>
      <c r="E1018" s="31"/>
      <c r="F1018" s="31" t="s">
        <v>1135</v>
      </c>
      <c r="G1018" s="27">
        <v>399</v>
      </c>
      <c r="H1018" s="31" t="s">
        <v>520</v>
      </c>
      <c r="I1018" s="31"/>
      <c r="J1018" s="26" t="s">
        <v>824</v>
      </c>
      <c r="K1018" s="27">
        <v>399</v>
      </c>
      <c r="L1018" s="31" t="s">
        <v>769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669</v>
      </c>
      <c r="D1019" s="31" t="s">
        <v>575</v>
      </c>
      <c r="E1019" s="31" t="s">
        <v>785</v>
      </c>
      <c r="F1019" s="31" t="s">
        <v>825</v>
      </c>
      <c r="G1019" s="27">
        <v>36200</v>
      </c>
      <c r="H1019" s="31" t="s">
        <v>63</v>
      </c>
      <c r="I1019" s="31" t="s">
        <v>1162</v>
      </c>
      <c r="J1019" s="26" t="s">
        <v>775</v>
      </c>
      <c r="K1019" s="27">
        <v>36200</v>
      </c>
      <c r="L1019" s="31" t="s">
        <v>769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669</v>
      </c>
      <c r="D1020" s="31" t="s">
        <v>575</v>
      </c>
      <c r="E1020" s="31" t="s">
        <v>785</v>
      </c>
      <c r="F1020" s="31" t="s">
        <v>825</v>
      </c>
      <c r="G1020" s="27">
        <v>28470</v>
      </c>
      <c r="H1020" s="31" t="s">
        <v>63</v>
      </c>
      <c r="I1020" s="31" t="s">
        <v>1163</v>
      </c>
      <c r="J1020" s="26" t="s">
        <v>775</v>
      </c>
      <c r="K1020" s="27">
        <v>28470</v>
      </c>
      <c r="L1020" s="31" t="s">
        <v>769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852</v>
      </c>
      <c r="D1021" s="31" t="s">
        <v>575</v>
      </c>
      <c r="E1021" s="31" t="s">
        <v>785</v>
      </c>
      <c r="F1021" s="31" t="s">
        <v>488</v>
      </c>
      <c r="G1021" s="27">
        <v>17520</v>
      </c>
      <c r="H1021" s="31" t="s">
        <v>63</v>
      </c>
      <c r="I1021" s="31" t="s">
        <v>786</v>
      </c>
      <c r="J1021" s="26" t="s">
        <v>775</v>
      </c>
      <c r="K1021" s="27">
        <v>17520</v>
      </c>
      <c r="L1021" s="31" t="s">
        <v>769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780</v>
      </c>
      <c r="D1022" s="31" t="s">
        <v>811</v>
      </c>
      <c r="E1022" s="31"/>
      <c r="F1022" s="31" t="s">
        <v>1164</v>
      </c>
      <c r="G1022" s="27">
        <v>74700</v>
      </c>
      <c r="H1022" s="31" t="s">
        <v>63</v>
      </c>
      <c r="I1022" s="31" t="s">
        <v>878</v>
      </c>
      <c r="J1022" s="26" t="s">
        <v>768</v>
      </c>
      <c r="K1022" s="27">
        <v>74700</v>
      </c>
      <c r="L1022" s="31" t="s">
        <v>769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780</v>
      </c>
      <c r="D1023" s="31" t="s">
        <v>576</v>
      </c>
      <c r="E1023" s="31"/>
      <c r="F1023" s="31" t="s">
        <v>576</v>
      </c>
      <c r="G1023" s="27">
        <v>5000</v>
      </c>
      <c r="H1023" s="31" t="s">
        <v>63</v>
      </c>
      <c r="I1023" s="31"/>
      <c r="J1023" s="26" t="s">
        <v>778</v>
      </c>
      <c r="K1023" s="27">
        <v>5000</v>
      </c>
      <c r="L1023" s="31" t="s">
        <v>769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1078</v>
      </c>
      <c r="D1024" s="31" t="s">
        <v>771</v>
      </c>
      <c r="E1024" s="31"/>
      <c r="F1024" s="31" t="s">
        <v>828</v>
      </c>
      <c r="G1024" s="27">
        <v>12000</v>
      </c>
      <c r="H1024" s="31" t="s">
        <v>807</v>
      </c>
      <c r="I1024" s="31"/>
      <c r="J1024" s="26" t="s">
        <v>805</v>
      </c>
      <c r="K1024" s="27">
        <v>12000</v>
      </c>
      <c r="L1024" s="31" t="s">
        <v>769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771</v>
      </c>
      <c r="D1025" s="31" t="s">
        <v>1078</v>
      </c>
      <c r="E1025" s="31"/>
      <c r="F1025" s="31" t="s">
        <v>828</v>
      </c>
      <c r="G1025" s="27">
        <v>12000</v>
      </c>
      <c r="H1025" s="31" t="s">
        <v>804</v>
      </c>
      <c r="I1025" s="31"/>
      <c r="J1025" s="26" t="s">
        <v>805</v>
      </c>
      <c r="K1025" s="27">
        <v>12000</v>
      </c>
      <c r="L1025" s="31" t="s">
        <v>769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766</v>
      </c>
      <c r="D1026" s="31" t="s">
        <v>1078</v>
      </c>
      <c r="E1026" s="31"/>
      <c r="F1026" s="31" t="s">
        <v>828</v>
      </c>
      <c r="G1026" s="27">
        <v>666160</v>
      </c>
      <c r="H1026" s="31" t="s">
        <v>804</v>
      </c>
      <c r="I1026" s="31"/>
      <c r="J1026" s="26" t="s">
        <v>805</v>
      </c>
      <c r="K1026" s="27">
        <v>666160</v>
      </c>
      <c r="L1026" s="31" t="s">
        <v>769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1078</v>
      </c>
      <c r="D1027" s="31" t="s">
        <v>766</v>
      </c>
      <c r="E1027" s="31"/>
      <c r="F1027" s="31" t="s">
        <v>828</v>
      </c>
      <c r="G1027" s="27">
        <v>666160</v>
      </c>
      <c r="H1027" s="31" t="s">
        <v>807</v>
      </c>
      <c r="I1027" s="31"/>
      <c r="J1027" s="26" t="s">
        <v>805</v>
      </c>
      <c r="K1027" s="27">
        <v>666160</v>
      </c>
      <c r="L1027" s="31" t="s">
        <v>769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766</v>
      </c>
      <c r="D1028" s="31" t="s">
        <v>575</v>
      </c>
      <c r="E1028" s="31" t="s">
        <v>781</v>
      </c>
      <c r="F1028" s="31" t="s">
        <v>953</v>
      </c>
      <c r="G1028" s="27">
        <v>11900</v>
      </c>
      <c r="H1028" s="31" t="s">
        <v>63</v>
      </c>
      <c r="I1028" s="31"/>
      <c r="J1028" s="26" t="s">
        <v>775</v>
      </c>
      <c r="K1028" s="27">
        <v>11900</v>
      </c>
      <c r="L1028" s="31" t="s">
        <v>769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766</v>
      </c>
      <c r="D1029" s="31" t="s">
        <v>575</v>
      </c>
      <c r="E1029" s="31" t="s">
        <v>772</v>
      </c>
      <c r="F1029" s="31" t="s">
        <v>814</v>
      </c>
      <c r="G1029" s="27">
        <v>9200</v>
      </c>
      <c r="H1029" s="31" t="s">
        <v>63</v>
      </c>
      <c r="I1029" s="31"/>
      <c r="J1029" s="26" t="s">
        <v>775</v>
      </c>
      <c r="K1029" s="27">
        <v>9200</v>
      </c>
      <c r="L1029" s="31" t="s">
        <v>769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766</v>
      </c>
      <c r="D1030" s="31" t="s">
        <v>576</v>
      </c>
      <c r="E1030" s="31"/>
      <c r="F1030" s="31" t="s">
        <v>576</v>
      </c>
      <c r="G1030" s="27">
        <v>5000</v>
      </c>
      <c r="H1030" s="31" t="s">
        <v>63</v>
      </c>
      <c r="I1030" s="31"/>
      <c r="J1030" s="26" t="s">
        <v>778</v>
      </c>
      <c r="K1030" s="27">
        <v>5000</v>
      </c>
      <c r="L1030" s="31" t="s">
        <v>769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766</v>
      </c>
      <c r="D1031" s="31" t="s">
        <v>485</v>
      </c>
      <c r="E1031" s="31"/>
      <c r="F1031" s="31" t="s">
        <v>937</v>
      </c>
      <c r="G1031" s="27">
        <v>39900</v>
      </c>
      <c r="H1031" s="31" t="s">
        <v>63</v>
      </c>
      <c r="I1031" s="31" t="s">
        <v>1165</v>
      </c>
      <c r="J1031" s="26" t="s">
        <v>768</v>
      </c>
      <c r="K1031" s="27">
        <v>39900</v>
      </c>
      <c r="L1031" s="31" t="s">
        <v>769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766</v>
      </c>
      <c r="D1032" s="31" t="s">
        <v>575</v>
      </c>
      <c r="E1032" s="31" t="s">
        <v>781</v>
      </c>
      <c r="F1032" s="31" t="s">
        <v>910</v>
      </c>
      <c r="G1032" s="27">
        <v>8500</v>
      </c>
      <c r="H1032" s="31" t="s">
        <v>63</v>
      </c>
      <c r="I1032" s="31"/>
      <c r="J1032" s="26" t="s">
        <v>775</v>
      </c>
      <c r="K1032" s="27">
        <v>8500</v>
      </c>
      <c r="L1032" s="31" t="s">
        <v>769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766</v>
      </c>
      <c r="D1033" s="31" t="s">
        <v>843</v>
      </c>
      <c r="E1033" s="31" t="s">
        <v>844</v>
      </c>
      <c r="F1033" s="31" t="s">
        <v>970</v>
      </c>
      <c r="G1033" s="27">
        <v>4000</v>
      </c>
      <c r="H1033" s="31" t="s">
        <v>63</v>
      </c>
      <c r="I1033" s="31" t="s">
        <v>1166</v>
      </c>
      <c r="J1033" s="26" t="s">
        <v>775</v>
      </c>
      <c r="K1033" s="27">
        <v>4000</v>
      </c>
      <c r="L1033" s="31" t="s">
        <v>769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1078</v>
      </c>
      <c r="D1034" s="31" t="s">
        <v>780</v>
      </c>
      <c r="E1034" s="31"/>
      <c r="F1034" s="31" t="s">
        <v>828</v>
      </c>
      <c r="G1034" s="27">
        <v>725751</v>
      </c>
      <c r="H1034" s="31" t="s">
        <v>807</v>
      </c>
      <c r="I1034" s="31"/>
      <c r="J1034" s="26" t="s">
        <v>805</v>
      </c>
      <c r="K1034" s="27">
        <v>725751</v>
      </c>
      <c r="L1034" s="31" t="s">
        <v>769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780</v>
      </c>
      <c r="D1035" s="31" t="s">
        <v>1078</v>
      </c>
      <c r="E1035" s="31"/>
      <c r="F1035" s="31" t="s">
        <v>828</v>
      </c>
      <c r="G1035" s="27">
        <v>725751</v>
      </c>
      <c r="H1035" s="31" t="s">
        <v>804</v>
      </c>
      <c r="I1035" s="31"/>
      <c r="J1035" s="26" t="s">
        <v>805</v>
      </c>
      <c r="K1035" s="27">
        <v>725751</v>
      </c>
      <c r="L1035" s="31" t="s">
        <v>769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1078</v>
      </c>
      <c r="D1036" s="31" t="s">
        <v>852</v>
      </c>
      <c r="E1036" s="31"/>
      <c r="F1036" s="31" t="s">
        <v>828</v>
      </c>
      <c r="G1036" s="27">
        <v>257470</v>
      </c>
      <c r="H1036" s="31" t="s">
        <v>807</v>
      </c>
      <c r="I1036" s="31"/>
      <c r="J1036" s="26" t="s">
        <v>805</v>
      </c>
      <c r="K1036" s="27">
        <v>257470</v>
      </c>
      <c r="L1036" s="31" t="s">
        <v>769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852</v>
      </c>
      <c r="D1037" s="31" t="s">
        <v>1078</v>
      </c>
      <c r="E1037" s="31"/>
      <c r="F1037" s="31" t="s">
        <v>828</v>
      </c>
      <c r="G1037" s="27">
        <v>257470</v>
      </c>
      <c r="H1037" s="31" t="s">
        <v>804</v>
      </c>
      <c r="I1037" s="31"/>
      <c r="J1037" s="26" t="s">
        <v>805</v>
      </c>
      <c r="K1037" s="27">
        <v>257470</v>
      </c>
      <c r="L1037" s="31" t="s">
        <v>769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766</v>
      </c>
      <c r="D1038" s="31" t="s">
        <v>576</v>
      </c>
      <c r="E1038" s="31"/>
      <c r="F1038" s="31" t="s">
        <v>576</v>
      </c>
      <c r="G1038" s="27">
        <v>5000</v>
      </c>
      <c r="H1038" s="31" t="s">
        <v>63</v>
      </c>
      <c r="I1038" s="31"/>
      <c r="J1038" s="26" t="s">
        <v>778</v>
      </c>
      <c r="K1038" s="27">
        <v>5000</v>
      </c>
      <c r="L1038" s="31" t="s">
        <v>769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766</v>
      </c>
      <c r="D1039" s="31" t="s">
        <v>575</v>
      </c>
      <c r="E1039" s="31" t="s">
        <v>781</v>
      </c>
      <c r="F1039" s="31" t="s">
        <v>911</v>
      </c>
      <c r="G1039" s="27">
        <v>11000</v>
      </c>
      <c r="H1039" s="31" t="s">
        <v>63</v>
      </c>
      <c r="I1039" s="31"/>
      <c r="J1039" s="26" t="s">
        <v>775</v>
      </c>
      <c r="K1039" s="27">
        <v>11000</v>
      </c>
      <c r="L1039" s="31" t="s">
        <v>769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887</v>
      </c>
      <c r="D1040" s="31" t="s">
        <v>1078</v>
      </c>
      <c r="E1040" s="31"/>
      <c r="F1040" s="31" t="s">
        <v>828</v>
      </c>
      <c r="G1040" s="27">
        <v>55000</v>
      </c>
      <c r="H1040" s="31" t="s">
        <v>804</v>
      </c>
      <c r="I1040" s="31"/>
      <c r="J1040" s="26" t="s">
        <v>805</v>
      </c>
      <c r="K1040" s="27">
        <v>55000</v>
      </c>
      <c r="L1040" s="31" t="s">
        <v>769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1078</v>
      </c>
      <c r="D1041" s="31" t="s">
        <v>887</v>
      </c>
      <c r="E1041" s="31"/>
      <c r="F1041" s="31" t="s">
        <v>828</v>
      </c>
      <c r="G1041" s="27">
        <v>55000</v>
      </c>
      <c r="H1041" s="31" t="s">
        <v>807</v>
      </c>
      <c r="I1041" s="31"/>
      <c r="J1041" s="26" t="s">
        <v>805</v>
      </c>
      <c r="K1041" s="27">
        <v>55000</v>
      </c>
      <c r="L1041" s="31" t="s">
        <v>769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766</v>
      </c>
      <c r="D1042" s="31" t="s">
        <v>796</v>
      </c>
      <c r="E1042" s="31"/>
      <c r="F1042" s="31" t="s">
        <v>797</v>
      </c>
      <c r="G1042" s="27">
        <v>10000</v>
      </c>
      <c r="H1042" s="31" t="s">
        <v>63</v>
      </c>
      <c r="I1042" s="31" t="s">
        <v>1167</v>
      </c>
      <c r="J1042" s="26" t="s">
        <v>775</v>
      </c>
      <c r="K1042" s="27">
        <v>10000</v>
      </c>
      <c r="L1042" s="31" t="s">
        <v>769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766</v>
      </c>
      <c r="D1043" s="31" t="s">
        <v>575</v>
      </c>
      <c r="E1043" s="31" t="s">
        <v>772</v>
      </c>
      <c r="F1043" s="31" t="s">
        <v>773</v>
      </c>
      <c r="G1043" s="27">
        <v>1900</v>
      </c>
      <c r="H1043" s="31" t="s">
        <v>63</v>
      </c>
      <c r="I1043" s="31" t="s">
        <v>1042</v>
      </c>
      <c r="J1043" s="26" t="s">
        <v>775</v>
      </c>
      <c r="K1043" s="27">
        <v>1900</v>
      </c>
      <c r="L1043" s="31" t="s">
        <v>769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766</v>
      </c>
      <c r="D1044" s="31" t="s">
        <v>876</v>
      </c>
      <c r="E1044" s="31"/>
      <c r="F1044" s="31" t="s">
        <v>888</v>
      </c>
      <c r="G1044" s="27">
        <v>12400</v>
      </c>
      <c r="H1044" s="31" t="s">
        <v>63</v>
      </c>
      <c r="I1044" s="31"/>
      <c r="J1044" s="26" t="s">
        <v>768</v>
      </c>
      <c r="K1044" s="27">
        <v>12400</v>
      </c>
      <c r="L1044" s="31" t="s">
        <v>769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766</v>
      </c>
      <c r="D1045" s="31" t="s">
        <v>576</v>
      </c>
      <c r="E1045" s="31"/>
      <c r="F1045" s="31" t="s">
        <v>576</v>
      </c>
      <c r="G1045" s="27">
        <v>5000</v>
      </c>
      <c r="H1045" s="31" t="s">
        <v>63</v>
      </c>
      <c r="I1045" s="31"/>
      <c r="J1045" s="26" t="s">
        <v>778</v>
      </c>
      <c r="K1045" s="27">
        <v>5000</v>
      </c>
      <c r="L1045" s="31" t="s">
        <v>769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766</v>
      </c>
      <c r="D1046" s="31" t="s">
        <v>576</v>
      </c>
      <c r="E1046" s="31"/>
      <c r="F1046" s="31" t="s">
        <v>576</v>
      </c>
      <c r="G1046" s="27">
        <v>5000</v>
      </c>
      <c r="H1046" s="31" t="s">
        <v>63</v>
      </c>
      <c r="I1046" s="31"/>
      <c r="J1046" s="26" t="s">
        <v>778</v>
      </c>
      <c r="K1046" s="27">
        <v>5000</v>
      </c>
      <c r="L1046" s="31" t="s">
        <v>769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766</v>
      </c>
      <c r="D1047" s="31" t="s">
        <v>575</v>
      </c>
      <c r="E1047" s="31" t="s">
        <v>772</v>
      </c>
      <c r="F1047" s="31" t="s">
        <v>773</v>
      </c>
      <c r="G1047" s="27">
        <v>4300</v>
      </c>
      <c r="H1047" s="31" t="s">
        <v>63</v>
      </c>
      <c r="I1047" s="31" t="s">
        <v>1168</v>
      </c>
      <c r="J1047" s="26" t="s">
        <v>775</v>
      </c>
      <c r="K1047" s="27">
        <v>4300</v>
      </c>
      <c r="L1047" s="31" t="s">
        <v>769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766</v>
      </c>
      <c r="D1048" s="31" t="s">
        <v>876</v>
      </c>
      <c r="E1048" s="31"/>
      <c r="F1048" s="31" t="s">
        <v>132</v>
      </c>
      <c r="G1048" s="27">
        <v>16500</v>
      </c>
      <c r="H1048" s="31" t="s">
        <v>63</v>
      </c>
      <c r="I1048" s="31"/>
      <c r="J1048" s="26" t="s">
        <v>768</v>
      </c>
      <c r="K1048" s="27">
        <v>16500</v>
      </c>
      <c r="L1048" s="31" t="s">
        <v>769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196</v>
      </c>
      <c r="D1049" s="31" t="s">
        <v>1078</v>
      </c>
      <c r="E1049" s="31"/>
      <c r="F1049" s="31" t="s">
        <v>81</v>
      </c>
      <c r="G1049" s="27">
        <v>50000</v>
      </c>
      <c r="H1049" s="31" t="s">
        <v>807</v>
      </c>
      <c r="I1049" s="31"/>
      <c r="J1049" s="26" t="s">
        <v>805</v>
      </c>
      <c r="K1049" s="27">
        <v>50000</v>
      </c>
      <c r="L1049" s="31" t="s">
        <v>769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1078</v>
      </c>
      <c r="D1050" s="31" t="s">
        <v>196</v>
      </c>
      <c r="E1050" s="31"/>
      <c r="F1050" s="31" t="s">
        <v>81</v>
      </c>
      <c r="G1050" s="27">
        <v>50000</v>
      </c>
      <c r="H1050" s="31" t="s">
        <v>804</v>
      </c>
      <c r="I1050" s="31"/>
      <c r="J1050" s="26" t="s">
        <v>805</v>
      </c>
      <c r="K1050" s="27">
        <v>50000</v>
      </c>
      <c r="L1050" s="31" t="s">
        <v>769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1078</v>
      </c>
      <c r="D1051" s="31" t="s">
        <v>22</v>
      </c>
      <c r="E1051" s="31"/>
      <c r="F1051" s="31" t="s">
        <v>1135</v>
      </c>
      <c r="G1051" s="27">
        <v>5816</v>
      </c>
      <c r="H1051" s="31" t="s">
        <v>520</v>
      </c>
      <c r="I1051" s="31"/>
      <c r="J1051" s="26" t="s">
        <v>824</v>
      </c>
      <c r="K1051" s="27">
        <v>5816</v>
      </c>
      <c r="L1051" s="31" t="s">
        <v>769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1078</v>
      </c>
      <c r="D1052" s="31" t="s">
        <v>196</v>
      </c>
      <c r="E1052" s="31"/>
      <c r="F1052" s="31" t="s">
        <v>81</v>
      </c>
      <c r="G1052" s="27">
        <v>313980</v>
      </c>
      <c r="H1052" s="31" t="s">
        <v>807</v>
      </c>
      <c r="I1052" s="31" t="s">
        <v>1169</v>
      </c>
      <c r="J1052" s="26" t="s">
        <v>805</v>
      </c>
      <c r="K1052" s="27">
        <v>313980</v>
      </c>
      <c r="L1052" s="31" t="s">
        <v>769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196</v>
      </c>
      <c r="D1053" s="31" t="s">
        <v>1078</v>
      </c>
      <c r="E1053" s="31"/>
      <c r="F1053" s="31" t="s">
        <v>81</v>
      </c>
      <c r="G1053" s="27">
        <v>313980</v>
      </c>
      <c r="H1053" s="31" t="s">
        <v>804</v>
      </c>
      <c r="I1053" s="31" t="s">
        <v>1169</v>
      </c>
      <c r="J1053" s="26" t="s">
        <v>805</v>
      </c>
      <c r="K1053" s="27">
        <v>313980</v>
      </c>
      <c r="L1053" s="31" t="s">
        <v>769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766</v>
      </c>
      <c r="D1054" s="31" t="s">
        <v>912</v>
      </c>
      <c r="E1054" s="31" t="s">
        <v>580</v>
      </c>
      <c r="F1054" s="31" t="s">
        <v>1016</v>
      </c>
      <c r="G1054" s="27">
        <v>1500</v>
      </c>
      <c r="H1054" s="31" t="s">
        <v>63</v>
      </c>
      <c r="I1054" s="31"/>
      <c r="J1054" s="26" t="s">
        <v>783</v>
      </c>
      <c r="K1054" s="27">
        <v>1500</v>
      </c>
      <c r="L1054" s="31" t="s">
        <v>769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852</v>
      </c>
      <c r="D1055" s="31" t="s">
        <v>796</v>
      </c>
      <c r="E1055" s="31"/>
      <c r="F1055" s="31" t="s">
        <v>488</v>
      </c>
      <c r="G1055" s="27">
        <v>5890</v>
      </c>
      <c r="H1055" s="31" t="s">
        <v>63</v>
      </c>
      <c r="I1055" s="31" t="s">
        <v>1170</v>
      </c>
      <c r="J1055" s="26" t="s">
        <v>775</v>
      </c>
      <c r="K1055" s="27">
        <v>5890</v>
      </c>
      <c r="L1055" s="31" t="s">
        <v>769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766</v>
      </c>
      <c r="D1056" s="31" t="s">
        <v>575</v>
      </c>
      <c r="E1056" s="31" t="s">
        <v>904</v>
      </c>
      <c r="F1056" s="31" t="s">
        <v>1171</v>
      </c>
      <c r="G1056" s="27">
        <v>8900</v>
      </c>
      <c r="H1056" s="31" t="s">
        <v>63</v>
      </c>
      <c r="I1056" s="31"/>
      <c r="J1056" s="26" t="s">
        <v>775</v>
      </c>
      <c r="K1056" s="27">
        <v>8900</v>
      </c>
      <c r="L1056" s="31" t="s">
        <v>769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766</v>
      </c>
      <c r="D1057" s="31" t="s">
        <v>576</v>
      </c>
      <c r="E1057" s="31"/>
      <c r="F1057" s="31" t="s">
        <v>576</v>
      </c>
      <c r="G1057" s="27">
        <v>5000</v>
      </c>
      <c r="H1057" s="31" t="s">
        <v>63</v>
      </c>
      <c r="I1057" s="31"/>
      <c r="J1057" s="26" t="s">
        <v>778</v>
      </c>
      <c r="K1057" s="27">
        <v>5000</v>
      </c>
      <c r="L1057" s="31" t="s">
        <v>769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766</v>
      </c>
      <c r="D1058" s="31" t="s">
        <v>575</v>
      </c>
      <c r="E1058" s="31" t="s">
        <v>781</v>
      </c>
      <c r="F1058" s="31" t="s">
        <v>1004</v>
      </c>
      <c r="G1058" s="27">
        <v>7500</v>
      </c>
      <c r="H1058" s="31" t="s">
        <v>63</v>
      </c>
      <c r="I1058" s="31"/>
      <c r="J1058" s="26" t="s">
        <v>775</v>
      </c>
      <c r="K1058" s="27">
        <v>7500</v>
      </c>
      <c r="L1058" s="31" t="s">
        <v>769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766</v>
      </c>
      <c r="D1059" s="31" t="s">
        <v>575</v>
      </c>
      <c r="E1059" s="31" t="s">
        <v>885</v>
      </c>
      <c r="F1059" s="31" t="s">
        <v>773</v>
      </c>
      <c r="G1059" s="27">
        <v>600</v>
      </c>
      <c r="H1059" s="31" t="s">
        <v>63</v>
      </c>
      <c r="I1059" s="31" t="s">
        <v>929</v>
      </c>
      <c r="J1059" s="26" t="s">
        <v>775</v>
      </c>
      <c r="K1059" s="27">
        <v>600</v>
      </c>
      <c r="L1059" s="31" t="s">
        <v>769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196</v>
      </c>
      <c r="D1060" s="31" t="s">
        <v>22</v>
      </c>
      <c r="E1060" s="31"/>
      <c r="F1060" s="31" t="s">
        <v>1172</v>
      </c>
      <c r="G1060" s="27">
        <v>313980</v>
      </c>
      <c r="H1060" s="31" t="s">
        <v>63</v>
      </c>
      <c r="I1060" s="31" t="s">
        <v>1173</v>
      </c>
      <c r="J1060" s="26" t="s">
        <v>69</v>
      </c>
      <c r="K1060" s="27">
        <v>313980</v>
      </c>
      <c r="L1060" s="31" t="s">
        <v>769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766</v>
      </c>
      <c r="D1061" s="31" t="s">
        <v>576</v>
      </c>
      <c r="E1061" s="31"/>
      <c r="F1061" s="31" t="s">
        <v>576</v>
      </c>
      <c r="G1061" s="27">
        <v>5000</v>
      </c>
      <c r="H1061" s="31" t="s">
        <v>63</v>
      </c>
      <c r="I1061" s="31"/>
      <c r="J1061" s="26" t="s">
        <v>778</v>
      </c>
      <c r="K1061" s="27">
        <v>5000</v>
      </c>
      <c r="L1061" s="31" t="s">
        <v>769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766</v>
      </c>
      <c r="D1062" s="31" t="s">
        <v>575</v>
      </c>
      <c r="E1062" s="31" t="s">
        <v>781</v>
      </c>
      <c r="F1062" s="31" t="s">
        <v>902</v>
      </c>
      <c r="G1062" s="27">
        <v>11000</v>
      </c>
      <c r="H1062" s="31" t="s">
        <v>63</v>
      </c>
      <c r="I1062" s="31"/>
      <c r="J1062" s="26" t="s">
        <v>775</v>
      </c>
      <c r="K1062" s="27">
        <v>11000</v>
      </c>
      <c r="L1062" s="31" t="s">
        <v>769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766</v>
      </c>
      <c r="D1063" s="31" t="s">
        <v>576</v>
      </c>
      <c r="E1063" s="31"/>
      <c r="F1063" s="31" t="s">
        <v>576</v>
      </c>
      <c r="G1063" s="27">
        <v>5000</v>
      </c>
      <c r="H1063" s="31" t="s">
        <v>63</v>
      </c>
      <c r="I1063" s="31"/>
      <c r="J1063" s="26" t="s">
        <v>778</v>
      </c>
      <c r="K1063" s="27">
        <v>5000</v>
      </c>
      <c r="L1063" s="31" t="s">
        <v>769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766</v>
      </c>
      <c r="D1064" s="31" t="s">
        <v>575</v>
      </c>
      <c r="E1064" s="31" t="s">
        <v>781</v>
      </c>
      <c r="F1064" s="31" t="s">
        <v>1174</v>
      </c>
      <c r="G1064" s="27">
        <v>51200</v>
      </c>
      <c r="H1064" s="31" t="s">
        <v>63</v>
      </c>
      <c r="I1064" s="31"/>
      <c r="J1064" s="26" t="s">
        <v>775</v>
      </c>
      <c r="K1064" s="27">
        <v>51200</v>
      </c>
      <c r="L1064" s="31" t="s">
        <v>769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196</v>
      </c>
      <c r="D1065" s="31" t="s">
        <v>575</v>
      </c>
      <c r="E1065" s="31" t="s">
        <v>781</v>
      </c>
      <c r="F1065" s="31" t="s">
        <v>1175</v>
      </c>
      <c r="G1065" s="27">
        <v>-34100</v>
      </c>
      <c r="H1065" s="31" t="s">
        <v>63</v>
      </c>
      <c r="I1065" s="31"/>
      <c r="J1065" s="26" t="s">
        <v>775</v>
      </c>
      <c r="K1065" s="27">
        <v>-34100</v>
      </c>
      <c r="L1065" s="31" t="s">
        <v>769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766</v>
      </c>
      <c r="D1066" s="31" t="s">
        <v>843</v>
      </c>
      <c r="E1066" s="31" t="s">
        <v>1176</v>
      </c>
      <c r="F1066" s="31" t="s">
        <v>1177</v>
      </c>
      <c r="G1066" s="27">
        <v>49585</v>
      </c>
      <c r="H1066" s="31" t="s">
        <v>63</v>
      </c>
      <c r="I1066" s="31"/>
      <c r="J1066" s="26" t="s">
        <v>775</v>
      </c>
      <c r="K1066" s="27">
        <v>49585</v>
      </c>
      <c r="L1066" s="31" t="s">
        <v>769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1178</v>
      </c>
      <c r="D1067" s="31" t="s">
        <v>815</v>
      </c>
      <c r="E1067" s="31"/>
      <c r="F1067" s="31" t="s">
        <v>1179</v>
      </c>
      <c r="G1067" s="27">
        <v>100000</v>
      </c>
      <c r="H1067" s="31" t="s">
        <v>520</v>
      </c>
      <c r="I1067" s="31" t="s">
        <v>1180</v>
      </c>
      <c r="J1067" s="26" t="s">
        <v>815</v>
      </c>
      <c r="K1067" s="27">
        <v>100000</v>
      </c>
      <c r="L1067" s="31" t="s">
        <v>769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766</v>
      </c>
      <c r="D1068" s="31" t="s">
        <v>576</v>
      </c>
      <c r="E1068" s="31"/>
      <c r="F1068" s="31" t="s">
        <v>576</v>
      </c>
      <c r="G1068" s="27">
        <v>5000</v>
      </c>
      <c r="H1068" s="31" t="s">
        <v>63</v>
      </c>
      <c r="I1068" s="31"/>
      <c r="J1068" s="26" t="s">
        <v>778</v>
      </c>
      <c r="K1068" s="27">
        <v>5000</v>
      </c>
      <c r="L1068" s="31" t="s">
        <v>769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766</v>
      </c>
      <c r="D1069" s="31" t="s">
        <v>575</v>
      </c>
      <c r="E1069" s="31" t="s">
        <v>781</v>
      </c>
      <c r="F1069" s="31" t="s">
        <v>1181</v>
      </c>
      <c r="G1069" s="27">
        <v>30000</v>
      </c>
      <c r="H1069" s="31" t="s">
        <v>63</v>
      </c>
      <c r="I1069" s="31"/>
      <c r="J1069" s="26" t="s">
        <v>775</v>
      </c>
      <c r="K1069" s="27">
        <v>30000</v>
      </c>
      <c r="L1069" s="31" t="s">
        <v>769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766</v>
      </c>
      <c r="D1070" s="31" t="s">
        <v>840</v>
      </c>
      <c r="E1070" s="31"/>
      <c r="F1070" s="31" t="s">
        <v>1182</v>
      </c>
      <c r="G1070" s="27">
        <v>2000</v>
      </c>
      <c r="H1070" s="31" t="s">
        <v>63</v>
      </c>
      <c r="I1070" s="31" t="s">
        <v>1183</v>
      </c>
      <c r="J1070" s="26" t="s">
        <v>787</v>
      </c>
      <c r="K1070" s="27">
        <v>2000</v>
      </c>
      <c r="L1070" s="31" t="s">
        <v>769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766</v>
      </c>
      <c r="D1071" s="31" t="s">
        <v>576</v>
      </c>
      <c r="E1071" s="31"/>
      <c r="F1071" s="31" t="s">
        <v>576</v>
      </c>
      <c r="G1071" s="27">
        <v>5000</v>
      </c>
      <c r="H1071" s="31" t="s">
        <v>63</v>
      </c>
      <c r="I1071" s="31"/>
      <c r="J1071" s="26" t="s">
        <v>778</v>
      </c>
      <c r="K1071" s="27">
        <v>5000</v>
      </c>
      <c r="L1071" s="31" t="s">
        <v>769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766</v>
      </c>
      <c r="D1072" s="31" t="s">
        <v>840</v>
      </c>
      <c r="E1072" s="31"/>
      <c r="F1072" s="31" t="s">
        <v>937</v>
      </c>
      <c r="G1072" s="27">
        <v>30000</v>
      </c>
      <c r="H1072" s="31" t="s">
        <v>63</v>
      </c>
      <c r="I1072" s="31" t="s">
        <v>1184</v>
      </c>
      <c r="J1072" s="26" t="s">
        <v>787</v>
      </c>
      <c r="K1072" s="27">
        <v>30000</v>
      </c>
      <c r="L1072" s="31" t="s">
        <v>769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803</v>
      </c>
      <c r="D1073" s="31" t="s">
        <v>66</v>
      </c>
      <c r="E1073" s="31"/>
      <c r="F1073" s="31" t="s">
        <v>66</v>
      </c>
      <c r="G1073" s="27">
        <v>2785740</v>
      </c>
      <c r="H1073" s="31" t="s">
        <v>520</v>
      </c>
      <c r="I1073" s="31"/>
      <c r="J1073" s="26" t="s">
        <v>66</v>
      </c>
      <c r="K1073" s="27">
        <v>2785740</v>
      </c>
      <c r="L1073" s="31" t="s">
        <v>769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1178</v>
      </c>
      <c r="D1074" s="31" t="s">
        <v>575</v>
      </c>
      <c r="E1074" s="31" t="s">
        <v>772</v>
      </c>
      <c r="F1074" s="31" t="s">
        <v>884</v>
      </c>
      <c r="G1074" s="27">
        <v>5200</v>
      </c>
      <c r="H1074" s="31" t="s">
        <v>63</v>
      </c>
      <c r="I1074" s="31"/>
      <c r="J1074" s="26" t="s">
        <v>775</v>
      </c>
      <c r="K1074" s="27">
        <v>5200</v>
      </c>
      <c r="L1074" s="31" t="s">
        <v>1178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766</v>
      </c>
      <c r="D1075" s="31" t="s">
        <v>575</v>
      </c>
      <c r="E1075" s="31" t="s">
        <v>772</v>
      </c>
      <c r="F1075" s="31" t="s">
        <v>814</v>
      </c>
      <c r="G1075" s="27">
        <v>3600</v>
      </c>
      <c r="H1075" s="31" t="s">
        <v>63</v>
      </c>
      <c r="I1075" s="31"/>
      <c r="J1075" s="26" t="s">
        <v>775</v>
      </c>
      <c r="K1075" s="27">
        <v>3600</v>
      </c>
      <c r="L1075" s="31" t="s">
        <v>769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766</v>
      </c>
      <c r="D1076" s="31" t="s">
        <v>912</v>
      </c>
      <c r="E1076" s="31" t="s">
        <v>580</v>
      </c>
      <c r="F1076" s="31" t="s">
        <v>841</v>
      </c>
      <c r="G1076" s="27">
        <v>18900</v>
      </c>
      <c r="H1076" s="31" t="s">
        <v>63</v>
      </c>
      <c r="I1076" s="31" t="s">
        <v>1185</v>
      </c>
      <c r="J1076" s="26" t="s">
        <v>783</v>
      </c>
      <c r="K1076" s="27">
        <v>18900</v>
      </c>
      <c r="L1076" s="31" t="s">
        <v>769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559</v>
      </c>
      <c r="D1077" s="31" t="s">
        <v>22</v>
      </c>
      <c r="E1077" s="31"/>
      <c r="F1077" s="31" t="s">
        <v>1017</v>
      </c>
      <c r="G1077" s="27">
        <v>789</v>
      </c>
      <c r="H1077" s="31" t="s">
        <v>520</v>
      </c>
      <c r="I1077" s="31"/>
      <c r="J1077" s="26" t="s">
        <v>824</v>
      </c>
      <c r="K1077" s="27">
        <v>789</v>
      </c>
      <c r="L1077" s="31" t="s">
        <v>769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1178</v>
      </c>
      <c r="D1078" s="31" t="s">
        <v>576</v>
      </c>
      <c r="E1078" s="31"/>
      <c r="F1078" s="31" t="s">
        <v>576</v>
      </c>
      <c r="G1078" s="27">
        <v>5000</v>
      </c>
      <c r="H1078" s="31" t="s">
        <v>63</v>
      </c>
      <c r="I1078" s="31"/>
      <c r="J1078" s="26" t="s">
        <v>778</v>
      </c>
      <c r="K1078" s="27">
        <v>5000</v>
      </c>
      <c r="L1078" s="31" t="s">
        <v>1178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1178</v>
      </c>
      <c r="D1079" s="31" t="s">
        <v>575</v>
      </c>
      <c r="E1079" s="31" t="s">
        <v>772</v>
      </c>
      <c r="F1079" s="31" t="s">
        <v>773</v>
      </c>
      <c r="G1079" s="27">
        <v>3400</v>
      </c>
      <c r="H1079" s="31" t="s">
        <v>63</v>
      </c>
      <c r="I1079" s="31" t="s">
        <v>998</v>
      </c>
      <c r="J1079" s="26" t="s">
        <v>775</v>
      </c>
      <c r="K1079" s="27">
        <v>3400</v>
      </c>
      <c r="L1079" s="31" t="s">
        <v>1178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1178</v>
      </c>
      <c r="D1080" s="31" t="s">
        <v>906</v>
      </c>
      <c r="E1080" s="31"/>
      <c r="F1080" s="31" t="s">
        <v>1062</v>
      </c>
      <c r="G1080" s="27">
        <v>10000</v>
      </c>
      <c r="H1080" s="31" t="s">
        <v>63</v>
      </c>
      <c r="I1080" s="31" t="s">
        <v>1063</v>
      </c>
      <c r="J1080" s="26" t="s">
        <v>775</v>
      </c>
      <c r="K1080" s="27">
        <v>10000</v>
      </c>
      <c r="L1080" s="31" t="s">
        <v>1178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1178</v>
      </c>
      <c r="D1081" s="31" t="s">
        <v>575</v>
      </c>
      <c r="E1081" s="31" t="s">
        <v>772</v>
      </c>
      <c r="F1081" s="31" t="s">
        <v>773</v>
      </c>
      <c r="G1081" s="27">
        <v>2750</v>
      </c>
      <c r="H1081" s="31" t="s">
        <v>63</v>
      </c>
      <c r="I1081" s="31" t="s">
        <v>1186</v>
      </c>
      <c r="J1081" s="26" t="s">
        <v>775</v>
      </c>
      <c r="K1081" s="27">
        <v>2750</v>
      </c>
      <c r="L1081" s="31" t="s">
        <v>1178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766</v>
      </c>
      <c r="D1082" s="31" t="s">
        <v>912</v>
      </c>
      <c r="E1082" s="31" t="s">
        <v>580</v>
      </c>
      <c r="F1082" s="31" t="s">
        <v>1187</v>
      </c>
      <c r="G1082" s="27">
        <v>10500</v>
      </c>
      <c r="H1082" s="31" t="s">
        <v>63</v>
      </c>
      <c r="I1082" s="31"/>
      <c r="J1082" s="26" t="s">
        <v>783</v>
      </c>
      <c r="K1082" s="27">
        <v>10500</v>
      </c>
      <c r="L1082" s="31" t="s">
        <v>769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766</v>
      </c>
      <c r="D1083" s="31" t="s">
        <v>485</v>
      </c>
      <c r="E1083" s="31"/>
      <c r="F1083" s="31" t="s">
        <v>917</v>
      </c>
      <c r="G1083" s="27">
        <v>6318</v>
      </c>
      <c r="H1083" s="31" t="s">
        <v>63</v>
      </c>
      <c r="I1083" s="31" t="s">
        <v>918</v>
      </c>
      <c r="J1083" s="26" t="s">
        <v>768</v>
      </c>
      <c r="K1083" s="27">
        <v>6318</v>
      </c>
      <c r="L1083" s="31" t="s">
        <v>769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1178</v>
      </c>
      <c r="D1084" s="31" t="s">
        <v>576</v>
      </c>
      <c r="E1084" s="31"/>
      <c r="F1084" s="31" t="s">
        <v>576</v>
      </c>
      <c r="G1084" s="27">
        <v>5000</v>
      </c>
      <c r="H1084" s="31" t="s">
        <v>63</v>
      </c>
      <c r="I1084" s="31"/>
      <c r="J1084" s="26" t="s">
        <v>778</v>
      </c>
      <c r="K1084" s="27">
        <v>5000</v>
      </c>
      <c r="L1084" s="31" t="s">
        <v>1178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1178</v>
      </c>
      <c r="D1085" s="31" t="s">
        <v>575</v>
      </c>
      <c r="E1085" s="31" t="s">
        <v>885</v>
      </c>
      <c r="F1085" s="31" t="s">
        <v>773</v>
      </c>
      <c r="G1085" s="27">
        <v>10200</v>
      </c>
      <c r="H1085" s="31" t="s">
        <v>63</v>
      </c>
      <c r="I1085" s="31" t="s">
        <v>1188</v>
      </c>
      <c r="J1085" s="26" t="s">
        <v>775</v>
      </c>
      <c r="K1085" s="27">
        <v>10200</v>
      </c>
      <c r="L1085" s="31" t="s">
        <v>1178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1178</v>
      </c>
      <c r="D1086" s="31" t="s">
        <v>575</v>
      </c>
      <c r="E1086" s="31" t="s">
        <v>885</v>
      </c>
      <c r="F1086" s="31" t="s">
        <v>773</v>
      </c>
      <c r="G1086" s="27">
        <v>900</v>
      </c>
      <c r="H1086" s="31" t="s">
        <v>63</v>
      </c>
      <c r="I1086" s="31" t="s">
        <v>1189</v>
      </c>
      <c r="J1086" s="26" t="s">
        <v>775</v>
      </c>
      <c r="K1086" s="27">
        <v>900</v>
      </c>
      <c r="L1086" s="31" t="s">
        <v>1178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803</v>
      </c>
      <c r="D1087" s="31" t="s">
        <v>1078</v>
      </c>
      <c r="E1087" s="31"/>
      <c r="F1087" s="31" t="s">
        <v>81</v>
      </c>
      <c r="G1087" s="27">
        <v>2785740</v>
      </c>
      <c r="H1087" s="31" t="s">
        <v>807</v>
      </c>
      <c r="I1087" s="31"/>
      <c r="J1087" s="26" t="s">
        <v>805</v>
      </c>
      <c r="K1087" s="27">
        <v>2785740</v>
      </c>
      <c r="L1087" s="31" t="s">
        <v>769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1078</v>
      </c>
      <c r="D1088" s="31" t="s">
        <v>803</v>
      </c>
      <c r="E1088" s="31"/>
      <c r="F1088" s="31" t="s">
        <v>81</v>
      </c>
      <c r="G1088" s="27">
        <v>2785740</v>
      </c>
      <c r="H1088" s="31" t="s">
        <v>804</v>
      </c>
      <c r="I1088" s="31"/>
      <c r="J1088" s="26" t="s">
        <v>805</v>
      </c>
      <c r="K1088" s="27">
        <v>2785740</v>
      </c>
      <c r="L1088" s="31" t="s">
        <v>769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1078</v>
      </c>
      <c r="D1089" s="31" t="s">
        <v>924</v>
      </c>
      <c r="E1089" s="31"/>
      <c r="F1089" s="31" t="s">
        <v>81</v>
      </c>
      <c r="G1089" s="27">
        <v>200000</v>
      </c>
      <c r="H1089" s="31" t="s">
        <v>807</v>
      </c>
      <c r="I1089" s="31"/>
      <c r="J1089" s="26" t="s">
        <v>842</v>
      </c>
      <c r="K1089" s="27">
        <v>200000</v>
      </c>
      <c r="L1089" s="31" t="s">
        <v>769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924</v>
      </c>
      <c r="D1090" s="31" t="s">
        <v>1078</v>
      </c>
      <c r="E1090" s="31"/>
      <c r="F1090" s="31" t="s">
        <v>81</v>
      </c>
      <c r="G1090" s="27">
        <v>200000</v>
      </c>
      <c r="H1090" s="31" t="s">
        <v>804</v>
      </c>
      <c r="I1090" s="31"/>
      <c r="J1090" s="26" t="s">
        <v>805</v>
      </c>
      <c r="K1090" s="27">
        <v>200000</v>
      </c>
      <c r="L1090" s="31" t="s">
        <v>769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1078</v>
      </c>
      <c r="D1091" s="31" t="s">
        <v>559</v>
      </c>
      <c r="E1091" s="31"/>
      <c r="F1091" s="31" t="s">
        <v>81</v>
      </c>
      <c r="G1091" s="27">
        <v>20000</v>
      </c>
      <c r="H1091" s="31" t="s">
        <v>807</v>
      </c>
      <c r="I1091" s="31"/>
      <c r="J1091" s="26" t="s">
        <v>839</v>
      </c>
      <c r="K1091" s="27">
        <v>20000</v>
      </c>
      <c r="L1091" s="31" t="s">
        <v>769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559</v>
      </c>
      <c r="D1092" s="31" t="s">
        <v>1078</v>
      </c>
      <c r="E1092" s="31"/>
      <c r="F1092" s="31" t="s">
        <v>81</v>
      </c>
      <c r="G1092" s="27">
        <v>20000</v>
      </c>
      <c r="H1092" s="31" t="s">
        <v>804</v>
      </c>
      <c r="I1092" s="31"/>
      <c r="J1092" s="26" t="s">
        <v>805</v>
      </c>
      <c r="K1092" s="27">
        <v>20000</v>
      </c>
      <c r="L1092" s="31" t="s">
        <v>769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559</v>
      </c>
      <c r="D1093" s="31" t="s">
        <v>821</v>
      </c>
      <c r="E1093" s="31"/>
      <c r="F1093" s="31" t="s">
        <v>858</v>
      </c>
      <c r="G1093" s="27">
        <v>40000</v>
      </c>
      <c r="H1093" s="31" t="s">
        <v>520</v>
      </c>
      <c r="I1093" s="31"/>
      <c r="J1093" s="26" t="s">
        <v>821</v>
      </c>
      <c r="K1093" s="27">
        <v>40000</v>
      </c>
      <c r="L1093" s="31" t="s">
        <v>769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1078</v>
      </c>
      <c r="D1094" s="31" t="s">
        <v>922</v>
      </c>
      <c r="E1094" s="31"/>
      <c r="F1094" s="31" t="s">
        <v>81</v>
      </c>
      <c r="G1094" s="27">
        <v>150000</v>
      </c>
      <c r="H1094" s="31" t="s">
        <v>807</v>
      </c>
      <c r="I1094" s="31"/>
      <c r="J1094" s="26" t="s">
        <v>829</v>
      </c>
      <c r="K1094" s="27">
        <v>150000</v>
      </c>
      <c r="L1094" s="31" t="s">
        <v>769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922</v>
      </c>
      <c r="D1095" s="31" t="s">
        <v>1078</v>
      </c>
      <c r="E1095" s="31"/>
      <c r="F1095" s="31" t="s">
        <v>81</v>
      </c>
      <c r="G1095" s="27">
        <v>150000</v>
      </c>
      <c r="H1095" s="31" t="s">
        <v>804</v>
      </c>
      <c r="I1095" s="31"/>
      <c r="J1095" s="26" t="s">
        <v>805</v>
      </c>
      <c r="K1095" s="27">
        <v>150000</v>
      </c>
      <c r="L1095" s="31" t="s">
        <v>769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527</v>
      </c>
      <c r="D1096" s="31" t="s">
        <v>1078</v>
      </c>
      <c r="E1096" s="31"/>
      <c r="F1096" s="31" t="s">
        <v>81</v>
      </c>
      <c r="G1096" s="27">
        <v>20000</v>
      </c>
      <c r="H1096" s="31" t="s">
        <v>804</v>
      </c>
      <c r="I1096" s="31"/>
      <c r="J1096" s="26" t="s">
        <v>805</v>
      </c>
      <c r="K1096" s="27">
        <v>20000</v>
      </c>
      <c r="L1096" s="31" t="s">
        <v>769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1078</v>
      </c>
      <c r="D1097" s="31" t="s">
        <v>527</v>
      </c>
      <c r="E1097" s="31"/>
      <c r="F1097" s="31" t="s">
        <v>81</v>
      </c>
      <c r="G1097" s="27">
        <v>20000</v>
      </c>
      <c r="H1097" s="31" t="s">
        <v>807</v>
      </c>
      <c r="I1097" s="31"/>
      <c r="J1097" s="26" t="s">
        <v>830</v>
      </c>
      <c r="K1097" s="27">
        <v>20000</v>
      </c>
      <c r="L1097" s="31" t="s">
        <v>769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1006</v>
      </c>
      <c r="D1098" s="31" t="s">
        <v>1078</v>
      </c>
      <c r="E1098" s="31"/>
      <c r="F1098" s="31" t="s">
        <v>81</v>
      </c>
      <c r="G1098" s="27">
        <v>60000</v>
      </c>
      <c r="H1098" s="31" t="s">
        <v>804</v>
      </c>
      <c r="I1098" s="31"/>
      <c r="J1098" s="26" t="s">
        <v>805</v>
      </c>
      <c r="K1098" s="27">
        <v>60000</v>
      </c>
      <c r="L1098" s="31" t="s">
        <v>769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1078</v>
      </c>
      <c r="D1099" s="31" t="s">
        <v>1006</v>
      </c>
      <c r="E1099" s="31"/>
      <c r="F1099" s="31" t="s">
        <v>81</v>
      </c>
      <c r="G1099" s="27">
        <v>60000</v>
      </c>
      <c r="H1099" s="31" t="s">
        <v>807</v>
      </c>
      <c r="I1099" s="31"/>
      <c r="J1099" s="26" t="s">
        <v>833</v>
      </c>
      <c r="K1099" s="27">
        <v>60000</v>
      </c>
      <c r="L1099" s="31" t="s">
        <v>769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1078</v>
      </c>
      <c r="D1100" s="31" t="s">
        <v>1005</v>
      </c>
      <c r="E1100" s="31"/>
      <c r="F1100" s="31" t="s">
        <v>81</v>
      </c>
      <c r="G1100" s="27">
        <v>60000</v>
      </c>
      <c r="H1100" s="31" t="s">
        <v>807</v>
      </c>
      <c r="I1100" s="31"/>
      <c r="J1100" s="26" t="s">
        <v>833</v>
      </c>
      <c r="K1100" s="27">
        <v>60000</v>
      </c>
      <c r="L1100" s="31" t="s">
        <v>769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1005</v>
      </c>
      <c r="D1101" s="31" t="s">
        <v>1078</v>
      </c>
      <c r="E1101" s="31"/>
      <c r="F1101" s="31" t="s">
        <v>81</v>
      </c>
      <c r="G1101" s="27">
        <v>60000</v>
      </c>
      <c r="H1101" s="31" t="s">
        <v>804</v>
      </c>
      <c r="I1101" s="31"/>
      <c r="J1101" s="26" t="s">
        <v>805</v>
      </c>
      <c r="K1101" s="27">
        <v>60000</v>
      </c>
      <c r="L1101" s="31" t="s">
        <v>769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1005</v>
      </c>
      <c r="D1102" s="31" t="s">
        <v>806</v>
      </c>
      <c r="E1102" s="31"/>
      <c r="F1102" s="31" t="s">
        <v>1036</v>
      </c>
      <c r="G1102" s="27">
        <v>58729</v>
      </c>
      <c r="H1102" s="31" t="s">
        <v>63</v>
      </c>
      <c r="I1102" s="31" t="s">
        <v>1051</v>
      </c>
      <c r="J1102" s="26" t="s">
        <v>806</v>
      </c>
      <c r="K1102" s="27">
        <v>58729</v>
      </c>
      <c r="L1102" s="31" t="s">
        <v>769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1006</v>
      </c>
      <c r="D1103" s="31" t="s">
        <v>806</v>
      </c>
      <c r="E1103" s="31"/>
      <c r="F1103" s="31" t="s">
        <v>1036</v>
      </c>
      <c r="G1103" s="27">
        <v>53945</v>
      </c>
      <c r="H1103" s="31" t="s">
        <v>63</v>
      </c>
      <c r="I1103" s="31" t="s">
        <v>1051</v>
      </c>
      <c r="J1103" s="26" t="s">
        <v>806</v>
      </c>
      <c r="K1103" s="27">
        <v>53945</v>
      </c>
      <c r="L1103" s="31" t="s">
        <v>769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1078</v>
      </c>
      <c r="D1104" s="31" t="s">
        <v>22</v>
      </c>
      <c r="E1104" s="31"/>
      <c r="F1104" s="31" t="s">
        <v>1135</v>
      </c>
      <c r="G1104" s="27">
        <v>1137</v>
      </c>
      <c r="H1104" s="31" t="s">
        <v>520</v>
      </c>
      <c r="I1104" s="31"/>
      <c r="J1104" s="26" t="s">
        <v>824</v>
      </c>
      <c r="K1104" s="27">
        <v>1137</v>
      </c>
      <c r="L1104" s="31" t="s">
        <v>769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766</v>
      </c>
      <c r="D1105" s="31" t="s">
        <v>796</v>
      </c>
      <c r="E1105" s="31"/>
      <c r="F1105" s="31" t="s">
        <v>797</v>
      </c>
      <c r="G1105" s="27">
        <v>16200</v>
      </c>
      <c r="H1105" s="31" t="s">
        <v>63</v>
      </c>
      <c r="I1105" s="31"/>
      <c r="J1105" s="26" t="s">
        <v>775</v>
      </c>
      <c r="K1105" s="27">
        <v>16200</v>
      </c>
      <c r="L1105" s="31" t="s">
        <v>769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1178</v>
      </c>
      <c r="D1106" s="31" t="s">
        <v>912</v>
      </c>
      <c r="E1106" s="31" t="s">
        <v>1190</v>
      </c>
      <c r="F1106" s="31" t="s">
        <v>1191</v>
      </c>
      <c r="G1106" s="27">
        <v>15000</v>
      </c>
      <c r="H1106" s="31" t="s">
        <v>63</v>
      </c>
      <c r="I1106" s="31" t="s">
        <v>1192</v>
      </c>
      <c r="J1106" s="26" t="s">
        <v>783</v>
      </c>
      <c r="K1106" s="27">
        <v>15000</v>
      </c>
      <c r="L1106" s="31" t="s">
        <v>1178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766</v>
      </c>
      <c r="D1107" s="31" t="s">
        <v>942</v>
      </c>
      <c r="E1107" s="31"/>
      <c r="F1107" s="31" t="s">
        <v>1094</v>
      </c>
      <c r="G1107" s="27">
        <v>13900</v>
      </c>
      <c r="H1107" s="31" t="s">
        <v>63</v>
      </c>
      <c r="I1107" s="31"/>
      <c r="J1107" s="26" t="s">
        <v>775</v>
      </c>
      <c r="K1107" s="27">
        <v>13900</v>
      </c>
      <c r="L1107" s="31" t="s">
        <v>769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1178</v>
      </c>
      <c r="D1108" s="31" t="s">
        <v>576</v>
      </c>
      <c r="E1108" s="31"/>
      <c r="F1108" s="31" t="s">
        <v>576</v>
      </c>
      <c r="G1108" s="27">
        <v>5000</v>
      </c>
      <c r="H1108" s="31" t="s">
        <v>63</v>
      </c>
      <c r="I1108" s="31"/>
      <c r="J1108" s="26" t="s">
        <v>778</v>
      </c>
      <c r="K1108" s="27">
        <v>5000</v>
      </c>
      <c r="L1108" s="31" t="s">
        <v>1178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766</v>
      </c>
      <c r="D1109" s="31" t="s">
        <v>840</v>
      </c>
      <c r="E1109" s="31"/>
      <c r="F1109" s="31" t="s">
        <v>996</v>
      </c>
      <c r="G1109" s="27">
        <v>4960</v>
      </c>
      <c r="H1109" s="31" t="s">
        <v>63</v>
      </c>
      <c r="I1109" s="31"/>
      <c r="J1109" s="26" t="s">
        <v>787</v>
      </c>
      <c r="K1109" s="27">
        <v>4960</v>
      </c>
      <c r="L1109" s="31" t="s">
        <v>769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1178</v>
      </c>
      <c r="D1110" s="31" t="s">
        <v>575</v>
      </c>
      <c r="E1110" s="31" t="s">
        <v>885</v>
      </c>
      <c r="F1110" s="31" t="s">
        <v>773</v>
      </c>
      <c r="G1110" s="27">
        <v>9300</v>
      </c>
      <c r="H1110" s="31" t="s">
        <v>63</v>
      </c>
      <c r="I1110" s="31"/>
      <c r="J1110" s="26" t="s">
        <v>775</v>
      </c>
      <c r="K1110" s="27">
        <v>9300</v>
      </c>
      <c r="L1110" s="31" t="s">
        <v>1178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766</v>
      </c>
      <c r="D1111" s="31" t="s">
        <v>796</v>
      </c>
      <c r="E1111" s="31"/>
      <c r="F1111" s="31" t="s">
        <v>797</v>
      </c>
      <c r="G1111" s="27">
        <v>10500</v>
      </c>
      <c r="H1111" s="31" t="s">
        <v>63</v>
      </c>
      <c r="I1111" s="31"/>
      <c r="J1111" s="26" t="s">
        <v>775</v>
      </c>
      <c r="K1111" s="27">
        <v>10500</v>
      </c>
      <c r="L1111" s="31" t="s">
        <v>769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852</v>
      </c>
      <c r="D1112" s="31" t="s">
        <v>575</v>
      </c>
      <c r="E1112" s="31" t="s">
        <v>792</v>
      </c>
      <c r="F1112" s="31" t="s">
        <v>853</v>
      </c>
      <c r="G1112" s="27">
        <v>13900</v>
      </c>
      <c r="H1112" s="31" t="s">
        <v>63</v>
      </c>
      <c r="I1112" s="31" t="s">
        <v>1193</v>
      </c>
      <c r="J1112" s="26" t="s">
        <v>775</v>
      </c>
      <c r="K1112" s="27">
        <v>13900</v>
      </c>
      <c r="L1112" s="31" t="s">
        <v>769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1078</v>
      </c>
      <c r="D1113" s="31" t="s">
        <v>193</v>
      </c>
      <c r="E1113" s="31"/>
      <c r="F1113" s="31" t="s">
        <v>81</v>
      </c>
      <c r="G1113" s="27">
        <v>20000</v>
      </c>
      <c r="H1113" s="31" t="s">
        <v>807</v>
      </c>
      <c r="I1113" s="31"/>
      <c r="J1113" s="26" t="s">
        <v>805</v>
      </c>
      <c r="K1113" s="27">
        <v>20000</v>
      </c>
      <c r="L1113" s="31" t="s">
        <v>769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193</v>
      </c>
      <c r="D1114" s="31" t="s">
        <v>1078</v>
      </c>
      <c r="E1114" s="31"/>
      <c r="F1114" s="31" t="s">
        <v>81</v>
      </c>
      <c r="G1114" s="27">
        <v>20000</v>
      </c>
      <c r="H1114" s="31" t="s">
        <v>804</v>
      </c>
      <c r="I1114" s="31"/>
      <c r="J1114" s="26" t="s">
        <v>805</v>
      </c>
      <c r="K1114" s="27">
        <v>20000</v>
      </c>
      <c r="L1114" s="31" t="s">
        <v>769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175</v>
      </c>
      <c r="D1115" s="31" t="s">
        <v>1078</v>
      </c>
      <c r="E1115" s="31"/>
      <c r="F1115" s="31" t="s">
        <v>81</v>
      </c>
      <c r="G1115" s="27">
        <v>20000</v>
      </c>
      <c r="H1115" s="31" t="s">
        <v>804</v>
      </c>
      <c r="I1115" s="31"/>
      <c r="J1115" s="26" t="s">
        <v>805</v>
      </c>
      <c r="K1115" s="27">
        <v>20000</v>
      </c>
      <c r="L1115" s="31" t="s">
        <v>769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1078</v>
      </c>
      <c r="D1116" s="31" t="s">
        <v>175</v>
      </c>
      <c r="E1116" s="31"/>
      <c r="F1116" s="31" t="s">
        <v>81</v>
      </c>
      <c r="G1116" s="27">
        <v>20000</v>
      </c>
      <c r="H1116" s="31" t="s">
        <v>807</v>
      </c>
      <c r="I1116" s="31"/>
      <c r="J1116" s="26" t="s">
        <v>805</v>
      </c>
      <c r="K1116" s="27">
        <v>20000</v>
      </c>
      <c r="L1116" s="31" t="s">
        <v>769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780</v>
      </c>
      <c r="D1117" s="31" t="s">
        <v>817</v>
      </c>
      <c r="E1117" s="31"/>
      <c r="F1117" s="31" t="s">
        <v>451</v>
      </c>
      <c r="G1117" s="27">
        <v>140640</v>
      </c>
      <c r="H1117" s="31" t="s">
        <v>63</v>
      </c>
      <c r="I1117" s="31"/>
      <c r="J1117" s="26" t="s">
        <v>768</v>
      </c>
      <c r="K1117" s="27">
        <v>140640</v>
      </c>
      <c r="L1117" s="31" t="s">
        <v>769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193</v>
      </c>
      <c r="D1118" s="31" t="s">
        <v>22</v>
      </c>
      <c r="E1118" s="31"/>
      <c r="F1118" s="31" t="s">
        <v>927</v>
      </c>
      <c r="G1118" s="27">
        <v>15214</v>
      </c>
      <c r="H1118" s="31" t="s">
        <v>63</v>
      </c>
      <c r="I1118" s="31"/>
      <c r="J1118" s="26" t="s">
        <v>768</v>
      </c>
      <c r="K1118" s="27">
        <v>15214</v>
      </c>
      <c r="L1118" s="31" t="s">
        <v>769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1178</v>
      </c>
      <c r="D1119" s="31" t="s">
        <v>576</v>
      </c>
      <c r="E1119" s="31"/>
      <c r="F1119" s="31" t="s">
        <v>576</v>
      </c>
      <c r="G1119" s="27">
        <v>5000</v>
      </c>
      <c r="H1119" s="31" t="s">
        <v>63</v>
      </c>
      <c r="I1119" s="31"/>
      <c r="J1119" s="26" t="s">
        <v>778</v>
      </c>
      <c r="K1119" s="27">
        <v>5000</v>
      </c>
      <c r="L1119" s="31" t="s">
        <v>1178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1178</v>
      </c>
      <c r="D1120" s="31" t="s">
        <v>575</v>
      </c>
      <c r="E1120" s="31" t="s">
        <v>781</v>
      </c>
      <c r="F1120" s="31" t="s">
        <v>1004</v>
      </c>
      <c r="G1120" s="27">
        <v>7500</v>
      </c>
      <c r="H1120" s="31" t="s">
        <v>63</v>
      </c>
      <c r="I1120" s="31"/>
      <c r="J1120" s="26" t="s">
        <v>775</v>
      </c>
      <c r="K1120" s="27">
        <v>7500</v>
      </c>
      <c r="L1120" s="31" t="s">
        <v>1178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1178</v>
      </c>
      <c r="D1121" s="31" t="s">
        <v>575</v>
      </c>
      <c r="E1121" s="31" t="s">
        <v>885</v>
      </c>
      <c r="F1121" s="31" t="s">
        <v>773</v>
      </c>
      <c r="G1121" s="27">
        <v>4100</v>
      </c>
      <c r="H1121" s="31" t="s">
        <v>63</v>
      </c>
      <c r="I1121" s="31" t="s">
        <v>992</v>
      </c>
      <c r="J1121" s="26" t="s">
        <v>775</v>
      </c>
      <c r="K1121" s="27">
        <v>4100</v>
      </c>
      <c r="L1121" s="31" t="s">
        <v>1178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766</v>
      </c>
      <c r="D1122" s="31" t="s">
        <v>575</v>
      </c>
      <c r="E1122" s="31" t="s">
        <v>772</v>
      </c>
      <c r="F1122" s="31" t="s">
        <v>891</v>
      </c>
      <c r="G1122" s="27">
        <v>3700</v>
      </c>
      <c r="H1122" s="31" t="s">
        <v>63</v>
      </c>
      <c r="I1122" s="31"/>
      <c r="J1122" s="26" t="s">
        <v>775</v>
      </c>
      <c r="K1122" s="27">
        <v>3700</v>
      </c>
      <c r="L1122" s="31" t="s">
        <v>769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766</v>
      </c>
      <c r="D1123" s="31" t="s">
        <v>840</v>
      </c>
      <c r="E1123" s="31"/>
      <c r="F1123" s="31" t="s">
        <v>891</v>
      </c>
      <c r="G1123" s="27">
        <v>30000</v>
      </c>
      <c r="H1123" s="31" t="s">
        <v>63</v>
      </c>
      <c r="I1123" s="31" t="s">
        <v>1194</v>
      </c>
      <c r="J1123" s="26" t="s">
        <v>787</v>
      </c>
      <c r="K1123" s="27">
        <v>30000</v>
      </c>
      <c r="L1123" s="31" t="s">
        <v>769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780</v>
      </c>
      <c r="D1124" s="31" t="s">
        <v>843</v>
      </c>
      <c r="E1124" s="31" t="s">
        <v>932</v>
      </c>
      <c r="F1124" s="31" t="s">
        <v>933</v>
      </c>
      <c r="G1124" s="27">
        <v>138056</v>
      </c>
      <c r="H1124" s="31" t="s">
        <v>63</v>
      </c>
      <c r="I1124" s="31"/>
      <c r="J1124" s="26" t="s">
        <v>768</v>
      </c>
      <c r="K1124" s="27">
        <v>138056</v>
      </c>
      <c r="L1124" s="31" t="s">
        <v>769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766</v>
      </c>
      <c r="D1125" s="31" t="s">
        <v>485</v>
      </c>
      <c r="E1125" s="31"/>
      <c r="F1125" s="31" t="s">
        <v>926</v>
      </c>
      <c r="G1125" s="27">
        <v>4890</v>
      </c>
      <c r="H1125" s="31" t="s">
        <v>63</v>
      </c>
      <c r="I1125" s="31"/>
      <c r="J1125" s="26" t="s">
        <v>768</v>
      </c>
      <c r="K1125" s="27">
        <v>4890</v>
      </c>
      <c r="L1125" s="31" t="s">
        <v>769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193</v>
      </c>
      <c r="D1126" s="31" t="s">
        <v>1078</v>
      </c>
      <c r="E1126" s="31"/>
      <c r="F1126" s="31" t="s">
        <v>81</v>
      </c>
      <c r="G1126" s="27">
        <v>4786</v>
      </c>
      <c r="H1126" s="31" t="s">
        <v>807</v>
      </c>
      <c r="I1126" s="31"/>
      <c r="J1126" s="26" t="s">
        <v>805</v>
      </c>
      <c r="K1126" s="27">
        <v>4786</v>
      </c>
      <c r="L1126" s="31" t="s">
        <v>769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1078</v>
      </c>
      <c r="D1127" s="31" t="s">
        <v>193</v>
      </c>
      <c r="E1127" s="31"/>
      <c r="F1127" s="31" t="s">
        <v>81</v>
      </c>
      <c r="G1127" s="27">
        <v>4786</v>
      </c>
      <c r="H1127" s="31" t="s">
        <v>804</v>
      </c>
      <c r="I1127" s="31"/>
      <c r="J1127" s="26" t="s">
        <v>805</v>
      </c>
      <c r="K1127" s="27">
        <v>4786</v>
      </c>
      <c r="L1127" s="31" t="s">
        <v>769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852</v>
      </c>
      <c r="D1128" s="31" t="s">
        <v>796</v>
      </c>
      <c r="E1128" s="31"/>
      <c r="F1128" s="31" t="s">
        <v>488</v>
      </c>
      <c r="G1128" s="27">
        <v>8470</v>
      </c>
      <c r="H1128" s="31" t="s">
        <v>63</v>
      </c>
      <c r="I1128" s="31" t="s">
        <v>873</v>
      </c>
      <c r="J1128" s="26" t="s">
        <v>775</v>
      </c>
      <c r="K1128" s="27">
        <v>8470</v>
      </c>
      <c r="L1128" s="31" t="s">
        <v>769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1178</v>
      </c>
      <c r="D1129" s="31" t="s">
        <v>576</v>
      </c>
      <c r="E1129" s="31"/>
      <c r="F1129" s="31" t="s">
        <v>576</v>
      </c>
      <c r="G1129" s="27">
        <v>5000</v>
      </c>
      <c r="H1129" s="31" t="s">
        <v>63</v>
      </c>
      <c r="I1129" s="31"/>
      <c r="J1129" s="26" t="s">
        <v>778</v>
      </c>
      <c r="K1129" s="27">
        <v>5000</v>
      </c>
      <c r="L1129" s="31" t="s">
        <v>1178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1178</v>
      </c>
      <c r="D1130" s="31" t="s">
        <v>575</v>
      </c>
      <c r="E1130" s="31" t="s">
        <v>885</v>
      </c>
      <c r="F1130" s="31" t="s">
        <v>773</v>
      </c>
      <c r="G1130" s="27">
        <v>3600</v>
      </c>
      <c r="H1130" s="31" t="s">
        <v>63</v>
      </c>
      <c r="I1130" s="31" t="s">
        <v>992</v>
      </c>
      <c r="J1130" s="26" t="s">
        <v>775</v>
      </c>
      <c r="K1130" s="27">
        <v>3600</v>
      </c>
      <c r="L1130" s="31" t="s">
        <v>1178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852</v>
      </c>
      <c r="D1131" s="31" t="s">
        <v>575</v>
      </c>
      <c r="E1131" s="31" t="s">
        <v>781</v>
      </c>
      <c r="F1131" s="31" t="s">
        <v>853</v>
      </c>
      <c r="G1131" s="27">
        <v>23500</v>
      </c>
      <c r="H1131" s="31" t="s">
        <v>63</v>
      </c>
      <c r="I1131" s="31" t="s">
        <v>1195</v>
      </c>
      <c r="J1131" s="26" t="s">
        <v>775</v>
      </c>
      <c r="K1131" s="27">
        <v>23500</v>
      </c>
      <c r="L1131" s="31" t="s">
        <v>769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196</v>
      </c>
      <c r="D1132" s="31" t="s">
        <v>575</v>
      </c>
      <c r="E1132" s="31" t="s">
        <v>781</v>
      </c>
      <c r="F1132" s="31" t="s">
        <v>854</v>
      </c>
      <c r="G1132" s="27">
        <v>-13000</v>
      </c>
      <c r="H1132" s="31" t="s">
        <v>63</v>
      </c>
      <c r="I1132" s="31"/>
      <c r="J1132" s="26" t="s">
        <v>775</v>
      </c>
      <c r="K1132" s="27">
        <v>-13000</v>
      </c>
      <c r="L1132" s="31" t="s">
        <v>769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1178</v>
      </c>
      <c r="D1133" s="31" t="s">
        <v>576</v>
      </c>
      <c r="E1133" s="31"/>
      <c r="F1133" s="31" t="s">
        <v>576</v>
      </c>
      <c r="G1133" s="27">
        <v>3050</v>
      </c>
      <c r="H1133" s="31" t="s">
        <v>63</v>
      </c>
      <c r="I1133" s="31"/>
      <c r="J1133" s="26" t="s">
        <v>778</v>
      </c>
      <c r="K1133" s="27">
        <v>3050</v>
      </c>
      <c r="L1133" s="31" t="s">
        <v>1178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766</v>
      </c>
      <c r="D1134" s="31" t="s">
        <v>576</v>
      </c>
      <c r="E1134" s="31"/>
      <c r="F1134" s="31" t="s">
        <v>576</v>
      </c>
      <c r="G1134" s="27">
        <v>1950</v>
      </c>
      <c r="H1134" s="31" t="s">
        <v>63</v>
      </c>
      <c r="I1134" s="31"/>
      <c r="J1134" s="26" t="s">
        <v>778</v>
      </c>
      <c r="K1134" s="27">
        <v>1950</v>
      </c>
      <c r="L1134" s="31" t="s">
        <v>769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196</v>
      </c>
      <c r="D1135" s="31" t="s">
        <v>22</v>
      </c>
      <c r="E1135" s="31"/>
      <c r="F1135" s="31" t="s">
        <v>1007</v>
      </c>
      <c r="G1135" s="27">
        <v>130</v>
      </c>
      <c r="H1135" s="31" t="s">
        <v>520</v>
      </c>
      <c r="I1135" s="31"/>
      <c r="J1135" s="26" t="s">
        <v>824</v>
      </c>
      <c r="K1135" s="27">
        <v>130</v>
      </c>
      <c r="L1135" s="31" t="s">
        <v>769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766</v>
      </c>
      <c r="D1136" s="31" t="s">
        <v>576</v>
      </c>
      <c r="E1136" s="31"/>
      <c r="F1136" s="31" t="s">
        <v>576</v>
      </c>
      <c r="G1136" s="27">
        <v>5000</v>
      </c>
      <c r="H1136" s="31" t="s">
        <v>63</v>
      </c>
      <c r="I1136" s="31"/>
      <c r="J1136" s="26" t="s">
        <v>778</v>
      </c>
      <c r="K1136" s="27">
        <v>5000</v>
      </c>
      <c r="L1136" s="31" t="s">
        <v>769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766</v>
      </c>
      <c r="D1137" s="31" t="s">
        <v>485</v>
      </c>
      <c r="E1137" s="31"/>
      <c r="F1137" s="31" t="s">
        <v>486</v>
      </c>
      <c r="G1137" s="27">
        <v>7890</v>
      </c>
      <c r="H1137" s="31" t="s">
        <v>63</v>
      </c>
      <c r="I1137" s="31"/>
      <c r="J1137" s="26" t="s">
        <v>768</v>
      </c>
      <c r="K1137" s="27">
        <v>7890</v>
      </c>
      <c r="L1137" s="31" t="s">
        <v>769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766</v>
      </c>
      <c r="D1138" s="31" t="s">
        <v>575</v>
      </c>
      <c r="E1138" s="31" t="s">
        <v>781</v>
      </c>
      <c r="F1138" s="31" t="s">
        <v>993</v>
      </c>
      <c r="G1138" s="27">
        <v>9500</v>
      </c>
      <c r="H1138" s="31" t="s">
        <v>63</v>
      </c>
      <c r="I1138" s="31"/>
      <c r="J1138" s="26" t="s">
        <v>775</v>
      </c>
      <c r="K1138" s="27">
        <v>9500</v>
      </c>
      <c r="L1138" s="31" t="s">
        <v>769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766</v>
      </c>
      <c r="D1139" s="31" t="s">
        <v>576</v>
      </c>
      <c r="E1139" s="31"/>
      <c r="F1139" s="31" t="s">
        <v>576</v>
      </c>
      <c r="G1139" s="27">
        <v>5000</v>
      </c>
      <c r="H1139" s="31" t="s">
        <v>63</v>
      </c>
      <c r="I1139" s="31"/>
      <c r="J1139" s="26" t="s">
        <v>778</v>
      </c>
      <c r="K1139" s="27">
        <v>5000</v>
      </c>
      <c r="L1139" s="31" t="s">
        <v>769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766</v>
      </c>
      <c r="D1140" s="31" t="s">
        <v>946</v>
      </c>
      <c r="E1140" s="31"/>
      <c r="F1140" s="31" t="s">
        <v>977</v>
      </c>
      <c r="G1140" s="27">
        <v>17000</v>
      </c>
      <c r="H1140" s="31" t="s">
        <v>63</v>
      </c>
      <c r="I1140" s="31"/>
      <c r="J1140" s="26" t="s">
        <v>775</v>
      </c>
      <c r="K1140" s="27">
        <v>17000</v>
      </c>
      <c r="L1140" s="31" t="s">
        <v>769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766</v>
      </c>
      <c r="D1141" s="31" t="s">
        <v>575</v>
      </c>
      <c r="E1141" s="31" t="s">
        <v>904</v>
      </c>
      <c r="F1141" s="31" t="s">
        <v>1092</v>
      </c>
      <c r="G1141" s="27">
        <v>11000</v>
      </c>
      <c r="H1141" s="31" t="s">
        <v>63</v>
      </c>
      <c r="I1141" s="31"/>
      <c r="J1141" s="26" t="s">
        <v>775</v>
      </c>
      <c r="K1141" s="27">
        <v>11000</v>
      </c>
      <c r="L1141" s="31" t="s">
        <v>769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766</v>
      </c>
      <c r="D1142" s="31" t="s">
        <v>796</v>
      </c>
      <c r="E1142" s="31"/>
      <c r="F1142" s="31" t="s">
        <v>797</v>
      </c>
      <c r="G1142" s="27">
        <v>21000</v>
      </c>
      <c r="H1142" s="31" t="s">
        <v>63</v>
      </c>
      <c r="I1142" s="31"/>
      <c r="J1142" s="26" t="s">
        <v>775</v>
      </c>
      <c r="K1142" s="27">
        <v>21000</v>
      </c>
      <c r="L1142" s="31" t="s">
        <v>769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766</v>
      </c>
      <c r="D1143" s="31" t="s">
        <v>576</v>
      </c>
      <c r="E1143" s="31"/>
      <c r="F1143" s="31" t="s">
        <v>576</v>
      </c>
      <c r="G1143" s="27">
        <v>5000</v>
      </c>
      <c r="H1143" s="31" t="s">
        <v>63</v>
      </c>
      <c r="I1143" s="31"/>
      <c r="J1143" s="26" t="s">
        <v>778</v>
      </c>
      <c r="K1143" s="27">
        <v>5000</v>
      </c>
      <c r="L1143" s="31" t="s">
        <v>769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766</v>
      </c>
      <c r="D1144" s="31" t="s">
        <v>912</v>
      </c>
      <c r="E1144" s="31" t="s">
        <v>580</v>
      </c>
      <c r="F1144" s="31" t="s">
        <v>1016</v>
      </c>
      <c r="G1144" s="27">
        <v>7900</v>
      </c>
      <c r="H1144" s="31" t="s">
        <v>63</v>
      </c>
      <c r="I1144" s="31"/>
      <c r="J1144" s="26" t="s">
        <v>783</v>
      </c>
      <c r="K1144" s="27">
        <v>7900</v>
      </c>
      <c r="L1144" s="31" t="s">
        <v>769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766</v>
      </c>
      <c r="D1145" s="31" t="s">
        <v>575</v>
      </c>
      <c r="E1145" s="31" t="s">
        <v>772</v>
      </c>
      <c r="F1145" s="31" t="s">
        <v>1117</v>
      </c>
      <c r="G1145" s="27">
        <v>2500</v>
      </c>
      <c r="H1145" s="31" t="s">
        <v>63</v>
      </c>
      <c r="I1145" s="31" t="s">
        <v>1009</v>
      </c>
      <c r="J1145" s="26" t="s">
        <v>775</v>
      </c>
      <c r="K1145" s="27">
        <v>2500</v>
      </c>
      <c r="L1145" s="31" t="s">
        <v>769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887</v>
      </c>
      <c r="D1146" s="31" t="s">
        <v>942</v>
      </c>
      <c r="E1146" s="31"/>
      <c r="F1146" s="31" t="s">
        <v>943</v>
      </c>
      <c r="G1146" s="27">
        <v>56770</v>
      </c>
      <c r="H1146" s="31" t="s">
        <v>63</v>
      </c>
      <c r="I1146" s="31" t="s">
        <v>1196</v>
      </c>
      <c r="J1146" s="26" t="s">
        <v>768</v>
      </c>
      <c r="K1146" s="27">
        <v>56770</v>
      </c>
      <c r="L1146" s="31" t="s">
        <v>769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827</v>
      </c>
      <c r="D1147" s="31" t="s">
        <v>942</v>
      </c>
      <c r="E1147" s="31"/>
      <c r="F1147" s="31" t="s">
        <v>1197</v>
      </c>
      <c r="G1147" s="27">
        <v>1200</v>
      </c>
      <c r="H1147" s="31" t="s">
        <v>63</v>
      </c>
      <c r="I1147" s="31"/>
      <c r="J1147" s="26" t="s">
        <v>768</v>
      </c>
      <c r="K1147" s="27">
        <v>1200</v>
      </c>
      <c r="L1147" s="31" t="s">
        <v>769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766</v>
      </c>
      <c r="D1148" s="31" t="s">
        <v>22</v>
      </c>
      <c r="E1148" s="31"/>
      <c r="F1148" s="31" t="s">
        <v>941</v>
      </c>
      <c r="G1148" s="27">
        <v>-21000</v>
      </c>
      <c r="H1148" s="31" t="s">
        <v>63</v>
      </c>
      <c r="I1148" s="31"/>
      <c r="J1148" s="26" t="s">
        <v>849</v>
      </c>
      <c r="K1148" s="27">
        <v>-21000</v>
      </c>
      <c r="L1148" s="31" t="s">
        <v>769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766</v>
      </c>
      <c r="D1149" s="31" t="s">
        <v>947</v>
      </c>
      <c r="E1149" s="31"/>
      <c r="F1149" s="31" t="s">
        <v>1198</v>
      </c>
      <c r="G1149" s="27">
        <v>-200</v>
      </c>
      <c r="H1149" s="31" t="s">
        <v>63</v>
      </c>
      <c r="I1149" s="31" t="s">
        <v>948</v>
      </c>
      <c r="J1149" s="26" t="s">
        <v>775</v>
      </c>
      <c r="K1149" s="27">
        <v>-200</v>
      </c>
      <c r="L1149" s="31" t="s">
        <v>769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924</v>
      </c>
      <c r="D1150" s="31" t="s">
        <v>22</v>
      </c>
      <c r="E1150" s="31"/>
      <c r="F1150" s="31" t="s">
        <v>950</v>
      </c>
      <c r="G1150" s="27">
        <v>11795</v>
      </c>
      <c r="H1150" s="31" t="s">
        <v>63</v>
      </c>
      <c r="I1150" s="31"/>
      <c r="J1150" s="26" t="s">
        <v>768</v>
      </c>
      <c r="K1150" s="27">
        <v>11795</v>
      </c>
      <c r="L1150" s="31" t="s">
        <v>769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766</v>
      </c>
      <c r="D1151" s="31" t="s">
        <v>1053</v>
      </c>
      <c r="E1151" s="31"/>
      <c r="F1151" s="31" t="s">
        <v>996</v>
      </c>
      <c r="G1151" s="27">
        <v>14450</v>
      </c>
      <c r="H1151" s="31" t="s">
        <v>63</v>
      </c>
      <c r="I1151" s="31"/>
      <c r="J1151" s="26" t="s">
        <v>775</v>
      </c>
      <c r="K1151" s="27">
        <v>14450</v>
      </c>
      <c r="L1151" s="31" t="s">
        <v>769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852</v>
      </c>
      <c r="D1152" s="31" t="s">
        <v>575</v>
      </c>
      <c r="E1152" s="31" t="s">
        <v>792</v>
      </c>
      <c r="F1152" s="31" t="s">
        <v>853</v>
      </c>
      <c r="G1152" s="27">
        <v>11900</v>
      </c>
      <c r="H1152" s="31" t="s">
        <v>63</v>
      </c>
      <c r="I1152" s="31"/>
      <c r="J1152" s="26" t="s">
        <v>775</v>
      </c>
      <c r="K1152" s="27">
        <v>11900</v>
      </c>
      <c r="L1152" s="31" t="s">
        <v>769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766</v>
      </c>
      <c r="D1153" s="31" t="s">
        <v>575</v>
      </c>
      <c r="E1153" s="31" t="s">
        <v>772</v>
      </c>
      <c r="F1153" s="31" t="s">
        <v>884</v>
      </c>
      <c r="G1153" s="27">
        <v>3300</v>
      </c>
      <c r="H1153" s="31" t="s">
        <v>63</v>
      </c>
      <c r="I1153" s="31"/>
      <c r="J1153" s="26" t="s">
        <v>775</v>
      </c>
      <c r="K1153" s="27">
        <v>3300</v>
      </c>
      <c r="L1153" s="31" t="s">
        <v>769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1078</v>
      </c>
      <c r="D1154" s="31" t="s">
        <v>22</v>
      </c>
      <c r="E1154" s="31"/>
      <c r="F1154" s="31" t="s">
        <v>1135</v>
      </c>
      <c r="G1154" s="27">
        <v>1648</v>
      </c>
      <c r="H1154" s="31" t="s">
        <v>520</v>
      </c>
      <c r="I1154" s="31"/>
      <c r="J1154" s="26" t="s">
        <v>824</v>
      </c>
      <c r="K1154" s="27">
        <v>1648</v>
      </c>
      <c r="L1154" s="31" t="s">
        <v>769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1078</v>
      </c>
      <c r="D1155" s="31" t="s">
        <v>163</v>
      </c>
      <c r="E1155" s="31"/>
      <c r="F1155" s="31" t="s">
        <v>81</v>
      </c>
      <c r="G1155" s="27">
        <v>4705400</v>
      </c>
      <c r="H1155" s="31" t="s">
        <v>807</v>
      </c>
      <c r="I1155" s="31"/>
      <c r="J1155" s="26" t="s">
        <v>805</v>
      </c>
      <c r="K1155" s="27">
        <v>4705400</v>
      </c>
      <c r="L1155" s="31" t="s">
        <v>769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163</v>
      </c>
      <c r="D1156" s="31" t="s">
        <v>1078</v>
      </c>
      <c r="E1156" s="31"/>
      <c r="F1156" s="31" t="s">
        <v>81</v>
      </c>
      <c r="G1156" s="27">
        <v>4705400</v>
      </c>
      <c r="H1156" s="31" t="s">
        <v>804</v>
      </c>
      <c r="I1156" s="31"/>
      <c r="J1156" s="26" t="s">
        <v>805</v>
      </c>
      <c r="K1156" s="27">
        <v>4705400</v>
      </c>
      <c r="L1156" s="31" t="s">
        <v>769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163</v>
      </c>
      <c r="D1157" s="31" t="s">
        <v>22</v>
      </c>
      <c r="E1157" s="31"/>
      <c r="F1157" s="31" t="s">
        <v>188</v>
      </c>
      <c r="G1157" s="27">
        <v>739</v>
      </c>
      <c r="H1157" s="31" t="s">
        <v>520</v>
      </c>
      <c r="I1157" s="31"/>
      <c r="J1157" s="26" t="s">
        <v>824</v>
      </c>
      <c r="K1157" s="27">
        <v>739</v>
      </c>
      <c r="L1157" s="31" t="s">
        <v>769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766</v>
      </c>
      <c r="D1158" s="31" t="s">
        <v>576</v>
      </c>
      <c r="E1158" s="31"/>
      <c r="F1158" s="31" t="s">
        <v>576</v>
      </c>
      <c r="G1158" s="27">
        <v>5000</v>
      </c>
      <c r="H1158" s="31" t="s">
        <v>63</v>
      </c>
      <c r="I1158" s="31" t="s">
        <v>1199</v>
      </c>
      <c r="J1158" s="26" t="s">
        <v>778</v>
      </c>
      <c r="K1158" s="27">
        <v>5000</v>
      </c>
      <c r="L1158" s="31" t="s">
        <v>769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766</v>
      </c>
      <c r="D1159" s="31" t="s">
        <v>575</v>
      </c>
      <c r="E1159" s="31" t="s">
        <v>772</v>
      </c>
      <c r="F1159" s="31" t="s">
        <v>773</v>
      </c>
      <c r="G1159" s="27">
        <v>2100</v>
      </c>
      <c r="H1159" s="31" t="s">
        <v>63</v>
      </c>
      <c r="I1159" s="31" t="s">
        <v>1200</v>
      </c>
      <c r="J1159" s="26" t="s">
        <v>775</v>
      </c>
      <c r="K1159" s="27">
        <v>2100</v>
      </c>
      <c r="L1159" s="31" t="s">
        <v>769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766</v>
      </c>
      <c r="D1160" s="31" t="s">
        <v>576</v>
      </c>
      <c r="E1160" s="31"/>
      <c r="F1160" s="31" t="s">
        <v>576</v>
      </c>
      <c r="G1160" s="27">
        <v>5000</v>
      </c>
      <c r="H1160" s="31" t="s">
        <v>63</v>
      </c>
      <c r="I1160" s="31" t="s">
        <v>1201</v>
      </c>
      <c r="J1160" s="26" t="s">
        <v>778</v>
      </c>
      <c r="K1160" s="27">
        <v>5000</v>
      </c>
      <c r="L1160" s="31" t="s">
        <v>769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780</v>
      </c>
      <c r="D1161" s="31" t="s">
        <v>576</v>
      </c>
      <c r="E1161" s="31"/>
      <c r="F1161" s="31" t="s">
        <v>576</v>
      </c>
      <c r="G1161" s="27">
        <v>5000</v>
      </c>
      <c r="H1161" s="31" t="s">
        <v>63</v>
      </c>
      <c r="I1161" s="31"/>
      <c r="J1161" s="26" t="s">
        <v>778</v>
      </c>
      <c r="K1161" s="27">
        <v>5000</v>
      </c>
      <c r="L1161" s="31" t="s">
        <v>769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766</v>
      </c>
      <c r="D1162" s="31" t="s">
        <v>485</v>
      </c>
      <c r="E1162" s="31"/>
      <c r="F1162" s="31" t="s">
        <v>767</v>
      </c>
      <c r="G1162" s="27">
        <v>2446</v>
      </c>
      <c r="H1162" s="31" t="s">
        <v>63</v>
      </c>
      <c r="I1162" s="31"/>
      <c r="J1162" s="26" t="s">
        <v>768</v>
      </c>
      <c r="K1162" s="27">
        <v>2446</v>
      </c>
      <c r="L1162" s="31" t="s">
        <v>769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175</v>
      </c>
      <c r="D1163" s="31" t="s">
        <v>22</v>
      </c>
      <c r="E1163" s="31"/>
      <c r="F1163" s="31" t="s">
        <v>938</v>
      </c>
      <c r="G1163" s="27">
        <v>17476</v>
      </c>
      <c r="H1163" s="31" t="s">
        <v>63</v>
      </c>
      <c r="I1163" s="31"/>
      <c r="J1163" s="26" t="s">
        <v>768</v>
      </c>
      <c r="K1163" s="27">
        <v>17476</v>
      </c>
      <c r="L1163" s="31" t="s">
        <v>769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780</v>
      </c>
      <c r="D1164" s="31" t="s">
        <v>575</v>
      </c>
      <c r="E1164" s="31" t="s">
        <v>885</v>
      </c>
      <c r="F1164" s="31" t="s">
        <v>991</v>
      </c>
      <c r="G1164" s="27">
        <v>5800</v>
      </c>
      <c r="H1164" s="31" t="s">
        <v>63</v>
      </c>
      <c r="I1164" s="31"/>
      <c r="J1164" s="26" t="s">
        <v>775</v>
      </c>
      <c r="K1164" s="27">
        <v>5800</v>
      </c>
      <c r="L1164" s="31" t="s">
        <v>769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766</v>
      </c>
      <c r="D1165" s="31" t="s">
        <v>575</v>
      </c>
      <c r="E1165" s="31" t="s">
        <v>772</v>
      </c>
      <c r="F1165" s="31" t="s">
        <v>773</v>
      </c>
      <c r="G1165" s="27">
        <v>2300</v>
      </c>
      <c r="H1165" s="31" t="s">
        <v>63</v>
      </c>
      <c r="I1165" s="31" t="s">
        <v>1202</v>
      </c>
      <c r="J1165" s="26" t="s">
        <v>775</v>
      </c>
      <c r="K1165" s="27">
        <v>2300</v>
      </c>
      <c r="L1165" s="31" t="s">
        <v>769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766</v>
      </c>
      <c r="D1166" s="31" t="s">
        <v>575</v>
      </c>
      <c r="E1166" s="31" t="s">
        <v>885</v>
      </c>
      <c r="F1166" s="31" t="s">
        <v>773</v>
      </c>
      <c r="G1166" s="27">
        <v>7200</v>
      </c>
      <c r="H1166" s="31" t="s">
        <v>63</v>
      </c>
      <c r="I1166" s="31" t="s">
        <v>1203</v>
      </c>
      <c r="J1166" s="26" t="s">
        <v>775</v>
      </c>
      <c r="K1166" s="27">
        <v>7200</v>
      </c>
      <c r="L1166" s="31" t="s">
        <v>769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780</v>
      </c>
      <c r="D1167" s="31" t="s">
        <v>576</v>
      </c>
      <c r="E1167" s="31"/>
      <c r="F1167" s="31" t="s">
        <v>576</v>
      </c>
      <c r="G1167" s="27">
        <v>5000</v>
      </c>
      <c r="H1167" s="31" t="s">
        <v>63</v>
      </c>
      <c r="I1167" s="31"/>
      <c r="J1167" s="26" t="s">
        <v>778</v>
      </c>
      <c r="K1167" s="27">
        <v>5000</v>
      </c>
      <c r="L1167" s="31" t="s">
        <v>769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780</v>
      </c>
      <c r="D1168" s="31" t="s">
        <v>575</v>
      </c>
      <c r="E1168" s="31" t="s">
        <v>772</v>
      </c>
      <c r="F1168" s="31" t="s">
        <v>891</v>
      </c>
      <c r="G1168" s="27">
        <v>4400</v>
      </c>
      <c r="H1168" s="31" t="s">
        <v>63</v>
      </c>
      <c r="I1168" s="31"/>
      <c r="J1168" s="26" t="s">
        <v>775</v>
      </c>
      <c r="K1168" s="27">
        <v>4400</v>
      </c>
      <c r="L1168" s="31" t="s">
        <v>769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780</v>
      </c>
      <c r="D1169" s="31" t="s">
        <v>575</v>
      </c>
      <c r="E1169" s="31" t="s">
        <v>781</v>
      </c>
      <c r="F1169" s="31" t="s">
        <v>910</v>
      </c>
      <c r="G1169" s="27">
        <v>15000</v>
      </c>
      <c r="H1169" s="31" t="s">
        <v>63</v>
      </c>
      <c r="I1169" s="31"/>
      <c r="J1169" s="26" t="s">
        <v>775</v>
      </c>
      <c r="K1169" s="27">
        <v>15000</v>
      </c>
      <c r="L1169" s="31" t="s">
        <v>769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766</v>
      </c>
      <c r="D1170" s="31" t="s">
        <v>485</v>
      </c>
      <c r="E1170" s="31"/>
      <c r="F1170" s="31" t="s">
        <v>777</v>
      </c>
      <c r="G1170" s="27">
        <v>9000</v>
      </c>
      <c r="H1170" s="31" t="s">
        <v>63</v>
      </c>
      <c r="I1170" s="31"/>
      <c r="J1170" s="26" t="s">
        <v>768</v>
      </c>
      <c r="K1170" s="27">
        <v>9000</v>
      </c>
      <c r="L1170" s="31" t="s">
        <v>769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780</v>
      </c>
      <c r="D1171" s="31" t="s">
        <v>575</v>
      </c>
      <c r="E1171" s="31" t="s">
        <v>772</v>
      </c>
      <c r="F1171" s="31" t="s">
        <v>814</v>
      </c>
      <c r="G1171" s="27">
        <v>9200</v>
      </c>
      <c r="H1171" s="31" t="s">
        <v>63</v>
      </c>
      <c r="I1171" s="31"/>
      <c r="J1171" s="26" t="s">
        <v>775</v>
      </c>
      <c r="K1171" s="27">
        <v>9200</v>
      </c>
      <c r="L1171" s="31" t="s">
        <v>769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766</v>
      </c>
      <c r="D1172" s="31" t="s">
        <v>575</v>
      </c>
      <c r="E1172" s="31" t="s">
        <v>904</v>
      </c>
      <c r="F1172" s="31" t="s">
        <v>1171</v>
      </c>
      <c r="G1172" s="27">
        <v>8900</v>
      </c>
      <c r="H1172" s="31" t="s">
        <v>63</v>
      </c>
      <c r="I1172" s="31"/>
      <c r="J1172" s="26" t="s">
        <v>775</v>
      </c>
      <c r="K1172" s="27">
        <v>8900</v>
      </c>
      <c r="L1172" s="31" t="s">
        <v>769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780</v>
      </c>
      <c r="D1173" s="31" t="s">
        <v>575</v>
      </c>
      <c r="E1173" s="31" t="s">
        <v>772</v>
      </c>
      <c r="F1173" s="31" t="s">
        <v>773</v>
      </c>
      <c r="G1173" s="27">
        <v>3800</v>
      </c>
      <c r="H1173" s="31" t="s">
        <v>63</v>
      </c>
      <c r="I1173" s="31" t="s">
        <v>1204</v>
      </c>
      <c r="J1173" s="26" t="s">
        <v>775</v>
      </c>
      <c r="K1173" s="27">
        <v>3800</v>
      </c>
      <c r="L1173" s="31" t="s">
        <v>769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852</v>
      </c>
      <c r="D1174" s="31" t="s">
        <v>575</v>
      </c>
      <c r="E1174" s="31" t="s">
        <v>792</v>
      </c>
      <c r="F1174" s="31" t="s">
        <v>853</v>
      </c>
      <c r="G1174" s="27">
        <v>12800</v>
      </c>
      <c r="H1174" s="31" t="s">
        <v>63</v>
      </c>
      <c r="I1174" s="31" t="s">
        <v>995</v>
      </c>
      <c r="J1174" s="26" t="s">
        <v>775</v>
      </c>
      <c r="K1174" s="27">
        <v>12800</v>
      </c>
      <c r="L1174" s="31" t="s">
        <v>769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780</v>
      </c>
      <c r="D1175" s="31" t="s">
        <v>575</v>
      </c>
      <c r="E1175" s="31" t="s">
        <v>772</v>
      </c>
      <c r="F1175" s="31" t="s">
        <v>773</v>
      </c>
      <c r="G1175" s="27">
        <v>2780</v>
      </c>
      <c r="H1175" s="31" t="s">
        <v>63</v>
      </c>
      <c r="I1175" s="31" t="s">
        <v>859</v>
      </c>
      <c r="J1175" s="26" t="s">
        <v>775</v>
      </c>
      <c r="K1175" s="27">
        <v>2780</v>
      </c>
      <c r="L1175" s="31" t="s">
        <v>769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780</v>
      </c>
      <c r="D1176" s="31" t="s">
        <v>576</v>
      </c>
      <c r="E1176" s="31"/>
      <c r="F1176" s="31" t="s">
        <v>576</v>
      </c>
      <c r="G1176" s="27">
        <v>5000</v>
      </c>
      <c r="H1176" s="31" t="s">
        <v>63</v>
      </c>
      <c r="I1176" s="31"/>
      <c r="J1176" s="26" t="s">
        <v>778</v>
      </c>
      <c r="K1176" s="27">
        <v>5000</v>
      </c>
      <c r="L1176" s="31" t="s">
        <v>769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766</v>
      </c>
      <c r="D1177" s="31" t="s">
        <v>796</v>
      </c>
      <c r="E1177" s="31"/>
      <c r="F1177" s="31" t="s">
        <v>797</v>
      </c>
      <c r="G1177" s="27">
        <v>42000</v>
      </c>
      <c r="H1177" s="31" t="s">
        <v>63</v>
      </c>
      <c r="I1177" s="31"/>
      <c r="J1177" s="26" t="s">
        <v>775</v>
      </c>
      <c r="K1177" s="27">
        <v>42000</v>
      </c>
      <c r="L1177" s="31" t="s">
        <v>769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780</v>
      </c>
      <c r="D1178" s="31" t="s">
        <v>576</v>
      </c>
      <c r="E1178" s="31"/>
      <c r="F1178" s="31" t="s">
        <v>576</v>
      </c>
      <c r="G1178" s="27">
        <v>5000</v>
      </c>
      <c r="H1178" s="31" t="s">
        <v>63</v>
      </c>
      <c r="I1178" s="31"/>
      <c r="J1178" s="26" t="s">
        <v>778</v>
      </c>
      <c r="K1178" s="27">
        <v>5000</v>
      </c>
      <c r="L1178" s="31" t="s">
        <v>769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766</v>
      </c>
      <c r="D1179" s="31" t="s">
        <v>485</v>
      </c>
      <c r="E1179" s="31"/>
      <c r="F1179" s="31" t="s">
        <v>808</v>
      </c>
      <c r="G1179" s="27">
        <v>8245</v>
      </c>
      <c r="H1179" s="31" t="s">
        <v>63</v>
      </c>
      <c r="I1179" s="31"/>
      <c r="J1179" s="26" t="s">
        <v>768</v>
      </c>
      <c r="K1179" s="27">
        <v>8245</v>
      </c>
      <c r="L1179" s="31" t="s">
        <v>769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766</v>
      </c>
      <c r="D1180" s="31" t="s">
        <v>485</v>
      </c>
      <c r="E1180" s="31"/>
      <c r="F1180" s="31" t="s">
        <v>691</v>
      </c>
      <c r="G1180" s="27">
        <v>1800</v>
      </c>
      <c r="H1180" s="31" t="s">
        <v>63</v>
      </c>
      <c r="I1180" s="31" t="s">
        <v>810</v>
      </c>
      <c r="J1180" s="26" t="s">
        <v>768</v>
      </c>
      <c r="K1180" s="27">
        <v>1800</v>
      </c>
      <c r="L1180" s="31" t="s">
        <v>769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780</v>
      </c>
      <c r="D1181" s="31" t="s">
        <v>575</v>
      </c>
      <c r="E1181" s="31" t="s">
        <v>781</v>
      </c>
      <c r="F1181" s="31" t="s">
        <v>872</v>
      </c>
      <c r="G1181" s="27">
        <v>12000</v>
      </c>
      <c r="H1181" s="31" t="s">
        <v>63</v>
      </c>
      <c r="I1181" s="31"/>
      <c r="J1181" s="26" t="s">
        <v>775</v>
      </c>
      <c r="K1181" s="27">
        <v>12000</v>
      </c>
      <c r="L1181" s="31" t="s">
        <v>769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163</v>
      </c>
      <c r="D1182" s="31" t="s">
        <v>827</v>
      </c>
      <c r="E1182" s="31"/>
      <c r="F1182" s="31" t="s">
        <v>828</v>
      </c>
      <c r="G1182" s="27">
        <v>1200</v>
      </c>
      <c r="H1182" s="31" t="s">
        <v>807</v>
      </c>
      <c r="I1182" s="31"/>
      <c r="J1182" s="26" t="s">
        <v>805</v>
      </c>
      <c r="K1182" s="27">
        <v>1200</v>
      </c>
      <c r="L1182" s="31" t="s">
        <v>769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827</v>
      </c>
      <c r="D1183" s="31" t="s">
        <v>163</v>
      </c>
      <c r="E1183" s="31"/>
      <c r="F1183" s="31" t="s">
        <v>828</v>
      </c>
      <c r="G1183" s="27">
        <v>1200</v>
      </c>
      <c r="H1183" s="31" t="s">
        <v>804</v>
      </c>
      <c r="I1183" s="31"/>
      <c r="J1183" s="26" t="s">
        <v>805</v>
      </c>
      <c r="K1183" s="27">
        <v>1200</v>
      </c>
      <c r="L1183" s="31" t="s">
        <v>769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780</v>
      </c>
      <c r="D1184" s="31" t="s">
        <v>811</v>
      </c>
      <c r="E1184" s="31"/>
      <c r="F1184" s="31" t="s">
        <v>1205</v>
      </c>
      <c r="G1184" s="27">
        <v>10200</v>
      </c>
      <c r="H1184" s="31" t="s">
        <v>63</v>
      </c>
      <c r="I1184" s="31" t="s">
        <v>619</v>
      </c>
      <c r="J1184" s="26" t="s">
        <v>768</v>
      </c>
      <c r="K1184" s="27">
        <v>10200</v>
      </c>
      <c r="L1184" s="31" t="s">
        <v>769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780</v>
      </c>
      <c r="D1185" s="31" t="s">
        <v>576</v>
      </c>
      <c r="E1185" s="31"/>
      <c r="F1185" s="31" t="s">
        <v>576</v>
      </c>
      <c r="G1185" s="27">
        <v>4500</v>
      </c>
      <c r="H1185" s="31" t="s">
        <v>63</v>
      </c>
      <c r="I1185" s="31"/>
      <c r="J1185" s="26" t="s">
        <v>778</v>
      </c>
      <c r="K1185" s="27">
        <v>4500</v>
      </c>
      <c r="L1185" s="31" t="s">
        <v>769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163</v>
      </c>
      <c r="D1186" s="31" t="s">
        <v>575</v>
      </c>
      <c r="E1186" s="31" t="s">
        <v>781</v>
      </c>
      <c r="F1186" s="31" t="s">
        <v>103</v>
      </c>
      <c r="G1186" s="27">
        <v>14000</v>
      </c>
      <c r="H1186" s="31" t="s">
        <v>63</v>
      </c>
      <c r="I1186" s="31"/>
      <c r="J1186" s="26" t="s">
        <v>775</v>
      </c>
      <c r="K1186" s="27">
        <v>14000</v>
      </c>
      <c r="L1186" s="31" t="s">
        <v>769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780</v>
      </c>
      <c r="D1187" s="31" t="s">
        <v>575</v>
      </c>
      <c r="E1187" s="31" t="s">
        <v>772</v>
      </c>
      <c r="F1187" s="31" t="s">
        <v>814</v>
      </c>
      <c r="G1187" s="27">
        <v>10000</v>
      </c>
      <c r="H1187" s="31" t="s">
        <v>63</v>
      </c>
      <c r="I1187" s="31"/>
      <c r="J1187" s="26" t="s">
        <v>775</v>
      </c>
      <c r="K1187" s="27">
        <v>10000</v>
      </c>
      <c r="L1187" s="31" t="s">
        <v>769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780</v>
      </c>
      <c r="D1188" s="31" t="s">
        <v>843</v>
      </c>
      <c r="E1188" s="31" t="s">
        <v>844</v>
      </c>
      <c r="F1188" s="31" t="s">
        <v>1206</v>
      </c>
      <c r="G1188" s="27">
        <v>5000</v>
      </c>
      <c r="H1188" s="31" t="s">
        <v>63</v>
      </c>
      <c r="I1188" s="31"/>
      <c r="J1188" s="26" t="s">
        <v>775</v>
      </c>
      <c r="K1188" s="27">
        <v>5000</v>
      </c>
      <c r="L1188" s="31" t="s">
        <v>769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766</v>
      </c>
      <c r="D1189" s="31" t="s">
        <v>906</v>
      </c>
      <c r="E1189" s="31"/>
      <c r="F1189" s="31" t="s">
        <v>1207</v>
      </c>
      <c r="G1189" s="27">
        <v>16000</v>
      </c>
      <c r="H1189" s="31" t="s">
        <v>63</v>
      </c>
      <c r="I1189" s="31" t="s">
        <v>1208</v>
      </c>
      <c r="J1189" s="26" t="s">
        <v>775</v>
      </c>
      <c r="K1189" s="27">
        <v>16000</v>
      </c>
      <c r="L1189" s="31" t="s">
        <v>769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780</v>
      </c>
      <c r="D1190" s="31" t="s">
        <v>796</v>
      </c>
      <c r="E1190" s="31"/>
      <c r="F1190" s="31" t="s">
        <v>1209</v>
      </c>
      <c r="G1190" s="27">
        <v>3000</v>
      </c>
      <c r="H1190" s="31" t="s">
        <v>63</v>
      </c>
      <c r="I1190" s="31" t="s">
        <v>797</v>
      </c>
      <c r="J1190" s="26" t="s">
        <v>775</v>
      </c>
      <c r="K1190" s="27">
        <v>3000</v>
      </c>
      <c r="L1190" s="31" t="s">
        <v>769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780</v>
      </c>
      <c r="D1191" s="31" t="s">
        <v>912</v>
      </c>
      <c r="E1191" s="31" t="s">
        <v>1190</v>
      </c>
      <c r="F1191" s="31" t="s">
        <v>1210</v>
      </c>
      <c r="G1191" s="27">
        <v>13000</v>
      </c>
      <c r="H1191" s="31" t="s">
        <v>63</v>
      </c>
      <c r="I1191" s="31" t="s">
        <v>1211</v>
      </c>
      <c r="J1191" s="26" t="s">
        <v>783</v>
      </c>
      <c r="K1191" s="27">
        <v>13000</v>
      </c>
      <c r="L1191" s="31" t="s">
        <v>769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196</v>
      </c>
      <c r="D1192" s="31" t="s">
        <v>22</v>
      </c>
      <c r="E1192" s="31"/>
      <c r="F1192" s="31" t="s">
        <v>1212</v>
      </c>
      <c r="G1192" s="27">
        <v>30000000</v>
      </c>
      <c r="H1192" s="31" t="s">
        <v>520</v>
      </c>
      <c r="I1192" s="31"/>
      <c r="J1192" s="26" t="s">
        <v>818</v>
      </c>
      <c r="K1192" s="27">
        <v>30000000</v>
      </c>
      <c r="L1192" s="31" t="s">
        <v>769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163</v>
      </c>
      <c r="D1193" s="31" t="s">
        <v>817</v>
      </c>
      <c r="E1193" s="31"/>
      <c r="F1193" s="31" t="s">
        <v>82</v>
      </c>
      <c r="G1193" s="27">
        <v>550000</v>
      </c>
      <c r="H1193" s="31" t="s">
        <v>63</v>
      </c>
      <c r="I1193" s="31"/>
      <c r="J1193" s="26" t="s">
        <v>768</v>
      </c>
      <c r="K1193" s="27">
        <v>550000</v>
      </c>
      <c r="L1193" s="31" t="s">
        <v>769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780</v>
      </c>
      <c r="D1194" s="31" t="s">
        <v>576</v>
      </c>
      <c r="E1194" s="31"/>
      <c r="F1194" s="31" t="s">
        <v>576</v>
      </c>
      <c r="G1194" s="27">
        <v>4500</v>
      </c>
      <c r="H1194" s="31" t="s">
        <v>63</v>
      </c>
      <c r="I1194" s="31"/>
      <c r="J1194" s="26" t="s">
        <v>778</v>
      </c>
      <c r="K1194" s="27">
        <v>4500</v>
      </c>
      <c r="L1194" s="31" t="s">
        <v>769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766</v>
      </c>
      <c r="D1195" s="31" t="s">
        <v>912</v>
      </c>
      <c r="E1195" s="31" t="s">
        <v>1190</v>
      </c>
      <c r="F1195" s="31" t="s">
        <v>1213</v>
      </c>
      <c r="G1195" s="27">
        <v>39000</v>
      </c>
      <c r="H1195" s="31" t="s">
        <v>63</v>
      </c>
      <c r="I1195" s="31" t="s">
        <v>104</v>
      </c>
      <c r="J1195" s="26" t="s">
        <v>783</v>
      </c>
      <c r="K1195" s="27">
        <v>39000</v>
      </c>
      <c r="L1195" s="31" t="s">
        <v>769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852</v>
      </c>
      <c r="D1196" s="31" t="s">
        <v>575</v>
      </c>
      <c r="E1196" s="31" t="s">
        <v>792</v>
      </c>
      <c r="F1196" s="31" t="s">
        <v>853</v>
      </c>
      <c r="G1196" s="27">
        <v>12000</v>
      </c>
      <c r="H1196" s="31" t="s">
        <v>63</v>
      </c>
      <c r="I1196" s="31" t="s">
        <v>995</v>
      </c>
      <c r="J1196" s="26" t="s">
        <v>775</v>
      </c>
      <c r="K1196" s="27">
        <v>12000</v>
      </c>
      <c r="L1196" s="31" t="s">
        <v>769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780</v>
      </c>
      <c r="D1197" s="31" t="s">
        <v>575</v>
      </c>
      <c r="E1197" s="31" t="s">
        <v>772</v>
      </c>
      <c r="F1197" s="31" t="s">
        <v>773</v>
      </c>
      <c r="G1197" s="27">
        <v>2500</v>
      </c>
      <c r="H1197" s="31" t="s">
        <v>63</v>
      </c>
      <c r="I1197" s="31" t="s">
        <v>1214</v>
      </c>
      <c r="J1197" s="26" t="s">
        <v>775</v>
      </c>
      <c r="K1197" s="27">
        <v>2500</v>
      </c>
      <c r="L1197" s="31" t="s">
        <v>769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780</v>
      </c>
      <c r="D1198" s="31" t="s">
        <v>575</v>
      </c>
      <c r="E1198" s="31" t="s">
        <v>772</v>
      </c>
      <c r="F1198" s="31" t="s">
        <v>773</v>
      </c>
      <c r="G1198" s="27">
        <v>3400</v>
      </c>
      <c r="H1198" s="31" t="s">
        <v>63</v>
      </c>
      <c r="I1198" s="31" t="s">
        <v>794</v>
      </c>
      <c r="J1198" s="26" t="s">
        <v>775</v>
      </c>
      <c r="K1198" s="27">
        <v>3400</v>
      </c>
      <c r="L1198" s="31" t="s">
        <v>769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780</v>
      </c>
      <c r="D1199" s="31" t="s">
        <v>576</v>
      </c>
      <c r="E1199" s="31"/>
      <c r="F1199" s="31" t="s">
        <v>576</v>
      </c>
      <c r="G1199" s="27">
        <v>5000</v>
      </c>
      <c r="H1199" s="31" t="s">
        <v>63</v>
      </c>
      <c r="I1199" s="31"/>
      <c r="J1199" s="26" t="s">
        <v>778</v>
      </c>
      <c r="K1199" s="27">
        <v>5000</v>
      </c>
      <c r="L1199" s="31" t="s">
        <v>769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163</v>
      </c>
      <c r="D1200" s="31" t="s">
        <v>22</v>
      </c>
      <c r="E1200" s="31"/>
      <c r="F1200" s="31" t="s">
        <v>188</v>
      </c>
      <c r="G1200" s="27">
        <v>679</v>
      </c>
      <c r="H1200" s="31" t="s">
        <v>520</v>
      </c>
      <c r="I1200" s="31"/>
      <c r="J1200" s="26" t="s">
        <v>824</v>
      </c>
      <c r="K1200" s="27">
        <v>679</v>
      </c>
      <c r="L1200" s="31" t="s">
        <v>769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852</v>
      </c>
      <c r="D1201" s="31" t="s">
        <v>575</v>
      </c>
      <c r="E1201" s="31" t="s">
        <v>792</v>
      </c>
      <c r="F1201" s="31" t="s">
        <v>853</v>
      </c>
      <c r="G1201" s="27">
        <v>11900</v>
      </c>
      <c r="H1201" s="31" t="s">
        <v>63</v>
      </c>
      <c r="I1201" s="31" t="s">
        <v>1215</v>
      </c>
      <c r="J1201" s="26" t="s">
        <v>775</v>
      </c>
      <c r="K1201" s="27">
        <v>11900</v>
      </c>
      <c r="L1201" s="31" t="s">
        <v>769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780</v>
      </c>
      <c r="D1202" s="31" t="s">
        <v>576</v>
      </c>
      <c r="E1202" s="31"/>
      <c r="F1202" s="31" t="s">
        <v>576</v>
      </c>
      <c r="G1202" s="27">
        <v>4500</v>
      </c>
      <c r="H1202" s="31" t="s">
        <v>63</v>
      </c>
      <c r="I1202" s="31"/>
      <c r="J1202" s="26" t="s">
        <v>778</v>
      </c>
      <c r="K1202" s="27">
        <v>4500</v>
      </c>
      <c r="L1202" s="31" t="s">
        <v>769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780</v>
      </c>
      <c r="D1203" s="31" t="s">
        <v>576</v>
      </c>
      <c r="E1203" s="31"/>
      <c r="F1203" s="31" t="s">
        <v>576</v>
      </c>
      <c r="G1203" s="27">
        <v>5000</v>
      </c>
      <c r="H1203" s="31" t="s">
        <v>63</v>
      </c>
      <c r="I1203" s="31"/>
      <c r="J1203" s="26" t="s">
        <v>778</v>
      </c>
      <c r="K1203" s="27">
        <v>5000</v>
      </c>
      <c r="L1203" s="31" t="s">
        <v>769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780</v>
      </c>
      <c r="D1204" s="31" t="s">
        <v>817</v>
      </c>
      <c r="E1204" s="31"/>
      <c r="F1204" s="31" t="s">
        <v>850</v>
      </c>
      <c r="G1204" s="27">
        <v>7650</v>
      </c>
      <c r="H1204" s="31" t="s">
        <v>63</v>
      </c>
      <c r="I1204" s="31"/>
      <c r="J1204" s="26" t="s">
        <v>768</v>
      </c>
      <c r="K1204" s="27">
        <v>7650</v>
      </c>
      <c r="L1204" s="31" t="s">
        <v>769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780</v>
      </c>
      <c r="D1205" s="31" t="s">
        <v>575</v>
      </c>
      <c r="E1205" s="31" t="s">
        <v>885</v>
      </c>
      <c r="F1205" s="31" t="s">
        <v>773</v>
      </c>
      <c r="G1205" s="27">
        <v>4700</v>
      </c>
      <c r="H1205" s="31" t="s">
        <v>63</v>
      </c>
      <c r="I1205" s="31"/>
      <c r="J1205" s="26" t="s">
        <v>775</v>
      </c>
      <c r="K1205" s="27">
        <v>4700</v>
      </c>
      <c r="L1205" s="31" t="s">
        <v>769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196</v>
      </c>
      <c r="D1206" s="31" t="s">
        <v>817</v>
      </c>
      <c r="E1206" s="31"/>
      <c r="F1206" s="31" t="s">
        <v>1212</v>
      </c>
      <c r="G1206" s="27">
        <v>25500000</v>
      </c>
      <c r="H1206" s="31" t="s">
        <v>63</v>
      </c>
      <c r="I1206" s="31"/>
      <c r="J1206" s="26" t="s">
        <v>809</v>
      </c>
      <c r="K1206" s="27">
        <v>25500000</v>
      </c>
      <c r="L1206" s="31" t="s">
        <v>769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196</v>
      </c>
      <c r="D1207" s="31" t="s">
        <v>22</v>
      </c>
      <c r="E1207" s="31"/>
      <c r="F1207" s="31" t="s">
        <v>934</v>
      </c>
      <c r="G1207" s="27">
        <v>1</v>
      </c>
      <c r="H1207" s="31" t="s">
        <v>520</v>
      </c>
      <c r="I1207" s="31"/>
      <c r="J1207" s="26" t="s">
        <v>824</v>
      </c>
      <c r="K1207" s="27">
        <v>1</v>
      </c>
      <c r="L1207" s="31" t="s">
        <v>769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780</v>
      </c>
      <c r="D1208" s="31" t="s">
        <v>576</v>
      </c>
      <c r="E1208" s="31"/>
      <c r="F1208" s="31" t="s">
        <v>576</v>
      </c>
      <c r="G1208" s="27">
        <v>5000</v>
      </c>
      <c r="H1208" s="31" t="s">
        <v>63</v>
      </c>
      <c r="I1208" s="31"/>
      <c r="J1208" s="26" t="s">
        <v>778</v>
      </c>
      <c r="K1208" s="27">
        <v>5000</v>
      </c>
      <c r="L1208" s="31" t="s">
        <v>769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780</v>
      </c>
      <c r="D1209" s="31" t="s">
        <v>575</v>
      </c>
      <c r="E1209" s="31" t="s">
        <v>772</v>
      </c>
      <c r="F1209" s="31" t="s">
        <v>1117</v>
      </c>
      <c r="G1209" s="27">
        <v>3600</v>
      </c>
      <c r="H1209" s="31" t="s">
        <v>63</v>
      </c>
      <c r="I1209" s="31" t="s">
        <v>1216</v>
      </c>
      <c r="J1209" s="26" t="s">
        <v>775</v>
      </c>
      <c r="K1209" s="27">
        <v>3600</v>
      </c>
      <c r="L1209" s="31" t="s">
        <v>769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780</v>
      </c>
      <c r="D1210" s="31" t="s">
        <v>840</v>
      </c>
      <c r="E1210" s="31"/>
      <c r="F1210" s="31" t="s">
        <v>1217</v>
      </c>
      <c r="G1210" s="27">
        <v>34810</v>
      </c>
      <c r="H1210" s="31" t="s">
        <v>63</v>
      </c>
      <c r="I1210" s="31" t="s">
        <v>1218</v>
      </c>
      <c r="J1210" s="26" t="s">
        <v>787</v>
      </c>
      <c r="K1210" s="27">
        <v>34810</v>
      </c>
      <c r="L1210" s="31" t="s">
        <v>769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780</v>
      </c>
      <c r="D1211" s="31" t="s">
        <v>575</v>
      </c>
      <c r="E1211" s="31" t="s">
        <v>781</v>
      </c>
      <c r="F1211" s="31" t="s">
        <v>902</v>
      </c>
      <c r="G1211" s="27">
        <v>11000</v>
      </c>
      <c r="H1211" s="31" t="s">
        <v>63</v>
      </c>
      <c r="I1211" s="31"/>
      <c r="J1211" s="26" t="s">
        <v>775</v>
      </c>
      <c r="K1211" s="27">
        <v>11000</v>
      </c>
      <c r="L1211" s="31" t="s">
        <v>769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780</v>
      </c>
      <c r="D1212" s="31" t="s">
        <v>575</v>
      </c>
      <c r="E1212" s="31" t="s">
        <v>885</v>
      </c>
      <c r="F1212" s="31" t="s">
        <v>773</v>
      </c>
      <c r="G1212" s="27">
        <v>5200</v>
      </c>
      <c r="H1212" s="31" t="s">
        <v>63</v>
      </c>
      <c r="I1212" s="31" t="s">
        <v>992</v>
      </c>
      <c r="J1212" s="26" t="s">
        <v>775</v>
      </c>
      <c r="K1212" s="27">
        <v>5200</v>
      </c>
      <c r="L1212" s="31" t="s">
        <v>769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852</v>
      </c>
      <c r="D1213" s="31" t="s">
        <v>796</v>
      </c>
      <c r="E1213" s="31"/>
      <c r="F1213" s="31" t="s">
        <v>1219</v>
      </c>
      <c r="G1213" s="27">
        <v>7290</v>
      </c>
      <c r="H1213" s="31" t="s">
        <v>63</v>
      </c>
      <c r="I1213" s="31"/>
      <c r="J1213" s="26" t="s">
        <v>775</v>
      </c>
      <c r="K1213" s="27">
        <v>7290</v>
      </c>
      <c r="L1213" s="31" t="s">
        <v>769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780</v>
      </c>
      <c r="D1214" s="31" t="s">
        <v>575</v>
      </c>
      <c r="E1214" s="31" t="s">
        <v>772</v>
      </c>
      <c r="F1214" s="31" t="s">
        <v>1220</v>
      </c>
      <c r="G1214" s="27">
        <v>3300</v>
      </c>
      <c r="H1214" s="31" t="s">
        <v>63</v>
      </c>
      <c r="I1214" s="31"/>
      <c r="J1214" s="26" t="s">
        <v>775</v>
      </c>
      <c r="K1214" s="27">
        <v>3300</v>
      </c>
      <c r="L1214" s="31" t="s">
        <v>769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780</v>
      </c>
      <c r="D1215" s="31" t="s">
        <v>575</v>
      </c>
      <c r="E1215" s="31" t="s">
        <v>772</v>
      </c>
      <c r="F1215" s="31" t="s">
        <v>773</v>
      </c>
      <c r="G1215" s="27">
        <v>2600</v>
      </c>
      <c r="H1215" s="31" t="s">
        <v>63</v>
      </c>
      <c r="I1215" s="31" t="s">
        <v>1221</v>
      </c>
      <c r="J1215" s="26" t="s">
        <v>775</v>
      </c>
      <c r="K1215" s="27">
        <v>2600</v>
      </c>
      <c r="L1215" s="31" t="s">
        <v>769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780</v>
      </c>
      <c r="D1216" s="31" t="s">
        <v>912</v>
      </c>
      <c r="E1216" s="31" t="s">
        <v>1190</v>
      </c>
      <c r="F1216" s="31" t="s">
        <v>1222</v>
      </c>
      <c r="G1216" s="27">
        <v>12900</v>
      </c>
      <c r="H1216" s="31" t="s">
        <v>63</v>
      </c>
      <c r="I1216" s="31" t="s">
        <v>104</v>
      </c>
      <c r="J1216" s="26" t="s">
        <v>783</v>
      </c>
      <c r="K1216" s="27">
        <v>12900</v>
      </c>
      <c r="L1216" s="31" t="s">
        <v>769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780</v>
      </c>
      <c r="D1217" s="31" t="s">
        <v>576</v>
      </c>
      <c r="E1217" s="31"/>
      <c r="F1217" s="31" t="s">
        <v>576</v>
      </c>
      <c r="G1217" s="27">
        <v>5000</v>
      </c>
      <c r="H1217" s="31" t="s">
        <v>63</v>
      </c>
      <c r="I1217" s="31"/>
      <c r="J1217" s="26" t="s">
        <v>778</v>
      </c>
      <c r="K1217" s="27">
        <v>5000</v>
      </c>
      <c r="L1217" s="31" t="s">
        <v>769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780</v>
      </c>
      <c r="D1218" s="31" t="s">
        <v>906</v>
      </c>
      <c r="E1218" s="31"/>
      <c r="F1218" s="31" t="s">
        <v>1160</v>
      </c>
      <c r="G1218" s="27">
        <v>600</v>
      </c>
      <c r="H1218" s="31" t="s">
        <v>63</v>
      </c>
      <c r="I1218" s="31" t="s">
        <v>1223</v>
      </c>
      <c r="J1218" s="26" t="s">
        <v>799</v>
      </c>
      <c r="K1218" s="27">
        <v>600</v>
      </c>
      <c r="L1218" s="31" t="s">
        <v>769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175</v>
      </c>
      <c r="D1219" s="31" t="s">
        <v>22</v>
      </c>
      <c r="E1219" s="31"/>
      <c r="F1219" s="31" t="s">
        <v>934</v>
      </c>
      <c r="G1219" s="27">
        <v>2</v>
      </c>
      <c r="H1219" s="31" t="s">
        <v>520</v>
      </c>
      <c r="I1219" s="31"/>
      <c r="J1219" s="26" t="s">
        <v>824</v>
      </c>
      <c r="K1219" s="27">
        <v>2</v>
      </c>
      <c r="L1219" s="31" t="s">
        <v>769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196</v>
      </c>
      <c r="D1220" s="31" t="s">
        <v>22</v>
      </c>
      <c r="E1220" s="31"/>
      <c r="F1220" s="31" t="s">
        <v>934</v>
      </c>
      <c r="G1220" s="27">
        <v>3</v>
      </c>
      <c r="H1220" s="31" t="s">
        <v>520</v>
      </c>
      <c r="I1220" s="31"/>
      <c r="J1220" s="26" t="s">
        <v>824</v>
      </c>
      <c r="K1220" s="27">
        <v>3</v>
      </c>
      <c r="L1220" s="31" t="s">
        <v>769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827</v>
      </c>
      <c r="D1221" s="31" t="s">
        <v>942</v>
      </c>
      <c r="E1221" s="31"/>
      <c r="F1221" s="31" t="s">
        <v>1224</v>
      </c>
      <c r="G1221" s="27">
        <v>1000</v>
      </c>
      <c r="H1221" s="31" t="s">
        <v>63</v>
      </c>
      <c r="I1221" s="31" t="s">
        <v>1225</v>
      </c>
      <c r="J1221" s="26" t="s">
        <v>768</v>
      </c>
      <c r="K1221" s="27">
        <v>1000</v>
      </c>
      <c r="L1221" s="31" t="s">
        <v>769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780</v>
      </c>
      <c r="D1222" s="31" t="s">
        <v>576</v>
      </c>
      <c r="E1222" s="31"/>
      <c r="F1222" s="31" t="s">
        <v>576</v>
      </c>
      <c r="G1222" s="27">
        <v>5000</v>
      </c>
      <c r="H1222" s="31" t="s">
        <v>63</v>
      </c>
      <c r="I1222" s="31"/>
      <c r="J1222" s="26" t="s">
        <v>778</v>
      </c>
      <c r="K1222" s="27">
        <v>5000</v>
      </c>
      <c r="L1222" s="31" t="s">
        <v>769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780</v>
      </c>
      <c r="D1223" s="31" t="s">
        <v>575</v>
      </c>
      <c r="E1223" s="31" t="s">
        <v>772</v>
      </c>
      <c r="F1223" s="31" t="s">
        <v>1117</v>
      </c>
      <c r="G1223" s="27">
        <v>2400</v>
      </c>
      <c r="H1223" s="31" t="s">
        <v>63</v>
      </c>
      <c r="I1223" s="31" t="s">
        <v>1221</v>
      </c>
      <c r="J1223" s="26" t="s">
        <v>775</v>
      </c>
      <c r="K1223" s="27">
        <v>2400</v>
      </c>
      <c r="L1223" s="31" t="s">
        <v>769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780</v>
      </c>
      <c r="D1224" s="31" t="s">
        <v>575</v>
      </c>
      <c r="E1224" s="31" t="s">
        <v>772</v>
      </c>
      <c r="F1224" s="31" t="s">
        <v>1220</v>
      </c>
      <c r="G1224" s="27">
        <v>3300</v>
      </c>
      <c r="H1224" s="31" t="s">
        <v>63</v>
      </c>
      <c r="I1224" s="31"/>
      <c r="J1224" s="26" t="s">
        <v>775</v>
      </c>
      <c r="K1224" s="27">
        <v>3300</v>
      </c>
      <c r="L1224" s="31" t="s">
        <v>769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780</v>
      </c>
      <c r="D1225" s="31" t="s">
        <v>575</v>
      </c>
      <c r="E1225" s="31" t="s">
        <v>781</v>
      </c>
      <c r="F1225" s="31" t="s">
        <v>1226</v>
      </c>
      <c r="G1225" s="27">
        <v>9966</v>
      </c>
      <c r="H1225" s="31" t="s">
        <v>63</v>
      </c>
      <c r="I1225" s="31"/>
      <c r="J1225" s="26" t="s">
        <v>775</v>
      </c>
      <c r="K1225" s="27">
        <v>9966</v>
      </c>
      <c r="L1225" s="31" t="s">
        <v>769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780</v>
      </c>
      <c r="D1226" s="31" t="s">
        <v>876</v>
      </c>
      <c r="E1226" s="31"/>
      <c r="F1226" s="31" t="s">
        <v>464</v>
      </c>
      <c r="G1226" s="27">
        <v>48620</v>
      </c>
      <c r="H1226" s="31" t="s">
        <v>63</v>
      </c>
      <c r="I1226" s="31"/>
      <c r="J1226" s="26" t="s">
        <v>768</v>
      </c>
      <c r="K1226" s="27">
        <v>48620</v>
      </c>
      <c r="L1226" s="31" t="s">
        <v>769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780</v>
      </c>
      <c r="D1227" s="31" t="s">
        <v>575</v>
      </c>
      <c r="E1227" s="31" t="s">
        <v>885</v>
      </c>
      <c r="F1227" s="31" t="s">
        <v>991</v>
      </c>
      <c r="G1227" s="27">
        <v>5300</v>
      </c>
      <c r="H1227" s="31" t="s">
        <v>63</v>
      </c>
      <c r="I1227" s="31"/>
      <c r="J1227" s="26" t="s">
        <v>775</v>
      </c>
      <c r="K1227" s="27">
        <v>5300</v>
      </c>
      <c r="L1227" s="31" t="s">
        <v>769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766</v>
      </c>
      <c r="D1228" s="31" t="s">
        <v>575</v>
      </c>
      <c r="E1228" s="31" t="s">
        <v>772</v>
      </c>
      <c r="F1228" s="31" t="s">
        <v>773</v>
      </c>
      <c r="G1228" s="27">
        <v>2200</v>
      </c>
      <c r="H1228" s="31" t="s">
        <v>63</v>
      </c>
      <c r="I1228" s="31" t="s">
        <v>1061</v>
      </c>
      <c r="J1228" s="26" t="s">
        <v>775</v>
      </c>
      <c r="K1228" s="27">
        <v>2200</v>
      </c>
      <c r="L1228" s="31" t="s">
        <v>769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780</v>
      </c>
      <c r="D1229" s="31" t="s">
        <v>576</v>
      </c>
      <c r="E1229" s="31"/>
      <c r="F1229" s="31" t="s">
        <v>576</v>
      </c>
      <c r="G1229" s="27">
        <v>5000</v>
      </c>
      <c r="H1229" s="31" t="s">
        <v>63</v>
      </c>
      <c r="I1229" s="31"/>
      <c r="J1229" s="26" t="s">
        <v>778</v>
      </c>
      <c r="K1229" s="27">
        <v>5000</v>
      </c>
      <c r="L1229" s="31" t="s">
        <v>769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780</v>
      </c>
      <c r="D1230" s="31" t="s">
        <v>575</v>
      </c>
      <c r="E1230" s="31" t="s">
        <v>772</v>
      </c>
      <c r="F1230" s="31" t="s">
        <v>1220</v>
      </c>
      <c r="G1230" s="27">
        <v>3300</v>
      </c>
      <c r="H1230" s="31" t="s">
        <v>63</v>
      </c>
      <c r="I1230" s="31"/>
      <c r="J1230" s="26" t="s">
        <v>775</v>
      </c>
      <c r="K1230" s="27">
        <v>3300</v>
      </c>
      <c r="L1230" s="31" t="s">
        <v>769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780</v>
      </c>
      <c r="D1231" s="31" t="s">
        <v>575</v>
      </c>
      <c r="E1231" s="31" t="s">
        <v>772</v>
      </c>
      <c r="F1231" s="31" t="s">
        <v>773</v>
      </c>
      <c r="G1231" s="27">
        <v>2000</v>
      </c>
      <c r="H1231" s="31" t="s">
        <v>63</v>
      </c>
      <c r="I1231" s="31" t="s">
        <v>1221</v>
      </c>
      <c r="J1231" s="26" t="s">
        <v>775</v>
      </c>
      <c r="K1231" s="27">
        <v>2000</v>
      </c>
      <c r="L1231" s="31" t="s">
        <v>769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780</v>
      </c>
      <c r="D1232" s="31" t="s">
        <v>575</v>
      </c>
      <c r="E1232" s="31" t="s">
        <v>772</v>
      </c>
      <c r="F1232" s="31" t="s">
        <v>1057</v>
      </c>
      <c r="G1232" s="27">
        <v>6300</v>
      </c>
      <c r="H1232" s="31" t="s">
        <v>63</v>
      </c>
      <c r="I1232" s="31"/>
      <c r="J1232" s="26" t="s">
        <v>775</v>
      </c>
      <c r="K1232" s="27">
        <v>6300</v>
      </c>
      <c r="L1232" s="31" t="s">
        <v>769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780</v>
      </c>
      <c r="D1233" s="31" t="s">
        <v>912</v>
      </c>
      <c r="E1233" s="31" t="s">
        <v>1190</v>
      </c>
      <c r="F1233" s="31" t="s">
        <v>1227</v>
      </c>
      <c r="G1233" s="27">
        <v>14000</v>
      </c>
      <c r="H1233" s="31" t="s">
        <v>63</v>
      </c>
      <c r="I1233" s="31" t="s">
        <v>104</v>
      </c>
      <c r="J1233" s="26" t="s">
        <v>783</v>
      </c>
      <c r="K1233" s="27">
        <v>14000</v>
      </c>
      <c r="L1233" s="31" t="s">
        <v>769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780</v>
      </c>
      <c r="D1234" s="31" t="s">
        <v>1053</v>
      </c>
      <c r="E1234" s="31"/>
      <c r="F1234" s="31" t="s">
        <v>996</v>
      </c>
      <c r="G1234" s="27">
        <v>28210</v>
      </c>
      <c r="H1234" s="31" t="s">
        <v>63</v>
      </c>
      <c r="I1234" s="31" t="s">
        <v>1228</v>
      </c>
      <c r="J1234" s="26" t="s">
        <v>775</v>
      </c>
      <c r="K1234" s="27">
        <v>28210</v>
      </c>
      <c r="L1234" s="31" t="s">
        <v>769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780</v>
      </c>
      <c r="D1235" s="31" t="s">
        <v>912</v>
      </c>
      <c r="E1235" s="31" t="s">
        <v>1190</v>
      </c>
      <c r="F1235" s="31" t="s">
        <v>989</v>
      </c>
      <c r="G1235" s="27">
        <v>8890</v>
      </c>
      <c r="H1235" s="31" t="s">
        <v>63</v>
      </c>
      <c r="I1235" s="31" t="s">
        <v>104</v>
      </c>
      <c r="J1235" s="26" t="s">
        <v>783</v>
      </c>
      <c r="K1235" s="27">
        <v>8890</v>
      </c>
      <c r="L1235" s="31" t="s">
        <v>769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163</v>
      </c>
      <c r="D1236" s="31" t="s">
        <v>887</v>
      </c>
      <c r="E1236" s="31"/>
      <c r="F1236" s="31" t="s">
        <v>828</v>
      </c>
      <c r="G1236" s="27">
        <v>56770</v>
      </c>
      <c r="H1236" s="31" t="s">
        <v>807</v>
      </c>
      <c r="I1236" s="31"/>
      <c r="J1236" s="26" t="s">
        <v>805</v>
      </c>
      <c r="K1236" s="27">
        <v>56770</v>
      </c>
      <c r="L1236" s="31" t="s">
        <v>769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887</v>
      </c>
      <c r="D1237" s="31" t="s">
        <v>163</v>
      </c>
      <c r="E1237" s="31"/>
      <c r="F1237" s="31" t="s">
        <v>828</v>
      </c>
      <c r="G1237" s="27">
        <v>56770</v>
      </c>
      <c r="H1237" s="31" t="s">
        <v>804</v>
      </c>
      <c r="I1237" s="31"/>
      <c r="J1237" s="26" t="s">
        <v>805</v>
      </c>
      <c r="K1237" s="27">
        <v>56770</v>
      </c>
      <c r="L1237" s="31" t="s">
        <v>769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669</v>
      </c>
      <c r="D1238" s="31" t="s">
        <v>163</v>
      </c>
      <c r="E1238" s="31"/>
      <c r="F1238" s="31" t="s">
        <v>828</v>
      </c>
      <c r="G1238" s="27">
        <v>178820</v>
      </c>
      <c r="H1238" s="31" t="s">
        <v>804</v>
      </c>
      <c r="I1238" s="31"/>
      <c r="J1238" s="26" t="s">
        <v>805</v>
      </c>
      <c r="K1238" s="27">
        <v>178820</v>
      </c>
      <c r="L1238" s="31" t="s">
        <v>769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163</v>
      </c>
      <c r="D1239" s="31" t="s">
        <v>669</v>
      </c>
      <c r="E1239" s="31"/>
      <c r="F1239" s="31" t="s">
        <v>828</v>
      </c>
      <c r="G1239" s="27">
        <v>178820</v>
      </c>
      <c r="H1239" s="31" t="s">
        <v>807</v>
      </c>
      <c r="I1239" s="31"/>
      <c r="J1239" s="26" t="s">
        <v>805</v>
      </c>
      <c r="K1239" s="27">
        <v>178820</v>
      </c>
      <c r="L1239" s="31" t="s">
        <v>769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780</v>
      </c>
      <c r="D1240" s="31" t="s">
        <v>811</v>
      </c>
      <c r="E1240" s="31"/>
      <c r="F1240" s="31" t="s">
        <v>1229</v>
      </c>
      <c r="G1240" s="27">
        <v>74700</v>
      </c>
      <c r="H1240" s="31" t="s">
        <v>63</v>
      </c>
      <c r="I1240" s="31" t="s">
        <v>878</v>
      </c>
      <c r="J1240" s="26" t="s">
        <v>768</v>
      </c>
      <c r="K1240" s="27">
        <v>74700</v>
      </c>
      <c r="L1240" s="31" t="s">
        <v>769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827</v>
      </c>
      <c r="D1241" s="31" t="s">
        <v>942</v>
      </c>
      <c r="E1241" s="31"/>
      <c r="F1241" s="31" t="s">
        <v>1230</v>
      </c>
      <c r="G1241" s="27">
        <v>1450</v>
      </c>
      <c r="H1241" s="31" t="s">
        <v>63</v>
      </c>
      <c r="I1241" s="31" t="s">
        <v>1225</v>
      </c>
      <c r="J1241" s="26" t="s">
        <v>775</v>
      </c>
      <c r="K1241" s="27">
        <v>1450</v>
      </c>
      <c r="L1241" s="31" t="s">
        <v>769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181</v>
      </c>
      <c r="D1242" s="31" t="s">
        <v>22</v>
      </c>
      <c r="E1242" s="31"/>
      <c r="F1242" s="31" t="s">
        <v>1231</v>
      </c>
      <c r="G1242" s="27">
        <v>3</v>
      </c>
      <c r="H1242" s="31" t="s">
        <v>520</v>
      </c>
      <c r="I1242" s="31"/>
      <c r="J1242" s="26" t="s">
        <v>824</v>
      </c>
      <c r="K1242" s="27">
        <v>3</v>
      </c>
      <c r="L1242" s="31" t="s">
        <v>769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766</v>
      </c>
      <c r="D1243" s="31" t="s">
        <v>576</v>
      </c>
      <c r="E1243" s="31"/>
      <c r="F1243" s="31" t="s">
        <v>576</v>
      </c>
      <c r="G1243" s="27">
        <v>5000</v>
      </c>
      <c r="H1243" s="31" t="s">
        <v>63</v>
      </c>
      <c r="I1243" s="31"/>
      <c r="J1243" s="26" t="s">
        <v>778</v>
      </c>
      <c r="K1243" s="27">
        <v>5000</v>
      </c>
      <c r="L1243" s="31" t="s">
        <v>769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766</v>
      </c>
      <c r="D1244" s="31" t="s">
        <v>575</v>
      </c>
      <c r="E1244" s="31" t="s">
        <v>885</v>
      </c>
      <c r="F1244" s="31" t="s">
        <v>773</v>
      </c>
      <c r="G1244" s="27">
        <v>12300</v>
      </c>
      <c r="H1244" s="31" t="s">
        <v>63</v>
      </c>
      <c r="I1244" s="31" t="s">
        <v>1232</v>
      </c>
      <c r="J1244" s="26" t="s">
        <v>775</v>
      </c>
      <c r="K1244" s="27">
        <v>12300</v>
      </c>
      <c r="L1244" s="31" t="s">
        <v>769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852</v>
      </c>
      <c r="D1245" s="31" t="s">
        <v>796</v>
      </c>
      <c r="E1245" s="31"/>
      <c r="F1245" s="31" t="s">
        <v>488</v>
      </c>
      <c r="G1245" s="27">
        <v>16800</v>
      </c>
      <c r="H1245" s="31" t="s">
        <v>63</v>
      </c>
      <c r="I1245" s="31" t="s">
        <v>1233</v>
      </c>
      <c r="J1245" s="26" t="s">
        <v>775</v>
      </c>
      <c r="K1245" s="27">
        <v>16800</v>
      </c>
      <c r="L1245" s="31" t="s">
        <v>769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766</v>
      </c>
      <c r="D1246" s="31" t="s">
        <v>912</v>
      </c>
      <c r="E1246" s="31" t="s">
        <v>580</v>
      </c>
      <c r="F1246" s="31" t="s">
        <v>1234</v>
      </c>
      <c r="G1246" s="27">
        <v>5800</v>
      </c>
      <c r="H1246" s="31" t="s">
        <v>63</v>
      </c>
      <c r="I1246" s="31" t="s">
        <v>104</v>
      </c>
      <c r="J1246" s="26" t="s">
        <v>783</v>
      </c>
      <c r="K1246" s="27">
        <v>5800</v>
      </c>
      <c r="L1246" s="31" t="s">
        <v>769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766</v>
      </c>
      <c r="D1247" s="31" t="s">
        <v>912</v>
      </c>
      <c r="E1247" s="31" t="s">
        <v>580</v>
      </c>
      <c r="F1247" s="31" t="s">
        <v>994</v>
      </c>
      <c r="G1247" s="27">
        <v>10700</v>
      </c>
      <c r="H1247" s="31" t="s">
        <v>63</v>
      </c>
      <c r="I1247" s="31" t="s">
        <v>104</v>
      </c>
      <c r="J1247" s="26" t="s">
        <v>783</v>
      </c>
      <c r="K1247" s="27">
        <v>10700</v>
      </c>
      <c r="L1247" s="31" t="s">
        <v>769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163</v>
      </c>
      <c r="D1248" s="31" t="s">
        <v>22</v>
      </c>
      <c r="E1248" s="31"/>
      <c r="F1248" s="31" t="s">
        <v>188</v>
      </c>
      <c r="G1248" s="27">
        <v>1293</v>
      </c>
      <c r="H1248" s="31" t="s">
        <v>520</v>
      </c>
      <c r="I1248" s="31"/>
      <c r="J1248" s="26" t="s">
        <v>824</v>
      </c>
      <c r="K1248" s="27">
        <v>1293</v>
      </c>
      <c r="L1248" s="31" t="s">
        <v>769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766</v>
      </c>
      <c r="D1249" s="31" t="s">
        <v>576</v>
      </c>
      <c r="E1249" s="31"/>
      <c r="F1249" s="31" t="s">
        <v>576</v>
      </c>
      <c r="G1249" s="27">
        <v>5000</v>
      </c>
      <c r="H1249" s="31" t="s">
        <v>63</v>
      </c>
      <c r="I1249" s="31"/>
      <c r="J1249" s="26" t="s">
        <v>778</v>
      </c>
      <c r="K1249" s="27">
        <v>5000</v>
      </c>
      <c r="L1249" s="31" t="s">
        <v>769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766</v>
      </c>
      <c r="D1250" s="31" t="s">
        <v>912</v>
      </c>
      <c r="E1250" s="31" t="s">
        <v>1190</v>
      </c>
      <c r="F1250" s="31" t="s">
        <v>1235</v>
      </c>
      <c r="G1250" s="27">
        <v>11800</v>
      </c>
      <c r="H1250" s="31" t="s">
        <v>63</v>
      </c>
      <c r="I1250" s="31" t="s">
        <v>104</v>
      </c>
      <c r="J1250" s="26" t="s">
        <v>783</v>
      </c>
      <c r="K1250" s="27">
        <v>11800</v>
      </c>
      <c r="L1250" s="31" t="s">
        <v>769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766</v>
      </c>
      <c r="D1251" s="31" t="s">
        <v>575</v>
      </c>
      <c r="E1251" s="31" t="s">
        <v>885</v>
      </c>
      <c r="F1251" s="31" t="s">
        <v>773</v>
      </c>
      <c r="G1251" s="27">
        <v>4400</v>
      </c>
      <c r="H1251" s="31" t="s">
        <v>63</v>
      </c>
      <c r="I1251" s="31" t="s">
        <v>1236</v>
      </c>
      <c r="J1251" s="26" t="s">
        <v>775</v>
      </c>
      <c r="K1251" s="27">
        <v>4400</v>
      </c>
      <c r="L1251" s="31" t="s">
        <v>769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803</v>
      </c>
      <c r="D1252" s="31" t="s">
        <v>22</v>
      </c>
      <c r="E1252" s="31"/>
      <c r="F1252" s="31" t="s">
        <v>1237</v>
      </c>
      <c r="G1252" s="27">
        <v>64</v>
      </c>
      <c r="H1252" s="31" t="s">
        <v>520</v>
      </c>
      <c r="I1252" s="31"/>
      <c r="J1252" s="26" t="s">
        <v>824</v>
      </c>
      <c r="K1252" s="27">
        <v>64</v>
      </c>
      <c r="L1252" s="31" t="s">
        <v>769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163</v>
      </c>
      <c r="D1253" s="31" t="s">
        <v>187</v>
      </c>
      <c r="E1253" s="31"/>
      <c r="F1253" s="31" t="s">
        <v>81</v>
      </c>
      <c r="G1253" s="27">
        <v>601612</v>
      </c>
      <c r="H1253" s="31" t="s">
        <v>807</v>
      </c>
      <c r="I1253" s="31"/>
      <c r="J1253" s="26" t="s">
        <v>805</v>
      </c>
      <c r="K1253" s="27">
        <v>601612</v>
      </c>
      <c r="L1253" s="31" t="s">
        <v>769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187</v>
      </c>
      <c r="D1254" s="31" t="s">
        <v>163</v>
      </c>
      <c r="E1254" s="31"/>
      <c r="F1254" s="31" t="s">
        <v>81</v>
      </c>
      <c r="G1254" s="27">
        <v>601612</v>
      </c>
      <c r="H1254" s="31" t="s">
        <v>804</v>
      </c>
      <c r="I1254" s="31"/>
      <c r="J1254" s="26" t="s">
        <v>805</v>
      </c>
      <c r="K1254" s="27">
        <v>601612</v>
      </c>
      <c r="L1254" s="31" t="s">
        <v>769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163</v>
      </c>
      <c r="D1255" s="31" t="s">
        <v>175</v>
      </c>
      <c r="E1255" s="31"/>
      <c r="F1255" s="31" t="s">
        <v>81</v>
      </c>
      <c r="G1255" s="27">
        <v>821239</v>
      </c>
      <c r="H1255" s="31" t="s">
        <v>807</v>
      </c>
      <c r="I1255" s="31"/>
      <c r="J1255" s="26" t="s">
        <v>805</v>
      </c>
      <c r="K1255" s="27">
        <v>821239</v>
      </c>
      <c r="L1255" s="31" t="s">
        <v>769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175</v>
      </c>
      <c r="D1256" s="31" t="s">
        <v>163</v>
      </c>
      <c r="E1256" s="31"/>
      <c r="F1256" s="31" t="s">
        <v>81</v>
      </c>
      <c r="G1256" s="27">
        <v>821239</v>
      </c>
      <c r="H1256" s="31" t="s">
        <v>804</v>
      </c>
      <c r="I1256" s="31"/>
      <c r="J1256" s="26" t="s">
        <v>805</v>
      </c>
      <c r="K1256" s="27">
        <v>821239</v>
      </c>
      <c r="L1256" s="31" t="s">
        <v>769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163</v>
      </c>
      <c r="D1257" s="31" t="s">
        <v>181</v>
      </c>
      <c r="E1257" s="31"/>
      <c r="F1257" s="31" t="s">
        <v>81</v>
      </c>
      <c r="G1257" s="27">
        <v>177820</v>
      </c>
      <c r="H1257" s="31" t="s">
        <v>807</v>
      </c>
      <c r="I1257" s="31"/>
      <c r="J1257" s="26" t="s">
        <v>805</v>
      </c>
      <c r="K1257" s="27">
        <v>177820</v>
      </c>
      <c r="L1257" s="31" t="s">
        <v>769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181</v>
      </c>
      <c r="D1258" s="31" t="s">
        <v>163</v>
      </c>
      <c r="E1258" s="31"/>
      <c r="F1258" s="31" t="s">
        <v>81</v>
      </c>
      <c r="G1258" s="27">
        <v>177820</v>
      </c>
      <c r="H1258" s="31" t="s">
        <v>804</v>
      </c>
      <c r="I1258" s="31"/>
      <c r="J1258" s="26" t="s">
        <v>805</v>
      </c>
      <c r="K1258" s="27">
        <v>177820</v>
      </c>
      <c r="L1258" s="31" t="s">
        <v>769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766</v>
      </c>
      <c r="D1259" s="31" t="s">
        <v>912</v>
      </c>
      <c r="E1259" s="31" t="s">
        <v>580</v>
      </c>
      <c r="F1259" s="31" t="s">
        <v>1238</v>
      </c>
      <c r="G1259" s="27">
        <v>11500</v>
      </c>
      <c r="H1259" s="31" t="s">
        <v>63</v>
      </c>
      <c r="I1259" s="31"/>
      <c r="J1259" s="26" t="s">
        <v>783</v>
      </c>
      <c r="K1259" s="27">
        <v>11500</v>
      </c>
      <c r="L1259" s="31" t="s">
        <v>769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852</v>
      </c>
      <c r="D1260" s="31" t="s">
        <v>811</v>
      </c>
      <c r="E1260" s="31"/>
      <c r="F1260" s="31" t="s">
        <v>488</v>
      </c>
      <c r="G1260" s="27">
        <v>8730</v>
      </c>
      <c r="H1260" s="31" t="s">
        <v>63</v>
      </c>
      <c r="I1260" s="31" t="s">
        <v>1239</v>
      </c>
      <c r="J1260" s="26" t="s">
        <v>775</v>
      </c>
      <c r="K1260" s="27">
        <v>8730</v>
      </c>
      <c r="L1260" s="31" t="s">
        <v>769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187</v>
      </c>
      <c r="D1261" s="31" t="s">
        <v>766</v>
      </c>
      <c r="E1261" s="31"/>
      <c r="F1261" s="31" t="s">
        <v>828</v>
      </c>
      <c r="G1261" s="27">
        <v>601612</v>
      </c>
      <c r="H1261" s="31" t="s">
        <v>807</v>
      </c>
      <c r="I1261" s="31"/>
      <c r="J1261" s="26" t="s">
        <v>805</v>
      </c>
      <c r="K1261" s="27">
        <v>601612</v>
      </c>
      <c r="L1261" s="31" t="s">
        <v>769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766</v>
      </c>
      <c r="D1262" s="31" t="s">
        <v>187</v>
      </c>
      <c r="E1262" s="31"/>
      <c r="F1262" s="31" t="s">
        <v>828</v>
      </c>
      <c r="G1262" s="27">
        <v>601612</v>
      </c>
      <c r="H1262" s="31" t="s">
        <v>804</v>
      </c>
      <c r="I1262" s="31"/>
      <c r="J1262" s="26" t="s">
        <v>805</v>
      </c>
      <c r="K1262" s="27">
        <v>601612</v>
      </c>
      <c r="L1262" s="31" t="s">
        <v>769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766</v>
      </c>
      <c r="D1263" s="31" t="s">
        <v>876</v>
      </c>
      <c r="E1263" s="31"/>
      <c r="F1263" s="31" t="s">
        <v>888</v>
      </c>
      <c r="G1263" s="27">
        <v>12400</v>
      </c>
      <c r="H1263" s="31" t="s">
        <v>63</v>
      </c>
      <c r="I1263" s="31"/>
      <c r="J1263" s="26" t="s">
        <v>768</v>
      </c>
      <c r="K1263" s="27">
        <v>12400</v>
      </c>
      <c r="L1263" s="31" t="s">
        <v>769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175</v>
      </c>
      <c r="D1264" s="31" t="s">
        <v>780</v>
      </c>
      <c r="E1264" s="31"/>
      <c r="F1264" s="31" t="s">
        <v>828</v>
      </c>
      <c r="G1264" s="27">
        <v>821239</v>
      </c>
      <c r="H1264" s="31" t="s">
        <v>807</v>
      </c>
      <c r="I1264" s="31"/>
      <c r="J1264" s="26" t="s">
        <v>805</v>
      </c>
      <c r="K1264" s="27">
        <v>821239</v>
      </c>
      <c r="L1264" s="31" t="s">
        <v>769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780</v>
      </c>
      <c r="D1265" s="31" t="s">
        <v>175</v>
      </c>
      <c r="E1265" s="31"/>
      <c r="F1265" s="31" t="s">
        <v>828</v>
      </c>
      <c r="G1265" s="27">
        <v>821239</v>
      </c>
      <c r="H1265" s="31" t="s">
        <v>804</v>
      </c>
      <c r="I1265" s="31"/>
      <c r="J1265" s="26" t="s">
        <v>805</v>
      </c>
      <c r="K1265" s="27">
        <v>821239</v>
      </c>
      <c r="L1265" s="31" t="s">
        <v>769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181</v>
      </c>
      <c r="D1266" s="31" t="s">
        <v>852</v>
      </c>
      <c r="E1266" s="31"/>
      <c r="F1266" s="31" t="s">
        <v>828</v>
      </c>
      <c r="G1266" s="27">
        <v>177820</v>
      </c>
      <c r="H1266" s="31" t="s">
        <v>807</v>
      </c>
      <c r="I1266" s="31"/>
      <c r="J1266" s="26" t="s">
        <v>805</v>
      </c>
      <c r="K1266" s="27">
        <v>177820</v>
      </c>
      <c r="L1266" s="31" t="s">
        <v>769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852</v>
      </c>
      <c r="D1267" s="31" t="s">
        <v>181</v>
      </c>
      <c r="E1267" s="31"/>
      <c r="F1267" s="31" t="s">
        <v>828</v>
      </c>
      <c r="G1267" s="27">
        <v>177820</v>
      </c>
      <c r="H1267" s="31" t="s">
        <v>804</v>
      </c>
      <c r="I1267" s="31"/>
      <c r="J1267" s="26" t="s">
        <v>805</v>
      </c>
      <c r="K1267" s="27">
        <v>177820</v>
      </c>
      <c r="L1267" s="31" t="s">
        <v>769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766</v>
      </c>
      <c r="D1268" s="31" t="s">
        <v>576</v>
      </c>
      <c r="E1268" s="31"/>
      <c r="F1268" s="31" t="s">
        <v>576</v>
      </c>
      <c r="G1268" s="27">
        <v>5000</v>
      </c>
      <c r="H1268" s="31" t="s">
        <v>63</v>
      </c>
      <c r="I1268" s="31"/>
      <c r="J1268" s="26" t="s">
        <v>778</v>
      </c>
      <c r="K1268" s="27">
        <v>5000</v>
      </c>
      <c r="L1268" s="31" t="s">
        <v>769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766</v>
      </c>
      <c r="D1269" s="31" t="s">
        <v>575</v>
      </c>
      <c r="E1269" s="31" t="s">
        <v>772</v>
      </c>
      <c r="F1269" s="31" t="s">
        <v>773</v>
      </c>
      <c r="G1269" s="27">
        <v>6100</v>
      </c>
      <c r="H1269" s="31" t="s">
        <v>63</v>
      </c>
      <c r="I1269" s="31" t="s">
        <v>1240</v>
      </c>
      <c r="J1269" s="26" t="s">
        <v>775</v>
      </c>
      <c r="K1269" s="27">
        <v>6100</v>
      </c>
      <c r="L1269" s="31" t="s">
        <v>769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766</v>
      </c>
      <c r="D1270" s="31" t="s">
        <v>876</v>
      </c>
      <c r="E1270" s="31"/>
      <c r="F1270" s="31" t="s">
        <v>132</v>
      </c>
      <c r="G1270" s="27">
        <v>16500</v>
      </c>
      <c r="H1270" s="31" t="s">
        <v>63</v>
      </c>
      <c r="I1270" s="31"/>
      <c r="J1270" s="26" t="s">
        <v>768</v>
      </c>
      <c r="K1270" s="27">
        <v>16500</v>
      </c>
      <c r="L1270" s="31" t="s">
        <v>769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196</v>
      </c>
      <c r="D1271" s="31" t="s">
        <v>1241</v>
      </c>
      <c r="E1271" s="31"/>
      <c r="F1271" s="31" t="s">
        <v>81</v>
      </c>
      <c r="G1271" s="27">
        <v>300000</v>
      </c>
      <c r="H1271" s="31" t="s">
        <v>807</v>
      </c>
      <c r="I1271" s="31"/>
      <c r="J1271" s="26" t="s">
        <v>834</v>
      </c>
      <c r="K1271" s="27">
        <v>300000</v>
      </c>
      <c r="L1271" s="31" t="s">
        <v>769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1241</v>
      </c>
      <c r="D1272" s="31" t="s">
        <v>196</v>
      </c>
      <c r="E1272" s="31"/>
      <c r="F1272" s="31" t="s">
        <v>81</v>
      </c>
      <c r="G1272" s="27">
        <v>300000</v>
      </c>
      <c r="H1272" s="31" t="s">
        <v>804</v>
      </c>
      <c r="I1272" s="31"/>
      <c r="J1272" s="26" t="s">
        <v>805</v>
      </c>
      <c r="K1272" s="27">
        <v>300000</v>
      </c>
      <c r="L1272" s="31" t="s">
        <v>769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766</v>
      </c>
      <c r="D1273" s="31" t="s">
        <v>576</v>
      </c>
      <c r="E1273" s="31"/>
      <c r="F1273" s="31" t="s">
        <v>576</v>
      </c>
      <c r="G1273" s="27">
        <v>5000</v>
      </c>
      <c r="H1273" s="31" t="s">
        <v>63</v>
      </c>
      <c r="I1273" s="31"/>
      <c r="J1273" s="26" t="s">
        <v>778</v>
      </c>
      <c r="K1273" s="27">
        <v>5000</v>
      </c>
      <c r="L1273" s="31" t="s">
        <v>769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766</v>
      </c>
      <c r="D1274" s="31" t="s">
        <v>575</v>
      </c>
      <c r="E1274" s="31" t="s">
        <v>772</v>
      </c>
      <c r="F1274" s="31" t="s">
        <v>773</v>
      </c>
      <c r="G1274" s="27">
        <v>2000</v>
      </c>
      <c r="H1274" s="31" t="s">
        <v>63</v>
      </c>
      <c r="I1274" s="31" t="s">
        <v>1221</v>
      </c>
      <c r="J1274" s="26" t="s">
        <v>775</v>
      </c>
      <c r="K1274" s="27">
        <v>2000</v>
      </c>
      <c r="L1274" s="31" t="s">
        <v>769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766</v>
      </c>
      <c r="D1275" s="31" t="s">
        <v>575</v>
      </c>
      <c r="E1275" s="31" t="s">
        <v>772</v>
      </c>
      <c r="F1275" s="31" t="s">
        <v>1057</v>
      </c>
      <c r="G1275" s="27">
        <v>2000</v>
      </c>
      <c r="H1275" s="31" t="s">
        <v>63</v>
      </c>
      <c r="I1275" s="31" t="s">
        <v>1242</v>
      </c>
      <c r="J1275" s="26" t="s">
        <v>775</v>
      </c>
      <c r="K1275" s="27">
        <v>2000</v>
      </c>
      <c r="L1275" s="31" t="s">
        <v>769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766</v>
      </c>
      <c r="D1276" s="31" t="s">
        <v>575</v>
      </c>
      <c r="E1276" s="31" t="s">
        <v>772</v>
      </c>
      <c r="F1276" s="31" t="s">
        <v>814</v>
      </c>
      <c r="G1276" s="27">
        <v>1200</v>
      </c>
      <c r="H1276" s="31" t="s">
        <v>63</v>
      </c>
      <c r="I1276" s="31"/>
      <c r="J1276" s="26" t="s">
        <v>775</v>
      </c>
      <c r="K1276" s="27">
        <v>1200</v>
      </c>
      <c r="L1276" s="31" t="s">
        <v>769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766</v>
      </c>
      <c r="D1277" s="31" t="s">
        <v>843</v>
      </c>
      <c r="E1277" s="31" t="s">
        <v>844</v>
      </c>
      <c r="F1277" s="31" t="s">
        <v>1243</v>
      </c>
      <c r="G1277" s="27">
        <v>5000</v>
      </c>
      <c r="H1277" s="31" t="s">
        <v>63</v>
      </c>
      <c r="I1277" s="31" t="s">
        <v>1166</v>
      </c>
      <c r="J1277" s="26" t="s">
        <v>775</v>
      </c>
      <c r="K1277" s="27">
        <v>5000</v>
      </c>
      <c r="L1277" s="31" t="s">
        <v>769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766</v>
      </c>
      <c r="D1278" s="31" t="s">
        <v>912</v>
      </c>
      <c r="E1278" s="31" t="s">
        <v>580</v>
      </c>
      <c r="F1278" s="31" t="s">
        <v>1174</v>
      </c>
      <c r="G1278" s="27">
        <v>7400</v>
      </c>
      <c r="H1278" s="31" t="s">
        <v>63</v>
      </c>
      <c r="I1278" s="31"/>
      <c r="J1278" s="26" t="s">
        <v>783</v>
      </c>
      <c r="K1278" s="27">
        <v>7400</v>
      </c>
      <c r="L1278" s="31" t="s">
        <v>769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766</v>
      </c>
      <c r="D1279" s="31" t="s">
        <v>575</v>
      </c>
      <c r="E1279" s="31" t="s">
        <v>772</v>
      </c>
      <c r="F1279" s="31" t="s">
        <v>773</v>
      </c>
      <c r="G1279" s="27">
        <v>2000</v>
      </c>
      <c r="H1279" s="31" t="s">
        <v>63</v>
      </c>
      <c r="I1279" s="31" t="s">
        <v>1244</v>
      </c>
      <c r="J1279" s="26" t="s">
        <v>775</v>
      </c>
      <c r="K1279" s="27">
        <v>2000</v>
      </c>
      <c r="L1279" s="31" t="s">
        <v>769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766</v>
      </c>
      <c r="D1280" s="31" t="s">
        <v>576</v>
      </c>
      <c r="E1280" s="31"/>
      <c r="F1280" s="31" t="s">
        <v>576</v>
      </c>
      <c r="G1280" s="27">
        <v>5000</v>
      </c>
      <c r="H1280" s="31" t="s">
        <v>63</v>
      </c>
      <c r="I1280" s="31"/>
      <c r="J1280" s="26" t="s">
        <v>778</v>
      </c>
      <c r="K1280" s="27">
        <v>5000</v>
      </c>
      <c r="L1280" s="31" t="s">
        <v>769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142</v>
      </c>
      <c r="D1281" s="31" t="s">
        <v>22</v>
      </c>
      <c r="E1281" s="31"/>
      <c r="F1281" s="31" t="s">
        <v>1245</v>
      </c>
      <c r="G1281" s="27">
        <v>33000</v>
      </c>
      <c r="H1281" s="31" t="s">
        <v>63</v>
      </c>
      <c r="I1281" s="31" t="s">
        <v>1246</v>
      </c>
      <c r="J1281" s="26" t="s">
        <v>799</v>
      </c>
      <c r="K1281" s="27">
        <v>33000</v>
      </c>
      <c r="L1281" s="31" t="s">
        <v>769</v>
      </c>
      <c r="M1281" s="31" t="s">
        <v>1247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1241</v>
      </c>
      <c r="D1282" s="31" t="s">
        <v>22</v>
      </c>
      <c r="E1282" s="31"/>
      <c r="F1282" s="31" t="s">
        <v>1248</v>
      </c>
      <c r="G1282" s="27">
        <v>287523</v>
      </c>
      <c r="H1282" s="31" t="s">
        <v>63</v>
      </c>
      <c r="I1282" s="31"/>
      <c r="J1282" s="26" t="s">
        <v>806</v>
      </c>
      <c r="K1282" s="27">
        <v>287523</v>
      </c>
      <c r="L1282" s="31" t="s">
        <v>769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766</v>
      </c>
      <c r="D1283" s="31" t="s">
        <v>796</v>
      </c>
      <c r="E1283" s="31"/>
      <c r="F1283" s="31" t="s">
        <v>1249</v>
      </c>
      <c r="G1283" s="27">
        <v>14150</v>
      </c>
      <c r="H1283" s="31" t="s">
        <v>63</v>
      </c>
      <c r="I1283" s="31" t="s">
        <v>1250</v>
      </c>
      <c r="J1283" s="26" t="s">
        <v>775</v>
      </c>
      <c r="K1283" s="27">
        <v>14150</v>
      </c>
      <c r="L1283" s="31" t="s">
        <v>769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766</v>
      </c>
      <c r="D1284" s="31" t="s">
        <v>575</v>
      </c>
      <c r="E1284" s="31" t="s">
        <v>781</v>
      </c>
      <c r="F1284" s="31" t="s">
        <v>1251</v>
      </c>
      <c r="G1284" s="27">
        <v>9000</v>
      </c>
      <c r="H1284" s="31" t="s">
        <v>63</v>
      </c>
      <c r="I1284" s="31"/>
      <c r="J1284" s="26" t="s">
        <v>775</v>
      </c>
      <c r="K1284" s="27">
        <v>9000</v>
      </c>
      <c r="L1284" s="31" t="s">
        <v>769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766</v>
      </c>
      <c r="D1285" s="31" t="s">
        <v>576</v>
      </c>
      <c r="E1285" s="31"/>
      <c r="F1285" s="31" t="s">
        <v>576</v>
      </c>
      <c r="G1285" s="27">
        <v>5000</v>
      </c>
      <c r="H1285" s="31" t="s">
        <v>63</v>
      </c>
      <c r="I1285" s="31"/>
      <c r="J1285" s="26" t="s">
        <v>778</v>
      </c>
      <c r="K1285" s="27">
        <v>5000</v>
      </c>
      <c r="L1285" s="31" t="s">
        <v>769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766</v>
      </c>
      <c r="D1286" s="31" t="s">
        <v>575</v>
      </c>
      <c r="E1286" s="31" t="s">
        <v>885</v>
      </c>
      <c r="F1286" s="31" t="s">
        <v>991</v>
      </c>
      <c r="G1286" s="27">
        <v>1650</v>
      </c>
      <c r="H1286" s="31" t="s">
        <v>63</v>
      </c>
      <c r="I1286" s="31" t="s">
        <v>992</v>
      </c>
      <c r="J1286" s="26" t="s">
        <v>775</v>
      </c>
      <c r="K1286" s="27">
        <v>1650</v>
      </c>
      <c r="L1286" s="31" t="s">
        <v>769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766</v>
      </c>
      <c r="D1287" s="31" t="s">
        <v>575</v>
      </c>
      <c r="E1287" s="31" t="s">
        <v>772</v>
      </c>
      <c r="F1287" s="31" t="s">
        <v>773</v>
      </c>
      <c r="G1287" s="27">
        <v>1600</v>
      </c>
      <c r="H1287" s="31" t="s">
        <v>63</v>
      </c>
      <c r="I1287" s="31" t="s">
        <v>1244</v>
      </c>
      <c r="J1287" s="26" t="s">
        <v>775</v>
      </c>
      <c r="K1287" s="27">
        <v>1600</v>
      </c>
      <c r="L1287" s="31" t="s">
        <v>769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827</v>
      </c>
      <c r="D1288" s="31" t="s">
        <v>942</v>
      </c>
      <c r="E1288" s="31"/>
      <c r="F1288" s="31" t="s">
        <v>1252</v>
      </c>
      <c r="G1288" s="27">
        <v>1200</v>
      </c>
      <c r="H1288" s="31" t="s">
        <v>63</v>
      </c>
      <c r="I1288" s="31" t="s">
        <v>1253</v>
      </c>
      <c r="J1288" s="26" t="s">
        <v>775</v>
      </c>
      <c r="K1288" s="27">
        <v>1200</v>
      </c>
      <c r="L1288" s="31" t="s">
        <v>769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766</v>
      </c>
      <c r="D1289" s="31" t="s">
        <v>575</v>
      </c>
      <c r="E1289" s="31" t="s">
        <v>772</v>
      </c>
      <c r="F1289" s="31" t="s">
        <v>773</v>
      </c>
      <c r="G1289" s="27">
        <v>3900</v>
      </c>
      <c r="H1289" s="31" t="s">
        <v>63</v>
      </c>
      <c r="I1289" s="31" t="s">
        <v>1254</v>
      </c>
      <c r="J1289" s="26" t="s">
        <v>775</v>
      </c>
      <c r="K1289" s="27">
        <v>3900</v>
      </c>
      <c r="L1289" s="31" t="s">
        <v>769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766</v>
      </c>
      <c r="D1290" s="31" t="s">
        <v>576</v>
      </c>
      <c r="E1290" s="31"/>
      <c r="F1290" s="31" t="s">
        <v>576</v>
      </c>
      <c r="G1290" s="27">
        <v>5000</v>
      </c>
      <c r="H1290" s="31" t="s">
        <v>63</v>
      </c>
      <c r="I1290" s="31"/>
      <c r="J1290" s="26" t="s">
        <v>778</v>
      </c>
      <c r="K1290" s="27">
        <v>5000</v>
      </c>
      <c r="L1290" s="31" t="s">
        <v>769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766</v>
      </c>
      <c r="D1291" s="31" t="s">
        <v>575</v>
      </c>
      <c r="E1291" s="31" t="s">
        <v>885</v>
      </c>
      <c r="F1291" s="31" t="s">
        <v>991</v>
      </c>
      <c r="G1291" s="27">
        <v>4500</v>
      </c>
      <c r="H1291" s="31" t="s">
        <v>63</v>
      </c>
      <c r="I1291" s="31"/>
      <c r="J1291" s="26" t="s">
        <v>775</v>
      </c>
      <c r="K1291" s="27">
        <v>4500</v>
      </c>
      <c r="L1291" s="31" t="s">
        <v>769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766</v>
      </c>
      <c r="D1292" s="31" t="s">
        <v>575</v>
      </c>
      <c r="E1292" s="31" t="s">
        <v>781</v>
      </c>
      <c r="F1292" s="31" t="s">
        <v>1052</v>
      </c>
      <c r="G1292" s="27">
        <v>8200</v>
      </c>
      <c r="H1292" s="31" t="s">
        <v>63</v>
      </c>
      <c r="I1292" s="31"/>
      <c r="J1292" s="26" t="s">
        <v>775</v>
      </c>
      <c r="K1292" s="27">
        <v>8200</v>
      </c>
      <c r="L1292" s="31" t="s">
        <v>769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766</v>
      </c>
      <c r="D1293" s="31" t="s">
        <v>575</v>
      </c>
      <c r="E1293" s="31" t="s">
        <v>772</v>
      </c>
      <c r="F1293" s="31" t="s">
        <v>773</v>
      </c>
      <c r="G1293" s="27">
        <v>2900</v>
      </c>
      <c r="H1293" s="31" t="s">
        <v>63</v>
      </c>
      <c r="I1293" s="31" t="s">
        <v>1068</v>
      </c>
      <c r="J1293" s="26" t="s">
        <v>775</v>
      </c>
      <c r="K1293" s="27">
        <v>2900</v>
      </c>
      <c r="L1293" s="31" t="s">
        <v>769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766</v>
      </c>
      <c r="D1294" s="31" t="s">
        <v>576</v>
      </c>
      <c r="E1294" s="31"/>
      <c r="F1294" s="31" t="s">
        <v>576</v>
      </c>
      <c r="G1294" s="27">
        <v>5000</v>
      </c>
      <c r="H1294" s="31" t="s">
        <v>63</v>
      </c>
      <c r="I1294" s="31"/>
      <c r="J1294" s="26" t="s">
        <v>778</v>
      </c>
      <c r="K1294" s="27">
        <v>5000</v>
      </c>
      <c r="L1294" s="31" t="s">
        <v>769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766</v>
      </c>
      <c r="D1295" s="31" t="s">
        <v>575</v>
      </c>
      <c r="E1295" s="31" t="s">
        <v>772</v>
      </c>
      <c r="F1295" s="31" t="s">
        <v>773</v>
      </c>
      <c r="G1295" s="27">
        <v>3000</v>
      </c>
      <c r="H1295" s="31" t="s">
        <v>63</v>
      </c>
      <c r="I1295" s="31" t="s">
        <v>1255</v>
      </c>
      <c r="J1295" s="26" t="s">
        <v>775</v>
      </c>
      <c r="K1295" s="27">
        <v>3000</v>
      </c>
      <c r="L1295" s="31" t="s">
        <v>769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766</v>
      </c>
      <c r="D1296" s="31" t="s">
        <v>575</v>
      </c>
      <c r="E1296" s="31" t="s">
        <v>781</v>
      </c>
      <c r="F1296" s="31" t="s">
        <v>911</v>
      </c>
      <c r="G1296" s="27">
        <v>11000</v>
      </c>
      <c r="H1296" s="31" t="s">
        <v>63</v>
      </c>
      <c r="I1296" s="31" t="s">
        <v>1256</v>
      </c>
      <c r="J1296" s="26" t="s">
        <v>775</v>
      </c>
      <c r="K1296" s="27">
        <v>11000</v>
      </c>
      <c r="L1296" s="31" t="s">
        <v>769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766</v>
      </c>
      <c r="D1297" s="31" t="s">
        <v>575</v>
      </c>
      <c r="E1297" s="31" t="s">
        <v>772</v>
      </c>
      <c r="F1297" s="31" t="s">
        <v>1038</v>
      </c>
      <c r="G1297" s="27">
        <v>16110</v>
      </c>
      <c r="H1297" s="31" t="s">
        <v>63</v>
      </c>
      <c r="I1297" s="31"/>
      <c r="J1297" s="26" t="s">
        <v>775</v>
      </c>
      <c r="K1297" s="27">
        <v>16110</v>
      </c>
      <c r="L1297" s="31" t="s">
        <v>769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852</v>
      </c>
      <c r="D1298" s="31" t="s">
        <v>575</v>
      </c>
      <c r="E1298" s="31" t="s">
        <v>792</v>
      </c>
      <c r="F1298" s="31" t="s">
        <v>853</v>
      </c>
      <c r="G1298" s="27">
        <v>15600</v>
      </c>
      <c r="H1298" s="31" t="s">
        <v>63</v>
      </c>
      <c r="I1298" s="31" t="s">
        <v>1000</v>
      </c>
      <c r="J1298" s="26" t="s">
        <v>775</v>
      </c>
      <c r="K1298" s="27">
        <v>15600</v>
      </c>
      <c r="L1298" s="31" t="s">
        <v>769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766</v>
      </c>
      <c r="D1299" s="31" t="s">
        <v>575</v>
      </c>
      <c r="E1299" s="31" t="s">
        <v>772</v>
      </c>
      <c r="F1299" s="31" t="s">
        <v>773</v>
      </c>
      <c r="G1299" s="27">
        <v>3900</v>
      </c>
      <c r="H1299" s="31" t="s">
        <v>63</v>
      </c>
      <c r="I1299" s="31" t="s">
        <v>1257</v>
      </c>
      <c r="J1299" s="26" t="s">
        <v>775</v>
      </c>
      <c r="K1299" s="27">
        <v>3900</v>
      </c>
      <c r="L1299" s="31" t="s">
        <v>769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766</v>
      </c>
      <c r="D1300" s="31" t="s">
        <v>912</v>
      </c>
      <c r="E1300" s="31" t="s">
        <v>1190</v>
      </c>
      <c r="F1300" s="31" t="s">
        <v>1125</v>
      </c>
      <c r="G1300" s="27">
        <v>3900</v>
      </c>
      <c r="H1300" s="31" t="s">
        <v>63</v>
      </c>
      <c r="I1300" s="31" t="s">
        <v>104</v>
      </c>
      <c r="J1300" s="26" t="s">
        <v>783</v>
      </c>
      <c r="K1300" s="27">
        <v>3900</v>
      </c>
      <c r="L1300" s="31" t="s">
        <v>769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766</v>
      </c>
      <c r="D1301" s="31" t="s">
        <v>575</v>
      </c>
      <c r="E1301" s="31" t="s">
        <v>772</v>
      </c>
      <c r="F1301" s="31" t="s">
        <v>773</v>
      </c>
      <c r="G1301" s="27">
        <v>2200</v>
      </c>
      <c r="H1301" s="31" t="s">
        <v>63</v>
      </c>
      <c r="I1301" s="31" t="s">
        <v>1258</v>
      </c>
      <c r="J1301" s="26" t="s">
        <v>775</v>
      </c>
      <c r="K1301" s="27">
        <v>2200</v>
      </c>
      <c r="L1301" s="31" t="s">
        <v>769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766</v>
      </c>
      <c r="D1302" s="31" t="s">
        <v>575</v>
      </c>
      <c r="E1302" s="31" t="s">
        <v>772</v>
      </c>
      <c r="F1302" s="31" t="s">
        <v>773</v>
      </c>
      <c r="G1302" s="27">
        <v>3600</v>
      </c>
      <c r="H1302" s="31" t="s">
        <v>63</v>
      </c>
      <c r="I1302" s="31" t="s">
        <v>859</v>
      </c>
      <c r="J1302" s="26" t="s">
        <v>775</v>
      </c>
      <c r="K1302" s="27">
        <v>3600</v>
      </c>
      <c r="L1302" s="31" t="s">
        <v>769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187</v>
      </c>
      <c r="D1303" s="31" t="s">
        <v>22</v>
      </c>
      <c r="E1303" s="31"/>
      <c r="F1303" s="31" t="s">
        <v>1259</v>
      </c>
      <c r="G1303" s="27">
        <v>1</v>
      </c>
      <c r="H1303" s="31" t="s">
        <v>520</v>
      </c>
      <c r="I1303" s="31"/>
      <c r="J1303" s="26" t="s">
        <v>824</v>
      </c>
      <c r="K1303" s="27">
        <v>1</v>
      </c>
      <c r="L1303" s="31" t="s">
        <v>769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196</v>
      </c>
      <c r="D1304" s="31" t="s">
        <v>22</v>
      </c>
      <c r="E1304" s="31"/>
      <c r="F1304" s="31" t="s">
        <v>1260</v>
      </c>
      <c r="G1304" s="27">
        <v>349</v>
      </c>
      <c r="H1304" s="31" t="s">
        <v>520</v>
      </c>
      <c r="I1304" s="31"/>
      <c r="J1304" s="26" t="s">
        <v>824</v>
      </c>
      <c r="K1304" s="27">
        <v>349</v>
      </c>
      <c r="L1304" s="31" t="s">
        <v>769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196</v>
      </c>
      <c r="D1305" s="31" t="s">
        <v>22</v>
      </c>
      <c r="E1305" s="31"/>
      <c r="F1305" s="31" t="s">
        <v>1261</v>
      </c>
      <c r="G1305" s="27">
        <v>1</v>
      </c>
      <c r="H1305" s="31" t="s">
        <v>63</v>
      </c>
      <c r="I1305" s="31" t="s">
        <v>1262</v>
      </c>
      <c r="J1305" s="26" t="s">
        <v>799</v>
      </c>
      <c r="K1305" s="27">
        <v>1</v>
      </c>
      <c r="L1305" s="31" t="s">
        <v>769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766</v>
      </c>
      <c r="D1306" s="31" t="s">
        <v>575</v>
      </c>
      <c r="E1306" s="31" t="s">
        <v>885</v>
      </c>
      <c r="F1306" s="31" t="s">
        <v>773</v>
      </c>
      <c r="G1306" s="27">
        <v>8800</v>
      </c>
      <c r="H1306" s="31" t="s">
        <v>63</v>
      </c>
      <c r="I1306" s="31" t="s">
        <v>72</v>
      </c>
      <c r="J1306" s="26" t="s">
        <v>775</v>
      </c>
      <c r="K1306" s="27">
        <v>8800</v>
      </c>
      <c r="L1306" s="31" t="s">
        <v>769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766</v>
      </c>
      <c r="D1307" s="31" t="s">
        <v>576</v>
      </c>
      <c r="E1307" s="31"/>
      <c r="F1307" s="31" t="s">
        <v>576</v>
      </c>
      <c r="G1307" s="27">
        <v>4500</v>
      </c>
      <c r="H1307" s="31" t="s">
        <v>63</v>
      </c>
      <c r="I1307" s="31"/>
      <c r="J1307" s="26" t="s">
        <v>778</v>
      </c>
      <c r="K1307" s="27">
        <v>4500</v>
      </c>
      <c r="L1307" s="31" t="s">
        <v>769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766</v>
      </c>
      <c r="D1308" s="31" t="s">
        <v>796</v>
      </c>
      <c r="E1308" s="31"/>
      <c r="F1308" s="31" t="s">
        <v>773</v>
      </c>
      <c r="G1308" s="27">
        <v>900</v>
      </c>
      <c r="H1308" s="31" t="s">
        <v>63</v>
      </c>
      <c r="I1308" s="31" t="s">
        <v>1119</v>
      </c>
      <c r="J1308" s="26" t="s">
        <v>775</v>
      </c>
      <c r="K1308" s="27">
        <v>900</v>
      </c>
      <c r="L1308" s="31" t="s">
        <v>769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163</v>
      </c>
      <c r="D1309" s="31" t="s">
        <v>912</v>
      </c>
      <c r="E1309" s="31" t="s">
        <v>580</v>
      </c>
      <c r="F1309" s="31" t="s">
        <v>1263</v>
      </c>
      <c r="G1309" s="27">
        <v>14000</v>
      </c>
      <c r="H1309" s="31" t="s">
        <v>63</v>
      </c>
      <c r="I1309" s="31" t="s">
        <v>104</v>
      </c>
      <c r="J1309" s="26" t="s">
        <v>783</v>
      </c>
      <c r="K1309" s="27">
        <v>14000</v>
      </c>
      <c r="L1309" s="31" t="s">
        <v>769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766</v>
      </c>
      <c r="D1310" s="31" t="s">
        <v>912</v>
      </c>
      <c r="E1310" s="31" t="s">
        <v>1190</v>
      </c>
      <c r="F1310" s="31" t="s">
        <v>1264</v>
      </c>
      <c r="G1310" s="27">
        <v>14000</v>
      </c>
      <c r="H1310" s="31" t="s">
        <v>63</v>
      </c>
      <c r="I1310" s="31" t="s">
        <v>104</v>
      </c>
      <c r="J1310" s="26" t="s">
        <v>783</v>
      </c>
      <c r="K1310" s="27">
        <v>14000</v>
      </c>
      <c r="L1310" s="31" t="s">
        <v>769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766</v>
      </c>
      <c r="D1311" s="31" t="s">
        <v>912</v>
      </c>
      <c r="E1311" s="31" t="s">
        <v>580</v>
      </c>
      <c r="F1311" s="31" t="s">
        <v>1265</v>
      </c>
      <c r="G1311" s="27">
        <v>15250</v>
      </c>
      <c r="H1311" s="31" t="s">
        <v>63</v>
      </c>
      <c r="I1311" s="31"/>
      <c r="J1311" s="26" t="s">
        <v>783</v>
      </c>
      <c r="K1311" s="27">
        <v>15250</v>
      </c>
      <c r="L1311" s="31" t="s">
        <v>769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766</v>
      </c>
      <c r="D1312" s="31" t="s">
        <v>840</v>
      </c>
      <c r="E1312" s="31"/>
      <c r="F1312" s="31" t="s">
        <v>825</v>
      </c>
      <c r="G1312" s="27">
        <v>10109</v>
      </c>
      <c r="H1312" s="31" t="s">
        <v>63</v>
      </c>
      <c r="I1312" s="31" t="s">
        <v>1266</v>
      </c>
      <c r="J1312" s="26" t="s">
        <v>787</v>
      </c>
      <c r="K1312" s="27">
        <v>10109</v>
      </c>
      <c r="L1312" s="31" t="s">
        <v>769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766</v>
      </c>
      <c r="D1313" s="31" t="s">
        <v>912</v>
      </c>
      <c r="E1313" s="31" t="s">
        <v>580</v>
      </c>
      <c r="F1313" s="31" t="s">
        <v>1267</v>
      </c>
      <c r="G1313" s="27">
        <v>23000</v>
      </c>
      <c r="H1313" s="31" t="s">
        <v>63</v>
      </c>
      <c r="I1313" s="31" t="s">
        <v>1268</v>
      </c>
      <c r="J1313" s="26" t="s">
        <v>783</v>
      </c>
      <c r="K1313" s="27">
        <v>23000</v>
      </c>
      <c r="L1313" s="31" t="s">
        <v>769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766</v>
      </c>
      <c r="D1314" s="31" t="s">
        <v>912</v>
      </c>
      <c r="E1314" s="31" t="s">
        <v>580</v>
      </c>
      <c r="F1314" s="31" t="s">
        <v>884</v>
      </c>
      <c r="G1314" s="27">
        <v>8000</v>
      </c>
      <c r="H1314" s="31" t="s">
        <v>63</v>
      </c>
      <c r="I1314" s="31" t="s">
        <v>1268</v>
      </c>
      <c r="J1314" s="26" t="s">
        <v>783</v>
      </c>
      <c r="K1314" s="27">
        <v>8000</v>
      </c>
      <c r="L1314" s="31" t="s">
        <v>769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766</v>
      </c>
      <c r="D1315" s="31" t="s">
        <v>576</v>
      </c>
      <c r="E1315" s="31"/>
      <c r="F1315" s="31" t="s">
        <v>576</v>
      </c>
      <c r="G1315" s="27">
        <v>4500</v>
      </c>
      <c r="H1315" s="31" t="s">
        <v>63</v>
      </c>
      <c r="I1315" s="31"/>
      <c r="J1315" s="26" t="s">
        <v>778</v>
      </c>
      <c r="K1315" s="27">
        <v>4500</v>
      </c>
      <c r="L1315" s="31" t="s">
        <v>769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766</v>
      </c>
      <c r="D1316" s="31" t="s">
        <v>912</v>
      </c>
      <c r="E1316" s="31" t="s">
        <v>1190</v>
      </c>
      <c r="F1316" s="31" t="s">
        <v>1269</v>
      </c>
      <c r="G1316" s="27">
        <v>16800</v>
      </c>
      <c r="H1316" s="31" t="s">
        <v>63</v>
      </c>
      <c r="I1316" s="31" t="s">
        <v>104</v>
      </c>
      <c r="J1316" s="26" t="s">
        <v>783</v>
      </c>
      <c r="K1316" s="27">
        <v>16800</v>
      </c>
      <c r="L1316" s="31" t="s">
        <v>769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163</v>
      </c>
      <c r="D1317" s="31" t="s">
        <v>22</v>
      </c>
      <c r="E1317" s="31"/>
      <c r="F1317" s="31" t="s">
        <v>188</v>
      </c>
      <c r="G1317" s="27">
        <v>1049</v>
      </c>
      <c r="H1317" s="31" t="s">
        <v>520</v>
      </c>
      <c r="I1317" s="31"/>
      <c r="J1317" s="26" t="s">
        <v>824</v>
      </c>
      <c r="K1317" s="27">
        <v>1049</v>
      </c>
      <c r="L1317" s="31" t="s">
        <v>769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766</v>
      </c>
      <c r="D1318" s="31" t="s">
        <v>576</v>
      </c>
      <c r="E1318" s="31"/>
      <c r="F1318" s="31" t="s">
        <v>576</v>
      </c>
      <c r="G1318" s="27">
        <v>5000</v>
      </c>
      <c r="H1318" s="31" t="s">
        <v>63</v>
      </c>
      <c r="I1318" s="31"/>
      <c r="J1318" s="26" t="s">
        <v>778</v>
      </c>
      <c r="K1318" s="27">
        <v>5000</v>
      </c>
      <c r="L1318" s="31" t="s">
        <v>769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766</v>
      </c>
      <c r="D1319" s="31" t="s">
        <v>575</v>
      </c>
      <c r="E1319" s="31" t="s">
        <v>772</v>
      </c>
      <c r="F1319" s="31" t="s">
        <v>773</v>
      </c>
      <c r="G1319" s="27">
        <v>2000</v>
      </c>
      <c r="H1319" s="31" t="s">
        <v>63</v>
      </c>
      <c r="I1319" s="31" t="s">
        <v>1221</v>
      </c>
      <c r="J1319" s="26" t="s">
        <v>775</v>
      </c>
      <c r="K1319" s="27">
        <v>2000</v>
      </c>
      <c r="L1319" s="31" t="s">
        <v>769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766</v>
      </c>
      <c r="D1320" s="31" t="s">
        <v>575</v>
      </c>
      <c r="E1320" s="31" t="s">
        <v>781</v>
      </c>
      <c r="F1320" s="31" t="s">
        <v>902</v>
      </c>
      <c r="G1320" s="27">
        <v>12000</v>
      </c>
      <c r="H1320" s="31" t="s">
        <v>63</v>
      </c>
      <c r="I1320" s="31"/>
      <c r="J1320" s="26" t="s">
        <v>775</v>
      </c>
      <c r="K1320" s="27">
        <v>12000</v>
      </c>
      <c r="L1320" s="31" t="s">
        <v>769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852</v>
      </c>
      <c r="D1321" s="31" t="s">
        <v>843</v>
      </c>
      <c r="E1321" s="31" t="s">
        <v>844</v>
      </c>
      <c r="F1321" s="31" t="s">
        <v>488</v>
      </c>
      <c r="G1321" s="27">
        <v>45000</v>
      </c>
      <c r="H1321" s="31" t="s">
        <v>63</v>
      </c>
      <c r="I1321" s="31" t="s">
        <v>1270</v>
      </c>
      <c r="J1321" s="26" t="s">
        <v>775</v>
      </c>
      <c r="K1321" s="27">
        <v>45000</v>
      </c>
      <c r="L1321" s="31" t="s">
        <v>769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766</v>
      </c>
      <c r="D1322" s="31" t="s">
        <v>575</v>
      </c>
      <c r="E1322" s="31" t="s">
        <v>885</v>
      </c>
      <c r="F1322" s="31" t="s">
        <v>773</v>
      </c>
      <c r="G1322" s="27">
        <v>4500</v>
      </c>
      <c r="H1322" s="31" t="s">
        <v>63</v>
      </c>
      <c r="I1322" s="31" t="s">
        <v>992</v>
      </c>
      <c r="J1322" s="26" t="s">
        <v>775</v>
      </c>
      <c r="K1322" s="27">
        <v>4500</v>
      </c>
      <c r="L1322" s="31" t="s">
        <v>769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852</v>
      </c>
      <c r="D1323" s="31" t="s">
        <v>796</v>
      </c>
      <c r="E1323" s="31"/>
      <c r="F1323" s="31" t="s">
        <v>488</v>
      </c>
      <c r="G1323" s="27">
        <v>8470</v>
      </c>
      <c r="H1323" s="31" t="s">
        <v>63</v>
      </c>
      <c r="I1323" s="31" t="s">
        <v>1271</v>
      </c>
      <c r="J1323" s="26" t="s">
        <v>775</v>
      </c>
      <c r="K1323" s="27">
        <v>8470</v>
      </c>
      <c r="L1323" s="31" t="s">
        <v>769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766</v>
      </c>
      <c r="D1324" s="31" t="s">
        <v>912</v>
      </c>
      <c r="E1324" s="31" t="s">
        <v>1190</v>
      </c>
      <c r="F1324" s="31" t="s">
        <v>1272</v>
      </c>
      <c r="G1324" s="27">
        <v>20000</v>
      </c>
      <c r="H1324" s="31" t="s">
        <v>63</v>
      </c>
      <c r="I1324" s="31" t="s">
        <v>104</v>
      </c>
      <c r="J1324" s="26" t="s">
        <v>783</v>
      </c>
      <c r="K1324" s="27">
        <v>20000</v>
      </c>
      <c r="L1324" s="31" t="s">
        <v>769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766</v>
      </c>
      <c r="D1325" s="31" t="s">
        <v>576</v>
      </c>
      <c r="E1325" s="31"/>
      <c r="F1325" s="31" t="s">
        <v>576</v>
      </c>
      <c r="G1325" s="27">
        <v>5000</v>
      </c>
      <c r="H1325" s="31" t="s">
        <v>63</v>
      </c>
      <c r="I1325" s="31"/>
      <c r="J1325" s="26" t="s">
        <v>778</v>
      </c>
      <c r="K1325" s="27">
        <v>5000</v>
      </c>
      <c r="L1325" s="31" t="s">
        <v>769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766</v>
      </c>
      <c r="D1326" s="31" t="s">
        <v>575</v>
      </c>
      <c r="E1326" s="31" t="s">
        <v>772</v>
      </c>
      <c r="F1326" s="31" t="s">
        <v>773</v>
      </c>
      <c r="G1326" s="27">
        <v>2000</v>
      </c>
      <c r="H1326" s="31" t="s">
        <v>63</v>
      </c>
      <c r="I1326" s="31" t="s">
        <v>1221</v>
      </c>
      <c r="J1326" s="26" t="s">
        <v>775</v>
      </c>
      <c r="K1326" s="27">
        <v>2000</v>
      </c>
      <c r="L1326" s="31" t="s">
        <v>769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766</v>
      </c>
      <c r="D1327" s="31" t="s">
        <v>575</v>
      </c>
      <c r="E1327" s="31" t="s">
        <v>772</v>
      </c>
      <c r="F1327" s="31" t="s">
        <v>814</v>
      </c>
      <c r="G1327" s="27">
        <v>4900</v>
      </c>
      <c r="H1327" s="31" t="s">
        <v>63</v>
      </c>
      <c r="I1327" s="31"/>
      <c r="J1327" s="26" t="s">
        <v>775</v>
      </c>
      <c r="K1327" s="27">
        <v>4900</v>
      </c>
      <c r="L1327" s="31" t="s">
        <v>769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852</v>
      </c>
      <c r="D1328" s="31" t="s">
        <v>575</v>
      </c>
      <c r="E1328" s="31" t="s">
        <v>781</v>
      </c>
      <c r="F1328" s="31" t="s">
        <v>853</v>
      </c>
      <c r="G1328" s="27">
        <v>4200</v>
      </c>
      <c r="H1328" s="31" t="s">
        <v>63</v>
      </c>
      <c r="I1328" s="31" t="s">
        <v>1273</v>
      </c>
      <c r="J1328" s="26" t="s">
        <v>775</v>
      </c>
      <c r="K1328" s="27">
        <v>4200</v>
      </c>
      <c r="L1328" s="31" t="s">
        <v>769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163</v>
      </c>
      <c r="D1329" s="31" t="s">
        <v>575</v>
      </c>
      <c r="E1329" s="31" t="s">
        <v>772</v>
      </c>
      <c r="F1329" s="31" t="s">
        <v>1274</v>
      </c>
      <c r="G1329" s="27">
        <v>5000</v>
      </c>
      <c r="H1329" s="31" t="s">
        <v>63</v>
      </c>
      <c r="I1329" s="31"/>
      <c r="J1329" s="26" t="s">
        <v>775</v>
      </c>
      <c r="K1329" s="27">
        <v>5000</v>
      </c>
      <c r="L1329" s="31" t="s">
        <v>769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766</v>
      </c>
      <c r="D1330" s="31" t="s">
        <v>485</v>
      </c>
      <c r="E1330" s="31"/>
      <c r="F1330" s="31" t="s">
        <v>917</v>
      </c>
      <c r="G1330" s="27">
        <v>7989</v>
      </c>
      <c r="H1330" s="31" t="s">
        <v>63</v>
      </c>
      <c r="I1330" s="31" t="s">
        <v>918</v>
      </c>
      <c r="J1330" s="26" t="s">
        <v>768</v>
      </c>
      <c r="K1330" s="27">
        <v>7989</v>
      </c>
      <c r="L1330" s="31" t="s">
        <v>769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766</v>
      </c>
      <c r="D1331" s="31" t="s">
        <v>575</v>
      </c>
      <c r="E1331" s="31" t="s">
        <v>772</v>
      </c>
      <c r="F1331" s="31" t="s">
        <v>884</v>
      </c>
      <c r="G1331" s="27">
        <v>2000</v>
      </c>
      <c r="H1331" s="31" t="s">
        <v>63</v>
      </c>
      <c r="I1331" s="31"/>
      <c r="J1331" s="26" t="s">
        <v>775</v>
      </c>
      <c r="K1331" s="27">
        <v>2000</v>
      </c>
      <c r="L1331" s="31" t="s">
        <v>769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766</v>
      </c>
      <c r="D1332" s="31" t="s">
        <v>576</v>
      </c>
      <c r="E1332" s="31"/>
      <c r="F1332" s="31" t="s">
        <v>576</v>
      </c>
      <c r="G1332" s="27">
        <v>5000</v>
      </c>
      <c r="H1332" s="31" t="s">
        <v>63</v>
      </c>
      <c r="I1332" s="31"/>
      <c r="J1332" s="26" t="s">
        <v>778</v>
      </c>
      <c r="K1332" s="27">
        <v>5000</v>
      </c>
      <c r="L1332" s="31" t="s">
        <v>769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766</v>
      </c>
      <c r="D1333" s="31" t="s">
        <v>575</v>
      </c>
      <c r="E1333" s="31" t="s">
        <v>772</v>
      </c>
      <c r="F1333" s="31" t="s">
        <v>773</v>
      </c>
      <c r="G1333" s="27">
        <v>2000</v>
      </c>
      <c r="H1333" s="31" t="s">
        <v>63</v>
      </c>
      <c r="I1333" s="31" t="s">
        <v>1221</v>
      </c>
      <c r="J1333" s="26" t="s">
        <v>775</v>
      </c>
      <c r="K1333" s="27">
        <v>2000</v>
      </c>
      <c r="L1333" s="31" t="s">
        <v>769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163</v>
      </c>
      <c r="D1334" s="31" t="s">
        <v>575</v>
      </c>
      <c r="E1334" s="31" t="s">
        <v>781</v>
      </c>
      <c r="F1334" s="31" t="s">
        <v>1275</v>
      </c>
      <c r="G1334" s="27">
        <v>12000</v>
      </c>
      <c r="H1334" s="31" t="s">
        <v>63</v>
      </c>
      <c r="I1334" s="31"/>
      <c r="J1334" s="26" t="s">
        <v>775</v>
      </c>
      <c r="K1334" s="27">
        <v>12000</v>
      </c>
      <c r="L1334" s="31" t="s">
        <v>769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766</v>
      </c>
      <c r="D1335" s="31" t="s">
        <v>946</v>
      </c>
      <c r="E1335" s="31"/>
      <c r="F1335" s="31" t="s">
        <v>1276</v>
      </c>
      <c r="G1335" s="27">
        <v>68370</v>
      </c>
      <c r="H1335" s="31" t="s">
        <v>63</v>
      </c>
      <c r="I1335" s="31" t="s">
        <v>1277</v>
      </c>
      <c r="J1335" s="26" t="s">
        <v>775</v>
      </c>
      <c r="K1335" s="27">
        <v>68370</v>
      </c>
      <c r="L1335" s="31" t="s">
        <v>769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766</v>
      </c>
      <c r="D1336" s="31" t="s">
        <v>946</v>
      </c>
      <c r="E1336" s="31"/>
      <c r="F1336" s="31" t="s">
        <v>1278</v>
      </c>
      <c r="G1336" s="27">
        <v>54800</v>
      </c>
      <c r="H1336" s="31" t="s">
        <v>63</v>
      </c>
      <c r="I1336" s="31" t="s">
        <v>1277</v>
      </c>
      <c r="J1336" s="26" t="s">
        <v>775</v>
      </c>
      <c r="K1336" s="27">
        <v>54800</v>
      </c>
      <c r="L1336" s="31" t="s">
        <v>769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780</v>
      </c>
      <c r="D1337" s="31" t="s">
        <v>817</v>
      </c>
      <c r="E1337" s="31"/>
      <c r="F1337" s="31" t="s">
        <v>451</v>
      </c>
      <c r="G1337" s="27">
        <v>148870</v>
      </c>
      <c r="H1337" s="31" t="s">
        <v>63</v>
      </c>
      <c r="I1337" s="31"/>
      <c r="J1337" s="26" t="s">
        <v>768</v>
      </c>
      <c r="K1337" s="27">
        <v>148870</v>
      </c>
      <c r="L1337" s="31" t="s">
        <v>769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766</v>
      </c>
      <c r="D1338" s="31" t="s">
        <v>575</v>
      </c>
      <c r="E1338" s="31" t="s">
        <v>885</v>
      </c>
      <c r="F1338" s="31" t="s">
        <v>773</v>
      </c>
      <c r="G1338" s="27">
        <v>7300</v>
      </c>
      <c r="H1338" s="31" t="s">
        <v>63</v>
      </c>
      <c r="I1338" s="31" t="s">
        <v>992</v>
      </c>
      <c r="J1338" s="26" t="s">
        <v>775</v>
      </c>
      <c r="K1338" s="27">
        <v>7300</v>
      </c>
      <c r="L1338" s="31" t="s">
        <v>769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766</v>
      </c>
      <c r="D1339" s="31" t="s">
        <v>576</v>
      </c>
      <c r="E1339" s="31"/>
      <c r="F1339" s="31" t="s">
        <v>576</v>
      </c>
      <c r="G1339" s="27">
        <v>4500</v>
      </c>
      <c r="H1339" s="31" t="s">
        <v>63</v>
      </c>
      <c r="I1339" s="31"/>
      <c r="J1339" s="26" t="s">
        <v>778</v>
      </c>
      <c r="K1339" s="27">
        <v>4500</v>
      </c>
      <c r="L1339" s="31" t="s">
        <v>769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803</v>
      </c>
      <c r="D1340" s="31" t="s">
        <v>66</v>
      </c>
      <c r="E1340" s="31"/>
      <c r="F1340" s="31" t="s">
        <v>66</v>
      </c>
      <c r="G1340" s="27">
        <v>2785740</v>
      </c>
      <c r="H1340" s="31" t="s">
        <v>520</v>
      </c>
      <c r="I1340" s="31"/>
      <c r="J1340" s="26" t="s">
        <v>66</v>
      </c>
      <c r="K1340" s="27">
        <v>2785740</v>
      </c>
      <c r="L1340" s="31" t="s">
        <v>769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922</v>
      </c>
      <c r="D1341" s="31" t="s">
        <v>196</v>
      </c>
      <c r="E1341" s="31"/>
      <c r="F1341" s="31" t="s">
        <v>81</v>
      </c>
      <c r="G1341" s="27">
        <v>150000</v>
      </c>
      <c r="H1341" s="31" t="s">
        <v>804</v>
      </c>
      <c r="I1341" s="31"/>
      <c r="J1341" s="26" t="s">
        <v>805</v>
      </c>
      <c r="K1341" s="27">
        <v>150000</v>
      </c>
      <c r="L1341" s="31" t="s">
        <v>769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196</v>
      </c>
      <c r="D1342" s="31" t="s">
        <v>922</v>
      </c>
      <c r="E1342" s="31"/>
      <c r="F1342" s="31" t="s">
        <v>81</v>
      </c>
      <c r="G1342" s="27">
        <v>150000</v>
      </c>
      <c r="H1342" s="31" t="s">
        <v>807</v>
      </c>
      <c r="I1342" s="31"/>
      <c r="J1342" s="26" t="s">
        <v>829</v>
      </c>
      <c r="K1342" s="27">
        <v>150000</v>
      </c>
      <c r="L1342" s="31" t="s">
        <v>769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193</v>
      </c>
      <c r="D1343" s="31" t="s">
        <v>163</v>
      </c>
      <c r="E1343" s="31"/>
      <c r="F1343" s="31" t="s">
        <v>81</v>
      </c>
      <c r="G1343" s="27">
        <v>18387</v>
      </c>
      <c r="H1343" s="31" t="s">
        <v>804</v>
      </c>
      <c r="I1343" s="31"/>
      <c r="J1343" s="26" t="s">
        <v>805</v>
      </c>
      <c r="K1343" s="27">
        <v>18387</v>
      </c>
      <c r="L1343" s="31" t="s">
        <v>769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163</v>
      </c>
      <c r="D1344" s="31" t="s">
        <v>193</v>
      </c>
      <c r="E1344" s="31"/>
      <c r="F1344" s="31" t="s">
        <v>81</v>
      </c>
      <c r="G1344" s="27">
        <v>18387</v>
      </c>
      <c r="H1344" s="31" t="s">
        <v>807</v>
      </c>
      <c r="I1344" s="31"/>
      <c r="J1344" s="26" t="s">
        <v>805</v>
      </c>
      <c r="K1344" s="27">
        <v>18387</v>
      </c>
      <c r="L1344" s="31" t="s">
        <v>769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852</v>
      </c>
      <c r="D1345" s="31" t="s">
        <v>946</v>
      </c>
      <c r="E1345" s="31"/>
      <c r="F1345" s="31" t="s">
        <v>488</v>
      </c>
      <c r="G1345" s="27">
        <v>19900</v>
      </c>
      <c r="H1345" s="31" t="s">
        <v>63</v>
      </c>
      <c r="I1345" s="31" t="s">
        <v>1277</v>
      </c>
      <c r="J1345" s="26" t="s">
        <v>775</v>
      </c>
      <c r="K1345" s="27">
        <v>19900</v>
      </c>
      <c r="L1345" s="31" t="s">
        <v>769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771</v>
      </c>
      <c r="D1346" s="31" t="s">
        <v>576</v>
      </c>
      <c r="E1346" s="31"/>
      <c r="F1346" s="31" t="s">
        <v>576</v>
      </c>
      <c r="G1346" s="27">
        <v>5000</v>
      </c>
      <c r="H1346" s="31" t="s">
        <v>63</v>
      </c>
      <c r="I1346" s="31"/>
      <c r="J1346" s="26" t="s">
        <v>778</v>
      </c>
      <c r="K1346" s="27">
        <v>5000</v>
      </c>
      <c r="L1346" s="31" t="s">
        <v>769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771</v>
      </c>
      <c r="D1347" s="31" t="s">
        <v>575</v>
      </c>
      <c r="E1347" s="31" t="s">
        <v>772</v>
      </c>
      <c r="F1347" s="31" t="s">
        <v>773</v>
      </c>
      <c r="G1347" s="27">
        <v>10000</v>
      </c>
      <c r="H1347" s="31" t="s">
        <v>63</v>
      </c>
      <c r="I1347" s="31"/>
      <c r="J1347" s="26" t="s">
        <v>775</v>
      </c>
      <c r="K1347" s="27">
        <v>10000</v>
      </c>
      <c r="L1347" s="31" t="s">
        <v>769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766</v>
      </c>
      <c r="D1348" s="31" t="s">
        <v>843</v>
      </c>
      <c r="E1348" s="31" t="s">
        <v>844</v>
      </c>
      <c r="F1348" s="31" t="s">
        <v>970</v>
      </c>
      <c r="G1348" s="27">
        <v>4000</v>
      </c>
      <c r="H1348" s="31" t="s">
        <v>63</v>
      </c>
      <c r="I1348" s="31" t="s">
        <v>1166</v>
      </c>
      <c r="J1348" s="26" t="s">
        <v>775</v>
      </c>
      <c r="K1348" s="27">
        <v>4000</v>
      </c>
      <c r="L1348" s="31" t="s">
        <v>769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771</v>
      </c>
      <c r="D1349" s="31" t="s">
        <v>575</v>
      </c>
      <c r="E1349" s="31" t="s">
        <v>781</v>
      </c>
      <c r="F1349" s="31" t="s">
        <v>1004</v>
      </c>
      <c r="G1349" s="27">
        <v>8500</v>
      </c>
      <c r="H1349" s="31" t="s">
        <v>63</v>
      </c>
      <c r="I1349" s="31"/>
      <c r="J1349" s="26" t="s">
        <v>775</v>
      </c>
      <c r="K1349" s="27">
        <v>8500</v>
      </c>
      <c r="L1349" s="31" t="s">
        <v>769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771</v>
      </c>
      <c r="D1350" s="31" t="s">
        <v>796</v>
      </c>
      <c r="E1350" s="31"/>
      <c r="F1350" s="31" t="s">
        <v>1105</v>
      </c>
      <c r="G1350" s="27">
        <v>21500</v>
      </c>
      <c r="H1350" s="31" t="s">
        <v>63</v>
      </c>
      <c r="I1350" s="31"/>
      <c r="J1350" s="26" t="s">
        <v>775</v>
      </c>
      <c r="K1350" s="27">
        <v>21500</v>
      </c>
      <c r="L1350" s="31" t="s">
        <v>769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771</v>
      </c>
      <c r="D1351" s="31" t="s">
        <v>575</v>
      </c>
      <c r="E1351" s="31" t="s">
        <v>885</v>
      </c>
      <c r="F1351" s="31" t="s">
        <v>773</v>
      </c>
      <c r="G1351" s="27">
        <v>10300</v>
      </c>
      <c r="H1351" s="31" t="s">
        <v>63</v>
      </c>
      <c r="I1351" s="31" t="s">
        <v>992</v>
      </c>
      <c r="J1351" s="26" t="s">
        <v>775</v>
      </c>
      <c r="K1351" s="27">
        <v>10300</v>
      </c>
      <c r="L1351" s="31" t="s">
        <v>769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193</v>
      </c>
      <c r="D1352" s="31" t="s">
        <v>22</v>
      </c>
      <c r="E1352" s="31"/>
      <c r="F1352" s="31" t="s">
        <v>927</v>
      </c>
      <c r="G1352" s="27">
        <v>18384</v>
      </c>
      <c r="H1352" s="31" t="s">
        <v>63</v>
      </c>
      <c r="I1352" s="31"/>
      <c r="J1352" s="26" t="s">
        <v>768</v>
      </c>
      <c r="K1352" s="27">
        <v>18384</v>
      </c>
      <c r="L1352" s="31" t="s">
        <v>769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766</v>
      </c>
      <c r="D1353" s="31" t="s">
        <v>485</v>
      </c>
      <c r="E1353" s="31"/>
      <c r="F1353" s="31" t="s">
        <v>926</v>
      </c>
      <c r="G1353" s="27">
        <v>4890</v>
      </c>
      <c r="H1353" s="31" t="s">
        <v>63</v>
      </c>
      <c r="I1353" s="31"/>
      <c r="J1353" s="26" t="s">
        <v>768</v>
      </c>
      <c r="K1353" s="27">
        <v>4890</v>
      </c>
      <c r="L1353" s="31" t="s">
        <v>769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771</v>
      </c>
      <c r="D1354" s="31" t="s">
        <v>575</v>
      </c>
      <c r="E1354" s="31" t="s">
        <v>772</v>
      </c>
      <c r="F1354" s="31" t="s">
        <v>773</v>
      </c>
      <c r="G1354" s="27">
        <v>2600</v>
      </c>
      <c r="H1354" s="31" t="s">
        <v>63</v>
      </c>
      <c r="I1354" s="31" t="s">
        <v>1221</v>
      </c>
      <c r="J1354" s="26" t="s">
        <v>775</v>
      </c>
      <c r="K1354" s="27">
        <v>2600</v>
      </c>
      <c r="L1354" s="31" t="s">
        <v>769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771</v>
      </c>
      <c r="D1355" s="31" t="s">
        <v>575</v>
      </c>
      <c r="E1355" s="31" t="s">
        <v>781</v>
      </c>
      <c r="F1355" s="31" t="s">
        <v>1057</v>
      </c>
      <c r="G1355" s="27">
        <v>11600</v>
      </c>
      <c r="H1355" s="31" t="s">
        <v>63</v>
      </c>
      <c r="I1355" s="31"/>
      <c r="J1355" s="26" t="s">
        <v>775</v>
      </c>
      <c r="K1355" s="27">
        <v>11600</v>
      </c>
      <c r="L1355" s="31" t="s">
        <v>769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780</v>
      </c>
      <c r="D1356" s="31" t="s">
        <v>843</v>
      </c>
      <c r="E1356" s="31" t="s">
        <v>932</v>
      </c>
      <c r="F1356" s="31" t="s">
        <v>933</v>
      </c>
      <c r="G1356" s="27">
        <v>138056</v>
      </c>
      <c r="H1356" s="31" t="s">
        <v>63</v>
      </c>
      <c r="I1356" s="31"/>
      <c r="J1356" s="26" t="s">
        <v>768</v>
      </c>
      <c r="K1356" s="27">
        <v>138056</v>
      </c>
      <c r="L1356" s="31" t="s">
        <v>769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771</v>
      </c>
      <c r="D1357" s="31" t="s">
        <v>912</v>
      </c>
      <c r="E1357" s="31" t="s">
        <v>1190</v>
      </c>
      <c r="F1357" s="31" t="s">
        <v>989</v>
      </c>
      <c r="G1357" s="27">
        <v>7910</v>
      </c>
      <c r="H1357" s="31" t="s">
        <v>63</v>
      </c>
      <c r="I1357" s="31" t="s">
        <v>104</v>
      </c>
      <c r="J1357" s="26" t="s">
        <v>783</v>
      </c>
      <c r="K1357" s="27">
        <v>7910</v>
      </c>
      <c r="L1357" s="31" t="s">
        <v>769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803</v>
      </c>
      <c r="D1358" s="31" t="s">
        <v>1279</v>
      </c>
      <c r="E1358" s="31"/>
      <c r="F1358" s="31" t="s">
        <v>81</v>
      </c>
      <c r="G1358" s="27">
        <v>100000</v>
      </c>
      <c r="H1358" s="31" t="s">
        <v>807</v>
      </c>
      <c r="I1358" s="31"/>
      <c r="J1358" s="26" t="s">
        <v>836</v>
      </c>
      <c r="K1358" s="27">
        <v>100000</v>
      </c>
      <c r="L1358" s="31" t="s">
        <v>769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175</v>
      </c>
      <c r="D1359" s="31" t="s">
        <v>22</v>
      </c>
      <c r="E1359" s="31"/>
      <c r="F1359" s="31" t="s">
        <v>934</v>
      </c>
      <c r="G1359" s="27">
        <v>1</v>
      </c>
      <c r="H1359" s="31" t="s">
        <v>520</v>
      </c>
      <c r="I1359" s="31"/>
      <c r="J1359" s="26" t="s">
        <v>824</v>
      </c>
      <c r="K1359" s="27">
        <v>1</v>
      </c>
      <c r="L1359" s="31" t="s">
        <v>769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1279</v>
      </c>
      <c r="D1360" s="31" t="s">
        <v>803</v>
      </c>
      <c r="E1360" s="31"/>
      <c r="F1360" s="31" t="s">
        <v>81</v>
      </c>
      <c r="G1360" s="27">
        <v>100000</v>
      </c>
      <c r="H1360" s="31" t="s">
        <v>804</v>
      </c>
      <c r="I1360" s="31"/>
      <c r="J1360" s="26" t="s">
        <v>805</v>
      </c>
      <c r="K1360" s="27">
        <v>100000</v>
      </c>
      <c r="L1360" s="31" t="s">
        <v>769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1279</v>
      </c>
      <c r="D1361" s="31" t="s">
        <v>821</v>
      </c>
      <c r="E1361" s="31"/>
      <c r="F1361" s="31" t="s">
        <v>858</v>
      </c>
      <c r="G1361" s="27">
        <v>100000</v>
      </c>
      <c r="H1361" s="31" t="s">
        <v>520</v>
      </c>
      <c r="I1361" s="31"/>
      <c r="J1361" s="26" t="s">
        <v>821</v>
      </c>
      <c r="K1361" s="27">
        <v>100000</v>
      </c>
      <c r="L1361" s="31" t="s">
        <v>769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771</v>
      </c>
      <c r="D1362" s="31" t="s">
        <v>912</v>
      </c>
      <c r="E1362" s="31" t="s">
        <v>580</v>
      </c>
      <c r="F1362" s="31" t="s">
        <v>773</v>
      </c>
      <c r="G1362" s="27">
        <v>2900</v>
      </c>
      <c r="H1362" s="31" t="s">
        <v>63</v>
      </c>
      <c r="I1362" s="31" t="s">
        <v>1280</v>
      </c>
      <c r="J1362" s="26" t="s">
        <v>783</v>
      </c>
      <c r="K1362" s="27">
        <v>2900</v>
      </c>
      <c r="L1362" s="31" t="s">
        <v>769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771</v>
      </c>
      <c r="D1363" s="31" t="s">
        <v>576</v>
      </c>
      <c r="E1363" s="31"/>
      <c r="F1363" s="31" t="s">
        <v>576</v>
      </c>
      <c r="G1363" s="27">
        <v>5000</v>
      </c>
      <c r="H1363" s="31" t="s">
        <v>63</v>
      </c>
      <c r="I1363" s="31"/>
      <c r="J1363" s="26" t="s">
        <v>778</v>
      </c>
      <c r="K1363" s="27">
        <v>5000</v>
      </c>
      <c r="L1363" s="31" t="s">
        <v>769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852</v>
      </c>
      <c r="D1364" s="31" t="s">
        <v>575</v>
      </c>
      <c r="E1364" s="31" t="s">
        <v>792</v>
      </c>
      <c r="F1364" s="31" t="s">
        <v>853</v>
      </c>
      <c r="G1364" s="27">
        <v>21500</v>
      </c>
      <c r="H1364" s="31" t="s">
        <v>63</v>
      </c>
      <c r="I1364" s="31" t="s">
        <v>1000</v>
      </c>
      <c r="J1364" s="26" t="s">
        <v>775</v>
      </c>
      <c r="K1364" s="27">
        <v>21500</v>
      </c>
      <c r="L1364" s="31" t="s">
        <v>769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852</v>
      </c>
      <c r="D1365" s="31" t="s">
        <v>796</v>
      </c>
      <c r="E1365" s="31"/>
      <c r="F1365" s="31" t="s">
        <v>488</v>
      </c>
      <c r="G1365" s="27">
        <v>7900</v>
      </c>
      <c r="H1365" s="31" t="s">
        <v>63</v>
      </c>
      <c r="I1365" s="31" t="s">
        <v>1281</v>
      </c>
      <c r="J1365" s="26" t="s">
        <v>775</v>
      </c>
      <c r="K1365" s="27">
        <v>7900</v>
      </c>
      <c r="L1365" s="31" t="s">
        <v>769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771</v>
      </c>
      <c r="D1366" s="31" t="s">
        <v>575</v>
      </c>
      <c r="E1366" s="31" t="s">
        <v>772</v>
      </c>
      <c r="F1366" s="31" t="s">
        <v>773</v>
      </c>
      <c r="G1366" s="27">
        <v>3000</v>
      </c>
      <c r="H1366" s="31" t="s">
        <v>63</v>
      </c>
      <c r="I1366" s="31" t="s">
        <v>1282</v>
      </c>
      <c r="J1366" s="26" t="s">
        <v>775</v>
      </c>
      <c r="K1366" s="27">
        <v>3000</v>
      </c>
      <c r="L1366" s="31" t="s">
        <v>769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196</v>
      </c>
      <c r="D1367" s="31" t="s">
        <v>163</v>
      </c>
      <c r="E1367" s="31"/>
      <c r="F1367" s="31" t="s">
        <v>81</v>
      </c>
      <c r="G1367" s="27">
        <v>4097624</v>
      </c>
      <c r="H1367" s="31" t="s">
        <v>807</v>
      </c>
      <c r="I1367" s="31"/>
      <c r="J1367" s="26" t="s">
        <v>805</v>
      </c>
      <c r="K1367" s="27">
        <v>4097624</v>
      </c>
      <c r="L1367" s="31" t="s">
        <v>769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163</v>
      </c>
      <c r="D1368" s="31" t="s">
        <v>196</v>
      </c>
      <c r="E1368" s="31"/>
      <c r="F1368" s="31" t="s">
        <v>81</v>
      </c>
      <c r="G1368" s="27">
        <v>4097624</v>
      </c>
      <c r="H1368" s="31" t="s">
        <v>804</v>
      </c>
      <c r="I1368" s="31"/>
      <c r="J1368" s="26" t="s">
        <v>805</v>
      </c>
      <c r="K1368" s="27">
        <v>4097624</v>
      </c>
      <c r="L1368" s="31" t="s">
        <v>769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803</v>
      </c>
      <c r="D1369" s="31" t="s">
        <v>163</v>
      </c>
      <c r="E1369" s="31"/>
      <c r="F1369" s="31" t="s">
        <v>81</v>
      </c>
      <c r="G1369" s="27">
        <v>2685804</v>
      </c>
      <c r="H1369" s="31" t="s">
        <v>807</v>
      </c>
      <c r="I1369" s="31"/>
      <c r="J1369" s="26" t="s">
        <v>805</v>
      </c>
      <c r="K1369" s="27">
        <v>2685804</v>
      </c>
      <c r="L1369" s="31" t="s">
        <v>769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163</v>
      </c>
      <c r="D1370" s="31" t="s">
        <v>803</v>
      </c>
      <c r="E1370" s="31"/>
      <c r="F1370" s="31" t="s">
        <v>81</v>
      </c>
      <c r="G1370" s="27">
        <v>2685804</v>
      </c>
      <c r="H1370" s="31" t="s">
        <v>804</v>
      </c>
      <c r="I1370" s="31"/>
      <c r="J1370" s="26" t="s">
        <v>805</v>
      </c>
      <c r="K1370" s="27">
        <v>2685804</v>
      </c>
      <c r="L1370" s="31" t="s">
        <v>769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163</v>
      </c>
      <c r="D1371" s="31" t="s">
        <v>22</v>
      </c>
      <c r="E1371" s="31"/>
      <c r="F1371" s="31" t="s">
        <v>188</v>
      </c>
      <c r="G1371" s="27">
        <v>709</v>
      </c>
      <c r="H1371" s="31" t="s">
        <v>520</v>
      </c>
      <c r="I1371" s="31"/>
      <c r="J1371" s="26" t="s">
        <v>824</v>
      </c>
      <c r="K1371" s="27">
        <v>709</v>
      </c>
      <c r="L1371" s="31" t="s">
        <v>769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559</v>
      </c>
      <c r="D1372" s="31" t="s">
        <v>163</v>
      </c>
      <c r="E1372" s="31"/>
      <c r="F1372" s="31" t="s">
        <v>81</v>
      </c>
      <c r="G1372" s="27">
        <v>20000</v>
      </c>
      <c r="H1372" s="31" t="s">
        <v>804</v>
      </c>
      <c r="I1372" s="31"/>
      <c r="J1372" s="26" t="s">
        <v>805</v>
      </c>
      <c r="K1372" s="27">
        <v>20000</v>
      </c>
      <c r="L1372" s="31" t="s">
        <v>769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527</v>
      </c>
      <c r="D1373" s="31" t="s">
        <v>163</v>
      </c>
      <c r="E1373" s="31"/>
      <c r="F1373" s="31" t="s">
        <v>81</v>
      </c>
      <c r="G1373" s="27">
        <v>20000</v>
      </c>
      <c r="H1373" s="31" t="s">
        <v>804</v>
      </c>
      <c r="I1373" s="31"/>
      <c r="J1373" s="26" t="s">
        <v>805</v>
      </c>
      <c r="K1373" s="27">
        <v>20000</v>
      </c>
      <c r="L1373" s="31" t="s">
        <v>769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163</v>
      </c>
      <c r="D1374" s="31" t="s">
        <v>527</v>
      </c>
      <c r="E1374" s="31"/>
      <c r="F1374" s="31" t="s">
        <v>81</v>
      </c>
      <c r="G1374" s="27">
        <v>20000</v>
      </c>
      <c r="H1374" s="31" t="s">
        <v>807</v>
      </c>
      <c r="I1374" s="31"/>
      <c r="J1374" s="26" t="s">
        <v>830</v>
      </c>
      <c r="K1374" s="27">
        <v>20000</v>
      </c>
      <c r="L1374" s="31" t="s">
        <v>769</v>
      </c>
      <c r="M1374" s="31" t="s">
        <v>1283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163</v>
      </c>
      <c r="D1375" s="31" t="s">
        <v>559</v>
      </c>
      <c r="E1375" s="31"/>
      <c r="F1375" s="31" t="s">
        <v>81</v>
      </c>
      <c r="G1375" s="27">
        <v>20000</v>
      </c>
      <c r="H1375" s="31" t="s">
        <v>807</v>
      </c>
      <c r="I1375" s="31"/>
      <c r="J1375" s="26" t="s">
        <v>839</v>
      </c>
      <c r="K1375" s="27">
        <v>20000</v>
      </c>
      <c r="L1375" s="31" t="s">
        <v>769</v>
      </c>
      <c r="M1375" s="31" t="s">
        <v>1283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559</v>
      </c>
      <c r="D1376" s="31" t="s">
        <v>821</v>
      </c>
      <c r="E1376" s="31"/>
      <c r="F1376" s="31" t="s">
        <v>858</v>
      </c>
      <c r="G1376" s="27">
        <v>40000</v>
      </c>
      <c r="H1376" s="31" t="s">
        <v>520</v>
      </c>
      <c r="I1376" s="31"/>
      <c r="J1376" s="26" t="s">
        <v>821</v>
      </c>
      <c r="K1376" s="27">
        <v>40000</v>
      </c>
      <c r="L1376" s="31" t="s">
        <v>769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559</v>
      </c>
      <c r="D1377" s="31" t="s">
        <v>22</v>
      </c>
      <c r="E1377" s="31"/>
      <c r="F1377" s="31" t="s">
        <v>927</v>
      </c>
      <c r="G1377" s="27">
        <v>1060</v>
      </c>
      <c r="H1377" s="31" t="s">
        <v>520</v>
      </c>
      <c r="I1377" s="31"/>
      <c r="J1377" s="26" t="s">
        <v>824</v>
      </c>
      <c r="K1377" s="27">
        <v>1060</v>
      </c>
      <c r="L1377" s="31" t="s">
        <v>769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924</v>
      </c>
      <c r="D1378" s="31" t="s">
        <v>163</v>
      </c>
      <c r="E1378" s="31"/>
      <c r="F1378" s="31" t="s">
        <v>81</v>
      </c>
      <c r="G1378" s="27">
        <v>200000</v>
      </c>
      <c r="H1378" s="31" t="s">
        <v>804</v>
      </c>
      <c r="I1378" s="31"/>
      <c r="J1378" s="26" t="s">
        <v>805</v>
      </c>
      <c r="K1378" s="27">
        <v>200000</v>
      </c>
      <c r="L1378" s="31" t="s">
        <v>769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163</v>
      </c>
      <c r="D1379" s="31" t="s">
        <v>924</v>
      </c>
      <c r="E1379" s="31"/>
      <c r="F1379" s="31" t="s">
        <v>81</v>
      </c>
      <c r="G1379" s="27">
        <v>200000</v>
      </c>
      <c r="H1379" s="31" t="s">
        <v>807</v>
      </c>
      <c r="I1379" s="31"/>
      <c r="J1379" s="26" t="s">
        <v>842</v>
      </c>
      <c r="K1379" s="27">
        <v>200000</v>
      </c>
      <c r="L1379" s="31" t="s">
        <v>769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163</v>
      </c>
      <c r="D1380" s="31" t="s">
        <v>1006</v>
      </c>
      <c r="E1380" s="31"/>
      <c r="F1380" s="31" t="s">
        <v>81</v>
      </c>
      <c r="G1380" s="27">
        <v>60000</v>
      </c>
      <c r="H1380" s="31" t="s">
        <v>807</v>
      </c>
      <c r="I1380" s="31"/>
      <c r="J1380" s="26" t="s">
        <v>833</v>
      </c>
      <c r="K1380" s="27">
        <v>60000</v>
      </c>
      <c r="L1380" s="31" t="s">
        <v>769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1006</v>
      </c>
      <c r="D1381" s="31" t="s">
        <v>163</v>
      </c>
      <c r="E1381" s="31"/>
      <c r="F1381" s="31" t="s">
        <v>81</v>
      </c>
      <c r="G1381" s="27">
        <v>60000</v>
      </c>
      <c r="H1381" s="31" t="s">
        <v>804</v>
      </c>
      <c r="I1381" s="31"/>
      <c r="J1381" s="26" t="s">
        <v>805</v>
      </c>
      <c r="K1381" s="27">
        <v>60000</v>
      </c>
      <c r="L1381" s="31" t="s">
        <v>769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1005</v>
      </c>
      <c r="D1382" s="31" t="s">
        <v>163</v>
      </c>
      <c r="E1382" s="31"/>
      <c r="F1382" s="31" t="s">
        <v>81</v>
      </c>
      <c r="G1382" s="27">
        <v>60000</v>
      </c>
      <c r="H1382" s="31" t="s">
        <v>804</v>
      </c>
      <c r="I1382" s="31"/>
      <c r="J1382" s="26" t="s">
        <v>805</v>
      </c>
      <c r="K1382" s="27">
        <v>60000</v>
      </c>
      <c r="L1382" s="31" t="s">
        <v>769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163</v>
      </c>
      <c r="D1383" s="31" t="s">
        <v>1005</v>
      </c>
      <c r="E1383" s="31"/>
      <c r="F1383" s="31" t="s">
        <v>81</v>
      </c>
      <c r="G1383" s="27">
        <v>60000</v>
      </c>
      <c r="H1383" s="31" t="s">
        <v>807</v>
      </c>
      <c r="I1383" s="31"/>
      <c r="J1383" s="26" t="s">
        <v>833</v>
      </c>
      <c r="K1383" s="27">
        <v>60000</v>
      </c>
      <c r="L1383" s="31" t="s">
        <v>769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1006</v>
      </c>
      <c r="D1384" s="31" t="s">
        <v>806</v>
      </c>
      <c r="E1384" s="31"/>
      <c r="F1384" s="31" t="s">
        <v>1036</v>
      </c>
      <c r="G1384" s="27">
        <v>65852</v>
      </c>
      <c r="H1384" s="31" t="s">
        <v>63</v>
      </c>
      <c r="I1384" s="31" t="s">
        <v>1051</v>
      </c>
      <c r="J1384" s="26" t="s">
        <v>806</v>
      </c>
      <c r="K1384" s="27">
        <v>65852</v>
      </c>
      <c r="L1384" s="31" t="s">
        <v>769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1005</v>
      </c>
      <c r="D1385" s="31" t="s">
        <v>806</v>
      </c>
      <c r="E1385" s="31"/>
      <c r="F1385" s="31" t="s">
        <v>1036</v>
      </c>
      <c r="G1385" s="27">
        <v>64361</v>
      </c>
      <c r="H1385" s="31" t="s">
        <v>63</v>
      </c>
      <c r="I1385" s="31" t="s">
        <v>1051</v>
      </c>
      <c r="J1385" s="26" t="s">
        <v>806</v>
      </c>
      <c r="K1385" s="27">
        <v>64361</v>
      </c>
      <c r="L1385" s="31" t="s">
        <v>769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603</v>
      </c>
      <c r="D1386" s="31" t="s">
        <v>947</v>
      </c>
      <c r="E1386" s="31"/>
      <c r="F1386" s="31" t="s">
        <v>1284</v>
      </c>
      <c r="G1386" s="27">
        <v>2000</v>
      </c>
      <c r="H1386" s="31" t="s">
        <v>63</v>
      </c>
      <c r="I1386" s="31"/>
      <c r="J1386" s="26" t="s">
        <v>775</v>
      </c>
      <c r="K1386" s="27">
        <v>2000</v>
      </c>
      <c r="L1386" s="31" t="s">
        <v>769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771</v>
      </c>
      <c r="D1387" s="31" t="s">
        <v>575</v>
      </c>
      <c r="E1387" s="31" t="s">
        <v>772</v>
      </c>
      <c r="F1387" s="31" t="s">
        <v>1057</v>
      </c>
      <c r="G1387" s="27">
        <v>2000</v>
      </c>
      <c r="H1387" s="31" t="s">
        <v>63</v>
      </c>
      <c r="I1387" s="31" t="s">
        <v>1285</v>
      </c>
      <c r="J1387" s="26" t="s">
        <v>775</v>
      </c>
      <c r="K1387" s="27">
        <v>2000</v>
      </c>
      <c r="L1387" s="31" t="s">
        <v>769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766</v>
      </c>
      <c r="D1388" s="31" t="s">
        <v>942</v>
      </c>
      <c r="E1388" s="31"/>
      <c r="F1388" s="31" t="s">
        <v>1094</v>
      </c>
      <c r="G1388" s="27">
        <v>18800</v>
      </c>
      <c r="H1388" s="31" t="s">
        <v>63</v>
      </c>
      <c r="I1388" s="31" t="s">
        <v>1286</v>
      </c>
      <c r="J1388" s="26" t="s">
        <v>775</v>
      </c>
      <c r="K1388" s="27">
        <v>18800</v>
      </c>
      <c r="L1388" s="31" t="s">
        <v>769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771</v>
      </c>
      <c r="D1389" s="31" t="s">
        <v>796</v>
      </c>
      <c r="E1389" s="31"/>
      <c r="F1389" s="31" t="s">
        <v>825</v>
      </c>
      <c r="G1389" s="27">
        <v>32900</v>
      </c>
      <c r="H1389" s="31" t="s">
        <v>63</v>
      </c>
      <c r="I1389" s="31" t="s">
        <v>1287</v>
      </c>
      <c r="J1389" s="26" t="s">
        <v>775</v>
      </c>
      <c r="K1389" s="27">
        <v>32900</v>
      </c>
      <c r="L1389" s="31" t="s">
        <v>769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1279</v>
      </c>
      <c r="D1390" s="31" t="s">
        <v>912</v>
      </c>
      <c r="E1390" s="31" t="s">
        <v>1190</v>
      </c>
      <c r="F1390" s="31" t="s">
        <v>1288</v>
      </c>
      <c r="G1390" s="27">
        <v>33200</v>
      </c>
      <c r="H1390" s="31" t="s">
        <v>63</v>
      </c>
      <c r="I1390" s="31" t="s">
        <v>1289</v>
      </c>
      <c r="J1390" s="26" t="s">
        <v>783</v>
      </c>
      <c r="K1390" s="27">
        <v>16600</v>
      </c>
      <c r="L1390" s="31" t="s">
        <v>199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1279</v>
      </c>
      <c r="D1391" s="31" t="s">
        <v>912</v>
      </c>
      <c r="E1391" s="31" t="s">
        <v>1190</v>
      </c>
      <c r="F1391" s="31" t="s">
        <v>1290</v>
      </c>
      <c r="G1391" s="27">
        <v>3470</v>
      </c>
      <c r="H1391" s="31" t="s">
        <v>63</v>
      </c>
      <c r="I1391" s="31" t="s">
        <v>1291</v>
      </c>
      <c r="J1391" s="26" t="s">
        <v>783</v>
      </c>
      <c r="K1391" s="27">
        <v>1735</v>
      </c>
      <c r="L1391" s="31" t="s">
        <v>199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1279</v>
      </c>
      <c r="D1392" s="31" t="s">
        <v>912</v>
      </c>
      <c r="E1392" s="31" t="s">
        <v>1190</v>
      </c>
      <c r="F1392" s="31" t="s">
        <v>1292</v>
      </c>
      <c r="G1392" s="27">
        <v>8200</v>
      </c>
      <c r="H1392" s="31" t="s">
        <v>63</v>
      </c>
      <c r="I1392" s="31" t="s">
        <v>794</v>
      </c>
      <c r="J1392" s="26" t="s">
        <v>783</v>
      </c>
      <c r="K1392" s="27">
        <v>4100</v>
      </c>
      <c r="L1392" s="31" t="s">
        <v>199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1279</v>
      </c>
      <c r="D1393" s="31" t="s">
        <v>912</v>
      </c>
      <c r="E1393" s="31" t="s">
        <v>1190</v>
      </c>
      <c r="F1393" s="31" t="s">
        <v>1293</v>
      </c>
      <c r="G1393" s="27">
        <v>14200</v>
      </c>
      <c r="H1393" s="31" t="s">
        <v>63</v>
      </c>
      <c r="I1393" s="31" t="s">
        <v>1294</v>
      </c>
      <c r="J1393" s="26" t="s">
        <v>783</v>
      </c>
      <c r="K1393" s="27">
        <v>7100</v>
      </c>
      <c r="L1393" s="31" t="s">
        <v>199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771</v>
      </c>
      <c r="D1394" s="31" t="s">
        <v>796</v>
      </c>
      <c r="E1394" s="31"/>
      <c r="F1394" s="31" t="s">
        <v>797</v>
      </c>
      <c r="G1394" s="27">
        <v>21000</v>
      </c>
      <c r="H1394" s="31" t="s">
        <v>63</v>
      </c>
      <c r="I1394" s="31"/>
      <c r="J1394" s="26" t="s">
        <v>775</v>
      </c>
      <c r="K1394" s="27">
        <v>21000</v>
      </c>
      <c r="L1394" s="31" t="s">
        <v>769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924</v>
      </c>
      <c r="D1395" s="31" t="s">
        <v>22</v>
      </c>
      <c r="E1395" s="31"/>
      <c r="F1395" s="31" t="s">
        <v>950</v>
      </c>
      <c r="G1395" s="27">
        <v>8741</v>
      </c>
      <c r="H1395" s="31" t="s">
        <v>63</v>
      </c>
      <c r="I1395" s="31"/>
      <c r="J1395" s="26" t="s">
        <v>768</v>
      </c>
      <c r="K1395" s="27">
        <v>8741</v>
      </c>
      <c r="L1395" s="31" t="s">
        <v>769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766</v>
      </c>
      <c r="D1396" s="31" t="s">
        <v>942</v>
      </c>
      <c r="E1396" s="31"/>
      <c r="F1396" s="31" t="s">
        <v>1094</v>
      </c>
      <c r="G1396" s="27">
        <v>12800</v>
      </c>
      <c r="H1396" s="31" t="s">
        <v>63</v>
      </c>
      <c r="I1396" s="31"/>
      <c r="J1396" s="26" t="s">
        <v>775</v>
      </c>
      <c r="K1396" s="27">
        <v>12800</v>
      </c>
      <c r="L1396" s="31" t="s">
        <v>769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771</v>
      </c>
      <c r="D1397" s="31" t="s">
        <v>575</v>
      </c>
      <c r="E1397" s="31" t="s">
        <v>772</v>
      </c>
      <c r="F1397" s="31" t="s">
        <v>841</v>
      </c>
      <c r="G1397" s="27">
        <v>1100</v>
      </c>
      <c r="H1397" s="31" t="s">
        <v>63</v>
      </c>
      <c r="I1397" s="31"/>
      <c r="J1397" s="26" t="s">
        <v>775</v>
      </c>
      <c r="K1397" s="27">
        <v>1100</v>
      </c>
      <c r="L1397" s="31" t="s">
        <v>769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771</v>
      </c>
      <c r="D1398" s="31" t="s">
        <v>575</v>
      </c>
      <c r="E1398" s="31" t="s">
        <v>772</v>
      </c>
      <c r="F1398" s="31" t="s">
        <v>773</v>
      </c>
      <c r="G1398" s="27">
        <v>2400</v>
      </c>
      <c r="H1398" s="31" t="s">
        <v>63</v>
      </c>
      <c r="I1398" s="31" t="s">
        <v>1221</v>
      </c>
      <c r="J1398" s="26" t="s">
        <v>775</v>
      </c>
      <c r="K1398" s="27">
        <v>2400</v>
      </c>
      <c r="L1398" s="31" t="s">
        <v>769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771</v>
      </c>
      <c r="D1399" s="31" t="s">
        <v>576</v>
      </c>
      <c r="E1399" s="31"/>
      <c r="F1399" s="31" t="s">
        <v>576</v>
      </c>
      <c r="G1399" s="27">
        <v>5000</v>
      </c>
      <c r="H1399" s="31" t="s">
        <v>63</v>
      </c>
      <c r="I1399" s="31"/>
      <c r="J1399" s="26" t="s">
        <v>778</v>
      </c>
      <c r="K1399" s="27">
        <v>5000</v>
      </c>
      <c r="L1399" s="31" t="s">
        <v>769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771</v>
      </c>
      <c r="D1400" s="31" t="s">
        <v>843</v>
      </c>
      <c r="E1400" s="31" t="s">
        <v>844</v>
      </c>
      <c r="F1400" s="31" t="s">
        <v>1295</v>
      </c>
      <c r="G1400" s="27">
        <v>5600</v>
      </c>
      <c r="H1400" s="31" t="s">
        <v>63</v>
      </c>
      <c r="I1400" s="31"/>
      <c r="J1400" s="26" t="s">
        <v>775</v>
      </c>
      <c r="K1400" s="27">
        <v>5600</v>
      </c>
      <c r="L1400" s="31" t="s">
        <v>769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771</v>
      </c>
      <c r="D1401" s="31" t="s">
        <v>843</v>
      </c>
      <c r="E1401" s="31" t="s">
        <v>844</v>
      </c>
      <c r="F1401" s="31" t="s">
        <v>847</v>
      </c>
      <c r="G1401" s="27">
        <v>9300</v>
      </c>
      <c r="H1401" s="31" t="s">
        <v>63</v>
      </c>
      <c r="I1401" s="31"/>
      <c r="J1401" s="26" t="s">
        <v>775</v>
      </c>
      <c r="K1401" s="27">
        <v>9300</v>
      </c>
      <c r="L1401" s="31" t="s">
        <v>769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163</v>
      </c>
      <c r="D1402" s="31" t="s">
        <v>817</v>
      </c>
      <c r="E1402" s="31"/>
      <c r="F1402" s="31" t="s">
        <v>1296</v>
      </c>
      <c r="G1402" s="27">
        <v>40000</v>
      </c>
      <c r="H1402" s="31" t="s">
        <v>63</v>
      </c>
      <c r="I1402" s="31" t="s">
        <v>1297</v>
      </c>
      <c r="J1402" s="26" t="s">
        <v>799</v>
      </c>
      <c r="K1402" s="27">
        <v>40000</v>
      </c>
      <c r="L1402" s="31" t="s">
        <v>769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771</v>
      </c>
      <c r="D1403" s="31" t="s">
        <v>575</v>
      </c>
      <c r="E1403" s="31" t="s">
        <v>781</v>
      </c>
      <c r="F1403" s="31" t="s">
        <v>773</v>
      </c>
      <c r="G1403" s="27">
        <v>4100</v>
      </c>
      <c r="H1403" s="31" t="s">
        <v>63</v>
      </c>
      <c r="I1403" s="31" t="s">
        <v>72</v>
      </c>
      <c r="J1403" s="26" t="s">
        <v>775</v>
      </c>
      <c r="K1403" s="27">
        <v>4100</v>
      </c>
      <c r="L1403" s="31" t="s">
        <v>769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163</v>
      </c>
      <c r="D1404" s="31" t="s">
        <v>575</v>
      </c>
      <c r="E1404" s="31" t="s">
        <v>772</v>
      </c>
      <c r="F1404" s="31" t="s">
        <v>1274</v>
      </c>
      <c r="G1404" s="27">
        <v>5000</v>
      </c>
      <c r="H1404" s="31" t="s">
        <v>63</v>
      </c>
      <c r="I1404" s="31" t="s">
        <v>1282</v>
      </c>
      <c r="J1404" s="26" t="s">
        <v>775</v>
      </c>
      <c r="K1404" s="27">
        <v>5000</v>
      </c>
      <c r="L1404" s="31" t="s">
        <v>769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766</v>
      </c>
      <c r="D1405" s="31" t="s">
        <v>485</v>
      </c>
      <c r="E1405" s="31"/>
      <c r="F1405" s="31" t="s">
        <v>486</v>
      </c>
      <c r="G1405" s="27">
        <v>7890</v>
      </c>
      <c r="H1405" s="31" t="s">
        <v>63</v>
      </c>
      <c r="I1405" s="31"/>
      <c r="J1405" s="26" t="s">
        <v>768</v>
      </c>
      <c r="K1405" s="27">
        <v>7890</v>
      </c>
      <c r="L1405" s="31" t="s">
        <v>769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771</v>
      </c>
      <c r="D1406" s="31" t="s">
        <v>796</v>
      </c>
      <c r="E1406" s="31"/>
      <c r="F1406" s="31" t="s">
        <v>797</v>
      </c>
      <c r="G1406" s="27">
        <v>7000</v>
      </c>
      <c r="H1406" s="31" t="s">
        <v>63</v>
      </c>
      <c r="I1406" s="31"/>
      <c r="J1406" s="26" t="s">
        <v>775</v>
      </c>
      <c r="K1406" s="27">
        <v>7000</v>
      </c>
      <c r="L1406" s="31" t="s">
        <v>769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771</v>
      </c>
      <c r="D1407" s="31" t="s">
        <v>843</v>
      </c>
      <c r="E1407" s="31" t="s">
        <v>844</v>
      </c>
      <c r="F1407" s="31" t="s">
        <v>1298</v>
      </c>
      <c r="G1407" s="27">
        <v>8000</v>
      </c>
      <c r="H1407" s="31" t="s">
        <v>63</v>
      </c>
      <c r="I1407" s="31"/>
      <c r="J1407" s="26" t="s">
        <v>775</v>
      </c>
      <c r="K1407" s="27">
        <v>8000</v>
      </c>
      <c r="L1407" s="31" t="s">
        <v>769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196</v>
      </c>
      <c r="D1408" s="31" t="s">
        <v>942</v>
      </c>
      <c r="E1408" s="31"/>
      <c r="F1408" s="31" t="s">
        <v>1299</v>
      </c>
      <c r="G1408" s="27">
        <v>-30000</v>
      </c>
      <c r="H1408" s="31" t="s">
        <v>63</v>
      </c>
      <c r="I1408" s="31" t="s">
        <v>1300</v>
      </c>
      <c r="J1408" s="26" t="s">
        <v>768</v>
      </c>
      <c r="K1408" s="27">
        <v>-30000</v>
      </c>
      <c r="L1408" s="31" t="s">
        <v>769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771</v>
      </c>
      <c r="D1409" s="31" t="s">
        <v>576</v>
      </c>
      <c r="E1409" s="31"/>
      <c r="F1409" s="31" t="s">
        <v>576</v>
      </c>
      <c r="G1409" s="27">
        <v>5000</v>
      </c>
      <c r="H1409" s="31" t="s">
        <v>63</v>
      </c>
      <c r="I1409" s="31"/>
      <c r="J1409" s="26" t="s">
        <v>778</v>
      </c>
      <c r="K1409" s="27">
        <v>5000</v>
      </c>
      <c r="L1409" s="31" t="s">
        <v>769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771</v>
      </c>
      <c r="D1410" s="31" t="s">
        <v>575</v>
      </c>
      <c r="E1410" s="31" t="s">
        <v>772</v>
      </c>
      <c r="F1410" s="31" t="s">
        <v>773</v>
      </c>
      <c r="G1410" s="27">
        <v>5700</v>
      </c>
      <c r="H1410" s="31" t="s">
        <v>63</v>
      </c>
      <c r="I1410" s="31" t="s">
        <v>1301</v>
      </c>
      <c r="J1410" s="26" t="s">
        <v>775</v>
      </c>
      <c r="K1410" s="27">
        <v>5700</v>
      </c>
      <c r="L1410" s="31" t="s">
        <v>769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175</v>
      </c>
      <c r="D1411" s="31" t="s">
        <v>22</v>
      </c>
      <c r="E1411" s="31"/>
      <c r="F1411" s="31" t="s">
        <v>938</v>
      </c>
      <c r="G1411" s="27">
        <v>18295</v>
      </c>
      <c r="H1411" s="31" t="s">
        <v>63</v>
      </c>
      <c r="I1411" s="31"/>
      <c r="J1411" s="26" t="s">
        <v>768</v>
      </c>
      <c r="K1411" s="27">
        <v>18295</v>
      </c>
      <c r="L1411" s="31" t="s">
        <v>769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163</v>
      </c>
      <c r="D1412" s="31" t="s">
        <v>175</v>
      </c>
      <c r="E1412" s="31"/>
      <c r="F1412" s="31" t="s">
        <v>81</v>
      </c>
      <c r="G1412" s="27">
        <v>15500</v>
      </c>
      <c r="H1412" s="31" t="s">
        <v>807</v>
      </c>
      <c r="I1412" s="31"/>
      <c r="J1412" s="26" t="s">
        <v>805</v>
      </c>
      <c r="K1412" s="27">
        <v>15500</v>
      </c>
      <c r="L1412" s="31" t="s">
        <v>769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175</v>
      </c>
      <c r="D1413" s="31" t="s">
        <v>163</v>
      </c>
      <c r="E1413" s="31"/>
      <c r="F1413" s="31" t="s">
        <v>81</v>
      </c>
      <c r="G1413" s="27">
        <v>15500</v>
      </c>
      <c r="H1413" s="31" t="s">
        <v>804</v>
      </c>
      <c r="I1413" s="31"/>
      <c r="J1413" s="26" t="s">
        <v>805</v>
      </c>
      <c r="K1413" s="27">
        <v>15500</v>
      </c>
      <c r="L1413" s="31" t="s">
        <v>769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771</v>
      </c>
      <c r="D1414" s="31" t="s">
        <v>840</v>
      </c>
      <c r="E1414" s="31"/>
      <c r="F1414" s="31" t="s">
        <v>937</v>
      </c>
      <c r="G1414" s="27">
        <v>50000</v>
      </c>
      <c r="H1414" s="31" t="s">
        <v>63</v>
      </c>
      <c r="I1414" s="31" t="s">
        <v>631</v>
      </c>
      <c r="J1414" s="26" t="s">
        <v>787</v>
      </c>
      <c r="K1414" s="27">
        <v>50000</v>
      </c>
      <c r="L1414" s="31" t="s">
        <v>769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771</v>
      </c>
      <c r="D1415" s="31" t="s">
        <v>575</v>
      </c>
      <c r="E1415" s="31" t="s">
        <v>781</v>
      </c>
      <c r="F1415" s="31" t="s">
        <v>872</v>
      </c>
      <c r="G1415" s="27">
        <v>11000</v>
      </c>
      <c r="H1415" s="31" t="s">
        <v>63</v>
      </c>
      <c r="I1415" s="31"/>
      <c r="J1415" s="26" t="s">
        <v>775</v>
      </c>
      <c r="K1415" s="27">
        <v>11000</v>
      </c>
      <c r="L1415" s="31" t="s">
        <v>769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196</v>
      </c>
      <c r="D1416" s="31" t="s">
        <v>22</v>
      </c>
      <c r="E1416" s="31"/>
      <c r="F1416" s="31" t="s">
        <v>1007</v>
      </c>
      <c r="G1416" s="27">
        <v>250</v>
      </c>
      <c r="H1416" s="31" t="s">
        <v>520</v>
      </c>
      <c r="I1416" s="31"/>
      <c r="J1416" s="26" t="s">
        <v>824</v>
      </c>
      <c r="K1416" s="27">
        <v>250</v>
      </c>
      <c r="L1416" s="31" t="s">
        <v>769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852</v>
      </c>
      <c r="D1417" s="31" t="s">
        <v>796</v>
      </c>
      <c r="E1417" s="31"/>
      <c r="F1417" s="31" t="s">
        <v>488</v>
      </c>
      <c r="G1417" s="27">
        <v>8160</v>
      </c>
      <c r="H1417" s="31" t="s">
        <v>63</v>
      </c>
      <c r="I1417" s="31" t="s">
        <v>1302</v>
      </c>
      <c r="J1417" s="26" t="s">
        <v>775</v>
      </c>
      <c r="K1417" s="27">
        <v>8160</v>
      </c>
      <c r="L1417" s="31" t="s">
        <v>769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771</v>
      </c>
      <c r="D1418" s="31" t="s">
        <v>796</v>
      </c>
      <c r="E1418" s="31"/>
      <c r="F1418" s="31" t="s">
        <v>797</v>
      </c>
      <c r="G1418" s="27">
        <v>1000</v>
      </c>
      <c r="H1418" s="31" t="s">
        <v>63</v>
      </c>
      <c r="I1418" s="31" t="s">
        <v>1303</v>
      </c>
      <c r="J1418" s="26" t="s">
        <v>775</v>
      </c>
      <c r="K1418" s="27">
        <v>1000</v>
      </c>
      <c r="L1418" s="31" t="s">
        <v>769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771</v>
      </c>
      <c r="D1419" s="31" t="s">
        <v>575</v>
      </c>
      <c r="E1419" s="31" t="s">
        <v>885</v>
      </c>
      <c r="F1419" s="31" t="s">
        <v>773</v>
      </c>
      <c r="G1419" s="27">
        <v>5800</v>
      </c>
      <c r="H1419" s="31" t="s">
        <v>63</v>
      </c>
      <c r="I1419" s="31" t="s">
        <v>992</v>
      </c>
      <c r="J1419" s="26" t="s">
        <v>775</v>
      </c>
      <c r="K1419" s="27">
        <v>5800</v>
      </c>
      <c r="L1419" s="31" t="s">
        <v>769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196</v>
      </c>
      <c r="D1420" s="31" t="s">
        <v>942</v>
      </c>
      <c r="E1420" s="31"/>
      <c r="F1420" s="31" t="s">
        <v>1304</v>
      </c>
      <c r="G1420" s="27">
        <v>30000</v>
      </c>
      <c r="H1420" s="31" t="s">
        <v>63</v>
      </c>
      <c r="I1420" s="31" t="s">
        <v>1305</v>
      </c>
      <c r="J1420" s="26" t="s">
        <v>768</v>
      </c>
      <c r="K1420" s="27">
        <v>30000</v>
      </c>
      <c r="L1420" s="31" t="s">
        <v>769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887</v>
      </c>
      <c r="D1421" s="31" t="s">
        <v>942</v>
      </c>
      <c r="E1421" s="31"/>
      <c r="F1421" s="31" t="s">
        <v>943</v>
      </c>
      <c r="G1421" s="27">
        <v>55000</v>
      </c>
      <c r="H1421" s="31" t="s">
        <v>63</v>
      </c>
      <c r="I1421" s="31" t="s">
        <v>1306</v>
      </c>
      <c r="J1421" s="26" t="s">
        <v>768</v>
      </c>
      <c r="K1421" s="27">
        <v>55000</v>
      </c>
      <c r="L1421" s="31" t="s">
        <v>769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766</v>
      </c>
      <c r="D1422" s="31" t="s">
        <v>22</v>
      </c>
      <c r="E1422" s="31"/>
      <c r="F1422" s="31" t="s">
        <v>941</v>
      </c>
      <c r="G1422" s="27">
        <v>-21000</v>
      </c>
      <c r="H1422" s="31" t="s">
        <v>63</v>
      </c>
      <c r="I1422" s="31"/>
      <c r="J1422" s="26" t="s">
        <v>849</v>
      </c>
      <c r="K1422" s="27">
        <v>-21000</v>
      </c>
      <c r="L1422" s="31" t="s">
        <v>769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766</v>
      </c>
      <c r="D1423" s="31" t="s">
        <v>947</v>
      </c>
      <c r="E1423" s="31"/>
      <c r="F1423" s="31" t="s">
        <v>1198</v>
      </c>
      <c r="G1423" s="27">
        <v>-754</v>
      </c>
      <c r="H1423" s="31" t="s">
        <v>63</v>
      </c>
      <c r="I1423" s="31" t="s">
        <v>948</v>
      </c>
      <c r="J1423" s="26" t="s">
        <v>775</v>
      </c>
      <c r="K1423" s="27">
        <v>-754</v>
      </c>
      <c r="L1423" s="31" t="s">
        <v>769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780</v>
      </c>
      <c r="D1424" s="31" t="s">
        <v>575</v>
      </c>
      <c r="E1424" s="31" t="s">
        <v>772</v>
      </c>
      <c r="F1424" s="31" t="s">
        <v>773</v>
      </c>
      <c r="G1424" s="27">
        <v>11700</v>
      </c>
      <c r="H1424" s="31" t="s">
        <v>63</v>
      </c>
      <c r="I1424" s="31" t="s">
        <v>1307</v>
      </c>
      <c r="J1424" s="26" t="s">
        <v>775</v>
      </c>
      <c r="K1424" s="27">
        <v>11700</v>
      </c>
      <c r="L1424" s="31" t="s">
        <v>769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780</v>
      </c>
      <c r="D1425" s="31" t="s">
        <v>576</v>
      </c>
      <c r="E1425" s="31"/>
      <c r="F1425" s="31" t="s">
        <v>576</v>
      </c>
      <c r="G1425" s="27">
        <v>5000</v>
      </c>
      <c r="H1425" s="31" t="s">
        <v>63</v>
      </c>
      <c r="I1425" s="31"/>
      <c r="J1425" s="26" t="s">
        <v>778</v>
      </c>
      <c r="K1425" s="27">
        <v>5000</v>
      </c>
      <c r="L1425" s="31" t="s">
        <v>769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163</v>
      </c>
      <c r="D1426" s="31" t="s">
        <v>575</v>
      </c>
      <c r="E1426" s="31" t="s">
        <v>772</v>
      </c>
      <c r="F1426" s="31" t="s">
        <v>1274</v>
      </c>
      <c r="G1426" s="27">
        <v>5000</v>
      </c>
      <c r="H1426" s="31" t="s">
        <v>63</v>
      </c>
      <c r="I1426" s="31" t="s">
        <v>1308</v>
      </c>
      <c r="J1426" s="26" t="s">
        <v>775</v>
      </c>
      <c r="K1426" s="27">
        <v>5000</v>
      </c>
      <c r="L1426" s="31" t="s">
        <v>769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780</v>
      </c>
      <c r="D1427" s="31" t="s">
        <v>575</v>
      </c>
      <c r="E1427" s="31" t="s">
        <v>781</v>
      </c>
      <c r="F1427" s="31" t="s">
        <v>1309</v>
      </c>
      <c r="G1427" s="27">
        <v>11500</v>
      </c>
      <c r="H1427" s="31" t="s">
        <v>63</v>
      </c>
      <c r="I1427" s="31" t="s">
        <v>1310</v>
      </c>
      <c r="J1427" s="26" t="s">
        <v>775</v>
      </c>
      <c r="K1427" s="27">
        <v>11500</v>
      </c>
      <c r="L1427" s="31" t="s">
        <v>769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766</v>
      </c>
      <c r="D1428" s="31" t="s">
        <v>485</v>
      </c>
      <c r="E1428" s="31"/>
      <c r="F1428" s="31" t="s">
        <v>767</v>
      </c>
      <c r="G1428" s="27">
        <v>4217</v>
      </c>
      <c r="H1428" s="31" t="s">
        <v>63</v>
      </c>
      <c r="I1428" s="31"/>
      <c r="J1428" s="26" t="s">
        <v>768</v>
      </c>
      <c r="K1428" s="27">
        <v>4217</v>
      </c>
      <c r="L1428" s="31" t="s">
        <v>769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1279</v>
      </c>
      <c r="D1429" s="31" t="s">
        <v>22</v>
      </c>
      <c r="E1429" s="31"/>
      <c r="F1429" s="31" t="s">
        <v>1311</v>
      </c>
      <c r="G1429" s="27">
        <v>500</v>
      </c>
      <c r="H1429" s="31" t="s">
        <v>520</v>
      </c>
      <c r="I1429" s="31"/>
      <c r="J1429" s="26" t="s">
        <v>824</v>
      </c>
      <c r="K1429" s="27">
        <v>500</v>
      </c>
      <c r="L1429" s="31" t="s">
        <v>769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1279</v>
      </c>
      <c r="D1430" s="31" t="s">
        <v>22</v>
      </c>
      <c r="E1430" s="31"/>
      <c r="F1430" s="31" t="s">
        <v>1312</v>
      </c>
      <c r="G1430" s="27">
        <v>2</v>
      </c>
      <c r="H1430" s="31" t="s">
        <v>520</v>
      </c>
      <c r="I1430" s="31"/>
      <c r="J1430" s="26" t="s">
        <v>824</v>
      </c>
      <c r="K1430" s="27">
        <v>2</v>
      </c>
      <c r="L1430" s="31" t="s">
        <v>769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1279</v>
      </c>
      <c r="D1431" s="31" t="s">
        <v>912</v>
      </c>
      <c r="E1431" s="31" t="s">
        <v>1190</v>
      </c>
      <c r="F1431" s="31" t="s">
        <v>1313</v>
      </c>
      <c r="G1431" s="27">
        <v>27500</v>
      </c>
      <c r="H1431" s="31" t="s">
        <v>63</v>
      </c>
      <c r="I1431" s="31"/>
      <c r="J1431" s="26" t="s">
        <v>783</v>
      </c>
      <c r="K1431" s="27">
        <v>13750</v>
      </c>
      <c r="L1431" s="31" t="s">
        <v>199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780</v>
      </c>
      <c r="D1432" s="31" t="s">
        <v>575</v>
      </c>
      <c r="E1432" s="31" t="s">
        <v>772</v>
      </c>
      <c r="F1432" s="31" t="s">
        <v>1220</v>
      </c>
      <c r="G1432" s="27">
        <v>1500</v>
      </c>
      <c r="H1432" s="31" t="s">
        <v>63</v>
      </c>
      <c r="I1432" s="31"/>
      <c r="J1432" s="26" t="s">
        <v>775</v>
      </c>
      <c r="K1432" s="27">
        <v>1500</v>
      </c>
      <c r="L1432" s="31" t="s">
        <v>769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780</v>
      </c>
      <c r="D1433" s="31" t="s">
        <v>576</v>
      </c>
      <c r="E1433" s="31"/>
      <c r="F1433" s="31" t="s">
        <v>576</v>
      </c>
      <c r="G1433" s="27">
        <v>5000</v>
      </c>
      <c r="H1433" s="31" t="s">
        <v>63</v>
      </c>
      <c r="I1433" s="31"/>
      <c r="J1433" s="26" t="s">
        <v>778</v>
      </c>
      <c r="K1433" s="27">
        <v>5000</v>
      </c>
      <c r="L1433" s="31" t="s">
        <v>769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780</v>
      </c>
      <c r="D1434" s="31" t="s">
        <v>575</v>
      </c>
      <c r="E1434" s="31" t="s">
        <v>772</v>
      </c>
      <c r="F1434" s="31" t="s">
        <v>773</v>
      </c>
      <c r="G1434" s="27">
        <v>5900</v>
      </c>
      <c r="H1434" s="31" t="s">
        <v>63</v>
      </c>
      <c r="I1434" s="31" t="s">
        <v>1314</v>
      </c>
      <c r="J1434" s="26" t="s">
        <v>775</v>
      </c>
      <c r="K1434" s="27">
        <v>5900</v>
      </c>
      <c r="L1434" s="31" t="s">
        <v>769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766</v>
      </c>
      <c r="D1435" s="31" t="s">
        <v>485</v>
      </c>
      <c r="E1435" s="31"/>
      <c r="F1435" s="31" t="s">
        <v>777</v>
      </c>
      <c r="G1435" s="27">
        <v>18000</v>
      </c>
      <c r="H1435" s="31" t="s">
        <v>63</v>
      </c>
      <c r="I1435" s="31"/>
      <c r="J1435" s="26" t="s">
        <v>768</v>
      </c>
      <c r="K1435" s="27">
        <v>18000</v>
      </c>
      <c r="L1435" s="31" t="s">
        <v>769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780</v>
      </c>
      <c r="D1436" s="31" t="s">
        <v>485</v>
      </c>
      <c r="E1436" s="31"/>
      <c r="F1436" s="31" t="s">
        <v>1315</v>
      </c>
      <c r="G1436" s="27">
        <v>26400</v>
      </c>
      <c r="H1436" s="31" t="s">
        <v>63</v>
      </c>
      <c r="I1436" s="31" t="s">
        <v>1316</v>
      </c>
      <c r="J1436" s="26" t="s">
        <v>768</v>
      </c>
      <c r="K1436" s="27">
        <v>26400</v>
      </c>
      <c r="L1436" s="31" t="s">
        <v>769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780</v>
      </c>
      <c r="D1437" s="31" t="s">
        <v>575</v>
      </c>
      <c r="E1437" s="31" t="s">
        <v>781</v>
      </c>
      <c r="F1437" s="31" t="s">
        <v>911</v>
      </c>
      <c r="G1437" s="27">
        <v>13000</v>
      </c>
      <c r="H1437" s="31" t="s">
        <v>63</v>
      </c>
      <c r="I1437" s="31"/>
      <c r="J1437" s="26" t="s">
        <v>775</v>
      </c>
      <c r="K1437" s="27">
        <v>13000</v>
      </c>
      <c r="L1437" s="31" t="s">
        <v>769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780</v>
      </c>
      <c r="D1438" s="31" t="s">
        <v>575</v>
      </c>
      <c r="E1438" s="31" t="s">
        <v>772</v>
      </c>
      <c r="F1438" s="31" t="s">
        <v>1038</v>
      </c>
      <c r="G1438" s="27">
        <v>13500</v>
      </c>
      <c r="H1438" s="31" t="s">
        <v>63</v>
      </c>
      <c r="I1438" s="31"/>
      <c r="J1438" s="26" t="s">
        <v>775</v>
      </c>
      <c r="K1438" s="27">
        <v>13500</v>
      </c>
      <c r="L1438" s="31" t="s">
        <v>769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780</v>
      </c>
      <c r="D1439" s="31" t="s">
        <v>912</v>
      </c>
      <c r="E1439" s="31" t="s">
        <v>1190</v>
      </c>
      <c r="F1439" s="31" t="s">
        <v>891</v>
      </c>
      <c r="G1439" s="27">
        <v>3000</v>
      </c>
      <c r="H1439" s="31" t="s">
        <v>63</v>
      </c>
      <c r="I1439" s="31"/>
      <c r="J1439" s="26" t="s">
        <v>783</v>
      </c>
      <c r="K1439" s="27">
        <v>3000</v>
      </c>
      <c r="L1439" s="31" t="s">
        <v>769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780</v>
      </c>
      <c r="D1440" s="31" t="s">
        <v>575</v>
      </c>
      <c r="E1440" s="31" t="s">
        <v>885</v>
      </c>
      <c r="F1440" s="31" t="s">
        <v>992</v>
      </c>
      <c r="G1440" s="27">
        <v>5700</v>
      </c>
      <c r="H1440" s="31" t="s">
        <v>63</v>
      </c>
      <c r="I1440" s="31" t="s">
        <v>1317</v>
      </c>
      <c r="J1440" s="26" t="s">
        <v>775</v>
      </c>
      <c r="K1440" s="27">
        <v>5700</v>
      </c>
      <c r="L1440" s="31" t="s">
        <v>769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780</v>
      </c>
      <c r="D1441" s="31" t="s">
        <v>575</v>
      </c>
      <c r="E1441" s="31" t="s">
        <v>772</v>
      </c>
      <c r="F1441" s="31" t="s">
        <v>773</v>
      </c>
      <c r="G1441" s="27">
        <v>4800</v>
      </c>
      <c r="H1441" s="31" t="s">
        <v>63</v>
      </c>
      <c r="I1441" s="31" t="s">
        <v>1221</v>
      </c>
      <c r="J1441" s="26" t="s">
        <v>775</v>
      </c>
      <c r="K1441" s="27">
        <v>4800</v>
      </c>
      <c r="L1441" s="31" t="s">
        <v>769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163</v>
      </c>
      <c r="D1442" s="31" t="s">
        <v>181</v>
      </c>
      <c r="E1442" s="31"/>
      <c r="F1442" s="31" t="s">
        <v>81</v>
      </c>
      <c r="G1442" s="27">
        <v>1200</v>
      </c>
      <c r="H1442" s="31" t="s">
        <v>807</v>
      </c>
      <c r="I1442" s="31"/>
      <c r="J1442" s="26" t="s">
        <v>805</v>
      </c>
      <c r="K1442" s="27">
        <v>1200</v>
      </c>
      <c r="L1442" s="31" t="s">
        <v>769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181</v>
      </c>
      <c r="D1443" s="31" t="s">
        <v>163</v>
      </c>
      <c r="E1443" s="31"/>
      <c r="F1443" s="31" t="s">
        <v>81</v>
      </c>
      <c r="G1443" s="27">
        <v>1200</v>
      </c>
      <c r="H1443" s="31" t="s">
        <v>804</v>
      </c>
      <c r="I1443" s="31"/>
      <c r="J1443" s="26" t="s">
        <v>805</v>
      </c>
      <c r="K1443" s="27">
        <v>1200</v>
      </c>
      <c r="L1443" s="31" t="s">
        <v>769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780</v>
      </c>
      <c r="D1444" s="31" t="s">
        <v>575</v>
      </c>
      <c r="E1444" s="31" t="s">
        <v>772</v>
      </c>
      <c r="F1444" s="31" t="s">
        <v>1318</v>
      </c>
      <c r="G1444" s="27">
        <v>15500</v>
      </c>
      <c r="H1444" s="31" t="s">
        <v>63</v>
      </c>
      <c r="I1444" s="31" t="s">
        <v>794</v>
      </c>
      <c r="J1444" s="26" t="s">
        <v>775</v>
      </c>
      <c r="K1444" s="27">
        <v>15500</v>
      </c>
      <c r="L1444" s="31" t="s">
        <v>769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780</v>
      </c>
      <c r="D1445" s="31" t="s">
        <v>575</v>
      </c>
      <c r="E1445" s="31" t="s">
        <v>781</v>
      </c>
      <c r="F1445" s="31" t="s">
        <v>1057</v>
      </c>
      <c r="G1445" s="27">
        <v>6600</v>
      </c>
      <c r="H1445" s="31" t="s">
        <v>63</v>
      </c>
      <c r="I1445" s="31"/>
      <c r="J1445" s="26" t="s">
        <v>775</v>
      </c>
      <c r="K1445" s="27">
        <v>6600</v>
      </c>
      <c r="L1445" s="31" t="s">
        <v>769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780</v>
      </c>
      <c r="D1446" s="31" t="s">
        <v>575</v>
      </c>
      <c r="E1446" s="31" t="s">
        <v>772</v>
      </c>
      <c r="F1446" s="31" t="s">
        <v>884</v>
      </c>
      <c r="G1446" s="27">
        <v>4900</v>
      </c>
      <c r="H1446" s="31" t="s">
        <v>63</v>
      </c>
      <c r="I1446" s="31"/>
      <c r="J1446" s="26" t="s">
        <v>775</v>
      </c>
      <c r="K1446" s="27">
        <v>4900</v>
      </c>
      <c r="L1446" s="31" t="s">
        <v>769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163</v>
      </c>
      <c r="D1447" s="31" t="s">
        <v>796</v>
      </c>
      <c r="E1447" s="31"/>
      <c r="F1447" s="31" t="s">
        <v>113</v>
      </c>
      <c r="G1447" s="27">
        <v>10000</v>
      </c>
      <c r="H1447" s="31" t="s">
        <v>63</v>
      </c>
      <c r="I1447" s="31" t="s">
        <v>1319</v>
      </c>
      <c r="J1447" s="26" t="s">
        <v>775</v>
      </c>
      <c r="K1447" s="27">
        <v>10000</v>
      </c>
      <c r="L1447" s="31" t="s">
        <v>769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780</v>
      </c>
      <c r="D1448" s="31" t="s">
        <v>840</v>
      </c>
      <c r="E1448" s="31"/>
      <c r="F1448" s="31" t="s">
        <v>1320</v>
      </c>
      <c r="G1448" s="27">
        <v>19800</v>
      </c>
      <c r="H1448" s="31" t="s">
        <v>63</v>
      </c>
      <c r="I1448" s="31" t="s">
        <v>1321</v>
      </c>
      <c r="J1448" s="26" t="s">
        <v>787</v>
      </c>
      <c r="K1448" s="27">
        <v>19800</v>
      </c>
      <c r="L1448" s="31" t="s">
        <v>769</v>
      </c>
      <c r="M1448" s="31" t="s">
        <v>1322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669</v>
      </c>
      <c r="D1449" s="31" t="s">
        <v>575</v>
      </c>
      <c r="E1449" s="31" t="s">
        <v>772</v>
      </c>
      <c r="F1449" s="31" t="s">
        <v>1117</v>
      </c>
      <c r="G1449" s="27">
        <v>4600</v>
      </c>
      <c r="H1449" s="31" t="s">
        <v>63</v>
      </c>
      <c r="I1449" s="31" t="s">
        <v>1061</v>
      </c>
      <c r="J1449" s="26" t="s">
        <v>775</v>
      </c>
      <c r="K1449" s="27">
        <v>4600</v>
      </c>
      <c r="L1449" s="31" t="s">
        <v>769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181</v>
      </c>
      <c r="D1450" s="31" t="s">
        <v>827</v>
      </c>
      <c r="E1450" s="31"/>
      <c r="F1450" s="31" t="s">
        <v>1323</v>
      </c>
      <c r="G1450" s="27">
        <v>1200</v>
      </c>
      <c r="H1450" s="31" t="s">
        <v>807</v>
      </c>
      <c r="I1450" s="31"/>
      <c r="J1450" s="26" t="s">
        <v>805</v>
      </c>
      <c r="K1450" s="27">
        <v>1200</v>
      </c>
      <c r="L1450" s="31" t="s">
        <v>769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827</v>
      </c>
      <c r="D1451" s="31" t="s">
        <v>181</v>
      </c>
      <c r="E1451" s="31"/>
      <c r="F1451" s="31" t="s">
        <v>1323</v>
      </c>
      <c r="G1451" s="27">
        <v>1200</v>
      </c>
      <c r="H1451" s="31" t="s">
        <v>804</v>
      </c>
      <c r="I1451" s="31"/>
      <c r="J1451" s="26" t="s">
        <v>805</v>
      </c>
      <c r="K1451" s="27">
        <v>1200</v>
      </c>
      <c r="L1451" s="31" t="s">
        <v>769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780</v>
      </c>
      <c r="D1452" s="31" t="s">
        <v>576</v>
      </c>
      <c r="E1452" s="31"/>
      <c r="F1452" s="31" t="s">
        <v>576</v>
      </c>
      <c r="G1452" s="27">
        <v>5000</v>
      </c>
      <c r="H1452" s="31" t="s">
        <v>63</v>
      </c>
      <c r="I1452" s="31"/>
      <c r="J1452" s="26" t="s">
        <v>778</v>
      </c>
      <c r="K1452" s="27">
        <v>5000</v>
      </c>
      <c r="L1452" s="31" t="s">
        <v>769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780</v>
      </c>
      <c r="D1453" s="31" t="s">
        <v>576</v>
      </c>
      <c r="E1453" s="31"/>
      <c r="F1453" s="31" t="s">
        <v>576</v>
      </c>
      <c r="G1453" s="27">
        <v>5000</v>
      </c>
      <c r="H1453" s="31" t="s">
        <v>63</v>
      </c>
      <c r="I1453" s="31"/>
      <c r="J1453" s="26" t="s">
        <v>778</v>
      </c>
      <c r="K1453" s="27">
        <v>5000</v>
      </c>
      <c r="L1453" s="31" t="s">
        <v>769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766</v>
      </c>
      <c r="D1454" s="31" t="s">
        <v>485</v>
      </c>
      <c r="E1454" s="31"/>
      <c r="F1454" s="31" t="s">
        <v>808</v>
      </c>
      <c r="G1454" s="27">
        <v>8970</v>
      </c>
      <c r="H1454" s="31" t="s">
        <v>63</v>
      </c>
      <c r="I1454" s="31"/>
      <c r="J1454" s="26" t="s">
        <v>768</v>
      </c>
      <c r="K1454" s="27">
        <v>8970</v>
      </c>
      <c r="L1454" s="31" t="s">
        <v>769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766</v>
      </c>
      <c r="D1455" s="31" t="s">
        <v>485</v>
      </c>
      <c r="E1455" s="31"/>
      <c r="F1455" s="31" t="s">
        <v>691</v>
      </c>
      <c r="G1455" s="27">
        <v>1800</v>
      </c>
      <c r="H1455" s="31" t="s">
        <v>63</v>
      </c>
      <c r="I1455" s="31" t="s">
        <v>810</v>
      </c>
      <c r="J1455" s="26" t="s">
        <v>768</v>
      </c>
      <c r="K1455" s="27">
        <v>1800</v>
      </c>
      <c r="L1455" s="31" t="s">
        <v>769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780</v>
      </c>
      <c r="D1456" s="31" t="s">
        <v>575</v>
      </c>
      <c r="E1456" s="31" t="s">
        <v>885</v>
      </c>
      <c r="F1456" s="31" t="s">
        <v>773</v>
      </c>
      <c r="G1456" s="27">
        <v>4850</v>
      </c>
      <c r="H1456" s="31" t="s">
        <v>63</v>
      </c>
      <c r="I1456" s="31" t="s">
        <v>72</v>
      </c>
      <c r="J1456" s="26" t="s">
        <v>775</v>
      </c>
      <c r="K1456" s="27">
        <v>4850</v>
      </c>
      <c r="L1456" s="31" t="s">
        <v>769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163</v>
      </c>
      <c r="D1457" s="31" t="s">
        <v>881</v>
      </c>
      <c r="E1457" s="31"/>
      <c r="F1457" s="31" t="s">
        <v>81</v>
      </c>
      <c r="G1457" s="27">
        <v>30000</v>
      </c>
      <c r="H1457" s="31" t="s">
        <v>807</v>
      </c>
      <c r="I1457" s="31"/>
      <c r="J1457" s="26" t="s">
        <v>805</v>
      </c>
      <c r="K1457" s="27">
        <v>30000</v>
      </c>
      <c r="L1457" s="31" t="s">
        <v>769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881</v>
      </c>
      <c r="D1458" s="31" t="s">
        <v>163</v>
      </c>
      <c r="E1458" s="31"/>
      <c r="F1458" s="31" t="s">
        <v>81</v>
      </c>
      <c r="G1458" s="27">
        <v>30000</v>
      </c>
      <c r="H1458" s="31" t="s">
        <v>804</v>
      </c>
      <c r="I1458" s="31"/>
      <c r="J1458" s="26" t="s">
        <v>805</v>
      </c>
      <c r="K1458" s="27">
        <v>30000</v>
      </c>
      <c r="L1458" s="31" t="s">
        <v>769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780</v>
      </c>
      <c r="D1459" s="31" t="s">
        <v>912</v>
      </c>
      <c r="E1459" s="31" t="s">
        <v>1190</v>
      </c>
      <c r="F1459" s="31" t="s">
        <v>1324</v>
      </c>
      <c r="G1459" s="27">
        <v>6000</v>
      </c>
      <c r="H1459" s="31" t="s">
        <v>63</v>
      </c>
      <c r="I1459" s="31" t="s">
        <v>104</v>
      </c>
      <c r="J1459" s="26" t="s">
        <v>783</v>
      </c>
      <c r="K1459" s="27">
        <v>6000</v>
      </c>
      <c r="L1459" s="31" t="s">
        <v>769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852</v>
      </c>
      <c r="D1460" s="31" t="s">
        <v>912</v>
      </c>
      <c r="E1460" s="31" t="s">
        <v>1190</v>
      </c>
      <c r="F1460" s="31" t="s">
        <v>853</v>
      </c>
      <c r="G1460" s="27">
        <v>31374</v>
      </c>
      <c r="H1460" s="31" t="s">
        <v>63</v>
      </c>
      <c r="I1460" s="31" t="s">
        <v>1325</v>
      </c>
      <c r="J1460" s="26" t="s">
        <v>783</v>
      </c>
      <c r="K1460" s="27">
        <v>31374</v>
      </c>
      <c r="L1460" s="31" t="s">
        <v>769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852</v>
      </c>
      <c r="D1461" s="31" t="s">
        <v>912</v>
      </c>
      <c r="E1461" s="31" t="s">
        <v>1190</v>
      </c>
      <c r="F1461" s="31" t="s">
        <v>853</v>
      </c>
      <c r="G1461" s="27">
        <v>16600</v>
      </c>
      <c r="H1461" s="31" t="s">
        <v>63</v>
      </c>
      <c r="I1461" s="31" t="s">
        <v>1326</v>
      </c>
      <c r="J1461" s="26" t="s">
        <v>783</v>
      </c>
      <c r="K1461" s="27">
        <v>16600</v>
      </c>
      <c r="L1461" s="31" t="s">
        <v>769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766</v>
      </c>
      <c r="D1462" s="31" t="s">
        <v>942</v>
      </c>
      <c r="E1462" s="31"/>
      <c r="F1462" s="31" t="s">
        <v>1094</v>
      </c>
      <c r="G1462" s="27">
        <v>18800</v>
      </c>
      <c r="H1462" s="31" t="s">
        <v>63</v>
      </c>
      <c r="I1462" s="31"/>
      <c r="J1462" s="26" t="s">
        <v>775</v>
      </c>
      <c r="K1462" s="27">
        <v>18800</v>
      </c>
      <c r="L1462" s="31" t="s">
        <v>769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766</v>
      </c>
      <c r="D1463" s="31" t="s">
        <v>942</v>
      </c>
      <c r="E1463" s="31"/>
      <c r="F1463" s="31" t="s">
        <v>1094</v>
      </c>
      <c r="G1463" s="27">
        <v>16600</v>
      </c>
      <c r="H1463" s="31" t="s">
        <v>63</v>
      </c>
      <c r="I1463" s="31"/>
      <c r="J1463" s="26" t="s">
        <v>775</v>
      </c>
      <c r="K1463" s="27">
        <v>16600</v>
      </c>
      <c r="L1463" s="31" t="s">
        <v>769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1327</v>
      </c>
      <c r="D1464" s="31" t="s">
        <v>942</v>
      </c>
      <c r="E1464" s="31"/>
      <c r="F1464" s="31" t="s">
        <v>1304</v>
      </c>
      <c r="G1464" s="27">
        <v>30000</v>
      </c>
      <c r="H1464" s="31" t="s">
        <v>63</v>
      </c>
      <c r="I1464" s="31"/>
      <c r="J1464" s="26" t="s">
        <v>768</v>
      </c>
      <c r="K1464" s="27">
        <v>30000</v>
      </c>
      <c r="L1464" s="31" t="s">
        <v>769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881</v>
      </c>
      <c r="D1465" s="31" t="s">
        <v>22</v>
      </c>
      <c r="E1465" s="31"/>
      <c r="F1465" s="31" t="s">
        <v>934</v>
      </c>
      <c r="G1465" s="27">
        <v>1</v>
      </c>
      <c r="H1465" s="31" t="s">
        <v>520</v>
      </c>
      <c r="I1465" s="31"/>
      <c r="J1465" s="26" t="s">
        <v>824</v>
      </c>
      <c r="K1465" s="27">
        <v>1</v>
      </c>
      <c r="L1465" s="31" t="s">
        <v>769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780</v>
      </c>
      <c r="D1466" s="31" t="s">
        <v>811</v>
      </c>
      <c r="E1466" s="31"/>
      <c r="F1466" s="31" t="s">
        <v>1328</v>
      </c>
      <c r="G1466" s="27">
        <v>10200</v>
      </c>
      <c r="H1466" s="31" t="s">
        <v>63</v>
      </c>
      <c r="I1466" s="31" t="s">
        <v>619</v>
      </c>
      <c r="J1466" s="26" t="s">
        <v>768</v>
      </c>
      <c r="K1466" s="27">
        <v>10200</v>
      </c>
      <c r="L1466" s="31" t="s">
        <v>769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780</v>
      </c>
      <c r="D1467" s="31" t="s">
        <v>575</v>
      </c>
      <c r="E1467" s="31" t="s">
        <v>772</v>
      </c>
      <c r="F1467" s="31" t="s">
        <v>773</v>
      </c>
      <c r="G1467" s="27">
        <v>4300</v>
      </c>
      <c r="H1467" s="31" t="s">
        <v>63</v>
      </c>
      <c r="I1467" s="31" t="s">
        <v>794</v>
      </c>
      <c r="J1467" s="26" t="s">
        <v>775</v>
      </c>
      <c r="K1467" s="27">
        <v>4300</v>
      </c>
      <c r="L1467" s="31" t="s">
        <v>769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780</v>
      </c>
      <c r="D1468" s="31" t="s">
        <v>576</v>
      </c>
      <c r="E1468" s="31"/>
      <c r="F1468" s="31" t="s">
        <v>576</v>
      </c>
      <c r="G1468" s="27">
        <v>5000</v>
      </c>
      <c r="H1468" s="31" t="s">
        <v>63</v>
      </c>
      <c r="I1468" s="31"/>
      <c r="J1468" s="26" t="s">
        <v>778</v>
      </c>
      <c r="K1468" s="27">
        <v>5000</v>
      </c>
      <c r="L1468" s="31" t="s">
        <v>769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196</v>
      </c>
      <c r="D1469" s="31" t="s">
        <v>22</v>
      </c>
      <c r="E1469" s="31"/>
      <c r="F1469" s="31" t="s">
        <v>934</v>
      </c>
      <c r="G1469" s="27">
        <v>1</v>
      </c>
      <c r="H1469" s="31" t="s">
        <v>520</v>
      </c>
      <c r="I1469" s="31"/>
      <c r="J1469" s="26" t="s">
        <v>824</v>
      </c>
      <c r="K1469" s="27">
        <v>1</v>
      </c>
      <c r="L1469" s="31" t="s">
        <v>769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163</v>
      </c>
      <c r="D1470" s="31" t="s">
        <v>817</v>
      </c>
      <c r="E1470" s="31"/>
      <c r="F1470" s="31" t="s">
        <v>82</v>
      </c>
      <c r="G1470" s="27">
        <v>550000</v>
      </c>
      <c r="H1470" s="31" t="s">
        <v>63</v>
      </c>
      <c r="I1470" s="31"/>
      <c r="J1470" s="26" t="s">
        <v>768</v>
      </c>
      <c r="K1470" s="27">
        <v>550000</v>
      </c>
      <c r="L1470" s="31" t="s">
        <v>769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1329</v>
      </c>
      <c r="D1471" s="31" t="s">
        <v>22</v>
      </c>
      <c r="E1471" s="31"/>
      <c r="F1471" s="31" t="s">
        <v>1330</v>
      </c>
      <c r="G1471" s="27">
        <v>30000</v>
      </c>
      <c r="H1471" s="31" t="s">
        <v>63</v>
      </c>
      <c r="I1471" s="31"/>
      <c r="J1471" s="26" t="s">
        <v>768</v>
      </c>
      <c r="K1471" s="27">
        <v>30000</v>
      </c>
      <c r="L1471" s="31" t="s">
        <v>769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163</v>
      </c>
      <c r="D1472" s="31" t="s">
        <v>22</v>
      </c>
      <c r="E1472" s="31"/>
      <c r="F1472" s="31" t="s">
        <v>188</v>
      </c>
      <c r="G1472" s="27">
        <v>2948</v>
      </c>
      <c r="H1472" s="31" t="s">
        <v>520</v>
      </c>
      <c r="I1472" s="31"/>
      <c r="J1472" s="26" t="s">
        <v>824</v>
      </c>
      <c r="K1472" s="27">
        <v>2948</v>
      </c>
      <c r="L1472" s="31" t="s">
        <v>769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852</v>
      </c>
      <c r="D1473" s="31" t="s">
        <v>575</v>
      </c>
      <c r="E1473" s="31" t="s">
        <v>792</v>
      </c>
      <c r="F1473" s="31" t="s">
        <v>853</v>
      </c>
      <c r="G1473" s="27">
        <v>14500</v>
      </c>
      <c r="H1473" s="31" t="s">
        <v>63</v>
      </c>
      <c r="I1473" s="31" t="s">
        <v>995</v>
      </c>
      <c r="J1473" s="26" t="s">
        <v>775</v>
      </c>
      <c r="K1473" s="27">
        <v>14500</v>
      </c>
      <c r="L1473" s="31" t="s">
        <v>769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924</v>
      </c>
      <c r="D1474" s="31" t="s">
        <v>22</v>
      </c>
      <c r="E1474" s="31"/>
      <c r="F1474" s="31" t="s">
        <v>934</v>
      </c>
      <c r="G1474" s="27">
        <v>1</v>
      </c>
      <c r="H1474" s="31" t="s">
        <v>520</v>
      </c>
      <c r="I1474" s="31"/>
      <c r="J1474" s="26" t="s">
        <v>824</v>
      </c>
      <c r="K1474" s="27">
        <v>1</v>
      </c>
      <c r="L1474" s="31" t="s">
        <v>769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780</v>
      </c>
      <c r="D1475" s="31" t="s">
        <v>576</v>
      </c>
      <c r="E1475" s="31"/>
      <c r="F1475" s="31" t="s">
        <v>576</v>
      </c>
      <c r="G1475" s="27">
        <v>5000</v>
      </c>
      <c r="H1475" s="31" t="s">
        <v>63</v>
      </c>
      <c r="I1475" s="31"/>
      <c r="J1475" s="26" t="s">
        <v>778</v>
      </c>
      <c r="K1475" s="27">
        <v>5000</v>
      </c>
      <c r="L1475" s="31" t="s">
        <v>769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780</v>
      </c>
      <c r="D1476" s="31" t="s">
        <v>575</v>
      </c>
      <c r="E1476" s="31" t="s">
        <v>772</v>
      </c>
      <c r="F1476" s="31" t="s">
        <v>773</v>
      </c>
      <c r="G1476" s="27">
        <v>2400</v>
      </c>
      <c r="H1476" s="31" t="s">
        <v>63</v>
      </c>
      <c r="I1476" s="31" t="s">
        <v>1221</v>
      </c>
      <c r="J1476" s="26" t="s">
        <v>775</v>
      </c>
      <c r="K1476" s="27">
        <v>2400</v>
      </c>
      <c r="L1476" s="31" t="s">
        <v>769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780</v>
      </c>
      <c r="D1477" s="31" t="s">
        <v>575</v>
      </c>
      <c r="E1477" s="31" t="s">
        <v>781</v>
      </c>
      <c r="F1477" s="31" t="s">
        <v>1331</v>
      </c>
      <c r="G1477" s="27">
        <v>12000</v>
      </c>
      <c r="H1477" s="31" t="s">
        <v>63</v>
      </c>
      <c r="I1477" s="31"/>
      <c r="J1477" s="26" t="s">
        <v>775</v>
      </c>
      <c r="K1477" s="27">
        <v>12000</v>
      </c>
      <c r="L1477" s="31" t="s">
        <v>769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780</v>
      </c>
      <c r="D1478" s="31" t="s">
        <v>575</v>
      </c>
      <c r="E1478" s="31" t="s">
        <v>772</v>
      </c>
      <c r="F1478" s="31" t="s">
        <v>991</v>
      </c>
      <c r="G1478" s="27">
        <v>1600</v>
      </c>
      <c r="H1478" s="31" t="s">
        <v>63</v>
      </c>
      <c r="I1478" s="31" t="s">
        <v>1332</v>
      </c>
      <c r="J1478" s="26" t="s">
        <v>775</v>
      </c>
      <c r="K1478" s="27">
        <v>1600</v>
      </c>
      <c r="L1478" s="31" t="s">
        <v>769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780</v>
      </c>
      <c r="D1479" s="31" t="s">
        <v>576</v>
      </c>
      <c r="E1479" s="31"/>
      <c r="F1479" s="31" t="s">
        <v>576</v>
      </c>
      <c r="G1479" s="27">
        <v>5000</v>
      </c>
      <c r="H1479" s="31" t="s">
        <v>63</v>
      </c>
      <c r="I1479" s="31"/>
      <c r="J1479" s="26" t="s">
        <v>778</v>
      </c>
      <c r="K1479" s="27">
        <v>5000</v>
      </c>
      <c r="L1479" s="31" t="s">
        <v>769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780</v>
      </c>
      <c r="D1480" s="31" t="s">
        <v>575</v>
      </c>
      <c r="E1480" s="31" t="s">
        <v>772</v>
      </c>
      <c r="F1480" s="31" t="s">
        <v>773</v>
      </c>
      <c r="G1480" s="27">
        <v>3800</v>
      </c>
      <c r="H1480" s="31" t="s">
        <v>63</v>
      </c>
      <c r="I1480" s="31" t="s">
        <v>1301</v>
      </c>
      <c r="J1480" s="26" t="s">
        <v>775</v>
      </c>
      <c r="K1480" s="27">
        <v>3800</v>
      </c>
      <c r="L1480" s="31" t="s">
        <v>769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163</v>
      </c>
      <c r="D1481" s="31" t="s">
        <v>817</v>
      </c>
      <c r="E1481" s="31"/>
      <c r="F1481" s="31" t="s">
        <v>1296</v>
      </c>
      <c r="G1481" s="27">
        <v>20000</v>
      </c>
      <c r="H1481" s="31" t="s">
        <v>63</v>
      </c>
      <c r="I1481" s="31" t="s">
        <v>1333</v>
      </c>
      <c r="J1481" s="26" t="s">
        <v>799</v>
      </c>
      <c r="K1481" s="27">
        <v>20000</v>
      </c>
      <c r="L1481" s="31" t="s">
        <v>769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780</v>
      </c>
      <c r="D1482" s="31" t="s">
        <v>575</v>
      </c>
      <c r="E1482" s="31" t="s">
        <v>781</v>
      </c>
      <c r="F1482" s="31" t="s">
        <v>902</v>
      </c>
      <c r="G1482" s="27">
        <v>11000</v>
      </c>
      <c r="H1482" s="31" t="s">
        <v>63</v>
      </c>
      <c r="I1482" s="31"/>
      <c r="J1482" s="26" t="s">
        <v>775</v>
      </c>
      <c r="K1482" s="27">
        <v>11000</v>
      </c>
      <c r="L1482" s="31" t="s">
        <v>769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780</v>
      </c>
      <c r="D1483" s="31" t="s">
        <v>576</v>
      </c>
      <c r="E1483" s="31"/>
      <c r="F1483" s="31" t="s">
        <v>576</v>
      </c>
      <c r="G1483" s="27">
        <v>5000</v>
      </c>
      <c r="H1483" s="31" t="s">
        <v>63</v>
      </c>
      <c r="I1483" s="31"/>
      <c r="J1483" s="26" t="s">
        <v>778</v>
      </c>
      <c r="K1483" s="27">
        <v>5000</v>
      </c>
      <c r="L1483" s="31" t="s">
        <v>769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780</v>
      </c>
      <c r="D1484" s="31" t="s">
        <v>575</v>
      </c>
      <c r="E1484" s="31" t="s">
        <v>885</v>
      </c>
      <c r="F1484" s="31" t="s">
        <v>991</v>
      </c>
      <c r="G1484" s="27">
        <v>4200</v>
      </c>
      <c r="H1484" s="31" t="s">
        <v>63</v>
      </c>
      <c r="I1484" s="31"/>
      <c r="J1484" s="26" t="s">
        <v>775</v>
      </c>
      <c r="K1484" s="27">
        <v>4200</v>
      </c>
      <c r="L1484" s="31" t="s">
        <v>769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766</v>
      </c>
      <c r="D1485" s="31" t="s">
        <v>840</v>
      </c>
      <c r="E1485" s="31"/>
      <c r="F1485" s="31" t="s">
        <v>937</v>
      </c>
      <c r="G1485" s="27">
        <v>29400</v>
      </c>
      <c r="H1485" s="31" t="s">
        <v>63</v>
      </c>
      <c r="I1485" s="31" t="s">
        <v>631</v>
      </c>
      <c r="J1485" s="26" t="s">
        <v>787</v>
      </c>
      <c r="K1485" s="27">
        <v>29400</v>
      </c>
      <c r="L1485" s="31" t="s">
        <v>769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766</v>
      </c>
      <c r="D1486" s="31" t="s">
        <v>575</v>
      </c>
      <c r="E1486" s="31" t="s">
        <v>772</v>
      </c>
      <c r="F1486" s="31" t="s">
        <v>1111</v>
      </c>
      <c r="G1486" s="27">
        <v>41400</v>
      </c>
      <c r="H1486" s="31" t="s">
        <v>63</v>
      </c>
      <c r="I1486" s="31"/>
      <c r="J1486" s="26" t="s">
        <v>775</v>
      </c>
      <c r="K1486" s="27">
        <v>41400</v>
      </c>
      <c r="L1486" s="31" t="s">
        <v>769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766</v>
      </c>
      <c r="D1487" s="31" t="s">
        <v>576</v>
      </c>
      <c r="E1487" s="31"/>
      <c r="F1487" s="31" t="s">
        <v>576</v>
      </c>
      <c r="G1487" s="27">
        <v>4500</v>
      </c>
      <c r="H1487" s="31" t="s">
        <v>63</v>
      </c>
      <c r="I1487" s="31"/>
      <c r="J1487" s="26" t="s">
        <v>778</v>
      </c>
      <c r="K1487" s="27">
        <v>4500</v>
      </c>
      <c r="L1487" s="31" t="s">
        <v>769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780</v>
      </c>
      <c r="D1488" s="31" t="s">
        <v>817</v>
      </c>
      <c r="E1488" s="31"/>
      <c r="F1488" s="31" t="s">
        <v>850</v>
      </c>
      <c r="G1488" s="27">
        <v>33039</v>
      </c>
      <c r="H1488" s="31" t="s">
        <v>63</v>
      </c>
      <c r="I1488" s="31"/>
      <c r="J1488" s="26" t="s">
        <v>768</v>
      </c>
      <c r="K1488" s="27">
        <v>33039</v>
      </c>
      <c r="L1488" s="31" t="s">
        <v>769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196</v>
      </c>
      <c r="D1489" s="31" t="s">
        <v>22</v>
      </c>
      <c r="E1489" s="31"/>
      <c r="F1489" s="31" t="s">
        <v>1334</v>
      </c>
      <c r="G1489" s="27">
        <v>20000000</v>
      </c>
      <c r="H1489" s="31" t="s">
        <v>520</v>
      </c>
      <c r="I1489" s="31"/>
      <c r="J1489" s="26" t="s">
        <v>818</v>
      </c>
      <c r="K1489" s="27">
        <v>20000000</v>
      </c>
      <c r="L1489" s="31" t="s">
        <v>769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1279</v>
      </c>
      <c r="D1490" s="31" t="s">
        <v>912</v>
      </c>
      <c r="E1490" s="31" t="s">
        <v>1190</v>
      </c>
      <c r="F1490" s="31" t="s">
        <v>1335</v>
      </c>
      <c r="G1490" s="27">
        <v>34000</v>
      </c>
      <c r="H1490" s="31" t="s">
        <v>63</v>
      </c>
      <c r="I1490" s="31"/>
      <c r="J1490" s="26" t="s">
        <v>783</v>
      </c>
      <c r="K1490" s="27">
        <v>17000</v>
      </c>
      <c r="L1490" s="31" t="s">
        <v>199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196</v>
      </c>
      <c r="D1491" s="31" t="s">
        <v>22</v>
      </c>
      <c r="E1491" s="31"/>
      <c r="F1491" s="31" t="s">
        <v>934</v>
      </c>
      <c r="G1491" s="27">
        <v>1</v>
      </c>
      <c r="H1491" s="31" t="s">
        <v>520</v>
      </c>
      <c r="I1491" s="31"/>
      <c r="J1491" s="26" t="s">
        <v>824</v>
      </c>
      <c r="K1491" s="27">
        <v>1</v>
      </c>
      <c r="L1491" s="31" t="s">
        <v>769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1279</v>
      </c>
      <c r="D1492" s="31" t="s">
        <v>22</v>
      </c>
      <c r="E1492" s="31"/>
      <c r="F1492" s="31" t="s">
        <v>1311</v>
      </c>
      <c r="G1492" s="27">
        <v>500</v>
      </c>
      <c r="H1492" s="31" t="s">
        <v>520</v>
      </c>
      <c r="I1492" s="31"/>
      <c r="J1492" s="26" t="s">
        <v>824</v>
      </c>
      <c r="K1492" s="27">
        <v>500</v>
      </c>
      <c r="L1492" s="31" t="s">
        <v>769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766</v>
      </c>
      <c r="D1493" s="31" t="s">
        <v>576</v>
      </c>
      <c r="E1493" s="31"/>
      <c r="F1493" s="31" t="s">
        <v>576</v>
      </c>
      <c r="G1493" s="27">
        <v>5000</v>
      </c>
      <c r="H1493" s="31" t="s">
        <v>63</v>
      </c>
      <c r="I1493" s="31"/>
      <c r="J1493" s="26" t="s">
        <v>778</v>
      </c>
      <c r="K1493" s="27">
        <v>5000</v>
      </c>
      <c r="L1493" s="31" t="s">
        <v>769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766</v>
      </c>
      <c r="D1494" s="31" t="s">
        <v>575</v>
      </c>
      <c r="E1494" s="31" t="s">
        <v>772</v>
      </c>
      <c r="F1494" s="31" t="s">
        <v>773</v>
      </c>
      <c r="G1494" s="27">
        <v>4400</v>
      </c>
      <c r="H1494" s="31" t="s">
        <v>63</v>
      </c>
      <c r="I1494" s="31" t="s">
        <v>1301</v>
      </c>
      <c r="J1494" s="26" t="s">
        <v>775</v>
      </c>
      <c r="K1494" s="27">
        <v>4400</v>
      </c>
      <c r="L1494" s="31" t="s">
        <v>769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766</v>
      </c>
      <c r="D1495" s="31" t="s">
        <v>811</v>
      </c>
      <c r="E1495" s="31"/>
      <c r="F1495" s="31" t="s">
        <v>1336</v>
      </c>
      <c r="G1495" s="27">
        <v>79000</v>
      </c>
      <c r="H1495" s="31" t="s">
        <v>63</v>
      </c>
      <c r="I1495" s="31" t="s">
        <v>1337</v>
      </c>
      <c r="J1495" s="26" t="s">
        <v>775</v>
      </c>
      <c r="K1495" s="27">
        <v>79000</v>
      </c>
      <c r="L1495" s="31" t="s">
        <v>769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766</v>
      </c>
      <c r="D1496" s="31" t="s">
        <v>796</v>
      </c>
      <c r="E1496" s="31"/>
      <c r="F1496" s="31" t="s">
        <v>797</v>
      </c>
      <c r="G1496" s="27">
        <v>8000</v>
      </c>
      <c r="H1496" s="31" t="s">
        <v>63</v>
      </c>
      <c r="I1496" s="31"/>
      <c r="J1496" s="26" t="s">
        <v>775</v>
      </c>
      <c r="K1496" s="27">
        <v>8000</v>
      </c>
      <c r="L1496" s="31" t="s">
        <v>769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766</v>
      </c>
      <c r="D1497" s="31" t="s">
        <v>575</v>
      </c>
      <c r="E1497" s="31" t="s">
        <v>885</v>
      </c>
      <c r="F1497" s="31" t="s">
        <v>991</v>
      </c>
      <c r="G1497" s="27">
        <v>4500</v>
      </c>
      <c r="H1497" s="31" t="s">
        <v>63</v>
      </c>
      <c r="I1497" s="31" t="s">
        <v>992</v>
      </c>
      <c r="J1497" s="26" t="s">
        <v>775</v>
      </c>
      <c r="K1497" s="27">
        <v>4500</v>
      </c>
      <c r="L1497" s="31" t="s">
        <v>769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163</v>
      </c>
      <c r="D1498" s="31" t="s">
        <v>22</v>
      </c>
      <c r="E1498" s="31"/>
      <c r="F1498" s="31" t="s">
        <v>1091</v>
      </c>
      <c r="G1498" s="27">
        <v>821</v>
      </c>
      <c r="H1498" s="31" t="s">
        <v>520</v>
      </c>
      <c r="I1498" s="31"/>
      <c r="J1498" s="26" t="s">
        <v>824</v>
      </c>
      <c r="K1498" s="27">
        <v>821</v>
      </c>
      <c r="L1498" s="31" t="s">
        <v>769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766</v>
      </c>
      <c r="D1499" s="31" t="s">
        <v>575</v>
      </c>
      <c r="E1499" s="31" t="s">
        <v>772</v>
      </c>
      <c r="F1499" s="31" t="s">
        <v>991</v>
      </c>
      <c r="G1499" s="27">
        <v>5600</v>
      </c>
      <c r="H1499" s="31" t="s">
        <v>63</v>
      </c>
      <c r="I1499" s="31" t="s">
        <v>1338</v>
      </c>
      <c r="J1499" s="26" t="s">
        <v>775</v>
      </c>
      <c r="K1499" s="27">
        <v>5600</v>
      </c>
      <c r="L1499" s="31" t="s">
        <v>769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766</v>
      </c>
      <c r="D1500" s="31" t="s">
        <v>575</v>
      </c>
      <c r="E1500" s="31" t="s">
        <v>772</v>
      </c>
      <c r="F1500" s="31" t="s">
        <v>773</v>
      </c>
      <c r="G1500" s="27">
        <v>3300</v>
      </c>
      <c r="H1500" s="31" t="s">
        <v>63</v>
      </c>
      <c r="I1500" s="31" t="s">
        <v>794</v>
      </c>
      <c r="J1500" s="26" t="s">
        <v>775</v>
      </c>
      <c r="K1500" s="27">
        <v>3300</v>
      </c>
      <c r="L1500" s="31" t="s">
        <v>769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171</v>
      </c>
      <c r="D1501" s="31" t="s">
        <v>942</v>
      </c>
      <c r="E1501" s="31"/>
      <c r="F1501" s="31" t="s">
        <v>1339</v>
      </c>
      <c r="G1501" s="27">
        <v>-2700</v>
      </c>
      <c r="H1501" s="31" t="s">
        <v>63</v>
      </c>
      <c r="I1501" s="31" t="s">
        <v>1340</v>
      </c>
      <c r="J1501" s="26" t="s">
        <v>775</v>
      </c>
      <c r="K1501" s="27">
        <v>-2700</v>
      </c>
      <c r="L1501" s="31" t="s">
        <v>769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766</v>
      </c>
      <c r="D1502" s="31" t="s">
        <v>575</v>
      </c>
      <c r="E1502" s="31" t="s">
        <v>781</v>
      </c>
      <c r="F1502" s="31" t="s">
        <v>1341</v>
      </c>
      <c r="G1502" s="27">
        <v>10000</v>
      </c>
      <c r="H1502" s="31" t="s">
        <v>63</v>
      </c>
      <c r="I1502" s="31"/>
      <c r="J1502" s="26" t="s">
        <v>775</v>
      </c>
      <c r="K1502" s="27">
        <v>10000</v>
      </c>
      <c r="L1502" s="31" t="s">
        <v>769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766</v>
      </c>
      <c r="D1503" s="31" t="s">
        <v>843</v>
      </c>
      <c r="E1503" s="31" t="s">
        <v>844</v>
      </c>
      <c r="F1503" s="31" t="s">
        <v>1342</v>
      </c>
      <c r="G1503" s="27">
        <v>6000</v>
      </c>
      <c r="H1503" s="31" t="s">
        <v>63</v>
      </c>
      <c r="I1503" s="31" t="s">
        <v>1008</v>
      </c>
      <c r="J1503" s="26" t="s">
        <v>775</v>
      </c>
      <c r="K1503" s="27">
        <v>6000</v>
      </c>
      <c r="L1503" s="31" t="s">
        <v>769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852</v>
      </c>
      <c r="D1504" s="31" t="s">
        <v>912</v>
      </c>
      <c r="E1504" s="31" t="s">
        <v>1190</v>
      </c>
      <c r="F1504" s="31" t="s">
        <v>853</v>
      </c>
      <c r="G1504" s="27">
        <v>30000</v>
      </c>
      <c r="H1504" s="31" t="s">
        <v>63</v>
      </c>
      <c r="I1504" s="31" t="s">
        <v>1343</v>
      </c>
      <c r="J1504" s="26" t="s">
        <v>783</v>
      </c>
      <c r="K1504" s="27">
        <v>30000</v>
      </c>
      <c r="L1504" s="31" t="s">
        <v>769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766</v>
      </c>
      <c r="D1505" s="31" t="s">
        <v>576</v>
      </c>
      <c r="E1505" s="31"/>
      <c r="F1505" s="31" t="s">
        <v>576</v>
      </c>
      <c r="G1505" s="27">
        <v>5000</v>
      </c>
      <c r="H1505" s="31" t="s">
        <v>63</v>
      </c>
      <c r="I1505" s="31"/>
      <c r="J1505" s="26" t="s">
        <v>778</v>
      </c>
      <c r="K1505" s="27">
        <v>5000</v>
      </c>
      <c r="L1505" s="31" t="s">
        <v>769</v>
      </c>
      <c r="M1505" s="31" t="s">
        <v>1344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766</v>
      </c>
      <c r="D1506" s="31" t="s">
        <v>576</v>
      </c>
      <c r="E1506" s="31"/>
      <c r="F1506" s="31" t="s">
        <v>576</v>
      </c>
      <c r="G1506" s="27">
        <v>5000</v>
      </c>
      <c r="H1506" s="31" t="s">
        <v>63</v>
      </c>
      <c r="I1506" s="31"/>
      <c r="J1506" s="26" t="s">
        <v>778</v>
      </c>
      <c r="K1506" s="27">
        <v>5000</v>
      </c>
      <c r="L1506" s="31" t="s">
        <v>769</v>
      </c>
      <c r="M1506" s="31" t="s">
        <v>1344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766</v>
      </c>
      <c r="D1507" s="31" t="s">
        <v>575</v>
      </c>
      <c r="E1507" s="31" t="s">
        <v>772</v>
      </c>
      <c r="F1507" s="31" t="s">
        <v>773</v>
      </c>
      <c r="G1507" s="27">
        <v>1600</v>
      </c>
      <c r="H1507" s="31" t="s">
        <v>63</v>
      </c>
      <c r="I1507" s="31" t="s">
        <v>1345</v>
      </c>
      <c r="J1507" s="26" t="s">
        <v>775</v>
      </c>
      <c r="K1507" s="27">
        <v>1600</v>
      </c>
      <c r="L1507" s="31" t="s">
        <v>769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559</v>
      </c>
      <c r="D1508" s="31" t="s">
        <v>22</v>
      </c>
      <c r="E1508" s="31"/>
      <c r="F1508" s="31" t="s">
        <v>858</v>
      </c>
      <c r="G1508" s="27">
        <v>20000</v>
      </c>
      <c r="H1508" s="31" t="s">
        <v>520</v>
      </c>
      <c r="I1508" s="31"/>
      <c r="J1508" s="26" t="s">
        <v>824</v>
      </c>
      <c r="K1508" s="27">
        <v>20000</v>
      </c>
      <c r="L1508" s="31" t="s">
        <v>769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766</v>
      </c>
      <c r="D1509" s="31" t="s">
        <v>575</v>
      </c>
      <c r="E1509" s="31" t="s">
        <v>772</v>
      </c>
      <c r="F1509" s="31" t="s">
        <v>773</v>
      </c>
      <c r="G1509" s="27">
        <v>8600</v>
      </c>
      <c r="H1509" s="31" t="s">
        <v>63</v>
      </c>
      <c r="I1509" s="31" t="s">
        <v>72</v>
      </c>
      <c r="J1509" s="26" t="s">
        <v>775</v>
      </c>
      <c r="K1509" s="27">
        <v>8600</v>
      </c>
      <c r="L1509" s="31" t="s">
        <v>769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1279</v>
      </c>
      <c r="D1510" s="31" t="s">
        <v>912</v>
      </c>
      <c r="E1510" s="31" t="s">
        <v>1190</v>
      </c>
      <c r="F1510" s="31" t="s">
        <v>853</v>
      </c>
      <c r="G1510" s="27">
        <v>41600</v>
      </c>
      <c r="H1510" s="31" t="s">
        <v>63</v>
      </c>
      <c r="I1510" s="31" t="s">
        <v>1346</v>
      </c>
      <c r="J1510" s="26" t="s">
        <v>783</v>
      </c>
      <c r="K1510" s="27">
        <v>20800</v>
      </c>
      <c r="L1510" s="31" t="s">
        <v>199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1279</v>
      </c>
      <c r="D1511" s="31" t="s">
        <v>912</v>
      </c>
      <c r="E1511" s="31" t="s">
        <v>1190</v>
      </c>
      <c r="F1511" s="31" t="s">
        <v>1324</v>
      </c>
      <c r="G1511" s="27">
        <v>17910</v>
      </c>
      <c r="H1511" s="31" t="s">
        <v>63</v>
      </c>
      <c r="I1511" s="31" t="s">
        <v>1346</v>
      </c>
      <c r="J1511" s="26" t="s">
        <v>783</v>
      </c>
      <c r="K1511" s="27">
        <v>8955</v>
      </c>
      <c r="L1511" s="31" t="s">
        <v>199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1279</v>
      </c>
      <c r="D1512" s="31" t="s">
        <v>912</v>
      </c>
      <c r="E1512" s="31" t="s">
        <v>1190</v>
      </c>
      <c r="F1512" s="31" t="s">
        <v>773</v>
      </c>
      <c r="G1512" s="27">
        <v>4700</v>
      </c>
      <c r="H1512" s="31" t="s">
        <v>63</v>
      </c>
      <c r="I1512" s="31" t="s">
        <v>896</v>
      </c>
      <c r="J1512" s="26" t="s">
        <v>783</v>
      </c>
      <c r="K1512" s="27">
        <v>2350</v>
      </c>
      <c r="L1512" s="31" t="s">
        <v>199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766</v>
      </c>
      <c r="D1513" s="31" t="s">
        <v>906</v>
      </c>
      <c r="E1513" s="31"/>
      <c r="F1513" s="31" t="s">
        <v>1020</v>
      </c>
      <c r="G1513" s="27">
        <v>6500</v>
      </c>
      <c r="H1513" s="31" t="s">
        <v>63</v>
      </c>
      <c r="I1513" s="31" t="s">
        <v>1347</v>
      </c>
      <c r="J1513" s="26" t="s">
        <v>775</v>
      </c>
      <c r="K1513" s="27">
        <v>6500</v>
      </c>
      <c r="L1513" s="31" t="s">
        <v>769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1279</v>
      </c>
      <c r="D1514" s="31" t="s">
        <v>163</v>
      </c>
      <c r="E1514" s="31"/>
      <c r="F1514" s="31" t="s">
        <v>858</v>
      </c>
      <c r="G1514" s="27">
        <v>25000</v>
      </c>
      <c r="H1514" s="31" t="s">
        <v>804</v>
      </c>
      <c r="I1514" s="31"/>
      <c r="J1514" s="26" t="s">
        <v>805</v>
      </c>
      <c r="K1514" s="27">
        <v>25000</v>
      </c>
      <c r="L1514" s="31" t="s">
        <v>769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163</v>
      </c>
      <c r="D1515" s="31" t="s">
        <v>1279</v>
      </c>
      <c r="E1515" s="31"/>
      <c r="F1515" s="31" t="s">
        <v>858</v>
      </c>
      <c r="G1515" s="27">
        <v>25000</v>
      </c>
      <c r="H1515" s="31" t="s">
        <v>807</v>
      </c>
      <c r="I1515" s="31"/>
      <c r="J1515" s="26" t="s">
        <v>836</v>
      </c>
      <c r="K1515" s="27">
        <v>25000</v>
      </c>
      <c r="L1515" s="31" t="s">
        <v>769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1279</v>
      </c>
      <c r="D1516" s="31" t="s">
        <v>821</v>
      </c>
      <c r="E1516" s="31"/>
      <c r="F1516" s="31" t="s">
        <v>858</v>
      </c>
      <c r="G1516" s="27">
        <v>25000</v>
      </c>
      <c r="H1516" s="31" t="s">
        <v>520</v>
      </c>
      <c r="I1516" s="31"/>
      <c r="J1516" s="26" t="s">
        <v>821</v>
      </c>
      <c r="K1516" s="27">
        <v>25000</v>
      </c>
      <c r="L1516" s="31" t="s">
        <v>769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1279</v>
      </c>
      <c r="D1517" s="31" t="s">
        <v>912</v>
      </c>
      <c r="E1517" s="31" t="s">
        <v>1190</v>
      </c>
      <c r="F1517" s="31" t="s">
        <v>853</v>
      </c>
      <c r="G1517" s="27">
        <v>26700</v>
      </c>
      <c r="H1517" s="31" t="s">
        <v>63</v>
      </c>
      <c r="I1517" s="31" t="s">
        <v>1157</v>
      </c>
      <c r="J1517" s="26" t="s">
        <v>783</v>
      </c>
      <c r="K1517" s="27">
        <v>13350</v>
      </c>
      <c r="L1517" s="31" t="s">
        <v>199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1279</v>
      </c>
      <c r="D1518" s="31" t="s">
        <v>912</v>
      </c>
      <c r="E1518" s="31" t="s">
        <v>1190</v>
      </c>
      <c r="F1518" s="31" t="s">
        <v>853</v>
      </c>
      <c r="G1518" s="27">
        <v>15000</v>
      </c>
      <c r="H1518" s="31" t="s">
        <v>63</v>
      </c>
      <c r="I1518" s="31" t="s">
        <v>794</v>
      </c>
      <c r="J1518" s="26" t="s">
        <v>783</v>
      </c>
      <c r="K1518" s="27">
        <v>7500</v>
      </c>
      <c r="L1518" s="31" t="s">
        <v>199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1279</v>
      </c>
      <c r="D1519" s="31" t="s">
        <v>942</v>
      </c>
      <c r="E1519" s="31"/>
      <c r="F1519" s="31" t="s">
        <v>1094</v>
      </c>
      <c r="G1519" s="27">
        <v>14000</v>
      </c>
      <c r="H1519" s="31" t="s">
        <v>63</v>
      </c>
      <c r="I1519" s="31"/>
      <c r="J1519" s="26" t="s">
        <v>775</v>
      </c>
      <c r="K1519" s="27">
        <v>7000</v>
      </c>
      <c r="L1519" s="31" t="s">
        <v>199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766</v>
      </c>
      <c r="D1520" s="31" t="s">
        <v>576</v>
      </c>
      <c r="E1520" s="31"/>
      <c r="F1520" s="31" t="s">
        <v>576</v>
      </c>
      <c r="G1520" s="27">
        <v>5000</v>
      </c>
      <c r="H1520" s="31" t="s">
        <v>63</v>
      </c>
      <c r="I1520" s="31"/>
      <c r="J1520" s="26" t="s">
        <v>778</v>
      </c>
      <c r="K1520" s="27">
        <v>5000</v>
      </c>
      <c r="L1520" s="31" t="s">
        <v>769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766</v>
      </c>
      <c r="D1521" s="31" t="s">
        <v>575</v>
      </c>
      <c r="E1521" s="31" t="s">
        <v>785</v>
      </c>
      <c r="F1521" s="31" t="s">
        <v>773</v>
      </c>
      <c r="G1521" s="27">
        <v>2200</v>
      </c>
      <c r="H1521" s="31" t="s">
        <v>63</v>
      </c>
      <c r="I1521" s="31" t="s">
        <v>1002</v>
      </c>
      <c r="J1521" s="26" t="s">
        <v>775</v>
      </c>
      <c r="K1521" s="27">
        <v>2200</v>
      </c>
      <c r="L1521" s="31" t="s">
        <v>769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766</v>
      </c>
      <c r="D1522" s="31" t="s">
        <v>575</v>
      </c>
      <c r="E1522" s="31" t="s">
        <v>772</v>
      </c>
      <c r="F1522" s="31" t="s">
        <v>773</v>
      </c>
      <c r="G1522" s="27">
        <v>2300</v>
      </c>
      <c r="H1522" s="31" t="s">
        <v>63</v>
      </c>
      <c r="I1522" s="31" t="s">
        <v>1042</v>
      </c>
      <c r="J1522" s="26" t="s">
        <v>775</v>
      </c>
      <c r="K1522" s="27">
        <v>2300</v>
      </c>
      <c r="L1522" s="31" t="s">
        <v>769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780</v>
      </c>
      <c r="D1523" s="31" t="s">
        <v>811</v>
      </c>
      <c r="E1523" s="31"/>
      <c r="F1523" s="31" t="s">
        <v>1348</v>
      </c>
      <c r="G1523" s="27">
        <v>74700</v>
      </c>
      <c r="H1523" s="31" t="s">
        <v>63</v>
      </c>
      <c r="I1523" s="31" t="s">
        <v>878</v>
      </c>
      <c r="J1523" s="26" t="s">
        <v>768</v>
      </c>
      <c r="K1523" s="27">
        <v>74700</v>
      </c>
      <c r="L1523" s="31" t="s">
        <v>769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163</v>
      </c>
      <c r="D1524" s="31" t="s">
        <v>22</v>
      </c>
      <c r="E1524" s="31"/>
      <c r="F1524" s="31" t="s">
        <v>188</v>
      </c>
      <c r="G1524" s="27">
        <v>2905</v>
      </c>
      <c r="H1524" s="31" t="s">
        <v>520</v>
      </c>
      <c r="I1524" s="31"/>
      <c r="J1524" s="26" t="s">
        <v>824</v>
      </c>
      <c r="K1524" s="27">
        <v>2905</v>
      </c>
      <c r="L1524" s="31" t="s">
        <v>769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163</v>
      </c>
      <c r="D1525" s="31" t="s">
        <v>181</v>
      </c>
      <c r="E1525" s="31"/>
      <c r="F1525" s="31" t="s">
        <v>81</v>
      </c>
      <c r="G1525" s="27">
        <v>55000</v>
      </c>
      <c r="H1525" s="31" t="s">
        <v>807</v>
      </c>
      <c r="I1525" s="31"/>
      <c r="J1525" s="26" t="s">
        <v>805</v>
      </c>
      <c r="K1525" s="27">
        <v>55000</v>
      </c>
      <c r="L1525" s="31" t="s">
        <v>769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181</v>
      </c>
      <c r="D1526" s="31" t="s">
        <v>163</v>
      </c>
      <c r="E1526" s="31"/>
      <c r="F1526" s="31" t="s">
        <v>81</v>
      </c>
      <c r="G1526" s="27">
        <v>55000</v>
      </c>
      <c r="H1526" s="31" t="s">
        <v>804</v>
      </c>
      <c r="I1526" s="31"/>
      <c r="J1526" s="26" t="s">
        <v>805</v>
      </c>
      <c r="K1526" s="27">
        <v>55000</v>
      </c>
      <c r="L1526" s="31" t="s">
        <v>769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196</v>
      </c>
      <c r="D1527" s="31" t="s">
        <v>22</v>
      </c>
      <c r="E1527" s="31"/>
      <c r="F1527" s="31" t="s">
        <v>1349</v>
      </c>
      <c r="G1527" s="27">
        <v>500</v>
      </c>
      <c r="H1527" s="31" t="s">
        <v>63</v>
      </c>
      <c r="I1527" s="31"/>
      <c r="J1527" s="26" t="s">
        <v>799</v>
      </c>
      <c r="K1527" s="27">
        <v>500</v>
      </c>
      <c r="L1527" s="31" t="s">
        <v>769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196</v>
      </c>
      <c r="D1528" s="31" t="s">
        <v>22</v>
      </c>
      <c r="E1528" s="31"/>
      <c r="F1528" s="31" t="s">
        <v>1350</v>
      </c>
      <c r="G1528" s="27">
        <v>15680</v>
      </c>
      <c r="H1528" s="31" t="s">
        <v>63</v>
      </c>
      <c r="I1528" s="31" t="s">
        <v>1351</v>
      </c>
      <c r="J1528" s="26" t="s">
        <v>799</v>
      </c>
      <c r="K1528" s="27">
        <v>15680</v>
      </c>
      <c r="L1528" s="31" t="s">
        <v>769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766</v>
      </c>
      <c r="D1529" s="31" t="s">
        <v>576</v>
      </c>
      <c r="E1529" s="31"/>
      <c r="F1529" s="31" t="s">
        <v>576</v>
      </c>
      <c r="G1529" s="27">
        <v>5000</v>
      </c>
      <c r="H1529" s="31" t="s">
        <v>63</v>
      </c>
      <c r="I1529" s="31"/>
      <c r="J1529" s="26" t="s">
        <v>778</v>
      </c>
      <c r="K1529" s="27">
        <v>5000</v>
      </c>
      <c r="L1529" s="31" t="s">
        <v>769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196</v>
      </c>
      <c r="D1530" s="31" t="s">
        <v>817</v>
      </c>
      <c r="E1530" s="31"/>
      <c r="F1530" s="31" t="s">
        <v>1334</v>
      </c>
      <c r="G1530" s="27">
        <v>9500000</v>
      </c>
      <c r="H1530" s="31" t="s">
        <v>63</v>
      </c>
      <c r="I1530" s="31"/>
      <c r="J1530" s="26" t="s">
        <v>809</v>
      </c>
      <c r="K1530" s="27">
        <v>9500000</v>
      </c>
      <c r="L1530" s="31" t="s">
        <v>769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171</v>
      </c>
      <c r="D1531" s="31" t="s">
        <v>942</v>
      </c>
      <c r="E1531" s="31"/>
      <c r="F1531" s="31" t="s">
        <v>1339</v>
      </c>
      <c r="G1531" s="27">
        <v>-18360</v>
      </c>
      <c r="H1531" s="31" t="s">
        <v>63</v>
      </c>
      <c r="I1531" s="31"/>
      <c r="J1531" s="26" t="s">
        <v>775</v>
      </c>
      <c r="K1531" s="27">
        <v>-18360</v>
      </c>
      <c r="L1531" s="31" t="s">
        <v>769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766</v>
      </c>
      <c r="D1532" s="31" t="s">
        <v>906</v>
      </c>
      <c r="E1532" s="31"/>
      <c r="F1532" s="31" t="s">
        <v>1160</v>
      </c>
      <c r="G1532" s="27">
        <v>1200</v>
      </c>
      <c r="H1532" s="31" t="s">
        <v>63</v>
      </c>
      <c r="I1532" s="31" t="s">
        <v>1352</v>
      </c>
      <c r="J1532" s="26" t="s">
        <v>799</v>
      </c>
      <c r="K1532" s="27">
        <v>1200</v>
      </c>
      <c r="L1532" s="31" t="s">
        <v>769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766</v>
      </c>
      <c r="D1533" s="31" t="s">
        <v>575</v>
      </c>
      <c r="E1533" s="31" t="s">
        <v>772</v>
      </c>
      <c r="F1533" s="31" t="s">
        <v>884</v>
      </c>
      <c r="G1533" s="27">
        <v>3300</v>
      </c>
      <c r="H1533" s="31" t="s">
        <v>63</v>
      </c>
      <c r="I1533" s="31"/>
      <c r="J1533" s="26" t="s">
        <v>775</v>
      </c>
      <c r="K1533" s="27">
        <v>3300</v>
      </c>
      <c r="L1533" s="31" t="s">
        <v>769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766</v>
      </c>
      <c r="D1534" s="31" t="s">
        <v>575</v>
      </c>
      <c r="E1534" s="31" t="s">
        <v>885</v>
      </c>
      <c r="F1534" s="31" t="s">
        <v>773</v>
      </c>
      <c r="G1534" s="27">
        <v>4900</v>
      </c>
      <c r="H1534" s="31" t="s">
        <v>63</v>
      </c>
      <c r="I1534" s="31"/>
      <c r="J1534" s="26" t="s">
        <v>775</v>
      </c>
      <c r="K1534" s="27">
        <v>4900</v>
      </c>
      <c r="L1534" s="31" t="s">
        <v>769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780</v>
      </c>
      <c r="D1535" s="31" t="s">
        <v>876</v>
      </c>
      <c r="E1535" s="31"/>
      <c r="F1535" s="31" t="s">
        <v>464</v>
      </c>
      <c r="G1535" s="27">
        <v>48620</v>
      </c>
      <c r="H1535" s="31" t="s">
        <v>63</v>
      </c>
      <c r="I1535" s="31"/>
      <c r="J1535" s="26" t="s">
        <v>768</v>
      </c>
      <c r="K1535" s="27">
        <v>48620</v>
      </c>
      <c r="L1535" s="31" t="s">
        <v>769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187</v>
      </c>
      <c r="D1536" s="31" t="s">
        <v>163</v>
      </c>
      <c r="E1536" s="31"/>
      <c r="F1536" s="31" t="s">
        <v>81</v>
      </c>
      <c r="G1536" s="27">
        <v>731745</v>
      </c>
      <c r="H1536" s="31" t="s">
        <v>804</v>
      </c>
      <c r="I1536" s="31"/>
      <c r="J1536" s="26" t="s">
        <v>805</v>
      </c>
      <c r="K1536" s="27">
        <v>731745</v>
      </c>
      <c r="L1536" s="31" t="s">
        <v>769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816</v>
      </c>
      <c r="D1537" s="31" t="s">
        <v>163</v>
      </c>
      <c r="E1537" s="31"/>
      <c r="F1537" s="31" t="s">
        <v>81</v>
      </c>
      <c r="G1537" s="27">
        <v>265210</v>
      </c>
      <c r="H1537" s="31" t="s">
        <v>804</v>
      </c>
      <c r="I1537" s="31"/>
      <c r="J1537" s="26" t="s">
        <v>805</v>
      </c>
      <c r="K1537" s="27">
        <v>265210</v>
      </c>
      <c r="L1537" s="31" t="s">
        <v>769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163</v>
      </c>
      <c r="D1538" s="31" t="s">
        <v>816</v>
      </c>
      <c r="E1538" s="31"/>
      <c r="F1538" s="31" t="s">
        <v>81</v>
      </c>
      <c r="G1538" s="27">
        <v>265210</v>
      </c>
      <c r="H1538" s="31" t="s">
        <v>807</v>
      </c>
      <c r="I1538" s="31"/>
      <c r="J1538" s="26" t="s">
        <v>805</v>
      </c>
      <c r="K1538" s="27">
        <v>265210</v>
      </c>
      <c r="L1538" s="31" t="s">
        <v>769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163</v>
      </c>
      <c r="D1539" s="31" t="s">
        <v>187</v>
      </c>
      <c r="E1539" s="31"/>
      <c r="F1539" s="31" t="s">
        <v>81</v>
      </c>
      <c r="G1539" s="27">
        <v>731745</v>
      </c>
      <c r="H1539" s="31" t="s">
        <v>807</v>
      </c>
      <c r="I1539" s="31"/>
      <c r="J1539" s="26" t="s">
        <v>805</v>
      </c>
      <c r="K1539" s="27">
        <v>731745</v>
      </c>
      <c r="L1539" s="31" t="s">
        <v>769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175</v>
      </c>
      <c r="D1540" s="31" t="s">
        <v>163</v>
      </c>
      <c r="E1540" s="31"/>
      <c r="F1540" s="31" t="s">
        <v>81</v>
      </c>
      <c r="G1540" s="27">
        <v>743852</v>
      </c>
      <c r="H1540" s="31" t="s">
        <v>804</v>
      </c>
      <c r="I1540" s="31"/>
      <c r="J1540" s="26" t="s">
        <v>805</v>
      </c>
      <c r="K1540" s="27">
        <v>743852</v>
      </c>
      <c r="L1540" s="31" t="s">
        <v>769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181</v>
      </c>
      <c r="D1541" s="31" t="s">
        <v>163</v>
      </c>
      <c r="E1541" s="31"/>
      <c r="F1541" s="31" t="s">
        <v>81</v>
      </c>
      <c r="G1541" s="27">
        <v>2450</v>
      </c>
      <c r="H1541" s="31" t="s">
        <v>804</v>
      </c>
      <c r="I1541" s="31"/>
      <c r="J1541" s="26" t="s">
        <v>805</v>
      </c>
      <c r="K1541" s="27">
        <v>2450</v>
      </c>
      <c r="L1541" s="31" t="s">
        <v>769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163</v>
      </c>
      <c r="D1542" s="31" t="s">
        <v>175</v>
      </c>
      <c r="E1542" s="31"/>
      <c r="F1542" s="31" t="s">
        <v>81</v>
      </c>
      <c r="G1542" s="27">
        <v>743852</v>
      </c>
      <c r="H1542" s="31" t="s">
        <v>807</v>
      </c>
      <c r="I1542" s="31"/>
      <c r="J1542" s="26" t="s">
        <v>805</v>
      </c>
      <c r="K1542" s="27">
        <v>743852</v>
      </c>
      <c r="L1542" s="31" t="s">
        <v>769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181</v>
      </c>
      <c r="D1543" s="31" t="s">
        <v>163</v>
      </c>
      <c r="E1543" s="31"/>
      <c r="F1543" s="31" t="s">
        <v>81</v>
      </c>
      <c r="G1543" s="27">
        <v>200250</v>
      </c>
      <c r="H1543" s="31" t="s">
        <v>804</v>
      </c>
      <c r="I1543" s="31"/>
      <c r="J1543" s="26" t="s">
        <v>805</v>
      </c>
      <c r="K1543" s="27">
        <v>200250</v>
      </c>
      <c r="L1543" s="31" t="s">
        <v>769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163</v>
      </c>
      <c r="D1544" s="31" t="s">
        <v>181</v>
      </c>
      <c r="E1544" s="31"/>
      <c r="F1544" s="31" t="s">
        <v>81</v>
      </c>
      <c r="G1544" s="27">
        <v>200250</v>
      </c>
      <c r="H1544" s="31" t="s">
        <v>807</v>
      </c>
      <c r="I1544" s="31"/>
      <c r="J1544" s="26" t="s">
        <v>805</v>
      </c>
      <c r="K1544" s="27">
        <v>200250</v>
      </c>
      <c r="L1544" s="31" t="s">
        <v>769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163</v>
      </c>
      <c r="D1545" s="31" t="s">
        <v>181</v>
      </c>
      <c r="E1545" s="31"/>
      <c r="F1545" s="31" t="s">
        <v>81</v>
      </c>
      <c r="G1545" s="27">
        <v>2450</v>
      </c>
      <c r="H1545" s="31" t="s">
        <v>807</v>
      </c>
      <c r="I1545" s="31"/>
      <c r="J1545" s="26" t="s">
        <v>805</v>
      </c>
      <c r="K1545" s="27">
        <v>2450</v>
      </c>
      <c r="L1545" s="31" t="s">
        <v>769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181</v>
      </c>
      <c r="D1546" s="31" t="s">
        <v>887</v>
      </c>
      <c r="E1546" s="31"/>
      <c r="F1546" s="31" t="s">
        <v>828</v>
      </c>
      <c r="G1546" s="27">
        <v>55000</v>
      </c>
      <c r="H1546" s="31" t="s">
        <v>807</v>
      </c>
      <c r="I1546" s="31"/>
      <c r="J1546" s="26" t="s">
        <v>805</v>
      </c>
      <c r="K1546" s="27">
        <v>55000</v>
      </c>
      <c r="L1546" s="31" t="s">
        <v>769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887</v>
      </c>
      <c r="D1547" s="31" t="s">
        <v>181</v>
      </c>
      <c r="E1547" s="31"/>
      <c r="F1547" s="31" t="s">
        <v>828</v>
      </c>
      <c r="G1547" s="27">
        <v>55000</v>
      </c>
      <c r="H1547" s="31" t="s">
        <v>804</v>
      </c>
      <c r="I1547" s="31"/>
      <c r="J1547" s="26" t="s">
        <v>805</v>
      </c>
      <c r="K1547" s="27">
        <v>55000</v>
      </c>
      <c r="L1547" s="31" t="s">
        <v>769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816</v>
      </c>
      <c r="D1548" s="31" t="s">
        <v>771</v>
      </c>
      <c r="E1548" s="31"/>
      <c r="F1548" s="31" t="s">
        <v>828</v>
      </c>
      <c r="G1548" s="27">
        <v>265210</v>
      </c>
      <c r="H1548" s="31" t="s">
        <v>807</v>
      </c>
      <c r="I1548" s="31"/>
      <c r="J1548" s="26" t="s">
        <v>805</v>
      </c>
      <c r="K1548" s="27">
        <v>265210</v>
      </c>
      <c r="L1548" s="31" t="s">
        <v>769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771</v>
      </c>
      <c r="D1549" s="31" t="s">
        <v>816</v>
      </c>
      <c r="E1549" s="31"/>
      <c r="F1549" s="31" t="s">
        <v>828</v>
      </c>
      <c r="G1549" s="27">
        <v>265210</v>
      </c>
      <c r="H1549" s="31" t="s">
        <v>804</v>
      </c>
      <c r="I1549" s="31"/>
      <c r="J1549" s="26" t="s">
        <v>805</v>
      </c>
      <c r="K1549" s="27">
        <v>265210</v>
      </c>
      <c r="L1549" s="31" t="s">
        <v>769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1279</v>
      </c>
      <c r="D1550" s="31" t="s">
        <v>575</v>
      </c>
      <c r="E1550" s="31" t="s">
        <v>772</v>
      </c>
      <c r="F1550" s="31" t="s">
        <v>773</v>
      </c>
      <c r="G1550" s="27">
        <v>6200</v>
      </c>
      <c r="H1550" s="31" t="s">
        <v>63</v>
      </c>
      <c r="I1550" s="31" t="s">
        <v>1061</v>
      </c>
      <c r="J1550" s="26" t="s">
        <v>775</v>
      </c>
      <c r="K1550" s="27">
        <v>3100</v>
      </c>
      <c r="L1550" s="31" t="s">
        <v>199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187</v>
      </c>
      <c r="D1551" s="31" t="s">
        <v>766</v>
      </c>
      <c r="E1551" s="31"/>
      <c r="F1551" s="31" t="s">
        <v>828</v>
      </c>
      <c r="G1551" s="27">
        <v>731745</v>
      </c>
      <c r="H1551" s="31" t="s">
        <v>807</v>
      </c>
      <c r="I1551" s="31"/>
      <c r="J1551" s="26" t="s">
        <v>805</v>
      </c>
      <c r="K1551" s="27">
        <v>731745</v>
      </c>
      <c r="L1551" s="31" t="s">
        <v>769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766</v>
      </c>
      <c r="D1552" s="31" t="s">
        <v>187</v>
      </c>
      <c r="E1552" s="31"/>
      <c r="F1552" s="31" t="s">
        <v>828</v>
      </c>
      <c r="G1552" s="27">
        <v>731745</v>
      </c>
      <c r="H1552" s="31" t="s">
        <v>804</v>
      </c>
      <c r="I1552" s="31"/>
      <c r="J1552" s="26" t="s">
        <v>805</v>
      </c>
      <c r="K1552" s="27">
        <v>731745</v>
      </c>
      <c r="L1552" s="31" t="s">
        <v>769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766</v>
      </c>
      <c r="D1553" s="31" t="s">
        <v>575</v>
      </c>
      <c r="E1553" s="31" t="s">
        <v>885</v>
      </c>
      <c r="F1553" s="31" t="s">
        <v>991</v>
      </c>
      <c r="G1553" s="27">
        <v>5800</v>
      </c>
      <c r="H1553" s="31" t="s">
        <v>63</v>
      </c>
      <c r="I1553" s="31" t="s">
        <v>992</v>
      </c>
      <c r="J1553" s="26" t="s">
        <v>775</v>
      </c>
      <c r="K1553" s="27">
        <v>5800</v>
      </c>
      <c r="L1553" s="31" t="s">
        <v>769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766</v>
      </c>
      <c r="D1554" s="31" t="s">
        <v>576</v>
      </c>
      <c r="E1554" s="31"/>
      <c r="F1554" s="31" t="s">
        <v>576</v>
      </c>
      <c r="G1554" s="27">
        <v>5000</v>
      </c>
      <c r="H1554" s="31" t="s">
        <v>63</v>
      </c>
      <c r="I1554" s="31"/>
      <c r="J1554" s="26" t="s">
        <v>778</v>
      </c>
      <c r="K1554" s="27">
        <v>5000</v>
      </c>
      <c r="L1554" s="31" t="s">
        <v>769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766</v>
      </c>
      <c r="D1555" s="31" t="s">
        <v>575</v>
      </c>
      <c r="E1555" s="31" t="s">
        <v>772</v>
      </c>
      <c r="F1555" s="31" t="s">
        <v>773</v>
      </c>
      <c r="G1555" s="27">
        <v>4700</v>
      </c>
      <c r="H1555" s="31" t="s">
        <v>63</v>
      </c>
      <c r="I1555" s="31" t="s">
        <v>1301</v>
      </c>
      <c r="J1555" s="26" t="s">
        <v>775</v>
      </c>
      <c r="K1555" s="27">
        <v>4700</v>
      </c>
      <c r="L1555" s="31" t="s">
        <v>769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766</v>
      </c>
      <c r="D1556" s="31" t="s">
        <v>575</v>
      </c>
      <c r="E1556" s="31" t="s">
        <v>772</v>
      </c>
      <c r="F1556" s="31" t="s">
        <v>884</v>
      </c>
      <c r="G1556" s="27">
        <v>3300</v>
      </c>
      <c r="H1556" s="31" t="s">
        <v>63</v>
      </c>
      <c r="I1556" s="31"/>
      <c r="J1556" s="26" t="s">
        <v>775</v>
      </c>
      <c r="K1556" s="27">
        <v>3300</v>
      </c>
      <c r="L1556" s="31" t="s">
        <v>769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766</v>
      </c>
      <c r="D1557" s="31" t="s">
        <v>843</v>
      </c>
      <c r="E1557" s="31" t="s">
        <v>844</v>
      </c>
      <c r="F1557" s="31" t="s">
        <v>967</v>
      </c>
      <c r="G1557" s="27">
        <v>10000</v>
      </c>
      <c r="H1557" s="31" t="s">
        <v>63</v>
      </c>
      <c r="I1557" s="31"/>
      <c r="J1557" s="26" t="s">
        <v>775</v>
      </c>
      <c r="K1557" s="27">
        <v>10000</v>
      </c>
      <c r="L1557" s="31" t="s">
        <v>769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766</v>
      </c>
      <c r="D1558" s="31" t="s">
        <v>843</v>
      </c>
      <c r="E1558" s="31" t="s">
        <v>844</v>
      </c>
      <c r="F1558" s="31" t="s">
        <v>966</v>
      </c>
      <c r="G1558" s="27">
        <v>6200</v>
      </c>
      <c r="H1558" s="31" t="s">
        <v>63</v>
      </c>
      <c r="I1558" s="31"/>
      <c r="J1558" s="26" t="s">
        <v>775</v>
      </c>
      <c r="K1558" s="27">
        <v>6200</v>
      </c>
      <c r="L1558" s="31" t="s">
        <v>769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766</v>
      </c>
      <c r="D1559" s="31" t="s">
        <v>843</v>
      </c>
      <c r="E1559" s="31" t="s">
        <v>844</v>
      </c>
      <c r="F1559" s="31" t="s">
        <v>967</v>
      </c>
      <c r="G1559" s="27">
        <v>7900</v>
      </c>
      <c r="H1559" s="31" t="s">
        <v>63</v>
      </c>
      <c r="I1559" s="31"/>
      <c r="J1559" s="26" t="s">
        <v>775</v>
      </c>
      <c r="K1559" s="27">
        <v>7900</v>
      </c>
      <c r="L1559" s="31" t="s">
        <v>769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766</v>
      </c>
      <c r="D1560" s="31" t="s">
        <v>575</v>
      </c>
      <c r="E1560" s="31" t="s">
        <v>781</v>
      </c>
      <c r="F1560" s="31" t="s">
        <v>872</v>
      </c>
      <c r="G1560" s="27">
        <v>12000</v>
      </c>
      <c r="H1560" s="31" t="s">
        <v>63</v>
      </c>
      <c r="I1560" s="31"/>
      <c r="J1560" s="26" t="s">
        <v>775</v>
      </c>
      <c r="K1560" s="27">
        <v>12000</v>
      </c>
      <c r="L1560" s="31" t="s">
        <v>769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181</v>
      </c>
      <c r="D1561" s="31" t="s">
        <v>852</v>
      </c>
      <c r="E1561" s="31"/>
      <c r="F1561" s="31" t="s">
        <v>828</v>
      </c>
      <c r="G1561" s="27">
        <v>200250</v>
      </c>
      <c r="H1561" s="31" t="s">
        <v>807</v>
      </c>
      <c r="I1561" s="31"/>
      <c r="J1561" s="26" t="s">
        <v>805</v>
      </c>
      <c r="K1561" s="27">
        <v>200250</v>
      </c>
      <c r="L1561" s="31" t="s">
        <v>769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852</v>
      </c>
      <c r="D1562" s="31" t="s">
        <v>181</v>
      </c>
      <c r="E1562" s="31"/>
      <c r="F1562" s="31" t="s">
        <v>828</v>
      </c>
      <c r="G1562" s="27">
        <v>200250</v>
      </c>
      <c r="H1562" s="31" t="s">
        <v>804</v>
      </c>
      <c r="I1562" s="31"/>
      <c r="J1562" s="26" t="s">
        <v>805</v>
      </c>
      <c r="K1562" s="27">
        <v>200250</v>
      </c>
      <c r="L1562" s="31" t="s">
        <v>769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181</v>
      </c>
      <c r="D1563" s="31" t="s">
        <v>827</v>
      </c>
      <c r="E1563" s="31"/>
      <c r="F1563" s="31" t="s">
        <v>828</v>
      </c>
      <c r="G1563" s="27">
        <v>2450</v>
      </c>
      <c r="H1563" s="31" t="s">
        <v>807</v>
      </c>
      <c r="I1563" s="31"/>
      <c r="J1563" s="26" t="s">
        <v>805</v>
      </c>
      <c r="K1563" s="27">
        <v>2450</v>
      </c>
      <c r="L1563" s="31" t="s">
        <v>769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827</v>
      </c>
      <c r="D1564" s="31" t="s">
        <v>181</v>
      </c>
      <c r="E1564" s="31"/>
      <c r="F1564" s="31" t="s">
        <v>828</v>
      </c>
      <c r="G1564" s="27">
        <v>2450</v>
      </c>
      <c r="H1564" s="31" t="s">
        <v>804</v>
      </c>
      <c r="I1564" s="31"/>
      <c r="J1564" s="26" t="s">
        <v>805</v>
      </c>
      <c r="K1564" s="27">
        <v>2450</v>
      </c>
      <c r="L1564" s="31" t="s">
        <v>769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766</v>
      </c>
      <c r="D1565" s="31" t="s">
        <v>575</v>
      </c>
      <c r="E1565" s="31" t="s">
        <v>885</v>
      </c>
      <c r="F1565" s="31" t="s">
        <v>773</v>
      </c>
      <c r="G1565" s="27">
        <v>6400</v>
      </c>
      <c r="H1565" s="31" t="s">
        <v>63</v>
      </c>
      <c r="I1565" s="31" t="s">
        <v>992</v>
      </c>
      <c r="J1565" s="26" t="s">
        <v>775</v>
      </c>
      <c r="K1565" s="27">
        <v>6400</v>
      </c>
      <c r="L1565" s="31" t="s">
        <v>769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175</v>
      </c>
      <c r="D1566" s="31" t="s">
        <v>780</v>
      </c>
      <c r="E1566" s="31"/>
      <c r="F1566" s="31" t="s">
        <v>828</v>
      </c>
      <c r="G1566" s="27">
        <v>743852</v>
      </c>
      <c r="H1566" s="31" t="s">
        <v>807</v>
      </c>
      <c r="I1566" s="31"/>
      <c r="J1566" s="26" t="s">
        <v>805</v>
      </c>
      <c r="K1566" s="27">
        <v>743852</v>
      </c>
      <c r="L1566" s="31" t="s">
        <v>769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780</v>
      </c>
      <c r="D1567" s="31" t="s">
        <v>175</v>
      </c>
      <c r="E1567" s="31"/>
      <c r="F1567" s="31" t="s">
        <v>828</v>
      </c>
      <c r="G1567" s="27">
        <v>743852</v>
      </c>
      <c r="H1567" s="31" t="s">
        <v>804</v>
      </c>
      <c r="I1567" s="31"/>
      <c r="J1567" s="26" t="s">
        <v>805</v>
      </c>
      <c r="K1567" s="27">
        <v>743852</v>
      </c>
      <c r="L1567" s="31" t="s">
        <v>769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196</v>
      </c>
      <c r="D1568" s="31" t="s">
        <v>142</v>
      </c>
      <c r="E1568" s="31"/>
      <c r="F1568" s="31" t="s">
        <v>828</v>
      </c>
      <c r="G1568" s="27">
        <v>33000</v>
      </c>
      <c r="H1568" s="31" t="s">
        <v>807</v>
      </c>
      <c r="I1568" s="31"/>
      <c r="J1568" s="26" t="s">
        <v>805</v>
      </c>
      <c r="K1568" s="27">
        <v>33000</v>
      </c>
      <c r="L1568" s="31" t="s">
        <v>769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142</v>
      </c>
      <c r="D1569" s="31" t="s">
        <v>196</v>
      </c>
      <c r="E1569" s="31"/>
      <c r="F1569" s="31" t="s">
        <v>828</v>
      </c>
      <c r="G1569" s="27">
        <v>33000</v>
      </c>
      <c r="H1569" s="31" t="s">
        <v>804</v>
      </c>
      <c r="I1569" s="31"/>
      <c r="J1569" s="26" t="s">
        <v>805</v>
      </c>
      <c r="K1569" s="27">
        <v>33000</v>
      </c>
      <c r="L1569" s="31" t="s">
        <v>769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766</v>
      </c>
      <c r="D1570" s="31" t="s">
        <v>876</v>
      </c>
      <c r="E1570" s="31"/>
      <c r="F1570" s="31" t="s">
        <v>888</v>
      </c>
      <c r="G1570" s="27">
        <v>12400</v>
      </c>
      <c r="H1570" s="31" t="s">
        <v>63</v>
      </c>
      <c r="I1570" s="31"/>
      <c r="J1570" s="26" t="s">
        <v>768</v>
      </c>
      <c r="K1570" s="27">
        <v>12400</v>
      </c>
      <c r="L1570" s="31" t="s">
        <v>769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766</v>
      </c>
      <c r="D1571" s="31" t="s">
        <v>576</v>
      </c>
      <c r="E1571" s="31"/>
      <c r="F1571" s="31" t="s">
        <v>576</v>
      </c>
      <c r="G1571" s="27">
        <v>5000</v>
      </c>
      <c r="H1571" s="31" t="s">
        <v>63</v>
      </c>
      <c r="I1571" s="31"/>
      <c r="J1571" s="26" t="s">
        <v>778</v>
      </c>
      <c r="K1571" s="27">
        <v>5000</v>
      </c>
      <c r="L1571" s="31" t="s">
        <v>769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163</v>
      </c>
      <c r="D1572" s="31" t="s">
        <v>575</v>
      </c>
      <c r="E1572" s="31" t="s">
        <v>772</v>
      </c>
      <c r="F1572" s="31" t="s">
        <v>1353</v>
      </c>
      <c r="G1572" s="27">
        <v>10000</v>
      </c>
      <c r="H1572" s="31" t="s">
        <v>63</v>
      </c>
      <c r="I1572" s="31"/>
      <c r="J1572" s="26" t="s">
        <v>775</v>
      </c>
      <c r="K1572" s="27">
        <v>10000</v>
      </c>
      <c r="L1572" s="31" t="s">
        <v>769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766</v>
      </c>
      <c r="D1573" s="31" t="s">
        <v>876</v>
      </c>
      <c r="E1573" s="31"/>
      <c r="F1573" s="31" t="s">
        <v>132</v>
      </c>
      <c r="G1573" s="27">
        <v>16500</v>
      </c>
      <c r="H1573" s="31" t="s">
        <v>63</v>
      </c>
      <c r="I1573" s="31"/>
      <c r="J1573" s="26" t="s">
        <v>768</v>
      </c>
      <c r="K1573" s="27">
        <v>16500</v>
      </c>
      <c r="L1573" s="31" t="s">
        <v>769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669</v>
      </c>
      <c r="D1574" s="31" t="s">
        <v>912</v>
      </c>
      <c r="E1574" s="31" t="s">
        <v>68</v>
      </c>
      <c r="F1574" s="31" t="s">
        <v>1354</v>
      </c>
      <c r="G1574" s="27">
        <v>319500</v>
      </c>
      <c r="H1574" s="31" t="s">
        <v>63</v>
      </c>
      <c r="I1574" s="31" t="s">
        <v>1355</v>
      </c>
      <c r="J1574" s="26" t="s">
        <v>68</v>
      </c>
      <c r="K1574" s="27">
        <v>319500</v>
      </c>
      <c r="L1574" s="31" t="s">
        <v>769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766</v>
      </c>
      <c r="D1575" s="31" t="s">
        <v>575</v>
      </c>
      <c r="E1575" s="31" t="s">
        <v>781</v>
      </c>
      <c r="F1575" s="31" t="s">
        <v>971</v>
      </c>
      <c r="G1575" s="27">
        <v>14000</v>
      </c>
      <c r="H1575" s="31" t="s">
        <v>63</v>
      </c>
      <c r="I1575" s="31" t="s">
        <v>1356</v>
      </c>
      <c r="J1575" s="26" t="s">
        <v>775</v>
      </c>
      <c r="K1575" s="27">
        <v>14000</v>
      </c>
      <c r="L1575" s="31" t="s">
        <v>769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766</v>
      </c>
      <c r="D1576" s="31" t="s">
        <v>575</v>
      </c>
      <c r="E1576" s="31" t="s">
        <v>885</v>
      </c>
      <c r="F1576" s="31" t="s">
        <v>773</v>
      </c>
      <c r="G1576" s="27">
        <v>6800</v>
      </c>
      <c r="H1576" s="31" t="s">
        <v>63</v>
      </c>
      <c r="I1576" s="31" t="s">
        <v>992</v>
      </c>
      <c r="J1576" s="26" t="s">
        <v>775</v>
      </c>
      <c r="K1576" s="27">
        <v>6800</v>
      </c>
      <c r="L1576" s="31" t="s">
        <v>769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766</v>
      </c>
      <c r="D1577" s="31" t="s">
        <v>576</v>
      </c>
      <c r="E1577" s="31"/>
      <c r="F1577" s="31" t="s">
        <v>576</v>
      </c>
      <c r="G1577" s="27">
        <v>5000</v>
      </c>
      <c r="H1577" s="31" t="s">
        <v>63</v>
      </c>
      <c r="I1577" s="31"/>
      <c r="J1577" s="26" t="s">
        <v>778</v>
      </c>
      <c r="K1577" s="27">
        <v>5000</v>
      </c>
      <c r="L1577" s="31" t="s">
        <v>769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766</v>
      </c>
      <c r="D1578" s="31" t="s">
        <v>575</v>
      </c>
      <c r="E1578" s="31" t="s">
        <v>772</v>
      </c>
      <c r="F1578" s="31" t="s">
        <v>773</v>
      </c>
      <c r="G1578" s="27">
        <v>2000</v>
      </c>
      <c r="H1578" s="31" t="s">
        <v>63</v>
      </c>
      <c r="I1578" s="31" t="s">
        <v>1357</v>
      </c>
      <c r="J1578" s="26" t="s">
        <v>775</v>
      </c>
      <c r="K1578" s="27">
        <v>2000</v>
      </c>
      <c r="L1578" s="31" t="s">
        <v>769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163</v>
      </c>
      <c r="D1579" s="31" t="s">
        <v>575</v>
      </c>
      <c r="E1579" s="31" t="s">
        <v>772</v>
      </c>
      <c r="F1579" s="31" t="s">
        <v>1274</v>
      </c>
      <c r="G1579" s="27">
        <v>18000</v>
      </c>
      <c r="H1579" s="31" t="s">
        <v>63</v>
      </c>
      <c r="I1579" s="31"/>
      <c r="J1579" s="26" t="s">
        <v>775</v>
      </c>
      <c r="K1579" s="27">
        <v>18000</v>
      </c>
      <c r="L1579" s="31" t="s">
        <v>769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766</v>
      </c>
      <c r="D1580" s="31" t="s">
        <v>575</v>
      </c>
      <c r="E1580" s="31" t="s">
        <v>772</v>
      </c>
      <c r="F1580" s="31" t="s">
        <v>1358</v>
      </c>
      <c r="G1580" s="27">
        <v>10300</v>
      </c>
      <c r="H1580" s="31" t="s">
        <v>63</v>
      </c>
      <c r="I1580" s="31" t="s">
        <v>1359</v>
      </c>
      <c r="J1580" s="26" t="s">
        <v>775</v>
      </c>
      <c r="K1580" s="27">
        <v>10300</v>
      </c>
      <c r="L1580" s="31" t="s">
        <v>769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163</v>
      </c>
      <c r="D1581" s="31" t="s">
        <v>575</v>
      </c>
      <c r="E1581" s="31" t="s">
        <v>781</v>
      </c>
      <c r="F1581" s="31" t="s">
        <v>117</v>
      </c>
      <c r="G1581" s="27">
        <v>8500</v>
      </c>
      <c r="H1581" s="31" t="s">
        <v>63</v>
      </c>
      <c r="I1581" s="31"/>
      <c r="J1581" s="26" t="s">
        <v>775</v>
      </c>
      <c r="K1581" s="27">
        <v>8500</v>
      </c>
      <c r="L1581" s="31" t="s">
        <v>769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766</v>
      </c>
      <c r="D1582" s="31" t="s">
        <v>912</v>
      </c>
      <c r="E1582" s="31" t="s">
        <v>1190</v>
      </c>
      <c r="F1582" s="31" t="s">
        <v>1360</v>
      </c>
      <c r="G1582" s="27">
        <v>13600</v>
      </c>
      <c r="H1582" s="31" t="s">
        <v>63</v>
      </c>
      <c r="I1582" s="31"/>
      <c r="J1582" s="26" t="s">
        <v>783</v>
      </c>
      <c r="K1582" s="27">
        <v>13600</v>
      </c>
      <c r="L1582" s="31" t="s">
        <v>769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766</v>
      </c>
      <c r="D1583" s="31" t="s">
        <v>912</v>
      </c>
      <c r="E1583" s="31" t="s">
        <v>1190</v>
      </c>
      <c r="F1583" s="31" t="s">
        <v>1361</v>
      </c>
      <c r="G1583" s="27">
        <v>55700</v>
      </c>
      <c r="H1583" s="31" t="s">
        <v>63</v>
      </c>
      <c r="I1583" s="31" t="s">
        <v>1362</v>
      </c>
      <c r="J1583" s="26" t="s">
        <v>783</v>
      </c>
      <c r="K1583" s="27">
        <v>55700</v>
      </c>
      <c r="L1583" s="31" t="s">
        <v>769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766</v>
      </c>
      <c r="D1584" s="31" t="s">
        <v>912</v>
      </c>
      <c r="E1584" s="31" t="s">
        <v>1190</v>
      </c>
      <c r="F1584" s="31" t="s">
        <v>1363</v>
      </c>
      <c r="G1584" s="27">
        <v>18000</v>
      </c>
      <c r="H1584" s="31" t="s">
        <v>63</v>
      </c>
      <c r="I1584" s="31" t="s">
        <v>1364</v>
      </c>
      <c r="J1584" s="26" t="s">
        <v>783</v>
      </c>
      <c r="K1584" s="27">
        <v>18000</v>
      </c>
      <c r="L1584" s="31" t="s">
        <v>769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766</v>
      </c>
      <c r="D1585" s="31" t="s">
        <v>906</v>
      </c>
      <c r="E1585" s="31"/>
      <c r="F1585" s="31" t="s">
        <v>915</v>
      </c>
      <c r="G1585" s="27">
        <v>990</v>
      </c>
      <c r="H1585" s="31" t="s">
        <v>63</v>
      </c>
      <c r="I1585" s="31"/>
      <c r="J1585" s="26" t="s">
        <v>775</v>
      </c>
      <c r="K1585" s="27">
        <v>990</v>
      </c>
      <c r="L1585" s="31" t="s">
        <v>769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766</v>
      </c>
      <c r="D1586" s="31" t="s">
        <v>843</v>
      </c>
      <c r="E1586" s="31" t="s">
        <v>844</v>
      </c>
      <c r="F1586" s="31" t="s">
        <v>1365</v>
      </c>
      <c r="G1586" s="27">
        <v>9000</v>
      </c>
      <c r="H1586" s="31" t="s">
        <v>63</v>
      </c>
      <c r="I1586" s="31"/>
      <c r="J1586" s="26" t="s">
        <v>775</v>
      </c>
      <c r="K1586" s="27">
        <v>9000</v>
      </c>
      <c r="L1586" s="31" t="s">
        <v>769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766</v>
      </c>
      <c r="D1587" s="31" t="s">
        <v>942</v>
      </c>
      <c r="E1587" s="31"/>
      <c r="F1587" s="31" t="s">
        <v>1094</v>
      </c>
      <c r="G1587" s="27">
        <v>16400</v>
      </c>
      <c r="H1587" s="31" t="s">
        <v>63</v>
      </c>
      <c r="I1587" s="31"/>
      <c r="J1587" s="26" t="s">
        <v>775</v>
      </c>
      <c r="K1587" s="27">
        <v>16400</v>
      </c>
      <c r="L1587" s="31" t="s">
        <v>769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852</v>
      </c>
      <c r="D1588" s="31" t="s">
        <v>811</v>
      </c>
      <c r="E1588" s="31"/>
      <c r="F1588" s="31" t="s">
        <v>488</v>
      </c>
      <c r="G1588" s="27">
        <v>20980</v>
      </c>
      <c r="H1588" s="31" t="s">
        <v>63</v>
      </c>
      <c r="I1588" s="31" t="s">
        <v>1366</v>
      </c>
      <c r="J1588" s="26" t="s">
        <v>775</v>
      </c>
      <c r="K1588" s="27">
        <v>20980</v>
      </c>
      <c r="L1588" s="31" t="s">
        <v>769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816</v>
      </c>
      <c r="D1589" s="31" t="s">
        <v>22</v>
      </c>
      <c r="E1589" s="31"/>
      <c r="F1589" s="31" t="s">
        <v>1367</v>
      </c>
      <c r="G1589" s="27">
        <v>7102</v>
      </c>
      <c r="H1589" s="31" t="s">
        <v>520</v>
      </c>
      <c r="I1589" s="31" t="s">
        <v>1368</v>
      </c>
      <c r="J1589" s="26" t="s">
        <v>824</v>
      </c>
      <c r="K1589" s="27">
        <v>7102</v>
      </c>
      <c r="L1589" s="31" t="s">
        <v>769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852</v>
      </c>
      <c r="D1590" s="31" t="s">
        <v>796</v>
      </c>
      <c r="E1590" s="31"/>
      <c r="F1590" s="31" t="s">
        <v>488</v>
      </c>
      <c r="G1590" s="27">
        <v>11420</v>
      </c>
      <c r="H1590" s="31" t="s">
        <v>63</v>
      </c>
      <c r="I1590" s="31" t="s">
        <v>1369</v>
      </c>
      <c r="J1590" s="26" t="s">
        <v>775</v>
      </c>
      <c r="K1590" s="27">
        <v>11420</v>
      </c>
      <c r="L1590" s="31" t="s">
        <v>769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766</v>
      </c>
      <c r="D1591" s="31" t="s">
        <v>576</v>
      </c>
      <c r="E1591" s="31"/>
      <c r="F1591" s="31" t="s">
        <v>576</v>
      </c>
      <c r="G1591" s="27">
        <v>5000</v>
      </c>
      <c r="H1591" s="31" t="s">
        <v>63</v>
      </c>
      <c r="I1591" s="31"/>
      <c r="J1591" s="26" t="s">
        <v>778</v>
      </c>
      <c r="K1591" s="27">
        <v>5000</v>
      </c>
      <c r="L1591" s="31" t="s">
        <v>769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766</v>
      </c>
      <c r="D1592" s="31" t="s">
        <v>575</v>
      </c>
      <c r="E1592" s="31" t="s">
        <v>885</v>
      </c>
      <c r="F1592" s="31" t="s">
        <v>773</v>
      </c>
      <c r="G1592" s="27">
        <v>5700</v>
      </c>
      <c r="H1592" s="31" t="s">
        <v>63</v>
      </c>
      <c r="I1592" s="31" t="s">
        <v>1149</v>
      </c>
      <c r="J1592" s="26" t="s">
        <v>775</v>
      </c>
      <c r="K1592" s="27">
        <v>5700</v>
      </c>
      <c r="L1592" s="31" t="s">
        <v>769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766</v>
      </c>
      <c r="D1593" s="31" t="s">
        <v>946</v>
      </c>
      <c r="E1593" s="31"/>
      <c r="F1593" s="31" t="s">
        <v>1278</v>
      </c>
      <c r="G1593" s="27">
        <v>12900</v>
      </c>
      <c r="H1593" s="31" t="s">
        <v>63</v>
      </c>
      <c r="I1593" s="31" t="s">
        <v>1370</v>
      </c>
      <c r="J1593" s="26" t="s">
        <v>775</v>
      </c>
      <c r="K1593" s="27">
        <v>12900</v>
      </c>
      <c r="L1593" s="31" t="s">
        <v>769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766</v>
      </c>
      <c r="D1594" s="31" t="s">
        <v>942</v>
      </c>
      <c r="E1594" s="31"/>
      <c r="F1594" s="31" t="s">
        <v>1094</v>
      </c>
      <c r="G1594" s="27">
        <v>12900</v>
      </c>
      <c r="H1594" s="31" t="s">
        <v>63</v>
      </c>
      <c r="I1594" s="31"/>
      <c r="J1594" s="26" t="s">
        <v>775</v>
      </c>
      <c r="K1594" s="27">
        <v>12900</v>
      </c>
      <c r="L1594" s="31" t="s">
        <v>769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766</v>
      </c>
      <c r="D1595" s="31" t="s">
        <v>575</v>
      </c>
      <c r="E1595" s="31" t="s">
        <v>772</v>
      </c>
      <c r="F1595" s="31" t="s">
        <v>773</v>
      </c>
      <c r="G1595" s="27">
        <v>2900</v>
      </c>
      <c r="H1595" s="31" t="s">
        <v>63</v>
      </c>
      <c r="I1595" s="31" t="s">
        <v>1061</v>
      </c>
      <c r="J1595" s="26" t="s">
        <v>775</v>
      </c>
      <c r="K1595" s="27">
        <v>2900</v>
      </c>
      <c r="L1595" s="31" t="s">
        <v>769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766</v>
      </c>
      <c r="D1596" s="31" t="s">
        <v>576</v>
      </c>
      <c r="E1596" s="31"/>
      <c r="F1596" s="31" t="s">
        <v>576</v>
      </c>
      <c r="G1596" s="27">
        <v>5000</v>
      </c>
      <c r="H1596" s="31" t="s">
        <v>63</v>
      </c>
      <c r="I1596" s="31"/>
      <c r="J1596" s="26" t="s">
        <v>778</v>
      </c>
      <c r="K1596" s="27">
        <v>5000</v>
      </c>
      <c r="L1596" s="31" t="s">
        <v>769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766</v>
      </c>
      <c r="D1597" s="31" t="s">
        <v>575</v>
      </c>
      <c r="E1597" s="31" t="s">
        <v>904</v>
      </c>
      <c r="F1597" s="31" t="s">
        <v>1000</v>
      </c>
      <c r="G1597" s="27">
        <v>11500</v>
      </c>
      <c r="H1597" s="31" t="s">
        <v>63</v>
      </c>
      <c r="I1597" s="31"/>
      <c r="J1597" s="26" t="s">
        <v>775</v>
      </c>
      <c r="K1597" s="27">
        <v>11500</v>
      </c>
      <c r="L1597" s="31" t="s">
        <v>769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163</v>
      </c>
      <c r="D1598" s="31" t="s">
        <v>817</v>
      </c>
      <c r="E1598" s="31"/>
      <c r="F1598" s="31" t="s">
        <v>1296</v>
      </c>
      <c r="G1598" s="27">
        <v>140000</v>
      </c>
      <c r="H1598" s="31" t="s">
        <v>63</v>
      </c>
      <c r="I1598" s="31" t="s">
        <v>1371</v>
      </c>
      <c r="J1598" s="26" t="s">
        <v>799</v>
      </c>
      <c r="K1598" s="27">
        <v>140000</v>
      </c>
      <c r="L1598" s="31" t="s">
        <v>769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766</v>
      </c>
      <c r="D1599" s="31" t="s">
        <v>575</v>
      </c>
      <c r="E1599" s="31" t="s">
        <v>772</v>
      </c>
      <c r="F1599" s="31" t="s">
        <v>989</v>
      </c>
      <c r="G1599" s="27">
        <v>4410</v>
      </c>
      <c r="H1599" s="31" t="s">
        <v>63</v>
      </c>
      <c r="I1599" s="31"/>
      <c r="J1599" s="26" t="s">
        <v>775</v>
      </c>
      <c r="K1599" s="27">
        <v>4410</v>
      </c>
      <c r="L1599" s="31" t="s">
        <v>769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852</v>
      </c>
      <c r="D1600" s="31" t="s">
        <v>575</v>
      </c>
      <c r="E1600" s="31" t="s">
        <v>792</v>
      </c>
      <c r="F1600" s="31" t="s">
        <v>853</v>
      </c>
      <c r="G1600" s="27">
        <v>10000</v>
      </c>
      <c r="H1600" s="31" t="s">
        <v>63</v>
      </c>
      <c r="I1600" s="31" t="s">
        <v>995</v>
      </c>
      <c r="J1600" s="26" t="s">
        <v>775</v>
      </c>
      <c r="K1600" s="27">
        <v>10000</v>
      </c>
      <c r="L1600" s="31" t="s">
        <v>769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766</v>
      </c>
      <c r="D1601" s="31" t="s">
        <v>576</v>
      </c>
      <c r="E1601" s="31"/>
      <c r="F1601" s="31" t="s">
        <v>576</v>
      </c>
      <c r="G1601" s="27">
        <v>4500</v>
      </c>
      <c r="H1601" s="31" t="s">
        <v>63</v>
      </c>
      <c r="I1601" s="31"/>
      <c r="J1601" s="26" t="s">
        <v>778</v>
      </c>
      <c r="K1601" s="27">
        <v>4500</v>
      </c>
      <c r="L1601" s="31" t="s">
        <v>769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766</v>
      </c>
      <c r="D1602" s="31" t="s">
        <v>575</v>
      </c>
      <c r="E1602" s="31" t="s">
        <v>772</v>
      </c>
      <c r="F1602" s="31" t="s">
        <v>773</v>
      </c>
      <c r="G1602" s="27">
        <v>2900</v>
      </c>
      <c r="H1602" s="31" t="s">
        <v>63</v>
      </c>
      <c r="I1602" s="31" t="s">
        <v>1372</v>
      </c>
      <c r="J1602" s="26" t="s">
        <v>775</v>
      </c>
      <c r="K1602" s="27">
        <v>2900</v>
      </c>
      <c r="L1602" s="31" t="s">
        <v>769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559</v>
      </c>
      <c r="D1603" s="31" t="s">
        <v>821</v>
      </c>
      <c r="E1603" s="31"/>
      <c r="F1603" s="31" t="s">
        <v>858</v>
      </c>
      <c r="G1603" s="27">
        <v>20000</v>
      </c>
      <c r="H1603" s="31" t="s">
        <v>520</v>
      </c>
      <c r="I1603" s="31"/>
      <c r="J1603" s="26" t="s">
        <v>821</v>
      </c>
      <c r="K1603" s="27">
        <v>20000</v>
      </c>
      <c r="L1603" s="31" t="s">
        <v>769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766</v>
      </c>
      <c r="D1604" s="31" t="s">
        <v>906</v>
      </c>
      <c r="E1604" s="31"/>
      <c r="F1604" s="31" t="s">
        <v>907</v>
      </c>
      <c r="G1604" s="27">
        <v>6000</v>
      </c>
      <c r="H1604" s="31" t="s">
        <v>63</v>
      </c>
      <c r="I1604" s="31" t="s">
        <v>1373</v>
      </c>
      <c r="J1604" s="26" t="s">
        <v>799</v>
      </c>
      <c r="K1604" s="27">
        <v>6000</v>
      </c>
      <c r="L1604" s="31" t="s">
        <v>769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766</v>
      </c>
      <c r="D1605" s="31" t="s">
        <v>575</v>
      </c>
      <c r="E1605" s="31" t="s">
        <v>885</v>
      </c>
      <c r="F1605" s="31" t="s">
        <v>773</v>
      </c>
      <c r="G1605" s="27">
        <v>7900</v>
      </c>
      <c r="H1605" s="31" t="s">
        <v>63</v>
      </c>
      <c r="I1605" s="31" t="s">
        <v>72</v>
      </c>
      <c r="J1605" s="26" t="s">
        <v>775</v>
      </c>
      <c r="K1605" s="27">
        <v>7900</v>
      </c>
      <c r="L1605" s="31" t="s">
        <v>769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766</v>
      </c>
      <c r="D1606" s="31" t="s">
        <v>575</v>
      </c>
      <c r="E1606" s="31" t="s">
        <v>772</v>
      </c>
      <c r="F1606" s="31" t="s">
        <v>773</v>
      </c>
      <c r="G1606" s="27">
        <v>5200</v>
      </c>
      <c r="H1606" s="31" t="s">
        <v>63</v>
      </c>
      <c r="I1606" s="31" t="s">
        <v>72</v>
      </c>
      <c r="J1606" s="26" t="s">
        <v>775</v>
      </c>
      <c r="K1606" s="27">
        <v>5200</v>
      </c>
      <c r="L1606" s="31" t="s">
        <v>769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163</v>
      </c>
      <c r="D1607" s="31" t="s">
        <v>22</v>
      </c>
      <c r="E1607" s="31"/>
      <c r="F1607" s="31" t="s">
        <v>188</v>
      </c>
      <c r="G1607" s="27">
        <v>2263</v>
      </c>
      <c r="H1607" s="31" t="s">
        <v>520</v>
      </c>
      <c r="I1607" s="31"/>
      <c r="J1607" s="26" t="s">
        <v>824</v>
      </c>
      <c r="K1607" s="27">
        <v>2263</v>
      </c>
      <c r="L1607" s="31" t="s">
        <v>769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1329</v>
      </c>
      <c r="D1608" s="31" t="s">
        <v>575</v>
      </c>
      <c r="E1608" s="31" t="s">
        <v>904</v>
      </c>
      <c r="F1608" s="31" t="s">
        <v>1016</v>
      </c>
      <c r="G1608" s="27">
        <v>14500</v>
      </c>
      <c r="H1608" s="31" t="s">
        <v>63</v>
      </c>
      <c r="I1608" s="31"/>
      <c r="J1608" s="26" t="s">
        <v>775</v>
      </c>
      <c r="K1608" s="27">
        <v>14500</v>
      </c>
      <c r="L1608" s="31" t="s">
        <v>769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1329</v>
      </c>
      <c r="D1609" s="31" t="s">
        <v>576</v>
      </c>
      <c r="E1609" s="31"/>
      <c r="F1609" s="31" t="s">
        <v>576</v>
      </c>
      <c r="G1609" s="27">
        <v>5000</v>
      </c>
      <c r="H1609" s="31" t="s">
        <v>63</v>
      </c>
      <c r="I1609" s="31"/>
      <c r="J1609" s="26" t="s">
        <v>778</v>
      </c>
      <c r="K1609" s="27">
        <v>5000</v>
      </c>
      <c r="L1609" s="31" t="s">
        <v>769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852</v>
      </c>
      <c r="D1610" s="31" t="s">
        <v>796</v>
      </c>
      <c r="E1610" s="31"/>
      <c r="F1610" s="31" t="s">
        <v>488</v>
      </c>
      <c r="G1610" s="27">
        <v>8470</v>
      </c>
      <c r="H1610" s="31" t="s">
        <v>63</v>
      </c>
      <c r="I1610" s="31" t="s">
        <v>873</v>
      </c>
      <c r="J1610" s="26" t="s">
        <v>775</v>
      </c>
      <c r="K1610" s="27">
        <v>8470</v>
      </c>
      <c r="L1610" s="31" t="s">
        <v>769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1329</v>
      </c>
      <c r="D1611" s="31" t="s">
        <v>576</v>
      </c>
      <c r="E1611" s="31"/>
      <c r="F1611" s="31" t="s">
        <v>576</v>
      </c>
      <c r="G1611" s="27">
        <v>5000</v>
      </c>
      <c r="H1611" s="31" t="s">
        <v>63</v>
      </c>
      <c r="I1611" s="31"/>
      <c r="J1611" s="26" t="s">
        <v>778</v>
      </c>
      <c r="K1611" s="27">
        <v>5000</v>
      </c>
      <c r="L1611" s="31" t="s">
        <v>769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1329</v>
      </c>
      <c r="D1612" s="31" t="s">
        <v>575</v>
      </c>
      <c r="E1612" s="31" t="s">
        <v>781</v>
      </c>
      <c r="F1612" s="31" t="s">
        <v>1057</v>
      </c>
      <c r="G1612" s="27">
        <v>8500</v>
      </c>
      <c r="H1612" s="31" t="s">
        <v>63</v>
      </c>
      <c r="I1612" s="31"/>
      <c r="J1612" s="26" t="s">
        <v>775</v>
      </c>
      <c r="K1612" s="27">
        <v>8500</v>
      </c>
      <c r="L1612" s="31" t="s">
        <v>769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1329</v>
      </c>
      <c r="D1613" s="31" t="s">
        <v>575</v>
      </c>
      <c r="E1613" s="31" t="s">
        <v>885</v>
      </c>
      <c r="F1613" s="31" t="s">
        <v>991</v>
      </c>
      <c r="G1613" s="27">
        <v>3100</v>
      </c>
      <c r="H1613" s="31" t="s">
        <v>63</v>
      </c>
      <c r="I1613" s="31"/>
      <c r="J1613" s="26" t="s">
        <v>775</v>
      </c>
      <c r="K1613" s="27">
        <v>3100</v>
      </c>
      <c r="L1613" s="31" t="s">
        <v>769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1329</v>
      </c>
      <c r="D1614" s="31" t="s">
        <v>576</v>
      </c>
      <c r="E1614" s="31"/>
      <c r="F1614" s="31" t="s">
        <v>576</v>
      </c>
      <c r="G1614" s="27">
        <v>5000</v>
      </c>
      <c r="H1614" s="31" t="s">
        <v>63</v>
      </c>
      <c r="I1614" s="31"/>
      <c r="J1614" s="26" t="s">
        <v>778</v>
      </c>
      <c r="K1614" s="27">
        <v>5000</v>
      </c>
      <c r="L1614" s="31" t="s">
        <v>769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1329</v>
      </c>
      <c r="D1615" s="31" t="s">
        <v>576</v>
      </c>
      <c r="E1615" s="31"/>
      <c r="F1615" s="31" t="s">
        <v>576</v>
      </c>
      <c r="G1615" s="27">
        <v>5000</v>
      </c>
      <c r="H1615" s="31" t="s">
        <v>63</v>
      </c>
      <c r="I1615" s="31"/>
      <c r="J1615" s="26" t="s">
        <v>778</v>
      </c>
      <c r="K1615" s="27">
        <v>5000</v>
      </c>
      <c r="L1615" s="31" t="s">
        <v>769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1329</v>
      </c>
      <c r="D1616" s="31" t="s">
        <v>575</v>
      </c>
      <c r="E1616" s="31" t="s">
        <v>772</v>
      </c>
      <c r="F1616" s="31" t="s">
        <v>773</v>
      </c>
      <c r="G1616" s="27">
        <v>2000</v>
      </c>
      <c r="H1616" s="31" t="s">
        <v>63</v>
      </c>
      <c r="I1616" s="31" t="s">
        <v>1357</v>
      </c>
      <c r="J1616" s="26" t="s">
        <v>775</v>
      </c>
      <c r="K1616" s="27">
        <v>2000</v>
      </c>
      <c r="L1616" s="31" t="s">
        <v>769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766</v>
      </c>
      <c r="D1617" s="31" t="s">
        <v>575</v>
      </c>
      <c r="E1617" s="31" t="s">
        <v>781</v>
      </c>
      <c r="F1617" s="31" t="s">
        <v>1023</v>
      </c>
      <c r="G1617" s="27">
        <v>13000</v>
      </c>
      <c r="H1617" s="31" t="s">
        <v>63</v>
      </c>
      <c r="I1617" s="31"/>
      <c r="J1617" s="26" t="s">
        <v>775</v>
      </c>
      <c r="K1617" s="27">
        <v>13000</v>
      </c>
      <c r="L1617" s="31" t="s">
        <v>769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1329</v>
      </c>
      <c r="D1618" s="31" t="s">
        <v>942</v>
      </c>
      <c r="E1618" s="31"/>
      <c r="F1618" s="31" t="s">
        <v>1094</v>
      </c>
      <c r="G1618" s="27">
        <v>15900</v>
      </c>
      <c r="H1618" s="31" t="s">
        <v>63</v>
      </c>
      <c r="I1618" s="31"/>
      <c r="J1618" s="26" t="s">
        <v>775</v>
      </c>
      <c r="K1618" s="27">
        <v>15900</v>
      </c>
      <c r="L1618" s="31" t="s">
        <v>769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1329</v>
      </c>
      <c r="D1619" s="31" t="s">
        <v>575</v>
      </c>
      <c r="E1619" s="31" t="s">
        <v>772</v>
      </c>
      <c r="F1619" s="31" t="s">
        <v>773</v>
      </c>
      <c r="G1619" s="27">
        <v>2000</v>
      </c>
      <c r="H1619" s="31" t="s">
        <v>63</v>
      </c>
      <c r="I1619" s="31" t="s">
        <v>1357</v>
      </c>
      <c r="J1619" s="26" t="s">
        <v>775</v>
      </c>
      <c r="K1619" s="27">
        <v>2000</v>
      </c>
      <c r="L1619" s="31" t="s">
        <v>769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1329</v>
      </c>
      <c r="D1620" s="31" t="s">
        <v>575</v>
      </c>
      <c r="E1620" s="31" t="s">
        <v>781</v>
      </c>
      <c r="F1620" s="31" t="s">
        <v>902</v>
      </c>
      <c r="G1620" s="27">
        <v>7000</v>
      </c>
      <c r="H1620" s="31" t="s">
        <v>63</v>
      </c>
      <c r="I1620" s="31"/>
      <c r="J1620" s="26" t="s">
        <v>775</v>
      </c>
      <c r="K1620" s="27">
        <v>7000</v>
      </c>
      <c r="L1620" s="31" t="s">
        <v>769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883</v>
      </c>
      <c r="D1621" s="31" t="s">
        <v>575</v>
      </c>
      <c r="E1621" s="31" t="s">
        <v>772</v>
      </c>
      <c r="F1621" s="31" t="s">
        <v>1274</v>
      </c>
      <c r="G1621" s="27">
        <v>-9600</v>
      </c>
      <c r="H1621" s="31" t="s">
        <v>63</v>
      </c>
      <c r="I1621" s="31" t="s">
        <v>1374</v>
      </c>
      <c r="J1621" s="26" t="s">
        <v>775</v>
      </c>
      <c r="K1621" s="27">
        <v>-9600</v>
      </c>
      <c r="L1621" s="31" t="s">
        <v>769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883</v>
      </c>
      <c r="D1622" s="31" t="s">
        <v>163</v>
      </c>
      <c r="E1622" s="31"/>
      <c r="F1622" s="31" t="s">
        <v>81</v>
      </c>
      <c r="G1622" s="27">
        <v>10000</v>
      </c>
      <c r="H1622" s="31" t="s">
        <v>804</v>
      </c>
      <c r="I1622" s="31" t="s">
        <v>1375</v>
      </c>
      <c r="J1622" s="26" t="s">
        <v>805</v>
      </c>
      <c r="K1622" s="27">
        <v>10000</v>
      </c>
      <c r="L1622" s="31" t="s">
        <v>769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163</v>
      </c>
      <c r="D1623" s="31" t="s">
        <v>883</v>
      </c>
      <c r="E1623" s="31"/>
      <c r="F1623" s="31" t="s">
        <v>81</v>
      </c>
      <c r="G1623" s="27">
        <v>10000</v>
      </c>
      <c r="H1623" s="31" t="s">
        <v>807</v>
      </c>
      <c r="I1623" s="31" t="s">
        <v>1375</v>
      </c>
      <c r="J1623" s="26" t="s">
        <v>805</v>
      </c>
      <c r="K1623" s="27">
        <v>10000</v>
      </c>
      <c r="L1623" s="31" t="s">
        <v>769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883</v>
      </c>
      <c r="D1624" s="31" t="s">
        <v>163</v>
      </c>
      <c r="E1624" s="31"/>
      <c r="F1624" s="31" t="s">
        <v>81</v>
      </c>
      <c r="G1624" s="27">
        <v>19800</v>
      </c>
      <c r="H1624" s="31" t="s">
        <v>804</v>
      </c>
      <c r="I1624" s="31" t="s">
        <v>1375</v>
      </c>
      <c r="J1624" s="26" t="s">
        <v>805</v>
      </c>
      <c r="K1624" s="27">
        <v>19800</v>
      </c>
      <c r="L1624" s="31" t="s">
        <v>769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163</v>
      </c>
      <c r="D1625" s="31" t="s">
        <v>883</v>
      </c>
      <c r="E1625" s="31"/>
      <c r="F1625" s="31" t="s">
        <v>81</v>
      </c>
      <c r="G1625" s="27">
        <v>19800</v>
      </c>
      <c r="H1625" s="31" t="s">
        <v>807</v>
      </c>
      <c r="I1625" s="31" t="s">
        <v>1375</v>
      </c>
      <c r="J1625" s="26" t="s">
        <v>805</v>
      </c>
      <c r="K1625" s="27">
        <v>19800</v>
      </c>
      <c r="L1625" s="31" t="s">
        <v>769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883</v>
      </c>
      <c r="D1626" s="31" t="s">
        <v>575</v>
      </c>
      <c r="E1626" s="31" t="s">
        <v>772</v>
      </c>
      <c r="F1626" s="31" t="s">
        <v>1274</v>
      </c>
      <c r="G1626" s="27">
        <v>14400</v>
      </c>
      <c r="H1626" s="31" t="s">
        <v>63</v>
      </c>
      <c r="I1626" s="31" t="s">
        <v>1376</v>
      </c>
      <c r="J1626" s="26" t="s">
        <v>775</v>
      </c>
      <c r="K1626" s="27">
        <v>14400</v>
      </c>
      <c r="L1626" s="31" t="s">
        <v>769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1329</v>
      </c>
      <c r="D1627" s="31" t="s">
        <v>912</v>
      </c>
      <c r="E1627" s="31" t="s">
        <v>1190</v>
      </c>
      <c r="F1627" s="31" t="s">
        <v>1377</v>
      </c>
      <c r="G1627" s="27">
        <v>10600</v>
      </c>
      <c r="H1627" s="31" t="s">
        <v>63</v>
      </c>
      <c r="I1627" s="31" t="s">
        <v>104</v>
      </c>
      <c r="J1627" s="26" t="s">
        <v>783</v>
      </c>
      <c r="K1627" s="27">
        <v>10600</v>
      </c>
      <c r="L1627" s="31" t="s">
        <v>769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883</v>
      </c>
      <c r="D1628" s="31" t="s">
        <v>942</v>
      </c>
      <c r="E1628" s="31"/>
      <c r="F1628" s="31" t="s">
        <v>1378</v>
      </c>
      <c r="G1628" s="27">
        <v>25000</v>
      </c>
      <c r="H1628" s="31" t="s">
        <v>63</v>
      </c>
      <c r="I1628" s="31" t="s">
        <v>1379</v>
      </c>
      <c r="J1628" s="26" t="s">
        <v>775</v>
      </c>
      <c r="K1628" s="27">
        <v>25000</v>
      </c>
      <c r="L1628" s="31" t="s">
        <v>769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1329</v>
      </c>
      <c r="D1629" s="31" t="s">
        <v>575</v>
      </c>
      <c r="E1629" s="31" t="s">
        <v>772</v>
      </c>
      <c r="F1629" s="31" t="s">
        <v>773</v>
      </c>
      <c r="G1629" s="27">
        <v>3900</v>
      </c>
      <c r="H1629" s="31" t="s">
        <v>63</v>
      </c>
      <c r="I1629" s="31" t="s">
        <v>992</v>
      </c>
      <c r="J1629" s="26" t="s">
        <v>775</v>
      </c>
      <c r="K1629" s="27">
        <v>3900</v>
      </c>
      <c r="L1629" s="31" t="s">
        <v>769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1329</v>
      </c>
      <c r="D1630" s="31" t="s">
        <v>575</v>
      </c>
      <c r="E1630" s="31" t="s">
        <v>772</v>
      </c>
      <c r="F1630" s="31" t="s">
        <v>773</v>
      </c>
      <c r="G1630" s="27">
        <v>3800</v>
      </c>
      <c r="H1630" s="31" t="s">
        <v>63</v>
      </c>
      <c r="I1630" s="31" t="s">
        <v>992</v>
      </c>
      <c r="J1630" s="26" t="s">
        <v>775</v>
      </c>
      <c r="K1630" s="27">
        <v>3800</v>
      </c>
      <c r="L1630" s="31" t="s">
        <v>769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1329</v>
      </c>
      <c r="D1631" s="31" t="s">
        <v>942</v>
      </c>
      <c r="E1631" s="31"/>
      <c r="F1631" s="31" t="s">
        <v>1094</v>
      </c>
      <c r="G1631" s="27">
        <v>20900</v>
      </c>
      <c r="H1631" s="31" t="s">
        <v>63</v>
      </c>
      <c r="I1631" s="31" t="s">
        <v>1286</v>
      </c>
      <c r="J1631" s="26" t="s">
        <v>799</v>
      </c>
      <c r="K1631" s="27">
        <v>20900</v>
      </c>
      <c r="L1631" s="31" t="s">
        <v>769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1329</v>
      </c>
      <c r="D1632" s="31" t="s">
        <v>942</v>
      </c>
      <c r="E1632" s="31"/>
      <c r="F1632" s="31" t="s">
        <v>1094</v>
      </c>
      <c r="G1632" s="27">
        <v>19700</v>
      </c>
      <c r="H1632" s="31" t="s">
        <v>63</v>
      </c>
      <c r="I1632" s="31" t="s">
        <v>1380</v>
      </c>
      <c r="J1632" s="26" t="s">
        <v>799</v>
      </c>
      <c r="K1632" s="27">
        <v>19700</v>
      </c>
      <c r="L1632" s="31" t="s">
        <v>769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1329</v>
      </c>
      <c r="D1633" s="31" t="s">
        <v>942</v>
      </c>
      <c r="E1633" s="31"/>
      <c r="F1633" s="31" t="s">
        <v>1094</v>
      </c>
      <c r="G1633" s="27">
        <v>19400</v>
      </c>
      <c r="H1633" s="31" t="s">
        <v>63</v>
      </c>
      <c r="I1633" s="31" t="s">
        <v>1381</v>
      </c>
      <c r="J1633" s="26" t="s">
        <v>799</v>
      </c>
      <c r="K1633" s="27">
        <v>19400</v>
      </c>
      <c r="L1633" s="31" t="s">
        <v>769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1329</v>
      </c>
      <c r="D1634" s="31" t="s">
        <v>575</v>
      </c>
      <c r="E1634" s="31" t="s">
        <v>885</v>
      </c>
      <c r="F1634" s="31" t="s">
        <v>773</v>
      </c>
      <c r="G1634" s="27">
        <v>6750</v>
      </c>
      <c r="H1634" s="31" t="s">
        <v>63</v>
      </c>
      <c r="I1634" s="31" t="s">
        <v>1382</v>
      </c>
      <c r="J1634" s="26" t="s">
        <v>775</v>
      </c>
      <c r="K1634" s="27">
        <v>6750</v>
      </c>
      <c r="L1634" s="31" t="s">
        <v>769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1329</v>
      </c>
      <c r="D1635" s="31" t="s">
        <v>575</v>
      </c>
      <c r="E1635" s="31" t="s">
        <v>772</v>
      </c>
      <c r="F1635" s="31" t="s">
        <v>773</v>
      </c>
      <c r="G1635" s="27">
        <v>2180</v>
      </c>
      <c r="H1635" s="31" t="s">
        <v>63</v>
      </c>
      <c r="I1635" s="31" t="s">
        <v>1383</v>
      </c>
      <c r="J1635" s="26" t="s">
        <v>775</v>
      </c>
      <c r="K1635" s="27">
        <v>2180</v>
      </c>
      <c r="L1635" s="31" t="s">
        <v>769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1329</v>
      </c>
      <c r="D1636" s="31" t="s">
        <v>575</v>
      </c>
      <c r="E1636" s="31" t="s">
        <v>772</v>
      </c>
      <c r="F1636" s="31" t="s">
        <v>974</v>
      </c>
      <c r="G1636" s="27">
        <v>3500</v>
      </c>
      <c r="H1636" s="31" t="s">
        <v>63</v>
      </c>
      <c r="I1636" s="31"/>
      <c r="J1636" s="26" t="s">
        <v>775</v>
      </c>
      <c r="K1636" s="27">
        <v>3500</v>
      </c>
      <c r="L1636" s="31" t="s">
        <v>769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163</v>
      </c>
      <c r="D1637" s="31" t="s">
        <v>817</v>
      </c>
      <c r="E1637" s="31"/>
      <c r="F1637" s="31" t="s">
        <v>1296</v>
      </c>
      <c r="G1637" s="27">
        <v>520000</v>
      </c>
      <c r="H1637" s="31" t="s">
        <v>63</v>
      </c>
      <c r="I1637" s="31" t="s">
        <v>1384</v>
      </c>
      <c r="J1637" s="26" t="s">
        <v>799</v>
      </c>
      <c r="K1637" s="27">
        <v>520000</v>
      </c>
      <c r="L1637" s="31" t="s">
        <v>769</v>
      </c>
      <c r="M1637" s="31" t="s">
        <v>1385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196</v>
      </c>
      <c r="D1638" s="31" t="s">
        <v>22</v>
      </c>
      <c r="E1638" s="31"/>
      <c r="F1638" s="31" t="s">
        <v>1386</v>
      </c>
      <c r="G1638" s="27">
        <v>2120286</v>
      </c>
      <c r="H1638" s="31" t="s">
        <v>520</v>
      </c>
      <c r="I1638" s="31" t="s">
        <v>1387</v>
      </c>
      <c r="J1638" s="26" t="s">
        <v>820</v>
      </c>
      <c r="K1638" s="27">
        <v>2120286</v>
      </c>
      <c r="L1638" s="31" t="s">
        <v>769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852</v>
      </c>
      <c r="D1639" s="31" t="s">
        <v>575</v>
      </c>
      <c r="E1639" s="31" t="s">
        <v>792</v>
      </c>
      <c r="F1639" s="31" t="s">
        <v>853</v>
      </c>
      <c r="G1639" s="27">
        <v>29000</v>
      </c>
      <c r="H1639" s="31" t="s">
        <v>63</v>
      </c>
      <c r="I1639" s="31" t="s">
        <v>1388</v>
      </c>
      <c r="J1639" s="26" t="s">
        <v>775</v>
      </c>
      <c r="K1639" s="27">
        <v>29000</v>
      </c>
      <c r="L1639" s="31" t="s">
        <v>769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852</v>
      </c>
      <c r="D1640" s="31" t="s">
        <v>796</v>
      </c>
      <c r="E1640" s="31"/>
      <c r="F1640" s="31" t="s">
        <v>488</v>
      </c>
      <c r="G1640" s="27">
        <v>51820</v>
      </c>
      <c r="H1640" s="31" t="s">
        <v>63</v>
      </c>
      <c r="I1640" s="31" t="s">
        <v>1389</v>
      </c>
      <c r="J1640" s="26" t="s">
        <v>801</v>
      </c>
      <c r="K1640" s="27">
        <v>51820</v>
      </c>
      <c r="L1640" s="31" t="s">
        <v>769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1329</v>
      </c>
      <c r="D1641" s="31" t="s">
        <v>796</v>
      </c>
      <c r="E1641" s="31"/>
      <c r="F1641" s="31" t="s">
        <v>773</v>
      </c>
      <c r="G1641" s="27">
        <v>12000</v>
      </c>
      <c r="H1641" s="31" t="s">
        <v>63</v>
      </c>
      <c r="I1641" s="31" t="s">
        <v>1390</v>
      </c>
      <c r="J1641" s="26" t="s">
        <v>801</v>
      </c>
      <c r="K1641" s="27">
        <v>12000</v>
      </c>
      <c r="L1641" s="31" t="s">
        <v>769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1329</v>
      </c>
      <c r="D1642" s="31" t="s">
        <v>796</v>
      </c>
      <c r="E1642" s="31"/>
      <c r="F1642" s="31" t="s">
        <v>825</v>
      </c>
      <c r="G1642" s="27">
        <v>44900</v>
      </c>
      <c r="H1642" s="31" t="s">
        <v>63</v>
      </c>
      <c r="I1642" s="31" t="s">
        <v>1391</v>
      </c>
      <c r="J1642" s="26" t="s">
        <v>801</v>
      </c>
      <c r="K1642" s="27">
        <v>44900</v>
      </c>
      <c r="L1642" s="31" t="s">
        <v>769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1329</v>
      </c>
      <c r="D1643" s="31" t="s">
        <v>576</v>
      </c>
      <c r="E1643" s="31"/>
      <c r="F1643" s="31" t="s">
        <v>576</v>
      </c>
      <c r="G1643" s="27">
        <v>5000</v>
      </c>
      <c r="H1643" s="31" t="s">
        <v>63</v>
      </c>
      <c r="I1643" s="31"/>
      <c r="J1643" s="26" t="s">
        <v>778</v>
      </c>
      <c r="K1643" s="27">
        <v>5000</v>
      </c>
      <c r="L1643" s="31" t="s">
        <v>769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1329</v>
      </c>
      <c r="D1644" s="31" t="s">
        <v>796</v>
      </c>
      <c r="E1644" s="31"/>
      <c r="F1644" s="31" t="s">
        <v>1217</v>
      </c>
      <c r="G1644" s="27">
        <v>57700</v>
      </c>
      <c r="H1644" s="31" t="s">
        <v>63</v>
      </c>
      <c r="I1644" s="31" t="s">
        <v>1392</v>
      </c>
      <c r="J1644" s="26" t="s">
        <v>801</v>
      </c>
      <c r="K1644" s="27">
        <v>57700</v>
      </c>
      <c r="L1644" s="31" t="s">
        <v>769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803</v>
      </c>
      <c r="D1645" s="31" t="s">
        <v>66</v>
      </c>
      <c r="E1645" s="31"/>
      <c r="F1645" s="31" t="s">
        <v>66</v>
      </c>
      <c r="G1645" s="27">
        <v>2776050</v>
      </c>
      <c r="H1645" s="31" t="s">
        <v>520</v>
      </c>
      <c r="I1645" s="31"/>
      <c r="J1645" s="26" t="s">
        <v>66</v>
      </c>
      <c r="K1645" s="27">
        <v>2776050</v>
      </c>
      <c r="L1645" s="31" t="s">
        <v>769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766</v>
      </c>
      <c r="D1646" s="31" t="s">
        <v>485</v>
      </c>
      <c r="E1646" s="31"/>
      <c r="F1646" s="31" t="s">
        <v>917</v>
      </c>
      <c r="G1646" s="27">
        <v>7596</v>
      </c>
      <c r="H1646" s="31" t="s">
        <v>63</v>
      </c>
      <c r="I1646" s="31" t="s">
        <v>918</v>
      </c>
      <c r="J1646" s="26" t="s">
        <v>768</v>
      </c>
      <c r="K1646" s="27">
        <v>7596</v>
      </c>
      <c r="L1646" s="31" t="s">
        <v>769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142</v>
      </c>
      <c r="D1647" s="31" t="s">
        <v>811</v>
      </c>
      <c r="E1647" s="31"/>
      <c r="F1647" s="31" t="s">
        <v>825</v>
      </c>
      <c r="G1647" s="27">
        <v>387960</v>
      </c>
      <c r="H1647" s="31" t="s">
        <v>63</v>
      </c>
      <c r="I1647" s="31" t="s">
        <v>1393</v>
      </c>
      <c r="J1647" s="26" t="s">
        <v>801</v>
      </c>
      <c r="K1647" s="27">
        <v>387960</v>
      </c>
      <c r="L1647" s="31" t="s">
        <v>769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1329</v>
      </c>
      <c r="D1648" s="31" t="s">
        <v>796</v>
      </c>
      <c r="E1648" s="31"/>
      <c r="F1648" s="31" t="s">
        <v>1105</v>
      </c>
      <c r="G1648" s="27">
        <v>34650</v>
      </c>
      <c r="H1648" s="31" t="s">
        <v>63</v>
      </c>
      <c r="I1648" s="31" t="s">
        <v>1394</v>
      </c>
      <c r="J1648" s="26" t="s">
        <v>801</v>
      </c>
      <c r="K1648" s="27">
        <v>34650</v>
      </c>
      <c r="L1648" s="31" t="s">
        <v>769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1329</v>
      </c>
      <c r="D1649" s="31" t="s">
        <v>796</v>
      </c>
      <c r="E1649" s="31"/>
      <c r="F1649" s="31" t="s">
        <v>1105</v>
      </c>
      <c r="G1649" s="27">
        <v>17000</v>
      </c>
      <c r="H1649" s="31" t="s">
        <v>63</v>
      </c>
      <c r="I1649" s="31" t="s">
        <v>1395</v>
      </c>
      <c r="J1649" s="26" t="s">
        <v>801</v>
      </c>
      <c r="K1649" s="27">
        <v>17000</v>
      </c>
      <c r="L1649" s="31" t="s">
        <v>769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852</v>
      </c>
      <c r="D1650" s="31" t="s">
        <v>796</v>
      </c>
      <c r="E1650" s="31"/>
      <c r="F1650" s="31" t="s">
        <v>488</v>
      </c>
      <c r="G1650" s="27">
        <v>42010</v>
      </c>
      <c r="H1650" s="31" t="s">
        <v>63</v>
      </c>
      <c r="I1650" s="31" t="s">
        <v>1396</v>
      </c>
      <c r="J1650" s="26" t="s">
        <v>801</v>
      </c>
      <c r="K1650" s="27">
        <v>42010</v>
      </c>
      <c r="L1650" s="31" t="s">
        <v>769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852</v>
      </c>
      <c r="D1651" s="31" t="s">
        <v>796</v>
      </c>
      <c r="E1651" s="31"/>
      <c r="F1651" s="31" t="s">
        <v>488</v>
      </c>
      <c r="G1651" s="27">
        <v>14990</v>
      </c>
      <c r="H1651" s="31" t="s">
        <v>63</v>
      </c>
      <c r="I1651" s="31" t="s">
        <v>1396</v>
      </c>
      <c r="J1651" s="26" t="s">
        <v>801</v>
      </c>
      <c r="K1651" s="27">
        <v>14990</v>
      </c>
      <c r="L1651" s="31" t="s">
        <v>769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1329</v>
      </c>
      <c r="D1652" s="31" t="s">
        <v>575</v>
      </c>
      <c r="E1652" s="31" t="s">
        <v>904</v>
      </c>
      <c r="F1652" s="31" t="s">
        <v>1000</v>
      </c>
      <c r="G1652" s="27">
        <v>13900</v>
      </c>
      <c r="H1652" s="31" t="s">
        <v>63</v>
      </c>
      <c r="I1652" s="31"/>
      <c r="J1652" s="26" t="s">
        <v>775</v>
      </c>
      <c r="K1652" s="27">
        <v>13900</v>
      </c>
      <c r="L1652" s="31" t="s">
        <v>769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1329</v>
      </c>
      <c r="D1653" s="31" t="s">
        <v>575</v>
      </c>
      <c r="E1653" s="31" t="s">
        <v>772</v>
      </c>
      <c r="F1653" s="31" t="s">
        <v>974</v>
      </c>
      <c r="G1653" s="27">
        <v>3800</v>
      </c>
      <c r="H1653" s="31" t="s">
        <v>63</v>
      </c>
      <c r="I1653" s="31"/>
      <c r="J1653" s="26" t="s">
        <v>775</v>
      </c>
      <c r="K1653" s="27">
        <v>3800</v>
      </c>
      <c r="L1653" s="31" t="s">
        <v>769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196</v>
      </c>
      <c r="D1654" s="31" t="s">
        <v>817</v>
      </c>
      <c r="E1654" s="31"/>
      <c r="F1654" s="31" t="s">
        <v>850</v>
      </c>
      <c r="G1654" s="27">
        <v>-10150</v>
      </c>
      <c r="H1654" s="31" t="s">
        <v>63</v>
      </c>
      <c r="I1654" s="31" t="s">
        <v>1397</v>
      </c>
      <c r="J1654" s="26" t="s">
        <v>799</v>
      </c>
      <c r="K1654" s="27">
        <v>-10150</v>
      </c>
      <c r="L1654" s="31" t="s">
        <v>769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852</v>
      </c>
      <c r="D1655" s="31" t="s">
        <v>912</v>
      </c>
      <c r="E1655" s="31" t="s">
        <v>1190</v>
      </c>
      <c r="F1655" s="31" t="s">
        <v>853</v>
      </c>
      <c r="G1655" s="27">
        <v>48000</v>
      </c>
      <c r="H1655" s="31" t="s">
        <v>63</v>
      </c>
      <c r="I1655" s="31" t="s">
        <v>1398</v>
      </c>
      <c r="J1655" s="26" t="s">
        <v>783</v>
      </c>
      <c r="K1655" s="27">
        <v>48000</v>
      </c>
      <c r="L1655" s="31" t="s">
        <v>769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922</v>
      </c>
      <c r="D1656" s="31" t="s">
        <v>196</v>
      </c>
      <c r="E1656" s="31"/>
      <c r="F1656" s="31" t="s">
        <v>81</v>
      </c>
      <c r="G1656" s="27">
        <v>150000</v>
      </c>
      <c r="H1656" s="31" t="s">
        <v>804</v>
      </c>
      <c r="I1656" s="31"/>
      <c r="J1656" s="26" t="s">
        <v>805</v>
      </c>
      <c r="K1656" s="27">
        <v>150000</v>
      </c>
      <c r="L1656" s="31" t="s">
        <v>769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196</v>
      </c>
      <c r="D1657" s="31" t="s">
        <v>922</v>
      </c>
      <c r="E1657" s="31"/>
      <c r="F1657" s="31" t="s">
        <v>81</v>
      </c>
      <c r="G1657" s="27">
        <v>150000</v>
      </c>
      <c r="H1657" s="31" t="s">
        <v>807</v>
      </c>
      <c r="I1657" s="31"/>
      <c r="J1657" s="26" t="s">
        <v>829</v>
      </c>
      <c r="K1657" s="27">
        <v>150000</v>
      </c>
      <c r="L1657" s="31" t="s">
        <v>769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196</v>
      </c>
      <c r="D1658" s="31" t="s">
        <v>70</v>
      </c>
      <c r="E1658" s="31"/>
      <c r="F1658" s="31" t="s">
        <v>70</v>
      </c>
      <c r="G1658" s="27">
        <v>500000</v>
      </c>
      <c r="H1658" s="31" t="s">
        <v>520</v>
      </c>
      <c r="I1658" s="31" t="s">
        <v>1084</v>
      </c>
      <c r="J1658" s="26" t="s">
        <v>818</v>
      </c>
      <c r="K1658" s="27">
        <v>500000</v>
      </c>
      <c r="L1658" s="31" t="s">
        <v>769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1329</v>
      </c>
      <c r="D1659" s="31" t="s">
        <v>575</v>
      </c>
      <c r="E1659" s="31" t="s">
        <v>772</v>
      </c>
      <c r="F1659" s="31" t="s">
        <v>773</v>
      </c>
      <c r="G1659" s="27">
        <v>4600</v>
      </c>
      <c r="H1659" s="31" t="s">
        <v>63</v>
      </c>
      <c r="I1659" s="31"/>
      <c r="J1659" s="26" t="s">
        <v>775</v>
      </c>
      <c r="K1659" s="27">
        <v>4600</v>
      </c>
      <c r="L1659" s="31" t="s">
        <v>769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1329</v>
      </c>
      <c r="D1660" s="31" t="s">
        <v>575</v>
      </c>
      <c r="E1660" s="31" t="s">
        <v>885</v>
      </c>
      <c r="F1660" s="31" t="s">
        <v>773</v>
      </c>
      <c r="G1660" s="27">
        <v>10800</v>
      </c>
      <c r="H1660" s="31" t="s">
        <v>63</v>
      </c>
      <c r="I1660" s="31"/>
      <c r="J1660" s="26" t="s">
        <v>775</v>
      </c>
      <c r="K1660" s="27">
        <v>10800</v>
      </c>
      <c r="L1660" s="31" t="s">
        <v>769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1329</v>
      </c>
      <c r="D1661" s="31" t="s">
        <v>575</v>
      </c>
      <c r="E1661" s="31" t="s">
        <v>772</v>
      </c>
      <c r="F1661" s="31" t="s">
        <v>773</v>
      </c>
      <c r="G1661" s="27">
        <v>3600</v>
      </c>
      <c r="H1661" s="31" t="s">
        <v>63</v>
      </c>
      <c r="I1661" s="31"/>
      <c r="J1661" s="26" t="s">
        <v>775</v>
      </c>
      <c r="K1661" s="27">
        <v>3600</v>
      </c>
      <c r="L1661" s="31" t="s">
        <v>769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883</v>
      </c>
      <c r="D1662" s="31" t="s">
        <v>815</v>
      </c>
      <c r="E1662" s="31"/>
      <c r="F1662" s="31" t="s">
        <v>1399</v>
      </c>
      <c r="G1662" s="27">
        <v>100000</v>
      </c>
      <c r="H1662" s="31" t="s">
        <v>520</v>
      </c>
      <c r="I1662" s="31" t="s">
        <v>1400</v>
      </c>
      <c r="J1662" s="26" t="s">
        <v>818</v>
      </c>
      <c r="K1662" s="27">
        <v>100000</v>
      </c>
      <c r="L1662" s="31" t="s">
        <v>769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1279</v>
      </c>
      <c r="D1663" s="31" t="s">
        <v>821</v>
      </c>
      <c r="E1663" s="31"/>
      <c r="F1663" s="31" t="s">
        <v>858</v>
      </c>
      <c r="G1663" s="27">
        <v>150000</v>
      </c>
      <c r="H1663" s="31" t="s">
        <v>520</v>
      </c>
      <c r="I1663" s="31"/>
      <c r="J1663" s="26" t="s">
        <v>821</v>
      </c>
      <c r="K1663" s="27">
        <v>150000</v>
      </c>
      <c r="L1663" s="31" t="s">
        <v>769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1279</v>
      </c>
      <c r="D1664" s="31" t="s">
        <v>163</v>
      </c>
      <c r="E1664" s="31"/>
      <c r="F1664" s="31" t="s">
        <v>858</v>
      </c>
      <c r="G1664" s="27">
        <v>150000</v>
      </c>
      <c r="H1664" s="31" t="s">
        <v>804</v>
      </c>
      <c r="I1664" s="31"/>
      <c r="J1664" s="26" t="s">
        <v>805</v>
      </c>
      <c r="K1664" s="27">
        <v>150000</v>
      </c>
      <c r="L1664" s="31" t="s">
        <v>769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163</v>
      </c>
      <c r="D1665" s="31" t="s">
        <v>1279</v>
      </c>
      <c r="E1665" s="31"/>
      <c r="F1665" s="31" t="s">
        <v>858</v>
      </c>
      <c r="G1665" s="27">
        <v>150000</v>
      </c>
      <c r="H1665" s="31" t="s">
        <v>807</v>
      </c>
      <c r="I1665" s="31"/>
      <c r="J1665" s="26" t="s">
        <v>836</v>
      </c>
      <c r="K1665" s="27">
        <v>150000</v>
      </c>
      <c r="L1665" s="31" t="s">
        <v>769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766</v>
      </c>
      <c r="D1666" s="31" t="s">
        <v>796</v>
      </c>
      <c r="E1666" s="31"/>
      <c r="F1666" s="31" t="s">
        <v>1105</v>
      </c>
      <c r="G1666" s="27">
        <v>41000</v>
      </c>
      <c r="H1666" s="31" t="s">
        <v>63</v>
      </c>
      <c r="I1666" s="31" t="s">
        <v>1401</v>
      </c>
      <c r="J1666" s="26" t="s">
        <v>801</v>
      </c>
      <c r="K1666" s="27">
        <v>41000</v>
      </c>
      <c r="L1666" s="31" t="s">
        <v>769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852</v>
      </c>
      <c r="D1667" s="31" t="s">
        <v>796</v>
      </c>
      <c r="E1667" s="31"/>
      <c r="F1667" s="31" t="s">
        <v>488</v>
      </c>
      <c r="G1667" s="27">
        <v>9890</v>
      </c>
      <c r="H1667" s="31" t="s">
        <v>63</v>
      </c>
      <c r="I1667" s="31" t="s">
        <v>1402</v>
      </c>
      <c r="J1667" s="26" t="s">
        <v>801</v>
      </c>
      <c r="K1667" s="27">
        <v>9890</v>
      </c>
      <c r="L1667" s="31" t="s">
        <v>769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559</v>
      </c>
      <c r="D1668" s="31" t="s">
        <v>22</v>
      </c>
      <c r="E1668" s="31"/>
      <c r="F1668" s="31" t="s">
        <v>927</v>
      </c>
      <c r="G1668" s="27">
        <v>919</v>
      </c>
      <c r="H1668" s="31" t="s">
        <v>520</v>
      </c>
      <c r="I1668" s="31"/>
      <c r="J1668" s="26" t="s">
        <v>824</v>
      </c>
      <c r="K1668" s="27">
        <v>919</v>
      </c>
      <c r="L1668" s="31" t="s">
        <v>769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766</v>
      </c>
      <c r="D1669" s="31" t="s">
        <v>843</v>
      </c>
      <c r="E1669" s="31"/>
      <c r="F1669" s="31" t="s">
        <v>1403</v>
      </c>
      <c r="G1669" s="27">
        <v>11500</v>
      </c>
      <c r="H1669" s="31" t="s">
        <v>63</v>
      </c>
      <c r="I1669" s="31" t="s">
        <v>1050</v>
      </c>
      <c r="J1669" s="26" t="s">
        <v>775</v>
      </c>
      <c r="K1669" s="27">
        <v>11500</v>
      </c>
      <c r="L1669" s="31" t="s">
        <v>769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766</v>
      </c>
      <c r="D1670" s="31" t="s">
        <v>796</v>
      </c>
      <c r="E1670" s="31"/>
      <c r="F1670" s="31" t="s">
        <v>1404</v>
      </c>
      <c r="G1670" s="27">
        <v>22400</v>
      </c>
      <c r="H1670" s="31" t="s">
        <v>63</v>
      </c>
      <c r="I1670" s="31"/>
      <c r="J1670" s="26" t="s">
        <v>801</v>
      </c>
      <c r="K1670" s="27">
        <v>22400</v>
      </c>
      <c r="L1670" s="31" t="s">
        <v>769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1279</v>
      </c>
      <c r="D1671" s="31" t="s">
        <v>912</v>
      </c>
      <c r="E1671" s="31" t="s">
        <v>1190</v>
      </c>
      <c r="F1671" s="31" t="s">
        <v>841</v>
      </c>
      <c r="G1671" s="27">
        <v>11600</v>
      </c>
      <c r="H1671" s="31" t="s">
        <v>63</v>
      </c>
      <c r="I1671" s="31" t="s">
        <v>1405</v>
      </c>
      <c r="J1671" s="26" t="s">
        <v>783</v>
      </c>
      <c r="K1671" s="27">
        <v>5800</v>
      </c>
      <c r="L1671" s="31" t="s">
        <v>199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1279</v>
      </c>
      <c r="D1672" s="31" t="s">
        <v>912</v>
      </c>
      <c r="E1672" s="31" t="s">
        <v>1190</v>
      </c>
      <c r="F1672" s="31" t="s">
        <v>1404</v>
      </c>
      <c r="G1672" s="27">
        <v>35600</v>
      </c>
      <c r="H1672" s="31" t="s">
        <v>63</v>
      </c>
      <c r="I1672" s="31" t="s">
        <v>1406</v>
      </c>
      <c r="J1672" s="26" t="s">
        <v>783</v>
      </c>
      <c r="K1672" s="27">
        <v>17800</v>
      </c>
      <c r="L1672" s="31" t="s">
        <v>199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1279</v>
      </c>
      <c r="D1673" s="31" t="s">
        <v>912</v>
      </c>
      <c r="E1673" s="31" t="s">
        <v>1190</v>
      </c>
      <c r="F1673" s="31" t="s">
        <v>1404</v>
      </c>
      <c r="G1673" s="27">
        <v>3600</v>
      </c>
      <c r="H1673" s="31" t="s">
        <v>63</v>
      </c>
      <c r="I1673" s="31" t="s">
        <v>1407</v>
      </c>
      <c r="J1673" s="26" t="s">
        <v>783</v>
      </c>
      <c r="K1673" s="27">
        <v>1800</v>
      </c>
      <c r="L1673" s="31" t="s">
        <v>199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1279</v>
      </c>
      <c r="D1674" s="31" t="s">
        <v>22</v>
      </c>
      <c r="E1674" s="31"/>
      <c r="F1674" s="31" t="s">
        <v>1311</v>
      </c>
      <c r="G1674" s="27">
        <v>100</v>
      </c>
      <c r="H1674" s="31" t="s">
        <v>520</v>
      </c>
      <c r="I1674" s="31"/>
      <c r="J1674" s="26" t="s">
        <v>824</v>
      </c>
      <c r="K1674" s="27">
        <v>100</v>
      </c>
      <c r="L1674" s="31" t="s">
        <v>769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766</v>
      </c>
      <c r="D1675" s="31" t="s">
        <v>942</v>
      </c>
      <c r="E1675" s="31"/>
      <c r="F1675" s="31" t="s">
        <v>1094</v>
      </c>
      <c r="G1675" s="27">
        <v>25800</v>
      </c>
      <c r="H1675" s="31" t="s">
        <v>63</v>
      </c>
      <c r="I1675" s="31" t="s">
        <v>1408</v>
      </c>
      <c r="J1675" s="26" t="s">
        <v>775</v>
      </c>
      <c r="K1675" s="27">
        <v>25800</v>
      </c>
      <c r="L1675" s="31" t="s">
        <v>769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766</v>
      </c>
      <c r="D1676" s="31" t="s">
        <v>576</v>
      </c>
      <c r="E1676" s="31"/>
      <c r="F1676" s="31" t="s">
        <v>576</v>
      </c>
      <c r="G1676" s="27">
        <v>4500</v>
      </c>
      <c r="H1676" s="31" t="s">
        <v>63</v>
      </c>
      <c r="I1676" s="31"/>
      <c r="J1676" s="26" t="s">
        <v>778</v>
      </c>
      <c r="K1676" s="27">
        <v>4500</v>
      </c>
      <c r="L1676" s="31" t="s">
        <v>769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766</v>
      </c>
      <c r="D1677" s="31" t="s">
        <v>575</v>
      </c>
      <c r="E1677" s="31" t="s">
        <v>885</v>
      </c>
      <c r="F1677" s="31" t="s">
        <v>773</v>
      </c>
      <c r="G1677" s="27">
        <v>5100</v>
      </c>
      <c r="H1677" s="31" t="s">
        <v>63</v>
      </c>
      <c r="I1677" s="31" t="s">
        <v>1409</v>
      </c>
      <c r="J1677" s="26" t="s">
        <v>775</v>
      </c>
      <c r="K1677" s="27">
        <v>5100</v>
      </c>
      <c r="L1677" s="31" t="s">
        <v>769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766</v>
      </c>
      <c r="D1678" s="31" t="s">
        <v>796</v>
      </c>
      <c r="E1678" s="31"/>
      <c r="F1678" s="31" t="s">
        <v>825</v>
      </c>
      <c r="G1678" s="27">
        <v>244020</v>
      </c>
      <c r="H1678" s="31" t="s">
        <v>63</v>
      </c>
      <c r="I1678" s="31" t="s">
        <v>1410</v>
      </c>
      <c r="J1678" s="26" t="s">
        <v>801</v>
      </c>
      <c r="K1678" s="27">
        <v>244020</v>
      </c>
      <c r="L1678" s="31" t="s">
        <v>769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766</v>
      </c>
      <c r="D1679" s="31" t="s">
        <v>796</v>
      </c>
      <c r="E1679" s="31"/>
      <c r="F1679" s="31" t="s">
        <v>1217</v>
      </c>
      <c r="G1679" s="27">
        <v>170100</v>
      </c>
      <c r="H1679" s="31" t="s">
        <v>63</v>
      </c>
      <c r="I1679" s="31" t="s">
        <v>1411</v>
      </c>
      <c r="J1679" s="26" t="s">
        <v>801</v>
      </c>
      <c r="K1679" s="27">
        <v>170100</v>
      </c>
      <c r="L1679" s="31" t="s">
        <v>769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924</v>
      </c>
      <c r="D1680" s="31" t="s">
        <v>22</v>
      </c>
      <c r="E1680" s="31"/>
      <c r="F1680" s="31" t="s">
        <v>950</v>
      </c>
      <c r="G1680" s="27">
        <v>7918</v>
      </c>
      <c r="H1680" s="31" t="s">
        <v>63</v>
      </c>
      <c r="I1680" s="31"/>
      <c r="J1680" s="26" t="s">
        <v>768</v>
      </c>
      <c r="K1680" s="27">
        <v>7918</v>
      </c>
      <c r="L1680" s="31" t="s">
        <v>769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766</v>
      </c>
      <c r="D1681" s="31" t="s">
        <v>485</v>
      </c>
      <c r="E1681" s="31"/>
      <c r="F1681" s="31" t="s">
        <v>926</v>
      </c>
      <c r="G1681" s="27">
        <v>4890</v>
      </c>
      <c r="H1681" s="31" t="s">
        <v>63</v>
      </c>
      <c r="I1681" s="31"/>
      <c r="J1681" s="26" t="s">
        <v>768</v>
      </c>
      <c r="K1681" s="27">
        <v>4890</v>
      </c>
      <c r="L1681" s="31" t="s">
        <v>769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766</v>
      </c>
      <c r="D1682" s="31" t="s">
        <v>575</v>
      </c>
      <c r="E1682" s="31" t="s">
        <v>772</v>
      </c>
      <c r="F1682" s="31" t="s">
        <v>974</v>
      </c>
      <c r="G1682" s="27">
        <v>3800</v>
      </c>
      <c r="H1682" s="31" t="s">
        <v>63</v>
      </c>
      <c r="I1682" s="31"/>
      <c r="J1682" s="26" t="s">
        <v>775</v>
      </c>
      <c r="K1682" s="27">
        <v>3800</v>
      </c>
      <c r="L1682" s="31" t="s">
        <v>769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766</v>
      </c>
      <c r="D1683" s="31" t="s">
        <v>796</v>
      </c>
      <c r="E1683" s="31"/>
      <c r="F1683" s="31" t="s">
        <v>1217</v>
      </c>
      <c r="G1683" s="27">
        <v>208000</v>
      </c>
      <c r="H1683" s="31" t="s">
        <v>63</v>
      </c>
      <c r="I1683" s="31" t="s">
        <v>1412</v>
      </c>
      <c r="J1683" s="26" t="s">
        <v>801</v>
      </c>
      <c r="K1683" s="27">
        <v>208000</v>
      </c>
      <c r="L1683" s="31" t="s">
        <v>769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527</v>
      </c>
      <c r="D1684" s="31" t="s">
        <v>196</v>
      </c>
      <c r="E1684" s="31"/>
      <c r="F1684" s="31" t="s">
        <v>81</v>
      </c>
      <c r="G1684" s="27">
        <v>20000</v>
      </c>
      <c r="H1684" s="31" t="s">
        <v>804</v>
      </c>
      <c r="I1684" s="31"/>
      <c r="J1684" s="26" t="s">
        <v>805</v>
      </c>
      <c r="K1684" s="27">
        <v>20000</v>
      </c>
      <c r="L1684" s="31" t="s">
        <v>769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196</v>
      </c>
      <c r="D1685" s="31" t="s">
        <v>527</v>
      </c>
      <c r="E1685" s="31"/>
      <c r="F1685" s="31" t="s">
        <v>81</v>
      </c>
      <c r="G1685" s="27">
        <v>20000</v>
      </c>
      <c r="H1685" s="31" t="s">
        <v>807</v>
      </c>
      <c r="I1685" s="31"/>
      <c r="J1685" s="26" t="s">
        <v>830</v>
      </c>
      <c r="K1685" s="27">
        <v>20000</v>
      </c>
      <c r="L1685" s="31" t="s">
        <v>769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196</v>
      </c>
      <c r="D1686" s="31" t="s">
        <v>559</v>
      </c>
      <c r="E1686" s="31"/>
      <c r="F1686" s="31" t="s">
        <v>81</v>
      </c>
      <c r="G1686" s="27">
        <v>20000</v>
      </c>
      <c r="H1686" s="31" t="s">
        <v>807</v>
      </c>
      <c r="I1686" s="31"/>
      <c r="J1686" s="26" t="s">
        <v>839</v>
      </c>
      <c r="K1686" s="27">
        <v>20000</v>
      </c>
      <c r="L1686" s="31" t="s">
        <v>769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559</v>
      </c>
      <c r="D1687" s="31" t="s">
        <v>196</v>
      </c>
      <c r="E1687" s="31"/>
      <c r="F1687" s="31" t="s">
        <v>81</v>
      </c>
      <c r="G1687" s="27">
        <v>20000</v>
      </c>
      <c r="H1687" s="31" t="s">
        <v>804</v>
      </c>
      <c r="I1687" s="31"/>
      <c r="J1687" s="26" t="s">
        <v>805</v>
      </c>
      <c r="K1687" s="27">
        <v>20000</v>
      </c>
      <c r="L1687" s="31" t="s">
        <v>769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175</v>
      </c>
      <c r="D1688" s="31" t="s">
        <v>196</v>
      </c>
      <c r="E1688" s="31"/>
      <c r="F1688" s="31" t="s">
        <v>81</v>
      </c>
      <c r="G1688" s="27">
        <v>2999903</v>
      </c>
      <c r="H1688" s="31" t="s">
        <v>804</v>
      </c>
      <c r="I1688" s="31" t="s">
        <v>1413</v>
      </c>
      <c r="J1688" s="26" t="s">
        <v>805</v>
      </c>
      <c r="K1688" s="27">
        <v>2999903</v>
      </c>
      <c r="L1688" s="31" t="s">
        <v>769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196</v>
      </c>
      <c r="D1689" s="31" t="s">
        <v>175</v>
      </c>
      <c r="E1689" s="31"/>
      <c r="F1689" s="31" t="s">
        <v>81</v>
      </c>
      <c r="G1689" s="27">
        <v>2999903</v>
      </c>
      <c r="H1689" s="31" t="s">
        <v>807</v>
      </c>
      <c r="I1689" s="31" t="s">
        <v>1413</v>
      </c>
      <c r="J1689" s="26" t="s">
        <v>846</v>
      </c>
      <c r="K1689" s="27">
        <v>2999903</v>
      </c>
      <c r="L1689" s="31" t="s">
        <v>769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196</v>
      </c>
      <c r="D1690" s="31" t="s">
        <v>193</v>
      </c>
      <c r="E1690" s="31"/>
      <c r="F1690" s="31" t="s">
        <v>81</v>
      </c>
      <c r="G1690" s="27">
        <v>2998299</v>
      </c>
      <c r="H1690" s="31" t="s">
        <v>807</v>
      </c>
      <c r="I1690" s="31" t="s">
        <v>1413</v>
      </c>
      <c r="J1690" s="26" t="s">
        <v>846</v>
      </c>
      <c r="K1690" s="27">
        <v>2998299</v>
      </c>
      <c r="L1690" s="31" t="s">
        <v>769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193</v>
      </c>
      <c r="D1691" s="31" t="s">
        <v>196</v>
      </c>
      <c r="E1691" s="31"/>
      <c r="F1691" s="31" t="s">
        <v>81</v>
      </c>
      <c r="G1691" s="27">
        <v>2998299</v>
      </c>
      <c r="H1691" s="31" t="s">
        <v>804</v>
      </c>
      <c r="I1691" s="31" t="s">
        <v>1413</v>
      </c>
      <c r="J1691" s="26" t="s">
        <v>805</v>
      </c>
      <c r="K1691" s="27">
        <v>2998299</v>
      </c>
      <c r="L1691" s="31" t="s">
        <v>769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196</v>
      </c>
      <c r="D1692" s="31" t="s">
        <v>924</v>
      </c>
      <c r="E1692" s="31"/>
      <c r="F1692" s="31" t="s">
        <v>81</v>
      </c>
      <c r="G1692" s="27">
        <v>1778425</v>
      </c>
      <c r="H1692" s="31" t="s">
        <v>807</v>
      </c>
      <c r="I1692" s="31" t="s">
        <v>1413</v>
      </c>
      <c r="J1692" s="26" t="s">
        <v>846</v>
      </c>
      <c r="K1692" s="27">
        <v>1778425</v>
      </c>
      <c r="L1692" s="31" t="s">
        <v>769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924</v>
      </c>
      <c r="D1693" s="31" t="s">
        <v>196</v>
      </c>
      <c r="E1693" s="31"/>
      <c r="F1693" s="31" t="s">
        <v>81</v>
      </c>
      <c r="G1693" s="27">
        <v>1778425</v>
      </c>
      <c r="H1693" s="31" t="s">
        <v>804</v>
      </c>
      <c r="I1693" s="31" t="s">
        <v>1413</v>
      </c>
      <c r="J1693" s="26" t="s">
        <v>805</v>
      </c>
      <c r="K1693" s="27">
        <v>1778425</v>
      </c>
      <c r="L1693" s="31" t="s">
        <v>769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816</v>
      </c>
      <c r="D1694" s="31" t="s">
        <v>163</v>
      </c>
      <c r="E1694" s="31"/>
      <c r="F1694" s="31" t="s">
        <v>81</v>
      </c>
      <c r="G1694" s="27">
        <v>7140</v>
      </c>
      <c r="H1694" s="31" t="s">
        <v>807</v>
      </c>
      <c r="I1694" s="31"/>
      <c r="J1694" s="26" t="s">
        <v>805</v>
      </c>
      <c r="K1694" s="27">
        <v>7140</v>
      </c>
      <c r="L1694" s="31" t="s">
        <v>769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163</v>
      </c>
      <c r="D1695" s="31" t="s">
        <v>816</v>
      </c>
      <c r="E1695" s="31"/>
      <c r="F1695" s="31" t="s">
        <v>81</v>
      </c>
      <c r="G1695" s="27">
        <v>7140</v>
      </c>
      <c r="H1695" s="31" t="s">
        <v>804</v>
      </c>
      <c r="I1695" s="31"/>
      <c r="J1695" s="26" t="s">
        <v>805</v>
      </c>
      <c r="K1695" s="27">
        <v>7140</v>
      </c>
      <c r="L1695" s="31" t="s">
        <v>769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196</v>
      </c>
      <c r="D1696" s="31" t="s">
        <v>163</v>
      </c>
      <c r="E1696" s="31"/>
      <c r="F1696" s="31" t="s">
        <v>81</v>
      </c>
      <c r="G1696" s="27">
        <v>5114881</v>
      </c>
      <c r="H1696" s="31" t="s">
        <v>807</v>
      </c>
      <c r="I1696" s="31"/>
      <c r="J1696" s="26" t="s">
        <v>805</v>
      </c>
      <c r="K1696" s="27">
        <v>5114881</v>
      </c>
      <c r="L1696" s="31" t="s">
        <v>769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163</v>
      </c>
      <c r="D1697" s="31" t="s">
        <v>196</v>
      </c>
      <c r="E1697" s="31"/>
      <c r="F1697" s="31" t="s">
        <v>81</v>
      </c>
      <c r="G1697" s="27">
        <v>5114881</v>
      </c>
      <c r="H1697" s="31" t="s">
        <v>804</v>
      </c>
      <c r="I1697" s="31"/>
      <c r="J1697" s="26" t="s">
        <v>805</v>
      </c>
      <c r="K1697" s="27">
        <v>5114881</v>
      </c>
      <c r="L1697" s="31" t="s">
        <v>769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803</v>
      </c>
      <c r="D1698" s="31" t="s">
        <v>163</v>
      </c>
      <c r="E1698" s="31"/>
      <c r="F1698" s="31" t="s">
        <v>81</v>
      </c>
      <c r="G1698" s="27">
        <v>2776050</v>
      </c>
      <c r="H1698" s="31" t="s">
        <v>807</v>
      </c>
      <c r="I1698" s="31"/>
      <c r="J1698" s="26" t="s">
        <v>805</v>
      </c>
      <c r="K1698" s="27">
        <v>2776050</v>
      </c>
      <c r="L1698" s="31" t="s">
        <v>769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163</v>
      </c>
      <c r="D1699" s="31" t="s">
        <v>803</v>
      </c>
      <c r="E1699" s="31"/>
      <c r="F1699" s="31" t="s">
        <v>81</v>
      </c>
      <c r="G1699" s="27">
        <v>2776050</v>
      </c>
      <c r="H1699" s="31" t="s">
        <v>804</v>
      </c>
      <c r="I1699" s="31"/>
      <c r="J1699" s="26" t="s">
        <v>805</v>
      </c>
      <c r="K1699" s="27">
        <v>2776050</v>
      </c>
      <c r="L1699" s="31" t="s">
        <v>769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163</v>
      </c>
      <c r="D1700" s="31" t="s">
        <v>22</v>
      </c>
      <c r="E1700" s="31"/>
      <c r="F1700" s="31" t="s">
        <v>188</v>
      </c>
      <c r="G1700" s="27">
        <v>2202</v>
      </c>
      <c r="H1700" s="31" t="s">
        <v>520</v>
      </c>
      <c r="I1700" s="31"/>
      <c r="J1700" s="26" t="s">
        <v>824</v>
      </c>
      <c r="K1700" s="27">
        <v>2202</v>
      </c>
      <c r="L1700" s="31" t="s">
        <v>769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163</v>
      </c>
      <c r="D1701" s="31" t="s">
        <v>883</v>
      </c>
      <c r="E1701" s="31"/>
      <c r="F1701" s="31" t="s">
        <v>81</v>
      </c>
      <c r="G1701" s="27">
        <v>100000</v>
      </c>
      <c r="H1701" s="31" t="s">
        <v>804</v>
      </c>
      <c r="I1701" s="31"/>
      <c r="J1701" s="26" t="s">
        <v>805</v>
      </c>
      <c r="K1701" s="27">
        <v>100000</v>
      </c>
      <c r="L1701" s="31" t="s">
        <v>769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883</v>
      </c>
      <c r="D1702" s="31" t="s">
        <v>163</v>
      </c>
      <c r="E1702" s="31"/>
      <c r="F1702" s="31" t="s">
        <v>81</v>
      </c>
      <c r="G1702" s="27">
        <v>100000</v>
      </c>
      <c r="H1702" s="31" t="s">
        <v>807</v>
      </c>
      <c r="I1702" s="31"/>
      <c r="J1702" s="26" t="s">
        <v>805</v>
      </c>
      <c r="K1702" s="27">
        <v>100000</v>
      </c>
      <c r="L1702" s="31" t="s">
        <v>769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163</v>
      </c>
      <c r="D1703" s="31" t="s">
        <v>1006</v>
      </c>
      <c r="E1703" s="31"/>
      <c r="F1703" s="31" t="s">
        <v>81</v>
      </c>
      <c r="G1703" s="27">
        <v>60000</v>
      </c>
      <c r="H1703" s="31" t="s">
        <v>807</v>
      </c>
      <c r="I1703" s="31"/>
      <c r="J1703" s="26" t="s">
        <v>833</v>
      </c>
      <c r="K1703" s="27">
        <v>60000</v>
      </c>
      <c r="L1703" s="31" t="s">
        <v>769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1006</v>
      </c>
      <c r="D1704" s="31" t="s">
        <v>163</v>
      </c>
      <c r="E1704" s="31"/>
      <c r="F1704" s="31" t="s">
        <v>81</v>
      </c>
      <c r="G1704" s="27">
        <v>60000</v>
      </c>
      <c r="H1704" s="31" t="s">
        <v>804</v>
      </c>
      <c r="I1704" s="31"/>
      <c r="J1704" s="26" t="s">
        <v>805</v>
      </c>
      <c r="K1704" s="27">
        <v>60000</v>
      </c>
      <c r="L1704" s="31" t="s">
        <v>769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163</v>
      </c>
      <c r="D1705" s="31" t="s">
        <v>1005</v>
      </c>
      <c r="E1705" s="31"/>
      <c r="F1705" s="31" t="s">
        <v>81</v>
      </c>
      <c r="G1705" s="27">
        <v>60000</v>
      </c>
      <c r="H1705" s="31" t="s">
        <v>807</v>
      </c>
      <c r="I1705" s="31"/>
      <c r="J1705" s="26" t="s">
        <v>833</v>
      </c>
      <c r="K1705" s="27">
        <v>60000</v>
      </c>
      <c r="L1705" s="31" t="s">
        <v>769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1005</v>
      </c>
      <c r="D1706" s="31" t="s">
        <v>163</v>
      </c>
      <c r="E1706" s="31"/>
      <c r="F1706" s="31" t="s">
        <v>81</v>
      </c>
      <c r="G1706" s="27">
        <v>60000</v>
      </c>
      <c r="H1706" s="31" t="s">
        <v>804</v>
      </c>
      <c r="I1706" s="31"/>
      <c r="J1706" s="26" t="s">
        <v>805</v>
      </c>
      <c r="K1706" s="27">
        <v>60000</v>
      </c>
      <c r="L1706" s="31" t="s">
        <v>769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1006</v>
      </c>
      <c r="D1707" s="31" t="s">
        <v>806</v>
      </c>
      <c r="E1707" s="31"/>
      <c r="F1707" s="31" t="s">
        <v>1036</v>
      </c>
      <c r="G1707" s="27">
        <v>50739</v>
      </c>
      <c r="H1707" s="31" t="s">
        <v>63</v>
      </c>
      <c r="I1707" s="31" t="s">
        <v>1051</v>
      </c>
      <c r="J1707" s="26" t="s">
        <v>806</v>
      </c>
      <c r="K1707" s="27">
        <v>50739</v>
      </c>
      <c r="L1707" s="31" t="s">
        <v>769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1005</v>
      </c>
      <c r="D1708" s="31" t="s">
        <v>806</v>
      </c>
      <c r="E1708" s="31"/>
      <c r="F1708" s="31" t="s">
        <v>1036</v>
      </c>
      <c r="G1708" s="27">
        <v>52974</v>
      </c>
      <c r="H1708" s="31" t="s">
        <v>63</v>
      </c>
      <c r="I1708" s="31" t="s">
        <v>1051</v>
      </c>
      <c r="J1708" s="26" t="s">
        <v>806</v>
      </c>
      <c r="K1708" s="27">
        <v>52974</v>
      </c>
      <c r="L1708" s="31" t="s">
        <v>769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175</v>
      </c>
      <c r="D1709" s="31" t="s">
        <v>163</v>
      </c>
      <c r="E1709" s="31"/>
      <c r="F1709" s="31" t="s">
        <v>81</v>
      </c>
      <c r="G1709" s="27">
        <v>18000</v>
      </c>
      <c r="H1709" s="31" t="s">
        <v>804</v>
      </c>
      <c r="I1709" s="31"/>
      <c r="J1709" s="26" t="s">
        <v>805</v>
      </c>
      <c r="K1709" s="27">
        <v>18000</v>
      </c>
      <c r="L1709" s="31" t="s">
        <v>769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163</v>
      </c>
      <c r="D1710" s="31" t="s">
        <v>175</v>
      </c>
      <c r="E1710" s="31"/>
      <c r="F1710" s="31" t="s">
        <v>81</v>
      </c>
      <c r="G1710" s="27">
        <v>18000</v>
      </c>
      <c r="H1710" s="31" t="s">
        <v>807</v>
      </c>
      <c r="I1710" s="31"/>
      <c r="J1710" s="26" t="s">
        <v>805</v>
      </c>
      <c r="K1710" s="27">
        <v>18000</v>
      </c>
      <c r="L1710" s="31" t="s">
        <v>769</v>
      </c>
      <c r="M1710" s="31" t="s">
        <v>1414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193</v>
      </c>
      <c r="D1711" s="31" t="s">
        <v>163</v>
      </c>
      <c r="E1711" s="31"/>
      <c r="F1711" s="31" t="s">
        <v>81</v>
      </c>
      <c r="G1711" s="27">
        <v>18000</v>
      </c>
      <c r="H1711" s="31" t="s">
        <v>804</v>
      </c>
      <c r="I1711" s="31"/>
      <c r="J1711" s="26" t="s">
        <v>805</v>
      </c>
      <c r="K1711" s="27">
        <v>18000</v>
      </c>
      <c r="L1711" s="31" t="s">
        <v>769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163</v>
      </c>
      <c r="D1712" s="31" t="s">
        <v>193</v>
      </c>
      <c r="E1712" s="31"/>
      <c r="F1712" s="31" t="s">
        <v>81</v>
      </c>
      <c r="G1712" s="27">
        <v>18000</v>
      </c>
      <c r="H1712" s="31" t="s">
        <v>807</v>
      </c>
      <c r="I1712" s="31"/>
      <c r="J1712" s="26" t="s">
        <v>805</v>
      </c>
      <c r="K1712" s="27">
        <v>18000</v>
      </c>
      <c r="L1712" s="31" t="s">
        <v>769</v>
      </c>
      <c r="M1712" s="31" t="s">
        <v>1414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175</v>
      </c>
      <c r="D1713" s="31" t="s">
        <v>22</v>
      </c>
      <c r="E1713" s="31"/>
      <c r="F1713" s="31" t="s">
        <v>934</v>
      </c>
      <c r="G1713" s="27">
        <v>1</v>
      </c>
      <c r="H1713" s="31" t="s">
        <v>520</v>
      </c>
      <c r="I1713" s="31"/>
      <c r="J1713" s="26" t="s">
        <v>824</v>
      </c>
      <c r="K1713" s="27">
        <v>1</v>
      </c>
      <c r="L1713" s="31" t="s">
        <v>769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175</v>
      </c>
      <c r="D1714" s="31" t="s">
        <v>817</v>
      </c>
      <c r="E1714" s="31"/>
      <c r="F1714" s="31" t="s">
        <v>1415</v>
      </c>
      <c r="G1714" s="27">
        <v>10000</v>
      </c>
      <c r="H1714" s="31" t="s">
        <v>63</v>
      </c>
      <c r="I1714" s="31" t="s">
        <v>1416</v>
      </c>
      <c r="J1714" s="26" t="s">
        <v>768</v>
      </c>
      <c r="K1714" s="27">
        <v>10000</v>
      </c>
      <c r="L1714" s="31" t="s">
        <v>769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163</v>
      </c>
      <c r="D1715" s="31" t="s">
        <v>175</v>
      </c>
      <c r="E1715" s="31"/>
      <c r="F1715" s="31" t="s">
        <v>81</v>
      </c>
      <c r="G1715" s="27">
        <v>10000</v>
      </c>
      <c r="H1715" s="31" t="s">
        <v>807</v>
      </c>
      <c r="I1715" s="31"/>
      <c r="J1715" s="26" t="s">
        <v>805</v>
      </c>
      <c r="K1715" s="27">
        <v>10000</v>
      </c>
      <c r="L1715" s="31" t="s">
        <v>769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175</v>
      </c>
      <c r="D1716" s="31" t="s">
        <v>163</v>
      </c>
      <c r="E1716" s="31"/>
      <c r="F1716" s="31" t="s">
        <v>81</v>
      </c>
      <c r="G1716" s="27">
        <v>10000</v>
      </c>
      <c r="H1716" s="31" t="s">
        <v>804</v>
      </c>
      <c r="I1716" s="31"/>
      <c r="J1716" s="26" t="s">
        <v>805</v>
      </c>
      <c r="K1716" s="27">
        <v>10000</v>
      </c>
      <c r="L1716" s="31" t="s">
        <v>769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1329</v>
      </c>
      <c r="D1717" s="31" t="s">
        <v>575</v>
      </c>
      <c r="E1717" s="31" t="s">
        <v>885</v>
      </c>
      <c r="F1717" s="31" t="s">
        <v>773</v>
      </c>
      <c r="G1717" s="27">
        <v>11600</v>
      </c>
      <c r="H1717" s="31" t="s">
        <v>63</v>
      </c>
      <c r="I1717" s="31" t="s">
        <v>992</v>
      </c>
      <c r="J1717" s="26" t="s">
        <v>775</v>
      </c>
      <c r="K1717" s="27">
        <v>11600</v>
      </c>
      <c r="L1717" s="31" t="s">
        <v>769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193</v>
      </c>
      <c r="D1718" s="31" t="s">
        <v>22</v>
      </c>
      <c r="E1718" s="31"/>
      <c r="F1718" s="31" t="s">
        <v>927</v>
      </c>
      <c r="G1718" s="27">
        <v>17952</v>
      </c>
      <c r="H1718" s="31" t="s">
        <v>63</v>
      </c>
      <c r="I1718" s="31"/>
      <c r="J1718" s="26" t="s">
        <v>768</v>
      </c>
      <c r="K1718" s="27">
        <v>17952</v>
      </c>
      <c r="L1718" s="31" t="s">
        <v>769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163</v>
      </c>
      <c r="D1719" s="31" t="s">
        <v>193</v>
      </c>
      <c r="E1719" s="31"/>
      <c r="F1719" s="31" t="s">
        <v>81</v>
      </c>
      <c r="G1719" s="27">
        <v>48</v>
      </c>
      <c r="H1719" s="31" t="s">
        <v>804</v>
      </c>
      <c r="I1719" s="31"/>
      <c r="J1719" s="26" t="s">
        <v>805</v>
      </c>
      <c r="K1719" s="27">
        <v>48</v>
      </c>
      <c r="L1719" s="31" t="s">
        <v>769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193</v>
      </c>
      <c r="D1720" s="31" t="s">
        <v>163</v>
      </c>
      <c r="E1720" s="31"/>
      <c r="F1720" s="31" t="s">
        <v>81</v>
      </c>
      <c r="G1720" s="27">
        <v>48</v>
      </c>
      <c r="H1720" s="31" t="s">
        <v>807</v>
      </c>
      <c r="I1720" s="31"/>
      <c r="J1720" s="26" t="s">
        <v>805</v>
      </c>
      <c r="K1720" s="27">
        <v>48</v>
      </c>
      <c r="L1720" s="31" t="s">
        <v>769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1329</v>
      </c>
      <c r="D1721" s="31" t="s">
        <v>575</v>
      </c>
      <c r="E1721" s="31" t="s">
        <v>772</v>
      </c>
      <c r="F1721" s="31" t="s">
        <v>814</v>
      </c>
      <c r="G1721" s="27">
        <v>300</v>
      </c>
      <c r="H1721" s="31" t="s">
        <v>63</v>
      </c>
      <c r="I1721" s="31"/>
      <c r="J1721" s="26" t="s">
        <v>775</v>
      </c>
      <c r="K1721" s="27">
        <v>300</v>
      </c>
      <c r="L1721" s="31" t="s">
        <v>769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780</v>
      </c>
      <c r="D1722" s="31" t="s">
        <v>843</v>
      </c>
      <c r="E1722" s="31" t="s">
        <v>932</v>
      </c>
      <c r="F1722" s="31" t="s">
        <v>933</v>
      </c>
      <c r="G1722" s="27">
        <v>138056</v>
      </c>
      <c r="H1722" s="31" t="s">
        <v>63</v>
      </c>
      <c r="I1722" s="31"/>
      <c r="J1722" s="26" t="s">
        <v>768</v>
      </c>
      <c r="K1722" s="27">
        <v>138056</v>
      </c>
      <c r="L1722" s="31" t="s">
        <v>769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1329</v>
      </c>
      <c r="D1723" s="31" t="s">
        <v>575</v>
      </c>
      <c r="E1723" s="31" t="s">
        <v>781</v>
      </c>
      <c r="F1723" s="31" t="s">
        <v>773</v>
      </c>
      <c r="G1723" s="27">
        <v>4900</v>
      </c>
      <c r="H1723" s="31" t="s">
        <v>63</v>
      </c>
      <c r="I1723" s="31" t="s">
        <v>72</v>
      </c>
      <c r="J1723" s="26" t="s">
        <v>775</v>
      </c>
      <c r="K1723" s="27">
        <v>4900</v>
      </c>
      <c r="L1723" s="31" t="s">
        <v>769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1329</v>
      </c>
      <c r="D1724" s="31" t="s">
        <v>575</v>
      </c>
      <c r="E1724" s="31" t="s">
        <v>781</v>
      </c>
      <c r="F1724" s="31" t="s">
        <v>773</v>
      </c>
      <c r="G1724" s="27">
        <v>9300</v>
      </c>
      <c r="H1724" s="31" t="s">
        <v>63</v>
      </c>
      <c r="I1724" s="31" t="s">
        <v>992</v>
      </c>
      <c r="J1724" s="26" t="s">
        <v>775</v>
      </c>
      <c r="K1724" s="27">
        <v>9300</v>
      </c>
      <c r="L1724" s="31" t="s">
        <v>769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883</v>
      </c>
      <c r="D1725" s="31" t="s">
        <v>575</v>
      </c>
      <c r="E1725" s="31" t="s">
        <v>772</v>
      </c>
      <c r="F1725" s="31" t="s">
        <v>1274</v>
      </c>
      <c r="G1725" s="27">
        <v>-5500</v>
      </c>
      <c r="H1725" s="31" t="s">
        <v>63</v>
      </c>
      <c r="I1725" s="31" t="s">
        <v>1374</v>
      </c>
      <c r="J1725" s="26" t="s">
        <v>775</v>
      </c>
      <c r="K1725" s="27">
        <v>-5500</v>
      </c>
      <c r="L1725" s="31" t="s">
        <v>769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163</v>
      </c>
      <c r="D1726" s="31" t="s">
        <v>575</v>
      </c>
      <c r="E1726" s="31" t="s">
        <v>781</v>
      </c>
      <c r="F1726" s="31" t="s">
        <v>117</v>
      </c>
      <c r="G1726" s="27">
        <v>8000</v>
      </c>
      <c r="H1726" s="31" t="s">
        <v>63</v>
      </c>
      <c r="I1726" s="31"/>
      <c r="J1726" s="26" t="s">
        <v>775</v>
      </c>
      <c r="K1726" s="27">
        <v>8000</v>
      </c>
      <c r="L1726" s="31" t="s">
        <v>769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883</v>
      </c>
      <c r="D1727" s="31" t="s">
        <v>575</v>
      </c>
      <c r="E1727" s="31" t="s">
        <v>772</v>
      </c>
      <c r="F1727" s="31" t="s">
        <v>1274</v>
      </c>
      <c r="G1727" s="27">
        <v>11300</v>
      </c>
      <c r="H1727" s="31" t="s">
        <v>63</v>
      </c>
      <c r="I1727" s="31" t="s">
        <v>1376</v>
      </c>
      <c r="J1727" s="26" t="s">
        <v>775</v>
      </c>
      <c r="K1727" s="27">
        <v>11300</v>
      </c>
      <c r="L1727" s="31" t="s">
        <v>769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163</v>
      </c>
      <c r="D1728" s="31" t="s">
        <v>883</v>
      </c>
      <c r="E1728" s="31"/>
      <c r="F1728" s="31" t="s">
        <v>81</v>
      </c>
      <c r="G1728" s="27">
        <v>10000</v>
      </c>
      <c r="H1728" s="31" t="s">
        <v>807</v>
      </c>
      <c r="I1728" s="31" t="s">
        <v>1375</v>
      </c>
      <c r="J1728" s="26" t="s">
        <v>805</v>
      </c>
      <c r="K1728" s="27">
        <v>10000</v>
      </c>
      <c r="L1728" s="31" t="s">
        <v>769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883</v>
      </c>
      <c r="D1729" s="31" t="s">
        <v>163</v>
      </c>
      <c r="E1729" s="31"/>
      <c r="F1729" s="31" t="s">
        <v>81</v>
      </c>
      <c r="G1729" s="27">
        <v>10000</v>
      </c>
      <c r="H1729" s="31" t="s">
        <v>804</v>
      </c>
      <c r="I1729" s="31" t="s">
        <v>1375</v>
      </c>
      <c r="J1729" s="26" t="s">
        <v>805</v>
      </c>
      <c r="K1729" s="27">
        <v>10000</v>
      </c>
      <c r="L1729" s="31" t="s">
        <v>769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196</v>
      </c>
      <c r="D1730" s="31" t="s">
        <v>22</v>
      </c>
      <c r="E1730" s="31"/>
      <c r="F1730" s="31" t="s">
        <v>1417</v>
      </c>
      <c r="G1730" s="27">
        <v>250000</v>
      </c>
      <c r="H1730" s="31" t="s">
        <v>520</v>
      </c>
      <c r="I1730" s="31" t="s">
        <v>1418</v>
      </c>
      <c r="J1730" s="26" t="s">
        <v>818</v>
      </c>
      <c r="K1730" s="27">
        <v>250000</v>
      </c>
      <c r="L1730" s="31" t="s">
        <v>769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1329</v>
      </c>
      <c r="D1731" s="31" t="s">
        <v>912</v>
      </c>
      <c r="E1731" s="31" t="s">
        <v>1190</v>
      </c>
      <c r="F1731" s="31" t="s">
        <v>1419</v>
      </c>
      <c r="G1731" s="27">
        <v>37600</v>
      </c>
      <c r="H1731" s="31" t="s">
        <v>63</v>
      </c>
      <c r="I1731" s="31" t="s">
        <v>1420</v>
      </c>
      <c r="J1731" s="26" t="s">
        <v>783</v>
      </c>
      <c r="K1731" s="27">
        <v>37600</v>
      </c>
      <c r="L1731" s="31" t="s">
        <v>769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852</v>
      </c>
      <c r="D1732" s="31" t="s">
        <v>796</v>
      </c>
      <c r="E1732" s="31"/>
      <c r="F1732" s="31" t="s">
        <v>488</v>
      </c>
      <c r="G1732" s="27">
        <v>7290</v>
      </c>
      <c r="H1732" s="31" t="s">
        <v>63</v>
      </c>
      <c r="I1732" s="31" t="s">
        <v>1219</v>
      </c>
      <c r="J1732" s="26" t="s">
        <v>801</v>
      </c>
      <c r="K1732" s="27">
        <v>7290</v>
      </c>
      <c r="L1732" s="31" t="s">
        <v>769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1329</v>
      </c>
      <c r="D1733" s="31" t="s">
        <v>576</v>
      </c>
      <c r="E1733" s="31"/>
      <c r="F1733" s="31" t="s">
        <v>576</v>
      </c>
      <c r="G1733" s="27">
        <v>5000</v>
      </c>
      <c r="H1733" s="31" t="s">
        <v>63</v>
      </c>
      <c r="I1733" s="31"/>
      <c r="J1733" s="26" t="s">
        <v>778</v>
      </c>
      <c r="K1733" s="27">
        <v>5000</v>
      </c>
      <c r="L1733" s="31" t="s">
        <v>769</v>
      </c>
      <c r="M1733" s="31" t="s">
        <v>1421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1329</v>
      </c>
      <c r="D1734" s="31" t="s">
        <v>576</v>
      </c>
      <c r="E1734" s="31"/>
      <c r="F1734" s="31" t="s">
        <v>576</v>
      </c>
      <c r="G1734" s="27">
        <v>5000</v>
      </c>
      <c r="H1734" s="31" t="s">
        <v>63</v>
      </c>
      <c r="I1734" s="31"/>
      <c r="J1734" s="26" t="s">
        <v>778</v>
      </c>
      <c r="K1734" s="27">
        <v>5000</v>
      </c>
      <c r="L1734" s="31" t="s">
        <v>769</v>
      </c>
      <c r="M1734" s="31" t="s">
        <v>1421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1279</v>
      </c>
      <c r="D1735" s="31" t="s">
        <v>912</v>
      </c>
      <c r="E1735" s="31" t="s">
        <v>1190</v>
      </c>
      <c r="F1735" s="31" t="s">
        <v>1422</v>
      </c>
      <c r="G1735" s="27">
        <v>42000</v>
      </c>
      <c r="H1735" s="31" t="s">
        <v>63</v>
      </c>
      <c r="I1735" s="31" t="s">
        <v>1423</v>
      </c>
      <c r="J1735" s="26" t="s">
        <v>783</v>
      </c>
      <c r="K1735" s="27">
        <v>21000</v>
      </c>
      <c r="L1735" s="31" t="s">
        <v>199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1329</v>
      </c>
      <c r="D1736" s="31" t="s">
        <v>575</v>
      </c>
      <c r="E1736" s="31" t="s">
        <v>772</v>
      </c>
      <c r="F1736" s="31" t="s">
        <v>814</v>
      </c>
      <c r="G1736" s="27">
        <v>300</v>
      </c>
      <c r="H1736" s="31" t="s">
        <v>63</v>
      </c>
      <c r="I1736" s="31"/>
      <c r="J1736" s="26" t="s">
        <v>775</v>
      </c>
      <c r="K1736" s="27">
        <v>300</v>
      </c>
      <c r="L1736" s="31" t="s">
        <v>769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766</v>
      </c>
      <c r="D1737" s="31" t="s">
        <v>485</v>
      </c>
      <c r="E1737" s="31"/>
      <c r="F1737" s="31" t="s">
        <v>486</v>
      </c>
      <c r="G1737" s="27">
        <v>7890</v>
      </c>
      <c r="H1737" s="31" t="s">
        <v>63</v>
      </c>
      <c r="I1737" s="31"/>
      <c r="J1737" s="26" t="s">
        <v>768</v>
      </c>
      <c r="K1737" s="27">
        <v>7890</v>
      </c>
      <c r="L1737" s="31" t="s">
        <v>769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1329</v>
      </c>
      <c r="D1738" s="31" t="s">
        <v>575</v>
      </c>
      <c r="E1738" s="31" t="s">
        <v>781</v>
      </c>
      <c r="F1738" s="31" t="s">
        <v>1251</v>
      </c>
      <c r="G1738" s="27">
        <v>9000</v>
      </c>
      <c r="H1738" s="31" t="s">
        <v>63</v>
      </c>
      <c r="I1738" s="31"/>
      <c r="J1738" s="26" t="s">
        <v>775</v>
      </c>
      <c r="K1738" s="27">
        <v>9000</v>
      </c>
      <c r="L1738" s="31" t="s">
        <v>769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1329</v>
      </c>
      <c r="D1739" s="31" t="s">
        <v>796</v>
      </c>
      <c r="E1739" s="31"/>
      <c r="F1739" s="31" t="s">
        <v>797</v>
      </c>
      <c r="G1739" s="27">
        <v>5200</v>
      </c>
      <c r="H1739" s="31" t="s">
        <v>63</v>
      </c>
      <c r="I1739" s="31" t="s">
        <v>1424</v>
      </c>
      <c r="J1739" s="26" t="s">
        <v>801</v>
      </c>
      <c r="K1739" s="27">
        <v>5200</v>
      </c>
      <c r="L1739" s="31" t="s">
        <v>769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1329</v>
      </c>
      <c r="D1740" s="31" t="s">
        <v>796</v>
      </c>
      <c r="E1740" s="31"/>
      <c r="F1740" s="31" t="s">
        <v>1105</v>
      </c>
      <c r="G1740" s="27">
        <v>16000</v>
      </c>
      <c r="H1740" s="31" t="s">
        <v>63</v>
      </c>
      <c r="I1740" s="31"/>
      <c r="J1740" s="26" t="s">
        <v>801</v>
      </c>
      <c r="K1740" s="27">
        <v>16000</v>
      </c>
      <c r="L1740" s="31" t="s">
        <v>769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1329</v>
      </c>
      <c r="D1741" s="31" t="s">
        <v>796</v>
      </c>
      <c r="E1741" s="31"/>
      <c r="F1741" s="31" t="s">
        <v>797</v>
      </c>
      <c r="G1741" s="27">
        <v>3000</v>
      </c>
      <c r="H1741" s="31" t="s">
        <v>63</v>
      </c>
      <c r="I1741" s="31" t="s">
        <v>1424</v>
      </c>
      <c r="J1741" s="26" t="s">
        <v>801</v>
      </c>
      <c r="K1741" s="27">
        <v>3000</v>
      </c>
      <c r="L1741" s="31" t="s">
        <v>769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1329</v>
      </c>
      <c r="D1742" s="31" t="s">
        <v>575</v>
      </c>
      <c r="E1742" s="31" t="s">
        <v>885</v>
      </c>
      <c r="F1742" s="31" t="s">
        <v>773</v>
      </c>
      <c r="G1742" s="27">
        <v>5700</v>
      </c>
      <c r="H1742" s="31" t="s">
        <v>63</v>
      </c>
      <c r="I1742" s="31" t="s">
        <v>992</v>
      </c>
      <c r="J1742" s="26" t="s">
        <v>775</v>
      </c>
      <c r="K1742" s="27">
        <v>5700</v>
      </c>
      <c r="L1742" s="31" t="s">
        <v>769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1329</v>
      </c>
      <c r="D1743" s="31" t="s">
        <v>576</v>
      </c>
      <c r="E1743" s="31"/>
      <c r="F1743" s="31" t="s">
        <v>576</v>
      </c>
      <c r="G1743" s="27">
        <v>5000</v>
      </c>
      <c r="H1743" s="31" t="s">
        <v>63</v>
      </c>
      <c r="I1743" s="31"/>
      <c r="J1743" s="26" t="s">
        <v>778</v>
      </c>
      <c r="K1743" s="27">
        <v>5000</v>
      </c>
      <c r="L1743" s="31" t="s">
        <v>769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669</v>
      </c>
      <c r="D1744" s="31" t="s">
        <v>796</v>
      </c>
      <c r="E1744" s="31"/>
      <c r="F1744" s="31" t="s">
        <v>797</v>
      </c>
      <c r="G1744" s="27">
        <v>12000</v>
      </c>
      <c r="H1744" s="31" t="s">
        <v>63</v>
      </c>
      <c r="I1744" s="31"/>
      <c r="J1744" s="26" t="s">
        <v>801</v>
      </c>
      <c r="K1744" s="27">
        <v>12000</v>
      </c>
      <c r="L1744" s="31" t="s">
        <v>769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175</v>
      </c>
      <c r="D1745" s="31" t="s">
        <v>22</v>
      </c>
      <c r="E1745" s="31"/>
      <c r="F1745" s="31" t="s">
        <v>938</v>
      </c>
      <c r="G1745" s="27">
        <v>15217</v>
      </c>
      <c r="H1745" s="31" t="s">
        <v>63</v>
      </c>
      <c r="I1745" s="31"/>
      <c r="J1745" s="26" t="s">
        <v>768</v>
      </c>
      <c r="K1745" s="27">
        <v>15217</v>
      </c>
      <c r="L1745" s="31" t="s">
        <v>769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196</v>
      </c>
      <c r="D1746" s="31" t="s">
        <v>942</v>
      </c>
      <c r="E1746" s="31"/>
      <c r="F1746" s="31" t="s">
        <v>1299</v>
      </c>
      <c r="G1746" s="27">
        <v>-30000</v>
      </c>
      <c r="H1746" s="31" t="s">
        <v>63</v>
      </c>
      <c r="I1746" s="31" t="s">
        <v>1425</v>
      </c>
      <c r="J1746" s="26" t="s">
        <v>768</v>
      </c>
      <c r="K1746" s="27">
        <v>-30000</v>
      </c>
      <c r="L1746" s="31" t="s">
        <v>769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1329</v>
      </c>
      <c r="D1747" s="31" t="s">
        <v>575</v>
      </c>
      <c r="E1747" s="31" t="s">
        <v>781</v>
      </c>
      <c r="F1747" s="31" t="s">
        <v>902</v>
      </c>
      <c r="G1747" s="27">
        <v>11000</v>
      </c>
      <c r="H1747" s="31" t="s">
        <v>63</v>
      </c>
      <c r="I1747" s="31"/>
      <c r="J1747" s="26" t="s">
        <v>775</v>
      </c>
      <c r="K1747" s="27">
        <v>11000</v>
      </c>
      <c r="L1747" s="31" t="s">
        <v>769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1329</v>
      </c>
      <c r="D1748" s="31" t="s">
        <v>575</v>
      </c>
      <c r="E1748" s="31" t="s">
        <v>772</v>
      </c>
      <c r="F1748" s="31" t="s">
        <v>814</v>
      </c>
      <c r="G1748" s="27">
        <v>11700</v>
      </c>
      <c r="H1748" s="31" t="s">
        <v>63</v>
      </c>
      <c r="I1748" s="31"/>
      <c r="J1748" s="26" t="s">
        <v>775</v>
      </c>
      <c r="K1748" s="27">
        <v>11700</v>
      </c>
      <c r="L1748" s="31" t="s">
        <v>769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196</v>
      </c>
      <c r="D1749" s="31" t="s">
        <v>22</v>
      </c>
      <c r="E1749" s="31"/>
      <c r="F1749" s="31" t="s">
        <v>1007</v>
      </c>
      <c r="G1749" s="27">
        <v>300</v>
      </c>
      <c r="H1749" s="31" t="s">
        <v>520</v>
      </c>
      <c r="I1749" s="31"/>
      <c r="J1749" s="26" t="s">
        <v>824</v>
      </c>
      <c r="K1749" s="27">
        <v>300</v>
      </c>
      <c r="L1749" s="31" t="s">
        <v>769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852</v>
      </c>
      <c r="D1750" s="31" t="s">
        <v>796</v>
      </c>
      <c r="E1750" s="31"/>
      <c r="F1750" s="31" t="s">
        <v>488</v>
      </c>
      <c r="G1750" s="27">
        <v>37640</v>
      </c>
      <c r="H1750" s="31" t="s">
        <v>63</v>
      </c>
      <c r="I1750" s="31" t="s">
        <v>1426</v>
      </c>
      <c r="J1750" s="26" t="s">
        <v>801</v>
      </c>
      <c r="K1750" s="27">
        <v>37640</v>
      </c>
      <c r="L1750" s="31" t="s">
        <v>769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1329</v>
      </c>
      <c r="D1751" s="31" t="s">
        <v>575</v>
      </c>
      <c r="E1751" s="31" t="s">
        <v>885</v>
      </c>
      <c r="F1751" s="31" t="s">
        <v>773</v>
      </c>
      <c r="G1751" s="27">
        <v>5100</v>
      </c>
      <c r="H1751" s="31" t="s">
        <v>63</v>
      </c>
      <c r="I1751" s="31" t="s">
        <v>992</v>
      </c>
      <c r="J1751" s="26" t="s">
        <v>775</v>
      </c>
      <c r="K1751" s="27">
        <v>5100</v>
      </c>
      <c r="L1751" s="31" t="s">
        <v>769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1329</v>
      </c>
      <c r="D1752" s="31" t="s">
        <v>576</v>
      </c>
      <c r="E1752" s="31"/>
      <c r="F1752" s="31" t="s">
        <v>576</v>
      </c>
      <c r="G1752" s="27">
        <v>5000</v>
      </c>
      <c r="H1752" s="31" t="s">
        <v>63</v>
      </c>
      <c r="I1752" s="31"/>
      <c r="J1752" s="26" t="s">
        <v>778</v>
      </c>
      <c r="K1752" s="27">
        <v>5000</v>
      </c>
      <c r="L1752" s="31" t="s">
        <v>769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163</v>
      </c>
      <c r="D1753" s="31" t="s">
        <v>817</v>
      </c>
      <c r="E1753" s="31"/>
      <c r="F1753" s="31" t="s">
        <v>112</v>
      </c>
      <c r="G1753" s="27">
        <v>280000</v>
      </c>
      <c r="H1753" s="31" t="s">
        <v>63</v>
      </c>
      <c r="I1753" s="31" t="s">
        <v>1427</v>
      </c>
      <c r="J1753" s="26" t="s">
        <v>799</v>
      </c>
      <c r="K1753" s="27">
        <v>280000</v>
      </c>
      <c r="L1753" s="31" t="s">
        <v>769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196</v>
      </c>
      <c r="D1754" s="31" t="s">
        <v>163</v>
      </c>
      <c r="E1754" s="31"/>
      <c r="F1754" s="31" t="s">
        <v>81</v>
      </c>
      <c r="G1754" s="27">
        <v>280300</v>
      </c>
      <c r="H1754" s="31" t="s">
        <v>807</v>
      </c>
      <c r="I1754" s="31"/>
      <c r="J1754" s="26" t="s">
        <v>805</v>
      </c>
      <c r="K1754" s="27">
        <v>280300</v>
      </c>
      <c r="L1754" s="31" t="s">
        <v>769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163</v>
      </c>
      <c r="D1755" s="31" t="s">
        <v>196</v>
      </c>
      <c r="E1755" s="31"/>
      <c r="F1755" s="31" t="s">
        <v>81</v>
      </c>
      <c r="G1755" s="27">
        <v>280300</v>
      </c>
      <c r="H1755" s="31" t="s">
        <v>804</v>
      </c>
      <c r="I1755" s="31"/>
      <c r="J1755" s="26" t="s">
        <v>805</v>
      </c>
      <c r="K1755" s="27">
        <v>280300</v>
      </c>
      <c r="L1755" s="31" t="s">
        <v>769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163</v>
      </c>
      <c r="D1756" s="31" t="s">
        <v>175</v>
      </c>
      <c r="E1756" s="31"/>
      <c r="F1756" s="31" t="s">
        <v>81</v>
      </c>
      <c r="G1756" s="27">
        <v>2784</v>
      </c>
      <c r="H1756" s="31" t="s">
        <v>804</v>
      </c>
      <c r="I1756" s="31"/>
      <c r="J1756" s="26" t="s">
        <v>805</v>
      </c>
      <c r="K1756" s="27">
        <v>2784</v>
      </c>
      <c r="L1756" s="31" t="s">
        <v>769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175</v>
      </c>
      <c r="D1757" s="31" t="s">
        <v>163</v>
      </c>
      <c r="E1757" s="31"/>
      <c r="F1757" s="31" t="s">
        <v>81</v>
      </c>
      <c r="G1757" s="27">
        <v>2784</v>
      </c>
      <c r="H1757" s="31" t="s">
        <v>807</v>
      </c>
      <c r="I1757" s="31"/>
      <c r="J1757" s="26" t="s">
        <v>805</v>
      </c>
      <c r="K1757" s="27">
        <v>2784</v>
      </c>
      <c r="L1757" s="31" t="s">
        <v>769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163</v>
      </c>
      <c r="D1758" s="31" t="s">
        <v>883</v>
      </c>
      <c r="E1758" s="31"/>
      <c r="F1758" s="31" t="s">
        <v>81</v>
      </c>
      <c r="G1758" s="27">
        <v>4200</v>
      </c>
      <c r="H1758" s="31" t="s">
        <v>804</v>
      </c>
      <c r="I1758" s="31"/>
      <c r="J1758" s="26" t="s">
        <v>805</v>
      </c>
      <c r="K1758" s="27">
        <v>4200</v>
      </c>
      <c r="L1758" s="31" t="s">
        <v>769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883</v>
      </c>
      <c r="D1759" s="31" t="s">
        <v>163</v>
      </c>
      <c r="E1759" s="31"/>
      <c r="F1759" s="31" t="s">
        <v>81</v>
      </c>
      <c r="G1759" s="27">
        <v>4200</v>
      </c>
      <c r="H1759" s="31" t="s">
        <v>807</v>
      </c>
      <c r="I1759" s="31"/>
      <c r="J1759" s="26" t="s">
        <v>805</v>
      </c>
      <c r="K1759" s="27">
        <v>4200</v>
      </c>
      <c r="L1759" s="31" t="s">
        <v>769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766</v>
      </c>
      <c r="D1760" s="31" t="s">
        <v>22</v>
      </c>
      <c r="E1760" s="31"/>
      <c r="F1760" s="31" t="s">
        <v>941</v>
      </c>
      <c r="G1760" s="27">
        <v>-30000</v>
      </c>
      <c r="H1760" s="31" t="s">
        <v>63</v>
      </c>
      <c r="I1760" s="31"/>
      <c r="J1760" s="26" t="s">
        <v>849</v>
      </c>
      <c r="K1760" s="27">
        <v>-30000</v>
      </c>
      <c r="L1760" s="31" t="s">
        <v>769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163</v>
      </c>
      <c r="D1761" s="31" t="s">
        <v>817</v>
      </c>
      <c r="E1761" s="31"/>
      <c r="F1761" s="31" t="s">
        <v>1428</v>
      </c>
      <c r="G1761" s="27">
        <v>25000</v>
      </c>
      <c r="H1761" s="31" t="s">
        <v>63</v>
      </c>
      <c r="I1761" s="31" t="s">
        <v>1429</v>
      </c>
      <c r="J1761" s="26" t="s">
        <v>799</v>
      </c>
      <c r="K1761" s="27">
        <v>25000</v>
      </c>
      <c r="L1761" s="31" t="s">
        <v>769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1329</v>
      </c>
      <c r="D1762" s="31" t="s">
        <v>575</v>
      </c>
      <c r="E1762" s="31" t="s">
        <v>772</v>
      </c>
      <c r="F1762" s="31" t="s">
        <v>1057</v>
      </c>
      <c r="G1762" s="27">
        <v>3600</v>
      </c>
      <c r="H1762" s="31" t="s">
        <v>63</v>
      </c>
      <c r="I1762" s="31" t="s">
        <v>1042</v>
      </c>
      <c r="J1762" s="26" t="s">
        <v>775</v>
      </c>
      <c r="K1762" s="27">
        <v>3600</v>
      </c>
      <c r="L1762" s="31" t="s">
        <v>769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1329</v>
      </c>
      <c r="D1763" s="31" t="s">
        <v>576</v>
      </c>
      <c r="E1763" s="31"/>
      <c r="F1763" s="31" t="s">
        <v>576</v>
      </c>
      <c r="G1763" s="27">
        <v>5000</v>
      </c>
      <c r="H1763" s="31" t="s">
        <v>63</v>
      </c>
      <c r="I1763" s="31"/>
      <c r="J1763" s="26" t="s">
        <v>778</v>
      </c>
      <c r="K1763" s="27">
        <v>5000</v>
      </c>
      <c r="L1763" s="31" t="s">
        <v>769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1279</v>
      </c>
      <c r="D1764" s="31" t="s">
        <v>912</v>
      </c>
      <c r="E1764" s="31" t="s">
        <v>1190</v>
      </c>
      <c r="F1764" s="31" t="s">
        <v>1430</v>
      </c>
      <c r="G1764" s="27">
        <v>31500</v>
      </c>
      <c r="H1764" s="31" t="s">
        <v>63</v>
      </c>
      <c r="I1764" s="31" t="s">
        <v>1431</v>
      </c>
      <c r="J1764" s="26" t="s">
        <v>783</v>
      </c>
      <c r="K1764" s="27">
        <v>15750</v>
      </c>
      <c r="L1764" s="31" t="s">
        <v>199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1279</v>
      </c>
      <c r="D1765" s="31" t="s">
        <v>22</v>
      </c>
      <c r="E1765" s="31"/>
      <c r="F1765" s="31" t="s">
        <v>1312</v>
      </c>
      <c r="G1765" s="27">
        <v>8</v>
      </c>
      <c r="H1765" s="31" t="s">
        <v>520</v>
      </c>
      <c r="I1765" s="31"/>
      <c r="J1765" s="26" t="s">
        <v>824</v>
      </c>
      <c r="K1765" s="27">
        <v>8</v>
      </c>
      <c r="L1765" s="31" t="s">
        <v>769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1329</v>
      </c>
      <c r="D1766" s="31" t="s">
        <v>22</v>
      </c>
      <c r="E1766" s="31"/>
      <c r="F1766" s="31" t="s">
        <v>1432</v>
      </c>
      <c r="G1766" s="27">
        <v>-10619</v>
      </c>
      <c r="H1766" s="31" t="s">
        <v>63</v>
      </c>
      <c r="I1766" s="31"/>
      <c r="J1766" s="26" t="s">
        <v>849</v>
      </c>
      <c r="K1766" s="27">
        <v>-10619</v>
      </c>
      <c r="L1766" s="31" t="s">
        <v>769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1279</v>
      </c>
      <c r="D1767" s="31" t="s">
        <v>22</v>
      </c>
      <c r="E1767" s="31"/>
      <c r="F1767" s="31" t="s">
        <v>1311</v>
      </c>
      <c r="G1767" s="27">
        <v>500</v>
      </c>
      <c r="H1767" s="31" t="s">
        <v>520</v>
      </c>
      <c r="I1767" s="31"/>
      <c r="J1767" s="26" t="s">
        <v>824</v>
      </c>
      <c r="K1767" s="27">
        <v>500</v>
      </c>
      <c r="L1767" s="31" t="s">
        <v>769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1433</v>
      </c>
      <c r="D1768" s="31" t="s">
        <v>942</v>
      </c>
      <c r="E1768" s="31"/>
      <c r="F1768" s="31" t="s">
        <v>1434</v>
      </c>
      <c r="G1768" s="27">
        <v>93200</v>
      </c>
      <c r="H1768" s="31" t="s">
        <v>63</v>
      </c>
      <c r="I1768" s="31"/>
      <c r="J1768" s="26" t="s">
        <v>768</v>
      </c>
      <c r="K1768" s="27">
        <v>93200</v>
      </c>
      <c r="L1768" s="31" t="s">
        <v>769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1329</v>
      </c>
      <c r="D1769" s="31" t="s">
        <v>575</v>
      </c>
      <c r="E1769" s="31" t="s">
        <v>781</v>
      </c>
      <c r="F1769" s="31" t="s">
        <v>773</v>
      </c>
      <c r="G1769" s="27">
        <v>8000</v>
      </c>
      <c r="H1769" s="31" t="s">
        <v>63</v>
      </c>
      <c r="I1769" s="31" t="s">
        <v>1435</v>
      </c>
      <c r="J1769" s="26" t="s">
        <v>775</v>
      </c>
      <c r="K1769" s="27">
        <v>8000</v>
      </c>
      <c r="L1769" s="31" t="s">
        <v>769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1279</v>
      </c>
      <c r="D1770" s="31" t="s">
        <v>912</v>
      </c>
      <c r="E1770" s="31" t="s">
        <v>1190</v>
      </c>
      <c r="F1770" s="31" t="s">
        <v>1436</v>
      </c>
      <c r="G1770" s="27">
        <v>33300</v>
      </c>
      <c r="H1770" s="31" t="s">
        <v>63</v>
      </c>
      <c r="I1770" s="31"/>
      <c r="J1770" s="26" t="s">
        <v>783</v>
      </c>
      <c r="K1770" s="27">
        <v>16650</v>
      </c>
      <c r="L1770" s="31" t="s">
        <v>199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1279</v>
      </c>
      <c r="D1771" s="31" t="s">
        <v>912</v>
      </c>
      <c r="E1771" s="31" t="s">
        <v>1190</v>
      </c>
      <c r="F1771" s="31" t="s">
        <v>1437</v>
      </c>
      <c r="G1771" s="27">
        <v>12500</v>
      </c>
      <c r="H1771" s="31" t="s">
        <v>63</v>
      </c>
      <c r="I1771" s="31" t="s">
        <v>1438</v>
      </c>
      <c r="J1771" s="26" t="s">
        <v>783</v>
      </c>
      <c r="K1771" s="27">
        <v>6250</v>
      </c>
      <c r="L1771" s="31" t="s">
        <v>199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1279</v>
      </c>
      <c r="D1772" s="31" t="s">
        <v>912</v>
      </c>
      <c r="E1772" s="31" t="s">
        <v>1190</v>
      </c>
      <c r="F1772" s="31" t="s">
        <v>1439</v>
      </c>
      <c r="G1772" s="27">
        <v>8000</v>
      </c>
      <c r="H1772" s="31" t="s">
        <v>63</v>
      </c>
      <c r="I1772" s="31" t="s">
        <v>1068</v>
      </c>
      <c r="J1772" s="26" t="s">
        <v>783</v>
      </c>
      <c r="K1772" s="27">
        <v>4000</v>
      </c>
      <c r="L1772" s="31" t="s">
        <v>199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852</v>
      </c>
      <c r="D1773" s="31" t="s">
        <v>811</v>
      </c>
      <c r="E1773" s="31"/>
      <c r="F1773" s="31" t="s">
        <v>488</v>
      </c>
      <c r="G1773" s="27">
        <v>27900</v>
      </c>
      <c r="H1773" s="31" t="s">
        <v>63</v>
      </c>
      <c r="I1773" s="31" t="s">
        <v>1440</v>
      </c>
      <c r="J1773" s="26" t="s">
        <v>801</v>
      </c>
      <c r="K1773" s="27">
        <v>27900</v>
      </c>
      <c r="L1773" s="31" t="s">
        <v>769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852</v>
      </c>
      <c r="D1774" s="31" t="s">
        <v>575</v>
      </c>
      <c r="E1774" s="31" t="s">
        <v>792</v>
      </c>
      <c r="F1774" s="31" t="s">
        <v>853</v>
      </c>
      <c r="G1774" s="27">
        <v>11100</v>
      </c>
      <c r="H1774" s="31" t="s">
        <v>63</v>
      </c>
      <c r="I1774" s="31" t="s">
        <v>1441</v>
      </c>
      <c r="J1774" s="26" t="s">
        <v>775</v>
      </c>
      <c r="K1774" s="27">
        <v>11100</v>
      </c>
      <c r="L1774" s="31" t="s">
        <v>769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1329</v>
      </c>
      <c r="D1775" s="31" t="s">
        <v>575</v>
      </c>
      <c r="E1775" s="31" t="s">
        <v>772</v>
      </c>
      <c r="F1775" s="31" t="s">
        <v>773</v>
      </c>
      <c r="G1775" s="27">
        <v>5300</v>
      </c>
      <c r="H1775" s="31" t="s">
        <v>63</v>
      </c>
      <c r="I1775" s="31" t="s">
        <v>1442</v>
      </c>
      <c r="J1775" s="26" t="s">
        <v>775</v>
      </c>
      <c r="K1775" s="27">
        <v>5300</v>
      </c>
      <c r="L1775" s="31" t="s">
        <v>769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780</v>
      </c>
      <c r="D1776" s="31" t="s">
        <v>796</v>
      </c>
      <c r="E1776" s="31"/>
      <c r="F1776" s="31" t="s">
        <v>825</v>
      </c>
      <c r="G1776" s="27">
        <v>19900</v>
      </c>
      <c r="H1776" s="31" t="s">
        <v>63</v>
      </c>
      <c r="I1776" s="31" t="s">
        <v>1443</v>
      </c>
      <c r="J1776" s="26" t="s">
        <v>801</v>
      </c>
      <c r="K1776" s="27">
        <v>19900</v>
      </c>
      <c r="L1776" s="31" t="s">
        <v>769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780</v>
      </c>
      <c r="D1777" s="31" t="s">
        <v>942</v>
      </c>
      <c r="E1777" s="31"/>
      <c r="F1777" s="31" t="s">
        <v>1094</v>
      </c>
      <c r="G1777" s="27">
        <v>8500</v>
      </c>
      <c r="H1777" s="31" t="s">
        <v>63</v>
      </c>
      <c r="I1777" s="31"/>
      <c r="J1777" s="26" t="s">
        <v>775</v>
      </c>
      <c r="K1777" s="27">
        <v>8500</v>
      </c>
      <c r="L1777" s="31" t="s">
        <v>769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780</v>
      </c>
      <c r="D1778" s="31" t="s">
        <v>575</v>
      </c>
      <c r="E1778" s="31" t="s">
        <v>772</v>
      </c>
      <c r="F1778" s="31" t="s">
        <v>773</v>
      </c>
      <c r="G1778" s="27">
        <v>2400</v>
      </c>
      <c r="H1778" s="31" t="s">
        <v>63</v>
      </c>
      <c r="I1778" s="31" t="s">
        <v>1258</v>
      </c>
      <c r="J1778" s="26" t="s">
        <v>775</v>
      </c>
      <c r="K1778" s="27">
        <v>2400</v>
      </c>
      <c r="L1778" s="31" t="s">
        <v>769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780</v>
      </c>
      <c r="D1779" s="31" t="s">
        <v>843</v>
      </c>
      <c r="E1779" s="31"/>
      <c r="F1779" s="31" t="s">
        <v>1444</v>
      </c>
      <c r="G1779" s="27">
        <v>12000</v>
      </c>
      <c r="H1779" s="31" t="s">
        <v>63</v>
      </c>
      <c r="I1779" s="31" t="s">
        <v>1445</v>
      </c>
      <c r="J1779" s="26" t="s">
        <v>775</v>
      </c>
      <c r="K1779" s="27">
        <v>12000</v>
      </c>
      <c r="L1779" s="31" t="s">
        <v>769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780</v>
      </c>
      <c r="D1780" s="31" t="s">
        <v>946</v>
      </c>
      <c r="E1780" s="31"/>
      <c r="F1780" s="31" t="s">
        <v>1082</v>
      </c>
      <c r="G1780" s="27">
        <v>19900</v>
      </c>
      <c r="H1780" s="31" t="s">
        <v>63</v>
      </c>
      <c r="I1780" s="31" t="s">
        <v>1446</v>
      </c>
      <c r="J1780" s="26" t="s">
        <v>775</v>
      </c>
      <c r="K1780" s="27">
        <v>19900</v>
      </c>
      <c r="L1780" s="31" t="s">
        <v>769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780</v>
      </c>
      <c r="D1781" s="31" t="s">
        <v>576</v>
      </c>
      <c r="E1781" s="31"/>
      <c r="F1781" s="31" t="s">
        <v>576</v>
      </c>
      <c r="G1781" s="27">
        <v>5000</v>
      </c>
      <c r="H1781" s="31" t="s">
        <v>63</v>
      </c>
      <c r="I1781" s="31"/>
      <c r="J1781" s="26" t="s">
        <v>778</v>
      </c>
      <c r="K1781" s="27">
        <v>5000</v>
      </c>
      <c r="L1781" s="31" t="s">
        <v>769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780</v>
      </c>
      <c r="D1782" s="31" t="s">
        <v>575</v>
      </c>
      <c r="E1782" s="31" t="s">
        <v>772</v>
      </c>
      <c r="F1782" s="31" t="s">
        <v>773</v>
      </c>
      <c r="G1782" s="27">
        <v>8400</v>
      </c>
      <c r="H1782" s="31" t="s">
        <v>63</v>
      </c>
      <c r="I1782" s="31" t="s">
        <v>1447</v>
      </c>
      <c r="J1782" s="26" t="s">
        <v>775</v>
      </c>
      <c r="K1782" s="27">
        <v>8400</v>
      </c>
      <c r="L1782" s="31" t="s">
        <v>769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175</v>
      </c>
      <c r="D1783" s="31" t="s">
        <v>22</v>
      </c>
      <c r="E1783" s="31"/>
      <c r="F1783" s="31" t="s">
        <v>938</v>
      </c>
      <c r="G1783" s="27">
        <v>1</v>
      </c>
      <c r="H1783" s="31" t="s">
        <v>520</v>
      </c>
      <c r="I1783" s="31"/>
      <c r="J1783" s="26" t="s">
        <v>824</v>
      </c>
      <c r="K1783" s="27">
        <v>1</v>
      </c>
      <c r="L1783" s="31" t="s">
        <v>769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780</v>
      </c>
      <c r="D1784" s="31" t="s">
        <v>485</v>
      </c>
      <c r="E1784" s="31"/>
      <c r="F1784" s="31" t="s">
        <v>1448</v>
      </c>
      <c r="G1784" s="27">
        <v>26300</v>
      </c>
      <c r="H1784" s="31" t="s">
        <v>63</v>
      </c>
      <c r="I1784" s="31" t="s">
        <v>1316</v>
      </c>
      <c r="J1784" s="26" t="s">
        <v>768</v>
      </c>
      <c r="K1784" s="27">
        <v>26300</v>
      </c>
      <c r="L1784" s="31" t="s">
        <v>769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766</v>
      </c>
      <c r="D1785" s="31" t="s">
        <v>485</v>
      </c>
      <c r="E1785" s="31"/>
      <c r="F1785" s="31" t="s">
        <v>777</v>
      </c>
      <c r="G1785" s="27">
        <v>18000</v>
      </c>
      <c r="H1785" s="31" t="s">
        <v>63</v>
      </c>
      <c r="I1785" s="31"/>
      <c r="J1785" s="26" t="s">
        <v>768</v>
      </c>
      <c r="K1785" s="27">
        <v>18000</v>
      </c>
      <c r="L1785" s="31" t="s">
        <v>769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766</v>
      </c>
      <c r="D1786" s="31" t="s">
        <v>796</v>
      </c>
      <c r="E1786" s="31"/>
      <c r="F1786" s="31" t="s">
        <v>797</v>
      </c>
      <c r="G1786" s="27">
        <v>85500</v>
      </c>
      <c r="H1786" s="31" t="s">
        <v>63</v>
      </c>
      <c r="I1786" s="31"/>
      <c r="J1786" s="26" t="s">
        <v>801</v>
      </c>
      <c r="K1786" s="27">
        <v>85500</v>
      </c>
      <c r="L1786" s="31" t="s">
        <v>769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780</v>
      </c>
      <c r="D1787" s="31" t="s">
        <v>575</v>
      </c>
      <c r="E1787" s="31" t="s">
        <v>772</v>
      </c>
      <c r="F1787" s="31" t="s">
        <v>974</v>
      </c>
      <c r="G1787" s="27">
        <v>3800</v>
      </c>
      <c r="H1787" s="31" t="s">
        <v>63</v>
      </c>
      <c r="I1787" s="31"/>
      <c r="J1787" s="26" t="s">
        <v>775</v>
      </c>
      <c r="K1787" s="27">
        <v>3800</v>
      </c>
      <c r="L1787" s="31" t="s">
        <v>769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852</v>
      </c>
      <c r="D1788" s="31" t="s">
        <v>575</v>
      </c>
      <c r="E1788" s="31" t="s">
        <v>792</v>
      </c>
      <c r="F1788" s="31" t="s">
        <v>853</v>
      </c>
      <c r="G1788" s="27">
        <v>11900</v>
      </c>
      <c r="H1788" s="31" t="s">
        <v>63</v>
      </c>
      <c r="I1788" s="31" t="s">
        <v>1449</v>
      </c>
      <c r="J1788" s="26" t="s">
        <v>775</v>
      </c>
      <c r="K1788" s="27">
        <v>11900</v>
      </c>
      <c r="L1788" s="31" t="s">
        <v>769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852</v>
      </c>
      <c r="D1789" s="31" t="s">
        <v>575</v>
      </c>
      <c r="E1789" s="31" t="s">
        <v>785</v>
      </c>
      <c r="F1789" s="31" t="s">
        <v>488</v>
      </c>
      <c r="G1789" s="27">
        <v>8590</v>
      </c>
      <c r="H1789" s="31" t="s">
        <v>63</v>
      </c>
      <c r="I1789" s="31" t="s">
        <v>1009</v>
      </c>
      <c r="J1789" s="26" t="s">
        <v>775</v>
      </c>
      <c r="K1789" s="27">
        <v>8590</v>
      </c>
      <c r="L1789" s="31" t="s">
        <v>769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852</v>
      </c>
      <c r="D1790" s="31" t="s">
        <v>796</v>
      </c>
      <c r="E1790" s="31"/>
      <c r="F1790" s="31" t="s">
        <v>488</v>
      </c>
      <c r="G1790" s="27">
        <v>20900</v>
      </c>
      <c r="H1790" s="31" t="s">
        <v>63</v>
      </c>
      <c r="I1790" s="31" t="s">
        <v>1450</v>
      </c>
      <c r="J1790" s="26" t="s">
        <v>801</v>
      </c>
      <c r="K1790" s="27">
        <v>20900</v>
      </c>
      <c r="L1790" s="31" t="s">
        <v>769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780</v>
      </c>
      <c r="D1791" s="31" t="s">
        <v>906</v>
      </c>
      <c r="E1791" s="31"/>
      <c r="F1791" s="31" t="s">
        <v>1451</v>
      </c>
      <c r="G1791" s="27">
        <v>27220</v>
      </c>
      <c r="H1791" s="31" t="s">
        <v>63</v>
      </c>
      <c r="I1791" s="31" t="s">
        <v>1452</v>
      </c>
      <c r="J1791" s="26" t="s">
        <v>799</v>
      </c>
      <c r="K1791" s="27">
        <v>27220</v>
      </c>
      <c r="L1791" s="31" t="s">
        <v>769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780</v>
      </c>
      <c r="D1792" s="31" t="s">
        <v>576</v>
      </c>
      <c r="E1792" s="31"/>
      <c r="F1792" s="31" t="s">
        <v>576</v>
      </c>
      <c r="G1792" s="27">
        <v>5000</v>
      </c>
      <c r="H1792" s="31" t="s">
        <v>63</v>
      </c>
      <c r="I1792" s="31"/>
      <c r="J1792" s="26" t="s">
        <v>778</v>
      </c>
      <c r="K1792" s="27">
        <v>5000</v>
      </c>
      <c r="L1792" s="31" t="s">
        <v>769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780</v>
      </c>
      <c r="D1793" s="31" t="s">
        <v>575</v>
      </c>
      <c r="E1793" s="31" t="s">
        <v>781</v>
      </c>
      <c r="F1793" s="31" t="s">
        <v>1057</v>
      </c>
      <c r="G1793" s="27">
        <v>9600</v>
      </c>
      <c r="H1793" s="31" t="s">
        <v>63</v>
      </c>
      <c r="I1793" s="31"/>
      <c r="J1793" s="26" t="s">
        <v>775</v>
      </c>
      <c r="K1793" s="27">
        <v>9600</v>
      </c>
      <c r="L1793" s="31" t="s">
        <v>769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163</v>
      </c>
      <c r="D1794" s="31" t="s">
        <v>575</v>
      </c>
      <c r="E1794" s="31" t="s">
        <v>772</v>
      </c>
      <c r="F1794" s="31" t="s">
        <v>1274</v>
      </c>
      <c r="G1794" s="27">
        <v>5000</v>
      </c>
      <c r="H1794" s="31" t="s">
        <v>63</v>
      </c>
      <c r="I1794" s="31"/>
      <c r="J1794" s="26" t="s">
        <v>775</v>
      </c>
      <c r="K1794" s="27">
        <v>5000</v>
      </c>
      <c r="L1794" s="31" t="s">
        <v>769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196</v>
      </c>
      <c r="D1795" s="31" t="s">
        <v>22</v>
      </c>
      <c r="E1795" s="31"/>
      <c r="F1795" s="31" t="s">
        <v>934</v>
      </c>
      <c r="G1795" s="27">
        <v>1</v>
      </c>
      <c r="H1795" s="31" t="s">
        <v>520</v>
      </c>
      <c r="I1795" s="31"/>
      <c r="J1795" s="26" t="s">
        <v>824</v>
      </c>
      <c r="K1795" s="27">
        <v>1</v>
      </c>
      <c r="L1795" s="31" t="s">
        <v>769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780</v>
      </c>
      <c r="D1796" s="31" t="s">
        <v>575</v>
      </c>
      <c r="E1796" s="31" t="s">
        <v>885</v>
      </c>
      <c r="F1796" s="31" t="s">
        <v>773</v>
      </c>
      <c r="G1796" s="27">
        <v>6400</v>
      </c>
      <c r="H1796" s="31" t="s">
        <v>63</v>
      </c>
      <c r="I1796" s="31" t="s">
        <v>992</v>
      </c>
      <c r="J1796" s="26" t="s">
        <v>775</v>
      </c>
      <c r="K1796" s="27">
        <v>6400</v>
      </c>
      <c r="L1796" s="31" t="s">
        <v>769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780</v>
      </c>
      <c r="D1797" s="31" t="s">
        <v>576</v>
      </c>
      <c r="E1797" s="31"/>
      <c r="F1797" s="31" t="s">
        <v>576</v>
      </c>
      <c r="G1797" s="27">
        <v>5000</v>
      </c>
      <c r="H1797" s="31" t="s">
        <v>63</v>
      </c>
      <c r="I1797" s="31"/>
      <c r="J1797" s="26" t="s">
        <v>778</v>
      </c>
      <c r="K1797" s="27">
        <v>5000</v>
      </c>
      <c r="L1797" s="31" t="s">
        <v>769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852</v>
      </c>
      <c r="D1798" s="31" t="s">
        <v>796</v>
      </c>
      <c r="E1798" s="31"/>
      <c r="F1798" s="31" t="s">
        <v>488</v>
      </c>
      <c r="G1798" s="27">
        <v>279000</v>
      </c>
      <c r="H1798" s="31" t="s">
        <v>63</v>
      </c>
      <c r="I1798" s="31" t="s">
        <v>1453</v>
      </c>
      <c r="J1798" s="26" t="s">
        <v>801</v>
      </c>
      <c r="K1798" s="27">
        <v>279000</v>
      </c>
      <c r="L1798" s="31" t="s">
        <v>769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780</v>
      </c>
      <c r="D1799" s="31" t="s">
        <v>576</v>
      </c>
      <c r="E1799" s="31"/>
      <c r="F1799" s="31" t="s">
        <v>576</v>
      </c>
      <c r="G1799" s="27">
        <v>5000</v>
      </c>
      <c r="H1799" s="31" t="s">
        <v>63</v>
      </c>
      <c r="I1799" s="31"/>
      <c r="J1799" s="26" t="s">
        <v>778</v>
      </c>
      <c r="K1799" s="27">
        <v>5000</v>
      </c>
      <c r="L1799" s="31" t="s">
        <v>769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780</v>
      </c>
      <c r="D1800" s="31" t="s">
        <v>575</v>
      </c>
      <c r="E1800" s="31" t="s">
        <v>772</v>
      </c>
      <c r="F1800" s="31" t="s">
        <v>773</v>
      </c>
      <c r="G1800" s="27">
        <v>2000</v>
      </c>
      <c r="H1800" s="31" t="s">
        <v>63</v>
      </c>
      <c r="I1800" s="31" t="s">
        <v>1357</v>
      </c>
      <c r="J1800" s="26" t="s">
        <v>775</v>
      </c>
      <c r="K1800" s="27">
        <v>2000</v>
      </c>
      <c r="L1800" s="31" t="s">
        <v>769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780</v>
      </c>
      <c r="D1801" s="31" t="s">
        <v>575</v>
      </c>
      <c r="E1801" s="31" t="s">
        <v>772</v>
      </c>
      <c r="F1801" s="31" t="s">
        <v>814</v>
      </c>
      <c r="G1801" s="27">
        <v>1700</v>
      </c>
      <c r="H1801" s="31" t="s">
        <v>63</v>
      </c>
      <c r="I1801" s="31"/>
      <c r="J1801" s="26" t="s">
        <v>775</v>
      </c>
      <c r="K1801" s="27">
        <v>1700</v>
      </c>
      <c r="L1801" s="31" t="s">
        <v>769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766</v>
      </c>
      <c r="D1802" s="31" t="s">
        <v>485</v>
      </c>
      <c r="E1802" s="31"/>
      <c r="F1802" s="31" t="s">
        <v>691</v>
      </c>
      <c r="G1802" s="27">
        <v>1800</v>
      </c>
      <c r="H1802" s="31" t="s">
        <v>63</v>
      </c>
      <c r="I1802" s="31" t="s">
        <v>810</v>
      </c>
      <c r="J1802" s="26" t="s">
        <v>768</v>
      </c>
      <c r="K1802" s="27">
        <v>1800</v>
      </c>
      <c r="L1802" s="31" t="s">
        <v>769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766</v>
      </c>
      <c r="D1803" s="31" t="s">
        <v>485</v>
      </c>
      <c r="E1803" s="31"/>
      <c r="F1803" s="31" t="s">
        <v>808</v>
      </c>
      <c r="G1803" s="27">
        <v>8555</v>
      </c>
      <c r="H1803" s="31" t="s">
        <v>63</v>
      </c>
      <c r="I1803" s="31"/>
      <c r="J1803" s="26" t="s">
        <v>768</v>
      </c>
      <c r="K1803" s="27">
        <v>8555</v>
      </c>
      <c r="L1803" s="31" t="s">
        <v>769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852</v>
      </c>
      <c r="D1804" s="31" t="s">
        <v>575</v>
      </c>
      <c r="E1804" s="31" t="s">
        <v>781</v>
      </c>
      <c r="F1804" s="31" t="s">
        <v>853</v>
      </c>
      <c r="G1804" s="27">
        <v>30100</v>
      </c>
      <c r="H1804" s="31" t="s">
        <v>63</v>
      </c>
      <c r="I1804" s="31" t="s">
        <v>1273</v>
      </c>
      <c r="J1804" s="26" t="s">
        <v>775</v>
      </c>
      <c r="K1804" s="27">
        <v>30100</v>
      </c>
      <c r="L1804" s="31" t="s">
        <v>769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852</v>
      </c>
      <c r="D1805" s="31" t="s">
        <v>575</v>
      </c>
      <c r="E1805" s="31" t="s">
        <v>781</v>
      </c>
      <c r="F1805" s="31" t="s">
        <v>853</v>
      </c>
      <c r="G1805" s="27">
        <v>25300</v>
      </c>
      <c r="H1805" s="31" t="s">
        <v>63</v>
      </c>
      <c r="I1805" s="31" t="s">
        <v>1274</v>
      </c>
      <c r="J1805" s="26" t="s">
        <v>775</v>
      </c>
      <c r="K1805" s="27">
        <v>25300</v>
      </c>
      <c r="L1805" s="31" t="s">
        <v>769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780</v>
      </c>
      <c r="D1806" s="31" t="s">
        <v>575</v>
      </c>
      <c r="E1806" s="31" t="s">
        <v>885</v>
      </c>
      <c r="F1806" s="31" t="s">
        <v>773</v>
      </c>
      <c r="G1806" s="27">
        <v>8600</v>
      </c>
      <c r="H1806" s="31" t="s">
        <v>63</v>
      </c>
      <c r="I1806" s="31" t="s">
        <v>992</v>
      </c>
      <c r="J1806" s="26" t="s">
        <v>775</v>
      </c>
      <c r="K1806" s="27">
        <v>8600</v>
      </c>
      <c r="L1806" s="31" t="s">
        <v>769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196</v>
      </c>
      <c r="D1807" s="31" t="s">
        <v>575</v>
      </c>
      <c r="E1807" s="31" t="s">
        <v>781</v>
      </c>
      <c r="F1807" s="31" t="s">
        <v>854</v>
      </c>
      <c r="G1807" s="27">
        <v>-19600</v>
      </c>
      <c r="H1807" s="31" t="s">
        <v>63</v>
      </c>
      <c r="I1807" s="31"/>
      <c r="J1807" s="26" t="s">
        <v>775</v>
      </c>
      <c r="K1807" s="27">
        <v>-19600</v>
      </c>
      <c r="L1807" s="31" t="s">
        <v>769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780</v>
      </c>
      <c r="D1808" s="31" t="s">
        <v>811</v>
      </c>
      <c r="E1808" s="31"/>
      <c r="F1808" s="31" t="s">
        <v>1454</v>
      </c>
      <c r="G1808" s="27">
        <v>10200</v>
      </c>
      <c r="H1808" s="31" t="s">
        <v>63</v>
      </c>
      <c r="I1808" s="31" t="s">
        <v>619</v>
      </c>
      <c r="J1808" s="26" t="s">
        <v>768</v>
      </c>
      <c r="K1808" s="27">
        <v>10200</v>
      </c>
      <c r="L1808" s="31" t="s">
        <v>769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780</v>
      </c>
      <c r="D1809" s="31" t="s">
        <v>576</v>
      </c>
      <c r="E1809" s="31"/>
      <c r="F1809" s="31" t="s">
        <v>576</v>
      </c>
      <c r="G1809" s="27">
        <v>5000</v>
      </c>
      <c r="H1809" s="31" t="s">
        <v>63</v>
      </c>
      <c r="I1809" s="31"/>
      <c r="J1809" s="26" t="s">
        <v>778</v>
      </c>
      <c r="K1809" s="27">
        <v>5000</v>
      </c>
      <c r="L1809" s="31" t="s">
        <v>769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780</v>
      </c>
      <c r="D1810" s="31" t="s">
        <v>575</v>
      </c>
      <c r="E1810" s="31" t="s">
        <v>885</v>
      </c>
      <c r="F1810" s="31" t="s">
        <v>773</v>
      </c>
      <c r="G1810" s="27">
        <v>5900</v>
      </c>
      <c r="H1810" s="31" t="s">
        <v>63</v>
      </c>
      <c r="I1810" s="31" t="s">
        <v>72</v>
      </c>
      <c r="J1810" s="26" t="s">
        <v>775</v>
      </c>
      <c r="K1810" s="27">
        <v>5900</v>
      </c>
      <c r="L1810" s="31" t="s">
        <v>769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163</v>
      </c>
      <c r="D1811" s="31" t="s">
        <v>817</v>
      </c>
      <c r="E1811" s="31"/>
      <c r="F1811" s="31" t="s">
        <v>661</v>
      </c>
      <c r="G1811" s="27">
        <v>35000</v>
      </c>
      <c r="H1811" s="31" t="s">
        <v>63</v>
      </c>
      <c r="I1811" s="31"/>
      <c r="J1811" s="26" t="s">
        <v>799</v>
      </c>
      <c r="K1811" s="27">
        <v>35000</v>
      </c>
      <c r="L1811" s="31" t="s">
        <v>769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852</v>
      </c>
      <c r="D1812" s="31" t="s">
        <v>796</v>
      </c>
      <c r="E1812" s="31"/>
      <c r="F1812" s="31" t="s">
        <v>488</v>
      </c>
      <c r="G1812" s="27">
        <v>14670</v>
      </c>
      <c r="H1812" s="31" t="s">
        <v>63</v>
      </c>
      <c r="I1812" s="31" t="s">
        <v>1455</v>
      </c>
      <c r="J1812" s="26" t="s">
        <v>801</v>
      </c>
      <c r="K1812" s="27">
        <v>14670</v>
      </c>
      <c r="L1812" s="31" t="s">
        <v>769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852</v>
      </c>
      <c r="D1813" s="31" t="s">
        <v>796</v>
      </c>
      <c r="E1813" s="31"/>
      <c r="F1813" s="31" t="s">
        <v>488</v>
      </c>
      <c r="G1813" s="27">
        <v>21780</v>
      </c>
      <c r="H1813" s="31" t="s">
        <v>63</v>
      </c>
      <c r="I1813" s="31" t="s">
        <v>1456</v>
      </c>
      <c r="J1813" s="26" t="s">
        <v>801</v>
      </c>
      <c r="K1813" s="27">
        <v>21780</v>
      </c>
      <c r="L1813" s="31" t="s">
        <v>769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163</v>
      </c>
      <c r="D1814" s="31" t="s">
        <v>171</v>
      </c>
      <c r="E1814" s="31"/>
      <c r="F1814" s="31" t="s">
        <v>81</v>
      </c>
      <c r="G1814" s="27">
        <v>93200</v>
      </c>
      <c r="H1814" s="31" t="s">
        <v>807</v>
      </c>
      <c r="I1814" s="31"/>
      <c r="J1814" s="26" t="s">
        <v>805</v>
      </c>
      <c r="K1814" s="27">
        <v>93200</v>
      </c>
      <c r="L1814" s="31" t="s">
        <v>769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171</v>
      </c>
      <c r="D1815" s="31" t="s">
        <v>163</v>
      </c>
      <c r="E1815" s="31"/>
      <c r="F1815" s="31" t="s">
        <v>81</v>
      </c>
      <c r="G1815" s="27">
        <v>93200</v>
      </c>
      <c r="H1815" s="31" t="s">
        <v>804</v>
      </c>
      <c r="I1815" s="31"/>
      <c r="J1815" s="26" t="s">
        <v>805</v>
      </c>
      <c r="K1815" s="27">
        <v>93200</v>
      </c>
      <c r="L1815" s="31" t="s">
        <v>769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171</v>
      </c>
      <c r="D1816" s="31" t="s">
        <v>1433</v>
      </c>
      <c r="E1816" s="31"/>
      <c r="F1816" s="31" t="s">
        <v>828</v>
      </c>
      <c r="G1816" s="27">
        <v>93200</v>
      </c>
      <c r="H1816" s="31" t="s">
        <v>807</v>
      </c>
      <c r="I1816" s="31"/>
      <c r="J1816" s="26" t="s">
        <v>805</v>
      </c>
      <c r="K1816" s="27">
        <v>93200</v>
      </c>
      <c r="L1816" s="31" t="s">
        <v>769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1433</v>
      </c>
      <c r="D1817" s="31" t="s">
        <v>171</v>
      </c>
      <c r="E1817" s="31"/>
      <c r="F1817" s="31" t="s">
        <v>828</v>
      </c>
      <c r="G1817" s="27">
        <v>93200</v>
      </c>
      <c r="H1817" s="31" t="s">
        <v>804</v>
      </c>
      <c r="I1817" s="31"/>
      <c r="J1817" s="26" t="s">
        <v>805</v>
      </c>
      <c r="K1817" s="27">
        <v>93200</v>
      </c>
      <c r="L1817" s="31" t="s">
        <v>769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780</v>
      </c>
      <c r="D1818" s="31" t="s">
        <v>575</v>
      </c>
      <c r="E1818" s="31" t="s">
        <v>885</v>
      </c>
      <c r="F1818" s="31" t="s">
        <v>773</v>
      </c>
      <c r="G1818" s="27">
        <v>4200</v>
      </c>
      <c r="H1818" s="31" t="s">
        <v>63</v>
      </c>
      <c r="I1818" s="31" t="s">
        <v>992</v>
      </c>
      <c r="J1818" s="26" t="s">
        <v>775</v>
      </c>
      <c r="K1818" s="27">
        <v>4200</v>
      </c>
      <c r="L1818" s="31" t="s">
        <v>769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780</v>
      </c>
      <c r="D1819" s="31" t="s">
        <v>576</v>
      </c>
      <c r="E1819" s="31"/>
      <c r="F1819" s="31" t="s">
        <v>576</v>
      </c>
      <c r="G1819" s="27">
        <v>5000</v>
      </c>
      <c r="H1819" s="31" t="s">
        <v>63</v>
      </c>
      <c r="I1819" s="31"/>
      <c r="J1819" s="26" t="s">
        <v>778</v>
      </c>
      <c r="K1819" s="27">
        <v>5000</v>
      </c>
      <c r="L1819" s="31" t="s">
        <v>769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780</v>
      </c>
      <c r="D1820" s="31" t="s">
        <v>843</v>
      </c>
      <c r="E1820" s="31" t="s">
        <v>844</v>
      </c>
      <c r="F1820" s="31" t="s">
        <v>970</v>
      </c>
      <c r="G1820" s="27">
        <v>13500</v>
      </c>
      <c r="H1820" s="31" t="s">
        <v>63</v>
      </c>
      <c r="I1820" s="31" t="s">
        <v>1457</v>
      </c>
      <c r="J1820" s="26" t="s">
        <v>775</v>
      </c>
      <c r="K1820" s="27">
        <v>13500</v>
      </c>
      <c r="L1820" s="31" t="s">
        <v>769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766</v>
      </c>
      <c r="D1821" s="31" t="s">
        <v>575</v>
      </c>
      <c r="E1821" s="31" t="s">
        <v>781</v>
      </c>
      <c r="F1821" s="31" t="s">
        <v>773</v>
      </c>
      <c r="G1821" s="27">
        <v>10700</v>
      </c>
      <c r="H1821" s="31" t="s">
        <v>63</v>
      </c>
      <c r="I1821" s="31" t="s">
        <v>72</v>
      </c>
      <c r="J1821" s="26" t="s">
        <v>775</v>
      </c>
      <c r="K1821" s="27">
        <v>10700</v>
      </c>
      <c r="L1821" s="31" t="s">
        <v>769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766</v>
      </c>
      <c r="D1822" s="31" t="s">
        <v>576</v>
      </c>
      <c r="E1822" s="31"/>
      <c r="F1822" s="31" t="s">
        <v>576</v>
      </c>
      <c r="G1822" s="27">
        <v>5000</v>
      </c>
      <c r="H1822" s="31" t="s">
        <v>63</v>
      </c>
      <c r="I1822" s="31"/>
      <c r="J1822" s="26" t="s">
        <v>778</v>
      </c>
      <c r="K1822" s="27">
        <v>5000</v>
      </c>
      <c r="L1822" s="31" t="s">
        <v>769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766</v>
      </c>
      <c r="D1823" s="31" t="s">
        <v>575</v>
      </c>
      <c r="E1823" s="31" t="s">
        <v>885</v>
      </c>
      <c r="F1823" s="31" t="s">
        <v>773</v>
      </c>
      <c r="G1823" s="27">
        <v>7200</v>
      </c>
      <c r="H1823" s="31" t="s">
        <v>63</v>
      </c>
      <c r="I1823" s="31" t="s">
        <v>992</v>
      </c>
      <c r="J1823" s="26" t="s">
        <v>775</v>
      </c>
      <c r="K1823" s="27">
        <v>7200</v>
      </c>
      <c r="L1823" s="31" t="s">
        <v>769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766</v>
      </c>
      <c r="D1824" s="31" t="s">
        <v>796</v>
      </c>
      <c r="E1824" s="31"/>
      <c r="F1824" s="31" t="s">
        <v>1129</v>
      </c>
      <c r="G1824" s="27">
        <v>32900</v>
      </c>
      <c r="H1824" s="31" t="s">
        <v>63</v>
      </c>
      <c r="I1824" s="31" t="s">
        <v>1458</v>
      </c>
      <c r="J1824" s="26" t="s">
        <v>801</v>
      </c>
      <c r="K1824" s="27">
        <v>32900</v>
      </c>
      <c r="L1824" s="31" t="s">
        <v>769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1279</v>
      </c>
      <c r="D1825" s="31" t="s">
        <v>22</v>
      </c>
      <c r="E1825" s="31"/>
      <c r="F1825" s="31" t="s">
        <v>1311</v>
      </c>
      <c r="G1825" s="27">
        <v>500</v>
      </c>
      <c r="H1825" s="31" t="s">
        <v>520</v>
      </c>
      <c r="I1825" s="31"/>
      <c r="J1825" s="26" t="s">
        <v>824</v>
      </c>
      <c r="K1825" s="27">
        <v>500</v>
      </c>
      <c r="L1825" s="31" t="s">
        <v>769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766</v>
      </c>
      <c r="D1826" s="31" t="s">
        <v>575</v>
      </c>
      <c r="E1826" s="31" t="s">
        <v>781</v>
      </c>
      <c r="F1826" s="31" t="s">
        <v>1174</v>
      </c>
      <c r="G1826" s="27">
        <v>9800</v>
      </c>
      <c r="H1826" s="31" t="s">
        <v>63</v>
      </c>
      <c r="I1826" s="31"/>
      <c r="J1826" s="26" t="s">
        <v>775</v>
      </c>
      <c r="K1826" s="27">
        <v>9800</v>
      </c>
      <c r="L1826" s="31" t="s">
        <v>769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766</v>
      </c>
      <c r="D1827" s="31" t="s">
        <v>575</v>
      </c>
      <c r="E1827" s="31" t="s">
        <v>772</v>
      </c>
      <c r="F1827" s="31" t="s">
        <v>773</v>
      </c>
      <c r="G1827" s="27">
        <v>3300</v>
      </c>
      <c r="H1827" s="31" t="s">
        <v>63</v>
      </c>
      <c r="I1827" s="31" t="s">
        <v>1358</v>
      </c>
      <c r="J1827" s="26" t="s">
        <v>775</v>
      </c>
      <c r="K1827" s="27">
        <v>3300</v>
      </c>
      <c r="L1827" s="31" t="s">
        <v>769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766</v>
      </c>
      <c r="D1828" s="31" t="s">
        <v>796</v>
      </c>
      <c r="E1828" s="31"/>
      <c r="F1828" s="31" t="s">
        <v>1459</v>
      </c>
      <c r="G1828" s="27">
        <v>49800</v>
      </c>
      <c r="H1828" s="31" t="s">
        <v>63</v>
      </c>
      <c r="I1828" s="31" t="s">
        <v>1460</v>
      </c>
      <c r="J1828" s="26" t="s">
        <v>801</v>
      </c>
      <c r="K1828" s="27">
        <v>49800</v>
      </c>
      <c r="L1828" s="31" t="s">
        <v>769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1279</v>
      </c>
      <c r="D1829" s="31" t="s">
        <v>912</v>
      </c>
      <c r="E1829" s="31" t="s">
        <v>1190</v>
      </c>
      <c r="F1829" s="31" t="s">
        <v>1461</v>
      </c>
      <c r="G1829" s="27">
        <v>39100</v>
      </c>
      <c r="H1829" s="31" t="s">
        <v>63</v>
      </c>
      <c r="I1829" s="31" t="s">
        <v>1462</v>
      </c>
      <c r="J1829" s="26" t="s">
        <v>783</v>
      </c>
      <c r="K1829" s="27">
        <v>19550</v>
      </c>
      <c r="L1829" s="31" t="s">
        <v>199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1279</v>
      </c>
      <c r="D1830" s="31" t="s">
        <v>912</v>
      </c>
      <c r="E1830" s="31" t="s">
        <v>1190</v>
      </c>
      <c r="F1830" s="31" t="s">
        <v>989</v>
      </c>
      <c r="G1830" s="27">
        <v>8260</v>
      </c>
      <c r="H1830" s="31" t="s">
        <v>63</v>
      </c>
      <c r="I1830" s="31" t="s">
        <v>1463</v>
      </c>
      <c r="J1830" s="26" t="s">
        <v>783</v>
      </c>
      <c r="K1830" s="27">
        <v>4130</v>
      </c>
      <c r="L1830" s="31" t="s">
        <v>199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766</v>
      </c>
      <c r="D1831" s="31" t="s">
        <v>942</v>
      </c>
      <c r="E1831" s="31"/>
      <c r="F1831" s="31" t="s">
        <v>1094</v>
      </c>
      <c r="G1831" s="27">
        <v>33200</v>
      </c>
      <c r="H1831" s="31" t="s">
        <v>63</v>
      </c>
      <c r="I1831" s="31" t="s">
        <v>1464</v>
      </c>
      <c r="J1831" s="26" t="s">
        <v>775</v>
      </c>
      <c r="K1831" s="27">
        <v>33200</v>
      </c>
      <c r="L1831" s="31" t="s">
        <v>769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766</v>
      </c>
      <c r="D1832" s="31" t="s">
        <v>576</v>
      </c>
      <c r="E1832" s="31"/>
      <c r="F1832" s="31" t="s">
        <v>576</v>
      </c>
      <c r="G1832" s="27">
        <v>4500</v>
      </c>
      <c r="H1832" s="31" t="s">
        <v>63</v>
      </c>
      <c r="I1832" s="31"/>
      <c r="J1832" s="26" t="s">
        <v>778</v>
      </c>
      <c r="K1832" s="27">
        <v>4500</v>
      </c>
      <c r="L1832" s="31" t="s">
        <v>769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852</v>
      </c>
      <c r="D1833" s="31" t="s">
        <v>575</v>
      </c>
      <c r="E1833" s="31" t="s">
        <v>792</v>
      </c>
      <c r="F1833" s="31" t="s">
        <v>853</v>
      </c>
      <c r="G1833" s="27">
        <v>12410</v>
      </c>
      <c r="H1833" s="31" t="s">
        <v>63</v>
      </c>
      <c r="I1833" s="31" t="s">
        <v>995</v>
      </c>
      <c r="J1833" s="26" t="s">
        <v>775</v>
      </c>
      <c r="K1833" s="27">
        <v>12410</v>
      </c>
      <c r="L1833" s="31" t="s">
        <v>769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766</v>
      </c>
      <c r="D1834" s="31" t="s">
        <v>796</v>
      </c>
      <c r="E1834" s="31"/>
      <c r="F1834" s="31" t="s">
        <v>797</v>
      </c>
      <c r="G1834" s="27">
        <v>48500</v>
      </c>
      <c r="H1834" s="31" t="s">
        <v>63</v>
      </c>
      <c r="I1834" s="31"/>
      <c r="J1834" s="26" t="s">
        <v>801</v>
      </c>
      <c r="K1834" s="27">
        <v>48500</v>
      </c>
      <c r="L1834" s="31" t="s">
        <v>769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766</v>
      </c>
      <c r="D1835" s="31" t="s">
        <v>576</v>
      </c>
      <c r="E1835" s="31"/>
      <c r="F1835" s="31" t="s">
        <v>576</v>
      </c>
      <c r="G1835" s="27">
        <v>5000</v>
      </c>
      <c r="H1835" s="31" t="s">
        <v>63</v>
      </c>
      <c r="I1835" s="31"/>
      <c r="J1835" s="26" t="s">
        <v>778</v>
      </c>
      <c r="K1835" s="27">
        <v>5000</v>
      </c>
      <c r="L1835" s="31" t="s">
        <v>769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766</v>
      </c>
      <c r="D1836" s="31" t="s">
        <v>575</v>
      </c>
      <c r="E1836" s="31" t="s">
        <v>772</v>
      </c>
      <c r="F1836" s="31" t="s">
        <v>773</v>
      </c>
      <c r="G1836" s="27">
        <v>5300</v>
      </c>
      <c r="H1836" s="31" t="s">
        <v>63</v>
      </c>
      <c r="I1836" s="31" t="s">
        <v>859</v>
      </c>
      <c r="J1836" s="26" t="s">
        <v>775</v>
      </c>
      <c r="K1836" s="27">
        <v>5300</v>
      </c>
      <c r="L1836" s="31" t="s">
        <v>769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1279</v>
      </c>
      <c r="D1837" s="31" t="s">
        <v>912</v>
      </c>
      <c r="E1837" s="31" t="s">
        <v>1190</v>
      </c>
      <c r="F1837" s="31" t="s">
        <v>1465</v>
      </c>
      <c r="G1837" s="27">
        <v>48500</v>
      </c>
      <c r="H1837" s="31" t="s">
        <v>63</v>
      </c>
      <c r="I1837" s="31" t="s">
        <v>1466</v>
      </c>
      <c r="J1837" s="26" t="s">
        <v>783</v>
      </c>
      <c r="K1837" s="27">
        <v>24250</v>
      </c>
      <c r="L1837" s="31" t="s">
        <v>199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1279</v>
      </c>
      <c r="D1838" s="31" t="s">
        <v>912</v>
      </c>
      <c r="E1838" s="31" t="s">
        <v>1190</v>
      </c>
      <c r="F1838" s="31" t="s">
        <v>1467</v>
      </c>
      <c r="G1838" s="27">
        <v>20400</v>
      </c>
      <c r="H1838" s="31" t="s">
        <v>63</v>
      </c>
      <c r="I1838" s="31" t="s">
        <v>1468</v>
      </c>
      <c r="J1838" s="26" t="s">
        <v>783</v>
      </c>
      <c r="K1838" s="27">
        <v>10200</v>
      </c>
      <c r="L1838" s="31" t="s">
        <v>199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766</v>
      </c>
      <c r="D1839" s="31" t="s">
        <v>575</v>
      </c>
      <c r="E1839" s="31" t="s">
        <v>772</v>
      </c>
      <c r="F1839" s="31" t="s">
        <v>773</v>
      </c>
      <c r="G1839" s="27">
        <v>3300</v>
      </c>
      <c r="H1839" s="31" t="s">
        <v>63</v>
      </c>
      <c r="I1839" s="31" t="s">
        <v>794</v>
      </c>
      <c r="J1839" s="26" t="s">
        <v>775</v>
      </c>
      <c r="K1839" s="27">
        <v>3300</v>
      </c>
      <c r="L1839" s="31" t="s">
        <v>769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766</v>
      </c>
      <c r="D1840" s="31" t="s">
        <v>912</v>
      </c>
      <c r="E1840" s="31" t="s">
        <v>1190</v>
      </c>
      <c r="F1840" s="31" t="s">
        <v>1469</v>
      </c>
      <c r="G1840" s="27">
        <v>192311</v>
      </c>
      <c r="H1840" s="31" t="s">
        <v>63</v>
      </c>
      <c r="I1840" s="31" t="s">
        <v>1470</v>
      </c>
      <c r="J1840" s="26" t="s">
        <v>68</v>
      </c>
      <c r="K1840" s="27">
        <v>192311</v>
      </c>
      <c r="L1840" s="31" t="s">
        <v>769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766</v>
      </c>
      <c r="D1841" s="31" t="s">
        <v>946</v>
      </c>
      <c r="E1841" s="31"/>
      <c r="F1841" s="31" t="s">
        <v>1471</v>
      </c>
      <c r="G1841" s="27">
        <v>42000</v>
      </c>
      <c r="H1841" s="31" t="s">
        <v>63</v>
      </c>
      <c r="I1841" s="31" t="s">
        <v>1472</v>
      </c>
      <c r="J1841" s="26" t="s">
        <v>775</v>
      </c>
      <c r="K1841" s="27">
        <v>42000</v>
      </c>
      <c r="L1841" s="31" t="s">
        <v>769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766</v>
      </c>
      <c r="D1842" s="31" t="s">
        <v>840</v>
      </c>
      <c r="E1842" s="31"/>
      <c r="F1842" s="31" t="s">
        <v>989</v>
      </c>
      <c r="G1842" s="27">
        <v>30800</v>
      </c>
      <c r="H1842" s="31" t="s">
        <v>63</v>
      </c>
      <c r="I1842" s="31" t="s">
        <v>658</v>
      </c>
      <c r="J1842" s="26" t="s">
        <v>787</v>
      </c>
      <c r="K1842" s="27">
        <v>30800</v>
      </c>
      <c r="L1842" s="31" t="s">
        <v>769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766</v>
      </c>
      <c r="D1843" s="31" t="s">
        <v>796</v>
      </c>
      <c r="E1843" s="31"/>
      <c r="F1843" s="31" t="s">
        <v>1105</v>
      </c>
      <c r="G1843" s="27">
        <v>34000</v>
      </c>
      <c r="H1843" s="31" t="s">
        <v>63</v>
      </c>
      <c r="I1843" s="31" t="s">
        <v>1473</v>
      </c>
      <c r="J1843" s="26" t="s">
        <v>801</v>
      </c>
      <c r="K1843" s="27">
        <v>34000</v>
      </c>
      <c r="L1843" s="31" t="s">
        <v>769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766</v>
      </c>
      <c r="D1844" s="31" t="s">
        <v>575</v>
      </c>
      <c r="E1844" s="31" t="s">
        <v>772</v>
      </c>
      <c r="F1844" s="31" t="s">
        <v>773</v>
      </c>
      <c r="G1844" s="27">
        <v>1500</v>
      </c>
      <c r="H1844" s="31" t="s">
        <v>63</v>
      </c>
      <c r="I1844" s="31" t="s">
        <v>1357</v>
      </c>
      <c r="J1844" s="26" t="s">
        <v>775</v>
      </c>
      <c r="K1844" s="27">
        <v>1500</v>
      </c>
      <c r="L1844" s="31" t="s">
        <v>769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766</v>
      </c>
      <c r="D1845" s="31" t="s">
        <v>576</v>
      </c>
      <c r="E1845" s="31"/>
      <c r="F1845" s="31" t="s">
        <v>576</v>
      </c>
      <c r="G1845" s="27">
        <v>5000</v>
      </c>
      <c r="H1845" s="31" t="s">
        <v>63</v>
      </c>
      <c r="I1845" s="31"/>
      <c r="J1845" s="26" t="s">
        <v>778</v>
      </c>
      <c r="K1845" s="27">
        <v>5000</v>
      </c>
      <c r="L1845" s="31" t="s">
        <v>769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780</v>
      </c>
      <c r="D1846" s="31" t="s">
        <v>876</v>
      </c>
      <c r="E1846" s="31"/>
      <c r="F1846" s="31" t="s">
        <v>649</v>
      </c>
      <c r="G1846" s="27">
        <v>43420</v>
      </c>
      <c r="H1846" s="31" t="s">
        <v>63</v>
      </c>
      <c r="I1846" s="31"/>
      <c r="J1846" s="26" t="s">
        <v>768</v>
      </c>
      <c r="K1846" s="27">
        <v>43420</v>
      </c>
      <c r="L1846" s="31" t="s">
        <v>769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766</v>
      </c>
      <c r="D1847" s="31" t="s">
        <v>575</v>
      </c>
      <c r="E1847" s="31" t="s">
        <v>781</v>
      </c>
      <c r="F1847" s="31" t="s">
        <v>1474</v>
      </c>
      <c r="G1847" s="27">
        <v>11900</v>
      </c>
      <c r="H1847" s="31" t="s">
        <v>63</v>
      </c>
      <c r="I1847" s="31"/>
      <c r="J1847" s="26" t="s">
        <v>775</v>
      </c>
      <c r="K1847" s="27">
        <v>11900</v>
      </c>
      <c r="L1847" s="31" t="s">
        <v>769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881</v>
      </c>
      <c r="D1848" s="31" t="s">
        <v>22</v>
      </c>
      <c r="E1848" s="31"/>
      <c r="F1848" s="31" t="s">
        <v>1475</v>
      </c>
      <c r="G1848" s="27">
        <v>90</v>
      </c>
      <c r="H1848" s="31" t="s">
        <v>520</v>
      </c>
      <c r="I1848" s="31"/>
      <c r="J1848" s="26" t="s">
        <v>824</v>
      </c>
      <c r="K1848" s="27">
        <v>90</v>
      </c>
      <c r="L1848" s="31" t="s">
        <v>769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163</v>
      </c>
      <c r="D1849" s="31" t="s">
        <v>22</v>
      </c>
      <c r="E1849" s="31"/>
      <c r="F1849" s="31" t="s">
        <v>188</v>
      </c>
      <c r="G1849" s="27">
        <v>10603</v>
      </c>
      <c r="H1849" s="31" t="s">
        <v>520</v>
      </c>
      <c r="I1849" s="31"/>
      <c r="J1849" s="26" t="s">
        <v>824</v>
      </c>
      <c r="K1849" s="27">
        <v>10603</v>
      </c>
      <c r="L1849" s="31" t="s">
        <v>769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559</v>
      </c>
      <c r="D1850" s="31" t="s">
        <v>821</v>
      </c>
      <c r="E1850" s="31"/>
      <c r="F1850" s="31" t="s">
        <v>858</v>
      </c>
      <c r="G1850" s="27">
        <v>20000</v>
      </c>
      <c r="H1850" s="31" t="s">
        <v>520</v>
      </c>
      <c r="I1850" s="31"/>
      <c r="J1850" s="26" t="s">
        <v>821</v>
      </c>
      <c r="K1850" s="27">
        <v>20000</v>
      </c>
      <c r="L1850" s="31" t="s">
        <v>769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766</v>
      </c>
      <c r="D1851" s="31" t="s">
        <v>575</v>
      </c>
      <c r="E1851" s="31" t="s">
        <v>772</v>
      </c>
      <c r="F1851" s="31" t="s">
        <v>773</v>
      </c>
      <c r="G1851" s="27">
        <v>4200</v>
      </c>
      <c r="H1851" s="31" t="s">
        <v>63</v>
      </c>
      <c r="I1851" s="31" t="s">
        <v>1301</v>
      </c>
      <c r="J1851" s="26" t="s">
        <v>775</v>
      </c>
      <c r="K1851" s="27">
        <v>4200</v>
      </c>
      <c r="L1851" s="31" t="s">
        <v>769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766</v>
      </c>
      <c r="D1852" s="31" t="s">
        <v>576</v>
      </c>
      <c r="E1852" s="31"/>
      <c r="F1852" s="31" t="s">
        <v>576</v>
      </c>
      <c r="G1852" s="27">
        <v>5000</v>
      </c>
      <c r="H1852" s="31" t="s">
        <v>63</v>
      </c>
      <c r="I1852" s="31"/>
      <c r="J1852" s="26" t="s">
        <v>778</v>
      </c>
      <c r="K1852" s="27">
        <v>5000</v>
      </c>
      <c r="L1852" s="31" t="s">
        <v>769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766</v>
      </c>
      <c r="D1853" s="31" t="s">
        <v>575</v>
      </c>
      <c r="E1853" s="31" t="s">
        <v>781</v>
      </c>
      <c r="F1853" s="31" t="s">
        <v>1057</v>
      </c>
      <c r="G1853" s="27">
        <v>9000</v>
      </c>
      <c r="H1853" s="31" t="s">
        <v>63</v>
      </c>
      <c r="I1853" s="31"/>
      <c r="J1853" s="26" t="s">
        <v>775</v>
      </c>
      <c r="K1853" s="27">
        <v>9000</v>
      </c>
      <c r="L1853" s="31" t="s">
        <v>769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766</v>
      </c>
      <c r="D1854" s="31" t="s">
        <v>575</v>
      </c>
      <c r="E1854" s="31" t="s">
        <v>772</v>
      </c>
      <c r="F1854" s="31" t="s">
        <v>884</v>
      </c>
      <c r="G1854" s="27">
        <v>9200</v>
      </c>
      <c r="H1854" s="31" t="s">
        <v>63</v>
      </c>
      <c r="I1854" s="31"/>
      <c r="J1854" s="26" t="s">
        <v>775</v>
      </c>
      <c r="K1854" s="27">
        <v>9200</v>
      </c>
      <c r="L1854" s="31" t="s">
        <v>769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780</v>
      </c>
      <c r="D1855" s="31" t="s">
        <v>876</v>
      </c>
      <c r="E1855" s="31"/>
      <c r="F1855" s="31" t="s">
        <v>464</v>
      </c>
      <c r="G1855" s="27">
        <v>53620</v>
      </c>
      <c r="H1855" s="31" t="s">
        <v>63</v>
      </c>
      <c r="I1855" s="31"/>
      <c r="J1855" s="26" t="s">
        <v>768</v>
      </c>
      <c r="K1855" s="27">
        <v>53620</v>
      </c>
      <c r="L1855" s="31" t="s">
        <v>769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163</v>
      </c>
      <c r="D1856" s="31" t="s">
        <v>796</v>
      </c>
      <c r="E1856" s="31"/>
      <c r="F1856" s="31" t="s">
        <v>1476</v>
      </c>
      <c r="G1856" s="27">
        <v>6300</v>
      </c>
      <c r="H1856" s="31" t="s">
        <v>63</v>
      </c>
      <c r="I1856" s="31"/>
      <c r="J1856" s="26" t="s">
        <v>801</v>
      </c>
      <c r="K1856" s="27">
        <v>6300</v>
      </c>
      <c r="L1856" s="31" t="s">
        <v>769</v>
      </c>
      <c r="M1856" s="31" t="s">
        <v>1477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766</v>
      </c>
      <c r="D1857" s="31" t="s">
        <v>576</v>
      </c>
      <c r="E1857" s="31"/>
      <c r="F1857" s="31" t="s">
        <v>576</v>
      </c>
      <c r="G1857" s="27">
        <v>5000</v>
      </c>
      <c r="H1857" s="31" t="s">
        <v>63</v>
      </c>
      <c r="I1857" s="31"/>
      <c r="J1857" s="26" t="s">
        <v>778</v>
      </c>
      <c r="K1857" s="27">
        <v>5000</v>
      </c>
      <c r="L1857" s="31" t="s">
        <v>769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766</v>
      </c>
      <c r="D1858" s="31" t="s">
        <v>575</v>
      </c>
      <c r="E1858" s="31" t="s">
        <v>885</v>
      </c>
      <c r="F1858" s="31" t="s">
        <v>773</v>
      </c>
      <c r="G1858" s="27">
        <v>3200</v>
      </c>
      <c r="H1858" s="31" t="s">
        <v>63</v>
      </c>
      <c r="I1858" s="31" t="s">
        <v>992</v>
      </c>
      <c r="J1858" s="26" t="s">
        <v>775</v>
      </c>
      <c r="K1858" s="27">
        <v>3200</v>
      </c>
      <c r="L1858" s="31" t="s">
        <v>769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852</v>
      </c>
      <c r="D1859" s="31" t="s">
        <v>796</v>
      </c>
      <c r="E1859" s="31"/>
      <c r="F1859" s="31" t="s">
        <v>488</v>
      </c>
      <c r="G1859" s="27">
        <v>3900</v>
      </c>
      <c r="H1859" s="31" t="s">
        <v>63</v>
      </c>
      <c r="I1859" s="31" t="s">
        <v>1478</v>
      </c>
      <c r="J1859" s="26" t="s">
        <v>801</v>
      </c>
      <c r="K1859" s="27">
        <v>3900</v>
      </c>
      <c r="L1859" s="31" t="s">
        <v>769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852</v>
      </c>
      <c r="D1860" s="31" t="s">
        <v>796</v>
      </c>
      <c r="E1860" s="31"/>
      <c r="F1860" s="31" t="s">
        <v>488</v>
      </c>
      <c r="G1860" s="27">
        <v>29800</v>
      </c>
      <c r="H1860" s="31" t="s">
        <v>63</v>
      </c>
      <c r="I1860" s="31" t="s">
        <v>1479</v>
      </c>
      <c r="J1860" s="26" t="s">
        <v>801</v>
      </c>
      <c r="K1860" s="27">
        <v>29800</v>
      </c>
      <c r="L1860" s="31" t="s">
        <v>769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766</v>
      </c>
      <c r="D1861" s="31" t="s">
        <v>811</v>
      </c>
      <c r="E1861" s="31"/>
      <c r="F1861" s="31" t="s">
        <v>825</v>
      </c>
      <c r="G1861" s="27">
        <v>12350</v>
      </c>
      <c r="H1861" s="31" t="s">
        <v>63</v>
      </c>
      <c r="I1861" s="31" t="s">
        <v>1480</v>
      </c>
      <c r="J1861" s="26" t="s">
        <v>801</v>
      </c>
      <c r="K1861" s="27">
        <v>12350</v>
      </c>
      <c r="L1861" s="31" t="s">
        <v>769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852</v>
      </c>
      <c r="D1862" s="31" t="s">
        <v>946</v>
      </c>
      <c r="E1862" s="31"/>
      <c r="F1862" s="31" t="s">
        <v>488</v>
      </c>
      <c r="G1862" s="27">
        <v>29730</v>
      </c>
      <c r="H1862" s="31" t="s">
        <v>63</v>
      </c>
      <c r="I1862" s="31" t="s">
        <v>1481</v>
      </c>
      <c r="J1862" s="26" t="s">
        <v>775</v>
      </c>
      <c r="K1862" s="27">
        <v>29730</v>
      </c>
      <c r="L1862" s="31" t="s">
        <v>769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766</v>
      </c>
      <c r="D1863" s="31" t="s">
        <v>811</v>
      </c>
      <c r="E1863" s="31"/>
      <c r="F1863" s="31" t="s">
        <v>825</v>
      </c>
      <c r="G1863" s="27">
        <v>27500</v>
      </c>
      <c r="H1863" s="31" t="s">
        <v>63</v>
      </c>
      <c r="I1863" s="31" t="s">
        <v>1440</v>
      </c>
      <c r="J1863" s="26" t="s">
        <v>801</v>
      </c>
      <c r="K1863" s="27">
        <v>27500</v>
      </c>
      <c r="L1863" s="31" t="s">
        <v>769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852</v>
      </c>
      <c r="D1864" s="31" t="s">
        <v>811</v>
      </c>
      <c r="E1864" s="31"/>
      <c r="F1864" s="31" t="s">
        <v>488</v>
      </c>
      <c r="G1864" s="27">
        <v>16890</v>
      </c>
      <c r="H1864" s="31" t="s">
        <v>63</v>
      </c>
      <c r="I1864" s="31" t="s">
        <v>1482</v>
      </c>
      <c r="J1864" s="26" t="s">
        <v>801</v>
      </c>
      <c r="K1864" s="27">
        <v>16890</v>
      </c>
      <c r="L1864" s="31" t="s">
        <v>769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766</v>
      </c>
      <c r="D1865" s="31" t="s">
        <v>575</v>
      </c>
      <c r="E1865" s="31" t="s">
        <v>772</v>
      </c>
      <c r="F1865" s="31" t="s">
        <v>773</v>
      </c>
      <c r="G1865" s="27">
        <v>2700</v>
      </c>
      <c r="H1865" s="31" t="s">
        <v>63</v>
      </c>
      <c r="I1865" s="31" t="s">
        <v>1221</v>
      </c>
      <c r="J1865" s="26" t="s">
        <v>775</v>
      </c>
      <c r="K1865" s="27">
        <v>2700</v>
      </c>
      <c r="L1865" s="31" t="s">
        <v>769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766</v>
      </c>
      <c r="D1866" s="31" t="s">
        <v>575</v>
      </c>
      <c r="E1866" s="31" t="s">
        <v>781</v>
      </c>
      <c r="F1866" s="31" t="s">
        <v>902</v>
      </c>
      <c r="G1866" s="27">
        <v>11000</v>
      </c>
      <c r="H1866" s="31" t="s">
        <v>63</v>
      </c>
      <c r="I1866" s="31"/>
      <c r="J1866" s="26" t="s">
        <v>775</v>
      </c>
      <c r="K1866" s="27">
        <v>11000</v>
      </c>
      <c r="L1866" s="31" t="s">
        <v>769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766</v>
      </c>
      <c r="D1867" s="31" t="s">
        <v>840</v>
      </c>
      <c r="E1867" s="31"/>
      <c r="F1867" s="31" t="s">
        <v>825</v>
      </c>
      <c r="G1867" s="27">
        <v>23800</v>
      </c>
      <c r="H1867" s="31" t="s">
        <v>63</v>
      </c>
      <c r="I1867" s="31" t="s">
        <v>1483</v>
      </c>
      <c r="J1867" s="26" t="s">
        <v>787</v>
      </c>
      <c r="K1867" s="27">
        <v>23800</v>
      </c>
      <c r="L1867" s="31" t="s">
        <v>769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163</v>
      </c>
      <c r="D1868" s="31" t="s">
        <v>193</v>
      </c>
      <c r="E1868" s="31"/>
      <c r="F1868" s="31" t="s">
        <v>81</v>
      </c>
      <c r="G1868" s="27">
        <v>336100</v>
      </c>
      <c r="H1868" s="31" t="s">
        <v>807</v>
      </c>
      <c r="I1868" s="31"/>
      <c r="J1868" s="26" t="s">
        <v>805</v>
      </c>
      <c r="K1868" s="27">
        <v>336100</v>
      </c>
      <c r="L1868" s="31" t="s">
        <v>769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193</v>
      </c>
      <c r="D1869" s="31" t="s">
        <v>163</v>
      </c>
      <c r="E1869" s="31"/>
      <c r="F1869" s="31" t="s">
        <v>81</v>
      </c>
      <c r="G1869" s="27">
        <v>336100</v>
      </c>
      <c r="H1869" s="31" t="s">
        <v>804</v>
      </c>
      <c r="I1869" s="31"/>
      <c r="J1869" s="26" t="s">
        <v>805</v>
      </c>
      <c r="K1869" s="27">
        <v>336100</v>
      </c>
      <c r="L1869" s="31" t="s">
        <v>769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193</v>
      </c>
      <c r="D1870" s="31" t="s">
        <v>669</v>
      </c>
      <c r="E1870" s="31"/>
      <c r="F1870" s="31" t="s">
        <v>828</v>
      </c>
      <c r="G1870" s="27">
        <v>336100</v>
      </c>
      <c r="H1870" s="31" t="s">
        <v>807</v>
      </c>
      <c r="I1870" s="31"/>
      <c r="J1870" s="26" t="s">
        <v>805</v>
      </c>
      <c r="K1870" s="27">
        <v>336100</v>
      </c>
      <c r="L1870" s="31" t="s">
        <v>769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669</v>
      </c>
      <c r="D1871" s="31" t="s">
        <v>193</v>
      </c>
      <c r="E1871" s="31"/>
      <c r="F1871" s="31" t="s">
        <v>828</v>
      </c>
      <c r="G1871" s="27">
        <v>336100</v>
      </c>
      <c r="H1871" s="31" t="s">
        <v>804</v>
      </c>
      <c r="I1871" s="31"/>
      <c r="J1871" s="26" t="s">
        <v>805</v>
      </c>
      <c r="K1871" s="27">
        <v>336100</v>
      </c>
      <c r="L1871" s="31" t="s">
        <v>769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766</v>
      </c>
      <c r="D1872" s="31" t="s">
        <v>575</v>
      </c>
      <c r="E1872" s="31" t="s">
        <v>885</v>
      </c>
      <c r="F1872" s="31" t="s">
        <v>773</v>
      </c>
      <c r="G1872" s="27">
        <v>4050</v>
      </c>
      <c r="H1872" s="31" t="s">
        <v>63</v>
      </c>
      <c r="I1872" s="31" t="s">
        <v>992</v>
      </c>
      <c r="J1872" s="26" t="s">
        <v>775</v>
      </c>
      <c r="K1872" s="27">
        <v>4050</v>
      </c>
      <c r="L1872" s="31" t="s">
        <v>769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780</v>
      </c>
      <c r="D1873" s="31" t="s">
        <v>906</v>
      </c>
      <c r="E1873" s="31"/>
      <c r="F1873" s="31" t="s">
        <v>1451</v>
      </c>
      <c r="G1873" s="27">
        <v>1000</v>
      </c>
      <c r="H1873" s="31" t="s">
        <v>63</v>
      </c>
      <c r="I1873" s="31" t="s">
        <v>1484</v>
      </c>
      <c r="J1873" s="26" t="s">
        <v>799</v>
      </c>
      <c r="K1873" s="27">
        <v>1000</v>
      </c>
      <c r="L1873" s="31" t="s">
        <v>769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163</v>
      </c>
      <c r="D1874" s="31" t="s">
        <v>187</v>
      </c>
      <c r="E1874" s="31"/>
      <c r="F1874" s="31" t="s">
        <v>81</v>
      </c>
      <c r="G1874" s="27">
        <v>1393483</v>
      </c>
      <c r="H1874" s="31" t="s">
        <v>807</v>
      </c>
      <c r="I1874" s="31"/>
      <c r="J1874" s="26" t="s">
        <v>805</v>
      </c>
      <c r="K1874" s="27">
        <v>1393483</v>
      </c>
      <c r="L1874" s="31" t="s">
        <v>769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187</v>
      </c>
      <c r="D1875" s="31" t="s">
        <v>163</v>
      </c>
      <c r="E1875" s="31"/>
      <c r="F1875" s="31" t="s">
        <v>81</v>
      </c>
      <c r="G1875" s="27">
        <v>1393483</v>
      </c>
      <c r="H1875" s="31" t="s">
        <v>804</v>
      </c>
      <c r="I1875" s="31"/>
      <c r="J1875" s="26" t="s">
        <v>805</v>
      </c>
      <c r="K1875" s="27">
        <v>1393483</v>
      </c>
      <c r="L1875" s="31" t="s">
        <v>769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163</v>
      </c>
      <c r="D1876" s="31" t="s">
        <v>196</v>
      </c>
      <c r="E1876" s="31"/>
      <c r="F1876" s="31" t="s">
        <v>81</v>
      </c>
      <c r="G1876" s="27">
        <v>94000</v>
      </c>
      <c r="H1876" s="31" t="s">
        <v>807</v>
      </c>
      <c r="I1876" s="31"/>
      <c r="J1876" s="26" t="s">
        <v>805</v>
      </c>
      <c r="K1876" s="27">
        <v>94000</v>
      </c>
      <c r="L1876" s="31" t="s">
        <v>769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196</v>
      </c>
      <c r="D1877" s="31" t="s">
        <v>163</v>
      </c>
      <c r="E1877" s="31"/>
      <c r="F1877" s="31" t="s">
        <v>81</v>
      </c>
      <c r="G1877" s="27">
        <v>19600</v>
      </c>
      <c r="H1877" s="31" t="s">
        <v>807</v>
      </c>
      <c r="I1877" s="31" t="s">
        <v>1485</v>
      </c>
      <c r="J1877" s="26" t="s">
        <v>805</v>
      </c>
      <c r="K1877" s="27">
        <v>19600</v>
      </c>
      <c r="L1877" s="31" t="s">
        <v>769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163</v>
      </c>
      <c r="D1878" s="31" t="s">
        <v>196</v>
      </c>
      <c r="E1878" s="31"/>
      <c r="F1878" s="31" t="s">
        <v>81</v>
      </c>
      <c r="G1878" s="27">
        <v>19600</v>
      </c>
      <c r="H1878" s="31" t="s">
        <v>804</v>
      </c>
      <c r="I1878" s="31" t="s">
        <v>1485</v>
      </c>
      <c r="J1878" s="26" t="s">
        <v>805</v>
      </c>
      <c r="K1878" s="27">
        <v>19600</v>
      </c>
      <c r="L1878" s="31" t="s">
        <v>769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196</v>
      </c>
      <c r="D1879" s="31" t="s">
        <v>163</v>
      </c>
      <c r="E1879" s="31"/>
      <c r="F1879" s="31" t="s">
        <v>81</v>
      </c>
      <c r="G1879" s="27">
        <v>94000</v>
      </c>
      <c r="H1879" s="31" t="s">
        <v>804</v>
      </c>
      <c r="I1879" s="31"/>
      <c r="J1879" s="26" t="s">
        <v>805</v>
      </c>
      <c r="K1879" s="27">
        <v>94000</v>
      </c>
      <c r="L1879" s="31" t="s">
        <v>769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852</v>
      </c>
      <c r="D1880" s="31" t="s">
        <v>796</v>
      </c>
      <c r="E1880" s="31"/>
      <c r="F1880" s="31" t="s">
        <v>488</v>
      </c>
      <c r="G1880" s="27">
        <v>11480</v>
      </c>
      <c r="H1880" s="31" t="s">
        <v>63</v>
      </c>
      <c r="I1880" s="31" t="s">
        <v>1486</v>
      </c>
      <c r="J1880" s="26" t="s">
        <v>801</v>
      </c>
      <c r="K1880" s="27">
        <v>11480</v>
      </c>
      <c r="L1880" s="31" t="s">
        <v>769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766</v>
      </c>
      <c r="D1881" s="31" t="s">
        <v>796</v>
      </c>
      <c r="E1881" s="31"/>
      <c r="F1881" s="31" t="s">
        <v>825</v>
      </c>
      <c r="G1881" s="27">
        <v>32800</v>
      </c>
      <c r="H1881" s="31" t="s">
        <v>63</v>
      </c>
      <c r="I1881" s="31" t="s">
        <v>1487</v>
      </c>
      <c r="J1881" s="26" t="s">
        <v>801</v>
      </c>
      <c r="K1881" s="27">
        <v>32800</v>
      </c>
      <c r="L1881" s="31" t="s">
        <v>769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780</v>
      </c>
      <c r="D1882" s="31" t="s">
        <v>811</v>
      </c>
      <c r="E1882" s="31"/>
      <c r="F1882" s="31" t="s">
        <v>1488</v>
      </c>
      <c r="G1882" s="27">
        <v>74700</v>
      </c>
      <c r="H1882" s="31" t="s">
        <v>63</v>
      </c>
      <c r="I1882" s="31" t="s">
        <v>878</v>
      </c>
      <c r="J1882" s="26" t="s">
        <v>768</v>
      </c>
      <c r="K1882" s="27">
        <v>74700</v>
      </c>
      <c r="L1882" s="31" t="s">
        <v>769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163</v>
      </c>
      <c r="D1883" s="31" t="s">
        <v>1279</v>
      </c>
      <c r="E1883" s="31"/>
      <c r="F1883" s="31" t="s">
        <v>858</v>
      </c>
      <c r="G1883" s="27">
        <v>50000</v>
      </c>
      <c r="H1883" s="31" t="s">
        <v>807</v>
      </c>
      <c r="I1883" s="31"/>
      <c r="J1883" s="26" t="s">
        <v>836</v>
      </c>
      <c r="K1883" s="27">
        <v>50000</v>
      </c>
      <c r="L1883" s="31" t="s">
        <v>769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1279</v>
      </c>
      <c r="D1884" s="31" t="s">
        <v>163</v>
      </c>
      <c r="E1884" s="31"/>
      <c r="F1884" s="31" t="s">
        <v>858</v>
      </c>
      <c r="G1884" s="27">
        <v>50000</v>
      </c>
      <c r="H1884" s="31" t="s">
        <v>804</v>
      </c>
      <c r="I1884" s="31"/>
      <c r="J1884" s="26" t="s">
        <v>805</v>
      </c>
      <c r="K1884" s="27">
        <v>50000</v>
      </c>
      <c r="L1884" s="31" t="s">
        <v>769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1279</v>
      </c>
      <c r="D1885" s="31" t="s">
        <v>821</v>
      </c>
      <c r="E1885" s="31"/>
      <c r="F1885" s="31" t="s">
        <v>858</v>
      </c>
      <c r="G1885" s="27">
        <v>50000</v>
      </c>
      <c r="H1885" s="31" t="s">
        <v>520</v>
      </c>
      <c r="I1885" s="31"/>
      <c r="J1885" s="26" t="s">
        <v>821</v>
      </c>
      <c r="K1885" s="27">
        <v>50000</v>
      </c>
      <c r="L1885" s="31" t="s">
        <v>769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1279</v>
      </c>
      <c r="D1886" s="31" t="s">
        <v>912</v>
      </c>
      <c r="E1886" s="31" t="s">
        <v>1190</v>
      </c>
      <c r="F1886" s="31" t="s">
        <v>1489</v>
      </c>
      <c r="G1886" s="27">
        <v>43000</v>
      </c>
      <c r="H1886" s="31" t="s">
        <v>63</v>
      </c>
      <c r="I1886" s="31" t="s">
        <v>1490</v>
      </c>
      <c r="J1886" s="26" t="s">
        <v>783</v>
      </c>
      <c r="K1886" s="27">
        <v>21500</v>
      </c>
      <c r="L1886" s="31" t="s">
        <v>199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1279</v>
      </c>
      <c r="D1887" s="31" t="s">
        <v>912</v>
      </c>
      <c r="E1887" s="31" t="s">
        <v>1190</v>
      </c>
      <c r="F1887" s="31" t="s">
        <v>1491</v>
      </c>
      <c r="G1887" s="27">
        <v>13500</v>
      </c>
      <c r="H1887" s="31" t="s">
        <v>63</v>
      </c>
      <c r="I1887" s="31" t="s">
        <v>1359</v>
      </c>
      <c r="J1887" s="26" t="s">
        <v>783</v>
      </c>
      <c r="K1887" s="27">
        <v>6750</v>
      </c>
      <c r="L1887" s="31" t="s">
        <v>199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766</v>
      </c>
      <c r="D1888" s="31" t="s">
        <v>912</v>
      </c>
      <c r="E1888" s="31" t="s">
        <v>68</v>
      </c>
      <c r="F1888" s="31" t="s">
        <v>1087</v>
      </c>
      <c r="G1888" s="27">
        <v>99200</v>
      </c>
      <c r="H1888" s="31" t="s">
        <v>63</v>
      </c>
      <c r="I1888" s="31" t="s">
        <v>1492</v>
      </c>
      <c r="J1888" s="26" t="s">
        <v>68</v>
      </c>
      <c r="K1888" s="27">
        <v>99200</v>
      </c>
      <c r="L1888" s="31" t="s">
        <v>769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766</v>
      </c>
      <c r="D1889" s="31" t="s">
        <v>912</v>
      </c>
      <c r="E1889" s="31" t="s">
        <v>68</v>
      </c>
      <c r="F1889" s="31" t="s">
        <v>1087</v>
      </c>
      <c r="G1889" s="27">
        <v>113100</v>
      </c>
      <c r="H1889" s="31" t="s">
        <v>63</v>
      </c>
      <c r="I1889" s="31" t="s">
        <v>1493</v>
      </c>
      <c r="J1889" s="26" t="s">
        <v>68</v>
      </c>
      <c r="K1889" s="27">
        <v>113100</v>
      </c>
      <c r="L1889" s="31" t="s">
        <v>769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187</v>
      </c>
      <c r="D1890" s="31" t="s">
        <v>766</v>
      </c>
      <c r="E1890" s="31"/>
      <c r="F1890" s="31" t="s">
        <v>828</v>
      </c>
      <c r="G1890" s="27">
        <v>1393483</v>
      </c>
      <c r="H1890" s="31" t="s">
        <v>807</v>
      </c>
      <c r="I1890" s="31"/>
      <c r="J1890" s="26" t="s">
        <v>805</v>
      </c>
      <c r="K1890" s="27">
        <v>1393483</v>
      </c>
      <c r="L1890" s="31" t="s">
        <v>769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766</v>
      </c>
      <c r="D1891" s="31" t="s">
        <v>187</v>
      </c>
      <c r="E1891" s="31"/>
      <c r="F1891" s="31" t="s">
        <v>828</v>
      </c>
      <c r="G1891" s="27">
        <v>1393483</v>
      </c>
      <c r="H1891" s="31" t="s">
        <v>804</v>
      </c>
      <c r="I1891" s="31"/>
      <c r="J1891" s="26" t="s">
        <v>805</v>
      </c>
      <c r="K1891" s="27">
        <v>1393483</v>
      </c>
      <c r="L1891" s="31" t="s">
        <v>769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766</v>
      </c>
      <c r="D1892" s="31" t="s">
        <v>576</v>
      </c>
      <c r="E1892" s="31"/>
      <c r="F1892" s="31" t="s">
        <v>576</v>
      </c>
      <c r="G1892" s="27">
        <v>5000</v>
      </c>
      <c r="H1892" s="31" t="s">
        <v>63</v>
      </c>
      <c r="I1892" s="31"/>
      <c r="J1892" s="26" t="s">
        <v>778</v>
      </c>
      <c r="K1892" s="27">
        <v>5000</v>
      </c>
      <c r="L1892" s="31" t="s">
        <v>769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766</v>
      </c>
      <c r="D1893" s="31" t="s">
        <v>575</v>
      </c>
      <c r="E1893" s="31" t="s">
        <v>772</v>
      </c>
      <c r="F1893" s="31" t="s">
        <v>773</v>
      </c>
      <c r="G1893" s="27">
        <v>5000</v>
      </c>
      <c r="H1893" s="31" t="s">
        <v>63</v>
      </c>
      <c r="I1893" s="31" t="s">
        <v>1494</v>
      </c>
      <c r="J1893" s="26" t="s">
        <v>775</v>
      </c>
      <c r="K1893" s="27">
        <v>5000</v>
      </c>
      <c r="L1893" s="31" t="s">
        <v>769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196</v>
      </c>
      <c r="D1894" s="31" t="s">
        <v>22</v>
      </c>
      <c r="E1894" s="31"/>
      <c r="F1894" s="31" t="s">
        <v>1495</v>
      </c>
      <c r="G1894" s="27">
        <v>93420</v>
      </c>
      <c r="H1894" s="31" t="s">
        <v>63</v>
      </c>
      <c r="I1894" s="31" t="s">
        <v>621</v>
      </c>
      <c r="J1894" s="26" t="s">
        <v>768</v>
      </c>
      <c r="K1894" s="27">
        <v>93420</v>
      </c>
      <c r="L1894" s="31" t="s">
        <v>769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171</v>
      </c>
      <c r="D1895" s="31" t="s">
        <v>22</v>
      </c>
      <c r="E1895" s="31"/>
      <c r="F1895" s="31" t="s">
        <v>1496</v>
      </c>
      <c r="G1895" s="27">
        <v>91210</v>
      </c>
      <c r="H1895" s="31" t="s">
        <v>520</v>
      </c>
      <c r="I1895" s="31" t="s">
        <v>302</v>
      </c>
      <c r="J1895" s="26" t="s">
        <v>824</v>
      </c>
      <c r="K1895" s="27">
        <v>91210</v>
      </c>
      <c r="L1895" s="31" t="s">
        <v>769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163</v>
      </c>
      <c r="D1896" s="31" t="s">
        <v>946</v>
      </c>
      <c r="E1896" s="31"/>
      <c r="F1896" s="31" t="s">
        <v>131</v>
      </c>
      <c r="G1896" s="27">
        <v>10000</v>
      </c>
      <c r="H1896" s="31" t="s">
        <v>63</v>
      </c>
      <c r="I1896" s="31"/>
      <c r="J1896" s="26" t="s">
        <v>775</v>
      </c>
      <c r="K1896" s="27">
        <v>10000</v>
      </c>
      <c r="L1896" s="31" t="s">
        <v>769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766</v>
      </c>
      <c r="D1897" s="31" t="s">
        <v>576</v>
      </c>
      <c r="E1897" s="31"/>
      <c r="F1897" s="31" t="s">
        <v>576</v>
      </c>
      <c r="G1897" s="27">
        <v>5000</v>
      </c>
      <c r="H1897" s="31" t="s">
        <v>63</v>
      </c>
      <c r="I1897" s="31"/>
      <c r="J1897" s="26" t="s">
        <v>778</v>
      </c>
      <c r="K1897" s="27">
        <v>5000</v>
      </c>
      <c r="L1897" s="31" t="s">
        <v>769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766</v>
      </c>
      <c r="D1898" s="31" t="s">
        <v>575</v>
      </c>
      <c r="E1898" s="31" t="s">
        <v>772</v>
      </c>
      <c r="F1898" s="31" t="s">
        <v>773</v>
      </c>
      <c r="G1898" s="27">
        <v>3500</v>
      </c>
      <c r="H1898" s="31" t="s">
        <v>63</v>
      </c>
      <c r="I1898" s="31" t="s">
        <v>1497</v>
      </c>
      <c r="J1898" s="26" t="s">
        <v>775</v>
      </c>
      <c r="K1898" s="27">
        <v>3500</v>
      </c>
      <c r="L1898" s="31" t="s">
        <v>769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163</v>
      </c>
      <c r="D1899" s="31" t="s">
        <v>175</v>
      </c>
      <c r="E1899" s="31"/>
      <c r="F1899" s="31" t="s">
        <v>81</v>
      </c>
      <c r="G1899" s="27">
        <v>538565</v>
      </c>
      <c r="H1899" s="31" t="s">
        <v>807</v>
      </c>
      <c r="I1899" s="31" t="s">
        <v>1498</v>
      </c>
      <c r="J1899" s="26" t="s">
        <v>805</v>
      </c>
      <c r="K1899" s="27">
        <v>538565</v>
      </c>
      <c r="L1899" s="31" t="s">
        <v>769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669</v>
      </c>
      <c r="D1900" s="31" t="s">
        <v>575</v>
      </c>
      <c r="E1900" s="31" t="s">
        <v>772</v>
      </c>
      <c r="F1900" s="31" t="s">
        <v>1038</v>
      </c>
      <c r="G1900" s="27">
        <v>19350</v>
      </c>
      <c r="H1900" s="31" t="s">
        <v>63</v>
      </c>
      <c r="I1900" s="31"/>
      <c r="J1900" s="26" t="s">
        <v>775</v>
      </c>
      <c r="K1900" s="27">
        <v>19350</v>
      </c>
      <c r="L1900" s="31" t="s">
        <v>769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669</v>
      </c>
      <c r="D1901" s="31" t="s">
        <v>946</v>
      </c>
      <c r="E1901" s="31"/>
      <c r="F1901" s="31" t="s">
        <v>1499</v>
      </c>
      <c r="G1901" s="27">
        <v>10400</v>
      </c>
      <c r="H1901" s="31" t="s">
        <v>63</v>
      </c>
      <c r="I1901" s="31"/>
      <c r="J1901" s="26" t="s">
        <v>775</v>
      </c>
      <c r="K1901" s="27">
        <v>10400</v>
      </c>
      <c r="L1901" s="31" t="s">
        <v>769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175</v>
      </c>
      <c r="D1902" s="31" t="s">
        <v>163</v>
      </c>
      <c r="E1902" s="31"/>
      <c r="F1902" s="31" t="s">
        <v>81</v>
      </c>
      <c r="G1902" s="27">
        <v>538565</v>
      </c>
      <c r="H1902" s="31" t="s">
        <v>804</v>
      </c>
      <c r="I1902" s="31" t="s">
        <v>1498</v>
      </c>
      <c r="J1902" s="26" t="s">
        <v>805</v>
      </c>
      <c r="K1902" s="27">
        <v>538565</v>
      </c>
      <c r="L1902" s="31" t="s">
        <v>769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142</v>
      </c>
      <c r="D1903" s="31" t="s">
        <v>163</v>
      </c>
      <c r="E1903" s="31"/>
      <c r="F1903" s="31" t="s">
        <v>81</v>
      </c>
      <c r="G1903" s="27">
        <v>387960</v>
      </c>
      <c r="H1903" s="31" t="s">
        <v>804</v>
      </c>
      <c r="I1903" s="31" t="s">
        <v>1500</v>
      </c>
      <c r="J1903" s="26" t="s">
        <v>805</v>
      </c>
      <c r="K1903" s="27">
        <v>387960</v>
      </c>
      <c r="L1903" s="31" t="s">
        <v>769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181</v>
      </c>
      <c r="D1904" s="31" t="s">
        <v>163</v>
      </c>
      <c r="E1904" s="31"/>
      <c r="F1904" s="31" t="s">
        <v>81</v>
      </c>
      <c r="G1904" s="27">
        <v>383984</v>
      </c>
      <c r="H1904" s="31" t="s">
        <v>804</v>
      </c>
      <c r="I1904" s="31" t="s">
        <v>1501</v>
      </c>
      <c r="J1904" s="26" t="s">
        <v>805</v>
      </c>
      <c r="K1904" s="27">
        <v>383984</v>
      </c>
      <c r="L1904" s="31" t="s">
        <v>769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163</v>
      </c>
      <c r="D1905" s="31" t="s">
        <v>142</v>
      </c>
      <c r="E1905" s="31"/>
      <c r="F1905" s="31" t="s">
        <v>81</v>
      </c>
      <c r="G1905" s="27">
        <v>387960</v>
      </c>
      <c r="H1905" s="31" t="s">
        <v>807</v>
      </c>
      <c r="I1905" s="31" t="s">
        <v>1500</v>
      </c>
      <c r="J1905" s="26" t="s">
        <v>805</v>
      </c>
      <c r="K1905" s="27">
        <v>387960</v>
      </c>
      <c r="L1905" s="31" t="s">
        <v>769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163</v>
      </c>
      <c r="D1906" s="31" t="s">
        <v>181</v>
      </c>
      <c r="E1906" s="31"/>
      <c r="F1906" s="31" t="s">
        <v>81</v>
      </c>
      <c r="G1906" s="27">
        <v>383984</v>
      </c>
      <c r="H1906" s="31" t="s">
        <v>807</v>
      </c>
      <c r="I1906" s="31" t="s">
        <v>1501</v>
      </c>
      <c r="J1906" s="26" t="s">
        <v>805</v>
      </c>
      <c r="K1906" s="27">
        <v>383984</v>
      </c>
      <c r="L1906" s="31" t="s">
        <v>769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178</v>
      </c>
      <c r="D1907" s="31" t="s">
        <v>163</v>
      </c>
      <c r="E1907" s="31"/>
      <c r="F1907" s="31" t="s">
        <v>81</v>
      </c>
      <c r="G1907" s="27">
        <v>550361</v>
      </c>
      <c r="H1907" s="31" t="s">
        <v>804</v>
      </c>
      <c r="I1907" s="31" t="s">
        <v>1502</v>
      </c>
      <c r="J1907" s="26" t="s">
        <v>805</v>
      </c>
      <c r="K1907" s="27">
        <v>550361</v>
      </c>
      <c r="L1907" s="31" t="s">
        <v>769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163</v>
      </c>
      <c r="D1908" s="31" t="s">
        <v>178</v>
      </c>
      <c r="E1908" s="31"/>
      <c r="F1908" s="31" t="s">
        <v>81</v>
      </c>
      <c r="G1908" s="27">
        <v>550361</v>
      </c>
      <c r="H1908" s="31" t="s">
        <v>807</v>
      </c>
      <c r="I1908" s="31" t="s">
        <v>1502</v>
      </c>
      <c r="J1908" s="26" t="s">
        <v>805</v>
      </c>
      <c r="K1908" s="27">
        <v>550361</v>
      </c>
      <c r="L1908" s="31" t="s">
        <v>769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669</v>
      </c>
      <c r="D1909" s="31" t="s">
        <v>796</v>
      </c>
      <c r="E1909" s="31"/>
      <c r="F1909" s="31" t="s">
        <v>797</v>
      </c>
      <c r="G1909" s="27">
        <v>2000</v>
      </c>
      <c r="H1909" s="31" t="s">
        <v>63</v>
      </c>
      <c r="I1909" s="31"/>
      <c r="J1909" s="26" t="s">
        <v>801</v>
      </c>
      <c r="K1909" s="27">
        <v>2000</v>
      </c>
      <c r="L1909" s="31" t="s">
        <v>769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669</v>
      </c>
      <c r="D1910" s="31" t="s">
        <v>576</v>
      </c>
      <c r="E1910" s="31"/>
      <c r="F1910" s="31" t="s">
        <v>576</v>
      </c>
      <c r="G1910" s="27">
        <v>5000</v>
      </c>
      <c r="H1910" s="31" t="s">
        <v>63</v>
      </c>
      <c r="I1910" s="31"/>
      <c r="J1910" s="26" t="s">
        <v>778</v>
      </c>
      <c r="K1910" s="27">
        <v>5000</v>
      </c>
      <c r="L1910" s="31" t="s">
        <v>769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669</v>
      </c>
      <c r="D1911" s="31" t="s">
        <v>575</v>
      </c>
      <c r="E1911" s="31"/>
      <c r="F1911" s="31" t="s">
        <v>773</v>
      </c>
      <c r="G1911" s="27">
        <v>5800</v>
      </c>
      <c r="H1911" s="31" t="s">
        <v>63</v>
      </c>
      <c r="I1911" s="31"/>
      <c r="J1911" s="26" t="s">
        <v>775</v>
      </c>
      <c r="K1911" s="27">
        <v>5800</v>
      </c>
      <c r="L1911" s="31" t="s">
        <v>769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559</v>
      </c>
      <c r="D1912" s="31" t="s">
        <v>821</v>
      </c>
      <c r="E1912" s="31"/>
      <c r="F1912" s="31" t="s">
        <v>858</v>
      </c>
      <c r="G1912" s="27">
        <v>20000</v>
      </c>
      <c r="H1912" s="31" t="s">
        <v>520</v>
      </c>
      <c r="I1912" s="31"/>
      <c r="J1912" s="26" t="s">
        <v>821</v>
      </c>
      <c r="K1912" s="27">
        <v>20000</v>
      </c>
      <c r="L1912" s="31" t="s">
        <v>769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175</v>
      </c>
      <c r="D1913" s="31" t="s">
        <v>780</v>
      </c>
      <c r="E1913" s="31"/>
      <c r="F1913" s="31" t="s">
        <v>828</v>
      </c>
      <c r="G1913" s="27">
        <v>538565</v>
      </c>
      <c r="H1913" s="31" t="s">
        <v>807</v>
      </c>
      <c r="I1913" s="31"/>
      <c r="J1913" s="26" t="s">
        <v>805</v>
      </c>
      <c r="K1913" s="27">
        <v>538565</v>
      </c>
      <c r="L1913" s="31" t="s">
        <v>769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780</v>
      </c>
      <c r="D1914" s="31" t="s">
        <v>175</v>
      </c>
      <c r="E1914" s="31"/>
      <c r="F1914" s="31" t="s">
        <v>828</v>
      </c>
      <c r="G1914" s="27">
        <v>538565</v>
      </c>
      <c r="H1914" s="31" t="s">
        <v>804</v>
      </c>
      <c r="I1914" s="31"/>
      <c r="J1914" s="26" t="s">
        <v>805</v>
      </c>
      <c r="K1914" s="27">
        <v>538565</v>
      </c>
      <c r="L1914" s="31" t="s">
        <v>769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178</v>
      </c>
      <c r="D1915" s="31" t="s">
        <v>1329</v>
      </c>
      <c r="E1915" s="31"/>
      <c r="F1915" s="31" t="s">
        <v>828</v>
      </c>
      <c r="G1915" s="27">
        <v>550361</v>
      </c>
      <c r="H1915" s="31" t="s">
        <v>807</v>
      </c>
      <c r="I1915" s="31"/>
      <c r="J1915" s="26" t="s">
        <v>805</v>
      </c>
      <c r="K1915" s="27">
        <v>550361</v>
      </c>
      <c r="L1915" s="31" t="s">
        <v>769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1329</v>
      </c>
      <c r="D1916" s="31" t="s">
        <v>178</v>
      </c>
      <c r="E1916" s="31"/>
      <c r="F1916" s="31" t="s">
        <v>828</v>
      </c>
      <c r="G1916" s="27">
        <v>550361</v>
      </c>
      <c r="H1916" s="31" t="s">
        <v>804</v>
      </c>
      <c r="I1916" s="31"/>
      <c r="J1916" s="26" t="s">
        <v>805</v>
      </c>
      <c r="K1916" s="27">
        <v>550361</v>
      </c>
      <c r="L1916" s="31" t="s">
        <v>769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181</v>
      </c>
      <c r="D1917" s="31" t="s">
        <v>852</v>
      </c>
      <c r="E1917" s="31"/>
      <c r="F1917" s="31" t="s">
        <v>828</v>
      </c>
      <c r="G1917" s="27">
        <v>383984</v>
      </c>
      <c r="H1917" s="31" t="s">
        <v>807</v>
      </c>
      <c r="I1917" s="31"/>
      <c r="J1917" s="26" t="s">
        <v>805</v>
      </c>
      <c r="K1917" s="27">
        <v>383984</v>
      </c>
      <c r="L1917" s="31" t="s">
        <v>769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852</v>
      </c>
      <c r="D1918" s="31" t="s">
        <v>181</v>
      </c>
      <c r="E1918" s="31"/>
      <c r="F1918" s="31" t="s">
        <v>828</v>
      </c>
      <c r="G1918" s="27">
        <v>383984</v>
      </c>
      <c r="H1918" s="31" t="s">
        <v>804</v>
      </c>
      <c r="I1918" s="31"/>
      <c r="J1918" s="26" t="s">
        <v>805</v>
      </c>
      <c r="K1918" s="27">
        <v>383984</v>
      </c>
      <c r="L1918" s="31" t="s">
        <v>769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669</v>
      </c>
      <c r="D1919" s="31" t="s">
        <v>906</v>
      </c>
      <c r="E1919" s="31"/>
      <c r="F1919" s="31" t="s">
        <v>1451</v>
      </c>
      <c r="G1919" s="27">
        <v>17000</v>
      </c>
      <c r="H1919" s="31" t="s">
        <v>63</v>
      </c>
      <c r="I1919" s="31" t="s">
        <v>1452</v>
      </c>
      <c r="J1919" s="26" t="s">
        <v>799</v>
      </c>
      <c r="K1919" s="27">
        <v>17000</v>
      </c>
      <c r="L1919" s="31" t="s">
        <v>769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669</v>
      </c>
      <c r="D1920" s="31" t="s">
        <v>575</v>
      </c>
      <c r="E1920" s="31" t="s">
        <v>885</v>
      </c>
      <c r="F1920" s="31" t="s">
        <v>773</v>
      </c>
      <c r="G1920" s="27">
        <v>3300</v>
      </c>
      <c r="H1920" s="31" t="s">
        <v>63</v>
      </c>
      <c r="I1920" s="31" t="s">
        <v>1110</v>
      </c>
      <c r="J1920" s="26" t="s">
        <v>775</v>
      </c>
      <c r="K1920" s="27">
        <v>3300</v>
      </c>
      <c r="L1920" s="31" t="s">
        <v>769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669</v>
      </c>
      <c r="D1921" s="31" t="s">
        <v>576</v>
      </c>
      <c r="E1921" s="31"/>
      <c r="F1921" s="31" t="s">
        <v>576</v>
      </c>
      <c r="G1921" s="27">
        <v>5000</v>
      </c>
      <c r="H1921" s="31" t="s">
        <v>63</v>
      </c>
      <c r="I1921" s="31"/>
      <c r="J1921" s="26" t="s">
        <v>778</v>
      </c>
      <c r="K1921" s="27">
        <v>5000</v>
      </c>
      <c r="L1921" s="31" t="s">
        <v>769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766</v>
      </c>
      <c r="D1922" s="31" t="s">
        <v>946</v>
      </c>
      <c r="E1922" s="31"/>
      <c r="F1922" s="31" t="s">
        <v>1503</v>
      </c>
      <c r="G1922" s="27">
        <v>20000</v>
      </c>
      <c r="H1922" s="31" t="s">
        <v>63</v>
      </c>
      <c r="I1922" s="31"/>
      <c r="J1922" s="26" t="s">
        <v>775</v>
      </c>
      <c r="K1922" s="27">
        <v>20000</v>
      </c>
      <c r="L1922" s="31" t="s">
        <v>769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669</v>
      </c>
      <c r="D1923" s="31" t="s">
        <v>912</v>
      </c>
      <c r="E1923" s="31" t="s">
        <v>68</v>
      </c>
      <c r="F1923" s="31" t="s">
        <v>1504</v>
      </c>
      <c r="G1923" s="27">
        <v>2000</v>
      </c>
      <c r="H1923" s="31" t="s">
        <v>63</v>
      </c>
      <c r="I1923" s="31" t="s">
        <v>1505</v>
      </c>
      <c r="J1923" s="26" t="s">
        <v>68</v>
      </c>
      <c r="K1923" s="27">
        <v>2000</v>
      </c>
      <c r="L1923" s="31" t="s">
        <v>769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669</v>
      </c>
      <c r="D1924" s="31" t="s">
        <v>796</v>
      </c>
      <c r="E1924" s="31"/>
      <c r="F1924" s="31" t="s">
        <v>797</v>
      </c>
      <c r="G1924" s="27">
        <v>19200</v>
      </c>
      <c r="H1924" s="31" t="s">
        <v>63</v>
      </c>
      <c r="I1924" s="31"/>
      <c r="J1924" s="26" t="s">
        <v>801</v>
      </c>
      <c r="K1924" s="27">
        <v>19200</v>
      </c>
      <c r="L1924" s="31" t="s">
        <v>769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669</v>
      </c>
      <c r="D1925" s="31" t="s">
        <v>575</v>
      </c>
      <c r="E1925" s="31" t="s">
        <v>904</v>
      </c>
      <c r="F1925" s="31" t="s">
        <v>1506</v>
      </c>
      <c r="G1925" s="27">
        <v>10000</v>
      </c>
      <c r="H1925" s="31" t="s">
        <v>63</v>
      </c>
      <c r="I1925" s="31"/>
      <c r="J1925" s="26" t="s">
        <v>775</v>
      </c>
      <c r="K1925" s="27">
        <v>10000</v>
      </c>
      <c r="L1925" s="31" t="s">
        <v>769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669</v>
      </c>
      <c r="D1926" s="31" t="s">
        <v>575</v>
      </c>
      <c r="E1926" s="31" t="s">
        <v>772</v>
      </c>
      <c r="F1926" s="31" t="s">
        <v>1117</v>
      </c>
      <c r="G1926" s="27">
        <v>3000</v>
      </c>
      <c r="H1926" s="31" t="s">
        <v>63</v>
      </c>
      <c r="I1926" s="31"/>
      <c r="J1926" s="26" t="s">
        <v>775</v>
      </c>
      <c r="K1926" s="27">
        <v>3000</v>
      </c>
      <c r="L1926" s="31" t="s">
        <v>769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669</v>
      </c>
      <c r="D1927" s="31" t="s">
        <v>576</v>
      </c>
      <c r="E1927" s="31"/>
      <c r="F1927" s="31" t="s">
        <v>576</v>
      </c>
      <c r="G1927" s="27">
        <v>5000</v>
      </c>
      <c r="H1927" s="31" t="s">
        <v>63</v>
      </c>
      <c r="I1927" s="31"/>
      <c r="J1927" s="26" t="s">
        <v>778</v>
      </c>
      <c r="K1927" s="27">
        <v>5000</v>
      </c>
      <c r="L1927" s="31" t="s">
        <v>769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766</v>
      </c>
      <c r="D1928" s="31" t="s">
        <v>876</v>
      </c>
      <c r="E1928" s="31"/>
      <c r="F1928" s="31" t="s">
        <v>888</v>
      </c>
      <c r="G1928" s="27">
        <v>12400</v>
      </c>
      <c r="H1928" s="31" t="s">
        <v>63</v>
      </c>
      <c r="I1928" s="31"/>
      <c r="J1928" s="26" t="s">
        <v>768</v>
      </c>
      <c r="K1928" s="27">
        <v>12400</v>
      </c>
      <c r="L1928" s="31" t="s">
        <v>769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669</v>
      </c>
      <c r="D1929" s="31" t="s">
        <v>912</v>
      </c>
      <c r="E1929" s="31" t="s">
        <v>1190</v>
      </c>
      <c r="F1929" s="31" t="s">
        <v>1117</v>
      </c>
      <c r="G1929" s="27">
        <v>25300</v>
      </c>
      <c r="H1929" s="31" t="s">
        <v>63</v>
      </c>
      <c r="I1929" s="31" t="s">
        <v>859</v>
      </c>
      <c r="J1929" s="26" t="s">
        <v>783</v>
      </c>
      <c r="K1929" s="27">
        <v>25300</v>
      </c>
      <c r="L1929" s="31" t="s">
        <v>769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669</v>
      </c>
      <c r="D1930" s="31" t="s">
        <v>840</v>
      </c>
      <c r="E1930" s="31"/>
      <c r="F1930" s="31" t="s">
        <v>1507</v>
      </c>
      <c r="G1930" s="27">
        <v>129000</v>
      </c>
      <c r="H1930" s="31" t="s">
        <v>63</v>
      </c>
      <c r="I1930" s="31" t="s">
        <v>1508</v>
      </c>
      <c r="J1930" s="26" t="s">
        <v>787</v>
      </c>
      <c r="K1930" s="27">
        <v>129000</v>
      </c>
      <c r="L1930" s="31" t="s">
        <v>769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669</v>
      </c>
      <c r="D1931" s="31" t="s">
        <v>912</v>
      </c>
      <c r="E1931" s="31" t="s">
        <v>1190</v>
      </c>
      <c r="F1931" s="31" t="s">
        <v>773</v>
      </c>
      <c r="G1931" s="27">
        <v>4900</v>
      </c>
      <c r="H1931" s="31" t="s">
        <v>63</v>
      </c>
      <c r="I1931" s="31" t="s">
        <v>1509</v>
      </c>
      <c r="J1931" s="26" t="s">
        <v>783</v>
      </c>
      <c r="K1931" s="27">
        <v>4900</v>
      </c>
      <c r="L1931" s="31" t="s">
        <v>769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669</v>
      </c>
      <c r="D1932" s="31" t="s">
        <v>575</v>
      </c>
      <c r="E1932" s="31" t="s">
        <v>772</v>
      </c>
      <c r="F1932" s="31" t="s">
        <v>1510</v>
      </c>
      <c r="G1932" s="27">
        <v>21000</v>
      </c>
      <c r="H1932" s="31" t="s">
        <v>63</v>
      </c>
      <c r="I1932" s="31"/>
      <c r="J1932" s="26" t="s">
        <v>775</v>
      </c>
      <c r="K1932" s="27">
        <v>21000</v>
      </c>
      <c r="L1932" s="31" t="s">
        <v>769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669</v>
      </c>
      <c r="D1933" s="31" t="s">
        <v>576</v>
      </c>
      <c r="E1933" s="31"/>
      <c r="F1933" s="31" t="s">
        <v>576</v>
      </c>
      <c r="G1933" s="27">
        <v>5000</v>
      </c>
      <c r="H1933" s="31" t="s">
        <v>63</v>
      </c>
      <c r="I1933" s="31"/>
      <c r="J1933" s="26" t="s">
        <v>778</v>
      </c>
      <c r="K1933" s="27">
        <v>5000</v>
      </c>
      <c r="L1933" s="31" t="s">
        <v>769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669</v>
      </c>
      <c r="D1934" s="31" t="s">
        <v>575</v>
      </c>
      <c r="E1934" s="31" t="s">
        <v>885</v>
      </c>
      <c r="F1934" s="31" t="s">
        <v>773</v>
      </c>
      <c r="G1934" s="27">
        <v>9100</v>
      </c>
      <c r="H1934" s="31" t="s">
        <v>63</v>
      </c>
      <c r="I1934" s="31" t="s">
        <v>992</v>
      </c>
      <c r="J1934" s="26" t="s">
        <v>775</v>
      </c>
      <c r="K1934" s="27">
        <v>9100</v>
      </c>
      <c r="L1934" s="31" t="s">
        <v>769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852</v>
      </c>
      <c r="D1935" s="31" t="s">
        <v>796</v>
      </c>
      <c r="E1935" s="31"/>
      <c r="F1935" s="31" t="s">
        <v>488</v>
      </c>
      <c r="G1935" s="27">
        <v>55440</v>
      </c>
      <c r="H1935" s="31" t="s">
        <v>63</v>
      </c>
      <c r="I1935" s="31" t="s">
        <v>1511</v>
      </c>
      <c r="J1935" s="26" t="s">
        <v>801</v>
      </c>
      <c r="K1935" s="27">
        <v>55440</v>
      </c>
      <c r="L1935" s="31" t="s">
        <v>769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1279</v>
      </c>
      <c r="D1936" s="31" t="s">
        <v>912</v>
      </c>
      <c r="E1936" s="31" t="s">
        <v>1190</v>
      </c>
      <c r="F1936" s="31" t="s">
        <v>1117</v>
      </c>
      <c r="G1936" s="27">
        <v>6300</v>
      </c>
      <c r="H1936" s="31" t="s">
        <v>63</v>
      </c>
      <c r="I1936" s="31" t="s">
        <v>1512</v>
      </c>
      <c r="J1936" s="26" t="s">
        <v>783</v>
      </c>
      <c r="K1936" s="27">
        <v>3150</v>
      </c>
      <c r="L1936" s="31" t="s">
        <v>199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1279</v>
      </c>
      <c r="D1937" s="31" t="s">
        <v>912</v>
      </c>
      <c r="E1937" s="31" t="s">
        <v>1190</v>
      </c>
      <c r="F1937" s="31" t="s">
        <v>853</v>
      </c>
      <c r="G1937" s="27">
        <v>29500</v>
      </c>
      <c r="H1937" s="31" t="s">
        <v>63</v>
      </c>
      <c r="I1937" s="31" t="s">
        <v>1513</v>
      </c>
      <c r="J1937" s="26" t="s">
        <v>783</v>
      </c>
      <c r="K1937" s="27">
        <v>14750</v>
      </c>
      <c r="L1937" s="31" t="s">
        <v>199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163</v>
      </c>
      <c r="D1938" s="31" t="s">
        <v>22</v>
      </c>
      <c r="E1938" s="31"/>
      <c r="F1938" s="31" t="s">
        <v>188</v>
      </c>
      <c r="G1938" s="27">
        <v>4272</v>
      </c>
      <c r="H1938" s="31" t="s">
        <v>520</v>
      </c>
      <c r="I1938" s="31"/>
      <c r="J1938" s="26" t="s">
        <v>824</v>
      </c>
      <c r="K1938" s="27">
        <v>4272</v>
      </c>
      <c r="L1938" s="31" t="s">
        <v>769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669</v>
      </c>
      <c r="D1939" s="31" t="s">
        <v>843</v>
      </c>
      <c r="E1939" s="31" t="s">
        <v>844</v>
      </c>
      <c r="F1939" s="31" t="s">
        <v>1403</v>
      </c>
      <c r="G1939" s="27">
        <v>1500</v>
      </c>
      <c r="H1939" s="31" t="s">
        <v>63</v>
      </c>
      <c r="I1939" s="31"/>
      <c r="J1939" s="26" t="s">
        <v>775</v>
      </c>
      <c r="K1939" s="27">
        <v>1500</v>
      </c>
      <c r="L1939" s="31" t="s">
        <v>769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669</v>
      </c>
      <c r="D1940" s="31" t="s">
        <v>575</v>
      </c>
      <c r="E1940" s="31" t="s">
        <v>772</v>
      </c>
      <c r="F1940" s="31" t="s">
        <v>974</v>
      </c>
      <c r="G1940" s="27">
        <v>6600</v>
      </c>
      <c r="H1940" s="31" t="s">
        <v>63</v>
      </c>
      <c r="I1940" s="31"/>
      <c r="J1940" s="26" t="s">
        <v>775</v>
      </c>
      <c r="K1940" s="27">
        <v>6600</v>
      </c>
      <c r="L1940" s="31" t="s">
        <v>769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852</v>
      </c>
      <c r="D1941" s="31" t="s">
        <v>912</v>
      </c>
      <c r="E1941" s="31" t="s">
        <v>1190</v>
      </c>
      <c r="F1941" s="31" t="s">
        <v>853</v>
      </c>
      <c r="G1941" s="27">
        <v>36500</v>
      </c>
      <c r="H1941" s="31" t="s">
        <v>63</v>
      </c>
      <c r="I1941" s="31" t="s">
        <v>1514</v>
      </c>
      <c r="J1941" s="26" t="s">
        <v>783</v>
      </c>
      <c r="K1941" s="27">
        <v>36500</v>
      </c>
      <c r="L1941" s="31" t="s">
        <v>769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852</v>
      </c>
      <c r="D1942" s="31" t="s">
        <v>796</v>
      </c>
      <c r="E1942" s="31"/>
      <c r="F1942" s="31" t="s">
        <v>488</v>
      </c>
      <c r="G1942" s="27">
        <v>8470</v>
      </c>
      <c r="H1942" s="31" t="s">
        <v>63</v>
      </c>
      <c r="I1942" s="31" t="s">
        <v>873</v>
      </c>
      <c r="J1942" s="26" t="s">
        <v>801</v>
      </c>
      <c r="K1942" s="27">
        <v>8470</v>
      </c>
      <c r="L1942" s="31" t="s">
        <v>769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1329</v>
      </c>
      <c r="D1943" s="31" t="s">
        <v>575</v>
      </c>
      <c r="E1943" s="31" t="s">
        <v>772</v>
      </c>
      <c r="F1943" s="31" t="s">
        <v>773</v>
      </c>
      <c r="G1943" s="27">
        <v>3300</v>
      </c>
      <c r="H1943" s="31" t="s">
        <v>63</v>
      </c>
      <c r="I1943" s="31" t="s">
        <v>794</v>
      </c>
      <c r="J1943" s="26" t="s">
        <v>775</v>
      </c>
      <c r="K1943" s="27">
        <v>3300</v>
      </c>
      <c r="L1943" s="31" t="s">
        <v>769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1329</v>
      </c>
      <c r="D1944" s="31" t="s">
        <v>576</v>
      </c>
      <c r="E1944" s="31"/>
      <c r="F1944" s="31" t="s">
        <v>576</v>
      </c>
      <c r="G1944" s="27">
        <v>5000</v>
      </c>
      <c r="H1944" s="31" t="s">
        <v>63</v>
      </c>
      <c r="I1944" s="31"/>
      <c r="J1944" s="26" t="s">
        <v>778</v>
      </c>
      <c r="K1944" s="27">
        <v>5000</v>
      </c>
      <c r="L1944" s="31" t="s">
        <v>769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1329</v>
      </c>
      <c r="D1945" s="31" t="s">
        <v>575</v>
      </c>
      <c r="E1945" s="31" t="s">
        <v>781</v>
      </c>
      <c r="F1945" s="31" t="s">
        <v>773</v>
      </c>
      <c r="G1945" s="27">
        <v>6500</v>
      </c>
      <c r="H1945" s="31" t="s">
        <v>63</v>
      </c>
      <c r="I1945" s="31" t="s">
        <v>72</v>
      </c>
      <c r="J1945" s="26" t="s">
        <v>775</v>
      </c>
      <c r="K1945" s="27">
        <v>6500</v>
      </c>
      <c r="L1945" s="31" t="s">
        <v>769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1329</v>
      </c>
      <c r="D1946" s="31" t="s">
        <v>576</v>
      </c>
      <c r="E1946" s="31"/>
      <c r="F1946" s="31" t="s">
        <v>576</v>
      </c>
      <c r="G1946" s="27">
        <v>5000</v>
      </c>
      <c r="H1946" s="31" t="s">
        <v>63</v>
      </c>
      <c r="I1946" s="31"/>
      <c r="J1946" s="26" t="s">
        <v>778</v>
      </c>
      <c r="K1946" s="27">
        <v>5000</v>
      </c>
      <c r="L1946" s="31" t="s">
        <v>769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1329</v>
      </c>
      <c r="D1947" s="31" t="s">
        <v>575</v>
      </c>
      <c r="E1947" s="31" t="s">
        <v>885</v>
      </c>
      <c r="F1947" s="31" t="s">
        <v>773</v>
      </c>
      <c r="G1947" s="27">
        <v>1300</v>
      </c>
      <c r="H1947" s="31" t="s">
        <v>63</v>
      </c>
      <c r="I1947" s="31" t="s">
        <v>1332</v>
      </c>
      <c r="J1947" s="26" t="s">
        <v>775</v>
      </c>
      <c r="K1947" s="27">
        <v>1300</v>
      </c>
      <c r="L1947" s="31" t="s">
        <v>769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163</v>
      </c>
      <c r="D1948" s="31" t="s">
        <v>876</v>
      </c>
      <c r="E1948" s="31"/>
      <c r="F1948" s="31" t="s">
        <v>132</v>
      </c>
      <c r="G1948" s="27">
        <v>7448</v>
      </c>
      <c r="H1948" s="31" t="s">
        <v>63</v>
      </c>
      <c r="I1948" s="31" t="s">
        <v>1515</v>
      </c>
      <c r="J1948" s="26" t="s">
        <v>768</v>
      </c>
      <c r="K1948" s="27">
        <v>7448</v>
      </c>
      <c r="L1948" s="31" t="s">
        <v>769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852</v>
      </c>
      <c r="D1949" s="31" t="s">
        <v>796</v>
      </c>
      <c r="E1949" s="31"/>
      <c r="F1949" s="31" t="s">
        <v>488</v>
      </c>
      <c r="G1949" s="27">
        <v>16790</v>
      </c>
      <c r="H1949" s="31" t="s">
        <v>63</v>
      </c>
      <c r="I1949" s="31" t="s">
        <v>1516</v>
      </c>
      <c r="J1949" s="26" t="s">
        <v>801</v>
      </c>
      <c r="K1949" s="27">
        <v>16790</v>
      </c>
      <c r="L1949" s="31" t="s">
        <v>769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766</v>
      </c>
      <c r="D1950" s="31" t="s">
        <v>485</v>
      </c>
      <c r="E1950" s="31"/>
      <c r="F1950" s="31" t="s">
        <v>917</v>
      </c>
      <c r="G1950" s="27">
        <v>13333</v>
      </c>
      <c r="H1950" s="31" t="s">
        <v>63</v>
      </c>
      <c r="I1950" s="31" t="s">
        <v>1517</v>
      </c>
      <c r="J1950" s="26" t="s">
        <v>768</v>
      </c>
      <c r="K1950" s="27">
        <v>13333</v>
      </c>
      <c r="L1950" s="31" t="s">
        <v>769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1329</v>
      </c>
      <c r="D1951" s="31" t="s">
        <v>575</v>
      </c>
      <c r="E1951" s="31" t="s">
        <v>772</v>
      </c>
      <c r="F1951" s="31" t="s">
        <v>773</v>
      </c>
      <c r="G1951" s="27">
        <v>5300</v>
      </c>
      <c r="H1951" s="31" t="s">
        <v>63</v>
      </c>
      <c r="I1951" s="31" t="s">
        <v>1494</v>
      </c>
      <c r="J1951" s="26" t="s">
        <v>775</v>
      </c>
      <c r="K1951" s="27">
        <v>5300</v>
      </c>
      <c r="L1951" s="31" t="s">
        <v>769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1329</v>
      </c>
      <c r="D1952" s="31" t="s">
        <v>843</v>
      </c>
      <c r="E1952" s="31" t="s">
        <v>844</v>
      </c>
      <c r="F1952" s="31" t="s">
        <v>970</v>
      </c>
      <c r="G1952" s="27">
        <v>12500</v>
      </c>
      <c r="H1952" s="31" t="s">
        <v>63</v>
      </c>
      <c r="I1952" s="31" t="s">
        <v>1518</v>
      </c>
      <c r="J1952" s="26" t="s">
        <v>775</v>
      </c>
      <c r="K1952" s="27">
        <v>12500</v>
      </c>
      <c r="L1952" s="31" t="s">
        <v>769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163</v>
      </c>
      <c r="D1953" s="31" t="s">
        <v>575</v>
      </c>
      <c r="E1953" s="31" t="s">
        <v>772</v>
      </c>
      <c r="F1953" s="31" t="s">
        <v>1274</v>
      </c>
      <c r="G1953" s="27">
        <v>5000</v>
      </c>
      <c r="H1953" s="31" t="s">
        <v>63</v>
      </c>
      <c r="I1953" s="31"/>
      <c r="J1953" s="26" t="s">
        <v>775</v>
      </c>
      <c r="K1953" s="27">
        <v>5000</v>
      </c>
      <c r="L1953" s="31" t="s">
        <v>769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1329</v>
      </c>
      <c r="D1954" s="31" t="s">
        <v>575</v>
      </c>
      <c r="E1954" s="31" t="s">
        <v>781</v>
      </c>
      <c r="F1954" s="31" t="s">
        <v>1057</v>
      </c>
      <c r="G1954" s="27">
        <v>9000</v>
      </c>
      <c r="H1954" s="31" t="s">
        <v>63</v>
      </c>
      <c r="I1954" s="31"/>
      <c r="J1954" s="26" t="s">
        <v>775</v>
      </c>
      <c r="K1954" s="27">
        <v>9000</v>
      </c>
      <c r="L1954" s="31" t="s">
        <v>769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1329</v>
      </c>
      <c r="D1955" s="31" t="s">
        <v>912</v>
      </c>
      <c r="E1955" s="31" t="s">
        <v>1190</v>
      </c>
      <c r="F1955" s="31" t="s">
        <v>1519</v>
      </c>
      <c r="G1955" s="27">
        <v>38600</v>
      </c>
      <c r="H1955" s="31" t="s">
        <v>63</v>
      </c>
      <c r="I1955" s="31" t="s">
        <v>104</v>
      </c>
      <c r="J1955" s="26" t="s">
        <v>783</v>
      </c>
      <c r="K1955" s="27">
        <v>38600</v>
      </c>
      <c r="L1955" s="31" t="s">
        <v>769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1329</v>
      </c>
      <c r="D1956" s="31" t="s">
        <v>796</v>
      </c>
      <c r="E1956" s="31"/>
      <c r="F1956" s="31" t="s">
        <v>797</v>
      </c>
      <c r="G1956" s="27">
        <v>7000</v>
      </c>
      <c r="H1956" s="31" t="s">
        <v>63</v>
      </c>
      <c r="I1956" s="31"/>
      <c r="J1956" s="26" t="s">
        <v>801</v>
      </c>
      <c r="K1956" s="27">
        <v>7000</v>
      </c>
      <c r="L1956" s="31" t="s">
        <v>769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883</v>
      </c>
      <c r="D1957" s="31" t="s">
        <v>912</v>
      </c>
      <c r="E1957" s="31" t="s">
        <v>1190</v>
      </c>
      <c r="F1957" s="31" t="s">
        <v>1469</v>
      </c>
      <c r="G1957" s="27">
        <v>-96000</v>
      </c>
      <c r="H1957" s="31" t="s">
        <v>63</v>
      </c>
      <c r="I1957" s="31" t="s">
        <v>1520</v>
      </c>
      <c r="J1957" s="26" t="s">
        <v>68</v>
      </c>
      <c r="K1957" s="27">
        <v>-96000</v>
      </c>
      <c r="L1957" s="31" t="s">
        <v>769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883</v>
      </c>
      <c r="D1958" s="31" t="s">
        <v>906</v>
      </c>
      <c r="E1958" s="31"/>
      <c r="F1958" s="31" t="s">
        <v>1521</v>
      </c>
      <c r="G1958" s="27">
        <v>130000</v>
      </c>
      <c r="H1958" s="31" t="s">
        <v>63</v>
      </c>
      <c r="I1958" s="31"/>
      <c r="J1958" s="26" t="s">
        <v>789</v>
      </c>
      <c r="K1958" s="27">
        <v>130000</v>
      </c>
      <c r="L1958" s="31" t="s">
        <v>769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163</v>
      </c>
      <c r="D1959" s="31" t="s">
        <v>883</v>
      </c>
      <c r="E1959" s="31"/>
      <c r="F1959" s="31" t="s">
        <v>81</v>
      </c>
      <c r="G1959" s="27">
        <v>34000</v>
      </c>
      <c r="H1959" s="31" t="s">
        <v>807</v>
      </c>
      <c r="I1959" s="31" t="s">
        <v>1522</v>
      </c>
      <c r="J1959" s="26" t="s">
        <v>805</v>
      </c>
      <c r="K1959" s="27">
        <v>34000</v>
      </c>
      <c r="L1959" s="31" t="s">
        <v>769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883</v>
      </c>
      <c r="D1960" s="31" t="s">
        <v>163</v>
      </c>
      <c r="E1960" s="31"/>
      <c r="F1960" s="31" t="s">
        <v>81</v>
      </c>
      <c r="G1960" s="27">
        <v>34000</v>
      </c>
      <c r="H1960" s="31" t="s">
        <v>804</v>
      </c>
      <c r="I1960" s="31" t="s">
        <v>1522</v>
      </c>
      <c r="J1960" s="26" t="s">
        <v>805</v>
      </c>
      <c r="K1960" s="27">
        <v>34000</v>
      </c>
      <c r="L1960" s="31" t="s">
        <v>769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1329</v>
      </c>
      <c r="D1961" s="31" t="s">
        <v>575</v>
      </c>
      <c r="E1961" s="31" t="s">
        <v>772</v>
      </c>
      <c r="F1961" s="31" t="s">
        <v>773</v>
      </c>
      <c r="G1961" s="27">
        <v>3300</v>
      </c>
      <c r="H1961" s="31" t="s">
        <v>63</v>
      </c>
      <c r="I1961" s="31" t="s">
        <v>794</v>
      </c>
      <c r="J1961" s="26" t="s">
        <v>775</v>
      </c>
      <c r="K1961" s="27">
        <v>3300</v>
      </c>
      <c r="L1961" s="31" t="s">
        <v>769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1329</v>
      </c>
      <c r="D1962" s="31" t="s">
        <v>576</v>
      </c>
      <c r="E1962" s="31"/>
      <c r="F1962" s="31" t="s">
        <v>576</v>
      </c>
      <c r="G1962" s="27">
        <v>5000</v>
      </c>
      <c r="H1962" s="31" t="s">
        <v>63</v>
      </c>
      <c r="I1962" s="31"/>
      <c r="J1962" s="26" t="s">
        <v>778</v>
      </c>
      <c r="K1962" s="27">
        <v>5000</v>
      </c>
      <c r="L1962" s="31" t="s">
        <v>769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163</v>
      </c>
      <c r="D1963" s="31" t="s">
        <v>575</v>
      </c>
      <c r="E1963" s="31" t="s">
        <v>781</v>
      </c>
      <c r="F1963" s="31" t="s">
        <v>117</v>
      </c>
      <c r="G1963" s="27">
        <v>8500</v>
      </c>
      <c r="H1963" s="31" t="s">
        <v>63</v>
      </c>
      <c r="I1963" s="31"/>
      <c r="J1963" s="26" t="s">
        <v>775</v>
      </c>
      <c r="K1963" s="27">
        <v>8500</v>
      </c>
      <c r="L1963" s="31" t="s">
        <v>769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780</v>
      </c>
      <c r="D1964" s="31" t="s">
        <v>817</v>
      </c>
      <c r="E1964" s="31"/>
      <c r="F1964" s="31" t="s">
        <v>1523</v>
      </c>
      <c r="G1964" s="27">
        <v>3010</v>
      </c>
      <c r="H1964" s="31" t="s">
        <v>63</v>
      </c>
      <c r="I1964" s="31"/>
      <c r="J1964" s="26" t="s">
        <v>768</v>
      </c>
      <c r="K1964" s="27">
        <v>3010</v>
      </c>
      <c r="L1964" s="31" t="s">
        <v>769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1329</v>
      </c>
      <c r="D1965" s="31" t="s">
        <v>576</v>
      </c>
      <c r="E1965" s="31"/>
      <c r="F1965" s="31" t="s">
        <v>576</v>
      </c>
      <c r="G1965" s="27">
        <v>5000</v>
      </c>
      <c r="H1965" s="31" t="s">
        <v>63</v>
      </c>
      <c r="I1965" s="31"/>
      <c r="J1965" s="26" t="s">
        <v>778</v>
      </c>
      <c r="K1965" s="27">
        <v>5000</v>
      </c>
      <c r="L1965" s="31" t="s">
        <v>769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1329</v>
      </c>
      <c r="D1966" s="31" t="s">
        <v>575</v>
      </c>
      <c r="E1966" s="31" t="s">
        <v>885</v>
      </c>
      <c r="F1966" s="31" t="s">
        <v>773</v>
      </c>
      <c r="G1966" s="27">
        <v>4900</v>
      </c>
      <c r="H1966" s="31" t="s">
        <v>63</v>
      </c>
      <c r="I1966" s="31" t="s">
        <v>1524</v>
      </c>
      <c r="J1966" s="26" t="s">
        <v>775</v>
      </c>
      <c r="K1966" s="27">
        <v>4900</v>
      </c>
      <c r="L1966" s="31" t="s">
        <v>769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1329</v>
      </c>
      <c r="D1967" s="31" t="s">
        <v>575</v>
      </c>
      <c r="E1967" s="31" t="s">
        <v>781</v>
      </c>
      <c r="F1967" s="31" t="s">
        <v>930</v>
      </c>
      <c r="G1967" s="27">
        <v>9500</v>
      </c>
      <c r="H1967" s="31" t="s">
        <v>63</v>
      </c>
      <c r="I1967" s="31" t="s">
        <v>1525</v>
      </c>
      <c r="J1967" s="26" t="s">
        <v>775</v>
      </c>
      <c r="K1967" s="27">
        <v>9500</v>
      </c>
      <c r="L1967" s="31" t="s">
        <v>769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852</v>
      </c>
      <c r="D1968" s="31" t="s">
        <v>912</v>
      </c>
      <c r="E1968" s="31" t="s">
        <v>580</v>
      </c>
      <c r="F1968" s="31" t="s">
        <v>853</v>
      </c>
      <c r="G1968" s="27">
        <v>23900</v>
      </c>
      <c r="H1968" s="31" t="s">
        <v>63</v>
      </c>
      <c r="I1968" s="31" t="s">
        <v>1526</v>
      </c>
      <c r="J1968" s="26" t="s">
        <v>783</v>
      </c>
      <c r="K1968" s="27">
        <v>23900</v>
      </c>
      <c r="L1968" s="31" t="s">
        <v>769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852</v>
      </c>
      <c r="D1969" s="31" t="s">
        <v>912</v>
      </c>
      <c r="E1969" s="31" t="s">
        <v>580</v>
      </c>
      <c r="F1969" s="31" t="s">
        <v>853</v>
      </c>
      <c r="G1969" s="27">
        <v>18650</v>
      </c>
      <c r="H1969" s="31" t="s">
        <v>63</v>
      </c>
      <c r="I1969" s="31" t="s">
        <v>1527</v>
      </c>
      <c r="J1969" s="26" t="s">
        <v>783</v>
      </c>
      <c r="K1969" s="27">
        <v>18650</v>
      </c>
      <c r="L1969" s="31" t="s">
        <v>769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1329</v>
      </c>
      <c r="D1970" s="31" t="s">
        <v>576</v>
      </c>
      <c r="E1970" s="31"/>
      <c r="F1970" s="31" t="s">
        <v>576</v>
      </c>
      <c r="G1970" s="27">
        <v>5000</v>
      </c>
      <c r="H1970" s="31" t="s">
        <v>63</v>
      </c>
      <c r="I1970" s="31"/>
      <c r="J1970" s="26" t="s">
        <v>778</v>
      </c>
      <c r="K1970" s="27">
        <v>5000</v>
      </c>
      <c r="L1970" s="31" t="s">
        <v>769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1329</v>
      </c>
      <c r="D1971" s="31" t="s">
        <v>575</v>
      </c>
      <c r="E1971" s="31" t="s">
        <v>904</v>
      </c>
      <c r="F1971" s="31" t="s">
        <v>1528</v>
      </c>
      <c r="G1971" s="27">
        <v>17000</v>
      </c>
      <c r="H1971" s="31" t="s">
        <v>63</v>
      </c>
      <c r="I1971" s="31"/>
      <c r="J1971" s="26" t="s">
        <v>775</v>
      </c>
      <c r="K1971" s="27">
        <v>17000</v>
      </c>
      <c r="L1971" s="31" t="s">
        <v>769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1329</v>
      </c>
      <c r="D1972" s="31" t="s">
        <v>575</v>
      </c>
      <c r="E1972" s="31" t="s">
        <v>772</v>
      </c>
      <c r="F1972" s="31" t="s">
        <v>974</v>
      </c>
      <c r="G1972" s="27">
        <v>5800</v>
      </c>
      <c r="H1972" s="31" t="s">
        <v>63</v>
      </c>
      <c r="I1972" s="31"/>
      <c r="J1972" s="26" t="s">
        <v>775</v>
      </c>
      <c r="K1972" s="27">
        <v>5800</v>
      </c>
      <c r="L1972" s="31" t="s">
        <v>769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163</v>
      </c>
      <c r="D1973" s="31" t="s">
        <v>22</v>
      </c>
      <c r="E1973" s="31"/>
      <c r="F1973" s="31" t="s">
        <v>188</v>
      </c>
      <c r="G1973" s="27">
        <v>2595</v>
      </c>
      <c r="H1973" s="31" t="s">
        <v>520</v>
      </c>
      <c r="I1973" s="31"/>
      <c r="J1973" s="26" t="s">
        <v>824</v>
      </c>
      <c r="K1973" s="27">
        <v>2595</v>
      </c>
      <c r="L1973" s="31" t="s">
        <v>769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1329</v>
      </c>
      <c r="D1974" s="31" t="s">
        <v>575</v>
      </c>
      <c r="E1974" s="31" t="s">
        <v>772</v>
      </c>
      <c r="F1974" s="31" t="s">
        <v>773</v>
      </c>
      <c r="G1974" s="27">
        <v>3300</v>
      </c>
      <c r="H1974" s="31" t="s">
        <v>63</v>
      </c>
      <c r="I1974" s="31" t="s">
        <v>1529</v>
      </c>
      <c r="J1974" s="26" t="s">
        <v>775</v>
      </c>
      <c r="K1974" s="27">
        <v>3300</v>
      </c>
      <c r="L1974" s="31" t="s">
        <v>769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1329</v>
      </c>
      <c r="D1975" s="31" t="s">
        <v>843</v>
      </c>
      <c r="E1975" s="31" t="s">
        <v>844</v>
      </c>
      <c r="F1975" s="31" t="s">
        <v>1403</v>
      </c>
      <c r="G1975" s="27">
        <v>19000</v>
      </c>
      <c r="H1975" s="31" t="s">
        <v>63</v>
      </c>
      <c r="I1975" s="31"/>
      <c r="J1975" s="26" t="s">
        <v>775</v>
      </c>
      <c r="K1975" s="27">
        <v>19000</v>
      </c>
      <c r="L1975" s="31" t="s">
        <v>769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1329</v>
      </c>
      <c r="D1976" s="31" t="s">
        <v>576</v>
      </c>
      <c r="E1976" s="31"/>
      <c r="F1976" s="31" t="s">
        <v>576</v>
      </c>
      <c r="G1976" s="27">
        <v>5000</v>
      </c>
      <c r="H1976" s="31" t="s">
        <v>63</v>
      </c>
      <c r="I1976" s="31"/>
      <c r="J1976" s="26" t="s">
        <v>778</v>
      </c>
      <c r="K1976" s="27">
        <v>5000</v>
      </c>
      <c r="L1976" s="31" t="s">
        <v>769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1329</v>
      </c>
      <c r="D1977" s="31" t="s">
        <v>575</v>
      </c>
      <c r="E1977" s="31" t="s">
        <v>904</v>
      </c>
      <c r="F1977" s="31" t="s">
        <v>994</v>
      </c>
      <c r="G1977" s="27">
        <v>13400</v>
      </c>
      <c r="H1977" s="31" t="s">
        <v>63</v>
      </c>
      <c r="I1977" s="31"/>
      <c r="J1977" s="26" t="s">
        <v>775</v>
      </c>
      <c r="K1977" s="27">
        <v>13400</v>
      </c>
      <c r="L1977" s="31" t="s">
        <v>769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1329</v>
      </c>
      <c r="D1978" s="31" t="s">
        <v>576</v>
      </c>
      <c r="E1978" s="31"/>
      <c r="F1978" s="31" t="s">
        <v>576</v>
      </c>
      <c r="G1978" s="27">
        <v>5000</v>
      </c>
      <c r="H1978" s="31" t="s">
        <v>63</v>
      </c>
      <c r="I1978" s="31"/>
      <c r="J1978" s="26" t="s">
        <v>778</v>
      </c>
      <c r="K1978" s="27">
        <v>5000</v>
      </c>
      <c r="L1978" s="31" t="s">
        <v>769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852</v>
      </c>
      <c r="D1979" s="31" t="s">
        <v>796</v>
      </c>
      <c r="E1979" s="31"/>
      <c r="F1979" s="31" t="s">
        <v>488</v>
      </c>
      <c r="G1979" s="27">
        <v>28310</v>
      </c>
      <c r="H1979" s="31" t="s">
        <v>63</v>
      </c>
      <c r="I1979" s="31" t="s">
        <v>1530</v>
      </c>
      <c r="J1979" s="26" t="s">
        <v>801</v>
      </c>
      <c r="K1979" s="27">
        <v>28310</v>
      </c>
      <c r="L1979" s="31" t="s">
        <v>769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1329</v>
      </c>
      <c r="D1980" s="31" t="s">
        <v>1053</v>
      </c>
      <c r="E1980" s="31"/>
      <c r="F1980" s="31" t="s">
        <v>1531</v>
      </c>
      <c r="G1980" s="27">
        <v>134000</v>
      </c>
      <c r="H1980" s="31" t="s">
        <v>63</v>
      </c>
      <c r="I1980" s="31" t="s">
        <v>1532</v>
      </c>
      <c r="J1980" s="26" t="s">
        <v>775</v>
      </c>
      <c r="K1980" s="27">
        <v>134000</v>
      </c>
      <c r="L1980" s="31" t="s">
        <v>769</v>
      </c>
      <c r="M1980" s="31" t="s">
        <v>1533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669</v>
      </c>
      <c r="D1981" s="31" t="s">
        <v>811</v>
      </c>
      <c r="E1981" s="31"/>
      <c r="F1981" s="31" t="s">
        <v>825</v>
      </c>
      <c r="G1981" s="27">
        <v>360050</v>
      </c>
      <c r="H1981" s="31" t="s">
        <v>63</v>
      </c>
      <c r="I1981" s="31" t="s">
        <v>1534</v>
      </c>
      <c r="J1981" s="26" t="s">
        <v>801</v>
      </c>
      <c r="K1981" s="27">
        <v>360050</v>
      </c>
      <c r="L1981" s="31" t="s">
        <v>769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766</v>
      </c>
      <c r="D1982" s="31" t="s">
        <v>485</v>
      </c>
      <c r="E1982" s="31"/>
      <c r="F1982" s="31" t="s">
        <v>917</v>
      </c>
      <c r="G1982" s="27">
        <v>8701</v>
      </c>
      <c r="H1982" s="31" t="s">
        <v>63</v>
      </c>
      <c r="I1982" s="31" t="s">
        <v>918</v>
      </c>
      <c r="J1982" s="26" t="s">
        <v>768</v>
      </c>
      <c r="K1982" s="27">
        <v>8701</v>
      </c>
      <c r="L1982" s="31" t="s">
        <v>769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780</v>
      </c>
      <c r="D1983" s="31" t="s">
        <v>906</v>
      </c>
      <c r="E1983" s="31"/>
      <c r="F1983" s="31" t="s">
        <v>1535</v>
      </c>
      <c r="G1983" s="27">
        <v>4400</v>
      </c>
      <c r="H1983" s="31" t="s">
        <v>63</v>
      </c>
      <c r="I1983" s="31" t="s">
        <v>1536</v>
      </c>
      <c r="J1983" s="26" t="s">
        <v>775</v>
      </c>
      <c r="K1983" s="27">
        <v>4400</v>
      </c>
      <c r="L1983" s="31" t="s">
        <v>769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1329</v>
      </c>
      <c r="D1984" s="31" t="s">
        <v>575</v>
      </c>
      <c r="E1984" s="31" t="s">
        <v>781</v>
      </c>
      <c r="F1984" s="31" t="s">
        <v>1023</v>
      </c>
      <c r="G1984" s="27">
        <v>10000</v>
      </c>
      <c r="H1984" s="31" t="s">
        <v>63</v>
      </c>
      <c r="I1984" s="31"/>
      <c r="J1984" s="26" t="s">
        <v>775</v>
      </c>
      <c r="K1984" s="27">
        <v>10000</v>
      </c>
      <c r="L1984" s="31" t="s">
        <v>769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147</v>
      </c>
      <c r="D1985" s="31" t="s">
        <v>821</v>
      </c>
      <c r="E1985" s="31"/>
      <c r="F1985" s="31" t="s">
        <v>858</v>
      </c>
      <c r="G1985" s="27">
        <v>100000</v>
      </c>
      <c r="H1985" s="31" t="s">
        <v>520</v>
      </c>
      <c r="I1985" s="31"/>
      <c r="J1985" s="26" t="s">
        <v>821</v>
      </c>
      <c r="K1985" s="27">
        <v>100000</v>
      </c>
      <c r="L1985" s="31" t="s">
        <v>769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1329</v>
      </c>
      <c r="D1986" s="31" t="s">
        <v>912</v>
      </c>
      <c r="E1986" s="31" t="s">
        <v>1190</v>
      </c>
      <c r="F1986" s="31" t="s">
        <v>1537</v>
      </c>
      <c r="G1986" s="27">
        <v>31000</v>
      </c>
      <c r="H1986" s="31" t="s">
        <v>63</v>
      </c>
      <c r="I1986" s="31"/>
      <c r="J1986" s="26" t="s">
        <v>783</v>
      </c>
      <c r="K1986" s="27">
        <v>31000</v>
      </c>
      <c r="L1986" s="31" t="s">
        <v>769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196</v>
      </c>
      <c r="D1987" s="31" t="s">
        <v>912</v>
      </c>
      <c r="E1987" s="31" t="s">
        <v>1190</v>
      </c>
      <c r="F1987" s="31" t="s">
        <v>913</v>
      </c>
      <c r="G1987" s="27">
        <v>-15500</v>
      </c>
      <c r="H1987" s="31" t="s">
        <v>63</v>
      </c>
      <c r="I1987" s="31"/>
      <c r="J1987" s="26" t="s">
        <v>783</v>
      </c>
      <c r="K1987" s="27">
        <v>-15500</v>
      </c>
      <c r="L1987" s="31" t="s">
        <v>769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780</v>
      </c>
      <c r="D1988" s="31" t="s">
        <v>817</v>
      </c>
      <c r="E1988" s="31"/>
      <c r="F1988" s="31" t="s">
        <v>451</v>
      </c>
      <c r="G1988" s="27">
        <v>59600</v>
      </c>
      <c r="H1988" s="31" t="s">
        <v>63</v>
      </c>
      <c r="I1988" s="31"/>
      <c r="J1988" s="26" t="s">
        <v>768</v>
      </c>
      <c r="K1988" s="27">
        <v>59600</v>
      </c>
      <c r="L1988" s="31" t="s">
        <v>769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1329</v>
      </c>
      <c r="D1989" s="31" t="s">
        <v>575</v>
      </c>
      <c r="E1989" s="31" t="s">
        <v>772</v>
      </c>
      <c r="F1989" s="31" t="s">
        <v>773</v>
      </c>
      <c r="G1989" s="27">
        <v>6200</v>
      </c>
      <c r="H1989" s="31" t="s">
        <v>63</v>
      </c>
      <c r="I1989" s="31" t="s">
        <v>1538</v>
      </c>
      <c r="J1989" s="26" t="s">
        <v>775</v>
      </c>
      <c r="K1989" s="27">
        <v>6200</v>
      </c>
      <c r="L1989" s="31" t="s">
        <v>769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1329</v>
      </c>
      <c r="D1990" s="31" t="s">
        <v>576</v>
      </c>
      <c r="E1990" s="31"/>
      <c r="F1990" s="31" t="s">
        <v>576</v>
      </c>
      <c r="G1990" s="27">
        <v>5000</v>
      </c>
      <c r="H1990" s="31" t="s">
        <v>63</v>
      </c>
      <c r="I1990" s="31"/>
      <c r="J1990" s="26" t="s">
        <v>778</v>
      </c>
      <c r="K1990" s="27">
        <v>5000</v>
      </c>
      <c r="L1990" s="31" t="s">
        <v>769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181</v>
      </c>
      <c r="D1991" s="31" t="s">
        <v>66</v>
      </c>
      <c r="E1991" s="31"/>
      <c r="F1991" s="31" t="s">
        <v>66</v>
      </c>
      <c r="G1991" s="27">
        <v>2776050</v>
      </c>
      <c r="H1991" s="31" t="s">
        <v>520</v>
      </c>
      <c r="I1991" s="31"/>
      <c r="J1991" s="26" t="s">
        <v>66</v>
      </c>
      <c r="K1991" s="27">
        <v>2776050</v>
      </c>
      <c r="L1991" s="31" t="s">
        <v>769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1329</v>
      </c>
      <c r="D1992" s="31" t="s">
        <v>575</v>
      </c>
      <c r="E1992" s="31" t="s">
        <v>781</v>
      </c>
      <c r="F1992" s="31" t="s">
        <v>902</v>
      </c>
      <c r="G1992" s="27">
        <v>11000</v>
      </c>
      <c r="H1992" s="31" t="s">
        <v>63</v>
      </c>
      <c r="I1992" s="31"/>
      <c r="J1992" s="26" t="s">
        <v>775</v>
      </c>
      <c r="K1992" s="27">
        <v>11000</v>
      </c>
      <c r="L1992" s="31" t="s">
        <v>769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852</v>
      </c>
      <c r="D1993" s="31" t="s">
        <v>946</v>
      </c>
      <c r="E1993" s="31"/>
      <c r="F1993" s="31" t="s">
        <v>488</v>
      </c>
      <c r="G1993" s="27">
        <v>25900</v>
      </c>
      <c r="H1993" s="31" t="s">
        <v>63</v>
      </c>
      <c r="I1993" s="31" t="s">
        <v>1539</v>
      </c>
      <c r="J1993" s="26" t="s">
        <v>775</v>
      </c>
      <c r="K1993" s="27">
        <v>25900</v>
      </c>
      <c r="L1993" s="31" t="s">
        <v>769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1329</v>
      </c>
      <c r="D1994" s="31" t="s">
        <v>576</v>
      </c>
      <c r="E1994" s="31"/>
      <c r="F1994" s="31" t="s">
        <v>576</v>
      </c>
      <c r="G1994" s="27">
        <v>5000</v>
      </c>
      <c r="H1994" s="31" t="s">
        <v>63</v>
      </c>
      <c r="I1994" s="31"/>
      <c r="J1994" s="26" t="s">
        <v>778</v>
      </c>
      <c r="K1994" s="27">
        <v>5000</v>
      </c>
      <c r="L1994" s="31" t="s">
        <v>769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1329</v>
      </c>
      <c r="D1995" s="31" t="s">
        <v>575</v>
      </c>
      <c r="E1995" s="31" t="s">
        <v>772</v>
      </c>
      <c r="F1995" s="31" t="s">
        <v>773</v>
      </c>
      <c r="G1995" s="27">
        <v>1500</v>
      </c>
      <c r="H1995" s="31" t="s">
        <v>63</v>
      </c>
      <c r="I1995" s="31" t="s">
        <v>1061</v>
      </c>
      <c r="J1995" s="26" t="s">
        <v>775</v>
      </c>
      <c r="K1995" s="27">
        <v>1500</v>
      </c>
      <c r="L1995" s="31" t="s">
        <v>769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181</v>
      </c>
      <c r="D1996" s="31" t="s">
        <v>527</v>
      </c>
      <c r="E1996" s="31"/>
      <c r="F1996" s="31" t="s">
        <v>81</v>
      </c>
      <c r="G1996" s="27">
        <v>20000</v>
      </c>
      <c r="H1996" s="31" t="s">
        <v>807</v>
      </c>
      <c r="I1996" s="31"/>
      <c r="J1996" s="26" t="s">
        <v>830</v>
      </c>
      <c r="K1996" s="27">
        <v>20000</v>
      </c>
      <c r="L1996" s="31" t="s">
        <v>769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527</v>
      </c>
      <c r="D1997" s="31" t="s">
        <v>181</v>
      </c>
      <c r="E1997" s="31"/>
      <c r="F1997" s="31" t="s">
        <v>81</v>
      </c>
      <c r="G1997" s="27">
        <v>20000</v>
      </c>
      <c r="H1997" s="31" t="s">
        <v>804</v>
      </c>
      <c r="I1997" s="31"/>
      <c r="J1997" s="26" t="s">
        <v>805</v>
      </c>
      <c r="K1997" s="27">
        <v>20000</v>
      </c>
      <c r="L1997" s="31" t="s">
        <v>769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181</v>
      </c>
      <c r="D1998" s="31" t="s">
        <v>922</v>
      </c>
      <c r="E1998" s="31"/>
      <c r="F1998" s="31" t="s">
        <v>81</v>
      </c>
      <c r="G1998" s="27">
        <v>150000</v>
      </c>
      <c r="H1998" s="31" t="s">
        <v>807</v>
      </c>
      <c r="I1998" s="31"/>
      <c r="J1998" s="26" t="s">
        <v>829</v>
      </c>
      <c r="K1998" s="27">
        <v>150000</v>
      </c>
      <c r="L1998" s="31" t="s">
        <v>769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922</v>
      </c>
      <c r="D1999" s="31" t="s">
        <v>181</v>
      </c>
      <c r="E1999" s="31"/>
      <c r="F1999" s="31" t="s">
        <v>81</v>
      </c>
      <c r="G1999" s="27">
        <v>150000</v>
      </c>
      <c r="H1999" s="31" t="s">
        <v>804</v>
      </c>
      <c r="I1999" s="31"/>
      <c r="J1999" s="26" t="s">
        <v>805</v>
      </c>
      <c r="K1999" s="27">
        <v>150000</v>
      </c>
      <c r="L1999" s="31" t="s">
        <v>769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196</v>
      </c>
      <c r="D2000" s="31" t="s">
        <v>22</v>
      </c>
      <c r="E2000" s="31"/>
      <c r="F2000" s="31" t="s">
        <v>934</v>
      </c>
      <c r="G2000" s="27">
        <v>1</v>
      </c>
      <c r="H2000" s="31" t="s">
        <v>520</v>
      </c>
      <c r="I2000" s="31"/>
      <c r="J2000" s="26" t="s">
        <v>824</v>
      </c>
      <c r="K2000" s="27">
        <v>1</v>
      </c>
      <c r="L2000" s="31" t="s">
        <v>769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181</v>
      </c>
      <c r="D2001" s="31" t="s">
        <v>1279</v>
      </c>
      <c r="E2001" s="31"/>
      <c r="F2001" s="31" t="s">
        <v>81</v>
      </c>
      <c r="G2001" s="27">
        <v>200000</v>
      </c>
      <c r="H2001" s="31" t="s">
        <v>807</v>
      </c>
      <c r="I2001" s="31"/>
      <c r="J2001" s="26" t="s">
        <v>836</v>
      </c>
      <c r="K2001" s="27">
        <v>200000</v>
      </c>
      <c r="L2001" s="31" t="s">
        <v>769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1279</v>
      </c>
      <c r="D2002" s="31" t="s">
        <v>181</v>
      </c>
      <c r="E2002" s="31"/>
      <c r="F2002" s="31" t="s">
        <v>81</v>
      </c>
      <c r="G2002" s="27">
        <v>200000</v>
      </c>
      <c r="H2002" s="31" t="s">
        <v>804</v>
      </c>
      <c r="I2002" s="31"/>
      <c r="J2002" s="26" t="s">
        <v>805</v>
      </c>
      <c r="K2002" s="27">
        <v>200000</v>
      </c>
      <c r="L2002" s="31" t="s">
        <v>769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1279</v>
      </c>
      <c r="D2003" s="31" t="s">
        <v>821</v>
      </c>
      <c r="E2003" s="31"/>
      <c r="F2003" s="31" t="s">
        <v>858</v>
      </c>
      <c r="G2003" s="27">
        <v>200000</v>
      </c>
      <c r="H2003" s="31" t="s">
        <v>520</v>
      </c>
      <c r="I2003" s="31"/>
      <c r="J2003" s="26" t="s">
        <v>821</v>
      </c>
      <c r="K2003" s="27">
        <v>200000</v>
      </c>
      <c r="L2003" s="31" t="s">
        <v>769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181</v>
      </c>
      <c r="D2004" s="31" t="s">
        <v>1006</v>
      </c>
      <c r="E2004" s="31"/>
      <c r="F2004" s="31" t="s">
        <v>81</v>
      </c>
      <c r="G2004" s="27">
        <v>60000</v>
      </c>
      <c r="H2004" s="31" t="s">
        <v>807</v>
      </c>
      <c r="I2004" s="31"/>
      <c r="J2004" s="26" t="s">
        <v>833</v>
      </c>
      <c r="K2004" s="27">
        <v>60000</v>
      </c>
      <c r="L2004" s="31" t="s">
        <v>769</v>
      </c>
      <c r="M2004" s="31" t="s">
        <v>1540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1006</v>
      </c>
      <c r="D2005" s="31" t="s">
        <v>181</v>
      </c>
      <c r="E2005" s="31"/>
      <c r="F2005" s="31" t="s">
        <v>81</v>
      </c>
      <c r="G2005" s="27">
        <v>60000</v>
      </c>
      <c r="H2005" s="31" t="s">
        <v>804</v>
      </c>
      <c r="I2005" s="31"/>
      <c r="J2005" s="26" t="s">
        <v>805</v>
      </c>
      <c r="K2005" s="27">
        <v>60000</v>
      </c>
      <c r="L2005" s="31" t="s">
        <v>769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181</v>
      </c>
      <c r="D2006" s="31" t="s">
        <v>1005</v>
      </c>
      <c r="E2006" s="31"/>
      <c r="F2006" s="31" t="s">
        <v>81</v>
      </c>
      <c r="G2006" s="27">
        <v>60000</v>
      </c>
      <c r="H2006" s="31" t="s">
        <v>807</v>
      </c>
      <c r="I2006" s="31"/>
      <c r="J2006" s="26" t="s">
        <v>833</v>
      </c>
      <c r="K2006" s="27">
        <v>60000</v>
      </c>
      <c r="L2006" s="31" t="s">
        <v>769</v>
      </c>
      <c r="M2006" s="31" t="s">
        <v>1540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1005</v>
      </c>
      <c r="D2007" s="31" t="s">
        <v>181</v>
      </c>
      <c r="E2007" s="31"/>
      <c r="F2007" s="31" t="s">
        <v>81</v>
      </c>
      <c r="G2007" s="27">
        <v>60000</v>
      </c>
      <c r="H2007" s="31" t="s">
        <v>804</v>
      </c>
      <c r="I2007" s="31"/>
      <c r="J2007" s="26" t="s">
        <v>805</v>
      </c>
      <c r="K2007" s="27">
        <v>60000</v>
      </c>
      <c r="L2007" s="31" t="s">
        <v>769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1006</v>
      </c>
      <c r="D2008" s="31" t="s">
        <v>806</v>
      </c>
      <c r="E2008" s="31"/>
      <c r="F2008" s="31" t="s">
        <v>1036</v>
      </c>
      <c r="G2008" s="27">
        <v>68936</v>
      </c>
      <c r="H2008" s="31" t="s">
        <v>63</v>
      </c>
      <c r="I2008" s="31" t="s">
        <v>1051</v>
      </c>
      <c r="J2008" s="26" t="s">
        <v>806</v>
      </c>
      <c r="K2008" s="27">
        <v>68936</v>
      </c>
      <c r="L2008" s="31" t="s">
        <v>769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1005</v>
      </c>
      <c r="D2009" s="31" t="s">
        <v>806</v>
      </c>
      <c r="E2009" s="31"/>
      <c r="F2009" s="31" t="s">
        <v>1036</v>
      </c>
      <c r="G2009" s="27">
        <v>58552</v>
      </c>
      <c r="H2009" s="31" t="s">
        <v>63</v>
      </c>
      <c r="I2009" s="31" t="s">
        <v>1051</v>
      </c>
      <c r="J2009" s="26" t="s">
        <v>806</v>
      </c>
      <c r="K2009" s="27">
        <v>58552</v>
      </c>
      <c r="L2009" s="31" t="s">
        <v>769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181</v>
      </c>
      <c r="D2010" s="31" t="s">
        <v>559</v>
      </c>
      <c r="E2010" s="31"/>
      <c r="F2010" s="31" t="s">
        <v>81</v>
      </c>
      <c r="G2010" s="27">
        <v>20000</v>
      </c>
      <c r="H2010" s="31" t="s">
        <v>807</v>
      </c>
      <c r="I2010" s="31"/>
      <c r="J2010" s="26" t="s">
        <v>839</v>
      </c>
      <c r="K2010" s="27">
        <v>20000</v>
      </c>
      <c r="L2010" s="31" t="s">
        <v>769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559</v>
      </c>
      <c r="D2011" s="31" t="s">
        <v>181</v>
      </c>
      <c r="E2011" s="31"/>
      <c r="F2011" s="31" t="s">
        <v>81</v>
      </c>
      <c r="G2011" s="27">
        <v>20000</v>
      </c>
      <c r="H2011" s="31" t="s">
        <v>804</v>
      </c>
      <c r="I2011" s="31"/>
      <c r="J2011" s="26" t="s">
        <v>805</v>
      </c>
      <c r="K2011" s="27">
        <v>20000</v>
      </c>
      <c r="L2011" s="31" t="s">
        <v>769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163</v>
      </c>
      <c r="D2012" s="31" t="s">
        <v>181</v>
      </c>
      <c r="E2012" s="31"/>
      <c r="F2012" s="31" t="s">
        <v>81</v>
      </c>
      <c r="G2012" s="27">
        <v>391000</v>
      </c>
      <c r="H2012" s="31" t="s">
        <v>807</v>
      </c>
      <c r="I2012" s="31"/>
      <c r="J2012" s="26" t="s">
        <v>805</v>
      </c>
      <c r="K2012" s="27">
        <v>391000</v>
      </c>
      <c r="L2012" s="31" t="s">
        <v>769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181</v>
      </c>
      <c r="D2013" s="31" t="s">
        <v>163</v>
      </c>
      <c r="E2013" s="31"/>
      <c r="F2013" s="31" t="s">
        <v>81</v>
      </c>
      <c r="G2013" s="27">
        <v>391000</v>
      </c>
      <c r="H2013" s="31" t="s">
        <v>804</v>
      </c>
      <c r="I2013" s="31"/>
      <c r="J2013" s="26" t="s">
        <v>805</v>
      </c>
      <c r="K2013" s="27">
        <v>391000</v>
      </c>
      <c r="L2013" s="31" t="s">
        <v>769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181</v>
      </c>
      <c r="D2014" s="31" t="s">
        <v>817</v>
      </c>
      <c r="E2014" s="31"/>
      <c r="F2014" s="31" t="s">
        <v>82</v>
      </c>
      <c r="G2014" s="27">
        <v>391000</v>
      </c>
      <c r="H2014" s="31" t="s">
        <v>63</v>
      </c>
      <c r="I2014" s="31"/>
      <c r="J2014" s="26" t="s">
        <v>768</v>
      </c>
      <c r="K2014" s="27">
        <v>391000</v>
      </c>
      <c r="L2014" s="31" t="s">
        <v>769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181</v>
      </c>
      <c r="D2015" s="31" t="s">
        <v>163</v>
      </c>
      <c r="E2015" s="31"/>
      <c r="F2015" s="31" t="s">
        <v>81</v>
      </c>
      <c r="G2015" s="27">
        <v>2266060</v>
      </c>
      <c r="H2015" s="31" t="s">
        <v>807</v>
      </c>
      <c r="I2015" s="31"/>
      <c r="J2015" s="26" t="s">
        <v>805</v>
      </c>
      <c r="K2015" s="27">
        <v>2266060</v>
      </c>
      <c r="L2015" s="31" t="s">
        <v>769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163</v>
      </c>
      <c r="D2016" s="31" t="s">
        <v>181</v>
      </c>
      <c r="E2016" s="31"/>
      <c r="F2016" s="31" t="s">
        <v>81</v>
      </c>
      <c r="G2016" s="27">
        <v>2266060</v>
      </c>
      <c r="H2016" s="31" t="s">
        <v>804</v>
      </c>
      <c r="I2016" s="31"/>
      <c r="J2016" s="26" t="s">
        <v>805</v>
      </c>
      <c r="K2016" s="27">
        <v>2266060</v>
      </c>
      <c r="L2016" s="31" t="s">
        <v>769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163</v>
      </c>
      <c r="D2017" s="31" t="s">
        <v>22</v>
      </c>
      <c r="E2017" s="31"/>
      <c r="F2017" s="31" t="s">
        <v>188</v>
      </c>
      <c r="G2017" s="27">
        <v>1539</v>
      </c>
      <c r="H2017" s="31" t="s">
        <v>520</v>
      </c>
      <c r="I2017" s="31"/>
      <c r="J2017" s="26" t="s">
        <v>824</v>
      </c>
      <c r="K2017" s="27">
        <v>1539</v>
      </c>
      <c r="L2017" s="31" t="s">
        <v>769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852</v>
      </c>
      <c r="D2018" s="31" t="s">
        <v>946</v>
      </c>
      <c r="E2018" s="31"/>
      <c r="F2018" s="31" t="s">
        <v>488</v>
      </c>
      <c r="G2018" s="27">
        <v>35150</v>
      </c>
      <c r="H2018" s="31" t="s">
        <v>63</v>
      </c>
      <c r="I2018" s="31" t="s">
        <v>1541</v>
      </c>
      <c r="J2018" s="26" t="s">
        <v>775</v>
      </c>
      <c r="K2018" s="27">
        <v>35150</v>
      </c>
      <c r="L2018" s="31" t="s">
        <v>769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766</v>
      </c>
      <c r="D2019" s="31" t="s">
        <v>485</v>
      </c>
      <c r="E2019" s="31"/>
      <c r="F2019" s="31" t="s">
        <v>926</v>
      </c>
      <c r="G2019" s="27">
        <v>4890</v>
      </c>
      <c r="H2019" s="31" t="s">
        <v>63</v>
      </c>
      <c r="I2019" s="31"/>
      <c r="J2019" s="26" t="s">
        <v>768</v>
      </c>
      <c r="K2019" s="27">
        <v>4890</v>
      </c>
      <c r="L2019" s="31" t="s">
        <v>769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1329</v>
      </c>
      <c r="D2020" s="31" t="s">
        <v>843</v>
      </c>
      <c r="E2020" s="31" t="s">
        <v>844</v>
      </c>
      <c r="F2020" s="31" t="s">
        <v>970</v>
      </c>
      <c r="G2020" s="27">
        <v>16000</v>
      </c>
      <c r="H2020" s="31" t="s">
        <v>63</v>
      </c>
      <c r="I2020" s="31"/>
      <c r="J2020" s="26" t="s">
        <v>775</v>
      </c>
      <c r="K2020" s="27">
        <v>16000</v>
      </c>
      <c r="L2020" s="31" t="s">
        <v>769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766</v>
      </c>
      <c r="D2021" s="31" t="s">
        <v>485</v>
      </c>
      <c r="E2021" s="31"/>
      <c r="F2021" s="31" t="s">
        <v>1542</v>
      </c>
      <c r="G2021" s="27">
        <v>29000</v>
      </c>
      <c r="H2021" s="31" t="s">
        <v>63</v>
      </c>
      <c r="I2021" s="31"/>
      <c r="J2021" s="26" t="s">
        <v>768</v>
      </c>
      <c r="K2021" s="27">
        <v>29000</v>
      </c>
      <c r="L2021" s="31" t="s">
        <v>769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1329</v>
      </c>
      <c r="D2022" s="31" t="s">
        <v>575</v>
      </c>
      <c r="E2022" s="31" t="s">
        <v>781</v>
      </c>
      <c r="F2022" s="31" t="s">
        <v>910</v>
      </c>
      <c r="G2022" s="27">
        <v>13000</v>
      </c>
      <c r="H2022" s="31" t="s">
        <v>63</v>
      </c>
      <c r="I2022" s="31"/>
      <c r="J2022" s="26" t="s">
        <v>775</v>
      </c>
      <c r="K2022" s="27">
        <v>13000</v>
      </c>
      <c r="L2022" s="31" t="s">
        <v>769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1329</v>
      </c>
      <c r="D2023" s="31" t="s">
        <v>575</v>
      </c>
      <c r="E2023" s="31" t="s">
        <v>772</v>
      </c>
      <c r="F2023" s="31" t="s">
        <v>814</v>
      </c>
      <c r="G2023" s="27">
        <v>7000</v>
      </c>
      <c r="H2023" s="31" t="s">
        <v>63</v>
      </c>
      <c r="I2023" s="31"/>
      <c r="J2023" s="26" t="s">
        <v>775</v>
      </c>
      <c r="K2023" s="27">
        <v>7000</v>
      </c>
      <c r="L2023" s="31" t="s">
        <v>769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780</v>
      </c>
      <c r="D2024" s="31" t="s">
        <v>843</v>
      </c>
      <c r="E2024" s="31" t="s">
        <v>932</v>
      </c>
      <c r="F2024" s="31" t="s">
        <v>933</v>
      </c>
      <c r="G2024" s="27">
        <v>143056</v>
      </c>
      <c r="H2024" s="31" t="s">
        <v>63</v>
      </c>
      <c r="I2024" s="31"/>
      <c r="J2024" s="26" t="s">
        <v>768</v>
      </c>
      <c r="K2024" s="27">
        <v>143056</v>
      </c>
      <c r="L2024" s="31" t="s">
        <v>769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1329</v>
      </c>
      <c r="D2025" s="31" t="s">
        <v>575</v>
      </c>
      <c r="E2025" s="31" t="s">
        <v>885</v>
      </c>
      <c r="F2025" s="31" t="s">
        <v>773</v>
      </c>
      <c r="G2025" s="27">
        <v>4750</v>
      </c>
      <c r="H2025" s="31" t="s">
        <v>63</v>
      </c>
      <c r="I2025" s="31" t="s">
        <v>992</v>
      </c>
      <c r="J2025" s="26" t="s">
        <v>775</v>
      </c>
      <c r="K2025" s="27">
        <v>4750</v>
      </c>
      <c r="L2025" s="31" t="s">
        <v>769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1329</v>
      </c>
      <c r="D2026" s="31" t="s">
        <v>576</v>
      </c>
      <c r="E2026" s="31"/>
      <c r="F2026" s="31" t="s">
        <v>576</v>
      </c>
      <c r="G2026" s="27">
        <v>5000</v>
      </c>
      <c r="H2026" s="31" t="s">
        <v>63</v>
      </c>
      <c r="I2026" s="31"/>
      <c r="J2026" s="26" t="s">
        <v>778</v>
      </c>
      <c r="K2026" s="27">
        <v>5000</v>
      </c>
      <c r="L2026" s="31" t="s">
        <v>769</v>
      </c>
      <c r="M2026" s="31" t="s">
        <v>1543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1329</v>
      </c>
      <c r="D2027" s="31" t="s">
        <v>576</v>
      </c>
      <c r="E2027" s="31"/>
      <c r="F2027" s="31" t="s">
        <v>576</v>
      </c>
      <c r="G2027" s="27">
        <v>5000</v>
      </c>
      <c r="H2027" s="31" t="s">
        <v>63</v>
      </c>
      <c r="I2027" s="31"/>
      <c r="J2027" s="26" t="s">
        <v>778</v>
      </c>
      <c r="K2027" s="27">
        <v>5000</v>
      </c>
      <c r="L2027" s="31" t="s">
        <v>769</v>
      </c>
      <c r="M2027" s="31" t="s">
        <v>1543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196</v>
      </c>
      <c r="D2028" s="31" t="s">
        <v>22</v>
      </c>
      <c r="E2028" s="31"/>
      <c r="F2028" s="31" t="s">
        <v>1007</v>
      </c>
      <c r="G2028" s="27">
        <v>90</v>
      </c>
      <c r="H2028" s="31" t="s">
        <v>520</v>
      </c>
      <c r="I2028" s="31"/>
      <c r="J2028" s="26" t="s">
        <v>824</v>
      </c>
      <c r="K2028" s="27">
        <v>90</v>
      </c>
      <c r="L2028" s="31" t="s">
        <v>769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1329</v>
      </c>
      <c r="D2029" s="31" t="s">
        <v>811</v>
      </c>
      <c r="E2029" s="31"/>
      <c r="F2029" s="31" t="s">
        <v>825</v>
      </c>
      <c r="G2029" s="27">
        <v>7330</v>
      </c>
      <c r="H2029" s="31" t="s">
        <v>63</v>
      </c>
      <c r="I2029" s="31" t="s">
        <v>1544</v>
      </c>
      <c r="J2029" s="26" t="s">
        <v>801</v>
      </c>
      <c r="K2029" s="27">
        <v>7330</v>
      </c>
      <c r="L2029" s="31" t="s">
        <v>769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1329</v>
      </c>
      <c r="D2030" s="31" t="s">
        <v>575</v>
      </c>
      <c r="E2030" s="31" t="s">
        <v>772</v>
      </c>
      <c r="F2030" s="31" t="s">
        <v>773</v>
      </c>
      <c r="G2030" s="27">
        <v>8600</v>
      </c>
      <c r="H2030" s="31" t="s">
        <v>63</v>
      </c>
      <c r="I2030" s="31" t="s">
        <v>1494</v>
      </c>
      <c r="J2030" s="26" t="s">
        <v>775</v>
      </c>
      <c r="K2030" s="27">
        <v>8600</v>
      </c>
      <c r="L2030" s="31" t="s">
        <v>769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1329</v>
      </c>
      <c r="D2031" s="31" t="s">
        <v>575</v>
      </c>
      <c r="E2031" s="31" t="s">
        <v>781</v>
      </c>
      <c r="F2031" s="31" t="s">
        <v>1545</v>
      </c>
      <c r="G2031" s="27">
        <v>10000</v>
      </c>
      <c r="H2031" s="31" t="s">
        <v>63</v>
      </c>
      <c r="I2031" s="31" t="s">
        <v>1546</v>
      </c>
      <c r="J2031" s="26" t="s">
        <v>775</v>
      </c>
      <c r="K2031" s="27">
        <v>10000</v>
      </c>
      <c r="L2031" s="31" t="s">
        <v>769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1329</v>
      </c>
      <c r="D2032" s="31" t="s">
        <v>575</v>
      </c>
      <c r="E2032" s="31" t="s">
        <v>885</v>
      </c>
      <c r="F2032" s="31" t="s">
        <v>773</v>
      </c>
      <c r="G2032" s="27">
        <v>2700</v>
      </c>
      <c r="H2032" s="31" t="s">
        <v>63</v>
      </c>
      <c r="I2032" s="31" t="s">
        <v>992</v>
      </c>
      <c r="J2032" s="26" t="s">
        <v>775</v>
      </c>
      <c r="K2032" s="27">
        <v>2700</v>
      </c>
      <c r="L2032" s="31" t="s">
        <v>769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1329</v>
      </c>
      <c r="D2033" s="31" t="s">
        <v>576</v>
      </c>
      <c r="E2033" s="31"/>
      <c r="F2033" s="31" t="s">
        <v>576</v>
      </c>
      <c r="G2033" s="27">
        <v>5000</v>
      </c>
      <c r="H2033" s="31" t="s">
        <v>63</v>
      </c>
      <c r="I2033" s="31"/>
      <c r="J2033" s="26" t="s">
        <v>778</v>
      </c>
      <c r="K2033" s="27">
        <v>5000</v>
      </c>
      <c r="L2033" s="31" t="s">
        <v>769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163</v>
      </c>
      <c r="D2034" s="31" t="s">
        <v>147</v>
      </c>
      <c r="E2034" s="31"/>
      <c r="F2034" s="31" t="s">
        <v>81</v>
      </c>
      <c r="G2034" s="27">
        <v>100000</v>
      </c>
      <c r="H2034" s="31" t="s">
        <v>807</v>
      </c>
      <c r="I2034" s="31"/>
      <c r="J2034" s="26" t="s">
        <v>838</v>
      </c>
      <c r="K2034" s="27">
        <v>100000</v>
      </c>
      <c r="L2034" s="31" t="s">
        <v>769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147</v>
      </c>
      <c r="D2035" s="31" t="s">
        <v>163</v>
      </c>
      <c r="E2035" s="31"/>
      <c r="F2035" s="31" t="s">
        <v>81</v>
      </c>
      <c r="G2035" s="27">
        <v>100000</v>
      </c>
      <c r="H2035" s="31" t="s">
        <v>804</v>
      </c>
      <c r="I2035" s="31"/>
      <c r="J2035" s="26" t="s">
        <v>805</v>
      </c>
      <c r="K2035" s="27">
        <v>100000</v>
      </c>
      <c r="L2035" s="31" t="s">
        <v>769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1329</v>
      </c>
      <c r="D2036" s="31" t="s">
        <v>840</v>
      </c>
      <c r="E2036" s="31"/>
      <c r="F2036" s="31" t="s">
        <v>841</v>
      </c>
      <c r="G2036" s="27">
        <v>8500</v>
      </c>
      <c r="H2036" s="31" t="s">
        <v>63</v>
      </c>
      <c r="I2036" s="31" t="s">
        <v>658</v>
      </c>
      <c r="J2036" s="26" t="s">
        <v>787</v>
      </c>
      <c r="K2036" s="27">
        <v>8500</v>
      </c>
      <c r="L2036" s="31" t="s">
        <v>769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1329</v>
      </c>
      <c r="D2037" s="31" t="s">
        <v>946</v>
      </c>
      <c r="E2037" s="31"/>
      <c r="F2037" s="31" t="s">
        <v>1082</v>
      </c>
      <c r="G2037" s="27">
        <v>51500</v>
      </c>
      <c r="H2037" s="31" t="s">
        <v>63</v>
      </c>
      <c r="I2037" s="31" t="s">
        <v>1547</v>
      </c>
      <c r="J2037" s="26" t="s">
        <v>775</v>
      </c>
      <c r="K2037" s="27">
        <v>51500</v>
      </c>
      <c r="L2037" s="31" t="s">
        <v>769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1329</v>
      </c>
      <c r="D2038" s="31" t="s">
        <v>796</v>
      </c>
      <c r="E2038" s="31"/>
      <c r="F2038" s="31" t="s">
        <v>797</v>
      </c>
      <c r="G2038" s="27">
        <v>8200</v>
      </c>
      <c r="H2038" s="31" t="s">
        <v>63</v>
      </c>
      <c r="I2038" s="31"/>
      <c r="J2038" s="26" t="s">
        <v>801</v>
      </c>
      <c r="K2038" s="27">
        <v>8200</v>
      </c>
      <c r="L2038" s="31" t="s">
        <v>769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1329</v>
      </c>
      <c r="D2039" s="31" t="s">
        <v>912</v>
      </c>
      <c r="E2039" s="31" t="s">
        <v>1190</v>
      </c>
      <c r="F2039" s="31" t="s">
        <v>1548</v>
      </c>
      <c r="G2039" s="27">
        <v>11800</v>
      </c>
      <c r="H2039" s="31" t="s">
        <v>63</v>
      </c>
      <c r="I2039" s="31"/>
      <c r="J2039" s="26" t="s">
        <v>783</v>
      </c>
      <c r="K2039" s="27">
        <v>11800</v>
      </c>
      <c r="L2039" s="31" t="s">
        <v>769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1329</v>
      </c>
      <c r="D2040" s="31" t="s">
        <v>906</v>
      </c>
      <c r="E2040" s="31"/>
      <c r="F2040" s="31" t="s">
        <v>1549</v>
      </c>
      <c r="G2040" s="27">
        <v>299200</v>
      </c>
      <c r="H2040" s="31" t="s">
        <v>63</v>
      </c>
      <c r="I2040" s="31" t="s">
        <v>1550</v>
      </c>
      <c r="J2040" s="26" t="s">
        <v>789</v>
      </c>
      <c r="K2040" s="27">
        <v>299200</v>
      </c>
      <c r="L2040" s="31" t="s">
        <v>769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175</v>
      </c>
      <c r="D2041" s="31" t="s">
        <v>22</v>
      </c>
      <c r="E2041" s="31"/>
      <c r="F2041" s="31" t="s">
        <v>938</v>
      </c>
      <c r="G2041" s="27">
        <v>1</v>
      </c>
      <c r="H2041" s="31" t="s">
        <v>520</v>
      </c>
      <c r="I2041" s="31"/>
      <c r="J2041" s="26" t="s">
        <v>824</v>
      </c>
      <c r="K2041" s="27">
        <v>1</v>
      </c>
      <c r="L2041" s="31" t="s">
        <v>769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559</v>
      </c>
      <c r="D2042" s="31" t="s">
        <v>22</v>
      </c>
      <c r="E2042" s="31"/>
      <c r="F2042" s="31" t="s">
        <v>927</v>
      </c>
      <c r="G2042" s="27">
        <v>1217</v>
      </c>
      <c r="H2042" s="31" t="s">
        <v>520</v>
      </c>
      <c r="I2042" s="31"/>
      <c r="J2042" s="26" t="s">
        <v>824</v>
      </c>
      <c r="K2042" s="27">
        <v>1217</v>
      </c>
      <c r="L2042" s="31" t="s">
        <v>769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1551</v>
      </c>
      <c r="D2043" s="31" t="s">
        <v>163</v>
      </c>
      <c r="E2043" s="31"/>
      <c r="F2043" s="31" t="s">
        <v>81</v>
      </c>
      <c r="G2043" s="27">
        <v>70000</v>
      </c>
      <c r="H2043" s="31" t="s">
        <v>804</v>
      </c>
      <c r="I2043" s="31"/>
      <c r="J2043" s="26" t="s">
        <v>805</v>
      </c>
      <c r="K2043" s="27">
        <v>70000</v>
      </c>
      <c r="L2043" s="31" t="s">
        <v>769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163</v>
      </c>
      <c r="D2044" s="31" t="s">
        <v>1551</v>
      </c>
      <c r="E2044" s="31"/>
      <c r="F2044" s="31" t="s">
        <v>81</v>
      </c>
      <c r="G2044" s="27">
        <v>70000</v>
      </c>
      <c r="H2044" s="31" t="s">
        <v>807</v>
      </c>
      <c r="I2044" s="31"/>
      <c r="J2044" s="26" t="s">
        <v>835</v>
      </c>
      <c r="K2044" s="27">
        <v>70000</v>
      </c>
      <c r="L2044" s="31" t="s">
        <v>769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780</v>
      </c>
      <c r="D2045" s="31" t="s">
        <v>912</v>
      </c>
      <c r="E2045" s="31" t="s">
        <v>68</v>
      </c>
      <c r="F2045" s="31" t="s">
        <v>1094</v>
      </c>
      <c r="G2045" s="27">
        <v>9600</v>
      </c>
      <c r="H2045" s="31" t="s">
        <v>63</v>
      </c>
      <c r="I2045" s="31"/>
      <c r="J2045" s="26" t="s">
        <v>68</v>
      </c>
      <c r="K2045" s="27">
        <v>9600</v>
      </c>
      <c r="L2045" s="31" t="s">
        <v>769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780</v>
      </c>
      <c r="D2046" s="31" t="s">
        <v>575</v>
      </c>
      <c r="E2046" s="31" t="s">
        <v>772</v>
      </c>
      <c r="F2046" s="31" t="s">
        <v>1116</v>
      </c>
      <c r="G2046" s="27">
        <v>6700</v>
      </c>
      <c r="H2046" s="31" t="s">
        <v>63</v>
      </c>
      <c r="I2046" s="31" t="s">
        <v>1552</v>
      </c>
      <c r="J2046" s="26" t="s">
        <v>775</v>
      </c>
      <c r="K2046" s="27">
        <v>6700</v>
      </c>
      <c r="L2046" s="31" t="s">
        <v>769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1329</v>
      </c>
      <c r="D2047" s="31" t="s">
        <v>912</v>
      </c>
      <c r="E2047" s="31" t="s">
        <v>68</v>
      </c>
      <c r="F2047" s="31" t="s">
        <v>1553</v>
      </c>
      <c r="G2047" s="27">
        <v>300680</v>
      </c>
      <c r="H2047" s="31" t="s">
        <v>63</v>
      </c>
      <c r="I2047" s="31"/>
      <c r="J2047" s="26" t="s">
        <v>68</v>
      </c>
      <c r="K2047" s="27">
        <v>300680</v>
      </c>
      <c r="L2047" s="31" t="s">
        <v>769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1329</v>
      </c>
      <c r="D2048" s="31" t="s">
        <v>912</v>
      </c>
      <c r="E2048" s="31" t="s">
        <v>68</v>
      </c>
      <c r="F2048" s="31" t="s">
        <v>773</v>
      </c>
      <c r="G2048" s="27">
        <v>19800</v>
      </c>
      <c r="H2048" s="31" t="s">
        <v>63</v>
      </c>
      <c r="I2048" s="31" t="s">
        <v>786</v>
      </c>
      <c r="J2048" s="26" t="s">
        <v>68</v>
      </c>
      <c r="K2048" s="27">
        <v>19800</v>
      </c>
      <c r="L2048" s="31" t="s">
        <v>769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766</v>
      </c>
      <c r="D2049" s="31" t="s">
        <v>485</v>
      </c>
      <c r="E2049" s="31"/>
      <c r="F2049" s="31" t="s">
        <v>486</v>
      </c>
      <c r="G2049" s="27">
        <v>7890</v>
      </c>
      <c r="H2049" s="31" t="s">
        <v>63</v>
      </c>
      <c r="I2049" s="31"/>
      <c r="J2049" s="26" t="s">
        <v>768</v>
      </c>
      <c r="K2049" s="27">
        <v>7890</v>
      </c>
      <c r="L2049" s="31" t="s">
        <v>769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1329</v>
      </c>
      <c r="D2050" s="31" t="s">
        <v>912</v>
      </c>
      <c r="E2050" s="31" t="s">
        <v>68</v>
      </c>
      <c r="F2050" s="31" t="s">
        <v>1554</v>
      </c>
      <c r="G2050" s="27">
        <v>26000</v>
      </c>
      <c r="H2050" s="31" t="s">
        <v>63</v>
      </c>
      <c r="I2050" s="31"/>
      <c r="J2050" s="26" t="s">
        <v>68</v>
      </c>
      <c r="K2050" s="27">
        <v>26000</v>
      </c>
      <c r="L2050" s="31" t="s">
        <v>769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780</v>
      </c>
      <c r="D2051" s="31" t="s">
        <v>912</v>
      </c>
      <c r="E2051" s="31" t="s">
        <v>68</v>
      </c>
      <c r="F2051" s="31" t="s">
        <v>773</v>
      </c>
      <c r="G2051" s="27">
        <v>9500</v>
      </c>
      <c r="H2051" s="31" t="s">
        <v>63</v>
      </c>
      <c r="I2051" s="31" t="s">
        <v>786</v>
      </c>
      <c r="J2051" s="26" t="s">
        <v>68</v>
      </c>
      <c r="K2051" s="27">
        <v>9500</v>
      </c>
      <c r="L2051" s="31" t="s">
        <v>769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780</v>
      </c>
      <c r="D2052" s="31" t="s">
        <v>912</v>
      </c>
      <c r="E2052" s="31" t="s">
        <v>68</v>
      </c>
      <c r="F2052" s="31" t="s">
        <v>1555</v>
      </c>
      <c r="G2052" s="27">
        <v>45000</v>
      </c>
      <c r="H2052" s="31" t="s">
        <v>63</v>
      </c>
      <c r="I2052" s="31"/>
      <c r="J2052" s="26" t="s">
        <v>68</v>
      </c>
      <c r="K2052" s="27">
        <v>45000</v>
      </c>
      <c r="L2052" s="31" t="s">
        <v>769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163</v>
      </c>
      <c r="D2053" s="31" t="s">
        <v>912</v>
      </c>
      <c r="E2053" s="31"/>
      <c r="F2053" s="31" t="s">
        <v>141</v>
      </c>
      <c r="G2053" s="27">
        <v>30000</v>
      </c>
      <c r="H2053" s="31" t="s">
        <v>63</v>
      </c>
      <c r="I2053" s="31"/>
      <c r="J2053" s="26" t="s">
        <v>68</v>
      </c>
      <c r="K2053" s="27">
        <v>30000</v>
      </c>
      <c r="L2053" s="31" t="s">
        <v>769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147</v>
      </c>
      <c r="D2054" s="31" t="s">
        <v>22</v>
      </c>
      <c r="E2054" s="31"/>
      <c r="F2054" s="31" t="s">
        <v>1312</v>
      </c>
      <c r="G2054" s="27">
        <v>1</v>
      </c>
      <c r="H2054" s="31" t="s">
        <v>520</v>
      </c>
      <c r="I2054" s="31"/>
      <c r="J2054" s="26" t="s">
        <v>824</v>
      </c>
      <c r="K2054" s="27">
        <v>1</v>
      </c>
      <c r="L2054" s="31" t="s">
        <v>769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1329</v>
      </c>
      <c r="D2055" s="31" t="s">
        <v>575</v>
      </c>
      <c r="E2055" s="31" t="s">
        <v>772</v>
      </c>
      <c r="F2055" s="31" t="s">
        <v>773</v>
      </c>
      <c r="G2055" s="27">
        <v>1900</v>
      </c>
      <c r="H2055" s="31" t="s">
        <v>63</v>
      </c>
      <c r="I2055" s="31" t="s">
        <v>1042</v>
      </c>
      <c r="J2055" s="26" t="s">
        <v>775</v>
      </c>
      <c r="K2055" s="27">
        <v>1900</v>
      </c>
      <c r="L2055" s="31" t="s">
        <v>769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1329</v>
      </c>
      <c r="D2056" s="31" t="s">
        <v>912</v>
      </c>
      <c r="E2056" s="31" t="s">
        <v>68</v>
      </c>
      <c r="F2056" s="31" t="s">
        <v>1556</v>
      </c>
      <c r="G2056" s="27">
        <v>53000</v>
      </c>
      <c r="H2056" s="31" t="s">
        <v>63</v>
      </c>
      <c r="I2056" s="31" t="s">
        <v>1557</v>
      </c>
      <c r="J2056" s="26" t="s">
        <v>68</v>
      </c>
      <c r="K2056" s="27">
        <v>53000</v>
      </c>
      <c r="L2056" s="31" t="s">
        <v>769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1329</v>
      </c>
      <c r="D2057" s="31" t="s">
        <v>912</v>
      </c>
      <c r="E2057" s="31" t="s">
        <v>68</v>
      </c>
      <c r="F2057" s="31" t="s">
        <v>1558</v>
      </c>
      <c r="G2057" s="27">
        <v>54100</v>
      </c>
      <c r="H2057" s="31" t="s">
        <v>63</v>
      </c>
      <c r="I2057" s="31" t="s">
        <v>1559</v>
      </c>
      <c r="J2057" s="26" t="s">
        <v>68</v>
      </c>
      <c r="K2057" s="27">
        <v>54100</v>
      </c>
      <c r="L2057" s="31" t="s">
        <v>769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1329</v>
      </c>
      <c r="D2058" s="31" t="s">
        <v>912</v>
      </c>
      <c r="E2058" s="31" t="s">
        <v>68</v>
      </c>
      <c r="F2058" s="31" t="s">
        <v>1116</v>
      </c>
      <c r="G2058" s="27">
        <v>14400</v>
      </c>
      <c r="H2058" s="31" t="s">
        <v>63</v>
      </c>
      <c r="I2058" s="31"/>
      <c r="J2058" s="26" t="s">
        <v>68</v>
      </c>
      <c r="K2058" s="27">
        <v>14400</v>
      </c>
      <c r="L2058" s="31" t="s">
        <v>769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883</v>
      </c>
      <c r="D2059" s="31" t="s">
        <v>912</v>
      </c>
      <c r="E2059" s="31" t="s">
        <v>68</v>
      </c>
      <c r="F2059" s="31" t="s">
        <v>1133</v>
      </c>
      <c r="G2059" s="27">
        <v>-814000</v>
      </c>
      <c r="H2059" s="31" t="s">
        <v>63</v>
      </c>
      <c r="I2059" s="31"/>
      <c r="J2059" s="26" t="s">
        <v>68</v>
      </c>
      <c r="K2059" s="27">
        <v>-814000</v>
      </c>
      <c r="L2059" s="31" t="s">
        <v>769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852</v>
      </c>
      <c r="D2060" s="31" t="s">
        <v>575</v>
      </c>
      <c r="E2060" s="31" t="s">
        <v>792</v>
      </c>
      <c r="F2060" s="31" t="s">
        <v>853</v>
      </c>
      <c r="G2060" s="27">
        <v>13900</v>
      </c>
      <c r="H2060" s="31" t="s">
        <v>63</v>
      </c>
      <c r="I2060" s="31" t="s">
        <v>1215</v>
      </c>
      <c r="J2060" s="26" t="s">
        <v>775</v>
      </c>
      <c r="K2060" s="27">
        <v>13900</v>
      </c>
      <c r="L2060" s="31" t="s">
        <v>769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1433</v>
      </c>
      <c r="D2061" s="31" t="s">
        <v>942</v>
      </c>
      <c r="E2061" s="31"/>
      <c r="F2061" s="31" t="s">
        <v>1560</v>
      </c>
      <c r="G2061" s="27">
        <v>149300</v>
      </c>
      <c r="H2061" s="31" t="s">
        <v>63</v>
      </c>
      <c r="I2061" s="31"/>
      <c r="J2061" s="26" t="s">
        <v>768</v>
      </c>
      <c r="K2061" s="27">
        <v>149300</v>
      </c>
      <c r="L2061" s="31" t="s">
        <v>769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1279</v>
      </c>
      <c r="D2062" s="31" t="s">
        <v>912</v>
      </c>
      <c r="E2062" s="31" t="s">
        <v>1190</v>
      </c>
      <c r="F2062" s="31" t="s">
        <v>1561</v>
      </c>
      <c r="G2062" s="27">
        <v>12500</v>
      </c>
      <c r="H2062" s="31" t="s">
        <v>63</v>
      </c>
      <c r="I2062" s="31" t="s">
        <v>1359</v>
      </c>
      <c r="J2062" s="26" t="s">
        <v>783</v>
      </c>
      <c r="K2062" s="27">
        <v>6250</v>
      </c>
      <c r="L2062" s="31" t="s">
        <v>199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1279</v>
      </c>
      <c r="D2063" s="31" t="s">
        <v>912</v>
      </c>
      <c r="E2063" s="31" t="s">
        <v>1190</v>
      </c>
      <c r="F2063" s="31" t="s">
        <v>1562</v>
      </c>
      <c r="G2063" s="27">
        <v>70500</v>
      </c>
      <c r="H2063" s="31" t="s">
        <v>63</v>
      </c>
      <c r="I2063" s="31" t="s">
        <v>1563</v>
      </c>
      <c r="J2063" s="26" t="s">
        <v>783</v>
      </c>
      <c r="K2063" s="27">
        <v>35250</v>
      </c>
      <c r="L2063" s="31" t="s">
        <v>199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669</v>
      </c>
      <c r="D2064" s="31" t="s">
        <v>22</v>
      </c>
      <c r="E2064" s="31"/>
      <c r="F2064" s="31" t="s">
        <v>1564</v>
      </c>
      <c r="G2064" s="27">
        <v>10000</v>
      </c>
      <c r="H2064" s="31" t="s">
        <v>63</v>
      </c>
      <c r="I2064" s="31"/>
      <c r="J2064" s="26" t="s">
        <v>768</v>
      </c>
      <c r="K2064" s="27">
        <v>10000</v>
      </c>
      <c r="L2064" s="31" t="s">
        <v>769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1329</v>
      </c>
      <c r="D2065" s="31" t="s">
        <v>22</v>
      </c>
      <c r="E2065" s="31"/>
      <c r="F2065" s="31" t="s">
        <v>1432</v>
      </c>
      <c r="G2065" s="27">
        <v>-32163</v>
      </c>
      <c r="H2065" s="31" t="s">
        <v>63</v>
      </c>
      <c r="I2065" s="31"/>
      <c r="J2065" s="26" t="s">
        <v>849</v>
      </c>
      <c r="K2065" s="27">
        <v>-32163</v>
      </c>
      <c r="L2065" s="31" t="s">
        <v>769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766</v>
      </c>
      <c r="D2066" s="31" t="s">
        <v>22</v>
      </c>
      <c r="E2066" s="31"/>
      <c r="F2066" s="31" t="s">
        <v>941</v>
      </c>
      <c r="G2066" s="27">
        <v>-60000</v>
      </c>
      <c r="H2066" s="31" t="s">
        <v>63</v>
      </c>
      <c r="I2066" s="31"/>
      <c r="J2066" s="26" t="s">
        <v>849</v>
      </c>
      <c r="K2066" s="27">
        <v>-60000</v>
      </c>
      <c r="L2066" s="31" t="s">
        <v>769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196</v>
      </c>
      <c r="D2067" s="31" t="s">
        <v>942</v>
      </c>
      <c r="E2067" s="31"/>
      <c r="F2067" s="31" t="s">
        <v>1299</v>
      </c>
      <c r="G2067" s="27">
        <v>-30000</v>
      </c>
      <c r="H2067" s="31" t="s">
        <v>63</v>
      </c>
      <c r="I2067" s="31" t="s">
        <v>1565</v>
      </c>
      <c r="J2067" s="26" t="s">
        <v>768</v>
      </c>
      <c r="K2067" s="27">
        <v>-30000</v>
      </c>
      <c r="L2067" s="31" t="s">
        <v>769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780</v>
      </c>
      <c r="D2068" s="31" t="s">
        <v>843</v>
      </c>
      <c r="E2068" s="31" t="s">
        <v>844</v>
      </c>
      <c r="F2068" s="31" t="s">
        <v>1566</v>
      </c>
      <c r="G2068" s="27">
        <v>8400</v>
      </c>
      <c r="H2068" s="31" t="s">
        <v>63</v>
      </c>
      <c r="I2068" s="31"/>
      <c r="J2068" s="26" t="s">
        <v>775</v>
      </c>
      <c r="K2068" s="27">
        <v>8400</v>
      </c>
      <c r="L2068" s="31" t="s">
        <v>769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1329</v>
      </c>
      <c r="D2069" s="31" t="s">
        <v>843</v>
      </c>
      <c r="E2069" s="31" t="s">
        <v>844</v>
      </c>
      <c r="F2069" s="31" t="s">
        <v>1566</v>
      </c>
      <c r="G2069" s="27">
        <v>61020</v>
      </c>
      <c r="H2069" s="31" t="s">
        <v>63</v>
      </c>
      <c r="I2069" s="31" t="s">
        <v>1567</v>
      </c>
      <c r="J2069" s="26" t="s">
        <v>775</v>
      </c>
      <c r="K2069" s="27">
        <v>61020</v>
      </c>
      <c r="L2069" s="31" t="s">
        <v>769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852</v>
      </c>
      <c r="D2070" s="31" t="s">
        <v>811</v>
      </c>
      <c r="E2070" s="31"/>
      <c r="F2070" s="31" t="s">
        <v>488</v>
      </c>
      <c r="G2070" s="27">
        <v>25010</v>
      </c>
      <c r="H2070" s="31" t="s">
        <v>63</v>
      </c>
      <c r="I2070" s="31" t="s">
        <v>1568</v>
      </c>
      <c r="J2070" s="26" t="s">
        <v>801</v>
      </c>
      <c r="K2070" s="27">
        <v>25010</v>
      </c>
      <c r="L2070" s="31" t="s">
        <v>769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1329</v>
      </c>
      <c r="D2071" s="31" t="s">
        <v>843</v>
      </c>
      <c r="E2071" s="31" t="s">
        <v>844</v>
      </c>
      <c r="F2071" s="31" t="s">
        <v>1569</v>
      </c>
      <c r="G2071" s="27">
        <v>9500</v>
      </c>
      <c r="H2071" s="31" t="s">
        <v>63</v>
      </c>
      <c r="I2071" s="31"/>
      <c r="J2071" s="26" t="s">
        <v>775</v>
      </c>
      <c r="K2071" s="27">
        <v>9500</v>
      </c>
      <c r="L2071" s="31" t="s">
        <v>769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1329</v>
      </c>
      <c r="D2072" s="31" t="s">
        <v>843</v>
      </c>
      <c r="E2072" s="31" t="s">
        <v>844</v>
      </c>
      <c r="F2072" s="31" t="s">
        <v>1403</v>
      </c>
      <c r="G2072" s="27">
        <v>10000</v>
      </c>
      <c r="H2072" s="31" t="s">
        <v>63</v>
      </c>
      <c r="I2072" s="31" t="s">
        <v>1570</v>
      </c>
      <c r="J2072" s="26" t="s">
        <v>775</v>
      </c>
      <c r="K2072" s="27">
        <v>10000</v>
      </c>
      <c r="L2072" s="31" t="s">
        <v>769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1329</v>
      </c>
      <c r="D2073" s="31" t="s">
        <v>576</v>
      </c>
      <c r="E2073" s="31"/>
      <c r="F2073" s="31" t="s">
        <v>576</v>
      </c>
      <c r="G2073" s="27">
        <v>5000</v>
      </c>
      <c r="H2073" s="31" t="s">
        <v>63</v>
      </c>
      <c r="I2073" s="31"/>
      <c r="J2073" s="26" t="s">
        <v>778</v>
      </c>
      <c r="K2073" s="27">
        <v>5000</v>
      </c>
      <c r="L2073" s="31" t="s">
        <v>769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1329</v>
      </c>
      <c r="D2074" s="31" t="s">
        <v>575</v>
      </c>
      <c r="E2074" s="31" t="s">
        <v>885</v>
      </c>
      <c r="F2074" s="31" t="s">
        <v>773</v>
      </c>
      <c r="G2074" s="27">
        <v>10000</v>
      </c>
      <c r="H2074" s="31" t="s">
        <v>63</v>
      </c>
      <c r="I2074" s="31" t="s">
        <v>72</v>
      </c>
      <c r="J2074" s="26" t="s">
        <v>775</v>
      </c>
      <c r="K2074" s="27">
        <v>10000</v>
      </c>
      <c r="L2074" s="31" t="s">
        <v>769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1329</v>
      </c>
      <c r="D2075" s="31" t="s">
        <v>840</v>
      </c>
      <c r="E2075" s="31"/>
      <c r="F2075" s="31" t="s">
        <v>1571</v>
      </c>
      <c r="G2075" s="27">
        <v>20100</v>
      </c>
      <c r="H2075" s="31" t="s">
        <v>63</v>
      </c>
      <c r="I2075" s="31" t="s">
        <v>1572</v>
      </c>
      <c r="J2075" s="26" t="s">
        <v>787</v>
      </c>
      <c r="K2075" s="27">
        <v>20100</v>
      </c>
      <c r="L2075" s="31" t="s">
        <v>769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1329</v>
      </c>
      <c r="D2076" s="31" t="s">
        <v>796</v>
      </c>
      <c r="E2076" s="31"/>
      <c r="F2076" s="31" t="s">
        <v>1573</v>
      </c>
      <c r="G2076" s="27">
        <v>71300</v>
      </c>
      <c r="H2076" s="31" t="s">
        <v>63</v>
      </c>
      <c r="I2076" s="31"/>
      <c r="J2076" s="26" t="s">
        <v>801</v>
      </c>
      <c r="K2076" s="27">
        <v>71300</v>
      </c>
      <c r="L2076" s="31" t="s">
        <v>769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1329</v>
      </c>
      <c r="D2077" s="31" t="s">
        <v>796</v>
      </c>
      <c r="E2077" s="31"/>
      <c r="F2077" s="31" t="s">
        <v>825</v>
      </c>
      <c r="G2077" s="27">
        <v>76260</v>
      </c>
      <c r="H2077" s="31" t="s">
        <v>63</v>
      </c>
      <c r="I2077" s="31" t="s">
        <v>1574</v>
      </c>
      <c r="J2077" s="26" t="s">
        <v>801</v>
      </c>
      <c r="K2077" s="27">
        <v>76260</v>
      </c>
      <c r="L2077" s="31" t="s">
        <v>769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196</v>
      </c>
      <c r="D2078" s="31" t="s">
        <v>906</v>
      </c>
      <c r="E2078" s="31"/>
      <c r="F2078" s="31" t="s">
        <v>1575</v>
      </c>
      <c r="G2078" s="27">
        <v>-149600</v>
      </c>
      <c r="H2078" s="31" t="s">
        <v>63</v>
      </c>
      <c r="I2078" s="31"/>
      <c r="J2078" s="26" t="s">
        <v>789</v>
      </c>
      <c r="K2078" s="27">
        <v>-149600</v>
      </c>
      <c r="L2078" s="31" t="s">
        <v>769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1279</v>
      </c>
      <c r="D2079" s="76" t="s">
        <v>22</v>
      </c>
      <c r="E2079" s="76"/>
      <c r="F2079" s="76" t="s">
        <v>1312</v>
      </c>
      <c r="G2079" s="79">
        <v>11</v>
      </c>
      <c r="H2079" s="76" t="s">
        <v>520</v>
      </c>
      <c r="I2079" s="76"/>
      <c r="J2079" s="76" t="s">
        <v>824</v>
      </c>
      <c r="K2079" s="79">
        <v>11</v>
      </c>
      <c r="L2079" s="76" t="s">
        <v>769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163</v>
      </c>
      <c r="D2080" s="76" t="s">
        <v>946</v>
      </c>
      <c r="E2080" s="76"/>
      <c r="F2080" s="76" t="s">
        <v>148</v>
      </c>
      <c r="G2080" s="79">
        <v>11000</v>
      </c>
      <c r="H2080" s="76" t="s">
        <v>63</v>
      </c>
      <c r="I2080" s="76" t="s">
        <v>675</v>
      </c>
      <c r="J2080" s="76" t="s">
        <v>775</v>
      </c>
      <c r="K2080" s="79">
        <v>11000</v>
      </c>
      <c r="L2080" s="76" t="s">
        <v>769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780</v>
      </c>
      <c r="D2081" s="76" t="s">
        <v>575</v>
      </c>
      <c r="E2081" s="76" t="s">
        <v>781</v>
      </c>
      <c r="F2081" s="76" t="s">
        <v>1474</v>
      </c>
      <c r="G2081" s="79">
        <v>10900</v>
      </c>
      <c r="H2081" s="76" t="s">
        <v>63</v>
      </c>
      <c r="I2081" s="76"/>
      <c r="J2081" s="76" t="s">
        <v>775</v>
      </c>
      <c r="K2081" s="79">
        <v>10900</v>
      </c>
      <c r="L2081" s="76" t="s">
        <v>769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766</v>
      </c>
      <c r="D2082" s="76" t="s">
        <v>485</v>
      </c>
      <c r="E2082" s="76"/>
      <c r="F2082" s="76" t="s">
        <v>767</v>
      </c>
      <c r="G2082" s="79">
        <v>4898</v>
      </c>
      <c r="H2082" s="76" t="s">
        <v>63</v>
      </c>
      <c r="I2082" s="76"/>
      <c r="J2082" s="76" t="s">
        <v>768</v>
      </c>
      <c r="K2082" s="79">
        <v>4898</v>
      </c>
      <c r="L2082" s="76" t="s">
        <v>769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780</v>
      </c>
      <c r="D2083" s="76" t="s">
        <v>796</v>
      </c>
      <c r="E2083" s="76"/>
      <c r="F2083" s="76" t="s">
        <v>797</v>
      </c>
      <c r="G2083" s="79">
        <v>6700</v>
      </c>
      <c r="H2083" s="76" t="s">
        <v>63</v>
      </c>
      <c r="I2083" s="76"/>
      <c r="J2083" s="76" t="s">
        <v>775</v>
      </c>
      <c r="K2083" s="79">
        <v>6700</v>
      </c>
      <c r="L2083" s="76" t="s">
        <v>769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780</v>
      </c>
      <c r="D2084" s="76" t="s">
        <v>796</v>
      </c>
      <c r="E2084" s="76"/>
      <c r="F2084" s="76" t="s">
        <v>488</v>
      </c>
      <c r="G2084" s="79">
        <v>18900</v>
      </c>
      <c r="H2084" s="76" t="s">
        <v>63</v>
      </c>
      <c r="I2084" s="76" t="s">
        <v>1576</v>
      </c>
      <c r="J2084" s="76" t="s">
        <v>775</v>
      </c>
      <c r="K2084" s="79">
        <v>18900</v>
      </c>
      <c r="L2084" s="76" t="s">
        <v>769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669</v>
      </c>
      <c r="D2085" s="76" t="s">
        <v>485</v>
      </c>
      <c r="E2085" s="76"/>
      <c r="F2085" s="76" t="s">
        <v>1577</v>
      </c>
      <c r="G2085" s="79">
        <v>1390</v>
      </c>
      <c r="H2085" s="76" t="s">
        <v>63</v>
      </c>
      <c r="I2085" s="76" t="s">
        <v>1578</v>
      </c>
      <c r="J2085" s="76" t="s">
        <v>768</v>
      </c>
      <c r="K2085" s="79">
        <v>1390</v>
      </c>
      <c r="L2085" s="76" t="s">
        <v>769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780</v>
      </c>
      <c r="D2086" s="76" t="s">
        <v>576</v>
      </c>
      <c r="E2086" s="76"/>
      <c r="F2086" s="76" t="s">
        <v>576</v>
      </c>
      <c r="G2086" s="79">
        <v>5000</v>
      </c>
      <c r="H2086" s="76" t="s">
        <v>63</v>
      </c>
      <c r="I2086" s="76"/>
      <c r="J2086" s="76" t="s">
        <v>778</v>
      </c>
      <c r="K2086" s="79">
        <v>5000</v>
      </c>
      <c r="L2086" s="76" t="s">
        <v>769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163</v>
      </c>
      <c r="D2087" s="76" t="s">
        <v>22</v>
      </c>
      <c r="E2087" s="76"/>
      <c r="F2087" s="76" t="s">
        <v>188</v>
      </c>
      <c r="G2087" s="79">
        <v>4467</v>
      </c>
      <c r="H2087" s="76" t="s">
        <v>520</v>
      </c>
      <c r="I2087" s="76"/>
      <c r="J2087" s="76" t="s">
        <v>824</v>
      </c>
      <c r="K2087" s="79">
        <v>4467</v>
      </c>
      <c r="L2087" s="76" t="s">
        <v>769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883</v>
      </c>
      <c r="D2088" s="76" t="s">
        <v>163</v>
      </c>
      <c r="E2088" s="76"/>
      <c r="F2088" s="76" t="s">
        <v>81</v>
      </c>
      <c r="G2088" s="79">
        <v>814000</v>
      </c>
      <c r="H2088" s="76" t="s">
        <v>1579</v>
      </c>
      <c r="I2088" s="76"/>
      <c r="J2088" s="76" t="s">
        <v>805</v>
      </c>
      <c r="K2088" s="79">
        <v>814000</v>
      </c>
      <c r="L2088" s="76" t="s">
        <v>769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196</v>
      </c>
      <c r="D2089" s="76" t="s">
        <v>171</v>
      </c>
      <c r="E2089" s="76"/>
      <c r="F2089" s="76" t="s">
        <v>81</v>
      </c>
      <c r="G2089" s="79">
        <v>30000</v>
      </c>
      <c r="H2089" s="76" t="s">
        <v>1579</v>
      </c>
      <c r="I2089" s="76"/>
      <c r="J2089" s="76" t="s">
        <v>805</v>
      </c>
      <c r="K2089" s="79">
        <v>30000</v>
      </c>
      <c r="L2089" s="76" t="s">
        <v>769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196</v>
      </c>
      <c r="D2090" s="76" t="s">
        <v>163</v>
      </c>
      <c r="E2090" s="76"/>
      <c r="F2090" s="76" t="s">
        <v>81</v>
      </c>
      <c r="G2090" s="79">
        <v>165100</v>
      </c>
      <c r="H2090" s="76" t="s">
        <v>1579</v>
      </c>
      <c r="I2090" s="76"/>
      <c r="J2090" s="76" t="s">
        <v>805</v>
      </c>
      <c r="K2090" s="79">
        <v>165100</v>
      </c>
      <c r="L2090" s="76" t="s">
        <v>769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780</v>
      </c>
      <c r="D2091" s="76" t="s">
        <v>485</v>
      </c>
      <c r="E2091" s="76"/>
      <c r="F2091" s="76" t="s">
        <v>1580</v>
      </c>
      <c r="G2091" s="79">
        <v>26300</v>
      </c>
      <c r="H2091" s="76" t="s">
        <v>63</v>
      </c>
      <c r="I2091" s="76" t="s">
        <v>1316</v>
      </c>
      <c r="J2091" s="76" t="s">
        <v>768</v>
      </c>
      <c r="K2091" s="79">
        <v>26300</v>
      </c>
      <c r="L2091" s="76" t="s">
        <v>769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780</v>
      </c>
      <c r="D2092" s="76" t="s">
        <v>576</v>
      </c>
      <c r="E2092" s="76"/>
      <c r="F2092" s="76" t="s">
        <v>576</v>
      </c>
      <c r="G2092" s="79">
        <v>5000</v>
      </c>
      <c r="H2092" s="76" t="s">
        <v>63</v>
      </c>
      <c r="I2092" s="76"/>
      <c r="J2092" s="76" t="s">
        <v>778</v>
      </c>
      <c r="K2092" s="79">
        <v>5000</v>
      </c>
      <c r="L2092" s="76" t="s">
        <v>769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175</v>
      </c>
      <c r="D2093" s="76" t="s">
        <v>22</v>
      </c>
      <c r="E2093" s="76"/>
      <c r="F2093" s="76" t="s">
        <v>1581</v>
      </c>
      <c r="G2093" s="79">
        <v>100</v>
      </c>
      <c r="H2093" s="76" t="s">
        <v>520</v>
      </c>
      <c r="I2093" s="76" t="s">
        <v>1582</v>
      </c>
      <c r="J2093" s="76" t="s">
        <v>824</v>
      </c>
      <c r="K2093" s="79">
        <v>100</v>
      </c>
      <c r="L2093" s="76" t="s">
        <v>769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766</v>
      </c>
      <c r="D2094" s="76" t="s">
        <v>485</v>
      </c>
      <c r="E2094" s="76"/>
      <c r="F2094" s="76" t="s">
        <v>777</v>
      </c>
      <c r="G2094" s="79">
        <v>18000</v>
      </c>
      <c r="H2094" s="76" t="s">
        <v>63</v>
      </c>
      <c r="I2094" s="76"/>
      <c r="J2094" s="76" t="s">
        <v>768</v>
      </c>
      <c r="K2094" s="79">
        <v>18000</v>
      </c>
      <c r="L2094" s="76" t="s">
        <v>769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780</v>
      </c>
      <c r="D2095" s="76" t="s">
        <v>575</v>
      </c>
      <c r="E2095" s="76" t="s">
        <v>781</v>
      </c>
      <c r="F2095" s="76" t="s">
        <v>117</v>
      </c>
      <c r="G2095" s="79">
        <v>9000</v>
      </c>
      <c r="H2095" s="76" t="s">
        <v>63</v>
      </c>
      <c r="I2095" s="76"/>
      <c r="J2095" s="76" t="s">
        <v>775</v>
      </c>
      <c r="K2095" s="79">
        <v>9000</v>
      </c>
      <c r="L2095" s="76" t="s">
        <v>769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780</v>
      </c>
      <c r="D2096" s="76" t="s">
        <v>575</v>
      </c>
      <c r="E2096" s="76" t="s">
        <v>885</v>
      </c>
      <c r="F2096" s="76" t="s">
        <v>773</v>
      </c>
      <c r="G2096" s="79">
        <v>9100</v>
      </c>
      <c r="H2096" s="76" t="s">
        <v>63</v>
      </c>
      <c r="I2096" s="76" t="s">
        <v>992</v>
      </c>
      <c r="J2096" s="76" t="s">
        <v>775</v>
      </c>
      <c r="K2096" s="79">
        <v>9100</v>
      </c>
      <c r="L2096" s="76" t="s">
        <v>769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780</v>
      </c>
      <c r="D2097" s="76" t="s">
        <v>906</v>
      </c>
      <c r="E2097" s="76"/>
      <c r="F2097" s="76" t="s">
        <v>1583</v>
      </c>
      <c r="G2097" s="79">
        <v>10500</v>
      </c>
      <c r="H2097" s="76" t="s">
        <v>63</v>
      </c>
      <c r="I2097" s="76"/>
      <c r="J2097" s="76" t="s">
        <v>775</v>
      </c>
      <c r="K2097" s="79">
        <v>10500</v>
      </c>
      <c r="L2097" s="76" t="s">
        <v>769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780</v>
      </c>
      <c r="D2098" s="76" t="s">
        <v>576</v>
      </c>
      <c r="E2098" s="76"/>
      <c r="F2098" s="76" t="s">
        <v>576</v>
      </c>
      <c r="G2098" s="79">
        <v>5000</v>
      </c>
      <c r="H2098" s="76" t="s">
        <v>63</v>
      </c>
      <c r="I2098" s="76"/>
      <c r="J2098" s="76" t="s">
        <v>778</v>
      </c>
      <c r="K2098" s="79">
        <v>5000</v>
      </c>
      <c r="L2098" s="76" t="s">
        <v>769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196</v>
      </c>
      <c r="D2099" s="76" t="s">
        <v>22</v>
      </c>
      <c r="E2099" s="76"/>
      <c r="F2099" s="76" t="s">
        <v>934</v>
      </c>
      <c r="G2099" s="79">
        <v>1</v>
      </c>
      <c r="H2099" s="76" t="s">
        <v>520</v>
      </c>
      <c r="I2099" s="76"/>
      <c r="J2099" s="76" t="s">
        <v>824</v>
      </c>
      <c r="K2099" s="79">
        <v>1</v>
      </c>
      <c r="L2099" s="76" t="s">
        <v>769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1584</v>
      </c>
      <c r="D2100" s="76" t="s">
        <v>796</v>
      </c>
      <c r="E2100" s="76"/>
      <c r="F2100" s="76" t="s">
        <v>488</v>
      </c>
      <c r="G2100" s="79">
        <v>16990</v>
      </c>
      <c r="H2100" s="76" t="s">
        <v>63</v>
      </c>
      <c r="I2100" s="76" t="s">
        <v>1585</v>
      </c>
      <c r="J2100" s="76" t="s">
        <v>775</v>
      </c>
      <c r="K2100" s="79">
        <v>16990</v>
      </c>
      <c r="L2100" s="76" t="s">
        <v>769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780</v>
      </c>
      <c r="D2101" s="76" t="s">
        <v>576</v>
      </c>
      <c r="E2101" s="76"/>
      <c r="F2101" s="76" t="s">
        <v>576</v>
      </c>
      <c r="G2101" s="79">
        <v>5000</v>
      </c>
      <c r="H2101" s="76" t="s">
        <v>63</v>
      </c>
      <c r="I2101" s="76"/>
      <c r="J2101" s="76" t="s">
        <v>778</v>
      </c>
      <c r="K2101" s="79">
        <v>5000</v>
      </c>
      <c r="L2101" s="76" t="s">
        <v>769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780</v>
      </c>
      <c r="D2102" s="76" t="s">
        <v>575</v>
      </c>
      <c r="E2102" s="76" t="s">
        <v>772</v>
      </c>
      <c r="F2102" s="76" t="s">
        <v>773</v>
      </c>
      <c r="G2102" s="79">
        <v>5400</v>
      </c>
      <c r="H2102" s="76" t="s">
        <v>63</v>
      </c>
      <c r="I2102" s="76" t="s">
        <v>1254</v>
      </c>
      <c r="J2102" s="76" t="s">
        <v>775</v>
      </c>
      <c r="K2102" s="79">
        <v>5400</v>
      </c>
      <c r="L2102" s="76" t="s">
        <v>769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1584</v>
      </c>
      <c r="D2103" s="76" t="s">
        <v>843</v>
      </c>
      <c r="E2103" s="76" t="s">
        <v>1176</v>
      </c>
      <c r="F2103" s="76" t="s">
        <v>488</v>
      </c>
      <c r="G2103" s="79">
        <v>53720</v>
      </c>
      <c r="H2103" s="76" t="s">
        <v>63</v>
      </c>
      <c r="I2103" s="76" t="s">
        <v>1176</v>
      </c>
      <c r="J2103" s="76" t="s">
        <v>775</v>
      </c>
      <c r="K2103" s="79">
        <v>53720</v>
      </c>
      <c r="L2103" s="76" t="s">
        <v>769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780</v>
      </c>
      <c r="D2104" s="76" t="s">
        <v>575</v>
      </c>
      <c r="E2104" s="76" t="s">
        <v>781</v>
      </c>
      <c r="F2104" s="76" t="s">
        <v>117</v>
      </c>
      <c r="G2104" s="79">
        <v>9000</v>
      </c>
      <c r="H2104" s="76" t="s">
        <v>63</v>
      </c>
      <c r="I2104" s="76"/>
      <c r="J2104" s="76" t="s">
        <v>775</v>
      </c>
      <c r="K2104" s="79">
        <v>9000</v>
      </c>
      <c r="L2104" s="76" t="s">
        <v>769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163</v>
      </c>
      <c r="D2105" s="76" t="s">
        <v>171</v>
      </c>
      <c r="E2105" s="76"/>
      <c r="F2105" s="76" t="s">
        <v>81</v>
      </c>
      <c r="G2105" s="79">
        <v>7030</v>
      </c>
      <c r="H2105" s="76" t="s">
        <v>1579</v>
      </c>
      <c r="I2105" s="76"/>
      <c r="J2105" s="76" t="s">
        <v>805</v>
      </c>
      <c r="K2105" s="79">
        <v>7030</v>
      </c>
      <c r="L2105" s="76" t="s">
        <v>769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171</v>
      </c>
      <c r="D2106" s="76" t="s">
        <v>1433</v>
      </c>
      <c r="E2106" s="76"/>
      <c r="F2106" s="76" t="s">
        <v>828</v>
      </c>
      <c r="G2106" s="79">
        <v>149300</v>
      </c>
      <c r="H2106" s="76" t="s">
        <v>1579</v>
      </c>
      <c r="I2106" s="76"/>
      <c r="J2106" s="76" t="s">
        <v>805</v>
      </c>
      <c r="K2106" s="79">
        <v>149300</v>
      </c>
      <c r="L2106" s="76" t="s">
        <v>769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175</v>
      </c>
      <c r="D2107" s="76" t="s">
        <v>22</v>
      </c>
      <c r="E2107" s="76"/>
      <c r="F2107" s="76" t="s">
        <v>1581</v>
      </c>
      <c r="G2107" s="79">
        <v>100</v>
      </c>
      <c r="H2107" s="76" t="s">
        <v>520</v>
      </c>
      <c r="I2107" s="76" t="s">
        <v>1582</v>
      </c>
      <c r="J2107" s="76" t="s">
        <v>824</v>
      </c>
      <c r="K2107" s="79">
        <v>100</v>
      </c>
      <c r="L2107" s="76" t="s">
        <v>769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1279</v>
      </c>
      <c r="D2108" s="76" t="s">
        <v>912</v>
      </c>
      <c r="E2108" s="76" t="s">
        <v>1190</v>
      </c>
      <c r="F2108" s="76" t="s">
        <v>1586</v>
      </c>
      <c r="G2108" s="79">
        <v>27800</v>
      </c>
      <c r="H2108" s="76" t="s">
        <v>63</v>
      </c>
      <c r="I2108" s="76" t="s">
        <v>1587</v>
      </c>
      <c r="J2108" s="76" t="s">
        <v>783</v>
      </c>
      <c r="K2108" s="79">
        <v>13900</v>
      </c>
      <c r="L2108" s="76" t="s">
        <v>199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1279</v>
      </c>
      <c r="D2109" s="76" t="s">
        <v>912</v>
      </c>
      <c r="E2109" s="76" t="s">
        <v>1190</v>
      </c>
      <c r="F2109" s="76" t="s">
        <v>1117</v>
      </c>
      <c r="G2109" s="79">
        <v>7600</v>
      </c>
      <c r="H2109" s="76" t="s">
        <v>63</v>
      </c>
      <c r="I2109" s="76" t="s">
        <v>859</v>
      </c>
      <c r="J2109" s="76" t="s">
        <v>783</v>
      </c>
      <c r="K2109" s="79">
        <v>3800</v>
      </c>
      <c r="L2109" s="76" t="s">
        <v>199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171</v>
      </c>
      <c r="D2110" s="76" t="s">
        <v>22</v>
      </c>
      <c r="E2110" s="76"/>
      <c r="F2110" s="76" t="s">
        <v>1588</v>
      </c>
      <c r="G2110" s="79">
        <v>20201</v>
      </c>
      <c r="H2110" s="76" t="s">
        <v>520</v>
      </c>
      <c r="I2110" s="76"/>
      <c r="J2110" s="76" t="s">
        <v>824</v>
      </c>
      <c r="K2110" s="79">
        <v>20201</v>
      </c>
      <c r="L2110" s="76" t="s">
        <v>769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780</v>
      </c>
      <c r="D2111" s="76" t="s">
        <v>576</v>
      </c>
      <c r="E2111" s="76"/>
      <c r="F2111" s="76" t="s">
        <v>576</v>
      </c>
      <c r="G2111" s="79">
        <v>4500</v>
      </c>
      <c r="H2111" s="76" t="s">
        <v>63</v>
      </c>
      <c r="I2111" s="76"/>
      <c r="J2111" s="76" t="s">
        <v>778</v>
      </c>
      <c r="K2111" s="79">
        <v>4500</v>
      </c>
      <c r="L2111" s="76" t="s">
        <v>769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780</v>
      </c>
      <c r="D2112" s="76" t="s">
        <v>840</v>
      </c>
      <c r="E2112" s="76" t="s">
        <v>1589</v>
      </c>
      <c r="F2112" s="76" t="s">
        <v>1117</v>
      </c>
      <c r="G2112" s="79">
        <v>50900</v>
      </c>
      <c r="H2112" s="76" t="s">
        <v>63</v>
      </c>
      <c r="I2112" s="76" t="s">
        <v>1590</v>
      </c>
      <c r="J2112" s="76" t="s">
        <v>787</v>
      </c>
      <c r="K2112" s="79">
        <v>50900</v>
      </c>
      <c r="L2112" s="76" t="s">
        <v>769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766</v>
      </c>
      <c r="D2113" s="76" t="s">
        <v>485</v>
      </c>
      <c r="E2113" s="76"/>
      <c r="F2113" s="76" t="s">
        <v>691</v>
      </c>
      <c r="G2113" s="79">
        <v>1800</v>
      </c>
      <c r="H2113" s="76" t="s">
        <v>63</v>
      </c>
      <c r="I2113" s="76" t="s">
        <v>810</v>
      </c>
      <c r="J2113" s="76" t="s">
        <v>768</v>
      </c>
      <c r="K2113" s="79">
        <v>1800</v>
      </c>
      <c r="L2113" s="76" t="s">
        <v>769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780</v>
      </c>
      <c r="D2114" s="76" t="s">
        <v>575</v>
      </c>
      <c r="E2114" s="76" t="s">
        <v>781</v>
      </c>
      <c r="F2114" s="76" t="s">
        <v>911</v>
      </c>
      <c r="G2114" s="79">
        <v>11000</v>
      </c>
      <c r="H2114" s="76" t="s">
        <v>63</v>
      </c>
      <c r="I2114" s="76" t="s">
        <v>1591</v>
      </c>
      <c r="J2114" s="76" t="s">
        <v>775</v>
      </c>
      <c r="K2114" s="79">
        <v>11000</v>
      </c>
      <c r="L2114" s="76" t="s">
        <v>769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766</v>
      </c>
      <c r="D2115" s="76" t="s">
        <v>485</v>
      </c>
      <c r="E2115" s="76"/>
      <c r="F2115" s="76" t="s">
        <v>808</v>
      </c>
      <c r="G2115" s="79">
        <v>8995</v>
      </c>
      <c r="H2115" s="76" t="s">
        <v>63</v>
      </c>
      <c r="I2115" s="76"/>
      <c r="J2115" s="76" t="s">
        <v>768</v>
      </c>
      <c r="K2115" s="79">
        <v>8995</v>
      </c>
      <c r="L2115" s="76" t="s">
        <v>769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780</v>
      </c>
      <c r="D2116" s="76" t="s">
        <v>575</v>
      </c>
      <c r="E2116" s="76" t="s">
        <v>772</v>
      </c>
      <c r="F2116" s="76" t="s">
        <v>884</v>
      </c>
      <c r="G2116" s="79">
        <v>7700</v>
      </c>
      <c r="H2116" s="76" t="s">
        <v>63</v>
      </c>
      <c r="I2116" s="76"/>
      <c r="J2116" s="76" t="s">
        <v>775</v>
      </c>
      <c r="K2116" s="79">
        <v>7700</v>
      </c>
      <c r="L2116" s="76" t="s">
        <v>769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1279</v>
      </c>
      <c r="D2117" s="76" t="s">
        <v>22</v>
      </c>
      <c r="E2117" s="76"/>
      <c r="F2117" s="76" t="s">
        <v>1311</v>
      </c>
      <c r="G2117" s="79">
        <v>500</v>
      </c>
      <c r="H2117" s="76" t="s">
        <v>520</v>
      </c>
      <c r="I2117" s="76"/>
      <c r="J2117" s="76" t="s">
        <v>824</v>
      </c>
      <c r="K2117" s="79">
        <v>500</v>
      </c>
      <c r="L2117" s="76" t="s">
        <v>769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780</v>
      </c>
      <c r="D2118" s="76" t="s">
        <v>796</v>
      </c>
      <c r="E2118" s="76"/>
      <c r="F2118" s="76" t="s">
        <v>797</v>
      </c>
      <c r="G2118" s="79">
        <v>17000</v>
      </c>
      <c r="H2118" s="76" t="s">
        <v>63</v>
      </c>
      <c r="I2118" s="76"/>
      <c r="J2118" s="76" t="s">
        <v>775</v>
      </c>
      <c r="K2118" s="79">
        <v>17000</v>
      </c>
      <c r="L2118" s="76" t="s">
        <v>769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175</v>
      </c>
      <c r="D2119" s="76" t="s">
        <v>22</v>
      </c>
      <c r="E2119" s="76"/>
      <c r="F2119" s="76" t="s">
        <v>1581</v>
      </c>
      <c r="G2119" s="79">
        <v>100</v>
      </c>
      <c r="H2119" s="76" t="s">
        <v>520</v>
      </c>
      <c r="I2119" s="76" t="s">
        <v>1582</v>
      </c>
      <c r="J2119" s="76" t="s">
        <v>824</v>
      </c>
      <c r="K2119" s="79">
        <v>100</v>
      </c>
      <c r="L2119" s="76" t="s">
        <v>769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1279</v>
      </c>
      <c r="D2120" s="76" t="s">
        <v>912</v>
      </c>
      <c r="E2120" s="76" t="s">
        <v>1190</v>
      </c>
      <c r="F2120" s="76" t="s">
        <v>1548</v>
      </c>
      <c r="G2120" s="79">
        <v>11700</v>
      </c>
      <c r="H2120" s="76" t="s">
        <v>63</v>
      </c>
      <c r="I2120" s="76" t="s">
        <v>1592</v>
      </c>
      <c r="J2120" s="76" t="s">
        <v>783</v>
      </c>
      <c r="K2120" s="79">
        <v>5850</v>
      </c>
      <c r="L2120" s="76" t="s">
        <v>199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1279</v>
      </c>
      <c r="D2121" s="76" t="s">
        <v>912</v>
      </c>
      <c r="E2121" s="76" t="s">
        <v>1190</v>
      </c>
      <c r="F2121" s="76" t="s">
        <v>1593</v>
      </c>
      <c r="G2121" s="79">
        <v>23500</v>
      </c>
      <c r="H2121" s="76" t="s">
        <v>63</v>
      </c>
      <c r="I2121" s="76"/>
      <c r="J2121" s="76" t="s">
        <v>783</v>
      </c>
      <c r="K2121" s="79">
        <v>11750</v>
      </c>
      <c r="L2121" s="76" t="s">
        <v>199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780</v>
      </c>
      <c r="D2122" s="76" t="s">
        <v>811</v>
      </c>
      <c r="E2122" s="76"/>
      <c r="F2122" s="76" t="s">
        <v>1594</v>
      </c>
      <c r="G2122" s="79">
        <v>10200</v>
      </c>
      <c r="H2122" s="76" t="s">
        <v>63</v>
      </c>
      <c r="I2122" s="76" t="s">
        <v>619</v>
      </c>
      <c r="J2122" s="76" t="s">
        <v>768</v>
      </c>
      <c r="K2122" s="79">
        <v>10200</v>
      </c>
      <c r="L2122" s="76" t="s">
        <v>769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780</v>
      </c>
      <c r="D2123" s="76" t="s">
        <v>575</v>
      </c>
      <c r="E2123" s="76" t="s">
        <v>772</v>
      </c>
      <c r="F2123" s="76" t="s">
        <v>773</v>
      </c>
      <c r="G2123" s="79">
        <v>2700</v>
      </c>
      <c r="H2123" s="76" t="s">
        <v>63</v>
      </c>
      <c r="I2123" s="76" t="s">
        <v>885</v>
      </c>
      <c r="J2123" s="76" t="s">
        <v>775</v>
      </c>
      <c r="K2123" s="79">
        <v>2700</v>
      </c>
      <c r="L2123" s="76" t="s">
        <v>769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780</v>
      </c>
      <c r="D2124" s="76" t="s">
        <v>576</v>
      </c>
      <c r="E2124" s="76"/>
      <c r="F2124" s="76" t="s">
        <v>576</v>
      </c>
      <c r="G2124" s="79">
        <v>4500</v>
      </c>
      <c r="H2124" s="76" t="s">
        <v>63</v>
      </c>
      <c r="I2124" s="76"/>
      <c r="J2124" s="76" t="s">
        <v>778</v>
      </c>
      <c r="K2124" s="79">
        <v>4500</v>
      </c>
      <c r="L2124" s="76" t="s">
        <v>769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780</v>
      </c>
      <c r="D2125" s="76" t="s">
        <v>906</v>
      </c>
      <c r="E2125" s="76"/>
      <c r="F2125" s="76" t="s">
        <v>1583</v>
      </c>
      <c r="G2125" s="79">
        <v>20000</v>
      </c>
      <c r="H2125" s="76" t="s">
        <v>63</v>
      </c>
      <c r="I2125" s="76"/>
      <c r="J2125" s="76" t="s">
        <v>775</v>
      </c>
      <c r="K2125" s="79">
        <v>20000</v>
      </c>
      <c r="L2125" s="76" t="s">
        <v>769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780</v>
      </c>
      <c r="D2126" s="76" t="s">
        <v>796</v>
      </c>
      <c r="E2126" s="76"/>
      <c r="F2126" s="76" t="s">
        <v>1595</v>
      </c>
      <c r="G2126" s="79">
        <v>13950</v>
      </c>
      <c r="H2126" s="76" t="s">
        <v>63</v>
      </c>
      <c r="I2126" s="76"/>
      <c r="J2126" s="76" t="s">
        <v>775</v>
      </c>
      <c r="K2126" s="79">
        <v>13950</v>
      </c>
      <c r="L2126" s="76" t="s">
        <v>769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175</v>
      </c>
      <c r="D2127" s="76" t="s">
        <v>22</v>
      </c>
      <c r="E2127" s="76"/>
      <c r="F2127" s="76" t="s">
        <v>1581</v>
      </c>
      <c r="G2127" s="79">
        <v>100</v>
      </c>
      <c r="H2127" s="76" t="s">
        <v>520</v>
      </c>
      <c r="I2127" s="76" t="s">
        <v>1582</v>
      </c>
      <c r="J2127" s="76" t="s">
        <v>824</v>
      </c>
      <c r="K2127" s="79">
        <v>100</v>
      </c>
      <c r="L2127" s="76" t="s">
        <v>769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780</v>
      </c>
      <c r="D2128" s="76" t="s">
        <v>840</v>
      </c>
      <c r="E2128" s="76" t="s">
        <v>1596</v>
      </c>
      <c r="F2128" s="76" t="s">
        <v>965</v>
      </c>
      <c r="G2128" s="79">
        <v>7800</v>
      </c>
      <c r="H2128" s="76" t="s">
        <v>63</v>
      </c>
      <c r="I2128" s="76"/>
      <c r="J2128" s="76" t="s">
        <v>787</v>
      </c>
      <c r="K2128" s="79">
        <v>7800</v>
      </c>
      <c r="L2128" s="76" t="s">
        <v>769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1584</v>
      </c>
      <c r="D2129" s="76" t="s">
        <v>796</v>
      </c>
      <c r="E2129" s="76"/>
      <c r="F2129" s="76" t="s">
        <v>488</v>
      </c>
      <c r="G2129" s="79">
        <v>15550</v>
      </c>
      <c r="H2129" s="76" t="s">
        <v>63</v>
      </c>
      <c r="I2129" s="76"/>
      <c r="J2129" s="76" t="s">
        <v>775</v>
      </c>
      <c r="K2129" s="79">
        <v>15550</v>
      </c>
      <c r="L2129" s="76" t="s">
        <v>769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780</v>
      </c>
      <c r="D2130" s="76" t="s">
        <v>575</v>
      </c>
      <c r="E2130" s="76" t="s">
        <v>772</v>
      </c>
      <c r="F2130" s="76" t="s">
        <v>814</v>
      </c>
      <c r="G2130" s="79">
        <v>4800</v>
      </c>
      <c r="H2130" s="76" t="s">
        <v>63</v>
      </c>
      <c r="I2130" s="76"/>
      <c r="J2130" s="76" t="s">
        <v>775</v>
      </c>
      <c r="K2130" s="79">
        <v>4800</v>
      </c>
      <c r="L2130" s="76" t="s">
        <v>769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780</v>
      </c>
      <c r="D2131" s="76" t="s">
        <v>575</v>
      </c>
      <c r="E2131" s="76" t="s">
        <v>772</v>
      </c>
      <c r="F2131" s="76" t="s">
        <v>974</v>
      </c>
      <c r="G2131" s="79">
        <v>1300</v>
      </c>
      <c r="H2131" s="76" t="s">
        <v>63</v>
      </c>
      <c r="I2131" s="76"/>
      <c r="J2131" s="76" t="s">
        <v>775</v>
      </c>
      <c r="K2131" s="79">
        <v>1300</v>
      </c>
      <c r="L2131" s="76" t="s">
        <v>769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852</v>
      </c>
      <c r="D2132" s="76" t="s">
        <v>575</v>
      </c>
      <c r="E2132" s="76" t="s">
        <v>792</v>
      </c>
      <c r="F2132" s="76" t="s">
        <v>853</v>
      </c>
      <c r="G2132" s="79">
        <v>12900</v>
      </c>
      <c r="H2132" s="76" t="s">
        <v>63</v>
      </c>
      <c r="I2132" s="76"/>
      <c r="J2132" s="76" t="s">
        <v>775</v>
      </c>
      <c r="K2132" s="79">
        <v>12900</v>
      </c>
      <c r="L2132" s="76" t="s">
        <v>769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175</v>
      </c>
      <c r="D2133" s="76" t="s">
        <v>22</v>
      </c>
      <c r="E2133" s="76"/>
      <c r="F2133" s="76" t="s">
        <v>1581</v>
      </c>
      <c r="G2133" s="79">
        <v>100</v>
      </c>
      <c r="H2133" s="76" t="s">
        <v>520</v>
      </c>
      <c r="I2133" s="76" t="s">
        <v>1582</v>
      </c>
      <c r="J2133" s="76" t="s">
        <v>824</v>
      </c>
      <c r="K2133" s="79">
        <v>100</v>
      </c>
      <c r="L2133" s="76" t="s">
        <v>769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175</v>
      </c>
      <c r="D2134" s="76" t="s">
        <v>22</v>
      </c>
      <c r="E2134" s="76"/>
      <c r="F2134" s="76" t="s">
        <v>1581</v>
      </c>
      <c r="G2134" s="79">
        <v>100</v>
      </c>
      <c r="H2134" s="76" t="s">
        <v>520</v>
      </c>
      <c r="I2134" s="76" t="s">
        <v>1582</v>
      </c>
      <c r="J2134" s="76" t="s">
        <v>824</v>
      </c>
      <c r="K2134" s="79">
        <v>100</v>
      </c>
      <c r="L2134" s="76" t="s">
        <v>769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780</v>
      </c>
      <c r="D2135" s="76" t="s">
        <v>906</v>
      </c>
      <c r="E2135" s="76"/>
      <c r="F2135" s="76" t="s">
        <v>825</v>
      </c>
      <c r="G2135" s="79">
        <v>15670</v>
      </c>
      <c r="H2135" s="76" t="s">
        <v>63</v>
      </c>
      <c r="I2135" s="76" t="s">
        <v>1597</v>
      </c>
      <c r="J2135" s="76" t="s">
        <v>775</v>
      </c>
      <c r="K2135" s="79">
        <v>15670</v>
      </c>
      <c r="L2135" s="76" t="s">
        <v>769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780</v>
      </c>
      <c r="D2136" s="76" t="s">
        <v>575</v>
      </c>
      <c r="E2136" s="76" t="s">
        <v>781</v>
      </c>
      <c r="F2136" s="76" t="s">
        <v>1057</v>
      </c>
      <c r="G2136" s="79">
        <v>9600</v>
      </c>
      <c r="H2136" s="76" t="s">
        <v>63</v>
      </c>
      <c r="I2136" s="76"/>
      <c r="J2136" s="76" t="s">
        <v>775</v>
      </c>
      <c r="K2136" s="79">
        <v>9600</v>
      </c>
      <c r="L2136" s="76" t="s">
        <v>769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780</v>
      </c>
      <c r="D2137" s="76" t="s">
        <v>906</v>
      </c>
      <c r="E2137" s="76"/>
      <c r="F2137" s="76" t="s">
        <v>1598</v>
      </c>
      <c r="G2137" s="79">
        <v>5000</v>
      </c>
      <c r="H2137" s="76" t="s">
        <v>63</v>
      </c>
      <c r="I2137" s="76"/>
      <c r="J2137" s="76" t="s">
        <v>775</v>
      </c>
      <c r="K2137" s="79">
        <v>5000</v>
      </c>
      <c r="L2137" s="76" t="s">
        <v>769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780</v>
      </c>
      <c r="D2138" s="76" t="s">
        <v>840</v>
      </c>
      <c r="E2138" s="76" t="s">
        <v>1589</v>
      </c>
      <c r="F2138" s="76" t="s">
        <v>773</v>
      </c>
      <c r="G2138" s="79">
        <v>2300</v>
      </c>
      <c r="H2138" s="76" t="s">
        <v>63</v>
      </c>
      <c r="I2138" s="76" t="s">
        <v>1599</v>
      </c>
      <c r="J2138" s="76" t="s">
        <v>787</v>
      </c>
      <c r="K2138" s="79">
        <v>2300</v>
      </c>
      <c r="L2138" s="76" t="s">
        <v>769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780</v>
      </c>
      <c r="D2139" s="76" t="s">
        <v>576</v>
      </c>
      <c r="E2139" s="76"/>
      <c r="F2139" s="76" t="s">
        <v>576</v>
      </c>
      <c r="G2139" s="79">
        <v>4500</v>
      </c>
      <c r="H2139" s="76" t="s">
        <v>63</v>
      </c>
      <c r="I2139" s="76"/>
      <c r="J2139" s="76" t="s">
        <v>778</v>
      </c>
      <c r="K2139" s="79">
        <v>4500</v>
      </c>
      <c r="L2139" s="76" t="s">
        <v>769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766</v>
      </c>
      <c r="D2140" s="76" t="s">
        <v>840</v>
      </c>
      <c r="E2140" s="76" t="s">
        <v>1596</v>
      </c>
      <c r="F2140" s="76" t="s">
        <v>1600</v>
      </c>
      <c r="G2140" s="79">
        <v>5070</v>
      </c>
      <c r="H2140" s="76" t="s">
        <v>63</v>
      </c>
      <c r="I2140" s="76" t="s">
        <v>1601</v>
      </c>
      <c r="J2140" s="76" t="s">
        <v>787</v>
      </c>
      <c r="K2140" s="79">
        <v>5070</v>
      </c>
      <c r="L2140" s="76" t="s">
        <v>769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780</v>
      </c>
      <c r="D2141" s="76" t="s">
        <v>576</v>
      </c>
      <c r="E2141" s="76"/>
      <c r="F2141" s="76" t="s">
        <v>576</v>
      </c>
      <c r="G2141" s="79">
        <v>4500</v>
      </c>
      <c r="H2141" s="76" t="s">
        <v>63</v>
      </c>
      <c r="I2141" s="76"/>
      <c r="J2141" s="76" t="s">
        <v>778</v>
      </c>
      <c r="K2141" s="79">
        <v>4500</v>
      </c>
      <c r="L2141" s="76" t="s">
        <v>769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780</v>
      </c>
      <c r="D2142" s="76" t="s">
        <v>575</v>
      </c>
      <c r="E2142" s="76" t="s">
        <v>772</v>
      </c>
      <c r="F2142" s="76" t="s">
        <v>773</v>
      </c>
      <c r="G2142" s="79">
        <v>5400</v>
      </c>
      <c r="H2142" s="76" t="s">
        <v>63</v>
      </c>
      <c r="I2142" s="76" t="s">
        <v>1254</v>
      </c>
      <c r="J2142" s="76" t="s">
        <v>775</v>
      </c>
      <c r="K2142" s="79">
        <v>5400</v>
      </c>
      <c r="L2142" s="76" t="s">
        <v>769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780</v>
      </c>
      <c r="D2143" s="76" t="s">
        <v>575</v>
      </c>
      <c r="E2143" s="76" t="s">
        <v>781</v>
      </c>
      <c r="F2143" s="76" t="s">
        <v>1004</v>
      </c>
      <c r="G2143" s="79">
        <v>8500</v>
      </c>
      <c r="H2143" s="76" t="s">
        <v>63</v>
      </c>
      <c r="I2143" s="76"/>
      <c r="J2143" s="76" t="s">
        <v>775</v>
      </c>
      <c r="K2143" s="79">
        <v>8500</v>
      </c>
      <c r="L2143" s="76" t="s">
        <v>769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175</v>
      </c>
      <c r="D2144" s="76" t="s">
        <v>22</v>
      </c>
      <c r="E2144" s="76"/>
      <c r="F2144" s="76" t="s">
        <v>1581</v>
      </c>
      <c r="G2144" s="79">
        <v>100</v>
      </c>
      <c r="H2144" s="76" t="s">
        <v>520</v>
      </c>
      <c r="I2144" s="76" t="s">
        <v>1582</v>
      </c>
      <c r="J2144" s="76" t="s">
        <v>824</v>
      </c>
      <c r="K2144" s="79">
        <v>100</v>
      </c>
      <c r="L2144" s="76" t="s">
        <v>769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780</v>
      </c>
      <c r="D2145" s="76" t="s">
        <v>576</v>
      </c>
      <c r="E2145" s="76"/>
      <c r="F2145" s="76" t="s">
        <v>576</v>
      </c>
      <c r="G2145" s="79">
        <v>4500</v>
      </c>
      <c r="H2145" s="76" t="s">
        <v>63</v>
      </c>
      <c r="I2145" s="76"/>
      <c r="J2145" s="76" t="s">
        <v>778</v>
      </c>
      <c r="K2145" s="79">
        <v>4500</v>
      </c>
      <c r="L2145" s="76" t="s">
        <v>769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780</v>
      </c>
      <c r="D2146" s="76" t="s">
        <v>575</v>
      </c>
      <c r="E2146" s="76" t="s">
        <v>772</v>
      </c>
      <c r="F2146" s="76" t="s">
        <v>773</v>
      </c>
      <c r="G2146" s="79">
        <v>3200</v>
      </c>
      <c r="H2146" s="76" t="s">
        <v>63</v>
      </c>
      <c r="I2146" s="76" t="s">
        <v>1602</v>
      </c>
      <c r="J2146" s="76" t="s">
        <v>775</v>
      </c>
      <c r="K2146" s="79">
        <v>3200</v>
      </c>
      <c r="L2146" s="76" t="s">
        <v>769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780</v>
      </c>
      <c r="D2147" s="76" t="s">
        <v>575</v>
      </c>
      <c r="E2147" s="76" t="s">
        <v>772</v>
      </c>
      <c r="F2147" s="76" t="s">
        <v>773</v>
      </c>
      <c r="G2147" s="79">
        <v>1200</v>
      </c>
      <c r="H2147" s="76" t="s">
        <v>63</v>
      </c>
      <c r="I2147" s="76" t="s">
        <v>929</v>
      </c>
      <c r="J2147" s="76" t="s">
        <v>775</v>
      </c>
      <c r="K2147" s="79">
        <v>1200</v>
      </c>
      <c r="L2147" s="76" t="s">
        <v>769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852</v>
      </c>
      <c r="D2148" s="76" t="s">
        <v>796</v>
      </c>
      <c r="E2148" s="76"/>
      <c r="F2148" s="76" t="s">
        <v>488</v>
      </c>
      <c r="G2148" s="79">
        <v>11020</v>
      </c>
      <c r="H2148" s="76" t="s">
        <v>63</v>
      </c>
      <c r="I2148" s="76" t="s">
        <v>1170</v>
      </c>
      <c r="J2148" s="76" t="s">
        <v>775</v>
      </c>
      <c r="K2148" s="79">
        <v>11020</v>
      </c>
      <c r="L2148" s="76" t="s">
        <v>769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780</v>
      </c>
      <c r="D2149" s="76" t="s">
        <v>576</v>
      </c>
      <c r="E2149" s="76"/>
      <c r="F2149" s="76" t="s">
        <v>576</v>
      </c>
      <c r="G2149" s="79">
        <v>5000</v>
      </c>
      <c r="H2149" s="76" t="s">
        <v>63</v>
      </c>
      <c r="I2149" s="76"/>
      <c r="J2149" s="76" t="s">
        <v>778</v>
      </c>
      <c r="K2149" s="79">
        <v>5000</v>
      </c>
      <c r="L2149" s="76" t="s">
        <v>769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780</v>
      </c>
      <c r="D2150" s="76" t="s">
        <v>575</v>
      </c>
      <c r="E2150" s="76" t="s">
        <v>772</v>
      </c>
      <c r="F2150" s="76" t="s">
        <v>773</v>
      </c>
      <c r="G2150" s="79">
        <v>2000</v>
      </c>
      <c r="H2150" s="76" t="s">
        <v>63</v>
      </c>
      <c r="I2150" s="76" t="s">
        <v>1357</v>
      </c>
      <c r="J2150" s="76" t="s">
        <v>775</v>
      </c>
      <c r="K2150" s="79">
        <v>2000</v>
      </c>
      <c r="L2150" s="76" t="s">
        <v>769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766</v>
      </c>
      <c r="D2151" s="76" t="s">
        <v>575</v>
      </c>
      <c r="E2151" s="76" t="s">
        <v>781</v>
      </c>
      <c r="F2151" s="76" t="s">
        <v>1603</v>
      </c>
      <c r="G2151" s="79">
        <v>11000</v>
      </c>
      <c r="H2151" s="76" t="s">
        <v>63</v>
      </c>
      <c r="I2151" s="76"/>
      <c r="J2151" s="76" t="s">
        <v>775</v>
      </c>
      <c r="K2151" s="79">
        <v>11000</v>
      </c>
      <c r="L2151" s="76" t="s">
        <v>769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780</v>
      </c>
      <c r="D2152" s="76" t="s">
        <v>876</v>
      </c>
      <c r="E2152" s="76"/>
      <c r="F2152" s="76" t="s">
        <v>649</v>
      </c>
      <c r="G2152" s="79">
        <v>27610</v>
      </c>
      <c r="H2152" s="76" t="s">
        <v>63</v>
      </c>
      <c r="I2152" s="76"/>
      <c r="J2152" s="76" t="s">
        <v>768</v>
      </c>
      <c r="K2152" s="79">
        <v>27610</v>
      </c>
      <c r="L2152" s="76" t="s">
        <v>769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175</v>
      </c>
      <c r="D2153" s="76" t="s">
        <v>22</v>
      </c>
      <c r="E2153" s="76"/>
      <c r="F2153" s="76" t="s">
        <v>1581</v>
      </c>
      <c r="G2153" s="79">
        <v>100</v>
      </c>
      <c r="H2153" s="76" t="s">
        <v>520</v>
      </c>
      <c r="I2153" s="76" t="s">
        <v>1582</v>
      </c>
      <c r="J2153" s="76" t="s">
        <v>824</v>
      </c>
      <c r="K2153" s="79">
        <v>100</v>
      </c>
      <c r="L2153" s="76" t="s">
        <v>769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559</v>
      </c>
      <c r="D2154" s="76" t="s">
        <v>821</v>
      </c>
      <c r="E2154" s="76"/>
      <c r="F2154" s="76" t="s">
        <v>858</v>
      </c>
      <c r="G2154" s="79">
        <v>20000</v>
      </c>
      <c r="H2154" s="76" t="s">
        <v>520</v>
      </c>
      <c r="I2154" s="76"/>
      <c r="J2154" s="76" t="s">
        <v>821</v>
      </c>
      <c r="K2154" s="79">
        <v>20000</v>
      </c>
      <c r="L2154" s="76" t="s">
        <v>769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766</v>
      </c>
      <c r="D2155" s="76" t="s">
        <v>575</v>
      </c>
      <c r="E2155" s="76" t="s">
        <v>772</v>
      </c>
      <c r="F2155" s="76" t="s">
        <v>773</v>
      </c>
      <c r="G2155" s="79">
        <v>5000</v>
      </c>
      <c r="H2155" s="76" t="s">
        <v>63</v>
      </c>
      <c r="I2155" s="76"/>
      <c r="J2155" s="76" t="s">
        <v>775</v>
      </c>
      <c r="K2155" s="79">
        <v>5000</v>
      </c>
      <c r="L2155" s="76" t="s">
        <v>769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766</v>
      </c>
      <c r="D2156" s="76" t="s">
        <v>576</v>
      </c>
      <c r="E2156" s="76"/>
      <c r="F2156" s="76" t="s">
        <v>576</v>
      </c>
      <c r="G2156" s="79">
        <v>5000</v>
      </c>
      <c r="H2156" s="76" t="s">
        <v>63</v>
      </c>
      <c r="I2156" s="76"/>
      <c r="J2156" s="76" t="s">
        <v>778</v>
      </c>
      <c r="K2156" s="79">
        <v>5000</v>
      </c>
      <c r="L2156" s="76" t="s">
        <v>769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163</v>
      </c>
      <c r="D2157" s="76" t="s">
        <v>817</v>
      </c>
      <c r="E2157" s="76"/>
      <c r="F2157" s="76" t="s">
        <v>673</v>
      </c>
      <c r="G2157" s="79">
        <v>14701</v>
      </c>
      <c r="H2157" s="76" t="s">
        <v>63</v>
      </c>
      <c r="I2157" s="76" t="s">
        <v>1604</v>
      </c>
      <c r="J2157" s="76" t="s">
        <v>799</v>
      </c>
      <c r="K2157" s="79">
        <v>14701</v>
      </c>
      <c r="L2157" s="76" t="s">
        <v>769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766</v>
      </c>
      <c r="D2158" s="76" t="s">
        <v>575</v>
      </c>
      <c r="E2158" s="76" t="s">
        <v>781</v>
      </c>
      <c r="F2158" s="76" t="s">
        <v>117</v>
      </c>
      <c r="G2158" s="79">
        <v>9000</v>
      </c>
      <c r="H2158" s="76" t="s">
        <v>63</v>
      </c>
      <c r="I2158" s="76"/>
      <c r="J2158" s="76" t="s">
        <v>775</v>
      </c>
      <c r="K2158" s="79">
        <v>9000</v>
      </c>
      <c r="L2158" s="76" t="s">
        <v>769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852</v>
      </c>
      <c r="D2159" s="76" t="s">
        <v>912</v>
      </c>
      <c r="E2159" s="76" t="s">
        <v>580</v>
      </c>
      <c r="F2159" s="76" t="s">
        <v>853</v>
      </c>
      <c r="G2159" s="79">
        <v>35700</v>
      </c>
      <c r="H2159" s="76" t="s">
        <v>63</v>
      </c>
      <c r="I2159" s="76" t="s">
        <v>1605</v>
      </c>
      <c r="J2159" s="76" t="s">
        <v>783</v>
      </c>
      <c r="K2159" s="79">
        <v>35700</v>
      </c>
      <c r="L2159" s="76" t="s">
        <v>769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175</v>
      </c>
      <c r="D2160" s="76" t="s">
        <v>22</v>
      </c>
      <c r="E2160" s="76"/>
      <c r="F2160" s="76" t="s">
        <v>1581</v>
      </c>
      <c r="G2160" s="79">
        <v>100</v>
      </c>
      <c r="H2160" s="76" t="s">
        <v>520</v>
      </c>
      <c r="I2160" s="76" t="s">
        <v>1582</v>
      </c>
      <c r="J2160" s="76" t="s">
        <v>824</v>
      </c>
      <c r="K2160" s="79">
        <v>100</v>
      </c>
      <c r="L2160" s="76" t="s">
        <v>769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852</v>
      </c>
      <c r="D2161" s="76" t="s">
        <v>912</v>
      </c>
      <c r="E2161" s="76" t="s">
        <v>580</v>
      </c>
      <c r="F2161" s="76" t="s">
        <v>853</v>
      </c>
      <c r="G2161" s="79">
        <v>40700</v>
      </c>
      <c r="H2161" s="76" t="s">
        <v>63</v>
      </c>
      <c r="I2161" s="76" t="s">
        <v>1605</v>
      </c>
      <c r="J2161" s="76" t="s">
        <v>783</v>
      </c>
      <c r="K2161" s="79">
        <v>40700</v>
      </c>
      <c r="L2161" s="76" t="s">
        <v>769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766</v>
      </c>
      <c r="D2162" s="76" t="s">
        <v>942</v>
      </c>
      <c r="E2162" s="76"/>
      <c r="F2162" s="76" t="s">
        <v>1094</v>
      </c>
      <c r="G2162" s="79">
        <v>25500</v>
      </c>
      <c r="H2162" s="76" t="s">
        <v>63</v>
      </c>
      <c r="I2162" s="76"/>
      <c r="J2162" s="76" t="s">
        <v>775</v>
      </c>
      <c r="K2162" s="79">
        <v>25500</v>
      </c>
      <c r="L2162" s="76" t="s">
        <v>769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766</v>
      </c>
      <c r="D2163" s="76" t="s">
        <v>575</v>
      </c>
      <c r="E2163" s="76" t="s">
        <v>785</v>
      </c>
      <c r="F2163" s="76" t="s">
        <v>773</v>
      </c>
      <c r="G2163" s="79">
        <v>4600</v>
      </c>
      <c r="H2163" s="76" t="s">
        <v>63</v>
      </c>
      <c r="I2163" s="76" t="s">
        <v>1606</v>
      </c>
      <c r="J2163" s="76" t="s">
        <v>775</v>
      </c>
      <c r="K2163" s="79">
        <v>4600</v>
      </c>
      <c r="L2163" s="76" t="s">
        <v>769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175</v>
      </c>
      <c r="D2164" s="76" t="s">
        <v>22</v>
      </c>
      <c r="E2164" s="76"/>
      <c r="F2164" s="76" t="s">
        <v>1581</v>
      </c>
      <c r="G2164" s="79">
        <v>100</v>
      </c>
      <c r="H2164" s="76" t="s">
        <v>520</v>
      </c>
      <c r="I2164" s="76" t="s">
        <v>1582</v>
      </c>
      <c r="J2164" s="76" t="s">
        <v>824</v>
      </c>
      <c r="K2164" s="79">
        <v>100</v>
      </c>
      <c r="L2164" s="76" t="s">
        <v>769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766</v>
      </c>
      <c r="D2165" s="76" t="s">
        <v>843</v>
      </c>
      <c r="E2165" s="76" t="s">
        <v>844</v>
      </c>
      <c r="F2165" s="76" t="s">
        <v>966</v>
      </c>
      <c r="G2165" s="79">
        <v>4600</v>
      </c>
      <c r="H2165" s="76" t="s">
        <v>63</v>
      </c>
      <c r="I2165" s="76"/>
      <c r="J2165" s="76" t="s">
        <v>775</v>
      </c>
      <c r="K2165" s="79">
        <v>4600</v>
      </c>
      <c r="L2165" s="76" t="s">
        <v>769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766</v>
      </c>
      <c r="D2166" s="76" t="s">
        <v>576</v>
      </c>
      <c r="E2166" s="76"/>
      <c r="F2166" s="76" t="s">
        <v>576</v>
      </c>
      <c r="G2166" s="79">
        <v>4500</v>
      </c>
      <c r="H2166" s="76" t="s">
        <v>63</v>
      </c>
      <c r="I2166" s="76"/>
      <c r="J2166" s="76" t="s">
        <v>778</v>
      </c>
      <c r="K2166" s="79">
        <v>4500</v>
      </c>
      <c r="L2166" s="76" t="s">
        <v>769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766</v>
      </c>
      <c r="D2167" s="76" t="s">
        <v>843</v>
      </c>
      <c r="E2167" s="76" t="s">
        <v>844</v>
      </c>
      <c r="F2167" s="76" t="s">
        <v>967</v>
      </c>
      <c r="G2167" s="79">
        <v>6400</v>
      </c>
      <c r="H2167" s="76" t="s">
        <v>63</v>
      </c>
      <c r="I2167" s="76"/>
      <c r="J2167" s="76" t="s">
        <v>775</v>
      </c>
      <c r="K2167" s="79">
        <v>6400</v>
      </c>
      <c r="L2167" s="76" t="s">
        <v>769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766</v>
      </c>
      <c r="D2168" s="76" t="s">
        <v>575</v>
      </c>
      <c r="E2168" s="76" t="s">
        <v>781</v>
      </c>
      <c r="F2168" s="76" t="s">
        <v>773</v>
      </c>
      <c r="G2168" s="79">
        <v>4800</v>
      </c>
      <c r="H2168" s="76" t="s">
        <v>63</v>
      </c>
      <c r="I2168" s="76" t="s">
        <v>992</v>
      </c>
      <c r="J2168" s="76" t="s">
        <v>775</v>
      </c>
      <c r="K2168" s="79">
        <v>4800</v>
      </c>
      <c r="L2168" s="76" t="s">
        <v>769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780</v>
      </c>
      <c r="D2169" s="76" t="s">
        <v>876</v>
      </c>
      <c r="E2169" s="76"/>
      <c r="F2169" s="76" t="s">
        <v>464</v>
      </c>
      <c r="G2169" s="79">
        <v>53620</v>
      </c>
      <c r="H2169" s="76" t="s">
        <v>63</v>
      </c>
      <c r="I2169" s="76"/>
      <c r="J2169" s="76" t="s">
        <v>768</v>
      </c>
      <c r="K2169" s="79">
        <v>53620</v>
      </c>
      <c r="L2169" s="76" t="s">
        <v>769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766</v>
      </c>
      <c r="D2170" s="76" t="s">
        <v>575</v>
      </c>
      <c r="E2170" s="76" t="s">
        <v>772</v>
      </c>
      <c r="F2170" s="76" t="s">
        <v>773</v>
      </c>
      <c r="G2170" s="79">
        <v>2700</v>
      </c>
      <c r="H2170" s="76" t="s">
        <v>63</v>
      </c>
      <c r="I2170" s="76" t="s">
        <v>1607</v>
      </c>
      <c r="J2170" s="76" t="s">
        <v>775</v>
      </c>
      <c r="K2170" s="79">
        <v>2700</v>
      </c>
      <c r="L2170" s="76" t="s">
        <v>769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766</v>
      </c>
      <c r="D2171" s="76" t="s">
        <v>576</v>
      </c>
      <c r="E2171" s="76"/>
      <c r="F2171" s="76" t="s">
        <v>576</v>
      </c>
      <c r="G2171" s="79">
        <v>5000</v>
      </c>
      <c r="H2171" s="76" t="s">
        <v>63</v>
      </c>
      <c r="I2171" s="76"/>
      <c r="J2171" s="76" t="s">
        <v>778</v>
      </c>
      <c r="K2171" s="79">
        <v>5000</v>
      </c>
      <c r="L2171" s="76" t="s">
        <v>769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852</v>
      </c>
      <c r="D2172" s="76" t="s">
        <v>796</v>
      </c>
      <c r="E2172" s="76"/>
      <c r="F2172" s="76" t="s">
        <v>488</v>
      </c>
      <c r="G2172" s="79">
        <v>8690</v>
      </c>
      <c r="H2172" s="76" t="s">
        <v>63</v>
      </c>
      <c r="I2172" s="76" t="s">
        <v>1608</v>
      </c>
      <c r="J2172" s="76" t="s">
        <v>775</v>
      </c>
      <c r="K2172" s="79">
        <v>8690</v>
      </c>
      <c r="L2172" s="76" t="s">
        <v>769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163</v>
      </c>
      <c r="D2173" s="76" t="s">
        <v>196</v>
      </c>
      <c r="E2173" s="76"/>
      <c r="F2173" s="76" t="s">
        <v>196</v>
      </c>
      <c r="G2173" s="79">
        <v>93420</v>
      </c>
      <c r="H2173" s="76" t="s">
        <v>1579</v>
      </c>
      <c r="I2173" s="76" t="s">
        <v>81</v>
      </c>
      <c r="J2173" s="76" t="s">
        <v>805</v>
      </c>
      <c r="K2173" s="79">
        <v>93420</v>
      </c>
      <c r="L2173" s="76" t="s">
        <v>769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852</v>
      </c>
      <c r="D2174" s="76" t="s">
        <v>575</v>
      </c>
      <c r="E2174" s="76" t="s">
        <v>792</v>
      </c>
      <c r="F2174" s="76" t="s">
        <v>853</v>
      </c>
      <c r="G2174" s="79">
        <v>11610</v>
      </c>
      <c r="H2174" s="76" t="s">
        <v>63</v>
      </c>
      <c r="I2174" s="76" t="s">
        <v>995</v>
      </c>
      <c r="J2174" s="76" t="s">
        <v>775</v>
      </c>
      <c r="K2174" s="79">
        <v>11610</v>
      </c>
      <c r="L2174" s="76" t="s">
        <v>769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766</v>
      </c>
      <c r="D2175" s="76" t="s">
        <v>843</v>
      </c>
      <c r="E2175" s="76" t="s">
        <v>844</v>
      </c>
      <c r="F2175" s="76" t="s">
        <v>1403</v>
      </c>
      <c r="G2175" s="79">
        <v>17000</v>
      </c>
      <c r="H2175" s="76" t="s">
        <v>63</v>
      </c>
      <c r="I2175" s="76"/>
      <c r="J2175" s="76" t="s">
        <v>775</v>
      </c>
      <c r="K2175" s="79">
        <v>17000</v>
      </c>
      <c r="L2175" s="76" t="s">
        <v>769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766</v>
      </c>
      <c r="D2176" s="76" t="s">
        <v>576</v>
      </c>
      <c r="E2176" s="76"/>
      <c r="F2176" s="76" t="s">
        <v>576</v>
      </c>
      <c r="G2176" s="79">
        <v>5000</v>
      </c>
      <c r="H2176" s="76" t="s">
        <v>63</v>
      </c>
      <c r="I2176" s="76"/>
      <c r="J2176" s="76" t="s">
        <v>778</v>
      </c>
      <c r="K2176" s="79">
        <v>5000</v>
      </c>
      <c r="L2176" s="76" t="s">
        <v>769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766</v>
      </c>
      <c r="D2177" s="76" t="s">
        <v>575</v>
      </c>
      <c r="E2177" s="76" t="s">
        <v>772</v>
      </c>
      <c r="F2177" s="76" t="s">
        <v>773</v>
      </c>
      <c r="G2177" s="79">
        <v>6100</v>
      </c>
      <c r="H2177" s="76" t="s">
        <v>63</v>
      </c>
      <c r="I2177" s="76" t="s">
        <v>1068</v>
      </c>
      <c r="J2177" s="76" t="s">
        <v>775</v>
      </c>
      <c r="K2177" s="79">
        <v>6100</v>
      </c>
      <c r="L2177" s="76" t="s">
        <v>769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766</v>
      </c>
      <c r="D2178" s="76" t="s">
        <v>946</v>
      </c>
      <c r="E2178" s="76"/>
      <c r="F2178" s="76" t="s">
        <v>1082</v>
      </c>
      <c r="G2178" s="79">
        <v>28000</v>
      </c>
      <c r="H2178" s="76" t="s">
        <v>63</v>
      </c>
      <c r="I2178" s="76"/>
      <c r="J2178" s="76" t="s">
        <v>775</v>
      </c>
      <c r="K2178" s="79">
        <v>28000</v>
      </c>
      <c r="L2178" s="76" t="s">
        <v>769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1279</v>
      </c>
      <c r="D2179" s="76" t="s">
        <v>912</v>
      </c>
      <c r="E2179" s="76" t="s">
        <v>1190</v>
      </c>
      <c r="F2179" s="76" t="s">
        <v>1609</v>
      </c>
      <c r="G2179" s="79">
        <v>11000</v>
      </c>
      <c r="H2179" s="76" t="s">
        <v>63</v>
      </c>
      <c r="I2179" s="76"/>
      <c r="J2179" s="76" t="s">
        <v>783</v>
      </c>
      <c r="K2179" s="79">
        <v>5500</v>
      </c>
      <c r="L2179" s="76" t="s">
        <v>199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1279</v>
      </c>
      <c r="D2180" s="76" t="s">
        <v>912</v>
      </c>
      <c r="E2180" s="76" t="s">
        <v>1190</v>
      </c>
      <c r="F2180" s="76" t="s">
        <v>1610</v>
      </c>
      <c r="G2180" s="79">
        <v>54600</v>
      </c>
      <c r="H2180" s="76" t="s">
        <v>63</v>
      </c>
      <c r="I2180" s="76"/>
      <c r="J2180" s="76" t="s">
        <v>783</v>
      </c>
      <c r="K2180" s="79">
        <v>27300</v>
      </c>
      <c r="L2180" s="76" t="s">
        <v>199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780</v>
      </c>
      <c r="D2181" s="76" t="s">
        <v>811</v>
      </c>
      <c r="E2181" s="76"/>
      <c r="F2181" s="76" t="s">
        <v>1611</v>
      </c>
      <c r="G2181" s="79">
        <v>74700</v>
      </c>
      <c r="H2181" s="76" t="s">
        <v>63</v>
      </c>
      <c r="I2181" s="76" t="s">
        <v>878</v>
      </c>
      <c r="J2181" s="76" t="s">
        <v>768</v>
      </c>
      <c r="K2181" s="79">
        <v>74700</v>
      </c>
      <c r="L2181" s="76" t="s">
        <v>769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766</v>
      </c>
      <c r="D2182" s="76" t="s">
        <v>906</v>
      </c>
      <c r="E2182" s="76"/>
      <c r="F2182" s="76" t="s">
        <v>1612</v>
      </c>
      <c r="G2182" s="79">
        <v>3300</v>
      </c>
      <c r="H2182" s="76" t="s">
        <v>63</v>
      </c>
      <c r="I2182" s="76"/>
      <c r="J2182" s="76" t="s">
        <v>775</v>
      </c>
      <c r="K2182" s="79">
        <v>3300</v>
      </c>
      <c r="L2182" s="76" t="s">
        <v>769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1279</v>
      </c>
      <c r="D2183" s="76" t="s">
        <v>912</v>
      </c>
      <c r="E2183" s="76" t="s">
        <v>1190</v>
      </c>
      <c r="F2183" s="76" t="s">
        <v>1613</v>
      </c>
      <c r="G2183" s="79">
        <v>89000</v>
      </c>
      <c r="H2183" s="76" t="s">
        <v>63</v>
      </c>
      <c r="I2183" s="76" t="s">
        <v>1614</v>
      </c>
      <c r="J2183" s="76" t="s">
        <v>783</v>
      </c>
      <c r="K2183" s="79">
        <v>44500</v>
      </c>
      <c r="L2183" s="76" t="s">
        <v>199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1279</v>
      </c>
      <c r="D2184" s="76" t="s">
        <v>912</v>
      </c>
      <c r="E2184" s="76" t="s">
        <v>1190</v>
      </c>
      <c r="F2184" s="76" t="s">
        <v>1363</v>
      </c>
      <c r="G2184" s="79">
        <v>14500</v>
      </c>
      <c r="H2184" s="76" t="s">
        <v>63</v>
      </c>
      <c r="I2184" s="76" t="s">
        <v>1615</v>
      </c>
      <c r="J2184" s="76" t="s">
        <v>783</v>
      </c>
      <c r="K2184" s="79">
        <v>7250</v>
      </c>
      <c r="L2184" s="76" t="s">
        <v>199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163</v>
      </c>
      <c r="D2185" s="76" t="s">
        <v>175</v>
      </c>
      <c r="E2185" s="76"/>
      <c r="F2185" s="76" t="s">
        <v>81</v>
      </c>
      <c r="G2185" s="79">
        <v>682526</v>
      </c>
      <c r="H2185" s="76" t="s">
        <v>1579</v>
      </c>
      <c r="I2185" s="76"/>
      <c r="J2185" s="76" t="s">
        <v>805</v>
      </c>
      <c r="K2185" s="79">
        <v>682526</v>
      </c>
      <c r="L2185" s="76" t="s">
        <v>769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163</v>
      </c>
      <c r="D2186" s="76" t="s">
        <v>193</v>
      </c>
      <c r="E2186" s="76"/>
      <c r="F2186" s="76" t="s">
        <v>81</v>
      </c>
      <c r="G2186" s="79">
        <v>679500</v>
      </c>
      <c r="H2186" s="76" t="s">
        <v>1579</v>
      </c>
      <c r="I2186" s="76"/>
      <c r="J2186" s="76" t="s">
        <v>805</v>
      </c>
      <c r="K2186" s="79">
        <v>679500</v>
      </c>
      <c r="L2186" s="76" t="s">
        <v>769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163</v>
      </c>
      <c r="D2187" s="76" t="s">
        <v>181</v>
      </c>
      <c r="E2187" s="76"/>
      <c r="F2187" s="76" t="s">
        <v>81</v>
      </c>
      <c r="G2187" s="79">
        <v>843470</v>
      </c>
      <c r="H2187" s="76" t="s">
        <v>1579</v>
      </c>
      <c r="I2187" s="76"/>
      <c r="J2187" s="76" t="s">
        <v>805</v>
      </c>
      <c r="K2187" s="79">
        <v>843470</v>
      </c>
      <c r="L2187" s="76" t="s">
        <v>769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163</v>
      </c>
      <c r="D2188" s="76" t="s">
        <v>187</v>
      </c>
      <c r="E2188" s="76"/>
      <c r="F2188" s="76" t="s">
        <v>81</v>
      </c>
      <c r="G2188" s="79">
        <v>1066480</v>
      </c>
      <c r="H2188" s="76" t="s">
        <v>1579</v>
      </c>
      <c r="I2188" s="76"/>
      <c r="J2188" s="76" t="s">
        <v>805</v>
      </c>
      <c r="K2188" s="79">
        <v>1066480</v>
      </c>
      <c r="L2188" s="76" t="s">
        <v>769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163</v>
      </c>
      <c r="D2189" s="76" t="s">
        <v>178</v>
      </c>
      <c r="E2189" s="76"/>
      <c r="F2189" s="76" t="s">
        <v>81</v>
      </c>
      <c r="G2189" s="79">
        <v>1576177</v>
      </c>
      <c r="H2189" s="76" t="s">
        <v>1579</v>
      </c>
      <c r="I2189" s="76"/>
      <c r="J2189" s="76" t="s">
        <v>805</v>
      </c>
      <c r="K2189" s="79">
        <v>1576177</v>
      </c>
      <c r="L2189" s="76" t="s">
        <v>769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163</v>
      </c>
      <c r="D2190" s="76" t="s">
        <v>22</v>
      </c>
      <c r="E2190" s="76"/>
      <c r="F2190" s="76" t="s">
        <v>188</v>
      </c>
      <c r="G2190" s="79">
        <v>8803</v>
      </c>
      <c r="H2190" s="76" t="s">
        <v>520</v>
      </c>
      <c r="I2190" s="76"/>
      <c r="J2190" s="76" t="s">
        <v>824</v>
      </c>
      <c r="K2190" s="79">
        <v>8803</v>
      </c>
      <c r="L2190" s="76" t="s">
        <v>769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178</v>
      </c>
      <c r="D2191" s="76" t="s">
        <v>1329</v>
      </c>
      <c r="E2191" s="76"/>
      <c r="F2191" s="76" t="s">
        <v>828</v>
      </c>
      <c r="G2191" s="79">
        <v>1576177</v>
      </c>
      <c r="H2191" s="76" t="s">
        <v>1579</v>
      </c>
      <c r="I2191" s="76"/>
      <c r="J2191" s="76" t="s">
        <v>805</v>
      </c>
      <c r="K2191" s="79">
        <v>1576177</v>
      </c>
      <c r="L2191" s="76" t="s">
        <v>769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196</v>
      </c>
      <c r="D2192" s="76" t="s">
        <v>22</v>
      </c>
      <c r="E2192" s="76"/>
      <c r="F2192" s="76" t="s">
        <v>1495</v>
      </c>
      <c r="G2192" s="79">
        <v>93420</v>
      </c>
      <c r="H2192" s="76" t="s">
        <v>63</v>
      </c>
      <c r="I2192" s="76" t="s">
        <v>630</v>
      </c>
      <c r="J2192" s="76" t="s">
        <v>768</v>
      </c>
      <c r="K2192" s="79">
        <v>93420</v>
      </c>
      <c r="L2192" s="76" t="s">
        <v>769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766</v>
      </c>
      <c r="D2193" s="76" t="s">
        <v>576</v>
      </c>
      <c r="E2193" s="76"/>
      <c r="F2193" s="76" t="s">
        <v>576</v>
      </c>
      <c r="G2193" s="79">
        <v>5000</v>
      </c>
      <c r="H2193" s="76" t="s">
        <v>63</v>
      </c>
      <c r="I2193" s="76"/>
      <c r="J2193" s="76" t="s">
        <v>778</v>
      </c>
      <c r="K2193" s="79">
        <v>5000</v>
      </c>
      <c r="L2193" s="76" t="s">
        <v>769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766</v>
      </c>
      <c r="D2194" s="76" t="s">
        <v>575</v>
      </c>
      <c r="E2194" s="76" t="s">
        <v>772</v>
      </c>
      <c r="F2194" s="76" t="s">
        <v>773</v>
      </c>
      <c r="G2194" s="79">
        <v>4400</v>
      </c>
      <c r="H2194" s="76" t="s">
        <v>63</v>
      </c>
      <c r="I2194" s="76" t="s">
        <v>1494</v>
      </c>
      <c r="J2194" s="76" t="s">
        <v>775</v>
      </c>
      <c r="K2194" s="79">
        <v>4400</v>
      </c>
      <c r="L2194" s="76" t="s">
        <v>769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766</v>
      </c>
      <c r="D2195" s="76" t="s">
        <v>843</v>
      </c>
      <c r="E2195" s="76" t="s">
        <v>844</v>
      </c>
      <c r="F2195" s="76" t="s">
        <v>1403</v>
      </c>
      <c r="G2195" s="79">
        <v>4000</v>
      </c>
      <c r="H2195" s="76" t="s">
        <v>63</v>
      </c>
      <c r="I2195" s="76" t="s">
        <v>1616</v>
      </c>
      <c r="J2195" s="76" t="s">
        <v>775</v>
      </c>
      <c r="K2195" s="79">
        <v>4000</v>
      </c>
      <c r="L2195" s="76" t="s">
        <v>769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193</v>
      </c>
      <c r="D2196" s="76" t="s">
        <v>669</v>
      </c>
      <c r="E2196" s="76"/>
      <c r="F2196" s="76" t="s">
        <v>828</v>
      </c>
      <c r="G2196" s="79">
        <v>679500</v>
      </c>
      <c r="H2196" s="76" t="s">
        <v>1579</v>
      </c>
      <c r="I2196" s="76"/>
      <c r="J2196" s="76" t="s">
        <v>805</v>
      </c>
      <c r="K2196" s="79">
        <v>679500</v>
      </c>
      <c r="L2196" s="76" t="s">
        <v>769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181</v>
      </c>
      <c r="D2197" s="76" t="s">
        <v>852</v>
      </c>
      <c r="E2197" s="76"/>
      <c r="F2197" s="76" t="s">
        <v>828</v>
      </c>
      <c r="G2197" s="79">
        <v>843470</v>
      </c>
      <c r="H2197" s="76" t="s">
        <v>1579</v>
      </c>
      <c r="I2197" s="76"/>
      <c r="J2197" s="76" t="s">
        <v>805</v>
      </c>
      <c r="K2197" s="79">
        <v>843470</v>
      </c>
      <c r="L2197" s="76" t="s">
        <v>769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175</v>
      </c>
      <c r="D2198" s="76" t="s">
        <v>780</v>
      </c>
      <c r="E2198" s="76"/>
      <c r="F2198" s="76" t="s">
        <v>828</v>
      </c>
      <c r="G2198" s="79">
        <v>682526</v>
      </c>
      <c r="H2198" s="76" t="s">
        <v>1579</v>
      </c>
      <c r="I2198" s="76"/>
      <c r="J2198" s="76" t="s">
        <v>805</v>
      </c>
      <c r="K2198" s="79">
        <v>682526</v>
      </c>
      <c r="L2198" s="76" t="s">
        <v>769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171</v>
      </c>
      <c r="D2199" s="76" t="s">
        <v>22</v>
      </c>
      <c r="E2199" s="76"/>
      <c r="F2199" s="76" t="s">
        <v>1617</v>
      </c>
      <c r="G2199" s="79">
        <v>2000</v>
      </c>
      <c r="H2199" s="76" t="s">
        <v>520</v>
      </c>
      <c r="I2199" s="76"/>
      <c r="J2199" s="76" t="s">
        <v>824</v>
      </c>
      <c r="K2199" s="79">
        <v>2000</v>
      </c>
      <c r="L2199" s="76" t="s">
        <v>769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187</v>
      </c>
      <c r="D2200" s="76" t="s">
        <v>766</v>
      </c>
      <c r="E2200" s="76"/>
      <c r="F2200" s="76" t="s">
        <v>828</v>
      </c>
      <c r="G2200" s="79">
        <v>1066480</v>
      </c>
      <c r="H2200" s="76" t="s">
        <v>1579</v>
      </c>
      <c r="I2200" s="76"/>
      <c r="J2200" s="76" t="s">
        <v>805</v>
      </c>
      <c r="K2200" s="79">
        <v>1066480</v>
      </c>
      <c r="L2200" s="76" t="s">
        <v>769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147</v>
      </c>
      <c r="D2201" s="76" t="s">
        <v>821</v>
      </c>
      <c r="E2201" s="76"/>
      <c r="F2201" s="76" t="s">
        <v>858</v>
      </c>
      <c r="G2201" s="79">
        <v>300000</v>
      </c>
      <c r="H2201" s="76" t="s">
        <v>520</v>
      </c>
      <c r="I2201" s="76"/>
      <c r="J2201" s="76" t="s">
        <v>821</v>
      </c>
      <c r="K2201" s="79">
        <v>300000</v>
      </c>
      <c r="L2201" s="76" t="s">
        <v>769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766</v>
      </c>
      <c r="D2202" s="76" t="s">
        <v>576</v>
      </c>
      <c r="E2202" s="76"/>
      <c r="F2202" s="76" t="s">
        <v>576</v>
      </c>
      <c r="G2202" s="79">
        <v>5000</v>
      </c>
      <c r="H2202" s="76" t="s">
        <v>63</v>
      </c>
      <c r="I2202" s="76"/>
      <c r="J2202" s="76" t="s">
        <v>778</v>
      </c>
      <c r="K2202" s="79">
        <v>5000</v>
      </c>
      <c r="L2202" s="76" t="s">
        <v>769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163</v>
      </c>
      <c r="D2203" s="76" t="s">
        <v>840</v>
      </c>
      <c r="E2203" s="76" t="s">
        <v>1618</v>
      </c>
      <c r="F2203" s="76" t="s">
        <v>108</v>
      </c>
      <c r="G2203" s="79">
        <v>50000</v>
      </c>
      <c r="H2203" s="76" t="s">
        <v>63</v>
      </c>
      <c r="I2203" s="76"/>
      <c r="J2203" s="76" t="s">
        <v>787</v>
      </c>
      <c r="K2203" s="79">
        <v>50000</v>
      </c>
      <c r="L2203" s="76" t="s">
        <v>769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766</v>
      </c>
      <c r="D2204" s="76" t="s">
        <v>576</v>
      </c>
      <c r="E2204" s="76"/>
      <c r="F2204" s="76" t="s">
        <v>576</v>
      </c>
      <c r="G2204" s="79">
        <v>5000</v>
      </c>
      <c r="H2204" s="76" t="s">
        <v>63</v>
      </c>
      <c r="I2204" s="76"/>
      <c r="J2204" s="76" t="s">
        <v>778</v>
      </c>
      <c r="K2204" s="79">
        <v>5000</v>
      </c>
      <c r="L2204" s="76" t="s">
        <v>769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766</v>
      </c>
      <c r="D2205" s="76" t="s">
        <v>575</v>
      </c>
      <c r="E2205" s="76" t="s">
        <v>885</v>
      </c>
      <c r="F2205" s="76" t="s">
        <v>773</v>
      </c>
      <c r="G2205" s="79">
        <v>5100</v>
      </c>
      <c r="H2205" s="76" t="s">
        <v>63</v>
      </c>
      <c r="I2205" s="76" t="s">
        <v>992</v>
      </c>
      <c r="J2205" s="76" t="s">
        <v>775</v>
      </c>
      <c r="K2205" s="79">
        <v>5100</v>
      </c>
      <c r="L2205" s="76" t="s">
        <v>769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852</v>
      </c>
      <c r="D2206" s="76" t="s">
        <v>796</v>
      </c>
      <c r="E2206" s="76"/>
      <c r="F2206" s="76" t="s">
        <v>1219</v>
      </c>
      <c r="G2206" s="79">
        <v>6990</v>
      </c>
      <c r="H2206" s="76" t="s">
        <v>63</v>
      </c>
      <c r="I2206" s="76"/>
      <c r="J2206" s="76" t="s">
        <v>775</v>
      </c>
      <c r="K2206" s="79">
        <v>6990</v>
      </c>
      <c r="L2206" s="76" t="s">
        <v>769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766</v>
      </c>
      <c r="D2207" s="76" t="s">
        <v>575</v>
      </c>
      <c r="E2207" s="76" t="s">
        <v>781</v>
      </c>
      <c r="F2207" s="76" t="s">
        <v>1057</v>
      </c>
      <c r="G2207" s="79">
        <v>11200</v>
      </c>
      <c r="H2207" s="76" t="s">
        <v>63</v>
      </c>
      <c r="I2207" s="76"/>
      <c r="J2207" s="76" t="s">
        <v>775</v>
      </c>
      <c r="K2207" s="79">
        <v>11200</v>
      </c>
      <c r="L2207" s="76" t="s">
        <v>769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766</v>
      </c>
      <c r="D2208" s="76" t="s">
        <v>912</v>
      </c>
      <c r="E2208" s="76" t="s">
        <v>1190</v>
      </c>
      <c r="F2208" s="76" t="s">
        <v>1549</v>
      </c>
      <c r="G2208" s="79">
        <v>50000</v>
      </c>
      <c r="H2208" s="76" t="s">
        <v>63</v>
      </c>
      <c r="I2208" s="76" t="s">
        <v>1619</v>
      </c>
      <c r="J2208" s="76" t="s">
        <v>783</v>
      </c>
      <c r="K2208" s="79">
        <v>50000</v>
      </c>
      <c r="L2208" s="76" t="s">
        <v>769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766</v>
      </c>
      <c r="D2209" s="76" t="s">
        <v>576</v>
      </c>
      <c r="E2209" s="76"/>
      <c r="F2209" s="76" t="s">
        <v>576</v>
      </c>
      <c r="G2209" s="79">
        <v>5000</v>
      </c>
      <c r="H2209" s="76" t="s">
        <v>63</v>
      </c>
      <c r="I2209" s="76"/>
      <c r="J2209" s="76" t="s">
        <v>778</v>
      </c>
      <c r="K2209" s="79">
        <v>5000</v>
      </c>
      <c r="L2209" s="76" t="s">
        <v>769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766</v>
      </c>
      <c r="D2210" s="76" t="s">
        <v>912</v>
      </c>
      <c r="E2210" s="76" t="s">
        <v>1190</v>
      </c>
      <c r="F2210" s="76" t="s">
        <v>1620</v>
      </c>
      <c r="G2210" s="79">
        <v>23400</v>
      </c>
      <c r="H2210" s="76" t="s">
        <v>63</v>
      </c>
      <c r="I2210" s="76" t="s">
        <v>1621</v>
      </c>
      <c r="J2210" s="76" t="s">
        <v>783</v>
      </c>
      <c r="K2210" s="79">
        <v>23400</v>
      </c>
      <c r="L2210" s="76" t="s">
        <v>769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766</v>
      </c>
      <c r="D2211" s="76" t="s">
        <v>912</v>
      </c>
      <c r="E2211" s="76" t="s">
        <v>1190</v>
      </c>
      <c r="F2211" s="76" t="s">
        <v>1622</v>
      </c>
      <c r="G2211" s="79">
        <v>25500</v>
      </c>
      <c r="H2211" s="76" t="s">
        <v>63</v>
      </c>
      <c r="I2211" s="76" t="s">
        <v>1623</v>
      </c>
      <c r="J2211" s="76" t="s">
        <v>783</v>
      </c>
      <c r="K2211" s="79">
        <v>25500</v>
      </c>
      <c r="L2211" s="76" t="s">
        <v>769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852</v>
      </c>
      <c r="D2212" s="76" t="s">
        <v>796</v>
      </c>
      <c r="E2212" s="76"/>
      <c r="F2212" s="76" t="s">
        <v>488</v>
      </c>
      <c r="G2212" s="79">
        <v>4260</v>
      </c>
      <c r="H2212" s="76" t="s">
        <v>63</v>
      </c>
      <c r="I2212" s="76" t="s">
        <v>1624</v>
      </c>
      <c r="J2212" s="76" t="s">
        <v>775</v>
      </c>
      <c r="K2212" s="79">
        <v>4260</v>
      </c>
      <c r="L2212" s="76" t="s">
        <v>769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766</v>
      </c>
      <c r="D2213" s="76" t="s">
        <v>576</v>
      </c>
      <c r="E2213" s="76"/>
      <c r="F2213" s="76" t="s">
        <v>576</v>
      </c>
      <c r="G2213" s="79">
        <v>5000</v>
      </c>
      <c r="H2213" s="76" t="s">
        <v>63</v>
      </c>
      <c r="I2213" s="76"/>
      <c r="J2213" s="76" t="s">
        <v>778</v>
      </c>
      <c r="K2213" s="79">
        <v>5000</v>
      </c>
      <c r="L2213" s="76" t="s">
        <v>769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766</v>
      </c>
      <c r="D2214" s="76" t="s">
        <v>575</v>
      </c>
      <c r="E2214" s="76" t="s">
        <v>772</v>
      </c>
      <c r="F2214" s="76" t="s">
        <v>773</v>
      </c>
      <c r="G2214" s="79">
        <v>3200</v>
      </c>
      <c r="H2214" s="76" t="s">
        <v>63</v>
      </c>
      <c r="I2214" s="76" t="s">
        <v>794</v>
      </c>
      <c r="J2214" s="76" t="s">
        <v>775</v>
      </c>
      <c r="K2214" s="79">
        <v>3200</v>
      </c>
      <c r="L2214" s="76" t="s">
        <v>769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766</v>
      </c>
      <c r="D2215" s="76" t="s">
        <v>575</v>
      </c>
      <c r="E2215" s="76" t="s">
        <v>781</v>
      </c>
      <c r="F2215" s="76" t="s">
        <v>872</v>
      </c>
      <c r="G2215" s="79">
        <v>12000</v>
      </c>
      <c r="H2215" s="76" t="s">
        <v>63</v>
      </c>
      <c r="I2215" s="76"/>
      <c r="J2215" s="76" t="s">
        <v>775</v>
      </c>
      <c r="K2215" s="79">
        <v>12000</v>
      </c>
      <c r="L2215" s="76" t="s">
        <v>769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559</v>
      </c>
      <c r="D2216" s="76" t="s">
        <v>821</v>
      </c>
      <c r="E2216" s="76"/>
      <c r="F2216" s="76" t="s">
        <v>858</v>
      </c>
      <c r="G2216" s="79">
        <v>20000</v>
      </c>
      <c r="H2216" s="76" t="s">
        <v>520</v>
      </c>
      <c r="I2216" s="76"/>
      <c r="J2216" s="76" t="s">
        <v>821</v>
      </c>
      <c r="K2216" s="79">
        <v>20000</v>
      </c>
      <c r="L2216" s="76" t="s">
        <v>769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766</v>
      </c>
      <c r="D2217" s="76" t="s">
        <v>576</v>
      </c>
      <c r="E2217" s="76"/>
      <c r="F2217" s="76" t="s">
        <v>576</v>
      </c>
      <c r="G2217" s="79">
        <v>5000</v>
      </c>
      <c r="H2217" s="76" t="s">
        <v>63</v>
      </c>
      <c r="I2217" s="76"/>
      <c r="J2217" s="76" t="s">
        <v>778</v>
      </c>
      <c r="K2217" s="79">
        <v>5000</v>
      </c>
      <c r="L2217" s="76" t="s">
        <v>769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766</v>
      </c>
      <c r="D2218" s="76" t="s">
        <v>575</v>
      </c>
      <c r="E2218" s="76" t="s">
        <v>885</v>
      </c>
      <c r="F2218" s="76" t="s">
        <v>773</v>
      </c>
      <c r="G2218" s="79">
        <v>7600</v>
      </c>
      <c r="H2218" s="76" t="s">
        <v>63</v>
      </c>
      <c r="I2218" s="76" t="s">
        <v>992</v>
      </c>
      <c r="J2218" s="76" t="s">
        <v>775</v>
      </c>
      <c r="K2218" s="79">
        <v>7600</v>
      </c>
      <c r="L2218" s="76" t="s">
        <v>769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1584</v>
      </c>
      <c r="D2219" s="76" t="s">
        <v>942</v>
      </c>
      <c r="E2219" s="76"/>
      <c r="F2219" s="76" t="s">
        <v>1087</v>
      </c>
      <c r="G2219" s="79">
        <v>82900</v>
      </c>
      <c r="H2219" s="76" t="s">
        <v>63</v>
      </c>
      <c r="I2219" s="76" t="s">
        <v>1625</v>
      </c>
      <c r="J2219" s="76" t="s">
        <v>775</v>
      </c>
      <c r="K2219" s="79">
        <v>82900</v>
      </c>
      <c r="L2219" s="76" t="s">
        <v>769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1584</v>
      </c>
      <c r="D2220" s="76" t="s">
        <v>840</v>
      </c>
      <c r="E2220" s="76" t="s">
        <v>1589</v>
      </c>
      <c r="F2220" s="76" t="s">
        <v>937</v>
      </c>
      <c r="G2220" s="79">
        <v>26000</v>
      </c>
      <c r="H2220" s="76" t="s">
        <v>63</v>
      </c>
      <c r="I2220" s="76" t="s">
        <v>1626</v>
      </c>
      <c r="J2220" s="76" t="s">
        <v>787</v>
      </c>
      <c r="K2220" s="79">
        <v>26000</v>
      </c>
      <c r="L2220" s="76" t="s">
        <v>769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766</v>
      </c>
      <c r="D2221" s="76" t="s">
        <v>840</v>
      </c>
      <c r="E2221" s="76" t="s">
        <v>1589</v>
      </c>
      <c r="F2221" s="76" t="s">
        <v>937</v>
      </c>
      <c r="G2221" s="79">
        <v>20000</v>
      </c>
      <c r="H2221" s="76" t="s">
        <v>63</v>
      </c>
      <c r="I2221" s="76" t="s">
        <v>1627</v>
      </c>
      <c r="J2221" s="76" t="s">
        <v>787</v>
      </c>
      <c r="K2221" s="79">
        <v>20000</v>
      </c>
      <c r="L2221" s="76" t="s">
        <v>769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852</v>
      </c>
      <c r="D2222" s="76" t="s">
        <v>843</v>
      </c>
      <c r="E2222" s="76" t="s">
        <v>1176</v>
      </c>
      <c r="F2222" s="76" t="s">
        <v>488</v>
      </c>
      <c r="G2222" s="79">
        <v>19210</v>
      </c>
      <c r="H2222" s="76" t="s">
        <v>63</v>
      </c>
      <c r="I2222" s="76" t="s">
        <v>1628</v>
      </c>
      <c r="J2222" s="76" t="s">
        <v>775</v>
      </c>
      <c r="K2222" s="79">
        <v>19210</v>
      </c>
      <c r="L2222" s="76" t="s">
        <v>769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766</v>
      </c>
      <c r="D2223" s="76" t="s">
        <v>575</v>
      </c>
      <c r="E2223" s="76" t="s">
        <v>772</v>
      </c>
      <c r="F2223" s="76" t="s">
        <v>814</v>
      </c>
      <c r="G2223" s="79">
        <v>11000</v>
      </c>
      <c r="H2223" s="76" t="s">
        <v>63</v>
      </c>
      <c r="I2223" s="76"/>
      <c r="J2223" s="76" t="s">
        <v>775</v>
      </c>
      <c r="K2223" s="79">
        <v>11000</v>
      </c>
      <c r="L2223" s="76" t="s">
        <v>769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766</v>
      </c>
      <c r="D2224" s="76" t="s">
        <v>575</v>
      </c>
      <c r="E2224" s="76" t="s">
        <v>904</v>
      </c>
      <c r="F2224" s="76" t="s">
        <v>1000</v>
      </c>
      <c r="G2224" s="79">
        <v>17800</v>
      </c>
      <c r="H2224" s="76" t="s">
        <v>63</v>
      </c>
      <c r="I2224" s="76"/>
      <c r="J2224" s="76" t="s">
        <v>775</v>
      </c>
      <c r="K2224" s="79">
        <v>17800</v>
      </c>
      <c r="L2224" s="76" t="s">
        <v>769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1584</v>
      </c>
      <c r="D2225" s="76" t="s">
        <v>796</v>
      </c>
      <c r="E2225" s="76"/>
      <c r="F2225" s="76" t="s">
        <v>488</v>
      </c>
      <c r="G2225" s="79">
        <v>26900</v>
      </c>
      <c r="H2225" s="76" t="s">
        <v>63</v>
      </c>
      <c r="I2225" s="76" t="s">
        <v>1629</v>
      </c>
      <c r="J2225" s="76" t="s">
        <v>775</v>
      </c>
      <c r="K2225" s="79">
        <v>26900</v>
      </c>
      <c r="L2225" s="76" t="s">
        <v>769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766</v>
      </c>
      <c r="D2226" s="76" t="s">
        <v>575</v>
      </c>
      <c r="E2226" s="76" t="s">
        <v>772</v>
      </c>
      <c r="F2226" s="76" t="s">
        <v>974</v>
      </c>
      <c r="G2226" s="79">
        <v>3800</v>
      </c>
      <c r="H2226" s="76" t="s">
        <v>63</v>
      </c>
      <c r="I2226" s="76"/>
      <c r="J2226" s="76" t="s">
        <v>775</v>
      </c>
      <c r="K2226" s="79">
        <v>3800</v>
      </c>
      <c r="L2226" s="76" t="s">
        <v>769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766</v>
      </c>
      <c r="D2227" s="76" t="s">
        <v>796</v>
      </c>
      <c r="E2227" s="76"/>
      <c r="F2227" s="76" t="s">
        <v>797</v>
      </c>
      <c r="G2227" s="79">
        <v>9000</v>
      </c>
      <c r="H2227" s="76" t="s">
        <v>63</v>
      </c>
      <c r="I2227" s="76"/>
      <c r="J2227" s="76" t="s">
        <v>775</v>
      </c>
      <c r="K2227" s="79">
        <v>9000</v>
      </c>
      <c r="L2227" s="76" t="s">
        <v>769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766</v>
      </c>
      <c r="D2228" s="76" t="s">
        <v>912</v>
      </c>
      <c r="E2228" s="76" t="s">
        <v>580</v>
      </c>
      <c r="F2228" s="76" t="s">
        <v>1016</v>
      </c>
      <c r="G2228" s="79">
        <v>11100</v>
      </c>
      <c r="H2228" s="76" t="s">
        <v>63</v>
      </c>
      <c r="I2228" s="76"/>
      <c r="J2228" s="76" t="s">
        <v>783</v>
      </c>
      <c r="K2228" s="79">
        <v>11100</v>
      </c>
      <c r="L2228" s="76" t="s">
        <v>769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766</v>
      </c>
      <c r="D2229" s="76" t="s">
        <v>912</v>
      </c>
      <c r="E2229" s="76" t="s">
        <v>580</v>
      </c>
      <c r="F2229" s="76" t="s">
        <v>1234</v>
      </c>
      <c r="G2229" s="79">
        <v>10400</v>
      </c>
      <c r="H2229" s="76" t="s">
        <v>63</v>
      </c>
      <c r="I2229" s="76"/>
      <c r="J2229" s="76" t="s">
        <v>783</v>
      </c>
      <c r="K2229" s="79">
        <v>10400</v>
      </c>
      <c r="L2229" s="76" t="s">
        <v>769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196</v>
      </c>
      <c r="D2230" s="76" t="s">
        <v>22</v>
      </c>
      <c r="E2230" s="76"/>
      <c r="F2230" s="76" t="s">
        <v>1260</v>
      </c>
      <c r="G2230" s="79">
        <v>639</v>
      </c>
      <c r="H2230" s="76" t="s">
        <v>520</v>
      </c>
      <c r="I2230" s="76"/>
      <c r="J2230" s="76" t="s">
        <v>824</v>
      </c>
      <c r="K2230" s="79">
        <v>639</v>
      </c>
      <c r="L2230" s="76" t="s">
        <v>769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171</v>
      </c>
      <c r="D2231" s="76" t="s">
        <v>22</v>
      </c>
      <c r="E2231" s="76"/>
      <c r="F2231" s="76" t="s">
        <v>1260</v>
      </c>
      <c r="G2231" s="79">
        <v>9</v>
      </c>
      <c r="H2231" s="76" t="s">
        <v>520</v>
      </c>
      <c r="I2231" s="76"/>
      <c r="J2231" s="76" t="s">
        <v>824</v>
      </c>
      <c r="K2231" s="79">
        <v>9</v>
      </c>
      <c r="L2231" s="76" t="s">
        <v>769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187</v>
      </c>
      <c r="D2232" s="76" t="s">
        <v>22</v>
      </c>
      <c r="E2232" s="76"/>
      <c r="F2232" s="76" t="s">
        <v>1259</v>
      </c>
      <c r="G2232" s="79">
        <v>6</v>
      </c>
      <c r="H2232" s="76" t="s">
        <v>520</v>
      </c>
      <c r="I2232" s="76"/>
      <c r="J2232" s="76" t="s">
        <v>824</v>
      </c>
      <c r="K2232" s="79">
        <v>6</v>
      </c>
      <c r="L2232" s="76" t="s">
        <v>769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178</v>
      </c>
      <c r="D2233" s="76" t="s">
        <v>22</v>
      </c>
      <c r="E2233" s="76"/>
      <c r="F2233" s="76" t="s">
        <v>950</v>
      </c>
      <c r="G2233" s="79">
        <v>1</v>
      </c>
      <c r="H2233" s="76" t="s">
        <v>520</v>
      </c>
      <c r="I2233" s="76"/>
      <c r="J2233" s="76" t="s">
        <v>824</v>
      </c>
      <c r="K2233" s="79">
        <v>1</v>
      </c>
      <c r="L2233" s="76" t="s">
        <v>769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766</v>
      </c>
      <c r="D2234" s="76" t="s">
        <v>576</v>
      </c>
      <c r="E2234" s="76"/>
      <c r="F2234" s="76" t="s">
        <v>576</v>
      </c>
      <c r="G2234" s="79">
        <v>5000</v>
      </c>
      <c r="H2234" s="76" t="s">
        <v>63</v>
      </c>
      <c r="I2234" s="76"/>
      <c r="J2234" s="76" t="s">
        <v>778</v>
      </c>
      <c r="K2234" s="79">
        <v>5000</v>
      </c>
      <c r="L2234" s="76" t="s">
        <v>769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766</v>
      </c>
      <c r="D2235" s="76" t="s">
        <v>575</v>
      </c>
      <c r="E2235" s="76" t="s">
        <v>772</v>
      </c>
      <c r="F2235" s="76" t="s">
        <v>974</v>
      </c>
      <c r="G2235" s="79">
        <v>4500</v>
      </c>
      <c r="H2235" s="76" t="s">
        <v>63</v>
      </c>
      <c r="I2235" s="76"/>
      <c r="J2235" s="76" t="s">
        <v>775</v>
      </c>
      <c r="K2235" s="79">
        <v>4500</v>
      </c>
      <c r="L2235" s="76" t="s">
        <v>769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766</v>
      </c>
      <c r="D2236" s="76" t="s">
        <v>575</v>
      </c>
      <c r="E2236" s="76" t="s">
        <v>772</v>
      </c>
      <c r="F2236" s="76" t="s">
        <v>773</v>
      </c>
      <c r="G2236" s="79">
        <v>2700</v>
      </c>
      <c r="H2236" s="76" t="s">
        <v>63</v>
      </c>
      <c r="I2236" s="76" t="s">
        <v>1042</v>
      </c>
      <c r="J2236" s="76" t="s">
        <v>775</v>
      </c>
      <c r="K2236" s="79">
        <v>2700</v>
      </c>
      <c r="L2236" s="76" t="s">
        <v>769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766</v>
      </c>
      <c r="D2237" s="76" t="s">
        <v>575</v>
      </c>
      <c r="E2237" s="76" t="s">
        <v>885</v>
      </c>
      <c r="F2237" s="76" t="s">
        <v>773</v>
      </c>
      <c r="G2237" s="79">
        <v>11750</v>
      </c>
      <c r="H2237" s="76" t="s">
        <v>63</v>
      </c>
      <c r="I2237" s="76" t="s">
        <v>1630</v>
      </c>
      <c r="J2237" s="76" t="s">
        <v>775</v>
      </c>
      <c r="K2237" s="79">
        <v>11750</v>
      </c>
      <c r="L2237" s="76" t="s">
        <v>769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766</v>
      </c>
      <c r="D2238" s="76" t="s">
        <v>575</v>
      </c>
      <c r="E2238" s="76" t="s">
        <v>772</v>
      </c>
      <c r="F2238" s="76" t="s">
        <v>773</v>
      </c>
      <c r="G2238" s="79">
        <v>3000</v>
      </c>
      <c r="H2238" s="76" t="s">
        <v>63</v>
      </c>
      <c r="I2238" s="76" t="s">
        <v>794</v>
      </c>
      <c r="J2238" s="76" t="s">
        <v>775</v>
      </c>
      <c r="K2238" s="79">
        <v>3000</v>
      </c>
      <c r="L2238" s="76" t="s">
        <v>769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766</v>
      </c>
      <c r="D2239" s="76" t="s">
        <v>575</v>
      </c>
      <c r="E2239" s="76" t="s">
        <v>781</v>
      </c>
      <c r="F2239" s="76" t="s">
        <v>1057</v>
      </c>
      <c r="G2239" s="79">
        <v>10000</v>
      </c>
      <c r="H2239" s="76" t="s">
        <v>63</v>
      </c>
      <c r="I2239" s="76"/>
      <c r="J2239" s="76" t="s">
        <v>775</v>
      </c>
      <c r="K2239" s="79">
        <v>10000</v>
      </c>
      <c r="L2239" s="76" t="s">
        <v>769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766</v>
      </c>
      <c r="D2240" s="76" t="s">
        <v>576</v>
      </c>
      <c r="E2240" s="76"/>
      <c r="F2240" s="76" t="s">
        <v>576</v>
      </c>
      <c r="G2240" s="79">
        <v>5000</v>
      </c>
      <c r="H2240" s="76" t="s">
        <v>63</v>
      </c>
      <c r="I2240" s="76"/>
      <c r="J2240" s="76" t="s">
        <v>778</v>
      </c>
      <c r="K2240" s="79">
        <v>5000</v>
      </c>
      <c r="L2240" s="76" t="s">
        <v>769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780</v>
      </c>
      <c r="D2241" s="76" t="s">
        <v>817</v>
      </c>
      <c r="E2241" s="76"/>
      <c r="F2241" s="76" t="s">
        <v>1523</v>
      </c>
      <c r="G2241" s="79">
        <v>7690</v>
      </c>
      <c r="H2241" s="76" t="s">
        <v>63</v>
      </c>
      <c r="I2241" s="76"/>
      <c r="J2241" s="76" t="s">
        <v>768</v>
      </c>
      <c r="K2241" s="79">
        <v>7690</v>
      </c>
      <c r="L2241" s="76" t="s">
        <v>769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766</v>
      </c>
      <c r="D2242" s="76" t="s">
        <v>576</v>
      </c>
      <c r="E2242" s="76"/>
      <c r="F2242" s="76" t="s">
        <v>576</v>
      </c>
      <c r="G2242" s="79">
        <v>4500</v>
      </c>
      <c r="H2242" s="76" t="s">
        <v>63</v>
      </c>
      <c r="I2242" s="76"/>
      <c r="J2242" s="76" t="s">
        <v>778</v>
      </c>
      <c r="K2242" s="79">
        <v>4500</v>
      </c>
      <c r="L2242" s="76" t="s">
        <v>769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766</v>
      </c>
      <c r="D2243" s="76" t="s">
        <v>1053</v>
      </c>
      <c r="E2243" s="76"/>
      <c r="F2243" s="76" t="s">
        <v>1054</v>
      </c>
      <c r="G2243" s="79">
        <v>11300</v>
      </c>
      <c r="H2243" s="76" t="s">
        <v>63</v>
      </c>
      <c r="I2243" s="76" t="s">
        <v>1631</v>
      </c>
      <c r="J2243" s="76" t="s">
        <v>775</v>
      </c>
      <c r="K2243" s="79">
        <v>11300</v>
      </c>
      <c r="L2243" s="76" t="s">
        <v>769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766</v>
      </c>
      <c r="D2244" s="76" t="s">
        <v>575</v>
      </c>
      <c r="E2244" s="76" t="s">
        <v>772</v>
      </c>
      <c r="F2244" s="76" t="s">
        <v>773</v>
      </c>
      <c r="G2244" s="79">
        <v>5000</v>
      </c>
      <c r="H2244" s="76" t="s">
        <v>63</v>
      </c>
      <c r="I2244" s="76" t="s">
        <v>1494</v>
      </c>
      <c r="J2244" s="76" t="s">
        <v>775</v>
      </c>
      <c r="K2244" s="79">
        <v>5000</v>
      </c>
      <c r="L2244" s="76" t="s">
        <v>769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766</v>
      </c>
      <c r="D2245" s="76" t="s">
        <v>576</v>
      </c>
      <c r="E2245" s="76"/>
      <c r="F2245" s="76" t="s">
        <v>576</v>
      </c>
      <c r="G2245" s="79">
        <v>4500</v>
      </c>
      <c r="H2245" s="76" t="s">
        <v>63</v>
      </c>
      <c r="I2245" s="76"/>
      <c r="J2245" s="76" t="s">
        <v>778</v>
      </c>
      <c r="K2245" s="79">
        <v>4500</v>
      </c>
      <c r="L2245" s="76" t="s">
        <v>769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766</v>
      </c>
      <c r="D2246" s="76" t="s">
        <v>575</v>
      </c>
      <c r="E2246" s="76" t="s">
        <v>781</v>
      </c>
      <c r="F2246" s="76" t="s">
        <v>930</v>
      </c>
      <c r="G2246" s="79">
        <v>13000</v>
      </c>
      <c r="H2246" s="76" t="s">
        <v>63</v>
      </c>
      <c r="I2246" s="76"/>
      <c r="J2246" s="76" t="s">
        <v>775</v>
      </c>
      <c r="K2246" s="79">
        <v>13000</v>
      </c>
      <c r="L2246" s="76" t="s">
        <v>769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766</v>
      </c>
      <c r="D2247" s="76" t="s">
        <v>576</v>
      </c>
      <c r="E2247" s="76"/>
      <c r="F2247" s="76" t="s">
        <v>576</v>
      </c>
      <c r="G2247" s="79">
        <v>5000</v>
      </c>
      <c r="H2247" s="76" t="s">
        <v>63</v>
      </c>
      <c r="I2247" s="76"/>
      <c r="J2247" s="76" t="s">
        <v>778</v>
      </c>
      <c r="K2247" s="79">
        <v>5000</v>
      </c>
      <c r="L2247" s="76" t="s">
        <v>769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766</v>
      </c>
      <c r="D2248" s="76" t="s">
        <v>575</v>
      </c>
      <c r="E2248" s="76" t="s">
        <v>772</v>
      </c>
      <c r="F2248" s="76" t="s">
        <v>773</v>
      </c>
      <c r="G2248" s="79">
        <v>900</v>
      </c>
      <c r="H2248" s="76" t="s">
        <v>63</v>
      </c>
      <c r="I2248" s="76" t="s">
        <v>962</v>
      </c>
      <c r="J2248" s="76" t="s">
        <v>775</v>
      </c>
      <c r="K2248" s="79">
        <v>900</v>
      </c>
      <c r="L2248" s="76" t="s">
        <v>769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181</v>
      </c>
      <c r="D2249" s="76" t="s">
        <v>66</v>
      </c>
      <c r="E2249" s="76"/>
      <c r="F2249" s="76" t="s">
        <v>66</v>
      </c>
      <c r="G2249" s="79">
        <v>2776050</v>
      </c>
      <c r="H2249" s="76" t="s">
        <v>520</v>
      </c>
      <c r="I2249" s="76"/>
      <c r="J2249" s="76" t="s">
        <v>66</v>
      </c>
      <c r="K2249" s="79">
        <v>2776050</v>
      </c>
      <c r="L2249" s="76" t="s">
        <v>769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803</v>
      </c>
      <c r="D2250" s="76" t="s">
        <v>388</v>
      </c>
      <c r="E2250" s="76"/>
      <c r="F2250" s="76" t="s">
        <v>972</v>
      </c>
      <c r="G2250" s="79">
        <v>300000</v>
      </c>
      <c r="H2250" s="76" t="s">
        <v>520</v>
      </c>
      <c r="I2250" s="76"/>
      <c r="J2250" s="76" t="s">
        <v>388</v>
      </c>
      <c r="K2250" s="79">
        <v>300000</v>
      </c>
      <c r="L2250" s="76" t="s">
        <v>769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766</v>
      </c>
      <c r="D2251" s="76" t="s">
        <v>840</v>
      </c>
      <c r="E2251" s="76" t="s">
        <v>1596</v>
      </c>
      <c r="F2251" s="76" t="s">
        <v>1632</v>
      </c>
      <c r="G2251" s="79">
        <v>16600</v>
      </c>
      <c r="H2251" s="76" t="s">
        <v>63</v>
      </c>
      <c r="I2251" s="76"/>
      <c r="J2251" s="76" t="s">
        <v>787</v>
      </c>
      <c r="K2251" s="79">
        <v>16600</v>
      </c>
      <c r="L2251" s="76" t="s">
        <v>769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766</v>
      </c>
      <c r="D2252" s="76" t="s">
        <v>575</v>
      </c>
      <c r="E2252" s="76" t="s">
        <v>772</v>
      </c>
      <c r="F2252" s="76" t="s">
        <v>940</v>
      </c>
      <c r="G2252" s="79">
        <v>890</v>
      </c>
      <c r="H2252" s="76" t="s">
        <v>63</v>
      </c>
      <c r="I2252" s="76"/>
      <c r="J2252" s="76" t="s">
        <v>775</v>
      </c>
      <c r="K2252" s="79">
        <v>890</v>
      </c>
      <c r="L2252" s="76" t="s">
        <v>769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766</v>
      </c>
      <c r="D2253" s="76" t="s">
        <v>796</v>
      </c>
      <c r="E2253" s="76"/>
      <c r="F2253" s="76" t="s">
        <v>797</v>
      </c>
      <c r="G2253" s="79">
        <v>14000</v>
      </c>
      <c r="H2253" s="76" t="s">
        <v>63</v>
      </c>
      <c r="I2253" s="76"/>
      <c r="J2253" s="76" t="s">
        <v>775</v>
      </c>
      <c r="K2253" s="79">
        <v>14000</v>
      </c>
      <c r="L2253" s="76" t="s">
        <v>769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766</v>
      </c>
      <c r="D2254" s="76" t="s">
        <v>876</v>
      </c>
      <c r="E2254" s="76"/>
      <c r="F2254" s="76" t="s">
        <v>888</v>
      </c>
      <c r="G2254" s="79">
        <v>12400</v>
      </c>
      <c r="H2254" s="76" t="s">
        <v>63</v>
      </c>
      <c r="I2254" s="76"/>
      <c r="J2254" s="76" t="s">
        <v>768</v>
      </c>
      <c r="K2254" s="79">
        <v>12400</v>
      </c>
      <c r="L2254" s="76" t="s">
        <v>769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852</v>
      </c>
      <c r="D2255" s="76" t="s">
        <v>575</v>
      </c>
      <c r="E2255" s="76" t="s">
        <v>792</v>
      </c>
      <c r="F2255" s="76" t="s">
        <v>853</v>
      </c>
      <c r="G2255" s="79">
        <v>10400</v>
      </c>
      <c r="H2255" s="76" t="s">
        <v>63</v>
      </c>
      <c r="I2255" s="76"/>
      <c r="J2255" s="76" t="s">
        <v>775</v>
      </c>
      <c r="K2255" s="79">
        <v>10400</v>
      </c>
      <c r="L2255" s="76" t="s">
        <v>769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766</v>
      </c>
      <c r="D2256" s="76" t="s">
        <v>942</v>
      </c>
      <c r="E2256" s="76"/>
      <c r="F2256" s="76" t="s">
        <v>1094</v>
      </c>
      <c r="G2256" s="79">
        <v>41300</v>
      </c>
      <c r="H2256" s="76" t="s">
        <v>63</v>
      </c>
      <c r="I2256" s="76"/>
      <c r="J2256" s="76" t="s">
        <v>775</v>
      </c>
      <c r="K2256" s="79">
        <v>41300</v>
      </c>
      <c r="L2256" s="76" t="s">
        <v>769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766</v>
      </c>
      <c r="D2257" s="76" t="s">
        <v>575</v>
      </c>
      <c r="E2257" s="76" t="s">
        <v>772</v>
      </c>
      <c r="F2257" s="76" t="s">
        <v>1057</v>
      </c>
      <c r="G2257" s="79">
        <v>3600</v>
      </c>
      <c r="H2257" s="76" t="s">
        <v>63</v>
      </c>
      <c r="I2257" s="76" t="s">
        <v>1633</v>
      </c>
      <c r="J2257" s="76" t="s">
        <v>775</v>
      </c>
      <c r="K2257" s="79">
        <v>3600</v>
      </c>
      <c r="L2257" s="76" t="s">
        <v>769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852</v>
      </c>
      <c r="D2258" s="76" t="s">
        <v>946</v>
      </c>
      <c r="E2258" s="76"/>
      <c r="F2258" s="76" t="s">
        <v>488</v>
      </c>
      <c r="G2258" s="79">
        <v>140320</v>
      </c>
      <c r="H2258" s="76" t="s">
        <v>63</v>
      </c>
      <c r="I2258" s="76" t="s">
        <v>1634</v>
      </c>
      <c r="J2258" s="76" t="s">
        <v>775</v>
      </c>
      <c r="K2258" s="79">
        <v>140320</v>
      </c>
      <c r="L2258" s="76" t="s">
        <v>769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766</v>
      </c>
      <c r="D2259" s="76" t="s">
        <v>485</v>
      </c>
      <c r="E2259" s="76"/>
      <c r="F2259" s="76" t="s">
        <v>917</v>
      </c>
      <c r="G2259" s="79">
        <v>7737</v>
      </c>
      <c r="H2259" s="76" t="s">
        <v>63</v>
      </c>
      <c r="I2259" s="76" t="s">
        <v>918</v>
      </c>
      <c r="J2259" s="76" t="s">
        <v>768</v>
      </c>
      <c r="K2259" s="79">
        <v>7737</v>
      </c>
      <c r="L2259" s="76" t="s">
        <v>769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766</v>
      </c>
      <c r="D2260" s="76" t="s">
        <v>796</v>
      </c>
      <c r="E2260" s="76"/>
      <c r="F2260" s="76" t="s">
        <v>797</v>
      </c>
      <c r="G2260" s="79">
        <v>7200</v>
      </c>
      <c r="H2260" s="76" t="s">
        <v>63</v>
      </c>
      <c r="I2260" s="76"/>
      <c r="J2260" s="76" t="s">
        <v>775</v>
      </c>
      <c r="K2260" s="79">
        <v>7200</v>
      </c>
      <c r="L2260" s="76" t="s">
        <v>769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766</v>
      </c>
      <c r="D2261" s="76" t="s">
        <v>576</v>
      </c>
      <c r="E2261" s="76"/>
      <c r="F2261" s="76" t="s">
        <v>576</v>
      </c>
      <c r="G2261" s="79">
        <v>5000</v>
      </c>
      <c r="H2261" s="76" t="s">
        <v>63</v>
      </c>
      <c r="I2261" s="76"/>
      <c r="J2261" s="76" t="s">
        <v>778</v>
      </c>
      <c r="K2261" s="79">
        <v>5000</v>
      </c>
      <c r="L2261" s="76" t="s">
        <v>769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766</v>
      </c>
      <c r="D2262" s="76" t="s">
        <v>576</v>
      </c>
      <c r="E2262" s="76"/>
      <c r="F2262" s="76" t="s">
        <v>576</v>
      </c>
      <c r="G2262" s="79">
        <v>5000</v>
      </c>
      <c r="H2262" s="76" t="s">
        <v>63</v>
      </c>
      <c r="I2262" s="76"/>
      <c r="J2262" s="76" t="s">
        <v>778</v>
      </c>
      <c r="K2262" s="79">
        <v>5000</v>
      </c>
      <c r="L2262" s="76" t="s">
        <v>769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196</v>
      </c>
      <c r="D2263" s="76" t="s">
        <v>70</v>
      </c>
      <c r="E2263" s="76"/>
      <c r="F2263" s="76" t="s">
        <v>1084</v>
      </c>
      <c r="G2263" s="79">
        <v>50000</v>
      </c>
      <c r="H2263" s="76" t="s">
        <v>520</v>
      </c>
      <c r="I2263" s="76"/>
      <c r="J2263" s="76" t="s">
        <v>70</v>
      </c>
      <c r="K2263" s="79">
        <v>50000</v>
      </c>
      <c r="L2263" s="76" t="s">
        <v>769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766</v>
      </c>
      <c r="D2264" s="76" t="s">
        <v>575</v>
      </c>
      <c r="E2264" s="76" t="s">
        <v>885</v>
      </c>
      <c r="F2264" s="76" t="s">
        <v>773</v>
      </c>
      <c r="G2264" s="79">
        <v>5100</v>
      </c>
      <c r="H2264" s="76" t="s">
        <v>63</v>
      </c>
      <c r="I2264" s="76"/>
      <c r="J2264" s="76" t="s">
        <v>775</v>
      </c>
      <c r="K2264" s="79">
        <v>5100</v>
      </c>
      <c r="L2264" s="76" t="s">
        <v>769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766</v>
      </c>
      <c r="D2265" s="76" t="s">
        <v>575</v>
      </c>
      <c r="E2265" s="76" t="s">
        <v>885</v>
      </c>
      <c r="F2265" s="76" t="s">
        <v>773</v>
      </c>
      <c r="G2265" s="79">
        <v>4400</v>
      </c>
      <c r="H2265" s="76" t="s">
        <v>63</v>
      </c>
      <c r="I2265" s="76"/>
      <c r="J2265" s="76" t="s">
        <v>775</v>
      </c>
      <c r="K2265" s="79">
        <v>4400</v>
      </c>
      <c r="L2265" s="76" t="s">
        <v>769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852</v>
      </c>
      <c r="D2266" s="76" t="s">
        <v>946</v>
      </c>
      <c r="E2266" s="76"/>
      <c r="F2266" s="76" t="s">
        <v>488</v>
      </c>
      <c r="G2266" s="79">
        <v>33210</v>
      </c>
      <c r="H2266" s="76" t="s">
        <v>63</v>
      </c>
      <c r="I2266" s="76"/>
      <c r="J2266" s="76" t="s">
        <v>775</v>
      </c>
      <c r="K2266" s="79">
        <v>33210</v>
      </c>
      <c r="L2266" s="76" t="s">
        <v>769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766</v>
      </c>
      <c r="D2267" s="76" t="s">
        <v>576</v>
      </c>
      <c r="E2267" s="76"/>
      <c r="F2267" s="76" t="s">
        <v>576</v>
      </c>
      <c r="G2267" s="79">
        <v>4500</v>
      </c>
      <c r="H2267" s="76" t="s">
        <v>63</v>
      </c>
      <c r="I2267" s="76"/>
      <c r="J2267" s="76" t="s">
        <v>778</v>
      </c>
      <c r="K2267" s="79">
        <v>4500</v>
      </c>
      <c r="L2267" s="76" t="s">
        <v>769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766</v>
      </c>
      <c r="D2268" s="76" t="s">
        <v>575</v>
      </c>
      <c r="E2268" s="76" t="s">
        <v>772</v>
      </c>
      <c r="F2268" s="76" t="s">
        <v>773</v>
      </c>
      <c r="G2268" s="79">
        <v>3300</v>
      </c>
      <c r="H2268" s="76" t="s">
        <v>63</v>
      </c>
      <c r="I2268" s="76" t="s">
        <v>794</v>
      </c>
      <c r="J2268" s="76" t="s">
        <v>775</v>
      </c>
      <c r="K2268" s="79">
        <v>3300</v>
      </c>
      <c r="L2268" s="76" t="s">
        <v>769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766</v>
      </c>
      <c r="D2269" s="76" t="s">
        <v>811</v>
      </c>
      <c r="E2269" s="76"/>
      <c r="F2269" s="76" t="s">
        <v>1117</v>
      </c>
      <c r="G2269" s="79">
        <v>5500</v>
      </c>
      <c r="H2269" s="76" t="s">
        <v>63</v>
      </c>
      <c r="I2269" s="76" t="s">
        <v>1635</v>
      </c>
      <c r="J2269" s="76" t="s">
        <v>775</v>
      </c>
      <c r="K2269" s="79">
        <v>5500</v>
      </c>
      <c r="L2269" s="76" t="s">
        <v>769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766</v>
      </c>
      <c r="D2270" s="76" t="s">
        <v>912</v>
      </c>
      <c r="E2270" s="76" t="s">
        <v>580</v>
      </c>
      <c r="F2270" s="76" t="s">
        <v>1636</v>
      </c>
      <c r="G2270" s="79">
        <v>47000</v>
      </c>
      <c r="H2270" s="76" t="s">
        <v>63</v>
      </c>
      <c r="I2270" s="76"/>
      <c r="J2270" s="76" t="s">
        <v>783</v>
      </c>
      <c r="K2270" s="79">
        <v>47000</v>
      </c>
      <c r="L2270" s="76" t="s">
        <v>769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766</v>
      </c>
      <c r="D2271" s="76" t="s">
        <v>485</v>
      </c>
      <c r="E2271" s="76"/>
      <c r="F2271" s="76" t="s">
        <v>926</v>
      </c>
      <c r="G2271" s="79">
        <v>4890</v>
      </c>
      <c r="H2271" s="76" t="s">
        <v>63</v>
      </c>
      <c r="I2271" s="76" t="s">
        <v>490</v>
      </c>
      <c r="J2271" s="76" t="s">
        <v>768</v>
      </c>
      <c r="K2271" s="79">
        <v>4890</v>
      </c>
      <c r="L2271" s="76" t="s">
        <v>769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766</v>
      </c>
      <c r="D2272" s="76" t="s">
        <v>946</v>
      </c>
      <c r="E2272" s="76"/>
      <c r="F2272" s="76" t="s">
        <v>1503</v>
      </c>
      <c r="G2272" s="79">
        <v>30000</v>
      </c>
      <c r="H2272" s="76" t="s">
        <v>63</v>
      </c>
      <c r="I2272" s="76"/>
      <c r="J2272" s="76" t="s">
        <v>775</v>
      </c>
      <c r="K2272" s="79">
        <v>30000</v>
      </c>
      <c r="L2272" s="76" t="s">
        <v>769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1329</v>
      </c>
      <c r="D2273" s="76" t="s">
        <v>843</v>
      </c>
      <c r="E2273" s="76"/>
      <c r="F2273" s="76" t="s">
        <v>1403</v>
      </c>
      <c r="G2273" s="79">
        <v>17000</v>
      </c>
      <c r="H2273" s="76" t="s">
        <v>63</v>
      </c>
      <c r="I2273" s="76"/>
      <c r="J2273" s="76" t="s">
        <v>775</v>
      </c>
      <c r="K2273" s="79">
        <v>17000</v>
      </c>
      <c r="L2273" s="76" t="s">
        <v>769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1329</v>
      </c>
      <c r="D2274" s="76" t="s">
        <v>796</v>
      </c>
      <c r="E2274" s="76"/>
      <c r="F2274" s="76" t="s">
        <v>797</v>
      </c>
      <c r="G2274" s="79">
        <v>5000</v>
      </c>
      <c r="H2274" s="76" t="s">
        <v>63</v>
      </c>
      <c r="I2274" s="76"/>
      <c r="J2274" s="76" t="s">
        <v>775</v>
      </c>
      <c r="K2274" s="79">
        <v>5000</v>
      </c>
      <c r="L2274" s="76" t="s">
        <v>769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766</v>
      </c>
      <c r="D2275" s="76" t="s">
        <v>485</v>
      </c>
      <c r="E2275" s="76"/>
      <c r="F2275" s="76" t="s">
        <v>1542</v>
      </c>
      <c r="G2275" s="79">
        <v>29000</v>
      </c>
      <c r="H2275" s="76" t="s">
        <v>63</v>
      </c>
      <c r="I2275" s="76"/>
      <c r="J2275" s="76" t="s">
        <v>768</v>
      </c>
      <c r="K2275" s="79">
        <v>29000</v>
      </c>
      <c r="L2275" s="76" t="s">
        <v>769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181</v>
      </c>
      <c r="D2276" s="76" t="s">
        <v>1279</v>
      </c>
      <c r="E2276" s="76"/>
      <c r="F2276" s="76" t="s">
        <v>921</v>
      </c>
      <c r="G2276" s="79">
        <v>200000</v>
      </c>
      <c r="H2276" s="76" t="s">
        <v>1579</v>
      </c>
      <c r="I2276" s="76"/>
      <c r="J2276" s="76" t="s">
        <v>836</v>
      </c>
      <c r="K2276" s="79">
        <v>200000</v>
      </c>
      <c r="L2276" s="76" t="s">
        <v>769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147</v>
      </c>
      <c r="D2277" s="76" t="s">
        <v>22</v>
      </c>
      <c r="E2277" s="76"/>
      <c r="F2277" s="76" t="s">
        <v>927</v>
      </c>
      <c r="G2277" s="79">
        <v>24</v>
      </c>
      <c r="H2277" s="76" t="s">
        <v>520</v>
      </c>
      <c r="I2277" s="76"/>
      <c r="J2277" s="76" t="s">
        <v>824</v>
      </c>
      <c r="K2277" s="79">
        <v>24</v>
      </c>
      <c r="L2277" s="76" t="s">
        <v>769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193</v>
      </c>
      <c r="D2278" s="76" t="s">
        <v>22</v>
      </c>
      <c r="E2278" s="76"/>
      <c r="F2278" s="76" t="s">
        <v>927</v>
      </c>
      <c r="G2278" s="79">
        <v>1</v>
      </c>
      <c r="H2278" s="76" t="s">
        <v>520</v>
      </c>
      <c r="I2278" s="76"/>
      <c r="J2278" s="76" t="s">
        <v>824</v>
      </c>
      <c r="K2278" s="79">
        <v>1</v>
      </c>
      <c r="L2278" s="76" t="s">
        <v>769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559</v>
      </c>
      <c r="D2279" s="76" t="s">
        <v>22</v>
      </c>
      <c r="E2279" s="76"/>
      <c r="F2279" s="76" t="s">
        <v>927</v>
      </c>
      <c r="G2279" s="79">
        <v>1116</v>
      </c>
      <c r="H2279" s="76" t="s">
        <v>520</v>
      </c>
      <c r="I2279" s="76"/>
      <c r="J2279" s="76" t="s">
        <v>824</v>
      </c>
      <c r="K2279" s="79">
        <v>1116</v>
      </c>
      <c r="L2279" s="76" t="s">
        <v>769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1279</v>
      </c>
      <c r="D2280" s="76" t="s">
        <v>912</v>
      </c>
      <c r="E2280" s="76" t="s">
        <v>1190</v>
      </c>
      <c r="F2280" s="76" t="s">
        <v>797</v>
      </c>
      <c r="G2280" s="79">
        <v>25000</v>
      </c>
      <c r="H2280" s="76" t="s">
        <v>63</v>
      </c>
      <c r="I2280" s="76"/>
      <c r="J2280" s="76" t="s">
        <v>783</v>
      </c>
      <c r="K2280" s="79">
        <v>12500</v>
      </c>
      <c r="L2280" s="76" t="s">
        <v>199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1279</v>
      </c>
      <c r="D2281" s="76" t="s">
        <v>912</v>
      </c>
      <c r="E2281" s="76" t="s">
        <v>1190</v>
      </c>
      <c r="F2281" s="76" t="s">
        <v>1637</v>
      </c>
      <c r="G2281" s="79">
        <v>31500</v>
      </c>
      <c r="H2281" s="76" t="s">
        <v>63</v>
      </c>
      <c r="I2281" s="76"/>
      <c r="J2281" s="76" t="s">
        <v>783</v>
      </c>
      <c r="K2281" s="79">
        <v>15750</v>
      </c>
      <c r="L2281" s="76" t="s">
        <v>199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1279</v>
      </c>
      <c r="D2282" s="76" t="s">
        <v>912</v>
      </c>
      <c r="E2282" s="76" t="s">
        <v>1190</v>
      </c>
      <c r="F2282" s="76" t="s">
        <v>1638</v>
      </c>
      <c r="G2282" s="79">
        <v>6700</v>
      </c>
      <c r="H2282" s="76" t="s">
        <v>63</v>
      </c>
      <c r="I2282" s="76"/>
      <c r="J2282" s="76" t="s">
        <v>783</v>
      </c>
      <c r="K2282" s="79">
        <v>3350</v>
      </c>
      <c r="L2282" s="76" t="s">
        <v>199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1279</v>
      </c>
      <c r="D2283" s="76" t="s">
        <v>912</v>
      </c>
      <c r="E2283" s="76" t="s">
        <v>1190</v>
      </c>
      <c r="F2283" s="76" t="s">
        <v>1639</v>
      </c>
      <c r="G2283" s="79">
        <v>23500</v>
      </c>
      <c r="H2283" s="76" t="s">
        <v>63</v>
      </c>
      <c r="I2283" s="76" t="s">
        <v>1640</v>
      </c>
      <c r="J2283" s="76" t="s">
        <v>783</v>
      </c>
      <c r="K2283" s="79">
        <v>11750</v>
      </c>
      <c r="L2283" s="76" t="s">
        <v>199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1279</v>
      </c>
      <c r="D2284" s="76" t="s">
        <v>912</v>
      </c>
      <c r="E2284" s="76" t="s">
        <v>1190</v>
      </c>
      <c r="F2284" s="76" t="s">
        <v>853</v>
      </c>
      <c r="G2284" s="79">
        <v>68600</v>
      </c>
      <c r="H2284" s="76" t="s">
        <v>63</v>
      </c>
      <c r="I2284" s="76" t="s">
        <v>1641</v>
      </c>
      <c r="J2284" s="76" t="s">
        <v>783</v>
      </c>
      <c r="K2284" s="79">
        <v>34300</v>
      </c>
      <c r="L2284" s="76" t="s">
        <v>199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1279</v>
      </c>
      <c r="D2285" s="76" t="s">
        <v>912</v>
      </c>
      <c r="E2285" s="76" t="s">
        <v>1190</v>
      </c>
      <c r="F2285" s="76" t="s">
        <v>1093</v>
      </c>
      <c r="G2285" s="79">
        <v>50400</v>
      </c>
      <c r="H2285" s="76" t="s">
        <v>63</v>
      </c>
      <c r="I2285" s="76" t="s">
        <v>1642</v>
      </c>
      <c r="J2285" s="76" t="s">
        <v>783</v>
      </c>
      <c r="K2285" s="79">
        <v>25200</v>
      </c>
      <c r="L2285" s="76" t="s">
        <v>199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163</v>
      </c>
      <c r="D2286" s="76" t="s">
        <v>912</v>
      </c>
      <c r="E2286" s="76" t="s">
        <v>1190</v>
      </c>
      <c r="F2286" s="76" t="s">
        <v>913</v>
      </c>
      <c r="G2286" s="79">
        <v>150000</v>
      </c>
      <c r="H2286" s="76" t="s">
        <v>63</v>
      </c>
      <c r="I2286" s="76" t="s">
        <v>1643</v>
      </c>
      <c r="J2286" s="76" t="s">
        <v>783</v>
      </c>
      <c r="K2286" s="79">
        <v>150000</v>
      </c>
      <c r="L2286" s="76" t="s">
        <v>769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766</v>
      </c>
      <c r="D2287" s="76" t="s">
        <v>576</v>
      </c>
      <c r="E2287" s="76"/>
      <c r="F2287" s="76" t="s">
        <v>576</v>
      </c>
      <c r="G2287" s="79">
        <v>5000</v>
      </c>
      <c r="H2287" s="76" t="s">
        <v>63</v>
      </c>
      <c r="I2287" s="76"/>
      <c r="J2287" s="76" t="s">
        <v>778</v>
      </c>
      <c r="K2287" s="79">
        <v>5000</v>
      </c>
      <c r="L2287" s="76" t="s">
        <v>769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1329</v>
      </c>
      <c r="D2288" s="76" t="s">
        <v>912</v>
      </c>
      <c r="E2288" s="76" t="s">
        <v>1190</v>
      </c>
      <c r="F2288" s="76" t="s">
        <v>1644</v>
      </c>
      <c r="G2288" s="79">
        <v>43000</v>
      </c>
      <c r="H2288" s="76" t="s">
        <v>63</v>
      </c>
      <c r="I2288" s="76" t="s">
        <v>1645</v>
      </c>
      <c r="J2288" s="76" t="s">
        <v>783</v>
      </c>
      <c r="K2288" s="79">
        <v>43000</v>
      </c>
      <c r="L2288" s="76" t="s">
        <v>769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803</v>
      </c>
      <c r="D2289" s="76" t="s">
        <v>181</v>
      </c>
      <c r="E2289" s="76"/>
      <c r="F2289" s="76" t="s">
        <v>81</v>
      </c>
      <c r="G2289" s="79">
        <v>300000</v>
      </c>
      <c r="H2289" s="76" t="s">
        <v>1579</v>
      </c>
      <c r="I2289" s="76"/>
      <c r="J2289" s="76" t="s">
        <v>805</v>
      </c>
      <c r="K2289" s="79">
        <v>300000</v>
      </c>
      <c r="L2289" s="76" t="s">
        <v>769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181</v>
      </c>
      <c r="D2290" s="76" t="s">
        <v>817</v>
      </c>
      <c r="E2290" s="76"/>
      <c r="F2290" s="76" t="s">
        <v>82</v>
      </c>
      <c r="G2290" s="79">
        <v>391000</v>
      </c>
      <c r="H2290" s="76" t="s">
        <v>63</v>
      </c>
      <c r="I2290" s="76"/>
      <c r="J2290" s="76" t="s">
        <v>768</v>
      </c>
      <c r="K2290" s="79">
        <v>391000</v>
      </c>
      <c r="L2290" s="76" t="s">
        <v>769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181</v>
      </c>
      <c r="D2291" s="76" t="s">
        <v>559</v>
      </c>
      <c r="E2291" s="76"/>
      <c r="F2291" s="76" t="s">
        <v>81</v>
      </c>
      <c r="G2291" s="79">
        <v>20000</v>
      </c>
      <c r="H2291" s="76" t="s">
        <v>1579</v>
      </c>
      <c r="I2291" s="76"/>
      <c r="J2291" s="76" t="s">
        <v>839</v>
      </c>
      <c r="K2291" s="79">
        <v>20000</v>
      </c>
      <c r="L2291" s="76" t="s">
        <v>769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163</v>
      </c>
      <c r="D2292" s="76" t="s">
        <v>147</v>
      </c>
      <c r="E2292" s="76"/>
      <c r="F2292" s="76" t="s">
        <v>81</v>
      </c>
      <c r="G2292" s="79">
        <v>200000</v>
      </c>
      <c r="H2292" s="76" t="s">
        <v>1579</v>
      </c>
      <c r="I2292" s="76"/>
      <c r="J2292" s="76" t="s">
        <v>838</v>
      </c>
      <c r="K2292" s="79">
        <v>200000</v>
      </c>
      <c r="L2292" s="76" t="s">
        <v>769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181</v>
      </c>
      <c r="D2293" s="76" t="s">
        <v>163</v>
      </c>
      <c r="E2293" s="76"/>
      <c r="F2293" s="76" t="s">
        <v>81</v>
      </c>
      <c r="G2293" s="79">
        <v>2465050</v>
      </c>
      <c r="H2293" s="76" t="s">
        <v>1579</v>
      </c>
      <c r="I2293" s="76"/>
      <c r="J2293" s="76" t="s">
        <v>805</v>
      </c>
      <c r="K2293" s="79">
        <v>2465050</v>
      </c>
      <c r="L2293" s="76" t="s">
        <v>769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1279</v>
      </c>
      <c r="D2294" s="76" t="s">
        <v>912</v>
      </c>
      <c r="E2294" s="76" t="s">
        <v>1190</v>
      </c>
      <c r="F2294" s="76" t="s">
        <v>940</v>
      </c>
      <c r="G2294" s="79">
        <v>5120</v>
      </c>
      <c r="H2294" s="76" t="s">
        <v>63</v>
      </c>
      <c r="I2294" s="76" t="s">
        <v>794</v>
      </c>
      <c r="J2294" s="76" t="s">
        <v>783</v>
      </c>
      <c r="K2294" s="79">
        <v>2560</v>
      </c>
      <c r="L2294" s="76" t="s">
        <v>199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1279</v>
      </c>
      <c r="D2295" s="76" t="s">
        <v>912</v>
      </c>
      <c r="E2295" s="76" t="s">
        <v>1190</v>
      </c>
      <c r="F2295" s="76" t="s">
        <v>1117</v>
      </c>
      <c r="G2295" s="79">
        <v>7200</v>
      </c>
      <c r="H2295" s="76" t="s">
        <v>63</v>
      </c>
      <c r="I2295" s="76" t="s">
        <v>1061</v>
      </c>
      <c r="J2295" s="76" t="s">
        <v>783</v>
      </c>
      <c r="K2295" s="79">
        <v>3600</v>
      </c>
      <c r="L2295" s="76" t="s">
        <v>199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1279</v>
      </c>
      <c r="D2296" s="76" t="s">
        <v>912</v>
      </c>
      <c r="E2296" s="76" t="s">
        <v>1190</v>
      </c>
      <c r="F2296" s="76" t="s">
        <v>1646</v>
      </c>
      <c r="G2296" s="79">
        <v>19000</v>
      </c>
      <c r="H2296" s="76" t="s">
        <v>63</v>
      </c>
      <c r="I2296" s="76" t="s">
        <v>794</v>
      </c>
      <c r="J2296" s="76" t="s">
        <v>783</v>
      </c>
      <c r="K2296" s="79">
        <v>9500</v>
      </c>
      <c r="L2296" s="76" t="s">
        <v>199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1279</v>
      </c>
      <c r="D2297" s="76" t="s">
        <v>821</v>
      </c>
      <c r="E2297" s="76"/>
      <c r="F2297" s="76" t="s">
        <v>921</v>
      </c>
      <c r="G2297" s="79">
        <v>200000</v>
      </c>
      <c r="H2297" s="76" t="s">
        <v>520</v>
      </c>
      <c r="I2297" s="76"/>
      <c r="J2297" s="76" t="s">
        <v>821</v>
      </c>
      <c r="K2297" s="79">
        <v>200000</v>
      </c>
      <c r="L2297" s="76" t="s">
        <v>769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196</v>
      </c>
      <c r="D2298" s="76" t="s">
        <v>163</v>
      </c>
      <c r="E2298" s="76"/>
      <c r="F2298" s="76" t="s">
        <v>81</v>
      </c>
      <c r="G2298" s="79">
        <v>51312</v>
      </c>
      <c r="H2298" s="76" t="s">
        <v>1579</v>
      </c>
      <c r="I2298" s="76"/>
      <c r="J2298" s="76" t="s">
        <v>805</v>
      </c>
      <c r="K2298" s="79">
        <v>51312</v>
      </c>
      <c r="L2298" s="76" t="s">
        <v>769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163</v>
      </c>
      <c r="D2299" s="76" t="s">
        <v>1005</v>
      </c>
      <c r="E2299" s="76"/>
      <c r="F2299" s="76" t="s">
        <v>81</v>
      </c>
      <c r="G2299" s="79">
        <v>60000</v>
      </c>
      <c r="H2299" s="76" t="s">
        <v>1579</v>
      </c>
      <c r="I2299" s="76"/>
      <c r="J2299" s="76" t="s">
        <v>833</v>
      </c>
      <c r="K2299" s="79">
        <v>60000</v>
      </c>
      <c r="L2299" s="76" t="s">
        <v>769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163</v>
      </c>
      <c r="D2300" s="76" t="s">
        <v>1006</v>
      </c>
      <c r="E2300" s="76"/>
      <c r="F2300" s="76" t="s">
        <v>81</v>
      </c>
      <c r="G2300" s="79">
        <v>60000</v>
      </c>
      <c r="H2300" s="76" t="s">
        <v>1579</v>
      </c>
      <c r="I2300" s="76"/>
      <c r="J2300" s="76" t="s">
        <v>833</v>
      </c>
      <c r="K2300" s="79">
        <v>60000</v>
      </c>
      <c r="L2300" s="76" t="s">
        <v>769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1005</v>
      </c>
      <c r="D2301" s="76" t="s">
        <v>806</v>
      </c>
      <c r="E2301" s="76"/>
      <c r="F2301" s="76" t="s">
        <v>1036</v>
      </c>
      <c r="G2301" s="79">
        <v>5504</v>
      </c>
      <c r="H2301" s="76" t="s">
        <v>63</v>
      </c>
      <c r="I2301" s="76" t="s">
        <v>1647</v>
      </c>
      <c r="J2301" s="76" t="s">
        <v>806</v>
      </c>
      <c r="K2301" s="79">
        <v>5504</v>
      </c>
      <c r="L2301" s="76" t="s">
        <v>769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1006</v>
      </c>
      <c r="D2302" s="76" t="s">
        <v>806</v>
      </c>
      <c r="E2302" s="76"/>
      <c r="F2302" s="76" t="s">
        <v>1036</v>
      </c>
      <c r="G2302" s="79">
        <v>60687</v>
      </c>
      <c r="H2302" s="76" t="s">
        <v>63</v>
      </c>
      <c r="I2302" s="76" t="s">
        <v>1051</v>
      </c>
      <c r="J2302" s="76" t="s">
        <v>806</v>
      </c>
      <c r="K2302" s="79">
        <v>60687</v>
      </c>
      <c r="L2302" s="76" t="s">
        <v>769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163</v>
      </c>
      <c r="D2303" s="76" t="s">
        <v>527</v>
      </c>
      <c r="E2303" s="76"/>
      <c r="F2303" s="76" t="s">
        <v>81</v>
      </c>
      <c r="G2303" s="79">
        <v>20000</v>
      </c>
      <c r="H2303" s="76" t="s">
        <v>1579</v>
      </c>
      <c r="I2303" s="76"/>
      <c r="J2303" s="76" t="s">
        <v>830</v>
      </c>
      <c r="K2303" s="79">
        <v>20000</v>
      </c>
      <c r="L2303" s="76" t="s">
        <v>769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163</v>
      </c>
      <c r="D2304" s="76" t="s">
        <v>922</v>
      </c>
      <c r="E2304" s="76"/>
      <c r="F2304" s="76" t="s">
        <v>81</v>
      </c>
      <c r="G2304" s="79">
        <v>150000</v>
      </c>
      <c r="H2304" s="76" t="s">
        <v>1579</v>
      </c>
      <c r="I2304" s="76"/>
      <c r="J2304" s="76" t="s">
        <v>829</v>
      </c>
      <c r="K2304" s="79">
        <v>150000</v>
      </c>
      <c r="L2304" s="76" t="s">
        <v>769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163</v>
      </c>
      <c r="D2305" s="76" t="s">
        <v>22</v>
      </c>
      <c r="E2305" s="76"/>
      <c r="F2305" s="76" t="s">
        <v>188</v>
      </c>
      <c r="G2305" s="79">
        <v>5923</v>
      </c>
      <c r="H2305" s="76" t="s">
        <v>520</v>
      </c>
      <c r="I2305" s="76"/>
      <c r="J2305" s="76" t="s">
        <v>824</v>
      </c>
      <c r="K2305" s="79">
        <v>5923</v>
      </c>
      <c r="L2305" s="76" t="s">
        <v>769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1329</v>
      </c>
      <c r="D2306" s="76" t="s">
        <v>575</v>
      </c>
      <c r="E2306" s="76" t="s">
        <v>772</v>
      </c>
      <c r="F2306" s="76" t="s">
        <v>773</v>
      </c>
      <c r="G2306" s="79">
        <v>4900</v>
      </c>
      <c r="H2306" s="76" t="s">
        <v>63</v>
      </c>
      <c r="I2306" s="76" t="s">
        <v>1648</v>
      </c>
      <c r="J2306" s="76" t="s">
        <v>775</v>
      </c>
      <c r="K2306" s="79">
        <v>4900</v>
      </c>
      <c r="L2306" s="76" t="s">
        <v>769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1329</v>
      </c>
      <c r="D2307" s="76" t="s">
        <v>576</v>
      </c>
      <c r="E2307" s="76"/>
      <c r="F2307" s="76" t="s">
        <v>576</v>
      </c>
      <c r="G2307" s="79">
        <v>5000</v>
      </c>
      <c r="H2307" s="76" t="s">
        <v>63</v>
      </c>
      <c r="I2307" s="76"/>
      <c r="J2307" s="76" t="s">
        <v>778</v>
      </c>
      <c r="K2307" s="79">
        <v>5000</v>
      </c>
      <c r="L2307" s="76" t="s">
        <v>769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1329</v>
      </c>
      <c r="D2308" s="76" t="s">
        <v>576</v>
      </c>
      <c r="E2308" s="76"/>
      <c r="F2308" s="76" t="s">
        <v>576</v>
      </c>
      <c r="G2308" s="79">
        <v>5000</v>
      </c>
      <c r="H2308" s="76" t="s">
        <v>63</v>
      </c>
      <c r="I2308" s="76"/>
      <c r="J2308" s="76" t="s">
        <v>778</v>
      </c>
      <c r="K2308" s="79">
        <v>5000</v>
      </c>
      <c r="L2308" s="76" t="s">
        <v>769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780</v>
      </c>
      <c r="D2309" s="76" t="s">
        <v>843</v>
      </c>
      <c r="E2309" s="76" t="s">
        <v>932</v>
      </c>
      <c r="F2309" s="76" t="s">
        <v>933</v>
      </c>
      <c r="G2309" s="79">
        <v>143056</v>
      </c>
      <c r="H2309" s="76" t="s">
        <v>63</v>
      </c>
      <c r="I2309" s="76"/>
      <c r="J2309" s="76" t="s">
        <v>768</v>
      </c>
      <c r="K2309" s="79">
        <v>143056</v>
      </c>
      <c r="L2309" s="76" t="s">
        <v>769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175</v>
      </c>
      <c r="D2310" s="76" t="s">
        <v>22</v>
      </c>
      <c r="E2310" s="76"/>
      <c r="F2310" s="76" t="s">
        <v>1496</v>
      </c>
      <c r="G2310" s="79">
        <v>104300</v>
      </c>
      <c r="H2310" s="76" t="s">
        <v>520</v>
      </c>
      <c r="I2310" s="76" t="s">
        <v>1649</v>
      </c>
      <c r="J2310" s="76" t="s">
        <v>824</v>
      </c>
      <c r="K2310" s="79">
        <v>104300</v>
      </c>
      <c r="L2310" s="76" t="s">
        <v>769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1329</v>
      </c>
      <c r="D2311" s="76" t="s">
        <v>575</v>
      </c>
      <c r="E2311" s="76" t="s">
        <v>781</v>
      </c>
      <c r="F2311" s="76" t="s">
        <v>1251</v>
      </c>
      <c r="G2311" s="79">
        <v>9000</v>
      </c>
      <c r="H2311" s="76" t="s">
        <v>63</v>
      </c>
      <c r="I2311" s="76"/>
      <c r="J2311" s="76" t="s">
        <v>775</v>
      </c>
      <c r="K2311" s="79">
        <v>9000</v>
      </c>
      <c r="L2311" s="76" t="s">
        <v>769</v>
      </c>
      <c r="M2311" s="76" t="s">
        <v>1650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1329</v>
      </c>
      <c r="D2312" s="76" t="s">
        <v>840</v>
      </c>
      <c r="E2312" s="76" t="s">
        <v>1589</v>
      </c>
      <c r="F2312" s="76" t="s">
        <v>1111</v>
      </c>
      <c r="G2312" s="79">
        <v>42600</v>
      </c>
      <c r="H2312" s="76" t="s">
        <v>63</v>
      </c>
      <c r="I2312" s="76"/>
      <c r="J2312" s="76" t="s">
        <v>787</v>
      </c>
      <c r="K2312" s="79">
        <v>42600</v>
      </c>
      <c r="L2312" s="76" t="s">
        <v>769</v>
      </c>
      <c r="M2312" s="76" t="s">
        <v>1650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1329</v>
      </c>
      <c r="D2313" s="76" t="s">
        <v>575</v>
      </c>
      <c r="E2313" s="76" t="s">
        <v>781</v>
      </c>
      <c r="F2313" s="76" t="s">
        <v>1004</v>
      </c>
      <c r="G2313" s="79">
        <v>7500</v>
      </c>
      <c r="H2313" s="76" t="s">
        <v>63</v>
      </c>
      <c r="I2313" s="76"/>
      <c r="J2313" s="76" t="s">
        <v>775</v>
      </c>
      <c r="K2313" s="79">
        <v>7500</v>
      </c>
      <c r="L2313" s="76" t="s">
        <v>769</v>
      </c>
      <c r="M2313" s="76" t="s">
        <v>1650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766</v>
      </c>
      <c r="D2314" s="76" t="s">
        <v>485</v>
      </c>
      <c r="E2314" s="76"/>
      <c r="F2314" s="76" t="s">
        <v>486</v>
      </c>
      <c r="G2314" s="79">
        <v>7890</v>
      </c>
      <c r="H2314" s="76" t="s">
        <v>63</v>
      </c>
      <c r="I2314" s="76"/>
      <c r="J2314" s="76" t="s">
        <v>768</v>
      </c>
      <c r="K2314" s="79">
        <v>7890</v>
      </c>
      <c r="L2314" s="76" t="s">
        <v>769</v>
      </c>
      <c r="M2314" s="76" t="s">
        <v>1650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1329</v>
      </c>
      <c r="D2315" s="76" t="s">
        <v>912</v>
      </c>
      <c r="E2315" s="76" t="s">
        <v>580</v>
      </c>
      <c r="F2315" s="76" t="s">
        <v>1651</v>
      </c>
      <c r="G2315" s="79">
        <v>68000</v>
      </c>
      <c r="H2315" s="76" t="s">
        <v>63</v>
      </c>
      <c r="I2315" s="76" t="s">
        <v>1652</v>
      </c>
      <c r="J2315" s="76" t="s">
        <v>783</v>
      </c>
      <c r="K2315" s="79">
        <v>68000</v>
      </c>
      <c r="L2315" s="76" t="s">
        <v>769</v>
      </c>
      <c r="M2315" s="76" t="s">
        <v>1650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1329</v>
      </c>
      <c r="D2316" s="76" t="s">
        <v>796</v>
      </c>
      <c r="E2316" s="76"/>
      <c r="F2316" s="76" t="s">
        <v>488</v>
      </c>
      <c r="G2316" s="79">
        <v>18350</v>
      </c>
      <c r="H2316" s="76" t="s">
        <v>63</v>
      </c>
      <c r="I2316" s="76" t="s">
        <v>1130</v>
      </c>
      <c r="J2316" s="76" t="s">
        <v>775</v>
      </c>
      <c r="K2316" s="79">
        <v>18350</v>
      </c>
      <c r="L2316" s="76" t="s">
        <v>769</v>
      </c>
      <c r="M2316" s="76" t="s">
        <v>1650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1329</v>
      </c>
      <c r="D2317" s="76" t="s">
        <v>840</v>
      </c>
      <c r="E2317" s="76" t="s">
        <v>1596</v>
      </c>
      <c r="F2317" s="76" t="s">
        <v>488</v>
      </c>
      <c r="G2317" s="79">
        <v>7500</v>
      </c>
      <c r="H2317" s="76" t="s">
        <v>63</v>
      </c>
      <c r="I2317" s="76" t="s">
        <v>1653</v>
      </c>
      <c r="J2317" s="76" t="s">
        <v>787</v>
      </c>
      <c r="K2317" s="79">
        <v>7500</v>
      </c>
      <c r="L2317" s="76" t="s">
        <v>769</v>
      </c>
      <c r="M2317" s="76" t="s">
        <v>1650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1329</v>
      </c>
      <c r="D2318" s="76" t="s">
        <v>840</v>
      </c>
      <c r="E2318" s="76" t="s">
        <v>1596</v>
      </c>
      <c r="F2318" s="76" t="s">
        <v>1654</v>
      </c>
      <c r="G2318" s="79">
        <v>22800</v>
      </c>
      <c r="H2318" s="76" t="s">
        <v>63</v>
      </c>
      <c r="I2318" s="76" t="s">
        <v>1655</v>
      </c>
      <c r="J2318" s="76" t="s">
        <v>787</v>
      </c>
      <c r="K2318" s="79">
        <v>22800</v>
      </c>
      <c r="L2318" s="76" t="s">
        <v>769</v>
      </c>
      <c r="M2318" s="76" t="s">
        <v>1650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1329</v>
      </c>
      <c r="D2319" s="76" t="s">
        <v>576</v>
      </c>
      <c r="E2319" s="76"/>
      <c r="F2319" s="76" t="s">
        <v>576</v>
      </c>
      <c r="G2319" s="79">
        <v>5000</v>
      </c>
      <c r="H2319" s="76" t="s">
        <v>63</v>
      </c>
      <c r="I2319" s="76"/>
      <c r="J2319" s="76" t="s">
        <v>778</v>
      </c>
      <c r="K2319" s="79">
        <v>5000</v>
      </c>
      <c r="L2319" s="76" t="s">
        <v>769</v>
      </c>
      <c r="M2319" s="76" t="s">
        <v>1650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1329</v>
      </c>
      <c r="D2320" s="76" t="s">
        <v>575</v>
      </c>
      <c r="E2320" s="76" t="s">
        <v>781</v>
      </c>
      <c r="F2320" s="76" t="s">
        <v>930</v>
      </c>
      <c r="G2320" s="79">
        <v>9500</v>
      </c>
      <c r="H2320" s="76" t="s">
        <v>63</v>
      </c>
      <c r="I2320" s="76"/>
      <c r="J2320" s="76" t="s">
        <v>775</v>
      </c>
      <c r="K2320" s="79">
        <v>9500</v>
      </c>
      <c r="L2320" s="76" t="s">
        <v>769</v>
      </c>
      <c r="M2320" s="76" t="s">
        <v>1650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1329</v>
      </c>
      <c r="D2321" s="76" t="s">
        <v>575</v>
      </c>
      <c r="E2321" s="76" t="s">
        <v>885</v>
      </c>
      <c r="F2321" s="76" t="s">
        <v>773</v>
      </c>
      <c r="G2321" s="79">
        <v>2300</v>
      </c>
      <c r="H2321" s="76" t="s">
        <v>63</v>
      </c>
      <c r="I2321" s="76" t="s">
        <v>992</v>
      </c>
      <c r="J2321" s="76" t="s">
        <v>775</v>
      </c>
      <c r="K2321" s="79">
        <v>2300</v>
      </c>
      <c r="L2321" s="76" t="s">
        <v>769</v>
      </c>
      <c r="M2321" s="76" t="s">
        <v>1650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1329</v>
      </c>
      <c r="D2322" s="76" t="s">
        <v>576</v>
      </c>
      <c r="E2322" s="76"/>
      <c r="F2322" s="76" t="s">
        <v>576</v>
      </c>
      <c r="G2322" s="79">
        <v>5000</v>
      </c>
      <c r="H2322" s="76" t="s">
        <v>63</v>
      </c>
      <c r="I2322" s="76"/>
      <c r="J2322" s="76" t="s">
        <v>778</v>
      </c>
      <c r="K2322" s="79">
        <v>5000</v>
      </c>
      <c r="L2322" s="76" t="s">
        <v>769</v>
      </c>
      <c r="M2322" s="76" t="s">
        <v>1650</v>
      </c>
      <c r="N2322" s="76"/>
      <c r="O2322" s="76"/>
      <c r="P2322" s="76"/>
      <c r="Q2322" s="76"/>
    </row>
    <row r="2323" spans="1:19">
      <c r="A2323" s="114">
        <v>46296.613898206022</v>
      </c>
      <c r="B2323" s="78">
        <v>46296</v>
      </c>
      <c r="C2323" s="76" t="s">
        <v>780</v>
      </c>
      <c r="D2323" s="76" t="s">
        <v>575</v>
      </c>
      <c r="E2323" s="76" t="s">
        <v>781</v>
      </c>
      <c r="F2323" s="76" t="s">
        <v>902</v>
      </c>
      <c r="G2323" s="79">
        <v>11000</v>
      </c>
      <c r="H2323" s="76" t="s">
        <v>63</v>
      </c>
      <c r="I2323" s="76"/>
      <c r="J2323" s="76" t="s">
        <v>775</v>
      </c>
      <c r="K2323" s="79">
        <v>11000</v>
      </c>
      <c r="L2323" s="76" t="s">
        <v>769</v>
      </c>
      <c r="M2323" s="76" t="s">
        <v>1656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1657</v>
      </c>
    </row>
    <row r="2324" spans="1:19">
      <c r="A2324" s="114">
        <v>46296.614591874997</v>
      </c>
      <c r="B2324" s="78">
        <v>46296</v>
      </c>
      <c r="C2324" s="76" t="s">
        <v>780</v>
      </c>
      <c r="D2324" s="76" t="s">
        <v>575</v>
      </c>
      <c r="E2324" s="76" t="s">
        <v>772</v>
      </c>
      <c r="F2324" s="76" t="s">
        <v>773</v>
      </c>
      <c r="G2324" s="79">
        <v>1300</v>
      </c>
      <c r="H2324" s="76" t="s">
        <v>63</v>
      </c>
      <c r="I2324" s="76"/>
      <c r="J2324" s="76" t="s">
        <v>775</v>
      </c>
      <c r="K2324" s="79">
        <v>1300</v>
      </c>
      <c r="L2324" s="76" t="s">
        <v>769</v>
      </c>
      <c r="M2324" s="76" t="s">
        <v>1658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1657</v>
      </c>
    </row>
    <row r="2325" spans="1:19">
      <c r="A2325" s="114">
        <v>46296.615973715278</v>
      </c>
      <c r="B2325" s="78">
        <v>46296</v>
      </c>
      <c r="C2325" s="76" t="s">
        <v>780</v>
      </c>
      <c r="D2325" s="76" t="s">
        <v>576</v>
      </c>
      <c r="E2325" s="76"/>
      <c r="F2325" s="76" t="s">
        <v>576</v>
      </c>
      <c r="G2325" s="79">
        <v>5000</v>
      </c>
      <c r="H2325" s="76" t="s">
        <v>63</v>
      </c>
      <c r="I2325" s="76"/>
      <c r="J2325" s="76" t="s">
        <v>778</v>
      </c>
      <c r="K2325" s="79">
        <v>5000</v>
      </c>
      <c r="L2325" s="76" t="s">
        <v>769</v>
      </c>
      <c r="M2325" s="76" t="s">
        <v>1659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1657</v>
      </c>
    </row>
    <row r="2326" spans="1:19">
      <c r="A2326" s="114">
        <v>46296.617366759259</v>
      </c>
      <c r="B2326" s="78">
        <v>46296</v>
      </c>
      <c r="C2326" s="76" t="s">
        <v>199</v>
      </c>
      <c r="D2326" s="76" t="s">
        <v>22</v>
      </c>
      <c r="E2326" s="76"/>
      <c r="F2326" s="76" t="s">
        <v>1312</v>
      </c>
      <c r="G2326" s="79">
        <v>15</v>
      </c>
      <c r="H2326" s="76" t="s">
        <v>520</v>
      </c>
      <c r="I2326" s="76"/>
      <c r="J2326" s="76" t="s">
        <v>824</v>
      </c>
      <c r="K2326" s="79">
        <v>7.5</v>
      </c>
      <c r="L2326" s="76" t="s">
        <v>199</v>
      </c>
      <c r="M2326" s="76" t="s">
        <v>1660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1661</v>
      </c>
    </row>
    <row r="2327" spans="1:19">
      <c r="A2327" s="114">
        <v>46296.837503877323</v>
      </c>
      <c r="B2327" s="78">
        <v>46296</v>
      </c>
      <c r="C2327" s="76" t="s">
        <v>175</v>
      </c>
      <c r="D2327" s="76" t="s">
        <v>22</v>
      </c>
      <c r="E2327" s="76"/>
      <c r="F2327" s="76" t="s">
        <v>938</v>
      </c>
      <c r="G2327" s="79">
        <v>27</v>
      </c>
      <c r="H2327" s="76" t="s">
        <v>520</v>
      </c>
      <c r="I2327" s="76"/>
      <c r="J2327" s="76" t="s">
        <v>824</v>
      </c>
      <c r="K2327" s="79">
        <v>27</v>
      </c>
      <c r="L2327" s="76" t="s">
        <v>769</v>
      </c>
      <c r="M2327" s="76" t="s">
        <v>1662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1661</v>
      </c>
    </row>
    <row r="2328" spans="1:19">
      <c r="A2328" s="114">
        <v>46296.859034062501</v>
      </c>
      <c r="B2328" s="78">
        <v>46296</v>
      </c>
      <c r="C2328" s="76" t="s">
        <v>766</v>
      </c>
      <c r="D2328" s="76" t="s">
        <v>485</v>
      </c>
      <c r="E2328" s="76"/>
      <c r="F2328" s="76" t="s">
        <v>767</v>
      </c>
      <c r="G2328" s="79">
        <v>0</v>
      </c>
      <c r="H2328" s="76" t="s">
        <v>63</v>
      </c>
      <c r="I2328" s="76"/>
      <c r="J2328" s="76" t="s">
        <v>768</v>
      </c>
      <c r="K2328" s="79">
        <v>0</v>
      </c>
      <c r="L2328" s="76" t="s">
        <v>769</v>
      </c>
      <c r="M2328" s="76" t="s">
        <v>1663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1657</v>
      </c>
    </row>
    <row r="2329" spans="1:19">
      <c r="A2329" s="114">
        <v>46297.615975740737</v>
      </c>
      <c r="B2329" s="78">
        <v>46296</v>
      </c>
      <c r="C2329" s="76" t="s">
        <v>766</v>
      </c>
      <c r="D2329" s="76" t="s">
        <v>485</v>
      </c>
      <c r="E2329" s="76"/>
      <c r="F2329" s="76" t="s">
        <v>777</v>
      </c>
      <c r="G2329" s="79">
        <v>18000</v>
      </c>
      <c r="H2329" s="76" t="s">
        <v>63</v>
      </c>
      <c r="I2329" s="76"/>
      <c r="J2329" s="76" t="s">
        <v>768</v>
      </c>
      <c r="K2329" s="79">
        <v>18000</v>
      </c>
      <c r="L2329" s="76" t="s">
        <v>769</v>
      </c>
      <c r="M2329" s="76" t="s">
        <v>1664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1657</v>
      </c>
    </row>
    <row r="2330" spans="1:19">
      <c r="A2330" s="114">
        <v>46297.615982916657</v>
      </c>
      <c r="B2330" s="78">
        <v>46296</v>
      </c>
      <c r="C2330" s="76" t="s">
        <v>175</v>
      </c>
      <c r="D2330" s="76" t="s">
        <v>22</v>
      </c>
      <c r="E2330" s="76"/>
      <c r="F2330" s="76" t="s">
        <v>1581</v>
      </c>
      <c r="G2330" s="79">
        <v>100</v>
      </c>
      <c r="H2330" s="76" t="s">
        <v>520</v>
      </c>
      <c r="I2330" s="76" t="s">
        <v>1665</v>
      </c>
      <c r="J2330" s="76" t="s">
        <v>824</v>
      </c>
      <c r="K2330" s="79">
        <v>100</v>
      </c>
      <c r="L2330" s="76" t="s">
        <v>769</v>
      </c>
      <c r="M2330" s="76" t="s">
        <v>1666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1661</v>
      </c>
    </row>
    <row r="2331" spans="1:19">
      <c r="A2331" s="114">
        <v>46297.616675543977</v>
      </c>
      <c r="B2331" s="78">
        <v>46296</v>
      </c>
      <c r="C2331" s="76" t="s">
        <v>780</v>
      </c>
      <c r="D2331" s="76" t="s">
        <v>576</v>
      </c>
      <c r="E2331" s="76"/>
      <c r="F2331" s="76" t="s">
        <v>576</v>
      </c>
      <c r="G2331" s="79">
        <v>5000</v>
      </c>
      <c r="H2331" s="76" t="s">
        <v>63</v>
      </c>
      <c r="I2331" s="76"/>
      <c r="J2331" s="76" t="s">
        <v>778</v>
      </c>
      <c r="K2331" s="79">
        <v>5000</v>
      </c>
      <c r="L2331" s="76" t="s">
        <v>769</v>
      </c>
      <c r="M2331" s="76" t="s">
        <v>1667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1657</v>
      </c>
    </row>
    <row r="2332" spans="1:19">
      <c r="A2332" s="114">
        <v>46297.616676770827</v>
      </c>
      <c r="B2332" s="78">
        <v>46296</v>
      </c>
      <c r="C2332" s="76" t="s">
        <v>780</v>
      </c>
      <c r="D2332" s="76" t="s">
        <v>575</v>
      </c>
      <c r="E2332" s="76" t="s">
        <v>885</v>
      </c>
      <c r="F2332" s="76" t="s">
        <v>773</v>
      </c>
      <c r="G2332" s="79">
        <v>13600</v>
      </c>
      <c r="H2332" s="76" t="s">
        <v>63</v>
      </c>
      <c r="I2332" s="76"/>
      <c r="J2332" s="76" t="s">
        <v>775</v>
      </c>
      <c r="K2332" s="79">
        <v>13600</v>
      </c>
      <c r="L2332" s="76" t="s">
        <v>769</v>
      </c>
      <c r="M2332" s="76" t="s">
        <v>1668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1657</v>
      </c>
    </row>
    <row r="2333" spans="1:19">
      <c r="A2333" s="114">
        <v>46297.61736851852</v>
      </c>
      <c r="B2333" s="78">
        <v>46296</v>
      </c>
      <c r="C2333" s="76" t="s">
        <v>199</v>
      </c>
      <c r="D2333" s="76" t="s">
        <v>912</v>
      </c>
      <c r="E2333" s="76" t="s">
        <v>1190</v>
      </c>
      <c r="F2333" s="76" t="s">
        <v>1669</v>
      </c>
      <c r="G2333" s="79">
        <v>30000</v>
      </c>
      <c r="H2333" s="76" t="s">
        <v>63</v>
      </c>
      <c r="I2333" s="76" t="s">
        <v>1670</v>
      </c>
      <c r="J2333" s="76" t="s">
        <v>783</v>
      </c>
      <c r="K2333" s="79">
        <v>15000</v>
      </c>
      <c r="L2333" s="76" t="s">
        <v>199</v>
      </c>
      <c r="M2333" s="76" t="s">
        <v>1671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1661</v>
      </c>
    </row>
    <row r="2334" spans="1:19">
      <c r="A2334" s="114">
        <v>46297.622223078703</v>
      </c>
      <c r="B2334" s="78">
        <v>46296</v>
      </c>
      <c r="C2334" s="76" t="s">
        <v>163</v>
      </c>
      <c r="D2334" s="76" t="s">
        <v>575</v>
      </c>
      <c r="E2334" s="76" t="s">
        <v>781</v>
      </c>
      <c r="F2334" s="76" t="s">
        <v>200</v>
      </c>
      <c r="G2334" s="79">
        <v>11900</v>
      </c>
      <c r="H2334" s="76" t="s">
        <v>63</v>
      </c>
      <c r="I2334" s="76"/>
      <c r="J2334" s="76" t="s">
        <v>775</v>
      </c>
      <c r="K2334" s="79">
        <v>11900</v>
      </c>
      <c r="L2334" s="76" t="s">
        <v>769</v>
      </c>
      <c r="M2334" s="76" t="s">
        <v>1672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1673</v>
      </c>
      <c r="S2334" s="76" t="s">
        <v>62</v>
      </c>
    </row>
    <row r="2335" spans="1:19">
      <c r="A2335" s="114">
        <v>46297.622917986111</v>
      </c>
      <c r="B2335" s="78">
        <v>46296</v>
      </c>
      <c r="C2335" s="76" t="s">
        <v>181</v>
      </c>
      <c r="D2335" s="76" t="s">
        <v>22</v>
      </c>
      <c r="E2335" s="76"/>
      <c r="F2335" s="76" t="s">
        <v>934</v>
      </c>
      <c r="G2335" s="79">
        <v>1</v>
      </c>
      <c r="H2335" s="76" t="s">
        <v>520</v>
      </c>
      <c r="I2335" s="76"/>
      <c r="J2335" s="76" t="s">
        <v>824</v>
      </c>
      <c r="K2335" s="79">
        <v>1</v>
      </c>
      <c r="L2335" s="76" t="s">
        <v>769</v>
      </c>
      <c r="M2335" s="76" t="s">
        <v>1674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1661</v>
      </c>
    </row>
    <row r="2336" spans="1:19">
      <c r="A2336" s="114">
        <v>46297.622927418983</v>
      </c>
      <c r="B2336" s="78">
        <v>46296</v>
      </c>
      <c r="C2336" s="76" t="s">
        <v>196</v>
      </c>
      <c r="D2336" s="76" t="s">
        <v>22</v>
      </c>
      <c r="E2336" s="76"/>
      <c r="F2336" s="76" t="s">
        <v>934</v>
      </c>
      <c r="G2336" s="79">
        <v>1</v>
      </c>
      <c r="H2336" s="76" t="s">
        <v>520</v>
      </c>
      <c r="I2336" s="76"/>
      <c r="J2336" s="76" t="s">
        <v>824</v>
      </c>
      <c r="K2336" s="79">
        <v>1</v>
      </c>
      <c r="L2336" s="76" t="s">
        <v>769</v>
      </c>
      <c r="M2336" s="76" t="s">
        <v>1675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1661</v>
      </c>
    </row>
    <row r="2337" spans="1:19">
      <c r="A2337" s="114">
        <v>46298.618056574072</v>
      </c>
      <c r="B2337" s="78">
        <v>46296</v>
      </c>
      <c r="C2337" s="76" t="s">
        <v>199</v>
      </c>
      <c r="D2337" s="76" t="s">
        <v>912</v>
      </c>
      <c r="E2337" s="76" t="s">
        <v>1190</v>
      </c>
      <c r="F2337" s="76" t="s">
        <v>1669</v>
      </c>
      <c r="G2337" s="79">
        <v>7000</v>
      </c>
      <c r="H2337" s="76" t="s">
        <v>63</v>
      </c>
      <c r="I2337" s="76" t="s">
        <v>1068</v>
      </c>
      <c r="J2337" s="76" t="s">
        <v>783</v>
      </c>
      <c r="K2337" s="79">
        <v>3500</v>
      </c>
      <c r="L2337" s="76" t="s">
        <v>199</v>
      </c>
      <c r="M2337" s="76" t="s">
        <v>1676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1661</v>
      </c>
    </row>
    <row r="2338" spans="1:19">
      <c r="A2338" s="114">
        <v>46298.618057094907</v>
      </c>
      <c r="B2338" s="78">
        <v>46296</v>
      </c>
      <c r="C2338" s="76" t="s">
        <v>199</v>
      </c>
      <c r="D2338" s="76" t="s">
        <v>912</v>
      </c>
      <c r="E2338" s="76" t="s">
        <v>1190</v>
      </c>
      <c r="F2338" s="76" t="s">
        <v>1677</v>
      </c>
      <c r="G2338" s="79">
        <v>56000</v>
      </c>
      <c r="H2338" s="76" t="s">
        <v>63</v>
      </c>
      <c r="I2338" s="76" t="s">
        <v>1678</v>
      </c>
      <c r="J2338" s="76" t="s">
        <v>783</v>
      </c>
      <c r="K2338" s="79">
        <v>28000</v>
      </c>
      <c r="L2338" s="76" t="s">
        <v>199</v>
      </c>
      <c r="M2338" s="76" t="s">
        <v>1679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1661</v>
      </c>
    </row>
    <row r="2339" spans="1:19">
      <c r="A2339" s="114">
        <v>46298.618060671302</v>
      </c>
      <c r="B2339" s="78">
        <v>46296</v>
      </c>
      <c r="C2339" s="76" t="s">
        <v>199</v>
      </c>
      <c r="D2339" s="76" t="s">
        <v>912</v>
      </c>
      <c r="E2339" s="76" t="s">
        <v>1190</v>
      </c>
      <c r="F2339" s="76" t="s">
        <v>1680</v>
      </c>
      <c r="G2339" s="79">
        <v>88500</v>
      </c>
      <c r="H2339" s="76" t="s">
        <v>63</v>
      </c>
      <c r="I2339" s="76" t="s">
        <v>1678</v>
      </c>
      <c r="J2339" s="76" t="s">
        <v>783</v>
      </c>
      <c r="K2339" s="79">
        <v>44250</v>
      </c>
      <c r="L2339" s="76" t="s">
        <v>199</v>
      </c>
      <c r="M2339" s="76" t="s">
        <v>1681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1661</v>
      </c>
    </row>
    <row r="2340" spans="1:19">
      <c r="A2340" s="114">
        <v>46298.61806306713</v>
      </c>
      <c r="B2340" s="78">
        <v>46296</v>
      </c>
      <c r="C2340" s="76" t="s">
        <v>199</v>
      </c>
      <c r="D2340" s="76" t="s">
        <v>912</v>
      </c>
      <c r="E2340" s="76" t="s">
        <v>1190</v>
      </c>
      <c r="F2340" s="76" t="s">
        <v>1682</v>
      </c>
      <c r="G2340" s="79">
        <v>21000</v>
      </c>
      <c r="H2340" s="76" t="s">
        <v>63</v>
      </c>
      <c r="I2340" s="76" t="s">
        <v>1678</v>
      </c>
      <c r="J2340" s="76" t="s">
        <v>783</v>
      </c>
      <c r="K2340" s="79">
        <v>10500</v>
      </c>
      <c r="L2340" s="76" t="s">
        <v>199</v>
      </c>
      <c r="M2340" s="76" t="s">
        <v>1683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1661</v>
      </c>
    </row>
    <row r="2341" spans="1:19">
      <c r="A2341" s="114">
        <v>46298.618063368063</v>
      </c>
      <c r="B2341" s="78">
        <v>46296</v>
      </c>
      <c r="C2341" s="76" t="s">
        <v>199</v>
      </c>
      <c r="D2341" s="76" t="s">
        <v>912</v>
      </c>
      <c r="E2341" s="76" t="s">
        <v>1190</v>
      </c>
      <c r="F2341" s="76" t="s">
        <v>1684</v>
      </c>
      <c r="G2341" s="79">
        <v>5000</v>
      </c>
      <c r="H2341" s="76" t="s">
        <v>63</v>
      </c>
      <c r="I2341" s="76" t="s">
        <v>1678</v>
      </c>
      <c r="J2341" s="76" t="s">
        <v>783</v>
      </c>
      <c r="K2341" s="79">
        <v>2500</v>
      </c>
      <c r="L2341" s="76" t="s">
        <v>199</v>
      </c>
      <c r="M2341" s="76" t="s">
        <v>1685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1661</v>
      </c>
    </row>
    <row r="2342" spans="1:19">
      <c r="A2342" s="114">
        <v>46298.618064803239</v>
      </c>
      <c r="B2342" s="78">
        <v>46296</v>
      </c>
      <c r="C2342" s="76" t="s">
        <v>199</v>
      </c>
      <c r="D2342" s="76" t="s">
        <v>912</v>
      </c>
      <c r="E2342" s="76" t="s">
        <v>1190</v>
      </c>
      <c r="F2342" s="76" t="s">
        <v>1686</v>
      </c>
      <c r="G2342" s="79">
        <v>14600</v>
      </c>
      <c r="H2342" s="76" t="s">
        <v>63</v>
      </c>
      <c r="I2342" s="76" t="s">
        <v>1678</v>
      </c>
      <c r="J2342" s="76" t="s">
        <v>783</v>
      </c>
      <c r="K2342" s="79">
        <v>7300</v>
      </c>
      <c r="L2342" s="76" t="s">
        <v>199</v>
      </c>
      <c r="M2342" s="76" t="s">
        <v>1687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1661</v>
      </c>
    </row>
    <row r="2343" spans="1:19">
      <c r="A2343" s="114">
        <v>46298.618065740739</v>
      </c>
      <c r="B2343" s="78">
        <v>46296</v>
      </c>
      <c r="C2343" s="76" t="s">
        <v>199</v>
      </c>
      <c r="D2343" s="76" t="s">
        <v>22</v>
      </c>
      <c r="E2343" s="76"/>
      <c r="F2343" s="76" t="s">
        <v>1311</v>
      </c>
      <c r="G2343" s="79">
        <v>500</v>
      </c>
      <c r="H2343" s="76" t="s">
        <v>520</v>
      </c>
      <c r="I2343" s="76"/>
      <c r="J2343" s="76" t="s">
        <v>824</v>
      </c>
      <c r="K2343" s="79">
        <v>250</v>
      </c>
      <c r="L2343" s="76" t="s">
        <v>199</v>
      </c>
      <c r="M2343" s="76" t="s">
        <v>1688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1661</v>
      </c>
    </row>
    <row r="2344" spans="1:19">
      <c r="A2344" s="114">
        <v>46298.619447199068</v>
      </c>
      <c r="B2344" s="78">
        <v>46296</v>
      </c>
      <c r="C2344" s="76" t="s">
        <v>199</v>
      </c>
      <c r="D2344" s="76" t="s">
        <v>912</v>
      </c>
      <c r="E2344" s="76" t="s">
        <v>1190</v>
      </c>
      <c r="F2344" s="76" t="s">
        <v>1117</v>
      </c>
      <c r="G2344" s="79">
        <v>4300</v>
      </c>
      <c r="H2344" s="76" t="s">
        <v>63</v>
      </c>
      <c r="I2344" s="76" t="s">
        <v>1061</v>
      </c>
      <c r="J2344" s="76" t="s">
        <v>783</v>
      </c>
      <c r="K2344" s="79">
        <v>2150</v>
      </c>
      <c r="L2344" s="76" t="s">
        <v>199</v>
      </c>
      <c r="M2344" s="76" t="s">
        <v>1689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1661</v>
      </c>
    </row>
    <row r="2345" spans="1:19">
      <c r="A2345" s="114">
        <v>46298.623618969898</v>
      </c>
      <c r="B2345" s="78">
        <v>46296</v>
      </c>
      <c r="C2345" s="76" t="s">
        <v>780</v>
      </c>
      <c r="D2345" s="76" t="s">
        <v>576</v>
      </c>
      <c r="E2345" s="76"/>
      <c r="F2345" s="76" t="s">
        <v>576</v>
      </c>
      <c r="G2345" s="79">
        <v>5000</v>
      </c>
      <c r="H2345" s="76" t="s">
        <v>63</v>
      </c>
      <c r="I2345" s="76"/>
      <c r="J2345" s="76" t="s">
        <v>778</v>
      </c>
      <c r="K2345" s="79">
        <v>5000</v>
      </c>
      <c r="L2345" s="76" t="s">
        <v>769</v>
      </c>
      <c r="M2345" s="76" t="s">
        <v>1690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1657</v>
      </c>
    </row>
    <row r="2346" spans="1:19">
      <c r="A2346" s="114">
        <v>46298.623621192128</v>
      </c>
      <c r="B2346" s="78">
        <v>46296</v>
      </c>
      <c r="C2346" s="76" t="s">
        <v>175</v>
      </c>
      <c r="D2346" s="76" t="s">
        <v>22</v>
      </c>
      <c r="E2346" s="76"/>
      <c r="F2346" s="76" t="s">
        <v>1581</v>
      </c>
      <c r="G2346" s="79">
        <v>100</v>
      </c>
      <c r="H2346" s="76" t="s">
        <v>520</v>
      </c>
      <c r="I2346" s="76" t="s">
        <v>1665</v>
      </c>
      <c r="J2346" s="76" t="s">
        <v>824</v>
      </c>
      <c r="K2346" s="79">
        <v>100</v>
      </c>
      <c r="L2346" s="76" t="s">
        <v>769</v>
      </c>
      <c r="M2346" s="76" t="s">
        <v>1691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1661</v>
      </c>
    </row>
    <row r="2347" spans="1:19">
      <c r="A2347" s="114">
        <v>46299.620147118047</v>
      </c>
      <c r="B2347" s="78">
        <v>46296</v>
      </c>
      <c r="C2347" s="76" t="s">
        <v>163</v>
      </c>
      <c r="D2347" s="76" t="s">
        <v>1279</v>
      </c>
      <c r="E2347" s="76"/>
      <c r="F2347" s="76" t="s">
        <v>921</v>
      </c>
      <c r="G2347" s="79">
        <v>50000</v>
      </c>
      <c r="H2347" s="76" t="s">
        <v>1579</v>
      </c>
      <c r="I2347" s="76" t="s">
        <v>1692</v>
      </c>
      <c r="J2347" s="76" t="s">
        <v>836</v>
      </c>
      <c r="K2347" s="79">
        <v>50000</v>
      </c>
      <c r="L2347" s="76" t="s">
        <v>769</v>
      </c>
      <c r="M2347" s="76" t="s">
        <v>1693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1673</v>
      </c>
      <c r="S2347" s="76" t="s">
        <v>807</v>
      </c>
    </row>
    <row r="2348" spans="1:19">
      <c r="A2348" s="114">
        <v>46299.620147997688</v>
      </c>
      <c r="B2348" s="78">
        <v>46296</v>
      </c>
      <c r="C2348" s="76" t="s">
        <v>199</v>
      </c>
      <c r="D2348" s="76" t="s">
        <v>821</v>
      </c>
      <c r="E2348" s="76"/>
      <c r="F2348" s="76" t="s">
        <v>858</v>
      </c>
      <c r="G2348" s="79">
        <v>50000</v>
      </c>
      <c r="H2348" s="76" t="s">
        <v>520</v>
      </c>
      <c r="I2348" s="76" t="s">
        <v>1692</v>
      </c>
      <c r="J2348" s="76" t="s">
        <v>805</v>
      </c>
      <c r="K2348" s="79">
        <v>25000</v>
      </c>
      <c r="L2348" s="76" t="s">
        <v>199</v>
      </c>
      <c r="M2348" s="76" t="s">
        <v>1694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1661</v>
      </c>
    </row>
    <row r="2349" spans="1:19">
      <c r="A2349" s="114">
        <v>46299.620834421286</v>
      </c>
      <c r="B2349" s="78">
        <v>46296</v>
      </c>
      <c r="C2349" s="76" t="s">
        <v>199</v>
      </c>
      <c r="D2349" s="76" t="s">
        <v>912</v>
      </c>
      <c r="E2349" s="76" t="s">
        <v>1190</v>
      </c>
      <c r="F2349" s="76" t="s">
        <v>1695</v>
      </c>
      <c r="G2349" s="79">
        <v>42500</v>
      </c>
      <c r="H2349" s="76" t="s">
        <v>63</v>
      </c>
      <c r="I2349" s="76" t="s">
        <v>1696</v>
      </c>
      <c r="J2349" s="76" t="s">
        <v>783</v>
      </c>
      <c r="K2349" s="79">
        <v>21250</v>
      </c>
      <c r="L2349" s="76" t="s">
        <v>199</v>
      </c>
      <c r="M2349" s="76" t="s">
        <v>1697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1661</v>
      </c>
    </row>
    <row r="2350" spans="1:19">
      <c r="A2350" s="114">
        <v>46299.620839131952</v>
      </c>
      <c r="B2350" s="78">
        <v>46296</v>
      </c>
      <c r="C2350" s="76" t="s">
        <v>199</v>
      </c>
      <c r="D2350" s="76" t="s">
        <v>912</v>
      </c>
      <c r="E2350" s="76" t="s">
        <v>1190</v>
      </c>
      <c r="F2350" s="76" t="s">
        <v>1698</v>
      </c>
      <c r="G2350" s="79">
        <v>11430</v>
      </c>
      <c r="H2350" s="76" t="s">
        <v>63</v>
      </c>
      <c r="I2350" s="76" t="s">
        <v>1359</v>
      </c>
      <c r="J2350" s="76" t="s">
        <v>783</v>
      </c>
      <c r="K2350" s="79">
        <v>5715</v>
      </c>
      <c r="L2350" s="76" t="s">
        <v>199</v>
      </c>
      <c r="M2350" s="76" t="s">
        <v>1699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1661</v>
      </c>
    </row>
    <row r="2351" spans="1:19">
      <c r="A2351" s="114">
        <v>46299.623615694443</v>
      </c>
      <c r="B2351" s="78">
        <v>46296</v>
      </c>
      <c r="C2351" s="76" t="s">
        <v>766</v>
      </c>
      <c r="D2351" s="76" t="s">
        <v>485</v>
      </c>
      <c r="E2351" s="76"/>
      <c r="F2351" s="76" t="s">
        <v>1700</v>
      </c>
      <c r="G2351" s="79">
        <v>45267</v>
      </c>
      <c r="H2351" s="76" t="s">
        <v>63</v>
      </c>
      <c r="I2351" s="76" t="s">
        <v>1701</v>
      </c>
      <c r="J2351" s="76" t="s">
        <v>768</v>
      </c>
      <c r="K2351" s="79">
        <v>45267</v>
      </c>
      <c r="L2351" s="76" t="s">
        <v>769</v>
      </c>
      <c r="M2351" s="76" t="s">
        <v>1702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1657</v>
      </c>
    </row>
    <row r="2352" spans="1:19">
      <c r="A2352" s="114">
        <v>46299.62430959491</v>
      </c>
      <c r="B2352" s="78">
        <v>46296</v>
      </c>
      <c r="C2352" s="76" t="s">
        <v>766</v>
      </c>
      <c r="D2352" s="76" t="s">
        <v>942</v>
      </c>
      <c r="E2352" s="76"/>
      <c r="F2352" s="76" t="s">
        <v>1094</v>
      </c>
      <c r="G2352" s="79">
        <v>42800</v>
      </c>
      <c r="H2352" s="76" t="s">
        <v>63</v>
      </c>
      <c r="I2352" s="76" t="s">
        <v>1703</v>
      </c>
      <c r="J2352" s="76" t="s">
        <v>775</v>
      </c>
      <c r="K2352" s="79">
        <v>42800</v>
      </c>
      <c r="L2352" s="76" t="s">
        <v>769</v>
      </c>
      <c r="M2352" s="76" t="s">
        <v>1704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1657</v>
      </c>
    </row>
    <row r="2353" spans="1:18">
      <c r="A2353" s="114">
        <v>46299.625004988433</v>
      </c>
      <c r="B2353" s="78">
        <v>46296</v>
      </c>
      <c r="C2353" s="76" t="s">
        <v>766</v>
      </c>
      <c r="D2353" s="76" t="s">
        <v>485</v>
      </c>
      <c r="E2353" s="76"/>
      <c r="F2353" s="76" t="s">
        <v>691</v>
      </c>
      <c r="G2353" s="79">
        <v>4900</v>
      </c>
      <c r="H2353" s="76" t="s">
        <v>63</v>
      </c>
      <c r="I2353" s="76" t="s">
        <v>810</v>
      </c>
      <c r="J2353" s="76" t="s">
        <v>768</v>
      </c>
      <c r="K2353" s="79">
        <v>4900</v>
      </c>
      <c r="L2353" s="76" t="s">
        <v>769</v>
      </c>
      <c r="M2353" s="76" t="s">
        <v>1705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1657</v>
      </c>
    </row>
    <row r="2354" spans="1:18">
      <c r="A2354" s="114">
        <v>46299.626390810183</v>
      </c>
      <c r="B2354" s="78">
        <v>46296</v>
      </c>
      <c r="C2354" s="76" t="s">
        <v>780</v>
      </c>
      <c r="D2354" s="76" t="s">
        <v>840</v>
      </c>
      <c r="E2354" s="76" t="s">
        <v>1596</v>
      </c>
      <c r="F2354" s="76" t="s">
        <v>1403</v>
      </c>
      <c r="G2354" s="79">
        <v>6000</v>
      </c>
      <c r="H2354" s="76" t="s">
        <v>63</v>
      </c>
      <c r="I2354" s="76" t="s">
        <v>1706</v>
      </c>
      <c r="J2354" s="76" t="s">
        <v>787</v>
      </c>
      <c r="K2354" s="79">
        <v>6000</v>
      </c>
      <c r="L2354" s="76" t="s">
        <v>769</v>
      </c>
      <c r="M2354" s="76" t="s">
        <v>1707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1657</v>
      </c>
    </row>
    <row r="2355" spans="1:18">
      <c r="A2355" s="114">
        <v>46299.626394837956</v>
      </c>
      <c r="B2355" s="78">
        <v>46296</v>
      </c>
      <c r="C2355" s="76" t="s">
        <v>766</v>
      </c>
      <c r="D2355" s="76" t="s">
        <v>485</v>
      </c>
      <c r="E2355" s="76"/>
      <c r="F2355" s="76" t="s">
        <v>808</v>
      </c>
      <c r="G2355" s="79">
        <v>8965</v>
      </c>
      <c r="H2355" s="76" t="s">
        <v>63</v>
      </c>
      <c r="I2355" s="76"/>
      <c r="J2355" s="76" t="s">
        <v>768</v>
      </c>
      <c r="K2355" s="79">
        <v>8965</v>
      </c>
      <c r="L2355" s="76" t="s">
        <v>769</v>
      </c>
      <c r="M2355" s="76" t="s">
        <v>1708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1657</v>
      </c>
    </row>
    <row r="2356" spans="1:18">
      <c r="A2356" s="114">
        <v>46299.627083854168</v>
      </c>
      <c r="B2356" s="78">
        <v>46296</v>
      </c>
      <c r="C2356" s="76" t="s">
        <v>780</v>
      </c>
      <c r="D2356" s="76" t="s">
        <v>796</v>
      </c>
      <c r="E2356" s="76"/>
      <c r="F2356" s="76" t="s">
        <v>1573</v>
      </c>
      <c r="G2356" s="79">
        <v>39800</v>
      </c>
      <c r="H2356" s="76" t="s">
        <v>63</v>
      </c>
      <c r="I2356" s="76"/>
      <c r="J2356" s="76" t="s">
        <v>775</v>
      </c>
      <c r="K2356" s="79">
        <v>39800</v>
      </c>
      <c r="L2356" s="76" t="s">
        <v>769</v>
      </c>
      <c r="M2356" s="76" t="s">
        <v>1709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1657</v>
      </c>
    </row>
    <row r="2357" spans="1:18">
      <c r="A2357" s="114">
        <v>46299.62777958333</v>
      </c>
      <c r="B2357" s="78">
        <v>46296</v>
      </c>
      <c r="C2357" s="76" t="s">
        <v>780</v>
      </c>
      <c r="D2357" s="76" t="s">
        <v>575</v>
      </c>
      <c r="E2357" s="76" t="s">
        <v>772</v>
      </c>
      <c r="F2357" s="76" t="s">
        <v>1595</v>
      </c>
      <c r="G2357" s="79">
        <v>2790</v>
      </c>
      <c r="H2357" s="76" t="s">
        <v>63</v>
      </c>
      <c r="I2357" s="76" t="s">
        <v>1710</v>
      </c>
      <c r="J2357" s="76" t="s">
        <v>775</v>
      </c>
      <c r="K2357" s="79">
        <v>2790</v>
      </c>
      <c r="L2357" s="76" t="s">
        <v>769</v>
      </c>
      <c r="M2357" s="76" t="s">
        <v>1711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1657</v>
      </c>
    </row>
    <row r="2358" spans="1:18">
      <c r="A2358" s="114">
        <v>46299.627781712959</v>
      </c>
      <c r="B2358" s="78">
        <v>46296</v>
      </c>
      <c r="C2358" s="76" t="s">
        <v>780</v>
      </c>
      <c r="D2358" s="76" t="s">
        <v>575</v>
      </c>
      <c r="E2358" s="76" t="s">
        <v>772</v>
      </c>
      <c r="F2358" s="76" t="s">
        <v>1057</v>
      </c>
      <c r="G2358" s="79">
        <v>3600</v>
      </c>
      <c r="H2358" s="76" t="s">
        <v>63</v>
      </c>
      <c r="I2358" s="76" t="s">
        <v>1633</v>
      </c>
      <c r="J2358" s="76" t="s">
        <v>775</v>
      </c>
      <c r="K2358" s="79">
        <v>3600</v>
      </c>
      <c r="L2358" s="76" t="s">
        <v>769</v>
      </c>
      <c r="M2358" s="76" t="s">
        <v>1712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1657</v>
      </c>
    </row>
    <row r="2359" spans="1:18">
      <c r="A2359" s="114">
        <v>46299.627787557867</v>
      </c>
      <c r="B2359" s="78">
        <v>46296</v>
      </c>
      <c r="C2359" s="76" t="s">
        <v>175</v>
      </c>
      <c r="D2359" s="76" t="s">
        <v>22</v>
      </c>
      <c r="E2359" s="76"/>
      <c r="F2359" s="76" t="s">
        <v>1581</v>
      </c>
      <c r="G2359" s="79">
        <v>100</v>
      </c>
      <c r="H2359" s="76" t="s">
        <v>520</v>
      </c>
      <c r="I2359" s="76" t="s">
        <v>1665</v>
      </c>
      <c r="J2359" s="76" t="s">
        <v>824</v>
      </c>
      <c r="K2359" s="79">
        <v>100</v>
      </c>
      <c r="L2359" s="76" t="s">
        <v>769</v>
      </c>
      <c r="M2359" s="76" t="s">
        <v>1713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1661</v>
      </c>
    </row>
    <row r="2360" spans="1:18">
      <c r="A2360" s="114">
        <v>46299.628480254629</v>
      </c>
      <c r="B2360" s="78">
        <v>46296</v>
      </c>
      <c r="C2360" s="76" t="s">
        <v>780</v>
      </c>
      <c r="D2360" s="76" t="s">
        <v>796</v>
      </c>
      <c r="E2360" s="76"/>
      <c r="F2360" s="76" t="s">
        <v>773</v>
      </c>
      <c r="G2360" s="79">
        <v>11900</v>
      </c>
      <c r="H2360" s="76" t="s">
        <v>63</v>
      </c>
      <c r="I2360" s="76" t="s">
        <v>1714</v>
      </c>
      <c r="J2360" s="76" t="s">
        <v>775</v>
      </c>
      <c r="K2360" s="79">
        <v>11900</v>
      </c>
      <c r="L2360" s="76" t="s">
        <v>769</v>
      </c>
      <c r="M2360" s="76" t="s">
        <v>1715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1657</v>
      </c>
    </row>
    <row r="2361" spans="1:18">
      <c r="A2361" s="114">
        <v>46299.628481134263</v>
      </c>
      <c r="B2361" s="78">
        <v>46296</v>
      </c>
      <c r="C2361" s="76" t="s">
        <v>780</v>
      </c>
      <c r="D2361" s="76" t="s">
        <v>575</v>
      </c>
      <c r="E2361" s="76" t="s">
        <v>772</v>
      </c>
      <c r="F2361" s="76" t="s">
        <v>773</v>
      </c>
      <c r="G2361" s="79">
        <v>6000</v>
      </c>
      <c r="H2361" s="76" t="s">
        <v>63</v>
      </c>
      <c r="I2361" s="76" t="s">
        <v>859</v>
      </c>
      <c r="J2361" s="76" t="s">
        <v>775</v>
      </c>
      <c r="K2361" s="79">
        <v>6000</v>
      </c>
      <c r="L2361" s="76" t="s">
        <v>769</v>
      </c>
      <c r="M2361" s="76" t="s">
        <v>1716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1657</v>
      </c>
    </row>
    <row r="2362" spans="1:18">
      <c r="A2362" s="114">
        <v>46300.022222222222</v>
      </c>
      <c r="B2362" s="78">
        <v>46296</v>
      </c>
      <c r="C2362" s="76" t="s">
        <v>780</v>
      </c>
      <c r="D2362" s="76" t="s">
        <v>811</v>
      </c>
      <c r="E2362" s="76"/>
      <c r="F2362" s="76" t="s">
        <v>1717</v>
      </c>
      <c r="G2362" s="79">
        <v>10200</v>
      </c>
      <c r="H2362" s="76" t="s">
        <v>63</v>
      </c>
      <c r="I2362" s="76" t="s">
        <v>619</v>
      </c>
      <c r="J2362" s="76" t="s">
        <v>768</v>
      </c>
      <c r="K2362" s="79">
        <v>10200</v>
      </c>
      <c r="L2362" s="76" t="s">
        <v>769</v>
      </c>
      <c r="M2362" s="76" t="s">
        <v>1718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1657</v>
      </c>
    </row>
    <row r="2363" spans="1:18">
      <c r="A2363" s="114">
        <v>46300.629175821763</v>
      </c>
      <c r="B2363" s="78">
        <v>46296</v>
      </c>
      <c r="C2363" s="76" t="s">
        <v>852</v>
      </c>
      <c r="D2363" s="76" t="s">
        <v>796</v>
      </c>
      <c r="E2363" s="76"/>
      <c r="F2363" s="76" t="s">
        <v>488</v>
      </c>
      <c r="G2363" s="79">
        <v>17460</v>
      </c>
      <c r="H2363" s="76" t="s">
        <v>63</v>
      </c>
      <c r="I2363" s="76" t="s">
        <v>1719</v>
      </c>
      <c r="J2363" s="76" t="s">
        <v>775</v>
      </c>
      <c r="K2363" s="79">
        <v>17460</v>
      </c>
      <c r="L2363" s="76" t="s">
        <v>769</v>
      </c>
      <c r="M2363" s="76" t="s">
        <v>1720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1657</v>
      </c>
    </row>
    <row r="2364" spans="1:18">
      <c r="A2364" s="114">
        <v>46300.62986385417</v>
      </c>
      <c r="B2364" s="78">
        <v>46296</v>
      </c>
      <c r="C2364" s="76" t="s">
        <v>780</v>
      </c>
      <c r="D2364" s="76" t="s">
        <v>796</v>
      </c>
      <c r="E2364" s="76"/>
      <c r="F2364" s="76" t="s">
        <v>1105</v>
      </c>
      <c r="G2364" s="79">
        <v>15000</v>
      </c>
      <c r="H2364" s="76" t="s">
        <v>63</v>
      </c>
      <c r="I2364" s="76"/>
      <c r="J2364" s="76" t="s">
        <v>775</v>
      </c>
      <c r="K2364" s="79">
        <v>15000</v>
      </c>
      <c r="L2364" s="76" t="s">
        <v>769</v>
      </c>
      <c r="M2364" s="76" t="s">
        <v>1721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1657</v>
      </c>
    </row>
    <row r="2365" spans="1:18">
      <c r="A2365" s="114">
        <v>46300.629866979158</v>
      </c>
      <c r="B2365" s="78">
        <v>46296</v>
      </c>
      <c r="C2365" s="76" t="s">
        <v>780</v>
      </c>
      <c r="D2365" s="76" t="s">
        <v>906</v>
      </c>
      <c r="E2365" s="76"/>
      <c r="F2365" s="76" t="s">
        <v>1722</v>
      </c>
      <c r="G2365" s="79">
        <v>12900</v>
      </c>
      <c r="H2365" s="76" t="s">
        <v>63</v>
      </c>
      <c r="I2365" s="76" t="s">
        <v>1723</v>
      </c>
      <c r="J2365" s="76" t="s">
        <v>775</v>
      </c>
      <c r="K2365" s="79">
        <v>12900</v>
      </c>
      <c r="L2365" s="76" t="s">
        <v>769</v>
      </c>
      <c r="M2365" s="76" t="s">
        <v>1724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1657</v>
      </c>
    </row>
    <row r="2366" spans="1:18">
      <c r="A2366" s="114">
        <v>46300.6347337037</v>
      </c>
      <c r="B2366" s="78">
        <v>46296</v>
      </c>
      <c r="C2366" s="76" t="s">
        <v>852</v>
      </c>
      <c r="D2366" s="76" t="s">
        <v>575</v>
      </c>
      <c r="E2366" s="76" t="s">
        <v>772</v>
      </c>
      <c r="F2366" s="76" t="s">
        <v>974</v>
      </c>
      <c r="G2366" s="79">
        <v>4400</v>
      </c>
      <c r="H2366" s="76" t="s">
        <v>63</v>
      </c>
      <c r="I2366" s="76"/>
      <c r="J2366" s="76" t="s">
        <v>775</v>
      </c>
      <c r="K2366" s="79">
        <v>4400</v>
      </c>
      <c r="L2366" s="76" t="s">
        <v>769</v>
      </c>
      <c r="M2366" s="76" t="s">
        <v>1725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1657</v>
      </c>
    </row>
    <row r="2367" spans="1:18">
      <c r="A2367" s="114">
        <v>46300.638203958333</v>
      </c>
      <c r="B2367" s="78">
        <v>46296</v>
      </c>
      <c r="C2367" s="76" t="s">
        <v>766</v>
      </c>
      <c r="D2367" s="76" t="s">
        <v>811</v>
      </c>
      <c r="E2367" s="76"/>
      <c r="F2367" s="76" t="s">
        <v>825</v>
      </c>
      <c r="G2367" s="79">
        <v>71130</v>
      </c>
      <c r="H2367" s="76" t="s">
        <v>63</v>
      </c>
      <c r="I2367" s="76" t="s">
        <v>1726</v>
      </c>
      <c r="J2367" s="76" t="s">
        <v>795</v>
      </c>
      <c r="K2367" s="79">
        <v>71130</v>
      </c>
      <c r="L2367" s="76" t="s">
        <v>769</v>
      </c>
      <c r="M2367" s="76" t="s">
        <v>1727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1657</v>
      </c>
    </row>
    <row r="2368" spans="1:18">
      <c r="A2368" s="114">
        <v>46300.860425555547</v>
      </c>
      <c r="B2368" s="78">
        <v>46296</v>
      </c>
      <c r="C2368" s="76" t="s">
        <v>175</v>
      </c>
      <c r="D2368" s="76" t="s">
        <v>22</v>
      </c>
      <c r="E2368" s="76"/>
      <c r="F2368" s="76" t="s">
        <v>1581</v>
      </c>
      <c r="G2368" s="79">
        <v>100</v>
      </c>
      <c r="H2368" s="76" t="s">
        <v>520</v>
      </c>
      <c r="I2368" s="76" t="s">
        <v>1665</v>
      </c>
      <c r="J2368" s="76" t="s">
        <v>824</v>
      </c>
      <c r="K2368" s="79">
        <v>100</v>
      </c>
      <c r="L2368" s="76" t="s">
        <v>769</v>
      </c>
      <c r="M2368" s="76" t="s">
        <v>1728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1661</v>
      </c>
    </row>
    <row r="2369" spans="1:18">
      <c r="A2369" s="114">
        <v>46300.860427546293</v>
      </c>
      <c r="B2369" s="78">
        <v>46296</v>
      </c>
      <c r="C2369" s="76" t="s">
        <v>852</v>
      </c>
      <c r="D2369" s="76" t="s">
        <v>575</v>
      </c>
      <c r="E2369" s="76" t="s">
        <v>785</v>
      </c>
      <c r="F2369" s="76" t="s">
        <v>488</v>
      </c>
      <c r="G2369" s="79">
        <v>60660</v>
      </c>
      <c r="H2369" s="76" t="s">
        <v>63</v>
      </c>
      <c r="I2369" s="76" t="s">
        <v>786</v>
      </c>
      <c r="J2369" s="76" t="s">
        <v>775</v>
      </c>
      <c r="K2369" s="79">
        <v>60660</v>
      </c>
      <c r="L2369" s="76" t="s">
        <v>769</v>
      </c>
      <c r="M2369" s="76" t="s">
        <v>1729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1657</v>
      </c>
    </row>
    <row r="2370" spans="1:18">
      <c r="A2370" s="114">
        <v>46301.861809097223</v>
      </c>
      <c r="B2370" s="78">
        <v>46296</v>
      </c>
      <c r="C2370" s="76" t="s">
        <v>852</v>
      </c>
      <c r="D2370" s="76" t="s">
        <v>796</v>
      </c>
      <c r="E2370" s="76"/>
      <c r="F2370" s="76" t="s">
        <v>488</v>
      </c>
      <c r="G2370" s="79">
        <v>49410</v>
      </c>
      <c r="H2370" s="76" t="s">
        <v>63</v>
      </c>
      <c r="I2370" s="76" t="s">
        <v>1730</v>
      </c>
      <c r="J2370" s="76" t="s">
        <v>775</v>
      </c>
      <c r="K2370" s="79">
        <v>49410</v>
      </c>
      <c r="L2370" s="76" t="s">
        <v>769</v>
      </c>
      <c r="M2370" s="76" t="s">
        <v>1731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1657</v>
      </c>
    </row>
    <row r="2371" spans="1:18">
      <c r="A2371" s="114">
        <v>46301.862507731479</v>
      </c>
      <c r="B2371" s="78">
        <v>46296</v>
      </c>
      <c r="C2371" s="76" t="s">
        <v>766</v>
      </c>
      <c r="D2371" s="76" t="s">
        <v>946</v>
      </c>
      <c r="E2371" s="76"/>
      <c r="F2371" s="76" t="s">
        <v>1082</v>
      </c>
      <c r="G2371" s="79">
        <v>14900</v>
      </c>
      <c r="H2371" s="76" t="s">
        <v>63</v>
      </c>
      <c r="I2371" s="76" t="s">
        <v>1732</v>
      </c>
      <c r="J2371" s="76" t="s">
        <v>775</v>
      </c>
      <c r="K2371" s="79">
        <v>14900</v>
      </c>
      <c r="L2371" s="76" t="s">
        <v>769</v>
      </c>
      <c r="M2371" s="76" t="s">
        <v>1733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1657</v>
      </c>
    </row>
    <row r="2372" spans="1:18">
      <c r="A2372" s="114">
        <v>46301.86319935185</v>
      </c>
      <c r="B2372" s="78">
        <v>46296</v>
      </c>
      <c r="C2372" s="76" t="s">
        <v>852</v>
      </c>
      <c r="D2372" s="76" t="s">
        <v>946</v>
      </c>
      <c r="E2372" s="76"/>
      <c r="F2372" s="76" t="s">
        <v>488</v>
      </c>
      <c r="G2372" s="79">
        <v>26310</v>
      </c>
      <c r="H2372" s="76" t="s">
        <v>63</v>
      </c>
      <c r="I2372" s="76" t="s">
        <v>1734</v>
      </c>
      <c r="J2372" s="76" t="s">
        <v>775</v>
      </c>
      <c r="K2372" s="79">
        <v>26310</v>
      </c>
      <c r="L2372" s="76" t="s">
        <v>769</v>
      </c>
      <c r="M2372" s="76" t="s">
        <v>1735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1657</v>
      </c>
    </row>
    <row r="2373" spans="1:18">
      <c r="A2373" s="114">
        <v>46301.863889953704</v>
      </c>
      <c r="B2373" s="78">
        <v>46296</v>
      </c>
      <c r="C2373" s="76" t="s">
        <v>780</v>
      </c>
      <c r="D2373" s="76" t="s">
        <v>576</v>
      </c>
      <c r="E2373" s="76"/>
      <c r="F2373" s="76" t="s">
        <v>576</v>
      </c>
      <c r="G2373" s="79">
        <v>5000</v>
      </c>
      <c r="H2373" s="76" t="s">
        <v>63</v>
      </c>
      <c r="I2373" s="76"/>
      <c r="J2373" s="76" t="s">
        <v>775</v>
      </c>
      <c r="K2373" s="79">
        <v>5000</v>
      </c>
      <c r="L2373" s="76" t="s">
        <v>769</v>
      </c>
      <c r="M2373" s="76" t="s">
        <v>1736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1657</v>
      </c>
    </row>
    <row r="2374" spans="1:18">
      <c r="A2374" s="114">
        <v>46301.864588101853</v>
      </c>
      <c r="B2374" s="78">
        <v>46296</v>
      </c>
      <c r="C2374" s="76" t="s">
        <v>852</v>
      </c>
      <c r="D2374" s="76" t="s">
        <v>946</v>
      </c>
      <c r="E2374" s="76"/>
      <c r="F2374" s="76" t="s">
        <v>488</v>
      </c>
      <c r="G2374" s="79">
        <v>23860</v>
      </c>
      <c r="H2374" s="76" t="s">
        <v>63</v>
      </c>
      <c r="I2374" s="76" t="s">
        <v>1737</v>
      </c>
      <c r="J2374" s="76" t="s">
        <v>775</v>
      </c>
      <c r="K2374" s="79">
        <v>23860</v>
      </c>
      <c r="L2374" s="76" t="s">
        <v>769</v>
      </c>
      <c r="M2374" s="76" t="s">
        <v>1738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1657</v>
      </c>
    </row>
    <row r="2375" spans="1:18">
      <c r="A2375" s="114">
        <v>46301.864593298611</v>
      </c>
      <c r="B2375" s="78">
        <v>46296</v>
      </c>
      <c r="C2375" s="76" t="s">
        <v>196</v>
      </c>
      <c r="D2375" s="76" t="s">
        <v>22</v>
      </c>
      <c r="E2375" s="76"/>
      <c r="F2375" s="76" t="s">
        <v>1007</v>
      </c>
      <c r="G2375" s="79">
        <v>160</v>
      </c>
      <c r="H2375" s="76" t="s">
        <v>520</v>
      </c>
      <c r="I2375" s="76"/>
      <c r="J2375" s="76" t="s">
        <v>824</v>
      </c>
      <c r="K2375" s="79">
        <v>160</v>
      </c>
      <c r="L2375" s="76" t="s">
        <v>769</v>
      </c>
      <c r="M2375" s="76" t="s">
        <v>1739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1661</v>
      </c>
    </row>
    <row r="2376" spans="1:18">
      <c r="A2376" s="114">
        <v>46301.864594143517</v>
      </c>
      <c r="B2376" s="78">
        <v>46296</v>
      </c>
      <c r="C2376" s="76" t="s">
        <v>883</v>
      </c>
      <c r="D2376" s="76" t="s">
        <v>575</v>
      </c>
      <c r="E2376" s="76" t="s">
        <v>785</v>
      </c>
      <c r="F2376" s="76" t="s">
        <v>488</v>
      </c>
      <c r="G2376" s="79">
        <v>-1300</v>
      </c>
      <c r="H2376" s="76" t="s">
        <v>63</v>
      </c>
      <c r="I2376" s="76" t="s">
        <v>1740</v>
      </c>
      <c r="J2376" s="76" t="s">
        <v>775</v>
      </c>
      <c r="K2376" s="79">
        <v>-1300</v>
      </c>
      <c r="L2376" s="76" t="s">
        <v>769</v>
      </c>
      <c r="M2376" s="76" t="s">
        <v>1741</v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1661</v>
      </c>
    </row>
    <row r="2377" spans="1:18">
      <c r="A2377" s="114">
        <v>46301.872806736108</v>
      </c>
      <c r="B2377" s="78">
        <v>46296</v>
      </c>
      <c r="C2377" s="76" t="s">
        <v>852</v>
      </c>
      <c r="D2377" s="76" t="s">
        <v>575</v>
      </c>
      <c r="E2377" s="76" t="s">
        <v>785</v>
      </c>
      <c r="F2377" s="76" t="s">
        <v>488</v>
      </c>
      <c r="G2377" s="79">
        <v>9680</v>
      </c>
      <c r="H2377" s="76" t="s">
        <v>63</v>
      </c>
      <c r="I2377" s="76" t="s">
        <v>1742</v>
      </c>
      <c r="J2377" s="76" t="s">
        <v>775</v>
      </c>
      <c r="K2377" s="79">
        <v>9680</v>
      </c>
      <c r="L2377" s="76" t="s">
        <v>769</v>
      </c>
      <c r="M2377" s="76" t="s">
        <v>1743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1657</v>
      </c>
    </row>
    <row r="2378" spans="1:18">
      <c r="A2378" s="114">
        <v>46302.798612881947</v>
      </c>
      <c r="B2378" s="78">
        <v>46296</v>
      </c>
      <c r="C2378" s="76" t="s">
        <v>780</v>
      </c>
      <c r="D2378" s="76" t="s">
        <v>576</v>
      </c>
      <c r="E2378" s="76"/>
      <c r="F2378" s="76" t="s">
        <v>576</v>
      </c>
      <c r="G2378" s="79">
        <v>5000</v>
      </c>
      <c r="H2378" s="76" t="s">
        <v>63</v>
      </c>
      <c r="I2378" s="76"/>
      <c r="J2378" s="76" t="s">
        <v>775</v>
      </c>
      <c r="K2378" s="79">
        <v>5000</v>
      </c>
      <c r="L2378" s="76" t="s">
        <v>769</v>
      </c>
      <c r="M2378" s="76" t="s">
        <v>1744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1657</v>
      </c>
    </row>
    <row r="2379" spans="1:18">
      <c r="A2379" s="114">
        <v>46302.799314027783</v>
      </c>
      <c r="B2379" s="78">
        <v>46296</v>
      </c>
      <c r="C2379" s="76" t="s">
        <v>766</v>
      </c>
      <c r="D2379" s="76" t="s">
        <v>912</v>
      </c>
      <c r="E2379" s="76" t="s">
        <v>68</v>
      </c>
      <c r="F2379" s="76" t="s">
        <v>1745</v>
      </c>
      <c r="G2379" s="79">
        <v>39000</v>
      </c>
      <c r="H2379" s="76" t="s">
        <v>63</v>
      </c>
      <c r="I2379" s="76" t="s">
        <v>1746</v>
      </c>
      <c r="J2379" s="76" t="s">
        <v>68</v>
      </c>
      <c r="K2379" s="79">
        <v>39000</v>
      </c>
      <c r="L2379" s="76" t="s">
        <v>769</v>
      </c>
      <c r="M2379" s="76" t="s">
        <v>1747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1657</v>
      </c>
    </row>
    <row r="2380" spans="1:18">
      <c r="A2380" s="114">
        <v>46302.799315416669</v>
      </c>
      <c r="B2380" s="78">
        <v>46296</v>
      </c>
      <c r="C2380" s="76" t="s">
        <v>766</v>
      </c>
      <c r="D2380" s="76" t="s">
        <v>912</v>
      </c>
      <c r="E2380" s="76" t="s">
        <v>68</v>
      </c>
      <c r="F2380" s="76" t="s">
        <v>1748</v>
      </c>
      <c r="G2380" s="79">
        <v>35000</v>
      </c>
      <c r="H2380" s="76" t="s">
        <v>63</v>
      </c>
      <c r="I2380" s="76" t="s">
        <v>1746</v>
      </c>
      <c r="J2380" s="76" t="s">
        <v>68</v>
      </c>
      <c r="K2380" s="79">
        <v>35000</v>
      </c>
      <c r="L2380" s="76" t="s">
        <v>769</v>
      </c>
      <c r="M2380" s="76" t="s">
        <v>1749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1657</v>
      </c>
    </row>
    <row r="2381" spans="1:18">
      <c r="A2381" s="114">
        <v>46302.800002662043</v>
      </c>
      <c r="B2381" s="78">
        <v>46296</v>
      </c>
      <c r="C2381" s="76" t="s">
        <v>780</v>
      </c>
      <c r="D2381" s="76" t="s">
        <v>575</v>
      </c>
      <c r="E2381" s="76" t="s">
        <v>781</v>
      </c>
      <c r="F2381" s="76" t="s">
        <v>1057</v>
      </c>
      <c r="G2381" s="79">
        <v>6200</v>
      </c>
      <c r="H2381" s="76" t="s">
        <v>63</v>
      </c>
      <c r="I2381" s="76"/>
      <c r="J2381" s="76" t="s">
        <v>775</v>
      </c>
      <c r="K2381" s="79">
        <v>6200</v>
      </c>
      <c r="L2381" s="76" t="s">
        <v>769</v>
      </c>
      <c r="M2381" s="76" t="s">
        <v>1750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1657</v>
      </c>
    </row>
    <row r="2382" spans="1:18">
      <c r="A2382" s="114">
        <v>46302.800695717589</v>
      </c>
      <c r="B2382" s="78">
        <v>46296</v>
      </c>
      <c r="C2382" s="76" t="s">
        <v>175</v>
      </c>
      <c r="D2382" s="76" t="s">
        <v>22</v>
      </c>
      <c r="E2382" s="76"/>
      <c r="F2382" s="76" t="s">
        <v>1581</v>
      </c>
      <c r="G2382" s="79">
        <v>100</v>
      </c>
      <c r="H2382" s="76" t="s">
        <v>520</v>
      </c>
      <c r="I2382" s="76" t="s">
        <v>1665</v>
      </c>
      <c r="J2382" s="76" t="s">
        <v>824</v>
      </c>
      <c r="K2382" s="79">
        <v>100</v>
      </c>
      <c r="L2382" s="76" t="s">
        <v>769</v>
      </c>
      <c r="M2382" s="76" t="s">
        <v>1751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1661</v>
      </c>
    </row>
    <row r="2383" spans="1:18">
      <c r="A2383" s="114">
        <v>46302.80070349537</v>
      </c>
      <c r="B2383" s="78">
        <v>46296</v>
      </c>
      <c r="C2383" s="76" t="s">
        <v>780</v>
      </c>
      <c r="D2383" s="76" t="s">
        <v>575</v>
      </c>
      <c r="E2383" s="76" t="s">
        <v>785</v>
      </c>
      <c r="F2383" s="76" t="s">
        <v>1127</v>
      </c>
      <c r="G2383" s="79">
        <v>32570</v>
      </c>
      <c r="H2383" s="76" t="s">
        <v>63</v>
      </c>
      <c r="I2383" s="76" t="s">
        <v>1752</v>
      </c>
      <c r="J2383" s="76" t="s">
        <v>775</v>
      </c>
      <c r="K2383" s="79">
        <v>32570</v>
      </c>
      <c r="L2383" s="76" t="s">
        <v>769</v>
      </c>
      <c r="M2383" s="76" t="s">
        <v>1753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1657</v>
      </c>
    </row>
    <row r="2384" spans="1:18">
      <c r="A2384" s="114">
        <v>46302.801394097223</v>
      </c>
      <c r="B2384" s="78">
        <v>46296</v>
      </c>
      <c r="C2384" s="76" t="s">
        <v>780</v>
      </c>
      <c r="D2384" s="76" t="s">
        <v>575</v>
      </c>
      <c r="E2384" s="76" t="s">
        <v>772</v>
      </c>
      <c r="F2384" s="76" t="s">
        <v>773</v>
      </c>
      <c r="G2384" s="79">
        <v>3100</v>
      </c>
      <c r="H2384" s="76" t="s">
        <v>63</v>
      </c>
      <c r="I2384" s="76" t="s">
        <v>1061</v>
      </c>
      <c r="J2384" s="76" t="s">
        <v>775</v>
      </c>
      <c r="K2384" s="79">
        <v>3100</v>
      </c>
      <c r="L2384" s="76" t="s">
        <v>769</v>
      </c>
      <c r="M2384" s="76" t="s">
        <v>1754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1657</v>
      </c>
    </row>
    <row r="2385" spans="1:18">
      <c r="A2385" s="114">
        <v>46302.802090486111</v>
      </c>
      <c r="B2385" s="78">
        <v>46296</v>
      </c>
      <c r="C2385" s="76" t="s">
        <v>780</v>
      </c>
      <c r="D2385" s="76" t="s">
        <v>576</v>
      </c>
      <c r="E2385" s="76"/>
      <c r="F2385" s="76" t="s">
        <v>576</v>
      </c>
      <c r="G2385" s="79">
        <v>5000</v>
      </c>
      <c r="H2385" s="76" t="s">
        <v>63</v>
      </c>
      <c r="I2385" s="76"/>
      <c r="J2385" s="76" t="s">
        <v>775</v>
      </c>
      <c r="K2385" s="79">
        <v>5000</v>
      </c>
      <c r="L2385" s="76" t="s">
        <v>769</v>
      </c>
      <c r="M2385" s="76" t="s">
        <v>1755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1657</v>
      </c>
    </row>
    <row r="2386" spans="1:18">
      <c r="A2386" s="114">
        <v>46302.838202303239</v>
      </c>
      <c r="B2386" s="78">
        <v>46296</v>
      </c>
      <c r="C2386" s="76" t="s">
        <v>196</v>
      </c>
      <c r="D2386" s="76" t="s">
        <v>22</v>
      </c>
      <c r="E2386" s="76"/>
      <c r="F2386" s="76" t="s">
        <v>934</v>
      </c>
      <c r="G2386" s="79">
        <v>1</v>
      </c>
      <c r="H2386" s="76" t="s">
        <v>520</v>
      </c>
      <c r="I2386" s="76"/>
      <c r="J2386" s="76" t="s">
        <v>824</v>
      </c>
      <c r="K2386" s="79">
        <v>1</v>
      </c>
      <c r="L2386" s="76" t="s">
        <v>769</v>
      </c>
      <c r="M2386" s="76" t="s">
        <v>1756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1661</v>
      </c>
    </row>
    <row r="2387" spans="1:18">
      <c r="A2387" s="114">
        <v>46302.840281273151</v>
      </c>
      <c r="B2387" s="78">
        <v>46296</v>
      </c>
      <c r="C2387" s="76" t="s">
        <v>147</v>
      </c>
      <c r="D2387" s="76" t="s">
        <v>821</v>
      </c>
      <c r="E2387" s="76"/>
      <c r="F2387" s="76" t="s">
        <v>858</v>
      </c>
      <c r="G2387" s="79">
        <v>100000</v>
      </c>
      <c r="H2387" s="76" t="s">
        <v>520</v>
      </c>
      <c r="I2387" s="76"/>
      <c r="J2387" s="76" t="s">
        <v>821</v>
      </c>
      <c r="K2387" s="79">
        <v>0</v>
      </c>
      <c r="L2387" s="76" t="s">
        <v>147</v>
      </c>
      <c r="M2387" s="76" t="s">
        <v>1757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1661</v>
      </c>
    </row>
    <row r="2388" spans="1:18">
      <c r="A2388" s="114">
        <v>46302.840977743057</v>
      </c>
      <c r="B2388" s="78">
        <v>46296</v>
      </c>
      <c r="C2388" s="76" t="s">
        <v>199</v>
      </c>
      <c r="D2388" s="76" t="s">
        <v>912</v>
      </c>
      <c r="E2388" s="76" t="s">
        <v>1190</v>
      </c>
      <c r="F2388" s="76" t="s">
        <v>853</v>
      </c>
      <c r="G2388" s="79">
        <v>40100</v>
      </c>
      <c r="H2388" s="76" t="s">
        <v>63</v>
      </c>
      <c r="I2388" s="76" t="s">
        <v>1758</v>
      </c>
      <c r="J2388" s="76" t="s">
        <v>783</v>
      </c>
      <c r="K2388" s="79">
        <v>20050</v>
      </c>
      <c r="L2388" s="76" t="s">
        <v>199</v>
      </c>
      <c r="M2388" s="76" t="s">
        <v>1759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1661</v>
      </c>
    </row>
    <row r="2389" spans="1:18">
      <c r="A2389" s="114">
        <v>46302.841672476847</v>
      </c>
      <c r="B2389" s="78">
        <v>46296</v>
      </c>
      <c r="C2389" s="76" t="s">
        <v>559</v>
      </c>
      <c r="D2389" s="76" t="s">
        <v>821</v>
      </c>
      <c r="E2389" s="76"/>
      <c r="F2389" s="76" t="s">
        <v>858</v>
      </c>
      <c r="G2389" s="79">
        <v>20000</v>
      </c>
      <c r="H2389" s="76" t="s">
        <v>520</v>
      </c>
      <c r="I2389" s="76"/>
      <c r="J2389" s="76" t="s">
        <v>821</v>
      </c>
      <c r="K2389" s="79">
        <v>0</v>
      </c>
      <c r="L2389" s="76" t="s">
        <v>559</v>
      </c>
      <c r="M2389" s="76" t="s">
        <v>1760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1661</v>
      </c>
    </row>
    <row r="2390" spans="1:18">
      <c r="A2390" s="114">
        <v>46303.802088564807</v>
      </c>
      <c r="B2390" s="78">
        <v>46296</v>
      </c>
      <c r="C2390" s="76" t="s">
        <v>766</v>
      </c>
      <c r="D2390" s="76" t="s">
        <v>942</v>
      </c>
      <c r="E2390" s="76"/>
      <c r="F2390" s="76" t="s">
        <v>1094</v>
      </c>
      <c r="G2390" s="79">
        <v>39500</v>
      </c>
      <c r="H2390" s="76" t="s">
        <v>63</v>
      </c>
      <c r="I2390" s="76" t="s">
        <v>1678</v>
      </c>
      <c r="J2390" s="76" t="s">
        <v>775</v>
      </c>
      <c r="K2390" s="79">
        <v>39500</v>
      </c>
      <c r="L2390" s="76" t="s">
        <v>769</v>
      </c>
      <c r="M2390" s="76" t="s">
        <v>1761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1657</v>
      </c>
    </row>
    <row r="2391" spans="1:18">
      <c r="A2391" s="114">
        <v>46303.802782650462</v>
      </c>
      <c r="B2391" s="78">
        <v>46296</v>
      </c>
      <c r="C2391" s="76" t="s">
        <v>780</v>
      </c>
      <c r="D2391" s="76" t="s">
        <v>575</v>
      </c>
      <c r="E2391" s="76" t="s">
        <v>772</v>
      </c>
      <c r="F2391" s="76" t="s">
        <v>773</v>
      </c>
      <c r="G2391" s="79">
        <v>3700</v>
      </c>
      <c r="H2391" s="76" t="s">
        <v>63</v>
      </c>
      <c r="I2391" s="76" t="s">
        <v>1762</v>
      </c>
      <c r="J2391" s="76" t="s">
        <v>775</v>
      </c>
      <c r="K2391" s="79">
        <v>3700</v>
      </c>
      <c r="L2391" s="76" t="s">
        <v>769</v>
      </c>
      <c r="M2391" s="76" t="s">
        <v>1763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1657</v>
      </c>
    </row>
    <row r="2392" spans="1:18">
      <c r="A2392" s="114">
        <v>46303.803476446759</v>
      </c>
      <c r="B2392" s="78">
        <v>46296</v>
      </c>
      <c r="C2392" s="76" t="s">
        <v>780</v>
      </c>
      <c r="D2392" s="76" t="s">
        <v>906</v>
      </c>
      <c r="E2392" s="76"/>
      <c r="F2392" s="76" t="s">
        <v>1583</v>
      </c>
      <c r="G2392" s="79">
        <v>14000</v>
      </c>
      <c r="H2392" s="76" t="s">
        <v>63</v>
      </c>
      <c r="I2392" s="76"/>
      <c r="J2392" s="76" t="s">
        <v>775</v>
      </c>
      <c r="K2392" s="79">
        <v>14000</v>
      </c>
      <c r="L2392" s="76" t="s">
        <v>769</v>
      </c>
      <c r="M2392" s="76" t="s">
        <v>1764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1657</v>
      </c>
    </row>
    <row r="2393" spans="1:18">
      <c r="A2393" s="114">
        <v>46303.803478287038</v>
      </c>
      <c r="B2393" s="78">
        <v>46296</v>
      </c>
      <c r="C2393" s="76" t="s">
        <v>780</v>
      </c>
      <c r="D2393" s="76" t="s">
        <v>575</v>
      </c>
      <c r="E2393" s="76" t="s">
        <v>772</v>
      </c>
      <c r="F2393" s="76" t="s">
        <v>814</v>
      </c>
      <c r="G2393" s="79">
        <v>5000</v>
      </c>
      <c r="H2393" s="76" t="s">
        <v>63</v>
      </c>
      <c r="I2393" s="76"/>
      <c r="J2393" s="76" t="s">
        <v>775</v>
      </c>
      <c r="K2393" s="79">
        <v>5000</v>
      </c>
      <c r="L2393" s="76" t="s">
        <v>769</v>
      </c>
      <c r="M2393" s="76" t="s">
        <v>1765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1657</v>
      </c>
    </row>
    <row r="2394" spans="1:18">
      <c r="A2394" s="114">
        <v>46303.803482546296</v>
      </c>
      <c r="B2394" s="78">
        <v>46296</v>
      </c>
      <c r="C2394" s="76" t="s">
        <v>780</v>
      </c>
      <c r="D2394" s="76" t="s">
        <v>575</v>
      </c>
      <c r="E2394" s="76" t="s">
        <v>772</v>
      </c>
      <c r="F2394" s="76" t="s">
        <v>1116</v>
      </c>
      <c r="G2394" s="79">
        <v>8000</v>
      </c>
      <c r="H2394" s="76" t="s">
        <v>63</v>
      </c>
      <c r="I2394" s="76" t="s">
        <v>859</v>
      </c>
      <c r="J2394" s="76" t="s">
        <v>775</v>
      </c>
      <c r="K2394" s="79">
        <v>8000</v>
      </c>
      <c r="L2394" s="76" t="s">
        <v>769</v>
      </c>
      <c r="M2394" s="76" t="s">
        <v>1766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1657</v>
      </c>
    </row>
    <row r="2395" spans="1:18">
      <c r="A2395" s="114">
        <v>46303.804170462958</v>
      </c>
      <c r="B2395" s="78">
        <v>46296</v>
      </c>
      <c r="C2395" s="76" t="s">
        <v>175</v>
      </c>
      <c r="D2395" s="76" t="s">
        <v>22</v>
      </c>
      <c r="E2395" s="76"/>
      <c r="F2395" s="76" t="s">
        <v>1581</v>
      </c>
      <c r="G2395" s="79">
        <v>100</v>
      </c>
      <c r="H2395" s="76" t="s">
        <v>520</v>
      </c>
      <c r="I2395" s="76" t="s">
        <v>1665</v>
      </c>
      <c r="J2395" s="76" t="s">
        <v>824</v>
      </c>
      <c r="K2395" s="79">
        <v>100</v>
      </c>
      <c r="L2395" s="76" t="s">
        <v>769</v>
      </c>
      <c r="M2395" s="76" t="s">
        <v>1767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1661</v>
      </c>
    </row>
    <row r="2396" spans="1:18">
      <c r="A2396" s="114">
        <v>46303.804171215277</v>
      </c>
      <c r="B2396" s="78">
        <v>46296</v>
      </c>
      <c r="C2396" s="76" t="s">
        <v>175</v>
      </c>
      <c r="D2396" s="76" t="s">
        <v>22</v>
      </c>
      <c r="E2396" s="76"/>
      <c r="F2396" s="76" t="s">
        <v>1581</v>
      </c>
      <c r="G2396" s="79">
        <v>100</v>
      </c>
      <c r="H2396" s="76" t="s">
        <v>520</v>
      </c>
      <c r="I2396" s="76" t="s">
        <v>1665</v>
      </c>
      <c r="J2396" s="76" t="s">
        <v>824</v>
      </c>
      <c r="K2396" s="79">
        <v>100</v>
      </c>
      <c r="L2396" s="76" t="s">
        <v>769</v>
      </c>
      <c r="M2396" s="76" t="s">
        <v>1768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1661</v>
      </c>
    </row>
    <row r="2397" spans="1:18">
      <c r="A2397" s="114">
        <v>46303.804861990742</v>
      </c>
      <c r="B2397" s="78">
        <v>46296</v>
      </c>
      <c r="C2397" s="76" t="s">
        <v>766</v>
      </c>
      <c r="D2397" s="76" t="s">
        <v>942</v>
      </c>
      <c r="E2397" s="76"/>
      <c r="F2397" s="76" t="s">
        <v>1769</v>
      </c>
      <c r="G2397" s="79">
        <v>22700</v>
      </c>
      <c r="H2397" s="76" t="s">
        <v>63</v>
      </c>
      <c r="I2397" s="76" t="s">
        <v>1678</v>
      </c>
      <c r="J2397" s="76" t="s">
        <v>775</v>
      </c>
      <c r="K2397" s="79">
        <v>22700</v>
      </c>
      <c r="L2397" s="76" t="s">
        <v>769</v>
      </c>
      <c r="M2397" s="76" t="s">
        <v>1770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1657</v>
      </c>
    </row>
    <row r="2398" spans="1:18">
      <c r="A2398" s="114">
        <v>46303.804864120371</v>
      </c>
      <c r="B2398" s="78">
        <v>46296</v>
      </c>
      <c r="C2398" s="76" t="s">
        <v>766</v>
      </c>
      <c r="D2398" s="76" t="s">
        <v>942</v>
      </c>
      <c r="E2398" s="76"/>
      <c r="F2398" s="76" t="s">
        <v>1769</v>
      </c>
      <c r="G2398" s="79">
        <v>8800</v>
      </c>
      <c r="H2398" s="76" t="s">
        <v>63</v>
      </c>
      <c r="I2398" s="76" t="s">
        <v>1678</v>
      </c>
      <c r="J2398" s="76" t="s">
        <v>775</v>
      </c>
      <c r="K2398" s="79">
        <v>8800</v>
      </c>
      <c r="L2398" s="76" t="s">
        <v>769</v>
      </c>
      <c r="M2398" s="76" t="s">
        <v>1771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1657</v>
      </c>
    </row>
    <row r="2399" spans="1:18">
      <c r="A2399" s="114">
        <v>46303.804867430546</v>
      </c>
      <c r="B2399" s="78">
        <v>46296</v>
      </c>
      <c r="C2399" s="76" t="s">
        <v>780</v>
      </c>
      <c r="D2399" s="76" t="s">
        <v>811</v>
      </c>
      <c r="E2399" s="76"/>
      <c r="F2399" s="76" t="s">
        <v>773</v>
      </c>
      <c r="G2399" s="79">
        <v>6300</v>
      </c>
      <c r="H2399" s="76" t="s">
        <v>63</v>
      </c>
      <c r="I2399" s="76" t="s">
        <v>1635</v>
      </c>
      <c r="J2399" s="76" t="s">
        <v>795</v>
      </c>
      <c r="K2399" s="79">
        <v>6300</v>
      </c>
      <c r="L2399" s="76" t="s">
        <v>769</v>
      </c>
      <c r="M2399" s="76" t="s">
        <v>1772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1657</v>
      </c>
    </row>
    <row r="2400" spans="1:18">
      <c r="A2400" s="114">
        <v>46303.806259907411</v>
      </c>
      <c r="B2400" s="78">
        <v>46296</v>
      </c>
      <c r="C2400" s="76" t="s">
        <v>780</v>
      </c>
      <c r="D2400" s="76" t="s">
        <v>912</v>
      </c>
      <c r="E2400" s="76" t="s">
        <v>580</v>
      </c>
      <c r="F2400" s="76" t="s">
        <v>994</v>
      </c>
      <c r="G2400" s="79">
        <v>2800</v>
      </c>
      <c r="H2400" s="76" t="s">
        <v>63</v>
      </c>
      <c r="I2400" s="76" t="s">
        <v>1042</v>
      </c>
      <c r="J2400" s="76" t="s">
        <v>783</v>
      </c>
      <c r="K2400" s="79">
        <v>2800</v>
      </c>
      <c r="L2400" s="76" t="s">
        <v>769</v>
      </c>
      <c r="M2400" s="76" t="s">
        <v>1773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1657</v>
      </c>
    </row>
    <row r="2401" spans="1:18">
      <c r="A2401" s="114">
        <v>46303.817362349539</v>
      </c>
      <c r="B2401" s="78">
        <v>46296</v>
      </c>
      <c r="C2401" s="76" t="s">
        <v>147</v>
      </c>
      <c r="D2401" s="76" t="s">
        <v>840</v>
      </c>
      <c r="E2401" s="76" t="s">
        <v>1618</v>
      </c>
      <c r="F2401" s="76" t="s">
        <v>1774</v>
      </c>
      <c r="G2401" s="79">
        <v>500000</v>
      </c>
      <c r="H2401" s="76" t="s">
        <v>63</v>
      </c>
      <c r="I2401" s="76"/>
      <c r="J2401" s="76" t="s">
        <v>1775</v>
      </c>
      <c r="K2401" s="79">
        <v>0</v>
      </c>
      <c r="L2401" s="76" t="s">
        <v>147</v>
      </c>
      <c r="M2401" s="76" t="inlineStr">
        <is>
          <t xml:space="preserve">부모 생신 용돈 500,000원. 본인 행사 부담 239,000원과 형제자매 부담 400,000원으로 식사까지 충당.</t>
        </is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1661</v>
      </c>
    </row>
    <row r="2402" spans="1:18">
      <c r="A2402" s="114">
        <v>46303.817364976851</v>
      </c>
      <c r="B2402" s="78">
        <v>46296</v>
      </c>
      <c r="C2402" s="76" t="s">
        <v>780</v>
      </c>
      <c r="D2402" s="76" t="s">
        <v>843</v>
      </c>
      <c r="E2402" s="76" t="s">
        <v>844</v>
      </c>
      <c r="F2402" s="76" t="s">
        <v>1403</v>
      </c>
      <c r="G2402" s="79">
        <v>15000</v>
      </c>
      <c r="H2402" s="76" t="s">
        <v>63</v>
      </c>
      <c r="I2402" s="76"/>
      <c r="J2402" s="76" t="s">
        <v>775</v>
      </c>
      <c r="K2402" s="79">
        <v>15000</v>
      </c>
      <c r="L2402" s="76" t="s">
        <v>769</v>
      </c>
      <c r="M2402" s="76" t="s">
        <v>1777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1657</v>
      </c>
    </row>
    <row r="2403" spans="1:18">
      <c r="A2403" s="114">
        <v>46303.818057835648</v>
      </c>
      <c r="B2403" s="78">
        <v>46296</v>
      </c>
      <c r="C2403" s="76" t="s">
        <v>669</v>
      </c>
      <c r="D2403" s="76" t="s">
        <v>840</v>
      </c>
      <c r="E2403" s="76" t="s">
        <v>1618</v>
      </c>
      <c r="F2403" s="76" t="s">
        <v>1778</v>
      </c>
      <c r="G2403" s="79">
        <v>139000</v>
      </c>
      <c r="H2403" s="76" t="s">
        <v>63</v>
      </c>
      <c r="I2403" s="76"/>
      <c r="J2403" s="76" t="s">
        <v>1775</v>
      </c>
      <c r="K2403" s="79">
        <v>0</v>
      </c>
      <c r="L2403" s="76" t="s">
        <v>569</v>
      </c>
      <c r="M2403" s="76" t="s">
        <v>1779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1657</v>
      </c>
    </row>
    <row r="2404" spans="1:18">
      <c r="A2404" s="114">
        <v>46304.806947581019</v>
      </c>
      <c r="B2404" s="78">
        <v>46296</v>
      </c>
      <c r="C2404" s="76" t="s">
        <v>766</v>
      </c>
      <c r="D2404" s="76" t="s">
        <v>942</v>
      </c>
      <c r="E2404" s="76"/>
      <c r="F2404" s="76" t="s">
        <v>1094</v>
      </c>
      <c r="G2404" s="79">
        <v>12300</v>
      </c>
      <c r="H2404" s="76" t="s">
        <v>63</v>
      </c>
      <c r="I2404" s="76" t="s">
        <v>1678</v>
      </c>
      <c r="J2404" s="76" t="s">
        <v>775</v>
      </c>
      <c r="K2404" s="79">
        <v>12300</v>
      </c>
      <c r="L2404" s="76" t="s">
        <v>769</v>
      </c>
      <c r="M2404" s="76" t="s">
        <v>1780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1657</v>
      </c>
    </row>
    <row r="2405" spans="1:18">
      <c r="A2405" s="114">
        <v>46304.806949826387</v>
      </c>
      <c r="B2405" s="78">
        <v>46296</v>
      </c>
      <c r="C2405" s="76" t="s">
        <v>766</v>
      </c>
      <c r="D2405" s="76" t="s">
        <v>942</v>
      </c>
      <c r="E2405" s="76"/>
      <c r="F2405" s="76" t="s">
        <v>1094</v>
      </c>
      <c r="G2405" s="79">
        <v>16900</v>
      </c>
      <c r="H2405" s="76" t="s">
        <v>63</v>
      </c>
      <c r="I2405" s="76" t="s">
        <v>1678</v>
      </c>
      <c r="J2405" s="76" t="s">
        <v>775</v>
      </c>
      <c r="K2405" s="79">
        <v>16900</v>
      </c>
      <c r="L2405" s="76" t="s">
        <v>769</v>
      </c>
      <c r="M2405" s="76" t="s">
        <v>1781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1657</v>
      </c>
    </row>
    <row r="2406" spans="1:18">
      <c r="A2406" s="114">
        <v>46304.806951550927</v>
      </c>
      <c r="B2406" s="78">
        <v>46296</v>
      </c>
      <c r="C2406" s="76" t="s">
        <v>766</v>
      </c>
      <c r="D2406" s="76" t="s">
        <v>942</v>
      </c>
      <c r="E2406" s="76"/>
      <c r="F2406" s="76" t="s">
        <v>1769</v>
      </c>
      <c r="G2406" s="79">
        <v>3000</v>
      </c>
      <c r="H2406" s="76" t="s">
        <v>63</v>
      </c>
      <c r="I2406" s="76" t="s">
        <v>1678</v>
      </c>
      <c r="J2406" s="76" t="s">
        <v>775</v>
      </c>
      <c r="K2406" s="79">
        <v>3000</v>
      </c>
      <c r="L2406" s="76" t="s">
        <v>769</v>
      </c>
      <c r="M2406" s="76" t="s">
        <v>1782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1657</v>
      </c>
    </row>
    <row r="2407" spans="1:18">
      <c r="A2407" s="114">
        <v>46304.806951550927</v>
      </c>
      <c r="B2407" s="78">
        <v>46296</v>
      </c>
      <c r="C2407" s="76" t="s">
        <v>766</v>
      </c>
      <c r="D2407" s="76" t="s">
        <v>942</v>
      </c>
      <c r="E2407" s="76"/>
      <c r="F2407" s="76" t="s">
        <v>1769</v>
      </c>
      <c r="G2407" s="79">
        <v>28350</v>
      </c>
      <c r="H2407" s="76" t="s">
        <v>63</v>
      </c>
      <c r="I2407" s="76" t="s">
        <v>1678</v>
      </c>
      <c r="J2407" s="76" t="s">
        <v>775</v>
      </c>
      <c r="K2407" s="79">
        <v>28350</v>
      </c>
      <c r="L2407" s="76" t="s">
        <v>769</v>
      </c>
      <c r="M2407" s="76" t="s">
        <v>1783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1657</v>
      </c>
    </row>
    <row r="2408" spans="1:18">
      <c r="A2408" s="114">
        <v>46304.806955520828</v>
      </c>
      <c r="B2408" s="78">
        <v>46296</v>
      </c>
      <c r="C2408" s="76" t="s">
        <v>766</v>
      </c>
      <c r="D2408" s="76" t="s">
        <v>942</v>
      </c>
      <c r="E2408" s="76"/>
      <c r="F2408" s="76" t="s">
        <v>1094</v>
      </c>
      <c r="G2408" s="79">
        <v>8100</v>
      </c>
      <c r="H2408" s="76" t="s">
        <v>63</v>
      </c>
      <c r="I2408" s="76" t="s">
        <v>1678</v>
      </c>
      <c r="J2408" s="76" t="s">
        <v>775</v>
      </c>
      <c r="K2408" s="79">
        <v>8100</v>
      </c>
      <c r="L2408" s="76" t="s">
        <v>769</v>
      </c>
      <c r="M2408" s="76" t="s">
        <v>1784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1657</v>
      </c>
    </row>
    <row r="2409" spans="1:18">
      <c r="A2409" s="114">
        <v>46304.809035497688</v>
      </c>
      <c r="B2409" s="78">
        <v>46296</v>
      </c>
      <c r="C2409" s="76" t="s">
        <v>780</v>
      </c>
      <c r="D2409" s="76" t="s">
        <v>576</v>
      </c>
      <c r="E2409" s="76"/>
      <c r="F2409" s="76" t="s">
        <v>576</v>
      </c>
      <c r="G2409" s="79">
        <v>4500</v>
      </c>
      <c r="H2409" s="76" t="s">
        <v>63</v>
      </c>
      <c r="I2409" s="76"/>
      <c r="J2409" s="76" t="s">
        <v>775</v>
      </c>
      <c r="K2409" s="79">
        <v>4500</v>
      </c>
      <c r="L2409" s="76" t="s">
        <v>769</v>
      </c>
      <c r="M2409" s="76" t="s">
        <v>1785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1657</v>
      </c>
    </row>
    <row r="2410" spans="1:18">
      <c r="A2410" s="114">
        <v>46304.809728425927</v>
      </c>
      <c r="B2410" s="78">
        <v>46296</v>
      </c>
      <c r="C2410" s="76" t="s">
        <v>780</v>
      </c>
      <c r="D2410" s="76" t="s">
        <v>576</v>
      </c>
      <c r="E2410" s="76"/>
      <c r="F2410" s="76" t="s">
        <v>576</v>
      </c>
      <c r="G2410" s="79">
        <v>4500</v>
      </c>
      <c r="H2410" s="76" t="s">
        <v>63</v>
      </c>
      <c r="I2410" s="76"/>
      <c r="J2410" s="76" t="s">
        <v>775</v>
      </c>
      <c r="K2410" s="79">
        <v>4500</v>
      </c>
      <c r="L2410" s="76" t="s">
        <v>769</v>
      </c>
      <c r="M2410" s="76" t="s">
        <v>1786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1657</v>
      </c>
    </row>
    <row r="2411" spans="1:18">
      <c r="A2411" s="114">
        <v>46304.809732905087</v>
      </c>
      <c r="B2411" s="78">
        <v>46296</v>
      </c>
      <c r="C2411" s="76" t="s">
        <v>780</v>
      </c>
      <c r="D2411" s="76" t="s">
        <v>912</v>
      </c>
      <c r="E2411" s="76" t="s">
        <v>580</v>
      </c>
      <c r="F2411" s="76" t="s">
        <v>991</v>
      </c>
      <c r="G2411" s="79">
        <v>3300</v>
      </c>
      <c r="H2411" s="76" t="s">
        <v>63</v>
      </c>
      <c r="I2411" s="76" t="s">
        <v>1068</v>
      </c>
      <c r="J2411" s="76" t="s">
        <v>783</v>
      </c>
      <c r="K2411" s="79">
        <v>3300</v>
      </c>
      <c r="L2411" s="76" t="s">
        <v>769</v>
      </c>
      <c r="M2411" s="76" t="s">
        <v>1787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1657</v>
      </c>
    </row>
    <row r="2412" spans="1:18">
      <c r="A2412" s="114">
        <v>46304.810419166657</v>
      </c>
      <c r="B2412" s="78">
        <v>46296</v>
      </c>
      <c r="C2412" s="76" t="s">
        <v>780</v>
      </c>
      <c r="D2412" s="76" t="s">
        <v>575</v>
      </c>
      <c r="E2412" s="76" t="s">
        <v>772</v>
      </c>
      <c r="F2412" s="76" t="s">
        <v>1117</v>
      </c>
      <c r="G2412" s="79">
        <v>4700</v>
      </c>
      <c r="H2412" s="76" t="s">
        <v>63</v>
      </c>
      <c r="I2412" s="76" t="s">
        <v>859</v>
      </c>
      <c r="J2412" s="76" t="s">
        <v>775</v>
      </c>
      <c r="K2412" s="79">
        <v>4700</v>
      </c>
      <c r="L2412" s="76" t="s">
        <v>769</v>
      </c>
      <c r="M2412" s="76" t="s">
        <v>1788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1657</v>
      </c>
    </row>
    <row r="2413" spans="1:18">
      <c r="A2413" s="114">
        <v>46304.820140567128</v>
      </c>
      <c r="B2413" s="78">
        <v>46296</v>
      </c>
      <c r="C2413" s="76" t="s">
        <v>669</v>
      </c>
      <c r="D2413" s="76" t="s">
        <v>912</v>
      </c>
      <c r="E2413" s="76" t="s">
        <v>580</v>
      </c>
      <c r="F2413" s="76" t="s">
        <v>1789</v>
      </c>
      <c r="G2413" s="79">
        <v>48000</v>
      </c>
      <c r="H2413" s="76" t="s">
        <v>63</v>
      </c>
      <c r="I2413" s="76"/>
      <c r="J2413" s="76" t="s">
        <v>783</v>
      </c>
      <c r="K2413" s="79">
        <v>48000</v>
      </c>
      <c r="L2413" s="76" t="s">
        <v>769</v>
      </c>
      <c r="M2413" s="76" t="s">
        <v>1790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1657</v>
      </c>
    </row>
    <row r="2414" spans="1:18">
      <c r="A2414" s="114">
        <v>46304.820147800929</v>
      </c>
      <c r="B2414" s="78">
        <v>46296</v>
      </c>
      <c r="C2414" s="76" t="s">
        <v>669</v>
      </c>
      <c r="D2414" s="76" t="s">
        <v>840</v>
      </c>
      <c r="E2414" s="76" t="s">
        <v>1618</v>
      </c>
      <c r="F2414" s="76" t="s">
        <v>1082</v>
      </c>
      <c r="G2414" s="79">
        <v>36900</v>
      </c>
      <c r="H2414" s="76" t="s">
        <v>63</v>
      </c>
      <c r="I2414" s="76" t="s">
        <v>1791</v>
      </c>
      <c r="J2414" s="76" t="s">
        <v>787</v>
      </c>
      <c r="K2414" s="79">
        <v>36900</v>
      </c>
      <c r="L2414" s="76" t="s">
        <v>769</v>
      </c>
      <c r="M2414" s="76" t="s">
        <v>1792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1657</v>
      </c>
    </row>
    <row r="2415" spans="1:18">
      <c r="A2415" s="114">
        <v>46305.804169050927</v>
      </c>
      <c r="B2415" s="78">
        <v>46296</v>
      </c>
      <c r="C2415" s="76" t="s">
        <v>175</v>
      </c>
      <c r="D2415" s="76" t="s">
        <v>22</v>
      </c>
      <c r="E2415" s="76"/>
      <c r="F2415" s="76" t="s">
        <v>1581</v>
      </c>
      <c r="G2415" s="79">
        <v>100</v>
      </c>
      <c r="H2415" s="76" t="s">
        <v>520</v>
      </c>
      <c r="I2415" s="76" t="s">
        <v>1665</v>
      </c>
      <c r="J2415" s="76" t="s">
        <v>824</v>
      </c>
      <c r="K2415" s="79">
        <v>100</v>
      </c>
      <c r="L2415" s="76" t="s">
        <v>769</v>
      </c>
      <c r="M2415" s="76" t="s">
        <v>1793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1661</v>
      </c>
    </row>
    <row r="2416" spans="1:18">
      <c r="A2416" s="114">
        <v>46305.811119479164</v>
      </c>
      <c r="B2416" s="78">
        <v>46296</v>
      </c>
      <c r="C2416" s="76" t="s">
        <v>766</v>
      </c>
      <c r="D2416" s="76" t="s">
        <v>942</v>
      </c>
      <c r="E2416" s="76"/>
      <c r="F2416" s="76" t="s">
        <v>1094</v>
      </c>
      <c r="G2416" s="79">
        <v>6100</v>
      </c>
      <c r="H2416" s="76" t="s">
        <v>63</v>
      </c>
      <c r="I2416" s="76" t="s">
        <v>1678</v>
      </c>
      <c r="J2416" s="76" t="s">
        <v>775</v>
      </c>
      <c r="K2416" s="79">
        <v>6100</v>
      </c>
      <c r="L2416" s="76" t="s">
        <v>769</v>
      </c>
      <c r="M2416" s="76" t="s">
        <v>1794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1657</v>
      </c>
    </row>
    <row r="2417" spans="1:19">
      <c r="A2417" s="114">
        <v>46305.811809999999</v>
      </c>
      <c r="B2417" s="78">
        <v>46296</v>
      </c>
      <c r="C2417" s="76" t="s">
        <v>780</v>
      </c>
      <c r="D2417" s="76" t="s">
        <v>575</v>
      </c>
      <c r="E2417" s="76" t="s">
        <v>772</v>
      </c>
      <c r="F2417" s="76" t="s">
        <v>1116</v>
      </c>
      <c r="G2417" s="79">
        <v>7800</v>
      </c>
      <c r="H2417" s="76" t="s">
        <v>63</v>
      </c>
      <c r="I2417" s="76"/>
      <c r="J2417" s="76" t="s">
        <v>775</v>
      </c>
      <c r="K2417" s="79">
        <v>7800</v>
      </c>
      <c r="L2417" s="76" t="s">
        <v>769</v>
      </c>
      <c r="M2417" s="76" t="s">
        <v>1795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1657</v>
      </c>
    </row>
    <row r="2418" spans="1:19">
      <c r="A2418" s="114">
        <v>46305.812503981477</v>
      </c>
      <c r="B2418" s="78">
        <v>46296</v>
      </c>
      <c r="C2418" s="76" t="s">
        <v>852</v>
      </c>
      <c r="D2418" s="76" t="s">
        <v>811</v>
      </c>
      <c r="E2418" s="76"/>
      <c r="F2418" s="76" t="s">
        <v>488</v>
      </c>
      <c r="G2418" s="79">
        <v>26900</v>
      </c>
      <c r="H2418" s="76" t="s">
        <v>63</v>
      </c>
      <c r="I2418" s="76" t="s">
        <v>1796</v>
      </c>
      <c r="J2418" s="76" t="s">
        <v>795</v>
      </c>
      <c r="K2418" s="79">
        <v>26900</v>
      </c>
      <c r="L2418" s="76" t="s">
        <v>769</v>
      </c>
      <c r="M2418" s="76" t="s">
        <v>1797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1657</v>
      </c>
    </row>
    <row r="2419" spans="1:19">
      <c r="A2419" s="114">
        <v>46306.812501192129</v>
      </c>
      <c r="B2419" s="78">
        <v>46296</v>
      </c>
      <c r="C2419" s="76" t="s">
        <v>780</v>
      </c>
      <c r="D2419" s="76" t="s">
        <v>575</v>
      </c>
      <c r="E2419" s="76" t="s">
        <v>772</v>
      </c>
      <c r="F2419" s="76" t="s">
        <v>773</v>
      </c>
      <c r="G2419" s="79">
        <v>7700</v>
      </c>
      <c r="H2419" s="76" t="s">
        <v>63</v>
      </c>
      <c r="I2419" s="76"/>
      <c r="J2419" s="76" t="s">
        <v>775</v>
      </c>
      <c r="K2419" s="79">
        <v>7700</v>
      </c>
      <c r="L2419" s="76" t="s">
        <v>769</v>
      </c>
      <c r="M2419" s="76" t="s">
        <v>1798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1657</v>
      </c>
    </row>
    <row r="2420" spans="1:19">
      <c r="A2420" s="114">
        <v>46306.813199490738</v>
      </c>
      <c r="B2420" s="78">
        <v>46296</v>
      </c>
      <c r="C2420" s="76" t="s">
        <v>175</v>
      </c>
      <c r="D2420" s="76" t="s">
        <v>22</v>
      </c>
      <c r="E2420" s="76"/>
      <c r="F2420" s="76" t="s">
        <v>1581</v>
      </c>
      <c r="G2420" s="79">
        <v>100</v>
      </c>
      <c r="H2420" s="76" t="s">
        <v>520</v>
      </c>
      <c r="I2420" s="76" t="s">
        <v>1665</v>
      </c>
      <c r="J2420" s="76" t="s">
        <v>824</v>
      </c>
      <c r="K2420" s="79">
        <v>100</v>
      </c>
      <c r="L2420" s="76" t="s">
        <v>769</v>
      </c>
      <c r="M2420" s="76" t="s">
        <v>1799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1661</v>
      </c>
    </row>
    <row r="2421" spans="1:19">
      <c r="A2421" s="114">
        <v>46306.813203101847</v>
      </c>
      <c r="B2421" s="78">
        <v>46296</v>
      </c>
      <c r="C2421" s="76" t="s">
        <v>780</v>
      </c>
      <c r="D2421" s="76" t="s">
        <v>576</v>
      </c>
      <c r="E2421" s="76"/>
      <c r="F2421" s="76" t="s">
        <v>576</v>
      </c>
      <c r="G2421" s="79">
        <v>5000</v>
      </c>
      <c r="H2421" s="76" t="s">
        <v>63</v>
      </c>
      <c r="I2421" s="76"/>
      <c r="J2421" s="76" t="s">
        <v>775</v>
      </c>
      <c r="K2421" s="79">
        <v>5000</v>
      </c>
      <c r="L2421" s="76" t="s">
        <v>769</v>
      </c>
      <c r="M2421" s="76" t="s">
        <v>1800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1657</v>
      </c>
    </row>
    <row r="2422" spans="1:19">
      <c r="A2422" s="114">
        <v>46306.81527777778</v>
      </c>
      <c r="B2422" s="78">
        <v>46296</v>
      </c>
      <c r="C2422" s="76" t="s">
        <v>147</v>
      </c>
      <c r="D2422" s="76" t="inlineStr">
        <is>
          <t xml:space="preserve">여행/약속/공사</t>
        </is>
      </c>
      <c r="E2422" s="76" t="inlineStr">
        <is>
          <t xml:space="preserve">약속</t>
        </is>
      </c>
      <c r="F2422" s="76" t="s">
        <v>1801</v>
      </c>
      <c r="G2422" s="79">
        <v>100000</v>
      </c>
      <c r="H2422" s="76" t="s">
        <v>63</v>
      </c>
      <c r="I2422" s="76" t="s">
        <v>81</v>
      </c>
      <c r="J2422" s="76" t="s">
        <v>1775</v>
      </c>
      <c r="K2422" s="79">
        <v>0</v>
      </c>
      <c r="L2422" s="76" t="s">
        <v>147</v>
      </c>
      <c r="M2422" s="76" t="inlineStr">
        <is>
          <t xml:space="preserve">10/15 재첨부 RAW 43행으로 시각·분류 수정. 기존 형제자매 잔금 반환 100,000원. 신규 소비·본인 반환 아님.</t>
        </is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1661</v>
      </c>
    </row>
    <row r="2423" spans="1:19">
      <c r="A2423" s="114">
        <v>46306.815287187499</v>
      </c>
      <c r="B2423" s="78">
        <v>46296</v>
      </c>
      <c r="C2423" s="76" t="s">
        <v>147</v>
      </c>
      <c r="D2423" s="76" t="s">
        <v>175</v>
      </c>
      <c r="E2423" s="76"/>
      <c r="F2423" s="76" t="s">
        <v>1803</v>
      </c>
      <c r="G2423" s="79">
        <v>139000</v>
      </c>
      <c r="H2423" s="76" t="s">
        <v>1579</v>
      </c>
      <c r="I2423" s="76" t="s">
        <v>81</v>
      </c>
      <c r="J2423" s="76" t="s">
        <v>805</v>
      </c>
      <c r="K2423" s="79">
        <v>0</v>
      </c>
      <c r="L2423" s="76" t="s">
        <v>147</v>
      </c>
      <c r="M2423" s="76" t="s">
        <v>1804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1661</v>
      </c>
    </row>
    <row r="2424" spans="1:19">
      <c r="A2424" s="114">
        <v>46306.821531215282</v>
      </c>
      <c r="B2424" s="78">
        <v>46296</v>
      </c>
      <c r="C2424" s="76" t="s">
        <v>669</v>
      </c>
      <c r="D2424" s="76" t="s">
        <v>912</v>
      </c>
      <c r="E2424" s="76" t="s">
        <v>1190</v>
      </c>
      <c r="F2424" s="76" t="s">
        <v>1805</v>
      </c>
      <c r="G2424" s="79">
        <v>14000</v>
      </c>
      <c r="H2424" s="76" t="s">
        <v>63</v>
      </c>
      <c r="I2424" s="76" t="s">
        <v>1678</v>
      </c>
      <c r="J2424" s="76" t="s">
        <v>783</v>
      </c>
      <c r="K2424" s="79">
        <v>14000</v>
      </c>
      <c r="L2424" s="76" t="s">
        <v>769</v>
      </c>
      <c r="M2424" s="76" t="s">
        <v>1806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1657</v>
      </c>
    </row>
    <row r="2425" spans="1:19">
      <c r="A2425" s="114">
        <v>46306.821536238429</v>
      </c>
      <c r="B2425" s="78">
        <v>46296</v>
      </c>
      <c r="C2425" s="76" t="s">
        <v>780</v>
      </c>
      <c r="D2425" s="76" t="s">
        <v>912</v>
      </c>
      <c r="E2425" s="76" t="s">
        <v>1190</v>
      </c>
      <c r="F2425" s="76" t="s">
        <v>1807</v>
      </c>
      <c r="G2425" s="79">
        <v>11000</v>
      </c>
      <c r="H2425" s="76" t="s">
        <v>63</v>
      </c>
      <c r="I2425" s="76" t="s">
        <v>1678</v>
      </c>
      <c r="J2425" s="76" t="s">
        <v>783</v>
      </c>
      <c r="K2425" s="79">
        <v>11000</v>
      </c>
      <c r="L2425" s="76" t="s">
        <v>769</v>
      </c>
      <c r="M2425" s="76" t="s">
        <v>1808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1657</v>
      </c>
    </row>
    <row r="2426" spans="1:19">
      <c r="A2426" s="114">
        <v>46307.822226562501</v>
      </c>
      <c r="B2426" s="78">
        <v>46296</v>
      </c>
      <c r="C2426" s="76" t="s">
        <v>780</v>
      </c>
      <c r="D2426" s="76" t="s">
        <v>575</v>
      </c>
      <c r="E2426" s="76" t="s">
        <v>904</v>
      </c>
      <c r="F2426" s="76" t="s">
        <v>1057</v>
      </c>
      <c r="G2426" s="79">
        <v>7600</v>
      </c>
      <c r="H2426" s="76" t="s">
        <v>63</v>
      </c>
      <c r="I2426" s="76"/>
      <c r="J2426" s="76" t="s">
        <v>775</v>
      </c>
      <c r="K2426" s="79">
        <v>7600</v>
      </c>
      <c r="L2426" s="76" t="s">
        <v>769</v>
      </c>
      <c r="M2426" s="76" t="s">
        <v>1809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1657</v>
      </c>
    </row>
    <row r="2427" spans="1:19">
      <c r="A2427" s="114">
        <v>46307.823615891197</v>
      </c>
      <c r="B2427" s="78">
        <v>46296</v>
      </c>
      <c r="C2427" s="76" t="s">
        <v>780</v>
      </c>
      <c r="D2427" s="76" t="s">
        <v>876</v>
      </c>
      <c r="E2427" s="76"/>
      <c r="F2427" s="76" t="s">
        <v>649</v>
      </c>
      <c r="G2427" s="79">
        <v>27610</v>
      </c>
      <c r="H2427" s="76" t="s">
        <v>63</v>
      </c>
      <c r="I2427" s="76"/>
      <c r="J2427" s="76" t="s">
        <v>768</v>
      </c>
      <c r="K2427" s="79">
        <v>27610</v>
      </c>
      <c r="L2427" s="76" t="s">
        <v>769</v>
      </c>
      <c r="M2427" s="76" t="s">
        <v>1810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1657</v>
      </c>
    </row>
    <row r="2428" spans="1:19">
      <c r="A2428" s="114">
        <v>46307.823622002317</v>
      </c>
      <c r="B2428" s="78">
        <v>46296</v>
      </c>
      <c r="C2428" s="76" t="s">
        <v>766</v>
      </c>
      <c r="D2428" s="76" t="s">
        <v>942</v>
      </c>
      <c r="E2428" s="76"/>
      <c r="F2428" s="76" t="s">
        <v>1094</v>
      </c>
      <c r="G2428" s="79">
        <v>42900</v>
      </c>
      <c r="H2428" s="76" t="s">
        <v>63</v>
      </c>
      <c r="I2428" s="76"/>
      <c r="J2428" s="76" t="s">
        <v>775</v>
      </c>
      <c r="K2428" s="79">
        <v>42900</v>
      </c>
      <c r="L2428" s="76" t="s">
        <v>769</v>
      </c>
      <c r="M2428" s="76" t="s">
        <v>1811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1657</v>
      </c>
    </row>
    <row r="2429" spans="1:19">
      <c r="A2429" s="114">
        <v>46307.824310555552</v>
      </c>
      <c r="B2429" s="78">
        <v>46296</v>
      </c>
      <c r="C2429" s="76" t="s">
        <v>163</v>
      </c>
      <c r="D2429" s="76" t="s">
        <v>196</v>
      </c>
      <c r="E2429" s="76"/>
      <c r="F2429" s="76" t="s">
        <v>81</v>
      </c>
      <c r="G2429" s="79">
        <v>90410</v>
      </c>
      <c r="H2429" s="76" t="s">
        <v>1579</v>
      </c>
      <c r="I2429" s="76"/>
      <c r="J2429" s="76" t="s">
        <v>805</v>
      </c>
      <c r="K2429" s="79">
        <v>90410</v>
      </c>
      <c r="L2429" s="76" t="s">
        <v>769</v>
      </c>
      <c r="M2429" s="76" t="s">
        <v>1812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1673</v>
      </c>
      <c r="S2429" s="76" t="s">
        <v>807</v>
      </c>
    </row>
    <row r="2430" spans="1:19">
      <c r="A2430" s="114">
        <v>46307.825001041667</v>
      </c>
      <c r="B2430" s="78">
        <v>46296</v>
      </c>
      <c r="C2430" s="76" t="s">
        <v>163</v>
      </c>
      <c r="D2430" s="76" t="s">
        <v>193</v>
      </c>
      <c r="E2430" s="76"/>
      <c r="F2430" s="76" t="s">
        <v>81</v>
      </c>
      <c r="G2430" s="79">
        <v>1390</v>
      </c>
      <c r="H2430" s="76" t="s">
        <v>1579</v>
      </c>
      <c r="I2430" s="76"/>
      <c r="J2430" s="76" t="s">
        <v>805</v>
      </c>
      <c r="K2430" s="79">
        <v>1390</v>
      </c>
      <c r="L2430" s="76" t="s">
        <v>769</v>
      </c>
      <c r="M2430" s="76" t="s">
        <v>1813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1673</v>
      </c>
      <c r="S2430" s="76" t="s">
        <v>807</v>
      </c>
    </row>
    <row r="2431" spans="1:19">
      <c r="A2431" s="114">
        <v>46307.825696446758</v>
      </c>
      <c r="B2431" s="78">
        <v>46296</v>
      </c>
      <c r="C2431" s="76" t="s">
        <v>780</v>
      </c>
      <c r="D2431" s="76" t="s">
        <v>576</v>
      </c>
      <c r="E2431" s="76"/>
      <c r="F2431" s="76" t="s">
        <v>576</v>
      </c>
      <c r="G2431" s="79">
        <v>5000</v>
      </c>
      <c r="H2431" s="76" t="s">
        <v>63</v>
      </c>
      <c r="I2431" s="76"/>
      <c r="J2431" s="76" t="s">
        <v>775</v>
      </c>
      <c r="K2431" s="79">
        <v>5000</v>
      </c>
      <c r="L2431" s="76" t="s">
        <v>769</v>
      </c>
      <c r="M2431" s="76" t="s">
        <v>1814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1657</v>
      </c>
    </row>
    <row r="2432" spans="1:19">
      <c r="A2432" s="114">
        <v>46307.825702685193</v>
      </c>
      <c r="B2432" s="78">
        <v>46296</v>
      </c>
      <c r="C2432" s="76" t="s">
        <v>780</v>
      </c>
      <c r="D2432" s="76" t="s">
        <v>575</v>
      </c>
      <c r="E2432" s="76" t="s">
        <v>772</v>
      </c>
      <c r="F2432" s="76" t="s">
        <v>773</v>
      </c>
      <c r="G2432" s="79">
        <v>2200</v>
      </c>
      <c r="H2432" s="76" t="s">
        <v>63</v>
      </c>
      <c r="I2432" s="76" t="s">
        <v>794</v>
      </c>
      <c r="J2432" s="76" t="s">
        <v>775</v>
      </c>
      <c r="K2432" s="79">
        <v>2200</v>
      </c>
      <c r="L2432" s="76" t="s">
        <v>769</v>
      </c>
      <c r="M2432" s="76" t="s">
        <v>1815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1657</v>
      </c>
    </row>
    <row r="2433" spans="1:19">
      <c r="A2433" s="114">
        <v>46307.82638943287</v>
      </c>
      <c r="B2433" s="78">
        <v>46296</v>
      </c>
      <c r="C2433" s="76" t="s">
        <v>766</v>
      </c>
      <c r="D2433" s="76" t="s">
        <v>912</v>
      </c>
      <c r="E2433" s="76" t="s">
        <v>68</v>
      </c>
      <c r="F2433" s="76" t="s">
        <v>1087</v>
      </c>
      <c r="G2433" s="79">
        <v>53900</v>
      </c>
      <c r="H2433" s="76" t="s">
        <v>63</v>
      </c>
      <c r="I2433" s="76" t="s">
        <v>1678</v>
      </c>
      <c r="J2433" s="76" t="s">
        <v>68</v>
      </c>
      <c r="K2433" s="79">
        <v>53900</v>
      </c>
      <c r="L2433" s="76" t="s">
        <v>769</v>
      </c>
      <c r="M2433" s="76" t="s">
        <v>1816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1657</v>
      </c>
    </row>
    <row r="2434" spans="1:19">
      <c r="A2434" s="114">
        <v>46307.827780798609</v>
      </c>
      <c r="B2434" s="78">
        <v>46296</v>
      </c>
      <c r="C2434" s="76" t="s">
        <v>766</v>
      </c>
      <c r="D2434" s="76" t="s">
        <v>912</v>
      </c>
      <c r="E2434" s="76" t="s">
        <v>68</v>
      </c>
      <c r="F2434" s="76" t="s">
        <v>1087</v>
      </c>
      <c r="G2434" s="79">
        <v>51800</v>
      </c>
      <c r="H2434" s="76" t="s">
        <v>63</v>
      </c>
      <c r="I2434" s="76" t="s">
        <v>1817</v>
      </c>
      <c r="J2434" s="76" t="s">
        <v>1818</v>
      </c>
      <c r="K2434" s="79">
        <v>0</v>
      </c>
      <c r="L2434" s="76" t="s">
        <v>1819</v>
      </c>
      <c r="M2434" s="76" t="s">
        <v>1820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1657</v>
      </c>
    </row>
    <row r="2435" spans="1:19">
      <c r="A2435" s="114">
        <v>46307.827787337963</v>
      </c>
      <c r="B2435" s="78">
        <v>46296</v>
      </c>
      <c r="C2435" s="76" t="s">
        <v>780</v>
      </c>
      <c r="D2435" s="76" t="s">
        <v>876</v>
      </c>
      <c r="E2435" s="76"/>
      <c r="F2435" s="76" t="s">
        <v>464</v>
      </c>
      <c r="G2435" s="79">
        <v>53620</v>
      </c>
      <c r="H2435" s="76" t="s">
        <v>63</v>
      </c>
      <c r="I2435" s="76"/>
      <c r="J2435" s="76" t="s">
        <v>768</v>
      </c>
      <c r="K2435" s="79">
        <v>53620</v>
      </c>
      <c r="L2435" s="76" t="s">
        <v>769</v>
      </c>
      <c r="M2435" s="76" t="s">
        <v>1821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1657</v>
      </c>
    </row>
    <row r="2436" spans="1:19">
      <c r="A2436" s="114">
        <v>46307.829167731477</v>
      </c>
      <c r="B2436" s="78">
        <v>46296</v>
      </c>
      <c r="C2436" s="76" t="s">
        <v>766</v>
      </c>
      <c r="D2436" s="76" t="s">
        <v>843</v>
      </c>
      <c r="E2436" s="76"/>
      <c r="F2436" s="76" t="s">
        <v>1822</v>
      </c>
      <c r="G2436" s="79">
        <v>114820</v>
      </c>
      <c r="H2436" s="76" t="s">
        <v>63</v>
      </c>
      <c r="I2436" s="76" t="s">
        <v>1678</v>
      </c>
      <c r="J2436" s="76" t="s">
        <v>775</v>
      </c>
      <c r="K2436" s="79">
        <v>114820</v>
      </c>
      <c r="L2436" s="76" t="s">
        <v>769</v>
      </c>
      <c r="M2436" s="76" t="s">
        <v>1823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1657</v>
      </c>
    </row>
    <row r="2437" spans="1:19">
      <c r="A2437" s="114">
        <v>46307.831252557873</v>
      </c>
      <c r="B2437" s="78">
        <v>46296</v>
      </c>
      <c r="C2437" s="76" t="s">
        <v>175</v>
      </c>
      <c r="D2437" s="76" t="s">
        <v>70</v>
      </c>
      <c r="E2437" s="76"/>
      <c r="F2437" s="76" t="s">
        <v>70</v>
      </c>
      <c r="G2437" s="79">
        <v>500000</v>
      </c>
      <c r="H2437" s="76" t="s">
        <v>520</v>
      </c>
      <c r="I2437" s="76"/>
      <c r="J2437" s="76" t="s">
        <v>70</v>
      </c>
      <c r="K2437" s="79">
        <v>500000</v>
      </c>
      <c r="L2437" s="76" t="s">
        <v>769</v>
      </c>
      <c r="M2437" s="76" t="s">
        <v>1824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1661</v>
      </c>
    </row>
    <row r="2438" spans="1:19">
      <c r="A2438" s="114">
        <v>46307.83473072917</v>
      </c>
      <c r="B2438" s="78">
        <v>46296</v>
      </c>
      <c r="C2438" s="76" t="s">
        <v>175</v>
      </c>
      <c r="D2438" s="76" t="s">
        <v>1825</v>
      </c>
      <c r="E2438" s="76"/>
      <c r="F2438" s="76" t="s">
        <v>828</v>
      </c>
      <c r="G2438" s="79">
        <v>136350</v>
      </c>
      <c r="H2438" s="76" t="s">
        <v>1579</v>
      </c>
      <c r="I2438" s="76"/>
      <c r="J2438" s="76" t="s">
        <v>768</v>
      </c>
      <c r="K2438" s="79">
        <v>136350</v>
      </c>
      <c r="L2438" s="76" t="s">
        <v>769</v>
      </c>
      <c r="M2438" s="76" t="s">
        <v>1826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1661</v>
      </c>
    </row>
    <row r="2439" spans="1:19">
      <c r="A2439" s="114">
        <v>46307.835417488423</v>
      </c>
      <c r="B2439" s="78">
        <v>46296</v>
      </c>
      <c r="C2439" s="76" t="s">
        <v>766</v>
      </c>
      <c r="D2439" s="76" t="s">
        <v>912</v>
      </c>
      <c r="E2439" s="76" t="s">
        <v>1190</v>
      </c>
      <c r="F2439" s="76" t="s">
        <v>1548</v>
      </c>
      <c r="G2439" s="79">
        <v>11700</v>
      </c>
      <c r="H2439" s="76" t="s">
        <v>63</v>
      </c>
      <c r="I2439" s="76"/>
      <c r="J2439" s="76" t="s">
        <v>783</v>
      </c>
      <c r="K2439" s="79">
        <v>11700</v>
      </c>
      <c r="L2439" s="76" t="s">
        <v>769</v>
      </c>
      <c r="M2439" s="76" t="s">
        <v>1827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1657</v>
      </c>
    </row>
    <row r="2440" spans="1:19">
      <c r="A2440" s="114">
        <v>46307.835426736106</v>
      </c>
      <c r="B2440" s="78">
        <v>46296</v>
      </c>
      <c r="C2440" s="76" t="s">
        <v>175</v>
      </c>
      <c r="D2440" s="76" t="s">
        <v>22</v>
      </c>
      <c r="E2440" s="76"/>
      <c r="F2440" s="76" t="s">
        <v>1581</v>
      </c>
      <c r="G2440" s="79">
        <v>100</v>
      </c>
      <c r="H2440" s="76" t="s">
        <v>520</v>
      </c>
      <c r="I2440" s="76" t="s">
        <v>1665</v>
      </c>
      <c r="J2440" s="76" t="s">
        <v>824</v>
      </c>
      <c r="K2440" s="79">
        <v>100</v>
      </c>
      <c r="L2440" s="76" t="s">
        <v>769</v>
      </c>
      <c r="M2440" s="76" t="s">
        <v>1828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1661</v>
      </c>
    </row>
    <row r="2441" spans="1:19">
      <c r="A2441" s="114">
        <v>46307.838889386578</v>
      </c>
      <c r="B2441" s="78">
        <v>46296</v>
      </c>
      <c r="C2441" s="76" t="s">
        <v>193</v>
      </c>
      <c r="D2441" s="76" t="s">
        <v>669</v>
      </c>
      <c r="E2441" s="76"/>
      <c r="F2441" s="76" t="s">
        <v>828</v>
      </c>
      <c r="G2441" s="79">
        <v>1390</v>
      </c>
      <c r="H2441" s="76" t="s">
        <v>1579</v>
      </c>
      <c r="I2441" s="76"/>
      <c r="J2441" s="76" t="s">
        <v>805</v>
      </c>
      <c r="K2441" s="79">
        <v>1390</v>
      </c>
      <c r="L2441" s="76" t="s">
        <v>769</v>
      </c>
      <c r="M2441" s="76" t="s">
        <v>1829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1661</v>
      </c>
    </row>
    <row r="2442" spans="1:19">
      <c r="A2442" s="114">
        <v>46307.843067106478</v>
      </c>
      <c r="B2442" s="78">
        <v>46296</v>
      </c>
      <c r="C2442" s="76" t="s">
        <v>163</v>
      </c>
      <c r="D2442" s="76" t="s">
        <v>22</v>
      </c>
      <c r="E2442" s="76"/>
      <c r="F2442" s="76" t="s">
        <v>188</v>
      </c>
      <c r="G2442" s="79">
        <v>8557</v>
      </c>
      <c r="H2442" s="76" t="s">
        <v>520</v>
      </c>
      <c r="I2442" s="76"/>
      <c r="J2442" s="76" t="s">
        <v>824</v>
      </c>
      <c r="K2442" s="79">
        <v>8557</v>
      </c>
      <c r="L2442" s="76" t="s">
        <v>769</v>
      </c>
      <c r="M2442" s="76" t="s">
        <v>1830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1673</v>
      </c>
      <c r="S2442" s="76" t="s">
        <v>59</v>
      </c>
    </row>
    <row r="2443" spans="1:19">
      <c r="A2443" s="114">
        <v>46307.95239583333</v>
      </c>
      <c r="B2443" s="78">
        <v>46296</v>
      </c>
      <c r="C2443" s="76" t="s">
        <v>780</v>
      </c>
      <c r="D2443" s="76" t="s">
        <v>811</v>
      </c>
      <c r="E2443" s="76"/>
      <c r="F2443" s="76" t="s">
        <v>1831</v>
      </c>
      <c r="G2443" s="79">
        <v>74700</v>
      </c>
      <c r="H2443" s="76" t="s">
        <v>63</v>
      </c>
      <c r="I2443" s="76" t="s">
        <v>878</v>
      </c>
      <c r="J2443" s="76" t="s">
        <v>768</v>
      </c>
      <c r="K2443" s="79">
        <v>74700</v>
      </c>
      <c r="L2443" s="76" t="s">
        <v>769</v>
      </c>
      <c r="M2443" s="76" t="s">
        <v>1832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1657</v>
      </c>
    </row>
    <row r="2444" spans="1:19">
      <c r="A2444" s="114">
        <v>46308.450742337962</v>
      </c>
      <c r="B2444" s="78">
        <v>46296</v>
      </c>
      <c r="C2444" s="76" t="s">
        <v>196</v>
      </c>
      <c r="D2444" s="76" t="s">
        <v>22</v>
      </c>
      <c r="E2444" s="76"/>
      <c r="F2444" s="76" t="s">
        <v>1495</v>
      </c>
      <c r="G2444" s="79">
        <v>90410</v>
      </c>
      <c r="H2444" s="76" t="s">
        <v>63</v>
      </c>
      <c r="I2444" s="76" t="s">
        <v>509</v>
      </c>
      <c r="J2444" s="76" t="s">
        <v>768</v>
      </c>
      <c r="K2444" s="79">
        <v>90410</v>
      </c>
      <c r="L2444" s="76" t="s">
        <v>769</v>
      </c>
      <c r="M2444" s="76" t="s">
        <v>1833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1661</v>
      </c>
    </row>
    <row r="2445" spans="1:19">
      <c r="A2445" s="114">
        <v>46308.450992777784</v>
      </c>
      <c r="B2445" s="78">
        <v>46296</v>
      </c>
      <c r="C2445" s="76" t="s">
        <v>196</v>
      </c>
      <c r="D2445" s="76" t="s">
        <v>22</v>
      </c>
      <c r="E2445" s="76"/>
      <c r="F2445" s="76" t="s">
        <v>934</v>
      </c>
      <c r="G2445" s="79">
        <v>1</v>
      </c>
      <c r="H2445" s="76" t="s">
        <v>520</v>
      </c>
      <c r="I2445" s="76"/>
      <c r="J2445" s="76" t="s">
        <v>824</v>
      </c>
      <c r="K2445" s="79">
        <v>1</v>
      </c>
      <c r="L2445" s="76" t="s">
        <v>769</v>
      </c>
      <c r="M2445" s="76" t="s">
        <v>1834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1661</v>
      </c>
    </row>
    <row r="2446" spans="1:19">
      <c r="A2446" s="114">
        <v>46308.749010173611</v>
      </c>
      <c r="B2446" s="78">
        <v>46296</v>
      </c>
      <c r="C2446" s="76" t="s">
        <v>163</v>
      </c>
      <c r="D2446" s="76" t="s">
        <v>187</v>
      </c>
      <c r="E2446" s="76"/>
      <c r="F2446" s="76" t="s">
        <v>81</v>
      </c>
      <c r="G2446" s="79">
        <v>753905</v>
      </c>
      <c r="H2446" s="76" t="s">
        <v>1579</v>
      </c>
      <c r="I2446" s="76"/>
      <c r="J2446" s="76" t="s">
        <v>805</v>
      </c>
      <c r="K2446" s="79">
        <v>753905</v>
      </c>
      <c r="L2446" s="76" t="s">
        <v>769</v>
      </c>
      <c r="M2446" s="76" t="s">
        <v>1835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1673</v>
      </c>
      <c r="S2446" s="76" t="s">
        <v>807</v>
      </c>
    </row>
    <row r="2447" spans="1:19">
      <c r="A2447" s="114">
        <v>46308.786898680562</v>
      </c>
      <c r="B2447" s="78">
        <v>46296</v>
      </c>
      <c r="C2447" s="76" t="s">
        <v>780</v>
      </c>
      <c r="D2447" s="76" t="s">
        <v>576</v>
      </c>
      <c r="E2447" s="76"/>
      <c r="F2447" s="76" t="s">
        <v>576</v>
      </c>
      <c r="G2447" s="79">
        <v>4500</v>
      </c>
      <c r="H2447" s="76" t="s">
        <v>63</v>
      </c>
      <c r="I2447" s="76"/>
      <c r="J2447" s="76" t="s">
        <v>775</v>
      </c>
      <c r="K2447" s="79">
        <v>4500</v>
      </c>
      <c r="L2447" s="76" t="s">
        <v>769</v>
      </c>
      <c r="M2447" s="76" t="s">
        <v>1836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1657</v>
      </c>
    </row>
    <row r="2448" spans="1:19">
      <c r="A2448" s="114">
        <v>46308.845837777779</v>
      </c>
      <c r="B2448" s="78">
        <v>46296</v>
      </c>
      <c r="C2448" s="76" t="s">
        <v>175</v>
      </c>
      <c r="D2448" s="76" t="s">
        <v>163</v>
      </c>
      <c r="E2448" s="76"/>
      <c r="F2448" s="76" t="s">
        <v>81</v>
      </c>
      <c r="G2448" s="79">
        <v>604300</v>
      </c>
      <c r="H2448" s="76" t="s">
        <v>1579</v>
      </c>
      <c r="I2448" s="76"/>
      <c r="J2448" s="76" t="s">
        <v>805</v>
      </c>
      <c r="K2448" s="79">
        <v>604300</v>
      </c>
      <c r="L2448" s="76" t="s">
        <v>769</v>
      </c>
      <c r="M2448" s="76" t="s">
        <v>1837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1673</v>
      </c>
      <c r="S2448" s="76" t="s">
        <v>804</v>
      </c>
    </row>
    <row r="2449" spans="1:19">
      <c r="A2449" s="114">
        <v>46308.847924930553</v>
      </c>
      <c r="B2449" s="78">
        <v>46296</v>
      </c>
      <c r="C2449" s="76" t="s">
        <v>163</v>
      </c>
      <c r="D2449" s="76" t="s">
        <v>175</v>
      </c>
      <c r="E2449" s="76"/>
      <c r="F2449" s="76" t="s">
        <v>81</v>
      </c>
      <c r="G2449" s="79">
        <v>798746</v>
      </c>
      <c r="H2449" s="76" t="s">
        <v>1579</v>
      </c>
      <c r="I2449" s="76"/>
      <c r="J2449" s="76" t="s">
        <v>805</v>
      </c>
      <c r="K2449" s="79">
        <v>798746</v>
      </c>
      <c r="L2449" s="76" t="s">
        <v>769</v>
      </c>
      <c r="M2449" s="76" t="s">
        <v>1838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1673</v>
      </c>
      <c r="S2449" s="76" t="s">
        <v>807</v>
      </c>
    </row>
    <row r="2450" spans="1:19">
      <c r="A2450" s="114">
        <v>46308.848613587958</v>
      </c>
      <c r="B2450" s="78">
        <v>46296</v>
      </c>
      <c r="C2450" s="76" t="s">
        <v>163</v>
      </c>
      <c r="D2450" s="76" t="s">
        <v>181</v>
      </c>
      <c r="E2450" s="76"/>
      <c r="F2450" s="76" t="s">
        <v>81</v>
      </c>
      <c r="G2450" s="79">
        <v>360550</v>
      </c>
      <c r="H2450" s="76" t="s">
        <v>1579</v>
      </c>
      <c r="I2450" s="76"/>
      <c r="J2450" s="76" t="s">
        <v>805</v>
      </c>
      <c r="K2450" s="79">
        <v>360550</v>
      </c>
      <c r="L2450" s="76" t="s">
        <v>769</v>
      </c>
      <c r="M2450" s="76" t="s">
        <v>1839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1673</v>
      </c>
      <c r="S2450" s="76" t="s">
        <v>807</v>
      </c>
    </row>
    <row r="2451" spans="1:19">
      <c r="A2451" s="114">
        <v>46308.85000755787</v>
      </c>
      <c r="B2451" s="78">
        <v>46296</v>
      </c>
      <c r="C2451" s="76" t="s">
        <v>163</v>
      </c>
      <c r="D2451" s="76" t="s">
        <v>178</v>
      </c>
      <c r="E2451" s="76"/>
      <c r="F2451" s="76" t="s">
        <v>81</v>
      </c>
      <c r="G2451" s="79">
        <v>246568</v>
      </c>
      <c r="H2451" s="76" t="s">
        <v>1579</v>
      </c>
      <c r="I2451" s="76"/>
      <c r="J2451" s="76" t="s">
        <v>805</v>
      </c>
      <c r="K2451" s="79">
        <v>246568</v>
      </c>
      <c r="L2451" s="76" t="s">
        <v>769</v>
      </c>
      <c r="M2451" s="76" t="s">
        <v>1840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1673</v>
      </c>
      <c r="S2451" s="76" t="s">
        <v>807</v>
      </c>
    </row>
    <row r="2452" spans="1:19">
      <c r="A2452" s="114">
        <v>46308.850696064823</v>
      </c>
      <c r="B2452" s="78">
        <v>46296</v>
      </c>
      <c r="C2452" s="76" t="s">
        <v>163</v>
      </c>
      <c r="D2452" s="76" t="s">
        <v>175</v>
      </c>
      <c r="E2452" s="76"/>
      <c r="F2452" s="76" t="s">
        <v>81</v>
      </c>
      <c r="G2452" s="79">
        <v>236270</v>
      </c>
      <c r="H2452" s="76" t="s">
        <v>1579</v>
      </c>
      <c r="I2452" s="76"/>
      <c r="J2452" s="76" t="s">
        <v>805</v>
      </c>
      <c r="K2452" s="79">
        <v>236270</v>
      </c>
      <c r="L2452" s="76" t="s">
        <v>769</v>
      </c>
      <c r="M2452" s="76" t="s">
        <v>1841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1673</v>
      </c>
      <c r="S2452" s="76" t="s">
        <v>807</v>
      </c>
    </row>
    <row r="2453" spans="1:19">
      <c r="A2453" s="114">
        <v>46308.851395949067</v>
      </c>
      <c r="B2453" s="78">
        <v>46296</v>
      </c>
      <c r="C2453" s="76" t="s">
        <v>171</v>
      </c>
      <c r="D2453" s="76" t="s">
        <v>163</v>
      </c>
      <c r="E2453" s="76"/>
      <c r="F2453" s="76" t="s">
        <v>81</v>
      </c>
      <c r="G2453" s="79">
        <v>22210</v>
      </c>
      <c r="H2453" s="76" t="s">
        <v>1579</v>
      </c>
      <c r="I2453" s="76"/>
      <c r="J2453" s="76" t="s">
        <v>805</v>
      </c>
      <c r="K2453" s="79">
        <v>22210</v>
      </c>
      <c r="L2453" s="76" t="s">
        <v>769</v>
      </c>
      <c r="M2453" s="76" t="s">
        <v>1842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1673</v>
      </c>
      <c r="S2453" s="76" t="s">
        <v>804</v>
      </c>
    </row>
    <row r="2454" spans="1:19">
      <c r="A2454" s="114">
        <v>46308.859037118054</v>
      </c>
      <c r="B2454" s="78">
        <v>46296.0</v>
      </c>
      <c r="C2454" s="76" t="inlineStr">
        <is>
          <t xml:space="preserve">미래에셋_WRAP형CMA</t>
        </is>
      </c>
      <c r="D2454" s="76" t="inlineStr">
        <is>
          <t xml:space="preserve">금융</t>
        </is>
      </c>
      <c r="E2454" s="76"/>
      <c r="F2454" s="76" t="inlineStr">
        <is>
          <t xml:space="preserve">미래에셋 WRAP 이자</t>
        </is>
      </c>
      <c r="G2454" s="79">
        <v>535</v>
      </c>
      <c r="H2454" s="76" t="inlineStr">
        <is>
          <t xml:space="preserve">수입</t>
        </is>
      </c>
      <c r="I2454" s="76"/>
      <c r="J2454" s="76" t="inlineStr">
        <is>
          <t xml:space="preserve">이자·환급</t>
        </is>
      </c>
      <c r="K2454" s="79">
        <v>535</v>
      </c>
      <c r="L2454" s="76" t="inlineStr">
        <is>
          <t xml:space="preserve">본인</t>
        </is>
      </c>
      <c r="M2454" s="76" t="inlineStr">
        <is>
          <t xml:space="preserve">10/15 RAW 13행 · WRAP 실제 이자 입금. 원장에 1회 가산.</t>
        </is>
      </c>
      <c r="N2454" s="76" t="str">
        <f>IF(R2454="WRAP",IF((COUNTIF(잔액!$W$64:$W$500,ROW())+COUNTIF(잔액!$X$64:$X$500,ROW()))=1,"연결",IF((COUNTIF(잔액!$W$64:$W$500,ROW())+COUNTIF(잔액!$X$64:$X$500,ROW()))=0,"누락","중복")),IF(R2454="카드사용","월간·계산기","타계좌·잔액제외"))</f>
        <v>연결</v>
      </c>
      <c r="O2454"/>
      <c r="P2454"/>
      <c r="Q2454"/>
      <c r="R2454" s="76" t="inlineStr">
        <is>
          <t xml:space="preserve">WRAP</t>
        </is>
      </c>
      <c r="S2454" s="76" t="inlineStr">
        <is>
          <t xml:space="preserve">입금</t>
        </is>
      </c>
    </row>
    <row r="2455" spans="1:19">
      <c r="A2455" s="114">
        <v>46308.873194444444</v>
      </c>
      <c r="B2455" s="78">
        <v>46296.0</v>
      </c>
      <c r="C2455" s="76" t="inlineStr">
        <is>
          <t xml:space="preserve">새마을금고</t>
        </is>
      </c>
      <c r="D2455" s="76" t="inlineStr">
        <is>
          <t xml:space="preserve">MG+S 하나카드</t>
        </is>
      </c>
      <c r="E2455" s="76"/>
      <c r="F2455" s="76" t="inlineStr">
        <is>
          <t xml:space="preserve">카드정산 결제</t>
        </is>
      </c>
      <c r="G2455" s="79">
        <v>753905</v>
      </c>
      <c r="H2455" s="76" t="inlineStr">
        <is>
          <t xml:space="preserve">이체지출</t>
        </is>
      </c>
      <c r="I2455" s="76"/>
      <c r="J2455" s="76" t="inlineStr">
        <is>
          <t xml:space="preserve">내부이체</t>
        </is>
      </c>
      <c r="K2455" s="79">
        <v>753905</v>
      </c>
      <c r="L2455" s="76" t="inlineStr">
        <is>
          <t xml:space="preserve">본인</t>
        </is>
      </c>
      <c r="M2455" s="76" t="inlineStr">
        <is>
          <t xml:space="preserve">10/15 RAW 12행 · 카드대금 납부. WRAP 준비송금 RAW 2446행과 연결. 소비·WRAP에서 다시 차감하지 않음.</t>
        </is>
      </c>
      <c r="N2455" s="76" t="str">
        <f>IF(R2455="WRAP",IF((COUNTIF(잔액!$W$64:$W$500,ROW())+COUNTIF(잔액!$X$64:$X$500,ROW()))=1,"연결",IF((COUNTIF(잔액!$W$64:$W$500,ROW())+COUNTIF(잔액!$X$64:$X$500,ROW()))=0,"누락","중복")),IF(R2455="카드사용","월간·계산기","타계좌·잔액제외"))</f>
        <v>타계좌·잔액제외</v>
      </c>
      <c r="O2455"/>
      <c r="P2455"/>
      <c r="Q2455"/>
      <c r="R2455" s="76" t="inlineStr">
        <is>
          <t xml:space="preserve">타계좌</t>
        </is>
      </c>
      <c r="S2455" s="76"/>
    </row>
    <row r="2456" spans="1:19">
      <c r="A2456" s="114">
        <v>46309.87211563657</v>
      </c>
      <c r="B2456" s="78">
        <v>46296.0</v>
      </c>
      <c r="C2456" s="76" t="inlineStr">
        <is>
          <t xml:space="preserve">우리은행</t>
        </is>
      </c>
      <c r="D2456" s="76" t="inlineStr">
        <is>
          <t xml:space="preserve">우리카드의정석SUPER</t>
        </is>
      </c>
      <c r="E2456" s="76"/>
      <c r="F2456" s="76" t="inlineStr">
        <is>
          <t xml:space="preserve">카드정산 결제</t>
        </is>
      </c>
      <c r="G2456" s="79">
        <v>246568</v>
      </c>
      <c r="H2456" s="76" t="inlineStr">
        <is>
          <t xml:space="preserve">이체지출</t>
        </is>
      </c>
      <c r="I2456" s="76"/>
      <c r="J2456" s="76" t="inlineStr">
        <is>
          <t xml:space="preserve">내부이체</t>
        </is>
      </c>
      <c r="K2456" s="79">
        <v>246568</v>
      </c>
      <c r="L2456" s="76" t="inlineStr">
        <is>
          <t xml:space="preserve">본인</t>
        </is>
      </c>
      <c r="M2456" s="76" t="inlineStr">
        <is>
          <t xml:space="preserve">10/15 RAW 11행 · 카드대금 납부. WRAP 준비송금 RAW 2451행과 연결. 소비·WRAP에서 다시 차감하지 않음.</t>
        </is>
      </c>
      <c r="N2456" s="76" t="str">
        <f>IF(R2456="WRAP",IF((COUNTIF(잔액!$W$64:$W$500,ROW())+COUNTIF(잔액!$X$64:$X$500,ROW()))=1,"연결",IF((COUNTIF(잔액!$W$64:$W$500,ROW())+COUNTIF(잔액!$X$64:$X$500,ROW()))=0,"누락","중복")),IF(R2456="카드사용","월간·계산기","타계좌·잔액제외"))</f>
        <v>타계좌·잔액제외</v>
      </c>
      <c r="O2456"/>
      <c r="P2456"/>
      <c r="Q2456"/>
      <c r="R2456" s="76" t="inlineStr">
        <is>
          <t xml:space="preserve">타계좌</t>
        </is>
      </c>
      <c r="S2456" s="76"/>
    </row>
    <row r="2457" spans="1:19">
      <c r="A2457" s="114">
        <v>46309.87217534722</v>
      </c>
      <c r="B2457" s="78">
        <v>46296.0</v>
      </c>
      <c r="C2457" s="76" t="inlineStr">
        <is>
          <t xml:space="preserve">롯데365카드</t>
        </is>
      </c>
      <c r="D2457" s="76" t="inlineStr">
        <is>
          <t xml:space="preserve">식비</t>
        </is>
      </c>
      <c r="E2457" s="76" t="inlineStr">
        <is>
          <t xml:space="preserve">식대</t>
        </is>
      </c>
      <c r="F2457" s="76" t="inlineStr">
        <is>
          <t xml:space="preserve">꽃담</t>
        </is>
      </c>
      <c r="G2457" s="79">
        <v>8500</v>
      </c>
      <c r="H2457" s="76" t="inlineStr">
        <is>
          <t xml:space="preserve">지출</t>
        </is>
      </c>
      <c r="I2457" s="76"/>
      <c r="J2457" s="76" t="inlineStr">
        <is>
          <t xml:space="preserve">변동비</t>
        </is>
      </c>
      <c r="K2457" s="79">
        <v>8500</v>
      </c>
      <c r="L2457" s="76" t="inlineStr">
        <is>
          <t xml:space="preserve">본인</t>
        </is>
      </c>
      <c r="M2457" s="76" t="inlineStr">
        <is>
          <t xml:space="preserve">10/15 RAW 10행 · 신규 카드 사용. 월간·계산기 반영, WRAP 원장 제외.</t>
        </is>
      </c>
      <c r="N2457" s="76" t="str">
        <f>IF(R2457="WRAP",IF((COUNTIF(잔액!$W$64:$W$500,ROW())+COUNTIF(잔액!$X$64:$X$500,ROW()))=1,"연결",IF((COUNTIF(잔액!$W$64:$W$500,ROW())+COUNTIF(잔액!$X$64:$X$500,ROW()))=0,"누락","중복")),IF(R2457="카드사용","월간·계산기","타계좌·잔액제외"))</f>
        <v>월간·계산기</v>
      </c>
      <c r="O2457"/>
      <c r="P2457"/>
      <c r="Q2457"/>
      <c r="R2457" s="76" t="inlineStr">
        <is>
          <t xml:space="preserve">카드사용</t>
        </is>
      </c>
      <c r="S2457" s="76"/>
    </row>
    <row r="2458" spans="1:19">
      <c r="A2458" s="114">
        <v>46309.87240193287</v>
      </c>
      <c r="B2458" s="78">
        <v>46296.0</v>
      </c>
      <c r="C2458" s="76" t="inlineStr">
        <is>
          <t xml:space="preserve">MG+S 하나카드</t>
        </is>
      </c>
      <c r="D2458" s="76" t="inlineStr">
        <is>
          <t xml:space="preserve">교통/차량</t>
        </is>
      </c>
      <c r="E2458" s="76"/>
      <c r="F2458" s="76" t="inlineStr">
        <is>
          <t xml:space="preserve">코레일</t>
        </is>
      </c>
      <c r="G2458" s="79">
        <v>51800</v>
      </c>
      <c r="H2458" s="76" t="inlineStr">
        <is>
          <t xml:space="preserve">지출</t>
        </is>
      </c>
      <c r="I2458" s="76" t="inlineStr">
        <is>
          <t xml:space="preserve">대리결제·미회수</t>
        </is>
      </c>
      <c r="J2458" s="76" t="inlineStr">
        <is>
          <t xml:space="preserve">대납</t>
        </is>
      </c>
      <c r="K2458" s="79">
        <v>0</v>
      </c>
      <c r="L2458" s="76" t="inlineStr">
        <is>
          <t xml:space="preserve">정산대기</t>
        </is>
      </c>
      <c r="M2458" s="76" t="inlineStr">
        <is>
          <t xml:space="preserve">10/15 RAW 9행 · 사용자 확인: 10/14의 별도 신규 철도 대리결제. 기존 10/12 대납과 각각 유지. 회수 입금 없음, 본인 소비 제외.</t>
        </is>
      </c>
      <c r="N2458" s="76" t="str">
        <f>IF(R2458="WRAP",IF((COUNTIF(잔액!$W$64:$W$500,ROW())+COUNTIF(잔액!$X$64:$X$500,ROW()))=1,"연결",IF((COUNTIF(잔액!$W$64:$W$500,ROW())+COUNTIF(잔액!$X$64:$X$500,ROW()))=0,"누락","중복")),IF(R2458="카드사용","월간·계산기","타계좌·잔액제외"))</f>
        <v>월간·계산기</v>
      </c>
      <c r="O2458"/>
      <c r="P2458"/>
      <c r="Q2458"/>
      <c r="R2458" s="76" t="inlineStr">
        <is>
          <t xml:space="preserve">카드사용</t>
        </is>
      </c>
      <c r="S2458" s="76"/>
    </row>
    <row r="2459" spans="1:19">
      <c r="A2459" s="114">
        <v>46309.87269118056</v>
      </c>
      <c r="B2459" s="78">
        <v>46296.0</v>
      </c>
      <c r="C2459" s="76" t="inlineStr">
        <is>
          <t xml:space="preserve">MG+S 하나카드</t>
        </is>
      </c>
      <c r="D2459" s="76" t="inlineStr">
        <is>
          <t xml:space="preserve">교통/차량</t>
        </is>
      </c>
      <c r="E2459" s="76"/>
      <c r="F2459" s="76" t="inlineStr">
        <is>
          <t xml:space="preserve">코레일</t>
        </is>
      </c>
      <c r="G2459" s="79">
        <v>53900</v>
      </c>
      <c r="H2459" s="76" t="inlineStr">
        <is>
          <t xml:space="preserve">지출</t>
        </is>
      </c>
      <c r="I2459" s="76"/>
      <c r="J2459" s="76" t="inlineStr">
        <is>
          <t xml:space="preserve">여행</t>
        </is>
      </c>
      <c r="K2459" s="79">
        <v>53900</v>
      </c>
      <c r="L2459" s="76" t="inlineStr">
        <is>
          <t xml:space="preserve">본인</t>
        </is>
      </c>
      <c r="M2459" s="76" t="inlineStr">
        <is>
          <t xml:space="preserve">10/15 RAW 8행 · 신규 카드 사용. 월간·계산기 반영, WRAP 원장 제외.</t>
        </is>
      </c>
      <c r="N2459" s="76" t="str">
        <f>IF(R2459="WRAP",IF((COUNTIF(잔액!$W$64:$W$500,ROW())+COUNTIF(잔액!$X$64:$X$500,ROW()))=1,"연결",IF((COUNTIF(잔액!$W$64:$W$500,ROW())+COUNTIF(잔액!$X$64:$X$500,ROW()))=0,"누락","중복")),IF(R2459="카드사용","월간·계산기","타계좌·잔액제외"))</f>
        <v>월간·계산기</v>
      </c>
      <c r="O2459"/>
      <c r="P2459"/>
      <c r="Q2459"/>
      <c r="R2459" s="76" t="inlineStr">
        <is>
          <t xml:space="preserve">카드사용</t>
        </is>
      </c>
      <c r="S2459" s="76"/>
    </row>
    <row r="2460" spans="1:19">
      <c r="A2460" s="114">
        <v>46309.872804108796</v>
      </c>
      <c r="B2460" s="78">
        <v>46296.0</v>
      </c>
      <c r="C2460" s="76" t="inlineStr">
        <is>
          <t xml:space="preserve">국민은행</t>
        </is>
      </c>
      <c r="D2460" s="76" t="inlineStr">
        <is>
          <t xml:space="preserve">KB쿠팡와우</t>
        </is>
      </c>
      <c r="E2460" s="76"/>
      <c r="F2460" s="76" t="inlineStr">
        <is>
          <t xml:space="preserve">카드정산 결제</t>
        </is>
      </c>
      <c r="G2460" s="79">
        <v>360550</v>
      </c>
      <c r="H2460" s="76" t="inlineStr">
        <is>
          <t xml:space="preserve">이체지출</t>
        </is>
      </c>
      <c r="I2460" s="76"/>
      <c r="J2460" s="76" t="inlineStr">
        <is>
          <t xml:space="preserve">내부이체</t>
        </is>
      </c>
      <c r="K2460" s="79">
        <v>360550</v>
      </c>
      <c r="L2460" s="76" t="inlineStr">
        <is>
          <t xml:space="preserve">본인</t>
        </is>
      </c>
      <c r="M2460" s="76" t="inlineStr">
        <is>
          <t xml:space="preserve">10/15 RAW 7행 · 카드대금 납부. WRAP 준비송금 RAW 2450행과 연결. 소비·WRAP에서 다시 차감하지 않음.</t>
        </is>
      </c>
      <c r="N2460" s="76" t="str">
        <f>IF(R2460="WRAP",IF((COUNTIF(잔액!$W$64:$W$500,ROW())+COUNTIF(잔액!$X$64:$X$500,ROW()))=1,"연결",IF((COUNTIF(잔액!$W$64:$W$500,ROW())+COUNTIF(잔액!$X$64:$X$500,ROW()))=0,"누락","중복")),IF(R2460="카드사용","월간·계산기","타계좌·잔액제외"))</f>
        <v>타계좌·잔액제외</v>
      </c>
      <c r="O2460"/>
      <c r="P2460"/>
      <c r="Q2460"/>
      <c r="R2460" s="76" t="inlineStr">
        <is>
          <t xml:space="preserve">타계좌</t>
        </is>
      </c>
      <c r="S2460" s="76"/>
    </row>
    <row r="2461" spans="1:19">
      <c r="A2461" s="114">
        <v>46309.87293063657</v>
      </c>
      <c r="B2461" s="78">
        <v>46296.0</v>
      </c>
      <c r="C2461" s="76" t="inlineStr">
        <is>
          <t xml:space="preserve">토스뱅크</t>
        </is>
      </c>
      <c r="D2461" s="76" t="inlineStr">
        <is>
          <t xml:space="preserve">롯데365카드</t>
        </is>
      </c>
      <c r="E2461" s="76"/>
      <c r="F2461" s="76" t="inlineStr">
        <is>
          <t xml:space="preserve">카드정산 결제</t>
        </is>
      </c>
      <c r="G2461" s="79">
        <v>798746</v>
      </c>
      <c r="H2461" s="76" t="inlineStr">
        <is>
          <t xml:space="preserve">이체지출</t>
        </is>
      </c>
      <c r="I2461" s="76"/>
      <c r="J2461" s="76" t="inlineStr">
        <is>
          <t xml:space="preserve">내부이체</t>
        </is>
      </c>
      <c r="K2461" s="79">
        <v>798746</v>
      </c>
      <c r="L2461" s="76" t="inlineStr">
        <is>
          <t xml:space="preserve">본인</t>
        </is>
      </c>
      <c r="M2461" s="76" t="inlineStr">
        <is>
          <t xml:space="preserve">10/15 RAW 6행 · 카드대금 납부. WRAP 준비송금 RAW 2449행과 연결. 소비·WRAP에서 다시 차감하지 않음.</t>
        </is>
      </c>
      <c r="N2461" s="76" t="str">
        <f>IF(R2461="WRAP",IF((COUNTIF(잔액!$W$64:$W$500,ROW())+COUNTIF(잔액!$X$64:$X$500,ROW()))=1,"연결",IF((COUNTIF(잔액!$W$64:$W$500,ROW())+COUNTIF(잔액!$X$64:$X$500,ROW()))=0,"누락","중복")),IF(R2461="카드사용","월간·계산기","타계좌·잔액제외"))</f>
        <v>타계좌·잔액제외</v>
      </c>
      <c r="O2461"/>
      <c r="P2461"/>
      <c r="Q2461"/>
      <c r="R2461" s="76" t="inlineStr">
        <is>
          <t xml:space="preserve">타계좌</t>
        </is>
      </c>
      <c r="S2461" s="76"/>
    </row>
    <row r="2462" spans="1:19">
      <c r="A2462" s="114">
        <v>46309.873502800925</v>
      </c>
      <c r="B2462" s="78">
        <v>46296.0</v>
      </c>
      <c r="C2462" s="76" t="inlineStr">
        <is>
          <t xml:space="preserve">토스뱅크</t>
        </is>
      </c>
      <c r="D2462" s="76" t="inlineStr">
        <is>
          <t xml:space="preserve">NH별다줄카드</t>
        </is>
      </c>
      <c r="E2462" s="76"/>
      <c r="F2462" s="76" t="inlineStr">
        <is>
          <t xml:space="preserve">카드정산 결제</t>
        </is>
      </c>
      <c r="G2462" s="79">
        <v>236270</v>
      </c>
      <c r="H2462" s="76" t="inlineStr">
        <is>
          <t xml:space="preserve">이체지출</t>
        </is>
      </c>
      <c r="I2462" s="76"/>
      <c r="J2462" s="76" t="inlineStr">
        <is>
          <t xml:space="preserve">내부이체</t>
        </is>
      </c>
      <c r="K2462" s="79">
        <v>236270</v>
      </c>
      <c r="L2462" s="76" t="inlineStr">
        <is>
          <t xml:space="preserve">본인</t>
        </is>
      </c>
      <c r="M2462" s="76" t="inlineStr">
        <is>
          <t xml:space="preserve">10/15 RAW 5행 · 카드대금 납부. WRAP 준비송금 RAW 2452행과 연결. 소비·WRAP에서 다시 차감하지 않음.</t>
        </is>
      </c>
      <c r="N2462" s="76" t="str">
        <f>IF(R2462="WRAP",IF((COUNTIF(잔액!$W$64:$W$500,ROW())+COUNTIF(잔액!$X$64:$X$500,ROW()))=1,"연결",IF((COUNTIF(잔액!$W$64:$W$500,ROW())+COUNTIF(잔액!$X$64:$X$500,ROW()))=0,"누락","중복")),IF(R2462="카드사용","월간·계산기","타계좌·잔액제외"))</f>
        <v>타계좌·잔액제외</v>
      </c>
      <c r="O2462"/>
      <c r="P2462"/>
      <c r="Q2462"/>
      <c r="R2462" s="76" t="inlineStr">
        <is>
          <t xml:space="preserve">타계좌</t>
        </is>
      </c>
      <c r="S2462" s="76"/>
    </row>
    <row r="2463" spans="1:19">
      <c r="A2463" s="114">
        <v>46310.82500712963</v>
      </c>
      <c r="B2463" s="78">
        <v>46296.0</v>
      </c>
      <c r="C2463" s="76" t="inlineStr">
        <is>
          <t xml:space="preserve">롯데365카드</t>
        </is>
      </c>
      <c r="D2463" s="76" t="inlineStr">
        <is>
          <t xml:space="preserve">식비</t>
        </is>
      </c>
      <c r="E2463" s="76" t="inlineStr">
        <is>
          <t xml:space="preserve">식대</t>
        </is>
      </c>
      <c r="F2463" s="76" t="inlineStr">
        <is>
          <t xml:space="preserve">맥도날드</t>
        </is>
      </c>
      <c r="G2463" s="79">
        <v>7300</v>
      </c>
      <c r="H2463" s="76" t="inlineStr">
        <is>
          <t xml:space="preserve">지출</t>
        </is>
      </c>
      <c r="I2463" s="76"/>
      <c r="J2463" s="76" t="inlineStr">
        <is>
          <t xml:space="preserve">변동비</t>
        </is>
      </c>
      <c r="K2463" s="79">
        <v>7300</v>
      </c>
      <c r="L2463" s="76" t="inlineStr">
        <is>
          <t xml:space="preserve">본인</t>
        </is>
      </c>
      <c r="M2463" s="76" t="inlineStr">
        <is>
          <t xml:space="preserve">10/15 RAW 4행 · 신규 카드 사용. 월간·계산기 반영, WRAP 원장 제외.</t>
        </is>
      </c>
      <c r="N2463" s="76" t="str">
        <f>IF(R2463="WRAP",IF((COUNTIF(잔액!$W$64:$W$500,ROW())+COUNTIF(잔액!$X$64:$X$500,ROW()))=1,"연결",IF((COUNTIF(잔액!$W$64:$W$500,ROW())+COUNTIF(잔액!$X$64:$X$500,ROW()))=0,"누락","중복")),IF(R2463="카드사용","월간·계산기","타계좌·잔액제외"))</f>
        <v>월간·계산기</v>
      </c>
      <c r="O2463"/>
      <c r="P2463"/>
      <c r="Q2463"/>
      <c r="R2463" s="76" t="inlineStr">
        <is>
          <t xml:space="preserve">카드사용</t>
        </is>
      </c>
      <c r="S2463" s="76"/>
    </row>
    <row r="2464" spans="1:19">
      <c r="A2464" s="114">
        <v>46310.825008472224</v>
      </c>
      <c r="B2464" s="78">
        <v>46296.0</v>
      </c>
      <c r="C2464" s="76" t="inlineStr">
        <is>
          <t xml:space="preserve">MG+S 하나카드</t>
        </is>
      </c>
      <c r="D2464" s="76" t="inlineStr">
        <is>
          <t xml:space="preserve">기타</t>
        </is>
      </c>
      <c r="E2464" s="76"/>
      <c r="F2464" s="76" t="inlineStr">
        <is>
          <t xml:space="preserve">기타</t>
        </is>
      </c>
      <c r="G2464" s="79">
        <v>5000</v>
      </c>
      <c r="H2464" s="76" t="inlineStr">
        <is>
          <t xml:space="preserve">지출</t>
        </is>
      </c>
      <c r="I2464" s="76"/>
      <c r="J2464" s="76" t="inlineStr">
        <is>
          <t xml:space="preserve">변동비</t>
        </is>
      </c>
      <c r="K2464" s="79">
        <v>5000</v>
      </c>
      <c r="L2464" s="76" t="inlineStr">
        <is>
          <t xml:space="preserve">본인</t>
        </is>
      </c>
      <c r="M2464" s="76" t="inlineStr">
        <is>
          <t xml:space="preserve">10/15 RAW 3행 · 신규 카드 사용. 월간·계산기 반영, WRAP 원장 제외.</t>
        </is>
      </c>
      <c r="N2464" s="76" t="str">
        <f>IF(R2464="WRAP",IF((COUNTIF(잔액!$W$64:$W$500,ROW())+COUNTIF(잔액!$X$64:$X$500,ROW()))=1,"연결",IF((COUNTIF(잔액!$W$64:$W$500,ROW())+COUNTIF(잔액!$X$64:$X$500,ROW()))=0,"누락","중복")),IF(R2464="카드사용","월간·계산기","타계좌·잔액제외"))</f>
        <v>월간·계산기</v>
      </c>
      <c r="O2464"/>
      <c r="P2464"/>
      <c r="Q2464"/>
      <c r="R2464" s="76" t="inlineStr">
        <is>
          <t xml:space="preserve">카드사용</t>
        </is>
      </c>
      <c r="S2464" s="76"/>
    </row>
    <row r="2465" spans="1:19">
      <c r="A2465" s="114">
        <v>46310.82569563657</v>
      </c>
      <c r="B2465" s="78">
        <v>46296.0</v>
      </c>
      <c r="C2465" s="76" t="inlineStr">
        <is>
          <t xml:space="preserve">MG+S 하나카드</t>
        </is>
      </c>
      <c r="D2465" s="76" t="inlineStr">
        <is>
          <t xml:space="preserve">식비</t>
        </is>
      </c>
      <c r="E2465" s="76" t="inlineStr">
        <is>
          <t xml:space="preserve">음료/디저트/간식</t>
        </is>
      </c>
      <c r="F2465" s="76" t="inlineStr">
        <is>
          <t xml:space="preserve">CU</t>
        </is>
      </c>
      <c r="G2465" s="79">
        <v>6600</v>
      </c>
      <c r="H2465" s="76" t="inlineStr">
        <is>
          <t xml:space="preserve">지출</t>
        </is>
      </c>
      <c r="I2465" s="76" t="inlineStr">
        <is>
          <t xml:space="preserve">커피</t>
        </is>
      </c>
      <c r="J2465" s="76" t="inlineStr">
        <is>
          <t xml:space="preserve">변동비</t>
        </is>
      </c>
      <c r="K2465" s="79">
        <v>6600</v>
      </c>
      <c r="L2465" s="76" t="inlineStr">
        <is>
          <t xml:space="preserve">본인</t>
        </is>
      </c>
      <c r="M2465" s="76" t="inlineStr">
        <is>
          <t xml:space="preserve">10/15 RAW 2행 · 신규 카드 사용. 월간·계산기 반영, WRAP 원장 제외.</t>
        </is>
      </c>
      <c r="N2465" s="76" t="str">
        <f>IF(R2465="WRAP",IF((COUNTIF(잔액!$W$64:$W$500,ROW())+COUNTIF(잔액!$X$64:$X$500,ROW()))=1,"연결",IF((COUNTIF(잔액!$W$64:$W$500,ROW())+COUNTIF(잔액!$X$64:$X$500,ROW()))=0,"누락","중복")),IF(R2465="카드사용","월간·계산기","타계좌·잔액제외"))</f>
        <v>월간·계산기</v>
      </c>
      <c r="O2465"/>
      <c r="P2465"/>
      <c r="Q2465"/>
      <c r="R2465" s="76" t="inlineStr">
        <is>
          <t xml:space="preserve">카드사용</t>
        </is>
      </c>
      <c r="S2465" s="76"/>
    </row>
    <row r="2466" spans="1:19">
      <c r="A2466" s="114">
        <v>46310.93959303241</v>
      </c>
      <c r="B2466" s="78">
        <v>46296.0</v>
      </c>
      <c r="C2466" s="76" t="inlineStr">
        <is>
          <t xml:space="preserve">가족통장</t>
        </is>
      </c>
      <c r="D2466" s="76" t="inlineStr">
        <is>
          <t xml:space="preserve">미래에셋_WRAP형CMA</t>
        </is>
      </c>
      <c r="E2466" s="76"/>
      <c r="F2466" s="76" t="inlineStr">
        <is>
          <t xml:space="preserve">이체</t>
        </is>
      </c>
      <c r="G2466" s="79">
        <v>61000</v>
      </c>
      <c r="H2466" s="76" t="inlineStr">
        <is>
          <t xml:space="preserve">이체지출</t>
        </is>
      </c>
      <c r="I2466" s="76"/>
      <c r="J2466" s="76" t="inlineStr">
        <is>
          <t xml:space="preserve">내부이체</t>
        </is>
      </c>
      <c r="K2466" s="79">
        <v>61000</v>
      </c>
      <c r="L2466" s="76" t="inlineStr">
        <is>
          <t xml:space="preserve">본인</t>
        </is>
      </c>
      <c r="M2466" s="76" t="inlineStr">
        <is>
          <t xml:space="preserve">10/15 재첨부 RAW 2행. 생신 본인 납입 300,000 중 미사용 원금 61,000 회수. 수입·환불 소비 아님. WRAP 임시보관에 1회 복귀; 가족통장 이자 25원은 제외.</t>
        </is>
      </c>
      <c r="N2466" s="76" t="str">
        <f>IF(R2466="WRAP",IF((COUNTIF(잔액!$W$64:$W$500,ROW())+COUNTIF(잔액!$X$64:$X$500,ROW()))=1,"연결",IF((COUNTIF(잔액!$W$64:$W$500,ROW())+COUNTIF(잔액!$X$64:$X$500,ROW()))=0,"누락","중복")),"타계좌·잔액제외")</f>
        <v>연결</v>
      </c>
      <c r="O2466"/>
      <c r="P2466"/>
      <c r="Q2466"/>
      <c r="R2466" s="76" t="inlineStr">
        <is>
          <t xml:space="preserve">WRAP</t>
        </is>
      </c>
      <c r="S2466" s="76" t="inlineStr">
        <is>
          <t xml:space="preserve">이체입금</t>
        </is>
      </c>
    </row>
    <row r="2467" spans="1:19">
      <c r="A2467" s="114">
        <v>46311.660425636575</v>
      </c>
      <c r="B2467" s="78">
        <v>46296.0</v>
      </c>
      <c r="C2467" s="76" t="inlineStr">
        <is>
          <t xml:space="preserve">우리카드의정석SUPER</t>
        </is>
      </c>
      <c r="D2467" s="76" t="inlineStr">
        <is>
          <t xml:space="preserve">식비</t>
        </is>
      </c>
      <c r="E2467" s="76" t="inlineStr">
        <is>
          <t xml:space="preserve">식대</t>
        </is>
      </c>
      <c r="F2467" s="76" t="inlineStr">
        <is>
          <t xml:space="preserve">동양솥밥</t>
        </is>
      </c>
      <c r="G2467" s="79">
        <v>10900</v>
      </c>
      <c r="H2467" s="76" t="inlineStr">
        <is>
          <t xml:space="preserve">지출</t>
        </is>
      </c>
      <c r="I2467" s="76"/>
      <c r="J2467" s="76" t="inlineStr">
        <is>
          <t xml:space="preserve">변동비</t>
        </is>
      </c>
      <c r="K2467" s="79">
        <v>10900</v>
      </c>
      <c r="L2467" s="76" t="inlineStr">
        <is>
          <t xml:space="preserve">본인</t>
        </is>
      </c>
      <c r="M2467" s="76" t="inlineStr">
        <is>
          <t xml:space="preserve">10/18 첨부 RAW 20행 · 신규 거래. 기존 RAW 행번호와 이전 분류는 보존. 본인 생활비·달력·계산기 반영. WRAP 원장에는 결제를 재기록하지 않음.</t>
        </is>
      </c>
      <c r="N2467" s="76" t="str">
        <f>IF(R2467="WRAP",IF((COUNTIF(잔액!$W$64:$W$500,ROW())+COUNTIF(잔액!$X$64:$X$500,ROW()))=1,"연결",IF((COUNTIF(잔액!$W$64:$W$500,ROW())+COUNTIF(잔액!$X$64:$X$500,ROW()))=0,"누락","중복")),IF(R2467="카드사용","월간·계산기","타계좌·잔액제외"))</f>
        <v>월간·계산기</v>
      </c>
      <c r="O2467"/>
      <c r="P2467"/>
      <c r="Q2467"/>
      <c r="R2467" s="76" t="inlineStr">
        <is>
          <t xml:space="preserve">카드사용</t>
        </is>
      </c>
      <c r="S2467" s="76"/>
    </row>
    <row r="2468" spans="1:19">
      <c r="A2468" s="114">
        <v>46311.66042717593</v>
      </c>
      <c r="B2468" s="78">
        <v>46296.0</v>
      </c>
      <c r="C2468" s="76" t="inlineStr">
        <is>
          <t xml:space="preserve">우리카드의정석SUPER</t>
        </is>
      </c>
      <c r="D2468" s="76" t="inlineStr">
        <is>
          <t xml:space="preserve">기타</t>
        </is>
      </c>
      <c r="E2468" s="76"/>
      <c r="F2468" s="76" t="inlineStr">
        <is>
          <t xml:space="preserve">기타</t>
        </is>
      </c>
      <c r="G2468" s="79">
        <v>5000</v>
      </c>
      <c r="H2468" s="76" t="inlineStr">
        <is>
          <t xml:space="preserve">지출</t>
        </is>
      </c>
      <c r="I2468" s="76"/>
      <c r="J2468" s="76" t="inlineStr">
        <is>
          <t xml:space="preserve">변동비</t>
        </is>
      </c>
      <c r="K2468" s="79">
        <v>5000</v>
      </c>
      <c r="L2468" s="76" t="inlineStr">
        <is>
          <t xml:space="preserve">본인</t>
        </is>
      </c>
      <c r="M2468" s="76" t="inlineStr">
        <is>
          <t xml:space="preserve">10/18 첨부 RAW 21행 · 신규 거래. 기존 RAW 행번호와 이전 분류는 보존. 본인 생활비·달력·계산기 반영. WRAP 원장에는 결제를 재기록하지 않음.</t>
        </is>
      </c>
      <c r="N2468" s="76" t="str">
        <f>IF(R2468="WRAP",IF((COUNTIF(잔액!$W$64:$W$500,ROW())+COUNTIF(잔액!$X$64:$X$500,ROW()))=1,"연결",IF((COUNTIF(잔액!$W$64:$W$500,ROW())+COUNTIF(잔액!$X$64:$X$500,ROW()))=0,"누락","중복")),IF(R2468="카드사용","월간·계산기","타계좌·잔액제외"))</f>
        <v>월간·계산기</v>
      </c>
      <c r="O2468"/>
      <c r="P2468"/>
      <c r="Q2468"/>
      <c r="R2468" s="76" t="inlineStr">
        <is>
          <t xml:space="preserve">카드사용</t>
        </is>
      </c>
      <c r="S2468" s="76"/>
    </row>
    <row r="2469" spans="1:19">
      <c r="A2469" s="114">
        <v>46311.66180972222</v>
      </c>
      <c r="B2469" s="78">
        <v>46296.0</v>
      </c>
      <c r="C2469" s="76" t="inlineStr">
        <is>
          <t xml:space="preserve">우리카드의정석SUPER</t>
        </is>
      </c>
      <c r="D2469" s="76" t="inlineStr">
        <is>
          <t xml:space="preserve">식비</t>
        </is>
      </c>
      <c r="E2469" s="76" t="inlineStr">
        <is>
          <t xml:space="preserve">음료/디저트/간식</t>
        </is>
      </c>
      <c r="F2469" s="76" t="inlineStr">
        <is>
          <t xml:space="preserve">빽다방</t>
        </is>
      </c>
      <c r="G2469" s="79">
        <v>7000</v>
      </c>
      <c r="H2469" s="76" t="inlineStr">
        <is>
          <t xml:space="preserve">지출</t>
        </is>
      </c>
      <c r="I2469" s="76"/>
      <c r="J2469" s="76" t="inlineStr">
        <is>
          <t xml:space="preserve">변동비</t>
        </is>
      </c>
      <c r="K2469" s="79">
        <v>7000</v>
      </c>
      <c r="L2469" s="76" t="inlineStr">
        <is>
          <t xml:space="preserve">본인</t>
        </is>
      </c>
      <c r="M2469" s="76" t="inlineStr">
        <is>
          <t xml:space="preserve">10/18 첨부 RAW 19행 · 신규 거래. 기존 RAW 행번호와 이전 분류는 보존. 본인 생활비·달력·계산기 반영. WRAP 원장에는 결제를 재기록하지 않음.</t>
        </is>
      </c>
      <c r="N2469" s="76" t="str">
        <f>IF(R2469="WRAP",IF((COUNTIF(잔액!$W$64:$W$500,ROW())+COUNTIF(잔액!$X$64:$X$500,ROW()))=1,"연결",IF((COUNTIF(잔액!$W$64:$W$500,ROW())+COUNTIF(잔액!$X$64:$X$500,ROW()))=0,"누락","중복")),IF(R2469="카드사용","월간·계산기","타계좌·잔액제외"))</f>
        <v>월간·계산기</v>
      </c>
      <c r="O2469"/>
      <c r="P2469"/>
      <c r="Q2469"/>
      <c r="R2469" s="76" t="inlineStr">
        <is>
          <t xml:space="preserve">카드사용</t>
        </is>
      </c>
      <c r="S2469" s="76"/>
    </row>
    <row r="2470" spans="1:19">
      <c r="A2470" s="114">
        <v>46312.66250971065</v>
      </c>
      <c r="B2470" s="78">
        <v>46296.0</v>
      </c>
      <c r="C2470" s="76" t="inlineStr">
        <is>
          <t xml:space="preserve">우리카드의정석SUPER</t>
        </is>
      </c>
      <c r="D2470" s="76" t="inlineStr">
        <is>
          <t xml:space="preserve">식비</t>
        </is>
      </c>
      <c r="E2470" s="76" t="inlineStr">
        <is>
          <t xml:space="preserve">음료/디저트/간식</t>
        </is>
      </c>
      <c r="F2470" s="76" t="inlineStr">
        <is>
          <t xml:space="preserve">CU</t>
        </is>
      </c>
      <c r="G2470" s="79">
        <v>4000</v>
      </c>
      <c r="H2470" s="76" t="inlineStr">
        <is>
          <t xml:space="preserve">지출</t>
        </is>
      </c>
      <c r="I2470" s="76" t="inlineStr">
        <is>
          <t xml:space="preserve">커피, 빵</t>
        </is>
      </c>
      <c r="J2470" s="76" t="inlineStr">
        <is>
          <t xml:space="preserve">변동비</t>
        </is>
      </c>
      <c r="K2470" s="79">
        <v>4000</v>
      </c>
      <c r="L2470" s="76" t="inlineStr">
        <is>
          <t xml:space="preserve">본인</t>
        </is>
      </c>
      <c r="M2470" s="76" t="inlineStr">
        <is>
          <t xml:space="preserve">10/18 첨부 RAW 18행 · 신규 거래. 기존 RAW 행번호와 이전 분류는 보존. 본인 생활비·달력·계산기 반영. WRAP 원장에는 결제를 재기록하지 않음.</t>
        </is>
      </c>
      <c r="N2470" s="76" t="str">
        <f>IF(R2470="WRAP",IF((COUNTIF(잔액!$W$64:$W$500,ROW())+COUNTIF(잔액!$X$64:$X$500,ROW()))=1,"연결",IF((COUNTIF(잔액!$W$64:$W$500,ROW())+COUNTIF(잔액!$X$64:$X$500,ROW()))=0,"누락","중복")),IF(R2470="카드사용","월간·계산기","타계좌·잔액제외"))</f>
        <v>월간·계산기</v>
      </c>
      <c r="O2470"/>
      <c r="P2470"/>
      <c r="Q2470"/>
      <c r="R2470" s="76" t="inlineStr">
        <is>
          <t xml:space="preserve">카드사용</t>
        </is>
      </c>
      <c r="S2470" s="76"/>
    </row>
    <row r="2471" spans="1:19">
      <c r="A2471" s="114">
        <v>46312.663201296295</v>
      </c>
      <c r="B2471" s="78">
        <v>46296.0</v>
      </c>
      <c r="C2471" s="76" t="inlineStr">
        <is>
          <t xml:space="preserve">우리카드의정석SUPER</t>
        </is>
      </c>
      <c r="D2471" s="76" t="inlineStr">
        <is>
          <t xml:space="preserve">건강/보험/의료</t>
        </is>
      </c>
      <c r="E2471" s="76"/>
      <c r="F2471" s="76" t="inlineStr">
        <is>
          <t xml:space="preserve">연신내로데오약국</t>
        </is>
      </c>
      <c r="G2471" s="79">
        <v>5000</v>
      </c>
      <c r="H2471" s="76" t="inlineStr">
        <is>
          <t xml:space="preserve">지출</t>
        </is>
      </c>
      <c r="I2471" s="76" t="inlineStr">
        <is>
          <t xml:space="preserve">인공눈물</t>
        </is>
      </c>
      <c r="J2471" s="76" t="inlineStr">
        <is>
          <t xml:space="preserve">변동비</t>
        </is>
      </c>
      <c r="K2471" s="79">
        <v>5000</v>
      </c>
      <c r="L2471" s="76" t="inlineStr">
        <is>
          <t xml:space="preserve">본인</t>
        </is>
      </c>
      <c r="M2471" s="76" t="inlineStr">
        <is>
          <t xml:space="preserve">10/18 첨부 RAW 16행 · 신규 거래. 기존 RAW 행번호와 이전 분류는 보존. 본인 생활비·달력·계산기 반영. WRAP 원장에는 결제를 재기록하지 않음.</t>
        </is>
      </c>
      <c r="N2471" s="76" t="str">
        <f>IF(R2471="WRAP",IF((COUNTIF(잔액!$W$64:$W$500,ROW())+COUNTIF(잔액!$X$64:$X$500,ROW()))=1,"연결",IF((COUNTIF(잔액!$W$64:$W$500,ROW())+COUNTIF(잔액!$X$64:$X$500,ROW()))=0,"누락","중복")),IF(R2471="카드사용","월간·계산기","타계좌·잔액제외"))</f>
        <v>월간·계산기</v>
      </c>
      <c r="O2471"/>
      <c r="P2471"/>
      <c r="Q2471"/>
      <c r="R2471" s="76" t="inlineStr">
        <is>
          <t xml:space="preserve">카드사용</t>
        </is>
      </c>
      <c r="S2471" s="76"/>
    </row>
    <row r="2472" spans="1:19">
      <c r="A2472" s="114">
        <v>46312.66320138889</v>
      </c>
      <c r="B2472" s="78">
        <v>46296.0</v>
      </c>
      <c r="C2472" s="76" t="inlineStr">
        <is>
          <t xml:space="preserve">우리카드의정석SUPER</t>
        </is>
      </c>
      <c r="D2472" s="76" t="inlineStr">
        <is>
          <t xml:space="preserve">기타</t>
        </is>
      </c>
      <c r="E2472" s="76"/>
      <c r="F2472" s="76" t="inlineStr">
        <is>
          <t xml:space="preserve">기타</t>
        </is>
      </c>
      <c r="G2472" s="79">
        <v>5000</v>
      </c>
      <c r="H2472" s="76" t="inlineStr">
        <is>
          <t xml:space="preserve">지출</t>
        </is>
      </c>
      <c r="I2472" s="76"/>
      <c r="J2472" s="76" t="inlineStr">
        <is>
          <t xml:space="preserve">변동비</t>
        </is>
      </c>
      <c r="K2472" s="79">
        <v>5000</v>
      </c>
      <c r="L2472" s="76" t="inlineStr">
        <is>
          <t xml:space="preserve">본인</t>
        </is>
      </c>
      <c r="M2472" s="76" t="inlineStr">
        <is>
          <t xml:space="preserve">10/18 첨부 RAW 17행 · 신규 거래. 기존 RAW 행번호와 이전 분류는 보존. 본인 생활비·달력·계산기 반영. WRAP 원장에는 결제를 재기록하지 않음.</t>
        </is>
      </c>
      <c r="N2472" s="76" t="str">
        <f>IF(R2472="WRAP",IF((COUNTIF(잔액!$W$64:$W$500,ROW())+COUNTIF(잔액!$X$64:$X$500,ROW()))=1,"연결",IF((COUNTIF(잔액!$W$64:$W$500,ROW())+COUNTIF(잔액!$X$64:$X$500,ROW()))=0,"누락","중복")),IF(R2472="카드사용","월간·계산기","타계좌·잔액제외"))</f>
        <v>월간·계산기</v>
      </c>
      <c r="O2472"/>
      <c r="P2472"/>
      <c r="Q2472"/>
      <c r="R2472" s="76" t="inlineStr">
        <is>
          <t xml:space="preserve">카드사용</t>
        </is>
      </c>
      <c r="S2472" s="76"/>
    </row>
    <row r="2473" spans="1:19">
      <c r="A2473" s="114">
        <v>46312.664585659724</v>
      </c>
      <c r="B2473" s="78">
        <v>46296.0</v>
      </c>
      <c r="C2473" s="76" t="inlineStr">
        <is>
          <t xml:space="preserve">KB쿠팡와우</t>
        </is>
      </c>
      <c r="D2473" s="76" t="inlineStr">
        <is>
          <t xml:space="preserve">패션/미용</t>
        </is>
      </c>
      <c r="E2473" s="76"/>
      <c r="F2473" s="76" t="inlineStr">
        <is>
          <t xml:space="preserve">쿠팡</t>
        </is>
      </c>
      <c r="G2473" s="79">
        <v>12530</v>
      </c>
      <c r="H2473" s="76" t="inlineStr">
        <is>
          <t xml:space="preserve">지출</t>
        </is>
      </c>
      <c r="I2473" s="76" t="inlineStr">
        <is>
          <t xml:space="preserve">롤빗 1호</t>
        </is>
      </c>
      <c r="J2473" s="76" t="inlineStr">
        <is>
          <t xml:space="preserve">변동비</t>
        </is>
      </c>
      <c r="K2473" s="79">
        <v>12530</v>
      </c>
      <c r="L2473" s="76" t="inlineStr">
        <is>
          <t xml:space="preserve">본인</t>
        </is>
      </c>
      <c r="M2473" s="76" t="inlineStr">
        <is>
          <t xml:space="preserve">10/18 첨부 RAW 15행 · 신규 거래. 기존 RAW 행번호와 이전 분류는 보존. 본인 생활비·달력·계산기 반영. WRAP 원장에는 결제를 재기록하지 않음.</t>
        </is>
      </c>
      <c r="N2473" s="76" t="str">
        <f>IF(R2473="WRAP",IF((COUNTIF(잔액!$W$64:$W$500,ROW())+COUNTIF(잔액!$X$64:$X$500,ROW()))=1,"연결",IF((COUNTIF(잔액!$W$64:$W$500,ROW())+COUNTIF(잔액!$X$64:$X$500,ROW()))=0,"누락","중복")),IF(R2473="카드사용","월간·계산기","타계좌·잔액제외"))</f>
        <v>월간·계산기</v>
      </c>
      <c r="O2473"/>
      <c r="P2473"/>
      <c r="Q2473"/>
      <c r="R2473" s="76" t="inlineStr">
        <is>
          <t xml:space="preserve">카드사용</t>
        </is>
      </c>
      <c r="S2473" s="76"/>
    </row>
    <row r="2474" spans="1:19">
      <c r="A2474" s="114">
        <v>46312.66528891204</v>
      </c>
      <c r="B2474" s="78">
        <v>46296.0</v>
      </c>
      <c r="C2474" s="76" t="inlineStr">
        <is>
          <t xml:space="preserve">카카오페이머니</t>
        </is>
      </c>
      <c r="D2474" s="76" t="inlineStr">
        <is>
          <t xml:space="preserve">식비</t>
        </is>
      </c>
      <c r="E2474" s="76" t="inlineStr">
        <is>
          <t xml:space="preserve">음료/디저트/간식</t>
        </is>
      </c>
      <c r="F2474" s="76" t="inlineStr">
        <is>
          <t xml:space="preserve">플라잉 더치</t>
        </is>
      </c>
      <c r="G2474" s="79">
        <v>17000</v>
      </c>
      <c r="H2474" s="76" t="inlineStr">
        <is>
          <t xml:space="preserve">지출</t>
        </is>
      </c>
      <c r="I2474" s="76" t="inlineStr">
        <is>
          <t xml:space="preserve">서울커피앤티페어</t>
        </is>
      </c>
      <c r="J2474" s="76" t="inlineStr">
        <is>
          <t xml:space="preserve">변동비</t>
        </is>
      </c>
      <c r="K2474" s="79">
        <v>17000</v>
      </c>
      <c r="L2474" s="76" t="inlineStr">
        <is>
          <t xml:space="preserve">본인</t>
        </is>
      </c>
      <c r="M2474" s="76" t="inlineStr">
        <is>
          <t xml:space="preserve">KP20261017-01 | 10/18 첨부 RAW 13행. 플라잉 더치 구매 17,000원 ↔ 충전 RAW 2475행 15,700원(잔액 원장 248행). 사용자 확인으로 연결. 소비는 구매에 1회, WRAP 현금 유출은 충전에 1회 반영. 차액 1,300원의 실제 재원은 미확정.</t>
        </is>
      </c>
      <c r="N2474" s="76" t="str">
        <f>IF(R2474="WRAP",IF((COUNTIF(잔액!$W$64:$W$500,ROW())+COUNTIF(잔액!$X$64:$X$500,ROW()))=1,"연결",IF((COUNTIF(잔액!$W$64:$W$500,ROW())+COUNTIF(잔액!$X$64:$X$500,ROW()))=0,"누락","중복")),IF(R2474="카드사용","월간·계산기","타계좌·잔액제외"))</f>
        <v>타계좌·잔액제외</v>
      </c>
      <c r="O2474"/>
      <c r="P2474"/>
      <c r="Q2474"/>
      <c r="R2474" s="76" t="inlineStr">
        <is>
          <t xml:space="preserve">타계좌</t>
        </is>
      </c>
      <c r="S2474" s="76"/>
    </row>
    <row r="2475" spans="1:19">
      <c r="A2475" s="114">
        <v>46312.66737074074</v>
      </c>
      <c r="B2475" s="78">
        <v>46296.0</v>
      </c>
      <c r="C2475" s="76" t="inlineStr">
        <is>
          <t xml:space="preserve">미래에셋_WRAP형CMA</t>
        </is>
      </c>
      <c r="D2475" s="76" t="inlineStr">
        <is>
          <t xml:space="preserve">카카오페이머니</t>
        </is>
      </c>
      <c r="E2475" s="76"/>
      <c r="F2475" s="76" t="inlineStr">
        <is>
          <t xml:space="preserve">카카오페이 충전</t>
        </is>
      </c>
      <c r="G2475" s="79">
        <v>15700</v>
      </c>
      <c r="H2475" s="76" t="inlineStr">
        <is>
          <t xml:space="preserve">이체지출</t>
        </is>
      </c>
      <c r="I2475" s="76"/>
      <c r="J2475" s="76" t="inlineStr">
        <is>
          <t xml:space="preserve">내부이체</t>
        </is>
      </c>
      <c r="K2475" s="79">
        <v>15700</v>
      </c>
      <c r="L2475" s="76" t="inlineStr">
        <is>
          <t xml:space="preserve">본인</t>
        </is>
      </c>
      <c r="M2475" s="76" t="inlineStr">
        <is>
          <t xml:space="preserve">KP20261017-01 | 10/18 첨부 RAW 14행. 플라잉 더치 구매 RAW 2474행 17,000원에 연결된 충전 15,700원(사용자 확인). WRAP 원장 248행에서 현금 차감, 충전 자체는 소비 재합산 제외. 원본 입력 시각은 구매보다 늦으며 그대로 보존.</t>
        </is>
      </c>
      <c r="N2475" s="76" t="str">
        <f>IF(R2475="WRAP",IF((COUNTIF(잔액!$W$64:$W$500,ROW())+COUNTIF(잔액!$X$64:$X$500,ROW()))=1,"연결",IF((COUNTIF(잔액!$W$64:$W$500,ROW())+COUNTIF(잔액!$X$64:$X$500,ROW()))=0,"누락","중복")),IF(R2475="카드사용","월간·계산기","타계좌·잔액제외"))</f>
        <v>연결</v>
      </c>
      <c r="O2475"/>
      <c r="P2475"/>
      <c r="Q2475"/>
      <c r="R2475" s="76" t="inlineStr">
        <is>
          <t xml:space="preserve">WRAP</t>
        </is>
      </c>
      <c r="S2475" s="76" t="inlineStr">
        <is>
          <t xml:space="preserve">이체출금</t>
        </is>
      </c>
    </row>
    <row r="2476" spans="1:19">
      <c r="A2476" s="114">
        <v>46312.6680593287</v>
      </c>
      <c r="B2476" s="78">
        <v>46296.0</v>
      </c>
      <c r="C2476" s="76" t="inlineStr">
        <is>
          <t xml:space="preserve">모임통장</t>
        </is>
      </c>
      <c r="D2476" s="76" t="inlineStr">
        <is>
          <t xml:space="preserve">여행/약속/공사</t>
        </is>
      </c>
      <c r="E2476" s="76" t="inlineStr">
        <is>
          <t xml:space="preserve">만남</t>
        </is>
      </c>
      <c r="F2476" s="76" t="inlineStr">
        <is>
          <t xml:space="preserve">에크하우스</t>
        </is>
      </c>
      <c r="G2476" s="79">
        <v>10000</v>
      </c>
      <c r="H2476" s="76" t="inlineStr">
        <is>
          <t xml:space="preserve">지출</t>
        </is>
      </c>
      <c r="I2476" s="76" t="inlineStr">
        <is>
          <t xml:space="preserve">양재시민의숲 카페</t>
        </is>
      </c>
      <c r="J2476" s="76" t="inlineStr">
        <is>
          <t xml:space="preserve">약속·만남</t>
        </is>
      </c>
      <c r="K2476" s="79">
        <v>5000.0</v>
      </c>
      <c r="L2476" s="76" t="inlineStr">
        <is>
          <t xml:space="preserve">모임통장</t>
        </is>
      </c>
      <c r="M2476" s="76" t="inlineStr">
        <is>
          <t xml:space="preserve">10/18 첨부 RAW 12행 · 신규 거래. 기존 RAW 행번호와 이전 분류는 보존. 기존 모임통장 분류·본인분 1/2 기준 유지. 월급 납입과 중복 소비 제외.</t>
        </is>
      </c>
      <c r="N2476" s="76" t="str">
        <f>IF(R2476="WRAP",IF((COUNTIF(잔액!$W$64:$W$500,ROW())+COUNTIF(잔액!$X$64:$X$500,ROW()))=1,"연결",IF((COUNTIF(잔액!$W$64:$W$500,ROW())+COUNTIF(잔액!$X$64:$X$500,ROW()))=0,"누락","중복")),IF(R2476="카드사용","월간·계산기","타계좌·잔액제외"))</f>
        <v>타계좌·잔액제외</v>
      </c>
      <c r="O2476"/>
      <c r="P2476"/>
      <c r="Q2476"/>
      <c r="R2476" s="76" t="inlineStr">
        <is>
          <t xml:space="preserve">타계좌</t>
        </is>
      </c>
      <c r="S2476" s="76"/>
    </row>
    <row r="2477" spans="1:19">
      <c r="A2477" s="114">
        <v>46312.66805943287</v>
      </c>
      <c r="B2477" s="78">
        <v>46296.0</v>
      </c>
      <c r="C2477" s="76" t="inlineStr">
        <is>
          <t xml:space="preserve">모임통장</t>
        </is>
      </c>
      <c r="D2477" s="76" t="inlineStr">
        <is>
          <t xml:space="preserve">여행/약속/공사</t>
        </is>
      </c>
      <c r="E2477" s="76" t="inlineStr">
        <is>
          <t xml:space="preserve">만남</t>
        </is>
      </c>
      <c r="F2477" s="76" t="inlineStr">
        <is>
          <t xml:space="preserve">식물원김밥</t>
        </is>
      </c>
      <c r="G2477" s="79">
        <v>26800</v>
      </c>
      <c r="H2477" s="76" t="inlineStr">
        <is>
          <t xml:space="preserve">지출</t>
        </is>
      </c>
      <c r="I2477" s="76" t="inlineStr">
        <is>
          <t xml:space="preserve">용산점</t>
        </is>
      </c>
      <c r="J2477" s="76" t="inlineStr">
        <is>
          <t xml:space="preserve">약속·만남</t>
        </is>
      </c>
      <c r="K2477" s="79">
        <v>13400.0</v>
      </c>
      <c r="L2477" s="76" t="inlineStr">
        <is>
          <t xml:space="preserve">모임통장</t>
        </is>
      </c>
      <c r="M2477" s="76" t="inlineStr">
        <is>
          <t xml:space="preserve">10/18 첨부 RAW 11행 · 신규 거래. 기존 RAW 행번호와 이전 분류는 보존. 기존 모임통장 분류·본인분 1/2 기준 유지. 월급 납입과 중복 소비 제외.</t>
        </is>
      </c>
      <c r="N2477" s="76" t="str">
        <f>IF(R2477="WRAP",IF((COUNTIF(잔액!$W$64:$W$500,ROW())+COUNTIF(잔액!$X$64:$X$500,ROW()))=1,"연결",IF((COUNTIF(잔액!$W$64:$W$500,ROW())+COUNTIF(잔액!$X$64:$X$500,ROW()))=0,"누락","중복")),IF(R2477="카드사용","월간·계산기","타계좌·잔액제외"))</f>
        <v>타계좌·잔액제외</v>
      </c>
      <c r="O2477"/>
      <c r="P2477"/>
      <c r="Q2477"/>
      <c r="R2477" s="76" t="inlineStr">
        <is>
          <t xml:space="preserve">타계좌</t>
        </is>
      </c>
      <c r="S2477" s="76"/>
    </row>
    <row r="2478" spans="1:19">
      <c r="A2478" s="114">
        <v>46312.66875293981</v>
      </c>
      <c r="B2478" s="78">
        <v>46296.0</v>
      </c>
      <c r="C2478" s="76" t="inlineStr">
        <is>
          <t xml:space="preserve">우리카드의정석SUPER</t>
        </is>
      </c>
      <c r="D2478" s="76" t="inlineStr">
        <is>
          <t xml:space="preserve">식비</t>
        </is>
      </c>
      <c r="E2478" s="76" t="inlineStr">
        <is>
          <t xml:space="preserve">음료/디저트/간식</t>
        </is>
      </c>
      <c r="F2478" s="76" t="inlineStr">
        <is>
          <t xml:space="preserve">CU</t>
        </is>
      </c>
      <c r="G2478" s="79">
        <v>5900</v>
      </c>
      <c r="H2478" s="76" t="inlineStr">
        <is>
          <t xml:space="preserve">지출</t>
        </is>
      </c>
      <c r="I2478" s="76" t="inlineStr">
        <is>
          <t xml:space="preserve">음료</t>
        </is>
      </c>
      <c r="J2478" s="76" t="inlineStr">
        <is>
          <t xml:space="preserve">변동비</t>
        </is>
      </c>
      <c r="K2478" s="79">
        <v>5900</v>
      </c>
      <c r="L2478" s="76" t="inlineStr">
        <is>
          <t xml:space="preserve">본인</t>
        </is>
      </c>
      <c r="M2478" s="76" t="inlineStr">
        <is>
          <t xml:space="preserve">10/18 첨부 RAW 10행 · 신규 거래. 기존 RAW 행번호와 이전 분류는 보존. 본인 생활비·달력·계산기 반영. WRAP 원장에는 결제를 재기록하지 않음.</t>
        </is>
      </c>
      <c r="N2478" s="76" t="str">
        <f>IF(R2478="WRAP",IF((COUNTIF(잔액!$W$64:$W$500,ROW())+COUNTIF(잔액!$X$64:$X$500,ROW()))=1,"연결",IF((COUNTIF(잔액!$W$64:$W$500,ROW())+COUNTIF(잔액!$X$64:$X$500,ROW()))=0,"누락","중복")),IF(R2478="카드사용","월간·계산기","타계좌·잔액제외"))</f>
        <v>월간·계산기</v>
      </c>
      <c r="O2478"/>
      <c r="P2478"/>
      <c r="Q2478"/>
      <c r="R2478" s="76" t="inlineStr">
        <is>
          <t xml:space="preserve">카드사용</t>
        </is>
      </c>
      <c r="S2478" s="76"/>
    </row>
    <row r="2479" spans="1:19">
      <c r="A2479" s="114">
        <v>46312.67084106481</v>
      </c>
      <c r="B2479" s="78">
        <v>46296.0</v>
      </c>
      <c r="C2479" s="76" t="inlineStr">
        <is>
          <t xml:space="preserve">우리카드의정석SUPER</t>
        </is>
      </c>
      <c r="D2479" s="76" t="inlineStr">
        <is>
          <t xml:space="preserve">식비</t>
        </is>
      </c>
      <c r="E2479" s="76" t="inlineStr">
        <is>
          <t xml:space="preserve">음료/디저트/간식</t>
        </is>
      </c>
      <c r="F2479" s="76" t="inlineStr">
        <is>
          <t xml:space="preserve">맥도날드</t>
        </is>
      </c>
      <c r="G2479" s="79">
        <v>12200</v>
      </c>
      <c r="H2479" s="76" t="inlineStr">
        <is>
          <t xml:space="preserve">지출</t>
        </is>
      </c>
      <c r="I2479" s="76" t="inlineStr">
        <is>
          <t xml:space="preserve">간식</t>
        </is>
      </c>
      <c r="J2479" s="76" t="inlineStr">
        <is>
          <t xml:space="preserve">변동비</t>
        </is>
      </c>
      <c r="K2479" s="79">
        <v>12200</v>
      </c>
      <c r="L2479" s="76" t="inlineStr">
        <is>
          <t xml:space="preserve">본인</t>
        </is>
      </c>
      <c r="M2479" s="76" t="inlineStr">
        <is>
          <t xml:space="preserve">10/18 첨부 RAW 9행 · 신규 거래. 기존 RAW 행번호와 이전 분류는 보존. 본인 생활비·달력·계산기 반영. WRAP 원장에는 결제를 재기록하지 않음.</t>
        </is>
      </c>
      <c r="N2479" s="76" t="str">
        <f>IF(R2479="WRAP",IF((COUNTIF(잔액!$W$64:$W$500,ROW())+COUNTIF(잔액!$X$64:$X$500,ROW()))=1,"연결",IF((COUNTIF(잔액!$W$64:$W$500,ROW())+COUNTIF(잔액!$X$64:$X$500,ROW()))=0,"누락","중복")),IF(R2479="카드사용","월간·계산기","타계좌·잔액제외"))</f>
        <v>월간·계산기</v>
      </c>
      <c r="O2479"/>
      <c r="P2479"/>
      <c r="Q2479"/>
      <c r="R2479" s="76" t="inlineStr">
        <is>
          <t xml:space="preserve">카드사용</t>
        </is>
      </c>
      <c r="S2479" s="76"/>
    </row>
    <row r="2480" spans="1:19">
      <c r="A2480" s="114">
        <v>46313.67153349537</v>
      </c>
      <c r="B2480" s="78">
        <v>46296.0</v>
      </c>
      <c r="C2480" s="76" t="inlineStr">
        <is>
          <t xml:space="preserve">우리카드의정석SUPER</t>
        </is>
      </c>
      <c r="D2480" s="76" t="inlineStr">
        <is>
          <t xml:space="preserve">건강/보험/의료</t>
        </is>
      </c>
      <c r="E2480" s="76" t="inlineStr">
        <is>
          <t xml:space="preserve">병원/약국/검진</t>
        </is>
      </c>
      <c r="F2480" s="76" t="inlineStr">
        <is>
          <t xml:space="preserve">연신내로데오약국</t>
        </is>
      </c>
      <c r="G2480" s="79">
        <v>12000</v>
      </c>
      <c r="H2480" s="76" t="inlineStr">
        <is>
          <t xml:space="preserve">지출</t>
        </is>
      </c>
      <c r="I2480" s="76" t="inlineStr">
        <is>
          <t xml:space="preserve">지르텍 알러지약</t>
        </is>
      </c>
      <c r="J2480" s="76" t="inlineStr">
        <is>
          <t xml:space="preserve">변동비</t>
        </is>
      </c>
      <c r="K2480" s="79">
        <v>12000</v>
      </c>
      <c r="L2480" s="76" t="inlineStr">
        <is>
          <t xml:space="preserve">본인</t>
        </is>
      </c>
      <c r="M2480" s="76" t="inlineStr">
        <is>
          <t xml:space="preserve">10/18 첨부 RAW 8행 · 신규 거래. 기존 RAW 행번호와 이전 분류는 보존. 본인 생활비·달력·계산기 반영. WRAP 원장에는 결제를 재기록하지 않음.</t>
        </is>
      </c>
      <c r="N2480" s="76" t="str">
        <f>IF(R2480="WRAP",IF((COUNTIF(잔액!$W$64:$W$500,ROW())+COUNTIF(잔액!$X$64:$X$500,ROW()))=1,"연결",IF((COUNTIF(잔액!$W$64:$W$500,ROW())+COUNTIF(잔액!$X$64:$X$500,ROW()))=0,"누락","중복")),IF(R2480="카드사용","월간·계산기","타계좌·잔액제외"))</f>
        <v>월간·계산기</v>
      </c>
      <c r="O2480"/>
      <c r="P2480"/>
      <c r="Q2480"/>
      <c r="R2480" s="76" t="inlineStr">
        <is>
          <t xml:space="preserve">카드사용</t>
        </is>
      </c>
      <c r="S2480" s="76"/>
    </row>
    <row r="2481" spans="1:19">
      <c r="A2481" s="114">
        <v>46313.67222680555</v>
      </c>
      <c r="B2481" s="78">
        <v>46296.0</v>
      </c>
      <c r="C2481" s="76" t="inlineStr">
        <is>
          <t xml:space="preserve">KB쿠팡와우</t>
        </is>
      </c>
      <c r="D2481" s="76" t="inlineStr">
        <is>
          <t xml:space="preserve">식비</t>
        </is>
      </c>
      <c r="E2481" s="76" t="inlineStr">
        <is>
          <t xml:space="preserve">배달</t>
        </is>
      </c>
      <c r="F2481" s="76" t="inlineStr">
        <is>
          <t xml:space="preserve">쿠팡이츠</t>
        </is>
      </c>
      <c r="G2481" s="79">
        <v>12410</v>
      </c>
      <c r="H2481" s="76" t="inlineStr">
        <is>
          <t xml:space="preserve">지출</t>
        </is>
      </c>
      <c r="I2481" s="76" t="inlineStr">
        <is>
          <t xml:space="preserve">국밥</t>
        </is>
      </c>
      <c r="J2481" s="76" t="inlineStr">
        <is>
          <t xml:space="preserve">변동비</t>
        </is>
      </c>
      <c r="K2481" s="79">
        <v>12410</v>
      </c>
      <c r="L2481" s="76" t="inlineStr">
        <is>
          <t xml:space="preserve">본인</t>
        </is>
      </c>
      <c r="M2481" s="76" t="inlineStr">
        <is>
          <t xml:space="preserve">10/18 첨부 RAW 7행 · 신규 거래. 기존 RAW 행번호와 이전 분류는 보존. 본인 생활비·달력·계산기 반영. WRAP 원장에는 결제를 재기록하지 않음.</t>
        </is>
      </c>
      <c r="N2481" s="76" t="str">
        <f>IF(R2481="WRAP",IF((COUNTIF(잔액!$W$64:$W$500,ROW())+COUNTIF(잔액!$X$64:$X$500,ROW()))=1,"연결",IF((COUNTIF(잔액!$W$64:$W$500,ROW())+COUNTIF(잔액!$X$64:$X$500,ROW()))=0,"누락","중복")),IF(R2481="카드사용","월간·계산기","타계좌·잔액제외"))</f>
        <v>월간·계산기</v>
      </c>
      <c r="O2481"/>
      <c r="P2481"/>
      <c r="Q2481"/>
      <c r="R2481" s="76" t="inlineStr">
        <is>
          <t xml:space="preserve">카드사용</t>
        </is>
      </c>
      <c r="S2481" s="76"/>
    </row>
    <row r="2482" spans="1:19">
      <c r="A2482" s="114">
        <v>46313.675007997685</v>
      </c>
      <c r="B2482" s="78">
        <v>46296.0</v>
      </c>
      <c r="C2482" s="76" t="inlineStr">
        <is>
          <t xml:space="preserve">우리카드의정석SUPER</t>
        </is>
      </c>
      <c r="D2482" s="76" t="inlineStr">
        <is>
          <t xml:space="preserve">문화/생활</t>
        </is>
      </c>
      <c r="E2482" s="76"/>
      <c r="F2482" s="76" t="inlineStr">
        <is>
          <t xml:space="preserve">코인세탁</t>
        </is>
      </c>
      <c r="G2482" s="79">
        <v>20000</v>
      </c>
      <c r="H2482" s="76" t="inlineStr">
        <is>
          <t xml:space="preserve">지출</t>
        </is>
      </c>
      <c r="I2482" s="76"/>
      <c r="J2482" s="76" t="inlineStr">
        <is>
          <t xml:space="preserve">변동비</t>
        </is>
      </c>
      <c r="K2482" s="79">
        <v>20000</v>
      </c>
      <c r="L2482" s="76" t="inlineStr">
        <is>
          <t xml:space="preserve">본인</t>
        </is>
      </c>
      <c r="M2482" s="76" t="inlineStr">
        <is>
          <t xml:space="preserve">10/18 첨부 RAW 6행 · 신규 거래. 기존 RAW 행번호와 이전 분류는 보존. 본인 생활비·달력·계산기 반영. WRAP 원장에는 결제를 재기록하지 않음.</t>
        </is>
      </c>
      <c r="N2482" s="76" t="str">
        <f>IF(R2482="WRAP",IF((COUNTIF(잔액!$W$64:$W$500,ROW())+COUNTIF(잔액!$X$64:$X$500,ROW()))=1,"연결",IF((COUNTIF(잔액!$W$64:$W$500,ROW())+COUNTIF(잔액!$X$64:$X$500,ROW()))=0,"누락","중복")),IF(R2482="카드사용","월간·계산기","타계좌·잔액제외"))</f>
        <v>월간·계산기</v>
      </c>
      <c r="O2482"/>
      <c r="P2482"/>
      <c r="Q2482"/>
      <c r="R2482" s="76" t="inlineStr">
        <is>
          <t xml:space="preserve">카드사용</t>
        </is>
      </c>
      <c r="S2482" s="76"/>
    </row>
    <row r="2483" spans="1:19">
      <c r="A2483" s="114">
        <v>46313.67569491898</v>
      </c>
      <c r="B2483" s="78">
        <v>46296.0</v>
      </c>
      <c r="C2483" s="76" t="inlineStr">
        <is>
          <t xml:space="preserve">우리카드의정석SUPER</t>
        </is>
      </c>
      <c r="D2483" s="76" t="inlineStr">
        <is>
          <t xml:space="preserve">기타</t>
        </is>
      </c>
      <c r="E2483" s="76"/>
      <c r="F2483" s="76" t="inlineStr">
        <is>
          <t xml:space="preserve">기타</t>
        </is>
      </c>
      <c r="G2483" s="79">
        <v>5000</v>
      </c>
      <c r="H2483" s="76" t="inlineStr">
        <is>
          <t xml:space="preserve">지출</t>
        </is>
      </c>
      <c r="I2483" s="76"/>
      <c r="J2483" s="76" t="inlineStr">
        <is>
          <t xml:space="preserve">변동비</t>
        </is>
      </c>
      <c r="K2483" s="79">
        <v>5000</v>
      </c>
      <c r="L2483" s="76" t="inlineStr">
        <is>
          <t xml:space="preserve">본인</t>
        </is>
      </c>
      <c r="M2483" s="76" t="inlineStr">
        <is>
          <t xml:space="preserve">10/18 첨부 RAW 5행 · 신규 거래. 기존 RAW 행번호와 이전 분류는 보존. 본인 생활비·달력·계산기 반영. WRAP 원장에는 결제를 재기록하지 않음.</t>
        </is>
      </c>
      <c r="N2483" s="76" t="str">
        <f>IF(R2483="WRAP",IF((COUNTIF(잔액!$W$64:$W$500,ROW())+COUNTIF(잔액!$X$64:$X$500,ROW()))=1,"연결",IF((COUNTIF(잔액!$W$64:$W$500,ROW())+COUNTIF(잔액!$X$64:$X$500,ROW()))=0,"누락","중복")),IF(R2483="카드사용","월간·계산기","타계좌·잔액제외"))</f>
        <v>월간·계산기</v>
      </c>
      <c r="O2483"/>
      <c r="P2483"/>
      <c r="Q2483"/>
      <c r="R2483" s="76" t="inlineStr">
        <is>
          <t xml:space="preserve">카드사용</t>
        </is>
      </c>
      <c r="S2483" s="76"/>
    </row>
    <row r="2484" spans="1:19">
      <c r="A2484" s="114">
        <v>46313.67569805556</v>
      </c>
      <c r="B2484" s="78">
        <v>46296.0</v>
      </c>
      <c r="C2484" s="76" t="inlineStr">
        <is>
          <t xml:space="preserve">우리카드의정석SUPER</t>
        </is>
      </c>
      <c r="D2484" s="76" t="inlineStr">
        <is>
          <t xml:space="preserve">식비</t>
        </is>
      </c>
      <c r="E2484" s="76" t="inlineStr">
        <is>
          <t xml:space="preserve">음료/디저트/간식</t>
        </is>
      </c>
      <c r="F2484" s="76" t="inlineStr">
        <is>
          <t xml:space="preserve">CU</t>
        </is>
      </c>
      <c r="G2484" s="79">
        <v>3000</v>
      </c>
      <c r="H2484" s="76" t="inlineStr">
        <is>
          <t xml:space="preserve">지출</t>
        </is>
      </c>
      <c r="I2484" s="76" t="inlineStr">
        <is>
          <t xml:space="preserve">초코모찌빵</t>
        </is>
      </c>
      <c r="J2484" s="76" t="inlineStr">
        <is>
          <t xml:space="preserve">변동비</t>
        </is>
      </c>
      <c r="K2484" s="79">
        <v>3000</v>
      </c>
      <c r="L2484" s="76" t="inlineStr">
        <is>
          <t xml:space="preserve">본인</t>
        </is>
      </c>
      <c r="M2484" s="76" t="inlineStr">
        <is>
          <t xml:space="preserve">10/18 첨부 RAW 4행 · 신규 거래. 기존 RAW 행번호와 이전 분류는 보존. 본인 생활비·달력·계산기 반영. WRAP 원장에는 결제를 재기록하지 않음.</t>
        </is>
      </c>
      <c r="N2484" s="76" t="str">
        <f>IF(R2484="WRAP",IF((COUNTIF(잔액!$W$64:$W$500,ROW())+COUNTIF(잔액!$X$64:$X$500,ROW()))=1,"연결",IF((COUNTIF(잔액!$W$64:$W$500,ROW())+COUNTIF(잔액!$X$64:$X$500,ROW()))=0,"누락","중복")),IF(R2484="카드사용","월간·계산기","타계좌·잔액제외"))</f>
        <v>월간·계산기</v>
      </c>
      <c r="O2484"/>
      <c r="P2484"/>
      <c r="Q2484"/>
      <c r="R2484" s="76" t="inlineStr">
        <is>
          <t xml:space="preserve">카드사용</t>
        </is>
      </c>
      <c r="S2484" s="76"/>
    </row>
    <row r="2485" spans="1:19">
      <c r="A2485" s="114">
        <v>46313.676396759256</v>
      </c>
      <c r="B2485" s="78">
        <v>46296.0</v>
      </c>
      <c r="C2485" s="76" t="inlineStr">
        <is>
          <t xml:space="preserve">KB쿠팡와우</t>
        </is>
      </c>
      <c r="D2485" s="76" t="inlineStr">
        <is>
          <t xml:space="preserve">잡화/소품/가구/생필품</t>
        </is>
      </c>
      <c r="E2485" s="76"/>
      <c r="F2485" s="76" t="inlineStr">
        <is>
          <t xml:space="preserve">쿠팡</t>
        </is>
      </c>
      <c r="G2485" s="79">
        <v>35820</v>
      </c>
      <c r="H2485" s="76" t="inlineStr">
        <is>
          <t xml:space="preserve">지출</t>
        </is>
      </c>
      <c r="I2485" s="76" t="inlineStr">
        <is>
          <t xml:space="preserve">바디로션, 가글</t>
        </is>
      </c>
      <c r="J2485" s="76" t="inlineStr">
        <is>
          <t xml:space="preserve">변동비</t>
        </is>
      </c>
      <c r="K2485" s="79">
        <v>35820</v>
      </c>
      <c r="L2485" s="76" t="inlineStr">
        <is>
          <t xml:space="preserve">본인</t>
        </is>
      </c>
      <c r="M2485" s="76" t="inlineStr">
        <is>
          <t xml:space="preserve">10/18 첨부 RAW 3행 · 신규 거래. 기존 RAW 행번호와 이전 분류는 보존. 본인 생활비·달력·계산기 반영. WRAP 원장에는 결제를 재기록하지 않음.</t>
        </is>
      </c>
      <c r="N2485" s="76" t="str">
        <f>IF(R2485="WRAP",IF((COUNTIF(잔액!$W$64:$W$500,ROW())+COUNTIF(잔액!$X$64:$X$500,ROW()))=1,"연결",IF((COUNTIF(잔액!$W$64:$W$500,ROW())+COUNTIF(잔액!$X$64:$X$500,ROW()))=0,"누락","중복")),IF(R2485="카드사용","월간·계산기","타계좌·잔액제외"))</f>
        <v>월간·계산기</v>
      </c>
      <c r="O2485"/>
      <c r="P2485"/>
      <c r="Q2485"/>
      <c r="R2485" s="76" t="inlineStr">
        <is>
          <t xml:space="preserve">카드사용</t>
        </is>
      </c>
      <c r="S2485" s="76"/>
    </row>
    <row r="2486" spans="1:19">
      <c r="A2486" s="114">
        <v>46313.67708631945</v>
      </c>
      <c r="B2486" s="78">
        <v>46296.0</v>
      </c>
      <c r="C2486" s="76" t="inlineStr">
        <is>
          <t xml:space="preserve">우리카드의정석SUPER</t>
        </is>
      </c>
      <c r="D2486" s="76" t="inlineStr">
        <is>
          <t xml:space="preserve">식비</t>
        </is>
      </c>
      <c r="E2486" s="76" t="inlineStr">
        <is>
          <t xml:space="preserve">음료/디저트/간식</t>
        </is>
      </c>
      <c r="F2486" s="76" t="inlineStr">
        <is>
          <t xml:space="preserve">우지커피</t>
        </is>
      </c>
      <c r="G2486" s="79">
        <v>4400</v>
      </c>
      <c r="H2486" s="76" t="inlineStr">
        <is>
          <t xml:space="preserve">지출</t>
        </is>
      </c>
      <c r="I2486" s="76"/>
      <c r="J2486" s="76" t="inlineStr">
        <is>
          <t xml:space="preserve">변동비</t>
        </is>
      </c>
      <c r="K2486" s="79">
        <v>4400</v>
      </c>
      <c r="L2486" s="76" t="inlineStr">
        <is>
          <t xml:space="preserve">본인</t>
        </is>
      </c>
      <c r="M2486" s="76" t="inlineStr">
        <is>
          <t xml:space="preserve">10/18 첨부 RAW 2행 · 신규 거래. 기존 RAW 행번호와 이전 분류는 보존. 본인 생활비·달력·계산기 반영. WRAP 원장에는 결제를 재기록하지 않음.</t>
        </is>
      </c>
      <c r="N2486" s="76" t="str">
        <f>IF(R2486="WRAP",IF((COUNTIF(잔액!$W$64:$W$500,ROW())+COUNTIF(잔액!$X$64:$X$500,ROW()))=1,"연결",IF((COUNTIF(잔액!$W$64:$W$500,ROW())+COUNTIF(잔액!$X$64:$X$500,ROW()))=0,"누락","중복")),IF(R2486="카드사용","월간·계산기","타계좌·잔액제외"))</f>
        <v>월간·계산기</v>
      </c>
      <c r="O2486"/>
      <c r="P2486"/>
      <c r="Q2486"/>
      <c r="R2486" s="76" t="inlineStr">
        <is>
          <t xml:space="preserve">카드사용</t>
        </is>
      </c>
      <c r="S2486" s="76"/>
    </row>
  </sheetData>
  <autoFilter ref="A1:S2486" xr:uid="{00000000-0009-0000-0000-00001C000000}"/>
  <phoneticPr fontId="27" type="noConversion"/>
  <conditionalFormatting sqref="N2323:N2486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1843</v>
      </c>
    </row>
    <row r="2" spans="1:24">
      <c r="A2" t="s">
        <v>1844</v>
      </c>
    </row>
    <row r="4" spans="1:24">
      <c r="A4" t="s">
        <v>350</v>
      </c>
      <c r="B4" t="s">
        <v>351</v>
      </c>
      <c r="C4" t="s">
        <v>352</v>
      </c>
      <c r="D4" t="s">
        <v>353</v>
      </c>
      <c r="E4" t="s">
        <v>354</v>
      </c>
      <c r="F4" t="s">
        <v>355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356</v>
      </c>
      <c r="V4" t="s">
        <v>357</v>
      </c>
      <c r="W4" t="s">
        <v>1845</v>
      </c>
      <c r="X4" t="s">
        <v>553</v>
      </c>
    </row>
    <row r="5" spans="1:24">
      <c r="A5" t="s">
        <v>1846</v>
      </c>
      <c r="B5" t="s">
        <v>1847</v>
      </c>
      <c r="C5" t="s">
        <v>65</v>
      </c>
      <c r="D5" t="s">
        <v>361</v>
      </c>
      <c r="E5" t="s">
        <v>66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1846</v>
      </c>
      <c r="B6" t="s">
        <v>1847</v>
      </c>
      <c r="C6" t="s">
        <v>95</v>
      </c>
      <c r="D6" t="s">
        <v>361</v>
      </c>
      <c r="F6" t="s">
        <v>368</v>
      </c>
      <c r="Q6" s="2">
        <v>200000</v>
      </c>
      <c r="V6" s="2">
        <v>200000</v>
      </c>
      <c r="W6" s="2">
        <v>0</v>
      </c>
    </row>
    <row r="7" spans="1:24">
      <c r="A7" t="s">
        <v>1846</v>
      </c>
      <c r="B7" t="s">
        <v>365</v>
      </c>
      <c r="C7" t="s">
        <v>65</v>
      </c>
      <c r="D7" t="s">
        <v>366</v>
      </c>
      <c r="E7" t="s">
        <v>66</v>
      </c>
      <c r="L7" s="2">
        <v>50000</v>
      </c>
      <c r="Q7" s="2">
        <v>50000</v>
      </c>
      <c r="U7" s="2">
        <v>100000</v>
      </c>
    </row>
    <row r="8" spans="1:24">
      <c r="A8" t="s">
        <v>1846</v>
      </c>
      <c r="B8" t="s">
        <v>365</v>
      </c>
      <c r="C8" t="s">
        <v>95</v>
      </c>
      <c r="D8" t="s">
        <v>366</v>
      </c>
      <c r="F8" t="s">
        <v>368</v>
      </c>
      <c r="R8" s="2">
        <v>100000</v>
      </c>
      <c r="V8" s="2">
        <v>100000</v>
      </c>
      <c r="W8" s="2">
        <v>0</v>
      </c>
    </row>
    <row r="9" spans="1:24">
      <c r="A9" t="s">
        <v>1846</v>
      </c>
      <c r="B9" t="s">
        <v>369</v>
      </c>
      <c r="C9" t="s">
        <v>65</v>
      </c>
      <c r="D9" t="s">
        <v>370</v>
      </c>
      <c r="E9" t="s">
        <v>66</v>
      </c>
      <c r="G9" s="2">
        <v>50000</v>
      </c>
      <c r="U9" s="2">
        <v>50000</v>
      </c>
    </row>
    <row r="10" spans="1:24">
      <c r="A10" t="s">
        <v>1846</v>
      </c>
      <c r="B10" t="s">
        <v>369</v>
      </c>
      <c r="C10" t="s">
        <v>95</v>
      </c>
      <c r="D10" t="s">
        <v>370</v>
      </c>
      <c r="F10" t="s">
        <v>371</v>
      </c>
      <c r="H10" s="2">
        <v>50000</v>
      </c>
      <c r="V10" s="2">
        <v>50000</v>
      </c>
      <c r="W10" s="2">
        <v>0</v>
      </c>
    </row>
    <row r="11" spans="1:24">
      <c r="A11" t="s">
        <v>1846</v>
      </c>
      <c r="B11" t="s">
        <v>372</v>
      </c>
      <c r="C11" t="s">
        <v>65</v>
      </c>
      <c r="D11" t="s">
        <v>373</v>
      </c>
      <c r="E11" t="s">
        <v>66</v>
      </c>
      <c r="O11" s="2">
        <v>50000</v>
      </c>
      <c r="U11" s="2">
        <v>50000</v>
      </c>
    </row>
    <row r="12" spans="1:24">
      <c r="A12" t="s">
        <v>1846</v>
      </c>
      <c r="B12" t="s">
        <v>372</v>
      </c>
      <c r="C12" t="s">
        <v>95</v>
      </c>
      <c r="D12" t="s">
        <v>373</v>
      </c>
      <c r="F12" t="s">
        <v>371</v>
      </c>
      <c r="P12" s="2">
        <v>50000</v>
      </c>
      <c r="V12" s="2">
        <v>50000</v>
      </c>
      <c r="W12" s="2">
        <v>0</v>
      </c>
    </row>
    <row r="13" spans="1:24">
      <c r="A13" t="s">
        <v>1846</v>
      </c>
      <c r="B13" t="s">
        <v>67</v>
      </c>
      <c r="C13" t="s">
        <v>65</v>
      </c>
      <c r="D13" t="s">
        <v>376</v>
      </c>
      <c r="E13" t="s">
        <v>66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1846</v>
      </c>
      <c r="B14" t="s">
        <v>67</v>
      </c>
      <c r="C14" t="s">
        <v>95</v>
      </c>
      <c r="D14" t="s">
        <v>377</v>
      </c>
      <c r="F14" t="s">
        <v>1848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17</v>
      </c>
      <c r="B15" t="s">
        <v>68</v>
      </c>
      <c r="C15" t="s">
        <v>65</v>
      </c>
      <c r="E15" t="s">
        <v>66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17</v>
      </c>
      <c r="B16" t="s">
        <v>68</v>
      </c>
      <c r="C16" t="s">
        <v>95</v>
      </c>
      <c r="D16" t="s">
        <v>1849</v>
      </c>
      <c r="F16" t="s">
        <v>1850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18</v>
      </c>
      <c r="B17" t="s">
        <v>97</v>
      </c>
      <c r="C17" t="s">
        <v>65</v>
      </c>
      <c r="E17" t="s">
        <v>66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18</v>
      </c>
      <c r="B18" t="s">
        <v>97</v>
      </c>
      <c r="C18" t="s">
        <v>95</v>
      </c>
      <c r="D18" t="s">
        <v>381</v>
      </c>
      <c r="F18" t="s">
        <v>368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19</v>
      </c>
      <c r="B19" t="s">
        <v>383</v>
      </c>
      <c r="C19" t="s">
        <v>65</v>
      </c>
      <c r="D19" t="s">
        <v>384</v>
      </c>
      <c r="E19" t="s">
        <v>66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19</v>
      </c>
      <c r="B20" t="s">
        <v>383</v>
      </c>
      <c r="C20" t="s">
        <v>95</v>
      </c>
      <c r="D20" t="s">
        <v>384</v>
      </c>
      <c r="F20" t="s">
        <v>1851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1852</v>
      </c>
      <c r="B21" t="s">
        <v>387</v>
      </c>
      <c r="C21" t="s">
        <v>65</v>
      </c>
      <c r="E21" t="s">
        <v>388</v>
      </c>
      <c r="G21" s="2">
        <v>100000</v>
      </c>
      <c r="H21" s="2">
        <v>100000</v>
      </c>
      <c r="U21" s="2">
        <v>200000</v>
      </c>
    </row>
    <row r="22" spans="1:24">
      <c r="A22" t="s">
        <v>1852</v>
      </c>
      <c r="B22" t="s">
        <v>387</v>
      </c>
      <c r="C22" t="s">
        <v>95</v>
      </c>
      <c r="D22" t="s">
        <v>389</v>
      </c>
      <c r="F22" t="s">
        <v>390</v>
      </c>
      <c r="H22" s="2">
        <v>200000</v>
      </c>
      <c r="V22" s="2">
        <v>200000</v>
      </c>
      <c r="W22" s="2">
        <v>0</v>
      </c>
    </row>
    <row r="24" spans="1:24">
      <c r="A24" t="s">
        <v>1853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1854</v>
      </c>
    </row>
    <row r="25" spans="1:24">
      <c r="A25" t="s">
        <v>1855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357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1856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1857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1858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1859</v>
      </c>
    </row>
    <row r="30" spans="1:24">
      <c r="A30" t="s">
        <v>1860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1861</v>
      </c>
    </row>
    <row r="34" spans="1:23">
      <c r="A34" t="s">
        <v>350</v>
      </c>
      <c r="B34" t="s">
        <v>352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356</v>
      </c>
      <c r="V34" t="s">
        <v>357</v>
      </c>
      <c r="W34" t="s">
        <v>1862</v>
      </c>
    </row>
    <row r="35" spans="1:23">
      <c r="A35" t="s">
        <v>1846</v>
      </c>
      <c r="B35" t="s">
        <v>65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1846</v>
      </c>
      <c r="B36" t="s">
        <v>95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17</v>
      </c>
      <c r="B37" t="s">
        <v>65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17</v>
      </c>
      <c r="B38" t="s">
        <v>95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18</v>
      </c>
      <c r="B39" t="s">
        <v>65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18</v>
      </c>
      <c r="B40" t="s">
        <v>95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19</v>
      </c>
      <c r="B41" t="s">
        <v>65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19</v>
      </c>
      <c r="B42" t="s">
        <v>95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1852</v>
      </c>
      <c r="B43" t="s">
        <v>65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1852</v>
      </c>
      <c r="B44" t="s">
        <v>95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1863</v>
      </c>
      <c r="H47" t="s">
        <v>1864</v>
      </c>
    </row>
    <row r="48" spans="1:23">
      <c r="A48" t="s">
        <v>352</v>
      </c>
      <c r="B48" t="s">
        <v>439</v>
      </c>
      <c r="D48" t="s">
        <v>38</v>
      </c>
      <c r="E48" t="s">
        <v>1865</v>
      </c>
      <c r="H48" t="s">
        <v>1866</v>
      </c>
      <c r="I48" s="2">
        <v>410000</v>
      </c>
    </row>
    <row r="49" spans="1:9">
      <c r="A49" t="s">
        <v>1867</v>
      </c>
      <c r="B49" t="s">
        <v>1868</v>
      </c>
      <c r="D49" s="2">
        <v>1300000</v>
      </c>
      <c r="E49" t="s">
        <v>1869</v>
      </c>
      <c r="H49" t="s">
        <v>1870</v>
      </c>
      <c r="I49" s="2">
        <v>300000</v>
      </c>
    </row>
    <row r="50" spans="1:9">
      <c r="B50" t="s">
        <v>1871</v>
      </c>
      <c r="D50" s="2">
        <v>400000</v>
      </c>
      <c r="E50" t="s">
        <v>1872</v>
      </c>
      <c r="H50" t="s">
        <v>1873</v>
      </c>
      <c r="I50" s="2">
        <v>600000</v>
      </c>
    </row>
    <row r="51" spans="1:9">
      <c r="B51" t="s">
        <v>1874</v>
      </c>
      <c r="D51" s="2">
        <v>2400000</v>
      </c>
      <c r="E51" t="s">
        <v>1875</v>
      </c>
      <c r="H51" t="s">
        <v>1876</v>
      </c>
      <c r="I51" s="2">
        <v>200000</v>
      </c>
    </row>
    <row r="52" spans="1:9">
      <c r="B52" t="s">
        <v>1877</v>
      </c>
      <c r="D52" s="2">
        <v>4100000</v>
      </c>
      <c r="H52" t="s">
        <v>418</v>
      </c>
      <c r="I52" s="2">
        <v>1510000</v>
      </c>
    </row>
    <row r="53" spans="1:9">
      <c r="A53" t="s">
        <v>1878</v>
      </c>
      <c r="B53" t="s">
        <v>1879</v>
      </c>
      <c r="D53" s="2">
        <v>4000000</v>
      </c>
      <c r="E53" t="s">
        <v>1880</v>
      </c>
    </row>
    <row r="54" spans="1:9">
      <c r="B54" t="s">
        <v>1881</v>
      </c>
      <c r="D54" s="2">
        <v>4000000</v>
      </c>
    </row>
    <row r="55" spans="1:9">
      <c r="A55" t="s">
        <v>1882</v>
      </c>
      <c r="B55" t="s">
        <v>1883</v>
      </c>
      <c r="D55" s="2">
        <v>200000</v>
      </c>
      <c r="E55" t="s">
        <v>1884</v>
      </c>
    </row>
    <row r="56" spans="1:9">
      <c r="B56" t="s">
        <v>1885</v>
      </c>
      <c r="D56" s="2">
        <v>300000</v>
      </c>
      <c r="E56" t="s">
        <v>1884</v>
      </c>
    </row>
    <row r="57" spans="1:9">
      <c r="E57" t="s">
        <v>1886</v>
      </c>
    </row>
    <row r="60" spans="1:9">
      <c r="B60" t="s">
        <v>1887</v>
      </c>
      <c r="D60" s="2">
        <v>500000</v>
      </c>
    </row>
    <row r="61" spans="1:9">
      <c r="A61" t="s">
        <v>1888</v>
      </c>
      <c r="B61" t="s">
        <v>1889</v>
      </c>
      <c r="D61" s="2">
        <v>4500000</v>
      </c>
    </row>
    <row r="62" spans="1:9">
      <c r="B62" t="s">
        <v>1890</v>
      </c>
      <c r="D62" s="2">
        <v>400000</v>
      </c>
      <c r="E62" t="s">
        <v>1891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1892</v>
      </c>
    </row>
    <row r="3" spans="1:15">
      <c r="A3" t="s">
        <v>430</v>
      </c>
      <c r="B3" s="3">
        <v>46266</v>
      </c>
      <c r="C3" t="s">
        <v>1893</v>
      </c>
    </row>
    <row r="4" spans="1:15">
      <c r="A4" t="s">
        <v>1894</v>
      </c>
      <c r="C4" t="s">
        <v>1895</v>
      </c>
    </row>
    <row r="6" spans="1:15">
      <c r="A6" t="s">
        <v>4</v>
      </c>
      <c r="B6" t="s">
        <v>1896</v>
      </c>
      <c r="C6" t="s">
        <v>1897</v>
      </c>
      <c r="D6" t="s">
        <v>1898</v>
      </c>
      <c r="E6" t="s">
        <v>1899</v>
      </c>
      <c r="F6" t="s">
        <v>1900</v>
      </c>
      <c r="G6" t="s">
        <v>1901</v>
      </c>
      <c r="H6" t="s">
        <v>1902</v>
      </c>
      <c r="I6" t="s">
        <v>1903</v>
      </c>
      <c r="J6" t="s">
        <v>1904</v>
      </c>
      <c r="K6" t="s">
        <v>1905</v>
      </c>
      <c r="L6" t="s">
        <v>1906</v>
      </c>
      <c r="M6" t="s">
        <v>1907</v>
      </c>
      <c r="N6" t="s">
        <v>1908</v>
      </c>
      <c r="O6" t="s">
        <v>1909</v>
      </c>
    </row>
    <row r="7" spans="1:15">
      <c r="A7" t="s">
        <v>15</v>
      </c>
      <c r="B7" t="s">
        <v>1910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1911</v>
      </c>
      <c r="J7" t="s">
        <v>1911</v>
      </c>
      <c r="K7" t="s">
        <v>1911</v>
      </c>
      <c r="L7" t="s">
        <v>1911</v>
      </c>
      <c r="M7" t="s">
        <v>1911</v>
      </c>
      <c r="N7" t="s">
        <v>1911</v>
      </c>
      <c r="O7" t="s">
        <v>1911</v>
      </c>
    </row>
    <row r="8" spans="1:15">
      <c r="A8" t="s">
        <v>1846</v>
      </c>
      <c r="B8" t="s">
        <v>1912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1913</v>
      </c>
    </row>
    <row r="9" spans="1:15">
      <c r="A9" t="s">
        <v>17</v>
      </c>
      <c r="B9" t="s">
        <v>1914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1913</v>
      </c>
    </row>
    <row r="10" spans="1:15">
      <c r="A10" t="s">
        <v>18</v>
      </c>
      <c r="B10" t="s">
        <v>1915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1913</v>
      </c>
    </row>
    <row r="11" spans="1:15">
      <c r="A11" t="s">
        <v>19</v>
      </c>
      <c r="B11" t="s">
        <v>69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1913</v>
      </c>
    </row>
    <row r="12" spans="1:15">
      <c r="A12" t="s">
        <v>1852</v>
      </c>
      <c r="B12" t="s">
        <v>1916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1913</v>
      </c>
    </row>
    <row r="13" spans="1:15">
      <c r="A13" t="s">
        <v>22</v>
      </c>
      <c r="B13" t="s">
        <v>1917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1911</v>
      </c>
      <c r="J13" t="s">
        <v>1911</v>
      </c>
      <c r="K13" t="s">
        <v>1911</v>
      </c>
      <c r="L13" t="s">
        <v>1911</v>
      </c>
      <c r="M13" t="s">
        <v>1911</v>
      </c>
      <c r="N13" t="s">
        <v>1911</v>
      </c>
      <c r="O13" t="s">
        <v>1911</v>
      </c>
    </row>
    <row r="14" spans="1:15">
      <c r="A14" t="s">
        <v>23</v>
      </c>
      <c r="B14" t="s">
        <v>1918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1911</v>
      </c>
      <c r="J14" t="s">
        <v>1911</v>
      </c>
      <c r="K14" t="s">
        <v>1911</v>
      </c>
      <c r="L14" t="s">
        <v>1911</v>
      </c>
      <c r="M14" t="s">
        <v>1911</v>
      </c>
      <c r="N14" t="s">
        <v>1911</v>
      </c>
      <c r="O14" t="s">
        <v>1911</v>
      </c>
    </row>
    <row r="15" spans="1:15">
      <c r="A15" t="s">
        <v>418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48</v>
      </c>
      <c r="B16" t="s">
        <v>1919</v>
      </c>
      <c r="G16" t="s">
        <v>1920</v>
      </c>
    </row>
    <row r="17" spans="1:55">
      <c r="A17" t="s">
        <v>1921</v>
      </c>
    </row>
    <row r="18" spans="1:55">
      <c r="A18" t="s">
        <v>1922</v>
      </c>
    </row>
    <row r="19" spans="1:55">
      <c r="A19" t="s">
        <v>4</v>
      </c>
      <c r="B19" t="s">
        <v>352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15</v>
      </c>
      <c r="B20" t="s">
        <v>1923</v>
      </c>
      <c r="C20" s="2">
        <v>229000</v>
      </c>
      <c r="D20" t="s">
        <v>1924</v>
      </c>
      <c r="E20" t="s">
        <v>298</v>
      </c>
      <c r="H20" s="2">
        <v>993611</v>
      </c>
      <c r="I20" t="s">
        <v>1925</v>
      </c>
      <c r="J20" t="s">
        <v>299</v>
      </c>
      <c r="M20" s="2">
        <v>944667</v>
      </c>
      <c r="N20" t="s">
        <v>1925</v>
      </c>
      <c r="O20" t="s">
        <v>300</v>
      </c>
      <c r="R20" s="2">
        <v>1062089</v>
      </c>
      <c r="S20" t="s">
        <v>1925</v>
      </c>
      <c r="T20" t="s">
        <v>301</v>
      </c>
      <c r="W20" s="2">
        <v>626802</v>
      </c>
      <c r="X20" t="s">
        <v>1925</v>
      </c>
      <c r="Y20" t="s">
        <v>302</v>
      </c>
      <c r="AB20" s="2">
        <v>-498498</v>
      </c>
      <c r="AC20" t="s">
        <v>1925</v>
      </c>
      <c r="AD20" t="s">
        <v>303</v>
      </c>
      <c r="AG20" s="2">
        <v>0</v>
      </c>
      <c r="AH20" t="s">
        <v>1925</v>
      </c>
      <c r="AI20" t="s">
        <v>304</v>
      </c>
      <c r="AL20" s="2">
        <v>6388603</v>
      </c>
      <c r="AM20" t="s">
        <v>1925</v>
      </c>
      <c r="AN20" t="s">
        <v>1926</v>
      </c>
      <c r="AQ20" s="2">
        <v>6388603</v>
      </c>
      <c r="AR20" t="s">
        <v>1925</v>
      </c>
      <c r="AS20" t="s">
        <v>1927</v>
      </c>
      <c r="AV20" s="2">
        <v>6388603</v>
      </c>
      <c r="AW20" t="s">
        <v>1925</v>
      </c>
      <c r="AX20" t="s">
        <v>1928</v>
      </c>
      <c r="BA20" s="2">
        <v>6388603</v>
      </c>
      <c r="BB20" t="s">
        <v>1925</v>
      </c>
      <c r="BC20" t="s">
        <v>1929</v>
      </c>
    </row>
    <row r="21" spans="1:55">
      <c r="A21" t="s">
        <v>15</v>
      </c>
      <c r="B21" t="s">
        <v>1930</v>
      </c>
      <c r="C21" t="s">
        <v>60</v>
      </c>
      <c r="H21" t="s">
        <v>70</v>
      </c>
      <c r="M21" t="s">
        <v>90</v>
      </c>
      <c r="AB21" t="s">
        <v>128</v>
      </c>
      <c r="AG21" t="s">
        <v>152</v>
      </c>
      <c r="AH21" t="s">
        <v>153</v>
      </c>
    </row>
    <row r="22" spans="1:55">
      <c r="A22" t="s">
        <v>15</v>
      </c>
      <c r="B22" t="s">
        <v>1931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15</v>
      </c>
      <c r="B23" t="s">
        <v>1930</v>
      </c>
    </row>
    <row r="24" spans="1:55">
      <c r="A24" t="s">
        <v>15</v>
      </c>
      <c r="B24" t="s">
        <v>1931</v>
      </c>
    </row>
    <row r="25" spans="1:55">
      <c r="A25" t="s">
        <v>15</v>
      </c>
      <c r="B25" t="s">
        <v>1930</v>
      </c>
    </row>
    <row r="26" spans="1:55">
      <c r="A26" t="s">
        <v>15</v>
      </c>
      <c r="B26" t="s">
        <v>1931</v>
      </c>
    </row>
    <row r="27" spans="1:55">
      <c r="A27" t="s">
        <v>15</v>
      </c>
      <c r="B27" t="s">
        <v>1932</v>
      </c>
      <c r="C27" t="s">
        <v>64</v>
      </c>
      <c r="H27" t="s">
        <v>71</v>
      </c>
      <c r="I27" t="s">
        <v>72</v>
      </c>
      <c r="J27" t="s">
        <v>73</v>
      </c>
      <c r="R27" t="s">
        <v>103</v>
      </c>
      <c r="S27" t="s">
        <v>104</v>
      </c>
      <c r="T27" t="s">
        <v>105</v>
      </c>
      <c r="U27" t="s">
        <v>106</v>
      </c>
      <c r="V27" t="s">
        <v>107</v>
      </c>
      <c r="W27" t="s">
        <v>112</v>
      </c>
      <c r="X27" t="s">
        <v>113</v>
      </c>
      <c r="Y27" t="s">
        <v>114</v>
      </c>
      <c r="Z27" t="s">
        <v>105</v>
      </c>
      <c r="AA27" t="s">
        <v>115</v>
      </c>
      <c r="AB27" t="s">
        <v>106</v>
      </c>
      <c r="AC27" t="s">
        <v>129</v>
      </c>
      <c r="AD27" t="s">
        <v>130</v>
      </c>
      <c r="AE27" t="s">
        <v>131</v>
      </c>
      <c r="AF27" t="s">
        <v>115</v>
      </c>
      <c r="AG27" t="s">
        <v>154</v>
      </c>
      <c r="AH27" t="s">
        <v>155</v>
      </c>
      <c r="AI27" t="s">
        <v>156</v>
      </c>
    </row>
    <row r="28" spans="1:55">
      <c r="A28" t="s">
        <v>15</v>
      </c>
      <c r="B28" t="s">
        <v>1933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15</v>
      </c>
      <c r="B29" t="s">
        <v>1932</v>
      </c>
      <c r="W29" t="s">
        <v>116</v>
      </c>
      <c r="X29" t="s">
        <v>106</v>
      </c>
      <c r="Y29" t="s">
        <v>117</v>
      </c>
      <c r="Z29" t="s">
        <v>118</v>
      </c>
      <c r="AA29" t="s">
        <v>119</v>
      </c>
      <c r="AB29" t="s">
        <v>132</v>
      </c>
      <c r="AC29" t="s">
        <v>133</v>
      </c>
      <c r="AD29" t="s">
        <v>117</v>
      </c>
      <c r="AE29" t="s">
        <v>106</v>
      </c>
    </row>
    <row r="30" spans="1:55">
      <c r="A30" t="s">
        <v>15</v>
      </c>
      <c r="B30" t="s">
        <v>1933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15</v>
      </c>
      <c r="B31" t="s">
        <v>1932</v>
      </c>
      <c r="W31" t="s">
        <v>121</v>
      </c>
    </row>
    <row r="32" spans="1:55">
      <c r="A32" t="s">
        <v>15</v>
      </c>
      <c r="B32" t="s">
        <v>1933</v>
      </c>
      <c r="W32" s="2">
        <v>25000</v>
      </c>
    </row>
    <row r="33" spans="1:55">
      <c r="A33" t="s">
        <v>15</v>
      </c>
      <c r="B33" t="s">
        <v>1934</v>
      </c>
      <c r="H33" t="s">
        <v>75</v>
      </c>
      <c r="I33" t="s">
        <v>76</v>
      </c>
      <c r="J33" t="s">
        <v>77</v>
      </c>
      <c r="M33" t="s">
        <v>1935</v>
      </c>
      <c r="N33" t="s">
        <v>92</v>
      </c>
      <c r="O33" t="s">
        <v>93</v>
      </c>
      <c r="P33" t="s">
        <v>94</v>
      </c>
      <c r="R33" t="s">
        <v>92</v>
      </c>
      <c r="AB33" t="s">
        <v>134</v>
      </c>
      <c r="AC33" t="s">
        <v>135</v>
      </c>
      <c r="AG33" t="s">
        <v>76</v>
      </c>
      <c r="AH33" t="s">
        <v>1936</v>
      </c>
    </row>
    <row r="34" spans="1:55">
      <c r="A34" t="s">
        <v>15</v>
      </c>
      <c r="B34" t="s">
        <v>1937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15</v>
      </c>
      <c r="B35" t="s">
        <v>1934</v>
      </c>
    </row>
    <row r="36" spans="1:55">
      <c r="A36" t="s">
        <v>15</v>
      </c>
      <c r="B36" t="s">
        <v>1937</v>
      </c>
    </row>
    <row r="37" spans="1:55">
      <c r="A37" t="s">
        <v>15</v>
      </c>
      <c r="B37" t="s">
        <v>1934</v>
      </c>
    </row>
    <row r="38" spans="1:55">
      <c r="A38" t="s">
        <v>15</v>
      </c>
      <c r="B38" t="s">
        <v>1937</v>
      </c>
    </row>
    <row r="39" spans="1:55">
      <c r="A39" t="s">
        <v>15</v>
      </c>
      <c r="B39" t="s">
        <v>1938</v>
      </c>
      <c r="C39" s="2">
        <v>0</v>
      </c>
      <c r="D39" t="s">
        <v>66</v>
      </c>
      <c r="E39" t="s">
        <v>1939</v>
      </c>
      <c r="H39" s="2">
        <v>0</v>
      </c>
      <c r="I39" t="s">
        <v>66</v>
      </c>
      <c r="J39" t="s">
        <v>1939</v>
      </c>
      <c r="M39" s="2">
        <v>0</v>
      </c>
      <c r="N39" t="s">
        <v>66</v>
      </c>
      <c r="O39" t="s">
        <v>1939</v>
      </c>
      <c r="R39" s="2">
        <v>0</v>
      </c>
      <c r="S39" t="s">
        <v>66</v>
      </c>
      <c r="T39" t="s">
        <v>1939</v>
      </c>
      <c r="W39" s="2">
        <v>0</v>
      </c>
      <c r="X39" t="s">
        <v>66</v>
      </c>
      <c r="Y39" t="s">
        <v>1939</v>
      </c>
      <c r="AB39" s="2">
        <v>0</v>
      </c>
      <c r="AC39" t="s">
        <v>66</v>
      </c>
      <c r="AD39" t="s">
        <v>1939</v>
      </c>
      <c r="AG39" s="2">
        <v>-300000</v>
      </c>
      <c r="AH39" t="s">
        <v>15</v>
      </c>
      <c r="AI39" t="s">
        <v>1939</v>
      </c>
      <c r="AL39" s="2">
        <v>0</v>
      </c>
      <c r="AM39" t="s">
        <v>15</v>
      </c>
      <c r="AN39" t="s">
        <v>1939</v>
      </c>
      <c r="AQ39" s="2">
        <v>0</v>
      </c>
      <c r="AR39" t="s">
        <v>15</v>
      </c>
      <c r="AS39" t="s">
        <v>1939</v>
      </c>
      <c r="AV39" s="2">
        <v>0</v>
      </c>
      <c r="AW39" t="s">
        <v>15</v>
      </c>
      <c r="AX39" t="s">
        <v>1939</v>
      </c>
      <c r="BA39" s="2">
        <v>0</v>
      </c>
      <c r="BB39" t="s">
        <v>15</v>
      </c>
      <c r="BC39" t="s">
        <v>1939</v>
      </c>
    </row>
    <row r="40" spans="1:55">
      <c r="A40" t="s">
        <v>15</v>
      </c>
      <c r="B40" t="s">
        <v>1940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1846</v>
      </c>
      <c r="B42" t="s">
        <v>1923</v>
      </c>
      <c r="C42" s="2">
        <v>50000</v>
      </c>
      <c r="D42" t="s">
        <v>1924</v>
      </c>
      <c r="E42" t="s">
        <v>298</v>
      </c>
      <c r="H42" s="2">
        <v>100000</v>
      </c>
      <c r="I42" t="s">
        <v>1925</v>
      </c>
      <c r="J42" t="s">
        <v>299</v>
      </c>
      <c r="M42" s="2">
        <v>200000</v>
      </c>
      <c r="N42" t="s">
        <v>1925</v>
      </c>
      <c r="O42" t="s">
        <v>300</v>
      </c>
      <c r="R42" s="2">
        <v>50000</v>
      </c>
      <c r="S42" t="s">
        <v>1925</v>
      </c>
      <c r="T42" t="s">
        <v>301</v>
      </c>
      <c r="W42" s="2">
        <v>150000</v>
      </c>
      <c r="X42" t="s">
        <v>1925</v>
      </c>
      <c r="Y42" t="s">
        <v>302</v>
      </c>
      <c r="AB42" s="2">
        <v>300000</v>
      </c>
      <c r="AC42" t="s">
        <v>1925</v>
      </c>
      <c r="AD42" t="s">
        <v>303</v>
      </c>
      <c r="AG42" s="2">
        <v>450000</v>
      </c>
      <c r="AH42" t="s">
        <v>1925</v>
      </c>
      <c r="AI42" t="s">
        <v>304</v>
      </c>
      <c r="AL42" s="2">
        <v>350000</v>
      </c>
      <c r="AM42" t="s">
        <v>1925</v>
      </c>
      <c r="AN42" t="s">
        <v>1926</v>
      </c>
      <c r="AQ42" s="2">
        <v>350000</v>
      </c>
      <c r="AR42" t="s">
        <v>1925</v>
      </c>
      <c r="AS42" t="s">
        <v>1927</v>
      </c>
      <c r="AV42" s="2">
        <v>350000</v>
      </c>
      <c r="AW42" t="s">
        <v>1925</v>
      </c>
      <c r="AX42" t="s">
        <v>1928</v>
      </c>
      <c r="BA42" s="2">
        <v>350000</v>
      </c>
      <c r="BB42" t="s">
        <v>1925</v>
      </c>
      <c r="BC42" t="s">
        <v>1929</v>
      </c>
    </row>
    <row r="43" spans="1:55">
      <c r="A43" t="s">
        <v>1846</v>
      </c>
      <c r="B43" t="s">
        <v>1941</v>
      </c>
      <c r="C43" t="s">
        <v>67</v>
      </c>
      <c r="H43" t="s">
        <v>67</v>
      </c>
      <c r="M43" t="s">
        <v>67</v>
      </c>
      <c r="R43" t="s">
        <v>67</v>
      </c>
      <c r="S43" t="s">
        <v>1847</v>
      </c>
      <c r="W43" t="s">
        <v>67</v>
      </c>
      <c r="X43" t="s">
        <v>1847</v>
      </c>
      <c r="AB43" t="s">
        <v>67</v>
      </c>
      <c r="AC43" t="s">
        <v>1847</v>
      </c>
      <c r="AG43" t="s">
        <v>1847</v>
      </c>
    </row>
    <row r="44" spans="1:55">
      <c r="A44" t="s">
        <v>1846</v>
      </c>
      <c r="B44" t="s">
        <v>1942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1846</v>
      </c>
      <c r="B45" t="s">
        <v>1941</v>
      </c>
    </row>
    <row r="46" spans="1:55">
      <c r="A46" t="s">
        <v>1846</v>
      </c>
      <c r="B46" t="s">
        <v>1942</v>
      </c>
    </row>
    <row r="47" spans="1:55">
      <c r="A47" t="s">
        <v>1846</v>
      </c>
      <c r="B47" t="s">
        <v>1943</v>
      </c>
      <c r="M47" t="s">
        <v>96</v>
      </c>
      <c r="AG47" t="s">
        <v>372</v>
      </c>
      <c r="AH47" t="s">
        <v>1944</v>
      </c>
    </row>
    <row r="48" spans="1:55">
      <c r="A48" t="s">
        <v>1846</v>
      </c>
      <c r="B48" t="s">
        <v>1945</v>
      </c>
      <c r="M48" s="2">
        <v>148900</v>
      </c>
      <c r="AG48" s="2">
        <v>50000</v>
      </c>
      <c r="AH48" s="2">
        <v>200000</v>
      </c>
    </row>
    <row r="49" spans="1:55">
      <c r="A49" t="s">
        <v>1846</v>
      </c>
      <c r="B49" t="s">
        <v>1943</v>
      </c>
    </row>
    <row r="50" spans="1:55">
      <c r="A50" t="s">
        <v>1846</v>
      </c>
      <c r="B50" t="s">
        <v>1945</v>
      </c>
    </row>
    <row r="51" spans="1:55">
      <c r="A51" t="s">
        <v>1846</v>
      </c>
      <c r="B51" t="s">
        <v>1934</v>
      </c>
      <c r="M51" t="s">
        <v>88</v>
      </c>
      <c r="AG51" t="s">
        <v>1946</v>
      </c>
    </row>
    <row r="52" spans="1:55">
      <c r="A52" t="s">
        <v>1846</v>
      </c>
      <c r="B52" t="s">
        <v>1937</v>
      </c>
      <c r="M52" s="2">
        <v>-51100</v>
      </c>
      <c r="AG52" s="2">
        <v>100000</v>
      </c>
    </row>
    <row r="53" spans="1:55">
      <c r="A53" t="s">
        <v>1846</v>
      </c>
      <c r="B53" t="s">
        <v>1934</v>
      </c>
    </row>
    <row r="54" spans="1:55">
      <c r="A54" t="s">
        <v>1846</v>
      </c>
      <c r="B54" t="s">
        <v>1937</v>
      </c>
    </row>
    <row r="55" spans="1:55">
      <c r="A55" t="s">
        <v>1846</v>
      </c>
      <c r="B55" t="s">
        <v>1940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17</v>
      </c>
      <c r="B57" t="s">
        <v>1923</v>
      </c>
      <c r="C57" s="2">
        <v>1200000</v>
      </c>
      <c r="D57" t="s">
        <v>1924</v>
      </c>
      <c r="E57" t="s">
        <v>298</v>
      </c>
      <c r="H57" s="2">
        <v>1300000</v>
      </c>
      <c r="I57" t="s">
        <v>1925</v>
      </c>
      <c r="J57" t="s">
        <v>299</v>
      </c>
      <c r="M57" s="2">
        <v>1400000</v>
      </c>
      <c r="N57" t="s">
        <v>1925</v>
      </c>
      <c r="O57" t="s">
        <v>300</v>
      </c>
      <c r="R57" s="2">
        <v>1500000</v>
      </c>
      <c r="S57" t="s">
        <v>1925</v>
      </c>
      <c r="T57" t="s">
        <v>301</v>
      </c>
      <c r="W57" s="2">
        <v>1600000</v>
      </c>
      <c r="X57" t="s">
        <v>1925</v>
      </c>
      <c r="Y57" t="s">
        <v>302</v>
      </c>
      <c r="AB57" s="2">
        <v>1600000</v>
      </c>
      <c r="AC57" t="s">
        <v>1925</v>
      </c>
      <c r="AD57" t="s">
        <v>303</v>
      </c>
      <c r="AG57" s="2">
        <v>1300000</v>
      </c>
      <c r="AH57" t="s">
        <v>1925</v>
      </c>
      <c r="AI57" t="s">
        <v>304</v>
      </c>
      <c r="AL57" s="2">
        <v>1400000</v>
      </c>
      <c r="AM57" t="s">
        <v>1925</v>
      </c>
      <c r="AN57" t="s">
        <v>1926</v>
      </c>
      <c r="AQ57" s="2">
        <v>1400000</v>
      </c>
      <c r="AR57" t="s">
        <v>1925</v>
      </c>
      <c r="AS57" t="s">
        <v>1927</v>
      </c>
      <c r="AV57" s="2">
        <v>1400000</v>
      </c>
      <c r="AW57" t="s">
        <v>1925</v>
      </c>
      <c r="AX57" t="s">
        <v>1928</v>
      </c>
      <c r="BA57" s="2">
        <v>1400000</v>
      </c>
      <c r="BB57" t="s">
        <v>1925</v>
      </c>
      <c r="BC57" t="s">
        <v>1929</v>
      </c>
    </row>
    <row r="58" spans="1:55">
      <c r="A58" t="s">
        <v>17</v>
      </c>
      <c r="B58" t="s">
        <v>1941</v>
      </c>
      <c r="C58" t="s">
        <v>68</v>
      </c>
      <c r="H58" t="s">
        <v>68</v>
      </c>
      <c r="M58" t="s">
        <v>68</v>
      </c>
      <c r="R58" t="s">
        <v>68</v>
      </c>
      <c r="AG58" t="s">
        <v>68</v>
      </c>
    </row>
    <row r="59" spans="1:55">
      <c r="A59" t="s">
        <v>17</v>
      </c>
      <c r="B59" t="s">
        <v>1942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17</v>
      </c>
      <c r="B60" t="s">
        <v>1941</v>
      </c>
    </row>
    <row r="61" spans="1:55">
      <c r="A61" t="s">
        <v>17</v>
      </c>
      <c r="B61" t="s">
        <v>1942</v>
      </c>
    </row>
    <row r="62" spans="1:55">
      <c r="A62" t="s">
        <v>17</v>
      </c>
      <c r="B62" t="s">
        <v>1943</v>
      </c>
      <c r="AB62" t="s">
        <v>136</v>
      </c>
    </row>
    <row r="63" spans="1:55">
      <c r="A63" t="s">
        <v>17</v>
      </c>
      <c r="B63" t="s">
        <v>1945</v>
      </c>
      <c r="AB63" s="2">
        <v>300000</v>
      </c>
    </row>
    <row r="64" spans="1:55">
      <c r="A64" t="s">
        <v>17</v>
      </c>
      <c r="B64" t="s">
        <v>1943</v>
      </c>
    </row>
    <row r="65" spans="1:55">
      <c r="A65" t="s">
        <v>17</v>
      </c>
      <c r="B65" t="s">
        <v>1945</v>
      </c>
    </row>
    <row r="66" spans="1:55">
      <c r="A66" t="s">
        <v>17</v>
      </c>
      <c r="B66" t="s">
        <v>1934</v>
      </c>
    </row>
    <row r="67" spans="1:55">
      <c r="A67" t="s">
        <v>17</v>
      </c>
      <c r="B67" t="s">
        <v>1937</v>
      </c>
    </row>
    <row r="68" spans="1:55">
      <c r="A68" t="s">
        <v>17</v>
      </c>
      <c r="B68" t="s">
        <v>1934</v>
      </c>
    </row>
    <row r="69" spans="1:55">
      <c r="A69" t="s">
        <v>17</v>
      </c>
      <c r="B69" t="s">
        <v>1937</v>
      </c>
    </row>
    <row r="70" spans="1:55">
      <c r="A70" t="s">
        <v>17</v>
      </c>
      <c r="B70" t="s">
        <v>1940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18</v>
      </c>
      <c r="B72" t="s">
        <v>1923</v>
      </c>
      <c r="C72" s="2">
        <v>0</v>
      </c>
      <c r="D72" t="s">
        <v>1924</v>
      </c>
      <c r="E72" t="s">
        <v>298</v>
      </c>
      <c r="H72" s="2">
        <v>0</v>
      </c>
      <c r="I72" t="s">
        <v>1925</v>
      </c>
      <c r="J72" t="s">
        <v>299</v>
      </c>
      <c r="M72" s="2">
        <v>0</v>
      </c>
      <c r="N72" t="s">
        <v>1925</v>
      </c>
      <c r="O72" t="s">
        <v>300</v>
      </c>
      <c r="R72" s="2">
        <v>50000</v>
      </c>
      <c r="S72" t="s">
        <v>1925</v>
      </c>
      <c r="T72" t="s">
        <v>301</v>
      </c>
      <c r="W72" s="2">
        <v>50000</v>
      </c>
      <c r="X72" t="s">
        <v>1925</v>
      </c>
      <c r="Y72" t="s">
        <v>302</v>
      </c>
      <c r="AB72" s="2">
        <v>50000</v>
      </c>
      <c r="AC72" t="s">
        <v>1925</v>
      </c>
      <c r="AD72" t="s">
        <v>303</v>
      </c>
      <c r="AG72" s="2">
        <v>50000</v>
      </c>
      <c r="AH72" t="s">
        <v>1925</v>
      </c>
      <c r="AI72" t="s">
        <v>304</v>
      </c>
      <c r="AL72" s="2">
        <v>100000</v>
      </c>
      <c r="AM72" t="s">
        <v>1925</v>
      </c>
      <c r="AN72" t="s">
        <v>1926</v>
      </c>
      <c r="AQ72" s="2">
        <v>100000</v>
      </c>
      <c r="AR72" t="s">
        <v>1925</v>
      </c>
      <c r="AS72" t="s">
        <v>1927</v>
      </c>
      <c r="AV72" s="2">
        <v>100000</v>
      </c>
      <c r="AW72" t="s">
        <v>1925</v>
      </c>
      <c r="AX72" t="s">
        <v>1928</v>
      </c>
      <c r="BA72" s="2">
        <v>100000</v>
      </c>
      <c r="BB72" t="s">
        <v>1925</v>
      </c>
      <c r="BC72" t="s">
        <v>1929</v>
      </c>
    </row>
    <row r="73" spans="1:55">
      <c r="A73" t="s">
        <v>18</v>
      </c>
      <c r="B73" t="s">
        <v>1941</v>
      </c>
      <c r="M73" t="s">
        <v>97</v>
      </c>
      <c r="AG73" t="s">
        <v>97</v>
      </c>
    </row>
    <row r="74" spans="1:55">
      <c r="A74" t="s">
        <v>18</v>
      </c>
      <c r="B74" t="s">
        <v>1942</v>
      </c>
      <c r="M74" s="2">
        <v>50000</v>
      </c>
      <c r="AG74" s="2">
        <v>50000</v>
      </c>
    </row>
    <row r="75" spans="1:55">
      <c r="A75" t="s">
        <v>18</v>
      </c>
      <c r="B75" t="s">
        <v>1941</v>
      </c>
    </row>
    <row r="76" spans="1:55">
      <c r="A76" t="s">
        <v>18</v>
      </c>
      <c r="B76" t="s">
        <v>1942</v>
      </c>
    </row>
    <row r="77" spans="1:55">
      <c r="A77" t="s">
        <v>18</v>
      </c>
      <c r="B77" t="s">
        <v>1943</v>
      </c>
    </row>
    <row r="78" spans="1:55">
      <c r="A78" t="s">
        <v>18</v>
      </c>
      <c r="B78" t="s">
        <v>1945</v>
      </c>
    </row>
    <row r="79" spans="1:55">
      <c r="A79" t="s">
        <v>18</v>
      </c>
      <c r="B79" t="s">
        <v>1943</v>
      </c>
    </row>
    <row r="80" spans="1:55">
      <c r="A80" t="s">
        <v>18</v>
      </c>
      <c r="B80" t="s">
        <v>1945</v>
      </c>
    </row>
    <row r="81" spans="1:55">
      <c r="A81" t="s">
        <v>18</v>
      </c>
      <c r="B81" t="s">
        <v>1934</v>
      </c>
    </row>
    <row r="82" spans="1:55">
      <c r="A82" t="s">
        <v>18</v>
      </c>
      <c r="B82" t="s">
        <v>1937</v>
      </c>
    </row>
    <row r="83" spans="1:55">
      <c r="A83" t="s">
        <v>18</v>
      </c>
      <c r="B83" t="s">
        <v>1934</v>
      </c>
    </row>
    <row r="84" spans="1:55">
      <c r="A84" t="s">
        <v>18</v>
      </c>
      <c r="B84" t="s">
        <v>1937</v>
      </c>
    </row>
    <row r="85" spans="1:55">
      <c r="A85" t="s">
        <v>18</v>
      </c>
      <c r="B85" t="s">
        <v>1940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19</v>
      </c>
      <c r="B87" t="s">
        <v>1923</v>
      </c>
      <c r="C87" s="2">
        <v>300000</v>
      </c>
      <c r="D87" t="s">
        <v>1924</v>
      </c>
      <c r="E87" t="s">
        <v>298</v>
      </c>
      <c r="H87" s="2">
        <v>350000</v>
      </c>
      <c r="I87" t="s">
        <v>1925</v>
      </c>
      <c r="J87" t="s">
        <v>299</v>
      </c>
      <c r="M87" s="2">
        <v>350000</v>
      </c>
      <c r="N87" t="s">
        <v>1925</v>
      </c>
      <c r="O87" t="s">
        <v>300</v>
      </c>
      <c r="R87" s="2">
        <v>0</v>
      </c>
      <c r="S87" t="s">
        <v>1925</v>
      </c>
      <c r="T87" t="s">
        <v>301</v>
      </c>
      <c r="W87" s="2">
        <v>0</v>
      </c>
      <c r="X87" t="s">
        <v>1925</v>
      </c>
      <c r="Y87" t="s">
        <v>302</v>
      </c>
      <c r="AB87" s="2">
        <v>100000</v>
      </c>
      <c r="AC87" t="s">
        <v>1925</v>
      </c>
      <c r="AD87" t="s">
        <v>303</v>
      </c>
      <c r="AG87" s="2">
        <v>200000</v>
      </c>
      <c r="AH87" t="s">
        <v>1925</v>
      </c>
      <c r="AI87" t="s">
        <v>304</v>
      </c>
      <c r="AL87" s="2">
        <v>300000</v>
      </c>
      <c r="AM87" t="s">
        <v>1925</v>
      </c>
      <c r="AN87" t="s">
        <v>1926</v>
      </c>
      <c r="AQ87" s="2">
        <v>300000</v>
      </c>
      <c r="AR87" t="s">
        <v>1925</v>
      </c>
      <c r="AS87" t="s">
        <v>1927</v>
      </c>
      <c r="AV87" s="2">
        <v>300000</v>
      </c>
      <c r="AW87" t="s">
        <v>1925</v>
      </c>
      <c r="AX87" t="s">
        <v>1928</v>
      </c>
      <c r="BA87" s="2">
        <v>300000</v>
      </c>
      <c r="BB87" t="s">
        <v>1925</v>
      </c>
      <c r="BC87" t="s">
        <v>1929</v>
      </c>
    </row>
    <row r="88" spans="1:55">
      <c r="A88" t="s">
        <v>19</v>
      </c>
      <c r="B88" t="s">
        <v>1941</v>
      </c>
      <c r="C88" t="s">
        <v>69</v>
      </c>
      <c r="W88" t="s">
        <v>69</v>
      </c>
      <c r="AB88" t="s">
        <v>69</v>
      </c>
      <c r="AG88" t="s">
        <v>69</v>
      </c>
    </row>
    <row r="89" spans="1:55">
      <c r="A89" t="s">
        <v>19</v>
      </c>
      <c r="B89" t="s">
        <v>1942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19</v>
      </c>
      <c r="B90" t="s">
        <v>1941</v>
      </c>
    </row>
    <row r="91" spans="1:55">
      <c r="A91" t="s">
        <v>19</v>
      </c>
      <c r="B91" t="s">
        <v>1942</v>
      </c>
    </row>
    <row r="92" spans="1:55">
      <c r="A92" t="s">
        <v>19</v>
      </c>
      <c r="B92" t="s">
        <v>1943</v>
      </c>
      <c r="M92" t="s">
        <v>98</v>
      </c>
    </row>
    <row r="93" spans="1:55">
      <c r="A93" t="s">
        <v>19</v>
      </c>
      <c r="B93" t="s">
        <v>1945</v>
      </c>
      <c r="M93" s="2">
        <v>313980</v>
      </c>
    </row>
    <row r="94" spans="1:55">
      <c r="A94" t="s">
        <v>19</v>
      </c>
      <c r="B94" t="s">
        <v>1943</v>
      </c>
    </row>
    <row r="95" spans="1:55">
      <c r="A95" t="s">
        <v>19</v>
      </c>
      <c r="B95" t="s">
        <v>1945</v>
      </c>
    </row>
    <row r="96" spans="1:55">
      <c r="A96" t="s">
        <v>19</v>
      </c>
      <c r="B96" t="s">
        <v>1934</v>
      </c>
      <c r="M96" t="s">
        <v>88</v>
      </c>
    </row>
    <row r="97" spans="1:55">
      <c r="A97" t="s">
        <v>19</v>
      </c>
      <c r="B97" t="s">
        <v>1937</v>
      </c>
      <c r="M97" s="2">
        <v>-36020</v>
      </c>
    </row>
    <row r="98" spans="1:55">
      <c r="A98" t="s">
        <v>19</v>
      </c>
      <c r="B98" t="s">
        <v>1934</v>
      </c>
    </row>
    <row r="99" spans="1:55">
      <c r="A99" t="s">
        <v>19</v>
      </c>
      <c r="B99" t="s">
        <v>1937</v>
      </c>
    </row>
    <row r="100" spans="1:55">
      <c r="A100" t="s">
        <v>19</v>
      </c>
      <c r="B100" t="s">
        <v>1940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1852</v>
      </c>
      <c r="B102" t="s">
        <v>1923</v>
      </c>
      <c r="C102" s="2">
        <v>0</v>
      </c>
      <c r="D102" t="s">
        <v>1924</v>
      </c>
      <c r="E102" t="s">
        <v>298</v>
      </c>
      <c r="H102" s="2">
        <v>0</v>
      </c>
      <c r="I102" t="s">
        <v>1925</v>
      </c>
      <c r="J102" t="s">
        <v>299</v>
      </c>
      <c r="M102" s="2">
        <v>0</v>
      </c>
      <c r="N102" t="s">
        <v>1925</v>
      </c>
      <c r="O102" t="s">
        <v>300</v>
      </c>
      <c r="R102" s="2">
        <v>0</v>
      </c>
      <c r="S102" t="s">
        <v>1925</v>
      </c>
      <c r="T102" t="s">
        <v>301</v>
      </c>
      <c r="W102" s="2">
        <v>0</v>
      </c>
      <c r="X102" t="s">
        <v>1925</v>
      </c>
      <c r="Y102" t="s">
        <v>302</v>
      </c>
      <c r="AB102" s="2">
        <v>0</v>
      </c>
      <c r="AC102" t="s">
        <v>1925</v>
      </c>
      <c r="AD102" t="s">
        <v>303</v>
      </c>
      <c r="AG102" s="2">
        <v>0</v>
      </c>
      <c r="AH102" t="s">
        <v>1925</v>
      </c>
      <c r="AI102" t="s">
        <v>304</v>
      </c>
      <c r="AL102" s="2">
        <v>0</v>
      </c>
      <c r="AM102" t="s">
        <v>1925</v>
      </c>
      <c r="AN102" t="s">
        <v>1926</v>
      </c>
      <c r="AQ102" s="2">
        <v>0</v>
      </c>
      <c r="AR102" t="s">
        <v>1925</v>
      </c>
      <c r="AS102" t="s">
        <v>1927</v>
      </c>
      <c r="AV102" s="2">
        <v>0</v>
      </c>
      <c r="AW102" t="s">
        <v>1925</v>
      </c>
      <c r="AX102" t="s">
        <v>1928</v>
      </c>
      <c r="BA102" s="2">
        <v>0</v>
      </c>
      <c r="BB102" t="s">
        <v>1925</v>
      </c>
      <c r="BC102" t="s">
        <v>1929</v>
      </c>
    </row>
    <row r="103" spans="1:55">
      <c r="A103" t="s">
        <v>1852</v>
      </c>
      <c r="B103" t="s">
        <v>1941</v>
      </c>
    </row>
    <row r="104" spans="1:55">
      <c r="A104" t="s">
        <v>1852</v>
      </c>
      <c r="B104" t="s">
        <v>1942</v>
      </c>
    </row>
    <row r="105" spans="1:55">
      <c r="A105" t="s">
        <v>1852</v>
      </c>
      <c r="B105" t="s">
        <v>1941</v>
      </c>
    </row>
    <row r="106" spans="1:55">
      <c r="A106" t="s">
        <v>1852</v>
      </c>
      <c r="B106" t="s">
        <v>1942</v>
      </c>
    </row>
    <row r="107" spans="1:55">
      <c r="A107" t="s">
        <v>1852</v>
      </c>
      <c r="B107" t="s">
        <v>1943</v>
      </c>
    </row>
    <row r="108" spans="1:55">
      <c r="A108" t="s">
        <v>1852</v>
      </c>
      <c r="B108" t="s">
        <v>1945</v>
      </c>
    </row>
    <row r="109" spans="1:55">
      <c r="A109" t="s">
        <v>1852</v>
      </c>
      <c r="B109" t="s">
        <v>1943</v>
      </c>
    </row>
    <row r="110" spans="1:55">
      <c r="A110" t="s">
        <v>1852</v>
      </c>
      <c r="B110" t="s">
        <v>1945</v>
      </c>
    </row>
    <row r="111" spans="1:55">
      <c r="A111" t="s">
        <v>1852</v>
      </c>
      <c r="B111" t="s">
        <v>1934</v>
      </c>
    </row>
    <row r="112" spans="1:55">
      <c r="A112" t="s">
        <v>1852</v>
      </c>
      <c r="B112" t="s">
        <v>1937</v>
      </c>
    </row>
    <row r="113" spans="1:55">
      <c r="A113" t="s">
        <v>1852</v>
      </c>
      <c r="B113" t="s">
        <v>1934</v>
      </c>
    </row>
    <row r="114" spans="1:55">
      <c r="A114" t="s">
        <v>1852</v>
      </c>
      <c r="B114" t="s">
        <v>1937</v>
      </c>
    </row>
    <row r="115" spans="1:55">
      <c r="A115" t="s">
        <v>1852</v>
      </c>
      <c r="B115" t="s">
        <v>1940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22</v>
      </c>
      <c r="B117" t="s">
        <v>1923</v>
      </c>
      <c r="C117" s="2">
        <v>0</v>
      </c>
      <c r="D117" t="s">
        <v>1924</v>
      </c>
      <c r="E117" t="s">
        <v>298</v>
      </c>
      <c r="H117" s="2">
        <v>0</v>
      </c>
      <c r="I117" t="s">
        <v>1925</v>
      </c>
      <c r="J117" t="s">
        <v>299</v>
      </c>
      <c r="M117" s="2">
        <v>2151</v>
      </c>
      <c r="N117" t="s">
        <v>1925</v>
      </c>
      <c r="O117" t="s">
        <v>300</v>
      </c>
      <c r="R117" s="2">
        <v>1137</v>
      </c>
      <c r="S117" t="s">
        <v>1925</v>
      </c>
      <c r="T117" t="s">
        <v>301</v>
      </c>
      <c r="W117" s="2">
        <v>4897</v>
      </c>
      <c r="X117" t="s">
        <v>1925</v>
      </c>
      <c r="Y117" t="s">
        <v>302</v>
      </c>
      <c r="AB117" s="2">
        <v>27858</v>
      </c>
      <c r="AC117" t="s">
        <v>1925</v>
      </c>
      <c r="AD117" t="s">
        <v>303</v>
      </c>
      <c r="AG117" s="2">
        <v>0</v>
      </c>
      <c r="AH117" t="s">
        <v>1925</v>
      </c>
      <c r="AI117" t="s">
        <v>304</v>
      </c>
      <c r="AL117" s="2">
        <v>0</v>
      </c>
      <c r="AM117" t="s">
        <v>1925</v>
      </c>
      <c r="AN117" t="s">
        <v>1926</v>
      </c>
      <c r="AQ117" s="2">
        <v>0</v>
      </c>
      <c r="AR117" t="s">
        <v>1925</v>
      </c>
      <c r="AS117" t="s">
        <v>1927</v>
      </c>
      <c r="AV117" s="2">
        <v>0</v>
      </c>
      <c r="AW117" t="s">
        <v>1925</v>
      </c>
      <c r="AX117" t="s">
        <v>1928</v>
      </c>
      <c r="BA117" s="2">
        <v>0</v>
      </c>
      <c r="BB117" t="s">
        <v>1925</v>
      </c>
      <c r="BC117" t="s">
        <v>1929</v>
      </c>
    </row>
    <row r="118" spans="1:55">
      <c r="A118" t="s">
        <v>22</v>
      </c>
      <c r="B118" t="s">
        <v>1930</v>
      </c>
      <c r="H118" t="s">
        <v>78</v>
      </c>
      <c r="I118" t="s">
        <v>78</v>
      </c>
      <c r="M118" t="s">
        <v>78</v>
      </c>
      <c r="N118" t="s">
        <v>78</v>
      </c>
      <c r="O118" t="s">
        <v>78</v>
      </c>
      <c r="P118" t="s">
        <v>78</v>
      </c>
      <c r="R118" t="s">
        <v>78</v>
      </c>
      <c r="S118" t="s">
        <v>78</v>
      </c>
      <c r="T118" t="s">
        <v>78</v>
      </c>
      <c r="W118" t="s">
        <v>78</v>
      </c>
      <c r="X118" t="s">
        <v>122</v>
      </c>
      <c r="Y118" t="s">
        <v>78</v>
      </c>
      <c r="Z118" t="s">
        <v>78</v>
      </c>
      <c r="AA118" t="s">
        <v>78</v>
      </c>
      <c r="AB118" t="s">
        <v>78</v>
      </c>
      <c r="AC118" t="s">
        <v>78</v>
      </c>
      <c r="AD118" t="s">
        <v>78</v>
      </c>
    </row>
    <row r="119" spans="1:55">
      <c r="A119" t="s">
        <v>22</v>
      </c>
      <c r="B119" t="s">
        <v>1931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22</v>
      </c>
      <c r="B120" t="s">
        <v>1930</v>
      </c>
    </row>
    <row r="121" spans="1:55">
      <c r="A121" t="s">
        <v>22</v>
      </c>
      <c r="B121" t="s">
        <v>1931</v>
      </c>
    </row>
    <row r="122" spans="1:55">
      <c r="A122" t="s">
        <v>22</v>
      </c>
      <c r="B122" t="s">
        <v>1932</v>
      </c>
      <c r="AB122" t="s">
        <v>137</v>
      </c>
    </row>
    <row r="123" spans="1:55">
      <c r="A123" t="s">
        <v>22</v>
      </c>
      <c r="B123" t="s">
        <v>1933</v>
      </c>
      <c r="AB123" s="2">
        <v>6308</v>
      </c>
    </row>
    <row r="124" spans="1:55">
      <c r="A124" t="s">
        <v>22</v>
      </c>
      <c r="B124" t="s">
        <v>1932</v>
      </c>
    </row>
    <row r="125" spans="1:55">
      <c r="A125" t="s">
        <v>22</v>
      </c>
      <c r="B125" t="s">
        <v>1933</v>
      </c>
    </row>
    <row r="126" spans="1:55">
      <c r="A126" t="s">
        <v>22</v>
      </c>
      <c r="B126" t="s">
        <v>1934</v>
      </c>
      <c r="M126" t="s">
        <v>88</v>
      </c>
      <c r="W126" t="s">
        <v>92</v>
      </c>
      <c r="AB126" t="s">
        <v>92</v>
      </c>
    </row>
    <row r="127" spans="1:55">
      <c r="A127" t="s">
        <v>22</v>
      </c>
      <c r="B127" t="s">
        <v>1937</v>
      </c>
      <c r="M127" s="2">
        <v>-160133</v>
      </c>
      <c r="W127" s="2">
        <v>-15334</v>
      </c>
      <c r="AB127" s="2">
        <v>-34489</v>
      </c>
    </row>
    <row r="128" spans="1:55">
      <c r="A128" t="s">
        <v>22</v>
      </c>
      <c r="B128" t="s">
        <v>1934</v>
      </c>
    </row>
    <row r="129" spans="1:55">
      <c r="A129" t="s">
        <v>22</v>
      </c>
      <c r="B129" t="s">
        <v>1937</v>
      </c>
    </row>
    <row r="130" spans="1:55">
      <c r="A130" t="s">
        <v>22</v>
      </c>
      <c r="B130" t="s">
        <v>1940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23</v>
      </c>
      <c r="B132" t="s">
        <v>1923</v>
      </c>
      <c r="C132" s="2">
        <v>2063724</v>
      </c>
      <c r="D132" t="s">
        <v>1924</v>
      </c>
      <c r="E132" t="s">
        <v>298</v>
      </c>
      <c r="H132" s="2">
        <v>2063724</v>
      </c>
      <c r="I132" t="s">
        <v>1925</v>
      </c>
      <c r="J132" t="s">
        <v>299</v>
      </c>
      <c r="M132" s="2">
        <v>2548910</v>
      </c>
      <c r="N132" t="s">
        <v>1925</v>
      </c>
      <c r="O132" t="s">
        <v>300</v>
      </c>
      <c r="R132" s="2">
        <v>2042174</v>
      </c>
      <c r="S132" t="s">
        <v>1925</v>
      </c>
      <c r="T132" t="s">
        <v>301</v>
      </c>
      <c r="W132" s="2">
        <v>6188750</v>
      </c>
      <c r="X132" t="s">
        <v>1925</v>
      </c>
      <c r="Y132" t="s">
        <v>302</v>
      </c>
      <c r="AB132" s="2">
        <v>11338850</v>
      </c>
      <c r="AC132" t="s">
        <v>1925</v>
      </c>
      <c r="AD132" t="s">
        <v>303</v>
      </c>
      <c r="AG132" s="2">
        <v>9495719</v>
      </c>
      <c r="AH132" t="s">
        <v>1925</v>
      </c>
      <c r="AI132" t="s">
        <v>304</v>
      </c>
      <c r="AL132" s="2">
        <v>0</v>
      </c>
      <c r="AM132" t="s">
        <v>1925</v>
      </c>
      <c r="AN132" t="s">
        <v>1926</v>
      </c>
      <c r="AQ132" s="2">
        <v>0</v>
      </c>
      <c r="AR132" t="s">
        <v>1925</v>
      </c>
      <c r="AS132" t="s">
        <v>1927</v>
      </c>
      <c r="AV132" s="2">
        <v>0</v>
      </c>
      <c r="AW132" t="s">
        <v>1925</v>
      </c>
      <c r="AX132" t="s">
        <v>1928</v>
      </c>
      <c r="BA132" s="2">
        <v>0</v>
      </c>
      <c r="BB132" t="s">
        <v>1925</v>
      </c>
      <c r="BC132" t="s">
        <v>1929</v>
      </c>
    </row>
    <row r="133" spans="1:55">
      <c r="A133" t="s">
        <v>23</v>
      </c>
      <c r="B133" t="s">
        <v>1930</v>
      </c>
      <c r="H133" t="s">
        <v>79</v>
      </c>
      <c r="I133" t="s">
        <v>80</v>
      </c>
      <c r="J133" t="s">
        <v>81</v>
      </c>
      <c r="M133" t="s">
        <v>79</v>
      </c>
      <c r="R133" t="s">
        <v>59</v>
      </c>
      <c r="W133" t="s">
        <v>123</v>
      </c>
      <c r="X133" t="s">
        <v>124</v>
      </c>
      <c r="AB133" t="s">
        <v>80</v>
      </c>
      <c r="AC133" t="s">
        <v>138</v>
      </c>
      <c r="AD133" t="s">
        <v>139</v>
      </c>
      <c r="AG133" t="s">
        <v>165</v>
      </c>
    </row>
    <row r="134" spans="1:55">
      <c r="A134" t="s">
        <v>23</v>
      </c>
      <c r="B134" t="s">
        <v>1931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23</v>
      </c>
      <c r="B135" t="s">
        <v>1930</v>
      </c>
    </row>
    <row r="136" spans="1:55">
      <c r="A136" t="s">
        <v>23</v>
      </c>
      <c r="B136" t="s">
        <v>1931</v>
      </c>
    </row>
    <row r="137" spans="1:55">
      <c r="A137" t="s">
        <v>23</v>
      </c>
      <c r="B137" t="s">
        <v>1930</v>
      </c>
    </row>
    <row r="138" spans="1:55">
      <c r="A138" t="s">
        <v>23</v>
      </c>
      <c r="B138" t="s">
        <v>1931</v>
      </c>
    </row>
    <row r="139" spans="1:55">
      <c r="A139" t="s">
        <v>23</v>
      </c>
      <c r="B139" t="s">
        <v>1932</v>
      </c>
      <c r="H139" t="s">
        <v>82</v>
      </c>
      <c r="I139" t="s">
        <v>83</v>
      </c>
      <c r="J139" t="s">
        <v>84</v>
      </c>
      <c r="K139" t="s">
        <v>85</v>
      </c>
      <c r="L139" t="s">
        <v>86</v>
      </c>
      <c r="M139" t="s">
        <v>82</v>
      </c>
      <c r="N139" t="s">
        <v>99</v>
      </c>
      <c r="O139" t="s">
        <v>100</v>
      </c>
      <c r="P139" t="s">
        <v>83</v>
      </c>
      <c r="Q139" t="s">
        <v>84</v>
      </c>
      <c r="R139" t="s">
        <v>82</v>
      </c>
      <c r="S139" t="s">
        <v>109</v>
      </c>
      <c r="T139" t="s">
        <v>100</v>
      </c>
      <c r="U139" t="s">
        <v>110</v>
      </c>
      <c r="V139" t="s">
        <v>84</v>
      </c>
      <c r="W139" t="s">
        <v>82</v>
      </c>
      <c r="X139" t="s">
        <v>125</v>
      </c>
      <c r="Y139" t="s">
        <v>126</v>
      </c>
      <c r="Z139" t="s">
        <v>127</v>
      </c>
      <c r="AA139" t="s">
        <v>85</v>
      </c>
      <c r="AB139" t="s">
        <v>140</v>
      </c>
      <c r="AC139" t="s">
        <v>85</v>
      </c>
      <c r="AD139" t="s">
        <v>141</v>
      </c>
      <c r="AE139" t="s">
        <v>111</v>
      </c>
      <c r="AF139" t="s">
        <v>142</v>
      </c>
      <c r="AG139" t="s">
        <v>166</v>
      </c>
    </row>
    <row r="140" spans="1:55">
      <c r="A140" t="s">
        <v>23</v>
      </c>
      <c r="B140" t="s">
        <v>1933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23</v>
      </c>
      <c r="B141" t="s">
        <v>1932</v>
      </c>
      <c r="M141" t="s">
        <v>86</v>
      </c>
      <c r="N141" t="s">
        <v>85</v>
      </c>
      <c r="O141" t="s">
        <v>101</v>
      </c>
      <c r="R141" t="s">
        <v>85</v>
      </c>
      <c r="S141" t="s">
        <v>111</v>
      </c>
      <c r="W141" t="s">
        <v>111</v>
      </c>
      <c r="X141" t="s">
        <v>84</v>
      </c>
      <c r="AB141" t="s">
        <v>143</v>
      </c>
      <c r="AC141" t="s">
        <v>144</v>
      </c>
      <c r="AD141" t="s">
        <v>84</v>
      </c>
      <c r="AE141" t="s">
        <v>100</v>
      </c>
      <c r="AF141" t="s">
        <v>146</v>
      </c>
    </row>
    <row r="142" spans="1:55">
      <c r="A142" t="s">
        <v>23</v>
      </c>
      <c r="B142" t="s">
        <v>1933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23</v>
      </c>
      <c r="B143" t="s">
        <v>1932</v>
      </c>
      <c r="AB143" t="s">
        <v>147</v>
      </c>
      <c r="AC143" t="s">
        <v>82</v>
      </c>
      <c r="AD143" t="s">
        <v>148</v>
      </c>
    </row>
    <row r="144" spans="1:55">
      <c r="A144" t="s">
        <v>23</v>
      </c>
      <c r="B144" t="s">
        <v>1933</v>
      </c>
      <c r="AB144" s="2">
        <v>100000</v>
      </c>
      <c r="AC144" s="2">
        <v>391000</v>
      </c>
      <c r="AD144" s="2">
        <v>11000</v>
      </c>
    </row>
    <row r="145" spans="1:53">
      <c r="A145" t="s">
        <v>23</v>
      </c>
      <c r="B145" t="s">
        <v>1934</v>
      </c>
      <c r="H145" t="s">
        <v>87</v>
      </c>
      <c r="I145" t="s">
        <v>88</v>
      </c>
      <c r="J145" t="s">
        <v>89</v>
      </c>
      <c r="M145" t="s">
        <v>102</v>
      </c>
      <c r="R145" t="s">
        <v>102</v>
      </c>
      <c r="W145" t="s">
        <v>93</v>
      </c>
      <c r="AB145" t="s">
        <v>150</v>
      </c>
      <c r="AC145" t="s">
        <v>151</v>
      </c>
      <c r="AD145" t="s">
        <v>93</v>
      </c>
      <c r="AG145" t="s">
        <v>167</v>
      </c>
    </row>
    <row r="146" spans="1:53">
      <c r="A146" t="s">
        <v>23</v>
      </c>
      <c r="B146" t="s">
        <v>1937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23</v>
      </c>
      <c r="B147" t="s">
        <v>1934</v>
      </c>
    </row>
    <row r="148" spans="1:53">
      <c r="A148" t="s">
        <v>23</v>
      </c>
      <c r="B148" t="s">
        <v>1937</v>
      </c>
    </row>
    <row r="149" spans="1:53">
      <c r="A149" t="s">
        <v>23</v>
      </c>
      <c r="B149" t="s">
        <v>1934</v>
      </c>
    </row>
    <row r="150" spans="1:53">
      <c r="A150" t="s">
        <v>23</v>
      </c>
      <c r="B150" t="s">
        <v>1937</v>
      </c>
    </row>
    <row r="151" spans="1:53">
      <c r="A151" t="s">
        <v>23</v>
      </c>
      <c r="B151" t="s">
        <v>1940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1947</v>
      </c>
    </row>
    <row r="155" spans="1:53">
      <c r="A155" t="s">
        <v>4</v>
      </c>
      <c r="B155" t="s">
        <v>439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15</v>
      </c>
      <c r="B156" t="s">
        <v>1948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15</v>
      </c>
      <c r="B157" t="s">
        <v>1949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15</v>
      </c>
      <c r="B158" t="s">
        <v>1950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15</v>
      </c>
      <c r="B159" t="s">
        <v>1951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15</v>
      </c>
      <c r="B160" t="s">
        <v>1952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15</v>
      </c>
      <c r="B161" t="s">
        <v>1940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1846</v>
      </c>
      <c r="B162" t="s">
        <v>1948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1846</v>
      </c>
      <c r="B163" t="s">
        <v>1949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1846</v>
      </c>
      <c r="B164" t="s">
        <v>1950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1846</v>
      </c>
      <c r="B165" t="s">
        <v>1951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1846</v>
      </c>
      <c r="B166" t="s">
        <v>1952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1846</v>
      </c>
      <c r="B167" t="s">
        <v>1940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17</v>
      </c>
      <c r="B168" t="s">
        <v>1948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17</v>
      </c>
      <c r="B169" t="s">
        <v>1949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17</v>
      </c>
      <c r="B170" t="s">
        <v>1950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17</v>
      </c>
      <c r="B171" t="s">
        <v>1951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17</v>
      </c>
      <c r="B172" t="s">
        <v>1952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17</v>
      </c>
      <c r="B173" t="s">
        <v>1940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18</v>
      </c>
      <c r="B174" t="s">
        <v>1948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18</v>
      </c>
      <c r="B175" t="s">
        <v>1949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18</v>
      </c>
      <c r="B176" t="s">
        <v>1950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18</v>
      </c>
      <c r="B177" t="s">
        <v>1951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18</v>
      </c>
      <c r="B178" t="s">
        <v>1952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18</v>
      </c>
      <c r="B179" t="s">
        <v>1940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19</v>
      </c>
      <c r="B180" t="s">
        <v>1948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19</v>
      </c>
      <c r="B181" t="s">
        <v>1949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19</v>
      </c>
      <c r="B182" t="s">
        <v>1950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19</v>
      </c>
      <c r="B183" t="s">
        <v>1951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19</v>
      </c>
      <c r="B184" t="s">
        <v>1952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19</v>
      </c>
      <c r="B185" t="s">
        <v>1940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1852</v>
      </c>
      <c r="B186" t="s">
        <v>1948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1852</v>
      </c>
      <c r="B187" t="s">
        <v>1949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1852</v>
      </c>
      <c r="B188" t="s">
        <v>1950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1852</v>
      </c>
      <c r="B189" t="s">
        <v>1951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1852</v>
      </c>
      <c r="B190" t="s">
        <v>1952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1852</v>
      </c>
      <c r="B191" t="s">
        <v>1940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22</v>
      </c>
      <c r="B192" t="s">
        <v>1948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22</v>
      </c>
      <c r="B193" t="s">
        <v>1949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22</v>
      </c>
      <c r="B194" t="s">
        <v>1950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22</v>
      </c>
      <c r="B195" t="s">
        <v>1951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22</v>
      </c>
      <c r="B196" t="s">
        <v>1952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22</v>
      </c>
      <c r="B197" t="s">
        <v>1940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23</v>
      </c>
      <c r="B198" t="s">
        <v>1948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23</v>
      </c>
      <c r="B199" t="s">
        <v>1949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23</v>
      </c>
      <c r="B200" t="s">
        <v>1950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23</v>
      </c>
      <c r="B201" t="s">
        <v>1951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23</v>
      </c>
      <c r="B202" t="s">
        <v>1952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23</v>
      </c>
      <c r="B203" t="s">
        <v>1940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46023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E3" s="4" t="s">
        <v>1955</v>
      </c>
      <c r="F3" t="s">
        <v>1956</v>
      </c>
      <c r="G3" s="4" t="s">
        <v>1957</v>
      </c>
      <c r="H3" s="4" t="s">
        <v>1958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451</v>
      </c>
      <c r="L5" s="4" t="s">
        <v>452</v>
      </c>
      <c r="M5" t="s">
        <v>453</v>
      </c>
      <c r="N5" t="s">
        <v>455</v>
      </c>
      <c r="O5" t="s">
        <v>454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452</v>
      </c>
      <c r="M6" t="s">
        <v>453</v>
      </c>
      <c r="N6" t="s">
        <v>455</v>
      </c>
      <c r="O6" t="s">
        <v>457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1966</v>
      </c>
      <c r="C8" s="4" t="s">
        <v>1967</v>
      </c>
      <c r="D8" s="4" t="s">
        <v>1968</v>
      </c>
      <c r="E8" s="4" t="s">
        <v>1969</v>
      </c>
      <c r="F8" s="4" t="s">
        <v>1970</v>
      </c>
      <c r="G8" s="4" t="s">
        <v>1971</v>
      </c>
      <c r="H8" s="4" t="s">
        <v>1972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474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477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1973</v>
      </c>
      <c r="C13" s="4" t="s">
        <v>1974</v>
      </c>
      <c r="D13" s="4" t="s">
        <v>1975</v>
      </c>
      <c r="E13" s="4" t="s">
        <v>1976</v>
      </c>
      <c r="F13" s="4" t="s">
        <v>1977</v>
      </c>
      <c r="G13" s="4" t="s">
        <v>1978</v>
      </c>
      <c r="H13" s="4" t="s">
        <v>1979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16386</v>
      </c>
      <c r="R13" s="5">
        <v>16386</v>
      </c>
      <c r="S13" s="5">
        <v>17000</v>
      </c>
    </row>
    <row r="14" spans="1:20">
      <c r="A14" t="s">
        <v>446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193</v>
      </c>
      <c r="M14" t="s">
        <v>449</v>
      </c>
      <c r="N14" t="s">
        <v>455</v>
      </c>
      <c r="O14" t="s">
        <v>483</v>
      </c>
      <c r="P14" s="5">
        <v>15375</v>
      </c>
      <c r="R14" s="5">
        <v>15375</v>
      </c>
      <c r="S14" s="5">
        <v>16000</v>
      </c>
    </row>
    <row r="15" spans="1:20">
      <c r="A15" t="s">
        <v>445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178</v>
      </c>
      <c r="M15" t="s">
        <v>449</v>
      </c>
      <c r="N15" t="s">
        <v>455</v>
      </c>
      <c r="O15" t="s">
        <v>484</v>
      </c>
      <c r="P15" s="5">
        <v>16544</v>
      </c>
      <c r="R15" s="5">
        <v>16544</v>
      </c>
      <c r="S15" s="5">
        <v>17000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1980</v>
      </c>
      <c r="C18" s="4" t="s">
        <v>1981</v>
      </c>
      <c r="D18" s="4" t="s">
        <v>1982</v>
      </c>
      <c r="E18" s="4" t="s">
        <v>1983</v>
      </c>
      <c r="F18" s="4" t="s">
        <v>1984</v>
      </c>
      <c r="G18" s="4" t="s">
        <v>1985</v>
      </c>
      <c r="H18" s="4" t="s">
        <v>1986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15130</v>
      </c>
      <c r="R18" s="5">
        <v>15130</v>
      </c>
      <c r="S18" s="5">
        <v>16000</v>
      </c>
    </row>
    <row r="19" spans="1:20">
      <c r="A19" t="s">
        <v>446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495</v>
      </c>
      <c r="M19" t="s">
        <v>467</v>
      </c>
      <c r="N19" t="s">
        <v>497</v>
      </c>
      <c r="O19" t="s">
        <v>496</v>
      </c>
      <c r="P19" s="5">
        <v>7840</v>
      </c>
      <c r="R19" s="5">
        <v>7840</v>
      </c>
      <c r="S19" s="5">
        <v>8000</v>
      </c>
    </row>
    <row r="20" spans="1:20">
      <c r="A20" t="s">
        <v>445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498</v>
      </c>
      <c r="M20" t="s">
        <v>467</v>
      </c>
      <c r="N20" t="s">
        <v>494</v>
      </c>
      <c r="O20" t="s">
        <v>499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505</v>
      </c>
    </row>
    <row r="23" spans="1:20">
      <c r="B23" s="4" t="s">
        <v>1987</v>
      </c>
      <c r="C23" s="4" t="s">
        <v>1988</v>
      </c>
      <c r="D23" s="4" t="s">
        <v>1989</v>
      </c>
      <c r="E23" s="4" t="s">
        <v>1990</v>
      </c>
      <c r="F23" s="4" t="s">
        <v>1991</v>
      </c>
      <c r="G23" s="4" t="s">
        <v>1992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509</v>
      </c>
    </row>
    <row r="24" spans="1:20">
      <c r="A24" t="s">
        <v>446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418</v>
      </c>
      <c r="P24" s="5">
        <v>1195125</v>
      </c>
      <c r="R24" s="5">
        <v>1168813</v>
      </c>
      <c r="S24" s="5">
        <v>1169000</v>
      </c>
    </row>
    <row r="25" spans="1:20">
      <c r="A25" t="s">
        <v>445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46026</v>
      </c>
      <c r="M26" t="s">
        <v>1994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1995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160000</v>
      </c>
      <c r="C32" t="s">
        <v>2004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50000</v>
      </c>
      <c r="S32" t="s">
        <v>1911</v>
      </c>
    </row>
    <row r="33" spans="1:20">
      <c r="A33" s="5">
        <v>160000</v>
      </c>
      <c r="C33" t="s">
        <v>2006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2007</v>
      </c>
      <c r="K33" t="s">
        <v>529</v>
      </c>
      <c r="L33" t="s">
        <v>2002</v>
      </c>
      <c r="N33" s="2">
        <v>0</v>
      </c>
      <c r="O33" s="2">
        <v>0</v>
      </c>
      <c r="Q33" t="s">
        <v>2008</v>
      </c>
      <c r="R33" s="2">
        <v>0</v>
      </c>
      <c r="S33" t="s">
        <v>1911</v>
      </c>
    </row>
    <row r="34" spans="1:20">
      <c r="A34" s="5">
        <v>140000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780000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100000</v>
      </c>
      <c r="S35" t="s">
        <v>1911</v>
      </c>
    </row>
    <row r="36" spans="1:20">
      <c r="B36" t="s">
        <v>522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370000</v>
      </c>
      <c r="O38" s="2">
        <v>370000</v>
      </c>
      <c r="P38" s="2">
        <v>0</v>
      </c>
      <c r="Q38" t="s">
        <v>2021</v>
      </c>
      <c r="S38" s="2">
        <v>20000</v>
      </c>
    </row>
    <row r="39" spans="1:20">
      <c r="B39" t="s">
        <v>2022</v>
      </c>
      <c r="C39" s="2">
        <v>-337880</v>
      </c>
      <c r="D39" s="2">
        <v>31187</v>
      </c>
      <c r="F39" s="2">
        <v>0</v>
      </c>
      <c r="G39" s="2">
        <v>150000</v>
      </c>
      <c r="K39" t="s">
        <v>2023</v>
      </c>
      <c r="Q39" t="s">
        <v>418</v>
      </c>
      <c r="R39" s="2">
        <v>300000</v>
      </c>
      <c r="S39" s="2">
        <v>170000</v>
      </c>
      <c r="T39" s="2">
        <v>-130000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150000</v>
      </c>
      <c r="T40" s="2">
        <v>-150000</v>
      </c>
    </row>
    <row r="41" spans="1:20">
      <c r="B41" t="s">
        <v>522</v>
      </c>
      <c r="C41" s="2">
        <v>2785740</v>
      </c>
      <c r="D41" s="2">
        <v>2733000</v>
      </c>
      <c r="E41" s="2">
        <v>52740</v>
      </c>
      <c r="F41" t="s">
        <v>2028</v>
      </c>
      <c r="H41" s="2">
        <v>19120</v>
      </c>
      <c r="I41" s="2">
        <v>19120</v>
      </c>
      <c r="J41" t="b">
        <v>1</v>
      </c>
      <c r="Q41" t="s">
        <v>2029</v>
      </c>
    </row>
    <row r="42" spans="1:20">
      <c r="B42" t="s">
        <v>445</v>
      </c>
      <c r="C42" s="2">
        <v>2785740</v>
      </c>
      <c r="D42" s="2">
        <v>2709605</v>
      </c>
      <c r="E42" s="2">
        <v>76135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46031</v>
      </c>
      <c r="K44" t="s">
        <v>1973</v>
      </c>
      <c r="L44" t="s">
        <v>1974</v>
      </c>
      <c r="M44" t="s">
        <v>1975</v>
      </c>
      <c r="N44" t="s">
        <v>1976</v>
      </c>
      <c r="O44" t="s">
        <v>1990</v>
      </c>
      <c r="P44" t="s">
        <v>1992</v>
      </c>
      <c r="Q44" t="s">
        <v>2032</v>
      </c>
    </row>
    <row r="45" spans="1:20">
      <c r="B45" t="s">
        <v>520</v>
      </c>
      <c r="I45" t="s">
        <v>439</v>
      </c>
      <c r="J45" t="s">
        <v>854</v>
      </c>
      <c r="K45" t="s">
        <v>2033</v>
      </c>
      <c r="L45" t="s">
        <v>854</v>
      </c>
      <c r="M45" t="s">
        <v>854</v>
      </c>
      <c r="N45" t="s">
        <v>2034</v>
      </c>
      <c r="O45" t="s">
        <v>2035</v>
      </c>
      <c r="P45" t="s">
        <v>2036</v>
      </c>
      <c r="Q45" t="s">
        <v>2033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66</v>
      </c>
      <c r="C47" s="2">
        <v>2785740</v>
      </c>
      <c r="E47" s="5">
        <v>1157000</v>
      </c>
      <c r="F47" s="5">
        <v>1157000</v>
      </c>
      <c r="G47" t="b">
        <v>1</v>
      </c>
      <c r="H47" t="s">
        <v>2040</v>
      </c>
      <c r="I47" t="s">
        <v>445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50000</v>
      </c>
      <c r="M52" s="2">
        <v>50000</v>
      </c>
      <c r="N52" s="2">
        <v>0</v>
      </c>
      <c r="O52" t="s">
        <v>1911</v>
      </c>
      <c r="P52" t="s">
        <v>2047</v>
      </c>
      <c r="Q52" t="s">
        <v>2048</v>
      </c>
      <c r="R52" s="2">
        <v>1168813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1137880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44000</v>
      </c>
      <c r="S54" t="s">
        <v>2058</v>
      </c>
    </row>
    <row r="55" spans="2:19">
      <c r="B55" s="11">
        <v>46045</v>
      </c>
      <c r="C55" t="s">
        <v>554</v>
      </c>
      <c r="D55" t="s">
        <v>369</v>
      </c>
      <c r="E55" s="2">
        <v>60000</v>
      </c>
      <c r="G55" s="2">
        <v>50000</v>
      </c>
      <c r="H55" t="s">
        <v>1846</v>
      </c>
      <c r="I55" s="2">
        <v>10000</v>
      </c>
      <c r="J55" s="2">
        <v>10000</v>
      </c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2350693</v>
      </c>
      <c r="S55" t="s">
        <v>2060</v>
      </c>
    </row>
    <row r="56" spans="2:19">
      <c r="B56" s="11">
        <v>46052</v>
      </c>
      <c r="C56" t="s">
        <v>554</v>
      </c>
      <c r="D56" t="s">
        <v>108</v>
      </c>
      <c r="E56" s="2">
        <v>34000</v>
      </c>
      <c r="I56" s="2">
        <v>34000</v>
      </c>
      <c r="J56" s="2">
        <v>34000</v>
      </c>
      <c r="K56" t="s">
        <v>1852</v>
      </c>
      <c r="M56" s="2">
        <v>200000</v>
      </c>
      <c r="N56" s="2">
        <v>-200000</v>
      </c>
      <c r="O56" t="s">
        <v>1911</v>
      </c>
      <c r="Q56" t="s">
        <v>2013</v>
      </c>
      <c r="R56" s="2">
        <v>370000</v>
      </c>
      <c r="S56" t="s">
        <v>2061</v>
      </c>
    </row>
    <row r="57" spans="2:19">
      <c r="K57" t="s">
        <v>418</v>
      </c>
      <c r="L57" s="2">
        <v>50000</v>
      </c>
      <c r="M57" s="2">
        <v>250000</v>
      </c>
      <c r="N57" s="2">
        <v>-200000</v>
      </c>
      <c r="O57" s="2" t="s">
        <v>1911</v>
      </c>
      <c r="Q57" t="s">
        <v>1998</v>
      </c>
      <c r="R57" s="2">
        <v>170000</v>
      </c>
      <c r="S57" t="s">
        <v>2062</v>
      </c>
    </row>
    <row r="58" spans="2:19">
      <c r="K58" t="s">
        <v>2063</v>
      </c>
      <c r="Q58" t="s">
        <v>2064</v>
      </c>
      <c r="R58" s="2">
        <v>181088</v>
      </c>
      <c r="S58" t="s">
        <v>2065</v>
      </c>
    </row>
    <row r="59" spans="2:19">
      <c r="Q59" t="s">
        <v>2066</v>
      </c>
      <c r="R59" s="2">
        <v>2709605</v>
      </c>
      <c r="S59" t="s">
        <v>2067</v>
      </c>
    </row>
    <row r="60" spans="2:19">
      <c r="Q60" t="s">
        <v>2068</v>
      </c>
      <c r="R60" s="2">
        <v>76135</v>
      </c>
      <c r="S60" t="s">
        <v>2028</v>
      </c>
    </row>
    <row r="61" spans="2:19">
      <c r="Q61" t="s">
        <v>2069</v>
      </c>
      <c r="R61" s="2">
        <v>50000</v>
      </c>
      <c r="S61" t="s">
        <v>2070</v>
      </c>
    </row>
    <row r="62" spans="2:19">
      <c r="Q62" t="s">
        <v>2071</v>
      </c>
      <c r="R62" s="2">
        <v>2400693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2079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1147269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784580</v>
      </c>
      <c r="F73" t="s">
        <v>2089</v>
      </c>
      <c r="J73" t="s">
        <v>429</v>
      </c>
      <c r="L73" s="2">
        <v>1168813</v>
      </c>
      <c r="M73" s="2">
        <v>1147269</v>
      </c>
      <c r="N73" s="2">
        <v>21544</v>
      </c>
      <c r="O73" t="s">
        <v>2090</v>
      </c>
      <c r="P73" t="s">
        <v>2091</v>
      </c>
    </row>
    <row r="74" spans="2:16">
      <c r="B74" t="s">
        <v>778</v>
      </c>
      <c r="E74" s="2">
        <v>128000</v>
      </c>
      <c r="F74" t="s">
        <v>2092</v>
      </c>
      <c r="J74" t="s">
        <v>2093</v>
      </c>
      <c r="L74" s="2">
        <v>1137880</v>
      </c>
      <c r="M74" s="2">
        <v>1135680</v>
      </c>
      <c r="N74" s="2">
        <v>2200</v>
      </c>
      <c r="O74" t="s">
        <v>2090</v>
      </c>
      <c r="P74" t="s">
        <v>2094</v>
      </c>
    </row>
    <row r="75" spans="2:16">
      <c r="B75" t="s">
        <v>2095</v>
      </c>
      <c r="E75" s="2">
        <v>-46588</v>
      </c>
      <c r="F75" t="s">
        <v>2096</v>
      </c>
      <c r="J75" t="s">
        <v>2097</v>
      </c>
      <c r="L75" s="2">
        <v>134500</v>
      </c>
      <c r="M75" s="2">
        <v>129600</v>
      </c>
      <c r="N75" s="2">
        <v>4900</v>
      </c>
      <c r="O75" t="s">
        <v>2090</v>
      </c>
      <c r="P75" t="s">
        <v>2098</v>
      </c>
    </row>
    <row r="76" spans="2:16">
      <c r="B76" t="s">
        <v>783</v>
      </c>
      <c r="E76" s="2">
        <v>93500</v>
      </c>
      <c r="F76" t="s">
        <v>2099</v>
      </c>
      <c r="J76" t="s">
        <v>2100</v>
      </c>
      <c r="L76" s="2">
        <v>46588</v>
      </c>
      <c r="M76" s="2">
        <v>46588</v>
      </c>
      <c r="N76" s="2">
        <v>0</v>
      </c>
      <c r="O76" t="s">
        <v>2087</v>
      </c>
      <c r="P76" t="s">
        <v>2101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370000</v>
      </c>
      <c r="M77" s="2">
        <v>370000</v>
      </c>
      <c r="N77" s="2">
        <v>0</v>
      </c>
      <c r="O77" t="s">
        <v>2087</v>
      </c>
      <c r="P77" t="s">
        <v>2105</v>
      </c>
    </row>
    <row r="78" spans="2:16">
      <c r="B78" t="s">
        <v>787</v>
      </c>
      <c r="E78" s="2">
        <v>104900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94000</v>
      </c>
      <c r="M79" s="2">
        <v>104900</v>
      </c>
      <c r="N79" s="2">
        <v>-10900</v>
      </c>
      <c r="O79" t="s">
        <v>2090</v>
      </c>
      <c r="P79" t="s">
        <v>2110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2119</v>
      </c>
      <c r="N82" s="2">
        <v>50000</v>
      </c>
    </row>
    <row r="83" spans="2:15">
      <c r="B83" t="s">
        <v>2120</v>
      </c>
      <c r="E83" s="2">
        <v>0</v>
      </c>
      <c r="F83" t="s">
        <v>2121</v>
      </c>
      <c r="J83" t="s">
        <v>2122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50000</v>
      </c>
      <c r="O84" t="s">
        <v>2125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2211661</v>
      </c>
      <c r="F87" t="s">
        <v>2129</v>
      </c>
    </row>
    <row r="88" spans="2:15">
      <c r="B88" t="s">
        <v>2130</v>
      </c>
      <c r="E88" s="2">
        <v>2211661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46054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H3" s="4" t="s">
        <v>2132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H4" s="5">
        <v>0</v>
      </c>
      <c r="I4" s="5">
        <v>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H5" s="5">
        <v>0</v>
      </c>
      <c r="I5" s="5">
        <v>0</v>
      </c>
      <c r="K5" t="s">
        <v>451</v>
      </c>
      <c r="L5" s="4" t="s">
        <v>591</v>
      </c>
      <c r="M5" t="s">
        <v>453</v>
      </c>
      <c r="N5" t="s">
        <v>455</v>
      </c>
      <c r="O5" t="s">
        <v>454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591</v>
      </c>
      <c r="M6" t="s">
        <v>453</v>
      </c>
      <c r="N6" t="s">
        <v>455</v>
      </c>
      <c r="O6" t="s">
        <v>457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2032</v>
      </c>
      <c r="C8" s="4" t="s">
        <v>2133</v>
      </c>
      <c r="D8" s="4" t="s">
        <v>2134</v>
      </c>
      <c r="E8" s="4" t="s">
        <v>2135</v>
      </c>
      <c r="F8" s="4" t="s">
        <v>2136</v>
      </c>
      <c r="G8" s="4" t="s">
        <v>2137</v>
      </c>
      <c r="H8" s="4" t="s">
        <v>2138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592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593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2139</v>
      </c>
      <c r="C13" s="4" t="s">
        <v>2140</v>
      </c>
      <c r="D13" s="4" t="s">
        <v>2141</v>
      </c>
      <c r="E13" s="4" t="s">
        <v>2142</v>
      </c>
      <c r="F13" s="4" t="s">
        <v>2143</v>
      </c>
      <c r="G13" s="4" t="s">
        <v>2144</v>
      </c>
      <c r="H13" s="4" t="s">
        <v>2145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15462</v>
      </c>
      <c r="R13" s="5">
        <v>15462</v>
      </c>
      <c r="S13" s="5">
        <v>16000</v>
      </c>
    </row>
    <row r="14" spans="1:20">
      <c r="A14" t="s">
        <v>446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193</v>
      </c>
      <c r="M14" t="s">
        <v>449</v>
      </c>
      <c r="N14" t="s">
        <v>455</v>
      </c>
      <c r="O14" t="s">
        <v>483</v>
      </c>
      <c r="P14" s="5">
        <v>15374</v>
      </c>
      <c r="R14" s="5">
        <v>15374</v>
      </c>
      <c r="S14" s="5">
        <v>16000</v>
      </c>
    </row>
    <row r="15" spans="1:20">
      <c r="A15" t="s">
        <v>445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178</v>
      </c>
      <c r="M15" t="s">
        <v>449</v>
      </c>
      <c r="N15" t="s">
        <v>455</v>
      </c>
      <c r="O15" t="s">
        <v>484</v>
      </c>
      <c r="P15" s="5">
        <v>12450</v>
      </c>
      <c r="R15" s="5">
        <v>12450</v>
      </c>
      <c r="S15" s="5">
        <v>13000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2146</v>
      </c>
      <c r="C18" s="4" t="s">
        <v>2147</v>
      </c>
      <c r="D18" s="4" t="s">
        <v>2148</v>
      </c>
      <c r="E18" s="4" t="s">
        <v>2149</v>
      </c>
      <c r="F18" s="4" t="s">
        <v>2150</v>
      </c>
      <c r="G18" s="4" t="s">
        <v>2151</v>
      </c>
      <c r="H18" s="4" t="s">
        <v>2152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5030</v>
      </c>
      <c r="R18" s="5">
        <v>5030</v>
      </c>
      <c r="S18" s="5">
        <v>6000</v>
      </c>
    </row>
    <row r="19" spans="1:20">
      <c r="A19" t="s">
        <v>446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445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594</v>
      </c>
    </row>
    <row r="23" spans="1:20">
      <c r="B23" s="4" t="s">
        <v>2153</v>
      </c>
      <c r="C23" s="4" t="s">
        <v>2154</v>
      </c>
      <c r="D23" s="4" t="s">
        <v>2155</v>
      </c>
      <c r="E23" s="4" t="s">
        <v>2156</v>
      </c>
      <c r="F23" s="4" t="s">
        <v>2157</v>
      </c>
      <c r="G23" s="4" t="s">
        <v>2158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595</v>
      </c>
    </row>
    <row r="24" spans="1:20">
      <c r="A24" t="s">
        <v>446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418</v>
      </c>
      <c r="P24" s="5">
        <v>1203782</v>
      </c>
      <c r="R24" s="5">
        <v>1172167</v>
      </c>
      <c r="S24" s="5">
        <v>1173000</v>
      </c>
    </row>
    <row r="25" spans="1:20">
      <c r="A25" t="s">
        <v>445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46079</v>
      </c>
      <c r="M26" t="s">
        <v>1994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0</v>
      </c>
      <c r="C30" t="s">
        <v>522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175000</v>
      </c>
      <c r="B31" t="s">
        <v>2160</v>
      </c>
      <c r="C31" t="s">
        <v>445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175000</v>
      </c>
      <c r="B32" t="s">
        <v>2161</v>
      </c>
      <c r="C32" t="s">
        <v>2004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150000</v>
      </c>
      <c r="S32" t="s">
        <v>1911</v>
      </c>
    </row>
    <row r="33" spans="1:20">
      <c r="A33" s="5">
        <v>175000</v>
      </c>
      <c r="B33" t="s">
        <v>2162</v>
      </c>
      <c r="C33" t="s">
        <v>2006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2007</v>
      </c>
      <c r="K33" t="s">
        <v>529</v>
      </c>
      <c r="L33" t="s">
        <v>2002</v>
      </c>
      <c r="N33" s="2">
        <v>120000</v>
      </c>
      <c r="O33" s="2">
        <v>120000</v>
      </c>
      <c r="Q33" t="s">
        <v>2008</v>
      </c>
      <c r="R33" s="2">
        <v>0</v>
      </c>
      <c r="S33" t="s">
        <v>1911</v>
      </c>
    </row>
    <row r="34" spans="1:20">
      <c r="A34" s="5">
        <v>175000</v>
      </c>
      <c r="B34" t="s">
        <v>2163</v>
      </c>
      <c r="C34" t="s">
        <v>2164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0</v>
      </c>
      <c r="S35" t="s">
        <v>1911</v>
      </c>
    </row>
    <row r="36" spans="1:20">
      <c r="B36" t="s">
        <v>522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539</v>
      </c>
      <c r="M37" s="2">
        <v>200000</v>
      </c>
      <c r="N37" s="2">
        <v>300000</v>
      </c>
      <c r="O37" s="2">
        <v>300000</v>
      </c>
      <c r="P37" s="2">
        <v>100000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590000</v>
      </c>
      <c r="O38" s="2">
        <v>590000</v>
      </c>
      <c r="P38" s="2">
        <v>220000</v>
      </c>
      <c r="Q38" t="s">
        <v>2021</v>
      </c>
      <c r="S38" s="2">
        <v>20000</v>
      </c>
    </row>
    <row r="39" spans="1:20">
      <c r="B39" t="s">
        <v>2022</v>
      </c>
      <c r="C39" s="2">
        <v>-150260</v>
      </c>
      <c r="D39" s="2">
        <v>27833</v>
      </c>
      <c r="F39" s="2">
        <v>-220000</v>
      </c>
      <c r="G39" s="2">
        <v>0</v>
      </c>
      <c r="K39" t="s">
        <v>2023</v>
      </c>
      <c r="Q39" t="s">
        <v>418</v>
      </c>
      <c r="R39" s="2">
        <v>300000</v>
      </c>
      <c r="S39" s="2">
        <v>320000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3709110</v>
      </c>
      <c r="D41" s="2">
        <v>3034000</v>
      </c>
      <c r="E41" s="2">
        <v>675110</v>
      </c>
      <c r="F41" t="s">
        <v>2028</v>
      </c>
      <c r="H41" s="2">
        <v>24740</v>
      </c>
      <c r="I41" s="2">
        <v>24740</v>
      </c>
      <c r="J41" t="b">
        <v>1</v>
      </c>
      <c r="Q41" t="s">
        <v>2029</v>
      </c>
    </row>
    <row r="42" spans="1:20">
      <c r="B42" t="s">
        <v>445</v>
      </c>
      <c r="C42" s="2">
        <v>3709110</v>
      </c>
      <c r="D42" s="2">
        <v>3007627</v>
      </c>
      <c r="E42" s="2">
        <v>701483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 t="s">
        <v>2133</v>
      </c>
      <c r="K44" t="s">
        <v>2143</v>
      </c>
      <c r="L44" t="s">
        <v>2165</v>
      </c>
    </row>
    <row r="45" spans="1:20">
      <c r="B45" t="s">
        <v>520</v>
      </c>
      <c r="E45" t="s">
        <v>2166</v>
      </c>
      <c r="I45" t="s">
        <v>439</v>
      </c>
      <c r="J45" t="s">
        <v>854</v>
      </c>
      <c r="K45" t="s">
        <v>2167</v>
      </c>
      <c r="L45" t="s">
        <v>2167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  <c r="K46" s="5">
        <v>2000</v>
      </c>
      <c r="L46" s="5">
        <v>3000</v>
      </c>
    </row>
    <row r="47" spans="1:20">
      <c r="B47" t="s">
        <v>66</v>
      </c>
      <c r="C47" s="2">
        <v>3409110</v>
      </c>
      <c r="E47" s="5">
        <v>975000</v>
      </c>
      <c r="F47" s="5">
        <v>975000</v>
      </c>
      <c r="G47" t="b">
        <v>1</v>
      </c>
      <c r="H47" t="s">
        <v>2040</v>
      </c>
      <c r="I47" t="s">
        <v>445</v>
      </c>
      <c r="J47" s="5">
        <v>19000</v>
      </c>
      <c r="K47" s="5">
        <v>2500</v>
      </c>
      <c r="L47" s="5">
        <v>3300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3709110</v>
      </c>
      <c r="S51" t="s">
        <v>2046</v>
      </c>
    </row>
    <row r="52" spans="2:19">
      <c r="K52" t="s">
        <v>1846</v>
      </c>
      <c r="M52" s="2">
        <v>100000</v>
      </c>
      <c r="N52" s="2">
        <v>-100000</v>
      </c>
      <c r="O52" t="s">
        <v>1911</v>
      </c>
      <c r="Q52" t="s">
        <v>2048</v>
      </c>
      <c r="R52" s="2">
        <v>1172167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950260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2122427</v>
      </c>
      <c r="S55" t="s">
        <v>2060</v>
      </c>
    </row>
    <row r="56" spans="2:19">
      <c r="K56" t="s">
        <v>1852</v>
      </c>
      <c r="L56" s="2">
        <v>200000</v>
      </c>
      <c r="M56" s="2">
        <v>0</v>
      </c>
      <c r="N56" s="2">
        <v>200000</v>
      </c>
      <c r="O56" t="s">
        <v>1911</v>
      </c>
      <c r="P56" t="s">
        <v>2168</v>
      </c>
      <c r="Q56" t="s">
        <v>2013</v>
      </c>
      <c r="R56" s="2">
        <v>590000</v>
      </c>
      <c r="S56" t="s">
        <v>2061</v>
      </c>
    </row>
    <row r="57" spans="2:19">
      <c r="K57" t="s">
        <v>418</v>
      </c>
      <c r="L57" s="2">
        <v>200000</v>
      </c>
      <c r="M57" s="2">
        <v>100000</v>
      </c>
      <c r="N57" s="2">
        <v>100000</v>
      </c>
      <c r="O57" s="2" t="s">
        <v>1911</v>
      </c>
      <c r="Q57" t="s">
        <v>1998</v>
      </c>
      <c r="R57" s="2">
        <v>320000</v>
      </c>
      <c r="S57" t="s">
        <v>2062</v>
      </c>
    </row>
    <row r="58" spans="2:19">
      <c r="K58" t="s">
        <v>2063</v>
      </c>
      <c r="Q58" t="s">
        <v>2064</v>
      </c>
      <c r="R58" s="2">
        <v>24800</v>
      </c>
      <c r="S58" t="s">
        <v>2065</v>
      </c>
    </row>
    <row r="59" spans="2:19">
      <c r="Q59" t="s">
        <v>2066</v>
      </c>
      <c r="R59" s="2">
        <v>3007627</v>
      </c>
      <c r="S59" t="s">
        <v>2067</v>
      </c>
    </row>
    <row r="60" spans="2:19">
      <c r="Q60" t="s">
        <v>2068</v>
      </c>
      <c r="R60" s="2">
        <v>701483</v>
      </c>
      <c r="S60" t="s">
        <v>2028</v>
      </c>
    </row>
    <row r="61" spans="2:19">
      <c r="Q61" t="s">
        <v>2069</v>
      </c>
      <c r="R61" s="2">
        <v>200000</v>
      </c>
      <c r="S61" t="s">
        <v>2070</v>
      </c>
    </row>
    <row r="62" spans="2:19">
      <c r="Q62" t="s">
        <v>2071</v>
      </c>
      <c r="R62" s="2">
        <v>2322427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2169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1155489</v>
      </c>
      <c r="F72" t="s">
        <v>2085</v>
      </c>
      <c r="J72" t="s">
        <v>2086</v>
      </c>
      <c r="L72" s="2">
        <v>3709110</v>
      </c>
      <c r="M72" s="2">
        <v>3709110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776140</v>
      </c>
      <c r="F73" t="s">
        <v>2089</v>
      </c>
      <c r="J73" t="s">
        <v>429</v>
      </c>
      <c r="L73" s="2">
        <v>1172167</v>
      </c>
      <c r="M73" s="2">
        <v>1155489</v>
      </c>
      <c r="N73" s="2">
        <v>16678</v>
      </c>
      <c r="O73" t="s">
        <v>2090</v>
      </c>
      <c r="P73" t="s">
        <v>2170</v>
      </c>
    </row>
    <row r="74" spans="2:16">
      <c r="B74" t="s">
        <v>778</v>
      </c>
      <c r="E74" s="2">
        <v>67500</v>
      </c>
      <c r="F74" t="s">
        <v>2092</v>
      </c>
      <c r="J74" t="s">
        <v>2093</v>
      </c>
      <c r="L74" s="2">
        <v>950260</v>
      </c>
      <c r="M74" s="2">
        <v>940560</v>
      </c>
      <c r="N74" s="2">
        <v>9700</v>
      </c>
      <c r="O74" t="s">
        <v>2090</v>
      </c>
      <c r="P74" t="s">
        <v>2171</v>
      </c>
    </row>
    <row r="75" spans="2:16">
      <c r="B75" t="s">
        <v>2095</v>
      </c>
      <c r="E75" s="2">
        <v>-20156</v>
      </c>
      <c r="F75" t="s">
        <v>2096</v>
      </c>
      <c r="J75" t="s">
        <v>2097</v>
      </c>
      <c r="L75" s="2">
        <v>24800</v>
      </c>
      <c r="M75" s="2">
        <v>26400</v>
      </c>
      <c r="N75" s="2">
        <v>-1600</v>
      </c>
      <c r="O75" t="s">
        <v>2090</v>
      </c>
      <c r="P75" t="s">
        <v>2172</v>
      </c>
    </row>
    <row r="76" spans="2:16">
      <c r="B76" t="s">
        <v>783</v>
      </c>
      <c r="E76" s="2">
        <v>70520</v>
      </c>
      <c r="F76" t="s">
        <v>2099</v>
      </c>
      <c r="J76" t="s">
        <v>2100</v>
      </c>
      <c r="L76" s="2">
        <v>0</v>
      </c>
      <c r="M76" s="2">
        <v>20156</v>
      </c>
      <c r="N76" s="2">
        <v>-20156</v>
      </c>
      <c r="O76" t="s">
        <v>2090</v>
      </c>
      <c r="P76" t="s">
        <v>2173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590000</v>
      </c>
      <c r="M77" s="2">
        <v>590000</v>
      </c>
      <c r="N77" s="2">
        <v>0</v>
      </c>
      <c r="O77" t="s">
        <v>2087</v>
      </c>
      <c r="P77" t="s">
        <v>2174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200000</v>
      </c>
      <c r="F79" t="s">
        <v>2108</v>
      </c>
      <c r="J79" t="s">
        <v>2109</v>
      </c>
      <c r="L79" s="2">
        <v>0</v>
      </c>
      <c r="M79" s="2">
        <v>200000</v>
      </c>
      <c r="N79" s="2">
        <v>-200000</v>
      </c>
      <c r="O79" t="s">
        <v>2175</v>
      </c>
      <c r="P79" t="s">
        <v>2176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2177</v>
      </c>
      <c r="N82" s="2">
        <v>-120000</v>
      </c>
    </row>
    <row r="83" spans="2:15">
      <c r="B83" t="s">
        <v>2120</v>
      </c>
      <c r="E83" s="2">
        <v>0</v>
      </c>
      <c r="F83" t="s">
        <v>2121</v>
      </c>
      <c r="J83" t="s">
        <v>2178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-120000</v>
      </c>
      <c r="O84" t="s">
        <v>2179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2249493</v>
      </c>
      <c r="F87" t="s">
        <v>2129</v>
      </c>
    </row>
    <row r="88" spans="2:15">
      <c r="B88" t="s">
        <v>2130</v>
      </c>
      <c r="E88" s="2">
        <v>2249493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46082</v>
      </c>
    </row>
    <row r="2" spans="1:20">
      <c r="B2" t="s">
        <v>436</v>
      </c>
      <c r="C2" t="s">
        <v>47</v>
      </c>
      <c r="D2" t="s">
        <v>431</v>
      </c>
      <c r="E2" t="s">
        <v>432</v>
      </c>
      <c r="F2" t="s">
        <v>433</v>
      </c>
      <c r="G2" t="s">
        <v>434</v>
      </c>
      <c r="H2" t="s">
        <v>435</v>
      </c>
      <c r="S2" t="s">
        <v>1954</v>
      </c>
    </row>
    <row r="3" spans="1:20">
      <c r="B3" s="4" t="s">
        <v>2180</v>
      </c>
      <c r="C3" s="4" t="s">
        <v>2181</v>
      </c>
      <c r="D3" s="4" t="s">
        <v>2182</v>
      </c>
      <c r="E3" s="4" t="s">
        <v>2165</v>
      </c>
      <c r="F3" s="4" t="s">
        <v>2183</v>
      </c>
      <c r="G3" s="4" t="s">
        <v>2184</v>
      </c>
      <c r="H3" s="4" t="s">
        <v>2185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451</v>
      </c>
      <c r="L5" s="4" t="s">
        <v>598</v>
      </c>
      <c r="M5" t="s">
        <v>453</v>
      </c>
      <c r="N5" t="s">
        <v>455</v>
      </c>
      <c r="O5" t="s">
        <v>454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598</v>
      </c>
      <c r="M6" t="s">
        <v>453</v>
      </c>
      <c r="N6" t="s">
        <v>455</v>
      </c>
      <c r="O6" t="s">
        <v>457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2186</v>
      </c>
      <c r="C8" s="4" t="s">
        <v>2187</v>
      </c>
      <c r="D8" s="4" t="s">
        <v>2188</v>
      </c>
      <c r="E8" s="4" t="s">
        <v>2189</v>
      </c>
      <c r="F8" s="4" t="s">
        <v>2190</v>
      </c>
      <c r="G8" s="4" t="s">
        <v>2191</v>
      </c>
      <c r="H8" s="4" t="s">
        <v>2192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599</v>
      </c>
      <c r="M11" t="s">
        <v>475</v>
      </c>
      <c r="N11" t="s">
        <v>455</v>
      </c>
      <c r="O11" t="s">
        <v>476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600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2193</v>
      </c>
      <c r="C13" s="4" t="s">
        <v>2194</v>
      </c>
      <c r="D13" s="4" t="s">
        <v>2195</v>
      </c>
      <c r="E13" s="4" t="s">
        <v>2196</v>
      </c>
      <c r="F13" s="4" t="s">
        <v>2197</v>
      </c>
      <c r="G13" s="4" t="s">
        <v>2198</v>
      </c>
      <c r="H13" s="4" t="s">
        <v>2199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15992</v>
      </c>
      <c r="R13" s="5">
        <v>15992</v>
      </c>
      <c r="S13" s="5">
        <v>16000</v>
      </c>
    </row>
    <row r="14" spans="1:20">
      <c r="A14" t="s">
        <v>446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193</v>
      </c>
      <c r="M14" t="s">
        <v>449</v>
      </c>
      <c r="N14" t="s">
        <v>455</v>
      </c>
      <c r="O14" t="s">
        <v>483</v>
      </c>
      <c r="P14" s="5">
        <v>13918</v>
      </c>
      <c r="R14" s="5">
        <v>13918</v>
      </c>
      <c r="S14" s="5">
        <v>14000</v>
      </c>
    </row>
    <row r="15" spans="1:20">
      <c r="A15" t="s">
        <v>445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178</v>
      </c>
      <c r="M15" t="s">
        <v>449</v>
      </c>
      <c r="N15" t="s">
        <v>455</v>
      </c>
      <c r="O15" t="s">
        <v>484</v>
      </c>
      <c r="P15" s="5">
        <v>11180</v>
      </c>
      <c r="R15" s="5">
        <v>11180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2200</v>
      </c>
      <c r="C18" s="4" t="s">
        <v>2201</v>
      </c>
      <c r="D18" s="4" t="s">
        <v>2202</v>
      </c>
      <c r="E18" s="4" t="s">
        <v>2203</v>
      </c>
      <c r="F18" s="4" t="s">
        <v>2204</v>
      </c>
      <c r="G18" s="4" t="s">
        <v>2205</v>
      </c>
      <c r="H18" s="4" t="s">
        <v>2206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445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601</v>
      </c>
    </row>
    <row r="23" spans="1:20">
      <c r="B23" s="4" t="s">
        <v>2207</v>
      </c>
      <c r="C23" s="4" t="s">
        <v>2208</v>
      </c>
      <c r="D23" s="4" t="s">
        <v>2209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505</v>
      </c>
    </row>
    <row r="24" spans="1:20">
      <c r="A24" t="s">
        <v>446</v>
      </c>
      <c r="B24" s="5">
        <v>103000</v>
      </c>
      <c r="C24" s="5">
        <v>24000</v>
      </c>
      <c r="D24" s="5">
        <v>51000</v>
      </c>
      <c r="I24" s="7">
        <v>178000</v>
      </c>
      <c r="K24" t="s">
        <v>418</v>
      </c>
      <c r="P24" s="5">
        <v>1187761</v>
      </c>
      <c r="R24" s="5">
        <v>1158467</v>
      </c>
      <c r="S24" s="5">
        <v>1159000</v>
      </c>
    </row>
    <row r="25" spans="1:20">
      <c r="A25" t="s">
        <v>445</v>
      </c>
      <c r="B25" s="5">
        <v>100600</v>
      </c>
      <c r="C25" s="5">
        <v>23400</v>
      </c>
      <c r="D25" s="5">
        <v>50500</v>
      </c>
      <c r="I25" s="7">
        <v>174500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2212</v>
      </c>
    </row>
    <row r="27" spans="1:20">
      <c r="G27" s="5">
        <v>926000</v>
      </c>
      <c r="H27" s="5">
        <v>894480</v>
      </c>
      <c r="I27" s="6">
        <v>3500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2004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2006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-94480</v>
      </c>
      <c r="D39" s="2">
        <v>41533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2784000</v>
      </c>
      <c r="E41" s="2">
        <v>1740</v>
      </c>
      <c r="F41" t="s">
        <v>2028</v>
      </c>
      <c r="H41" s="2">
        <v>31520</v>
      </c>
      <c r="I41" s="2">
        <v>31520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2751247</v>
      </c>
      <c r="E42" s="2">
        <v>34493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46101</v>
      </c>
      <c r="K44" t="s">
        <v>2202</v>
      </c>
      <c r="L44" t="s">
        <v>2209</v>
      </c>
    </row>
    <row r="45" spans="1:20">
      <c r="B45" t="s">
        <v>520</v>
      </c>
      <c r="E45" t="s">
        <v>2166</v>
      </c>
      <c r="I45" t="s">
        <v>439</v>
      </c>
      <c r="J45" t="s">
        <v>2215</v>
      </c>
      <c r="K45" t="s">
        <v>2167</v>
      </c>
      <c r="L45" t="s">
        <v>2216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17000</v>
      </c>
      <c r="K46" s="5">
        <v>3000</v>
      </c>
      <c r="L46" s="5">
        <v>21000</v>
      </c>
    </row>
    <row r="47" spans="1:20">
      <c r="B47" t="s">
        <v>66</v>
      </c>
      <c r="C47" s="2">
        <v>2785740</v>
      </c>
      <c r="E47" s="5">
        <v>926000</v>
      </c>
      <c r="F47" s="5">
        <v>926000</v>
      </c>
      <c r="G47" t="b">
        <v>1</v>
      </c>
      <c r="H47" t="s">
        <v>2040</v>
      </c>
      <c r="I47" t="s">
        <v>445</v>
      </c>
      <c r="J47" s="5">
        <v>17000</v>
      </c>
      <c r="K47" s="5">
        <v>3300</v>
      </c>
      <c r="L47" s="5">
        <v>21300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100000</v>
      </c>
      <c r="Q52" t="s">
        <v>2048</v>
      </c>
      <c r="R52" s="2">
        <v>1158467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1300000</v>
      </c>
      <c r="Q53" t="s">
        <v>2051</v>
      </c>
      <c r="R53" s="2">
        <v>894480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29900</v>
      </c>
      <c r="S54" t="s">
        <v>2058</v>
      </c>
    </row>
    <row r="55" spans="2:19">
      <c r="B55" s="11">
        <v>46107</v>
      </c>
      <c r="C55" t="s">
        <v>554</v>
      </c>
      <c r="D55" t="s">
        <v>2217</v>
      </c>
      <c r="E55" s="2">
        <v>29900</v>
      </c>
      <c r="I55" s="2">
        <v>29900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350000</v>
      </c>
      <c r="Q55" t="s">
        <v>2059</v>
      </c>
      <c r="R55" s="2">
        <v>2082847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1750000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41600</v>
      </c>
      <c r="S58" t="s">
        <v>2065</v>
      </c>
    </row>
    <row r="59" spans="2:19">
      <c r="Q59" t="s">
        <v>2066</v>
      </c>
      <c r="R59" s="2">
        <v>2751247</v>
      </c>
      <c r="S59" t="s">
        <v>2067</v>
      </c>
    </row>
    <row r="60" spans="2:19">
      <c r="Q60" t="s">
        <v>2068</v>
      </c>
      <c r="R60" s="2">
        <v>34493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2082847</v>
      </c>
      <c r="S62" t="s">
        <v>2072</v>
      </c>
    </row>
    <row r="63" spans="2:19">
      <c r="Q63" t="s">
        <v>2073</v>
      </c>
      <c r="R63" s="2">
        <v>993611</v>
      </c>
      <c r="S63" t="s">
        <v>2218</v>
      </c>
    </row>
    <row r="64" spans="2:19">
      <c r="Q64" t="s">
        <v>2075</v>
      </c>
      <c r="R64" s="2">
        <v>1750000</v>
      </c>
      <c r="S64" t="s">
        <v>2076</v>
      </c>
    </row>
    <row r="65" spans="2:16">
      <c r="B65" t="s">
        <v>418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2219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1211309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780770</v>
      </c>
      <c r="F73" t="s">
        <v>2089</v>
      </c>
      <c r="J73" t="s">
        <v>429</v>
      </c>
      <c r="L73" s="2">
        <v>1158467</v>
      </c>
      <c r="M73" s="2">
        <v>1211309</v>
      </c>
      <c r="N73" s="2">
        <v>-52842</v>
      </c>
      <c r="O73" t="s">
        <v>2175</v>
      </c>
      <c r="P73" t="s">
        <v>2220</v>
      </c>
    </row>
    <row r="74" spans="2:16">
      <c r="B74" t="s">
        <v>778</v>
      </c>
      <c r="E74" s="2">
        <v>49500</v>
      </c>
      <c r="F74" t="s">
        <v>2092</v>
      </c>
      <c r="J74" t="s">
        <v>2093</v>
      </c>
      <c r="L74" s="2">
        <v>894480</v>
      </c>
      <c r="M74" s="2">
        <v>876170</v>
      </c>
      <c r="N74" s="2">
        <v>18310</v>
      </c>
      <c r="O74" t="s">
        <v>2090</v>
      </c>
      <c r="P74" t="s">
        <v>2221</v>
      </c>
    </row>
    <row r="75" spans="2:16">
      <c r="B75" t="s">
        <v>2095</v>
      </c>
      <c r="E75" s="2">
        <v>-26000</v>
      </c>
      <c r="F75" t="s">
        <v>2096</v>
      </c>
      <c r="J75" t="s">
        <v>2097</v>
      </c>
      <c r="L75" s="2">
        <v>41600</v>
      </c>
      <c r="M75" s="2">
        <v>63900</v>
      </c>
      <c r="N75" s="2">
        <v>-22300</v>
      </c>
      <c r="O75" t="s">
        <v>2090</v>
      </c>
      <c r="P75" t="s">
        <v>2222</v>
      </c>
    </row>
    <row r="76" spans="2:16">
      <c r="B76" t="s">
        <v>783</v>
      </c>
      <c r="E76" s="2">
        <v>0</v>
      </c>
      <c r="F76" t="s">
        <v>2099</v>
      </c>
      <c r="J76" t="s">
        <v>2100</v>
      </c>
      <c r="L76" s="2">
        <v>0</v>
      </c>
      <c r="M76" s="2">
        <v>26000</v>
      </c>
      <c r="N76" s="2">
        <v>-26000</v>
      </c>
      <c r="O76" t="s">
        <v>2090</v>
      </c>
      <c r="P76" t="s">
        <v>2223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2224</v>
      </c>
    </row>
    <row r="78" spans="2:16">
      <c r="B78" t="s">
        <v>787</v>
      </c>
      <c r="E78" s="2">
        <v>49800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29900</v>
      </c>
      <c r="M79" s="2">
        <v>49800</v>
      </c>
      <c r="N79" s="2">
        <v>-19900</v>
      </c>
      <c r="O79" t="s">
        <v>2090</v>
      </c>
      <c r="P79" t="s">
        <v>2225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269210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2227</v>
      </c>
    </row>
    <row r="84" spans="2:15">
      <c r="B84" t="s">
        <v>806</v>
      </c>
      <c r="E84" s="2">
        <v>107316</v>
      </c>
      <c r="F84" t="s">
        <v>2123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2441905</v>
      </c>
      <c r="F87" t="s">
        <v>2129</v>
      </c>
    </row>
    <row r="88" spans="2:15">
      <c r="B88" t="s">
        <v>2130</v>
      </c>
      <c r="E88" s="2">
        <v>2334589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46113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2228</v>
      </c>
      <c r="E3" s="4" t="s">
        <v>2229</v>
      </c>
      <c r="F3" s="4" t="s">
        <v>2230</v>
      </c>
      <c r="G3" s="4" t="s">
        <v>2231</v>
      </c>
      <c r="H3" s="4" t="s">
        <v>2232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451</v>
      </c>
      <c r="L5" s="4" t="s">
        <v>607</v>
      </c>
      <c r="M5" t="s">
        <v>453</v>
      </c>
      <c r="N5" t="s">
        <v>455</v>
      </c>
      <c r="O5" t="s">
        <v>454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607</v>
      </c>
      <c r="M6" t="s">
        <v>453</v>
      </c>
      <c r="N6" t="s">
        <v>455</v>
      </c>
      <c r="O6" t="s">
        <v>457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2233</v>
      </c>
      <c r="C8" s="4" t="s">
        <v>2234</v>
      </c>
      <c r="D8" s="4" t="s">
        <v>2235</v>
      </c>
      <c r="E8" s="4" t="s">
        <v>2236</v>
      </c>
      <c r="F8" s="4" t="s">
        <v>2237</v>
      </c>
      <c r="G8" s="4" t="s">
        <v>2238</v>
      </c>
      <c r="H8" s="4" t="s">
        <v>2239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608</v>
      </c>
      <c r="M11" t="s">
        <v>475</v>
      </c>
      <c r="N11" t="s">
        <v>455</v>
      </c>
      <c r="O11" t="s">
        <v>476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609</v>
      </c>
      <c r="M12" t="s">
        <v>478</v>
      </c>
      <c r="N12" t="s">
        <v>455</v>
      </c>
      <c r="O12" t="s">
        <v>479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2240</v>
      </c>
      <c r="C13" s="4" t="s">
        <v>2241</v>
      </c>
      <c r="D13" s="4" t="s">
        <v>2242</v>
      </c>
      <c r="E13" s="4" t="s">
        <v>2243</v>
      </c>
      <c r="F13" s="4" t="s">
        <v>2244</v>
      </c>
      <c r="G13" s="4" t="s">
        <v>2245</v>
      </c>
      <c r="H13" s="4" t="s">
        <v>2246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16528</v>
      </c>
      <c r="R13" s="5">
        <v>16528</v>
      </c>
      <c r="S13" s="5">
        <v>17000</v>
      </c>
    </row>
    <row r="14" spans="1:20">
      <c r="A14" t="s">
        <v>446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193</v>
      </c>
      <c r="M14" t="s">
        <v>449</v>
      </c>
      <c r="N14" t="s">
        <v>455</v>
      </c>
      <c r="O14" t="s">
        <v>483</v>
      </c>
      <c r="P14" s="5">
        <v>15407</v>
      </c>
      <c r="R14" s="5">
        <v>15407</v>
      </c>
      <c r="S14" s="5">
        <v>16000</v>
      </c>
    </row>
    <row r="15" spans="1:20">
      <c r="A15" t="s">
        <v>445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178</v>
      </c>
      <c r="M15" t="s">
        <v>449</v>
      </c>
      <c r="N15" t="s">
        <v>455</v>
      </c>
      <c r="O15" t="s">
        <v>484</v>
      </c>
      <c r="P15" s="5">
        <v>10399</v>
      </c>
      <c r="R15" s="5">
        <v>10399</v>
      </c>
      <c r="S15" s="5">
        <v>11000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2247</v>
      </c>
      <c r="C18" s="4" t="s">
        <v>2248</v>
      </c>
      <c r="D18" s="4" t="s">
        <v>2249</v>
      </c>
      <c r="E18" s="4" t="s">
        <v>2250</v>
      </c>
      <c r="F18" s="4" t="s">
        <v>2251</v>
      </c>
      <c r="G18" s="4" t="s">
        <v>2252</v>
      </c>
      <c r="H18" s="4" t="s">
        <v>2253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445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610</v>
      </c>
    </row>
    <row r="23" spans="1:20">
      <c r="B23" s="4" t="s">
        <v>2254</v>
      </c>
      <c r="C23" s="4" t="s">
        <v>2255</v>
      </c>
      <c r="D23" s="4" t="s">
        <v>2256</v>
      </c>
      <c r="E23" s="4" t="s">
        <v>2257</v>
      </c>
      <c r="I23" t="s">
        <v>418</v>
      </c>
      <c r="R23" s="5">
        <v>0</v>
      </c>
      <c r="S23" s="5">
        <v>0</v>
      </c>
    </row>
    <row r="24" spans="1:20">
      <c r="A24" t="s">
        <v>446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418</v>
      </c>
      <c r="P24" s="5">
        <v>1195325</v>
      </c>
      <c r="R24" s="5">
        <v>1154187</v>
      </c>
      <c r="S24" s="5">
        <v>1155000</v>
      </c>
    </row>
    <row r="25" spans="1:20">
      <c r="A25" t="s">
        <v>445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46117</v>
      </c>
      <c r="M26" t="s">
        <v>1994</v>
      </c>
      <c r="P26" t="s">
        <v>2212</v>
      </c>
    </row>
    <row r="27" spans="1:20">
      <c r="G27" s="5">
        <v>1047000</v>
      </c>
      <c r="H27" s="5">
        <v>1016640</v>
      </c>
      <c r="I27" s="6">
        <v>5350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140000</v>
      </c>
      <c r="C30" t="s">
        <v>522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190000</v>
      </c>
      <c r="C31" t="s">
        <v>445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2004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2006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-216640</v>
      </c>
      <c r="D39" s="2">
        <v>45813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2916370</v>
      </c>
      <c r="D41" s="2">
        <v>2903000</v>
      </c>
      <c r="E41" s="2">
        <v>13370</v>
      </c>
      <c r="F41" t="s">
        <v>2028</v>
      </c>
      <c r="H41" s="2">
        <v>30360</v>
      </c>
      <c r="I41" s="2">
        <v>30360</v>
      </c>
      <c r="J41" t="b">
        <v>1</v>
      </c>
      <c r="Q41" t="s">
        <v>2214</v>
      </c>
    </row>
    <row r="42" spans="1:20">
      <c r="B42" t="s">
        <v>445</v>
      </c>
      <c r="C42" s="2">
        <v>2916370</v>
      </c>
      <c r="D42" s="2">
        <v>2870727</v>
      </c>
      <c r="E42" s="2">
        <v>45643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46142</v>
      </c>
    </row>
    <row r="45" spans="1:20">
      <c r="B45" t="s">
        <v>520</v>
      </c>
      <c r="E45" t="s">
        <v>2166</v>
      </c>
      <c r="I45" t="s">
        <v>439</v>
      </c>
      <c r="J45" t="s">
        <v>2258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</row>
    <row r="47" spans="1:20">
      <c r="B47" t="s">
        <v>66</v>
      </c>
      <c r="C47" s="2">
        <v>2716370</v>
      </c>
      <c r="E47" s="5">
        <v>1047000</v>
      </c>
      <c r="F47" s="5">
        <v>1047000</v>
      </c>
      <c r="G47" t="b">
        <v>1</v>
      </c>
      <c r="H47" t="s">
        <v>2040</v>
      </c>
      <c r="I47" t="s">
        <v>445</v>
      </c>
      <c r="J47" s="5">
        <v>19350</v>
      </c>
    </row>
    <row r="48" spans="1:20">
      <c r="B48" t="s">
        <v>70</v>
      </c>
      <c r="C48" s="2">
        <v>200000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2916370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200000</v>
      </c>
      <c r="Q52" t="s">
        <v>2048</v>
      </c>
      <c r="R52" s="2">
        <v>1154187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1300000</v>
      </c>
      <c r="N53" s="2">
        <v>-1300000</v>
      </c>
      <c r="O53" s="2">
        <v>1400000</v>
      </c>
      <c r="Q53" t="s">
        <v>2051</v>
      </c>
      <c r="R53" s="2">
        <v>1016640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9250</v>
      </c>
      <c r="S54" t="s">
        <v>2058</v>
      </c>
    </row>
    <row r="55" spans="2:19">
      <c r="B55" s="11">
        <v>46137</v>
      </c>
      <c r="C55" t="s">
        <v>68</v>
      </c>
      <c r="D55" t="s">
        <v>2259</v>
      </c>
      <c r="E55" s="2">
        <v>232781</v>
      </c>
      <c r="G55" s="2">
        <v>223531</v>
      </c>
      <c r="H55" t="s">
        <v>2260</v>
      </c>
      <c r="I55" s="2">
        <v>9250</v>
      </c>
      <c r="J55" s="2">
        <v>10000</v>
      </c>
      <c r="K55" t="s">
        <v>19</v>
      </c>
      <c r="L55" s="2">
        <v>0</v>
      </c>
      <c r="M55" s="2">
        <v>350000</v>
      </c>
      <c r="N55" s="2">
        <v>-350000</v>
      </c>
      <c r="O55" s="2">
        <v>350000</v>
      </c>
      <c r="Q55" t="s">
        <v>2059</v>
      </c>
      <c r="R55" s="2">
        <v>2180077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1650000</v>
      </c>
      <c r="N57" s="2">
        <v>-1650000</v>
      </c>
      <c r="O57" s="2">
        <v>1950000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19350</v>
      </c>
      <c r="S58" t="s">
        <v>2065</v>
      </c>
    </row>
    <row r="59" spans="2:19">
      <c r="Q59" t="s">
        <v>2066</v>
      </c>
      <c r="R59" s="2">
        <v>2870727</v>
      </c>
      <c r="S59" t="s">
        <v>2067</v>
      </c>
    </row>
    <row r="60" spans="2:19">
      <c r="Q60" t="s">
        <v>2068</v>
      </c>
      <c r="R60" s="2">
        <v>45643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2180077</v>
      </c>
      <c r="S62" t="s">
        <v>2072</v>
      </c>
    </row>
    <row r="63" spans="2:19">
      <c r="Q63" t="s">
        <v>2073</v>
      </c>
      <c r="R63" s="2">
        <v>944667</v>
      </c>
      <c r="S63" t="s">
        <v>2218</v>
      </c>
    </row>
    <row r="64" spans="2:19">
      <c r="Q64" t="s">
        <v>2075</v>
      </c>
      <c r="R64" s="2">
        <v>1950000</v>
      </c>
      <c r="S64" t="s">
        <v>2076</v>
      </c>
    </row>
    <row r="65" spans="2:16">
      <c r="B65" t="s">
        <v>418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2261</v>
      </c>
    </row>
    <row r="70" spans="2:16">
      <c r="B70" t="s">
        <v>2262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1207545</v>
      </c>
      <c r="F72" t="s">
        <v>2085</v>
      </c>
      <c r="J72" t="s">
        <v>2086</v>
      </c>
      <c r="L72" s="2">
        <v>2916370</v>
      </c>
      <c r="M72" s="2">
        <v>2916370</v>
      </c>
      <c r="N72" s="2">
        <v>0</v>
      </c>
      <c r="O72" t="s">
        <v>2087</v>
      </c>
      <c r="P72" t="s">
        <v>2263</v>
      </c>
    </row>
    <row r="73" spans="2:16">
      <c r="B73" t="s">
        <v>775</v>
      </c>
      <c r="E73" s="2">
        <v>932480</v>
      </c>
      <c r="F73" t="s">
        <v>2089</v>
      </c>
      <c r="J73" t="s">
        <v>429</v>
      </c>
      <c r="L73" s="2">
        <v>1154187</v>
      </c>
      <c r="M73" s="2">
        <v>1207545</v>
      </c>
      <c r="N73" s="2">
        <v>-53358</v>
      </c>
      <c r="O73" t="s">
        <v>2175</v>
      </c>
      <c r="P73" t="s">
        <v>2264</v>
      </c>
    </row>
    <row r="74" spans="2:16">
      <c r="B74" t="s">
        <v>778</v>
      </c>
      <c r="E74" s="2">
        <v>125800</v>
      </c>
      <c r="F74" t="s">
        <v>2092</v>
      </c>
      <c r="J74" t="s">
        <v>2093</v>
      </c>
      <c r="L74" s="2">
        <v>1016640</v>
      </c>
      <c r="M74" s="2">
        <v>1078080</v>
      </c>
      <c r="N74" s="2">
        <v>-61440</v>
      </c>
      <c r="O74" t="s">
        <v>2175</v>
      </c>
      <c r="P74" t="s">
        <v>2265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19800</v>
      </c>
      <c r="F76" t="s">
        <v>2099</v>
      </c>
      <c r="J76" t="s">
        <v>2100</v>
      </c>
      <c r="K76" s="2">
        <v>1650</v>
      </c>
      <c r="L76" s="2">
        <v>21000</v>
      </c>
      <c r="M76" s="2">
        <v>21000</v>
      </c>
      <c r="N76" s="2">
        <v>0</v>
      </c>
      <c r="O76" t="s">
        <v>2087</v>
      </c>
      <c r="P76" t="s">
        <v>2266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9250</v>
      </c>
      <c r="M79" s="2">
        <v>9250</v>
      </c>
      <c r="N79" s="2">
        <v>0</v>
      </c>
      <c r="O79" t="s">
        <v>2087</v>
      </c>
      <c r="P79" t="s">
        <v>2267</v>
      </c>
    </row>
    <row r="80" spans="2:16">
      <c r="B80" t="s">
        <v>2111</v>
      </c>
      <c r="E80" s="2">
        <v>9250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2268</v>
      </c>
      <c r="N82" s="2">
        <v>43000</v>
      </c>
    </row>
    <row r="83" spans="2:15">
      <c r="B83" t="s">
        <v>2120</v>
      </c>
      <c r="E83" s="2">
        <v>0</v>
      </c>
      <c r="F83" t="s">
        <v>2121</v>
      </c>
      <c r="J83" t="s">
        <v>2269</v>
      </c>
      <c r="N83" s="2">
        <v>0</v>
      </c>
    </row>
    <row r="84" spans="2:15">
      <c r="B84" t="s">
        <v>806</v>
      </c>
      <c r="E84" s="2">
        <v>124691</v>
      </c>
      <c r="F84" t="s">
        <v>2123</v>
      </c>
      <c r="J84" t="s">
        <v>2124</v>
      </c>
      <c r="N84" s="2">
        <v>43000</v>
      </c>
      <c r="O84" t="s">
        <v>2270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2398566</v>
      </c>
      <c r="F87" t="s">
        <v>2129</v>
      </c>
    </row>
    <row r="88" spans="2:15">
      <c r="B88" t="s">
        <v>2130</v>
      </c>
      <c r="E88" s="2">
        <v>2273875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46143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F3" s="4" t="s">
        <v>2271</v>
      </c>
      <c r="G3" s="4" t="s">
        <v>2272</v>
      </c>
      <c r="H3" s="4" t="s">
        <v>2273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F4" s="5">
        <v>21000</v>
      </c>
      <c r="G4" s="5">
        <v>38000</v>
      </c>
      <c r="H4" s="5">
        <v>22000</v>
      </c>
      <c r="I4" s="5">
        <v>81000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F5" s="5">
        <v>19700</v>
      </c>
      <c r="G5" s="5">
        <v>36120</v>
      </c>
      <c r="H5" s="5">
        <v>21600</v>
      </c>
      <c r="I5" s="5">
        <v>77420</v>
      </c>
      <c r="K5" t="s">
        <v>451</v>
      </c>
      <c r="L5" s="4" t="s">
        <v>615</v>
      </c>
      <c r="M5" t="s">
        <v>453</v>
      </c>
      <c r="N5" t="s">
        <v>455</v>
      </c>
      <c r="O5" t="s">
        <v>454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615</v>
      </c>
      <c r="M6" t="s">
        <v>453</v>
      </c>
      <c r="N6" t="s">
        <v>455</v>
      </c>
      <c r="O6" t="s">
        <v>457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2274</v>
      </c>
      <c r="C8" s="4" t="s">
        <v>2275</v>
      </c>
      <c r="D8" s="4" t="s">
        <v>2276</v>
      </c>
      <c r="E8" s="4" t="s">
        <v>2277</v>
      </c>
      <c r="F8" s="4" t="s">
        <v>2278</v>
      </c>
      <c r="G8" s="4" t="s">
        <v>2279</v>
      </c>
      <c r="H8" s="4" t="s">
        <v>2280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616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617</v>
      </c>
      <c r="M12" t="s">
        <v>478</v>
      </c>
      <c r="N12" t="s">
        <v>455</v>
      </c>
      <c r="O12" t="s">
        <v>479</v>
      </c>
      <c r="P12" s="5">
        <v>34170</v>
      </c>
      <c r="R12" s="5">
        <v>34170</v>
      </c>
      <c r="S12" s="5">
        <v>35000</v>
      </c>
    </row>
    <row r="13" spans="1:20">
      <c r="B13" s="4" t="s">
        <v>2281</v>
      </c>
      <c r="C13" s="4" t="s">
        <v>2282</v>
      </c>
      <c r="D13" s="4" t="s">
        <v>2283</v>
      </c>
      <c r="E13" s="4" t="s">
        <v>2284</v>
      </c>
      <c r="F13" s="4" t="s">
        <v>2285</v>
      </c>
      <c r="G13" s="4" t="s">
        <v>2286</v>
      </c>
      <c r="H13" s="4" t="s">
        <v>2287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11795</v>
      </c>
      <c r="R13" s="5">
        <v>11795</v>
      </c>
      <c r="S13" s="5">
        <v>12000</v>
      </c>
    </row>
    <row r="14" spans="1:20">
      <c r="A14" t="s">
        <v>446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193</v>
      </c>
      <c r="M14" t="s">
        <v>449</v>
      </c>
      <c r="N14" t="s">
        <v>455</v>
      </c>
      <c r="O14" t="s">
        <v>483</v>
      </c>
      <c r="P14" s="5">
        <v>15214</v>
      </c>
      <c r="R14" s="5">
        <v>15214</v>
      </c>
      <c r="S14" s="5">
        <v>16000</v>
      </c>
    </row>
    <row r="15" spans="1:20">
      <c r="A15" t="s">
        <v>445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178</v>
      </c>
      <c r="M15" t="s">
        <v>449</v>
      </c>
      <c r="N15" t="s">
        <v>455</v>
      </c>
      <c r="O15" t="s">
        <v>484</v>
      </c>
      <c r="P15" s="5">
        <v>11795</v>
      </c>
      <c r="R15" s="5">
        <v>11795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2288</v>
      </c>
      <c r="C18" s="4" t="s">
        <v>2289</v>
      </c>
      <c r="D18" s="4" t="s">
        <v>2290</v>
      </c>
      <c r="E18" s="4" t="s">
        <v>2291</v>
      </c>
      <c r="F18" s="4" t="s">
        <v>2292</v>
      </c>
      <c r="G18" s="4" t="s">
        <v>2293</v>
      </c>
      <c r="H18" s="4" t="s">
        <v>2294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10350</v>
      </c>
      <c r="R18" s="5">
        <v>10350</v>
      </c>
      <c r="S18" s="5">
        <v>11000</v>
      </c>
    </row>
    <row r="19" spans="1:20">
      <c r="A19" t="s">
        <v>446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445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618</v>
      </c>
    </row>
    <row r="23" spans="1:20">
      <c r="B23" s="4" t="s">
        <v>2295</v>
      </c>
      <c r="C23" s="4" t="s">
        <v>2296</v>
      </c>
      <c r="D23" s="4" t="s">
        <v>2297</v>
      </c>
      <c r="E23" s="4" t="s">
        <v>2298</v>
      </c>
      <c r="F23" s="4" t="s">
        <v>2299</v>
      </c>
      <c r="G23" s="4" t="s">
        <v>2300</v>
      </c>
      <c r="H23" s="4" t="s">
        <v>2301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12020</v>
      </c>
      <c r="R23" s="5">
        <v>12020</v>
      </c>
      <c r="S23" s="5">
        <v>13000</v>
      </c>
      <c r="T23" t="s">
        <v>621</v>
      </c>
    </row>
    <row r="24" spans="1:20">
      <c r="A24" t="s">
        <v>446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418</v>
      </c>
      <c r="P24" s="5">
        <v>1218310</v>
      </c>
      <c r="R24" s="5">
        <v>1179404</v>
      </c>
      <c r="S24" s="5">
        <v>1180000</v>
      </c>
    </row>
    <row r="25" spans="1:20">
      <c r="A25" t="s">
        <v>445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46172</v>
      </c>
      <c r="M26" t="s">
        <v>1994</v>
      </c>
      <c r="P26" t="s">
        <v>2212</v>
      </c>
    </row>
    <row r="27" spans="1:20">
      <c r="G27" s="5">
        <v>1197000</v>
      </c>
      <c r="H27" s="5">
        <v>1152815</v>
      </c>
      <c r="I27" s="6">
        <v>6970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2004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-352815</v>
      </c>
      <c r="D39" s="2">
        <v>20596</v>
      </c>
      <c r="F39" s="2">
        <v>150000</v>
      </c>
      <c r="G39" s="2">
        <v>50000</v>
      </c>
      <c r="K39" t="s">
        <v>2023</v>
      </c>
      <c r="Q39" t="s">
        <v>418</v>
      </c>
      <c r="R39" s="2">
        <v>250000</v>
      </c>
      <c r="S39" s="2">
        <v>220000</v>
      </c>
      <c r="T39" s="2">
        <v>-30000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200000</v>
      </c>
      <c r="T40" s="2">
        <v>-50000</v>
      </c>
    </row>
    <row r="41" spans="1:20">
      <c r="B41" t="s">
        <v>522</v>
      </c>
      <c r="C41" s="2">
        <v>2835740</v>
      </c>
      <c r="D41" s="2">
        <v>3040000</v>
      </c>
      <c r="E41" s="2">
        <v>-204260</v>
      </c>
      <c r="F41" t="s">
        <v>2302</v>
      </c>
      <c r="H41" s="2">
        <v>44185</v>
      </c>
      <c r="I41" s="2">
        <v>44185</v>
      </c>
      <c r="J41" t="b">
        <v>1</v>
      </c>
      <c r="Q41" t="s">
        <v>2214</v>
      </c>
    </row>
    <row r="42" spans="1:20">
      <c r="B42" t="s">
        <v>445</v>
      </c>
      <c r="C42" s="2">
        <v>2835740</v>
      </c>
      <c r="D42" s="2">
        <v>2995119</v>
      </c>
      <c r="E42" s="2">
        <v>-159379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46162</v>
      </c>
      <c r="K44" t="s">
        <v>2297</v>
      </c>
    </row>
    <row r="45" spans="1:20">
      <c r="B45" t="s">
        <v>520</v>
      </c>
      <c r="E45" t="s">
        <v>2166</v>
      </c>
      <c r="I45" t="s">
        <v>439</v>
      </c>
      <c r="J45" t="s">
        <v>1174</v>
      </c>
      <c r="K45" t="s">
        <v>1273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34000</v>
      </c>
      <c r="K46" s="5">
        <v>13000</v>
      </c>
    </row>
    <row r="47" spans="1:20">
      <c r="B47" t="s">
        <v>66</v>
      </c>
      <c r="C47" s="2">
        <v>2785740</v>
      </c>
      <c r="E47" s="5">
        <v>1197000</v>
      </c>
      <c r="F47" s="5">
        <v>1197000</v>
      </c>
      <c r="G47" t="b">
        <v>1</v>
      </c>
      <c r="H47" t="s">
        <v>2040</v>
      </c>
      <c r="I47" t="s">
        <v>445</v>
      </c>
      <c r="J47" s="5">
        <v>34100</v>
      </c>
      <c r="K47" s="5">
        <v>13000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2835740</v>
      </c>
      <c r="S51" t="s">
        <v>2046</v>
      </c>
    </row>
    <row r="52" spans="2:19">
      <c r="K52" t="s">
        <v>1846</v>
      </c>
      <c r="L52" s="2">
        <v>148900</v>
      </c>
      <c r="M52" s="2">
        <v>200000</v>
      </c>
      <c r="N52" s="2">
        <v>-51100</v>
      </c>
      <c r="O52" s="2">
        <v>50000</v>
      </c>
      <c r="P52" t="s">
        <v>96</v>
      </c>
      <c r="Q52" t="s">
        <v>2048</v>
      </c>
      <c r="R52" s="2">
        <v>1179404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1500000</v>
      </c>
      <c r="Q53" t="s">
        <v>2051</v>
      </c>
      <c r="R53" s="2">
        <v>1152815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313980</v>
      </c>
      <c r="M55" s="2">
        <v>0</v>
      </c>
      <c r="N55" s="2">
        <v>313980</v>
      </c>
      <c r="O55" s="2">
        <v>0</v>
      </c>
      <c r="P55" t="s">
        <v>2303</v>
      </c>
      <c r="Q55" t="s">
        <v>2059</v>
      </c>
      <c r="R55" s="2">
        <v>2332219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47100</v>
      </c>
      <c r="S58" t="s">
        <v>2065</v>
      </c>
    </row>
    <row r="59" spans="2:19">
      <c r="Q59" t="s">
        <v>2066</v>
      </c>
      <c r="R59" s="2">
        <v>2995119</v>
      </c>
      <c r="S59" t="s">
        <v>2067</v>
      </c>
    </row>
    <row r="60" spans="2:19">
      <c r="Q60" t="s">
        <v>2068</v>
      </c>
      <c r="R60" s="2">
        <v>-159379</v>
      </c>
      <c r="S60" t="s">
        <v>2302</v>
      </c>
    </row>
    <row r="61" spans="2:19">
      <c r="Q61" t="s">
        <v>2069</v>
      </c>
      <c r="R61" s="2">
        <v>462880</v>
      </c>
      <c r="S61" t="s">
        <v>2070</v>
      </c>
    </row>
    <row r="62" spans="2:19">
      <c r="Q62" t="s">
        <v>2071</v>
      </c>
      <c r="R62" s="2">
        <v>2795099</v>
      </c>
      <c r="S62" t="s">
        <v>2072</v>
      </c>
    </row>
    <row r="63" spans="2:19">
      <c r="Q63" t="s">
        <v>2073</v>
      </c>
      <c r="R63" s="2">
        <v>1062089</v>
      </c>
      <c r="S63" t="s">
        <v>2218</v>
      </c>
    </row>
    <row r="64" spans="2:19">
      <c r="Q64" t="s">
        <v>2075</v>
      </c>
      <c r="R64" s="2">
        <v>1600000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2304</v>
      </c>
    </row>
    <row r="70" spans="2:16">
      <c r="B70" t="s">
        <v>2305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1182405</v>
      </c>
      <c r="F72" t="s">
        <v>2085</v>
      </c>
      <c r="J72" t="s">
        <v>2086</v>
      </c>
      <c r="L72" s="2">
        <v>2835740</v>
      </c>
      <c r="M72" s="2">
        <v>2835740</v>
      </c>
      <c r="N72" s="2">
        <v>0</v>
      </c>
      <c r="O72" t="s">
        <v>2087</v>
      </c>
      <c r="P72" t="s">
        <v>2306</v>
      </c>
    </row>
    <row r="73" spans="2:16">
      <c r="B73" t="s">
        <v>775</v>
      </c>
      <c r="E73" s="2">
        <v>802005</v>
      </c>
      <c r="F73" t="s">
        <v>2089</v>
      </c>
      <c r="J73" t="s">
        <v>429</v>
      </c>
      <c r="L73" s="2">
        <v>1179404</v>
      </c>
      <c r="M73" s="2">
        <v>1182405</v>
      </c>
      <c r="N73" s="2">
        <v>-3001</v>
      </c>
      <c r="O73" t="s">
        <v>2090</v>
      </c>
      <c r="P73" t="s">
        <v>2307</v>
      </c>
    </row>
    <row r="74" spans="2:16">
      <c r="B74" t="s">
        <v>778</v>
      </c>
      <c r="E74" s="2">
        <v>155000</v>
      </c>
      <c r="F74" t="s">
        <v>2092</v>
      </c>
      <c r="J74" t="s">
        <v>2093</v>
      </c>
      <c r="L74" s="2">
        <v>1152815</v>
      </c>
      <c r="M74" s="2">
        <v>1037205</v>
      </c>
      <c r="N74" s="2">
        <v>115610</v>
      </c>
      <c r="O74" t="s">
        <v>2175</v>
      </c>
      <c r="P74" t="s">
        <v>2308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47100</v>
      </c>
      <c r="M75" s="2">
        <v>47300</v>
      </c>
      <c r="N75" s="2">
        <v>-200</v>
      </c>
      <c r="O75" t="s">
        <v>2087</v>
      </c>
      <c r="P75" t="s">
        <v>2309</v>
      </c>
    </row>
    <row r="76" spans="2:16">
      <c r="B76" t="s">
        <v>783</v>
      </c>
      <c r="E76" s="2">
        <v>132900</v>
      </c>
      <c r="F76" t="s">
        <v>2099</v>
      </c>
      <c r="J76" t="s">
        <v>2100</v>
      </c>
      <c r="K76" s="2">
        <v>1650</v>
      </c>
      <c r="L76" s="2">
        <v>1650</v>
      </c>
      <c r="M76" s="2">
        <v>21000</v>
      </c>
      <c r="N76" s="2">
        <v>-19350</v>
      </c>
      <c r="O76" t="s">
        <v>2090</v>
      </c>
      <c r="P76" t="s">
        <v>2310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215860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215860</v>
      </c>
      <c r="N79" s="2">
        <v>-215860</v>
      </c>
      <c r="O79" t="s">
        <v>2175</v>
      </c>
      <c r="P79" t="s">
        <v>2311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2312</v>
      </c>
    </row>
    <row r="84" spans="2:15">
      <c r="B84" t="s">
        <v>806</v>
      </c>
      <c r="E84" s="2">
        <v>112674</v>
      </c>
      <c r="F84" t="s">
        <v>2123</v>
      </c>
    </row>
    <row r="85" spans="2:15">
      <c r="B85" t="s">
        <v>69</v>
      </c>
      <c r="E85" s="2">
        <v>313980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2893824</v>
      </c>
      <c r="F87" t="s">
        <v>2129</v>
      </c>
    </row>
    <row r="88" spans="2:15">
      <c r="B88" t="s">
        <v>2130</v>
      </c>
      <c r="E88" s="2">
        <v>2467170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46174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2313</v>
      </c>
      <c r="C3" s="4" t="s">
        <v>2314</v>
      </c>
      <c r="D3" s="4" t="s">
        <v>2315</v>
      </c>
      <c r="E3" s="4" t="s">
        <v>2316</v>
      </c>
      <c r="F3" s="4" t="s">
        <v>2317</v>
      </c>
      <c r="G3" s="4" t="s">
        <v>2318</v>
      </c>
      <c r="H3" s="4" t="s">
        <v>2319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451</v>
      </c>
      <c r="L5" s="4" t="s">
        <v>626</v>
      </c>
      <c r="M5" t="s">
        <v>453</v>
      </c>
      <c r="N5" t="s">
        <v>455</v>
      </c>
      <c r="O5" t="s">
        <v>454</v>
      </c>
      <c r="P5" s="5">
        <v>148870</v>
      </c>
      <c r="R5" s="5">
        <v>148870</v>
      </c>
      <c r="S5" s="5">
        <v>149000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626</v>
      </c>
      <c r="M6" t="s">
        <v>453</v>
      </c>
      <c r="N6" t="s">
        <v>455</v>
      </c>
      <c r="O6" t="s">
        <v>457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138056</v>
      </c>
      <c r="R7" s="5">
        <v>138056</v>
      </c>
      <c r="S7" s="5">
        <v>139000</v>
      </c>
    </row>
    <row r="8" spans="1:20">
      <c r="B8" s="4" t="s">
        <v>2320</v>
      </c>
      <c r="C8" s="4" t="s">
        <v>2321</v>
      </c>
      <c r="D8" s="4" t="s">
        <v>2322</v>
      </c>
      <c r="E8" s="4" t="s">
        <v>2323</v>
      </c>
      <c r="F8" s="4" t="s">
        <v>2324</v>
      </c>
      <c r="G8" s="4" t="s">
        <v>2325</v>
      </c>
      <c r="H8" s="4" t="s">
        <v>2326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48620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627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628</v>
      </c>
      <c r="M12" t="s">
        <v>478</v>
      </c>
      <c r="N12" t="s">
        <v>455</v>
      </c>
      <c r="O12" t="s">
        <v>479</v>
      </c>
      <c r="R12" s="5">
        <v>0</v>
      </c>
      <c r="S12" s="5">
        <v>0</v>
      </c>
    </row>
    <row r="13" spans="1:20">
      <c r="B13" s="4" t="s">
        <v>2327</v>
      </c>
      <c r="C13" s="4" t="s">
        <v>2328</v>
      </c>
      <c r="D13" s="4" t="s">
        <v>2329</v>
      </c>
      <c r="E13" s="4" t="s">
        <v>2330</v>
      </c>
      <c r="F13" s="4" t="s">
        <v>2331</v>
      </c>
      <c r="G13" s="4" t="s">
        <v>2332</v>
      </c>
      <c r="H13" s="4" t="s">
        <v>2333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18295</v>
      </c>
      <c r="R13" s="5">
        <v>18295</v>
      </c>
      <c r="S13" s="5">
        <v>19000</v>
      </c>
    </row>
    <row r="14" spans="1:20">
      <c r="A14" t="s">
        <v>446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193</v>
      </c>
      <c r="M14" t="s">
        <v>449</v>
      </c>
      <c r="N14" t="s">
        <v>455</v>
      </c>
      <c r="O14" t="s">
        <v>483</v>
      </c>
      <c r="P14" s="5">
        <v>18384</v>
      </c>
      <c r="R14" s="5">
        <v>18384</v>
      </c>
      <c r="S14" s="5">
        <v>19000</v>
      </c>
    </row>
    <row r="15" spans="1:20">
      <c r="A15" t="s">
        <v>445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178</v>
      </c>
      <c r="M15" t="s">
        <v>449</v>
      </c>
      <c r="N15" t="s">
        <v>455</v>
      </c>
      <c r="O15" t="s">
        <v>484</v>
      </c>
      <c r="P15" s="5">
        <v>8741</v>
      </c>
      <c r="R15" s="5">
        <v>8741</v>
      </c>
      <c r="S15" s="5">
        <v>9000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2334</v>
      </c>
      <c r="C18" s="4" t="s">
        <v>2335</v>
      </c>
      <c r="D18" s="4" t="s">
        <v>2336</v>
      </c>
      <c r="E18" s="4" t="s">
        <v>2337</v>
      </c>
      <c r="F18" s="4" t="s">
        <v>2338</v>
      </c>
      <c r="G18" s="4" t="s">
        <v>2339</v>
      </c>
      <c r="H18" s="4" t="s">
        <v>2340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10045</v>
      </c>
      <c r="R18" s="5">
        <v>10045</v>
      </c>
      <c r="S18" s="5">
        <v>11000</v>
      </c>
    </row>
    <row r="19" spans="1:20">
      <c r="A19" t="s">
        <v>446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495</v>
      </c>
      <c r="M19" t="s">
        <v>467</v>
      </c>
      <c r="N19" t="s">
        <v>497</v>
      </c>
      <c r="O19" t="s">
        <v>496</v>
      </c>
      <c r="P19" s="5">
        <v>7989</v>
      </c>
      <c r="R19" s="5">
        <v>7989</v>
      </c>
      <c r="S19" s="5">
        <v>8000</v>
      </c>
    </row>
    <row r="20" spans="1:20">
      <c r="A20" t="s">
        <v>445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629</v>
      </c>
    </row>
    <row r="23" spans="1:20">
      <c r="B23" s="4" t="s">
        <v>2341</v>
      </c>
      <c r="C23" s="4" t="s">
        <v>2342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630</v>
      </c>
    </row>
    <row r="24" spans="1:20">
      <c r="A24" t="s">
        <v>446</v>
      </c>
      <c r="B24" s="5">
        <v>51000</v>
      </c>
      <c r="C24" s="5">
        <v>38000</v>
      </c>
      <c r="I24" s="7">
        <v>89000</v>
      </c>
      <c r="K24" t="s">
        <v>418</v>
      </c>
      <c r="P24" s="5">
        <v>1162900</v>
      </c>
      <c r="R24" s="5">
        <v>1151446</v>
      </c>
      <c r="S24" s="5">
        <v>1152000</v>
      </c>
    </row>
    <row r="25" spans="1:20">
      <c r="A25" t="s">
        <v>445</v>
      </c>
      <c r="B25" s="5">
        <v>47500</v>
      </c>
      <c r="C25" s="5">
        <v>36660</v>
      </c>
      <c r="I25" s="7">
        <v>84160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46203</v>
      </c>
      <c r="M26" t="s">
        <v>1994</v>
      </c>
      <c r="P26" t="s">
        <v>2212</v>
      </c>
    </row>
    <row r="27" spans="1:20">
      <c r="G27" s="5">
        <v>1481000</v>
      </c>
      <c r="H27" s="5">
        <v>1441255</v>
      </c>
      <c r="I27" s="6">
        <v>4840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2004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538</v>
      </c>
      <c r="N36" s="2">
        <v>300000</v>
      </c>
      <c r="O36" s="2">
        <v>300000</v>
      </c>
      <c r="Q36" t="s">
        <v>2018</v>
      </c>
      <c r="S36" s="2">
        <v>100000</v>
      </c>
    </row>
    <row r="37" spans="1:20">
      <c r="B37" t="s">
        <v>445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418</v>
      </c>
      <c r="M38" s="2">
        <v>640000</v>
      </c>
      <c r="N38" s="2">
        <v>790000</v>
      </c>
      <c r="O38" s="2">
        <v>790000</v>
      </c>
      <c r="P38" s="2">
        <v>150000</v>
      </c>
      <c r="Q38" t="s">
        <v>2021</v>
      </c>
      <c r="S38" s="2">
        <v>20000</v>
      </c>
    </row>
    <row r="39" spans="1:20">
      <c r="B39" t="s">
        <v>2022</v>
      </c>
      <c r="C39" s="2">
        <v>-641255</v>
      </c>
      <c r="D39" s="2">
        <v>48554</v>
      </c>
      <c r="F39" s="2">
        <v>-150000</v>
      </c>
      <c r="G39" s="2">
        <v>0</v>
      </c>
      <c r="K39" t="s">
        <v>2343</v>
      </c>
      <c r="Q39" t="s">
        <v>418</v>
      </c>
      <c r="R39" s="2">
        <v>200000</v>
      </c>
      <c r="S39" s="2">
        <v>320000</v>
      </c>
      <c r="T39" s="2">
        <v>120000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3793000</v>
      </c>
      <c r="E41" s="2">
        <v>-1007260</v>
      </c>
      <c r="F41" t="s">
        <v>2302</v>
      </c>
      <c r="H41" s="2">
        <v>39745</v>
      </c>
      <c r="I41" s="2">
        <v>39745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3752701</v>
      </c>
      <c r="E42" s="2">
        <v>-966961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2785740</v>
      </c>
      <c r="E47" s="5">
        <v>1481000</v>
      </c>
      <c r="F47" s="5">
        <v>1481000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150000</v>
      </c>
      <c r="Q52" t="s">
        <v>2048</v>
      </c>
      <c r="R52" s="2">
        <v>1151446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1600000</v>
      </c>
      <c r="Q53" t="s">
        <v>2051</v>
      </c>
      <c r="R53" s="2">
        <v>1441255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50000</v>
      </c>
      <c r="S54" t="s">
        <v>2058</v>
      </c>
    </row>
    <row r="55" spans="2:19">
      <c r="B55" s="11">
        <v>46203</v>
      </c>
      <c r="C55" t="s">
        <v>554</v>
      </c>
      <c r="D55" t="s">
        <v>2344</v>
      </c>
      <c r="E55" s="2">
        <v>50000</v>
      </c>
      <c r="I55" s="2">
        <v>50000</v>
      </c>
      <c r="J55" s="2">
        <v>50000</v>
      </c>
      <c r="K55" t="s">
        <v>19</v>
      </c>
      <c r="L55" s="2">
        <v>0</v>
      </c>
      <c r="M55" s="2">
        <v>0</v>
      </c>
      <c r="N55" s="2">
        <v>0</v>
      </c>
      <c r="O55" s="2">
        <v>0</v>
      </c>
      <c r="Q55" t="s">
        <v>2059</v>
      </c>
      <c r="R55" s="2">
        <v>2642701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790000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1800000</v>
      </c>
      <c r="Q57" t="s">
        <v>1998</v>
      </c>
      <c r="R57" s="2">
        <v>320000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3752701</v>
      </c>
      <c r="S59" t="s">
        <v>2067</v>
      </c>
    </row>
    <row r="60" spans="2:19">
      <c r="Q60" t="s">
        <v>2068</v>
      </c>
      <c r="R60" s="2">
        <v>-966961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2642701</v>
      </c>
      <c r="S62" t="s">
        <v>2072</v>
      </c>
    </row>
    <row r="63" spans="2:19">
      <c r="Q63" t="s">
        <v>2073</v>
      </c>
      <c r="R63" s="2">
        <v>626802</v>
      </c>
      <c r="S63" t="s">
        <v>2218</v>
      </c>
    </row>
    <row r="64" spans="2:19">
      <c r="Q64" t="s">
        <v>2075</v>
      </c>
      <c r="R64" s="2">
        <v>1800000</v>
      </c>
      <c r="S64" t="s">
        <v>2076</v>
      </c>
    </row>
    <row r="65" spans="2:16">
      <c r="B65" t="s">
        <v>418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2345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1168152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2346</v>
      </c>
    </row>
    <row r="73" spans="2:16">
      <c r="B73" t="s">
        <v>775</v>
      </c>
      <c r="E73" s="2">
        <v>999182</v>
      </c>
      <c r="F73" t="s">
        <v>2089</v>
      </c>
      <c r="J73" t="s">
        <v>429</v>
      </c>
      <c r="L73" s="2">
        <v>1151446</v>
      </c>
      <c r="M73" s="2">
        <v>1168152</v>
      </c>
      <c r="N73" s="2">
        <v>-16706</v>
      </c>
      <c r="O73" t="s">
        <v>2090</v>
      </c>
      <c r="P73" t="s">
        <v>2347</v>
      </c>
    </row>
    <row r="74" spans="2:16">
      <c r="B74" t="s">
        <v>778</v>
      </c>
      <c r="E74" s="2">
        <v>162000</v>
      </c>
      <c r="F74" t="s">
        <v>2092</v>
      </c>
      <c r="J74" t="s">
        <v>2093</v>
      </c>
      <c r="L74" s="2">
        <v>1441255</v>
      </c>
      <c r="M74" s="2">
        <v>1422686</v>
      </c>
      <c r="N74" s="2">
        <v>18569</v>
      </c>
      <c r="O74" t="s">
        <v>2090</v>
      </c>
      <c r="P74" t="s">
        <v>2348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754</v>
      </c>
      <c r="N75" s="2">
        <v>-754</v>
      </c>
      <c r="O75" t="s">
        <v>2087</v>
      </c>
      <c r="P75" t="s">
        <v>2349</v>
      </c>
    </row>
    <row r="76" spans="2:16">
      <c r="B76" t="s">
        <v>783</v>
      </c>
      <c r="E76" s="2">
        <v>319820</v>
      </c>
      <c r="F76" t="s">
        <v>2099</v>
      </c>
      <c r="J76" t="s">
        <v>2100</v>
      </c>
      <c r="L76" s="2">
        <v>0</v>
      </c>
      <c r="M76" s="2">
        <v>21000</v>
      </c>
      <c r="N76" s="2">
        <v>-21000</v>
      </c>
      <c r="O76" t="s">
        <v>2090</v>
      </c>
      <c r="P76" t="s">
        <v>2350</v>
      </c>
    </row>
    <row r="77" spans="2:16">
      <c r="B77" t="s">
        <v>2102</v>
      </c>
      <c r="E77" s="2">
        <v>-29535</v>
      </c>
      <c r="F77" t="s">
        <v>2103</v>
      </c>
      <c r="J77" t="s">
        <v>2104</v>
      </c>
      <c r="L77" s="2">
        <v>790000</v>
      </c>
      <c r="M77" s="2">
        <v>790000</v>
      </c>
      <c r="N77" s="2">
        <v>0</v>
      </c>
      <c r="O77" t="s">
        <v>2087</v>
      </c>
      <c r="P77" t="s">
        <v>2351</v>
      </c>
    </row>
    <row r="78" spans="2:16">
      <c r="B78" t="s">
        <v>787</v>
      </c>
      <c r="E78" s="2">
        <v>94919</v>
      </c>
      <c r="F78" t="s">
        <v>2106</v>
      </c>
      <c r="J78" t="s">
        <v>2107</v>
      </c>
      <c r="L78" s="2">
        <v>120000</v>
      </c>
      <c r="M78" s="2">
        <v>120000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50000</v>
      </c>
      <c r="M79" s="2">
        <v>94919</v>
      </c>
      <c r="N79" s="2">
        <v>-44919</v>
      </c>
      <c r="O79" t="s">
        <v>2175</v>
      </c>
      <c r="P79" t="s">
        <v>2352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73601</v>
      </c>
      <c r="F82" t="s">
        <v>2118</v>
      </c>
      <c r="J82" t="s">
        <v>2353</v>
      </c>
      <c r="N82" s="2">
        <v>-100000</v>
      </c>
    </row>
    <row r="83" spans="2:15">
      <c r="B83" t="s">
        <v>2120</v>
      </c>
      <c r="E83" s="2">
        <v>0</v>
      </c>
      <c r="F83" t="s">
        <v>2121</v>
      </c>
      <c r="J83" t="s">
        <v>2354</v>
      </c>
      <c r="N83" s="2">
        <v>-300000</v>
      </c>
    </row>
    <row r="84" spans="2:15">
      <c r="B84" t="s">
        <v>806</v>
      </c>
      <c r="E84" s="2">
        <v>417736</v>
      </c>
      <c r="F84" t="s">
        <v>2123</v>
      </c>
      <c r="J84" t="s">
        <v>2124</v>
      </c>
      <c r="N84" s="2">
        <v>-400000</v>
      </c>
      <c r="O84" t="s">
        <v>2355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25500000</v>
      </c>
      <c r="F86" t="s">
        <v>2127</v>
      </c>
    </row>
    <row r="87" spans="2:15">
      <c r="B87" t="s">
        <v>2128</v>
      </c>
      <c r="E87" s="2">
        <v>28714410</v>
      </c>
      <c r="F87" t="s">
        <v>2129</v>
      </c>
    </row>
    <row r="88" spans="2:15">
      <c r="B88" t="s">
        <v>2130</v>
      </c>
      <c r="E88" s="2">
        <v>2693538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46204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2356</v>
      </c>
      <c r="E3" s="4" t="s">
        <v>2357</v>
      </c>
      <c r="F3" s="4" t="s">
        <v>2358</v>
      </c>
      <c r="G3" s="4" t="s">
        <v>2359</v>
      </c>
      <c r="H3" s="4" t="s">
        <v>2360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451</v>
      </c>
      <c r="L5" s="4" t="s">
        <v>635</v>
      </c>
      <c r="M5" t="s">
        <v>453</v>
      </c>
      <c r="N5" t="s">
        <v>455</v>
      </c>
      <c r="O5" t="s">
        <v>454</v>
      </c>
      <c r="R5" s="5">
        <v>0</v>
      </c>
      <c r="S5" s="5">
        <v>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635</v>
      </c>
      <c r="M6" t="s">
        <v>453</v>
      </c>
      <c r="N6" t="s">
        <v>455</v>
      </c>
      <c r="O6" t="s">
        <v>457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2361</v>
      </c>
      <c r="C8" s="4" t="s">
        <v>2362</v>
      </c>
      <c r="D8" s="4" t="s">
        <v>2363</v>
      </c>
      <c r="E8" s="4" t="s">
        <v>2364</v>
      </c>
      <c r="F8" s="4" t="s">
        <v>2365</v>
      </c>
      <c r="G8" s="4" t="s">
        <v>2366</v>
      </c>
      <c r="H8" s="4" t="s">
        <v>2367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637</v>
      </c>
      <c r="M12" t="s">
        <v>171</v>
      </c>
      <c r="N12" t="s">
        <v>455</v>
      </c>
      <c r="O12" t="s">
        <v>638</v>
      </c>
      <c r="P12" s="5">
        <v>30000</v>
      </c>
      <c r="R12" s="5">
        <v>30000</v>
      </c>
      <c r="S12" s="5">
        <v>30000</v>
      </c>
    </row>
    <row r="13" spans="1:20">
      <c r="B13" s="4" t="s">
        <v>2368</v>
      </c>
      <c r="C13" s="4" t="s">
        <v>2369</v>
      </c>
      <c r="D13" s="4" t="s">
        <v>2370</v>
      </c>
      <c r="E13" s="4" t="s">
        <v>2371</v>
      </c>
      <c r="F13" s="4" t="s">
        <v>2372</v>
      </c>
      <c r="G13" s="4" t="s">
        <v>2373</v>
      </c>
      <c r="H13" s="4" t="s">
        <v>2374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15217</v>
      </c>
      <c r="R13" s="5">
        <v>15217</v>
      </c>
      <c r="S13" s="5">
        <v>16000</v>
      </c>
    </row>
    <row r="14" spans="1:20">
      <c r="A14" t="s">
        <v>446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193</v>
      </c>
      <c r="M14" t="s">
        <v>449</v>
      </c>
      <c r="N14" t="s">
        <v>455</v>
      </c>
      <c r="O14" t="s">
        <v>483</v>
      </c>
      <c r="P14" s="5">
        <v>17952</v>
      </c>
      <c r="R14" s="5">
        <v>17952</v>
      </c>
      <c r="S14" s="5">
        <v>18000</v>
      </c>
    </row>
    <row r="15" spans="1:20">
      <c r="A15" t="s">
        <v>445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178</v>
      </c>
      <c r="M15" t="s">
        <v>449</v>
      </c>
      <c r="N15" t="s">
        <v>455</v>
      </c>
      <c r="O15" t="s">
        <v>484</v>
      </c>
      <c r="P15" s="5">
        <v>7918</v>
      </c>
      <c r="R15" s="5">
        <v>7918</v>
      </c>
      <c r="S15" s="5">
        <v>8000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2375</v>
      </c>
      <c r="C18" s="4" t="s">
        <v>2376</v>
      </c>
      <c r="D18" s="4" t="s">
        <v>2377</v>
      </c>
      <c r="E18" s="4" t="s">
        <v>2378</v>
      </c>
      <c r="F18" s="4" t="s">
        <v>2379</v>
      </c>
      <c r="G18" s="4" t="s">
        <v>2380</v>
      </c>
      <c r="H18" s="4" t="s">
        <v>2381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10770</v>
      </c>
      <c r="R18" s="5">
        <v>10770</v>
      </c>
      <c r="S18" s="5">
        <v>11000</v>
      </c>
    </row>
    <row r="19" spans="1:20">
      <c r="A19" t="s">
        <v>446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495</v>
      </c>
      <c r="M19" t="s">
        <v>467</v>
      </c>
      <c r="N19" t="s">
        <v>497</v>
      </c>
      <c r="O19" t="s">
        <v>496</v>
      </c>
      <c r="P19" s="5">
        <v>7596</v>
      </c>
      <c r="R19" s="5">
        <v>7596</v>
      </c>
      <c r="S19" s="5">
        <v>8000</v>
      </c>
    </row>
    <row r="20" spans="1:20">
      <c r="A20" t="s">
        <v>445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639</v>
      </c>
    </row>
    <row r="23" spans="1:20">
      <c r="B23" s="4" t="s">
        <v>2382</v>
      </c>
      <c r="C23" s="4" t="s">
        <v>2383</v>
      </c>
      <c r="D23" s="4" t="s">
        <v>2384</v>
      </c>
      <c r="E23" s="4" t="s">
        <v>2385</v>
      </c>
      <c r="F23" s="4" t="s">
        <v>2386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509</v>
      </c>
    </row>
    <row r="24" spans="1:20">
      <c r="A24" t="s">
        <v>446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621</v>
      </c>
    </row>
    <row r="25" spans="1:20">
      <c r="A25" t="s">
        <v>445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418</v>
      </c>
      <c r="P25" s="5">
        <v>1093569</v>
      </c>
      <c r="R25" s="5">
        <v>1090778</v>
      </c>
      <c r="S25" s="5">
        <v>1091000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46234</v>
      </c>
      <c r="M26" t="s">
        <v>1994</v>
      </c>
      <c r="P26" t="s">
        <v>2210</v>
      </c>
    </row>
    <row r="27" spans="1:20">
      <c r="G27" s="5">
        <v>1519000</v>
      </c>
      <c r="H27" s="5">
        <v>1477534</v>
      </c>
      <c r="I27" s="6">
        <v>6370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250000</v>
      </c>
      <c r="C30" t="s">
        <v>522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250000</v>
      </c>
      <c r="C31" t="s">
        <v>445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2004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2006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538</v>
      </c>
      <c r="N36" s="2">
        <v>0</v>
      </c>
      <c r="O36" s="2">
        <v>0</v>
      </c>
      <c r="Q36" t="s">
        <v>2018</v>
      </c>
      <c r="S36" s="2">
        <v>150000</v>
      </c>
    </row>
    <row r="37" spans="1:20">
      <c r="B37" t="s">
        <v>445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539</v>
      </c>
      <c r="M37" s="2">
        <v>200000</v>
      </c>
      <c r="N37" s="2">
        <v>0</v>
      </c>
      <c r="O37" s="2">
        <v>0</v>
      </c>
      <c r="P37" s="2">
        <v>-200000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418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2021</v>
      </c>
      <c r="S38" s="2">
        <v>20000</v>
      </c>
    </row>
    <row r="39" spans="1:20">
      <c r="B39" t="s">
        <v>2022</v>
      </c>
      <c r="C39" s="2">
        <v>-677534</v>
      </c>
      <c r="D39" s="2">
        <v>109222</v>
      </c>
      <c r="F39" s="2">
        <v>350000</v>
      </c>
      <c r="G39" s="2">
        <v>0</v>
      </c>
      <c r="K39" t="s">
        <v>2023</v>
      </c>
      <c r="Q39" t="s">
        <v>418</v>
      </c>
      <c r="R39" s="2">
        <v>250000</v>
      </c>
      <c r="S39" s="2">
        <v>420000</v>
      </c>
      <c r="T39" s="2">
        <v>170000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250000</v>
      </c>
      <c r="T40" s="2">
        <v>0</v>
      </c>
    </row>
    <row r="41" spans="1:20">
      <c r="B41" t="s">
        <v>522</v>
      </c>
      <c r="C41" s="2">
        <v>2776050</v>
      </c>
      <c r="D41" s="2">
        <v>3350000</v>
      </c>
      <c r="E41" s="2">
        <v>-573950</v>
      </c>
      <c r="F41" t="s">
        <v>2302</v>
      </c>
      <c r="H41" s="2">
        <v>41466</v>
      </c>
      <c r="I41" s="2">
        <v>41466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3307712</v>
      </c>
      <c r="E42" s="2">
        <v>-531662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1519000</v>
      </c>
      <c r="F47" s="5">
        <v>1519000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300000</v>
      </c>
      <c r="Q52" t="s">
        <v>2048</v>
      </c>
      <c r="R52" s="2">
        <v>1090778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300000</v>
      </c>
      <c r="N53" s="2">
        <v>-300000</v>
      </c>
      <c r="O53" s="2">
        <v>1600000</v>
      </c>
      <c r="Q53" t="s">
        <v>2051</v>
      </c>
      <c r="R53" s="2">
        <v>1477534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29400</v>
      </c>
      <c r="S54" t="s">
        <v>2058</v>
      </c>
    </row>
    <row r="55" spans="2:19">
      <c r="B55" s="11">
        <v>46210</v>
      </c>
      <c r="C55" t="s">
        <v>554</v>
      </c>
      <c r="D55" t="s">
        <v>108</v>
      </c>
      <c r="E55" s="2">
        <v>29400</v>
      </c>
      <c r="I55" s="2">
        <v>29400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100000</v>
      </c>
      <c r="Q55" t="s">
        <v>2059</v>
      </c>
      <c r="R55" s="2">
        <v>2597712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0</v>
      </c>
      <c r="M57" s="2">
        <v>300000</v>
      </c>
      <c r="N57" s="2">
        <v>-300000</v>
      </c>
      <c r="O57" s="2">
        <v>2050000</v>
      </c>
      <c r="Q57" t="s">
        <v>1998</v>
      </c>
      <c r="R57" s="2">
        <v>420000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3307712</v>
      </c>
      <c r="S59" t="s">
        <v>2067</v>
      </c>
    </row>
    <row r="60" spans="2:19">
      <c r="Q60" t="s">
        <v>2068</v>
      </c>
      <c r="R60" s="2">
        <v>-531662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2597712</v>
      </c>
      <c r="S62" t="s">
        <v>2072</v>
      </c>
    </row>
    <row r="63" spans="2:19">
      <c r="Q63" t="s">
        <v>2073</v>
      </c>
      <c r="R63" s="2">
        <v>-498498</v>
      </c>
      <c r="S63" t="s">
        <v>2218</v>
      </c>
    </row>
    <row r="64" spans="2:19">
      <c r="Q64" t="s">
        <v>2075</v>
      </c>
      <c r="R64" s="2">
        <v>2050000</v>
      </c>
      <c r="S64" t="s">
        <v>2076</v>
      </c>
    </row>
    <row r="65" spans="2:16">
      <c r="B65" t="s">
        <v>418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2387</v>
      </c>
    </row>
    <row r="70" spans="2:16">
      <c r="B70" t="s">
        <v>2388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1137565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2389</v>
      </c>
    </row>
    <row r="73" spans="2:16">
      <c r="B73" t="s">
        <v>775</v>
      </c>
      <c r="E73" s="2">
        <v>982590</v>
      </c>
      <c r="F73" t="s">
        <v>2089</v>
      </c>
      <c r="J73" t="s">
        <v>429</v>
      </c>
      <c r="L73" s="2">
        <v>1090778</v>
      </c>
      <c r="M73" s="2">
        <v>1137565</v>
      </c>
      <c r="N73" s="2">
        <v>-46787</v>
      </c>
      <c r="O73" t="s">
        <v>2175</v>
      </c>
      <c r="P73" t="s">
        <v>2390</v>
      </c>
    </row>
    <row r="74" spans="2:16">
      <c r="B74" t="s">
        <v>778</v>
      </c>
      <c r="E74" s="2">
        <v>153500</v>
      </c>
      <c r="F74" t="s">
        <v>2092</v>
      </c>
      <c r="J74" t="s">
        <v>2093</v>
      </c>
      <c r="L74" s="2">
        <v>1477534</v>
      </c>
      <c r="M74" s="2">
        <v>1422524</v>
      </c>
      <c r="N74" s="2">
        <v>55010</v>
      </c>
      <c r="O74" t="s">
        <v>2175</v>
      </c>
      <c r="P74" t="s">
        <v>2391</v>
      </c>
    </row>
    <row r="75" spans="2:16">
      <c r="B75" t="s">
        <v>2095</v>
      </c>
      <c r="E75" s="2">
        <v>-40619</v>
      </c>
      <c r="F75" t="s">
        <v>2096</v>
      </c>
      <c r="J75" t="s">
        <v>2097</v>
      </c>
      <c r="L75" s="2">
        <v>0</v>
      </c>
      <c r="M75" s="2">
        <v>36160</v>
      </c>
      <c r="N75" s="2">
        <v>-36160</v>
      </c>
      <c r="O75" t="s">
        <v>2175</v>
      </c>
      <c r="P75" t="s">
        <v>2392</v>
      </c>
    </row>
    <row r="76" spans="2:16">
      <c r="B76" t="s">
        <v>783</v>
      </c>
      <c r="E76" s="2">
        <v>562184</v>
      </c>
      <c r="F76" t="s">
        <v>2099</v>
      </c>
      <c r="J76" t="s">
        <v>2100</v>
      </c>
      <c r="L76" s="2">
        <v>0</v>
      </c>
      <c r="M76" s="2">
        <v>40619</v>
      </c>
      <c r="N76" s="2">
        <v>-40619</v>
      </c>
      <c r="O76" t="s">
        <v>2175</v>
      </c>
      <c r="P76" t="s">
        <v>2393</v>
      </c>
    </row>
    <row r="77" spans="2:16">
      <c r="B77" t="s">
        <v>2102</v>
      </c>
      <c r="E77" s="2">
        <v>-155955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2394</v>
      </c>
    </row>
    <row r="78" spans="2:16">
      <c r="B78" t="s">
        <v>787</v>
      </c>
      <c r="E78" s="2">
        <v>49200</v>
      </c>
      <c r="F78" t="s">
        <v>2106</v>
      </c>
      <c r="J78" t="s">
        <v>2107</v>
      </c>
      <c r="L78" s="2">
        <v>170000</v>
      </c>
      <c r="M78" s="2">
        <v>195000</v>
      </c>
      <c r="N78" s="2">
        <v>-25000</v>
      </c>
      <c r="O78" t="s">
        <v>2090</v>
      </c>
      <c r="P78" t="s">
        <v>2395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29400</v>
      </c>
      <c r="M79" s="2">
        <v>368700</v>
      </c>
      <c r="N79" s="2">
        <v>-339300</v>
      </c>
      <c r="O79" t="s">
        <v>2175</v>
      </c>
      <c r="P79" t="s">
        <v>2396</v>
      </c>
    </row>
    <row r="80" spans="2:16">
      <c r="B80" t="s">
        <v>2111</v>
      </c>
      <c r="E80" s="2">
        <v>319500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1058230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1439570</v>
      </c>
      <c r="F83" t="s">
        <v>2121</v>
      </c>
      <c r="J83" t="s">
        <v>2398</v>
      </c>
      <c r="N83" s="2">
        <v>-150000</v>
      </c>
    </row>
    <row r="84" spans="2:15">
      <c r="B84" t="s">
        <v>806</v>
      </c>
      <c r="E84" s="2">
        <v>103713</v>
      </c>
      <c r="F84" t="s">
        <v>2123</v>
      </c>
      <c r="J84" t="s">
        <v>2399</v>
      </c>
      <c r="N84" s="2">
        <v>-50000</v>
      </c>
    </row>
    <row r="85" spans="2:15">
      <c r="B85" t="s">
        <v>69</v>
      </c>
      <c r="E85" s="2">
        <v>0</v>
      </c>
      <c r="F85" t="s">
        <v>2126</v>
      </c>
      <c r="J85" t="s">
        <v>2400</v>
      </c>
      <c r="N85" s="2">
        <v>200000</v>
      </c>
    </row>
    <row r="86" spans="2:15">
      <c r="B86" t="s">
        <v>809</v>
      </c>
      <c r="E86" s="2">
        <v>9500000</v>
      </c>
      <c r="F86" t="s">
        <v>2127</v>
      </c>
      <c r="J86" t="s">
        <v>2401</v>
      </c>
      <c r="N86" s="2">
        <v>319500</v>
      </c>
    </row>
    <row r="87" spans="2:15">
      <c r="B87" t="s">
        <v>2128</v>
      </c>
      <c r="E87" s="2">
        <v>15265433</v>
      </c>
      <c r="F87" t="s">
        <v>2129</v>
      </c>
      <c r="J87" t="s">
        <v>2124</v>
      </c>
      <c r="N87" s="2">
        <v>309810</v>
      </c>
      <c r="O87" t="s">
        <v>2402</v>
      </c>
    </row>
    <row r="88" spans="2:15">
      <c r="B88" t="s">
        <v>2130</v>
      </c>
      <c r="E88" s="2">
        <v>3007965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46235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2403</v>
      </c>
      <c r="G3" s="4" t="s">
        <v>2404</v>
      </c>
      <c r="H3" s="4" t="s">
        <v>2405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302000</v>
      </c>
      <c r="G4" s="5">
        <v>124000</v>
      </c>
      <c r="H4" s="5">
        <v>132000</v>
      </c>
      <c r="I4" s="5">
        <v>558000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B5" s="5">
        <v>296590</v>
      </c>
      <c r="G5" s="5">
        <v>120400</v>
      </c>
      <c r="H5" s="5">
        <v>130690</v>
      </c>
      <c r="I5" s="5">
        <v>547680</v>
      </c>
      <c r="K5" t="s">
        <v>451</v>
      </c>
      <c r="L5" s="4" t="s">
        <v>648</v>
      </c>
      <c r="M5" t="s">
        <v>453</v>
      </c>
      <c r="N5" t="s">
        <v>455</v>
      </c>
      <c r="O5" t="s">
        <v>454</v>
      </c>
      <c r="P5" s="5">
        <v>59600</v>
      </c>
      <c r="R5" s="5">
        <v>59600</v>
      </c>
      <c r="S5" s="5">
        <v>60000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648</v>
      </c>
      <c r="M6" t="s">
        <v>453</v>
      </c>
      <c r="N6" t="s">
        <v>455</v>
      </c>
      <c r="O6" t="s">
        <v>457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2406</v>
      </c>
      <c r="C8" s="4" t="s">
        <v>2407</v>
      </c>
      <c r="D8" s="4" t="s">
        <v>2408</v>
      </c>
      <c r="E8" s="4" t="s">
        <v>2409</v>
      </c>
      <c r="F8" s="4" t="s">
        <v>2410</v>
      </c>
      <c r="G8" s="4" t="s">
        <v>2411</v>
      </c>
      <c r="H8" s="4" t="s">
        <v>2412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43420</v>
      </c>
      <c r="R10" s="5">
        <v>43420</v>
      </c>
      <c r="S10" s="5">
        <v>44000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651</v>
      </c>
      <c r="N12" t="s">
        <v>653</v>
      </c>
      <c r="O12" t="s">
        <v>652</v>
      </c>
      <c r="P12" s="5">
        <v>7448</v>
      </c>
      <c r="R12" s="5">
        <v>7448</v>
      </c>
      <c r="S12" s="5">
        <v>8000</v>
      </c>
    </row>
    <row r="13" spans="1:20">
      <c r="B13" s="4" t="s">
        <v>2413</v>
      </c>
      <c r="C13" s="4" t="s">
        <v>2414</v>
      </c>
      <c r="D13" s="4" t="s">
        <v>2415</v>
      </c>
      <c r="E13" s="4" t="s">
        <v>2416</v>
      </c>
      <c r="F13" s="4" t="s">
        <v>2417</v>
      </c>
      <c r="G13" s="4" t="s">
        <v>2418</v>
      </c>
      <c r="H13" s="4" t="s">
        <v>2419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445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2420</v>
      </c>
      <c r="C18" s="4" t="s">
        <v>2421</v>
      </c>
      <c r="D18" s="4" t="s">
        <v>2422</v>
      </c>
      <c r="E18" s="4" t="s">
        <v>2423</v>
      </c>
      <c r="F18" s="4" t="s">
        <v>2424</v>
      </c>
      <c r="G18" s="4" t="s">
        <v>2425</v>
      </c>
      <c r="H18" s="4" t="s">
        <v>2426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10355</v>
      </c>
      <c r="R18" s="5">
        <v>10355</v>
      </c>
      <c r="S18" s="5">
        <v>11000</v>
      </c>
    </row>
    <row r="19" spans="1:20">
      <c r="A19" t="s">
        <v>446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495</v>
      </c>
      <c r="M19" t="s">
        <v>467</v>
      </c>
      <c r="N19" t="s">
        <v>497</v>
      </c>
      <c r="O19" t="s">
        <v>496</v>
      </c>
      <c r="P19" s="5">
        <v>8701</v>
      </c>
      <c r="R19" s="5">
        <v>8701</v>
      </c>
      <c r="S19" s="5">
        <v>9000</v>
      </c>
    </row>
    <row r="20" spans="1:20">
      <c r="A20" t="s">
        <v>445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498</v>
      </c>
      <c r="M20" t="s">
        <v>467</v>
      </c>
      <c r="N20" t="s">
        <v>494</v>
      </c>
      <c r="O20" t="s">
        <v>499</v>
      </c>
      <c r="P20" s="5">
        <v>0</v>
      </c>
      <c r="R20" s="5">
        <v>0</v>
      </c>
      <c r="S20" s="5">
        <v>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656</v>
      </c>
    </row>
    <row r="23" spans="1:20">
      <c r="B23" s="4" t="s">
        <v>2427</v>
      </c>
      <c r="C23" s="4" t="s">
        <v>2428</v>
      </c>
      <c r="D23" s="4" t="s">
        <v>2429</v>
      </c>
      <c r="E23" s="4" t="s">
        <v>2430</v>
      </c>
      <c r="F23" s="4" t="s">
        <v>2431</v>
      </c>
      <c r="G23" s="4" t="s">
        <v>2432</v>
      </c>
      <c r="H23" s="4" t="s">
        <v>2433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595</v>
      </c>
    </row>
    <row r="24" spans="1:20">
      <c r="A24" t="s">
        <v>446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630</v>
      </c>
    </row>
    <row r="25" spans="1:20">
      <c r="A25" t="s">
        <v>445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418</v>
      </c>
      <c r="P25" s="5">
        <v>1052310</v>
      </c>
      <c r="R25" s="5">
        <v>1052310</v>
      </c>
      <c r="S25" s="5">
        <v>1053000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2210</v>
      </c>
    </row>
    <row r="27" spans="1:20">
      <c r="G27" s="5">
        <v>2354000</v>
      </c>
      <c r="H27" s="5">
        <v>2299443</v>
      </c>
      <c r="I27" s="6">
        <v>8470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100000</v>
      </c>
      <c r="C30" t="s">
        <v>522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220000</v>
      </c>
      <c r="C31" t="s">
        <v>445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2004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2006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100000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2023</v>
      </c>
      <c r="Q39" t="s">
        <v>418</v>
      </c>
      <c r="R39" s="2">
        <v>300000</v>
      </c>
      <c r="S39" s="2">
        <v>570000</v>
      </c>
      <c r="T39" s="2">
        <v>270000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250000</v>
      </c>
      <c r="T40" s="2">
        <v>-50000</v>
      </c>
    </row>
    <row r="41" spans="1:20">
      <c r="B41" t="s">
        <v>522</v>
      </c>
      <c r="C41" s="2">
        <v>2776050</v>
      </c>
      <c r="D41" s="2">
        <v>4494000</v>
      </c>
      <c r="E41" s="2">
        <v>-1717950</v>
      </c>
      <c r="F41" t="s">
        <v>2302</v>
      </c>
      <c r="H41" s="2">
        <v>54557</v>
      </c>
      <c r="I41" s="2">
        <v>54557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4437864</v>
      </c>
      <c r="E42" s="2">
        <v>-1661814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46265</v>
      </c>
    </row>
    <row r="45" spans="1:20">
      <c r="B45" t="s">
        <v>520</v>
      </c>
      <c r="E45" t="s">
        <v>2166</v>
      </c>
      <c r="I45" t="s">
        <v>439</v>
      </c>
      <c r="J45" t="s">
        <v>2434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30000</v>
      </c>
    </row>
    <row r="47" spans="1:20">
      <c r="B47" t="s">
        <v>66</v>
      </c>
      <c r="C47" s="2">
        <v>2776050</v>
      </c>
      <c r="E47" s="5">
        <v>2354000</v>
      </c>
      <c r="F47" s="5">
        <v>2354000</v>
      </c>
      <c r="G47" t="b">
        <v>1</v>
      </c>
      <c r="H47" t="s">
        <v>2040</v>
      </c>
      <c r="I47" t="s">
        <v>445</v>
      </c>
      <c r="J47" s="5">
        <v>30000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450000</v>
      </c>
      <c r="Q52" t="s">
        <v>2048</v>
      </c>
      <c r="R52" s="2">
        <v>1052310</v>
      </c>
      <c r="S52" t="s">
        <v>2049</v>
      </c>
    </row>
    <row r="53" spans="2:19">
      <c r="B53" t="s">
        <v>2050</v>
      </c>
      <c r="K53" t="s">
        <v>17</v>
      </c>
      <c r="L53" s="2">
        <v>300000</v>
      </c>
      <c r="M53" s="2">
        <v>0</v>
      </c>
      <c r="N53" s="2">
        <v>300000</v>
      </c>
      <c r="O53" s="2">
        <v>1300000</v>
      </c>
      <c r="P53" t="s">
        <v>2435</v>
      </c>
      <c r="Q53" t="s">
        <v>2051</v>
      </c>
      <c r="R53" s="2">
        <v>2299443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256111</v>
      </c>
      <c r="S54" t="s">
        <v>2058</v>
      </c>
    </row>
    <row r="55" spans="2:19">
      <c r="B55" s="11">
        <v>46243</v>
      </c>
      <c r="C55" t="s">
        <v>68</v>
      </c>
      <c r="D55" t="s">
        <v>657</v>
      </c>
      <c r="E55" s="2">
        <v>192311</v>
      </c>
      <c r="F55" s="2">
        <v>96000</v>
      </c>
      <c r="I55" s="2">
        <v>96311</v>
      </c>
      <c r="J55" s="2">
        <v>97000</v>
      </c>
      <c r="K55" t="s">
        <v>19</v>
      </c>
      <c r="L55" s="2">
        <v>0</v>
      </c>
      <c r="M55" s="2">
        <v>0</v>
      </c>
      <c r="N55" s="2">
        <v>0</v>
      </c>
      <c r="O55" s="2">
        <v>200000</v>
      </c>
      <c r="Q55" t="s">
        <v>2059</v>
      </c>
      <c r="R55" s="2">
        <v>3607864</v>
      </c>
      <c r="S55" t="s">
        <v>2060</v>
      </c>
    </row>
    <row r="56" spans="2:19">
      <c r="B56" s="11">
        <v>46244</v>
      </c>
      <c r="C56" t="s">
        <v>554</v>
      </c>
      <c r="D56" t="s">
        <v>2436</v>
      </c>
      <c r="E56" s="2">
        <v>30800</v>
      </c>
      <c r="I56" s="2">
        <v>30800</v>
      </c>
      <c r="J56" s="2">
        <v>31000</v>
      </c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B57" s="11">
        <v>46250</v>
      </c>
      <c r="C57" t="s">
        <v>554</v>
      </c>
      <c r="D57" t="s">
        <v>631</v>
      </c>
      <c r="E57" s="2">
        <v>129000</v>
      </c>
      <c r="I57" s="2">
        <v>129000</v>
      </c>
      <c r="J57" s="2">
        <v>129000</v>
      </c>
      <c r="K57" t="s">
        <v>418</v>
      </c>
      <c r="L57" s="2">
        <v>300000</v>
      </c>
      <c r="M57" s="2">
        <v>0</v>
      </c>
      <c r="N57" s="2">
        <v>300000</v>
      </c>
      <c r="O57" s="2">
        <v>2000000</v>
      </c>
      <c r="Q57" t="s">
        <v>1998</v>
      </c>
      <c r="R57" s="2">
        <v>570000</v>
      </c>
      <c r="S57" t="s">
        <v>2062</v>
      </c>
    </row>
    <row r="58" spans="2:19">
      <c r="B58" s="11">
        <v>46264</v>
      </c>
      <c r="C58" t="s">
        <v>68</v>
      </c>
      <c r="D58" t="s">
        <v>2437</v>
      </c>
      <c r="E58" s="2">
        <v>255880</v>
      </c>
      <c r="G58" s="2">
        <v>255880</v>
      </c>
      <c r="H58" t="s">
        <v>17</v>
      </c>
      <c r="I58" s="2">
        <v>0</v>
      </c>
      <c r="J58" s="2">
        <v>0</v>
      </c>
      <c r="Q58" t="s">
        <v>2064</v>
      </c>
      <c r="R58" s="2">
        <v>30000</v>
      </c>
      <c r="S58" t="s">
        <v>2065</v>
      </c>
    </row>
    <row r="59" spans="2:19">
      <c r="Q59" t="s">
        <v>2066</v>
      </c>
      <c r="R59" s="2">
        <v>4437864</v>
      </c>
      <c r="S59" t="s">
        <v>2067</v>
      </c>
    </row>
    <row r="60" spans="2:19">
      <c r="Q60" t="s">
        <v>2068</v>
      </c>
      <c r="R60" s="2">
        <v>-1661814</v>
      </c>
      <c r="S60" t="s">
        <v>2302</v>
      </c>
    </row>
    <row r="61" spans="2:19">
      <c r="Q61" t="s">
        <v>2069</v>
      </c>
      <c r="R61" s="2">
        <v>300000</v>
      </c>
      <c r="S61" t="s">
        <v>2070</v>
      </c>
    </row>
    <row r="62" spans="2:19">
      <c r="Q62" t="s">
        <v>2071</v>
      </c>
      <c r="R62" s="2">
        <v>3907864</v>
      </c>
      <c r="S62" t="s">
        <v>2072</v>
      </c>
    </row>
    <row r="63" spans="2:19">
      <c r="Q63" t="s">
        <v>2073</v>
      </c>
      <c r="R63" s="2">
        <v>0</v>
      </c>
      <c r="S63" t="s">
        <v>2218</v>
      </c>
    </row>
    <row r="64" spans="2:19">
      <c r="Q64" t="s">
        <v>2075</v>
      </c>
      <c r="R64" s="2">
        <v>2000000</v>
      </c>
      <c r="S64" t="s">
        <v>2076</v>
      </c>
    </row>
    <row r="65" spans="2:16">
      <c r="B65" t="s">
        <v>418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2438</v>
      </c>
    </row>
    <row r="70" spans="2:16">
      <c r="B70" t="s">
        <v>2439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1139643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2440</v>
      </c>
    </row>
    <row r="73" spans="2:16">
      <c r="B73" t="s">
        <v>775</v>
      </c>
      <c r="E73" s="2">
        <v>1125550</v>
      </c>
      <c r="F73" t="s">
        <v>2089</v>
      </c>
      <c r="J73" t="s">
        <v>429</v>
      </c>
      <c r="L73" s="2">
        <v>1052310</v>
      </c>
      <c r="M73" s="2">
        <v>1139643</v>
      </c>
      <c r="N73" s="2">
        <v>-87333</v>
      </c>
      <c r="O73" t="s">
        <v>2175</v>
      </c>
      <c r="P73" t="s">
        <v>2441</v>
      </c>
    </row>
    <row r="74" spans="2:16">
      <c r="B74" t="s">
        <v>778</v>
      </c>
      <c r="E74" s="2">
        <v>154500</v>
      </c>
      <c r="F74" t="s">
        <v>2092</v>
      </c>
      <c r="J74" t="s">
        <v>2093</v>
      </c>
      <c r="L74" s="2">
        <v>2299443</v>
      </c>
      <c r="M74" s="2">
        <v>1490300</v>
      </c>
      <c r="N74" s="2">
        <v>809143</v>
      </c>
      <c r="O74" t="s">
        <v>2175</v>
      </c>
      <c r="P74" t="s">
        <v>2442</v>
      </c>
    </row>
    <row r="75" spans="2:16">
      <c r="B75" t="s">
        <v>2095</v>
      </c>
      <c r="E75" s="2">
        <v>-92163</v>
      </c>
      <c r="F75" t="s">
        <v>2096</v>
      </c>
      <c r="J75" t="s">
        <v>2097</v>
      </c>
      <c r="L75" s="2">
        <v>30000</v>
      </c>
      <c r="M75" s="2">
        <v>35100</v>
      </c>
      <c r="N75" s="2">
        <v>-5100</v>
      </c>
      <c r="O75" t="s">
        <v>2090</v>
      </c>
      <c r="P75" t="s">
        <v>2443</v>
      </c>
    </row>
    <row r="76" spans="2:16">
      <c r="B76" t="s">
        <v>783</v>
      </c>
      <c r="E76" s="2">
        <v>520510</v>
      </c>
      <c r="F76" t="s">
        <v>2099</v>
      </c>
      <c r="J76" t="s">
        <v>2100</v>
      </c>
      <c r="K76" s="2">
        <v>9000</v>
      </c>
      <c r="L76" s="2">
        <v>9000</v>
      </c>
      <c r="M76" s="2">
        <v>92163</v>
      </c>
      <c r="N76" s="2">
        <v>-83163</v>
      </c>
      <c r="O76" t="s">
        <v>2175</v>
      </c>
      <c r="P76" t="s">
        <v>2444</v>
      </c>
    </row>
    <row r="77" spans="2:16">
      <c r="B77" t="s">
        <v>2102</v>
      </c>
      <c r="E77" s="2">
        <v>-172680</v>
      </c>
      <c r="F77" t="s">
        <v>2103</v>
      </c>
      <c r="J77" t="s">
        <v>2104</v>
      </c>
      <c r="L77" s="2">
        <v>290000</v>
      </c>
      <c r="M77" s="2">
        <v>360000</v>
      </c>
      <c r="N77" s="2">
        <v>-70000</v>
      </c>
      <c r="O77" t="s">
        <v>2175</v>
      </c>
      <c r="P77" t="s">
        <v>2445</v>
      </c>
    </row>
    <row r="78" spans="2:16">
      <c r="B78" t="s">
        <v>787</v>
      </c>
      <c r="E78" s="2">
        <v>212200</v>
      </c>
      <c r="F78" t="s">
        <v>2106</v>
      </c>
      <c r="J78" t="s">
        <v>2107</v>
      </c>
      <c r="L78" s="2">
        <v>320000</v>
      </c>
      <c r="M78" s="2">
        <v>370000</v>
      </c>
      <c r="N78" s="2">
        <v>-50000</v>
      </c>
      <c r="O78" t="s">
        <v>2175</v>
      </c>
      <c r="P78" t="s">
        <v>2446</v>
      </c>
    </row>
    <row r="79" spans="2:16">
      <c r="B79" t="s">
        <v>789</v>
      </c>
      <c r="E79" s="2">
        <v>279600</v>
      </c>
      <c r="F79" t="s">
        <v>2108</v>
      </c>
      <c r="J79" t="s">
        <v>2109</v>
      </c>
      <c r="L79" s="2">
        <v>511991</v>
      </c>
      <c r="M79" s="2">
        <v>550491</v>
      </c>
      <c r="N79" s="2">
        <v>-38500</v>
      </c>
      <c r="O79" t="s">
        <v>2175</v>
      </c>
      <c r="P79" t="s">
        <v>2447</v>
      </c>
    </row>
    <row r="80" spans="2:16">
      <c r="B80" t="s">
        <v>2111</v>
      </c>
      <c r="E80" s="2">
        <v>58691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80220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1461230</v>
      </c>
      <c r="F83" t="s">
        <v>2121</v>
      </c>
      <c r="J83" t="s">
        <v>2448</v>
      </c>
      <c r="N83" s="2">
        <v>50000</v>
      </c>
    </row>
    <row r="84" spans="2:15">
      <c r="B84" t="s">
        <v>806</v>
      </c>
      <c r="E84" s="2">
        <v>127488</v>
      </c>
      <c r="F84" t="s">
        <v>2123</v>
      </c>
      <c r="J84" t="s">
        <v>2449</v>
      </c>
      <c r="N84" s="2">
        <v>20000</v>
      </c>
    </row>
    <row r="85" spans="2:15">
      <c r="B85" t="s">
        <v>69</v>
      </c>
      <c r="E85" s="2">
        <v>0</v>
      </c>
      <c r="F85" t="s">
        <v>2126</v>
      </c>
      <c r="J85" t="s">
        <v>2450</v>
      </c>
      <c r="N85" s="2">
        <v>255880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316190</v>
      </c>
      <c r="O86" t="s">
        <v>2451</v>
      </c>
    </row>
    <row r="87" spans="2:15">
      <c r="B87" t="s">
        <v>2128</v>
      </c>
      <c r="E87" s="2">
        <v>5067469</v>
      </c>
      <c r="F87" t="s">
        <v>2129</v>
      </c>
    </row>
    <row r="88" spans="2:15">
      <c r="B88" t="s">
        <v>2130</v>
      </c>
      <c r="E88" s="2">
        <v>3225851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46266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C3" s="4" t="s">
        <v>2452</v>
      </c>
      <c r="D3" s="4" t="s">
        <v>2453</v>
      </c>
      <c r="E3" s="4" t="s">
        <v>2454</v>
      </c>
      <c r="F3" s="4" t="s">
        <v>2455</v>
      </c>
      <c r="G3" s="4" t="s">
        <v>2456</v>
      </c>
      <c r="H3" s="4" t="s">
        <v>2457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451</v>
      </c>
      <c r="L5" s="4" t="s">
        <v>666</v>
      </c>
      <c r="M5" t="s">
        <v>453</v>
      </c>
      <c r="N5" t="s">
        <v>455</v>
      </c>
      <c r="O5" t="s">
        <v>454</v>
      </c>
      <c r="P5" s="5">
        <v>170350</v>
      </c>
      <c r="R5" s="5">
        <v>170350</v>
      </c>
      <c r="S5" s="5">
        <v>171000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666</v>
      </c>
      <c r="M6" t="s">
        <v>453</v>
      </c>
      <c r="N6" t="s">
        <v>455</v>
      </c>
      <c r="O6" t="s">
        <v>457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143506</v>
      </c>
      <c r="R7" s="5">
        <v>143506</v>
      </c>
      <c r="S7" s="5">
        <v>144000</v>
      </c>
    </row>
    <row r="8" spans="1:20">
      <c r="B8" s="4" t="s">
        <v>2458</v>
      </c>
      <c r="C8" s="4" t="s">
        <v>2459</v>
      </c>
      <c r="D8" s="4" t="s">
        <v>2460</v>
      </c>
      <c r="E8" s="4" t="s">
        <v>2461</v>
      </c>
      <c r="F8" s="4" t="s">
        <v>2462</v>
      </c>
      <c r="G8" s="4" t="s">
        <v>2463</v>
      </c>
      <c r="H8" s="4" t="s">
        <v>2464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27610</v>
      </c>
      <c r="R10" s="5">
        <v>27610</v>
      </c>
      <c r="S10" s="5">
        <v>28000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2465</v>
      </c>
      <c r="C13" s="4" t="s">
        <v>2466</v>
      </c>
      <c r="D13" s="4" t="s">
        <v>2467</v>
      </c>
      <c r="E13" s="4" t="s">
        <v>2468</v>
      </c>
      <c r="F13" s="4" t="s">
        <v>2469</v>
      </c>
      <c r="G13" s="4" t="s">
        <v>2470</v>
      </c>
      <c r="H13" s="4" t="s">
        <v>2471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445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485</v>
      </c>
      <c r="L15" t="s">
        <v>670</v>
      </c>
      <c r="M15" t="s">
        <v>467</v>
      </c>
      <c r="O15" t="s">
        <v>483</v>
      </c>
      <c r="P15" s="5">
        <v>29000</v>
      </c>
      <c r="R15" s="5">
        <v>29000</v>
      </c>
      <c r="S15" s="5">
        <v>29000</v>
      </c>
    </row>
    <row r="16" spans="1:20">
      <c r="G16" t="s">
        <v>1963</v>
      </c>
      <c r="H16" t="s">
        <v>1964</v>
      </c>
      <c r="I16" t="s">
        <v>1965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2472</v>
      </c>
      <c r="C18" s="4" t="s">
        <v>2473</v>
      </c>
      <c r="D18" s="4" t="s">
        <v>2474</v>
      </c>
      <c r="E18" s="4" t="s">
        <v>2475</v>
      </c>
      <c r="F18" s="4" t="s">
        <v>2476</v>
      </c>
      <c r="G18" s="4" t="s">
        <v>2477</v>
      </c>
      <c r="H18" s="4" t="s">
        <v>2478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10795</v>
      </c>
      <c r="R18" s="5">
        <v>10795</v>
      </c>
      <c r="S18" s="5">
        <v>11000</v>
      </c>
    </row>
    <row r="19" spans="1:20">
      <c r="A19" t="s">
        <v>446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495</v>
      </c>
      <c r="M19" t="s">
        <v>467</v>
      </c>
      <c r="N19" t="s">
        <v>497</v>
      </c>
      <c r="O19" t="s">
        <v>496</v>
      </c>
      <c r="P19" s="5">
        <v>7737</v>
      </c>
      <c r="R19" s="5">
        <v>7737</v>
      </c>
      <c r="S19" s="5">
        <v>8000</v>
      </c>
    </row>
    <row r="20" spans="1:20">
      <c r="A20" t="s">
        <v>445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498</v>
      </c>
      <c r="M20" t="s">
        <v>467</v>
      </c>
      <c r="N20" t="s">
        <v>494</v>
      </c>
      <c r="O20" t="s">
        <v>499</v>
      </c>
      <c r="P20" s="5">
        <v>4898</v>
      </c>
      <c r="R20" s="5">
        <v>4898</v>
      </c>
      <c r="S20" s="5">
        <v>5000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671</v>
      </c>
    </row>
    <row r="23" spans="1:20">
      <c r="B23" s="4" t="s">
        <v>2479</v>
      </c>
      <c r="C23" s="4" t="s">
        <v>2480</v>
      </c>
      <c r="D23" s="4" t="s">
        <v>2481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505</v>
      </c>
    </row>
    <row r="24" spans="1:20">
      <c r="A24" t="s">
        <v>446</v>
      </c>
      <c r="B24" s="5">
        <v>15000</v>
      </c>
      <c r="I24" s="7">
        <v>15000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509</v>
      </c>
    </row>
    <row r="25" spans="1:20">
      <c r="A25" t="s">
        <v>445</v>
      </c>
      <c r="B25" s="5">
        <v>14900</v>
      </c>
      <c r="I25" s="7">
        <v>14900</v>
      </c>
      <c r="K25" t="s">
        <v>418</v>
      </c>
      <c r="P25" s="5">
        <v>1234406</v>
      </c>
      <c r="R25" s="5">
        <v>1234406</v>
      </c>
      <c r="S25" s="5">
        <v>1235000</v>
      </c>
    </row>
    <row r="26" spans="1:20">
      <c r="G26" t="s">
        <v>1963</v>
      </c>
      <c r="H26" t="s">
        <v>1964</v>
      </c>
      <c r="I26" t="s">
        <v>1965</v>
      </c>
      <c r="P26" t="s">
        <v>2210</v>
      </c>
    </row>
    <row r="27" spans="1:20">
      <c r="G27" s="5">
        <v>1706000</v>
      </c>
      <c r="H27" s="5">
        <v>1666691</v>
      </c>
      <c r="I27" s="6">
        <v>100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200000</v>
      </c>
      <c r="C30" t="s">
        <v>522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230000</v>
      </c>
      <c r="C31" t="s">
        <v>445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2004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2006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200000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-866691</v>
      </c>
      <c r="D39" s="2">
        <v>-34406</v>
      </c>
      <c r="F39" s="2">
        <v>150000</v>
      </c>
      <c r="G39" s="2">
        <v>0</v>
      </c>
      <c r="K39" t="s">
        <v>2023</v>
      </c>
      <c r="Q39" t="s">
        <v>418</v>
      </c>
      <c r="R39" s="2">
        <v>300000</v>
      </c>
      <c r="S39" s="2">
        <v>720000</v>
      </c>
      <c r="T39" s="2">
        <v>420000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3126050</v>
      </c>
      <c r="D41" s="2">
        <v>3951000</v>
      </c>
      <c r="E41" s="2">
        <v>-824950</v>
      </c>
      <c r="F41" t="s">
        <v>2302</v>
      </c>
      <c r="H41" s="2">
        <v>39309</v>
      </c>
      <c r="I41" s="2">
        <v>39309</v>
      </c>
      <c r="J41" t="b">
        <v>1</v>
      </c>
      <c r="Q41" t="s">
        <v>2214</v>
      </c>
    </row>
    <row r="42" spans="1:20">
      <c r="B42" t="s">
        <v>445</v>
      </c>
      <c r="C42" s="2">
        <v>3126050</v>
      </c>
      <c r="D42" s="2">
        <v>3911097</v>
      </c>
      <c r="E42" s="2">
        <v>-785047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1706000</v>
      </c>
      <c r="F47" s="5">
        <v>1691000</v>
      </c>
      <c r="G47" t="b">
        <v>0</v>
      </c>
      <c r="H47" t="s">
        <v>2482</v>
      </c>
      <c r="I47" t="s">
        <v>445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3126050</v>
      </c>
      <c r="S51" t="s">
        <v>2046</v>
      </c>
    </row>
    <row r="52" spans="2:19">
      <c r="K52" t="s">
        <v>1846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2483</v>
      </c>
      <c r="Q52" t="s">
        <v>2048</v>
      </c>
      <c r="R52" s="2">
        <v>1234406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1400000</v>
      </c>
      <c r="Q53" t="s">
        <v>2051</v>
      </c>
      <c r="R53" s="2">
        <v>1666691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100000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0</v>
      </c>
      <c r="M55" s="2">
        <v>0</v>
      </c>
      <c r="N55" s="2">
        <v>0</v>
      </c>
      <c r="O55" s="2">
        <v>300000</v>
      </c>
      <c r="Q55" t="s">
        <v>2059</v>
      </c>
      <c r="R55" s="2">
        <v>2901097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1998</v>
      </c>
      <c r="R57" s="2">
        <v>720000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3911097</v>
      </c>
      <c r="S59" t="s">
        <v>2067</v>
      </c>
    </row>
    <row r="60" spans="2:19">
      <c r="Q60" t="s">
        <v>2068</v>
      </c>
      <c r="R60" s="2">
        <v>-785047</v>
      </c>
      <c r="S60" t="s">
        <v>2302</v>
      </c>
    </row>
    <row r="61" spans="2:19">
      <c r="Q61" t="s">
        <v>2069</v>
      </c>
      <c r="R61" s="2">
        <v>250000</v>
      </c>
      <c r="S61" t="s">
        <v>2070</v>
      </c>
    </row>
    <row r="62" spans="2:19">
      <c r="Q62" t="s">
        <v>2071</v>
      </c>
      <c r="R62" s="2">
        <v>3151097</v>
      </c>
      <c r="S62" t="s">
        <v>2072</v>
      </c>
    </row>
    <row r="63" spans="2:19">
      <c r="Q63" t="s">
        <v>2073</v>
      </c>
      <c r="R63" s="2">
        <v>6388603</v>
      </c>
      <c r="S63" t="s">
        <v>2218</v>
      </c>
    </row>
    <row r="64" spans="2:19">
      <c r="Q64" t="s">
        <v>2075</v>
      </c>
      <c r="R64" s="2">
        <v>2150000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2484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917156</v>
      </c>
      <c r="F72" t="s">
        <v>2085</v>
      </c>
      <c r="J72" t="s">
        <v>2086</v>
      </c>
      <c r="L72" s="2">
        <v>3126050</v>
      </c>
      <c r="M72" s="2">
        <v>3126050</v>
      </c>
      <c r="N72" s="2">
        <v>0</v>
      </c>
      <c r="O72" t="s">
        <v>2087</v>
      </c>
      <c r="P72" t="s">
        <v>2485</v>
      </c>
    </row>
    <row r="73" spans="2:16">
      <c r="B73" t="s">
        <v>775</v>
      </c>
      <c r="E73" s="2">
        <v>1095630</v>
      </c>
      <c r="F73" t="s">
        <v>2089</v>
      </c>
      <c r="J73" t="s">
        <v>429</v>
      </c>
      <c r="L73" s="2">
        <v>1234406</v>
      </c>
      <c r="M73" s="2">
        <v>917156</v>
      </c>
      <c r="N73" s="2">
        <v>317250</v>
      </c>
      <c r="O73" t="s">
        <v>2175</v>
      </c>
      <c r="P73" t="s">
        <v>2486</v>
      </c>
    </row>
    <row r="74" spans="2:16">
      <c r="B74" t="s">
        <v>778</v>
      </c>
      <c r="E74" s="2">
        <v>150500</v>
      </c>
      <c r="F74" t="s">
        <v>2092</v>
      </c>
      <c r="J74" t="s">
        <v>2093</v>
      </c>
      <c r="L74" s="2">
        <v>1666691</v>
      </c>
      <c r="M74" s="2">
        <v>1682930</v>
      </c>
      <c r="N74" s="2">
        <v>-16239</v>
      </c>
      <c r="O74" t="s">
        <v>2090</v>
      </c>
      <c r="P74" t="s">
        <v>2171</v>
      </c>
    </row>
    <row r="75" spans="2:16">
      <c r="B75" t="s">
        <v>2095</v>
      </c>
      <c r="E75" s="2">
        <v>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913520</v>
      </c>
      <c r="F76" t="s">
        <v>2099</v>
      </c>
      <c r="J76" t="s">
        <v>2100</v>
      </c>
      <c r="K76" s="2">
        <v>9000</v>
      </c>
      <c r="L76" s="2">
        <v>9000</v>
      </c>
      <c r="M76" s="2">
        <v>0</v>
      </c>
      <c r="N76" s="2">
        <v>9000</v>
      </c>
      <c r="O76" t="s">
        <v>2090</v>
      </c>
      <c r="P76" t="s">
        <v>2487</v>
      </c>
    </row>
    <row r="77" spans="2:16">
      <c r="B77" t="s">
        <v>2102</v>
      </c>
      <c r="E77" s="2">
        <v>-238360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178670</v>
      </c>
      <c r="F78" t="s">
        <v>2106</v>
      </c>
      <c r="J78" t="s">
        <v>2107</v>
      </c>
      <c r="L78" s="2">
        <v>420000</v>
      </c>
      <c r="M78" s="2">
        <v>420000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178670</v>
      </c>
      <c r="N79" s="2">
        <v>-178670</v>
      </c>
      <c r="O79" t="s">
        <v>2175</v>
      </c>
      <c r="P79" t="s">
        <v>2488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14701</v>
      </c>
      <c r="F82" t="s">
        <v>2118</v>
      </c>
      <c r="J82" t="s">
        <v>2489</v>
      </c>
      <c r="N82" s="2">
        <v>-15350</v>
      </c>
    </row>
    <row r="83" spans="2:15">
      <c r="B83" t="s">
        <v>2120</v>
      </c>
      <c r="E83" s="2">
        <v>0</v>
      </c>
      <c r="F83" t="s">
        <v>2121</v>
      </c>
      <c r="J83" t="s">
        <v>2397</v>
      </c>
      <c r="N83" s="2">
        <v>-9690</v>
      </c>
    </row>
    <row r="84" spans="2:15">
      <c r="B84" t="s">
        <v>806</v>
      </c>
      <c r="E84" s="2">
        <v>66191</v>
      </c>
      <c r="F84" t="s">
        <v>2123</v>
      </c>
      <c r="J84" t="s">
        <v>2490</v>
      </c>
      <c r="N84" s="2">
        <v>50000</v>
      </c>
    </row>
    <row r="85" spans="2:15">
      <c r="B85" t="s">
        <v>69</v>
      </c>
      <c r="E85" s="2">
        <v>0</v>
      </c>
      <c r="F85" t="s">
        <v>2126</v>
      </c>
      <c r="J85" t="s">
        <v>2449</v>
      </c>
      <c r="N85" s="2">
        <v>20000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44960</v>
      </c>
      <c r="O86" t="s">
        <v>2491</v>
      </c>
    </row>
    <row r="87" spans="2:15">
      <c r="B87" t="s">
        <v>2128</v>
      </c>
      <c r="E87" s="2">
        <v>3336368</v>
      </c>
      <c r="F87" t="s">
        <v>2129</v>
      </c>
    </row>
    <row r="88" spans="2:15">
      <c r="B88" t="s">
        <v>2130</v>
      </c>
      <c r="E88" s="2">
        <v>3017116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2492</v>
      </c>
    </row>
    <row r="5" spans="2:7">
      <c r="B5" t="s">
        <v>2493</v>
      </c>
      <c r="C5" s="6">
        <v>30000000</v>
      </c>
      <c r="D5" t="s">
        <v>2494</v>
      </c>
      <c r="E5" s="6">
        <v>180000</v>
      </c>
    </row>
    <row r="6" spans="2:7">
      <c r="B6" t="s">
        <v>2495</v>
      </c>
      <c r="C6" s="6">
        <v>-25500000</v>
      </c>
      <c r="D6" t="s">
        <v>2496</v>
      </c>
      <c r="E6" s="6">
        <v>540000</v>
      </c>
    </row>
    <row r="7" spans="2:7">
      <c r="B7" t="s">
        <v>2497</v>
      </c>
      <c r="C7" s="6">
        <v>20000000</v>
      </c>
      <c r="D7" t="s">
        <v>1094</v>
      </c>
      <c r="E7" s="6">
        <v>60000</v>
      </c>
    </row>
    <row r="8" spans="2:7">
      <c r="B8" t="s">
        <v>2498</v>
      </c>
      <c r="C8" s="6">
        <v>50000000</v>
      </c>
      <c r="D8" t="s">
        <v>488</v>
      </c>
      <c r="E8" s="6">
        <v>163910</v>
      </c>
    </row>
    <row r="9" spans="2:7">
      <c r="B9" t="s">
        <v>2499</v>
      </c>
      <c r="C9" s="6">
        <v>-59500000</v>
      </c>
      <c r="D9" t="s">
        <v>1585</v>
      </c>
      <c r="E9" s="6">
        <v>44900</v>
      </c>
    </row>
    <row r="10" spans="2:7">
      <c r="B10" t="s">
        <v>809</v>
      </c>
      <c r="C10" s="6">
        <v>2000000</v>
      </c>
      <c r="D10" t="s">
        <v>2500</v>
      </c>
      <c r="E10" s="6">
        <v>12000</v>
      </c>
    </row>
    <row r="11" spans="2:7">
      <c r="B11" t="s">
        <v>2501</v>
      </c>
      <c r="C11" s="6">
        <v>201666</v>
      </c>
      <c r="D11" t="s">
        <v>2502</v>
      </c>
      <c r="E11" s="6">
        <v>387960</v>
      </c>
    </row>
    <row r="12" spans="2:7">
      <c r="B12" t="s">
        <v>2503</v>
      </c>
      <c r="C12" s="6">
        <v>396620</v>
      </c>
      <c r="D12" t="s">
        <v>1105</v>
      </c>
      <c r="E12" s="6">
        <v>130850</v>
      </c>
    </row>
    <row r="13" spans="2:7">
      <c r="B13" t="s">
        <v>451</v>
      </c>
      <c r="C13" s="6">
        <v>-278000</v>
      </c>
      <c r="D13" t="s">
        <v>1404</v>
      </c>
      <c r="E13" s="6">
        <v>22400</v>
      </c>
    </row>
    <row r="14" spans="2:7">
      <c r="B14" t="s">
        <v>2504</v>
      </c>
      <c r="C14" s="6">
        <v>-200000</v>
      </c>
      <c r="D14" t="s">
        <v>2505</v>
      </c>
      <c r="E14" s="6">
        <v>244020</v>
      </c>
      <c r="F14" t="s">
        <v>2506</v>
      </c>
    </row>
    <row r="15" spans="2:7">
      <c r="B15" t="s">
        <v>2507</v>
      </c>
      <c r="C15" s="6">
        <v>-34100</v>
      </c>
      <c r="D15" t="s">
        <v>2508</v>
      </c>
      <c r="E15" s="6">
        <v>170100</v>
      </c>
      <c r="F15" s="5">
        <v>35000</v>
      </c>
      <c r="G15" s="6" t="s">
        <v>688</v>
      </c>
    </row>
    <row r="16" spans="2:7">
      <c r="B16" t="s">
        <v>124</v>
      </c>
      <c r="C16" s="6">
        <v>250000</v>
      </c>
      <c r="D16" t="s">
        <v>2509</v>
      </c>
      <c r="E16" s="6">
        <v>208000</v>
      </c>
      <c r="F16" s="5">
        <v>25000</v>
      </c>
      <c r="G16" s="6" t="s">
        <v>688</v>
      </c>
    </row>
    <row r="17" spans="2:5">
      <c r="B17" t="s">
        <v>1084</v>
      </c>
      <c r="C17" s="6">
        <v>500000</v>
      </c>
      <c r="D17" t="s">
        <v>2510</v>
      </c>
      <c r="E17" s="6">
        <v>57700</v>
      </c>
    </row>
    <row r="18" spans="2:5">
      <c r="B18" t="s">
        <v>418</v>
      </c>
      <c r="C18" s="6">
        <v>17836186</v>
      </c>
      <c r="D18" t="s">
        <v>112</v>
      </c>
      <c r="E18" s="6">
        <v>280000</v>
      </c>
    </row>
    <row r="19" spans="2:5">
      <c r="D19" t="s">
        <v>2511</v>
      </c>
      <c r="E19" s="6">
        <v>279000</v>
      </c>
    </row>
    <row r="20" spans="2:5">
      <c r="D20" t="s">
        <v>2512</v>
      </c>
      <c r="E20" s="6">
        <v>85500</v>
      </c>
    </row>
    <row r="21" spans="2:5">
      <c r="D21" t="s">
        <v>2513</v>
      </c>
      <c r="E21" s="6">
        <v>360050</v>
      </c>
    </row>
    <row r="22" spans="2:5">
      <c r="D22" t="s">
        <v>1451</v>
      </c>
      <c r="E22" s="6">
        <v>27220</v>
      </c>
    </row>
    <row r="23" spans="2:5">
      <c r="D23" t="s">
        <v>2514</v>
      </c>
      <c r="E23" s="6">
        <v>54800</v>
      </c>
    </row>
    <row r="24" spans="2:5">
      <c r="D24" t="s">
        <v>1440</v>
      </c>
      <c r="E24" s="6">
        <v>24700</v>
      </c>
    </row>
    <row r="25" spans="2:5">
      <c r="D25" t="s">
        <v>2515</v>
      </c>
      <c r="E25" s="6">
        <v>67000</v>
      </c>
    </row>
    <row r="26" spans="2:5">
      <c r="D26" t="s">
        <v>2516</v>
      </c>
      <c r="E26" s="6">
        <v>91410</v>
      </c>
    </row>
    <row r="27" spans="2:5">
      <c r="D27" t="s">
        <v>1940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2517</v>
      </c>
      <c r="M1" t="s">
        <v>2518</v>
      </c>
      <c r="N1" t="s">
        <v>2519</v>
      </c>
      <c r="O1" t="s">
        <v>418</v>
      </c>
    </row>
    <row r="2" spans="1:17">
      <c r="A2" t="s">
        <v>175</v>
      </c>
      <c r="O2" s="5">
        <v>0</v>
      </c>
    </row>
    <row r="3" spans="1:17">
      <c r="A3" t="s">
        <v>193</v>
      </c>
      <c r="O3" s="5">
        <v>0</v>
      </c>
    </row>
    <row r="4" spans="1:17">
      <c r="A4" t="s">
        <v>178</v>
      </c>
      <c r="O4" s="5">
        <v>0</v>
      </c>
    </row>
    <row r="5" spans="1:17">
      <c r="B5" t="s">
        <v>2520</v>
      </c>
      <c r="C5" t="s">
        <v>2521</v>
      </c>
      <c r="D5" t="s">
        <v>2522</v>
      </c>
      <c r="E5" t="s">
        <v>2523</v>
      </c>
      <c r="F5" t="s">
        <v>2524</v>
      </c>
      <c r="G5" t="s">
        <v>2525</v>
      </c>
      <c r="H5" t="s">
        <v>2526</v>
      </c>
      <c r="I5" t="s">
        <v>2527</v>
      </c>
      <c r="J5" t="s">
        <v>2528</v>
      </c>
      <c r="K5" t="s">
        <v>2529</v>
      </c>
      <c r="L5" t="s">
        <v>2530</v>
      </c>
      <c r="M5" t="s">
        <v>2531</v>
      </c>
    </row>
    <row r="6" spans="1:17">
      <c r="A6" t="s">
        <v>175</v>
      </c>
      <c r="O6" s="5">
        <v>0</v>
      </c>
    </row>
    <row r="7" spans="1:17">
      <c r="A7" t="s">
        <v>193</v>
      </c>
      <c r="N7" s="5">
        <v>600000</v>
      </c>
      <c r="O7" s="5">
        <v>600000</v>
      </c>
    </row>
    <row r="8" spans="1:17">
      <c r="A8" t="s">
        <v>178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2532</v>
      </c>
      <c r="C9" t="s">
        <v>2533</v>
      </c>
      <c r="D9" t="s">
        <v>2534</v>
      </c>
      <c r="E9" t="s">
        <v>2535</v>
      </c>
      <c r="F9" t="s">
        <v>2536</v>
      </c>
      <c r="G9" t="s">
        <v>2537</v>
      </c>
      <c r="H9" t="s">
        <v>2538</v>
      </c>
      <c r="I9" t="s">
        <v>2539</v>
      </c>
      <c r="J9" t="s">
        <v>2540</v>
      </c>
      <c r="K9" t="s">
        <v>2541</v>
      </c>
      <c r="L9" t="s">
        <v>2542</v>
      </c>
      <c r="M9" t="s">
        <v>2543</v>
      </c>
      <c r="P9" t="s">
        <v>526</v>
      </c>
    </row>
    <row r="10" spans="1:17">
      <c r="A10" t="s">
        <v>175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193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178</v>
      </c>
      <c r="O12" s="5">
        <v>3000000</v>
      </c>
    </row>
    <row r="13" spans="1:17">
      <c r="B13" t="s">
        <v>2544</v>
      </c>
      <c r="C13" t="s">
        <v>2545</v>
      </c>
      <c r="D13" t="s">
        <v>2546</v>
      </c>
      <c r="E13" t="s">
        <v>2547</v>
      </c>
      <c r="F13" t="s">
        <v>2548</v>
      </c>
      <c r="G13" t="s">
        <v>2549</v>
      </c>
      <c r="H13" t="s">
        <v>2550</v>
      </c>
      <c r="I13" t="s">
        <v>2551</v>
      </c>
      <c r="J13" t="s">
        <v>2552</v>
      </c>
      <c r="K13" t="s">
        <v>2553</v>
      </c>
      <c r="L13" t="s">
        <v>2554</v>
      </c>
      <c r="M13" t="s">
        <v>2555</v>
      </c>
    </row>
    <row r="14" spans="1:17">
      <c r="A14" t="s">
        <v>175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193</v>
      </c>
      <c r="O15" s="5">
        <v>3000000</v>
      </c>
      <c r="P15" s="5" t="s">
        <v>15</v>
      </c>
      <c r="Q15" s="5" t="s">
        <v>2556</v>
      </c>
    </row>
    <row r="16" spans="1:17">
      <c r="A16" t="s">
        <v>178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6" bestFit="1" customWidth="1"/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31" t="s">
        <v>575</v>
      </c>
      <c r="B3" s="195"/>
      <c r="C3" s="131">
        <v>399</v>
      </c>
      <c r="D3" s="126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399000</v>
      </c>
    </row>
    <row r="4" spans="1:23" ht="18" customHeight="1">
      <c r="A4" s="131" t="s">
        <v>576</v>
      </c>
      <c r="B4" s="194"/>
      <c r="C4" s="131">
        <v>145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145000</v>
      </c>
    </row>
    <row r="5" spans="1:23" ht="18" customHeight="1">
      <c r="A5" s="131" t="s">
        <v>577</v>
      </c>
      <c r="B5" s="201"/>
      <c r="C5" s="131"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441000</v>
      </c>
    </row>
    <row r="6" spans="1:23" ht="18" customHeight="1">
      <c r="A6" s="131" t="s">
        <v>578</v>
      </c>
      <c r="B6" s="198"/>
      <c r="C6" s="131"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318000</v>
      </c>
    </row>
    <row r="7" spans="1:23" ht="18" customHeight="1">
      <c r="A7" s="131" t="s">
        <v>579</v>
      </c>
      <c r="B7" s="205"/>
      <c r="C7" s="131"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124000</v>
      </c>
    </row>
    <row r="8" spans="1:23" ht="18" customHeight="1">
      <c r="A8" s="131" t="s">
        <v>580</v>
      </c>
      <c r="B8" s="260"/>
      <c r="C8" s="131"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0</v>
      </c>
    </row>
    <row r="9" spans="1:23" ht="18" customHeight="1">
      <c r="A9" s="131" t="s">
        <v>581</v>
      </c>
      <c r="B9" s="202"/>
      <c r="C9" s="131">
        <v>192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192000</v>
      </c>
    </row>
    <row r="10" spans="1:23" ht="18" customHeight="1">
      <c r="A10" s="131" t="s">
        <v>582</v>
      </c>
      <c r="B10" s="261"/>
      <c r="C10" s="131">
        <v>72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72000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1691000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127"/>
      <c r="W15" s="127"/>
    </row>
    <row r="16" spans="1:23" ht="10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127"/>
      <c r="W16" s="127"/>
    </row>
    <row r="17" spans="1:23" ht="10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127"/>
      <c r="W17" s="127"/>
    </row>
    <row r="18" spans="1:23" ht="10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3" ht="10" customHeight="1" thickBot="1">
      <c r="A19" s="131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3" ht="10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3" ht="10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3" ht="10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3" ht="10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3" ht="10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3" ht="10" customHeight="1" thickBot="1">
      <c r="A29" s="131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3" ht="10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3" ht="10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3" ht="10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0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0" customHeight="1" thickBot="1">
      <c r="A34" s="131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0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0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0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0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0" customHeight="1" thickBot="1">
      <c r="A39" s="131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0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0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0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0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0" customHeight="1" thickBot="1">
      <c r="A44" s="131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0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0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0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0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0" customHeight="1" thickBot="1">
      <c r="A49" s="131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0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0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0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0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0" customHeight="1" thickBot="1">
      <c r="A54" s="131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0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0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0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0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0" customHeight="1" thickBot="1">
      <c r="A59" s="131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0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0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0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0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0" customHeight="1" thickBot="1">
      <c r="A64" s="131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0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0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0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0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0" customHeight="1" thickBot="1">
      <c r="A69" s="131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0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0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0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0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0" customHeight="1" thickBot="1">
      <c r="A74" s="131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0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0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0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0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0" customHeight="1" thickBot="1">
      <c r="A79" s="131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0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0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0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0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0" customHeight="1" thickBot="1">
      <c r="A84" s="131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0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0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0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0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0" customHeight="1" thickBot="1">
      <c r="A89" s="131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0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0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0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0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0" customHeight="1" thickBot="1">
      <c r="A94" s="131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0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180"/>
      <c r="V95" s="127"/>
      <c r="W95" s="127"/>
    </row>
    <row r="96" spans="1:23" ht="10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181"/>
      <c r="U96" s="182"/>
      <c r="V96" s="127"/>
      <c r="W96" s="127"/>
    </row>
    <row r="97" spans="1:23" ht="10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181"/>
      <c r="U97" s="182"/>
      <c r="V97" s="127"/>
      <c r="W97" s="127"/>
    </row>
    <row r="98" spans="1:23" ht="10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181"/>
      <c r="U98" s="182"/>
      <c r="V98" s="127"/>
      <c r="W98" s="127"/>
    </row>
    <row r="99" spans="1:23" ht="10" customHeight="1" thickBot="1">
      <c r="A99" s="131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184"/>
      <c r="U99" s="183"/>
      <c r="V99" s="127"/>
      <c r="W99" s="127"/>
    </row>
    <row r="100" spans="1:23" ht="10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0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0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0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0" customHeight="1" thickBot="1">
      <c r="A104" s="131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0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0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0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0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0" customHeight="1" thickBot="1">
      <c r="A109" s="131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0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0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0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0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0" customHeight="1" thickBot="1">
      <c r="A114" s="131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0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0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0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0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0" customHeight="1" thickBot="1">
      <c r="A119" s="131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0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0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0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0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0" customHeight="1" thickBot="1">
      <c r="A124" s="131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0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0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0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0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0" customHeight="1" thickBot="1">
      <c r="A129" s="131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0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0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0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0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0" customHeight="1" thickBot="1">
      <c r="A134" s="131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0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0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0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0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0" customHeight="1" thickBot="1">
      <c r="A139" s="131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0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0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0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0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0" customHeight="1" thickBot="1">
      <c r="A144" s="131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401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401000</v>
      </c>
    </row>
    <row r="4" spans="1:23" ht="18" customHeight="1">
      <c r="A4" s="127"/>
      <c r="B4" s="194"/>
      <c r="C4" s="131" t="s">
        <v>576</v>
      </c>
      <c r="D4" s="131">
        <v>151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151000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9000</v>
      </c>
    </row>
    <row r="7" spans="1:23" ht="18" customHeight="1">
      <c r="A7" s="127"/>
      <c r="B7" s="205"/>
      <c r="C7" s="131" t="s">
        <v>579</v>
      </c>
      <c r="D7" s="131">
        <v>101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101000</v>
      </c>
    </row>
    <row r="8" spans="1:23" ht="18" customHeight="1">
      <c r="A8" s="127"/>
      <c r="B8" s="260"/>
      <c r="C8" s="131" t="s">
        <v>580</v>
      </c>
      <c r="D8" s="131">
        <v>15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15000</v>
      </c>
    </row>
    <row r="9" spans="1:23" ht="18" customHeight="1">
      <c r="A9" s="127"/>
      <c r="B9" s="202"/>
      <c r="C9" s="131" t="s">
        <v>581</v>
      </c>
      <c r="D9" s="131">
        <v>96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96000</v>
      </c>
    </row>
    <row r="10" spans="1:23" ht="18" customHeight="1">
      <c r="A10" s="127"/>
      <c r="B10" s="261"/>
      <c r="C10" s="131" t="s">
        <v>582</v>
      </c>
      <c r="D10" s="131">
        <v>80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80000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259">
        <v>853000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262"/>
      <c r="C15" s="263"/>
      <c r="D15" s="262"/>
      <c r="E15" s="263"/>
      <c r="F15" s="262"/>
      <c r="G15" s="263"/>
      <c r="H15" s="262"/>
      <c r="I15" s="263"/>
      <c r="J15" s="264"/>
      <c r="K15" s="265"/>
      <c r="L15" s="266"/>
      <c r="M15" s="267"/>
      <c r="N15" s="266"/>
      <c r="O15" s="267"/>
      <c r="P15" s="268"/>
      <c r="Q15" s="267"/>
      <c r="R15" s="266"/>
      <c r="S15" s="263"/>
      <c r="T15" s="262"/>
      <c r="U15" s="263"/>
      <c r="V15" s="127"/>
      <c r="W15" s="127"/>
    </row>
    <row r="16" spans="1:23" ht="10" customHeight="1">
      <c r="A16" s="127"/>
      <c r="B16" s="269"/>
      <c r="C16" s="270"/>
      <c r="D16" s="269"/>
      <c r="E16" s="270"/>
      <c r="F16" s="269"/>
      <c r="G16" s="270"/>
      <c r="H16" s="269"/>
      <c r="I16" s="270"/>
      <c r="J16" s="271"/>
      <c r="K16" s="272"/>
      <c r="L16" s="273"/>
      <c r="M16" s="274"/>
      <c r="N16" s="273"/>
      <c r="O16" s="274"/>
      <c r="P16" s="275"/>
      <c r="Q16" s="274"/>
      <c r="R16" s="273"/>
      <c r="S16" s="270"/>
      <c r="T16" s="269"/>
      <c r="U16" s="270"/>
      <c r="V16" s="127"/>
      <c r="W16" s="127"/>
    </row>
    <row r="17" spans="1:23" ht="10" customHeight="1">
      <c r="A17" s="127"/>
      <c r="B17" s="269"/>
      <c r="C17" s="270"/>
      <c r="D17" s="269"/>
      <c r="E17" s="270"/>
      <c r="F17" s="269"/>
      <c r="G17" s="270"/>
      <c r="H17" s="269"/>
      <c r="I17" s="270"/>
      <c r="J17" s="271"/>
      <c r="K17" s="272"/>
      <c r="L17" s="273"/>
      <c r="M17" s="274"/>
      <c r="N17" s="273"/>
      <c r="O17" s="274"/>
      <c r="P17" s="275"/>
      <c r="Q17" s="274"/>
      <c r="R17" s="273"/>
      <c r="S17" s="270"/>
      <c r="T17" s="269"/>
      <c r="U17" s="270"/>
      <c r="V17" s="127"/>
      <c r="W17" s="127"/>
    </row>
    <row r="18" spans="1:23" ht="10" customHeight="1">
      <c r="A18" s="127"/>
      <c r="B18" s="269"/>
      <c r="C18" s="270"/>
      <c r="D18" s="269"/>
      <c r="E18" s="270"/>
      <c r="F18" s="269"/>
      <c r="G18" s="270"/>
      <c r="H18" s="269"/>
      <c r="I18" s="270"/>
      <c r="J18" s="271"/>
      <c r="K18" s="272"/>
      <c r="L18" s="273"/>
      <c r="M18" s="274"/>
      <c r="N18" s="273"/>
      <c r="O18" s="274"/>
      <c r="P18" s="275"/>
      <c r="Q18" s="274"/>
      <c r="R18" s="273"/>
      <c r="S18" s="270"/>
      <c r="T18" s="269"/>
      <c r="U18" s="270"/>
      <c r="V18" s="127"/>
      <c r="W18" s="127"/>
    </row>
    <row r="19" spans="1:23" ht="10" customHeight="1" thickBot="1">
      <c r="A19" s="131">
        <v>1</v>
      </c>
      <c r="B19" s="276"/>
      <c r="C19" s="277"/>
      <c r="D19" s="276"/>
      <c r="E19" s="277"/>
      <c r="F19" s="276"/>
      <c r="G19" s="277"/>
      <c r="H19" s="276"/>
      <c r="I19" s="277"/>
      <c r="J19" s="278"/>
      <c r="K19" s="279"/>
      <c r="L19" s="280"/>
      <c r="M19" s="281"/>
      <c r="N19" s="280"/>
      <c r="O19" s="281"/>
      <c r="P19" s="276"/>
      <c r="Q19" s="277"/>
      <c r="R19" s="276"/>
      <c r="S19" s="277"/>
      <c r="T19" s="276"/>
      <c r="U19" s="277"/>
      <c r="V19" s="127"/>
      <c r="W19" s="127"/>
    </row>
    <row r="20" spans="1:23" ht="10" customHeight="1">
      <c r="A20" s="127"/>
      <c r="B20" s="264"/>
      <c r="C20" s="263"/>
      <c r="D20" s="262"/>
      <c r="E20" s="263"/>
      <c r="F20" s="262"/>
      <c r="G20" s="263"/>
      <c r="H20" s="264"/>
      <c r="I20" s="263"/>
      <c r="J20" s="262"/>
      <c r="K20" s="265"/>
      <c r="L20" s="262"/>
      <c r="M20" s="263"/>
      <c r="N20" s="264"/>
      <c r="O20" s="263"/>
      <c r="P20" s="262"/>
      <c r="Q20" s="263"/>
      <c r="R20" s="262"/>
      <c r="S20" s="263"/>
      <c r="T20" s="262"/>
      <c r="U20" s="263"/>
      <c r="V20" s="127"/>
      <c r="W20" s="127"/>
    </row>
    <row r="21" spans="1:23" ht="10" customHeight="1">
      <c r="A21" s="127"/>
      <c r="B21" s="271"/>
      <c r="C21" s="270"/>
      <c r="D21" s="269"/>
      <c r="E21" s="270"/>
      <c r="F21" s="269"/>
      <c r="G21" s="270"/>
      <c r="H21" s="271"/>
      <c r="I21" s="270"/>
      <c r="J21" s="269"/>
      <c r="K21" s="272"/>
      <c r="L21" s="269"/>
      <c r="M21" s="270"/>
      <c r="N21" s="271"/>
      <c r="O21" s="270"/>
      <c r="P21" s="269"/>
      <c r="Q21" s="270"/>
      <c r="R21" s="269"/>
      <c r="S21" s="270"/>
      <c r="T21" s="269"/>
      <c r="U21" s="270"/>
      <c r="V21" s="127"/>
      <c r="W21" s="127"/>
    </row>
    <row r="22" spans="1:23" ht="10" customHeight="1">
      <c r="A22" s="127"/>
      <c r="B22" s="271"/>
      <c r="C22" s="270"/>
      <c r="D22" s="269"/>
      <c r="E22" s="270"/>
      <c r="F22" s="269"/>
      <c r="G22" s="270"/>
      <c r="H22" s="271"/>
      <c r="I22" s="270"/>
      <c r="J22" s="269"/>
      <c r="K22" s="272"/>
      <c r="L22" s="269"/>
      <c r="M22" s="270"/>
      <c r="N22" s="271"/>
      <c r="O22" s="270"/>
      <c r="P22" s="269"/>
      <c r="Q22" s="270"/>
      <c r="R22" s="269"/>
      <c r="S22" s="270"/>
      <c r="T22" s="269"/>
      <c r="U22" s="270"/>
      <c r="V22" s="127"/>
      <c r="W22" s="127"/>
    </row>
    <row r="23" spans="1:23" ht="10" customHeight="1">
      <c r="A23" s="127"/>
      <c r="B23" s="271"/>
      <c r="C23" s="270"/>
      <c r="D23" s="269"/>
      <c r="E23" s="270"/>
      <c r="F23" s="269"/>
      <c r="G23" s="270"/>
      <c r="H23" s="271"/>
      <c r="I23" s="270"/>
      <c r="J23" s="269"/>
      <c r="K23" s="272"/>
      <c r="L23" s="269"/>
      <c r="M23" s="270"/>
      <c r="N23" s="271"/>
      <c r="O23" s="270"/>
      <c r="P23" s="269"/>
      <c r="Q23" s="270"/>
      <c r="R23" s="269"/>
      <c r="S23" s="270"/>
      <c r="T23" s="269"/>
      <c r="U23" s="270"/>
      <c r="V23" s="127"/>
      <c r="W23" s="127"/>
    </row>
    <row r="24" spans="1:23" ht="10" customHeight="1" thickBot="1">
      <c r="A24" s="131">
        <v>2</v>
      </c>
      <c r="B24" s="278"/>
      <c r="C24" s="277"/>
      <c r="D24" s="276"/>
      <c r="E24" s="277"/>
      <c r="F24" s="276"/>
      <c r="G24" s="277"/>
      <c r="H24" s="278"/>
      <c r="I24" s="277"/>
      <c r="J24" s="276"/>
      <c r="K24" s="279"/>
      <c r="L24" s="276"/>
      <c r="M24" s="277"/>
      <c r="N24" s="278"/>
      <c r="O24" s="277"/>
      <c r="P24" s="276"/>
      <c r="Q24" s="282"/>
      <c r="R24" s="276"/>
      <c r="S24" s="277"/>
      <c r="T24" s="276"/>
      <c r="U24" s="277"/>
      <c r="V24" s="127"/>
      <c r="W24" s="127"/>
    </row>
    <row r="25" spans="1:23" ht="10" customHeight="1">
      <c r="A25" s="127"/>
      <c r="B25" s="264"/>
      <c r="C25" s="283"/>
      <c r="D25" s="268"/>
      <c r="E25" s="263"/>
      <c r="F25" s="262"/>
      <c r="G25" s="265"/>
      <c r="H25" s="262"/>
      <c r="I25" s="263"/>
      <c r="J25" s="262"/>
      <c r="K25" s="265"/>
      <c r="L25" s="284"/>
      <c r="M25" s="285"/>
      <c r="N25" s="284"/>
      <c r="O25" s="285"/>
      <c r="P25" s="284"/>
      <c r="Q25" s="285"/>
      <c r="R25" s="284"/>
      <c r="S25" s="263"/>
      <c r="T25" s="262"/>
      <c r="U25" s="283"/>
      <c r="V25" s="127"/>
      <c r="W25" s="127"/>
    </row>
    <row r="26" spans="1:23" ht="10" customHeight="1">
      <c r="A26" s="127"/>
      <c r="B26" s="271"/>
      <c r="C26" s="286"/>
      <c r="D26" s="275"/>
      <c r="E26" s="270"/>
      <c r="F26" s="269"/>
      <c r="G26" s="272"/>
      <c r="H26" s="269"/>
      <c r="I26" s="270"/>
      <c r="J26" s="269"/>
      <c r="K26" s="272"/>
      <c r="L26" s="287"/>
      <c r="M26" s="288"/>
      <c r="N26" s="287"/>
      <c r="O26" s="288"/>
      <c r="P26" s="287"/>
      <c r="Q26" s="288"/>
      <c r="R26" s="287"/>
      <c r="S26" s="270"/>
      <c r="T26" s="269"/>
      <c r="U26" s="286"/>
      <c r="V26" s="127"/>
      <c r="W26" s="127"/>
    </row>
    <row r="27" spans="1:23" ht="10" customHeight="1">
      <c r="A27" s="127"/>
      <c r="B27" s="271"/>
      <c r="C27" s="286"/>
      <c r="D27" s="275"/>
      <c r="E27" s="270"/>
      <c r="F27" s="269"/>
      <c r="G27" s="272"/>
      <c r="H27" s="269"/>
      <c r="I27" s="270"/>
      <c r="J27" s="269"/>
      <c r="K27" s="272"/>
      <c r="L27" s="287"/>
      <c r="M27" s="288"/>
      <c r="N27" s="287"/>
      <c r="O27" s="288"/>
      <c r="P27" s="287"/>
      <c r="Q27" s="288"/>
      <c r="R27" s="269"/>
      <c r="S27" s="270"/>
      <c r="T27" s="269"/>
      <c r="U27" s="286"/>
      <c r="V27" s="127"/>
      <c r="W27" s="127"/>
    </row>
    <row r="28" spans="1:23" ht="10" customHeight="1">
      <c r="A28" s="127"/>
      <c r="B28" s="271"/>
      <c r="C28" s="286"/>
      <c r="D28" s="275"/>
      <c r="E28" s="270"/>
      <c r="F28" s="269"/>
      <c r="G28" s="272"/>
      <c r="H28" s="269"/>
      <c r="I28" s="270"/>
      <c r="J28" s="269"/>
      <c r="K28" s="272"/>
      <c r="L28" s="287"/>
      <c r="M28" s="288"/>
      <c r="N28" s="287"/>
      <c r="O28" s="288"/>
      <c r="P28" s="287"/>
      <c r="Q28" s="288"/>
      <c r="R28" s="269"/>
      <c r="S28" s="270"/>
      <c r="T28" s="269"/>
      <c r="U28" s="270"/>
      <c r="V28" s="127"/>
      <c r="W28" s="127"/>
    </row>
    <row r="29" spans="1:23" ht="10" customHeight="1" thickBot="1">
      <c r="A29" s="131">
        <v>3</v>
      </c>
      <c r="B29" s="278"/>
      <c r="C29" s="289"/>
      <c r="D29" s="290"/>
      <c r="E29" s="277"/>
      <c r="F29" s="276"/>
      <c r="G29" s="279"/>
      <c r="H29" s="276"/>
      <c r="I29" s="277"/>
      <c r="J29" s="276"/>
      <c r="K29" s="279"/>
      <c r="L29" s="291"/>
      <c r="M29" s="282"/>
      <c r="N29" s="291"/>
      <c r="O29" s="282"/>
      <c r="P29" s="291"/>
      <c r="Q29" s="282"/>
      <c r="R29" s="276"/>
      <c r="S29" s="277"/>
      <c r="T29" s="276"/>
      <c r="U29" s="277"/>
      <c r="V29" s="127"/>
      <c r="W29" s="127"/>
    </row>
    <row r="30" spans="1:23" ht="10" customHeight="1">
      <c r="A30" s="127"/>
      <c r="B30" s="284"/>
      <c r="C30" s="285"/>
      <c r="D30" s="284"/>
      <c r="E30" s="285"/>
      <c r="F30" s="284"/>
      <c r="G30" s="285"/>
      <c r="H30" s="284"/>
      <c r="I30" s="285"/>
      <c r="J30" s="264"/>
      <c r="K30" s="263"/>
      <c r="L30" s="262"/>
      <c r="M30" s="265"/>
      <c r="N30" s="264"/>
      <c r="O30" s="267"/>
      <c r="P30" s="266"/>
      <c r="Q30" s="263"/>
      <c r="R30" s="262"/>
      <c r="S30" s="263"/>
      <c r="T30" s="262"/>
      <c r="U30" s="285"/>
      <c r="V30" s="127"/>
      <c r="W30" s="127"/>
    </row>
    <row r="31" spans="1:23" ht="10" customHeight="1">
      <c r="A31" s="127"/>
      <c r="B31" s="287"/>
      <c r="C31" s="288"/>
      <c r="D31" s="287"/>
      <c r="E31" s="288"/>
      <c r="F31" s="287"/>
      <c r="G31" s="288"/>
      <c r="H31" s="287"/>
      <c r="I31" s="288"/>
      <c r="J31" s="271"/>
      <c r="K31" s="270"/>
      <c r="L31" s="269"/>
      <c r="M31" s="272"/>
      <c r="N31" s="271"/>
      <c r="O31" s="274"/>
      <c r="P31" s="273"/>
      <c r="Q31" s="270"/>
      <c r="R31" s="269"/>
      <c r="S31" s="270"/>
      <c r="T31" s="269"/>
      <c r="U31" s="288"/>
      <c r="V31" s="127"/>
      <c r="W31" s="127"/>
    </row>
    <row r="32" spans="1:23" ht="10" customHeight="1">
      <c r="A32" s="127"/>
      <c r="B32" s="287"/>
      <c r="C32" s="288"/>
      <c r="D32" s="287"/>
      <c r="E32" s="288"/>
      <c r="F32" s="287"/>
      <c r="G32" s="288"/>
      <c r="H32" s="287"/>
      <c r="I32" s="288"/>
      <c r="J32" s="271"/>
      <c r="K32" s="270"/>
      <c r="L32" s="269"/>
      <c r="M32" s="272"/>
      <c r="N32" s="271"/>
      <c r="O32" s="274"/>
      <c r="P32" s="273"/>
      <c r="Q32" s="270"/>
      <c r="R32" s="269"/>
      <c r="S32" s="270"/>
      <c r="T32" s="269"/>
      <c r="U32" s="288"/>
      <c r="V32" s="127"/>
      <c r="W32" s="127"/>
    </row>
    <row r="33" spans="1:23" ht="10" customHeight="1">
      <c r="A33" s="127"/>
      <c r="B33" s="287"/>
      <c r="C33" s="288"/>
      <c r="D33" s="287"/>
      <c r="E33" s="288"/>
      <c r="F33" s="287"/>
      <c r="G33" s="288"/>
      <c r="H33" s="287"/>
      <c r="I33" s="288"/>
      <c r="J33" s="271"/>
      <c r="K33" s="270"/>
      <c r="L33" s="269"/>
      <c r="M33" s="272"/>
      <c r="N33" s="271"/>
      <c r="O33" s="270"/>
      <c r="P33" s="269"/>
      <c r="Q33" s="270"/>
      <c r="R33" s="269"/>
      <c r="S33" s="270"/>
      <c r="T33" s="287"/>
      <c r="U33" s="288"/>
      <c r="V33" s="127"/>
      <c r="W33" s="127"/>
    </row>
    <row r="34" spans="1:23" ht="10" customHeight="1" thickBot="1">
      <c r="A34" s="131">
        <v>4</v>
      </c>
      <c r="B34" s="291"/>
      <c r="C34" s="282"/>
      <c r="D34" s="291"/>
      <c r="E34" s="282"/>
      <c r="F34" s="291"/>
      <c r="G34" s="282"/>
      <c r="H34" s="291"/>
      <c r="I34" s="282"/>
      <c r="J34" s="278"/>
      <c r="K34" s="277"/>
      <c r="L34" s="276"/>
      <c r="M34" s="279"/>
      <c r="N34" s="278"/>
      <c r="O34" s="277"/>
      <c r="P34" s="276"/>
      <c r="Q34" s="277"/>
      <c r="R34" s="276"/>
      <c r="S34" s="277"/>
      <c r="T34" s="291"/>
      <c r="U34" s="282"/>
      <c r="V34" s="127"/>
      <c r="W34" s="127"/>
    </row>
    <row r="35" spans="1:23" ht="10" customHeight="1">
      <c r="A35" s="127"/>
      <c r="B35" s="264"/>
      <c r="C35" s="265"/>
      <c r="D35" s="264"/>
      <c r="E35" s="265"/>
      <c r="F35" s="264"/>
      <c r="G35" s="265"/>
      <c r="H35" s="262"/>
      <c r="I35" s="263"/>
      <c r="J35" s="266"/>
      <c r="K35" s="267"/>
      <c r="L35" s="266"/>
      <c r="M35" s="267"/>
      <c r="N35" s="266"/>
      <c r="O35" s="267"/>
      <c r="P35" s="266"/>
      <c r="Q35" s="263"/>
      <c r="R35" s="262"/>
      <c r="S35" s="263"/>
      <c r="T35" s="262"/>
      <c r="U35" s="263"/>
      <c r="V35" s="127"/>
      <c r="W35" s="127"/>
    </row>
    <row r="36" spans="1:23" ht="10" customHeight="1">
      <c r="A36" s="127"/>
      <c r="B36" s="271"/>
      <c r="C36" s="272"/>
      <c r="D36" s="271"/>
      <c r="E36" s="272"/>
      <c r="F36" s="271"/>
      <c r="G36" s="272"/>
      <c r="H36" s="269"/>
      <c r="I36" s="270"/>
      <c r="J36" s="273"/>
      <c r="K36" s="274"/>
      <c r="L36" s="273"/>
      <c r="M36" s="274"/>
      <c r="N36" s="273"/>
      <c r="O36" s="274"/>
      <c r="P36" s="273"/>
      <c r="Q36" s="270"/>
      <c r="R36" s="269"/>
      <c r="S36" s="270"/>
      <c r="T36" s="269"/>
      <c r="U36" s="270"/>
      <c r="V36" s="127"/>
      <c r="W36" s="127"/>
    </row>
    <row r="37" spans="1:23" ht="10" customHeight="1">
      <c r="A37" s="127"/>
      <c r="B37" s="271"/>
      <c r="C37" s="272"/>
      <c r="D37" s="271"/>
      <c r="E37" s="272"/>
      <c r="F37" s="271"/>
      <c r="G37" s="272"/>
      <c r="H37" s="269"/>
      <c r="I37" s="270"/>
      <c r="J37" s="273"/>
      <c r="K37" s="274"/>
      <c r="L37" s="273"/>
      <c r="M37" s="274"/>
      <c r="N37" s="273"/>
      <c r="O37" s="274"/>
      <c r="P37" s="273"/>
      <c r="Q37" s="270"/>
      <c r="R37" s="269"/>
      <c r="S37" s="270"/>
      <c r="T37" s="269"/>
      <c r="U37" s="270"/>
      <c r="V37" s="127"/>
      <c r="W37" s="127"/>
    </row>
    <row r="38" spans="1:23" ht="10" customHeight="1">
      <c r="A38" s="127"/>
      <c r="B38" s="271"/>
      <c r="C38" s="272"/>
      <c r="D38" s="271"/>
      <c r="E38" s="272"/>
      <c r="F38" s="271"/>
      <c r="G38" s="272"/>
      <c r="H38" s="269"/>
      <c r="I38" s="270"/>
      <c r="J38" s="273"/>
      <c r="K38" s="274"/>
      <c r="L38" s="273"/>
      <c r="M38" s="274"/>
      <c r="N38" s="273"/>
      <c r="O38" s="274"/>
      <c r="P38" s="273"/>
      <c r="Q38" s="274"/>
      <c r="R38" s="269"/>
      <c r="S38" s="270"/>
      <c r="T38" s="269"/>
      <c r="U38" s="270"/>
      <c r="V38" s="127"/>
      <c r="W38" s="127"/>
    </row>
    <row r="39" spans="1:23" ht="10" customHeight="1" thickBot="1">
      <c r="A39" s="131">
        <v>5</v>
      </c>
      <c r="B39" s="278"/>
      <c r="C39" s="279"/>
      <c r="D39" s="278"/>
      <c r="E39" s="279"/>
      <c r="F39" s="278"/>
      <c r="G39" s="279"/>
      <c r="H39" s="276"/>
      <c r="I39" s="277"/>
      <c r="J39" s="280"/>
      <c r="K39" s="281"/>
      <c r="L39" s="280"/>
      <c r="M39" s="281"/>
      <c r="N39" s="280"/>
      <c r="O39" s="281"/>
      <c r="P39" s="280"/>
      <c r="Q39" s="281"/>
      <c r="R39" s="276"/>
      <c r="S39" s="277"/>
      <c r="T39" s="276"/>
      <c r="U39" s="277"/>
      <c r="V39" s="127"/>
      <c r="W39" s="127"/>
    </row>
    <row r="40" spans="1:23" ht="10" customHeight="1">
      <c r="A40" s="127"/>
      <c r="B40" s="262"/>
      <c r="C40" s="263"/>
      <c r="D40" s="264"/>
      <c r="E40" s="265"/>
      <c r="F40" s="292"/>
      <c r="G40" s="293"/>
      <c r="H40" s="292"/>
      <c r="I40" s="293"/>
      <c r="J40" s="292"/>
      <c r="K40" s="293"/>
      <c r="L40" s="264"/>
      <c r="M40" s="265"/>
      <c r="N40" s="262"/>
      <c r="O40" s="263"/>
      <c r="P40" s="262"/>
      <c r="Q40" s="263"/>
      <c r="R40" s="262"/>
      <c r="S40" s="265"/>
      <c r="T40" s="262"/>
      <c r="U40" s="267"/>
      <c r="V40" s="127"/>
      <c r="W40" s="127"/>
    </row>
    <row r="41" spans="1:23" ht="10" customHeight="1">
      <c r="A41" s="127"/>
      <c r="B41" s="269"/>
      <c r="C41" s="270"/>
      <c r="D41" s="271"/>
      <c r="E41" s="272"/>
      <c r="F41" s="294"/>
      <c r="G41" s="295"/>
      <c r="H41" s="294"/>
      <c r="I41" s="295"/>
      <c r="J41" s="294"/>
      <c r="K41" s="295"/>
      <c r="L41" s="271"/>
      <c r="M41" s="272"/>
      <c r="N41" s="269"/>
      <c r="O41" s="270"/>
      <c r="P41" s="269"/>
      <c r="Q41" s="270"/>
      <c r="R41" s="269"/>
      <c r="S41" s="270"/>
      <c r="T41" s="269"/>
      <c r="U41" s="270"/>
      <c r="V41" s="127"/>
      <c r="W41" s="127"/>
    </row>
    <row r="42" spans="1:23" ht="10" customHeight="1">
      <c r="A42" s="127"/>
      <c r="B42" s="269"/>
      <c r="C42" s="270"/>
      <c r="D42" s="271"/>
      <c r="E42" s="272"/>
      <c r="F42" s="294"/>
      <c r="G42" s="295"/>
      <c r="H42" s="294"/>
      <c r="I42" s="295"/>
      <c r="J42" s="294"/>
      <c r="K42" s="295"/>
      <c r="L42" s="271"/>
      <c r="M42" s="272"/>
      <c r="N42" s="269"/>
      <c r="O42" s="270"/>
      <c r="P42" s="269"/>
      <c r="Q42" s="270"/>
      <c r="R42" s="269"/>
      <c r="S42" s="270"/>
      <c r="T42" s="269"/>
      <c r="U42" s="270"/>
      <c r="V42" s="127"/>
      <c r="W42" s="127"/>
    </row>
    <row r="43" spans="1:23" ht="10" customHeight="1">
      <c r="A43" s="127"/>
      <c r="B43" s="269"/>
      <c r="C43" s="270"/>
      <c r="D43" s="271"/>
      <c r="E43" s="272"/>
      <c r="F43" s="294"/>
      <c r="G43" s="295"/>
      <c r="H43" s="294"/>
      <c r="I43" s="295"/>
      <c r="J43" s="294"/>
      <c r="K43" s="295"/>
      <c r="L43" s="271"/>
      <c r="M43" s="272"/>
      <c r="N43" s="269"/>
      <c r="O43" s="270"/>
      <c r="P43" s="269"/>
      <c r="Q43" s="270"/>
      <c r="R43" s="269"/>
      <c r="S43" s="270"/>
      <c r="T43" s="269"/>
      <c r="U43" s="270"/>
      <c r="V43" s="127"/>
      <c r="W43" s="127"/>
    </row>
    <row r="44" spans="1:23" ht="10" customHeight="1" thickBot="1">
      <c r="A44" s="131">
        <v>6</v>
      </c>
      <c r="B44" s="276"/>
      <c r="C44" s="277"/>
      <c r="D44" s="278"/>
      <c r="E44" s="279"/>
      <c r="F44" s="296"/>
      <c r="G44" s="297"/>
      <c r="H44" s="296"/>
      <c r="I44" s="297"/>
      <c r="J44" s="296"/>
      <c r="K44" s="297"/>
      <c r="L44" s="278"/>
      <c r="M44" s="279"/>
      <c r="N44" s="276"/>
      <c r="O44" s="277"/>
      <c r="P44" s="276"/>
      <c r="Q44" s="277"/>
      <c r="R44" s="276"/>
      <c r="S44" s="277"/>
      <c r="T44" s="276"/>
      <c r="U44" s="277"/>
      <c r="V44" s="127"/>
      <c r="W44" s="127"/>
    </row>
    <row r="45" spans="1:23" ht="10" customHeight="1">
      <c r="A45" s="127"/>
      <c r="B45" s="262"/>
      <c r="C45" s="263"/>
      <c r="D45" s="266"/>
      <c r="E45" s="283"/>
      <c r="F45" s="292"/>
      <c r="G45" s="293"/>
      <c r="H45" s="292"/>
      <c r="I45" s="293"/>
      <c r="J45" s="292"/>
      <c r="K45" s="293"/>
      <c r="L45" s="292"/>
      <c r="M45" s="293"/>
      <c r="N45" s="292"/>
      <c r="O45" s="293"/>
      <c r="P45" s="292"/>
      <c r="Q45" s="293"/>
      <c r="R45" s="292"/>
      <c r="S45" s="293"/>
      <c r="T45" s="266"/>
      <c r="U45" s="263"/>
      <c r="V45" s="127"/>
      <c r="W45" s="127"/>
    </row>
    <row r="46" spans="1:23" ht="10" customHeight="1">
      <c r="A46" s="127"/>
      <c r="B46" s="269"/>
      <c r="C46" s="270"/>
      <c r="D46" s="273"/>
      <c r="E46" s="286"/>
      <c r="F46" s="294"/>
      <c r="G46" s="295"/>
      <c r="H46" s="294"/>
      <c r="I46" s="295"/>
      <c r="J46" s="294"/>
      <c r="K46" s="295"/>
      <c r="L46" s="294"/>
      <c r="M46" s="295"/>
      <c r="N46" s="294"/>
      <c r="O46" s="295"/>
      <c r="P46" s="294"/>
      <c r="Q46" s="295"/>
      <c r="R46" s="294"/>
      <c r="S46" s="295"/>
      <c r="T46" s="273"/>
      <c r="U46" s="270"/>
      <c r="V46" s="127"/>
      <c r="W46" s="127"/>
    </row>
    <row r="47" spans="1:23" ht="10" customHeight="1">
      <c r="A47" s="127"/>
      <c r="B47" s="269"/>
      <c r="C47" s="270"/>
      <c r="D47" s="273"/>
      <c r="E47" s="286"/>
      <c r="F47" s="294"/>
      <c r="G47" s="295"/>
      <c r="H47" s="294"/>
      <c r="I47" s="295"/>
      <c r="J47" s="294"/>
      <c r="K47" s="295"/>
      <c r="L47" s="294"/>
      <c r="M47" s="295"/>
      <c r="N47" s="294"/>
      <c r="O47" s="295"/>
      <c r="P47" s="294"/>
      <c r="Q47" s="295"/>
      <c r="R47" s="294"/>
      <c r="S47" s="295"/>
      <c r="T47" s="273"/>
      <c r="U47" s="270"/>
      <c r="V47" s="127"/>
      <c r="W47" s="127"/>
    </row>
    <row r="48" spans="1:23" ht="10" customHeight="1">
      <c r="A48" s="127"/>
      <c r="B48" s="269"/>
      <c r="C48" s="270"/>
      <c r="D48" s="273"/>
      <c r="E48" s="286"/>
      <c r="F48" s="294"/>
      <c r="G48" s="295"/>
      <c r="H48" s="294"/>
      <c r="I48" s="295"/>
      <c r="J48" s="294"/>
      <c r="K48" s="295"/>
      <c r="L48" s="294"/>
      <c r="M48" s="295"/>
      <c r="N48" s="294"/>
      <c r="O48" s="295"/>
      <c r="P48" s="294"/>
      <c r="Q48" s="295"/>
      <c r="R48" s="294"/>
      <c r="S48" s="295"/>
      <c r="T48" s="294"/>
      <c r="U48" s="286"/>
      <c r="V48" s="127"/>
      <c r="W48" s="127"/>
    </row>
    <row r="49" spans="1:23" ht="10" customHeight="1" thickBot="1">
      <c r="A49" s="131">
        <v>7</v>
      </c>
      <c r="B49" s="276"/>
      <c r="C49" s="277"/>
      <c r="D49" s="280"/>
      <c r="E49" s="289"/>
      <c r="F49" s="296"/>
      <c r="G49" s="297"/>
      <c r="H49" s="296"/>
      <c r="I49" s="297"/>
      <c r="J49" s="296"/>
      <c r="K49" s="297"/>
      <c r="L49" s="296"/>
      <c r="M49" s="297"/>
      <c r="N49" s="296"/>
      <c r="O49" s="297"/>
      <c r="P49" s="296"/>
      <c r="Q49" s="297"/>
      <c r="R49" s="296"/>
      <c r="S49" s="297"/>
      <c r="T49" s="280"/>
      <c r="U49" s="289"/>
      <c r="V49" s="127"/>
      <c r="W49" s="127"/>
    </row>
    <row r="50" spans="1:23" ht="10" customHeight="1">
      <c r="A50" s="127"/>
      <c r="B50" s="262"/>
      <c r="C50" s="263"/>
      <c r="D50" s="264"/>
      <c r="E50" s="265"/>
      <c r="F50" s="266"/>
      <c r="G50" s="267"/>
      <c r="H50" s="264"/>
      <c r="I50" s="265"/>
      <c r="J50" s="262"/>
      <c r="K50" s="263"/>
      <c r="L50" s="262"/>
      <c r="M50" s="263"/>
      <c r="N50" s="262"/>
      <c r="O50" s="263"/>
      <c r="P50" s="262"/>
      <c r="Q50" s="263"/>
      <c r="R50" s="262"/>
      <c r="S50" s="267"/>
      <c r="T50" s="262"/>
      <c r="U50" s="265"/>
      <c r="V50" s="127"/>
      <c r="W50" s="127"/>
    </row>
    <row r="51" spans="1:23" ht="10" customHeight="1">
      <c r="A51" s="127"/>
      <c r="B51" s="269"/>
      <c r="C51" s="270"/>
      <c r="D51" s="271"/>
      <c r="E51" s="272"/>
      <c r="F51" s="273"/>
      <c r="G51" s="274"/>
      <c r="H51" s="271"/>
      <c r="I51" s="272"/>
      <c r="J51" s="269"/>
      <c r="K51" s="270"/>
      <c r="L51" s="269"/>
      <c r="M51" s="270"/>
      <c r="N51" s="269"/>
      <c r="O51" s="270"/>
      <c r="P51" s="269"/>
      <c r="Q51" s="270"/>
      <c r="R51" s="269"/>
      <c r="S51" s="274"/>
      <c r="T51" s="269"/>
      <c r="U51" s="272"/>
      <c r="V51" s="127"/>
      <c r="W51" s="127"/>
    </row>
    <row r="52" spans="1:23" ht="10" customHeight="1">
      <c r="A52" s="127"/>
      <c r="B52" s="269"/>
      <c r="C52" s="270"/>
      <c r="D52" s="271"/>
      <c r="E52" s="272"/>
      <c r="F52" s="273"/>
      <c r="G52" s="274"/>
      <c r="H52" s="271"/>
      <c r="I52" s="272"/>
      <c r="J52" s="269"/>
      <c r="K52" s="270"/>
      <c r="L52" s="269"/>
      <c r="M52" s="270"/>
      <c r="N52" s="269"/>
      <c r="O52" s="270"/>
      <c r="P52" s="269"/>
      <c r="Q52" s="270"/>
      <c r="R52" s="269"/>
      <c r="S52" s="274"/>
      <c r="T52" s="269"/>
      <c r="U52" s="272"/>
      <c r="V52" s="127"/>
      <c r="W52" s="127"/>
    </row>
    <row r="53" spans="1:23" ht="10" customHeight="1">
      <c r="A53" s="127"/>
      <c r="B53" s="269"/>
      <c r="C53" s="270"/>
      <c r="D53" s="271"/>
      <c r="E53" s="272"/>
      <c r="F53" s="273"/>
      <c r="G53" s="274"/>
      <c r="H53" s="271"/>
      <c r="I53" s="272"/>
      <c r="J53" s="269"/>
      <c r="K53" s="270"/>
      <c r="L53" s="269"/>
      <c r="M53" s="270"/>
      <c r="N53" s="269"/>
      <c r="O53" s="270"/>
      <c r="P53" s="269"/>
      <c r="Q53" s="270"/>
      <c r="R53" s="269"/>
      <c r="S53" s="274"/>
      <c r="T53" s="269"/>
      <c r="U53" s="272"/>
      <c r="V53" s="127"/>
      <c r="W53" s="127"/>
    </row>
    <row r="54" spans="1:23" ht="10" customHeight="1" thickBot="1">
      <c r="A54" s="131">
        <v>8</v>
      </c>
      <c r="B54" s="276"/>
      <c r="C54" s="277"/>
      <c r="D54" s="278"/>
      <c r="E54" s="279"/>
      <c r="F54" s="280"/>
      <c r="G54" s="281"/>
      <c r="H54" s="278"/>
      <c r="I54" s="279"/>
      <c r="J54" s="276"/>
      <c r="K54" s="277"/>
      <c r="L54" s="276"/>
      <c r="M54" s="277"/>
      <c r="N54" s="276"/>
      <c r="O54" s="277"/>
      <c r="P54" s="276"/>
      <c r="Q54" s="277"/>
      <c r="R54" s="276"/>
      <c r="S54" s="281"/>
      <c r="T54" s="276"/>
      <c r="U54" s="279"/>
      <c r="V54" s="127"/>
      <c r="W54" s="127"/>
    </row>
    <row r="55" spans="1:23" ht="10" customHeight="1">
      <c r="A55" s="127"/>
      <c r="B55" s="264"/>
      <c r="C55" s="265"/>
      <c r="D55" s="262"/>
      <c r="E55" s="263"/>
      <c r="F55" s="262"/>
      <c r="G55" s="263"/>
      <c r="H55" s="264"/>
      <c r="I55" s="26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62"/>
      <c r="U55" s="263"/>
      <c r="V55" s="127"/>
      <c r="W55" s="127"/>
    </row>
    <row r="56" spans="1:23" ht="10" customHeight="1">
      <c r="A56" s="127"/>
      <c r="B56" s="271"/>
      <c r="C56" s="272"/>
      <c r="D56" s="269"/>
      <c r="E56" s="270"/>
      <c r="F56" s="269"/>
      <c r="G56" s="270"/>
      <c r="H56" s="271"/>
      <c r="I56" s="270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69"/>
      <c r="U56" s="270"/>
      <c r="V56" s="127"/>
      <c r="W56" s="127"/>
    </row>
    <row r="57" spans="1:23" ht="10" customHeight="1">
      <c r="A57" s="127"/>
      <c r="B57" s="271"/>
      <c r="C57" s="272"/>
      <c r="D57" s="269"/>
      <c r="E57" s="270"/>
      <c r="F57" s="269"/>
      <c r="G57" s="270"/>
      <c r="H57" s="271"/>
      <c r="I57" s="270"/>
      <c r="J57" s="254"/>
      <c r="K57" s="255"/>
      <c r="L57" s="254"/>
      <c r="M57" s="255"/>
      <c r="N57" s="254"/>
      <c r="O57" s="255"/>
      <c r="P57" s="254"/>
      <c r="Q57" s="255"/>
      <c r="R57" s="254"/>
      <c r="S57" s="270"/>
      <c r="T57" s="269"/>
      <c r="U57" s="270"/>
      <c r="V57" s="127"/>
      <c r="W57" s="127"/>
    </row>
    <row r="58" spans="1:23" ht="10" customHeight="1">
      <c r="A58" s="127"/>
      <c r="B58" s="271"/>
      <c r="C58" s="272"/>
      <c r="D58" s="269"/>
      <c r="E58" s="270"/>
      <c r="F58" s="269"/>
      <c r="G58" s="270"/>
      <c r="H58" s="271"/>
      <c r="I58" s="270"/>
      <c r="J58" s="254"/>
      <c r="K58" s="255"/>
      <c r="L58" s="254"/>
      <c r="M58" s="255"/>
      <c r="N58" s="254"/>
      <c r="O58" s="255"/>
      <c r="P58" s="254"/>
      <c r="Q58" s="255"/>
      <c r="R58" s="254"/>
      <c r="S58" s="270"/>
      <c r="T58" s="269"/>
      <c r="U58" s="270"/>
      <c r="V58" s="127"/>
      <c r="W58" s="127"/>
    </row>
    <row r="59" spans="1:23" ht="10" customHeight="1" thickBot="1">
      <c r="A59" s="131">
        <v>9</v>
      </c>
      <c r="B59" s="278"/>
      <c r="C59" s="279"/>
      <c r="D59" s="276"/>
      <c r="E59" s="277"/>
      <c r="F59" s="276"/>
      <c r="G59" s="277"/>
      <c r="H59" s="278"/>
      <c r="I59" s="277"/>
      <c r="J59" s="256"/>
      <c r="K59" s="257"/>
      <c r="L59" s="256"/>
      <c r="M59" s="257"/>
      <c r="N59" s="256"/>
      <c r="O59" s="257"/>
      <c r="P59" s="256"/>
      <c r="Q59" s="257"/>
      <c r="R59" s="256"/>
      <c r="S59" s="277"/>
      <c r="T59" s="276"/>
      <c r="U59" s="277"/>
      <c r="V59" s="127"/>
      <c r="W59" s="127"/>
    </row>
    <row r="60" spans="1:23" ht="10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0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0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0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0" customHeight="1" thickBot="1">
      <c r="A64" s="131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688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688000</v>
      </c>
    </row>
    <row r="4" spans="1:23" ht="18" customHeight="1">
      <c r="A4" s="127"/>
      <c r="B4" s="194"/>
      <c r="C4" s="131" t="s">
        <v>576</v>
      </c>
      <c r="D4" s="131">
        <v>161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161000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92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92000</v>
      </c>
    </row>
    <row r="7" spans="1:23" ht="18" customHeight="1">
      <c r="A7" s="127"/>
      <c r="B7" s="205"/>
      <c r="C7" s="131" t="s">
        <v>579</v>
      </c>
      <c r="D7" s="131">
        <v>80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80000</v>
      </c>
    </row>
    <row r="8" spans="1:23" ht="18" customHeight="1">
      <c r="A8" s="127"/>
      <c r="B8" s="260"/>
      <c r="C8" s="131" t="s">
        <v>580</v>
      </c>
      <c r="D8" s="131">
        <v>87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87000</v>
      </c>
    </row>
    <row r="9" spans="1:23" ht="18" customHeight="1">
      <c r="A9" s="127"/>
      <c r="B9" s="202"/>
      <c r="C9" s="131" t="s">
        <v>581</v>
      </c>
      <c r="D9" s="131">
        <v>136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136000</v>
      </c>
    </row>
    <row r="10" spans="1:23" ht="18" customHeight="1">
      <c r="A10" s="127"/>
      <c r="B10" s="261"/>
      <c r="C10" s="131" t="s">
        <v>582</v>
      </c>
      <c r="D10" s="131">
        <v>49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49000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1293000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40"/>
      <c r="C15" s="141"/>
      <c r="D15" s="151"/>
      <c r="E15" s="152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51"/>
      <c r="U15" s="152"/>
      <c r="V15" s="127"/>
      <c r="W15" s="127"/>
    </row>
    <row r="16" spans="1:23" ht="10" customHeight="1">
      <c r="A16" s="127"/>
      <c r="B16" s="144"/>
      <c r="C16" s="145"/>
      <c r="D16" s="157"/>
      <c r="E16" s="158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58"/>
      <c r="V16" s="127"/>
      <c r="W16" s="127"/>
    </row>
    <row r="17" spans="1:23" ht="10" customHeight="1">
      <c r="A17" s="127"/>
      <c r="B17" s="144"/>
      <c r="C17" s="145"/>
      <c r="D17" s="157"/>
      <c r="E17" s="158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57"/>
      <c r="Q17" s="158"/>
      <c r="R17" s="142"/>
      <c r="S17" s="143"/>
      <c r="T17" s="142"/>
      <c r="U17" s="158"/>
      <c r="V17" s="127"/>
      <c r="W17" s="127"/>
    </row>
    <row r="18" spans="1:23" ht="10" customHeight="1">
      <c r="A18" s="127"/>
      <c r="B18" s="144"/>
      <c r="C18" s="145"/>
      <c r="D18" s="157"/>
      <c r="E18" s="158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57"/>
      <c r="Q18" s="158"/>
      <c r="R18" s="142"/>
      <c r="S18" s="143"/>
      <c r="T18" s="142"/>
      <c r="U18" s="158"/>
      <c r="V18" s="127"/>
      <c r="W18" s="127"/>
    </row>
    <row r="19" spans="1:23" ht="10" customHeight="1" thickBot="1">
      <c r="A19" s="131">
        <v>1</v>
      </c>
      <c r="B19" s="149"/>
      <c r="C19" s="150"/>
      <c r="D19" s="163"/>
      <c r="E19" s="164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63"/>
      <c r="Q19" s="164"/>
      <c r="R19" s="147"/>
      <c r="S19" s="148"/>
      <c r="T19" s="147"/>
      <c r="U19" s="164"/>
      <c r="V19" s="127"/>
      <c r="W19" s="127"/>
    </row>
    <row r="20" spans="1:23" ht="10" customHeight="1">
      <c r="A20" s="127"/>
      <c r="B20" s="138"/>
      <c r="C20" s="139"/>
      <c r="D20" s="138"/>
      <c r="E20" s="139"/>
      <c r="F20" s="140"/>
      <c r="G20" s="141"/>
      <c r="H20" s="138"/>
      <c r="I20" s="139"/>
      <c r="J20" s="138"/>
      <c r="K20" s="139"/>
      <c r="L20" s="151"/>
      <c r="M20" s="178"/>
      <c r="N20" s="151"/>
      <c r="O20" s="152"/>
      <c r="P20" s="138"/>
      <c r="Q20" s="139"/>
      <c r="R20" s="138"/>
      <c r="S20" s="139"/>
      <c r="T20" s="151"/>
      <c r="U20" s="152"/>
      <c r="V20" s="127"/>
      <c r="W20" s="127"/>
    </row>
    <row r="21" spans="1:23" ht="10" customHeight="1">
      <c r="A21" s="127"/>
      <c r="B21" s="142"/>
      <c r="C21" s="143"/>
      <c r="D21" s="142"/>
      <c r="E21" s="143"/>
      <c r="F21" s="144"/>
      <c r="G21" s="145"/>
      <c r="H21" s="142"/>
      <c r="I21" s="143"/>
      <c r="J21" s="142"/>
      <c r="K21" s="143"/>
      <c r="L21" s="157"/>
      <c r="M21" s="187"/>
      <c r="N21" s="157"/>
      <c r="O21" s="158"/>
      <c r="P21" s="142"/>
      <c r="Q21" s="143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2"/>
      <c r="C22" s="143"/>
      <c r="D22" s="142"/>
      <c r="E22" s="143"/>
      <c r="F22" s="144"/>
      <c r="G22" s="145"/>
      <c r="H22" s="142"/>
      <c r="I22" s="143"/>
      <c r="J22" s="142"/>
      <c r="K22" s="143"/>
      <c r="L22" s="157"/>
      <c r="M22" s="187"/>
      <c r="N22" s="169"/>
      <c r="O22" s="158"/>
      <c r="P22" s="142"/>
      <c r="Q22" s="143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2"/>
      <c r="C23" s="143"/>
      <c r="D23" s="142"/>
      <c r="E23" s="143"/>
      <c r="F23" s="144"/>
      <c r="G23" s="145"/>
      <c r="H23" s="142"/>
      <c r="I23" s="143"/>
      <c r="J23" s="142"/>
      <c r="K23" s="143"/>
      <c r="L23" s="157"/>
      <c r="M23" s="187"/>
      <c r="N23" s="169"/>
      <c r="O23" s="158"/>
      <c r="P23" s="142"/>
      <c r="Q23" s="143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7"/>
      <c r="C24" s="148"/>
      <c r="D24" s="147"/>
      <c r="E24" s="148"/>
      <c r="F24" s="149"/>
      <c r="G24" s="150"/>
      <c r="H24" s="147"/>
      <c r="I24" s="148"/>
      <c r="J24" s="147"/>
      <c r="K24" s="148"/>
      <c r="L24" s="163"/>
      <c r="M24" s="177"/>
      <c r="N24" s="147"/>
      <c r="O24" s="164"/>
      <c r="P24" s="163"/>
      <c r="Q24" s="148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86"/>
      <c r="C25" s="178"/>
      <c r="D25" s="138"/>
      <c r="E25" s="139"/>
      <c r="F25" s="154"/>
      <c r="G25" s="153"/>
      <c r="H25" s="154"/>
      <c r="I25" s="153"/>
      <c r="J25" s="154"/>
      <c r="K25" s="153"/>
      <c r="L25" s="186"/>
      <c r="M25" s="178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3" ht="10" customHeight="1">
      <c r="A26" s="127"/>
      <c r="B26" s="169"/>
      <c r="C26" s="187"/>
      <c r="D26" s="142"/>
      <c r="E26" s="143"/>
      <c r="F26" s="160"/>
      <c r="G26" s="159"/>
      <c r="H26" s="160"/>
      <c r="I26" s="159"/>
      <c r="J26" s="160"/>
      <c r="K26" s="159"/>
      <c r="L26" s="169"/>
      <c r="M26" s="187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3" ht="10" customHeight="1">
      <c r="A27" s="127"/>
      <c r="B27" s="169"/>
      <c r="C27" s="187"/>
      <c r="D27" s="142"/>
      <c r="E27" s="143"/>
      <c r="F27" s="160"/>
      <c r="G27" s="159"/>
      <c r="H27" s="160"/>
      <c r="I27" s="159"/>
      <c r="J27" s="160"/>
      <c r="K27" s="159"/>
      <c r="L27" s="169"/>
      <c r="M27" s="187"/>
      <c r="N27" s="142"/>
      <c r="O27" s="143"/>
      <c r="P27" s="142"/>
      <c r="Q27" s="143"/>
      <c r="R27" s="142"/>
      <c r="S27" s="143"/>
      <c r="T27" s="142"/>
      <c r="U27" s="143"/>
      <c r="V27" s="127"/>
      <c r="W27" s="127"/>
    </row>
    <row r="28" spans="1:23" ht="10" customHeight="1">
      <c r="A28" s="127"/>
      <c r="B28" s="169"/>
      <c r="C28" s="187"/>
      <c r="D28" s="142"/>
      <c r="E28" s="143"/>
      <c r="F28" s="160"/>
      <c r="G28" s="159"/>
      <c r="H28" s="160"/>
      <c r="I28" s="159"/>
      <c r="J28" s="160"/>
      <c r="K28" s="159"/>
      <c r="L28" s="169"/>
      <c r="M28" s="187"/>
      <c r="N28" s="142"/>
      <c r="O28" s="143"/>
      <c r="P28" s="142"/>
      <c r="Q28" s="143"/>
      <c r="R28" s="142"/>
      <c r="S28" s="143"/>
      <c r="T28" s="142"/>
      <c r="U28" s="143"/>
      <c r="V28" s="127"/>
      <c r="W28" s="127"/>
    </row>
    <row r="29" spans="1:23" ht="10" customHeight="1" thickBot="1">
      <c r="A29" s="131">
        <v>3</v>
      </c>
      <c r="B29" s="170"/>
      <c r="C29" s="177"/>
      <c r="D29" s="147"/>
      <c r="E29" s="148"/>
      <c r="F29" s="166"/>
      <c r="G29" s="165"/>
      <c r="H29" s="166"/>
      <c r="I29" s="165"/>
      <c r="J29" s="166"/>
      <c r="K29" s="165"/>
      <c r="L29" s="170"/>
      <c r="M29" s="177"/>
      <c r="N29" s="147"/>
      <c r="O29" s="148"/>
      <c r="P29" s="147"/>
      <c r="Q29" s="148"/>
      <c r="R29" s="147"/>
      <c r="S29" s="148"/>
      <c r="T29" s="147"/>
      <c r="U29" s="148"/>
      <c r="V29" s="127"/>
      <c r="W29" s="127"/>
    </row>
    <row r="30" spans="1:23" ht="10" customHeight="1">
      <c r="A30" s="127"/>
      <c r="B30" s="138"/>
      <c r="C30" s="139"/>
      <c r="D30" s="138"/>
      <c r="E30" s="139"/>
      <c r="F30" s="138"/>
      <c r="G30" s="139"/>
      <c r="H30" s="138"/>
      <c r="I30" s="139"/>
      <c r="J30" s="140"/>
      <c r="K30" s="141"/>
      <c r="L30" s="138"/>
      <c r="M30" s="139"/>
      <c r="N30" s="138"/>
      <c r="O30" s="139"/>
      <c r="P30" s="140"/>
      <c r="Q30" s="141"/>
      <c r="R30" s="138"/>
      <c r="S30" s="139"/>
      <c r="T30" s="138"/>
      <c r="U30" s="139"/>
      <c r="V30" s="127"/>
      <c r="W30" s="127"/>
    </row>
    <row r="31" spans="1:23" ht="10" customHeight="1">
      <c r="A31" s="127"/>
      <c r="B31" s="142"/>
      <c r="C31" s="143"/>
      <c r="D31" s="142"/>
      <c r="E31" s="143"/>
      <c r="F31" s="142"/>
      <c r="G31" s="143"/>
      <c r="H31" s="142"/>
      <c r="I31" s="143"/>
      <c r="J31" s="144"/>
      <c r="K31" s="145"/>
      <c r="L31" s="142"/>
      <c r="M31" s="143"/>
      <c r="N31" s="142"/>
      <c r="O31" s="143"/>
      <c r="P31" s="144"/>
      <c r="Q31" s="145"/>
      <c r="R31" s="142"/>
      <c r="S31" s="143"/>
      <c r="T31" s="142"/>
      <c r="U31" s="143"/>
      <c r="V31" s="127"/>
      <c r="W31" s="127"/>
    </row>
    <row r="32" spans="1:23" ht="10" customHeight="1">
      <c r="A32" s="127"/>
      <c r="B32" s="142"/>
      <c r="C32" s="143"/>
      <c r="D32" s="142"/>
      <c r="E32" s="143"/>
      <c r="F32" s="142"/>
      <c r="G32" s="143"/>
      <c r="H32" s="142"/>
      <c r="I32" s="143"/>
      <c r="J32" s="144"/>
      <c r="K32" s="145"/>
      <c r="L32" s="142"/>
      <c r="M32" s="143"/>
      <c r="N32" s="142"/>
      <c r="O32" s="143"/>
      <c r="P32" s="144"/>
      <c r="Q32" s="145"/>
      <c r="R32" s="142"/>
      <c r="S32" s="143"/>
      <c r="T32" s="142"/>
      <c r="U32" s="143"/>
      <c r="V32" s="127"/>
      <c r="W32" s="127"/>
    </row>
    <row r="33" spans="1:23" ht="10" customHeight="1">
      <c r="A33" s="127"/>
      <c r="B33" s="142"/>
      <c r="C33" s="143"/>
      <c r="D33" s="142"/>
      <c r="E33" s="143"/>
      <c r="F33" s="142"/>
      <c r="G33" s="143"/>
      <c r="H33" s="142"/>
      <c r="I33" s="143"/>
      <c r="J33" s="144"/>
      <c r="K33" s="145"/>
      <c r="L33" s="142"/>
      <c r="M33" s="143"/>
      <c r="N33" s="142"/>
      <c r="O33" s="143"/>
      <c r="P33" s="144"/>
      <c r="Q33" s="145"/>
      <c r="R33" s="142"/>
      <c r="S33" s="143"/>
      <c r="T33" s="142"/>
      <c r="U33" s="143"/>
      <c r="V33" s="127"/>
      <c r="W33" s="127"/>
    </row>
    <row r="34" spans="1:23" ht="10" customHeight="1" thickBot="1">
      <c r="A34" s="131">
        <v>4</v>
      </c>
      <c r="B34" s="147"/>
      <c r="C34" s="148"/>
      <c r="D34" s="147"/>
      <c r="E34" s="148"/>
      <c r="F34" s="147"/>
      <c r="G34" s="148"/>
      <c r="H34" s="147"/>
      <c r="I34" s="148"/>
      <c r="J34" s="149"/>
      <c r="K34" s="150"/>
      <c r="L34" s="147"/>
      <c r="M34" s="148"/>
      <c r="N34" s="147"/>
      <c r="O34" s="148"/>
      <c r="P34" s="149"/>
      <c r="Q34" s="150"/>
      <c r="R34" s="147"/>
      <c r="S34" s="148"/>
      <c r="T34" s="147"/>
      <c r="U34" s="148"/>
      <c r="V34" s="127"/>
      <c r="W34" s="127"/>
    </row>
    <row r="35" spans="1:23" ht="10" customHeight="1">
      <c r="A35" s="127"/>
      <c r="B35" s="138"/>
      <c r="C35" s="139"/>
      <c r="D35" s="140"/>
      <c r="E35" s="141"/>
      <c r="F35" s="138"/>
      <c r="G35" s="139"/>
      <c r="H35" s="151"/>
      <c r="I35" s="152"/>
      <c r="J35" s="138"/>
      <c r="K35" s="139"/>
      <c r="L35" s="138"/>
      <c r="M35" s="141"/>
      <c r="N35" s="140"/>
      <c r="O35" s="153"/>
      <c r="P35" s="154"/>
      <c r="Q35" s="139"/>
      <c r="R35" s="138"/>
      <c r="S35" s="139"/>
      <c r="T35" s="138"/>
      <c r="U35" s="139"/>
      <c r="V35" s="127"/>
      <c r="W35" s="127"/>
    </row>
    <row r="36" spans="1:23" ht="10" customHeight="1">
      <c r="A36" s="127"/>
      <c r="B36" s="142"/>
      <c r="C36" s="143"/>
      <c r="D36" s="144"/>
      <c r="E36" s="145"/>
      <c r="F36" s="142"/>
      <c r="G36" s="143"/>
      <c r="H36" s="157"/>
      <c r="I36" s="158"/>
      <c r="J36" s="142"/>
      <c r="K36" s="143"/>
      <c r="L36" s="142"/>
      <c r="M36" s="145"/>
      <c r="N36" s="144"/>
      <c r="O36" s="159"/>
      <c r="P36" s="160"/>
      <c r="Q36" s="143"/>
      <c r="R36" s="142"/>
      <c r="S36" s="143"/>
      <c r="T36" s="157"/>
      <c r="U36" s="158"/>
      <c r="V36" s="127"/>
      <c r="W36" s="127"/>
    </row>
    <row r="37" spans="1:23" ht="10" customHeight="1">
      <c r="A37" s="127"/>
      <c r="B37" s="142"/>
      <c r="C37" s="143"/>
      <c r="D37" s="144"/>
      <c r="E37" s="145"/>
      <c r="F37" s="142"/>
      <c r="G37" s="143"/>
      <c r="H37" s="157"/>
      <c r="I37" s="158"/>
      <c r="J37" s="142"/>
      <c r="K37" s="143"/>
      <c r="L37" s="142"/>
      <c r="M37" s="145"/>
      <c r="N37" s="144"/>
      <c r="O37" s="159"/>
      <c r="P37" s="160"/>
      <c r="Q37" s="159"/>
      <c r="R37" s="160"/>
      <c r="S37" s="159"/>
      <c r="T37" s="157"/>
      <c r="U37" s="158"/>
      <c r="V37" s="127"/>
      <c r="W37" s="127"/>
    </row>
    <row r="38" spans="1:23" ht="10" customHeight="1">
      <c r="A38" s="127"/>
      <c r="B38" s="142"/>
      <c r="C38" s="143"/>
      <c r="D38" s="144"/>
      <c r="E38" s="145"/>
      <c r="F38" s="142"/>
      <c r="G38" s="143"/>
      <c r="H38" s="157"/>
      <c r="I38" s="158"/>
      <c r="J38" s="142"/>
      <c r="K38" s="143"/>
      <c r="L38" s="142"/>
      <c r="M38" s="145"/>
      <c r="N38" s="144"/>
      <c r="O38" s="159"/>
      <c r="P38" s="160"/>
      <c r="Q38" s="159"/>
      <c r="R38" s="160"/>
      <c r="S38" s="159"/>
      <c r="T38" s="157"/>
      <c r="U38" s="158"/>
      <c r="V38" s="127"/>
      <c r="W38" s="127"/>
    </row>
    <row r="39" spans="1:23" ht="10" customHeight="1" thickBot="1">
      <c r="A39" s="131">
        <v>5</v>
      </c>
      <c r="B39" s="147"/>
      <c r="C39" s="148"/>
      <c r="D39" s="149"/>
      <c r="E39" s="150"/>
      <c r="F39" s="147"/>
      <c r="G39" s="148"/>
      <c r="H39" s="163"/>
      <c r="I39" s="164"/>
      <c r="J39" s="147"/>
      <c r="K39" s="148"/>
      <c r="L39" s="147"/>
      <c r="M39" s="150"/>
      <c r="N39" s="149"/>
      <c r="O39" s="165"/>
      <c r="P39" s="166"/>
      <c r="Q39" s="165"/>
      <c r="R39" s="166"/>
      <c r="S39" s="165"/>
      <c r="T39" s="163"/>
      <c r="U39" s="164"/>
      <c r="V39" s="127"/>
      <c r="W39" s="127"/>
    </row>
    <row r="40" spans="1:23" ht="10" customHeight="1">
      <c r="A40" s="127"/>
      <c r="B40" s="138"/>
      <c r="C40" s="139"/>
      <c r="D40" s="151"/>
      <c r="E40" s="141"/>
      <c r="F40" s="140"/>
      <c r="G40" s="139"/>
      <c r="H40" s="138"/>
      <c r="I40" s="155"/>
      <c r="J40" s="156"/>
      <c r="K40" s="155"/>
      <c r="L40" s="156"/>
      <c r="M40" s="155"/>
      <c r="N40" s="156"/>
      <c r="O40" s="155"/>
      <c r="P40" s="138"/>
      <c r="Q40" s="139"/>
      <c r="R40" s="138"/>
      <c r="S40" s="139"/>
      <c r="T40" s="138"/>
      <c r="U40" s="139"/>
      <c r="V40" s="127"/>
      <c r="W40" s="127"/>
    </row>
    <row r="41" spans="1:23" ht="10" customHeight="1">
      <c r="A41" s="127"/>
      <c r="B41" s="142"/>
      <c r="C41" s="143"/>
      <c r="D41" s="157"/>
      <c r="E41" s="145"/>
      <c r="F41" s="144"/>
      <c r="G41" s="143"/>
      <c r="H41" s="142"/>
      <c r="I41" s="161"/>
      <c r="J41" s="162"/>
      <c r="K41" s="161"/>
      <c r="L41" s="162"/>
      <c r="M41" s="161"/>
      <c r="N41" s="162"/>
      <c r="O41" s="161"/>
      <c r="P41" s="142"/>
      <c r="Q41" s="143"/>
      <c r="R41" s="142"/>
      <c r="S41" s="143"/>
      <c r="T41" s="142"/>
      <c r="U41" s="143"/>
      <c r="V41" s="127"/>
      <c r="W41" s="127"/>
    </row>
    <row r="42" spans="1:23" ht="10" customHeight="1">
      <c r="A42" s="127"/>
      <c r="B42" s="142"/>
      <c r="C42" s="143"/>
      <c r="D42" s="157"/>
      <c r="E42" s="145"/>
      <c r="F42" s="144"/>
      <c r="G42" s="143"/>
      <c r="H42" s="142"/>
      <c r="I42" s="161"/>
      <c r="J42" s="162"/>
      <c r="K42" s="161"/>
      <c r="L42" s="162"/>
      <c r="M42" s="161"/>
      <c r="N42" s="162"/>
      <c r="O42" s="161"/>
      <c r="P42" s="142"/>
      <c r="Q42" s="143"/>
      <c r="R42" s="142"/>
      <c r="S42" s="158"/>
      <c r="T42" s="142"/>
      <c r="U42" s="143"/>
      <c r="V42" s="127"/>
      <c r="W42" s="127"/>
    </row>
    <row r="43" spans="1:23" ht="10" customHeight="1">
      <c r="A43" s="127"/>
      <c r="B43" s="142"/>
      <c r="C43" s="143"/>
      <c r="D43" s="157"/>
      <c r="E43" s="145"/>
      <c r="F43" s="144"/>
      <c r="G43" s="143"/>
      <c r="H43" s="142"/>
      <c r="I43" s="161"/>
      <c r="J43" s="162"/>
      <c r="K43" s="161"/>
      <c r="L43" s="162"/>
      <c r="M43" s="161"/>
      <c r="N43" s="162"/>
      <c r="O43" s="161"/>
      <c r="P43" s="142"/>
      <c r="Q43" s="143"/>
      <c r="R43" s="142"/>
      <c r="S43" s="158"/>
      <c r="T43" s="142"/>
      <c r="U43" s="143"/>
      <c r="V43" s="127"/>
      <c r="W43" s="127"/>
    </row>
    <row r="44" spans="1:23" ht="10" customHeight="1" thickBot="1">
      <c r="A44" s="131">
        <v>6</v>
      </c>
      <c r="B44" s="147"/>
      <c r="C44" s="148"/>
      <c r="D44" s="163"/>
      <c r="E44" s="150"/>
      <c r="F44" s="149"/>
      <c r="G44" s="148"/>
      <c r="H44" s="147"/>
      <c r="I44" s="167"/>
      <c r="J44" s="168"/>
      <c r="K44" s="167"/>
      <c r="L44" s="168"/>
      <c r="M44" s="167"/>
      <c r="N44" s="168"/>
      <c r="O44" s="167"/>
      <c r="P44" s="147"/>
      <c r="Q44" s="148"/>
      <c r="R44" s="147"/>
      <c r="S44" s="164"/>
      <c r="T44" s="163"/>
      <c r="U44" s="148"/>
      <c r="V44" s="127"/>
      <c r="W44" s="127"/>
    </row>
    <row r="45" spans="1:23" ht="10" customHeight="1">
      <c r="A45" s="127"/>
      <c r="B45" s="138"/>
      <c r="C45" s="139"/>
      <c r="D45" s="140"/>
      <c r="E45" s="141"/>
      <c r="F45" s="138"/>
      <c r="G45" s="155"/>
      <c r="H45" s="156"/>
      <c r="I45" s="155"/>
      <c r="J45" s="156"/>
      <c r="K45" s="139"/>
      <c r="L45" s="138"/>
      <c r="M45" s="139"/>
      <c r="N45" s="138"/>
      <c r="O45" s="139"/>
      <c r="P45" s="138"/>
      <c r="Q45" s="141"/>
      <c r="R45" s="138"/>
      <c r="S45" s="141"/>
      <c r="T45" s="138"/>
      <c r="U45" s="139"/>
      <c r="V45" s="127"/>
      <c r="W45" s="127"/>
    </row>
    <row r="46" spans="1:23" ht="10" customHeight="1">
      <c r="A46" s="127"/>
      <c r="B46" s="142"/>
      <c r="C46" s="143"/>
      <c r="D46" s="144"/>
      <c r="E46" s="145"/>
      <c r="F46" s="142"/>
      <c r="G46" s="161"/>
      <c r="H46" s="162"/>
      <c r="I46" s="161"/>
      <c r="J46" s="162"/>
      <c r="K46" s="143"/>
      <c r="L46" s="142"/>
      <c r="M46" s="143"/>
      <c r="N46" s="142"/>
      <c r="O46" s="143"/>
      <c r="P46" s="142"/>
      <c r="Q46" s="145"/>
      <c r="R46" s="142"/>
      <c r="S46" s="145"/>
      <c r="T46" s="142"/>
      <c r="U46" s="143"/>
      <c r="V46" s="127"/>
      <c r="W46" s="127"/>
    </row>
    <row r="47" spans="1:23" ht="10" customHeight="1">
      <c r="A47" s="127"/>
      <c r="B47" s="142"/>
      <c r="C47" s="143"/>
      <c r="D47" s="144"/>
      <c r="E47" s="145"/>
      <c r="F47" s="142"/>
      <c r="G47" s="161"/>
      <c r="H47" s="162"/>
      <c r="I47" s="161"/>
      <c r="J47" s="162"/>
      <c r="K47" s="143"/>
      <c r="L47" s="142"/>
      <c r="M47" s="143"/>
      <c r="N47" s="142"/>
      <c r="O47" s="143"/>
      <c r="P47" s="142"/>
      <c r="Q47" s="145"/>
      <c r="R47" s="142"/>
      <c r="S47" s="145"/>
      <c r="T47" s="142"/>
      <c r="U47" s="143"/>
      <c r="V47" s="127"/>
      <c r="W47" s="127"/>
    </row>
    <row r="48" spans="1:23" ht="10" customHeight="1">
      <c r="A48" s="127"/>
      <c r="B48" s="142"/>
      <c r="C48" s="143"/>
      <c r="D48" s="144"/>
      <c r="E48" s="145"/>
      <c r="F48" s="142"/>
      <c r="G48" s="161"/>
      <c r="H48" s="162"/>
      <c r="I48" s="161"/>
      <c r="J48" s="162"/>
      <c r="K48" s="143"/>
      <c r="L48" s="142"/>
      <c r="M48" s="143"/>
      <c r="N48" s="142"/>
      <c r="O48" s="143"/>
      <c r="P48" s="142"/>
      <c r="Q48" s="145"/>
      <c r="R48" s="142"/>
      <c r="S48" s="145"/>
      <c r="T48" s="142"/>
      <c r="U48" s="143"/>
      <c r="V48" s="127"/>
      <c r="W48" s="127"/>
    </row>
    <row r="49" spans="1:23" ht="10" customHeight="1" thickBot="1">
      <c r="A49" s="131">
        <v>7</v>
      </c>
      <c r="B49" s="147"/>
      <c r="C49" s="148"/>
      <c r="D49" s="149"/>
      <c r="E49" s="150"/>
      <c r="F49" s="147"/>
      <c r="G49" s="167"/>
      <c r="H49" s="168"/>
      <c r="I49" s="167"/>
      <c r="J49" s="168"/>
      <c r="K49" s="148"/>
      <c r="L49" s="147"/>
      <c r="M49" s="148"/>
      <c r="N49" s="147"/>
      <c r="O49" s="148"/>
      <c r="P49" s="147"/>
      <c r="Q49" s="150"/>
      <c r="R49" s="147"/>
      <c r="S49" s="150"/>
      <c r="T49" s="149"/>
      <c r="U49" s="148"/>
      <c r="V49" s="127"/>
      <c r="W49" s="127"/>
    </row>
    <row r="50" spans="1:23" ht="10" customHeight="1">
      <c r="A50" s="127"/>
      <c r="B50" s="138"/>
      <c r="C50" s="139"/>
      <c r="D50" s="140"/>
      <c r="E50" s="141"/>
      <c r="F50" s="138"/>
      <c r="G50" s="178"/>
      <c r="H50" s="186"/>
      <c r="I50" s="178"/>
      <c r="J50" s="186"/>
      <c r="K50" s="178"/>
      <c r="L50" s="186"/>
      <c r="M50" s="155"/>
      <c r="N50" s="156"/>
      <c r="O50" s="155"/>
      <c r="P50" s="138"/>
      <c r="Q50" s="152"/>
      <c r="R50" s="186"/>
      <c r="S50" s="139"/>
      <c r="T50" s="142"/>
      <c r="U50" s="139"/>
      <c r="V50" s="127"/>
      <c r="W50" s="127"/>
    </row>
    <row r="51" spans="1:23" ht="10" customHeight="1">
      <c r="A51" s="127"/>
      <c r="B51" s="142"/>
      <c r="C51" s="143"/>
      <c r="D51" s="144"/>
      <c r="E51" s="145"/>
      <c r="F51" s="142"/>
      <c r="G51" s="187"/>
      <c r="H51" s="169"/>
      <c r="I51" s="187"/>
      <c r="J51" s="169"/>
      <c r="K51" s="187"/>
      <c r="L51" s="169"/>
      <c r="M51" s="161"/>
      <c r="N51" s="162"/>
      <c r="O51" s="161"/>
      <c r="P51" s="142"/>
      <c r="Q51" s="143"/>
      <c r="R51" s="142"/>
      <c r="S51" s="143"/>
      <c r="T51" s="142"/>
      <c r="U51" s="143"/>
      <c r="V51" s="127"/>
      <c r="W51" s="127"/>
    </row>
    <row r="52" spans="1:23" ht="10" customHeight="1">
      <c r="A52" s="127"/>
      <c r="B52" s="142"/>
      <c r="C52" s="143"/>
      <c r="D52" s="144"/>
      <c r="E52" s="145"/>
      <c r="F52" s="142"/>
      <c r="G52" s="187"/>
      <c r="H52" s="169"/>
      <c r="I52" s="187"/>
      <c r="J52" s="169"/>
      <c r="K52" s="187"/>
      <c r="L52" s="169"/>
      <c r="M52" s="161"/>
      <c r="N52" s="162"/>
      <c r="O52" s="161"/>
      <c r="P52" s="142"/>
      <c r="Q52" s="143"/>
      <c r="R52" s="142"/>
      <c r="S52" s="143"/>
      <c r="T52" s="142"/>
      <c r="U52" s="143"/>
      <c r="V52" s="127"/>
      <c r="W52" s="127"/>
    </row>
    <row r="53" spans="1:23" ht="10" customHeight="1">
      <c r="A53" s="127"/>
      <c r="B53" s="142"/>
      <c r="C53" s="143"/>
      <c r="D53" s="144"/>
      <c r="E53" s="145"/>
      <c r="F53" s="142"/>
      <c r="G53" s="187"/>
      <c r="H53" s="169"/>
      <c r="I53" s="187"/>
      <c r="J53" s="169"/>
      <c r="K53" s="187"/>
      <c r="L53" s="169"/>
      <c r="M53" s="161"/>
      <c r="N53" s="162"/>
      <c r="O53" s="161"/>
      <c r="P53" s="142"/>
      <c r="Q53" s="143"/>
      <c r="R53" s="142"/>
      <c r="S53" s="143"/>
      <c r="T53" s="142"/>
      <c r="U53" s="143"/>
      <c r="V53" s="127"/>
      <c r="W53" s="127"/>
    </row>
    <row r="54" spans="1:23" ht="10" customHeight="1" thickBot="1">
      <c r="A54" s="131">
        <v>8</v>
      </c>
      <c r="B54" s="147"/>
      <c r="C54" s="148"/>
      <c r="D54" s="149"/>
      <c r="E54" s="150"/>
      <c r="F54" s="147"/>
      <c r="G54" s="177"/>
      <c r="H54" s="170"/>
      <c r="I54" s="177"/>
      <c r="J54" s="170"/>
      <c r="K54" s="177"/>
      <c r="L54" s="170"/>
      <c r="M54" s="167"/>
      <c r="N54" s="168"/>
      <c r="O54" s="167"/>
      <c r="P54" s="147"/>
      <c r="Q54" s="148"/>
      <c r="R54" s="147"/>
      <c r="S54" s="148"/>
      <c r="T54" s="147"/>
      <c r="U54" s="148"/>
      <c r="V54" s="127"/>
      <c r="W54" s="127"/>
    </row>
    <row r="55" spans="1:23" ht="10" customHeight="1">
      <c r="A55" s="127"/>
      <c r="B55" s="151"/>
      <c r="C55" s="152"/>
      <c r="D55" s="151"/>
      <c r="E55" s="141"/>
      <c r="F55" s="138"/>
      <c r="G55" s="139"/>
      <c r="H55" s="140"/>
      <c r="I55" s="141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0" customHeight="1">
      <c r="A56" s="127"/>
      <c r="B56" s="157"/>
      <c r="C56" s="158"/>
      <c r="D56" s="157"/>
      <c r="E56" s="145"/>
      <c r="F56" s="142"/>
      <c r="G56" s="143"/>
      <c r="H56" s="144"/>
      <c r="I56" s="145"/>
      <c r="J56" s="142"/>
      <c r="K56" s="143"/>
      <c r="L56" s="142"/>
      <c r="M56" s="143"/>
      <c r="N56" s="142"/>
      <c r="O56" s="143"/>
      <c r="P56" s="142"/>
      <c r="Q56" s="143"/>
      <c r="R56" s="142"/>
      <c r="S56" s="143"/>
      <c r="T56" s="142"/>
      <c r="U56" s="143"/>
      <c r="V56" s="127"/>
      <c r="W56" s="127"/>
    </row>
    <row r="57" spans="1:23" ht="10" customHeight="1">
      <c r="A57" s="127"/>
      <c r="B57" s="157"/>
      <c r="C57" s="158"/>
      <c r="D57" s="157"/>
      <c r="E57" s="145"/>
      <c r="F57" s="142"/>
      <c r="G57" s="143"/>
      <c r="H57" s="144"/>
      <c r="I57" s="145"/>
      <c r="J57" s="142"/>
      <c r="K57" s="143"/>
      <c r="L57" s="142"/>
      <c r="M57" s="143"/>
      <c r="N57" s="142"/>
      <c r="O57" s="143"/>
      <c r="P57" s="142"/>
      <c r="Q57" s="143"/>
      <c r="R57" s="142"/>
      <c r="S57" s="143"/>
      <c r="T57" s="142"/>
      <c r="U57" s="143"/>
      <c r="V57" s="127"/>
      <c r="W57" s="127"/>
    </row>
    <row r="58" spans="1:23" ht="10" customHeight="1">
      <c r="A58" s="127"/>
      <c r="B58" s="157"/>
      <c r="C58" s="158"/>
      <c r="D58" s="157"/>
      <c r="E58" s="145"/>
      <c r="F58" s="142"/>
      <c r="G58" s="143"/>
      <c r="H58" s="144"/>
      <c r="I58" s="145"/>
      <c r="J58" s="142"/>
      <c r="K58" s="143"/>
      <c r="L58" s="142"/>
      <c r="M58" s="143"/>
      <c r="N58" s="142"/>
      <c r="O58" s="143"/>
      <c r="P58" s="142"/>
      <c r="Q58" s="143"/>
      <c r="R58" s="142"/>
      <c r="S58" s="143"/>
      <c r="T58" s="142"/>
      <c r="U58" s="143"/>
      <c r="V58" s="127"/>
      <c r="W58" s="127"/>
    </row>
    <row r="59" spans="1:23" ht="10" customHeight="1" thickBot="1">
      <c r="A59" s="131">
        <v>9</v>
      </c>
      <c r="B59" s="163"/>
      <c r="C59" s="164"/>
      <c r="D59" s="163"/>
      <c r="E59" s="150"/>
      <c r="F59" s="147"/>
      <c r="G59" s="148"/>
      <c r="H59" s="149"/>
      <c r="I59" s="150"/>
      <c r="J59" s="147"/>
      <c r="K59" s="148"/>
      <c r="L59" s="147"/>
      <c r="M59" s="148"/>
      <c r="N59" s="147"/>
      <c r="O59" s="148"/>
      <c r="P59" s="147"/>
      <c r="Q59" s="148"/>
      <c r="R59" s="147"/>
      <c r="S59" s="148"/>
      <c r="T59" s="147"/>
      <c r="U59" s="148"/>
      <c r="V59" s="127"/>
      <c r="W59" s="127"/>
    </row>
    <row r="60" spans="1:23" ht="10" customHeight="1">
      <c r="A60" s="127"/>
      <c r="B60" s="138"/>
      <c r="C60" s="139"/>
      <c r="D60" s="140"/>
      <c r="E60" s="141"/>
      <c r="F60" s="151"/>
      <c r="G60" s="152"/>
      <c r="H60" s="151"/>
      <c r="I60" s="152"/>
      <c r="J60" s="151"/>
      <c r="K60" s="139"/>
      <c r="L60" s="138"/>
      <c r="M60" s="155"/>
      <c r="N60" s="156"/>
      <c r="O60" s="139"/>
      <c r="P60" s="172"/>
      <c r="Q60" s="171"/>
      <c r="R60" s="172"/>
      <c r="S60" s="171"/>
      <c r="T60" s="138"/>
      <c r="U60" s="139"/>
      <c r="V60" s="127"/>
      <c r="W60" s="127"/>
    </row>
    <row r="61" spans="1:23" ht="10" customHeight="1">
      <c r="A61" s="127"/>
      <c r="B61" s="142"/>
      <c r="C61" s="143"/>
      <c r="D61" s="144"/>
      <c r="E61" s="145"/>
      <c r="F61" s="157"/>
      <c r="G61" s="158"/>
      <c r="H61" s="157"/>
      <c r="I61" s="158"/>
      <c r="J61" s="157"/>
      <c r="K61" s="143"/>
      <c r="L61" s="142"/>
      <c r="M61" s="161"/>
      <c r="N61" s="162"/>
      <c r="O61" s="143"/>
      <c r="P61" s="174"/>
      <c r="Q61" s="173"/>
      <c r="R61" s="174"/>
      <c r="S61" s="173"/>
      <c r="T61" s="142"/>
      <c r="U61" s="143"/>
      <c r="V61" s="127"/>
      <c r="W61" s="127"/>
    </row>
    <row r="62" spans="1:23" ht="10" customHeight="1">
      <c r="A62" s="127"/>
      <c r="B62" s="142"/>
      <c r="C62" s="143"/>
      <c r="D62" s="144"/>
      <c r="E62" s="145"/>
      <c r="F62" s="157"/>
      <c r="G62" s="158"/>
      <c r="H62" s="157"/>
      <c r="I62" s="158"/>
      <c r="J62" s="157"/>
      <c r="K62" s="143"/>
      <c r="L62" s="142"/>
      <c r="M62" s="161"/>
      <c r="N62" s="162"/>
      <c r="O62" s="143"/>
      <c r="P62" s="174"/>
      <c r="Q62" s="173"/>
      <c r="R62" s="174"/>
      <c r="S62" s="173"/>
      <c r="T62" s="174"/>
      <c r="U62" s="173"/>
      <c r="V62" s="127"/>
      <c r="W62" s="127"/>
    </row>
    <row r="63" spans="1:23" ht="10" customHeight="1">
      <c r="A63" s="127"/>
      <c r="B63" s="142"/>
      <c r="C63" s="143"/>
      <c r="D63" s="144"/>
      <c r="E63" s="145"/>
      <c r="F63" s="157"/>
      <c r="G63" s="158"/>
      <c r="H63" s="157"/>
      <c r="I63" s="158"/>
      <c r="J63" s="157"/>
      <c r="K63" s="143"/>
      <c r="L63" s="142"/>
      <c r="M63" s="161"/>
      <c r="N63" s="162"/>
      <c r="O63" s="143"/>
      <c r="P63" s="174"/>
      <c r="Q63" s="173"/>
      <c r="R63" s="174"/>
      <c r="S63" s="173"/>
      <c r="T63" s="174"/>
      <c r="U63" s="173"/>
      <c r="V63" s="127"/>
      <c r="W63" s="127"/>
    </row>
    <row r="64" spans="1:23" ht="10" customHeight="1" thickBot="1">
      <c r="A64" s="131">
        <v>10</v>
      </c>
      <c r="B64" s="147"/>
      <c r="C64" s="148"/>
      <c r="D64" s="149"/>
      <c r="E64" s="150"/>
      <c r="F64" s="163"/>
      <c r="G64" s="164"/>
      <c r="H64" s="163"/>
      <c r="I64" s="164"/>
      <c r="J64" s="163"/>
      <c r="K64" s="148"/>
      <c r="L64" s="147"/>
      <c r="M64" s="167"/>
      <c r="N64" s="168"/>
      <c r="O64" s="148"/>
      <c r="P64" s="176"/>
      <c r="Q64" s="175"/>
      <c r="R64" s="176"/>
      <c r="S64" s="175"/>
      <c r="T64" s="176"/>
      <c r="U64" s="175"/>
      <c r="V64" s="127"/>
      <c r="W64" s="127"/>
    </row>
    <row r="65" spans="1:23" ht="10" customHeight="1">
      <c r="A65" s="127"/>
      <c r="B65" s="172"/>
      <c r="C65" s="171"/>
      <c r="D65" s="172"/>
      <c r="E65" s="171"/>
      <c r="F65" s="172"/>
      <c r="G65" s="171"/>
      <c r="H65" s="172"/>
      <c r="I65" s="171"/>
      <c r="J65" s="172"/>
      <c r="K65" s="171"/>
      <c r="L65" s="138"/>
      <c r="M65" s="139"/>
      <c r="N65" s="138"/>
      <c r="O65" s="139"/>
      <c r="P65" s="138"/>
      <c r="Q65" s="139"/>
      <c r="R65" s="140"/>
      <c r="S65" s="171"/>
      <c r="T65" s="172"/>
      <c r="U65" s="171"/>
      <c r="V65" s="127"/>
      <c r="W65" s="127"/>
    </row>
    <row r="66" spans="1:23" ht="10" customHeight="1">
      <c r="A66" s="127"/>
      <c r="B66" s="174"/>
      <c r="C66" s="173"/>
      <c r="D66" s="174"/>
      <c r="E66" s="173"/>
      <c r="F66" s="174"/>
      <c r="G66" s="173"/>
      <c r="H66" s="174"/>
      <c r="I66" s="173"/>
      <c r="J66" s="174"/>
      <c r="K66" s="173"/>
      <c r="L66" s="142"/>
      <c r="M66" s="143"/>
      <c r="N66" s="142"/>
      <c r="O66" s="143"/>
      <c r="P66" s="142"/>
      <c r="Q66" s="143"/>
      <c r="R66" s="144"/>
      <c r="S66" s="143"/>
      <c r="T66" s="174"/>
      <c r="U66" s="173"/>
      <c r="V66" s="127"/>
      <c r="W66" s="127"/>
    </row>
    <row r="67" spans="1:23" ht="10" customHeight="1">
      <c r="A67" s="127"/>
      <c r="B67" s="174"/>
      <c r="C67" s="173"/>
      <c r="D67" s="174"/>
      <c r="E67" s="173"/>
      <c r="F67" s="174"/>
      <c r="G67" s="173"/>
      <c r="H67" s="174"/>
      <c r="I67" s="173"/>
      <c r="J67" s="174"/>
      <c r="K67" s="173"/>
      <c r="L67" s="142"/>
      <c r="M67" s="143"/>
      <c r="N67" s="142"/>
      <c r="O67" s="143"/>
      <c r="P67" s="142"/>
      <c r="Q67" s="143"/>
      <c r="R67" s="144"/>
      <c r="S67" s="143"/>
      <c r="T67" s="174"/>
      <c r="U67" s="173"/>
      <c r="V67" s="127"/>
      <c r="W67" s="127"/>
    </row>
    <row r="68" spans="1:23" ht="10" customHeight="1">
      <c r="A68" s="127"/>
      <c r="B68" s="174"/>
      <c r="C68" s="173"/>
      <c r="D68" s="174"/>
      <c r="E68" s="173"/>
      <c r="F68" s="174"/>
      <c r="G68" s="173"/>
      <c r="H68" s="174"/>
      <c r="I68" s="173"/>
      <c r="J68" s="174"/>
      <c r="K68" s="173"/>
      <c r="L68" s="142"/>
      <c r="M68" s="143"/>
      <c r="N68" s="142"/>
      <c r="O68" s="143"/>
      <c r="P68" s="142"/>
      <c r="Q68" s="143"/>
      <c r="R68" s="144"/>
      <c r="S68" s="143"/>
      <c r="T68" s="174"/>
      <c r="U68" s="173"/>
      <c r="V68" s="127"/>
      <c r="W68" s="127"/>
    </row>
    <row r="69" spans="1:23" ht="10" customHeight="1" thickBot="1">
      <c r="A69" s="131">
        <v>11</v>
      </c>
      <c r="B69" s="176"/>
      <c r="C69" s="175"/>
      <c r="D69" s="176"/>
      <c r="E69" s="175"/>
      <c r="F69" s="176"/>
      <c r="G69" s="175"/>
      <c r="H69" s="176"/>
      <c r="I69" s="175"/>
      <c r="J69" s="176"/>
      <c r="K69" s="175"/>
      <c r="L69" s="147"/>
      <c r="M69" s="148"/>
      <c r="N69" s="147"/>
      <c r="O69" s="148"/>
      <c r="P69" s="147"/>
      <c r="Q69" s="148"/>
      <c r="R69" s="149"/>
      <c r="S69" s="164"/>
      <c r="T69" s="176"/>
      <c r="U69" s="175"/>
      <c r="V69" s="127"/>
      <c r="W69" s="127"/>
    </row>
    <row r="70" spans="1:23" ht="10" customHeight="1">
      <c r="A70" s="127"/>
      <c r="B70" s="140"/>
      <c r="C70" s="141"/>
      <c r="D70" s="151"/>
      <c r="E70" s="152"/>
      <c r="F70" s="151"/>
      <c r="G70" s="152"/>
      <c r="H70" s="151"/>
      <c r="I70" s="152"/>
      <c r="J70" s="138"/>
      <c r="K70" s="139"/>
      <c r="L70" s="138"/>
      <c r="M70" s="139"/>
      <c r="N70" s="138"/>
      <c r="O70" s="139"/>
      <c r="P70" s="138"/>
      <c r="Q70" s="139"/>
      <c r="R70" s="138"/>
      <c r="S70" s="139"/>
      <c r="T70" s="138"/>
      <c r="U70" s="139"/>
      <c r="V70" s="127"/>
      <c r="W70" s="127"/>
    </row>
    <row r="71" spans="1:23" ht="10" customHeight="1">
      <c r="A71" s="127"/>
      <c r="B71" s="144"/>
      <c r="C71" s="145"/>
      <c r="D71" s="157"/>
      <c r="E71" s="158"/>
      <c r="F71" s="157"/>
      <c r="G71" s="158"/>
      <c r="H71" s="157"/>
      <c r="I71" s="158"/>
      <c r="J71" s="142"/>
      <c r="K71" s="143"/>
      <c r="L71" s="142"/>
      <c r="M71" s="143"/>
      <c r="N71" s="142"/>
      <c r="O71" s="143"/>
      <c r="P71" s="142"/>
      <c r="Q71" s="143"/>
      <c r="R71" s="142"/>
      <c r="S71" s="143"/>
      <c r="T71" s="142"/>
      <c r="U71" s="143"/>
      <c r="V71" s="127"/>
      <c r="W71" s="127"/>
    </row>
    <row r="72" spans="1:23" ht="10" customHeight="1">
      <c r="A72" s="127"/>
      <c r="B72" s="144"/>
      <c r="C72" s="145"/>
      <c r="D72" s="157"/>
      <c r="E72" s="158"/>
      <c r="F72" s="157"/>
      <c r="G72" s="158"/>
      <c r="H72" s="157"/>
      <c r="I72" s="158"/>
      <c r="J72" s="142"/>
      <c r="K72" s="143"/>
      <c r="L72" s="142"/>
      <c r="M72" s="143"/>
      <c r="N72" s="142"/>
      <c r="O72" s="143"/>
      <c r="P72" s="142"/>
      <c r="Q72" s="143"/>
      <c r="R72" s="142"/>
      <c r="S72" s="143"/>
      <c r="T72" s="142"/>
      <c r="U72" s="143"/>
      <c r="V72" s="127"/>
      <c r="W72" s="127"/>
    </row>
    <row r="73" spans="1:23" ht="10" customHeight="1">
      <c r="A73" s="127"/>
      <c r="B73" s="144"/>
      <c r="C73" s="145"/>
      <c r="D73" s="157"/>
      <c r="E73" s="158"/>
      <c r="F73" s="157"/>
      <c r="G73" s="158"/>
      <c r="H73" s="157"/>
      <c r="I73" s="158"/>
      <c r="J73" s="142"/>
      <c r="K73" s="143"/>
      <c r="L73" s="142"/>
      <c r="M73" s="143"/>
      <c r="N73" s="142"/>
      <c r="O73" s="143"/>
      <c r="P73" s="142"/>
      <c r="Q73" s="143"/>
      <c r="R73" s="142"/>
      <c r="S73" s="143"/>
      <c r="T73" s="142"/>
      <c r="U73" s="143"/>
      <c r="V73" s="127"/>
      <c r="W73" s="127"/>
    </row>
    <row r="74" spans="1:23" ht="10" customHeight="1" thickBot="1">
      <c r="A74" s="131">
        <v>12</v>
      </c>
      <c r="B74" s="149"/>
      <c r="C74" s="150"/>
      <c r="D74" s="163"/>
      <c r="E74" s="164"/>
      <c r="F74" s="163"/>
      <c r="G74" s="164"/>
      <c r="H74" s="163"/>
      <c r="I74" s="164"/>
      <c r="J74" s="147"/>
      <c r="K74" s="148"/>
      <c r="L74" s="147"/>
      <c r="M74" s="148"/>
      <c r="N74" s="147"/>
      <c r="O74" s="148"/>
      <c r="P74" s="147"/>
      <c r="Q74" s="148"/>
      <c r="R74" s="147"/>
      <c r="S74" s="148"/>
      <c r="T74" s="147"/>
      <c r="U74" s="148"/>
      <c r="V74" s="127"/>
      <c r="W74" s="127"/>
    </row>
    <row r="75" spans="1:23" ht="10" customHeight="1">
      <c r="A75" s="127"/>
      <c r="B75" s="186"/>
      <c r="C75" s="178"/>
      <c r="D75" s="186"/>
      <c r="E75" s="141"/>
      <c r="F75" s="140"/>
      <c r="G75" s="139"/>
      <c r="H75" s="138"/>
      <c r="I75" s="178"/>
      <c r="J75" s="186"/>
      <c r="K75" s="139"/>
      <c r="L75" s="138"/>
      <c r="M75" s="139"/>
      <c r="N75" s="138"/>
      <c r="O75" s="139"/>
      <c r="P75" s="179"/>
      <c r="Q75" s="180"/>
      <c r="R75" s="186"/>
      <c r="S75" s="178"/>
      <c r="T75" s="138"/>
      <c r="U75" s="139"/>
      <c r="V75" s="127"/>
      <c r="W75" s="127"/>
    </row>
    <row r="76" spans="1:23" ht="10" customHeight="1">
      <c r="A76" s="127"/>
      <c r="B76" s="169"/>
      <c r="C76" s="187"/>
      <c r="D76" s="169"/>
      <c r="E76" s="145"/>
      <c r="F76" s="144"/>
      <c r="G76" s="143"/>
      <c r="H76" s="142"/>
      <c r="I76" s="187"/>
      <c r="J76" s="169"/>
      <c r="K76" s="143"/>
      <c r="L76" s="142"/>
      <c r="M76" s="143"/>
      <c r="N76" s="142"/>
      <c r="O76" s="143"/>
      <c r="P76" s="181"/>
      <c r="Q76" s="182"/>
      <c r="R76" s="169"/>
      <c r="S76" s="187"/>
      <c r="T76" s="142"/>
      <c r="U76" s="143"/>
      <c r="V76" s="127"/>
      <c r="W76" s="127"/>
    </row>
    <row r="77" spans="1:23" ht="10" customHeight="1">
      <c r="A77" s="127"/>
      <c r="B77" s="169"/>
      <c r="C77" s="187"/>
      <c r="D77" s="169"/>
      <c r="E77" s="145"/>
      <c r="F77" s="144"/>
      <c r="G77" s="143"/>
      <c r="H77" s="142"/>
      <c r="I77" s="187"/>
      <c r="J77" s="169"/>
      <c r="K77" s="143"/>
      <c r="L77" s="142"/>
      <c r="M77" s="143"/>
      <c r="N77" s="142"/>
      <c r="O77" s="143"/>
      <c r="P77" s="181"/>
      <c r="Q77" s="143"/>
      <c r="R77" s="142"/>
      <c r="S77" s="187"/>
      <c r="T77" s="142"/>
      <c r="U77" s="143"/>
      <c r="V77" s="127"/>
      <c r="W77" s="127"/>
    </row>
    <row r="78" spans="1:23" ht="10" customHeight="1">
      <c r="A78" s="127"/>
      <c r="B78" s="169"/>
      <c r="C78" s="187"/>
      <c r="D78" s="169"/>
      <c r="E78" s="145"/>
      <c r="F78" s="144"/>
      <c r="G78" s="143"/>
      <c r="H78" s="142"/>
      <c r="I78" s="187"/>
      <c r="J78" s="169"/>
      <c r="K78" s="143"/>
      <c r="L78" s="142"/>
      <c r="M78" s="143"/>
      <c r="N78" s="142"/>
      <c r="O78" s="143"/>
      <c r="P78" s="181"/>
      <c r="Q78" s="143"/>
      <c r="R78" s="142"/>
      <c r="S78" s="187"/>
      <c r="T78" s="142"/>
      <c r="U78" s="143"/>
      <c r="V78" s="127"/>
      <c r="W78" s="127"/>
    </row>
    <row r="79" spans="1:23" ht="10" customHeight="1" thickBot="1">
      <c r="A79" s="131">
        <v>13</v>
      </c>
      <c r="B79" s="170"/>
      <c r="C79" s="177"/>
      <c r="D79" s="170"/>
      <c r="E79" s="150"/>
      <c r="F79" s="149"/>
      <c r="G79" s="148"/>
      <c r="H79" s="147"/>
      <c r="I79" s="177"/>
      <c r="J79" s="170"/>
      <c r="K79" s="148"/>
      <c r="L79" s="147"/>
      <c r="M79" s="148"/>
      <c r="N79" s="147"/>
      <c r="O79" s="148"/>
      <c r="P79" s="184"/>
      <c r="Q79" s="148"/>
      <c r="R79" s="147"/>
      <c r="S79" s="177"/>
      <c r="T79" s="147"/>
      <c r="U79" s="148"/>
      <c r="V79" s="127"/>
      <c r="W79" s="127"/>
    </row>
    <row r="80" spans="1:23" ht="10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0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0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0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0" customHeight="1" thickBot="1">
      <c r="A84" s="131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0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0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0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0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0" customHeight="1" thickBot="1">
      <c r="A89" s="131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</sheetData>
  <phoneticPr fontId="27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BU556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  <col min="61" max="73" hidden="1" width="12" customWidth="1"/>
  </cols>
  <sheetData>
    <row r="1" spans="1:23" ht="15.5" customHeight="1">
      <c r="A1" s="60" t="s">
        <v>344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38" customHeight="1">
      <c r="A2" s="421" t="s">
        <v>345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AA2">
        <v>46023.0</v>
      </c>
      <c r="AB2">
        <f>SUMIFS(예비비!$E$100:$E$399,예비비!$C$100:$C$399,"명절비",예비비!$D$100:$D$399,"&gt;="&amp;$AA2,예비비!$D$100:$D$399,"&lt;"&amp;EDATE($AA2,1),예비비!$R$100:$R$399,"OK")</f>
        <v>0</v>
      </c>
      <c r="AC2">
        <f>SUMIFS(예비비!$E$100:$E$399,예비비!$C$100:$C$399,"여행비",예비비!$D$100:$D$399,"&gt;="&amp;$AA2,예비비!$D$100:$D$399,"&lt;"&amp;EDATE($AA2,1),예비비!$R$100:$R$399,"OK")</f>
        <v>0</v>
      </c>
      <c r="AD2">
        <f>SUMIFS(예비비!$E$100:$E$399,예비비!$C$100:$C$399,"경조사비",예비비!$D$100:$D$399,"&gt;="&amp;$AA2,예비비!$D$100:$D$399,"&lt;"&amp;EDATE($AA2,1),예비비!$R$100:$R$399,"OK")</f>
        <v>50000</v>
      </c>
      <c r="AE2">
        <f>SUMIFS(예비비!$E$100:$E$399,예비비!$C$100:$C$399,"상환비",예비비!$D$100:$D$399,"&gt;="&amp;$AA2,예비비!$D$100:$D$399,"&lt;"&amp;EDATE($AA2,1),예비비!$R$100:$R$399,"OK")</f>
        <v>0</v>
      </c>
      <c r="AF2">
        <f>SUMIFS(예비비!$E$100:$E$399,예비비!$C$100:$C$399,"예비비",예비비!$D$100:$D$399,"&gt;="&amp;$AA2,예비비!$D$100:$D$399,"&lt;"&amp;EDATE($AA2,1),예비비!$R$100:$R$399,"OK")</f>
        <v>0</v>
      </c>
      <c r="AG2">
        <f>SUMIFS(예비비!$V$100:$V$399,예비비!$D$100:$D$399,"&gt;="&amp;$AA2,예비비!$D$100:$D$399,"&lt;"&amp;EDATE($AA2,1))</f>
        <v>0</v>
      </c>
      <c r="AH2">
        <f>SUMIFS(예비비!$W$100:$W$399,예비비!$D$100:$D$399,"&gt;="&amp;$AA2,예비비!$D$100:$D$399,"&lt;"&amp;EDATE($AA2,1))</f>
        <v>0</v>
      </c>
    </row>
    <row r="3" spans="1:23" ht="28" customHeight="1">
      <c r="A3" s="60" t="s">
        <v>346</v>
      </c>
      <c r="B3" s="108">
        <v>46296</v>
      </c>
      <c r="C3" s="399" t="s">
        <v>347</v>
      </c>
      <c r="D3" s="381"/>
      <c r="E3" s="381"/>
      <c r="F3" s="382"/>
      <c r="G3" s="401">
        <f>IF($B$3&lt;DATE(2026,3,1),"원장 없음",SUM($J$72:$J$76))</f>
        <v>2150000</v>
      </c>
      <c r="H3" s="381"/>
      <c r="I3" s="381"/>
      <c r="J3" s="382"/>
      <c r="K3" s="399" t="s">
        <v>348</v>
      </c>
      <c r="L3" s="381"/>
      <c r="M3" s="381"/>
      <c r="N3" s="382"/>
      <c r="O3" s="400">
        <f>IF(ISNUMBER(G3),G3-W40,"")</f>
        <v>339000</v>
      </c>
      <c r="P3" s="381"/>
      <c r="Q3" s="381"/>
      <c r="R3" s="382"/>
      <c r="S3" s="411" t="s">
        <v>349</v>
      </c>
      <c r="T3" s="381"/>
      <c r="U3" s="381"/>
      <c r="V3" s="381"/>
      <c r="W3" s="382"/>
      <c r="AA3">
        <v>46054.0</v>
      </c>
      <c r="AB3">
        <f>SUMIFS(예비비!$E$100:$E$399,예비비!$C$100:$C$399,"명절비",예비비!$D$100:$D$399,"&gt;="&amp;$AA3,예비비!$D$100:$D$399,"&lt;"&amp;EDATE($AA3,1),예비비!$R$100:$R$399,"OK")</f>
        <v>100000</v>
      </c>
      <c r="AC3">
        <f>SUMIFS(예비비!$E$100:$E$399,예비비!$C$100:$C$399,"여행비",예비비!$D$100:$D$399,"&gt;="&amp;$AA3,예비비!$D$100:$D$399,"&lt;"&amp;EDATE($AA3,1),예비비!$R$100:$R$399,"OK")</f>
        <v>0</v>
      </c>
      <c r="AD3">
        <f>SUMIFS(예비비!$E$100:$E$399,예비비!$C$100:$C$399,"경조사비",예비비!$D$100:$D$399,"&gt;="&amp;$AA3,예비비!$D$100:$D$399,"&lt;"&amp;EDATE($AA3,1),예비비!$R$100:$R$399,"OK")</f>
        <v>0</v>
      </c>
      <c r="AE3">
        <f>SUMIFS(예비비!$E$100:$E$399,예비비!$C$100:$C$399,"상환비",예비비!$D$100:$D$399,"&gt;="&amp;$AA3,예비비!$D$100:$D$399,"&lt;"&amp;EDATE($AA3,1),예비비!$R$100:$R$399,"OK")</f>
        <v>0</v>
      </c>
      <c r="AF3">
        <f>SUMIFS(예비비!$E$100:$E$399,예비비!$C$100:$C$399,"예비비",예비비!$D$100:$D$399,"&gt;="&amp;$AA3,예비비!$D$100:$D$399,"&lt;"&amp;EDATE($AA3,1),예비비!$R$100:$R$399,"OK")</f>
        <v>200000</v>
      </c>
      <c r="AG3">
        <f>SUMIFS(예비비!$V$100:$V$399,예비비!$D$100:$D$399,"&gt;="&amp;$AA3,예비비!$D$100:$D$399,"&lt;"&amp;EDATE($AA3,1))</f>
        <v>0</v>
      </c>
      <c r="AH3">
        <f>SUMIFS(예비비!$W$100:$W$399,예비비!$D$100:$D$399,"&gt;="&amp;$AA3,예비비!$D$100:$D$399,"&lt;"&amp;EDATE($AA3,1))</f>
        <v>0</v>
      </c>
    </row>
    <row r="4" spans="1:23" ht="40" customHeight="1">
      <c r="A4" s="61" t="s">
        <v>350</v>
      </c>
      <c r="B4" s="61" t="s">
        <v>351</v>
      </c>
      <c r="C4" s="61" t="s">
        <v>352</v>
      </c>
      <c r="D4" s="61" t="s">
        <v>353</v>
      </c>
      <c r="E4" s="61" t="s">
        <v>354</v>
      </c>
      <c r="F4" s="61" t="s">
        <v>355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356</v>
      </c>
      <c r="V4" s="61" t="s">
        <v>357</v>
      </c>
      <c r="W4" s="329" t="s">
        <v>358</v>
      </c>
      <c r="AA4">
        <v>46082.0</v>
      </c>
      <c r="AB4">
        <f>SUMIFS(예비비!$E$100:$E$399,예비비!$C$100:$C$399,"명절비",예비비!$D$100:$D$399,"&gt;="&amp;$AA4,예비비!$D$100:$D$399,"&lt;"&amp;EDATE($AA4,1),예비비!$R$100:$R$399,"OK")</f>
        <v>0</v>
      </c>
      <c r="AC4">
        <f>SUMIFS(예비비!$E$100:$E$399,예비비!$C$100:$C$399,"여행비",예비비!$D$100:$D$399,"&gt;="&amp;$AA4,예비비!$D$100:$D$399,"&lt;"&amp;EDATE($AA4,1),예비비!$R$100:$R$399,"OK")</f>
        <v>0</v>
      </c>
      <c r="AD4">
        <f>SUMIFS(예비비!$E$100:$E$399,예비비!$C$100:$C$399,"경조사비",예비비!$D$100:$D$399,"&gt;="&amp;$AA4,예비비!$D$100:$D$399,"&lt;"&amp;EDATE($AA4,1),예비비!$R$100:$R$399,"OK")</f>
        <v>0</v>
      </c>
      <c r="AE4">
        <f>SUMIFS(예비비!$E$100:$E$399,예비비!$C$100:$C$399,"상환비",예비비!$D$100:$D$399,"&gt;="&amp;$AA4,예비비!$D$100:$D$399,"&lt;"&amp;EDATE($AA4,1),예비비!$R$100:$R$399,"OK")</f>
        <v>0</v>
      </c>
      <c r="AF4">
        <f>SUMIFS(예비비!$E$100:$E$399,예비비!$C$100:$C$399,"예비비",예비비!$D$100:$D$399,"&gt;="&amp;$AA4,예비비!$D$100:$D$399,"&lt;"&amp;EDATE($AA4,1),예비비!$R$100:$R$399,"OK")</f>
        <v>0</v>
      </c>
      <c r="AG4">
        <f>SUMIFS(예비비!$V$100:$V$399,예비비!$D$100:$D$399,"&gt;="&amp;$AA4,예비비!$D$100:$D$399,"&lt;"&amp;EDATE($AA4,1))</f>
        <v>0</v>
      </c>
      <c r="AH4">
        <f>SUMIFS(예비비!$W$100:$W$399,예비비!$D$100:$D$399,"&gt;="&amp;$AA4,예비비!$D$100:$D$399,"&lt;"&amp;EDATE($AA4,1))</f>
        <v>0</v>
      </c>
    </row>
    <row r="5" spans="1:23" ht="34" customHeight="1">
      <c r="A5" s="63" t="s">
        <v>18</v>
      </c>
      <c r="B5" s="64" t="s">
        <v>359</v>
      </c>
      <c r="C5" s="65" t="s">
        <v>360</v>
      </c>
      <c r="D5" s="64" t="s">
        <v>361</v>
      </c>
      <c r="E5" s="64" t="s">
        <v>66</v>
      </c>
      <c r="F5" s="64"/>
      <c r="G5" s="66"/>
      <c r="H5" s="66">
        <f>'예비비'!D20</f>
        <v>0</v>
      </c>
      <c r="I5" s="66">
        <f>'예비비'!E20</f>
        <v>0</v>
      </c>
      <c r="J5" s="66">
        <f>'예비비'!F20</f>
        <v>0</v>
      </c>
      <c r="K5" s="66">
        <f>'예비비'!G20</f>
        <v>0</v>
      </c>
      <c r="L5" s="66">
        <f>'예비비'!H20</f>
        <v>0</v>
      </c>
      <c r="M5" s="66">
        <f>'예비비'!I20</f>
        <v>50000</v>
      </c>
      <c r="N5" s="66">
        <f>'예비비'!J20</f>
        <v>50000</v>
      </c>
      <c r="O5" s="66">
        <f>'예비비'!K20</f>
        <v>50000</v>
      </c>
      <c r="P5" s="66">
        <f>'예비비'!L20</f>
        <v>50000</v>
      </c>
      <c r="Q5" s="66">
        <f>'예비비'!M20</f>
        <v>0</v>
      </c>
      <c r="R5" s="66">
        <f>'예비비'!N20</f>
        <v>0</v>
      </c>
      <c r="S5" s="66">
        <f>'예비비'!O20</f>
        <v>0</v>
      </c>
      <c r="T5" s="66"/>
      <c r="U5" s="66">
        <f>SUM(G5:T5)</f>
        <v>200000</v>
      </c>
      <c r="V5" s="66"/>
      <c r="W5" s="66"/>
      <c r="AA5">
        <v>46113.0</v>
      </c>
      <c r="AB5">
        <f>SUMIFS(예비비!$E$100:$E$399,예비비!$C$100:$C$399,"명절비",예비비!$D$100:$D$399,"&gt;="&amp;$AA5,예비비!$D$100:$D$399,"&lt;"&amp;EDATE($AA5,1),예비비!$R$100:$R$399,"OK")</f>
        <v>0</v>
      </c>
      <c r="AC5">
        <f>SUMIFS(예비비!$E$100:$E$399,예비비!$C$100:$C$399,"여행비",예비비!$D$100:$D$399,"&gt;="&amp;$AA5,예비비!$D$100:$D$399,"&lt;"&amp;EDATE($AA5,1),예비비!$R$100:$R$399,"OK")</f>
        <v>0</v>
      </c>
      <c r="AD5">
        <f>SUMIFS(예비비!$E$100:$E$399,예비비!$C$100:$C$399,"경조사비",예비비!$D$100:$D$399,"&gt;="&amp;$AA5,예비비!$D$100:$D$399,"&lt;"&amp;EDATE($AA5,1),예비비!$R$100:$R$399,"OK")</f>
        <v>0</v>
      </c>
      <c r="AE5">
        <f>SUMIFS(예비비!$E$100:$E$399,예비비!$C$100:$C$399,"상환비",예비비!$D$100:$D$399,"&gt;="&amp;$AA5,예비비!$D$100:$D$399,"&lt;"&amp;EDATE($AA5,1),예비비!$R$100:$R$399,"OK")</f>
        <v>0</v>
      </c>
      <c r="AF5">
        <f>SUMIFS(예비비!$E$100:$E$399,예비비!$C$100:$C$399,"예비비",예비비!$D$100:$D$399,"&gt;="&amp;$AA5,예비비!$D$100:$D$399,"&lt;"&amp;EDATE($AA5,1),예비비!$R$100:$R$399,"OK")</f>
        <v>0</v>
      </c>
      <c r="AG5">
        <f>SUMIFS(예비비!$V$100:$V$399,예비비!$D$100:$D$399,"&gt;="&amp;$AA5,예비비!$D$100:$D$399,"&lt;"&amp;EDATE($AA5,1))</f>
        <v>0</v>
      </c>
      <c r="AH5">
        <f>SUMIFS(예비비!$W$100:$W$399,예비비!$D$100:$D$399,"&gt;="&amp;$AA5,예비비!$D$100:$D$399,"&lt;"&amp;EDATE($AA5,1))</f>
        <v>0</v>
      </c>
    </row>
    <row r="6" spans="1:23" ht="46" customHeight="1">
      <c r="A6" s="67" t="s">
        <v>18</v>
      </c>
      <c r="B6" s="68" t="s">
        <v>359</v>
      </c>
      <c r="C6" s="69" t="s">
        <v>362</v>
      </c>
      <c r="D6" s="68" t="s">
        <v>361</v>
      </c>
      <c r="E6" s="68" t="s">
        <v>66</v>
      </c>
      <c r="F6" s="330" t="s">
        <v>363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  <c r="AA6">
        <v>46143.0</v>
      </c>
      <c r="AB6">
        <f>SUMIFS(예비비!$E$100:$E$399,예비비!$C$100:$C$399,"명절비",예비비!$D$100:$D$399,"&gt;="&amp;$AA6,예비비!$D$100:$D$399,"&lt;"&amp;EDATE($AA6,1),예비비!$R$100:$R$399,"OK")</f>
        <v>148900</v>
      </c>
      <c r="AC6">
        <f>SUMIFS(예비비!$E$100:$E$399,예비비!$C$100:$C$399,"여행비",예비비!$D$100:$D$399,"&gt;="&amp;$AA6,예비비!$D$100:$D$399,"&lt;"&amp;EDATE($AA6,1),예비비!$R$100:$R$399,"OK")</f>
        <v>0</v>
      </c>
      <c r="AD6">
        <f>SUMIFS(예비비!$E$100:$E$399,예비비!$C$100:$C$399,"경조사비",예비비!$D$100:$D$399,"&gt;="&amp;$AA6,예비비!$D$100:$D$399,"&lt;"&amp;EDATE($AA6,1),예비비!$R$100:$R$399,"OK")</f>
        <v>0</v>
      </c>
      <c r="AE6">
        <f>SUMIFS(예비비!$E$100:$E$399,예비비!$C$100:$C$399,"상환비",예비비!$D$100:$D$399,"&gt;="&amp;$AA6,예비비!$D$100:$D$399,"&lt;"&amp;EDATE($AA6,1),예비비!$R$100:$R$399,"OK")</f>
        <v>313980</v>
      </c>
      <c r="AF6">
        <f>SUMIFS(예비비!$E$100:$E$399,예비비!$C$100:$C$399,"예비비",예비비!$D$100:$D$399,"&gt;="&amp;$AA6,예비비!$D$100:$D$399,"&lt;"&amp;EDATE($AA6,1),예비비!$R$100:$R$399,"OK")</f>
        <v>0</v>
      </c>
      <c r="AG6">
        <f>SUMIFS(예비비!$V$100:$V$399,예비비!$D$100:$D$399,"&gt;="&amp;$AA6,예비비!$D$100:$D$399,"&lt;"&amp;EDATE($AA6,1))</f>
        <v>0</v>
      </c>
      <c r="AH6">
        <f>SUMIFS(예비비!$W$100:$W$399,예비비!$D$100:$D$399,"&gt;="&amp;$AA6,예비비!$D$100:$D$399,"&lt;"&amp;EDATE($AA6,1))</f>
        <v>0</v>
      </c>
    </row>
    <row r="7" spans="1:23" ht="46" customHeight="1">
      <c r="A7" s="71" t="s">
        <v>18</v>
      </c>
      <c r="B7" s="72" t="s">
        <v>359</v>
      </c>
      <c r="C7" s="73" t="s">
        <v>95</v>
      </c>
      <c r="D7" s="72" t="s">
        <v>361</v>
      </c>
      <c r="E7" s="72"/>
      <c r="F7" s="331" t="inlineStr">
        <is>
          <t xml:space="preserve">10월 실제 사용 239,000원. 명절비 선이체 200,000 + 임시보관 39,000. WRAP 추가 차감 없음.</t>
        </is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f>예비비!E107</f>
        <v>239000</v>
      </c>
      <c r="R7" s="74"/>
      <c r="S7" s="74"/>
      <c r="T7" s="74"/>
      <c r="U7" s="74"/>
      <c r="V7" s="74">
        <f>SUMIF($G$4:$T$4,"&lt;="&amp;EOMONTH($B$3,0),G7:T7)</f>
        <v>239000</v>
      </c>
      <c r="W7" s="74">
        <f>U6-V7</f>
        <v>-39000</v>
      </c>
      <c r="AA7">
        <v>46174.0</v>
      </c>
      <c r="AB7">
        <f>SUMIFS(예비비!$E$100:$E$399,예비비!$C$100:$C$399,"명절비",예비비!$D$100:$D$399,"&gt;="&amp;$AA7,예비비!$D$100:$D$399,"&lt;"&amp;EDATE($AA7,1),예비비!$R$100:$R$399,"OK")</f>
        <v>0</v>
      </c>
      <c r="AC7">
        <f>SUMIFS(예비비!$E$100:$E$399,예비비!$C$100:$C$399,"여행비",예비비!$D$100:$D$399,"&gt;="&amp;$AA7,예비비!$D$100:$D$399,"&lt;"&amp;EDATE($AA7,1),예비비!$R$100:$R$399,"OK")</f>
        <v>0</v>
      </c>
      <c r="AD7">
        <f>SUMIFS(예비비!$E$100:$E$399,예비비!$C$100:$C$399,"경조사비",예비비!$D$100:$D$399,"&gt;="&amp;$AA7,예비비!$D$100:$D$399,"&lt;"&amp;EDATE($AA7,1),예비비!$R$100:$R$399,"OK")</f>
        <v>0</v>
      </c>
      <c r="AE7">
        <f>SUMIFS(예비비!$E$100:$E$399,예비비!$C$100:$C$399,"상환비",예비비!$D$100:$D$399,"&gt;="&amp;$AA7,예비비!$D$100:$D$399,"&lt;"&amp;EDATE($AA7,1),예비비!$R$100:$R$399,"OK")</f>
        <v>0</v>
      </c>
      <c r="AF7">
        <f>SUMIFS(예비비!$E$100:$E$399,예비비!$C$100:$C$399,"예비비",예비비!$D$100:$D$399,"&gt;="&amp;$AA7,예비비!$D$100:$D$399,"&lt;"&amp;EDATE($AA7,1),예비비!$R$100:$R$399,"OK")</f>
        <v>0</v>
      </c>
      <c r="AG7">
        <f>SUMIFS(예비비!$V$100:$V$399,예비비!$D$100:$D$399,"&gt;="&amp;$AA7,예비비!$D$100:$D$399,"&lt;"&amp;EDATE($AA7,1))</f>
        <v>0</v>
      </c>
      <c r="AH7">
        <f>SUMIFS(예비비!$W$100:$W$399,예비비!$D$100:$D$399,"&gt;="&amp;$AA7,예비비!$D$100:$D$399,"&lt;"&amp;EDATE($AA7,1))</f>
        <v>0</v>
      </c>
    </row>
    <row r="8" spans="1:23" ht="34" customHeight="1">
      <c r="A8" s="63" t="s">
        <v>18</v>
      </c>
      <c r="B8" s="64" t="s">
        <v>365</v>
      </c>
      <c r="C8" s="65" t="s">
        <v>360</v>
      </c>
      <c r="D8" s="64" t="s">
        <v>366</v>
      </c>
      <c r="E8" s="64" t="s">
        <v>66</v>
      </c>
      <c r="F8" s="64"/>
      <c r="G8" s="66"/>
      <c r="H8" s="66">
        <f>'예비비'!D21</f>
        <v>0</v>
      </c>
      <c r="I8" s="66">
        <f>'예비비'!E21</f>
        <v>0</v>
      </c>
      <c r="J8" s="66">
        <f>'예비비'!F21</f>
        <v>0</v>
      </c>
      <c r="K8" s="66">
        <f>'예비비'!G21</f>
        <v>0</v>
      </c>
      <c r="L8" s="66">
        <f>'예비비'!H21</f>
        <v>50000</v>
      </c>
      <c r="M8" s="66">
        <f>'예비비'!I21</f>
        <v>0</v>
      </c>
      <c r="N8" s="66">
        <f>'예비비'!J21</f>
        <v>0</v>
      </c>
      <c r="O8" s="66">
        <f>'예비비'!K21</f>
        <v>0</v>
      </c>
      <c r="P8" s="66">
        <f>'예비비'!L21</f>
        <v>0</v>
      </c>
      <c r="Q8" s="66">
        <f>'예비비'!M21</f>
        <v>50000</v>
      </c>
      <c r="R8" s="66">
        <f>'예비비'!N21</f>
        <v>0</v>
      </c>
      <c r="S8" s="66">
        <f>'예비비'!O21</f>
        <v>0</v>
      </c>
      <c r="T8" s="66"/>
      <c r="U8" s="66">
        <f>SUM(G8:T8)</f>
        <v>100000</v>
      </c>
      <c r="V8" s="66"/>
      <c r="W8" s="66"/>
      <c r="AA8">
        <v>46204.0</v>
      </c>
      <c r="AB8">
        <f>SUMIFS(예비비!$E$100:$E$399,예비비!$C$100:$C$399,"명절비",예비비!$D$100:$D$399,"&gt;="&amp;$AA8,예비비!$D$100:$D$399,"&lt;"&amp;EDATE($AA8,1),예비비!$R$100:$R$399,"OK")</f>
        <v>0</v>
      </c>
      <c r="AC8">
        <f>SUMIFS(예비비!$E$100:$E$399,예비비!$C$100:$C$399,"여행비",예비비!$D$100:$D$399,"&gt;="&amp;$AA8,예비비!$D$100:$D$399,"&lt;"&amp;EDATE($AA8,1),예비비!$R$100:$R$399,"OK")</f>
        <v>0</v>
      </c>
      <c r="AD8">
        <f>SUMIFS(예비비!$E$100:$E$399,예비비!$C$100:$C$399,"경조사비",예비비!$D$100:$D$399,"&gt;="&amp;$AA8,예비비!$D$100:$D$399,"&lt;"&amp;EDATE($AA8,1),예비비!$R$100:$R$399,"OK")</f>
        <v>0</v>
      </c>
      <c r="AE8">
        <f>SUMIFS(예비비!$E$100:$E$399,예비비!$C$100:$C$399,"상환비",예비비!$D$100:$D$399,"&gt;="&amp;$AA8,예비비!$D$100:$D$399,"&lt;"&amp;EDATE($AA8,1),예비비!$R$100:$R$399,"OK")</f>
        <v>0</v>
      </c>
      <c r="AF8">
        <f>SUMIFS(예비비!$E$100:$E$399,예비비!$C$100:$C$399,"예비비",예비비!$D$100:$D$399,"&gt;="&amp;$AA8,예비비!$D$100:$D$399,"&lt;"&amp;EDATE($AA8,1),예비비!$R$100:$R$399,"OK")</f>
        <v>0</v>
      </c>
      <c r="AG8">
        <f>SUMIFS(예비비!$V$100:$V$399,예비비!$D$100:$D$399,"&gt;="&amp;$AA8,예비비!$D$100:$D$399,"&lt;"&amp;EDATE($AA8,1))</f>
        <v>0</v>
      </c>
      <c r="AH8">
        <f>SUMIFS(예비비!$W$100:$W$399,예비비!$D$100:$D$399,"&gt;="&amp;$AA8,예비비!$D$100:$D$399,"&lt;"&amp;EDATE($AA8,1))</f>
        <v>0</v>
      </c>
    </row>
    <row r="9" spans="1:23" ht="34" customHeight="1">
      <c r="A9" s="67" t="s">
        <v>18</v>
      </c>
      <c r="B9" s="68" t="s">
        <v>365</v>
      </c>
      <c r="C9" s="69" t="s">
        <v>362</v>
      </c>
      <c r="D9" s="68" t="s">
        <v>366</v>
      </c>
      <c r="E9" s="68" t="s">
        <v>66</v>
      </c>
      <c r="F9" s="68" t="s">
        <v>367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  <c r="AA9">
        <v>46235.0</v>
      </c>
      <c r="AB9">
        <f>SUMIFS(예비비!$E$100:$E$399,예비비!$C$100:$C$399,"명절비",예비비!$D$100:$D$399,"&gt;="&amp;$AA9,예비비!$D$100:$D$399,"&lt;"&amp;EDATE($AA9,1),예비비!$R$100:$R$399,"OK")</f>
        <v>0</v>
      </c>
      <c r="AC9">
        <f>SUMIFS(예비비!$E$100:$E$399,예비비!$C$100:$C$399,"여행비",예비비!$D$100:$D$399,"&gt;="&amp;$AA9,예비비!$D$100:$D$399,"&lt;"&amp;EDATE($AA9,1),예비비!$R$100:$R$399,"OK")</f>
        <v>300000</v>
      </c>
      <c r="AD9">
        <f>SUMIFS(예비비!$E$100:$E$399,예비비!$C$100:$C$399,"경조사비",예비비!$D$100:$D$399,"&gt;="&amp;$AA9,예비비!$D$100:$D$399,"&lt;"&amp;EDATE($AA9,1),예비비!$R$100:$R$399,"OK")</f>
        <v>0</v>
      </c>
      <c r="AE9">
        <f>SUMIFS(예비비!$E$100:$E$399,예비비!$C$100:$C$399,"상환비",예비비!$D$100:$D$399,"&gt;="&amp;$AA9,예비비!$D$100:$D$399,"&lt;"&amp;EDATE($AA9,1),예비비!$R$100:$R$399,"OK")</f>
        <v>0</v>
      </c>
      <c r="AF9">
        <f>SUMIFS(예비비!$E$100:$E$399,예비비!$C$100:$C$399,"예비비",예비비!$D$100:$D$399,"&gt;="&amp;$AA9,예비비!$D$100:$D$399,"&lt;"&amp;EDATE($AA9,1),예비비!$R$100:$R$399,"OK")</f>
        <v>0</v>
      </c>
      <c r="AG9">
        <f>SUMIFS(예비비!$V$100:$V$399,예비비!$D$100:$D$399,"&gt;="&amp;$AA9,예비비!$D$100:$D$399,"&lt;"&amp;EDATE($AA9,1))</f>
        <v>0</v>
      </c>
      <c r="AH9">
        <f>SUMIFS(예비비!$W$100:$W$399,예비비!$D$100:$D$399,"&gt;="&amp;$AA9,예비비!$D$100:$D$399,"&lt;"&amp;EDATE($AA9,1))</f>
        <v>0</v>
      </c>
    </row>
    <row r="10" spans="1:23" ht="34" customHeight="1">
      <c r="A10" s="71" t="s">
        <v>18</v>
      </c>
      <c r="B10" s="72" t="s">
        <v>365</v>
      </c>
      <c r="C10" s="73" t="s">
        <v>95</v>
      </c>
      <c r="D10" s="72" t="s">
        <v>366</v>
      </c>
      <c r="E10" s="72"/>
      <c r="F10" s="72" t="s">
        <v>368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  <c r="AA10">
        <v>46266.0</v>
      </c>
      <c r="AB10">
        <f>SUMIFS(예비비!$E$100:$E$399,예비비!$C$100:$C$399,"명절비",예비비!$D$100:$D$399,"&gt;="&amp;$AA10,예비비!$D$100:$D$399,"&lt;"&amp;EDATE($AA10,1),예비비!$R$100:$R$399,"OK")</f>
        <v>0</v>
      </c>
      <c r="AC10">
        <f>SUMIFS(예비비!$E$100:$E$399,예비비!$C$100:$C$399,"여행비",예비비!$D$100:$D$399,"&gt;="&amp;$AA10,예비비!$D$100:$D$399,"&lt;"&amp;EDATE($AA10,1),예비비!$R$100:$R$399,"OK")</f>
        <v>0</v>
      </c>
      <c r="AD10">
        <f>SUMIFS(예비비!$E$100:$E$399,예비비!$C$100:$C$399,"경조사비",예비비!$D$100:$D$399,"&gt;="&amp;$AA10,예비비!$D$100:$D$399,"&lt;"&amp;EDATE($AA10,1),예비비!$R$100:$R$399,"OK")</f>
        <v>50000</v>
      </c>
      <c r="AE10">
        <f>SUMIFS(예비비!$E$100:$E$399,예비비!$C$100:$C$399,"상환비",예비비!$D$100:$D$399,"&gt;="&amp;$AA10,예비비!$D$100:$D$399,"&lt;"&amp;EDATE($AA10,1),예비비!$R$100:$R$399,"OK")</f>
        <v>0</v>
      </c>
      <c r="AF10">
        <f>SUMIFS(예비비!$E$100:$E$399,예비비!$C$100:$C$399,"예비비",예비비!$D$100:$D$399,"&gt;="&amp;$AA10,예비비!$D$100:$D$399,"&lt;"&amp;EDATE($AA10,1),예비비!$R$100:$R$399,"OK")</f>
        <v>0</v>
      </c>
      <c r="AG10">
        <f>SUMIFS(예비비!$V$100:$V$399,예비비!$D$100:$D$399,"&gt;="&amp;$AA10,예비비!$D$100:$D$399,"&lt;"&amp;EDATE($AA10,1))</f>
        <v>0</v>
      </c>
      <c r="AH10">
        <f>SUMIFS(예비비!$W$100:$W$399,예비비!$D$100:$D$399,"&gt;="&amp;$AA10,예비비!$D$100:$D$399,"&lt;"&amp;EDATE($AA10,1))</f>
        <v>0</v>
      </c>
    </row>
    <row r="11" spans="1:23" ht="34" customHeight="1">
      <c r="A11" s="63" t="s">
        <v>18</v>
      </c>
      <c r="B11" s="64" t="s">
        <v>369</v>
      </c>
      <c r="C11" s="65" t="s">
        <v>360</v>
      </c>
      <c r="D11" s="64" t="s">
        <v>370</v>
      </c>
      <c r="E11" s="64" t="s">
        <v>66</v>
      </c>
      <c r="F11" s="64"/>
      <c r="G11" s="66">
        <v>50000</v>
      </c>
      <c r="H11" s="66">
        <f>'예비비'!D22</f>
        <v>0</v>
      </c>
      <c r="I11" s="66">
        <f>'예비비'!E22</f>
        <v>0</v>
      </c>
      <c r="J11" s="66">
        <f>'예비비'!F22</f>
        <v>0</v>
      </c>
      <c r="K11" s="66">
        <f>'예비비'!G22</f>
        <v>0</v>
      </c>
      <c r="L11" s="66">
        <f>'예비비'!H22</f>
        <v>0</v>
      </c>
      <c r="M11" s="66">
        <f>'예비비'!I22</f>
        <v>0</v>
      </c>
      <c r="N11" s="66">
        <f>'예비비'!J22</f>
        <v>0</v>
      </c>
      <c r="O11" s="66">
        <f>'예비비'!K22</f>
        <v>0</v>
      </c>
      <c r="P11" s="66">
        <f>'예비비'!L22</f>
        <v>0</v>
      </c>
      <c r="Q11" s="66">
        <f>'예비비'!M22</f>
        <v>0</v>
      </c>
      <c r="R11" s="66">
        <f>'예비비'!N22</f>
        <v>0</v>
      </c>
      <c r="S11" s="66">
        <f>'예비비'!O22</f>
        <v>0</v>
      </c>
      <c r="T11" s="66"/>
      <c r="U11" s="66">
        <f>SUM(G11:T11)</f>
        <v>50000</v>
      </c>
      <c r="V11" s="66"/>
      <c r="W11" s="66"/>
      <c r="AA11">
        <v>46296.0</v>
      </c>
      <c r="AB11">
        <f>SUMIFS(예비비!$E$100:$E$399,예비비!$C$100:$C$399,"명절비",예비비!$D$100:$D$399,"&gt;="&amp;$AA11,예비비!$D$100:$D$399,"&lt;"&amp;EDATE($AA11,1),예비비!$R$100:$R$399,"OK")</f>
        <v>0</v>
      </c>
      <c r="AC11">
        <f>SUMIFS(예비비!$E$100:$E$399,예비비!$C$100:$C$399,"여행비",예비비!$D$100:$D$399,"&gt;="&amp;$AA11,예비비!$D$100:$D$399,"&lt;"&amp;EDATE($AA11,1),예비비!$R$100:$R$399,"OK")</f>
        <v>0</v>
      </c>
      <c r="AD11">
        <f>SUMIFS(예비비!$E$100:$E$399,예비비!$C$100:$C$399,"경조사비",예비비!$D$100:$D$399,"&gt;="&amp;$AA11,예비비!$D$100:$D$399,"&lt;"&amp;EDATE($AA11,1),예비비!$R$100:$R$399,"OK")</f>
        <v>239000</v>
      </c>
      <c r="AE11">
        <f>SUMIFS(예비비!$E$100:$E$399,예비비!$C$100:$C$399,"상환비",예비비!$D$100:$D$399,"&gt;="&amp;$AA11,예비비!$D$100:$D$399,"&lt;"&amp;EDATE($AA11,1),예비비!$R$100:$R$399,"OK")</f>
        <v>0</v>
      </c>
      <c r="AF11">
        <f>SUMIFS(예비비!$E$100:$E$399,예비비!$C$100:$C$399,"예비비",예비비!$D$100:$D$399,"&gt;="&amp;$AA11,예비비!$D$100:$D$399,"&lt;"&amp;EDATE($AA11,1),예비비!$R$100:$R$399,"OK")</f>
        <v>0</v>
      </c>
      <c r="AG11">
        <f>SUMIFS(예비비!$V$100:$V$399,예비비!$D$100:$D$399,"&gt;="&amp;$AA11,예비비!$D$100:$D$399,"&lt;"&amp;EDATE($AA11,1))</f>
        <v>0</v>
      </c>
      <c r="AH11">
        <f>SUMIFS(예비비!$W$100:$W$399,예비비!$D$100:$D$399,"&gt;="&amp;$AA11,예비비!$D$100:$D$399,"&lt;"&amp;EDATE($AA11,1))</f>
        <v>0</v>
      </c>
    </row>
    <row r="12" spans="1:23" ht="34" customHeight="1">
      <c r="A12" s="67" t="s">
        <v>18</v>
      </c>
      <c r="B12" s="68" t="s">
        <v>369</v>
      </c>
      <c r="C12" s="69" t="s">
        <v>362</v>
      </c>
      <c r="D12" s="68" t="s">
        <v>370</v>
      </c>
      <c r="E12" s="68" t="s">
        <v>66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  <c r="AA12">
        <v>46327.0</v>
      </c>
      <c r="AB12">
        <f>SUMIFS(예비비!$E$100:$E$399,예비비!$C$100:$C$399,"명절비",예비비!$D$100:$D$399,"&gt;="&amp;$AA12,예비비!$D$100:$D$399,"&lt;"&amp;EDATE($AA12,1),예비비!$R$100:$R$399,"OK")</f>
        <v>0</v>
      </c>
      <c r="AC12">
        <f>SUMIFS(예비비!$E$100:$E$399,예비비!$C$100:$C$399,"여행비",예비비!$D$100:$D$399,"&gt;="&amp;$AA12,예비비!$D$100:$D$399,"&lt;"&amp;EDATE($AA12,1),예비비!$R$100:$R$399,"OK")</f>
        <v>0</v>
      </c>
      <c r="AD12">
        <f>SUMIFS(예비비!$E$100:$E$399,예비비!$C$100:$C$399,"경조사비",예비비!$D$100:$D$399,"&gt;="&amp;$AA12,예비비!$D$100:$D$399,"&lt;"&amp;EDATE($AA12,1),예비비!$R$100:$R$399,"OK")</f>
        <v>0</v>
      </c>
      <c r="AE12">
        <f>SUMIFS(예비비!$E$100:$E$399,예비비!$C$100:$C$399,"상환비",예비비!$D$100:$D$399,"&gt;="&amp;$AA12,예비비!$D$100:$D$399,"&lt;"&amp;EDATE($AA12,1),예비비!$R$100:$R$399,"OK")</f>
        <v>0</v>
      </c>
      <c r="AF12">
        <f>SUMIFS(예비비!$E$100:$E$399,예비비!$C$100:$C$399,"예비비",예비비!$D$100:$D$399,"&gt;="&amp;$AA12,예비비!$D$100:$D$399,"&lt;"&amp;EDATE($AA12,1),예비비!$R$100:$R$399,"OK")</f>
        <v>0</v>
      </c>
      <c r="AG12">
        <f>SUMIFS(예비비!$V$100:$V$399,예비비!$D$100:$D$399,"&gt;="&amp;$AA12,예비비!$D$100:$D$399,"&lt;"&amp;EDATE($AA12,1))</f>
        <v>0</v>
      </c>
      <c r="AH12">
        <f>SUMIFS(예비비!$W$100:$W$399,예비비!$D$100:$D$399,"&gt;="&amp;$AA12,예비비!$D$100:$D$399,"&lt;"&amp;EDATE($AA12,1))</f>
        <v>0</v>
      </c>
    </row>
    <row r="13" spans="1:23" ht="34" customHeight="1">
      <c r="A13" s="71" t="s">
        <v>18</v>
      </c>
      <c r="B13" s="72" t="s">
        <v>369</v>
      </c>
      <c r="C13" s="73" t="s">
        <v>95</v>
      </c>
      <c r="D13" s="72" t="s">
        <v>370</v>
      </c>
      <c r="E13" s="72"/>
      <c r="F13" s="72" t="s">
        <v>371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  <c r="AA13">
        <v>46357.0</v>
      </c>
      <c r="AB13">
        <f>SUMIFS(예비비!$E$100:$E$399,예비비!$C$100:$C$399,"명절비",예비비!$D$100:$D$399,"&gt;="&amp;$AA13,예비비!$D$100:$D$399,"&lt;"&amp;EDATE($AA13,1),예비비!$R$100:$R$399,"OK")</f>
        <v>0</v>
      </c>
      <c r="AC13">
        <f>SUMIFS(예비비!$E$100:$E$399,예비비!$C$100:$C$399,"여행비",예비비!$D$100:$D$399,"&gt;="&amp;$AA13,예비비!$D$100:$D$399,"&lt;"&amp;EDATE($AA13,1),예비비!$R$100:$R$399,"OK")</f>
        <v>0</v>
      </c>
      <c r="AD13">
        <f>SUMIFS(예비비!$E$100:$E$399,예비비!$C$100:$C$399,"경조사비",예비비!$D$100:$D$399,"&gt;="&amp;$AA13,예비비!$D$100:$D$399,"&lt;"&amp;EDATE($AA13,1),예비비!$R$100:$R$399,"OK")</f>
        <v>0</v>
      </c>
      <c r="AE13">
        <f>SUMIFS(예비비!$E$100:$E$399,예비비!$C$100:$C$399,"상환비",예비비!$D$100:$D$399,"&gt;="&amp;$AA13,예비비!$D$100:$D$399,"&lt;"&amp;EDATE($AA13,1),예비비!$R$100:$R$399,"OK")</f>
        <v>0</v>
      </c>
      <c r="AF13">
        <f>SUMIFS(예비비!$E$100:$E$399,예비비!$C$100:$C$399,"예비비",예비비!$D$100:$D$399,"&gt;="&amp;$AA13,예비비!$D$100:$D$399,"&lt;"&amp;EDATE($AA13,1),예비비!$R$100:$R$399,"OK")</f>
        <v>0</v>
      </c>
      <c r="AG13">
        <f>SUMIFS(예비비!$V$100:$V$399,예비비!$D$100:$D$399,"&gt;="&amp;$AA13,예비비!$D$100:$D$399,"&lt;"&amp;EDATE($AA13,1))</f>
        <v>0</v>
      </c>
      <c r="AH13">
        <f>SUMIFS(예비비!$W$100:$W$399,예비비!$D$100:$D$399,"&gt;="&amp;$AA13,예비비!$D$100:$D$399,"&lt;"&amp;EDATE($AA13,1))</f>
        <v>0</v>
      </c>
    </row>
    <row r="14" spans="1:23" ht="34" customHeight="1">
      <c r="A14" s="63" t="s">
        <v>18</v>
      </c>
      <c r="B14" s="64" t="s">
        <v>372</v>
      </c>
      <c r="C14" s="65" t="s">
        <v>360</v>
      </c>
      <c r="D14" s="64" t="s">
        <v>373</v>
      </c>
      <c r="E14" s="64" t="s">
        <v>66</v>
      </c>
      <c r="F14" s="64"/>
      <c r="G14" s="66"/>
      <c r="H14" s="66">
        <f>'예비비'!D23</f>
        <v>0</v>
      </c>
      <c r="I14" s="66">
        <f>'예비비'!E23</f>
        <v>0</v>
      </c>
      <c r="J14" s="66">
        <f>'예비비'!F23</f>
        <v>0</v>
      </c>
      <c r="K14" s="66">
        <f>'예비비'!G23</f>
        <v>0</v>
      </c>
      <c r="L14" s="66">
        <f>'예비비'!H23</f>
        <v>0</v>
      </c>
      <c r="M14" s="66">
        <f>'예비비'!I23</f>
        <v>0</v>
      </c>
      <c r="N14" s="66">
        <f>'예비비'!J23</f>
        <v>0</v>
      </c>
      <c r="O14" s="66">
        <f>'예비비'!K23</f>
        <v>50000</v>
      </c>
      <c r="P14" s="66">
        <f>'예비비'!L23</f>
        <v>0</v>
      </c>
      <c r="Q14" s="66">
        <f>'예비비'!M23</f>
        <v>0</v>
      </c>
      <c r="R14" s="66">
        <f>'예비비'!N23</f>
        <v>0</v>
      </c>
      <c r="S14" s="66">
        <f>'예비비'!O23</f>
        <v>0</v>
      </c>
      <c r="T14" s="66"/>
      <c r="U14" s="66">
        <f>SUM(G14:T14)</f>
        <v>50000</v>
      </c>
      <c r="V14" s="66"/>
      <c r="W14" s="66"/>
    </row>
    <row r="15" spans="1:23" ht="34" customHeight="1">
      <c r="A15" s="67" t="s">
        <v>18</v>
      </c>
      <c r="B15" s="68" t="s">
        <v>372</v>
      </c>
      <c r="C15" s="69" t="s">
        <v>362</v>
      </c>
      <c r="D15" s="68" t="s">
        <v>373</v>
      </c>
      <c r="E15" s="68" t="s">
        <v>66</v>
      </c>
      <c r="F15" s="68" t="s">
        <v>374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23" ht="34" customHeight="1">
      <c r="A16" s="71" t="s">
        <v>18</v>
      </c>
      <c r="B16" s="72" t="s">
        <v>372</v>
      </c>
      <c r="C16" s="73" t="s">
        <v>95</v>
      </c>
      <c r="D16" s="72" t="s">
        <v>373</v>
      </c>
      <c r="E16" s="72"/>
      <c r="F16" s="72" t="s">
        <v>375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16</v>
      </c>
      <c r="B17" s="64" t="s">
        <v>67</v>
      </c>
      <c r="C17" s="65" t="s">
        <v>360</v>
      </c>
      <c r="D17" s="64" t="s">
        <v>376</v>
      </c>
      <c r="E17" s="64" t="s">
        <v>66</v>
      </c>
      <c r="F17" s="64"/>
      <c r="G17" s="66">
        <v>50000</v>
      </c>
      <c r="H17" s="66">
        <f>'예비비'!D24</f>
        <v>50000</v>
      </c>
      <c r="I17" s="66">
        <f>'예비비'!E24</f>
        <v>50000</v>
      </c>
      <c r="J17" s="66">
        <f>'예비비'!F24</f>
        <v>50000</v>
      </c>
      <c r="K17" s="66">
        <f>'예비비'!G24</f>
        <v>100000</v>
      </c>
      <c r="L17" s="66">
        <f>'예비비'!H24</f>
        <v>50000</v>
      </c>
      <c r="M17" s="66">
        <f>'예비비'!I24</f>
        <v>50000</v>
      </c>
      <c r="N17" s="66">
        <f>'예비비'!J24</f>
        <v>100000</v>
      </c>
      <c r="O17" s="66">
        <f>'예비비'!K24</f>
        <v>100000</v>
      </c>
      <c r="P17" s="66">
        <f>'예비비'!L24</f>
        <v>0</v>
      </c>
      <c r="Q17" s="66">
        <f>'예비비'!M24</f>
        <v>0</v>
      </c>
      <c r="R17" s="66">
        <f>'예비비'!N24</f>
        <v>0</v>
      </c>
      <c r="S17" s="66">
        <f>'예비비'!O24</f>
        <v>0</v>
      </c>
      <c r="T17" s="66"/>
      <c r="U17" s="66">
        <f>SUM(G17:T17)</f>
        <v>600000</v>
      </c>
      <c r="V17" s="66"/>
      <c r="W17" s="66"/>
    </row>
    <row r="18" spans="1:23" ht="34" customHeight="1">
      <c r="A18" s="67" t="s">
        <v>16</v>
      </c>
      <c r="B18" s="68" t="s">
        <v>67</v>
      </c>
      <c r="C18" s="69" t="s">
        <v>362</v>
      </c>
      <c r="D18" s="68" t="s">
        <v>376</v>
      </c>
      <c r="E18" s="68" t="s">
        <v>66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16</v>
      </c>
      <c r="B19" s="72" t="s">
        <v>67</v>
      </c>
      <c r="C19" s="73" t="s">
        <v>95</v>
      </c>
      <c r="D19" s="72" t="s">
        <v>377</v>
      </c>
      <c r="E19" s="72"/>
      <c r="F19" s="331" t="s">
        <v>378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32">
        <f>U18-V19-W32</f>
        <v>0</v>
      </c>
    </row>
    <row r="20" spans="1:23" ht="34" customHeight="1">
      <c r="A20" s="63" t="s">
        <v>17</v>
      </c>
      <c r="B20" s="64" t="s">
        <v>68</v>
      </c>
      <c r="C20" s="65" t="s">
        <v>360</v>
      </c>
      <c r="D20" s="64"/>
      <c r="E20" s="64" t="s">
        <v>66</v>
      </c>
      <c r="F20" s="64"/>
      <c r="G20" s="66">
        <v>1000000</v>
      </c>
      <c r="H20" s="66">
        <f>'예비비'!D25</f>
        <v>50000</v>
      </c>
      <c r="I20" s="66">
        <f>'예비비'!E25</f>
        <v>150000</v>
      </c>
      <c r="J20" s="66">
        <f>'예비비'!F25</f>
        <v>100000</v>
      </c>
      <c r="K20" s="66">
        <f>'예비비'!G25</f>
        <v>100000</v>
      </c>
      <c r="L20" s="66">
        <f>'예비비'!H25</f>
        <v>100000</v>
      </c>
      <c r="M20" s="66">
        <f>'예비비'!I25</f>
        <v>100000</v>
      </c>
      <c r="N20" s="66">
        <f>'예비비'!J25</f>
        <v>0</v>
      </c>
      <c r="O20" s="66">
        <f>'예비비'!K25</f>
        <v>0</v>
      </c>
      <c r="P20" s="66">
        <f>'예비비'!L25</f>
        <v>100000</v>
      </c>
      <c r="Q20" s="66">
        <f>'예비비'!M25</f>
        <v>100000</v>
      </c>
      <c r="R20" s="66">
        <f>'예비비'!N25</f>
        <v>100000</v>
      </c>
      <c r="S20" s="66">
        <f>'예비비'!O25</f>
        <v>0</v>
      </c>
      <c r="T20" s="66"/>
      <c r="U20" s="66">
        <f>SUM(G20:T20)</f>
        <v>1900000</v>
      </c>
      <c r="V20" s="66"/>
      <c r="W20" s="66"/>
    </row>
    <row r="21" spans="1:23" ht="34" customHeight="1">
      <c r="A21" s="67" t="s">
        <v>17</v>
      </c>
      <c r="B21" s="68" t="s">
        <v>68</v>
      </c>
      <c r="C21" s="69" t="s">
        <v>362</v>
      </c>
      <c r="D21" s="68"/>
      <c r="E21" s="68" t="s">
        <v>66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17</v>
      </c>
      <c r="B22" s="72" t="s">
        <v>68</v>
      </c>
      <c r="C22" s="73" t="s">
        <v>95</v>
      </c>
      <c r="D22" s="72" t="s">
        <v>379</v>
      </c>
      <c r="E22" s="72"/>
      <c r="F22" s="72" t="s">
        <v>380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18</v>
      </c>
      <c r="B23" s="64" t="s">
        <v>97</v>
      </c>
      <c r="C23" s="65" t="s">
        <v>360</v>
      </c>
      <c r="D23" s="64"/>
      <c r="E23" s="64" t="s">
        <v>66</v>
      </c>
      <c r="F23" s="64"/>
      <c r="G23" s="66"/>
      <c r="H23" s="66">
        <f>'예비비'!D26</f>
        <v>0</v>
      </c>
      <c r="I23" s="66">
        <f>'예비비'!E26</f>
        <v>0</v>
      </c>
      <c r="J23" s="66">
        <f>'예비비'!F26</f>
        <v>0</v>
      </c>
      <c r="K23" s="66">
        <f>'예비비'!G26</f>
        <v>0</v>
      </c>
      <c r="L23" s="66">
        <f>'예비비'!H26</f>
        <v>50000</v>
      </c>
      <c r="M23" s="66">
        <f>'예비비'!I26</f>
        <v>0</v>
      </c>
      <c r="N23" s="66">
        <f>'예비비'!J26</f>
        <v>0</v>
      </c>
      <c r="O23" s="66">
        <f>'예비비'!K26</f>
        <v>0</v>
      </c>
      <c r="P23" s="66">
        <f>'예비비'!L26</f>
        <v>50000</v>
      </c>
      <c r="Q23" s="66">
        <f>'예비비'!M26</f>
        <v>0</v>
      </c>
      <c r="R23" s="66">
        <f>'예비비'!N26</f>
        <v>100000</v>
      </c>
      <c r="S23" s="66">
        <f>'예비비'!O26</f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18</v>
      </c>
      <c r="B24" s="68" t="s">
        <v>97</v>
      </c>
      <c r="C24" s="69" t="s">
        <v>362</v>
      </c>
      <c r="D24" s="68"/>
      <c r="E24" s="68" t="s">
        <v>66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18</v>
      </c>
      <c r="B25" s="72" t="s">
        <v>97</v>
      </c>
      <c r="C25" s="73" t="s">
        <v>95</v>
      </c>
      <c r="D25" s="72" t="s">
        <v>381</v>
      </c>
      <c r="E25" s="72"/>
      <c r="F25" s="72" t="s">
        <v>382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19</v>
      </c>
      <c r="B26" s="64" t="s">
        <v>383</v>
      </c>
      <c r="C26" s="65" t="s">
        <v>360</v>
      </c>
      <c r="D26" s="64" t="s">
        <v>384</v>
      </c>
      <c r="E26" s="64" t="s">
        <v>66</v>
      </c>
      <c r="F26" s="64"/>
      <c r="G26" s="66">
        <v>100000</v>
      </c>
      <c r="H26" s="66">
        <f>'예비비'!D27</f>
        <v>100000</v>
      </c>
      <c r="I26" s="66">
        <f>'예비비'!E27</f>
        <v>100000</v>
      </c>
      <c r="J26" s="66">
        <f>'예비비'!F27</f>
        <v>50000</v>
      </c>
      <c r="K26" s="66">
        <f>'예비비'!G27</f>
        <v>0</v>
      </c>
      <c r="L26" s="66">
        <f>'예비비'!H27</f>
        <v>0</v>
      </c>
      <c r="M26" s="66">
        <f>'예비비'!I27</f>
        <v>0</v>
      </c>
      <c r="N26" s="66">
        <f>'예비비'!J27</f>
        <v>100000</v>
      </c>
      <c r="O26" s="66">
        <f>'예비비'!K27</f>
        <v>100000</v>
      </c>
      <c r="P26" s="66">
        <f>'예비비'!L27</f>
        <v>100000</v>
      </c>
      <c r="Q26" s="66">
        <f>'예비비'!M27</f>
        <v>50000</v>
      </c>
      <c r="R26" s="66">
        <f>'예비비'!N27</f>
        <v>0</v>
      </c>
      <c r="S26" s="66">
        <f>'예비비'!O27</f>
        <v>0</v>
      </c>
      <c r="T26" s="66"/>
      <c r="U26" s="66">
        <f>SUM(G26:T26)</f>
        <v>700000</v>
      </c>
      <c r="V26" s="66"/>
      <c r="W26" s="66"/>
    </row>
    <row r="27" spans="1:23" ht="34" customHeight="1">
      <c r="A27" s="67" t="s">
        <v>19</v>
      </c>
      <c r="B27" s="68" t="s">
        <v>383</v>
      </c>
      <c r="C27" s="69" t="s">
        <v>362</v>
      </c>
      <c r="D27" s="68" t="s">
        <v>384</v>
      </c>
      <c r="E27" s="68" t="s">
        <v>66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19</v>
      </c>
      <c r="B28" s="72" t="s">
        <v>383</v>
      </c>
      <c r="C28" s="73" t="s">
        <v>95</v>
      </c>
      <c r="D28" s="72" t="s">
        <v>385</v>
      </c>
      <c r="E28" s="72"/>
      <c r="F28" s="331" t="s">
        <v>386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20</v>
      </c>
      <c r="B29" s="64" t="s">
        <v>387</v>
      </c>
      <c r="C29" s="65" t="s">
        <v>360</v>
      </c>
      <c r="D29" s="64"/>
      <c r="E29" s="64" t="s">
        <v>388</v>
      </c>
      <c r="F29" s="64"/>
      <c r="G29" s="66">
        <v>100000</v>
      </c>
      <c r="H29" s="66">
        <f>'예비비'!D28</f>
        <v>100000</v>
      </c>
      <c r="I29" s="66">
        <f>'예비비'!E28</f>
        <v>0</v>
      </c>
      <c r="J29" s="66">
        <f>'예비비'!F28</f>
        <v>0</v>
      </c>
      <c r="K29" s="66">
        <f>'예비비'!G28</f>
        <v>0</v>
      </c>
      <c r="L29" s="66">
        <f>'예비비'!H28</f>
        <v>0</v>
      </c>
      <c r="M29" s="66">
        <f>'예비비'!I28</f>
        <v>0</v>
      </c>
      <c r="N29" s="66">
        <f>'예비비'!J28</f>
        <v>0</v>
      </c>
      <c r="O29" s="66">
        <f>'예비비'!K28</f>
        <v>0</v>
      </c>
      <c r="P29" s="66">
        <f>'예비비'!L28</f>
        <v>0</v>
      </c>
      <c r="Q29" s="66">
        <f>'예비비'!M28</f>
        <v>0</v>
      </c>
      <c r="R29" s="66">
        <f>'예비비'!N28</f>
        <v>0</v>
      </c>
      <c r="S29" s="66">
        <f>'예비비'!O28</f>
        <v>0</v>
      </c>
      <c r="T29" s="66"/>
      <c r="U29" s="66">
        <f>SUM(G29:T29)</f>
        <v>200000</v>
      </c>
      <c r="V29" s="66"/>
      <c r="W29" s="66"/>
    </row>
    <row r="30" spans="1:23" ht="34" customHeight="1">
      <c r="A30" s="67" t="s">
        <v>20</v>
      </c>
      <c r="B30" s="68" t="s">
        <v>387</v>
      </c>
      <c r="C30" s="69" t="s">
        <v>362</v>
      </c>
      <c r="D30" s="68"/>
      <c r="E30" s="68" t="s">
        <v>388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20</v>
      </c>
      <c r="B31" s="72" t="s">
        <v>387</v>
      </c>
      <c r="C31" s="73" t="s">
        <v>95</v>
      </c>
      <c r="D31" s="72" t="s">
        <v>389</v>
      </c>
      <c r="E31" s="72"/>
      <c r="F31" s="72" t="s">
        <v>390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02" t="s">
        <v>391</v>
      </c>
      <c r="B32" s="381"/>
      <c r="C32" s="381"/>
      <c r="D32" s="381"/>
      <c r="E32" s="381"/>
      <c r="F32" s="382"/>
      <c r="G32" s="333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33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33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33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33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33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33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33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33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33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33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33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</c>
      <c r="S32" s="333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</c>
      <c r="T32" s="333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</c>
      <c r="U32" s="413" t="s">
        <v>392</v>
      </c>
      <c r="V32" s="382"/>
      <c r="W32" s="334">
        <f>SUMIF($G$4:$T$4,"&lt;="&amp;EOMONTH($B$3,0),G32:T32)</f>
        <v>300000</v>
      </c>
    </row>
    <row r="33" spans="1:23" ht="34" customHeight="1">
      <c r="A33" s="412" t="s">
        <v>393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2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22" t="s">
        <v>394</v>
      </c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2"/>
    </row>
    <row r="36" spans="1:23" ht="34" customHeight="1">
      <c r="A36" s="403" t="s">
        <v>395</v>
      </c>
      <c r="B36" s="341"/>
      <c r="C36" s="341"/>
      <c r="D36" s="341"/>
      <c r="E36" s="341"/>
      <c r="F36" s="342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16" t="s">
        <v>396</v>
      </c>
      <c r="B37" s="341"/>
      <c r="C37" s="341"/>
      <c r="D37" s="341"/>
      <c r="E37" s="341"/>
      <c r="F37" s="342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03" t="s">
        <v>397</v>
      </c>
      <c r="B38" s="341"/>
      <c r="C38" s="341"/>
      <c r="D38" s="341"/>
      <c r="E38" s="341"/>
      <c r="F38" s="342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16" t="s">
        <v>398</v>
      </c>
      <c r="B39" s="341"/>
      <c r="C39" s="341"/>
      <c r="D39" s="341"/>
      <c r="E39" s="341"/>
      <c r="F39" s="342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06" t="s">
        <v>95</v>
      </c>
      <c r="B40" s="341"/>
      <c r="C40" s="341"/>
      <c r="D40" s="341"/>
      <c r="E40" s="341"/>
      <c r="F40" s="342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239000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1489000</v>
      </c>
      <c r="W40" s="332">
        <f>U39-V40-W32</f>
        <v>1811000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14" t="s">
        <v>399</v>
      </c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2"/>
    </row>
    <row r="44" spans="1:23" ht="40" customHeight="1">
      <c r="A44" s="61" t="s">
        <v>400</v>
      </c>
      <c r="B44" s="61" t="s">
        <v>352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356</v>
      </c>
      <c r="V44" s="61" t="s">
        <v>357</v>
      </c>
      <c r="W44" s="329" t="s">
        <v>401</v>
      </c>
    </row>
    <row r="45" spans="1:23" ht="34" customHeight="1">
      <c r="A45" s="63" t="s">
        <v>16</v>
      </c>
      <c r="B45" s="65" t="s">
        <v>360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16</v>
      </c>
      <c r="B46" s="69" t="s">
        <v>362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16</v>
      </c>
      <c r="B47" s="73" t="s">
        <v>95</v>
      </c>
      <c r="C47" s="407" t="s">
        <v>402</v>
      </c>
      <c r="D47" s="381"/>
      <c r="E47" s="381"/>
      <c r="F47" s="382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35">
        <f>IF($B$3&lt;DATE(2026,3,1),"원장 없음",J72)</f>
        <v>0</v>
      </c>
    </row>
    <row r="48" spans="1:23" ht="34" customHeight="1">
      <c r="A48" s="63" t="s">
        <v>17</v>
      </c>
      <c r="B48" s="65" t="s">
        <v>360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17</v>
      </c>
      <c r="B49" s="69" t="s">
        <v>362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17</v>
      </c>
      <c r="B50" s="73" t="s">
        <v>95</v>
      </c>
      <c r="C50" s="407" t="s">
        <v>402</v>
      </c>
      <c r="D50" s="381"/>
      <c r="E50" s="381"/>
      <c r="F50" s="382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35">
        <f>IF($B$3&lt;DATE(2026,3,1),"원장 없음",J73)</f>
        <v>1400000</v>
      </c>
    </row>
    <row r="51" spans="1:23" ht="34" customHeight="1">
      <c r="A51" s="63" t="s">
        <v>18</v>
      </c>
      <c r="B51" s="65" t="s">
        <v>360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18</v>
      </c>
      <c r="B52" s="69" t="s">
        <v>362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18</v>
      </c>
      <c r="B53" s="73" t="s">
        <v>95</v>
      </c>
      <c r="C53" s="407" t="s">
        <v>402</v>
      </c>
      <c r="D53" s="381"/>
      <c r="E53" s="381"/>
      <c r="F53" s="382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239000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339000</v>
      </c>
      <c r="W53" s="335">
        <f>IF($B$3&lt;DATE(2026,3,1),"원장 없음",J74)</f>
        <v>450000</v>
      </c>
    </row>
    <row r="54" spans="1:23" ht="34" customHeight="1">
      <c r="A54" s="63" t="s">
        <v>19</v>
      </c>
      <c r="B54" s="65" t="s">
        <v>360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19</v>
      </c>
      <c r="B55" s="69" t="s">
        <v>362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19</v>
      </c>
      <c r="B56" s="73" t="s">
        <v>95</v>
      </c>
      <c r="C56" s="407" t="s">
        <v>402</v>
      </c>
      <c r="D56" s="381"/>
      <c r="E56" s="381"/>
      <c r="F56" s="382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35">
        <f>IF($B$3&lt;DATE(2026,3,1),"원장 없음",J75)</f>
        <v>300000</v>
      </c>
    </row>
    <row r="57" spans="1:23" ht="34" customHeight="1">
      <c r="A57" s="63" t="s">
        <v>20</v>
      </c>
      <c r="B57" s="65" t="s">
        <v>360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20</v>
      </c>
      <c r="B58" s="69" t="s">
        <v>362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20</v>
      </c>
      <c r="B59" s="73" t="s">
        <v>95</v>
      </c>
      <c r="C59" s="407" t="s">
        <v>402</v>
      </c>
      <c r="D59" s="381"/>
      <c r="E59" s="381"/>
      <c r="F59" s="382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35">
        <f>IF($B$3&lt;DATE(2026,3,1),"원장 없음",J76)</f>
        <v>0</v>
      </c>
    </row>
    <row r="60" spans="1:23" ht="23" customHeight="1">
      <c r="A60" s="407" t="s">
        <v>403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1"/>
    </row>
    <row r="61" spans="1:23" ht="23" customHeight="1">
      <c r="A61" s="362"/>
      <c r="B61" s="363"/>
      <c r="C61" s="363"/>
      <c r="D61" s="363"/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4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23" ht="24" customHeight="1">
      <c r="A65" s="420" t="inlineStr">
        <is>
          <t xml:space="preserve">10월 생신 실제 사용 239,000원은 명절비 선이체 200,000원과 임시보관 39,000원으로 충당. 잔금 61,000원은 WRAP 임시보관으로 회수; 소비·적립 아님.</t>
        </is>
      </c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</row>
    <row r="66" spans="1:23" ht="24" customHeight="1">
      <c r="A66" s="345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</row>
    <row r="69" spans="1:23" ht="30" customHeight="1">
      <c r="A69" s="398" t="s">
        <v>405</v>
      </c>
      <c r="B69" s="381"/>
      <c r="C69" s="381"/>
      <c r="D69" s="381"/>
      <c r="E69" s="381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2"/>
    </row>
    <row r="70" spans="1:23" ht="36" customHeight="1">
      <c r="A70" s="359" t="s">
        <v>406</v>
      </c>
      <c r="B70" s="381"/>
      <c r="C70" s="381"/>
      <c r="D70" s="381"/>
      <c r="E70" s="381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2"/>
    </row>
    <row r="71" spans="1:23" ht="42" customHeight="1">
      <c r="A71" s="336" t="s">
        <v>400</v>
      </c>
      <c r="B71" s="404" t="s">
        <v>407</v>
      </c>
      <c r="C71" s="382"/>
      <c r="D71" s="404" t="s">
        <v>408</v>
      </c>
      <c r="E71" s="382"/>
      <c r="F71" s="404" t="s">
        <v>409</v>
      </c>
      <c r="G71" s="382"/>
      <c r="H71" s="404" t="s">
        <v>410</v>
      </c>
      <c r="I71" s="382"/>
      <c r="J71" s="404" t="s">
        <v>411</v>
      </c>
      <c r="K71" s="382"/>
      <c r="L71" s="404" t="s">
        <v>412</v>
      </c>
      <c r="M71" s="382"/>
      <c r="N71" s="404" t="s">
        <v>244</v>
      </c>
      <c r="O71" s="381"/>
      <c r="P71" s="381"/>
      <c r="Q71" s="381"/>
      <c r="R71" s="381"/>
      <c r="S71" s="381"/>
      <c r="T71" s="381"/>
      <c r="U71" s="381"/>
      <c r="V71" s="381"/>
      <c r="W71" s="382"/>
    </row>
    <row r="72" spans="1:23" ht="58" customHeight="1">
      <c r="A72" s="328" t="s">
        <v>16</v>
      </c>
      <c r="B72" s="415">
        <f>U46-V47</f>
        <v>300000</v>
      </c>
      <c r="C72" s="382"/>
      <c r="D72" s="405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382"/>
      <c r="F72" s="405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382"/>
      <c r="H72" s="405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382"/>
      <c r="J72" s="401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382"/>
      <c r="L72" s="386" t="b">
        <f>IF(OR($B$3&lt;DATE(2026,3,1),$B$3&gt;MAX(잔액!$A$64:$A$500)),"기준월 확인",J72=INDEX(잔액!$C$22:$L$30,MATCH(A72,잔액!$A$22:$A$30,0),MATCH($B$3,잔액!$C$21:$L$21,0)))</f>
        <v>1</v>
      </c>
      <c r="M72" s="382"/>
      <c r="N72" s="359" t="s">
        <v>413</v>
      </c>
      <c r="O72" s="381"/>
      <c r="P72" s="381"/>
      <c r="Q72" s="381"/>
      <c r="R72" s="381"/>
      <c r="S72" s="381"/>
      <c r="T72" s="381"/>
      <c r="U72" s="381"/>
      <c r="V72" s="381"/>
      <c r="W72" s="382"/>
    </row>
    <row r="73" spans="1:23" ht="58" customHeight="1">
      <c r="A73" s="337" t="s">
        <v>17</v>
      </c>
      <c r="B73" s="419">
        <f>U49-V50</f>
        <v>1400000</v>
      </c>
      <c r="C73" s="382"/>
      <c r="D73" s="409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382"/>
      <c r="F73" s="409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382"/>
      <c r="H73" s="409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382"/>
      <c r="J73" s="401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382"/>
      <c r="L73" s="386" t="b">
        <f>IF(OR($B$3&lt;DATE(2026,3,1),$B$3&gt;MAX(잔액!$A$64:$A$500)),"기준월 확인",J73=INDEX(잔액!$C$22:$L$30,MATCH(A73,잔액!$A$22:$A$30,0),MATCH($B$3,잔액!$C$21:$L$21,0)))</f>
        <v>1</v>
      </c>
      <c r="M73" s="382"/>
      <c r="N73" s="410" t="s">
        <v>414</v>
      </c>
      <c r="O73" s="381"/>
      <c r="P73" s="381"/>
      <c r="Q73" s="381"/>
      <c r="R73" s="381"/>
      <c r="S73" s="381"/>
      <c r="T73" s="381"/>
      <c r="U73" s="381"/>
      <c r="V73" s="381"/>
      <c r="W73" s="382"/>
    </row>
    <row r="74" spans="1:23" ht="58" customHeight="1">
      <c r="A74" s="328" t="s">
        <v>18</v>
      </c>
      <c r="B74" s="415">
        <f>U52-V53</f>
        <v>111000</v>
      </c>
      <c r="C74" s="382"/>
      <c r="D74" s="405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382"/>
      <c r="F74" s="405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382"/>
      <c r="H74" s="405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239000</v>
      </c>
      <c r="I74" s="382"/>
      <c r="J74" s="401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382"/>
      <c r="L74" s="386" t="b">
        <f>IF(OR($B$3&lt;DATE(2026,3,1),$B$3&gt;MAX(잔액!$A$64:$A$500)),"기준월 확인",J74=INDEX(잔액!$C$22:$L$30,MATCH(A74,잔액!$A$22:$A$30,0),MATCH($B$3,잔액!$C$21:$L$21,0)))</f>
        <v>1</v>
      </c>
      <c r="M74" s="382"/>
      <c r="N74" s="359" t="inlineStr">
        <is>
          <t xml:space="preserve">원본 적립 차이 −100,000 보존. 생신 사용 239,000은 명절비 200,000 + 임시보관 39,000으로 충당하여 경조사비 잔액에서 다시 빼지 않음.</t>
        </is>
      </c>
      <c r="O74" s="381"/>
      <c r="P74" s="381"/>
      <c r="Q74" s="381"/>
      <c r="R74" s="381"/>
      <c r="S74" s="381"/>
      <c r="T74" s="381"/>
      <c r="U74" s="381"/>
      <c r="V74" s="381"/>
      <c r="W74" s="382"/>
    </row>
    <row r="75" spans="1:23" ht="58" customHeight="1">
      <c r="A75" s="337" t="s">
        <v>19</v>
      </c>
      <c r="B75" s="419">
        <f>U55-V56</f>
        <v>300000</v>
      </c>
      <c r="C75" s="382"/>
      <c r="D75" s="409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382"/>
      <c r="F75" s="409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382"/>
      <c r="H75" s="409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382"/>
      <c r="J75" s="401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382"/>
      <c r="L75" s="386" t="b">
        <f>IF(OR($B$3&lt;DATE(2026,3,1),$B$3&gt;MAX(잔액!$A$64:$A$500)),"기준월 확인",J75=INDEX(잔액!$C$22:$L$30,MATCH(A75,잔액!$A$22:$A$30,0),MATCH($B$3,잔액!$C$21:$L$21,0)))</f>
        <v>1</v>
      </c>
      <c r="M75" s="382"/>
      <c r="N75" s="410" t="s">
        <v>416</v>
      </c>
      <c r="O75" s="381"/>
      <c r="P75" s="381"/>
      <c r="Q75" s="381"/>
      <c r="R75" s="381"/>
      <c r="S75" s="381"/>
      <c r="T75" s="381"/>
      <c r="U75" s="381"/>
      <c r="V75" s="381"/>
      <c r="W75" s="382"/>
    </row>
    <row r="76" spans="1:23" ht="58" customHeight="1">
      <c r="A76" s="328" t="s">
        <v>20</v>
      </c>
      <c r="B76" s="415">
        <f>U58-V59</f>
        <v>0</v>
      </c>
      <c r="C76" s="382"/>
      <c r="D76" s="405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382"/>
      <c r="F76" s="405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382"/>
      <c r="H76" s="405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382"/>
      <c r="J76" s="401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382"/>
      <c r="L76" s="386" t="b">
        <f>IF(OR($B$3&lt;DATE(2026,3,1),$B$3&gt;MAX(잔액!$A$64:$A$500)),"기준월 확인",J76=INDEX(잔액!$C$22:$L$30,MATCH(A76,잔액!$A$22:$A$30,0),MATCH($B$3,잔액!$C$21:$L$21,0)))</f>
        <v>1</v>
      </c>
      <c r="M76" s="382"/>
      <c r="N76" s="359" t="s">
        <v>417</v>
      </c>
      <c r="O76" s="381"/>
      <c r="P76" s="381"/>
      <c r="Q76" s="381"/>
      <c r="R76" s="381"/>
      <c r="S76" s="381"/>
      <c r="T76" s="381"/>
      <c r="U76" s="381"/>
      <c r="V76" s="381"/>
      <c r="W76" s="382"/>
    </row>
    <row r="77" spans="1:23" ht="30" customHeight="1">
      <c r="A77" s="328" t="s">
        <v>418</v>
      </c>
      <c r="B77" s="401">
        <f>IF($B$3&lt;DATE(2026,3,1),"",SUM(B72:B76))</f>
        <v>2111000</v>
      </c>
      <c r="C77" s="382"/>
      <c r="D77" s="401">
        <f>IF($B$3&lt;DATE(2026,3,1),"",SUM(D72:D76))</f>
        <v>-100000</v>
      </c>
      <c r="E77" s="382"/>
      <c r="F77" s="401">
        <f>IF($B$3&lt;DATE(2026,3,1),"",SUM(F72:F76))</f>
        <v>-187120</v>
      </c>
      <c r="G77" s="382"/>
      <c r="H77" s="401">
        <f>IF($B$3&lt;DATE(2026,3,1),"",SUM(H72:H76))</f>
        <v>326120</v>
      </c>
      <c r="I77" s="382"/>
      <c r="J77" s="401">
        <f>IF($B$3&lt;DATE(2026,3,1),"",SUM(J72:J76))</f>
        <v>2150000</v>
      </c>
      <c r="K77" s="382"/>
      <c r="L77" s="418" t="b">
        <f>AND(L72:L76)</f>
        <v>1</v>
      </c>
      <c r="M77" s="382"/>
      <c r="N77" s="417" t="s">
        <v>419</v>
      </c>
      <c r="O77" s="381"/>
      <c r="P77" s="381"/>
      <c r="Q77" s="381"/>
      <c r="R77" s="381"/>
      <c r="S77" s="381"/>
      <c r="T77" s="381"/>
      <c r="U77" s="381"/>
      <c r="V77" s="381"/>
      <c r="W77" s="382"/>
    </row>
    <row r="78" spans="1:23" ht="23" customHeight="1">
      <c r="A78" s="359" t="s">
        <v>420</v>
      </c>
      <c r="B78" s="360"/>
      <c r="C78" s="360"/>
      <c r="D78" s="360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1"/>
    </row>
    <row r="79" spans="1:23" ht="23" customHeight="1">
      <c r="A79" s="362"/>
      <c r="B79" s="363"/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4"/>
    </row>
    <row r="80">
      <c r="BI80">
        <v>45992.0</v>
      </c>
      <c r="BJ80">
        <v>46023.0</v>
      </c>
      <c r="BK80">
        <v>46054.0</v>
      </c>
      <c r="BL80">
        <v>46082.0</v>
      </c>
      <c r="BM80">
        <v>46113.0</v>
      </c>
      <c r="BN80">
        <v>46143.0</v>
      </c>
      <c r="BO80">
        <v>46174.0</v>
      </c>
      <c r="BP80">
        <v>46204.0</v>
      </c>
      <c r="BQ80">
        <v>46235.0</v>
      </c>
      <c r="BR80">
        <v>46266.0</v>
      </c>
      <c r="BS80">
        <v>46296.0</v>
      </c>
      <c r="BT80">
        <v>46327.0</v>
      </c>
      <c r="BU80">
        <v>46357.0</v>
      </c>
    </row>
    <row r="81" spans="1:23" ht="30" customHeight="1">
      <c r="A81" s="398" t="s">
        <v>421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2"/>
      <c r="BH81" t="inlineStr">
        <is>
          <t xml:space="preserve">명절비</t>
        </is>
      </c>
      <c r="BI81">
        <f>SUMIF(예비비!$C$100:$C$399,$BH81,BI$100:BI$399)</f>
        <v>0</v>
      </c>
      <c r="BJ81">
        <f>SUMIF(예비비!$C$100:$C$399,$BH81,BJ$100:BJ$399)</f>
        <v>0</v>
      </c>
      <c r="BK81">
        <f>SUMIF(예비비!$C$100:$C$399,$BH81,BK$100:BK$399)</f>
        <v>100000</v>
      </c>
      <c r="BL81">
        <f>SUMIF(예비비!$C$100:$C$399,$BH81,BL$100:BL$399)</f>
        <v>0</v>
      </c>
      <c r="BM81">
        <f>SUMIF(예비비!$C$100:$C$399,$BH81,BM$100:BM$399)</f>
        <v>0</v>
      </c>
      <c r="BN81">
        <f>SUMIF(예비비!$C$100:$C$399,$BH81,BN$100:BN$399)</f>
        <v>0</v>
      </c>
      <c r="BO81">
        <f>SUMIF(예비비!$C$100:$C$399,$BH81,BO$100:BO$399)</f>
        <v>0</v>
      </c>
      <c r="BP81">
        <f>SUMIF(예비비!$C$100:$C$399,$BH81,BP$100:BP$399)</f>
        <v>0</v>
      </c>
      <c r="BQ81">
        <f>SUMIF(예비비!$C$100:$C$399,$BH81,BQ$100:BQ$399)</f>
        <v>0</v>
      </c>
      <c r="BR81">
        <f>SUMIF(예비비!$C$100:$C$399,$BH81,BR$100:BR$399)</f>
        <v>0</v>
      </c>
      <c r="BS81">
        <f>SUMIF(예비비!$C$100:$C$399,$BH81,BS$100:BS$399)</f>
        <v>0</v>
      </c>
      <c r="BT81">
        <f>SUMIF(예비비!$C$100:$C$399,$BH81,BT$100:BT$399)</f>
        <v>0</v>
      </c>
      <c r="BU81">
        <f>SUMIF(예비비!$C$100:$C$399,$BH81,BU$100:BU$399)</f>
        <v>0</v>
      </c>
    </row>
    <row r="82" spans="1:23" ht="34" customHeight="1">
      <c r="A82" s="408" t="s">
        <v>400</v>
      </c>
      <c r="B82" s="381"/>
      <c r="C82" s="381"/>
      <c r="D82" s="381"/>
      <c r="E82" s="381"/>
      <c r="F82" s="382"/>
      <c r="G82" s="338">
        <f t="shared" ref="G82:T82" si="6">G4</f>
        <v>45992.0</v>
      </c>
      <c r="H82" s="338">
        <f t="shared" si="6"/>
        <v>46023.0</v>
      </c>
      <c r="I82" s="338">
        <f t="shared" si="6"/>
        <v>46054.0</v>
      </c>
      <c r="J82" s="338">
        <f t="shared" si="6"/>
        <v>46082.0</v>
      </c>
      <c r="K82" s="338">
        <f t="shared" si="6"/>
        <v>46113.0</v>
      </c>
      <c r="L82" s="338">
        <f t="shared" si="6"/>
        <v>46143.0</v>
      </c>
      <c r="M82" s="338">
        <f t="shared" si="6"/>
        <v>46174.0</v>
      </c>
      <c r="N82" s="338">
        <f t="shared" si="6"/>
        <v>46204.0</v>
      </c>
      <c r="O82" s="338">
        <f t="shared" si="6"/>
        <v>46235.0</v>
      </c>
      <c r="P82" s="338">
        <f t="shared" si="6"/>
        <v>46266.0</v>
      </c>
      <c r="Q82" s="338">
        <f t="shared" si="6"/>
        <v>46296.0</v>
      </c>
      <c r="R82" s="338">
        <f t="shared" si="6"/>
        <v>46327.0</v>
      </c>
      <c r="S82" s="338">
        <f t="shared" si="6"/>
        <v>46357.0</v>
      </c>
      <c r="T82" s="338">
        <f t="shared" si="6"/>
        <v>46388.0</v>
      </c>
      <c r="U82" s="404" t="s">
        <v>422</v>
      </c>
      <c r="V82" s="381"/>
      <c r="W82" s="382"/>
      <c r="BH82" t="inlineStr">
        <is>
          <t xml:space="preserve">여행비</t>
        </is>
      </c>
      <c r="BI82">
        <f>SUMIF(예비비!$C$100:$C$399,$BH82,BI$100:BI$399)</f>
        <v>0</v>
      </c>
      <c r="BJ82">
        <f>SUMIF(예비비!$C$100:$C$399,$BH82,BJ$100:BJ$399)</f>
        <v>0</v>
      </c>
      <c r="BK82">
        <f>SUMIF(예비비!$C$100:$C$399,$BH82,BK$100:BK$399)</f>
        <v>0</v>
      </c>
      <c r="BL82">
        <f>SUMIF(예비비!$C$100:$C$399,$BH82,BL$100:BL$399)</f>
        <v>0</v>
      </c>
      <c r="BM82">
        <f>SUMIF(예비비!$C$100:$C$399,$BH82,BM$100:BM$399)</f>
        <v>0</v>
      </c>
      <c r="BN82">
        <f>SUMIF(예비비!$C$100:$C$399,$BH82,BN$100:BN$399)</f>
        <v>0</v>
      </c>
      <c r="BO82">
        <f>SUMIF(예비비!$C$100:$C$399,$BH82,BO$100:BO$399)</f>
        <v>0</v>
      </c>
      <c r="BP82">
        <f>SUMIF(예비비!$C$100:$C$399,$BH82,BP$100:BP$399)</f>
        <v>0</v>
      </c>
      <c r="BQ82">
        <f>SUMIF(예비비!$C$100:$C$399,$BH82,BQ$100:BQ$399)</f>
        <v>0</v>
      </c>
      <c r="BR82">
        <f>SUMIF(예비비!$C$100:$C$399,$BH82,BR$100:BR$399)</f>
        <v>0</v>
      </c>
      <c r="BS82">
        <f>SUMIF(예비비!$C$100:$C$399,$BH82,BS$100:BS$399)</f>
        <v>0</v>
      </c>
      <c r="BT82">
        <f>SUMIF(예비비!$C$100:$C$399,$BH82,BT$100:BT$399)</f>
        <v>0</v>
      </c>
      <c r="BU82">
        <f>SUMIF(예비비!$C$100:$C$399,$BH82,BU$100:BU$399)</f>
        <v>0</v>
      </c>
    </row>
    <row r="83" spans="1:23" ht="28" customHeight="1">
      <c r="A83" s="399" t="s">
        <v>16</v>
      </c>
      <c r="B83" s="381"/>
      <c r="C83" s="381"/>
      <c r="D83" s="381"/>
      <c r="E83" s="381"/>
      <c r="F83" s="382"/>
      <c r="G83" s="327">
        <f>IF(OR(G$4&lt;DATE(2026,3,1),G$4&gt;$B$3),"",(SUMIFS(잔액!$Y$64:$Y$500,잔액!$D$64:$D$500,$A83,잔액!$A$64:$A$500,"&lt;="&amp;EOMONTH(G$4,0)))-(SUMIFS(잔액!$Y$64:$Y$500,잔액!$C$64:$C$500,$A83,잔액!$A$64:$A$500,"&lt;="&amp;EOMONTH(G$4,0))))</f>
      </c>
      <c r="H83" s="327">
        <f>IF(OR(H$4&lt;DATE(2026,3,1),H$4&gt;$B$3),"",(SUMIFS(잔액!$Y$64:$Y$500,잔액!$D$64:$D$500,$A83,잔액!$A$64:$A$500,"&lt;="&amp;EOMONTH(H$4,0)))-(SUMIFS(잔액!$Y$64:$Y$500,잔액!$C$64:$C$500,$A83,잔액!$A$64:$A$500,"&lt;="&amp;EOMONTH(H$4,0))))</f>
      </c>
      <c r="I83" s="327">
        <f>IF(OR(I$4&lt;DATE(2026,3,1),I$4&gt;$B$3),"",(SUMIFS(잔액!$Y$64:$Y$500,잔액!$D$64:$D$500,$A83,잔액!$A$64:$A$500,"&lt;="&amp;EOMONTH(I$4,0)))-(SUMIFS(잔액!$Y$64:$Y$500,잔액!$C$64:$C$500,$A83,잔액!$A$64:$A$500,"&lt;="&amp;EOMONTH(I$4,0))))</f>
      </c>
      <c r="J83" s="327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7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7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7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7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7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7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7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7">
        <f>IF(OR(R$4&lt;DATE(2026,3,1),R$4&gt;$B$3),"",(SUMIFS(잔액!$Y$64:$Y$500,잔액!$D$64:$D$500,$A83,잔액!$A$64:$A$500,"&lt;="&amp;EOMONTH(R$4,0)))-(SUMIFS(잔액!$Y$64:$Y$500,잔액!$C$64:$C$500,$A83,잔액!$A$64:$A$500,"&lt;="&amp;EOMONTH(R$4,0))))</f>
      </c>
      <c r="S83" s="327">
        <f>IF(OR(S$4&lt;DATE(2026,3,1),S$4&gt;$B$3),"",(SUMIFS(잔액!$Y$64:$Y$500,잔액!$D$64:$D$500,$A83,잔액!$A$64:$A$500,"&lt;="&amp;EOMONTH(S$4,0)))-(SUMIFS(잔액!$Y$64:$Y$500,잔액!$C$64:$C$500,$A83,잔액!$A$64:$A$500,"&lt;="&amp;EOMONTH(S$4,0))))</f>
      </c>
      <c r="T83" s="327">
        <f>IF(OR(T$4&lt;DATE(2026,3,1),T$4&gt;$B$3),"",(SUMIFS(잔액!$Y$64:$Y$500,잔액!$D$64:$D$500,$A83,잔액!$A$64:$A$500,"&lt;="&amp;EOMONTH(T$4,0)))-(SUMIFS(잔액!$Y$64:$Y$500,잔액!$C$64:$C$500,$A83,잔액!$A$64:$A$500,"&lt;="&amp;EOMONTH(T$4,0))))</f>
      </c>
      <c r="U83" s="401">
        <f>IF($B$3&lt;DATE(2026,3,1),"원장 없음",J72)</f>
        <v>0</v>
      </c>
      <c r="V83" s="381"/>
      <c r="W83" s="382"/>
      <c r="BH83" t="inlineStr">
        <is>
          <t xml:space="preserve">경조사비</t>
        </is>
      </c>
      <c r="BI83">
        <f>SUMIF(예비비!$C$100:$C$399,$BH83,BI$100:BI$399)</f>
        <v>0</v>
      </c>
      <c r="BJ83">
        <f>SUMIF(예비비!$C$100:$C$399,$BH83,BJ$100:BJ$399)</f>
        <v>50000</v>
      </c>
      <c r="BK83">
        <f>SUMIF(예비비!$C$100:$C$399,$BH83,BK$100:BK$399)</f>
        <v>50000</v>
      </c>
      <c r="BL83">
        <f>SUMIF(예비비!$C$100:$C$399,$BH83,BL$100:BL$399)</f>
        <v>0</v>
      </c>
      <c r="BM83">
        <f>SUMIF(예비비!$C$100:$C$399,$BH83,BM$100:BM$399)</f>
        <v>0</v>
      </c>
      <c r="BN83">
        <f>SUMIF(예비비!$C$100:$C$399,$BH83,BN$100:BN$399)</f>
        <v>0</v>
      </c>
      <c r="BO83">
        <f>SUMIF(예비비!$C$100:$C$399,$BH83,BO$100:BO$399)</f>
        <v>0</v>
      </c>
      <c r="BP83">
        <f>SUMIF(예비비!$C$100:$C$399,$BH83,BP$100:BP$399)</f>
        <v>0</v>
      </c>
      <c r="BQ83">
        <f>SUMIF(예비비!$C$100:$C$399,$BH83,BQ$100:BQ$399)</f>
        <v>0</v>
      </c>
      <c r="BR83">
        <f>SUMIF(예비비!$C$100:$C$399,$BH83,BR$100:BR$399)</f>
        <v>0</v>
      </c>
      <c r="BS83">
        <f>SUMIF(예비비!$C$100:$C$399,$BH83,BS$100:BS$399)</f>
        <v>0</v>
      </c>
      <c r="BT83">
        <f>SUMIF(예비비!$C$100:$C$399,$BH83,BT$100:BT$399)</f>
        <v>0</v>
      </c>
      <c r="BU83">
        <f>SUMIF(예비비!$C$100:$C$399,$BH83,BU$100:BU$399)</f>
        <v>0</v>
      </c>
    </row>
    <row r="84" spans="1:23" ht="28" customHeight="1">
      <c r="A84" s="399" t="s">
        <v>17</v>
      </c>
      <c r="B84" s="381"/>
      <c r="C84" s="381"/>
      <c r="D84" s="381"/>
      <c r="E84" s="381"/>
      <c r="F84" s="382"/>
      <c r="G84" s="327">
        <f>IF(OR(G$4&lt;DATE(2026,3,1),G$4&gt;$B$3),"",(SUMIFS(잔액!$Y$64:$Y$500,잔액!$D$64:$D$500,$A84,잔액!$A$64:$A$500,"&lt;="&amp;EOMONTH(G$4,0)))-(SUMIFS(잔액!$Y$64:$Y$500,잔액!$C$64:$C$500,$A84,잔액!$A$64:$A$500,"&lt;="&amp;EOMONTH(G$4,0))))</f>
      </c>
      <c r="H84" s="327">
        <f>IF(OR(H$4&lt;DATE(2026,3,1),H$4&gt;$B$3),"",(SUMIFS(잔액!$Y$64:$Y$500,잔액!$D$64:$D$500,$A84,잔액!$A$64:$A$500,"&lt;="&amp;EOMONTH(H$4,0)))-(SUMIFS(잔액!$Y$64:$Y$500,잔액!$C$64:$C$500,$A84,잔액!$A$64:$A$500,"&lt;="&amp;EOMONTH(H$4,0))))</f>
      </c>
      <c r="I84" s="327">
        <f>IF(OR(I$4&lt;DATE(2026,3,1),I$4&gt;$B$3),"",(SUMIFS(잔액!$Y$64:$Y$500,잔액!$D$64:$D$500,$A84,잔액!$A$64:$A$500,"&lt;="&amp;EOMONTH(I$4,0)))-(SUMIFS(잔액!$Y$64:$Y$500,잔액!$C$64:$C$500,$A84,잔액!$A$64:$A$500,"&lt;="&amp;EOMONTH(I$4,0))))</f>
      </c>
      <c r="J84" s="327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7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7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7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7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7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7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7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7">
        <f>IF(OR(R$4&lt;DATE(2026,3,1),R$4&gt;$B$3),"",(SUMIFS(잔액!$Y$64:$Y$500,잔액!$D$64:$D$500,$A84,잔액!$A$64:$A$500,"&lt;="&amp;EOMONTH(R$4,0)))-(SUMIFS(잔액!$Y$64:$Y$500,잔액!$C$64:$C$500,$A84,잔액!$A$64:$A$500,"&lt;="&amp;EOMONTH(R$4,0))))</f>
      </c>
      <c r="S84" s="327">
        <f>IF(OR(S$4&lt;DATE(2026,3,1),S$4&gt;$B$3),"",(SUMIFS(잔액!$Y$64:$Y$500,잔액!$D$64:$D$500,$A84,잔액!$A$64:$A$500,"&lt;="&amp;EOMONTH(S$4,0)))-(SUMIFS(잔액!$Y$64:$Y$500,잔액!$C$64:$C$500,$A84,잔액!$A$64:$A$500,"&lt;="&amp;EOMONTH(S$4,0))))</f>
      </c>
      <c r="T84" s="327">
        <f>IF(OR(T$4&lt;DATE(2026,3,1),T$4&gt;$B$3),"",(SUMIFS(잔액!$Y$64:$Y$500,잔액!$D$64:$D$500,$A84,잔액!$A$64:$A$500,"&lt;="&amp;EOMONTH(T$4,0)))-(SUMIFS(잔액!$Y$64:$Y$500,잔액!$C$64:$C$500,$A84,잔액!$A$64:$A$500,"&lt;="&amp;EOMONTH(T$4,0))))</f>
      </c>
      <c r="U84" s="401">
        <f>IF($B$3&lt;DATE(2026,3,1),"원장 없음",J73)</f>
        <v>1400000</v>
      </c>
      <c r="V84" s="381"/>
      <c r="W84" s="382"/>
      <c r="BH84" t="inlineStr">
        <is>
          <t xml:space="preserve">상환비</t>
        </is>
      </c>
      <c r="BI84">
        <f>SUMIF(예비비!$C$100:$C$399,$BH84,BI$100:BI$399)</f>
        <v>0</v>
      </c>
      <c r="BJ84">
        <f>SUMIF(예비비!$C$100:$C$399,$BH84,BJ$100:BJ$399)</f>
        <v>0</v>
      </c>
      <c r="BK84">
        <f>SUMIF(예비비!$C$100:$C$399,$BH84,BK$100:BK$399)</f>
        <v>0</v>
      </c>
      <c r="BL84">
        <f>SUMIF(예비비!$C$100:$C$399,$BH84,BL$100:BL$399)</f>
        <v>0</v>
      </c>
      <c r="BM84">
        <f>SUMIF(예비비!$C$100:$C$399,$BH84,BM$100:BM$399)</f>
        <v>0</v>
      </c>
      <c r="BN84">
        <f>SUMIF(예비비!$C$100:$C$399,$BH84,BN$100:BN$399)</f>
        <v>0</v>
      </c>
      <c r="BO84">
        <f>SUMIF(예비비!$C$100:$C$399,$BH84,BO$100:BO$399)</f>
        <v>0</v>
      </c>
      <c r="BP84">
        <f>SUMIF(예비비!$C$100:$C$399,$BH84,BP$100:BP$399)</f>
        <v>0</v>
      </c>
      <c r="BQ84">
        <f>SUMIF(예비비!$C$100:$C$399,$BH84,BQ$100:BQ$399)</f>
        <v>0</v>
      </c>
      <c r="BR84">
        <f>SUMIF(예비비!$C$100:$C$399,$BH84,BR$100:BR$399)</f>
        <v>0</v>
      </c>
      <c r="BS84">
        <f>SUMIF(예비비!$C$100:$C$399,$BH84,BS$100:BS$399)</f>
        <v>0</v>
      </c>
      <c r="BT84">
        <f>SUMIF(예비비!$C$100:$C$399,$BH84,BT$100:BT$399)</f>
        <v>0</v>
      </c>
      <c r="BU84">
        <f>SUMIF(예비비!$C$100:$C$399,$BH84,BU$100:BU$399)</f>
        <v>0</v>
      </c>
    </row>
    <row r="85" spans="1:23" ht="28" customHeight="1">
      <c r="A85" s="399" t="s">
        <v>18</v>
      </c>
      <c r="B85" s="381"/>
      <c r="C85" s="381"/>
      <c r="D85" s="381"/>
      <c r="E85" s="381"/>
      <c r="F85" s="382"/>
      <c r="G85" s="327">
        <f>IF(OR(G$4&lt;DATE(2026,3,1),G$4&gt;$B$3),"",(SUMIFS(잔액!$Y$64:$Y$500,잔액!$D$64:$D$500,$A85,잔액!$A$64:$A$500,"&lt;="&amp;EOMONTH(G$4,0)))-(SUMIFS(잔액!$Y$64:$Y$500,잔액!$C$64:$C$500,$A85,잔액!$A$64:$A$500,"&lt;="&amp;EOMONTH(G$4,0))))</f>
      </c>
      <c r="H85" s="327">
        <f>IF(OR(H$4&lt;DATE(2026,3,1),H$4&gt;$B$3),"",(SUMIFS(잔액!$Y$64:$Y$500,잔액!$D$64:$D$500,$A85,잔액!$A$64:$A$500,"&lt;="&amp;EOMONTH(H$4,0)))-(SUMIFS(잔액!$Y$64:$Y$500,잔액!$C$64:$C$500,$A85,잔액!$A$64:$A$500,"&lt;="&amp;EOMONTH(H$4,0))))</f>
      </c>
      <c r="I85" s="327">
        <f>IF(OR(I$4&lt;DATE(2026,3,1),I$4&gt;$B$3),"",(SUMIFS(잔액!$Y$64:$Y$500,잔액!$D$64:$D$500,$A85,잔액!$A$64:$A$500,"&lt;="&amp;EOMONTH(I$4,0)))-(SUMIFS(잔액!$Y$64:$Y$500,잔액!$C$64:$C$500,$A85,잔액!$A$64:$A$500,"&lt;="&amp;EOMONTH(I$4,0))))</f>
      </c>
      <c r="J85" s="327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7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7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7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7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7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7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7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7">
        <f>IF(OR(R$4&lt;DATE(2026,3,1),R$4&gt;$B$3),"",(SUMIFS(잔액!$Y$64:$Y$500,잔액!$D$64:$D$500,$A85,잔액!$A$64:$A$500,"&lt;="&amp;EOMONTH(R$4,0)))-(SUMIFS(잔액!$Y$64:$Y$500,잔액!$C$64:$C$500,$A85,잔액!$A$64:$A$500,"&lt;="&amp;EOMONTH(R$4,0))))</f>
      </c>
      <c r="S85" s="327">
        <f>IF(OR(S$4&lt;DATE(2026,3,1),S$4&gt;$B$3),"",(SUMIFS(잔액!$Y$64:$Y$500,잔액!$D$64:$D$500,$A85,잔액!$A$64:$A$500,"&lt;="&amp;EOMONTH(S$4,0)))-(SUMIFS(잔액!$Y$64:$Y$500,잔액!$C$64:$C$500,$A85,잔액!$A$64:$A$500,"&lt;="&amp;EOMONTH(S$4,0))))</f>
      </c>
      <c r="T85" s="327">
        <f>IF(OR(T$4&lt;DATE(2026,3,1),T$4&gt;$B$3),"",(SUMIFS(잔액!$Y$64:$Y$500,잔액!$D$64:$D$500,$A85,잔액!$A$64:$A$500,"&lt;="&amp;EOMONTH(T$4,0)))-(SUMIFS(잔액!$Y$64:$Y$500,잔액!$C$64:$C$500,$A85,잔액!$A$64:$A$500,"&lt;="&amp;EOMONTH(T$4,0))))</f>
      </c>
      <c r="U85" s="401">
        <f>IF($B$3&lt;DATE(2026,3,1),"원장 없음",J74)</f>
        <v>450000</v>
      </c>
      <c r="V85" s="381"/>
      <c r="W85" s="382"/>
      <c r="BH85" t="inlineStr">
        <is>
          <t xml:space="preserve">예비비</t>
        </is>
      </c>
      <c r="BI85">
        <f>SUMIF(예비비!$C$100:$C$399,$BH85,BI$100:BI$399)</f>
        <v>0</v>
      </c>
      <c r="BJ85">
        <f>SUMIF(예비비!$C$100:$C$399,$BH85,BJ$100:BJ$399)</f>
        <v>0</v>
      </c>
      <c r="BK85">
        <f>SUMIF(예비비!$C$100:$C$399,$BH85,BK$100:BK$399)</f>
        <v>200000</v>
      </c>
      <c r="BL85">
        <f>SUMIF(예비비!$C$100:$C$399,$BH85,BL$100:BL$399)</f>
        <v>0</v>
      </c>
      <c r="BM85">
        <f>SUMIF(예비비!$C$100:$C$399,$BH85,BM$100:BM$399)</f>
        <v>0</v>
      </c>
      <c r="BN85">
        <f>SUMIF(예비비!$C$100:$C$399,$BH85,BN$100:BN$399)</f>
        <v>0</v>
      </c>
      <c r="BO85">
        <f>SUMIF(예비비!$C$100:$C$399,$BH85,BO$100:BO$399)</f>
        <v>0</v>
      </c>
      <c r="BP85">
        <f>SUMIF(예비비!$C$100:$C$399,$BH85,BP$100:BP$399)</f>
        <v>0</v>
      </c>
      <c r="BQ85">
        <f>SUMIF(예비비!$C$100:$C$399,$BH85,BQ$100:BQ$399)</f>
        <v>0</v>
      </c>
      <c r="BR85">
        <f>SUMIF(예비비!$C$100:$C$399,$BH85,BR$100:BR$399)</f>
        <v>0</v>
      </c>
      <c r="BS85">
        <f>SUMIF(예비비!$C$100:$C$399,$BH85,BS$100:BS$399)</f>
        <v>0</v>
      </c>
      <c r="BT85">
        <f>SUMIF(예비비!$C$100:$C$399,$BH85,BT$100:BT$399)</f>
        <v>0</v>
      </c>
      <c r="BU85">
        <f>SUMIF(예비비!$C$100:$C$399,$BH85,BU$100:BU$399)</f>
        <v>0</v>
      </c>
    </row>
    <row r="86" spans="1:23" ht="28" customHeight="1">
      <c r="A86" s="399" t="s">
        <v>19</v>
      </c>
      <c r="B86" s="381"/>
      <c r="C86" s="381"/>
      <c r="D86" s="381"/>
      <c r="E86" s="381"/>
      <c r="F86" s="382"/>
      <c r="G86" s="327">
        <f>IF(OR(G$4&lt;DATE(2026,3,1),G$4&gt;$B$3),"",(SUMIFS(잔액!$Y$64:$Y$500,잔액!$D$64:$D$500,$A86,잔액!$A$64:$A$500,"&lt;="&amp;EOMONTH(G$4,0)))-(SUMIFS(잔액!$Y$64:$Y$500,잔액!$C$64:$C$500,$A86,잔액!$A$64:$A$500,"&lt;="&amp;EOMONTH(G$4,0))))</f>
      </c>
      <c r="H86" s="327">
        <f>IF(OR(H$4&lt;DATE(2026,3,1),H$4&gt;$B$3),"",(SUMIFS(잔액!$Y$64:$Y$500,잔액!$D$64:$D$500,$A86,잔액!$A$64:$A$500,"&lt;="&amp;EOMONTH(H$4,0)))-(SUMIFS(잔액!$Y$64:$Y$500,잔액!$C$64:$C$500,$A86,잔액!$A$64:$A$500,"&lt;="&amp;EOMONTH(H$4,0))))</f>
      </c>
      <c r="I86" s="327">
        <f>IF(OR(I$4&lt;DATE(2026,3,1),I$4&gt;$B$3),"",(SUMIFS(잔액!$Y$64:$Y$500,잔액!$D$64:$D$500,$A86,잔액!$A$64:$A$500,"&lt;="&amp;EOMONTH(I$4,0)))-(SUMIFS(잔액!$Y$64:$Y$500,잔액!$C$64:$C$500,$A86,잔액!$A$64:$A$500,"&lt;="&amp;EOMONTH(I$4,0))))</f>
      </c>
      <c r="J86" s="327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7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7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7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7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7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7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7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7">
        <f>IF(OR(R$4&lt;DATE(2026,3,1),R$4&gt;$B$3),"",(SUMIFS(잔액!$Y$64:$Y$500,잔액!$D$64:$D$500,$A86,잔액!$A$64:$A$500,"&lt;="&amp;EOMONTH(R$4,0)))-(SUMIFS(잔액!$Y$64:$Y$500,잔액!$C$64:$C$500,$A86,잔액!$A$64:$A$500,"&lt;="&amp;EOMONTH(R$4,0))))</f>
      </c>
      <c r="S86" s="327">
        <f>IF(OR(S$4&lt;DATE(2026,3,1),S$4&gt;$B$3),"",(SUMIFS(잔액!$Y$64:$Y$500,잔액!$D$64:$D$500,$A86,잔액!$A$64:$A$500,"&lt;="&amp;EOMONTH(S$4,0)))-(SUMIFS(잔액!$Y$64:$Y$500,잔액!$C$64:$C$500,$A86,잔액!$A$64:$A$500,"&lt;="&amp;EOMONTH(S$4,0))))</f>
      </c>
      <c r="T86" s="327">
        <f>IF(OR(T$4&lt;DATE(2026,3,1),T$4&gt;$B$3),"",(SUMIFS(잔액!$Y$64:$Y$500,잔액!$D$64:$D$500,$A86,잔액!$A$64:$A$500,"&lt;="&amp;EOMONTH(T$4,0)))-(SUMIFS(잔액!$Y$64:$Y$500,잔액!$C$64:$C$500,$A86,잔액!$A$64:$A$500,"&lt;="&amp;EOMONTH(T$4,0))))</f>
      </c>
      <c r="U86" s="401">
        <f>IF($B$3&lt;DATE(2026,3,1),"원장 없음",J75)</f>
        <v>300000</v>
      </c>
      <c r="V86" s="381"/>
      <c r="W86" s="382"/>
      <c r="BH86" t="inlineStr">
        <is>
          <t xml:space="preserve">결제대금비</t>
        </is>
      </c>
      <c r="BI86">
        <f>SUM(BI81:BI85)</f>
        <v>0</v>
      </c>
      <c r="BJ86">
        <f>SUM(BJ81:BJ85)</f>
        <v>50000</v>
      </c>
      <c r="BK86">
        <f>SUM(BK81:BK85)</f>
        <v>350000</v>
      </c>
      <c r="BL86">
        <f>SUM(BL81:BL85)</f>
        <v>0</v>
      </c>
      <c r="BM86">
        <f>SUM(BM81:BM85)</f>
        <v>0</v>
      </c>
      <c r="BN86">
        <f>SUM(BN81:BN85)</f>
        <v>0</v>
      </c>
      <c r="BO86">
        <f>SUM(BO81:BO85)</f>
        <v>0</v>
      </c>
      <c r="BP86">
        <f>SUM(BP81:BP85)</f>
        <v>0</v>
      </c>
      <c r="BQ86">
        <f>SUM(BQ81:BQ85)</f>
        <v>0</v>
      </c>
      <c r="BR86">
        <f>SUM(BR81:BR85)</f>
        <v>0</v>
      </c>
      <c r="BS86">
        <f>SUM(BS81:BS85)</f>
        <v>0</v>
      </c>
      <c r="BT86">
        <f>SUM(BT81:BT85)</f>
        <v>0</v>
      </c>
      <c r="BU86">
        <f>SUM(BU81:BU85)</f>
        <v>0</v>
      </c>
    </row>
    <row r="87" spans="1:23" ht="28" customHeight="1">
      <c r="A87" s="399" t="s">
        <v>20</v>
      </c>
      <c r="B87" s="381"/>
      <c r="C87" s="381"/>
      <c r="D87" s="381"/>
      <c r="E87" s="381"/>
      <c r="F87" s="382"/>
      <c r="G87" s="327">
        <f>IF(OR(G$4&lt;DATE(2026,3,1),G$4&gt;$B$3),"",(SUMIFS(잔액!$Y$64:$Y$500,잔액!$D$64:$D$500,$A87,잔액!$A$64:$A$500,"&lt;="&amp;EOMONTH(G$4,0)))-(SUMIFS(잔액!$Y$64:$Y$500,잔액!$C$64:$C$500,$A87,잔액!$A$64:$A$500,"&lt;="&amp;EOMONTH(G$4,0))))</f>
      </c>
      <c r="H87" s="327">
        <f>IF(OR(H$4&lt;DATE(2026,3,1),H$4&gt;$B$3),"",(SUMIFS(잔액!$Y$64:$Y$500,잔액!$D$64:$D$500,$A87,잔액!$A$64:$A$500,"&lt;="&amp;EOMONTH(H$4,0)))-(SUMIFS(잔액!$Y$64:$Y$500,잔액!$C$64:$C$500,$A87,잔액!$A$64:$A$500,"&lt;="&amp;EOMONTH(H$4,0))))</f>
      </c>
      <c r="I87" s="327">
        <f>IF(OR(I$4&lt;DATE(2026,3,1),I$4&gt;$B$3),"",(SUMIFS(잔액!$Y$64:$Y$500,잔액!$D$64:$D$500,$A87,잔액!$A$64:$A$500,"&lt;="&amp;EOMONTH(I$4,0)))-(SUMIFS(잔액!$Y$64:$Y$500,잔액!$C$64:$C$500,$A87,잔액!$A$64:$A$500,"&lt;="&amp;EOMONTH(I$4,0))))</f>
      </c>
      <c r="J87" s="327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7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7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7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7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7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7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7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7">
        <f>IF(OR(R$4&lt;DATE(2026,3,1),R$4&gt;$B$3),"",(SUMIFS(잔액!$Y$64:$Y$500,잔액!$D$64:$D$500,$A87,잔액!$A$64:$A$500,"&lt;="&amp;EOMONTH(R$4,0)))-(SUMIFS(잔액!$Y$64:$Y$500,잔액!$C$64:$C$500,$A87,잔액!$A$64:$A$500,"&lt;="&amp;EOMONTH(R$4,0))))</f>
      </c>
      <c r="S87" s="327">
        <f>IF(OR(S$4&lt;DATE(2026,3,1),S$4&gt;$B$3),"",(SUMIFS(잔액!$Y$64:$Y$500,잔액!$D$64:$D$500,$A87,잔액!$A$64:$A$500,"&lt;="&amp;EOMONTH(S$4,0)))-(SUMIFS(잔액!$Y$64:$Y$500,잔액!$C$64:$C$500,$A87,잔액!$A$64:$A$500,"&lt;="&amp;EOMONTH(S$4,0))))</f>
      </c>
      <c r="T87" s="327">
        <f>IF(OR(T$4&lt;DATE(2026,3,1),T$4&gt;$B$3),"",(SUMIFS(잔액!$Y$64:$Y$500,잔액!$D$64:$D$500,$A87,잔액!$A$64:$A$500,"&lt;="&amp;EOMONTH(T$4,0)))-(SUMIFS(잔액!$Y$64:$Y$500,잔액!$C$64:$C$500,$A87,잔액!$A$64:$A$500,"&lt;="&amp;EOMONTH(T$4,0))))</f>
      </c>
      <c r="U87" s="401">
        <f>IF($B$3&lt;DATE(2026,3,1),"원장 없음",J76)</f>
        <v>0</v>
      </c>
      <c r="V87" s="381"/>
      <c r="W87" s="382"/>
    </row>
    <row r="88" spans="1:23" ht="23" customHeight="1">
      <c r="A88" s="359" t="s">
        <v>423</v>
      </c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1"/>
    </row>
    <row r="89" spans="1:23" ht="23" customHeight="1">
      <c r="A89" s="362"/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4"/>
    </row>
    <row r="92" spans="1:23" ht="30" customHeight="1">
      <c r="A92" s="398" t="s">
        <v>424</v>
      </c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2"/>
    </row>
    <row r="93" spans="1:23" ht="42" customHeight="1">
      <c r="A93" s="408" t="s">
        <v>425</v>
      </c>
      <c r="B93" s="381"/>
      <c r="C93" s="381"/>
      <c r="D93" s="381"/>
      <c r="E93" s="381"/>
      <c r="F93" s="382"/>
      <c r="G93" s="338">
        <f t="shared" ref="G93:T93" si="7">G4</f>
        <v>45992.0</v>
      </c>
      <c r="H93" s="338">
        <f t="shared" si="7"/>
        <v>46023.0</v>
      </c>
      <c r="I93" s="338">
        <f t="shared" si="7"/>
        <v>46054.0</v>
      </c>
      <c r="J93" s="338">
        <f t="shared" si="7"/>
        <v>46082.0</v>
      </c>
      <c r="K93" s="338">
        <f t="shared" si="7"/>
        <v>46113.0</v>
      </c>
      <c r="L93" s="338">
        <f t="shared" si="7"/>
        <v>46143.0</v>
      </c>
      <c r="M93" s="338">
        <f t="shared" si="7"/>
        <v>46174.0</v>
      </c>
      <c r="N93" s="338">
        <f t="shared" si="7"/>
        <v>46204.0</v>
      </c>
      <c r="O93" s="338">
        <f t="shared" si="7"/>
        <v>46235.0</v>
      </c>
      <c r="P93" s="338">
        <f t="shared" si="7"/>
        <v>46266.0</v>
      </c>
      <c r="Q93" s="338">
        <f t="shared" si="7"/>
        <v>46296.0</v>
      </c>
      <c r="R93" s="338">
        <f t="shared" si="7"/>
        <v>46327.0</v>
      </c>
      <c r="S93" s="338">
        <f t="shared" si="7"/>
        <v>46357.0</v>
      </c>
      <c r="T93" s="338">
        <f t="shared" si="7"/>
        <v>46388.0</v>
      </c>
      <c r="U93" s="404" t="s">
        <v>426</v>
      </c>
      <c r="V93" s="381"/>
      <c r="W93" s="382"/>
    </row>
    <row r="94" spans="1:23" ht="28" customHeight="1">
      <c r="A94" s="399" t="s">
        <v>16</v>
      </c>
      <c r="B94" s="381"/>
      <c r="C94" s="381"/>
      <c r="D94" s="381"/>
      <c r="E94" s="381"/>
      <c r="F94" s="382"/>
      <c r="G94" s="339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</c>
      <c r="H94" s="339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</c>
      <c r="I94" s="339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</c>
      <c r="J94" s="339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9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9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9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9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9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9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9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9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</c>
      <c r="S94" s="339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</c>
      <c r="T94" s="339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</c>
      <c r="U94" s="400">
        <f>SUM(G94:T94)</f>
        <v>0</v>
      </c>
      <c r="V94" s="381"/>
      <c r="W94" s="382"/>
    </row>
    <row r="95" spans="1:23" ht="28" customHeight="1">
      <c r="A95" s="399" t="s">
        <v>17</v>
      </c>
      <c r="B95" s="381"/>
      <c r="C95" s="381"/>
      <c r="D95" s="381"/>
      <c r="E95" s="381"/>
      <c r="F95" s="382"/>
      <c r="G95" s="339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</c>
      <c r="H95" s="339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</c>
      <c r="I95" s="339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</c>
      <c r="J95" s="339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9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9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9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9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9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9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9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9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</c>
      <c r="S95" s="339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</c>
      <c r="T95" s="339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</c>
      <c r="U95" s="400">
        <f>SUM(G95:T95)</f>
        <v>0</v>
      </c>
      <c r="V95" s="381"/>
      <c r="W95" s="382"/>
    </row>
    <row r="96" spans="1:23" ht="28" customHeight="1">
      <c r="A96" s="399" t="s">
        <v>18</v>
      </c>
      <c r="B96" s="381"/>
      <c r="C96" s="381"/>
      <c r="D96" s="381"/>
      <c r="E96" s="381"/>
      <c r="F96" s="382"/>
      <c r="G96" s="339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</c>
      <c r="H96" s="339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</c>
      <c r="I96" s="339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</c>
      <c r="J96" s="339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9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9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9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9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9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9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9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9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</c>
      <c r="S96" s="339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</c>
      <c r="T96" s="339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</c>
      <c r="U96" s="400">
        <f>SUM(G96:T96)</f>
        <v>-100000</v>
      </c>
      <c r="V96" s="381"/>
      <c r="W96" s="382"/>
    </row>
    <row r="97" spans="1:23" ht="28" customHeight="1">
      <c r="A97" s="399" t="s">
        <v>19</v>
      </c>
      <c r="B97" s="381"/>
      <c r="C97" s="381"/>
      <c r="D97" s="381"/>
      <c r="E97" s="381"/>
      <c r="F97" s="382"/>
      <c r="G97" s="339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</c>
      <c r="H97" s="339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</c>
      <c r="I97" s="339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</c>
      <c r="J97" s="339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9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9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9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9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9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9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9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9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</c>
      <c r="S97" s="339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</c>
      <c r="T97" s="339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</c>
      <c r="U97" s="400">
        <f>SUM(G97:T97)</f>
        <v>0</v>
      </c>
      <c r="V97" s="381"/>
      <c r="W97" s="382"/>
    </row>
    <row r="98" spans="1:23" ht="28" customHeight="1">
      <c r="A98" s="399" t="s">
        <v>20</v>
      </c>
      <c r="B98" s="381"/>
      <c r="C98" s="381"/>
      <c r="D98" s="381"/>
      <c r="E98" s="381"/>
      <c r="F98" s="382"/>
      <c r="G98" s="339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</c>
      <c r="H98" s="339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</c>
      <c r="I98" s="339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</c>
      <c r="J98" s="339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9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9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9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9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9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9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9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9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</c>
      <c r="S98" s="339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</c>
      <c r="T98" s="339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</c>
      <c r="U98" s="400">
        <f>SUM(G98:T98)</f>
        <v>0</v>
      </c>
      <c r="V98" s="381"/>
      <c r="W98" s="382"/>
    </row>
    <row r="99">
      <c r="BI99">
        <v>45992.0</v>
      </c>
      <c r="BJ99">
        <v>46023.0</v>
      </c>
      <c r="BK99">
        <v>46054.0</v>
      </c>
      <c r="BL99">
        <v>46082.0</v>
      </c>
      <c r="BM99">
        <v>46113.0</v>
      </c>
      <c r="BN99">
        <v>46143.0</v>
      </c>
      <c r="BO99">
        <v>46174.0</v>
      </c>
      <c r="BP99">
        <v>46204.0</v>
      </c>
      <c r="BQ99">
        <v>46235.0</v>
      </c>
      <c r="BR99">
        <v>46266.0</v>
      </c>
      <c r="BS99">
        <v>46296.0</v>
      </c>
      <c r="BT99">
        <v>46327.0</v>
      </c>
      <c r="BU99">
        <v>46357.0</v>
      </c>
    </row>
    <row r="100" spans="1:23" ht="24" customHeight="1">
      <c r="A100" s="412" t="s">
        <v>427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1"/>
      <c r="BI100">
        <f>IF(예비비!$R100="OK",SUMIFS(예비비!$O$430:$O$729,예비비!$B$430:$B$729,예비비!$A100,예비비!$E$430:$E$729,"&lt;"&amp;EDATE(BI$99,1),예비비!$F$430:$F$729,"결제대금비")+MAX(0,IF(예비비!$D100&lt;EDATE(BI$99,1),예비비!$E100,0)-SUMIFS(예비비!$O$430:$O$729,예비비!$B$430:$B$729,예비비!$A100,예비비!$E$430:$E$729,"&lt;"&amp;EDATE(BI$99,1))),0)</f>
        <v>0</v>
      </c>
      <c r="BJ100">
        <f>IF(예비비!$R100="OK",SUMIFS(예비비!$O$430:$O$729,예비비!$B$430:$B$729,예비비!$A100,예비비!$E$430:$E$729,"&lt;"&amp;EDATE(BJ$99,1),예비비!$F$430:$F$729,"결제대금비")+MAX(0,IF(예비비!$D100&lt;EDATE(BJ$99,1),예비비!$E100,0)-SUMIFS(예비비!$O$430:$O$729,예비비!$B$430:$B$729,예비비!$A100,예비비!$E$430:$E$729,"&lt;"&amp;EDATE(BJ$99,1))),0)</f>
        <v>50000</v>
      </c>
      <c r="BK100">
        <f>IF(예비비!$R100="OK",SUMIFS(예비비!$O$430:$O$729,예비비!$B$430:$B$729,예비비!$A100,예비비!$E$430:$E$729,"&lt;"&amp;EDATE(BK$99,1),예비비!$F$430:$F$729,"결제대금비")+MAX(0,IF(예비비!$D100&lt;EDATE(BK$99,1),예비비!$E100,0)-SUMIFS(예비비!$O$430:$O$729,예비비!$B$430:$B$729,예비비!$A100,예비비!$E$430:$E$729,"&lt;"&amp;EDATE(BK$99,1))),0)</f>
        <v>50000</v>
      </c>
      <c r="BL100">
        <f>IF(예비비!$R100="OK",SUMIFS(예비비!$O$430:$O$729,예비비!$B$430:$B$729,예비비!$A100,예비비!$E$430:$E$729,"&lt;"&amp;EDATE(BL$99,1),예비비!$F$430:$F$729,"결제대금비")+MAX(0,IF(예비비!$D100&lt;EDATE(BL$99,1),예비비!$E100,0)-SUMIFS(예비비!$O$430:$O$729,예비비!$B$430:$B$729,예비비!$A100,예비비!$E$430:$E$729,"&lt;"&amp;EDATE(BL$99,1))),0)</f>
        <v>0</v>
      </c>
      <c r="BM100">
        <f>IF(예비비!$R100="OK",SUMIFS(예비비!$O$430:$O$729,예비비!$B$430:$B$729,예비비!$A100,예비비!$E$430:$E$729,"&lt;"&amp;EDATE(BM$99,1),예비비!$F$430:$F$729,"결제대금비")+MAX(0,IF(예비비!$D100&lt;EDATE(BM$99,1),예비비!$E100,0)-SUMIFS(예비비!$O$430:$O$729,예비비!$B$430:$B$729,예비비!$A100,예비비!$E$430:$E$729,"&lt;"&amp;EDATE(BM$99,1))),0)</f>
        <v>0</v>
      </c>
      <c r="BN100">
        <f>IF(예비비!$R100="OK",SUMIFS(예비비!$O$430:$O$729,예비비!$B$430:$B$729,예비비!$A100,예비비!$E$430:$E$729,"&lt;"&amp;EDATE(BN$99,1),예비비!$F$430:$F$729,"결제대금비")+MAX(0,IF(예비비!$D100&lt;EDATE(BN$99,1),예비비!$E100,0)-SUMIFS(예비비!$O$430:$O$729,예비비!$B$430:$B$729,예비비!$A100,예비비!$E$430:$E$729,"&lt;"&amp;EDATE(BN$99,1))),0)</f>
        <v>0</v>
      </c>
      <c r="BO100">
        <f>IF(예비비!$R100="OK",SUMIFS(예비비!$O$430:$O$729,예비비!$B$430:$B$729,예비비!$A100,예비비!$E$430:$E$729,"&lt;"&amp;EDATE(BO$99,1),예비비!$F$430:$F$729,"결제대금비")+MAX(0,IF(예비비!$D100&lt;EDATE(BO$99,1),예비비!$E100,0)-SUMIFS(예비비!$O$430:$O$729,예비비!$B$430:$B$729,예비비!$A100,예비비!$E$430:$E$729,"&lt;"&amp;EDATE(BO$99,1))),0)</f>
        <v>0</v>
      </c>
      <c r="BP100">
        <f>IF(예비비!$R100="OK",SUMIFS(예비비!$O$430:$O$729,예비비!$B$430:$B$729,예비비!$A100,예비비!$E$430:$E$729,"&lt;"&amp;EDATE(BP$99,1),예비비!$F$430:$F$729,"결제대금비")+MAX(0,IF(예비비!$D100&lt;EDATE(BP$99,1),예비비!$E100,0)-SUMIFS(예비비!$O$430:$O$729,예비비!$B$430:$B$729,예비비!$A100,예비비!$E$430:$E$729,"&lt;"&amp;EDATE(BP$99,1))),0)</f>
        <v>0</v>
      </c>
      <c r="BQ100">
        <f>IF(예비비!$R100="OK",SUMIFS(예비비!$O$430:$O$729,예비비!$B$430:$B$729,예비비!$A100,예비비!$E$430:$E$729,"&lt;"&amp;EDATE(BQ$99,1),예비비!$F$430:$F$729,"결제대금비")+MAX(0,IF(예비비!$D100&lt;EDATE(BQ$99,1),예비비!$E100,0)-SUMIFS(예비비!$O$430:$O$729,예비비!$B$430:$B$729,예비비!$A100,예비비!$E$430:$E$729,"&lt;"&amp;EDATE(BQ$99,1))),0)</f>
        <v>0</v>
      </c>
      <c r="BR100">
        <f>IF(예비비!$R100="OK",SUMIFS(예비비!$O$430:$O$729,예비비!$B$430:$B$729,예비비!$A100,예비비!$E$430:$E$729,"&lt;"&amp;EDATE(BR$99,1),예비비!$F$430:$F$729,"결제대금비")+MAX(0,IF(예비비!$D100&lt;EDATE(BR$99,1),예비비!$E100,0)-SUMIFS(예비비!$O$430:$O$729,예비비!$B$430:$B$729,예비비!$A100,예비비!$E$430:$E$729,"&lt;"&amp;EDATE(BR$99,1))),0)</f>
        <v>0</v>
      </c>
      <c r="BS100">
        <f>IF(예비비!$R100="OK",SUMIFS(예비비!$O$430:$O$729,예비비!$B$430:$B$729,예비비!$A100,예비비!$E$430:$E$729,"&lt;"&amp;EDATE(BS$99,1),예비비!$F$430:$F$729,"결제대금비")+MAX(0,IF(예비비!$D100&lt;EDATE(BS$99,1),예비비!$E100,0)-SUMIFS(예비비!$O$430:$O$729,예비비!$B$430:$B$729,예비비!$A100,예비비!$E$430:$E$729,"&lt;"&amp;EDATE(BS$99,1))),0)</f>
        <v>0</v>
      </c>
      <c r="BT100">
        <f>IF(예비비!$R100="OK",SUMIFS(예비비!$O$430:$O$729,예비비!$B$430:$B$729,예비비!$A100,예비비!$E$430:$E$729,"&lt;"&amp;EDATE(BT$99,1),예비비!$F$430:$F$729,"결제대금비")+MAX(0,IF(예비비!$D100&lt;EDATE(BT$99,1),예비비!$E100,0)-SUMIFS(예비비!$O$430:$O$729,예비비!$B$430:$B$729,예비비!$A100,예비비!$E$430:$E$729,"&lt;"&amp;EDATE(BT$99,1))),0)</f>
        <v>0</v>
      </c>
      <c r="BU100">
        <f>IF(예비비!$R100="OK",SUMIFS(예비비!$O$430:$O$729,예비비!$B$430:$B$729,예비비!$A100,예비비!$E$430:$E$729,"&lt;"&amp;EDATE(BU$99,1),예비비!$F$430:$F$729,"결제대금비")+MAX(0,IF(예비비!$D100&lt;EDATE(BU$99,1),예비비!$E100,0)-SUMIFS(예비비!$O$430:$O$729,예비비!$B$430:$B$729,예비비!$A100,예비비!$E$430:$E$729,"&lt;"&amp;EDATE(BU$99,1))),0)</f>
        <v>0</v>
      </c>
    </row>
    <row r="101" spans="1:23" ht="24" customHeight="1">
      <c r="A101" s="362"/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4"/>
      <c r="BI101">
        <f>IF(예비비!$R101="OK",SUMIFS(예비비!$O$430:$O$729,예비비!$B$430:$B$729,예비비!$A101,예비비!$E$430:$E$729,"&lt;"&amp;EDATE(BI$99,1),예비비!$F$430:$F$729,"결제대금비")+MAX(0,IF(예비비!$D101&lt;EDATE(BI$99,1),예비비!$E101,0)-SUMIFS(예비비!$O$430:$O$729,예비비!$B$430:$B$729,예비비!$A101,예비비!$E$430:$E$729,"&lt;"&amp;EDATE(BI$99,1))),0)</f>
        <v>0</v>
      </c>
      <c r="BJ101">
        <f>IF(예비비!$R101="OK",SUMIFS(예비비!$O$430:$O$729,예비비!$B$430:$B$729,예비비!$A101,예비비!$E$430:$E$729,"&lt;"&amp;EDATE(BJ$99,1),예비비!$F$430:$F$729,"결제대금비")+MAX(0,IF(예비비!$D101&lt;EDATE(BJ$99,1),예비비!$E101,0)-SUMIFS(예비비!$O$430:$O$729,예비비!$B$430:$B$729,예비비!$A101,예비비!$E$430:$E$729,"&lt;"&amp;EDATE(BJ$99,1))),0)</f>
        <v>0</v>
      </c>
      <c r="BK101">
        <f>IF(예비비!$R101="OK",SUMIFS(예비비!$O$430:$O$729,예비비!$B$430:$B$729,예비비!$A101,예비비!$E$430:$E$729,"&lt;"&amp;EDATE(BK$99,1),예비비!$F$430:$F$729,"결제대금비")+MAX(0,IF(예비비!$D101&lt;EDATE(BK$99,1),예비비!$E101,0)-SUMIFS(예비비!$O$430:$O$729,예비비!$B$430:$B$729,예비비!$A101,예비비!$E$430:$E$729,"&lt;"&amp;EDATE(BK$99,1))),0)</f>
        <v>100000</v>
      </c>
      <c r="BL101">
        <f>IF(예비비!$R101="OK",SUMIFS(예비비!$O$430:$O$729,예비비!$B$430:$B$729,예비비!$A101,예비비!$E$430:$E$729,"&lt;"&amp;EDATE(BL$99,1),예비비!$F$430:$F$729,"결제대금비")+MAX(0,IF(예비비!$D101&lt;EDATE(BL$99,1),예비비!$E101,0)-SUMIFS(예비비!$O$430:$O$729,예비비!$B$430:$B$729,예비비!$A101,예비비!$E$430:$E$729,"&lt;"&amp;EDATE(BL$99,1))),0)</f>
        <v>0</v>
      </c>
      <c r="BM101">
        <f>IF(예비비!$R101="OK",SUMIFS(예비비!$O$430:$O$729,예비비!$B$430:$B$729,예비비!$A101,예비비!$E$430:$E$729,"&lt;"&amp;EDATE(BM$99,1),예비비!$F$430:$F$729,"결제대금비")+MAX(0,IF(예비비!$D101&lt;EDATE(BM$99,1),예비비!$E101,0)-SUMIFS(예비비!$O$430:$O$729,예비비!$B$430:$B$729,예비비!$A101,예비비!$E$430:$E$729,"&lt;"&amp;EDATE(BM$99,1))),0)</f>
        <v>0</v>
      </c>
      <c r="BN101">
        <f>IF(예비비!$R101="OK",SUMIFS(예비비!$O$430:$O$729,예비비!$B$430:$B$729,예비비!$A101,예비비!$E$430:$E$729,"&lt;"&amp;EDATE(BN$99,1),예비비!$F$430:$F$729,"결제대금비")+MAX(0,IF(예비비!$D101&lt;EDATE(BN$99,1),예비비!$E101,0)-SUMIFS(예비비!$O$430:$O$729,예비비!$B$430:$B$729,예비비!$A101,예비비!$E$430:$E$729,"&lt;"&amp;EDATE(BN$99,1))),0)</f>
        <v>0</v>
      </c>
      <c r="BO101">
        <f>IF(예비비!$R101="OK",SUMIFS(예비비!$O$430:$O$729,예비비!$B$430:$B$729,예비비!$A101,예비비!$E$430:$E$729,"&lt;"&amp;EDATE(BO$99,1),예비비!$F$430:$F$729,"결제대금비")+MAX(0,IF(예비비!$D101&lt;EDATE(BO$99,1),예비비!$E101,0)-SUMIFS(예비비!$O$430:$O$729,예비비!$B$430:$B$729,예비비!$A101,예비비!$E$430:$E$729,"&lt;"&amp;EDATE(BO$99,1))),0)</f>
        <v>0</v>
      </c>
      <c r="BP101">
        <f>IF(예비비!$R101="OK",SUMIFS(예비비!$O$430:$O$729,예비비!$B$430:$B$729,예비비!$A101,예비비!$E$430:$E$729,"&lt;"&amp;EDATE(BP$99,1),예비비!$F$430:$F$729,"결제대금비")+MAX(0,IF(예비비!$D101&lt;EDATE(BP$99,1),예비비!$E101,0)-SUMIFS(예비비!$O$430:$O$729,예비비!$B$430:$B$729,예비비!$A101,예비비!$E$430:$E$729,"&lt;"&amp;EDATE(BP$99,1))),0)</f>
        <v>0</v>
      </c>
      <c r="BQ101">
        <f>IF(예비비!$R101="OK",SUMIFS(예비비!$O$430:$O$729,예비비!$B$430:$B$729,예비비!$A101,예비비!$E$430:$E$729,"&lt;"&amp;EDATE(BQ$99,1),예비비!$F$430:$F$729,"결제대금비")+MAX(0,IF(예비비!$D101&lt;EDATE(BQ$99,1),예비비!$E101,0)-SUMIFS(예비비!$O$430:$O$729,예비비!$B$430:$B$729,예비비!$A101,예비비!$E$430:$E$729,"&lt;"&amp;EDATE(BQ$99,1))),0)</f>
        <v>0</v>
      </c>
      <c r="BR101">
        <f>IF(예비비!$R101="OK",SUMIFS(예비비!$O$430:$O$729,예비비!$B$430:$B$729,예비비!$A101,예비비!$E$430:$E$729,"&lt;"&amp;EDATE(BR$99,1),예비비!$F$430:$F$729,"결제대금비")+MAX(0,IF(예비비!$D101&lt;EDATE(BR$99,1),예비비!$E101,0)-SUMIFS(예비비!$O$430:$O$729,예비비!$B$430:$B$729,예비비!$A101,예비비!$E$430:$E$729,"&lt;"&amp;EDATE(BR$99,1))),0)</f>
        <v>0</v>
      </c>
      <c r="BS101">
        <f>IF(예비비!$R101="OK",SUMIFS(예비비!$O$430:$O$729,예비비!$B$430:$B$729,예비비!$A101,예비비!$E$430:$E$729,"&lt;"&amp;EDATE(BS$99,1),예비비!$F$430:$F$729,"결제대금비")+MAX(0,IF(예비비!$D101&lt;EDATE(BS$99,1),예비비!$E101,0)-SUMIFS(예비비!$O$430:$O$729,예비비!$B$430:$B$729,예비비!$A101,예비비!$E$430:$E$729,"&lt;"&amp;EDATE(BS$99,1))),0)</f>
        <v>0</v>
      </c>
      <c r="BT101">
        <f>IF(예비비!$R101="OK",SUMIFS(예비비!$O$430:$O$729,예비비!$B$430:$B$729,예비비!$A101,예비비!$E$430:$E$729,"&lt;"&amp;EDATE(BT$99,1),예비비!$F$430:$F$729,"결제대금비")+MAX(0,IF(예비비!$D101&lt;EDATE(BT$99,1),예비비!$E101,0)-SUMIFS(예비비!$O$430:$O$729,예비비!$B$430:$B$729,예비비!$A101,예비비!$E$430:$E$729,"&lt;"&amp;EDATE(BT$99,1))),0)</f>
        <v>0</v>
      </c>
      <c r="BU101">
        <f>IF(예비비!$R101="OK",SUMIFS(예비비!$O$430:$O$729,예비비!$B$430:$B$729,예비비!$A101,예비비!$E$430:$E$729,"&lt;"&amp;EDATE(BU$99,1),예비비!$F$430:$F$729,"결제대금비")+MAX(0,IF(예비비!$D101&lt;EDATE(BU$99,1),예비비!$E101,0)-SUMIFS(예비비!$O$430:$O$729,예비비!$B$430:$B$729,예비비!$A101,예비비!$E$430:$E$729,"&lt;"&amp;EDATE(BU$99,1))),0)</f>
        <v>0</v>
      </c>
    </row>
    <row r="102">
      <c r="BI102">
        <f>IF(예비비!$R102="OK",SUMIFS(예비비!$O$430:$O$729,예비비!$B$430:$B$729,예비비!$A102,예비비!$E$430:$E$729,"&lt;"&amp;EDATE(BI$99,1),예비비!$F$430:$F$729,"결제대금비")+MAX(0,IF(예비비!$D102&lt;EDATE(BI$99,1),예비비!$E102,0)-SUMIFS(예비비!$O$430:$O$729,예비비!$B$430:$B$729,예비비!$A102,예비비!$E$430:$E$729,"&lt;"&amp;EDATE(BI$99,1))),0)</f>
        <v>0</v>
      </c>
      <c r="BJ102">
        <f>IF(예비비!$R102="OK",SUMIFS(예비비!$O$430:$O$729,예비비!$B$430:$B$729,예비비!$A102,예비비!$E$430:$E$729,"&lt;"&amp;EDATE(BJ$99,1),예비비!$F$430:$F$729,"결제대금비")+MAX(0,IF(예비비!$D102&lt;EDATE(BJ$99,1),예비비!$E102,0)-SUMIFS(예비비!$O$430:$O$729,예비비!$B$430:$B$729,예비비!$A102,예비비!$E$430:$E$729,"&lt;"&amp;EDATE(BJ$99,1))),0)</f>
        <v>0</v>
      </c>
      <c r="BK102">
        <f>IF(예비비!$R102="OK",SUMIFS(예비비!$O$430:$O$729,예비비!$B$430:$B$729,예비비!$A102,예비비!$E$430:$E$729,"&lt;"&amp;EDATE(BK$99,1),예비비!$F$430:$F$729,"결제대금비")+MAX(0,IF(예비비!$D102&lt;EDATE(BK$99,1),예비비!$E102,0)-SUMIFS(예비비!$O$430:$O$729,예비비!$B$430:$B$729,예비비!$A102,예비비!$E$430:$E$729,"&lt;"&amp;EDATE(BK$99,1))),0)</f>
        <v>200000</v>
      </c>
      <c r="BL102">
        <f>IF(예비비!$R102="OK",SUMIFS(예비비!$O$430:$O$729,예비비!$B$430:$B$729,예비비!$A102,예비비!$E$430:$E$729,"&lt;"&amp;EDATE(BL$99,1),예비비!$F$430:$F$729,"결제대금비")+MAX(0,IF(예비비!$D102&lt;EDATE(BL$99,1),예비비!$E102,0)-SUMIFS(예비비!$O$430:$O$729,예비비!$B$430:$B$729,예비비!$A102,예비비!$E$430:$E$729,"&lt;"&amp;EDATE(BL$99,1))),0)</f>
        <v>0</v>
      </c>
      <c r="BM102">
        <f>IF(예비비!$R102="OK",SUMIFS(예비비!$O$430:$O$729,예비비!$B$430:$B$729,예비비!$A102,예비비!$E$430:$E$729,"&lt;"&amp;EDATE(BM$99,1),예비비!$F$430:$F$729,"결제대금비")+MAX(0,IF(예비비!$D102&lt;EDATE(BM$99,1),예비비!$E102,0)-SUMIFS(예비비!$O$430:$O$729,예비비!$B$430:$B$729,예비비!$A102,예비비!$E$430:$E$729,"&lt;"&amp;EDATE(BM$99,1))),0)</f>
        <v>0</v>
      </c>
      <c r="BN102">
        <f>IF(예비비!$R102="OK",SUMIFS(예비비!$O$430:$O$729,예비비!$B$430:$B$729,예비비!$A102,예비비!$E$430:$E$729,"&lt;"&amp;EDATE(BN$99,1),예비비!$F$430:$F$729,"결제대금비")+MAX(0,IF(예비비!$D102&lt;EDATE(BN$99,1),예비비!$E102,0)-SUMIFS(예비비!$O$430:$O$729,예비비!$B$430:$B$729,예비비!$A102,예비비!$E$430:$E$729,"&lt;"&amp;EDATE(BN$99,1))),0)</f>
        <v>0</v>
      </c>
      <c r="BO102">
        <f>IF(예비비!$R102="OK",SUMIFS(예비비!$O$430:$O$729,예비비!$B$430:$B$729,예비비!$A102,예비비!$E$430:$E$729,"&lt;"&amp;EDATE(BO$99,1),예비비!$F$430:$F$729,"결제대금비")+MAX(0,IF(예비비!$D102&lt;EDATE(BO$99,1),예비비!$E102,0)-SUMIFS(예비비!$O$430:$O$729,예비비!$B$430:$B$729,예비비!$A102,예비비!$E$430:$E$729,"&lt;"&amp;EDATE(BO$99,1))),0)</f>
        <v>0</v>
      </c>
      <c r="BP102">
        <f>IF(예비비!$R102="OK",SUMIFS(예비비!$O$430:$O$729,예비비!$B$430:$B$729,예비비!$A102,예비비!$E$430:$E$729,"&lt;"&amp;EDATE(BP$99,1),예비비!$F$430:$F$729,"결제대금비")+MAX(0,IF(예비비!$D102&lt;EDATE(BP$99,1),예비비!$E102,0)-SUMIFS(예비비!$O$430:$O$729,예비비!$B$430:$B$729,예비비!$A102,예비비!$E$430:$E$729,"&lt;"&amp;EDATE(BP$99,1))),0)</f>
        <v>0</v>
      </c>
      <c r="BQ102">
        <f>IF(예비비!$R102="OK",SUMIFS(예비비!$O$430:$O$729,예비비!$B$430:$B$729,예비비!$A102,예비비!$E$430:$E$729,"&lt;"&amp;EDATE(BQ$99,1),예비비!$F$430:$F$729,"결제대금비")+MAX(0,IF(예비비!$D102&lt;EDATE(BQ$99,1),예비비!$E102,0)-SUMIFS(예비비!$O$430:$O$729,예비비!$B$430:$B$729,예비비!$A102,예비비!$E$430:$E$729,"&lt;"&amp;EDATE(BQ$99,1))),0)</f>
        <v>0</v>
      </c>
      <c r="BR102">
        <f>IF(예비비!$R102="OK",SUMIFS(예비비!$O$430:$O$729,예비비!$B$430:$B$729,예비비!$A102,예비비!$E$430:$E$729,"&lt;"&amp;EDATE(BR$99,1),예비비!$F$430:$F$729,"결제대금비")+MAX(0,IF(예비비!$D102&lt;EDATE(BR$99,1),예비비!$E102,0)-SUMIFS(예비비!$O$430:$O$729,예비비!$B$430:$B$729,예비비!$A102,예비비!$E$430:$E$729,"&lt;"&amp;EDATE(BR$99,1))),0)</f>
        <v>0</v>
      </c>
      <c r="BS102">
        <f>IF(예비비!$R102="OK",SUMIFS(예비비!$O$430:$O$729,예비비!$B$430:$B$729,예비비!$A102,예비비!$E$430:$E$729,"&lt;"&amp;EDATE(BS$99,1),예비비!$F$430:$F$729,"결제대금비")+MAX(0,IF(예비비!$D102&lt;EDATE(BS$99,1),예비비!$E102,0)-SUMIFS(예비비!$O$430:$O$729,예비비!$B$430:$B$729,예비비!$A102,예비비!$E$430:$E$729,"&lt;"&amp;EDATE(BS$99,1))),0)</f>
        <v>0</v>
      </c>
      <c r="BT102">
        <f>IF(예비비!$R102="OK",SUMIFS(예비비!$O$430:$O$729,예비비!$B$430:$B$729,예비비!$A102,예비비!$E$430:$E$729,"&lt;"&amp;EDATE(BT$99,1),예비비!$F$430:$F$729,"결제대금비")+MAX(0,IF(예비비!$D102&lt;EDATE(BT$99,1),예비비!$E102,0)-SUMIFS(예비비!$O$430:$O$729,예비비!$B$430:$B$729,예비비!$A102,예비비!$E$430:$E$729,"&lt;"&amp;EDATE(BT$99,1))),0)</f>
        <v>0</v>
      </c>
      <c r="BU102">
        <f>IF(예비비!$R102="OK",SUMIFS(예비비!$O$430:$O$729,예비비!$B$430:$B$729,예비비!$A102,예비비!$E$430:$E$729,"&lt;"&amp;EDATE(BU$99,1),예비비!$F$430:$F$729,"결제대금비")+MAX(0,IF(예비비!$D102&lt;EDATE(BU$99,1),예비비!$E102,0)-SUMIFS(예비비!$O$430:$O$729,예비비!$B$430:$B$729,예비비!$A102,예비비!$E$430:$E$729,"&lt;"&amp;EDATE(BU$99,1))),0)</f>
        <v>0</v>
      </c>
    </row>
    <row r="103">
      <c r="BI103">
        <f>IF(예비비!$R103="OK",SUMIFS(예비비!$O$430:$O$729,예비비!$B$430:$B$729,예비비!$A103,예비비!$E$430:$E$729,"&lt;"&amp;EDATE(BI$99,1),예비비!$F$430:$F$729,"결제대금비")+MAX(0,IF(예비비!$D103&lt;EDATE(BI$99,1),예비비!$E103,0)-SUMIFS(예비비!$O$430:$O$729,예비비!$B$430:$B$729,예비비!$A103,예비비!$E$430:$E$729,"&lt;"&amp;EDATE(BI$99,1))),0)</f>
        <v>0</v>
      </c>
      <c r="BJ103">
        <f>IF(예비비!$R103="OK",SUMIFS(예비비!$O$430:$O$729,예비비!$B$430:$B$729,예비비!$A103,예비비!$E$430:$E$729,"&lt;"&amp;EDATE(BJ$99,1),예비비!$F$430:$F$729,"결제대금비")+MAX(0,IF(예비비!$D103&lt;EDATE(BJ$99,1),예비비!$E103,0)-SUMIFS(예비비!$O$430:$O$729,예비비!$B$430:$B$729,예비비!$A103,예비비!$E$430:$E$729,"&lt;"&amp;EDATE(BJ$99,1))),0)</f>
        <v>0</v>
      </c>
      <c r="BK103">
        <f>IF(예비비!$R103="OK",SUMIFS(예비비!$O$430:$O$729,예비비!$B$430:$B$729,예비비!$A103,예비비!$E$430:$E$729,"&lt;"&amp;EDATE(BK$99,1),예비비!$F$430:$F$729,"결제대금비")+MAX(0,IF(예비비!$D103&lt;EDATE(BK$99,1),예비비!$E103,0)-SUMIFS(예비비!$O$430:$O$729,예비비!$B$430:$B$729,예비비!$A103,예비비!$E$430:$E$729,"&lt;"&amp;EDATE(BK$99,1))),0)</f>
        <v>0</v>
      </c>
      <c r="BL103">
        <f>IF(예비비!$R103="OK",SUMIFS(예비비!$O$430:$O$729,예비비!$B$430:$B$729,예비비!$A103,예비비!$E$430:$E$729,"&lt;"&amp;EDATE(BL$99,1),예비비!$F$430:$F$729,"결제대금비")+MAX(0,IF(예비비!$D103&lt;EDATE(BL$99,1),예비비!$E103,0)-SUMIFS(예비비!$O$430:$O$729,예비비!$B$430:$B$729,예비비!$A103,예비비!$E$430:$E$729,"&lt;"&amp;EDATE(BL$99,1))),0)</f>
        <v>0</v>
      </c>
      <c r="BM103">
        <f>IF(예비비!$R103="OK",SUMIFS(예비비!$O$430:$O$729,예비비!$B$430:$B$729,예비비!$A103,예비비!$E$430:$E$729,"&lt;"&amp;EDATE(BM$99,1),예비비!$F$430:$F$729,"결제대금비")+MAX(0,IF(예비비!$D103&lt;EDATE(BM$99,1),예비비!$E103,0)-SUMIFS(예비비!$O$430:$O$729,예비비!$B$430:$B$729,예비비!$A103,예비비!$E$430:$E$729,"&lt;"&amp;EDATE(BM$99,1))),0)</f>
        <v>0</v>
      </c>
      <c r="BN103">
        <f>IF(예비비!$R103="OK",SUMIFS(예비비!$O$430:$O$729,예비비!$B$430:$B$729,예비비!$A103,예비비!$E$430:$E$729,"&lt;"&amp;EDATE(BN$99,1),예비비!$F$430:$F$729,"결제대금비")+MAX(0,IF(예비비!$D103&lt;EDATE(BN$99,1),예비비!$E103,0)-SUMIFS(예비비!$O$430:$O$729,예비비!$B$430:$B$729,예비비!$A103,예비비!$E$430:$E$729,"&lt;"&amp;EDATE(BN$99,1))),0)</f>
        <v>0</v>
      </c>
      <c r="BO103">
        <f>IF(예비비!$R103="OK",SUMIFS(예비비!$O$430:$O$729,예비비!$B$430:$B$729,예비비!$A103,예비비!$E$430:$E$729,"&lt;"&amp;EDATE(BO$99,1),예비비!$F$430:$F$729,"결제대금비")+MAX(0,IF(예비비!$D103&lt;EDATE(BO$99,1),예비비!$E103,0)-SUMIFS(예비비!$O$430:$O$729,예비비!$B$430:$B$729,예비비!$A103,예비비!$E$430:$E$729,"&lt;"&amp;EDATE(BO$99,1))),0)</f>
        <v>0</v>
      </c>
      <c r="BP103">
        <f>IF(예비비!$R103="OK",SUMIFS(예비비!$O$430:$O$729,예비비!$B$430:$B$729,예비비!$A103,예비비!$E$430:$E$729,"&lt;"&amp;EDATE(BP$99,1),예비비!$F$430:$F$729,"결제대금비")+MAX(0,IF(예비비!$D103&lt;EDATE(BP$99,1),예비비!$E103,0)-SUMIFS(예비비!$O$430:$O$729,예비비!$B$430:$B$729,예비비!$A103,예비비!$E$430:$E$729,"&lt;"&amp;EDATE(BP$99,1))),0)</f>
        <v>0</v>
      </c>
      <c r="BQ103">
        <f>IF(예비비!$R103="OK",SUMIFS(예비비!$O$430:$O$729,예비비!$B$430:$B$729,예비비!$A103,예비비!$E$430:$E$729,"&lt;"&amp;EDATE(BQ$99,1),예비비!$F$430:$F$729,"결제대금비")+MAX(0,IF(예비비!$D103&lt;EDATE(BQ$99,1),예비비!$E103,0)-SUMIFS(예비비!$O$430:$O$729,예비비!$B$430:$B$729,예비비!$A103,예비비!$E$430:$E$729,"&lt;"&amp;EDATE(BQ$99,1))),0)</f>
        <v>0</v>
      </c>
      <c r="BR103">
        <f>IF(예비비!$R103="OK",SUMIFS(예비비!$O$430:$O$729,예비비!$B$430:$B$729,예비비!$A103,예비비!$E$430:$E$729,"&lt;"&amp;EDATE(BR$99,1),예비비!$F$430:$F$729,"결제대금비")+MAX(0,IF(예비비!$D103&lt;EDATE(BR$99,1),예비비!$E103,0)-SUMIFS(예비비!$O$430:$O$729,예비비!$B$430:$B$729,예비비!$A103,예비비!$E$430:$E$729,"&lt;"&amp;EDATE(BR$99,1))),0)</f>
        <v>0</v>
      </c>
      <c r="BS103">
        <f>IF(예비비!$R103="OK",SUMIFS(예비비!$O$430:$O$729,예비비!$B$430:$B$729,예비비!$A103,예비비!$E$430:$E$729,"&lt;"&amp;EDATE(BS$99,1),예비비!$F$430:$F$729,"결제대금비")+MAX(0,IF(예비비!$D103&lt;EDATE(BS$99,1),예비비!$E103,0)-SUMIFS(예비비!$O$430:$O$729,예비비!$B$430:$B$729,예비비!$A103,예비비!$E$430:$E$729,"&lt;"&amp;EDATE(BS$99,1))),0)</f>
        <v>0</v>
      </c>
      <c r="BT103">
        <f>IF(예비비!$R103="OK",SUMIFS(예비비!$O$430:$O$729,예비비!$B$430:$B$729,예비비!$A103,예비비!$E$430:$E$729,"&lt;"&amp;EDATE(BT$99,1),예비비!$F$430:$F$729,"결제대금비")+MAX(0,IF(예비비!$D103&lt;EDATE(BT$99,1),예비비!$E103,0)-SUMIFS(예비비!$O$430:$O$729,예비비!$B$430:$B$729,예비비!$A103,예비비!$E$430:$E$729,"&lt;"&amp;EDATE(BT$99,1))),0)</f>
        <v>0</v>
      </c>
      <c r="BU103">
        <f>IF(예비비!$R103="OK",SUMIFS(예비비!$O$430:$O$729,예비비!$B$430:$B$729,예비비!$A103,예비비!$E$430:$E$729,"&lt;"&amp;EDATE(BU$99,1),예비비!$F$430:$F$729,"결제대금비")+MAX(0,IF(예비비!$D103&lt;EDATE(BU$99,1),예비비!$E103,0)-SUMIFS(예비비!$O$430:$O$729,예비비!$B$430:$B$729,예비비!$A103,예비비!$E$430:$E$729,"&lt;"&amp;EDATE(BU$99,1))),0)</f>
        <v>0</v>
      </c>
    </row>
    <row r="104">
      <c r="BI104">
        <f>IF(예비비!$R104="OK",SUMIFS(예비비!$O$430:$O$729,예비비!$B$430:$B$729,예비비!$A104,예비비!$E$430:$E$729,"&lt;"&amp;EDATE(BI$99,1),예비비!$F$430:$F$729,"결제대금비")+MAX(0,IF(예비비!$D104&lt;EDATE(BI$99,1),예비비!$E104,0)-SUMIFS(예비비!$O$430:$O$729,예비비!$B$430:$B$729,예비비!$A104,예비비!$E$430:$E$729,"&lt;"&amp;EDATE(BI$99,1))),0)</f>
        <v>0</v>
      </c>
      <c r="BJ104">
        <f>IF(예비비!$R104="OK",SUMIFS(예비비!$O$430:$O$729,예비비!$B$430:$B$729,예비비!$A104,예비비!$E$430:$E$729,"&lt;"&amp;EDATE(BJ$99,1),예비비!$F$430:$F$729,"결제대금비")+MAX(0,IF(예비비!$D104&lt;EDATE(BJ$99,1),예비비!$E104,0)-SUMIFS(예비비!$O$430:$O$729,예비비!$B$430:$B$729,예비비!$A104,예비비!$E$430:$E$729,"&lt;"&amp;EDATE(BJ$99,1))),0)</f>
        <v>0</v>
      </c>
      <c r="BK104">
        <f>IF(예비비!$R104="OK",SUMIFS(예비비!$O$430:$O$729,예비비!$B$430:$B$729,예비비!$A104,예비비!$E$430:$E$729,"&lt;"&amp;EDATE(BK$99,1),예비비!$F$430:$F$729,"결제대금비")+MAX(0,IF(예비비!$D104&lt;EDATE(BK$99,1),예비비!$E104,0)-SUMIFS(예비비!$O$430:$O$729,예비비!$B$430:$B$729,예비비!$A104,예비비!$E$430:$E$729,"&lt;"&amp;EDATE(BK$99,1))),0)</f>
        <v>0</v>
      </c>
      <c r="BL104">
        <f>IF(예비비!$R104="OK",SUMIFS(예비비!$O$430:$O$729,예비비!$B$430:$B$729,예비비!$A104,예비비!$E$430:$E$729,"&lt;"&amp;EDATE(BL$99,1),예비비!$F$430:$F$729,"결제대금비")+MAX(0,IF(예비비!$D104&lt;EDATE(BL$99,1),예비비!$E104,0)-SUMIFS(예비비!$O$430:$O$729,예비비!$B$430:$B$729,예비비!$A104,예비비!$E$430:$E$729,"&lt;"&amp;EDATE(BL$99,1))),0)</f>
        <v>0</v>
      </c>
      <c r="BM104">
        <f>IF(예비비!$R104="OK",SUMIFS(예비비!$O$430:$O$729,예비비!$B$430:$B$729,예비비!$A104,예비비!$E$430:$E$729,"&lt;"&amp;EDATE(BM$99,1),예비비!$F$430:$F$729,"결제대금비")+MAX(0,IF(예비비!$D104&lt;EDATE(BM$99,1),예비비!$E104,0)-SUMIFS(예비비!$O$430:$O$729,예비비!$B$430:$B$729,예비비!$A104,예비비!$E$430:$E$729,"&lt;"&amp;EDATE(BM$99,1))),0)</f>
        <v>0</v>
      </c>
      <c r="BN104">
        <f>IF(예비비!$R104="OK",SUMIFS(예비비!$O$430:$O$729,예비비!$B$430:$B$729,예비비!$A104,예비비!$E$430:$E$729,"&lt;"&amp;EDATE(BN$99,1),예비비!$F$430:$F$729,"결제대금비")+MAX(0,IF(예비비!$D104&lt;EDATE(BN$99,1),예비비!$E104,0)-SUMIFS(예비비!$O$430:$O$729,예비비!$B$430:$B$729,예비비!$A104,예비비!$E$430:$E$729,"&lt;"&amp;EDATE(BN$99,1))),0)</f>
        <v>0</v>
      </c>
      <c r="BO104">
        <f>IF(예비비!$R104="OK",SUMIFS(예비비!$O$430:$O$729,예비비!$B$430:$B$729,예비비!$A104,예비비!$E$430:$E$729,"&lt;"&amp;EDATE(BO$99,1),예비비!$F$430:$F$729,"결제대금비")+MAX(0,IF(예비비!$D104&lt;EDATE(BO$99,1),예비비!$E104,0)-SUMIFS(예비비!$O$430:$O$729,예비비!$B$430:$B$729,예비비!$A104,예비비!$E$430:$E$729,"&lt;"&amp;EDATE(BO$99,1))),0)</f>
        <v>0</v>
      </c>
      <c r="BP104">
        <f>IF(예비비!$R104="OK",SUMIFS(예비비!$O$430:$O$729,예비비!$B$430:$B$729,예비비!$A104,예비비!$E$430:$E$729,"&lt;"&amp;EDATE(BP$99,1),예비비!$F$430:$F$729,"결제대금비")+MAX(0,IF(예비비!$D104&lt;EDATE(BP$99,1),예비비!$E104,0)-SUMIFS(예비비!$O$430:$O$729,예비비!$B$430:$B$729,예비비!$A104,예비비!$E$430:$E$729,"&lt;"&amp;EDATE(BP$99,1))),0)</f>
        <v>0</v>
      </c>
      <c r="BQ104">
        <f>IF(예비비!$R104="OK",SUMIFS(예비비!$O$430:$O$729,예비비!$B$430:$B$729,예비비!$A104,예비비!$E$430:$E$729,"&lt;"&amp;EDATE(BQ$99,1),예비비!$F$430:$F$729,"결제대금비")+MAX(0,IF(예비비!$D104&lt;EDATE(BQ$99,1),예비비!$E104,0)-SUMIFS(예비비!$O$430:$O$729,예비비!$B$430:$B$729,예비비!$A104,예비비!$E$430:$E$729,"&lt;"&amp;EDATE(BQ$99,1))),0)</f>
        <v>0</v>
      </c>
      <c r="BR104">
        <f>IF(예비비!$R104="OK",SUMIFS(예비비!$O$430:$O$729,예비비!$B$430:$B$729,예비비!$A104,예비비!$E$430:$E$729,"&lt;"&amp;EDATE(BR$99,1),예비비!$F$430:$F$729,"결제대금비")+MAX(0,IF(예비비!$D104&lt;EDATE(BR$99,1),예비비!$E104,0)-SUMIFS(예비비!$O$430:$O$729,예비비!$B$430:$B$729,예비비!$A104,예비비!$E$430:$E$729,"&lt;"&amp;EDATE(BR$99,1))),0)</f>
        <v>0</v>
      </c>
      <c r="BS104">
        <f>IF(예비비!$R104="OK",SUMIFS(예비비!$O$430:$O$729,예비비!$B$430:$B$729,예비비!$A104,예비비!$E$430:$E$729,"&lt;"&amp;EDATE(BS$99,1),예비비!$F$430:$F$729,"결제대금비")+MAX(0,IF(예비비!$D104&lt;EDATE(BS$99,1),예비비!$E104,0)-SUMIFS(예비비!$O$430:$O$729,예비비!$B$430:$B$729,예비비!$A104,예비비!$E$430:$E$729,"&lt;"&amp;EDATE(BS$99,1))),0)</f>
        <v>0</v>
      </c>
      <c r="BT104">
        <f>IF(예비비!$R104="OK",SUMIFS(예비비!$O$430:$O$729,예비비!$B$430:$B$729,예비비!$A104,예비비!$E$430:$E$729,"&lt;"&amp;EDATE(BT$99,1),예비비!$F$430:$F$729,"결제대금비")+MAX(0,IF(예비비!$D104&lt;EDATE(BT$99,1),예비비!$E104,0)-SUMIFS(예비비!$O$430:$O$729,예비비!$B$430:$B$729,예비비!$A104,예비비!$E$430:$E$729,"&lt;"&amp;EDATE(BT$99,1))),0)</f>
        <v>0</v>
      </c>
      <c r="BU104">
        <f>IF(예비비!$R104="OK",SUMIFS(예비비!$O$430:$O$729,예비비!$B$430:$B$729,예비비!$A104,예비비!$E$430:$E$729,"&lt;"&amp;EDATE(BU$99,1),예비비!$F$430:$F$729,"결제대금비")+MAX(0,IF(예비비!$D104&lt;EDATE(BU$99,1),예비비!$E104,0)-SUMIFS(예비비!$O$430:$O$729,예비비!$B$430:$B$729,예비비!$A104,예비비!$E$430:$E$729,"&lt;"&amp;EDATE(BU$99,1))),0)</f>
        <v>0</v>
      </c>
    </row>
    <row r="105">
      <c r="BI105">
        <f>IF(예비비!$R105="OK",SUMIFS(예비비!$O$430:$O$729,예비비!$B$430:$B$729,예비비!$A105,예비비!$E$430:$E$729,"&lt;"&amp;EDATE(BI$99,1),예비비!$F$430:$F$729,"결제대금비")+MAX(0,IF(예비비!$D105&lt;EDATE(BI$99,1),예비비!$E105,0)-SUMIFS(예비비!$O$430:$O$729,예비비!$B$430:$B$729,예비비!$A105,예비비!$E$430:$E$729,"&lt;"&amp;EDATE(BI$99,1))),0)</f>
        <v>0</v>
      </c>
      <c r="BJ105">
        <f>IF(예비비!$R105="OK",SUMIFS(예비비!$O$430:$O$729,예비비!$B$430:$B$729,예비비!$A105,예비비!$E$430:$E$729,"&lt;"&amp;EDATE(BJ$99,1),예비비!$F$430:$F$729,"결제대금비")+MAX(0,IF(예비비!$D105&lt;EDATE(BJ$99,1),예비비!$E105,0)-SUMIFS(예비비!$O$430:$O$729,예비비!$B$430:$B$729,예비비!$A105,예비비!$E$430:$E$729,"&lt;"&amp;EDATE(BJ$99,1))),0)</f>
        <v>0</v>
      </c>
      <c r="BK105">
        <f>IF(예비비!$R105="OK",SUMIFS(예비비!$O$430:$O$729,예비비!$B$430:$B$729,예비비!$A105,예비비!$E$430:$E$729,"&lt;"&amp;EDATE(BK$99,1),예비비!$F$430:$F$729,"결제대금비")+MAX(0,IF(예비비!$D105&lt;EDATE(BK$99,1),예비비!$E105,0)-SUMIFS(예비비!$O$430:$O$729,예비비!$B$430:$B$729,예비비!$A105,예비비!$E$430:$E$729,"&lt;"&amp;EDATE(BK$99,1))),0)</f>
        <v>0</v>
      </c>
      <c r="BL105">
        <f>IF(예비비!$R105="OK",SUMIFS(예비비!$O$430:$O$729,예비비!$B$430:$B$729,예비비!$A105,예비비!$E$430:$E$729,"&lt;"&amp;EDATE(BL$99,1),예비비!$F$430:$F$729,"결제대금비")+MAX(0,IF(예비비!$D105&lt;EDATE(BL$99,1),예비비!$E105,0)-SUMIFS(예비비!$O$430:$O$729,예비비!$B$430:$B$729,예비비!$A105,예비비!$E$430:$E$729,"&lt;"&amp;EDATE(BL$99,1))),0)</f>
        <v>0</v>
      </c>
      <c r="BM105">
        <f>IF(예비비!$R105="OK",SUMIFS(예비비!$O$430:$O$729,예비비!$B$430:$B$729,예비비!$A105,예비비!$E$430:$E$729,"&lt;"&amp;EDATE(BM$99,1),예비비!$F$430:$F$729,"결제대금비")+MAX(0,IF(예비비!$D105&lt;EDATE(BM$99,1),예비비!$E105,0)-SUMIFS(예비비!$O$430:$O$729,예비비!$B$430:$B$729,예비비!$A105,예비비!$E$430:$E$729,"&lt;"&amp;EDATE(BM$99,1))),0)</f>
        <v>0</v>
      </c>
      <c r="BN105">
        <f>IF(예비비!$R105="OK",SUMIFS(예비비!$O$430:$O$729,예비비!$B$430:$B$729,예비비!$A105,예비비!$E$430:$E$729,"&lt;"&amp;EDATE(BN$99,1),예비비!$F$430:$F$729,"결제대금비")+MAX(0,IF(예비비!$D105&lt;EDATE(BN$99,1),예비비!$E105,0)-SUMIFS(예비비!$O$430:$O$729,예비비!$B$430:$B$729,예비비!$A105,예비비!$E$430:$E$729,"&lt;"&amp;EDATE(BN$99,1))),0)</f>
        <v>0</v>
      </c>
      <c r="BO105">
        <f>IF(예비비!$R105="OK",SUMIFS(예비비!$O$430:$O$729,예비비!$B$430:$B$729,예비비!$A105,예비비!$E$430:$E$729,"&lt;"&amp;EDATE(BO$99,1),예비비!$F$430:$F$729,"결제대금비")+MAX(0,IF(예비비!$D105&lt;EDATE(BO$99,1),예비비!$E105,0)-SUMIFS(예비비!$O$430:$O$729,예비비!$B$430:$B$729,예비비!$A105,예비비!$E$430:$E$729,"&lt;"&amp;EDATE(BO$99,1))),0)</f>
        <v>0</v>
      </c>
      <c r="BP105">
        <f>IF(예비비!$R105="OK",SUMIFS(예비비!$O$430:$O$729,예비비!$B$430:$B$729,예비비!$A105,예비비!$E$430:$E$729,"&lt;"&amp;EDATE(BP$99,1),예비비!$F$430:$F$729,"결제대금비")+MAX(0,IF(예비비!$D105&lt;EDATE(BP$99,1),예비비!$E105,0)-SUMIFS(예비비!$O$430:$O$729,예비비!$B$430:$B$729,예비비!$A105,예비비!$E$430:$E$729,"&lt;"&amp;EDATE(BP$99,1))),0)</f>
        <v>0</v>
      </c>
      <c r="BQ105">
        <f>IF(예비비!$R105="OK",SUMIFS(예비비!$O$430:$O$729,예비비!$B$430:$B$729,예비비!$A105,예비비!$E$430:$E$729,"&lt;"&amp;EDATE(BQ$99,1),예비비!$F$430:$F$729,"결제대금비")+MAX(0,IF(예비비!$D105&lt;EDATE(BQ$99,1),예비비!$E105,0)-SUMIFS(예비비!$O$430:$O$729,예비비!$B$430:$B$729,예비비!$A105,예비비!$E$430:$E$729,"&lt;"&amp;EDATE(BQ$99,1))),0)</f>
        <v>0</v>
      </c>
      <c r="BR105">
        <f>IF(예비비!$R105="OK",SUMIFS(예비비!$O$430:$O$729,예비비!$B$430:$B$729,예비비!$A105,예비비!$E$430:$E$729,"&lt;"&amp;EDATE(BR$99,1),예비비!$F$430:$F$729,"결제대금비")+MAX(0,IF(예비비!$D105&lt;EDATE(BR$99,1),예비비!$E105,0)-SUMIFS(예비비!$O$430:$O$729,예비비!$B$430:$B$729,예비비!$A105,예비비!$E$430:$E$729,"&lt;"&amp;EDATE(BR$99,1))),0)</f>
        <v>0</v>
      </c>
      <c r="BS105">
        <f>IF(예비비!$R105="OK",SUMIFS(예비비!$O$430:$O$729,예비비!$B$430:$B$729,예비비!$A105,예비비!$E$430:$E$729,"&lt;"&amp;EDATE(BS$99,1),예비비!$F$430:$F$729,"결제대금비")+MAX(0,IF(예비비!$D105&lt;EDATE(BS$99,1),예비비!$E105,0)-SUMIFS(예비비!$O$430:$O$729,예비비!$B$430:$B$729,예비비!$A105,예비비!$E$430:$E$729,"&lt;"&amp;EDATE(BS$99,1))),0)</f>
        <v>0</v>
      </c>
      <c r="BT105">
        <f>IF(예비비!$R105="OK",SUMIFS(예비비!$O$430:$O$729,예비비!$B$430:$B$729,예비비!$A105,예비비!$E$430:$E$729,"&lt;"&amp;EDATE(BT$99,1),예비비!$F$430:$F$729,"결제대금비")+MAX(0,IF(예비비!$D105&lt;EDATE(BT$99,1),예비비!$E105,0)-SUMIFS(예비비!$O$430:$O$729,예비비!$B$430:$B$729,예비비!$A105,예비비!$E$430:$E$729,"&lt;"&amp;EDATE(BT$99,1))),0)</f>
        <v>0</v>
      </c>
      <c r="BU105">
        <f>IF(예비비!$R105="OK",SUMIFS(예비비!$O$430:$O$729,예비비!$B$430:$B$729,예비비!$A105,예비비!$E$430:$E$729,"&lt;"&amp;EDATE(BU$99,1),예비비!$F$430:$F$729,"결제대금비")+MAX(0,IF(예비비!$D105&lt;EDATE(BU$99,1),예비비!$E105,0)-SUMIFS(예비비!$O$430:$O$729,예비비!$B$430:$B$729,예비비!$A105,예비비!$E$430:$E$729,"&lt;"&amp;EDATE(BU$99,1))),0)</f>
        <v>0</v>
      </c>
    </row>
    <row r="106">
      <c r="BI106">
        <f>IF(예비비!$R106="OK",SUMIFS(예비비!$O$430:$O$729,예비비!$B$430:$B$729,예비비!$A106,예비비!$E$430:$E$729,"&lt;"&amp;EDATE(BI$99,1),예비비!$F$430:$F$729,"결제대금비")+MAX(0,IF(예비비!$D106&lt;EDATE(BI$99,1),예비비!$E106,0)-SUMIFS(예비비!$O$430:$O$729,예비비!$B$430:$B$729,예비비!$A106,예비비!$E$430:$E$729,"&lt;"&amp;EDATE(BI$99,1))),0)</f>
        <v>0</v>
      </c>
      <c r="BJ106">
        <f>IF(예비비!$R106="OK",SUMIFS(예비비!$O$430:$O$729,예비비!$B$430:$B$729,예비비!$A106,예비비!$E$430:$E$729,"&lt;"&amp;EDATE(BJ$99,1),예비비!$F$430:$F$729,"결제대금비")+MAX(0,IF(예비비!$D106&lt;EDATE(BJ$99,1),예비비!$E106,0)-SUMIFS(예비비!$O$430:$O$729,예비비!$B$430:$B$729,예비비!$A106,예비비!$E$430:$E$729,"&lt;"&amp;EDATE(BJ$99,1))),0)</f>
        <v>0</v>
      </c>
      <c r="BK106">
        <f>IF(예비비!$R106="OK",SUMIFS(예비비!$O$430:$O$729,예비비!$B$430:$B$729,예비비!$A106,예비비!$E$430:$E$729,"&lt;"&amp;EDATE(BK$99,1),예비비!$F$430:$F$729,"결제대금비")+MAX(0,IF(예비비!$D106&lt;EDATE(BK$99,1),예비비!$E106,0)-SUMIFS(예비비!$O$430:$O$729,예비비!$B$430:$B$729,예비비!$A106,예비비!$E$430:$E$729,"&lt;"&amp;EDATE(BK$99,1))),0)</f>
        <v>0</v>
      </c>
      <c r="BL106">
        <f>IF(예비비!$R106="OK",SUMIFS(예비비!$O$430:$O$729,예비비!$B$430:$B$729,예비비!$A106,예비비!$E$430:$E$729,"&lt;"&amp;EDATE(BL$99,1),예비비!$F$430:$F$729,"결제대금비")+MAX(0,IF(예비비!$D106&lt;EDATE(BL$99,1),예비비!$E106,0)-SUMIFS(예비비!$O$430:$O$729,예비비!$B$430:$B$729,예비비!$A106,예비비!$E$430:$E$729,"&lt;"&amp;EDATE(BL$99,1))),0)</f>
        <v>0</v>
      </c>
      <c r="BM106">
        <f>IF(예비비!$R106="OK",SUMIFS(예비비!$O$430:$O$729,예비비!$B$430:$B$729,예비비!$A106,예비비!$E$430:$E$729,"&lt;"&amp;EDATE(BM$99,1),예비비!$F$430:$F$729,"결제대금비")+MAX(0,IF(예비비!$D106&lt;EDATE(BM$99,1),예비비!$E106,0)-SUMIFS(예비비!$O$430:$O$729,예비비!$B$430:$B$729,예비비!$A106,예비비!$E$430:$E$729,"&lt;"&amp;EDATE(BM$99,1))),0)</f>
        <v>0</v>
      </c>
      <c r="BN106">
        <f>IF(예비비!$R106="OK",SUMIFS(예비비!$O$430:$O$729,예비비!$B$430:$B$729,예비비!$A106,예비비!$E$430:$E$729,"&lt;"&amp;EDATE(BN$99,1),예비비!$F$430:$F$729,"결제대금비")+MAX(0,IF(예비비!$D106&lt;EDATE(BN$99,1),예비비!$E106,0)-SUMIFS(예비비!$O$430:$O$729,예비비!$B$430:$B$729,예비비!$A106,예비비!$E$430:$E$729,"&lt;"&amp;EDATE(BN$99,1))),0)</f>
        <v>0</v>
      </c>
      <c r="BO106">
        <f>IF(예비비!$R106="OK",SUMIFS(예비비!$O$430:$O$729,예비비!$B$430:$B$729,예비비!$A106,예비비!$E$430:$E$729,"&lt;"&amp;EDATE(BO$99,1),예비비!$F$430:$F$729,"결제대금비")+MAX(0,IF(예비비!$D106&lt;EDATE(BO$99,1),예비비!$E106,0)-SUMIFS(예비비!$O$430:$O$729,예비비!$B$430:$B$729,예비비!$A106,예비비!$E$430:$E$729,"&lt;"&amp;EDATE(BO$99,1))),0)</f>
        <v>0</v>
      </c>
      <c r="BP106">
        <f>IF(예비비!$R106="OK",SUMIFS(예비비!$O$430:$O$729,예비비!$B$430:$B$729,예비비!$A106,예비비!$E$430:$E$729,"&lt;"&amp;EDATE(BP$99,1),예비비!$F$430:$F$729,"결제대금비")+MAX(0,IF(예비비!$D106&lt;EDATE(BP$99,1),예비비!$E106,0)-SUMIFS(예비비!$O$430:$O$729,예비비!$B$430:$B$729,예비비!$A106,예비비!$E$430:$E$729,"&lt;"&amp;EDATE(BP$99,1))),0)</f>
        <v>0</v>
      </c>
      <c r="BQ106">
        <f>IF(예비비!$R106="OK",SUMIFS(예비비!$O$430:$O$729,예비비!$B$430:$B$729,예비비!$A106,예비비!$E$430:$E$729,"&lt;"&amp;EDATE(BQ$99,1),예비비!$F$430:$F$729,"결제대금비")+MAX(0,IF(예비비!$D106&lt;EDATE(BQ$99,1),예비비!$E106,0)-SUMIFS(예비비!$O$430:$O$729,예비비!$B$430:$B$729,예비비!$A106,예비비!$E$430:$E$729,"&lt;"&amp;EDATE(BQ$99,1))),0)</f>
        <v>0</v>
      </c>
      <c r="BR106">
        <f>IF(예비비!$R106="OK",SUMIFS(예비비!$O$430:$O$729,예비비!$B$430:$B$729,예비비!$A106,예비비!$E$430:$E$729,"&lt;"&amp;EDATE(BR$99,1),예비비!$F$430:$F$729,"결제대금비")+MAX(0,IF(예비비!$D106&lt;EDATE(BR$99,1),예비비!$E106,0)-SUMIFS(예비비!$O$430:$O$729,예비비!$B$430:$B$729,예비비!$A106,예비비!$E$430:$E$729,"&lt;"&amp;EDATE(BR$99,1))),0)</f>
        <v>0</v>
      </c>
      <c r="BS106">
        <f>IF(예비비!$R106="OK",SUMIFS(예비비!$O$430:$O$729,예비비!$B$430:$B$729,예비비!$A106,예비비!$E$430:$E$729,"&lt;"&amp;EDATE(BS$99,1),예비비!$F$430:$F$729,"결제대금비")+MAX(0,IF(예비비!$D106&lt;EDATE(BS$99,1),예비비!$E106,0)-SUMIFS(예비비!$O$430:$O$729,예비비!$B$430:$B$729,예비비!$A106,예비비!$E$430:$E$729,"&lt;"&amp;EDATE(BS$99,1))),0)</f>
        <v>0</v>
      </c>
      <c r="BT106">
        <f>IF(예비비!$R106="OK",SUMIFS(예비비!$O$430:$O$729,예비비!$B$430:$B$729,예비비!$A106,예비비!$E$430:$E$729,"&lt;"&amp;EDATE(BT$99,1),예비비!$F$430:$F$729,"결제대금비")+MAX(0,IF(예비비!$D106&lt;EDATE(BT$99,1),예비비!$E106,0)-SUMIFS(예비비!$O$430:$O$729,예비비!$B$430:$B$729,예비비!$A106,예비비!$E$430:$E$729,"&lt;"&amp;EDATE(BT$99,1))),0)</f>
        <v>0</v>
      </c>
      <c r="BU106">
        <f>IF(예비비!$R106="OK",SUMIFS(예비비!$O$430:$O$729,예비비!$B$430:$B$729,예비비!$A106,예비비!$E$430:$E$729,"&lt;"&amp;EDATE(BU$99,1),예비비!$F$430:$F$729,"결제대금비")+MAX(0,IF(예비비!$D106&lt;EDATE(BU$99,1),예비비!$E106,0)-SUMIFS(예비비!$O$430:$O$729,예비비!$B$430:$B$729,예비비!$A106,예비비!$E$430:$E$729,"&lt;"&amp;EDATE(BU$99,1))),0)</f>
        <v>0</v>
      </c>
    </row>
    <row r="107">
      <c r="BI107">
        <f>IF(예비비!$R107="OK",SUMIFS(예비비!$O$430:$O$729,예비비!$B$430:$B$729,예비비!$A107,예비비!$E$430:$E$729,"&lt;"&amp;EDATE(BI$99,1),예비비!$F$430:$F$729,"결제대금비")+MAX(0,IF(예비비!$D107&lt;EDATE(BI$99,1),예비비!$E107,0)-SUMIFS(예비비!$O$430:$O$729,예비비!$B$430:$B$729,예비비!$A107,예비비!$E$430:$E$729,"&lt;"&amp;EDATE(BI$99,1))),0)</f>
        <v>0</v>
      </c>
      <c r="BJ107">
        <f>IF(예비비!$R107="OK",SUMIFS(예비비!$O$430:$O$729,예비비!$B$430:$B$729,예비비!$A107,예비비!$E$430:$E$729,"&lt;"&amp;EDATE(BJ$99,1),예비비!$F$430:$F$729,"결제대금비")+MAX(0,IF(예비비!$D107&lt;EDATE(BJ$99,1),예비비!$E107,0)-SUMIFS(예비비!$O$430:$O$729,예비비!$B$430:$B$729,예비비!$A107,예비비!$E$430:$E$729,"&lt;"&amp;EDATE(BJ$99,1))),0)</f>
        <v>0</v>
      </c>
      <c r="BK107">
        <f>IF(예비비!$R107="OK",SUMIFS(예비비!$O$430:$O$729,예비비!$B$430:$B$729,예비비!$A107,예비비!$E$430:$E$729,"&lt;"&amp;EDATE(BK$99,1),예비비!$F$430:$F$729,"결제대금비")+MAX(0,IF(예비비!$D107&lt;EDATE(BK$99,1),예비비!$E107,0)-SUMIFS(예비비!$O$430:$O$729,예비비!$B$430:$B$729,예비비!$A107,예비비!$E$430:$E$729,"&lt;"&amp;EDATE(BK$99,1))),0)</f>
        <v>0</v>
      </c>
      <c r="BL107">
        <f>IF(예비비!$R107="OK",SUMIFS(예비비!$O$430:$O$729,예비비!$B$430:$B$729,예비비!$A107,예비비!$E$430:$E$729,"&lt;"&amp;EDATE(BL$99,1),예비비!$F$430:$F$729,"결제대금비")+MAX(0,IF(예비비!$D107&lt;EDATE(BL$99,1),예비비!$E107,0)-SUMIFS(예비비!$O$430:$O$729,예비비!$B$430:$B$729,예비비!$A107,예비비!$E$430:$E$729,"&lt;"&amp;EDATE(BL$99,1))),0)</f>
        <v>0</v>
      </c>
      <c r="BM107">
        <f>IF(예비비!$R107="OK",SUMIFS(예비비!$O$430:$O$729,예비비!$B$430:$B$729,예비비!$A107,예비비!$E$430:$E$729,"&lt;"&amp;EDATE(BM$99,1),예비비!$F$430:$F$729,"결제대금비")+MAX(0,IF(예비비!$D107&lt;EDATE(BM$99,1),예비비!$E107,0)-SUMIFS(예비비!$O$430:$O$729,예비비!$B$430:$B$729,예비비!$A107,예비비!$E$430:$E$729,"&lt;"&amp;EDATE(BM$99,1))),0)</f>
        <v>0</v>
      </c>
      <c r="BN107">
        <f>IF(예비비!$R107="OK",SUMIFS(예비비!$O$430:$O$729,예비비!$B$430:$B$729,예비비!$A107,예비비!$E$430:$E$729,"&lt;"&amp;EDATE(BN$99,1),예비비!$F$430:$F$729,"결제대금비")+MAX(0,IF(예비비!$D107&lt;EDATE(BN$99,1),예비비!$E107,0)-SUMIFS(예비비!$O$430:$O$729,예비비!$B$430:$B$729,예비비!$A107,예비비!$E$430:$E$729,"&lt;"&amp;EDATE(BN$99,1))),0)</f>
        <v>0</v>
      </c>
      <c r="BO107">
        <f>IF(예비비!$R107="OK",SUMIFS(예비비!$O$430:$O$729,예비비!$B$430:$B$729,예비비!$A107,예비비!$E$430:$E$729,"&lt;"&amp;EDATE(BO$99,1),예비비!$F$430:$F$729,"결제대금비")+MAX(0,IF(예비비!$D107&lt;EDATE(BO$99,1),예비비!$E107,0)-SUMIFS(예비비!$O$430:$O$729,예비비!$B$430:$B$729,예비비!$A107,예비비!$E$430:$E$729,"&lt;"&amp;EDATE(BO$99,1))),0)</f>
        <v>0</v>
      </c>
      <c r="BP107">
        <f>IF(예비비!$R107="OK",SUMIFS(예비비!$O$430:$O$729,예비비!$B$430:$B$729,예비비!$A107,예비비!$E$430:$E$729,"&lt;"&amp;EDATE(BP$99,1),예비비!$F$430:$F$729,"결제대금비")+MAX(0,IF(예비비!$D107&lt;EDATE(BP$99,1),예비비!$E107,0)-SUMIFS(예비비!$O$430:$O$729,예비비!$B$430:$B$729,예비비!$A107,예비비!$E$430:$E$729,"&lt;"&amp;EDATE(BP$99,1))),0)</f>
        <v>0</v>
      </c>
      <c r="BQ107">
        <f>IF(예비비!$R107="OK",SUMIFS(예비비!$O$430:$O$729,예비비!$B$430:$B$729,예비비!$A107,예비비!$E$430:$E$729,"&lt;"&amp;EDATE(BQ$99,1),예비비!$F$430:$F$729,"결제대금비")+MAX(0,IF(예비비!$D107&lt;EDATE(BQ$99,1),예비비!$E107,0)-SUMIFS(예비비!$O$430:$O$729,예비비!$B$430:$B$729,예비비!$A107,예비비!$E$430:$E$729,"&lt;"&amp;EDATE(BQ$99,1))),0)</f>
        <v>0</v>
      </c>
      <c r="BR107">
        <f>IF(예비비!$R107="OK",SUMIFS(예비비!$O$430:$O$729,예비비!$B$430:$B$729,예비비!$A107,예비비!$E$430:$E$729,"&lt;"&amp;EDATE(BR$99,1),예비비!$F$430:$F$729,"결제대금비")+MAX(0,IF(예비비!$D107&lt;EDATE(BR$99,1),예비비!$E107,0)-SUMIFS(예비비!$O$430:$O$729,예비비!$B$430:$B$729,예비비!$A107,예비비!$E$430:$E$729,"&lt;"&amp;EDATE(BR$99,1))),0)</f>
        <v>0</v>
      </c>
      <c r="BS107">
        <f>IF(예비비!$R107="OK",SUMIFS(예비비!$O$430:$O$729,예비비!$B$430:$B$729,예비비!$A107,예비비!$E$430:$E$729,"&lt;"&amp;EDATE(BS$99,1),예비비!$F$430:$F$729,"결제대금비")+MAX(0,IF(예비비!$D107&lt;EDATE(BS$99,1),예비비!$E107,0)-SUMIFS(예비비!$O$430:$O$729,예비비!$B$430:$B$729,예비비!$A107,예비비!$E$430:$E$729,"&lt;"&amp;EDATE(BS$99,1))),0)</f>
        <v>0</v>
      </c>
      <c r="BT107">
        <f>IF(예비비!$R107="OK",SUMIFS(예비비!$O$430:$O$729,예비비!$B$430:$B$729,예비비!$A107,예비비!$E$430:$E$729,"&lt;"&amp;EDATE(BT$99,1),예비비!$F$430:$F$729,"결제대금비")+MAX(0,IF(예비비!$D107&lt;EDATE(BT$99,1),예비비!$E107,0)-SUMIFS(예비비!$O$430:$O$729,예비비!$B$430:$B$729,예비비!$A107,예비비!$E$430:$E$729,"&lt;"&amp;EDATE(BT$99,1))),0)</f>
        <v>0</v>
      </c>
      <c r="BU107">
        <f>IF(예비비!$R107="OK",SUMIFS(예비비!$O$430:$O$729,예비비!$B$430:$B$729,예비비!$A107,예비비!$E$430:$E$729,"&lt;"&amp;EDATE(BU$99,1),예비비!$F$430:$F$729,"결제대금비")+MAX(0,IF(예비비!$D107&lt;EDATE(BU$99,1),예비비!$E107,0)-SUMIFS(예비비!$O$430:$O$729,예비비!$B$430:$B$729,예비비!$A107,예비비!$E$430:$E$729,"&lt;"&amp;EDATE(BU$99,1))),0)</f>
        <v>0</v>
      </c>
    </row>
    <row r="108">
      <c r="BI108">
        <f>IF(예비비!$R108="OK",SUMIFS(예비비!$O$430:$O$729,예비비!$B$430:$B$729,예비비!$A108,예비비!$E$430:$E$729,"&lt;"&amp;EDATE(BI$99,1),예비비!$F$430:$F$729,"결제대금비")+MAX(0,IF(예비비!$D108&lt;EDATE(BI$99,1),예비비!$E108,0)-SUMIFS(예비비!$O$430:$O$729,예비비!$B$430:$B$729,예비비!$A108,예비비!$E$430:$E$729,"&lt;"&amp;EDATE(BI$99,1))),0)</f>
        <v>0</v>
      </c>
      <c r="BJ108">
        <f>IF(예비비!$R108="OK",SUMIFS(예비비!$O$430:$O$729,예비비!$B$430:$B$729,예비비!$A108,예비비!$E$430:$E$729,"&lt;"&amp;EDATE(BJ$99,1),예비비!$F$430:$F$729,"결제대금비")+MAX(0,IF(예비비!$D108&lt;EDATE(BJ$99,1),예비비!$E108,0)-SUMIFS(예비비!$O$430:$O$729,예비비!$B$430:$B$729,예비비!$A108,예비비!$E$430:$E$729,"&lt;"&amp;EDATE(BJ$99,1))),0)</f>
        <v>0</v>
      </c>
      <c r="BK108">
        <f>IF(예비비!$R108="OK",SUMIFS(예비비!$O$430:$O$729,예비비!$B$430:$B$729,예비비!$A108,예비비!$E$430:$E$729,"&lt;"&amp;EDATE(BK$99,1),예비비!$F$430:$F$729,"결제대금비")+MAX(0,IF(예비비!$D108&lt;EDATE(BK$99,1),예비비!$E108,0)-SUMIFS(예비비!$O$430:$O$729,예비비!$B$430:$B$729,예비비!$A108,예비비!$E$430:$E$729,"&lt;"&amp;EDATE(BK$99,1))),0)</f>
        <v>0</v>
      </c>
      <c r="BL108">
        <f>IF(예비비!$R108="OK",SUMIFS(예비비!$O$430:$O$729,예비비!$B$430:$B$729,예비비!$A108,예비비!$E$430:$E$729,"&lt;"&amp;EDATE(BL$99,1),예비비!$F$430:$F$729,"결제대금비")+MAX(0,IF(예비비!$D108&lt;EDATE(BL$99,1),예비비!$E108,0)-SUMIFS(예비비!$O$430:$O$729,예비비!$B$430:$B$729,예비비!$A108,예비비!$E$430:$E$729,"&lt;"&amp;EDATE(BL$99,1))),0)</f>
        <v>0</v>
      </c>
      <c r="BM108">
        <f>IF(예비비!$R108="OK",SUMIFS(예비비!$O$430:$O$729,예비비!$B$430:$B$729,예비비!$A108,예비비!$E$430:$E$729,"&lt;"&amp;EDATE(BM$99,1),예비비!$F$430:$F$729,"결제대금비")+MAX(0,IF(예비비!$D108&lt;EDATE(BM$99,1),예비비!$E108,0)-SUMIFS(예비비!$O$430:$O$729,예비비!$B$430:$B$729,예비비!$A108,예비비!$E$430:$E$729,"&lt;"&amp;EDATE(BM$99,1))),0)</f>
        <v>0</v>
      </c>
      <c r="BN108">
        <f>IF(예비비!$R108="OK",SUMIFS(예비비!$O$430:$O$729,예비비!$B$430:$B$729,예비비!$A108,예비비!$E$430:$E$729,"&lt;"&amp;EDATE(BN$99,1),예비비!$F$430:$F$729,"결제대금비")+MAX(0,IF(예비비!$D108&lt;EDATE(BN$99,1),예비비!$E108,0)-SUMIFS(예비비!$O$430:$O$729,예비비!$B$430:$B$729,예비비!$A108,예비비!$E$430:$E$729,"&lt;"&amp;EDATE(BN$99,1))),0)</f>
        <v>0</v>
      </c>
      <c r="BO108">
        <f>IF(예비비!$R108="OK",SUMIFS(예비비!$O$430:$O$729,예비비!$B$430:$B$729,예비비!$A108,예비비!$E$430:$E$729,"&lt;"&amp;EDATE(BO$99,1),예비비!$F$430:$F$729,"결제대금비")+MAX(0,IF(예비비!$D108&lt;EDATE(BO$99,1),예비비!$E108,0)-SUMIFS(예비비!$O$430:$O$729,예비비!$B$430:$B$729,예비비!$A108,예비비!$E$430:$E$729,"&lt;"&amp;EDATE(BO$99,1))),0)</f>
        <v>0</v>
      </c>
      <c r="BP108">
        <f>IF(예비비!$R108="OK",SUMIFS(예비비!$O$430:$O$729,예비비!$B$430:$B$729,예비비!$A108,예비비!$E$430:$E$729,"&lt;"&amp;EDATE(BP$99,1),예비비!$F$430:$F$729,"결제대금비")+MAX(0,IF(예비비!$D108&lt;EDATE(BP$99,1),예비비!$E108,0)-SUMIFS(예비비!$O$430:$O$729,예비비!$B$430:$B$729,예비비!$A108,예비비!$E$430:$E$729,"&lt;"&amp;EDATE(BP$99,1))),0)</f>
        <v>0</v>
      </c>
      <c r="BQ108">
        <f>IF(예비비!$R108="OK",SUMIFS(예비비!$O$430:$O$729,예비비!$B$430:$B$729,예비비!$A108,예비비!$E$430:$E$729,"&lt;"&amp;EDATE(BQ$99,1),예비비!$F$430:$F$729,"결제대금비")+MAX(0,IF(예비비!$D108&lt;EDATE(BQ$99,1),예비비!$E108,0)-SUMIFS(예비비!$O$430:$O$729,예비비!$B$430:$B$729,예비비!$A108,예비비!$E$430:$E$729,"&lt;"&amp;EDATE(BQ$99,1))),0)</f>
        <v>0</v>
      </c>
      <c r="BR108">
        <f>IF(예비비!$R108="OK",SUMIFS(예비비!$O$430:$O$729,예비비!$B$430:$B$729,예비비!$A108,예비비!$E$430:$E$729,"&lt;"&amp;EDATE(BR$99,1),예비비!$F$430:$F$729,"결제대금비")+MAX(0,IF(예비비!$D108&lt;EDATE(BR$99,1),예비비!$E108,0)-SUMIFS(예비비!$O$430:$O$729,예비비!$B$430:$B$729,예비비!$A108,예비비!$E$430:$E$729,"&lt;"&amp;EDATE(BR$99,1))),0)</f>
        <v>0</v>
      </c>
      <c r="BS108">
        <f>IF(예비비!$R108="OK",SUMIFS(예비비!$O$430:$O$729,예비비!$B$430:$B$729,예비비!$A108,예비비!$E$430:$E$729,"&lt;"&amp;EDATE(BS$99,1),예비비!$F$430:$F$729,"결제대금비")+MAX(0,IF(예비비!$D108&lt;EDATE(BS$99,1),예비비!$E108,0)-SUMIFS(예비비!$O$430:$O$729,예비비!$B$430:$B$729,예비비!$A108,예비비!$E$430:$E$729,"&lt;"&amp;EDATE(BS$99,1))),0)</f>
        <v>0</v>
      </c>
      <c r="BT108">
        <f>IF(예비비!$R108="OK",SUMIFS(예비비!$O$430:$O$729,예비비!$B$430:$B$729,예비비!$A108,예비비!$E$430:$E$729,"&lt;"&amp;EDATE(BT$99,1),예비비!$F$430:$F$729,"결제대금비")+MAX(0,IF(예비비!$D108&lt;EDATE(BT$99,1),예비비!$E108,0)-SUMIFS(예비비!$O$430:$O$729,예비비!$B$430:$B$729,예비비!$A108,예비비!$E$430:$E$729,"&lt;"&amp;EDATE(BT$99,1))),0)</f>
        <v>0</v>
      </c>
      <c r="BU108">
        <f>IF(예비비!$R108="OK",SUMIFS(예비비!$O$430:$O$729,예비비!$B$430:$B$729,예비비!$A108,예비비!$E$430:$E$729,"&lt;"&amp;EDATE(BU$99,1),예비비!$F$430:$F$729,"결제대금비")+MAX(0,IF(예비비!$D108&lt;EDATE(BU$99,1),예비비!$E108,0)-SUMIFS(예비비!$O$430:$O$729,예비비!$B$430:$B$729,예비비!$A108,예비비!$E$430:$E$729,"&lt;"&amp;EDATE(BU$99,1))),0)</f>
        <v>0</v>
      </c>
    </row>
    <row r="109">
      <c r="BI109">
        <f>IF(예비비!$R109="OK",SUMIFS(예비비!$O$430:$O$729,예비비!$B$430:$B$729,예비비!$A109,예비비!$E$430:$E$729,"&lt;"&amp;EDATE(BI$99,1),예비비!$F$430:$F$729,"결제대금비")+MAX(0,IF(예비비!$D109&lt;EDATE(BI$99,1),예비비!$E109,0)-SUMIFS(예비비!$O$430:$O$729,예비비!$B$430:$B$729,예비비!$A109,예비비!$E$430:$E$729,"&lt;"&amp;EDATE(BI$99,1))),0)</f>
        <v>0</v>
      </c>
      <c r="BJ109">
        <f>IF(예비비!$R109="OK",SUMIFS(예비비!$O$430:$O$729,예비비!$B$430:$B$729,예비비!$A109,예비비!$E$430:$E$729,"&lt;"&amp;EDATE(BJ$99,1),예비비!$F$430:$F$729,"결제대금비")+MAX(0,IF(예비비!$D109&lt;EDATE(BJ$99,1),예비비!$E109,0)-SUMIFS(예비비!$O$430:$O$729,예비비!$B$430:$B$729,예비비!$A109,예비비!$E$430:$E$729,"&lt;"&amp;EDATE(BJ$99,1))),0)</f>
        <v>0</v>
      </c>
      <c r="BK109">
        <f>IF(예비비!$R109="OK",SUMIFS(예비비!$O$430:$O$729,예비비!$B$430:$B$729,예비비!$A109,예비비!$E$430:$E$729,"&lt;"&amp;EDATE(BK$99,1),예비비!$F$430:$F$729,"결제대금비")+MAX(0,IF(예비비!$D109&lt;EDATE(BK$99,1),예비비!$E109,0)-SUMIFS(예비비!$O$430:$O$729,예비비!$B$430:$B$729,예비비!$A109,예비비!$E$430:$E$729,"&lt;"&amp;EDATE(BK$99,1))),0)</f>
        <v>0</v>
      </c>
      <c r="BL109">
        <f>IF(예비비!$R109="OK",SUMIFS(예비비!$O$430:$O$729,예비비!$B$430:$B$729,예비비!$A109,예비비!$E$430:$E$729,"&lt;"&amp;EDATE(BL$99,1),예비비!$F$430:$F$729,"결제대금비")+MAX(0,IF(예비비!$D109&lt;EDATE(BL$99,1),예비비!$E109,0)-SUMIFS(예비비!$O$430:$O$729,예비비!$B$430:$B$729,예비비!$A109,예비비!$E$430:$E$729,"&lt;"&amp;EDATE(BL$99,1))),0)</f>
        <v>0</v>
      </c>
      <c r="BM109">
        <f>IF(예비비!$R109="OK",SUMIFS(예비비!$O$430:$O$729,예비비!$B$430:$B$729,예비비!$A109,예비비!$E$430:$E$729,"&lt;"&amp;EDATE(BM$99,1),예비비!$F$430:$F$729,"결제대금비")+MAX(0,IF(예비비!$D109&lt;EDATE(BM$99,1),예비비!$E109,0)-SUMIFS(예비비!$O$430:$O$729,예비비!$B$430:$B$729,예비비!$A109,예비비!$E$430:$E$729,"&lt;"&amp;EDATE(BM$99,1))),0)</f>
        <v>0</v>
      </c>
      <c r="BN109">
        <f>IF(예비비!$R109="OK",SUMIFS(예비비!$O$430:$O$729,예비비!$B$430:$B$729,예비비!$A109,예비비!$E$430:$E$729,"&lt;"&amp;EDATE(BN$99,1),예비비!$F$430:$F$729,"결제대금비")+MAX(0,IF(예비비!$D109&lt;EDATE(BN$99,1),예비비!$E109,0)-SUMIFS(예비비!$O$430:$O$729,예비비!$B$430:$B$729,예비비!$A109,예비비!$E$430:$E$729,"&lt;"&amp;EDATE(BN$99,1))),0)</f>
        <v>0</v>
      </c>
      <c r="BO109">
        <f>IF(예비비!$R109="OK",SUMIFS(예비비!$O$430:$O$729,예비비!$B$430:$B$729,예비비!$A109,예비비!$E$430:$E$729,"&lt;"&amp;EDATE(BO$99,1),예비비!$F$430:$F$729,"결제대금비")+MAX(0,IF(예비비!$D109&lt;EDATE(BO$99,1),예비비!$E109,0)-SUMIFS(예비비!$O$430:$O$729,예비비!$B$430:$B$729,예비비!$A109,예비비!$E$430:$E$729,"&lt;"&amp;EDATE(BO$99,1))),0)</f>
        <v>0</v>
      </c>
      <c r="BP109">
        <f>IF(예비비!$R109="OK",SUMIFS(예비비!$O$430:$O$729,예비비!$B$430:$B$729,예비비!$A109,예비비!$E$430:$E$729,"&lt;"&amp;EDATE(BP$99,1),예비비!$F$430:$F$729,"결제대금비")+MAX(0,IF(예비비!$D109&lt;EDATE(BP$99,1),예비비!$E109,0)-SUMIFS(예비비!$O$430:$O$729,예비비!$B$430:$B$729,예비비!$A109,예비비!$E$430:$E$729,"&lt;"&amp;EDATE(BP$99,1))),0)</f>
        <v>0</v>
      </c>
      <c r="BQ109">
        <f>IF(예비비!$R109="OK",SUMIFS(예비비!$O$430:$O$729,예비비!$B$430:$B$729,예비비!$A109,예비비!$E$430:$E$729,"&lt;"&amp;EDATE(BQ$99,1),예비비!$F$430:$F$729,"결제대금비")+MAX(0,IF(예비비!$D109&lt;EDATE(BQ$99,1),예비비!$E109,0)-SUMIFS(예비비!$O$430:$O$729,예비비!$B$430:$B$729,예비비!$A109,예비비!$E$430:$E$729,"&lt;"&amp;EDATE(BQ$99,1))),0)</f>
        <v>0</v>
      </c>
      <c r="BR109">
        <f>IF(예비비!$R109="OK",SUMIFS(예비비!$O$430:$O$729,예비비!$B$430:$B$729,예비비!$A109,예비비!$E$430:$E$729,"&lt;"&amp;EDATE(BR$99,1),예비비!$F$430:$F$729,"결제대금비")+MAX(0,IF(예비비!$D109&lt;EDATE(BR$99,1),예비비!$E109,0)-SUMIFS(예비비!$O$430:$O$729,예비비!$B$430:$B$729,예비비!$A109,예비비!$E$430:$E$729,"&lt;"&amp;EDATE(BR$99,1))),0)</f>
        <v>0</v>
      </c>
      <c r="BS109">
        <f>IF(예비비!$R109="OK",SUMIFS(예비비!$O$430:$O$729,예비비!$B$430:$B$729,예비비!$A109,예비비!$E$430:$E$729,"&lt;"&amp;EDATE(BS$99,1),예비비!$F$430:$F$729,"결제대금비")+MAX(0,IF(예비비!$D109&lt;EDATE(BS$99,1),예비비!$E109,0)-SUMIFS(예비비!$O$430:$O$729,예비비!$B$430:$B$729,예비비!$A109,예비비!$E$430:$E$729,"&lt;"&amp;EDATE(BS$99,1))),0)</f>
        <v>0</v>
      </c>
      <c r="BT109">
        <f>IF(예비비!$R109="OK",SUMIFS(예비비!$O$430:$O$729,예비비!$B$430:$B$729,예비비!$A109,예비비!$E$430:$E$729,"&lt;"&amp;EDATE(BT$99,1),예비비!$F$430:$F$729,"결제대금비")+MAX(0,IF(예비비!$D109&lt;EDATE(BT$99,1),예비비!$E109,0)-SUMIFS(예비비!$O$430:$O$729,예비비!$B$430:$B$729,예비비!$A109,예비비!$E$430:$E$729,"&lt;"&amp;EDATE(BT$99,1))),0)</f>
        <v>0</v>
      </c>
      <c r="BU109">
        <f>IF(예비비!$R109="OK",SUMIFS(예비비!$O$430:$O$729,예비비!$B$430:$B$729,예비비!$A109,예비비!$E$430:$E$729,"&lt;"&amp;EDATE(BU$99,1),예비비!$F$430:$F$729,"결제대금비")+MAX(0,IF(예비비!$D109&lt;EDATE(BU$99,1),예비비!$E109,0)-SUMIFS(예비비!$O$430:$O$729,예비비!$B$430:$B$729,예비비!$A109,예비비!$E$430:$E$729,"&lt;"&amp;EDATE(BU$99,1))),0)</f>
        <v>0</v>
      </c>
    </row>
    <row r="110">
      <c r="BI110">
        <f>IF(예비비!$R110="OK",SUMIFS(예비비!$O$430:$O$729,예비비!$B$430:$B$729,예비비!$A110,예비비!$E$430:$E$729,"&lt;"&amp;EDATE(BI$99,1),예비비!$F$430:$F$729,"결제대금비")+MAX(0,IF(예비비!$D110&lt;EDATE(BI$99,1),예비비!$E110,0)-SUMIFS(예비비!$O$430:$O$729,예비비!$B$430:$B$729,예비비!$A110,예비비!$E$430:$E$729,"&lt;"&amp;EDATE(BI$99,1))),0)</f>
        <v>0</v>
      </c>
      <c r="BJ110">
        <f>IF(예비비!$R110="OK",SUMIFS(예비비!$O$430:$O$729,예비비!$B$430:$B$729,예비비!$A110,예비비!$E$430:$E$729,"&lt;"&amp;EDATE(BJ$99,1),예비비!$F$430:$F$729,"결제대금비")+MAX(0,IF(예비비!$D110&lt;EDATE(BJ$99,1),예비비!$E110,0)-SUMIFS(예비비!$O$430:$O$729,예비비!$B$430:$B$729,예비비!$A110,예비비!$E$430:$E$729,"&lt;"&amp;EDATE(BJ$99,1))),0)</f>
        <v>0</v>
      </c>
      <c r="BK110">
        <f>IF(예비비!$R110="OK",SUMIFS(예비비!$O$430:$O$729,예비비!$B$430:$B$729,예비비!$A110,예비비!$E$430:$E$729,"&lt;"&amp;EDATE(BK$99,1),예비비!$F$430:$F$729,"결제대금비")+MAX(0,IF(예비비!$D110&lt;EDATE(BK$99,1),예비비!$E110,0)-SUMIFS(예비비!$O$430:$O$729,예비비!$B$430:$B$729,예비비!$A110,예비비!$E$430:$E$729,"&lt;"&amp;EDATE(BK$99,1))),0)</f>
        <v>0</v>
      </c>
      <c r="BL110">
        <f>IF(예비비!$R110="OK",SUMIFS(예비비!$O$430:$O$729,예비비!$B$430:$B$729,예비비!$A110,예비비!$E$430:$E$729,"&lt;"&amp;EDATE(BL$99,1),예비비!$F$430:$F$729,"결제대금비")+MAX(0,IF(예비비!$D110&lt;EDATE(BL$99,1),예비비!$E110,0)-SUMIFS(예비비!$O$430:$O$729,예비비!$B$430:$B$729,예비비!$A110,예비비!$E$430:$E$729,"&lt;"&amp;EDATE(BL$99,1))),0)</f>
        <v>0</v>
      </c>
      <c r="BM110">
        <f>IF(예비비!$R110="OK",SUMIFS(예비비!$O$430:$O$729,예비비!$B$430:$B$729,예비비!$A110,예비비!$E$430:$E$729,"&lt;"&amp;EDATE(BM$99,1),예비비!$F$430:$F$729,"결제대금비")+MAX(0,IF(예비비!$D110&lt;EDATE(BM$99,1),예비비!$E110,0)-SUMIFS(예비비!$O$430:$O$729,예비비!$B$430:$B$729,예비비!$A110,예비비!$E$430:$E$729,"&lt;"&amp;EDATE(BM$99,1))),0)</f>
        <v>0</v>
      </c>
      <c r="BN110">
        <f>IF(예비비!$R110="OK",SUMIFS(예비비!$O$430:$O$729,예비비!$B$430:$B$729,예비비!$A110,예비비!$E$430:$E$729,"&lt;"&amp;EDATE(BN$99,1),예비비!$F$430:$F$729,"결제대금비")+MAX(0,IF(예비비!$D110&lt;EDATE(BN$99,1),예비비!$E110,0)-SUMIFS(예비비!$O$430:$O$729,예비비!$B$430:$B$729,예비비!$A110,예비비!$E$430:$E$729,"&lt;"&amp;EDATE(BN$99,1))),0)</f>
        <v>0</v>
      </c>
      <c r="BO110">
        <f>IF(예비비!$R110="OK",SUMIFS(예비비!$O$430:$O$729,예비비!$B$430:$B$729,예비비!$A110,예비비!$E$430:$E$729,"&lt;"&amp;EDATE(BO$99,1),예비비!$F$430:$F$729,"결제대금비")+MAX(0,IF(예비비!$D110&lt;EDATE(BO$99,1),예비비!$E110,0)-SUMIFS(예비비!$O$430:$O$729,예비비!$B$430:$B$729,예비비!$A110,예비비!$E$430:$E$729,"&lt;"&amp;EDATE(BO$99,1))),0)</f>
        <v>0</v>
      </c>
      <c r="BP110">
        <f>IF(예비비!$R110="OK",SUMIFS(예비비!$O$430:$O$729,예비비!$B$430:$B$729,예비비!$A110,예비비!$E$430:$E$729,"&lt;"&amp;EDATE(BP$99,1),예비비!$F$430:$F$729,"결제대금비")+MAX(0,IF(예비비!$D110&lt;EDATE(BP$99,1),예비비!$E110,0)-SUMIFS(예비비!$O$430:$O$729,예비비!$B$430:$B$729,예비비!$A110,예비비!$E$430:$E$729,"&lt;"&amp;EDATE(BP$99,1))),0)</f>
        <v>0</v>
      </c>
      <c r="BQ110">
        <f>IF(예비비!$R110="OK",SUMIFS(예비비!$O$430:$O$729,예비비!$B$430:$B$729,예비비!$A110,예비비!$E$430:$E$729,"&lt;"&amp;EDATE(BQ$99,1),예비비!$F$430:$F$729,"결제대금비")+MAX(0,IF(예비비!$D110&lt;EDATE(BQ$99,1),예비비!$E110,0)-SUMIFS(예비비!$O$430:$O$729,예비비!$B$430:$B$729,예비비!$A110,예비비!$E$430:$E$729,"&lt;"&amp;EDATE(BQ$99,1))),0)</f>
        <v>0</v>
      </c>
      <c r="BR110">
        <f>IF(예비비!$R110="OK",SUMIFS(예비비!$O$430:$O$729,예비비!$B$430:$B$729,예비비!$A110,예비비!$E$430:$E$729,"&lt;"&amp;EDATE(BR$99,1),예비비!$F$430:$F$729,"결제대금비")+MAX(0,IF(예비비!$D110&lt;EDATE(BR$99,1),예비비!$E110,0)-SUMIFS(예비비!$O$430:$O$729,예비비!$B$430:$B$729,예비비!$A110,예비비!$E$430:$E$729,"&lt;"&amp;EDATE(BR$99,1))),0)</f>
        <v>0</v>
      </c>
      <c r="BS110">
        <f>IF(예비비!$R110="OK",SUMIFS(예비비!$O$430:$O$729,예비비!$B$430:$B$729,예비비!$A110,예비비!$E$430:$E$729,"&lt;"&amp;EDATE(BS$99,1),예비비!$F$430:$F$729,"결제대금비")+MAX(0,IF(예비비!$D110&lt;EDATE(BS$99,1),예비비!$E110,0)-SUMIFS(예비비!$O$430:$O$729,예비비!$B$430:$B$729,예비비!$A110,예비비!$E$430:$E$729,"&lt;"&amp;EDATE(BS$99,1))),0)</f>
        <v>0</v>
      </c>
      <c r="BT110">
        <f>IF(예비비!$R110="OK",SUMIFS(예비비!$O$430:$O$729,예비비!$B$430:$B$729,예비비!$A110,예비비!$E$430:$E$729,"&lt;"&amp;EDATE(BT$99,1),예비비!$F$430:$F$729,"결제대금비")+MAX(0,IF(예비비!$D110&lt;EDATE(BT$99,1),예비비!$E110,0)-SUMIFS(예비비!$O$430:$O$729,예비비!$B$430:$B$729,예비비!$A110,예비비!$E$430:$E$729,"&lt;"&amp;EDATE(BT$99,1))),0)</f>
        <v>0</v>
      </c>
      <c r="BU110">
        <f>IF(예비비!$R110="OK",SUMIFS(예비비!$O$430:$O$729,예비비!$B$430:$B$729,예비비!$A110,예비비!$E$430:$E$729,"&lt;"&amp;EDATE(BU$99,1),예비비!$F$430:$F$729,"결제대금비")+MAX(0,IF(예비비!$D110&lt;EDATE(BU$99,1),예비비!$E110,0)-SUMIFS(예비비!$O$430:$O$729,예비비!$B$430:$B$729,예비비!$A110,예비비!$E$430:$E$729,"&lt;"&amp;EDATE(BU$99,1))),0)</f>
        <v>0</v>
      </c>
    </row>
    <row r="111">
      <c r="BI111">
        <f>IF(예비비!$R111="OK",SUMIFS(예비비!$O$430:$O$729,예비비!$B$430:$B$729,예비비!$A111,예비비!$E$430:$E$729,"&lt;"&amp;EDATE(BI$99,1),예비비!$F$430:$F$729,"결제대금비")+MAX(0,IF(예비비!$D111&lt;EDATE(BI$99,1),예비비!$E111,0)-SUMIFS(예비비!$O$430:$O$729,예비비!$B$430:$B$729,예비비!$A111,예비비!$E$430:$E$729,"&lt;"&amp;EDATE(BI$99,1))),0)</f>
        <v>0</v>
      </c>
      <c r="BJ111">
        <f>IF(예비비!$R111="OK",SUMIFS(예비비!$O$430:$O$729,예비비!$B$430:$B$729,예비비!$A111,예비비!$E$430:$E$729,"&lt;"&amp;EDATE(BJ$99,1),예비비!$F$430:$F$729,"결제대금비")+MAX(0,IF(예비비!$D111&lt;EDATE(BJ$99,1),예비비!$E111,0)-SUMIFS(예비비!$O$430:$O$729,예비비!$B$430:$B$729,예비비!$A111,예비비!$E$430:$E$729,"&lt;"&amp;EDATE(BJ$99,1))),0)</f>
        <v>0</v>
      </c>
      <c r="BK111">
        <f>IF(예비비!$R111="OK",SUMIFS(예비비!$O$430:$O$729,예비비!$B$430:$B$729,예비비!$A111,예비비!$E$430:$E$729,"&lt;"&amp;EDATE(BK$99,1),예비비!$F$430:$F$729,"결제대금비")+MAX(0,IF(예비비!$D111&lt;EDATE(BK$99,1),예비비!$E111,0)-SUMIFS(예비비!$O$430:$O$729,예비비!$B$430:$B$729,예비비!$A111,예비비!$E$430:$E$729,"&lt;"&amp;EDATE(BK$99,1))),0)</f>
        <v>0</v>
      </c>
      <c r="BL111">
        <f>IF(예비비!$R111="OK",SUMIFS(예비비!$O$430:$O$729,예비비!$B$430:$B$729,예비비!$A111,예비비!$E$430:$E$729,"&lt;"&amp;EDATE(BL$99,1),예비비!$F$430:$F$729,"결제대금비")+MAX(0,IF(예비비!$D111&lt;EDATE(BL$99,1),예비비!$E111,0)-SUMIFS(예비비!$O$430:$O$729,예비비!$B$430:$B$729,예비비!$A111,예비비!$E$430:$E$729,"&lt;"&amp;EDATE(BL$99,1))),0)</f>
        <v>0</v>
      </c>
      <c r="BM111">
        <f>IF(예비비!$R111="OK",SUMIFS(예비비!$O$430:$O$729,예비비!$B$430:$B$729,예비비!$A111,예비비!$E$430:$E$729,"&lt;"&amp;EDATE(BM$99,1),예비비!$F$430:$F$729,"결제대금비")+MAX(0,IF(예비비!$D111&lt;EDATE(BM$99,1),예비비!$E111,0)-SUMIFS(예비비!$O$430:$O$729,예비비!$B$430:$B$729,예비비!$A111,예비비!$E$430:$E$729,"&lt;"&amp;EDATE(BM$99,1))),0)</f>
        <v>0</v>
      </c>
      <c r="BN111">
        <f>IF(예비비!$R111="OK",SUMIFS(예비비!$O$430:$O$729,예비비!$B$430:$B$729,예비비!$A111,예비비!$E$430:$E$729,"&lt;"&amp;EDATE(BN$99,1),예비비!$F$430:$F$729,"결제대금비")+MAX(0,IF(예비비!$D111&lt;EDATE(BN$99,1),예비비!$E111,0)-SUMIFS(예비비!$O$430:$O$729,예비비!$B$430:$B$729,예비비!$A111,예비비!$E$430:$E$729,"&lt;"&amp;EDATE(BN$99,1))),0)</f>
        <v>0</v>
      </c>
      <c r="BO111">
        <f>IF(예비비!$R111="OK",SUMIFS(예비비!$O$430:$O$729,예비비!$B$430:$B$729,예비비!$A111,예비비!$E$430:$E$729,"&lt;"&amp;EDATE(BO$99,1),예비비!$F$430:$F$729,"결제대금비")+MAX(0,IF(예비비!$D111&lt;EDATE(BO$99,1),예비비!$E111,0)-SUMIFS(예비비!$O$430:$O$729,예비비!$B$430:$B$729,예비비!$A111,예비비!$E$430:$E$729,"&lt;"&amp;EDATE(BO$99,1))),0)</f>
        <v>0</v>
      </c>
      <c r="BP111">
        <f>IF(예비비!$R111="OK",SUMIFS(예비비!$O$430:$O$729,예비비!$B$430:$B$729,예비비!$A111,예비비!$E$430:$E$729,"&lt;"&amp;EDATE(BP$99,1),예비비!$F$430:$F$729,"결제대금비")+MAX(0,IF(예비비!$D111&lt;EDATE(BP$99,1),예비비!$E111,0)-SUMIFS(예비비!$O$430:$O$729,예비비!$B$430:$B$729,예비비!$A111,예비비!$E$430:$E$729,"&lt;"&amp;EDATE(BP$99,1))),0)</f>
        <v>0</v>
      </c>
      <c r="BQ111">
        <f>IF(예비비!$R111="OK",SUMIFS(예비비!$O$430:$O$729,예비비!$B$430:$B$729,예비비!$A111,예비비!$E$430:$E$729,"&lt;"&amp;EDATE(BQ$99,1),예비비!$F$430:$F$729,"결제대금비")+MAX(0,IF(예비비!$D111&lt;EDATE(BQ$99,1),예비비!$E111,0)-SUMIFS(예비비!$O$430:$O$729,예비비!$B$430:$B$729,예비비!$A111,예비비!$E$430:$E$729,"&lt;"&amp;EDATE(BQ$99,1))),0)</f>
        <v>0</v>
      </c>
      <c r="BR111">
        <f>IF(예비비!$R111="OK",SUMIFS(예비비!$O$430:$O$729,예비비!$B$430:$B$729,예비비!$A111,예비비!$E$430:$E$729,"&lt;"&amp;EDATE(BR$99,1),예비비!$F$430:$F$729,"결제대금비")+MAX(0,IF(예비비!$D111&lt;EDATE(BR$99,1),예비비!$E111,0)-SUMIFS(예비비!$O$430:$O$729,예비비!$B$430:$B$729,예비비!$A111,예비비!$E$430:$E$729,"&lt;"&amp;EDATE(BR$99,1))),0)</f>
        <v>0</v>
      </c>
      <c r="BS111">
        <f>IF(예비비!$R111="OK",SUMIFS(예비비!$O$430:$O$729,예비비!$B$430:$B$729,예비비!$A111,예비비!$E$430:$E$729,"&lt;"&amp;EDATE(BS$99,1),예비비!$F$430:$F$729,"결제대금비")+MAX(0,IF(예비비!$D111&lt;EDATE(BS$99,1),예비비!$E111,0)-SUMIFS(예비비!$O$430:$O$729,예비비!$B$430:$B$729,예비비!$A111,예비비!$E$430:$E$729,"&lt;"&amp;EDATE(BS$99,1))),0)</f>
        <v>0</v>
      </c>
      <c r="BT111">
        <f>IF(예비비!$R111="OK",SUMIFS(예비비!$O$430:$O$729,예비비!$B$430:$B$729,예비비!$A111,예비비!$E$430:$E$729,"&lt;"&amp;EDATE(BT$99,1),예비비!$F$430:$F$729,"결제대금비")+MAX(0,IF(예비비!$D111&lt;EDATE(BT$99,1),예비비!$E111,0)-SUMIFS(예비비!$O$430:$O$729,예비비!$B$430:$B$729,예비비!$A111,예비비!$E$430:$E$729,"&lt;"&amp;EDATE(BT$99,1))),0)</f>
        <v>0</v>
      </c>
      <c r="BU111">
        <f>IF(예비비!$R111="OK",SUMIFS(예비비!$O$430:$O$729,예비비!$B$430:$B$729,예비비!$A111,예비비!$E$430:$E$729,"&lt;"&amp;EDATE(BU$99,1),예비비!$F$430:$F$729,"결제대금비")+MAX(0,IF(예비비!$D111&lt;EDATE(BU$99,1),예비비!$E111,0)-SUMIFS(예비비!$O$430:$O$729,예비비!$B$430:$B$729,예비비!$A111,예비비!$E$430:$E$729,"&lt;"&amp;EDATE(BU$99,1))),0)</f>
        <v>0</v>
      </c>
    </row>
    <row r="112">
      <c r="BI112">
        <f>IF(예비비!$R112="OK",SUMIFS(예비비!$O$430:$O$729,예비비!$B$430:$B$729,예비비!$A112,예비비!$E$430:$E$729,"&lt;"&amp;EDATE(BI$99,1),예비비!$F$430:$F$729,"결제대금비")+MAX(0,IF(예비비!$D112&lt;EDATE(BI$99,1),예비비!$E112,0)-SUMIFS(예비비!$O$430:$O$729,예비비!$B$430:$B$729,예비비!$A112,예비비!$E$430:$E$729,"&lt;"&amp;EDATE(BI$99,1))),0)</f>
        <v>0</v>
      </c>
      <c r="BJ112">
        <f>IF(예비비!$R112="OK",SUMIFS(예비비!$O$430:$O$729,예비비!$B$430:$B$729,예비비!$A112,예비비!$E$430:$E$729,"&lt;"&amp;EDATE(BJ$99,1),예비비!$F$430:$F$729,"결제대금비")+MAX(0,IF(예비비!$D112&lt;EDATE(BJ$99,1),예비비!$E112,0)-SUMIFS(예비비!$O$430:$O$729,예비비!$B$430:$B$729,예비비!$A112,예비비!$E$430:$E$729,"&lt;"&amp;EDATE(BJ$99,1))),0)</f>
        <v>0</v>
      </c>
      <c r="BK112">
        <f>IF(예비비!$R112="OK",SUMIFS(예비비!$O$430:$O$729,예비비!$B$430:$B$729,예비비!$A112,예비비!$E$430:$E$729,"&lt;"&amp;EDATE(BK$99,1),예비비!$F$430:$F$729,"결제대금비")+MAX(0,IF(예비비!$D112&lt;EDATE(BK$99,1),예비비!$E112,0)-SUMIFS(예비비!$O$430:$O$729,예비비!$B$430:$B$729,예비비!$A112,예비비!$E$430:$E$729,"&lt;"&amp;EDATE(BK$99,1))),0)</f>
        <v>0</v>
      </c>
      <c r="BL112">
        <f>IF(예비비!$R112="OK",SUMIFS(예비비!$O$430:$O$729,예비비!$B$430:$B$729,예비비!$A112,예비비!$E$430:$E$729,"&lt;"&amp;EDATE(BL$99,1),예비비!$F$430:$F$729,"결제대금비")+MAX(0,IF(예비비!$D112&lt;EDATE(BL$99,1),예비비!$E112,0)-SUMIFS(예비비!$O$430:$O$729,예비비!$B$430:$B$729,예비비!$A112,예비비!$E$430:$E$729,"&lt;"&amp;EDATE(BL$99,1))),0)</f>
        <v>0</v>
      </c>
      <c r="BM112">
        <f>IF(예비비!$R112="OK",SUMIFS(예비비!$O$430:$O$729,예비비!$B$430:$B$729,예비비!$A112,예비비!$E$430:$E$729,"&lt;"&amp;EDATE(BM$99,1),예비비!$F$430:$F$729,"결제대금비")+MAX(0,IF(예비비!$D112&lt;EDATE(BM$99,1),예비비!$E112,0)-SUMIFS(예비비!$O$430:$O$729,예비비!$B$430:$B$729,예비비!$A112,예비비!$E$430:$E$729,"&lt;"&amp;EDATE(BM$99,1))),0)</f>
        <v>0</v>
      </c>
      <c r="BN112">
        <f>IF(예비비!$R112="OK",SUMIFS(예비비!$O$430:$O$729,예비비!$B$430:$B$729,예비비!$A112,예비비!$E$430:$E$729,"&lt;"&amp;EDATE(BN$99,1),예비비!$F$430:$F$729,"결제대금비")+MAX(0,IF(예비비!$D112&lt;EDATE(BN$99,1),예비비!$E112,0)-SUMIFS(예비비!$O$430:$O$729,예비비!$B$430:$B$729,예비비!$A112,예비비!$E$430:$E$729,"&lt;"&amp;EDATE(BN$99,1))),0)</f>
        <v>0</v>
      </c>
      <c r="BO112">
        <f>IF(예비비!$R112="OK",SUMIFS(예비비!$O$430:$O$729,예비비!$B$430:$B$729,예비비!$A112,예비비!$E$430:$E$729,"&lt;"&amp;EDATE(BO$99,1),예비비!$F$430:$F$729,"결제대금비")+MAX(0,IF(예비비!$D112&lt;EDATE(BO$99,1),예비비!$E112,0)-SUMIFS(예비비!$O$430:$O$729,예비비!$B$430:$B$729,예비비!$A112,예비비!$E$430:$E$729,"&lt;"&amp;EDATE(BO$99,1))),0)</f>
        <v>0</v>
      </c>
      <c r="BP112">
        <f>IF(예비비!$R112="OK",SUMIFS(예비비!$O$430:$O$729,예비비!$B$430:$B$729,예비비!$A112,예비비!$E$430:$E$729,"&lt;"&amp;EDATE(BP$99,1),예비비!$F$430:$F$729,"결제대금비")+MAX(0,IF(예비비!$D112&lt;EDATE(BP$99,1),예비비!$E112,0)-SUMIFS(예비비!$O$430:$O$729,예비비!$B$430:$B$729,예비비!$A112,예비비!$E$430:$E$729,"&lt;"&amp;EDATE(BP$99,1))),0)</f>
        <v>0</v>
      </c>
      <c r="BQ112">
        <f>IF(예비비!$R112="OK",SUMIFS(예비비!$O$430:$O$729,예비비!$B$430:$B$729,예비비!$A112,예비비!$E$430:$E$729,"&lt;"&amp;EDATE(BQ$99,1),예비비!$F$430:$F$729,"결제대금비")+MAX(0,IF(예비비!$D112&lt;EDATE(BQ$99,1),예비비!$E112,0)-SUMIFS(예비비!$O$430:$O$729,예비비!$B$430:$B$729,예비비!$A112,예비비!$E$430:$E$729,"&lt;"&amp;EDATE(BQ$99,1))),0)</f>
        <v>0</v>
      </c>
      <c r="BR112">
        <f>IF(예비비!$R112="OK",SUMIFS(예비비!$O$430:$O$729,예비비!$B$430:$B$729,예비비!$A112,예비비!$E$430:$E$729,"&lt;"&amp;EDATE(BR$99,1),예비비!$F$430:$F$729,"결제대금비")+MAX(0,IF(예비비!$D112&lt;EDATE(BR$99,1),예비비!$E112,0)-SUMIFS(예비비!$O$430:$O$729,예비비!$B$430:$B$729,예비비!$A112,예비비!$E$430:$E$729,"&lt;"&amp;EDATE(BR$99,1))),0)</f>
        <v>0</v>
      </c>
      <c r="BS112">
        <f>IF(예비비!$R112="OK",SUMIFS(예비비!$O$430:$O$729,예비비!$B$430:$B$729,예비비!$A112,예비비!$E$430:$E$729,"&lt;"&amp;EDATE(BS$99,1),예비비!$F$430:$F$729,"결제대금비")+MAX(0,IF(예비비!$D112&lt;EDATE(BS$99,1),예비비!$E112,0)-SUMIFS(예비비!$O$430:$O$729,예비비!$B$430:$B$729,예비비!$A112,예비비!$E$430:$E$729,"&lt;"&amp;EDATE(BS$99,1))),0)</f>
        <v>0</v>
      </c>
      <c r="BT112">
        <f>IF(예비비!$R112="OK",SUMIFS(예비비!$O$430:$O$729,예비비!$B$430:$B$729,예비비!$A112,예비비!$E$430:$E$729,"&lt;"&amp;EDATE(BT$99,1),예비비!$F$430:$F$729,"결제대금비")+MAX(0,IF(예비비!$D112&lt;EDATE(BT$99,1),예비비!$E112,0)-SUMIFS(예비비!$O$430:$O$729,예비비!$B$430:$B$729,예비비!$A112,예비비!$E$430:$E$729,"&lt;"&amp;EDATE(BT$99,1))),0)</f>
        <v>0</v>
      </c>
      <c r="BU112">
        <f>IF(예비비!$R112="OK",SUMIFS(예비비!$O$430:$O$729,예비비!$B$430:$B$729,예비비!$A112,예비비!$E$430:$E$729,"&lt;"&amp;EDATE(BU$99,1),예비비!$F$430:$F$729,"결제대금비")+MAX(0,IF(예비비!$D112&lt;EDATE(BU$99,1),예비비!$E112,0)-SUMIFS(예비비!$O$430:$O$729,예비비!$B$430:$B$729,예비비!$A112,예비비!$E$430:$E$729,"&lt;"&amp;EDATE(BU$99,1))),0)</f>
        <v>0</v>
      </c>
    </row>
    <row r="113">
      <c r="BI113">
        <f>IF(예비비!$R113="OK",SUMIFS(예비비!$O$430:$O$729,예비비!$B$430:$B$729,예비비!$A113,예비비!$E$430:$E$729,"&lt;"&amp;EDATE(BI$99,1),예비비!$F$430:$F$729,"결제대금비")+MAX(0,IF(예비비!$D113&lt;EDATE(BI$99,1),예비비!$E113,0)-SUMIFS(예비비!$O$430:$O$729,예비비!$B$430:$B$729,예비비!$A113,예비비!$E$430:$E$729,"&lt;"&amp;EDATE(BI$99,1))),0)</f>
        <v>0</v>
      </c>
      <c r="BJ113">
        <f>IF(예비비!$R113="OK",SUMIFS(예비비!$O$430:$O$729,예비비!$B$430:$B$729,예비비!$A113,예비비!$E$430:$E$729,"&lt;"&amp;EDATE(BJ$99,1),예비비!$F$430:$F$729,"결제대금비")+MAX(0,IF(예비비!$D113&lt;EDATE(BJ$99,1),예비비!$E113,0)-SUMIFS(예비비!$O$430:$O$729,예비비!$B$430:$B$729,예비비!$A113,예비비!$E$430:$E$729,"&lt;"&amp;EDATE(BJ$99,1))),0)</f>
        <v>0</v>
      </c>
      <c r="BK113">
        <f>IF(예비비!$R113="OK",SUMIFS(예비비!$O$430:$O$729,예비비!$B$430:$B$729,예비비!$A113,예비비!$E$430:$E$729,"&lt;"&amp;EDATE(BK$99,1),예비비!$F$430:$F$729,"결제대금비")+MAX(0,IF(예비비!$D113&lt;EDATE(BK$99,1),예비비!$E113,0)-SUMIFS(예비비!$O$430:$O$729,예비비!$B$430:$B$729,예비비!$A113,예비비!$E$430:$E$729,"&lt;"&amp;EDATE(BK$99,1))),0)</f>
        <v>0</v>
      </c>
      <c r="BL113">
        <f>IF(예비비!$R113="OK",SUMIFS(예비비!$O$430:$O$729,예비비!$B$430:$B$729,예비비!$A113,예비비!$E$430:$E$729,"&lt;"&amp;EDATE(BL$99,1),예비비!$F$430:$F$729,"결제대금비")+MAX(0,IF(예비비!$D113&lt;EDATE(BL$99,1),예비비!$E113,0)-SUMIFS(예비비!$O$430:$O$729,예비비!$B$430:$B$729,예비비!$A113,예비비!$E$430:$E$729,"&lt;"&amp;EDATE(BL$99,1))),0)</f>
        <v>0</v>
      </c>
      <c r="BM113">
        <f>IF(예비비!$R113="OK",SUMIFS(예비비!$O$430:$O$729,예비비!$B$430:$B$729,예비비!$A113,예비비!$E$430:$E$729,"&lt;"&amp;EDATE(BM$99,1),예비비!$F$430:$F$729,"결제대금비")+MAX(0,IF(예비비!$D113&lt;EDATE(BM$99,1),예비비!$E113,0)-SUMIFS(예비비!$O$430:$O$729,예비비!$B$430:$B$729,예비비!$A113,예비비!$E$430:$E$729,"&lt;"&amp;EDATE(BM$99,1))),0)</f>
        <v>0</v>
      </c>
      <c r="BN113">
        <f>IF(예비비!$R113="OK",SUMIFS(예비비!$O$430:$O$729,예비비!$B$430:$B$729,예비비!$A113,예비비!$E$430:$E$729,"&lt;"&amp;EDATE(BN$99,1),예비비!$F$430:$F$729,"결제대금비")+MAX(0,IF(예비비!$D113&lt;EDATE(BN$99,1),예비비!$E113,0)-SUMIFS(예비비!$O$430:$O$729,예비비!$B$430:$B$729,예비비!$A113,예비비!$E$430:$E$729,"&lt;"&amp;EDATE(BN$99,1))),0)</f>
        <v>0</v>
      </c>
      <c r="BO113">
        <f>IF(예비비!$R113="OK",SUMIFS(예비비!$O$430:$O$729,예비비!$B$430:$B$729,예비비!$A113,예비비!$E$430:$E$729,"&lt;"&amp;EDATE(BO$99,1),예비비!$F$430:$F$729,"결제대금비")+MAX(0,IF(예비비!$D113&lt;EDATE(BO$99,1),예비비!$E113,0)-SUMIFS(예비비!$O$430:$O$729,예비비!$B$430:$B$729,예비비!$A113,예비비!$E$430:$E$729,"&lt;"&amp;EDATE(BO$99,1))),0)</f>
        <v>0</v>
      </c>
      <c r="BP113">
        <f>IF(예비비!$R113="OK",SUMIFS(예비비!$O$430:$O$729,예비비!$B$430:$B$729,예비비!$A113,예비비!$E$430:$E$729,"&lt;"&amp;EDATE(BP$99,1),예비비!$F$430:$F$729,"결제대금비")+MAX(0,IF(예비비!$D113&lt;EDATE(BP$99,1),예비비!$E113,0)-SUMIFS(예비비!$O$430:$O$729,예비비!$B$430:$B$729,예비비!$A113,예비비!$E$430:$E$729,"&lt;"&amp;EDATE(BP$99,1))),0)</f>
        <v>0</v>
      </c>
      <c r="BQ113">
        <f>IF(예비비!$R113="OK",SUMIFS(예비비!$O$430:$O$729,예비비!$B$430:$B$729,예비비!$A113,예비비!$E$430:$E$729,"&lt;"&amp;EDATE(BQ$99,1),예비비!$F$430:$F$729,"결제대금비")+MAX(0,IF(예비비!$D113&lt;EDATE(BQ$99,1),예비비!$E113,0)-SUMIFS(예비비!$O$430:$O$729,예비비!$B$430:$B$729,예비비!$A113,예비비!$E$430:$E$729,"&lt;"&amp;EDATE(BQ$99,1))),0)</f>
        <v>0</v>
      </c>
      <c r="BR113">
        <f>IF(예비비!$R113="OK",SUMIFS(예비비!$O$430:$O$729,예비비!$B$430:$B$729,예비비!$A113,예비비!$E$430:$E$729,"&lt;"&amp;EDATE(BR$99,1),예비비!$F$430:$F$729,"결제대금비")+MAX(0,IF(예비비!$D113&lt;EDATE(BR$99,1),예비비!$E113,0)-SUMIFS(예비비!$O$430:$O$729,예비비!$B$430:$B$729,예비비!$A113,예비비!$E$430:$E$729,"&lt;"&amp;EDATE(BR$99,1))),0)</f>
        <v>0</v>
      </c>
      <c r="BS113">
        <f>IF(예비비!$R113="OK",SUMIFS(예비비!$O$430:$O$729,예비비!$B$430:$B$729,예비비!$A113,예비비!$E$430:$E$729,"&lt;"&amp;EDATE(BS$99,1),예비비!$F$430:$F$729,"결제대금비")+MAX(0,IF(예비비!$D113&lt;EDATE(BS$99,1),예비비!$E113,0)-SUMIFS(예비비!$O$430:$O$729,예비비!$B$430:$B$729,예비비!$A113,예비비!$E$430:$E$729,"&lt;"&amp;EDATE(BS$99,1))),0)</f>
        <v>0</v>
      </c>
      <c r="BT113">
        <f>IF(예비비!$R113="OK",SUMIFS(예비비!$O$430:$O$729,예비비!$B$430:$B$729,예비비!$A113,예비비!$E$430:$E$729,"&lt;"&amp;EDATE(BT$99,1),예비비!$F$430:$F$729,"결제대금비")+MAX(0,IF(예비비!$D113&lt;EDATE(BT$99,1),예비비!$E113,0)-SUMIFS(예비비!$O$430:$O$729,예비비!$B$430:$B$729,예비비!$A113,예비비!$E$430:$E$729,"&lt;"&amp;EDATE(BT$99,1))),0)</f>
        <v>0</v>
      </c>
      <c r="BU113">
        <f>IF(예비비!$R113="OK",SUMIFS(예비비!$O$430:$O$729,예비비!$B$430:$B$729,예비비!$A113,예비비!$E$430:$E$729,"&lt;"&amp;EDATE(BU$99,1),예비비!$F$430:$F$729,"결제대금비")+MAX(0,IF(예비비!$D113&lt;EDATE(BU$99,1),예비비!$E113,0)-SUMIFS(예비비!$O$430:$O$729,예비비!$B$430:$B$729,예비비!$A113,예비비!$E$430:$E$729,"&lt;"&amp;EDATE(BU$99,1))),0)</f>
        <v>0</v>
      </c>
    </row>
    <row r="114">
      <c r="BI114">
        <f>IF(예비비!$R114="OK",SUMIFS(예비비!$O$430:$O$729,예비비!$B$430:$B$729,예비비!$A114,예비비!$E$430:$E$729,"&lt;"&amp;EDATE(BI$99,1),예비비!$F$430:$F$729,"결제대금비")+MAX(0,IF(예비비!$D114&lt;EDATE(BI$99,1),예비비!$E114,0)-SUMIFS(예비비!$O$430:$O$729,예비비!$B$430:$B$729,예비비!$A114,예비비!$E$430:$E$729,"&lt;"&amp;EDATE(BI$99,1))),0)</f>
        <v>0</v>
      </c>
      <c r="BJ114">
        <f>IF(예비비!$R114="OK",SUMIFS(예비비!$O$430:$O$729,예비비!$B$430:$B$729,예비비!$A114,예비비!$E$430:$E$729,"&lt;"&amp;EDATE(BJ$99,1),예비비!$F$430:$F$729,"결제대금비")+MAX(0,IF(예비비!$D114&lt;EDATE(BJ$99,1),예비비!$E114,0)-SUMIFS(예비비!$O$430:$O$729,예비비!$B$430:$B$729,예비비!$A114,예비비!$E$430:$E$729,"&lt;"&amp;EDATE(BJ$99,1))),0)</f>
        <v>0</v>
      </c>
      <c r="BK114">
        <f>IF(예비비!$R114="OK",SUMIFS(예비비!$O$430:$O$729,예비비!$B$430:$B$729,예비비!$A114,예비비!$E$430:$E$729,"&lt;"&amp;EDATE(BK$99,1),예비비!$F$430:$F$729,"결제대금비")+MAX(0,IF(예비비!$D114&lt;EDATE(BK$99,1),예비비!$E114,0)-SUMIFS(예비비!$O$430:$O$729,예비비!$B$430:$B$729,예비비!$A114,예비비!$E$430:$E$729,"&lt;"&amp;EDATE(BK$99,1))),0)</f>
        <v>0</v>
      </c>
      <c r="BL114">
        <f>IF(예비비!$R114="OK",SUMIFS(예비비!$O$430:$O$729,예비비!$B$430:$B$729,예비비!$A114,예비비!$E$430:$E$729,"&lt;"&amp;EDATE(BL$99,1),예비비!$F$430:$F$729,"결제대금비")+MAX(0,IF(예비비!$D114&lt;EDATE(BL$99,1),예비비!$E114,0)-SUMIFS(예비비!$O$430:$O$729,예비비!$B$430:$B$729,예비비!$A114,예비비!$E$430:$E$729,"&lt;"&amp;EDATE(BL$99,1))),0)</f>
        <v>0</v>
      </c>
      <c r="BM114">
        <f>IF(예비비!$R114="OK",SUMIFS(예비비!$O$430:$O$729,예비비!$B$430:$B$729,예비비!$A114,예비비!$E$430:$E$729,"&lt;"&amp;EDATE(BM$99,1),예비비!$F$430:$F$729,"결제대금비")+MAX(0,IF(예비비!$D114&lt;EDATE(BM$99,1),예비비!$E114,0)-SUMIFS(예비비!$O$430:$O$729,예비비!$B$430:$B$729,예비비!$A114,예비비!$E$430:$E$729,"&lt;"&amp;EDATE(BM$99,1))),0)</f>
        <v>0</v>
      </c>
      <c r="BN114">
        <f>IF(예비비!$R114="OK",SUMIFS(예비비!$O$430:$O$729,예비비!$B$430:$B$729,예비비!$A114,예비비!$E$430:$E$729,"&lt;"&amp;EDATE(BN$99,1),예비비!$F$430:$F$729,"결제대금비")+MAX(0,IF(예비비!$D114&lt;EDATE(BN$99,1),예비비!$E114,0)-SUMIFS(예비비!$O$430:$O$729,예비비!$B$430:$B$729,예비비!$A114,예비비!$E$430:$E$729,"&lt;"&amp;EDATE(BN$99,1))),0)</f>
        <v>0</v>
      </c>
      <c r="BO114">
        <f>IF(예비비!$R114="OK",SUMIFS(예비비!$O$430:$O$729,예비비!$B$430:$B$729,예비비!$A114,예비비!$E$430:$E$729,"&lt;"&amp;EDATE(BO$99,1),예비비!$F$430:$F$729,"결제대금비")+MAX(0,IF(예비비!$D114&lt;EDATE(BO$99,1),예비비!$E114,0)-SUMIFS(예비비!$O$430:$O$729,예비비!$B$430:$B$729,예비비!$A114,예비비!$E$430:$E$729,"&lt;"&amp;EDATE(BO$99,1))),0)</f>
        <v>0</v>
      </c>
      <c r="BP114">
        <f>IF(예비비!$R114="OK",SUMIFS(예비비!$O$430:$O$729,예비비!$B$430:$B$729,예비비!$A114,예비비!$E$430:$E$729,"&lt;"&amp;EDATE(BP$99,1),예비비!$F$430:$F$729,"결제대금비")+MAX(0,IF(예비비!$D114&lt;EDATE(BP$99,1),예비비!$E114,0)-SUMIFS(예비비!$O$430:$O$729,예비비!$B$430:$B$729,예비비!$A114,예비비!$E$430:$E$729,"&lt;"&amp;EDATE(BP$99,1))),0)</f>
        <v>0</v>
      </c>
      <c r="BQ114">
        <f>IF(예비비!$R114="OK",SUMIFS(예비비!$O$430:$O$729,예비비!$B$430:$B$729,예비비!$A114,예비비!$E$430:$E$729,"&lt;"&amp;EDATE(BQ$99,1),예비비!$F$430:$F$729,"결제대금비")+MAX(0,IF(예비비!$D114&lt;EDATE(BQ$99,1),예비비!$E114,0)-SUMIFS(예비비!$O$430:$O$729,예비비!$B$430:$B$729,예비비!$A114,예비비!$E$430:$E$729,"&lt;"&amp;EDATE(BQ$99,1))),0)</f>
        <v>0</v>
      </c>
      <c r="BR114">
        <f>IF(예비비!$R114="OK",SUMIFS(예비비!$O$430:$O$729,예비비!$B$430:$B$729,예비비!$A114,예비비!$E$430:$E$729,"&lt;"&amp;EDATE(BR$99,1),예비비!$F$430:$F$729,"결제대금비")+MAX(0,IF(예비비!$D114&lt;EDATE(BR$99,1),예비비!$E114,0)-SUMIFS(예비비!$O$430:$O$729,예비비!$B$430:$B$729,예비비!$A114,예비비!$E$430:$E$729,"&lt;"&amp;EDATE(BR$99,1))),0)</f>
        <v>0</v>
      </c>
      <c r="BS114">
        <f>IF(예비비!$R114="OK",SUMIFS(예비비!$O$430:$O$729,예비비!$B$430:$B$729,예비비!$A114,예비비!$E$430:$E$729,"&lt;"&amp;EDATE(BS$99,1),예비비!$F$430:$F$729,"결제대금비")+MAX(0,IF(예비비!$D114&lt;EDATE(BS$99,1),예비비!$E114,0)-SUMIFS(예비비!$O$430:$O$729,예비비!$B$430:$B$729,예비비!$A114,예비비!$E$430:$E$729,"&lt;"&amp;EDATE(BS$99,1))),0)</f>
        <v>0</v>
      </c>
      <c r="BT114">
        <f>IF(예비비!$R114="OK",SUMIFS(예비비!$O$430:$O$729,예비비!$B$430:$B$729,예비비!$A114,예비비!$E$430:$E$729,"&lt;"&amp;EDATE(BT$99,1),예비비!$F$430:$F$729,"결제대금비")+MAX(0,IF(예비비!$D114&lt;EDATE(BT$99,1),예비비!$E114,0)-SUMIFS(예비비!$O$430:$O$729,예비비!$B$430:$B$729,예비비!$A114,예비비!$E$430:$E$729,"&lt;"&amp;EDATE(BT$99,1))),0)</f>
        <v>0</v>
      </c>
      <c r="BU114">
        <f>IF(예비비!$R114="OK",SUMIFS(예비비!$O$430:$O$729,예비비!$B$430:$B$729,예비비!$A114,예비비!$E$430:$E$729,"&lt;"&amp;EDATE(BU$99,1),예비비!$F$430:$F$729,"결제대금비")+MAX(0,IF(예비비!$D114&lt;EDATE(BU$99,1),예비비!$E114,0)-SUMIFS(예비비!$O$430:$O$729,예비비!$B$430:$B$729,예비비!$A114,예비비!$E$430:$E$729,"&lt;"&amp;EDATE(BU$99,1))),0)</f>
        <v>0</v>
      </c>
    </row>
    <row r="115">
      <c r="BI115">
        <f>IF(예비비!$R115="OK",SUMIFS(예비비!$O$430:$O$729,예비비!$B$430:$B$729,예비비!$A115,예비비!$E$430:$E$729,"&lt;"&amp;EDATE(BI$99,1),예비비!$F$430:$F$729,"결제대금비")+MAX(0,IF(예비비!$D115&lt;EDATE(BI$99,1),예비비!$E115,0)-SUMIFS(예비비!$O$430:$O$729,예비비!$B$430:$B$729,예비비!$A115,예비비!$E$430:$E$729,"&lt;"&amp;EDATE(BI$99,1))),0)</f>
        <v>0</v>
      </c>
      <c r="BJ115">
        <f>IF(예비비!$R115="OK",SUMIFS(예비비!$O$430:$O$729,예비비!$B$430:$B$729,예비비!$A115,예비비!$E$430:$E$729,"&lt;"&amp;EDATE(BJ$99,1),예비비!$F$430:$F$729,"결제대금비")+MAX(0,IF(예비비!$D115&lt;EDATE(BJ$99,1),예비비!$E115,0)-SUMIFS(예비비!$O$430:$O$729,예비비!$B$430:$B$729,예비비!$A115,예비비!$E$430:$E$729,"&lt;"&amp;EDATE(BJ$99,1))),0)</f>
        <v>0</v>
      </c>
      <c r="BK115">
        <f>IF(예비비!$R115="OK",SUMIFS(예비비!$O$430:$O$729,예비비!$B$430:$B$729,예비비!$A115,예비비!$E$430:$E$729,"&lt;"&amp;EDATE(BK$99,1),예비비!$F$430:$F$729,"결제대금비")+MAX(0,IF(예비비!$D115&lt;EDATE(BK$99,1),예비비!$E115,0)-SUMIFS(예비비!$O$430:$O$729,예비비!$B$430:$B$729,예비비!$A115,예비비!$E$430:$E$729,"&lt;"&amp;EDATE(BK$99,1))),0)</f>
        <v>0</v>
      </c>
      <c r="BL115">
        <f>IF(예비비!$R115="OK",SUMIFS(예비비!$O$430:$O$729,예비비!$B$430:$B$729,예비비!$A115,예비비!$E$430:$E$729,"&lt;"&amp;EDATE(BL$99,1),예비비!$F$430:$F$729,"결제대금비")+MAX(0,IF(예비비!$D115&lt;EDATE(BL$99,1),예비비!$E115,0)-SUMIFS(예비비!$O$430:$O$729,예비비!$B$430:$B$729,예비비!$A115,예비비!$E$430:$E$729,"&lt;"&amp;EDATE(BL$99,1))),0)</f>
        <v>0</v>
      </c>
      <c r="BM115">
        <f>IF(예비비!$R115="OK",SUMIFS(예비비!$O$430:$O$729,예비비!$B$430:$B$729,예비비!$A115,예비비!$E$430:$E$729,"&lt;"&amp;EDATE(BM$99,1),예비비!$F$430:$F$729,"결제대금비")+MAX(0,IF(예비비!$D115&lt;EDATE(BM$99,1),예비비!$E115,0)-SUMIFS(예비비!$O$430:$O$729,예비비!$B$430:$B$729,예비비!$A115,예비비!$E$430:$E$729,"&lt;"&amp;EDATE(BM$99,1))),0)</f>
        <v>0</v>
      </c>
      <c r="BN115">
        <f>IF(예비비!$R115="OK",SUMIFS(예비비!$O$430:$O$729,예비비!$B$430:$B$729,예비비!$A115,예비비!$E$430:$E$729,"&lt;"&amp;EDATE(BN$99,1),예비비!$F$430:$F$729,"결제대금비")+MAX(0,IF(예비비!$D115&lt;EDATE(BN$99,1),예비비!$E115,0)-SUMIFS(예비비!$O$430:$O$729,예비비!$B$430:$B$729,예비비!$A115,예비비!$E$430:$E$729,"&lt;"&amp;EDATE(BN$99,1))),0)</f>
        <v>0</v>
      </c>
      <c r="BO115">
        <f>IF(예비비!$R115="OK",SUMIFS(예비비!$O$430:$O$729,예비비!$B$430:$B$729,예비비!$A115,예비비!$E$430:$E$729,"&lt;"&amp;EDATE(BO$99,1),예비비!$F$430:$F$729,"결제대금비")+MAX(0,IF(예비비!$D115&lt;EDATE(BO$99,1),예비비!$E115,0)-SUMIFS(예비비!$O$430:$O$729,예비비!$B$430:$B$729,예비비!$A115,예비비!$E$430:$E$729,"&lt;"&amp;EDATE(BO$99,1))),0)</f>
        <v>0</v>
      </c>
      <c r="BP115">
        <f>IF(예비비!$R115="OK",SUMIFS(예비비!$O$430:$O$729,예비비!$B$430:$B$729,예비비!$A115,예비비!$E$430:$E$729,"&lt;"&amp;EDATE(BP$99,1),예비비!$F$430:$F$729,"결제대금비")+MAX(0,IF(예비비!$D115&lt;EDATE(BP$99,1),예비비!$E115,0)-SUMIFS(예비비!$O$430:$O$729,예비비!$B$430:$B$729,예비비!$A115,예비비!$E$430:$E$729,"&lt;"&amp;EDATE(BP$99,1))),0)</f>
        <v>0</v>
      </c>
      <c r="BQ115">
        <f>IF(예비비!$R115="OK",SUMIFS(예비비!$O$430:$O$729,예비비!$B$430:$B$729,예비비!$A115,예비비!$E$430:$E$729,"&lt;"&amp;EDATE(BQ$99,1),예비비!$F$430:$F$729,"결제대금비")+MAX(0,IF(예비비!$D115&lt;EDATE(BQ$99,1),예비비!$E115,0)-SUMIFS(예비비!$O$430:$O$729,예비비!$B$430:$B$729,예비비!$A115,예비비!$E$430:$E$729,"&lt;"&amp;EDATE(BQ$99,1))),0)</f>
        <v>0</v>
      </c>
      <c r="BR115">
        <f>IF(예비비!$R115="OK",SUMIFS(예비비!$O$430:$O$729,예비비!$B$430:$B$729,예비비!$A115,예비비!$E$430:$E$729,"&lt;"&amp;EDATE(BR$99,1),예비비!$F$430:$F$729,"결제대금비")+MAX(0,IF(예비비!$D115&lt;EDATE(BR$99,1),예비비!$E115,0)-SUMIFS(예비비!$O$430:$O$729,예비비!$B$430:$B$729,예비비!$A115,예비비!$E$430:$E$729,"&lt;"&amp;EDATE(BR$99,1))),0)</f>
        <v>0</v>
      </c>
      <c r="BS115">
        <f>IF(예비비!$R115="OK",SUMIFS(예비비!$O$430:$O$729,예비비!$B$430:$B$729,예비비!$A115,예비비!$E$430:$E$729,"&lt;"&amp;EDATE(BS$99,1),예비비!$F$430:$F$729,"결제대금비")+MAX(0,IF(예비비!$D115&lt;EDATE(BS$99,1),예비비!$E115,0)-SUMIFS(예비비!$O$430:$O$729,예비비!$B$430:$B$729,예비비!$A115,예비비!$E$430:$E$729,"&lt;"&amp;EDATE(BS$99,1))),0)</f>
        <v>0</v>
      </c>
      <c r="BT115">
        <f>IF(예비비!$R115="OK",SUMIFS(예비비!$O$430:$O$729,예비비!$B$430:$B$729,예비비!$A115,예비비!$E$430:$E$729,"&lt;"&amp;EDATE(BT$99,1),예비비!$F$430:$F$729,"결제대금비")+MAX(0,IF(예비비!$D115&lt;EDATE(BT$99,1),예비비!$E115,0)-SUMIFS(예비비!$O$430:$O$729,예비비!$B$430:$B$729,예비비!$A115,예비비!$E$430:$E$729,"&lt;"&amp;EDATE(BT$99,1))),0)</f>
        <v>0</v>
      </c>
      <c r="BU115">
        <f>IF(예비비!$R115="OK",SUMIFS(예비비!$O$430:$O$729,예비비!$B$430:$B$729,예비비!$A115,예비비!$E$430:$E$729,"&lt;"&amp;EDATE(BU$99,1),예비비!$F$430:$F$729,"결제대금비")+MAX(0,IF(예비비!$D115&lt;EDATE(BU$99,1),예비비!$E115,0)-SUMIFS(예비비!$O$430:$O$729,예비비!$B$430:$B$729,예비비!$A115,예비비!$E$430:$E$729,"&lt;"&amp;EDATE(BU$99,1))),0)</f>
        <v>0</v>
      </c>
    </row>
    <row r="116">
      <c r="BI116">
        <f>IF(예비비!$R116="OK",SUMIFS(예비비!$O$430:$O$729,예비비!$B$430:$B$729,예비비!$A116,예비비!$E$430:$E$729,"&lt;"&amp;EDATE(BI$99,1),예비비!$F$430:$F$729,"결제대금비")+MAX(0,IF(예비비!$D116&lt;EDATE(BI$99,1),예비비!$E116,0)-SUMIFS(예비비!$O$430:$O$729,예비비!$B$430:$B$729,예비비!$A116,예비비!$E$430:$E$729,"&lt;"&amp;EDATE(BI$99,1))),0)</f>
        <v>0</v>
      </c>
      <c r="BJ116">
        <f>IF(예비비!$R116="OK",SUMIFS(예비비!$O$430:$O$729,예비비!$B$430:$B$729,예비비!$A116,예비비!$E$430:$E$729,"&lt;"&amp;EDATE(BJ$99,1),예비비!$F$430:$F$729,"결제대금비")+MAX(0,IF(예비비!$D116&lt;EDATE(BJ$99,1),예비비!$E116,0)-SUMIFS(예비비!$O$430:$O$729,예비비!$B$430:$B$729,예비비!$A116,예비비!$E$430:$E$729,"&lt;"&amp;EDATE(BJ$99,1))),0)</f>
        <v>0</v>
      </c>
      <c r="BK116">
        <f>IF(예비비!$R116="OK",SUMIFS(예비비!$O$430:$O$729,예비비!$B$430:$B$729,예비비!$A116,예비비!$E$430:$E$729,"&lt;"&amp;EDATE(BK$99,1),예비비!$F$430:$F$729,"결제대금비")+MAX(0,IF(예비비!$D116&lt;EDATE(BK$99,1),예비비!$E116,0)-SUMIFS(예비비!$O$430:$O$729,예비비!$B$430:$B$729,예비비!$A116,예비비!$E$430:$E$729,"&lt;"&amp;EDATE(BK$99,1))),0)</f>
        <v>0</v>
      </c>
      <c r="BL116">
        <f>IF(예비비!$R116="OK",SUMIFS(예비비!$O$430:$O$729,예비비!$B$430:$B$729,예비비!$A116,예비비!$E$430:$E$729,"&lt;"&amp;EDATE(BL$99,1),예비비!$F$430:$F$729,"결제대금비")+MAX(0,IF(예비비!$D116&lt;EDATE(BL$99,1),예비비!$E116,0)-SUMIFS(예비비!$O$430:$O$729,예비비!$B$430:$B$729,예비비!$A116,예비비!$E$430:$E$729,"&lt;"&amp;EDATE(BL$99,1))),0)</f>
        <v>0</v>
      </c>
      <c r="BM116">
        <f>IF(예비비!$R116="OK",SUMIFS(예비비!$O$430:$O$729,예비비!$B$430:$B$729,예비비!$A116,예비비!$E$430:$E$729,"&lt;"&amp;EDATE(BM$99,1),예비비!$F$430:$F$729,"결제대금비")+MAX(0,IF(예비비!$D116&lt;EDATE(BM$99,1),예비비!$E116,0)-SUMIFS(예비비!$O$430:$O$729,예비비!$B$430:$B$729,예비비!$A116,예비비!$E$430:$E$729,"&lt;"&amp;EDATE(BM$99,1))),0)</f>
        <v>0</v>
      </c>
      <c r="BN116">
        <f>IF(예비비!$R116="OK",SUMIFS(예비비!$O$430:$O$729,예비비!$B$430:$B$729,예비비!$A116,예비비!$E$430:$E$729,"&lt;"&amp;EDATE(BN$99,1),예비비!$F$430:$F$729,"결제대금비")+MAX(0,IF(예비비!$D116&lt;EDATE(BN$99,1),예비비!$E116,0)-SUMIFS(예비비!$O$430:$O$729,예비비!$B$430:$B$729,예비비!$A116,예비비!$E$430:$E$729,"&lt;"&amp;EDATE(BN$99,1))),0)</f>
        <v>0</v>
      </c>
      <c r="BO116">
        <f>IF(예비비!$R116="OK",SUMIFS(예비비!$O$430:$O$729,예비비!$B$430:$B$729,예비비!$A116,예비비!$E$430:$E$729,"&lt;"&amp;EDATE(BO$99,1),예비비!$F$430:$F$729,"결제대금비")+MAX(0,IF(예비비!$D116&lt;EDATE(BO$99,1),예비비!$E116,0)-SUMIFS(예비비!$O$430:$O$729,예비비!$B$430:$B$729,예비비!$A116,예비비!$E$430:$E$729,"&lt;"&amp;EDATE(BO$99,1))),0)</f>
        <v>0</v>
      </c>
      <c r="BP116">
        <f>IF(예비비!$R116="OK",SUMIFS(예비비!$O$430:$O$729,예비비!$B$430:$B$729,예비비!$A116,예비비!$E$430:$E$729,"&lt;"&amp;EDATE(BP$99,1),예비비!$F$430:$F$729,"결제대금비")+MAX(0,IF(예비비!$D116&lt;EDATE(BP$99,1),예비비!$E116,0)-SUMIFS(예비비!$O$430:$O$729,예비비!$B$430:$B$729,예비비!$A116,예비비!$E$430:$E$729,"&lt;"&amp;EDATE(BP$99,1))),0)</f>
        <v>0</v>
      </c>
      <c r="BQ116">
        <f>IF(예비비!$R116="OK",SUMIFS(예비비!$O$430:$O$729,예비비!$B$430:$B$729,예비비!$A116,예비비!$E$430:$E$729,"&lt;"&amp;EDATE(BQ$99,1),예비비!$F$430:$F$729,"결제대금비")+MAX(0,IF(예비비!$D116&lt;EDATE(BQ$99,1),예비비!$E116,0)-SUMIFS(예비비!$O$430:$O$729,예비비!$B$430:$B$729,예비비!$A116,예비비!$E$430:$E$729,"&lt;"&amp;EDATE(BQ$99,1))),0)</f>
        <v>0</v>
      </c>
      <c r="BR116">
        <f>IF(예비비!$R116="OK",SUMIFS(예비비!$O$430:$O$729,예비비!$B$430:$B$729,예비비!$A116,예비비!$E$430:$E$729,"&lt;"&amp;EDATE(BR$99,1),예비비!$F$430:$F$729,"결제대금비")+MAX(0,IF(예비비!$D116&lt;EDATE(BR$99,1),예비비!$E116,0)-SUMIFS(예비비!$O$430:$O$729,예비비!$B$430:$B$729,예비비!$A116,예비비!$E$430:$E$729,"&lt;"&amp;EDATE(BR$99,1))),0)</f>
        <v>0</v>
      </c>
      <c r="BS116">
        <f>IF(예비비!$R116="OK",SUMIFS(예비비!$O$430:$O$729,예비비!$B$430:$B$729,예비비!$A116,예비비!$E$430:$E$729,"&lt;"&amp;EDATE(BS$99,1),예비비!$F$430:$F$729,"결제대금비")+MAX(0,IF(예비비!$D116&lt;EDATE(BS$99,1),예비비!$E116,0)-SUMIFS(예비비!$O$430:$O$729,예비비!$B$430:$B$729,예비비!$A116,예비비!$E$430:$E$729,"&lt;"&amp;EDATE(BS$99,1))),0)</f>
        <v>0</v>
      </c>
      <c r="BT116">
        <f>IF(예비비!$R116="OK",SUMIFS(예비비!$O$430:$O$729,예비비!$B$430:$B$729,예비비!$A116,예비비!$E$430:$E$729,"&lt;"&amp;EDATE(BT$99,1),예비비!$F$430:$F$729,"결제대금비")+MAX(0,IF(예비비!$D116&lt;EDATE(BT$99,1),예비비!$E116,0)-SUMIFS(예비비!$O$430:$O$729,예비비!$B$430:$B$729,예비비!$A116,예비비!$E$430:$E$729,"&lt;"&amp;EDATE(BT$99,1))),0)</f>
        <v>0</v>
      </c>
      <c r="BU116">
        <f>IF(예비비!$R116="OK",SUMIFS(예비비!$O$430:$O$729,예비비!$B$430:$B$729,예비비!$A116,예비비!$E$430:$E$729,"&lt;"&amp;EDATE(BU$99,1),예비비!$F$430:$F$729,"결제대금비")+MAX(0,IF(예비비!$D116&lt;EDATE(BU$99,1),예비비!$E116,0)-SUMIFS(예비비!$O$430:$O$729,예비비!$B$430:$B$729,예비비!$A116,예비비!$E$430:$E$729,"&lt;"&amp;EDATE(BU$99,1))),0)</f>
        <v>0</v>
      </c>
    </row>
    <row r="117">
      <c r="BI117">
        <f>IF(예비비!$R117="OK",SUMIFS(예비비!$O$430:$O$729,예비비!$B$430:$B$729,예비비!$A117,예비비!$E$430:$E$729,"&lt;"&amp;EDATE(BI$99,1),예비비!$F$430:$F$729,"결제대금비")+MAX(0,IF(예비비!$D117&lt;EDATE(BI$99,1),예비비!$E117,0)-SUMIFS(예비비!$O$430:$O$729,예비비!$B$430:$B$729,예비비!$A117,예비비!$E$430:$E$729,"&lt;"&amp;EDATE(BI$99,1))),0)</f>
        <v>0</v>
      </c>
      <c r="BJ117">
        <f>IF(예비비!$R117="OK",SUMIFS(예비비!$O$430:$O$729,예비비!$B$430:$B$729,예비비!$A117,예비비!$E$430:$E$729,"&lt;"&amp;EDATE(BJ$99,1),예비비!$F$430:$F$729,"결제대금비")+MAX(0,IF(예비비!$D117&lt;EDATE(BJ$99,1),예비비!$E117,0)-SUMIFS(예비비!$O$430:$O$729,예비비!$B$430:$B$729,예비비!$A117,예비비!$E$430:$E$729,"&lt;"&amp;EDATE(BJ$99,1))),0)</f>
        <v>0</v>
      </c>
      <c r="BK117">
        <f>IF(예비비!$R117="OK",SUMIFS(예비비!$O$430:$O$729,예비비!$B$430:$B$729,예비비!$A117,예비비!$E$430:$E$729,"&lt;"&amp;EDATE(BK$99,1),예비비!$F$430:$F$729,"결제대금비")+MAX(0,IF(예비비!$D117&lt;EDATE(BK$99,1),예비비!$E117,0)-SUMIFS(예비비!$O$430:$O$729,예비비!$B$430:$B$729,예비비!$A117,예비비!$E$430:$E$729,"&lt;"&amp;EDATE(BK$99,1))),0)</f>
        <v>0</v>
      </c>
      <c r="BL117">
        <f>IF(예비비!$R117="OK",SUMIFS(예비비!$O$430:$O$729,예비비!$B$430:$B$729,예비비!$A117,예비비!$E$430:$E$729,"&lt;"&amp;EDATE(BL$99,1),예비비!$F$430:$F$729,"결제대금비")+MAX(0,IF(예비비!$D117&lt;EDATE(BL$99,1),예비비!$E117,0)-SUMIFS(예비비!$O$430:$O$729,예비비!$B$430:$B$729,예비비!$A117,예비비!$E$430:$E$729,"&lt;"&amp;EDATE(BL$99,1))),0)</f>
        <v>0</v>
      </c>
      <c r="BM117">
        <f>IF(예비비!$R117="OK",SUMIFS(예비비!$O$430:$O$729,예비비!$B$430:$B$729,예비비!$A117,예비비!$E$430:$E$729,"&lt;"&amp;EDATE(BM$99,1),예비비!$F$430:$F$729,"결제대금비")+MAX(0,IF(예비비!$D117&lt;EDATE(BM$99,1),예비비!$E117,0)-SUMIFS(예비비!$O$430:$O$729,예비비!$B$430:$B$729,예비비!$A117,예비비!$E$430:$E$729,"&lt;"&amp;EDATE(BM$99,1))),0)</f>
        <v>0</v>
      </c>
      <c r="BN117">
        <f>IF(예비비!$R117="OK",SUMIFS(예비비!$O$430:$O$729,예비비!$B$430:$B$729,예비비!$A117,예비비!$E$430:$E$729,"&lt;"&amp;EDATE(BN$99,1),예비비!$F$430:$F$729,"결제대금비")+MAX(0,IF(예비비!$D117&lt;EDATE(BN$99,1),예비비!$E117,0)-SUMIFS(예비비!$O$430:$O$729,예비비!$B$430:$B$729,예비비!$A117,예비비!$E$430:$E$729,"&lt;"&amp;EDATE(BN$99,1))),0)</f>
        <v>0</v>
      </c>
      <c r="BO117">
        <f>IF(예비비!$R117="OK",SUMIFS(예비비!$O$430:$O$729,예비비!$B$430:$B$729,예비비!$A117,예비비!$E$430:$E$729,"&lt;"&amp;EDATE(BO$99,1),예비비!$F$430:$F$729,"결제대금비")+MAX(0,IF(예비비!$D117&lt;EDATE(BO$99,1),예비비!$E117,0)-SUMIFS(예비비!$O$430:$O$729,예비비!$B$430:$B$729,예비비!$A117,예비비!$E$430:$E$729,"&lt;"&amp;EDATE(BO$99,1))),0)</f>
        <v>0</v>
      </c>
      <c r="BP117">
        <f>IF(예비비!$R117="OK",SUMIFS(예비비!$O$430:$O$729,예비비!$B$430:$B$729,예비비!$A117,예비비!$E$430:$E$729,"&lt;"&amp;EDATE(BP$99,1),예비비!$F$430:$F$729,"결제대금비")+MAX(0,IF(예비비!$D117&lt;EDATE(BP$99,1),예비비!$E117,0)-SUMIFS(예비비!$O$430:$O$729,예비비!$B$430:$B$729,예비비!$A117,예비비!$E$430:$E$729,"&lt;"&amp;EDATE(BP$99,1))),0)</f>
        <v>0</v>
      </c>
      <c r="BQ117">
        <f>IF(예비비!$R117="OK",SUMIFS(예비비!$O$430:$O$729,예비비!$B$430:$B$729,예비비!$A117,예비비!$E$430:$E$729,"&lt;"&amp;EDATE(BQ$99,1),예비비!$F$430:$F$729,"결제대금비")+MAX(0,IF(예비비!$D117&lt;EDATE(BQ$99,1),예비비!$E117,0)-SUMIFS(예비비!$O$430:$O$729,예비비!$B$430:$B$729,예비비!$A117,예비비!$E$430:$E$729,"&lt;"&amp;EDATE(BQ$99,1))),0)</f>
        <v>0</v>
      </c>
      <c r="BR117">
        <f>IF(예비비!$R117="OK",SUMIFS(예비비!$O$430:$O$729,예비비!$B$430:$B$729,예비비!$A117,예비비!$E$430:$E$729,"&lt;"&amp;EDATE(BR$99,1),예비비!$F$430:$F$729,"결제대금비")+MAX(0,IF(예비비!$D117&lt;EDATE(BR$99,1),예비비!$E117,0)-SUMIFS(예비비!$O$430:$O$729,예비비!$B$430:$B$729,예비비!$A117,예비비!$E$430:$E$729,"&lt;"&amp;EDATE(BR$99,1))),0)</f>
        <v>0</v>
      </c>
      <c r="BS117">
        <f>IF(예비비!$R117="OK",SUMIFS(예비비!$O$430:$O$729,예비비!$B$430:$B$729,예비비!$A117,예비비!$E$430:$E$729,"&lt;"&amp;EDATE(BS$99,1),예비비!$F$430:$F$729,"결제대금비")+MAX(0,IF(예비비!$D117&lt;EDATE(BS$99,1),예비비!$E117,0)-SUMIFS(예비비!$O$430:$O$729,예비비!$B$430:$B$729,예비비!$A117,예비비!$E$430:$E$729,"&lt;"&amp;EDATE(BS$99,1))),0)</f>
        <v>0</v>
      </c>
      <c r="BT117">
        <f>IF(예비비!$R117="OK",SUMIFS(예비비!$O$430:$O$729,예비비!$B$430:$B$729,예비비!$A117,예비비!$E$430:$E$729,"&lt;"&amp;EDATE(BT$99,1),예비비!$F$430:$F$729,"결제대금비")+MAX(0,IF(예비비!$D117&lt;EDATE(BT$99,1),예비비!$E117,0)-SUMIFS(예비비!$O$430:$O$729,예비비!$B$430:$B$729,예비비!$A117,예비비!$E$430:$E$729,"&lt;"&amp;EDATE(BT$99,1))),0)</f>
        <v>0</v>
      </c>
      <c r="BU117">
        <f>IF(예비비!$R117="OK",SUMIFS(예비비!$O$430:$O$729,예비비!$B$430:$B$729,예비비!$A117,예비비!$E$430:$E$729,"&lt;"&amp;EDATE(BU$99,1),예비비!$F$430:$F$729,"결제대금비")+MAX(0,IF(예비비!$D117&lt;EDATE(BU$99,1),예비비!$E117,0)-SUMIFS(예비비!$O$430:$O$729,예비비!$B$430:$B$729,예비비!$A117,예비비!$E$430:$E$729,"&lt;"&amp;EDATE(BU$99,1))),0)</f>
        <v>0</v>
      </c>
    </row>
    <row r="118">
      <c r="BI118">
        <f>IF(예비비!$R118="OK",SUMIFS(예비비!$O$430:$O$729,예비비!$B$430:$B$729,예비비!$A118,예비비!$E$430:$E$729,"&lt;"&amp;EDATE(BI$99,1),예비비!$F$430:$F$729,"결제대금비")+MAX(0,IF(예비비!$D118&lt;EDATE(BI$99,1),예비비!$E118,0)-SUMIFS(예비비!$O$430:$O$729,예비비!$B$430:$B$729,예비비!$A118,예비비!$E$430:$E$729,"&lt;"&amp;EDATE(BI$99,1))),0)</f>
        <v>0</v>
      </c>
      <c r="BJ118">
        <f>IF(예비비!$R118="OK",SUMIFS(예비비!$O$430:$O$729,예비비!$B$430:$B$729,예비비!$A118,예비비!$E$430:$E$729,"&lt;"&amp;EDATE(BJ$99,1),예비비!$F$430:$F$729,"결제대금비")+MAX(0,IF(예비비!$D118&lt;EDATE(BJ$99,1),예비비!$E118,0)-SUMIFS(예비비!$O$430:$O$729,예비비!$B$430:$B$729,예비비!$A118,예비비!$E$430:$E$729,"&lt;"&amp;EDATE(BJ$99,1))),0)</f>
        <v>0</v>
      </c>
      <c r="BK118">
        <f>IF(예비비!$R118="OK",SUMIFS(예비비!$O$430:$O$729,예비비!$B$430:$B$729,예비비!$A118,예비비!$E$430:$E$729,"&lt;"&amp;EDATE(BK$99,1),예비비!$F$430:$F$729,"결제대금비")+MAX(0,IF(예비비!$D118&lt;EDATE(BK$99,1),예비비!$E118,0)-SUMIFS(예비비!$O$430:$O$729,예비비!$B$430:$B$729,예비비!$A118,예비비!$E$430:$E$729,"&lt;"&amp;EDATE(BK$99,1))),0)</f>
        <v>0</v>
      </c>
      <c r="BL118">
        <f>IF(예비비!$R118="OK",SUMIFS(예비비!$O$430:$O$729,예비비!$B$430:$B$729,예비비!$A118,예비비!$E$430:$E$729,"&lt;"&amp;EDATE(BL$99,1),예비비!$F$430:$F$729,"결제대금비")+MAX(0,IF(예비비!$D118&lt;EDATE(BL$99,1),예비비!$E118,0)-SUMIFS(예비비!$O$430:$O$729,예비비!$B$430:$B$729,예비비!$A118,예비비!$E$430:$E$729,"&lt;"&amp;EDATE(BL$99,1))),0)</f>
        <v>0</v>
      </c>
      <c r="BM118">
        <f>IF(예비비!$R118="OK",SUMIFS(예비비!$O$430:$O$729,예비비!$B$430:$B$729,예비비!$A118,예비비!$E$430:$E$729,"&lt;"&amp;EDATE(BM$99,1),예비비!$F$430:$F$729,"결제대금비")+MAX(0,IF(예비비!$D118&lt;EDATE(BM$99,1),예비비!$E118,0)-SUMIFS(예비비!$O$430:$O$729,예비비!$B$430:$B$729,예비비!$A118,예비비!$E$430:$E$729,"&lt;"&amp;EDATE(BM$99,1))),0)</f>
        <v>0</v>
      </c>
      <c r="BN118">
        <f>IF(예비비!$R118="OK",SUMIFS(예비비!$O$430:$O$729,예비비!$B$430:$B$729,예비비!$A118,예비비!$E$430:$E$729,"&lt;"&amp;EDATE(BN$99,1),예비비!$F$430:$F$729,"결제대금비")+MAX(0,IF(예비비!$D118&lt;EDATE(BN$99,1),예비비!$E118,0)-SUMIFS(예비비!$O$430:$O$729,예비비!$B$430:$B$729,예비비!$A118,예비비!$E$430:$E$729,"&lt;"&amp;EDATE(BN$99,1))),0)</f>
        <v>0</v>
      </c>
      <c r="BO118">
        <f>IF(예비비!$R118="OK",SUMIFS(예비비!$O$430:$O$729,예비비!$B$430:$B$729,예비비!$A118,예비비!$E$430:$E$729,"&lt;"&amp;EDATE(BO$99,1),예비비!$F$430:$F$729,"결제대금비")+MAX(0,IF(예비비!$D118&lt;EDATE(BO$99,1),예비비!$E118,0)-SUMIFS(예비비!$O$430:$O$729,예비비!$B$430:$B$729,예비비!$A118,예비비!$E$430:$E$729,"&lt;"&amp;EDATE(BO$99,1))),0)</f>
        <v>0</v>
      </c>
      <c r="BP118">
        <f>IF(예비비!$R118="OK",SUMIFS(예비비!$O$430:$O$729,예비비!$B$430:$B$729,예비비!$A118,예비비!$E$430:$E$729,"&lt;"&amp;EDATE(BP$99,1),예비비!$F$430:$F$729,"결제대금비")+MAX(0,IF(예비비!$D118&lt;EDATE(BP$99,1),예비비!$E118,0)-SUMIFS(예비비!$O$430:$O$729,예비비!$B$430:$B$729,예비비!$A118,예비비!$E$430:$E$729,"&lt;"&amp;EDATE(BP$99,1))),0)</f>
        <v>0</v>
      </c>
      <c r="BQ118">
        <f>IF(예비비!$R118="OK",SUMIFS(예비비!$O$430:$O$729,예비비!$B$430:$B$729,예비비!$A118,예비비!$E$430:$E$729,"&lt;"&amp;EDATE(BQ$99,1),예비비!$F$430:$F$729,"결제대금비")+MAX(0,IF(예비비!$D118&lt;EDATE(BQ$99,1),예비비!$E118,0)-SUMIFS(예비비!$O$430:$O$729,예비비!$B$430:$B$729,예비비!$A118,예비비!$E$430:$E$729,"&lt;"&amp;EDATE(BQ$99,1))),0)</f>
        <v>0</v>
      </c>
      <c r="BR118">
        <f>IF(예비비!$R118="OK",SUMIFS(예비비!$O$430:$O$729,예비비!$B$430:$B$729,예비비!$A118,예비비!$E$430:$E$729,"&lt;"&amp;EDATE(BR$99,1),예비비!$F$430:$F$729,"결제대금비")+MAX(0,IF(예비비!$D118&lt;EDATE(BR$99,1),예비비!$E118,0)-SUMIFS(예비비!$O$430:$O$729,예비비!$B$430:$B$729,예비비!$A118,예비비!$E$430:$E$729,"&lt;"&amp;EDATE(BR$99,1))),0)</f>
        <v>0</v>
      </c>
      <c r="BS118">
        <f>IF(예비비!$R118="OK",SUMIFS(예비비!$O$430:$O$729,예비비!$B$430:$B$729,예비비!$A118,예비비!$E$430:$E$729,"&lt;"&amp;EDATE(BS$99,1),예비비!$F$430:$F$729,"결제대금비")+MAX(0,IF(예비비!$D118&lt;EDATE(BS$99,1),예비비!$E118,0)-SUMIFS(예비비!$O$430:$O$729,예비비!$B$430:$B$729,예비비!$A118,예비비!$E$430:$E$729,"&lt;"&amp;EDATE(BS$99,1))),0)</f>
        <v>0</v>
      </c>
      <c r="BT118">
        <f>IF(예비비!$R118="OK",SUMIFS(예비비!$O$430:$O$729,예비비!$B$430:$B$729,예비비!$A118,예비비!$E$430:$E$729,"&lt;"&amp;EDATE(BT$99,1),예비비!$F$430:$F$729,"결제대금비")+MAX(0,IF(예비비!$D118&lt;EDATE(BT$99,1),예비비!$E118,0)-SUMIFS(예비비!$O$430:$O$729,예비비!$B$430:$B$729,예비비!$A118,예비비!$E$430:$E$729,"&lt;"&amp;EDATE(BT$99,1))),0)</f>
        <v>0</v>
      </c>
      <c r="BU118">
        <f>IF(예비비!$R118="OK",SUMIFS(예비비!$O$430:$O$729,예비비!$B$430:$B$729,예비비!$A118,예비비!$E$430:$E$729,"&lt;"&amp;EDATE(BU$99,1),예비비!$F$430:$F$729,"결제대금비")+MAX(0,IF(예비비!$D118&lt;EDATE(BU$99,1),예비비!$E118,0)-SUMIFS(예비비!$O$430:$O$729,예비비!$B$430:$B$729,예비비!$A118,예비비!$E$430:$E$729,"&lt;"&amp;EDATE(BU$99,1))),0)</f>
        <v>0</v>
      </c>
    </row>
    <row r="119">
      <c r="BI119">
        <f>IF(예비비!$R119="OK",SUMIFS(예비비!$O$430:$O$729,예비비!$B$430:$B$729,예비비!$A119,예비비!$E$430:$E$729,"&lt;"&amp;EDATE(BI$99,1),예비비!$F$430:$F$729,"결제대금비")+MAX(0,IF(예비비!$D119&lt;EDATE(BI$99,1),예비비!$E119,0)-SUMIFS(예비비!$O$430:$O$729,예비비!$B$430:$B$729,예비비!$A119,예비비!$E$430:$E$729,"&lt;"&amp;EDATE(BI$99,1))),0)</f>
        <v>0</v>
      </c>
      <c r="BJ119">
        <f>IF(예비비!$R119="OK",SUMIFS(예비비!$O$430:$O$729,예비비!$B$430:$B$729,예비비!$A119,예비비!$E$430:$E$729,"&lt;"&amp;EDATE(BJ$99,1),예비비!$F$430:$F$729,"결제대금비")+MAX(0,IF(예비비!$D119&lt;EDATE(BJ$99,1),예비비!$E119,0)-SUMIFS(예비비!$O$430:$O$729,예비비!$B$430:$B$729,예비비!$A119,예비비!$E$430:$E$729,"&lt;"&amp;EDATE(BJ$99,1))),0)</f>
        <v>0</v>
      </c>
      <c r="BK119">
        <f>IF(예비비!$R119="OK",SUMIFS(예비비!$O$430:$O$729,예비비!$B$430:$B$729,예비비!$A119,예비비!$E$430:$E$729,"&lt;"&amp;EDATE(BK$99,1),예비비!$F$430:$F$729,"결제대금비")+MAX(0,IF(예비비!$D119&lt;EDATE(BK$99,1),예비비!$E119,0)-SUMIFS(예비비!$O$430:$O$729,예비비!$B$430:$B$729,예비비!$A119,예비비!$E$430:$E$729,"&lt;"&amp;EDATE(BK$99,1))),0)</f>
        <v>0</v>
      </c>
      <c r="BL119">
        <f>IF(예비비!$R119="OK",SUMIFS(예비비!$O$430:$O$729,예비비!$B$430:$B$729,예비비!$A119,예비비!$E$430:$E$729,"&lt;"&amp;EDATE(BL$99,1),예비비!$F$430:$F$729,"결제대금비")+MAX(0,IF(예비비!$D119&lt;EDATE(BL$99,1),예비비!$E119,0)-SUMIFS(예비비!$O$430:$O$729,예비비!$B$430:$B$729,예비비!$A119,예비비!$E$430:$E$729,"&lt;"&amp;EDATE(BL$99,1))),0)</f>
        <v>0</v>
      </c>
      <c r="BM119">
        <f>IF(예비비!$R119="OK",SUMIFS(예비비!$O$430:$O$729,예비비!$B$430:$B$729,예비비!$A119,예비비!$E$430:$E$729,"&lt;"&amp;EDATE(BM$99,1),예비비!$F$430:$F$729,"결제대금비")+MAX(0,IF(예비비!$D119&lt;EDATE(BM$99,1),예비비!$E119,0)-SUMIFS(예비비!$O$430:$O$729,예비비!$B$430:$B$729,예비비!$A119,예비비!$E$430:$E$729,"&lt;"&amp;EDATE(BM$99,1))),0)</f>
        <v>0</v>
      </c>
      <c r="BN119">
        <f>IF(예비비!$R119="OK",SUMIFS(예비비!$O$430:$O$729,예비비!$B$430:$B$729,예비비!$A119,예비비!$E$430:$E$729,"&lt;"&amp;EDATE(BN$99,1),예비비!$F$430:$F$729,"결제대금비")+MAX(0,IF(예비비!$D119&lt;EDATE(BN$99,1),예비비!$E119,0)-SUMIFS(예비비!$O$430:$O$729,예비비!$B$430:$B$729,예비비!$A119,예비비!$E$430:$E$729,"&lt;"&amp;EDATE(BN$99,1))),0)</f>
        <v>0</v>
      </c>
      <c r="BO119">
        <f>IF(예비비!$R119="OK",SUMIFS(예비비!$O$430:$O$729,예비비!$B$430:$B$729,예비비!$A119,예비비!$E$430:$E$729,"&lt;"&amp;EDATE(BO$99,1),예비비!$F$430:$F$729,"결제대금비")+MAX(0,IF(예비비!$D119&lt;EDATE(BO$99,1),예비비!$E119,0)-SUMIFS(예비비!$O$430:$O$729,예비비!$B$430:$B$729,예비비!$A119,예비비!$E$430:$E$729,"&lt;"&amp;EDATE(BO$99,1))),0)</f>
        <v>0</v>
      </c>
      <c r="BP119">
        <f>IF(예비비!$R119="OK",SUMIFS(예비비!$O$430:$O$729,예비비!$B$430:$B$729,예비비!$A119,예비비!$E$430:$E$729,"&lt;"&amp;EDATE(BP$99,1),예비비!$F$430:$F$729,"결제대금비")+MAX(0,IF(예비비!$D119&lt;EDATE(BP$99,1),예비비!$E119,0)-SUMIFS(예비비!$O$430:$O$729,예비비!$B$430:$B$729,예비비!$A119,예비비!$E$430:$E$729,"&lt;"&amp;EDATE(BP$99,1))),0)</f>
        <v>0</v>
      </c>
      <c r="BQ119">
        <f>IF(예비비!$R119="OK",SUMIFS(예비비!$O$430:$O$729,예비비!$B$430:$B$729,예비비!$A119,예비비!$E$430:$E$729,"&lt;"&amp;EDATE(BQ$99,1),예비비!$F$430:$F$729,"결제대금비")+MAX(0,IF(예비비!$D119&lt;EDATE(BQ$99,1),예비비!$E119,0)-SUMIFS(예비비!$O$430:$O$729,예비비!$B$430:$B$729,예비비!$A119,예비비!$E$430:$E$729,"&lt;"&amp;EDATE(BQ$99,1))),0)</f>
        <v>0</v>
      </c>
      <c r="BR119">
        <f>IF(예비비!$R119="OK",SUMIFS(예비비!$O$430:$O$729,예비비!$B$430:$B$729,예비비!$A119,예비비!$E$430:$E$729,"&lt;"&amp;EDATE(BR$99,1),예비비!$F$430:$F$729,"결제대금비")+MAX(0,IF(예비비!$D119&lt;EDATE(BR$99,1),예비비!$E119,0)-SUMIFS(예비비!$O$430:$O$729,예비비!$B$430:$B$729,예비비!$A119,예비비!$E$430:$E$729,"&lt;"&amp;EDATE(BR$99,1))),0)</f>
        <v>0</v>
      </c>
      <c r="BS119">
        <f>IF(예비비!$R119="OK",SUMIFS(예비비!$O$430:$O$729,예비비!$B$430:$B$729,예비비!$A119,예비비!$E$430:$E$729,"&lt;"&amp;EDATE(BS$99,1),예비비!$F$430:$F$729,"결제대금비")+MAX(0,IF(예비비!$D119&lt;EDATE(BS$99,1),예비비!$E119,0)-SUMIFS(예비비!$O$430:$O$729,예비비!$B$430:$B$729,예비비!$A119,예비비!$E$430:$E$729,"&lt;"&amp;EDATE(BS$99,1))),0)</f>
        <v>0</v>
      </c>
      <c r="BT119">
        <f>IF(예비비!$R119="OK",SUMIFS(예비비!$O$430:$O$729,예비비!$B$430:$B$729,예비비!$A119,예비비!$E$430:$E$729,"&lt;"&amp;EDATE(BT$99,1),예비비!$F$430:$F$729,"결제대금비")+MAX(0,IF(예비비!$D119&lt;EDATE(BT$99,1),예비비!$E119,0)-SUMIFS(예비비!$O$430:$O$729,예비비!$B$430:$B$729,예비비!$A119,예비비!$E$430:$E$729,"&lt;"&amp;EDATE(BT$99,1))),0)</f>
        <v>0</v>
      </c>
      <c r="BU119">
        <f>IF(예비비!$R119="OK",SUMIFS(예비비!$O$430:$O$729,예비비!$B$430:$B$729,예비비!$A119,예비비!$E$430:$E$729,"&lt;"&amp;EDATE(BU$99,1),예비비!$F$430:$F$729,"결제대금비")+MAX(0,IF(예비비!$D119&lt;EDATE(BU$99,1),예비비!$E119,0)-SUMIFS(예비비!$O$430:$O$729,예비비!$B$430:$B$729,예비비!$A119,예비비!$E$430:$E$729,"&lt;"&amp;EDATE(BU$99,1))),0)</f>
        <v>0</v>
      </c>
    </row>
    <row r="120">
      <c r="BA120">
        <v>64</v>
      </c>
      <c r="BB120">
        <f>IFERROR(INDEX(잔액!$A:$A,BA120),0)</f>
        <v>46082.0</v>
      </c>
      <c r="BH120">
        <f>IFERROR(IF(AND(BB120&gt;0,OR(COUNTIFS(예비비!$C$430:$C$729,BA120,예비비!$N$430:$N$729,"OK")&gt;0,AND(INDEX(잔액!$J:$J,BA120)="가족통장",INDEX(잔액!$K:$K,BA120)="미래에셋_WRAP형CMA"),COUNTIF(예비비!$A$8:$A$12,INDEX(잔액!$C:$C,BA120))=1,COUNTIF(예비비!$A$8:$A$12,INDEX(잔액!$D:$D,BA120))=1),OR(AND(BB120&gt;=예비비!$B$3,BB120&lt;EDATE(예비비!$B$3,1)),AND(BB120&lt;EDATE(예비비!$B$3,1),COUNTIFS(예비비!$C$430:$C$729,BA120,예비비!$L$430:$L$729,예비비!$B$3,예비비!$N$430:$N$729,"OK")&gt;0))),0+1,0),0)</f>
        <v>0</v>
      </c>
      <c r="BI120">
        <f>IF(예비비!$R120="OK",SUMIFS(예비비!$O$430:$O$729,예비비!$B$430:$B$729,예비비!$A120,예비비!$E$430:$E$729,"&lt;"&amp;EDATE(BI$99,1),예비비!$F$430:$F$729,"결제대금비")+MAX(0,IF(예비비!$D120&lt;EDATE(BI$99,1),예비비!$E120,0)-SUMIFS(예비비!$O$430:$O$729,예비비!$B$430:$B$729,예비비!$A120,예비비!$E$430:$E$729,"&lt;"&amp;EDATE(BI$99,1))),0)</f>
        <v>0</v>
      </c>
      <c r="BJ120">
        <f>IF(예비비!$R120="OK",SUMIFS(예비비!$O$430:$O$729,예비비!$B$430:$B$729,예비비!$A120,예비비!$E$430:$E$729,"&lt;"&amp;EDATE(BJ$99,1),예비비!$F$430:$F$729,"결제대금비")+MAX(0,IF(예비비!$D120&lt;EDATE(BJ$99,1),예비비!$E120,0)-SUMIFS(예비비!$O$430:$O$729,예비비!$B$430:$B$729,예비비!$A120,예비비!$E$430:$E$729,"&lt;"&amp;EDATE(BJ$99,1))),0)</f>
        <v>0</v>
      </c>
      <c r="BK120">
        <f>IF(예비비!$R120="OK",SUMIFS(예비비!$O$430:$O$729,예비비!$B$430:$B$729,예비비!$A120,예비비!$E$430:$E$729,"&lt;"&amp;EDATE(BK$99,1),예비비!$F$430:$F$729,"결제대금비")+MAX(0,IF(예비비!$D120&lt;EDATE(BK$99,1),예비비!$E120,0)-SUMIFS(예비비!$O$430:$O$729,예비비!$B$430:$B$729,예비비!$A120,예비비!$E$430:$E$729,"&lt;"&amp;EDATE(BK$99,1))),0)</f>
        <v>0</v>
      </c>
      <c r="BL120">
        <f>IF(예비비!$R120="OK",SUMIFS(예비비!$O$430:$O$729,예비비!$B$430:$B$729,예비비!$A120,예비비!$E$430:$E$729,"&lt;"&amp;EDATE(BL$99,1),예비비!$F$430:$F$729,"결제대금비")+MAX(0,IF(예비비!$D120&lt;EDATE(BL$99,1),예비비!$E120,0)-SUMIFS(예비비!$O$430:$O$729,예비비!$B$430:$B$729,예비비!$A120,예비비!$E$430:$E$729,"&lt;"&amp;EDATE(BL$99,1))),0)</f>
        <v>0</v>
      </c>
      <c r="BM120">
        <f>IF(예비비!$R120="OK",SUMIFS(예비비!$O$430:$O$729,예비비!$B$430:$B$729,예비비!$A120,예비비!$E$430:$E$729,"&lt;"&amp;EDATE(BM$99,1),예비비!$F$430:$F$729,"결제대금비")+MAX(0,IF(예비비!$D120&lt;EDATE(BM$99,1),예비비!$E120,0)-SUMIFS(예비비!$O$430:$O$729,예비비!$B$430:$B$729,예비비!$A120,예비비!$E$430:$E$729,"&lt;"&amp;EDATE(BM$99,1))),0)</f>
        <v>0</v>
      </c>
      <c r="BN120">
        <f>IF(예비비!$R120="OK",SUMIFS(예비비!$O$430:$O$729,예비비!$B$430:$B$729,예비비!$A120,예비비!$E$430:$E$729,"&lt;"&amp;EDATE(BN$99,1),예비비!$F$430:$F$729,"결제대금비")+MAX(0,IF(예비비!$D120&lt;EDATE(BN$99,1),예비비!$E120,0)-SUMIFS(예비비!$O$430:$O$729,예비비!$B$430:$B$729,예비비!$A120,예비비!$E$430:$E$729,"&lt;"&amp;EDATE(BN$99,1))),0)</f>
        <v>0</v>
      </c>
      <c r="BO120">
        <f>IF(예비비!$R120="OK",SUMIFS(예비비!$O$430:$O$729,예비비!$B$430:$B$729,예비비!$A120,예비비!$E$430:$E$729,"&lt;"&amp;EDATE(BO$99,1),예비비!$F$430:$F$729,"결제대금비")+MAX(0,IF(예비비!$D120&lt;EDATE(BO$99,1),예비비!$E120,0)-SUMIFS(예비비!$O$430:$O$729,예비비!$B$430:$B$729,예비비!$A120,예비비!$E$430:$E$729,"&lt;"&amp;EDATE(BO$99,1))),0)</f>
        <v>0</v>
      </c>
      <c r="BP120">
        <f>IF(예비비!$R120="OK",SUMIFS(예비비!$O$430:$O$729,예비비!$B$430:$B$729,예비비!$A120,예비비!$E$430:$E$729,"&lt;"&amp;EDATE(BP$99,1),예비비!$F$430:$F$729,"결제대금비")+MAX(0,IF(예비비!$D120&lt;EDATE(BP$99,1),예비비!$E120,0)-SUMIFS(예비비!$O$430:$O$729,예비비!$B$430:$B$729,예비비!$A120,예비비!$E$430:$E$729,"&lt;"&amp;EDATE(BP$99,1))),0)</f>
        <v>0</v>
      </c>
      <c r="BQ120">
        <f>IF(예비비!$R120="OK",SUMIFS(예비비!$O$430:$O$729,예비비!$B$430:$B$729,예비비!$A120,예비비!$E$430:$E$729,"&lt;"&amp;EDATE(BQ$99,1),예비비!$F$430:$F$729,"결제대금비")+MAX(0,IF(예비비!$D120&lt;EDATE(BQ$99,1),예비비!$E120,0)-SUMIFS(예비비!$O$430:$O$729,예비비!$B$430:$B$729,예비비!$A120,예비비!$E$430:$E$729,"&lt;"&amp;EDATE(BQ$99,1))),0)</f>
        <v>0</v>
      </c>
      <c r="BR120">
        <f>IF(예비비!$R120="OK",SUMIFS(예비비!$O$430:$O$729,예비비!$B$430:$B$729,예비비!$A120,예비비!$E$430:$E$729,"&lt;"&amp;EDATE(BR$99,1),예비비!$F$430:$F$729,"결제대금비")+MAX(0,IF(예비비!$D120&lt;EDATE(BR$99,1),예비비!$E120,0)-SUMIFS(예비비!$O$430:$O$729,예비비!$B$430:$B$729,예비비!$A120,예비비!$E$430:$E$729,"&lt;"&amp;EDATE(BR$99,1))),0)</f>
        <v>0</v>
      </c>
      <c r="BS120">
        <f>IF(예비비!$R120="OK",SUMIFS(예비비!$O$430:$O$729,예비비!$B$430:$B$729,예비비!$A120,예비비!$E$430:$E$729,"&lt;"&amp;EDATE(BS$99,1),예비비!$F$430:$F$729,"결제대금비")+MAX(0,IF(예비비!$D120&lt;EDATE(BS$99,1),예비비!$E120,0)-SUMIFS(예비비!$O$430:$O$729,예비비!$B$430:$B$729,예비비!$A120,예비비!$E$430:$E$729,"&lt;"&amp;EDATE(BS$99,1))),0)</f>
        <v>0</v>
      </c>
      <c r="BT120">
        <f>IF(예비비!$R120="OK",SUMIFS(예비비!$O$430:$O$729,예비비!$B$430:$B$729,예비비!$A120,예비비!$E$430:$E$729,"&lt;"&amp;EDATE(BT$99,1),예비비!$F$430:$F$729,"결제대금비")+MAX(0,IF(예비비!$D120&lt;EDATE(BT$99,1),예비비!$E120,0)-SUMIFS(예비비!$O$430:$O$729,예비비!$B$430:$B$729,예비비!$A120,예비비!$E$430:$E$729,"&lt;"&amp;EDATE(BT$99,1))),0)</f>
        <v>0</v>
      </c>
      <c r="BU120">
        <f>IF(예비비!$R120="OK",SUMIFS(예비비!$O$430:$O$729,예비비!$B$430:$B$729,예비비!$A120,예비비!$E$430:$E$729,"&lt;"&amp;EDATE(BU$99,1),예비비!$F$430:$F$729,"결제대금비")+MAX(0,IF(예비비!$D120&lt;EDATE(BU$99,1),예비비!$E120,0)-SUMIFS(예비비!$O$430:$O$729,예비비!$B$430:$B$729,예비비!$A120,예비비!$E$430:$E$729,"&lt;"&amp;EDATE(BU$99,1))),0)</f>
        <v>0</v>
      </c>
    </row>
    <row r="121">
      <c r="BA121">
        <v>65</v>
      </c>
      <c r="BB121">
        <f>IFERROR(INDEX(잔액!$A:$A,BA121),0)</f>
        <v>46082.0</v>
      </c>
      <c r="BH121">
        <f>IFERROR(IF(AND(BB121&gt;0,OR(COUNTIFS(예비비!$C$430:$C$729,BA121,예비비!$N$430:$N$729,"OK")&gt;0,AND(INDEX(잔액!$J:$J,BA121)="가족통장",INDEX(잔액!$K:$K,BA121)="미래에셋_WRAP형CMA"),COUNTIF(예비비!$A$8:$A$12,INDEX(잔액!$C:$C,BA121))=1,COUNTIF(예비비!$A$8:$A$12,INDEX(잔액!$D:$D,BA121))=1),OR(AND(BB121&gt;=예비비!$B$3,BB121&lt;EDATE(예비비!$B$3,1)),AND(BB121&lt;EDATE(예비비!$B$3,1),COUNTIFS(예비비!$C$430:$C$729,BA121,예비비!$L$430:$L$729,예비비!$B$3,예비비!$N$430:$N$729,"OK")&gt;0))),MAX($BH$120:BH120)+1,0),0)</f>
        <v>0</v>
      </c>
      <c r="BI121">
        <f>IF(예비비!$R121="OK",SUMIFS(예비비!$O$430:$O$729,예비비!$B$430:$B$729,예비비!$A121,예비비!$E$430:$E$729,"&lt;"&amp;EDATE(BI$99,1),예비비!$F$430:$F$729,"결제대금비")+MAX(0,IF(예비비!$D121&lt;EDATE(BI$99,1),예비비!$E121,0)-SUMIFS(예비비!$O$430:$O$729,예비비!$B$430:$B$729,예비비!$A121,예비비!$E$430:$E$729,"&lt;"&amp;EDATE(BI$99,1))),0)</f>
        <v>0</v>
      </c>
      <c r="BJ121">
        <f>IF(예비비!$R121="OK",SUMIFS(예비비!$O$430:$O$729,예비비!$B$430:$B$729,예비비!$A121,예비비!$E$430:$E$729,"&lt;"&amp;EDATE(BJ$99,1),예비비!$F$430:$F$729,"결제대금비")+MAX(0,IF(예비비!$D121&lt;EDATE(BJ$99,1),예비비!$E121,0)-SUMIFS(예비비!$O$430:$O$729,예비비!$B$430:$B$729,예비비!$A121,예비비!$E$430:$E$729,"&lt;"&amp;EDATE(BJ$99,1))),0)</f>
        <v>0</v>
      </c>
      <c r="BK121">
        <f>IF(예비비!$R121="OK",SUMIFS(예비비!$O$430:$O$729,예비비!$B$430:$B$729,예비비!$A121,예비비!$E$430:$E$729,"&lt;"&amp;EDATE(BK$99,1),예비비!$F$430:$F$729,"결제대금비")+MAX(0,IF(예비비!$D121&lt;EDATE(BK$99,1),예비비!$E121,0)-SUMIFS(예비비!$O$430:$O$729,예비비!$B$430:$B$729,예비비!$A121,예비비!$E$430:$E$729,"&lt;"&amp;EDATE(BK$99,1))),0)</f>
        <v>0</v>
      </c>
      <c r="BL121">
        <f>IF(예비비!$R121="OK",SUMIFS(예비비!$O$430:$O$729,예비비!$B$430:$B$729,예비비!$A121,예비비!$E$430:$E$729,"&lt;"&amp;EDATE(BL$99,1),예비비!$F$430:$F$729,"결제대금비")+MAX(0,IF(예비비!$D121&lt;EDATE(BL$99,1),예비비!$E121,0)-SUMIFS(예비비!$O$430:$O$729,예비비!$B$430:$B$729,예비비!$A121,예비비!$E$430:$E$729,"&lt;"&amp;EDATE(BL$99,1))),0)</f>
        <v>0</v>
      </c>
      <c r="BM121">
        <f>IF(예비비!$R121="OK",SUMIFS(예비비!$O$430:$O$729,예비비!$B$430:$B$729,예비비!$A121,예비비!$E$430:$E$729,"&lt;"&amp;EDATE(BM$99,1),예비비!$F$430:$F$729,"결제대금비")+MAX(0,IF(예비비!$D121&lt;EDATE(BM$99,1),예비비!$E121,0)-SUMIFS(예비비!$O$430:$O$729,예비비!$B$430:$B$729,예비비!$A121,예비비!$E$430:$E$729,"&lt;"&amp;EDATE(BM$99,1))),0)</f>
        <v>0</v>
      </c>
      <c r="BN121">
        <f>IF(예비비!$R121="OK",SUMIFS(예비비!$O$430:$O$729,예비비!$B$430:$B$729,예비비!$A121,예비비!$E$430:$E$729,"&lt;"&amp;EDATE(BN$99,1),예비비!$F$430:$F$729,"결제대금비")+MAX(0,IF(예비비!$D121&lt;EDATE(BN$99,1),예비비!$E121,0)-SUMIFS(예비비!$O$430:$O$729,예비비!$B$430:$B$729,예비비!$A121,예비비!$E$430:$E$729,"&lt;"&amp;EDATE(BN$99,1))),0)</f>
        <v>0</v>
      </c>
      <c r="BO121">
        <f>IF(예비비!$R121="OK",SUMIFS(예비비!$O$430:$O$729,예비비!$B$430:$B$729,예비비!$A121,예비비!$E$430:$E$729,"&lt;"&amp;EDATE(BO$99,1),예비비!$F$430:$F$729,"결제대금비")+MAX(0,IF(예비비!$D121&lt;EDATE(BO$99,1),예비비!$E121,0)-SUMIFS(예비비!$O$430:$O$729,예비비!$B$430:$B$729,예비비!$A121,예비비!$E$430:$E$729,"&lt;"&amp;EDATE(BO$99,1))),0)</f>
        <v>0</v>
      </c>
      <c r="BP121">
        <f>IF(예비비!$R121="OK",SUMIFS(예비비!$O$430:$O$729,예비비!$B$430:$B$729,예비비!$A121,예비비!$E$430:$E$729,"&lt;"&amp;EDATE(BP$99,1),예비비!$F$430:$F$729,"결제대금비")+MAX(0,IF(예비비!$D121&lt;EDATE(BP$99,1),예비비!$E121,0)-SUMIFS(예비비!$O$430:$O$729,예비비!$B$430:$B$729,예비비!$A121,예비비!$E$430:$E$729,"&lt;"&amp;EDATE(BP$99,1))),0)</f>
        <v>0</v>
      </c>
      <c r="BQ121">
        <f>IF(예비비!$R121="OK",SUMIFS(예비비!$O$430:$O$729,예비비!$B$430:$B$729,예비비!$A121,예비비!$E$430:$E$729,"&lt;"&amp;EDATE(BQ$99,1),예비비!$F$430:$F$729,"결제대금비")+MAX(0,IF(예비비!$D121&lt;EDATE(BQ$99,1),예비비!$E121,0)-SUMIFS(예비비!$O$430:$O$729,예비비!$B$430:$B$729,예비비!$A121,예비비!$E$430:$E$729,"&lt;"&amp;EDATE(BQ$99,1))),0)</f>
        <v>0</v>
      </c>
      <c r="BR121">
        <f>IF(예비비!$R121="OK",SUMIFS(예비비!$O$430:$O$729,예비비!$B$430:$B$729,예비비!$A121,예비비!$E$430:$E$729,"&lt;"&amp;EDATE(BR$99,1),예비비!$F$430:$F$729,"결제대금비")+MAX(0,IF(예비비!$D121&lt;EDATE(BR$99,1),예비비!$E121,0)-SUMIFS(예비비!$O$430:$O$729,예비비!$B$430:$B$729,예비비!$A121,예비비!$E$430:$E$729,"&lt;"&amp;EDATE(BR$99,1))),0)</f>
        <v>0</v>
      </c>
      <c r="BS121">
        <f>IF(예비비!$R121="OK",SUMIFS(예비비!$O$430:$O$729,예비비!$B$430:$B$729,예비비!$A121,예비비!$E$430:$E$729,"&lt;"&amp;EDATE(BS$99,1),예비비!$F$430:$F$729,"결제대금비")+MAX(0,IF(예비비!$D121&lt;EDATE(BS$99,1),예비비!$E121,0)-SUMIFS(예비비!$O$430:$O$729,예비비!$B$430:$B$729,예비비!$A121,예비비!$E$430:$E$729,"&lt;"&amp;EDATE(BS$99,1))),0)</f>
        <v>0</v>
      </c>
      <c r="BT121">
        <f>IF(예비비!$R121="OK",SUMIFS(예비비!$O$430:$O$729,예비비!$B$430:$B$729,예비비!$A121,예비비!$E$430:$E$729,"&lt;"&amp;EDATE(BT$99,1),예비비!$F$430:$F$729,"결제대금비")+MAX(0,IF(예비비!$D121&lt;EDATE(BT$99,1),예비비!$E121,0)-SUMIFS(예비비!$O$430:$O$729,예비비!$B$430:$B$729,예비비!$A121,예비비!$E$430:$E$729,"&lt;"&amp;EDATE(BT$99,1))),0)</f>
        <v>0</v>
      </c>
      <c r="BU121">
        <f>IF(예비비!$R121="OK",SUMIFS(예비비!$O$430:$O$729,예비비!$B$430:$B$729,예비비!$A121,예비비!$E$430:$E$729,"&lt;"&amp;EDATE(BU$99,1),예비비!$F$430:$F$729,"결제대금비")+MAX(0,IF(예비비!$D121&lt;EDATE(BU$99,1),예비비!$E121,0)-SUMIFS(예비비!$O$430:$O$729,예비비!$B$430:$B$729,예비비!$A121,예비비!$E$430:$E$729,"&lt;"&amp;EDATE(BU$99,1))),0)</f>
        <v>0</v>
      </c>
    </row>
    <row r="122">
      <c r="BA122">
        <v>66</v>
      </c>
      <c r="BB122">
        <f>IFERROR(INDEX(잔액!$A:$A,BA122),0)</f>
        <v>46082.0</v>
      </c>
      <c r="BH122">
        <f>IFERROR(IF(AND(BB122&gt;0,OR(COUNTIFS(예비비!$C$430:$C$729,BA122,예비비!$N$430:$N$729,"OK")&gt;0,AND(INDEX(잔액!$J:$J,BA122)="가족통장",INDEX(잔액!$K:$K,BA122)="미래에셋_WRAP형CMA"),COUNTIF(예비비!$A$8:$A$12,INDEX(잔액!$C:$C,BA122))=1,COUNTIF(예비비!$A$8:$A$12,INDEX(잔액!$D:$D,BA122))=1),OR(AND(BB122&gt;=예비비!$B$3,BB122&lt;EDATE(예비비!$B$3,1)),AND(BB122&lt;EDATE(예비비!$B$3,1),COUNTIFS(예비비!$C$430:$C$729,BA122,예비비!$L$430:$L$729,예비비!$B$3,예비비!$N$430:$N$729,"OK")&gt;0))),MAX($BH$120:BH121)+1,0),0)</f>
        <v>0</v>
      </c>
      <c r="BI122">
        <f>IF(예비비!$R122="OK",SUMIFS(예비비!$O$430:$O$729,예비비!$B$430:$B$729,예비비!$A122,예비비!$E$430:$E$729,"&lt;"&amp;EDATE(BI$99,1),예비비!$F$430:$F$729,"결제대금비")+MAX(0,IF(예비비!$D122&lt;EDATE(BI$99,1),예비비!$E122,0)-SUMIFS(예비비!$O$430:$O$729,예비비!$B$430:$B$729,예비비!$A122,예비비!$E$430:$E$729,"&lt;"&amp;EDATE(BI$99,1))),0)</f>
        <v>0</v>
      </c>
      <c r="BJ122">
        <f>IF(예비비!$R122="OK",SUMIFS(예비비!$O$430:$O$729,예비비!$B$430:$B$729,예비비!$A122,예비비!$E$430:$E$729,"&lt;"&amp;EDATE(BJ$99,1),예비비!$F$430:$F$729,"결제대금비")+MAX(0,IF(예비비!$D122&lt;EDATE(BJ$99,1),예비비!$E122,0)-SUMIFS(예비비!$O$430:$O$729,예비비!$B$430:$B$729,예비비!$A122,예비비!$E$430:$E$729,"&lt;"&amp;EDATE(BJ$99,1))),0)</f>
        <v>0</v>
      </c>
      <c r="BK122">
        <f>IF(예비비!$R122="OK",SUMIFS(예비비!$O$430:$O$729,예비비!$B$430:$B$729,예비비!$A122,예비비!$E$430:$E$729,"&lt;"&amp;EDATE(BK$99,1),예비비!$F$430:$F$729,"결제대금비")+MAX(0,IF(예비비!$D122&lt;EDATE(BK$99,1),예비비!$E122,0)-SUMIFS(예비비!$O$430:$O$729,예비비!$B$430:$B$729,예비비!$A122,예비비!$E$430:$E$729,"&lt;"&amp;EDATE(BK$99,1))),0)</f>
        <v>0</v>
      </c>
      <c r="BL122">
        <f>IF(예비비!$R122="OK",SUMIFS(예비비!$O$430:$O$729,예비비!$B$430:$B$729,예비비!$A122,예비비!$E$430:$E$729,"&lt;"&amp;EDATE(BL$99,1),예비비!$F$430:$F$729,"결제대금비")+MAX(0,IF(예비비!$D122&lt;EDATE(BL$99,1),예비비!$E122,0)-SUMIFS(예비비!$O$430:$O$729,예비비!$B$430:$B$729,예비비!$A122,예비비!$E$430:$E$729,"&lt;"&amp;EDATE(BL$99,1))),0)</f>
        <v>0</v>
      </c>
      <c r="BM122">
        <f>IF(예비비!$R122="OK",SUMIFS(예비비!$O$430:$O$729,예비비!$B$430:$B$729,예비비!$A122,예비비!$E$430:$E$729,"&lt;"&amp;EDATE(BM$99,1),예비비!$F$430:$F$729,"결제대금비")+MAX(0,IF(예비비!$D122&lt;EDATE(BM$99,1),예비비!$E122,0)-SUMIFS(예비비!$O$430:$O$729,예비비!$B$430:$B$729,예비비!$A122,예비비!$E$430:$E$729,"&lt;"&amp;EDATE(BM$99,1))),0)</f>
        <v>0</v>
      </c>
      <c r="BN122">
        <f>IF(예비비!$R122="OK",SUMIFS(예비비!$O$430:$O$729,예비비!$B$430:$B$729,예비비!$A122,예비비!$E$430:$E$729,"&lt;"&amp;EDATE(BN$99,1),예비비!$F$430:$F$729,"결제대금비")+MAX(0,IF(예비비!$D122&lt;EDATE(BN$99,1),예비비!$E122,0)-SUMIFS(예비비!$O$430:$O$729,예비비!$B$430:$B$729,예비비!$A122,예비비!$E$430:$E$729,"&lt;"&amp;EDATE(BN$99,1))),0)</f>
        <v>0</v>
      </c>
      <c r="BO122">
        <f>IF(예비비!$R122="OK",SUMIFS(예비비!$O$430:$O$729,예비비!$B$430:$B$729,예비비!$A122,예비비!$E$430:$E$729,"&lt;"&amp;EDATE(BO$99,1),예비비!$F$430:$F$729,"결제대금비")+MAX(0,IF(예비비!$D122&lt;EDATE(BO$99,1),예비비!$E122,0)-SUMIFS(예비비!$O$430:$O$729,예비비!$B$430:$B$729,예비비!$A122,예비비!$E$430:$E$729,"&lt;"&amp;EDATE(BO$99,1))),0)</f>
        <v>0</v>
      </c>
      <c r="BP122">
        <f>IF(예비비!$R122="OK",SUMIFS(예비비!$O$430:$O$729,예비비!$B$430:$B$729,예비비!$A122,예비비!$E$430:$E$729,"&lt;"&amp;EDATE(BP$99,1),예비비!$F$430:$F$729,"결제대금비")+MAX(0,IF(예비비!$D122&lt;EDATE(BP$99,1),예비비!$E122,0)-SUMIFS(예비비!$O$430:$O$729,예비비!$B$430:$B$729,예비비!$A122,예비비!$E$430:$E$729,"&lt;"&amp;EDATE(BP$99,1))),0)</f>
        <v>0</v>
      </c>
      <c r="BQ122">
        <f>IF(예비비!$R122="OK",SUMIFS(예비비!$O$430:$O$729,예비비!$B$430:$B$729,예비비!$A122,예비비!$E$430:$E$729,"&lt;"&amp;EDATE(BQ$99,1),예비비!$F$430:$F$729,"결제대금비")+MAX(0,IF(예비비!$D122&lt;EDATE(BQ$99,1),예비비!$E122,0)-SUMIFS(예비비!$O$430:$O$729,예비비!$B$430:$B$729,예비비!$A122,예비비!$E$430:$E$729,"&lt;"&amp;EDATE(BQ$99,1))),0)</f>
        <v>0</v>
      </c>
      <c r="BR122">
        <f>IF(예비비!$R122="OK",SUMIFS(예비비!$O$430:$O$729,예비비!$B$430:$B$729,예비비!$A122,예비비!$E$430:$E$729,"&lt;"&amp;EDATE(BR$99,1),예비비!$F$430:$F$729,"결제대금비")+MAX(0,IF(예비비!$D122&lt;EDATE(BR$99,1),예비비!$E122,0)-SUMIFS(예비비!$O$430:$O$729,예비비!$B$430:$B$729,예비비!$A122,예비비!$E$430:$E$729,"&lt;"&amp;EDATE(BR$99,1))),0)</f>
        <v>0</v>
      </c>
      <c r="BS122">
        <f>IF(예비비!$R122="OK",SUMIFS(예비비!$O$430:$O$729,예비비!$B$430:$B$729,예비비!$A122,예비비!$E$430:$E$729,"&lt;"&amp;EDATE(BS$99,1),예비비!$F$430:$F$729,"결제대금비")+MAX(0,IF(예비비!$D122&lt;EDATE(BS$99,1),예비비!$E122,0)-SUMIFS(예비비!$O$430:$O$729,예비비!$B$430:$B$729,예비비!$A122,예비비!$E$430:$E$729,"&lt;"&amp;EDATE(BS$99,1))),0)</f>
        <v>0</v>
      </c>
      <c r="BT122">
        <f>IF(예비비!$R122="OK",SUMIFS(예비비!$O$430:$O$729,예비비!$B$430:$B$729,예비비!$A122,예비비!$E$430:$E$729,"&lt;"&amp;EDATE(BT$99,1),예비비!$F$430:$F$729,"결제대금비")+MAX(0,IF(예비비!$D122&lt;EDATE(BT$99,1),예비비!$E122,0)-SUMIFS(예비비!$O$430:$O$729,예비비!$B$430:$B$729,예비비!$A122,예비비!$E$430:$E$729,"&lt;"&amp;EDATE(BT$99,1))),0)</f>
        <v>0</v>
      </c>
      <c r="BU122">
        <f>IF(예비비!$R122="OK",SUMIFS(예비비!$O$430:$O$729,예비비!$B$430:$B$729,예비비!$A122,예비비!$E$430:$E$729,"&lt;"&amp;EDATE(BU$99,1),예비비!$F$430:$F$729,"결제대금비")+MAX(0,IF(예비비!$D122&lt;EDATE(BU$99,1),예비비!$E122,0)-SUMIFS(예비비!$O$430:$O$729,예비비!$B$430:$B$729,예비비!$A122,예비비!$E$430:$E$729,"&lt;"&amp;EDATE(BU$99,1))),0)</f>
        <v>0</v>
      </c>
    </row>
    <row r="123">
      <c r="BA123">
        <v>67</v>
      </c>
      <c r="BB123">
        <f>IFERROR(INDEX(잔액!$A:$A,BA123),0)</f>
        <v>46082.0</v>
      </c>
      <c r="BH123">
        <f>IFERROR(IF(AND(BB123&gt;0,OR(COUNTIFS(예비비!$C$430:$C$729,BA123,예비비!$N$430:$N$729,"OK")&gt;0,AND(INDEX(잔액!$J:$J,BA123)="가족통장",INDEX(잔액!$K:$K,BA123)="미래에셋_WRAP형CMA"),COUNTIF(예비비!$A$8:$A$12,INDEX(잔액!$C:$C,BA123))=1,COUNTIF(예비비!$A$8:$A$12,INDEX(잔액!$D:$D,BA123))=1),OR(AND(BB123&gt;=예비비!$B$3,BB123&lt;EDATE(예비비!$B$3,1)),AND(BB123&lt;EDATE(예비비!$B$3,1),COUNTIFS(예비비!$C$430:$C$729,BA123,예비비!$L$430:$L$729,예비비!$B$3,예비비!$N$430:$N$729,"OK")&gt;0))),MAX($BH$120:BH122)+1,0),0)</f>
        <v>0</v>
      </c>
      <c r="BI123">
        <f>IF(예비비!$R123="OK",SUMIFS(예비비!$O$430:$O$729,예비비!$B$430:$B$729,예비비!$A123,예비비!$E$430:$E$729,"&lt;"&amp;EDATE(BI$99,1),예비비!$F$430:$F$729,"결제대금비")+MAX(0,IF(예비비!$D123&lt;EDATE(BI$99,1),예비비!$E123,0)-SUMIFS(예비비!$O$430:$O$729,예비비!$B$430:$B$729,예비비!$A123,예비비!$E$430:$E$729,"&lt;"&amp;EDATE(BI$99,1))),0)</f>
        <v>0</v>
      </c>
      <c r="BJ123">
        <f>IF(예비비!$R123="OK",SUMIFS(예비비!$O$430:$O$729,예비비!$B$430:$B$729,예비비!$A123,예비비!$E$430:$E$729,"&lt;"&amp;EDATE(BJ$99,1),예비비!$F$430:$F$729,"결제대금비")+MAX(0,IF(예비비!$D123&lt;EDATE(BJ$99,1),예비비!$E123,0)-SUMIFS(예비비!$O$430:$O$729,예비비!$B$430:$B$729,예비비!$A123,예비비!$E$430:$E$729,"&lt;"&amp;EDATE(BJ$99,1))),0)</f>
        <v>0</v>
      </c>
      <c r="BK123">
        <f>IF(예비비!$R123="OK",SUMIFS(예비비!$O$430:$O$729,예비비!$B$430:$B$729,예비비!$A123,예비비!$E$430:$E$729,"&lt;"&amp;EDATE(BK$99,1),예비비!$F$430:$F$729,"결제대금비")+MAX(0,IF(예비비!$D123&lt;EDATE(BK$99,1),예비비!$E123,0)-SUMIFS(예비비!$O$430:$O$729,예비비!$B$430:$B$729,예비비!$A123,예비비!$E$430:$E$729,"&lt;"&amp;EDATE(BK$99,1))),0)</f>
        <v>0</v>
      </c>
      <c r="BL123">
        <f>IF(예비비!$R123="OK",SUMIFS(예비비!$O$430:$O$729,예비비!$B$430:$B$729,예비비!$A123,예비비!$E$430:$E$729,"&lt;"&amp;EDATE(BL$99,1),예비비!$F$430:$F$729,"결제대금비")+MAX(0,IF(예비비!$D123&lt;EDATE(BL$99,1),예비비!$E123,0)-SUMIFS(예비비!$O$430:$O$729,예비비!$B$430:$B$729,예비비!$A123,예비비!$E$430:$E$729,"&lt;"&amp;EDATE(BL$99,1))),0)</f>
        <v>0</v>
      </c>
      <c r="BM123">
        <f>IF(예비비!$R123="OK",SUMIFS(예비비!$O$430:$O$729,예비비!$B$430:$B$729,예비비!$A123,예비비!$E$430:$E$729,"&lt;"&amp;EDATE(BM$99,1),예비비!$F$430:$F$729,"결제대금비")+MAX(0,IF(예비비!$D123&lt;EDATE(BM$99,1),예비비!$E123,0)-SUMIFS(예비비!$O$430:$O$729,예비비!$B$430:$B$729,예비비!$A123,예비비!$E$430:$E$729,"&lt;"&amp;EDATE(BM$99,1))),0)</f>
        <v>0</v>
      </c>
      <c r="BN123">
        <f>IF(예비비!$R123="OK",SUMIFS(예비비!$O$430:$O$729,예비비!$B$430:$B$729,예비비!$A123,예비비!$E$430:$E$729,"&lt;"&amp;EDATE(BN$99,1),예비비!$F$430:$F$729,"결제대금비")+MAX(0,IF(예비비!$D123&lt;EDATE(BN$99,1),예비비!$E123,0)-SUMIFS(예비비!$O$430:$O$729,예비비!$B$430:$B$729,예비비!$A123,예비비!$E$430:$E$729,"&lt;"&amp;EDATE(BN$99,1))),0)</f>
        <v>0</v>
      </c>
      <c r="BO123">
        <f>IF(예비비!$R123="OK",SUMIFS(예비비!$O$430:$O$729,예비비!$B$430:$B$729,예비비!$A123,예비비!$E$430:$E$729,"&lt;"&amp;EDATE(BO$99,1),예비비!$F$430:$F$729,"결제대금비")+MAX(0,IF(예비비!$D123&lt;EDATE(BO$99,1),예비비!$E123,0)-SUMIFS(예비비!$O$430:$O$729,예비비!$B$430:$B$729,예비비!$A123,예비비!$E$430:$E$729,"&lt;"&amp;EDATE(BO$99,1))),0)</f>
        <v>0</v>
      </c>
      <c r="BP123">
        <f>IF(예비비!$R123="OK",SUMIFS(예비비!$O$430:$O$729,예비비!$B$430:$B$729,예비비!$A123,예비비!$E$430:$E$729,"&lt;"&amp;EDATE(BP$99,1),예비비!$F$430:$F$729,"결제대금비")+MAX(0,IF(예비비!$D123&lt;EDATE(BP$99,1),예비비!$E123,0)-SUMIFS(예비비!$O$430:$O$729,예비비!$B$430:$B$729,예비비!$A123,예비비!$E$430:$E$729,"&lt;"&amp;EDATE(BP$99,1))),0)</f>
        <v>0</v>
      </c>
      <c r="BQ123">
        <f>IF(예비비!$R123="OK",SUMIFS(예비비!$O$430:$O$729,예비비!$B$430:$B$729,예비비!$A123,예비비!$E$430:$E$729,"&lt;"&amp;EDATE(BQ$99,1),예비비!$F$430:$F$729,"결제대금비")+MAX(0,IF(예비비!$D123&lt;EDATE(BQ$99,1),예비비!$E123,0)-SUMIFS(예비비!$O$430:$O$729,예비비!$B$430:$B$729,예비비!$A123,예비비!$E$430:$E$729,"&lt;"&amp;EDATE(BQ$99,1))),0)</f>
        <v>0</v>
      </c>
      <c r="BR123">
        <f>IF(예비비!$R123="OK",SUMIFS(예비비!$O$430:$O$729,예비비!$B$430:$B$729,예비비!$A123,예비비!$E$430:$E$729,"&lt;"&amp;EDATE(BR$99,1),예비비!$F$430:$F$729,"결제대금비")+MAX(0,IF(예비비!$D123&lt;EDATE(BR$99,1),예비비!$E123,0)-SUMIFS(예비비!$O$430:$O$729,예비비!$B$430:$B$729,예비비!$A123,예비비!$E$430:$E$729,"&lt;"&amp;EDATE(BR$99,1))),0)</f>
        <v>0</v>
      </c>
      <c r="BS123">
        <f>IF(예비비!$R123="OK",SUMIFS(예비비!$O$430:$O$729,예비비!$B$430:$B$729,예비비!$A123,예비비!$E$430:$E$729,"&lt;"&amp;EDATE(BS$99,1),예비비!$F$430:$F$729,"결제대금비")+MAX(0,IF(예비비!$D123&lt;EDATE(BS$99,1),예비비!$E123,0)-SUMIFS(예비비!$O$430:$O$729,예비비!$B$430:$B$729,예비비!$A123,예비비!$E$430:$E$729,"&lt;"&amp;EDATE(BS$99,1))),0)</f>
        <v>0</v>
      </c>
      <c r="BT123">
        <f>IF(예비비!$R123="OK",SUMIFS(예비비!$O$430:$O$729,예비비!$B$430:$B$729,예비비!$A123,예비비!$E$430:$E$729,"&lt;"&amp;EDATE(BT$99,1),예비비!$F$430:$F$729,"결제대금비")+MAX(0,IF(예비비!$D123&lt;EDATE(BT$99,1),예비비!$E123,0)-SUMIFS(예비비!$O$430:$O$729,예비비!$B$430:$B$729,예비비!$A123,예비비!$E$430:$E$729,"&lt;"&amp;EDATE(BT$99,1))),0)</f>
        <v>0</v>
      </c>
      <c r="BU123">
        <f>IF(예비비!$R123="OK",SUMIFS(예비비!$O$430:$O$729,예비비!$B$430:$B$729,예비비!$A123,예비비!$E$430:$E$729,"&lt;"&amp;EDATE(BU$99,1),예비비!$F$430:$F$729,"결제대금비")+MAX(0,IF(예비비!$D123&lt;EDATE(BU$99,1),예비비!$E123,0)-SUMIFS(예비비!$O$430:$O$729,예비비!$B$430:$B$729,예비비!$A123,예비비!$E$430:$E$729,"&lt;"&amp;EDATE(BU$99,1))),0)</f>
        <v>0</v>
      </c>
    </row>
    <row r="124">
      <c r="BA124">
        <v>68</v>
      </c>
      <c r="BB124">
        <f>IFERROR(INDEX(잔액!$A:$A,BA124),0)</f>
        <v>46082.0</v>
      </c>
      <c r="BH124">
        <f>IFERROR(IF(AND(BB124&gt;0,OR(COUNTIFS(예비비!$C$430:$C$729,BA124,예비비!$N$430:$N$729,"OK")&gt;0,AND(INDEX(잔액!$J:$J,BA124)="가족통장",INDEX(잔액!$K:$K,BA124)="미래에셋_WRAP형CMA"),COUNTIF(예비비!$A$8:$A$12,INDEX(잔액!$C:$C,BA124))=1,COUNTIF(예비비!$A$8:$A$12,INDEX(잔액!$D:$D,BA124))=1),OR(AND(BB124&gt;=예비비!$B$3,BB124&lt;EDATE(예비비!$B$3,1)),AND(BB124&lt;EDATE(예비비!$B$3,1),COUNTIFS(예비비!$C$430:$C$729,BA124,예비비!$L$430:$L$729,예비비!$B$3,예비비!$N$430:$N$729,"OK")&gt;0))),MAX($BH$120:BH123)+1,0),0)</f>
        <v>0</v>
      </c>
      <c r="BI124">
        <f>IF(예비비!$R124="OK",SUMIFS(예비비!$O$430:$O$729,예비비!$B$430:$B$729,예비비!$A124,예비비!$E$430:$E$729,"&lt;"&amp;EDATE(BI$99,1),예비비!$F$430:$F$729,"결제대금비")+MAX(0,IF(예비비!$D124&lt;EDATE(BI$99,1),예비비!$E124,0)-SUMIFS(예비비!$O$430:$O$729,예비비!$B$430:$B$729,예비비!$A124,예비비!$E$430:$E$729,"&lt;"&amp;EDATE(BI$99,1))),0)</f>
        <v>0</v>
      </c>
      <c r="BJ124">
        <f>IF(예비비!$R124="OK",SUMIFS(예비비!$O$430:$O$729,예비비!$B$430:$B$729,예비비!$A124,예비비!$E$430:$E$729,"&lt;"&amp;EDATE(BJ$99,1),예비비!$F$430:$F$729,"결제대금비")+MAX(0,IF(예비비!$D124&lt;EDATE(BJ$99,1),예비비!$E124,0)-SUMIFS(예비비!$O$430:$O$729,예비비!$B$430:$B$729,예비비!$A124,예비비!$E$430:$E$729,"&lt;"&amp;EDATE(BJ$99,1))),0)</f>
        <v>0</v>
      </c>
      <c r="BK124">
        <f>IF(예비비!$R124="OK",SUMIFS(예비비!$O$430:$O$729,예비비!$B$430:$B$729,예비비!$A124,예비비!$E$430:$E$729,"&lt;"&amp;EDATE(BK$99,1),예비비!$F$430:$F$729,"결제대금비")+MAX(0,IF(예비비!$D124&lt;EDATE(BK$99,1),예비비!$E124,0)-SUMIFS(예비비!$O$430:$O$729,예비비!$B$430:$B$729,예비비!$A124,예비비!$E$430:$E$729,"&lt;"&amp;EDATE(BK$99,1))),0)</f>
        <v>0</v>
      </c>
      <c r="BL124">
        <f>IF(예비비!$R124="OK",SUMIFS(예비비!$O$430:$O$729,예비비!$B$430:$B$729,예비비!$A124,예비비!$E$430:$E$729,"&lt;"&amp;EDATE(BL$99,1),예비비!$F$430:$F$729,"결제대금비")+MAX(0,IF(예비비!$D124&lt;EDATE(BL$99,1),예비비!$E124,0)-SUMIFS(예비비!$O$430:$O$729,예비비!$B$430:$B$729,예비비!$A124,예비비!$E$430:$E$729,"&lt;"&amp;EDATE(BL$99,1))),0)</f>
        <v>0</v>
      </c>
      <c r="BM124">
        <f>IF(예비비!$R124="OK",SUMIFS(예비비!$O$430:$O$729,예비비!$B$430:$B$729,예비비!$A124,예비비!$E$430:$E$729,"&lt;"&amp;EDATE(BM$99,1),예비비!$F$430:$F$729,"결제대금비")+MAX(0,IF(예비비!$D124&lt;EDATE(BM$99,1),예비비!$E124,0)-SUMIFS(예비비!$O$430:$O$729,예비비!$B$430:$B$729,예비비!$A124,예비비!$E$430:$E$729,"&lt;"&amp;EDATE(BM$99,1))),0)</f>
        <v>0</v>
      </c>
      <c r="BN124">
        <f>IF(예비비!$R124="OK",SUMIFS(예비비!$O$430:$O$729,예비비!$B$430:$B$729,예비비!$A124,예비비!$E$430:$E$729,"&lt;"&amp;EDATE(BN$99,1),예비비!$F$430:$F$729,"결제대금비")+MAX(0,IF(예비비!$D124&lt;EDATE(BN$99,1),예비비!$E124,0)-SUMIFS(예비비!$O$430:$O$729,예비비!$B$430:$B$729,예비비!$A124,예비비!$E$430:$E$729,"&lt;"&amp;EDATE(BN$99,1))),0)</f>
        <v>0</v>
      </c>
      <c r="BO124">
        <f>IF(예비비!$R124="OK",SUMIFS(예비비!$O$430:$O$729,예비비!$B$430:$B$729,예비비!$A124,예비비!$E$430:$E$729,"&lt;"&amp;EDATE(BO$99,1),예비비!$F$430:$F$729,"결제대금비")+MAX(0,IF(예비비!$D124&lt;EDATE(BO$99,1),예비비!$E124,0)-SUMIFS(예비비!$O$430:$O$729,예비비!$B$430:$B$729,예비비!$A124,예비비!$E$430:$E$729,"&lt;"&amp;EDATE(BO$99,1))),0)</f>
        <v>0</v>
      </c>
      <c r="BP124">
        <f>IF(예비비!$R124="OK",SUMIFS(예비비!$O$430:$O$729,예비비!$B$430:$B$729,예비비!$A124,예비비!$E$430:$E$729,"&lt;"&amp;EDATE(BP$99,1),예비비!$F$430:$F$729,"결제대금비")+MAX(0,IF(예비비!$D124&lt;EDATE(BP$99,1),예비비!$E124,0)-SUMIFS(예비비!$O$430:$O$729,예비비!$B$430:$B$729,예비비!$A124,예비비!$E$430:$E$729,"&lt;"&amp;EDATE(BP$99,1))),0)</f>
        <v>0</v>
      </c>
      <c r="BQ124">
        <f>IF(예비비!$R124="OK",SUMIFS(예비비!$O$430:$O$729,예비비!$B$430:$B$729,예비비!$A124,예비비!$E$430:$E$729,"&lt;"&amp;EDATE(BQ$99,1),예비비!$F$430:$F$729,"결제대금비")+MAX(0,IF(예비비!$D124&lt;EDATE(BQ$99,1),예비비!$E124,0)-SUMIFS(예비비!$O$430:$O$729,예비비!$B$430:$B$729,예비비!$A124,예비비!$E$430:$E$729,"&lt;"&amp;EDATE(BQ$99,1))),0)</f>
        <v>0</v>
      </c>
      <c r="BR124">
        <f>IF(예비비!$R124="OK",SUMIFS(예비비!$O$430:$O$729,예비비!$B$430:$B$729,예비비!$A124,예비비!$E$430:$E$729,"&lt;"&amp;EDATE(BR$99,1),예비비!$F$430:$F$729,"결제대금비")+MAX(0,IF(예비비!$D124&lt;EDATE(BR$99,1),예비비!$E124,0)-SUMIFS(예비비!$O$430:$O$729,예비비!$B$430:$B$729,예비비!$A124,예비비!$E$430:$E$729,"&lt;"&amp;EDATE(BR$99,1))),0)</f>
        <v>0</v>
      </c>
      <c r="BS124">
        <f>IF(예비비!$R124="OK",SUMIFS(예비비!$O$430:$O$729,예비비!$B$430:$B$729,예비비!$A124,예비비!$E$430:$E$729,"&lt;"&amp;EDATE(BS$99,1),예비비!$F$430:$F$729,"결제대금비")+MAX(0,IF(예비비!$D124&lt;EDATE(BS$99,1),예비비!$E124,0)-SUMIFS(예비비!$O$430:$O$729,예비비!$B$430:$B$729,예비비!$A124,예비비!$E$430:$E$729,"&lt;"&amp;EDATE(BS$99,1))),0)</f>
        <v>0</v>
      </c>
      <c r="BT124">
        <f>IF(예비비!$R124="OK",SUMIFS(예비비!$O$430:$O$729,예비비!$B$430:$B$729,예비비!$A124,예비비!$E$430:$E$729,"&lt;"&amp;EDATE(BT$99,1),예비비!$F$430:$F$729,"결제대금비")+MAX(0,IF(예비비!$D124&lt;EDATE(BT$99,1),예비비!$E124,0)-SUMIFS(예비비!$O$430:$O$729,예비비!$B$430:$B$729,예비비!$A124,예비비!$E$430:$E$729,"&lt;"&amp;EDATE(BT$99,1))),0)</f>
        <v>0</v>
      </c>
      <c r="BU124">
        <f>IF(예비비!$R124="OK",SUMIFS(예비비!$O$430:$O$729,예비비!$B$430:$B$729,예비비!$A124,예비비!$E$430:$E$729,"&lt;"&amp;EDATE(BU$99,1),예비비!$F$430:$F$729,"결제대금비")+MAX(0,IF(예비비!$D124&lt;EDATE(BU$99,1),예비비!$E124,0)-SUMIFS(예비비!$O$430:$O$729,예비비!$B$430:$B$729,예비비!$A124,예비비!$E$430:$E$729,"&lt;"&amp;EDATE(BU$99,1))),0)</f>
        <v>0</v>
      </c>
    </row>
    <row r="125">
      <c r="BA125">
        <v>69</v>
      </c>
      <c r="BB125">
        <f>IFERROR(INDEX(잔액!$A:$A,BA125),0)</f>
        <v>46082.0</v>
      </c>
      <c r="BH125">
        <f>IFERROR(IF(AND(BB125&gt;0,OR(COUNTIFS(예비비!$C$430:$C$729,BA125,예비비!$N$430:$N$729,"OK")&gt;0,AND(INDEX(잔액!$J:$J,BA125)="가족통장",INDEX(잔액!$K:$K,BA125)="미래에셋_WRAP형CMA"),COUNTIF(예비비!$A$8:$A$12,INDEX(잔액!$C:$C,BA125))=1,COUNTIF(예비비!$A$8:$A$12,INDEX(잔액!$D:$D,BA125))=1),OR(AND(BB125&gt;=예비비!$B$3,BB125&lt;EDATE(예비비!$B$3,1)),AND(BB125&lt;EDATE(예비비!$B$3,1),COUNTIFS(예비비!$C$430:$C$729,BA125,예비비!$L$430:$L$729,예비비!$B$3,예비비!$N$430:$N$729,"OK")&gt;0))),MAX($BH$120:BH124)+1,0),0)</f>
        <v>0</v>
      </c>
      <c r="BI125">
        <f>IF(예비비!$R125="OK",SUMIFS(예비비!$O$430:$O$729,예비비!$B$430:$B$729,예비비!$A125,예비비!$E$430:$E$729,"&lt;"&amp;EDATE(BI$99,1),예비비!$F$430:$F$729,"결제대금비")+MAX(0,IF(예비비!$D125&lt;EDATE(BI$99,1),예비비!$E125,0)-SUMIFS(예비비!$O$430:$O$729,예비비!$B$430:$B$729,예비비!$A125,예비비!$E$430:$E$729,"&lt;"&amp;EDATE(BI$99,1))),0)</f>
        <v>0</v>
      </c>
      <c r="BJ125">
        <f>IF(예비비!$R125="OK",SUMIFS(예비비!$O$430:$O$729,예비비!$B$430:$B$729,예비비!$A125,예비비!$E$430:$E$729,"&lt;"&amp;EDATE(BJ$99,1),예비비!$F$430:$F$729,"결제대금비")+MAX(0,IF(예비비!$D125&lt;EDATE(BJ$99,1),예비비!$E125,0)-SUMIFS(예비비!$O$430:$O$729,예비비!$B$430:$B$729,예비비!$A125,예비비!$E$430:$E$729,"&lt;"&amp;EDATE(BJ$99,1))),0)</f>
        <v>0</v>
      </c>
      <c r="BK125">
        <f>IF(예비비!$R125="OK",SUMIFS(예비비!$O$430:$O$729,예비비!$B$430:$B$729,예비비!$A125,예비비!$E$430:$E$729,"&lt;"&amp;EDATE(BK$99,1),예비비!$F$430:$F$729,"결제대금비")+MAX(0,IF(예비비!$D125&lt;EDATE(BK$99,1),예비비!$E125,0)-SUMIFS(예비비!$O$430:$O$729,예비비!$B$430:$B$729,예비비!$A125,예비비!$E$430:$E$729,"&lt;"&amp;EDATE(BK$99,1))),0)</f>
        <v>0</v>
      </c>
      <c r="BL125">
        <f>IF(예비비!$R125="OK",SUMIFS(예비비!$O$430:$O$729,예비비!$B$430:$B$729,예비비!$A125,예비비!$E$430:$E$729,"&lt;"&amp;EDATE(BL$99,1),예비비!$F$430:$F$729,"결제대금비")+MAX(0,IF(예비비!$D125&lt;EDATE(BL$99,1),예비비!$E125,0)-SUMIFS(예비비!$O$430:$O$729,예비비!$B$430:$B$729,예비비!$A125,예비비!$E$430:$E$729,"&lt;"&amp;EDATE(BL$99,1))),0)</f>
        <v>0</v>
      </c>
      <c r="BM125">
        <f>IF(예비비!$R125="OK",SUMIFS(예비비!$O$430:$O$729,예비비!$B$430:$B$729,예비비!$A125,예비비!$E$430:$E$729,"&lt;"&amp;EDATE(BM$99,1),예비비!$F$430:$F$729,"결제대금비")+MAX(0,IF(예비비!$D125&lt;EDATE(BM$99,1),예비비!$E125,0)-SUMIFS(예비비!$O$430:$O$729,예비비!$B$430:$B$729,예비비!$A125,예비비!$E$430:$E$729,"&lt;"&amp;EDATE(BM$99,1))),0)</f>
        <v>0</v>
      </c>
      <c r="BN125">
        <f>IF(예비비!$R125="OK",SUMIFS(예비비!$O$430:$O$729,예비비!$B$430:$B$729,예비비!$A125,예비비!$E$430:$E$729,"&lt;"&amp;EDATE(BN$99,1),예비비!$F$430:$F$729,"결제대금비")+MAX(0,IF(예비비!$D125&lt;EDATE(BN$99,1),예비비!$E125,0)-SUMIFS(예비비!$O$430:$O$729,예비비!$B$430:$B$729,예비비!$A125,예비비!$E$430:$E$729,"&lt;"&amp;EDATE(BN$99,1))),0)</f>
        <v>0</v>
      </c>
      <c r="BO125">
        <f>IF(예비비!$R125="OK",SUMIFS(예비비!$O$430:$O$729,예비비!$B$430:$B$729,예비비!$A125,예비비!$E$430:$E$729,"&lt;"&amp;EDATE(BO$99,1),예비비!$F$430:$F$729,"결제대금비")+MAX(0,IF(예비비!$D125&lt;EDATE(BO$99,1),예비비!$E125,0)-SUMIFS(예비비!$O$430:$O$729,예비비!$B$430:$B$729,예비비!$A125,예비비!$E$430:$E$729,"&lt;"&amp;EDATE(BO$99,1))),0)</f>
        <v>0</v>
      </c>
      <c r="BP125">
        <f>IF(예비비!$R125="OK",SUMIFS(예비비!$O$430:$O$729,예비비!$B$430:$B$729,예비비!$A125,예비비!$E$430:$E$729,"&lt;"&amp;EDATE(BP$99,1),예비비!$F$430:$F$729,"결제대금비")+MAX(0,IF(예비비!$D125&lt;EDATE(BP$99,1),예비비!$E125,0)-SUMIFS(예비비!$O$430:$O$729,예비비!$B$430:$B$729,예비비!$A125,예비비!$E$430:$E$729,"&lt;"&amp;EDATE(BP$99,1))),0)</f>
        <v>0</v>
      </c>
      <c r="BQ125">
        <f>IF(예비비!$R125="OK",SUMIFS(예비비!$O$430:$O$729,예비비!$B$430:$B$729,예비비!$A125,예비비!$E$430:$E$729,"&lt;"&amp;EDATE(BQ$99,1),예비비!$F$430:$F$729,"결제대금비")+MAX(0,IF(예비비!$D125&lt;EDATE(BQ$99,1),예비비!$E125,0)-SUMIFS(예비비!$O$430:$O$729,예비비!$B$430:$B$729,예비비!$A125,예비비!$E$430:$E$729,"&lt;"&amp;EDATE(BQ$99,1))),0)</f>
        <v>0</v>
      </c>
      <c r="BR125">
        <f>IF(예비비!$R125="OK",SUMIFS(예비비!$O$430:$O$729,예비비!$B$430:$B$729,예비비!$A125,예비비!$E$430:$E$729,"&lt;"&amp;EDATE(BR$99,1),예비비!$F$430:$F$729,"결제대금비")+MAX(0,IF(예비비!$D125&lt;EDATE(BR$99,1),예비비!$E125,0)-SUMIFS(예비비!$O$430:$O$729,예비비!$B$430:$B$729,예비비!$A125,예비비!$E$430:$E$729,"&lt;"&amp;EDATE(BR$99,1))),0)</f>
        <v>0</v>
      </c>
      <c r="BS125">
        <f>IF(예비비!$R125="OK",SUMIFS(예비비!$O$430:$O$729,예비비!$B$430:$B$729,예비비!$A125,예비비!$E$430:$E$729,"&lt;"&amp;EDATE(BS$99,1),예비비!$F$430:$F$729,"결제대금비")+MAX(0,IF(예비비!$D125&lt;EDATE(BS$99,1),예비비!$E125,0)-SUMIFS(예비비!$O$430:$O$729,예비비!$B$430:$B$729,예비비!$A125,예비비!$E$430:$E$729,"&lt;"&amp;EDATE(BS$99,1))),0)</f>
        <v>0</v>
      </c>
      <c r="BT125">
        <f>IF(예비비!$R125="OK",SUMIFS(예비비!$O$430:$O$729,예비비!$B$430:$B$729,예비비!$A125,예비비!$E$430:$E$729,"&lt;"&amp;EDATE(BT$99,1),예비비!$F$430:$F$729,"결제대금비")+MAX(0,IF(예비비!$D125&lt;EDATE(BT$99,1),예비비!$E125,0)-SUMIFS(예비비!$O$430:$O$729,예비비!$B$430:$B$729,예비비!$A125,예비비!$E$430:$E$729,"&lt;"&amp;EDATE(BT$99,1))),0)</f>
        <v>0</v>
      </c>
      <c r="BU125">
        <f>IF(예비비!$R125="OK",SUMIFS(예비비!$O$430:$O$729,예비비!$B$430:$B$729,예비비!$A125,예비비!$E$430:$E$729,"&lt;"&amp;EDATE(BU$99,1),예비비!$F$430:$F$729,"결제대금비")+MAX(0,IF(예비비!$D125&lt;EDATE(BU$99,1),예비비!$E125,0)-SUMIFS(예비비!$O$430:$O$729,예비비!$B$430:$B$729,예비비!$A125,예비비!$E$430:$E$729,"&lt;"&amp;EDATE(BU$99,1))),0)</f>
        <v>0</v>
      </c>
    </row>
    <row r="126">
      <c r="BA126">
        <v>70</v>
      </c>
      <c r="BB126">
        <f>IFERROR(INDEX(잔액!$A:$A,BA126),0)</f>
        <v>46082.0</v>
      </c>
      <c r="BH126">
        <f>IFERROR(IF(AND(BB126&gt;0,OR(COUNTIFS(예비비!$C$430:$C$729,BA126,예비비!$N$430:$N$729,"OK")&gt;0,AND(INDEX(잔액!$J:$J,BA126)="가족통장",INDEX(잔액!$K:$K,BA126)="미래에셋_WRAP형CMA"),COUNTIF(예비비!$A$8:$A$12,INDEX(잔액!$C:$C,BA126))=1,COUNTIF(예비비!$A$8:$A$12,INDEX(잔액!$D:$D,BA126))=1),OR(AND(BB126&gt;=예비비!$B$3,BB126&lt;EDATE(예비비!$B$3,1)),AND(BB126&lt;EDATE(예비비!$B$3,1),COUNTIFS(예비비!$C$430:$C$729,BA126,예비비!$L$430:$L$729,예비비!$B$3,예비비!$N$430:$N$729,"OK")&gt;0))),MAX($BH$120:BH125)+1,0),0)</f>
        <v>0</v>
      </c>
      <c r="BI126">
        <f>IF(예비비!$R126="OK",SUMIFS(예비비!$O$430:$O$729,예비비!$B$430:$B$729,예비비!$A126,예비비!$E$430:$E$729,"&lt;"&amp;EDATE(BI$99,1),예비비!$F$430:$F$729,"결제대금비")+MAX(0,IF(예비비!$D126&lt;EDATE(BI$99,1),예비비!$E126,0)-SUMIFS(예비비!$O$430:$O$729,예비비!$B$430:$B$729,예비비!$A126,예비비!$E$430:$E$729,"&lt;"&amp;EDATE(BI$99,1))),0)</f>
        <v>0</v>
      </c>
      <c r="BJ126">
        <f>IF(예비비!$R126="OK",SUMIFS(예비비!$O$430:$O$729,예비비!$B$430:$B$729,예비비!$A126,예비비!$E$430:$E$729,"&lt;"&amp;EDATE(BJ$99,1),예비비!$F$430:$F$729,"결제대금비")+MAX(0,IF(예비비!$D126&lt;EDATE(BJ$99,1),예비비!$E126,0)-SUMIFS(예비비!$O$430:$O$729,예비비!$B$430:$B$729,예비비!$A126,예비비!$E$430:$E$729,"&lt;"&amp;EDATE(BJ$99,1))),0)</f>
        <v>0</v>
      </c>
      <c r="BK126">
        <f>IF(예비비!$R126="OK",SUMIFS(예비비!$O$430:$O$729,예비비!$B$430:$B$729,예비비!$A126,예비비!$E$430:$E$729,"&lt;"&amp;EDATE(BK$99,1),예비비!$F$430:$F$729,"결제대금비")+MAX(0,IF(예비비!$D126&lt;EDATE(BK$99,1),예비비!$E126,0)-SUMIFS(예비비!$O$430:$O$729,예비비!$B$430:$B$729,예비비!$A126,예비비!$E$430:$E$729,"&lt;"&amp;EDATE(BK$99,1))),0)</f>
        <v>0</v>
      </c>
      <c r="BL126">
        <f>IF(예비비!$R126="OK",SUMIFS(예비비!$O$430:$O$729,예비비!$B$430:$B$729,예비비!$A126,예비비!$E$430:$E$729,"&lt;"&amp;EDATE(BL$99,1),예비비!$F$430:$F$729,"결제대금비")+MAX(0,IF(예비비!$D126&lt;EDATE(BL$99,1),예비비!$E126,0)-SUMIFS(예비비!$O$430:$O$729,예비비!$B$430:$B$729,예비비!$A126,예비비!$E$430:$E$729,"&lt;"&amp;EDATE(BL$99,1))),0)</f>
        <v>0</v>
      </c>
      <c r="BM126">
        <f>IF(예비비!$R126="OK",SUMIFS(예비비!$O$430:$O$729,예비비!$B$430:$B$729,예비비!$A126,예비비!$E$430:$E$729,"&lt;"&amp;EDATE(BM$99,1),예비비!$F$430:$F$729,"결제대금비")+MAX(0,IF(예비비!$D126&lt;EDATE(BM$99,1),예비비!$E126,0)-SUMIFS(예비비!$O$430:$O$729,예비비!$B$430:$B$729,예비비!$A126,예비비!$E$430:$E$729,"&lt;"&amp;EDATE(BM$99,1))),0)</f>
        <v>0</v>
      </c>
      <c r="BN126">
        <f>IF(예비비!$R126="OK",SUMIFS(예비비!$O$430:$O$729,예비비!$B$430:$B$729,예비비!$A126,예비비!$E$430:$E$729,"&lt;"&amp;EDATE(BN$99,1),예비비!$F$430:$F$729,"결제대금비")+MAX(0,IF(예비비!$D126&lt;EDATE(BN$99,1),예비비!$E126,0)-SUMIFS(예비비!$O$430:$O$729,예비비!$B$430:$B$729,예비비!$A126,예비비!$E$430:$E$729,"&lt;"&amp;EDATE(BN$99,1))),0)</f>
        <v>0</v>
      </c>
      <c r="BO126">
        <f>IF(예비비!$R126="OK",SUMIFS(예비비!$O$430:$O$729,예비비!$B$430:$B$729,예비비!$A126,예비비!$E$430:$E$729,"&lt;"&amp;EDATE(BO$99,1),예비비!$F$430:$F$729,"결제대금비")+MAX(0,IF(예비비!$D126&lt;EDATE(BO$99,1),예비비!$E126,0)-SUMIFS(예비비!$O$430:$O$729,예비비!$B$430:$B$729,예비비!$A126,예비비!$E$430:$E$729,"&lt;"&amp;EDATE(BO$99,1))),0)</f>
        <v>0</v>
      </c>
      <c r="BP126">
        <f>IF(예비비!$R126="OK",SUMIFS(예비비!$O$430:$O$729,예비비!$B$430:$B$729,예비비!$A126,예비비!$E$430:$E$729,"&lt;"&amp;EDATE(BP$99,1),예비비!$F$430:$F$729,"결제대금비")+MAX(0,IF(예비비!$D126&lt;EDATE(BP$99,1),예비비!$E126,0)-SUMIFS(예비비!$O$430:$O$729,예비비!$B$430:$B$729,예비비!$A126,예비비!$E$430:$E$729,"&lt;"&amp;EDATE(BP$99,1))),0)</f>
        <v>0</v>
      </c>
      <c r="BQ126">
        <f>IF(예비비!$R126="OK",SUMIFS(예비비!$O$430:$O$729,예비비!$B$430:$B$729,예비비!$A126,예비비!$E$430:$E$729,"&lt;"&amp;EDATE(BQ$99,1),예비비!$F$430:$F$729,"결제대금비")+MAX(0,IF(예비비!$D126&lt;EDATE(BQ$99,1),예비비!$E126,0)-SUMIFS(예비비!$O$430:$O$729,예비비!$B$430:$B$729,예비비!$A126,예비비!$E$430:$E$729,"&lt;"&amp;EDATE(BQ$99,1))),0)</f>
        <v>0</v>
      </c>
      <c r="BR126">
        <f>IF(예비비!$R126="OK",SUMIFS(예비비!$O$430:$O$729,예비비!$B$430:$B$729,예비비!$A126,예비비!$E$430:$E$729,"&lt;"&amp;EDATE(BR$99,1),예비비!$F$430:$F$729,"결제대금비")+MAX(0,IF(예비비!$D126&lt;EDATE(BR$99,1),예비비!$E126,0)-SUMIFS(예비비!$O$430:$O$729,예비비!$B$430:$B$729,예비비!$A126,예비비!$E$430:$E$729,"&lt;"&amp;EDATE(BR$99,1))),0)</f>
        <v>0</v>
      </c>
      <c r="BS126">
        <f>IF(예비비!$R126="OK",SUMIFS(예비비!$O$430:$O$729,예비비!$B$430:$B$729,예비비!$A126,예비비!$E$430:$E$729,"&lt;"&amp;EDATE(BS$99,1),예비비!$F$430:$F$729,"결제대금비")+MAX(0,IF(예비비!$D126&lt;EDATE(BS$99,1),예비비!$E126,0)-SUMIFS(예비비!$O$430:$O$729,예비비!$B$430:$B$729,예비비!$A126,예비비!$E$430:$E$729,"&lt;"&amp;EDATE(BS$99,1))),0)</f>
        <v>0</v>
      </c>
      <c r="BT126">
        <f>IF(예비비!$R126="OK",SUMIFS(예비비!$O$430:$O$729,예비비!$B$430:$B$729,예비비!$A126,예비비!$E$430:$E$729,"&lt;"&amp;EDATE(BT$99,1),예비비!$F$430:$F$729,"결제대금비")+MAX(0,IF(예비비!$D126&lt;EDATE(BT$99,1),예비비!$E126,0)-SUMIFS(예비비!$O$430:$O$729,예비비!$B$430:$B$729,예비비!$A126,예비비!$E$430:$E$729,"&lt;"&amp;EDATE(BT$99,1))),0)</f>
        <v>0</v>
      </c>
      <c r="BU126">
        <f>IF(예비비!$R126="OK",SUMIFS(예비비!$O$430:$O$729,예비비!$B$430:$B$729,예비비!$A126,예비비!$E$430:$E$729,"&lt;"&amp;EDATE(BU$99,1),예비비!$F$430:$F$729,"결제대금비")+MAX(0,IF(예비비!$D126&lt;EDATE(BU$99,1),예비비!$E126,0)-SUMIFS(예비비!$O$430:$O$729,예비비!$B$430:$B$729,예비비!$A126,예비비!$E$430:$E$729,"&lt;"&amp;EDATE(BU$99,1))),0)</f>
        <v>0</v>
      </c>
    </row>
    <row r="127">
      <c r="BA127">
        <v>71</v>
      </c>
      <c r="BB127">
        <f>IFERROR(INDEX(잔액!$A:$A,BA127),0)</f>
        <v>46082.0</v>
      </c>
      <c r="BH127">
        <f>IFERROR(IF(AND(BB127&gt;0,OR(COUNTIFS(예비비!$C$430:$C$729,BA127,예비비!$N$430:$N$729,"OK")&gt;0,AND(INDEX(잔액!$J:$J,BA127)="가족통장",INDEX(잔액!$K:$K,BA127)="미래에셋_WRAP형CMA"),COUNTIF(예비비!$A$8:$A$12,INDEX(잔액!$C:$C,BA127))=1,COUNTIF(예비비!$A$8:$A$12,INDEX(잔액!$D:$D,BA127))=1),OR(AND(BB127&gt;=예비비!$B$3,BB127&lt;EDATE(예비비!$B$3,1)),AND(BB127&lt;EDATE(예비비!$B$3,1),COUNTIFS(예비비!$C$430:$C$729,BA127,예비비!$L$430:$L$729,예비비!$B$3,예비비!$N$430:$N$729,"OK")&gt;0))),MAX($BH$120:BH126)+1,0),0)</f>
        <v>0</v>
      </c>
      <c r="BI127">
        <f>IF(예비비!$R127="OK",SUMIFS(예비비!$O$430:$O$729,예비비!$B$430:$B$729,예비비!$A127,예비비!$E$430:$E$729,"&lt;"&amp;EDATE(BI$99,1),예비비!$F$430:$F$729,"결제대금비")+MAX(0,IF(예비비!$D127&lt;EDATE(BI$99,1),예비비!$E127,0)-SUMIFS(예비비!$O$430:$O$729,예비비!$B$430:$B$729,예비비!$A127,예비비!$E$430:$E$729,"&lt;"&amp;EDATE(BI$99,1))),0)</f>
        <v>0</v>
      </c>
      <c r="BJ127">
        <f>IF(예비비!$R127="OK",SUMIFS(예비비!$O$430:$O$729,예비비!$B$430:$B$729,예비비!$A127,예비비!$E$430:$E$729,"&lt;"&amp;EDATE(BJ$99,1),예비비!$F$430:$F$729,"결제대금비")+MAX(0,IF(예비비!$D127&lt;EDATE(BJ$99,1),예비비!$E127,0)-SUMIFS(예비비!$O$430:$O$729,예비비!$B$430:$B$729,예비비!$A127,예비비!$E$430:$E$729,"&lt;"&amp;EDATE(BJ$99,1))),0)</f>
        <v>0</v>
      </c>
      <c r="BK127">
        <f>IF(예비비!$R127="OK",SUMIFS(예비비!$O$430:$O$729,예비비!$B$430:$B$729,예비비!$A127,예비비!$E$430:$E$729,"&lt;"&amp;EDATE(BK$99,1),예비비!$F$430:$F$729,"결제대금비")+MAX(0,IF(예비비!$D127&lt;EDATE(BK$99,1),예비비!$E127,0)-SUMIFS(예비비!$O$430:$O$729,예비비!$B$430:$B$729,예비비!$A127,예비비!$E$430:$E$729,"&lt;"&amp;EDATE(BK$99,1))),0)</f>
        <v>0</v>
      </c>
      <c r="BL127">
        <f>IF(예비비!$R127="OK",SUMIFS(예비비!$O$430:$O$729,예비비!$B$430:$B$729,예비비!$A127,예비비!$E$430:$E$729,"&lt;"&amp;EDATE(BL$99,1),예비비!$F$430:$F$729,"결제대금비")+MAX(0,IF(예비비!$D127&lt;EDATE(BL$99,1),예비비!$E127,0)-SUMIFS(예비비!$O$430:$O$729,예비비!$B$430:$B$729,예비비!$A127,예비비!$E$430:$E$729,"&lt;"&amp;EDATE(BL$99,1))),0)</f>
        <v>0</v>
      </c>
      <c r="BM127">
        <f>IF(예비비!$R127="OK",SUMIFS(예비비!$O$430:$O$729,예비비!$B$430:$B$729,예비비!$A127,예비비!$E$430:$E$729,"&lt;"&amp;EDATE(BM$99,1),예비비!$F$430:$F$729,"결제대금비")+MAX(0,IF(예비비!$D127&lt;EDATE(BM$99,1),예비비!$E127,0)-SUMIFS(예비비!$O$430:$O$729,예비비!$B$430:$B$729,예비비!$A127,예비비!$E$430:$E$729,"&lt;"&amp;EDATE(BM$99,1))),0)</f>
        <v>0</v>
      </c>
      <c r="BN127">
        <f>IF(예비비!$R127="OK",SUMIFS(예비비!$O$430:$O$729,예비비!$B$430:$B$729,예비비!$A127,예비비!$E$430:$E$729,"&lt;"&amp;EDATE(BN$99,1),예비비!$F$430:$F$729,"결제대금비")+MAX(0,IF(예비비!$D127&lt;EDATE(BN$99,1),예비비!$E127,0)-SUMIFS(예비비!$O$430:$O$729,예비비!$B$430:$B$729,예비비!$A127,예비비!$E$430:$E$729,"&lt;"&amp;EDATE(BN$99,1))),0)</f>
        <v>0</v>
      </c>
      <c r="BO127">
        <f>IF(예비비!$R127="OK",SUMIFS(예비비!$O$430:$O$729,예비비!$B$430:$B$729,예비비!$A127,예비비!$E$430:$E$729,"&lt;"&amp;EDATE(BO$99,1),예비비!$F$430:$F$729,"결제대금비")+MAX(0,IF(예비비!$D127&lt;EDATE(BO$99,1),예비비!$E127,0)-SUMIFS(예비비!$O$430:$O$729,예비비!$B$430:$B$729,예비비!$A127,예비비!$E$430:$E$729,"&lt;"&amp;EDATE(BO$99,1))),0)</f>
        <v>0</v>
      </c>
      <c r="BP127">
        <f>IF(예비비!$R127="OK",SUMIFS(예비비!$O$430:$O$729,예비비!$B$430:$B$729,예비비!$A127,예비비!$E$430:$E$729,"&lt;"&amp;EDATE(BP$99,1),예비비!$F$430:$F$729,"결제대금비")+MAX(0,IF(예비비!$D127&lt;EDATE(BP$99,1),예비비!$E127,0)-SUMIFS(예비비!$O$430:$O$729,예비비!$B$430:$B$729,예비비!$A127,예비비!$E$430:$E$729,"&lt;"&amp;EDATE(BP$99,1))),0)</f>
        <v>0</v>
      </c>
      <c r="BQ127">
        <f>IF(예비비!$R127="OK",SUMIFS(예비비!$O$430:$O$729,예비비!$B$430:$B$729,예비비!$A127,예비비!$E$430:$E$729,"&lt;"&amp;EDATE(BQ$99,1),예비비!$F$430:$F$729,"결제대금비")+MAX(0,IF(예비비!$D127&lt;EDATE(BQ$99,1),예비비!$E127,0)-SUMIFS(예비비!$O$430:$O$729,예비비!$B$430:$B$729,예비비!$A127,예비비!$E$430:$E$729,"&lt;"&amp;EDATE(BQ$99,1))),0)</f>
        <v>0</v>
      </c>
      <c r="BR127">
        <f>IF(예비비!$R127="OK",SUMIFS(예비비!$O$430:$O$729,예비비!$B$430:$B$729,예비비!$A127,예비비!$E$430:$E$729,"&lt;"&amp;EDATE(BR$99,1),예비비!$F$430:$F$729,"결제대금비")+MAX(0,IF(예비비!$D127&lt;EDATE(BR$99,1),예비비!$E127,0)-SUMIFS(예비비!$O$430:$O$729,예비비!$B$430:$B$729,예비비!$A127,예비비!$E$430:$E$729,"&lt;"&amp;EDATE(BR$99,1))),0)</f>
        <v>0</v>
      </c>
      <c r="BS127">
        <f>IF(예비비!$R127="OK",SUMIFS(예비비!$O$430:$O$729,예비비!$B$430:$B$729,예비비!$A127,예비비!$E$430:$E$729,"&lt;"&amp;EDATE(BS$99,1),예비비!$F$430:$F$729,"결제대금비")+MAX(0,IF(예비비!$D127&lt;EDATE(BS$99,1),예비비!$E127,0)-SUMIFS(예비비!$O$430:$O$729,예비비!$B$430:$B$729,예비비!$A127,예비비!$E$430:$E$729,"&lt;"&amp;EDATE(BS$99,1))),0)</f>
        <v>0</v>
      </c>
      <c r="BT127">
        <f>IF(예비비!$R127="OK",SUMIFS(예비비!$O$430:$O$729,예비비!$B$430:$B$729,예비비!$A127,예비비!$E$430:$E$729,"&lt;"&amp;EDATE(BT$99,1),예비비!$F$430:$F$729,"결제대금비")+MAX(0,IF(예비비!$D127&lt;EDATE(BT$99,1),예비비!$E127,0)-SUMIFS(예비비!$O$430:$O$729,예비비!$B$430:$B$729,예비비!$A127,예비비!$E$430:$E$729,"&lt;"&amp;EDATE(BT$99,1))),0)</f>
        <v>0</v>
      </c>
      <c r="BU127">
        <f>IF(예비비!$R127="OK",SUMIFS(예비비!$O$430:$O$729,예비비!$B$430:$B$729,예비비!$A127,예비비!$E$430:$E$729,"&lt;"&amp;EDATE(BU$99,1),예비비!$F$430:$F$729,"결제대금비")+MAX(0,IF(예비비!$D127&lt;EDATE(BU$99,1),예비비!$E127,0)-SUMIFS(예비비!$O$430:$O$729,예비비!$B$430:$B$729,예비비!$A127,예비비!$E$430:$E$729,"&lt;"&amp;EDATE(BU$99,1))),0)</f>
        <v>0</v>
      </c>
    </row>
    <row r="128">
      <c r="BA128">
        <v>72</v>
      </c>
      <c r="BB128">
        <f>IFERROR(INDEX(잔액!$A:$A,BA128),0)</f>
        <v>46082.0</v>
      </c>
      <c r="BH128">
        <f>IFERROR(IF(AND(BB128&gt;0,OR(COUNTIFS(예비비!$C$430:$C$729,BA128,예비비!$N$430:$N$729,"OK")&gt;0,AND(INDEX(잔액!$J:$J,BA128)="가족통장",INDEX(잔액!$K:$K,BA128)="미래에셋_WRAP형CMA"),COUNTIF(예비비!$A$8:$A$12,INDEX(잔액!$C:$C,BA128))=1,COUNTIF(예비비!$A$8:$A$12,INDEX(잔액!$D:$D,BA128))=1),OR(AND(BB128&gt;=예비비!$B$3,BB128&lt;EDATE(예비비!$B$3,1)),AND(BB128&lt;EDATE(예비비!$B$3,1),COUNTIFS(예비비!$C$430:$C$729,BA128,예비비!$L$430:$L$729,예비비!$B$3,예비비!$N$430:$N$729,"OK")&gt;0))),MAX($BH$120:BH127)+1,0),0)</f>
        <v>0</v>
      </c>
      <c r="BI128">
        <f>IF(예비비!$R128="OK",SUMIFS(예비비!$O$430:$O$729,예비비!$B$430:$B$729,예비비!$A128,예비비!$E$430:$E$729,"&lt;"&amp;EDATE(BI$99,1),예비비!$F$430:$F$729,"결제대금비")+MAX(0,IF(예비비!$D128&lt;EDATE(BI$99,1),예비비!$E128,0)-SUMIFS(예비비!$O$430:$O$729,예비비!$B$430:$B$729,예비비!$A128,예비비!$E$430:$E$729,"&lt;"&amp;EDATE(BI$99,1))),0)</f>
        <v>0</v>
      </c>
      <c r="BJ128">
        <f>IF(예비비!$R128="OK",SUMIFS(예비비!$O$430:$O$729,예비비!$B$430:$B$729,예비비!$A128,예비비!$E$430:$E$729,"&lt;"&amp;EDATE(BJ$99,1),예비비!$F$430:$F$729,"결제대금비")+MAX(0,IF(예비비!$D128&lt;EDATE(BJ$99,1),예비비!$E128,0)-SUMIFS(예비비!$O$430:$O$729,예비비!$B$430:$B$729,예비비!$A128,예비비!$E$430:$E$729,"&lt;"&amp;EDATE(BJ$99,1))),0)</f>
        <v>0</v>
      </c>
      <c r="BK128">
        <f>IF(예비비!$R128="OK",SUMIFS(예비비!$O$430:$O$729,예비비!$B$430:$B$729,예비비!$A128,예비비!$E$430:$E$729,"&lt;"&amp;EDATE(BK$99,1),예비비!$F$430:$F$729,"결제대금비")+MAX(0,IF(예비비!$D128&lt;EDATE(BK$99,1),예비비!$E128,0)-SUMIFS(예비비!$O$430:$O$729,예비비!$B$430:$B$729,예비비!$A128,예비비!$E$430:$E$729,"&lt;"&amp;EDATE(BK$99,1))),0)</f>
        <v>0</v>
      </c>
      <c r="BL128">
        <f>IF(예비비!$R128="OK",SUMIFS(예비비!$O$430:$O$729,예비비!$B$430:$B$729,예비비!$A128,예비비!$E$430:$E$729,"&lt;"&amp;EDATE(BL$99,1),예비비!$F$430:$F$729,"결제대금비")+MAX(0,IF(예비비!$D128&lt;EDATE(BL$99,1),예비비!$E128,0)-SUMIFS(예비비!$O$430:$O$729,예비비!$B$430:$B$729,예비비!$A128,예비비!$E$430:$E$729,"&lt;"&amp;EDATE(BL$99,1))),0)</f>
        <v>0</v>
      </c>
      <c r="BM128">
        <f>IF(예비비!$R128="OK",SUMIFS(예비비!$O$430:$O$729,예비비!$B$430:$B$729,예비비!$A128,예비비!$E$430:$E$729,"&lt;"&amp;EDATE(BM$99,1),예비비!$F$430:$F$729,"결제대금비")+MAX(0,IF(예비비!$D128&lt;EDATE(BM$99,1),예비비!$E128,0)-SUMIFS(예비비!$O$430:$O$729,예비비!$B$430:$B$729,예비비!$A128,예비비!$E$430:$E$729,"&lt;"&amp;EDATE(BM$99,1))),0)</f>
        <v>0</v>
      </c>
      <c r="BN128">
        <f>IF(예비비!$R128="OK",SUMIFS(예비비!$O$430:$O$729,예비비!$B$430:$B$729,예비비!$A128,예비비!$E$430:$E$729,"&lt;"&amp;EDATE(BN$99,1),예비비!$F$430:$F$729,"결제대금비")+MAX(0,IF(예비비!$D128&lt;EDATE(BN$99,1),예비비!$E128,0)-SUMIFS(예비비!$O$430:$O$729,예비비!$B$430:$B$729,예비비!$A128,예비비!$E$430:$E$729,"&lt;"&amp;EDATE(BN$99,1))),0)</f>
        <v>0</v>
      </c>
      <c r="BO128">
        <f>IF(예비비!$R128="OK",SUMIFS(예비비!$O$430:$O$729,예비비!$B$430:$B$729,예비비!$A128,예비비!$E$430:$E$729,"&lt;"&amp;EDATE(BO$99,1),예비비!$F$430:$F$729,"결제대금비")+MAX(0,IF(예비비!$D128&lt;EDATE(BO$99,1),예비비!$E128,0)-SUMIFS(예비비!$O$430:$O$729,예비비!$B$430:$B$729,예비비!$A128,예비비!$E$430:$E$729,"&lt;"&amp;EDATE(BO$99,1))),0)</f>
        <v>0</v>
      </c>
      <c r="BP128">
        <f>IF(예비비!$R128="OK",SUMIFS(예비비!$O$430:$O$729,예비비!$B$430:$B$729,예비비!$A128,예비비!$E$430:$E$729,"&lt;"&amp;EDATE(BP$99,1),예비비!$F$430:$F$729,"결제대금비")+MAX(0,IF(예비비!$D128&lt;EDATE(BP$99,1),예비비!$E128,0)-SUMIFS(예비비!$O$430:$O$729,예비비!$B$430:$B$729,예비비!$A128,예비비!$E$430:$E$729,"&lt;"&amp;EDATE(BP$99,1))),0)</f>
        <v>0</v>
      </c>
      <c r="BQ128">
        <f>IF(예비비!$R128="OK",SUMIFS(예비비!$O$430:$O$729,예비비!$B$430:$B$729,예비비!$A128,예비비!$E$430:$E$729,"&lt;"&amp;EDATE(BQ$99,1),예비비!$F$430:$F$729,"결제대금비")+MAX(0,IF(예비비!$D128&lt;EDATE(BQ$99,1),예비비!$E128,0)-SUMIFS(예비비!$O$430:$O$729,예비비!$B$430:$B$729,예비비!$A128,예비비!$E$430:$E$729,"&lt;"&amp;EDATE(BQ$99,1))),0)</f>
        <v>0</v>
      </c>
      <c r="BR128">
        <f>IF(예비비!$R128="OK",SUMIFS(예비비!$O$430:$O$729,예비비!$B$430:$B$729,예비비!$A128,예비비!$E$430:$E$729,"&lt;"&amp;EDATE(BR$99,1),예비비!$F$430:$F$729,"결제대금비")+MAX(0,IF(예비비!$D128&lt;EDATE(BR$99,1),예비비!$E128,0)-SUMIFS(예비비!$O$430:$O$729,예비비!$B$430:$B$729,예비비!$A128,예비비!$E$430:$E$729,"&lt;"&amp;EDATE(BR$99,1))),0)</f>
        <v>0</v>
      </c>
      <c r="BS128">
        <f>IF(예비비!$R128="OK",SUMIFS(예비비!$O$430:$O$729,예비비!$B$430:$B$729,예비비!$A128,예비비!$E$430:$E$729,"&lt;"&amp;EDATE(BS$99,1),예비비!$F$430:$F$729,"결제대금비")+MAX(0,IF(예비비!$D128&lt;EDATE(BS$99,1),예비비!$E128,0)-SUMIFS(예비비!$O$430:$O$729,예비비!$B$430:$B$729,예비비!$A128,예비비!$E$430:$E$729,"&lt;"&amp;EDATE(BS$99,1))),0)</f>
        <v>0</v>
      </c>
      <c r="BT128">
        <f>IF(예비비!$R128="OK",SUMIFS(예비비!$O$430:$O$729,예비비!$B$430:$B$729,예비비!$A128,예비비!$E$430:$E$729,"&lt;"&amp;EDATE(BT$99,1),예비비!$F$430:$F$729,"결제대금비")+MAX(0,IF(예비비!$D128&lt;EDATE(BT$99,1),예비비!$E128,0)-SUMIFS(예비비!$O$430:$O$729,예비비!$B$430:$B$729,예비비!$A128,예비비!$E$430:$E$729,"&lt;"&amp;EDATE(BT$99,1))),0)</f>
        <v>0</v>
      </c>
      <c r="BU128">
        <f>IF(예비비!$R128="OK",SUMIFS(예비비!$O$430:$O$729,예비비!$B$430:$B$729,예비비!$A128,예비비!$E$430:$E$729,"&lt;"&amp;EDATE(BU$99,1),예비비!$F$430:$F$729,"결제대금비")+MAX(0,IF(예비비!$D128&lt;EDATE(BU$99,1),예비비!$E128,0)-SUMIFS(예비비!$O$430:$O$729,예비비!$B$430:$B$729,예비비!$A128,예비비!$E$430:$E$729,"&lt;"&amp;EDATE(BU$99,1))),0)</f>
        <v>0</v>
      </c>
    </row>
    <row r="129">
      <c r="BA129">
        <v>73</v>
      </c>
      <c r="BB129">
        <f>IFERROR(INDEX(잔액!$A:$A,BA129),0)</f>
        <v>46082.0</v>
      </c>
      <c r="BH129">
        <f>IFERROR(IF(AND(BB129&gt;0,OR(COUNTIFS(예비비!$C$430:$C$729,BA129,예비비!$N$430:$N$729,"OK")&gt;0,AND(INDEX(잔액!$J:$J,BA129)="가족통장",INDEX(잔액!$K:$K,BA129)="미래에셋_WRAP형CMA"),COUNTIF(예비비!$A$8:$A$12,INDEX(잔액!$C:$C,BA129))=1,COUNTIF(예비비!$A$8:$A$12,INDEX(잔액!$D:$D,BA129))=1),OR(AND(BB129&gt;=예비비!$B$3,BB129&lt;EDATE(예비비!$B$3,1)),AND(BB129&lt;EDATE(예비비!$B$3,1),COUNTIFS(예비비!$C$430:$C$729,BA129,예비비!$L$430:$L$729,예비비!$B$3,예비비!$N$430:$N$729,"OK")&gt;0))),MAX($BH$120:BH128)+1,0),0)</f>
        <v>0</v>
      </c>
      <c r="BI129">
        <f>IF(예비비!$R129="OK",SUMIFS(예비비!$O$430:$O$729,예비비!$B$430:$B$729,예비비!$A129,예비비!$E$430:$E$729,"&lt;"&amp;EDATE(BI$99,1),예비비!$F$430:$F$729,"결제대금비")+MAX(0,IF(예비비!$D129&lt;EDATE(BI$99,1),예비비!$E129,0)-SUMIFS(예비비!$O$430:$O$729,예비비!$B$430:$B$729,예비비!$A129,예비비!$E$430:$E$729,"&lt;"&amp;EDATE(BI$99,1))),0)</f>
        <v>0</v>
      </c>
      <c r="BJ129">
        <f>IF(예비비!$R129="OK",SUMIFS(예비비!$O$430:$O$729,예비비!$B$430:$B$729,예비비!$A129,예비비!$E$430:$E$729,"&lt;"&amp;EDATE(BJ$99,1),예비비!$F$430:$F$729,"결제대금비")+MAX(0,IF(예비비!$D129&lt;EDATE(BJ$99,1),예비비!$E129,0)-SUMIFS(예비비!$O$430:$O$729,예비비!$B$430:$B$729,예비비!$A129,예비비!$E$430:$E$729,"&lt;"&amp;EDATE(BJ$99,1))),0)</f>
        <v>0</v>
      </c>
      <c r="BK129">
        <f>IF(예비비!$R129="OK",SUMIFS(예비비!$O$430:$O$729,예비비!$B$430:$B$729,예비비!$A129,예비비!$E$430:$E$729,"&lt;"&amp;EDATE(BK$99,1),예비비!$F$430:$F$729,"결제대금비")+MAX(0,IF(예비비!$D129&lt;EDATE(BK$99,1),예비비!$E129,0)-SUMIFS(예비비!$O$430:$O$729,예비비!$B$430:$B$729,예비비!$A129,예비비!$E$430:$E$729,"&lt;"&amp;EDATE(BK$99,1))),0)</f>
        <v>0</v>
      </c>
      <c r="BL129">
        <f>IF(예비비!$R129="OK",SUMIFS(예비비!$O$430:$O$729,예비비!$B$430:$B$729,예비비!$A129,예비비!$E$430:$E$729,"&lt;"&amp;EDATE(BL$99,1),예비비!$F$430:$F$729,"결제대금비")+MAX(0,IF(예비비!$D129&lt;EDATE(BL$99,1),예비비!$E129,0)-SUMIFS(예비비!$O$430:$O$729,예비비!$B$430:$B$729,예비비!$A129,예비비!$E$430:$E$729,"&lt;"&amp;EDATE(BL$99,1))),0)</f>
        <v>0</v>
      </c>
      <c r="BM129">
        <f>IF(예비비!$R129="OK",SUMIFS(예비비!$O$430:$O$729,예비비!$B$430:$B$729,예비비!$A129,예비비!$E$430:$E$729,"&lt;"&amp;EDATE(BM$99,1),예비비!$F$430:$F$729,"결제대금비")+MAX(0,IF(예비비!$D129&lt;EDATE(BM$99,1),예비비!$E129,0)-SUMIFS(예비비!$O$430:$O$729,예비비!$B$430:$B$729,예비비!$A129,예비비!$E$430:$E$729,"&lt;"&amp;EDATE(BM$99,1))),0)</f>
        <v>0</v>
      </c>
      <c r="BN129">
        <f>IF(예비비!$R129="OK",SUMIFS(예비비!$O$430:$O$729,예비비!$B$430:$B$729,예비비!$A129,예비비!$E$430:$E$729,"&lt;"&amp;EDATE(BN$99,1),예비비!$F$430:$F$729,"결제대금비")+MAX(0,IF(예비비!$D129&lt;EDATE(BN$99,1),예비비!$E129,0)-SUMIFS(예비비!$O$430:$O$729,예비비!$B$430:$B$729,예비비!$A129,예비비!$E$430:$E$729,"&lt;"&amp;EDATE(BN$99,1))),0)</f>
        <v>0</v>
      </c>
      <c r="BO129">
        <f>IF(예비비!$R129="OK",SUMIFS(예비비!$O$430:$O$729,예비비!$B$430:$B$729,예비비!$A129,예비비!$E$430:$E$729,"&lt;"&amp;EDATE(BO$99,1),예비비!$F$430:$F$729,"결제대금비")+MAX(0,IF(예비비!$D129&lt;EDATE(BO$99,1),예비비!$E129,0)-SUMIFS(예비비!$O$430:$O$729,예비비!$B$430:$B$729,예비비!$A129,예비비!$E$430:$E$729,"&lt;"&amp;EDATE(BO$99,1))),0)</f>
        <v>0</v>
      </c>
      <c r="BP129">
        <f>IF(예비비!$R129="OK",SUMIFS(예비비!$O$430:$O$729,예비비!$B$430:$B$729,예비비!$A129,예비비!$E$430:$E$729,"&lt;"&amp;EDATE(BP$99,1),예비비!$F$430:$F$729,"결제대금비")+MAX(0,IF(예비비!$D129&lt;EDATE(BP$99,1),예비비!$E129,0)-SUMIFS(예비비!$O$430:$O$729,예비비!$B$430:$B$729,예비비!$A129,예비비!$E$430:$E$729,"&lt;"&amp;EDATE(BP$99,1))),0)</f>
        <v>0</v>
      </c>
      <c r="BQ129">
        <f>IF(예비비!$R129="OK",SUMIFS(예비비!$O$430:$O$729,예비비!$B$430:$B$729,예비비!$A129,예비비!$E$430:$E$729,"&lt;"&amp;EDATE(BQ$99,1),예비비!$F$430:$F$729,"결제대금비")+MAX(0,IF(예비비!$D129&lt;EDATE(BQ$99,1),예비비!$E129,0)-SUMIFS(예비비!$O$430:$O$729,예비비!$B$430:$B$729,예비비!$A129,예비비!$E$430:$E$729,"&lt;"&amp;EDATE(BQ$99,1))),0)</f>
        <v>0</v>
      </c>
      <c r="BR129">
        <f>IF(예비비!$R129="OK",SUMIFS(예비비!$O$430:$O$729,예비비!$B$430:$B$729,예비비!$A129,예비비!$E$430:$E$729,"&lt;"&amp;EDATE(BR$99,1),예비비!$F$430:$F$729,"결제대금비")+MAX(0,IF(예비비!$D129&lt;EDATE(BR$99,1),예비비!$E129,0)-SUMIFS(예비비!$O$430:$O$729,예비비!$B$430:$B$729,예비비!$A129,예비비!$E$430:$E$729,"&lt;"&amp;EDATE(BR$99,1))),0)</f>
        <v>0</v>
      </c>
      <c r="BS129">
        <f>IF(예비비!$R129="OK",SUMIFS(예비비!$O$430:$O$729,예비비!$B$430:$B$729,예비비!$A129,예비비!$E$430:$E$729,"&lt;"&amp;EDATE(BS$99,1),예비비!$F$430:$F$729,"결제대금비")+MAX(0,IF(예비비!$D129&lt;EDATE(BS$99,1),예비비!$E129,0)-SUMIFS(예비비!$O$430:$O$729,예비비!$B$430:$B$729,예비비!$A129,예비비!$E$430:$E$729,"&lt;"&amp;EDATE(BS$99,1))),0)</f>
        <v>0</v>
      </c>
      <c r="BT129">
        <f>IF(예비비!$R129="OK",SUMIFS(예비비!$O$430:$O$729,예비비!$B$430:$B$729,예비비!$A129,예비비!$E$430:$E$729,"&lt;"&amp;EDATE(BT$99,1),예비비!$F$430:$F$729,"결제대금비")+MAX(0,IF(예비비!$D129&lt;EDATE(BT$99,1),예비비!$E129,0)-SUMIFS(예비비!$O$430:$O$729,예비비!$B$430:$B$729,예비비!$A129,예비비!$E$430:$E$729,"&lt;"&amp;EDATE(BT$99,1))),0)</f>
        <v>0</v>
      </c>
      <c r="BU129">
        <f>IF(예비비!$R129="OK",SUMIFS(예비비!$O$430:$O$729,예비비!$B$430:$B$729,예비비!$A129,예비비!$E$430:$E$729,"&lt;"&amp;EDATE(BU$99,1),예비비!$F$430:$F$729,"결제대금비")+MAX(0,IF(예비비!$D129&lt;EDATE(BU$99,1),예비비!$E129,0)-SUMIFS(예비비!$O$430:$O$729,예비비!$B$430:$B$729,예비비!$A129,예비비!$E$430:$E$729,"&lt;"&amp;EDATE(BU$99,1))),0)</f>
        <v>0</v>
      </c>
    </row>
    <row r="130">
      <c r="BA130">
        <v>74</v>
      </c>
      <c r="BB130">
        <f>IFERROR(INDEX(잔액!$A:$A,BA130),0)</f>
        <v>46113.0</v>
      </c>
      <c r="BH130">
        <f>IFERROR(IF(AND(BB130&gt;0,OR(COUNTIFS(예비비!$C$430:$C$729,BA130,예비비!$N$430:$N$729,"OK")&gt;0,AND(INDEX(잔액!$J:$J,BA130)="가족통장",INDEX(잔액!$K:$K,BA130)="미래에셋_WRAP형CMA"),COUNTIF(예비비!$A$8:$A$12,INDEX(잔액!$C:$C,BA130))=1,COUNTIF(예비비!$A$8:$A$12,INDEX(잔액!$D:$D,BA130))=1),OR(AND(BB130&gt;=예비비!$B$3,BB130&lt;EDATE(예비비!$B$3,1)),AND(BB130&lt;EDATE(예비비!$B$3,1),COUNTIFS(예비비!$C$430:$C$729,BA130,예비비!$L$430:$L$729,예비비!$B$3,예비비!$N$430:$N$729,"OK")&gt;0))),MAX($BH$120:BH129)+1,0),0)</f>
        <v>0</v>
      </c>
      <c r="BI130">
        <f>IF(예비비!$R130="OK",SUMIFS(예비비!$O$430:$O$729,예비비!$B$430:$B$729,예비비!$A130,예비비!$E$430:$E$729,"&lt;"&amp;EDATE(BI$99,1),예비비!$F$430:$F$729,"결제대금비")+MAX(0,IF(예비비!$D130&lt;EDATE(BI$99,1),예비비!$E130,0)-SUMIFS(예비비!$O$430:$O$729,예비비!$B$430:$B$729,예비비!$A130,예비비!$E$430:$E$729,"&lt;"&amp;EDATE(BI$99,1))),0)</f>
        <v>0</v>
      </c>
      <c r="BJ130">
        <f>IF(예비비!$R130="OK",SUMIFS(예비비!$O$430:$O$729,예비비!$B$430:$B$729,예비비!$A130,예비비!$E$430:$E$729,"&lt;"&amp;EDATE(BJ$99,1),예비비!$F$430:$F$729,"결제대금비")+MAX(0,IF(예비비!$D130&lt;EDATE(BJ$99,1),예비비!$E130,0)-SUMIFS(예비비!$O$430:$O$729,예비비!$B$430:$B$729,예비비!$A130,예비비!$E$430:$E$729,"&lt;"&amp;EDATE(BJ$99,1))),0)</f>
        <v>0</v>
      </c>
      <c r="BK130">
        <f>IF(예비비!$R130="OK",SUMIFS(예비비!$O$430:$O$729,예비비!$B$430:$B$729,예비비!$A130,예비비!$E$430:$E$729,"&lt;"&amp;EDATE(BK$99,1),예비비!$F$430:$F$729,"결제대금비")+MAX(0,IF(예비비!$D130&lt;EDATE(BK$99,1),예비비!$E130,0)-SUMIFS(예비비!$O$430:$O$729,예비비!$B$430:$B$729,예비비!$A130,예비비!$E$430:$E$729,"&lt;"&amp;EDATE(BK$99,1))),0)</f>
        <v>0</v>
      </c>
      <c r="BL130">
        <f>IF(예비비!$R130="OK",SUMIFS(예비비!$O$430:$O$729,예비비!$B$430:$B$729,예비비!$A130,예비비!$E$430:$E$729,"&lt;"&amp;EDATE(BL$99,1),예비비!$F$430:$F$729,"결제대금비")+MAX(0,IF(예비비!$D130&lt;EDATE(BL$99,1),예비비!$E130,0)-SUMIFS(예비비!$O$430:$O$729,예비비!$B$430:$B$729,예비비!$A130,예비비!$E$430:$E$729,"&lt;"&amp;EDATE(BL$99,1))),0)</f>
        <v>0</v>
      </c>
      <c r="BM130">
        <f>IF(예비비!$R130="OK",SUMIFS(예비비!$O$430:$O$729,예비비!$B$430:$B$729,예비비!$A130,예비비!$E$430:$E$729,"&lt;"&amp;EDATE(BM$99,1),예비비!$F$430:$F$729,"결제대금비")+MAX(0,IF(예비비!$D130&lt;EDATE(BM$99,1),예비비!$E130,0)-SUMIFS(예비비!$O$430:$O$729,예비비!$B$430:$B$729,예비비!$A130,예비비!$E$430:$E$729,"&lt;"&amp;EDATE(BM$99,1))),0)</f>
        <v>0</v>
      </c>
      <c r="BN130">
        <f>IF(예비비!$R130="OK",SUMIFS(예비비!$O$430:$O$729,예비비!$B$430:$B$729,예비비!$A130,예비비!$E$430:$E$729,"&lt;"&amp;EDATE(BN$99,1),예비비!$F$430:$F$729,"결제대금비")+MAX(0,IF(예비비!$D130&lt;EDATE(BN$99,1),예비비!$E130,0)-SUMIFS(예비비!$O$430:$O$729,예비비!$B$430:$B$729,예비비!$A130,예비비!$E$430:$E$729,"&lt;"&amp;EDATE(BN$99,1))),0)</f>
        <v>0</v>
      </c>
      <c r="BO130">
        <f>IF(예비비!$R130="OK",SUMIFS(예비비!$O$430:$O$729,예비비!$B$430:$B$729,예비비!$A130,예비비!$E$430:$E$729,"&lt;"&amp;EDATE(BO$99,1),예비비!$F$430:$F$729,"결제대금비")+MAX(0,IF(예비비!$D130&lt;EDATE(BO$99,1),예비비!$E130,0)-SUMIFS(예비비!$O$430:$O$729,예비비!$B$430:$B$729,예비비!$A130,예비비!$E$430:$E$729,"&lt;"&amp;EDATE(BO$99,1))),0)</f>
        <v>0</v>
      </c>
      <c r="BP130">
        <f>IF(예비비!$R130="OK",SUMIFS(예비비!$O$430:$O$729,예비비!$B$430:$B$729,예비비!$A130,예비비!$E$430:$E$729,"&lt;"&amp;EDATE(BP$99,1),예비비!$F$430:$F$729,"결제대금비")+MAX(0,IF(예비비!$D130&lt;EDATE(BP$99,1),예비비!$E130,0)-SUMIFS(예비비!$O$430:$O$729,예비비!$B$430:$B$729,예비비!$A130,예비비!$E$430:$E$729,"&lt;"&amp;EDATE(BP$99,1))),0)</f>
        <v>0</v>
      </c>
      <c r="BQ130">
        <f>IF(예비비!$R130="OK",SUMIFS(예비비!$O$430:$O$729,예비비!$B$430:$B$729,예비비!$A130,예비비!$E$430:$E$729,"&lt;"&amp;EDATE(BQ$99,1),예비비!$F$430:$F$729,"결제대금비")+MAX(0,IF(예비비!$D130&lt;EDATE(BQ$99,1),예비비!$E130,0)-SUMIFS(예비비!$O$430:$O$729,예비비!$B$430:$B$729,예비비!$A130,예비비!$E$430:$E$729,"&lt;"&amp;EDATE(BQ$99,1))),0)</f>
        <v>0</v>
      </c>
      <c r="BR130">
        <f>IF(예비비!$R130="OK",SUMIFS(예비비!$O$430:$O$729,예비비!$B$430:$B$729,예비비!$A130,예비비!$E$430:$E$729,"&lt;"&amp;EDATE(BR$99,1),예비비!$F$430:$F$729,"결제대금비")+MAX(0,IF(예비비!$D130&lt;EDATE(BR$99,1),예비비!$E130,0)-SUMIFS(예비비!$O$430:$O$729,예비비!$B$430:$B$729,예비비!$A130,예비비!$E$430:$E$729,"&lt;"&amp;EDATE(BR$99,1))),0)</f>
        <v>0</v>
      </c>
      <c r="BS130">
        <f>IF(예비비!$R130="OK",SUMIFS(예비비!$O$430:$O$729,예비비!$B$430:$B$729,예비비!$A130,예비비!$E$430:$E$729,"&lt;"&amp;EDATE(BS$99,1),예비비!$F$430:$F$729,"결제대금비")+MAX(0,IF(예비비!$D130&lt;EDATE(BS$99,1),예비비!$E130,0)-SUMIFS(예비비!$O$430:$O$729,예비비!$B$430:$B$729,예비비!$A130,예비비!$E$430:$E$729,"&lt;"&amp;EDATE(BS$99,1))),0)</f>
        <v>0</v>
      </c>
      <c r="BT130">
        <f>IF(예비비!$R130="OK",SUMIFS(예비비!$O$430:$O$729,예비비!$B$430:$B$729,예비비!$A130,예비비!$E$430:$E$729,"&lt;"&amp;EDATE(BT$99,1),예비비!$F$430:$F$729,"결제대금비")+MAX(0,IF(예비비!$D130&lt;EDATE(BT$99,1),예비비!$E130,0)-SUMIFS(예비비!$O$430:$O$729,예비비!$B$430:$B$729,예비비!$A130,예비비!$E$430:$E$729,"&lt;"&amp;EDATE(BT$99,1))),0)</f>
        <v>0</v>
      </c>
      <c r="BU130">
        <f>IF(예비비!$R130="OK",SUMIFS(예비비!$O$430:$O$729,예비비!$B$430:$B$729,예비비!$A130,예비비!$E$430:$E$729,"&lt;"&amp;EDATE(BU$99,1),예비비!$F$430:$F$729,"결제대금비")+MAX(0,IF(예비비!$D130&lt;EDATE(BU$99,1),예비비!$E130,0)-SUMIFS(예비비!$O$430:$O$729,예비비!$B$430:$B$729,예비비!$A130,예비비!$E$430:$E$729,"&lt;"&amp;EDATE(BU$99,1))),0)</f>
        <v>0</v>
      </c>
    </row>
    <row r="131">
      <c r="BA131">
        <v>75</v>
      </c>
      <c r="BB131">
        <f>IFERROR(INDEX(잔액!$A:$A,BA131),0)</f>
        <v>46113.0</v>
      </c>
      <c r="BH131">
        <f>IFERROR(IF(AND(BB131&gt;0,OR(COUNTIFS(예비비!$C$430:$C$729,BA131,예비비!$N$430:$N$729,"OK")&gt;0,AND(INDEX(잔액!$J:$J,BA131)="가족통장",INDEX(잔액!$K:$K,BA131)="미래에셋_WRAP형CMA"),COUNTIF(예비비!$A$8:$A$12,INDEX(잔액!$C:$C,BA131))=1,COUNTIF(예비비!$A$8:$A$12,INDEX(잔액!$D:$D,BA131))=1),OR(AND(BB131&gt;=예비비!$B$3,BB131&lt;EDATE(예비비!$B$3,1)),AND(BB131&lt;EDATE(예비비!$B$3,1),COUNTIFS(예비비!$C$430:$C$729,BA131,예비비!$L$430:$L$729,예비비!$B$3,예비비!$N$430:$N$729,"OK")&gt;0))),MAX($BH$120:BH130)+1,0),0)</f>
        <v>0</v>
      </c>
      <c r="BI131">
        <f>IF(예비비!$R131="OK",SUMIFS(예비비!$O$430:$O$729,예비비!$B$430:$B$729,예비비!$A131,예비비!$E$430:$E$729,"&lt;"&amp;EDATE(BI$99,1),예비비!$F$430:$F$729,"결제대금비")+MAX(0,IF(예비비!$D131&lt;EDATE(BI$99,1),예비비!$E131,0)-SUMIFS(예비비!$O$430:$O$729,예비비!$B$430:$B$729,예비비!$A131,예비비!$E$430:$E$729,"&lt;"&amp;EDATE(BI$99,1))),0)</f>
        <v>0</v>
      </c>
      <c r="BJ131">
        <f>IF(예비비!$R131="OK",SUMIFS(예비비!$O$430:$O$729,예비비!$B$430:$B$729,예비비!$A131,예비비!$E$430:$E$729,"&lt;"&amp;EDATE(BJ$99,1),예비비!$F$430:$F$729,"결제대금비")+MAX(0,IF(예비비!$D131&lt;EDATE(BJ$99,1),예비비!$E131,0)-SUMIFS(예비비!$O$430:$O$729,예비비!$B$430:$B$729,예비비!$A131,예비비!$E$430:$E$729,"&lt;"&amp;EDATE(BJ$99,1))),0)</f>
        <v>0</v>
      </c>
      <c r="BK131">
        <f>IF(예비비!$R131="OK",SUMIFS(예비비!$O$430:$O$729,예비비!$B$430:$B$729,예비비!$A131,예비비!$E$430:$E$729,"&lt;"&amp;EDATE(BK$99,1),예비비!$F$430:$F$729,"결제대금비")+MAX(0,IF(예비비!$D131&lt;EDATE(BK$99,1),예비비!$E131,0)-SUMIFS(예비비!$O$430:$O$729,예비비!$B$430:$B$729,예비비!$A131,예비비!$E$430:$E$729,"&lt;"&amp;EDATE(BK$99,1))),0)</f>
        <v>0</v>
      </c>
      <c r="BL131">
        <f>IF(예비비!$R131="OK",SUMIFS(예비비!$O$430:$O$729,예비비!$B$430:$B$729,예비비!$A131,예비비!$E$430:$E$729,"&lt;"&amp;EDATE(BL$99,1),예비비!$F$430:$F$729,"결제대금비")+MAX(0,IF(예비비!$D131&lt;EDATE(BL$99,1),예비비!$E131,0)-SUMIFS(예비비!$O$430:$O$729,예비비!$B$430:$B$729,예비비!$A131,예비비!$E$430:$E$729,"&lt;"&amp;EDATE(BL$99,1))),0)</f>
        <v>0</v>
      </c>
      <c r="BM131">
        <f>IF(예비비!$R131="OK",SUMIFS(예비비!$O$430:$O$729,예비비!$B$430:$B$729,예비비!$A131,예비비!$E$430:$E$729,"&lt;"&amp;EDATE(BM$99,1),예비비!$F$430:$F$729,"결제대금비")+MAX(0,IF(예비비!$D131&lt;EDATE(BM$99,1),예비비!$E131,0)-SUMIFS(예비비!$O$430:$O$729,예비비!$B$430:$B$729,예비비!$A131,예비비!$E$430:$E$729,"&lt;"&amp;EDATE(BM$99,1))),0)</f>
        <v>0</v>
      </c>
      <c r="BN131">
        <f>IF(예비비!$R131="OK",SUMIFS(예비비!$O$430:$O$729,예비비!$B$430:$B$729,예비비!$A131,예비비!$E$430:$E$729,"&lt;"&amp;EDATE(BN$99,1),예비비!$F$430:$F$729,"결제대금비")+MAX(0,IF(예비비!$D131&lt;EDATE(BN$99,1),예비비!$E131,0)-SUMIFS(예비비!$O$430:$O$729,예비비!$B$430:$B$729,예비비!$A131,예비비!$E$430:$E$729,"&lt;"&amp;EDATE(BN$99,1))),0)</f>
        <v>0</v>
      </c>
      <c r="BO131">
        <f>IF(예비비!$R131="OK",SUMIFS(예비비!$O$430:$O$729,예비비!$B$430:$B$729,예비비!$A131,예비비!$E$430:$E$729,"&lt;"&amp;EDATE(BO$99,1),예비비!$F$430:$F$729,"결제대금비")+MAX(0,IF(예비비!$D131&lt;EDATE(BO$99,1),예비비!$E131,0)-SUMIFS(예비비!$O$430:$O$729,예비비!$B$430:$B$729,예비비!$A131,예비비!$E$430:$E$729,"&lt;"&amp;EDATE(BO$99,1))),0)</f>
        <v>0</v>
      </c>
      <c r="BP131">
        <f>IF(예비비!$R131="OK",SUMIFS(예비비!$O$430:$O$729,예비비!$B$430:$B$729,예비비!$A131,예비비!$E$430:$E$729,"&lt;"&amp;EDATE(BP$99,1),예비비!$F$430:$F$729,"결제대금비")+MAX(0,IF(예비비!$D131&lt;EDATE(BP$99,1),예비비!$E131,0)-SUMIFS(예비비!$O$430:$O$729,예비비!$B$430:$B$729,예비비!$A131,예비비!$E$430:$E$729,"&lt;"&amp;EDATE(BP$99,1))),0)</f>
        <v>0</v>
      </c>
      <c r="BQ131">
        <f>IF(예비비!$R131="OK",SUMIFS(예비비!$O$430:$O$729,예비비!$B$430:$B$729,예비비!$A131,예비비!$E$430:$E$729,"&lt;"&amp;EDATE(BQ$99,1),예비비!$F$430:$F$729,"결제대금비")+MAX(0,IF(예비비!$D131&lt;EDATE(BQ$99,1),예비비!$E131,0)-SUMIFS(예비비!$O$430:$O$729,예비비!$B$430:$B$729,예비비!$A131,예비비!$E$430:$E$729,"&lt;"&amp;EDATE(BQ$99,1))),0)</f>
        <v>0</v>
      </c>
      <c r="BR131">
        <f>IF(예비비!$R131="OK",SUMIFS(예비비!$O$430:$O$729,예비비!$B$430:$B$729,예비비!$A131,예비비!$E$430:$E$729,"&lt;"&amp;EDATE(BR$99,1),예비비!$F$430:$F$729,"결제대금비")+MAX(0,IF(예비비!$D131&lt;EDATE(BR$99,1),예비비!$E131,0)-SUMIFS(예비비!$O$430:$O$729,예비비!$B$430:$B$729,예비비!$A131,예비비!$E$430:$E$729,"&lt;"&amp;EDATE(BR$99,1))),0)</f>
        <v>0</v>
      </c>
      <c r="BS131">
        <f>IF(예비비!$R131="OK",SUMIFS(예비비!$O$430:$O$729,예비비!$B$430:$B$729,예비비!$A131,예비비!$E$430:$E$729,"&lt;"&amp;EDATE(BS$99,1),예비비!$F$430:$F$729,"결제대금비")+MAX(0,IF(예비비!$D131&lt;EDATE(BS$99,1),예비비!$E131,0)-SUMIFS(예비비!$O$430:$O$729,예비비!$B$430:$B$729,예비비!$A131,예비비!$E$430:$E$729,"&lt;"&amp;EDATE(BS$99,1))),0)</f>
        <v>0</v>
      </c>
      <c r="BT131">
        <f>IF(예비비!$R131="OK",SUMIFS(예비비!$O$430:$O$729,예비비!$B$430:$B$729,예비비!$A131,예비비!$E$430:$E$729,"&lt;"&amp;EDATE(BT$99,1),예비비!$F$430:$F$729,"결제대금비")+MAX(0,IF(예비비!$D131&lt;EDATE(BT$99,1),예비비!$E131,0)-SUMIFS(예비비!$O$430:$O$729,예비비!$B$430:$B$729,예비비!$A131,예비비!$E$430:$E$729,"&lt;"&amp;EDATE(BT$99,1))),0)</f>
        <v>0</v>
      </c>
      <c r="BU131">
        <f>IF(예비비!$R131="OK",SUMIFS(예비비!$O$430:$O$729,예비비!$B$430:$B$729,예비비!$A131,예비비!$E$430:$E$729,"&lt;"&amp;EDATE(BU$99,1),예비비!$F$430:$F$729,"결제대금비")+MAX(0,IF(예비비!$D131&lt;EDATE(BU$99,1),예비비!$E131,0)-SUMIFS(예비비!$O$430:$O$729,예비비!$B$430:$B$729,예비비!$A131,예비비!$E$430:$E$729,"&lt;"&amp;EDATE(BU$99,1))),0)</f>
        <v>0</v>
      </c>
    </row>
    <row r="132">
      <c r="BA132">
        <v>76</v>
      </c>
      <c r="BB132">
        <f>IFERROR(INDEX(잔액!$A:$A,BA132),0)</f>
        <v>46113.0</v>
      </c>
      <c r="BH132">
        <f>IFERROR(IF(AND(BB132&gt;0,OR(COUNTIFS(예비비!$C$430:$C$729,BA132,예비비!$N$430:$N$729,"OK")&gt;0,AND(INDEX(잔액!$J:$J,BA132)="가족통장",INDEX(잔액!$K:$K,BA132)="미래에셋_WRAP형CMA"),COUNTIF(예비비!$A$8:$A$12,INDEX(잔액!$C:$C,BA132))=1,COUNTIF(예비비!$A$8:$A$12,INDEX(잔액!$D:$D,BA132))=1),OR(AND(BB132&gt;=예비비!$B$3,BB132&lt;EDATE(예비비!$B$3,1)),AND(BB132&lt;EDATE(예비비!$B$3,1),COUNTIFS(예비비!$C$430:$C$729,BA132,예비비!$L$430:$L$729,예비비!$B$3,예비비!$N$430:$N$729,"OK")&gt;0))),MAX($BH$120:BH131)+1,0),0)</f>
        <v>0</v>
      </c>
      <c r="BI132">
        <f>IF(예비비!$R132="OK",SUMIFS(예비비!$O$430:$O$729,예비비!$B$430:$B$729,예비비!$A132,예비비!$E$430:$E$729,"&lt;"&amp;EDATE(BI$99,1),예비비!$F$430:$F$729,"결제대금비")+MAX(0,IF(예비비!$D132&lt;EDATE(BI$99,1),예비비!$E132,0)-SUMIFS(예비비!$O$430:$O$729,예비비!$B$430:$B$729,예비비!$A132,예비비!$E$430:$E$729,"&lt;"&amp;EDATE(BI$99,1))),0)</f>
        <v>0</v>
      </c>
      <c r="BJ132">
        <f>IF(예비비!$R132="OK",SUMIFS(예비비!$O$430:$O$729,예비비!$B$430:$B$729,예비비!$A132,예비비!$E$430:$E$729,"&lt;"&amp;EDATE(BJ$99,1),예비비!$F$430:$F$729,"결제대금비")+MAX(0,IF(예비비!$D132&lt;EDATE(BJ$99,1),예비비!$E132,0)-SUMIFS(예비비!$O$430:$O$729,예비비!$B$430:$B$729,예비비!$A132,예비비!$E$430:$E$729,"&lt;"&amp;EDATE(BJ$99,1))),0)</f>
        <v>0</v>
      </c>
      <c r="BK132">
        <f>IF(예비비!$R132="OK",SUMIFS(예비비!$O$430:$O$729,예비비!$B$430:$B$729,예비비!$A132,예비비!$E$430:$E$729,"&lt;"&amp;EDATE(BK$99,1),예비비!$F$430:$F$729,"결제대금비")+MAX(0,IF(예비비!$D132&lt;EDATE(BK$99,1),예비비!$E132,0)-SUMIFS(예비비!$O$430:$O$729,예비비!$B$430:$B$729,예비비!$A132,예비비!$E$430:$E$729,"&lt;"&amp;EDATE(BK$99,1))),0)</f>
        <v>0</v>
      </c>
      <c r="BL132">
        <f>IF(예비비!$R132="OK",SUMIFS(예비비!$O$430:$O$729,예비비!$B$430:$B$729,예비비!$A132,예비비!$E$430:$E$729,"&lt;"&amp;EDATE(BL$99,1),예비비!$F$430:$F$729,"결제대금비")+MAX(0,IF(예비비!$D132&lt;EDATE(BL$99,1),예비비!$E132,0)-SUMIFS(예비비!$O$430:$O$729,예비비!$B$430:$B$729,예비비!$A132,예비비!$E$430:$E$729,"&lt;"&amp;EDATE(BL$99,1))),0)</f>
        <v>0</v>
      </c>
      <c r="BM132">
        <f>IF(예비비!$R132="OK",SUMIFS(예비비!$O$430:$O$729,예비비!$B$430:$B$729,예비비!$A132,예비비!$E$430:$E$729,"&lt;"&amp;EDATE(BM$99,1),예비비!$F$430:$F$729,"결제대금비")+MAX(0,IF(예비비!$D132&lt;EDATE(BM$99,1),예비비!$E132,0)-SUMIFS(예비비!$O$430:$O$729,예비비!$B$430:$B$729,예비비!$A132,예비비!$E$430:$E$729,"&lt;"&amp;EDATE(BM$99,1))),0)</f>
        <v>0</v>
      </c>
      <c r="BN132">
        <f>IF(예비비!$R132="OK",SUMIFS(예비비!$O$430:$O$729,예비비!$B$430:$B$729,예비비!$A132,예비비!$E$430:$E$729,"&lt;"&amp;EDATE(BN$99,1),예비비!$F$430:$F$729,"결제대금비")+MAX(0,IF(예비비!$D132&lt;EDATE(BN$99,1),예비비!$E132,0)-SUMIFS(예비비!$O$430:$O$729,예비비!$B$430:$B$729,예비비!$A132,예비비!$E$430:$E$729,"&lt;"&amp;EDATE(BN$99,1))),0)</f>
        <v>0</v>
      </c>
      <c r="BO132">
        <f>IF(예비비!$R132="OK",SUMIFS(예비비!$O$430:$O$729,예비비!$B$430:$B$729,예비비!$A132,예비비!$E$430:$E$729,"&lt;"&amp;EDATE(BO$99,1),예비비!$F$430:$F$729,"결제대금비")+MAX(0,IF(예비비!$D132&lt;EDATE(BO$99,1),예비비!$E132,0)-SUMIFS(예비비!$O$430:$O$729,예비비!$B$430:$B$729,예비비!$A132,예비비!$E$430:$E$729,"&lt;"&amp;EDATE(BO$99,1))),0)</f>
        <v>0</v>
      </c>
      <c r="BP132">
        <f>IF(예비비!$R132="OK",SUMIFS(예비비!$O$430:$O$729,예비비!$B$430:$B$729,예비비!$A132,예비비!$E$430:$E$729,"&lt;"&amp;EDATE(BP$99,1),예비비!$F$430:$F$729,"결제대금비")+MAX(0,IF(예비비!$D132&lt;EDATE(BP$99,1),예비비!$E132,0)-SUMIFS(예비비!$O$430:$O$729,예비비!$B$430:$B$729,예비비!$A132,예비비!$E$430:$E$729,"&lt;"&amp;EDATE(BP$99,1))),0)</f>
        <v>0</v>
      </c>
      <c r="BQ132">
        <f>IF(예비비!$R132="OK",SUMIFS(예비비!$O$430:$O$729,예비비!$B$430:$B$729,예비비!$A132,예비비!$E$430:$E$729,"&lt;"&amp;EDATE(BQ$99,1),예비비!$F$430:$F$729,"결제대금비")+MAX(0,IF(예비비!$D132&lt;EDATE(BQ$99,1),예비비!$E132,0)-SUMIFS(예비비!$O$430:$O$729,예비비!$B$430:$B$729,예비비!$A132,예비비!$E$430:$E$729,"&lt;"&amp;EDATE(BQ$99,1))),0)</f>
        <v>0</v>
      </c>
      <c r="BR132">
        <f>IF(예비비!$R132="OK",SUMIFS(예비비!$O$430:$O$729,예비비!$B$430:$B$729,예비비!$A132,예비비!$E$430:$E$729,"&lt;"&amp;EDATE(BR$99,1),예비비!$F$430:$F$729,"결제대금비")+MAX(0,IF(예비비!$D132&lt;EDATE(BR$99,1),예비비!$E132,0)-SUMIFS(예비비!$O$430:$O$729,예비비!$B$430:$B$729,예비비!$A132,예비비!$E$430:$E$729,"&lt;"&amp;EDATE(BR$99,1))),0)</f>
        <v>0</v>
      </c>
      <c r="BS132">
        <f>IF(예비비!$R132="OK",SUMIFS(예비비!$O$430:$O$729,예비비!$B$430:$B$729,예비비!$A132,예비비!$E$430:$E$729,"&lt;"&amp;EDATE(BS$99,1),예비비!$F$430:$F$729,"결제대금비")+MAX(0,IF(예비비!$D132&lt;EDATE(BS$99,1),예비비!$E132,0)-SUMIFS(예비비!$O$430:$O$729,예비비!$B$430:$B$729,예비비!$A132,예비비!$E$430:$E$729,"&lt;"&amp;EDATE(BS$99,1))),0)</f>
        <v>0</v>
      </c>
      <c r="BT132">
        <f>IF(예비비!$R132="OK",SUMIFS(예비비!$O$430:$O$729,예비비!$B$430:$B$729,예비비!$A132,예비비!$E$430:$E$729,"&lt;"&amp;EDATE(BT$99,1),예비비!$F$430:$F$729,"결제대금비")+MAX(0,IF(예비비!$D132&lt;EDATE(BT$99,1),예비비!$E132,0)-SUMIFS(예비비!$O$430:$O$729,예비비!$B$430:$B$729,예비비!$A132,예비비!$E$430:$E$729,"&lt;"&amp;EDATE(BT$99,1))),0)</f>
        <v>0</v>
      </c>
      <c r="BU132">
        <f>IF(예비비!$R132="OK",SUMIFS(예비비!$O$430:$O$729,예비비!$B$430:$B$729,예비비!$A132,예비비!$E$430:$E$729,"&lt;"&amp;EDATE(BU$99,1),예비비!$F$430:$F$729,"결제대금비")+MAX(0,IF(예비비!$D132&lt;EDATE(BU$99,1),예비비!$E132,0)-SUMIFS(예비비!$O$430:$O$729,예비비!$B$430:$B$729,예비비!$A132,예비비!$E$430:$E$729,"&lt;"&amp;EDATE(BU$99,1))),0)</f>
        <v>0</v>
      </c>
    </row>
    <row r="133">
      <c r="BA133">
        <v>77</v>
      </c>
      <c r="BB133">
        <f>IFERROR(INDEX(잔액!$A:$A,BA133),0)</f>
        <v>46113.0</v>
      </c>
      <c r="BH133">
        <f>IFERROR(IF(AND(BB133&gt;0,OR(COUNTIFS(예비비!$C$430:$C$729,BA133,예비비!$N$430:$N$729,"OK")&gt;0,AND(INDEX(잔액!$J:$J,BA133)="가족통장",INDEX(잔액!$K:$K,BA133)="미래에셋_WRAP형CMA"),COUNTIF(예비비!$A$8:$A$12,INDEX(잔액!$C:$C,BA133))=1,COUNTIF(예비비!$A$8:$A$12,INDEX(잔액!$D:$D,BA133))=1),OR(AND(BB133&gt;=예비비!$B$3,BB133&lt;EDATE(예비비!$B$3,1)),AND(BB133&lt;EDATE(예비비!$B$3,1),COUNTIFS(예비비!$C$430:$C$729,BA133,예비비!$L$430:$L$729,예비비!$B$3,예비비!$N$430:$N$729,"OK")&gt;0))),MAX($BH$120:BH132)+1,0),0)</f>
        <v>0</v>
      </c>
      <c r="BI133">
        <f>IF(예비비!$R133="OK",SUMIFS(예비비!$O$430:$O$729,예비비!$B$430:$B$729,예비비!$A133,예비비!$E$430:$E$729,"&lt;"&amp;EDATE(BI$99,1),예비비!$F$430:$F$729,"결제대금비")+MAX(0,IF(예비비!$D133&lt;EDATE(BI$99,1),예비비!$E133,0)-SUMIFS(예비비!$O$430:$O$729,예비비!$B$430:$B$729,예비비!$A133,예비비!$E$430:$E$729,"&lt;"&amp;EDATE(BI$99,1))),0)</f>
        <v>0</v>
      </c>
      <c r="BJ133">
        <f>IF(예비비!$R133="OK",SUMIFS(예비비!$O$430:$O$729,예비비!$B$430:$B$729,예비비!$A133,예비비!$E$430:$E$729,"&lt;"&amp;EDATE(BJ$99,1),예비비!$F$430:$F$729,"결제대금비")+MAX(0,IF(예비비!$D133&lt;EDATE(BJ$99,1),예비비!$E133,0)-SUMIFS(예비비!$O$430:$O$729,예비비!$B$430:$B$729,예비비!$A133,예비비!$E$430:$E$729,"&lt;"&amp;EDATE(BJ$99,1))),0)</f>
        <v>0</v>
      </c>
      <c r="BK133">
        <f>IF(예비비!$R133="OK",SUMIFS(예비비!$O$430:$O$729,예비비!$B$430:$B$729,예비비!$A133,예비비!$E$430:$E$729,"&lt;"&amp;EDATE(BK$99,1),예비비!$F$430:$F$729,"결제대금비")+MAX(0,IF(예비비!$D133&lt;EDATE(BK$99,1),예비비!$E133,0)-SUMIFS(예비비!$O$430:$O$729,예비비!$B$430:$B$729,예비비!$A133,예비비!$E$430:$E$729,"&lt;"&amp;EDATE(BK$99,1))),0)</f>
        <v>0</v>
      </c>
      <c r="BL133">
        <f>IF(예비비!$R133="OK",SUMIFS(예비비!$O$430:$O$729,예비비!$B$430:$B$729,예비비!$A133,예비비!$E$430:$E$729,"&lt;"&amp;EDATE(BL$99,1),예비비!$F$430:$F$729,"결제대금비")+MAX(0,IF(예비비!$D133&lt;EDATE(BL$99,1),예비비!$E133,0)-SUMIFS(예비비!$O$430:$O$729,예비비!$B$430:$B$729,예비비!$A133,예비비!$E$430:$E$729,"&lt;"&amp;EDATE(BL$99,1))),0)</f>
        <v>0</v>
      </c>
      <c r="BM133">
        <f>IF(예비비!$R133="OK",SUMIFS(예비비!$O$430:$O$729,예비비!$B$430:$B$729,예비비!$A133,예비비!$E$430:$E$729,"&lt;"&amp;EDATE(BM$99,1),예비비!$F$430:$F$729,"결제대금비")+MAX(0,IF(예비비!$D133&lt;EDATE(BM$99,1),예비비!$E133,0)-SUMIFS(예비비!$O$430:$O$729,예비비!$B$430:$B$729,예비비!$A133,예비비!$E$430:$E$729,"&lt;"&amp;EDATE(BM$99,1))),0)</f>
        <v>0</v>
      </c>
      <c r="BN133">
        <f>IF(예비비!$R133="OK",SUMIFS(예비비!$O$430:$O$729,예비비!$B$430:$B$729,예비비!$A133,예비비!$E$430:$E$729,"&lt;"&amp;EDATE(BN$99,1),예비비!$F$430:$F$729,"결제대금비")+MAX(0,IF(예비비!$D133&lt;EDATE(BN$99,1),예비비!$E133,0)-SUMIFS(예비비!$O$430:$O$729,예비비!$B$430:$B$729,예비비!$A133,예비비!$E$430:$E$729,"&lt;"&amp;EDATE(BN$99,1))),0)</f>
        <v>0</v>
      </c>
      <c r="BO133">
        <f>IF(예비비!$R133="OK",SUMIFS(예비비!$O$430:$O$729,예비비!$B$430:$B$729,예비비!$A133,예비비!$E$430:$E$729,"&lt;"&amp;EDATE(BO$99,1),예비비!$F$430:$F$729,"결제대금비")+MAX(0,IF(예비비!$D133&lt;EDATE(BO$99,1),예비비!$E133,0)-SUMIFS(예비비!$O$430:$O$729,예비비!$B$430:$B$729,예비비!$A133,예비비!$E$430:$E$729,"&lt;"&amp;EDATE(BO$99,1))),0)</f>
        <v>0</v>
      </c>
      <c r="BP133">
        <f>IF(예비비!$R133="OK",SUMIFS(예비비!$O$430:$O$729,예비비!$B$430:$B$729,예비비!$A133,예비비!$E$430:$E$729,"&lt;"&amp;EDATE(BP$99,1),예비비!$F$430:$F$729,"결제대금비")+MAX(0,IF(예비비!$D133&lt;EDATE(BP$99,1),예비비!$E133,0)-SUMIFS(예비비!$O$430:$O$729,예비비!$B$430:$B$729,예비비!$A133,예비비!$E$430:$E$729,"&lt;"&amp;EDATE(BP$99,1))),0)</f>
        <v>0</v>
      </c>
      <c r="BQ133">
        <f>IF(예비비!$R133="OK",SUMIFS(예비비!$O$430:$O$729,예비비!$B$430:$B$729,예비비!$A133,예비비!$E$430:$E$729,"&lt;"&amp;EDATE(BQ$99,1),예비비!$F$430:$F$729,"결제대금비")+MAX(0,IF(예비비!$D133&lt;EDATE(BQ$99,1),예비비!$E133,0)-SUMIFS(예비비!$O$430:$O$729,예비비!$B$430:$B$729,예비비!$A133,예비비!$E$430:$E$729,"&lt;"&amp;EDATE(BQ$99,1))),0)</f>
        <v>0</v>
      </c>
      <c r="BR133">
        <f>IF(예비비!$R133="OK",SUMIFS(예비비!$O$430:$O$729,예비비!$B$430:$B$729,예비비!$A133,예비비!$E$430:$E$729,"&lt;"&amp;EDATE(BR$99,1),예비비!$F$430:$F$729,"결제대금비")+MAX(0,IF(예비비!$D133&lt;EDATE(BR$99,1),예비비!$E133,0)-SUMIFS(예비비!$O$430:$O$729,예비비!$B$430:$B$729,예비비!$A133,예비비!$E$430:$E$729,"&lt;"&amp;EDATE(BR$99,1))),0)</f>
        <v>0</v>
      </c>
      <c r="BS133">
        <f>IF(예비비!$R133="OK",SUMIFS(예비비!$O$430:$O$729,예비비!$B$430:$B$729,예비비!$A133,예비비!$E$430:$E$729,"&lt;"&amp;EDATE(BS$99,1),예비비!$F$430:$F$729,"결제대금비")+MAX(0,IF(예비비!$D133&lt;EDATE(BS$99,1),예비비!$E133,0)-SUMIFS(예비비!$O$430:$O$729,예비비!$B$430:$B$729,예비비!$A133,예비비!$E$430:$E$729,"&lt;"&amp;EDATE(BS$99,1))),0)</f>
        <v>0</v>
      </c>
      <c r="BT133">
        <f>IF(예비비!$R133="OK",SUMIFS(예비비!$O$430:$O$729,예비비!$B$430:$B$729,예비비!$A133,예비비!$E$430:$E$729,"&lt;"&amp;EDATE(BT$99,1),예비비!$F$430:$F$729,"결제대금비")+MAX(0,IF(예비비!$D133&lt;EDATE(BT$99,1),예비비!$E133,0)-SUMIFS(예비비!$O$430:$O$729,예비비!$B$430:$B$729,예비비!$A133,예비비!$E$430:$E$729,"&lt;"&amp;EDATE(BT$99,1))),0)</f>
        <v>0</v>
      </c>
      <c r="BU133">
        <f>IF(예비비!$R133="OK",SUMIFS(예비비!$O$430:$O$729,예비비!$B$430:$B$729,예비비!$A133,예비비!$E$430:$E$729,"&lt;"&amp;EDATE(BU$99,1),예비비!$F$430:$F$729,"결제대금비")+MAX(0,IF(예비비!$D133&lt;EDATE(BU$99,1),예비비!$E133,0)-SUMIFS(예비비!$O$430:$O$729,예비비!$B$430:$B$729,예비비!$A133,예비비!$E$430:$E$729,"&lt;"&amp;EDATE(BU$99,1))),0)</f>
        <v>0</v>
      </c>
    </row>
    <row r="134">
      <c r="BA134">
        <v>78</v>
      </c>
      <c r="BB134">
        <f>IFERROR(INDEX(잔액!$A:$A,BA134),0)</f>
        <v>46113.0</v>
      </c>
      <c r="BH134">
        <f>IFERROR(IF(AND(BB134&gt;0,OR(COUNTIFS(예비비!$C$430:$C$729,BA134,예비비!$N$430:$N$729,"OK")&gt;0,AND(INDEX(잔액!$J:$J,BA134)="가족통장",INDEX(잔액!$K:$K,BA134)="미래에셋_WRAP형CMA"),COUNTIF(예비비!$A$8:$A$12,INDEX(잔액!$C:$C,BA134))=1,COUNTIF(예비비!$A$8:$A$12,INDEX(잔액!$D:$D,BA134))=1),OR(AND(BB134&gt;=예비비!$B$3,BB134&lt;EDATE(예비비!$B$3,1)),AND(BB134&lt;EDATE(예비비!$B$3,1),COUNTIFS(예비비!$C$430:$C$729,BA134,예비비!$L$430:$L$729,예비비!$B$3,예비비!$N$430:$N$729,"OK")&gt;0))),MAX($BH$120:BH133)+1,0),0)</f>
        <v>0</v>
      </c>
      <c r="BI134">
        <f>IF(예비비!$R134="OK",SUMIFS(예비비!$O$430:$O$729,예비비!$B$430:$B$729,예비비!$A134,예비비!$E$430:$E$729,"&lt;"&amp;EDATE(BI$99,1),예비비!$F$430:$F$729,"결제대금비")+MAX(0,IF(예비비!$D134&lt;EDATE(BI$99,1),예비비!$E134,0)-SUMIFS(예비비!$O$430:$O$729,예비비!$B$430:$B$729,예비비!$A134,예비비!$E$430:$E$729,"&lt;"&amp;EDATE(BI$99,1))),0)</f>
        <v>0</v>
      </c>
      <c r="BJ134">
        <f>IF(예비비!$R134="OK",SUMIFS(예비비!$O$430:$O$729,예비비!$B$430:$B$729,예비비!$A134,예비비!$E$430:$E$729,"&lt;"&amp;EDATE(BJ$99,1),예비비!$F$430:$F$729,"결제대금비")+MAX(0,IF(예비비!$D134&lt;EDATE(BJ$99,1),예비비!$E134,0)-SUMIFS(예비비!$O$430:$O$729,예비비!$B$430:$B$729,예비비!$A134,예비비!$E$430:$E$729,"&lt;"&amp;EDATE(BJ$99,1))),0)</f>
        <v>0</v>
      </c>
      <c r="BK134">
        <f>IF(예비비!$R134="OK",SUMIFS(예비비!$O$430:$O$729,예비비!$B$430:$B$729,예비비!$A134,예비비!$E$430:$E$729,"&lt;"&amp;EDATE(BK$99,1),예비비!$F$430:$F$729,"결제대금비")+MAX(0,IF(예비비!$D134&lt;EDATE(BK$99,1),예비비!$E134,0)-SUMIFS(예비비!$O$430:$O$729,예비비!$B$430:$B$729,예비비!$A134,예비비!$E$430:$E$729,"&lt;"&amp;EDATE(BK$99,1))),0)</f>
        <v>0</v>
      </c>
      <c r="BL134">
        <f>IF(예비비!$R134="OK",SUMIFS(예비비!$O$430:$O$729,예비비!$B$430:$B$729,예비비!$A134,예비비!$E$430:$E$729,"&lt;"&amp;EDATE(BL$99,1),예비비!$F$430:$F$729,"결제대금비")+MAX(0,IF(예비비!$D134&lt;EDATE(BL$99,1),예비비!$E134,0)-SUMIFS(예비비!$O$430:$O$729,예비비!$B$430:$B$729,예비비!$A134,예비비!$E$430:$E$729,"&lt;"&amp;EDATE(BL$99,1))),0)</f>
        <v>0</v>
      </c>
      <c r="BM134">
        <f>IF(예비비!$R134="OK",SUMIFS(예비비!$O$430:$O$729,예비비!$B$430:$B$729,예비비!$A134,예비비!$E$430:$E$729,"&lt;"&amp;EDATE(BM$99,1),예비비!$F$430:$F$729,"결제대금비")+MAX(0,IF(예비비!$D134&lt;EDATE(BM$99,1),예비비!$E134,0)-SUMIFS(예비비!$O$430:$O$729,예비비!$B$430:$B$729,예비비!$A134,예비비!$E$430:$E$729,"&lt;"&amp;EDATE(BM$99,1))),0)</f>
        <v>0</v>
      </c>
      <c r="BN134">
        <f>IF(예비비!$R134="OK",SUMIFS(예비비!$O$430:$O$729,예비비!$B$430:$B$729,예비비!$A134,예비비!$E$430:$E$729,"&lt;"&amp;EDATE(BN$99,1),예비비!$F$430:$F$729,"결제대금비")+MAX(0,IF(예비비!$D134&lt;EDATE(BN$99,1),예비비!$E134,0)-SUMIFS(예비비!$O$430:$O$729,예비비!$B$430:$B$729,예비비!$A134,예비비!$E$430:$E$729,"&lt;"&amp;EDATE(BN$99,1))),0)</f>
        <v>0</v>
      </c>
      <c r="BO134">
        <f>IF(예비비!$R134="OK",SUMIFS(예비비!$O$430:$O$729,예비비!$B$430:$B$729,예비비!$A134,예비비!$E$430:$E$729,"&lt;"&amp;EDATE(BO$99,1),예비비!$F$430:$F$729,"결제대금비")+MAX(0,IF(예비비!$D134&lt;EDATE(BO$99,1),예비비!$E134,0)-SUMIFS(예비비!$O$430:$O$729,예비비!$B$430:$B$729,예비비!$A134,예비비!$E$430:$E$729,"&lt;"&amp;EDATE(BO$99,1))),0)</f>
        <v>0</v>
      </c>
      <c r="BP134">
        <f>IF(예비비!$R134="OK",SUMIFS(예비비!$O$430:$O$729,예비비!$B$430:$B$729,예비비!$A134,예비비!$E$430:$E$729,"&lt;"&amp;EDATE(BP$99,1),예비비!$F$430:$F$729,"결제대금비")+MAX(0,IF(예비비!$D134&lt;EDATE(BP$99,1),예비비!$E134,0)-SUMIFS(예비비!$O$430:$O$729,예비비!$B$430:$B$729,예비비!$A134,예비비!$E$430:$E$729,"&lt;"&amp;EDATE(BP$99,1))),0)</f>
        <v>0</v>
      </c>
      <c r="BQ134">
        <f>IF(예비비!$R134="OK",SUMIFS(예비비!$O$430:$O$729,예비비!$B$430:$B$729,예비비!$A134,예비비!$E$430:$E$729,"&lt;"&amp;EDATE(BQ$99,1),예비비!$F$430:$F$729,"결제대금비")+MAX(0,IF(예비비!$D134&lt;EDATE(BQ$99,1),예비비!$E134,0)-SUMIFS(예비비!$O$430:$O$729,예비비!$B$430:$B$729,예비비!$A134,예비비!$E$430:$E$729,"&lt;"&amp;EDATE(BQ$99,1))),0)</f>
        <v>0</v>
      </c>
      <c r="BR134">
        <f>IF(예비비!$R134="OK",SUMIFS(예비비!$O$430:$O$729,예비비!$B$430:$B$729,예비비!$A134,예비비!$E$430:$E$729,"&lt;"&amp;EDATE(BR$99,1),예비비!$F$430:$F$729,"결제대금비")+MAX(0,IF(예비비!$D134&lt;EDATE(BR$99,1),예비비!$E134,0)-SUMIFS(예비비!$O$430:$O$729,예비비!$B$430:$B$729,예비비!$A134,예비비!$E$430:$E$729,"&lt;"&amp;EDATE(BR$99,1))),0)</f>
        <v>0</v>
      </c>
      <c r="BS134">
        <f>IF(예비비!$R134="OK",SUMIFS(예비비!$O$430:$O$729,예비비!$B$430:$B$729,예비비!$A134,예비비!$E$430:$E$729,"&lt;"&amp;EDATE(BS$99,1),예비비!$F$430:$F$729,"결제대금비")+MAX(0,IF(예비비!$D134&lt;EDATE(BS$99,1),예비비!$E134,0)-SUMIFS(예비비!$O$430:$O$729,예비비!$B$430:$B$729,예비비!$A134,예비비!$E$430:$E$729,"&lt;"&amp;EDATE(BS$99,1))),0)</f>
        <v>0</v>
      </c>
      <c r="BT134">
        <f>IF(예비비!$R134="OK",SUMIFS(예비비!$O$430:$O$729,예비비!$B$430:$B$729,예비비!$A134,예비비!$E$430:$E$729,"&lt;"&amp;EDATE(BT$99,1),예비비!$F$430:$F$729,"결제대금비")+MAX(0,IF(예비비!$D134&lt;EDATE(BT$99,1),예비비!$E134,0)-SUMIFS(예비비!$O$430:$O$729,예비비!$B$430:$B$729,예비비!$A134,예비비!$E$430:$E$729,"&lt;"&amp;EDATE(BT$99,1))),0)</f>
        <v>0</v>
      </c>
      <c r="BU134">
        <f>IF(예비비!$R134="OK",SUMIFS(예비비!$O$430:$O$729,예비비!$B$430:$B$729,예비비!$A134,예비비!$E$430:$E$729,"&lt;"&amp;EDATE(BU$99,1),예비비!$F$430:$F$729,"결제대금비")+MAX(0,IF(예비비!$D134&lt;EDATE(BU$99,1),예비비!$E134,0)-SUMIFS(예비비!$O$430:$O$729,예비비!$B$430:$B$729,예비비!$A134,예비비!$E$430:$E$729,"&lt;"&amp;EDATE(BU$99,1))),0)</f>
        <v>0</v>
      </c>
    </row>
    <row r="135">
      <c r="BA135">
        <v>79</v>
      </c>
      <c r="BB135">
        <f>IFERROR(INDEX(잔액!$A:$A,BA135),0)</f>
        <v>46113.0</v>
      </c>
      <c r="BH135">
        <f>IFERROR(IF(AND(BB135&gt;0,OR(COUNTIFS(예비비!$C$430:$C$729,BA135,예비비!$N$430:$N$729,"OK")&gt;0,AND(INDEX(잔액!$J:$J,BA135)="가족통장",INDEX(잔액!$K:$K,BA135)="미래에셋_WRAP형CMA"),COUNTIF(예비비!$A$8:$A$12,INDEX(잔액!$C:$C,BA135))=1,COUNTIF(예비비!$A$8:$A$12,INDEX(잔액!$D:$D,BA135))=1),OR(AND(BB135&gt;=예비비!$B$3,BB135&lt;EDATE(예비비!$B$3,1)),AND(BB135&lt;EDATE(예비비!$B$3,1),COUNTIFS(예비비!$C$430:$C$729,BA135,예비비!$L$430:$L$729,예비비!$B$3,예비비!$N$430:$N$729,"OK")&gt;0))),MAX($BH$120:BH134)+1,0),0)</f>
        <v>0</v>
      </c>
      <c r="BI135">
        <f>IF(예비비!$R135="OK",SUMIFS(예비비!$O$430:$O$729,예비비!$B$430:$B$729,예비비!$A135,예비비!$E$430:$E$729,"&lt;"&amp;EDATE(BI$99,1),예비비!$F$430:$F$729,"결제대금비")+MAX(0,IF(예비비!$D135&lt;EDATE(BI$99,1),예비비!$E135,0)-SUMIFS(예비비!$O$430:$O$729,예비비!$B$430:$B$729,예비비!$A135,예비비!$E$430:$E$729,"&lt;"&amp;EDATE(BI$99,1))),0)</f>
        <v>0</v>
      </c>
      <c r="BJ135">
        <f>IF(예비비!$R135="OK",SUMIFS(예비비!$O$430:$O$729,예비비!$B$430:$B$729,예비비!$A135,예비비!$E$430:$E$729,"&lt;"&amp;EDATE(BJ$99,1),예비비!$F$430:$F$729,"결제대금비")+MAX(0,IF(예비비!$D135&lt;EDATE(BJ$99,1),예비비!$E135,0)-SUMIFS(예비비!$O$430:$O$729,예비비!$B$430:$B$729,예비비!$A135,예비비!$E$430:$E$729,"&lt;"&amp;EDATE(BJ$99,1))),0)</f>
        <v>0</v>
      </c>
      <c r="BK135">
        <f>IF(예비비!$R135="OK",SUMIFS(예비비!$O$430:$O$729,예비비!$B$430:$B$729,예비비!$A135,예비비!$E$430:$E$729,"&lt;"&amp;EDATE(BK$99,1),예비비!$F$430:$F$729,"결제대금비")+MAX(0,IF(예비비!$D135&lt;EDATE(BK$99,1),예비비!$E135,0)-SUMIFS(예비비!$O$430:$O$729,예비비!$B$430:$B$729,예비비!$A135,예비비!$E$430:$E$729,"&lt;"&amp;EDATE(BK$99,1))),0)</f>
        <v>0</v>
      </c>
      <c r="BL135">
        <f>IF(예비비!$R135="OK",SUMIFS(예비비!$O$430:$O$729,예비비!$B$430:$B$729,예비비!$A135,예비비!$E$430:$E$729,"&lt;"&amp;EDATE(BL$99,1),예비비!$F$430:$F$729,"결제대금비")+MAX(0,IF(예비비!$D135&lt;EDATE(BL$99,1),예비비!$E135,0)-SUMIFS(예비비!$O$430:$O$729,예비비!$B$430:$B$729,예비비!$A135,예비비!$E$430:$E$729,"&lt;"&amp;EDATE(BL$99,1))),0)</f>
        <v>0</v>
      </c>
      <c r="BM135">
        <f>IF(예비비!$R135="OK",SUMIFS(예비비!$O$430:$O$729,예비비!$B$430:$B$729,예비비!$A135,예비비!$E$430:$E$729,"&lt;"&amp;EDATE(BM$99,1),예비비!$F$430:$F$729,"결제대금비")+MAX(0,IF(예비비!$D135&lt;EDATE(BM$99,1),예비비!$E135,0)-SUMIFS(예비비!$O$430:$O$729,예비비!$B$430:$B$729,예비비!$A135,예비비!$E$430:$E$729,"&lt;"&amp;EDATE(BM$99,1))),0)</f>
        <v>0</v>
      </c>
      <c r="BN135">
        <f>IF(예비비!$R135="OK",SUMIFS(예비비!$O$430:$O$729,예비비!$B$430:$B$729,예비비!$A135,예비비!$E$430:$E$729,"&lt;"&amp;EDATE(BN$99,1),예비비!$F$430:$F$729,"결제대금비")+MAX(0,IF(예비비!$D135&lt;EDATE(BN$99,1),예비비!$E135,0)-SUMIFS(예비비!$O$430:$O$729,예비비!$B$430:$B$729,예비비!$A135,예비비!$E$430:$E$729,"&lt;"&amp;EDATE(BN$99,1))),0)</f>
        <v>0</v>
      </c>
      <c r="BO135">
        <f>IF(예비비!$R135="OK",SUMIFS(예비비!$O$430:$O$729,예비비!$B$430:$B$729,예비비!$A135,예비비!$E$430:$E$729,"&lt;"&amp;EDATE(BO$99,1),예비비!$F$430:$F$729,"결제대금비")+MAX(0,IF(예비비!$D135&lt;EDATE(BO$99,1),예비비!$E135,0)-SUMIFS(예비비!$O$430:$O$729,예비비!$B$430:$B$729,예비비!$A135,예비비!$E$430:$E$729,"&lt;"&amp;EDATE(BO$99,1))),0)</f>
        <v>0</v>
      </c>
      <c r="BP135">
        <f>IF(예비비!$R135="OK",SUMIFS(예비비!$O$430:$O$729,예비비!$B$430:$B$729,예비비!$A135,예비비!$E$430:$E$729,"&lt;"&amp;EDATE(BP$99,1),예비비!$F$430:$F$729,"결제대금비")+MAX(0,IF(예비비!$D135&lt;EDATE(BP$99,1),예비비!$E135,0)-SUMIFS(예비비!$O$430:$O$729,예비비!$B$430:$B$729,예비비!$A135,예비비!$E$430:$E$729,"&lt;"&amp;EDATE(BP$99,1))),0)</f>
        <v>0</v>
      </c>
      <c r="BQ135">
        <f>IF(예비비!$R135="OK",SUMIFS(예비비!$O$430:$O$729,예비비!$B$430:$B$729,예비비!$A135,예비비!$E$430:$E$729,"&lt;"&amp;EDATE(BQ$99,1),예비비!$F$430:$F$729,"결제대금비")+MAX(0,IF(예비비!$D135&lt;EDATE(BQ$99,1),예비비!$E135,0)-SUMIFS(예비비!$O$430:$O$729,예비비!$B$430:$B$729,예비비!$A135,예비비!$E$430:$E$729,"&lt;"&amp;EDATE(BQ$99,1))),0)</f>
        <v>0</v>
      </c>
      <c r="BR135">
        <f>IF(예비비!$R135="OK",SUMIFS(예비비!$O$430:$O$729,예비비!$B$430:$B$729,예비비!$A135,예비비!$E$430:$E$729,"&lt;"&amp;EDATE(BR$99,1),예비비!$F$430:$F$729,"결제대금비")+MAX(0,IF(예비비!$D135&lt;EDATE(BR$99,1),예비비!$E135,0)-SUMIFS(예비비!$O$430:$O$729,예비비!$B$430:$B$729,예비비!$A135,예비비!$E$430:$E$729,"&lt;"&amp;EDATE(BR$99,1))),0)</f>
        <v>0</v>
      </c>
      <c r="BS135">
        <f>IF(예비비!$R135="OK",SUMIFS(예비비!$O$430:$O$729,예비비!$B$430:$B$729,예비비!$A135,예비비!$E$430:$E$729,"&lt;"&amp;EDATE(BS$99,1),예비비!$F$430:$F$729,"결제대금비")+MAX(0,IF(예비비!$D135&lt;EDATE(BS$99,1),예비비!$E135,0)-SUMIFS(예비비!$O$430:$O$729,예비비!$B$430:$B$729,예비비!$A135,예비비!$E$430:$E$729,"&lt;"&amp;EDATE(BS$99,1))),0)</f>
        <v>0</v>
      </c>
      <c r="BT135">
        <f>IF(예비비!$R135="OK",SUMIFS(예비비!$O$430:$O$729,예비비!$B$430:$B$729,예비비!$A135,예비비!$E$430:$E$729,"&lt;"&amp;EDATE(BT$99,1),예비비!$F$430:$F$729,"결제대금비")+MAX(0,IF(예비비!$D135&lt;EDATE(BT$99,1),예비비!$E135,0)-SUMIFS(예비비!$O$430:$O$729,예비비!$B$430:$B$729,예비비!$A135,예비비!$E$430:$E$729,"&lt;"&amp;EDATE(BT$99,1))),0)</f>
        <v>0</v>
      </c>
      <c r="BU135">
        <f>IF(예비비!$R135="OK",SUMIFS(예비비!$O$430:$O$729,예비비!$B$430:$B$729,예비비!$A135,예비비!$E$430:$E$729,"&lt;"&amp;EDATE(BU$99,1),예비비!$F$430:$F$729,"결제대금비")+MAX(0,IF(예비비!$D135&lt;EDATE(BU$99,1),예비비!$E135,0)-SUMIFS(예비비!$O$430:$O$729,예비비!$B$430:$B$729,예비비!$A135,예비비!$E$430:$E$729,"&lt;"&amp;EDATE(BU$99,1))),0)</f>
        <v>0</v>
      </c>
    </row>
    <row r="136">
      <c r="BA136">
        <v>80</v>
      </c>
      <c r="BB136">
        <f>IFERROR(INDEX(잔액!$A:$A,BA136),0)</f>
        <v>46113.0</v>
      </c>
      <c r="BH136">
        <f>IFERROR(IF(AND(BB136&gt;0,OR(COUNTIFS(예비비!$C$430:$C$729,BA136,예비비!$N$430:$N$729,"OK")&gt;0,AND(INDEX(잔액!$J:$J,BA136)="가족통장",INDEX(잔액!$K:$K,BA136)="미래에셋_WRAP형CMA"),COUNTIF(예비비!$A$8:$A$12,INDEX(잔액!$C:$C,BA136))=1,COUNTIF(예비비!$A$8:$A$12,INDEX(잔액!$D:$D,BA136))=1),OR(AND(BB136&gt;=예비비!$B$3,BB136&lt;EDATE(예비비!$B$3,1)),AND(BB136&lt;EDATE(예비비!$B$3,1),COUNTIFS(예비비!$C$430:$C$729,BA136,예비비!$L$430:$L$729,예비비!$B$3,예비비!$N$430:$N$729,"OK")&gt;0))),MAX($BH$120:BH135)+1,0),0)</f>
        <v>0</v>
      </c>
      <c r="BI136">
        <f>IF(예비비!$R136="OK",SUMIFS(예비비!$O$430:$O$729,예비비!$B$430:$B$729,예비비!$A136,예비비!$E$430:$E$729,"&lt;"&amp;EDATE(BI$99,1),예비비!$F$430:$F$729,"결제대금비")+MAX(0,IF(예비비!$D136&lt;EDATE(BI$99,1),예비비!$E136,0)-SUMIFS(예비비!$O$430:$O$729,예비비!$B$430:$B$729,예비비!$A136,예비비!$E$430:$E$729,"&lt;"&amp;EDATE(BI$99,1))),0)</f>
        <v>0</v>
      </c>
      <c r="BJ136">
        <f>IF(예비비!$R136="OK",SUMIFS(예비비!$O$430:$O$729,예비비!$B$430:$B$729,예비비!$A136,예비비!$E$430:$E$729,"&lt;"&amp;EDATE(BJ$99,1),예비비!$F$430:$F$729,"결제대금비")+MAX(0,IF(예비비!$D136&lt;EDATE(BJ$99,1),예비비!$E136,0)-SUMIFS(예비비!$O$430:$O$729,예비비!$B$430:$B$729,예비비!$A136,예비비!$E$430:$E$729,"&lt;"&amp;EDATE(BJ$99,1))),0)</f>
        <v>0</v>
      </c>
      <c r="BK136">
        <f>IF(예비비!$R136="OK",SUMIFS(예비비!$O$430:$O$729,예비비!$B$430:$B$729,예비비!$A136,예비비!$E$430:$E$729,"&lt;"&amp;EDATE(BK$99,1),예비비!$F$430:$F$729,"결제대금비")+MAX(0,IF(예비비!$D136&lt;EDATE(BK$99,1),예비비!$E136,0)-SUMIFS(예비비!$O$430:$O$729,예비비!$B$430:$B$729,예비비!$A136,예비비!$E$430:$E$729,"&lt;"&amp;EDATE(BK$99,1))),0)</f>
        <v>0</v>
      </c>
      <c r="BL136">
        <f>IF(예비비!$R136="OK",SUMIFS(예비비!$O$430:$O$729,예비비!$B$430:$B$729,예비비!$A136,예비비!$E$430:$E$729,"&lt;"&amp;EDATE(BL$99,1),예비비!$F$430:$F$729,"결제대금비")+MAX(0,IF(예비비!$D136&lt;EDATE(BL$99,1),예비비!$E136,0)-SUMIFS(예비비!$O$430:$O$729,예비비!$B$430:$B$729,예비비!$A136,예비비!$E$430:$E$729,"&lt;"&amp;EDATE(BL$99,1))),0)</f>
        <v>0</v>
      </c>
      <c r="BM136">
        <f>IF(예비비!$R136="OK",SUMIFS(예비비!$O$430:$O$729,예비비!$B$430:$B$729,예비비!$A136,예비비!$E$430:$E$729,"&lt;"&amp;EDATE(BM$99,1),예비비!$F$430:$F$729,"결제대금비")+MAX(0,IF(예비비!$D136&lt;EDATE(BM$99,1),예비비!$E136,0)-SUMIFS(예비비!$O$430:$O$729,예비비!$B$430:$B$729,예비비!$A136,예비비!$E$430:$E$729,"&lt;"&amp;EDATE(BM$99,1))),0)</f>
        <v>0</v>
      </c>
      <c r="BN136">
        <f>IF(예비비!$R136="OK",SUMIFS(예비비!$O$430:$O$729,예비비!$B$430:$B$729,예비비!$A136,예비비!$E$430:$E$729,"&lt;"&amp;EDATE(BN$99,1),예비비!$F$430:$F$729,"결제대금비")+MAX(0,IF(예비비!$D136&lt;EDATE(BN$99,1),예비비!$E136,0)-SUMIFS(예비비!$O$430:$O$729,예비비!$B$430:$B$729,예비비!$A136,예비비!$E$430:$E$729,"&lt;"&amp;EDATE(BN$99,1))),0)</f>
        <v>0</v>
      </c>
      <c r="BO136">
        <f>IF(예비비!$R136="OK",SUMIFS(예비비!$O$430:$O$729,예비비!$B$430:$B$729,예비비!$A136,예비비!$E$430:$E$729,"&lt;"&amp;EDATE(BO$99,1),예비비!$F$430:$F$729,"결제대금비")+MAX(0,IF(예비비!$D136&lt;EDATE(BO$99,1),예비비!$E136,0)-SUMIFS(예비비!$O$430:$O$729,예비비!$B$430:$B$729,예비비!$A136,예비비!$E$430:$E$729,"&lt;"&amp;EDATE(BO$99,1))),0)</f>
        <v>0</v>
      </c>
      <c r="BP136">
        <f>IF(예비비!$R136="OK",SUMIFS(예비비!$O$430:$O$729,예비비!$B$430:$B$729,예비비!$A136,예비비!$E$430:$E$729,"&lt;"&amp;EDATE(BP$99,1),예비비!$F$430:$F$729,"결제대금비")+MAX(0,IF(예비비!$D136&lt;EDATE(BP$99,1),예비비!$E136,0)-SUMIFS(예비비!$O$430:$O$729,예비비!$B$430:$B$729,예비비!$A136,예비비!$E$430:$E$729,"&lt;"&amp;EDATE(BP$99,1))),0)</f>
        <v>0</v>
      </c>
      <c r="BQ136">
        <f>IF(예비비!$R136="OK",SUMIFS(예비비!$O$430:$O$729,예비비!$B$430:$B$729,예비비!$A136,예비비!$E$430:$E$729,"&lt;"&amp;EDATE(BQ$99,1),예비비!$F$430:$F$729,"결제대금비")+MAX(0,IF(예비비!$D136&lt;EDATE(BQ$99,1),예비비!$E136,0)-SUMIFS(예비비!$O$430:$O$729,예비비!$B$430:$B$729,예비비!$A136,예비비!$E$430:$E$729,"&lt;"&amp;EDATE(BQ$99,1))),0)</f>
        <v>0</v>
      </c>
      <c r="BR136">
        <f>IF(예비비!$R136="OK",SUMIFS(예비비!$O$430:$O$729,예비비!$B$430:$B$729,예비비!$A136,예비비!$E$430:$E$729,"&lt;"&amp;EDATE(BR$99,1),예비비!$F$430:$F$729,"결제대금비")+MAX(0,IF(예비비!$D136&lt;EDATE(BR$99,1),예비비!$E136,0)-SUMIFS(예비비!$O$430:$O$729,예비비!$B$430:$B$729,예비비!$A136,예비비!$E$430:$E$729,"&lt;"&amp;EDATE(BR$99,1))),0)</f>
        <v>0</v>
      </c>
      <c r="BS136">
        <f>IF(예비비!$R136="OK",SUMIFS(예비비!$O$430:$O$729,예비비!$B$430:$B$729,예비비!$A136,예비비!$E$430:$E$729,"&lt;"&amp;EDATE(BS$99,1),예비비!$F$430:$F$729,"결제대금비")+MAX(0,IF(예비비!$D136&lt;EDATE(BS$99,1),예비비!$E136,0)-SUMIFS(예비비!$O$430:$O$729,예비비!$B$430:$B$729,예비비!$A136,예비비!$E$430:$E$729,"&lt;"&amp;EDATE(BS$99,1))),0)</f>
        <v>0</v>
      </c>
      <c r="BT136">
        <f>IF(예비비!$R136="OK",SUMIFS(예비비!$O$430:$O$729,예비비!$B$430:$B$729,예비비!$A136,예비비!$E$430:$E$729,"&lt;"&amp;EDATE(BT$99,1),예비비!$F$430:$F$729,"결제대금비")+MAX(0,IF(예비비!$D136&lt;EDATE(BT$99,1),예비비!$E136,0)-SUMIFS(예비비!$O$430:$O$729,예비비!$B$430:$B$729,예비비!$A136,예비비!$E$430:$E$729,"&lt;"&amp;EDATE(BT$99,1))),0)</f>
        <v>0</v>
      </c>
      <c r="BU136">
        <f>IF(예비비!$R136="OK",SUMIFS(예비비!$O$430:$O$729,예비비!$B$430:$B$729,예비비!$A136,예비비!$E$430:$E$729,"&lt;"&amp;EDATE(BU$99,1),예비비!$F$430:$F$729,"결제대금비")+MAX(0,IF(예비비!$D136&lt;EDATE(BU$99,1),예비비!$E136,0)-SUMIFS(예비비!$O$430:$O$729,예비비!$B$430:$B$729,예비비!$A136,예비비!$E$430:$E$729,"&lt;"&amp;EDATE(BU$99,1))),0)</f>
        <v>0</v>
      </c>
    </row>
    <row r="137">
      <c r="BA137">
        <v>81</v>
      </c>
      <c r="BB137">
        <f>IFERROR(INDEX(잔액!$A:$A,BA137),0)</f>
        <v>46113.0</v>
      </c>
      <c r="BH137">
        <f>IFERROR(IF(AND(BB137&gt;0,OR(COUNTIFS(예비비!$C$430:$C$729,BA137,예비비!$N$430:$N$729,"OK")&gt;0,AND(INDEX(잔액!$J:$J,BA137)="가족통장",INDEX(잔액!$K:$K,BA137)="미래에셋_WRAP형CMA"),COUNTIF(예비비!$A$8:$A$12,INDEX(잔액!$C:$C,BA137))=1,COUNTIF(예비비!$A$8:$A$12,INDEX(잔액!$D:$D,BA137))=1),OR(AND(BB137&gt;=예비비!$B$3,BB137&lt;EDATE(예비비!$B$3,1)),AND(BB137&lt;EDATE(예비비!$B$3,1),COUNTIFS(예비비!$C$430:$C$729,BA137,예비비!$L$430:$L$729,예비비!$B$3,예비비!$N$430:$N$729,"OK")&gt;0))),MAX($BH$120:BH136)+1,0),0)</f>
        <v>0</v>
      </c>
      <c r="BI137">
        <f>IF(예비비!$R137="OK",SUMIFS(예비비!$O$430:$O$729,예비비!$B$430:$B$729,예비비!$A137,예비비!$E$430:$E$729,"&lt;"&amp;EDATE(BI$99,1),예비비!$F$430:$F$729,"결제대금비")+MAX(0,IF(예비비!$D137&lt;EDATE(BI$99,1),예비비!$E137,0)-SUMIFS(예비비!$O$430:$O$729,예비비!$B$430:$B$729,예비비!$A137,예비비!$E$430:$E$729,"&lt;"&amp;EDATE(BI$99,1))),0)</f>
        <v>0</v>
      </c>
      <c r="BJ137">
        <f>IF(예비비!$R137="OK",SUMIFS(예비비!$O$430:$O$729,예비비!$B$430:$B$729,예비비!$A137,예비비!$E$430:$E$729,"&lt;"&amp;EDATE(BJ$99,1),예비비!$F$430:$F$729,"결제대금비")+MAX(0,IF(예비비!$D137&lt;EDATE(BJ$99,1),예비비!$E137,0)-SUMIFS(예비비!$O$430:$O$729,예비비!$B$430:$B$729,예비비!$A137,예비비!$E$430:$E$729,"&lt;"&amp;EDATE(BJ$99,1))),0)</f>
        <v>0</v>
      </c>
      <c r="BK137">
        <f>IF(예비비!$R137="OK",SUMIFS(예비비!$O$430:$O$729,예비비!$B$430:$B$729,예비비!$A137,예비비!$E$430:$E$729,"&lt;"&amp;EDATE(BK$99,1),예비비!$F$430:$F$729,"결제대금비")+MAX(0,IF(예비비!$D137&lt;EDATE(BK$99,1),예비비!$E137,0)-SUMIFS(예비비!$O$430:$O$729,예비비!$B$430:$B$729,예비비!$A137,예비비!$E$430:$E$729,"&lt;"&amp;EDATE(BK$99,1))),0)</f>
        <v>0</v>
      </c>
      <c r="BL137">
        <f>IF(예비비!$R137="OK",SUMIFS(예비비!$O$430:$O$729,예비비!$B$430:$B$729,예비비!$A137,예비비!$E$430:$E$729,"&lt;"&amp;EDATE(BL$99,1),예비비!$F$430:$F$729,"결제대금비")+MAX(0,IF(예비비!$D137&lt;EDATE(BL$99,1),예비비!$E137,0)-SUMIFS(예비비!$O$430:$O$729,예비비!$B$430:$B$729,예비비!$A137,예비비!$E$430:$E$729,"&lt;"&amp;EDATE(BL$99,1))),0)</f>
        <v>0</v>
      </c>
      <c r="BM137">
        <f>IF(예비비!$R137="OK",SUMIFS(예비비!$O$430:$O$729,예비비!$B$430:$B$729,예비비!$A137,예비비!$E$430:$E$729,"&lt;"&amp;EDATE(BM$99,1),예비비!$F$430:$F$729,"결제대금비")+MAX(0,IF(예비비!$D137&lt;EDATE(BM$99,1),예비비!$E137,0)-SUMIFS(예비비!$O$430:$O$729,예비비!$B$430:$B$729,예비비!$A137,예비비!$E$430:$E$729,"&lt;"&amp;EDATE(BM$99,1))),0)</f>
        <v>0</v>
      </c>
      <c r="BN137">
        <f>IF(예비비!$R137="OK",SUMIFS(예비비!$O$430:$O$729,예비비!$B$430:$B$729,예비비!$A137,예비비!$E$430:$E$729,"&lt;"&amp;EDATE(BN$99,1),예비비!$F$430:$F$729,"결제대금비")+MAX(0,IF(예비비!$D137&lt;EDATE(BN$99,1),예비비!$E137,0)-SUMIFS(예비비!$O$430:$O$729,예비비!$B$430:$B$729,예비비!$A137,예비비!$E$430:$E$729,"&lt;"&amp;EDATE(BN$99,1))),0)</f>
        <v>0</v>
      </c>
      <c r="BO137">
        <f>IF(예비비!$R137="OK",SUMIFS(예비비!$O$430:$O$729,예비비!$B$430:$B$729,예비비!$A137,예비비!$E$430:$E$729,"&lt;"&amp;EDATE(BO$99,1),예비비!$F$430:$F$729,"결제대금비")+MAX(0,IF(예비비!$D137&lt;EDATE(BO$99,1),예비비!$E137,0)-SUMIFS(예비비!$O$430:$O$729,예비비!$B$430:$B$729,예비비!$A137,예비비!$E$430:$E$729,"&lt;"&amp;EDATE(BO$99,1))),0)</f>
        <v>0</v>
      </c>
      <c r="BP137">
        <f>IF(예비비!$R137="OK",SUMIFS(예비비!$O$430:$O$729,예비비!$B$430:$B$729,예비비!$A137,예비비!$E$430:$E$729,"&lt;"&amp;EDATE(BP$99,1),예비비!$F$430:$F$729,"결제대금비")+MAX(0,IF(예비비!$D137&lt;EDATE(BP$99,1),예비비!$E137,0)-SUMIFS(예비비!$O$430:$O$729,예비비!$B$430:$B$729,예비비!$A137,예비비!$E$430:$E$729,"&lt;"&amp;EDATE(BP$99,1))),0)</f>
        <v>0</v>
      </c>
      <c r="BQ137">
        <f>IF(예비비!$R137="OK",SUMIFS(예비비!$O$430:$O$729,예비비!$B$430:$B$729,예비비!$A137,예비비!$E$430:$E$729,"&lt;"&amp;EDATE(BQ$99,1),예비비!$F$430:$F$729,"결제대금비")+MAX(0,IF(예비비!$D137&lt;EDATE(BQ$99,1),예비비!$E137,0)-SUMIFS(예비비!$O$430:$O$729,예비비!$B$430:$B$729,예비비!$A137,예비비!$E$430:$E$729,"&lt;"&amp;EDATE(BQ$99,1))),0)</f>
        <v>0</v>
      </c>
      <c r="BR137">
        <f>IF(예비비!$R137="OK",SUMIFS(예비비!$O$430:$O$729,예비비!$B$430:$B$729,예비비!$A137,예비비!$E$430:$E$729,"&lt;"&amp;EDATE(BR$99,1),예비비!$F$430:$F$729,"결제대금비")+MAX(0,IF(예비비!$D137&lt;EDATE(BR$99,1),예비비!$E137,0)-SUMIFS(예비비!$O$430:$O$729,예비비!$B$430:$B$729,예비비!$A137,예비비!$E$430:$E$729,"&lt;"&amp;EDATE(BR$99,1))),0)</f>
        <v>0</v>
      </c>
      <c r="BS137">
        <f>IF(예비비!$R137="OK",SUMIFS(예비비!$O$430:$O$729,예비비!$B$430:$B$729,예비비!$A137,예비비!$E$430:$E$729,"&lt;"&amp;EDATE(BS$99,1),예비비!$F$430:$F$729,"결제대금비")+MAX(0,IF(예비비!$D137&lt;EDATE(BS$99,1),예비비!$E137,0)-SUMIFS(예비비!$O$430:$O$729,예비비!$B$430:$B$729,예비비!$A137,예비비!$E$430:$E$729,"&lt;"&amp;EDATE(BS$99,1))),0)</f>
        <v>0</v>
      </c>
      <c r="BT137">
        <f>IF(예비비!$R137="OK",SUMIFS(예비비!$O$430:$O$729,예비비!$B$430:$B$729,예비비!$A137,예비비!$E$430:$E$729,"&lt;"&amp;EDATE(BT$99,1),예비비!$F$430:$F$729,"결제대금비")+MAX(0,IF(예비비!$D137&lt;EDATE(BT$99,1),예비비!$E137,0)-SUMIFS(예비비!$O$430:$O$729,예비비!$B$430:$B$729,예비비!$A137,예비비!$E$430:$E$729,"&lt;"&amp;EDATE(BT$99,1))),0)</f>
        <v>0</v>
      </c>
      <c r="BU137">
        <f>IF(예비비!$R137="OK",SUMIFS(예비비!$O$430:$O$729,예비비!$B$430:$B$729,예비비!$A137,예비비!$E$430:$E$729,"&lt;"&amp;EDATE(BU$99,1),예비비!$F$430:$F$729,"결제대금비")+MAX(0,IF(예비비!$D137&lt;EDATE(BU$99,1),예비비!$E137,0)-SUMIFS(예비비!$O$430:$O$729,예비비!$B$430:$B$729,예비비!$A137,예비비!$E$430:$E$729,"&lt;"&amp;EDATE(BU$99,1))),0)</f>
        <v>0</v>
      </c>
    </row>
    <row r="138">
      <c r="BA138">
        <v>82</v>
      </c>
      <c r="BB138">
        <f>IFERROR(INDEX(잔액!$A:$A,BA138),0)</f>
        <v>46113.0</v>
      </c>
      <c r="BH138">
        <f>IFERROR(IF(AND(BB138&gt;0,OR(COUNTIFS(예비비!$C$430:$C$729,BA138,예비비!$N$430:$N$729,"OK")&gt;0,AND(INDEX(잔액!$J:$J,BA138)="가족통장",INDEX(잔액!$K:$K,BA138)="미래에셋_WRAP형CMA"),COUNTIF(예비비!$A$8:$A$12,INDEX(잔액!$C:$C,BA138))=1,COUNTIF(예비비!$A$8:$A$12,INDEX(잔액!$D:$D,BA138))=1),OR(AND(BB138&gt;=예비비!$B$3,BB138&lt;EDATE(예비비!$B$3,1)),AND(BB138&lt;EDATE(예비비!$B$3,1),COUNTIFS(예비비!$C$430:$C$729,BA138,예비비!$L$430:$L$729,예비비!$B$3,예비비!$N$430:$N$729,"OK")&gt;0))),MAX($BH$120:BH137)+1,0),0)</f>
        <v>0</v>
      </c>
      <c r="BI138">
        <f>IF(예비비!$R138="OK",SUMIFS(예비비!$O$430:$O$729,예비비!$B$430:$B$729,예비비!$A138,예비비!$E$430:$E$729,"&lt;"&amp;EDATE(BI$99,1),예비비!$F$430:$F$729,"결제대금비")+MAX(0,IF(예비비!$D138&lt;EDATE(BI$99,1),예비비!$E138,0)-SUMIFS(예비비!$O$430:$O$729,예비비!$B$430:$B$729,예비비!$A138,예비비!$E$430:$E$729,"&lt;"&amp;EDATE(BI$99,1))),0)</f>
        <v>0</v>
      </c>
      <c r="BJ138">
        <f>IF(예비비!$R138="OK",SUMIFS(예비비!$O$430:$O$729,예비비!$B$430:$B$729,예비비!$A138,예비비!$E$430:$E$729,"&lt;"&amp;EDATE(BJ$99,1),예비비!$F$430:$F$729,"결제대금비")+MAX(0,IF(예비비!$D138&lt;EDATE(BJ$99,1),예비비!$E138,0)-SUMIFS(예비비!$O$430:$O$729,예비비!$B$430:$B$729,예비비!$A138,예비비!$E$430:$E$729,"&lt;"&amp;EDATE(BJ$99,1))),0)</f>
        <v>0</v>
      </c>
      <c r="BK138">
        <f>IF(예비비!$R138="OK",SUMIFS(예비비!$O$430:$O$729,예비비!$B$430:$B$729,예비비!$A138,예비비!$E$430:$E$729,"&lt;"&amp;EDATE(BK$99,1),예비비!$F$430:$F$729,"결제대금비")+MAX(0,IF(예비비!$D138&lt;EDATE(BK$99,1),예비비!$E138,0)-SUMIFS(예비비!$O$430:$O$729,예비비!$B$430:$B$729,예비비!$A138,예비비!$E$430:$E$729,"&lt;"&amp;EDATE(BK$99,1))),0)</f>
        <v>0</v>
      </c>
      <c r="BL138">
        <f>IF(예비비!$R138="OK",SUMIFS(예비비!$O$430:$O$729,예비비!$B$430:$B$729,예비비!$A138,예비비!$E$430:$E$729,"&lt;"&amp;EDATE(BL$99,1),예비비!$F$430:$F$729,"결제대금비")+MAX(0,IF(예비비!$D138&lt;EDATE(BL$99,1),예비비!$E138,0)-SUMIFS(예비비!$O$430:$O$729,예비비!$B$430:$B$729,예비비!$A138,예비비!$E$430:$E$729,"&lt;"&amp;EDATE(BL$99,1))),0)</f>
        <v>0</v>
      </c>
      <c r="BM138">
        <f>IF(예비비!$R138="OK",SUMIFS(예비비!$O$430:$O$729,예비비!$B$430:$B$729,예비비!$A138,예비비!$E$430:$E$729,"&lt;"&amp;EDATE(BM$99,1),예비비!$F$430:$F$729,"결제대금비")+MAX(0,IF(예비비!$D138&lt;EDATE(BM$99,1),예비비!$E138,0)-SUMIFS(예비비!$O$430:$O$729,예비비!$B$430:$B$729,예비비!$A138,예비비!$E$430:$E$729,"&lt;"&amp;EDATE(BM$99,1))),0)</f>
        <v>0</v>
      </c>
      <c r="BN138">
        <f>IF(예비비!$R138="OK",SUMIFS(예비비!$O$430:$O$729,예비비!$B$430:$B$729,예비비!$A138,예비비!$E$430:$E$729,"&lt;"&amp;EDATE(BN$99,1),예비비!$F$430:$F$729,"결제대금비")+MAX(0,IF(예비비!$D138&lt;EDATE(BN$99,1),예비비!$E138,0)-SUMIFS(예비비!$O$430:$O$729,예비비!$B$430:$B$729,예비비!$A138,예비비!$E$430:$E$729,"&lt;"&amp;EDATE(BN$99,1))),0)</f>
        <v>0</v>
      </c>
      <c r="BO138">
        <f>IF(예비비!$R138="OK",SUMIFS(예비비!$O$430:$O$729,예비비!$B$430:$B$729,예비비!$A138,예비비!$E$430:$E$729,"&lt;"&amp;EDATE(BO$99,1),예비비!$F$430:$F$729,"결제대금비")+MAX(0,IF(예비비!$D138&lt;EDATE(BO$99,1),예비비!$E138,0)-SUMIFS(예비비!$O$430:$O$729,예비비!$B$430:$B$729,예비비!$A138,예비비!$E$430:$E$729,"&lt;"&amp;EDATE(BO$99,1))),0)</f>
        <v>0</v>
      </c>
      <c r="BP138">
        <f>IF(예비비!$R138="OK",SUMIFS(예비비!$O$430:$O$729,예비비!$B$430:$B$729,예비비!$A138,예비비!$E$430:$E$729,"&lt;"&amp;EDATE(BP$99,1),예비비!$F$430:$F$729,"결제대금비")+MAX(0,IF(예비비!$D138&lt;EDATE(BP$99,1),예비비!$E138,0)-SUMIFS(예비비!$O$430:$O$729,예비비!$B$430:$B$729,예비비!$A138,예비비!$E$430:$E$729,"&lt;"&amp;EDATE(BP$99,1))),0)</f>
        <v>0</v>
      </c>
      <c r="BQ138">
        <f>IF(예비비!$R138="OK",SUMIFS(예비비!$O$430:$O$729,예비비!$B$430:$B$729,예비비!$A138,예비비!$E$430:$E$729,"&lt;"&amp;EDATE(BQ$99,1),예비비!$F$430:$F$729,"결제대금비")+MAX(0,IF(예비비!$D138&lt;EDATE(BQ$99,1),예비비!$E138,0)-SUMIFS(예비비!$O$430:$O$729,예비비!$B$430:$B$729,예비비!$A138,예비비!$E$430:$E$729,"&lt;"&amp;EDATE(BQ$99,1))),0)</f>
        <v>0</v>
      </c>
      <c r="BR138">
        <f>IF(예비비!$R138="OK",SUMIFS(예비비!$O$430:$O$729,예비비!$B$430:$B$729,예비비!$A138,예비비!$E$430:$E$729,"&lt;"&amp;EDATE(BR$99,1),예비비!$F$430:$F$729,"결제대금비")+MAX(0,IF(예비비!$D138&lt;EDATE(BR$99,1),예비비!$E138,0)-SUMIFS(예비비!$O$430:$O$729,예비비!$B$430:$B$729,예비비!$A138,예비비!$E$430:$E$729,"&lt;"&amp;EDATE(BR$99,1))),0)</f>
        <v>0</v>
      </c>
      <c r="BS138">
        <f>IF(예비비!$R138="OK",SUMIFS(예비비!$O$430:$O$729,예비비!$B$430:$B$729,예비비!$A138,예비비!$E$430:$E$729,"&lt;"&amp;EDATE(BS$99,1),예비비!$F$430:$F$729,"결제대금비")+MAX(0,IF(예비비!$D138&lt;EDATE(BS$99,1),예비비!$E138,0)-SUMIFS(예비비!$O$430:$O$729,예비비!$B$430:$B$729,예비비!$A138,예비비!$E$430:$E$729,"&lt;"&amp;EDATE(BS$99,1))),0)</f>
        <v>0</v>
      </c>
      <c r="BT138">
        <f>IF(예비비!$R138="OK",SUMIFS(예비비!$O$430:$O$729,예비비!$B$430:$B$729,예비비!$A138,예비비!$E$430:$E$729,"&lt;"&amp;EDATE(BT$99,1),예비비!$F$430:$F$729,"결제대금비")+MAX(0,IF(예비비!$D138&lt;EDATE(BT$99,1),예비비!$E138,0)-SUMIFS(예비비!$O$430:$O$729,예비비!$B$430:$B$729,예비비!$A138,예비비!$E$430:$E$729,"&lt;"&amp;EDATE(BT$99,1))),0)</f>
        <v>0</v>
      </c>
      <c r="BU138">
        <f>IF(예비비!$R138="OK",SUMIFS(예비비!$O$430:$O$729,예비비!$B$430:$B$729,예비비!$A138,예비비!$E$430:$E$729,"&lt;"&amp;EDATE(BU$99,1),예비비!$F$430:$F$729,"결제대금비")+MAX(0,IF(예비비!$D138&lt;EDATE(BU$99,1),예비비!$E138,0)-SUMIFS(예비비!$O$430:$O$729,예비비!$B$430:$B$729,예비비!$A138,예비비!$E$430:$E$729,"&lt;"&amp;EDATE(BU$99,1))),0)</f>
        <v>0</v>
      </c>
    </row>
    <row r="139">
      <c r="BA139">
        <v>83</v>
      </c>
      <c r="BB139">
        <f>IFERROR(INDEX(잔액!$A:$A,BA139),0)</f>
        <v>46113.0</v>
      </c>
      <c r="BH139">
        <f>IFERROR(IF(AND(BB139&gt;0,OR(COUNTIFS(예비비!$C$430:$C$729,BA139,예비비!$N$430:$N$729,"OK")&gt;0,AND(INDEX(잔액!$J:$J,BA139)="가족통장",INDEX(잔액!$K:$K,BA139)="미래에셋_WRAP형CMA"),COUNTIF(예비비!$A$8:$A$12,INDEX(잔액!$C:$C,BA139))=1,COUNTIF(예비비!$A$8:$A$12,INDEX(잔액!$D:$D,BA139))=1),OR(AND(BB139&gt;=예비비!$B$3,BB139&lt;EDATE(예비비!$B$3,1)),AND(BB139&lt;EDATE(예비비!$B$3,1),COUNTIFS(예비비!$C$430:$C$729,BA139,예비비!$L$430:$L$729,예비비!$B$3,예비비!$N$430:$N$729,"OK")&gt;0))),MAX($BH$120:BH138)+1,0),0)</f>
        <v>0</v>
      </c>
      <c r="BI139">
        <f>IF(예비비!$R139="OK",SUMIFS(예비비!$O$430:$O$729,예비비!$B$430:$B$729,예비비!$A139,예비비!$E$430:$E$729,"&lt;"&amp;EDATE(BI$99,1),예비비!$F$430:$F$729,"결제대금비")+MAX(0,IF(예비비!$D139&lt;EDATE(BI$99,1),예비비!$E139,0)-SUMIFS(예비비!$O$430:$O$729,예비비!$B$430:$B$729,예비비!$A139,예비비!$E$430:$E$729,"&lt;"&amp;EDATE(BI$99,1))),0)</f>
        <v>0</v>
      </c>
      <c r="BJ139">
        <f>IF(예비비!$R139="OK",SUMIFS(예비비!$O$430:$O$729,예비비!$B$430:$B$729,예비비!$A139,예비비!$E$430:$E$729,"&lt;"&amp;EDATE(BJ$99,1),예비비!$F$430:$F$729,"결제대금비")+MAX(0,IF(예비비!$D139&lt;EDATE(BJ$99,1),예비비!$E139,0)-SUMIFS(예비비!$O$430:$O$729,예비비!$B$430:$B$729,예비비!$A139,예비비!$E$430:$E$729,"&lt;"&amp;EDATE(BJ$99,1))),0)</f>
        <v>0</v>
      </c>
      <c r="BK139">
        <f>IF(예비비!$R139="OK",SUMIFS(예비비!$O$430:$O$729,예비비!$B$430:$B$729,예비비!$A139,예비비!$E$430:$E$729,"&lt;"&amp;EDATE(BK$99,1),예비비!$F$430:$F$729,"결제대금비")+MAX(0,IF(예비비!$D139&lt;EDATE(BK$99,1),예비비!$E139,0)-SUMIFS(예비비!$O$430:$O$729,예비비!$B$430:$B$729,예비비!$A139,예비비!$E$430:$E$729,"&lt;"&amp;EDATE(BK$99,1))),0)</f>
        <v>0</v>
      </c>
      <c r="BL139">
        <f>IF(예비비!$R139="OK",SUMIFS(예비비!$O$430:$O$729,예비비!$B$430:$B$729,예비비!$A139,예비비!$E$430:$E$729,"&lt;"&amp;EDATE(BL$99,1),예비비!$F$430:$F$729,"결제대금비")+MAX(0,IF(예비비!$D139&lt;EDATE(BL$99,1),예비비!$E139,0)-SUMIFS(예비비!$O$430:$O$729,예비비!$B$430:$B$729,예비비!$A139,예비비!$E$430:$E$729,"&lt;"&amp;EDATE(BL$99,1))),0)</f>
        <v>0</v>
      </c>
      <c r="BM139">
        <f>IF(예비비!$R139="OK",SUMIFS(예비비!$O$430:$O$729,예비비!$B$430:$B$729,예비비!$A139,예비비!$E$430:$E$729,"&lt;"&amp;EDATE(BM$99,1),예비비!$F$430:$F$729,"결제대금비")+MAX(0,IF(예비비!$D139&lt;EDATE(BM$99,1),예비비!$E139,0)-SUMIFS(예비비!$O$430:$O$729,예비비!$B$430:$B$729,예비비!$A139,예비비!$E$430:$E$729,"&lt;"&amp;EDATE(BM$99,1))),0)</f>
        <v>0</v>
      </c>
      <c r="BN139">
        <f>IF(예비비!$R139="OK",SUMIFS(예비비!$O$430:$O$729,예비비!$B$430:$B$729,예비비!$A139,예비비!$E$430:$E$729,"&lt;"&amp;EDATE(BN$99,1),예비비!$F$430:$F$729,"결제대금비")+MAX(0,IF(예비비!$D139&lt;EDATE(BN$99,1),예비비!$E139,0)-SUMIFS(예비비!$O$430:$O$729,예비비!$B$430:$B$729,예비비!$A139,예비비!$E$430:$E$729,"&lt;"&amp;EDATE(BN$99,1))),0)</f>
        <v>0</v>
      </c>
      <c r="BO139">
        <f>IF(예비비!$R139="OK",SUMIFS(예비비!$O$430:$O$729,예비비!$B$430:$B$729,예비비!$A139,예비비!$E$430:$E$729,"&lt;"&amp;EDATE(BO$99,1),예비비!$F$430:$F$729,"결제대금비")+MAX(0,IF(예비비!$D139&lt;EDATE(BO$99,1),예비비!$E139,0)-SUMIFS(예비비!$O$430:$O$729,예비비!$B$430:$B$729,예비비!$A139,예비비!$E$430:$E$729,"&lt;"&amp;EDATE(BO$99,1))),0)</f>
        <v>0</v>
      </c>
      <c r="BP139">
        <f>IF(예비비!$R139="OK",SUMIFS(예비비!$O$430:$O$729,예비비!$B$430:$B$729,예비비!$A139,예비비!$E$430:$E$729,"&lt;"&amp;EDATE(BP$99,1),예비비!$F$430:$F$729,"결제대금비")+MAX(0,IF(예비비!$D139&lt;EDATE(BP$99,1),예비비!$E139,0)-SUMIFS(예비비!$O$430:$O$729,예비비!$B$430:$B$729,예비비!$A139,예비비!$E$430:$E$729,"&lt;"&amp;EDATE(BP$99,1))),0)</f>
        <v>0</v>
      </c>
      <c r="BQ139">
        <f>IF(예비비!$R139="OK",SUMIFS(예비비!$O$430:$O$729,예비비!$B$430:$B$729,예비비!$A139,예비비!$E$430:$E$729,"&lt;"&amp;EDATE(BQ$99,1),예비비!$F$430:$F$729,"결제대금비")+MAX(0,IF(예비비!$D139&lt;EDATE(BQ$99,1),예비비!$E139,0)-SUMIFS(예비비!$O$430:$O$729,예비비!$B$430:$B$729,예비비!$A139,예비비!$E$430:$E$729,"&lt;"&amp;EDATE(BQ$99,1))),0)</f>
        <v>0</v>
      </c>
      <c r="BR139">
        <f>IF(예비비!$R139="OK",SUMIFS(예비비!$O$430:$O$729,예비비!$B$430:$B$729,예비비!$A139,예비비!$E$430:$E$729,"&lt;"&amp;EDATE(BR$99,1),예비비!$F$430:$F$729,"결제대금비")+MAX(0,IF(예비비!$D139&lt;EDATE(BR$99,1),예비비!$E139,0)-SUMIFS(예비비!$O$430:$O$729,예비비!$B$430:$B$729,예비비!$A139,예비비!$E$430:$E$729,"&lt;"&amp;EDATE(BR$99,1))),0)</f>
        <v>0</v>
      </c>
      <c r="BS139">
        <f>IF(예비비!$R139="OK",SUMIFS(예비비!$O$430:$O$729,예비비!$B$430:$B$729,예비비!$A139,예비비!$E$430:$E$729,"&lt;"&amp;EDATE(BS$99,1),예비비!$F$430:$F$729,"결제대금비")+MAX(0,IF(예비비!$D139&lt;EDATE(BS$99,1),예비비!$E139,0)-SUMIFS(예비비!$O$430:$O$729,예비비!$B$430:$B$729,예비비!$A139,예비비!$E$430:$E$729,"&lt;"&amp;EDATE(BS$99,1))),0)</f>
        <v>0</v>
      </c>
      <c r="BT139">
        <f>IF(예비비!$R139="OK",SUMIFS(예비비!$O$430:$O$729,예비비!$B$430:$B$729,예비비!$A139,예비비!$E$430:$E$729,"&lt;"&amp;EDATE(BT$99,1),예비비!$F$430:$F$729,"결제대금비")+MAX(0,IF(예비비!$D139&lt;EDATE(BT$99,1),예비비!$E139,0)-SUMIFS(예비비!$O$430:$O$729,예비비!$B$430:$B$729,예비비!$A139,예비비!$E$430:$E$729,"&lt;"&amp;EDATE(BT$99,1))),0)</f>
        <v>0</v>
      </c>
      <c r="BU139">
        <f>IF(예비비!$R139="OK",SUMIFS(예비비!$O$430:$O$729,예비비!$B$430:$B$729,예비비!$A139,예비비!$E$430:$E$729,"&lt;"&amp;EDATE(BU$99,1),예비비!$F$430:$F$729,"결제대금비")+MAX(0,IF(예비비!$D139&lt;EDATE(BU$99,1),예비비!$E139,0)-SUMIFS(예비비!$O$430:$O$729,예비비!$B$430:$B$729,예비비!$A139,예비비!$E$430:$E$729,"&lt;"&amp;EDATE(BU$99,1))),0)</f>
        <v>0</v>
      </c>
    </row>
    <row r="140">
      <c r="BA140">
        <v>84</v>
      </c>
      <c r="BB140">
        <f>IFERROR(INDEX(잔액!$A:$A,BA140),0)</f>
        <v>46113.0</v>
      </c>
      <c r="BH140">
        <f>IFERROR(IF(AND(BB140&gt;0,OR(COUNTIFS(예비비!$C$430:$C$729,BA140,예비비!$N$430:$N$729,"OK")&gt;0,AND(INDEX(잔액!$J:$J,BA140)="가족통장",INDEX(잔액!$K:$K,BA140)="미래에셋_WRAP형CMA"),COUNTIF(예비비!$A$8:$A$12,INDEX(잔액!$C:$C,BA140))=1,COUNTIF(예비비!$A$8:$A$12,INDEX(잔액!$D:$D,BA140))=1),OR(AND(BB140&gt;=예비비!$B$3,BB140&lt;EDATE(예비비!$B$3,1)),AND(BB140&lt;EDATE(예비비!$B$3,1),COUNTIFS(예비비!$C$430:$C$729,BA140,예비비!$L$430:$L$729,예비비!$B$3,예비비!$N$430:$N$729,"OK")&gt;0))),MAX($BH$120:BH139)+1,0),0)</f>
        <v>0</v>
      </c>
      <c r="BI140">
        <f>IF(예비비!$R140="OK",SUMIFS(예비비!$O$430:$O$729,예비비!$B$430:$B$729,예비비!$A140,예비비!$E$430:$E$729,"&lt;"&amp;EDATE(BI$99,1),예비비!$F$430:$F$729,"결제대금비")+MAX(0,IF(예비비!$D140&lt;EDATE(BI$99,1),예비비!$E140,0)-SUMIFS(예비비!$O$430:$O$729,예비비!$B$430:$B$729,예비비!$A140,예비비!$E$430:$E$729,"&lt;"&amp;EDATE(BI$99,1))),0)</f>
        <v>0</v>
      </c>
      <c r="BJ140">
        <f>IF(예비비!$R140="OK",SUMIFS(예비비!$O$430:$O$729,예비비!$B$430:$B$729,예비비!$A140,예비비!$E$430:$E$729,"&lt;"&amp;EDATE(BJ$99,1),예비비!$F$430:$F$729,"결제대금비")+MAX(0,IF(예비비!$D140&lt;EDATE(BJ$99,1),예비비!$E140,0)-SUMIFS(예비비!$O$430:$O$729,예비비!$B$430:$B$729,예비비!$A140,예비비!$E$430:$E$729,"&lt;"&amp;EDATE(BJ$99,1))),0)</f>
        <v>0</v>
      </c>
      <c r="BK140">
        <f>IF(예비비!$R140="OK",SUMIFS(예비비!$O$430:$O$729,예비비!$B$430:$B$729,예비비!$A140,예비비!$E$430:$E$729,"&lt;"&amp;EDATE(BK$99,1),예비비!$F$430:$F$729,"결제대금비")+MAX(0,IF(예비비!$D140&lt;EDATE(BK$99,1),예비비!$E140,0)-SUMIFS(예비비!$O$430:$O$729,예비비!$B$430:$B$729,예비비!$A140,예비비!$E$430:$E$729,"&lt;"&amp;EDATE(BK$99,1))),0)</f>
        <v>0</v>
      </c>
      <c r="BL140">
        <f>IF(예비비!$R140="OK",SUMIFS(예비비!$O$430:$O$729,예비비!$B$430:$B$729,예비비!$A140,예비비!$E$430:$E$729,"&lt;"&amp;EDATE(BL$99,1),예비비!$F$430:$F$729,"결제대금비")+MAX(0,IF(예비비!$D140&lt;EDATE(BL$99,1),예비비!$E140,0)-SUMIFS(예비비!$O$430:$O$729,예비비!$B$430:$B$729,예비비!$A140,예비비!$E$430:$E$729,"&lt;"&amp;EDATE(BL$99,1))),0)</f>
        <v>0</v>
      </c>
      <c r="BM140">
        <f>IF(예비비!$R140="OK",SUMIFS(예비비!$O$430:$O$729,예비비!$B$430:$B$729,예비비!$A140,예비비!$E$430:$E$729,"&lt;"&amp;EDATE(BM$99,1),예비비!$F$430:$F$729,"결제대금비")+MAX(0,IF(예비비!$D140&lt;EDATE(BM$99,1),예비비!$E140,0)-SUMIFS(예비비!$O$430:$O$729,예비비!$B$430:$B$729,예비비!$A140,예비비!$E$430:$E$729,"&lt;"&amp;EDATE(BM$99,1))),0)</f>
        <v>0</v>
      </c>
      <c r="BN140">
        <f>IF(예비비!$R140="OK",SUMIFS(예비비!$O$430:$O$729,예비비!$B$430:$B$729,예비비!$A140,예비비!$E$430:$E$729,"&lt;"&amp;EDATE(BN$99,1),예비비!$F$430:$F$729,"결제대금비")+MAX(0,IF(예비비!$D140&lt;EDATE(BN$99,1),예비비!$E140,0)-SUMIFS(예비비!$O$430:$O$729,예비비!$B$430:$B$729,예비비!$A140,예비비!$E$430:$E$729,"&lt;"&amp;EDATE(BN$99,1))),0)</f>
        <v>0</v>
      </c>
      <c r="BO140">
        <f>IF(예비비!$R140="OK",SUMIFS(예비비!$O$430:$O$729,예비비!$B$430:$B$729,예비비!$A140,예비비!$E$430:$E$729,"&lt;"&amp;EDATE(BO$99,1),예비비!$F$430:$F$729,"결제대금비")+MAX(0,IF(예비비!$D140&lt;EDATE(BO$99,1),예비비!$E140,0)-SUMIFS(예비비!$O$430:$O$729,예비비!$B$430:$B$729,예비비!$A140,예비비!$E$430:$E$729,"&lt;"&amp;EDATE(BO$99,1))),0)</f>
        <v>0</v>
      </c>
      <c r="BP140">
        <f>IF(예비비!$R140="OK",SUMIFS(예비비!$O$430:$O$729,예비비!$B$430:$B$729,예비비!$A140,예비비!$E$430:$E$729,"&lt;"&amp;EDATE(BP$99,1),예비비!$F$430:$F$729,"결제대금비")+MAX(0,IF(예비비!$D140&lt;EDATE(BP$99,1),예비비!$E140,0)-SUMIFS(예비비!$O$430:$O$729,예비비!$B$430:$B$729,예비비!$A140,예비비!$E$430:$E$729,"&lt;"&amp;EDATE(BP$99,1))),0)</f>
        <v>0</v>
      </c>
      <c r="BQ140">
        <f>IF(예비비!$R140="OK",SUMIFS(예비비!$O$430:$O$729,예비비!$B$430:$B$729,예비비!$A140,예비비!$E$430:$E$729,"&lt;"&amp;EDATE(BQ$99,1),예비비!$F$430:$F$729,"결제대금비")+MAX(0,IF(예비비!$D140&lt;EDATE(BQ$99,1),예비비!$E140,0)-SUMIFS(예비비!$O$430:$O$729,예비비!$B$430:$B$729,예비비!$A140,예비비!$E$430:$E$729,"&lt;"&amp;EDATE(BQ$99,1))),0)</f>
        <v>0</v>
      </c>
      <c r="BR140">
        <f>IF(예비비!$R140="OK",SUMIFS(예비비!$O$430:$O$729,예비비!$B$430:$B$729,예비비!$A140,예비비!$E$430:$E$729,"&lt;"&amp;EDATE(BR$99,1),예비비!$F$430:$F$729,"결제대금비")+MAX(0,IF(예비비!$D140&lt;EDATE(BR$99,1),예비비!$E140,0)-SUMIFS(예비비!$O$430:$O$729,예비비!$B$430:$B$729,예비비!$A140,예비비!$E$430:$E$729,"&lt;"&amp;EDATE(BR$99,1))),0)</f>
        <v>0</v>
      </c>
      <c r="BS140">
        <f>IF(예비비!$R140="OK",SUMIFS(예비비!$O$430:$O$729,예비비!$B$430:$B$729,예비비!$A140,예비비!$E$430:$E$729,"&lt;"&amp;EDATE(BS$99,1),예비비!$F$430:$F$729,"결제대금비")+MAX(0,IF(예비비!$D140&lt;EDATE(BS$99,1),예비비!$E140,0)-SUMIFS(예비비!$O$430:$O$729,예비비!$B$430:$B$729,예비비!$A140,예비비!$E$430:$E$729,"&lt;"&amp;EDATE(BS$99,1))),0)</f>
        <v>0</v>
      </c>
      <c r="BT140">
        <f>IF(예비비!$R140="OK",SUMIFS(예비비!$O$430:$O$729,예비비!$B$430:$B$729,예비비!$A140,예비비!$E$430:$E$729,"&lt;"&amp;EDATE(BT$99,1),예비비!$F$430:$F$729,"결제대금비")+MAX(0,IF(예비비!$D140&lt;EDATE(BT$99,1),예비비!$E140,0)-SUMIFS(예비비!$O$430:$O$729,예비비!$B$430:$B$729,예비비!$A140,예비비!$E$430:$E$729,"&lt;"&amp;EDATE(BT$99,1))),0)</f>
        <v>0</v>
      </c>
      <c r="BU140">
        <f>IF(예비비!$R140="OK",SUMIFS(예비비!$O$430:$O$729,예비비!$B$430:$B$729,예비비!$A140,예비비!$E$430:$E$729,"&lt;"&amp;EDATE(BU$99,1),예비비!$F$430:$F$729,"결제대금비")+MAX(0,IF(예비비!$D140&lt;EDATE(BU$99,1),예비비!$E140,0)-SUMIFS(예비비!$O$430:$O$729,예비비!$B$430:$B$729,예비비!$A140,예비비!$E$430:$E$729,"&lt;"&amp;EDATE(BU$99,1))),0)</f>
        <v>0</v>
      </c>
    </row>
    <row r="141">
      <c r="BA141">
        <v>85</v>
      </c>
      <c r="BB141">
        <f>IFERROR(INDEX(잔액!$A:$A,BA141),0)</f>
        <v>46113.0</v>
      </c>
      <c r="BH141">
        <f>IFERROR(IF(AND(BB141&gt;0,OR(COUNTIFS(예비비!$C$430:$C$729,BA141,예비비!$N$430:$N$729,"OK")&gt;0,AND(INDEX(잔액!$J:$J,BA141)="가족통장",INDEX(잔액!$K:$K,BA141)="미래에셋_WRAP형CMA"),COUNTIF(예비비!$A$8:$A$12,INDEX(잔액!$C:$C,BA141))=1,COUNTIF(예비비!$A$8:$A$12,INDEX(잔액!$D:$D,BA141))=1),OR(AND(BB141&gt;=예비비!$B$3,BB141&lt;EDATE(예비비!$B$3,1)),AND(BB141&lt;EDATE(예비비!$B$3,1),COUNTIFS(예비비!$C$430:$C$729,BA141,예비비!$L$430:$L$729,예비비!$B$3,예비비!$N$430:$N$729,"OK")&gt;0))),MAX($BH$120:BH140)+1,0),0)</f>
        <v>0</v>
      </c>
      <c r="BI141">
        <f>IF(예비비!$R141="OK",SUMIFS(예비비!$O$430:$O$729,예비비!$B$430:$B$729,예비비!$A141,예비비!$E$430:$E$729,"&lt;"&amp;EDATE(BI$99,1),예비비!$F$430:$F$729,"결제대금비")+MAX(0,IF(예비비!$D141&lt;EDATE(BI$99,1),예비비!$E141,0)-SUMIFS(예비비!$O$430:$O$729,예비비!$B$430:$B$729,예비비!$A141,예비비!$E$430:$E$729,"&lt;"&amp;EDATE(BI$99,1))),0)</f>
        <v>0</v>
      </c>
      <c r="BJ141">
        <f>IF(예비비!$R141="OK",SUMIFS(예비비!$O$430:$O$729,예비비!$B$430:$B$729,예비비!$A141,예비비!$E$430:$E$729,"&lt;"&amp;EDATE(BJ$99,1),예비비!$F$430:$F$729,"결제대금비")+MAX(0,IF(예비비!$D141&lt;EDATE(BJ$99,1),예비비!$E141,0)-SUMIFS(예비비!$O$430:$O$729,예비비!$B$430:$B$729,예비비!$A141,예비비!$E$430:$E$729,"&lt;"&amp;EDATE(BJ$99,1))),0)</f>
        <v>0</v>
      </c>
      <c r="BK141">
        <f>IF(예비비!$R141="OK",SUMIFS(예비비!$O$430:$O$729,예비비!$B$430:$B$729,예비비!$A141,예비비!$E$430:$E$729,"&lt;"&amp;EDATE(BK$99,1),예비비!$F$430:$F$729,"결제대금비")+MAX(0,IF(예비비!$D141&lt;EDATE(BK$99,1),예비비!$E141,0)-SUMIFS(예비비!$O$430:$O$729,예비비!$B$430:$B$729,예비비!$A141,예비비!$E$430:$E$729,"&lt;"&amp;EDATE(BK$99,1))),0)</f>
        <v>0</v>
      </c>
      <c r="BL141">
        <f>IF(예비비!$R141="OK",SUMIFS(예비비!$O$430:$O$729,예비비!$B$430:$B$729,예비비!$A141,예비비!$E$430:$E$729,"&lt;"&amp;EDATE(BL$99,1),예비비!$F$430:$F$729,"결제대금비")+MAX(0,IF(예비비!$D141&lt;EDATE(BL$99,1),예비비!$E141,0)-SUMIFS(예비비!$O$430:$O$729,예비비!$B$430:$B$729,예비비!$A141,예비비!$E$430:$E$729,"&lt;"&amp;EDATE(BL$99,1))),0)</f>
        <v>0</v>
      </c>
      <c r="BM141">
        <f>IF(예비비!$R141="OK",SUMIFS(예비비!$O$430:$O$729,예비비!$B$430:$B$729,예비비!$A141,예비비!$E$430:$E$729,"&lt;"&amp;EDATE(BM$99,1),예비비!$F$430:$F$729,"결제대금비")+MAX(0,IF(예비비!$D141&lt;EDATE(BM$99,1),예비비!$E141,0)-SUMIFS(예비비!$O$430:$O$729,예비비!$B$430:$B$729,예비비!$A141,예비비!$E$430:$E$729,"&lt;"&amp;EDATE(BM$99,1))),0)</f>
        <v>0</v>
      </c>
      <c r="BN141">
        <f>IF(예비비!$R141="OK",SUMIFS(예비비!$O$430:$O$729,예비비!$B$430:$B$729,예비비!$A141,예비비!$E$430:$E$729,"&lt;"&amp;EDATE(BN$99,1),예비비!$F$430:$F$729,"결제대금비")+MAX(0,IF(예비비!$D141&lt;EDATE(BN$99,1),예비비!$E141,0)-SUMIFS(예비비!$O$430:$O$729,예비비!$B$430:$B$729,예비비!$A141,예비비!$E$430:$E$729,"&lt;"&amp;EDATE(BN$99,1))),0)</f>
        <v>0</v>
      </c>
      <c r="BO141">
        <f>IF(예비비!$R141="OK",SUMIFS(예비비!$O$430:$O$729,예비비!$B$430:$B$729,예비비!$A141,예비비!$E$430:$E$729,"&lt;"&amp;EDATE(BO$99,1),예비비!$F$430:$F$729,"결제대금비")+MAX(0,IF(예비비!$D141&lt;EDATE(BO$99,1),예비비!$E141,0)-SUMIFS(예비비!$O$430:$O$729,예비비!$B$430:$B$729,예비비!$A141,예비비!$E$430:$E$729,"&lt;"&amp;EDATE(BO$99,1))),0)</f>
        <v>0</v>
      </c>
      <c r="BP141">
        <f>IF(예비비!$R141="OK",SUMIFS(예비비!$O$430:$O$729,예비비!$B$430:$B$729,예비비!$A141,예비비!$E$430:$E$729,"&lt;"&amp;EDATE(BP$99,1),예비비!$F$430:$F$729,"결제대금비")+MAX(0,IF(예비비!$D141&lt;EDATE(BP$99,1),예비비!$E141,0)-SUMIFS(예비비!$O$430:$O$729,예비비!$B$430:$B$729,예비비!$A141,예비비!$E$430:$E$729,"&lt;"&amp;EDATE(BP$99,1))),0)</f>
        <v>0</v>
      </c>
      <c r="BQ141">
        <f>IF(예비비!$R141="OK",SUMIFS(예비비!$O$430:$O$729,예비비!$B$430:$B$729,예비비!$A141,예비비!$E$430:$E$729,"&lt;"&amp;EDATE(BQ$99,1),예비비!$F$430:$F$729,"결제대금비")+MAX(0,IF(예비비!$D141&lt;EDATE(BQ$99,1),예비비!$E141,0)-SUMIFS(예비비!$O$430:$O$729,예비비!$B$430:$B$729,예비비!$A141,예비비!$E$430:$E$729,"&lt;"&amp;EDATE(BQ$99,1))),0)</f>
        <v>0</v>
      </c>
      <c r="BR141">
        <f>IF(예비비!$R141="OK",SUMIFS(예비비!$O$430:$O$729,예비비!$B$430:$B$729,예비비!$A141,예비비!$E$430:$E$729,"&lt;"&amp;EDATE(BR$99,1),예비비!$F$430:$F$729,"결제대금비")+MAX(0,IF(예비비!$D141&lt;EDATE(BR$99,1),예비비!$E141,0)-SUMIFS(예비비!$O$430:$O$729,예비비!$B$430:$B$729,예비비!$A141,예비비!$E$430:$E$729,"&lt;"&amp;EDATE(BR$99,1))),0)</f>
        <v>0</v>
      </c>
      <c r="BS141">
        <f>IF(예비비!$R141="OK",SUMIFS(예비비!$O$430:$O$729,예비비!$B$430:$B$729,예비비!$A141,예비비!$E$430:$E$729,"&lt;"&amp;EDATE(BS$99,1),예비비!$F$430:$F$729,"결제대금비")+MAX(0,IF(예비비!$D141&lt;EDATE(BS$99,1),예비비!$E141,0)-SUMIFS(예비비!$O$430:$O$729,예비비!$B$430:$B$729,예비비!$A141,예비비!$E$430:$E$729,"&lt;"&amp;EDATE(BS$99,1))),0)</f>
        <v>0</v>
      </c>
      <c r="BT141">
        <f>IF(예비비!$R141="OK",SUMIFS(예비비!$O$430:$O$729,예비비!$B$430:$B$729,예비비!$A141,예비비!$E$430:$E$729,"&lt;"&amp;EDATE(BT$99,1),예비비!$F$430:$F$729,"결제대금비")+MAX(0,IF(예비비!$D141&lt;EDATE(BT$99,1),예비비!$E141,0)-SUMIFS(예비비!$O$430:$O$729,예비비!$B$430:$B$729,예비비!$A141,예비비!$E$430:$E$729,"&lt;"&amp;EDATE(BT$99,1))),0)</f>
        <v>0</v>
      </c>
      <c r="BU141">
        <f>IF(예비비!$R141="OK",SUMIFS(예비비!$O$430:$O$729,예비비!$B$430:$B$729,예비비!$A141,예비비!$E$430:$E$729,"&lt;"&amp;EDATE(BU$99,1),예비비!$F$430:$F$729,"결제대금비")+MAX(0,IF(예비비!$D141&lt;EDATE(BU$99,1),예비비!$E141,0)-SUMIFS(예비비!$O$430:$O$729,예비비!$B$430:$B$729,예비비!$A141,예비비!$E$430:$E$729,"&lt;"&amp;EDATE(BU$99,1))),0)</f>
        <v>0</v>
      </c>
    </row>
    <row r="142">
      <c r="BA142">
        <v>86</v>
      </c>
      <c r="BB142">
        <f>IFERROR(INDEX(잔액!$A:$A,BA142),0)</f>
        <v>46113.0</v>
      </c>
      <c r="BH142">
        <f>IFERROR(IF(AND(BB142&gt;0,OR(COUNTIFS(예비비!$C$430:$C$729,BA142,예비비!$N$430:$N$729,"OK")&gt;0,AND(INDEX(잔액!$J:$J,BA142)="가족통장",INDEX(잔액!$K:$K,BA142)="미래에셋_WRAP형CMA"),COUNTIF(예비비!$A$8:$A$12,INDEX(잔액!$C:$C,BA142))=1,COUNTIF(예비비!$A$8:$A$12,INDEX(잔액!$D:$D,BA142))=1),OR(AND(BB142&gt;=예비비!$B$3,BB142&lt;EDATE(예비비!$B$3,1)),AND(BB142&lt;EDATE(예비비!$B$3,1),COUNTIFS(예비비!$C$430:$C$729,BA142,예비비!$L$430:$L$729,예비비!$B$3,예비비!$N$430:$N$729,"OK")&gt;0))),MAX($BH$120:BH141)+1,0),0)</f>
        <v>0</v>
      </c>
      <c r="BI142">
        <f>IF(예비비!$R142="OK",SUMIFS(예비비!$O$430:$O$729,예비비!$B$430:$B$729,예비비!$A142,예비비!$E$430:$E$729,"&lt;"&amp;EDATE(BI$99,1),예비비!$F$430:$F$729,"결제대금비")+MAX(0,IF(예비비!$D142&lt;EDATE(BI$99,1),예비비!$E142,0)-SUMIFS(예비비!$O$430:$O$729,예비비!$B$430:$B$729,예비비!$A142,예비비!$E$430:$E$729,"&lt;"&amp;EDATE(BI$99,1))),0)</f>
        <v>0</v>
      </c>
      <c r="BJ142">
        <f>IF(예비비!$R142="OK",SUMIFS(예비비!$O$430:$O$729,예비비!$B$430:$B$729,예비비!$A142,예비비!$E$430:$E$729,"&lt;"&amp;EDATE(BJ$99,1),예비비!$F$430:$F$729,"결제대금비")+MAX(0,IF(예비비!$D142&lt;EDATE(BJ$99,1),예비비!$E142,0)-SUMIFS(예비비!$O$430:$O$729,예비비!$B$430:$B$729,예비비!$A142,예비비!$E$430:$E$729,"&lt;"&amp;EDATE(BJ$99,1))),0)</f>
        <v>0</v>
      </c>
      <c r="BK142">
        <f>IF(예비비!$R142="OK",SUMIFS(예비비!$O$430:$O$729,예비비!$B$430:$B$729,예비비!$A142,예비비!$E$430:$E$729,"&lt;"&amp;EDATE(BK$99,1),예비비!$F$430:$F$729,"결제대금비")+MAX(0,IF(예비비!$D142&lt;EDATE(BK$99,1),예비비!$E142,0)-SUMIFS(예비비!$O$430:$O$729,예비비!$B$430:$B$729,예비비!$A142,예비비!$E$430:$E$729,"&lt;"&amp;EDATE(BK$99,1))),0)</f>
        <v>0</v>
      </c>
      <c r="BL142">
        <f>IF(예비비!$R142="OK",SUMIFS(예비비!$O$430:$O$729,예비비!$B$430:$B$729,예비비!$A142,예비비!$E$430:$E$729,"&lt;"&amp;EDATE(BL$99,1),예비비!$F$430:$F$729,"결제대금비")+MAX(0,IF(예비비!$D142&lt;EDATE(BL$99,1),예비비!$E142,0)-SUMIFS(예비비!$O$430:$O$729,예비비!$B$430:$B$729,예비비!$A142,예비비!$E$430:$E$729,"&lt;"&amp;EDATE(BL$99,1))),0)</f>
        <v>0</v>
      </c>
      <c r="BM142">
        <f>IF(예비비!$R142="OK",SUMIFS(예비비!$O$430:$O$729,예비비!$B$430:$B$729,예비비!$A142,예비비!$E$430:$E$729,"&lt;"&amp;EDATE(BM$99,1),예비비!$F$430:$F$729,"결제대금비")+MAX(0,IF(예비비!$D142&lt;EDATE(BM$99,1),예비비!$E142,0)-SUMIFS(예비비!$O$430:$O$729,예비비!$B$430:$B$729,예비비!$A142,예비비!$E$430:$E$729,"&lt;"&amp;EDATE(BM$99,1))),0)</f>
        <v>0</v>
      </c>
      <c r="BN142">
        <f>IF(예비비!$R142="OK",SUMIFS(예비비!$O$430:$O$729,예비비!$B$430:$B$729,예비비!$A142,예비비!$E$430:$E$729,"&lt;"&amp;EDATE(BN$99,1),예비비!$F$430:$F$729,"결제대금비")+MAX(0,IF(예비비!$D142&lt;EDATE(BN$99,1),예비비!$E142,0)-SUMIFS(예비비!$O$430:$O$729,예비비!$B$430:$B$729,예비비!$A142,예비비!$E$430:$E$729,"&lt;"&amp;EDATE(BN$99,1))),0)</f>
        <v>0</v>
      </c>
      <c r="BO142">
        <f>IF(예비비!$R142="OK",SUMIFS(예비비!$O$430:$O$729,예비비!$B$430:$B$729,예비비!$A142,예비비!$E$430:$E$729,"&lt;"&amp;EDATE(BO$99,1),예비비!$F$430:$F$729,"결제대금비")+MAX(0,IF(예비비!$D142&lt;EDATE(BO$99,1),예비비!$E142,0)-SUMIFS(예비비!$O$430:$O$729,예비비!$B$430:$B$729,예비비!$A142,예비비!$E$430:$E$729,"&lt;"&amp;EDATE(BO$99,1))),0)</f>
        <v>0</v>
      </c>
      <c r="BP142">
        <f>IF(예비비!$R142="OK",SUMIFS(예비비!$O$430:$O$729,예비비!$B$430:$B$729,예비비!$A142,예비비!$E$430:$E$729,"&lt;"&amp;EDATE(BP$99,1),예비비!$F$430:$F$729,"결제대금비")+MAX(0,IF(예비비!$D142&lt;EDATE(BP$99,1),예비비!$E142,0)-SUMIFS(예비비!$O$430:$O$729,예비비!$B$430:$B$729,예비비!$A142,예비비!$E$430:$E$729,"&lt;"&amp;EDATE(BP$99,1))),0)</f>
        <v>0</v>
      </c>
      <c r="BQ142">
        <f>IF(예비비!$R142="OK",SUMIFS(예비비!$O$430:$O$729,예비비!$B$430:$B$729,예비비!$A142,예비비!$E$430:$E$729,"&lt;"&amp;EDATE(BQ$99,1),예비비!$F$430:$F$729,"결제대금비")+MAX(0,IF(예비비!$D142&lt;EDATE(BQ$99,1),예비비!$E142,0)-SUMIFS(예비비!$O$430:$O$729,예비비!$B$430:$B$729,예비비!$A142,예비비!$E$430:$E$729,"&lt;"&amp;EDATE(BQ$99,1))),0)</f>
        <v>0</v>
      </c>
      <c r="BR142">
        <f>IF(예비비!$R142="OK",SUMIFS(예비비!$O$430:$O$729,예비비!$B$430:$B$729,예비비!$A142,예비비!$E$430:$E$729,"&lt;"&amp;EDATE(BR$99,1),예비비!$F$430:$F$729,"결제대금비")+MAX(0,IF(예비비!$D142&lt;EDATE(BR$99,1),예비비!$E142,0)-SUMIFS(예비비!$O$430:$O$729,예비비!$B$430:$B$729,예비비!$A142,예비비!$E$430:$E$729,"&lt;"&amp;EDATE(BR$99,1))),0)</f>
        <v>0</v>
      </c>
      <c r="BS142">
        <f>IF(예비비!$R142="OK",SUMIFS(예비비!$O$430:$O$729,예비비!$B$430:$B$729,예비비!$A142,예비비!$E$430:$E$729,"&lt;"&amp;EDATE(BS$99,1),예비비!$F$430:$F$729,"결제대금비")+MAX(0,IF(예비비!$D142&lt;EDATE(BS$99,1),예비비!$E142,0)-SUMIFS(예비비!$O$430:$O$729,예비비!$B$430:$B$729,예비비!$A142,예비비!$E$430:$E$729,"&lt;"&amp;EDATE(BS$99,1))),0)</f>
        <v>0</v>
      </c>
      <c r="BT142">
        <f>IF(예비비!$R142="OK",SUMIFS(예비비!$O$430:$O$729,예비비!$B$430:$B$729,예비비!$A142,예비비!$E$430:$E$729,"&lt;"&amp;EDATE(BT$99,1),예비비!$F$430:$F$729,"결제대금비")+MAX(0,IF(예비비!$D142&lt;EDATE(BT$99,1),예비비!$E142,0)-SUMIFS(예비비!$O$430:$O$729,예비비!$B$430:$B$729,예비비!$A142,예비비!$E$430:$E$729,"&lt;"&amp;EDATE(BT$99,1))),0)</f>
        <v>0</v>
      </c>
      <c r="BU142">
        <f>IF(예비비!$R142="OK",SUMIFS(예비비!$O$430:$O$729,예비비!$B$430:$B$729,예비비!$A142,예비비!$E$430:$E$729,"&lt;"&amp;EDATE(BU$99,1),예비비!$F$430:$F$729,"결제대금비")+MAX(0,IF(예비비!$D142&lt;EDATE(BU$99,1),예비비!$E142,0)-SUMIFS(예비비!$O$430:$O$729,예비비!$B$430:$B$729,예비비!$A142,예비비!$E$430:$E$729,"&lt;"&amp;EDATE(BU$99,1))),0)</f>
        <v>0</v>
      </c>
    </row>
    <row r="143">
      <c r="BA143">
        <v>87</v>
      </c>
      <c r="BB143">
        <f>IFERROR(INDEX(잔액!$A:$A,BA143),0)</f>
        <v>46113.0</v>
      </c>
      <c r="BH143">
        <f>IFERROR(IF(AND(BB143&gt;0,OR(COUNTIFS(예비비!$C$430:$C$729,BA143,예비비!$N$430:$N$729,"OK")&gt;0,AND(INDEX(잔액!$J:$J,BA143)="가족통장",INDEX(잔액!$K:$K,BA143)="미래에셋_WRAP형CMA"),COUNTIF(예비비!$A$8:$A$12,INDEX(잔액!$C:$C,BA143))=1,COUNTIF(예비비!$A$8:$A$12,INDEX(잔액!$D:$D,BA143))=1),OR(AND(BB143&gt;=예비비!$B$3,BB143&lt;EDATE(예비비!$B$3,1)),AND(BB143&lt;EDATE(예비비!$B$3,1),COUNTIFS(예비비!$C$430:$C$729,BA143,예비비!$L$430:$L$729,예비비!$B$3,예비비!$N$430:$N$729,"OK")&gt;0))),MAX($BH$120:BH142)+1,0),0)</f>
        <v>0</v>
      </c>
      <c r="BI143">
        <f>IF(예비비!$R143="OK",SUMIFS(예비비!$O$430:$O$729,예비비!$B$430:$B$729,예비비!$A143,예비비!$E$430:$E$729,"&lt;"&amp;EDATE(BI$99,1),예비비!$F$430:$F$729,"결제대금비")+MAX(0,IF(예비비!$D143&lt;EDATE(BI$99,1),예비비!$E143,0)-SUMIFS(예비비!$O$430:$O$729,예비비!$B$430:$B$729,예비비!$A143,예비비!$E$430:$E$729,"&lt;"&amp;EDATE(BI$99,1))),0)</f>
        <v>0</v>
      </c>
      <c r="BJ143">
        <f>IF(예비비!$R143="OK",SUMIFS(예비비!$O$430:$O$729,예비비!$B$430:$B$729,예비비!$A143,예비비!$E$430:$E$729,"&lt;"&amp;EDATE(BJ$99,1),예비비!$F$430:$F$729,"결제대금비")+MAX(0,IF(예비비!$D143&lt;EDATE(BJ$99,1),예비비!$E143,0)-SUMIFS(예비비!$O$430:$O$729,예비비!$B$430:$B$729,예비비!$A143,예비비!$E$430:$E$729,"&lt;"&amp;EDATE(BJ$99,1))),0)</f>
        <v>0</v>
      </c>
      <c r="BK143">
        <f>IF(예비비!$R143="OK",SUMIFS(예비비!$O$430:$O$729,예비비!$B$430:$B$729,예비비!$A143,예비비!$E$430:$E$729,"&lt;"&amp;EDATE(BK$99,1),예비비!$F$430:$F$729,"결제대금비")+MAX(0,IF(예비비!$D143&lt;EDATE(BK$99,1),예비비!$E143,0)-SUMIFS(예비비!$O$430:$O$729,예비비!$B$430:$B$729,예비비!$A143,예비비!$E$430:$E$729,"&lt;"&amp;EDATE(BK$99,1))),0)</f>
        <v>0</v>
      </c>
      <c r="BL143">
        <f>IF(예비비!$R143="OK",SUMIFS(예비비!$O$430:$O$729,예비비!$B$430:$B$729,예비비!$A143,예비비!$E$430:$E$729,"&lt;"&amp;EDATE(BL$99,1),예비비!$F$430:$F$729,"결제대금비")+MAX(0,IF(예비비!$D143&lt;EDATE(BL$99,1),예비비!$E143,0)-SUMIFS(예비비!$O$430:$O$729,예비비!$B$430:$B$729,예비비!$A143,예비비!$E$430:$E$729,"&lt;"&amp;EDATE(BL$99,1))),0)</f>
        <v>0</v>
      </c>
      <c r="BM143">
        <f>IF(예비비!$R143="OK",SUMIFS(예비비!$O$430:$O$729,예비비!$B$430:$B$729,예비비!$A143,예비비!$E$430:$E$729,"&lt;"&amp;EDATE(BM$99,1),예비비!$F$430:$F$729,"결제대금비")+MAX(0,IF(예비비!$D143&lt;EDATE(BM$99,1),예비비!$E143,0)-SUMIFS(예비비!$O$430:$O$729,예비비!$B$430:$B$729,예비비!$A143,예비비!$E$430:$E$729,"&lt;"&amp;EDATE(BM$99,1))),0)</f>
        <v>0</v>
      </c>
      <c r="BN143">
        <f>IF(예비비!$R143="OK",SUMIFS(예비비!$O$430:$O$729,예비비!$B$430:$B$729,예비비!$A143,예비비!$E$430:$E$729,"&lt;"&amp;EDATE(BN$99,1),예비비!$F$430:$F$729,"결제대금비")+MAX(0,IF(예비비!$D143&lt;EDATE(BN$99,1),예비비!$E143,0)-SUMIFS(예비비!$O$430:$O$729,예비비!$B$430:$B$729,예비비!$A143,예비비!$E$430:$E$729,"&lt;"&amp;EDATE(BN$99,1))),0)</f>
        <v>0</v>
      </c>
      <c r="BO143">
        <f>IF(예비비!$R143="OK",SUMIFS(예비비!$O$430:$O$729,예비비!$B$430:$B$729,예비비!$A143,예비비!$E$430:$E$729,"&lt;"&amp;EDATE(BO$99,1),예비비!$F$430:$F$729,"결제대금비")+MAX(0,IF(예비비!$D143&lt;EDATE(BO$99,1),예비비!$E143,0)-SUMIFS(예비비!$O$430:$O$729,예비비!$B$430:$B$729,예비비!$A143,예비비!$E$430:$E$729,"&lt;"&amp;EDATE(BO$99,1))),0)</f>
        <v>0</v>
      </c>
      <c r="BP143">
        <f>IF(예비비!$R143="OK",SUMIFS(예비비!$O$430:$O$729,예비비!$B$430:$B$729,예비비!$A143,예비비!$E$430:$E$729,"&lt;"&amp;EDATE(BP$99,1),예비비!$F$430:$F$729,"결제대금비")+MAX(0,IF(예비비!$D143&lt;EDATE(BP$99,1),예비비!$E143,0)-SUMIFS(예비비!$O$430:$O$729,예비비!$B$430:$B$729,예비비!$A143,예비비!$E$430:$E$729,"&lt;"&amp;EDATE(BP$99,1))),0)</f>
        <v>0</v>
      </c>
      <c r="BQ143">
        <f>IF(예비비!$R143="OK",SUMIFS(예비비!$O$430:$O$729,예비비!$B$430:$B$729,예비비!$A143,예비비!$E$430:$E$729,"&lt;"&amp;EDATE(BQ$99,1),예비비!$F$430:$F$729,"결제대금비")+MAX(0,IF(예비비!$D143&lt;EDATE(BQ$99,1),예비비!$E143,0)-SUMIFS(예비비!$O$430:$O$729,예비비!$B$430:$B$729,예비비!$A143,예비비!$E$430:$E$729,"&lt;"&amp;EDATE(BQ$99,1))),0)</f>
        <v>0</v>
      </c>
      <c r="BR143">
        <f>IF(예비비!$R143="OK",SUMIFS(예비비!$O$430:$O$729,예비비!$B$430:$B$729,예비비!$A143,예비비!$E$430:$E$729,"&lt;"&amp;EDATE(BR$99,1),예비비!$F$430:$F$729,"결제대금비")+MAX(0,IF(예비비!$D143&lt;EDATE(BR$99,1),예비비!$E143,0)-SUMIFS(예비비!$O$430:$O$729,예비비!$B$430:$B$729,예비비!$A143,예비비!$E$430:$E$729,"&lt;"&amp;EDATE(BR$99,1))),0)</f>
        <v>0</v>
      </c>
      <c r="BS143">
        <f>IF(예비비!$R143="OK",SUMIFS(예비비!$O$430:$O$729,예비비!$B$430:$B$729,예비비!$A143,예비비!$E$430:$E$729,"&lt;"&amp;EDATE(BS$99,1),예비비!$F$430:$F$729,"결제대금비")+MAX(0,IF(예비비!$D143&lt;EDATE(BS$99,1),예비비!$E143,0)-SUMIFS(예비비!$O$430:$O$729,예비비!$B$430:$B$729,예비비!$A143,예비비!$E$430:$E$729,"&lt;"&amp;EDATE(BS$99,1))),0)</f>
        <v>0</v>
      </c>
      <c r="BT143">
        <f>IF(예비비!$R143="OK",SUMIFS(예비비!$O$430:$O$729,예비비!$B$430:$B$729,예비비!$A143,예비비!$E$430:$E$729,"&lt;"&amp;EDATE(BT$99,1),예비비!$F$430:$F$729,"결제대금비")+MAX(0,IF(예비비!$D143&lt;EDATE(BT$99,1),예비비!$E143,0)-SUMIFS(예비비!$O$430:$O$729,예비비!$B$430:$B$729,예비비!$A143,예비비!$E$430:$E$729,"&lt;"&amp;EDATE(BT$99,1))),0)</f>
        <v>0</v>
      </c>
      <c r="BU143">
        <f>IF(예비비!$R143="OK",SUMIFS(예비비!$O$430:$O$729,예비비!$B$430:$B$729,예비비!$A143,예비비!$E$430:$E$729,"&lt;"&amp;EDATE(BU$99,1),예비비!$F$430:$F$729,"결제대금비")+MAX(0,IF(예비비!$D143&lt;EDATE(BU$99,1),예비비!$E143,0)-SUMIFS(예비비!$O$430:$O$729,예비비!$B$430:$B$729,예비비!$A143,예비비!$E$430:$E$729,"&lt;"&amp;EDATE(BU$99,1))),0)</f>
        <v>0</v>
      </c>
    </row>
    <row r="144">
      <c r="BA144">
        <v>88</v>
      </c>
      <c r="BB144">
        <f>IFERROR(INDEX(잔액!$A:$A,BA144),0)</f>
        <v>46113.0</v>
      </c>
      <c r="BH144">
        <f>IFERROR(IF(AND(BB144&gt;0,OR(COUNTIFS(예비비!$C$430:$C$729,BA144,예비비!$N$430:$N$729,"OK")&gt;0,AND(INDEX(잔액!$J:$J,BA144)="가족통장",INDEX(잔액!$K:$K,BA144)="미래에셋_WRAP형CMA"),COUNTIF(예비비!$A$8:$A$12,INDEX(잔액!$C:$C,BA144))=1,COUNTIF(예비비!$A$8:$A$12,INDEX(잔액!$D:$D,BA144))=1),OR(AND(BB144&gt;=예비비!$B$3,BB144&lt;EDATE(예비비!$B$3,1)),AND(BB144&lt;EDATE(예비비!$B$3,1),COUNTIFS(예비비!$C$430:$C$729,BA144,예비비!$L$430:$L$729,예비비!$B$3,예비비!$N$430:$N$729,"OK")&gt;0))),MAX($BH$120:BH143)+1,0),0)</f>
        <v>0</v>
      </c>
      <c r="BI144">
        <f>IF(예비비!$R144="OK",SUMIFS(예비비!$O$430:$O$729,예비비!$B$430:$B$729,예비비!$A144,예비비!$E$430:$E$729,"&lt;"&amp;EDATE(BI$99,1),예비비!$F$430:$F$729,"결제대금비")+MAX(0,IF(예비비!$D144&lt;EDATE(BI$99,1),예비비!$E144,0)-SUMIFS(예비비!$O$430:$O$729,예비비!$B$430:$B$729,예비비!$A144,예비비!$E$430:$E$729,"&lt;"&amp;EDATE(BI$99,1))),0)</f>
        <v>0</v>
      </c>
      <c r="BJ144">
        <f>IF(예비비!$R144="OK",SUMIFS(예비비!$O$430:$O$729,예비비!$B$430:$B$729,예비비!$A144,예비비!$E$430:$E$729,"&lt;"&amp;EDATE(BJ$99,1),예비비!$F$430:$F$729,"결제대금비")+MAX(0,IF(예비비!$D144&lt;EDATE(BJ$99,1),예비비!$E144,0)-SUMIFS(예비비!$O$430:$O$729,예비비!$B$430:$B$729,예비비!$A144,예비비!$E$430:$E$729,"&lt;"&amp;EDATE(BJ$99,1))),0)</f>
        <v>0</v>
      </c>
      <c r="BK144">
        <f>IF(예비비!$R144="OK",SUMIFS(예비비!$O$430:$O$729,예비비!$B$430:$B$729,예비비!$A144,예비비!$E$430:$E$729,"&lt;"&amp;EDATE(BK$99,1),예비비!$F$430:$F$729,"결제대금비")+MAX(0,IF(예비비!$D144&lt;EDATE(BK$99,1),예비비!$E144,0)-SUMIFS(예비비!$O$430:$O$729,예비비!$B$430:$B$729,예비비!$A144,예비비!$E$430:$E$729,"&lt;"&amp;EDATE(BK$99,1))),0)</f>
        <v>0</v>
      </c>
      <c r="BL144">
        <f>IF(예비비!$R144="OK",SUMIFS(예비비!$O$430:$O$729,예비비!$B$430:$B$729,예비비!$A144,예비비!$E$430:$E$729,"&lt;"&amp;EDATE(BL$99,1),예비비!$F$430:$F$729,"결제대금비")+MAX(0,IF(예비비!$D144&lt;EDATE(BL$99,1),예비비!$E144,0)-SUMIFS(예비비!$O$430:$O$729,예비비!$B$430:$B$729,예비비!$A144,예비비!$E$430:$E$729,"&lt;"&amp;EDATE(BL$99,1))),0)</f>
        <v>0</v>
      </c>
      <c r="BM144">
        <f>IF(예비비!$R144="OK",SUMIFS(예비비!$O$430:$O$729,예비비!$B$430:$B$729,예비비!$A144,예비비!$E$430:$E$729,"&lt;"&amp;EDATE(BM$99,1),예비비!$F$430:$F$729,"결제대금비")+MAX(0,IF(예비비!$D144&lt;EDATE(BM$99,1),예비비!$E144,0)-SUMIFS(예비비!$O$430:$O$729,예비비!$B$430:$B$729,예비비!$A144,예비비!$E$430:$E$729,"&lt;"&amp;EDATE(BM$99,1))),0)</f>
        <v>0</v>
      </c>
      <c r="BN144">
        <f>IF(예비비!$R144="OK",SUMIFS(예비비!$O$430:$O$729,예비비!$B$430:$B$729,예비비!$A144,예비비!$E$430:$E$729,"&lt;"&amp;EDATE(BN$99,1),예비비!$F$430:$F$729,"결제대금비")+MAX(0,IF(예비비!$D144&lt;EDATE(BN$99,1),예비비!$E144,0)-SUMIFS(예비비!$O$430:$O$729,예비비!$B$430:$B$729,예비비!$A144,예비비!$E$430:$E$729,"&lt;"&amp;EDATE(BN$99,1))),0)</f>
        <v>0</v>
      </c>
      <c r="BO144">
        <f>IF(예비비!$R144="OK",SUMIFS(예비비!$O$430:$O$729,예비비!$B$430:$B$729,예비비!$A144,예비비!$E$430:$E$729,"&lt;"&amp;EDATE(BO$99,1),예비비!$F$430:$F$729,"결제대금비")+MAX(0,IF(예비비!$D144&lt;EDATE(BO$99,1),예비비!$E144,0)-SUMIFS(예비비!$O$430:$O$729,예비비!$B$430:$B$729,예비비!$A144,예비비!$E$430:$E$729,"&lt;"&amp;EDATE(BO$99,1))),0)</f>
        <v>0</v>
      </c>
      <c r="BP144">
        <f>IF(예비비!$R144="OK",SUMIFS(예비비!$O$430:$O$729,예비비!$B$430:$B$729,예비비!$A144,예비비!$E$430:$E$729,"&lt;"&amp;EDATE(BP$99,1),예비비!$F$430:$F$729,"결제대금비")+MAX(0,IF(예비비!$D144&lt;EDATE(BP$99,1),예비비!$E144,0)-SUMIFS(예비비!$O$430:$O$729,예비비!$B$430:$B$729,예비비!$A144,예비비!$E$430:$E$729,"&lt;"&amp;EDATE(BP$99,1))),0)</f>
        <v>0</v>
      </c>
      <c r="BQ144">
        <f>IF(예비비!$R144="OK",SUMIFS(예비비!$O$430:$O$729,예비비!$B$430:$B$729,예비비!$A144,예비비!$E$430:$E$729,"&lt;"&amp;EDATE(BQ$99,1),예비비!$F$430:$F$729,"결제대금비")+MAX(0,IF(예비비!$D144&lt;EDATE(BQ$99,1),예비비!$E144,0)-SUMIFS(예비비!$O$430:$O$729,예비비!$B$430:$B$729,예비비!$A144,예비비!$E$430:$E$729,"&lt;"&amp;EDATE(BQ$99,1))),0)</f>
        <v>0</v>
      </c>
      <c r="BR144">
        <f>IF(예비비!$R144="OK",SUMIFS(예비비!$O$430:$O$729,예비비!$B$430:$B$729,예비비!$A144,예비비!$E$430:$E$729,"&lt;"&amp;EDATE(BR$99,1),예비비!$F$430:$F$729,"결제대금비")+MAX(0,IF(예비비!$D144&lt;EDATE(BR$99,1),예비비!$E144,0)-SUMIFS(예비비!$O$430:$O$729,예비비!$B$430:$B$729,예비비!$A144,예비비!$E$430:$E$729,"&lt;"&amp;EDATE(BR$99,1))),0)</f>
        <v>0</v>
      </c>
      <c r="BS144">
        <f>IF(예비비!$R144="OK",SUMIFS(예비비!$O$430:$O$729,예비비!$B$430:$B$729,예비비!$A144,예비비!$E$430:$E$729,"&lt;"&amp;EDATE(BS$99,1),예비비!$F$430:$F$729,"결제대금비")+MAX(0,IF(예비비!$D144&lt;EDATE(BS$99,1),예비비!$E144,0)-SUMIFS(예비비!$O$430:$O$729,예비비!$B$430:$B$729,예비비!$A144,예비비!$E$430:$E$729,"&lt;"&amp;EDATE(BS$99,1))),0)</f>
        <v>0</v>
      </c>
      <c r="BT144">
        <f>IF(예비비!$R144="OK",SUMIFS(예비비!$O$430:$O$729,예비비!$B$430:$B$729,예비비!$A144,예비비!$E$430:$E$729,"&lt;"&amp;EDATE(BT$99,1),예비비!$F$430:$F$729,"결제대금비")+MAX(0,IF(예비비!$D144&lt;EDATE(BT$99,1),예비비!$E144,0)-SUMIFS(예비비!$O$430:$O$729,예비비!$B$430:$B$729,예비비!$A144,예비비!$E$430:$E$729,"&lt;"&amp;EDATE(BT$99,1))),0)</f>
        <v>0</v>
      </c>
      <c r="BU144">
        <f>IF(예비비!$R144="OK",SUMIFS(예비비!$O$430:$O$729,예비비!$B$430:$B$729,예비비!$A144,예비비!$E$430:$E$729,"&lt;"&amp;EDATE(BU$99,1),예비비!$F$430:$F$729,"결제대금비")+MAX(0,IF(예비비!$D144&lt;EDATE(BU$99,1),예비비!$E144,0)-SUMIFS(예비비!$O$430:$O$729,예비비!$B$430:$B$729,예비비!$A144,예비비!$E$430:$E$729,"&lt;"&amp;EDATE(BU$99,1))),0)</f>
        <v>0</v>
      </c>
    </row>
    <row r="145">
      <c r="BA145">
        <v>89</v>
      </c>
      <c r="BB145">
        <f>IFERROR(INDEX(잔액!$A:$A,BA145),0)</f>
        <v>46113.0</v>
      </c>
      <c r="BH145">
        <f>IFERROR(IF(AND(BB145&gt;0,OR(COUNTIFS(예비비!$C$430:$C$729,BA145,예비비!$N$430:$N$729,"OK")&gt;0,AND(INDEX(잔액!$J:$J,BA145)="가족통장",INDEX(잔액!$K:$K,BA145)="미래에셋_WRAP형CMA"),COUNTIF(예비비!$A$8:$A$12,INDEX(잔액!$C:$C,BA145))=1,COUNTIF(예비비!$A$8:$A$12,INDEX(잔액!$D:$D,BA145))=1),OR(AND(BB145&gt;=예비비!$B$3,BB145&lt;EDATE(예비비!$B$3,1)),AND(BB145&lt;EDATE(예비비!$B$3,1),COUNTIFS(예비비!$C$430:$C$729,BA145,예비비!$L$430:$L$729,예비비!$B$3,예비비!$N$430:$N$729,"OK")&gt;0))),MAX($BH$120:BH144)+1,0),0)</f>
        <v>0</v>
      </c>
      <c r="BI145">
        <f>IF(예비비!$R145="OK",SUMIFS(예비비!$O$430:$O$729,예비비!$B$430:$B$729,예비비!$A145,예비비!$E$430:$E$729,"&lt;"&amp;EDATE(BI$99,1),예비비!$F$430:$F$729,"결제대금비")+MAX(0,IF(예비비!$D145&lt;EDATE(BI$99,1),예비비!$E145,0)-SUMIFS(예비비!$O$430:$O$729,예비비!$B$430:$B$729,예비비!$A145,예비비!$E$430:$E$729,"&lt;"&amp;EDATE(BI$99,1))),0)</f>
        <v>0</v>
      </c>
      <c r="BJ145">
        <f>IF(예비비!$R145="OK",SUMIFS(예비비!$O$430:$O$729,예비비!$B$430:$B$729,예비비!$A145,예비비!$E$430:$E$729,"&lt;"&amp;EDATE(BJ$99,1),예비비!$F$430:$F$729,"결제대금비")+MAX(0,IF(예비비!$D145&lt;EDATE(BJ$99,1),예비비!$E145,0)-SUMIFS(예비비!$O$430:$O$729,예비비!$B$430:$B$729,예비비!$A145,예비비!$E$430:$E$729,"&lt;"&amp;EDATE(BJ$99,1))),0)</f>
        <v>0</v>
      </c>
      <c r="BK145">
        <f>IF(예비비!$R145="OK",SUMIFS(예비비!$O$430:$O$729,예비비!$B$430:$B$729,예비비!$A145,예비비!$E$430:$E$729,"&lt;"&amp;EDATE(BK$99,1),예비비!$F$430:$F$729,"결제대금비")+MAX(0,IF(예비비!$D145&lt;EDATE(BK$99,1),예비비!$E145,0)-SUMIFS(예비비!$O$430:$O$729,예비비!$B$430:$B$729,예비비!$A145,예비비!$E$430:$E$729,"&lt;"&amp;EDATE(BK$99,1))),0)</f>
        <v>0</v>
      </c>
      <c r="BL145">
        <f>IF(예비비!$R145="OK",SUMIFS(예비비!$O$430:$O$729,예비비!$B$430:$B$729,예비비!$A145,예비비!$E$430:$E$729,"&lt;"&amp;EDATE(BL$99,1),예비비!$F$430:$F$729,"결제대금비")+MAX(0,IF(예비비!$D145&lt;EDATE(BL$99,1),예비비!$E145,0)-SUMIFS(예비비!$O$430:$O$729,예비비!$B$430:$B$729,예비비!$A145,예비비!$E$430:$E$729,"&lt;"&amp;EDATE(BL$99,1))),0)</f>
        <v>0</v>
      </c>
      <c r="BM145">
        <f>IF(예비비!$R145="OK",SUMIFS(예비비!$O$430:$O$729,예비비!$B$430:$B$729,예비비!$A145,예비비!$E$430:$E$729,"&lt;"&amp;EDATE(BM$99,1),예비비!$F$430:$F$729,"결제대금비")+MAX(0,IF(예비비!$D145&lt;EDATE(BM$99,1),예비비!$E145,0)-SUMIFS(예비비!$O$430:$O$729,예비비!$B$430:$B$729,예비비!$A145,예비비!$E$430:$E$729,"&lt;"&amp;EDATE(BM$99,1))),0)</f>
        <v>0</v>
      </c>
      <c r="BN145">
        <f>IF(예비비!$R145="OK",SUMIFS(예비비!$O$430:$O$729,예비비!$B$430:$B$729,예비비!$A145,예비비!$E$430:$E$729,"&lt;"&amp;EDATE(BN$99,1),예비비!$F$430:$F$729,"결제대금비")+MAX(0,IF(예비비!$D145&lt;EDATE(BN$99,1),예비비!$E145,0)-SUMIFS(예비비!$O$430:$O$729,예비비!$B$430:$B$729,예비비!$A145,예비비!$E$430:$E$729,"&lt;"&amp;EDATE(BN$99,1))),0)</f>
        <v>0</v>
      </c>
      <c r="BO145">
        <f>IF(예비비!$R145="OK",SUMIFS(예비비!$O$430:$O$729,예비비!$B$430:$B$729,예비비!$A145,예비비!$E$430:$E$729,"&lt;"&amp;EDATE(BO$99,1),예비비!$F$430:$F$729,"결제대금비")+MAX(0,IF(예비비!$D145&lt;EDATE(BO$99,1),예비비!$E145,0)-SUMIFS(예비비!$O$430:$O$729,예비비!$B$430:$B$729,예비비!$A145,예비비!$E$430:$E$729,"&lt;"&amp;EDATE(BO$99,1))),0)</f>
        <v>0</v>
      </c>
      <c r="BP145">
        <f>IF(예비비!$R145="OK",SUMIFS(예비비!$O$430:$O$729,예비비!$B$430:$B$729,예비비!$A145,예비비!$E$430:$E$729,"&lt;"&amp;EDATE(BP$99,1),예비비!$F$430:$F$729,"결제대금비")+MAX(0,IF(예비비!$D145&lt;EDATE(BP$99,1),예비비!$E145,0)-SUMIFS(예비비!$O$430:$O$729,예비비!$B$430:$B$729,예비비!$A145,예비비!$E$430:$E$729,"&lt;"&amp;EDATE(BP$99,1))),0)</f>
        <v>0</v>
      </c>
      <c r="BQ145">
        <f>IF(예비비!$R145="OK",SUMIFS(예비비!$O$430:$O$729,예비비!$B$430:$B$729,예비비!$A145,예비비!$E$430:$E$729,"&lt;"&amp;EDATE(BQ$99,1),예비비!$F$430:$F$729,"결제대금비")+MAX(0,IF(예비비!$D145&lt;EDATE(BQ$99,1),예비비!$E145,0)-SUMIFS(예비비!$O$430:$O$729,예비비!$B$430:$B$729,예비비!$A145,예비비!$E$430:$E$729,"&lt;"&amp;EDATE(BQ$99,1))),0)</f>
        <v>0</v>
      </c>
      <c r="BR145">
        <f>IF(예비비!$R145="OK",SUMIFS(예비비!$O$430:$O$729,예비비!$B$430:$B$729,예비비!$A145,예비비!$E$430:$E$729,"&lt;"&amp;EDATE(BR$99,1),예비비!$F$430:$F$729,"결제대금비")+MAX(0,IF(예비비!$D145&lt;EDATE(BR$99,1),예비비!$E145,0)-SUMIFS(예비비!$O$430:$O$729,예비비!$B$430:$B$729,예비비!$A145,예비비!$E$430:$E$729,"&lt;"&amp;EDATE(BR$99,1))),0)</f>
        <v>0</v>
      </c>
      <c r="BS145">
        <f>IF(예비비!$R145="OK",SUMIFS(예비비!$O$430:$O$729,예비비!$B$430:$B$729,예비비!$A145,예비비!$E$430:$E$729,"&lt;"&amp;EDATE(BS$99,1),예비비!$F$430:$F$729,"결제대금비")+MAX(0,IF(예비비!$D145&lt;EDATE(BS$99,1),예비비!$E145,0)-SUMIFS(예비비!$O$430:$O$729,예비비!$B$430:$B$729,예비비!$A145,예비비!$E$430:$E$729,"&lt;"&amp;EDATE(BS$99,1))),0)</f>
        <v>0</v>
      </c>
      <c r="BT145">
        <f>IF(예비비!$R145="OK",SUMIFS(예비비!$O$430:$O$729,예비비!$B$430:$B$729,예비비!$A145,예비비!$E$430:$E$729,"&lt;"&amp;EDATE(BT$99,1),예비비!$F$430:$F$729,"결제대금비")+MAX(0,IF(예비비!$D145&lt;EDATE(BT$99,1),예비비!$E145,0)-SUMIFS(예비비!$O$430:$O$729,예비비!$B$430:$B$729,예비비!$A145,예비비!$E$430:$E$729,"&lt;"&amp;EDATE(BT$99,1))),0)</f>
        <v>0</v>
      </c>
      <c r="BU145">
        <f>IF(예비비!$R145="OK",SUMIFS(예비비!$O$430:$O$729,예비비!$B$430:$B$729,예비비!$A145,예비비!$E$430:$E$729,"&lt;"&amp;EDATE(BU$99,1),예비비!$F$430:$F$729,"결제대금비")+MAX(0,IF(예비비!$D145&lt;EDATE(BU$99,1),예비비!$E145,0)-SUMIFS(예비비!$O$430:$O$729,예비비!$B$430:$B$729,예비비!$A145,예비비!$E$430:$E$729,"&lt;"&amp;EDATE(BU$99,1))),0)</f>
        <v>0</v>
      </c>
    </row>
    <row r="146">
      <c r="BA146">
        <v>90</v>
      </c>
      <c r="BB146">
        <f>IFERROR(INDEX(잔액!$A:$A,BA146),0)</f>
        <v>46113.0</v>
      </c>
      <c r="BH146">
        <f>IFERROR(IF(AND(BB146&gt;0,OR(COUNTIFS(예비비!$C$430:$C$729,BA146,예비비!$N$430:$N$729,"OK")&gt;0,AND(INDEX(잔액!$J:$J,BA146)="가족통장",INDEX(잔액!$K:$K,BA146)="미래에셋_WRAP형CMA"),COUNTIF(예비비!$A$8:$A$12,INDEX(잔액!$C:$C,BA146))=1,COUNTIF(예비비!$A$8:$A$12,INDEX(잔액!$D:$D,BA146))=1),OR(AND(BB146&gt;=예비비!$B$3,BB146&lt;EDATE(예비비!$B$3,1)),AND(BB146&lt;EDATE(예비비!$B$3,1),COUNTIFS(예비비!$C$430:$C$729,BA146,예비비!$L$430:$L$729,예비비!$B$3,예비비!$N$430:$N$729,"OK")&gt;0))),MAX($BH$120:BH145)+1,0),0)</f>
        <v>0</v>
      </c>
      <c r="BI146">
        <f>IF(예비비!$R146="OK",SUMIFS(예비비!$O$430:$O$729,예비비!$B$430:$B$729,예비비!$A146,예비비!$E$430:$E$729,"&lt;"&amp;EDATE(BI$99,1),예비비!$F$430:$F$729,"결제대금비")+MAX(0,IF(예비비!$D146&lt;EDATE(BI$99,1),예비비!$E146,0)-SUMIFS(예비비!$O$430:$O$729,예비비!$B$430:$B$729,예비비!$A146,예비비!$E$430:$E$729,"&lt;"&amp;EDATE(BI$99,1))),0)</f>
        <v>0</v>
      </c>
      <c r="BJ146">
        <f>IF(예비비!$R146="OK",SUMIFS(예비비!$O$430:$O$729,예비비!$B$430:$B$729,예비비!$A146,예비비!$E$430:$E$729,"&lt;"&amp;EDATE(BJ$99,1),예비비!$F$430:$F$729,"결제대금비")+MAX(0,IF(예비비!$D146&lt;EDATE(BJ$99,1),예비비!$E146,0)-SUMIFS(예비비!$O$430:$O$729,예비비!$B$430:$B$729,예비비!$A146,예비비!$E$430:$E$729,"&lt;"&amp;EDATE(BJ$99,1))),0)</f>
        <v>0</v>
      </c>
      <c r="BK146">
        <f>IF(예비비!$R146="OK",SUMIFS(예비비!$O$430:$O$729,예비비!$B$430:$B$729,예비비!$A146,예비비!$E$430:$E$729,"&lt;"&amp;EDATE(BK$99,1),예비비!$F$430:$F$729,"결제대금비")+MAX(0,IF(예비비!$D146&lt;EDATE(BK$99,1),예비비!$E146,0)-SUMIFS(예비비!$O$430:$O$729,예비비!$B$430:$B$729,예비비!$A146,예비비!$E$430:$E$729,"&lt;"&amp;EDATE(BK$99,1))),0)</f>
        <v>0</v>
      </c>
      <c r="BL146">
        <f>IF(예비비!$R146="OK",SUMIFS(예비비!$O$430:$O$729,예비비!$B$430:$B$729,예비비!$A146,예비비!$E$430:$E$729,"&lt;"&amp;EDATE(BL$99,1),예비비!$F$430:$F$729,"결제대금비")+MAX(0,IF(예비비!$D146&lt;EDATE(BL$99,1),예비비!$E146,0)-SUMIFS(예비비!$O$430:$O$729,예비비!$B$430:$B$729,예비비!$A146,예비비!$E$430:$E$729,"&lt;"&amp;EDATE(BL$99,1))),0)</f>
        <v>0</v>
      </c>
      <c r="BM146">
        <f>IF(예비비!$R146="OK",SUMIFS(예비비!$O$430:$O$729,예비비!$B$430:$B$729,예비비!$A146,예비비!$E$430:$E$729,"&lt;"&amp;EDATE(BM$99,1),예비비!$F$430:$F$729,"결제대금비")+MAX(0,IF(예비비!$D146&lt;EDATE(BM$99,1),예비비!$E146,0)-SUMIFS(예비비!$O$430:$O$729,예비비!$B$430:$B$729,예비비!$A146,예비비!$E$430:$E$729,"&lt;"&amp;EDATE(BM$99,1))),0)</f>
        <v>0</v>
      </c>
      <c r="BN146">
        <f>IF(예비비!$R146="OK",SUMIFS(예비비!$O$430:$O$729,예비비!$B$430:$B$729,예비비!$A146,예비비!$E$430:$E$729,"&lt;"&amp;EDATE(BN$99,1),예비비!$F$430:$F$729,"결제대금비")+MAX(0,IF(예비비!$D146&lt;EDATE(BN$99,1),예비비!$E146,0)-SUMIFS(예비비!$O$430:$O$729,예비비!$B$430:$B$729,예비비!$A146,예비비!$E$430:$E$729,"&lt;"&amp;EDATE(BN$99,1))),0)</f>
        <v>0</v>
      </c>
      <c r="BO146">
        <f>IF(예비비!$R146="OK",SUMIFS(예비비!$O$430:$O$729,예비비!$B$430:$B$729,예비비!$A146,예비비!$E$430:$E$729,"&lt;"&amp;EDATE(BO$99,1),예비비!$F$430:$F$729,"결제대금비")+MAX(0,IF(예비비!$D146&lt;EDATE(BO$99,1),예비비!$E146,0)-SUMIFS(예비비!$O$430:$O$729,예비비!$B$430:$B$729,예비비!$A146,예비비!$E$430:$E$729,"&lt;"&amp;EDATE(BO$99,1))),0)</f>
        <v>0</v>
      </c>
      <c r="BP146">
        <f>IF(예비비!$R146="OK",SUMIFS(예비비!$O$430:$O$729,예비비!$B$430:$B$729,예비비!$A146,예비비!$E$430:$E$729,"&lt;"&amp;EDATE(BP$99,1),예비비!$F$430:$F$729,"결제대금비")+MAX(0,IF(예비비!$D146&lt;EDATE(BP$99,1),예비비!$E146,0)-SUMIFS(예비비!$O$430:$O$729,예비비!$B$430:$B$729,예비비!$A146,예비비!$E$430:$E$729,"&lt;"&amp;EDATE(BP$99,1))),0)</f>
        <v>0</v>
      </c>
      <c r="BQ146">
        <f>IF(예비비!$R146="OK",SUMIFS(예비비!$O$430:$O$729,예비비!$B$430:$B$729,예비비!$A146,예비비!$E$430:$E$729,"&lt;"&amp;EDATE(BQ$99,1),예비비!$F$430:$F$729,"결제대금비")+MAX(0,IF(예비비!$D146&lt;EDATE(BQ$99,1),예비비!$E146,0)-SUMIFS(예비비!$O$430:$O$729,예비비!$B$430:$B$729,예비비!$A146,예비비!$E$430:$E$729,"&lt;"&amp;EDATE(BQ$99,1))),0)</f>
        <v>0</v>
      </c>
      <c r="BR146">
        <f>IF(예비비!$R146="OK",SUMIFS(예비비!$O$430:$O$729,예비비!$B$430:$B$729,예비비!$A146,예비비!$E$430:$E$729,"&lt;"&amp;EDATE(BR$99,1),예비비!$F$430:$F$729,"결제대금비")+MAX(0,IF(예비비!$D146&lt;EDATE(BR$99,1),예비비!$E146,0)-SUMIFS(예비비!$O$430:$O$729,예비비!$B$430:$B$729,예비비!$A146,예비비!$E$430:$E$729,"&lt;"&amp;EDATE(BR$99,1))),0)</f>
        <v>0</v>
      </c>
      <c r="BS146">
        <f>IF(예비비!$R146="OK",SUMIFS(예비비!$O$430:$O$729,예비비!$B$430:$B$729,예비비!$A146,예비비!$E$430:$E$729,"&lt;"&amp;EDATE(BS$99,1),예비비!$F$430:$F$729,"결제대금비")+MAX(0,IF(예비비!$D146&lt;EDATE(BS$99,1),예비비!$E146,0)-SUMIFS(예비비!$O$430:$O$729,예비비!$B$430:$B$729,예비비!$A146,예비비!$E$430:$E$729,"&lt;"&amp;EDATE(BS$99,1))),0)</f>
        <v>0</v>
      </c>
      <c r="BT146">
        <f>IF(예비비!$R146="OK",SUMIFS(예비비!$O$430:$O$729,예비비!$B$430:$B$729,예비비!$A146,예비비!$E$430:$E$729,"&lt;"&amp;EDATE(BT$99,1),예비비!$F$430:$F$729,"결제대금비")+MAX(0,IF(예비비!$D146&lt;EDATE(BT$99,1),예비비!$E146,0)-SUMIFS(예비비!$O$430:$O$729,예비비!$B$430:$B$729,예비비!$A146,예비비!$E$430:$E$729,"&lt;"&amp;EDATE(BT$99,1))),0)</f>
        <v>0</v>
      </c>
      <c r="BU146">
        <f>IF(예비비!$R146="OK",SUMIFS(예비비!$O$430:$O$729,예비비!$B$430:$B$729,예비비!$A146,예비비!$E$430:$E$729,"&lt;"&amp;EDATE(BU$99,1),예비비!$F$430:$F$729,"결제대금비")+MAX(0,IF(예비비!$D146&lt;EDATE(BU$99,1),예비비!$E146,0)-SUMIFS(예비비!$O$430:$O$729,예비비!$B$430:$B$729,예비비!$A146,예비비!$E$430:$E$729,"&lt;"&amp;EDATE(BU$99,1))),0)</f>
        <v>0</v>
      </c>
    </row>
    <row r="147">
      <c r="BA147">
        <v>91</v>
      </c>
      <c r="BB147">
        <f>IFERROR(INDEX(잔액!$A:$A,BA147),0)</f>
        <v>46113.0</v>
      </c>
      <c r="BH147">
        <f>IFERROR(IF(AND(BB147&gt;0,OR(COUNTIFS(예비비!$C$430:$C$729,BA147,예비비!$N$430:$N$729,"OK")&gt;0,AND(INDEX(잔액!$J:$J,BA147)="가족통장",INDEX(잔액!$K:$K,BA147)="미래에셋_WRAP형CMA"),COUNTIF(예비비!$A$8:$A$12,INDEX(잔액!$C:$C,BA147))=1,COUNTIF(예비비!$A$8:$A$12,INDEX(잔액!$D:$D,BA147))=1),OR(AND(BB147&gt;=예비비!$B$3,BB147&lt;EDATE(예비비!$B$3,1)),AND(BB147&lt;EDATE(예비비!$B$3,1),COUNTIFS(예비비!$C$430:$C$729,BA147,예비비!$L$430:$L$729,예비비!$B$3,예비비!$N$430:$N$729,"OK")&gt;0))),MAX($BH$120:BH146)+1,0),0)</f>
        <v>0</v>
      </c>
      <c r="BI147">
        <f>IF(예비비!$R147="OK",SUMIFS(예비비!$O$430:$O$729,예비비!$B$430:$B$729,예비비!$A147,예비비!$E$430:$E$729,"&lt;"&amp;EDATE(BI$99,1),예비비!$F$430:$F$729,"결제대금비")+MAX(0,IF(예비비!$D147&lt;EDATE(BI$99,1),예비비!$E147,0)-SUMIFS(예비비!$O$430:$O$729,예비비!$B$430:$B$729,예비비!$A147,예비비!$E$430:$E$729,"&lt;"&amp;EDATE(BI$99,1))),0)</f>
        <v>0</v>
      </c>
      <c r="BJ147">
        <f>IF(예비비!$R147="OK",SUMIFS(예비비!$O$430:$O$729,예비비!$B$430:$B$729,예비비!$A147,예비비!$E$430:$E$729,"&lt;"&amp;EDATE(BJ$99,1),예비비!$F$430:$F$729,"결제대금비")+MAX(0,IF(예비비!$D147&lt;EDATE(BJ$99,1),예비비!$E147,0)-SUMIFS(예비비!$O$430:$O$729,예비비!$B$430:$B$729,예비비!$A147,예비비!$E$430:$E$729,"&lt;"&amp;EDATE(BJ$99,1))),0)</f>
        <v>0</v>
      </c>
      <c r="BK147">
        <f>IF(예비비!$R147="OK",SUMIFS(예비비!$O$430:$O$729,예비비!$B$430:$B$729,예비비!$A147,예비비!$E$430:$E$729,"&lt;"&amp;EDATE(BK$99,1),예비비!$F$430:$F$729,"결제대금비")+MAX(0,IF(예비비!$D147&lt;EDATE(BK$99,1),예비비!$E147,0)-SUMIFS(예비비!$O$430:$O$729,예비비!$B$430:$B$729,예비비!$A147,예비비!$E$430:$E$729,"&lt;"&amp;EDATE(BK$99,1))),0)</f>
        <v>0</v>
      </c>
      <c r="BL147">
        <f>IF(예비비!$R147="OK",SUMIFS(예비비!$O$430:$O$729,예비비!$B$430:$B$729,예비비!$A147,예비비!$E$430:$E$729,"&lt;"&amp;EDATE(BL$99,1),예비비!$F$430:$F$729,"결제대금비")+MAX(0,IF(예비비!$D147&lt;EDATE(BL$99,1),예비비!$E147,0)-SUMIFS(예비비!$O$430:$O$729,예비비!$B$430:$B$729,예비비!$A147,예비비!$E$430:$E$729,"&lt;"&amp;EDATE(BL$99,1))),0)</f>
        <v>0</v>
      </c>
      <c r="BM147">
        <f>IF(예비비!$R147="OK",SUMIFS(예비비!$O$430:$O$729,예비비!$B$430:$B$729,예비비!$A147,예비비!$E$430:$E$729,"&lt;"&amp;EDATE(BM$99,1),예비비!$F$430:$F$729,"결제대금비")+MAX(0,IF(예비비!$D147&lt;EDATE(BM$99,1),예비비!$E147,0)-SUMIFS(예비비!$O$430:$O$729,예비비!$B$430:$B$729,예비비!$A147,예비비!$E$430:$E$729,"&lt;"&amp;EDATE(BM$99,1))),0)</f>
        <v>0</v>
      </c>
      <c r="BN147">
        <f>IF(예비비!$R147="OK",SUMIFS(예비비!$O$430:$O$729,예비비!$B$430:$B$729,예비비!$A147,예비비!$E$430:$E$729,"&lt;"&amp;EDATE(BN$99,1),예비비!$F$430:$F$729,"결제대금비")+MAX(0,IF(예비비!$D147&lt;EDATE(BN$99,1),예비비!$E147,0)-SUMIFS(예비비!$O$430:$O$729,예비비!$B$430:$B$729,예비비!$A147,예비비!$E$430:$E$729,"&lt;"&amp;EDATE(BN$99,1))),0)</f>
        <v>0</v>
      </c>
      <c r="BO147">
        <f>IF(예비비!$R147="OK",SUMIFS(예비비!$O$430:$O$729,예비비!$B$430:$B$729,예비비!$A147,예비비!$E$430:$E$729,"&lt;"&amp;EDATE(BO$99,1),예비비!$F$430:$F$729,"결제대금비")+MAX(0,IF(예비비!$D147&lt;EDATE(BO$99,1),예비비!$E147,0)-SUMIFS(예비비!$O$430:$O$729,예비비!$B$430:$B$729,예비비!$A147,예비비!$E$430:$E$729,"&lt;"&amp;EDATE(BO$99,1))),0)</f>
        <v>0</v>
      </c>
      <c r="BP147">
        <f>IF(예비비!$R147="OK",SUMIFS(예비비!$O$430:$O$729,예비비!$B$430:$B$729,예비비!$A147,예비비!$E$430:$E$729,"&lt;"&amp;EDATE(BP$99,1),예비비!$F$430:$F$729,"결제대금비")+MAX(0,IF(예비비!$D147&lt;EDATE(BP$99,1),예비비!$E147,0)-SUMIFS(예비비!$O$430:$O$729,예비비!$B$430:$B$729,예비비!$A147,예비비!$E$430:$E$729,"&lt;"&amp;EDATE(BP$99,1))),0)</f>
        <v>0</v>
      </c>
      <c r="BQ147">
        <f>IF(예비비!$R147="OK",SUMIFS(예비비!$O$430:$O$729,예비비!$B$430:$B$729,예비비!$A147,예비비!$E$430:$E$729,"&lt;"&amp;EDATE(BQ$99,1),예비비!$F$430:$F$729,"결제대금비")+MAX(0,IF(예비비!$D147&lt;EDATE(BQ$99,1),예비비!$E147,0)-SUMIFS(예비비!$O$430:$O$729,예비비!$B$430:$B$729,예비비!$A147,예비비!$E$430:$E$729,"&lt;"&amp;EDATE(BQ$99,1))),0)</f>
        <v>0</v>
      </c>
      <c r="BR147">
        <f>IF(예비비!$R147="OK",SUMIFS(예비비!$O$430:$O$729,예비비!$B$430:$B$729,예비비!$A147,예비비!$E$430:$E$729,"&lt;"&amp;EDATE(BR$99,1),예비비!$F$430:$F$729,"결제대금비")+MAX(0,IF(예비비!$D147&lt;EDATE(BR$99,1),예비비!$E147,0)-SUMIFS(예비비!$O$430:$O$729,예비비!$B$430:$B$729,예비비!$A147,예비비!$E$430:$E$729,"&lt;"&amp;EDATE(BR$99,1))),0)</f>
        <v>0</v>
      </c>
      <c r="BS147">
        <f>IF(예비비!$R147="OK",SUMIFS(예비비!$O$430:$O$729,예비비!$B$430:$B$729,예비비!$A147,예비비!$E$430:$E$729,"&lt;"&amp;EDATE(BS$99,1),예비비!$F$430:$F$729,"결제대금비")+MAX(0,IF(예비비!$D147&lt;EDATE(BS$99,1),예비비!$E147,0)-SUMIFS(예비비!$O$430:$O$729,예비비!$B$430:$B$729,예비비!$A147,예비비!$E$430:$E$729,"&lt;"&amp;EDATE(BS$99,1))),0)</f>
        <v>0</v>
      </c>
      <c r="BT147">
        <f>IF(예비비!$R147="OK",SUMIFS(예비비!$O$430:$O$729,예비비!$B$430:$B$729,예비비!$A147,예비비!$E$430:$E$729,"&lt;"&amp;EDATE(BT$99,1),예비비!$F$430:$F$729,"결제대금비")+MAX(0,IF(예비비!$D147&lt;EDATE(BT$99,1),예비비!$E147,0)-SUMIFS(예비비!$O$430:$O$729,예비비!$B$430:$B$729,예비비!$A147,예비비!$E$430:$E$729,"&lt;"&amp;EDATE(BT$99,1))),0)</f>
        <v>0</v>
      </c>
      <c r="BU147">
        <f>IF(예비비!$R147="OK",SUMIFS(예비비!$O$430:$O$729,예비비!$B$430:$B$729,예비비!$A147,예비비!$E$430:$E$729,"&lt;"&amp;EDATE(BU$99,1),예비비!$F$430:$F$729,"결제대금비")+MAX(0,IF(예비비!$D147&lt;EDATE(BU$99,1),예비비!$E147,0)-SUMIFS(예비비!$O$430:$O$729,예비비!$B$430:$B$729,예비비!$A147,예비비!$E$430:$E$729,"&lt;"&amp;EDATE(BU$99,1))),0)</f>
        <v>0</v>
      </c>
    </row>
    <row r="148">
      <c r="BA148">
        <v>92</v>
      </c>
      <c r="BB148">
        <f>IFERROR(INDEX(잔액!$A:$A,BA148),0)</f>
        <v>46113.0</v>
      </c>
      <c r="BH148">
        <f>IFERROR(IF(AND(BB148&gt;0,OR(COUNTIFS(예비비!$C$430:$C$729,BA148,예비비!$N$430:$N$729,"OK")&gt;0,AND(INDEX(잔액!$J:$J,BA148)="가족통장",INDEX(잔액!$K:$K,BA148)="미래에셋_WRAP형CMA"),COUNTIF(예비비!$A$8:$A$12,INDEX(잔액!$C:$C,BA148))=1,COUNTIF(예비비!$A$8:$A$12,INDEX(잔액!$D:$D,BA148))=1),OR(AND(BB148&gt;=예비비!$B$3,BB148&lt;EDATE(예비비!$B$3,1)),AND(BB148&lt;EDATE(예비비!$B$3,1),COUNTIFS(예비비!$C$430:$C$729,BA148,예비비!$L$430:$L$729,예비비!$B$3,예비비!$N$430:$N$729,"OK")&gt;0))),MAX($BH$120:BH147)+1,0),0)</f>
        <v>0</v>
      </c>
      <c r="BI148">
        <f>IF(예비비!$R148="OK",SUMIFS(예비비!$O$430:$O$729,예비비!$B$430:$B$729,예비비!$A148,예비비!$E$430:$E$729,"&lt;"&amp;EDATE(BI$99,1),예비비!$F$430:$F$729,"결제대금비")+MAX(0,IF(예비비!$D148&lt;EDATE(BI$99,1),예비비!$E148,0)-SUMIFS(예비비!$O$430:$O$729,예비비!$B$430:$B$729,예비비!$A148,예비비!$E$430:$E$729,"&lt;"&amp;EDATE(BI$99,1))),0)</f>
        <v>0</v>
      </c>
      <c r="BJ148">
        <f>IF(예비비!$R148="OK",SUMIFS(예비비!$O$430:$O$729,예비비!$B$430:$B$729,예비비!$A148,예비비!$E$430:$E$729,"&lt;"&amp;EDATE(BJ$99,1),예비비!$F$430:$F$729,"결제대금비")+MAX(0,IF(예비비!$D148&lt;EDATE(BJ$99,1),예비비!$E148,0)-SUMIFS(예비비!$O$430:$O$729,예비비!$B$430:$B$729,예비비!$A148,예비비!$E$430:$E$729,"&lt;"&amp;EDATE(BJ$99,1))),0)</f>
        <v>0</v>
      </c>
      <c r="BK148">
        <f>IF(예비비!$R148="OK",SUMIFS(예비비!$O$430:$O$729,예비비!$B$430:$B$729,예비비!$A148,예비비!$E$430:$E$729,"&lt;"&amp;EDATE(BK$99,1),예비비!$F$430:$F$729,"결제대금비")+MAX(0,IF(예비비!$D148&lt;EDATE(BK$99,1),예비비!$E148,0)-SUMIFS(예비비!$O$430:$O$729,예비비!$B$430:$B$729,예비비!$A148,예비비!$E$430:$E$729,"&lt;"&amp;EDATE(BK$99,1))),0)</f>
        <v>0</v>
      </c>
      <c r="BL148">
        <f>IF(예비비!$R148="OK",SUMIFS(예비비!$O$430:$O$729,예비비!$B$430:$B$729,예비비!$A148,예비비!$E$430:$E$729,"&lt;"&amp;EDATE(BL$99,1),예비비!$F$430:$F$729,"결제대금비")+MAX(0,IF(예비비!$D148&lt;EDATE(BL$99,1),예비비!$E148,0)-SUMIFS(예비비!$O$430:$O$729,예비비!$B$430:$B$729,예비비!$A148,예비비!$E$430:$E$729,"&lt;"&amp;EDATE(BL$99,1))),0)</f>
        <v>0</v>
      </c>
      <c r="BM148">
        <f>IF(예비비!$R148="OK",SUMIFS(예비비!$O$430:$O$729,예비비!$B$430:$B$729,예비비!$A148,예비비!$E$430:$E$729,"&lt;"&amp;EDATE(BM$99,1),예비비!$F$430:$F$729,"결제대금비")+MAX(0,IF(예비비!$D148&lt;EDATE(BM$99,1),예비비!$E148,0)-SUMIFS(예비비!$O$430:$O$729,예비비!$B$430:$B$729,예비비!$A148,예비비!$E$430:$E$729,"&lt;"&amp;EDATE(BM$99,1))),0)</f>
        <v>0</v>
      </c>
      <c r="BN148">
        <f>IF(예비비!$R148="OK",SUMIFS(예비비!$O$430:$O$729,예비비!$B$430:$B$729,예비비!$A148,예비비!$E$430:$E$729,"&lt;"&amp;EDATE(BN$99,1),예비비!$F$430:$F$729,"결제대금비")+MAX(0,IF(예비비!$D148&lt;EDATE(BN$99,1),예비비!$E148,0)-SUMIFS(예비비!$O$430:$O$729,예비비!$B$430:$B$729,예비비!$A148,예비비!$E$430:$E$729,"&lt;"&amp;EDATE(BN$99,1))),0)</f>
        <v>0</v>
      </c>
      <c r="BO148">
        <f>IF(예비비!$R148="OK",SUMIFS(예비비!$O$430:$O$729,예비비!$B$430:$B$729,예비비!$A148,예비비!$E$430:$E$729,"&lt;"&amp;EDATE(BO$99,1),예비비!$F$430:$F$729,"결제대금비")+MAX(0,IF(예비비!$D148&lt;EDATE(BO$99,1),예비비!$E148,0)-SUMIFS(예비비!$O$430:$O$729,예비비!$B$430:$B$729,예비비!$A148,예비비!$E$430:$E$729,"&lt;"&amp;EDATE(BO$99,1))),0)</f>
        <v>0</v>
      </c>
      <c r="BP148">
        <f>IF(예비비!$R148="OK",SUMIFS(예비비!$O$430:$O$729,예비비!$B$430:$B$729,예비비!$A148,예비비!$E$430:$E$729,"&lt;"&amp;EDATE(BP$99,1),예비비!$F$430:$F$729,"결제대금비")+MAX(0,IF(예비비!$D148&lt;EDATE(BP$99,1),예비비!$E148,0)-SUMIFS(예비비!$O$430:$O$729,예비비!$B$430:$B$729,예비비!$A148,예비비!$E$430:$E$729,"&lt;"&amp;EDATE(BP$99,1))),0)</f>
        <v>0</v>
      </c>
      <c r="BQ148">
        <f>IF(예비비!$R148="OK",SUMIFS(예비비!$O$430:$O$729,예비비!$B$430:$B$729,예비비!$A148,예비비!$E$430:$E$729,"&lt;"&amp;EDATE(BQ$99,1),예비비!$F$430:$F$729,"결제대금비")+MAX(0,IF(예비비!$D148&lt;EDATE(BQ$99,1),예비비!$E148,0)-SUMIFS(예비비!$O$430:$O$729,예비비!$B$430:$B$729,예비비!$A148,예비비!$E$430:$E$729,"&lt;"&amp;EDATE(BQ$99,1))),0)</f>
        <v>0</v>
      </c>
      <c r="BR148">
        <f>IF(예비비!$R148="OK",SUMIFS(예비비!$O$430:$O$729,예비비!$B$430:$B$729,예비비!$A148,예비비!$E$430:$E$729,"&lt;"&amp;EDATE(BR$99,1),예비비!$F$430:$F$729,"결제대금비")+MAX(0,IF(예비비!$D148&lt;EDATE(BR$99,1),예비비!$E148,0)-SUMIFS(예비비!$O$430:$O$729,예비비!$B$430:$B$729,예비비!$A148,예비비!$E$430:$E$729,"&lt;"&amp;EDATE(BR$99,1))),0)</f>
        <v>0</v>
      </c>
      <c r="BS148">
        <f>IF(예비비!$R148="OK",SUMIFS(예비비!$O$430:$O$729,예비비!$B$430:$B$729,예비비!$A148,예비비!$E$430:$E$729,"&lt;"&amp;EDATE(BS$99,1),예비비!$F$430:$F$729,"결제대금비")+MAX(0,IF(예비비!$D148&lt;EDATE(BS$99,1),예비비!$E148,0)-SUMIFS(예비비!$O$430:$O$729,예비비!$B$430:$B$729,예비비!$A148,예비비!$E$430:$E$729,"&lt;"&amp;EDATE(BS$99,1))),0)</f>
        <v>0</v>
      </c>
      <c r="BT148">
        <f>IF(예비비!$R148="OK",SUMIFS(예비비!$O$430:$O$729,예비비!$B$430:$B$729,예비비!$A148,예비비!$E$430:$E$729,"&lt;"&amp;EDATE(BT$99,1),예비비!$F$430:$F$729,"결제대금비")+MAX(0,IF(예비비!$D148&lt;EDATE(BT$99,1),예비비!$E148,0)-SUMIFS(예비비!$O$430:$O$729,예비비!$B$430:$B$729,예비비!$A148,예비비!$E$430:$E$729,"&lt;"&amp;EDATE(BT$99,1))),0)</f>
        <v>0</v>
      </c>
      <c r="BU148">
        <f>IF(예비비!$R148="OK",SUMIFS(예비비!$O$430:$O$729,예비비!$B$430:$B$729,예비비!$A148,예비비!$E$430:$E$729,"&lt;"&amp;EDATE(BU$99,1),예비비!$F$430:$F$729,"결제대금비")+MAX(0,IF(예비비!$D148&lt;EDATE(BU$99,1),예비비!$E148,0)-SUMIFS(예비비!$O$430:$O$729,예비비!$B$430:$B$729,예비비!$A148,예비비!$E$430:$E$729,"&lt;"&amp;EDATE(BU$99,1))),0)</f>
        <v>0</v>
      </c>
    </row>
    <row r="149">
      <c r="BA149">
        <v>93</v>
      </c>
      <c r="BB149">
        <f>IFERROR(INDEX(잔액!$A:$A,BA149),0)</f>
        <v>46113.0</v>
      </c>
      <c r="BH149">
        <f>IFERROR(IF(AND(BB149&gt;0,OR(COUNTIFS(예비비!$C$430:$C$729,BA149,예비비!$N$430:$N$729,"OK")&gt;0,AND(INDEX(잔액!$J:$J,BA149)="가족통장",INDEX(잔액!$K:$K,BA149)="미래에셋_WRAP형CMA"),COUNTIF(예비비!$A$8:$A$12,INDEX(잔액!$C:$C,BA149))=1,COUNTIF(예비비!$A$8:$A$12,INDEX(잔액!$D:$D,BA149))=1),OR(AND(BB149&gt;=예비비!$B$3,BB149&lt;EDATE(예비비!$B$3,1)),AND(BB149&lt;EDATE(예비비!$B$3,1),COUNTIFS(예비비!$C$430:$C$729,BA149,예비비!$L$430:$L$729,예비비!$B$3,예비비!$N$430:$N$729,"OK")&gt;0))),MAX($BH$120:BH148)+1,0),0)</f>
        <v>0</v>
      </c>
      <c r="BI149">
        <f>IF(예비비!$R149="OK",SUMIFS(예비비!$O$430:$O$729,예비비!$B$430:$B$729,예비비!$A149,예비비!$E$430:$E$729,"&lt;"&amp;EDATE(BI$99,1),예비비!$F$430:$F$729,"결제대금비")+MAX(0,IF(예비비!$D149&lt;EDATE(BI$99,1),예비비!$E149,0)-SUMIFS(예비비!$O$430:$O$729,예비비!$B$430:$B$729,예비비!$A149,예비비!$E$430:$E$729,"&lt;"&amp;EDATE(BI$99,1))),0)</f>
        <v>0</v>
      </c>
      <c r="BJ149">
        <f>IF(예비비!$R149="OK",SUMIFS(예비비!$O$430:$O$729,예비비!$B$430:$B$729,예비비!$A149,예비비!$E$430:$E$729,"&lt;"&amp;EDATE(BJ$99,1),예비비!$F$430:$F$729,"결제대금비")+MAX(0,IF(예비비!$D149&lt;EDATE(BJ$99,1),예비비!$E149,0)-SUMIFS(예비비!$O$430:$O$729,예비비!$B$430:$B$729,예비비!$A149,예비비!$E$430:$E$729,"&lt;"&amp;EDATE(BJ$99,1))),0)</f>
        <v>0</v>
      </c>
      <c r="BK149">
        <f>IF(예비비!$R149="OK",SUMIFS(예비비!$O$430:$O$729,예비비!$B$430:$B$729,예비비!$A149,예비비!$E$430:$E$729,"&lt;"&amp;EDATE(BK$99,1),예비비!$F$430:$F$729,"결제대금비")+MAX(0,IF(예비비!$D149&lt;EDATE(BK$99,1),예비비!$E149,0)-SUMIFS(예비비!$O$430:$O$729,예비비!$B$430:$B$729,예비비!$A149,예비비!$E$430:$E$729,"&lt;"&amp;EDATE(BK$99,1))),0)</f>
        <v>0</v>
      </c>
      <c r="BL149">
        <f>IF(예비비!$R149="OK",SUMIFS(예비비!$O$430:$O$729,예비비!$B$430:$B$729,예비비!$A149,예비비!$E$430:$E$729,"&lt;"&amp;EDATE(BL$99,1),예비비!$F$430:$F$729,"결제대금비")+MAX(0,IF(예비비!$D149&lt;EDATE(BL$99,1),예비비!$E149,0)-SUMIFS(예비비!$O$430:$O$729,예비비!$B$430:$B$729,예비비!$A149,예비비!$E$430:$E$729,"&lt;"&amp;EDATE(BL$99,1))),0)</f>
        <v>0</v>
      </c>
      <c r="BM149">
        <f>IF(예비비!$R149="OK",SUMIFS(예비비!$O$430:$O$729,예비비!$B$430:$B$729,예비비!$A149,예비비!$E$430:$E$729,"&lt;"&amp;EDATE(BM$99,1),예비비!$F$430:$F$729,"결제대금비")+MAX(0,IF(예비비!$D149&lt;EDATE(BM$99,1),예비비!$E149,0)-SUMIFS(예비비!$O$430:$O$729,예비비!$B$430:$B$729,예비비!$A149,예비비!$E$430:$E$729,"&lt;"&amp;EDATE(BM$99,1))),0)</f>
        <v>0</v>
      </c>
      <c r="BN149">
        <f>IF(예비비!$R149="OK",SUMIFS(예비비!$O$430:$O$729,예비비!$B$430:$B$729,예비비!$A149,예비비!$E$430:$E$729,"&lt;"&amp;EDATE(BN$99,1),예비비!$F$430:$F$729,"결제대금비")+MAX(0,IF(예비비!$D149&lt;EDATE(BN$99,1),예비비!$E149,0)-SUMIFS(예비비!$O$430:$O$729,예비비!$B$430:$B$729,예비비!$A149,예비비!$E$430:$E$729,"&lt;"&amp;EDATE(BN$99,1))),0)</f>
        <v>0</v>
      </c>
      <c r="BO149">
        <f>IF(예비비!$R149="OK",SUMIFS(예비비!$O$430:$O$729,예비비!$B$430:$B$729,예비비!$A149,예비비!$E$430:$E$729,"&lt;"&amp;EDATE(BO$99,1),예비비!$F$430:$F$729,"결제대금비")+MAX(0,IF(예비비!$D149&lt;EDATE(BO$99,1),예비비!$E149,0)-SUMIFS(예비비!$O$430:$O$729,예비비!$B$430:$B$729,예비비!$A149,예비비!$E$430:$E$729,"&lt;"&amp;EDATE(BO$99,1))),0)</f>
        <v>0</v>
      </c>
      <c r="BP149">
        <f>IF(예비비!$R149="OK",SUMIFS(예비비!$O$430:$O$729,예비비!$B$430:$B$729,예비비!$A149,예비비!$E$430:$E$729,"&lt;"&amp;EDATE(BP$99,1),예비비!$F$430:$F$729,"결제대금비")+MAX(0,IF(예비비!$D149&lt;EDATE(BP$99,1),예비비!$E149,0)-SUMIFS(예비비!$O$430:$O$729,예비비!$B$430:$B$729,예비비!$A149,예비비!$E$430:$E$729,"&lt;"&amp;EDATE(BP$99,1))),0)</f>
        <v>0</v>
      </c>
      <c r="BQ149">
        <f>IF(예비비!$R149="OK",SUMIFS(예비비!$O$430:$O$729,예비비!$B$430:$B$729,예비비!$A149,예비비!$E$430:$E$729,"&lt;"&amp;EDATE(BQ$99,1),예비비!$F$430:$F$729,"결제대금비")+MAX(0,IF(예비비!$D149&lt;EDATE(BQ$99,1),예비비!$E149,0)-SUMIFS(예비비!$O$430:$O$729,예비비!$B$430:$B$729,예비비!$A149,예비비!$E$430:$E$729,"&lt;"&amp;EDATE(BQ$99,1))),0)</f>
        <v>0</v>
      </c>
      <c r="BR149">
        <f>IF(예비비!$R149="OK",SUMIFS(예비비!$O$430:$O$729,예비비!$B$430:$B$729,예비비!$A149,예비비!$E$430:$E$729,"&lt;"&amp;EDATE(BR$99,1),예비비!$F$430:$F$729,"결제대금비")+MAX(0,IF(예비비!$D149&lt;EDATE(BR$99,1),예비비!$E149,0)-SUMIFS(예비비!$O$430:$O$729,예비비!$B$430:$B$729,예비비!$A149,예비비!$E$430:$E$729,"&lt;"&amp;EDATE(BR$99,1))),0)</f>
        <v>0</v>
      </c>
      <c r="BS149">
        <f>IF(예비비!$R149="OK",SUMIFS(예비비!$O$430:$O$729,예비비!$B$430:$B$729,예비비!$A149,예비비!$E$430:$E$729,"&lt;"&amp;EDATE(BS$99,1),예비비!$F$430:$F$729,"결제대금비")+MAX(0,IF(예비비!$D149&lt;EDATE(BS$99,1),예비비!$E149,0)-SUMIFS(예비비!$O$430:$O$729,예비비!$B$430:$B$729,예비비!$A149,예비비!$E$430:$E$729,"&lt;"&amp;EDATE(BS$99,1))),0)</f>
        <v>0</v>
      </c>
      <c r="BT149">
        <f>IF(예비비!$R149="OK",SUMIFS(예비비!$O$430:$O$729,예비비!$B$430:$B$729,예비비!$A149,예비비!$E$430:$E$729,"&lt;"&amp;EDATE(BT$99,1),예비비!$F$430:$F$729,"결제대금비")+MAX(0,IF(예비비!$D149&lt;EDATE(BT$99,1),예비비!$E149,0)-SUMIFS(예비비!$O$430:$O$729,예비비!$B$430:$B$729,예비비!$A149,예비비!$E$430:$E$729,"&lt;"&amp;EDATE(BT$99,1))),0)</f>
        <v>0</v>
      </c>
      <c r="BU149">
        <f>IF(예비비!$R149="OK",SUMIFS(예비비!$O$430:$O$729,예비비!$B$430:$B$729,예비비!$A149,예비비!$E$430:$E$729,"&lt;"&amp;EDATE(BU$99,1),예비비!$F$430:$F$729,"결제대금비")+MAX(0,IF(예비비!$D149&lt;EDATE(BU$99,1),예비비!$E149,0)-SUMIFS(예비비!$O$430:$O$729,예비비!$B$430:$B$729,예비비!$A149,예비비!$E$430:$E$729,"&lt;"&amp;EDATE(BU$99,1))),0)</f>
        <v>0</v>
      </c>
    </row>
    <row r="150">
      <c r="BA150">
        <v>94</v>
      </c>
      <c r="BB150">
        <f>IFERROR(INDEX(잔액!$A:$A,BA150),0)</f>
        <v>46113.0</v>
      </c>
      <c r="BH150">
        <f>IFERROR(IF(AND(BB150&gt;0,OR(COUNTIFS(예비비!$C$430:$C$729,BA150,예비비!$N$430:$N$729,"OK")&gt;0,AND(INDEX(잔액!$J:$J,BA150)="가족통장",INDEX(잔액!$K:$K,BA150)="미래에셋_WRAP형CMA"),COUNTIF(예비비!$A$8:$A$12,INDEX(잔액!$C:$C,BA150))=1,COUNTIF(예비비!$A$8:$A$12,INDEX(잔액!$D:$D,BA150))=1),OR(AND(BB150&gt;=예비비!$B$3,BB150&lt;EDATE(예비비!$B$3,1)),AND(BB150&lt;EDATE(예비비!$B$3,1),COUNTIFS(예비비!$C$430:$C$729,BA150,예비비!$L$430:$L$729,예비비!$B$3,예비비!$N$430:$N$729,"OK")&gt;0))),MAX($BH$120:BH149)+1,0),0)</f>
        <v>0</v>
      </c>
      <c r="BI150">
        <f>IF(예비비!$R150="OK",SUMIFS(예비비!$O$430:$O$729,예비비!$B$430:$B$729,예비비!$A150,예비비!$E$430:$E$729,"&lt;"&amp;EDATE(BI$99,1),예비비!$F$430:$F$729,"결제대금비")+MAX(0,IF(예비비!$D150&lt;EDATE(BI$99,1),예비비!$E150,0)-SUMIFS(예비비!$O$430:$O$729,예비비!$B$430:$B$729,예비비!$A150,예비비!$E$430:$E$729,"&lt;"&amp;EDATE(BI$99,1))),0)</f>
        <v>0</v>
      </c>
      <c r="BJ150">
        <f>IF(예비비!$R150="OK",SUMIFS(예비비!$O$430:$O$729,예비비!$B$430:$B$729,예비비!$A150,예비비!$E$430:$E$729,"&lt;"&amp;EDATE(BJ$99,1),예비비!$F$430:$F$729,"결제대금비")+MAX(0,IF(예비비!$D150&lt;EDATE(BJ$99,1),예비비!$E150,0)-SUMIFS(예비비!$O$430:$O$729,예비비!$B$430:$B$729,예비비!$A150,예비비!$E$430:$E$729,"&lt;"&amp;EDATE(BJ$99,1))),0)</f>
        <v>0</v>
      </c>
      <c r="BK150">
        <f>IF(예비비!$R150="OK",SUMIFS(예비비!$O$430:$O$729,예비비!$B$430:$B$729,예비비!$A150,예비비!$E$430:$E$729,"&lt;"&amp;EDATE(BK$99,1),예비비!$F$430:$F$729,"결제대금비")+MAX(0,IF(예비비!$D150&lt;EDATE(BK$99,1),예비비!$E150,0)-SUMIFS(예비비!$O$430:$O$729,예비비!$B$430:$B$729,예비비!$A150,예비비!$E$430:$E$729,"&lt;"&amp;EDATE(BK$99,1))),0)</f>
        <v>0</v>
      </c>
      <c r="BL150">
        <f>IF(예비비!$R150="OK",SUMIFS(예비비!$O$430:$O$729,예비비!$B$430:$B$729,예비비!$A150,예비비!$E$430:$E$729,"&lt;"&amp;EDATE(BL$99,1),예비비!$F$430:$F$729,"결제대금비")+MAX(0,IF(예비비!$D150&lt;EDATE(BL$99,1),예비비!$E150,0)-SUMIFS(예비비!$O$430:$O$729,예비비!$B$430:$B$729,예비비!$A150,예비비!$E$430:$E$729,"&lt;"&amp;EDATE(BL$99,1))),0)</f>
        <v>0</v>
      </c>
      <c r="BM150">
        <f>IF(예비비!$R150="OK",SUMIFS(예비비!$O$430:$O$729,예비비!$B$430:$B$729,예비비!$A150,예비비!$E$430:$E$729,"&lt;"&amp;EDATE(BM$99,1),예비비!$F$430:$F$729,"결제대금비")+MAX(0,IF(예비비!$D150&lt;EDATE(BM$99,1),예비비!$E150,0)-SUMIFS(예비비!$O$430:$O$729,예비비!$B$430:$B$729,예비비!$A150,예비비!$E$430:$E$729,"&lt;"&amp;EDATE(BM$99,1))),0)</f>
        <v>0</v>
      </c>
      <c r="BN150">
        <f>IF(예비비!$R150="OK",SUMIFS(예비비!$O$430:$O$729,예비비!$B$430:$B$729,예비비!$A150,예비비!$E$430:$E$729,"&lt;"&amp;EDATE(BN$99,1),예비비!$F$430:$F$729,"결제대금비")+MAX(0,IF(예비비!$D150&lt;EDATE(BN$99,1),예비비!$E150,0)-SUMIFS(예비비!$O$430:$O$729,예비비!$B$430:$B$729,예비비!$A150,예비비!$E$430:$E$729,"&lt;"&amp;EDATE(BN$99,1))),0)</f>
        <v>0</v>
      </c>
      <c r="BO150">
        <f>IF(예비비!$R150="OK",SUMIFS(예비비!$O$430:$O$729,예비비!$B$430:$B$729,예비비!$A150,예비비!$E$430:$E$729,"&lt;"&amp;EDATE(BO$99,1),예비비!$F$430:$F$729,"결제대금비")+MAX(0,IF(예비비!$D150&lt;EDATE(BO$99,1),예비비!$E150,0)-SUMIFS(예비비!$O$430:$O$729,예비비!$B$430:$B$729,예비비!$A150,예비비!$E$430:$E$729,"&lt;"&amp;EDATE(BO$99,1))),0)</f>
        <v>0</v>
      </c>
      <c r="BP150">
        <f>IF(예비비!$R150="OK",SUMIFS(예비비!$O$430:$O$729,예비비!$B$430:$B$729,예비비!$A150,예비비!$E$430:$E$729,"&lt;"&amp;EDATE(BP$99,1),예비비!$F$430:$F$729,"결제대금비")+MAX(0,IF(예비비!$D150&lt;EDATE(BP$99,1),예비비!$E150,0)-SUMIFS(예비비!$O$430:$O$729,예비비!$B$430:$B$729,예비비!$A150,예비비!$E$430:$E$729,"&lt;"&amp;EDATE(BP$99,1))),0)</f>
        <v>0</v>
      </c>
      <c r="BQ150">
        <f>IF(예비비!$R150="OK",SUMIFS(예비비!$O$430:$O$729,예비비!$B$430:$B$729,예비비!$A150,예비비!$E$430:$E$729,"&lt;"&amp;EDATE(BQ$99,1),예비비!$F$430:$F$729,"결제대금비")+MAX(0,IF(예비비!$D150&lt;EDATE(BQ$99,1),예비비!$E150,0)-SUMIFS(예비비!$O$430:$O$729,예비비!$B$430:$B$729,예비비!$A150,예비비!$E$430:$E$729,"&lt;"&amp;EDATE(BQ$99,1))),0)</f>
        <v>0</v>
      </c>
      <c r="BR150">
        <f>IF(예비비!$R150="OK",SUMIFS(예비비!$O$430:$O$729,예비비!$B$430:$B$729,예비비!$A150,예비비!$E$430:$E$729,"&lt;"&amp;EDATE(BR$99,1),예비비!$F$430:$F$729,"결제대금비")+MAX(0,IF(예비비!$D150&lt;EDATE(BR$99,1),예비비!$E150,0)-SUMIFS(예비비!$O$430:$O$729,예비비!$B$430:$B$729,예비비!$A150,예비비!$E$430:$E$729,"&lt;"&amp;EDATE(BR$99,1))),0)</f>
        <v>0</v>
      </c>
      <c r="BS150">
        <f>IF(예비비!$R150="OK",SUMIFS(예비비!$O$430:$O$729,예비비!$B$430:$B$729,예비비!$A150,예비비!$E$430:$E$729,"&lt;"&amp;EDATE(BS$99,1),예비비!$F$430:$F$729,"결제대금비")+MAX(0,IF(예비비!$D150&lt;EDATE(BS$99,1),예비비!$E150,0)-SUMIFS(예비비!$O$430:$O$729,예비비!$B$430:$B$729,예비비!$A150,예비비!$E$430:$E$729,"&lt;"&amp;EDATE(BS$99,1))),0)</f>
        <v>0</v>
      </c>
      <c r="BT150">
        <f>IF(예비비!$R150="OK",SUMIFS(예비비!$O$430:$O$729,예비비!$B$430:$B$729,예비비!$A150,예비비!$E$430:$E$729,"&lt;"&amp;EDATE(BT$99,1),예비비!$F$430:$F$729,"결제대금비")+MAX(0,IF(예비비!$D150&lt;EDATE(BT$99,1),예비비!$E150,0)-SUMIFS(예비비!$O$430:$O$729,예비비!$B$430:$B$729,예비비!$A150,예비비!$E$430:$E$729,"&lt;"&amp;EDATE(BT$99,1))),0)</f>
        <v>0</v>
      </c>
      <c r="BU150">
        <f>IF(예비비!$R150="OK",SUMIFS(예비비!$O$430:$O$729,예비비!$B$430:$B$729,예비비!$A150,예비비!$E$430:$E$729,"&lt;"&amp;EDATE(BU$99,1),예비비!$F$430:$F$729,"결제대금비")+MAX(0,IF(예비비!$D150&lt;EDATE(BU$99,1),예비비!$E150,0)-SUMIFS(예비비!$O$430:$O$729,예비비!$B$430:$B$729,예비비!$A150,예비비!$E$430:$E$729,"&lt;"&amp;EDATE(BU$99,1))),0)</f>
        <v>0</v>
      </c>
    </row>
    <row r="151">
      <c r="BA151">
        <v>95</v>
      </c>
      <c r="BB151">
        <f>IFERROR(INDEX(잔액!$A:$A,BA151),0)</f>
        <v>46113.0</v>
      </c>
      <c r="BH151">
        <f>IFERROR(IF(AND(BB151&gt;0,OR(COUNTIFS(예비비!$C$430:$C$729,BA151,예비비!$N$430:$N$729,"OK")&gt;0,AND(INDEX(잔액!$J:$J,BA151)="가족통장",INDEX(잔액!$K:$K,BA151)="미래에셋_WRAP형CMA"),COUNTIF(예비비!$A$8:$A$12,INDEX(잔액!$C:$C,BA151))=1,COUNTIF(예비비!$A$8:$A$12,INDEX(잔액!$D:$D,BA151))=1),OR(AND(BB151&gt;=예비비!$B$3,BB151&lt;EDATE(예비비!$B$3,1)),AND(BB151&lt;EDATE(예비비!$B$3,1),COUNTIFS(예비비!$C$430:$C$729,BA151,예비비!$L$430:$L$729,예비비!$B$3,예비비!$N$430:$N$729,"OK")&gt;0))),MAX($BH$120:BH150)+1,0),0)</f>
        <v>0</v>
      </c>
      <c r="BI151">
        <f>IF(예비비!$R151="OK",SUMIFS(예비비!$O$430:$O$729,예비비!$B$430:$B$729,예비비!$A151,예비비!$E$430:$E$729,"&lt;"&amp;EDATE(BI$99,1),예비비!$F$430:$F$729,"결제대금비")+MAX(0,IF(예비비!$D151&lt;EDATE(BI$99,1),예비비!$E151,0)-SUMIFS(예비비!$O$430:$O$729,예비비!$B$430:$B$729,예비비!$A151,예비비!$E$430:$E$729,"&lt;"&amp;EDATE(BI$99,1))),0)</f>
        <v>0</v>
      </c>
      <c r="BJ151">
        <f>IF(예비비!$R151="OK",SUMIFS(예비비!$O$430:$O$729,예비비!$B$430:$B$729,예비비!$A151,예비비!$E$430:$E$729,"&lt;"&amp;EDATE(BJ$99,1),예비비!$F$430:$F$729,"결제대금비")+MAX(0,IF(예비비!$D151&lt;EDATE(BJ$99,1),예비비!$E151,0)-SUMIFS(예비비!$O$430:$O$729,예비비!$B$430:$B$729,예비비!$A151,예비비!$E$430:$E$729,"&lt;"&amp;EDATE(BJ$99,1))),0)</f>
        <v>0</v>
      </c>
      <c r="BK151">
        <f>IF(예비비!$R151="OK",SUMIFS(예비비!$O$430:$O$729,예비비!$B$430:$B$729,예비비!$A151,예비비!$E$430:$E$729,"&lt;"&amp;EDATE(BK$99,1),예비비!$F$430:$F$729,"결제대금비")+MAX(0,IF(예비비!$D151&lt;EDATE(BK$99,1),예비비!$E151,0)-SUMIFS(예비비!$O$430:$O$729,예비비!$B$430:$B$729,예비비!$A151,예비비!$E$430:$E$729,"&lt;"&amp;EDATE(BK$99,1))),0)</f>
        <v>0</v>
      </c>
      <c r="BL151">
        <f>IF(예비비!$R151="OK",SUMIFS(예비비!$O$430:$O$729,예비비!$B$430:$B$729,예비비!$A151,예비비!$E$430:$E$729,"&lt;"&amp;EDATE(BL$99,1),예비비!$F$430:$F$729,"결제대금비")+MAX(0,IF(예비비!$D151&lt;EDATE(BL$99,1),예비비!$E151,0)-SUMIFS(예비비!$O$430:$O$729,예비비!$B$430:$B$729,예비비!$A151,예비비!$E$430:$E$729,"&lt;"&amp;EDATE(BL$99,1))),0)</f>
        <v>0</v>
      </c>
      <c r="BM151">
        <f>IF(예비비!$R151="OK",SUMIFS(예비비!$O$430:$O$729,예비비!$B$430:$B$729,예비비!$A151,예비비!$E$430:$E$729,"&lt;"&amp;EDATE(BM$99,1),예비비!$F$430:$F$729,"결제대금비")+MAX(0,IF(예비비!$D151&lt;EDATE(BM$99,1),예비비!$E151,0)-SUMIFS(예비비!$O$430:$O$729,예비비!$B$430:$B$729,예비비!$A151,예비비!$E$430:$E$729,"&lt;"&amp;EDATE(BM$99,1))),0)</f>
        <v>0</v>
      </c>
      <c r="BN151">
        <f>IF(예비비!$R151="OK",SUMIFS(예비비!$O$430:$O$729,예비비!$B$430:$B$729,예비비!$A151,예비비!$E$430:$E$729,"&lt;"&amp;EDATE(BN$99,1),예비비!$F$430:$F$729,"결제대금비")+MAX(0,IF(예비비!$D151&lt;EDATE(BN$99,1),예비비!$E151,0)-SUMIFS(예비비!$O$430:$O$729,예비비!$B$430:$B$729,예비비!$A151,예비비!$E$430:$E$729,"&lt;"&amp;EDATE(BN$99,1))),0)</f>
        <v>0</v>
      </c>
      <c r="BO151">
        <f>IF(예비비!$R151="OK",SUMIFS(예비비!$O$430:$O$729,예비비!$B$430:$B$729,예비비!$A151,예비비!$E$430:$E$729,"&lt;"&amp;EDATE(BO$99,1),예비비!$F$430:$F$729,"결제대금비")+MAX(0,IF(예비비!$D151&lt;EDATE(BO$99,1),예비비!$E151,0)-SUMIFS(예비비!$O$430:$O$729,예비비!$B$430:$B$729,예비비!$A151,예비비!$E$430:$E$729,"&lt;"&amp;EDATE(BO$99,1))),0)</f>
        <v>0</v>
      </c>
      <c r="BP151">
        <f>IF(예비비!$R151="OK",SUMIFS(예비비!$O$430:$O$729,예비비!$B$430:$B$729,예비비!$A151,예비비!$E$430:$E$729,"&lt;"&amp;EDATE(BP$99,1),예비비!$F$430:$F$729,"결제대금비")+MAX(0,IF(예비비!$D151&lt;EDATE(BP$99,1),예비비!$E151,0)-SUMIFS(예비비!$O$430:$O$729,예비비!$B$430:$B$729,예비비!$A151,예비비!$E$430:$E$729,"&lt;"&amp;EDATE(BP$99,1))),0)</f>
        <v>0</v>
      </c>
      <c r="BQ151">
        <f>IF(예비비!$R151="OK",SUMIFS(예비비!$O$430:$O$729,예비비!$B$430:$B$729,예비비!$A151,예비비!$E$430:$E$729,"&lt;"&amp;EDATE(BQ$99,1),예비비!$F$430:$F$729,"결제대금비")+MAX(0,IF(예비비!$D151&lt;EDATE(BQ$99,1),예비비!$E151,0)-SUMIFS(예비비!$O$430:$O$729,예비비!$B$430:$B$729,예비비!$A151,예비비!$E$430:$E$729,"&lt;"&amp;EDATE(BQ$99,1))),0)</f>
        <v>0</v>
      </c>
      <c r="BR151">
        <f>IF(예비비!$R151="OK",SUMIFS(예비비!$O$430:$O$729,예비비!$B$430:$B$729,예비비!$A151,예비비!$E$430:$E$729,"&lt;"&amp;EDATE(BR$99,1),예비비!$F$430:$F$729,"결제대금비")+MAX(0,IF(예비비!$D151&lt;EDATE(BR$99,1),예비비!$E151,0)-SUMIFS(예비비!$O$430:$O$729,예비비!$B$430:$B$729,예비비!$A151,예비비!$E$430:$E$729,"&lt;"&amp;EDATE(BR$99,1))),0)</f>
        <v>0</v>
      </c>
      <c r="BS151">
        <f>IF(예비비!$R151="OK",SUMIFS(예비비!$O$430:$O$729,예비비!$B$430:$B$729,예비비!$A151,예비비!$E$430:$E$729,"&lt;"&amp;EDATE(BS$99,1),예비비!$F$430:$F$729,"결제대금비")+MAX(0,IF(예비비!$D151&lt;EDATE(BS$99,1),예비비!$E151,0)-SUMIFS(예비비!$O$430:$O$729,예비비!$B$430:$B$729,예비비!$A151,예비비!$E$430:$E$729,"&lt;"&amp;EDATE(BS$99,1))),0)</f>
        <v>0</v>
      </c>
      <c r="BT151">
        <f>IF(예비비!$R151="OK",SUMIFS(예비비!$O$430:$O$729,예비비!$B$430:$B$729,예비비!$A151,예비비!$E$430:$E$729,"&lt;"&amp;EDATE(BT$99,1),예비비!$F$430:$F$729,"결제대금비")+MAX(0,IF(예비비!$D151&lt;EDATE(BT$99,1),예비비!$E151,0)-SUMIFS(예비비!$O$430:$O$729,예비비!$B$430:$B$729,예비비!$A151,예비비!$E$430:$E$729,"&lt;"&amp;EDATE(BT$99,1))),0)</f>
        <v>0</v>
      </c>
      <c r="BU151">
        <f>IF(예비비!$R151="OK",SUMIFS(예비비!$O$430:$O$729,예비비!$B$430:$B$729,예비비!$A151,예비비!$E$430:$E$729,"&lt;"&amp;EDATE(BU$99,1),예비비!$F$430:$F$729,"결제대금비")+MAX(0,IF(예비비!$D151&lt;EDATE(BU$99,1),예비비!$E151,0)-SUMIFS(예비비!$O$430:$O$729,예비비!$B$430:$B$729,예비비!$A151,예비비!$E$430:$E$729,"&lt;"&amp;EDATE(BU$99,1))),0)</f>
        <v>0</v>
      </c>
    </row>
    <row r="152">
      <c r="BA152">
        <v>96</v>
      </c>
      <c r="BB152">
        <f>IFERROR(INDEX(잔액!$A:$A,BA152),0)</f>
        <v>46143.0</v>
      </c>
      <c r="BH152">
        <f>IFERROR(IF(AND(BB152&gt;0,OR(COUNTIFS(예비비!$C$430:$C$729,BA152,예비비!$N$430:$N$729,"OK")&gt;0,AND(INDEX(잔액!$J:$J,BA152)="가족통장",INDEX(잔액!$K:$K,BA152)="미래에셋_WRAP형CMA"),COUNTIF(예비비!$A$8:$A$12,INDEX(잔액!$C:$C,BA152))=1,COUNTIF(예비비!$A$8:$A$12,INDEX(잔액!$D:$D,BA152))=1),OR(AND(BB152&gt;=예비비!$B$3,BB152&lt;EDATE(예비비!$B$3,1)),AND(BB152&lt;EDATE(예비비!$B$3,1),COUNTIFS(예비비!$C$430:$C$729,BA152,예비비!$L$430:$L$729,예비비!$B$3,예비비!$N$430:$N$729,"OK")&gt;0))),MAX($BH$120:BH151)+1,0),0)</f>
        <v>0</v>
      </c>
      <c r="BI152">
        <f>IF(예비비!$R152="OK",SUMIFS(예비비!$O$430:$O$729,예비비!$B$430:$B$729,예비비!$A152,예비비!$E$430:$E$729,"&lt;"&amp;EDATE(BI$99,1),예비비!$F$430:$F$729,"결제대금비")+MAX(0,IF(예비비!$D152&lt;EDATE(BI$99,1),예비비!$E152,0)-SUMIFS(예비비!$O$430:$O$729,예비비!$B$430:$B$729,예비비!$A152,예비비!$E$430:$E$729,"&lt;"&amp;EDATE(BI$99,1))),0)</f>
        <v>0</v>
      </c>
      <c r="BJ152">
        <f>IF(예비비!$R152="OK",SUMIFS(예비비!$O$430:$O$729,예비비!$B$430:$B$729,예비비!$A152,예비비!$E$430:$E$729,"&lt;"&amp;EDATE(BJ$99,1),예비비!$F$430:$F$729,"결제대금비")+MAX(0,IF(예비비!$D152&lt;EDATE(BJ$99,1),예비비!$E152,0)-SUMIFS(예비비!$O$430:$O$729,예비비!$B$430:$B$729,예비비!$A152,예비비!$E$430:$E$729,"&lt;"&amp;EDATE(BJ$99,1))),0)</f>
        <v>0</v>
      </c>
      <c r="BK152">
        <f>IF(예비비!$R152="OK",SUMIFS(예비비!$O$430:$O$729,예비비!$B$430:$B$729,예비비!$A152,예비비!$E$430:$E$729,"&lt;"&amp;EDATE(BK$99,1),예비비!$F$430:$F$729,"결제대금비")+MAX(0,IF(예비비!$D152&lt;EDATE(BK$99,1),예비비!$E152,0)-SUMIFS(예비비!$O$430:$O$729,예비비!$B$430:$B$729,예비비!$A152,예비비!$E$430:$E$729,"&lt;"&amp;EDATE(BK$99,1))),0)</f>
        <v>0</v>
      </c>
      <c r="BL152">
        <f>IF(예비비!$R152="OK",SUMIFS(예비비!$O$430:$O$729,예비비!$B$430:$B$729,예비비!$A152,예비비!$E$430:$E$729,"&lt;"&amp;EDATE(BL$99,1),예비비!$F$430:$F$729,"결제대금비")+MAX(0,IF(예비비!$D152&lt;EDATE(BL$99,1),예비비!$E152,0)-SUMIFS(예비비!$O$430:$O$729,예비비!$B$430:$B$729,예비비!$A152,예비비!$E$430:$E$729,"&lt;"&amp;EDATE(BL$99,1))),0)</f>
        <v>0</v>
      </c>
      <c r="BM152">
        <f>IF(예비비!$R152="OK",SUMIFS(예비비!$O$430:$O$729,예비비!$B$430:$B$729,예비비!$A152,예비비!$E$430:$E$729,"&lt;"&amp;EDATE(BM$99,1),예비비!$F$430:$F$729,"결제대금비")+MAX(0,IF(예비비!$D152&lt;EDATE(BM$99,1),예비비!$E152,0)-SUMIFS(예비비!$O$430:$O$729,예비비!$B$430:$B$729,예비비!$A152,예비비!$E$430:$E$729,"&lt;"&amp;EDATE(BM$99,1))),0)</f>
        <v>0</v>
      </c>
      <c r="BN152">
        <f>IF(예비비!$R152="OK",SUMIFS(예비비!$O$430:$O$729,예비비!$B$430:$B$729,예비비!$A152,예비비!$E$430:$E$729,"&lt;"&amp;EDATE(BN$99,1),예비비!$F$430:$F$729,"결제대금비")+MAX(0,IF(예비비!$D152&lt;EDATE(BN$99,1),예비비!$E152,0)-SUMIFS(예비비!$O$430:$O$729,예비비!$B$430:$B$729,예비비!$A152,예비비!$E$430:$E$729,"&lt;"&amp;EDATE(BN$99,1))),0)</f>
        <v>0</v>
      </c>
      <c r="BO152">
        <f>IF(예비비!$R152="OK",SUMIFS(예비비!$O$430:$O$729,예비비!$B$430:$B$729,예비비!$A152,예비비!$E$430:$E$729,"&lt;"&amp;EDATE(BO$99,1),예비비!$F$430:$F$729,"결제대금비")+MAX(0,IF(예비비!$D152&lt;EDATE(BO$99,1),예비비!$E152,0)-SUMIFS(예비비!$O$430:$O$729,예비비!$B$430:$B$729,예비비!$A152,예비비!$E$430:$E$729,"&lt;"&amp;EDATE(BO$99,1))),0)</f>
        <v>0</v>
      </c>
      <c r="BP152">
        <f>IF(예비비!$R152="OK",SUMIFS(예비비!$O$430:$O$729,예비비!$B$430:$B$729,예비비!$A152,예비비!$E$430:$E$729,"&lt;"&amp;EDATE(BP$99,1),예비비!$F$430:$F$729,"결제대금비")+MAX(0,IF(예비비!$D152&lt;EDATE(BP$99,1),예비비!$E152,0)-SUMIFS(예비비!$O$430:$O$729,예비비!$B$430:$B$729,예비비!$A152,예비비!$E$430:$E$729,"&lt;"&amp;EDATE(BP$99,1))),0)</f>
        <v>0</v>
      </c>
      <c r="BQ152">
        <f>IF(예비비!$R152="OK",SUMIFS(예비비!$O$430:$O$729,예비비!$B$430:$B$729,예비비!$A152,예비비!$E$430:$E$729,"&lt;"&amp;EDATE(BQ$99,1),예비비!$F$430:$F$729,"결제대금비")+MAX(0,IF(예비비!$D152&lt;EDATE(BQ$99,1),예비비!$E152,0)-SUMIFS(예비비!$O$430:$O$729,예비비!$B$430:$B$729,예비비!$A152,예비비!$E$430:$E$729,"&lt;"&amp;EDATE(BQ$99,1))),0)</f>
        <v>0</v>
      </c>
      <c r="BR152">
        <f>IF(예비비!$R152="OK",SUMIFS(예비비!$O$430:$O$729,예비비!$B$430:$B$729,예비비!$A152,예비비!$E$430:$E$729,"&lt;"&amp;EDATE(BR$99,1),예비비!$F$430:$F$729,"결제대금비")+MAX(0,IF(예비비!$D152&lt;EDATE(BR$99,1),예비비!$E152,0)-SUMIFS(예비비!$O$430:$O$729,예비비!$B$430:$B$729,예비비!$A152,예비비!$E$430:$E$729,"&lt;"&amp;EDATE(BR$99,1))),0)</f>
        <v>0</v>
      </c>
      <c r="BS152">
        <f>IF(예비비!$R152="OK",SUMIFS(예비비!$O$430:$O$729,예비비!$B$430:$B$729,예비비!$A152,예비비!$E$430:$E$729,"&lt;"&amp;EDATE(BS$99,1),예비비!$F$430:$F$729,"결제대금비")+MAX(0,IF(예비비!$D152&lt;EDATE(BS$99,1),예비비!$E152,0)-SUMIFS(예비비!$O$430:$O$729,예비비!$B$430:$B$729,예비비!$A152,예비비!$E$430:$E$729,"&lt;"&amp;EDATE(BS$99,1))),0)</f>
        <v>0</v>
      </c>
      <c r="BT152">
        <f>IF(예비비!$R152="OK",SUMIFS(예비비!$O$430:$O$729,예비비!$B$430:$B$729,예비비!$A152,예비비!$E$430:$E$729,"&lt;"&amp;EDATE(BT$99,1),예비비!$F$430:$F$729,"결제대금비")+MAX(0,IF(예비비!$D152&lt;EDATE(BT$99,1),예비비!$E152,0)-SUMIFS(예비비!$O$430:$O$729,예비비!$B$430:$B$729,예비비!$A152,예비비!$E$430:$E$729,"&lt;"&amp;EDATE(BT$99,1))),0)</f>
        <v>0</v>
      </c>
      <c r="BU152">
        <f>IF(예비비!$R152="OK",SUMIFS(예비비!$O$430:$O$729,예비비!$B$430:$B$729,예비비!$A152,예비비!$E$430:$E$729,"&lt;"&amp;EDATE(BU$99,1),예비비!$F$430:$F$729,"결제대금비")+MAX(0,IF(예비비!$D152&lt;EDATE(BU$99,1),예비비!$E152,0)-SUMIFS(예비비!$O$430:$O$729,예비비!$B$430:$B$729,예비비!$A152,예비비!$E$430:$E$729,"&lt;"&amp;EDATE(BU$99,1))),0)</f>
        <v>0</v>
      </c>
    </row>
    <row r="153">
      <c r="BA153">
        <v>97</v>
      </c>
      <c r="BB153">
        <f>IFERROR(INDEX(잔액!$A:$A,BA153),0)</f>
        <v>46143.0</v>
      </c>
      <c r="BH153">
        <f>IFERROR(IF(AND(BB153&gt;0,OR(COUNTIFS(예비비!$C$430:$C$729,BA153,예비비!$N$430:$N$729,"OK")&gt;0,AND(INDEX(잔액!$J:$J,BA153)="가족통장",INDEX(잔액!$K:$K,BA153)="미래에셋_WRAP형CMA"),COUNTIF(예비비!$A$8:$A$12,INDEX(잔액!$C:$C,BA153))=1,COUNTIF(예비비!$A$8:$A$12,INDEX(잔액!$D:$D,BA153))=1),OR(AND(BB153&gt;=예비비!$B$3,BB153&lt;EDATE(예비비!$B$3,1)),AND(BB153&lt;EDATE(예비비!$B$3,1),COUNTIFS(예비비!$C$430:$C$729,BA153,예비비!$L$430:$L$729,예비비!$B$3,예비비!$N$430:$N$729,"OK")&gt;0))),MAX($BH$120:BH152)+1,0),0)</f>
        <v>0</v>
      </c>
      <c r="BI153">
        <f>IF(예비비!$R153="OK",SUMIFS(예비비!$O$430:$O$729,예비비!$B$430:$B$729,예비비!$A153,예비비!$E$430:$E$729,"&lt;"&amp;EDATE(BI$99,1),예비비!$F$430:$F$729,"결제대금비")+MAX(0,IF(예비비!$D153&lt;EDATE(BI$99,1),예비비!$E153,0)-SUMIFS(예비비!$O$430:$O$729,예비비!$B$430:$B$729,예비비!$A153,예비비!$E$430:$E$729,"&lt;"&amp;EDATE(BI$99,1))),0)</f>
        <v>0</v>
      </c>
      <c r="BJ153">
        <f>IF(예비비!$R153="OK",SUMIFS(예비비!$O$430:$O$729,예비비!$B$430:$B$729,예비비!$A153,예비비!$E$430:$E$729,"&lt;"&amp;EDATE(BJ$99,1),예비비!$F$430:$F$729,"결제대금비")+MAX(0,IF(예비비!$D153&lt;EDATE(BJ$99,1),예비비!$E153,0)-SUMIFS(예비비!$O$430:$O$729,예비비!$B$430:$B$729,예비비!$A153,예비비!$E$430:$E$729,"&lt;"&amp;EDATE(BJ$99,1))),0)</f>
        <v>0</v>
      </c>
      <c r="BK153">
        <f>IF(예비비!$R153="OK",SUMIFS(예비비!$O$430:$O$729,예비비!$B$430:$B$729,예비비!$A153,예비비!$E$430:$E$729,"&lt;"&amp;EDATE(BK$99,1),예비비!$F$430:$F$729,"결제대금비")+MAX(0,IF(예비비!$D153&lt;EDATE(BK$99,1),예비비!$E153,0)-SUMIFS(예비비!$O$430:$O$729,예비비!$B$430:$B$729,예비비!$A153,예비비!$E$430:$E$729,"&lt;"&amp;EDATE(BK$99,1))),0)</f>
        <v>0</v>
      </c>
      <c r="BL153">
        <f>IF(예비비!$R153="OK",SUMIFS(예비비!$O$430:$O$729,예비비!$B$430:$B$729,예비비!$A153,예비비!$E$430:$E$729,"&lt;"&amp;EDATE(BL$99,1),예비비!$F$430:$F$729,"결제대금비")+MAX(0,IF(예비비!$D153&lt;EDATE(BL$99,1),예비비!$E153,0)-SUMIFS(예비비!$O$430:$O$729,예비비!$B$430:$B$729,예비비!$A153,예비비!$E$430:$E$729,"&lt;"&amp;EDATE(BL$99,1))),0)</f>
        <v>0</v>
      </c>
      <c r="BM153">
        <f>IF(예비비!$R153="OK",SUMIFS(예비비!$O$430:$O$729,예비비!$B$430:$B$729,예비비!$A153,예비비!$E$430:$E$729,"&lt;"&amp;EDATE(BM$99,1),예비비!$F$430:$F$729,"결제대금비")+MAX(0,IF(예비비!$D153&lt;EDATE(BM$99,1),예비비!$E153,0)-SUMIFS(예비비!$O$430:$O$729,예비비!$B$430:$B$729,예비비!$A153,예비비!$E$430:$E$729,"&lt;"&amp;EDATE(BM$99,1))),0)</f>
        <v>0</v>
      </c>
      <c r="BN153">
        <f>IF(예비비!$R153="OK",SUMIFS(예비비!$O$430:$O$729,예비비!$B$430:$B$729,예비비!$A153,예비비!$E$430:$E$729,"&lt;"&amp;EDATE(BN$99,1),예비비!$F$430:$F$729,"결제대금비")+MAX(0,IF(예비비!$D153&lt;EDATE(BN$99,1),예비비!$E153,0)-SUMIFS(예비비!$O$430:$O$729,예비비!$B$430:$B$729,예비비!$A153,예비비!$E$430:$E$729,"&lt;"&amp;EDATE(BN$99,1))),0)</f>
        <v>0</v>
      </c>
      <c r="BO153">
        <f>IF(예비비!$R153="OK",SUMIFS(예비비!$O$430:$O$729,예비비!$B$430:$B$729,예비비!$A153,예비비!$E$430:$E$729,"&lt;"&amp;EDATE(BO$99,1),예비비!$F$430:$F$729,"결제대금비")+MAX(0,IF(예비비!$D153&lt;EDATE(BO$99,1),예비비!$E153,0)-SUMIFS(예비비!$O$430:$O$729,예비비!$B$430:$B$729,예비비!$A153,예비비!$E$430:$E$729,"&lt;"&amp;EDATE(BO$99,1))),0)</f>
        <v>0</v>
      </c>
      <c r="BP153">
        <f>IF(예비비!$R153="OK",SUMIFS(예비비!$O$430:$O$729,예비비!$B$430:$B$729,예비비!$A153,예비비!$E$430:$E$729,"&lt;"&amp;EDATE(BP$99,1),예비비!$F$430:$F$729,"결제대금비")+MAX(0,IF(예비비!$D153&lt;EDATE(BP$99,1),예비비!$E153,0)-SUMIFS(예비비!$O$430:$O$729,예비비!$B$430:$B$729,예비비!$A153,예비비!$E$430:$E$729,"&lt;"&amp;EDATE(BP$99,1))),0)</f>
        <v>0</v>
      </c>
      <c r="BQ153">
        <f>IF(예비비!$R153="OK",SUMIFS(예비비!$O$430:$O$729,예비비!$B$430:$B$729,예비비!$A153,예비비!$E$430:$E$729,"&lt;"&amp;EDATE(BQ$99,1),예비비!$F$430:$F$729,"결제대금비")+MAX(0,IF(예비비!$D153&lt;EDATE(BQ$99,1),예비비!$E153,0)-SUMIFS(예비비!$O$430:$O$729,예비비!$B$430:$B$729,예비비!$A153,예비비!$E$430:$E$729,"&lt;"&amp;EDATE(BQ$99,1))),0)</f>
        <v>0</v>
      </c>
      <c r="BR153">
        <f>IF(예비비!$R153="OK",SUMIFS(예비비!$O$430:$O$729,예비비!$B$430:$B$729,예비비!$A153,예비비!$E$430:$E$729,"&lt;"&amp;EDATE(BR$99,1),예비비!$F$430:$F$729,"결제대금비")+MAX(0,IF(예비비!$D153&lt;EDATE(BR$99,1),예비비!$E153,0)-SUMIFS(예비비!$O$430:$O$729,예비비!$B$430:$B$729,예비비!$A153,예비비!$E$430:$E$729,"&lt;"&amp;EDATE(BR$99,1))),0)</f>
        <v>0</v>
      </c>
      <c r="BS153">
        <f>IF(예비비!$R153="OK",SUMIFS(예비비!$O$430:$O$729,예비비!$B$430:$B$729,예비비!$A153,예비비!$E$430:$E$729,"&lt;"&amp;EDATE(BS$99,1),예비비!$F$430:$F$729,"결제대금비")+MAX(0,IF(예비비!$D153&lt;EDATE(BS$99,1),예비비!$E153,0)-SUMIFS(예비비!$O$430:$O$729,예비비!$B$430:$B$729,예비비!$A153,예비비!$E$430:$E$729,"&lt;"&amp;EDATE(BS$99,1))),0)</f>
        <v>0</v>
      </c>
      <c r="BT153">
        <f>IF(예비비!$R153="OK",SUMIFS(예비비!$O$430:$O$729,예비비!$B$430:$B$729,예비비!$A153,예비비!$E$430:$E$729,"&lt;"&amp;EDATE(BT$99,1),예비비!$F$430:$F$729,"결제대금비")+MAX(0,IF(예비비!$D153&lt;EDATE(BT$99,1),예비비!$E153,0)-SUMIFS(예비비!$O$430:$O$729,예비비!$B$430:$B$729,예비비!$A153,예비비!$E$430:$E$729,"&lt;"&amp;EDATE(BT$99,1))),0)</f>
        <v>0</v>
      </c>
      <c r="BU153">
        <f>IF(예비비!$R153="OK",SUMIFS(예비비!$O$430:$O$729,예비비!$B$430:$B$729,예비비!$A153,예비비!$E$430:$E$729,"&lt;"&amp;EDATE(BU$99,1),예비비!$F$430:$F$729,"결제대금비")+MAX(0,IF(예비비!$D153&lt;EDATE(BU$99,1),예비비!$E153,0)-SUMIFS(예비비!$O$430:$O$729,예비비!$B$430:$B$729,예비비!$A153,예비비!$E$430:$E$729,"&lt;"&amp;EDATE(BU$99,1))),0)</f>
        <v>0</v>
      </c>
    </row>
    <row r="154">
      <c r="BA154">
        <v>98</v>
      </c>
      <c r="BB154">
        <f>IFERROR(INDEX(잔액!$A:$A,BA154),0)</f>
        <v>46143.0</v>
      </c>
      <c r="BH154">
        <f>IFERROR(IF(AND(BB154&gt;0,OR(COUNTIFS(예비비!$C$430:$C$729,BA154,예비비!$N$430:$N$729,"OK")&gt;0,AND(INDEX(잔액!$J:$J,BA154)="가족통장",INDEX(잔액!$K:$K,BA154)="미래에셋_WRAP형CMA"),COUNTIF(예비비!$A$8:$A$12,INDEX(잔액!$C:$C,BA154))=1,COUNTIF(예비비!$A$8:$A$12,INDEX(잔액!$D:$D,BA154))=1),OR(AND(BB154&gt;=예비비!$B$3,BB154&lt;EDATE(예비비!$B$3,1)),AND(BB154&lt;EDATE(예비비!$B$3,1),COUNTIFS(예비비!$C$430:$C$729,BA154,예비비!$L$430:$L$729,예비비!$B$3,예비비!$N$430:$N$729,"OK")&gt;0))),MAX($BH$120:BH153)+1,0),0)</f>
        <v>0</v>
      </c>
      <c r="BI154">
        <f>IF(예비비!$R154="OK",SUMIFS(예비비!$O$430:$O$729,예비비!$B$430:$B$729,예비비!$A154,예비비!$E$430:$E$729,"&lt;"&amp;EDATE(BI$99,1),예비비!$F$430:$F$729,"결제대금비")+MAX(0,IF(예비비!$D154&lt;EDATE(BI$99,1),예비비!$E154,0)-SUMIFS(예비비!$O$430:$O$729,예비비!$B$430:$B$729,예비비!$A154,예비비!$E$430:$E$729,"&lt;"&amp;EDATE(BI$99,1))),0)</f>
        <v>0</v>
      </c>
      <c r="BJ154">
        <f>IF(예비비!$R154="OK",SUMIFS(예비비!$O$430:$O$729,예비비!$B$430:$B$729,예비비!$A154,예비비!$E$430:$E$729,"&lt;"&amp;EDATE(BJ$99,1),예비비!$F$430:$F$729,"결제대금비")+MAX(0,IF(예비비!$D154&lt;EDATE(BJ$99,1),예비비!$E154,0)-SUMIFS(예비비!$O$430:$O$729,예비비!$B$430:$B$729,예비비!$A154,예비비!$E$430:$E$729,"&lt;"&amp;EDATE(BJ$99,1))),0)</f>
        <v>0</v>
      </c>
      <c r="BK154">
        <f>IF(예비비!$R154="OK",SUMIFS(예비비!$O$430:$O$729,예비비!$B$430:$B$729,예비비!$A154,예비비!$E$430:$E$729,"&lt;"&amp;EDATE(BK$99,1),예비비!$F$430:$F$729,"결제대금비")+MAX(0,IF(예비비!$D154&lt;EDATE(BK$99,1),예비비!$E154,0)-SUMIFS(예비비!$O$430:$O$729,예비비!$B$430:$B$729,예비비!$A154,예비비!$E$430:$E$729,"&lt;"&amp;EDATE(BK$99,1))),0)</f>
        <v>0</v>
      </c>
      <c r="BL154">
        <f>IF(예비비!$R154="OK",SUMIFS(예비비!$O$430:$O$729,예비비!$B$430:$B$729,예비비!$A154,예비비!$E$430:$E$729,"&lt;"&amp;EDATE(BL$99,1),예비비!$F$430:$F$729,"결제대금비")+MAX(0,IF(예비비!$D154&lt;EDATE(BL$99,1),예비비!$E154,0)-SUMIFS(예비비!$O$430:$O$729,예비비!$B$430:$B$729,예비비!$A154,예비비!$E$430:$E$729,"&lt;"&amp;EDATE(BL$99,1))),0)</f>
        <v>0</v>
      </c>
      <c r="BM154">
        <f>IF(예비비!$R154="OK",SUMIFS(예비비!$O$430:$O$729,예비비!$B$430:$B$729,예비비!$A154,예비비!$E$430:$E$729,"&lt;"&amp;EDATE(BM$99,1),예비비!$F$430:$F$729,"결제대금비")+MAX(0,IF(예비비!$D154&lt;EDATE(BM$99,1),예비비!$E154,0)-SUMIFS(예비비!$O$430:$O$729,예비비!$B$430:$B$729,예비비!$A154,예비비!$E$430:$E$729,"&lt;"&amp;EDATE(BM$99,1))),0)</f>
        <v>0</v>
      </c>
      <c r="BN154">
        <f>IF(예비비!$R154="OK",SUMIFS(예비비!$O$430:$O$729,예비비!$B$430:$B$729,예비비!$A154,예비비!$E$430:$E$729,"&lt;"&amp;EDATE(BN$99,1),예비비!$F$430:$F$729,"결제대금비")+MAX(0,IF(예비비!$D154&lt;EDATE(BN$99,1),예비비!$E154,0)-SUMIFS(예비비!$O$430:$O$729,예비비!$B$430:$B$729,예비비!$A154,예비비!$E$430:$E$729,"&lt;"&amp;EDATE(BN$99,1))),0)</f>
        <v>0</v>
      </c>
      <c r="BO154">
        <f>IF(예비비!$R154="OK",SUMIFS(예비비!$O$430:$O$729,예비비!$B$430:$B$729,예비비!$A154,예비비!$E$430:$E$729,"&lt;"&amp;EDATE(BO$99,1),예비비!$F$430:$F$729,"결제대금비")+MAX(0,IF(예비비!$D154&lt;EDATE(BO$99,1),예비비!$E154,0)-SUMIFS(예비비!$O$430:$O$729,예비비!$B$430:$B$729,예비비!$A154,예비비!$E$430:$E$729,"&lt;"&amp;EDATE(BO$99,1))),0)</f>
        <v>0</v>
      </c>
      <c r="BP154">
        <f>IF(예비비!$R154="OK",SUMIFS(예비비!$O$430:$O$729,예비비!$B$430:$B$729,예비비!$A154,예비비!$E$430:$E$729,"&lt;"&amp;EDATE(BP$99,1),예비비!$F$430:$F$729,"결제대금비")+MAX(0,IF(예비비!$D154&lt;EDATE(BP$99,1),예비비!$E154,0)-SUMIFS(예비비!$O$430:$O$729,예비비!$B$430:$B$729,예비비!$A154,예비비!$E$430:$E$729,"&lt;"&amp;EDATE(BP$99,1))),0)</f>
        <v>0</v>
      </c>
      <c r="BQ154">
        <f>IF(예비비!$R154="OK",SUMIFS(예비비!$O$430:$O$729,예비비!$B$430:$B$729,예비비!$A154,예비비!$E$430:$E$729,"&lt;"&amp;EDATE(BQ$99,1),예비비!$F$430:$F$729,"결제대금비")+MAX(0,IF(예비비!$D154&lt;EDATE(BQ$99,1),예비비!$E154,0)-SUMIFS(예비비!$O$430:$O$729,예비비!$B$430:$B$729,예비비!$A154,예비비!$E$430:$E$729,"&lt;"&amp;EDATE(BQ$99,1))),0)</f>
        <v>0</v>
      </c>
      <c r="BR154">
        <f>IF(예비비!$R154="OK",SUMIFS(예비비!$O$430:$O$729,예비비!$B$430:$B$729,예비비!$A154,예비비!$E$430:$E$729,"&lt;"&amp;EDATE(BR$99,1),예비비!$F$430:$F$729,"결제대금비")+MAX(0,IF(예비비!$D154&lt;EDATE(BR$99,1),예비비!$E154,0)-SUMIFS(예비비!$O$430:$O$729,예비비!$B$430:$B$729,예비비!$A154,예비비!$E$430:$E$729,"&lt;"&amp;EDATE(BR$99,1))),0)</f>
        <v>0</v>
      </c>
      <c r="BS154">
        <f>IF(예비비!$R154="OK",SUMIFS(예비비!$O$430:$O$729,예비비!$B$430:$B$729,예비비!$A154,예비비!$E$430:$E$729,"&lt;"&amp;EDATE(BS$99,1),예비비!$F$430:$F$729,"결제대금비")+MAX(0,IF(예비비!$D154&lt;EDATE(BS$99,1),예비비!$E154,0)-SUMIFS(예비비!$O$430:$O$729,예비비!$B$430:$B$729,예비비!$A154,예비비!$E$430:$E$729,"&lt;"&amp;EDATE(BS$99,1))),0)</f>
        <v>0</v>
      </c>
      <c r="BT154">
        <f>IF(예비비!$R154="OK",SUMIFS(예비비!$O$430:$O$729,예비비!$B$430:$B$729,예비비!$A154,예비비!$E$430:$E$729,"&lt;"&amp;EDATE(BT$99,1),예비비!$F$430:$F$729,"결제대금비")+MAX(0,IF(예비비!$D154&lt;EDATE(BT$99,1),예비비!$E154,0)-SUMIFS(예비비!$O$430:$O$729,예비비!$B$430:$B$729,예비비!$A154,예비비!$E$430:$E$729,"&lt;"&amp;EDATE(BT$99,1))),0)</f>
        <v>0</v>
      </c>
      <c r="BU154">
        <f>IF(예비비!$R154="OK",SUMIFS(예비비!$O$430:$O$729,예비비!$B$430:$B$729,예비비!$A154,예비비!$E$430:$E$729,"&lt;"&amp;EDATE(BU$99,1),예비비!$F$430:$F$729,"결제대금비")+MAX(0,IF(예비비!$D154&lt;EDATE(BU$99,1),예비비!$E154,0)-SUMIFS(예비비!$O$430:$O$729,예비비!$B$430:$B$729,예비비!$A154,예비비!$E$430:$E$729,"&lt;"&amp;EDATE(BU$99,1))),0)</f>
        <v>0</v>
      </c>
    </row>
    <row r="155">
      <c r="BA155">
        <v>99</v>
      </c>
      <c r="BB155">
        <f>IFERROR(INDEX(잔액!$A:$A,BA155),0)</f>
        <v>46143.0</v>
      </c>
      <c r="BH155">
        <f>IFERROR(IF(AND(BB155&gt;0,OR(COUNTIFS(예비비!$C$430:$C$729,BA155,예비비!$N$430:$N$729,"OK")&gt;0,AND(INDEX(잔액!$J:$J,BA155)="가족통장",INDEX(잔액!$K:$K,BA155)="미래에셋_WRAP형CMA"),COUNTIF(예비비!$A$8:$A$12,INDEX(잔액!$C:$C,BA155))=1,COUNTIF(예비비!$A$8:$A$12,INDEX(잔액!$D:$D,BA155))=1),OR(AND(BB155&gt;=예비비!$B$3,BB155&lt;EDATE(예비비!$B$3,1)),AND(BB155&lt;EDATE(예비비!$B$3,1),COUNTIFS(예비비!$C$430:$C$729,BA155,예비비!$L$430:$L$729,예비비!$B$3,예비비!$N$430:$N$729,"OK")&gt;0))),MAX($BH$120:BH154)+1,0),0)</f>
        <v>0</v>
      </c>
      <c r="BI155">
        <f>IF(예비비!$R155="OK",SUMIFS(예비비!$O$430:$O$729,예비비!$B$430:$B$729,예비비!$A155,예비비!$E$430:$E$729,"&lt;"&amp;EDATE(BI$99,1),예비비!$F$430:$F$729,"결제대금비")+MAX(0,IF(예비비!$D155&lt;EDATE(BI$99,1),예비비!$E155,0)-SUMIFS(예비비!$O$430:$O$729,예비비!$B$430:$B$729,예비비!$A155,예비비!$E$430:$E$729,"&lt;"&amp;EDATE(BI$99,1))),0)</f>
        <v>0</v>
      </c>
      <c r="BJ155">
        <f>IF(예비비!$R155="OK",SUMIFS(예비비!$O$430:$O$729,예비비!$B$430:$B$729,예비비!$A155,예비비!$E$430:$E$729,"&lt;"&amp;EDATE(BJ$99,1),예비비!$F$430:$F$729,"결제대금비")+MAX(0,IF(예비비!$D155&lt;EDATE(BJ$99,1),예비비!$E155,0)-SUMIFS(예비비!$O$430:$O$729,예비비!$B$430:$B$729,예비비!$A155,예비비!$E$430:$E$729,"&lt;"&amp;EDATE(BJ$99,1))),0)</f>
        <v>0</v>
      </c>
      <c r="BK155">
        <f>IF(예비비!$R155="OK",SUMIFS(예비비!$O$430:$O$729,예비비!$B$430:$B$729,예비비!$A155,예비비!$E$430:$E$729,"&lt;"&amp;EDATE(BK$99,1),예비비!$F$430:$F$729,"결제대금비")+MAX(0,IF(예비비!$D155&lt;EDATE(BK$99,1),예비비!$E155,0)-SUMIFS(예비비!$O$430:$O$729,예비비!$B$430:$B$729,예비비!$A155,예비비!$E$430:$E$729,"&lt;"&amp;EDATE(BK$99,1))),0)</f>
        <v>0</v>
      </c>
      <c r="BL155">
        <f>IF(예비비!$R155="OK",SUMIFS(예비비!$O$430:$O$729,예비비!$B$430:$B$729,예비비!$A155,예비비!$E$430:$E$729,"&lt;"&amp;EDATE(BL$99,1),예비비!$F$430:$F$729,"결제대금비")+MAX(0,IF(예비비!$D155&lt;EDATE(BL$99,1),예비비!$E155,0)-SUMIFS(예비비!$O$430:$O$729,예비비!$B$430:$B$729,예비비!$A155,예비비!$E$430:$E$729,"&lt;"&amp;EDATE(BL$99,1))),0)</f>
        <v>0</v>
      </c>
      <c r="BM155">
        <f>IF(예비비!$R155="OK",SUMIFS(예비비!$O$430:$O$729,예비비!$B$430:$B$729,예비비!$A155,예비비!$E$430:$E$729,"&lt;"&amp;EDATE(BM$99,1),예비비!$F$430:$F$729,"결제대금비")+MAX(0,IF(예비비!$D155&lt;EDATE(BM$99,1),예비비!$E155,0)-SUMIFS(예비비!$O$430:$O$729,예비비!$B$430:$B$729,예비비!$A155,예비비!$E$430:$E$729,"&lt;"&amp;EDATE(BM$99,1))),0)</f>
        <v>0</v>
      </c>
      <c r="BN155">
        <f>IF(예비비!$R155="OK",SUMIFS(예비비!$O$430:$O$729,예비비!$B$430:$B$729,예비비!$A155,예비비!$E$430:$E$729,"&lt;"&amp;EDATE(BN$99,1),예비비!$F$430:$F$729,"결제대금비")+MAX(0,IF(예비비!$D155&lt;EDATE(BN$99,1),예비비!$E155,0)-SUMIFS(예비비!$O$430:$O$729,예비비!$B$430:$B$729,예비비!$A155,예비비!$E$430:$E$729,"&lt;"&amp;EDATE(BN$99,1))),0)</f>
        <v>0</v>
      </c>
      <c r="BO155">
        <f>IF(예비비!$R155="OK",SUMIFS(예비비!$O$430:$O$729,예비비!$B$430:$B$729,예비비!$A155,예비비!$E$430:$E$729,"&lt;"&amp;EDATE(BO$99,1),예비비!$F$430:$F$729,"결제대금비")+MAX(0,IF(예비비!$D155&lt;EDATE(BO$99,1),예비비!$E155,0)-SUMIFS(예비비!$O$430:$O$729,예비비!$B$430:$B$729,예비비!$A155,예비비!$E$430:$E$729,"&lt;"&amp;EDATE(BO$99,1))),0)</f>
        <v>0</v>
      </c>
      <c r="BP155">
        <f>IF(예비비!$R155="OK",SUMIFS(예비비!$O$430:$O$729,예비비!$B$430:$B$729,예비비!$A155,예비비!$E$430:$E$729,"&lt;"&amp;EDATE(BP$99,1),예비비!$F$430:$F$729,"결제대금비")+MAX(0,IF(예비비!$D155&lt;EDATE(BP$99,1),예비비!$E155,0)-SUMIFS(예비비!$O$430:$O$729,예비비!$B$430:$B$729,예비비!$A155,예비비!$E$430:$E$729,"&lt;"&amp;EDATE(BP$99,1))),0)</f>
        <v>0</v>
      </c>
      <c r="BQ155">
        <f>IF(예비비!$R155="OK",SUMIFS(예비비!$O$430:$O$729,예비비!$B$430:$B$729,예비비!$A155,예비비!$E$430:$E$729,"&lt;"&amp;EDATE(BQ$99,1),예비비!$F$430:$F$729,"결제대금비")+MAX(0,IF(예비비!$D155&lt;EDATE(BQ$99,1),예비비!$E155,0)-SUMIFS(예비비!$O$430:$O$729,예비비!$B$430:$B$729,예비비!$A155,예비비!$E$430:$E$729,"&lt;"&amp;EDATE(BQ$99,1))),0)</f>
        <v>0</v>
      </c>
      <c r="BR155">
        <f>IF(예비비!$R155="OK",SUMIFS(예비비!$O$430:$O$729,예비비!$B$430:$B$729,예비비!$A155,예비비!$E$430:$E$729,"&lt;"&amp;EDATE(BR$99,1),예비비!$F$430:$F$729,"결제대금비")+MAX(0,IF(예비비!$D155&lt;EDATE(BR$99,1),예비비!$E155,0)-SUMIFS(예비비!$O$430:$O$729,예비비!$B$430:$B$729,예비비!$A155,예비비!$E$430:$E$729,"&lt;"&amp;EDATE(BR$99,1))),0)</f>
        <v>0</v>
      </c>
      <c r="BS155">
        <f>IF(예비비!$R155="OK",SUMIFS(예비비!$O$430:$O$729,예비비!$B$430:$B$729,예비비!$A155,예비비!$E$430:$E$729,"&lt;"&amp;EDATE(BS$99,1),예비비!$F$430:$F$729,"결제대금비")+MAX(0,IF(예비비!$D155&lt;EDATE(BS$99,1),예비비!$E155,0)-SUMIFS(예비비!$O$430:$O$729,예비비!$B$430:$B$729,예비비!$A155,예비비!$E$430:$E$729,"&lt;"&amp;EDATE(BS$99,1))),0)</f>
        <v>0</v>
      </c>
      <c r="BT155">
        <f>IF(예비비!$R155="OK",SUMIFS(예비비!$O$430:$O$729,예비비!$B$430:$B$729,예비비!$A155,예비비!$E$430:$E$729,"&lt;"&amp;EDATE(BT$99,1),예비비!$F$430:$F$729,"결제대금비")+MAX(0,IF(예비비!$D155&lt;EDATE(BT$99,1),예비비!$E155,0)-SUMIFS(예비비!$O$430:$O$729,예비비!$B$430:$B$729,예비비!$A155,예비비!$E$430:$E$729,"&lt;"&amp;EDATE(BT$99,1))),0)</f>
        <v>0</v>
      </c>
      <c r="BU155">
        <f>IF(예비비!$R155="OK",SUMIFS(예비비!$O$430:$O$729,예비비!$B$430:$B$729,예비비!$A155,예비비!$E$430:$E$729,"&lt;"&amp;EDATE(BU$99,1),예비비!$F$430:$F$729,"결제대금비")+MAX(0,IF(예비비!$D155&lt;EDATE(BU$99,1),예비비!$E155,0)-SUMIFS(예비비!$O$430:$O$729,예비비!$B$430:$B$729,예비비!$A155,예비비!$E$430:$E$729,"&lt;"&amp;EDATE(BU$99,1))),0)</f>
        <v>0</v>
      </c>
    </row>
    <row r="156">
      <c r="BA156">
        <v>100</v>
      </c>
      <c r="BB156">
        <f>IFERROR(INDEX(잔액!$A:$A,BA156),0)</f>
        <v>46143.0</v>
      </c>
      <c r="BH156">
        <f>IFERROR(IF(AND(BB156&gt;0,OR(COUNTIFS(예비비!$C$430:$C$729,BA156,예비비!$N$430:$N$729,"OK")&gt;0,AND(INDEX(잔액!$J:$J,BA156)="가족통장",INDEX(잔액!$K:$K,BA156)="미래에셋_WRAP형CMA"),COUNTIF(예비비!$A$8:$A$12,INDEX(잔액!$C:$C,BA156))=1,COUNTIF(예비비!$A$8:$A$12,INDEX(잔액!$D:$D,BA156))=1),OR(AND(BB156&gt;=예비비!$B$3,BB156&lt;EDATE(예비비!$B$3,1)),AND(BB156&lt;EDATE(예비비!$B$3,1),COUNTIFS(예비비!$C$430:$C$729,BA156,예비비!$L$430:$L$729,예비비!$B$3,예비비!$N$430:$N$729,"OK")&gt;0))),MAX($BH$120:BH155)+1,0),0)</f>
        <v>0</v>
      </c>
      <c r="BI156">
        <f>IF(예비비!$R156="OK",SUMIFS(예비비!$O$430:$O$729,예비비!$B$430:$B$729,예비비!$A156,예비비!$E$430:$E$729,"&lt;"&amp;EDATE(BI$99,1),예비비!$F$430:$F$729,"결제대금비")+MAX(0,IF(예비비!$D156&lt;EDATE(BI$99,1),예비비!$E156,0)-SUMIFS(예비비!$O$430:$O$729,예비비!$B$430:$B$729,예비비!$A156,예비비!$E$430:$E$729,"&lt;"&amp;EDATE(BI$99,1))),0)</f>
        <v>0</v>
      </c>
      <c r="BJ156">
        <f>IF(예비비!$R156="OK",SUMIFS(예비비!$O$430:$O$729,예비비!$B$430:$B$729,예비비!$A156,예비비!$E$430:$E$729,"&lt;"&amp;EDATE(BJ$99,1),예비비!$F$430:$F$729,"결제대금비")+MAX(0,IF(예비비!$D156&lt;EDATE(BJ$99,1),예비비!$E156,0)-SUMIFS(예비비!$O$430:$O$729,예비비!$B$430:$B$729,예비비!$A156,예비비!$E$430:$E$729,"&lt;"&amp;EDATE(BJ$99,1))),0)</f>
        <v>0</v>
      </c>
      <c r="BK156">
        <f>IF(예비비!$R156="OK",SUMIFS(예비비!$O$430:$O$729,예비비!$B$430:$B$729,예비비!$A156,예비비!$E$430:$E$729,"&lt;"&amp;EDATE(BK$99,1),예비비!$F$430:$F$729,"결제대금비")+MAX(0,IF(예비비!$D156&lt;EDATE(BK$99,1),예비비!$E156,0)-SUMIFS(예비비!$O$430:$O$729,예비비!$B$430:$B$729,예비비!$A156,예비비!$E$430:$E$729,"&lt;"&amp;EDATE(BK$99,1))),0)</f>
        <v>0</v>
      </c>
      <c r="BL156">
        <f>IF(예비비!$R156="OK",SUMIFS(예비비!$O$430:$O$729,예비비!$B$430:$B$729,예비비!$A156,예비비!$E$430:$E$729,"&lt;"&amp;EDATE(BL$99,1),예비비!$F$430:$F$729,"결제대금비")+MAX(0,IF(예비비!$D156&lt;EDATE(BL$99,1),예비비!$E156,0)-SUMIFS(예비비!$O$430:$O$729,예비비!$B$430:$B$729,예비비!$A156,예비비!$E$430:$E$729,"&lt;"&amp;EDATE(BL$99,1))),0)</f>
        <v>0</v>
      </c>
      <c r="BM156">
        <f>IF(예비비!$R156="OK",SUMIFS(예비비!$O$430:$O$729,예비비!$B$430:$B$729,예비비!$A156,예비비!$E$430:$E$729,"&lt;"&amp;EDATE(BM$99,1),예비비!$F$430:$F$729,"결제대금비")+MAX(0,IF(예비비!$D156&lt;EDATE(BM$99,1),예비비!$E156,0)-SUMIFS(예비비!$O$430:$O$729,예비비!$B$430:$B$729,예비비!$A156,예비비!$E$430:$E$729,"&lt;"&amp;EDATE(BM$99,1))),0)</f>
        <v>0</v>
      </c>
      <c r="BN156">
        <f>IF(예비비!$R156="OK",SUMIFS(예비비!$O$430:$O$729,예비비!$B$430:$B$729,예비비!$A156,예비비!$E$430:$E$729,"&lt;"&amp;EDATE(BN$99,1),예비비!$F$430:$F$729,"결제대금비")+MAX(0,IF(예비비!$D156&lt;EDATE(BN$99,1),예비비!$E156,0)-SUMIFS(예비비!$O$430:$O$729,예비비!$B$430:$B$729,예비비!$A156,예비비!$E$430:$E$729,"&lt;"&amp;EDATE(BN$99,1))),0)</f>
        <v>0</v>
      </c>
      <c r="BO156">
        <f>IF(예비비!$R156="OK",SUMIFS(예비비!$O$430:$O$729,예비비!$B$430:$B$729,예비비!$A156,예비비!$E$430:$E$729,"&lt;"&amp;EDATE(BO$99,1),예비비!$F$430:$F$729,"결제대금비")+MAX(0,IF(예비비!$D156&lt;EDATE(BO$99,1),예비비!$E156,0)-SUMIFS(예비비!$O$430:$O$729,예비비!$B$430:$B$729,예비비!$A156,예비비!$E$430:$E$729,"&lt;"&amp;EDATE(BO$99,1))),0)</f>
        <v>0</v>
      </c>
      <c r="BP156">
        <f>IF(예비비!$R156="OK",SUMIFS(예비비!$O$430:$O$729,예비비!$B$430:$B$729,예비비!$A156,예비비!$E$430:$E$729,"&lt;"&amp;EDATE(BP$99,1),예비비!$F$430:$F$729,"결제대금비")+MAX(0,IF(예비비!$D156&lt;EDATE(BP$99,1),예비비!$E156,0)-SUMIFS(예비비!$O$430:$O$729,예비비!$B$430:$B$729,예비비!$A156,예비비!$E$430:$E$729,"&lt;"&amp;EDATE(BP$99,1))),0)</f>
        <v>0</v>
      </c>
      <c r="BQ156">
        <f>IF(예비비!$R156="OK",SUMIFS(예비비!$O$430:$O$729,예비비!$B$430:$B$729,예비비!$A156,예비비!$E$430:$E$729,"&lt;"&amp;EDATE(BQ$99,1),예비비!$F$430:$F$729,"결제대금비")+MAX(0,IF(예비비!$D156&lt;EDATE(BQ$99,1),예비비!$E156,0)-SUMIFS(예비비!$O$430:$O$729,예비비!$B$430:$B$729,예비비!$A156,예비비!$E$430:$E$729,"&lt;"&amp;EDATE(BQ$99,1))),0)</f>
        <v>0</v>
      </c>
      <c r="BR156">
        <f>IF(예비비!$R156="OK",SUMIFS(예비비!$O$430:$O$729,예비비!$B$430:$B$729,예비비!$A156,예비비!$E$430:$E$729,"&lt;"&amp;EDATE(BR$99,1),예비비!$F$430:$F$729,"결제대금비")+MAX(0,IF(예비비!$D156&lt;EDATE(BR$99,1),예비비!$E156,0)-SUMIFS(예비비!$O$430:$O$729,예비비!$B$430:$B$729,예비비!$A156,예비비!$E$430:$E$729,"&lt;"&amp;EDATE(BR$99,1))),0)</f>
        <v>0</v>
      </c>
      <c r="BS156">
        <f>IF(예비비!$R156="OK",SUMIFS(예비비!$O$430:$O$729,예비비!$B$430:$B$729,예비비!$A156,예비비!$E$430:$E$729,"&lt;"&amp;EDATE(BS$99,1),예비비!$F$430:$F$729,"결제대금비")+MAX(0,IF(예비비!$D156&lt;EDATE(BS$99,1),예비비!$E156,0)-SUMIFS(예비비!$O$430:$O$729,예비비!$B$430:$B$729,예비비!$A156,예비비!$E$430:$E$729,"&lt;"&amp;EDATE(BS$99,1))),0)</f>
        <v>0</v>
      </c>
      <c r="BT156">
        <f>IF(예비비!$R156="OK",SUMIFS(예비비!$O$430:$O$729,예비비!$B$430:$B$729,예비비!$A156,예비비!$E$430:$E$729,"&lt;"&amp;EDATE(BT$99,1),예비비!$F$430:$F$729,"결제대금비")+MAX(0,IF(예비비!$D156&lt;EDATE(BT$99,1),예비비!$E156,0)-SUMIFS(예비비!$O$430:$O$729,예비비!$B$430:$B$729,예비비!$A156,예비비!$E$430:$E$729,"&lt;"&amp;EDATE(BT$99,1))),0)</f>
        <v>0</v>
      </c>
      <c r="BU156">
        <f>IF(예비비!$R156="OK",SUMIFS(예비비!$O$430:$O$729,예비비!$B$430:$B$729,예비비!$A156,예비비!$E$430:$E$729,"&lt;"&amp;EDATE(BU$99,1),예비비!$F$430:$F$729,"결제대금비")+MAX(0,IF(예비비!$D156&lt;EDATE(BU$99,1),예비비!$E156,0)-SUMIFS(예비비!$O$430:$O$729,예비비!$B$430:$B$729,예비비!$A156,예비비!$E$430:$E$729,"&lt;"&amp;EDATE(BU$99,1))),0)</f>
        <v>0</v>
      </c>
    </row>
    <row r="157">
      <c r="BA157">
        <v>101</v>
      </c>
      <c r="BB157">
        <f>IFERROR(INDEX(잔액!$A:$A,BA157),0)</f>
        <v>46143.0</v>
      </c>
      <c r="BH157">
        <f>IFERROR(IF(AND(BB157&gt;0,OR(COUNTIFS(예비비!$C$430:$C$729,BA157,예비비!$N$430:$N$729,"OK")&gt;0,AND(INDEX(잔액!$J:$J,BA157)="가족통장",INDEX(잔액!$K:$K,BA157)="미래에셋_WRAP형CMA"),COUNTIF(예비비!$A$8:$A$12,INDEX(잔액!$C:$C,BA157))=1,COUNTIF(예비비!$A$8:$A$12,INDEX(잔액!$D:$D,BA157))=1),OR(AND(BB157&gt;=예비비!$B$3,BB157&lt;EDATE(예비비!$B$3,1)),AND(BB157&lt;EDATE(예비비!$B$3,1),COUNTIFS(예비비!$C$430:$C$729,BA157,예비비!$L$430:$L$729,예비비!$B$3,예비비!$N$430:$N$729,"OK")&gt;0))),MAX($BH$120:BH156)+1,0),0)</f>
        <v>0</v>
      </c>
      <c r="BI157">
        <f>IF(예비비!$R157="OK",SUMIFS(예비비!$O$430:$O$729,예비비!$B$430:$B$729,예비비!$A157,예비비!$E$430:$E$729,"&lt;"&amp;EDATE(BI$99,1),예비비!$F$430:$F$729,"결제대금비")+MAX(0,IF(예비비!$D157&lt;EDATE(BI$99,1),예비비!$E157,0)-SUMIFS(예비비!$O$430:$O$729,예비비!$B$430:$B$729,예비비!$A157,예비비!$E$430:$E$729,"&lt;"&amp;EDATE(BI$99,1))),0)</f>
        <v>0</v>
      </c>
      <c r="BJ157">
        <f>IF(예비비!$R157="OK",SUMIFS(예비비!$O$430:$O$729,예비비!$B$430:$B$729,예비비!$A157,예비비!$E$430:$E$729,"&lt;"&amp;EDATE(BJ$99,1),예비비!$F$430:$F$729,"결제대금비")+MAX(0,IF(예비비!$D157&lt;EDATE(BJ$99,1),예비비!$E157,0)-SUMIFS(예비비!$O$430:$O$729,예비비!$B$430:$B$729,예비비!$A157,예비비!$E$430:$E$729,"&lt;"&amp;EDATE(BJ$99,1))),0)</f>
        <v>0</v>
      </c>
      <c r="BK157">
        <f>IF(예비비!$R157="OK",SUMIFS(예비비!$O$430:$O$729,예비비!$B$430:$B$729,예비비!$A157,예비비!$E$430:$E$729,"&lt;"&amp;EDATE(BK$99,1),예비비!$F$430:$F$729,"결제대금비")+MAX(0,IF(예비비!$D157&lt;EDATE(BK$99,1),예비비!$E157,0)-SUMIFS(예비비!$O$430:$O$729,예비비!$B$430:$B$729,예비비!$A157,예비비!$E$430:$E$729,"&lt;"&amp;EDATE(BK$99,1))),0)</f>
        <v>0</v>
      </c>
      <c r="BL157">
        <f>IF(예비비!$R157="OK",SUMIFS(예비비!$O$430:$O$729,예비비!$B$430:$B$729,예비비!$A157,예비비!$E$430:$E$729,"&lt;"&amp;EDATE(BL$99,1),예비비!$F$430:$F$729,"결제대금비")+MAX(0,IF(예비비!$D157&lt;EDATE(BL$99,1),예비비!$E157,0)-SUMIFS(예비비!$O$430:$O$729,예비비!$B$430:$B$729,예비비!$A157,예비비!$E$430:$E$729,"&lt;"&amp;EDATE(BL$99,1))),0)</f>
        <v>0</v>
      </c>
      <c r="BM157">
        <f>IF(예비비!$R157="OK",SUMIFS(예비비!$O$430:$O$729,예비비!$B$430:$B$729,예비비!$A157,예비비!$E$430:$E$729,"&lt;"&amp;EDATE(BM$99,1),예비비!$F$430:$F$729,"결제대금비")+MAX(0,IF(예비비!$D157&lt;EDATE(BM$99,1),예비비!$E157,0)-SUMIFS(예비비!$O$430:$O$729,예비비!$B$430:$B$729,예비비!$A157,예비비!$E$430:$E$729,"&lt;"&amp;EDATE(BM$99,1))),0)</f>
        <v>0</v>
      </c>
      <c r="BN157">
        <f>IF(예비비!$R157="OK",SUMIFS(예비비!$O$430:$O$729,예비비!$B$430:$B$729,예비비!$A157,예비비!$E$430:$E$729,"&lt;"&amp;EDATE(BN$99,1),예비비!$F$430:$F$729,"결제대금비")+MAX(0,IF(예비비!$D157&lt;EDATE(BN$99,1),예비비!$E157,0)-SUMIFS(예비비!$O$430:$O$729,예비비!$B$430:$B$729,예비비!$A157,예비비!$E$430:$E$729,"&lt;"&amp;EDATE(BN$99,1))),0)</f>
        <v>0</v>
      </c>
      <c r="BO157">
        <f>IF(예비비!$R157="OK",SUMIFS(예비비!$O$430:$O$729,예비비!$B$430:$B$729,예비비!$A157,예비비!$E$430:$E$729,"&lt;"&amp;EDATE(BO$99,1),예비비!$F$430:$F$729,"결제대금비")+MAX(0,IF(예비비!$D157&lt;EDATE(BO$99,1),예비비!$E157,0)-SUMIFS(예비비!$O$430:$O$729,예비비!$B$430:$B$729,예비비!$A157,예비비!$E$430:$E$729,"&lt;"&amp;EDATE(BO$99,1))),0)</f>
        <v>0</v>
      </c>
      <c r="BP157">
        <f>IF(예비비!$R157="OK",SUMIFS(예비비!$O$430:$O$729,예비비!$B$430:$B$729,예비비!$A157,예비비!$E$430:$E$729,"&lt;"&amp;EDATE(BP$99,1),예비비!$F$430:$F$729,"결제대금비")+MAX(0,IF(예비비!$D157&lt;EDATE(BP$99,1),예비비!$E157,0)-SUMIFS(예비비!$O$430:$O$729,예비비!$B$430:$B$729,예비비!$A157,예비비!$E$430:$E$729,"&lt;"&amp;EDATE(BP$99,1))),0)</f>
        <v>0</v>
      </c>
      <c r="BQ157">
        <f>IF(예비비!$R157="OK",SUMIFS(예비비!$O$430:$O$729,예비비!$B$430:$B$729,예비비!$A157,예비비!$E$430:$E$729,"&lt;"&amp;EDATE(BQ$99,1),예비비!$F$430:$F$729,"결제대금비")+MAX(0,IF(예비비!$D157&lt;EDATE(BQ$99,1),예비비!$E157,0)-SUMIFS(예비비!$O$430:$O$729,예비비!$B$430:$B$729,예비비!$A157,예비비!$E$430:$E$729,"&lt;"&amp;EDATE(BQ$99,1))),0)</f>
        <v>0</v>
      </c>
      <c r="BR157">
        <f>IF(예비비!$R157="OK",SUMIFS(예비비!$O$430:$O$729,예비비!$B$430:$B$729,예비비!$A157,예비비!$E$430:$E$729,"&lt;"&amp;EDATE(BR$99,1),예비비!$F$430:$F$729,"결제대금비")+MAX(0,IF(예비비!$D157&lt;EDATE(BR$99,1),예비비!$E157,0)-SUMIFS(예비비!$O$430:$O$729,예비비!$B$430:$B$729,예비비!$A157,예비비!$E$430:$E$729,"&lt;"&amp;EDATE(BR$99,1))),0)</f>
        <v>0</v>
      </c>
      <c r="BS157">
        <f>IF(예비비!$R157="OK",SUMIFS(예비비!$O$430:$O$729,예비비!$B$430:$B$729,예비비!$A157,예비비!$E$430:$E$729,"&lt;"&amp;EDATE(BS$99,1),예비비!$F$430:$F$729,"결제대금비")+MAX(0,IF(예비비!$D157&lt;EDATE(BS$99,1),예비비!$E157,0)-SUMIFS(예비비!$O$430:$O$729,예비비!$B$430:$B$729,예비비!$A157,예비비!$E$430:$E$729,"&lt;"&amp;EDATE(BS$99,1))),0)</f>
        <v>0</v>
      </c>
      <c r="BT157">
        <f>IF(예비비!$R157="OK",SUMIFS(예비비!$O$430:$O$729,예비비!$B$430:$B$729,예비비!$A157,예비비!$E$430:$E$729,"&lt;"&amp;EDATE(BT$99,1),예비비!$F$430:$F$729,"결제대금비")+MAX(0,IF(예비비!$D157&lt;EDATE(BT$99,1),예비비!$E157,0)-SUMIFS(예비비!$O$430:$O$729,예비비!$B$430:$B$729,예비비!$A157,예비비!$E$430:$E$729,"&lt;"&amp;EDATE(BT$99,1))),0)</f>
        <v>0</v>
      </c>
      <c r="BU157">
        <f>IF(예비비!$R157="OK",SUMIFS(예비비!$O$430:$O$729,예비비!$B$430:$B$729,예비비!$A157,예비비!$E$430:$E$729,"&lt;"&amp;EDATE(BU$99,1),예비비!$F$430:$F$729,"결제대금비")+MAX(0,IF(예비비!$D157&lt;EDATE(BU$99,1),예비비!$E157,0)-SUMIFS(예비비!$O$430:$O$729,예비비!$B$430:$B$729,예비비!$A157,예비비!$E$430:$E$729,"&lt;"&amp;EDATE(BU$99,1))),0)</f>
        <v>0</v>
      </c>
    </row>
    <row r="158">
      <c r="BA158">
        <v>102</v>
      </c>
      <c r="BB158">
        <f>IFERROR(INDEX(잔액!$A:$A,BA158),0)</f>
        <v>46143.0</v>
      </c>
      <c r="BH158">
        <f>IFERROR(IF(AND(BB158&gt;0,OR(COUNTIFS(예비비!$C$430:$C$729,BA158,예비비!$N$430:$N$729,"OK")&gt;0,AND(INDEX(잔액!$J:$J,BA158)="가족통장",INDEX(잔액!$K:$K,BA158)="미래에셋_WRAP형CMA"),COUNTIF(예비비!$A$8:$A$12,INDEX(잔액!$C:$C,BA158))=1,COUNTIF(예비비!$A$8:$A$12,INDEX(잔액!$D:$D,BA158))=1),OR(AND(BB158&gt;=예비비!$B$3,BB158&lt;EDATE(예비비!$B$3,1)),AND(BB158&lt;EDATE(예비비!$B$3,1),COUNTIFS(예비비!$C$430:$C$729,BA158,예비비!$L$430:$L$729,예비비!$B$3,예비비!$N$430:$N$729,"OK")&gt;0))),MAX($BH$120:BH157)+1,0),0)</f>
        <v>0</v>
      </c>
      <c r="BI158">
        <f>IF(예비비!$R158="OK",SUMIFS(예비비!$O$430:$O$729,예비비!$B$430:$B$729,예비비!$A158,예비비!$E$430:$E$729,"&lt;"&amp;EDATE(BI$99,1),예비비!$F$430:$F$729,"결제대금비")+MAX(0,IF(예비비!$D158&lt;EDATE(BI$99,1),예비비!$E158,0)-SUMIFS(예비비!$O$430:$O$729,예비비!$B$430:$B$729,예비비!$A158,예비비!$E$430:$E$729,"&lt;"&amp;EDATE(BI$99,1))),0)</f>
        <v>0</v>
      </c>
      <c r="BJ158">
        <f>IF(예비비!$R158="OK",SUMIFS(예비비!$O$430:$O$729,예비비!$B$430:$B$729,예비비!$A158,예비비!$E$430:$E$729,"&lt;"&amp;EDATE(BJ$99,1),예비비!$F$430:$F$729,"결제대금비")+MAX(0,IF(예비비!$D158&lt;EDATE(BJ$99,1),예비비!$E158,0)-SUMIFS(예비비!$O$430:$O$729,예비비!$B$430:$B$729,예비비!$A158,예비비!$E$430:$E$729,"&lt;"&amp;EDATE(BJ$99,1))),0)</f>
        <v>0</v>
      </c>
      <c r="BK158">
        <f>IF(예비비!$R158="OK",SUMIFS(예비비!$O$430:$O$729,예비비!$B$430:$B$729,예비비!$A158,예비비!$E$430:$E$729,"&lt;"&amp;EDATE(BK$99,1),예비비!$F$430:$F$729,"결제대금비")+MAX(0,IF(예비비!$D158&lt;EDATE(BK$99,1),예비비!$E158,0)-SUMIFS(예비비!$O$430:$O$729,예비비!$B$430:$B$729,예비비!$A158,예비비!$E$430:$E$729,"&lt;"&amp;EDATE(BK$99,1))),0)</f>
        <v>0</v>
      </c>
      <c r="BL158">
        <f>IF(예비비!$R158="OK",SUMIFS(예비비!$O$430:$O$729,예비비!$B$430:$B$729,예비비!$A158,예비비!$E$430:$E$729,"&lt;"&amp;EDATE(BL$99,1),예비비!$F$430:$F$729,"결제대금비")+MAX(0,IF(예비비!$D158&lt;EDATE(BL$99,1),예비비!$E158,0)-SUMIFS(예비비!$O$430:$O$729,예비비!$B$430:$B$729,예비비!$A158,예비비!$E$430:$E$729,"&lt;"&amp;EDATE(BL$99,1))),0)</f>
        <v>0</v>
      </c>
      <c r="BM158">
        <f>IF(예비비!$R158="OK",SUMIFS(예비비!$O$430:$O$729,예비비!$B$430:$B$729,예비비!$A158,예비비!$E$430:$E$729,"&lt;"&amp;EDATE(BM$99,1),예비비!$F$430:$F$729,"결제대금비")+MAX(0,IF(예비비!$D158&lt;EDATE(BM$99,1),예비비!$E158,0)-SUMIFS(예비비!$O$430:$O$729,예비비!$B$430:$B$729,예비비!$A158,예비비!$E$430:$E$729,"&lt;"&amp;EDATE(BM$99,1))),0)</f>
        <v>0</v>
      </c>
      <c r="BN158">
        <f>IF(예비비!$R158="OK",SUMIFS(예비비!$O$430:$O$729,예비비!$B$430:$B$729,예비비!$A158,예비비!$E$430:$E$729,"&lt;"&amp;EDATE(BN$99,1),예비비!$F$430:$F$729,"결제대금비")+MAX(0,IF(예비비!$D158&lt;EDATE(BN$99,1),예비비!$E158,0)-SUMIFS(예비비!$O$430:$O$729,예비비!$B$430:$B$729,예비비!$A158,예비비!$E$430:$E$729,"&lt;"&amp;EDATE(BN$99,1))),0)</f>
        <v>0</v>
      </c>
      <c r="BO158">
        <f>IF(예비비!$R158="OK",SUMIFS(예비비!$O$430:$O$729,예비비!$B$430:$B$729,예비비!$A158,예비비!$E$430:$E$729,"&lt;"&amp;EDATE(BO$99,1),예비비!$F$430:$F$729,"결제대금비")+MAX(0,IF(예비비!$D158&lt;EDATE(BO$99,1),예비비!$E158,0)-SUMIFS(예비비!$O$430:$O$729,예비비!$B$430:$B$729,예비비!$A158,예비비!$E$430:$E$729,"&lt;"&amp;EDATE(BO$99,1))),0)</f>
        <v>0</v>
      </c>
      <c r="BP158">
        <f>IF(예비비!$R158="OK",SUMIFS(예비비!$O$430:$O$729,예비비!$B$430:$B$729,예비비!$A158,예비비!$E$430:$E$729,"&lt;"&amp;EDATE(BP$99,1),예비비!$F$430:$F$729,"결제대금비")+MAX(0,IF(예비비!$D158&lt;EDATE(BP$99,1),예비비!$E158,0)-SUMIFS(예비비!$O$430:$O$729,예비비!$B$430:$B$729,예비비!$A158,예비비!$E$430:$E$729,"&lt;"&amp;EDATE(BP$99,1))),0)</f>
        <v>0</v>
      </c>
      <c r="BQ158">
        <f>IF(예비비!$R158="OK",SUMIFS(예비비!$O$430:$O$729,예비비!$B$430:$B$729,예비비!$A158,예비비!$E$430:$E$729,"&lt;"&amp;EDATE(BQ$99,1),예비비!$F$430:$F$729,"결제대금비")+MAX(0,IF(예비비!$D158&lt;EDATE(BQ$99,1),예비비!$E158,0)-SUMIFS(예비비!$O$430:$O$729,예비비!$B$430:$B$729,예비비!$A158,예비비!$E$430:$E$729,"&lt;"&amp;EDATE(BQ$99,1))),0)</f>
        <v>0</v>
      </c>
      <c r="BR158">
        <f>IF(예비비!$R158="OK",SUMIFS(예비비!$O$430:$O$729,예비비!$B$430:$B$729,예비비!$A158,예비비!$E$430:$E$729,"&lt;"&amp;EDATE(BR$99,1),예비비!$F$430:$F$729,"결제대금비")+MAX(0,IF(예비비!$D158&lt;EDATE(BR$99,1),예비비!$E158,0)-SUMIFS(예비비!$O$430:$O$729,예비비!$B$430:$B$729,예비비!$A158,예비비!$E$430:$E$729,"&lt;"&amp;EDATE(BR$99,1))),0)</f>
        <v>0</v>
      </c>
      <c r="BS158">
        <f>IF(예비비!$R158="OK",SUMIFS(예비비!$O$430:$O$729,예비비!$B$430:$B$729,예비비!$A158,예비비!$E$430:$E$729,"&lt;"&amp;EDATE(BS$99,1),예비비!$F$430:$F$729,"결제대금비")+MAX(0,IF(예비비!$D158&lt;EDATE(BS$99,1),예비비!$E158,0)-SUMIFS(예비비!$O$430:$O$729,예비비!$B$430:$B$729,예비비!$A158,예비비!$E$430:$E$729,"&lt;"&amp;EDATE(BS$99,1))),0)</f>
        <v>0</v>
      </c>
      <c r="BT158">
        <f>IF(예비비!$R158="OK",SUMIFS(예비비!$O$430:$O$729,예비비!$B$430:$B$729,예비비!$A158,예비비!$E$430:$E$729,"&lt;"&amp;EDATE(BT$99,1),예비비!$F$430:$F$729,"결제대금비")+MAX(0,IF(예비비!$D158&lt;EDATE(BT$99,1),예비비!$E158,0)-SUMIFS(예비비!$O$430:$O$729,예비비!$B$430:$B$729,예비비!$A158,예비비!$E$430:$E$729,"&lt;"&amp;EDATE(BT$99,1))),0)</f>
        <v>0</v>
      </c>
      <c r="BU158">
        <f>IF(예비비!$R158="OK",SUMIFS(예비비!$O$430:$O$729,예비비!$B$430:$B$729,예비비!$A158,예비비!$E$430:$E$729,"&lt;"&amp;EDATE(BU$99,1),예비비!$F$430:$F$729,"결제대금비")+MAX(0,IF(예비비!$D158&lt;EDATE(BU$99,1),예비비!$E158,0)-SUMIFS(예비비!$O$430:$O$729,예비비!$B$430:$B$729,예비비!$A158,예비비!$E$430:$E$729,"&lt;"&amp;EDATE(BU$99,1))),0)</f>
        <v>0</v>
      </c>
    </row>
    <row r="159">
      <c r="BA159">
        <v>103</v>
      </c>
      <c r="BB159">
        <f>IFERROR(INDEX(잔액!$A:$A,BA159),0)</f>
        <v>46143.0</v>
      </c>
      <c r="BH159">
        <f>IFERROR(IF(AND(BB159&gt;0,OR(COUNTIFS(예비비!$C$430:$C$729,BA159,예비비!$N$430:$N$729,"OK")&gt;0,AND(INDEX(잔액!$J:$J,BA159)="가족통장",INDEX(잔액!$K:$K,BA159)="미래에셋_WRAP형CMA"),COUNTIF(예비비!$A$8:$A$12,INDEX(잔액!$C:$C,BA159))=1,COUNTIF(예비비!$A$8:$A$12,INDEX(잔액!$D:$D,BA159))=1),OR(AND(BB159&gt;=예비비!$B$3,BB159&lt;EDATE(예비비!$B$3,1)),AND(BB159&lt;EDATE(예비비!$B$3,1),COUNTIFS(예비비!$C$430:$C$729,BA159,예비비!$L$430:$L$729,예비비!$B$3,예비비!$N$430:$N$729,"OK")&gt;0))),MAX($BH$120:BH158)+1,0),0)</f>
        <v>0</v>
      </c>
      <c r="BI159">
        <f>IF(예비비!$R159="OK",SUMIFS(예비비!$O$430:$O$729,예비비!$B$430:$B$729,예비비!$A159,예비비!$E$430:$E$729,"&lt;"&amp;EDATE(BI$99,1),예비비!$F$430:$F$729,"결제대금비")+MAX(0,IF(예비비!$D159&lt;EDATE(BI$99,1),예비비!$E159,0)-SUMIFS(예비비!$O$430:$O$729,예비비!$B$430:$B$729,예비비!$A159,예비비!$E$430:$E$729,"&lt;"&amp;EDATE(BI$99,1))),0)</f>
        <v>0</v>
      </c>
      <c r="BJ159">
        <f>IF(예비비!$R159="OK",SUMIFS(예비비!$O$430:$O$729,예비비!$B$430:$B$729,예비비!$A159,예비비!$E$430:$E$729,"&lt;"&amp;EDATE(BJ$99,1),예비비!$F$430:$F$729,"결제대금비")+MAX(0,IF(예비비!$D159&lt;EDATE(BJ$99,1),예비비!$E159,0)-SUMIFS(예비비!$O$430:$O$729,예비비!$B$430:$B$729,예비비!$A159,예비비!$E$430:$E$729,"&lt;"&amp;EDATE(BJ$99,1))),0)</f>
        <v>0</v>
      </c>
      <c r="BK159">
        <f>IF(예비비!$R159="OK",SUMIFS(예비비!$O$430:$O$729,예비비!$B$430:$B$729,예비비!$A159,예비비!$E$430:$E$729,"&lt;"&amp;EDATE(BK$99,1),예비비!$F$430:$F$729,"결제대금비")+MAX(0,IF(예비비!$D159&lt;EDATE(BK$99,1),예비비!$E159,0)-SUMIFS(예비비!$O$430:$O$729,예비비!$B$430:$B$729,예비비!$A159,예비비!$E$430:$E$729,"&lt;"&amp;EDATE(BK$99,1))),0)</f>
        <v>0</v>
      </c>
      <c r="BL159">
        <f>IF(예비비!$R159="OK",SUMIFS(예비비!$O$430:$O$729,예비비!$B$430:$B$729,예비비!$A159,예비비!$E$430:$E$729,"&lt;"&amp;EDATE(BL$99,1),예비비!$F$430:$F$729,"결제대금비")+MAX(0,IF(예비비!$D159&lt;EDATE(BL$99,1),예비비!$E159,0)-SUMIFS(예비비!$O$430:$O$729,예비비!$B$430:$B$729,예비비!$A159,예비비!$E$430:$E$729,"&lt;"&amp;EDATE(BL$99,1))),0)</f>
        <v>0</v>
      </c>
      <c r="BM159">
        <f>IF(예비비!$R159="OK",SUMIFS(예비비!$O$430:$O$729,예비비!$B$430:$B$729,예비비!$A159,예비비!$E$430:$E$729,"&lt;"&amp;EDATE(BM$99,1),예비비!$F$430:$F$729,"결제대금비")+MAX(0,IF(예비비!$D159&lt;EDATE(BM$99,1),예비비!$E159,0)-SUMIFS(예비비!$O$430:$O$729,예비비!$B$430:$B$729,예비비!$A159,예비비!$E$430:$E$729,"&lt;"&amp;EDATE(BM$99,1))),0)</f>
        <v>0</v>
      </c>
      <c r="BN159">
        <f>IF(예비비!$R159="OK",SUMIFS(예비비!$O$430:$O$729,예비비!$B$430:$B$729,예비비!$A159,예비비!$E$430:$E$729,"&lt;"&amp;EDATE(BN$99,1),예비비!$F$430:$F$729,"결제대금비")+MAX(0,IF(예비비!$D159&lt;EDATE(BN$99,1),예비비!$E159,0)-SUMIFS(예비비!$O$430:$O$729,예비비!$B$430:$B$729,예비비!$A159,예비비!$E$430:$E$729,"&lt;"&amp;EDATE(BN$99,1))),0)</f>
        <v>0</v>
      </c>
      <c r="BO159">
        <f>IF(예비비!$R159="OK",SUMIFS(예비비!$O$430:$O$729,예비비!$B$430:$B$729,예비비!$A159,예비비!$E$430:$E$729,"&lt;"&amp;EDATE(BO$99,1),예비비!$F$430:$F$729,"결제대금비")+MAX(0,IF(예비비!$D159&lt;EDATE(BO$99,1),예비비!$E159,0)-SUMIFS(예비비!$O$430:$O$729,예비비!$B$430:$B$729,예비비!$A159,예비비!$E$430:$E$729,"&lt;"&amp;EDATE(BO$99,1))),0)</f>
        <v>0</v>
      </c>
      <c r="BP159">
        <f>IF(예비비!$R159="OK",SUMIFS(예비비!$O$430:$O$729,예비비!$B$430:$B$729,예비비!$A159,예비비!$E$430:$E$729,"&lt;"&amp;EDATE(BP$99,1),예비비!$F$430:$F$729,"결제대금비")+MAX(0,IF(예비비!$D159&lt;EDATE(BP$99,1),예비비!$E159,0)-SUMIFS(예비비!$O$430:$O$729,예비비!$B$430:$B$729,예비비!$A159,예비비!$E$430:$E$729,"&lt;"&amp;EDATE(BP$99,1))),0)</f>
        <v>0</v>
      </c>
      <c r="BQ159">
        <f>IF(예비비!$R159="OK",SUMIFS(예비비!$O$430:$O$729,예비비!$B$430:$B$729,예비비!$A159,예비비!$E$430:$E$729,"&lt;"&amp;EDATE(BQ$99,1),예비비!$F$430:$F$729,"결제대금비")+MAX(0,IF(예비비!$D159&lt;EDATE(BQ$99,1),예비비!$E159,0)-SUMIFS(예비비!$O$430:$O$729,예비비!$B$430:$B$729,예비비!$A159,예비비!$E$430:$E$729,"&lt;"&amp;EDATE(BQ$99,1))),0)</f>
        <v>0</v>
      </c>
      <c r="BR159">
        <f>IF(예비비!$R159="OK",SUMIFS(예비비!$O$430:$O$729,예비비!$B$430:$B$729,예비비!$A159,예비비!$E$430:$E$729,"&lt;"&amp;EDATE(BR$99,1),예비비!$F$430:$F$729,"결제대금비")+MAX(0,IF(예비비!$D159&lt;EDATE(BR$99,1),예비비!$E159,0)-SUMIFS(예비비!$O$430:$O$729,예비비!$B$430:$B$729,예비비!$A159,예비비!$E$430:$E$729,"&lt;"&amp;EDATE(BR$99,1))),0)</f>
        <v>0</v>
      </c>
      <c r="BS159">
        <f>IF(예비비!$R159="OK",SUMIFS(예비비!$O$430:$O$729,예비비!$B$430:$B$729,예비비!$A159,예비비!$E$430:$E$729,"&lt;"&amp;EDATE(BS$99,1),예비비!$F$430:$F$729,"결제대금비")+MAX(0,IF(예비비!$D159&lt;EDATE(BS$99,1),예비비!$E159,0)-SUMIFS(예비비!$O$430:$O$729,예비비!$B$430:$B$729,예비비!$A159,예비비!$E$430:$E$729,"&lt;"&amp;EDATE(BS$99,1))),0)</f>
        <v>0</v>
      </c>
      <c r="BT159">
        <f>IF(예비비!$R159="OK",SUMIFS(예비비!$O$430:$O$729,예비비!$B$430:$B$729,예비비!$A159,예비비!$E$430:$E$729,"&lt;"&amp;EDATE(BT$99,1),예비비!$F$430:$F$729,"결제대금비")+MAX(0,IF(예비비!$D159&lt;EDATE(BT$99,1),예비비!$E159,0)-SUMIFS(예비비!$O$430:$O$729,예비비!$B$430:$B$729,예비비!$A159,예비비!$E$430:$E$729,"&lt;"&amp;EDATE(BT$99,1))),0)</f>
        <v>0</v>
      </c>
      <c r="BU159">
        <f>IF(예비비!$R159="OK",SUMIFS(예비비!$O$430:$O$729,예비비!$B$430:$B$729,예비비!$A159,예비비!$E$430:$E$729,"&lt;"&amp;EDATE(BU$99,1),예비비!$F$430:$F$729,"결제대금비")+MAX(0,IF(예비비!$D159&lt;EDATE(BU$99,1),예비비!$E159,0)-SUMIFS(예비비!$O$430:$O$729,예비비!$B$430:$B$729,예비비!$A159,예비비!$E$430:$E$729,"&lt;"&amp;EDATE(BU$99,1))),0)</f>
        <v>0</v>
      </c>
    </row>
    <row r="160">
      <c r="BA160">
        <v>104</v>
      </c>
      <c r="BB160">
        <f>IFERROR(INDEX(잔액!$A:$A,BA160),0)</f>
        <v>46143.0</v>
      </c>
      <c r="BH160">
        <f>IFERROR(IF(AND(BB160&gt;0,OR(COUNTIFS(예비비!$C$430:$C$729,BA160,예비비!$N$430:$N$729,"OK")&gt;0,AND(INDEX(잔액!$J:$J,BA160)="가족통장",INDEX(잔액!$K:$K,BA160)="미래에셋_WRAP형CMA"),COUNTIF(예비비!$A$8:$A$12,INDEX(잔액!$C:$C,BA160))=1,COUNTIF(예비비!$A$8:$A$12,INDEX(잔액!$D:$D,BA160))=1),OR(AND(BB160&gt;=예비비!$B$3,BB160&lt;EDATE(예비비!$B$3,1)),AND(BB160&lt;EDATE(예비비!$B$3,1),COUNTIFS(예비비!$C$430:$C$729,BA160,예비비!$L$430:$L$729,예비비!$B$3,예비비!$N$430:$N$729,"OK")&gt;0))),MAX($BH$120:BH159)+1,0),0)</f>
        <v>0</v>
      </c>
      <c r="BI160">
        <f>IF(예비비!$R160="OK",SUMIFS(예비비!$O$430:$O$729,예비비!$B$430:$B$729,예비비!$A160,예비비!$E$430:$E$729,"&lt;"&amp;EDATE(BI$99,1),예비비!$F$430:$F$729,"결제대금비")+MAX(0,IF(예비비!$D160&lt;EDATE(BI$99,1),예비비!$E160,0)-SUMIFS(예비비!$O$430:$O$729,예비비!$B$430:$B$729,예비비!$A160,예비비!$E$430:$E$729,"&lt;"&amp;EDATE(BI$99,1))),0)</f>
        <v>0</v>
      </c>
      <c r="BJ160">
        <f>IF(예비비!$R160="OK",SUMIFS(예비비!$O$430:$O$729,예비비!$B$430:$B$729,예비비!$A160,예비비!$E$430:$E$729,"&lt;"&amp;EDATE(BJ$99,1),예비비!$F$430:$F$729,"결제대금비")+MAX(0,IF(예비비!$D160&lt;EDATE(BJ$99,1),예비비!$E160,0)-SUMIFS(예비비!$O$430:$O$729,예비비!$B$430:$B$729,예비비!$A160,예비비!$E$430:$E$729,"&lt;"&amp;EDATE(BJ$99,1))),0)</f>
        <v>0</v>
      </c>
      <c r="BK160">
        <f>IF(예비비!$R160="OK",SUMIFS(예비비!$O$430:$O$729,예비비!$B$430:$B$729,예비비!$A160,예비비!$E$430:$E$729,"&lt;"&amp;EDATE(BK$99,1),예비비!$F$430:$F$729,"결제대금비")+MAX(0,IF(예비비!$D160&lt;EDATE(BK$99,1),예비비!$E160,0)-SUMIFS(예비비!$O$430:$O$729,예비비!$B$430:$B$729,예비비!$A160,예비비!$E$430:$E$729,"&lt;"&amp;EDATE(BK$99,1))),0)</f>
        <v>0</v>
      </c>
      <c r="BL160">
        <f>IF(예비비!$R160="OK",SUMIFS(예비비!$O$430:$O$729,예비비!$B$430:$B$729,예비비!$A160,예비비!$E$430:$E$729,"&lt;"&amp;EDATE(BL$99,1),예비비!$F$430:$F$729,"결제대금비")+MAX(0,IF(예비비!$D160&lt;EDATE(BL$99,1),예비비!$E160,0)-SUMIFS(예비비!$O$430:$O$729,예비비!$B$430:$B$729,예비비!$A160,예비비!$E$430:$E$729,"&lt;"&amp;EDATE(BL$99,1))),0)</f>
        <v>0</v>
      </c>
      <c r="BM160">
        <f>IF(예비비!$R160="OK",SUMIFS(예비비!$O$430:$O$729,예비비!$B$430:$B$729,예비비!$A160,예비비!$E$430:$E$729,"&lt;"&amp;EDATE(BM$99,1),예비비!$F$430:$F$729,"결제대금비")+MAX(0,IF(예비비!$D160&lt;EDATE(BM$99,1),예비비!$E160,0)-SUMIFS(예비비!$O$430:$O$729,예비비!$B$430:$B$729,예비비!$A160,예비비!$E$430:$E$729,"&lt;"&amp;EDATE(BM$99,1))),0)</f>
        <v>0</v>
      </c>
      <c r="BN160">
        <f>IF(예비비!$R160="OK",SUMIFS(예비비!$O$430:$O$729,예비비!$B$430:$B$729,예비비!$A160,예비비!$E$430:$E$729,"&lt;"&amp;EDATE(BN$99,1),예비비!$F$430:$F$729,"결제대금비")+MAX(0,IF(예비비!$D160&lt;EDATE(BN$99,1),예비비!$E160,0)-SUMIFS(예비비!$O$430:$O$729,예비비!$B$430:$B$729,예비비!$A160,예비비!$E$430:$E$729,"&lt;"&amp;EDATE(BN$99,1))),0)</f>
        <v>0</v>
      </c>
      <c r="BO160">
        <f>IF(예비비!$R160="OK",SUMIFS(예비비!$O$430:$O$729,예비비!$B$430:$B$729,예비비!$A160,예비비!$E$430:$E$729,"&lt;"&amp;EDATE(BO$99,1),예비비!$F$430:$F$729,"결제대금비")+MAX(0,IF(예비비!$D160&lt;EDATE(BO$99,1),예비비!$E160,0)-SUMIFS(예비비!$O$430:$O$729,예비비!$B$430:$B$729,예비비!$A160,예비비!$E$430:$E$729,"&lt;"&amp;EDATE(BO$99,1))),0)</f>
        <v>0</v>
      </c>
      <c r="BP160">
        <f>IF(예비비!$R160="OK",SUMIFS(예비비!$O$430:$O$729,예비비!$B$430:$B$729,예비비!$A160,예비비!$E$430:$E$729,"&lt;"&amp;EDATE(BP$99,1),예비비!$F$430:$F$729,"결제대금비")+MAX(0,IF(예비비!$D160&lt;EDATE(BP$99,1),예비비!$E160,0)-SUMIFS(예비비!$O$430:$O$729,예비비!$B$430:$B$729,예비비!$A160,예비비!$E$430:$E$729,"&lt;"&amp;EDATE(BP$99,1))),0)</f>
        <v>0</v>
      </c>
      <c r="BQ160">
        <f>IF(예비비!$R160="OK",SUMIFS(예비비!$O$430:$O$729,예비비!$B$430:$B$729,예비비!$A160,예비비!$E$430:$E$729,"&lt;"&amp;EDATE(BQ$99,1),예비비!$F$430:$F$729,"결제대금비")+MAX(0,IF(예비비!$D160&lt;EDATE(BQ$99,1),예비비!$E160,0)-SUMIFS(예비비!$O$430:$O$729,예비비!$B$430:$B$729,예비비!$A160,예비비!$E$430:$E$729,"&lt;"&amp;EDATE(BQ$99,1))),0)</f>
        <v>0</v>
      </c>
      <c r="BR160">
        <f>IF(예비비!$R160="OK",SUMIFS(예비비!$O$430:$O$729,예비비!$B$430:$B$729,예비비!$A160,예비비!$E$430:$E$729,"&lt;"&amp;EDATE(BR$99,1),예비비!$F$430:$F$729,"결제대금비")+MAX(0,IF(예비비!$D160&lt;EDATE(BR$99,1),예비비!$E160,0)-SUMIFS(예비비!$O$430:$O$729,예비비!$B$430:$B$729,예비비!$A160,예비비!$E$430:$E$729,"&lt;"&amp;EDATE(BR$99,1))),0)</f>
        <v>0</v>
      </c>
      <c r="BS160">
        <f>IF(예비비!$R160="OK",SUMIFS(예비비!$O$430:$O$729,예비비!$B$430:$B$729,예비비!$A160,예비비!$E$430:$E$729,"&lt;"&amp;EDATE(BS$99,1),예비비!$F$430:$F$729,"결제대금비")+MAX(0,IF(예비비!$D160&lt;EDATE(BS$99,1),예비비!$E160,0)-SUMIFS(예비비!$O$430:$O$729,예비비!$B$430:$B$729,예비비!$A160,예비비!$E$430:$E$729,"&lt;"&amp;EDATE(BS$99,1))),0)</f>
        <v>0</v>
      </c>
      <c r="BT160">
        <f>IF(예비비!$R160="OK",SUMIFS(예비비!$O$430:$O$729,예비비!$B$430:$B$729,예비비!$A160,예비비!$E$430:$E$729,"&lt;"&amp;EDATE(BT$99,1),예비비!$F$430:$F$729,"결제대금비")+MAX(0,IF(예비비!$D160&lt;EDATE(BT$99,1),예비비!$E160,0)-SUMIFS(예비비!$O$430:$O$729,예비비!$B$430:$B$729,예비비!$A160,예비비!$E$430:$E$729,"&lt;"&amp;EDATE(BT$99,1))),0)</f>
        <v>0</v>
      </c>
      <c r="BU160">
        <f>IF(예비비!$R160="OK",SUMIFS(예비비!$O$430:$O$729,예비비!$B$430:$B$729,예비비!$A160,예비비!$E$430:$E$729,"&lt;"&amp;EDATE(BU$99,1),예비비!$F$430:$F$729,"결제대금비")+MAX(0,IF(예비비!$D160&lt;EDATE(BU$99,1),예비비!$E160,0)-SUMIFS(예비비!$O$430:$O$729,예비비!$B$430:$B$729,예비비!$A160,예비비!$E$430:$E$729,"&lt;"&amp;EDATE(BU$99,1))),0)</f>
        <v>0</v>
      </c>
    </row>
    <row r="161">
      <c r="BA161">
        <v>105</v>
      </c>
      <c r="BB161">
        <f>IFERROR(INDEX(잔액!$A:$A,BA161),0)</f>
        <v>46143.0</v>
      </c>
      <c r="BH161">
        <f>IFERROR(IF(AND(BB161&gt;0,OR(COUNTIFS(예비비!$C$430:$C$729,BA161,예비비!$N$430:$N$729,"OK")&gt;0,AND(INDEX(잔액!$J:$J,BA161)="가족통장",INDEX(잔액!$K:$K,BA161)="미래에셋_WRAP형CMA"),COUNTIF(예비비!$A$8:$A$12,INDEX(잔액!$C:$C,BA161))=1,COUNTIF(예비비!$A$8:$A$12,INDEX(잔액!$D:$D,BA161))=1),OR(AND(BB161&gt;=예비비!$B$3,BB161&lt;EDATE(예비비!$B$3,1)),AND(BB161&lt;EDATE(예비비!$B$3,1),COUNTIFS(예비비!$C$430:$C$729,BA161,예비비!$L$430:$L$729,예비비!$B$3,예비비!$N$430:$N$729,"OK")&gt;0))),MAX($BH$120:BH160)+1,0),0)</f>
        <v>0</v>
      </c>
      <c r="BI161">
        <f>IF(예비비!$R161="OK",SUMIFS(예비비!$O$430:$O$729,예비비!$B$430:$B$729,예비비!$A161,예비비!$E$430:$E$729,"&lt;"&amp;EDATE(BI$99,1),예비비!$F$430:$F$729,"결제대금비")+MAX(0,IF(예비비!$D161&lt;EDATE(BI$99,1),예비비!$E161,0)-SUMIFS(예비비!$O$430:$O$729,예비비!$B$430:$B$729,예비비!$A161,예비비!$E$430:$E$729,"&lt;"&amp;EDATE(BI$99,1))),0)</f>
        <v>0</v>
      </c>
      <c r="BJ161">
        <f>IF(예비비!$R161="OK",SUMIFS(예비비!$O$430:$O$729,예비비!$B$430:$B$729,예비비!$A161,예비비!$E$430:$E$729,"&lt;"&amp;EDATE(BJ$99,1),예비비!$F$430:$F$729,"결제대금비")+MAX(0,IF(예비비!$D161&lt;EDATE(BJ$99,1),예비비!$E161,0)-SUMIFS(예비비!$O$430:$O$729,예비비!$B$430:$B$729,예비비!$A161,예비비!$E$430:$E$729,"&lt;"&amp;EDATE(BJ$99,1))),0)</f>
        <v>0</v>
      </c>
      <c r="BK161">
        <f>IF(예비비!$R161="OK",SUMIFS(예비비!$O$430:$O$729,예비비!$B$430:$B$729,예비비!$A161,예비비!$E$430:$E$729,"&lt;"&amp;EDATE(BK$99,1),예비비!$F$430:$F$729,"결제대금비")+MAX(0,IF(예비비!$D161&lt;EDATE(BK$99,1),예비비!$E161,0)-SUMIFS(예비비!$O$430:$O$729,예비비!$B$430:$B$729,예비비!$A161,예비비!$E$430:$E$729,"&lt;"&amp;EDATE(BK$99,1))),0)</f>
        <v>0</v>
      </c>
      <c r="BL161">
        <f>IF(예비비!$R161="OK",SUMIFS(예비비!$O$430:$O$729,예비비!$B$430:$B$729,예비비!$A161,예비비!$E$430:$E$729,"&lt;"&amp;EDATE(BL$99,1),예비비!$F$430:$F$729,"결제대금비")+MAX(0,IF(예비비!$D161&lt;EDATE(BL$99,1),예비비!$E161,0)-SUMIFS(예비비!$O$430:$O$729,예비비!$B$430:$B$729,예비비!$A161,예비비!$E$430:$E$729,"&lt;"&amp;EDATE(BL$99,1))),0)</f>
        <v>0</v>
      </c>
      <c r="BM161">
        <f>IF(예비비!$R161="OK",SUMIFS(예비비!$O$430:$O$729,예비비!$B$430:$B$729,예비비!$A161,예비비!$E$430:$E$729,"&lt;"&amp;EDATE(BM$99,1),예비비!$F$430:$F$729,"결제대금비")+MAX(0,IF(예비비!$D161&lt;EDATE(BM$99,1),예비비!$E161,0)-SUMIFS(예비비!$O$430:$O$729,예비비!$B$430:$B$729,예비비!$A161,예비비!$E$430:$E$729,"&lt;"&amp;EDATE(BM$99,1))),0)</f>
        <v>0</v>
      </c>
      <c r="BN161">
        <f>IF(예비비!$R161="OK",SUMIFS(예비비!$O$430:$O$729,예비비!$B$430:$B$729,예비비!$A161,예비비!$E$430:$E$729,"&lt;"&amp;EDATE(BN$99,1),예비비!$F$430:$F$729,"결제대금비")+MAX(0,IF(예비비!$D161&lt;EDATE(BN$99,1),예비비!$E161,0)-SUMIFS(예비비!$O$430:$O$729,예비비!$B$430:$B$729,예비비!$A161,예비비!$E$430:$E$729,"&lt;"&amp;EDATE(BN$99,1))),0)</f>
        <v>0</v>
      </c>
      <c r="BO161">
        <f>IF(예비비!$R161="OK",SUMIFS(예비비!$O$430:$O$729,예비비!$B$430:$B$729,예비비!$A161,예비비!$E$430:$E$729,"&lt;"&amp;EDATE(BO$99,1),예비비!$F$430:$F$729,"결제대금비")+MAX(0,IF(예비비!$D161&lt;EDATE(BO$99,1),예비비!$E161,0)-SUMIFS(예비비!$O$430:$O$729,예비비!$B$430:$B$729,예비비!$A161,예비비!$E$430:$E$729,"&lt;"&amp;EDATE(BO$99,1))),0)</f>
        <v>0</v>
      </c>
      <c r="BP161">
        <f>IF(예비비!$R161="OK",SUMIFS(예비비!$O$430:$O$729,예비비!$B$430:$B$729,예비비!$A161,예비비!$E$430:$E$729,"&lt;"&amp;EDATE(BP$99,1),예비비!$F$430:$F$729,"결제대금비")+MAX(0,IF(예비비!$D161&lt;EDATE(BP$99,1),예비비!$E161,0)-SUMIFS(예비비!$O$430:$O$729,예비비!$B$430:$B$729,예비비!$A161,예비비!$E$430:$E$729,"&lt;"&amp;EDATE(BP$99,1))),0)</f>
        <v>0</v>
      </c>
      <c r="BQ161">
        <f>IF(예비비!$R161="OK",SUMIFS(예비비!$O$430:$O$729,예비비!$B$430:$B$729,예비비!$A161,예비비!$E$430:$E$729,"&lt;"&amp;EDATE(BQ$99,1),예비비!$F$430:$F$729,"결제대금비")+MAX(0,IF(예비비!$D161&lt;EDATE(BQ$99,1),예비비!$E161,0)-SUMIFS(예비비!$O$430:$O$729,예비비!$B$430:$B$729,예비비!$A161,예비비!$E$430:$E$729,"&lt;"&amp;EDATE(BQ$99,1))),0)</f>
        <v>0</v>
      </c>
      <c r="BR161">
        <f>IF(예비비!$R161="OK",SUMIFS(예비비!$O$430:$O$729,예비비!$B$430:$B$729,예비비!$A161,예비비!$E$430:$E$729,"&lt;"&amp;EDATE(BR$99,1),예비비!$F$430:$F$729,"결제대금비")+MAX(0,IF(예비비!$D161&lt;EDATE(BR$99,1),예비비!$E161,0)-SUMIFS(예비비!$O$430:$O$729,예비비!$B$430:$B$729,예비비!$A161,예비비!$E$430:$E$729,"&lt;"&amp;EDATE(BR$99,1))),0)</f>
        <v>0</v>
      </c>
      <c r="BS161">
        <f>IF(예비비!$R161="OK",SUMIFS(예비비!$O$430:$O$729,예비비!$B$430:$B$729,예비비!$A161,예비비!$E$430:$E$729,"&lt;"&amp;EDATE(BS$99,1),예비비!$F$430:$F$729,"결제대금비")+MAX(0,IF(예비비!$D161&lt;EDATE(BS$99,1),예비비!$E161,0)-SUMIFS(예비비!$O$430:$O$729,예비비!$B$430:$B$729,예비비!$A161,예비비!$E$430:$E$729,"&lt;"&amp;EDATE(BS$99,1))),0)</f>
        <v>0</v>
      </c>
      <c r="BT161">
        <f>IF(예비비!$R161="OK",SUMIFS(예비비!$O$430:$O$729,예비비!$B$430:$B$729,예비비!$A161,예비비!$E$430:$E$729,"&lt;"&amp;EDATE(BT$99,1),예비비!$F$430:$F$729,"결제대금비")+MAX(0,IF(예비비!$D161&lt;EDATE(BT$99,1),예비비!$E161,0)-SUMIFS(예비비!$O$430:$O$729,예비비!$B$430:$B$729,예비비!$A161,예비비!$E$430:$E$729,"&lt;"&amp;EDATE(BT$99,1))),0)</f>
        <v>0</v>
      </c>
      <c r="BU161">
        <f>IF(예비비!$R161="OK",SUMIFS(예비비!$O$430:$O$729,예비비!$B$430:$B$729,예비비!$A161,예비비!$E$430:$E$729,"&lt;"&amp;EDATE(BU$99,1),예비비!$F$430:$F$729,"결제대금비")+MAX(0,IF(예비비!$D161&lt;EDATE(BU$99,1),예비비!$E161,0)-SUMIFS(예비비!$O$430:$O$729,예비비!$B$430:$B$729,예비비!$A161,예비비!$E$430:$E$729,"&lt;"&amp;EDATE(BU$99,1))),0)</f>
        <v>0</v>
      </c>
    </row>
    <row r="162">
      <c r="BA162">
        <v>106</v>
      </c>
      <c r="BB162">
        <f>IFERROR(INDEX(잔액!$A:$A,BA162),0)</f>
        <v>46143.0</v>
      </c>
      <c r="BH162">
        <f>IFERROR(IF(AND(BB162&gt;0,OR(COUNTIFS(예비비!$C$430:$C$729,BA162,예비비!$N$430:$N$729,"OK")&gt;0,AND(INDEX(잔액!$J:$J,BA162)="가족통장",INDEX(잔액!$K:$K,BA162)="미래에셋_WRAP형CMA"),COUNTIF(예비비!$A$8:$A$12,INDEX(잔액!$C:$C,BA162))=1,COUNTIF(예비비!$A$8:$A$12,INDEX(잔액!$D:$D,BA162))=1),OR(AND(BB162&gt;=예비비!$B$3,BB162&lt;EDATE(예비비!$B$3,1)),AND(BB162&lt;EDATE(예비비!$B$3,1),COUNTIFS(예비비!$C$430:$C$729,BA162,예비비!$L$430:$L$729,예비비!$B$3,예비비!$N$430:$N$729,"OK")&gt;0))),MAX($BH$120:BH161)+1,0),0)</f>
        <v>0</v>
      </c>
      <c r="BI162">
        <f>IF(예비비!$R162="OK",SUMIFS(예비비!$O$430:$O$729,예비비!$B$430:$B$729,예비비!$A162,예비비!$E$430:$E$729,"&lt;"&amp;EDATE(BI$99,1),예비비!$F$430:$F$729,"결제대금비")+MAX(0,IF(예비비!$D162&lt;EDATE(BI$99,1),예비비!$E162,0)-SUMIFS(예비비!$O$430:$O$729,예비비!$B$430:$B$729,예비비!$A162,예비비!$E$430:$E$729,"&lt;"&amp;EDATE(BI$99,1))),0)</f>
        <v>0</v>
      </c>
      <c r="BJ162">
        <f>IF(예비비!$R162="OK",SUMIFS(예비비!$O$430:$O$729,예비비!$B$430:$B$729,예비비!$A162,예비비!$E$430:$E$729,"&lt;"&amp;EDATE(BJ$99,1),예비비!$F$430:$F$729,"결제대금비")+MAX(0,IF(예비비!$D162&lt;EDATE(BJ$99,1),예비비!$E162,0)-SUMIFS(예비비!$O$430:$O$729,예비비!$B$430:$B$729,예비비!$A162,예비비!$E$430:$E$729,"&lt;"&amp;EDATE(BJ$99,1))),0)</f>
        <v>0</v>
      </c>
      <c r="BK162">
        <f>IF(예비비!$R162="OK",SUMIFS(예비비!$O$430:$O$729,예비비!$B$430:$B$729,예비비!$A162,예비비!$E$430:$E$729,"&lt;"&amp;EDATE(BK$99,1),예비비!$F$430:$F$729,"결제대금비")+MAX(0,IF(예비비!$D162&lt;EDATE(BK$99,1),예비비!$E162,0)-SUMIFS(예비비!$O$430:$O$729,예비비!$B$430:$B$729,예비비!$A162,예비비!$E$430:$E$729,"&lt;"&amp;EDATE(BK$99,1))),0)</f>
        <v>0</v>
      </c>
      <c r="BL162">
        <f>IF(예비비!$R162="OK",SUMIFS(예비비!$O$430:$O$729,예비비!$B$430:$B$729,예비비!$A162,예비비!$E$430:$E$729,"&lt;"&amp;EDATE(BL$99,1),예비비!$F$430:$F$729,"결제대금비")+MAX(0,IF(예비비!$D162&lt;EDATE(BL$99,1),예비비!$E162,0)-SUMIFS(예비비!$O$430:$O$729,예비비!$B$430:$B$729,예비비!$A162,예비비!$E$430:$E$729,"&lt;"&amp;EDATE(BL$99,1))),0)</f>
        <v>0</v>
      </c>
      <c r="BM162">
        <f>IF(예비비!$R162="OK",SUMIFS(예비비!$O$430:$O$729,예비비!$B$430:$B$729,예비비!$A162,예비비!$E$430:$E$729,"&lt;"&amp;EDATE(BM$99,1),예비비!$F$430:$F$729,"결제대금비")+MAX(0,IF(예비비!$D162&lt;EDATE(BM$99,1),예비비!$E162,0)-SUMIFS(예비비!$O$430:$O$729,예비비!$B$430:$B$729,예비비!$A162,예비비!$E$430:$E$729,"&lt;"&amp;EDATE(BM$99,1))),0)</f>
        <v>0</v>
      </c>
      <c r="BN162">
        <f>IF(예비비!$R162="OK",SUMIFS(예비비!$O$430:$O$729,예비비!$B$430:$B$729,예비비!$A162,예비비!$E$430:$E$729,"&lt;"&amp;EDATE(BN$99,1),예비비!$F$430:$F$729,"결제대금비")+MAX(0,IF(예비비!$D162&lt;EDATE(BN$99,1),예비비!$E162,0)-SUMIFS(예비비!$O$430:$O$729,예비비!$B$430:$B$729,예비비!$A162,예비비!$E$430:$E$729,"&lt;"&amp;EDATE(BN$99,1))),0)</f>
        <v>0</v>
      </c>
      <c r="BO162">
        <f>IF(예비비!$R162="OK",SUMIFS(예비비!$O$430:$O$729,예비비!$B$430:$B$729,예비비!$A162,예비비!$E$430:$E$729,"&lt;"&amp;EDATE(BO$99,1),예비비!$F$430:$F$729,"결제대금비")+MAX(0,IF(예비비!$D162&lt;EDATE(BO$99,1),예비비!$E162,0)-SUMIFS(예비비!$O$430:$O$729,예비비!$B$430:$B$729,예비비!$A162,예비비!$E$430:$E$729,"&lt;"&amp;EDATE(BO$99,1))),0)</f>
        <v>0</v>
      </c>
      <c r="BP162">
        <f>IF(예비비!$R162="OK",SUMIFS(예비비!$O$430:$O$729,예비비!$B$430:$B$729,예비비!$A162,예비비!$E$430:$E$729,"&lt;"&amp;EDATE(BP$99,1),예비비!$F$430:$F$729,"결제대금비")+MAX(0,IF(예비비!$D162&lt;EDATE(BP$99,1),예비비!$E162,0)-SUMIFS(예비비!$O$430:$O$729,예비비!$B$430:$B$729,예비비!$A162,예비비!$E$430:$E$729,"&lt;"&amp;EDATE(BP$99,1))),0)</f>
        <v>0</v>
      </c>
      <c r="BQ162">
        <f>IF(예비비!$R162="OK",SUMIFS(예비비!$O$430:$O$729,예비비!$B$430:$B$729,예비비!$A162,예비비!$E$430:$E$729,"&lt;"&amp;EDATE(BQ$99,1),예비비!$F$430:$F$729,"결제대금비")+MAX(0,IF(예비비!$D162&lt;EDATE(BQ$99,1),예비비!$E162,0)-SUMIFS(예비비!$O$430:$O$729,예비비!$B$430:$B$729,예비비!$A162,예비비!$E$430:$E$729,"&lt;"&amp;EDATE(BQ$99,1))),0)</f>
        <v>0</v>
      </c>
      <c r="BR162">
        <f>IF(예비비!$R162="OK",SUMIFS(예비비!$O$430:$O$729,예비비!$B$430:$B$729,예비비!$A162,예비비!$E$430:$E$729,"&lt;"&amp;EDATE(BR$99,1),예비비!$F$430:$F$729,"결제대금비")+MAX(0,IF(예비비!$D162&lt;EDATE(BR$99,1),예비비!$E162,0)-SUMIFS(예비비!$O$430:$O$729,예비비!$B$430:$B$729,예비비!$A162,예비비!$E$430:$E$729,"&lt;"&amp;EDATE(BR$99,1))),0)</f>
        <v>0</v>
      </c>
      <c r="BS162">
        <f>IF(예비비!$R162="OK",SUMIFS(예비비!$O$430:$O$729,예비비!$B$430:$B$729,예비비!$A162,예비비!$E$430:$E$729,"&lt;"&amp;EDATE(BS$99,1),예비비!$F$430:$F$729,"결제대금비")+MAX(0,IF(예비비!$D162&lt;EDATE(BS$99,1),예비비!$E162,0)-SUMIFS(예비비!$O$430:$O$729,예비비!$B$430:$B$729,예비비!$A162,예비비!$E$430:$E$729,"&lt;"&amp;EDATE(BS$99,1))),0)</f>
        <v>0</v>
      </c>
      <c r="BT162">
        <f>IF(예비비!$R162="OK",SUMIFS(예비비!$O$430:$O$729,예비비!$B$430:$B$729,예비비!$A162,예비비!$E$430:$E$729,"&lt;"&amp;EDATE(BT$99,1),예비비!$F$430:$F$729,"결제대금비")+MAX(0,IF(예비비!$D162&lt;EDATE(BT$99,1),예비비!$E162,0)-SUMIFS(예비비!$O$430:$O$729,예비비!$B$430:$B$729,예비비!$A162,예비비!$E$430:$E$729,"&lt;"&amp;EDATE(BT$99,1))),0)</f>
        <v>0</v>
      </c>
      <c r="BU162">
        <f>IF(예비비!$R162="OK",SUMIFS(예비비!$O$430:$O$729,예비비!$B$430:$B$729,예비비!$A162,예비비!$E$430:$E$729,"&lt;"&amp;EDATE(BU$99,1),예비비!$F$430:$F$729,"결제대금비")+MAX(0,IF(예비비!$D162&lt;EDATE(BU$99,1),예비비!$E162,0)-SUMIFS(예비비!$O$430:$O$729,예비비!$B$430:$B$729,예비비!$A162,예비비!$E$430:$E$729,"&lt;"&amp;EDATE(BU$99,1))),0)</f>
        <v>0</v>
      </c>
    </row>
    <row r="163">
      <c r="BA163">
        <v>107</v>
      </c>
      <c r="BB163">
        <f>IFERROR(INDEX(잔액!$A:$A,BA163),0)</f>
        <v>46143.0</v>
      </c>
      <c r="BH163">
        <f>IFERROR(IF(AND(BB163&gt;0,OR(COUNTIFS(예비비!$C$430:$C$729,BA163,예비비!$N$430:$N$729,"OK")&gt;0,AND(INDEX(잔액!$J:$J,BA163)="가족통장",INDEX(잔액!$K:$K,BA163)="미래에셋_WRAP형CMA"),COUNTIF(예비비!$A$8:$A$12,INDEX(잔액!$C:$C,BA163))=1,COUNTIF(예비비!$A$8:$A$12,INDEX(잔액!$D:$D,BA163))=1),OR(AND(BB163&gt;=예비비!$B$3,BB163&lt;EDATE(예비비!$B$3,1)),AND(BB163&lt;EDATE(예비비!$B$3,1),COUNTIFS(예비비!$C$430:$C$729,BA163,예비비!$L$430:$L$729,예비비!$B$3,예비비!$N$430:$N$729,"OK")&gt;0))),MAX($BH$120:BH162)+1,0),0)</f>
        <v>0</v>
      </c>
      <c r="BI163">
        <f>IF(예비비!$R163="OK",SUMIFS(예비비!$O$430:$O$729,예비비!$B$430:$B$729,예비비!$A163,예비비!$E$430:$E$729,"&lt;"&amp;EDATE(BI$99,1),예비비!$F$430:$F$729,"결제대금비")+MAX(0,IF(예비비!$D163&lt;EDATE(BI$99,1),예비비!$E163,0)-SUMIFS(예비비!$O$430:$O$729,예비비!$B$430:$B$729,예비비!$A163,예비비!$E$430:$E$729,"&lt;"&amp;EDATE(BI$99,1))),0)</f>
        <v>0</v>
      </c>
      <c r="BJ163">
        <f>IF(예비비!$R163="OK",SUMIFS(예비비!$O$430:$O$729,예비비!$B$430:$B$729,예비비!$A163,예비비!$E$430:$E$729,"&lt;"&amp;EDATE(BJ$99,1),예비비!$F$430:$F$729,"결제대금비")+MAX(0,IF(예비비!$D163&lt;EDATE(BJ$99,1),예비비!$E163,0)-SUMIFS(예비비!$O$430:$O$729,예비비!$B$430:$B$729,예비비!$A163,예비비!$E$430:$E$729,"&lt;"&amp;EDATE(BJ$99,1))),0)</f>
        <v>0</v>
      </c>
      <c r="BK163">
        <f>IF(예비비!$R163="OK",SUMIFS(예비비!$O$430:$O$729,예비비!$B$430:$B$729,예비비!$A163,예비비!$E$430:$E$729,"&lt;"&amp;EDATE(BK$99,1),예비비!$F$430:$F$729,"결제대금비")+MAX(0,IF(예비비!$D163&lt;EDATE(BK$99,1),예비비!$E163,0)-SUMIFS(예비비!$O$430:$O$729,예비비!$B$430:$B$729,예비비!$A163,예비비!$E$430:$E$729,"&lt;"&amp;EDATE(BK$99,1))),0)</f>
        <v>0</v>
      </c>
      <c r="BL163">
        <f>IF(예비비!$R163="OK",SUMIFS(예비비!$O$430:$O$729,예비비!$B$430:$B$729,예비비!$A163,예비비!$E$430:$E$729,"&lt;"&amp;EDATE(BL$99,1),예비비!$F$430:$F$729,"결제대금비")+MAX(0,IF(예비비!$D163&lt;EDATE(BL$99,1),예비비!$E163,0)-SUMIFS(예비비!$O$430:$O$729,예비비!$B$430:$B$729,예비비!$A163,예비비!$E$430:$E$729,"&lt;"&amp;EDATE(BL$99,1))),0)</f>
        <v>0</v>
      </c>
      <c r="BM163">
        <f>IF(예비비!$R163="OK",SUMIFS(예비비!$O$430:$O$729,예비비!$B$430:$B$729,예비비!$A163,예비비!$E$430:$E$729,"&lt;"&amp;EDATE(BM$99,1),예비비!$F$430:$F$729,"결제대금비")+MAX(0,IF(예비비!$D163&lt;EDATE(BM$99,1),예비비!$E163,0)-SUMIFS(예비비!$O$430:$O$729,예비비!$B$430:$B$729,예비비!$A163,예비비!$E$430:$E$729,"&lt;"&amp;EDATE(BM$99,1))),0)</f>
        <v>0</v>
      </c>
      <c r="BN163">
        <f>IF(예비비!$R163="OK",SUMIFS(예비비!$O$430:$O$729,예비비!$B$430:$B$729,예비비!$A163,예비비!$E$430:$E$729,"&lt;"&amp;EDATE(BN$99,1),예비비!$F$430:$F$729,"결제대금비")+MAX(0,IF(예비비!$D163&lt;EDATE(BN$99,1),예비비!$E163,0)-SUMIFS(예비비!$O$430:$O$729,예비비!$B$430:$B$729,예비비!$A163,예비비!$E$430:$E$729,"&lt;"&amp;EDATE(BN$99,1))),0)</f>
        <v>0</v>
      </c>
      <c r="BO163">
        <f>IF(예비비!$R163="OK",SUMIFS(예비비!$O$430:$O$729,예비비!$B$430:$B$729,예비비!$A163,예비비!$E$430:$E$729,"&lt;"&amp;EDATE(BO$99,1),예비비!$F$430:$F$729,"결제대금비")+MAX(0,IF(예비비!$D163&lt;EDATE(BO$99,1),예비비!$E163,0)-SUMIFS(예비비!$O$430:$O$729,예비비!$B$430:$B$729,예비비!$A163,예비비!$E$430:$E$729,"&lt;"&amp;EDATE(BO$99,1))),0)</f>
        <v>0</v>
      </c>
      <c r="BP163">
        <f>IF(예비비!$R163="OK",SUMIFS(예비비!$O$430:$O$729,예비비!$B$430:$B$729,예비비!$A163,예비비!$E$430:$E$729,"&lt;"&amp;EDATE(BP$99,1),예비비!$F$430:$F$729,"결제대금비")+MAX(0,IF(예비비!$D163&lt;EDATE(BP$99,1),예비비!$E163,0)-SUMIFS(예비비!$O$430:$O$729,예비비!$B$430:$B$729,예비비!$A163,예비비!$E$430:$E$729,"&lt;"&amp;EDATE(BP$99,1))),0)</f>
        <v>0</v>
      </c>
      <c r="BQ163">
        <f>IF(예비비!$R163="OK",SUMIFS(예비비!$O$430:$O$729,예비비!$B$430:$B$729,예비비!$A163,예비비!$E$430:$E$729,"&lt;"&amp;EDATE(BQ$99,1),예비비!$F$430:$F$729,"결제대금비")+MAX(0,IF(예비비!$D163&lt;EDATE(BQ$99,1),예비비!$E163,0)-SUMIFS(예비비!$O$430:$O$729,예비비!$B$430:$B$729,예비비!$A163,예비비!$E$430:$E$729,"&lt;"&amp;EDATE(BQ$99,1))),0)</f>
        <v>0</v>
      </c>
      <c r="BR163">
        <f>IF(예비비!$R163="OK",SUMIFS(예비비!$O$430:$O$729,예비비!$B$430:$B$729,예비비!$A163,예비비!$E$430:$E$729,"&lt;"&amp;EDATE(BR$99,1),예비비!$F$430:$F$729,"결제대금비")+MAX(0,IF(예비비!$D163&lt;EDATE(BR$99,1),예비비!$E163,0)-SUMIFS(예비비!$O$430:$O$729,예비비!$B$430:$B$729,예비비!$A163,예비비!$E$430:$E$729,"&lt;"&amp;EDATE(BR$99,1))),0)</f>
        <v>0</v>
      </c>
      <c r="BS163">
        <f>IF(예비비!$R163="OK",SUMIFS(예비비!$O$430:$O$729,예비비!$B$430:$B$729,예비비!$A163,예비비!$E$430:$E$729,"&lt;"&amp;EDATE(BS$99,1),예비비!$F$430:$F$729,"결제대금비")+MAX(0,IF(예비비!$D163&lt;EDATE(BS$99,1),예비비!$E163,0)-SUMIFS(예비비!$O$430:$O$729,예비비!$B$430:$B$729,예비비!$A163,예비비!$E$430:$E$729,"&lt;"&amp;EDATE(BS$99,1))),0)</f>
        <v>0</v>
      </c>
      <c r="BT163">
        <f>IF(예비비!$R163="OK",SUMIFS(예비비!$O$430:$O$729,예비비!$B$430:$B$729,예비비!$A163,예비비!$E$430:$E$729,"&lt;"&amp;EDATE(BT$99,1),예비비!$F$430:$F$729,"결제대금비")+MAX(0,IF(예비비!$D163&lt;EDATE(BT$99,1),예비비!$E163,0)-SUMIFS(예비비!$O$430:$O$729,예비비!$B$430:$B$729,예비비!$A163,예비비!$E$430:$E$729,"&lt;"&amp;EDATE(BT$99,1))),0)</f>
        <v>0</v>
      </c>
      <c r="BU163">
        <f>IF(예비비!$R163="OK",SUMIFS(예비비!$O$430:$O$729,예비비!$B$430:$B$729,예비비!$A163,예비비!$E$430:$E$729,"&lt;"&amp;EDATE(BU$99,1),예비비!$F$430:$F$729,"결제대금비")+MAX(0,IF(예비비!$D163&lt;EDATE(BU$99,1),예비비!$E163,0)-SUMIFS(예비비!$O$430:$O$729,예비비!$B$430:$B$729,예비비!$A163,예비비!$E$430:$E$729,"&lt;"&amp;EDATE(BU$99,1))),0)</f>
        <v>0</v>
      </c>
    </row>
    <row r="164">
      <c r="BA164">
        <v>108</v>
      </c>
      <c r="BB164">
        <f>IFERROR(INDEX(잔액!$A:$A,BA164),0)</f>
        <v>46143.0</v>
      </c>
      <c r="BH164">
        <f>IFERROR(IF(AND(BB164&gt;0,OR(COUNTIFS(예비비!$C$430:$C$729,BA164,예비비!$N$430:$N$729,"OK")&gt;0,AND(INDEX(잔액!$J:$J,BA164)="가족통장",INDEX(잔액!$K:$K,BA164)="미래에셋_WRAP형CMA"),COUNTIF(예비비!$A$8:$A$12,INDEX(잔액!$C:$C,BA164))=1,COUNTIF(예비비!$A$8:$A$12,INDEX(잔액!$D:$D,BA164))=1),OR(AND(BB164&gt;=예비비!$B$3,BB164&lt;EDATE(예비비!$B$3,1)),AND(BB164&lt;EDATE(예비비!$B$3,1),COUNTIFS(예비비!$C$430:$C$729,BA164,예비비!$L$430:$L$729,예비비!$B$3,예비비!$N$430:$N$729,"OK")&gt;0))),MAX($BH$120:BH163)+1,0),0)</f>
        <v>0</v>
      </c>
      <c r="BI164">
        <f>IF(예비비!$R164="OK",SUMIFS(예비비!$O$430:$O$729,예비비!$B$430:$B$729,예비비!$A164,예비비!$E$430:$E$729,"&lt;"&amp;EDATE(BI$99,1),예비비!$F$430:$F$729,"결제대금비")+MAX(0,IF(예비비!$D164&lt;EDATE(BI$99,1),예비비!$E164,0)-SUMIFS(예비비!$O$430:$O$729,예비비!$B$430:$B$729,예비비!$A164,예비비!$E$430:$E$729,"&lt;"&amp;EDATE(BI$99,1))),0)</f>
        <v>0</v>
      </c>
      <c r="BJ164">
        <f>IF(예비비!$R164="OK",SUMIFS(예비비!$O$430:$O$729,예비비!$B$430:$B$729,예비비!$A164,예비비!$E$430:$E$729,"&lt;"&amp;EDATE(BJ$99,1),예비비!$F$430:$F$729,"결제대금비")+MAX(0,IF(예비비!$D164&lt;EDATE(BJ$99,1),예비비!$E164,0)-SUMIFS(예비비!$O$430:$O$729,예비비!$B$430:$B$729,예비비!$A164,예비비!$E$430:$E$729,"&lt;"&amp;EDATE(BJ$99,1))),0)</f>
        <v>0</v>
      </c>
      <c r="BK164">
        <f>IF(예비비!$R164="OK",SUMIFS(예비비!$O$430:$O$729,예비비!$B$430:$B$729,예비비!$A164,예비비!$E$430:$E$729,"&lt;"&amp;EDATE(BK$99,1),예비비!$F$430:$F$729,"결제대금비")+MAX(0,IF(예비비!$D164&lt;EDATE(BK$99,1),예비비!$E164,0)-SUMIFS(예비비!$O$430:$O$729,예비비!$B$430:$B$729,예비비!$A164,예비비!$E$430:$E$729,"&lt;"&amp;EDATE(BK$99,1))),0)</f>
        <v>0</v>
      </c>
      <c r="BL164">
        <f>IF(예비비!$R164="OK",SUMIFS(예비비!$O$430:$O$729,예비비!$B$430:$B$729,예비비!$A164,예비비!$E$430:$E$729,"&lt;"&amp;EDATE(BL$99,1),예비비!$F$430:$F$729,"결제대금비")+MAX(0,IF(예비비!$D164&lt;EDATE(BL$99,1),예비비!$E164,0)-SUMIFS(예비비!$O$430:$O$729,예비비!$B$430:$B$729,예비비!$A164,예비비!$E$430:$E$729,"&lt;"&amp;EDATE(BL$99,1))),0)</f>
        <v>0</v>
      </c>
      <c r="BM164">
        <f>IF(예비비!$R164="OK",SUMIFS(예비비!$O$430:$O$729,예비비!$B$430:$B$729,예비비!$A164,예비비!$E$430:$E$729,"&lt;"&amp;EDATE(BM$99,1),예비비!$F$430:$F$729,"결제대금비")+MAX(0,IF(예비비!$D164&lt;EDATE(BM$99,1),예비비!$E164,0)-SUMIFS(예비비!$O$430:$O$729,예비비!$B$430:$B$729,예비비!$A164,예비비!$E$430:$E$729,"&lt;"&amp;EDATE(BM$99,1))),0)</f>
        <v>0</v>
      </c>
      <c r="BN164">
        <f>IF(예비비!$R164="OK",SUMIFS(예비비!$O$430:$O$729,예비비!$B$430:$B$729,예비비!$A164,예비비!$E$430:$E$729,"&lt;"&amp;EDATE(BN$99,1),예비비!$F$430:$F$729,"결제대금비")+MAX(0,IF(예비비!$D164&lt;EDATE(BN$99,1),예비비!$E164,0)-SUMIFS(예비비!$O$430:$O$729,예비비!$B$430:$B$729,예비비!$A164,예비비!$E$430:$E$729,"&lt;"&amp;EDATE(BN$99,1))),0)</f>
        <v>0</v>
      </c>
      <c r="BO164">
        <f>IF(예비비!$R164="OK",SUMIFS(예비비!$O$430:$O$729,예비비!$B$430:$B$729,예비비!$A164,예비비!$E$430:$E$729,"&lt;"&amp;EDATE(BO$99,1),예비비!$F$430:$F$729,"결제대금비")+MAX(0,IF(예비비!$D164&lt;EDATE(BO$99,1),예비비!$E164,0)-SUMIFS(예비비!$O$430:$O$729,예비비!$B$430:$B$729,예비비!$A164,예비비!$E$430:$E$729,"&lt;"&amp;EDATE(BO$99,1))),0)</f>
        <v>0</v>
      </c>
      <c r="BP164">
        <f>IF(예비비!$R164="OK",SUMIFS(예비비!$O$430:$O$729,예비비!$B$430:$B$729,예비비!$A164,예비비!$E$430:$E$729,"&lt;"&amp;EDATE(BP$99,1),예비비!$F$430:$F$729,"결제대금비")+MAX(0,IF(예비비!$D164&lt;EDATE(BP$99,1),예비비!$E164,0)-SUMIFS(예비비!$O$430:$O$729,예비비!$B$430:$B$729,예비비!$A164,예비비!$E$430:$E$729,"&lt;"&amp;EDATE(BP$99,1))),0)</f>
        <v>0</v>
      </c>
      <c r="BQ164">
        <f>IF(예비비!$R164="OK",SUMIFS(예비비!$O$430:$O$729,예비비!$B$430:$B$729,예비비!$A164,예비비!$E$430:$E$729,"&lt;"&amp;EDATE(BQ$99,1),예비비!$F$430:$F$729,"결제대금비")+MAX(0,IF(예비비!$D164&lt;EDATE(BQ$99,1),예비비!$E164,0)-SUMIFS(예비비!$O$430:$O$729,예비비!$B$430:$B$729,예비비!$A164,예비비!$E$430:$E$729,"&lt;"&amp;EDATE(BQ$99,1))),0)</f>
        <v>0</v>
      </c>
      <c r="BR164">
        <f>IF(예비비!$R164="OK",SUMIFS(예비비!$O$430:$O$729,예비비!$B$430:$B$729,예비비!$A164,예비비!$E$430:$E$729,"&lt;"&amp;EDATE(BR$99,1),예비비!$F$430:$F$729,"결제대금비")+MAX(0,IF(예비비!$D164&lt;EDATE(BR$99,1),예비비!$E164,0)-SUMIFS(예비비!$O$430:$O$729,예비비!$B$430:$B$729,예비비!$A164,예비비!$E$430:$E$729,"&lt;"&amp;EDATE(BR$99,1))),0)</f>
        <v>0</v>
      </c>
      <c r="BS164">
        <f>IF(예비비!$R164="OK",SUMIFS(예비비!$O$430:$O$729,예비비!$B$430:$B$729,예비비!$A164,예비비!$E$430:$E$729,"&lt;"&amp;EDATE(BS$99,1),예비비!$F$430:$F$729,"결제대금비")+MAX(0,IF(예비비!$D164&lt;EDATE(BS$99,1),예비비!$E164,0)-SUMIFS(예비비!$O$430:$O$729,예비비!$B$430:$B$729,예비비!$A164,예비비!$E$430:$E$729,"&lt;"&amp;EDATE(BS$99,1))),0)</f>
        <v>0</v>
      </c>
      <c r="BT164">
        <f>IF(예비비!$R164="OK",SUMIFS(예비비!$O$430:$O$729,예비비!$B$430:$B$729,예비비!$A164,예비비!$E$430:$E$729,"&lt;"&amp;EDATE(BT$99,1),예비비!$F$430:$F$729,"결제대금비")+MAX(0,IF(예비비!$D164&lt;EDATE(BT$99,1),예비비!$E164,0)-SUMIFS(예비비!$O$430:$O$729,예비비!$B$430:$B$729,예비비!$A164,예비비!$E$430:$E$729,"&lt;"&amp;EDATE(BT$99,1))),0)</f>
        <v>0</v>
      </c>
      <c r="BU164">
        <f>IF(예비비!$R164="OK",SUMIFS(예비비!$O$430:$O$729,예비비!$B$430:$B$729,예비비!$A164,예비비!$E$430:$E$729,"&lt;"&amp;EDATE(BU$99,1),예비비!$F$430:$F$729,"결제대금비")+MAX(0,IF(예비비!$D164&lt;EDATE(BU$99,1),예비비!$E164,0)-SUMIFS(예비비!$O$430:$O$729,예비비!$B$430:$B$729,예비비!$A164,예비비!$E$430:$E$729,"&lt;"&amp;EDATE(BU$99,1))),0)</f>
        <v>0</v>
      </c>
    </row>
    <row r="165">
      <c r="BA165">
        <v>109</v>
      </c>
      <c r="BB165">
        <f>IFERROR(INDEX(잔액!$A:$A,BA165),0)</f>
        <v>46143.0</v>
      </c>
      <c r="BH165">
        <f>IFERROR(IF(AND(BB165&gt;0,OR(COUNTIFS(예비비!$C$430:$C$729,BA165,예비비!$N$430:$N$729,"OK")&gt;0,AND(INDEX(잔액!$J:$J,BA165)="가족통장",INDEX(잔액!$K:$K,BA165)="미래에셋_WRAP형CMA"),COUNTIF(예비비!$A$8:$A$12,INDEX(잔액!$C:$C,BA165))=1,COUNTIF(예비비!$A$8:$A$12,INDEX(잔액!$D:$D,BA165))=1),OR(AND(BB165&gt;=예비비!$B$3,BB165&lt;EDATE(예비비!$B$3,1)),AND(BB165&lt;EDATE(예비비!$B$3,1),COUNTIFS(예비비!$C$430:$C$729,BA165,예비비!$L$430:$L$729,예비비!$B$3,예비비!$N$430:$N$729,"OK")&gt;0))),MAX($BH$120:BH164)+1,0),0)</f>
        <v>0</v>
      </c>
      <c r="BI165">
        <f>IF(예비비!$R165="OK",SUMIFS(예비비!$O$430:$O$729,예비비!$B$430:$B$729,예비비!$A165,예비비!$E$430:$E$729,"&lt;"&amp;EDATE(BI$99,1),예비비!$F$430:$F$729,"결제대금비")+MAX(0,IF(예비비!$D165&lt;EDATE(BI$99,1),예비비!$E165,0)-SUMIFS(예비비!$O$430:$O$729,예비비!$B$430:$B$729,예비비!$A165,예비비!$E$430:$E$729,"&lt;"&amp;EDATE(BI$99,1))),0)</f>
        <v>0</v>
      </c>
      <c r="BJ165">
        <f>IF(예비비!$R165="OK",SUMIFS(예비비!$O$430:$O$729,예비비!$B$430:$B$729,예비비!$A165,예비비!$E$430:$E$729,"&lt;"&amp;EDATE(BJ$99,1),예비비!$F$430:$F$729,"결제대금비")+MAX(0,IF(예비비!$D165&lt;EDATE(BJ$99,1),예비비!$E165,0)-SUMIFS(예비비!$O$430:$O$729,예비비!$B$430:$B$729,예비비!$A165,예비비!$E$430:$E$729,"&lt;"&amp;EDATE(BJ$99,1))),0)</f>
        <v>0</v>
      </c>
      <c r="BK165">
        <f>IF(예비비!$R165="OK",SUMIFS(예비비!$O$430:$O$729,예비비!$B$430:$B$729,예비비!$A165,예비비!$E$430:$E$729,"&lt;"&amp;EDATE(BK$99,1),예비비!$F$430:$F$729,"결제대금비")+MAX(0,IF(예비비!$D165&lt;EDATE(BK$99,1),예비비!$E165,0)-SUMIFS(예비비!$O$430:$O$729,예비비!$B$430:$B$729,예비비!$A165,예비비!$E$430:$E$729,"&lt;"&amp;EDATE(BK$99,1))),0)</f>
        <v>0</v>
      </c>
      <c r="BL165">
        <f>IF(예비비!$R165="OK",SUMIFS(예비비!$O$430:$O$729,예비비!$B$430:$B$729,예비비!$A165,예비비!$E$430:$E$729,"&lt;"&amp;EDATE(BL$99,1),예비비!$F$430:$F$729,"결제대금비")+MAX(0,IF(예비비!$D165&lt;EDATE(BL$99,1),예비비!$E165,0)-SUMIFS(예비비!$O$430:$O$729,예비비!$B$430:$B$729,예비비!$A165,예비비!$E$430:$E$729,"&lt;"&amp;EDATE(BL$99,1))),0)</f>
        <v>0</v>
      </c>
      <c r="BM165">
        <f>IF(예비비!$R165="OK",SUMIFS(예비비!$O$430:$O$729,예비비!$B$430:$B$729,예비비!$A165,예비비!$E$430:$E$729,"&lt;"&amp;EDATE(BM$99,1),예비비!$F$430:$F$729,"결제대금비")+MAX(0,IF(예비비!$D165&lt;EDATE(BM$99,1),예비비!$E165,0)-SUMIFS(예비비!$O$430:$O$729,예비비!$B$430:$B$729,예비비!$A165,예비비!$E$430:$E$729,"&lt;"&amp;EDATE(BM$99,1))),0)</f>
        <v>0</v>
      </c>
      <c r="BN165">
        <f>IF(예비비!$R165="OK",SUMIFS(예비비!$O$430:$O$729,예비비!$B$430:$B$729,예비비!$A165,예비비!$E$430:$E$729,"&lt;"&amp;EDATE(BN$99,1),예비비!$F$430:$F$729,"결제대금비")+MAX(0,IF(예비비!$D165&lt;EDATE(BN$99,1),예비비!$E165,0)-SUMIFS(예비비!$O$430:$O$729,예비비!$B$430:$B$729,예비비!$A165,예비비!$E$430:$E$729,"&lt;"&amp;EDATE(BN$99,1))),0)</f>
        <v>0</v>
      </c>
      <c r="BO165">
        <f>IF(예비비!$R165="OK",SUMIFS(예비비!$O$430:$O$729,예비비!$B$430:$B$729,예비비!$A165,예비비!$E$430:$E$729,"&lt;"&amp;EDATE(BO$99,1),예비비!$F$430:$F$729,"결제대금비")+MAX(0,IF(예비비!$D165&lt;EDATE(BO$99,1),예비비!$E165,0)-SUMIFS(예비비!$O$430:$O$729,예비비!$B$430:$B$729,예비비!$A165,예비비!$E$430:$E$729,"&lt;"&amp;EDATE(BO$99,1))),0)</f>
        <v>0</v>
      </c>
      <c r="BP165">
        <f>IF(예비비!$R165="OK",SUMIFS(예비비!$O$430:$O$729,예비비!$B$430:$B$729,예비비!$A165,예비비!$E$430:$E$729,"&lt;"&amp;EDATE(BP$99,1),예비비!$F$430:$F$729,"결제대금비")+MAX(0,IF(예비비!$D165&lt;EDATE(BP$99,1),예비비!$E165,0)-SUMIFS(예비비!$O$430:$O$729,예비비!$B$430:$B$729,예비비!$A165,예비비!$E$430:$E$729,"&lt;"&amp;EDATE(BP$99,1))),0)</f>
        <v>0</v>
      </c>
      <c r="BQ165">
        <f>IF(예비비!$R165="OK",SUMIFS(예비비!$O$430:$O$729,예비비!$B$430:$B$729,예비비!$A165,예비비!$E$430:$E$729,"&lt;"&amp;EDATE(BQ$99,1),예비비!$F$430:$F$729,"결제대금비")+MAX(0,IF(예비비!$D165&lt;EDATE(BQ$99,1),예비비!$E165,0)-SUMIFS(예비비!$O$430:$O$729,예비비!$B$430:$B$729,예비비!$A165,예비비!$E$430:$E$729,"&lt;"&amp;EDATE(BQ$99,1))),0)</f>
        <v>0</v>
      </c>
      <c r="BR165">
        <f>IF(예비비!$R165="OK",SUMIFS(예비비!$O$430:$O$729,예비비!$B$430:$B$729,예비비!$A165,예비비!$E$430:$E$729,"&lt;"&amp;EDATE(BR$99,1),예비비!$F$430:$F$729,"결제대금비")+MAX(0,IF(예비비!$D165&lt;EDATE(BR$99,1),예비비!$E165,0)-SUMIFS(예비비!$O$430:$O$729,예비비!$B$430:$B$729,예비비!$A165,예비비!$E$430:$E$729,"&lt;"&amp;EDATE(BR$99,1))),0)</f>
        <v>0</v>
      </c>
      <c r="BS165">
        <f>IF(예비비!$R165="OK",SUMIFS(예비비!$O$430:$O$729,예비비!$B$430:$B$729,예비비!$A165,예비비!$E$430:$E$729,"&lt;"&amp;EDATE(BS$99,1),예비비!$F$430:$F$729,"결제대금비")+MAX(0,IF(예비비!$D165&lt;EDATE(BS$99,1),예비비!$E165,0)-SUMIFS(예비비!$O$430:$O$729,예비비!$B$430:$B$729,예비비!$A165,예비비!$E$430:$E$729,"&lt;"&amp;EDATE(BS$99,1))),0)</f>
        <v>0</v>
      </c>
      <c r="BT165">
        <f>IF(예비비!$R165="OK",SUMIFS(예비비!$O$430:$O$729,예비비!$B$430:$B$729,예비비!$A165,예비비!$E$430:$E$729,"&lt;"&amp;EDATE(BT$99,1),예비비!$F$430:$F$729,"결제대금비")+MAX(0,IF(예비비!$D165&lt;EDATE(BT$99,1),예비비!$E165,0)-SUMIFS(예비비!$O$430:$O$729,예비비!$B$430:$B$729,예비비!$A165,예비비!$E$430:$E$729,"&lt;"&amp;EDATE(BT$99,1))),0)</f>
        <v>0</v>
      </c>
      <c r="BU165">
        <f>IF(예비비!$R165="OK",SUMIFS(예비비!$O$430:$O$729,예비비!$B$430:$B$729,예비비!$A165,예비비!$E$430:$E$729,"&lt;"&amp;EDATE(BU$99,1),예비비!$F$430:$F$729,"결제대금비")+MAX(0,IF(예비비!$D165&lt;EDATE(BU$99,1),예비비!$E165,0)-SUMIFS(예비비!$O$430:$O$729,예비비!$B$430:$B$729,예비비!$A165,예비비!$E$430:$E$729,"&lt;"&amp;EDATE(BU$99,1))),0)</f>
        <v>0</v>
      </c>
    </row>
    <row r="166">
      <c r="BA166">
        <v>110</v>
      </c>
      <c r="BB166">
        <f>IFERROR(INDEX(잔액!$A:$A,BA166),0)</f>
        <v>46143.0</v>
      </c>
      <c r="BH166">
        <f>IFERROR(IF(AND(BB166&gt;0,OR(COUNTIFS(예비비!$C$430:$C$729,BA166,예비비!$N$430:$N$729,"OK")&gt;0,AND(INDEX(잔액!$J:$J,BA166)="가족통장",INDEX(잔액!$K:$K,BA166)="미래에셋_WRAP형CMA"),COUNTIF(예비비!$A$8:$A$12,INDEX(잔액!$C:$C,BA166))=1,COUNTIF(예비비!$A$8:$A$12,INDEX(잔액!$D:$D,BA166))=1),OR(AND(BB166&gt;=예비비!$B$3,BB166&lt;EDATE(예비비!$B$3,1)),AND(BB166&lt;EDATE(예비비!$B$3,1),COUNTIFS(예비비!$C$430:$C$729,BA166,예비비!$L$430:$L$729,예비비!$B$3,예비비!$N$430:$N$729,"OK")&gt;0))),MAX($BH$120:BH165)+1,0),0)</f>
        <v>0</v>
      </c>
      <c r="BI166">
        <f>IF(예비비!$R166="OK",SUMIFS(예비비!$O$430:$O$729,예비비!$B$430:$B$729,예비비!$A166,예비비!$E$430:$E$729,"&lt;"&amp;EDATE(BI$99,1),예비비!$F$430:$F$729,"결제대금비")+MAX(0,IF(예비비!$D166&lt;EDATE(BI$99,1),예비비!$E166,0)-SUMIFS(예비비!$O$430:$O$729,예비비!$B$430:$B$729,예비비!$A166,예비비!$E$430:$E$729,"&lt;"&amp;EDATE(BI$99,1))),0)</f>
        <v>0</v>
      </c>
      <c r="BJ166">
        <f>IF(예비비!$R166="OK",SUMIFS(예비비!$O$430:$O$729,예비비!$B$430:$B$729,예비비!$A166,예비비!$E$430:$E$729,"&lt;"&amp;EDATE(BJ$99,1),예비비!$F$430:$F$729,"결제대금비")+MAX(0,IF(예비비!$D166&lt;EDATE(BJ$99,1),예비비!$E166,0)-SUMIFS(예비비!$O$430:$O$729,예비비!$B$430:$B$729,예비비!$A166,예비비!$E$430:$E$729,"&lt;"&amp;EDATE(BJ$99,1))),0)</f>
        <v>0</v>
      </c>
      <c r="BK166">
        <f>IF(예비비!$R166="OK",SUMIFS(예비비!$O$430:$O$729,예비비!$B$430:$B$729,예비비!$A166,예비비!$E$430:$E$729,"&lt;"&amp;EDATE(BK$99,1),예비비!$F$430:$F$729,"결제대금비")+MAX(0,IF(예비비!$D166&lt;EDATE(BK$99,1),예비비!$E166,0)-SUMIFS(예비비!$O$430:$O$729,예비비!$B$430:$B$729,예비비!$A166,예비비!$E$430:$E$729,"&lt;"&amp;EDATE(BK$99,1))),0)</f>
        <v>0</v>
      </c>
      <c r="BL166">
        <f>IF(예비비!$R166="OK",SUMIFS(예비비!$O$430:$O$729,예비비!$B$430:$B$729,예비비!$A166,예비비!$E$430:$E$729,"&lt;"&amp;EDATE(BL$99,1),예비비!$F$430:$F$729,"결제대금비")+MAX(0,IF(예비비!$D166&lt;EDATE(BL$99,1),예비비!$E166,0)-SUMIFS(예비비!$O$430:$O$729,예비비!$B$430:$B$729,예비비!$A166,예비비!$E$430:$E$729,"&lt;"&amp;EDATE(BL$99,1))),0)</f>
        <v>0</v>
      </c>
      <c r="BM166">
        <f>IF(예비비!$R166="OK",SUMIFS(예비비!$O$430:$O$729,예비비!$B$430:$B$729,예비비!$A166,예비비!$E$430:$E$729,"&lt;"&amp;EDATE(BM$99,1),예비비!$F$430:$F$729,"결제대금비")+MAX(0,IF(예비비!$D166&lt;EDATE(BM$99,1),예비비!$E166,0)-SUMIFS(예비비!$O$430:$O$729,예비비!$B$430:$B$729,예비비!$A166,예비비!$E$430:$E$729,"&lt;"&amp;EDATE(BM$99,1))),0)</f>
        <v>0</v>
      </c>
      <c r="BN166">
        <f>IF(예비비!$R166="OK",SUMIFS(예비비!$O$430:$O$729,예비비!$B$430:$B$729,예비비!$A166,예비비!$E$430:$E$729,"&lt;"&amp;EDATE(BN$99,1),예비비!$F$430:$F$729,"결제대금비")+MAX(0,IF(예비비!$D166&lt;EDATE(BN$99,1),예비비!$E166,0)-SUMIFS(예비비!$O$430:$O$729,예비비!$B$430:$B$729,예비비!$A166,예비비!$E$430:$E$729,"&lt;"&amp;EDATE(BN$99,1))),0)</f>
        <v>0</v>
      </c>
      <c r="BO166">
        <f>IF(예비비!$R166="OK",SUMIFS(예비비!$O$430:$O$729,예비비!$B$430:$B$729,예비비!$A166,예비비!$E$430:$E$729,"&lt;"&amp;EDATE(BO$99,1),예비비!$F$430:$F$729,"결제대금비")+MAX(0,IF(예비비!$D166&lt;EDATE(BO$99,1),예비비!$E166,0)-SUMIFS(예비비!$O$430:$O$729,예비비!$B$430:$B$729,예비비!$A166,예비비!$E$430:$E$729,"&lt;"&amp;EDATE(BO$99,1))),0)</f>
        <v>0</v>
      </c>
      <c r="BP166">
        <f>IF(예비비!$R166="OK",SUMIFS(예비비!$O$430:$O$729,예비비!$B$430:$B$729,예비비!$A166,예비비!$E$430:$E$729,"&lt;"&amp;EDATE(BP$99,1),예비비!$F$430:$F$729,"결제대금비")+MAX(0,IF(예비비!$D166&lt;EDATE(BP$99,1),예비비!$E166,0)-SUMIFS(예비비!$O$430:$O$729,예비비!$B$430:$B$729,예비비!$A166,예비비!$E$430:$E$729,"&lt;"&amp;EDATE(BP$99,1))),0)</f>
        <v>0</v>
      </c>
      <c r="BQ166">
        <f>IF(예비비!$R166="OK",SUMIFS(예비비!$O$430:$O$729,예비비!$B$430:$B$729,예비비!$A166,예비비!$E$430:$E$729,"&lt;"&amp;EDATE(BQ$99,1),예비비!$F$430:$F$729,"결제대금비")+MAX(0,IF(예비비!$D166&lt;EDATE(BQ$99,1),예비비!$E166,0)-SUMIFS(예비비!$O$430:$O$729,예비비!$B$430:$B$729,예비비!$A166,예비비!$E$430:$E$729,"&lt;"&amp;EDATE(BQ$99,1))),0)</f>
        <v>0</v>
      </c>
      <c r="BR166">
        <f>IF(예비비!$R166="OK",SUMIFS(예비비!$O$430:$O$729,예비비!$B$430:$B$729,예비비!$A166,예비비!$E$430:$E$729,"&lt;"&amp;EDATE(BR$99,1),예비비!$F$430:$F$729,"결제대금비")+MAX(0,IF(예비비!$D166&lt;EDATE(BR$99,1),예비비!$E166,0)-SUMIFS(예비비!$O$430:$O$729,예비비!$B$430:$B$729,예비비!$A166,예비비!$E$430:$E$729,"&lt;"&amp;EDATE(BR$99,1))),0)</f>
        <v>0</v>
      </c>
      <c r="BS166">
        <f>IF(예비비!$R166="OK",SUMIFS(예비비!$O$430:$O$729,예비비!$B$430:$B$729,예비비!$A166,예비비!$E$430:$E$729,"&lt;"&amp;EDATE(BS$99,1),예비비!$F$430:$F$729,"결제대금비")+MAX(0,IF(예비비!$D166&lt;EDATE(BS$99,1),예비비!$E166,0)-SUMIFS(예비비!$O$430:$O$729,예비비!$B$430:$B$729,예비비!$A166,예비비!$E$430:$E$729,"&lt;"&amp;EDATE(BS$99,1))),0)</f>
        <v>0</v>
      </c>
      <c r="BT166">
        <f>IF(예비비!$R166="OK",SUMIFS(예비비!$O$430:$O$729,예비비!$B$430:$B$729,예비비!$A166,예비비!$E$430:$E$729,"&lt;"&amp;EDATE(BT$99,1),예비비!$F$430:$F$729,"결제대금비")+MAX(0,IF(예비비!$D166&lt;EDATE(BT$99,1),예비비!$E166,0)-SUMIFS(예비비!$O$430:$O$729,예비비!$B$430:$B$729,예비비!$A166,예비비!$E$430:$E$729,"&lt;"&amp;EDATE(BT$99,1))),0)</f>
        <v>0</v>
      </c>
      <c r="BU166">
        <f>IF(예비비!$R166="OK",SUMIFS(예비비!$O$430:$O$729,예비비!$B$430:$B$729,예비비!$A166,예비비!$E$430:$E$729,"&lt;"&amp;EDATE(BU$99,1),예비비!$F$430:$F$729,"결제대금비")+MAX(0,IF(예비비!$D166&lt;EDATE(BU$99,1),예비비!$E166,0)-SUMIFS(예비비!$O$430:$O$729,예비비!$B$430:$B$729,예비비!$A166,예비비!$E$430:$E$729,"&lt;"&amp;EDATE(BU$99,1))),0)</f>
        <v>0</v>
      </c>
    </row>
    <row r="167">
      <c r="BA167">
        <v>111</v>
      </c>
      <c r="BB167">
        <f>IFERROR(INDEX(잔액!$A:$A,BA167),0)</f>
        <v>46143.0</v>
      </c>
      <c r="BH167">
        <f>IFERROR(IF(AND(BB167&gt;0,OR(COUNTIFS(예비비!$C$430:$C$729,BA167,예비비!$N$430:$N$729,"OK")&gt;0,AND(INDEX(잔액!$J:$J,BA167)="가족통장",INDEX(잔액!$K:$K,BA167)="미래에셋_WRAP형CMA"),COUNTIF(예비비!$A$8:$A$12,INDEX(잔액!$C:$C,BA167))=1,COUNTIF(예비비!$A$8:$A$12,INDEX(잔액!$D:$D,BA167))=1),OR(AND(BB167&gt;=예비비!$B$3,BB167&lt;EDATE(예비비!$B$3,1)),AND(BB167&lt;EDATE(예비비!$B$3,1),COUNTIFS(예비비!$C$430:$C$729,BA167,예비비!$L$430:$L$729,예비비!$B$3,예비비!$N$430:$N$729,"OK")&gt;0))),MAX($BH$120:BH166)+1,0),0)</f>
        <v>0</v>
      </c>
      <c r="BI167">
        <f>IF(예비비!$R167="OK",SUMIFS(예비비!$O$430:$O$729,예비비!$B$430:$B$729,예비비!$A167,예비비!$E$430:$E$729,"&lt;"&amp;EDATE(BI$99,1),예비비!$F$430:$F$729,"결제대금비")+MAX(0,IF(예비비!$D167&lt;EDATE(BI$99,1),예비비!$E167,0)-SUMIFS(예비비!$O$430:$O$729,예비비!$B$430:$B$729,예비비!$A167,예비비!$E$430:$E$729,"&lt;"&amp;EDATE(BI$99,1))),0)</f>
        <v>0</v>
      </c>
      <c r="BJ167">
        <f>IF(예비비!$R167="OK",SUMIFS(예비비!$O$430:$O$729,예비비!$B$430:$B$729,예비비!$A167,예비비!$E$430:$E$729,"&lt;"&amp;EDATE(BJ$99,1),예비비!$F$430:$F$729,"결제대금비")+MAX(0,IF(예비비!$D167&lt;EDATE(BJ$99,1),예비비!$E167,0)-SUMIFS(예비비!$O$430:$O$729,예비비!$B$430:$B$729,예비비!$A167,예비비!$E$430:$E$729,"&lt;"&amp;EDATE(BJ$99,1))),0)</f>
        <v>0</v>
      </c>
      <c r="BK167">
        <f>IF(예비비!$R167="OK",SUMIFS(예비비!$O$430:$O$729,예비비!$B$430:$B$729,예비비!$A167,예비비!$E$430:$E$729,"&lt;"&amp;EDATE(BK$99,1),예비비!$F$430:$F$729,"결제대금비")+MAX(0,IF(예비비!$D167&lt;EDATE(BK$99,1),예비비!$E167,0)-SUMIFS(예비비!$O$430:$O$729,예비비!$B$430:$B$729,예비비!$A167,예비비!$E$430:$E$729,"&lt;"&amp;EDATE(BK$99,1))),0)</f>
        <v>0</v>
      </c>
      <c r="BL167">
        <f>IF(예비비!$R167="OK",SUMIFS(예비비!$O$430:$O$729,예비비!$B$430:$B$729,예비비!$A167,예비비!$E$430:$E$729,"&lt;"&amp;EDATE(BL$99,1),예비비!$F$430:$F$729,"결제대금비")+MAX(0,IF(예비비!$D167&lt;EDATE(BL$99,1),예비비!$E167,0)-SUMIFS(예비비!$O$430:$O$729,예비비!$B$430:$B$729,예비비!$A167,예비비!$E$430:$E$729,"&lt;"&amp;EDATE(BL$99,1))),0)</f>
        <v>0</v>
      </c>
      <c r="BM167">
        <f>IF(예비비!$R167="OK",SUMIFS(예비비!$O$430:$O$729,예비비!$B$430:$B$729,예비비!$A167,예비비!$E$430:$E$729,"&lt;"&amp;EDATE(BM$99,1),예비비!$F$430:$F$729,"결제대금비")+MAX(0,IF(예비비!$D167&lt;EDATE(BM$99,1),예비비!$E167,0)-SUMIFS(예비비!$O$430:$O$729,예비비!$B$430:$B$729,예비비!$A167,예비비!$E$430:$E$729,"&lt;"&amp;EDATE(BM$99,1))),0)</f>
        <v>0</v>
      </c>
      <c r="BN167">
        <f>IF(예비비!$R167="OK",SUMIFS(예비비!$O$430:$O$729,예비비!$B$430:$B$729,예비비!$A167,예비비!$E$430:$E$729,"&lt;"&amp;EDATE(BN$99,1),예비비!$F$430:$F$729,"결제대금비")+MAX(0,IF(예비비!$D167&lt;EDATE(BN$99,1),예비비!$E167,0)-SUMIFS(예비비!$O$430:$O$729,예비비!$B$430:$B$729,예비비!$A167,예비비!$E$430:$E$729,"&lt;"&amp;EDATE(BN$99,1))),0)</f>
        <v>0</v>
      </c>
      <c r="BO167">
        <f>IF(예비비!$R167="OK",SUMIFS(예비비!$O$430:$O$729,예비비!$B$430:$B$729,예비비!$A167,예비비!$E$430:$E$729,"&lt;"&amp;EDATE(BO$99,1),예비비!$F$430:$F$729,"결제대금비")+MAX(0,IF(예비비!$D167&lt;EDATE(BO$99,1),예비비!$E167,0)-SUMIFS(예비비!$O$430:$O$729,예비비!$B$430:$B$729,예비비!$A167,예비비!$E$430:$E$729,"&lt;"&amp;EDATE(BO$99,1))),0)</f>
        <v>0</v>
      </c>
      <c r="BP167">
        <f>IF(예비비!$R167="OK",SUMIFS(예비비!$O$430:$O$729,예비비!$B$430:$B$729,예비비!$A167,예비비!$E$430:$E$729,"&lt;"&amp;EDATE(BP$99,1),예비비!$F$430:$F$729,"결제대금비")+MAX(0,IF(예비비!$D167&lt;EDATE(BP$99,1),예비비!$E167,0)-SUMIFS(예비비!$O$430:$O$729,예비비!$B$430:$B$729,예비비!$A167,예비비!$E$430:$E$729,"&lt;"&amp;EDATE(BP$99,1))),0)</f>
        <v>0</v>
      </c>
      <c r="BQ167">
        <f>IF(예비비!$R167="OK",SUMIFS(예비비!$O$430:$O$729,예비비!$B$430:$B$729,예비비!$A167,예비비!$E$430:$E$729,"&lt;"&amp;EDATE(BQ$99,1),예비비!$F$430:$F$729,"결제대금비")+MAX(0,IF(예비비!$D167&lt;EDATE(BQ$99,1),예비비!$E167,0)-SUMIFS(예비비!$O$430:$O$729,예비비!$B$430:$B$729,예비비!$A167,예비비!$E$430:$E$729,"&lt;"&amp;EDATE(BQ$99,1))),0)</f>
        <v>0</v>
      </c>
      <c r="BR167">
        <f>IF(예비비!$R167="OK",SUMIFS(예비비!$O$430:$O$729,예비비!$B$430:$B$729,예비비!$A167,예비비!$E$430:$E$729,"&lt;"&amp;EDATE(BR$99,1),예비비!$F$430:$F$729,"결제대금비")+MAX(0,IF(예비비!$D167&lt;EDATE(BR$99,1),예비비!$E167,0)-SUMIFS(예비비!$O$430:$O$729,예비비!$B$430:$B$729,예비비!$A167,예비비!$E$430:$E$729,"&lt;"&amp;EDATE(BR$99,1))),0)</f>
        <v>0</v>
      </c>
      <c r="BS167">
        <f>IF(예비비!$R167="OK",SUMIFS(예비비!$O$430:$O$729,예비비!$B$430:$B$729,예비비!$A167,예비비!$E$430:$E$729,"&lt;"&amp;EDATE(BS$99,1),예비비!$F$430:$F$729,"결제대금비")+MAX(0,IF(예비비!$D167&lt;EDATE(BS$99,1),예비비!$E167,0)-SUMIFS(예비비!$O$430:$O$729,예비비!$B$430:$B$729,예비비!$A167,예비비!$E$430:$E$729,"&lt;"&amp;EDATE(BS$99,1))),0)</f>
        <v>0</v>
      </c>
      <c r="BT167">
        <f>IF(예비비!$R167="OK",SUMIFS(예비비!$O$430:$O$729,예비비!$B$430:$B$729,예비비!$A167,예비비!$E$430:$E$729,"&lt;"&amp;EDATE(BT$99,1),예비비!$F$430:$F$729,"결제대금비")+MAX(0,IF(예비비!$D167&lt;EDATE(BT$99,1),예비비!$E167,0)-SUMIFS(예비비!$O$430:$O$729,예비비!$B$430:$B$729,예비비!$A167,예비비!$E$430:$E$729,"&lt;"&amp;EDATE(BT$99,1))),0)</f>
        <v>0</v>
      </c>
      <c r="BU167">
        <f>IF(예비비!$R167="OK",SUMIFS(예비비!$O$430:$O$729,예비비!$B$430:$B$729,예비비!$A167,예비비!$E$430:$E$729,"&lt;"&amp;EDATE(BU$99,1),예비비!$F$430:$F$729,"결제대금비")+MAX(0,IF(예비비!$D167&lt;EDATE(BU$99,1),예비비!$E167,0)-SUMIFS(예비비!$O$430:$O$729,예비비!$B$430:$B$729,예비비!$A167,예비비!$E$430:$E$729,"&lt;"&amp;EDATE(BU$99,1))),0)</f>
        <v>0</v>
      </c>
    </row>
    <row r="168">
      <c r="BA168">
        <v>112</v>
      </c>
      <c r="BB168">
        <f>IFERROR(INDEX(잔액!$A:$A,BA168),0)</f>
        <v>46143.0</v>
      </c>
      <c r="BH168">
        <f>IFERROR(IF(AND(BB168&gt;0,OR(COUNTIFS(예비비!$C$430:$C$729,BA168,예비비!$N$430:$N$729,"OK")&gt;0,AND(INDEX(잔액!$J:$J,BA168)="가족통장",INDEX(잔액!$K:$K,BA168)="미래에셋_WRAP형CMA"),COUNTIF(예비비!$A$8:$A$12,INDEX(잔액!$C:$C,BA168))=1,COUNTIF(예비비!$A$8:$A$12,INDEX(잔액!$D:$D,BA168))=1),OR(AND(BB168&gt;=예비비!$B$3,BB168&lt;EDATE(예비비!$B$3,1)),AND(BB168&lt;EDATE(예비비!$B$3,1),COUNTIFS(예비비!$C$430:$C$729,BA168,예비비!$L$430:$L$729,예비비!$B$3,예비비!$N$430:$N$729,"OK")&gt;0))),MAX($BH$120:BH167)+1,0),0)</f>
        <v>0</v>
      </c>
      <c r="BI168">
        <f>IF(예비비!$R168="OK",SUMIFS(예비비!$O$430:$O$729,예비비!$B$430:$B$729,예비비!$A168,예비비!$E$430:$E$729,"&lt;"&amp;EDATE(BI$99,1),예비비!$F$430:$F$729,"결제대금비")+MAX(0,IF(예비비!$D168&lt;EDATE(BI$99,1),예비비!$E168,0)-SUMIFS(예비비!$O$430:$O$729,예비비!$B$430:$B$729,예비비!$A168,예비비!$E$430:$E$729,"&lt;"&amp;EDATE(BI$99,1))),0)</f>
        <v>0</v>
      </c>
      <c r="BJ168">
        <f>IF(예비비!$R168="OK",SUMIFS(예비비!$O$430:$O$729,예비비!$B$430:$B$729,예비비!$A168,예비비!$E$430:$E$729,"&lt;"&amp;EDATE(BJ$99,1),예비비!$F$430:$F$729,"결제대금비")+MAX(0,IF(예비비!$D168&lt;EDATE(BJ$99,1),예비비!$E168,0)-SUMIFS(예비비!$O$430:$O$729,예비비!$B$430:$B$729,예비비!$A168,예비비!$E$430:$E$729,"&lt;"&amp;EDATE(BJ$99,1))),0)</f>
        <v>0</v>
      </c>
      <c r="BK168">
        <f>IF(예비비!$R168="OK",SUMIFS(예비비!$O$430:$O$729,예비비!$B$430:$B$729,예비비!$A168,예비비!$E$430:$E$729,"&lt;"&amp;EDATE(BK$99,1),예비비!$F$430:$F$729,"결제대금비")+MAX(0,IF(예비비!$D168&lt;EDATE(BK$99,1),예비비!$E168,0)-SUMIFS(예비비!$O$430:$O$729,예비비!$B$430:$B$729,예비비!$A168,예비비!$E$430:$E$729,"&lt;"&amp;EDATE(BK$99,1))),0)</f>
        <v>0</v>
      </c>
      <c r="BL168">
        <f>IF(예비비!$R168="OK",SUMIFS(예비비!$O$430:$O$729,예비비!$B$430:$B$729,예비비!$A168,예비비!$E$430:$E$729,"&lt;"&amp;EDATE(BL$99,1),예비비!$F$430:$F$729,"결제대금비")+MAX(0,IF(예비비!$D168&lt;EDATE(BL$99,1),예비비!$E168,0)-SUMIFS(예비비!$O$430:$O$729,예비비!$B$430:$B$729,예비비!$A168,예비비!$E$430:$E$729,"&lt;"&amp;EDATE(BL$99,1))),0)</f>
        <v>0</v>
      </c>
      <c r="BM168">
        <f>IF(예비비!$R168="OK",SUMIFS(예비비!$O$430:$O$729,예비비!$B$430:$B$729,예비비!$A168,예비비!$E$430:$E$729,"&lt;"&amp;EDATE(BM$99,1),예비비!$F$430:$F$729,"결제대금비")+MAX(0,IF(예비비!$D168&lt;EDATE(BM$99,1),예비비!$E168,0)-SUMIFS(예비비!$O$430:$O$729,예비비!$B$430:$B$729,예비비!$A168,예비비!$E$430:$E$729,"&lt;"&amp;EDATE(BM$99,1))),0)</f>
        <v>0</v>
      </c>
      <c r="BN168">
        <f>IF(예비비!$R168="OK",SUMIFS(예비비!$O$430:$O$729,예비비!$B$430:$B$729,예비비!$A168,예비비!$E$430:$E$729,"&lt;"&amp;EDATE(BN$99,1),예비비!$F$430:$F$729,"결제대금비")+MAX(0,IF(예비비!$D168&lt;EDATE(BN$99,1),예비비!$E168,0)-SUMIFS(예비비!$O$430:$O$729,예비비!$B$430:$B$729,예비비!$A168,예비비!$E$430:$E$729,"&lt;"&amp;EDATE(BN$99,1))),0)</f>
        <v>0</v>
      </c>
      <c r="BO168">
        <f>IF(예비비!$R168="OK",SUMIFS(예비비!$O$430:$O$729,예비비!$B$430:$B$729,예비비!$A168,예비비!$E$430:$E$729,"&lt;"&amp;EDATE(BO$99,1),예비비!$F$430:$F$729,"결제대금비")+MAX(0,IF(예비비!$D168&lt;EDATE(BO$99,1),예비비!$E168,0)-SUMIFS(예비비!$O$430:$O$729,예비비!$B$430:$B$729,예비비!$A168,예비비!$E$430:$E$729,"&lt;"&amp;EDATE(BO$99,1))),0)</f>
        <v>0</v>
      </c>
      <c r="BP168">
        <f>IF(예비비!$R168="OK",SUMIFS(예비비!$O$430:$O$729,예비비!$B$430:$B$729,예비비!$A168,예비비!$E$430:$E$729,"&lt;"&amp;EDATE(BP$99,1),예비비!$F$430:$F$729,"결제대금비")+MAX(0,IF(예비비!$D168&lt;EDATE(BP$99,1),예비비!$E168,0)-SUMIFS(예비비!$O$430:$O$729,예비비!$B$430:$B$729,예비비!$A168,예비비!$E$430:$E$729,"&lt;"&amp;EDATE(BP$99,1))),0)</f>
        <v>0</v>
      </c>
      <c r="BQ168">
        <f>IF(예비비!$R168="OK",SUMIFS(예비비!$O$430:$O$729,예비비!$B$430:$B$729,예비비!$A168,예비비!$E$430:$E$729,"&lt;"&amp;EDATE(BQ$99,1),예비비!$F$430:$F$729,"결제대금비")+MAX(0,IF(예비비!$D168&lt;EDATE(BQ$99,1),예비비!$E168,0)-SUMIFS(예비비!$O$430:$O$729,예비비!$B$430:$B$729,예비비!$A168,예비비!$E$430:$E$729,"&lt;"&amp;EDATE(BQ$99,1))),0)</f>
        <v>0</v>
      </c>
      <c r="BR168">
        <f>IF(예비비!$R168="OK",SUMIFS(예비비!$O$430:$O$729,예비비!$B$430:$B$729,예비비!$A168,예비비!$E$430:$E$729,"&lt;"&amp;EDATE(BR$99,1),예비비!$F$430:$F$729,"결제대금비")+MAX(0,IF(예비비!$D168&lt;EDATE(BR$99,1),예비비!$E168,0)-SUMIFS(예비비!$O$430:$O$729,예비비!$B$430:$B$729,예비비!$A168,예비비!$E$430:$E$729,"&lt;"&amp;EDATE(BR$99,1))),0)</f>
        <v>0</v>
      </c>
      <c r="BS168">
        <f>IF(예비비!$R168="OK",SUMIFS(예비비!$O$430:$O$729,예비비!$B$430:$B$729,예비비!$A168,예비비!$E$430:$E$729,"&lt;"&amp;EDATE(BS$99,1),예비비!$F$430:$F$729,"결제대금비")+MAX(0,IF(예비비!$D168&lt;EDATE(BS$99,1),예비비!$E168,0)-SUMIFS(예비비!$O$430:$O$729,예비비!$B$430:$B$729,예비비!$A168,예비비!$E$430:$E$729,"&lt;"&amp;EDATE(BS$99,1))),0)</f>
        <v>0</v>
      </c>
      <c r="BT168">
        <f>IF(예비비!$R168="OK",SUMIFS(예비비!$O$430:$O$729,예비비!$B$430:$B$729,예비비!$A168,예비비!$E$430:$E$729,"&lt;"&amp;EDATE(BT$99,1),예비비!$F$430:$F$729,"결제대금비")+MAX(0,IF(예비비!$D168&lt;EDATE(BT$99,1),예비비!$E168,0)-SUMIFS(예비비!$O$430:$O$729,예비비!$B$430:$B$729,예비비!$A168,예비비!$E$430:$E$729,"&lt;"&amp;EDATE(BT$99,1))),0)</f>
        <v>0</v>
      </c>
      <c r="BU168">
        <f>IF(예비비!$R168="OK",SUMIFS(예비비!$O$430:$O$729,예비비!$B$430:$B$729,예비비!$A168,예비비!$E$430:$E$729,"&lt;"&amp;EDATE(BU$99,1),예비비!$F$430:$F$729,"결제대금비")+MAX(0,IF(예비비!$D168&lt;EDATE(BU$99,1),예비비!$E168,0)-SUMIFS(예비비!$O$430:$O$729,예비비!$B$430:$B$729,예비비!$A168,예비비!$E$430:$E$729,"&lt;"&amp;EDATE(BU$99,1))),0)</f>
        <v>0</v>
      </c>
    </row>
    <row r="169">
      <c r="BA169">
        <v>113</v>
      </c>
      <c r="BB169">
        <f>IFERROR(INDEX(잔액!$A:$A,BA169),0)</f>
        <v>46143.0</v>
      </c>
      <c r="BH169">
        <f>IFERROR(IF(AND(BB169&gt;0,OR(COUNTIFS(예비비!$C$430:$C$729,BA169,예비비!$N$430:$N$729,"OK")&gt;0,AND(INDEX(잔액!$J:$J,BA169)="가족통장",INDEX(잔액!$K:$K,BA169)="미래에셋_WRAP형CMA"),COUNTIF(예비비!$A$8:$A$12,INDEX(잔액!$C:$C,BA169))=1,COUNTIF(예비비!$A$8:$A$12,INDEX(잔액!$D:$D,BA169))=1),OR(AND(BB169&gt;=예비비!$B$3,BB169&lt;EDATE(예비비!$B$3,1)),AND(BB169&lt;EDATE(예비비!$B$3,1),COUNTIFS(예비비!$C$430:$C$729,BA169,예비비!$L$430:$L$729,예비비!$B$3,예비비!$N$430:$N$729,"OK")&gt;0))),MAX($BH$120:BH168)+1,0),0)</f>
        <v>0</v>
      </c>
      <c r="BI169">
        <f>IF(예비비!$R169="OK",SUMIFS(예비비!$O$430:$O$729,예비비!$B$430:$B$729,예비비!$A169,예비비!$E$430:$E$729,"&lt;"&amp;EDATE(BI$99,1),예비비!$F$430:$F$729,"결제대금비")+MAX(0,IF(예비비!$D169&lt;EDATE(BI$99,1),예비비!$E169,0)-SUMIFS(예비비!$O$430:$O$729,예비비!$B$430:$B$729,예비비!$A169,예비비!$E$430:$E$729,"&lt;"&amp;EDATE(BI$99,1))),0)</f>
        <v>0</v>
      </c>
      <c r="BJ169">
        <f>IF(예비비!$R169="OK",SUMIFS(예비비!$O$430:$O$729,예비비!$B$430:$B$729,예비비!$A169,예비비!$E$430:$E$729,"&lt;"&amp;EDATE(BJ$99,1),예비비!$F$430:$F$729,"결제대금비")+MAX(0,IF(예비비!$D169&lt;EDATE(BJ$99,1),예비비!$E169,0)-SUMIFS(예비비!$O$430:$O$729,예비비!$B$430:$B$729,예비비!$A169,예비비!$E$430:$E$729,"&lt;"&amp;EDATE(BJ$99,1))),0)</f>
        <v>0</v>
      </c>
      <c r="BK169">
        <f>IF(예비비!$R169="OK",SUMIFS(예비비!$O$430:$O$729,예비비!$B$430:$B$729,예비비!$A169,예비비!$E$430:$E$729,"&lt;"&amp;EDATE(BK$99,1),예비비!$F$430:$F$729,"결제대금비")+MAX(0,IF(예비비!$D169&lt;EDATE(BK$99,1),예비비!$E169,0)-SUMIFS(예비비!$O$430:$O$729,예비비!$B$430:$B$729,예비비!$A169,예비비!$E$430:$E$729,"&lt;"&amp;EDATE(BK$99,1))),0)</f>
        <v>0</v>
      </c>
      <c r="BL169">
        <f>IF(예비비!$R169="OK",SUMIFS(예비비!$O$430:$O$729,예비비!$B$430:$B$729,예비비!$A169,예비비!$E$430:$E$729,"&lt;"&amp;EDATE(BL$99,1),예비비!$F$430:$F$729,"결제대금비")+MAX(0,IF(예비비!$D169&lt;EDATE(BL$99,1),예비비!$E169,0)-SUMIFS(예비비!$O$430:$O$729,예비비!$B$430:$B$729,예비비!$A169,예비비!$E$430:$E$729,"&lt;"&amp;EDATE(BL$99,1))),0)</f>
        <v>0</v>
      </c>
      <c r="BM169">
        <f>IF(예비비!$R169="OK",SUMIFS(예비비!$O$430:$O$729,예비비!$B$430:$B$729,예비비!$A169,예비비!$E$430:$E$729,"&lt;"&amp;EDATE(BM$99,1),예비비!$F$430:$F$729,"결제대금비")+MAX(0,IF(예비비!$D169&lt;EDATE(BM$99,1),예비비!$E169,0)-SUMIFS(예비비!$O$430:$O$729,예비비!$B$430:$B$729,예비비!$A169,예비비!$E$430:$E$729,"&lt;"&amp;EDATE(BM$99,1))),0)</f>
        <v>0</v>
      </c>
      <c r="BN169">
        <f>IF(예비비!$R169="OK",SUMIFS(예비비!$O$430:$O$729,예비비!$B$430:$B$729,예비비!$A169,예비비!$E$430:$E$729,"&lt;"&amp;EDATE(BN$99,1),예비비!$F$430:$F$729,"결제대금비")+MAX(0,IF(예비비!$D169&lt;EDATE(BN$99,1),예비비!$E169,0)-SUMIFS(예비비!$O$430:$O$729,예비비!$B$430:$B$729,예비비!$A169,예비비!$E$430:$E$729,"&lt;"&amp;EDATE(BN$99,1))),0)</f>
        <v>0</v>
      </c>
      <c r="BO169">
        <f>IF(예비비!$R169="OK",SUMIFS(예비비!$O$430:$O$729,예비비!$B$430:$B$729,예비비!$A169,예비비!$E$430:$E$729,"&lt;"&amp;EDATE(BO$99,1),예비비!$F$430:$F$729,"결제대금비")+MAX(0,IF(예비비!$D169&lt;EDATE(BO$99,1),예비비!$E169,0)-SUMIFS(예비비!$O$430:$O$729,예비비!$B$430:$B$729,예비비!$A169,예비비!$E$430:$E$729,"&lt;"&amp;EDATE(BO$99,1))),0)</f>
        <v>0</v>
      </c>
      <c r="BP169">
        <f>IF(예비비!$R169="OK",SUMIFS(예비비!$O$430:$O$729,예비비!$B$430:$B$729,예비비!$A169,예비비!$E$430:$E$729,"&lt;"&amp;EDATE(BP$99,1),예비비!$F$430:$F$729,"결제대금비")+MAX(0,IF(예비비!$D169&lt;EDATE(BP$99,1),예비비!$E169,0)-SUMIFS(예비비!$O$430:$O$729,예비비!$B$430:$B$729,예비비!$A169,예비비!$E$430:$E$729,"&lt;"&amp;EDATE(BP$99,1))),0)</f>
        <v>0</v>
      </c>
      <c r="BQ169">
        <f>IF(예비비!$R169="OK",SUMIFS(예비비!$O$430:$O$729,예비비!$B$430:$B$729,예비비!$A169,예비비!$E$430:$E$729,"&lt;"&amp;EDATE(BQ$99,1),예비비!$F$430:$F$729,"결제대금비")+MAX(0,IF(예비비!$D169&lt;EDATE(BQ$99,1),예비비!$E169,0)-SUMIFS(예비비!$O$430:$O$729,예비비!$B$430:$B$729,예비비!$A169,예비비!$E$430:$E$729,"&lt;"&amp;EDATE(BQ$99,1))),0)</f>
        <v>0</v>
      </c>
      <c r="BR169">
        <f>IF(예비비!$R169="OK",SUMIFS(예비비!$O$430:$O$729,예비비!$B$430:$B$729,예비비!$A169,예비비!$E$430:$E$729,"&lt;"&amp;EDATE(BR$99,1),예비비!$F$430:$F$729,"결제대금비")+MAX(0,IF(예비비!$D169&lt;EDATE(BR$99,1),예비비!$E169,0)-SUMIFS(예비비!$O$430:$O$729,예비비!$B$430:$B$729,예비비!$A169,예비비!$E$430:$E$729,"&lt;"&amp;EDATE(BR$99,1))),0)</f>
        <v>0</v>
      </c>
      <c r="BS169">
        <f>IF(예비비!$R169="OK",SUMIFS(예비비!$O$430:$O$729,예비비!$B$430:$B$729,예비비!$A169,예비비!$E$430:$E$729,"&lt;"&amp;EDATE(BS$99,1),예비비!$F$430:$F$729,"결제대금비")+MAX(0,IF(예비비!$D169&lt;EDATE(BS$99,1),예비비!$E169,0)-SUMIFS(예비비!$O$430:$O$729,예비비!$B$430:$B$729,예비비!$A169,예비비!$E$430:$E$729,"&lt;"&amp;EDATE(BS$99,1))),0)</f>
        <v>0</v>
      </c>
      <c r="BT169">
        <f>IF(예비비!$R169="OK",SUMIFS(예비비!$O$430:$O$729,예비비!$B$430:$B$729,예비비!$A169,예비비!$E$430:$E$729,"&lt;"&amp;EDATE(BT$99,1),예비비!$F$430:$F$729,"결제대금비")+MAX(0,IF(예비비!$D169&lt;EDATE(BT$99,1),예비비!$E169,0)-SUMIFS(예비비!$O$430:$O$729,예비비!$B$430:$B$729,예비비!$A169,예비비!$E$430:$E$729,"&lt;"&amp;EDATE(BT$99,1))),0)</f>
        <v>0</v>
      </c>
      <c r="BU169">
        <f>IF(예비비!$R169="OK",SUMIFS(예비비!$O$430:$O$729,예비비!$B$430:$B$729,예비비!$A169,예비비!$E$430:$E$729,"&lt;"&amp;EDATE(BU$99,1),예비비!$F$430:$F$729,"결제대금비")+MAX(0,IF(예비비!$D169&lt;EDATE(BU$99,1),예비비!$E169,0)-SUMIFS(예비비!$O$430:$O$729,예비비!$B$430:$B$729,예비비!$A169,예비비!$E$430:$E$729,"&lt;"&amp;EDATE(BU$99,1))),0)</f>
        <v>0</v>
      </c>
    </row>
    <row r="170">
      <c r="BA170">
        <v>114</v>
      </c>
      <c r="BB170">
        <f>IFERROR(INDEX(잔액!$A:$A,BA170),0)</f>
        <v>46143.0</v>
      </c>
      <c r="BH170">
        <f>IFERROR(IF(AND(BB170&gt;0,OR(COUNTIFS(예비비!$C$430:$C$729,BA170,예비비!$N$430:$N$729,"OK")&gt;0,AND(INDEX(잔액!$J:$J,BA170)="가족통장",INDEX(잔액!$K:$K,BA170)="미래에셋_WRAP형CMA"),COUNTIF(예비비!$A$8:$A$12,INDEX(잔액!$C:$C,BA170))=1,COUNTIF(예비비!$A$8:$A$12,INDEX(잔액!$D:$D,BA170))=1),OR(AND(BB170&gt;=예비비!$B$3,BB170&lt;EDATE(예비비!$B$3,1)),AND(BB170&lt;EDATE(예비비!$B$3,1),COUNTIFS(예비비!$C$430:$C$729,BA170,예비비!$L$430:$L$729,예비비!$B$3,예비비!$N$430:$N$729,"OK")&gt;0))),MAX($BH$120:BH169)+1,0),0)</f>
        <v>0</v>
      </c>
      <c r="BI170">
        <f>IF(예비비!$R170="OK",SUMIFS(예비비!$O$430:$O$729,예비비!$B$430:$B$729,예비비!$A170,예비비!$E$430:$E$729,"&lt;"&amp;EDATE(BI$99,1),예비비!$F$430:$F$729,"결제대금비")+MAX(0,IF(예비비!$D170&lt;EDATE(BI$99,1),예비비!$E170,0)-SUMIFS(예비비!$O$430:$O$729,예비비!$B$430:$B$729,예비비!$A170,예비비!$E$430:$E$729,"&lt;"&amp;EDATE(BI$99,1))),0)</f>
        <v>0</v>
      </c>
      <c r="BJ170">
        <f>IF(예비비!$R170="OK",SUMIFS(예비비!$O$430:$O$729,예비비!$B$430:$B$729,예비비!$A170,예비비!$E$430:$E$729,"&lt;"&amp;EDATE(BJ$99,1),예비비!$F$430:$F$729,"결제대금비")+MAX(0,IF(예비비!$D170&lt;EDATE(BJ$99,1),예비비!$E170,0)-SUMIFS(예비비!$O$430:$O$729,예비비!$B$430:$B$729,예비비!$A170,예비비!$E$430:$E$729,"&lt;"&amp;EDATE(BJ$99,1))),0)</f>
        <v>0</v>
      </c>
      <c r="BK170">
        <f>IF(예비비!$R170="OK",SUMIFS(예비비!$O$430:$O$729,예비비!$B$430:$B$729,예비비!$A170,예비비!$E$430:$E$729,"&lt;"&amp;EDATE(BK$99,1),예비비!$F$430:$F$729,"결제대금비")+MAX(0,IF(예비비!$D170&lt;EDATE(BK$99,1),예비비!$E170,0)-SUMIFS(예비비!$O$430:$O$729,예비비!$B$430:$B$729,예비비!$A170,예비비!$E$430:$E$729,"&lt;"&amp;EDATE(BK$99,1))),0)</f>
        <v>0</v>
      </c>
      <c r="BL170">
        <f>IF(예비비!$R170="OK",SUMIFS(예비비!$O$430:$O$729,예비비!$B$430:$B$729,예비비!$A170,예비비!$E$430:$E$729,"&lt;"&amp;EDATE(BL$99,1),예비비!$F$430:$F$729,"결제대금비")+MAX(0,IF(예비비!$D170&lt;EDATE(BL$99,1),예비비!$E170,0)-SUMIFS(예비비!$O$430:$O$729,예비비!$B$430:$B$729,예비비!$A170,예비비!$E$430:$E$729,"&lt;"&amp;EDATE(BL$99,1))),0)</f>
        <v>0</v>
      </c>
      <c r="BM170">
        <f>IF(예비비!$R170="OK",SUMIFS(예비비!$O$430:$O$729,예비비!$B$430:$B$729,예비비!$A170,예비비!$E$430:$E$729,"&lt;"&amp;EDATE(BM$99,1),예비비!$F$430:$F$729,"결제대금비")+MAX(0,IF(예비비!$D170&lt;EDATE(BM$99,1),예비비!$E170,0)-SUMIFS(예비비!$O$430:$O$729,예비비!$B$430:$B$729,예비비!$A170,예비비!$E$430:$E$729,"&lt;"&amp;EDATE(BM$99,1))),0)</f>
        <v>0</v>
      </c>
      <c r="BN170">
        <f>IF(예비비!$R170="OK",SUMIFS(예비비!$O$430:$O$729,예비비!$B$430:$B$729,예비비!$A170,예비비!$E$430:$E$729,"&lt;"&amp;EDATE(BN$99,1),예비비!$F$430:$F$729,"결제대금비")+MAX(0,IF(예비비!$D170&lt;EDATE(BN$99,1),예비비!$E170,0)-SUMIFS(예비비!$O$430:$O$729,예비비!$B$430:$B$729,예비비!$A170,예비비!$E$430:$E$729,"&lt;"&amp;EDATE(BN$99,1))),0)</f>
        <v>0</v>
      </c>
      <c r="BO170">
        <f>IF(예비비!$R170="OK",SUMIFS(예비비!$O$430:$O$729,예비비!$B$430:$B$729,예비비!$A170,예비비!$E$430:$E$729,"&lt;"&amp;EDATE(BO$99,1),예비비!$F$430:$F$729,"결제대금비")+MAX(0,IF(예비비!$D170&lt;EDATE(BO$99,1),예비비!$E170,0)-SUMIFS(예비비!$O$430:$O$729,예비비!$B$430:$B$729,예비비!$A170,예비비!$E$430:$E$729,"&lt;"&amp;EDATE(BO$99,1))),0)</f>
        <v>0</v>
      </c>
      <c r="BP170">
        <f>IF(예비비!$R170="OK",SUMIFS(예비비!$O$430:$O$729,예비비!$B$430:$B$729,예비비!$A170,예비비!$E$430:$E$729,"&lt;"&amp;EDATE(BP$99,1),예비비!$F$430:$F$729,"결제대금비")+MAX(0,IF(예비비!$D170&lt;EDATE(BP$99,1),예비비!$E170,0)-SUMIFS(예비비!$O$430:$O$729,예비비!$B$430:$B$729,예비비!$A170,예비비!$E$430:$E$729,"&lt;"&amp;EDATE(BP$99,1))),0)</f>
        <v>0</v>
      </c>
      <c r="BQ170">
        <f>IF(예비비!$R170="OK",SUMIFS(예비비!$O$430:$O$729,예비비!$B$430:$B$729,예비비!$A170,예비비!$E$430:$E$729,"&lt;"&amp;EDATE(BQ$99,1),예비비!$F$430:$F$729,"결제대금비")+MAX(0,IF(예비비!$D170&lt;EDATE(BQ$99,1),예비비!$E170,0)-SUMIFS(예비비!$O$430:$O$729,예비비!$B$430:$B$729,예비비!$A170,예비비!$E$430:$E$729,"&lt;"&amp;EDATE(BQ$99,1))),0)</f>
        <v>0</v>
      </c>
      <c r="BR170">
        <f>IF(예비비!$R170="OK",SUMIFS(예비비!$O$430:$O$729,예비비!$B$430:$B$729,예비비!$A170,예비비!$E$430:$E$729,"&lt;"&amp;EDATE(BR$99,1),예비비!$F$430:$F$729,"결제대금비")+MAX(0,IF(예비비!$D170&lt;EDATE(BR$99,1),예비비!$E170,0)-SUMIFS(예비비!$O$430:$O$729,예비비!$B$430:$B$729,예비비!$A170,예비비!$E$430:$E$729,"&lt;"&amp;EDATE(BR$99,1))),0)</f>
        <v>0</v>
      </c>
      <c r="BS170">
        <f>IF(예비비!$R170="OK",SUMIFS(예비비!$O$430:$O$729,예비비!$B$430:$B$729,예비비!$A170,예비비!$E$430:$E$729,"&lt;"&amp;EDATE(BS$99,1),예비비!$F$430:$F$729,"결제대금비")+MAX(0,IF(예비비!$D170&lt;EDATE(BS$99,1),예비비!$E170,0)-SUMIFS(예비비!$O$430:$O$729,예비비!$B$430:$B$729,예비비!$A170,예비비!$E$430:$E$729,"&lt;"&amp;EDATE(BS$99,1))),0)</f>
        <v>0</v>
      </c>
      <c r="BT170">
        <f>IF(예비비!$R170="OK",SUMIFS(예비비!$O$430:$O$729,예비비!$B$430:$B$729,예비비!$A170,예비비!$E$430:$E$729,"&lt;"&amp;EDATE(BT$99,1),예비비!$F$430:$F$729,"결제대금비")+MAX(0,IF(예비비!$D170&lt;EDATE(BT$99,1),예비비!$E170,0)-SUMIFS(예비비!$O$430:$O$729,예비비!$B$430:$B$729,예비비!$A170,예비비!$E$430:$E$729,"&lt;"&amp;EDATE(BT$99,1))),0)</f>
        <v>0</v>
      </c>
      <c r="BU170">
        <f>IF(예비비!$R170="OK",SUMIFS(예비비!$O$430:$O$729,예비비!$B$430:$B$729,예비비!$A170,예비비!$E$430:$E$729,"&lt;"&amp;EDATE(BU$99,1),예비비!$F$430:$F$729,"결제대금비")+MAX(0,IF(예비비!$D170&lt;EDATE(BU$99,1),예비비!$E170,0)-SUMIFS(예비비!$O$430:$O$729,예비비!$B$430:$B$729,예비비!$A170,예비비!$E$430:$E$729,"&lt;"&amp;EDATE(BU$99,1))),0)</f>
        <v>0</v>
      </c>
    </row>
    <row r="171">
      <c r="BA171">
        <v>115</v>
      </c>
      <c r="BB171">
        <f>IFERROR(INDEX(잔액!$A:$A,BA171),0)</f>
        <v>46143.0</v>
      </c>
      <c r="BH171">
        <f>IFERROR(IF(AND(BB171&gt;0,OR(COUNTIFS(예비비!$C$430:$C$729,BA171,예비비!$N$430:$N$729,"OK")&gt;0,AND(INDEX(잔액!$J:$J,BA171)="가족통장",INDEX(잔액!$K:$K,BA171)="미래에셋_WRAP형CMA"),COUNTIF(예비비!$A$8:$A$12,INDEX(잔액!$C:$C,BA171))=1,COUNTIF(예비비!$A$8:$A$12,INDEX(잔액!$D:$D,BA171))=1),OR(AND(BB171&gt;=예비비!$B$3,BB171&lt;EDATE(예비비!$B$3,1)),AND(BB171&lt;EDATE(예비비!$B$3,1),COUNTIFS(예비비!$C$430:$C$729,BA171,예비비!$L$430:$L$729,예비비!$B$3,예비비!$N$430:$N$729,"OK")&gt;0))),MAX($BH$120:BH170)+1,0),0)</f>
        <v>0</v>
      </c>
      <c r="BI171">
        <f>IF(예비비!$R171="OK",SUMIFS(예비비!$O$430:$O$729,예비비!$B$430:$B$729,예비비!$A171,예비비!$E$430:$E$729,"&lt;"&amp;EDATE(BI$99,1),예비비!$F$430:$F$729,"결제대금비")+MAX(0,IF(예비비!$D171&lt;EDATE(BI$99,1),예비비!$E171,0)-SUMIFS(예비비!$O$430:$O$729,예비비!$B$430:$B$729,예비비!$A171,예비비!$E$430:$E$729,"&lt;"&amp;EDATE(BI$99,1))),0)</f>
        <v>0</v>
      </c>
      <c r="BJ171">
        <f>IF(예비비!$R171="OK",SUMIFS(예비비!$O$430:$O$729,예비비!$B$430:$B$729,예비비!$A171,예비비!$E$430:$E$729,"&lt;"&amp;EDATE(BJ$99,1),예비비!$F$430:$F$729,"결제대금비")+MAX(0,IF(예비비!$D171&lt;EDATE(BJ$99,1),예비비!$E171,0)-SUMIFS(예비비!$O$430:$O$729,예비비!$B$430:$B$729,예비비!$A171,예비비!$E$430:$E$729,"&lt;"&amp;EDATE(BJ$99,1))),0)</f>
        <v>0</v>
      </c>
      <c r="BK171">
        <f>IF(예비비!$R171="OK",SUMIFS(예비비!$O$430:$O$729,예비비!$B$430:$B$729,예비비!$A171,예비비!$E$430:$E$729,"&lt;"&amp;EDATE(BK$99,1),예비비!$F$430:$F$729,"결제대금비")+MAX(0,IF(예비비!$D171&lt;EDATE(BK$99,1),예비비!$E171,0)-SUMIFS(예비비!$O$430:$O$729,예비비!$B$430:$B$729,예비비!$A171,예비비!$E$430:$E$729,"&lt;"&amp;EDATE(BK$99,1))),0)</f>
        <v>0</v>
      </c>
      <c r="BL171">
        <f>IF(예비비!$R171="OK",SUMIFS(예비비!$O$430:$O$729,예비비!$B$430:$B$729,예비비!$A171,예비비!$E$430:$E$729,"&lt;"&amp;EDATE(BL$99,1),예비비!$F$430:$F$729,"결제대금비")+MAX(0,IF(예비비!$D171&lt;EDATE(BL$99,1),예비비!$E171,0)-SUMIFS(예비비!$O$430:$O$729,예비비!$B$430:$B$729,예비비!$A171,예비비!$E$430:$E$729,"&lt;"&amp;EDATE(BL$99,1))),0)</f>
        <v>0</v>
      </c>
      <c r="BM171">
        <f>IF(예비비!$R171="OK",SUMIFS(예비비!$O$430:$O$729,예비비!$B$430:$B$729,예비비!$A171,예비비!$E$430:$E$729,"&lt;"&amp;EDATE(BM$99,1),예비비!$F$430:$F$729,"결제대금비")+MAX(0,IF(예비비!$D171&lt;EDATE(BM$99,1),예비비!$E171,0)-SUMIFS(예비비!$O$430:$O$729,예비비!$B$430:$B$729,예비비!$A171,예비비!$E$430:$E$729,"&lt;"&amp;EDATE(BM$99,1))),0)</f>
        <v>0</v>
      </c>
      <c r="BN171">
        <f>IF(예비비!$R171="OK",SUMIFS(예비비!$O$430:$O$729,예비비!$B$430:$B$729,예비비!$A171,예비비!$E$430:$E$729,"&lt;"&amp;EDATE(BN$99,1),예비비!$F$430:$F$729,"결제대금비")+MAX(0,IF(예비비!$D171&lt;EDATE(BN$99,1),예비비!$E171,0)-SUMIFS(예비비!$O$430:$O$729,예비비!$B$430:$B$729,예비비!$A171,예비비!$E$430:$E$729,"&lt;"&amp;EDATE(BN$99,1))),0)</f>
        <v>0</v>
      </c>
      <c r="BO171">
        <f>IF(예비비!$R171="OK",SUMIFS(예비비!$O$430:$O$729,예비비!$B$430:$B$729,예비비!$A171,예비비!$E$430:$E$729,"&lt;"&amp;EDATE(BO$99,1),예비비!$F$430:$F$729,"결제대금비")+MAX(0,IF(예비비!$D171&lt;EDATE(BO$99,1),예비비!$E171,0)-SUMIFS(예비비!$O$430:$O$729,예비비!$B$430:$B$729,예비비!$A171,예비비!$E$430:$E$729,"&lt;"&amp;EDATE(BO$99,1))),0)</f>
        <v>0</v>
      </c>
      <c r="BP171">
        <f>IF(예비비!$R171="OK",SUMIFS(예비비!$O$430:$O$729,예비비!$B$430:$B$729,예비비!$A171,예비비!$E$430:$E$729,"&lt;"&amp;EDATE(BP$99,1),예비비!$F$430:$F$729,"결제대금비")+MAX(0,IF(예비비!$D171&lt;EDATE(BP$99,1),예비비!$E171,0)-SUMIFS(예비비!$O$430:$O$729,예비비!$B$430:$B$729,예비비!$A171,예비비!$E$430:$E$729,"&lt;"&amp;EDATE(BP$99,1))),0)</f>
        <v>0</v>
      </c>
      <c r="BQ171">
        <f>IF(예비비!$R171="OK",SUMIFS(예비비!$O$430:$O$729,예비비!$B$430:$B$729,예비비!$A171,예비비!$E$430:$E$729,"&lt;"&amp;EDATE(BQ$99,1),예비비!$F$430:$F$729,"결제대금비")+MAX(0,IF(예비비!$D171&lt;EDATE(BQ$99,1),예비비!$E171,0)-SUMIFS(예비비!$O$430:$O$729,예비비!$B$430:$B$729,예비비!$A171,예비비!$E$430:$E$729,"&lt;"&amp;EDATE(BQ$99,1))),0)</f>
        <v>0</v>
      </c>
      <c r="BR171">
        <f>IF(예비비!$R171="OK",SUMIFS(예비비!$O$430:$O$729,예비비!$B$430:$B$729,예비비!$A171,예비비!$E$430:$E$729,"&lt;"&amp;EDATE(BR$99,1),예비비!$F$430:$F$729,"결제대금비")+MAX(0,IF(예비비!$D171&lt;EDATE(BR$99,1),예비비!$E171,0)-SUMIFS(예비비!$O$430:$O$729,예비비!$B$430:$B$729,예비비!$A171,예비비!$E$430:$E$729,"&lt;"&amp;EDATE(BR$99,1))),0)</f>
        <v>0</v>
      </c>
      <c r="BS171">
        <f>IF(예비비!$R171="OK",SUMIFS(예비비!$O$430:$O$729,예비비!$B$430:$B$729,예비비!$A171,예비비!$E$430:$E$729,"&lt;"&amp;EDATE(BS$99,1),예비비!$F$430:$F$729,"결제대금비")+MAX(0,IF(예비비!$D171&lt;EDATE(BS$99,1),예비비!$E171,0)-SUMIFS(예비비!$O$430:$O$729,예비비!$B$430:$B$729,예비비!$A171,예비비!$E$430:$E$729,"&lt;"&amp;EDATE(BS$99,1))),0)</f>
        <v>0</v>
      </c>
      <c r="BT171">
        <f>IF(예비비!$R171="OK",SUMIFS(예비비!$O$430:$O$729,예비비!$B$430:$B$729,예비비!$A171,예비비!$E$430:$E$729,"&lt;"&amp;EDATE(BT$99,1),예비비!$F$430:$F$729,"결제대금비")+MAX(0,IF(예비비!$D171&lt;EDATE(BT$99,1),예비비!$E171,0)-SUMIFS(예비비!$O$430:$O$729,예비비!$B$430:$B$729,예비비!$A171,예비비!$E$430:$E$729,"&lt;"&amp;EDATE(BT$99,1))),0)</f>
        <v>0</v>
      </c>
      <c r="BU171">
        <f>IF(예비비!$R171="OK",SUMIFS(예비비!$O$430:$O$729,예비비!$B$430:$B$729,예비비!$A171,예비비!$E$430:$E$729,"&lt;"&amp;EDATE(BU$99,1),예비비!$F$430:$F$729,"결제대금비")+MAX(0,IF(예비비!$D171&lt;EDATE(BU$99,1),예비비!$E171,0)-SUMIFS(예비비!$O$430:$O$729,예비비!$B$430:$B$729,예비비!$A171,예비비!$E$430:$E$729,"&lt;"&amp;EDATE(BU$99,1))),0)</f>
        <v>0</v>
      </c>
    </row>
    <row r="172">
      <c r="BA172">
        <v>116</v>
      </c>
      <c r="BB172">
        <f>IFERROR(INDEX(잔액!$A:$A,BA172),0)</f>
        <v>46143.0</v>
      </c>
      <c r="BH172">
        <f>IFERROR(IF(AND(BB172&gt;0,OR(COUNTIFS(예비비!$C$430:$C$729,BA172,예비비!$N$430:$N$729,"OK")&gt;0,AND(INDEX(잔액!$J:$J,BA172)="가족통장",INDEX(잔액!$K:$K,BA172)="미래에셋_WRAP형CMA"),COUNTIF(예비비!$A$8:$A$12,INDEX(잔액!$C:$C,BA172))=1,COUNTIF(예비비!$A$8:$A$12,INDEX(잔액!$D:$D,BA172))=1),OR(AND(BB172&gt;=예비비!$B$3,BB172&lt;EDATE(예비비!$B$3,1)),AND(BB172&lt;EDATE(예비비!$B$3,1),COUNTIFS(예비비!$C$430:$C$729,BA172,예비비!$L$430:$L$729,예비비!$B$3,예비비!$N$430:$N$729,"OK")&gt;0))),MAX($BH$120:BH171)+1,0),0)</f>
        <v>0</v>
      </c>
      <c r="BI172">
        <f>IF(예비비!$R172="OK",SUMIFS(예비비!$O$430:$O$729,예비비!$B$430:$B$729,예비비!$A172,예비비!$E$430:$E$729,"&lt;"&amp;EDATE(BI$99,1),예비비!$F$430:$F$729,"결제대금비")+MAX(0,IF(예비비!$D172&lt;EDATE(BI$99,1),예비비!$E172,0)-SUMIFS(예비비!$O$430:$O$729,예비비!$B$430:$B$729,예비비!$A172,예비비!$E$430:$E$729,"&lt;"&amp;EDATE(BI$99,1))),0)</f>
        <v>0</v>
      </c>
      <c r="BJ172">
        <f>IF(예비비!$R172="OK",SUMIFS(예비비!$O$430:$O$729,예비비!$B$430:$B$729,예비비!$A172,예비비!$E$430:$E$729,"&lt;"&amp;EDATE(BJ$99,1),예비비!$F$430:$F$729,"결제대금비")+MAX(0,IF(예비비!$D172&lt;EDATE(BJ$99,1),예비비!$E172,0)-SUMIFS(예비비!$O$430:$O$729,예비비!$B$430:$B$729,예비비!$A172,예비비!$E$430:$E$729,"&lt;"&amp;EDATE(BJ$99,1))),0)</f>
        <v>0</v>
      </c>
      <c r="BK172">
        <f>IF(예비비!$R172="OK",SUMIFS(예비비!$O$430:$O$729,예비비!$B$430:$B$729,예비비!$A172,예비비!$E$430:$E$729,"&lt;"&amp;EDATE(BK$99,1),예비비!$F$430:$F$729,"결제대금비")+MAX(0,IF(예비비!$D172&lt;EDATE(BK$99,1),예비비!$E172,0)-SUMIFS(예비비!$O$430:$O$729,예비비!$B$430:$B$729,예비비!$A172,예비비!$E$430:$E$729,"&lt;"&amp;EDATE(BK$99,1))),0)</f>
        <v>0</v>
      </c>
      <c r="BL172">
        <f>IF(예비비!$R172="OK",SUMIFS(예비비!$O$430:$O$729,예비비!$B$430:$B$729,예비비!$A172,예비비!$E$430:$E$729,"&lt;"&amp;EDATE(BL$99,1),예비비!$F$430:$F$729,"결제대금비")+MAX(0,IF(예비비!$D172&lt;EDATE(BL$99,1),예비비!$E172,0)-SUMIFS(예비비!$O$430:$O$729,예비비!$B$430:$B$729,예비비!$A172,예비비!$E$430:$E$729,"&lt;"&amp;EDATE(BL$99,1))),0)</f>
        <v>0</v>
      </c>
      <c r="BM172">
        <f>IF(예비비!$R172="OK",SUMIFS(예비비!$O$430:$O$729,예비비!$B$430:$B$729,예비비!$A172,예비비!$E$430:$E$729,"&lt;"&amp;EDATE(BM$99,1),예비비!$F$430:$F$729,"결제대금비")+MAX(0,IF(예비비!$D172&lt;EDATE(BM$99,1),예비비!$E172,0)-SUMIFS(예비비!$O$430:$O$729,예비비!$B$430:$B$729,예비비!$A172,예비비!$E$430:$E$729,"&lt;"&amp;EDATE(BM$99,1))),0)</f>
        <v>0</v>
      </c>
      <c r="BN172">
        <f>IF(예비비!$R172="OK",SUMIFS(예비비!$O$430:$O$729,예비비!$B$430:$B$729,예비비!$A172,예비비!$E$430:$E$729,"&lt;"&amp;EDATE(BN$99,1),예비비!$F$430:$F$729,"결제대금비")+MAX(0,IF(예비비!$D172&lt;EDATE(BN$99,1),예비비!$E172,0)-SUMIFS(예비비!$O$430:$O$729,예비비!$B$430:$B$729,예비비!$A172,예비비!$E$430:$E$729,"&lt;"&amp;EDATE(BN$99,1))),0)</f>
        <v>0</v>
      </c>
      <c r="BO172">
        <f>IF(예비비!$R172="OK",SUMIFS(예비비!$O$430:$O$729,예비비!$B$430:$B$729,예비비!$A172,예비비!$E$430:$E$729,"&lt;"&amp;EDATE(BO$99,1),예비비!$F$430:$F$729,"결제대금비")+MAX(0,IF(예비비!$D172&lt;EDATE(BO$99,1),예비비!$E172,0)-SUMIFS(예비비!$O$430:$O$729,예비비!$B$430:$B$729,예비비!$A172,예비비!$E$430:$E$729,"&lt;"&amp;EDATE(BO$99,1))),0)</f>
        <v>0</v>
      </c>
      <c r="BP172">
        <f>IF(예비비!$R172="OK",SUMIFS(예비비!$O$430:$O$729,예비비!$B$430:$B$729,예비비!$A172,예비비!$E$430:$E$729,"&lt;"&amp;EDATE(BP$99,1),예비비!$F$430:$F$729,"결제대금비")+MAX(0,IF(예비비!$D172&lt;EDATE(BP$99,1),예비비!$E172,0)-SUMIFS(예비비!$O$430:$O$729,예비비!$B$430:$B$729,예비비!$A172,예비비!$E$430:$E$729,"&lt;"&amp;EDATE(BP$99,1))),0)</f>
        <v>0</v>
      </c>
      <c r="BQ172">
        <f>IF(예비비!$R172="OK",SUMIFS(예비비!$O$430:$O$729,예비비!$B$430:$B$729,예비비!$A172,예비비!$E$430:$E$729,"&lt;"&amp;EDATE(BQ$99,1),예비비!$F$430:$F$729,"결제대금비")+MAX(0,IF(예비비!$D172&lt;EDATE(BQ$99,1),예비비!$E172,0)-SUMIFS(예비비!$O$430:$O$729,예비비!$B$430:$B$729,예비비!$A172,예비비!$E$430:$E$729,"&lt;"&amp;EDATE(BQ$99,1))),0)</f>
        <v>0</v>
      </c>
      <c r="BR172">
        <f>IF(예비비!$R172="OK",SUMIFS(예비비!$O$430:$O$729,예비비!$B$430:$B$729,예비비!$A172,예비비!$E$430:$E$729,"&lt;"&amp;EDATE(BR$99,1),예비비!$F$430:$F$729,"결제대금비")+MAX(0,IF(예비비!$D172&lt;EDATE(BR$99,1),예비비!$E172,0)-SUMIFS(예비비!$O$430:$O$729,예비비!$B$430:$B$729,예비비!$A172,예비비!$E$430:$E$729,"&lt;"&amp;EDATE(BR$99,1))),0)</f>
        <v>0</v>
      </c>
      <c r="BS172">
        <f>IF(예비비!$R172="OK",SUMIFS(예비비!$O$430:$O$729,예비비!$B$430:$B$729,예비비!$A172,예비비!$E$430:$E$729,"&lt;"&amp;EDATE(BS$99,1),예비비!$F$430:$F$729,"결제대금비")+MAX(0,IF(예비비!$D172&lt;EDATE(BS$99,1),예비비!$E172,0)-SUMIFS(예비비!$O$430:$O$729,예비비!$B$430:$B$729,예비비!$A172,예비비!$E$430:$E$729,"&lt;"&amp;EDATE(BS$99,1))),0)</f>
        <v>0</v>
      </c>
      <c r="BT172">
        <f>IF(예비비!$R172="OK",SUMIFS(예비비!$O$430:$O$729,예비비!$B$430:$B$729,예비비!$A172,예비비!$E$430:$E$729,"&lt;"&amp;EDATE(BT$99,1),예비비!$F$430:$F$729,"결제대금비")+MAX(0,IF(예비비!$D172&lt;EDATE(BT$99,1),예비비!$E172,0)-SUMIFS(예비비!$O$430:$O$729,예비비!$B$430:$B$729,예비비!$A172,예비비!$E$430:$E$729,"&lt;"&amp;EDATE(BT$99,1))),0)</f>
        <v>0</v>
      </c>
      <c r="BU172">
        <f>IF(예비비!$R172="OK",SUMIFS(예비비!$O$430:$O$729,예비비!$B$430:$B$729,예비비!$A172,예비비!$E$430:$E$729,"&lt;"&amp;EDATE(BU$99,1),예비비!$F$430:$F$729,"결제대금비")+MAX(0,IF(예비비!$D172&lt;EDATE(BU$99,1),예비비!$E172,0)-SUMIFS(예비비!$O$430:$O$729,예비비!$B$430:$B$729,예비비!$A172,예비비!$E$430:$E$729,"&lt;"&amp;EDATE(BU$99,1))),0)</f>
        <v>0</v>
      </c>
    </row>
    <row r="173">
      <c r="BA173">
        <v>117</v>
      </c>
      <c r="BB173">
        <f>IFERROR(INDEX(잔액!$A:$A,BA173),0)</f>
        <v>46143.0</v>
      </c>
      <c r="BH173">
        <f>IFERROR(IF(AND(BB173&gt;0,OR(COUNTIFS(예비비!$C$430:$C$729,BA173,예비비!$N$430:$N$729,"OK")&gt;0,AND(INDEX(잔액!$J:$J,BA173)="가족통장",INDEX(잔액!$K:$K,BA173)="미래에셋_WRAP형CMA"),COUNTIF(예비비!$A$8:$A$12,INDEX(잔액!$C:$C,BA173))=1,COUNTIF(예비비!$A$8:$A$12,INDEX(잔액!$D:$D,BA173))=1),OR(AND(BB173&gt;=예비비!$B$3,BB173&lt;EDATE(예비비!$B$3,1)),AND(BB173&lt;EDATE(예비비!$B$3,1),COUNTIFS(예비비!$C$430:$C$729,BA173,예비비!$L$430:$L$729,예비비!$B$3,예비비!$N$430:$N$729,"OK")&gt;0))),MAX($BH$120:BH172)+1,0),0)</f>
        <v>0</v>
      </c>
      <c r="BI173">
        <f>IF(예비비!$R173="OK",SUMIFS(예비비!$O$430:$O$729,예비비!$B$430:$B$729,예비비!$A173,예비비!$E$430:$E$729,"&lt;"&amp;EDATE(BI$99,1),예비비!$F$430:$F$729,"결제대금비")+MAX(0,IF(예비비!$D173&lt;EDATE(BI$99,1),예비비!$E173,0)-SUMIFS(예비비!$O$430:$O$729,예비비!$B$430:$B$729,예비비!$A173,예비비!$E$430:$E$729,"&lt;"&amp;EDATE(BI$99,1))),0)</f>
        <v>0</v>
      </c>
      <c r="BJ173">
        <f>IF(예비비!$R173="OK",SUMIFS(예비비!$O$430:$O$729,예비비!$B$430:$B$729,예비비!$A173,예비비!$E$430:$E$729,"&lt;"&amp;EDATE(BJ$99,1),예비비!$F$430:$F$729,"결제대금비")+MAX(0,IF(예비비!$D173&lt;EDATE(BJ$99,1),예비비!$E173,0)-SUMIFS(예비비!$O$430:$O$729,예비비!$B$430:$B$729,예비비!$A173,예비비!$E$430:$E$729,"&lt;"&amp;EDATE(BJ$99,1))),0)</f>
        <v>0</v>
      </c>
      <c r="BK173">
        <f>IF(예비비!$R173="OK",SUMIFS(예비비!$O$430:$O$729,예비비!$B$430:$B$729,예비비!$A173,예비비!$E$430:$E$729,"&lt;"&amp;EDATE(BK$99,1),예비비!$F$430:$F$729,"결제대금비")+MAX(0,IF(예비비!$D173&lt;EDATE(BK$99,1),예비비!$E173,0)-SUMIFS(예비비!$O$430:$O$729,예비비!$B$430:$B$729,예비비!$A173,예비비!$E$430:$E$729,"&lt;"&amp;EDATE(BK$99,1))),0)</f>
        <v>0</v>
      </c>
      <c r="BL173">
        <f>IF(예비비!$R173="OK",SUMIFS(예비비!$O$430:$O$729,예비비!$B$430:$B$729,예비비!$A173,예비비!$E$430:$E$729,"&lt;"&amp;EDATE(BL$99,1),예비비!$F$430:$F$729,"결제대금비")+MAX(0,IF(예비비!$D173&lt;EDATE(BL$99,1),예비비!$E173,0)-SUMIFS(예비비!$O$430:$O$729,예비비!$B$430:$B$729,예비비!$A173,예비비!$E$430:$E$729,"&lt;"&amp;EDATE(BL$99,1))),0)</f>
        <v>0</v>
      </c>
      <c r="BM173">
        <f>IF(예비비!$R173="OK",SUMIFS(예비비!$O$430:$O$729,예비비!$B$430:$B$729,예비비!$A173,예비비!$E$430:$E$729,"&lt;"&amp;EDATE(BM$99,1),예비비!$F$430:$F$729,"결제대금비")+MAX(0,IF(예비비!$D173&lt;EDATE(BM$99,1),예비비!$E173,0)-SUMIFS(예비비!$O$430:$O$729,예비비!$B$430:$B$729,예비비!$A173,예비비!$E$430:$E$729,"&lt;"&amp;EDATE(BM$99,1))),0)</f>
        <v>0</v>
      </c>
      <c r="BN173">
        <f>IF(예비비!$R173="OK",SUMIFS(예비비!$O$430:$O$729,예비비!$B$430:$B$729,예비비!$A173,예비비!$E$430:$E$729,"&lt;"&amp;EDATE(BN$99,1),예비비!$F$430:$F$729,"결제대금비")+MAX(0,IF(예비비!$D173&lt;EDATE(BN$99,1),예비비!$E173,0)-SUMIFS(예비비!$O$430:$O$729,예비비!$B$430:$B$729,예비비!$A173,예비비!$E$430:$E$729,"&lt;"&amp;EDATE(BN$99,1))),0)</f>
        <v>0</v>
      </c>
      <c r="BO173">
        <f>IF(예비비!$R173="OK",SUMIFS(예비비!$O$430:$O$729,예비비!$B$430:$B$729,예비비!$A173,예비비!$E$430:$E$729,"&lt;"&amp;EDATE(BO$99,1),예비비!$F$430:$F$729,"결제대금비")+MAX(0,IF(예비비!$D173&lt;EDATE(BO$99,1),예비비!$E173,0)-SUMIFS(예비비!$O$430:$O$729,예비비!$B$430:$B$729,예비비!$A173,예비비!$E$430:$E$729,"&lt;"&amp;EDATE(BO$99,1))),0)</f>
        <v>0</v>
      </c>
      <c r="BP173">
        <f>IF(예비비!$R173="OK",SUMIFS(예비비!$O$430:$O$729,예비비!$B$430:$B$729,예비비!$A173,예비비!$E$430:$E$729,"&lt;"&amp;EDATE(BP$99,1),예비비!$F$430:$F$729,"결제대금비")+MAX(0,IF(예비비!$D173&lt;EDATE(BP$99,1),예비비!$E173,0)-SUMIFS(예비비!$O$430:$O$729,예비비!$B$430:$B$729,예비비!$A173,예비비!$E$430:$E$729,"&lt;"&amp;EDATE(BP$99,1))),0)</f>
        <v>0</v>
      </c>
      <c r="BQ173">
        <f>IF(예비비!$R173="OK",SUMIFS(예비비!$O$430:$O$729,예비비!$B$430:$B$729,예비비!$A173,예비비!$E$430:$E$729,"&lt;"&amp;EDATE(BQ$99,1),예비비!$F$430:$F$729,"결제대금비")+MAX(0,IF(예비비!$D173&lt;EDATE(BQ$99,1),예비비!$E173,0)-SUMIFS(예비비!$O$430:$O$729,예비비!$B$430:$B$729,예비비!$A173,예비비!$E$430:$E$729,"&lt;"&amp;EDATE(BQ$99,1))),0)</f>
        <v>0</v>
      </c>
      <c r="BR173">
        <f>IF(예비비!$R173="OK",SUMIFS(예비비!$O$430:$O$729,예비비!$B$430:$B$729,예비비!$A173,예비비!$E$430:$E$729,"&lt;"&amp;EDATE(BR$99,1),예비비!$F$430:$F$729,"결제대금비")+MAX(0,IF(예비비!$D173&lt;EDATE(BR$99,1),예비비!$E173,0)-SUMIFS(예비비!$O$430:$O$729,예비비!$B$430:$B$729,예비비!$A173,예비비!$E$430:$E$729,"&lt;"&amp;EDATE(BR$99,1))),0)</f>
        <v>0</v>
      </c>
      <c r="BS173">
        <f>IF(예비비!$R173="OK",SUMIFS(예비비!$O$430:$O$729,예비비!$B$430:$B$729,예비비!$A173,예비비!$E$430:$E$729,"&lt;"&amp;EDATE(BS$99,1),예비비!$F$430:$F$729,"결제대금비")+MAX(0,IF(예비비!$D173&lt;EDATE(BS$99,1),예비비!$E173,0)-SUMIFS(예비비!$O$430:$O$729,예비비!$B$430:$B$729,예비비!$A173,예비비!$E$430:$E$729,"&lt;"&amp;EDATE(BS$99,1))),0)</f>
        <v>0</v>
      </c>
      <c r="BT173">
        <f>IF(예비비!$R173="OK",SUMIFS(예비비!$O$430:$O$729,예비비!$B$430:$B$729,예비비!$A173,예비비!$E$430:$E$729,"&lt;"&amp;EDATE(BT$99,1),예비비!$F$430:$F$729,"결제대금비")+MAX(0,IF(예비비!$D173&lt;EDATE(BT$99,1),예비비!$E173,0)-SUMIFS(예비비!$O$430:$O$729,예비비!$B$430:$B$729,예비비!$A173,예비비!$E$430:$E$729,"&lt;"&amp;EDATE(BT$99,1))),0)</f>
        <v>0</v>
      </c>
      <c r="BU173">
        <f>IF(예비비!$R173="OK",SUMIFS(예비비!$O$430:$O$729,예비비!$B$430:$B$729,예비비!$A173,예비비!$E$430:$E$729,"&lt;"&amp;EDATE(BU$99,1),예비비!$F$430:$F$729,"결제대금비")+MAX(0,IF(예비비!$D173&lt;EDATE(BU$99,1),예비비!$E173,0)-SUMIFS(예비비!$O$430:$O$729,예비비!$B$430:$B$729,예비비!$A173,예비비!$E$430:$E$729,"&lt;"&amp;EDATE(BU$99,1))),0)</f>
        <v>0</v>
      </c>
    </row>
    <row r="174">
      <c r="BA174">
        <v>118</v>
      </c>
      <c r="BB174">
        <f>IFERROR(INDEX(잔액!$A:$A,BA174),0)</f>
        <v>46143.0</v>
      </c>
      <c r="BH174">
        <f>IFERROR(IF(AND(BB174&gt;0,OR(COUNTIFS(예비비!$C$430:$C$729,BA174,예비비!$N$430:$N$729,"OK")&gt;0,AND(INDEX(잔액!$J:$J,BA174)="가족통장",INDEX(잔액!$K:$K,BA174)="미래에셋_WRAP형CMA"),COUNTIF(예비비!$A$8:$A$12,INDEX(잔액!$C:$C,BA174))=1,COUNTIF(예비비!$A$8:$A$12,INDEX(잔액!$D:$D,BA174))=1),OR(AND(BB174&gt;=예비비!$B$3,BB174&lt;EDATE(예비비!$B$3,1)),AND(BB174&lt;EDATE(예비비!$B$3,1),COUNTIFS(예비비!$C$430:$C$729,BA174,예비비!$L$430:$L$729,예비비!$B$3,예비비!$N$430:$N$729,"OK")&gt;0))),MAX($BH$120:BH173)+1,0),0)</f>
        <v>0</v>
      </c>
      <c r="BI174">
        <f>IF(예비비!$R174="OK",SUMIFS(예비비!$O$430:$O$729,예비비!$B$430:$B$729,예비비!$A174,예비비!$E$430:$E$729,"&lt;"&amp;EDATE(BI$99,1),예비비!$F$430:$F$729,"결제대금비")+MAX(0,IF(예비비!$D174&lt;EDATE(BI$99,1),예비비!$E174,0)-SUMIFS(예비비!$O$430:$O$729,예비비!$B$430:$B$729,예비비!$A174,예비비!$E$430:$E$729,"&lt;"&amp;EDATE(BI$99,1))),0)</f>
        <v>0</v>
      </c>
      <c r="BJ174">
        <f>IF(예비비!$R174="OK",SUMIFS(예비비!$O$430:$O$729,예비비!$B$430:$B$729,예비비!$A174,예비비!$E$430:$E$729,"&lt;"&amp;EDATE(BJ$99,1),예비비!$F$430:$F$729,"결제대금비")+MAX(0,IF(예비비!$D174&lt;EDATE(BJ$99,1),예비비!$E174,0)-SUMIFS(예비비!$O$430:$O$729,예비비!$B$430:$B$729,예비비!$A174,예비비!$E$430:$E$729,"&lt;"&amp;EDATE(BJ$99,1))),0)</f>
        <v>0</v>
      </c>
      <c r="BK174">
        <f>IF(예비비!$R174="OK",SUMIFS(예비비!$O$430:$O$729,예비비!$B$430:$B$729,예비비!$A174,예비비!$E$430:$E$729,"&lt;"&amp;EDATE(BK$99,1),예비비!$F$430:$F$729,"결제대금비")+MAX(0,IF(예비비!$D174&lt;EDATE(BK$99,1),예비비!$E174,0)-SUMIFS(예비비!$O$430:$O$729,예비비!$B$430:$B$729,예비비!$A174,예비비!$E$430:$E$729,"&lt;"&amp;EDATE(BK$99,1))),0)</f>
        <v>0</v>
      </c>
      <c r="BL174">
        <f>IF(예비비!$R174="OK",SUMIFS(예비비!$O$430:$O$729,예비비!$B$430:$B$729,예비비!$A174,예비비!$E$430:$E$729,"&lt;"&amp;EDATE(BL$99,1),예비비!$F$430:$F$729,"결제대금비")+MAX(0,IF(예비비!$D174&lt;EDATE(BL$99,1),예비비!$E174,0)-SUMIFS(예비비!$O$430:$O$729,예비비!$B$430:$B$729,예비비!$A174,예비비!$E$430:$E$729,"&lt;"&amp;EDATE(BL$99,1))),0)</f>
        <v>0</v>
      </c>
      <c r="BM174">
        <f>IF(예비비!$R174="OK",SUMIFS(예비비!$O$430:$O$729,예비비!$B$430:$B$729,예비비!$A174,예비비!$E$430:$E$729,"&lt;"&amp;EDATE(BM$99,1),예비비!$F$430:$F$729,"결제대금비")+MAX(0,IF(예비비!$D174&lt;EDATE(BM$99,1),예비비!$E174,0)-SUMIFS(예비비!$O$430:$O$729,예비비!$B$430:$B$729,예비비!$A174,예비비!$E$430:$E$729,"&lt;"&amp;EDATE(BM$99,1))),0)</f>
        <v>0</v>
      </c>
      <c r="BN174">
        <f>IF(예비비!$R174="OK",SUMIFS(예비비!$O$430:$O$729,예비비!$B$430:$B$729,예비비!$A174,예비비!$E$430:$E$729,"&lt;"&amp;EDATE(BN$99,1),예비비!$F$430:$F$729,"결제대금비")+MAX(0,IF(예비비!$D174&lt;EDATE(BN$99,1),예비비!$E174,0)-SUMIFS(예비비!$O$430:$O$729,예비비!$B$430:$B$729,예비비!$A174,예비비!$E$430:$E$729,"&lt;"&amp;EDATE(BN$99,1))),0)</f>
        <v>0</v>
      </c>
      <c r="BO174">
        <f>IF(예비비!$R174="OK",SUMIFS(예비비!$O$430:$O$729,예비비!$B$430:$B$729,예비비!$A174,예비비!$E$430:$E$729,"&lt;"&amp;EDATE(BO$99,1),예비비!$F$430:$F$729,"결제대금비")+MAX(0,IF(예비비!$D174&lt;EDATE(BO$99,1),예비비!$E174,0)-SUMIFS(예비비!$O$430:$O$729,예비비!$B$430:$B$729,예비비!$A174,예비비!$E$430:$E$729,"&lt;"&amp;EDATE(BO$99,1))),0)</f>
        <v>0</v>
      </c>
      <c r="BP174">
        <f>IF(예비비!$R174="OK",SUMIFS(예비비!$O$430:$O$729,예비비!$B$430:$B$729,예비비!$A174,예비비!$E$430:$E$729,"&lt;"&amp;EDATE(BP$99,1),예비비!$F$430:$F$729,"결제대금비")+MAX(0,IF(예비비!$D174&lt;EDATE(BP$99,1),예비비!$E174,0)-SUMIFS(예비비!$O$430:$O$729,예비비!$B$430:$B$729,예비비!$A174,예비비!$E$430:$E$729,"&lt;"&amp;EDATE(BP$99,1))),0)</f>
        <v>0</v>
      </c>
      <c r="BQ174">
        <f>IF(예비비!$R174="OK",SUMIFS(예비비!$O$430:$O$729,예비비!$B$430:$B$729,예비비!$A174,예비비!$E$430:$E$729,"&lt;"&amp;EDATE(BQ$99,1),예비비!$F$430:$F$729,"결제대금비")+MAX(0,IF(예비비!$D174&lt;EDATE(BQ$99,1),예비비!$E174,0)-SUMIFS(예비비!$O$430:$O$729,예비비!$B$430:$B$729,예비비!$A174,예비비!$E$430:$E$729,"&lt;"&amp;EDATE(BQ$99,1))),0)</f>
        <v>0</v>
      </c>
      <c r="BR174">
        <f>IF(예비비!$R174="OK",SUMIFS(예비비!$O$430:$O$729,예비비!$B$430:$B$729,예비비!$A174,예비비!$E$430:$E$729,"&lt;"&amp;EDATE(BR$99,1),예비비!$F$430:$F$729,"결제대금비")+MAX(0,IF(예비비!$D174&lt;EDATE(BR$99,1),예비비!$E174,0)-SUMIFS(예비비!$O$430:$O$729,예비비!$B$430:$B$729,예비비!$A174,예비비!$E$430:$E$729,"&lt;"&amp;EDATE(BR$99,1))),0)</f>
        <v>0</v>
      </c>
      <c r="BS174">
        <f>IF(예비비!$R174="OK",SUMIFS(예비비!$O$430:$O$729,예비비!$B$430:$B$729,예비비!$A174,예비비!$E$430:$E$729,"&lt;"&amp;EDATE(BS$99,1),예비비!$F$430:$F$729,"결제대금비")+MAX(0,IF(예비비!$D174&lt;EDATE(BS$99,1),예비비!$E174,0)-SUMIFS(예비비!$O$430:$O$729,예비비!$B$430:$B$729,예비비!$A174,예비비!$E$430:$E$729,"&lt;"&amp;EDATE(BS$99,1))),0)</f>
        <v>0</v>
      </c>
      <c r="BT174">
        <f>IF(예비비!$R174="OK",SUMIFS(예비비!$O$430:$O$729,예비비!$B$430:$B$729,예비비!$A174,예비비!$E$430:$E$729,"&lt;"&amp;EDATE(BT$99,1),예비비!$F$430:$F$729,"결제대금비")+MAX(0,IF(예비비!$D174&lt;EDATE(BT$99,1),예비비!$E174,0)-SUMIFS(예비비!$O$430:$O$729,예비비!$B$430:$B$729,예비비!$A174,예비비!$E$430:$E$729,"&lt;"&amp;EDATE(BT$99,1))),0)</f>
        <v>0</v>
      </c>
      <c r="BU174">
        <f>IF(예비비!$R174="OK",SUMIFS(예비비!$O$430:$O$729,예비비!$B$430:$B$729,예비비!$A174,예비비!$E$430:$E$729,"&lt;"&amp;EDATE(BU$99,1),예비비!$F$430:$F$729,"결제대금비")+MAX(0,IF(예비비!$D174&lt;EDATE(BU$99,1),예비비!$E174,0)-SUMIFS(예비비!$O$430:$O$729,예비비!$B$430:$B$729,예비비!$A174,예비비!$E$430:$E$729,"&lt;"&amp;EDATE(BU$99,1))),0)</f>
        <v>0</v>
      </c>
    </row>
    <row r="175">
      <c r="BA175">
        <v>119</v>
      </c>
      <c r="BB175">
        <f>IFERROR(INDEX(잔액!$A:$A,BA175),0)</f>
        <v>46143.0</v>
      </c>
      <c r="BH175">
        <f>IFERROR(IF(AND(BB175&gt;0,OR(COUNTIFS(예비비!$C$430:$C$729,BA175,예비비!$N$430:$N$729,"OK")&gt;0,AND(INDEX(잔액!$J:$J,BA175)="가족통장",INDEX(잔액!$K:$K,BA175)="미래에셋_WRAP형CMA"),COUNTIF(예비비!$A$8:$A$12,INDEX(잔액!$C:$C,BA175))=1,COUNTIF(예비비!$A$8:$A$12,INDEX(잔액!$D:$D,BA175))=1),OR(AND(BB175&gt;=예비비!$B$3,BB175&lt;EDATE(예비비!$B$3,1)),AND(BB175&lt;EDATE(예비비!$B$3,1),COUNTIFS(예비비!$C$430:$C$729,BA175,예비비!$L$430:$L$729,예비비!$B$3,예비비!$N$430:$N$729,"OK")&gt;0))),MAX($BH$120:BH174)+1,0),0)</f>
        <v>0</v>
      </c>
      <c r="BI175">
        <f>IF(예비비!$R175="OK",SUMIFS(예비비!$O$430:$O$729,예비비!$B$430:$B$729,예비비!$A175,예비비!$E$430:$E$729,"&lt;"&amp;EDATE(BI$99,1),예비비!$F$430:$F$729,"결제대금비")+MAX(0,IF(예비비!$D175&lt;EDATE(BI$99,1),예비비!$E175,0)-SUMIFS(예비비!$O$430:$O$729,예비비!$B$430:$B$729,예비비!$A175,예비비!$E$430:$E$729,"&lt;"&amp;EDATE(BI$99,1))),0)</f>
        <v>0</v>
      </c>
      <c r="BJ175">
        <f>IF(예비비!$R175="OK",SUMIFS(예비비!$O$430:$O$729,예비비!$B$430:$B$729,예비비!$A175,예비비!$E$430:$E$729,"&lt;"&amp;EDATE(BJ$99,1),예비비!$F$430:$F$729,"결제대금비")+MAX(0,IF(예비비!$D175&lt;EDATE(BJ$99,1),예비비!$E175,0)-SUMIFS(예비비!$O$430:$O$729,예비비!$B$430:$B$729,예비비!$A175,예비비!$E$430:$E$729,"&lt;"&amp;EDATE(BJ$99,1))),0)</f>
        <v>0</v>
      </c>
      <c r="BK175">
        <f>IF(예비비!$R175="OK",SUMIFS(예비비!$O$430:$O$729,예비비!$B$430:$B$729,예비비!$A175,예비비!$E$430:$E$729,"&lt;"&amp;EDATE(BK$99,1),예비비!$F$430:$F$729,"결제대금비")+MAX(0,IF(예비비!$D175&lt;EDATE(BK$99,1),예비비!$E175,0)-SUMIFS(예비비!$O$430:$O$729,예비비!$B$430:$B$729,예비비!$A175,예비비!$E$430:$E$729,"&lt;"&amp;EDATE(BK$99,1))),0)</f>
        <v>0</v>
      </c>
      <c r="BL175">
        <f>IF(예비비!$R175="OK",SUMIFS(예비비!$O$430:$O$729,예비비!$B$430:$B$729,예비비!$A175,예비비!$E$430:$E$729,"&lt;"&amp;EDATE(BL$99,1),예비비!$F$430:$F$729,"결제대금비")+MAX(0,IF(예비비!$D175&lt;EDATE(BL$99,1),예비비!$E175,0)-SUMIFS(예비비!$O$430:$O$729,예비비!$B$430:$B$729,예비비!$A175,예비비!$E$430:$E$729,"&lt;"&amp;EDATE(BL$99,1))),0)</f>
        <v>0</v>
      </c>
      <c r="BM175">
        <f>IF(예비비!$R175="OK",SUMIFS(예비비!$O$430:$O$729,예비비!$B$430:$B$729,예비비!$A175,예비비!$E$430:$E$729,"&lt;"&amp;EDATE(BM$99,1),예비비!$F$430:$F$729,"결제대금비")+MAX(0,IF(예비비!$D175&lt;EDATE(BM$99,1),예비비!$E175,0)-SUMIFS(예비비!$O$430:$O$729,예비비!$B$430:$B$729,예비비!$A175,예비비!$E$430:$E$729,"&lt;"&amp;EDATE(BM$99,1))),0)</f>
        <v>0</v>
      </c>
      <c r="BN175">
        <f>IF(예비비!$R175="OK",SUMIFS(예비비!$O$430:$O$729,예비비!$B$430:$B$729,예비비!$A175,예비비!$E$430:$E$729,"&lt;"&amp;EDATE(BN$99,1),예비비!$F$430:$F$729,"결제대금비")+MAX(0,IF(예비비!$D175&lt;EDATE(BN$99,1),예비비!$E175,0)-SUMIFS(예비비!$O$430:$O$729,예비비!$B$430:$B$729,예비비!$A175,예비비!$E$430:$E$729,"&lt;"&amp;EDATE(BN$99,1))),0)</f>
        <v>0</v>
      </c>
      <c r="BO175">
        <f>IF(예비비!$R175="OK",SUMIFS(예비비!$O$430:$O$729,예비비!$B$430:$B$729,예비비!$A175,예비비!$E$430:$E$729,"&lt;"&amp;EDATE(BO$99,1),예비비!$F$430:$F$729,"결제대금비")+MAX(0,IF(예비비!$D175&lt;EDATE(BO$99,1),예비비!$E175,0)-SUMIFS(예비비!$O$430:$O$729,예비비!$B$430:$B$729,예비비!$A175,예비비!$E$430:$E$729,"&lt;"&amp;EDATE(BO$99,1))),0)</f>
        <v>0</v>
      </c>
      <c r="BP175">
        <f>IF(예비비!$R175="OK",SUMIFS(예비비!$O$430:$O$729,예비비!$B$430:$B$729,예비비!$A175,예비비!$E$430:$E$729,"&lt;"&amp;EDATE(BP$99,1),예비비!$F$430:$F$729,"결제대금비")+MAX(0,IF(예비비!$D175&lt;EDATE(BP$99,1),예비비!$E175,0)-SUMIFS(예비비!$O$430:$O$729,예비비!$B$430:$B$729,예비비!$A175,예비비!$E$430:$E$729,"&lt;"&amp;EDATE(BP$99,1))),0)</f>
        <v>0</v>
      </c>
      <c r="BQ175">
        <f>IF(예비비!$R175="OK",SUMIFS(예비비!$O$430:$O$729,예비비!$B$430:$B$729,예비비!$A175,예비비!$E$430:$E$729,"&lt;"&amp;EDATE(BQ$99,1),예비비!$F$430:$F$729,"결제대금비")+MAX(0,IF(예비비!$D175&lt;EDATE(BQ$99,1),예비비!$E175,0)-SUMIFS(예비비!$O$430:$O$729,예비비!$B$430:$B$729,예비비!$A175,예비비!$E$430:$E$729,"&lt;"&amp;EDATE(BQ$99,1))),0)</f>
        <v>0</v>
      </c>
      <c r="BR175">
        <f>IF(예비비!$R175="OK",SUMIFS(예비비!$O$430:$O$729,예비비!$B$430:$B$729,예비비!$A175,예비비!$E$430:$E$729,"&lt;"&amp;EDATE(BR$99,1),예비비!$F$430:$F$729,"결제대금비")+MAX(0,IF(예비비!$D175&lt;EDATE(BR$99,1),예비비!$E175,0)-SUMIFS(예비비!$O$430:$O$729,예비비!$B$430:$B$729,예비비!$A175,예비비!$E$430:$E$729,"&lt;"&amp;EDATE(BR$99,1))),0)</f>
        <v>0</v>
      </c>
      <c r="BS175">
        <f>IF(예비비!$R175="OK",SUMIFS(예비비!$O$430:$O$729,예비비!$B$430:$B$729,예비비!$A175,예비비!$E$430:$E$729,"&lt;"&amp;EDATE(BS$99,1),예비비!$F$430:$F$729,"결제대금비")+MAX(0,IF(예비비!$D175&lt;EDATE(BS$99,1),예비비!$E175,0)-SUMIFS(예비비!$O$430:$O$729,예비비!$B$430:$B$729,예비비!$A175,예비비!$E$430:$E$729,"&lt;"&amp;EDATE(BS$99,1))),0)</f>
        <v>0</v>
      </c>
      <c r="BT175">
        <f>IF(예비비!$R175="OK",SUMIFS(예비비!$O$430:$O$729,예비비!$B$430:$B$729,예비비!$A175,예비비!$E$430:$E$729,"&lt;"&amp;EDATE(BT$99,1),예비비!$F$430:$F$729,"결제대금비")+MAX(0,IF(예비비!$D175&lt;EDATE(BT$99,1),예비비!$E175,0)-SUMIFS(예비비!$O$430:$O$729,예비비!$B$430:$B$729,예비비!$A175,예비비!$E$430:$E$729,"&lt;"&amp;EDATE(BT$99,1))),0)</f>
        <v>0</v>
      </c>
      <c r="BU175">
        <f>IF(예비비!$R175="OK",SUMIFS(예비비!$O$430:$O$729,예비비!$B$430:$B$729,예비비!$A175,예비비!$E$430:$E$729,"&lt;"&amp;EDATE(BU$99,1),예비비!$F$430:$F$729,"결제대금비")+MAX(0,IF(예비비!$D175&lt;EDATE(BU$99,1),예비비!$E175,0)-SUMIFS(예비비!$O$430:$O$729,예비비!$B$430:$B$729,예비비!$A175,예비비!$E$430:$E$729,"&lt;"&amp;EDATE(BU$99,1))),0)</f>
        <v>0</v>
      </c>
    </row>
    <row r="176">
      <c r="BA176">
        <v>120</v>
      </c>
      <c r="BB176">
        <f>IFERROR(INDEX(잔액!$A:$A,BA176),0)</f>
        <v>46143.0</v>
      </c>
      <c r="BH176">
        <f>IFERROR(IF(AND(BB176&gt;0,OR(COUNTIFS(예비비!$C$430:$C$729,BA176,예비비!$N$430:$N$729,"OK")&gt;0,AND(INDEX(잔액!$J:$J,BA176)="가족통장",INDEX(잔액!$K:$K,BA176)="미래에셋_WRAP형CMA"),COUNTIF(예비비!$A$8:$A$12,INDEX(잔액!$C:$C,BA176))=1,COUNTIF(예비비!$A$8:$A$12,INDEX(잔액!$D:$D,BA176))=1),OR(AND(BB176&gt;=예비비!$B$3,BB176&lt;EDATE(예비비!$B$3,1)),AND(BB176&lt;EDATE(예비비!$B$3,1),COUNTIFS(예비비!$C$430:$C$729,BA176,예비비!$L$430:$L$729,예비비!$B$3,예비비!$N$430:$N$729,"OK")&gt;0))),MAX($BH$120:BH175)+1,0),0)</f>
        <v>0</v>
      </c>
      <c r="BI176">
        <f>IF(예비비!$R176="OK",SUMIFS(예비비!$O$430:$O$729,예비비!$B$430:$B$729,예비비!$A176,예비비!$E$430:$E$729,"&lt;"&amp;EDATE(BI$99,1),예비비!$F$430:$F$729,"결제대금비")+MAX(0,IF(예비비!$D176&lt;EDATE(BI$99,1),예비비!$E176,0)-SUMIFS(예비비!$O$430:$O$729,예비비!$B$430:$B$729,예비비!$A176,예비비!$E$430:$E$729,"&lt;"&amp;EDATE(BI$99,1))),0)</f>
        <v>0</v>
      </c>
      <c r="BJ176">
        <f>IF(예비비!$R176="OK",SUMIFS(예비비!$O$430:$O$729,예비비!$B$430:$B$729,예비비!$A176,예비비!$E$430:$E$729,"&lt;"&amp;EDATE(BJ$99,1),예비비!$F$430:$F$729,"결제대금비")+MAX(0,IF(예비비!$D176&lt;EDATE(BJ$99,1),예비비!$E176,0)-SUMIFS(예비비!$O$430:$O$729,예비비!$B$430:$B$729,예비비!$A176,예비비!$E$430:$E$729,"&lt;"&amp;EDATE(BJ$99,1))),0)</f>
        <v>0</v>
      </c>
      <c r="BK176">
        <f>IF(예비비!$R176="OK",SUMIFS(예비비!$O$430:$O$729,예비비!$B$430:$B$729,예비비!$A176,예비비!$E$430:$E$729,"&lt;"&amp;EDATE(BK$99,1),예비비!$F$430:$F$729,"결제대금비")+MAX(0,IF(예비비!$D176&lt;EDATE(BK$99,1),예비비!$E176,0)-SUMIFS(예비비!$O$430:$O$729,예비비!$B$430:$B$729,예비비!$A176,예비비!$E$430:$E$729,"&lt;"&amp;EDATE(BK$99,1))),0)</f>
        <v>0</v>
      </c>
      <c r="BL176">
        <f>IF(예비비!$R176="OK",SUMIFS(예비비!$O$430:$O$729,예비비!$B$430:$B$729,예비비!$A176,예비비!$E$430:$E$729,"&lt;"&amp;EDATE(BL$99,1),예비비!$F$430:$F$729,"결제대금비")+MAX(0,IF(예비비!$D176&lt;EDATE(BL$99,1),예비비!$E176,0)-SUMIFS(예비비!$O$430:$O$729,예비비!$B$430:$B$729,예비비!$A176,예비비!$E$430:$E$729,"&lt;"&amp;EDATE(BL$99,1))),0)</f>
        <v>0</v>
      </c>
      <c r="BM176">
        <f>IF(예비비!$R176="OK",SUMIFS(예비비!$O$430:$O$729,예비비!$B$430:$B$729,예비비!$A176,예비비!$E$430:$E$729,"&lt;"&amp;EDATE(BM$99,1),예비비!$F$430:$F$729,"결제대금비")+MAX(0,IF(예비비!$D176&lt;EDATE(BM$99,1),예비비!$E176,0)-SUMIFS(예비비!$O$430:$O$729,예비비!$B$430:$B$729,예비비!$A176,예비비!$E$430:$E$729,"&lt;"&amp;EDATE(BM$99,1))),0)</f>
        <v>0</v>
      </c>
      <c r="BN176">
        <f>IF(예비비!$R176="OK",SUMIFS(예비비!$O$430:$O$729,예비비!$B$430:$B$729,예비비!$A176,예비비!$E$430:$E$729,"&lt;"&amp;EDATE(BN$99,1),예비비!$F$430:$F$729,"결제대금비")+MAX(0,IF(예비비!$D176&lt;EDATE(BN$99,1),예비비!$E176,0)-SUMIFS(예비비!$O$430:$O$729,예비비!$B$430:$B$729,예비비!$A176,예비비!$E$430:$E$729,"&lt;"&amp;EDATE(BN$99,1))),0)</f>
        <v>0</v>
      </c>
      <c r="BO176">
        <f>IF(예비비!$R176="OK",SUMIFS(예비비!$O$430:$O$729,예비비!$B$430:$B$729,예비비!$A176,예비비!$E$430:$E$729,"&lt;"&amp;EDATE(BO$99,1),예비비!$F$430:$F$729,"결제대금비")+MAX(0,IF(예비비!$D176&lt;EDATE(BO$99,1),예비비!$E176,0)-SUMIFS(예비비!$O$430:$O$729,예비비!$B$430:$B$729,예비비!$A176,예비비!$E$430:$E$729,"&lt;"&amp;EDATE(BO$99,1))),0)</f>
        <v>0</v>
      </c>
      <c r="BP176">
        <f>IF(예비비!$R176="OK",SUMIFS(예비비!$O$430:$O$729,예비비!$B$430:$B$729,예비비!$A176,예비비!$E$430:$E$729,"&lt;"&amp;EDATE(BP$99,1),예비비!$F$430:$F$729,"결제대금비")+MAX(0,IF(예비비!$D176&lt;EDATE(BP$99,1),예비비!$E176,0)-SUMIFS(예비비!$O$430:$O$729,예비비!$B$430:$B$729,예비비!$A176,예비비!$E$430:$E$729,"&lt;"&amp;EDATE(BP$99,1))),0)</f>
        <v>0</v>
      </c>
      <c r="BQ176">
        <f>IF(예비비!$R176="OK",SUMIFS(예비비!$O$430:$O$729,예비비!$B$430:$B$729,예비비!$A176,예비비!$E$430:$E$729,"&lt;"&amp;EDATE(BQ$99,1),예비비!$F$430:$F$729,"결제대금비")+MAX(0,IF(예비비!$D176&lt;EDATE(BQ$99,1),예비비!$E176,0)-SUMIFS(예비비!$O$430:$O$729,예비비!$B$430:$B$729,예비비!$A176,예비비!$E$430:$E$729,"&lt;"&amp;EDATE(BQ$99,1))),0)</f>
        <v>0</v>
      </c>
      <c r="BR176">
        <f>IF(예비비!$R176="OK",SUMIFS(예비비!$O$430:$O$729,예비비!$B$430:$B$729,예비비!$A176,예비비!$E$430:$E$729,"&lt;"&amp;EDATE(BR$99,1),예비비!$F$430:$F$729,"결제대금비")+MAX(0,IF(예비비!$D176&lt;EDATE(BR$99,1),예비비!$E176,0)-SUMIFS(예비비!$O$430:$O$729,예비비!$B$430:$B$729,예비비!$A176,예비비!$E$430:$E$729,"&lt;"&amp;EDATE(BR$99,1))),0)</f>
        <v>0</v>
      </c>
      <c r="BS176">
        <f>IF(예비비!$R176="OK",SUMIFS(예비비!$O$430:$O$729,예비비!$B$430:$B$729,예비비!$A176,예비비!$E$430:$E$729,"&lt;"&amp;EDATE(BS$99,1),예비비!$F$430:$F$729,"결제대금비")+MAX(0,IF(예비비!$D176&lt;EDATE(BS$99,1),예비비!$E176,0)-SUMIFS(예비비!$O$430:$O$729,예비비!$B$430:$B$729,예비비!$A176,예비비!$E$430:$E$729,"&lt;"&amp;EDATE(BS$99,1))),0)</f>
        <v>0</v>
      </c>
      <c r="BT176">
        <f>IF(예비비!$R176="OK",SUMIFS(예비비!$O$430:$O$729,예비비!$B$430:$B$729,예비비!$A176,예비비!$E$430:$E$729,"&lt;"&amp;EDATE(BT$99,1),예비비!$F$430:$F$729,"결제대금비")+MAX(0,IF(예비비!$D176&lt;EDATE(BT$99,1),예비비!$E176,0)-SUMIFS(예비비!$O$430:$O$729,예비비!$B$430:$B$729,예비비!$A176,예비비!$E$430:$E$729,"&lt;"&amp;EDATE(BT$99,1))),0)</f>
        <v>0</v>
      </c>
      <c r="BU176">
        <f>IF(예비비!$R176="OK",SUMIFS(예비비!$O$430:$O$729,예비비!$B$430:$B$729,예비비!$A176,예비비!$E$430:$E$729,"&lt;"&amp;EDATE(BU$99,1),예비비!$F$430:$F$729,"결제대금비")+MAX(0,IF(예비비!$D176&lt;EDATE(BU$99,1),예비비!$E176,0)-SUMIFS(예비비!$O$430:$O$729,예비비!$B$430:$B$729,예비비!$A176,예비비!$E$430:$E$729,"&lt;"&amp;EDATE(BU$99,1))),0)</f>
        <v>0</v>
      </c>
    </row>
    <row r="177">
      <c r="BA177">
        <v>121</v>
      </c>
      <c r="BB177">
        <f>IFERROR(INDEX(잔액!$A:$A,BA177),0)</f>
        <v>46143.0</v>
      </c>
      <c r="BH177">
        <f>IFERROR(IF(AND(BB177&gt;0,OR(COUNTIFS(예비비!$C$430:$C$729,BA177,예비비!$N$430:$N$729,"OK")&gt;0,AND(INDEX(잔액!$J:$J,BA177)="가족통장",INDEX(잔액!$K:$K,BA177)="미래에셋_WRAP형CMA"),COUNTIF(예비비!$A$8:$A$12,INDEX(잔액!$C:$C,BA177))=1,COUNTIF(예비비!$A$8:$A$12,INDEX(잔액!$D:$D,BA177))=1),OR(AND(BB177&gt;=예비비!$B$3,BB177&lt;EDATE(예비비!$B$3,1)),AND(BB177&lt;EDATE(예비비!$B$3,1),COUNTIFS(예비비!$C$430:$C$729,BA177,예비비!$L$430:$L$729,예비비!$B$3,예비비!$N$430:$N$729,"OK")&gt;0))),MAX($BH$120:BH176)+1,0),0)</f>
        <v>0</v>
      </c>
      <c r="BI177">
        <f>IF(예비비!$R177="OK",SUMIFS(예비비!$O$430:$O$729,예비비!$B$430:$B$729,예비비!$A177,예비비!$E$430:$E$729,"&lt;"&amp;EDATE(BI$99,1),예비비!$F$430:$F$729,"결제대금비")+MAX(0,IF(예비비!$D177&lt;EDATE(BI$99,1),예비비!$E177,0)-SUMIFS(예비비!$O$430:$O$729,예비비!$B$430:$B$729,예비비!$A177,예비비!$E$430:$E$729,"&lt;"&amp;EDATE(BI$99,1))),0)</f>
        <v>0</v>
      </c>
      <c r="BJ177">
        <f>IF(예비비!$R177="OK",SUMIFS(예비비!$O$430:$O$729,예비비!$B$430:$B$729,예비비!$A177,예비비!$E$430:$E$729,"&lt;"&amp;EDATE(BJ$99,1),예비비!$F$430:$F$729,"결제대금비")+MAX(0,IF(예비비!$D177&lt;EDATE(BJ$99,1),예비비!$E177,0)-SUMIFS(예비비!$O$430:$O$729,예비비!$B$430:$B$729,예비비!$A177,예비비!$E$430:$E$729,"&lt;"&amp;EDATE(BJ$99,1))),0)</f>
        <v>0</v>
      </c>
      <c r="BK177">
        <f>IF(예비비!$R177="OK",SUMIFS(예비비!$O$430:$O$729,예비비!$B$430:$B$729,예비비!$A177,예비비!$E$430:$E$729,"&lt;"&amp;EDATE(BK$99,1),예비비!$F$430:$F$729,"결제대금비")+MAX(0,IF(예비비!$D177&lt;EDATE(BK$99,1),예비비!$E177,0)-SUMIFS(예비비!$O$430:$O$729,예비비!$B$430:$B$729,예비비!$A177,예비비!$E$430:$E$729,"&lt;"&amp;EDATE(BK$99,1))),0)</f>
        <v>0</v>
      </c>
      <c r="BL177">
        <f>IF(예비비!$R177="OK",SUMIFS(예비비!$O$430:$O$729,예비비!$B$430:$B$729,예비비!$A177,예비비!$E$430:$E$729,"&lt;"&amp;EDATE(BL$99,1),예비비!$F$430:$F$729,"결제대금비")+MAX(0,IF(예비비!$D177&lt;EDATE(BL$99,1),예비비!$E177,0)-SUMIFS(예비비!$O$430:$O$729,예비비!$B$430:$B$729,예비비!$A177,예비비!$E$430:$E$729,"&lt;"&amp;EDATE(BL$99,1))),0)</f>
        <v>0</v>
      </c>
      <c r="BM177">
        <f>IF(예비비!$R177="OK",SUMIFS(예비비!$O$430:$O$729,예비비!$B$430:$B$729,예비비!$A177,예비비!$E$430:$E$729,"&lt;"&amp;EDATE(BM$99,1),예비비!$F$430:$F$729,"결제대금비")+MAX(0,IF(예비비!$D177&lt;EDATE(BM$99,1),예비비!$E177,0)-SUMIFS(예비비!$O$430:$O$729,예비비!$B$430:$B$729,예비비!$A177,예비비!$E$430:$E$729,"&lt;"&amp;EDATE(BM$99,1))),0)</f>
        <v>0</v>
      </c>
      <c r="BN177">
        <f>IF(예비비!$R177="OK",SUMIFS(예비비!$O$430:$O$729,예비비!$B$430:$B$729,예비비!$A177,예비비!$E$430:$E$729,"&lt;"&amp;EDATE(BN$99,1),예비비!$F$430:$F$729,"결제대금비")+MAX(0,IF(예비비!$D177&lt;EDATE(BN$99,1),예비비!$E177,0)-SUMIFS(예비비!$O$430:$O$729,예비비!$B$430:$B$729,예비비!$A177,예비비!$E$430:$E$729,"&lt;"&amp;EDATE(BN$99,1))),0)</f>
        <v>0</v>
      </c>
      <c r="BO177">
        <f>IF(예비비!$R177="OK",SUMIFS(예비비!$O$430:$O$729,예비비!$B$430:$B$729,예비비!$A177,예비비!$E$430:$E$729,"&lt;"&amp;EDATE(BO$99,1),예비비!$F$430:$F$729,"결제대금비")+MAX(0,IF(예비비!$D177&lt;EDATE(BO$99,1),예비비!$E177,0)-SUMIFS(예비비!$O$430:$O$729,예비비!$B$430:$B$729,예비비!$A177,예비비!$E$430:$E$729,"&lt;"&amp;EDATE(BO$99,1))),0)</f>
        <v>0</v>
      </c>
      <c r="BP177">
        <f>IF(예비비!$R177="OK",SUMIFS(예비비!$O$430:$O$729,예비비!$B$430:$B$729,예비비!$A177,예비비!$E$430:$E$729,"&lt;"&amp;EDATE(BP$99,1),예비비!$F$430:$F$729,"결제대금비")+MAX(0,IF(예비비!$D177&lt;EDATE(BP$99,1),예비비!$E177,0)-SUMIFS(예비비!$O$430:$O$729,예비비!$B$430:$B$729,예비비!$A177,예비비!$E$430:$E$729,"&lt;"&amp;EDATE(BP$99,1))),0)</f>
        <v>0</v>
      </c>
      <c r="BQ177">
        <f>IF(예비비!$R177="OK",SUMIFS(예비비!$O$430:$O$729,예비비!$B$430:$B$729,예비비!$A177,예비비!$E$430:$E$729,"&lt;"&amp;EDATE(BQ$99,1),예비비!$F$430:$F$729,"결제대금비")+MAX(0,IF(예비비!$D177&lt;EDATE(BQ$99,1),예비비!$E177,0)-SUMIFS(예비비!$O$430:$O$729,예비비!$B$430:$B$729,예비비!$A177,예비비!$E$430:$E$729,"&lt;"&amp;EDATE(BQ$99,1))),0)</f>
        <v>0</v>
      </c>
      <c r="BR177">
        <f>IF(예비비!$R177="OK",SUMIFS(예비비!$O$430:$O$729,예비비!$B$430:$B$729,예비비!$A177,예비비!$E$430:$E$729,"&lt;"&amp;EDATE(BR$99,1),예비비!$F$430:$F$729,"결제대금비")+MAX(0,IF(예비비!$D177&lt;EDATE(BR$99,1),예비비!$E177,0)-SUMIFS(예비비!$O$430:$O$729,예비비!$B$430:$B$729,예비비!$A177,예비비!$E$430:$E$729,"&lt;"&amp;EDATE(BR$99,1))),0)</f>
        <v>0</v>
      </c>
      <c r="BS177">
        <f>IF(예비비!$R177="OK",SUMIFS(예비비!$O$430:$O$729,예비비!$B$430:$B$729,예비비!$A177,예비비!$E$430:$E$729,"&lt;"&amp;EDATE(BS$99,1),예비비!$F$430:$F$729,"결제대금비")+MAX(0,IF(예비비!$D177&lt;EDATE(BS$99,1),예비비!$E177,0)-SUMIFS(예비비!$O$430:$O$729,예비비!$B$430:$B$729,예비비!$A177,예비비!$E$430:$E$729,"&lt;"&amp;EDATE(BS$99,1))),0)</f>
        <v>0</v>
      </c>
      <c r="BT177">
        <f>IF(예비비!$R177="OK",SUMIFS(예비비!$O$430:$O$729,예비비!$B$430:$B$729,예비비!$A177,예비비!$E$430:$E$729,"&lt;"&amp;EDATE(BT$99,1),예비비!$F$430:$F$729,"결제대금비")+MAX(0,IF(예비비!$D177&lt;EDATE(BT$99,1),예비비!$E177,0)-SUMIFS(예비비!$O$430:$O$729,예비비!$B$430:$B$729,예비비!$A177,예비비!$E$430:$E$729,"&lt;"&amp;EDATE(BT$99,1))),0)</f>
        <v>0</v>
      </c>
      <c r="BU177">
        <f>IF(예비비!$R177="OK",SUMIFS(예비비!$O$430:$O$729,예비비!$B$430:$B$729,예비비!$A177,예비비!$E$430:$E$729,"&lt;"&amp;EDATE(BU$99,1),예비비!$F$430:$F$729,"결제대금비")+MAX(0,IF(예비비!$D177&lt;EDATE(BU$99,1),예비비!$E177,0)-SUMIFS(예비비!$O$430:$O$729,예비비!$B$430:$B$729,예비비!$A177,예비비!$E$430:$E$729,"&lt;"&amp;EDATE(BU$99,1))),0)</f>
        <v>0</v>
      </c>
    </row>
    <row r="178">
      <c r="BA178">
        <v>122</v>
      </c>
      <c r="BB178">
        <f>IFERROR(INDEX(잔액!$A:$A,BA178),0)</f>
        <v>46143.0</v>
      </c>
      <c r="BH178">
        <f>IFERROR(IF(AND(BB178&gt;0,OR(COUNTIFS(예비비!$C$430:$C$729,BA178,예비비!$N$430:$N$729,"OK")&gt;0,AND(INDEX(잔액!$J:$J,BA178)="가족통장",INDEX(잔액!$K:$K,BA178)="미래에셋_WRAP형CMA"),COUNTIF(예비비!$A$8:$A$12,INDEX(잔액!$C:$C,BA178))=1,COUNTIF(예비비!$A$8:$A$12,INDEX(잔액!$D:$D,BA178))=1),OR(AND(BB178&gt;=예비비!$B$3,BB178&lt;EDATE(예비비!$B$3,1)),AND(BB178&lt;EDATE(예비비!$B$3,1),COUNTIFS(예비비!$C$430:$C$729,BA178,예비비!$L$430:$L$729,예비비!$B$3,예비비!$N$430:$N$729,"OK")&gt;0))),MAX($BH$120:BH177)+1,0),0)</f>
        <v>0</v>
      </c>
      <c r="BI178">
        <f>IF(예비비!$R178="OK",SUMIFS(예비비!$O$430:$O$729,예비비!$B$430:$B$729,예비비!$A178,예비비!$E$430:$E$729,"&lt;"&amp;EDATE(BI$99,1),예비비!$F$430:$F$729,"결제대금비")+MAX(0,IF(예비비!$D178&lt;EDATE(BI$99,1),예비비!$E178,0)-SUMIFS(예비비!$O$430:$O$729,예비비!$B$430:$B$729,예비비!$A178,예비비!$E$430:$E$729,"&lt;"&amp;EDATE(BI$99,1))),0)</f>
        <v>0</v>
      </c>
      <c r="BJ178">
        <f>IF(예비비!$R178="OK",SUMIFS(예비비!$O$430:$O$729,예비비!$B$430:$B$729,예비비!$A178,예비비!$E$430:$E$729,"&lt;"&amp;EDATE(BJ$99,1),예비비!$F$430:$F$729,"결제대금비")+MAX(0,IF(예비비!$D178&lt;EDATE(BJ$99,1),예비비!$E178,0)-SUMIFS(예비비!$O$430:$O$729,예비비!$B$430:$B$729,예비비!$A178,예비비!$E$430:$E$729,"&lt;"&amp;EDATE(BJ$99,1))),0)</f>
        <v>0</v>
      </c>
      <c r="BK178">
        <f>IF(예비비!$R178="OK",SUMIFS(예비비!$O$430:$O$729,예비비!$B$430:$B$729,예비비!$A178,예비비!$E$430:$E$729,"&lt;"&amp;EDATE(BK$99,1),예비비!$F$430:$F$729,"결제대금비")+MAX(0,IF(예비비!$D178&lt;EDATE(BK$99,1),예비비!$E178,0)-SUMIFS(예비비!$O$430:$O$729,예비비!$B$430:$B$729,예비비!$A178,예비비!$E$430:$E$729,"&lt;"&amp;EDATE(BK$99,1))),0)</f>
        <v>0</v>
      </c>
      <c r="BL178">
        <f>IF(예비비!$R178="OK",SUMIFS(예비비!$O$430:$O$729,예비비!$B$430:$B$729,예비비!$A178,예비비!$E$430:$E$729,"&lt;"&amp;EDATE(BL$99,1),예비비!$F$430:$F$729,"결제대금비")+MAX(0,IF(예비비!$D178&lt;EDATE(BL$99,1),예비비!$E178,0)-SUMIFS(예비비!$O$430:$O$729,예비비!$B$430:$B$729,예비비!$A178,예비비!$E$430:$E$729,"&lt;"&amp;EDATE(BL$99,1))),0)</f>
        <v>0</v>
      </c>
      <c r="BM178">
        <f>IF(예비비!$R178="OK",SUMIFS(예비비!$O$430:$O$729,예비비!$B$430:$B$729,예비비!$A178,예비비!$E$430:$E$729,"&lt;"&amp;EDATE(BM$99,1),예비비!$F$430:$F$729,"결제대금비")+MAX(0,IF(예비비!$D178&lt;EDATE(BM$99,1),예비비!$E178,0)-SUMIFS(예비비!$O$430:$O$729,예비비!$B$430:$B$729,예비비!$A178,예비비!$E$430:$E$729,"&lt;"&amp;EDATE(BM$99,1))),0)</f>
        <v>0</v>
      </c>
      <c r="BN178">
        <f>IF(예비비!$R178="OK",SUMIFS(예비비!$O$430:$O$729,예비비!$B$430:$B$729,예비비!$A178,예비비!$E$430:$E$729,"&lt;"&amp;EDATE(BN$99,1),예비비!$F$430:$F$729,"결제대금비")+MAX(0,IF(예비비!$D178&lt;EDATE(BN$99,1),예비비!$E178,0)-SUMIFS(예비비!$O$430:$O$729,예비비!$B$430:$B$729,예비비!$A178,예비비!$E$430:$E$729,"&lt;"&amp;EDATE(BN$99,1))),0)</f>
        <v>0</v>
      </c>
      <c r="BO178">
        <f>IF(예비비!$R178="OK",SUMIFS(예비비!$O$430:$O$729,예비비!$B$430:$B$729,예비비!$A178,예비비!$E$430:$E$729,"&lt;"&amp;EDATE(BO$99,1),예비비!$F$430:$F$729,"결제대금비")+MAX(0,IF(예비비!$D178&lt;EDATE(BO$99,1),예비비!$E178,0)-SUMIFS(예비비!$O$430:$O$729,예비비!$B$430:$B$729,예비비!$A178,예비비!$E$430:$E$729,"&lt;"&amp;EDATE(BO$99,1))),0)</f>
        <v>0</v>
      </c>
      <c r="BP178">
        <f>IF(예비비!$R178="OK",SUMIFS(예비비!$O$430:$O$729,예비비!$B$430:$B$729,예비비!$A178,예비비!$E$430:$E$729,"&lt;"&amp;EDATE(BP$99,1),예비비!$F$430:$F$729,"결제대금비")+MAX(0,IF(예비비!$D178&lt;EDATE(BP$99,1),예비비!$E178,0)-SUMIFS(예비비!$O$430:$O$729,예비비!$B$430:$B$729,예비비!$A178,예비비!$E$430:$E$729,"&lt;"&amp;EDATE(BP$99,1))),0)</f>
        <v>0</v>
      </c>
      <c r="BQ178">
        <f>IF(예비비!$R178="OK",SUMIFS(예비비!$O$430:$O$729,예비비!$B$430:$B$729,예비비!$A178,예비비!$E$430:$E$729,"&lt;"&amp;EDATE(BQ$99,1),예비비!$F$430:$F$729,"결제대금비")+MAX(0,IF(예비비!$D178&lt;EDATE(BQ$99,1),예비비!$E178,0)-SUMIFS(예비비!$O$430:$O$729,예비비!$B$430:$B$729,예비비!$A178,예비비!$E$430:$E$729,"&lt;"&amp;EDATE(BQ$99,1))),0)</f>
        <v>0</v>
      </c>
      <c r="BR178">
        <f>IF(예비비!$R178="OK",SUMIFS(예비비!$O$430:$O$729,예비비!$B$430:$B$729,예비비!$A178,예비비!$E$430:$E$729,"&lt;"&amp;EDATE(BR$99,1),예비비!$F$430:$F$729,"결제대금비")+MAX(0,IF(예비비!$D178&lt;EDATE(BR$99,1),예비비!$E178,0)-SUMIFS(예비비!$O$430:$O$729,예비비!$B$430:$B$729,예비비!$A178,예비비!$E$430:$E$729,"&lt;"&amp;EDATE(BR$99,1))),0)</f>
        <v>0</v>
      </c>
      <c r="BS178">
        <f>IF(예비비!$R178="OK",SUMIFS(예비비!$O$430:$O$729,예비비!$B$430:$B$729,예비비!$A178,예비비!$E$430:$E$729,"&lt;"&amp;EDATE(BS$99,1),예비비!$F$430:$F$729,"결제대금비")+MAX(0,IF(예비비!$D178&lt;EDATE(BS$99,1),예비비!$E178,0)-SUMIFS(예비비!$O$430:$O$729,예비비!$B$430:$B$729,예비비!$A178,예비비!$E$430:$E$729,"&lt;"&amp;EDATE(BS$99,1))),0)</f>
        <v>0</v>
      </c>
      <c r="BT178">
        <f>IF(예비비!$R178="OK",SUMIFS(예비비!$O$430:$O$729,예비비!$B$430:$B$729,예비비!$A178,예비비!$E$430:$E$729,"&lt;"&amp;EDATE(BT$99,1),예비비!$F$430:$F$729,"결제대금비")+MAX(0,IF(예비비!$D178&lt;EDATE(BT$99,1),예비비!$E178,0)-SUMIFS(예비비!$O$430:$O$729,예비비!$B$430:$B$729,예비비!$A178,예비비!$E$430:$E$729,"&lt;"&amp;EDATE(BT$99,1))),0)</f>
        <v>0</v>
      </c>
      <c r="BU178">
        <f>IF(예비비!$R178="OK",SUMIFS(예비비!$O$430:$O$729,예비비!$B$430:$B$729,예비비!$A178,예비비!$E$430:$E$729,"&lt;"&amp;EDATE(BU$99,1),예비비!$F$430:$F$729,"결제대금비")+MAX(0,IF(예비비!$D178&lt;EDATE(BU$99,1),예비비!$E178,0)-SUMIFS(예비비!$O$430:$O$729,예비비!$B$430:$B$729,예비비!$A178,예비비!$E$430:$E$729,"&lt;"&amp;EDATE(BU$99,1))),0)</f>
        <v>0</v>
      </c>
    </row>
    <row r="179">
      <c r="BA179">
        <v>123</v>
      </c>
      <c r="BB179">
        <f>IFERROR(INDEX(잔액!$A:$A,BA179),0)</f>
        <v>46174.0</v>
      </c>
      <c r="BH179">
        <f>IFERROR(IF(AND(BB179&gt;0,OR(COUNTIFS(예비비!$C$430:$C$729,BA179,예비비!$N$430:$N$729,"OK")&gt;0,AND(INDEX(잔액!$J:$J,BA179)="가족통장",INDEX(잔액!$K:$K,BA179)="미래에셋_WRAP형CMA"),COUNTIF(예비비!$A$8:$A$12,INDEX(잔액!$C:$C,BA179))=1,COUNTIF(예비비!$A$8:$A$12,INDEX(잔액!$D:$D,BA179))=1),OR(AND(BB179&gt;=예비비!$B$3,BB179&lt;EDATE(예비비!$B$3,1)),AND(BB179&lt;EDATE(예비비!$B$3,1),COUNTIFS(예비비!$C$430:$C$729,BA179,예비비!$L$430:$L$729,예비비!$B$3,예비비!$N$430:$N$729,"OK")&gt;0))),MAX($BH$120:BH178)+1,0),0)</f>
        <v>0</v>
      </c>
      <c r="BI179">
        <f>IF(예비비!$R179="OK",SUMIFS(예비비!$O$430:$O$729,예비비!$B$430:$B$729,예비비!$A179,예비비!$E$430:$E$729,"&lt;"&amp;EDATE(BI$99,1),예비비!$F$430:$F$729,"결제대금비")+MAX(0,IF(예비비!$D179&lt;EDATE(BI$99,1),예비비!$E179,0)-SUMIFS(예비비!$O$430:$O$729,예비비!$B$430:$B$729,예비비!$A179,예비비!$E$430:$E$729,"&lt;"&amp;EDATE(BI$99,1))),0)</f>
        <v>0</v>
      </c>
      <c r="BJ179">
        <f>IF(예비비!$R179="OK",SUMIFS(예비비!$O$430:$O$729,예비비!$B$430:$B$729,예비비!$A179,예비비!$E$430:$E$729,"&lt;"&amp;EDATE(BJ$99,1),예비비!$F$430:$F$729,"결제대금비")+MAX(0,IF(예비비!$D179&lt;EDATE(BJ$99,1),예비비!$E179,0)-SUMIFS(예비비!$O$430:$O$729,예비비!$B$430:$B$729,예비비!$A179,예비비!$E$430:$E$729,"&lt;"&amp;EDATE(BJ$99,1))),0)</f>
        <v>0</v>
      </c>
      <c r="BK179">
        <f>IF(예비비!$R179="OK",SUMIFS(예비비!$O$430:$O$729,예비비!$B$430:$B$729,예비비!$A179,예비비!$E$430:$E$729,"&lt;"&amp;EDATE(BK$99,1),예비비!$F$430:$F$729,"결제대금비")+MAX(0,IF(예비비!$D179&lt;EDATE(BK$99,1),예비비!$E179,0)-SUMIFS(예비비!$O$430:$O$729,예비비!$B$430:$B$729,예비비!$A179,예비비!$E$430:$E$729,"&lt;"&amp;EDATE(BK$99,1))),0)</f>
        <v>0</v>
      </c>
      <c r="BL179">
        <f>IF(예비비!$R179="OK",SUMIFS(예비비!$O$430:$O$729,예비비!$B$430:$B$729,예비비!$A179,예비비!$E$430:$E$729,"&lt;"&amp;EDATE(BL$99,1),예비비!$F$430:$F$729,"결제대금비")+MAX(0,IF(예비비!$D179&lt;EDATE(BL$99,1),예비비!$E179,0)-SUMIFS(예비비!$O$430:$O$729,예비비!$B$430:$B$729,예비비!$A179,예비비!$E$430:$E$729,"&lt;"&amp;EDATE(BL$99,1))),0)</f>
        <v>0</v>
      </c>
      <c r="BM179">
        <f>IF(예비비!$R179="OK",SUMIFS(예비비!$O$430:$O$729,예비비!$B$430:$B$729,예비비!$A179,예비비!$E$430:$E$729,"&lt;"&amp;EDATE(BM$99,1),예비비!$F$430:$F$729,"결제대금비")+MAX(0,IF(예비비!$D179&lt;EDATE(BM$99,1),예비비!$E179,0)-SUMIFS(예비비!$O$430:$O$729,예비비!$B$430:$B$729,예비비!$A179,예비비!$E$430:$E$729,"&lt;"&amp;EDATE(BM$99,1))),0)</f>
        <v>0</v>
      </c>
      <c r="BN179">
        <f>IF(예비비!$R179="OK",SUMIFS(예비비!$O$430:$O$729,예비비!$B$430:$B$729,예비비!$A179,예비비!$E$430:$E$729,"&lt;"&amp;EDATE(BN$99,1),예비비!$F$430:$F$729,"결제대금비")+MAX(0,IF(예비비!$D179&lt;EDATE(BN$99,1),예비비!$E179,0)-SUMIFS(예비비!$O$430:$O$729,예비비!$B$430:$B$729,예비비!$A179,예비비!$E$430:$E$729,"&lt;"&amp;EDATE(BN$99,1))),0)</f>
        <v>0</v>
      </c>
      <c r="BO179">
        <f>IF(예비비!$R179="OK",SUMIFS(예비비!$O$430:$O$729,예비비!$B$430:$B$729,예비비!$A179,예비비!$E$430:$E$729,"&lt;"&amp;EDATE(BO$99,1),예비비!$F$430:$F$729,"결제대금비")+MAX(0,IF(예비비!$D179&lt;EDATE(BO$99,1),예비비!$E179,0)-SUMIFS(예비비!$O$430:$O$729,예비비!$B$430:$B$729,예비비!$A179,예비비!$E$430:$E$729,"&lt;"&amp;EDATE(BO$99,1))),0)</f>
        <v>0</v>
      </c>
      <c r="BP179">
        <f>IF(예비비!$R179="OK",SUMIFS(예비비!$O$430:$O$729,예비비!$B$430:$B$729,예비비!$A179,예비비!$E$430:$E$729,"&lt;"&amp;EDATE(BP$99,1),예비비!$F$430:$F$729,"결제대금비")+MAX(0,IF(예비비!$D179&lt;EDATE(BP$99,1),예비비!$E179,0)-SUMIFS(예비비!$O$430:$O$729,예비비!$B$430:$B$729,예비비!$A179,예비비!$E$430:$E$729,"&lt;"&amp;EDATE(BP$99,1))),0)</f>
        <v>0</v>
      </c>
      <c r="BQ179">
        <f>IF(예비비!$R179="OK",SUMIFS(예비비!$O$430:$O$729,예비비!$B$430:$B$729,예비비!$A179,예비비!$E$430:$E$729,"&lt;"&amp;EDATE(BQ$99,1),예비비!$F$430:$F$729,"결제대금비")+MAX(0,IF(예비비!$D179&lt;EDATE(BQ$99,1),예비비!$E179,0)-SUMIFS(예비비!$O$430:$O$729,예비비!$B$430:$B$729,예비비!$A179,예비비!$E$430:$E$729,"&lt;"&amp;EDATE(BQ$99,1))),0)</f>
        <v>0</v>
      </c>
      <c r="BR179">
        <f>IF(예비비!$R179="OK",SUMIFS(예비비!$O$430:$O$729,예비비!$B$430:$B$729,예비비!$A179,예비비!$E$430:$E$729,"&lt;"&amp;EDATE(BR$99,1),예비비!$F$430:$F$729,"결제대금비")+MAX(0,IF(예비비!$D179&lt;EDATE(BR$99,1),예비비!$E179,0)-SUMIFS(예비비!$O$430:$O$729,예비비!$B$430:$B$729,예비비!$A179,예비비!$E$430:$E$729,"&lt;"&amp;EDATE(BR$99,1))),0)</f>
        <v>0</v>
      </c>
      <c r="BS179">
        <f>IF(예비비!$R179="OK",SUMIFS(예비비!$O$430:$O$729,예비비!$B$430:$B$729,예비비!$A179,예비비!$E$430:$E$729,"&lt;"&amp;EDATE(BS$99,1),예비비!$F$430:$F$729,"결제대금비")+MAX(0,IF(예비비!$D179&lt;EDATE(BS$99,1),예비비!$E179,0)-SUMIFS(예비비!$O$430:$O$729,예비비!$B$430:$B$729,예비비!$A179,예비비!$E$430:$E$729,"&lt;"&amp;EDATE(BS$99,1))),0)</f>
        <v>0</v>
      </c>
      <c r="BT179">
        <f>IF(예비비!$R179="OK",SUMIFS(예비비!$O$430:$O$729,예비비!$B$430:$B$729,예비비!$A179,예비비!$E$430:$E$729,"&lt;"&amp;EDATE(BT$99,1),예비비!$F$430:$F$729,"결제대금비")+MAX(0,IF(예비비!$D179&lt;EDATE(BT$99,1),예비비!$E179,0)-SUMIFS(예비비!$O$430:$O$729,예비비!$B$430:$B$729,예비비!$A179,예비비!$E$430:$E$729,"&lt;"&amp;EDATE(BT$99,1))),0)</f>
        <v>0</v>
      </c>
      <c r="BU179">
        <f>IF(예비비!$R179="OK",SUMIFS(예비비!$O$430:$O$729,예비비!$B$430:$B$729,예비비!$A179,예비비!$E$430:$E$729,"&lt;"&amp;EDATE(BU$99,1),예비비!$F$430:$F$729,"결제대금비")+MAX(0,IF(예비비!$D179&lt;EDATE(BU$99,1),예비비!$E179,0)-SUMIFS(예비비!$O$430:$O$729,예비비!$B$430:$B$729,예비비!$A179,예비비!$E$430:$E$729,"&lt;"&amp;EDATE(BU$99,1))),0)</f>
        <v>0</v>
      </c>
    </row>
    <row r="180">
      <c r="BA180">
        <v>124</v>
      </c>
      <c r="BB180">
        <f>IFERROR(INDEX(잔액!$A:$A,BA180),0)</f>
        <v>46174.0</v>
      </c>
      <c r="BH180">
        <f>IFERROR(IF(AND(BB180&gt;0,OR(COUNTIFS(예비비!$C$430:$C$729,BA180,예비비!$N$430:$N$729,"OK")&gt;0,AND(INDEX(잔액!$J:$J,BA180)="가족통장",INDEX(잔액!$K:$K,BA180)="미래에셋_WRAP형CMA"),COUNTIF(예비비!$A$8:$A$12,INDEX(잔액!$C:$C,BA180))=1,COUNTIF(예비비!$A$8:$A$12,INDEX(잔액!$D:$D,BA180))=1),OR(AND(BB180&gt;=예비비!$B$3,BB180&lt;EDATE(예비비!$B$3,1)),AND(BB180&lt;EDATE(예비비!$B$3,1),COUNTIFS(예비비!$C$430:$C$729,BA180,예비비!$L$430:$L$729,예비비!$B$3,예비비!$N$430:$N$729,"OK")&gt;0))),MAX($BH$120:BH179)+1,0),0)</f>
        <v>0</v>
      </c>
      <c r="BI180">
        <f>IF(예비비!$R180="OK",SUMIFS(예비비!$O$430:$O$729,예비비!$B$430:$B$729,예비비!$A180,예비비!$E$430:$E$729,"&lt;"&amp;EDATE(BI$99,1),예비비!$F$430:$F$729,"결제대금비")+MAX(0,IF(예비비!$D180&lt;EDATE(BI$99,1),예비비!$E180,0)-SUMIFS(예비비!$O$430:$O$729,예비비!$B$430:$B$729,예비비!$A180,예비비!$E$430:$E$729,"&lt;"&amp;EDATE(BI$99,1))),0)</f>
        <v>0</v>
      </c>
      <c r="BJ180">
        <f>IF(예비비!$R180="OK",SUMIFS(예비비!$O$430:$O$729,예비비!$B$430:$B$729,예비비!$A180,예비비!$E$430:$E$729,"&lt;"&amp;EDATE(BJ$99,1),예비비!$F$430:$F$729,"결제대금비")+MAX(0,IF(예비비!$D180&lt;EDATE(BJ$99,1),예비비!$E180,0)-SUMIFS(예비비!$O$430:$O$729,예비비!$B$430:$B$729,예비비!$A180,예비비!$E$430:$E$729,"&lt;"&amp;EDATE(BJ$99,1))),0)</f>
        <v>0</v>
      </c>
      <c r="BK180">
        <f>IF(예비비!$R180="OK",SUMIFS(예비비!$O$430:$O$729,예비비!$B$430:$B$729,예비비!$A180,예비비!$E$430:$E$729,"&lt;"&amp;EDATE(BK$99,1),예비비!$F$430:$F$729,"결제대금비")+MAX(0,IF(예비비!$D180&lt;EDATE(BK$99,1),예비비!$E180,0)-SUMIFS(예비비!$O$430:$O$729,예비비!$B$430:$B$729,예비비!$A180,예비비!$E$430:$E$729,"&lt;"&amp;EDATE(BK$99,1))),0)</f>
        <v>0</v>
      </c>
      <c r="BL180">
        <f>IF(예비비!$R180="OK",SUMIFS(예비비!$O$430:$O$729,예비비!$B$430:$B$729,예비비!$A180,예비비!$E$430:$E$729,"&lt;"&amp;EDATE(BL$99,1),예비비!$F$430:$F$729,"결제대금비")+MAX(0,IF(예비비!$D180&lt;EDATE(BL$99,1),예비비!$E180,0)-SUMIFS(예비비!$O$430:$O$729,예비비!$B$430:$B$729,예비비!$A180,예비비!$E$430:$E$729,"&lt;"&amp;EDATE(BL$99,1))),0)</f>
        <v>0</v>
      </c>
      <c r="BM180">
        <f>IF(예비비!$R180="OK",SUMIFS(예비비!$O$430:$O$729,예비비!$B$430:$B$729,예비비!$A180,예비비!$E$430:$E$729,"&lt;"&amp;EDATE(BM$99,1),예비비!$F$430:$F$729,"결제대금비")+MAX(0,IF(예비비!$D180&lt;EDATE(BM$99,1),예비비!$E180,0)-SUMIFS(예비비!$O$430:$O$729,예비비!$B$430:$B$729,예비비!$A180,예비비!$E$430:$E$729,"&lt;"&amp;EDATE(BM$99,1))),0)</f>
        <v>0</v>
      </c>
      <c r="BN180">
        <f>IF(예비비!$R180="OK",SUMIFS(예비비!$O$430:$O$729,예비비!$B$430:$B$729,예비비!$A180,예비비!$E$430:$E$729,"&lt;"&amp;EDATE(BN$99,1),예비비!$F$430:$F$729,"결제대금비")+MAX(0,IF(예비비!$D180&lt;EDATE(BN$99,1),예비비!$E180,0)-SUMIFS(예비비!$O$430:$O$729,예비비!$B$430:$B$729,예비비!$A180,예비비!$E$430:$E$729,"&lt;"&amp;EDATE(BN$99,1))),0)</f>
        <v>0</v>
      </c>
      <c r="BO180">
        <f>IF(예비비!$R180="OK",SUMIFS(예비비!$O$430:$O$729,예비비!$B$430:$B$729,예비비!$A180,예비비!$E$430:$E$729,"&lt;"&amp;EDATE(BO$99,1),예비비!$F$430:$F$729,"결제대금비")+MAX(0,IF(예비비!$D180&lt;EDATE(BO$99,1),예비비!$E180,0)-SUMIFS(예비비!$O$430:$O$729,예비비!$B$430:$B$729,예비비!$A180,예비비!$E$430:$E$729,"&lt;"&amp;EDATE(BO$99,1))),0)</f>
        <v>0</v>
      </c>
      <c r="BP180">
        <f>IF(예비비!$R180="OK",SUMIFS(예비비!$O$430:$O$729,예비비!$B$430:$B$729,예비비!$A180,예비비!$E$430:$E$729,"&lt;"&amp;EDATE(BP$99,1),예비비!$F$430:$F$729,"결제대금비")+MAX(0,IF(예비비!$D180&lt;EDATE(BP$99,1),예비비!$E180,0)-SUMIFS(예비비!$O$430:$O$729,예비비!$B$430:$B$729,예비비!$A180,예비비!$E$430:$E$729,"&lt;"&amp;EDATE(BP$99,1))),0)</f>
        <v>0</v>
      </c>
      <c r="BQ180">
        <f>IF(예비비!$R180="OK",SUMIFS(예비비!$O$430:$O$729,예비비!$B$430:$B$729,예비비!$A180,예비비!$E$430:$E$729,"&lt;"&amp;EDATE(BQ$99,1),예비비!$F$430:$F$729,"결제대금비")+MAX(0,IF(예비비!$D180&lt;EDATE(BQ$99,1),예비비!$E180,0)-SUMIFS(예비비!$O$430:$O$729,예비비!$B$430:$B$729,예비비!$A180,예비비!$E$430:$E$729,"&lt;"&amp;EDATE(BQ$99,1))),0)</f>
        <v>0</v>
      </c>
      <c r="BR180">
        <f>IF(예비비!$R180="OK",SUMIFS(예비비!$O$430:$O$729,예비비!$B$430:$B$729,예비비!$A180,예비비!$E$430:$E$729,"&lt;"&amp;EDATE(BR$99,1),예비비!$F$430:$F$729,"결제대금비")+MAX(0,IF(예비비!$D180&lt;EDATE(BR$99,1),예비비!$E180,0)-SUMIFS(예비비!$O$430:$O$729,예비비!$B$430:$B$729,예비비!$A180,예비비!$E$430:$E$729,"&lt;"&amp;EDATE(BR$99,1))),0)</f>
        <v>0</v>
      </c>
      <c r="BS180">
        <f>IF(예비비!$R180="OK",SUMIFS(예비비!$O$430:$O$729,예비비!$B$430:$B$729,예비비!$A180,예비비!$E$430:$E$729,"&lt;"&amp;EDATE(BS$99,1),예비비!$F$430:$F$729,"결제대금비")+MAX(0,IF(예비비!$D180&lt;EDATE(BS$99,1),예비비!$E180,0)-SUMIFS(예비비!$O$430:$O$729,예비비!$B$430:$B$729,예비비!$A180,예비비!$E$430:$E$729,"&lt;"&amp;EDATE(BS$99,1))),0)</f>
        <v>0</v>
      </c>
      <c r="BT180">
        <f>IF(예비비!$R180="OK",SUMIFS(예비비!$O$430:$O$729,예비비!$B$430:$B$729,예비비!$A180,예비비!$E$430:$E$729,"&lt;"&amp;EDATE(BT$99,1),예비비!$F$430:$F$729,"결제대금비")+MAX(0,IF(예비비!$D180&lt;EDATE(BT$99,1),예비비!$E180,0)-SUMIFS(예비비!$O$430:$O$729,예비비!$B$430:$B$729,예비비!$A180,예비비!$E$430:$E$729,"&lt;"&amp;EDATE(BT$99,1))),0)</f>
        <v>0</v>
      </c>
      <c r="BU180">
        <f>IF(예비비!$R180="OK",SUMIFS(예비비!$O$430:$O$729,예비비!$B$430:$B$729,예비비!$A180,예비비!$E$430:$E$729,"&lt;"&amp;EDATE(BU$99,1),예비비!$F$430:$F$729,"결제대금비")+MAX(0,IF(예비비!$D180&lt;EDATE(BU$99,1),예비비!$E180,0)-SUMIFS(예비비!$O$430:$O$729,예비비!$B$430:$B$729,예비비!$A180,예비비!$E$430:$E$729,"&lt;"&amp;EDATE(BU$99,1))),0)</f>
        <v>0</v>
      </c>
    </row>
    <row r="181">
      <c r="BA181">
        <v>125</v>
      </c>
      <c r="BB181">
        <f>IFERROR(INDEX(잔액!$A:$A,BA181),0)</f>
        <v>46174.0</v>
      </c>
      <c r="BH181">
        <f>IFERROR(IF(AND(BB181&gt;0,OR(COUNTIFS(예비비!$C$430:$C$729,BA181,예비비!$N$430:$N$729,"OK")&gt;0,AND(INDEX(잔액!$J:$J,BA181)="가족통장",INDEX(잔액!$K:$K,BA181)="미래에셋_WRAP형CMA"),COUNTIF(예비비!$A$8:$A$12,INDEX(잔액!$C:$C,BA181))=1,COUNTIF(예비비!$A$8:$A$12,INDEX(잔액!$D:$D,BA181))=1),OR(AND(BB181&gt;=예비비!$B$3,BB181&lt;EDATE(예비비!$B$3,1)),AND(BB181&lt;EDATE(예비비!$B$3,1),COUNTIFS(예비비!$C$430:$C$729,BA181,예비비!$L$430:$L$729,예비비!$B$3,예비비!$N$430:$N$729,"OK")&gt;0))),MAX($BH$120:BH180)+1,0),0)</f>
        <v>0</v>
      </c>
      <c r="BI181">
        <f>IF(예비비!$R181="OK",SUMIFS(예비비!$O$430:$O$729,예비비!$B$430:$B$729,예비비!$A181,예비비!$E$430:$E$729,"&lt;"&amp;EDATE(BI$99,1),예비비!$F$430:$F$729,"결제대금비")+MAX(0,IF(예비비!$D181&lt;EDATE(BI$99,1),예비비!$E181,0)-SUMIFS(예비비!$O$430:$O$729,예비비!$B$430:$B$729,예비비!$A181,예비비!$E$430:$E$729,"&lt;"&amp;EDATE(BI$99,1))),0)</f>
        <v>0</v>
      </c>
      <c r="BJ181">
        <f>IF(예비비!$R181="OK",SUMIFS(예비비!$O$430:$O$729,예비비!$B$430:$B$729,예비비!$A181,예비비!$E$430:$E$729,"&lt;"&amp;EDATE(BJ$99,1),예비비!$F$430:$F$729,"결제대금비")+MAX(0,IF(예비비!$D181&lt;EDATE(BJ$99,1),예비비!$E181,0)-SUMIFS(예비비!$O$430:$O$729,예비비!$B$430:$B$729,예비비!$A181,예비비!$E$430:$E$729,"&lt;"&amp;EDATE(BJ$99,1))),0)</f>
        <v>0</v>
      </c>
      <c r="BK181">
        <f>IF(예비비!$R181="OK",SUMIFS(예비비!$O$430:$O$729,예비비!$B$430:$B$729,예비비!$A181,예비비!$E$430:$E$729,"&lt;"&amp;EDATE(BK$99,1),예비비!$F$430:$F$729,"결제대금비")+MAX(0,IF(예비비!$D181&lt;EDATE(BK$99,1),예비비!$E181,0)-SUMIFS(예비비!$O$430:$O$729,예비비!$B$430:$B$729,예비비!$A181,예비비!$E$430:$E$729,"&lt;"&amp;EDATE(BK$99,1))),0)</f>
        <v>0</v>
      </c>
      <c r="BL181">
        <f>IF(예비비!$R181="OK",SUMIFS(예비비!$O$430:$O$729,예비비!$B$430:$B$729,예비비!$A181,예비비!$E$430:$E$729,"&lt;"&amp;EDATE(BL$99,1),예비비!$F$430:$F$729,"결제대금비")+MAX(0,IF(예비비!$D181&lt;EDATE(BL$99,1),예비비!$E181,0)-SUMIFS(예비비!$O$430:$O$729,예비비!$B$430:$B$729,예비비!$A181,예비비!$E$430:$E$729,"&lt;"&amp;EDATE(BL$99,1))),0)</f>
        <v>0</v>
      </c>
      <c r="BM181">
        <f>IF(예비비!$R181="OK",SUMIFS(예비비!$O$430:$O$729,예비비!$B$430:$B$729,예비비!$A181,예비비!$E$430:$E$729,"&lt;"&amp;EDATE(BM$99,1),예비비!$F$430:$F$729,"결제대금비")+MAX(0,IF(예비비!$D181&lt;EDATE(BM$99,1),예비비!$E181,0)-SUMIFS(예비비!$O$430:$O$729,예비비!$B$430:$B$729,예비비!$A181,예비비!$E$430:$E$729,"&lt;"&amp;EDATE(BM$99,1))),0)</f>
        <v>0</v>
      </c>
      <c r="BN181">
        <f>IF(예비비!$R181="OK",SUMIFS(예비비!$O$430:$O$729,예비비!$B$430:$B$729,예비비!$A181,예비비!$E$430:$E$729,"&lt;"&amp;EDATE(BN$99,1),예비비!$F$430:$F$729,"결제대금비")+MAX(0,IF(예비비!$D181&lt;EDATE(BN$99,1),예비비!$E181,0)-SUMIFS(예비비!$O$430:$O$729,예비비!$B$430:$B$729,예비비!$A181,예비비!$E$430:$E$729,"&lt;"&amp;EDATE(BN$99,1))),0)</f>
        <v>0</v>
      </c>
      <c r="BO181">
        <f>IF(예비비!$R181="OK",SUMIFS(예비비!$O$430:$O$729,예비비!$B$430:$B$729,예비비!$A181,예비비!$E$430:$E$729,"&lt;"&amp;EDATE(BO$99,1),예비비!$F$430:$F$729,"결제대금비")+MAX(0,IF(예비비!$D181&lt;EDATE(BO$99,1),예비비!$E181,0)-SUMIFS(예비비!$O$430:$O$729,예비비!$B$430:$B$729,예비비!$A181,예비비!$E$430:$E$729,"&lt;"&amp;EDATE(BO$99,1))),0)</f>
        <v>0</v>
      </c>
      <c r="BP181">
        <f>IF(예비비!$R181="OK",SUMIFS(예비비!$O$430:$O$729,예비비!$B$430:$B$729,예비비!$A181,예비비!$E$430:$E$729,"&lt;"&amp;EDATE(BP$99,1),예비비!$F$430:$F$729,"결제대금비")+MAX(0,IF(예비비!$D181&lt;EDATE(BP$99,1),예비비!$E181,0)-SUMIFS(예비비!$O$430:$O$729,예비비!$B$430:$B$729,예비비!$A181,예비비!$E$430:$E$729,"&lt;"&amp;EDATE(BP$99,1))),0)</f>
        <v>0</v>
      </c>
      <c r="BQ181">
        <f>IF(예비비!$R181="OK",SUMIFS(예비비!$O$430:$O$729,예비비!$B$430:$B$729,예비비!$A181,예비비!$E$430:$E$729,"&lt;"&amp;EDATE(BQ$99,1),예비비!$F$430:$F$729,"결제대금비")+MAX(0,IF(예비비!$D181&lt;EDATE(BQ$99,1),예비비!$E181,0)-SUMIFS(예비비!$O$430:$O$729,예비비!$B$430:$B$729,예비비!$A181,예비비!$E$430:$E$729,"&lt;"&amp;EDATE(BQ$99,1))),0)</f>
        <v>0</v>
      </c>
      <c r="BR181">
        <f>IF(예비비!$R181="OK",SUMIFS(예비비!$O$430:$O$729,예비비!$B$430:$B$729,예비비!$A181,예비비!$E$430:$E$729,"&lt;"&amp;EDATE(BR$99,1),예비비!$F$430:$F$729,"결제대금비")+MAX(0,IF(예비비!$D181&lt;EDATE(BR$99,1),예비비!$E181,0)-SUMIFS(예비비!$O$430:$O$729,예비비!$B$430:$B$729,예비비!$A181,예비비!$E$430:$E$729,"&lt;"&amp;EDATE(BR$99,1))),0)</f>
        <v>0</v>
      </c>
      <c r="BS181">
        <f>IF(예비비!$R181="OK",SUMIFS(예비비!$O$430:$O$729,예비비!$B$430:$B$729,예비비!$A181,예비비!$E$430:$E$729,"&lt;"&amp;EDATE(BS$99,1),예비비!$F$430:$F$729,"결제대금비")+MAX(0,IF(예비비!$D181&lt;EDATE(BS$99,1),예비비!$E181,0)-SUMIFS(예비비!$O$430:$O$729,예비비!$B$430:$B$729,예비비!$A181,예비비!$E$430:$E$729,"&lt;"&amp;EDATE(BS$99,1))),0)</f>
        <v>0</v>
      </c>
      <c r="BT181">
        <f>IF(예비비!$R181="OK",SUMIFS(예비비!$O$430:$O$729,예비비!$B$430:$B$729,예비비!$A181,예비비!$E$430:$E$729,"&lt;"&amp;EDATE(BT$99,1),예비비!$F$430:$F$729,"결제대금비")+MAX(0,IF(예비비!$D181&lt;EDATE(BT$99,1),예비비!$E181,0)-SUMIFS(예비비!$O$430:$O$729,예비비!$B$430:$B$729,예비비!$A181,예비비!$E$430:$E$729,"&lt;"&amp;EDATE(BT$99,1))),0)</f>
        <v>0</v>
      </c>
      <c r="BU181">
        <f>IF(예비비!$R181="OK",SUMIFS(예비비!$O$430:$O$729,예비비!$B$430:$B$729,예비비!$A181,예비비!$E$430:$E$729,"&lt;"&amp;EDATE(BU$99,1),예비비!$F$430:$F$729,"결제대금비")+MAX(0,IF(예비비!$D181&lt;EDATE(BU$99,1),예비비!$E181,0)-SUMIFS(예비비!$O$430:$O$729,예비비!$B$430:$B$729,예비비!$A181,예비비!$E$430:$E$729,"&lt;"&amp;EDATE(BU$99,1))),0)</f>
        <v>0</v>
      </c>
    </row>
    <row r="182">
      <c r="BA182">
        <v>126</v>
      </c>
      <c r="BB182">
        <f>IFERROR(INDEX(잔액!$A:$A,BA182),0)</f>
        <v>46174.0</v>
      </c>
      <c r="BH182">
        <f>IFERROR(IF(AND(BB182&gt;0,OR(COUNTIFS(예비비!$C$430:$C$729,BA182,예비비!$N$430:$N$729,"OK")&gt;0,AND(INDEX(잔액!$J:$J,BA182)="가족통장",INDEX(잔액!$K:$K,BA182)="미래에셋_WRAP형CMA"),COUNTIF(예비비!$A$8:$A$12,INDEX(잔액!$C:$C,BA182))=1,COUNTIF(예비비!$A$8:$A$12,INDEX(잔액!$D:$D,BA182))=1),OR(AND(BB182&gt;=예비비!$B$3,BB182&lt;EDATE(예비비!$B$3,1)),AND(BB182&lt;EDATE(예비비!$B$3,1),COUNTIFS(예비비!$C$430:$C$729,BA182,예비비!$L$430:$L$729,예비비!$B$3,예비비!$N$430:$N$729,"OK")&gt;0))),MAX($BH$120:BH181)+1,0),0)</f>
        <v>0</v>
      </c>
      <c r="BI182">
        <f>IF(예비비!$R182="OK",SUMIFS(예비비!$O$430:$O$729,예비비!$B$430:$B$729,예비비!$A182,예비비!$E$430:$E$729,"&lt;"&amp;EDATE(BI$99,1),예비비!$F$430:$F$729,"결제대금비")+MAX(0,IF(예비비!$D182&lt;EDATE(BI$99,1),예비비!$E182,0)-SUMIFS(예비비!$O$430:$O$729,예비비!$B$430:$B$729,예비비!$A182,예비비!$E$430:$E$729,"&lt;"&amp;EDATE(BI$99,1))),0)</f>
        <v>0</v>
      </c>
      <c r="BJ182">
        <f>IF(예비비!$R182="OK",SUMIFS(예비비!$O$430:$O$729,예비비!$B$430:$B$729,예비비!$A182,예비비!$E$430:$E$729,"&lt;"&amp;EDATE(BJ$99,1),예비비!$F$430:$F$729,"결제대금비")+MAX(0,IF(예비비!$D182&lt;EDATE(BJ$99,1),예비비!$E182,0)-SUMIFS(예비비!$O$430:$O$729,예비비!$B$430:$B$729,예비비!$A182,예비비!$E$430:$E$729,"&lt;"&amp;EDATE(BJ$99,1))),0)</f>
        <v>0</v>
      </c>
      <c r="BK182">
        <f>IF(예비비!$R182="OK",SUMIFS(예비비!$O$430:$O$729,예비비!$B$430:$B$729,예비비!$A182,예비비!$E$430:$E$729,"&lt;"&amp;EDATE(BK$99,1),예비비!$F$430:$F$729,"결제대금비")+MAX(0,IF(예비비!$D182&lt;EDATE(BK$99,1),예비비!$E182,0)-SUMIFS(예비비!$O$430:$O$729,예비비!$B$430:$B$729,예비비!$A182,예비비!$E$430:$E$729,"&lt;"&amp;EDATE(BK$99,1))),0)</f>
        <v>0</v>
      </c>
      <c r="BL182">
        <f>IF(예비비!$R182="OK",SUMIFS(예비비!$O$430:$O$729,예비비!$B$430:$B$729,예비비!$A182,예비비!$E$430:$E$729,"&lt;"&amp;EDATE(BL$99,1),예비비!$F$430:$F$729,"결제대금비")+MAX(0,IF(예비비!$D182&lt;EDATE(BL$99,1),예비비!$E182,0)-SUMIFS(예비비!$O$430:$O$729,예비비!$B$430:$B$729,예비비!$A182,예비비!$E$430:$E$729,"&lt;"&amp;EDATE(BL$99,1))),0)</f>
        <v>0</v>
      </c>
      <c r="BM182">
        <f>IF(예비비!$R182="OK",SUMIFS(예비비!$O$430:$O$729,예비비!$B$430:$B$729,예비비!$A182,예비비!$E$430:$E$729,"&lt;"&amp;EDATE(BM$99,1),예비비!$F$430:$F$729,"결제대금비")+MAX(0,IF(예비비!$D182&lt;EDATE(BM$99,1),예비비!$E182,0)-SUMIFS(예비비!$O$430:$O$729,예비비!$B$430:$B$729,예비비!$A182,예비비!$E$430:$E$729,"&lt;"&amp;EDATE(BM$99,1))),0)</f>
        <v>0</v>
      </c>
      <c r="BN182">
        <f>IF(예비비!$R182="OK",SUMIFS(예비비!$O$430:$O$729,예비비!$B$430:$B$729,예비비!$A182,예비비!$E$430:$E$729,"&lt;"&amp;EDATE(BN$99,1),예비비!$F$430:$F$729,"결제대금비")+MAX(0,IF(예비비!$D182&lt;EDATE(BN$99,1),예비비!$E182,0)-SUMIFS(예비비!$O$430:$O$729,예비비!$B$430:$B$729,예비비!$A182,예비비!$E$430:$E$729,"&lt;"&amp;EDATE(BN$99,1))),0)</f>
        <v>0</v>
      </c>
      <c r="BO182">
        <f>IF(예비비!$R182="OK",SUMIFS(예비비!$O$430:$O$729,예비비!$B$430:$B$729,예비비!$A182,예비비!$E$430:$E$729,"&lt;"&amp;EDATE(BO$99,1),예비비!$F$430:$F$729,"결제대금비")+MAX(0,IF(예비비!$D182&lt;EDATE(BO$99,1),예비비!$E182,0)-SUMIFS(예비비!$O$430:$O$729,예비비!$B$430:$B$729,예비비!$A182,예비비!$E$430:$E$729,"&lt;"&amp;EDATE(BO$99,1))),0)</f>
        <v>0</v>
      </c>
      <c r="BP182">
        <f>IF(예비비!$R182="OK",SUMIFS(예비비!$O$430:$O$729,예비비!$B$430:$B$729,예비비!$A182,예비비!$E$430:$E$729,"&lt;"&amp;EDATE(BP$99,1),예비비!$F$430:$F$729,"결제대금비")+MAX(0,IF(예비비!$D182&lt;EDATE(BP$99,1),예비비!$E182,0)-SUMIFS(예비비!$O$430:$O$729,예비비!$B$430:$B$729,예비비!$A182,예비비!$E$430:$E$729,"&lt;"&amp;EDATE(BP$99,1))),0)</f>
        <v>0</v>
      </c>
      <c r="BQ182">
        <f>IF(예비비!$R182="OK",SUMIFS(예비비!$O$430:$O$729,예비비!$B$430:$B$729,예비비!$A182,예비비!$E$430:$E$729,"&lt;"&amp;EDATE(BQ$99,1),예비비!$F$430:$F$729,"결제대금비")+MAX(0,IF(예비비!$D182&lt;EDATE(BQ$99,1),예비비!$E182,0)-SUMIFS(예비비!$O$430:$O$729,예비비!$B$430:$B$729,예비비!$A182,예비비!$E$430:$E$729,"&lt;"&amp;EDATE(BQ$99,1))),0)</f>
        <v>0</v>
      </c>
      <c r="BR182">
        <f>IF(예비비!$R182="OK",SUMIFS(예비비!$O$430:$O$729,예비비!$B$430:$B$729,예비비!$A182,예비비!$E$430:$E$729,"&lt;"&amp;EDATE(BR$99,1),예비비!$F$430:$F$729,"결제대금비")+MAX(0,IF(예비비!$D182&lt;EDATE(BR$99,1),예비비!$E182,0)-SUMIFS(예비비!$O$430:$O$729,예비비!$B$430:$B$729,예비비!$A182,예비비!$E$430:$E$729,"&lt;"&amp;EDATE(BR$99,1))),0)</f>
        <v>0</v>
      </c>
      <c r="BS182">
        <f>IF(예비비!$R182="OK",SUMIFS(예비비!$O$430:$O$729,예비비!$B$430:$B$729,예비비!$A182,예비비!$E$430:$E$729,"&lt;"&amp;EDATE(BS$99,1),예비비!$F$430:$F$729,"결제대금비")+MAX(0,IF(예비비!$D182&lt;EDATE(BS$99,1),예비비!$E182,0)-SUMIFS(예비비!$O$430:$O$729,예비비!$B$430:$B$729,예비비!$A182,예비비!$E$430:$E$729,"&lt;"&amp;EDATE(BS$99,1))),0)</f>
        <v>0</v>
      </c>
      <c r="BT182">
        <f>IF(예비비!$R182="OK",SUMIFS(예비비!$O$430:$O$729,예비비!$B$430:$B$729,예비비!$A182,예비비!$E$430:$E$729,"&lt;"&amp;EDATE(BT$99,1),예비비!$F$430:$F$729,"결제대금비")+MAX(0,IF(예비비!$D182&lt;EDATE(BT$99,1),예비비!$E182,0)-SUMIFS(예비비!$O$430:$O$729,예비비!$B$430:$B$729,예비비!$A182,예비비!$E$430:$E$729,"&lt;"&amp;EDATE(BT$99,1))),0)</f>
        <v>0</v>
      </c>
      <c r="BU182">
        <f>IF(예비비!$R182="OK",SUMIFS(예비비!$O$430:$O$729,예비비!$B$430:$B$729,예비비!$A182,예비비!$E$430:$E$729,"&lt;"&amp;EDATE(BU$99,1),예비비!$F$430:$F$729,"결제대금비")+MAX(0,IF(예비비!$D182&lt;EDATE(BU$99,1),예비비!$E182,0)-SUMIFS(예비비!$O$430:$O$729,예비비!$B$430:$B$729,예비비!$A182,예비비!$E$430:$E$729,"&lt;"&amp;EDATE(BU$99,1))),0)</f>
        <v>0</v>
      </c>
    </row>
    <row r="183">
      <c r="BA183">
        <v>127</v>
      </c>
      <c r="BB183">
        <f>IFERROR(INDEX(잔액!$A:$A,BA183),0)</f>
        <v>46174.0</v>
      </c>
      <c r="BH183">
        <f>IFERROR(IF(AND(BB183&gt;0,OR(COUNTIFS(예비비!$C$430:$C$729,BA183,예비비!$N$430:$N$729,"OK")&gt;0,AND(INDEX(잔액!$J:$J,BA183)="가족통장",INDEX(잔액!$K:$K,BA183)="미래에셋_WRAP형CMA"),COUNTIF(예비비!$A$8:$A$12,INDEX(잔액!$C:$C,BA183))=1,COUNTIF(예비비!$A$8:$A$12,INDEX(잔액!$D:$D,BA183))=1),OR(AND(BB183&gt;=예비비!$B$3,BB183&lt;EDATE(예비비!$B$3,1)),AND(BB183&lt;EDATE(예비비!$B$3,1),COUNTIFS(예비비!$C$430:$C$729,BA183,예비비!$L$430:$L$729,예비비!$B$3,예비비!$N$430:$N$729,"OK")&gt;0))),MAX($BH$120:BH182)+1,0),0)</f>
        <v>0</v>
      </c>
      <c r="BI183">
        <f>IF(예비비!$R183="OK",SUMIFS(예비비!$O$430:$O$729,예비비!$B$430:$B$729,예비비!$A183,예비비!$E$430:$E$729,"&lt;"&amp;EDATE(BI$99,1),예비비!$F$430:$F$729,"결제대금비")+MAX(0,IF(예비비!$D183&lt;EDATE(BI$99,1),예비비!$E183,0)-SUMIFS(예비비!$O$430:$O$729,예비비!$B$430:$B$729,예비비!$A183,예비비!$E$430:$E$729,"&lt;"&amp;EDATE(BI$99,1))),0)</f>
        <v>0</v>
      </c>
      <c r="BJ183">
        <f>IF(예비비!$R183="OK",SUMIFS(예비비!$O$430:$O$729,예비비!$B$430:$B$729,예비비!$A183,예비비!$E$430:$E$729,"&lt;"&amp;EDATE(BJ$99,1),예비비!$F$430:$F$729,"결제대금비")+MAX(0,IF(예비비!$D183&lt;EDATE(BJ$99,1),예비비!$E183,0)-SUMIFS(예비비!$O$430:$O$729,예비비!$B$430:$B$729,예비비!$A183,예비비!$E$430:$E$729,"&lt;"&amp;EDATE(BJ$99,1))),0)</f>
        <v>0</v>
      </c>
      <c r="BK183">
        <f>IF(예비비!$R183="OK",SUMIFS(예비비!$O$430:$O$729,예비비!$B$430:$B$729,예비비!$A183,예비비!$E$430:$E$729,"&lt;"&amp;EDATE(BK$99,1),예비비!$F$430:$F$729,"결제대금비")+MAX(0,IF(예비비!$D183&lt;EDATE(BK$99,1),예비비!$E183,0)-SUMIFS(예비비!$O$430:$O$729,예비비!$B$430:$B$729,예비비!$A183,예비비!$E$430:$E$729,"&lt;"&amp;EDATE(BK$99,1))),0)</f>
        <v>0</v>
      </c>
      <c r="BL183">
        <f>IF(예비비!$R183="OK",SUMIFS(예비비!$O$430:$O$729,예비비!$B$430:$B$729,예비비!$A183,예비비!$E$430:$E$729,"&lt;"&amp;EDATE(BL$99,1),예비비!$F$430:$F$729,"결제대금비")+MAX(0,IF(예비비!$D183&lt;EDATE(BL$99,1),예비비!$E183,0)-SUMIFS(예비비!$O$430:$O$729,예비비!$B$430:$B$729,예비비!$A183,예비비!$E$430:$E$729,"&lt;"&amp;EDATE(BL$99,1))),0)</f>
        <v>0</v>
      </c>
      <c r="BM183">
        <f>IF(예비비!$R183="OK",SUMIFS(예비비!$O$430:$O$729,예비비!$B$430:$B$729,예비비!$A183,예비비!$E$430:$E$729,"&lt;"&amp;EDATE(BM$99,1),예비비!$F$430:$F$729,"결제대금비")+MAX(0,IF(예비비!$D183&lt;EDATE(BM$99,1),예비비!$E183,0)-SUMIFS(예비비!$O$430:$O$729,예비비!$B$430:$B$729,예비비!$A183,예비비!$E$430:$E$729,"&lt;"&amp;EDATE(BM$99,1))),0)</f>
        <v>0</v>
      </c>
      <c r="BN183">
        <f>IF(예비비!$R183="OK",SUMIFS(예비비!$O$430:$O$729,예비비!$B$430:$B$729,예비비!$A183,예비비!$E$430:$E$729,"&lt;"&amp;EDATE(BN$99,1),예비비!$F$430:$F$729,"결제대금비")+MAX(0,IF(예비비!$D183&lt;EDATE(BN$99,1),예비비!$E183,0)-SUMIFS(예비비!$O$430:$O$729,예비비!$B$430:$B$729,예비비!$A183,예비비!$E$430:$E$729,"&lt;"&amp;EDATE(BN$99,1))),0)</f>
        <v>0</v>
      </c>
      <c r="BO183">
        <f>IF(예비비!$R183="OK",SUMIFS(예비비!$O$430:$O$729,예비비!$B$430:$B$729,예비비!$A183,예비비!$E$430:$E$729,"&lt;"&amp;EDATE(BO$99,1),예비비!$F$430:$F$729,"결제대금비")+MAX(0,IF(예비비!$D183&lt;EDATE(BO$99,1),예비비!$E183,0)-SUMIFS(예비비!$O$430:$O$729,예비비!$B$430:$B$729,예비비!$A183,예비비!$E$430:$E$729,"&lt;"&amp;EDATE(BO$99,1))),0)</f>
        <v>0</v>
      </c>
      <c r="BP183">
        <f>IF(예비비!$R183="OK",SUMIFS(예비비!$O$430:$O$729,예비비!$B$430:$B$729,예비비!$A183,예비비!$E$430:$E$729,"&lt;"&amp;EDATE(BP$99,1),예비비!$F$430:$F$729,"결제대금비")+MAX(0,IF(예비비!$D183&lt;EDATE(BP$99,1),예비비!$E183,0)-SUMIFS(예비비!$O$430:$O$729,예비비!$B$430:$B$729,예비비!$A183,예비비!$E$430:$E$729,"&lt;"&amp;EDATE(BP$99,1))),0)</f>
        <v>0</v>
      </c>
      <c r="BQ183">
        <f>IF(예비비!$R183="OK",SUMIFS(예비비!$O$430:$O$729,예비비!$B$430:$B$729,예비비!$A183,예비비!$E$430:$E$729,"&lt;"&amp;EDATE(BQ$99,1),예비비!$F$430:$F$729,"결제대금비")+MAX(0,IF(예비비!$D183&lt;EDATE(BQ$99,1),예비비!$E183,0)-SUMIFS(예비비!$O$430:$O$729,예비비!$B$430:$B$729,예비비!$A183,예비비!$E$430:$E$729,"&lt;"&amp;EDATE(BQ$99,1))),0)</f>
        <v>0</v>
      </c>
      <c r="BR183">
        <f>IF(예비비!$R183="OK",SUMIFS(예비비!$O$430:$O$729,예비비!$B$430:$B$729,예비비!$A183,예비비!$E$430:$E$729,"&lt;"&amp;EDATE(BR$99,1),예비비!$F$430:$F$729,"결제대금비")+MAX(0,IF(예비비!$D183&lt;EDATE(BR$99,1),예비비!$E183,0)-SUMIFS(예비비!$O$430:$O$729,예비비!$B$430:$B$729,예비비!$A183,예비비!$E$430:$E$729,"&lt;"&amp;EDATE(BR$99,1))),0)</f>
        <v>0</v>
      </c>
      <c r="BS183">
        <f>IF(예비비!$R183="OK",SUMIFS(예비비!$O$430:$O$729,예비비!$B$430:$B$729,예비비!$A183,예비비!$E$430:$E$729,"&lt;"&amp;EDATE(BS$99,1),예비비!$F$430:$F$729,"결제대금비")+MAX(0,IF(예비비!$D183&lt;EDATE(BS$99,1),예비비!$E183,0)-SUMIFS(예비비!$O$430:$O$729,예비비!$B$430:$B$729,예비비!$A183,예비비!$E$430:$E$729,"&lt;"&amp;EDATE(BS$99,1))),0)</f>
        <v>0</v>
      </c>
      <c r="BT183">
        <f>IF(예비비!$R183="OK",SUMIFS(예비비!$O$430:$O$729,예비비!$B$430:$B$729,예비비!$A183,예비비!$E$430:$E$729,"&lt;"&amp;EDATE(BT$99,1),예비비!$F$430:$F$729,"결제대금비")+MAX(0,IF(예비비!$D183&lt;EDATE(BT$99,1),예비비!$E183,0)-SUMIFS(예비비!$O$430:$O$729,예비비!$B$430:$B$729,예비비!$A183,예비비!$E$430:$E$729,"&lt;"&amp;EDATE(BT$99,1))),0)</f>
        <v>0</v>
      </c>
      <c r="BU183">
        <f>IF(예비비!$R183="OK",SUMIFS(예비비!$O$430:$O$729,예비비!$B$430:$B$729,예비비!$A183,예비비!$E$430:$E$729,"&lt;"&amp;EDATE(BU$99,1),예비비!$F$430:$F$729,"결제대금비")+MAX(0,IF(예비비!$D183&lt;EDATE(BU$99,1),예비비!$E183,0)-SUMIFS(예비비!$O$430:$O$729,예비비!$B$430:$B$729,예비비!$A183,예비비!$E$430:$E$729,"&lt;"&amp;EDATE(BU$99,1))),0)</f>
        <v>0</v>
      </c>
    </row>
    <row r="184">
      <c r="BA184">
        <v>128</v>
      </c>
      <c r="BB184">
        <f>IFERROR(INDEX(잔액!$A:$A,BA184),0)</f>
        <v>46174.0</v>
      </c>
      <c r="BH184">
        <f>IFERROR(IF(AND(BB184&gt;0,OR(COUNTIFS(예비비!$C$430:$C$729,BA184,예비비!$N$430:$N$729,"OK")&gt;0,AND(INDEX(잔액!$J:$J,BA184)="가족통장",INDEX(잔액!$K:$K,BA184)="미래에셋_WRAP형CMA"),COUNTIF(예비비!$A$8:$A$12,INDEX(잔액!$C:$C,BA184))=1,COUNTIF(예비비!$A$8:$A$12,INDEX(잔액!$D:$D,BA184))=1),OR(AND(BB184&gt;=예비비!$B$3,BB184&lt;EDATE(예비비!$B$3,1)),AND(BB184&lt;EDATE(예비비!$B$3,1),COUNTIFS(예비비!$C$430:$C$729,BA184,예비비!$L$430:$L$729,예비비!$B$3,예비비!$N$430:$N$729,"OK")&gt;0))),MAX($BH$120:BH183)+1,0),0)</f>
        <v>0</v>
      </c>
      <c r="BI184">
        <f>IF(예비비!$R184="OK",SUMIFS(예비비!$O$430:$O$729,예비비!$B$430:$B$729,예비비!$A184,예비비!$E$430:$E$729,"&lt;"&amp;EDATE(BI$99,1),예비비!$F$430:$F$729,"결제대금비")+MAX(0,IF(예비비!$D184&lt;EDATE(BI$99,1),예비비!$E184,0)-SUMIFS(예비비!$O$430:$O$729,예비비!$B$430:$B$729,예비비!$A184,예비비!$E$430:$E$729,"&lt;"&amp;EDATE(BI$99,1))),0)</f>
        <v>0</v>
      </c>
      <c r="BJ184">
        <f>IF(예비비!$R184="OK",SUMIFS(예비비!$O$430:$O$729,예비비!$B$430:$B$729,예비비!$A184,예비비!$E$430:$E$729,"&lt;"&amp;EDATE(BJ$99,1),예비비!$F$430:$F$729,"결제대금비")+MAX(0,IF(예비비!$D184&lt;EDATE(BJ$99,1),예비비!$E184,0)-SUMIFS(예비비!$O$430:$O$729,예비비!$B$430:$B$729,예비비!$A184,예비비!$E$430:$E$729,"&lt;"&amp;EDATE(BJ$99,1))),0)</f>
        <v>0</v>
      </c>
      <c r="BK184">
        <f>IF(예비비!$R184="OK",SUMIFS(예비비!$O$430:$O$729,예비비!$B$430:$B$729,예비비!$A184,예비비!$E$430:$E$729,"&lt;"&amp;EDATE(BK$99,1),예비비!$F$430:$F$729,"결제대금비")+MAX(0,IF(예비비!$D184&lt;EDATE(BK$99,1),예비비!$E184,0)-SUMIFS(예비비!$O$430:$O$729,예비비!$B$430:$B$729,예비비!$A184,예비비!$E$430:$E$729,"&lt;"&amp;EDATE(BK$99,1))),0)</f>
        <v>0</v>
      </c>
      <c r="BL184">
        <f>IF(예비비!$R184="OK",SUMIFS(예비비!$O$430:$O$729,예비비!$B$430:$B$729,예비비!$A184,예비비!$E$430:$E$729,"&lt;"&amp;EDATE(BL$99,1),예비비!$F$430:$F$729,"결제대금비")+MAX(0,IF(예비비!$D184&lt;EDATE(BL$99,1),예비비!$E184,0)-SUMIFS(예비비!$O$430:$O$729,예비비!$B$430:$B$729,예비비!$A184,예비비!$E$430:$E$729,"&lt;"&amp;EDATE(BL$99,1))),0)</f>
        <v>0</v>
      </c>
      <c r="BM184">
        <f>IF(예비비!$R184="OK",SUMIFS(예비비!$O$430:$O$729,예비비!$B$430:$B$729,예비비!$A184,예비비!$E$430:$E$729,"&lt;"&amp;EDATE(BM$99,1),예비비!$F$430:$F$729,"결제대금비")+MAX(0,IF(예비비!$D184&lt;EDATE(BM$99,1),예비비!$E184,0)-SUMIFS(예비비!$O$430:$O$729,예비비!$B$430:$B$729,예비비!$A184,예비비!$E$430:$E$729,"&lt;"&amp;EDATE(BM$99,1))),0)</f>
        <v>0</v>
      </c>
      <c r="BN184">
        <f>IF(예비비!$R184="OK",SUMIFS(예비비!$O$430:$O$729,예비비!$B$430:$B$729,예비비!$A184,예비비!$E$430:$E$729,"&lt;"&amp;EDATE(BN$99,1),예비비!$F$430:$F$729,"결제대금비")+MAX(0,IF(예비비!$D184&lt;EDATE(BN$99,1),예비비!$E184,0)-SUMIFS(예비비!$O$430:$O$729,예비비!$B$430:$B$729,예비비!$A184,예비비!$E$430:$E$729,"&lt;"&amp;EDATE(BN$99,1))),0)</f>
        <v>0</v>
      </c>
      <c r="BO184">
        <f>IF(예비비!$R184="OK",SUMIFS(예비비!$O$430:$O$729,예비비!$B$430:$B$729,예비비!$A184,예비비!$E$430:$E$729,"&lt;"&amp;EDATE(BO$99,1),예비비!$F$430:$F$729,"결제대금비")+MAX(0,IF(예비비!$D184&lt;EDATE(BO$99,1),예비비!$E184,0)-SUMIFS(예비비!$O$430:$O$729,예비비!$B$430:$B$729,예비비!$A184,예비비!$E$430:$E$729,"&lt;"&amp;EDATE(BO$99,1))),0)</f>
        <v>0</v>
      </c>
      <c r="BP184">
        <f>IF(예비비!$R184="OK",SUMIFS(예비비!$O$430:$O$729,예비비!$B$430:$B$729,예비비!$A184,예비비!$E$430:$E$729,"&lt;"&amp;EDATE(BP$99,1),예비비!$F$430:$F$729,"결제대금비")+MAX(0,IF(예비비!$D184&lt;EDATE(BP$99,1),예비비!$E184,0)-SUMIFS(예비비!$O$430:$O$729,예비비!$B$430:$B$729,예비비!$A184,예비비!$E$430:$E$729,"&lt;"&amp;EDATE(BP$99,1))),0)</f>
        <v>0</v>
      </c>
      <c r="BQ184">
        <f>IF(예비비!$R184="OK",SUMIFS(예비비!$O$430:$O$729,예비비!$B$430:$B$729,예비비!$A184,예비비!$E$430:$E$729,"&lt;"&amp;EDATE(BQ$99,1),예비비!$F$430:$F$729,"결제대금비")+MAX(0,IF(예비비!$D184&lt;EDATE(BQ$99,1),예비비!$E184,0)-SUMIFS(예비비!$O$430:$O$729,예비비!$B$430:$B$729,예비비!$A184,예비비!$E$430:$E$729,"&lt;"&amp;EDATE(BQ$99,1))),0)</f>
        <v>0</v>
      </c>
      <c r="BR184">
        <f>IF(예비비!$R184="OK",SUMIFS(예비비!$O$430:$O$729,예비비!$B$430:$B$729,예비비!$A184,예비비!$E$430:$E$729,"&lt;"&amp;EDATE(BR$99,1),예비비!$F$430:$F$729,"결제대금비")+MAX(0,IF(예비비!$D184&lt;EDATE(BR$99,1),예비비!$E184,0)-SUMIFS(예비비!$O$430:$O$729,예비비!$B$430:$B$729,예비비!$A184,예비비!$E$430:$E$729,"&lt;"&amp;EDATE(BR$99,1))),0)</f>
        <v>0</v>
      </c>
      <c r="BS184">
        <f>IF(예비비!$R184="OK",SUMIFS(예비비!$O$430:$O$729,예비비!$B$430:$B$729,예비비!$A184,예비비!$E$430:$E$729,"&lt;"&amp;EDATE(BS$99,1),예비비!$F$430:$F$729,"결제대금비")+MAX(0,IF(예비비!$D184&lt;EDATE(BS$99,1),예비비!$E184,0)-SUMIFS(예비비!$O$430:$O$729,예비비!$B$430:$B$729,예비비!$A184,예비비!$E$430:$E$729,"&lt;"&amp;EDATE(BS$99,1))),0)</f>
        <v>0</v>
      </c>
      <c r="BT184">
        <f>IF(예비비!$R184="OK",SUMIFS(예비비!$O$430:$O$729,예비비!$B$430:$B$729,예비비!$A184,예비비!$E$430:$E$729,"&lt;"&amp;EDATE(BT$99,1),예비비!$F$430:$F$729,"결제대금비")+MAX(0,IF(예비비!$D184&lt;EDATE(BT$99,1),예비비!$E184,0)-SUMIFS(예비비!$O$430:$O$729,예비비!$B$430:$B$729,예비비!$A184,예비비!$E$430:$E$729,"&lt;"&amp;EDATE(BT$99,1))),0)</f>
        <v>0</v>
      </c>
      <c r="BU184">
        <f>IF(예비비!$R184="OK",SUMIFS(예비비!$O$430:$O$729,예비비!$B$430:$B$729,예비비!$A184,예비비!$E$430:$E$729,"&lt;"&amp;EDATE(BU$99,1),예비비!$F$430:$F$729,"결제대금비")+MAX(0,IF(예비비!$D184&lt;EDATE(BU$99,1),예비비!$E184,0)-SUMIFS(예비비!$O$430:$O$729,예비비!$B$430:$B$729,예비비!$A184,예비비!$E$430:$E$729,"&lt;"&amp;EDATE(BU$99,1))),0)</f>
        <v>0</v>
      </c>
    </row>
    <row r="185">
      <c r="BA185">
        <v>129</v>
      </c>
      <c r="BB185">
        <f>IFERROR(INDEX(잔액!$A:$A,BA185),0)</f>
        <v>46174.0</v>
      </c>
      <c r="BH185">
        <f>IFERROR(IF(AND(BB185&gt;0,OR(COUNTIFS(예비비!$C$430:$C$729,BA185,예비비!$N$430:$N$729,"OK")&gt;0,AND(INDEX(잔액!$J:$J,BA185)="가족통장",INDEX(잔액!$K:$K,BA185)="미래에셋_WRAP형CMA"),COUNTIF(예비비!$A$8:$A$12,INDEX(잔액!$C:$C,BA185))=1,COUNTIF(예비비!$A$8:$A$12,INDEX(잔액!$D:$D,BA185))=1),OR(AND(BB185&gt;=예비비!$B$3,BB185&lt;EDATE(예비비!$B$3,1)),AND(BB185&lt;EDATE(예비비!$B$3,1),COUNTIFS(예비비!$C$430:$C$729,BA185,예비비!$L$430:$L$729,예비비!$B$3,예비비!$N$430:$N$729,"OK")&gt;0))),MAX($BH$120:BH184)+1,0),0)</f>
        <v>0</v>
      </c>
      <c r="BI185">
        <f>IF(예비비!$R185="OK",SUMIFS(예비비!$O$430:$O$729,예비비!$B$430:$B$729,예비비!$A185,예비비!$E$430:$E$729,"&lt;"&amp;EDATE(BI$99,1),예비비!$F$430:$F$729,"결제대금비")+MAX(0,IF(예비비!$D185&lt;EDATE(BI$99,1),예비비!$E185,0)-SUMIFS(예비비!$O$430:$O$729,예비비!$B$430:$B$729,예비비!$A185,예비비!$E$430:$E$729,"&lt;"&amp;EDATE(BI$99,1))),0)</f>
        <v>0</v>
      </c>
      <c r="BJ185">
        <f>IF(예비비!$R185="OK",SUMIFS(예비비!$O$430:$O$729,예비비!$B$430:$B$729,예비비!$A185,예비비!$E$430:$E$729,"&lt;"&amp;EDATE(BJ$99,1),예비비!$F$430:$F$729,"결제대금비")+MAX(0,IF(예비비!$D185&lt;EDATE(BJ$99,1),예비비!$E185,0)-SUMIFS(예비비!$O$430:$O$729,예비비!$B$430:$B$729,예비비!$A185,예비비!$E$430:$E$729,"&lt;"&amp;EDATE(BJ$99,1))),0)</f>
        <v>0</v>
      </c>
      <c r="BK185">
        <f>IF(예비비!$R185="OK",SUMIFS(예비비!$O$430:$O$729,예비비!$B$430:$B$729,예비비!$A185,예비비!$E$430:$E$729,"&lt;"&amp;EDATE(BK$99,1),예비비!$F$430:$F$729,"결제대금비")+MAX(0,IF(예비비!$D185&lt;EDATE(BK$99,1),예비비!$E185,0)-SUMIFS(예비비!$O$430:$O$729,예비비!$B$430:$B$729,예비비!$A185,예비비!$E$430:$E$729,"&lt;"&amp;EDATE(BK$99,1))),0)</f>
        <v>0</v>
      </c>
      <c r="BL185">
        <f>IF(예비비!$R185="OK",SUMIFS(예비비!$O$430:$O$729,예비비!$B$430:$B$729,예비비!$A185,예비비!$E$430:$E$729,"&lt;"&amp;EDATE(BL$99,1),예비비!$F$430:$F$729,"결제대금비")+MAX(0,IF(예비비!$D185&lt;EDATE(BL$99,1),예비비!$E185,0)-SUMIFS(예비비!$O$430:$O$729,예비비!$B$430:$B$729,예비비!$A185,예비비!$E$430:$E$729,"&lt;"&amp;EDATE(BL$99,1))),0)</f>
        <v>0</v>
      </c>
      <c r="BM185">
        <f>IF(예비비!$R185="OK",SUMIFS(예비비!$O$430:$O$729,예비비!$B$430:$B$729,예비비!$A185,예비비!$E$430:$E$729,"&lt;"&amp;EDATE(BM$99,1),예비비!$F$430:$F$729,"결제대금비")+MAX(0,IF(예비비!$D185&lt;EDATE(BM$99,1),예비비!$E185,0)-SUMIFS(예비비!$O$430:$O$729,예비비!$B$430:$B$729,예비비!$A185,예비비!$E$430:$E$729,"&lt;"&amp;EDATE(BM$99,1))),0)</f>
        <v>0</v>
      </c>
      <c r="BN185">
        <f>IF(예비비!$R185="OK",SUMIFS(예비비!$O$430:$O$729,예비비!$B$430:$B$729,예비비!$A185,예비비!$E$430:$E$729,"&lt;"&amp;EDATE(BN$99,1),예비비!$F$430:$F$729,"결제대금비")+MAX(0,IF(예비비!$D185&lt;EDATE(BN$99,1),예비비!$E185,0)-SUMIFS(예비비!$O$430:$O$729,예비비!$B$430:$B$729,예비비!$A185,예비비!$E$430:$E$729,"&lt;"&amp;EDATE(BN$99,1))),0)</f>
        <v>0</v>
      </c>
      <c r="BO185">
        <f>IF(예비비!$R185="OK",SUMIFS(예비비!$O$430:$O$729,예비비!$B$430:$B$729,예비비!$A185,예비비!$E$430:$E$729,"&lt;"&amp;EDATE(BO$99,1),예비비!$F$430:$F$729,"결제대금비")+MAX(0,IF(예비비!$D185&lt;EDATE(BO$99,1),예비비!$E185,0)-SUMIFS(예비비!$O$430:$O$729,예비비!$B$430:$B$729,예비비!$A185,예비비!$E$430:$E$729,"&lt;"&amp;EDATE(BO$99,1))),0)</f>
        <v>0</v>
      </c>
      <c r="BP185">
        <f>IF(예비비!$R185="OK",SUMIFS(예비비!$O$430:$O$729,예비비!$B$430:$B$729,예비비!$A185,예비비!$E$430:$E$729,"&lt;"&amp;EDATE(BP$99,1),예비비!$F$430:$F$729,"결제대금비")+MAX(0,IF(예비비!$D185&lt;EDATE(BP$99,1),예비비!$E185,0)-SUMIFS(예비비!$O$430:$O$729,예비비!$B$430:$B$729,예비비!$A185,예비비!$E$430:$E$729,"&lt;"&amp;EDATE(BP$99,1))),0)</f>
        <v>0</v>
      </c>
      <c r="BQ185">
        <f>IF(예비비!$R185="OK",SUMIFS(예비비!$O$430:$O$729,예비비!$B$430:$B$729,예비비!$A185,예비비!$E$430:$E$729,"&lt;"&amp;EDATE(BQ$99,1),예비비!$F$430:$F$729,"결제대금비")+MAX(0,IF(예비비!$D185&lt;EDATE(BQ$99,1),예비비!$E185,0)-SUMIFS(예비비!$O$430:$O$729,예비비!$B$430:$B$729,예비비!$A185,예비비!$E$430:$E$729,"&lt;"&amp;EDATE(BQ$99,1))),0)</f>
        <v>0</v>
      </c>
      <c r="BR185">
        <f>IF(예비비!$R185="OK",SUMIFS(예비비!$O$430:$O$729,예비비!$B$430:$B$729,예비비!$A185,예비비!$E$430:$E$729,"&lt;"&amp;EDATE(BR$99,1),예비비!$F$430:$F$729,"결제대금비")+MAX(0,IF(예비비!$D185&lt;EDATE(BR$99,1),예비비!$E185,0)-SUMIFS(예비비!$O$430:$O$729,예비비!$B$430:$B$729,예비비!$A185,예비비!$E$430:$E$729,"&lt;"&amp;EDATE(BR$99,1))),0)</f>
        <v>0</v>
      </c>
      <c r="BS185">
        <f>IF(예비비!$R185="OK",SUMIFS(예비비!$O$430:$O$729,예비비!$B$430:$B$729,예비비!$A185,예비비!$E$430:$E$729,"&lt;"&amp;EDATE(BS$99,1),예비비!$F$430:$F$729,"결제대금비")+MAX(0,IF(예비비!$D185&lt;EDATE(BS$99,1),예비비!$E185,0)-SUMIFS(예비비!$O$430:$O$729,예비비!$B$430:$B$729,예비비!$A185,예비비!$E$430:$E$729,"&lt;"&amp;EDATE(BS$99,1))),0)</f>
        <v>0</v>
      </c>
      <c r="BT185">
        <f>IF(예비비!$R185="OK",SUMIFS(예비비!$O$430:$O$729,예비비!$B$430:$B$729,예비비!$A185,예비비!$E$430:$E$729,"&lt;"&amp;EDATE(BT$99,1),예비비!$F$430:$F$729,"결제대금비")+MAX(0,IF(예비비!$D185&lt;EDATE(BT$99,1),예비비!$E185,0)-SUMIFS(예비비!$O$430:$O$729,예비비!$B$430:$B$729,예비비!$A185,예비비!$E$430:$E$729,"&lt;"&amp;EDATE(BT$99,1))),0)</f>
        <v>0</v>
      </c>
      <c r="BU185">
        <f>IF(예비비!$R185="OK",SUMIFS(예비비!$O$430:$O$729,예비비!$B$430:$B$729,예비비!$A185,예비비!$E$430:$E$729,"&lt;"&amp;EDATE(BU$99,1),예비비!$F$430:$F$729,"결제대금비")+MAX(0,IF(예비비!$D185&lt;EDATE(BU$99,1),예비비!$E185,0)-SUMIFS(예비비!$O$430:$O$729,예비비!$B$430:$B$729,예비비!$A185,예비비!$E$430:$E$729,"&lt;"&amp;EDATE(BU$99,1))),0)</f>
        <v>0</v>
      </c>
    </row>
    <row r="186">
      <c r="BA186">
        <v>130</v>
      </c>
      <c r="BB186">
        <f>IFERROR(INDEX(잔액!$A:$A,BA186),0)</f>
        <v>46174.0</v>
      </c>
      <c r="BH186">
        <f>IFERROR(IF(AND(BB186&gt;0,OR(COUNTIFS(예비비!$C$430:$C$729,BA186,예비비!$N$430:$N$729,"OK")&gt;0,AND(INDEX(잔액!$J:$J,BA186)="가족통장",INDEX(잔액!$K:$K,BA186)="미래에셋_WRAP형CMA"),COUNTIF(예비비!$A$8:$A$12,INDEX(잔액!$C:$C,BA186))=1,COUNTIF(예비비!$A$8:$A$12,INDEX(잔액!$D:$D,BA186))=1),OR(AND(BB186&gt;=예비비!$B$3,BB186&lt;EDATE(예비비!$B$3,1)),AND(BB186&lt;EDATE(예비비!$B$3,1),COUNTIFS(예비비!$C$430:$C$729,BA186,예비비!$L$430:$L$729,예비비!$B$3,예비비!$N$430:$N$729,"OK")&gt;0))),MAX($BH$120:BH185)+1,0),0)</f>
        <v>0</v>
      </c>
      <c r="BI186">
        <f>IF(예비비!$R186="OK",SUMIFS(예비비!$O$430:$O$729,예비비!$B$430:$B$729,예비비!$A186,예비비!$E$430:$E$729,"&lt;"&amp;EDATE(BI$99,1),예비비!$F$430:$F$729,"결제대금비")+MAX(0,IF(예비비!$D186&lt;EDATE(BI$99,1),예비비!$E186,0)-SUMIFS(예비비!$O$430:$O$729,예비비!$B$430:$B$729,예비비!$A186,예비비!$E$430:$E$729,"&lt;"&amp;EDATE(BI$99,1))),0)</f>
        <v>0</v>
      </c>
      <c r="BJ186">
        <f>IF(예비비!$R186="OK",SUMIFS(예비비!$O$430:$O$729,예비비!$B$430:$B$729,예비비!$A186,예비비!$E$430:$E$729,"&lt;"&amp;EDATE(BJ$99,1),예비비!$F$430:$F$729,"결제대금비")+MAX(0,IF(예비비!$D186&lt;EDATE(BJ$99,1),예비비!$E186,0)-SUMIFS(예비비!$O$430:$O$729,예비비!$B$430:$B$729,예비비!$A186,예비비!$E$430:$E$729,"&lt;"&amp;EDATE(BJ$99,1))),0)</f>
        <v>0</v>
      </c>
      <c r="BK186">
        <f>IF(예비비!$R186="OK",SUMIFS(예비비!$O$430:$O$729,예비비!$B$430:$B$729,예비비!$A186,예비비!$E$430:$E$729,"&lt;"&amp;EDATE(BK$99,1),예비비!$F$430:$F$729,"결제대금비")+MAX(0,IF(예비비!$D186&lt;EDATE(BK$99,1),예비비!$E186,0)-SUMIFS(예비비!$O$430:$O$729,예비비!$B$430:$B$729,예비비!$A186,예비비!$E$430:$E$729,"&lt;"&amp;EDATE(BK$99,1))),0)</f>
        <v>0</v>
      </c>
      <c r="BL186">
        <f>IF(예비비!$R186="OK",SUMIFS(예비비!$O$430:$O$729,예비비!$B$430:$B$729,예비비!$A186,예비비!$E$430:$E$729,"&lt;"&amp;EDATE(BL$99,1),예비비!$F$430:$F$729,"결제대금비")+MAX(0,IF(예비비!$D186&lt;EDATE(BL$99,1),예비비!$E186,0)-SUMIFS(예비비!$O$430:$O$729,예비비!$B$430:$B$729,예비비!$A186,예비비!$E$430:$E$729,"&lt;"&amp;EDATE(BL$99,1))),0)</f>
        <v>0</v>
      </c>
      <c r="BM186">
        <f>IF(예비비!$R186="OK",SUMIFS(예비비!$O$430:$O$729,예비비!$B$430:$B$729,예비비!$A186,예비비!$E$430:$E$729,"&lt;"&amp;EDATE(BM$99,1),예비비!$F$430:$F$729,"결제대금비")+MAX(0,IF(예비비!$D186&lt;EDATE(BM$99,1),예비비!$E186,0)-SUMIFS(예비비!$O$430:$O$729,예비비!$B$430:$B$729,예비비!$A186,예비비!$E$430:$E$729,"&lt;"&amp;EDATE(BM$99,1))),0)</f>
        <v>0</v>
      </c>
      <c r="BN186">
        <f>IF(예비비!$R186="OK",SUMIFS(예비비!$O$430:$O$729,예비비!$B$430:$B$729,예비비!$A186,예비비!$E$430:$E$729,"&lt;"&amp;EDATE(BN$99,1),예비비!$F$430:$F$729,"결제대금비")+MAX(0,IF(예비비!$D186&lt;EDATE(BN$99,1),예비비!$E186,0)-SUMIFS(예비비!$O$430:$O$729,예비비!$B$430:$B$729,예비비!$A186,예비비!$E$430:$E$729,"&lt;"&amp;EDATE(BN$99,1))),0)</f>
        <v>0</v>
      </c>
      <c r="BO186">
        <f>IF(예비비!$R186="OK",SUMIFS(예비비!$O$430:$O$729,예비비!$B$430:$B$729,예비비!$A186,예비비!$E$430:$E$729,"&lt;"&amp;EDATE(BO$99,1),예비비!$F$430:$F$729,"결제대금비")+MAX(0,IF(예비비!$D186&lt;EDATE(BO$99,1),예비비!$E186,0)-SUMIFS(예비비!$O$430:$O$729,예비비!$B$430:$B$729,예비비!$A186,예비비!$E$430:$E$729,"&lt;"&amp;EDATE(BO$99,1))),0)</f>
        <v>0</v>
      </c>
      <c r="BP186">
        <f>IF(예비비!$R186="OK",SUMIFS(예비비!$O$430:$O$729,예비비!$B$430:$B$729,예비비!$A186,예비비!$E$430:$E$729,"&lt;"&amp;EDATE(BP$99,1),예비비!$F$430:$F$729,"결제대금비")+MAX(0,IF(예비비!$D186&lt;EDATE(BP$99,1),예비비!$E186,0)-SUMIFS(예비비!$O$430:$O$729,예비비!$B$430:$B$729,예비비!$A186,예비비!$E$430:$E$729,"&lt;"&amp;EDATE(BP$99,1))),0)</f>
        <v>0</v>
      </c>
      <c r="BQ186">
        <f>IF(예비비!$R186="OK",SUMIFS(예비비!$O$430:$O$729,예비비!$B$430:$B$729,예비비!$A186,예비비!$E$430:$E$729,"&lt;"&amp;EDATE(BQ$99,1),예비비!$F$430:$F$729,"결제대금비")+MAX(0,IF(예비비!$D186&lt;EDATE(BQ$99,1),예비비!$E186,0)-SUMIFS(예비비!$O$430:$O$729,예비비!$B$430:$B$729,예비비!$A186,예비비!$E$430:$E$729,"&lt;"&amp;EDATE(BQ$99,1))),0)</f>
        <v>0</v>
      </c>
      <c r="BR186">
        <f>IF(예비비!$R186="OK",SUMIFS(예비비!$O$430:$O$729,예비비!$B$430:$B$729,예비비!$A186,예비비!$E$430:$E$729,"&lt;"&amp;EDATE(BR$99,1),예비비!$F$430:$F$729,"결제대금비")+MAX(0,IF(예비비!$D186&lt;EDATE(BR$99,1),예비비!$E186,0)-SUMIFS(예비비!$O$430:$O$729,예비비!$B$430:$B$729,예비비!$A186,예비비!$E$430:$E$729,"&lt;"&amp;EDATE(BR$99,1))),0)</f>
        <v>0</v>
      </c>
      <c r="BS186">
        <f>IF(예비비!$R186="OK",SUMIFS(예비비!$O$430:$O$729,예비비!$B$430:$B$729,예비비!$A186,예비비!$E$430:$E$729,"&lt;"&amp;EDATE(BS$99,1),예비비!$F$430:$F$729,"결제대금비")+MAX(0,IF(예비비!$D186&lt;EDATE(BS$99,1),예비비!$E186,0)-SUMIFS(예비비!$O$430:$O$729,예비비!$B$430:$B$729,예비비!$A186,예비비!$E$430:$E$729,"&lt;"&amp;EDATE(BS$99,1))),0)</f>
        <v>0</v>
      </c>
      <c r="BT186">
        <f>IF(예비비!$R186="OK",SUMIFS(예비비!$O$430:$O$729,예비비!$B$430:$B$729,예비비!$A186,예비비!$E$430:$E$729,"&lt;"&amp;EDATE(BT$99,1),예비비!$F$430:$F$729,"결제대금비")+MAX(0,IF(예비비!$D186&lt;EDATE(BT$99,1),예비비!$E186,0)-SUMIFS(예비비!$O$430:$O$729,예비비!$B$430:$B$729,예비비!$A186,예비비!$E$430:$E$729,"&lt;"&amp;EDATE(BT$99,1))),0)</f>
        <v>0</v>
      </c>
      <c r="BU186">
        <f>IF(예비비!$R186="OK",SUMIFS(예비비!$O$430:$O$729,예비비!$B$430:$B$729,예비비!$A186,예비비!$E$430:$E$729,"&lt;"&amp;EDATE(BU$99,1),예비비!$F$430:$F$729,"결제대금비")+MAX(0,IF(예비비!$D186&lt;EDATE(BU$99,1),예비비!$E186,0)-SUMIFS(예비비!$O$430:$O$729,예비비!$B$430:$B$729,예비비!$A186,예비비!$E$430:$E$729,"&lt;"&amp;EDATE(BU$99,1))),0)</f>
        <v>0</v>
      </c>
    </row>
    <row r="187">
      <c r="BA187">
        <v>131</v>
      </c>
      <c r="BB187">
        <f>IFERROR(INDEX(잔액!$A:$A,BA187),0)</f>
        <v>46174.0</v>
      </c>
      <c r="BH187">
        <f>IFERROR(IF(AND(BB187&gt;0,OR(COUNTIFS(예비비!$C$430:$C$729,BA187,예비비!$N$430:$N$729,"OK")&gt;0,AND(INDEX(잔액!$J:$J,BA187)="가족통장",INDEX(잔액!$K:$K,BA187)="미래에셋_WRAP형CMA"),COUNTIF(예비비!$A$8:$A$12,INDEX(잔액!$C:$C,BA187))=1,COUNTIF(예비비!$A$8:$A$12,INDEX(잔액!$D:$D,BA187))=1),OR(AND(BB187&gt;=예비비!$B$3,BB187&lt;EDATE(예비비!$B$3,1)),AND(BB187&lt;EDATE(예비비!$B$3,1),COUNTIFS(예비비!$C$430:$C$729,BA187,예비비!$L$430:$L$729,예비비!$B$3,예비비!$N$430:$N$729,"OK")&gt;0))),MAX($BH$120:BH186)+1,0),0)</f>
        <v>0</v>
      </c>
      <c r="BI187">
        <f>IF(예비비!$R187="OK",SUMIFS(예비비!$O$430:$O$729,예비비!$B$430:$B$729,예비비!$A187,예비비!$E$430:$E$729,"&lt;"&amp;EDATE(BI$99,1),예비비!$F$430:$F$729,"결제대금비")+MAX(0,IF(예비비!$D187&lt;EDATE(BI$99,1),예비비!$E187,0)-SUMIFS(예비비!$O$430:$O$729,예비비!$B$430:$B$729,예비비!$A187,예비비!$E$430:$E$729,"&lt;"&amp;EDATE(BI$99,1))),0)</f>
        <v>0</v>
      </c>
      <c r="BJ187">
        <f>IF(예비비!$R187="OK",SUMIFS(예비비!$O$430:$O$729,예비비!$B$430:$B$729,예비비!$A187,예비비!$E$430:$E$729,"&lt;"&amp;EDATE(BJ$99,1),예비비!$F$430:$F$729,"결제대금비")+MAX(0,IF(예비비!$D187&lt;EDATE(BJ$99,1),예비비!$E187,0)-SUMIFS(예비비!$O$430:$O$729,예비비!$B$430:$B$729,예비비!$A187,예비비!$E$430:$E$729,"&lt;"&amp;EDATE(BJ$99,1))),0)</f>
        <v>0</v>
      </c>
      <c r="BK187">
        <f>IF(예비비!$R187="OK",SUMIFS(예비비!$O$430:$O$729,예비비!$B$430:$B$729,예비비!$A187,예비비!$E$430:$E$729,"&lt;"&amp;EDATE(BK$99,1),예비비!$F$430:$F$729,"결제대금비")+MAX(0,IF(예비비!$D187&lt;EDATE(BK$99,1),예비비!$E187,0)-SUMIFS(예비비!$O$430:$O$729,예비비!$B$430:$B$729,예비비!$A187,예비비!$E$430:$E$729,"&lt;"&amp;EDATE(BK$99,1))),0)</f>
        <v>0</v>
      </c>
      <c r="BL187">
        <f>IF(예비비!$R187="OK",SUMIFS(예비비!$O$430:$O$729,예비비!$B$430:$B$729,예비비!$A187,예비비!$E$430:$E$729,"&lt;"&amp;EDATE(BL$99,1),예비비!$F$430:$F$729,"결제대금비")+MAX(0,IF(예비비!$D187&lt;EDATE(BL$99,1),예비비!$E187,0)-SUMIFS(예비비!$O$430:$O$729,예비비!$B$430:$B$729,예비비!$A187,예비비!$E$430:$E$729,"&lt;"&amp;EDATE(BL$99,1))),0)</f>
        <v>0</v>
      </c>
      <c r="BM187">
        <f>IF(예비비!$R187="OK",SUMIFS(예비비!$O$430:$O$729,예비비!$B$430:$B$729,예비비!$A187,예비비!$E$430:$E$729,"&lt;"&amp;EDATE(BM$99,1),예비비!$F$430:$F$729,"결제대금비")+MAX(0,IF(예비비!$D187&lt;EDATE(BM$99,1),예비비!$E187,0)-SUMIFS(예비비!$O$430:$O$729,예비비!$B$430:$B$729,예비비!$A187,예비비!$E$430:$E$729,"&lt;"&amp;EDATE(BM$99,1))),0)</f>
        <v>0</v>
      </c>
      <c r="BN187">
        <f>IF(예비비!$R187="OK",SUMIFS(예비비!$O$430:$O$729,예비비!$B$430:$B$729,예비비!$A187,예비비!$E$430:$E$729,"&lt;"&amp;EDATE(BN$99,1),예비비!$F$430:$F$729,"결제대금비")+MAX(0,IF(예비비!$D187&lt;EDATE(BN$99,1),예비비!$E187,0)-SUMIFS(예비비!$O$430:$O$729,예비비!$B$430:$B$729,예비비!$A187,예비비!$E$430:$E$729,"&lt;"&amp;EDATE(BN$99,1))),0)</f>
        <v>0</v>
      </c>
      <c r="BO187">
        <f>IF(예비비!$R187="OK",SUMIFS(예비비!$O$430:$O$729,예비비!$B$430:$B$729,예비비!$A187,예비비!$E$430:$E$729,"&lt;"&amp;EDATE(BO$99,1),예비비!$F$430:$F$729,"결제대금비")+MAX(0,IF(예비비!$D187&lt;EDATE(BO$99,1),예비비!$E187,0)-SUMIFS(예비비!$O$430:$O$729,예비비!$B$430:$B$729,예비비!$A187,예비비!$E$430:$E$729,"&lt;"&amp;EDATE(BO$99,1))),0)</f>
        <v>0</v>
      </c>
      <c r="BP187">
        <f>IF(예비비!$R187="OK",SUMIFS(예비비!$O$430:$O$729,예비비!$B$430:$B$729,예비비!$A187,예비비!$E$430:$E$729,"&lt;"&amp;EDATE(BP$99,1),예비비!$F$430:$F$729,"결제대금비")+MAX(0,IF(예비비!$D187&lt;EDATE(BP$99,1),예비비!$E187,0)-SUMIFS(예비비!$O$430:$O$729,예비비!$B$430:$B$729,예비비!$A187,예비비!$E$430:$E$729,"&lt;"&amp;EDATE(BP$99,1))),0)</f>
        <v>0</v>
      </c>
      <c r="BQ187">
        <f>IF(예비비!$R187="OK",SUMIFS(예비비!$O$430:$O$729,예비비!$B$430:$B$729,예비비!$A187,예비비!$E$430:$E$729,"&lt;"&amp;EDATE(BQ$99,1),예비비!$F$430:$F$729,"결제대금비")+MAX(0,IF(예비비!$D187&lt;EDATE(BQ$99,1),예비비!$E187,0)-SUMIFS(예비비!$O$430:$O$729,예비비!$B$430:$B$729,예비비!$A187,예비비!$E$430:$E$729,"&lt;"&amp;EDATE(BQ$99,1))),0)</f>
        <v>0</v>
      </c>
      <c r="BR187">
        <f>IF(예비비!$R187="OK",SUMIFS(예비비!$O$430:$O$729,예비비!$B$430:$B$729,예비비!$A187,예비비!$E$430:$E$729,"&lt;"&amp;EDATE(BR$99,1),예비비!$F$430:$F$729,"결제대금비")+MAX(0,IF(예비비!$D187&lt;EDATE(BR$99,1),예비비!$E187,0)-SUMIFS(예비비!$O$430:$O$729,예비비!$B$430:$B$729,예비비!$A187,예비비!$E$430:$E$729,"&lt;"&amp;EDATE(BR$99,1))),0)</f>
        <v>0</v>
      </c>
      <c r="BS187">
        <f>IF(예비비!$R187="OK",SUMIFS(예비비!$O$430:$O$729,예비비!$B$430:$B$729,예비비!$A187,예비비!$E$430:$E$729,"&lt;"&amp;EDATE(BS$99,1),예비비!$F$430:$F$729,"결제대금비")+MAX(0,IF(예비비!$D187&lt;EDATE(BS$99,1),예비비!$E187,0)-SUMIFS(예비비!$O$430:$O$729,예비비!$B$430:$B$729,예비비!$A187,예비비!$E$430:$E$729,"&lt;"&amp;EDATE(BS$99,1))),0)</f>
        <v>0</v>
      </c>
      <c r="BT187">
        <f>IF(예비비!$R187="OK",SUMIFS(예비비!$O$430:$O$729,예비비!$B$430:$B$729,예비비!$A187,예비비!$E$430:$E$729,"&lt;"&amp;EDATE(BT$99,1),예비비!$F$430:$F$729,"결제대금비")+MAX(0,IF(예비비!$D187&lt;EDATE(BT$99,1),예비비!$E187,0)-SUMIFS(예비비!$O$430:$O$729,예비비!$B$430:$B$729,예비비!$A187,예비비!$E$430:$E$729,"&lt;"&amp;EDATE(BT$99,1))),0)</f>
        <v>0</v>
      </c>
      <c r="BU187">
        <f>IF(예비비!$R187="OK",SUMIFS(예비비!$O$430:$O$729,예비비!$B$430:$B$729,예비비!$A187,예비비!$E$430:$E$729,"&lt;"&amp;EDATE(BU$99,1),예비비!$F$430:$F$729,"결제대금비")+MAX(0,IF(예비비!$D187&lt;EDATE(BU$99,1),예비비!$E187,0)-SUMIFS(예비비!$O$430:$O$729,예비비!$B$430:$B$729,예비비!$A187,예비비!$E$430:$E$729,"&lt;"&amp;EDATE(BU$99,1))),0)</f>
        <v>0</v>
      </c>
    </row>
    <row r="188">
      <c r="BA188">
        <v>132</v>
      </c>
      <c r="BB188">
        <f>IFERROR(INDEX(잔액!$A:$A,BA188),0)</f>
        <v>46174.0</v>
      </c>
      <c r="BH188">
        <f>IFERROR(IF(AND(BB188&gt;0,OR(COUNTIFS(예비비!$C$430:$C$729,BA188,예비비!$N$430:$N$729,"OK")&gt;0,AND(INDEX(잔액!$J:$J,BA188)="가족통장",INDEX(잔액!$K:$K,BA188)="미래에셋_WRAP형CMA"),COUNTIF(예비비!$A$8:$A$12,INDEX(잔액!$C:$C,BA188))=1,COUNTIF(예비비!$A$8:$A$12,INDEX(잔액!$D:$D,BA188))=1),OR(AND(BB188&gt;=예비비!$B$3,BB188&lt;EDATE(예비비!$B$3,1)),AND(BB188&lt;EDATE(예비비!$B$3,1),COUNTIFS(예비비!$C$430:$C$729,BA188,예비비!$L$430:$L$729,예비비!$B$3,예비비!$N$430:$N$729,"OK")&gt;0))),MAX($BH$120:BH187)+1,0),0)</f>
        <v>0</v>
      </c>
      <c r="BI188">
        <f>IF(예비비!$R188="OK",SUMIFS(예비비!$O$430:$O$729,예비비!$B$430:$B$729,예비비!$A188,예비비!$E$430:$E$729,"&lt;"&amp;EDATE(BI$99,1),예비비!$F$430:$F$729,"결제대금비")+MAX(0,IF(예비비!$D188&lt;EDATE(BI$99,1),예비비!$E188,0)-SUMIFS(예비비!$O$430:$O$729,예비비!$B$430:$B$729,예비비!$A188,예비비!$E$430:$E$729,"&lt;"&amp;EDATE(BI$99,1))),0)</f>
        <v>0</v>
      </c>
      <c r="BJ188">
        <f>IF(예비비!$R188="OK",SUMIFS(예비비!$O$430:$O$729,예비비!$B$430:$B$729,예비비!$A188,예비비!$E$430:$E$729,"&lt;"&amp;EDATE(BJ$99,1),예비비!$F$430:$F$729,"결제대금비")+MAX(0,IF(예비비!$D188&lt;EDATE(BJ$99,1),예비비!$E188,0)-SUMIFS(예비비!$O$430:$O$729,예비비!$B$430:$B$729,예비비!$A188,예비비!$E$430:$E$729,"&lt;"&amp;EDATE(BJ$99,1))),0)</f>
        <v>0</v>
      </c>
      <c r="BK188">
        <f>IF(예비비!$R188="OK",SUMIFS(예비비!$O$430:$O$729,예비비!$B$430:$B$729,예비비!$A188,예비비!$E$430:$E$729,"&lt;"&amp;EDATE(BK$99,1),예비비!$F$430:$F$729,"결제대금비")+MAX(0,IF(예비비!$D188&lt;EDATE(BK$99,1),예비비!$E188,0)-SUMIFS(예비비!$O$430:$O$729,예비비!$B$430:$B$729,예비비!$A188,예비비!$E$430:$E$729,"&lt;"&amp;EDATE(BK$99,1))),0)</f>
        <v>0</v>
      </c>
      <c r="BL188">
        <f>IF(예비비!$R188="OK",SUMIFS(예비비!$O$430:$O$729,예비비!$B$430:$B$729,예비비!$A188,예비비!$E$430:$E$729,"&lt;"&amp;EDATE(BL$99,1),예비비!$F$430:$F$729,"결제대금비")+MAX(0,IF(예비비!$D188&lt;EDATE(BL$99,1),예비비!$E188,0)-SUMIFS(예비비!$O$430:$O$729,예비비!$B$430:$B$729,예비비!$A188,예비비!$E$430:$E$729,"&lt;"&amp;EDATE(BL$99,1))),0)</f>
        <v>0</v>
      </c>
      <c r="BM188">
        <f>IF(예비비!$R188="OK",SUMIFS(예비비!$O$430:$O$729,예비비!$B$430:$B$729,예비비!$A188,예비비!$E$430:$E$729,"&lt;"&amp;EDATE(BM$99,1),예비비!$F$430:$F$729,"결제대금비")+MAX(0,IF(예비비!$D188&lt;EDATE(BM$99,1),예비비!$E188,0)-SUMIFS(예비비!$O$430:$O$729,예비비!$B$430:$B$729,예비비!$A188,예비비!$E$430:$E$729,"&lt;"&amp;EDATE(BM$99,1))),0)</f>
        <v>0</v>
      </c>
      <c r="BN188">
        <f>IF(예비비!$R188="OK",SUMIFS(예비비!$O$430:$O$729,예비비!$B$430:$B$729,예비비!$A188,예비비!$E$430:$E$729,"&lt;"&amp;EDATE(BN$99,1),예비비!$F$430:$F$729,"결제대금비")+MAX(0,IF(예비비!$D188&lt;EDATE(BN$99,1),예비비!$E188,0)-SUMIFS(예비비!$O$430:$O$729,예비비!$B$430:$B$729,예비비!$A188,예비비!$E$430:$E$729,"&lt;"&amp;EDATE(BN$99,1))),0)</f>
        <v>0</v>
      </c>
      <c r="BO188">
        <f>IF(예비비!$R188="OK",SUMIFS(예비비!$O$430:$O$729,예비비!$B$430:$B$729,예비비!$A188,예비비!$E$430:$E$729,"&lt;"&amp;EDATE(BO$99,1),예비비!$F$430:$F$729,"결제대금비")+MAX(0,IF(예비비!$D188&lt;EDATE(BO$99,1),예비비!$E188,0)-SUMIFS(예비비!$O$430:$O$729,예비비!$B$430:$B$729,예비비!$A188,예비비!$E$430:$E$729,"&lt;"&amp;EDATE(BO$99,1))),0)</f>
        <v>0</v>
      </c>
      <c r="BP188">
        <f>IF(예비비!$R188="OK",SUMIFS(예비비!$O$430:$O$729,예비비!$B$430:$B$729,예비비!$A188,예비비!$E$430:$E$729,"&lt;"&amp;EDATE(BP$99,1),예비비!$F$430:$F$729,"결제대금비")+MAX(0,IF(예비비!$D188&lt;EDATE(BP$99,1),예비비!$E188,0)-SUMIFS(예비비!$O$430:$O$729,예비비!$B$430:$B$729,예비비!$A188,예비비!$E$430:$E$729,"&lt;"&amp;EDATE(BP$99,1))),0)</f>
        <v>0</v>
      </c>
      <c r="BQ188">
        <f>IF(예비비!$R188="OK",SUMIFS(예비비!$O$430:$O$729,예비비!$B$430:$B$729,예비비!$A188,예비비!$E$430:$E$729,"&lt;"&amp;EDATE(BQ$99,1),예비비!$F$430:$F$729,"결제대금비")+MAX(0,IF(예비비!$D188&lt;EDATE(BQ$99,1),예비비!$E188,0)-SUMIFS(예비비!$O$430:$O$729,예비비!$B$430:$B$729,예비비!$A188,예비비!$E$430:$E$729,"&lt;"&amp;EDATE(BQ$99,1))),0)</f>
        <v>0</v>
      </c>
      <c r="BR188">
        <f>IF(예비비!$R188="OK",SUMIFS(예비비!$O$430:$O$729,예비비!$B$430:$B$729,예비비!$A188,예비비!$E$430:$E$729,"&lt;"&amp;EDATE(BR$99,1),예비비!$F$430:$F$729,"결제대금비")+MAX(0,IF(예비비!$D188&lt;EDATE(BR$99,1),예비비!$E188,0)-SUMIFS(예비비!$O$430:$O$729,예비비!$B$430:$B$729,예비비!$A188,예비비!$E$430:$E$729,"&lt;"&amp;EDATE(BR$99,1))),0)</f>
        <v>0</v>
      </c>
      <c r="BS188">
        <f>IF(예비비!$R188="OK",SUMIFS(예비비!$O$430:$O$729,예비비!$B$430:$B$729,예비비!$A188,예비비!$E$430:$E$729,"&lt;"&amp;EDATE(BS$99,1),예비비!$F$430:$F$729,"결제대금비")+MAX(0,IF(예비비!$D188&lt;EDATE(BS$99,1),예비비!$E188,0)-SUMIFS(예비비!$O$430:$O$729,예비비!$B$430:$B$729,예비비!$A188,예비비!$E$430:$E$729,"&lt;"&amp;EDATE(BS$99,1))),0)</f>
        <v>0</v>
      </c>
      <c r="BT188">
        <f>IF(예비비!$R188="OK",SUMIFS(예비비!$O$430:$O$729,예비비!$B$430:$B$729,예비비!$A188,예비비!$E$430:$E$729,"&lt;"&amp;EDATE(BT$99,1),예비비!$F$430:$F$729,"결제대금비")+MAX(0,IF(예비비!$D188&lt;EDATE(BT$99,1),예비비!$E188,0)-SUMIFS(예비비!$O$430:$O$729,예비비!$B$430:$B$729,예비비!$A188,예비비!$E$430:$E$729,"&lt;"&amp;EDATE(BT$99,1))),0)</f>
        <v>0</v>
      </c>
      <c r="BU188">
        <f>IF(예비비!$R188="OK",SUMIFS(예비비!$O$430:$O$729,예비비!$B$430:$B$729,예비비!$A188,예비비!$E$430:$E$729,"&lt;"&amp;EDATE(BU$99,1),예비비!$F$430:$F$729,"결제대금비")+MAX(0,IF(예비비!$D188&lt;EDATE(BU$99,1),예비비!$E188,0)-SUMIFS(예비비!$O$430:$O$729,예비비!$B$430:$B$729,예비비!$A188,예비비!$E$430:$E$729,"&lt;"&amp;EDATE(BU$99,1))),0)</f>
        <v>0</v>
      </c>
    </row>
    <row r="189">
      <c r="BA189">
        <v>133</v>
      </c>
      <c r="BB189">
        <f>IFERROR(INDEX(잔액!$A:$A,BA189),0)</f>
        <v>46174.0</v>
      </c>
      <c r="BH189">
        <f>IFERROR(IF(AND(BB189&gt;0,OR(COUNTIFS(예비비!$C$430:$C$729,BA189,예비비!$N$430:$N$729,"OK")&gt;0,AND(INDEX(잔액!$J:$J,BA189)="가족통장",INDEX(잔액!$K:$K,BA189)="미래에셋_WRAP형CMA"),COUNTIF(예비비!$A$8:$A$12,INDEX(잔액!$C:$C,BA189))=1,COUNTIF(예비비!$A$8:$A$12,INDEX(잔액!$D:$D,BA189))=1),OR(AND(BB189&gt;=예비비!$B$3,BB189&lt;EDATE(예비비!$B$3,1)),AND(BB189&lt;EDATE(예비비!$B$3,1),COUNTIFS(예비비!$C$430:$C$729,BA189,예비비!$L$430:$L$729,예비비!$B$3,예비비!$N$430:$N$729,"OK")&gt;0))),MAX($BH$120:BH188)+1,0),0)</f>
        <v>0</v>
      </c>
      <c r="BI189">
        <f>IF(예비비!$R189="OK",SUMIFS(예비비!$O$430:$O$729,예비비!$B$430:$B$729,예비비!$A189,예비비!$E$430:$E$729,"&lt;"&amp;EDATE(BI$99,1),예비비!$F$430:$F$729,"결제대금비")+MAX(0,IF(예비비!$D189&lt;EDATE(BI$99,1),예비비!$E189,0)-SUMIFS(예비비!$O$430:$O$729,예비비!$B$430:$B$729,예비비!$A189,예비비!$E$430:$E$729,"&lt;"&amp;EDATE(BI$99,1))),0)</f>
        <v>0</v>
      </c>
      <c r="BJ189">
        <f>IF(예비비!$R189="OK",SUMIFS(예비비!$O$430:$O$729,예비비!$B$430:$B$729,예비비!$A189,예비비!$E$430:$E$729,"&lt;"&amp;EDATE(BJ$99,1),예비비!$F$430:$F$729,"결제대금비")+MAX(0,IF(예비비!$D189&lt;EDATE(BJ$99,1),예비비!$E189,0)-SUMIFS(예비비!$O$430:$O$729,예비비!$B$430:$B$729,예비비!$A189,예비비!$E$430:$E$729,"&lt;"&amp;EDATE(BJ$99,1))),0)</f>
        <v>0</v>
      </c>
      <c r="BK189">
        <f>IF(예비비!$R189="OK",SUMIFS(예비비!$O$430:$O$729,예비비!$B$430:$B$729,예비비!$A189,예비비!$E$430:$E$729,"&lt;"&amp;EDATE(BK$99,1),예비비!$F$430:$F$729,"결제대금비")+MAX(0,IF(예비비!$D189&lt;EDATE(BK$99,1),예비비!$E189,0)-SUMIFS(예비비!$O$430:$O$729,예비비!$B$430:$B$729,예비비!$A189,예비비!$E$430:$E$729,"&lt;"&amp;EDATE(BK$99,1))),0)</f>
        <v>0</v>
      </c>
      <c r="BL189">
        <f>IF(예비비!$R189="OK",SUMIFS(예비비!$O$430:$O$729,예비비!$B$430:$B$729,예비비!$A189,예비비!$E$430:$E$729,"&lt;"&amp;EDATE(BL$99,1),예비비!$F$430:$F$729,"결제대금비")+MAX(0,IF(예비비!$D189&lt;EDATE(BL$99,1),예비비!$E189,0)-SUMIFS(예비비!$O$430:$O$729,예비비!$B$430:$B$729,예비비!$A189,예비비!$E$430:$E$729,"&lt;"&amp;EDATE(BL$99,1))),0)</f>
        <v>0</v>
      </c>
      <c r="BM189">
        <f>IF(예비비!$R189="OK",SUMIFS(예비비!$O$430:$O$729,예비비!$B$430:$B$729,예비비!$A189,예비비!$E$430:$E$729,"&lt;"&amp;EDATE(BM$99,1),예비비!$F$430:$F$729,"결제대금비")+MAX(0,IF(예비비!$D189&lt;EDATE(BM$99,1),예비비!$E189,0)-SUMIFS(예비비!$O$430:$O$729,예비비!$B$430:$B$729,예비비!$A189,예비비!$E$430:$E$729,"&lt;"&amp;EDATE(BM$99,1))),0)</f>
        <v>0</v>
      </c>
      <c r="BN189">
        <f>IF(예비비!$R189="OK",SUMIFS(예비비!$O$430:$O$729,예비비!$B$430:$B$729,예비비!$A189,예비비!$E$430:$E$729,"&lt;"&amp;EDATE(BN$99,1),예비비!$F$430:$F$729,"결제대금비")+MAX(0,IF(예비비!$D189&lt;EDATE(BN$99,1),예비비!$E189,0)-SUMIFS(예비비!$O$430:$O$729,예비비!$B$430:$B$729,예비비!$A189,예비비!$E$430:$E$729,"&lt;"&amp;EDATE(BN$99,1))),0)</f>
        <v>0</v>
      </c>
      <c r="BO189">
        <f>IF(예비비!$R189="OK",SUMIFS(예비비!$O$430:$O$729,예비비!$B$430:$B$729,예비비!$A189,예비비!$E$430:$E$729,"&lt;"&amp;EDATE(BO$99,1),예비비!$F$430:$F$729,"결제대금비")+MAX(0,IF(예비비!$D189&lt;EDATE(BO$99,1),예비비!$E189,0)-SUMIFS(예비비!$O$430:$O$729,예비비!$B$430:$B$729,예비비!$A189,예비비!$E$430:$E$729,"&lt;"&amp;EDATE(BO$99,1))),0)</f>
        <v>0</v>
      </c>
      <c r="BP189">
        <f>IF(예비비!$R189="OK",SUMIFS(예비비!$O$430:$O$729,예비비!$B$430:$B$729,예비비!$A189,예비비!$E$430:$E$729,"&lt;"&amp;EDATE(BP$99,1),예비비!$F$430:$F$729,"결제대금비")+MAX(0,IF(예비비!$D189&lt;EDATE(BP$99,1),예비비!$E189,0)-SUMIFS(예비비!$O$430:$O$729,예비비!$B$430:$B$729,예비비!$A189,예비비!$E$430:$E$729,"&lt;"&amp;EDATE(BP$99,1))),0)</f>
        <v>0</v>
      </c>
      <c r="BQ189">
        <f>IF(예비비!$R189="OK",SUMIFS(예비비!$O$430:$O$729,예비비!$B$430:$B$729,예비비!$A189,예비비!$E$430:$E$729,"&lt;"&amp;EDATE(BQ$99,1),예비비!$F$430:$F$729,"결제대금비")+MAX(0,IF(예비비!$D189&lt;EDATE(BQ$99,1),예비비!$E189,0)-SUMIFS(예비비!$O$430:$O$729,예비비!$B$430:$B$729,예비비!$A189,예비비!$E$430:$E$729,"&lt;"&amp;EDATE(BQ$99,1))),0)</f>
        <v>0</v>
      </c>
      <c r="BR189">
        <f>IF(예비비!$R189="OK",SUMIFS(예비비!$O$430:$O$729,예비비!$B$430:$B$729,예비비!$A189,예비비!$E$430:$E$729,"&lt;"&amp;EDATE(BR$99,1),예비비!$F$430:$F$729,"결제대금비")+MAX(0,IF(예비비!$D189&lt;EDATE(BR$99,1),예비비!$E189,0)-SUMIFS(예비비!$O$430:$O$729,예비비!$B$430:$B$729,예비비!$A189,예비비!$E$430:$E$729,"&lt;"&amp;EDATE(BR$99,1))),0)</f>
        <v>0</v>
      </c>
      <c r="BS189">
        <f>IF(예비비!$R189="OK",SUMIFS(예비비!$O$430:$O$729,예비비!$B$430:$B$729,예비비!$A189,예비비!$E$430:$E$729,"&lt;"&amp;EDATE(BS$99,1),예비비!$F$430:$F$729,"결제대금비")+MAX(0,IF(예비비!$D189&lt;EDATE(BS$99,1),예비비!$E189,0)-SUMIFS(예비비!$O$430:$O$729,예비비!$B$430:$B$729,예비비!$A189,예비비!$E$430:$E$729,"&lt;"&amp;EDATE(BS$99,1))),0)</f>
        <v>0</v>
      </c>
      <c r="BT189">
        <f>IF(예비비!$R189="OK",SUMIFS(예비비!$O$430:$O$729,예비비!$B$430:$B$729,예비비!$A189,예비비!$E$430:$E$729,"&lt;"&amp;EDATE(BT$99,1),예비비!$F$430:$F$729,"결제대금비")+MAX(0,IF(예비비!$D189&lt;EDATE(BT$99,1),예비비!$E189,0)-SUMIFS(예비비!$O$430:$O$729,예비비!$B$430:$B$729,예비비!$A189,예비비!$E$430:$E$729,"&lt;"&amp;EDATE(BT$99,1))),0)</f>
        <v>0</v>
      </c>
      <c r="BU189">
        <f>IF(예비비!$R189="OK",SUMIFS(예비비!$O$430:$O$729,예비비!$B$430:$B$729,예비비!$A189,예비비!$E$430:$E$729,"&lt;"&amp;EDATE(BU$99,1),예비비!$F$430:$F$729,"결제대금비")+MAX(0,IF(예비비!$D189&lt;EDATE(BU$99,1),예비비!$E189,0)-SUMIFS(예비비!$O$430:$O$729,예비비!$B$430:$B$729,예비비!$A189,예비비!$E$430:$E$729,"&lt;"&amp;EDATE(BU$99,1))),0)</f>
        <v>0</v>
      </c>
    </row>
    <row r="190">
      <c r="BA190">
        <v>134</v>
      </c>
      <c r="BB190">
        <f>IFERROR(INDEX(잔액!$A:$A,BA190),0)</f>
        <v>46174.0</v>
      </c>
      <c r="BH190">
        <f>IFERROR(IF(AND(BB190&gt;0,OR(COUNTIFS(예비비!$C$430:$C$729,BA190,예비비!$N$430:$N$729,"OK")&gt;0,AND(INDEX(잔액!$J:$J,BA190)="가족통장",INDEX(잔액!$K:$K,BA190)="미래에셋_WRAP형CMA"),COUNTIF(예비비!$A$8:$A$12,INDEX(잔액!$C:$C,BA190))=1,COUNTIF(예비비!$A$8:$A$12,INDEX(잔액!$D:$D,BA190))=1),OR(AND(BB190&gt;=예비비!$B$3,BB190&lt;EDATE(예비비!$B$3,1)),AND(BB190&lt;EDATE(예비비!$B$3,1),COUNTIFS(예비비!$C$430:$C$729,BA190,예비비!$L$430:$L$729,예비비!$B$3,예비비!$N$430:$N$729,"OK")&gt;0))),MAX($BH$120:BH189)+1,0),0)</f>
        <v>0</v>
      </c>
      <c r="BI190">
        <f>IF(예비비!$R190="OK",SUMIFS(예비비!$O$430:$O$729,예비비!$B$430:$B$729,예비비!$A190,예비비!$E$430:$E$729,"&lt;"&amp;EDATE(BI$99,1),예비비!$F$430:$F$729,"결제대금비")+MAX(0,IF(예비비!$D190&lt;EDATE(BI$99,1),예비비!$E190,0)-SUMIFS(예비비!$O$430:$O$729,예비비!$B$430:$B$729,예비비!$A190,예비비!$E$430:$E$729,"&lt;"&amp;EDATE(BI$99,1))),0)</f>
        <v>0</v>
      </c>
      <c r="BJ190">
        <f>IF(예비비!$R190="OK",SUMIFS(예비비!$O$430:$O$729,예비비!$B$430:$B$729,예비비!$A190,예비비!$E$430:$E$729,"&lt;"&amp;EDATE(BJ$99,1),예비비!$F$430:$F$729,"결제대금비")+MAX(0,IF(예비비!$D190&lt;EDATE(BJ$99,1),예비비!$E190,0)-SUMIFS(예비비!$O$430:$O$729,예비비!$B$430:$B$729,예비비!$A190,예비비!$E$430:$E$729,"&lt;"&amp;EDATE(BJ$99,1))),0)</f>
        <v>0</v>
      </c>
      <c r="BK190">
        <f>IF(예비비!$R190="OK",SUMIFS(예비비!$O$430:$O$729,예비비!$B$430:$B$729,예비비!$A190,예비비!$E$430:$E$729,"&lt;"&amp;EDATE(BK$99,1),예비비!$F$430:$F$729,"결제대금비")+MAX(0,IF(예비비!$D190&lt;EDATE(BK$99,1),예비비!$E190,0)-SUMIFS(예비비!$O$430:$O$729,예비비!$B$430:$B$729,예비비!$A190,예비비!$E$430:$E$729,"&lt;"&amp;EDATE(BK$99,1))),0)</f>
        <v>0</v>
      </c>
      <c r="BL190">
        <f>IF(예비비!$R190="OK",SUMIFS(예비비!$O$430:$O$729,예비비!$B$430:$B$729,예비비!$A190,예비비!$E$430:$E$729,"&lt;"&amp;EDATE(BL$99,1),예비비!$F$430:$F$729,"결제대금비")+MAX(0,IF(예비비!$D190&lt;EDATE(BL$99,1),예비비!$E190,0)-SUMIFS(예비비!$O$430:$O$729,예비비!$B$430:$B$729,예비비!$A190,예비비!$E$430:$E$729,"&lt;"&amp;EDATE(BL$99,1))),0)</f>
        <v>0</v>
      </c>
      <c r="BM190">
        <f>IF(예비비!$R190="OK",SUMIFS(예비비!$O$430:$O$729,예비비!$B$430:$B$729,예비비!$A190,예비비!$E$430:$E$729,"&lt;"&amp;EDATE(BM$99,1),예비비!$F$430:$F$729,"결제대금비")+MAX(0,IF(예비비!$D190&lt;EDATE(BM$99,1),예비비!$E190,0)-SUMIFS(예비비!$O$430:$O$729,예비비!$B$430:$B$729,예비비!$A190,예비비!$E$430:$E$729,"&lt;"&amp;EDATE(BM$99,1))),0)</f>
        <v>0</v>
      </c>
      <c r="BN190">
        <f>IF(예비비!$R190="OK",SUMIFS(예비비!$O$430:$O$729,예비비!$B$430:$B$729,예비비!$A190,예비비!$E$430:$E$729,"&lt;"&amp;EDATE(BN$99,1),예비비!$F$430:$F$729,"결제대금비")+MAX(0,IF(예비비!$D190&lt;EDATE(BN$99,1),예비비!$E190,0)-SUMIFS(예비비!$O$430:$O$729,예비비!$B$430:$B$729,예비비!$A190,예비비!$E$430:$E$729,"&lt;"&amp;EDATE(BN$99,1))),0)</f>
        <v>0</v>
      </c>
      <c r="BO190">
        <f>IF(예비비!$R190="OK",SUMIFS(예비비!$O$430:$O$729,예비비!$B$430:$B$729,예비비!$A190,예비비!$E$430:$E$729,"&lt;"&amp;EDATE(BO$99,1),예비비!$F$430:$F$729,"결제대금비")+MAX(0,IF(예비비!$D190&lt;EDATE(BO$99,1),예비비!$E190,0)-SUMIFS(예비비!$O$430:$O$729,예비비!$B$430:$B$729,예비비!$A190,예비비!$E$430:$E$729,"&lt;"&amp;EDATE(BO$99,1))),0)</f>
        <v>0</v>
      </c>
      <c r="BP190">
        <f>IF(예비비!$R190="OK",SUMIFS(예비비!$O$430:$O$729,예비비!$B$430:$B$729,예비비!$A190,예비비!$E$430:$E$729,"&lt;"&amp;EDATE(BP$99,1),예비비!$F$430:$F$729,"결제대금비")+MAX(0,IF(예비비!$D190&lt;EDATE(BP$99,1),예비비!$E190,0)-SUMIFS(예비비!$O$430:$O$729,예비비!$B$430:$B$729,예비비!$A190,예비비!$E$430:$E$729,"&lt;"&amp;EDATE(BP$99,1))),0)</f>
        <v>0</v>
      </c>
      <c r="BQ190">
        <f>IF(예비비!$R190="OK",SUMIFS(예비비!$O$430:$O$729,예비비!$B$430:$B$729,예비비!$A190,예비비!$E$430:$E$729,"&lt;"&amp;EDATE(BQ$99,1),예비비!$F$430:$F$729,"결제대금비")+MAX(0,IF(예비비!$D190&lt;EDATE(BQ$99,1),예비비!$E190,0)-SUMIFS(예비비!$O$430:$O$729,예비비!$B$430:$B$729,예비비!$A190,예비비!$E$430:$E$729,"&lt;"&amp;EDATE(BQ$99,1))),0)</f>
        <v>0</v>
      </c>
      <c r="BR190">
        <f>IF(예비비!$R190="OK",SUMIFS(예비비!$O$430:$O$729,예비비!$B$430:$B$729,예비비!$A190,예비비!$E$430:$E$729,"&lt;"&amp;EDATE(BR$99,1),예비비!$F$430:$F$729,"결제대금비")+MAX(0,IF(예비비!$D190&lt;EDATE(BR$99,1),예비비!$E190,0)-SUMIFS(예비비!$O$430:$O$729,예비비!$B$430:$B$729,예비비!$A190,예비비!$E$430:$E$729,"&lt;"&amp;EDATE(BR$99,1))),0)</f>
        <v>0</v>
      </c>
      <c r="BS190">
        <f>IF(예비비!$R190="OK",SUMIFS(예비비!$O$430:$O$729,예비비!$B$430:$B$729,예비비!$A190,예비비!$E$430:$E$729,"&lt;"&amp;EDATE(BS$99,1),예비비!$F$430:$F$729,"결제대금비")+MAX(0,IF(예비비!$D190&lt;EDATE(BS$99,1),예비비!$E190,0)-SUMIFS(예비비!$O$430:$O$729,예비비!$B$430:$B$729,예비비!$A190,예비비!$E$430:$E$729,"&lt;"&amp;EDATE(BS$99,1))),0)</f>
        <v>0</v>
      </c>
      <c r="BT190">
        <f>IF(예비비!$R190="OK",SUMIFS(예비비!$O$430:$O$729,예비비!$B$430:$B$729,예비비!$A190,예비비!$E$430:$E$729,"&lt;"&amp;EDATE(BT$99,1),예비비!$F$430:$F$729,"결제대금비")+MAX(0,IF(예비비!$D190&lt;EDATE(BT$99,1),예비비!$E190,0)-SUMIFS(예비비!$O$430:$O$729,예비비!$B$430:$B$729,예비비!$A190,예비비!$E$430:$E$729,"&lt;"&amp;EDATE(BT$99,1))),0)</f>
        <v>0</v>
      </c>
      <c r="BU190">
        <f>IF(예비비!$R190="OK",SUMIFS(예비비!$O$430:$O$729,예비비!$B$430:$B$729,예비비!$A190,예비비!$E$430:$E$729,"&lt;"&amp;EDATE(BU$99,1),예비비!$F$430:$F$729,"결제대금비")+MAX(0,IF(예비비!$D190&lt;EDATE(BU$99,1),예비비!$E190,0)-SUMIFS(예비비!$O$430:$O$729,예비비!$B$430:$B$729,예비비!$A190,예비비!$E$430:$E$729,"&lt;"&amp;EDATE(BU$99,1))),0)</f>
        <v>0</v>
      </c>
    </row>
    <row r="191">
      <c r="BA191">
        <v>135</v>
      </c>
      <c r="BB191">
        <f>IFERROR(INDEX(잔액!$A:$A,BA191),0)</f>
        <v>46174.0</v>
      </c>
      <c r="BH191">
        <f>IFERROR(IF(AND(BB191&gt;0,OR(COUNTIFS(예비비!$C$430:$C$729,BA191,예비비!$N$430:$N$729,"OK")&gt;0,AND(INDEX(잔액!$J:$J,BA191)="가족통장",INDEX(잔액!$K:$K,BA191)="미래에셋_WRAP형CMA"),COUNTIF(예비비!$A$8:$A$12,INDEX(잔액!$C:$C,BA191))=1,COUNTIF(예비비!$A$8:$A$12,INDEX(잔액!$D:$D,BA191))=1),OR(AND(BB191&gt;=예비비!$B$3,BB191&lt;EDATE(예비비!$B$3,1)),AND(BB191&lt;EDATE(예비비!$B$3,1),COUNTIFS(예비비!$C$430:$C$729,BA191,예비비!$L$430:$L$729,예비비!$B$3,예비비!$N$430:$N$729,"OK")&gt;0))),MAX($BH$120:BH190)+1,0),0)</f>
        <v>0</v>
      </c>
      <c r="BI191">
        <f>IF(예비비!$R191="OK",SUMIFS(예비비!$O$430:$O$729,예비비!$B$430:$B$729,예비비!$A191,예비비!$E$430:$E$729,"&lt;"&amp;EDATE(BI$99,1),예비비!$F$430:$F$729,"결제대금비")+MAX(0,IF(예비비!$D191&lt;EDATE(BI$99,1),예비비!$E191,0)-SUMIFS(예비비!$O$430:$O$729,예비비!$B$430:$B$729,예비비!$A191,예비비!$E$430:$E$729,"&lt;"&amp;EDATE(BI$99,1))),0)</f>
        <v>0</v>
      </c>
      <c r="BJ191">
        <f>IF(예비비!$R191="OK",SUMIFS(예비비!$O$430:$O$729,예비비!$B$430:$B$729,예비비!$A191,예비비!$E$430:$E$729,"&lt;"&amp;EDATE(BJ$99,1),예비비!$F$430:$F$729,"결제대금비")+MAX(0,IF(예비비!$D191&lt;EDATE(BJ$99,1),예비비!$E191,0)-SUMIFS(예비비!$O$430:$O$729,예비비!$B$430:$B$729,예비비!$A191,예비비!$E$430:$E$729,"&lt;"&amp;EDATE(BJ$99,1))),0)</f>
        <v>0</v>
      </c>
      <c r="BK191">
        <f>IF(예비비!$R191="OK",SUMIFS(예비비!$O$430:$O$729,예비비!$B$430:$B$729,예비비!$A191,예비비!$E$430:$E$729,"&lt;"&amp;EDATE(BK$99,1),예비비!$F$430:$F$729,"결제대금비")+MAX(0,IF(예비비!$D191&lt;EDATE(BK$99,1),예비비!$E191,0)-SUMIFS(예비비!$O$430:$O$729,예비비!$B$430:$B$729,예비비!$A191,예비비!$E$430:$E$729,"&lt;"&amp;EDATE(BK$99,1))),0)</f>
        <v>0</v>
      </c>
      <c r="BL191">
        <f>IF(예비비!$R191="OK",SUMIFS(예비비!$O$430:$O$729,예비비!$B$430:$B$729,예비비!$A191,예비비!$E$430:$E$729,"&lt;"&amp;EDATE(BL$99,1),예비비!$F$430:$F$729,"결제대금비")+MAX(0,IF(예비비!$D191&lt;EDATE(BL$99,1),예비비!$E191,0)-SUMIFS(예비비!$O$430:$O$729,예비비!$B$430:$B$729,예비비!$A191,예비비!$E$430:$E$729,"&lt;"&amp;EDATE(BL$99,1))),0)</f>
        <v>0</v>
      </c>
      <c r="BM191">
        <f>IF(예비비!$R191="OK",SUMIFS(예비비!$O$430:$O$729,예비비!$B$430:$B$729,예비비!$A191,예비비!$E$430:$E$729,"&lt;"&amp;EDATE(BM$99,1),예비비!$F$430:$F$729,"결제대금비")+MAX(0,IF(예비비!$D191&lt;EDATE(BM$99,1),예비비!$E191,0)-SUMIFS(예비비!$O$430:$O$729,예비비!$B$430:$B$729,예비비!$A191,예비비!$E$430:$E$729,"&lt;"&amp;EDATE(BM$99,1))),0)</f>
        <v>0</v>
      </c>
      <c r="BN191">
        <f>IF(예비비!$R191="OK",SUMIFS(예비비!$O$430:$O$729,예비비!$B$430:$B$729,예비비!$A191,예비비!$E$430:$E$729,"&lt;"&amp;EDATE(BN$99,1),예비비!$F$430:$F$729,"결제대금비")+MAX(0,IF(예비비!$D191&lt;EDATE(BN$99,1),예비비!$E191,0)-SUMIFS(예비비!$O$430:$O$729,예비비!$B$430:$B$729,예비비!$A191,예비비!$E$430:$E$729,"&lt;"&amp;EDATE(BN$99,1))),0)</f>
        <v>0</v>
      </c>
      <c r="BO191">
        <f>IF(예비비!$R191="OK",SUMIFS(예비비!$O$430:$O$729,예비비!$B$430:$B$729,예비비!$A191,예비비!$E$430:$E$729,"&lt;"&amp;EDATE(BO$99,1),예비비!$F$430:$F$729,"결제대금비")+MAX(0,IF(예비비!$D191&lt;EDATE(BO$99,1),예비비!$E191,0)-SUMIFS(예비비!$O$430:$O$729,예비비!$B$430:$B$729,예비비!$A191,예비비!$E$430:$E$729,"&lt;"&amp;EDATE(BO$99,1))),0)</f>
        <v>0</v>
      </c>
      <c r="BP191">
        <f>IF(예비비!$R191="OK",SUMIFS(예비비!$O$430:$O$729,예비비!$B$430:$B$729,예비비!$A191,예비비!$E$430:$E$729,"&lt;"&amp;EDATE(BP$99,1),예비비!$F$430:$F$729,"결제대금비")+MAX(0,IF(예비비!$D191&lt;EDATE(BP$99,1),예비비!$E191,0)-SUMIFS(예비비!$O$430:$O$729,예비비!$B$430:$B$729,예비비!$A191,예비비!$E$430:$E$729,"&lt;"&amp;EDATE(BP$99,1))),0)</f>
        <v>0</v>
      </c>
      <c r="BQ191">
        <f>IF(예비비!$R191="OK",SUMIFS(예비비!$O$430:$O$729,예비비!$B$430:$B$729,예비비!$A191,예비비!$E$430:$E$729,"&lt;"&amp;EDATE(BQ$99,1),예비비!$F$430:$F$729,"결제대금비")+MAX(0,IF(예비비!$D191&lt;EDATE(BQ$99,1),예비비!$E191,0)-SUMIFS(예비비!$O$430:$O$729,예비비!$B$430:$B$729,예비비!$A191,예비비!$E$430:$E$729,"&lt;"&amp;EDATE(BQ$99,1))),0)</f>
        <v>0</v>
      </c>
      <c r="BR191">
        <f>IF(예비비!$R191="OK",SUMIFS(예비비!$O$430:$O$729,예비비!$B$430:$B$729,예비비!$A191,예비비!$E$430:$E$729,"&lt;"&amp;EDATE(BR$99,1),예비비!$F$430:$F$729,"결제대금비")+MAX(0,IF(예비비!$D191&lt;EDATE(BR$99,1),예비비!$E191,0)-SUMIFS(예비비!$O$430:$O$729,예비비!$B$430:$B$729,예비비!$A191,예비비!$E$430:$E$729,"&lt;"&amp;EDATE(BR$99,1))),0)</f>
        <v>0</v>
      </c>
      <c r="BS191">
        <f>IF(예비비!$R191="OK",SUMIFS(예비비!$O$430:$O$729,예비비!$B$430:$B$729,예비비!$A191,예비비!$E$430:$E$729,"&lt;"&amp;EDATE(BS$99,1),예비비!$F$430:$F$729,"결제대금비")+MAX(0,IF(예비비!$D191&lt;EDATE(BS$99,1),예비비!$E191,0)-SUMIFS(예비비!$O$430:$O$729,예비비!$B$430:$B$729,예비비!$A191,예비비!$E$430:$E$729,"&lt;"&amp;EDATE(BS$99,1))),0)</f>
        <v>0</v>
      </c>
      <c r="BT191">
        <f>IF(예비비!$R191="OK",SUMIFS(예비비!$O$430:$O$729,예비비!$B$430:$B$729,예비비!$A191,예비비!$E$430:$E$729,"&lt;"&amp;EDATE(BT$99,1),예비비!$F$430:$F$729,"결제대금비")+MAX(0,IF(예비비!$D191&lt;EDATE(BT$99,1),예비비!$E191,0)-SUMIFS(예비비!$O$430:$O$729,예비비!$B$430:$B$729,예비비!$A191,예비비!$E$430:$E$729,"&lt;"&amp;EDATE(BT$99,1))),0)</f>
        <v>0</v>
      </c>
      <c r="BU191">
        <f>IF(예비비!$R191="OK",SUMIFS(예비비!$O$430:$O$729,예비비!$B$430:$B$729,예비비!$A191,예비비!$E$430:$E$729,"&lt;"&amp;EDATE(BU$99,1),예비비!$F$430:$F$729,"결제대금비")+MAX(0,IF(예비비!$D191&lt;EDATE(BU$99,1),예비비!$E191,0)-SUMIFS(예비비!$O$430:$O$729,예비비!$B$430:$B$729,예비비!$A191,예비비!$E$430:$E$729,"&lt;"&amp;EDATE(BU$99,1))),0)</f>
        <v>0</v>
      </c>
    </row>
    <row r="192">
      <c r="BA192">
        <v>136</v>
      </c>
      <c r="BB192">
        <f>IFERROR(INDEX(잔액!$A:$A,BA192),0)</f>
        <v>46174.0</v>
      </c>
      <c r="BH192">
        <f>IFERROR(IF(AND(BB192&gt;0,OR(COUNTIFS(예비비!$C$430:$C$729,BA192,예비비!$N$430:$N$729,"OK")&gt;0,AND(INDEX(잔액!$J:$J,BA192)="가족통장",INDEX(잔액!$K:$K,BA192)="미래에셋_WRAP형CMA"),COUNTIF(예비비!$A$8:$A$12,INDEX(잔액!$C:$C,BA192))=1,COUNTIF(예비비!$A$8:$A$12,INDEX(잔액!$D:$D,BA192))=1),OR(AND(BB192&gt;=예비비!$B$3,BB192&lt;EDATE(예비비!$B$3,1)),AND(BB192&lt;EDATE(예비비!$B$3,1),COUNTIFS(예비비!$C$430:$C$729,BA192,예비비!$L$430:$L$729,예비비!$B$3,예비비!$N$430:$N$729,"OK")&gt;0))),MAX($BH$120:BH191)+1,0),0)</f>
        <v>0</v>
      </c>
      <c r="BI192">
        <f>IF(예비비!$R192="OK",SUMIFS(예비비!$O$430:$O$729,예비비!$B$430:$B$729,예비비!$A192,예비비!$E$430:$E$729,"&lt;"&amp;EDATE(BI$99,1),예비비!$F$430:$F$729,"결제대금비")+MAX(0,IF(예비비!$D192&lt;EDATE(BI$99,1),예비비!$E192,0)-SUMIFS(예비비!$O$430:$O$729,예비비!$B$430:$B$729,예비비!$A192,예비비!$E$430:$E$729,"&lt;"&amp;EDATE(BI$99,1))),0)</f>
        <v>0</v>
      </c>
      <c r="BJ192">
        <f>IF(예비비!$R192="OK",SUMIFS(예비비!$O$430:$O$729,예비비!$B$430:$B$729,예비비!$A192,예비비!$E$430:$E$729,"&lt;"&amp;EDATE(BJ$99,1),예비비!$F$430:$F$729,"결제대금비")+MAX(0,IF(예비비!$D192&lt;EDATE(BJ$99,1),예비비!$E192,0)-SUMIFS(예비비!$O$430:$O$729,예비비!$B$430:$B$729,예비비!$A192,예비비!$E$430:$E$729,"&lt;"&amp;EDATE(BJ$99,1))),0)</f>
        <v>0</v>
      </c>
      <c r="BK192">
        <f>IF(예비비!$R192="OK",SUMIFS(예비비!$O$430:$O$729,예비비!$B$430:$B$729,예비비!$A192,예비비!$E$430:$E$729,"&lt;"&amp;EDATE(BK$99,1),예비비!$F$430:$F$729,"결제대금비")+MAX(0,IF(예비비!$D192&lt;EDATE(BK$99,1),예비비!$E192,0)-SUMIFS(예비비!$O$430:$O$729,예비비!$B$430:$B$729,예비비!$A192,예비비!$E$430:$E$729,"&lt;"&amp;EDATE(BK$99,1))),0)</f>
        <v>0</v>
      </c>
      <c r="BL192">
        <f>IF(예비비!$R192="OK",SUMIFS(예비비!$O$430:$O$729,예비비!$B$430:$B$729,예비비!$A192,예비비!$E$430:$E$729,"&lt;"&amp;EDATE(BL$99,1),예비비!$F$430:$F$729,"결제대금비")+MAX(0,IF(예비비!$D192&lt;EDATE(BL$99,1),예비비!$E192,0)-SUMIFS(예비비!$O$430:$O$729,예비비!$B$430:$B$729,예비비!$A192,예비비!$E$430:$E$729,"&lt;"&amp;EDATE(BL$99,1))),0)</f>
        <v>0</v>
      </c>
      <c r="BM192">
        <f>IF(예비비!$R192="OK",SUMIFS(예비비!$O$430:$O$729,예비비!$B$430:$B$729,예비비!$A192,예비비!$E$430:$E$729,"&lt;"&amp;EDATE(BM$99,1),예비비!$F$430:$F$729,"결제대금비")+MAX(0,IF(예비비!$D192&lt;EDATE(BM$99,1),예비비!$E192,0)-SUMIFS(예비비!$O$430:$O$729,예비비!$B$430:$B$729,예비비!$A192,예비비!$E$430:$E$729,"&lt;"&amp;EDATE(BM$99,1))),0)</f>
        <v>0</v>
      </c>
      <c r="BN192">
        <f>IF(예비비!$R192="OK",SUMIFS(예비비!$O$430:$O$729,예비비!$B$430:$B$729,예비비!$A192,예비비!$E$430:$E$729,"&lt;"&amp;EDATE(BN$99,1),예비비!$F$430:$F$729,"결제대금비")+MAX(0,IF(예비비!$D192&lt;EDATE(BN$99,1),예비비!$E192,0)-SUMIFS(예비비!$O$430:$O$729,예비비!$B$430:$B$729,예비비!$A192,예비비!$E$430:$E$729,"&lt;"&amp;EDATE(BN$99,1))),0)</f>
        <v>0</v>
      </c>
      <c r="BO192">
        <f>IF(예비비!$R192="OK",SUMIFS(예비비!$O$430:$O$729,예비비!$B$430:$B$729,예비비!$A192,예비비!$E$430:$E$729,"&lt;"&amp;EDATE(BO$99,1),예비비!$F$430:$F$729,"결제대금비")+MAX(0,IF(예비비!$D192&lt;EDATE(BO$99,1),예비비!$E192,0)-SUMIFS(예비비!$O$430:$O$729,예비비!$B$430:$B$729,예비비!$A192,예비비!$E$430:$E$729,"&lt;"&amp;EDATE(BO$99,1))),0)</f>
        <v>0</v>
      </c>
      <c r="BP192">
        <f>IF(예비비!$R192="OK",SUMIFS(예비비!$O$430:$O$729,예비비!$B$430:$B$729,예비비!$A192,예비비!$E$430:$E$729,"&lt;"&amp;EDATE(BP$99,1),예비비!$F$430:$F$729,"결제대금비")+MAX(0,IF(예비비!$D192&lt;EDATE(BP$99,1),예비비!$E192,0)-SUMIFS(예비비!$O$430:$O$729,예비비!$B$430:$B$729,예비비!$A192,예비비!$E$430:$E$729,"&lt;"&amp;EDATE(BP$99,1))),0)</f>
        <v>0</v>
      </c>
      <c r="BQ192">
        <f>IF(예비비!$R192="OK",SUMIFS(예비비!$O$430:$O$729,예비비!$B$430:$B$729,예비비!$A192,예비비!$E$430:$E$729,"&lt;"&amp;EDATE(BQ$99,1),예비비!$F$430:$F$729,"결제대금비")+MAX(0,IF(예비비!$D192&lt;EDATE(BQ$99,1),예비비!$E192,0)-SUMIFS(예비비!$O$430:$O$729,예비비!$B$430:$B$729,예비비!$A192,예비비!$E$430:$E$729,"&lt;"&amp;EDATE(BQ$99,1))),0)</f>
        <v>0</v>
      </c>
      <c r="BR192">
        <f>IF(예비비!$R192="OK",SUMIFS(예비비!$O$430:$O$729,예비비!$B$430:$B$729,예비비!$A192,예비비!$E$430:$E$729,"&lt;"&amp;EDATE(BR$99,1),예비비!$F$430:$F$729,"결제대금비")+MAX(0,IF(예비비!$D192&lt;EDATE(BR$99,1),예비비!$E192,0)-SUMIFS(예비비!$O$430:$O$729,예비비!$B$430:$B$729,예비비!$A192,예비비!$E$430:$E$729,"&lt;"&amp;EDATE(BR$99,1))),0)</f>
        <v>0</v>
      </c>
      <c r="BS192">
        <f>IF(예비비!$R192="OK",SUMIFS(예비비!$O$430:$O$729,예비비!$B$430:$B$729,예비비!$A192,예비비!$E$430:$E$729,"&lt;"&amp;EDATE(BS$99,1),예비비!$F$430:$F$729,"결제대금비")+MAX(0,IF(예비비!$D192&lt;EDATE(BS$99,1),예비비!$E192,0)-SUMIFS(예비비!$O$430:$O$729,예비비!$B$430:$B$729,예비비!$A192,예비비!$E$430:$E$729,"&lt;"&amp;EDATE(BS$99,1))),0)</f>
        <v>0</v>
      </c>
      <c r="BT192">
        <f>IF(예비비!$R192="OK",SUMIFS(예비비!$O$430:$O$729,예비비!$B$430:$B$729,예비비!$A192,예비비!$E$430:$E$729,"&lt;"&amp;EDATE(BT$99,1),예비비!$F$430:$F$729,"결제대금비")+MAX(0,IF(예비비!$D192&lt;EDATE(BT$99,1),예비비!$E192,0)-SUMIFS(예비비!$O$430:$O$729,예비비!$B$430:$B$729,예비비!$A192,예비비!$E$430:$E$729,"&lt;"&amp;EDATE(BT$99,1))),0)</f>
        <v>0</v>
      </c>
      <c r="BU192">
        <f>IF(예비비!$R192="OK",SUMIFS(예비비!$O$430:$O$729,예비비!$B$430:$B$729,예비비!$A192,예비비!$E$430:$E$729,"&lt;"&amp;EDATE(BU$99,1),예비비!$F$430:$F$729,"결제대금비")+MAX(0,IF(예비비!$D192&lt;EDATE(BU$99,1),예비비!$E192,0)-SUMIFS(예비비!$O$430:$O$729,예비비!$B$430:$B$729,예비비!$A192,예비비!$E$430:$E$729,"&lt;"&amp;EDATE(BU$99,1))),0)</f>
        <v>0</v>
      </c>
    </row>
    <row r="193">
      <c r="BA193">
        <v>137</v>
      </c>
      <c r="BB193">
        <f>IFERROR(INDEX(잔액!$A:$A,BA193),0)</f>
        <v>46174.0</v>
      </c>
      <c r="BH193">
        <f>IFERROR(IF(AND(BB193&gt;0,OR(COUNTIFS(예비비!$C$430:$C$729,BA193,예비비!$N$430:$N$729,"OK")&gt;0,AND(INDEX(잔액!$J:$J,BA193)="가족통장",INDEX(잔액!$K:$K,BA193)="미래에셋_WRAP형CMA"),COUNTIF(예비비!$A$8:$A$12,INDEX(잔액!$C:$C,BA193))=1,COUNTIF(예비비!$A$8:$A$12,INDEX(잔액!$D:$D,BA193))=1),OR(AND(BB193&gt;=예비비!$B$3,BB193&lt;EDATE(예비비!$B$3,1)),AND(BB193&lt;EDATE(예비비!$B$3,1),COUNTIFS(예비비!$C$430:$C$729,BA193,예비비!$L$430:$L$729,예비비!$B$3,예비비!$N$430:$N$729,"OK")&gt;0))),MAX($BH$120:BH192)+1,0),0)</f>
        <v>0</v>
      </c>
      <c r="BI193">
        <f>IF(예비비!$R193="OK",SUMIFS(예비비!$O$430:$O$729,예비비!$B$430:$B$729,예비비!$A193,예비비!$E$430:$E$729,"&lt;"&amp;EDATE(BI$99,1),예비비!$F$430:$F$729,"결제대금비")+MAX(0,IF(예비비!$D193&lt;EDATE(BI$99,1),예비비!$E193,0)-SUMIFS(예비비!$O$430:$O$729,예비비!$B$430:$B$729,예비비!$A193,예비비!$E$430:$E$729,"&lt;"&amp;EDATE(BI$99,1))),0)</f>
        <v>0</v>
      </c>
      <c r="BJ193">
        <f>IF(예비비!$R193="OK",SUMIFS(예비비!$O$430:$O$729,예비비!$B$430:$B$729,예비비!$A193,예비비!$E$430:$E$729,"&lt;"&amp;EDATE(BJ$99,1),예비비!$F$430:$F$729,"결제대금비")+MAX(0,IF(예비비!$D193&lt;EDATE(BJ$99,1),예비비!$E193,0)-SUMIFS(예비비!$O$430:$O$729,예비비!$B$430:$B$729,예비비!$A193,예비비!$E$430:$E$729,"&lt;"&amp;EDATE(BJ$99,1))),0)</f>
        <v>0</v>
      </c>
      <c r="BK193">
        <f>IF(예비비!$R193="OK",SUMIFS(예비비!$O$430:$O$729,예비비!$B$430:$B$729,예비비!$A193,예비비!$E$430:$E$729,"&lt;"&amp;EDATE(BK$99,1),예비비!$F$430:$F$729,"결제대금비")+MAX(0,IF(예비비!$D193&lt;EDATE(BK$99,1),예비비!$E193,0)-SUMIFS(예비비!$O$430:$O$729,예비비!$B$430:$B$729,예비비!$A193,예비비!$E$430:$E$729,"&lt;"&amp;EDATE(BK$99,1))),0)</f>
        <v>0</v>
      </c>
      <c r="BL193">
        <f>IF(예비비!$R193="OK",SUMIFS(예비비!$O$430:$O$729,예비비!$B$430:$B$729,예비비!$A193,예비비!$E$430:$E$729,"&lt;"&amp;EDATE(BL$99,1),예비비!$F$430:$F$729,"결제대금비")+MAX(0,IF(예비비!$D193&lt;EDATE(BL$99,1),예비비!$E193,0)-SUMIFS(예비비!$O$430:$O$729,예비비!$B$430:$B$729,예비비!$A193,예비비!$E$430:$E$729,"&lt;"&amp;EDATE(BL$99,1))),0)</f>
        <v>0</v>
      </c>
      <c r="BM193">
        <f>IF(예비비!$R193="OK",SUMIFS(예비비!$O$430:$O$729,예비비!$B$430:$B$729,예비비!$A193,예비비!$E$430:$E$729,"&lt;"&amp;EDATE(BM$99,1),예비비!$F$430:$F$729,"결제대금비")+MAX(0,IF(예비비!$D193&lt;EDATE(BM$99,1),예비비!$E193,0)-SUMIFS(예비비!$O$430:$O$729,예비비!$B$430:$B$729,예비비!$A193,예비비!$E$430:$E$729,"&lt;"&amp;EDATE(BM$99,1))),0)</f>
        <v>0</v>
      </c>
      <c r="BN193">
        <f>IF(예비비!$R193="OK",SUMIFS(예비비!$O$430:$O$729,예비비!$B$430:$B$729,예비비!$A193,예비비!$E$430:$E$729,"&lt;"&amp;EDATE(BN$99,1),예비비!$F$430:$F$729,"결제대금비")+MAX(0,IF(예비비!$D193&lt;EDATE(BN$99,1),예비비!$E193,0)-SUMIFS(예비비!$O$430:$O$729,예비비!$B$430:$B$729,예비비!$A193,예비비!$E$430:$E$729,"&lt;"&amp;EDATE(BN$99,1))),0)</f>
        <v>0</v>
      </c>
      <c r="BO193">
        <f>IF(예비비!$R193="OK",SUMIFS(예비비!$O$430:$O$729,예비비!$B$430:$B$729,예비비!$A193,예비비!$E$430:$E$729,"&lt;"&amp;EDATE(BO$99,1),예비비!$F$430:$F$729,"결제대금비")+MAX(0,IF(예비비!$D193&lt;EDATE(BO$99,1),예비비!$E193,0)-SUMIFS(예비비!$O$430:$O$729,예비비!$B$430:$B$729,예비비!$A193,예비비!$E$430:$E$729,"&lt;"&amp;EDATE(BO$99,1))),0)</f>
        <v>0</v>
      </c>
      <c r="BP193">
        <f>IF(예비비!$R193="OK",SUMIFS(예비비!$O$430:$O$729,예비비!$B$430:$B$729,예비비!$A193,예비비!$E$430:$E$729,"&lt;"&amp;EDATE(BP$99,1),예비비!$F$430:$F$729,"결제대금비")+MAX(0,IF(예비비!$D193&lt;EDATE(BP$99,1),예비비!$E193,0)-SUMIFS(예비비!$O$430:$O$729,예비비!$B$430:$B$729,예비비!$A193,예비비!$E$430:$E$729,"&lt;"&amp;EDATE(BP$99,1))),0)</f>
        <v>0</v>
      </c>
      <c r="BQ193">
        <f>IF(예비비!$R193="OK",SUMIFS(예비비!$O$430:$O$729,예비비!$B$430:$B$729,예비비!$A193,예비비!$E$430:$E$729,"&lt;"&amp;EDATE(BQ$99,1),예비비!$F$430:$F$729,"결제대금비")+MAX(0,IF(예비비!$D193&lt;EDATE(BQ$99,1),예비비!$E193,0)-SUMIFS(예비비!$O$430:$O$729,예비비!$B$430:$B$729,예비비!$A193,예비비!$E$430:$E$729,"&lt;"&amp;EDATE(BQ$99,1))),0)</f>
        <v>0</v>
      </c>
      <c r="BR193">
        <f>IF(예비비!$R193="OK",SUMIFS(예비비!$O$430:$O$729,예비비!$B$430:$B$729,예비비!$A193,예비비!$E$430:$E$729,"&lt;"&amp;EDATE(BR$99,1),예비비!$F$430:$F$729,"결제대금비")+MAX(0,IF(예비비!$D193&lt;EDATE(BR$99,1),예비비!$E193,0)-SUMIFS(예비비!$O$430:$O$729,예비비!$B$430:$B$729,예비비!$A193,예비비!$E$430:$E$729,"&lt;"&amp;EDATE(BR$99,1))),0)</f>
        <v>0</v>
      </c>
      <c r="BS193">
        <f>IF(예비비!$R193="OK",SUMIFS(예비비!$O$430:$O$729,예비비!$B$430:$B$729,예비비!$A193,예비비!$E$430:$E$729,"&lt;"&amp;EDATE(BS$99,1),예비비!$F$430:$F$729,"결제대금비")+MAX(0,IF(예비비!$D193&lt;EDATE(BS$99,1),예비비!$E193,0)-SUMIFS(예비비!$O$430:$O$729,예비비!$B$430:$B$729,예비비!$A193,예비비!$E$430:$E$729,"&lt;"&amp;EDATE(BS$99,1))),0)</f>
        <v>0</v>
      </c>
      <c r="BT193">
        <f>IF(예비비!$R193="OK",SUMIFS(예비비!$O$430:$O$729,예비비!$B$430:$B$729,예비비!$A193,예비비!$E$430:$E$729,"&lt;"&amp;EDATE(BT$99,1),예비비!$F$430:$F$729,"결제대금비")+MAX(0,IF(예비비!$D193&lt;EDATE(BT$99,1),예비비!$E193,0)-SUMIFS(예비비!$O$430:$O$729,예비비!$B$430:$B$729,예비비!$A193,예비비!$E$430:$E$729,"&lt;"&amp;EDATE(BT$99,1))),0)</f>
        <v>0</v>
      </c>
      <c r="BU193">
        <f>IF(예비비!$R193="OK",SUMIFS(예비비!$O$430:$O$729,예비비!$B$430:$B$729,예비비!$A193,예비비!$E$430:$E$729,"&lt;"&amp;EDATE(BU$99,1),예비비!$F$430:$F$729,"결제대금비")+MAX(0,IF(예비비!$D193&lt;EDATE(BU$99,1),예비비!$E193,0)-SUMIFS(예비비!$O$430:$O$729,예비비!$B$430:$B$729,예비비!$A193,예비비!$E$430:$E$729,"&lt;"&amp;EDATE(BU$99,1))),0)</f>
        <v>0</v>
      </c>
    </row>
    <row r="194">
      <c r="BA194">
        <v>138</v>
      </c>
      <c r="BB194">
        <f>IFERROR(INDEX(잔액!$A:$A,BA194),0)</f>
        <v>46174.0</v>
      </c>
      <c r="BH194">
        <f>IFERROR(IF(AND(BB194&gt;0,OR(COUNTIFS(예비비!$C$430:$C$729,BA194,예비비!$N$430:$N$729,"OK")&gt;0,AND(INDEX(잔액!$J:$J,BA194)="가족통장",INDEX(잔액!$K:$K,BA194)="미래에셋_WRAP형CMA"),COUNTIF(예비비!$A$8:$A$12,INDEX(잔액!$C:$C,BA194))=1,COUNTIF(예비비!$A$8:$A$12,INDEX(잔액!$D:$D,BA194))=1),OR(AND(BB194&gt;=예비비!$B$3,BB194&lt;EDATE(예비비!$B$3,1)),AND(BB194&lt;EDATE(예비비!$B$3,1),COUNTIFS(예비비!$C$430:$C$729,BA194,예비비!$L$430:$L$729,예비비!$B$3,예비비!$N$430:$N$729,"OK")&gt;0))),MAX($BH$120:BH193)+1,0),0)</f>
        <v>0</v>
      </c>
      <c r="BI194">
        <f>IF(예비비!$R194="OK",SUMIFS(예비비!$O$430:$O$729,예비비!$B$430:$B$729,예비비!$A194,예비비!$E$430:$E$729,"&lt;"&amp;EDATE(BI$99,1),예비비!$F$430:$F$729,"결제대금비")+MAX(0,IF(예비비!$D194&lt;EDATE(BI$99,1),예비비!$E194,0)-SUMIFS(예비비!$O$430:$O$729,예비비!$B$430:$B$729,예비비!$A194,예비비!$E$430:$E$729,"&lt;"&amp;EDATE(BI$99,1))),0)</f>
        <v>0</v>
      </c>
      <c r="BJ194">
        <f>IF(예비비!$R194="OK",SUMIFS(예비비!$O$430:$O$729,예비비!$B$430:$B$729,예비비!$A194,예비비!$E$430:$E$729,"&lt;"&amp;EDATE(BJ$99,1),예비비!$F$430:$F$729,"결제대금비")+MAX(0,IF(예비비!$D194&lt;EDATE(BJ$99,1),예비비!$E194,0)-SUMIFS(예비비!$O$430:$O$729,예비비!$B$430:$B$729,예비비!$A194,예비비!$E$430:$E$729,"&lt;"&amp;EDATE(BJ$99,1))),0)</f>
        <v>0</v>
      </c>
      <c r="BK194">
        <f>IF(예비비!$R194="OK",SUMIFS(예비비!$O$430:$O$729,예비비!$B$430:$B$729,예비비!$A194,예비비!$E$430:$E$729,"&lt;"&amp;EDATE(BK$99,1),예비비!$F$430:$F$729,"결제대금비")+MAX(0,IF(예비비!$D194&lt;EDATE(BK$99,1),예비비!$E194,0)-SUMIFS(예비비!$O$430:$O$729,예비비!$B$430:$B$729,예비비!$A194,예비비!$E$430:$E$729,"&lt;"&amp;EDATE(BK$99,1))),0)</f>
        <v>0</v>
      </c>
      <c r="BL194">
        <f>IF(예비비!$R194="OK",SUMIFS(예비비!$O$430:$O$729,예비비!$B$430:$B$729,예비비!$A194,예비비!$E$430:$E$729,"&lt;"&amp;EDATE(BL$99,1),예비비!$F$430:$F$729,"결제대금비")+MAX(0,IF(예비비!$D194&lt;EDATE(BL$99,1),예비비!$E194,0)-SUMIFS(예비비!$O$430:$O$729,예비비!$B$430:$B$729,예비비!$A194,예비비!$E$430:$E$729,"&lt;"&amp;EDATE(BL$99,1))),0)</f>
        <v>0</v>
      </c>
      <c r="BM194">
        <f>IF(예비비!$R194="OK",SUMIFS(예비비!$O$430:$O$729,예비비!$B$430:$B$729,예비비!$A194,예비비!$E$430:$E$729,"&lt;"&amp;EDATE(BM$99,1),예비비!$F$430:$F$729,"결제대금비")+MAX(0,IF(예비비!$D194&lt;EDATE(BM$99,1),예비비!$E194,0)-SUMIFS(예비비!$O$430:$O$729,예비비!$B$430:$B$729,예비비!$A194,예비비!$E$430:$E$729,"&lt;"&amp;EDATE(BM$99,1))),0)</f>
        <v>0</v>
      </c>
      <c r="BN194">
        <f>IF(예비비!$R194="OK",SUMIFS(예비비!$O$430:$O$729,예비비!$B$430:$B$729,예비비!$A194,예비비!$E$430:$E$729,"&lt;"&amp;EDATE(BN$99,1),예비비!$F$430:$F$729,"결제대금비")+MAX(0,IF(예비비!$D194&lt;EDATE(BN$99,1),예비비!$E194,0)-SUMIFS(예비비!$O$430:$O$729,예비비!$B$430:$B$729,예비비!$A194,예비비!$E$430:$E$729,"&lt;"&amp;EDATE(BN$99,1))),0)</f>
        <v>0</v>
      </c>
      <c r="BO194">
        <f>IF(예비비!$R194="OK",SUMIFS(예비비!$O$430:$O$729,예비비!$B$430:$B$729,예비비!$A194,예비비!$E$430:$E$729,"&lt;"&amp;EDATE(BO$99,1),예비비!$F$430:$F$729,"결제대금비")+MAX(0,IF(예비비!$D194&lt;EDATE(BO$99,1),예비비!$E194,0)-SUMIFS(예비비!$O$430:$O$729,예비비!$B$430:$B$729,예비비!$A194,예비비!$E$430:$E$729,"&lt;"&amp;EDATE(BO$99,1))),0)</f>
        <v>0</v>
      </c>
      <c r="BP194">
        <f>IF(예비비!$R194="OK",SUMIFS(예비비!$O$430:$O$729,예비비!$B$430:$B$729,예비비!$A194,예비비!$E$430:$E$729,"&lt;"&amp;EDATE(BP$99,1),예비비!$F$430:$F$729,"결제대금비")+MAX(0,IF(예비비!$D194&lt;EDATE(BP$99,1),예비비!$E194,0)-SUMIFS(예비비!$O$430:$O$729,예비비!$B$430:$B$729,예비비!$A194,예비비!$E$430:$E$729,"&lt;"&amp;EDATE(BP$99,1))),0)</f>
        <v>0</v>
      </c>
      <c r="BQ194">
        <f>IF(예비비!$R194="OK",SUMIFS(예비비!$O$430:$O$729,예비비!$B$430:$B$729,예비비!$A194,예비비!$E$430:$E$729,"&lt;"&amp;EDATE(BQ$99,1),예비비!$F$430:$F$729,"결제대금비")+MAX(0,IF(예비비!$D194&lt;EDATE(BQ$99,1),예비비!$E194,0)-SUMIFS(예비비!$O$430:$O$729,예비비!$B$430:$B$729,예비비!$A194,예비비!$E$430:$E$729,"&lt;"&amp;EDATE(BQ$99,1))),0)</f>
        <v>0</v>
      </c>
      <c r="BR194">
        <f>IF(예비비!$R194="OK",SUMIFS(예비비!$O$430:$O$729,예비비!$B$430:$B$729,예비비!$A194,예비비!$E$430:$E$729,"&lt;"&amp;EDATE(BR$99,1),예비비!$F$430:$F$729,"결제대금비")+MAX(0,IF(예비비!$D194&lt;EDATE(BR$99,1),예비비!$E194,0)-SUMIFS(예비비!$O$430:$O$729,예비비!$B$430:$B$729,예비비!$A194,예비비!$E$430:$E$729,"&lt;"&amp;EDATE(BR$99,1))),0)</f>
        <v>0</v>
      </c>
      <c r="BS194">
        <f>IF(예비비!$R194="OK",SUMIFS(예비비!$O$430:$O$729,예비비!$B$430:$B$729,예비비!$A194,예비비!$E$430:$E$729,"&lt;"&amp;EDATE(BS$99,1),예비비!$F$430:$F$729,"결제대금비")+MAX(0,IF(예비비!$D194&lt;EDATE(BS$99,1),예비비!$E194,0)-SUMIFS(예비비!$O$430:$O$729,예비비!$B$430:$B$729,예비비!$A194,예비비!$E$430:$E$729,"&lt;"&amp;EDATE(BS$99,1))),0)</f>
        <v>0</v>
      </c>
      <c r="BT194">
        <f>IF(예비비!$R194="OK",SUMIFS(예비비!$O$430:$O$729,예비비!$B$430:$B$729,예비비!$A194,예비비!$E$430:$E$729,"&lt;"&amp;EDATE(BT$99,1),예비비!$F$430:$F$729,"결제대금비")+MAX(0,IF(예비비!$D194&lt;EDATE(BT$99,1),예비비!$E194,0)-SUMIFS(예비비!$O$430:$O$729,예비비!$B$430:$B$729,예비비!$A194,예비비!$E$430:$E$729,"&lt;"&amp;EDATE(BT$99,1))),0)</f>
        <v>0</v>
      </c>
      <c r="BU194">
        <f>IF(예비비!$R194="OK",SUMIFS(예비비!$O$430:$O$729,예비비!$B$430:$B$729,예비비!$A194,예비비!$E$430:$E$729,"&lt;"&amp;EDATE(BU$99,1),예비비!$F$430:$F$729,"결제대금비")+MAX(0,IF(예비비!$D194&lt;EDATE(BU$99,1),예비비!$E194,0)-SUMIFS(예비비!$O$430:$O$729,예비비!$B$430:$B$729,예비비!$A194,예비비!$E$430:$E$729,"&lt;"&amp;EDATE(BU$99,1))),0)</f>
        <v>0</v>
      </c>
    </row>
    <row r="195">
      <c r="BA195">
        <v>139</v>
      </c>
      <c r="BB195">
        <f>IFERROR(INDEX(잔액!$A:$A,BA195),0)</f>
        <v>46174.0</v>
      </c>
      <c r="BH195">
        <f>IFERROR(IF(AND(BB195&gt;0,OR(COUNTIFS(예비비!$C$430:$C$729,BA195,예비비!$N$430:$N$729,"OK")&gt;0,AND(INDEX(잔액!$J:$J,BA195)="가족통장",INDEX(잔액!$K:$K,BA195)="미래에셋_WRAP형CMA"),COUNTIF(예비비!$A$8:$A$12,INDEX(잔액!$C:$C,BA195))=1,COUNTIF(예비비!$A$8:$A$12,INDEX(잔액!$D:$D,BA195))=1),OR(AND(BB195&gt;=예비비!$B$3,BB195&lt;EDATE(예비비!$B$3,1)),AND(BB195&lt;EDATE(예비비!$B$3,1),COUNTIFS(예비비!$C$430:$C$729,BA195,예비비!$L$430:$L$729,예비비!$B$3,예비비!$N$430:$N$729,"OK")&gt;0))),MAX($BH$120:BH194)+1,0),0)</f>
        <v>0</v>
      </c>
      <c r="BI195">
        <f>IF(예비비!$R195="OK",SUMIFS(예비비!$O$430:$O$729,예비비!$B$430:$B$729,예비비!$A195,예비비!$E$430:$E$729,"&lt;"&amp;EDATE(BI$99,1),예비비!$F$430:$F$729,"결제대금비")+MAX(0,IF(예비비!$D195&lt;EDATE(BI$99,1),예비비!$E195,0)-SUMIFS(예비비!$O$430:$O$729,예비비!$B$430:$B$729,예비비!$A195,예비비!$E$430:$E$729,"&lt;"&amp;EDATE(BI$99,1))),0)</f>
        <v>0</v>
      </c>
      <c r="BJ195">
        <f>IF(예비비!$R195="OK",SUMIFS(예비비!$O$430:$O$729,예비비!$B$430:$B$729,예비비!$A195,예비비!$E$430:$E$729,"&lt;"&amp;EDATE(BJ$99,1),예비비!$F$430:$F$729,"결제대금비")+MAX(0,IF(예비비!$D195&lt;EDATE(BJ$99,1),예비비!$E195,0)-SUMIFS(예비비!$O$430:$O$729,예비비!$B$430:$B$729,예비비!$A195,예비비!$E$430:$E$729,"&lt;"&amp;EDATE(BJ$99,1))),0)</f>
        <v>0</v>
      </c>
      <c r="BK195">
        <f>IF(예비비!$R195="OK",SUMIFS(예비비!$O$430:$O$729,예비비!$B$430:$B$729,예비비!$A195,예비비!$E$430:$E$729,"&lt;"&amp;EDATE(BK$99,1),예비비!$F$430:$F$729,"결제대금비")+MAX(0,IF(예비비!$D195&lt;EDATE(BK$99,1),예비비!$E195,0)-SUMIFS(예비비!$O$430:$O$729,예비비!$B$430:$B$729,예비비!$A195,예비비!$E$430:$E$729,"&lt;"&amp;EDATE(BK$99,1))),0)</f>
        <v>0</v>
      </c>
      <c r="BL195">
        <f>IF(예비비!$R195="OK",SUMIFS(예비비!$O$430:$O$729,예비비!$B$430:$B$729,예비비!$A195,예비비!$E$430:$E$729,"&lt;"&amp;EDATE(BL$99,1),예비비!$F$430:$F$729,"결제대금비")+MAX(0,IF(예비비!$D195&lt;EDATE(BL$99,1),예비비!$E195,0)-SUMIFS(예비비!$O$430:$O$729,예비비!$B$430:$B$729,예비비!$A195,예비비!$E$430:$E$729,"&lt;"&amp;EDATE(BL$99,1))),0)</f>
        <v>0</v>
      </c>
      <c r="BM195">
        <f>IF(예비비!$R195="OK",SUMIFS(예비비!$O$430:$O$729,예비비!$B$430:$B$729,예비비!$A195,예비비!$E$430:$E$729,"&lt;"&amp;EDATE(BM$99,1),예비비!$F$430:$F$729,"결제대금비")+MAX(0,IF(예비비!$D195&lt;EDATE(BM$99,1),예비비!$E195,0)-SUMIFS(예비비!$O$430:$O$729,예비비!$B$430:$B$729,예비비!$A195,예비비!$E$430:$E$729,"&lt;"&amp;EDATE(BM$99,1))),0)</f>
        <v>0</v>
      </c>
      <c r="BN195">
        <f>IF(예비비!$R195="OK",SUMIFS(예비비!$O$430:$O$729,예비비!$B$430:$B$729,예비비!$A195,예비비!$E$430:$E$729,"&lt;"&amp;EDATE(BN$99,1),예비비!$F$430:$F$729,"결제대금비")+MAX(0,IF(예비비!$D195&lt;EDATE(BN$99,1),예비비!$E195,0)-SUMIFS(예비비!$O$430:$O$729,예비비!$B$430:$B$729,예비비!$A195,예비비!$E$430:$E$729,"&lt;"&amp;EDATE(BN$99,1))),0)</f>
        <v>0</v>
      </c>
      <c r="BO195">
        <f>IF(예비비!$R195="OK",SUMIFS(예비비!$O$430:$O$729,예비비!$B$430:$B$729,예비비!$A195,예비비!$E$430:$E$729,"&lt;"&amp;EDATE(BO$99,1),예비비!$F$430:$F$729,"결제대금비")+MAX(0,IF(예비비!$D195&lt;EDATE(BO$99,1),예비비!$E195,0)-SUMIFS(예비비!$O$430:$O$729,예비비!$B$430:$B$729,예비비!$A195,예비비!$E$430:$E$729,"&lt;"&amp;EDATE(BO$99,1))),0)</f>
        <v>0</v>
      </c>
      <c r="BP195">
        <f>IF(예비비!$R195="OK",SUMIFS(예비비!$O$430:$O$729,예비비!$B$430:$B$729,예비비!$A195,예비비!$E$430:$E$729,"&lt;"&amp;EDATE(BP$99,1),예비비!$F$430:$F$729,"결제대금비")+MAX(0,IF(예비비!$D195&lt;EDATE(BP$99,1),예비비!$E195,0)-SUMIFS(예비비!$O$430:$O$729,예비비!$B$430:$B$729,예비비!$A195,예비비!$E$430:$E$729,"&lt;"&amp;EDATE(BP$99,1))),0)</f>
        <v>0</v>
      </c>
      <c r="BQ195">
        <f>IF(예비비!$R195="OK",SUMIFS(예비비!$O$430:$O$729,예비비!$B$430:$B$729,예비비!$A195,예비비!$E$430:$E$729,"&lt;"&amp;EDATE(BQ$99,1),예비비!$F$430:$F$729,"결제대금비")+MAX(0,IF(예비비!$D195&lt;EDATE(BQ$99,1),예비비!$E195,0)-SUMIFS(예비비!$O$430:$O$729,예비비!$B$430:$B$729,예비비!$A195,예비비!$E$430:$E$729,"&lt;"&amp;EDATE(BQ$99,1))),0)</f>
        <v>0</v>
      </c>
      <c r="BR195">
        <f>IF(예비비!$R195="OK",SUMIFS(예비비!$O$430:$O$729,예비비!$B$430:$B$729,예비비!$A195,예비비!$E$430:$E$729,"&lt;"&amp;EDATE(BR$99,1),예비비!$F$430:$F$729,"결제대금비")+MAX(0,IF(예비비!$D195&lt;EDATE(BR$99,1),예비비!$E195,0)-SUMIFS(예비비!$O$430:$O$729,예비비!$B$430:$B$729,예비비!$A195,예비비!$E$430:$E$729,"&lt;"&amp;EDATE(BR$99,1))),0)</f>
        <v>0</v>
      </c>
      <c r="BS195">
        <f>IF(예비비!$R195="OK",SUMIFS(예비비!$O$430:$O$729,예비비!$B$430:$B$729,예비비!$A195,예비비!$E$430:$E$729,"&lt;"&amp;EDATE(BS$99,1),예비비!$F$430:$F$729,"결제대금비")+MAX(0,IF(예비비!$D195&lt;EDATE(BS$99,1),예비비!$E195,0)-SUMIFS(예비비!$O$430:$O$729,예비비!$B$430:$B$729,예비비!$A195,예비비!$E$430:$E$729,"&lt;"&amp;EDATE(BS$99,1))),0)</f>
        <v>0</v>
      </c>
      <c r="BT195">
        <f>IF(예비비!$R195="OK",SUMIFS(예비비!$O$430:$O$729,예비비!$B$430:$B$729,예비비!$A195,예비비!$E$430:$E$729,"&lt;"&amp;EDATE(BT$99,1),예비비!$F$430:$F$729,"결제대금비")+MAX(0,IF(예비비!$D195&lt;EDATE(BT$99,1),예비비!$E195,0)-SUMIFS(예비비!$O$430:$O$729,예비비!$B$430:$B$729,예비비!$A195,예비비!$E$430:$E$729,"&lt;"&amp;EDATE(BT$99,1))),0)</f>
        <v>0</v>
      </c>
      <c r="BU195">
        <f>IF(예비비!$R195="OK",SUMIFS(예비비!$O$430:$O$729,예비비!$B$430:$B$729,예비비!$A195,예비비!$E$430:$E$729,"&lt;"&amp;EDATE(BU$99,1),예비비!$F$430:$F$729,"결제대금비")+MAX(0,IF(예비비!$D195&lt;EDATE(BU$99,1),예비비!$E195,0)-SUMIFS(예비비!$O$430:$O$729,예비비!$B$430:$B$729,예비비!$A195,예비비!$E$430:$E$729,"&lt;"&amp;EDATE(BU$99,1))),0)</f>
        <v>0</v>
      </c>
    </row>
    <row r="196">
      <c r="BA196">
        <v>140</v>
      </c>
      <c r="BB196">
        <f>IFERROR(INDEX(잔액!$A:$A,BA196),0)</f>
        <v>46174.0</v>
      </c>
      <c r="BH196">
        <f>IFERROR(IF(AND(BB196&gt;0,OR(COUNTIFS(예비비!$C$430:$C$729,BA196,예비비!$N$430:$N$729,"OK")&gt;0,AND(INDEX(잔액!$J:$J,BA196)="가족통장",INDEX(잔액!$K:$K,BA196)="미래에셋_WRAP형CMA"),COUNTIF(예비비!$A$8:$A$12,INDEX(잔액!$C:$C,BA196))=1,COUNTIF(예비비!$A$8:$A$12,INDEX(잔액!$D:$D,BA196))=1),OR(AND(BB196&gt;=예비비!$B$3,BB196&lt;EDATE(예비비!$B$3,1)),AND(BB196&lt;EDATE(예비비!$B$3,1),COUNTIFS(예비비!$C$430:$C$729,BA196,예비비!$L$430:$L$729,예비비!$B$3,예비비!$N$430:$N$729,"OK")&gt;0))),MAX($BH$120:BH195)+1,0),0)</f>
        <v>0</v>
      </c>
      <c r="BI196">
        <f>IF(예비비!$R196="OK",SUMIFS(예비비!$O$430:$O$729,예비비!$B$430:$B$729,예비비!$A196,예비비!$E$430:$E$729,"&lt;"&amp;EDATE(BI$99,1),예비비!$F$430:$F$729,"결제대금비")+MAX(0,IF(예비비!$D196&lt;EDATE(BI$99,1),예비비!$E196,0)-SUMIFS(예비비!$O$430:$O$729,예비비!$B$430:$B$729,예비비!$A196,예비비!$E$430:$E$729,"&lt;"&amp;EDATE(BI$99,1))),0)</f>
        <v>0</v>
      </c>
      <c r="BJ196">
        <f>IF(예비비!$R196="OK",SUMIFS(예비비!$O$430:$O$729,예비비!$B$430:$B$729,예비비!$A196,예비비!$E$430:$E$729,"&lt;"&amp;EDATE(BJ$99,1),예비비!$F$430:$F$729,"결제대금비")+MAX(0,IF(예비비!$D196&lt;EDATE(BJ$99,1),예비비!$E196,0)-SUMIFS(예비비!$O$430:$O$729,예비비!$B$430:$B$729,예비비!$A196,예비비!$E$430:$E$729,"&lt;"&amp;EDATE(BJ$99,1))),0)</f>
        <v>0</v>
      </c>
      <c r="BK196">
        <f>IF(예비비!$R196="OK",SUMIFS(예비비!$O$430:$O$729,예비비!$B$430:$B$729,예비비!$A196,예비비!$E$430:$E$729,"&lt;"&amp;EDATE(BK$99,1),예비비!$F$430:$F$729,"결제대금비")+MAX(0,IF(예비비!$D196&lt;EDATE(BK$99,1),예비비!$E196,0)-SUMIFS(예비비!$O$430:$O$729,예비비!$B$430:$B$729,예비비!$A196,예비비!$E$430:$E$729,"&lt;"&amp;EDATE(BK$99,1))),0)</f>
        <v>0</v>
      </c>
      <c r="BL196">
        <f>IF(예비비!$R196="OK",SUMIFS(예비비!$O$430:$O$729,예비비!$B$430:$B$729,예비비!$A196,예비비!$E$430:$E$729,"&lt;"&amp;EDATE(BL$99,1),예비비!$F$430:$F$729,"결제대금비")+MAX(0,IF(예비비!$D196&lt;EDATE(BL$99,1),예비비!$E196,0)-SUMIFS(예비비!$O$430:$O$729,예비비!$B$430:$B$729,예비비!$A196,예비비!$E$430:$E$729,"&lt;"&amp;EDATE(BL$99,1))),0)</f>
        <v>0</v>
      </c>
      <c r="BM196">
        <f>IF(예비비!$R196="OK",SUMIFS(예비비!$O$430:$O$729,예비비!$B$430:$B$729,예비비!$A196,예비비!$E$430:$E$729,"&lt;"&amp;EDATE(BM$99,1),예비비!$F$430:$F$729,"결제대금비")+MAX(0,IF(예비비!$D196&lt;EDATE(BM$99,1),예비비!$E196,0)-SUMIFS(예비비!$O$430:$O$729,예비비!$B$430:$B$729,예비비!$A196,예비비!$E$430:$E$729,"&lt;"&amp;EDATE(BM$99,1))),0)</f>
        <v>0</v>
      </c>
      <c r="BN196">
        <f>IF(예비비!$R196="OK",SUMIFS(예비비!$O$430:$O$729,예비비!$B$430:$B$729,예비비!$A196,예비비!$E$430:$E$729,"&lt;"&amp;EDATE(BN$99,1),예비비!$F$430:$F$729,"결제대금비")+MAX(0,IF(예비비!$D196&lt;EDATE(BN$99,1),예비비!$E196,0)-SUMIFS(예비비!$O$430:$O$729,예비비!$B$430:$B$729,예비비!$A196,예비비!$E$430:$E$729,"&lt;"&amp;EDATE(BN$99,1))),0)</f>
        <v>0</v>
      </c>
      <c r="BO196">
        <f>IF(예비비!$R196="OK",SUMIFS(예비비!$O$430:$O$729,예비비!$B$430:$B$729,예비비!$A196,예비비!$E$430:$E$729,"&lt;"&amp;EDATE(BO$99,1),예비비!$F$430:$F$729,"결제대금비")+MAX(0,IF(예비비!$D196&lt;EDATE(BO$99,1),예비비!$E196,0)-SUMIFS(예비비!$O$430:$O$729,예비비!$B$430:$B$729,예비비!$A196,예비비!$E$430:$E$729,"&lt;"&amp;EDATE(BO$99,1))),0)</f>
        <v>0</v>
      </c>
      <c r="BP196">
        <f>IF(예비비!$R196="OK",SUMIFS(예비비!$O$430:$O$729,예비비!$B$430:$B$729,예비비!$A196,예비비!$E$430:$E$729,"&lt;"&amp;EDATE(BP$99,1),예비비!$F$430:$F$729,"결제대금비")+MAX(0,IF(예비비!$D196&lt;EDATE(BP$99,1),예비비!$E196,0)-SUMIFS(예비비!$O$430:$O$729,예비비!$B$430:$B$729,예비비!$A196,예비비!$E$430:$E$729,"&lt;"&amp;EDATE(BP$99,1))),0)</f>
        <v>0</v>
      </c>
      <c r="BQ196">
        <f>IF(예비비!$R196="OK",SUMIFS(예비비!$O$430:$O$729,예비비!$B$430:$B$729,예비비!$A196,예비비!$E$430:$E$729,"&lt;"&amp;EDATE(BQ$99,1),예비비!$F$430:$F$729,"결제대금비")+MAX(0,IF(예비비!$D196&lt;EDATE(BQ$99,1),예비비!$E196,0)-SUMIFS(예비비!$O$430:$O$729,예비비!$B$430:$B$729,예비비!$A196,예비비!$E$430:$E$729,"&lt;"&amp;EDATE(BQ$99,1))),0)</f>
        <v>0</v>
      </c>
      <c r="BR196">
        <f>IF(예비비!$R196="OK",SUMIFS(예비비!$O$430:$O$729,예비비!$B$430:$B$729,예비비!$A196,예비비!$E$430:$E$729,"&lt;"&amp;EDATE(BR$99,1),예비비!$F$430:$F$729,"결제대금비")+MAX(0,IF(예비비!$D196&lt;EDATE(BR$99,1),예비비!$E196,0)-SUMIFS(예비비!$O$430:$O$729,예비비!$B$430:$B$729,예비비!$A196,예비비!$E$430:$E$729,"&lt;"&amp;EDATE(BR$99,1))),0)</f>
        <v>0</v>
      </c>
      <c r="BS196">
        <f>IF(예비비!$R196="OK",SUMIFS(예비비!$O$430:$O$729,예비비!$B$430:$B$729,예비비!$A196,예비비!$E$430:$E$729,"&lt;"&amp;EDATE(BS$99,1),예비비!$F$430:$F$729,"결제대금비")+MAX(0,IF(예비비!$D196&lt;EDATE(BS$99,1),예비비!$E196,0)-SUMIFS(예비비!$O$430:$O$729,예비비!$B$430:$B$729,예비비!$A196,예비비!$E$430:$E$729,"&lt;"&amp;EDATE(BS$99,1))),0)</f>
        <v>0</v>
      </c>
      <c r="BT196">
        <f>IF(예비비!$R196="OK",SUMIFS(예비비!$O$430:$O$729,예비비!$B$430:$B$729,예비비!$A196,예비비!$E$430:$E$729,"&lt;"&amp;EDATE(BT$99,1),예비비!$F$430:$F$729,"결제대금비")+MAX(0,IF(예비비!$D196&lt;EDATE(BT$99,1),예비비!$E196,0)-SUMIFS(예비비!$O$430:$O$729,예비비!$B$430:$B$729,예비비!$A196,예비비!$E$430:$E$729,"&lt;"&amp;EDATE(BT$99,1))),0)</f>
        <v>0</v>
      </c>
      <c r="BU196">
        <f>IF(예비비!$R196="OK",SUMIFS(예비비!$O$430:$O$729,예비비!$B$430:$B$729,예비비!$A196,예비비!$E$430:$E$729,"&lt;"&amp;EDATE(BU$99,1),예비비!$F$430:$F$729,"결제대금비")+MAX(0,IF(예비비!$D196&lt;EDATE(BU$99,1),예비비!$E196,0)-SUMIFS(예비비!$O$430:$O$729,예비비!$B$430:$B$729,예비비!$A196,예비비!$E$430:$E$729,"&lt;"&amp;EDATE(BU$99,1))),0)</f>
        <v>0</v>
      </c>
    </row>
    <row r="197">
      <c r="BA197">
        <v>141</v>
      </c>
      <c r="BB197">
        <f>IFERROR(INDEX(잔액!$A:$A,BA197),0)</f>
        <v>46174.0</v>
      </c>
      <c r="BH197">
        <f>IFERROR(IF(AND(BB197&gt;0,OR(COUNTIFS(예비비!$C$430:$C$729,BA197,예비비!$N$430:$N$729,"OK")&gt;0,AND(INDEX(잔액!$J:$J,BA197)="가족통장",INDEX(잔액!$K:$K,BA197)="미래에셋_WRAP형CMA"),COUNTIF(예비비!$A$8:$A$12,INDEX(잔액!$C:$C,BA197))=1,COUNTIF(예비비!$A$8:$A$12,INDEX(잔액!$D:$D,BA197))=1),OR(AND(BB197&gt;=예비비!$B$3,BB197&lt;EDATE(예비비!$B$3,1)),AND(BB197&lt;EDATE(예비비!$B$3,1),COUNTIFS(예비비!$C$430:$C$729,BA197,예비비!$L$430:$L$729,예비비!$B$3,예비비!$N$430:$N$729,"OK")&gt;0))),MAX($BH$120:BH196)+1,0),0)</f>
        <v>0</v>
      </c>
      <c r="BI197">
        <f>IF(예비비!$R197="OK",SUMIFS(예비비!$O$430:$O$729,예비비!$B$430:$B$729,예비비!$A197,예비비!$E$430:$E$729,"&lt;"&amp;EDATE(BI$99,1),예비비!$F$430:$F$729,"결제대금비")+MAX(0,IF(예비비!$D197&lt;EDATE(BI$99,1),예비비!$E197,0)-SUMIFS(예비비!$O$430:$O$729,예비비!$B$430:$B$729,예비비!$A197,예비비!$E$430:$E$729,"&lt;"&amp;EDATE(BI$99,1))),0)</f>
        <v>0</v>
      </c>
      <c r="BJ197">
        <f>IF(예비비!$R197="OK",SUMIFS(예비비!$O$430:$O$729,예비비!$B$430:$B$729,예비비!$A197,예비비!$E$430:$E$729,"&lt;"&amp;EDATE(BJ$99,1),예비비!$F$430:$F$729,"결제대금비")+MAX(0,IF(예비비!$D197&lt;EDATE(BJ$99,1),예비비!$E197,0)-SUMIFS(예비비!$O$430:$O$729,예비비!$B$430:$B$729,예비비!$A197,예비비!$E$430:$E$729,"&lt;"&amp;EDATE(BJ$99,1))),0)</f>
        <v>0</v>
      </c>
      <c r="BK197">
        <f>IF(예비비!$R197="OK",SUMIFS(예비비!$O$430:$O$729,예비비!$B$430:$B$729,예비비!$A197,예비비!$E$430:$E$729,"&lt;"&amp;EDATE(BK$99,1),예비비!$F$430:$F$729,"결제대금비")+MAX(0,IF(예비비!$D197&lt;EDATE(BK$99,1),예비비!$E197,0)-SUMIFS(예비비!$O$430:$O$729,예비비!$B$430:$B$729,예비비!$A197,예비비!$E$430:$E$729,"&lt;"&amp;EDATE(BK$99,1))),0)</f>
        <v>0</v>
      </c>
      <c r="BL197">
        <f>IF(예비비!$R197="OK",SUMIFS(예비비!$O$430:$O$729,예비비!$B$430:$B$729,예비비!$A197,예비비!$E$430:$E$729,"&lt;"&amp;EDATE(BL$99,1),예비비!$F$430:$F$729,"결제대금비")+MAX(0,IF(예비비!$D197&lt;EDATE(BL$99,1),예비비!$E197,0)-SUMIFS(예비비!$O$430:$O$729,예비비!$B$430:$B$729,예비비!$A197,예비비!$E$430:$E$729,"&lt;"&amp;EDATE(BL$99,1))),0)</f>
        <v>0</v>
      </c>
      <c r="BM197">
        <f>IF(예비비!$R197="OK",SUMIFS(예비비!$O$430:$O$729,예비비!$B$430:$B$729,예비비!$A197,예비비!$E$430:$E$729,"&lt;"&amp;EDATE(BM$99,1),예비비!$F$430:$F$729,"결제대금비")+MAX(0,IF(예비비!$D197&lt;EDATE(BM$99,1),예비비!$E197,0)-SUMIFS(예비비!$O$430:$O$729,예비비!$B$430:$B$729,예비비!$A197,예비비!$E$430:$E$729,"&lt;"&amp;EDATE(BM$99,1))),0)</f>
        <v>0</v>
      </c>
      <c r="BN197">
        <f>IF(예비비!$R197="OK",SUMIFS(예비비!$O$430:$O$729,예비비!$B$430:$B$729,예비비!$A197,예비비!$E$430:$E$729,"&lt;"&amp;EDATE(BN$99,1),예비비!$F$430:$F$729,"결제대금비")+MAX(0,IF(예비비!$D197&lt;EDATE(BN$99,1),예비비!$E197,0)-SUMIFS(예비비!$O$430:$O$729,예비비!$B$430:$B$729,예비비!$A197,예비비!$E$430:$E$729,"&lt;"&amp;EDATE(BN$99,1))),0)</f>
        <v>0</v>
      </c>
      <c r="BO197">
        <f>IF(예비비!$R197="OK",SUMIFS(예비비!$O$430:$O$729,예비비!$B$430:$B$729,예비비!$A197,예비비!$E$430:$E$729,"&lt;"&amp;EDATE(BO$99,1),예비비!$F$430:$F$729,"결제대금비")+MAX(0,IF(예비비!$D197&lt;EDATE(BO$99,1),예비비!$E197,0)-SUMIFS(예비비!$O$430:$O$729,예비비!$B$430:$B$729,예비비!$A197,예비비!$E$430:$E$729,"&lt;"&amp;EDATE(BO$99,1))),0)</f>
        <v>0</v>
      </c>
      <c r="BP197">
        <f>IF(예비비!$R197="OK",SUMIFS(예비비!$O$430:$O$729,예비비!$B$430:$B$729,예비비!$A197,예비비!$E$430:$E$729,"&lt;"&amp;EDATE(BP$99,1),예비비!$F$430:$F$729,"결제대금비")+MAX(0,IF(예비비!$D197&lt;EDATE(BP$99,1),예비비!$E197,0)-SUMIFS(예비비!$O$430:$O$729,예비비!$B$430:$B$729,예비비!$A197,예비비!$E$430:$E$729,"&lt;"&amp;EDATE(BP$99,1))),0)</f>
        <v>0</v>
      </c>
      <c r="BQ197">
        <f>IF(예비비!$R197="OK",SUMIFS(예비비!$O$430:$O$729,예비비!$B$430:$B$729,예비비!$A197,예비비!$E$430:$E$729,"&lt;"&amp;EDATE(BQ$99,1),예비비!$F$430:$F$729,"결제대금비")+MAX(0,IF(예비비!$D197&lt;EDATE(BQ$99,1),예비비!$E197,0)-SUMIFS(예비비!$O$430:$O$729,예비비!$B$430:$B$729,예비비!$A197,예비비!$E$430:$E$729,"&lt;"&amp;EDATE(BQ$99,1))),0)</f>
        <v>0</v>
      </c>
      <c r="BR197">
        <f>IF(예비비!$R197="OK",SUMIFS(예비비!$O$430:$O$729,예비비!$B$430:$B$729,예비비!$A197,예비비!$E$430:$E$729,"&lt;"&amp;EDATE(BR$99,1),예비비!$F$430:$F$729,"결제대금비")+MAX(0,IF(예비비!$D197&lt;EDATE(BR$99,1),예비비!$E197,0)-SUMIFS(예비비!$O$430:$O$729,예비비!$B$430:$B$729,예비비!$A197,예비비!$E$430:$E$729,"&lt;"&amp;EDATE(BR$99,1))),0)</f>
        <v>0</v>
      </c>
      <c r="BS197">
        <f>IF(예비비!$R197="OK",SUMIFS(예비비!$O$430:$O$729,예비비!$B$430:$B$729,예비비!$A197,예비비!$E$430:$E$729,"&lt;"&amp;EDATE(BS$99,1),예비비!$F$430:$F$729,"결제대금비")+MAX(0,IF(예비비!$D197&lt;EDATE(BS$99,1),예비비!$E197,0)-SUMIFS(예비비!$O$430:$O$729,예비비!$B$430:$B$729,예비비!$A197,예비비!$E$430:$E$729,"&lt;"&amp;EDATE(BS$99,1))),0)</f>
        <v>0</v>
      </c>
      <c r="BT197">
        <f>IF(예비비!$R197="OK",SUMIFS(예비비!$O$430:$O$729,예비비!$B$430:$B$729,예비비!$A197,예비비!$E$430:$E$729,"&lt;"&amp;EDATE(BT$99,1),예비비!$F$430:$F$729,"결제대금비")+MAX(0,IF(예비비!$D197&lt;EDATE(BT$99,1),예비비!$E197,0)-SUMIFS(예비비!$O$430:$O$729,예비비!$B$430:$B$729,예비비!$A197,예비비!$E$430:$E$729,"&lt;"&amp;EDATE(BT$99,1))),0)</f>
        <v>0</v>
      </c>
      <c r="BU197">
        <f>IF(예비비!$R197="OK",SUMIFS(예비비!$O$430:$O$729,예비비!$B$430:$B$729,예비비!$A197,예비비!$E$430:$E$729,"&lt;"&amp;EDATE(BU$99,1),예비비!$F$430:$F$729,"결제대금비")+MAX(0,IF(예비비!$D197&lt;EDATE(BU$99,1),예비비!$E197,0)-SUMIFS(예비비!$O$430:$O$729,예비비!$B$430:$B$729,예비비!$A197,예비비!$E$430:$E$729,"&lt;"&amp;EDATE(BU$99,1))),0)</f>
        <v>0</v>
      </c>
    </row>
    <row r="198">
      <c r="BA198">
        <v>142</v>
      </c>
      <c r="BB198">
        <f>IFERROR(INDEX(잔액!$A:$A,BA198),0)</f>
        <v>46174.0</v>
      </c>
      <c r="BH198">
        <f>IFERROR(IF(AND(BB198&gt;0,OR(COUNTIFS(예비비!$C$430:$C$729,BA198,예비비!$N$430:$N$729,"OK")&gt;0,AND(INDEX(잔액!$J:$J,BA198)="가족통장",INDEX(잔액!$K:$K,BA198)="미래에셋_WRAP형CMA"),COUNTIF(예비비!$A$8:$A$12,INDEX(잔액!$C:$C,BA198))=1,COUNTIF(예비비!$A$8:$A$12,INDEX(잔액!$D:$D,BA198))=1),OR(AND(BB198&gt;=예비비!$B$3,BB198&lt;EDATE(예비비!$B$3,1)),AND(BB198&lt;EDATE(예비비!$B$3,1),COUNTIFS(예비비!$C$430:$C$729,BA198,예비비!$L$430:$L$729,예비비!$B$3,예비비!$N$430:$N$729,"OK")&gt;0))),MAX($BH$120:BH197)+1,0),0)</f>
        <v>0</v>
      </c>
      <c r="BI198">
        <f>IF(예비비!$R198="OK",SUMIFS(예비비!$O$430:$O$729,예비비!$B$430:$B$729,예비비!$A198,예비비!$E$430:$E$729,"&lt;"&amp;EDATE(BI$99,1),예비비!$F$430:$F$729,"결제대금비")+MAX(0,IF(예비비!$D198&lt;EDATE(BI$99,1),예비비!$E198,0)-SUMIFS(예비비!$O$430:$O$729,예비비!$B$430:$B$729,예비비!$A198,예비비!$E$430:$E$729,"&lt;"&amp;EDATE(BI$99,1))),0)</f>
        <v>0</v>
      </c>
      <c r="BJ198">
        <f>IF(예비비!$R198="OK",SUMIFS(예비비!$O$430:$O$729,예비비!$B$430:$B$729,예비비!$A198,예비비!$E$430:$E$729,"&lt;"&amp;EDATE(BJ$99,1),예비비!$F$430:$F$729,"결제대금비")+MAX(0,IF(예비비!$D198&lt;EDATE(BJ$99,1),예비비!$E198,0)-SUMIFS(예비비!$O$430:$O$729,예비비!$B$430:$B$729,예비비!$A198,예비비!$E$430:$E$729,"&lt;"&amp;EDATE(BJ$99,1))),0)</f>
        <v>0</v>
      </c>
      <c r="BK198">
        <f>IF(예비비!$R198="OK",SUMIFS(예비비!$O$430:$O$729,예비비!$B$430:$B$729,예비비!$A198,예비비!$E$430:$E$729,"&lt;"&amp;EDATE(BK$99,1),예비비!$F$430:$F$729,"결제대금비")+MAX(0,IF(예비비!$D198&lt;EDATE(BK$99,1),예비비!$E198,0)-SUMIFS(예비비!$O$430:$O$729,예비비!$B$430:$B$729,예비비!$A198,예비비!$E$430:$E$729,"&lt;"&amp;EDATE(BK$99,1))),0)</f>
        <v>0</v>
      </c>
      <c r="BL198">
        <f>IF(예비비!$R198="OK",SUMIFS(예비비!$O$430:$O$729,예비비!$B$430:$B$729,예비비!$A198,예비비!$E$430:$E$729,"&lt;"&amp;EDATE(BL$99,1),예비비!$F$430:$F$729,"결제대금비")+MAX(0,IF(예비비!$D198&lt;EDATE(BL$99,1),예비비!$E198,0)-SUMIFS(예비비!$O$430:$O$729,예비비!$B$430:$B$729,예비비!$A198,예비비!$E$430:$E$729,"&lt;"&amp;EDATE(BL$99,1))),0)</f>
        <v>0</v>
      </c>
      <c r="BM198">
        <f>IF(예비비!$R198="OK",SUMIFS(예비비!$O$430:$O$729,예비비!$B$430:$B$729,예비비!$A198,예비비!$E$430:$E$729,"&lt;"&amp;EDATE(BM$99,1),예비비!$F$430:$F$729,"결제대금비")+MAX(0,IF(예비비!$D198&lt;EDATE(BM$99,1),예비비!$E198,0)-SUMIFS(예비비!$O$430:$O$729,예비비!$B$430:$B$729,예비비!$A198,예비비!$E$430:$E$729,"&lt;"&amp;EDATE(BM$99,1))),0)</f>
        <v>0</v>
      </c>
      <c r="BN198">
        <f>IF(예비비!$R198="OK",SUMIFS(예비비!$O$430:$O$729,예비비!$B$430:$B$729,예비비!$A198,예비비!$E$430:$E$729,"&lt;"&amp;EDATE(BN$99,1),예비비!$F$430:$F$729,"결제대금비")+MAX(0,IF(예비비!$D198&lt;EDATE(BN$99,1),예비비!$E198,0)-SUMIFS(예비비!$O$430:$O$729,예비비!$B$430:$B$729,예비비!$A198,예비비!$E$430:$E$729,"&lt;"&amp;EDATE(BN$99,1))),0)</f>
        <v>0</v>
      </c>
      <c r="BO198">
        <f>IF(예비비!$R198="OK",SUMIFS(예비비!$O$430:$O$729,예비비!$B$430:$B$729,예비비!$A198,예비비!$E$430:$E$729,"&lt;"&amp;EDATE(BO$99,1),예비비!$F$430:$F$729,"결제대금비")+MAX(0,IF(예비비!$D198&lt;EDATE(BO$99,1),예비비!$E198,0)-SUMIFS(예비비!$O$430:$O$729,예비비!$B$430:$B$729,예비비!$A198,예비비!$E$430:$E$729,"&lt;"&amp;EDATE(BO$99,1))),0)</f>
        <v>0</v>
      </c>
      <c r="BP198">
        <f>IF(예비비!$R198="OK",SUMIFS(예비비!$O$430:$O$729,예비비!$B$430:$B$729,예비비!$A198,예비비!$E$430:$E$729,"&lt;"&amp;EDATE(BP$99,1),예비비!$F$430:$F$729,"결제대금비")+MAX(0,IF(예비비!$D198&lt;EDATE(BP$99,1),예비비!$E198,0)-SUMIFS(예비비!$O$430:$O$729,예비비!$B$430:$B$729,예비비!$A198,예비비!$E$430:$E$729,"&lt;"&amp;EDATE(BP$99,1))),0)</f>
        <v>0</v>
      </c>
      <c r="BQ198">
        <f>IF(예비비!$R198="OK",SUMIFS(예비비!$O$430:$O$729,예비비!$B$430:$B$729,예비비!$A198,예비비!$E$430:$E$729,"&lt;"&amp;EDATE(BQ$99,1),예비비!$F$430:$F$729,"결제대금비")+MAX(0,IF(예비비!$D198&lt;EDATE(BQ$99,1),예비비!$E198,0)-SUMIFS(예비비!$O$430:$O$729,예비비!$B$430:$B$729,예비비!$A198,예비비!$E$430:$E$729,"&lt;"&amp;EDATE(BQ$99,1))),0)</f>
        <v>0</v>
      </c>
      <c r="BR198">
        <f>IF(예비비!$R198="OK",SUMIFS(예비비!$O$430:$O$729,예비비!$B$430:$B$729,예비비!$A198,예비비!$E$430:$E$729,"&lt;"&amp;EDATE(BR$99,1),예비비!$F$430:$F$729,"결제대금비")+MAX(0,IF(예비비!$D198&lt;EDATE(BR$99,1),예비비!$E198,0)-SUMIFS(예비비!$O$430:$O$729,예비비!$B$430:$B$729,예비비!$A198,예비비!$E$430:$E$729,"&lt;"&amp;EDATE(BR$99,1))),0)</f>
        <v>0</v>
      </c>
      <c r="BS198">
        <f>IF(예비비!$R198="OK",SUMIFS(예비비!$O$430:$O$729,예비비!$B$430:$B$729,예비비!$A198,예비비!$E$430:$E$729,"&lt;"&amp;EDATE(BS$99,1),예비비!$F$430:$F$729,"결제대금비")+MAX(0,IF(예비비!$D198&lt;EDATE(BS$99,1),예비비!$E198,0)-SUMIFS(예비비!$O$430:$O$729,예비비!$B$430:$B$729,예비비!$A198,예비비!$E$430:$E$729,"&lt;"&amp;EDATE(BS$99,1))),0)</f>
        <v>0</v>
      </c>
      <c r="BT198">
        <f>IF(예비비!$R198="OK",SUMIFS(예비비!$O$430:$O$729,예비비!$B$430:$B$729,예비비!$A198,예비비!$E$430:$E$729,"&lt;"&amp;EDATE(BT$99,1),예비비!$F$430:$F$729,"결제대금비")+MAX(0,IF(예비비!$D198&lt;EDATE(BT$99,1),예비비!$E198,0)-SUMIFS(예비비!$O$430:$O$729,예비비!$B$430:$B$729,예비비!$A198,예비비!$E$430:$E$729,"&lt;"&amp;EDATE(BT$99,1))),0)</f>
        <v>0</v>
      </c>
      <c r="BU198">
        <f>IF(예비비!$R198="OK",SUMIFS(예비비!$O$430:$O$729,예비비!$B$430:$B$729,예비비!$A198,예비비!$E$430:$E$729,"&lt;"&amp;EDATE(BU$99,1),예비비!$F$430:$F$729,"결제대금비")+MAX(0,IF(예비비!$D198&lt;EDATE(BU$99,1),예비비!$E198,0)-SUMIFS(예비비!$O$430:$O$729,예비비!$B$430:$B$729,예비비!$A198,예비비!$E$430:$E$729,"&lt;"&amp;EDATE(BU$99,1))),0)</f>
        <v>0</v>
      </c>
    </row>
    <row r="199">
      <c r="BA199">
        <v>143</v>
      </c>
      <c r="BB199">
        <f>IFERROR(INDEX(잔액!$A:$A,BA199),0)</f>
        <v>46174.0</v>
      </c>
      <c r="BH199">
        <f>IFERROR(IF(AND(BB199&gt;0,OR(COUNTIFS(예비비!$C$430:$C$729,BA199,예비비!$N$430:$N$729,"OK")&gt;0,AND(INDEX(잔액!$J:$J,BA199)="가족통장",INDEX(잔액!$K:$K,BA199)="미래에셋_WRAP형CMA"),COUNTIF(예비비!$A$8:$A$12,INDEX(잔액!$C:$C,BA199))=1,COUNTIF(예비비!$A$8:$A$12,INDEX(잔액!$D:$D,BA199))=1),OR(AND(BB199&gt;=예비비!$B$3,BB199&lt;EDATE(예비비!$B$3,1)),AND(BB199&lt;EDATE(예비비!$B$3,1),COUNTIFS(예비비!$C$430:$C$729,BA199,예비비!$L$430:$L$729,예비비!$B$3,예비비!$N$430:$N$729,"OK")&gt;0))),MAX($BH$120:BH198)+1,0),0)</f>
        <v>0</v>
      </c>
      <c r="BI199">
        <f>IF(예비비!$R199="OK",SUMIFS(예비비!$O$430:$O$729,예비비!$B$430:$B$729,예비비!$A199,예비비!$E$430:$E$729,"&lt;"&amp;EDATE(BI$99,1),예비비!$F$430:$F$729,"결제대금비")+MAX(0,IF(예비비!$D199&lt;EDATE(BI$99,1),예비비!$E199,0)-SUMIFS(예비비!$O$430:$O$729,예비비!$B$430:$B$729,예비비!$A199,예비비!$E$430:$E$729,"&lt;"&amp;EDATE(BI$99,1))),0)</f>
        <v>0</v>
      </c>
      <c r="BJ199">
        <f>IF(예비비!$R199="OK",SUMIFS(예비비!$O$430:$O$729,예비비!$B$430:$B$729,예비비!$A199,예비비!$E$430:$E$729,"&lt;"&amp;EDATE(BJ$99,1),예비비!$F$430:$F$729,"결제대금비")+MAX(0,IF(예비비!$D199&lt;EDATE(BJ$99,1),예비비!$E199,0)-SUMIFS(예비비!$O$430:$O$729,예비비!$B$430:$B$729,예비비!$A199,예비비!$E$430:$E$729,"&lt;"&amp;EDATE(BJ$99,1))),0)</f>
        <v>0</v>
      </c>
      <c r="BK199">
        <f>IF(예비비!$R199="OK",SUMIFS(예비비!$O$430:$O$729,예비비!$B$430:$B$729,예비비!$A199,예비비!$E$430:$E$729,"&lt;"&amp;EDATE(BK$99,1),예비비!$F$430:$F$729,"결제대금비")+MAX(0,IF(예비비!$D199&lt;EDATE(BK$99,1),예비비!$E199,0)-SUMIFS(예비비!$O$430:$O$729,예비비!$B$430:$B$729,예비비!$A199,예비비!$E$430:$E$729,"&lt;"&amp;EDATE(BK$99,1))),0)</f>
        <v>0</v>
      </c>
      <c r="BL199">
        <f>IF(예비비!$R199="OK",SUMIFS(예비비!$O$430:$O$729,예비비!$B$430:$B$729,예비비!$A199,예비비!$E$430:$E$729,"&lt;"&amp;EDATE(BL$99,1),예비비!$F$430:$F$729,"결제대금비")+MAX(0,IF(예비비!$D199&lt;EDATE(BL$99,1),예비비!$E199,0)-SUMIFS(예비비!$O$430:$O$729,예비비!$B$430:$B$729,예비비!$A199,예비비!$E$430:$E$729,"&lt;"&amp;EDATE(BL$99,1))),0)</f>
        <v>0</v>
      </c>
      <c r="BM199">
        <f>IF(예비비!$R199="OK",SUMIFS(예비비!$O$430:$O$729,예비비!$B$430:$B$729,예비비!$A199,예비비!$E$430:$E$729,"&lt;"&amp;EDATE(BM$99,1),예비비!$F$430:$F$729,"결제대금비")+MAX(0,IF(예비비!$D199&lt;EDATE(BM$99,1),예비비!$E199,0)-SUMIFS(예비비!$O$430:$O$729,예비비!$B$430:$B$729,예비비!$A199,예비비!$E$430:$E$729,"&lt;"&amp;EDATE(BM$99,1))),0)</f>
        <v>0</v>
      </c>
      <c r="BN199">
        <f>IF(예비비!$R199="OK",SUMIFS(예비비!$O$430:$O$729,예비비!$B$430:$B$729,예비비!$A199,예비비!$E$430:$E$729,"&lt;"&amp;EDATE(BN$99,1),예비비!$F$430:$F$729,"결제대금비")+MAX(0,IF(예비비!$D199&lt;EDATE(BN$99,1),예비비!$E199,0)-SUMIFS(예비비!$O$430:$O$729,예비비!$B$430:$B$729,예비비!$A199,예비비!$E$430:$E$729,"&lt;"&amp;EDATE(BN$99,1))),0)</f>
        <v>0</v>
      </c>
      <c r="BO199">
        <f>IF(예비비!$R199="OK",SUMIFS(예비비!$O$430:$O$729,예비비!$B$430:$B$729,예비비!$A199,예비비!$E$430:$E$729,"&lt;"&amp;EDATE(BO$99,1),예비비!$F$430:$F$729,"결제대금비")+MAX(0,IF(예비비!$D199&lt;EDATE(BO$99,1),예비비!$E199,0)-SUMIFS(예비비!$O$430:$O$729,예비비!$B$430:$B$729,예비비!$A199,예비비!$E$430:$E$729,"&lt;"&amp;EDATE(BO$99,1))),0)</f>
        <v>0</v>
      </c>
      <c r="BP199">
        <f>IF(예비비!$R199="OK",SUMIFS(예비비!$O$430:$O$729,예비비!$B$430:$B$729,예비비!$A199,예비비!$E$430:$E$729,"&lt;"&amp;EDATE(BP$99,1),예비비!$F$430:$F$729,"결제대금비")+MAX(0,IF(예비비!$D199&lt;EDATE(BP$99,1),예비비!$E199,0)-SUMIFS(예비비!$O$430:$O$729,예비비!$B$430:$B$729,예비비!$A199,예비비!$E$430:$E$729,"&lt;"&amp;EDATE(BP$99,1))),0)</f>
        <v>0</v>
      </c>
      <c r="BQ199">
        <f>IF(예비비!$R199="OK",SUMIFS(예비비!$O$430:$O$729,예비비!$B$430:$B$729,예비비!$A199,예비비!$E$430:$E$729,"&lt;"&amp;EDATE(BQ$99,1),예비비!$F$430:$F$729,"결제대금비")+MAX(0,IF(예비비!$D199&lt;EDATE(BQ$99,1),예비비!$E199,0)-SUMIFS(예비비!$O$430:$O$729,예비비!$B$430:$B$729,예비비!$A199,예비비!$E$430:$E$729,"&lt;"&amp;EDATE(BQ$99,1))),0)</f>
        <v>0</v>
      </c>
      <c r="BR199">
        <f>IF(예비비!$R199="OK",SUMIFS(예비비!$O$430:$O$729,예비비!$B$430:$B$729,예비비!$A199,예비비!$E$430:$E$729,"&lt;"&amp;EDATE(BR$99,1),예비비!$F$430:$F$729,"결제대금비")+MAX(0,IF(예비비!$D199&lt;EDATE(BR$99,1),예비비!$E199,0)-SUMIFS(예비비!$O$430:$O$729,예비비!$B$430:$B$729,예비비!$A199,예비비!$E$430:$E$729,"&lt;"&amp;EDATE(BR$99,1))),0)</f>
        <v>0</v>
      </c>
      <c r="BS199">
        <f>IF(예비비!$R199="OK",SUMIFS(예비비!$O$430:$O$729,예비비!$B$430:$B$729,예비비!$A199,예비비!$E$430:$E$729,"&lt;"&amp;EDATE(BS$99,1),예비비!$F$430:$F$729,"결제대금비")+MAX(0,IF(예비비!$D199&lt;EDATE(BS$99,1),예비비!$E199,0)-SUMIFS(예비비!$O$430:$O$729,예비비!$B$430:$B$729,예비비!$A199,예비비!$E$430:$E$729,"&lt;"&amp;EDATE(BS$99,1))),0)</f>
        <v>0</v>
      </c>
      <c r="BT199">
        <f>IF(예비비!$R199="OK",SUMIFS(예비비!$O$430:$O$729,예비비!$B$430:$B$729,예비비!$A199,예비비!$E$430:$E$729,"&lt;"&amp;EDATE(BT$99,1),예비비!$F$430:$F$729,"결제대금비")+MAX(0,IF(예비비!$D199&lt;EDATE(BT$99,1),예비비!$E199,0)-SUMIFS(예비비!$O$430:$O$729,예비비!$B$430:$B$729,예비비!$A199,예비비!$E$430:$E$729,"&lt;"&amp;EDATE(BT$99,1))),0)</f>
        <v>0</v>
      </c>
      <c r="BU199">
        <f>IF(예비비!$R199="OK",SUMIFS(예비비!$O$430:$O$729,예비비!$B$430:$B$729,예비비!$A199,예비비!$E$430:$E$729,"&lt;"&amp;EDATE(BU$99,1),예비비!$F$430:$F$729,"결제대금비")+MAX(0,IF(예비비!$D199&lt;EDATE(BU$99,1),예비비!$E199,0)-SUMIFS(예비비!$O$430:$O$729,예비비!$B$430:$B$729,예비비!$A199,예비비!$E$430:$E$729,"&lt;"&amp;EDATE(BU$99,1))),0)</f>
        <v>0</v>
      </c>
    </row>
    <row r="200">
      <c r="BA200">
        <v>144</v>
      </c>
      <c r="BB200">
        <f>IFERROR(INDEX(잔액!$A:$A,BA200),0)</f>
        <v>46204.0</v>
      </c>
      <c r="BH200">
        <f>IFERROR(IF(AND(BB200&gt;0,OR(COUNTIFS(예비비!$C$430:$C$729,BA200,예비비!$N$430:$N$729,"OK")&gt;0,AND(INDEX(잔액!$J:$J,BA200)="가족통장",INDEX(잔액!$K:$K,BA200)="미래에셋_WRAP형CMA"),COUNTIF(예비비!$A$8:$A$12,INDEX(잔액!$C:$C,BA200))=1,COUNTIF(예비비!$A$8:$A$12,INDEX(잔액!$D:$D,BA200))=1),OR(AND(BB200&gt;=예비비!$B$3,BB200&lt;EDATE(예비비!$B$3,1)),AND(BB200&lt;EDATE(예비비!$B$3,1),COUNTIFS(예비비!$C$430:$C$729,BA200,예비비!$L$430:$L$729,예비비!$B$3,예비비!$N$430:$N$729,"OK")&gt;0))),MAX($BH$120:BH199)+1,0),0)</f>
        <v>0</v>
      </c>
      <c r="BI200">
        <f>IF(예비비!$R200="OK",SUMIFS(예비비!$O$430:$O$729,예비비!$B$430:$B$729,예비비!$A200,예비비!$E$430:$E$729,"&lt;"&amp;EDATE(BI$99,1),예비비!$F$430:$F$729,"결제대금비")+MAX(0,IF(예비비!$D200&lt;EDATE(BI$99,1),예비비!$E200,0)-SUMIFS(예비비!$O$430:$O$729,예비비!$B$430:$B$729,예비비!$A200,예비비!$E$430:$E$729,"&lt;"&amp;EDATE(BI$99,1))),0)</f>
        <v>0</v>
      </c>
      <c r="BJ200">
        <f>IF(예비비!$R200="OK",SUMIFS(예비비!$O$430:$O$729,예비비!$B$430:$B$729,예비비!$A200,예비비!$E$430:$E$729,"&lt;"&amp;EDATE(BJ$99,1),예비비!$F$430:$F$729,"결제대금비")+MAX(0,IF(예비비!$D200&lt;EDATE(BJ$99,1),예비비!$E200,0)-SUMIFS(예비비!$O$430:$O$729,예비비!$B$430:$B$729,예비비!$A200,예비비!$E$430:$E$729,"&lt;"&amp;EDATE(BJ$99,1))),0)</f>
        <v>0</v>
      </c>
      <c r="BK200">
        <f>IF(예비비!$R200="OK",SUMIFS(예비비!$O$430:$O$729,예비비!$B$430:$B$729,예비비!$A200,예비비!$E$430:$E$729,"&lt;"&amp;EDATE(BK$99,1),예비비!$F$430:$F$729,"결제대금비")+MAX(0,IF(예비비!$D200&lt;EDATE(BK$99,1),예비비!$E200,0)-SUMIFS(예비비!$O$430:$O$729,예비비!$B$430:$B$729,예비비!$A200,예비비!$E$430:$E$729,"&lt;"&amp;EDATE(BK$99,1))),0)</f>
        <v>0</v>
      </c>
      <c r="BL200">
        <f>IF(예비비!$R200="OK",SUMIFS(예비비!$O$430:$O$729,예비비!$B$430:$B$729,예비비!$A200,예비비!$E$430:$E$729,"&lt;"&amp;EDATE(BL$99,1),예비비!$F$430:$F$729,"결제대금비")+MAX(0,IF(예비비!$D200&lt;EDATE(BL$99,1),예비비!$E200,0)-SUMIFS(예비비!$O$430:$O$729,예비비!$B$430:$B$729,예비비!$A200,예비비!$E$430:$E$729,"&lt;"&amp;EDATE(BL$99,1))),0)</f>
        <v>0</v>
      </c>
      <c r="BM200">
        <f>IF(예비비!$R200="OK",SUMIFS(예비비!$O$430:$O$729,예비비!$B$430:$B$729,예비비!$A200,예비비!$E$430:$E$729,"&lt;"&amp;EDATE(BM$99,1),예비비!$F$430:$F$729,"결제대금비")+MAX(0,IF(예비비!$D200&lt;EDATE(BM$99,1),예비비!$E200,0)-SUMIFS(예비비!$O$430:$O$729,예비비!$B$430:$B$729,예비비!$A200,예비비!$E$430:$E$729,"&lt;"&amp;EDATE(BM$99,1))),0)</f>
        <v>0</v>
      </c>
      <c r="BN200">
        <f>IF(예비비!$R200="OK",SUMIFS(예비비!$O$430:$O$729,예비비!$B$430:$B$729,예비비!$A200,예비비!$E$430:$E$729,"&lt;"&amp;EDATE(BN$99,1),예비비!$F$430:$F$729,"결제대금비")+MAX(0,IF(예비비!$D200&lt;EDATE(BN$99,1),예비비!$E200,0)-SUMIFS(예비비!$O$430:$O$729,예비비!$B$430:$B$729,예비비!$A200,예비비!$E$430:$E$729,"&lt;"&amp;EDATE(BN$99,1))),0)</f>
        <v>0</v>
      </c>
      <c r="BO200">
        <f>IF(예비비!$R200="OK",SUMIFS(예비비!$O$430:$O$729,예비비!$B$430:$B$729,예비비!$A200,예비비!$E$430:$E$729,"&lt;"&amp;EDATE(BO$99,1),예비비!$F$430:$F$729,"결제대금비")+MAX(0,IF(예비비!$D200&lt;EDATE(BO$99,1),예비비!$E200,0)-SUMIFS(예비비!$O$430:$O$729,예비비!$B$430:$B$729,예비비!$A200,예비비!$E$430:$E$729,"&lt;"&amp;EDATE(BO$99,1))),0)</f>
        <v>0</v>
      </c>
      <c r="BP200">
        <f>IF(예비비!$R200="OK",SUMIFS(예비비!$O$430:$O$729,예비비!$B$430:$B$729,예비비!$A200,예비비!$E$430:$E$729,"&lt;"&amp;EDATE(BP$99,1),예비비!$F$430:$F$729,"결제대금비")+MAX(0,IF(예비비!$D200&lt;EDATE(BP$99,1),예비비!$E200,0)-SUMIFS(예비비!$O$430:$O$729,예비비!$B$430:$B$729,예비비!$A200,예비비!$E$430:$E$729,"&lt;"&amp;EDATE(BP$99,1))),0)</f>
        <v>0</v>
      </c>
      <c r="BQ200">
        <f>IF(예비비!$R200="OK",SUMIFS(예비비!$O$430:$O$729,예비비!$B$430:$B$729,예비비!$A200,예비비!$E$430:$E$729,"&lt;"&amp;EDATE(BQ$99,1),예비비!$F$430:$F$729,"결제대금비")+MAX(0,IF(예비비!$D200&lt;EDATE(BQ$99,1),예비비!$E200,0)-SUMIFS(예비비!$O$430:$O$729,예비비!$B$430:$B$729,예비비!$A200,예비비!$E$430:$E$729,"&lt;"&amp;EDATE(BQ$99,1))),0)</f>
        <v>0</v>
      </c>
      <c r="BR200">
        <f>IF(예비비!$R200="OK",SUMIFS(예비비!$O$430:$O$729,예비비!$B$430:$B$729,예비비!$A200,예비비!$E$430:$E$729,"&lt;"&amp;EDATE(BR$99,1),예비비!$F$430:$F$729,"결제대금비")+MAX(0,IF(예비비!$D200&lt;EDATE(BR$99,1),예비비!$E200,0)-SUMIFS(예비비!$O$430:$O$729,예비비!$B$430:$B$729,예비비!$A200,예비비!$E$430:$E$729,"&lt;"&amp;EDATE(BR$99,1))),0)</f>
        <v>0</v>
      </c>
      <c r="BS200">
        <f>IF(예비비!$R200="OK",SUMIFS(예비비!$O$430:$O$729,예비비!$B$430:$B$729,예비비!$A200,예비비!$E$430:$E$729,"&lt;"&amp;EDATE(BS$99,1),예비비!$F$430:$F$729,"결제대금비")+MAX(0,IF(예비비!$D200&lt;EDATE(BS$99,1),예비비!$E200,0)-SUMIFS(예비비!$O$430:$O$729,예비비!$B$430:$B$729,예비비!$A200,예비비!$E$430:$E$729,"&lt;"&amp;EDATE(BS$99,1))),0)</f>
        <v>0</v>
      </c>
      <c r="BT200">
        <f>IF(예비비!$R200="OK",SUMIFS(예비비!$O$430:$O$729,예비비!$B$430:$B$729,예비비!$A200,예비비!$E$430:$E$729,"&lt;"&amp;EDATE(BT$99,1),예비비!$F$430:$F$729,"결제대금비")+MAX(0,IF(예비비!$D200&lt;EDATE(BT$99,1),예비비!$E200,0)-SUMIFS(예비비!$O$430:$O$729,예비비!$B$430:$B$729,예비비!$A200,예비비!$E$430:$E$729,"&lt;"&amp;EDATE(BT$99,1))),0)</f>
        <v>0</v>
      </c>
      <c r="BU200">
        <f>IF(예비비!$R200="OK",SUMIFS(예비비!$O$430:$O$729,예비비!$B$430:$B$729,예비비!$A200,예비비!$E$430:$E$729,"&lt;"&amp;EDATE(BU$99,1),예비비!$F$430:$F$729,"결제대금비")+MAX(0,IF(예비비!$D200&lt;EDATE(BU$99,1),예비비!$E200,0)-SUMIFS(예비비!$O$430:$O$729,예비비!$B$430:$B$729,예비비!$A200,예비비!$E$430:$E$729,"&lt;"&amp;EDATE(BU$99,1))),0)</f>
        <v>0</v>
      </c>
    </row>
    <row r="201">
      <c r="BA201">
        <v>145</v>
      </c>
      <c r="BB201">
        <f>IFERROR(INDEX(잔액!$A:$A,BA201),0)</f>
        <v>46204.0</v>
      </c>
      <c r="BH201">
        <f>IFERROR(IF(AND(BB201&gt;0,OR(COUNTIFS(예비비!$C$430:$C$729,BA201,예비비!$N$430:$N$729,"OK")&gt;0,AND(INDEX(잔액!$J:$J,BA201)="가족통장",INDEX(잔액!$K:$K,BA201)="미래에셋_WRAP형CMA"),COUNTIF(예비비!$A$8:$A$12,INDEX(잔액!$C:$C,BA201))=1,COUNTIF(예비비!$A$8:$A$12,INDEX(잔액!$D:$D,BA201))=1),OR(AND(BB201&gt;=예비비!$B$3,BB201&lt;EDATE(예비비!$B$3,1)),AND(BB201&lt;EDATE(예비비!$B$3,1),COUNTIFS(예비비!$C$430:$C$729,BA201,예비비!$L$430:$L$729,예비비!$B$3,예비비!$N$430:$N$729,"OK")&gt;0))),MAX($BH$120:BH200)+1,0),0)</f>
        <v>0</v>
      </c>
      <c r="BI201">
        <f>IF(예비비!$R201="OK",SUMIFS(예비비!$O$430:$O$729,예비비!$B$430:$B$729,예비비!$A201,예비비!$E$430:$E$729,"&lt;"&amp;EDATE(BI$99,1),예비비!$F$430:$F$729,"결제대금비")+MAX(0,IF(예비비!$D201&lt;EDATE(BI$99,1),예비비!$E201,0)-SUMIFS(예비비!$O$430:$O$729,예비비!$B$430:$B$729,예비비!$A201,예비비!$E$430:$E$729,"&lt;"&amp;EDATE(BI$99,1))),0)</f>
        <v>0</v>
      </c>
      <c r="BJ201">
        <f>IF(예비비!$R201="OK",SUMIFS(예비비!$O$430:$O$729,예비비!$B$430:$B$729,예비비!$A201,예비비!$E$430:$E$729,"&lt;"&amp;EDATE(BJ$99,1),예비비!$F$430:$F$729,"결제대금비")+MAX(0,IF(예비비!$D201&lt;EDATE(BJ$99,1),예비비!$E201,0)-SUMIFS(예비비!$O$430:$O$729,예비비!$B$430:$B$729,예비비!$A201,예비비!$E$430:$E$729,"&lt;"&amp;EDATE(BJ$99,1))),0)</f>
        <v>0</v>
      </c>
      <c r="BK201">
        <f>IF(예비비!$R201="OK",SUMIFS(예비비!$O$430:$O$729,예비비!$B$430:$B$729,예비비!$A201,예비비!$E$430:$E$729,"&lt;"&amp;EDATE(BK$99,1),예비비!$F$430:$F$729,"결제대금비")+MAX(0,IF(예비비!$D201&lt;EDATE(BK$99,1),예비비!$E201,0)-SUMIFS(예비비!$O$430:$O$729,예비비!$B$430:$B$729,예비비!$A201,예비비!$E$430:$E$729,"&lt;"&amp;EDATE(BK$99,1))),0)</f>
        <v>0</v>
      </c>
      <c r="BL201">
        <f>IF(예비비!$R201="OK",SUMIFS(예비비!$O$430:$O$729,예비비!$B$430:$B$729,예비비!$A201,예비비!$E$430:$E$729,"&lt;"&amp;EDATE(BL$99,1),예비비!$F$430:$F$729,"결제대금비")+MAX(0,IF(예비비!$D201&lt;EDATE(BL$99,1),예비비!$E201,0)-SUMIFS(예비비!$O$430:$O$729,예비비!$B$430:$B$729,예비비!$A201,예비비!$E$430:$E$729,"&lt;"&amp;EDATE(BL$99,1))),0)</f>
        <v>0</v>
      </c>
      <c r="BM201">
        <f>IF(예비비!$R201="OK",SUMIFS(예비비!$O$430:$O$729,예비비!$B$430:$B$729,예비비!$A201,예비비!$E$430:$E$729,"&lt;"&amp;EDATE(BM$99,1),예비비!$F$430:$F$729,"결제대금비")+MAX(0,IF(예비비!$D201&lt;EDATE(BM$99,1),예비비!$E201,0)-SUMIFS(예비비!$O$430:$O$729,예비비!$B$430:$B$729,예비비!$A201,예비비!$E$430:$E$729,"&lt;"&amp;EDATE(BM$99,1))),0)</f>
        <v>0</v>
      </c>
      <c r="BN201">
        <f>IF(예비비!$R201="OK",SUMIFS(예비비!$O$430:$O$729,예비비!$B$430:$B$729,예비비!$A201,예비비!$E$430:$E$729,"&lt;"&amp;EDATE(BN$99,1),예비비!$F$430:$F$729,"결제대금비")+MAX(0,IF(예비비!$D201&lt;EDATE(BN$99,1),예비비!$E201,0)-SUMIFS(예비비!$O$430:$O$729,예비비!$B$430:$B$729,예비비!$A201,예비비!$E$430:$E$729,"&lt;"&amp;EDATE(BN$99,1))),0)</f>
        <v>0</v>
      </c>
      <c r="BO201">
        <f>IF(예비비!$R201="OK",SUMIFS(예비비!$O$430:$O$729,예비비!$B$430:$B$729,예비비!$A201,예비비!$E$430:$E$729,"&lt;"&amp;EDATE(BO$99,1),예비비!$F$430:$F$729,"결제대금비")+MAX(0,IF(예비비!$D201&lt;EDATE(BO$99,1),예비비!$E201,0)-SUMIFS(예비비!$O$430:$O$729,예비비!$B$430:$B$729,예비비!$A201,예비비!$E$430:$E$729,"&lt;"&amp;EDATE(BO$99,1))),0)</f>
        <v>0</v>
      </c>
      <c r="BP201">
        <f>IF(예비비!$R201="OK",SUMIFS(예비비!$O$430:$O$729,예비비!$B$430:$B$729,예비비!$A201,예비비!$E$430:$E$729,"&lt;"&amp;EDATE(BP$99,1),예비비!$F$430:$F$729,"결제대금비")+MAX(0,IF(예비비!$D201&lt;EDATE(BP$99,1),예비비!$E201,0)-SUMIFS(예비비!$O$430:$O$729,예비비!$B$430:$B$729,예비비!$A201,예비비!$E$430:$E$729,"&lt;"&amp;EDATE(BP$99,1))),0)</f>
        <v>0</v>
      </c>
      <c r="BQ201">
        <f>IF(예비비!$R201="OK",SUMIFS(예비비!$O$430:$O$729,예비비!$B$430:$B$729,예비비!$A201,예비비!$E$430:$E$729,"&lt;"&amp;EDATE(BQ$99,1),예비비!$F$430:$F$729,"결제대금비")+MAX(0,IF(예비비!$D201&lt;EDATE(BQ$99,1),예비비!$E201,0)-SUMIFS(예비비!$O$430:$O$729,예비비!$B$430:$B$729,예비비!$A201,예비비!$E$430:$E$729,"&lt;"&amp;EDATE(BQ$99,1))),0)</f>
        <v>0</v>
      </c>
      <c r="BR201">
        <f>IF(예비비!$R201="OK",SUMIFS(예비비!$O$430:$O$729,예비비!$B$430:$B$729,예비비!$A201,예비비!$E$430:$E$729,"&lt;"&amp;EDATE(BR$99,1),예비비!$F$430:$F$729,"결제대금비")+MAX(0,IF(예비비!$D201&lt;EDATE(BR$99,1),예비비!$E201,0)-SUMIFS(예비비!$O$430:$O$729,예비비!$B$430:$B$729,예비비!$A201,예비비!$E$430:$E$729,"&lt;"&amp;EDATE(BR$99,1))),0)</f>
        <v>0</v>
      </c>
      <c r="BS201">
        <f>IF(예비비!$R201="OK",SUMIFS(예비비!$O$430:$O$729,예비비!$B$430:$B$729,예비비!$A201,예비비!$E$430:$E$729,"&lt;"&amp;EDATE(BS$99,1),예비비!$F$430:$F$729,"결제대금비")+MAX(0,IF(예비비!$D201&lt;EDATE(BS$99,1),예비비!$E201,0)-SUMIFS(예비비!$O$430:$O$729,예비비!$B$430:$B$729,예비비!$A201,예비비!$E$430:$E$729,"&lt;"&amp;EDATE(BS$99,1))),0)</f>
        <v>0</v>
      </c>
      <c r="BT201">
        <f>IF(예비비!$R201="OK",SUMIFS(예비비!$O$430:$O$729,예비비!$B$430:$B$729,예비비!$A201,예비비!$E$430:$E$729,"&lt;"&amp;EDATE(BT$99,1),예비비!$F$430:$F$729,"결제대금비")+MAX(0,IF(예비비!$D201&lt;EDATE(BT$99,1),예비비!$E201,0)-SUMIFS(예비비!$O$430:$O$729,예비비!$B$430:$B$729,예비비!$A201,예비비!$E$430:$E$729,"&lt;"&amp;EDATE(BT$99,1))),0)</f>
        <v>0</v>
      </c>
      <c r="BU201">
        <f>IF(예비비!$R201="OK",SUMIFS(예비비!$O$430:$O$729,예비비!$B$430:$B$729,예비비!$A201,예비비!$E$430:$E$729,"&lt;"&amp;EDATE(BU$99,1),예비비!$F$430:$F$729,"결제대금비")+MAX(0,IF(예비비!$D201&lt;EDATE(BU$99,1),예비비!$E201,0)-SUMIFS(예비비!$O$430:$O$729,예비비!$B$430:$B$729,예비비!$A201,예비비!$E$430:$E$729,"&lt;"&amp;EDATE(BU$99,1))),0)</f>
        <v>0</v>
      </c>
    </row>
    <row r="202">
      <c r="BA202">
        <v>146</v>
      </c>
      <c r="BB202">
        <f>IFERROR(INDEX(잔액!$A:$A,BA202),0)</f>
        <v>46204.0</v>
      </c>
      <c r="BH202">
        <f>IFERROR(IF(AND(BB202&gt;0,OR(COUNTIFS(예비비!$C$430:$C$729,BA202,예비비!$N$430:$N$729,"OK")&gt;0,AND(INDEX(잔액!$J:$J,BA202)="가족통장",INDEX(잔액!$K:$K,BA202)="미래에셋_WRAP형CMA"),COUNTIF(예비비!$A$8:$A$12,INDEX(잔액!$C:$C,BA202))=1,COUNTIF(예비비!$A$8:$A$12,INDEX(잔액!$D:$D,BA202))=1),OR(AND(BB202&gt;=예비비!$B$3,BB202&lt;EDATE(예비비!$B$3,1)),AND(BB202&lt;EDATE(예비비!$B$3,1),COUNTIFS(예비비!$C$430:$C$729,BA202,예비비!$L$430:$L$729,예비비!$B$3,예비비!$N$430:$N$729,"OK")&gt;0))),MAX($BH$120:BH201)+1,0),0)</f>
        <v>0</v>
      </c>
      <c r="BI202">
        <f>IF(예비비!$R202="OK",SUMIFS(예비비!$O$430:$O$729,예비비!$B$430:$B$729,예비비!$A202,예비비!$E$430:$E$729,"&lt;"&amp;EDATE(BI$99,1),예비비!$F$430:$F$729,"결제대금비")+MAX(0,IF(예비비!$D202&lt;EDATE(BI$99,1),예비비!$E202,0)-SUMIFS(예비비!$O$430:$O$729,예비비!$B$430:$B$729,예비비!$A202,예비비!$E$430:$E$729,"&lt;"&amp;EDATE(BI$99,1))),0)</f>
        <v>0</v>
      </c>
      <c r="BJ202">
        <f>IF(예비비!$R202="OK",SUMIFS(예비비!$O$430:$O$729,예비비!$B$430:$B$729,예비비!$A202,예비비!$E$430:$E$729,"&lt;"&amp;EDATE(BJ$99,1),예비비!$F$430:$F$729,"결제대금비")+MAX(0,IF(예비비!$D202&lt;EDATE(BJ$99,1),예비비!$E202,0)-SUMIFS(예비비!$O$430:$O$729,예비비!$B$430:$B$729,예비비!$A202,예비비!$E$430:$E$729,"&lt;"&amp;EDATE(BJ$99,1))),0)</f>
        <v>0</v>
      </c>
      <c r="BK202">
        <f>IF(예비비!$R202="OK",SUMIFS(예비비!$O$430:$O$729,예비비!$B$430:$B$729,예비비!$A202,예비비!$E$430:$E$729,"&lt;"&amp;EDATE(BK$99,1),예비비!$F$430:$F$729,"결제대금비")+MAX(0,IF(예비비!$D202&lt;EDATE(BK$99,1),예비비!$E202,0)-SUMIFS(예비비!$O$430:$O$729,예비비!$B$430:$B$729,예비비!$A202,예비비!$E$430:$E$729,"&lt;"&amp;EDATE(BK$99,1))),0)</f>
        <v>0</v>
      </c>
      <c r="BL202">
        <f>IF(예비비!$R202="OK",SUMIFS(예비비!$O$430:$O$729,예비비!$B$430:$B$729,예비비!$A202,예비비!$E$430:$E$729,"&lt;"&amp;EDATE(BL$99,1),예비비!$F$430:$F$729,"결제대금비")+MAX(0,IF(예비비!$D202&lt;EDATE(BL$99,1),예비비!$E202,0)-SUMIFS(예비비!$O$430:$O$729,예비비!$B$430:$B$729,예비비!$A202,예비비!$E$430:$E$729,"&lt;"&amp;EDATE(BL$99,1))),0)</f>
        <v>0</v>
      </c>
      <c r="BM202">
        <f>IF(예비비!$R202="OK",SUMIFS(예비비!$O$430:$O$729,예비비!$B$430:$B$729,예비비!$A202,예비비!$E$430:$E$729,"&lt;"&amp;EDATE(BM$99,1),예비비!$F$430:$F$729,"결제대금비")+MAX(0,IF(예비비!$D202&lt;EDATE(BM$99,1),예비비!$E202,0)-SUMIFS(예비비!$O$430:$O$729,예비비!$B$430:$B$729,예비비!$A202,예비비!$E$430:$E$729,"&lt;"&amp;EDATE(BM$99,1))),0)</f>
        <v>0</v>
      </c>
      <c r="BN202">
        <f>IF(예비비!$R202="OK",SUMIFS(예비비!$O$430:$O$729,예비비!$B$430:$B$729,예비비!$A202,예비비!$E$430:$E$729,"&lt;"&amp;EDATE(BN$99,1),예비비!$F$430:$F$729,"결제대금비")+MAX(0,IF(예비비!$D202&lt;EDATE(BN$99,1),예비비!$E202,0)-SUMIFS(예비비!$O$430:$O$729,예비비!$B$430:$B$729,예비비!$A202,예비비!$E$430:$E$729,"&lt;"&amp;EDATE(BN$99,1))),0)</f>
        <v>0</v>
      </c>
      <c r="BO202">
        <f>IF(예비비!$R202="OK",SUMIFS(예비비!$O$430:$O$729,예비비!$B$430:$B$729,예비비!$A202,예비비!$E$430:$E$729,"&lt;"&amp;EDATE(BO$99,1),예비비!$F$430:$F$729,"결제대금비")+MAX(0,IF(예비비!$D202&lt;EDATE(BO$99,1),예비비!$E202,0)-SUMIFS(예비비!$O$430:$O$729,예비비!$B$430:$B$729,예비비!$A202,예비비!$E$430:$E$729,"&lt;"&amp;EDATE(BO$99,1))),0)</f>
        <v>0</v>
      </c>
      <c r="BP202">
        <f>IF(예비비!$R202="OK",SUMIFS(예비비!$O$430:$O$729,예비비!$B$430:$B$729,예비비!$A202,예비비!$E$430:$E$729,"&lt;"&amp;EDATE(BP$99,1),예비비!$F$430:$F$729,"결제대금비")+MAX(0,IF(예비비!$D202&lt;EDATE(BP$99,1),예비비!$E202,0)-SUMIFS(예비비!$O$430:$O$729,예비비!$B$430:$B$729,예비비!$A202,예비비!$E$430:$E$729,"&lt;"&amp;EDATE(BP$99,1))),0)</f>
        <v>0</v>
      </c>
      <c r="BQ202">
        <f>IF(예비비!$R202="OK",SUMIFS(예비비!$O$430:$O$729,예비비!$B$430:$B$729,예비비!$A202,예비비!$E$430:$E$729,"&lt;"&amp;EDATE(BQ$99,1),예비비!$F$430:$F$729,"결제대금비")+MAX(0,IF(예비비!$D202&lt;EDATE(BQ$99,1),예비비!$E202,0)-SUMIFS(예비비!$O$430:$O$729,예비비!$B$430:$B$729,예비비!$A202,예비비!$E$430:$E$729,"&lt;"&amp;EDATE(BQ$99,1))),0)</f>
        <v>0</v>
      </c>
      <c r="BR202">
        <f>IF(예비비!$R202="OK",SUMIFS(예비비!$O$430:$O$729,예비비!$B$430:$B$729,예비비!$A202,예비비!$E$430:$E$729,"&lt;"&amp;EDATE(BR$99,1),예비비!$F$430:$F$729,"결제대금비")+MAX(0,IF(예비비!$D202&lt;EDATE(BR$99,1),예비비!$E202,0)-SUMIFS(예비비!$O$430:$O$729,예비비!$B$430:$B$729,예비비!$A202,예비비!$E$430:$E$729,"&lt;"&amp;EDATE(BR$99,1))),0)</f>
        <v>0</v>
      </c>
      <c r="BS202">
        <f>IF(예비비!$R202="OK",SUMIFS(예비비!$O$430:$O$729,예비비!$B$430:$B$729,예비비!$A202,예비비!$E$430:$E$729,"&lt;"&amp;EDATE(BS$99,1),예비비!$F$430:$F$729,"결제대금비")+MAX(0,IF(예비비!$D202&lt;EDATE(BS$99,1),예비비!$E202,0)-SUMIFS(예비비!$O$430:$O$729,예비비!$B$430:$B$729,예비비!$A202,예비비!$E$430:$E$729,"&lt;"&amp;EDATE(BS$99,1))),0)</f>
        <v>0</v>
      </c>
      <c r="BT202">
        <f>IF(예비비!$R202="OK",SUMIFS(예비비!$O$430:$O$729,예비비!$B$430:$B$729,예비비!$A202,예비비!$E$430:$E$729,"&lt;"&amp;EDATE(BT$99,1),예비비!$F$430:$F$729,"결제대금비")+MAX(0,IF(예비비!$D202&lt;EDATE(BT$99,1),예비비!$E202,0)-SUMIFS(예비비!$O$430:$O$729,예비비!$B$430:$B$729,예비비!$A202,예비비!$E$430:$E$729,"&lt;"&amp;EDATE(BT$99,1))),0)</f>
        <v>0</v>
      </c>
      <c r="BU202">
        <f>IF(예비비!$R202="OK",SUMIFS(예비비!$O$430:$O$729,예비비!$B$430:$B$729,예비비!$A202,예비비!$E$430:$E$729,"&lt;"&amp;EDATE(BU$99,1),예비비!$F$430:$F$729,"결제대금비")+MAX(0,IF(예비비!$D202&lt;EDATE(BU$99,1),예비비!$E202,0)-SUMIFS(예비비!$O$430:$O$729,예비비!$B$430:$B$729,예비비!$A202,예비비!$E$430:$E$729,"&lt;"&amp;EDATE(BU$99,1))),0)</f>
        <v>0</v>
      </c>
    </row>
    <row r="203">
      <c r="BA203">
        <v>147</v>
      </c>
      <c r="BB203">
        <f>IFERROR(INDEX(잔액!$A:$A,BA203),0)</f>
        <v>46204.0</v>
      </c>
      <c r="BH203">
        <f>IFERROR(IF(AND(BB203&gt;0,OR(COUNTIFS(예비비!$C$430:$C$729,BA203,예비비!$N$430:$N$729,"OK")&gt;0,AND(INDEX(잔액!$J:$J,BA203)="가족통장",INDEX(잔액!$K:$K,BA203)="미래에셋_WRAP형CMA"),COUNTIF(예비비!$A$8:$A$12,INDEX(잔액!$C:$C,BA203))=1,COUNTIF(예비비!$A$8:$A$12,INDEX(잔액!$D:$D,BA203))=1),OR(AND(BB203&gt;=예비비!$B$3,BB203&lt;EDATE(예비비!$B$3,1)),AND(BB203&lt;EDATE(예비비!$B$3,1),COUNTIFS(예비비!$C$430:$C$729,BA203,예비비!$L$430:$L$729,예비비!$B$3,예비비!$N$430:$N$729,"OK")&gt;0))),MAX($BH$120:BH202)+1,0),0)</f>
        <v>0</v>
      </c>
      <c r="BI203">
        <f>IF(예비비!$R203="OK",SUMIFS(예비비!$O$430:$O$729,예비비!$B$430:$B$729,예비비!$A203,예비비!$E$430:$E$729,"&lt;"&amp;EDATE(BI$99,1),예비비!$F$430:$F$729,"결제대금비")+MAX(0,IF(예비비!$D203&lt;EDATE(BI$99,1),예비비!$E203,0)-SUMIFS(예비비!$O$430:$O$729,예비비!$B$430:$B$729,예비비!$A203,예비비!$E$430:$E$729,"&lt;"&amp;EDATE(BI$99,1))),0)</f>
        <v>0</v>
      </c>
      <c r="BJ203">
        <f>IF(예비비!$R203="OK",SUMIFS(예비비!$O$430:$O$729,예비비!$B$430:$B$729,예비비!$A203,예비비!$E$430:$E$729,"&lt;"&amp;EDATE(BJ$99,1),예비비!$F$430:$F$729,"결제대금비")+MAX(0,IF(예비비!$D203&lt;EDATE(BJ$99,1),예비비!$E203,0)-SUMIFS(예비비!$O$430:$O$729,예비비!$B$430:$B$729,예비비!$A203,예비비!$E$430:$E$729,"&lt;"&amp;EDATE(BJ$99,1))),0)</f>
        <v>0</v>
      </c>
      <c r="BK203">
        <f>IF(예비비!$R203="OK",SUMIFS(예비비!$O$430:$O$729,예비비!$B$430:$B$729,예비비!$A203,예비비!$E$430:$E$729,"&lt;"&amp;EDATE(BK$99,1),예비비!$F$430:$F$729,"결제대금비")+MAX(0,IF(예비비!$D203&lt;EDATE(BK$99,1),예비비!$E203,0)-SUMIFS(예비비!$O$430:$O$729,예비비!$B$430:$B$729,예비비!$A203,예비비!$E$430:$E$729,"&lt;"&amp;EDATE(BK$99,1))),0)</f>
        <v>0</v>
      </c>
      <c r="BL203">
        <f>IF(예비비!$R203="OK",SUMIFS(예비비!$O$430:$O$729,예비비!$B$430:$B$729,예비비!$A203,예비비!$E$430:$E$729,"&lt;"&amp;EDATE(BL$99,1),예비비!$F$430:$F$729,"결제대금비")+MAX(0,IF(예비비!$D203&lt;EDATE(BL$99,1),예비비!$E203,0)-SUMIFS(예비비!$O$430:$O$729,예비비!$B$430:$B$729,예비비!$A203,예비비!$E$430:$E$729,"&lt;"&amp;EDATE(BL$99,1))),0)</f>
        <v>0</v>
      </c>
      <c r="BM203">
        <f>IF(예비비!$R203="OK",SUMIFS(예비비!$O$430:$O$729,예비비!$B$430:$B$729,예비비!$A203,예비비!$E$430:$E$729,"&lt;"&amp;EDATE(BM$99,1),예비비!$F$430:$F$729,"결제대금비")+MAX(0,IF(예비비!$D203&lt;EDATE(BM$99,1),예비비!$E203,0)-SUMIFS(예비비!$O$430:$O$729,예비비!$B$430:$B$729,예비비!$A203,예비비!$E$430:$E$729,"&lt;"&amp;EDATE(BM$99,1))),0)</f>
        <v>0</v>
      </c>
      <c r="BN203">
        <f>IF(예비비!$R203="OK",SUMIFS(예비비!$O$430:$O$729,예비비!$B$430:$B$729,예비비!$A203,예비비!$E$430:$E$729,"&lt;"&amp;EDATE(BN$99,1),예비비!$F$430:$F$729,"결제대금비")+MAX(0,IF(예비비!$D203&lt;EDATE(BN$99,1),예비비!$E203,0)-SUMIFS(예비비!$O$430:$O$729,예비비!$B$430:$B$729,예비비!$A203,예비비!$E$430:$E$729,"&lt;"&amp;EDATE(BN$99,1))),0)</f>
        <v>0</v>
      </c>
      <c r="BO203">
        <f>IF(예비비!$R203="OK",SUMIFS(예비비!$O$430:$O$729,예비비!$B$430:$B$729,예비비!$A203,예비비!$E$430:$E$729,"&lt;"&amp;EDATE(BO$99,1),예비비!$F$430:$F$729,"결제대금비")+MAX(0,IF(예비비!$D203&lt;EDATE(BO$99,1),예비비!$E203,0)-SUMIFS(예비비!$O$430:$O$729,예비비!$B$430:$B$729,예비비!$A203,예비비!$E$430:$E$729,"&lt;"&amp;EDATE(BO$99,1))),0)</f>
        <v>0</v>
      </c>
      <c r="BP203">
        <f>IF(예비비!$R203="OK",SUMIFS(예비비!$O$430:$O$729,예비비!$B$430:$B$729,예비비!$A203,예비비!$E$430:$E$729,"&lt;"&amp;EDATE(BP$99,1),예비비!$F$430:$F$729,"결제대금비")+MAX(0,IF(예비비!$D203&lt;EDATE(BP$99,1),예비비!$E203,0)-SUMIFS(예비비!$O$430:$O$729,예비비!$B$430:$B$729,예비비!$A203,예비비!$E$430:$E$729,"&lt;"&amp;EDATE(BP$99,1))),0)</f>
        <v>0</v>
      </c>
      <c r="BQ203">
        <f>IF(예비비!$R203="OK",SUMIFS(예비비!$O$430:$O$729,예비비!$B$430:$B$729,예비비!$A203,예비비!$E$430:$E$729,"&lt;"&amp;EDATE(BQ$99,1),예비비!$F$430:$F$729,"결제대금비")+MAX(0,IF(예비비!$D203&lt;EDATE(BQ$99,1),예비비!$E203,0)-SUMIFS(예비비!$O$430:$O$729,예비비!$B$430:$B$729,예비비!$A203,예비비!$E$430:$E$729,"&lt;"&amp;EDATE(BQ$99,1))),0)</f>
        <v>0</v>
      </c>
      <c r="BR203">
        <f>IF(예비비!$R203="OK",SUMIFS(예비비!$O$430:$O$729,예비비!$B$430:$B$729,예비비!$A203,예비비!$E$430:$E$729,"&lt;"&amp;EDATE(BR$99,1),예비비!$F$430:$F$729,"결제대금비")+MAX(0,IF(예비비!$D203&lt;EDATE(BR$99,1),예비비!$E203,0)-SUMIFS(예비비!$O$430:$O$729,예비비!$B$430:$B$729,예비비!$A203,예비비!$E$430:$E$729,"&lt;"&amp;EDATE(BR$99,1))),0)</f>
        <v>0</v>
      </c>
      <c r="BS203">
        <f>IF(예비비!$R203="OK",SUMIFS(예비비!$O$430:$O$729,예비비!$B$430:$B$729,예비비!$A203,예비비!$E$430:$E$729,"&lt;"&amp;EDATE(BS$99,1),예비비!$F$430:$F$729,"결제대금비")+MAX(0,IF(예비비!$D203&lt;EDATE(BS$99,1),예비비!$E203,0)-SUMIFS(예비비!$O$430:$O$729,예비비!$B$430:$B$729,예비비!$A203,예비비!$E$430:$E$729,"&lt;"&amp;EDATE(BS$99,1))),0)</f>
        <v>0</v>
      </c>
      <c r="BT203">
        <f>IF(예비비!$R203="OK",SUMIFS(예비비!$O$430:$O$729,예비비!$B$430:$B$729,예비비!$A203,예비비!$E$430:$E$729,"&lt;"&amp;EDATE(BT$99,1),예비비!$F$430:$F$729,"결제대금비")+MAX(0,IF(예비비!$D203&lt;EDATE(BT$99,1),예비비!$E203,0)-SUMIFS(예비비!$O$430:$O$729,예비비!$B$430:$B$729,예비비!$A203,예비비!$E$430:$E$729,"&lt;"&amp;EDATE(BT$99,1))),0)</f>
        <v>0</v>
      </c>
      <c r="BU203">
        <f>IF(예비비!$R203="OK",SUMIFS(예비비!$O$430:$O$729,예비비!$B$430:$B$729,예비비!$A203,예비비!$E$430:$E$729,"&lt;"&amp;EDATE(BU$99,1),예비비!$F$430:$F$729,"결제대금비")+MAX(0,IF(예비비!$D203&lt;EDATE(BU$99,1),예비비!$E203,0)-SUMIFS(예비비!$O$430:$O$729,예비비!$B$430:$B$729,예비비!$A203,예비비!$E$430:$E$729,"&lt;"&amp;EDATE(BU$99,1))),0)</f>
        <v>0</v>
      </c>
    </row>
    <row r="204">
      <c r="BA204">
        <v>148</v>
      </c>
      <c r="BB204">
        <f>IFERROR(INDEX(잔액!$A:$A,BA204),0)</f>
        <v>46204.0</v>
      </c>
      <c r="BH204">
        <f>IFERROR(IF(AND(BB204&gt;0,OR(COUNTIFS(예비비!$C$430:$C$729,BA204,예비비!$N$430:$N$729,"OK")&gt;0,AND(INDEX(잔액!$J:$J,BA204)="가족통장",INDEX(잔액!$K:$K,BA204)="미래에셋_WRAP형CMA"),COUNTIF(예비비!$A$8:$A$12,INDEX(잔액!$C:$C,BA204))=1,COUNTIF(예비비!$A$8:$A$12,INDEX(잔액!$D:$D,BA204))=1),OR(AND(BB204&gt;=예비비!$B$3,BB204&lt;EDATE(예비비!$B$3,1)),AND(BB204&lt;EDATE(예비비!$B$3,1),COUNTIFS(예비비!$C$430:$C$729,BA204,예비비!$L$430:$L$729,예비비!$B$3,예비비!$N$430:$N$729,"OK")&gt;0))),MAX($BH$120:BH203)+1,0),0)</f>
        <v>0</v>
      </c>
      <c r="BI204">
        <f>IF(예비비!$R204="OK",SUMIFS(예비비!$O$430:$O$729,예비비!$B$430:$B$729,예비비!$A204,예비비!$E$430:$E$729,"&lt;"&amp;EDATE(BI$99,1),예비비!$F$430:$F$729,"결제대금비")+MAX(0,IF(예비비!$D204&lt;EDATE(BI$99,1),예비비!$E204,0)-SUMIFS(예비비!$O$430:$O$729,예비비!$B$430:$B$729,예비비!$A204,예비비!$E$430:$E$729,"&lt;"&amp;EDATE(BI$99,1))),0)</f>
        <v>0</v>
      </c>
      <c r="BJ204">
        <f>IF(예비비!$R204="OK",SUMIFS(예비비!$O$430:$O$729,예비비!$B$430:$B$729,예비비!$A204,예비비!$E$430:$E$729,"&lt;"&amp;EDATE(BJ$99,1),예비비!$F$430:$F$729,"결제대금비")+MAX(0,IF(예비비!$D204&lt;EDATE(BJ$99,1),예비비!$E204,0)-SUMIFS(예비비!$O$430:$O$729,예비비!$B$430:$B$729,예비비!$A204,예비비!$E$430:$E$729,"&lt;"&amp;EDATE(BJ$99,1))),0)</f>
        <v>0</v>
      </c>
      <c r="BK204">
        <f>IF(예비비!$R204="OK",SUMIFS(예비비!$O$430:$O$729,예비비!$B$430:$B$729,예비비!$A204,예비비!$E$430:$E$729,"&lt;"&amp;EDATE(BK$99,1),예비비!$F$430:$F$729,"결제대금비")+MAX(0,IF(예비비!$D204&lt;EDATE(BK$99,1),예비비!$E204,0)-SUMIFS(예비비!$O$430:$O$729,예비비!$B$430:$B$729,예비비!$A204,예비비!$E$430:$E$729,"&lt;"&amp;EDATE(BK$99,1))),0)</f>
        <v>0</v>
      </c>
      <c r="BL204">
        <f>IF(예비비!$R204="OK",SUMIFS(예비비!$O$430:$O$729,예비비!$B$430:$B$729,예비비!$A204,예비비!$E$430:$E$729,"&lt;"&amp;EDATE(BL$99,1),예비비!$F$430:$F$729,"결제대금비")+MAX(0,IF(예비비!$D204&lt;EDATE(BL$99,1),예비비!$E204,0)-SUMIFS(예비비!$O$430:$O$729,예비비!$B$430:$B$729,예비비!$A204,예비비!$E$430:$E$729,"&lt;"&amp;EDATE(BL$99,1))),0)</f>
        <v>0</v>
      </c>
      <c r="BM204">
        <f>IF(예비비!$R204="OK",SUMIFS(예비비!$O$430:$O$729,예비비!$B$430:$B$729,예비비!$A204,예비비!$E$430:$E$729,"&lt;"&amp;EDATE(BM$99,1),예비비!$F$430:$F$729,"결제대금비")+MAX(0,IF(예비비!$D204&lt;EDATE(BM$99,1),예비비!$E204,0)-SUMIFS(예비비!$O$430:$O$729,예비비!$B$430:$B$729,예비비!$A204,예비비!$E$430:$E$729,"&lt;"&amp;EDATE(BM$99,1))),0)</f>
        <v>0</v>
      </c>
      <c r="BN204">
        <f>IF(예비비!$R204="OK",SUMIFS(예비비!$O$430:$O$729,예비비!$B$430:$B$729,예비비!$A204,예비비!$E$430:$E$729,"&lt;"&amp;EDATE(BN$99,1),예비비!$F$430:$F$729,"결제대금비")+MAX(0,IF(예비비!$D204&lt;EDATE(BN$99,1),예비비!$E204,0)-SUMIFS(예비비!$O$430:$O$729,예비비!$B$430:$B$729,예비비!$A204,예비비!$E$430:$E$729,"&lt;"&amp;EDATE(BN$99,1))),0)</f>
        <v>0</v>
      </c>
      <c r="BO204">
        <f>IF(예비비!$R204="OK",SUMIFS(예비비!$O$430:$O$729,예비비!$B$430:$B$729,예비비!$A204,예비비!$E$430:$E$729,"&lt;"&amp;EDATE(BO$99,1),예비비!$F$430:$F$729,"결제대금비")+MAX(0,IF(예비비!$D204&lt;EDATE(BO$99,1),예비비!$E204,0)-SUMIFS(예비비!$O$430:$O$729,예비비!$B$430:$B$729,예비비!$A204,예비비!$E$430:$E$729,"&lt;"&amp;EDATE(BO$99,1))),0)</f>
        <v>0</v>
      </c>
      <c r="BP204">
        <f>IF(예비비!$R204="OK",SUMIFS(예비비!$O$430:$O$729,예비비!$B$430:$B$729,예비비!$A204,예비비!$E$430:$E$729,"&lt;"&amp;EDATE(BP$99,1),예비비!$F$430:$F$729,"결제대금비")+MAX(0,IF(예비비!$D204&lt;EDATE(BP$99,1),예비비!$E204,0)-SUMIFS(예비비!$O$430:$O$729,예비비!$B$430:$B$729,예비비!$A204,예비비!$E$430:$E$729,"&lt;"&amp;EDATE(BP$99,1))),0)</f>
        <v>0</v>
      </c>
      <c r="BQ204">
        <f>IF(예비비!$R204="OK",SUMIFS(예비비!$O$430:$O$729,예비비!$B$430:$B$729,예비비!$A204,예비비!$E$430:$E$729,"&lt;"&amp;EDATE(BQ$99,1),예비비!$F$430:$F$729,"결제대금비")+MAX(0,IF(예비비!$D204&lt;EDATE(BQ$99,1),예비비!$E204,0)-SUMIFS(예비비!$O$430:$O$729,예비비!$B$430:$B$729,예비비!$A204,예비비!$E$430:$E$729,"&lt;"&amp;EDATE(BQ$99,1))),0)</f>
        <v>0</v>
      </c>
      <c r="BR204">
        <f>IF(예비비!$R204="OK",SUMIFS(예비비!$O$430:$O$729,예비비!$B$430:$B$729,예비비!$A204,예비비!$E$430:$E$729,"&lt;"&amp;EDATE(BR$99,1),예비비!$F$430:$F$729,"결제대금비")+MAX(0,IF(예비비!$D204&lt;EDATE(BR$99,1),예비비!$E204,0)-SUMIFS(예비비!$O$430:$O$729,예비비!$B$430:$B$729,예비비!$A204,예비비!$E$430:$E$729,"&lt;"&amp;EDATE(BR$99,1))),0)</f>
        <v>0</v>
      </c>
      <c r="BS204">
        <f>IF(예비비!$R204="OK",SUMIFS(예비비!$O$430:$O$729,예비비!$B$430:$B$729,예비비!$A204,예비비!$E$430:$E$729,"&lt;"&amp;EDATE(BS$99,1),예비비!$F$430:$F$729,"결제대금비")+MAX(0,IF(예비비!$D204&lt;EDATE(BS$99,1),예비비!$E204,0)-SUMIFS(예비비!$O$430:$O$729,예비비!$B$430:$B$729,예비비!$A204,예비비!$E$430:$E$729,"&lt;"&amp;EDATE(BS$99,1))),0)</f>
        <v>0</v>
      </c>
      <c r="BT204">
        <f>IF(예비비!$R204="OK",SUMIFS(예비비!$O$430:$O$729,예비비!$B$430:$B$729,예비비!$A204,예비비!$E$430:$E$729,"&lt;"&amp;EDATE(BT$99,1),예비비!$F$430:$F$729,"결제대금비")+MAX(0,IF(예비비!$D204&lt;EDATE(BT$99,1),예비비!$E204,0)-SUMIFS(예비비!$O$430:$O$729,예비비!$B$430:$B$729,예비비!$A204,예비비!$E$430:$E$729,"&lt;"&amp;EDATE(BT$99,1))),0)</f>
        <v>0</v>
      </c>
      <c r="BU204">
        <f>IF(예비비!$R204="OK",SUMIFS(예비비!$O$430:$O$729,예비비!$B$430:$B$729,예비비!$A204,예비비!$E$430:$E$729,"&lt;"&amp;EDATE(BU$99,1),예비비!$F$430:$F$729,"결제대금비")+MAX(0,IF(예비비!$D204&lt;EDATE(BU$99,1),예비비!$E204,0)-SUMIFS(예비비!$O$430:$O$729,예비비!$B$430:$B$729,예비비!$A204,예비비!$E$430:$E$729,"&lt;"&amp;EDATE(BU$99,1))),0)</f>
        <v>0</v>
      </c>
    </row>
    <row r="205">
      <c r="BA205">
        <v>149</v>
      </c>
      <c r="BB205">
        <f>IFERROR(INDEX(잔액!$A:$A,BA205),0)</f>
        <v>46204.0</v>
      </c>
      <c r="BH205">
        <f>IFERROR(IF(AND(BB205&gt;0,OR(COUNTIFS(예비비!$C$430:$C$729,BA205,예비비!$N$430:$N$729,"OK")&gt;0,AND(INDEX(잔액!$J:$J,BA205)="가족통장",INDEX(잔액!$K:$K,BA205)="미래에셋_WRAP형CMA"),COUNTIF(예비비!$A$8:$A$12,INDEX(잔액!$C:$C,BA205))=1,COUNTIF(예비비!$A$8:$A$12,INDEX(잔액!$D:$D,BA205))=1),OR(AND(BB205&gt;=예비비!$B$3,BB205&lt;EDATE(예비비!$B$3,1)),AND(BB205&lt;EDATE(예비비!$B$3,1),COUNTIFS(예비비!$C$430:$C$729,BA205,예비비!$L$430:$L$729,예비비!$B$3,예비비!$N$430:$N$729,"OK")&gt;0))),MAX($BH$120:BH204)+1,0),0)</f>
        <v>0</v>
      </c>
      <c r="BI205">
        <f>IF(예비비!$R205="OK",SUMIFS(예비비!$O$430:$O$729,예비비!$B$430:$B$729,예비비!$A205,예비비!$E$430:$E$729,"&lt;"&amp;EDATE(BI$99,1),예비비!$F$430:$F$729,"결제대금비")+MAX(0,IF(예비비!$D205&lt;EDATE(BI$99,1),예비비!$E205,0)-SUMIFS(예비비!$O$430:$O$729,예비비!$B$430:$B$729,예비비!$A205,예비비!$E$430:$E$729,"&lt;"&amp;EDATE(BI$99,1))),0)</f>
        <v>0</v>
      </c>
      <c r="BJ205">
        <f>IF(예비비!$R205="OK",SUMIFS(예비비!$O$430:$O$729,예비비!$B$430:$B$729,예비비!$A205,예비비!$E$430:$E$729,"&lt;"&amp;EDATE(BJ$99,1),예비비!$F$430:$F$729,"결제대금비")+MAX(0,IF(예비비!$D205&lt;EDATE(BJ$99,1),예비비!$E205,0)-SUMIFS(예비비!$O$430:$O$729,예비비!$B$430:$B$729,예비비!$A205,예비비!$E$430:$E$729,"&lt;"&amp;EDATE(BJ$99,1))),0)</f>
        <v>0</v>
      </c>
      <c r="BK205">
        <f>IF(예비비!$R205="OK",SUMIFS(예비비!$O$430:$O$729,예비비!$B$430:$B$729,예비비!$A205,예비비!$E$430:$E$729,"&lt;"&amp;EDATE(BK$99,1),예비비!$F$430:$F$729,"결제대금비")+MAX(0,IF(예비비!$D205&lt;EDATE(BK$99,1),예비비!$E205,0)-SUMIFS(예비비!$O$430:$O$729,예비비!$B$430:$B$729,예비비!$A205,예비비!$E$430:$E$729,"&lt;"&amp;EDATE(BK$99,1))),0)</f>
        <v>0</v>
      </c>
      <c r="BL205">
        <f>IF(예비비!$R205="OK",SUMIFS(예비비!$O$430:$O$729,예비비!$B$430:$B$729,예비비!$A205,예비비!$E$430:$E$729,"&lt;"&amp;EDATE(BL$99,1),예비비!$F$430:$F$729,"결제대금비")+MAX(0,IF(예비비!$D205&lt;EDATE(BL$99,1),예비비!$E205,0)-SUMIFS(예비비!$O$430:$O$729,예비비!$B$430:$B$729,예비비!$A205,예비비!$E$430:$E$729,"&lt;"&amp;EDATE(BL$99,1))),0)</f>
        <v>0</v>
      </c>
      <c r="BM205">
        <f>IF(예비비!$R205="OK",SUMIFS(예비비!$O$430:$O$729,예비비!$B$430:$B$729,예비비!$A205,예비비!$E$430:$E$729,"&lt;"&amp;EDATE(BM$99,1),예비비!$F$430:$F$729,"결제대금비")+MAX(0,IF(예비비!$D205&lt;EDATE(BM$99,1),예비비!$E205,0)-SUMIFS(예비비!$O$430:$O$729,예비비!$B$430:$B$729,예비비!$A205,예비비!$E$430:$E$729,"&lt;"&amp;EDATE(BM$99,1))),0)</f>
        <v>0</v>
      </c>
      <c r="BN205">
        <f>IF(예비비!$R205="OK",SUMIFS(예비비!$O$430:$O$729,예비비!$B$430:$B$729,예비비!$A205,예비비!$E$430:$E$729,"&lt;"&amp;EDATE(BN$99,1),예비비!$F$430:$F$729,"결제대금비")+MAX(0,IF(예비비!$D205&lt;EDATE(BN$99,1),예비비!$E205,0)-SUMIFS(예비비!$O$430:$O$729,예비비!$B$430:$B$729,예비비!$A205,예비비!$E$430:$E$729,"&lt;"&amp;EDATE(BN$99,1))),0)</f>
        <v>0</v>
      </c>
      <c r="BO205">
        <f>IF(예비비!$R205="OK",SUMIFS(예비비!$O$430:$O$729,예비비!$B$430:$B$729,예비비!$A205,예비비!$E$430:$E$729,"&lt;"&amp;EDATE(BO$99,1),예비비!$F$430:$F$729,"결제대금비")+MAX(0,IF(예비비!$D205&lt;EDATE(BO$99,1),예비비!$E205,0)-SUMIFS(예비비!$O$430:$O$729,예비비!$B$430:$B$729,예비비!$A205,예비비!$E$430:$E$729,"&lt;"&amp;EDATE(BO$99,1))),0)</f>
        <v>0</v>
      </c>
      <c r="BP205">
        <f>IF(예비비!$R205="OK",SUMIFS(예비비!$O$430:$O$729,예비비!$B$430:$B$729,예비비!$A205,예비비!$E$430:$E$729,"&lt;"&amp;EDATE(BP$99,1),예비비!$F$430:$F$729,"결제대금비")+MAX(0,IF(예비비!$D205&lt;EDATE(BP$99,1),예비비!$E205,0)-SUMIFS(예비비!$O$430:$O$729,예비비!$B$430:$B$729,예비비!$A205,예비비!$E$430:$E$729,"&lt;"&amp;EDATE(BP$99,1))),0)</f>
        <v>0</v>
      </c>
      <c r="BQ205">
        <f>IF(예비비!$R205="OK",SUMIFS(예비비!$O$430:$O$729,예비비!$B$430:$B$729,예비비!$A205,예비비!$E$430:$E$729,"&lt;"&amp;EDATE(BQ$99,1),예비비!$F$430:$F$729,"결제대금비")+MAX(0,IF(예비비!$D205&lt;EDATE(BQ$99,1),예비비!$E205,0)-SUMIFS(예비비!$O$430:$O$729,예비비!$B$430:$B$729,예비비!$A205,예비비!$E$430:$E$729,"&lt;"&amp;EDATE(BQ$99,1))),0)</f>
        <v>0</v>
      </c>
      <c r="BR205">
        <f>IF(예비비!$R205="OK",SUMIFS(예비비!$O$430:$O$729,예비비!$B$430:$B$729,예비비!$A205,예비비!$E$430:$E$729,"&lt;"&amp;EDATE(BR$99,1),예비비!$F$430:$F$729,"결제대금비")+MAX(0,IF(예비비!$D205&lt;EDATE(BR$99,1),예비비!$E205,0)-SUMIFS(예비비!$O$430:$O$729,예비비!$B$430:$B$729,예비비!$A205,예비비!$E$430:$E$729,"&lt;"&amp;EDATE(BR$99,1))),0)</f>
        <v>0</v>
      </c>
      <c r="BS205">
        <f>IF(예비비!$R205="OK",SUMIFS(예비비!$O$430:$O$729,예비비!$B$430:$B$729,예비비!$A205,예비비!$E$430:$E$729,"&lt;"&amp;EDATE(BS$99,1),예비비!$F$430:$F$729,"결제대금비")+MAX(0,IF(예비비!$D205&lt;EDATE(BS$99,1),예비비!$E205,0)-SUMIFS(예비비!$O$430:$O$729,예비비!$B$430:$B$729,예비비!$A205,예비비!$E$430:$E$729,"&lt;"&amp;EDATE(BS$99,1))),0)</f>
        <v>0</v>
      </c>
      <c r="BT205">
        <f>IF(예비비!$R205="OK",SUMIFS(예비비!$O$430:$O$729,예비비!$B$430:$B$729,예비비!$A205,예비비!$E$430:$E$729,"&lt;"&amp;EDATE(BT$99,1),예비비!$F$430:$F$729,"결제대금비")+MAX(0,IF(예비비!$D205&lt;EDATE(BT$99,1),예비비!$E205,0)-SUMIFS(예비비!$O$430:$O$729,예비비!$B$430:$B$729,예비비!$A205,예비비!$E$430:$E$729,"&lt;"&amp;EDATE(BT$99,1))),0)</f>
        <v>0</v>
      </c>
      <c r="BU205">
        <f>IF(예비비!$R205="OK",SUMIFS(예비비!$O$430:$O$729,예비비!$B$430:$B$729,예비비!$A205,예비비!$E$430:$E$729,"&lt;"&amp;EDATE(BU$99,1),예비비!$F$430:$F$729,"결제대금비")+MAX(0,IF(예비비!$D205&lt;EDATE(BU$99,1),예비비!$E205,0)-SUMIFS(예비비!$O$430:$O$729,예비비!$B$430:$B$729,예비비!$A205,예비비!$E$430:$E$729,"&lt;"&amp;EDATE(BU$99,1))),0)</f>
        <v>0</v>
      </c>
    </row>
    <row r="206">
      <c r="BA206">
        <v>150</v>
      </c>
      <c r="BB206">
        <f>IFERROR(INDEX(잔액!$A:$A,BA206),0)</f>
        <v>46204.0</v>
      </c>
      <c r="BH206">
        <f>IFERROR(IF(AND(BB206&gt;0,OR(COUNTIFS(예비비!$C$430:$C$729,BA206,예비비!$N$430:$N$729,"OK")&gt;0,AND(INDEX(잔액!$J:$J,BA206)="가족통장",INDEX(잔액!$K:$K,BA206)="미래에셋_WRAP형CMA"),COUNTIF(예비비!$A$8:$A$12,INDEX(잔액!$C:$C,BA206))=1,COUNTIF(예비비!$A$8:$A$12,INDEX(잔액!$D:$D,BA206))=1),OR(AND(BB206&gt;=예비비!$B$3,BB206&lt;EDATE(예비비!$B$3,1)),AND(BB206&lt;EDATE(예비비!$B$3,1),COUNTIFS(예비비!$C$430:$C$729,BA206,예비비!$L$430:$L$729,예비비!$B$3,예비비!$N$430:$N$729,"OK")&gt;0))),MAX($BH$120:BH205)+1,0),0)</f>
        <v>0</v>
      </c>
      <c r="BI206">
        <f>IF(예비비!$R206="OK",SUMIFS(예비비!$O$430:$O$729,예비비!$B$430:$B$729,예비비!$A206,예비비!$E$430:$E$729,"&lt;"&amp;EDATE(BI$99,1),예비비!$F$430:$F$729,"결제대금비")+MAX(0,IF(예비비!$D206&lt;EDATE(BI$99,1),예비비!$E206,0)-SUMIFS(예비비!$O$430:$O$729,예비비!$B$430:$B$729,예비비!$A206,예비비!$E$430:$E$729,"&lt;"&amp;EDATE(BI$99,1))),0)</f>
        <v>0</v>
      </c>
      <c r="BJ206">
        <f>IF(예비비!$R206="OK",SUMIFS(예비비!$O$430:$O$729,예비비!$B$430:$B$729,예비비!$A206,예비비!$E$430:$E$729,"&lt;"&amp;EDATE(BJ$99,1),예비비!$F$430:$F$729,"결제대금비")+MAX(0,IF(예비비!$D206&lt;EDATE(BJ$99,1),예비비!$E206,0)-SUMIFS(예비비!$O$430:$O$729,예비비!$B$430:$B$729,예비비!$A206,예비비!$E$430:$E$729,"&lt;"&amp;EDATE(BJ$99,1))),0)</f>
        <v>0</v>
      </c>
      <c r="BK206">
        <f>IF(예비비!$R206="OK",SUMIFS(예비비!$O$430:$O$729,예비비!$B$430:$B$729,예비비!$A206,예비비!$E$430:$E$729,"&lt;"&amp;EDATE(BK$99,1),예비비!$F$430:$F$729,"결제대금비")+MAX(0,IF(예비비!$D206&lt;EDATE(BK$99,1),예비비!$E206,0)-SUMIFS(예비비!$O$430:$O$729,예비비!$B$430:$B$729,예비비!$A206,예비비!$E$430:$E$729,"&lt;"&amp;EDATE(BK$99,1))),0)</f>
        <v>0</v>
      </c>
      <c r="BL206">
        <f>IF(예비비!$R206="OK",SUMIFS(예비비!$O$430:$O$729,예비비!$B$430:$B$729,예비비!$A206,예비비!$E$430:$E$729,"&lt;"&amp;EDATE(BL$99,1),예비비!$F$430:$F$729,"결제대금비")+MAX(0,IF(예비비!$D206&lt;EDATE(BL$99,1),예비비!$E206,0)-SUMIFS(예비비!$O$430:$O$729,예비비!$B$430:$B$729,예비비!$A206,예비비!$E$430:$E$729,"&lt;"&amp;EDATE(BL$99,1))),0)</f>
        <v>0</v>
      </c>
      <c r="BM206">
        <f>IF(예비비!$R206="OK",SUMIFS(예비비!$O$430:$O$729,예비비!$B$430:$B$729,예비비!$A206,예비비!$E$430:$E$729,"&lt;"&amp;EDATE(BM$99,1),예비비!$F$430:$F$729,"결제대금비")+MAX(0,IF(예비비!$D206&lt;EDATE(BM$99,1),예비비!$E206,0)-SUMIFS(예비비!$O$430:$O$729,예비비!$B$430:$B$729,예비비!$A206,예비비!$E$430:$E$729,"&lt;"&amp;EDATE(BM$99,1))),0)</f>
        <v>0</v>
      </c>
      <c r="BN206">
        <f>IF(예비비!$R206="OK",SUMIFS(예비비!$O$430:$O$729,예비비!$B$430:$B$729,예비비!$A206,예비비!$E$430:$E$729,"&lt;"&amp;EDATE(BN$99,1),예비비!$F$430:$F$729,"결제대금비")+MAX(0,IF(예비비!$D206&lt;EDATE(BN$99,1),예비비!$E206,0)-SUMIFS(예비비!$O$430:$O$729,예비비!$B$430:$B$729,예비비!$A206,예비비!$E$430:$E$729,"&lt;"&amp;EDATE(BN$99,1))),0)</f>
        <v>0</v>
      </c>
      <c r="BO206">
        <f>IF(예비비!$R206="OK",SUMIFS(예비비!$O$430:$O$729,예비비!$B$430:$B$729,예비비!$A206,예비비!$E$430:$E$729,"&lt;"&amp;EDATE(BO$99,1),예비비!$F$430:$F$729,"결제대금비")+MAX(0,IF(예비비!$D206&lt;EDATE(BO$99,1),예비비!$E206,0)-SUMIFS(예비비!$O$430:$O$729,예비비!$B$430:$B$729,예비비!$A206,예비비!$E$430:$E$729,"&lt;"&amp;EDATE(BO$99,1))),0)</f>
        <v>0</v>
      </c>
      <c r="BP206">
        <f>IF(예비비!$R206="OK",SUMIFS(예비비!$O$430:$O$729,예비비!$B$430:$B$729,예비비!$A206,예비비!$E$430:$E$729,"&lt;"&amp;EDATE(BP$99,1),예비비!$F$430:$F$729,"결제대금비")+MAX(0,IF(예비비!$D206&lt;EDATE(BP$99,1),예비비!$E206,0)-SUMIFS(예비비!$O$430:$O$729,예비비!$B$430:$B$729,예비비!$A206,예비비!$E$430:$E$729,"&lt;"&amp;EDATE(BP$99,1))),0)</f>
        <v>0</v>
      </c>
      <c r="BQ206">
        <f>IF(예비비!$R206="OK",SUMIFS(예비비!$O$430:$O$729,예비비!$B$430:$B$729,예비비!$A206,예비비!$E$430:$E$729,"&lt;"&amp;EDATE(BQ$99,1),예비비!$F$430:$F$729,"결제대금비")+MAX(0,IF(예비비!$D206&lt;EDATE(BQ$99,1),예비비!$E206,0)-SUMIFS(예비비!$O$430:$O$729,예비비!$B$430:$B$729,예비비!$A206,예비비!$E$430:$E$729,"&lt;"&amp;EDATE(BQ$99,1))),0)</f>
        <v>0</v>
      </c>
      <c r="BR206">
        <f>IF(예비비!$R206="OK",SUMIFS(예비비!$O$430:$O$729,예비비!$B$430:$B$729,예비비!$A206,예비비!$E$430:$E$729,"&lt;"&amp;EDATE(BR$99,1),예비비!$F$430:$F$729,"결제대금비")+MAX(0,IF(예비비!$D206&lt;EDATE(BR$99,1),예비비!$E206,0)-SUMIFS(예비비!$O$430:$O$729,예비비!$B$430:$B$729,예비비!$A206,예비비!$E$430:$E$729,"&lt;"&amp;EDATE(BR$99,1))),0)</f>
        <v>0</v>
      </c>
      <c r="BS206">
        <f>IF(예비비!$R206="OK",SUMIFS(예비비!$O$430:$O$729,예비비!$B$430:$B$729,예비비!$A206,예비비!$E$430:$E$729,"&lt;"&amp;EDATE(BS$99,1),예비비!$F$430:$F$729,"결제대금비")+MAX(0,IF(예비비!$D206&lt;EDATE(BS$99,1),예비비!$E206,0)-SUMIFS(예비비!$O$430:$O$729,예비비!$B$430:$B$729,예비비!$A206,예비비!$E$430:$E$729,"&lt;"&amp;EDATE(BS$99,1))),0)</f>
        <v>0</v>
      </c>
      <c r="BT206">
        <f>IF(예비비!$R206="OK",SUMIFS(예비비!$O$430:$O$729,예비비!$B$430:$B$729,예비비!$A206,예비비!$E$430:$E$729,"&lt;"&amp;EDATE(BT$99,1),예비비!$F$430:$F$729,"결제대금비")+MAX(0,IF(예비비!$D206&lt;EDATE(BT$99,1),예비비!$E206,0)-SUMIFS(예비비!$O$430:$O$729,예비비!$B$430:$B$729,예비비!$A206,예비비!$E$430:$E$729,"&lt;"&amp;EDATE(BT$99,1))),0)</f>
        <v>0</v>
      </c>
      <c r="BU206">
        <f>IF(예비비!$R206="OK",SUMIFS(예비비!$O$430:$O$729,예비비!$B$430:$B$729,예비비!$A206,예비비!$E$430:$E$729,"&lt;"&amp;EDATE(BU$99,1),예비비!$F$430:$F$729,"결제대금비")+MAX(0,IF(예비비!$D206&lt;EDATE(BU$99,1),예비비!$E206,0)-SUMIFS(예비비!$O$430:$O$729,예비비!$B$430:$B$729,예비비!$A206,예비비!$E$430:$E$729,"&lt;"&amp;EDATE(BU$99,1))),0)</f>
        <v>0</v>
      </c>
    </row>
    <row r="207">
      <c r="BA207">
        <v>151</v>
      </c>
      <c r="BB207">
        <f>IFERROR(INDEX(잔액!$A:$A,BA207),0)</f>
        <v>46204.0</v>
      </c>
      <c r="BH207">
        <f>IFERROR(IF(AND(BB207&gt;0,OR(COUNTIFS(예비비!$C$430:$C$729,BA207,예비비!$N$430:$N$729,"OK")&gt;0,AND(INDEX(잔액!$J:$J,BA207)="가족통장",INDEX(잔액!$K:$K,BA207)="미래에셋_WRAP형CMA"),COUNTIF(예비비!$A$8:$A$12,INDEX(잔액!$C:$C,BA207))=1,COUNTIF(예비비!$A$8:$A$12,INDEX(잔액!$D:$D,BA207))=1),OR(AND(BB207&gt;=예비비!$B$3,BB207&lt;EDATE(예비비!$B$3,1)),AND(BB207&lt;EDATE(예비비!$B$3,1),COUNTIFS(예비비!$C$430:$C$729,BA207,예비비!$L$430:$L$729,예비비!$B$3,예비비!$N$430:$N$729,"OK")&gt;0))),MAX($BH$120:BH206)+1,0),0)</f>
        <v>0</v>
      </c>
      <c r="BI207">
        <f>IF(예비비!$R207="OK",SUMIFS(예비비!$O$430:$O$729,예비비!$B$430:$B$729,예비비!$A207,예비비!$E$430:$E$729,"&lt;"&amp;EDATE(BI$99,1),예비비!$F$430:$F$729,"결제대금비")+MAX(0,IF(예비비!$D207&lt;EDATE(BI$99,1),예비비!$E207,0)-SUMIFS(예비비!$O$430:$O$729,예비비!$B$430:$B$729,예비비!$A207,예비비!$E$430:$E$729,"&lt;"&amp;EDATE(BI$99,1))),0)</f>
        <v>0</v>
      </c>
      <c r="BJ207">
        <f>IF(예비비!$R207="OK",SUMIFS(예비비!$O$430:$O$729,예비비!$B$430:$B$729,예비비!$A207,예비비!$E$430:$E$729,"&lt;"&amp;EDATE(BJ$99,1),예비비!$F$430:$F$729,"결제대금비")+MAX(0,IF(예비비!$D207&lt;EDATE(BJ$99,1),예비비!$E207,0)-SUMIFS(예비비!$O$430:$O$729,예비비!$B$430:$B$729,예비비!$A207,예비비!$E$430:$E$729,"&lt;"&amp;EDATE(BJ$99,1))),0)</f>
        <v>0</v>
      </c>
      <c r="BK207">
        <f>IF(예비비!$R207="OK",SUMIFS(예비비!$O$430:$O$729,예비비!$B$430:$B$729,예비비!$A207,예비비!$E$430:$E$729,"&lt;"&amp;EDATE(BK$99,1),예비비!$F$430:$F$729,"결제대금비")+MAX(0,IF(예비비!$D207&lt;EDATE(BK$99,1),예비비!$E207,0)-SUMIFS(예비비!$O$430:$O$729,예비비!$B$430:$B$729,예비비!$A207,예비비!$E$430:$E$729,"&lt;"&amp;EDATE(BK$99,1))),0)</f>
        <v>0</v>
      </c>
      <c r="BL207">
        <f>IF(예비비!$R207="OK",SUMIFS(예비비!$O$430:$O$729,예비비!$B$430:$B$729,예비비!$A207,예비비!$E$430:$E$729,"&lt;"&amp;EDATE(BL$99,1),예비비!$F$430:$F$729,"결제대금비")+MAX(0,IF(예비비!$D207&lt;EDATE(BL$99,1),예비비!$E207,0)-SUMIFS(예비비!$O$430:$O$729,예비비!$B$430:$B$729,예비비!$A207,예비비!$E$430:$E$729,"&lt;"&amp;EDATE(BL$99,1))),0)</f>
        <v>0</v>
      </c>
      <c r="BM207">
        <f>IF(예비비!$R207="OK",SUMIFS(예비비!$O$430:$O$729,예비비!$B$430:$B$729,예비비!$A207,예비비!$E$430:$E$729,"&lt;"&amp;EDATE(BM$99,1),예비비!$F$430:$F$729,"결제대금비")+MAX(0,IF(예비비!$D207&lt;EDATE(BM$99,1),예비비!$E207,0)-SUMIFS(예비비!$O$430:$O$729,예비비!$B$430:$B$729,예비비!$A207,예비비!$E$430:$E$729,"&lt;"&amp;EDATE(BM$99,1))),0)</f>
        <v>0</v>
      </c>
      <c r="BN207">
        <f>IF(예비비!$R207="OK",SUMIFS(예비비!$O$430:$O$729,예비비!$B$430:$B$729,예비비!$A207,예비비!$E$430:$E$729,"&lt;"&amp;EDATE(BN$99,1),예비비!$F$430:$F$729,"결제대금비")+MAX(0,IF(예비비!$D207&lt;EDATE(BN$99,1),예비비!$E207,0)-SUMIFS(예비비!$O$430:$O$729,예비비!$B$430:$B$729,예비비!$A207,예비비!$E$430:$E$729,"&lt;"&amp;EDATE(BN$99,1))),0)</f>
        <v>0</v>
      </c>
      <c r="BO207">
        <f>IF(예비비!$R207="OK",SUMIFS(예비비!$O$430:$O$729,예비비!$B$430:$B$729,예비비!$A207,예비비!$E$430:$E$729,"&lt;"&amp;EDATE(BO$99,1),예비비!$F$430:$F$729,"결제대금비")+MAX(0,IF(예비비!$D207&lt;EDATE(BO$99,1),예비비!$E207,0)-SUMIFS(예비비!$O$430:$O$729,예비비!$B$430:$B$729,예비비!$A207,예비비!$E$430:$E$729,"&lt;"&amp;EDATE(BO$99,1))),0)</f>
        <v>0</v>
      </c>
      <c r="BP207">
        <f>IF(예비비!$R207="OK",SUMIFS(예비비!$O$430:$O$729,예비비!$B$430:$B$729,예비비!$A207,예비비!$E$430:$E$729,"&lt;"&amp;EDATE(BP$99,1),예비비!$F$430:$F$729,"결제대금비")+MAX(0,IF(예비비!$D207&lt;EDATE(BP$99,1),예비비!$E207,0)-SUMIFS(예비비!$O$430:$O$729,예비비!$B$430:$B$729,예비비!$A207,예비비!$E$430:$E$729,"&lt;"&amp;EDATE(BP$99,1))),0)</f>
        <v>0</v>
      </c>
      <c r="BQ207">
        <f>IF(예비비!$R207="OK",SUMIFS(예비비!$O$430:$O$729,예비비!$B$430:$B$729,예비비!$A207,예비비!$E$430:$E$729,"&lt;"&amp;EDATE(BQ$99,1),예비비!$F$430:$F$729,"결제대금비")+MAX(0,IF(예비비!$D207&lt;EDATE(BQ$99,1),예비비!$E207,0)-SUMIFS(예비비!$O$430:$O$729,예비비!$B$430:$B$729,예비비!$A207,예비비!$E$430:$E$729,"&lt;"&amp;EDATE(BQ$99,1))),0)</f>
        <v>0</v>
      </c>
      <c r="BR207">
        <f>IF(예비비!$R207="OK",SUMIFS(예비비!$O$430:$O$729,예비비!$B$430:$B$729,예비비!$A207,예비비!$E$430:$E$729,"&lt;"&amp;EDATE(BR$99,1),예비비!$F$430:$F$729,"결제대금비")+MAX(0,IF(예비비!$D207&lt;EDATE(BR$99,1),예비비!$E207,0)-SUMIFS(예비비!$O$430:$O$729,예비비!$B$430:$B$729,예비비!$A207,예비비!$E$430:$E$729,"&lt;"&amp;EDATE(BR$99,1))),0)</f>
        <v>0</v>
      </c>
      <c r="BS207">
        <f>IF(예비비!$R207="OK",SUMIFS(예비비!$O$430:$O$729,예비비!$B$430:$B$729,예비비!$A207,예비비!$E$430:$E$729,"&lt;"&amp;EDATE(BS$99,1),예비비!$F$430:$F$729,"결제대금비")+MAX(0,IF(예비비!$D207&lt;EDATE(BS$99,1),예비비!$E207,0)-SUMIFS(예비비!$O$430:$O$729,예비비!$B$430:$B$729,예비비!$A207,예비비!$E$430:$E$729,"&lt;"&amp;EDATE(BS$99,1))),0)</f>
        <v>0</v>
      </c>
      <c r="BT207">
        <f>IF(예비비!$R207="OK",SUMIFS(예비비!$O$430:$O$729,예비비!$B$430:$B$729,예비비!$A207,예비비!$E$430:$E$729,"&lt;"&amp;EDATE(BT$99,1),예비비!$F$430:$F$729,"결제대금비")+MAX(0,IF(예비비!$D207&lt;EDATE(BT$99,1),예비비!$E207,0)-SUMIFS(예비비!$O$430:$O$729,예비비!$B$430:$B$729,예비비!$A207,예비비!$E$430:$E$729,"&lt;"&amp;EDATE(BT$99,1))),0)</f>
        <v>0</v>
      </c>
      <c r="BU207">
        <f>IF(예비비!$R207="OK",SUMIFS(예비비!$O$430:$O$729,예비비!$B$430:$B$729,예비비!$A207,예비비!$E$430:$E$729,"&lt;"&amp;EDATE(BU$99,1),예비비!$F$430:$F$729,"결제대금비")+MAX(0,IF(예비비!$D207&lt;EDATE(BU$99,1),예비비!$E207,0)-SUMIFS(예비비!$O$430:$O$729,예비비!$B$430:$B$729,예비비!$A207,예비비!$E$430:$E$729,"&lt;"&amp;EDATE(BU$99,1))),0)</f>
        <v>0</v>
      </c>
    </row>
    <row r="208">
      <c r="BA208">
        <v>152</v>
      </c>
      <c r="BB208">
        <f>IFERROR(INDEX(잔액!$A:$A,BA208),0)</f>
        <v>46204.0</v>
      </c>
      <c r="BH208">
        <f>IFERROR(IF(AND(BB208&gt;0,OR(COUNTIFS(예비비!$C$430:$C$729,BA208,예비비!$N$430:$N$729,"OK")&gt;0,AND(INDEX(잔액!$J:$J,BA208)="가족통장",INDEX(잔액!$K:$K,BA208)="미래에셋_WRAP형CMA"),COUNTIF(예비비!$A$8:$A$12,INDEX(잔액!$C:$C,BA208))=1,COUNTIF(예비비!$A$8:$A$12,INDEX(잔액!$D:$D,BA208))=1),OR(AND(BB208&gt;=예비비!$B$3,BB208&lt;EDATE(예비비!$B$3,1)),AND(BB208&lt;EDATE(예비비!$B$3,1),COUNTIFS(예비비!$C$430:$C$729,BA208,예비비!$L$430:$L$729,예비비!$B$3,예비비!$N$430:$N$729,"OK")&gt;0))),MAX($BH$120:BH207)+1,0),0)</f>
        <v>0</v>
      </c>
      <c r="BI208">
        <f>IF(예비비!$R208="OK",SUMIFS(예비비!$O$430:$O$729,예비비!$B$430:$B$729,예비비!$A208,예비비!$E$430:$E$729,"&lt;"&amp;EDATE(BI$99,1),예비비!$F$430:$F$729,"결제대금비")+MAX(0,IF(예비비!$D208&lt;EDATE(BI$99,1),예비비!$E208,0)-SUMIFS(예비비!$O$430:$O$729,예비비!$B$430:$B$729,예비비!$A208,예비비!$E$430:$E$729,"&lt;"&amp;EDATE(BI$99,1))),0)</f>
        <v>0</v>
      </c>
      <c r="BJ208">
        <f>IF(예비비!$R208="OK",SUMIFS(예비비!$O$430:$O$729,예비비!$B$430:$B$729,예비비!$A208,예비비!$E$430:$E$729,"&lt;"&amp;EDATE(BJ$99,1),예비비!$F$430:$F$729,"결제대금비")+MAX(0,IF(예비비!$D208&lt;EDATE(BJ$99,1),예비비!$E208,0)-SUMIFS(예비비!$O$430:$O$729,예비비!$B$430:$B$729,예비비!$A208,예비비!$E$430:$E$729,"&lt;"&amp;EDATE(BJ$99,1))),0)</f>
        <v>0</v>
      </c>
      <c r="BK208">
        <f>IF(예비비!$R208="OK",SUMIFS(예비비!$O$430:$O$729,예비비!$B$430:$B$729,예비비!$A208,예비비!$E$430:$E$729,"&lt;"&amp;EDATE(BK$99,1),예비비!$F$430:$F$729,"결제대금비")+MAX(0,IF(예비비!$D208&lt;EDATE(BK$99,1),예비비!$E208,0)-SUMIFS(예비비!$O$430:$O$729,예비비!$B$430:$B$729,예비비!$A208,예비비!$E$430:$E$729,"&lt;"&amp;EDATE(BK$99,1))),0)</f>
        <v>0</v>
      </c>
      <c r="BL208">
        <f>IF(예비비!$R208="OK",SUMIFS(예비비!$O$430:$O$729,예비비!$B$430:$B$729,예비비!$A208,예비비!$E$430:$E$729,"&lt;"&amp;EDATE(BL$99,1),예비비!$F$430:$F$729,"결제대금비")+MAX(0,IF(예비비!$D208&lt;EDATE(BL$99,1),예비비!$E208,0)-SUMIFS(예비비!$O$430:$O$729,예비비!$B$430:$B$729,예비비!$A208,예비비!$E$430:$E$729,"&lt;"&amp;EDATE(BL$99,1))),0)</f>
        <v>0</v>
      </c>
      <c r="BM208">
        <f>IF(예비비!$R208="OK",SUMIFS(예비비!$O$430:$O$729,예비비!$B$430:$B$729,예비비!$A208,예비비!$E$430:$E$729,"&lt;"&amp;EDATE(BM$99,1),예비비!$F$430:$F$729,"결제대금비")+MAX(0,IF(예비비!$D208&lt;EDATE(BM$99,1),예비비!$E208,0)-SUMIFS(예비비!$O$430:$O$729,예비비!$B$430:$B$729,예비비!$A208,예비비!$E$430:$E$729,"&lt;"&amp;EDATE(BM$99,1))),0)</f>
        <v>0</v>
      </c>
      <c r="BN208">
        <f>IF(예비비!$R208="OK",SUMIFS(예비비!$O$430:$O$729,예비비!$B$430:$B$729,예비비!$A208,예비비!$E$430:$E$729,"&lt;"&amp;EDATE(BN$99,1),예비비!$F$430:$F$729,"결제대금비")+MAX(0,IF(예비비!$D208&lt;EDATE(BN$99,1),예비비!$E208,0)-SUMIFS(예비비!$O$430:$O$729,예비비!$B$430:$B$729,예비비!$A208,예비비!$E$430:$E$729,"&lt;"&amp;EDATE(BN$99,1))),0)</f>
        <v>0</v>
      </c>
      <c r="BO208">
        <f>IF(예비비!$R208="OK",SUMIFS(예비비!$O$430:$O$729,예비비!$B$430:$B$729,예비비!$A208,예비비!$E$430:$E$729,"&lt;"&amp;EDATE(BO$99,1),예비비!$F$430:$F$729,"결제대금비")+MAX(0,IF(예비비!$D208&lt;EDATE(BO$99,1),예비비!$E208,0)-SUMIFS(예비비!$O$430:$O$729,예비비!$B$430:$B$729,예비비!$A208,예비비!$E$430:$E$729,"&lt;"&amp;EDATE(BO$99,1))),0)</f>
        <v>0</v>
      </c>
      <c r="BP208">
        <f>IF(예비비!$R208="OK",SUMIFS(예비비!$O$430:$O$729,예비비!$B$430:$B$729,예비비!$A208,예비비!$E$430:$E$729,"&lt;"&amp;EDATE(BP$99,1),예비비!$F$430:$F$729,"결제대금비")+MAX(0,IF(예비비!$D208&lt;EDATE(BP$99,1),예비비!$E208,0)-SUMIFS(예비비!$O$430:$O$729,예비비!$B$430:$B$729,예비비!$A208,예비비!$E$430:$E$729,"&lt;"&amp;EDATE(BP$99,1))),0)</f>
        <v>0</v>
      </c>
      <c r="BQ208">
        <f>IF(예비비!$R208="OK",SUMIFS(예비비!$O$430:$O$729,예비비!$B$430:$B$729,예비비!$A208,예비비!$E$430:$E$729,"&lt;"&amp;EDATE(BQ$99,1),예비비!$F$430:$F$729,"결제대금비")+MAX(0,IF(예비비!$D208&lt;EDATE(BQ$99,1),예비비!$E208,0)-SUMIFS(예비비!$O$430:$O$729,예비비!$B$430:$B$729,예비비!$A208,예비비!$E$430:$E$729,"&lt;"&amp;EDATE(BQ$99,1))),0)</f>
        <v>0</v>
      </c>
      <c r="BR208">
        <f>IF(예비비!$R208="OK",SUMIFS(예비비!$O$430:$O$729,예비비!$B$430:$B$729,예비비!$A208,예비비!$E$430:$E$729,"&lt;"&amp;EDATE(BR$99,1),예비비!$F$430:$F$729,"결제대금비")+MAX(0,IF(예비비!$D208&lt;EDATE(BR$99,1),예비비!$E208,0)-SUMIFS(예비비!$O$430:$O$729,예비비!$B$430:$B$729,예비비!$A208,예비비!$E$430:$E$729,"&lt;"&amp;EDATE(BR$99,1))),0)</f>
        <v>0</v>
      </c>
      <c r="BS208">
        <f>IF(예비비!$R208="OK",SUMIFS(예비비!$O$430:$O$729,예비비!$B$430:$B$729,예비비!$A208,예비비!$E$430:$E$729,"&lt;"&amp;EDATE(BS$99,1),예비비!$F$430:$F$729,"결제대금비")+MAX(0,IF(예비비!$D208&lt;EDATE(BS$99,1),예비비!$E208,0)-SUMIFS(예비비!$O$430:$O$729,예비비!$B$430:$B$729,예비비!$A208,예비비!$E$430:$E$729,"&lt;"&amp;EDATE(BS$99,1))),0)</f>
        <v>0</v>
      </c>
      <c r="BT208">
        <f>IF(예비비!$R208="OK",SUMIFS(예비비!$O$430:$O$729,예비비!$B$430:$B$729,예비비!$A208,예비비!$E$430:$E$729,"&lt;"&amp;EDATE(BT$99,1),예비비!$F$430:$F$729,"결제대금비")+MAX(0,IF(예비비!$D208&lt;EDATE(BT$99,1),예비비!$E208,0)-SUMIFS(예비비!$O$430:$O$729,예비비!$B$430:$B$729,예비비!$A208,예비비!$E$430:$E$729,"&lt;"&amp;EDATE(BT$99,1))),0)</f>
        <v>0</v>
      </c>
      <c r="BU208">
        <f>IF(예비비!$R208="OK",SUMIFS(예비비!$O$430:$O$729,예비비!$B$430:$B$729,예비비!$A208,예비비!$E$430:$E$729,"&lt;"&amp;EDATE(BU$99,1),예비비!$F$430:$F$729,"결제대금비")+MAX(0,IF(예비비!$D208&lt;EDATE(BU$99,1),예비비!$E208,0)-SUMIFS(예비비!$O$430:$O$729,예비비!$B$430:$B$729,예비비!$A208,예비비!$E$430:$E$729,"&lt;"&amp;EDATE(BU$99,1))),0)</f>
        <v>0</v>
      </c>
    </row>
    <row r="209">
      <c r="BA209">
        <v>153</v>
      </c>
      <c r="BB209">
        <f>IFERROR(INDEX(잔액!$A:$A,BA209),0)</f>
        <v>46204.0</v>
      </c>
      <c r="BH209">
        <f>IFERROR(IF(AND(BB209&gt;0,OR(COUNTIFS(예비비!$C$430:$C$729,BA209,예비비!$N$430:$N$729,"OK")&gt;0,AND(INDEX(잔액!$J:$J,BA209)="가족통장",INDEX(잔액!$K:$K,BA209)="미래에셋_WRAP형CMA"),COUNTIF(예비비!$A$8:$A$12,INDEX(잔액!$C:$C,BA209))=1,COUNTIF(예비비!$A$8:$A$12,INDEX(잔액!$D:$D,BA209))=1),OR(AND(BB209&gt;=예비비!$B$3,BB209&lt;EDATE(예비비!$B$3,1)),AND(BB209&lt;EDATE(예비비!$B$3,1),COUNTIFS(예비비!$C$430:$C$729,BA209,예비비!$L$430:$L$729,예비비!$B$3,예비비!$N$430:$N$729,"OK")&gt;0))),MAX($BH$120:BH208)+1,0),0)</f>
        <v>0</v>
      </c>
      <c r="BI209">
        <f>IF(예비비!$R209="OK",SUMIFS(예비비!$O$430:$O$729,예비비!$B$430:$B$729,예비비!$A209,예비비!$E$430:$E$729,"&lt;"&amp;EDATE(BI$99,1),예비비!$F$430:$F$729,"결제대금비")+MAX(0,IF(예비비!$D209&lt;EDATE(BI$99,1),예비비!$E209,0)-SUMIFS(예비비!$O$430:$O$729,예비비!$B$430:$B$729,예비비!$A209,예비비!$E$430:$E$729,"&lt;"&amp;EDATE(BI$99,1))),0)</f>
        <v>0</v>
      </c>
      <c r="BJ209">
        <f>IF(예비비!$R209="OK",SUMIFS(예비비!$O$430:$O$729,예비비!$B$430:$B$729,예비비!$A209,예비비!$E$430:$E$729,"&lt;"&amp;EDATE(BJ$99,1),예비비!$F$430:$F$729,"결제대금비")+MAX(0,IF(예비비!$D209&lt;EDATE(BJ$99,1),예비비!$E209,0)-SUMIFS(예비비!$O$430:$O$729,예비비!$B$430:$B$729,예비비!$A209,예비비!$E$430:$E$729,"&lt;"&amp;EDATE(BJ$99,1))),0)</f>
        <v>0</v>
      </c>
      <c r="BK209">
        <f>IF(예비비!$R209="OK",SUMIFS(예비비!$O$430:$O$729,예비비!$B$430:$B$729,예비비!$A209,예비비!$E$430:$E$729,"&lt;"&amp;EDATE(BK$99,1),예비비!$F$430:$F$729,"결제대금비")+MAX(0,IF(예비비!$D209&lt;EDATE(BK$99,1),예비비!$E209,0)-SUMIFS(예비비!$O$430:$O$729,예비비!$B$430:$B$729,예비비!$A209,예비비!$E$430:$E$729,"&lt;"&amp;EDATE(BK$99,1))),0)</f>
        <v>0</v>
      </c>
      <c r="BL209">
        <f>IF(예비비!$R209="OK",SUMIFS(예비비!$O$430:$O$729,예비비!$B$430:$B$729,예비비!$A209,예비비!$E$430:$E$729,"&lt;"&amp;EDATE(BL$99,1),예비비!$F$430:$F$729,"결제대금비")+MAX(0,IF(예비비!$D209&lt;EDATE(BL$99,1),예비비!$E209,0)-SUMIFS(예비비!$O$430:$O$729,예비비!$B$430:$B$729,예비비!$A209,예비비!$E$430:$E$729,"&lt;"&amp;EDATE(BL$99,1))),0)</f>
        <v>0</v>
      </c>
      <c r="BM209">
        <f>IF(예비비!$R209="OK",SUMIFS(예비비!$O$430:$O$729,예비비!$B$430:$B$729,예비비!$A209,예비비!$E$430:$E$729,"&lt;"&amp;EDATE(BM$99,1),예비비!$F$430:$F$729,"결제대금비")+MAX(0,IF(예비비!$D209&lt;EDATE(BM$99,1),예비비!$E209,0)-SUMIFS(예비비!$O$430:$O$729,예비비!$B$430:$B$729,예비비!$A209,예비비!$E$430:$E$729,"&lt;"&amp;EDATE(BM$99,1))),0)</f>
        <v>0</v>
      </c>
      <c r="BN209">
        <f>IF(예비비!$R209="OK",SUMIFS(예비비!$O$430:$O$729,예비비!$B$430:$B$729,예비비!$A209,예비비!$E$430:$E$729,"&lt;"&amp;EDATE(BN$99,1),예비비!$F$430:$F$729,"결제대금비")+MAX(0,IF(예비비!$D209&lt;EDATE(BN$99,1),예비비!$E209,0)-SUMIFS(예비비!$O$430:$O$729,예비비!$B$430:$B$729,예비비!$A209,예비비!$E$430:$E$729,"&lt;"&amp;EDATE(BN$99,1))),0)</f>
        <v>0</v>
      </c>
      <c r="BO209">
        <f>IF(예비비!$R209="OK",SUMIFS(예비비!$O$430:$O$729,예비비!$B$430:$B$729,예비비!$A209,예비비!$E$430:$E$729,"&lt;"&amp;EDATE(BO$99,1),예비비!$F$430:$F$729,"결제대금비")+MAX(0,IF(예비비!$D209&lt;EDATE(BO$99,1),예비비!$E209,0)-SUMIFS(예비비!$O$430:$O$729,예비비!$B$430:$B$729,예비비!$A209,예비비!$E$430:$E$729,"&lt;"&amp;EDATE(BO$99,1))),0)</f>
        <v>0</v>
      </c>
      <c r="BP209">
        <f>IF(예비비!$R209="OK",SUMIFS(예비비!$O$430:$O$729,예비비!$B$430:$B$729,예비비!$A209,예비비!$E$430:$E$729,"&lt;"&amp;EDATE(BP$99,1),예비비!$F$430:$F$729,"결제대금비")+MAX(0,IF(예비비!$D209&lt;EDATE(BP$99,1),예비비!$E209,0)-SUMIFS(예비비!$O$430:$O$729,예비비!$B$430:$B$729,예비비!$A209,예비비!$E$430:$E$729,"&lt;"&amp;EDATE(BP$99,1))),0)</f>
        <v>0</v>
      </c>
      <c r="BQ209">
        <f>IF(예비비!$R209="OK",SUMIFS(예비비!$O$430:$O$729,예비비!$B$430:$B$729,예비비!$A209,예비비!$E$430:$E$729,"&lt;"&amp;EDATE(BQ$99,1),예비비!$F$430:$F$729,"결제대금비")+MAX(0,IF(예비비!$D209&lt;EDATE(BQ$99,1),예비비!$E209,0)-SUMIFS(예비비!$O$430:$O$729,예비비!$B$430:$B$729,예비비!$A209,예비비!$E$430:$E$729,"&lt;"&amp;EDATE(BQ$99,1))),0)</f>
        <v>0</v>
      </c>
      <c r="BR209">
        <f>IF(예비비!$R209="OK",SUMIFS(예비비!$O$430:$O$729,예비비!$B$430:$B$729,예비비!$A209,예비비!$E$430:$E$729,"&lt;"&amp;EDATE(BR$99,1),예비비!$F$430:$F$729,"결제대금비")+MAX(0,IF(예비비!$D209&lt;EDATE(BR$99,1),예비비!$E209,0)-SUMIFS(예비비!$O$430:$O$729,예비비!$B$430:$B$729,예비비!$A209,예비비!$E$430:$E$729,"&lt;"&amp;EDATE(BR$99,1))),0)</f>
        <v>0</v>
      </c>
      <c r="BS209">
        <f>IF(예비비!$R209="OK",SUMIFS(예비비!$O$430:$O$729,예비비!$B$430:$B$729,예비비!$A209,예비비!$E$430:$E$729,"&lt;"&amp;EDATE(BS$99,1),예비비!$F$430:$F$729,"결제대금비")+MAX(0,IF(예비비!$D209&lt;EDATE(BS$99,1),예비비!$E209,0)-SUMIFS(예비비!$O$430:$O$729,예비비!$B$430:$B$729,예비비!$A209,예비비!$E$430:$E$729,"&lt;"&amp;EDATE(BS$99,1))),0)</f>
        <v>0</v>
      </c>
      <c r="BT209">
        <f>IF(예비비!$R209="OK",SUMIFS(예비비!$O$430:$O$729,예비비!$B$430:$B$729,예비비!$A209,예비비!$E$430:$E$729,"&lt;"&amp;EDATE(BT$99,1),예비비!$F$430:$F$729,"결제대금비")+MAX(0,IF(예비비!$D209&lt;EDATE(BT$99,1),예비비!$E209,0)-SUMIFS(예비비!$O$430:$O$729,예비비!$B$430:$B$729,예비비!$A209,예비비!$E$430:$E$729,"&lt;"&amp;EDATE(BT$99,1))),0)</f>
        <v>0</v>
      </c>
      <c r="BU209">
        <f>IF(예비비!$R209="OK",SUMIFS(예비비!$O$430:$O$729,예비비!$B$430:$B$729,예비비!$A209,예비비!$E$430:$E$729,"&lt;"&amp;EDATE(BU$99,1),예비비!$F$430:$F$729,"결제대금비")+MAX(0,IF(예비비!$D209&lt;EDATE(BU$99,1),예비비!$E209,0)-SUMIFS(예비비!$O$430:$O$729,예비비!$B$430:$B$729,예비비!$A209,예비비!$E$430:$E$729,"&lt;"&amp;EDATE(BU$99,1))),0)</f>
        <v>0</v>
      </c>
    </row>
    <row r="210">
      <c r="BA210">
        <v>154</v>
      </c>
      <c r="BB210">
        <f>IFERROR(INDEX(잔액!$A:$A,BA210),0)</f>
        <v>46204.0</v>
      </c>
      <c r="BH210">
        <f>IFERROR(IF(AND(BB210&gt;0,OR(COUNTIFS(예비비!$C$430:$C$729,BA210,예비비!$N$430:$N$729,"OK")&gt;0,AND(INDEX(잔액!$J:$J,BA210)="가족통장",INDEX(잔액!$K:$K,BA210)="미래에셋_WRAP형CMA"),COUNTIF(예비비!$A$8:$A$12,INDEX(잔액!$C:$C,BA210))=1,COUNTIF(예비비!$A$8:$A$12,INDEX(잔액!$D:$D,BA210))=1),OR(AND(BB210&gt;=예비비!$B$3,BB210&lt;EDATE(예비비!$B$3,1)),AND(BB210&lt;EDATE(예비비!$B$3,1),COUNTIFS(예비비!$C$430:$C$729,BA210,예비비!$L$430:$L$729,예비비!$B$3,예비비!$N$430:$N$729,"OK")&gt;0))),MAX($BH$120:BH209)+1,0),0)</f>
        <v>0</v>
      </c>
      <c r="BI210">
        <f>IF(예비비!$R210="OK",SUMIFS(예비비!$O$430:$O$729,예비비!$B$430:$B$729,예비비!$A210,예비비!$E$430:$E$729,"&lt;"&amp;EDATE(BI$99,1),예비비!$F$430:$F$729,"결제대금비")+MAX(0,IF(예비비!$D210&lt;EDATE(BI$99,1),예비비!$E210,0)-SUMIFS(예비비!$O$430:$O$729,예비비!$B$430:$B$729,예비비!$A210,예비비!$E$430:$E$729,"&lt;"&amp;EDATE(BI$99,1))),0)</f>
        <v>0</v>
      </c>
      <c r="BJ210">
        <f>IF(예비비!$R210="OK",SUMIFS(예비비!$O$430:$O$729,예비비!$B$430:$B$729,예비비!$A210,예비비!$E$430:$E$729,"&lt;"&amp;EDATE(BJ$99,1),예비비!$F$430:$F$729,"결제대금비")+MAX(0,IF(예비비!$D210&lt;EDATE(BJ$99,1),예비비!$E210,0)-SUMIFS(예비비!$O$430:$O$729,예비비!$B$430:$B$729,예비비!$A210,예비비!$E$430:$E$729,"&lt;"&amp;EDATE(BJ$99,1))),0)</f>
        <v>0</v>
      </c>
      <c r="BK210">
        <f>IF(예비비!$R210="OK",SUMIFS(예비비!$O$430:$O$729,예비비!$B$430:$B$729,예비비!$A210,예비비!$E$430:$E$729,"&lt;"&amp;EDATE(BK$99,1),예비비!$F$430:$F$729,"결제대금비")+MAX(0,IF(예비비!$D210&lt;EDATE(BK$99,1),예비비!$E210,0)-SUMIFS(예비비!$O$430:$O$729,예비비!$B$430:$B$729,예비비!$A210,예비비!$E$430:$E$729,"&lt;"&amp;EDATE(BK$99,1))),0)</f>
        <v>0</v>
      </c>
      <c r="BL210">
        <f>IF(예비비!$R210="OK",SUMIFS(예비비!$O$430:$O$729,예비비!$B$430:$B$729,예비비!$A210,예비비!$E$430:$E$729,"&lt;"&amp;EDATE(BL$99,1),예비비!$F$430:$F$729,"결제대금비")+MAX(0,IF(예비비!$D210&lt;EDATE(BL$99,1),예비비!$E210,0)-SUMIFS(예비비!$O$430:$O$729,예비비!$B$430:$B$729,예비비!$A210,예비비!$E$430:$E$729,"&lt;"&amp;EDATE(BL$99,1))),0)</f>
        <v>0</v>
      </c>
      <c r="BM210">
        <f>IF(예비비!$R210="OK",SUMIFS(예비비!$O$430:$O$729,예비비!$B$430:$B$729,예비비!$A210,예비비!$E$430:$E$729,"&lt;"&amp;EDATE(BM$99,1),예비비!$F$430:$F$729,"결제대금비")+MAX(0,IF(예비비!$D210&lt;EDATE(BM$99,1),예비비!$E210,0)-SUMIFS(예비비!$O$430:$O$729,예비비!$B$430:$B$729,예비비!$A210,예비비!$E$430:$E$729,"&lt;"&amp;EDATE(BM$99,1))),0)</f>
        <v>0</v>
      </c>
      <c r="BN210">
        <f>IF(예비비!$R210="OK",SUMIFS(예비비!$O$430:$O$729,예비비!$B$430:$B$729,예비비!$A210,예비비!$E$430:$E$729,"&lt;"&amp;EDATE(BN$99,1),예비비!$F$430:$F$729,"결제대금비")+MAX(0,IF(예비비!$D210&lt;EDATE(BN$99,1),예비비!$E210,0)-SUMIFS(예비비!$O$430:$O$729,예비비!$B$430:$B$729,예비비!$A210,예비비!$E$430:$E$729,"&lt;"&amp;EDATE(BN$99,1))),0)</f>
        <v>0</v>
      </c>
      <c r="BO210">
        <f>IF(예비비!$R210="OK",SUMIFS(예비비!$O$430:$O$729,예비비!$B$430:$B$729,예비비!$A210,예비비!$E$430:$E$729,"&lt;"&amp;EDATE(BO$99,1),예비비!$F$430:$F$729,"결제대금비")+MAX(0,IF(예비비!$D210&lt;EDATE(BO$99,1),예비비!$E210,0)-SUMIFS(예비비!$O$430:$O$729,예비비!$B$430:$B$729,예비비!$A210,예비비!$E$430:$E$729,"&lt;"&amp;EDATE(BO$99,1))),0)</f>
        <v>0</v>
      </c>
      <c r="BP210">
        <f>IF(예비비!$R210="OK",SUMIFS(예비비!$O$430:$O$729,예비비!$B$430:$B$729,예비비!$A210,예비비!$E$430:$E$729,"&lt;"&amp;EDATE(BP$99,1),예비비!$F$430:$F$729,"결제대금비")+MAX(0,IF(예비비!$D210&lt;EDATE(BP$99,1),예비비!$E210,0)-SUMIFS(예비비!$O$430:$O$729,예비비!$B$430:$B$729,예비비!$A210,예비비!$E$430:$E$729,"&lt;"&amp;EDATE(BP$99,1))),0)</f>
        <v>0</v>
      </c>
      <c r="BQ210">
        <f>IF(예비비!$R210="OK",SUMIFS(예비비!$O$430:$O$729,예비비!$B$430:$B$729,예비비!$A210,예비비!$E$430:$E$729,"&lt;"&amp;EDATE(BQ$99,1),예비비!$F$430:$F$729,"결제대금비")+MAX(0,IF(예비비!$D210&lt;EDATE(BQ$99,1),예비비!$E210,0)-SUMIFS(예비비!$O$430:$O$729,예비비!$B$430:$B$729,예비비!$A210,예비비!$E$430:$E$729,"&lt;"&amp;EDATE(BQ$99,1))),0)</f>
        <v>0</v>
      </c>
      <c r="BR210">
        <f>IF(예비비!$R210="OK",SUMIFS(예비비!$O$430:$O$729,예비비!$B$430:$B$729,예비비!$A210,예비비!$E$430:$E$729,"&lt;"&amp;EDATE(BR$99,1),예비비!$F$430:$F$729,"결제대금비")+MAX(0,IF(예비비!$D210&lt;EDATE(BR$99,1),예비비!$E210,0)-SUMIFS(예비비!$O$430:$O$729,예비비!$B$430:$B$729,예비비!$A210,예비비!$E$430:$E$729,"&lt;"&amp;EDATE(BR$99,1))),0)</f>
        <v>0</v>
      </c>
      <c r="BS210">
        <f>IF(예비비!$R210="OK",SUMIFS(예비비!$O$430:$O$729,예비비!$B$430:$B$729,예비비!$A210,예비비!$E$430:$E$729,"&lt;"&amp;EDATE(BS$99,1),예비비!$F$430:$F$729,"결제대금비")+MAX(0,IF(예비비!$D210&lt;EDATE(BS$99,1),예비비!$E210,0)-SUMIFS(예비비!$O$430:$O$729,예비비!$B$430:$B$729,예비비!$A210,예비비!$E$430:$E$729,"&lt;"&amp;EDATE(BS$99,1))),0)</f>
        <v>0</v>
      </c>
      <c r="BT210">
        <f>IF(예비비!$R210="OK",SUMIFS(예비비!$O$430:$O$729,예비비!$B$430:$B$729,예비비!$A210,예비비!$E$430:$E$729,"&lt;"&amp;EDATE(BT$99,1),예비비!$F$430:$F$729,"결제대금비")+MAX(0,IF(예비비!$D210&lt;EDATE(BT$99,1),예비비!$E210,0)-SUMIFS(예비비!$O$430:$O$729,예비비!$B$430:$B$729,예비비!$A210,예비비!$E$430:$E$729,"&lt;"&amp;EDATE(BT$99,1))),0)</f>
        <v>0</v>
      </c>
      <c r="BU210">
        <f>IF(예비비!$R210="OK",SUMIFS(예비비!$O$430:$O$729,예비비!$B$430:$B$729,예비비!$A210,예비비!$E$430:$E$729,"&lt;"&amp;EDATE(BU$99,1),예비비!$F$430:$F$729,"결제대금비")+MAX(0,IF(예비비!$D210&lt;EDATE(BU$99,1),예비비!$E210,0)-SUMIFS(예비비!$O$430:$O$729,예비비!$B$430:$B$729,예비비!$A210,예비비!$E$430:$E$729,"&lt;"&amp;EDATE(BU$99,1))),0)</f>
        <v>0</v>
      </c>
    </row>
    <row r="211">
      <c r="BA211">
        <v>155</v>
      </c>
      <c r="BB211">
        <f>IFERROR(INDEX(잔액!$A:$A,BA211),0)</f>
        <v>46204.0</v>
      </c>
      <c r="BH211">
        <f>IFERROR(IF(AND(BB211&gt;0,OR(COUNTIFS(예비비!$C$430:$C$729,BA211,예비비!$N$430:$N$729,"OK")&gt;0,AND(INDEX(잔액!$J:$J,BA211)="가족통장",INDEX(잔액!$K:$K,BA211)="미래에셋_WRAP형CMA"),COUNTIF(예비비!$A$8:$A$12,INDEX(잔액!$C:$C,BA211))=1,COUNTIF(예비비!$A$8:$A$12,INDEX(잔액!$D:$D,BA211))=1),OR(AND(BB211&gt;=예비비!$B$3,BB211&lt;EDATE(예비비!$B$3,1)),AND(BB211&lt;EDATE(예비비!$B$3,1),COUNTIFS(예비비!$C$430:$C$729,BA211,예비비!$L$430:$L$729,예비비!$B$3,예비비!$N$430:$N$729,"OK")&gt;0))),MAX($BH$120:BH210)+1,0),0)</f>
        <v>0</v>
      </c>
      <c r="BI211">
        <f>IF(예비비!$R211="OK",SUMIFS(예비비!$O$430:$O$729,예비비!$B$430:$B$729,예비비!$A211,예비비!$E$430:$E$729,"&lt;"&amp;EDATE(BI$99,1),예비비!$F$430:$F$729,"결제대금비")+MAX(0,IF(예비비!$D211&lt;EDATE(BI$99,1),예비비!$E211,0)-SUMIFS(예비비!$O$430:$O$729,예비비!$B$430:$B$729,예비비!$A211,예비비!$E$430:$E$729,"&lt;"&amp;EDATE(BI$99,1))),0)</f>
        <v>0</v>
      </c>
      <c r="BJ211">
        <f>IF(예비비!$R211="OK",SUMIFS(예비비!$O$430:$O$729,예비비!$B$430:$B$729,예비비!$A211,예비비!$E$430:$E$729,"&lt;"&amp;EDATE(BJ$99,1),예비비!$F$430:$F$729,"결제대금비")+MAX(0,IF(예비비!$D211&lt;EDATE(BJ$99,1),예비비!$E211,0)-SUMIFS(예비비!$O$430:$O$729,예비비!$B$430:$B$729,예비비!$A211,예비비!$E$430:$E$729,"&lt;"&amp;EDATE(BJ$99,1))),0)</f>
        <v>0</v>
      </c>
      <c r="BK211">
        <f>IF(예비비!$R211="OK",SUMIFS(예비비!$O$430:$O$729,예비비!$B$430:$B$729,예비비!$A211,예비비!$E$430:$E$729,"&lt;"&amp;EDATE(BK$99,1),예비비!$F$430:$F$729,"결제대금비")+MAX(0,IF(예비비!$D211&lt;EDATE(BK$99,1),예비비!$E211,0)-SUMIFS(예비비!$O$430:$O$729,예비비!$B$430:$B$729,예비비!$A211,예비비!$E$430:$E$729,"&lt;"&amp;EDATE(BK$99,1))),0)</f>
        <v>0</v>
      </c>
      <c r="BL211">
        <f>IF(예비비!$R211="OK",SUMIFS(예비비!$O$430:$O$729,예비비!$B$430:$B$729,예비비!$A211,예비비!$E$430:$E$729,"&lt;"&amp;EDATE(BL$99,1),예비비!$F$430:$F$729,"결제대금비")+MAX(0,IF(예비비!$D211&lt;EDATE(BL$99,1),예비비!$E211,0)-SUMIFS(예비비!$O$430:$O$729,예비비!$B$430:$B$729,예비비!$A211,예비비!$E$430:$E$729,"&lt;"&amp;EDATE(BL$99,1))),0)</f>
        <v>0</v>
      </c>
      <c r="BM211">
        <f>IF(예비비!$R211="OK",SUMIFS(예비비!$O$430:$O$729,예비비!$B$430:$B$729,예비비!$A211,예비비!$E$430:$E$729,"&lt;"&amp;EDATE(BM$99,1),예비비!$F$430:$F$729,"결제대금비")+MAX(0,IF(예비비!$D211&lt;EDATE(BM$99,1),예비비!$E211,0)-SUMIFS(예비비!$O$430:$O$729,예비비!$B$430:$B$729,예비비!$A211,예비비!$E$430:$E$729,"&lt;"&amp;EDATE(BM$99,1))),0)</f>
        <v>0</v>
      </c>
      <c r="BN211">
        <f>IF(예비비!$R211="OK",SUMIFS(예비비!$O$430:$O$729,예비비!$B$430:$B$729,예비비!$A211,예비비!$E$430:$E$729,"&lt;"&amp;EDATE(BN$99,1),예비비!$F$430:$F$729,"결제대금비")+MAX(0,IF(예비비!$D211&lt;EDATE(BN$99,1),예비비!$E211,0)-SUMIFS(예비비!$O$430:$O$729,예비비!$B$430:$B$729,예비비!$A211,예비비!$E$430:$E$729,"&lt;"&amp;EDATE(BN$99,1))),0)</f>
        <v>0</v>
      </c>
      <c r="BO211">
        <f>IF(예비비!$R211="OK",SUMIFS(예비비!$O$430:$O$729,예비비!$B$430:$B$729,예비비!$A211,예비비!$E$430:$E$729,"&lt;"&amp;EDATE(BO$99,1),예비비!$F$430:$F$729,"결제대금비")+MAX(0,IF(예비비!$D211&lt;EDATE(BO$99,1),예비비!$E211,0)-SUMIFS(예비비!$O$430:$O$729,예비비!$B$430:$B$729,예비비!$A211,예비비!$E$430:$E$729,"&lt;"&amp;EDATE(BO$99,1))),0)</f>
        <v>0</v>
      </c>
      <c r="BP211">
        <f>IF(예비비!$R211="OK",SUMIFS(예비비!$O$430:$O$729,예비비!$B$430:$B$729,예비비!$A211,예비비!$E$430:$E$729,"&lt;"&amp;EDATE(BP$99,1),예비비!$F$430:$F$729,"결제대금비")+MAX(0,IF(예비비!$D211&lt;EDATE(BP$99,1),예비비!$E211,0)-SUMIFS(예비비!$O$430:$O$729,예비비!$B$430:$B$729,예비비!$A211,예비비!$E$430:$E$729,"&lt;"&amp;EDATE(BP$99,1))),0)</f>
        <v>0</v>
      </c>
      <c r="BQ211">
        <f>IF(예비비!$R211="OK",SUMIFS(예비비!$O$430:$O$729,예비비!$B$430:$B$729,예비비!$A211,예비비!$E$430:$E$729,"&lt;"&amp;EDATE(BQ$99,1),예비비!$F$430:$F$729,"결제대금비")+MAX(0,IF(예비비!$D211&lt;EDATE(BQ$99,1),예비비!$E211,0)-SUMIFS(예비비!$O$430:$O$729,예비비!$B$430:$B$729,예비비!$A211,예비비!$E$430:$E$729,"&lt;"&amp;EDATE(BQ$99,1))),0)</f>
        <v>0</v>
      </c>
      <c r="BR211">
        <f>IF(예비비!$R211="OK",SUMIFS(예비비!$O$430:$O$729,예비비!$B$430:$B$729,예비비!$A211,예비비!$E$430:$E$729,"&lt;"&amp;EDATE(BR$99,1),예비비!$F$430:$F$729,"결제대금비")+MAX(0,IF(예비비!$D211&lt;EDATE(BR$99,1),예비비!$E211,0)-SUMIFS(예비비!$O$430:$O$729,예비비!$B$430:$B$729,예비비!$A211,예비비!$E$430:$E$729,"&lt;"&amp;EDATE(BR$99,1))),0)</f>
        <v>0</v>
      </c>
      <c r="BS211">
        <f>IF(예비비!$R211="OK",SUMIFS(예비비!$O$430:$O$729,예비비!$B$430:$B$729,예비비!$A211,예비비!$E$430:$E$729,"&lt;"&amp;EDATE(BS$99,1),예비비!$F$430:$F$729,"결제대금비")+MAX(0,IF(예비비!$D211&lt;EDATE(BS$99,1),예비비!$E211,0)-SUMIFS(예비비!$O$430:$O$729,예비비!$B$430:$B$729,예비비!$A211,예비비!$E$430:$E$729,"&lt;"&amp;EDATE(BS$99,1))),0)</f>
        <v>0</v>
      </c>
      <c r="BT211">
        <f>IF(예비비!$R211="OK",SUMIFS(예비비!$O$430:$O$729,예비비!$B$430:$B$729,예비비!$A211,예비비!$E$430:$E$729,"&lt;"&amp;EDATE(BT$99,1),예비비!$F$430:$F$729,"결제대금비")+MAX(0,IF(예비비!$D211&lt;EDATE(BT$99,1),예비비!$E211,0)-SUMIFS(예비비!$O$430:$O$729,예비비!$B$430:$B$729,예비비!$A211,예비비!$E$430:$E$729,"&lt;"&amp;EDATE(BT$99,1))),0)</f>
        <v>0</v>
      </c>
      <c r="BU211">
        <f>IF(예비비!$R211="OK",SUMIFS(예비비!$O$430:$O$729,예비비!$B$430:$B$729,예비비!$A211,예비비!$E$430:$E$729,"&lt;"&amp;EDATE(BU$99,1),예비비!$F$430:$F$729,"결제대금비")+MAX(0,IF(예비비!$D211&lt;EDATE(BU$99,1),예비비!$E211,0)-SUMIFS(예비비!$O$430:$O$729,예비비!$B$430:$B$729,예비비!$A211,예비비!$E$430:$E$729,"&lt;"&amp;EDATE(BU$99,1))),0)</f>
        <v>0</v>
      </c>
    </row>
    <row r="212">
      <c r="BA212">
        <v>156</v>
      </c>
      <c r="BB212">
        <f>IFERROR(INDEX(잔액!$A:$A,BA212),0)</f>
        <v>46204.0</v>
      </c>
      <c r="BH212">
        <f>IFERROR(IF(AND(BB212&gt;0,OR(COUNTIFS(예비비!$C$430:$C$729,BA212,예비비!$N$430:$N$729,"OK")&gt;0,AND(INDEX(잔액!$J:$J,BA212)="가족통장",INDEX(잔액!$K:$K,BA212)="미래에셋_WRAP형CMA"),COUNTIF(예비비!$A$8:$A$12,INDEX(잔액!$C:$C,BA212))=1,COUNTIF(예비비!$A$8:$A$12,INDEX(잔액!$D:$D,BA212))=1),OR(AND(BB212&gt;=예비비!$B$3,BB212&lt;EDATE(예비비!$B$3,1)),AND(BB212&lt;EDATE(예비비!$B$3,1),COUNTIFS(예비비!$C$430:$C$729,BA212,예비비!$L$430:$L$729,예비비!$B$3,예비비!$N$430:$N$729,"OK")&gt;0))),MAX($BH$120:BH211)+1,0),0)</f>
        <v>0</v>
      </c>
      <c r="BI212">
        <f>IF(예비비!$R212="OK",SUMIFS(예비비!$O$430:$O$729,예비비!$B$430:$B$729,예비비!$A212,예비비!$E$430:$E$729,"&lt;"&amp;EDATE(BI$99,1),예비비!$F$430:$F$729,"결제대금비")+MAX(0,IF(예비비!$D212&lt;EDATE(BI$99,1),예비비!$E212,0)-SUMIFS(예비비!$O$430:$O$729,예비비!$B$430:$B$729,예비비!$A212,예비비!$E$430:$E$729,"&lt;"&amp;EDATE(BI$99,1))),0)</f>
        <v>0</v>
      </c>
      <c r="BJ212">
        <f>IF(예비비!$R212="OK",SUMIFS(예비비!$O$430:$O$729,예비비!$B$430:$B$729,예비비!$A212,예비비!$E$430:$E$729,"&lt;"&amp;EDATE(BJ$99,1),예비비!$F$430:$F$729,"결제대금비")+MAX(0,IF(예비비!$D212&lt;EDATE(BJ$99,1),예비비!$E212,0)-SUMIFS(예비비!$O$430:$O$729,예비비!$B$430:$B$729,예비비!$A212,예비비!$E$430:$E$729,"&lt;"&amp;EDATE(BJ$99,1))),0)</f>
        <v>0</v>
      </c>
      <c r="BK212">
        <f>IF(예비비!$R212="OK",SUMIFS(예비비!$O$430:$O$729,예비비!$B$430:$B$729,예비비!$A212,예비비!$E$430:$E$729,"&lt;"&amp;EDATE(BK$99,1),예비비!$F$430:$F$729,"결제대금비")+MAX(0,IF(예비비!$D212&lt;EDATE(BK$99,1),예비비!$E212,0)-SUMIFS(예비비!$O$430:$O$729,예비비!$B$430:$B$729,예비비!$A212,예비비!$E$430:$E$729,"&lt;"&amp;EDATE(BK$99,1))),0)</f>
        <v>0</v>
      </c>
      <c r="BL212">
        <f>IF(예비비!$R212="OK",SUMIFS(예비비!$O$430:$O$729,예비비!$B$430:$B$729,예비비!$A212,예비비!$E$430:$E$729,"&lt;"&amp;EDATE(BL$99,1),예비비!$F$430:$F$729,"결제대금비")+MAX(0,IF(예비비!$D212&lt;EDATE(BL$99,1),예비비!$E212,0)-SUMIFS(예비비!$O$430:$O$729,예비비!$B$430:$B$729,예비비!$A212,예비비!$E$430:$E$729,"&lt;"&amp;EDATE(BL$99,1))),0)</f>
        <v>0</v>
      </c>
      <c r="BM212">
        <f>IF(예비비!$R212="OK",SUMIFS(예비비!$O$430:$O$729,예비비!$B$430:$B$729,예비비!$A212,예비비!$E$430:$E$729,"&lt;"&amp;EDATE(BM$99,1),예비비!$F$430:$F$729,"결제대금비")+MAX(0,IF(예비비!$D212&lt;EDATE(BM$99,1),예비비!$E212,0)-SUMIFS(예비비!$O$430:$O$729,예비비!$B$430:$B$729,예비비!$A212,예비비!$E$430:$E$729,"&lt;"&amp;EDATE(BM$99,1))),0)</f>
        <v>0</v>
      </c>
      <c r="BN212">
        <f>IF(예비비!$R212="OK",SUMIFS(예비비!$O$430:$O$729,예비비!$B$430:$B$729,예비비!$A212,예비비!$E$430:$E$729,"&lt;"&amp;EDATE(BN$99,1),예비비!$F$430:$F$729,"결제대금비")+MAX(0,IF(예비비!$D212&lt;EDATE(BN$99,1),예비비!$E212,0)-SUMIFS(예비비!$O$430:$O$729,예비비!$B$430:$B$729,예비비!$A212,예비비!$E$430:$E$729,"&lt;"&amp;EDATE(BN$99,1))),0)</f>
        <v>0</v>
      </c>
      <c r="BO212">
        <f>IF(예비비!$R212="OK",SUMIFS(예비비!$O$430:$O$729,예비비!$B$430:$B$729,예비비!$A212,예비비!$E$430:$E$729,"&lt;"&amp;EDATE(BO$99,1),예비비!$F$430:$F$729,"결제대금비")+MAX(0,IF(예비비!$D212&lt;EDATE(BO$99,1),예비비!$E212,0)-SUMIFS(예비비!$O$430:$O$729,예비비!$B$430:$B$729,예비비!$A212,예비비!$E$430:$E$729,"&lt;"&amp;EDATE(BO$99,1))),0)</f>
        <v>0</v>
      </c>
      <c r="BP212">
        <f>IF(예비비!$R212="OK",SUMIFS(예비비!$O$430:$O$729,예비비!$B$430:$B$729,예비비!$A212,예비비!$E$430:$E$729,"&lt;"&amp;EDATE(BP$99,1),예비비!$F$430:$F$729,"결제대금비")+MAX(0,IF(예비비!$D212&lt;EDATE(BP$99,1),예비비!$E212,0)-SUMIFS(예비비!$O$430:$O$729,예비비!$B$430:$B$729,예비비!$A212,예비비!$E$430:$E$729,"&lt;"&amp;EDATE(BP$99,1))),0)</f>
        <v>0</v>
      </c>
      <c r="BQ212">
        <f>IF(예비비!$R212="OK",SUMIFS(예비비!$O$430:$O$729,예비비!$B$430:$B$729,예비비!$A212,예비비!$E$430:$E$729,"&lt;"&amp;EDATE(BQ$99,1),예비비!$F$430:$F$729,"결제대금비")+MAX(0,IF(예비비!$D212&lt;EDATE(BQ$99,1),예비비!$E212,0)-SUMIFS(예비비!$O$430:$O$729,예비비!$B$430:$B$729,예비비!$A212,예비비!$E$430:$E$729,"&lt;"&amp;EDATE(BQ$99,1))),0)</f>
        <v>0</v>
      </c>
      <c r="BR212">
        <f>IF(예비비!$R212="OK",SUMIFS(예비비!$O$430:$O$729,예비비!$B$430:$B$729,예비비!$A212,예비비!$E$430:$E$729,"&lt;"&amp;EDATE(BR$99,1),예비비!$F$430:$F$729,"결제대금비")+MAX(0,IF(예비비!$D212&lt;EDATE(BR$99,1),예비비!$E212,0)-SUMIFS(예비비!$O$430:$O$729,예비비!$B$430:$B$729,예비비!$A212,예비비!$E$430:$E$729,"&lt;"&amp;EDATE(BR$99,1))),0)</f>
        <v>0</v>
      </c>
      <c r="BS212">
        <f>IF(예비비!$R212="OK",SUMIFS(예비비!$O$430:$O$729,예비비!$B$430:$B$729,예비비!$A212,예비비!$E$430:$E$729,"&lt;"&amp;EDATE(BS$99,1),예비비!$F$430:$F$729,"결제대금비")+MAX(0,IF(예비비!$D212&lt;EDATE(BS$99,1),예비비!$E212,0)-SUMIFS(예비비!$O$430:$O$729,예비비!$B$430:$B$729,예비비!$A212,예비비!$E$430:$E$729,"&lt;"&amp;EDATE(BS$99,1))),0)</f>
        <v>0</v>
      </c>
      <c r="BT212">
        <f>IF(예비비!$R212="OK",SUMIFS(예비비!$O$430:$O$729,예비비!$B$430:$B$729,예비비!$A212,예비비!$E$430:$E$729,"&lt;"&amp;EDATE(BT$99,1),예비비!$F$430:$F$729,"결제대금비")+MAX(0,IF(예비비!$D212&lt;EDATE(BT$99,1),예비비!$E212,0)-SUMIFS(예비비!$O$430:$O$729,예비비!$B$430:$B$729,예비비!$A212,예비비!$E$430:$E$729,"&lt;"&amp;EDATE(BT$99,1))),0)</f>
        <v>0</v>
      </c>
      <c r="BU212">
        <f>IF(예비비!$R212="OK",SUMIFS(예비비!$O$430:$O$729,예비비!$B$430:$B$729,예비비!$A212,예비비!$E$430:$E$729,"&lt;"&amp;EDATE(BU$99,1),예비비!$F$430:$F$729,"결제대금비")+MAX(0,IF(예비비!$D212&lt;EDATE(BU$99,1),예비비!$E212,0)-SUMIFS(예비비!$O$430:$O$729,예비비!$B$430:$B$729,예비비!$A212,예비비!$E$430:$E$729,"&lt;"&amp;EDATE(BU$99,1))),0)</f>
        <v>0</v>
      </c>
    </row>
    <row r="213">
      <c r="BA213">
        <v>157</v>
      </c>
      <c r="BB213">
        <f>IFERROR(INDEX(잔액!$A:$A,BA213),0)</f>
        <v>46204.0</v>
      </c>
      <c r="BH213">
        <f>IFERROR(IF(AND(BB213&gt;0,OR(COUNTIFS(예비비!$C$430:$C$729,BA213,예비비!$N$430:$N$729,"OK")&gt;0,AND(INDEX(잔액!$J:$J,BA213)="가족통장",INDEX(잔액!$K:$K,BA213)="미래에셋_WRAP형CMA"),COUNTIF(예비비!$A$8:$A$12,INDEX(잔액!$C:$C,BA213))=1,COUNTIF(예비비!$A$8:$A$12,INDEX(잔액!$D:$D,BA213))=1),OR(AND(BB213&gt;=예비비!$B$3,BB213&lt;EDATE(예비비!$B$3,1)),AND(BB213&lt;EDATE(예비비!$B$3,1),COUNTIFS(예비비!$C$430:$C$729,BA213,예비비!$L$430:$L$729,예비비!$B$3,예비비!$N$430:$N$729,"OK")&gt;0))),MAX($BH$120:BH212)+1,0),0)</f>
        <v>0</v>
      </c>
      <c r="BI213">
        <f>IF(예비비!$R213="OK",SUMIFS(예비비!$O$430:$O$729,예비비!$B$430:$B$729,예비비!$A213,예비비!$E$430:$E$729,"&lt;"&amp;EDATE(BI$99,1),예비비!$F$430:$F$729,"결제대금비")+MAX(0,IF(예비비!$D213&lt;EDATE(BI$99,1),예비비!$E213,0)-SUMIFS(예비비!$O$430:$O$729,예비비!$B$430:$B$729,예비비!$A213,예비비!$E$430:$E$729,"&lt;"&amp;EDATE(BI$99,1))),0)</f>
        <v>0</v>
      </c>
      <c r="BJ213">
        <f>IF(예비비!$R213="OK",SUMIFS(예비비!$O$430:$O$729,예비비!$B$430:$B$729,예비비!$A213,예비비!$E$430:$E$729,"&lt;"&amp;EDATE(BJ$99,1),예비비!$F$430:$F$729,"결제대금비")+MAX(0,IF(예비비!$D213&lt;EDATE(BJ$99,1),예비비!$E213,0)-SUMIFS(예비비!$O$430:$O$729,예비비!$B$430:$B$729,예비비!$A213,예비비!$E$430:$E$729,"&lt;"&amp;EDATE(BJ$99,1))),0)</f>
        <v>0</v>
      </c>
      <c r="BK213">
        <f>IF(예비비!$R213="OK",SUMIFS(예비비!$O$430:$O$729,예비비!$B$430:$B$729,예비비!$A213,예비비!$E$430:$E$729,"&lt;"&amp;EDATE(BK$99,1),예비비!$F$430:$F$729,"결제대금비")+MAX(0,IF(예비비!$D213&lt;EDATE(BK$99,1),예비비!$E213,0)-SUMIFS(예비비!$O$430:$O$729,예비비!$B$430:$B$729,예비비!$A213,예비비!$E$430:$E$729,"&lt;"&amp;EDATE(BK$99,1))),0)</f>
        <v>0</v>
      </c>
      <c r="BL213">
        <f>IF(예비비!$R213="OK",SUMIFS(예비비!$O$430:$O$729,예비비!$B$430:$B$729,예비비!$A213,예비비!$E$430:$E$729,"&lt;"&amp;EDATE(BL$99,1),예비비!$F$430:$F$729,"결제대금비")+MAX(0,IF(예비비!$D213&lt;EDATE(BL$99,1),예비비!$E213,0)-SUMIFS(예비비!$O$430:$O$729,예비비!$B$430:$B$729,예비비!$A213,예비비!$E$430:$E$729,"&lt;"&amp;EDATE(BL$99,1))),0)</f>
        <v>0</v>
      </c>
      <c r="BM213">
        <f>IF(예비비!$R213="OK",SUMIFS(예비비!$O$430:$O$729,예비비!$B$430:$B$729,예비비!$A213,예비비!$E$430:$E$729,"&lt;"&amp;EDATE(BM$99,1),예비비!$F$430:$F$729,"결제대금비")+MAX(0,IF(예비비!$D213&lt;EDATE(BM$99,1),예비비!$E213,0)-SUMIFS(예비비!$O$430:$O$729,예비비!$B$430:$B$729,예비비!$A213,예비비!$E$430:$E$729,"&lt;"&amp;EDATE(BM$99,1))),0)</f>
        <v>0</v>
      </c>
      <c r="BN213">
        <f>IF(예비비!$R213="OK",SUMIFS(예비비!$O$430:$O$729,예비비!$B$430:$B$729,예비비!$A213,예비비!$E$430:$E$729,"&lt;"&amp;EDATE(BN$99,1),예비비!$F$430:$F$729,"결제대금비")+MAX(0,IF(예비비!$D213&lt;EDATE(BN$99,1),예비비!$E213,0)-SUMIFS(예비비!$O$430:$O$729,예비비!$B$430:$B$729,예비비!$A213,예비비!$E$430:$E$729,"&lt;"&amp;EDATE(BN$99,1))),0)</f>
        <v>0</v>
      </c>
      <c r="BO213">
        <f>IF(예비비!$R213="OK",SUMIFS(예비비!$O$430:$O$729,예비비!$B$430:$B$729,예비비!$A213,예비비!$E$430:$E$729,"&lt;"&amp;EDATE(BO$99,1),예비비!$F$430:$F$729,"결제대금비")+MAX(0,IF(예비비!$D213&lt;EDATE(BO$99,1),예비비!$E213,0)-SUMIFS(예비비!$O$430:$O$729,예비비!$B$430:$B$729,예비비!$A213,예비비!$E$430:$E$729,"&lt;"&amp;EDATE(BO$99,1))),0)</f>
        <v>0</v>
      </c>
      <c r="BP213">
        <f>IF(예비비!$R213="OK",SUMIFS(예비비!$O$430:$O$729,예비비!$B$430:$B$729,예비비!$A213,예비비!$E$430:$E$729,"&lt;"&amp;EDATE(BP$99,1),예비비!$F$430:$F$729,"결제대금비")+MAX(0,IF(예비비!$D213&lt;EDATE(BP$99,1),예비비!$E213,0)-SUMIFS(예비비!$O$430:$O$729,예비비!$B$430:$B$729,예비비!$A213,예비비!$E$430:$E$729,"&lt;"&amp;EDATE(BP$99,1))),0)</f>
        <v>0</v>
      </c>
      <c r="BQ213">
        <f>IF(예비비!$R213="OK",SUMIFS(예비비!$O$430:$O$729,예비비!$B$430:$B$729,예비비!$A213,예비비!$E$430:$E$729,"&lt;"&amp;EDATE(BQ$99,1),예비비!$F$430:$F$729,"결제대금비")+MAX(0,IF(예비비!$D213&lt;EDATE(BQ$99,1),예비비!$E213,0)-SUMIFS(예비비!$O$430:$O$729,예비비!$B$430:$B$729,예비비!$A213,예비비!$E$430:$E$729,"&lt;"&amp;EDATE(BQ$99,1))),0)</f>
        <v>0</v>
      </c>
      <c r="BR213">
        <f>IF(예비비!$R213="OK",SUMIFS(예비비!$O$430:$O$729,예비비!$B$430:$B$729,예비비!$A213,예비비!$E$430:$E$729,"&lt;"&amp;EDATE(BR$99,1),예비비!$F$430:$F$729,"결제대금비")+MAX(0,IF(예비비!$D213&lt;EDATE(BR$99,1),예비비!$E213,0)-SUMIFS(예비비!$O$430:$O$729,예비비!$B$430:$B$729,예비비!$A213,예비비!$E$430:$E$729,"&lt;"&amp;EDATE(BR$99,1))),0)</f>
        <v>0</v>
      </c>
      <c r="BS213">
        <f>IF(예비비!$R213="OK",SUMIFS(예비비!$O$430:$O$729,예비비!$B$430:$B$729,예비비!$A213,예비비!$E$430:$E$729,"&lt;"&amp;EDATE(BS$99,1),예비비!$F$430:$F$729,"결제대금비")+MAX(0,IF(예비비!$D213&lt;EDATE(BS$99,1),예비비!$E213,0)-SUMIFS(예비비!$O$430:$O$729,예비비!$B$430:$B$729,예비비!$A213,예비비!$E$430:$E$729,"&lt;"&amp;EDATE(BS$99,1))),0)</f>
        <v>0</v>
      </c>
      <c r="BT213">
        <f>IF(예비비!$R213="OK",SUMIFS(예비비!$O$430:$O$729,예비비!$B$430:$B$729,예비비!$A213,예비비!$E$430:$E$729,"&lt;"&amp;EDATE(BT$99,1),예비비!$F$430:$F$729,"결제대금비")+MAX(0,IF(예비비!$D213&lt;EDATE(BT$99,1),예비비!$E213,0)-SUMIFS(예비비!$O$430:$O$729,예비비!$B$430:$B$729,예비비!$A213,예비비!$E$430:$E$729,"&lt;"&amp;EDATE(BT$99,1))),0)</f>
        <v>0</v>
      </c>
      <c r="BU213">
        <f>IF(예비비!$R213="OK",SUMIFS(예비비!$O$430:$O$729,예비비!$B$430:$B$729,예비비!$A213,예비비!$E$430:$E$729,"&lt;"&amp;EDATE(BU$99,1),예비비!$F$430:$F$729,"결제대금비")+MAX(0,IF(예비비!$D213&lt;EDATE(BU$99,1),예비비!$E213,0)-SUMIFS(예비비!$O$430:$O$729,예비비!$B$430:$B$729,예비비!$A213,예비비!$E$430:$E$729,"&lt;"&amp;EDATE(BU$99,1))),0)</f>
        <v>0</v>
      </c>
    </row>
    <row r="214">
      <c r="BA214">
        <v>158</v>
      </c>
      <c r="BB214">
        <f>IFERROR(INDEX(잔액!$A:$A,BA214),0)</f>
        <v>46204.0</v>
      </c>
      <c r="BH214">
        <f>IFERROR(IF(AND(BB214&gt;0,OR(COUNTIFS(예비비!$C$430:$C$729,BA214,예비비!$N$430:$N$729,"OK")&gt;0,AND(INDEX(잔액!$J:$J,BA214)="가족통장",INDEX(잔액!$K:$K,BA214)="미래에셋_WRAP형CMA"),COUNTIF(예비비!$A$8:$A$12,INDEX(잔액!$C:$C,BA214))=1,COUNTIF(예비비!$A$8:$A$12,INDEX(잔액!$D:$D,BA214))=1),OR(AND(BB214&gt;=예비비!$B$3,BB214&lt;EDATE(예비비!$B$3,1)),AND(BB214&lt;EDATE(예비비!$B$3,1),COUNTIFS(예비비!$C$430:$C$729,BA214,예비비!$L$430:$L$729,예비비!$B$3,예비비!$N$430:$N$729,"OK")&gt;0))),MAX($BH$120:BH213)+1,0),0)</f>
        <v>0</v>
      </c>
      <c r="BI214">
        <f>IF(예비비!$R214="OK",SUMIFS(예비비!$O$430:$O$729,예비비!$B$430:$B$729,예비비!$A214,예비비!$E$430:$E$729,"&lt;"&amp;EDATE(BI$99,1),예비비!$F$430:$F$729,"결제대금비")+MAX(0,IF(예비비!$D214&lt;EDATE(BI$99,1),예비비!$E214,0)-SUMIFS(예비비!$O$430:$O$729,예비비!$B$430:$B$729,예비비!$A214,예비비!$E$430:$E$729,"&lt;"&amp;EDATE(BI$99,1))),0)</f>
        <v>0</v>
      </c>
      <c r="BJ214">
        <f>IF(예비비!$R214="OK",SUMIFS(예비비!$O$430:$O$729,예비비!$B$430:$B$729,예비비!$A214,예비비!$E$430:$E$729,"&lt;"&amp;EDATE(BJ$99,1),예비비!$F$430:$F$729,"결제대금비")+MAX(0,IF(예비비!$D214&lt;EDATE(BJ$99,1),예비비!$E214,0)-SUMIFS(예비비!$O$430:$O$729,예비비!$B$430:$B$729,예비비!$A214,예비비!$E$430:$E$729,"&lt;"&amp;EDATE(BJ$99,1))),0)</f>
        <v>0</v>
      </c>
      <c r="BK214">
        <f>IF(예비비!$R214="OK",SUMIFS(예비비!$O$430:$O$729,예비비!$B$430:$B$729,예비비!$A214,예비비!$E$430:$E$729,"&lt;"&amp;EDATE(BK$99,1),예비비!$F$430:$F$729,"결제대금비")+MAX(0,IF(예비비!$D214&lt;EDATE(BK$99,1),예비비!$E214,0)-SUMIFS(예비비!$O$430:$O$729,예비비!$B$430:$B$729,예비비!$A214,예비비!$E$430:$E$729,"&lt;"&amp;EDATE(BK$99,1))),0)</f>
        <v>0</v>
      </c>
      <c r="BL214">
        <f>IF(예비비!$R214="OK",SUMIFS(예비비!$O$430:$O$729,예비비!$B$430:$B$729,예비비!$A214,예비비!$E$430:$E$729,"&lt;"&amp;EDATE(BL$99,1),예비비!$F$430:$F$729,"결제대금비")+MAX(0,IF(예비비!$D214&lt;EDATE(BL$99,1),예비비!$E214,0)-SUMIFS(예비비!$O$430:$O$729,예비비!$B$430:$B$729,예비비!$A214,예비비!$E$430:$E$729,"&lt;"&amp;EDATE(BL$99,1))),0)</f>
        <v>0</v>
      </c>
      <c r="BM214">
        <f>IF(예비비!$R214="OK",SUMIFS(예비비!$O$430:$O$729,예비비!$B$430:$B$729,예비비!$A214,예비비!$E$430:$E$729,"&lt;"&amp;EDATE(BM$99,1),예비비!$F$430:$F$729,"결제대금비")+MAX(0,IF(예비비!$D214&lt;EDATE(BM$99,1),예비비!$E214,0)-SUMIFS(예비비!$O$430:$O$729,예비비!$B$430:$B$729,예비비!$A214,예비비!$E$430:$E$729,"&lt;"&amp;EDATE(BM$99,1))),0)</f>
        <v>0</v>
      </c>
      <c r="BN214">
        <f>IF(예비비!$R214="OK",SUMIFS(예비비!$O$430:$O$729,예비비!$B$430:$B$729,예비비!$A214,예비비!$E$430:$E$729,"&lt;"&amp;EDATE(BN$99,1),예비비!$F$430:$F$729,"결제대금비")+MAX(0,IF(예비비!$D214&lt;EDATE(BN$99,1),예비비!$E214,0)-SUMIFS(예비비!$O$430:$O$729,예비비!$B$430:$B$729,예비비!$A214,예비비!$E$430:$E$729,"&lt;"&amp;EDATE(BN$99,1))),0)</f>
        <v>0</v>
      </c>
      <c r="BO214">
        <f>IF(예비비!$R214="OK",SUMIFS(예비비!$O$430:$O$729,예비비!$B$430:$B$729,예비비!$A214,예비비!$E$430:$E$729,"&lt;"&amp;EDATE(BO$99,1),예비비!$F$430:$F$729,"결제대금비")+MAX(0,IF(예비비!$D214&lt;EDATE(BO$99,1),예비비!$E214,0)-SUMIFS(예비비!$O$430:$O$729,예비비!$B$430:$B$729,예비비!$A214,예비비!$E$430:$E$729,"&lt;"&amp;EDATE(BO$99,1))),0)</f>
        <v>0</v>
      </c>
      <c r="BP214">
        <f>IF(예비비!$R214="OK",SUMIFS(예비비!$O$430:$O$729,예비비!$B$430:$B$729,예비비!$A214,예비비!$E$430:$E$729,"&lt;"&amp;EDATE(BP$99,1),예비비!$F$430:$F$729,"결제대금비")+MAX(0,IF(예비비!$D214&lt;EDATE(BP$99,1),예비비!$E214,0)-SUMIFS(예비비!$O$430:$O$729,예비비!$B$430:$B$729,예비비!$A214,예비비!$E$430:$E$729,"&lt;"&amp;EDATE(BP$99,1))),0)</f>
        <v>0</v>
      </c>
      <c r="BQ214">
        <f>IF(예비비!$R214="OK",SUMIFS(예비비!$O$430:$O$729,예비비!$B$430:$B$729,예비비!$A214,예비비!$E$430:$E$729,"&lt;"&amp;EDATE(BQ$99,1),예비비!$F$430:$F$729,"결제대금비")+MAX(0,IF(예비비!$D214&lt;EDATE(BQ$99,1),예비비!$E214,0)-SUMIFS(예비비!$O$430:$O$729,예비비!$B$430:$B$729,예비비!$A214,예비비!$E$430:$E$729,"&lt;"&amp;EDATE(BQ$99,1))),0)</f>
        <v>0</v>
      </c>
      <c r="BR214">
        <f>IF(예비비!$R214="OK",SUMIFS(예비비!$O$430:$O$729,예비비!$B$430:$B$729,예비비!$A214,예비비!$E$430:$E$729,"&lt;"&amp;EDATE(BR$99,1),예비비!$F$430:$F$729,"결제대금비")+MAX(0,IF(예비비!$D214&lt;EDATE(BR$99,1),예비비!$E214,0)-SUMIFS(예비비!$O$430:$O$729,예비비!$B$430:$B$729,예비비!$A214,예비비!$E$430:$E$729,"&lt;"&amp;EDATE(BR$99,1))),0)</f>
        <v>0</v>
      </c>
      <c r="BS214">
        <f>IF(예비비!$R214="OK",SUMIFS(예비비!$O$430:$O$729,예비비!$B$430:$B$729,예비비!$A214,예비비!$E$430:$E$729,"&lt;"&amp;EDATE(BS$99,1),예비비!$F$430:$F$729,"결제대금비")+MAX(0,IF(예비비!$D214&lt;EDATE(BS$99,1),예비비!$E214,0)-SUMIFS(예비비!$O$430:$O$729,예비비!$B$430:$B$729,예비비!$A214,예비비!$E$430:$E$729,"&lt;"&amp;EDATE(BS$99,1))),0)</f>
        <v>0</v>
      </c>
      <c r="BT214">
        <f>IF(예비비!$R214="OK",SUMIFS(예비비!$O$430:$O$729,예비비!$B$430:$B$729,예비비!$A214,예비비!$E$430:$E$729,"&lt;"&amp;EDATE(BT$99,1),예비비!$F$430:$F$729,"결제대금비")+MAX(0,IF(예비비!$D214&lt;EDATE(BT$99,1),예비비!$E214,0)-SUMIFS(예비비!$O$430:$O$729,예비비!$B$430:$B$729,예비비!$A214,예비비!$E$430:$E$729,"&lt;"&amp;EDATE(BT$99,1))),0)</f>
        <v>0</v>
      </c>
      <c r="BU214">
        <f>IF(예비비!$R214="OK",SUMIFS(예비비!$O$430:$O$729,예비비!$B$430:$B$729,예비비!$A214,예비비!$E$430:$E$729,"&lt;"&amp;EDATE(BU$99,1),예비비!$F$430:$F$729,"결제대금비")+MAX(0,IF(예비비!$D214&lt;EDATE(BU$99,1),예비비!$E214,0)-SUMIFS(예비비!$O$430:$O$729,예비비!$B$430:$B$729,예비비!$A214,예비비!$E$430:$E$729,"&lt;"&amp;EDATE(BU$99,1))),0)</f>
        <v>0</v>
      </c>
    </row>
    <row r="215">
      <c r="BA215">
        <v>159</v>
      </c>
      <c r="BB215">
        <f>IFERROR(INDEX(잔액!$A:$A,BA215),0)</f>
        <v>46204.0</v>
      </c>
      <c r="BH215">
        <f>IFERROR(IF(AND(BB215&gt;0,OR(COUNTIFS(예비비!$C$430:$C$729,BA215,예비비!$N$430:$N$729,"OK")&gt;0,AND(INDEX(잔액!$J:$J,BA215)="가족통장",INDEX(잔액!$K:$K,BA215)="미래에셋_WRAP형CMA"),COUNTIF(예비비!$A$8:$A$12,INDEX(잔액!$C:$C,BA215))=1,COUNTIF(예비비!$A$8:$A$12,INDEX(잔액!$D:$D,BA215))=1),OR(AND(BB215&gt;=예비비!$B$3,BB215&lt;EDATE(예비비!$B$3,1)),AND(BB215&lt;EDATE(예비비!$B$3,1),COUNTIFS(예비비!$C$430:$C$729,BA215,예비비!$L$430:$L$729,예비비!$B$3,예비비!$N$430:$N$729,"OK")&gt;0))),MAX($BH$120:BH214)+1,0),0)</f>
        <v>0</v>
      </c>
      <c r="BI215">
        <f>IF(예비비!$R215="OK",SUMIFS(예비비!$O$430:$O$729,예비비!$B$430:$B$729,예비비!$A215,예비비!$E$430:$E$729,"&lt;"&amp;EDATE(BI$99,1),예비비!$F$430:$F$729,"결제대금비")+MAX(0,IF(예비비!$D215&lt;EDATE(BI$99,1),예비비!$E215,0)-SUMIFS(예비비!$O$430:$O$729,예비비!$B$430:$B$729,예비비!$A215,예비비!$E$430:$E$729,"&lt;"&amp;EDATE(BI$99,1))),0)</f>
        <v>0</v>
      </c>
      <c r="BJ215">
        <f>IF(예비비!$R215="OK",SUMIFS(예비비!$O$430:$O$729,예비비!$B$430:$B$729,예비비!$A215,예비비!$E$430:$E$729,"&lt;"&amp;EDATE(BJ$99,1),예비비!$F$430:$F$729,"결제대금비")+MAX(0,IF(예비비!$D215&lt;EDATE(BJ$99,1),예비비!$E215,0)-SUMIFS(예비비!$O$430:$O$729,예비비!$B$430:$B$729,예비비!$A215,예비비!$E$430:$E$729,"&lt;"&amp;EDATE(BJ$99,1))),0)</f>
        <v>0</v>
      </c>
      <c r="BK215">
        <f>IF(예비비!$R215="OK",SUMIFS(예비비!$O$430:$O$729,예비비!$B$430:$B$729,예비비!$A215,예비비!$E$430:$E$729,"&lt;"&amp;EDATE(BK$99,1),예비비!$F$430:$F$729,"결제대금비")+MAX(0,IF(예비비!$D215&lt;EDATE(BK$99,1),예비비!$E215,0)-SUMIFS(예비비!$O$430:$O$729,예비비!$B$430:$B$729,예비비!$A215,예비비!$E$430:$E$729,"&lt;"&amp;EDATE(BK$99,1))),0)</f>
        <v>0</v>
      </c>
      <c r="BL215">
        <f>IF(예비비!$R215="OK",SUMIFS(예비비!$O$430:$O$729,예비비!$B$430:$B$729,예비비!$A215,예비비!$E$430:$E$729,"&lt;"&amp;EDATE(BL$99,1),예비비!$F$430:$F$729,"결제대금비")+MAX(0,IF(예비비!$D215&lt;EDATE(BL$99,1),예비비!$E215,0)-SUMIFS(예비비!$O$430:$O$729,예비비!$B$430:$B$729,예비비!$A215,예비비!$E$430:$E$729,"&lt;"&amp;EDATE(BL$99,1))),0)</f>
        <v>0</v>
      </c>
      <c r="BM215">
        <f>IF(예비비!$R215="OK",SUMIFS(예비비!$O$430:$O$729,예비비!$B$430:$B$729,예비비!$A215,예비비!$E$430:$E$729,"&lt;"&amp;EDATE(BM$99,1),예비비!$F$430:$F$729,"결제대금비")+MAX(0,IF(예비비!$D215&lt;EDATE(BM$99,1),예비비!$E215,0)-SUMIFS(예비비!$O$430:$O$729,예비비!$B$430:$B$729,예비비!$A215,예비비!$E$430:$E$729,"&lt;"&amp;EDATE(BM$99,1))),0)</f>
        <v>0</v>
      </c>
      <c r="BN215">
        <f>IF(예비비!$R215="OK",SUMIFS(예비비!$O$430:$O$729,예비비!$B$430:$B$729,예비비!$A215,예비비!$E$430:$E$729,"&lt;"&amp;EDATE(BN$99,1),예비비!$F$430:$F$729,"결제대금비")+MAX(0,IF(예비비!$D215&lt;EDATE(BN$99,1),예비비!$E215,0)-SUMIFS(예비비!$O$430:$O$729,예비비!$B$430:$B$729,예비비!$A215,예비비!$E$430:$E$729,"&lt;"&amp;EDATE(BN$99,1))),0)</f>
        <v>0</v>
      </c>
      <c r="BO215">
        <f>IF(예비비!$R215="OK",SUMIFS(예비비!$O$430:$O$729,예비비!$B$430:$B$729,예비비!$A215,예비비!$E$430:$E$729,"&lt;"&amp;EDATE(BO$99,1),예비비!$F$430:$F$729,"결제대금비")+MAX(0,IF(예비비!$D215&lt;EDATE(BO$99,1),예비비!$E215,0)-SUMIFS(예비비!$O$430:$O$729,예비비!$B$430:$B$729,예비비!$A215,예비비!$E$430:$E$729,"&lt;"&amp;EDATE(BO$99,1))),0)</f>
        <v>0</v>
      </c>
      <c r="BP215">
        <f>IF(예비비!$R215="OK",SUMIFS(예비비!$O$430:$O$729,예비비!$B$430:$B$729,예비비!$A215,예비비!$E$430:$E$729,"&lt;"&amp;EDATE(BP$99,1),예비비!$F$430:$F$729,"결제대금비")+MAX(0,IF(예비비!$D215&lt;EDATE(BP$99,1),예비비!$E215,0)-SUMIFS(예비비!$O$430:$O$729,예비비!$B$430:$B$729,예비비!$A215,예비비!$E$430:$E$729,"&lt;"&amp;EDATE(BP$99,1))),0)</f>
        <v>0</v>
      </c>
      <c r="BQ215">
        <f>IF(예비비!$R215="OK",SUMIFS(예비비!$O$430:$O$729,예비비!$B$430:$B$729,예비비!$A215,예비비!$E$430:$E$729,"&lt;"&amp;EDATE(BQ$99,1),예비비!$F$430:$F$729,"결제대금비")+MAX(0,IF(예비비!$D215&lt;EDATE(BQ$99,1),예비비!$E215,0)-SUMIFS(예비비!$O$430:$O$729,예비비!$B$430:$B$729,예비비!$A215,예비비!$E$430:$E$729,"&lt;"&amp;EDATE(BQ$99,1))),0)</f>
        <v>0</v>
      </c>
      <c r="BR215">
        <f>IF(예비비!$R215="OK",SUMIFS(예비비!$O$430:$O$729,예비비!$B$430:$B$729,예비비!$A215,예비비!$E$430:$E$729,"&lt;"&amp;EDATE(BR$99,1),예비비!$F$430:$F$729,"결제대금비")+MAX(0,IF(예비비!$D215&lt;EDATE(BR$99,1),예비비!$E215,0)-SUMIFS(예비비!$O$430:$O$729,예비비!$B$430:$B$729,예비비!$A215,예비비!$E$430:$E$729,"&lt;"&amp;EDATE(BR$99,1))),0)</f>
        <v>0</v>
      </c>
      <c r="BS215">
        <f>IF(예비비!$R215="OK",SUMIFS(예비비!$O$430:$O$729,예비비!$B$430:$B$729,예비비!$A215,예비비!$E$430:$E$729,"&lt;"&amp;EDATE(BS$99,1),예비비!$F$430:$F$729,"결제대금비")+MAX(0,IF(예비비!$D215&lt;EDATE(BS$99,1),예비비!$E215,0)-SUMIFS(예비비!$O$430:$O$729,예비비!$B$430:$B$729,예비비!$A215,예비비!$E$430:$E$729,"&lt;"&amp;EDATE(BS$99,1))),0)</f>
        <v>0</v>
      </c>
      <c r="BT215">
        <f>IF(예비비!$R215="OK",SUMIFS(예비비!$O$430:$O$729,예비비!$B$430:$B$729,예비비!$A215,예비비!$E$430:$E$729,"&lt;"&amp;EDATE(BT$99,1),예비비!$F$430:$F$729,"결제대금비")+MAX(0,IF(예비비!$D215&lt;EDATE(BT$99,1),예비비!$E215,0)-SUMIFS(예비비!$O$430:$O$729,예비비!$B$430:$B$729,예비비!$A215,예비비!$E$430:$E$729,"&lt;"&amp;EDATE(BT$99,1))),0)</f>
        <v>0</v>
      </c>
      <c r="BU215">
        <f>IF(예비비!$R215="OK",SUMIFS(예비비!$O$430:$O$729,예비비!$B$430:$B$729,예비비!$A215,예비비!$E$430:$E$729,"&lt;"&amp;EDATE(BU$99,1),예비비!$F$430:$F$729,"결제대금비")+MAX(0,IF(예비비!$D215&lt;EDATE(BU$99,1),예비비!$E215,0)-SUMIFS(예비비!$O$430:$O$729,예비비!$B$430:$B$729,예비비!$A215,예비비!$E$430:$E$729,"&lt;"&amp;EDATE(BU$99,1))),0)</f>
        <v>0</v>
      </c>
    </row>
    <row r="216">
      <c r="BA216">
        <v>160</v>
      </c>
      <c r="BB216">
        <f>IFERROR(INDEX(잔액!$A:$A,BA216),0)</f>
        <v>46204.0</v>
      </c>
      <c r="BH216">
        <f>IFERROR(IF(AND(BB216&gt;0,OR(COUNTIFS(예비비!$C$430:$C$729,BA216,예비비!$N$430:$N$729,"OK")&gt;0,AND(INDEX(잔액!$J:$J,BA216)="가족통장",INDEX(잔액!$K:$K,BA216)="미래에셋_WRAP형CMA"),COUNTIF(예비비!$A$8:$A$12,INDEX(잔액!$C:$C,BA216))=1,COUNTIF(예비비!$A$8:$A$12,INDEX(잔액!$D:$D,BA216))=1),OR(AND(BB216&gt;=예비비!$B$3,BB216&lt;EDATE(예비비!$B$3,1)),AND(BB216&lt;EDATE(예비비!$B$3,1),COUNTIFS(예비비!$C$430:$C$729,BA216,예비비!$L$430:$L$729,예비비!$B$3,예비비!$N$430:$N$729,"OK")&gt;0))),MAX($BH$120:BH215)+1,0),0)</f>
        <v>0</v>
      </c>
      <c r="BI216">
        <f>IF(예비비!$R216="OK",SUMIFS(예비비!$O$430:$O$729,예비비!$B$430:$B$729,예비비!$A216,예비비!$E$430:$E$729,"&lt;"&amp;EDATE(BI$99,1),예비비!$F$430:$F$729,"결제대금비")+MAX(0,IF(예비비!$D216&lt;EDATE(BI$99,1),예비비!$E216,0)-SUMIFS(예비비!$O$430:$O$729,예비비!$B$430:$B$729,예비비!$A216,예비비!$E$430:$E$729,"&lt;"&amp;EDATE(BI$99,1))),0)</f>
        <v>0</v>
      </c>
      <c r="BJ216">
        <f>IF(예비비!$R216="OK",SUMIFS(예비비!$O$430:$O$729,예비비!$B$430:$B$729,예비비!$A216,예비비!$E$430:$E$729,"&lt;"&amp;EDATE(BJ$99,1),예비비!$F$430:$F$729,"결제대금비")+MAX(0,IF(예비비!$D216&lt;EDATE(BJ$99,1),예비비!$E216,0)-SUMIFS(예비비!$O$430:$O$729,예비비!$B$430:$B$729,예비비!$A216,예비비!$E$430:$E$729,"&lt;"&amp;EDATE(BJ$99,1))),0)</f>
        <v>0</v>
      </c>
      <c r="BK216">
        <f>IF(예비비!$R216="OK",SUMIFS(예비비!$O$430:$O$729,예비비!$B$430:$B$729,예비비!$A216,예비비!$E$430:$E$729,"&lt;"&amp;EDATE(BK$99,1),예비비!$F$430:$F$729,"결제대금비")+MAX(0,IF(예비비!$D216&lt;EDATE(BK$99,1),예비비!$E216,0)-SUMIFS(예비비!$O$430:$O$729,예비비!$B$430:$B$729,예비비!$A216,예비비!$E$430:$E$729,"&lt;"&amp;EDATE(BK$99,1))),0)</f>
        <v>0</v>
      </c>
      <c r="BL216">
        <f>IF(예비비!$R216="OK",SUMIFS(예비비!$O$430:$O$729,예비비!$B$430:$B$729,예비비!$A216,예비비!$E$430:$E$729,"&lt;"&amp;EDATE(BL$99,1),예비비!$F$430:$F$729,"결제대금비")+MAX(0,IF(예비비!$D216&lt;EDATE(BL$99,1),예비비!$E216,0)-SUMIFS(예비비!$O$430:$O$729,예비비!$B$430:$B$729,예비비!$A216,예비비!$E$430:$E$729,"&lt;"&amp;EDATE(BL$99,1))),0)</f>
        <v>0</v>
      </c>
      <c r="BM216">
        <f>IF(예비비!$R216="OK",SUMIFS(예비비!$O$430:$O$729,예비비!$B$430:$B$729,예비비!$A216,예비비!$E$430:$E$729,"&lt;"&amp;EDATE(BM$99,1),예비비!$F$430:$F$729,"결제대금비")+MAX(0,IF(예비비!$D216&lt;EDATE(BM$99,1),예비비!$E216,0)-SUMIFS(예비비!$O$430:$O$729,예비비!$B$430:$B$729,예비비!$A216,예비비!$E$430:$E$729,"&lt;"&amp;EDATE(BM$99,1))),0)</f>
        <v>0</v>
      </c>
      <c r="BN216">
        <f>IF(예비비!$R216="OK",SUMIFS(예비비!$O$430:$O$729,예비비!$B$430:$B$729,예비비!$A216,예비비!$E$430:$E$729,"&lt;"&amp;EDATE(BN$99,1),예비비!$F$430:$F$729,"결제대금비")+MAX(0,IF(예비비!$D216&lt;EDATE(BN$99,1),예비비!$E216,0)-SUMIFS(예비비!$O$430:$O$729,예비비!$B$430:$B$729,예비비!$A216,예비비!$E$430:$E$729,"&lt;"&amp;EDATE(BN$99,1))),0)</f>
        <v>0</v>
      </c>
      <c r="BO216">
        <f>IF(예비비!$R216="OK",SUMIFS(예비비!$O$430:$O$729,예비비!$B$430:$B$729,예비비!$A216,예비비!$E$430:$E$729,"&lt;"&amp;EDATE(BO$99,1),예비비!$F$430:$F$729,"결제대금비")+MAX(0,IF(예비비!$D216&lt;EDATE(BO$99,1),예비비!$E216,0)-SUMIFS(예비비!$O$430:$O$729,예비비!$B$430:$B$729,예비비!$A216,예비비!$E$430:$E$729,"&lt;"&amp;EDATE(BO$99,1))),0)</f>
        <v>0</v>
      </c>
      <c r="BP216">
        <f>IF(예비비!$R216="OK",SUMIFS(예비비!$O$430:$O$729,예비비!$B$430:$B$729,예비비!$A216,예비비!$E$430:$E$729,"&lt;"&amp;EDATE(BP$99,1),예비비!$F$430:$F$729,"결제대금비")+MAX(0,IF(예비비!$D216&lt;EDATE(BP$99,1),예비비!$E216,0)-SUMIFS(예비비!$O$430:$O$729,예비비!$B$430:$B$729,예비비!$A216,예비비!$E$430:$E$729,"&lt;"&amp;EDATE(BP$99,1))),0)</f>
        <v>0</v>
      </c>
      <c r="BQ216">
        <f>IF(예비비!$R216="OK",SUMIFS(예비비!$O$430:$O$729,예비비!$B$430:$B$729,예비비!$A216,예비비!$E$430:$E$729,"&lt;"&amp;EDATE(BQ$99,1),예비비!$F$430:$F$729,"결제대금비")+MAX(0,IF(예비비!$D216&lt;EDATE(BQ$99,1),예비비!$E216,0)-SUMIFS(예비비!$O$430:$O$729,예비비!$B$430:$B$729,예비비!$A216,예비비!$E$430:$E$729,"&lt;"&amp;EDATE(BQ$99,1))),0)</f>
        <v>0</v>
      </c>
      <c r="BR216">
        <f>IF(예비비!$R216="OK",SUMIFS(예비비!$O$430:$O$729,예비비!$B$430:$B$729,예비비!$A216,예비비!$E$430:$E$729,"&lt;"&amp;EDATE(BR$99,1),예비비!$F$430:$F$729,"결제대금비")+MAX(0,IF(예비비!$D216&lt;EDATE(BR$99,1),예비비!$E216,0)-SUMIFS(예비비!$O$430:$O$729,예비비!$B$430:$B$729,예비비!$A216,예비비!$E$430:$E$729,"&lt;"&amp;EDATE(BR$99,1))),0)</f>
        <v>0</v>
      </c>
      <c r="BS216">
        <f>IF(예비비!$R216="OK",SUMIFS(예비비!$O$430:$O$729,예비비!$B$430:$B$729,예비비!$A216,예비비!$E$430:$E$729,"&lt;"&amp;EDATE(BS$99,1),예비비!$F$430:$F$729,"결제대금비")+MAX(0,IF(예비비!$D216&lt;EDATE(BS$99,1),예비비!$E216,0)-SUMIFS(예비비!$O$430:$O$729,예비비!$B$430:$B$729,예비비!$A216,예비비!$E$430:$E$729,"&lt;"&amp;EDATE(BS$99,1))),0)</f>
        <v>0</v>
      </c>
      <c r="BT216">
        <f>IF(예비비!$R216="OK",SUMIFS(예비비!$O$430:$O$729,예비비!$B$430:$B$729,예비비!$A216,예비비!$E$430:$E$729,"&lt;"&amp;EDATE(BT$99,1),예비비!$F$430:$F$729,"결제대금비")+MAX(0,IF(예비비!$D216&lt;EDATE(BT$99,1),예비비!$E216,0)-SUMIFS(예비비!$O$430:$O$729,예비비!$B$430:$B$729,예비비!$A216,예비비!$E$430:$E$729,"&lt;"&amp;EDATE(BT$99,1))),0)</f>
        <v>0</v>
      </c>
      <c r="BU216">
        <f>IF(예비비!$R216="OK",SUMIFS(예비비!$O$430:$O$729,예비비!$B$430:$B$729,예비비!$A216,예비비!$E$430:$E$729,"&lt;"&amp;EDATE(BU$99,1),예비비!$F$430:$F$729,"결제대금비")+MAX(0,IF(예비비!$D216&lt;EDATE(BU$99,1),예비비!$E216,0)-SUMIFS(예비비!$O$430:$O$729,예비비!$B$430:$B$729,예비비!$A216,예비비!$E$430:$E$729,"&lt;"&amp;EDATE(BU$99,1))),0)</f>
        <v>0</v>
      </c>
    </row>
    <row r="217">
      <c r="BA217">
        <v>161</v>
      </c>
      <c r="BB217">
        <f>IFERROR(INDEX(잔액!$A:$A,BA217),0)</f>
        <v>46204.0</v>
      </c>
      <c r="BH217">
        <f>IFERROR(IF(AND(BB217&gt;0,OR(COUNTIFS(예비비!$C$430:$C$729,BA217,예비비!$N$430:$N$729,"OK")&gt;0,AND(INDEX(잔액!$J:$J,BA217)="가족통장",INDEX(잔액!$K:$K,BA217)="미래에셋_WRAP형CMA"),COUNTIF(예비비!$A$8:$A$12,INDEX(잔액!$C:$C,BA217))=1,COUNTIF(예비비!$A$8:$A$12,INDEX(잔액!$D:$D,BA217))=1),OR(AND(BB217&gt;=예비비!$B$3,BB217&lt;EDATE(예비비!$B$3,1)),AND(BB217&lt;EDATE(예비비!$B$3,1),COUNTIFS(예비비!$C$430:$C$729,BA217,예비비!$L$430:$L$729,예비비!$B$3,예비비!$N$430:$N$729,"OK")&gt;0))),MAX($BH$120:BH216)+1,0),0)</f>
        <v>0</v>
      </c>
      <c r="BI217">
        <f>IF(예비비!$R217="OK",SUMIFS(예비비!$O$430:$O$729,예비비!$B$430:$B$729,예비비!$A217,예비비!$E$430:$E$729,"&lt;"&amp;EDATE(BI$99,1),예비비!$F$430:$F$729,"결제대금비")+MAX(0,IF(예비비!$D217&lt;EDATE(BI$99,1),예비비!$E217,0)-SUMIFS(예비비!$O$430:$O$729,예비비!$B$430:$B$729,예비비!$A217,예비비!$E$430:$E$729,"&lt;"&amp;EDATE(BI$99,1))),0)</f>
        <v>0</v>
      </c>
      <c r="BJ217">
        <f>IF(예비비!$R217="OK",SUMIFS(예비비!$O$430:$O$729,예비비!$B$430:$B$729,예비비!$A217,예비비!$E$430:$E$729,"&lt;"&amp;EDATE(BJ$99,1),예비비!$F$430:$F$729,"결제대금비")+MAX(0,IF(예비비!$D217&lt;EDATE(BJ$99,1),예비비!$E217,0)-SUMIFS(예비비!$O$430:$O$729,예비비!$B$430:$B$729,예비비!$A217,예비비!$E$430:$E$729,"&lt;"&amp;EDATE(BJ$99,1))),0)</f>
        <v>0</v>
      </c>
      <c r="BK217">
        <f>IF(예비비!$R217="OK",SUMIFS(예비비!$O$430:$O$729,예비비!$B$430:$B$729,예비비!$A217,예비비!$E$430:$E$729,"&lt;"&amp;EDATE(BK$99,1),예비비!$F$430:$F$729,"결제대금비")+MAX(0,IF(예비비!$D217&lt;EDATE(BK$99,1),예비비!$E217,0)-SUMIFS(예비비!$O$430:$O$729,예비비!$B$430:$B$729,예비비!$A217,예비비!$E$430:$E$729,"&lt;"&amp;EDATE(BK$99,1))),0)</f>
        <v>0</v>
      </c>
      <c r="BL217">
        <f>IF(예비비!$R217="OK",SUMIFS(예비비!$O$430:$O$729,예비비!$B$430:$B$729,예비비!$A217,예비비!$E$430:$E$729,"&lt;"&amp;EDATE(BL$99,1),예비비!$F$430:$F$729,"결제대금비")+MAX(0,IF(예비비!$D217&lt;EDATE(BL$99,1),예비비!$E217,0)-SUMIFS(예비비!$O$430:$O$729,예비비!$B$430:$B$729,예비비!$A217,예비비!$E$430:$E$729,"&lt;"&amp;EDATE(BL$99,1))),0)</f>
        <v>0</v>
      </c>
      <c r="BM217">
        <f>IF(예비비!$R217="OK",SUMIFS(예비비!$O$430:$O$729,예비비!$B$430:$B$729,예비비!$A217,예비비!$E$430:$E$729,"&lt;"&amp;EDATE(BM$99,1),예비비!$F$430:$F$729,"결제대금비")+MAX(0,IF(예비비!$D217&lt;EDATE(BM$99,1),예비비!$E217,0)-SUMIFS(예비비!$O$430:$O$729,예비비!$B$430:$B$729,예비비!$A217,예비비!$E$430:$E$729,"&lt;"&amp;EDATE(BM$99,1))),0)</f>
        <v>0</v>
      </c>
      <c r="BN217">
        <f>IF(예비비!$R217="OK",SUMIFS(예비비!$O$430:$O$729,예비비!$B$430:$B$729,예비비!$A217,예비비!$E$430:$E$729,"&lt;"&amp;EDATE(BN$99,1),예비비!$F$430:$F$729,"결제대금비")+MAX(0,IF(예비비!$D217&lt;EDATE(BN$99,1),예비비!$E217,0)-SUMIFS(예비비!$O$430:$O$729,예비비!$B$430:$B$729,예비비!$A217,예비비!$E$430:$E$729,"&lt;"&amp;EDATE(BN$99,1))),0)</f>
        <v>0</v>
      </c>
      <c r="BO217">
        <f>IF(예비비!$R217="OK",SUMIFS(예비비!$O$430:$O$729,예비비!$B$430:$B$729,예비비!$A217,예비비!$E$430:$E$729,"&lt;"&amp;EDATE(BO$99,1),예비비!$F$430:$F$729,"결제대금비")+MAX(0,IF(예비비!$D217&lt;EDATE(BO$99,1),예비비!$E217,0)-SUMIFS(예비비!$O$430:$O$729,예비비!$B$430:$B$729,예비비!$A217,예비비!$E$430:$E$729,"&lt;"&amp;EDATE(BO$99,1))),0)</f>
        <v>0</v>
      </c>
      <c r="BP217">
        <f>IF(예비비!$R217="OK",SUMIFS(예비비!$O$430:$O$729,예비비!$B$430:$B$729,예비비!$A217,예비비!$E$430:$E$729,"&lt;"&amp;EDATE(BP$99,1),예비비!$F$430:$F$729,"결제대금비")+MAX(0,IF(예비비!$D217&lt;EDATE(BP$99,1),예비비!$E217,0)-SUMIFS(예비비!$O$430:$O$729,예비비!$B$430:$B$729,예비비!$A217,예비비!$E$430:$E$729,"&lt;"&amp;EDATE(BP$99,1))),0)</f>
        <v>0</v>
      </c>
      <c r="BQ217">
        <f>IF(예비비!$R217="OK",SUMIFS(예비비!$O$430:$O$729,예비비!$B$430:$B$729,예비비!$A217,예비비!$E$430:$E$729,"&lt;"&amp;EDATE(BQ$99,1),예비비!$F$430:$F$729,"결제대금비")+MAX(0,IF(예비비!$D217&lt;EDATE(BQ$99,1),예비비!$E217,0)-SUMIFS(예비비!$O$430:$O$729,예비비!$B$430:$B$729,예비비!$A217,예비비!$E$430:$E$729,"&lt;"&amp;EDATE(BQ$99,1))),0)</f>
        <v>0</v>
      </c>
      <c r="BR217">
        <f>IF(예비비!$R217="OK",SUMIFS(예비비!$O$430:$O$729,예비비!$B$430:$B$729,예비비!$A217,예비비!$E$430:$E$729,"&lt;"&amp;EDATE(BR$99,1),예비비!$F$430:$F$729,"결제대금비")+MAX(0,IF(예비비!$D217&lt;EDATE(BR$99,1),예비비!$E217,0)-SUMIFS(예비비!$O$430:$O$729,예비비!$B$430:$B$729,예비비!$A217,예비비!$E$430:$E$729,"&lt;"&amp;EDATE(BR$99,1))),0)</f>
        <v>0</v>
      </c>
      <c r="BS217">
        <f>IF(예비비!$R217="OK",SUMIFS(예비비!$O$430:$O$729,예비비!$B$430:$B$729,예비비!$A217,예비비!$E$430:$E$729,"&lt;"&amp;EDATE(BS$99,1),예비비!$F$430:$F$729,"결제대금비")+MAX(0,IF(예비비!$D217&lt;EDATE(BS$99,1),예비비!$E217,0)-SUMIFS(예비비!$O$430:$O$729,예비비!$B$430:$B$729,예비비!$A217,예비비!$E$430:$E$729,"&lt;"&amp;EDATE(BS$99,1))),0)</f>
        <v>0</v>
      </c>
      <c r="BT217">
        <f>IF(예비비!$R217="OK",SUMIFS(예비비!$O$430:$O$729,예비비!$B$430:$B$729,예비비!$A217,예비비!$E$430:$E$729,"&lt;"&amp;EDATE(BT$99,1),예비비!$F$430:$F$729,"결제대금비")+MAX(0,IF(예비비!$D217&lt;EDATE(BT$99,1),예비비!$E217,0)-SUMIFS(예비비!$O$430:$O$729,예비비!$B$430:$B$729,예비비!$A217,예비비!$E$430:$E$729,"&lt;"&amp;EDATE(BT$99,1))),0)</f>
        <v>0</v>
      </c>
      <c r="BU217">
        <f>IF(예비비!$R217="OK",SUMIFS(예비비!$O$430:$O$729,예비비!$B$430:$B$729,예비비!$A217,예비비!$E$430:$E$729,"&lt;"&amp;EDATE(BU$99,1),예비비!$F$430:$F$729,"결제대금비")+MAX(0,IF(예비비!$D217&lt;EDATE(BU$99,1),예비비!$E217,0)-SUMIFS(예비비!$O$430:$O$729,예비비!$B$430:$B$729,예비비!$A217,예비비!$E$430:$E$729,"&lt;"&amp;EDATE(BU$99,1))),0)</f>
        <v>0</v>
      </c>
    </row>
    <row r="218">
      <c r="BA218">
        <v>162</v>
      </c>
      <c r="BB218">
        <f>IFERROR(INDEX(잔액!$A:$A,BA218),0)</f>
        <v>46204.0</v>
      </c>
      <c r="BH218">
        <f>IFERROR(IF(AND(BB218&gt;0,OR(COUNTIFS(예비비!$C$430:$C$729,BA218,예비비!$N$430:$N$729,"OK")&gt;0,AND(INDEX(잔액!$J:$J,BA218)="가족통장",INDEX(잔액!$K:$K,BA218)="미래에셋_WRAP형CMA"),COUNTIF(예비비!$A$8:$A$12,INDEX(잔액!$C:$C,BA218))=1,COUNTIF(예비비!$A$8:$A$12,INDEX(잔액!$D:$D,BA218))=1),OR(AND(BB218&gt;=예비비!$B$3,BB218&lt;EDATE(예비비!$B$3,1)),AND(BB218&lt;EDATE(예비비!$B$3,1),COUNTIFS(예비비!$C$430:$C$729,BA218,예비비!$L$430:$L$729,예비비!$B$3,예비비!$N$430:$N$729,"OK")&gt;0))),MAX($BH$120:BH217)+1,0),0)</f>
        <v>0</v>
      </c>
      <c r="BI218">
        <f>IF(예비비!$R218="OK",SUMIFS(예비비!$O$430:$O$729,예비비!$B$430:$B$729,예비비!$A218,예비비!$E$430:$E$729,"&lt;"&amp;EDATE(BI$99,1),예비비!$F$430:$F$729,"결제대금비")+MAX(0,IF(예비비!$D218&lt;EDATE(BI$99,1),예비비!$E218,0)-SUMIFS(예비비!$O$430:$O$729,예비비!$B$430:$B$729,예비비!$A218,예비비!$E$430:$E$729,"&lt;"&amp;EDATE(BI$99,1))),0)</f>
        <v>0</v>
      </c>
      <c r="BJ218">
        <f>IF(예비비!$R218="OK",SUMIFS(예비비!$O$430:$O$729,예비비!$B$430:$B$729,예비비!$A218,예비비!$E$430:$E$729,"&lt;"&amp;EDATE(BJ$99,1),예비비!$F$430:$F$729,"결제대금비")+MAX(0,IF(예비비!$D218&lt;EDATE(BJ$99,1),예비비!$E218,0)-SUMIFS(예비비!$O$430:$O$729,예비비!$B$430:$B$729,예비비!$A218,예비비!$E$430:$E$729,"&lt;"&amp;EDATE(BJ$99,1))),0)</f>
        <v>0</v>
      </c>
      <c r="BK218">
        <f>IF(예비비!$R218="OK",SUMIFS(예비비!$O$430:$O$729,예비비!$B$430:$B$729,예비비!$A218,예비비!$E$430:$E$729,"&lt;"&amp;EDATE(BK$99,1),예비비!$F$430:$F$729,"결제대금비")+MAX(0,IF(예비비!$D218&lt;EDATE(BK$99,1),예비비!$E218,0)-SUMIFS(예비비!$O$430:$O$729,예비비!$B$430:$B$729,예비비!$A218,예비비!$E$430:$E$729,"&lt;"&amp;EDATE(BK$99,1))),0)</f>
        <v>0</v>
      </c>
      <c r="BL218">
        <f>IF(예비비!$R218="OK",SUMIFS(예비비!$O$430:$O$729,예비비!$B$430:$B$729,예비비!$A218,예비비!$E$430:$E$729,"&lt;"&amp;EDATE(BL$99,1),예비비!$F$430:$F$729,"결제대금비")+MAX(0,IF(예비비!$D218&lt;EDATE(BL$99,1),예비비!$E218,0)-SUMIFS(예비비!$O$430:$O$729,예비비!$B$430:$B$729,예비비!$A218,예비비!$E$430:$E$729,"&lt;"&amp;EDATE(BL$99,1))),0)</f>
        <v>0</v>
      </c>
      <c r="BM218">
        <f>IF(예비비!$R218="OK",SUMIFS(예비비!$O$430:$O$729,예비비!$B$430:$B$729,예비비!$A218,예비비!$E$430:$E$729,"&lt;"&amp;EDATE(BM$99,1),예비비!$F$430:$F$729,"결제대금비")+MAX(0,IF(예비비!$D218&lt;EDATE(BM$99,1),예비비!$E218,0)-SUMIFS(예비비!$O$430:$O$729,예비비!$B$430:$B$729,예비비!$A218,예비비!$E$430:$E$729,"&lt;"&amp;EDATE(BM$99,1))),0)</f>
        <v>0</v>
      </c>
      <c r="BN218">
        <f>IF(예비비!$R218="OK",SUMIFS(예비비!$O$430:$O$729,예비비!$B$430:$B$729,예비비!$A218,예비비!$E$430:$E$729,"&lt;"&amp;EDATE(BN$99,1),예비비!$F$430:$F$729,"결제대금비")+MAX(0,IF(예비비!$D218&lt;EDATE(BN$99,1),예비비!$E218,0)-SUMIFS(예비비!$O$430:$O$729,예비비!$B$430:$B$729,예비비!$A218,예비비!$E$430:$E$729,"&lt;"&amp;EDATE(BN$99,1))),0)</f>
        <v>0</v>
      </c>
      <c r="BO218">
        <f>IF(예비비!$R218="OK",SUMIFS(예비비!$O$430:$O$729,예비비!$B$430:$B$729,예비비!$A218,예비비!$E$430:$E$729,"&lt;"&amp;EDATE(BO$99,1),예비비!$F$430:$F$729,"결제대금비")+MAX(0,IF(예비비!$D218&lt;EDATE(BO$99,1),예비비!$E218,0)-SUMIFS(예비비!$O$430:$O$729,예비비!$B$430:$B$729,예비비!$A218,예비비!$E$430:$E$729,"&lt;"&amp;EDATE(BO$99,1))),0)</f>
        <v>0</v>
      </c>
      <c r="BP218">
        <f>IF(예비비!$R218="OK",SUMIFS(예비비!$O$430:$O$729,예비비!$B$430:$B$729,예비비!$A218,예비비!$E$430:$E$729,"&lt;"&amp;EDATE(BP$99,1),예비비!$F$430:$F$729,"결제대금비")+MAX(0,IF(예비비!$D218&lt;EDATE(BP$99,1),예비비!$E218,0)-SUMIFS(예비비!$O$430:$O$729,예비비!$B$430:$B$729,예비비!$A218,예비비!$E$430:$E$729,"&lt;"&amp;EDATE(BP$99,1))),0)</f>
        <v>0</v>
      </c>
      <c r="BQ218">
        <f>IF(예비비!$R218="OK",SUMIFS(예비비!$O$430:$O$729,예비비!$B$430:$B$729,예비비!$A218,예비비!$E$430:$E$729,"&lt;"&amp;EDATE(BQ$99,1),예비비!$F$430:$F$729,"결제대금비")+MAX(0,IF(예비비!$D218&lt;EDATE(BQ$99,1),예비비!$E218,0)-SUMIFS(예비비!$O$430:$O$729,예비비!$B$430:$B$729,예비비!$A218,예비비!$E$430:$E$729,"&lt;"&amp;EDATE(BQ$99,1))),0)</f>
        <v>0</v>
      </c>
      <c r="BR218">
        <f>IF(예비비!$R218="OK",SUMIFS(예비비!$O$430:$O$729,예비비!$B$430:$B$729,예비비!$A218,예비비!$E$430:$E$729,"&lt;"&amp;EDATE(BR$99,1),예비비!$F$430:$F$729,"결제대금비")+MAX(0,IF(예비비!$D218&lt;EDATE(BR$99,1),예비비!$E218,0)-SUMIFS(예비비!$O$430:$O$729,예비비!$B$430:$B$729,예비비!$A218,예비비!$E$430:$E$729,"&lt;"&amp;EDATE(BR$99,1))),0)</f>
        <v>0</v>
      </c>
      <c r="BS218">
        <f>IF(예비비!$R218="OK",SUMIFS(예비비!$O$430:$O$729,예비비!$B$430:$B$729,예비비!$A218,예비비!$E$430:$E$729,"&lt;"&amp;EDATE(BS$99,1),예비비!$F$430:$F$729,"결제대금비")+MAX(0,IF(예비비!$D218&lt;EDATE(BS$99,1),예비비!$E218,0)-SUMIFS(예비비!$O$430:$O$729,예비비!$B$430:$B$729,예비비!$A218,예비비!$E$430:$E$729,"&lt;"&amp;EDATE(BS$99,1))),0)</f>
        <v>0</v>
      </c>
      <c r="BT218">
        <f>IF(예비비!$R218="OK",SUMIFS(예비비!$O$430:$O$729,예비비!$B$430:$B$729,예비비!$A218,예비비!$E$430:$E$729,"&lt;"&amp;EDATE(BT$99,1),예비비!$F$430:$F$729,"결제대금비")+MAX(0,IF(예비비!$D218&lt;EDATE(BT$99,1),예비비!$E218,0)-SUMIFS(예비비!$O$430:$O$729,예비비!$B$430:$B$729,예비비!$A218,예비비!$E$430:$E$729,"&lt;"&amp;EDATE(BT$99,1))),0)</f>
        <v>0</v>
      </c>
      <c r="BU218">
        <f>IF(예비비!$R218="OK",SUMIFS(예비비!$O$430:$O$729,예비비!$B$430:$B$729,예비비!$A218,예비비!$E$430:$E$729,"&lt;"&amp;EDATE(BU$99,1),예비비!$F$430:$F$729,"결제대금비")+MAX(0,IF(예비비!$D218&lt;EDATE(BU$99,1),예비비!$E218,0)-SUMIFS(예비비!$O$430:$O$729,예비비!$B$430:$B$729,예비비!$A218,예비비!$E$430:$E$729,"&lt;"&amp;EDATE(BU$99,1))),0)</f>
        <v>0</v>
      </c>
    </row>
    <row r="219">
      <c r="BA219">
        <v>163</v>
      </c>
      <c r="BB219">
        <f>IFERROR(INDEX(잔액!$A:$A,BA219),0)</f>
        <v>46204.0</v>
      </c>
      <c r="BH219">
        <f>IFERROR(IF(AND(BB219&gt;0,OR(COUNTIFS(예비비!$C$430:$C$729,BA219,예비비!$N$430:$N$729,"OK")&gt;0,AND(INDEX(잔액!$J:$J,BA219)="가족통장",INDEX(잔액!$K:$K,BA219)="미래에셋_WRAP형CMA"),COUNTIF(예비비!$A$8:$A$12,INDEX(잔액!$C:$C,BA219))=1,COUNTIF(예비비!$A$8:$A$12,INDEX(잔액!$D:$D,BA219))=1),OR(AND(BB219&gt;=예비비!$B$3,BB219&lt;EDATE(예비비!$B$3,1)),AND(BB219&lt;EDATE(예비비!$B$3,1),COUNTIFS(예비비!$C$430:$C$729,BA219,예비비!$L$430:$L$729,예비비!$B$3,예비비!$N$430:$N$729,"OK")&gt;0))),MAX($BH$120:BH218)+1,0),0)</f>
        <v>0</v>
      </c>
      <c r="BI219">
        <f>IF(예비비!$R219="OK",SUMIFS(예비비!$O$430:$O$729,예비비!$B$430:$B$729,예비비!$A219,예비비!$E$430:$E$729,"&lt;"&amp;EDATE(BI$99,1),예비비!$F$430:$F$729,"결제대금비")+MAX(0,IF(예비비!$D219&lt;EDATE(BI$99,1),예비비!$E219,0)-SUMIFS(예비비!$O$430:$O$729,예비비!$B$430:$B$729,예비비!$A219,예비비!$E$430:$E$729,"&lt;"&amp;EDATE(BI$99,1))),0)</f>
        <v>0</v>
      </c>
      <c r="BJ219">
        <f>IF(예비비!$R219="OK",SUMIFS(예비비!$O$430:$O$729,예비비!$B$430:$B$729,예비비!$A219,예비비!$E$430:$E$729,"&lt;"&amp;EDATE(BJ$99,1),예비비!$F$430:$F$729,"결제대금비")+MAX(0,IF(예비비!$D219&lt;EDATE(BJ$99,1),예비비!$E219,0)-SUMIFS(예비비!$O$430:$O$729,예비비!$B$430:$B$729,예비비!$A219,예비비!$E$430:$E$729,"&lt;"&amp;EDATE(BJ$99,1))),0)</f>
        <v>0</v>
      </c>
      <c r="BK219">
        <f>IF(예비비!$R219="OK",SUMIFS(예비비!$O$430:$O$729,예비비!$B$430:$B$729,예비비!$A219,예비비!$E$430:$E$729,"&lt;"&amp;EDATE(BK$99,1),예비비!$F$430:$F$729,"결제대금비")+MAX(0,IF(예비비!$D219&lt;EDATE(BK$99,1),예비비!$E219,0)-SUMIFS(예비비!$O$430:$O$729,예비비!$B$430:$B$729,예비비!$A219,예비비!$E$430:$E$729,"&lt;"&amp;EDATE(BK$99,1))),0)</f>
        <v>0</v>
      </c>
      <c r="BL219">
        <f>IF(예비비!$R219="OK",SUMIFS(예비비!$O$430:$O$729,예비비!$B$430:$B$729,예비비!$A219,예비비!$E$430:$E$729,"&lt;"&amp;EDATE(BL$99,1),예비비!$F$430:$F$729,"결제대금비")+MAX(0,IF(예비비!$D219&lt;EDATE(BL$99,1),예비비!$E219,0)-SUMIFS(예비비!$O$430:$O$729,예비비!$B$430:$B$729,예비비!$A219,예비비!$E$430:$E$729,"&lt;"&amp;EDATE(BL$99,1))),0)</f>
        <v>0</v>
      </c>
      <c r="BM219">
        <f>IF(예비비!$R219="OK",SUMIFS(예비비!$O$430:$O$729,예비비!$B$430:$B$729,예비비!$A219,예비비!$E$430:$E$729,"&lt;"&amp;EDATE(BM$99,1),예비비!$F$430:$F$729,"결제대금비")+MAX(0,IF(예비비!$D219&lt;EDATE(BM$99,1),예비비!$E219,0)-SUMIFS(예비비!$O$430:$O$729,예비비!$B$430:$B$729,예비비!$A219,예비비!$E$430:$E$729,"&lt;"&amp;EDATE(BM$99,1))),0)</f>
        <v>0</v>
      </c>
      <c r="BN219">
        <f>IF(예비비!$R219="OK",SUMIFS(예비비!$O$430:$O$729,예비비!$B$430:$B$729,예비비!$A219,예비비!$E$430:$E$729,"&lt;"&amp;EDATE(BN$99,1),예비비!$F$430:$F$729,"결제대금비")+MAX(0,IF(예비비!$D219&lt;EDATE(BN$99,1),예비비!$E219,0)-SUMIFS(예비비!$O$430:$O$729,예비비!$B$430:$B$729,예비비!$A219,예비비!$E$430:$E$729,"&lt;"&amp;EDATE(BN$99,1))),0)</f>
        <v>0</v>
      </c>
      <c r="BO219">
        <f>IF(예비비!$R219="OK",SUMIFS(예비비!$O$430:$O$729,예비비!$B$430:$B$729,예비비!$A219,예비비!$E$430:$E$729,"&lt;"&amp;EDATE(BO$99,1),예비비!$F$430:$F$729,"결제대금비")+MAX(0,IF(예비비!$D219&lt;EDATE(BO$99,1),예비비!$E219,0)-SUMIFS(예비비!$O$430:$O$729,예비비!$B$430:$B$729,예비비!$A219,예비비!$E$430:$E$729,"&lt;"&amp;EDATE(BO$99,1))),0)</f>
        <v>0</v>
      </c>
      <c r="BP219">
        <f>IF(예비비!$R219="OK",SUMIFS(예비비!$O$430:$O$729,예비비!$B$430:$B$729,예비비!$A219,예비비!$E$430:$E$729,"&lt;"&amp;EDATE(BP$99,1),예비비!$F$430:$F$729,"결제대금비")+MAX(0,IF(예비비!$D219&lt;EDATE(BP$99,1),예비비!$E219,0)-SUMIFS(예비비!$O$430:$O$729,예비비!$B$430:$B$729,예비비!$A219,예비비!$E$430:$E$729,"&lt;"&amp;EDATE(BP$99,1))),0)</f>
        <v>0</v>
      </c>
      <c r="BQ219">
        <f>IF(예비비!$R219="OK",SUMIFS(예비비!$O$430:$O$729,예비비!$B$430:$B$729,예비비!$A219,예비비!$E$430:$E$729,"&lt;"&amp;EDATE(BQ$99,1),예비비!$F$430:$F$729,"결제대금비")+MAX(0,IF(예비비!$D219&lt;EDATE(BQ$99,1),예비비!$E219,0)-SUMIFS(예비비!$O$430:$O$729,예비비!$B$430:$B$729,예비비!$A219,예비비!$E$430:$E$729,"&lt;"&amp;EDATE(BQ$99,1))),0)</f>
        <v>0</v>
      </c>
      <c r="BR219">
        <f>IF(예비비!$R219="OK",SUMIFS(예비비!$O$430:$O$729,예비비!$B$430:$B$729,예비비!$A219,예비비!$E$430:$E$729,"&lt;"&amp;EDATE(BR$99,1),예비비!$F$430:$F$729,"결제대금비")+MAX(0,IF(예비비!$D219&lt;EDATE(BR$99,1),예비비!$E219,0)-SUMIFS(예비비!$O$430:$O$729,예비비!$B$430:$B$729,예비비!$A219,예비비!$E$430:$E$729,"&lt;"&amp;EDATE(BR$99,1))),0)</f>
        <v>0</v>
      </c>
      <c r="BS219">
        <f>IF(예비비!$R219="OK",SUMIFS(예비비!$O$430:$O$729,예비비!$B$430:$B$729,예비비!$A219,예비비!$E$430:$E$729,"&lt;"&amp;EDATE(BS$99,1),예비비!$F$430:$F$729,"결제대금비")+MAX(0,IF(예비비!$D219&lt;EDATE(BS$99,1),예비비!$E219,0)-SUMIFS(예비비!$O$430:$O$729,예비비!$B$430:$B$729,예비비!$A219,예비비!$E$430:$E$729,"&lt;"&amp;EDATE(BS$99,1))),0)</f>
        <v>0</v>
      </c>
      <c r="BT219">
        <f>IF(예비비!$R219="OK",SUMIFS(예비비!$O$430:$O$729,예비비!$B$430:$B$729,예비비!$A219,예비비!$E$430:$E$729,"&lt;"&amp;EDATE(BT$99,1),예비비!$F$430:$F$729,"결제대금비")+MAX(0,IF(예비비!$D219&lt;EDATE(BT$99,1),예비비!$E219,0)-SUMIFS(예비비!$O$430:$O$729,예비비!$B$430:$B$729,예비비!$A219,예비비!$E$430:$E$729,"&lt;"&amp;EDATE(BT$99,1))),0)</f>
        <v>0</v>
      </c>
      <c r="BU219">
        <f>IF(예비비!$R219="OK",SUMIFS(예비비!$O$430:$O$729,예비비!$B$430:$B$729,예비비!$A219,예비비!$E$430:$E$729,"&lt;"&amp;EDATE(BU$99,1),예비비!$F$430:$F$729,"결제대금비")+MAX(0,IF(예비비!$D219&lt;EDATE(BU$99,1),예비비!$E219,0)-SUMIFS(예비비!$O$430:$O$729,예비비!$B$430:$B$729,예비비!$A219,예비비!$E$430:$E$729,"&lt;"&amp;EDATE(BU$99,1))),0)</f>
        <v>0</v>
      </c>
    </row>
    <row r="220">
      <c r="BA220">
        <v>164</v>
      </c>
      <c r="BB220">
        <f>IFERROR(INDEX(잔액!$A:$A,BA220),0)</f>
        <v>46204.0</v>
      </c>
      <c r="BH220">
        <f>IFERROR(IF(AND(BB220&gt;0,OR(COUNTIFS(예비비!$C$430:$C$729,BA220,예비비!$N$430:$N$729,"OK")&gt;0,AND(INDEX(잔액!$J:$J,BA220)="가족통장",INDEX(잔액!$K:$K,BA220)="미래에셋_WRAP형CMA"),COUNTIF(예비비!$A$8:$A$12,INDEX(잔액!$C:$C,BA220))=1,COUNTIF(예비비!$A$8:$A$12,INDEX(잔액!$D:$D,BA220))=1),OR(AND(BB220&gt;=예비비!$B$3,BB220&lt;EDATE(예비비!$B$3,1)),AND(BB220&lt;EDATE(예비비!$B$3,1),COUNTIFS(예비비!$C$430:$C$729,BA220,예비비!$L$430:$L$729,예비비!$B$3,예비비!$N$430:$N$729,"OK")&gt;0))),MAX($BH$120:BH219)+1,0),0)</f>
        <v>0</v>
      </c>
      <c r="BI220">
        <f>IF(예비비!$R220="OK",SUMIFS(예비비!$O$430:$O$729,예비비!$B$430:$B$729,예비비!$A220,예비비!$E$430:$E$729,"&lt;"&amp;EDATE(BI$99,1),예비비!$F$430:$F$729,"결제대금비")+MAX(0,IF(예비비!$D220&lt;EDATE(BI$99,1),예비비!$E220,0)-SUMIFS(예비비!$O$430:$O$729,예비비!$B$430:$B$729,예비비!$A220,예비비!$E$430:$E$729,"&lt;"&amp;EDATE(BI$99,1))),0)</f>
        <v>0</v>
      </c>
      <c r="BJ220">
        <f>IF(예비비!$R220="OK",SUMIFS(예비비!$O$430:$O$729,예비비!$B$430:$B$729,예비비!$A220,예비비!$E$430:$E$729,"&lt;"&amp;EDATE(BJ$99,1),예비비!$F$430:$F$729,"결제대금비")+MAX(0,IF(예비비!$D220&lt;EDATE(BJ$99,1),예비비!$E220,0)-SUMIFS(예비비!$O$430:$O$729,예비비!$B$430:$B$729,예비비!$A220,예비비!$E$430:$E$729,"&lt;"&amp;EDATE(BJ$99,1))),0)</f>
        <v>0</v>
      </c>
      <c r="BK220">
        <f>IF(예비비!$R220="OK",SUMIFS(예비비!$O$430:$O$729,예비비!$B$430:$B$729,예비비!$A220,예비비!$E$430:$E$729,"&lt;"&amp;EDATE(BK$99,1),예비비!$F$430:$F$729,"결제대금비")+MAX(0,IF(예비비!$D220&lt;EDATE(BK$99,1),예비비!$E220,0)-SUMIFS(예비비!$O$430:$O$729,예비비!$B$430:$B$729,예비비!$A220,예비비!$E$430:$E$729,"&lt;"&amp;EDATE(BK$99,1))),0)</f>
        <v>0</v>
      </c>
      <c r="BL220">
        <f>IF(예비비!$R220="OK",SUMIFS(예비비!$O$430:$O$729,예비비!$B$430:$B$729,예비비!$A220,예비비!$E$430:$E$729,"&lt;"&amp;EDATE(BL$99,1),예비비!$F$430:$F$729,"결제대금비")+MAX(0,IF(예비비!$D220&lt;EDATE(BL$99,1),예비비!$E220,0)-SUMIFS(예비비!$O$430:$O$729,예비비!$B$430:$B$729,예비비!$A220,예비비!$E$430:$E$729,"&lt;"&amp;EDATE(BL$99,1))),0)</f>
        <v>0</v>
      </c>
      <c r="BM220">
        <f>IF(예비비!$R220="OK",SUMIFS(예비비!$O$430:$O$729,예비비!$B$430:$B$729,예비비!$A220,예비비!$E$430:$E$729,"&lt;"&amp;EDATE(BM$99,1),예비비!$F$430:$F$729,"결제대금비")+MAX(0,IF(예비비!$D220&lt;EDATE(BM$99,1),예비비!$E220,0)-SUMIFS(예비비!$O$430:$O$729,예비비!$B$430:$B$729,예비비!$A220,예비비!$E$430:$E$729,"&lt;"&amp;EDATE(BM$99,1))),0)</f>
        <v>0</v>
      </c>
      <c r="BN220">
        <f>IF(예비비!$R220="OK",SUMIFS(예비비!$O$430:$O$729,예비비!$B$430:$B$729,예비비!$A220,예비비!$E$430:$E$729,"&lt;"&amp;EDATE(BN$99,1),예비비!$F$430:$F$729,"결제대금비")+MAX(0,IF(예비비!$D220&lt;EDATE(BN$99,1),예비비!$E220,0)-SUMIFS(예비비!$O$430:$O$729,예비비!$B$430:$B$729,예비비!$A220,예비비!$E$430:$E$729,"&lt;"&amp;EDATE(BN$99,1))),0)</f>
        <v>0</v>
      </c>
      <c r="BO220">
        <f>IF(예비비!$R220="OK",SUMIFS(예비비!$O$430:$O$729,예비비!$B$430:$B$729,예비비!$A220,예비비!$E$430:$E$729,"&lt;"&amp;EDATE(BO$99,1),예비비!$F$430:$F$729,"결제대금비")+MAX(0,IF(예비비!$D220&lt;EDATE(BO$99,1),예비비!$E220,0)-SUMIFS(예비비!$O$430:$O$729,예비비!$B$430:$B$729,예비비!$A220,예비비!$E$430:$E$729,"&lt;"&amp;EDATE(BO$99,1))),0)</f>
        <v>0</v>
      </c>
      <c r="BP220">
        <f>IF(예비비!$R220="OK",SUMIFS(예비비!$O$430:$O$729,예비비!$B$430:$B$729,예비비!$A220,예비비!$E$430:$E$729,"&lt;"&amp;EDATE(BP$99,1),예비비!$F$430:$F$729,"결제대금비")+MAX(0,IF(예비비!$D220&lt;EDATE(BP$99,1),예비비!$E220,0)-SUMIFS(예비비!$O$430:$O$729,예비비!$B$430:$B$729,예비비!$A220,예비비!$E$430:$E$729,"&lt;"&amp;EDATE(BP$99,1))),0)</f>
        <v>0</v>
      </c>
      <c r="BQ220">
        <f>IF(예비비!$R220="OK",SUMIFS(예비비!$O$430:$O$729,예비비!$B$430:$B$729,예비비!$A220,예비비!$E$430:$E$729,"&lt;"&amp;EDATE(BQ$99,1),예비비!$F$430:$F$729,"결제대금비")+MAX(0,IF(예비비!$D220&lt;EDATE(BQ$99,1),예비비!$E220,0)-SUMIFS(예비비!$O$430:$O$729,예비비!$B$430:$B$729,예비비!$A220,예비비!$E$430:$E$729,"&lt;"&amp;EDATE(BQ$99,1))),0)</f>
        <v>0</v>
      </c>
      <c r="BR220">
        <f>IF(예비비!$R220="OK",SUMIFS(예비비!$O$430:$O$729,예비비!$B$430:$B$729,예비비!$A220,예비비!$E$430:$E$729,"&lt;"&amp;EDATE(BR$99,1),예비비!$F$430:$F$729,"결제대금비")+MAX(0,IF(예비비!$D220&lt;EDATE(BR$99,1),예비비!$E220,0)-SUMIFS(예비비!$O$430:$O$729,예비비!$B$430:$B$729,예비비!$A220,예비비!$E$430:$E$729,"&lt;"&amp;EDATE(BR$99,1))),0)</f>
        <v>0</v>
      </c>
      <c r="BS220">
        <f>IF(예비비!$R220="OK",SUMIFS(예비비!$O$430:$O$729,예비비!$B$430:$B$729,예비비!$A220,예비비!$E$430:$E$729,"&lt;"&amp;EDATE(BS$99,1),예비비!$F$430:$F$729,"결제대금비")+MAX(0,IF(예비비!$D220&lt;EDATE(BS$99,1),예비비!$E220,0)-SUMIFS(예비비!$O$430:$O$729,예비비!$B$430:$B$729,예비비!$A220,예비비!$E$430:$E$729,"&lt;"&amp;EDATE(BS$99,1))),0)</f>
        <v>0</v>
      </c>
      <c r="BT220">
        <f>IF(예비비!$R220="OK",SUMIFS(예비비!$O$430:$O$729,예비비!$B$430:$B$729,예비비!$A220,예비비!$E$430:$E$729,"&lt;"&amp;EDATE(BT$99,1),예비비!$F$430:$F$729,"결제대금비")+MAX(0,IF(예비비!$D220&lt;EDATE(BT$99,1),예비비!$E220,0)-SUMIFS(예비비!$O$430:$O$729,예비비!$B$430:$B$729,예비비!$A220,예비비!$E$430:$E$729,"&lt;"&amp;EDATE(BT$99,1))),0)</f>
        <v>0</v>
      </c>
      <c r="BU220">
        <f>IF(예비비!$R220="OK",SUMIFS(예비비!$O$430:$O$729,예비비!$B$430:$B$729,예비비!$A220,예비비!$E$430:$E$729,"&lt;"&amp;EDATE(BU$99,1),예비비!$F$430:$F$729,"결제대금비")+MAX(0,IF(예비비!$D220&lt;EDATE(BU$99,1),예비비!$E220,0)-SUMIFS(예비비!$O$430:$O$729,예비비!$B$430:$B$729,예비비!$A220,예비비!$E$430:$E$729,"&lt;"&amp;EDATE(BU$99,1))),0)</f>
        <v>0</v>
      </c>
    </row>
    <row r="221">
      <c r="BA221">
        <v>165</v>
      </c>
      <c r="BB221">
        <f>IFERROR(INDEX(잔액!$A:$A,BA221),0)</f>
        <v>46204.0</v>
      </c>
      <c r="BH221">
        <f>IFERROR(IF(AND(BB221&gt;0,OR(COUNTIFS(예비비!$C$430:$C$729,BA221,예비비!$N$430:$N$729,"OK")&gt;0,AND(INDEX(잔액!$J:$J,BA221)="가족통장",INDEX(잔액!$K:$K,BA221)="미래에셋_WRAP형CMA"),COUNTIF(예비비!$A$8:$A$12,INDEX(잔액!$C:$C,BA221))=1,COUNTIF(예비비!$A$8:$A$12,INDEX(잔액!$D:$D,BA221))=1),OR(AND(BB221&gt;=예비비!$B$3,BB221&lt;EDATE(예비비!$B$3,1)),AND(BB221&lt;EDATE(예비비!$B$3,1),COUNTIFS(예비비!$C$430:$C$729,BA221,예비비!$L$430:$L$729,예비비!$B$3,예비비!$N$430:$N$729,"OK")&gt;0))),MAX($BH$120:BH220)+1,0),0)</f>
        <v>0</v>
      </c>
      <c r="BI221">
        <f>IF(예비비!$R221="OK",SUMIFS(예비비!$O$430:$O$729,예비비!$B$430:$B$729,예비비!$A221,예비비!$E$430:$E$729,"&lt;"&amp;EDATE(BI$99,1),예비비!$F$430:$F$729,"결제대금비")+MAX(0,IF(예비비!$D221&lt;EDATE(BI$99,1),예비비!$E221,0)-SUMIFS(예비비!$O$430:$O$729,예비비!$B$430:$B$729,예비비!$A221,예비비!$E$430:$E$729,"&lt;"&amp;EDATE(BI$99,1))),0)</f>
        <v>0</v>
      </c>
      <c r="BJ221">
        <f>IF(예비비!$R221="OK",SUMIFS(예비비!$O$430:$O$729,예비비!$B$430:$B$729,예비비!$A221,예비비!$E$430:$E$729,"&lt;"&amp;EDATE(BJ$99,1),예비비!$F$430:$F$729,"결제대금비")+MAX(0,IF(예비비!$D221&lt;EDATE(BJ$99,1),예비비!$E221,0)-SUMIFS(예비비!$O$430:$O$729,예비비!$B$430:$B$729,예비비!$A221,예비비!$E$430:$E$729,"&lt;"&amp;EDATE(BJ$99,1))),0)</f>
        <v>0</v>
      </c>
      <c r="BK221">
        <f>IF(예비비!$R221="OK",SUMIFS(예비비!$O$430:$O$729,예비비!$B$430:$B$729,예비비!$A221,예비비!$E$430:$E$729,"&lt;"&amp;EDATE(BK$99,1),예비비!$F$430:$F$729,"결제대금비")+MAX(0,IF(예비비!$D221&lt;EDATE(BK$99,1),예비비!$E221,0)-SUMIFS(예비비!$O$430:$O$729,예비비!$B$430:$B$729,예비비!$A221,예비비!$E$430:$E$729,"&lt;"&amp;EDATE(BK$99,1))),0)</f>
        <v>0</v>
      </c>
      <c r="BL221">
        <f>IF(예비비!$R221="OK",SUMIFS(예비비!$O$430:$O$729,예비비!$B$430:$B$729,예비비!$A221,예비비!$E$430:$E$729,"&lt;"&amp;EDATE(BL$99,1),예비비!$F$430:$F$729,"결제대금비")+MAX(0,IF(예비비!$D221&lt;EDATE(BL$99,1),예비비!$E221,0)-SUMIFS(예비비!$O$430:$O$729,예비비!$B$430:$B$729,예비비!$A221,예비비!$E$430:$E$729,"&lt;"&amp;EDATE(BL$99,1))),0)</f>
        <v>0</v>
      </c>
      <c r="BM221">
        <f>IF(예비비!$R221="OK",SUMIFS(예비비!$O$430:$O$729,예비비!$B$430:$B$729,예비비!$A221,예비비!$E$430:$E$729,"&lt;"&amp;EDATE(BM$99,1),예비비!$F$430:$F$729,"결제대금비")+MAX(0,IF(예비비!$D221&lt;EDATE(BM$99,1),예비비!$E221,0)-SUMIFS(예비비!$O$430:$O$729,예비비!$B$430:$B$729,예비비!$A221,예비비!$E$430:$E$729,"&lt;"&amp;EDATE(BM$99,1))),0)</f>
        <v>0</v>
      </c>
      <c r="BN221">
        <f>IF(예비비!$R221="OK",SUMIFS(예비비!$O$430:$O$729,예비비!$B$430:$B$729,예비비!$A221,예비비!$E$430:$E$729,"&lt;"&amp;EDATE(BN$99,1),예비비!$F$430:$F$729,"결제대금비")+MAX(0,IF(예비비!$D221&lt;EDATE(BN$99,1),예비비!$E221,0)-SUMIFS(예비비!$O$430:$O$729,예비비!$B$430:$B$729,예비비!$A221,예비비!$E$430:$E$729,"&lt;"&amp;EDATE(BN$99,1))),0)</f>
        <v>0</v>
      </c>
      <c r="BO221">
        <f>IF(예비비!$R221="OK",SUMIFS(예비비!$O$430:$O$729,예비비!$B$430:$B$729,예비비!$A221,예비비!$E$430:$E$729,"&lt;"&amp;EDATE(BO$99,1),예비비!$F$430:$F$729,"결제대금비")+MAX(0,IF(예비비!$D221&lt;EDATE(BO$99,1),예비비!$E221,0)-SUMIFS(예비비!$O$430:$O$729,예비비!$B$430:$B$729,예비비!$A221,예비비!$E$430:$E$729,"&lt;"&amp;EDATE(BO$99,1))),0)</f>
        <v>0</v>
      </c>
      <c r="BP221">
        <f>IF(예비비!$R221="OK",SUMIFS(예비비!$O$430:$O$729,예비비!$B$430:$B$729,예비비!$A221,예비비!$E$430:$E$729,"&lt;"&amp;EDATE(BP$99,1),예비비!$F$430:$F$729,"결제대금비")+MAX(0,IF(예비비!$D221&lt;EDATE(BP$99,1),예비비!$E221,0)-SUMIFS(예비비!$O$430:$O$729,예비비!$B$430:$B$729,예비비!$A221,예비비!$E$430:$E$729,"&lt;"&amp;EDATE(BP$99,1))),0)</f>
        <v>0</v>
      </c>
      <c r="BQ221">
        <f>IF(예비비!$R221="OK",SUMIFS(예비비!$O$430:$O$729,예비비!$B$430:$B$729,예비비!$A221,예비비!$E$430:$E$729,"&lt;"&amp;EDATE(BQ$99,1),예비비!$F$430:$F$729,"결제대금비")+MAX(0,IF(예비비!$D221&lt;EDATE(BQ$99,1),예비비!$E221,0)-SUMIFS(예비비!$O$430:$O$729,예비비!$B$430:$B$729,예비비!$A221,예비비!$E$430:$E$729,"&lt;"&amp;EDATE(BQ$99,1))),0)</f>
        <v>0</v>
      </c>
      <c r="BR221">
        <f>IF(예비비!$R221="OK",SUMIFS(예비비!$O$430:$O$729,예비비!$B$430:$B$729,예비비!$A221,예비비!$E$430:$E$729,"&lt;"&amp;EDATE(BR$99,1),예비비!$F$430:$F$729,"결제대금비")+MAX(0,IF(예비비!$D221&lt;EDATE(BR$99,1),예비비!$E221,0)-SUMIFS(예비비!$O$430:$O$729,예비비!$B$430:$B$729,예비비!$A221,예비비!$E$430:$E$729,"&lt;"&amp;EDATE(BR$99,1))),0)</f>
        <v>0</v>
      </c>
      <c r="BS221">
        <f>IF(예비비!$R221="OK",SUMIFS(예비비!$O$430:$O$729,예비비!$B$430:$B$729,예비비!$A221,예비비!$E$430:$E$729,"&lt;"&amp;EDATE(BS$99,1),예비비!$F$430:$F$729,"결제대금비")+MAX(0,IF(예비비!$D221&lt;EDATE(BS$99,1),예비비!$E221,0)-SUMIFS(예비비!$O$430:$O$729,예비비!$B$430:$B$729,예비비!$A221,예비비!$E$430:$E$729,"&lt;"&amp;EDATE(BS$99,1))),0)</f>
        <v>0</v>
      </c>
      <c r="BT221">
        <f>IF(예비비!$R221="OK",SUMIFS(예비비!$O$430:$O$729,예비비!$B$430:$B$729,예비비!$A221,예비비!$E$430:$E$729,"&lt;"&amp;EDATE(BT$99,1),예비비!$F$430:$F$729,"결제대금비")+MAX(0,IF(예비비!$D221&lt;EDATE(BT$99,1),예비비!$E221,0)-SUMIFS(예비비!$O$430:$O$729,예비비!$B$430:$B$729,예비비!$A221,예비비!$E$430:$E$729,"&lt;"&amp;EDATE(BT$99,1))),0)</f>
        <v>0</v>
      </c>
      <c r="BU221">
        <f>IF(예비비!$R221="OK",SUMIFS(예비비!$O$430:$O$729,예비비!$B$430:$B$729,예비비!$A221,예비비!$E$430:$E$729,"&lt;"&amp;EDATE(BU$99,1),예비비!$F$430:$F$729,"결제대금비")+MAX(0,IF(예비비!$D221&lt;EDATE(BU$99,1),예비비!$E221,0)-SUMIFS(예비비!$O$430:$O$729,예비비!$B$430:$B$729,예비비!$A221,예비비!$E$430:$E$729,"&lt;"&amp;EDATE(BU$99,1))),0)</f>
        <v>0</v>
      </c>
    </row>
    <row r="222">
      <c r="BA222">
        <v>166</v>
      </c>
      <c r="BB222">
        <f>IFERROR(INDEX(잔액!$A:$A,BA222),0)</f>
        <v>46204.0</v>
      </c>
      <c r="BH222">
        <f>IFERROR(IF(AND(BB222&gt;0,OR(COUNTIFS(예비비!$C$430:$C$729,BA222,예비비!$N$430:$N$729,"OK")&gt;0,AND(INDEX(잔액!$J:$J,BA222)="가족통장",INDEX(잔액!$K:$K,BA222)="미래에셋_WRAP형CMA"),COUNTIF(예비비!$A$8:$A$12,INDEX(잔액!$C:$C,BA222))=1,COUNTIF(예비비!$A$8:$A$12,INDEX(잔액!$D:$D,BA222))=1),OR(AND(BB222&gt;=예비비!$B$3,BB222&lt;EDATE(예비비!$B$3,1)),AND(BB222&lt;EDATE(예비비!$B$3,1),COUNTIFS(예비비!$C$430:$C$729,BA222,예비비!$L$430:$L$729,예비비!$B$3,예비비!$N$430:$N$729,"OK")&gt;0))),MAX($BH$120:BH221)+1,0),0)</f>
        <v>0</v>
      </c>
      <c r="BI222">
        <f>IF(예비비!$R222="OK",SUMIFS(예비비!$O$430:$O$729,예비비!$B$430:$B$729,예비비!$A222,예비비!$E$430:$E$729,"&lt;"&amp;EDATE(BI$99,1),예비비!$F$430:$F$729,"결제대금비")+MAX(0,IF(예비비!$D222&lt;EDATE(BI$99,1),예비비!$E222,0)-SUMIFS(예비비!$O$430:$O$729,예비비!$B$430:$B$729,예비비!$A222,예비비!$E$430:$E$729,"&lt;"&amp;EDATE(BI$99,1))),0)</f>
        <v>0</v>
      </c>
      <c r="BJ222">
        <f>IF(예비비!$R222="OK",SUMIFS(예비비!$O$430:$O$729,예비비!$B$430:$B$729,예비비!$A222,예비비!$E$430:$E$729,"&lt;"&amp;EDATE(BJ$99,1),예비비!$F$430:$F$729,"결제대금비")+MAX(0,IF(예비비!$D222&lt;EDATE(BJ$99,1),예비비!$E222,0)-SUMIFS(예비비!$O$430:$O$729,예비비!$B$430:$B$729,예비비!$A222,예비비!$E$430:$E$729,"&lt;"&amp;EDATE(BJ$99,1))),0)</f>
        <v>0</v>
      </c>
      <c r="BK222">
        <f>IF(예비비!$R222="OK",SUMIFS(예비비!$O$430:$O$729,예비비!$B$430:$B$729,예비비!$A222,예비비!$E$430:$E$729,"&lt;"&amp;EDATE(BK$99,1),예비비!$F$430:$F$729,"결제대금비")+MAX(0,IF(예비비!$D222&lt;EDATE(BK$99,1),예비비!$E222,0)-SUMIFS(예비비!$O$430:$O$729,예비비!$B$430:$B$729,예비비!$A222,예비비!$E$430:$E$729,"&lt;"&amp;EDATE(BK$99,1))),0)</f>
        <v>0</v>
      </c>
      <c r="BL222">
        <f>IF(예비비!$R222="OK",SUMIFS(예비비!$O$430:$O$729,예비비!$B$430:$B$729,예비비!$A222,예비비!$E$430:$E$729,"&lt;"&amp;EDATE(BL$99,1),예비비!$F$430:$F$729,"결제대금비")+MAX(0,IF(예비비!$D222&lt;EDATE(BL$99,1),예비비!$E222,0)-SUMIFS(예비비!$O$430:$O$729,예비비!$B$430:$B$729,예비비!$A222,예비비!$E$430:$E$729,"&lt;"&amp;EDATE(BL$99,1))),0)</f>
        <v>0</v>
      </c>
      <c r="BM222">
        <f>IF(예비비!$R222="OK",SUMIFS(예비비!$O$430:$O$729,예비비!$B$430:$B$729,예비비!$A222,예비비!$E$430:$E$729,"&lt;"&amp;EDATE(BM$99,1),예비비!$F$430:$F$729,"결제대금비")+MAX(0,IF(예비비!$D222&lt;EDATE(BM$99,1),예비비!$E222,0)-SUMIFS(예비비!$O$430:$O$729,예비비!$B$430:$B$729,예비비!$A222,예비비!$E$430:$E$729,"&lt;"&amp;EDATE(BM$99,1))),0)</f>
        <v>0</v>
      </c>
      <c r="BN222">
        <f>IF(예비비!$R222="OK",SUMIFS(예비비!$O$430:$O$729,예비비!$B$430:$B$729,예비비!$A222,예비비!$E$430:$E$729,"&lt;"&amp;EDATE(BN$99,1),예비비!$F$430:$F$729,"결제대금비")+MAX(0,IF(예비비!$D222&lt;EDATE(BN$99,1),예비비!$E222,0)-SUMIFS(예비비!$O$430:$O$729,예비비!$B$430:$B$729,예비비!$A222,예비비!$E$430:$E$729,"&lt;"&amp;EDATE(BN$99,1))),0)</f>
        <v>0</v>
      </c>
      <c r="BO222">
        <f>IF(예비비!$R222="OK",SUMIFS(예비비!$O$430:$O$729,예비비!$B$430:$B$729,예비비!$A222,예비비!$E$430:$E$729,"&lt;"&amp;EDATE(BO$99,1),예비비!$F$430:$F$729,"결제대금비")+MAX(0,IF(예비비!$D222&lt;EDATE(BO$99,1),예비비!$E222,0)-SUMIFS(예비비!$O$430:$O$729,예비비!$B$430:$B$729,예비비!$A222,예비비!$E$430:$E$729,"&lt;"&amp;EDATE(BO$99,1))),0)</f>
        <v>0</v>
      </c>
      <c r="BP222">
        <f>IF(예비비!$R222="OK",SUMIFS(예비비!$O$430:$O$729,예비비!$B$430:$B$729,예비비!$A222,예비비!$E$430:$E$729,"&lt;"&amp;EDATE(BP$99,1),예비비!$F$430:$F$729,"결제대금비")+MAX(0,IF(예비비!$D222&lt;EDATE(BP$99,1),예비비!$E222,0)-SUMIFS(예비비!$O$430:$O$729,예비비!$B$430:$B$729,예비비!$A222,예비비!$E$430:$E$729,"&lt;"&amp;EDATE(BP$99,1))),0)</f>
        <v>0</v>
      </c>
      <c r="BQ222">
        <f>IF(예비비!$R222="OK",SUMIFS(예비비!$O$430:$O$729,예비비!$B$430:$B$729,예비비!$A222,예비비!$E$430:$E$729,"&lt;"&amp;EDATE(BQ$99,1),예비비!$F$430:$F$729,"결제대금비")+MAX(0,IF(예비비!$D222&lt;EDATE(BQ$99,1),예비비!$E222,0)-SUMIFS(예비비!$O$430:$O$729,예비비!$B$430:$B$729,예비비!$A222,예비비!$E$430:$E$729,"&lt;"&amp;EDATE(BQ$99,1))),0)</f>
        <v>0</v>
      </c>
      <c r="BR222">
        <f>IF(예비비!$R222="OK",SUMIFS(예비비!$O$430:$O$729,예비비!$B$430:$B$729,예비비!$A222,예비비!$E$430:$E$729,"&lt;"&amp;EDATE(BR$99,1),예비비!$F$430:$F$729,"결제대금비")+MAX(0,IF(예비비!$D222&lt;EDATE(BR$99,1),예비비!$E222,0)-SUMIFS(예비비!$O$430:$O$729,예비비!$B$430:$B$729,예비비!$A222,예비비!$E$430:$E$729,"&lt;"&amp;EDATE(BR$99,1))),0)</f>
        <v>0</v>
      </c>
      <c r="BS222">
        <f>IF(예비비!$R222="OK",SUMIFS(예비비!$O$430:$O$729,예비비!$B$430:$B$729,예비비!$A222,예비비!$E$430:$E$729,"&lt;"&amp;EDATE(BS$99,1),예비비!$F$430:$F$729,"결제대금비")+MAX(0,IF(예비비!$D222&lt;EDATE(BS$99,1),예비비!$E222,0)-SUMIFS(예비비!$O$430:$O$729,예비비!$B$430:$B$729,예비비!$A222,예비비!$E$430:$E$729,"&lt;"&amp;EDATE(BS$99,1))),0)</f>
        <v>0</v>
      </c>
      <c r="BT222">
        <f>IF(예비비!$R222="OK",SUMIFS(예비비!$O$430:$O$729,예비비!$B$430:$B$729,예비비!$A222,예비비!$E$430:$E$729,"&lt;"&amp;EDATE(BT$99,1),예비비!$F$430:$F$729,"결제대금비")+MAX(0,IF(예비비!$D222&lt;EDATE(BT$99,1),예비비!$E222,0)-SUMIFS(예비비!$O$430:$O$729,예비비!$B$430:$B$729,예비비!$A222,예비비!$E$430:$E$729,"&lt;"&amp;EDATE(BT$99,1))),0)</f>
        <v>0</v>
      </c>
      <c r="BU222">
        <f>IF(예비비!$R222="OK",SUMIFS(예비비!$O$430:$O$729,예비비!$B$430:$B$729,예비비!$A222,예비비!$E$430:$E$729,"&lt;"&amp;EDATE(BU$99,1),예비비!$F$430:$F$729,"결제대금비")+MAX(0,IF(예비비!$D222&lt;EDATE(BU$99,1),예비비!$E222,0)-SUMIFS(예비비!$O$430:$O$729,예비비!$B$430:$B$729,예비비!$A222,예비비!$E$430:$E$729,"&lt;"&amp;EDATE(BU$99,1))),0)</f>
        <v>0</v>
      </c>
    </row>
    <row r="223">
      <c r="BA223">
        <v>167</v>
      </c>
      <c r="BB223">
        <f>IFERROR(INDEX(잔액!$A:$A,BA223),0)</f>
        <v>46204.0</v>
      </c>
      <c r="BH223">
        <f>IFERROR(IF(AND(BB223&gt;0,OR(COUNTIFS(예비비!$C$430:$C$729,BA223,예비비!$N$430:$N$729,"OK")&gt;0,AND(INDEX(잔액!$J:$J,BA223)="가족통장",INDEX(잔액!$K:$K,BA223)="미래에셋_WRAP형CMA"),COUNTIF(예비비!$A$8:$A$12,INDEX(잔액!$C:$C,BA223))=1,COUNTIF(예비비!$A$8:$A$12,INDEX(잔액!$D:$D,BA223))=1),OR(AND(BB223&gt;=예비비!$B$3,BB223&lt;EDATE(예비비!$B$3,1)),AND(BB223&lt;EDATE(예비비!$B$3,1),COUNTIFS(예비비!$C$430:$C$729,BA223,예비비!$L$430:$L$729,예비비!$B$3,예비비!$N$430:$N$729,"OK")&gt;0))),MAX($BH$120:BH222)+1,0),0)</f>
        <v>0</v>
      </c>
      <c r="BI223">
        <f>IF(예비비!$R223="OK",SUMIFS(예비비!$O$430:$O$729,예비비!$B$430:$B$729,예비비!$A223,예비비!$E$430:$E$729,"&lt;"&amp;EDATE(BI$99,1),예비비!$F$430:$F$729,"결제대금비")+MAX(0,IF(예비비!$D223&lt;EDATE(BI$99,1),예비비!$E223,0)-SUMIFS(예비비!$O$430:$O$729,예비비!$B$430:$B$729,예비비!$A223,예비비!$E$430:$E$729,"&lt;"&amp;EDATE(BI$99,1))),0)</f>
        <v>0</v>
      </c>
      <c r="BJ223">
        <f>IF(예비비!$R223="OK",SUMIFS(예비비!$O$430:$O$729,예비비!$B$430:$B$729,예비비!$A223,예비비!$E$430:$E$729,"&lt;"&amp;EDATE(BJ$99,1),예비비!$F$430:$F$729,"결제대금비")+MAX(0,IF(예비비!$D223&lt;EDATE(BJ$99,1),예비비!$E223,0)-SUMIFS(예비비!$O$430:$O$729,예비비!$B$430:$B$729,예비비!$A223,예비비!$E$430:$E$729,"&lt;"&amp;EDATE(BJ$99,1))),0)</f>
        <v>0</v>
      </c>
      <c r="BK223">
        <f>IF(예비비!$R223="OK",SUMIFS(예비비!$O$430:$O$729,예비비!$B$430:$B$729,예비비!$A223,예비비!$E$430:$E$729,"&lt;"&amp;EDATE(BK$99,1),예비비!$F$430:$F$729,"결제대금비")+MAX(0,IF(예비비!$D223&lt;EDATE(BK$99,1),예비비!$E223,0)-SUMIFS(예비비!$O$430:$O$729,예비비!$B$430:$B$729,예비비!$A223,예비비!$E$430:$E$729,"&lt;"&amp;EDATE(BK$99,1))),0)</f>
        <v>0</v>
      </c>
      <c r="BL223">
        <f>IF(예비비!$R223="OK",SUMIFS(예비비!$O$430:$O$729,예비비!$B$430:$B$729,예비비!$A223,예비비!$E$430:$E$729,"&lt;"&amp;EDATE(BL$99,1),예비비!$F$430:$F$729,"결제대금비")+MAX(0,IF(예비비!$D223&lt;EDATE(BL$99,1),예비비!$E223,0)-SUMIFS(예비비!$O$430:$O$729,예비비!$B$430:$B$729,예비비!$A223,예비비!$E$430:$E$729,"&lt;"&amp;EDATE(BL$99,1))),0)</f>
        <v>0</v>
      </c>
      <c r="BM223">
        <f>IF(예비비!$R223="OK",SUMIFS(예비비!$O$430:$O$729,예비비!$B$430:$B$729,예비비!$A223,예비비!$E$430:$E$729,"&lt;"&amp;EDATE(BM$99,1),예비비!$F$430:$F$729,"결제대금비")+MAX(0,IF(예비비!$D223&lt;EDATE(BM$99,1),예비비!$E223,0)-SUMIFS(예비비!$O$430:$O$729,예비비!$B$430:$B$729,예비비!$A223,예비비!$E$430:$E$729,"&lt;"&amp;EDATE(BM$99,1))),0)</f>
        <v>0</v>
      </c>
      <c r="BN223">
        <f>IF(예비비!$R223="OK",SUMIFS(예비비!$O$430:$O$729,예비비!$B$430:$B$729,예비비!$A223,예비비!$E$430:$E$729,"&lt;"&amp;EDATE(BN$99,1),예비비!$F$430:$F$729,"결제대금비")+MAX(0,IF(예비비!$D223&lt;EDATE(BN$99,1),예비비!$E223,0)-SUMIFS(예비비!$O$430:$O$729,예비비!$B$430:$B$729,예비비!$A223,예비비!$E$430:$E$729,"&lt;"&amp;EDATE(BN$99,1))),0)</f>
        <v>0</v>
      </c>
      <c r="BO223">
        <f>IF(예비비!$R223="OK",SUMIFS(예비비!$O$430:$O$729,예비비!$B$430:$B$729,예비비!$A223,예비비!$E$430:$E$729,"&lt;"&amp;EDATE(BO$99,1),예비비!$F$430:$F$729,"결제대금비")+MAX(0,IF(예비비!$D223&lt;EDATE(BO$99,1),예비비!$E223,0)-SUMIFS(예비비!$O$430:$O$729,예비비!$B$430:$B$729,예비비!$A223,예비비!$E$430:$E$729,"&lt;"&amp;EDATE(BO$99,1))),0)</f>
        <v>0</v>
      </c>
      <c r="BP223">
        <f>IF(예비비!$R223="OK",SUMIFS(예비비!$O$430:$O$729,예비비!$B$430:$B$729,예비비!$A223,예비비!$E$430:$E$729,"&lt;"&amp;EDATE(BP$99,1),예비비!$F$430:$F$729,"결제대금비")+MAX(0,IF(예비비!$D223&lt;EDATE(BP$99,1),예비비!$E223,0)-SUMIFS(예비비!$O$430:$O$729,예비비!$B$430:$B$729,예비비!$A223,예비비!$E$430:$E$729,"&lt;"&amp;EDATE(BP$99,1))),0)</f>
        <v>0</v>
      </c>
      <c r="BQ223">
        <f>IF(예비비!$R223="OK",SUMIFS(예비비!$O$430:$O$729,예비비!$B$430:$B$729,예비비!$A223,예비비!$E$430:$E$729,"&lt;"&amp;EDATE(BQ$99,1),예비비!$F$430:$F$729,"결제대금비")+MAX(0,IF(예비비!$D223&lt;EDATE(BQ$99,1),예비비!$E223,0)-SUMIFS(예비비!$O$430:$O$729,예비비!$B$430:$B$729,예비비!$A223,예비비!$E$430:$E$729,"&lt;"&amp;EDATE(BQ$99,1))),0)</f>
        <v>0</v>
      </c>
      <c r="BR223">
        <f>IF(예비비!$R223="OK",SUMIFS(예비비!$O$430:$O$729,예비비!$B$430:$B$729,예비비!$A223,예비비!$E$430:$E$729,"&lt;"&amp;EDATE(BR$99,1),예비비!$F$430:$F$729,"결제대금비")+MAX(0,IF(예비비!$D223&lt;EDATE(BR$99,1),예비비!$E223,0)-SUMIFS(예비비!$O$430:$O$729,예비비!$B$430:$B$729,예비비!$A223,예비비!$E$430:$E$729,"&lt;"&amp;EDATE(BR$99,1))),0)</f>
        <v>0</v>
      </c>
      <c r="BS223">
        <f>IF(예비비!$R223="OK",SUMIFS(예비비!$O$430:$O$729,예비비!$B$430:$B$729,예비비!$A223,예비비!$E$430:$E$729,"&lt;"&amp;EDATE(BS$99,1),예비비!$F$430:$F$729,"결제대금비")+MAX(0,IF(예비비!$D223&lt;EDATE(BS$99,1),예비비!$E223,0)-SUMIFS(예비비!$O$430:$O$729,예비비!$B$430:$B$729,예비비!$A223,예비비!$E$430:$E$729,"&lt;"&amp;EDATE(BS$99,1))),0)</f>
        <v>0</v>
      </c>
      <c r="BT223">
        <f>IF(예비비!$R223="OK",SUMIFS(예비비!$O$430:$O$729,예비비!$B$430:$B$729,예비비!$A223,예비비!$E$430:$E$729,"&lt;"&amp;EDATE(BT$99,1),예비비!$F$430:$F$729,"결제대금비")+MAX(0,IF(예비비!$D223&lt;EDATE(BT$99,1),예비비!$E223,0)-SUMIFS(예비비!$O$430:$O$729,예비비!$B$430:$B$729,예비비!$A223,예비비!$E$430:$E$729,"&lt;"&amp;EDATE(BT$99,1))),0)</f>
        <v>0</v>
      </c>
      <c r="BU223">
        <f>IF(예비비!$R223="OK",SUMIFS(예비비!$O$430:$O$729,예비비!$B$430:$B$729,예비비!$A223,예비비!$E$430:$E$729,"&lt;"&amp;EDATE(BU$99,1),예비비!$F$430:$F$729,"결제대금비")+MAX(0,IF(예비비!$D223&lt;EDATE(BU$99,1),예비비!$E223,0)-SUMIFS(예비비!$O$430:$O$729,예비비!$B$430:$B$729,예비비!$A223,예비비!$E$430:$E$729,"&lt;"&amp;EDATE(BU$99,1))),0)</f>
        <v>0</v>
      </c>
    </row>
    <row r="224">
      <c r="BA224">
        <v>168</v>
      </c>
      <c r="BB224">
        <f>IFERROR(INDEX(잔액!$A:$A,BA224),0)</f>
        <v>46204.0</v>
      </c>
      <c r="BH224">
        <f>IFERROR(IF(AND(BB224&gt;0,OR(COUNTIFS(예비비!$C$430:$C$729,BA224,예비비!$N$430:$N$729,"OK")&gt;0,AND(INDEX(잔액!$J:$J,BA224)="가족통장",INDEX(잔액!$K:$K,BA224)="미래에셋_WRAP형CMA"),COUNTIF(예비비!$A$8:$A$12,INDEX(잔액!$C:$C,BA224))=1,COUNTIF(예비비!$A$8:$A$12,INDEX(잔액!$D:$D,BA224))=1),OR(AND(BB224&gt;=예비비!$B$3,BB224&lt;EDATE(예비비!$B$3,1)),AND(BB224&lt;EDATE(예비비!$B$3,1),COUNTIFS(예비비!$C$430:$C$729,BA224,예비비!$L$430:$L$729,예비비!$B$3,예비비!$N$430:$N$729,"OK")&gt;0))),MAX($BH$120:BH223)+1,0),0)</f>
        <v>0</v>
      </c>
      <c r="BI224">
        <f>IF(예비비!$R224="OK",SUMIFS(예비비!$O$430:$O$729,예비비!$B$430:$B$729,예비비!$A224,예비비!$E$430:$E$729,"&lt;"&amp;EDATE(BI$99,1),예비비!$F$430:$F$729,"결제대금비")+MAX(0,IF(예비비!$D224&lt;EDATE(BI$99,1),예비비!$E224,0)-SUMIFS(예비비!$O$430:$O$729,예비비!$B$430:$B$729,예비비!$A224,예비비!$E$430:$E$729,"&lt;"&amp;EDATE(BI$99,1))),0)</f>
        <v>0</v>
      </c>
      <c r="BJ224">
        <f>IF(예비비!$R224="OK",SUMIFS(예비비!$O$430:$O$729,예비비!$B$430:$B$729,예비비!$A224,예비비!$E$430:$E$729,"&lt;"&amp;EDATE(BJ$99,1),예비비!$F$430:$F$729,"결제대금비")+MAX(0,IF(예비비!$D224&lt;EDATE(BJ$99,1),예비비!$E224,0)-SUMIFS(예비비!$O$430:$O$729,예비비!$B$430:$B$729,예비비!$A224,예비비!$E$430:$E$729,"&lt;"&amp;EDATE(BJ$99,1))),0)</f>
        <v>0</v>
      </c>
      <c r="BK224">
        <f>IF(예비비!$R224="OK",SUMIFS(예비비!$O$430:$O$729,예비비!$B$430:$B$729,예비비!$A224,예비비!$E$430:$E$729,"&lt;"&amp;EDATE(BK$99,1),예비비!$F$430:$F$729,"결제대금비")+MAX(0,IF(예비비!$D224&lt;EDATE(BK$99,1),예비비!$E224,0)-SUMIFS(예비비!$O$430:$O$729,예비비!$B$430:$B$729,예비비!$A224,예비비!$E$430:$E$729,"&lt;"&amp;EDATE(BK$99,1))),0)</f>
        <v>0</v>
      </c>
      <c r="BL224">
        <f>IF(예비비!$R224="OK",SUMIFS(예비비!$O$430:$O$729,예비비!$B$430:$B$729,예비비!$A224,예비비!$E$430:$E$729,"&lt;"&amp;EDATE(BL$99,1),예비비!$F$430:$F$729,"결제대금비")+MAX(0,IF(예비비!$D224&lt;EDATE(BL$99,1),예비비!$E224,0)-SUMIFS(예비비!$O$430:$O$729,예비비!$B$430:$B$729,예비비!$A224,예비비!$E$430:$E$729,"&lt;"&amp;EDATE(BL$99,1))),0)</f>
        <v>0</v>
      </c>
      <c r="BM224">
        <f>IF(예비비!$R224="OK",SUMIFS(예비비!$O$430:$O$729,예비비!$B$430:$B$729,예비비!$A224,예비비!$E$430:$E$729,"&lt;"&amp;EDATE(BM$99,1),예비비!$F$430:$F$729,"결제대금비")+MAX(0,IF(예비비!$D224&lt;EDATE(BM$99,1),예비비!$E224,0)-SUMIFS(예비비!$O$430:$O$729,예비비!$B$430:$B$729,예비비!$A224,예비비!$E$430:$E$729,"&lt;"&amp;EDATE(BM$99,1))),0)</f>
        <v>0</v>
      </c>
      <c r="BN224">
        <f>IF(예비비!$R224="OK",SUMIFS(예비비!$O$430:$O$729,예비비!$B$430:$B$729,예비비!$A224,예비비!$E$430:$E$729,"&lt;"&amp;EDATE(BN$99,1),예비비!$F$430:$F$729,"결제대금비")+MAX(0,IF(예비비!$D224&lt;EDATE(BN$99,1),예비비!$E224,0)-SUMIFS(예비비!$O$430:$O$729,예비비!$B$430:$B$729,예비비!$A224,예비비!$E$430:$E$729,"&lt;"&amp;EDATE(BN$99,1))),0)</f>
        <v>0</v>
      </c>
      <c r="BO224">
        <f>IF(예비비!$R224="OK",SUMIFS(예비비!$O$430:$O$729,예비비!$B$430:$B$729,예비비!$A224,예비비!$E$430:$E$729,"&lt;"&amp;EDATE(BO$99,1),예비비!$F$430:$F$729,"결제대금비")+MAX(0,IF(예비비!$D224&lt;EDATE(BO$99,1),예비비!$E224,0)-SUMIFS(예비비!$O$430:$O$729,예비비!$B$430:$B$729,예비비!$A224,예비비!$E$430:$E$729,"&lt;"&amp;EDATE(BO$99,1))),0)</f>
        <v>0</v>
      </c>
      <c r="BP224">
        <f>IF(예비비!$R224="OK",SUMIFS(예비비!$O$430:$O$729,예비비!$B$430:$B$729,예비비!$A224,예비비!$E$430:$E$729,"&lt;"&amp;EDATE(BP$99,1),예비비!$F$430:$F$729,"결제대금비")+MAX(0,IF(예비비!$D224&lt;EDATE(BP$99,1),예비비!$E224,0)-SUMIFS(예비비!$O$430:$O$729,예비비!$B$430:$B$729,예비비!$A224,예비비!$E$430:$E$729,"&lt;"&amp;EDATE(BP$99,1))),0)</f>
        <v>0</v>
      </c>
      <c r="BQ224">
        <f>IF(예비비!$R224="OK",SUMIFS(예비비!$O$430:$O$729,예비비!$B$430:$B$729,예비비!$A224,예비비!$E$430:$E$729,"&lt;"&amp;EDATE(BQ$99,1),예비비!$F$430:$F$729,"결제대금비")+MAX(0,IF(예비비!$D224&lt;EDATE(BQ$99,1),예비비!$E224,0)-SUMIFS(예비비!$O$430:$O$729,예비비!$B$430:$B$729,예비비!$A224,예비비!$E$430:$E$729,"&lt;"&amp;EDATE(BQ$99,1))),0)</f>
        <v>0</v>
      </c>
      <c r="BR224">
        <f>IF(예비비!$R224="OK",SUMIFS(예비비!$O$430:$O$729,예비비!$B$430:$B$729,예비비!$A224,예비비!$E$430:$E$729,"&lt;"&amp;EDATE(BR$99,1),예비비!$F$430:$F$729,"결제대금비")+MAX(0,IF(예비비!$D224&lt;EDATE(BR$99,1),예비비!$E224,0)-SUMIFS(예비비!$O$430:$O$729,예비비!$B$430:$B$729,예비비!$A224,예비비!$E$430:$E$729,"&lt;"&amp;EDATE(BR$99,1))),0)</f>
        <v>0</v>
      </c>
      <c r="BS224">
        <f>IF(예비비!$R224="OK",SUMIFS(예비비!$O$430:$O$729,예비비!$B$430:$B$729,예비비!$A224,예비비!$E$430:$E$729,"&lt;"&amp;EDATE(BS$99,1),예비비!$F$430:$F$729,"결제대금비")+MAX(0,IF(예비비!$D224&lt;EDATE(BS$99,1),예비비!$E224,0)-SUMIFS(예비비!$O$430:$O$729,예비비!$B$430:$B$729,예비비!$A224,예비비!$E$430:$E$729,"&lt;"&amp;EDATE(BS$99,1))),0)</f>
        <v>0</v>
      </c>
      <c r="BT224">
        <f>IF(예비비!$R224="OK",SUMIFS(예비비!$O$430:$O$729,예비비!$B$430:$B$729,예비비!$A224,예비비!$E$430:$E$729,"&lt;"&amp;EDATE(BT$99,1),예비비!$F$430:$F$729,"결제대금비")+MAX(0,IF(예비비!$D224&lt;EDATE(BT$99,1),예비비!$E224,0)-SUMIFS(예비비!$O$430:$O$729,예비비!$B$430:$B$729,예비비!$A224,예비비!$E$430:$E$729,"&lt;"&amp;EDATE(BT$99,1))),0)</f>
        <v>0</v>
      </c>
      <c r="BU224">
        <f>IF(예비비!$R224="OK",SUMIFS(예비비!$O$430:$O$729,예비비!$B$430:$B$729,예비비!$A224,예비비!$E$430:$E$729,"&lt;"&amp;EDATE(BU$99,1),예비비!$F$430:$F$729,"결제대금비")+MAX(0,IF(예비비!$D224&lt;EDATE(BU$99,1),예비비!$E224,0)-SUMIFS(예비비!$O$430:$O$729,예비비!$B$430:$B$729,예비비!$A224,예비비!$E$430:$E$729,"&lt;"&amp;EDATE(BU$99,1))),0)</f>
        <v>0</v>
      </c>
    </row>
    <row r="225">
      <c r="BA225">
        <v>169</v>
      </c>
      <c r="BB225">
        <f>IFERROR(INDEX(잔액!$A:$A,BA225),0)</f>
        <v>46204.0</v>
      </c>
      <c r="BH225">
        <f>IFERROR(IF(AND(BB225&gt;0,OR(COUNTIFS(예비비!$C$430:$C$729,BA225,예비비!$N$430:$N$729,"OK")&gt;0,AND(INDEX(잔액!$J:$J,BA225)="가족통장",INDEX(잔액!$K:$K,BA225)="미래에셋_WRAP형CMA"),COUNTIF(예비비!$A$8:$A$12,INDEX(잔액!$C:$C,BA225))=1,COUNTIF(예비비!$A$8:$A$12,INDEX(잔액!$D:$D,BA225))=1),OR(AND(BB225&gt;=예비비!$B$3,BB225&lt;EDATE(예비비!$B$3,1)),AND(BB225&lt;EDATE(예비비!$B$3,1),COUNTIFS(예비비!$C$430:$C$729,BA225,예비비!$L$430:$L$729,예비비!$B$3,예비비!$N$430:$N$729,"OK")&gt;0))),MAX($BH$120:BH224)+1,0),0)</f>
        <v>0</v>
      </c>
      <c r="BI225">
        <f>IF(예비비!$R225="OK",SUMIFS(예비비!$O$430:$O$729,예비비!$B$430:$B$729,예비비!$A225,예비비!$E$430:$E$729,"&lt;"&amp;EDATE(BI$99,1),예비비!$F$430:$F$729,"결제대금비")+MAX(0,IF(예비비!$D225&lt;EDATE(BI$99,1),예비비!$E225,0)-SUMIFS(예비비!$O$430:$O$729,예비비!$B$430:$B$729,예비비!$A225,예비비!$E$430:$E$729,"&lt;"&amp;EDATE(BI$99,1))),0)</f>
        <v>0</v>
      </c>
      <c r="BJ225">
        <f>IF(예비비!$R225="OK",SUMIFS(예비비!$O$430:$O$729,예비비!$B$430:$B$729,예비비!$A225,예비비!$E$430:$E$729,"&lt;"&amp;EDATE(BJ$99,1),예비비!$F$430:$F$729,"결제대금비")+MAX(0,IF(예비비!$D225&lt;EDATE(BJ$99,1),예비비!$E225,0)-SUMIFS(예비비!$O$430:$O$729,예비비!$B$430:$B$729,예비비!$A225,예비비!$E$430:$E$729,"&lt;"&amp;EDATE(BJ$99,1))),0)</f>
        <v>0</v>
      </c>
      <c r="BK225">
        <f>IF(예비비!$R225="OK",SUMIFS(예비비!$O$430:$O$729,예비비!$B$430:$B$729,예비비!$A225,예비비!$E$430:$E$729,"&lt;"&amp;EDATE(BK$99,1),예비비!$F$430:$F$729,"결제대금비")+MAX(0,IF(예비비!$D225&lt;EDATE(BK$99,1),예비비!$E225,0)-SUMIFS(예비비!$O$430:$O$729,예비비!$B$430:$B$729,예비비!$A225,예비비!$E$430:$E$729,"&lt;"&amp;EDATE(BK$99,1))),0)</f>
        <v>0</v>
      </c>
      <c r="BL225">
        <f>IF(예비비!$R225="OK",SUMIFS(예비비!$O$430:$O$729,예비비!$B$430:$B$729,예비비!$A225,예비비!$E$430:$E$729,"&lt;"&amp;EDATE(BL$99,1),예비비!$F$430:$F$729,"결제대금비")+MAX(0,IF(예비비!$D225&lt;EDATE(BL$99,1),예비비!$E225,0)-SUMIFS(예비비!$O$430:$O$729,예비비!$B$430:$B$729,예비비!$A225,예비비!$E$430:$E$729,"&lt;"&amp;EDATE(BL$99,1))),0)</f>
        <v>0</v>
      </c>
      <c r="BM225">
        <f>IF(예비비!$R225="OK",SUMIFS(예비비!$O$430:$O$729,예비비!$B$430:$B$729,예비비!$A225,예비비!$E$430:$E$729,"&lt;"&amp;EDATE(BM$99,1),예비비!$F$430:$F$729,"결제대금비")+MAX(0,IF(예비비!$D225&lt;EDATE(BM$99,1),예비비!$E225,0)-SUMIFS(예비비!$O$430:$O$729,예비비!$B$430:$B$729,예비비!$A225,예비비!$E$430:$E$729,"&lt;"&amp;EDATE(BM$99,1))),0)</f>
        <v>0</v>
      </c>
      <c r="BN225">
        <f>IF(예비비!$R225="OK",SUMIFS(예비비!$O$430:$O$729,예비비!$B$430:$B$729,예비비!$A225,예비비!$E$430:$E$729,"&lt;"&amp;EDATE(BN$99,1),예비비!$F$430:$F$729,"결제대금비")+MAX(0,IF(예비비!$D225&lt;EDATE(BN$99,1),예비비!$E225,0)-SUMIFS(예비비!$O$430:$O$729,예비비!$B$430:$B$729,예비비!$A225,예비비!$E$430:$E$729,"&lt;"&amp;EDATE(BN$99,1))),0)</f>
        <v>0</v>
      </c>
      <c r="BO225">
        <f>IF(예비비!$R225="OK",SUMIFS(예비비!$O$430:$O$729,예비비!$B$430:$B$729,예비비!$A225,예비비!$E$430:$E$729,"&lt;"&amp;EDATE(BO$99,1),예비비!$F$430:$F$729,"결제대금비")+MAX(0,IF(예비비!$D225&lt;EDATE(BO$99,1),예비비!$E225,0)-SUMIFS(예비비!$O$430:$O$729,예비비!$B$430:$B$729,예비비!$A225,예비비!$E$430:$E$729,"&lt;"&amp;EDATE(BO$99,1))),0)</f>
        <v>0</v>
      </c>
      <c r="BP225">
        <f>IF(예비비!$R225="OK",SUMIFS(예비비!$O$430:$O$729,예비비!$B$430:$B$729,예비비!$A225,예비비!$E$430:$E$729,"&lt;"&amp;EDATE(BP$99,1),예비비!$F$430:$F$729,"결제대금비")+MAX(0,IF(예비비!$D225&lt;EDATE(BP$99,1),예비비!$E225,0)-SUMIFS(예비비!$O$430:$O$729,예비비!$B$430:$B$729,예비비!$A225,예비비!$E$430:$E$729,"&lt;"&amp;EDATE(BP$99,1))),0)</f>
        <v>0</v>
      </c>
      <c r="BQ225">
        <f>IF(예비비!$R225="OK",SUMIFS(예비비!$O$430:$O$729,예비비!$B$430:$B$729,예비비!$A225,예비비!$E$430:$E$729,"&lt;"&amp;EDATE(BQ$99,1),예비비!$F$430:$F$729,"결제대금비")+MAX(0,IF(예비비!$D225&lt;EDATE(BQ$99,1),예비비!$E225,0)-SUMIFS(예비비!$O$430:$O$729,예비비!$B$430:$B$729,예비비!$A225,예비비!$E$430:$E$729,"&lt;"&amp;EDATE(BQ$99,1))),0)</f>
        <v>0</v>
      </c>
      <c r="BR225">
        <f>IF(예비비!$R225="OK",SUMIFS(예비비!$O$430:$O$729,예비비!$B$430:$B$729,예비비!$A225,예비비!$E$430:$E$729,"&lt;"&amp;EDATE(BR$99,1),예비비!$F$430:$F$729,"결제대금비")+MAX(0,IF(예비비!$D225&lt;EDATE(BR$99,1),예비비!$E225,0)-SUMIFS(예비비!$O$430:$O$729,예비비!$B$430:$B$729,예비비!$A225,예비비!$E$430:$E$729,"&lt;"&amp;EDATE(BR$99,1))),0)</f>
        <v>0</v>
      </c>
      <c r="BS225">
        <f>IF(예비비!$R225="OK",SUMIFS(예비비!$O$430:$O$729,예비비!$B$430:$B$729,예비비!$A225,예비비!$E$430:$E$729,"&lt;"&amp;EDATE(BS$99,1),예비비!$F$430:$F$729,"결제대금비")+MAX(0,IF(예비비!$D225&lt;EDATE(BS$99,1),예비비!$E225,0)-SUMIFS(예비비!$O$430:$O$729,예비비!$B$430:$B$729,예비비!$A225,예비비!$E$430:$E$729,"&lt;"&amp;EDATE(BS$99,1))),0)</f>
        <v>0</v>
      </c>
      <c r="BT225">
        <f>IF(예비비!$R225="OK",SUMIFS(예비비!$O$430:$O$729,예비비!$B$430:$B$729,예비비!$A225,예비비!$E$430:$E$729,"&lt;"&amp;EDATE(BT$99,1),예비비!$F$430:$F$729,"결제대금비")+MAX(0,IF(예비비!$D225&lt;EDATE(BT$99,1),예비비!$E225,0)-SUMIFS(예비비!$O$430:$O$729,예비비!$B$430:$B$729,예비비!$A225,예비비!$E$430:$E$729,"&lt;"&amp;EDATE(BT$99,1))),0)</f>
        <v>0</v>
      </c>
      <c r="BU225">
        <f>IF(예비비!$R225="OK",SUMIFS(예비비!$O$430:$O$729,예비비!$B$430:$B$729,예비비!$A225,예비비!$E$430:$E$729,"&lt;"&amp;EDATE(BU$99,1),예비비!$F$430:$F$729,"결제대금비")+MAX(0,IF(예비비!$D225&lt;EDATE(BU$99,1),예비비!$E225,0)-SUMIFS(예비비!$O$430:$O$729,예비비!$B$430:$B$729,예비비!$A225,예비비!$E$430:$E$729,"&lt;"&amp;EDATE(BU$99,1))),0)</f>
        <v>0</v>
      </c>
    </row>
    <row r="226">
      <c r="BA226">
        <v>170</v>
      </c>
      <c r="BB226">
        <f>IFERROR(INDEX(잔액!$A:$A,BA226),0)</f>
        <v>46204.0</v>
      </c>
      <c r="BH226">
        <f>IFERROR(IF(AND(BB226&gt;0,OR(COUNTIFS(예비비!$C$430:$C$729,BA226,예비비!$N$430:$N$729,"OK")&gt;0,AND(INDEX(잔액!$J:$J,BA226)="가족통장",INDEX(잔액!$K:$K,BA226)="미래에셋_WRAP형CMA"),COUNTIF(예비비!$A$8:$A$12,INDEX(잔액!$C:$C,BA226))=1,COUNTIF(예비비!$A$8:$A$12,INDEX(잔액!$D:$D,BA226))=1),OR(AND(BB226&gt;=예비비!$B$3,BB226&lt;EDATE(예비비!$B$3,1)),AND(BB226&lt;EDATE(예비비!$B$3,1),COUNTIFS(예비비!$C$430:$C$729,BA226,예비비!$L$430:$L$729,예비비!$B$3,예비비!$N$430:$N$729,"OK")&gt;0))),MAX($BH$120:BH225)+1,0),0)</f>
        <v>0</v>
      </c>
      <c r="BI226">
        <f>IF(예비비!$R226="OK",SUMIFS(예비비!$O$430:$O$729,예비비!$B$430:$B$729,예비비!$A226,예비비!$E$430:$E$729,"&lt;"&amp;EDATE(BI$99,1),예비비!$F$430:$F$729,"결제대금비")+MAX(0,IF(예비비!$D226&lt;EDATE(BI$99,1),예비비!$E226,0)-SUMIFS(예비비!$O$430:$O$729,예비비!$B$430:$B$729,예비비!$A226,예비비!$E$430:$E$729,"&lt;"&amp;EDATE(BI$99,1))),0)</f>
        <v>0</v>
      </c>
      <c r="BJ226">
        <f>IF(예비비!$R226="OK",SUMIFS(예비비!$O$430:$O$729,예비비!$B$430:$B$729,예비비!$A226,예비비!$E$430:$E$729,"&lt;"&amp;EDATE(BJ$99,1),예비비!$F$430:$F$729,"결제대금비")+MAX(0,IF(예비비!$D226&lt;EDATE(BJ$99,1),예비비!$E226,0)-SUMIFS(예비비!$O$430:$O$729,예비비!$B$430:$B$729,예비비!$A226,예비비!$E$430:$E$729,"&lt;"&amp;EDATE(BJ$99,1))),0)</f>
        <v>0</v>
      </c>
      <c r="BK226">
        <f>IF(예비비!$R226="OK",SUMIFS(예비비!$O$430:$O$729,예비비!$B$430:$B$729,예비비!$A226,예비비!$E$430:$E$729,"&lt;"&amp;EDATE(BK$99,1),예비비!$F$430:$F$729,"결제대금비")+MAX(0,IF(예비비!$D226&lt;EDATE(BK$99,1),예비비!$E226,0)-SUMIFS(예비비!$O$430:$O$729,예비비!$B$430:$B$729,예비비!$A226,예비비!$E$430:$E$729,"&lt;"&amp;EDATE(BK$99,1))),0)</f>
        <v>0</v>
      </c>
      <c r="BL226">
        <f>IF(예비비!$R226="OK",SUMIFS(예비비!$O$430:$O$729,예비비!$B$430:$B$729,예비비!$A226,예비비!$E$430:$E$729,"&lt;"&amp;EDATE(BL$99,1),예비비!$F$430:$F$729,"결제대금비")+MAX(0,IF(예비비!$D226&lt;EDATE(BL$99,1),예비비!$E226,0)-SUMIFS(예비비!$O$430:$O$729,예비비!$B$430:$B$729,예비비!$A226,예비비!$E$430:$E$729,"&lt;"&amp;EDATE(BL$99,1))),0)</f>
        <v>0</v>
      </c>
      <c r="BM226">
        <f>IF(예비비!$R226="OK",SUMIFS(예비비!$O$430:$O$729,예비비!$B$430:$B$729,예비비!$A226,예비비!$E$430:$E$729,"&lt;"&amp;EDATE(BM$99,1),예비비!$F$430:$F$729,"결제대금비")+MAX(0,IF(예비비!$D226&lt;EDATE(BM$99,1),예비비!$E226,0)-SUMIFS(예비비!$O$430:$O$729,예비비!$B$430:$B$729,예비비!$A226,예비비!$E$430:$E$729,"&lt;"&amp;EDATE(BM$99,1))),0)</f>
        <v>0</v>
      </c>
      <c r="BN226">
        <f>IF(예비비!$R226="OK",SUMIFS(예비비!$O$430:$O$729,예비비!$B$430:$B$729,예비비!$A226,예비비!$E$430:$E$729,"&lt;"&amp;EDATE(BN$99,1),예비비!$F$430:$F$729,"결제대금비")+MAX(0,IF(예비비!$D226&lt;EDATE(BN$99,1),예비비!$E226,0)-SUMIFS(예비비!$O$430:$O$729,예비비!$B$430:$B$729,예비비!$A226,예비비!$E$430:$E$729,"&lt;"&amp;EDATE(BN$99,1))),0)</f>
        <v>0</v>
      </c>
      <c r="BO226">
        <f>IF(예비비!$R226="OK",SUMIFS(예비비!$O$430:$O$729,예비비!$B$430:$B$729,예비비!$A226,예비비!$E$430:$E$729,"&lt;"&amp;EDATE(BO$99,1),예비비!$F$430:$F$729,"결제대금비")+MAX(0,IF(예비비!$D226&lt;EDATE(BO$99,1),예비비!$E226,0)-SUMIFS(예비비!$O$430:$O$729,예비비!$B$430:$B$729,예비비!$A226,예비비!$E$430:$E$729,"&lt;"&amp;EDATE(BO$99,1))),0)</f>
        <v>0</v>
      </c>
      <c r="BP226">
        <f>IF(예비비!$R226="OK",SUMIFS(예비비!$O$430:$O$729,예비비!$B$430:$B$729,예비비!$A226,예비비!$E$430:$E$729,"&lt;"&amp;EDATE(BP$99,1),예비비!$F$430:$F$729,"결제대금비")+MAX(0,IF(예비비!$D226&lt;EDATE(BP$99,1),예비비!$E226,0)-SUMIFS(예비비!$O$430:$O$729,예비비!$B$430:$B$729,예비비!$A226,예비비!$E$430:$E$729,"&lt;"&amp;EDATE(BP$99,1))),0)</f>
        <v>0</v>
      </c>
      <c r="BQ226">
        <f>IF(예비비!$R226="OK",SUMIFS(예비비!$O$430:$O$729,예비비!$B$430:$B$729,예비비!$A226,예비비!$E$430:$E$729,"&lt;"&amp;EDATE(BQ$99,1),예비비!$F$430:$F$729,"결제대금비")+MAX(0,IF(예비비!$D226&lt;EDATE(BQ$99,1),예비비!$E226,0)-SUMIFS(예비비!$O$430:$O$729,예비비!$B$430:$B$729,예비비!$A226,예비비!$E$430:$E$729,"&lt;"&amp;EDATE(BQ$99,1))),0)</f>
        <v>0</v>
      </c>
      <c r="BR226">
        <f>IF(예비비!$R226="OK",SUMIFS(예비비!$O$430:$O$729,예비비!$B$430:$B$729,예비비!$A226,예비비!$E$430:$E$729,"&lt;"&amp;EDATE(BR$99,1),예비비!$F$430:$F$729,"결제대금비")+MAX(0,IF(예비비!$D226&lt;EDATE(BR$99,1),예비비!$E226,0)-SUMIFS(예비비!$O$430:$O$729,예비비!$B$430:$B$729,예비비!$A226,예비비!$E$430:$E$729,"&lt;"&amp;EDATE(BR$99,1))),0)</f>
        <v>0</v>
      </c>
      <c r="BS226">
        <f>IF(예비비!$R226="OK",SUMIFS(예비비!$O$430:$O$729,예비비!$B$430:$B$729,예비비!$A226,예비비!$E$430:$E$729,"&lt;"&amp;EDATE(BS$99,1),예비비!$F$430:$F$729,"결제대금비")+MAX(0,IF(예비비!$D226&lt;EDATE(BS$99,1),예비비!$E226,0)-SUMIFS(예비비!$O$430:$O$729,예비비!$B$430:$B$729,예비비!$A226,예비비!$E$430:$E$729,"&lt;"&amp;EDATE(BS$99,1))),0)</f>
        <v>0</v>
      </c>
      <c r="BT226">
        <f>IF(예비비!$R226="OK",SUMIFS(예비비!$O$430:$O$729,예비비!$B$430:$B$729,예비비!$A226,예비비!$E$430:$E$729,"&lt;"&amp;EDATE(BT$99,1),예비비!$F$430:$F$729,"결제대금비")+MAX(0,IF(예비비!$D226&lt;EDATE(BT$99,1),예비비!$E226,0)-SUMIFS(예비비!$O$430:$O$729,예비비!$B$430:$B$729,예비비!$A226,예비비!$E$430:$E$729,"&lt;"&amp;EDATE(BT$99,1))),0)</f>
        <v>0</v>
      </c>
      <c r="BU226">
        <f>IF(예비비!$R226="OK",SUMIFS(예비비!$O$430:$O$729,예비비!$B$430:$B$729,예비비!$A226,예비비!$E$430:$E$729,"&lt;"&amp;EDATE(BU$99,1),예비비!$F$430:$F$729,"결제대금비")+MAX(0,IF(예비비!$D226&lt;EDATE(BU$99,1),예비비!$E226,0)-SUMIFS(예비비!$O$430:$O$729,예비비!$B$430:$B$729,예비비!$A226,예비비!$E$430:$E$729,"&lt;"&amp;EDATE(BU$99,1))),0)</f>
        <v>0</v>
      </c>
    </row>
    <row r="227">
      <c r="BA227">
        <v>171</v>
      </c>
      <c r="BB227">
        <f>IFERROR(INDEX(잔액!$A:$A,BA227),0)</f>
        <v>46204.0</v>
      </c>
      <c r="BH227">
        <f>IFERROR(IF(AND(BB227&gt;0,OR(COUNTIFS(예비비!$C$430:$C$729,BA227,예비비!$N$430:$N$729,"OK")&gt;0,AND(INDEX(잔액!$J:$J,BA227)="가족통장",INDEX(잔액!$K:$K,BA227)="미래에셋_WRAP형CMA"),COUNTIF(예비비!$A$8:$A$12,INDEX(잔액!$C:$C,BA227))=1,COUNTIF(예비비!$A$8:$A$12,INDEX(잔액!$D:$D,BA227))=1),OR(AND(BB227&gt;=예비비!$B$3,BB227&lt;EDATE(예비비!$B$3,1)),AND(BB227&lt;EDATE(예비비!$B$3,1),COUNTIFS(예비비!$C$430:$C$729,BA227,예비비!$L$430:$L$729,예비비!$B$3,예비비!$N$430:$N$729,"OK")&gt;0))),MAX($BH$120:BH226)+1,0),0)</f>
        <v>0</v>
      </c>
      <c r="BI227">
        <f>IF(예비비!$R227="OK",SUMIFS(예비비!$O$430:$O$729,예비비!$B$430:$B$729,예비비!$A227,예비비!$E$430:$E$729,"&lt;"&amp;EDATE(BI$99,1),예비비!$F$430:$F$729,"결제대금비")+MAX(0,IF(예비비!$D227&lt;EDATE(BI$99,1),예비비!$E227,0)-SUMIFS(예비비!$O$430:$O$729,예비비!$B$430:$B$729,예비비!$A227,예비비!$E$430:$E$729,"&lt;"&amp;EDATE(BI$99,1))),0)</f>
        <v>0</v>
      </c>
      <c r="BJ227">
        <f>IF(예비비!$R227="OK",SUMIFS(예비비!$O$430:$O$729,예비비!$B$430:$B$729,예비비!$A227,예비비!$E$430:$E$729,"&lt;"&amp;EDATE(BJ$99,1),예비비!$F$430:$F$729,"결제대금비")+MAX(0,IF(예비비!$D227&lt;EDATE(BJ$99,1),예비비!$E227,0)-SUMIFS(예비비!$O$430:$O$729,예비비!$B$430:$B$729,예비비!$A227,예비비!$E$430:$E$729,"&lt;"&amp;EDATE(BJ$99,1))),0)</f>
        <v>0</v>
      </c>
      <c r="BK227">
        <f>IF(예비비!$R227="OK",SUMIFS(예비비!$O$430:$O$729,예비비!$B$430:$B$729,예비비!$A227,예비비!$E$430:$E$729,"&lt;"&amp;EDATE(BK$99,1),예비비!$F$430:$F$729,"결제대금비")+MAX(0,IF(예비비!$D227&lt;EDATE(BK$99,1),예비비!$E227,0)-SUMIFS(예비비!$O$430:$O$729,예비비!$B$430:$B$729,예비비!$A227,예비비!$E$430:$E$729,"&lt;"&amp;EDATE(BK$99,1))),0)</f>
        <v>0</v>
      </c>
      <c r="BL227">
        <f>IF(예비비!$R227="OK",SUMIFS(예비비!$O$430:$O$729,예비비!$B$430:$B$729,예비비!$A227,예비비!$E$430:$E$729,"&lt;"&amp;EDATE(BL$99,1),예비비!$F$430:$F$729,"결제대금비")+MAX(0,IF(예비비!$D227&lt;EDATE(BL$99,1),예비비!$E227,0)-SUMIFS(예비비!$O$430:$O$729,예비비!$B$430:$B$729,예비비!$A227,예비비!$E$430:$E$729,"&lt;"&amp;EDATE(BL$99,1))),0)</f>
        <v>0</v>
      </c>
      <c r="BM227">
        <f>IF(예비비!$R227="OK",SUMIFS(예비비!$O$430:$O$729,예비비!$B$430:$B$729,예비비!$A227,예비비!$E$430:$E$729,"&lt;"&amp;EDATE(BM$99,1),예비비!$F$430:$F$729,"결제대금비")+MAX(0,IF(예비비!$D227&lt;EDATE(BM$99,1),예비비!$E227,0)-SUMIFS(예비비!$O$430:$O$729,예비비!$B$430:$B$729,예비비!$A227,예비비!$E$430:$E$729,"&lt;"&amp;EDATE(BM$99,1))),0)</f>
        <v>0</v>
      </c>
      <c r="BN227">
        <f>IF(예비비!$R227="OK",SUMIFS(예비비!$O$430:$O$729,예비비!$B$430:$B$729,예비비!$A227,예비비!$E$430:$E$729,"&lt;"&amp;EDATE(BN$99,1),예비비!$F$430:$F$729,"결제대금비")+MAX(0,IF(예비비!$D227&lt;EDATE(BN$99,1),예비비!$E227,0)-SUMIFS(예비비!$O$430:$O$729,예비비!$B$430:$B$729,예비비!$A227,예비비!$E$430:$E$729,"&lt;"&amp;EDATE(BN$99,1))),0)</f>
        <v>0</v>
      </c>
      <c r="BO227">
        <f>IF(예비비!$R227="OK",SUMIFS(예비비!$O$430:$O$729,예비비!$B$430:$B$729,예비비!$A227,예비비!$E$430:$E$729,"&lt;"&amp;EDATE(BO$99,1),예비비!$F$430:$F$729,"결제대금비")+MAX(0,IF(예비비!$D227&lt;EDATE(BO$99,1),예비비!$E227,0)-SUMIFS(예비비!$O$430:$O$729,예비비!$B$430:$B$729,예비비!$A227,예비비!$E$430:$E$729,"&lt;"&amp;EDATE(BO$99,1))),0)</f>
        <v>0</v>
      </c>
      <c r="BP227">
        <f>IF(예비비!$R227="OK",SUMIFS(예비비!$O$430:$O$729,예비비!$B$430:$B$729,예비비!$A227,예비비!$E$430:$E$729,"&lt;"&amp;EDATE(BP$99,1),예비비!$F$430:$F$729,"결제대금비")+MAX(0,IF(예비비!$D227&lt;EDATE(BP$99,1),예비비!$E227,0)-SUMIFS(예비비!$O$430:$O$729,예비비!$B$430:$B$729,예비비!$A227,예비비!$E$430:$E$729,"&lt;"&amp;EDATE(BP$99,1))),0)</f>
        <v>0</v>
      </c>
      <c r="BQ227">
        <f>IF(예비비!$R227="OK",SUMIFS(예비비!$O$430:$O$729,예비비!$B$430:$B$729,예비비!$A227,예비비!$E$430:$E$729,"&lt;"&amp;EDATE(BQ$99,1),예비비!$F$430:$F$729,"결제대금비")+MAX(0,IF(예비비!$D227&lt;EDATE(BQ$99,1),예비비!$E227,0)-SUMIFS(예비비!$O$430:$O$729,예비비!$B$430:$B$729,예비비!$A227,예비비!$E$430:$E$729,"&lt;"&amp;EDATE(BQ$99,1))),0)</f>
        <v>0</v>
      </c>
      <c r="BR227">
        <f>IF(예비비!$R227="OK",SUMIFS(예비비!$O$430:$O$729,예비비!$B$430:$B$729,예비비!$A227,예비비!$E$430:$E$729,"&lt;"&amp;EDATE(BR$99,1),예비비!$F$430:$F$729,"결제대금비")+MAX(0,IF(예비비!$D227&lt;EDATE(BR$99,1),예비비!$E227,0)-SUMIFS(예비비!$O$430:$O$729,예비비!$B$430:$B$729,예비비!$A227,예비비!$E$430:$E$729,"&lt;"&amp;EDATE(BR$99,1))),0)</f>
        <v>0</v>
      </c>
      <c r="BS227">
        <f>IF(예비비!$R227="OK",SUMIFS(예비비!$O$430:$O$729,예비비!$B$430:$B$729,예비비!$A227,예비비!$E$430:$E$729,"&lt;"&amp;EDATE(BS$99,1),예비비!$F$430:$F$729,"결제대금비")+MAX(0,IF(예비비!$D227&lt;EDATE(BS$99,1),예비비!$E227,0)-SUMIFS(예비비!$O$430:$O$729,예비비!$B$430:$B$729,예비비!$A227,예비비!$E$430:$E$729,"&lt;"&amp;EDATE(BS$99,1))),0)</f>
        <v>0</v>
      </c>
      <c r="BT227">
        <f>IF(예비비!$R227="OK",SUMIFS(예비비!$O$430:$O$729,예비비!$B$430:$B$729,예비비!$A227,예비비!$E$430:$E$729,"&lt;"&amp;EDATE(BT$99,1),예비비!$F$430:$F$729,"결제대금비")+MAX(0,IF(예비비!$D227&lt;EDATE(BT$99,1),예비비!$E227,0)-SUMIFS(예비비!$O$430:$O$729,예비비!$B$430:$B$729,예비비!$A227,예비비!$E$430:$E$729,"&lt;"&amp;EDATE(BT$99,1))),0)</f>
        <v>0</v>
      </c>
      <c r="BU227">
        <f>IF(예비비!$R227="OK",SUMIFS(예비비!$O$430:$O$729,예비비!$B$430:$B$729,예비비!$A227,예비비!$E$430:$E$729,"&lt;"&amp;EDATE(BU$99,1),예비비!$F$430:$F$729,"결제대금비")+MAX(0,IF(예비비!$D227&lt;EDATE(BU$99,1),예비비!$E227,0)-SUMIFS(예비비!$O$430:$O$729,예비비!$B$430:$B$729,예비비!$A227,예비비!$E$430:$E$729,"&lt;"&amp;EDATE(BU$99,1))),0)</f>
        <v>0</v>
      </c>
    </row>
    <row r="228">
      <c r="BA228">
        <v>172</v>
      </c>
      <c r="BB228">
        <f>IFERROR(INDEX(잔액!$A:$A,BA228),0)</f>
        <v>46204.0</v>
      </c>
      <c r="BH228">
        <f>IFERROR(IF(AND(BB228&gt;0,OR(COUNTIFS(예비비!$C$430:$C$729,BA228,예비비!$N$430:$N$729,"OK")&gt;0,AND(INDEX(잔액!$J:$J,BA228)="가족통장",INDEX(잔액!$K:$K,BA228)="미래에셋_WRAP형CMA"),COUNTIF(예비비!$A$8:$A$12,INDEX(잔액!$C:$C,BA228))=1,COUNTIF(예비비!$A$8:$A$12,INDEX(잔액!$D:$D,BA228))=1),OR(AND(BB228&gt;=예비비!$B$3,BB228&lt;EDATE(예비비!$B$3,1)),AND(BB228&lt;EDATE(예비비!$B$3,1),COUNTIFS(예비비!$C$430:$C$729,BA228,예비비!$L$430:$L$729,예비비!$B$3,예비비!$N$430:$N$729,"OK")&gt;0))),MAX($BH$120:BH227)+1,0),0)</f>
        <v>0</v>
      </c>
      <c r="BI228">
        <f>IF(예비비!$R228="OK",SUMIFS(예비비!$O$430:$O$729,예비비!$B$430:$B$729,예비비!$A228,예비비!$E$430:$E$729,"&lt;"&amp;EDATE(BI$99,1),예비비!$F$430:$F$729,"결제대금비")+MAX(0,IF(예비비!$D228&lt;EDATE(BI$99,1),예비비!$E228,0)-SUMIFS(예비비!$O$430:$O$729,예비비!$B$430:$B$729,예비비!$A228,예비비!$E$430:$E$729,"&lt;"&amp;EDATE(BI$99,1))),0)</f>
        <v>0</v>
      </c>
      <c r="BJ228">
        <f>IF(예비비!$R228="OK",SUMIFS(예비비!$O$430:$O$729,예비비!$B$430:$B$729,예비비!$A228,예비비!$E$430:$E$729,"&lt;"&amp;EDATE(BJ$99,1),예비비!$F$430:$F$729,"결제대금비")+MAX(0,IF(예비비!$D228&lt;EDATE(BJ$99,1),예비비!$E228,0)-SUMIFS(예비비!$O$430:$O$729,예비비!$B$430:$B$729,예비비!$A228,예비비!$E$430:$E$729,"&lt;"&amp;EDATE(BJ$99,1))),0)</f>
        <v>0</v>
      </c>
      <c r="BK228">
        <f>IF(예비비!$R228="OK",SUMIFS(예비비!$O$430:$O$729,예비비!$B$430:$B$729,예비비!$A228,예비비!$E$430:$E$729,"&lt;"&amp;EDATE(BK$99,1),예비비!$F$430:$F$729,"결제대금비")+MAX(0,IF(예비비!$D228&lt;EDATE(BK$99,1),예비비!$E228,0)-SUMIFS(예비비!$O$430:$O$729,예비비!$B$430:$B$729,예비비!$A228,예비비!$E$430:$E$729,"&lt;"&amp;EDATE(BK$99,1))),0)</f>
        <v>0</v>
      </c>
      <c r="BL228">
        <f>IF(예비비!$R228="OK",SUMIFS(예비비!$O$430:$O$729,예비비!$B$430:$B$729,예비비!$A228,예비비!$E$430:$E$729,"&lt;"&amp;EDATE(BL$99,1),예비비!$F$430:$F$729,"결제대금비")+MAX(0,IF(예비비!$D228&lt;EDATE(BL$99,1),예비비!$E228,0)-SUMIFS(예비비!$O$430:$O$729,예비비!$B$430:$B$729,예비비!$A228,예비비!$E$430:$E$729,"&lt;"&amp;EDATE(BL$99,1))),0)</f>
        <v>0</v>
      </c>
      <c r="BM228">
        <f>IF(예비비!$R228="OK",SUMIFS(예비비!$O$430:$O$729,예비비!$B$430:$B$729,예비비!$A228,예비비!$E$430:$E$729,"&lt;"&amp;EDATE(BM$99,1),예비비!$F$430:$F$729,"결제대금비")+MAX(0,IF(예비비!$D228&lt;EDATE(BM$99,1),예비비!$E228,0)-SUMIFS(예비비!$O$430:$O$729,예비비!$B$430:$B$729,예비비!$A228,예비비!$E$430:$E$729,"&lt;"&amp;EDATE(BM$99,1))),0)</f>
        <v>0</v>
      </c>
      <c r="BN228">
        <f>IF(예비비!$R228="OK",SUMIFS(예비비!$O$430:$O$729,예비비!$B$430:$B$729,예비비!$A228,예비비!$E$430:$E$729,"&lt;"&amp;EDATE(BN$99,1),예비비!$F$430:$F$729,"결제대금비")+MAX(0,IF(예비비!$D228&lt;EDATE(BN$99,1),예비비!$E228,0)-SUMIFS(예비비!$O$430:$O$729,예비비!$B$430:$B$729,예비비!$A228,예비비!$E$430:$E$729,"&lt;"&amp;EDATE(BN$99,1))),0)</f>
        <v>0</v>
      </c>
      <c r="BO228">
        <f>IF(예비비!$R228="OK",SUMIFS(예비비!$O$430:$O$729,예비비!$B$430:$B$729,예비비!$A228,예비비!$E$430:$E$729,"&lt;"&amp;EDATE(BO$99,1),예비비!$F$430:$F$729,"결제대금비")+MAX(0,IF(예비비!$D228&lt;EDATE(BO$99,1),예비비!$E228,0)-SUMIFS(예비비!$O$430:$O$729,예비비!$B$430:$B$729,예비비!$A228,예비비!$E$430:$E$729,"&lt;"&amp;EDATE(BO$99,1))),0)</f>
        <v>0</v>
      </c>
      <c r="BP228">
        <f>IF(예비비!$R228="OK",SUMIFS(예비비!$O$430:$O$729,예비비!$B$430:$B$729,예비비!$A228,예비비!$E$430:$E$729,"&lt;"&amp;EDATE(BP$99,1),예비비!$F$430:$F$729,"결제대금비")+MAX(0,IF(예비비!$D228&lt;EDATE(BP$99,1),예비비!$E228,0)-SUMIFS(예비비!$O$430:$O$729,예비비!$B$430:$B$729,예비비!$A228,예비비!$E$430:$E$729,"&lt;"&amp;EDATE(BP$99,1))),0)</f>
        <v>0</v>
      </c>
      <c r="BQ228">
        <f>IF(예비비!$R228="OK",SUMIFS(예비비!$O$430:$O$729,예비비!$B$430:$B$729,예비비!$A228,예비비!$E$430:$E$729,"&lt;"&amp;EDATE(BQ$99,1),예비비!$F$430:$F$729,"결제대금비")+MAX(0,IF(예비비!$D228&lt;EDATE(BQ$99,1),예비비!$E228,0)-SUMIFS(예비비!$O$430:$O$729,예비비!$B$430:$B$729,예비비!$A228,예비비!$E$430:$E$729,"&lt;"&amp;EDATE(BQ$99,1))),0)</f>
        <v>0</v>
      </c>
      <c r="BR228">
        <f>IF(예비비!$R228="OK",SUMIFS(예비비!$O$430:$O$729,예비비!$B$430:$B$729,예비비!$A228,예비비!$E$430:$E$729,"&lt;"&amp;EDATE(BR$99,1),예비비!$F$430:$F$729,"결제대금비")+MAX(0,IF(예비비!$D228&lt;EDATE(BR$99,1),예비비!$E228,0)-SUMIFS(예비비!$O$430:$O$729,예비비!$B$430:$B$729,예비비!$A228,예비비!$E$430:$E$729,"&lt;"&amp;EDATE(BR$99,1))),0)</f>
        <v>0</v>
      </c>
      <c r="BS228">
        <f>IF(예비비!$R228="OK",SUMIFS(예비비!$O$430:$O$729,예비비!$B$430:$B$729,예비비!$A228,예비비!$E$430:$E$729,"&lt;"&amp;EDATE(BS$99,1),예비비!$F$430:$F$729,"결제대금비")+MAX(0,IF(예비비!$D228&lt;EDATE(BS$99,1),예비비!$E228,0)-SUMIFS(예비비!$O$430:$O$729,예비비!$B$430:$B$729,예비비!$A228,예비비!$E$430:$E$729,"&lt;"&amp;EDATE(BS$99,1))),0)</f>
        <v>0</v>
      </c>
      <c r="BT228">
        <f>IF(예비비!$R228="OK",SUMIFS(예비비!$O$430:$O$729,예비비!$B$430:$B$729,예비비!$A228,예비비!$E$430:$E$729,"&lt;"&amp;EDATE(BT$99,1),예비비!$F$430:$F$729,"결제대금비")+MAX(0,IF(예비비!$D228&lt;EDATE(BT$99,1),예비비!$E228,0)-SUMIFS(예비비!$O$430:$O$729,예비비!$B$430:$B$729,예비비!$A228,예비비!$E$430:$E$729,"&lt;"&amp;EDATE(BT$99,1))),0)</f>
        <v>0</v>
      </c>
      <c r="BU228">
        <f>IF(예비비!$R228="OK",SUMIFS(예비비!$O$430:$O$729,예비비!$B$430:$B$729,예비비!$A228,예비비!$E$430:$E$729,"&lt;"&amp;EDATE(BU$99,1),예비비!$F$430:$F$729,"결제대금비")+MAX(0,IF(예비비!$D228&lt;EDATE(BU$99,1),예비비!$E228,0)-SUMIFS(예비비!$O$430:$O$729,예비비!$B$430:$B$729,예비비!$A228,예비비!$E$430:$E$729,"&lt;"&amp;EDATE(BU$99,1))),0)</f>
        <v>0</v>
      </c>
    </row>
    <row r="229">
      <c r="BA229">
        <v>173</v>
      </c>
      <c r="BB229">
        <f>IFERROR(INDEX(잔액!$A:$A,BA229),0)</f>
        <v>46204.0</v>
      </c>
      <c r="BH229">
        <f>IFERROR(IF(AND(BB229&gt;0,OR(COUNTIFS(예비비!$C$430:$C$729,BA229,예비비!$N$430:$N$729,"OK")&gt;0,AND(INDEX(잔액!$J:$J,BA229)="가족통장",INDEX(잔액!$K:$K,BA229)="미래에셋_WRAP형CMA"),COUNTIF(예비비!$A$8:$A$12,INDEX(잔액!$C:$C,BA229))=1,COUNTIF(예비비!$A$8:$A$12,INDEX(잔액!$D:$D,BA229))=1),OR(AND(BB229&gt;=예비비!$B$3,BB229&lt;EDATE(예비비!$B$3,1)),AND(BB229&lt;EDATE(예비비!$B$3,1),COUNTIFS(예비비!$C$430:$C$729,BA229,예비비!$L$430:$L$729,예비비!$B$3,예비비!$N$430:$N$729,"OK")&gt;0))),MAX($BH$120:BH228)+1,0),0)</f>
        <v>0</v>
      </c>
      <c r="BI229">
        <f>IF(예비비!$R229="OK",SUMIFS(예비비!$O$430:$O$729,예비비!$B$430:$B$729,예비비!$A229,예비비!$E$430:$E$729,"&lt;"&amp;EDATE(BI$99,1),예비비!$F$430:$F$729,"결제대금비")+MAX(0,IF(예비비!$D229&lt;EDATE(BI$99,1),예비비!$E229,0)-SUMIFS(예비비!$O$430:$O$729,예비비!$B$430:$B$729,예비비!$A229,예비비!$E$430:$E$729,"&lt;"&amp;EDATE(BI$99,1))),0)</f>
        <v>0</v>
      </c>
      <c r="BJ229">
        <f>IF(예비비!$R229="OK",SUMIFS(예비비!$O$430:$O$729,예비비!$B$430:$B$729,예비비!$A229,예비비!$E$430:$E$729,"&lt;"&amp;EDATE(BJ$99,1),예비비!$F$430:$F$729,"결제대금비")+MAX(0,IF(예비비!$D229&lt;EDATE(BJ$99,1),예비비!$E229,0)-SUMIFS(예비비!$O$430:$O$729,예비비!$B$430:$B$729,예비비!$A229,예비비!$E$430:$E$729,"&lt;"&amp;EDATE(BJ$99,1))),0)</f>
        <v>0</v>
      </c>
      <c r="BK229">
        <f>IF(예비비!$R229="OK",SUMIFS(예비비!$O$430:$O$729,예비비!$B$430:$B$729,예비비!$A229,예비비!$E$430:$E$729,"&lt;"&amp;EDATE(BK$99,1),예비비!$F$430:$F$729,"결제대금비")+MAX(0,IF(예비비!$D229&lt;EDATE(BK$99,1),예비비!$E229,0)-SUMIFS(예비비!$O$430:$O$729,예비비!$B$430:$B$729,예비비!$A229,예비비!$E$430:$E$729,"&lt;"&amp;EDATE(BK$99,1))),0)</f>
        <v>0</v>
      </c>
      <c r="BL229">
        <f>IF(예비비!$R229="OK",SUMIFS(예비비!$O$430:$O$729,예비비!$B$430:$B$729,예비비!$A229,예비비!$E$430:$E$729,"&lt;"&amp;EDATE(BL$99,1),예비비!$F$430:$F$729,"결제대금비")+MAX(0,IF(예비비!$D229&lt;EDATE(BL$99,1),예비비!$E229,0)-SUMIFS(예비비!$O$430:$O$729,예비비!$B$430:$B$729,예비비!$A229,예비비!$E$430:$E$729,"&lt;"&amp;EDATE(BL$99,1))),0)</f>
        <v>0</v>
      </c>
      <c r="BM229">
        <f>IF(예비비!$R229="OK",SUMIFS(예비비!$O$430:$O$729,예비비!$B$430:$B$729,예비비!$A229,예비비!$E$430:$E$729,"&lt;"&amp;EDATE(BM$99,1),예비비!$F$430:$F$729,"결제대금비")+MAX(0,IF(예비비!$D229&lt;EDATE(BM$99,1),예비비!$E229,0)-SUMIFS(예비비!$O$430:$O$729,예비비!$B$430:$B$729,예비비!$A229,예비비!$E$430:$E$729,"&lt;"&amp;EDATE(BM$99,1))),0)</f>
        <v>0</v>
      </c>
      <c r="BN229">
        <f>IF(예비비!$R229="OK",SUMIFS(예비비!$O$430:$O$729,예비비!$B$430:$B$729,예비비!$A229,예비비!$E$430:$E$729,"&lt;"&amp;EDATE(BN$99,1),예비비!$F$430:$F$729,"결제대금비")+MAX(0,IF(예비비!$D229&lt;EDATE(BN$99,1),예비비!$E229,0)-SUMIFS(예비비!$O$430:$O$729,예비비!$B$430:$B$729,예비비!$A229,예비비!$E$430:$E$729,"&lt;"&amp;EDATE(BN$99,1))),0)</f>
        <v>0</v>
      </c>
      <c r="BO229">
        <f>IF(예비비!$R229="OK",SUMIFS(예비비!$O$430:$O$729,예비비!$B$430:$B$729,예비비!$A229,예비비!$E$430:$E$729,"&lt;"&amp;EDATE(BO$99,1),예비비!$F$430:$F$729,"결제대금비")+MAX(0,IF(예비비!$D229&lt;EDATE(BO$99,1),예비비!$E229,0)-SUMIFS(예비비!$O$430:$O$729,예비비!$B$430:$B$729,예비비!$A229,예비비!$E$430:$E$729,"&lt;"&amp;EDATE(BO$99,1))),0)</f>
        <v>0</v>
      </c>
      <c r="BP229">
        <f>IF(예비비!$R229="OK",SUMIFS(예비비!$O$430:$O$729,예비비!$B$430:$B$729,예비비!$A229,예비비!$E$430:$E$729,"&lt;"&amp;EDATE(BP$99,1),예비비!$F$430:$F$729,"결제대금비")+MAX(0,IF(예비비!$D229&lt;EDATE(BP$99,1),예비비!$E229,0)-SUMIFS(예비비!$O$430:$O$729,예비비!$B$430:$B$729,예비비!$A229,예비비!$E$430:$E$729,"&lt;"&amp;EDATE(BP$99,1))),0)</f>
        <v>0</v>
      </c>
      <c r="BQ229">
        <f>IF(예비비!$R229="OK",SUMIFS(예비비!$O$430:$O$729,예비비!$B$430:$B$729,예비비!$A229,예비비!$E$430:$E$729,"&lt;"&amp;EDATE(BQ$99,1),예비비!$F$430:$F$729,"결제대금비")+MAX(0,IF(예비비!$D229&lt;EDATE(BQ$99,1),예비비!$E229,0)-SUMIFS(예비비!$O$430:$O$729,예비비!$B$430:$B$729,예비비!$A229,예비비!$E$430:$E$729,"&lt;"&amp;EDATE(BQ$99,1))),0)</f>
        <v>0</v>
      </c>
      <c r="BR229">
        <f>IF(예비비!$R229="OK",SUMIFS(예비비!$O$430:$O$729,예비비!$B$430:$B$729,예비비!$A229,예비비!$E$430:$E$729,"&lt;"&amp;EDATE(BR$99,1),예비비!$F$430:$F$729,"결제대금비")+MAX(0,IF(예비비!$D229&lt;EDATE(BR$99,1),예비비!$E229,0)-SUMIFS(예비비!$O$430:$O$729,예비비!$B$430:$B$729,예비비!$A229,예비비!$E$430:$E$729,"&lt;"&amp;EDATE(BR$99,1))),0)</f>
        <v>0</v>
      </c>
      <c r="BS229">
        <f>IF(예비비!$R229="OK",SUMIFS(예비비!$O$430:$O$729,예비비!$B$430:$B$729,예비비!$A229,예비비!$E$430:$E$729,"&lt;"&amp;EDATE(BS$99,1),예비비!$F$430:$F$729,"결제대금비")+MAX(0,IF(예비비!$D229&lt;EDATE(BS$99,1),예비비!$E229,0)-SUMIFS(예비비!$O$430:$O$729,예비비!$B$430:$B$729,예비비!$A229,예비비!$E$430:$E$729,"&lt;"&amp;EDATE(BS$99,1))),0)</f>
        <v>0</v>
      </c>
      <c r="BT229">
        <f>IF(예비비!$R229="OK",SUMIFS(예비비!$O$430:$O$729,예비비!$B$430:$B$729,예비비!$A229,예비비!$E$430:$E$729,"&lt;"&amp;EDATE(BT$99,1),예비비!$F$430:$F$729,"결제대금비")+MAX(0,IF(예비비!$D229&lt;EDATE(BT$99,1),예비비!$E229,0)-SUMIFS(예비비!$O$430:$O$729,예비비!$B$430:$B$729,예비비!$A229,예비비!$E$430:$E$729,"&lt;"&amp;EDATE(BT$99,1))),0)</f>
        <v>0</v>
      </c>
      <c r="BU229">
        <f>IF(예비비!$R229="OK",SUMIFS(예비비!$O$430:$O$729,예비비!$B$430:$B$729,예비비!$A229,예비비!$E$430:$E$729,"&lt;"&amp;EDATE(BU$99,1),예비비!$F$430:$F$729,"결제대금비")+MAX(0,IF(예비비!$D229&lt;EDATE(BU$99,1),예비비!$E229,0)-SUMIFS(예비비!$O$430:$O$729,예비비!$B$430:$B$729,예비비!$A229,예비비!$E$430:$E$729,"&lt;"&amp;EDATE(BU$99,1))),0)</f>
        <v>0</v>
      </c>
    </row>
    <row r="230">
      <c r="BA230">
        <v>174</v>
      </c>
      <c r="BB230">
        <f>IFERROR(INDEX(잔액!$A:$A,BA230),0)</f>
        <v>46235.0</v>
      </c>
      <c r="BH230">
        <f>IFERROR(IF(AND(BB230&gt;0,OR(COUNTIFS(예비비!$C$430:$C$729,BA230,예비비!$N$430:$N$729,"OK")&gt;0,AND(INDEX(잔액!$J:$J,BA230)="가족통장",INDEX(잔액!$K:$K,BA230)="미래에셋_WRAP형CMA"),COUNTIF(예비비!$A$8:$A$12,INDEX(잔액!$C:$C,BA230))=1,COUNTIF(예비비!$A$8:$A$12,INDEX(잔액!$D:$D,BA230))=1),OR(AND(BB230&gt;=예비비!$B$3,BB230&lt;EDATE(예비비!$B$3,1)),AND(BB230&lt;EDATE(예비비!$B$3,1),COUNTIFS(예비비!$C$430:$C$729,BA230,예비비!$L$430:$L$729,예비비!$B$3,예비비!$N$430:$N$729,"OK")&gt;0))),MAX($BH$120:BH229)+1,0),0)</f>
        <v>0</v>
      </c>
      <c r="BI230">
        <f>IF(예비비!$R230="OK",SUMIFS(예비비!$O$430:$O$729,예비비!$B$430:$B$729,예비비!$A230,예비비!$E$430:$E$729,"&lt;"&amp;EDATE(BI$99,1),예비비!$F$430:$F$729,"결제대금비")+MAX(0,IF(예비비!$D230&lt;EDATE(BI$99,1),예비비!$E230,0)-SUMIFS(예비비!$O$430:$O$729,예비비!$B$430:$B$729,예비비!$A230,예비비!$E$430:$E$729,"&lt;"&amp;EDATE(BI$99,1))),0)</f>
        <v>0</v>
      </c>
      <c r="BJ230">
        <f>IF(예비비!$R230="OK",SUMIFS(예비비!$O$430:$O$729,예비비!$B$430:$B$729,예비비!$A230,예비비!$E$430:$E$729,"&lt;"&amp;EDATE(BJ$99,1),예비비!$F$430:$F$729,"결제대금비")+MAX(0,IF(예비비!$D230&lt;EDATE(BJ$99,1),예비비!$E230,0)-SUMIFS(예비비!$O$430:$O$729,예비비!$B$430:$B$729,예비비!$A230,예비비!$E$430:$E$729,"&lt;"&amp;EDATE(BJ$99,1))),0)</f>
        <v>0</v>
      </c>
      <c r="BK230">
        <f>IF(예비비!$R230="OK",SUMIFS(예비비!$O$430:$O$729,예비비!$B$430:$B$729,예비비!$A230,예비비!$E$430:$E$729,"&lt;"&amp;EDATE(BK$99,1),예비비!$F$430:$F$729,"결제대금비")+MAX(0,IF(예비비!$D230&lt;EDATE(BK$99,1),예비비!$E230,0)-SUMIFS(예비비!$O$430:$O$729,예비비!$B$430:$B$729,예비비!$A230,예비비!$E$430:$E$729,"&lt;"&amp;EDATE(BK$99,1))),0)</f>
        <v>0</v>
      </c>
      <c r="BL230">
        <f>IF(예비비!$R230="OK",SUMIFS(예비비!$O$430:$O$729,예비비!$B$430:$B$729,예비비!$A230,예비비!$E$430:$E$729,"&lt;"&amp;EDATE(BL$99,1),예비비!$F$430:$F$729,"결제대금비")+MAX(0,IF(예비비!$D230&lt;EDATE(BL$99,1),예비비!$E230,0)-SUMIFS(예비비!$O$430:$O$729,예비비!$B$430:$B$729,예비비!$A230,예비비!$E$430:$E$729,"&lt;"&amp;EDATE(BL$99,1))),0)</f>
        <v>0</v>
      </c>
      <c r="BM230">
        <f>IF(예비비!$R230="OK",SUMIFS(예비비!$O$430:$O$729,예비비!$B$430:$B$729,예비비!$A230,예비비!$E$430:$E$729,"&lt;"&amp;EDATE(BM$99,1),예비비!$F$430:$F$729,"결제대금비")+MAX(0,IF(예비비!$D230&lt;EDATE(BM$99,1),예비비!$E230,0)-SUMIFS(예비비!$O$430:$O$729,예비비!$B$430:$B$729,예비비!$A230,예비비!$E$430:$E$729,"&lt;"&amp;EDATE(BM$99,1))),0)</f>
        <v>0</v>
      </c>
      <c r="BN230">
        <f>IF(예비비!$R230="OK",SUMIFS(예비비!$O$430:$O$729,예비비!$B$430:$B$729,예비비!$A230,예비비!$E$430:$E$729,"&lt;"&amp;EDATE(BN$99,1),예비비!$F$430:$F$729,"결제대금비")+MAX(0,IF(예비비!$D230&lt;EDATE(BN$99,1),예비비!$E230,0)-SUMIFS(예비비!$O$430:$O$729,예비비!$B$430:$B$729,예비비!$A230,예비비!$E$430:$E$729,"&lt;"&amp;EDATE(BN$99,1))),0)</f>
        <v>0</v>
      </c>
      <c r="BO230">
        <f>IF(예비비!$R230="OK",SUMIFS(예비비!$O$430:$O$729,예비비!$B$430:$B$729,예비비!$A230,예비비!$E$430:$E$729,"&lt;"&amp;EDATE(BO$99,1),예비비!$F$430:$F$729,"결제대금비")+MAX(0,IF(예비비!$D230&lt;EDATE(BO$99,1),예비비!$E230,0)-SUMIFS(예비비!$O$430:$O$729,예비비!$B$430:$B$729,예비비!$A230,예비비!$E$430:$E$729,"&lt;"&amp;EDATE(BO$99,1))),0)</f>
        <v>0</v>
      </c>
      <c r="BP230">
        <f>IF(예비비!$R230="OK",SUMIFS(예비비!$O$430:$O$729,예비비!$B$430:$B$729,예비비!$A230,예비비!$E$430:$E$729,"&lt;"&amp;EDATE(BP$99,1),예비비!$F$430:$F$729,"결제대금비")+MAX(0,IF(예비비!$D230&lt;EDATE(BP$99,1),예비비!$E230,0)-SUMIFS(예비비!$O$430:$O$729,예비비!$B$430:$B$729,예비비!$A230,예비비!$E$430:$E$729,"&lt;"&amp;EDATE(BP$99,1))),0)</f>
        <v>0</v>
      </c>
      <c r="BQ230">
        <f>IF(예비비!$R230="OK",SUMIFS(예비비!$O$430:$O$729,예비비!$B$430:$B$729,예비비!$A230,예비비!$E$430:$E$729,"&lt;"&amp;EDATE(BQ$99,1),예비비!$F$430:$F$729,"결제대금비")+MAX(0,IF(예비비!$D230&lt;EDATE(BQ$99,1),예비비!$E230,0)-SUMIFS(예비비!$O$430:$O$729,예비비!$B$430:$B$729,예비비!$A230,예비비!$E$430:$E$729,"&lt;"&amp;EDATE(BQ$99,1))),0)</f>
        <v>0</v>
      </c>
      <c r="BR230">
        <f>IF(예비비!$R230="OK",SUMIFS(예비비!$O$430:$O$729,예비비!$B$430:$B$729,예비비!$A230,예비비!$E$430:$E$729,"&lt;"&amp;EDATE(BR$99,1),예비비!$F$430:$F$729,"결제대금비")+MAX(0,IF(예비비!$D230&lt;EDATE(BR$99,1),예비비!$E230,0)-SUMIFS(예비비!$O$430:$O$729,예비비!$B$430:$B$729,예비비!$A230,예비비!$E$430:$E$729,"&lt;"&amp;EDATE(BR$99,1))),0)</f>
        <v>0</v>
      </c>
      <c r="BS230">
        <f>IF(예비비!$R230="OK",SUMIFS(예비비!$O$430:$O$729,예비비!$B$430:$B$729,예비비!$A230,예비비!$E$430:$E$729,"&lt;"&amp;EDATE(BS$99,1),예비비!$F$430:$F$729,"결제대금비")+MAX(0,IF(예비비!$D230&lt;EDATE(BS$99,1),예비비!$E230,0)-SUMIFS(예비비!$O$430:$O$729,예비비!$B$430:$B$729,예비비!$A230,예비비!$E$430:$E$729,"&lt;"&amp;EDATE(BS$99,1))),0)</f>
        <v>0</v>
      </c>
      <c r="BT230">
        <f>IF(예비비!$R230="OK",SUMIFS(예비비!$O$430:$O$729,예비비!$B$430:$B$729,예비비!$A230,예비비!$E$430:$E$729,"&lt;"&amp;EDATE(BT$99,1),예비비!$F$430:$F$729,"결제대금비")+MAX(0,IF(예비비!$D230&lt;EDATE(BT$99,1),예비비!$E230,0)-SUMIFS(예비비!$O$430:$O$729,예비비!$B$430:$B$729,예비비!$A230,예비비!$E$430:$E$729,"&lt;"&amp;EDATE(BT$99,1))),0)</f>
        <v>0</v>
      </c>
      <c r="BU230">
        <f>IF(예비비!$R230="OK",SUMIFS(예비비!$O$430:$O$729,예비비!$B$430:$B$729,예비비!$A230,예비비!$E$430:$E$729,"&lt;"&amp;EDATE(BU$99,1),예비비!$F$430:$F$729,"결제대금비")+MAX(0,IF(예비비!$D230&lt;EDATE(BU$99,1),예비비!$E230,0)-SUMIFS(예비비!$O$430:$O$729,예비비!$B$430:$B$729,예비비!$A230,예비비!$E$430:$E$729,"&lt;"&amp;EDATE(BU$99,1))),0)</f>
        <v>0</v>
      </c>
    </row>
    <row r="231">
      <c r="BA231">
        <v>175</v>
      </c>
      <c r="BB231">
        <f>IFERROR(INDEX(잔액!$A:$A,BA231),0)</f>
        <v>46235.0</v>
      </c>
      <c r="BH231">
        <f>IFERROR(IF(AND(BB231&gt;0,OR(COUNTIFS(예비비!$C$430:$C$729,BA231,예비비!$N$430:$N$729,"OK")&gt;0,AND(INDEX(잔액!$J:$J,BA231)="가족통장",INDEX(잔액!$K:$K,BA231)="미래에셋_WRAP형CMA"),COUNTIF(예비비!$A$8:$A$12,INDEX(잔액!$C:$C,BA231))=1,COUNTIF(예비비!$A$8:$A$12,INDEX(잔액!$D:$D,BA231))=1),OR(AND(BB231&gt;=예비비!$B$3,BB231&lt;EDATE(예비비!$B$3,1)),AND(BB231&lt;EDATE(예비비!$B$3,1),COUNTIFS(예비비!$C$430:$C$729,BA231,예비비!$L$430:$L$729,예비비!$B$3,예비비!$N$430:$N$729,"OK")&gt;0))),MAX($BH$120:BH230)+1,0),0)</f>
        <v>0</v>
      </c>
      <c r="BI231">
        <f>IF(예비비!$R231="OK",SUMIFS(예비비!$O$430:$O$729,예비비!$B$430:$B$729,예비비!$A231,예비비!$E$430:$E$729,"&lt;"&amp;EDATE(BI$99,1),예비비!$F$430:$F$729,"결제대금비")+MAX(0,IF(예비비!$D231&lt;EDATE(BI$99,1),예비비!$E231,0)-SUMIFS(예비비!$O$430:$O$729,예비비!$B$430:$B$729,예비비!$A231,예비비!$E$430:$E$729,"&lt;"&amp;EDATE(BI$99,1))),0)</f>
        <v>0</v>
      </c>
      <c r="BJ231">
        <f>IF(예비비!$R231="OK",SUMIFS(예비비!$O$430:$O$729,예비비!$B$430:$B$729,예비비!$A231,예비비!$E$430:$E$729,"&lt;"&amp;EDATE(BJ$99,1),예비비!$F$430:$F$729,"결제대금비")+MAX(0,IF(예비비!$D231&lt;EDATE(BJ$99,1),예비비!$E231,0)-SUMIFS(예비비!$O$430:$O$729,예비비!$B$430:$B$729,예비비!$A231,예비비!$E$430:$E$729,"&lt;"&amp;EDATE(BJ$99,1))),0)</f>
        <v>0</v>
      </c>
      <c r="BK231">
        <f>IF(예비비!$R231="OK",SUMIFS(예비비!$O$430:$O$729,예비비!$B$430:$B$729,예비비!$A231,예비비!$E$430:$E$729,"&lt;"&amp;EDATE(BK$99,1),예비비!$F$430:$F$729,"결제대금비")+MAX(0,IF(예비비!$D231&lt;EDATE(BK$99,1),예비비!$E231,0)-SUMIFS(예비비!$O$430:$O$729,예비비!$B$430:$B$729,예비비!$A231,예비비!$E$430:$E$729,"&lt;"&amp;EDATE(BK$99,1))),0)</f>
        <v>0</v>
      </c>
      <c r="BL231">
        <f>IF(예비비!$R231="OK",SUMIFS(예비비!$O$430:$O$729,예비비!$B$430:$B$729,예비비!$A231,예비비!$E$430:$E$729,"&lt;"&amp;EDATE(BL$99,1),예비비!$F$430:$F$729,"결제대금비")+MAX(0,IF(예비비!$D231&lt;EDATE(BL$99,1),예비비!$E231,0)-SUMIFS(예비비!$O$430:$O$729,예비비!$B$430:$B$729,예비비!$A231,예비비!$E$430:$E$729,"&lt;"&amp;EDATE(BL$99,1))),0)</f>
        <v>0</v>
      </c>
      <c r="BM231">
        <f>IF(예비비!$R231="OK",SUMIFS(예비비!$O$430:$O$729,예비비!$B$430:$B$729,예비비!$A231,예비비!$E$430:$E$729,"&lt;"&amp;EDATE(BM$99,1),예비비!$F$430:$F$729,"결제대금비")+MAX(0,IF(예비비!$D231&lt;EDATE(BM$99,1),예비비!$E231,0)-SUMIFS(예비비!$O$430:$O$729,예비비!$B$430:$B$729,예비비!$A231,예비비!$E$430:$E$729,"&lt;"&amp;EDATE(BM$99,1))),0)</f>
        <v>0</v>
      </c>
      <c r="BN231">
        <f>IF(예비비!$R231="OK",SUMIFS(예비비!$O$430:$O$729,예비비!$B$430:$B$729,예비비!$A231,예비비!$E$430:$E$729,"&lt;"&amp;EDATE(BN$99,1),예비비!$F$430:$F$729,"결제대금비")+MAX(0,IF(예비비!$D231&lt;EDATE(BN$99,1),예비비!$E231,0)-SUMIFS(예비비!$O$430:$O$729,예비비!$B$430:$B$729,예비비!$A231,예비비!$E$430:$E$729,"&lt;"&amp;EDATE(BN$99,1))),0)</f>
        <v>0</v>
      </c>
      <c r="BO231">
        <f>IF(예비비!$R231="OK",SUMIFS(예비비!$O$430:$O$729,예비비!$B$430:$B$729,예비비!$A231,예비비!$E$430:$E$729,"&lt;"&amp;EDATE(BO$99,1),예비비!$F$430:$F$729,"결제대금비")+MAX(0,IF(예비비!$D231&lt;EDATE(BO$99,1),예비비!$E231,0)-SUMIFS(예비비!$O$430:$O$729,예비비!$B$430:$B$729,예비비!$A231,예비비!$E$430:$E$729,"&lt;"&amp;EDATE(BO$99,1))),0)</f>
        <v>0</v>
      </c>
      <c r="BP231">
        <f>IF(예비비!$R231="OK",SUMIFS(예비비!$O$430:$O$729,예비비!$B$430:$B$729,예비비!$A231,예비비!$E$430:$E$729,"&lt;"&amp;EDATE(BP$99,1),예비비!$F$430:$F$729,"결제대금비")+MAX(0,IF(예비비!$D231&lt;EDATE(BP$99,1),예비비!$E231,0)-SUMIFS(예비비!$O$430:$O$729,예비비!$B$430:$B$729,예비비!$A231,예비비!$E$430:$E$729,"&lt;"&amp;EDATE(BP$99,1))),0)</f>
        <v>0</v>
      </c>
      <c r="BQ231">
        <f>IF(예비비!$R231="OK",SUMIFS(예비비!$O$430:$O$729,예비비!$B$430:$B$729,예비비!$A231,예비비!$E$430:$E$729,"&lt;"&amp;EDATE(BQ$99,1),예비비!$F$430:$F$729,"결제대금비")+MAX(0,IF(예비비!$D231&lt;EDATE(BQ$99,1),예비비!$E231,0)-SUMIFS(예비비!$O$430:$O$729,예비비!$B$430:$B$729,예비비!$A231,예비비!$E$430:$E$729,"&lt;"&amp;EDATE(BQ$99,1))),0)</f>
        <v>0</v>
      </c>
      <c r="BR231">
        <f>IF(예비비!$R231="OK",SUMIFS(예비비!$O$430:$O$729,예비비!$B$430:$B$729,예비비!$A231,예비비!$E$430:$E$729,"&lt;"&amp;EDATE(BR$99,1),예비비!$F$430:$F$729,"결제대금비")+MAX(0,IF(예비비!$D231&lt;EDATE(BR$99,1),예비비!$E231,0)-SUMIFS(예비비!$O$430:$O$729,예비비!$B$430:$B$729,예비비!$A231,예비비!$E$430:$E$729,"&lt;"&amp;EDATE(BR$99,1))),0)</f>
        <v>0</v>
      </c>
      <c r="BS231">
        <f>IF(예비비!$R231="OK",SUMIFS(예비비!$O$430:$O$729,예비비!$B$430:$B$729,예비비!$A231,예비비!$E$430:$E$729,"&lt;"&amp;EDATE(BS$99,1),예비비!$F$430:$F$729,"결제대금비")+MAX(0,IF(예비비!$D231&lt;EDATE(BS$99,1),예비비!$E231,0)-SUMIFS(예비비!$O$430:$O$729,예비비!$B$430:$B$729,예비비!$A231,예비비!$E$430:$E$729,"&lt;"&amp;EDATE(BS$99,1))),0)</f>
        <v>0</v>
      </c>
      <c r="BT231">
        <f>IF(예비비!$R231="OK",SUMIFS(예비비!$O$430:$O$729,예비비!$B$430:$B$729,예비비!$A231,예비비!$E$430:$E$729,"&lt;"&amp;EDATE(BT$99,1),예비비!$F$430:$F$729,"결제대금비")+MAX(0,IF(예비비!$D231&lt;EDATE(BT$99,1),예비비!$E231,0)-SUMIFS(예비비!$O$430:$O$729,예비비!$B$430:$B$729,예비비!$A231,예비비!$E$430:$E$729,"&lt;"&amp;EDATE(BT$99,1))),0)</f>
        <v>0</v>
      </c>
      <c r="BU231">
        <f>IF(예비비!$R231="OK",SUMIFS(예비비!$O$430:$O$729,예비비!$B$430:$B$729,예비비!$A231,예비비!$E$430:$E$729,"&lt;"&amp;EDATE(BU$99,1),예비비!$F$430:$F$729,"결제대금비")+MAX(0,IF(예비비!$D231&lt;EDATE(BU$99,1),예비비!$E231,0)-SUMIFS(예비비!$O$430:$O$729,예비비!$B$430:$B$729,예비비!$A231,예비비!$E$430:$E$729,"&lt;"&amp;EDATE(BU$99,1))),0)</f>
        <v>0</v>
      </c>
    </row>
    <row r="232">
      <c r="BA232">
        <v>176</v>
      </c>
      <c r="BB232">
        <f>IFERROR(INDEX(잔액!$A:$A,BA232),0)</f>
        <v>46235.0</v>
      </c>
      <c r="BH232">
        <f>IFERROR(IF(AND(BB232&gt;0,OR(COUNTIFS(예비비!$C$430:$C$729,BA232,예비비!$N$430:$N$729,"OK")&gt;0,AND(INDEX(잔액!$J:$J,BA232)="가족통장",INDEX(잔액!$K:$K,BA232)="미래에셋_WRAP형CMA"),COUNTIF(예비비!$A$8:$A$12,INDEX(잔액!$C:$C,BA232))=1,COUNTIF(예비비!$A$8:$A$12,INDEX(잔액!$D:$D,BA232))=1),OR(AND(BB232&gt;=예비비!$B$3,BB232&lt;EDATE(예비비!$B$3,1)),AND(BB232&lt;EDATE(예비비!$B$3,1),COUNTIFS(예비비!$C$430:$C$729,BA232,예비비!$L$430:$L$729,예비비!$B$3,예비비!$N$430:$N$729,"OK")&gt;0))),MAX($BH$120:BH231)+1,0),0)</f>
        <v>0</v>
      </c>
      <c r="BI232">
        <f>IF(예비비!$R232="OK",SUMIFS(예비비!$O$430:$O$729,예비비!$B$430:$B$729,예비비!$A232,예비비!$E$430:$E$729,"&lt;"&amp;EDATE(BI$99,1),예비비!$F$430:$F$729,"결제대금비")+MAX(0,IF(예비비!$D232&lt;EDATE(BI$99,1),예비비!$E232,0)-SUMIFS(예비비!$O$430:$O$729,예비비!$B$430:$B$729,예비비!$A232,예비비!$E$430:$E$729,"&lt;"&amp;EDATE(BI$99,1))),0)</f>
        <v>0</v>
      </c>
      <c r="BJ232">
        <f>IF(예비비!$R232="OK",SUMIFS(예비비!$O$430:$O$729,예비비!$B$430:$B$729,예비비!$A232,예비비!$E$430:$E$729,"&lt;"&amp;EDATE(BJ$99,1),예비비!$F$430:$F$729,"결제대금비")+MAX(0,IF(예비비!$D232&lt;EDATE(BJ$99,1),예비비!$E232,0)-SUMIFS(예비비!$O$430:$O$729,예비비!$B$430:$B$729,예비비!$A232,예비비!$E$430:$E$729,"&lt;"&amp;EDATE(BJ$99,1))),0)</f>
        <v>0</v>
      </c>
      <c r="BK232">
        <f>IF(예비비!$R232="OK",SUMIFS(예비비!$O$430:$O$729,예비비!$B$430:$B$729,예비비!$A232,예비비!$E$430:$E$729,"&lt;"&amp;EDATE(BK$99,1),예비비!$F$430:$F$729,"결제대금비")+MAX(0,IF(예비비!$D232&lt;EDATE(BK$99,1),예비비!$E232,0)-SUMIFS(예비비!$O$430:$O$729,예비비!$B$430:$B$729,예비비!$A232,예비비!$E$430:$E$729,"&lt;"&amp;EDATE(BK$99,1))),0)</f>
        <v>0</v>
      </c>
      <c r="BL232">
        <f>IF(예비비!$R232="OK",SUMIFS(예비비!$O$430:$O$729,예비비!$B$430:$B$729,예비비!$A232,예비비!$E$430:$E$729,"&lt;"&amp;EDATE(BL$99,1),예비비!$F$430:$F$729,"결제대금비")+MAX(0,IF(예비비!$D232&lt;EDATE(BL$99,1),예비비!$E232,0)-SUMIFS(예비비!$O$430:$O$729,예비비!$B$430:$B$729,예비비!$A232,예비비!$E$430:$E$729,"&lt;"&amp;EDATE(BL$99,1))),0)</f>
        <v>0</v>
      </c>
      <c r="BM232">
        <f>IF(예비비!$R232="OK",SUMIFS(예비비!$O$430:$O$729,예비비!$B$430:$B$729,예비비!$A232,예비비!$E$430:$E$729,"&lt;"&amp;EDATE(BM$99,1),예비비!$F$430:$F$729,"결제대금비")+MAX(0,IF(예비비!$D232&lt;EDATE(BM$99,1),예비비!$E232,0)-SUMIFS(예비비!$O$430:$O$729,예비비!$B$430:$B$729,예비비!$A232,예비비!$E$430:$E$729,"&lt;"&amp;EDATE(BM$99,1))),0)</f>
        <v>0</v>
      </c>
      <c r="BN232">
        <f>IF(예비비!$R232="OK",SUMIFS(예비비!$O$430:$O$729,예비비!$B$430:$B$729,예비비!$A232,예비비!$E$430:$E$729,"&lt;"&amp;EDATE(BN$99,1),예비비!$F$430:$F$729,"결제대금비")+MAX(0,IF(예비비!$D232&lt;EDATE(BN$99,1),예비비!$E232,0)-SUMIFS(예비비!$O$430:$O$729,예비비!$B$430:$B$729,예비비!$A232,예비비!$E$430:$E$729,"&lt;"&amp;EDATE(BN$99,1))),0)</f>
        <v>0</v>
      </c>
      <c r="BO232">
        <f>IF(예비비!$R232="OK",SUMIFS(예비비!$O$430:$O$729,예비비!$B$430:$B$729,예비비!$A232,예비비!$E$430:$E$729,"&lt;"&amp;EDATE(BO$99,1),예비비!$F$430:$F$729,"결제대금비")+MAX(0,IF(예비비!$D232&lt;EDATE(BO$99,1),예비비!$E232,0)-SUMIFS(예비비!$O$430:$O$729,예비비!$B$430:$B$729,예비비!$A232,예비비!$E$430:$E$729,"&lt;"&amp;EDATE(BO$99,1))),0)</f>
        <v>0</v>
      </c>
      <c r="BP232">
        <f>IF(예비비!$R232="OK",SUMIFS(예비비!$O$430:$O$729,예비비!$B$430:$B$729,예비비!$A232,예비비!$E$430:$E$729,"&lt;"&amp;EDATE(BP$99,1),예비비!$F$430:$F$729,"결제대금비")+MAX(0,IF(예비비!$D232&lt;EDATE(BP$99,1),예비비!$E232,0)-SUMIFS(예비비!$O$430:$O$729,예비비!$B$430:$B$729,예비비!$A232,예비비!$E$430:$E$729,"&lt;"&amp;EDATE(BP$99,1))),0)</f>
        <v>0</v>
      </c>
      <c r="BQ232">
        <f>IF(예비비!$R232="OK",SUMIFS(예비비!$O$430:$O$729,예비비!$B$430:$B$729,예비비!$A232,예비비!$E$430:$E$729,"&lt;"&amp;EDATE(BQ$99,1),예비비!$F$430:$F$729,"결제대금비")+MAX(0,IF(예비비!$D232&lt;EDATE(BQ$99,1),예비비!$E232,0)-SUMIFS(예비비!$O$430:$O$729,예비비!$B$430:$B$729,예비비!$A232,예비비!$E$430:$E$729,"&lt;"&amp;EDATE(BQ$99,1))),0)</f>
        <v>0</v>
      </c>
      <c r="BR232">
        <f>IF(예비비!$R232="OK",SUMIFS(예비비!$O$430:$O$729,예비비!$B$430:$B$729,예비비!$A232,예비비!$E$430:$E$729,"&lt;"&amp;EDATE(BR$99,1),예비비!$F$430:$F$729,"결제대금비")+MAX(0,IF(예비비!$D232&lt;EDATE(BR$99,1),예비비!$E232,0)-SUMIFS(예비비!$O$430:$O$729,예비비!$B$430:$B$729,예비비!$A232,예비비!$E$430:$E$729,"&lt;"&amp;EDATE(BR$99,1))),0)</f>
        <v>0</v>
      </c>
      <c r="BS232">
        <f>IF(예비비!$R232="OK",SUMIFS(예비비!$O$430:$O$729,예비비!$B$430:$B$729,예비비!$A232,예비비!$E$430:$E$729,"&lt;"&amp;EDATE(BS$99,1),예비비!$F$430:$F$729,"결제대금비")+MAX(0,IF(예비비!$D232&lt;EDATE(BS$99,1),예비비!$E232,0)-SUMIFS(예비비!$O$430:$O$729,예비비!$B$430:$B$729,예비비!$A232,예비비!$E$430:$E$729,"&lt;"&amp;EDATE(BS$99,1))),0)</f>
        <v>0</v>
      </c>
      <c r="BT232">
        <f>IF(예비비!$R232="OK",SUMIFS(예비비!$O$430:$O$729,예비비!$B$430:$B$729,예비비!$A232,예비비!$E$430:$E$729,"&lt;"&amp;EDATE(BT$99,1),예비비!$F$430:$F$729,"결제대금비")+MAX(0,IF(예비비!$D232&lt;EDATE(BT$99,1),예비비!$E232,0)-SUMIFS(예비비!$O$430:$O$729,예비비!$B$430:$B$729,예비비!$A232,예비비!$E$430:$E$729,"&lt;"&amp;EDATE(BT$99,1))),0)</f>
        <v>0</v>
      </c>
      <c r="BU232">
        <f>IF(예비비!$R232="OK",SUMIFS(예비비!$O$430:$O$729,예비비!$B$430:$B$729,예비비!$A232,예비비!$E$430:$E$729,"&lt;"&amp;EDATE(BU$99,1),예비비!$F$430:$F$729,"결제대금비")+MAX(0,IF(예비비!$D232&lt;EDATE(BU$99,1),예비비!$E232,0)-SUMIFS(예비비!$O$430:$O$729,예비비!$B$430:$B$729,예비비!$A232,예비비!$E$430:$E$729,"&lt;"&amp;EDATE(BU$99,1))),0)</f>
        <v>0</v>
      </c>
    </row>
    <row r="233">
      <c r="BA233">
        <v>177</v>
      </c>
      <c r="BB233">
        <f>IFERROR(INDEX(잔액!$A:$A,BA233),0)</f>
        <v>46235.0</v>
      </c>
      <c r="BH233">
        <f>IFERROR(IF(AND(BB233&gt;0,OR(COUNTIFS(예비비!$C$430:$C$729,BA233,예비비!$N$430:$N$729,"OK")&gt;0,AND(INDEX(잔액!$J:$J,BA233)="가족통장",INDEX(잔액!$K:$K,BA233)="미래에셋_WRAP형CMA"),COUNTIF(예비비!$A$8:$A$12,INDEX(잔액!$C:$C,BA233))=1,COUNTIF(예비비!$A$8:$A$12,INDEX(잔액!$D:$D,BA233))=1),OR(AND(BB233&gt;=예비비!$B$3,BB233&lt;EDATE(예비비!$B$3,1)),AND(BB233&lt;EDATE(예비비!$B$3,1),COUNTIFS(예비비!$C$430:$C$729,BA233,예비비!$L$430:$L$729,예비비!$B$3,예비비!$N$430:$N$729,"OK")&gt;0))),MAX($BH$120:BH232)+1,0),0)</f>
        <v>0</v>
      </c>
      <c r="BI233">
        <f>IF(예비비!$R233="OK",SUMIFS(예비비!$O$430:$O$729,예비비!$B$430:$B$729,예비비!$A233,예비비!$E$430:$E$729,"&lt;"&amp;EDATE(BI$99,1),예비비!$F$430:$F$729,"결제대금비")+MAX(0,IF(예비비!$D233&lt;EDATE(BI$99,1),예비비!$E233,0)-SUMIFS(예비비!$O$430:$O$729,예비비!$B$430:$B$729,예비비!$A233,예비비!$E$430:$E$729,"&lt;"&amp;EDATE(BI$99,1))),0)</f>
        <v>0</v>
      </c>
      <c r="BJ233">
        <f>IF(예비비!$R233="OK",SUMIFS(예비비!$O$430:$O$729,예비비!$B$430:$B$729,예비비!$A233,예비비!$E$430:$E$729,"&lt;"&amp;EDATE(BJ$99,1),예비비!$F$430:$F$729,"결제대금비")+MAX(0,IF(예비비!$D233&lt;EDATE(BJ$99,1),예비비!$E233,0)-SUMIFS(예비비!$O$430:$O$729,예비비!$B$430:$B$729,예비비!$A233,예비비!$E$430:$E$729,"&lt;"&amp;EDATE(BJ$99,1))),0)</f>
        <v>0</v>
      </c>
      <c r="BK233">
        <f>IF(예비비!$R233="OK",SUMIFS(예비비!$O$430:$O$729,예비비!$B$430:$B$729,예비비!$A233,예비비!$E$430:$E$729,"&lt;"&amp;EDATE(BK$99,1),예비비!$F$430:$F$729,"결제대금비")+MAX(0,IF(예비비!$D233&lt;EDATE(BK$99,1),예비비!$E233,0)-SUMIFS(예비비!$O$430:$O$729,예비비!$B$430:$B$729,예비비!$A233,예비비!$E$430:$E$729,"&lt;"&amp;EDATE(BK$99,1))),0)</f>
        <v>0</v>
      </c>
      <c r="BL233">
        <f>IF(예비비!$R233="OK",SUMIFS(예비비!$O$430:$O$729,예비비!$B$430:$B$729,예비비!$A233,예비비!$E$430:$E$729,"&lt;"&amp;EDATE(BL$99,1),예비비!$F$430:$F$729,"결제대금비")+MAX(0,IF(예비비!$D233&lt;EDATE(BL$99,1),예비비!$E233,0)-SUMIFS(예비비!$O$430:$O$729,예비비!$B$430:$B$729,예비비!$A233,예비비!$E$430:$E$729,"&lt;"&amp;EDATE(BL$99,1))),0)</f>
        <v>0</v>
      </c>
      <c r="BM233">
        <f>IF(예비비!$R233="OK",SUMIFS(예비비!$O$430:$O$729,예비비!$B$430:$B$729,예비비!$A233,예비비!$E$430:$E$729,"&lt;"&amp;EDATE(BM$99,1),예비비!$F$430:$F$729,"결제대금비")+MAX(0,IF(예비비!$D233&lt;EDATE(BM$99,1),예비비!$E233,0)-SUMIFS(예비비!$O$430:$O$729,예비비!$B$430:$B$729,예비비!$A233,예비비!$E$430:$E$729,"&lt;"&amp;EDATE(BM$99,1))),0)</f>
        <v>0</v>
      </c>
      <c r="BN233">
        <f>IF(예비비!$R233="OK",SUMIFS(예비비!$O$430:$O$729,예비비!$B$430:$B$729,예비비!$A233,예비비!$E$430:$E$729,"&lt;"&amp;EDATE(BN$99,1),예비비!$F$430:$F$729,"결제대금비")+MAX(0,IF(예비비!$D233&lt;EDATE(BN$99,1),예비비!$E233,0)-SUMIFS(예비비!$O$430:$O$729,예비비!$B$430:$B$729,예비비!$A233,예비비!$E$430:$E$729,"&lt;"&amp;EDATE(BN$99,1))),0)</f>
        <v>0</v>
      </c>
      <c r="BO233">
        <f>IF(예비비!$R233="OK",SUMIFS(예비비!$O$430:$O$729,예비비!$B$430:$B$729,예비비!$A233,예비비!$E$430:$E$729,"&lt;"&amp;EDATE(BO$99,1),예비비!$F$430:$F$729,"결제대금비")+MAX(0,IF(예비비!$D233&lt;EDATE(BO$99,1),예비비!$E233,0)-SUMIFS(예비비!$O$430:$O$729,예비비!$B$430:$B$729,예비비!$A233,예비비!$E$430:$E$729,"&lt;"&amp;EDATE(BO$99,1))),0)</f>
        <v>0</v>
      </c>
      <c r="BP233">
        <f>IF(예비비!$R233="OK",SUMIFS(예비비!$O$430:$O$729,예비비!$B$430:$B$729,예비비!$A233,예비비!$E$430:$E$729,"&lt;"&amp;EDATE(BP$99,1),예비비!$F$430:$F$729,"결제대금비")+MAX(0,IF(예비비!$D233&lt;EDATE(BP$99,1),예비비!$E233,0)-SUMIFS(예비비!$O$430:$O$729,예비비!$B$430:$B$729,예비비!$A233,예비비!$E$430:$E$729,"&lt;"&amp;EDATE(BP$99,1))),0)</f>
        <v>0</v>
      </c>
      <c r="BQ233">
        <f>IF(예비비!$R233="OK",SUMIFS(예비비!$O$430:$O$729,예비비!$B$430:$B$729,예비비!$A233,예비비!$E$430:$E$729,"&lt;"&amp;EDATE(BQ$99,1),예비비!$F$430:$F$729,"결제대금비")+MAX(0,IF(예비비!$D233&lt;EDATE(BQ$99,1),예비비!$E233,0)-SUMIFS(예비비!$O$430:$O$729,예비비!$B$430:$B$729,예비비!$A233,예비비!$E$430:$E$729,"&lt;"&amp;EDATE(BQ$99,1))),0)</f>
        <v>0</v>
      </c>
      <c r="BR233">
        <f>IF(예비비!$R233="OK",SUMIFS(예비비!$O$430:$O$729,예비비!$B$430:$B$729,예비비!$A233,예비비!$E$430:$E$729,"&lt;"&amp;EDATE(BR$99,1),예비비!$F$430:$F$729,"결제대금비")+MAX(0,IF(예비비!$D233&lt;EDATE(BR$99,1),예비비!$E233,0)-SUMIFS(예비비!$O$430:$O$729,예비비!$B$430:$B$729,예비비!$A233,예비비!$E$430:$E$729,"&lt;"&amp;EDATE(BR$99,1))),0)</f>
        <v>0</v>
      </c>
      <c r="BS233">
        <f>IF(예비비!$R233="OK",SUMIFS(예비비!$O$430:$O$729,예비비!$B$430:$B$729,예비비!$A233,예비비!$E$430:$E$729,"&lt;"&amp;EDATE(BS$99,1),예비비!$F$430:$F$729,"결제대금비")+MAX(0,IF(예비비!$D233&lt;EDATE(BS$99,1),예비비!$E233,0)-SUMIFS(예비비!$O$430:$O$729,예비비!$B$430:$B$729,예비비!$A233,예비비!$E$430:$E$729,"&lt;"&amp;EDATE(BS$99,1))),0)</f>
        <v>0</v>
      </c>
      <c r="BT233">
        <f>IF(예비비!$R233="OK",SUMIFS(예비비!$O$430:$O$729,예비비!$B$430:$B$729,예비비!$A233,예비비!$E$430:$E$729,"&lt;"&amp;EDATE(BT$99,1),예비비!$F$430:$F$729,"결제대금비")+MAX(0,IF(예비비!$D233&lt;EDATE(BT$99,1),예비비!$E233,0)-SUMIFS(예비비!$O$430:$O$729,예비비!$B$430:$B$729,예비비!$A233,예비비!$E$430:$E$729,"&lt;"&amp;EDATE(BT$99,1))),0)</f>
        <v>0</v>
      </c>
      <c r="BU233">
        <f>IF(예비비!$R233="OK",SUMIFS(예비비!$O$430:$O$729,예비비!$B$430:$B$729,예비비!$A233,예비비!$E$430:$E$729,"&lt;"&amp;EDATE(BU$99,1),예비비!$F$430:$F$729,"결제대금비")+MAX(0,IF(예비비!$D233&lt;EDATE(BU$99,1),예비비!$E233,0)-SUMIFS(예비비!$O$430:$O$729,예비비!$B$430:$B$729,예비비!$A233,예비비!$E$430:$E$729,"&lt;"&amp;EDATE(BU$99,1))),0)</f>
        <v>0</v>
      </c>
    </row>
    <row r="234">
      <c r="BA234">
        <v>178</v>
      </c>
      <c r="BB234">
        <f>IFERROR(INDEX(잔액!$A:$A,BA234),0)</f>
        <v>46235.0</v>
      </c>
      <c r="BH234">
        <f>IFERROR(IF(AND(BB234&gt;0,OR(COUNTIFS(예비비!$C$430:$C$729,BA234,예비비!$N$430:$N$729,"OK")&gt;0,AND(INDEX(잔액!$J:$J,BA234)="가족통장",INDEX(잔액!$K:$K,BA234)="미래에셋_WRAP형CMA"),COUNTIF(예비비!$A$8:$A$12,INDEX(잔액!$C:$C,BA234))=1,COUNTIF(예비비!$A$8:$A$12,INDEX(잔액!$D:$D,BA234))=1),OR(AND(BB234&gt;=예비비!$B$3,BB234&lt;EDATE(예비비!$B$3,1)),AND(BB234&lt;EDATE(예비비!$B$3,1),COUNTIFS(예비비!$C$430:$C$729,BA234,예비비!$L$430:$L$729,예비비!$B$3,예비비!$N$430:$N$729,"OK")&gt;0))),MAX($BH$120:BH233)+1,0),0)</f>
        <v>0</v>
      </c>
      <c r="BI234">
        <f>IF(예비비!$R234="OK",SUMIFS(예비비!$O$430:$O$729,예비비!$B$430:$B$729,예비비!$A234,예비비!$E$430:$E$729,"&lt;"&amp;EDATE(BI$99,1),예비비!$F$430:$F$729,"결제대금비")+MAX(0,IF(예비비!$D234&lt;EDATE(BI$99,1),예비비!$E234,0)-SUMIFS(예비비!$O$430:$O$729,예비비!$B$430:$B$729,예비비!$A234,예비비!$E$430:$E$729,"&lt;"&amp;EDATE(BI$99,1))),0)</f>
        <v>0</v>
      </c>
      <c r="BJ234">
        <f>IF(예비비!$R234="OK",SUMIFS(예비비!$O$430:$O$729,예비비!$B$430:$B$729,예비비!$A234,예비비!$E$430:$E$729,"&lt;"&amp;EDATE(BJ$99,1),예비비!$F$430:$F$729,"결제대금비")+MAX(0,IF(예비비!$D234&lt;EDATE(BJ$99,1),예비비!$E234,0)-SUMIFS(예비비!$O$430:$O$729,예비비!$B$430:$B$729,예비비!$A234,예비비!$E$430:$E$729,"&lt;"&amp;EDATE(BJ$99,1))),0)</f>
        <v>0</v>
      </c>
      <c r="BK234">
        <f>IF(예비비!$R234="OK",SUMIFS(예비비!$O$430:$O$729,예비비!$B$430:$B$729,예비비!$A234,예비비!$E$430:$E$729,"&lt;"&amp;EDATE(BK$99,1),예비비!$F$430:$F$729,"결제대금비")+MAX(0,IF(예비비!$D234&lt;EDATE(BK$99,1),예비비!$E234,0)-SUMIFS(예비비!$O$430:$O$729,예비비!$B$430:$B$729,예비비!$A234,예비비!$E$430:$E$729,"&lt;"&amp;EDATE(BK$99,1))),0)</f>
        <v>0</v>
      </c>
      <c r="BL234">
        <f>IF(예비비!$R234="OK",SUMIFS(예비비!$O$430:$O$729,예비비!$B$430:$B$729,예비비!$A234,예비비!$E$430:$E$729,"&lt;"&amp;EDATE(BL$99,1),예비비!$F$430:$F$729,"결제대금비")+MAX(0,IF(예비비!$D234&lt;EDATE(BL$99,1),예비비!$E234,0)-SUMIFS(예비비!$O$430:$O$729,예비비!$B$430:$B$729,예비비!$A234,예비비!$E$430:$E$729,"&lt;"&amp;EDATE(BL$99,1))),0)</f>
        <v>0</v>
      </c>
      <c r="BM234">
        <f>IF(예비비!$R234="OK",SUMIFS(예비비!$O$430:$O$729,예비비!$B$430:$B$729,예비비!$A234,예비비!$E$430:$E$729,"&lt;"&amp;EDATE(BM$99,1),예비비!$F$430:$F$729,"결제대금비")+MAX(0,IF(예비비!$D234&lt;EDATE(BM$99,1),예비비!$E234,0)-SUMIFS(예비비!$O$430:$O$729,예비비!$B$430:$B$729,예비비!$A234,예비비!$E$430:$E$729,"&lt;"&amp;EDATE(BM$99,1))),0)</f>
        <v>0</v>
      </c>
      <c r="BN234">
        <f>IF(예비비!$R234="OK",SUMIFS(예비비!$O$430:$O$729,예비비!$B$430:$B$729,예비비!$A234,예비비!$E$430:$E$729,"&lt;"&amp;EDATE(BN$99,1),예비비!$F$430:$F$729,"결제대금비")+MAX(0,IF(예비비!$D234&lt;EDATE(BN$99,1),예비비!$E234,0)-SUMIFS(예비비!$O$430:$O$729,예비비!$B$430:$B$729,예비비!$A234,예비비!$E$430:$E$729,"&lt;"&amp;EDATE(BN$99,1))),0)</f>
        <v>0</v>
      </c>
      <c r="BO234">
        <f>IF(예비비!$R234="OK",SUMIFS(예비비!$O$430:$O$729,예비비!$B$430:$B$729,예비비!$A234,예비비!$E$430:$E$729,"&lt;"&amp;EDATE(BO$99,1),예비비!$F$430:$F$729,"결제대금비")+MAX(0,IF(예비비!$D234&lt;EDATE(BO$99,1),예비비!$E234,0)-SUMIFS(예비비!$O$430:$O$729,예비비!$B$430:$B$729,예비비!$A234,예비비!$E$430:$E$729,"&lt;"&amp;EDATE(BO$99,1))),0)</f>
        <v>0</v>
      </c>
      <c r="BP234">
        <f>IF(예비비!$R234="OK",SUMIFS(예비비!$O$430:$O$729,예비비!$B$430:$B$729,예비비!$A234,예비비!$E$430:$E$729,"&lt;"&amp;EDATE(BP$99,1),예비비!$F$430:$F$729,"결제대금비")+MAX(0,IF(예비비!$D234&lt;EDATE(BP$99,1),예비비!$E234,0)-SUMIFS(예비비!$O$430:$O$729,예비비!$B$430:$B$729,예비비!$A234,예비비!$E$430:$E$729,"&lt;"&amp;EDATE(BP$99,1))),0)</f>
        <v>0</v>
      </c>
      <c r="BQ234">
        <f>IF(예비비!$R234="OK",SUMIFS(예비비!$O$430:$O$729,예비비!$B$430:$B$729,예비비!$A234,예비비!$E$430:$E$729,"&lt;"&amp;EDATE(BQ$99,1),예비비!$F$430:$F$729,"결제대금비")+MAX(0,IF(예비비!$D234&lt;EDATE(BQ$99,1),예비비!$E234,0)-SUMIFS(예비비!$O$430:$O$729,예비비!$B$430:$B$729,예비비!$A234,예비비!$E$430:$E$729,"&lt;"&amp;EDATE(BQ$99,1))),0)</f>
        <v>0</v>
      </c>
      <c r="BR234">
        <f>IF(예비비!$R234="OK",SUMIFS(예비비!$O$430:$O$729,예비비!$B$430:$B$729,예비비!$A234,예비비!$E$430:$E$729,"&lt;"&amp;EDATE(BR$99,1),예비비!$F$430:$F$729,"결제대금비")+MAX(0,IF(예비비!$D234&lt;EDATE(BR$99,1),예비비!$E234,0)-SUMIFS(예비비!$O$430:$O$729,예비비!$B$430:$B$729,예비비!$A234,예비비!$E$430:$E$729,"&lt;"&amp;EDATE(BR$99,1))),0)</f>
        <v>0</v>
      </c>
      <c r="BS234">
        <f>IF(예비비!$R234="OK",SUMIFS(예비비!$O$430:$O$729,예비비!$B$430:$B$729,예비비!$A234,예비비!$E$430:$E$729,"&lt;"&amp;EDATE(BS$99,1),예비비!$F$430:$F$729,"결제대금비")+MAX(0,IF(예비비!$D234&lt;EDATE(BS$99,1),예비비!$E234,0)-SUMIFS(예비비!$O$430:$O$729,예비비!$B$430:$B$729,예비비!$A234,예비비!$E$430:$E$729,"&lt;"&amp;EDATE(BS$99,1))),0)</f>
        <v>0</v>
      </c>
      <c r="BT234">
        <f>IF(예비비!$R234="OK",SUMIFS(예비비!$O$430:$O$729,예비비!$B$430:$B$729,예비비!$A234,예비비!$E$430:$E$729,"&lt;"&amp;EDATE(BT$99,1),예비비!$F$430:$F$729,"결제대금비")+MAX(0,IF(예비비!$D234&lt;EDATE(BT$99,1),예비비!$E234,0)-SUMIFS(예비비!$O$430:$O$729,예비비!$B$430:$B$729,예비비!$A234,예비비!$E$430:$E$729,"&lt;"&amp;EDATE(BT$99,1))),0)</f>
        <v>0</v>
      </c>
      <c r="BU234">
        <f>IF(예비비!$R234="OK",SUMIFS(예비비!$O$430:$O$729,예비비!$B$430:$B$729,예비비!$A234,예비비!$E$430:$E$729,"&lt;"&amp;EDATE(BU$99,1),예비비!$F$430:$F$729,"결제대금비")+MAX(0,IF(예비비!$D234&lt;EDATE(BU$99,1),예비비!$E234,0)-SUMIFS(예비비!$O$430:$O$729,예비비!$B$430:$B$729,예비비!$A234,예비비!$E$430:$E$729,"&lt;"&amp;EDATE(BU$99,1))),0)</f>
        <v>0</v>
      </c>
    </row>
    <row r="235">
      <c r="BA235">
        <v>179</v>
      </c>
      <c r="BB235">
        <f>IFERROR(INDEX(잔액!$A:$A,BA235),0)</f>
        <v>46235.0</v>
      </c>
      <c r="BH235">
        <f>IFERROR(IF(AND(BB235&gt;0,OR(COUNTIFS(예비비!$C$430:$C$729,BA235,예비비!$N$430:$N$729,"OK")&gt;0,AND(INDEX(잔액!$J:$J,BA235)="가족통장",INDEX(잔액!$K:$K,BA235)="미래에셋_WRAP형CMA"),COUNTIF(예비비!$A$8:$A$12,INDEX(잔액!$C:$C,BA235))=1,COUNTIF(예비비!$A$8:$A$12,INDEX(잔액!$D:$D,BA235))=1),OR(AND(BB235&gt;=예비비!$B$3,BB235&lt;EDATE(예비비!$B$3,1)),AND(BB235&lt;EDATE(예비비!$B$3,1),COUNTIFS(예비비!$C$430:$C$729,BA235,예비비!$L$430:$L$729,예비비!$B$3,예비비!$N$430:$N$729,"OK")&gt;0))),MAX($BH$120:BH234)+1,0),0)</f>
        <v>0</v>
      </c>
      <c r="BI235">
        <f>IF(예비비!$R235="OK",SUMIFS(예비비!$O$430:$O$729,예비비!$B$430:$B$729,예비비!$A235,예비비!$E$430:$E$729,"&lt;"&amp;EDATE(BI$99,1),예비비!$F$430:$F$729,"결제대금비")+MAX(0,IF(예비비!$D235&lt;EDATE(BI$99,1),예비비!$E235,0)-SUMIFS(예비비!$O$430:$O$729,예비비!$B$430:$B$729,예비비!$A235,예비비!$E$430:$E$729,"&lt;"&amp;EDATE(BI$99,1))),0)</f>
        <v>0</v>
      </c>
      <c r="BJ235">
        <f>IF(예비비!$R235="OK",SUMIFS(예비비!$O$430:$O$729,예비비!$B$430:$B$729,예비비!$A235,예비비!$E$430:$E$729,"&lt;"&amp;EDATE(BJ$99,1),예비비!$F$430:$F$729,"결제대금비")+MAX(0,IF(예비비!$D235&lt;EDATE(BJ$99,1),예비비!$E235,0)-SUMIFS(예비비!$O$430:$O$729,예비비!$B$430:$B$729,예비비!$A235,예비비!$E$430:$E$729,"&lt;"&amp;EDATE(BJ$99,1))),0)</f>
        <v>0</v>
      </c>
      <c r="BK235">
        <f>IF(예비비!$R235="OK",SUMIFS(예비비!$O$430:$O$729,예비비!$B$430:$B$729,예비비!$A235,예비비!$E$430:$E$729,"&lt;"&amp;EDATE(BK$99,1),예비비!$F$430:$F$729,"결제대금비")+MAX(0,IF(예비비!$D235&lt;EDATE(BK$99,1),예비비!$E235,0)-SUMIFS(예비비!$O$430:$O$729,예비비!$B$430:$B$729,예비비!$A235,예비비!$E$430:$E$729,"&lt;"&amp;EDATE(BK$99,1))),0)</f>
        <v>0</v>
      </c>
      <c r="BL235">
        <f>IF(예비비!$R235="OK",SUMIFS(예비비!$O$430:$O$729,예비비!$B$430:$B$729,예비비!$A235,예비비!$E$430:$E$729,"&lt;"&amp;EDATE(BL$99,1),예비비!$F$430:$F$729,"결제대금비")+MAX(0,IF(예비비!$D235&lt;EDATE(BL$99,1),예비비!$E235,0)-SUMIFS(예비비!$O$430:$O$729,예비비!$B$430:$B$729,예비비!$A235,예비비!$E$430:$E$729,"&lt;"&amp;EDATE(BL$99,1))),0)</f>
        <v>0</v>
      </c>
      <c r="BM235">
        <f>IF(예비비!$R235="OK",SUMIFS(예비비!$O$430:$O$729,예비비!$B$430:$B$729,예비비!$A235,예비비!$E$430:$E$729,"&lt;"&amp;EDATE(BM$99,1),예비비!$F$430:$F$729,"결제대금비")+MAX(0,IF(예비비!$D235&lt;EDATE(BM$99,1),예비비!$E235,0)-SUMIFS(예비비!$O$430:$O$729,예비비!$B$430:$B$729,예비비!$A235,예비비!$E$430:$E$729,"&lt;"&amp;EDATE(BM$99,1))),0)</f>
        <v>0</v>
      </c>
      <c r="BN235">
        <f>IF(예비비!$R235="OK",SUMIFS(예비비!$O$430:$O$729,예비비!$B$430:$B$729,예비비!$A235,예비비!$E$430:$E$729,"&lt;"&amp;EDATE(BN$99,1),예비비!$F$430:$F$729,"결제대금비")+MAX(0,IF(예비비!$D235&lt;EDATE(BN$99,1),예비비!$E235,0)-SUMIFS(예비비!$O$430:$O$729,예비비!$B$430:$B$729,예비비!$A235,예비비!$E$430:$E$729,"&lt;"&amp;EDATE(BN$99,1))),0)</f>
        <v>0</v>
      </c>
      <c r="BO235">
        <f>IF(예비비!$R235="OK",SUMIFS(예비비!$O$430:$O$729,예비비!$B$430:$B$729,예비비!$A235,예비비!$E$430:$E$729,"&lt;"&amp;EDATE(BO$99,1),예비비!$F$430:$F$729,"결제대금비")+MAX(0,IF(예비비!$D235&lt;EDATE(BO$99,1),예비비!$E235,0)-SUMIFS(예비비!$O$430:$O$729,예비비!$B$430:$B$729,예비비!$A235,예비비!$E$430:$E$729,"&lt;"&amp;EDATE(BO$99,1))),0)</f>
        <v>0</v>
      </c>
      <c r="BP235">
        <f>IF(예비비!$R235="OK",SUMIFS(예비비!$O$430:$O$729,예비비!$B$430:$B$729,예비비!$A235,예비비!$E$430:$E$729,"&lt;"&amp;EDATE(BP$99,1),예비비!$F$430:$F$729,"결제대금비")+MAX(0,IF(예비비!$D235&lt;EDATE(BP$99,1),예비비!$E235,0)-SUMIFS(예비비!$O$430:$O$729,예비비!$B$430:$B$729,예비비!$A235,예비비!$E$430:$E$729,"&lt;"&amp;EDATE(BP$99,1))),0)</f>
        <v>0</v>
      </c>
      <c r="BQ235">
        <f>IF(예비비!$R235="OK",SUMIFS(예비비!$O$430:$O$729,예비비!$B$430:$B$729,예비비!$A235,예비비!$E$430:$E$729,"&lt;"&amp;EDATE(BQ$99,1),예비비!$F$430:$F$729,"결제대금비")+MAX(0,IF(예비비!$D235&lt;EDATE(BQ$99,1),예비비!$E235,0)-SUMIFS(예비비!$O$430:$O$729,예비비!$B$430:$B$729,예비비!$A235,예비비!$E$430:$E$729,"&lt;"&amp;EDATE(BQ$99,1))),0)</f>
        <v>0</v>
      </c>
      <c r="BR235">
        <f>IF(예비비!$R235="OK",SUMIFS(예비비!$O$430:$O$729,예비비!$B$430:$B$729,예비비!$A235,예비비!$E$430:$E$729,"&lt;"&amp;EDATE(BR$99,1),예비비!$F$430:$F$729,"결제대금비")+MAX(0,IF(예비비!$D235&lt;EDATE(BR$99,1),예비비!$E235,0)-SUMIFS(예비비!$O$430:$O$729,예비비!$B$430:$B$729,예비비!$A235,예비비!$E$430:$E$729,"&lt;"&amp;EDATE(BR$99,1))),0)</f>
        <v>0</v>
      </c>
      <c r="BS235">
        <f>IF(예비비!$R235="OK",SUMIFS(예비비!$O$430:$O$729,예비비!$B$430:$B$729,예비비!$A235,예비비!$E$430:$E$729,"&lt;"&amp;EDATE(BS$99,1),예비비!$F$430:$F$729,"결제대금비")+MAX(0,IF(예비비!$D235&lt;EDATE(BS$99,1),예비비!$E235,0)-SUMIFS(예비비!$O$430:$O$729,예비비!$B$430:$B$729,예비비!$A235,예비비!$E$430:$E$729,"&lt;"&amp;EDATE(BS$99,1))),0)</f>
        <v>0</v>
      </c>
      <c r="BT235">
        <f>IF(예비비!$R235="OK",SUMIFS(예비비!$O$430:$O$729,예비비!$B$430:$B$729,예비비!$A235,예비비!$E$430:$E$729,"&lt;"&amp;EDATE(BT$99,1),예비비!$F$430:$F$729,"결제대금비")+MAX(0,IF(예비비!$D235&lt;EDATE(BT$99,1),예비비!$E235,0)-SUMIFS(예비비!$O$430:$O$729,예비비!$B$430:$B$729,예비비!$A235,예비비!$E$430:$E$729,"&lt;"&amp;EDATE(BT$99,1))),0)</f>
        <v>0</v>
      </c>
      <c r="BU235">
        <f>IF(예비비!$R235="OK",SUMIFS(예비비!$O$430:$O$729,예비비!$B$430:$B$729,예비비!$A235,예비비!$E$430:$E$729,"&lt;"&amp;EDATE(BU$99,1),예비비!$F$430:$F$729,"결제대금비")+MAX(0,IF(예비비!$D235&lt;EDATE(BU$99,1),예비비!$E235,0)-SUMIFS(예비비!$O$430:$O$729,예비비!$B$430:$B$729,예비비!$A235,예비비!$E$430:$E$729,"&lt;"&amp;EDATE(BU$99,1))),0)</f>
        <v>0</v>
      </c>
    </row>
    <row r="236">
      <c r="BA236">
        <v>180</v>
      </c>
      <c r="BB236">
        <f>IFERROR(INDEX(잔액!$A:$A,BA236),0)</f>
        <v>46235.0</v>
      </c>
      <c r="BH236">
        <f>IFERROR(IF(AND(BB236&gt;0,OR(COUNTIFS(예비비!$C$430:$C$729,BA236,예비비!$N$430:$N$729,"OK")&gt;0,AND(INDEX(잔액!$J:$J,BA236)="가족통장",INDEX(잔액!$K:$K,BA236)="미래에셋_WRAP형CMA"),COUNTIF(예비비!$A$8:$A$12,INDEX(잔액!$C:$C,BA236))=1,COUNTIF(예비비!$A$8:$A$12,INDEX(잔액!$D:$D,BA236))=1),OR(AND(BB236&gt;=예비비!$B$3,BB236&lt;EDATE(예비비!$B$3,1)),AND(BB236&lt;EDATE(예비비!$B$3,1),COUNTIFS(예비비!$C$430:$C$729,BA236,예비비!$L$430:$L$729,예비비!$B$3,예비비!$N$430:$N$729,"OK")&gt;0))),MAX($BH$120:BH235)+1,0),0)</f>
        <v>0</v>
      </c>
      <c r="BI236">
        <f>IF(예비비!$R236="OK",SUMIFS(예비비!$O$430:$O$729,예비비!$B$430:$B$729,예비비!$A236,예비비!$E$430:$E$729,"&lt;"&amp;EDATE(BI$99,1),예비비!$F$430:$F$729,"결제대금비")+MAX(0,IF(예비비!$D236&lt;EDATE(BI$99,1),예비비!$E236,0)-SUMIFS(예비비!$O$430:$O$729,예비비!$B$430:$B$729,예비비!$A236,예비비!$E$430:$E$729,"&lt;"&amp;EDATE(BI$99,1))),0)</f>
        <v>0</v>
      </c>
      <c r="BJ236">
        <f>IF(예비비!$R236="OK",SUMIFS(예비비!$O$430:$O$729,예비비!$B$430:$B$729,예비비!$A236,예비비!$E$430:$E$729,"&lt;"&amp;EDATE(BJ$99,1),예비비!$F$430:$F$729,"결제대금비")+MAX(0,IF(예비비!$D236&lt;EDATE(BJ$99,1),예비비!$E236,0)-SUMIFS(예비비!$O$430:$O$729,예비비!$B$430:$B$729,예비비!$A236,예비비!$E$430:$E$729,"&lt;"&amp;EDATE(BJ$99,1))),0)</f>
        <v>0</v>
      </c>
      <c r="BK236">
        <f>IF(예비비!$R236="OK",SUMIFS(예비비!$O$430:$O$729,예비비!$B$430:$B$729,예비비!$A236,예비비!$E$430:$E$729,"&lt;"&amp;EDATE(BK$99,1),예비비!$F$430:$F$729,"결제대금비")+MAX(0,IF(예비비!$D236&lt;EDATE(BK$99,1),예비비!$E236,0)-SUMIFS(예비비!$O$430:$O$729,예비비!$B$430:$B$729,예비비!$A236,예비비!$E$430:$E$729,"&lt;"&amp;EDATE(BK$99,1))),0)</f>
        <v>0</v>
      </c>
      <c r="BL236">
        <f>IF(예비비!$R236="OK",SUMIFS(예비비!$O$430:$O$729,예비비!$B$430:$B$729,예비비!$A236,예비비!$E$430:$E$729,"&lt;"&amp;EDATE(BL$99,1),예비비!$F$430:$F$729,"결제대금비")+MAX(0,IF(예비비!$D236&lt;EDATE(BL$99,1),예비비!$E236,0)-SUMIFS(예비비!$O$430:$O$729,예비비!$B$430:$B$729,예비비!$A236,예비비!$E$430:$E$729,"&lt;"&amp;EDATE(BL$99,1))),0)</f>
        <v>0</v>
      </c>
      <c r="BM236">
        <f>IF(예비비!$R236="OK",SUMIFS(예비비!$O$430:$O$729,예비비!$B$430:$B$729,예비비!$A236,예비비!$E$430:$E$729,"&lt;"&amp;EDATE(BM$99,1),예비비!$F$430:$F$729,"결제대금비")+MAX(0,IF(예비비!$D236&lt;EDATE(BM$99,1),예비비!$E236,0)-SUMIFS(예비비!$O$430:$O$729,예비비!$B$430:$B$729,예비비!$A236,예비비!$E$430:$E$729,"&lt;"&amp;EDATE(BM$99,1))),0)</f>
        <v>0</v>
      </c>
      <c r="BN236">
        <f>IF(예비비!$R236="OK",SUMIFS(예비비!$O$430:$O$729,예비비!$B$430:$B$729,예비비!$A236,예비비!$E$430:$E$729,"&lt;"&amp;EDATE(BN$99,1),예비비!$F$430:$F$729,"결제대금비")+MAX(0,IF(예비비!$D236&lt;EDATE(BN$99,1),예비비!$E236,0)-SUMIFS(예비비!$O$430:$O$729,예비비!$B$430:$B$729,예비비!$A236,예비비!$E$430:$E$729,"&lt;"&amp;EDATE(BN$99,1))),0)</f>
        <v>0</v>
      </c>
      <c r="BO236">
        <f>IF(예비비!$R236="OK",SUMIFS(예비비!$O$430:$O$729,예비비!$B$430:$B$729,예비비!$A236,예비비!$E$430:$E$729,"&lt;"&amp;EDATE(BO$99,1),예비비!$F$430:$F$729,"결제대금비")+MAX(0,IF(예비비!$D236&lt;EDATE(BO$99,1),예비비!$E236,0)-SUMIFS(예비비!$O$430:$O$729,예비비!$B$430:$B$729,예비비!$A236,예비비!$E$430:$E$729,"&lt;"&amp;EDATE(BO$99,1))),0)</f>
        <v>0</v>
      </c>
      <c r="BP236">
        <f>IF(예비비!$R236="OK",SUMIFS(예비비!$O$430:$O$729,예비비!$B$430:$B$729,예비비!$A236,예비비!$E$430:$E$729,"&lt;"&amp;EDATE(BP$99,1),예비비!$F$430:$F$729,"결제대금비")+MAX(0,IF(예비비!$D236&lt;EDATE(BP$99,1),예비비!$E236,0)-SUMIFS(예비비!$O$430:$O$729,예비비!$B$430:$B$729,예비비!$A236,예비비!$E$430:$E$729,"&lt;"&amp;EDATE(BP$99,1))),0)</f>
        <v>0</v>
      </c>
      <c r="BQ236">
        <f>IF(예비비!$R236="OK",SUMIFS(예비비!$O$430:$O$729,예비비!$B$430:$B$729,예비비!$A236,예비비!$E$430:$E$729,"&lt;"&amp;EDATE(BQ$99,1),예비비!$F$430:$F$729,"결제대금비")+MAX(0,IF(예비비!$D236&lt;EDATE(BQ$99,1),예비비!$E236,0)-SUMIFS(예비비!$O$430:$O$729,예비비!$B$430:$B$729,예비비!$A236,예비비!$E$430:$E$729,"&lt;"&amp;EDATE(BQ$99,1))),0)</f>
        <v>0</v>
      </c>
      <c r="BR236">
        <f>IF(예비비!$R236="OK",SUMIFS(예비비!$O$430:$O$729,예비비!$B$430:$B$729,예비비!$A236,예비비!$E$430:$E$729,"&lt;"&amp;EDATE(BR$99,1),예비비!$F$430:$F$729,"결제대금비")+MAX(0,IF(예비비!$D236&lt;EDATE(BR$99,1),예비비!$E236,0)-SUMIFS(예비비!$O$430:$O$729,예비비!$B$430:$B$729,예비비!$A236,예비비!$E$430:$E$729,"&lt;"&amp;EDATE(BR$99,1))),0)</f>
        <v>0</v>
      </c>
      <c r="BS236">
        <f>IF(예비비!$R236="OK",SUMIFS(예비비!$O$430:$O$729,예비비!$B$430:$B$729,예비비!$A236,예비비!$E$430:$E$729,"&lt;"&amp;EDATE(BS$99,1),예비비!$F$430:$F$729,"결제대금비")+MAX(0,IF(예비비!$D236&lt;EDATE(BS$99,1),예비비!$E236,0)-SUMIFS(예비비!$O$430:$O$729,예비비!$B$430:$B$729,예비비!$A236,예비비!$E$430:$E$729,"&lt;"&amp;EDATE(BS$99,1))),0)</f>
        <v>0</v>
      </c>
      <c r="BT236">
        <f>IF(예비비!$R236="OK",SUMIFS(예비비!$O$430:$O$729,예비비!$B$430:$B$729,예비비!$A236,예비비!$E$430:$E$729,"&lt;"&amp;EDATE(BT$99,1),예비비!$F$430:$F$729,"결제대금비")+MAX(0,IF(예비비!$D236&lt;EDATE(BT$99,1),예비비!$E236,0)-SUMIFS(예비비!$O$430:$O$729,예비비!$B$430:$B$729,예비비!$A236,예비비!$E$430:$E$729,"&lt;"&amp;EDATE(BT$99,1))),0)</f>
        <v>0</v>
      </c>
      <c r="BU236">
        <f>IF(예비비!$R236="OK",SUMIFS(예비비!$O$430:$O$729,예비비!$B$430:$B$729,예비비!$A236,예비비!$E$430:$E$729,"&lt;"&amp;EDATE(BU$99,1),예비비!$F$430:$F$729,"결제대금비")+MAX(0,IF(예비비!$D236&lt;EDATE(BU$99,1),예비비!$E236,0)-SUMIFS(예비비!$O$430:$O$729,예비비!$B$430:$B$729,예비비!$A236,예비비!$E$430:$E$729,"&lt;"&amp;EDATE(BU$99,1))),0)</f>
        <v>0</v>
      </c>
    </row>
    <row r="237">
      <c r="BA237">
        <v>181</v>
      </c>
      <c r="BB237">
        <f>IFERROR(INDEX(잔액!$A:$A,BA237),0)</f>
        <v>46235.0</v>
      </c>
      <c r="BH237">
        <f>IFERROR(IF(AND(BB237&gt;0,OR(COUNTIFS(예비비!$C$430:$C$729,BA237,예비비!$N$430:$N$729,"OK")&gt;0,AND(INDEX(잔액!$J:$J,BA237)="가족통장",INDEX(잔액!$K:$K,BA237)="미래에셋_WRAP형CMA"),COUNTIF(예비비!$A$8:$A$12,INDEX(잔액!$C:$C,BA237))=1,COUNTIF(예비비!$A$8:$A$12,INDEX(잔액!$D:$D,BA237))=1),OR(AND(BB237&gt;=예비비!$B$3,BB237&lt;EDATE(예비비!$B$3,1)),AND(BB237&lt;EDATE(예비비!$B$3,1),COUNTIFS(예비비!$C$430:$C$729,BA237,예비비!$L$430:$L$729,예비비!$B$3,예비비!$N$430:$N$729,"OK")&gt;0))),MAX($BH$120:BH236)+1,0),0)</f>
        <v>0</v>
      </c>
      <c r="BI237">
        <f>IF(예비비!$R237="OK",SUMIFS(예비비!$O$430:$O$729,예비비!$B$430:$B$729,예비비!$A237,예비비!$E$430:$E$729,"&lt;"&amp;EDATE(BI$99,1),예비비!$F$430:$F$729,"결제대금비")+MAX(0,IF(예비비!$D237&lt;EDATE(BI$99,1),예비비!$E237,0)-SUMIFS(예비비!$O$430:$O$729,예비비!$B$430:$B$729,예비비!$A237,예비비!$E$430:$E$729,"&lt;"&amp;EDATE(BI$99,1))),0)</f>
        <v>0</v>
      </c>
      <c r="BJ237">
        <f>IF(예비비!$R237="OK",SUMIFS(예비비!$O$430:$O$729,예비비!$B$430:$B$729,예비비!$A237,예비비!$E$430:$E$729,"&lt;"&amp;EDATE(BJ$99,1),예비비!$F$430:$F$729,"결제대금비")+MAX(0,IF(예비비!$D237&lt;EDATE(BJ$99,1),예비비!$E237,0)-SUMIFS(예비비!$O$430:$O$729,예비비!$B$430:$B$729,예비비!$A237,예비비!$E$430:$E$729,"&lt;"&amp;EDATE(BJ$99,1))),0)</f>
        <v>0</v>
      </c>
      <c r="BK237">
        <f>IF(예비비!$R237="OK",SUMIFS(예비비!$O$430:$O$729,예비비!$B$430:$B$729,예비비!$A237,예비비!$E$430:$E$729,"&lt;"&amp;EDATE(BK$99,1),예비비!$F$430:$F$729,"결제대금비")+MAX(0,IF(예비비!$D237&lt;EDATE(BK$99,1),예비비!$E237,0)-SUMIFS(예비비!$O$430:$O$729,예비비!$B$430:$B$729,예비비!$A237,예비비!$E$430:$E$729,"&lt;"&amp;EDATE(BK$99,1))),0)</f>
        <v>0</v>
      </c>
      <c r="BL237">
        <f>IF(예비비!$R237="OK",SUMIFS(예비비!$O$430:$O$729,예비비!$B$430:$B$729,예비비!$A237,예비비!$E$430:$E$729,"&lt;"&amp;EDATE(BL$99,1),예비비!$F$430:$F$729,"결제대금비")+MAX(0,IF(예비비!$D237&lt;EDATE(BL$99,1),예비비!$E237,0)-SUMIFS(예비비!$O$430:$O$729,예비비!$B$430:$B$729,예비비!$A237,예비비!$E$430:$E$729,"&lt;"&amp;EDATE(BL$99,1))),0)</f>
        <v>0</v>
      </c>
      <c r="BM237">
        <f>IF(예비비!$R237="OK",SUMIFS(예비비!$O$430:$O$729,예비비!$B$430:$B$729,예비비!$A237,예비비!$E$430:$E$729,"&lt;"&amp;EDATE(BM$99,1),예비비!$F$430:$F$729,"결제대금비")+MAX(0,IF(예비비!$D237&lt;EDATE(BM$99,1),예비비!$E237,0)-SUMIFS(예비비!$O$430:$O$729,예비비!$B$430:$B$729,예비비!$A237,예비비!$E$430:$E$729,"&lt;"&amp;EDATE(BM$99,1))),0)</f>
        <v>0</v>
      </c>
      <c r="BN237">
        <f>IF(예비비!$R237="OK",SUMIFS(예비비!$O$430:$O$729,예비비!$B$430:$B$729,예비비!$A237,예비비!$E$430:$E$729,"&lt;"&amp;EDATE(BN$99,1),예비비!$F$430:$F$729,"결제대금비")+MAX(0,IF(예비비!$D237&lt;EDATE(BN$99,1),예비비!$E237,0)-SUMIFS(예비비!$O$430:$O$729,예비비!$B$430:$B$729,예비비!$A237,예비비!$E$430:$E$729,"&lt;"&amp;EDATE(BN$99,1))),0)</f>
        <v>0</v>
      </c>
      <c r="BO237">
        <f>IF(예비비!$R237="OK",SUMIFS(예비비!$O$430:$O$729,예비비!$B$430:$B$729,예비비!$A237,예비비!$E$430:$E$729,"&lt;"&amp;EDATE(BO$99,1),예비비!$F$430:$F$729,"결제대금비")+MAX(0,IF(예비비!$D237&lt;EDATE(BO$99,1),예비비!$E237,0)-SUMIFS(예비비!$O$430:$O$729,예비비!$B$430:$B$729,예비비!$A237,예비비!$E$430:$E$729,"&lt;"&amp;EDATE(BO$99,1))),0)</f>
        <v>0</v>
      </c>
      <c r="BP237">
        <f>IF(예비비!$R237="OK",SUMIFS(예비비!$O$430:$O$729,예비비!$B$430:$B$729,예비비!$A237,예비비!$E$430:$E$729,"&lt;"&amp;EDATE(BP$99,1),예비비!$F$430:$F$729,"결제대금비")+MAX(0,IF(예비비!$D237&lt;EDATE(BP$99,1),예비비!$E237,0)-SUMIFS(예비비!$O$430:$O$729,예비비!$B$430:$B$729,예비비!$A237,예비비!$E$430:$E$729,"&lt;"&amp;EDATE(BP$99,1))),0)</f>
        <v>0</v>
      </c>
      <c r="BQ237">
        <f>IF(예비비!$R237="OK",SUMIFS(예비비!$O$430:$O$729,예비비!$B$430:$B$729,예비비!$A237,예비비!$E$430:$E$729,"&lt;"&amp;EDATE(BQ$99,1),예비비!$F$430:$F$729,"결제대금비")+MAX(0,IF(예비비!$D237&lt;EDATE(BQ$99,1),예비비!$E237,0)-SUMIFS(예비비!$O$430:$O$729,예비비!$B$430:$B$729,예비비!$A237,예비비!$E$430:$E$729,"&lt;"&amp;EDATE(BQ$99,1))),0)</f>
        <v>0</v>
      </c>
      <c r="BR237">
        <f>IF(예비비!$R237="OK",SUMIFS(예비비!$O$430:$O$729,예비비!$B$430:$B$729,예비비!$A237,예비비!$E$430:$E$729,"&lt;"&amp;EDATE(BR$99,1),예비비!$F$430:$F$729,"결제대금비")+MAX(0,IF(예비비!$D237&lt;EDATE(BR$99,1),예비비!$E237,0)-SUMIFS(예비비!$O$430:$O$729,예비비!$B$430:$B$729,예비비!$A237,예비비!$E$430:$E$729,"&lt;"&amp;EDATE(BR$99,1))),0)</f>
        <v>0</v>
      </c>
      <c r="BS237">
        <f>IF(예비비!$R237="OK",SUMIFS(예비비!$O$430:$O$729,예비비!$B$430:$B$729,예비비!$A237,예비비!$E$430:$E$729,"&lt;"&amp;EDATE(BS$99,1),예비비!$F$430:$F$729,"결제대금비")+MAX(0,IF(예비비!$D237&lt;EDATE(BS$99,1),예비비!$E237,0)-SUMIFS(예비비!$O$430:$O$729,예비비!$B$430:$B$729,예비비!$A237,예비비!$E$430:$E$729,"&lt;"&amp;EDATE(BS$99,1))),0)</f>
        <v>0</v>
      </c>
      <c r="BT237">
        <f>IF(예비비!$R237="OK",SUMIFS(예비비!$O$430:$O$729,예비비!$B$430:$B$729,예비비!$A237,예비비!$E$430:$E$729,"&lt;"&amp;EDATE(BT$99,1),예비비!$F$430:$F$729,"결제대금비")+MAX(0,IF(예비비!$D237&lt;EDATE(BT$99,1),예비비!$E237,0)-SUMIFS(예비비!$O$430:$O$729,예비비!$B$430:$B$729,예비비!$A237,예비비!$E$430:$E$729,"&lt;"&amp;EDATE(BT$99,1))),0)</f>
        <v>0</v>
      </c>
      <c r="BU237">
        <f>IF(예비비!$R237="OK",SUMIFS(예비비!$O$430:$O$729,예비비!$B$430:$B$729,예비비!$A237,예비비!$E$430:$E$729,"&lt;"&amp;EDATE(BU$99,1),예비비!$F$430:$F$729,"결제대금비")+MAX(0,IF(예비비!$D237&lt;EDATE(BU$99,1),예비비!$E237,0)-SUMIFS(예비비!$O$430:$O$729,예비비!$B$430:$B$729,예비비!$A237,예비비!$E$430:$E$729,"&lt;"&amp;EDATE(BU$99,1))),0)</f>
        <v>0</v>
      </c>
    </row>
    <row r="238">
      <c r="BA238">
        <v>182</v>
      </c>
      <c r="BB238">
        <f>IFERROR(INDEX(잔액!$A:$A,BA238),0)</f>
        <v>46235.0</v>
      </c>
      <c r="BH238">
        <f>IFERROR(IF(AND(BB238&gt;0,OR(COUNTIFS(예비비!$C$430:$C$729,BA238,예비비!$N$430:$N$729,"OK")&gt;0,AND(INDEX(잔액!$J:$J,BA238)="가족통장",INDEX(잔액!$K:$K,BA238)="미래에셋_WRAP형CMA"),COUNTIF(예비비!$A$8:$A$12,INDEX(잔액!$C:$C,BA238))=1,COUNTIF(예비비!$A$8:$A$12,INDEX(잔액!$D:$D,BA238))=1),OR(AND(BB238&gt;=예비비!$B$3,BB238&lt;EDATE(예비비!$B$3,1)),AND(BB238&lt;EDATE(예비비!$B$3,1),COUNTIFS(예비비!$C$430:$C$729,BA238,예비비!$L$430:$L$729,예비비!$B$3,예비비!$N$430:$N$729,"OK")&gt;0))),MAX($BH$120:BH237)+1,0),0)</f>
        <v>0</v>
      </c>
      <c r="BI238">
        <f>IF(예비비!$R238="OK",SUMIFS(예비비!$O$430:$O$729,예비비!$B$430:$B$729,예비비!$A238,예비비!$E$430:$E$729,"&lt;"&amp;EDATE(BI$99,1),예비비!$F$430:$F$729,"결제대금비")+MAX(0,IF(예비비!$D238&lt;EDATE(BI$99,1),예비비!$E238,0)-SUMIFS(예비비!$O$430:$O$729,예비비!$B$430:$B$729,예비비!$A238,예비비!$E$430:$E$729,"&lt;"&amp;EDATE(BI$99,1))),0)</f>
        <v>0</v>
      </c>
      <c r="BJ238">
        <f>IF(예비비!$R238="OK",SUMIFS(예비비!$O$430:$O$729,예비비!$B$430:$B$729,예비비!$A238,예비비!$E$430:$E$729,"&lt;"&amp;EDATE(BJ$99,1),예비비!$F$430:$F$729,"결제대금비")+MAX(0,IF(예비비!$D238&lt;EDATE(BJ$99,1),예비비!$E238,0)-SUMIFS(예비비!$O$430:$O$729,예비비!$B$430:$B$729,예비비!$A238,예비비!$E$430:$E$729,"&lt;"&amp;EDATE(BJ$99,1))),0)</f>
        <v>0</v>
      </c>
      <c r="BK238">
        <f>IF(예비비!$R238="OK",SUMIFS(예비비!$O$430:$O$729,예비비!$B$430:$B$729,예비비!$A238,예비비!$E$430:$E$729,"&lt;"&amp;EDATE(BK$99,1),예비비!$F$430:$F$729,"결제대금비")+MAX(0,IF(예비비!$D238&lt;EDATE(BK$99,1),예비비!$E238,0)-SUMIFS(예비비!$O$430:$O$729,예비비!$B$430:$B$729,예비비!$A238,예비비!$E$430:$E$729,"&lt;"&amp;EDATE(BK$99,1))),0)</f>
        <v>0</v>
      </c>
      <c r="BL238">
        <f>IF(예비비!$R238="OK",SUMIFS(예비비!$O$430:$O$729,예비비!$B$430:$B$729,예비비!$A238,예비비!$E$430:$E$729,"&lt;"&amp;EDATE(BL$99,1),예비비!$F$430:$F$729,"결제대금비")+MAX(0,IF(예비비!$D238&lt;EDATE(BL$99,1),예비비!$E238,0)-SUMIFS(예비비!$O$430:$O$729,예비비!$B$430:$B$729,예비비!$A238,예비비!$E$430:$E$729,"&lt;"&amp;EDATE(BL$99,1))),0)</f>
        <v>0</v>
      </c>
      <c r="BM238">
        <f>IF(예비비!$R238="OK",SUMIFS(예비비!$O$430:$O$729,예비비!$B$430:$B$729,예비비!$A238,예비비!$E$430:$E$729,"&lt;"&amp;EDATE(BM$99,1),예비비!$F$430:$F$729,"결제대금비")+MAX(0,IF(예비비!$D238&lt;EDATE(BM$99,1),예비비!$E238,0)-SUMIFS(예비비!$O$430:$O$729,예비비!$B$430:$B$729,예비비!$A238,예비비!$E$430:$E$729,"&lt;"&amp;EDATE(BM$99,1))),0)</f>
        <v>0</v>
      </c>
      <c r="BN238">
        <f>IF(예비비!$R238="OK",SUMIFS(예비비!$O$430:$O$729,예비비!$B$430:$B$729,예비비!$A238,예비비!$E$430:$E$729,"&lt;"&amp;EDATE(BN$99,1),예비비!$F$430:$F$729,"결제대금비")+MAX(0,IF(예비비!$D238&lt;EDATE(BN$99,1),예비비!$E238,0)-SUMIFS(예비비!$O$430:$O$729,예비비!$B$430:$B$729,예비비!$A238,예비비!$E$430:$E$729,"&lt;"&amp;EDATE(BN$99,1))),0)</f>
        <v>0</v>
      </c>
      <c r="BO238">
        <f>IF(예비비!$R238="OK",SUMIFS(예비비!$O$430:$O$729,예비비!$B$430:$B$729,예비비!$A238,예비비!$E$430:$E$729,"&lt;"&amp;EDATE(BO$99,1),예비비!$F$430:$F$729,"결제대금비")+MAX(0,IF(예비비!$D238&lt;EDATE(BO$99,1),예비비!$E238,0)-SUMIFS(예비비!$O$430:$O$729,예비비!$B$430:$B$729,예비비!$A238,예비비!$E$430:$E$729,"&lt;"&amp;EDATE(BO$99,1))),0)</f>
        <v>0</v>
      </c>
      <c r="BP238">
        <f>IF(예비비!$R238="OK",SUMIFS(예비비!$O$430:$O$729,예비비!$B$430:$B$729,예비비!$A238,예비비!$E$430:$E$729,"&lt;"&amp;EDATE(BP$99,1),예비비!$F$430:$F$729,"결제대금비")+MAX(0,IF(예비비!$D238&lt;EDATE(BP$99,1),예비비!$E238,0)-SUMIFS(예비비!$O$430:$O$729,예비비!$B$430:$B$729,예비비!$A238,예비비!$E$430:$E$729,"&lt;"&amp;EDATE(BP$99,1))),0)</f>
        <v>0</v>
      </c>
      <c r="BQ238">
        <f>IF(예비비!$R238="OK",SUMIFS(예비비!$O$430:$O$729,예비비!$B$430:$B$729,예비비!$A238,예비비!$E$430:$E$729,"&lt;"&amp;EDATE(BQ$99,1),예비비!$F$430:$F$729,"결제대금비")+MAX(0,IF(예비비!$D238&lt;EDATE(BQ$99,1),예비비!$E238,0)-SUMIFS(예비비!$O$430:$O$729,예비비!$B$430:$B$729,예비비!$A238,예비비!$E$430:$E$729,"&lt;"&amp;EDATE(BQ$99,1))),0)</f>
        <v>0</v>
      </c>
      <c r="BR238">
        <f>IF(예비비!$R238="OK",SUMIFS(예비비!$O$430:$O$729,예비비!$B$430:$B$729,예비비!$A238,예비비!$E$430:$E$729,"&lt;"&amp;EDATE(BR$99,1),예비비!$F$430:$F$729,"결제대금비")+MAX(0,IF(예비비!$D238&lt;EDATE(BR$99,1),예비비!$E238,0)-SUMIFS(예비비!$O$430:$O$729,예비비!$B$430:$B$729,예비비!$A238,예비비!$E$430:$E$729,"&lt;"&amp;EDATE(BR$99,1))),0)</f>
        <v>0</v>
      </c>
      <c r="BS238">
        <f>IF(예비비!$R238="OK",SUMIFS(예비비!$O$430:$O$729,예비비!$B$430:$B$729,예비비!$A238,예비비!$E$430:$E$729,"&lt;"&amp;EDATE(BS$99,1),예비비!$F$430:$F$729,"결제대금비")+MAX(0,IF(예비비!$D238&lt;EDATE(BS$99,1),예비비!$E238,0)-SUMIFS(예비비!$O$430:$O$729,예비비!$B$430:$B$729,예비비!$A238,예비비!$E$430:$E$729,"&lt;"&amp;EDATE(BS$99,1))),0)</f>
        <v>0</v>
      </c>
      <c r="BT238">
        <f>IF(예비비!$R238="OK",SUMIFS(예비비!$O$430:$O$729,예비비!$B$430:$B$729,예비비!$A238,예비비!$E$430:$E$729,"&lt;"&amp;EDATE(BT$99,1),예비비!$F$430:$F$729,"결제대금비")+MAX(0,IF(예비비!$D238&lt;EDATE(BT$99,1),예비비!$E238,0)-SUMIFS(예비비!$O$430:$O$729,예비비!$B$430:$B$729,예비비!$A238,예비비!$E$430:$E$729,"&lt;"&amp;EDATE(BT$99,1))),0)</f>
        <v>0</v>
      </c>
      <c r="BU238">
        <f>IF(예비비!$R238="OK",SUMIFS(예비비!$O$430:$O$729,예비비!$B$430:$B$729,예비비!$A238,예비비!$E$430:$E$729,"&lt;"&amp;EDATE(BU$99,1),예비비!$F$430:$F$729,"결제대금비")+MAX(0,IF(예비비!$D238&lt;EDATE(BU$99,1),예비비!$E238,0)-SUMIFS(예비비!$O$430:$O$729,예비비!$B$430:$B$729,예비비!$A238,예비비!$E$430:$E$729,"&lt;"&amp;EDATE(BU$99,1))),0)</f>
        <v>0</v>
      </c>
    </row>
    <row r="239">
      <c r="BA239">
        <v>183</v>
      </c>
      <c r="BB239">
        <f>IFERROR(INDEX(잔액!$A:$A,BA239),0)</f>
        <v>46235.0</v>
      </c>
      <c r="BH239">
        <f>IFERROR(IF(AND(BB239&gt;0,OR(COUNTIFS(예비비!$C$430:$C$729,BA239,예비비!$N$430:$N$729,"OK")&gt;0,AND(INDEX(잔액!$J:$J,BA239)="가족통장",INDEX(잔액!$K:$K,BA239)="미래에셋_WRAP형CMA"),COUNTIF(예비비!$A$8:$A$12,INDEX(잔액!$C:$C,BA239))=1,COUNTIF(예비비!$A$8:$A$12,INDEX(잔액!$D:$D,BA239))=1),OR(AND(BB239&gt;=예비비!$B$3,BB239&lt;EDATE(예비비!$B$3,1)),AND(BB239&lt;EDATE(예비비!$B$3,1),COUNTIFS(예비비!$C$430:$C$729,BA239,예비비!$L$430:$L$729,예비비!$B$3,예비비!$N$430:$N$729,"OK")&gt;0))),MAX($BH$120:BH238)+1,0),0)</f>
        <v>0</v>
      </c>
      <c r="BI239">
        <f>IF(예비비!$R239="OK",SUMIFS(예비비!$O$430:$O$729,예비비!$B$430:$B$729,예비비!$A239,예비비!$E$430:$E$729,"&lt;"&amp;EDATE(BI$99,1),예비비!$F$430:$F$729,"결제대금비")+MAX(0,IF(예비비!$D239&lt;EDATE(BI$99,1),예비비!$E239,0)-SUMIFS(예비비!$O$430:$O$729,예비비!$B$430:$B$729,예비비!$A239,예비비!$E$430:$E$729,"&lt;"&amp;EDATE(BI$99,1))),0)</f>
        <v>0</v>
      </c>
      <c r="BJ239">
        <f>IF(예비비!$R239="OK",SUMIFS(예비비!$O$430:$O$729,예비비!$B$430:$B$729,예비비!$A239,예비비!$E$430:$E$729,"&lt;"&amp;EDATE(BJ$99,1),예비비!$F$430:$F$729,"결제대금비")+MAX(0,IF(예비비!$D239&lt;EDATE(BJ$99,1),예비비!$E239,0)-SUMIFS(예비비!$O$430:$O$729,예비비!$B$430:$B$729,예비비!$A239,예비비!$E$430:$E$729,"&lt;"&amp;EDATE(BJ$99,1))),0)</f>
        <v>0</v>
      </c>
      <c r="BK239">
        <f>IF(예비비!$R239="OK",SUMIFS(예비비!$O$430:$O$729,예비비!$B$430:$B$729,예비비!$A239,예비비!$E$430:$E$729,"&lt;"&amp;EDATE(BK$99,1),예비비!$F$430:$F$729,"결제대금비")+MAX(0,IF(예비비!$D239&lt;EDATE(BK$99,1),예비비!$E239,0)-SUMIFS(예비비!$O$430:$O$729,예비비!$B$430:$B$729,예비비!$A239,예비비!$E$430:$E$729,"&lt;"&amp;EDATE(BK$99,1))),0)</f>
        <v>0</v>
      </c>
      <c r="BL239">
        <f>IF(예비비!$R239="OK",SUMIFS(예비비!$O$430:$O$729,예비비!$B$430:$B$729,예비비!$A239,예비비!$E$430:$E$729,"&lt;"&amp;EDATE(BL$99,1),예비비!$F$430:$F$729,"결제대금비")+MAX(0,IF(예비비!$D239&lt;EDATE(BL$99,1),예비비!$E239,0)-SUMIFS(예비비!$O$430:$O$729,예비비!$B$430:$B$729,예비비!$A239,예비비!$E$430:$E$729,"&lt;"&amp;EDATE(BL$99,1))),0)</f>
        <v>0</v>
      </c>
      <c r="BM239">
        <f>IF(예비비!$R239="OK",SUMIFS(예비비!$O$430:$O$729,예비비!$B$430:$B$729,예비비!$A239,예비비!$E$430:$E$729,"&lt;"&amp;EDATE(BM$99,1),예비비!$F$430:$F$729,"결제대금비")+MAX(0,IF(예비비!$D239&lt;EDATE(BM$99,1),예비비!$E239,0)-SUMIFS(예비비!$O$430:$O$729,예비비!$B$430:$B$729,예비비!$A239,예비비!$E$430:$E$729,"&lt;"&amp;EDATE(BM$99,1))),0)</f>
        <v>0</v>
      </c>
      <c r="BN239">
        <f>IF(예비비!$R239="OK",SUMIFS(예비비!$O$430:$O$729,예비비!$B$430:$B$729,예비비!$A239,예비비!$E$430:$E$729,"&lt;"&amp;EDATE(BN$99,1),예비비!$F$430:$F$729,"결제대금비")+MAX(0,IF(예비비!$D239&lt;EDATE(BN$99,1),예비비!$E239,0)-SUMIFS(예비비!$O$430:$O$729,예비비!$B$430:$B$729,예비비!$A239,예비비!$E$430:$E$729,"&lt;"&amp;EDATE(BN$99,1))),0)</f>
        <v>0</v>
      </c>
      <c r="BO239">
        <f>IF(예비비!$R239="OK",SUMIFS(예비비!$O$430:$O$729,예비비!$B$430:$B$729,예비비!$A239,예비비!$E$430:$E$729,"&lt;"&amp;EDATE(BO$99,1),예비비!$F$430:$F$729,"결제대금비")+MAX(0,IF(예비비!$D239&lt;EDATE(BO$99,1),예비비!$E239,0)-SUMIFS(예비비!$O$430:$O$729,예비비!$B$430:$B$729,예비비!$A239,예비비!$E$430:$E$729,"&lt;"&amp;EDATE(BO$99,1))),0)</f>
        <v>0</v>
      </c>
      <c r="BP239">
        <f>IF(예비비!$R239="OK",SUMIFS(예비비!$O$430:$O$729,예비비!$B$430:$B$729,예비비!$A239,예비비!$E$430:$E$729,"&lt;"&amp;EDATE(BP$99,1),예비비!$F$430:$F$729,"결제대금비")+MAX(0,IF(예비비!$D239&lt;EDATE(BP$99,1),예비비!$E239,0)-SUMIFS(예비비!$O$430:$O$729,예비비!$B$430:$B$729,예비비!$A239,예비비!$E$430:$E$729,"&lt;"&amp;EDATE(BP$99,1))),0)</f>
        <v>0</v>
      </c>
      <c r="BQ239">
        <f>IF(예비비!$R239="OK",SUMIFS(예비비!$O$430:$O$729,예비비!$B$430:$B$729,예비비!$A239,예비비!$E$430:$E$729,"&lt;"&amp;EDATE(BQ$99,1),예비비!$F$430:$F$729,"결제대금비")+MAX(0,IF(예비비!$D239&lt;EDATE(BQ$99,1),예비비!$E239,0)-SUMIFS(예비비!$O$430:$O$729,예비비!$B$430:$B$729,예비비!$A239,예비비!$E$430:$E$729,"&lt;"&amp;EDATE(BQ$99,1))),0)</f>
        <v>0</v>
      </c>
      <c r="BR239">
        <f>IF(예비비!$R239="OK",SUMIFS(예비비!$O$430:$O$729,예비비!$B$430:$B$729,예비비!$A239,예비비!$E$430:$E$729,"&lt;"&amp;EDATE(BR$99,1),예비비!$F$430:$F$729,"결제대금비")+MAX(0,IF(예비비!$D239&lt;EDATE(BR$99,1),예비비!$E239,0)-SUMIFS(예비비!$O$430:$O$729,예비비!$B$430:$B$729,예비비!$A239,예비비!$E$430:$E$729,"&lt;"&amp;EDATE(BR$99,1))),0)</f>
        <v>0</v>
      </c>
      <c r="BS239">
        <f>IF(예비비!$R239="OK",SUMIFS(예비비!$O$430:$O$729,예비비!$B$430:$B$729,예비비!$A239,예비비!$E$430:$E$729,"&lt;"&amp;EDATE(BS$99,1),예비비!$F$430:$F$729,"결제대금비")+MAX(0,IF(예비비!$D239&lt;EDATE(BS$99,1),예비비!$E239,0)-SUMIFS(예비비!$O$430:$O$729,예비비!$B$430:$B$729,예비비!$A239,예비비!$E$430:$E$729,"&lt;"&amp;EDATE(BS$99,1))),0)</f>
        <v>0</v>
      </c>
      <c r="BT239">
        <f>IF(예비비!$R239="OK",SUMIFS(예비비!$O$430:$O$729,예비비!$B$430:$B$729,예비비!$A239,예비비!$E$430:$E$729,"&lt;"&amp;EDATE(BT$99,1),예비비!$F$430:$F$729,"결제대금비")+MAX(0,IF(예비비!$D239&lt;EDATE(BT$99,1),예비비!$E239,0)-SUMIFS(예비비!$O$430:$O$729,예비비!$B$430:$B$729,예비비!$A239,예비비!$E$430:$E$729,"&lt;"&amp;EDATE(BT$99,1))),0)</f>
        <v>0</v>
      </c>
      <c r="BU239">
        <f>IF(예비비!$R239="OK",SUMIFS(예비비!$O$430:$O$729,예비비!$B$430:$B$729,예비비!$A239,예비비!$E$430:$E$729,"&lt;"&amp;EDATE(BU$99,1),예비비!$F$430:$F$729,"결제대금비")+MAX(0,IF(예비비!$D239&lt;EDATE(BU$99,1),예비비!$E239,0)-SUMIFS(예비비!$O$430:$O$729,예비비!$B$430:$B$729,예비비!$A239,예비비!$E$430:$E$729,"&lt;"&amp;EDATE(BU$99,1))),0)</f>
        <v>0</v>
      </c>
    </row>
    <row r="240">
      <c r="BA240">
        <v>184</v>
      </c>
      <c r="BB240">
        <f>IFERROR(INDEX(잔액!$A:$A,BA240),0)</f>
        <v>46235.0</v>
      </c>
      <c r="BH240">
        <f>IFERROR(IF(AND(BB240&gt;0,OR(COUNTIFS(예비비!$C$430:$C$729,BA240,예비비!$N$430:$N$729,"OK")&gt;0,AND(INDEX(잔액!$J:$J,BA240)="가족통장",INDEX(잔액!$K:$K,BA240)="미래에셋_WRAP형CMA"),COUNTIF(예비비!$A$8:$A$12,INDEX(잔액!$C:$C,BA240))=1,COUNTIF(예비비!$A$8:$A$12,INDEX(잔액!$D:$D,BA240))=1),OR(AND(BB240&gt;=예비비!$B$3,BB240&lt;EDATE(예비비!$B$3,1)),AND(BB240&lt;EDATE(예비비!$B$3,1),COUNTIFS(예비비!$C$430:$C$729,BA240,예비비!$L$430:$L$729,예비비!$B$3,예비비!$N$430:$N$729,"OK")&gt;0))),MAX($BH$120:BH239)+1,0),0)</f>
        <v>0</v>
      </c>
      <c r="BI240">
        <f>IF(예비비!$R240="OK",SUMIFS(예비비!$O$430:$O$729,예비비!$B$430:$B$729,예비비!$A240,예비비!$E$430:$E$729,"&lt;"&amp;EDATE(BI$99,1),예비비!$F$430:$F$729,"결제대금비")+MAX(0,IF(예비비!$D240&lt;EDATE(BI$99,1),예비비!$E240,0)-SUMIFS(예비비!$O$430:$O$729,예비비!$B$430:$B$729,예비비!$A240,예비비!$E$430:$E$729,"&lt;"&amp;EDATE(BI$99,1))),0)</f>
        <v>0</v>
      </c>
      <c r="BJ240">
        <f>IF(예비비!$R240="OK",SUMIFS(예비비!$O$430:$O$729,예비비!$B$430:$B$729,예비비!$A240,예비비!$E$430:$E$729,"&lt;"&amp;EDATE(BJ$99,1),예비비!$F$430:$F$729,"결제대금비")+MAX(0,IF(예비비!$D240&lt;EDATE(BJ$99,1),예비비!$E240,0)-SUMIFS(예비비!$O$430:$O$729,예비비!$B$430:$B$729,예비비!$A240,예비비!$E$430:$E$729,"&lt;"&amp;EDATE(BJ$99,1))),0)</f>
        <v>0</v>
      </c>
      <c r="BK240">
        <f>IF(예비비!$R240="OK",SUMIFS(예비비!$O$430:$O$729,예비비!$B$430:$B$729,예비비!$A240,예비비!$E$430:$E$729,"&lt;"&amp;EDATE(BK$99,1),예비비!$F$430:$F$729,"결제대금비")+MAX(0,IF(예비비!$D240&lt;EDATE(BK$99,1),예비비!$E240,0)-SUMIFS(예비비!$O$430:$O$729,예비비!$B$430:$B$729,예비비!$A240,예비비!$E$430:$E$729,"&lt;"&amp;EDATE(BK$99,1))),0)</f>
        <v>0</v>
      </c>
      <c r="BL240">
        <f>IF(예비비!$R240="OK",SUMIFS(예비비!$O$430:$O$729,예비비!$B$430:$B$729,예비비!$A240,예비비!$E$430:$E$729,"&lt;"&amp;EDATE(BL$99,1),예비비!$F$430:$F$729,"결제대금비")+MAX(0,IF(예비비!$D240&lt;EDATE(BL$99,1),예비비!$E240,0)-SUMIFS(예비비!$O$430:$O$729,예비비!$B$430:$B$729,예비비!$A240,예비비!$E$430:$E$729,"&lt;"&amp;EDATE(BL$99,1))),0)</f>
        <v>0</v>
      </c>
      <c r="BM240">
        <f>IF(예비비!$R240="OK",SUMIFS(예비비!$O$430:$O$729,예비비!$B$430:$B$729,예비비!$A240,예비비!$E$430:$E$729,"&lt;"&amp;EDATE(BM$99,1),예비비!$F$430:$F$729,"결제대금비")+MAX(0,IF(예비비!$D240&lt;EDATE(BM$99,1),예비비!$E240,0)-SUMIFS(예비비!$O$430:$O$729,예비비!$B$430:$B$729,예비비!$A240,예비비!$E$430:$E$729,"&lt;"&amp;EDATE(BM$99,1))),0)</f>
        <v>0</v>
      </c>
      <c r="BN240">
        <f>IF(예비비!$R240="OK",SUMIFS(예비비!$O$430:$O$729,예비비!$B$430:$B$729,예비비!$A240,예비비!$E$430:$E$729,"&lt;"&amp;EDATE(BN$99,1),예비비!$F$430:$F$729,"결제대금비")+MAX(0,IF(예비비!$D240&lt;EDATE(BN$99,1),예비비!$E240,0)-SUMIFS(예비비!$O$430:$O$729,예비비!$B$430:$B$729,예비비!$A240,예비비!$E$430:$E$729,"&lt;"&amp;EDATE(BN$99,1))),0)</f>
        <v>0</v>
      </c>
      <c r="BO240">
        <f>IF(예비비!$R240="OK",SUMIFS(예비비!$O$430:$O$729,예비비!$B$430:$B$729,예비비!$A240,예비비!$E$430:$E$729,"&lt;"&amp;EDATE(BO$99,1),예비비!$F$430:$F$729,"결제대금비")+MAX(0,IF(예비비!$D240&lt;EDATE(BO$99,1),예비비!$E240,0)-SUMIFS(예비비!$O$430:$O$729,예비비!$B$430:$B$729,예비비!$A240,예비비!$E$430:$E$729,"&lt;"&amp;EDATE(BO$99,1))),0)</f>
        <v>0</v>
      </c>
      <c r="BP240">
        <f>IF(예비비!$R240="OK",SUMIFS(예비비!$O$430:$O$729,예비비!$B$430:$B$729,예비비!$A240,예비비!$E$430:$E$729,"&lt;"&amp;EDATE(BP$99,1),예비비!$F$430:$F$729,"결제대금비")+MAX(0,IF(예비비!$D240&lt;EDATE(BP$99,1),예비비!$E240,0)-SUMIFS(예비비!$O$430:$O$729,예비비!$B$430:$B$729,예비비!$A240,예비비!$E$430:$E$729,"&lt;"&amp;EDATE(BP$99,1))),0)</f>
        <v>0</v>
      </c>
      <c r="BQ240">
        <f>IF(예비비!$R240="OK",SUMIFS(예비비!$O$430:$O$729,예비비!$B$430:$B$729,예비비!$A240,예비비!$E$430:$E$729,"&lt;"&amp;EDATE(BQ$99,1),예비비!$F$430:$F$729,"결제대금비")+MAX(0,IF(예비비!$D240&lt;EDATE(BQ$99,1),예비비!$E240,0)-SUMIFS(예비비!$O$430:$O$729,예비비!$B$430:$B$729,예비비!$A240,예비비!$E$430:$E$729,"&lt;"&amp;EDATE(BQ$99,1))),0)</f>
        <v>0</v>
      </c>
      <c r="BR240">
        <f>IF(예비비!$R240="OK",SUMIFS(예비비!$O$430:$O$729,예비비!$B$430:$B$729,예비비!$A240,예비비!$E$430:$E$729,"&lt;"&amp;EDATE(BR$99,1),예비비!$F$430:$F$729,"결제대금비")+MAX(0,IF(예비비!$D240&lt;EDATE(BR$99,1),예비비!$E240,0)-SUMIFS(예비비!$O$430:$O$729,예비비!$B$430:$B$729,예비비!$A240,예비비!$E$430:$E$729,"&lt;"&amp;EDATE(BR$99,1))),0)</f>
        <v>0</v>
      </c>
      <c r="BS240">
        <f>IF(예비비!$R240="OK",SUMIFS(예비비!$O$430:$O$729,예비비!$B$430:$B$729,예비비!$A240,예비비!$E$430:$E$729,"&lt;"&amp;EDATE(BS$99,1),예비비!$F$430:$F$729,"결제대금비")+MAX(0,IF(예비비!$D240&lt;EDATE(BS$99,1),예비비!$E240,0)-SUMIFS(예비비!$O$430:$O$729,예비비!$B$430:$B$729,예비비!$A240,예비비!$E$430:$E$729,"&lt;"&amp;EDATE(BS$99,1))),0)</f>
        <v>0</v>
      </c>
      <c r="BT240">
        <f>IF(예비비!$R240="OK",SUMIFS(예비비!$O$430:$O$729,예비비!$B$430:$B$729,예비비!$A240,예비비!$E$430:$E$729,"&lt;"&amp;EDATE(BT$99,1),예비비!$F$430:$F$729,"결제대금비")+MAX(0,IF(예비비!$D240&lt;EDATE(BT$99,1),예비비!$E240,0)-SUMIFS(예비비!$O$430:$O$729,예비비!$B$430:$B$729,예비비!$A240,예비비!$E$430:$E$729,"&lt;"&amp;EDATE(BT$99,1))),0)</f>
        <v>0</v>
      </c>
      <c r="BU240">
        <f>IF(예비비!$R240="OK",SUMIFS(예비비!$O$430:$O$729,예비비!$B$430:$B$729,예비비!$A240,예비비!$E$430:$E$729,"&lt;"&amp;EDATE(BU$99,1),예비비!$F$430:$F$729,"결제대금비")+MAX(0,IF(예비비!$D240&lt;EDATE(BU$99,1),예비비!$E240,0)-SUMIFS(예비비!$O$430:$O$729,예비비!$B$430:$B$729,예비비!$A240,예비비!$E$430:$E$729,"&lt;"&amp;EDATE(BU$99,1))),0)</f>
        <v>0</v>
      </c>
    </row>
    <row r="241">
      <c r="BA241">
        <v>185</v>
      </c>
      <c r="BB241">
        <f>IFERROR(INDEX(잔액!$A:$A,BA241),0)</f>
        <v>46235.0</v>
      </c>
      <c r="BH241">
        <f>IFERROR(IF(AND(BB241&gt;0,OR(COUNTIFS(예비비!$C$430:$C$729,BA241,예비비!$N$430:$N$729,"OK")&gt;0,AND(INDEX(잔액!$J:$J,BA241)="가족통장",INDEX(잔액!$K:$K,BA241)="미래에셋_WRAP형CMA"),COUNTIF(예비비!$A$8:$A$12,INDEX(잔액!$C:$C,BA241))=1,COUNTIF(예비비!$A$8:$A$12,INDEX(잔액!$D:$D,BA241))=1),OR(AND(BB241&gt;=예비비!$B$3,BB241&lt;EDATE(예비비!$B$3,1)),AND(BB241&lt;EDATE(예비비!$B$3,1),COUNTIFS(예비비!$C$430:$C$729,BA241,예비비!$L$430:$L$729,예비비!$B$3,예비비!$N$430:$N$729,"OK")&gt;0))),MAX($BH$120:BH240)+1,0),0)</f>
        <v>0</v>
      </c>
      <c r="BI241">
        <f>IF(예비비!$R241="OK",SUMIFS(예비비!$O$430:$O$729,예비비!$B$430:$B$729,예비비!$A241,예비비!$E$430:$E$729,"&lt;"&amp;EDATE(BI$99,1),예비비!$F$430:$F$729,"결제대금비")+MAX(0,IF(예비비!$D241&lt;EDATE(BI$99,1),예비비!$E241,0)-SUMIFS(예비비!$O$430:$O$729,예비비!$B$430:$B$729,예비비!$A241,예비비!$E$430:$E$729,"&lt;"&amp;EDATE(BI$99,1))),0)</f>
        <v>0</v>
      </c>
      <c r="BJ241">
        <f>IF(예비비!$R241="OK",SUMIFS(예비비!$O$430:$O$729,예비비!$B$430:$B$729,예비비!$A241,예비비!$E$430:$E$729,"&lt;"&amp;EDATE(BJ$99,1),예비비!$F$430:$F$729,"결제대금비")+MAX(0,IF(예비비!$D241&lt;EDATE(BJ$99,1),예비비!$E241,0)-SUMIFS(예비비!$O$430:$O$729,예비비!$B$430:$B$729,예비비!$A241,예비비!$E$430:$E$729,"&lt;"&amp;EDATE(BJ$99,1))),0)</f>
        <v>0</v>
      </c>
      <c r="BK241">
        <f>IF(예비비!$R241="OK",SUMIFS(예비비!$O$430:$O$729,예비비!$B$430:$B$729,예비비!$A241,예비비!$E$430:$E$729,"&lt;"&amp;EDATE(BK$99,1),예비비!$F$430:$F$729,"결제대금비")+MAX(0,IF(예비비!$D241&lt;EDATE(BK$99,1),예비비!$E241,0)-SUMIFS(예비비!$O$430:$O$729,예비비!$B$430:$B$729,예비비!$A241,예비비!$E$430:$E$729,"&lt;"&amp;EDATE(BK$99,1))),0)</f>
        <v>0</v>
      </c>
      <c r="BL241">
        <f>IF(예비비!$R241="OK",SUMIFS(예비비!$O$430:$O$729,예비비!$B$430:$B$729,예비비!$A241,예비비!$E$430:$E$729,"&lt;"&amp;EDATE(BL$99,1),예비비!$F$430:$F$729,"결제대금비")+MAX(0,IF(예비비!$D241&lt;EDATE(BL$99,1),예비비!$E241,0)-SUMIFS(예비비!$O$430:$O$729,예비비!$B$430:$B$729,예비비!$A241,예비비!$E$430:$E$729,"&lt;"&amp;EDATE(BL$99,1))),0)</f>
        <v>0</v>
      </c>
      <c r="BM241">
        <f>IF(예비비!$R241="OK",SUMIFS(예비비!$O$430:$O$729,예비비!$B$430:$B$729,예비비!$A241,예비비!$E$430:$E$729,"&lt;"&amp;EDATE(BM$99,1),예비비!$F$430:$F$729,"결제대금비")+MAX(0,IF(예비비!$D241&lt;EDATE(BM$99,1),예비비!$E241,0)-SUMIFS(예비비!$O$430:$O$729,예비비!$B$430:$B$729,예비비!$A241,예비비!$E$430:$E$729,"&lt;"&amp;EDATE(BM$99,1))),0)</f>
        <v>0</v>
      </c>
      <c r="BN241">
        <f>IF(예비비!$R241="OK",SUMIFS(예비비!$O$430:$O$729,예비비!$B$430:$B$729,예비비!$A241,예비비!$E$430:$E$729,"&lt;"&amp;EDATE(BN$99,1),예비비!$F$430:$F$729,"결제대금비")+MAX(0,IF(예비비!$D241&lt;EDATE(BN$99,1),예비비!$E241,0)-SUMIFS(예비비!$O$430:$O$729,예비비!$B$430:$B$729,예비비!$A241,예비비!$E$430:$E$729,"&lt;"&amp;EDATE(BN$99,1))),0)</f>
        <v>0</v>
      </c>
      <c r="BO241">
        <f>IF(예비비!$R241="OK",SUMIFS(예비비!$O$430:$O$729,예비비!$B$430:$B$729,예비비!$A241,예비비!$E$430:$E$729,"&lt;"&amp;EDATE(BO$99,1),예비비!$F$430:$F$729,"결제대금비")+MAX(0,IF(예비비!$D241&lt;EDATE(BO$99,1),예비비!$E241,0)-SUMIFS(예비비!$O$430:$O$729,예비비!$B$430:$B$729,예비비!$A241,예비비!$E$430:$E$729,"&lt;"&amp;EDATE(BO$99,1))),0)</f>
        <v>0</v>
      </c>
      <c r="BP241">
        <f>IF(예비비!$R241="OK",SUMIFS(예비비!$O$430:$O$729,예비비!$B$430:$B$729,예비비!$A241,예비비!$E$430:$E$729,"&lt;"&amp;EDATE(BP$99,1),예비비!$F$430:$F$729,"결제대금비")+MAX(0,IF(예비비!$D241&lt;EDATE(BP$99,1),예비비!$E241,0)-SUMIFS(예비비!$O$430:$O$729,예비비!$B$430:$B$729,예비비!$A241,예비비!$E$430:$E$729,"&lt;"&amp;EDATE(BP$99,1))),0)</f>
        <v>0</v>
      </c>
      <c r="BQ241">
        <f>IF(예비비!$R241="OK",SUMIFS(예비비!$O$430:$O$729,예비비!$B$430:$B$729,예비비!$A241,예비비!$E$430:$E$729,"&lt;"&amp;EDATE(BQ$99,1),예비비!$F$430:$F$729,"결제대금비")+MAX(0,IF(예비비!$D241&lt;EDATE(BQ$99,1),예비비!$E241,0)-SUMIFS(예비비!$O$430:$O$729,예비비!$B$430:$B$729,예비비!$A241,예비비!$E$430:$E$729,"&lt;"&amp;EDATE(BQ$99,1))),0)</f>
        <v>0</v>
      </c>
      <c r="BR241">
        <f>IF(예비비!$R241="OK",SUMIFS(예비비!$O$430:$O$729,예비비!$B$430:$B$729,예비비!$A241,예비비!$E$430:$E$729,"&lt;"&amp;EDATE(BR$99,1),예비비!$F$430:$F$729,"결제대금비")+MAX(0,IF(예비비!$D241&lt;EDATE(BR$99,1),예비비!$E241,0)-SUMIFS(예비비!$O$430:$O$729,예비비!$B$430:$B$729,예비비!$A241,예비비!$E$430:$E$729,"&lt;"&amp;EDATE(BR$99,1))),0)</f>
        <v>0</v>
      </c>
      <c r="BS241">
        <f>IF(예비비!$R241="OK",SUMIFS(예비비!$O$430:$O$729,예비비!$B$430:$B$729,예비비!$A241,예비비!$E$430:$E$729,"&lt;"&amp;EDATE(BS$99,1),예비비!$F$430:$F$729,"결제대금비")+MAX(0,IF(예비비!$D241&lt;EDATE(BS$99,1),예비비!$E241,0)-SUMIFS(예비비!$O$430:$O$729,예비비!$B$430:$B$729,예비비!$A241,예비비!$E$430:$E$729,"&lt;"&amp;EDATE(BS$99,1))),0)</f>
        <v>0</v>
      </c>
      <c r="BT241">
        <f>IF(예비비!$R241="OK",SUMIFS(예비비!$O$430:$O$729,예비비!$B$430:$B$729,예비비!$A241,예비비!$E$430:$E$729,"&lt;"&amp;EDATE(BT$99,1),예비비!$F$430:$F$729,"결제대금비")+MAX(0,IF(예비비!$D241&lt;EDATE(BT$99,1),예비비!$E241,0)-SUMIFS(예비비!$O$430:$O$729,예비비!$B$430:$B$729,예비비!$A241,예비비!$E$430:$E$729,"&lt;"&amp;EDATE(BT$99,1))),0)</f>
        <v>0</v>
      </c>
      <c r="BU241">
        <f>IF(예비비!$R241="OK",SUMIFS(예비비!$O$430:$O$729,예비비!$B$430:$B$729,예비비!$A241,예비비!$E$430:$E$729,"&lt;"&amp;EDATE(BU$99,1),예비비!$F$430:$F$729,"결제대금비")+MAX(0,IF(예비비!$D241&lt;EDATE(BU$99,1),예비비!$E241,0)-SUMIFS(예비비!$O$430:$O$729,예비비!$B$430:$B$729,예비비!$A241,예비비!$E$430:$E$729,"&lt;"&amp;EDATE(BU$99,1))),0)</f>
        <v>0</v>
      </c>
    </row>
    <row r="242">
      <c r="BA242">
        <v>186</v>
      </c>
      <c r="BB242">
        <f>IFERROR(INDEX(잔액!$A:$A,BA242),0)</f>
        <v>46235.0</v>
      </c>
      <c r="BH242">
        <f>IFERROR(IF(AND(BB242&gt;0,OR(COUNTIFS(예비비!$C$430:$C$729,BA242,예비비!$N$430:$N$729,"OK")&gt;0,AND(INDEX(잔액!$J:$J,BA242)="가족통장",INDEX(잔액!$K:$K,BA242)="미래에셋_WRAP형CMA"),COUNTIF(예비비!$A$8:$A$12,INDEX(잔액!$C:$C,BA242))=1,COUNTIF(예비비!$A$8:$A$12,INDEX(잔액!$D:$D,BA242))=1),OR(AND(BB242&gt;=예비비!$B$3,BB242&lt;EDATE(예비비!$B$3,1)),AND(BB242&lt;EDATE(예비비!$B$3,1),COUNTIFS(예비비!$C$430:$C$729,BA242,예비비!$L$430:$L$729,예비비!$B$3,예비비!$N$430:$N$729,"OK")&gt;0))),MAX($BH$120:BH241)+1,0),0)</f>
        <v>0</v>
      </c>
      <c r="BI242">
        <f>IF(예비비!$R242="OK",SUMIFS(예비비!$O$430:$O$729,예비비!$B$430:$B$729,예비비!$A242,예비비!$E$430:$E$729,"&lt;"&amp;EDATE(BI$99,1),예비비!$F$430:$F$729,"결제대금비")+MAX(0,IF(예비비!$D242&lt;EDATE(BI$99,1),예비비!$E242,0)-SUMIFS(예비비!$O$430:$O$729,예비비!$B$430:$B$729,예비비!$A242,예비비!$E$430:$E$729,"&lt;"&amp;EDATE(BI$99,1))),0)</f>
        <v>0</v>
      </c>
      <c r="BJ242">
        <f>IF(예비비!$R242="OK",SUMIFS(예비비!$O$430:$O$729,예비비!$B$430:$B$729,예비비!$A242,예비비!$E$430:$E$729,"&lt;"&amp;EDATE(BJ$99,1),예비비!$F$430:$F$729,"결제대금비")+MAX(0,IF(예비비!$D242&lt;EDATE(BJ$99,1),예비비!$E242,0)-SUMIFS(예비비!$O$430:$O$729,예비비!$B$430:$B$729,예비비!$A242,예비비!$E$430:$E$729,"&lt;"&amp;EDATE(BJ$99,1))),0)</f>
        <v>0</v>
      </c>
      <c r="BK242">
        <f>IF(예비비!$R242="OK",SUMIFS(예비비!$O$430:$O$729,예비비!$B$430:$B$729,예비비!$A242,예비비!$E$430:$E$729,"&lt;"&amp;EDATE(BK$99,1),예비비!$F$430:$F$729,"결제대금비")+MAX(0,IF(예비비!$D242&lt;EDATE(BK$99,1),예비비!$E242,0)-SUMIFS(예비비!$O$430:$O$729,예비비!$B$430:$B$729,예비비!$A242,예비비!$E$430:$E$729,"&lt;"&amp;EDATE(BK$99,1))),0)</f>
        <v>0</v>
      </c>
      <c r="BL242">
        <f>IF(예비비!$R242="OK",SUMIFS(예비비!$O$430:$O$729,예비비!$B$430:$B$729,예비비!$A242,예비비!$E$430:$E$729,"&lt;"&amp;EDATE(BL$99,1),예비비!$F$430:$F$729,"결제대금비")+MAX(0,IF(예비비!$D242&lt;EDATE(BL$99,1),예비비!$E242,0)-SUMIFS(예비비!$O$430:$O$729,예비비!$B$430:$B$729,예비비!$A242,예비비!$E$430:$E$729,"&lt;"&amp;EDATE(BL$99,1))),0)</f>
        <v>0</v>
      </c>
      <c r="BM242">
        <f>IF(예비비!$R242="OK",SUMIFS(예비비!$O$430:$O$729,예비비!$B$430:$B$729,예비비!$A242,예비비!$E$430:$E$729,"&lt;"&amp;EDATE(BM$99,1),예비비!$F$430:$F$729,"결제대금비")+MAX(0,IF(예비비!$D242&lt;EDATE(BM$99,1),예비비!$E242,0)-SUMIFS(예비비!$O$430:$O$729,예비비!$B$430:$B$729,예비비!$A242,예비비!$E$430:$E$729,"&lt;"&amp;EDATE(BM$99,1))),0)</f>
        <v>0</v>
      </c>
      <c r="BN242">
        <f>IF(예비비!$R242="OK",SUMIFS(예비비!$O$430:$O$729,예비비!$B$430:$B$729,예비비!$A242,예비비!$E$430:$E$729,"&lt;"&amp;EDATE(BN$99,1),예비비!$F$430:$F$729,"결제대금비")+MAX(0,IF(예비비!$D242&lt;EDATE(BN$99,1),예비비!$E242,0)-SUMIFS(예비비!$O$430:$O$729,예비비!$B$430:$B$729,예비비!$A242,예비비!$E$430:$E$729,"&lt;"&amp;EDATE(BN$99,1))),0)</f>
        <v>0</v>
      </c>
      <c r="BO242">
        <f>IF(예비비!$R242="OK",SUMIFS(예비비!$O$430:$O$729,예비비!$B$430:$B$729,예비비!$A242,예비비!$E$430:$E$729,"&lt;"&amp;EDATE(BO$99,1),예비비!$F$430:$F$729,"결제대금비")+MAX(0,IF(예비비!$D242&lt;EDATE(BO$99,1),예비비!$E242,0)-SUMIFS(예비비!$O$430:$O$729,예비비!$B$430:$B$729,예비비!$A242,예비비!$E$430:$E$729,"&lt;"&amp;EDATE(BO$99,1))),0)</f>
        <v>0</v>
      </c>
      <c r="BP242">
        <f>IF(예비비!$R242="OK",SUMIFS(예비비!$O$430:$O$729,예비비!$B$430:$B$729,예비비!$A242,예비비!$E$430:$E$729,"&lt;"&amp;EDATE(BP$99,1),예비비!$F$430:$F$729,"결제대금비")+MAX(0,IF(예비비!$D242&lt;EDATE(BP$99,1),예비비!$E242,0)-SUMIFS(예비비!$O$430:$O$729,예비비!$B$430:$B$729,예비비!$A242,예비비!$E$430:$E$729,"&lt;"&amp;EDATE(BP$99,1))),0)</f>
        <v>0</v>
      </c>
      <c r="BQ242">
        <f>IF(예비비!$R242="OK",SUMIFS(예비비!$O$430:$O$729,예비비!$B$430:$B$729,예비비!$A242,예비비!$E$430:$E$729,"&lt;"&amp;EDATE(BQ$99,1),예비비!$F$430:$F$729,"결제대금비")+MAX(0,IF(예비비!$D242&lt;EDATE(BQ$99,1),예비비!$E242,0)-SUMIFS(예비비!$O$430:$O$729,예비비!$B$430:$B$729,예비비!$A242,예비비!$E$430:$E$729,"&lt;"&amp;EDATE(BQ$99,1))),0)</f>
        <v>0</v>
      </c>
      <c r="BR242">
        <f>IF(예비비!$R242="OK",SUMIFS(예비비!$O$430:$O$729,예비비!$B$430:$B$729,예비비!$A242,예비비!$E$430:$E$729,"&lt;"&amp;EDATE(BR$99,1),예비비!$F$430:$F$729,"결제대금비")+MAX(0,IF(예비비!$D242&lt;EDATE(BR$99,1),예비비!$E242,0)-SUMIFS(예비비!$O$430:$O$729,예비비!$B$430:$B$729,예비비!$A242,예비비!$E$430:$E$729,"&lt;"&amp;EDATE(BR$99,1))),0)</f>
        <v>0</v>
      </c>
      <c r="BS242">
        <f>IF(예비비!$R242="OK",SUMIFS(예비비!$O$430:$O$729,예비비!$B$430:$B$729,예비비!$A242,예비비!$E$430:$E$729,"&lt;"&amp;EDATE(BS$99,1),예비비!$F$430:$F$729,"결제대금비")+MAX(0,IF(예비비!$D242&lt;EDATE(BS$99,1),예비비!$E242,0)-SUMIFS(예비비!$O$430:$O$729,예비비!$B$430:$B$729,예비비!$A242,예비비!$E$430:$E$729,"&lt;"&amp;EDATE(BS$99,1))),0)</f>
        <v>0</v>
      </c>
      <c r="BT242">
        <f>IF(예비비!$R242="OK",SUMIFS(예비비!$O$430:$O$729,예비비!$B$430:$B$729,예비비!$A242,예비비!$E$430:$E$729,"&lt;"&amp;EDATE(BT$99,1),예비비!$F$430:$F$729,"결제대금비")+MAX(0,IF(예비비!$D242&lt;EDATE(BT$99,1),예비비!$E242,0)-SUMIFS(예비비!$O$430:$O$729,예비비!$B$430:$B$729,예비비!$A242,예비비!$E$430:$E$729,"&lt;"&amp;EDATE(BT$99,1))),0)</f>
        <v>0</v>
      </c>
      <c r="BU242">
        <f>IF(예비비!$R242="OK",SUMIFS(예비비!$O$430:$O$729,예비비!$B$430:$B$729,예비비!$A242,예비비!$E$430:$E$729,"&lt;"&amp;EDATE(BU$99,1),예비비!$F$430:$F$729,"결제대금비")+MAX(0,IF(예비비!$D242&lt;EDATE(BU$99,1),예비비!$E242,0)-SUMIFS(예비비!$O$430:$O$729,예비비!$B$430:$B$729,예비비!$A242,예비비!$E$430:$E$729,"&lt;"&amp;EDATE(BU$99,1))),0)</f>
        <v>0</v>
      </c>
    </row>
    <row r="243">
      <c r="BA243">
        <v>187</v>
      </c>
      <c r="BB243">
        <f>IFERROR(INDEX(잔액!$A:$A,BA243),0)</f>
        <v>46235.0</v>
      </c>
      <c r="BH243">
        <f>IFERROR(IF(AND(BB243&gt;0,OR(COUNTIFS(예비비!$C$430:$C$729,BA243,예비비!$N$430:$N$729,"OK")&gt;0,AND(INDEX(잔액!$J:$J,BA243)="가족통장",INDEX(잔액!$K:$K,BA243)="미래에셋_WRAP형CMA"),COUNTIF(예비비!$A$8:$A$12,INDEX(잔액!$C:$C,BA243))=1,COUNTIF(예비비!$A$8:$A$12,INDEX(잔액!$D:$D,BA243))=1),OR(AND(BB243&gt;=예비비!$B$3,BB243&lt;EDATE(예비비!$B$3,1)),AND(BB243&lt;EDATE(예비비!$B$3,1),COUNTIFS(예비비!$C$430:$C$729,BA243,예비비!$L$430:$L$729,예비비!$B$3,예비비!$N$430:$N$729,"OK")&gt;0))),MAX($BH$120:BH242)+1,0),0)</f>
        <v>0</v>
      </c>
      <c r="BI243">
        <f>IF(예비비!$R243="OK",SUMIFS(예비비!$O$430:$O$729,예비비!$B$430:$B$729,예비비!$A243,예비비!$E$430:$E$729,"&lt;"&amp;EDATE(BI$99,1),예비비!$F$430:$F$729,"결제대금비")+MAX(0,IF(예비비!$D243&lt;EDATE(BI$99,1),예비비!$E243,0)-SUMIFS(예비비!$O$430:$O$729,예비비!$B$430:$B$729,예비비!$A243,예비비!$E$430:$E$729,"&lt;"&amp;EDATE(BI$99,1))),0)</f>
        <v>0</v>
      </c>
      <c r="BJ243">
        <f>IF(예비비!$R243="OK",SUMIFS(예비비!$O$430:$O$729,예비비!$B$430:$B$729,예비비!$A243,예비비!$E$430:$E$729,"&lt;"&amp;EDATE(BJ$99,1),예비비!$F$430:$F$729,"결제대금비")+MAX(0,IF(예비비!$D243&lt;EDATE(BJ$99,1),예비비!$E243,0)-SUMIFS(예비비!$O$430:$O$729,예비비!$B$430:$B$729,예비비!$A243,예비비!$E$430:$E$729,"&lt;"&amp;EDATE(BJ$99,1))),0)</f>
        <v>0</v>
      </c>
      <c r="BK243">
        <f>IF(예비비!$R243="OK",SUMIFS(예비비!$O$430:$O$729,예비비!$B$430:$B$729,예비비!$A243,예비비!$E$430:$E$729,"&lt;"&amp;EDATE(BK$99,1),예비비!$F$430:$F$729,"결제대금비")+MAX(0,IF(예비비!$D243&lt;EDATE(BK$99,1),예비비!$E243,0)-SUMIFS(예비비!$O$430:$O$729,예비비!$B$430:$B$729,예비비!$A243,예비비!$E$430:$E$729,"&lt;"&amp;EDATE(BK$99,1))),0)</f>
        <v>0</v>
      </c>
      <c r="BL243">
        <f>IF(예비비!$R243="OK",SUMIFS(예비비!$O$430:$O$729,예비비!$B$430:$B$729,예비비!$A243,예비비!$E$430:$E$729,"&lt;"&amp;EDATE(BL$99,1),예비비!$F$430:$F$729,"결제대금비")+MAX(0,IF(예비비!$D243&lt;EDATE(BL$99,1),예비비!$E243,0)-SUMIFS(예비비!$O$430:$O$729,예비비!$B$430:$B$729,예비비!$A243,예비비!$E$430:$E$729,"&lt;"&amp;EDATE(BL$99,1))),0)</f>
        <v>0</v>
      </c>
      <c r="BM243">
        <f>IF(예비비!$R243="OK",SUMIFS(예비비!$O$430:$O$729,예비비!$B$430:$B$729,예비비!$A243,예비비!$E$430:$E$729,"&lt;"&amp;EDATE(BM$99,1),예비비!$F$430:$F$729,"결제대금비")+MAX(0,IF(예비비!$D243&lt;EDATE(BM$99,1),예비비!$E243,0)-SUMIFS(예비비!$O$430:$O$729,예비비!$B$430:$B$729,예비비!$A243,예비비!$E$430:$E$729,"&lt;"&amp;EDATE(BM$99,1))),0)</f>
        <v>0</v>
      </c>
      <c r="BN243">
        <f>IF(예비비!$R243="OK",SUMIFS(예비비!$O$430:$O$729,예비비!$B$430:$B$729,예비비!$A243,예비비!$E$430:$E$729,"&lt;"&amp;EDATE(BN$99,1),예비비!$F$430:$F$729,"결제대금비")+MAX(0,IF(예비비!$D243&lt;EDATE(BN$99,1),예비비!$E243,0)-SUMIFS(예비비!$O$430:$O$729,예비비!$B$430:$B$729,예비비!$A243,예비비!$E$430:$E$729,"&lt;"&amp;EDATE(BN$99,1))),0)</f>
        <v>0</v>
      </c>
      <c r="BO243">
        <f>IF(예비비!$R243="OK",SUMIFS(예비비!$O$430:$O$729,예비비!$B$430:$B$729,예비비!$A243,예비비!$E$430:$E$729,"&lt;"&amp;EDATE(BO$99,1),예비비!$F$430:$F$729,"결제대금비")+MAX(0,IF(예비비!$D243&lt;EDATE(BO$99,1),예비비!$E243,0)-SUMIFS(예비비!$O$430:$O$729,예비비!$B$430:$B$729,예비비!$A243,예비비!$E$430:$E$729,"&lt;"&amp;EDATE(BO$99,1))),0)</f>
        <v>0</v>
      </c>
      <c r="BP243">
        <f>IF(예비비!$R243="OK",SUMIFS(예비비!$O$430:$O$729,예비비!$B$430:$B$729,예비비!$A243,예비비!$E$430:$E$729,"&lt;"&amp;EDATE(BP$99,1),예비비!$F$430:$F$729,"결제대금비")+MAX(0,IF(예비비!$D243&lt;EDATE(BP$99,1),예비비!$E243,0)-SUMIFS(예비비!$O$430:$O$729,예비비!$B$430:$B$729,예비비!$A243,예비비!$E$430:$E$729,"&lt;"&amp;EDATE(BP$99,1))),0)</f>
        <v>0</v>
      </c>
      <c r="BQ243">
        <f>IF(예비비!$R243="OK",SUMIFS(예비비!$O$430:$O$729,예비비!$B$430:$B$729,예비비!$A243,예비비!$E$430:$E$729,"&lt;"&amp;EDATE(BQ$99,1),예비비!$F$430:$F$729,"결제대금비")+MAX(0,IF(예비비!$D243&lt;EDATE(BQ$99,1),예비비!$E243,0)-SUMIFS(예비비!$O$430:$O$729,예비비!$B$430:$B$729,예비비!$A243,예비비!$E$430:$E$729,"&lt;"&amp;EDATE(BQ$99,1))),0)</f>
        <v>0</v>
      </c>
      <c r="BR243">
        <f>IF(예비비!$R243="OK",SUMIFS(예비비!$O$430:$O$729,예비비!$B$430:$B$729,예비비!$A243,예비비!$E$430:$E$729,"&lt;"&amp;EDATE(BR$99,1),예비비!$F$430:$F$729,"결제대금비")+MAX(0,IF(예비비!$D243&lt;EDATE(BR$99,1),예비비!$E243,0)-SUMIFS(예비비!$O$430:$O$729,예비비!$B$430:$B$729,예비비!$A243,예비비!$E$430:$E$729,"&lt;"&amp;EDATE(BR$99,1))),0)</f>
        <v>0</v>
      </c>
      <c r="BS243">
        <f>IF(예비비!$R243="OK",SUMIFS(예비비!$O$430:$O$729,예비비!$B$430:$B$729,예비비!$A243,예비비!$E$430:$E$729,"&lt;"&amp;EDATE(BS$99,1),예비비!$F$430:$F$729,"결제대금비")+MAX(0,IF(예비비!$D243&lt;EDATE(BS$99,1),예비비!$E243,0)-SUMIFS(예비비!$O$430:$O$729,예비비!$B$430:$B$729,예비비!$A243,예비비!$E$430:$E$729,"&lt;"&amp;EDATE(BS$99,1))),0)</f>
        <v>0</v>
      </c>
      <c r="BT243">
        <f>IF(예비비!$R243="OK",SUMIFS(예비비!$O$430:$O$729,예비비!$B$430:$B$729,예비비!$A243,예비비!$E$430:$E$729,"&lt;"&amp;EDATE(BT$99,1),예비비!$F$430:$F$729,"결제대금비")+MAX(0,IF(예비비!$D243&lt;EDATE(BT$99,1),예비비!$E243,0)-SUMIFS(예비비!$O$430:$O$729,예비비!$B$430:$B$729,예비비!$A243,예비비!$E$430:$E$729,"&lt;"&amp;EDATE(BT$99,1))),0)</f>
        <v>0</v>
      </c>
      <c r="BU243">
        <f>IF(예비비!$R243="OK",SUMIFS(예비비!$O$430:$O$729,예비비!$B$430:$B$729,예비비!$A243,예비비!$E$430:$E$729,"&lt;"&amp;EDATE(BU$99,1),예비비!$F$430:$F$729,"결제대금비")+MAX(0,IF(예비비!$D243&lt;EDATE(BU$99,1),예비비!$E243,0)-SUMIFS(예비비!$O$430:$O$729,예비비!$B$430:$B$729,예비비!$A243,예비비!$E$430:$E$729,"&lt;"&amp;EDATE(BU$99,1))),0)</f>
        <v>0</v>
      </c>
    </row>
    <row r="244">
      <c r="BA244">
        <v>188</v>
      </c>
      <c r="BB244">
        <f>IFERROR(INDEX(잔액!$A:$A,BA244),0)</f>
        <v>46235.0</v>
      </c>
      <c r="BH244">
        <f>IFERROR(IF(AND(BB244&gt;0,OR(COUNTIFS(예비비!$C$430:$C$729,BA244,예비비!$N$430:$N$729,"OK")&gt;0,AND(INDEX(잔액!$J:$J,BA244)="가족통장",INDEX(잔액!$K:$K,BA244)="미래에셋_WRAP형CMA"),COUNTIF(예비비!$A$8:$A$12,INDEX(잔액!$C:$C,BA244))=1,COUNTIF(예비비!$A$8:$A$12,INDEX(잔액!$D:$D,BA244))=1),OR(AND(BB244&gt;=예비비!$B$3,BB244&lt;EDATE(예비비!$B$3,1)),AND(BB244&lt;EDATE(예비비!$B$3,1),COUNTIFS(예비비!$C$430:$C$729,BA244,예비비!$L$430:$L$729,예비비!$B$3,예비비!$N$430:$N$729,"OK")&gt;0))),MAX($BH$120:BH243)+1,0),0)</f>
        <v>0</v>
      </c>
      <c r="BI244">
        <f>IF(예비비!$R244="OK",SUMIFS(예비비!$O$430:$O$729,예비비!$B$430:$B$729,예비비!$A244,예비비!$E$430:$E$729,"&lt;"&amp;EDATE(BI$99,1),예비비!$F$430:$F$729,"결제대금비")+MAX(0,IF(예비비!$D244&lt;EDATE(BI$99,1),예비비!$E244,0)-SUMIFS(예비비!$O$430:$O$729,예비비!$B$430:$B$729,예비비!$A244,예비비!$E$430:$E$729,"&lt;"&amp;EDATE(BI$99,1))),0)</f>
        <v>0</v>
      </c>
      <c r="BJ244">
        <f>IF(예비비!$R244="OK",SUMIFS(예비비!$O$430:$O$729,예비비!$B$430:$B$729,예비비!$A244,예비비!$E$430:$E$729,"&lt;"&amp;EDATE(BJ$99,1),예비비!$F$430:$F$729,"결제대금비")+MAX(0,IF(예비비!$D244&lt;EDATE(BJ$99,1),예비비!$E244,0)-SUMIFS(예비비!$O$430:$O$729,예비비!$B$430:$B$729,예비비!$A244,예비비!$E$430:$E$729,"&lt;"&amp;EDATE(BJ$99,1))),0)</f>
        <v>0</v>
      </c>
      <c r="BK244">
        <f>IF(예비비!$R244="OK",SUMIFS(예비비!$O$430:$O$729,예비비!$B$430:$B$729,예비비!$A244,예비비!$E$430:$E$729,"&lt;"&amp;EDATE(BK$99,1),예비비!$F$430:$F$729,"결제대금비")+MAX(0,IF(예비비!$D244&lt;EDATE(BK$99,1),예비비!$E244,0)-SUMIFS(예비비!$O$430:$O$729,예비비!$B$430:$B$729,예비비!$A244,예비비!$E$430:$E$729,"&lt;"&amp;EDATE(BK$99,1))),0)</f>
        <v>0</v>
      </c>
      <c r="BL244">
        <f>IF(예비비!$R244="OK",SUMIFS(예비비!$O$430:$O$729,예비비!$B$430:$B$729,예비비!$A244,예비비!$E$430:$E$729,"&lt;"&amp;EDATE(BL$99,1),예비비!$F$430:$F$729,"결제대금비")+MAX(0,IF(예비비!$D244&lt;EDATE(BL$99,1),예비비!$E244,0)-SUMIFS(예비비!$O$430:$O$729,예비비!$B$430:$B$729,예비비!$A244,예비비!$E$430:$E$729,"&lt;"&amp;EDATE(BL$99,1))),0)</f>
        <v>0</v>
      </c>
      <c r="BM244">
        <f>IF(예비비!$R244="OK",SUMIFS(예비비!$O$430:$O$729,예비비!$B$430:$B$729,예비비!$A244,예비비!$E$430:$E$729,"&lt;"&amp;EDATE(BM$99,1),예비비!$F$430:$F$729,"결제대금비")+MAX(0,IF(예비비!$D244&lt;EDATE(BM$99,1),예비비!$E244,0)-SUMIFS(예비비!$O$430:$O$729,예비비!$B$430:$B$729,예비비!$A244,예비비!$E$430:$E$729,"&lt;"&amp;EDATE(BM$99,1))),0)</f>
        <v>0</v>
      </c>
      <c r="BN244">
        <f>IF(예비비!$R244="OK",SUMIFS(예비비!$O$430:$O$729,예비비!$B$430:$B$729,예비비!$A244,예비비!$E$430:$E$729,"&lt;"&amp;EDATE(BN$99,1),예비비!$F$430:$F$729,"결제대금비")+MAX(0,IF(예비비!$D244&lt;EDATE(BN$99,1),예비비!$E244,0)-SUMIFS(예비비!$O$430:$O$729,예비비!$B$430:$B$729,예비비!$A244,예비비!$E$430:$E$729,"&lt;"&amp;EDATE(BN$99,1))),0)</f>
        <v>0</v>
      </c>
      <c r="BO244">
        <f>IF(예비비!$R244="OK",SUMIFS(예비비!$O$430:$O$729,예비비!$B$430:$B$729,예비비!$A244,예비비!$E$430:$E$729,"&lt;"&amp;EDATE(BO$99,1),예비비!$F$430:$F$729,"결제대금비")+MAX(0,IF(예비비!$D244&lt;EDATE(BO$99,1),예비비!$E244,0)-SUMIFS(예비비!$O$430:$O$729,예비비!$B$430:$B$729,예비비!$A244,예비비!$E$430:$E$729,"&lt;"&amp;EDATE(BO$99,1))),0)</f>
        <v>0</v>
      </c>
      <c r="BP244">
        <f>IF(예비비!$R244="OK",SUMIFS(예비비!$O$430:$O$729,예비비!$B$430:$B$729,예비비!$A244,예비비!$E$430:$E$729,"&lt;"&amp;EDATE(BP$99,1),예비비!$F$430:$F$729,"결제대금비")+MAX(0,IF(예비비!$D244&lt;EDATE(BP$99,1),예비비!$E244,0)-SUMIFS(예비비!$O$430:$O$729,예비비!$B$430:$B$729,예비비!$A244,예비비!$E$430:$E$729,"&lt;"&amp;EDATE(BP$99,1))),0)</f>
        <v>0</v>
      </c>
      <c r="BQ244">
        <f>IF(예비비!$R244="OK",SUMIFS(예비비!$O$430:$O$729,예비비!$B$430:$B$729,예비비!$A244,예비비!$E$430:$E$729,"&lt;"&amp;EDATE(BQ$99,1),예비비!$F$430:$F$729,"결제대금비")+MAX(0,IF(예비비!$D244&lt;EDATE(BQ$99,1),예비비!$E244,0)-SUMIFS(예비비!$O$430:$O$729,예비비!$B$430:$B$729,예비비!$A244,예비비!$E$430:$E$729,"&lt;"&amp;EDATE(BQ$99,1))),0)</f>
        <v>0</v>
      </c>
      <c r="BR244">
        <f>IF(예비비!$R244="OK",SUMIFS(예비비!$O$430:$O$729,예비비!$B$430:$B$729,예비비!$A244,예비비!$E$430:$E$729,"&lt;"&amp;EDATE(BR$99,1),예비비!$F$430:$F$729,"결제대금비")+MAX(0,IF(예비비!$D244&lt;EDATE(BR$99,1),예비비!$E244,0)-SUMIFS(예비비!$O$430:$O$729,예비비!$B$430:$B$729,예비비!$A244,예비비!$E$430:$E$729,"&lt;"&amp;EDATE(BR$99,1))),0)</f>
        <v>0</v>
      </c>
      <c r="BS244">
        <f>IF(예비비!$R244="OK",SUMIFS(예비비!$O$430:$O$729,예비비!$B$430:$B$729,예비비!$A244,예비비!$E$430:$E$729,"&lt;"&amp;EDATE(BS$99,1),예비비!$F$430:$F$729,"결제대금비")+MAX(0,IF(예비비!$D244&lt;EDATE(BS$99,1),예비비!$E244,0)-SUMIFS(예비비!$O$430:$O$729,예비비!$B$430:$B$729,예비비!$A244,예비비!$E$430:$E$729,"&lt;"&amp;EDATE(BS$99,1))),0)</f>
        <v>0</v>
      </c>
      <c r="BT244">
        <f>IF(예비비!$R244="OK",SUMIFS(예비비!$O$430:$O$729,예비비!$B$430:$B$729,예비비!$A244,예비비!$E$430:$E$729,"&lt;"&amp;EDATE(BT$99,1),예비비!$F$430:$F$729,"결제대금비")+MAX(0,IF(예비비!$D244&lt;EDATE(BT$99,1),예비비!$E244,0)-SUMIFS(예비비!$O$430:$O$729,예비비!$B$430:$B$729,예비비!$A244,예비비!$E$430:$E$729,"&lt;"&amp;EDATE(BT$99,1))),0)</f>
        <v>0</v>
      </c>
      <c r="BU244">
        <f>IF(예비비!$R244="OK",SUMIFS(예비비!$O$430:$O$729,예비비!$B$430:$B$729,예비비!$A244,예비비!$E$430:$E$729,"&lt;"&amp;EDATE(BU$99,1),예비비!$F$430:$F$729,"결제대금비")+MAX(0,IF(예비비!$D244&lt;EDATE(BU$99,1),예비비!$E244,0)-SUMIFS(예비비!$O$430:$O$729,예비비!$B$430:$B$729,예비비!$A244,예비비!$E$430:$E$729,"&lt;"&amp;EDATE(BU$99,1))),0)</f>
        <v>0</v>
      </c>
    </row>
    <row r="245">
      <c r="BA245">
        <v>189</v>
      </c>
      <c r="BB245">
        <f>IFERROR(INDEX(잔액!$A:$A,BA245),0)</f>
        <v>46235.0</v>
      </c>
      <c r="BH245">
        <f>IFERROR(IF(AND(BB245&gt;0,OR(COUNTIFS(예비비!$C$430:$C$729,BA245,예비비!$N$430:$N$729,"OK")&gt;0,AND(INDEX(잔액!$J:$J,BA245)="가족통장",INDEX(잔액!$K:$K,BA245)="미래에셋_WRAP형CMA"),COUNTIF(예비비!$A$8:$A$12,INDEX(잔액!$C:$C,BA245))=1,COUNTIF(예비비!$A$8:$A$12,INDEX(잔액!$D:$D,BA245))=1),OR(AND(BB245&gt;=예비비!$B$3,BB245&lt;EDATE(예비비!$B$3,1)),AND(BB245&lt;EDATE(예비비!$B$3,1),COUNTIFS(예비비!$C$430:$C$729,BA245,예비비!$L$430:$L$729,예비비!$B$3,예비비!$N$430:$N$729,"OK")&gt;0))),MAX($BH$120:BH244)+1,0),0)</f>
        <v>0</v>
      </c>
      <c r="BI245">
        <f>IF(예비비!$R245="OK",SUMIFS(예비비!$O$430:$O$729,예비비!$B$430:$B$729,예비비!$A245,예비비!$E$430:$E$729,"&lt;"&amp;EDATE(BI$99,1),예비비!$F$430:$F$729,"결제대금비")+MAX(0,IF(예비비!$D245&lt;EDATE(BI$99,1),예비비!$E245,0)-SUMIFS(예비비!$O$430:$O$729,예비비!$B$430:$B$729,예비비!$A245,예비비!$E$430:$E$729,"&lt;"&amp;EDATE(BI$99,1))),0)</f>
        <v>0</v>
      </c>
      <c r="BJ245">
        <f>IF(예비비!$R245="OK",SUMIFS(예비비!$O$430:$O$729,예비비!$B$430:$B$729,예비비!$A245,예비비!$E$430:$E$729,"&lt;"&amp;EDATE(BJ$99,1),예비비!$F$430:$F$729,"결제대금비")+MAX(0,IF(예비비!$D245&lt;EDATE(BJ$99,1),예비비!$E245,0)-SUMIFS(예비비!$O$430:$O$729,예비비!$B$430:$B$729,예비비!$A245,예비비!$E$430:$E$729,"&lt;"&amp;EDATE(BJ$99,1))),0)</f>
        <v>0</v>
      </c>
      <c r="BK245">
        <f>IF(예비비!$R245="OK",SUMIFS(예비비!$O$430:$O$729,예비비!$B$430:$B$729,예비비!$A245,예비비!$E$430:$E$729,"&lt;"&amp;EDATE(BK$99,1),예비비!$F$430:$F$729,"결제대금비")+MAX(0,IF(예비비!$D245&lt;EDATE(BK$99,1),예비비!$E245,0)-SUMIFS(예비비!$O$430:$O$729,예비비!$B$430:$B$729,예비비!$A245,예비비!$E$430:$E$729,"&lt;"&amp;EDATE(BK$99,1))),0)</f>
        <v>0</v>
      </c>
      <c r="BL245">
        <f>IF(예비비!$R245="OK",SUMIFS(예비비!$O$430:$O$729,예비비!$B$430:$B$729,예비비!$A245,예비비!$E$430:$E$729,"&lt;"&amp;EDATE(BL$99,1),예비비!$F$430:$F$729,"결제대금비")+MAX(0,IF(예비비!$D245&lt;EDATE(BL$99,1),예비비!$E245,0)-SUMIFS(예비비!$O$430:$O$729,예비비!$B$430:$B$729,예비비!$A245,예비비!$E$430:$E$729,"&lt;"&amp;EDATE(BL$99,1))),0)</f>
        <v>0</v>
      </c>
      <c r="BM245">
        <f>IF(예비비!$R245="OK",SUMIFS(예비비!$O$430:$O$729,예비비!$B$430:$B$729,예비비!$A245,예비비!$E$430:$E$729,"&lt;"&amp;EDATE(BM$99,1),예비비!$F$430:$F$729,"결제대금비")+MAX(0,IF(예비비!$D245&lt;EDATE(BM$99,1),예비비!$E245,0)-SUMIFS(예비비!$O$430:$O$729,예비비!$B$430:$B$729,예비비!$A245,예비비!$E$430:$E$729,"&lt;"&amp;EDATE(BM$99,1))),0)</f>
        <v>0</v>
      </c>
      <c r="BN245">
        <f>IF(예비비!$R245="OK",SUMIFS(예비비!$O$430:$O$729,예비비!$B$430:$B$729,예비비!$A245,예비비!$E$430:$E$729,"&lt;"&amp;EDATE(BN$99,1),예비비!$F$430:$F$729,"결제대금비")+MAX(0,IF(예비비!$D245&lt;EDATE(BN$99,1),예비비!$E245,0)-SUMIFS(예비비!$O$430:$O$729,예비비!$B$430:$B$729,예비비!$A245,예비비!$E$430:$E$729,"&lt;"&amp;EDATE(BN$99,1))),0)</f>
        <v>0</v>
      </c>
      <c r="BO245">
        <f>IF(예비비!$R245="OK",SUMIFS(예비비!$O$430:$O$729,예비비!$B$430:$B$729,예비비!$A245,예비비!$E$430:$E$729,"&lt;"&amp;EDATE(BO$99,1),예비비!$F$430:$F$729,"결제대금비")+MAX(0,IF(예비비!$D245&lt;EDATE(BO$99,1),예비비!$E245,0)-SUMIFS(예비비!$O$430:$O$729,예비비!$B$430:$B$729,예비비!$A245,예비비!$E$430:$E$729,"&lt;"&amp;EDATE(BO$99,1))),0)</f>
        <v>0</v>
      </c>
      <c r="BP245">
        <f>IF(예비비!$R245="OK",SUMIFS(예비비!$O$430:$O$729,예비비!$B$430:$B$729,예비비!$A245,예비비!$E$430:$E$729,"&lt;"&amp;EDATE(BP$99,1),예비비!$F$430:$F$729,"결제대금비")+MAX(0,IF(예비비!$D245&lt;EDATE(BP$99,1),예비비!$E245,0)-SUMIFS(예비비!$O$430:$O$729,예비비!$B$430:$B$729,예비비!$A245,예비비!$E$430:$E$729,"&lt;"&amp;EDATE(BP$99,1))),0)</f>
        <v>0</v>
      </c>
      <c r="BQ245">
        <f>IF(예비비!$R245="OK",SUMIFS(예비비!$O$430:$O$729,예비비!$B$430:$B$729,예비비!$A245,예비비!$E$430:$E$729,"&lt;"&amp;EDATE(BQ$99,1),예비비!$F$430:$F$729,"결제대금비")+MAX(0,IF(예비비!$D245&lt;EDATE(BQ$99,1),예비비!$E245,0)-SUMIFS(예비비!$O$430:$O$729,예비비!$B$430:$B$729,예비비!$A245,예비비!$E$430:$E$729,"&lt;"&amp;EDATE(BQ$99,1))),0)</f>
        <v>0</v>
      </c>
      <c r="BR245">
        <f>IF(예비비!$R245="OK",SUMIFS(예비비!$O$430:$O$729,예비비!$B$430:$B$729,예비비!$A245,예비비!$E$430:$E$729,"&lt;"&amp;EDATE(BR$99,1),예비비!$F$430:$F$729,"결제대금비")+MAX(0,IF(예비비!$D245&lt;EDATE(BR$99,1),예비비!$E245,0)-SUMIFS(예비비!$O$430:$O$729,예비비!$B$430:$B$729,예비비!$A245,예비비!$E$430:$E$729,"&lt;"&amp;EDATE(BR$99,1))),0)</f>
        <v>0</v>
      </c>
      <c r="BS245">
        <f>IF(예비비!$R245="OK",SUMIFS(예비비!$O$430:$O$729,예비비!$B$430:$B$729,예비비!$A245,예비비!$E$430:$E$729,"&lt;"&amp;EDATE(BS$99,1),예비비!$F$430:$F$729,"결제대금비")+MAX(0,IF(예비비!$D245&lt;EDATE(BS$99,1),예비비!$E245,0)-SUMIFS(예비비!$O$430:$O$729,예비비!$B$430:$B$729,예비비!$A245,예비비!$E$430:$E$729,"&lt;"&amp;EDATE(BS$99,1))),0)</f>
        <v>0</v>
      </c>
      <c r="BT245">
        <f>IF(예비비!$R245="OK",SUMIFS(예비비!$O$430:$O$729,예비비!$B$430:$B$729,예비비!$A245,예비비!$E$430:$E$729,"&lt;"&amp;EDATE(BT$99,1),예비비!$F$430:$F$729,"결제대금비")+MAX(0,IF(예비비!$D245&lt;EDATE(BT$99,1),예비비!$E245,0)-SUMIFS(예비비!$O$430:$O$729,예비비!$B$430:$B$729,예비비!$A245,예비비!$E$430:$E$729,"&lt;"&amp;EDATE(BT$99,1))),0)</f>
        <v>0</v>
      </c>
      <c r="BU245">
        <f>IF(예비비!$R245="OK",SUMIFS(예비비!$O$430:$O$729,예비비!$B$430:$B$729,예비비!$A245,예비비!$E$430:$E$729,"&lt;"&amp;EDATE(BU$99,1),예비비!$F$430:$F$729,"결제대금비")+MAX(0,IF(예비비!$D245&lt;EDATE(BU$99,1),예비비!$E245,0)-SUMIFS(예비비!$O$430:$O$729,예비비!$B$430:$B$729,예비비!$A245,예비비!$E$430:$E$729,"&lt;"&amp;EDATE(BU$99,1))),0)</f>
        <v>0</v>
      </c>
    </row>
    <row r="246">
      <c r="BA246">
        <v>190</v>
      </c>
      <c r="BB246">
        <f>IFERROR(INDEX(잔액!$A:$A,BA246),0)</f>
        <v>46235.0</v>
      </c>
      <c r="BH246">
        <f>IFERROR(IF(AND(BB246&gt;0,OR(COUNTIFS(예비비!$C$430:$C$729,BA246,예비비!$N$430:$N$729,"OK")&gt;0,AND(INDEX(잔액!$J:$J,BA246)="가족통장",INDEX(잔액!$K:$K,BA246)="미래에셋_WRAP형CMA"),COUNTIF(예비비!$A$8:$A$12,INDEX(잔액!$C:$C,BA246))=1,COUNTIF(예비비!$A$8:$A$12,INDEX(잔액!$D:$D,BA246))=1),OR(AND(BB246&gt;=예비비!$B$3,BB246&lt;EDATE(예비비!$B$3,1)),AND(BB246&lt;EDATE(예비비!$B$3,1),COUNTIFS(예비비!$C$430:$C$729,BA246,예비비!$L$430:$L$729,예비비!$B$3,예비비!$N$430:$N$729,"OK")&gt;0))),MAX($BH$120:BH245)+1,0),0)</f>
        <v>0</v>
      </c>
      <c r="BI246">
        <f>IF(예비비!$R246="OK",SUMIFS(예비비!$O$430:$O$729,예비비!$B$430:$B$729,예비비!$A246,예비비!$E$430:$E$729,"&lt;"&amp;EDATE(BI$99,1),예비비!$F$430:$F$729,"결제대금비")+MAX(0,IF(예비비!$D246&lt;EDATE(BI$99,1),예비비!$E246,0)-SUMIFS(예비비!$O$430:$O$729,예비비!$B$430:$B$729,예비비!$A246,예비비!$E$430:$E$729,"&lt;"&amp;EDATE(BI$99,1))),0)</f>
        <v>0</v>
      </c>
      <c r="BJ246">
        <f>IF(예비비!$R246="OK",SUMIFS(예비비!$O$430:$O$729,예비비!$B$430:$B$729,예비비!$A246,예비비!$E$430:$E$729,"&lt;"&amp;EDATE(BJ$99,1),예비비!$F$430:$F$729,"결제대금비")+MAX(0,IF(예비비!$D246&lt;EDATE(BJ$99,1),예비비!$E246,0)-SUMIFS(예비비!$O$430:$O$729,예비비!$B$430:$B$729,예비비!$A246,예비비!$E$430:$E$729,"&lt;"&amp;EDATE(BJ$99,1))),0)</f>
        <v>0</v>
      </c>
      <c r="BK246">
        <f>IF(예비비!$R246="OK",SUMIFS(예비비!$O$430:$O$729,예비비!$B$430:$B$729,예비비!$A246,예비비!$E$430:$E$729,"&lt;"&amp;EDATE(BK$99,1),예비비!$F$430:$F$729,"결제대금비")+MAX(0,IF(예비비!$D246&lt;EDATE(BK$99,1),예비비!$E246,0)-SUMIFS(예비비!$O$430:$O$729,예비비!$B$430:$B$729,예비비!$A246,예비비!$E$430:$E$729,"&lt;"&amp;EDATE(BK$99,1))),0)</f>
        <v>0</v>
      </c>
      <c r="BL246">
        <f>IF(예비비!$R246="OK",SUMIFS(예비비!$O$430:$O$729,예비비!$B$430:$B$729,예비비!$A246,예비비!$E$430:$E$729,"&lt;"&amp;EDATE(BL$99,1),예비비!$F$430:$F$729,"결제대금비")+MAX(0,IF(예비비!$D246&lt;EDATE(BL$99,1),예비비!$E246,0)-SUMIFS(예비비!$O$430:$O$729,예비비!$B$430:$B$729,예비비!$A246,예비비!$E$430:$E$729,"&lt;"&amp;EDATE(BL$99,1))),0)</f>
        <v>0</v>
      </c>
      <c r="BM246">
        <f>IF(예비비!$R246="OK",SUMIFS(예비비!$O$430:$O$729,예비비!$B$430:$B$729,예비비!$A246,예비비!$E$430:$E$729,"&lt;"&amp;EDATE(BM$99,1),예비비!$F$430:$F$729,"결제대금비")+MAX(0,IF(예비비!$D246&lt;EDATE(BM$99,1),예비비!$E246,0)-SUMIFS(예비비!$O$430:$O$729,예비비!$B$430:$B$729,예비비!$A246,예비비!$E$430:$E$729,"&lt;"&amp;EDATE(BM$99,1))),0)</f>
        <v>0</v>
      </c>
      <c r="BN246">
        <f>IF(예비비!$R246="OK",SUMIFS(예비비!$O$430:$O$729,예비비!$B$430:$B$729,예비비!$A246,예비비!$E$430:$E$729,"&lt;"&amp;EDATE(BN$99,1),예비비!$F$430:$F$729,"결제대금비")+MAX(0,IF(예비비!$D246&lt;EDATE(BN$99,1),예비비!$E246,0)-SUMIFS(예비비!$O$430:$O$729,예비비!$B$430:$B$729,예비비!$A246,예비비!$E$430:$E$729,"&lt;"&amp;EDATE(BN$99,1))),0)</f>
        <v>0</v>
      </c>
      <c r="BO246">
        <f>IF(예비비!$R246="OK",SUMIFS(예비비!$O$430:$O$729,예비비!$B$430:$B$729,예비비!$A246,예비비!$E$430:$E$729,"&lt;"&amp;EDATE(BO$99,1),예비비!$F$430:$F$729,"결제대금비")+MAX(0,IF(예비비!$D246&lt;EDATE(BO$99,1),예비비!$E246,0)-SUMIFS(예비비!$O$430:$O$729,예비비!$B$430:$B$729,예비비!$A246,예비비!$E$430:$E$729,"&lt;"&amp;EDATE(BO$99,1))),0)</f>
        <v>0</v>
      </c>
      <c r="BP246">
        <f>IF(예비비!$R246="OK",SUMIFS(예비비!$O$430:$O$729,예비비!$B$430:$B$729,예비비!$A246,예비비!$E$430:$E$729,"&lt;"&amp;EDATE(BP$99,1),예비비!$F$430:$F$729,"결제대금비")+MAX(0,IF(예비비!$D246&lt;EDATE(BP$99,1),예비비!$E246,0)-SUMIFS(예비비!$O$430:$O$729,예비비!$B$430:$B$729,예비비!$A246,예비비!$E$430:$E$729,"&lt;"&amp;EDATE(BP$99,1))),0)</f>
        <v>0</v>
      </c>
      <c r="BQ246">
        <f>IF(예비비!$R246="OK",SUMIFS(예비비!$O$430:$O$729,예비비!$B$430:$B$729,예비비!$A246,예비비!$E$430:$E$729,"&lt;"&amp;EDATE(BQ$99,1),예비비!$F$430:$F$729,"결제대금비")+MAX(0,IF(예비비!$D246&lt;EDATE(BQ$99,1),예비비!$E246,0)-SUMIFS(예비비!$O$430:$O$729,예비비!$B$430:$B$729,예비비!$A246,예비비!$E$430:$E$729,"&lt;"&amp;EDATE(BQ$99,1))),0)</f>
        <v>0</v>
      </c>
      <c r="BR246">
        <f>IF(예비비!$R246="OK",SUMIFS(예비비!$O$430:$O$729,예비비!$B$430:$B$729,예비비!$A246,예비비!$E$430:$E$729,"&lt;"&amp;EDATE(BR$99,1),예비비!$F$430:$F$729,"결제대금비")+MAX(0,IF(예비비!$D246&lt;EDATE(BR$99,1),예비비!$E246,0)-SUMIFS(예비비!$O$430:$O$729,예비비!$B$430:$B$729,예비비!$A246,예비비!$E$430:$E$729,"&lt;"&amp;EDATE(BR$99,1))),0)</f>
        <v>0</v>
      </c>
      <c r="BS246">
        <f>IF(예비비!$R246="OK",SUMIFS(예비비!$O$430:$O$729,예비비!$B$430:$B$729,예비비!$A246,예비비!$E$430:$E$729,"&lt;"&amp;EDATE(BS$99,1),예비비!$F$430:$F$729,"결제대금비")+MAX(0,IF(예비비!$D246&lt;EDATE(BS$99,1),예비비!$E246,0)-SUMIFS(예비비!$O$430:$O$729,예비비!$B$430:$B$729,예비비!$A246,예비비!$E$430:$E$729,"&lt;"&amp;EDATE(BS$99,1))),0)</f>
        <v>0</v>
      </c>
      <c r="BT246">
        <f>IF(예비비!$R246="OK",SUMIFS(예비비!$O$430:$O$729,예비비!$B$430:$B$729,예비비!$A246,예비비!$E$430:$E$729,"&lt;"&amp;EDATE(BT$99,1),예비비!$F$430:$F$729,"결제대금비")+MAX(0,IF(예비비!$D246&lt;EDATE(BT$99,1),예비비!$E246,0)-SUMIFS(예비비!$O$430:$O$729,예비비!$B$430:$B$729,예비비!$A246,예비비!$E$430:$E$729,"&lt;"&amp;EDATE(BT$99,1))),0)</f>
        <v>0</v>
      </c>
      <c r="BU246">
        <f>IF(예비비!$R246="OK",SUMIFS(예비비!$O$430:$O$729,예비비!$B$430:$B$729,예비비!$A246,예비비!$E$430:$E$729,"&lt;"&amp;EDATE(BU$99,1),예비비!$F$430:$F$729,"결제대금비")+MAX(0,IF(예비비!$D246&lt;EDATE(BU$99,1),예비비!$E246,0)-SUMIFS(예비비!$O$430:$O$729,예비비!$B$430:$B$729,예비비!$A246,예비비!$E$430:$E$729,"&lt;"&amp;EDATE(BU$99,1))),0)</f>
        <v>0</v>
      </c>
    </row>
    <row r="247">
      <c r="BA247">
        <v>191</v>
      </c>
      <c r="BB247">
        <f>IFERROR(INDEX(잔액!$A:$A,BA247),0)</f>
        <v>46235.0</v>
      </c>
      <c r="BH247">
        <f>IFERROR(IF(AND(BB247&gt;0,OR(COUNTIFS(예비비!$C$430:$C$729,BA247,예비비!$N$430:$N$729,"OK")&gt;0,AND(INDEX(잔액!$J:$J,BA247)="가족통장",INDEX(잔액!$K:$K,BA247)="미래에셋_WRAP형CMA"),COUNTIF(예비비!$A$8:$A$12,INDEX(잔액!$C:$C,BA247))=1,COUNTIF(예비비!$A$8:$A$12,INDEX(잔액!$D:$D,BA247))=1),OR(AND(BB247&gt;=예비비!$B$3,BB247&lt;EDATE(예비비!$B$3,1)),AND(BB247&lt;EDATE(예비비!$B$3,1),COUNTIFS(예비비!$C$430:$C$729,BA247,예비비!$L$430:$L$729,예비비!$B$3,예비비!$N$430:$N$729,"OK")&gt;0))),MAX($BH$120:BH246)+1,0),0)</f>
        <v>0</v>
      </c>
      <c r="BI247">
        <f>IF(예비비!$R247="OK",SUMIFS(예비비!$O$430:$O$729,예비비!$B$430:$B$729,예비비!$A247,예비비!$E$430:$E$729,"&lt;"&amp;EDATE(BI$99,1),예비비!$F$430:$F$729,"결제대금비")+MAX(0,IF(예비비!$D247&lt;EDATE(BI$99,1),예비비!$E247,0)-SUMIFS(예비비!$O$430:$O$729,예비비!$B$430:$B$729,예비비!$A247,예비비!$E$430:$E$729,"&lt;"&amp;EDATE(BI$99,1))),0)</f>
        <v>0</v>
      </c>
      <c r="BJ247">
        <f>IF(예비비!$R247="OK",SUMIFS(예비비!$O$430:$O$729,예비비!$B$430:$B$729,예비비!$A247,예비비!$E$430:$E$729,"&lt;"&amp;EDATE(BJ$99,1),예비비!$F$430:$F$729,"결제대금비")+MAX(0,IF(예비비!$D247&lt;EDATE(BJ$99,1),예비비!$E247,0)-SUMIFS(예비비!$O$430:$O$729,예비비!$B$430:$B$729,예비비!$A247,예비비!$E$430:$E$729,"&lt;"&amp;EDATE(BJ$99,1))),0)</f>
        <v>0</v>
      </c>
      <c r="BK247">
        <f>IF(예비비!$R247="OK",SUMIFS(예비비!$O$430:$O$729,예비비!$B$430:$B$729,예비비!$A247,예비비!$E$430:$E$729,"&lt;"&amp;EDATE(BK$99,1),예비비!$F$430:$F$729,"결제대금비")+MAX(0,IF(예비비!$D247&lt;EDATE(BK$99,1),예비비!$E247,0)-SUMIFS(예비비!$O$430:$O$729,예비비!$B$430:$B$729,예비비!$A247,예비비!$E$430:$E$729,"&lt;"&amp;EDATE(BK$99,1))),0)</f>
        <v>0</v>
      </c>
      <c r="BL247">
        <f>IF(예비비!$R247="OK",SUMIFS(예비비!$O$430:$O$729,예비비!$B$430:$B$729,예비비!$A247,예비비!$E$430:$E$729,"&lt;"&amp;EDATE(BL$99,1),예비비!$F$430:$F$729,"결제대금비")+MAX(0,IF(예비비!$D247&lt;EDATE(BL$99,1),예비비!$E247,0)-SUMIFS(예비비!$O$430:$O$729,예비비!$B$430:$B$729,예비비!$A247,예비비!$E$430:$E$729,"&lt;"&amp;EDATE(BL$99,1))),0)</f>
        <v>0</v>
      </c>
      <c r="BM247">
        <f>IF(예비비!$R247="OK",SUMIFS(예비비!$O$430:$O$729,예비비!$B$430:$B$729,예비비!$A247,예비비!$E$430:$E$729,"&lt;"&amp;EDATE(BM$99,1),예비비!$F$430:$F$729,"결제대금비")+MAX(0,IF(예비비!$D247&lt;EDATE(BM$99,1),예비비!$E247,0)-SUMIFS(예비비!$O$430:$O$729,예비비!$B$430:$B$729,예비비!$A247,예비비!$E$430:$E$729,"&lt;"&amp;EDATE(BM$99,1))),0)</f>
        <v>0</v>
      </c>
      <c r="BN247">
        <f>IF(예비비!$R247="OK",SUMIFS(예비비!$O$430:$O$729,예비비!$B$430:$B$729,예비비!$A247,예비비!$E$430:$E$729,"&lt;"&amp;EDATE(BN$99,1),예비비!$F$430:$F$729,"결제대금비")+MAX(0,IF(예비비!$D247&lt;EDATE(BN$99,1),예비비!$E247,0)-SUMIFS(예비비!$O$430:$O$729,예비비!$B$430:$B$729,예비비!$A247,예비비!$E$430:$E$729,"&lt;"&amp;EDATE(BN$99,1))),0)</f>
        <v>0</v>
      </c>
      <c r="BO247">
        <f>IF(예비비!$R247="OK",SUMIFS(예비비!$O$430:$O$729,예비비!$B$430:$B$729,예비비!$A247,예비비!$E$430:$E$729,"&lt;"&amp;EDATE(BO$99,1),예비비!$F$430:$F$729,"결제대금비")+MAX(0,IF(예비비!$D247&lt;EDATE(BO$99,1),예비비!$E247,0)-SUMIFS(예비비!$O$430:$O$729,예비비!$B$430:$B$729,예비비!$A247,예비비!$E$430:$E$729,"&lt;"&amp;EDATE(BO$99,1))),0)</f>
        <v>0</v>
      </c>
      <c r="BP247">
        <f>IF(예비비!$R247="OK",SUMIFS(예비비!$O$430:$O$729,예비비!$B$430:$B$729,예비비!$A247,예비비!$E$430:$E$729,"&lt;"&amp;EDATE(BP$99,1),예비비!$F$430:$F$729,"결제대금비")+MAX(0,IF(예비비!$D247&lt;EDATE(BP$99,1),예비비!$E247,0)-SUMIFS(예비비!$O$430:$O$729,예비비!$B$430:$B$729,예비비!$A247,예비비!$E$430:$E$729,"&lt;"&amp;EDATE(BP$99,1))),0)</f>
        <v>0</v>
      </c>
      <c r="BQ247">
        <f>IF(예비비!$R247="OK",SUMIFS(예비비!$O$430:$O$729,예비비!$B$430:$B$729,예비비!$A247,예비비!$E$430:$E$729,"&lt;"&amp;EDATE(BQ$99,1),예비비!$F$430:$F$729,"결제대금비")+MAX(0,IF(예비비!$D247&lt;EDATE(BQ$99,1),예비비!$E247,0)-SUMIFS(예비비!$O$430:$O$729,예비비!$B$430:$B$729,예비비!$A247,예비비!$E$430:$E$729,"&lt;"&amp;EDATE(BQ$99,1))),0)</f>
        <v>0</v>
      </c>
      <c r="BR247">
        <f>IF(예비비!$R247="OK",SUMIFS(예비비!$O$430:$O$729,예비비!$B$430:$B$729,예비비!$A247,예비비!$E$430:$E$729,"&lt;"&amp;EDATE(BR$99,1),예비비!$F$430:$F$729,"결제대금비")+MAX(0,IF(예비비!$D247&lt;EDATE(BR$99,1),예비비!$E247,0)-SUMIFS(예비비!$O$430:$O$729,예비비!$B$430:$B$729,예비비!$A247,예비비!$E$430:$E$729,"&lt;"&amp;EDATE(BR$99,1))),0)</f>
        <v>0</v>
      </c>
      <c r="BS247">
        <f>IF(예비비!$R247="OK",SUMIFS(예비비!$O$430:$O$729,예비비!$B$430:$B$729,예비비!$A247,예비비!$E$430:$E$729,"&lt;"&amp;EDATE(BS$99,1),예비비!$F$430:$F$729,"결제대금비")+MAX(0,IF(예비비!$D247&lt;EDATE(BS$99,1),예비비!$E247,0)-SUMIFS(예비비!$O$430:$O$729,예비비!$B$430:$B$729,예비비!$A247,예비비!$E$430:$E$729,"&lt;"&amp;EDATE(BS$99,1))),0)</f>
        <v>0</v>
      </c>
      <c r="BT247">
        <f>IF(예비비!$R247="OK",SUMIFS(예비비!$O$430:$O$729,예비비!$B$430:$B$729,예비비!$A247,예비비!$E$430:$E$729,"&lt;"&amp;EDATE(BT$99,1),예비비!$F$430:$F$729,"결제대금비")+MAX(0,IF(예비비!$D247&lt;EDATE(BT$99,1),예비비!$E247,0)-SUMIFS(예비비!$O$430:$O$729,예비비!$B$430:$B$729,예비비!$A247,예비비!$E$430:$E$729,"&lt;"&amp;EDATE(BT$99,1))),0)</f>
        <v>0</v>
      </c>
      <c r="BU247">
        <f>IF(예비비!$R247="OK",SUMIFS(예비비!$O$430:$O$729,예비비!$B$430:$B$729,예비비!$A247,예비비!$E$430:$E$729,"&lt;"&amp;EDATE(BU$99,1),예비비!$F$430:$F$729,"결제대금비")+MAX(0,IF(예비비!$D247&lt;EDATE(BU$99,1),예비비!$E247,0)-SUMIFS(예비비!$O$430:$O$729,예비비!$B$430:$B$729,예비비!$A247,예비비!$E$430:$E$729,"&lt;"&amp;EDATE(BU$99,1))),0)</f>
        <v>0</v>
      </c>
    </row>
    <row r="248">
      <c r="BA248">
        <v>192</v>
      </c>
      <c r="BB248">
        <f>IFERROR(INDEX(잔액!$A:$A,BA248),0)</f>
        <v>46235.0</v>
      </c>
      <c r="BH248">
        <f>IFERROR(IF(AND(BB248&gt;0,OR(COUNTIFS(예비비!$C$430:$C$729,BA248,예비비!$N$430:$N$729,"OK")&gt;0,AND(INDEX(잔액!$J:$J,BA248)="가족통장",INDEX(잔액!$K:$K,BA248)="미래에셋_WRAP형CMA"),COUNTIF(예비비!$A$8:$A$12,INDEX(잔액!$C:$C,BA248))=1,COUNTIF(예비비!$A$8:$A$12,INDEX(잔액!$D:$D,BA248))=1),OR(AND(BB248&gt;=예비비!$B$3,BB248&lt;EDATE(예비비!$B$3,1)),AND(BB248&lt;EDATE(예비비!$B$3,1),COUNTIFS(예비비!$C$430:$C$729,BA248,예비비!$L$430:$L$729,예비비!$B$3,예비비!$N$430:$N$729,"OK")&gt;0))),MAX($BH$120:BH247)+1,0),0)</f>
        <v>0</v>
      </c>
      <c r="BI248">
        <f>IF(예비비!$R248="OK",SUMIFS(예비비!$O$430:$O$729,예비비!$B$430:$B$729,예비비!$A248,예비비!$E$430:$E$729,"&lt;"&amp;EDATE(BI$99,1),예비비!$F$430:$F$729,"결제대금비")+MAX(0,IF(예비비!$D248&lt;EDATE(BI$99,1),예비비!$E248,0)-SUMIFS(예비비!$O$430:$O$729,예비비!$B$430:$B$729,예비비!$A248,예비비!$E$430:$E$729,"&lt;"&amp;EDATE(BI$99,1))),0)</f>
        <v>0</v>
      </c>
      <c r="BJ248">
        <f>IF(예비비!$R248="OK",SUMIFS(예비비!$O$430:$O$729,예비비!$B$430:$B$729,예비비!$A248,예비비!$E$430:$E$729,"&lt;"&amp;EDATE(BJ$99,1),예비비!$F$430:$F$729,"결제대금비")+MAX(0,IF(예비비!$D248&lt;EDATE(BJ$99,1),예비비!$E248,0)-SUMIFS(예비비!$O$430:$O$729,예비비!$B$430:$B$729,예비비!$A248,예비비!$E$430:$E$729,"&lt;"&amp;EDATE(BJ$99,1))),0)</f>
        <v>0</v>
      </c>
      <c r="BK248">
        <f>IF(예비비!$R248="OK",SUMIFS(예비비!$O$430:$O$729,예비비!$B$430:$B$729,예비비!$A248,예비비!$E$430:$E$729,"&lt;"&amp;EDATE(BK$99,1),예비비!$F$430:$F$729,"결제대금비")+MAX(0,IF(예비비!$D248&lt;EDATE(BK$99,1),예비비!$E248,0)-SUMIFS(예비비!$O$430:$O$729,예비비!$B$430:$B$729,예비비!$A248,예비비!$E$430:$E$729,"&lt;"&amp;EDATE(BK$99,1))),0)</f>
        <v>0</v>
      </c>
      <c r="BL248">
        <f>IF(예비비!$R248="OK",SUMIFS(예비비!$O$430:$O$729,예비비!$B$430:$B$729,예비비!$A248,예비비!$E$430:$E$729,"&lt;"&amp;EDATE(BL$99,1),예비비!$F$430:$F$729,"결제대금비")+MAX(0,IF(예비비!$D248&lt;EDATE(BL$99,1),예비비!$E248,0)-SUMIFS(예비비!$O$430:$O$729,예비비!$B$430:$B$729,예비비!$A248,예비비!$E$430:$E$729,"&lt;"&amp;EDATE(BL$99,1))),0)</f>
        <v>0</v>
      </c>
      <c r="BM248">
        <f>IF(예비비!$R248="OK",SUMIFS(예비비!$O$430:$O$729,예비비!$B$430:$B$729,예비비!$A248,예비비!$E$430:$E$729,"&lt;"&amp;EDATE(BM$99,1),예비비!$F$430:$F$729,"결제대금비")+MAX(0,IF(예비비!$D248&lt;EDATE(BM$99,1),예비비!$E248,0)-SUMIFS(예비비!$O$430:$O$729,예비비!$B$430:$B$729,예비비!$A248,예비비!$E$430:$E$729,"&lt;"&amp;EDATE(BM$99,1))),0)</f>
        <v>0</v>
      </c>
      <c r="BN248">
        <f>IF(예비비!$R248="OK",SUMIFS(예비비!$O$430:$O$729,예비비!$B$430:$B$729,예비비!$A248,예비비!$E$430:$E$729,"&lt;"&amp;EDATE(BN$99,1),예비비!$F$430:$F$729,"결제대금비")+MAX(0,IF(예비비!$D248&lt;EDATE(BN$99,1),예비비!$E248,0)-SUMIFS(예비비!$O$430:$O$729,예비비!$B$430:$B$729,예비비!$A248,예비비!$E$430:$E$729,"&lt;"&amp;EDATE(BN$99,1))),0)</f>
        <v>0</v>
      </c>
      <c r="BO248">
        <f>IF(예비비!$R248="OK",SUMIFS(예비비!$O$430:$O$729,예비비!$B$430:$B$729,예비비!$A248,예비비!$E$430:$E$729,"&lt;"&amp;EDATE(BO$99,1),예비비!$F$430:$F$729,"결제대금비")+MAX(0,IF(예비비!$D248&lt;EDATE(BO$99,1),예비비!$E248,0)-SUMIFS(예비비!$O$430:$O$729,예비비!$B$430:$B$729,예비비!$A248,예비비!$E$430:$E$729,"&lt;"&amp;EDATE(BO$99,1))),0)</f>
        <v>0</v>
      </c>
      <c r="BP248">
        <f>IF(예비비!$R248="OK",SUMIFS(예비비!$O$430:$O$729,예비비!$B$430:$B$729,예비비!$A248,예비비!$E$430:$E$729,"&lt;"&amp;EDATE(BP$99,1),예비비!$F$430:$F$729,"결제대금비")+MAX(0,IF(예비비!$D248&lt;EDATE(BP$99,1),예비비!$E248,0)-SUMIFS(예비비!$O$430:$O$729,예비비!$B$430:$B$729,예비비!$A248,예비비!$E$430:$E$729,"&lt;"&amp;EDATE(BP$99,1))),0)</f>
        <v>0</v>
      </c>
      <c r="BQ248">
        <f>IF(예비비!$R248="OK",SUMIFS(예비비!$O$430:$O$729,예비비!$B$430:$B$729,예비비!$A248,예비비!$E$430:$E$729,"&lt;"&amp;EDATE(BQ$99,1),예비비!$F$430:$F$729,"결제대금비")+MAX(0,IF(예비비!$D248&lt;EDATE(BQ$99,1),예비비!$E248,0)-SUMIFS(예비비!$O$430:$O$729,예비비!$B$430:$B$729,예비비!$A248,예비비!$E$430:$E$729,"&lt;"&amp;EDATE(BQ$99,1))),0)</f>
        <v>0</v>
      </c>
      <c r="BR248">
        <f>IF(예비비!$R248="OK",SUMIFS(예비비!$O$430:$O$729,예비비!$B$430:$B$729,예비비!$A248,예비비!$E$430:$E$729,"&lt;"&amp;EDATE(BR$99,1),예비비!$F$430:$F$729,"결제대금비")+MAX(0,IF(예비비!$D248&lt;EDATE(BR$99,1),예비비!$E248,0)-SUMIFS(예비비!$O$430:$O$729,예비비!$B$430:$B$729,예비비!$A248,예비비!$E$430:$E$729,"&lt;"&amp;EDATE(BR$99,1))),0)</f>
        <v>0</v>
      </c>
      <c r="BS248">
        <f>IF(예비비!$R248="OK",SUMIFS(예비비!$O$430:$O$729,예비비!$B$430:$B$729,예비비!$A248,예비비!$E$430:$E$729,"&lt;"&amp;EDATE(BS$99,1),예비비!$F$430:$F$729,"결제대금비")+MAX(0,IF(예비비!$D248&lt;EDATE(BS$99,1),예비비!$E248,0)-SUMIFS(예비비!$O$430:$O$729,예비비!$B$430:$B$729,예비비!$A248,예비비!$E$430:$E$729,"&lt;"&amp;EDATE(BS$99,1))),0)</f>
        <v>0</v>
      </c>
      <c r="BT248">
        <f>IF(예비비!$R248="OK",SUMIFS(예비비!$O$430:$O$729,예비비!$B$430:$B$729,예비비!$A248,예비비!$E$430:$E$729,"&lt;"&amp;EDATE(BT$99,1),예비비!$F$430:$F$729,"결제대금비")+MAX(0,IF(예비비!$D248&lt;EDATE(BT$99,1),예비비!$E248,0)-SUMIFS(예비비!$O$430:$O$729,예비비!$B$430:$B$729,예비비!$A248,예비비!$E$430:$E$729,"&lt;"&amp;EDATE(BT$99,1))),0)</f>
        <v>0</v>
      </c>
      <c r="BU248">
        <f>IF(예비비!$R248="OK",SUMIFS(예비비!$O$430:$O$729,예비비!$B$430:$B$729,예비비!$A248,예비비!$E$430:$E$729,"&lt;"&amp;EDATE(BU$99,1),예비비!$F$430:$F$729,"결제대금비")+MAX(0,IF(예비비!$D248&lt;EDATE(BU$99,1),예비비!$E248,0)-SUMIFS(예비비!$O$430:$O$729,예비비!$B$430:$B$729,예비비!$A248,예비비!$E$430:$E$729,"&lt;"&amp;EDATE(BU$99,1))),0)</f>
        <v>0</v>
      </c>
    </row>
    <row r="249">
      <c r="BA249">
        <v>193</v>
      </c>
      <c r="BB249">
        <f>IFERROR(INDEX(잔액!$A:$A,BA249),0)</f>
        <v>46235.0</v>
      </c>
      <c r="BH249">
        <f>IFERROR(IF(AND(BB249&gt;0,OR(COUNTIFS(예비비!$C$430:$C$729,BA249,예비비!$N$430:$N$729,"OK")&gt;0,AND(INDEX(잔액!$J:$J,BA249)="가족통장",INDEX(잔액!$K:$K,BA249)="미래에셋_WRAP형CMA"),COUNTIF(예비비!$A$8:$A$12,INDEX(잔액!$C:$C,BA249))=1,COUNTIF(예비비!$A$8:$A$12,INDEX(잔액!$D:$D,BA249))=1),OR(AND(BB249&gt;=예비비!$B$3,BB249&lt;EDATE(예비비!$B$3,1)),AND(BB249&lt;EDATE(예비비!$B$3,1),COUNTIFS(예비비!$C$430:$C$729,BA249,예비비!$L$430:$L$729,예비비!$B$3,예비비!$N$430:$N$729,"OK")&gt;0))),MAX($BH$120:BH248)+1,0),0)</f>
        <v>0</v>
      </c>
      <c r="BI249">
        <f>IF(예비비!$R249="OK",SUMIFS(예비비!$O$430:$O$729,예비비!$B$430:$B$729,예비비!$A249,예비비!$E$430:$E$729,"&lt;"&amp;EDATE(BI$99,1),예비비!$F$430:$F$729,"결제대금비")+MAX(0,IF(예비비!$D249&lt;EDATE(BI$99,1),예비비!$E249,0)-SUMIFS(예비비!$O$430:$O$729,예비비!$B$430:$B$729,예비비!$A249,예비비!$E$430:$E$729,"&lt;"&amp;EDATE(BI$99,1))),0)</f>
        <v>0</v>
      </c>
      <c r="BJ249">
        <f>IF(예비비!$R249="OK",SUMIFS(예비비!$O$430:$O$729,예비비!$B$430:$B$729,예비비!$A249,예비비!$E$430:$E$729,"&lt;"&amp;EDATE(BJ$99,1),예비비!$F$430:$F$729,"결제대금비")+MAX(0,IF(예비비!$D249&lt;EDATE(BJ$99,1),예비비!$E249,0)-SUMIFS(예비비!$O$430:$O$729,예비비!$B$430:$B$729,예비비!$A249,예비비!$E$430:$E$729,"&lt;"&amp;EDATE(BJ$99,1))),0)</f>
        <v>0</v>
      </c>
      <c r="BK249">
        <f>IF(예비비!$R249="OK",SUMIFS(예비비!$O$430:$O$729,예비비!$B$430:$B$729,예비비!$A249,예비비!$E$430:$E$729,"&lt;"&amp;EDATE(BK$99,1),예비비!$F$430:$F$729,"결제대금비")+MAX(0,IF(예비비!$D249&lt;EDATE(BK$99,1),예비비!$E249,0)-SUMIFS(예비비!$O$430:$O$729,예비비!$B$430:$B$729,예비비!$A249,예비비!$E$430:$E$729,"&lt;"&amp;EDATE(BK$99,1))),0)</f>
        <v>0</v>
      </c>
      <c r="BL249">
        <f>IF(예비비!$R249="OK",SUMIFS(예비비!$O$430:$O$729,예비비!$B$430:$B$729,예비비!$A249,예비비!$E$430:$E$729,"&lt;"&amp;EDATE(BL$99,1),예비비!$F$430:$F$729,"결제대금비")+MAX(0,IF(예비비!$D249&lt;EDATE(BL$99,1),예비비!$E249,0)-SUMIFS(예비비!$O$430:$O$729,예비비!$B$430:$B$729,예비비!$A249,예비비!$E$430:$E$729,"&lt;"&amp;EDATE(BL$99,1))),0)</f>
        <v>0</v>
      </c>
      <c r="BM249">
        <f>IF(예비비!$R249="OK",SUMIFS(예비비!$O$430:$O$729,예비비!$B$430:$B$729,예비비!$A249,예비비!$E$430:$E$729,"&lt;"&amp;EDATE(BM$99,1),예비비!$F$430:$F$729,"결제대금비")+MAX(0,IF(예비비!$D249&lt;EDATE(BM$99,1),예비비!$E249,0)-SUMIFS(예비비!$O$430:$O$729,예비비!$B$430:$B$729,예비비!$A249,예비비!$E$430:$E$729,"&lt;"&amp;EDATE(BM$99,1))),0)</f>
        <v>0</v>
      </c>
      <c r="BN249">
        <f>IF(예비비!$R249="OK",SUMIFS(예비비!$O$430:$O$729,예비비!$B$430:$B$729,예비비!$A249,예비비!$E$430:$E$729,"&lt;"&amp;EDATE(BN$99,1),예비비!$F$430:$F$729,"결제대금비")+MAX(0,IF(예비비!$D249&lt;EDATE(BN$99,1),예비비!$E249,0)-SUMIFS(예비비!$O$430:$O$729,예비비!$B$430:$B$729,예비비!$A249,예비비!$E$430:$E$729,"&lt;"&amp;EDATE(BN$99,1))),0)</f>
        <v>0</v>
      </c>
      <c r="BO249">
        <f>IF(예비비!$R249="OK",SUMIFS(예비비!$O$430:$O$729,예비비!$B$430:$B$729,예비비!$A249,예비비!$E$430:$E$729,"&lt;"&amp;EDATE(BO$99,1),예비비!$F$430:$F$729,"결제대금비")+MAX(0,IF(예비비!$D249&lt;EDATE(BO$99,1),예비비!$E249,0)-SUMIFS(예비비!$O$430:$O$729,예비비!$B$430:$B$729,예비비!$A249,예비비!$E$430:$E$729,"&lt;"&amp;EDATE(BO$99,1))),0)</f>
        <v>0</v>
      </c>
      <c r="BP249">
        <f>IF(예비비!$R249="OK",SUMIFS(예비비!$O$430:$O$729,예비비!$B$430:$B$729,예비비!$A249,예비비!$E$430:$E$729,"&lt;"&amp;EDATE(BP$99,1),예비비!$F$430:$F$729,"결제대금비")+MAX(0,IF(예비비!$D249&lt;EDATE(BP$99,1),예비비!$E249,0)-SUMIFS(예비비!$O$430:$O$729,예비비!$B$430:$B$729,예비비!$A249,예비비!$E$430:$E$729,"&lt;"&amp;EDATE(BP$99,1))),0)</f>
        <v>0</v>
      </c>
      <c r="BQ249">
        <f>IF(예비비!$R249="OK",SUMIFS(예비비!$O$430:$O$729,예비비!$B$430:$B$729,예비비!$A249,예비비!$E$430:$E$729,"&lt;"&amp;EDATE(BQ$99,1),예비비!$F$430:$F$729,"결제대금비")+MAX(0,IF(예비비!$D249&lt;EDATE(BQ$99,1),예비비!$E249,0)-SUMIFS(예비비!$O$430:$O$729,예비비!$B$430:$B$729,예비비!$A249,예비비!$E$430:$E$729,"&lt;"&amp;EDATE(BQ$99,1))),0)</f>
        <v>0</v>
      </c>
      <c r="BR249">
        <f>IF(예비비!$R249="OK",SUMIFS(예비비!$O$430:$O$729,예비비!$B$430:$B$729,예비비!$A249,예비비!$E$430:$E$729,"&lt;"&amp;EDATE(BR$99,1),예비비!$F$430:$F$729,"결제대금비")+MAX(0,IF(예비비!$D249&lt;EDATE(BR$99,1),예비비!$E249,0)-SUMIFS(예비비!$O$430:$O$729,예비비!$B$430:$B$729,예비비!$A249,예비비!$E$430:$E$729,"&lt;"&amp;EDATE(BR$99,1))),0)</f>
        <v>0</v>
      </c>
      <c r="BS249">
        <f>IF(예비비!$R249="OK",SUMIFS(예비비!$O$430:$O$729,예비비!$B$430:$B$729,예비비!$A249,예비비!$E$430:$E$729,"&lt;"&amp;EDATE(BS$99,1),예비비!$F$430:$F$729,"결제대금비")+MAX(0,IF(예비비!$D249&lt;EDATE(BS$99,1),예비비!$E249,0)-SUMIFS(예비비!$O$430:$O$729,예비비!$B$430:$B$729,예비비!$A249,예비비!$E$430:$E$729,"&lt;"&amp;EDATE(BS$99,1))),0)</f>
        <v>0</v>
      </c>
      <c r="BT249">
        <f>IF(예비비!$R249="OK",SUMIFS(예비비!$O$430:$O$729,예비비!$B$430:$B$729,예비비!$A249,예비비!$E$430:$E$729,"&lt;"&amp;EDATE(BT$99,1),예비비!$F$430:$F$729,"결제대금비")+MAX(0,IF(예비비!$D249&lt;EDATE(BT$99,1),예비비!$E249,0)-SUMIFS(예비비!$O$430:$O$729,예비비!$B$430:$B$729,예비비!$A249,예비비!$E$430:$E$729,"&lt;"&amp;EDATE(BT$99,1))),0)</f>
        <v>0</v>
      </c>
      <c r="BU249">
        <f>IF(예비비!$R249="OK",SUMIFS(예비비!$O$430:$O$729,예비비!$B$430:$B$729,예비비!$A249,예비비!$E$430:$E$729,"&lt;"&amp;EDATE(BU$99,1),예비비!$F$430:$F$729,"결제대금비")+MAX(0,IF(예비비!$D249&lt;EDATE(BU$99,1),예비비!$E249,0)-SUMIFS(예비비!$O$430:$O$729,예비비!$B$430:$B$729,예비비!$A249,예비비!$E$430:$E$729,"&lt;"&amp;EDATE(BU$99,1))),0)</f>
        <v>0</v>
      </c>
    </row>
    <row r="250">
      <c r="BA250">
        <v>194</v>
      </c>
      <c r="BB250">
        <f>IFERROR(INDEX(잔액!$A:$A,BA250),0)</f>
        <v>46235.0</v>
      </c>
      <c r="BH250">
        <f>IFERROR(IF(AND(BB250&gt;0,OR(COUNTIFS(예비비!$C$430:$C$729,BA250,예비비!$N$430:$N$729,"OK")&gt;0,AND(INDEX(잔액!$J:$J,BA250)="가족통장",INDEX(잔액!$K:$K,BA250)="미래에셋_WRAP형CMA"),COUNTIF(예비비!$A$8:$A$12,INDEX(잔액!$C:$C,BA250))=1,COUNTIF(예비비!$A$8:$A$12,INDEX(잔액!$D:$D,BA250))=1),OR(AND(BB250&gt;=예비비!$B$3,BB250&lt;EDATE(예비비!$B$3,1)),AND(BB250&lt;EDATE(예비비!$B$3,1),COUNTIFS(예비비!$C$430:$C$729,BA250,예비비!$L$430:$L$729,예비비!$B$3,예비비!$N$430:$N$729,"OK")&gt;0))),MAX($BH$120:BH249)+1,0),0)</f>
        <v>0</v>
      </c>
      <c r="BI250">
        <f>IF(예비비!$R250="OK",SUMIFS(예비비!$O$430:$O$729,예비비!$B$430:$B$729,예비비!$A250,예비비!$E$430:$E$729,"&lt;"&amp;EDATE(BI$99,1),예비비!$F$430:$F$729,"결제대금비")+MAX(0,IF(예비비!$D250&lt;EDATE(BI$99,1),예비비!$E250,0)-SUMIFS(예비비!$O$430:$O$729,예비비!$B$430:$B$729,예비비!$A250,예비비!$E$430:$E$729,"&lt;"&amp;EDATE(BI$99,1))),0)</f>
        <v>0</v>
      </c>
      <c r="BJ250">
        <f>IF(예비비!$R250="OK",SUMIFS(예비비!$O$430:$O$729,예비비!$B$430:$B$729,예비비!$A250,예비비!$E$430:$E$729,"&lt;"&amp;EDATE(BJ$99,1),예비비!$F$430:$F$729,"결제대금비")+MAX(0,IF(예비비!$D250&lt;EDATE(BJ$99,1),예비비!$E250,0)-SUMIFS(예비비!$O$430:$O$729,예비비!$B$430:$B$729,예비비!$A250,예비비!$E$430:$E$729,"&lt;"&amp;EDATE(BJ$99,1))),0)</f>
        <v>0</v>
      </c>
      <c r="BK250">
        <f>IF(예비비!$R250="OK",SUMIFS(예비비!$O$430:$O$729,예비비!$B$430:$B$729,예비비!$A250,예비비!$E$430:$E$729,"&lt;"&amp;EDATE(BK$99,1),예비비!$F$430:$F$729,"결제대금비")+MAX(0,IF(예비비!$D250&lt;EDATE(BK$99,1),예비비!$E250,0)-SUMIFS(예비비!$O$430:$O$729,예비비!$B$430:$B$729,예비비!$A250,예비비!$E$430:$E$729,"&lt;"&amp;EDATE(BK$99,1))),0)</f>
        <v>0</v>
      </c>
      <c r="BL250">
        <f>IF(예비비!$R250="OK",SUMIFS(예비비!$O$430:$O$729,예비비!$B$430:$B$729,예비비!$A250,예비비!$E$430:$E$729,"&lt;"&amp;EDATE(BL$99,1),예비비!$F$430:$F$729,"결제대금비")+MAX(0,IF(예비비!$D250&lt;EDATE(BL$99,1),예비비!$E250,0)-SUMIFS(예비비!$O$430:$O$729,예비비!$B$430:$B$729,예비비!$A250,예비비!$E$430:$E$729,"&lt;"&amp;EDATE(BL$99,1))),0)</f>
        <v>0</v>
      </c>
      <c r="BM250">
        <f>IF(예비비!$R250="OK",SUMIFS(예비비!$O$430:$O$729,예비비!$B$430:$B$729,예비비!$A250,예비비!$E$430:$E$729,"&lt;"&amp;EDATE(BM$99,1),예비비!$F$430:$F$729,"결제대금비")+MAX(0,IF(예비비!$D250&lt;EDATE(BM$99,1),예비비!$E250,0)-SUMIFS(예비비!$O$430:$O$729,예비비!$B$430:$B$729,예비비!$A250,예비비!$E$430:$E$729,"&lt;"&amp;EDATE(BM$99,1))),0)</f>
        <v>0</v>
      </c>
      <c r="BN250">
        <f>IF(예비비!$R250="OK",SUMIFS(예비비!$O$430:$O$729,예비비!$B$430:$B$729,예비비!$A250,예비비!$E$430:$E$729,"&lt;"&amp;EDATE(BN$99,1),예비비!$F$430:$F$729,"결제대금비")+MAX(0,IF(예비비!$D250&lt;EDATE(BN$99,1),예비비!$E250,0)-SUMIFS(예비비!$O$430:$O$729,예비비!$B$430:$B$729,예비비!$A250,예비비!$E$430:$E$729,"&lt;"&amp;EDATE(BN$99,1))),0)</f>
        <v>0</v>
      </c>
      <c r="BO250">
        <f>IF(예비비!$R250="OK",SUMIFS(예비비!$O$430:$O$729,예비비!$B$430:$B$729,예비비!$A250,예비비!$E$430:$E$729,"&lt;"&amp;EDATE(BO$99,1),예비비!$F$430:$F$729,"결제대금비")+MAX(0,IF(예비비!$D250&lt;EDATE(BO$99,1),예비비!$E250,0)-SUMIFS(예비비!$O$430:$O$729,예비비!$B$430:$B$729,예비비!$A250,예비비!$E$430:$E$729,"&lt;"&amp;EDATE(BO$99,1))),0)</f>
        <v>0</v>
      </c>
      <c r="BP250">
        <f>IF(예비비!$R250="OK",SUMIFS(예비비!$O$430:$O$729,예비비!$B$430:$B$729,예비비!$A250,예비비!$E$430:$E$729,"&lt;"&amp;EDATE(BP$99,1),예비비!$F$430:$F$729,"결제대금비")+MAX(0,IF(예비비!$D250&lt;EDATE(BP$99,1),예비비!$E250,0)-SUMIFS(예비비!$O$430:$O$729,예비비!$B$430:$B$729,예비비!$A250,예비비!$E$430:$E$729,"&lt;"&amp;EDATE(BP$99,1))),0)</f>
        <v>0</v>
      </c>
      <c r="BQ250">
        <f>IF(예비비!$R250="OK",SUMIFS(예비비!$O$430:$O$729,예비비!$B$430:$B$729,예비비!$A250,예비비!$E$430:$E$729,"&lt;"&amp;EDATE(BQ$99,1),예비비!$F$430:$F$729,"결제대금비")+MAX(0,IF(예비비!$D250&lt;EDATE(BQ$99,1),예비비!$E250,0)-SUMIFS(예비비!$O$430:$O$729,예비비!$B$430:$B$729,예비비!$A250,예비비!$E$430:$E$729,"&lt;"&amp;EDATE(BQ$99,1))),0)</f>
        <v>0</v>
      </c>
      <c r="BR250">
        <f>IF(예비비!$R250="OK",SUMIFS(예비비!$O$430:$O$729,예비비!$B$430:$B$729,예비비!$A250,예비비!$E$430:$E$729,"&lt;"&amp;EDATE(BR$99,1),예비비!$F$430:$F$729,"결제대금비")+MAX(0,IF(예비비!$D250&lt;EDATE(BR$99,1),예비비!$E250,0)-SUMIFS(예비비!$O$430:$O$729,예비비!$B$430:$B$729,예비비!$A250,예비비!$E$430:$E$729,"&lt;"&amp;EDATE(BR$99,1))),0)</f>
        <v>0</v>
      </c>
      <c r="BS250">
        <f>IF(예비비!$R250="OK",SUMIFS(예비비!$O$430:$O$729,예비비!$B$430:$B$729,예비비!$A250,예비비!$E$430:$E$729,"&lt;"&amp;EDATE(BS$99,1),예비비!$F$430:$F$729,"결제대금비")+MAX(0,IF(예비비!$D250&lt;EDATE(BS$99,1),예비비!$E250,0)-SUMIFS(예비비!$O$430:$O$729,예비비!$B$430:$B$729,예비비!$A250,예비비!$E$430:$E$729,"&lt;"&amp;EDATE(BS$99,1))),0)</f>
        <v>0</v>
      </c>
      <c r="BT250">
        <f>IF(예비비!$R250="OK",SUMIFS(예비비!$O$430:$O$729,예비비!$B$430:$B$729,예비비!$A250,예비비!$E$430:$E$729,"&lt;"&amp;EDATE(BT$99,1),예비비!$F$430:$F$729,"결제대금비")+MAX(0,IF(예비비!$D250&lt;EDATE(BT$99,1),예비비!$E250,0)-SUMIFS(예비비!$O$430:$O$729,예비비!$B$430:$B$729,예비비!$A250,예비비!$E$430:$E$729,"&lt;"&amp;EDATE(BT$99,1))),0)</f>
        <v>0</v>
      </c>
      <c r="BU250">
        <f>IF(예비비!$R250="OK",SUMIFS(예비비!$O$430:$O$729,예비비!$B$430:$B$729,예비비!$A250,예비비!$E$430:$E$729,"&lt;"&amp;EDATE(BU$99,1),예비비!$F$430:$F$729,"결제대금비")+MAX(0,IF(예비비!$D250&lt;EDATE(BU$99,1),예비비!$E250,0)-SUMIFS(예비비!$O$430:$O$729,예비비!$B$430:$B$729,예비비!$A250,예비비!$E$430:$E$729,"&lt;"&amp;EDATE(BU$99,1))),0)</f>
        <v>0</v>
      </c>
    </row>
    <row r="251">
      <c r="BA251">
        <v>195</v>
      </c>
      <c r="BB251">
        <f>IFERROR(INDEX(잔액!$A:$A,BA251),0)</f>
        <v>46235.0</v>
      </c>
      <c r="BH251">
        <f>IFERROR(IF(AND(BB251&gt;0,OR(COUNTIFS(예비비!$C$430:$C$729,BA251,예비비!$N$430:$N$729,"OK")&gt;0,AND(INDEX(잔액!$J:$J,BA251)="가족통장",INDEX(잔액!$K:$K,BA251)="미래에셋_WRAP형CMA"),COUNTIF(예비비!$A$8:$A$12,INDEX(잔액!$C:$C,BA251))=1,COUNTIF(예비비!$A$8:$A$12,INDEX(잔액!$D:$D,BA251))=1),OR(AND(BB251&gt;=예비비!$B$3,BB251&lt;EDATE(예비비!$B$3,1)),AND(BB251&lt;EDATE(예비비!$B$3,1),COUNTIFS(예비비!$C$430:$C$729,BA251,예비비!$L$430:$L$729,예비비!$B$3,예비비!$N$430:$N$729,"OK")&gt;0))),MAX($BH$120:BH250)+1,0),0)</f>
        <v>0</v>
      </c>
      <c r="BI251">
        <f>IF(예비비!$R251="OK",SUMIFS(예비비!$O$430:$O$729,예비비!$B$430:$B$729,예비비!$A251,예비비!$E$430:$E$729,"&lt;"&amp;EDATE(BI$99,1),예비비!$F$430:$F$729,"결제대금비")+MAX(0,IF(예비비!$D251&lt;EDATE(BI$99,1),예비비!$E251,0)-SUMIFS(예비비!$O$430:$O$729,예비비!$B$430:$B$729,예비비!$A251,예비비!$E$430:$E$729,"&lt;"&amp;EDATE(BI$99,1))),0)</f>
        <v>0</v>
      </c>
      <c r="BJ251">
        <f>IF(예비비!$R251="OK",SUMIFS(예비비!$O$430:$O$729,예비비!$B$430:$B$729,예비비!$A251,예비비!$E$430:$E$729,"&lt;"&amp;EDATE(BJ$99,1),예비비!$F$430:$F$729,"결제대금비")+MAX(0,IF(예비비!$D251&lt;EDATE(BJ$99,1),예비비!$E251,0)-SUMIFS(예비비!$O$430:$O$729,예비비!$B$430:$B$729,예비비!$A251,예비비!$E$430:$E$729,"&lt;"&amp;EDATE(BJ$99,1))),0)</f>
        <v>0</v>
      </c>
      <c r="BK251">
        <f>IF(예비비!$R251="OK",SUMIFS(예비비!$O$430:$O$729,예비비!$B$430:$B$729,예비비!$A251,예비비!$E$430:$E$729,"&lt;"&amp;EDATE(BK$99,1),예비비!$F$430:$F$729,"결제대금비")+MAX(0,IF(예비비!$D251&lt;EDATE(BK$99,1),예비비!$E251,0)-SUMIFS(예비비!$O$430:$O$729,예비비!$B$430:$B$729,예비비!$A251,예비비!$E$430:$E$729,"&lt;"&amp;EDATE(BK$99,1))),0)</f>
        <v>0</v>
      </c>
      <c r="BL251">
        <f>IF(예비비!$R251="OK",SUMIFS(예비비!$O$430:$O$729,예비비!$B$430:$B$729,예비비!$A251,예비비!$E$430:$E$729,"&lt;"&amp;EDATE(BL$99,1),예비비!$F$430:$F$729,"결제대금비")+MAX(0,IF(예비비!$D251&lt;EDATE(BL$99,1),예비비!$E251,0)-SUMIFS(예비비!$O$430:$O$729,예비비!$B$430:$B$729,예비비!$A251,예비비!$E$430:$E$729,"&lt;"&amp;EDATE(BL$99,1))),0)</f>
        <v>0</v>
      </c>
      <c r="BM251">
        <f>IF(예비비!$R251="OK",SUMIFS(예비비!$O$430:$O$729,예비비!$B$430:$B$729,예비비!$A251,예비비!$E$430:$E$729,"&lt;"&amp;EDATE(BM$99,1),예비비!$F$430:$F$729,"결제대금비")+MAX(0,IF(예비비!$D251&lt;EDATE(BM$99,1),예비비!$E251,0)-SUMIFS(예비비!$O$430:$O$729,예비비!$B$430:$B$729,예비비!$A251,예비비!$E$430:$E$729,"&lt;"&amp;EDATE(BM$99,1))),0)</f>
        <v>0</v>
      </c>
      <c r="BN251">
        <f>IF(예비비!$R251="OK",SUMIFS(예비비!$O$430:$O$729,예비비!$B$430:$B$729,예비비!$A251,예비비!$E$430:$E$729,"&lt;"&amp;EDATE(BN$99,1),예비비!$F$430:$F$729,"결제대금비")+MAX(0,IF(예비비!$D251&lt;EDATE(BN$99,1),예비비!$E251,0)-SUMIFS(예비비!$O$430:$O$729,예비비!$B$430:$B$729,예비비!$A251,예비비!$E$430:$E$729,"&lt;"&amp;EDATE(BN$99,1))),0)</f>
        <v>0</v>
      </c>
      <c r="BO251">
        <f>IF(예비비!$R251="OK",SUMIFS(예비비!$O$430:$O$729,예비비!$B$430:$B$729,예비비!$A251,예비비!$E$430:$E$729,"&lt;"&amp;EDATE(BO$99,1),예비비!$F$430:$F$729,"결제대금비")+MAX(0,IF(예비비!$D251&lt;EDATE(BO$99,1),예비비!$E251,0)-SUMIFS(예비비!$O$430:$O$729,예비비!$B$430:$B$729,예비비!$A251,예비비!$E$430:$E$729,"&lt;"&amp;EDATE(BO$99,1))),0)</f>
        <v>0</v>
      </c>
      <c r="BP251">
        <f>IF(예비비!$R251="OK",SUMIFS(예비비!$O$430:$O$729,예비비!$B$430:$B$729,예비비!$A251,예비비!$E$430:$E$729,"&lt;"&amp;EDATE(BP$99,1),예비비!$F$430:$F$729,"결제대금비")+MAX(0,IF(예비비!$D251&lt;EDATE(BP$99,1),예비비!$E251,0)-SUMIFS(예비비!$O$430:$O$729,예비비!$B$430:$B$729,예비비!$A251,예비비!$E$430:$E$729,"&lt;"&amp;EDATE(BP$99,1))),0)</f>
        <v>0</v>
      </c>
      <c r="BQ251">
        <f>IF(예비비!$R251="OK",SUMIFS(예비비!$O$430:$O$729,예비비!$B$430:$B$729,예비비!$A251,예비비!$E$430:$E$729,"&lt;"&amp;EDATE(BQ$99,1),예비비!$F$430:$F$729,"결제대금비")+MAX(0,IF(예비비!$D251&lt;EDATE(BQ$99,1),예비비!$E251,0)-SUMIFS(예비비!$O$430:$O$729,예비비!$B$430:$B$729,예비비!$A251,예비비!$E$430:$E$729,"&lt;"&amp;EDATE(BQ$99,1))),0)</f>
        <v>0</v>
      </c>
      <c r="BR251">
        <f>IF(예비비!$R251="OK",SUMIFS(예비비!$O$430:$O$729,예비비!$B$430:$B$729,예비비!$A251,예비비!$E$430:$E$729,"&lt;"&amp;EDATE(BR$99,1),예비비!$F$430:$F$729,"결제대금비")+MAX(0,IF(예비비!$D251&lt;EDATE(BR$99,1),예비비!$E251,0)-SUMIFS(예비비!$O$430:$O$729,예비비!$B$430:$B$729,예비비!$A251,예비비!$E$430:$E$729,"&lt;"&amp;EDATE(BR$99,1))),0)</f>
        <v>0</v>
      </c>
      <c r="BS251">
        <f>IF(예비비!$R251="OK",SUMIFS(예비비!$O$430:$O$729,예비비!$B$430:$B$729,예비비!$A251,예비비!$E$430:$E$729,"&lt;"&amp;EDATE(BS$99,1),예비비!$F$430:$F$729,"결제대금비")+MAX(0,IF(예비비!$D251&lt;EDATE(BS$99,1),예비비!$E251,0)-SUMIFS(예비비!$O$430:$O$729,예비비!$B$430:$B$729,예비비!$A251,예비비!$E$430:$E$729,"&lt;"&amp;EDATE(BS$99,1))),0)</f>
        <v>0</v>
      </c>
      <c r="BT251">
        <f>IF(예비비!$R251="OK",SUMIFS(예비비!$O$430:$O$729,예비비!$B$430:$B$729,예비비!$A251,예비비!$E$430:$E$729,"&lt;"&amp;EDATE(BT$99,1),예비비!$F$430:$F$729,"결제대금비")+MAX(0,IF(예비비!$D251&lt;EDATE(BT$99,1),예비비!$E251,0)-SUMIFS(예비비!$O$430:$O$729,예비비!$B$430:$B$729,예비비!$A251,예비비!$E$430:$E$729,"&lt;"&amp;EDATE(BT$99,1))),0)</f>
        <v>0</v>
      </c>
      <c r="BU251">
        <f>IF(예비비!$R251="OK",SUMIFS(예비비!$O$430:$O$729,예비비!$B$430:$B$729,예비비!$A251,예비비!$E$430:$E$729,"&lt;"&amp;EDATE(BU$99,1),예비비!$F$430:$F$729,"결제대금비")+MAX(0,IF(예비비!$D251&lt;EDATE(BU$99,1),예비비!$E251,0)-SUMIFS(예비비!$O$430:$O$729,예비비!$B$430:$B$729,예비비!$A251,예비비!$E$430:$E$729,"&lt;"&amp;EDATE(BU$99,1))),0)</f>
        <v>0</v>
      </c>
    </row>
    <row r="252">
      <c r="BA252">
        <v>196</v>
      </c>
      <c r="BB252">
        <f>IFERROR(INDEX(잔액!$A:$A,BA252),0)</f>
        <v>46235.0</v>
      </c>
      <c r="BH252">
        <f>IFERROR(IF(AND(BB252&gt;0,OR(COUNTIFS(예비비!$C$430:$C$729,BA252,예비비!$N$430:$N$729,"OK")&gt;0,AND(INDEX(잔액!$J:$J,BA252)="가족통장",INDEX(잔액!$K:$K,BA252)="미래에셋_WRAP형CMA"),COUNTIF(예비비!$A$8:$A$12,INDEX(잔액!$C:$C,BA252))=1,COUNTIF(예비비!$A$8:$A$12,INDEX(잔액!$D:$D,BA252))=1),OR(AND(BB252&gt;=예비비!$B$3,BB252&lt;EDATE(예비비!$B$3,1)),AND(BB252&lt;EDATE(예비비!$B$3,1),COUNTIFS(예비비!$C$430:$C$729,BA252,예비비!$L$430:$L$729,예비비!$B$3,예비비!$N$430:$N$729,"OK")&gt;0))),MAX($BH$120:BH251)+1,0),0)</f>
        <v>0</v>
      </c>
      <c r="BI252">
        <f>IF(예비비!$R252="OK",SUMIFS(예비비!$O$430:$O$729,예비비!$B$430:$B$729,예비비!$A252,예비비!$E$430:$E$729,"&lt;"&amp;EDATE(BI$99,1),예비비!$F$430:$F$729,"결제대금비")+MAX(0,IF(예비비!$D252&lt;EDATE(BI$99,1),예비비!$E252,0)-SUMIFS(예비비!$O$430:$O$729,예비비!$B$430:$B$729,예비비!$A252,예비비!$E$430:$E$729,"&lt;"&amp;EDATE(BI$99,1))),0)</f>
        <v>0</v>
      </c>
      <c r="BJ252">
        <f>IF(예비비!$R252="OK",SUMIFS(예비비!$O$430:$O$729,예비비!$B$430:$B$729,예비비!$A252,예비비!$E$430:$E$729,"&lt;"&amp;EDATE(BJ$99,1),예비비!$F$430:$F$729,"결제대금비")+MAX(0,IF(예비비!$D252&lt;EDATE(BJ$99,1),예비비!$E252,0)-SUMIFS(예비비!$O$430:$O$729,예비비!$B$430:$B$729,예비비!$A252,예비비!$E$430:$E$729,"&lt;"&amp;EDATE(BJ$99,1))),0)</f>
        <v>0</v>
      </c>
      <c r="BK252">
        <f>IF(예비비!$R252="OK",SUMIFS(예비비!$O$430:$O$729,예비비!$B$430:$B$729,예비비!$A252,예비비!$E$430:$E$729,"&lt;"&amp;EDATE(BK$99,1),예비비!$F$430:$F$729,"결제대금비")+MAX(0,IF(예비비!$D252&lt;EDATE(BK$99,1),예비비!$E252,0)-SUMIFS(예비비!$O$430:$O$729,예비비!$B$430:$B$729,예비비!$A252,예비비!$E$430:$E$729,"&lt;"&amp;EDATE(BK$99,1))),0)</f>
        <v>0</v>
      </c>
      <c r="BL252">
        <f>IF(예비비!$R252="OK",SUMIFS(예비비!$O$430:$O$729,예비비!$B$430:$B$729,예비비!$A252,예비비!$E$430:$E$729,"&lt;"&amp;EDATE(BL$99,1),예비비!$F$430:$F$729,"결제대금비")+MAX(0,IF(예비비!$D252&lt;EDATE(BL$99,1),예비비!$E252,0)-SUMIFS(예비비!$O$430:$O$729,예비비!$B$430:$B$729,예비비!$A252,예비비!$E$430:$E$729,"&lt;"&amp;EDATE(BL$99,1))),0)</f>
        <v>0</v>
      </c>
      <c r="BM252">
        <f>IF(예비비!$R252="OK",SUMIFS(예비비!$O$430:$O$729,예비비!$B$430:$B$729,예비비!$A252,예비비!$E$430:$E$729,"&lt;"&amp;EDATE(BM$99,1),예비비!$F$430:$F$729,"결제대금비")+MAX(0,IF(예비비!$D252&lt;EDATE(BM$99,1),예비비!$E252,0)-SUMIFS(예비비!$O$430:$O$729,예비비!$B$430:$B$729,예비비!$A252,예비비!$E$430:$E$729,"&lt;"&amp;EDATE(BM$99,1))),0)</f>
        <v>0</v>
      </c>
      <c r="BN252">
        <f>IF(예비비!$R252="OK",SUMIFS(예비비!$O$430:$O$729,예비비!$B$430:$B$729,예비비!$A252,예비비!$E$430:$E$729,"&lt;"&amp;EDATE(BN$99,1),예비비!$F$430:$F$729,"결제대금비")+MAX(0,IF(예비비!$D252&lt;EDATE(BN$99,1),예비비!$E252,0)-SUMIFS(예비비!$O$430:$O$729,예비비!$B$430:$B$729,예비비!$A252,예비비!$E$430:$E$729,"&lt;"&amp;EDATE(BN$99,1))),0)</f>
        <v>0</v>
      </c>
      <c r="BO252">
        <f>IF(예비비!$R252="OK",SUMIFS(예비비!$O$430:$O$729,예비비!$B$430:$B$729,예비비!$A252,예비비!$E$430:$E$729,"&lt;"&amp;EDATE(BO$99,1),예비비!$F$430:$F$729,"결제대금비")+MAX(0,IF(예비비!$D252&lt;EDATE(BO$99,1),예비비!$E252,0)-SUMIFS(예비비!$O$430:$O$729,예비비!$B$430:$B$729,예비비!$A252,예비비!$E$430:$E$729,"&lt;"&amp;EDATE(BO$99,1))),0)</f>
        <v>0</v>
      </c>
      <c r="BP252">
        <f>IF(예비비!$R252="OK",SUMIFS(예비비!$O$430:$O$729,예비비!$B$430:$B$729,예비비!$A252,예비비!$E$430:$E$729,"&lt;"&amp;EDATE(BP$99,1),예비비!$F$430:$F$729,"결제대금비")+MAX(0,IF(예비비!$D252&lt;EDATE(BP$99,1),예비비!$E252,0)-SUMIFS(예비비!$O$430:$O$729,예비비!$B$430:$B$729,예비비!$A252,예비비!$E$430:$E$729,"&lt;"&amp;EDATE(BP$99,1))),0)</f>
        <v>0</v>
      </c>
      <c r="BQ252">
        <f>IF(예비비!$R252="OK",SUMIFS(예비비!$O$430:$O$729,예비비!$B$430:$B$729,예비비!$A252,예비비!$E$430:$E$729,"&lt;"&amp;EDATE(BQ$99,1),예비비!$F$430:$F$729,"결제대금비")+MAX(0,IF(예비비!$D252&lt;EDATE(BQ$99,1),예비비!$E252,0)-SUMIFS(예비비!$O$430:$O$729,예비비!$B$430:$B$729,예비비!$A252,예비비!$E$430:$E$729,"&lt;"&amp;EDATE(BQ$99,1))),0)</f>
        <v>0</v>
      </c>
      <c r="BR252">
        <f>IF(예비비!$R252="OK",SUMIFS(예비비!$O$430:$O$729,예비비!$B$430:$B$729,예비비!$A252,예비비!$E$430:$E$729,"&lt;"&amp;EDATE(BR$99,1),예비비!$F$430:$F$729,"결제대금비")+MAX(0,IF(예비비!$D252&lt;EDATE(BR$99,1),예비비!$E252,0)-SUMIFS(예비비!$O$430:$O$729,예비비!$B$430:$B$729,예비비!$A252,예비비!$E$430:$E$729,"&lt;"&amp;EDATE(BR$99,1))),0)</f>
        <v>0</v>
      </c>
      <c r="BS252">
        <f>IF(예비비!$R252="OK",SUMIFS(예비비!$O$430:$O$729,예비비!$B$430:$B$729,예비비!$A252,예비비!$E$430:$E$729,"&lt;"&amp;EDATE(BS$99,1),예비비!$F$430:$F$729,"결제대금비")+MAX(0,IF(예비비!$D252&lt;EDATE(BS$99,1),예비비!$E252,0)-SUMIFS(예비비!$O$430:$O$729,예비비!$B$430:$B$729,예비비!$A252,예비비!$E$430:$E$729,"&lt;"&amp;EDATE(BS$99,1))),0)</f>
        <v>0</v>
      </c>
      <c r="BT252">
        <f>IF(예비비!$R252="OK",SUMIFS(예비비!$O$430:$O$729,예비비!$B$430:$B$729,예비비!$A252,예비비!$E$430:$E$729,"&lt;"&amp;EDATE(BT$99,1),예비비!$F$430:$F$729,"결제대금비")+MAX(0,IF(예비비!$D252&lt;EDATE(BT$99,1),예비비!$E252,0)-SUMIFS(예비비!$O$430:$O$729,예비비!$B$430:$B$729,예비비!$A252,예비비!$E$430:$E$729,"&lt;"&amp;EDATE(BT$99,1))),0)</f>
        <v>0</v>
      </c>
      <c r="BU252">
        <f>IF(예비비!$R252="OK",SUMIFS(예비비!$O$430:$O$729,예비비!$B$430:$B$729,예비비!$A252,예비비!$E$430:$E$729,"&lt;"&amp;EDATE(BU$99,1),예비비!$F$430:$F$729,"결제대금비")+MAX(0,IF(예비비!$D252&lt;EDATE(BU$99,1),예비비!$E252,0)-SUMIFS(예비비!$O$430:$O$729,예비비!$B$430:$B$729,예비비!$A252,예비비!$E$430:$E$729,"&lt;"&amp;EDATE(BU$99,1))),0)</f>
        <v>0</v>
      </c>
    </row>
    <row r="253">
      <c r="BA253">
        <v>197</v>
      </c>
      <c r="BB253">
        <f>IFERROR(INDEX(잔액!$A:$A,BA253),0)</f>
        <v>46235.0</v>
      </c>
      <c r="BH253">
        <f>IFERROR(IF(AND(BB253&gt;0,OR(COUNTIFS(예비비!$C$430:$C$729,BA253,예비비!$N$430:$N$729,"OK")&gt;0,AND(INDEX(잔액!$J:$J,BA253)="가족통장",INDEX(잔액!$K:$K,BA253)="미래에셋_WRAP형CMA"),COUNTIF(예비비!$A$8:$A$12,INDEX(잔액!$C:$C,BA253))=1,COUNTIF(예비비!$A$8:$A$12,INDEX(잔액!$D:$D,BA253))=1),OR(AND(BB253&gt;=예비비!$B$3,BB253&lt;EDATE(예비비!$B$3,1)),AND(BB253&lt;EDATE(예비비!$B$3,1),COUNTIFS(예비비!$C$430:$C$729,BA253,예비비!$L$430:$L$729,예비비!$B$3,예비비!$N$430:$N$729,"OK")&gt;0))),MAX($BH$120:BH252)+1,0),0)</f>
        <v>0</v>
      </c>
      <c r="BI253">
        <f>IF(예비비!$R253="OK",SUMIFS(예비비!$O$430:$O$729,예비비!$B$430:$B$729,예비비!$A253,예비비!$E$430:$E$729,"&lt;"&amp;EDATE(BI$99,1),예비비!$F$430:$F$729,"결제대금비")+MAX(0,IF(예비비!$D253&lt;EDATE(BI$99,1),예비비!$E253,0)-SUMIFS(예비비!$O$430:$O$729,예비비!$B$430:$B$729,예비비!$A253,예비비!$E$430:$E$729,"&lt;"&amp;EDATE(BI$99,1))),0)</f>
        <v>0</v>
      </c>
      <c r="BJ253">
        <f>IF(예비비!$R253="OK",SUMIFS(예비비!$O$430:$O$729,예비비!$B$430:$B$729,예비비!$A253,예비비!$E$430:$E$729,"&lt;"&amp;EDATE(BJ$99,1),예비비!$F$430:$F$729,"결제대금비")+MAX(0,IF(예비비!$D253&lt;EDATE(BJ$99,1),예비비!$E253,0)-SUMIFS(예비비!$O$430:$O$729,예비비!$B$430:$B$729,예비비!$A253,예비비!$E$430:$E$729,"&lt;"&amp;EDATE(BJ$99,1))),0)</f>
        <v>0</v>
      </c>
      <c r="BK253">
        <f>IF(예비비!$R253="OK",SUMIFS(예비비!$O$430:$O$729,예비비!$B$430:$B$729,예비비!$A253,예비비!$E$430:$E$729,"&lt;"&amp;EDATE(BK$99,1),예비비!$F$430:$F$729,"결제대금비")+MAX(0,IF(예비비!$D253&lt;EDATE(BK$99,1),예비비!$E253,0)-SUMIFS(예비비!$O$430:$O$729,예비비!$B$430:$B$729,예비비!$A253,예비비!$E$430:$E$729,"&lt;"&amp;EDATE(BK$99,1))),0)</f>
        <v>0</v>
      </c>
      <c r="BL253">
        <f>IF(예비비!$R253="OK",SUMIFS(예비비!$O$430:$O$729,예비비!$B$430:$B$729,예비비!$A253,예비비!$E$430:$E$729,"&lt;"&amp;EDATE(BL$99,1),예비비!$F$430:$F$729,"결제대금비")+MAX(0,IF(예비비!$D253&lt;EDATE(BL$99,1),예비비!$E253,0)-SUMIFS(예비비!$O$430:$O$729,예비비!$B$430:$B$729,예비비!$A253,예비비!$E$430:$E$729,"&lt;"&amp;EDATE(BL$99,1))),0)</f>
        <v>0</v>
      </c>
      <c r="BM253">
        <f>IF(예비비!$R253="OK",SUMIFS(예비비!$O$430:$O$729,예비비!$B$430:$B$729,예비비!$A253,예비비!$E$430:$E$729,"&lt;"&amp;EDATE(BM$99,1),예비비!$F$430:$F$729,"결제대금비")+MAX(0,IF(예비비!$D253&lt;EDATE(BM$99,1),예비비!$E253,0)-SUMIFS(예비비!$O$430:$O$729,예비비!$B$430:$B$729,예비비!$A253,예비비!$E$430:$E$729,"&lt;"&amp;EDATE(BM$99,1))),0)</f>
        <v>0</v>
      </c>
      <c r="BN253">
        <f>IF(예비비!$R253="OK",SUMIFS(예비비!$O$430:$O$729,예비비!$B$430:$B$729,예비비!$A253,예비비!$E$430:$E$729,"&lt;"&amp;EDATE(BN$99,1),예비비!$F$430:$F$729,"결제대금비")+MAX(0,IF(예비비!$D253&lt;EDATE(BN$99,1),예비비!$E253,0)-SUMIFS(예비비!$O$430:$O$729,예비비!$B$430:$B$729,예비비!$A253,예비비!$E$430:$E$729,"&lt;"&amp;EDATE(BN$99,1))),0)</f>
        <v>0</v>
      </c>
      <c r="BO253">
        <f>IF(예비비!$R253="OK",SUMIFS(예비비!$O$430:$O$729,예비비!$B$430:$B$729,예비비!$A253,예비비!$E$430:$E$729,"&lt;"&amp;EDATE(BO$99,1),예비비!$F$430:$F$729,"결제대금비")+MAX(0,IF(예비비!$D253&lt;EDATE(BO$99,1),예비비!$E253,0)-SUMIFS(예비비!$O$430:$O$729,예비비!$B$430:$B$729,예비비!$A253,예비비!$E$430:$E$729,"&lt;"&amp;EDATE(BO$99,1))),0)</f>
        <v>0</v>
      </c>
      <c r="BP253">
        <f>IF(예비비!$R253="OK",SUMIFS(예비비!$O$430:$O$729,예비비!$B$430:$B$729,예비비!$A253,예비비!$E$430:$E$729,"&lt;"&amp;EDATE(BP$99,1),예비비!$F$430:$F$729,"결제대금비")+MAX(0,IF(예비비!$D253&lt;EDATE(BP$99,1),예비비!$E253,0)-SUMIFS(예비비!$O$430:$O$729,예비비!$B$430:$B$729,예비비!$A253,예비비!$E$430:$E$729,"&lt;"&amp;EDATE(BP$99,1))),0)</f>
        <v>0</v>
      </c>
      <c r="BQ253">
        <f>IF(예비비!$R253="OK",SUMIFS(예비비!$O$430:$O$729,예비비!$B$430:$B$729,예비비!$A253,예비비!$E$430:$E$729,"&lt;"&amp;EDATE(BQ$99,1),예비비!$F$430:$F$729,"결제대금비")+MAX(0,IF(예비비!$D253&lt;EDATE(BQ$99,1),예비비!$E253,0)-SUMIFS(예비비!$O$430:$O$729,예비비!$B$430:$B$729,예비비!$A253,예비비!$E$430:$E$729,"&lt;"&amp;EDATE(BQ$99,1))),0)</f>
        <v>0</v>
      </c>
      <c r="BR253">
        <f>IF(예비비!$R253="OK",SUMIFS(예비비!$O$430:$O$729,예비비!$B$430:$B$729,예비비!$A253,예비비!$E$430:$E$729,"&lt;"&amp;EDATE(BR$99,1),예비비!$F$430:$F$729,"결제대금비")+MAX(0,IF(예비비!$D253&lt;EDATE(BR$99,1),예비비!$E253,0)-SUMIFS(예비비!$O$430:$O$729,예비비!$B$430:$B$729,예비비!$A253,예비비!$E$430:$E$729,"&lt;"&amp;EDATE(BR$99,1))),0)</f>
        <v>0</v>
      </c>
      <c r="BS253">
        <f>IF(예비비!$R253="OK",SUMIFS(예비비!$O$430:$O$729,예비비!$B$430:$B$729,예비비!$A253,예비비!$E$430:$E$729,"&lt;"&amp;EDATE(BS$99,1),예비비!$F$430:$F$729,"결제대금비")+MAX(0,IF(예비비!$D253&lt;EDATE(BS$99,1),예비비!$E253,0)-SUMIFS(예비비!$O$430:$O$729,예비비!$B$430:$B$729,예비비!$A253,예비비!$E$430:$E$729,"&lt;"&amp;EDATE(BS$99,1))),0)</f>
        <v>0</v>
      </c>
      <c r="BT253">
        <f>IF(예비비!$R253="OK",SUMIFS(예비비!$O$430:$O$729,예비비!$B$430:$B$729,예비비!$A253,예비비!$E$430:$E$729,"&lt;"&amp;EDATE(BT$99,1),예비비!$F$430:$F$729,"결제대금비")+MAX(0,IF(예비비!$D253&lt;EDATE(BT$99,1),예비비!$E253,0)-SUMIFS(예비비!$O$430:$O$729,예비비!$B$430:$B$729,예비비!$A253,예비비!$E$430:$E$729,"&lt;"&amp;EDATE(BT$99,1))),0)</f>
        <v>0</v>
      </c>
      <c r="BU253">
        <f>IF(예비비!$R253="OK",SUMIFS(예비비!$O$430:$O$729,예비비!$B$430:$B$729,예비비!$A253,예비비!$E$430:$E$729,"&lt;"&amp;EDATE(BU$99,1),예비비!$F$430:$F$729,"결제대금비")+MAX(0,IF(예비비!$D253&lt;EDATE(BU$99,1),예비비!$E253,0)-SUMIFS(예비비!$O$430:$O$729,예비비!$B$430:$B$729,예비비!$A253,예비비!$E$430:$E$729,"&lt;"&amp;EDATE(BU$99,1))),0)</f>
        <v>0</v>
      </c>
    </row>
    <row r="254">
      <c r="BA254">
        <v>198</v>
      </c>
      <c r="BB254">
        <f>IFERROR(INDEX(잔액!$A:$A,BA254),0)</f>
        <v>46235.0</v>
      </c>
      <c r="BH254">
        <f>IFERROR(IF(AND(BB254&gt;0,OR(COUNTIFS(예비비!$C$430:$C$729,BA254,예비비!$N$430:$N$729,"OK")&gt;0,AND(INDEX(잔액!$J:$J,BA254)="가족통장",INDEX(잔액!$K:$K,BA254)="미래에셋_WRAP형CMA"),COUNTIF(예비비!$A$8:$A$12,INDEX(잔액!$C:$C,BA254))=1,COUNTIF(예비비!$A$8:$A$12,INDEX(잔액!$D:$D,BA254))=1),OR(AND(BB254&gt;=예비비!$B$3,BB254&lt;EDATE(예비비!$B$3,1)),AND(BB254&lt;EDATE(예비비!$B$3,1),COUNTIFS(예비비!$C$430:$C$729,BA254,예비비!$L$430:$L$729,예비비!$B$3,예비비!$N$430:$N$729,"OK")&gt;0))),MAX($BH$120:BH253)+1,0),0)</f>
        <v>0</v>
      </c>
      <c r="BI254">
        <f>IF(예비비!$R254="OK",SUMIFS(예비비!$O$430:$O$729,예비비!$B$430:$B$729,예비비!$A254,예비비!$E$430:$E$729,"&lt;"&amp;EDATE(BI$99,1),예비비!$F$430:$F$729,"결제대금비")+MAX(0,IF(예비비!$D254&lt;EDATE(BI$99,1),예비비!$E254,0)-SUMIFS(예비비!$O$430:$O$729,예비비!$B$430:$B$729,예비비!$A254,예비비!$E$430:$E$729,"&lt;"&amp;EDATE(BI$99,1))),0)</f>
        <v>0</v>
      </c>
      <c r="BJ254">
        <f>IF(예비비!$R254="OK",SUMIFS(예비비!$O$430:$O$729,예비비!$B$430:$B$729,예비비!$A254,예비비!$E$430:$E$729,"&lt;"&amp;EDATE(BJ$99,1),예비비!$F$430:$F$729,"결제대금비")+MAX(0,IF(예비비!$D254&lt;EDATE(BJ$99,1),예비비!$E254,0)-SUMIFS(예비비!$O$430:$O$729,예비비!$B$430:$B$729,예비비!$A254,예비비!$E$430:$E$729,"&lt;"&amp;EDATE(BJ$99,1))),0)</f>
        <v>0</v>
      </c>
      <c r="BK254">
        <f>IF(예비비!$R254="OK",SUMIFS(예비비!$O$430:$O$729,예비비!$B$430:$B$729,예비비!$A254,예비비!$E$430:$E$729,"&lt;"&amp;EDATE(BK$99,1),예비비!$F$430:$F$729,"결제대금비")+MAX(0,IF(예비비!$D254&lt;EDATE(BK$99,1),예비비!$E254,0)-SUMIFS(예비비!$O$430:$O$729,예비비!$B$430:$B$729,예비비!$A254,예비비!$E$430:$E$729,"&lt;"&amp;EDATE(BK$99,1))),0)</f>
        <v>0</v>
      </c>
      <c r="BL254">
        <f>IF(예비비!$R254="OK",SUMIFS(예비비!$O$430:$O$729,예비비!$B$430:$B$729,예비비!$A254,예비비!$E$430:$E$729,"&lt;"&amp;EDATE(BL$99,1),예비비!$F$430:$F$729,"결제대금비")+MAX(0,IF(예비비!$D254&lt;EDATE(BL$99,1),예비비!$E254,0)-SUMIFS(예비비!$O$430:$O$729,예비비!$B$430:$B$729,예비비!$A254,예비비!$E$430:$E$729,"&lt;"&amp;EDATE(BL$99,1))),0)</f>
        <v>0</v>
      </c>
      <c r="BM254">
        <f>IF(예비비!$R254="OK",SUMIFS(예비비!$O$430:$O$729,예비비!$B$430:$B$729,예비비!$A254,예비비!$E$430:$E$729,"&lt;"&amp;EDATE(BM$99,1),예비비!$F$430:$F$729,"결제대금비")+MAX(0,IF(예비비!$D254&lt;EDATE(BM$99,1),예비비!$E254,0)-SUMIFS(예비비!$O$430:$O$729,예비비!$B$430:$B$729,예비비!$A254,예비비!$E$430:$E$729,"&lt;"&amp;EDATE(BM$99,1))),0)</f>
        <v>0</v>
      </c>
      <c r="BN254">
        <f>IF(예비비!$R254="OK",SUMIFS(예비비!$O$430:$O$729,예비비!$B$430:$B$729,예비비!$A254,예비비!$E$430:$E$729,"&lt;"&amp;EDATE(BN$99,1),예비비!$F$430:$F$729,"결제대금비")+MAX(0,IF(예비비!$D254&lt;EDATE(BN$99,1),예비비!$E254,0)-SUMIFS(예비비!$O$430:$O$729,예비비!$B$430:$B$729,예비비!$A254,예비비!$E$430:$E$729,"&lt;"&amp;EDATE(BN$99,1))),0)</f>
        <v>0</v>
      </c>
      <c r="BO254">
        <f>IF(예비비!$R254="OK",SUMIFS(예비비!$O$430:$O$729,예비비!$B$430:$B$729,예비비!$A254,예비비!$E$430:$E$729,"&lt;"&amp;EDATE(BO$99,1),예비비!$F$430:$F$729,"결제대금비")+MAX(0,IF(예비비!$D254&lt;EDATE(BO$99,1),예비비!$E254,0)-SUMIFS(예비비!$O$430:$O$729,예비비!$B$430:$B$729,예비비!$A254,예비비!$E$430:$E$729,"&lt;"&amp;EDATE(BO$99,1))),0)</f>
        <v>0</v>
      </c>
      <c r="BP254">
        <f>IF(예비비!$R254="OK",SUMIFS(예비비!$O$430:$O$729,예비비!$B$430:$B$729,예비비!$A254,예비비!$E$430:$E$729,"&lt;"&amp;EDATE(BP$99,1),예비비!$F$430:$F$729,"결제대금비")+MAX(0,IF(예비비!$D254&lt;EDATE(BP$99,1),예비비!$E254,0)-SUMIFS(예비비!$O$430:$O$729,예비비!$B$430:$B$729,예비비!$A254,예비비!$E$430:$E$729,"&lt;"&amp;EDATE(BP$99,1))),0)</f>
        <v>0</v>
      </c>
      <c r="BQ254">
        <f>IF(예비비!$R254="OK",SUMIFS(예비비!$O$430:$O$729,예비비!$B$430:$B$729,예비비!$A254,예비비!$E$430:$E$729,"&lt;"&amp;EDATE(BQ$99,1),예비비!$F$430:$F$729,"결제대금비")+MAX(0,IF(예비비!$D254&lt;EDATE(BQ$99,1),예비비!$E254,0)-SUMIFS(예비비!$O$430:$O$729,예비비!$B$430:$B$729,예비비!$A254,예비비!$E$430:$E$729,"&lt;"&amp;EDATE(BQ$99,1))),0)</f>
        <v>0</v>
      </c>
      <c r="BR254">
        <f>IF(예비비!$R254="OK",SUMIFS(예비비!$O$430:$O$729,예비비!$B$430:$B$729,예비비!$A254,예비비!$E$430:$E$729,"&lt;"&amp;EDATE(BR$99,1),예비비!$F$430:$F$729,"결제대금비")+MAX(0,IF(예비비!$D254&lt;EDATE(BR$99,1),예비비!$E254,0)-SUMIFS(예비비!$O$430:$O$729,예비비!$B$430:$B$729,예비비!$A254,예비비!$E$430:$E$729,"&lt;"&amp;EDATE(BR$99,1))),0)</f>
        <v>0</v>
      </c>
      <c r="BS254">
        <f>IF(예비비!$R254="OK",SUMIFS(예비비!$O$430:$O$729,예비비!$B$430:$B$729,예비비!$A254,예비비!$E$430:$E$729,"&lt;"&amp;EDATE(BS$99,1),예비비!$F$430:$F$729,"결제대금비")+MAX(0,IF(예비비!$D254&lt;EDATE(BS$99,1),예비비!$E254,0)-SUMIFS(예비비!$O$430:$O$729,예비비!$B$430:$B$729,예비비!$A254,예비비!$E$430:$E$729,"&lt;"&amp;EDATE(BS$99,1))),0)</f>
        <v>0</v>
      </c>
      <c r="BT254">
        <f>IF(예비비!$R254="OK",SUMIFS(예비비!$O$430:$O$729,예비비!$B$430:$B$729,예비비!$A254,예비비!$E$430:$E$729,"&lt;"&amp;EDATE(BT$99,1),예비비!$F$430:$F$729,"결제대금비")+MAX(0,IF(예비비!$D254&lt;EDATE(BT$99,1),예비비!$E254,0)-SUMIFS(예비비!$O$430:$O$729,예비비!$B$430:$B$729,예비비!$A254,예비비!$E$430:$E$729,"&lt;"&amp;EDATE(BT$99,1))),0)</f>
        <v>0</v>
      </c>
      <c r="BU254">
        <f>IF(예비비!$R254="OK",SUMIFS(예비비!$O$430:$O$729,예비비!$B$430:$B$729,예비비!$A254,예비비!$E$430:$E$729,"&lt;"&amp;EDATE(BU$99,1),예비비!$F$430:$F$729,"결제대금비")+MAX(0,IF(예비비!$D254&lt;EDATE(BU$99,1),예비비!$E254,0)-SUMIFS(예비비!$O$430:$O$729,예비비!$B$430:$B$729,예비비!$A254,예비비!$E$430:$E$729,"&lt;"&amp;EDATE(BU$99,1))),0)</f>
        <v>0</v>
      </c>
    </row>
    <row r="255">
      <c r="BA255">
        <v>199</v>
      </c>
      <c r="BB255">
        <f>IFERROR(INDEX(잔액!$A:$A,BA255),0)</f>
        <v>46235.0</v>
      </c>
      <c r="BH255">
        <f>IFERROR(IF(AND(BB255&gt;0,OR(COUNTIFS(예비비!$C$430:$C$729,BA255,예비비!$N$430:$N$729,"OK")&gt;0,AND(INDEX(잔액!$J:$J,BA255)="가족통장",INDEX(잔액!$K:$K,BA255)="미래에셋_WRAP형CMA"),COUNTIF(예비비!$A$8:$A$12,INDEX(잔액!$C:$C,BA255))=1,COUNTIF(예비비!$A$8:$A$12,INDEX(잔액!$D:$D,BA255))=1),OR(AND(BB255&gt;=예비비!$B$3,BB255&lt;EDATE(예비비!$B$3,1)),AND(BB255&lt;EDATE(예비비!$B$3,1),COUNTIFS(예비비!$C$430:$C$729,BA255,예비비!$L$430:$L$729,예비비!$B$3,예비비!$N$430:$N$729,"OK")&gt;0))),MAX($BH$120:BH254)+1,0),0)</f>
        <v>0</v>
      </c>
      <c r="BI255">
        <f>IF(예비비!$R255="OK",SUMIFS(예비비!$O$430:$O$729,예비비!$B$430:$B$729,예비비!$A255,예비비!$E$430:$E$729,"&lt;"&amp;EDATE(BI$99,1),예비비!$F$430:$F$729,"결제대금비")+MAX(0,IF(예비비!$D255&lt;EDATE(BI$99,1),예비비!$E255,0)-SUMIFS(예비비!$O$430:$O$729,예비비!$B$430:$B$729,예비비!$A255,예비비!$E$430:$E$729,"&lt;"&amp;EDATE(BI$99,1))),0)</f>
        <v>0</v>
      </c>
      <c r="BJ255">
        <f>IF(예비비!$R255="OK",SUMIFS(예비비!$O$430:$O$729,예비비!$B$430:$B$729,예비비!$A255,예비비!$E$430:$E$729,"&lt;"&amp;EDATE(BJ$99,1),예비비!$F$430:$F$729,"결제대금비")+MAX(0,IF(예비비!$D255&lt;EDATE(BJ$99,1),예비비!$E255,0)-SUMIFS(예비비!$O$430:$O$729,예비비!$B$430:$B$729,예비비!$A255,예비비!$E$430:$E$729,"&lt;"&amp;EDATE(BJ$99,1))),0)</f>
        <v>0</v>
      </c>
      <c r="BK255">
        <f>IF(예비비!$R255="OK",SUMIFS(예비비!$O$430:$O$729,예비비!$B$430:$B$729,예비비!$A255,예비비!$E$430:$E$729,"&lt;"&amp;EDATE(BK$99,1),예비비!$F$430:$F$729,"결제대금비")+MAX(0,IF(예비비!$D255&lt;EDATE(BK$99,1),예비비!$E255,0)-SUMIFS(예비비!$O$430:$O$729,예비비!$B$430:$B$729,예비비!$A255,예비비!$E$430:$E$729,"&lt;"&amp;EDATE(BK$99,1))),0)</f>
        <v>0</v>
      </c>
      <c r="BL255">
        <f>IF(예비비!$R255="OK",SUMIFS(예비비!$O$430:$O$729,예비비!$B$430:$B$729,예비비!$A255,예비비!$E$430:$E$729,"&lt;"&amp;EDATE(BL$99,1),예비비!$F$430:$F$729,"결제대금비")+MAX(0,IF(예비비!$D255&lt;EDATE(BL$99,1),예비비!$E255,0)-SUMIFS(예비비!$O$430:$O$729,예비비!$B$430:$B$729,예비비!$A255,예비비!$E$430:$E$729,"&lt;"&amp;EDATE(BL$99,1))),0)</f>
        <v>0</v>
      </c>
      <c r="BM255">
        <f>IF(예비비!$R255="OK",SUMIFS(예비비!$O$430:$O$729,예비비!$B$430:$B$729,예비비!$A255,예비비!$E$430:$E$729,"&lt;"&amp;EDATE(BM$99,1),예비비!$F$430:$F$729,"결제대금비")+MAX(0,IF(예비비!$D255&lt;EDATE(BM$99,1),예비비!$E255,0)-SUMIFS(예비비!$O$430:$O$729,예비비!$B$430:$B$729,예비비!$A255,예비비!$E$430:$E$729,"&lt;"&amp;EDATE(BM$99,1))),0)</f>
        <v>0</v>
      </c>
      <c r="BN255">
        <f>IF(예비비!$R255="OK",SUMIFS(예비비!$O$430:$O$729,예비비!$B$430:$B$729,예비비!$A255,예비비!$E$430:$E$729,"&lt;"&amp;EDATE(BN$99,1),예비비!$F$430:$F$729,"결제대금비")+MAX(0,IF(예비비!$D255&lt;EDATE(BN$99,1),예비비!$E255,0)-SUMIFS(예비비!$O$430:$O$729,예비비!$B$430:$B$729,예비비!$A255,예비비!$E$430:$E$729,"&lt;"&amp;EDATE(BN$99,1))),0)</f>
        <v>0</v>
      </c>
      <c r="BO255">
        <f>IF(예비비!$R255="OK",SUMIFS(예비비!$O$430:$O$729,예비비!$B$430:$B$729,예비비!$A255,예비비!$E$430:$E$729,"&lt;"&amp;EDATE(BO$99,1),예비비!$F$430:$F$729,"결제대금비")+MAX(0,IF(예비비!$D255&lt;EDATE(BO$99,1),예비비!$E255,0)-SUMIFS(예비비!$O$430:$O$729,예비비!$B$430:$B$729,예비비!$A255,예비비!$E$430:$E$729,"&lt;"&amp;EDATE(BO$99,1))),0)</f>
        <v>0</v>
      </c>
      <c r="BP255">
        <f>IF(예비비!$R255="OK",SUMIFS(예비비!$O$430:$O$729,예비비!$B$430:$B$729,예비비!$A255,예비비!$E$430:$E$729,"&lt;"&amp;EDATE(BP$99,1),예비비!$F$430:$F$729,"결제대금비")+MAX(0,IF(예비비!$D255&lt;EDATE(BP$99,1),예비비!$E255,0)-SUMIFS(예비비!$O$430:$O$729,예비비!$B$430:$B$729,예비비!$A255,예비비!$E$430:$E$729,"&lt;"&amp;EDATE(BP$99,1))),0)</f>
        <v>0</v>
      </c>
      <c r="BQ255">
        <f>IF(예비비!$R255="OK",SUMIFS(예비비!$O$430:$O$729,예비비!$B$430:$B$729,예비비!$A255,예비비!$E$430:$E$729,"&lt;"&amp;EDATE(BQ$99,1),예비비!$F$430:$F$729,"결제대금비")+MAX(0,IF(예비비!$D255&lt;EDATE(BQ$99,1),예비비!$E255,0)-SUMIFS(예비비!$O$430:$O$729,예비비!$B$430:$B$729,예비비!$A255,예비비!$E$430:$E$729,"&lt;"&amp;EDATE(BQ$99,1))),0)</f>
        <v>0</v>
      </c>
      <c r="BR255">
        <f>IF(예비비!$R255="OK",SUMIFS(예비비!$O$430:$O$729,예비비!$B$430:$B$729,예비비!$A255,예비비!$E$430:$E$729,"&lt;"&amp;EDATE(BR$99,1),예비비!$F$430:$F$729,"결제대금비")+MAX(0,IF(예비비!$D255&lt;EDATE(BR$99,1),예비비!$E255,0)-SUMIFS(예비비!$O$430:$O$729,예비비!$B$430:$B$729,예비비!$A255,예비비!$E$430:$E$729,"&lt;"&amp;EDATE(BR$99,1))),0)</f>
        <v>0</v>
      </c>
      <c r="BS255">
        <f>IF(예비비!$R255="OK",SUMIFS(예비비!$O$430:$O$729,예비비!$B$430:$B$729,예비비!$A255,예비비!$E$430:$E$729,"&lt;"&amp;EDATE(BS$99,1),예비비!$F$430:$F$729,"결제대금비")+MAX(0,IF(예비비!$D255&lt;EDATE(BS$99,1),예비비!$E255,0)-SUMIFS(예비비!$O$430:$O$729,예비비!$B$430:$B$729,예비비!$A255,예비비!$E$430:$E$729,"&lt;"&amp;EDATE(BS$99,1))),0)</f>
        <v>0</v>
      </c>
      <c r="BT255">
        <f>IF(예비비!$R255="OK",SUMIFS(예비비!$O$430:$O$729,예비비!$B$430:$B$729,예비비!$A255,예비비!$E$430:$E$729,"&lt;"&amp;EDATE(BT$99,1),예비비!$F$430:$F$729,"결제대금비")+MAX(0,IF(예비비!$D255&lt;EDATE(BT$99,1),예비비!$E255,0)-SUMIFS(예비비!$O$430:$O$729,예비비!$B$430:$B$729,예비비!$A255,예비비!$E$430:$E$729,"&lt;"&amp;EDATE(BT$99,1))),0)</f>
        <v>0</v>
      </c>
      <c r="BU255">
        <f>IF(예비비!$R255="OK",SUMIFS(예비비!$O$430:$O$729,예비비!$B$430:$B$729,예비비!$A255,예비비!$E$430:$E$729,"&lt;"&amp;EDATE(BU$99,1),예비비!$F$430:$F$729,"결제대금비")+MAX(0,IF(예비비!$D255&lt;EDATE(BU$99,1),예비비!$E255,0)-SUMIFS(예비비!$O$430:$O$729,예비비!$B$430:$B$729,예비비!$A255,예비비!$E$430:$E$729,"&lt;"&amp;EDATE(BU$99,1))),0)</f>
        <v>0</v>
      </c>
    </row>
    <row r="256">
      <c r="BA256">
        <v>200</v>
      </c>
      <c r="BB256">
        <f>IFERROR(INDEX(잔액!$A:$A,BA256),0)</f>
        <v>46235.0</v>
      </c>
      <c r="BH256">
        <f>IFERROR(IF(AND(BB256&gt;0,OR(COUNTIFS(예비비!$C$430:$C$729,BA256,예비비!$N$430:$N$729,"OK")&gt;0,AND(INDEX(잔액!$J:$J,BA256)="가족통장",INDEX(잔액!$K:$K,BA256)="미래에셋_WRAP형CMA"),COUNTIF(예비비!$A$8:$A$12,INDEX(잔액!$C:$C,BA256))=1,COUNTIF(예비비!$A$8:$A$12,INDEX(잔액!$D:$D,BA256))=1),OR(AND(BB256&gt;=예비비!$B$3,BB256&lt;EDATE(예비비!$B$3,1)),AND(BB256&lt;EDATE(예비비!$B$3,1),COUNTIFS(예비비!$C$430:$C$729,BA256,예비비!$L$430:$L$729,예비비!$B$3,예비비!$N$430:$N$729,"OK")&gt;0))),MAX($BH$120:BH255)+1,0),0)</f>
        <v>0</v>
      </c>
      <c r="BI256">
        <f>IF(예비비!$R256="OK",SUMIFS(예비비!$O$430:$O$729,예비비!$B$430:$B$729,예비비!$A256,예비비!$E$430:$E$729,"&lt;"&amp;EDATE(BI$99,1),예비비!$F$430:$F$729,"결제대금비")+MAX(0,IF(예비비!$D256&lt;EDATE(BI$99,1),예비비!$E256,0)-SUMIFS(예비비!$O$430:$O$729,예비비!$B$430:$B$729,예비비!$A256,예비비!$E$430:$E$729,"&lt;"&amp;EDATE(BI$99,1))),0)</f>
        <v>0</v>
      </c>
      <c r="BJ256">
        <f>IF(예비비!$R256="OK",SUMIFS(예비비!$O$430:$O$729,예비비!$B$430:$B$729,예비비!$A256,예비비!$E$430:$E$729,"&lt;"&amp;EDATE(BJ$99,1),예비비!$F$430:$F$729,"결제대금비")+MAX(0,IF(예비비!$D256&lt;EDATE(BJ$99,1),예비비!$E256,0)-SUMIFS(예비비!$O$430:$O$729,예비비!$B$430:$B$729,예비비!$A256,예비비!$E$430:$E$729,"&lt;"&amp;EDATE(BJ$99,1))),0)</f>
        <v>0</v>
      </c>
      <c r="BK256">
        <f>IF(예비비!$R256="OK",SUMIFS(예비비!$O$430:$O$729,예비비!$B$430:$B$729,예비비!$A256,예비비!$E$430:$E$729,"&lt;"&amp;EDATE(BK$99,1),예비비!$F$430:$F$729,"결제대금비")+MAX(0,IF(예비비!$D256&lt;EDATE(BK$99,1),예비비!$E256,0)-SUMIFS(예비비!$O$430:$O$729,예비비!$B$430:$B$729,예비비!$A256,예비비!$E$430:$E$729,"&lt;"&amp;EDATE(BK$99,1))),0)</f>
        <v>0</v>
      </c>
      <c r="BL256">
        <f>IF(예비비!$R256="OK",SUMIFS(예비비!$O$430:$O$729,예비비!$B$430:$B$729,예비비!$A256,예비비!$E$430:$E$729,"&lt;"&amp;EDATE(BL$99,1),예비비!$F$430:$F$729,"결제대금비")+MAX(0,IF(예비비!$D256&lt;EDATE(BL$99,1),예비비!$E256,0)-SUMIFS(예비비!$O$430:$O$729,예비비!$B$430:$B$729,예비비!$A256,예비비!$E$430:$E$729,"&lt;"&amp;EDATE(BL$99,1))),0)</f>
        <v>0</v>
      </c>
      <c r="BM256">
        <f>IF(예비비!$R256="OK",SUMIFS(예비비!$O$430:$O$729,예비비!$B$430:$B$729,예비비!$A256,예비비!$E$430:$E$729,"&lt;"&amp;EDATE(BM$99,1),예비비!$F$430:$F$729,"결제대금비")+MAX(0,IF(예비비!$D256&lt;EDATE(BM$99,1),예비비!$E256,0)-SUMIFS(예비비!$O$430:$O$729,예비비!$B$430:$B$729,예비비!$A256,예비비!$E$430:$E$729,"&lt;"&amp;EDATE(BM$99,1))),0)</f>
        <v>0</v>
      </c>
      <c r="BN256">
        <f>IF(예비비!$R256="OK",SUMIFS(예비비!$O$430:$O$729,예비비!$B$430:$B$729,예비비!$A256,예비비!$E$430:$E$729,"&lt;"&amp;EDATE(BN$99,1),예비비!$F$430:$F$729,"결제대금비")+MAX(0,IF(예비비!$D256&lt;EDATE(BN$99,1),예비비!$E256,0)-SUMIFS(예비비!$O$430:$O$729,예비비!$B$430:$B$729,예비비!$A256,예비비!$E$430:$E$729,"&lt;"&amp;EDATE(BN$99,1))),0)</f>
        <v>0</v>
      </c>
      <c r="BO256">
        <f>IF(예비비!$R256="OK",SUMIFS(예비비!$O$430:$O$729,예비비!$B$430:$B$729,예비비!$A256,예비비!$E$430:$E$729,"&lt;"&amp;EDATE(BO$99,1),예비비!$F$430:$F$729,"결제대금비")+MAX(0,IF(예비비!$D256&lt;EDATE(BO$99,1),예비비!$E256,0)-SUMIFS(예비비!$O$430:$O$729,예비비!$B$430:$B$729,예비비!$A256,예비비!$E$430:$E$729,"&lt;"&amp;EDATE(BO$99,1))),0)</f>
        <v>0</v>
      </c>
      <c r="BP256">
        <f>IF(예비비!$R256="OK",SUMIFS(예비비!$O$430:$O$729,예비비!$B$430:$B$729,예비비!$A256,예비비!$E$430:$E$729,"&lt;"&amp;EDATE(BP$99,1),예비비!$F$430:$F$729,"결제대금비")+MAX(0,IF(예비비!$D256&lt;EDATE(BP$99,1),예비비!$E256,0)-SUMIFS(예비비!$O$430:$O$729,예비비!$B$430:$B$729,예비비!$A256,예비비!$E$430:$E$729,"&lt;"&amp;EDATE(BP$99,1))),0)</f>
        <v>0</v>
      </c>
      <c r="BQ256">
        <f>IF(예비비!$R256="OK",SUMIFS(예비비!$O$430:$O$729,예비비!$B$430:$B$729,예비비!$A256,예비비!$E$430:$E$729,"&lt;"&amp;EDATE(BQ$99,1),예비비!$F$430:$F$729,"결제대금비")+MAX(0,IF(예비비!$D256&lt;EDATE(BQ$99,1),예비비!$E256,0)-SUMIFS(예비비!$O$430:$O$729,예비비!$B$430:$B$729,예비비!$A256,예비비!$E$430:$E$729,"&lt;"&amp;EDATE(BQ$99,1))),0)</f>
        <v>0</v>
      </c>
      <c r="BR256">
        <f>IF(예비비!$R256="OK",SUMIFS(예비비!$O$430:$O$729,예비비!$B$430:$B$729,예비비!$A256,예비비!$E$430:$E$729,"&lt;"&amp;EDATE(BR$99,1),예비비!$F$430:$F$729,"결제대금비")+MAX(0,IF(예비비!$D256&lt;EDATE(BR$99,1),예비비!$E256,0)-SUMIFS(예비비!$O$430:$O$729,예비비!$B$430:$B$729,예비비!$A256,예비비!$E$430:$E$729,"&lt;"&amp;EDATE(BR$99,1))),0)</f>
        <v>0</v>
      </c>
      <c r="BS256">
        <f>IF(예비비!$R256="OK",SUMIFS(예비비!$O$430:$O$729,예비비!$B$430:$B$729,예비비!$A256,예비비!$E$430:$E$729,"&lt;"&amp;EDATE(BS$99,1),예비비!$F$430:$F$729,"결제대금비")+MAX(0,IF(예비비!$D256&lt;EDATE(BS$99,1),예비비!$E256,0)-SUMIFS(예비비!$O$430:$O$729,예비비!$B$430:$B$729,예비비!$A256,예비비!$E$430:$E$729,"&lt;"&amp;EDATE(BS$99,1))),0)</f>
        <v>0</v>
      </c>
      <c r="BT256">
        <f>IF(예비비!$R256="OK",SUMIFS(예비비!$O$430:$O$729,예비비!$B$430:$B$729,예비비!$A256,예비비!$E$430:$E$729,"&lt;"&amp;EDATE(BT$99,1),예비비!$F$430:$F$729,"결제대금비")+MAX(0,IF(예비비!$D256&lt;EDATE(BT$99,1),예비비!$E256,0)-SUMIFS(예비비!$O$430:$O$729,예비비!$B$430:$B$729,예비비!$A256,예비비!$E$430:$E$729,"&lt;"&amp;EDATE(BT$99,1))),0)</f>
        <v>0</v>
      </c>
      <c r="BU256">
        <f>IF(예비비!$R256="OK",SUMIFS(예비비!$O$430:$O$729,예비비!$B$430:$B$729,예비비!$A256,예비비!$E$430:$E$729,"&lt;"&amp;EDATE(BU$99,1),예비비!$F$430:$F$729,"결제대금비")+MAX(0,IF(예비비!$D256&lt;EDATE(BU$99,1),예비비!$E256,0)-SUMIFS(예비비!$O$430:$O$729,예비비!$B$430:$B$729,예비비!$A256,예비비!$E$430:$E$729,"&lt;"&amp;EDATE(BU$99,1))),0)</f>
        <v>0</v>
      </c>
    </row>
    <row r="257">
      <c r="BA257">
        <v>201</v>
      </c>
      <c r="BB257">
        <f>IFERROR(INDEX(잔액!$A:$A,BA257),0)</f>
        <v>46235.0</v>
      </c>
      <c r="BH257">
        <f>IFERROR(IF(AND(BB257&gt;0,OR(COUNTIFS(예비비!$C$430:$C$729,BA257,예비비!$N$430:$N$729,"OK")&gt;0,AND(INDEX(잔액!$J:$J,BA257)="가족통장",INDEX(잔액!$K:$K,BA257)="미래에셋_WRAP형CMA"),COUNTIF(예비비!$A$8:$A$12,INDEX(잔액!$C:$C,BA257))=1,COUNTIF(예비비!$A$8:$A$12,INDEX(잔액!$D:$D,BA257))=1),OR(AND(BB257&gt;=예비비!$B$3,BB257&lt;EDATE(예비비!$B$3,1)),AND(BB257&lt;EDATE(예비비!$B$3,1),COUNTIFS(예비비!$C$430:$C$729,BA257,예비비!$L$430:$L$729,예비비!$B$3,예비비!$N$430:$N$729,"OK")&gt;0))),MAX($BH$120:BH256)+1,0),0)</f>
        <v>0</v>
      </c>
      <c r="BI257">
        <f>IF(예비비!$R257="OK",SUMIFS(예비비!$O$430:$O$729,예비비!$B$430:$B$729,예비비!$A257,예비비!$E$430:$E$729,"&lt;"&amp;EDATE(BI$99,1),예비비!$F$430:$F$729,"결제대금비")+MAX(0,IF(예비비!$D257&lt;EDATE(BI$99,1),예비비!$E257,0)-SUMIFS(예비비!$O$430:$O$729,예비비!$B$430:$B$729,예비비!$A257,예비비!$E$430:$E$729,"&lt;"&amp;EDATE(BI$99,1))),0)</f>
        <v>0</v>
      </c>
      <c r="BJ257">
        <f>IF(예비비!$R257="OK",SUMIFS(예비비!$O$430:$O$729,예비비!$B$430:$B$729,예비비!$A257,예비비!$E$430:$E$729,"&lt;"&amp;EDATE(BJ$99,1),예비비!$F$430:$F$729,"결제대금비")+MAX(0,IF(예비비!$D257&lt;EDATE(BJ$99,1),예비비!$E257,0)-SUMIFS(예비비!$O$430:$O$729,예비비!$B$430:$B$729,예비비!$A257,예비비!$E$430:$E$729,"&lt;"&amp;EDATE(BJ$99,1))),0)</f>
        <v>0</v>
      </c>
      <c r="BK257">
        <f>IF(예비비!$R257="OK",SUMIFS(예비비!$O$430:$O$729,예비비!$B$430:$B$729,예비비!$A257,예비비!$E$430:$E$729,"&lt;"&amp;EDATE(BK$99,1),예비비!$F$430:$F$729,"결제대금비")+MAX(0,IF(예비비!$D257&lt;EDATE(BK$99,1),예비비!$E257,0)-SUMIFS(예비비!$O$430:$O$729,예비비!$B$430:$B$729,예비비!$A257,예비비!$E$430:$E$729,"&lt;"&amp;EDATE(BK$99,1))),0)</f>
        <v>0</v>
      </c>
      <c r="BL257">
        <f>IF(예비비!$R257="OK",SUMIFS(예비비!$O$430:$O$729,예비비!$B$430:$B$729,예비비!$A257,예비비!$E$430:$E$729,"&lt;"&amp;EDATE(BL$99,1),예비비!$F$430:$F$729,"결제대금비")+MAX(0,IF(예비비!$D257&lt;EDATE(BL$99,1),예비비!$E257,0)-SUMIFS(예비비!$O$430:$O$729,예비비!$B$430:$B$729,예비비!$A257,예비비!$E$430:$E$729,"&lt;"&amp;EDATE(BL$99,1))),0)</f>
        <v>0</v>
      </c>
      <c r="BM257">
        <f>IF(예비비!$R257="OK",SUMIFS(예비비!$O$430:$O$729,예비비!$B$430:$B$729,예비비!$A257,예비비!$E$430:$E$729,"&lt;"&amp;EDATE(BM$99,1),예비비!$F$430:$F$729,"결제대금비")+MAX(0,IF(예비비!$D257&lt;EDATE(BM$99,1),예비비!$E257,0)-SUMIFS(예비비!$O$430:$O$729,예비비!$B$430:$B$729,예비비!$A257,예비비!$E$430:$E$729,"&lt;"&amp;EDATE(BM$99,1))),0)</f>
        <v>0</v>
      </c>
      <c r="BN257">
        <f>IF(예비비!$R257="OK",SUMIFS(예비비!$O$430:$O$729,예비비!$B$430:$B$729,예비비!$A257,예비비!$E$430:$E$729,"&lt;"&amp;EDATE(BN$99,1),예비비!$F$430:$F$729,"결제대금비")+MAX(0,IF(예비비!$D257&lt;EDATE(BN$99,1),예비비!$E257,0)-SUMIFS(예비비!$O$430:$O$729,예비비!$B$430:$B$729,예비비!$A257,예비비!$E$430:$E$729,"&lt;"&amp;EDATE(BN$99,1))),0)</f>
        <v>0</v>
      </c>
      <c r="BO257">
        <f>IF(예비비!$R257="OK",SUMIFS(예비비!$O$430:$O$729,예비비!$B$430:$B$729,예비비!$A257,예비비!$E$430:$E$729,"&lt;"&amp;EDATE(BO$99,1),예비비!$F$430:$F$729,"결제대금비")+MAX(0,IF(예비비!$D257&lt;EDATE(BO$99,1),예비비!$E257,0)-SUMIFS(예비비!$O$430:$O$729,예비비!$B$430:$B$729,예비비!$A257,예비비!$E$430:$E$729,"&lt;"&amp;EDATE(BO$99,1))),0)</f>
        <v>0</v>
      </c>
      <c r="BP257">
        <f>IF(예비비!$R257="OK",SUMIFS(예비비!$O$430:$O$729,예비비!$B$430:$B$729,예비비!$A257,예비비!$E$430:$E$729,"&lt;"&amp;EDATE(BP$99,1),예비비!$F$430:$F$729,"결제대금비")+MAX(0,IF(예비비!$D257&lt;EDATE(BP$99,1),예비비!$E257,0)-SUMIFS(예비비!$O$430:$O$729,예비비!$B$430:$B$729,예비비!$A257,예비비!$E$430:$E$729,"&lt;"&amp;EDATE(BP$99,1))),0)</f>
        <v>0</v>
      </c>
      <c r="BQ257">
        <f>IF(예비비!$R257="OK",SUMIFS(예비비!$O$430:$O$729,예비비!$B$430:$B$729,예비비!$A257,예비비!$E$430:$E$729,"&lt;"&amp;EDATE(BQ$99,1),예비비!$F$430:$F$729,"결제대금비")+MAX(0,IF(예비비!$D257&lt;EDATE(BQ$99,1),예비비!$E257,0)-SUMIFS(예비비!$O$430:$O$729,예비비!$B$430:$B$729,예비비!$A257,예비비!$E$430:$E$729,"&lt;"&amp;EDATE(BQ$99,1))),0)</f>
        <v>0</v>
      </c>
      <c r="BR257">
        <f>IF(예비비!$R257="OK",SUMIFS(예비비!$O$430:$O$729,예비비!$B$430:$B$729,예비비!$A257,예비비!$E$430:$E$729,"&lt;"&amp;EDATE(BR$99,1),예비비!$F$430:$F$729,"결제대금비")+MAX(0,IF(예비비!$D257&lt;EDATE(BR$99,1),예비비!$E257,0)-SUMIFS(예비비!$O$430:$O$729,예비비!$B$430:$B$729,예비비!$A257,예비비!$E$430:$E$729,"&lt;"&amp;EDATE(BR$99,1))),0)</f>
        <v>0</v>
      </c>
      <c r="BS257">
        <f>IF(예비비!$R257="OK",SUMIFS(예비비!$O$430:$O$729,예비비!$B$430:$B$729,예비비!$A257,예비비!$E$430:$E$729,"&lt;"&amp;EDATE(BS$99,1),예비비!$F$430:$F$729,"결제대금비")+MAX(0,IF(예비비!$D257&lt;EDATE(BS$99,1),예비비!$E257,0)-SUMIFS(예비비!$O$430:$O$729,예비비!$B$430:$B$729,예비비!$A257,예비비!$E$430:$E$729,"&lt;"&amp;EDATE(BS$99,1))),0)</f>
        <v>0</v>
      </c>
      <c r="BT257">
        <f>IF(예비비!$R257="OK",SUMIFS(예비비!$O$430:$O$729,예비비!$B$430:$B$729,예비비!$A257,예비비!$E$430:$E$729,"&lt;"&amp;EDATE(BT$99,1),예비비!$F$430:$F$729,"결제대금비")+MAX(0,IF(예비비!$D257&lt;EDATE(BT$99,1),예비비!$E257,0)-SUMIFS(예비비!$O$430:$O$729,예비비!$B$430:$B$729,예비비!$A257,예비비!$E$430:$E$729,"&lt;"&amp;EDATE(BT$99,1))),0)</f>
        <v>0</v>
      </c>
      <c r="BU257">
        <f>IF(예비비!$R257="OK",SUMIFS(예비비!$O$430:$O$729,예비비!$B$430:$B$729,예비비!$A257,예비비!$E$430:$E$729,"&lt;"&amp;EDATE(BU$99,1),예비비!$F$430:$F$729,"결제대금비")+MAX(0,IF(예비비!$D257&lt;EDATE(BU$99,1),예비비!$E257,0)-SUMIFS(예비비!$O$430:$O$729,예비비!$B$430:$B$729,예비비!$A257,예비비!$E$430:$E$729,"&lt;"&amp;EDATE(BU$99,1))),0)</f>
        <v>0</v>
      </c>
    </row>
    <row r="258">
      <c r="BA258">
        <v>202</v>
      </c>
      <c r="BB258">
        <f>IFERROR(INDEX(잔액!$A:$A,BA258),0)</f>
        <v>46235.0</v>
      </c>
      <c r="BH258">
        <f>IFERROR(IF(AND(BB258&gt;0,OR(COUNTIFS(예비비!$C$430:$C$729,BA258,예비비!$N$430:$N$729,"OK")&gt;0,AND(INDEX(잔액!$J:$J,BA258)="가족통장",INDEX(잔액!$K:$K,BA258)="미래에셋_WRAP형CMA"),COUNTIF(예비비!$A$8:$A$12,INDEX(잔액!$C:$C,BA258))=1,COUNTIF(예비비!$A$8:$A$12,INDEX(잔액!$D:$D,BA258))=1),OR(AND(BB258&gt;=예비비!$B$3,BB258&lt;EDATE(예비비!$B$3,1)),AND(BB258&lt;EDATE(예비비!$B$3,1),COUNTIFS(예비비!$C$430:$C$729,BA258,예비비!$L$430:$L$729,예비비!$B$3,예비비!$N$430:$N$729,"OK")&gt;0))),MAX($BH$120:BH257)+1,0),0)</f>
        <v>0</v>
      </c>
      <c r="BI258">
        <f>IF(예비비!$R258="OK",SUMIFS(예비비!$O$430:$O$729,예비비!$B$430:$B$729,예비비!$A258,예비비!$E$430:$E$729,"&lt;"&amp;EDATE(BI$99,1),예비비!$F$430:$F$729,"결제대금비")+MAX(0,IF(예비비!$D258&lt;EDATE(BI$99,1),예비비!$E258,0)-SUMIFS(예비비!$O$430:$O$729,예비비!$B$430:$B$729,예비비!$A258,예비비!$E$430:$E$729,"&lt;"&amp;EDATE(BI$99,1))),0)</f>
        <v>0</v>
      </c>
      <c r="BJ258">
        <f>IF(예비비!$R258="OK",SUMIFS(예비비!$O$430:$O$729,예비비!$B$430:$B$729,예비비!$A258,예비비!$E$430:$E$729,"&lt;"&amp;EDATE(BJ$99,1),예비비!$F$430:$F$729,"결제대금비")+MAX(0,IF(예비비!$D258&lt;EDATE(BJ$99,1),예비비!$E258,0)-SUMIFS(예비비!$O$430:$O$729,예비비!$B$430:$B$729,예비비!$A258,예비비!$E$430:$E$729,"&lt;"&amp;EDATE(BJ$99,1))),0)</f>
        <v>0</v>
      </c>
      <c r="BK258">
        <f>IF(예비비!$R258="OK",SUMIFS(예비비!$O$430:$O$729,예비비!$B$430:$B$729,예비비!$A258,예비비!$E$430:$E$729,"&lt;"&amp;EDATE(BK$99,1),예비비!$F$430:$F$729,"결제대금비")+MAX(0,IF(예비비!$D258&lt;EDATE(BK$99,1),예비비!$E258,0)-SUMIFS(예비비!$O$430:$O$729,예비비!$B$430:$B$729,예비비!$A258,예비비!$E$430:$E$729,"&lt;"&amp;EDATE(BK$99,1))),0)</f>
        <v>0</v>
      </c>
      <c r="BL258">
        <f>IF(예비비!$R258="OK",SUMIFS(예비비!$O$430:$O$729,예비비!$B$430:$B$729,예비비!$A258,예비비!$E$430:$E$729,"&lt;"&amp;EDATE(BL$99,1),예비비!$F$430:$F$729,"결제대금비")+MAX(0,IF(예비비!$D258&lt;EDATE(BL$99,1),예비비!$E258,0)-SUMIFS(예비비!$O$430:$O$729,예비비!$B$430:$B$729,예비비!$A258,예비비!$E$430:$E$729,"&lt;"&amp;EDATE(BL$99,1))),0)</f>
        <v>0</v>
      </c>
      <c r="BM258">
        <f>IF(예비비!$R258="OK",SUMIFS(예비비!$O$430:$O$729,예비비!$B$430:$B$729,예비비!$A258,예비비!$E$430:$E$729,"&lt;"&amp;EDATE(BM$99,1),예비비!$F$430:$F$729,"결제대금비")+MAX(0,IF(예비비!$D258&lt;EDATE(BM$99,1),예비비!$E258,0)-SUMIFS(예비비!$O$430:$O$729,예비비!$B$430:$B$729,예비비!$A258,예비비!$E$430:$E$729,"&lt;"&amp;EDATE(BM$99,1))),0)</f>
        <v>0</v>
      </c>
      <c r="BN258">
        <f>IF(예비비!$R258="OK",SUMIFS(예비비!$O$430:$O$729,예비비!$B$430:$B$729,예비비!$A258,예비비!$E$430:$E$729,"&lt;"&amp;EDATE(BN$99,1),예비비!$F$430:$F$729,"결제대금비")+MAX(0,IF(예비비!$D258&lt;EDATE(BN$99,1),예비비!$E258,0)-SUMIFS(예비비!$O$430:$O$729,예비비!$B$430:$B$729,예비비!$A258,예비비!$E$430:$E$729,"&lt;"&amp;EDATE(BN$99,1))),0)</f>
        <v>0</v>
      </c>
      <c r="BO258">
        <f>IF(예비비!$R258="OK",SUMIFS(예비비!$O$430:$O$729,예비비!$B$430:$B$729,예비비!$A258,예비비!$E$430:$E$729,"&lt;"&amp;EDATE(BO$99,1),예비비!$F$430:$F$729,"결제대금비")+MAX(0,IF(예비비!$D258&lt;EDATE(BO$99,1),예비비!$E258,0)-SUMIFS(예비비!$O$430:$O$729,예비비!$B$430:$B$729,예비비!$A258,예비비!$E$430:$E$729,"&lt;"&amp;EDATE(BO$99,1))),0)</f>
        <v>0</v>
      </c>
      <c r="BP258">
        <f>IF(예비비!$R258="OK",SUMIFS(예비비!$O$430:$O$729,예비비!$B$430:$B$729,예비비!$A258,예비비!$E$430:$E$729,"&lt;"&amp;EDATE(BP$99,1),예비비!$F$430:$F$729,"결제대금비")+MAX(0,IF(예비비!$D258&lt;EDATE(BP$99,1),예비비!$E258,0)-SUMIFS(예비비!$O$430:$O$729,예비비!$B$430:$B$729,예비비!$A258,예비비!$E$430:$E$729,"&lt;"&amp;EDATE(BP$99,1))),0)</f>
        <v>0</v>
      </c>
      <c r="BQ258">
        <f>IF(예비비!$R258="OK",SUMIFS(예비비!$O$430:$O$729,예비비!$B$430:$B$729,예비비!$A258,예비비!$E$430:$E$729,"&lt;"&amp;EDATE(BQ$99,1),예비비!$F$430:$F$729,"결제대금비")+MAX(0,IF(예비비!$D258&lt;EDATE(BQ$99,1),예비비!$E258,0)-SUMIFS(예비비!$O$430:$O$729,예비비!$B$430:$B$729,예비비!$A258,예비비!$E$430:$E$729,"&lt;"&amp;EDATE(BQ$99,1))),0)</f>
        <v>0</v>
      </c>
      <c r="BR258">
        <f>IF(예비비!$R258="OK",SUMIFS(예비비!$O$430:$O$729,예비비!$B$430:$B$729,예비비!$A258,예비비!$E$430:$E$729,"&lt;"&amp;EDATE(BR$99,1),예비비!$F$430:$F$729,"결제대금비")+MAX(0,IF(예비비!$D258&lt;EDATE(BR$99,1),예비비!$E258,0)-SUMIFS(예비비!$O$430:$O$729,예비비!$B$430:$B$729,예비비!$A258,예비비!$E$430:$E$729,"&lt;"&amp;EDATE(BR$99,1))),0)</f>
        <v>0</v>
      </c>
      <c r="BS258">
        <f>IF(예비비!$R258="OK",SUMIFS(예비비!$O$430:$O$729,예비비!$B$430:$B$729,예비비!$A258,예비비!$E$430:$E$729,"&lt;"&amp;EDATE(BS$99,1),예비비!$F$430:$F$729,"결제대금비")+MAX(0,IF(예비비!$D258&lt;EDATE(BS$99,1),예비비!$E258,0)-SUMIFS(예비비!$O$430:$O$729,예비비!$B$430:$B$729,예비비!$A258,예비비!$E$430:$E$729,"&lt;"&amp;EDATE(BS$99,1))),0)</f>
        <v>0</v>
      </c>
      <c r="BT258">
        <f>IF(예비비!$R258="OK",SUMIFS(예비비!$O$430:$O$729,예비비!$B$430:$B$729,예비비!$A258,예비비!$E$430:$E$729,"&lt;"&amp;EDATE(BT$99,1),예비비!$F$430:$F$729,"결제대금비")+MAX(0,IF(예비비!$D258&lt;EDATE(BT$99,1),예비비!$E258,0)-SUMIFS(예비비!$O$430:$O$729,예비비!$B$430:$B$729,예비비!$A258,예비비!$E$430:$E$729,"&lt;"&amp;EDATE(BT$99,1))),0)</f>
        <v>0</v>
      </c>
      <c r="BU258">
        <f>IF(예비비!$R258="OK",SUMIFS(예비비!$O$430:$O$729,예비비!$B$430:$B$729,예비비!$A258,예비비!$E$430:$E$729,"&lt;"&amp;EDATE(BU$99,1),예비비!$F$430:$F$729,"결제대금비")+MAX(0,IF(예비비!$D258&lt;EDATE(BU$99,1),예비비!$E258,0)-SUMIFS(예비비!$O$430:$O$729,예비비!$B$430:$B$729,예비비!$A258,예비비!$E$430:$E$729,"&lt;"&amp;EDATE(BU$99,1))),0)</f>
        <v>0</v>
      </c>
    </row>
    <row r="259">
      <c r="BA259">
        <v>203</v>
      </c>
      <c r="BB259">
        <f>IFERROR(INDEX(잔액!$A:$A,BA259),0)</f>
        <v>46235.0</v>
      </c>
      <c r="BH259">
        <f>IFERROR(IF(AND(BB259&gt;0,OR(COUNTIFS(예비비!$C$430:$C$729,BA259,예비비!$N$430:$N$729,"OK")&gt;0,AND(INDEX(잔액!$J:$J,BA259)="가족통장",INDEX(잔액!$K:$K,BA259)="미래에셋_WRAP형CMA"),COUNTIF(예비비!$A$8:$A$12,INDEX(잔액!$C:$C,BA259))=1,COUNTIF(예비비!$A$8:$A$12,INDEX(잔액!$D:$D,BA259))=1),OR(AND(BB259&gt;=예비비!$B$3,BB259&lt;EDATE(예비비!$B$3,1)),AND(BB259&lt;EDATE(예비비!$B$3,1),COUNTIFS(예비비!$C$430:$C$729,BA259,예비비!$L$430:$L$729,예비비!$B$3,예비비!$N$430:$N$729,"OK")&gt;0))),MAX($BH$120:BH258)+1,0),0)</f>
        <v>0</v>
      </c>
      <c r="BI259">
        <f>IF(예비비!$R259="OK",SUMIFS(예비비!$O$430:$O$729,예비비!$B$430:$B$729,예비비!$A259,예비비!$E$430:$E$729,"&lt;"&amp;EDATE(BI$99,1),예비비!$F$430:$F$729,"결제대금비")+MAX(0,IF(예비비!$D259&lt;EDATE(BI$99,1),예비비!$E259,0)-SUMIFS(예비비!$O$430:$O$729,예비비!$B$430:$B$729,예비비!$A259,예비비!$E$430:$E$729,"&lt;"&amp;EDATE(BI$99,1))),0)</f>
        <v>0</v>
      </c>
      <c r="BJ259">
        <f>IF(예비비!$R259="OK",SUMIFS(예비비!$O$430:$O$729,예비비!$B$430:$B$729,예비비!$A259,예비비!$E$430:$E$729,"&lt;"&amp;EDATE(BJ$99,1),예비비!$F$430:$F$729,"결제대금비")+MAX(0,IF(예비비!$D259&lt;EDATE(BJ$99,1),예비비!$E259,0)-SUMIFS(예비비!$O$430:$O$729,예비비!$B$430:$B$729,예비비!$A259,예비비!$E$430:$E$729,"&lt;"&amp;EDATE(BJ$99,1))),0)</f>
        <v>0</v>
      </c>
      <c r="BK259">
        <f>IF(예비비!$R259="OK",SUMIFS(예비비!$O$430:$O$729,예비비!$B$430:$B$729,예비비!$A259,예비비!$E$430:$E$729,"&lt;"&amp;EDATE(BK$99,1),예비비!$F$430:$F$729,"결제대금비")+MAX(0,IF(예비비!$D259&lt;EDATE(BK$99,1),예비비!$E259,0)-SUMIFS(예비비!$O$430:$O$729,예비비!$B$430:$B$729,예비비!$A259,예비비!$E$430:$E$729,"&lt;"&amp;EDATE(BK$99,1))),0)</f>
        <v>0</v>
      </c>
      <c r="BL259">
        <f>IF(예비비!$R259="OK",SUMIFS(예비비!$O$430:$O$729,예비비!$B$430:$B$729,예비비!$A259,예비비!$E$430:$E$729,"&lt;"&amp;EDATE(BL$99,1),예비비!$F$430:$F$729,"결제대금비")+MAX(0,IF(예비비!$D259&lt;EDATE(BL$99,1),예비비!$E259,0)-SUMIFS(예비비!$O$430:$O$729,예비비!$B$430:$B$729,예비비!$A259,예비비!$E$430:$E$729,"&lt;"&amp;EDATE(BL$99,1))),0)</f>
        <v>0</v>
      </c>
      <c r="BM259">
        <f>IF(예비비!$R259="OK",SUMIFS(예비비!$O$430:$O$729,예비비!$B$430:$B$729,예비비!$A259,예비비!$E$430:$E$729,"&lt;"&amp;EDATE(BM$99,1),예비비!$F$430:$F$729,"결제대금비")+MAX(0,IF(예비비!$D259&lt;EDATE(BM$99,1),예비비!$E259,0)-SUMIFS(예비비!$O$430:$O$729,예비비!$B$430:$B$729,예비비!$A259,예비비!$E$430:$E$729,"&lt;"&amp;EDATE(BM$99,1))),0)</f>
        <v>0</v>
      </c>
      <c r="BN259">
        <f>IF(예비비!$R259="OK",SUMIFS(예비비!$O$430:$O$729,예비비!$B$430:$B$729,예비비!$A259,예비비!$E$430:$E$729,"&lt;"&amp;EDATE(BN$99,1),예비비!$F$430:$F$729,"결제대금비")+MAX(0,IF(예비비!$D259&lt;EDATE(BN$99,1),예비비!$E259,0)-SUMIFS(예비비!$O$430:$O$729,예비비!$B$430:$B$729,예비비!$A259,예비비!$E$430:$E$729,"&lt;"&amp;EDATE(BN$99,1))),0)</f>
        <v>0</v>
      </c>
      <c r="BO259">
        <f>IF(예비비!$R259="OK",SUMIFS(예비비!$O$430:$O$729,예비비!$B$430:$B$729,예비비!$A259,예비비!$E$430:$E$729,"&lt;"&amp;EDATE(BO$99,1),예비비!$F$430:$F$729,"결제대금비")+MAX(0,IF(예비비!$D259&lt;EDATE(BO$99,1),예비비!$E259,0)-SUMIFS(예비비!$O$430:$O$729,예비비!$B$430:$B$729,예비비!$A259,예비비!$E$430:$E$729,"&lt;"&amp;EDATE(BO$99,1))),0)</f>
        <v>0</v>
      </c>
      <c r="BP259">
        <f>IF(예비비!$R259="OK",SUMIFS(예비비!$O$430:$O$729,예비비!$B$430:$B$729,예비비!$A259,예비비!$E$430:$E$729,"&lt;"&amp;EDATE(BP$99,1),예비비!$F$430:$F$729,"결제대금비")+MAX(0,IF(예비비!$D259&lt;EDATE(BP$99,1),예비비!$E259,0)-SUMIFS(예비비!$O$430:$O$729,예비비!$B$430:$B$729,예비비!$A259,예비비!$E$430:$E$729,"&lt;"&amp;EDATE(BP$99,1))),0)</f>
        <v>0</v>
      </c>
      <c r="BQ259">
        <f>IF(예비비!$R259="OK",SUMIFS(예비비!$O$430:$O$729,예비비!$B$430:$B$729,예비비!$A259,예비비!$E$430:$E$729,"&lt;"&amp;EDATE(BQ$99,1),예비비!$F$430:$F$729,"결제대금비")+MAX(0,IF(예비비!$D259&lt;EDATE(BQ$99,1),예비비!$E259,0)-SUMIFS(예비비!$O$430:$O$729,예비비!$B$430:$B$729,예비비!$A259,예비비!$E$430:$E$729,"&lt;"&amp;EDATE(BQ$99,1))),0)</f>
        <v>0</v>
      </c>
      <c r="BR259">
        <f>IF(예비비!$R259="OK",SUMIFS(예비비!$O$430:$O$729,예비비!$B$430:$B$729,예비비!$A259,예비비!$E$430:$E$729,"&lt;"&amp;EDATE(BR$99,1),예비비!$F$430:$F$729,"결제대금비")+MAX(0,IF(예비비!$D259&lt;EDATE(BR$99,1),예비비!$E259,0)-SUMIFS(예비비!$O$430:$O$729,예비비!$B$430:$B$729,예비비!$A259,예비비!$E$430:$E$729,"&lt;"&amp;EDATE(BR$99,1))),0)</f>
        <v>0</v>
      </c>
      <c r="BS259">
        <f>IF(예비비!$R259="OK",SUMIFS(예비비!$O$430:$O$729,예비비!$B$430:$B$729,예비비!$A259,예비비!$E$430:$E$729,"&lt;"&amp;EDATE(BS$99,1),예비비!$F$430:$F$729,"결제대금비")+MAX(0,IF(예비비!$D259&lt;EDATE(BS$99,1),예비비!$E259,0)-SUMIFS(예비비!$O$430:$O$729,예비비!$B$430:$B$729,예비비!$A259,예비비!$E$430:$E$729,"&lt;"&amp;EDATE(BS$99,1))),0)</f>
        <v>0</v>
      </c>
      <c r="BT259">
        <f>IF(예비비!$R259="OK",SUMIFS(예비비!$O$430:$O$729,예비비!$B$430:$B$729,예비비!$A259,예비비!$E$430:$E$729,"&lt;"&amp;EDATE(BT$99,1),예비비!$F$430:$F$729,"결제대금비")+MAX(0,IF(예비비!$D259&lt;EDATE(BT$99,1),예비비!$E259,0)-SUMIFS(예비비!$O$430:$O$729,예비비!$B$430:$B$729,예비비!$A259,예비비!$E$430:$E$729,"&lt;"&amp;EDATE(BT$99,1))),0)</f>
        <v>0</v>
      </c>
      <c r="BU259">
        <f>IF(예비비!$R259="OK",SUMIFS(예비비!$O$430:$O$729,예비비!$B$430:$B$729,예비비!$A259,예비비!$E$430:$E$729,"&lt;"&amp;EDATE(BU$99,1),예비비!$F$430:$F$729,"결제대금비")+MAX(0,IF(예비비!$D259&lt;EDATE(BU$99,1),예비비!$E259,0)-SUMIFS(예비비!$O$430:$O$729,예비비!$B$430:$B$729,예비비!$A259,예비비!$E$430:$E$729,"&lt;"&amp;EDATE(BU$99,1))),0)</f>
        <v>0</v>
      </c>
    </row>
    <row r="260">
      <c r="BA260">
        <v>204</v>
      </c>
      <c r="BB260">
        <f>IFERROR(INDEX(잔액!$A:$A,BA260),0)</f>
        <v>46235.0</v>
      </c>
      <c r="BH260">
        <f>IFERROR(IF(AND(BB260&gt;0,OR(COUNTIFS(예비비!$C$430:$C$729,BA260,예비비!$N$430:$N$729,"OK")&gt;0,AND(INDEX(잔액!$J:$J,BA260)="가족통장",INDEX(잔액!$K:$K,BA260)="미래에셋_WRAP형CMA"),COUNTIF(예비비!$A$8:$A$12,INDEX(잔액!$C:$C,BA260))=1,COUNTIF(예비비!$A$8:$A$12,INDEX(잔액!$D:$D,BA260))=1),OR(AND(BB260&gt;=예비비!$B$3,BB260&lt;EDATE(예비비!$B$3,1)),AND(BB260&lt;EDATE(예비비!$B$3,1),COUNTIFS(예비비!$C$430:$C$729,BA260,예비비!$L$430:$L$729,예비비!$B$3,예비비!$N$430:$N$729,"OK")&gt;0))),MAX($BH$120:BH259)+1,0),0)</f>
        <v>0</v>
      </c>
      <c r="BI260">
        <f>IF(예비비!$R260="OK",SUMIFS(예비비!$O$430:$O$729,예비비!$B$430:$B$729,예비비!$A260,예비비!$E$430:$E$729,"&lt;"&amp;EDATE(BI$99,1),예비비!$F$430:$F$729,"결제대금비")+MAX(0,IF(예비비!$D260&lt;EDATE(BI$99,1),예비비!$E260,0)-SUMIFS(예비비!$O$430:$O$729,예비비!$B$430:$B$729,예비비!$A260,예비비!$E$430:$E$729,"&lt;"&amp;EDATE(BI$99,1))),0)</f>
        <v>0</v>
      </c>
      <c r="BJ260">
        <f>IF(예비비!$R260="OK",SUMIFS(예비비!$O$430:$O$729,예비비!$B$430:$B$729,예비비!$A260,예비비!$E$430:$E$729,"&lt;"&amp;EDATE(BJ$99,1),예비비!$F$430:$F$729,"결제대금비")+MAX(0,IF(예비비!$D260&lt;EDATE(BJ$99,1),예비비!$E260,0)-SUMIFS(예비비!$O$430:$O$729,예비비!$B$430:$B$729,예비비!$A260,예비비!$E$430:$E$729,"&lt;"&amp;EDATE(BJ$99,1))),0)</f>
        <v>0</v>
      </c>
      <c r="BK260">
        <f>IF(예비비!$R260="OK",SUMIFS(예비비!$O$430:$O$729,예비비!$B$430:$B$729,예비비!$A260,예비비!$E$430:$E$729,"&lt;"&amp;EDATE(BK$99,1),예비비!$F$430:$F$729,"결제대금비")+MAX(0,IF(예비비!$D260&lt;EDATE(BK$99,1),예비비!$E260,0)-SUMIFS(예비비!$O$430:$O$729,예비비!$B$430:$B$729,예비비!$A260,예비비!$E$430:$E$729,"&lt;"&amp;EDATE(BK$99,1))),0)</f>
        <v>0</v>
      </c>
      <c r="BL260">
        <f>IF(예비비!$R260="OK",SUMIFS(예비비!$O$430:$O$729,예비비!$B$430:$B$729,예비비!$A260,예비비!$E$430:$E$729,"&lt;"&amp;EDATE(BL$99,1),예비비!$F$430:$F$729,"결제대금비")+MAX(0,IF(예비비!$D260&lt;EDATE(BL$99,1),예비비!$E260,0)-SUMIFS(예비비!$O$430:$O$729,예비비!$B$430:$B$729,예비비!$A260,예비비!$E$430:$E$729,"&lt;"&amp;EDATE(BL$99,1))),0)</f>
        <v>0</v>
      </c>
      <c r="BM260">
        <f>IF(예비비!$R260="OK",SUMIFS(예비비!$O$430:$O$729,예비비!$B$430:$B$729,예비비!$A260,예비비!$E$430:$E$729,"&lt;"&amp;EDATE(BM$99,1),예비비!$F$430:$F$729,"결제대금비")+MAX(0,IF(예비비!$D260&lt;EDATE(BM$99,1),예비비!$E260,0)-SUMIFS(예비비!$O$430:$O$729,예비비!$B$430:$B$729,예비비!$A260,예비비!$E$430:$E$729,"&lt;"&amp;EDATE(BM$99,1))),0)</f>
        <v>0</v>
      </c>
      <c r="BN260">
        <f>IF(예비비!$R260="OK",SUMIFS(예비비!$O$430:$O$729,예비비!$B$430:$B$729,예비비!$A260,예비비!$E$430:$E$729,"&lt;"&amp;EDATE(BN$99,1),예비비!$F$430:$F$729,"결제대금비")+MAX(0,IF(예비비!$D260&lt;EDATE(BN$99,1),예비비!$E260,0)-SUMIFS(예비비!$O$430:$O$729,예비비!$B$430:$B$729,예비비!$A260,예비비!$E$430:$E$729,"&lt;"&amp;EDATE(BN$99,1))),0)</f>
        <v>0</v>
      </c>
      <c r="BO260">
        <f>IF(예비비!$R260="OK",SUMIFS(예비비!$O$430:$O$729,예비비!$B$430:$B$729,예비비!$A260,예비비!$E$430:$E$729,"&lt;"&amp;EDATE(BO$99,1),예비비!$F$430:$F$729,"결제대금비")+MAX(0,IF(예비비!$D260&lt;EDATE(BO$99,1),예비비!$E260,0)-SUMIFS(예비비!$O$430:$O$729,예비비!$B$430:$B$729,예비비!$A260,예비비!$E$430:$E$729,"&lt;"&amp;EDATE(BO$99,1))),0)</f>
        <v>0</v>
      </c>
      <c r="BP260">
        <f>IF(예비비!$R260="OK",SUMIFS(예비비!$O$430:$O$729,예비비!$B$430:$B$729,예비비!$A260,예비비!$E$430:$E$729,"&lt;"&amp;EDATE(BP$99,1),예비비!$F$430:$F$729,"결제대금비")+MAX(0,IF(예비비!$D260&lt;EDATE(BP$99,1),예비비!$E260,0)-SUMIFS(예비비!$O$430:$O$729,예비비!$B$430:$B$729,예비비!$A260,예비비!$E$430:$E$729,"&lt;"&amp;EDATE(BP$99,1))),0)</f>
        <v>0</v>
      </c>
      <c r="BQ260">
        <f>IF(예비비!$R260="OK",SUMIFS(예비비!$O$430:$O$729,예비비!$B$430:$B$729,예비비!$A260,예비비!$E$430:$E$729,"&lt;"&amp;EDATE(BQ$99,1),예비비!$F$430:$F$729,"결제대금비")+MAX(0,IF(예비비!$D260&lt;EDATE(BQ$99,1),예비비!$E260,0)-SUMIFS(예비비!$O$430:$O$729,예비비!$B$430:$B$729,예비비!$A260,예비비!$E$430:$E$729,"&lt;"&amp;EDATE(BQ$99,1))),0)</f>
        <v>0</v>
      </c>
      <c r="BR260">
        <f>IF(예비비!$R260="OK",SUMIFS(예비비!$O$430:$O$729,예비비!$B$430:$B$729,예비비!$A260,예비비!$E$430:$E$729,"&lt;"&amp;EDATE(BR$99,1),예비비!$F$430:$F$729,"결제대금비")+MAX(0,IF(예비비!$D260&lt;EDATE(BR$99,1),예비비!$E260,0)-SUMIFS(예비비!$O$430:$O$729,예비비!$B$430:$B$729,예비비!$A260,예비비!$E$430:$E$729,"&lt;"&amp;EDATE(BR$99,1))),0)</f>
        <v>0</v>
      </c>
      <c r="BS260">
        <f>IF(예비비!$R260="OK",SUMIFS(예비비!$O$430:$O$729,예비비!$B$430:$B$729,예비비!$A260,예비비!$E$430:$E$729,"&lt;"&amp;EDATE(BS$99,1),예비비!$F$430:$F$729,"결제대금비")+MAX(0,IF(예비비!$D260&lt;EDATE(BS$99,1),예비비!$E260,0)-SUMIFS(예비비!$O$430:$O$729,예비비!$B$430:$B$729,예비비!$A260,예비비!$E$430:$E$729,"&lt;"&amp;EDATE(BS$99,1))),0)</f>
        <v>0</v>
      </c>
      <c r="BT260">
        <f>IF(예비비!$R260="OK",SUMIFS(예비비!$O$430:$O$729,예비비!$B$430:$B$729,예비비!$A260,예비비!$E$430:$E$729,"&lt;"&amp;EDATE(BT$99,1),예비비!$F$430:$F$729,"결제대금비")+MAX(0,IF(예비비!$D260&lt;EDATE(BT$99,1),예비비!$E260,0)-SUMIFS(예비비!$O$430:$O$729,예비비!$B$430:$B$729,예비비!$A260,예비비!$E$430:$E$729,"&lt;"&amp;EDATE(BT$99,1))),0)</f>
        <v>0</v>
      </c>
      <c r="BU260">
        <f>IF(예비비!$R260="OK",SUMIFS(예비비!$O$430:$O$729,예비비!$B$430:$B$729,예비비!$A260,예비비!$E$430:$E$729,"&lt;"&amp;EDATE(BU$99,1),예비비!$F$430:$F$729,"결제대금비")+MAX(0,IF(예비비!$D260&lt;EDATE(BU$99,1),예비비!$E260,0)-SUMIFS(예비비!$O$430:$O$729,예비비!$B$430:$B$729,예비비!$A260,예비비!$E$430:$E$729,"&lt;"&amp;EDATE(BU$99,1))),0)</f>
        <v>0</v>
      </c>
    </row>
    <row r="261">
      <c r="BA261">
        <v>205</v>
      </c>
      <c r="BB261">
        <f>IFERROR(INDEX(잔액!$A:$A,BA261),0)</f>
        <v>46235.0</v>
      </c>
      <c r="BH261">
        <f>IFERROR(IF(AND(BB261&gt;0,OR(COUNTIFS(예비비!$C$430:$C$729,BA261,예비비!$N$430:$N$729,"OK")&gt;0,AND(INDEX(잔액!$J:$J,BA261)="가족통장",INDEX(잔액!$K:$K,BA261)="미래에셋_WRAP형CMA"),COUNTIF(예비비!$A$8:$A$12,INDEX(잔액!$C:$C,BA261))=1,COUNTIF(예비비!$A$8:$A$12,INDEX(잔액!$D:$D,BA261))=1),OR(AND(BB261&gt;=예비비!$B$3,BB261&lt;EDATE(예비비!$B$3,1)),AND(BB261&lt;EDATE(예비비!$B$3,1),COUNTIFS(예비비!$C$430:$C$729,BA261,예비비!$L$430:$L$729,예비비!$B$3,예비비!$N$430:$N$729,"OK")&gt;0))),MAX($BH$120:BH260)+1,0),0)</f>
        <v>0</v>
      </c>
      <c r="BI261">
        <f>IF(예비비!$R261="OK",SUMIFS(예비비!$O$430:$O$729,예비비!$B$430:$B$729,예비비!$A261,예비비!$E$430:$E$729,"&lt;"&amp;EDATE(BI$99,1),예비비!$F$430:$F$729,"결제대금비")+MAX(0,IF(예비비!$D261&lt;EDATE(BI$99,1),예비비!$E261,0)-SUMIFS(예비비!$O$430:$O$729,예비비!$B$430:$B$729,예비비!$A261,예비비!$E$430:$E$729,"&lt;"&amp;EDATE(BI$99,1))),0)</f>
        <v>0</v>
      </c>
      <c r="BJ261">
        <f>IF(예비비!$R261="OK",SUMIFS(예비비!$O$430:$O$729,예비비!$B$430:$B$729,예비비!$A261,예비비!$E$430:$E$729,"&lt;"&amp;EDATE(BJ$99,1),예비비!$F$430:$F$729,"결제대금비")+MAX(0,IF(예비비!$D261&lt;EDATE(BJ$99,1),예비비!$E261,0)-SUMIFS(예비비!$O$430:$O$729,예비비!$B$430:$B$729,예비비!$A261,예비비!$E$430:$E$729,"&lt;"&amp;EDATE(BJ$99,1))),0)</f>
        <v>0</v>
      </c>
      <c r="BK261">
        <f>IF(예비비!$R261="OK",SUMIFS(예비비!$O$430:$O$729,예비비!$B$430:$B$729,예비비!$A261,예비비!$E$430:$E$729,"&lt;"&amp;EDATE(BK$99,1),예비비!$F$430:$F$729,"결제대금비")+MAX(0,IF(예비비!$D261&lt;EDATE(BK$99,1),예비비!$E261,0)-SUMIFS(예비비!$O$430:$O$729,예비비!$B$430:$B$729,예비비!$A261,예비비!$E$430:$E$729,"&lt;"&amp;EDATE(BK$99,1))),0)</f>
        <v>0</v>
      </c>
      <c r="BL261">
        <f>IF(예비비!$R261="OK",SUMIFS(예비비!$O$430:$O$729,예비비!$B$430:$B$729,예비비!$A261,예비비!$E$430:$E$729,"&lt;"&amp;EDATE(BL$99,1),예비비!$F$430:$F$729,"결제대금비")+MAX(0,IF(예비비!$D261&lt;EDATE(BL$99,1),예비비!$E261,0)-SUMIFS(예비비!$O$430:$O$729,예비비!$B$430:$B$729,예비비!$A261,예비비!$E$430:$E$729,"&lt;"&amp;EDATE(BL$99,1))),0)</f>
        <v>0</v>
      </c>
      <c r="BM261">
        <f>IF(예비비!$R261="OK",SUMIFS(예비비!$O$430:$O$729,예비비!$B$430:$B$729,예비비!$A261,예비비!$E$430:$E$729,"&lt;"&amp;EDATE(BM$99,1),예비비!$F$430:$F$729,"결제대금비")+MAX(0,IF(예비비!$D261&lt;EDATE(BM$99,1),예비비!$E261,0)-SUMIFS(예비비!$O$430:$O$729,예비비!$B$430:$B$729,예비비!$A261,예비비!$E$430:$E$729,"&lt;"&amp;EDATE(BM$99,1))),0)</f>
        <v>0</v>
      </c>
      <c r="BN261">
        <f>IF(예비비!$R261="OK",SUMIFS(예비비!$O$430:$O$729,예비비!$B$430:$B$729,예비비!$A261,예비비!$E$430:$E$729,"&lt;"&amp;EDATE(BN$99,1),예비비!$F$430:$F$729,"결제대금비")+MAX(0,IF(예비비!$D261&lt;EDATE(BN$99,1),예비비!$E261,0)-SUMIFS(예비비!$O$430:$O$729,예비비!$B$430:$B$729,예비비!$A261,예비비!$E$430:$E$729,"&lt;"&amp;EDATE(BN$99,1))),0)</f>
        <v>0</v>
      </c>
      <c r="BO261">
        <f>IF(예비비!$R261="OK",SUMIFS(예비비!$O$430:$O$729,예비비!$B$430:$B$729,예비비!$A261,예비비!$E$430:$E$729,"&lt;"&amp;EDATE(BO$99,1),예비비!$F$430:$F$729,"결제대금비")+MAX(0,IF(예비비!$D261&lt;EDATE(BO$99,1),예비비!$E261,0)-SUMIFS(예비비!$O$430:$O$729,예비비!$B$430:$B$729,예비비!$A261,예비비!$E$430:$E$729,"&lt;"&amp;EDATE(BO$99,1))),0)</f>
        <v>0</v>
      </c>
      <c r="BP261">
        <f>IF(예비비!$R261="OK",SUMIFS(예비비!$O$430:$O$729,예비비!$B$430:$B$729,예비비!$A261,예비비!$E$430:$E$729,"&lt;"&amp;EDATE(BP$99,1),예비비!$F$430:$F$729,"결제대금비")+MAX(0,IF(예비비!$D261&lt;EDATE(BP$99,1),예비비!$E261,0)-SUMIFS(예비비!$O$430:$O$729,예비비!$B$430:$B$729,예비비!$A261,예비비!$E$430:$E$729,"&lt;"&amp;EDATE(BP$99,1))),0)</f>
        <v>0</v>
      </c>
      <c r="BQ261">
        <f>IF(예비비!$R261="OK",SUMIFS(예비비!$O$430:$O$729,예비비!$B$430:$B$729,예비비!$A261,예비비!$E$430:$E$729,"&lt;"&amp;EDATE(BQ$99,1),예비비!$F$430:$F$729,"결제대금비")+MAX(0,IF(예비비!$D261&lt;EDATE(BQ$99,1),예비비!$E261,0)-SUMIFS(예비비!$O$430:$O$729,예비비!$B$430:$B$729,예비비!$A261,예비비!$E$430:$E$729,"&lt;"&amp;EDATE(BQ$99,1))),0)</f>
        <v>0</v>
      </c>
      <c r="BR261">
        <f>IF(예비비!$R261="OK",SUMIFS(예비비!$O$430:$O$729,예비비!$B$430:$B$729,예비비!$A261,예비비!$E$430:$E$729,"&lt;"&amp;EDATE(BR$99,1),예비비!$F$430:$F$729,"결제대금비")+MAX(0,IF(예비비!$D261&lt;EDATE(BR$99,1),예비비!$E261,0)-SUMIFS(예비비!$O$430:$O$729,예비비!$B$430:$B$729,예비비!$A261,예비비!$E$430:$E$729,"&lt;"&amp;EDATE(BR$99,1))),0)</f>
        <v>0</v>
      </c>
      <c r="BS261">
        <f>IF(예비비!$R261="OK",SUMIFS(예비비!$O$430:$O$729,예비비!$B$430:$B$729,예비비!$A261,예비비!$E$430:$E$729,"&lt;"&amp;EDATE(BS$99,1),예비비!$F$430:$F$729,"결제대금비")+MAX(0,IF(예비비!$D261&lt;EDATE(BS$99,1),예비비!$E261,0)-SUMIFS(예비비!$O$430:$O$729,예비비!$B$430:$B$729,예비비!$A261,예비비!$E$430:$E$729,"&lt;"&amp;EDATE(BS$99,1))),0)</f>
        <v>0</v>
      </c>
      <c r="BT261">
        <f>IF(예비비!$R261="OK",SUMIFS(예비비!$O$430:$O$729,예비비!$B$430:$B$729,예비비!$A261,예비비!$E$430:$E$729,"&lt;"&amp;EDATE(BT$99,1),예비비!$F$430:$F$729,"결제대금비")+MAX(0,IF(예비비!$D261&lt;EDATE(BT$99,1),예비비!$E261,0)-SUMIFS(예비비!$O$430:$O$729,예비비!$B$430:$B$729,예비비!$A261,예비비!$E$430:$E$729,"&lt;"&amp;EDATE(BT$99,1))),0)</f>
        <v>0</v>
      </c>
      <c r="BU261">
        <f>IF(예비비!$R261="OK",SUMIFS(예비비!$O$430:$O$729,예비비!$B$430:$B$729,예비비!$A261,예비비!$E$430:$E$729,"&lt;"&amp;EDATE(BU$99,1),예비비!$F$430:$F$729,"결제대금비")+MAX(0,IF(예비비!$D261&lt;EDATE(BU$99,1),예비비!$E261,0)-SUMIFS(예비비!$O$430:$O$729,예비비!$B$430:$B$729,예비비!$A261,예비비!$E$430:$E$729,"&lt;"&amp;EDATE(BU$99,1))),0)</f>
        <v>0</v>
      </c>
    </row>
    <row r="262">
      <c r="BA262">
        <v>206</v>
      </c>
      <c r="BB262">
        <f>IFERROR(INDEX(잔액!$A:$A,BA262),0)</f>
        <v>46235.0</v>
      </c>
      <c r="BH262">
        <f>IFERROR(IF(AND(BB262&gt;0,OR(COUNTIFS(예비비!$C$430:$C$729,BA262,예비비!$N$430:$N$729,"OK")&gt;0,AND(INDEX(잔액!$J:$J,BA262)="가족통장",INDEX(잔액!$K:$K,BA262)="미래에셋_WRAP형CMA"),COUNTIF(예비비!$A$8:$A$12,INDEX(잔액!$C:$C,BA262))=1,COUNTIF(예비비!$A$8:$A$12,INDEX(잔액!$D:$D,BA262))=1),OR(AND(BB262&gt;=예비비!$B$3,BB262&lt;EDATE(예비비!$B$3,1)),AND(BB262&lt;EDATE(예비비!$B$3,1),COUNTIFS(예비비!$C$430:$C$729,BA262,예비비!$L$430:$L$729,예비비!$B$3,예비비!$N$430:$N$729,"OK")&gt;0))),MAX($BH$120:BH261)+1,0),0)</f>
        <v>0</v>
      </c>
      <c r="BI262">
        <f>IF(예비비!$R262="OK",SUMIFS(예비비!$O$430:$O$729,예비비!$B$430:$B$729,예비비!$A262,예비비!$E$430:$E$729,"&lt;"&amp;EDATE(BI$99,1),예비비!$F$430:$F$729,"결제대금비")+MAX(0,IF(예비비!$D262&lt;EDATE(BI$99,1),예비비!$E262,0)-SUMIFS(예비비!$O$430:$O$729,예비비!$B$430:$B$729,예비비!$A262,예비비!$E$430:$E$729,"&lt;"&amp;EDATE(BI$99,1))),0)</f>
        <v>0</v>
      </c>
      <c r="BJ262">
        <f>IF(예비비!$R262="OK",SUMIFS(예비비!$O$430:$O$729,예비비!$B$430:$B$729,예비비!$A262,예비비!$E$430:$E$729,"&lt;"&amp;EDATE(BJ$99,1),예비비!$F$430:$F$729,"결제대금비")+MAX(0,IF(예비비!$D262&lt;EDATE(BJ$99,1),예비비!$E262,0)-SUMIFS(예비비!$O$430:$O$729,예비비!$B$430:$B$729,예비비!$A262,예비비!$E$430:$E$729,"&lt;"&amp;EDATE(BJ$99,1))),0)</f>
        <v>0</v>
      </c>
      <c r="BK262">
        <f>IF(예비비!$R262="OK",SUMIFS(예비비!$O$430:$O$729,예비비!$B$430:$B$729,예비비!$A262,예비비!$E$430:$E$729,"&lt;"&amp;EDATE(BK$99,1),예비비!$F$430:$F$729,"결제대금비")+MAX(0,IF(예비비!$D262&lt;EDATE(BK$99,1),예비비!$E262,0)-SUMIFS(예비비!$O$430:$O$729,예비비!$B$430:$B$729,예비비!$A262,예비비!$E$430:$E$729,"&lt;"&amp;EDATE(BK$99,1))),0)</f>
        <v>0</v>
      </c>
      <c r="BL262">
        <f>IF(예비비!$R262="OK",SUMIFS(예비비!$O$430:$O$729,예비비!$B$430:$B$729,예비비!$A262,예비비!$E$430:$E$729,"&lt;"&amp;EDATE(BL$99,1),예비비!$F$430:$F$729,"결제대금비")+MAX(0,IF(예비비!$D262&lt;EDATE(BL$99,1),예비비!$E262,0)-SUMIFS(예비비!$O$430:$O$729,예비비!$B$430:$B$729,예비비!$A262,예비비!$E$430:$E$729,"&lt;"&amp;EDATE(BL$99,1))),0)</f>
        <v>0</v>
      </c>
      <c r="BM262">
        <f>IF(예비비!$R262="OK",SUMIFS(예비비!$O$430:$O$729,예비비!$B$430:$B$729,예비비!$A262,예비비!$E$430:$E$729,"&lt;"&amp;EDATE(BM$99,1),예비비!$F$430:$F$729,"결제대금비")+MAX(0,IF(예비비!$D262&lt;EDATE(BM$99,1),예비비!$E262,0)-SUMIFS(예비비!$O$430:$O$729,예비비!$B$430:$B$729,예비비!$A262,예비비!$E$430:$E$729,"&lt;"&amp;EDATE(BM$99,1))),0)</f>
        <v>0</v>
      </c>
      <c r="BN262">
        <f>IF(예비비!$R262="OK",SUMIFS(예비비!$O$430:$O$729,예비비!$B$430:$B$729,예비비!$A262,예비비!$E$430:$E$729,"&lt;"&amp;EDATE(BN$99,1),예비비!$F$430:$F$729,"결제대금비")+MAX(0,IF(예비비!$D262&lt;EDATE(BN$99,1),예비비!$E262,0)-SUMIFS(예비비!$O$430:$O$729,예비비!$B$430:$B$729,예비비!$A262,예비비!$E$430:$E$729,"&lt;"&amp;EDATE(BN$99,1))),0)</f>
        <v>0</v>
      </c>
      <c r="BO262">
        <f>IF(예비비!$R262="OK",SUMIFS(예비비!$O$430:$O$729,예비비!$B$430:$B$729,예비비!$A262,예비비!$E$430:$E$729,"&lt;"&amp;EDATE(BO$99,1),예비비!$F$430:$F$729,"결제대금비")+MAX(0,IF(예비비!$D262&lt;EDATE(BO$99,1),예비비!$E262,0)-SUMIFS(예비비!$O$430:$O$729,예비비!$B$430:$B$729,예비비!$A262,예비비!$E$430:$E$729,"&lt;"&amp;EDATE(BO$99,1))),0)</f>
        <v>0</v>
      </c>
      <c r="BP262">
        <f>IF(예비비!$R262="OK",SUMIFS(예비비!$O$430:$O$729,예비비!$B$430:$B$729,예비비!$A262,예비비!$E$430:$E$729,"&lt;"&amp;EDATE(BP$99,1),예비비!$F$430:$F$729,"결제대금비")+MAX(0,IF(예비비!$D262&lt;EDATE(BP$99,1),예비비!$E262,0)-SUMIFS(예비비!$O$430:$O$729,예비비!$B$430:$B$729,예비비!$A262,예비비!$E$430:$E$729,"&lt;"&amp;EDATE(BP$99,1))),0)</f>
        <v>0</v>
      </c>
      <c r="BQ262">
        <f>IF(예비비!$R262="OK",SUMIFS(예비비!$O$430:$O$729,예비비!$B$430:$B$729,예비비!$A262,예비비!$E$430:$E$729,"&lt;"&amp;EDATE(BQ$99,1),예비비!$F$430:$F$729,"결제대금비")+MAX(0,IF(예비비!$D262&lt;EDATE(BQ$99,1),예비비!$E262,0)-SUMIFS(예비비!$O$430:$O$729,예비비!$B$430:$B$729,예비비!$A262,예비비!$E$430:$E$729,"&lt;"&amp;EDATE(BQ$99,1))),0)</f>
        <v>0</v>
      </c>
      <c r="BR262">
        <f>IF(예비비!$R262="OK",SUMIFS(예비비!$O$430:$O$729,예비비!$B$430:$B$729,예비비!$A262,예비비!$E$430:$E$729,"&lt;"&amp;EDATE(BR$99,1),예비비!$F$430:$F$729,"결제대금비")+MAX(0,IF(예비비!$D262&lt;EDATE(BR$99,1),예비비!$E262,0)-SUMIFS(예비비!$O$430:$O$729,예비비!$B$430:$B$729,예비비!$A262,예비비!$E$430:$E$729,"&lt;"&amp;EDATE(BR$99,1))),0)</f>
        <v>0</v>
      </c>
      <c r="BS262">
        <f>IF(예비비!$R262="OK",SUMIFS(예비비!$O$430:$O$729,예비비!$B$430:$B$729,예비비!$A262,예비비!$E$430:$E$729,"&lt;"&amp;EDATE(BS$99,1),예비비!$F$430:$F$729,"결제대금비")+MAX(0,IF(예비비!$D262&lt;EDATE(BS$99,1),예비비!$E262,0)-SUMIFS(예비비!$O$430:$O$729,예비비!$B$430:$B$729,예비비!$A262,예비비!$E$430:$E$729,"&lt;"&amp;EDATE(BS$99,1))),0)</f>
        <v>0</v>
      </c>
      <c r="BT262">
        <f>IF(예비비!$R262="OK",SUMIFS(예비비!$O$430:$O$729,예비비!$B$430:$B$729,예비비!$A262,예비비!$E$430:$E$729,"&lt;"&amp;EDATE(BT$99,1),예비비!$F$430:$F$729,"결제대금비")+MAX(0,IF(예비비!$D262&lt;EDATE(BT$99,1),예비비!$E262,0)-SUMIFS(예비비!$O$430:$O$729,예비비!$B$430:$B$729,예비비!$A262,예비비!$E$430:$E$729,"&lt;"&amp;EDATE(BT$99,1))),0)</f>
        <v>0</v>
      </c>
      <c r="BU262">
        <f>IF(예비비!$R262="OK",SUMIFS(예비비!$O$430:$O$729,예비비!$B$430:$B$729,예비비!$A262,예비비!$E$430:$E$729,"&lt;"&amp;EDATE(BU$99,1),예비비!$F$430:$F$729,"결제대금비")+MAX(0,IF(예비비!$D262&lt;EDATE(BU$99,1),예비비!$E262,0)-SUMIFS(예비비!$O$430:$O$729,예비비!$B$430:$B$729,예비비!$A262,예비비!$E$430:$E$729,"&lt;"&amp;EDATE(BU$99,1))),0)</f>
        <v>0</v>
      </c>
    </row>
    <row r="263">
      <c r="BA263">
        <v>207</v>
      </c>
      <c r="BB263">
        <f>IFERROR(INDEX(잔액!$A:$A,BA263),0)</f>
        <v>46235.0</v>
      </c>
      <c r="BH263">
        <f>IFERROR(IF(AND(BB263&gt;0,OR(COUNTIFS(예비비!$C$430:$C$729,BA263,예비비!$N$430:$N$729,"OK")&gt;0,AND(INDEX(잔액!$J:$J,BA263)="가족통장",INDEX(잔액!$K:$K,BA263)="미래에셋_WRAP형CMA"),COUNTIF(예비비!$A$8:$A$12,INDEX(잔액!$C:$C,BA263))=1,COUNTIF(예비비!$A$8:$A$12,INDEX(잔액!$D:$D,BA263))=1),OR(AND(BB263&gt;=예비비!$B$3,BB263&lt;EDATE(예비비!$B$3,1)),AND(BB263&lt;EDATE(예비비!$B$3,1),COUNTIFS(예비비!$C$430:$C$729,BA263,예비비!$L$430:$L$729,예비비!$B$3,예비비!$N$430:$N$729,"OK")&gt;0))),MAX($BH$120:BH262)+1,0),0)</f>
        <v>0</v>
      </c>
      <c r="BI263">
        <f>IF(예비비!$R263="OK",SUMIFS(예비비!$O$430:$O$729,예비비!$B$430:$B$729,예비비!$A263,예비비!$E$430:$E$729,"&lt;"&amp;EDATE(BI$99,1),예비비!$F$430:$F$729,"결제대금비")+MAX(0,IF(예비비!$D263&lt;EDATE(BI$99,1),예비비!$E263,0)-SUMIFS(예비비!$O$430:$O$729,예비비!$B$430:$B$729,예비비!$A263,예비비!$E$430:$E$729,"&lt;"&amp;EDATE(BI$99,1))),0)</f>
        <v>0</v>
      </c>
      <c r="BJ263">
        <f>IF(예비비!$R263="OK",SUMIFS(예비비!$O$430:$O$729,예비비!$B$430:$B$729,예비비!$A263,예비비!$E$430:$E$729,"&lt;"&amp;EDATE(BJ$99,1),예비비!$F$430:$F$729,"결제대금비")+MAX(0,IF(예비비!$D263&lt;EDATE(BJ$99,1),예비비!$E263,0)-SUMIFS(예비비!$O$430:$O$729,예비비!$B$430:$B$729,예비비!$A263,예비비!$E$430:$E$729,"&lt;"&amp;EDATE(BJ$99,1))),0)</f>
        <v>0</v>
      </c>
      <c r="BK263">
        <f>IF(예비비!$R263="OK",SUMIFS(예비비!$O$430:$O$729,예비비!$B$430:$B$729,예비비!$A263,예비비!$E$430:$E$729,"&lt;"&amp;EDATE(BK$99,1),예비비!$F$430:$F$729,"결제대금비")+MAX(0,IF(예비비!$D263&lt;EDATE(BK$99,1),예비비!$E263,0)-SUMIFS(예비비!$O$430:$O$729,예비비!$B$430:$B$729,예비비!$A263,예비비!$E$430:$E$729,"&lt;"&amp;EDATE(BK$99,1))),0)</f>
        <v>0</v>
      </c>
      <c r="BL263">
        <f>IF(예비비!$R263="OK",SUMIFS(예비비!$O$430:$O$729,예비비!$B$430:$B$729,예비비!$A263,예비비!$E$430:$E$729,"&lt;"&amp;EDATE(BL$99,1),예비비!$F$430:$F$729,"결제대금비")+MAX(0,IF(예비비!$D263&lt;EDATE(BL$99,1),예비비!$E263,0)-SUMIFS(예비비!$O$430:$O$729,예비비!$B$430:$B$729,예비비!$A263,예비비!$E$430:$E$729,"&lt;"&amp;EDATE(BL$99,1))),0)</f>
        <v>0</v>
      </c>
      <c r="BM263">
        <f>IF(예비비!$R263="OK",SUMIFS(예비비!$O$430:$O$729,예비비!$B$430:$B$729,예비비!$A263,예비비!$E$430:$E$729,"&lt;"&amp;EDATE(BM$99,1),예비비!$F$430:$F$729,"결제대금비")+MAX(0,IF(예비비!$D263&lt;EDATE(BM$99,1),예비비!$E263,0)-SUMIFS(예비비!$O$430:$O$729,예비비!$B$430:$B$729,예비비!$A263,예비비!$E$430:$E$729,"&lt;"&amp;EDATE(BM$99,1))),0)</f>
        <v>0</v>
      </c>
      <c r="BN263">
        <f>IF(예비비!$R263="OK",SUMIFS(예비비!$O$430:$O$729,예비비!$B$430:$B$729,예비비!$A263,예비비!$E$430:$E$729,"&lt;"&amp;EDATE(BN$99,1),예비비!$F$430:$F$729,"결제대금비")+MAX(0,IF(예비비!$D263&lt;EDATE(BN$99,1),예비비!$E263,0)-SUMIFS(예비비!$O$430:$O$729,예비비!$B$430:$B$729,예비비!$A263,예비비!$E$430:$E$729,"&lt;"&amp;EDATE(BN$99,1))),0)</f>
        <v>0</v>
      </c>
      <c r="BO263">
        <f>IF(예비비!$R263="OK",SUMIFS(예비비!$O$430:$O$729,예비비!$B$430:$B$729,예비비!$A263,예비비!$E$430:$E$729,"&lt;"&amp;EDATE(BO$99,1),예비비!$F$430:$F$729,"결제대금비")+MAX(0,IF(예비비!$D263&lt;EDATE(BO$99,1),예비비!$E263,0)-SUMIFS(예비비!$O$430:$O$729,예비비!$B$430:$B$729,예비비!$A263,예비비!$E$430:$E$729,"&lt;"&amp;EDATE(BO$99,1))),0)</f>
        <v>0</v>
      </c>
      <c r="BP263">
        <f>IF(예비비!$R263="OK",SUMIFS(예비비!$O$430:$O$729,예비비!$B$430:$B$729,예비비!$A263,예비비!$E$430:$E$729,"&lt;"&amp;EDATE(BP$99,1),예비비!$F$430:$F$729,"결제대금비")+MAX(0,IF(예비비!$D263&lt;EDATE(BP$99,1),예비비!$E263,0)-SUMIFS(예비비!$O$430:$O$729,예비비!$B$430:$B$729,예비비!$A263,예비비!$E$430:$E$729,"&lt;"&amp;EDATE(BP$99,1))),0)</f>
        <v>0</v>
      </c>
      <c r="BQ263">
        <f>IF(예비비!$R263="OK",SUMIFS(예비비!$O$430:$O$729,예비비!$B$430:$B$729,예비비!$A263,예비비!$E$430:$E$729,"&lt;"&amp;EDATE(BQ$99,1),예비비!$F$430:$F$729,"결제대금비")+MAX(0,IF(예비비!$D263&lt;EDATE(BQ$99,1),예비비!$E263,0)-SUMIFS(예비비!$O$430:$O$729,예비비!$B$430:$B$729,예비비!$A263,예비비!$E$430:$E$729,"&lt;"&amp;EDATE(BQ$99,1))),0)</f>
        <v>0</v>
      </c>
      <c r="BR263">
        <f>IF(예비비!$R263="OK",SUMIFS(예비비!$O$430:$O$729,예비비!$B$430:$B$729,예비비!$A263,예비비!$E$430:$E$729,"&lt;"&amp;EDATE(BR$99,1),예비비!$F$430:$F$729,"결제대금비")+MAX(0,IF(예비비!$D263&lt;EDATE(BR$99,1),예비비!$E263,0)-SUMIFS(예비비!$O$430:$O$729,예비비!$B$430:$B$729,예비비!$A263,예비비!$E$430:$E$729,"&lt;"&amp;EDATE(BR$99,1))),0)</f>
        <v>0</v>
      </c>
      <c r="BS263">
        <f>IF(예비비!$R263="OK",SUMIFS(예비비!$O$430:$O$729,예비비!$B$430:$B$729,예비비!$A263,예비비!$E$430:$E$729,"&lt;"&amp;EDATE(BS$99,1),예비비!$F$430:$F$729,"결제대금비")+MAX(0,IF(예비비!$D263&lt;EDATE(BS$99,1),예비비!$E263,0)-SUMIFS(예비비!$O$430:$O$729,예비비!$B$430:$B$729,예비비!$A263,예비비!$E$430:$E$729,"&lt;"&amp;EDATE(BS$99,1))),0)</f>
        <v>0</v>
      </c>
      <c r="BT263">
        <f>IF(예비비!$R263="OK",SUMIFS(예비비!$O$430:$O$729,예비비!$B$430:$B$729,예비비!$A263,예비비!$E$430:$E$729,"&lt;"&amp;EDATE(BT$99,1),예비비!$F$430:$F$729,"결제대금비")+MAX(0,IF(예비비!$D263&lt;EDATE(BT$99,1),예비비!$E263,0)-SUMIFS(예비비!$O$430:$O$729,예비비!$B$430:$B$729,예비비!$A263,예비비!$E$430:$E$729,"&lt;"&amp;EDATE(BT$99,1))),0)</f>
        <v>0</v>
      </c>
      <c r="BU263">
        <f>IF(예비비!$R263="OK",SUMIFS(예비비!$O$430:$O$729,예비비!$B$430:$B$729,예비비!$A263,예비비!$E$430:$E$729,"&lt;"&amp;EDATE(BU$99,1),예비비!$F$430:$F$729,"결제대금비")+MAX(0,IF(예비비!$D263&lt;EDATE(BU$99,1),예비비!$E263,0)-SUMIFS(예비비!$O$430:$O$729,예비비!$B$430:$B$729,예비비!$A263,예비비!$E$430:$E$729,"&lt;"&amp;EDATE(BU$99,1))),0)</f>
        <v>0</v>
      </c>
    </row>
    <row r="264">
      <c r="BA264">
        <v>208</v>
      </c>
      <c r="BB264">
        <f>IFERROR(INDEX(잔액!$A:$A,BA264),0)</f>
        <v>46235.0</v>
      </c>
      <c r="BH264">
        <f>IFERROR(IF(AND(BB264&gt;0,OR(COUNTIFS(예비비!$C$430:$C$729,BA264,예비비!$N$430:$N$729,"OK")&gt;0,AND(INDEX(잔액!$J:$J,BA264)="가족통장",INDEX(잔액!$K:$K,BA264)="미래에셋_WRAP형CMA"),COUNTIF(예비비!$A$8:$A$12,INDEX(잔액!$C:$C,BA264))=1,COUNTIF(예비비!$A$8:$A$12,INDEX(잔액!$D:$D,BA264))=1),OR(AND(BB264&gt;=예비비!$B$3,BB264&lt;EDATE(예비비!$B$3,1)),AND(BB264&lt;EDATE(예비비!$B$3,1),COUNTIFS(예비비!$C$430:$C$729,BA264,예비비!$L$430:$L$729,예비비!$B$3,예비비!$N$430:$N$729,"OK")&gt;0))),MAX($BH$120:BH263)+1,0),0)</f>
        <v>1</v>
      </c>
      <c r="BI264">
        <f>IF(예비비!$R264="OK",SUMIFS(예비비!$O$430:$O$729,예비비!$B$430:$B$729,예비비!$A264,예비비!$E$430:$E$729,"&lt;"&amp;EDATE(BI$99,1),예비비!$F$430:$F$729,"결제대금비")+MAX(0,IF(예비비!$D264&lt;EDATE(BI$99,1),예비비!$E264,0)-SUMIFS(예비비!$O$430:$O$729,예비비!$B$430:$B$729,예비비!$A264,예비비!$E$430:$E$729,"&lt;"&amp;EDATE(BI$99,1))),0)</f>
        <v>0</v>
      </c>
      <c r="BJ264">
        <f>IF(예비비!$R264="OK",SUMIFS(예비비!$O$430:$O$729,예비비!$B$430:$B$729,예비비!$A264,예비비!$E$430:$E$729,"&lt;"&amp;EDATE(BJ$99,1),예비비!$F$430:$F$729,"결제대금비")+MAX(0,IF(예비비!$D264&lt;EDATE(BJ$99,1),예비비!$E264,0)-SUMIFS(예비비!$O$430:$O$729,예비비!$B$430:$B$729,예비비!$A264,예비비!$E$430:$E$729,"&lt;"&amp;EDATE(BJ$99,1))),0)</f>
        <v>0</v>
      </c>
      <c r="BK264">
        <f>IF(예비비!$R264="OK",SUMIFS(예비비!$O$430:$O$729,예비비!$B$430:$B$729,예비비!$A264,예비비!$E$430:$E$729,"&lt;"&amp;EDATE(BK$99,1),예비비!$F$430:$F$729,"결제대금비")+MAX(0,IF(예비비!$D264&lt;EDATE(BK$99,1),예비비!$E264,0)-SUMIFS(예비비!$O$430:$O$729,예비비!$B$430:$B$729,예비비!$A264,예비비!$E$430:$E$729,"&lt;"&amp;EDATE(BK$99,1))),0)</f>
        <v>0</v>
      </c>
      <c r="BL264">
        <f>IF(예비비!$R264="OK",SUMIFS(예비비!$O$430:$O$729,예비비!$B$430:$B$729,예비비!$A264,예비비!$E$430:$E$729,"&lt;"&amp;EDATE(BL$99,1),예비비!$F$430:$F$729,"결제대금비")+MAX(0,IF(예비비!$D264&lt;EDATE(BL$99,1),예비비!$E264,0)-SUMIFS(예비비!$O$430:$O$729,예비비!$B$430:$B$729,예비비!$A264,예비비!$E$430:$E$729,"&lt;"&amp;EDATE(BL$99,1))),0)</f>
        <v>0</v>
      </c>
      <c r="BM264">
        <f>IF(예비비!$R264="OK",SUMIFS(예비비!$O$430:$O$729,예비비!$B$430:$B$729,예비비!$A264,예비비!$E$430:$E$729,"&lt;"&amp;EDATE(BM$99,1),예비비!$F$430:$F$729,"결제대금비")+MAX(0,IF(예비비!$D264&lt;EDATE(BM$99,1),예비비!$E264,0)-SUMIFS(예비비!$O$430:$O$729,예비비!$B$430:$B$729,예비비!$A264,예비비!$E$430:$E$729,"&lt;"&amp;EDATE(BM$99,1))),0)</f>
        <v>0</v>
      </c>
      <c r="BN264">
        <f>IF(예비비!$R264="OK",SUMIFS(예비비!$O$430:$O$729,예비비!$B$430:$B$729,예비비!$A264,예비비!$E$430:$E$729,"&lt;"&amp;EDATE(BN$99,1),예비비!$F$430:$F$729,"결제대금비")+MAX(0,IF(예비비!$D264&lt;EDATE(BN$99,1),예비비!$E264,0)-SUMIFS(예비비!$O$430:$O$729,예비비!$B$430:$B$729,예비비!$A264,예비비!$E$430:$E$729,"&lt;"&amp;EDATE(BN$99,1))),0)</f>
        <v>0</v>
      </c>
      <c r="BO264">
        <f>IF(예비비!$R264="OK",SUMIFS(예비비!$O$430:$O$729,예비비!$B$430:$B$729,예비비!$A264,예비비!$E$430:$E$729,"&lt;"&amp;EDATE(BO$99,1),예비비!$F$430:$F$729,"결제대금비")+MAX(0,IF(예비비!$D264&lt;EDATE(BO$99,1),예비비!$E264,0)-SUMIFS(예비비!$O$430:$O$729,예비비!$B$430:$B$729,예비비!$A264,예비비!$E$430:$E$729,"&lt;"&amp;EDATE(BO$99,1))),0)</f>
        <v>0</v>
      </c>
      <c r="BP264">
        <f>IF(예비비!$R264="OK",SUMIFS(예비비!$O$430:$O$729,예비비!$B$430:$B$729,예비비!$A264,예비비!$E$430:$E$729,"&lt;"&amp;EDATE(BP$99,1),예비비!$F$430:$F$729,"결제대금비")+MAX(0,IF(예비비!$D264&lt;EDATE(BP$99,1),예비비!$E264,0)-SUMIFS(예비비!$O$430:$O$729,예비비!$B$430:$B$729,예비비!$A264,예비비!$E$430:$E$729,"&lt;"&amp;EDATE(BP$99,1))),0)</f>
        <v>0</v>
      </c>
      <c r="BQ264">
        <f>IF(예비비!$R264="OK",SUMIFS(예비비!$O$430:$O$729,예비비!$B$430:$B$729,예비비!$A264,예비비!$E$430:$E$729,"&lt;"&amp;EDATE(BQ$99,1),예비비!$F$430:$F$729,"결제대금비")+MAX(0,IF(예비비!$D264&lt;EDATE(BQ$99,1),예비비!$E264,0)-SUMIFS(예비비!$O$430:$O$729,예비비!$B$430:$B$729,예비비!$A264,예비비!$E$430:$E$729,"&lt;"&amp;EDATE(BQ$99,1))),0)</f>
        <v>0</v>
      </c>
      <c r="BR264">
        <f>IF(예비비!$R264="OK",SUMIFS(예비비!$O$430:$O$729,예비비!$B$430:$B$729,예비비!$A264,예비비!$E$430:$E$729,"&lt;"&amp;EDATE(BR$99,1),예비비!$F$430:$F$729,"결제대금비")+MAX(0,IF(예비비!$D264&lt;EDATE(BR$99,1),예비비!$E264,0)-SUMIFS(예비비!$O$430:$O$729,예비비!$B$430:$B$729,예비비!$A264,예비비!$E$430:$E$729,"&lt;"&amp;EDATE(BR$99,1))),0)</f>
        <v>0</v>
      </c>
      <c r="BS264">
        <f>IF(예비비!$R264="OK",SUMIFS(예비비!$O$430:$O$729,예비비!$B$430:$B$729,예비비!$A264,예비비!$E$430:$E$729,"&lt;"&amp;EDATE(BS$99,1),예비비!$F$430:$F$729,"결제대금비")+MAX(0,IF(예비비!$D264&lt;EDATE(BS$99,1),예비비!$E264,0)-SUMIFS(예비비!$O$430:$O$729,예비비!$B$430:$B$729,예비비!$A264,예비비!$E$430:$E$729,"&lt;"&amp;EDATE(BS$99,1))),0)</f>
        <v>0</v>
      </c>
      <c r="BT264">
        <f>IF(예비비!$R264="OK",SUMIFS(예비비!$O$430:$O$729,예비비!$B$430:$B$729,예비비!$A264,예비비!$E$430:$E$729,"&lt;"&amp;EDATE(BT$99,1),예비비!$F$430:$F$729,"결제대금비")+MAX(0,IF(예비비!$D264&lt;EDATE(BT$99,1),예비비!$E264,0)-SUMIFS(예비비!$O$430:$O$729,예비비!$B$430:$B$729,예비비!$A264,예비비!$E$430:$E$729,"&lt;"&amp;EDATE(BT$99,1))),0)</f>
        <v>0</v>
      </c>
      <c r="BU264">
        <f>IF(예비비!$R264="OK",SUMIFS(예비비!$O$430:$O$729,예비비!$B$430:$B$729,예비비!$A264,예비비!$E$430:$E$729,"&lt;"&amp;EDATE(BU$99,1),예비비!$F$430:$F$729,"결제대금비")+MAX(0,IF(예비비!$D264&lt;EDATE(BU$99,1),예비비!$E264,0)-SUMIFS(예비비!$O$430:$O$729,예비비!$B$430:$B$729,예비비!$A264,예비비!$E$430:$E$729,"&lt;"&amp;EDATE(BU$99,1))),0)</f>
        <v>0</v>
      </c>
    </row>
    <row r="265">
      <c r="BA265">
        <v>209</v>
      </c>
      <c r="BB265">
        <f>IFERROR(INDEX(잔액!$A:$A,BA265),0)</f>
        <v>46235.0</v>
      </c>
      <c r="BH265">
        <f>IFERROR(IF(AND(BB265&gt;0,OR(COUNTIFS(예비비!$C$430:$C$729,BA265,예비비!$N$430:$N$729,"OK")&gt;0,AND(INDEX(잔액!$J:$J,BA265)="가족통장",INDEX(잔액!$K:$K,BA265)="미래에셋_WRAP형CMA"),COUNTIF(예비비!$A$8:$A$12,INDEX(잔액!$C:$C,BA265))=1,COUNTIF(예비비!$A$8:$A$12,INDEX(잔액!$D:$D,BA265))=1),OR(AND(BB265&gt;=예비비!$B$3,BB265&lt;EDATE(예비비!$B$3,1)),AND(BB265&lt;EDATE(예비비!$B$3,1),COUNTIFS(예비비!$C$430:$C$729,BA265,예비비!$L$430:$L$729,예비비!$B$3,예비비!$N$430:$N$729,"OK")&gt;0))),MAX($BH$120:BH264)+1,0),0)</f>
        <v>0</v>
      </c>
      <c r="BI265">
        <f>IF(예비비!$R265="OK",SUMIFS(예비비!$O$430:$O$729,예비비!$B$430:$B$729,예비비!$A265,예비비!$E$430:$E$729,"&lt;"&amp;EDATE(BI$99,1),예비비!$F$430:$F$729,"결제대금비")+MAX(0,IF(예비비!$D265&lt;EDATE(BI$99,1),예비비!$E265,0)-SUMIFS(예비비!$O$430:$O$729,예비비!$B$430:$B$729,예비비!$A265,예비비!$E$430:$E$729,"&lt;"&amp;EDATE(BI$99,1))),0)</f>
        <v>0</v>
      </c>
      <c r="BJ265">
        <f>IF(예비비!$R265="OK",SUMIFS(예비비!$O$430:$O$729,예비비!$B$430:$B$729,예비비!$A265,예비비!$E$430:$E$729,"&lt;"&amp;EDATE(BJ$99,1),예비비!$F$430:$F$729,"결제대금비")+MAX(0,IF(예비비!$D265&lt;EDATE(BJ$99,1),예비비!$E265,0)-SUMIFS(예비비!$O$430:$O$729,예비비!$B$430:$B$729,예비비!$A265,예비비!$E$430:$E$729,"&lt;"&amp;EDATE(BJ$99,1))),0)</f>
        <v>0</v>
      </c>
      <c r="BK265">
        <f>IF(예비비!$R265="OK",SUMIFS(예비비!$O$430:$O$729,예비비!$B$430:$B$729,예비비!$A265,예비비!$E$430:$E$729,"&lt;"&amp;EDATE(BK$99,1),예비비!$F$430:$F$729,"결제대금비")+MAX(0,IF(예비비!$D265&lt;EDATE(BK$99,1),예비비!$E265,0)-SUMIFS(예비비!$O$430:$O$729,예비비!$B$430:$B$729,예비비!$A265,예비비!$E$430:$E$729,"&lt;"&amp;EDATE(BK$99,1))),0)</f>
        <v>0</v>
      </c>
      <c r="BL265">
        <f>IF(예비비!$R265="OK",SUMIFS(예비비!$O$430:$O$729,예비비!$B$430:$B$729,예비비!$A265,예비비!$E$430:$E$729,"&lt;"&amp;EDATE(BL$99,1),예비비!$F$430:$F$729,"결제대금비")+MAX(0,IF(예비비!$D265&lt;EDATE(BL$99,1),예비비!$E265,0)-SUMIFS(예비비!$O$430:$O$729,예비비!$B$430:$B$729,예비비!$A265,예비비!$E$430:$E$729,"&lt;"&amp;EDATE(BL$99,1))),0)</f>
        <v>0</v>
      </c>
      <c r="BM265">
        <f>IF(예비비!$R265="OK",SUMIFS(예비비!$O$430:$O$729,예비비!$B$430:$B$729,예비비!$A265,예비비!$E$430:$E$729,"&lt;"&amp;EDATE(BM$99,1),예비비!$F$430:$F$729,"결제대금비")+MAX(0,IF(예비비!$D265&lt;EDATE(BM$99,1),예비비!$E265,0)-SUMIFS(예비비!$O$430:$O$729,예비비!$B$430:$B$729,예비비!$A265,예비비!$E$430:$E$729,"&lt;"&amp;EDATE(BM$99,1))),0)</f>
        <v>0</v>
      </c>
      <c r="BN265">
        <f>IF(예비비!$R265="OK",SUMIFS(예비비!$O$430:$O$729,예비비!$B$430:$B$729,예비비!$A265,예비비!$E$430:$E$729,"&lt;"&amp;EDATE(BN$99,1),예비비!$F$430:$F$729,"결제대금비")+MAX(0,IF(예비비!$D265&lt;EDATE(BN$99,1),예비비!$E265,0)-SUMIFS(예비비!$O$430:$O$729,예비비!$B$430:$B$729,예비비!$A265,예비비!$E$430:$E$729,"&lt;"&amp;EDATE(BN$99,1))),0)</f>
        <v>0</v>
      </c>
      <c r="BO265">
        <f>IF(예비비!$R265="OK",SUMIFS(예비비!$O$430:$O$729,예비비!$B$430:$B$729,예비비!$A265,예비비!$E$430:$E$729,"&lt;"&amp;EDATE(BO$99,1),예비비!$F$430:$F$729,"결제대금비")+MAX(0,IF(예비비!$D265&lt;EDATE(BO$99,1),예비비!$E265,0)-SUMIFS(예비비!$O$430:$O$729,예비비!$B$430:$B$729,예비비!$A265,예비비!$E$430:$E$729,"&lt;"&amp;EDATE(BO$99,1))),0)</f>
        <v>0</v>
      </c>
      <c r="BP265">
        <f>IF(예비비!$R265="OK",SUMIFS(예비비!$O$430:$O$729,예비비!$B$430:$B$729,예비비!$A265,예비비!$E$430:$E$729,"&lt;"&amp;EDATE(BP$99,1),예비비!$F$430:$F$729,"결제대금비")+MAX(0,IF(예비비!$D265&lt;EDATE(BP$99,1),예비비!$E265,0)-SUMIFS(예비비!$O$430:$O$729,예비비!$B$430:$B$729,예비비!$A265,예비비!$E$430:$E$729,"&lt;"&amp;EDATE(BP$99,1))),0)</f>
        <v>0</v>
      </c>
      <c r="BQ265">
        <f>IF(예비비!$R265="OK",SUMIFS(예비비!$O$430:$O$729,예비비!$B$430:$B$729,예비비!$A265,예비비!$E$430:$E$729,"&lt;"&amp;EDATE(BQ$99,1),예비비!$F$430:$F$729,"결제대금비")+MAX(0,IF(예비비!$D265&lt;EDATE(BQ$99,1),예비비!$E265,0)-SUMIFS(예비비!$O$430:$O$729,예비비!$B$430:$B$729,예비비!$A265,예비비!$E$430:$E$729,"&lt;"&amp;EDATE(BQ$99,1))),0)</f>
        <v>0</v>
      </c>
      <c r="BR265">
        <f>IF(예비비!$R265="OK",SUMIFS(예비비!$O$430:$O$729,예비비!$B$430:$B$729,예비비!$A265,예비비!$E$430:$E$729,"&lt;"&amp;EDATE(BR$99,1),예비비!$F$430:$F$729,"결제대금비")+MAX(0,IF(예비비!$D265&lt;EDATE(BR$99,1),예비비!$E265,0)-SUMIFS(예비비!$O$430:$O$729,예비비!$B$430:$B$729,예비비!$A265,예비비!$E$430:$E$729,"&lt;"&amp;EDATE(BR$99,1))),0)</f>
        <v>0</v>
      </c>
      <c r="BS265">
        <f>IF(예비비!$R265="OK",SUMIFS(예비비!$O$430:$O$729,예비비!$B$430:$B$729,예비비!$A265,예비비!$E$430:$E$729,"&lt;"&amp;EDATE(BS$99,1),예비비!$F$430:$F$729,"결제대금비")+MAX(0,IF(예비비!$D265&lt;EDATE(BS$99,1),예비비!$E265,0)-SUMIFS(예비비!$O$430:$O$729,예비비!$B$430:$B$729,예비비!$A265,예비비!$E$430:$E$729,"&lt;"&amp;EDATE(BS$99,1))),0)</f>
        <v>0</v>
      </c>
      <c r="BT265">
        <f>IF(예비비!$R265="OK",SUMIFS(예비비!$O$430:$O$729,예비비!$B$430:$B$729,예비비!$A265,예비비!$E$430:$E$729,"&lt;"&amp;EDATE(BT$99,1),예비비!$F$430:$F$729,"결제대금비")+MAX(0,IF(예비비!$D265&lt;EDATE(BT$99,1),예비비!$E265,0)-SUMIFS(예비비!$O$430:$O$729,예비비!$B$430:$B$729,예비비!$A265,예비비!$E$430:$E$729,"&lt;"&amp;EDATE(BT$99,1))),0)</f>
        <v>0</v>
      </c>
      <c r="BU265">
        <f>IF(예비비!$R265="OK",SUMIFS(예비비!$O$430:$O$729,예비비!$B$430:$B$729,예비비!$A265,예비비!$E$430:$E$729,"&lt;"&amp;EDATE(BU$99,1),예비비!$F$430:$F$729,"결제대금비")+MAX(0,IF(예비비!$D265&lt;EDATE(BU$99,1),예비비!$E265,0)-SUMIFS(예비비!$O$430:$O$729,예비비!$B$430:$B$729,예비비!$A265,예비비!$E$430:$E$729,"&lt;"&amp;EDATE(BU$99,1))),0)</f>
        <v>0</v>
      </c>
    </row>
    <row r="266">
      <c r="BA266">
        <v>210</v>
      </c>
      <c r="BB266">
        <f>IFERROR(INDEX(잔액!$A:$A,BA266),0)</f>
        <v>46235.0</v>
      </c>
      <c r="BH266">
        <f>IFERROR(IF(AND(BB266&gt;0,OR(COUNTIFS(예비비!$C$430:$C$729,BA266,예비비!$N$430:$N$729,"OK")&gt;0,AND(INDEX(잔액!$J:$J,BA266)="가족통장",INDEX(잔액!$K:$K,BA266)="미래에셋_WRAP형CMA"),COUNTIF(예비비!$A$8:$A$12,INDEX(잔액!$C:$C,BA266))=1,COUNTIF(예비비!$A$8:$A$12,INDEX(잔액!$D:$D,BA266))=1),OR(AND(BB266&gt;=예비비!$B$3,BB266&lt;EDATE(예비비!$B$3,1)),AND(BB266&lt;EDATE(예비비!$B$3,1),COUNTIFS(예비비!$C$430:$C$729,BA266,예비비!$L$430:$L$729,예비비!$B$3,예비비!$N$430:$N$729,"OK")&gt;0))),MAX($BH$120:BH265)+1,0),0)</f>
        <v>0</v>
      </c>
      <c r="BI266">
        <f>IF(예비비!$R266="OK",SUMIFS(예비비!$O$430:$O$729,예비비!$B$430:$B$729,예비비!$A266,예비비!$E$430:$E$729,"&lt;"&amp;EDATE(BI$99,1),예비비!$F$430:$F$729,"결제대금비")+MAX(0,IF(예비비!$D266&lt;EDATE(BI$99,1),예비비!$E266,0)-SUMIFS(예비비!$O$430:$O$729,예비비!$B$430:$B$729,예비비!$A266,예비비!$E$430:$E$729,"&lt;"&amp;EDATE(BI$99,1))),0)</f>
        <v>0</v>
      </c>
      <c r="BJ266">
        <f>IF(예비비!$R266="OK",SUMIFS(예비비!$O$430:$O$729,예비비!$B$430:$B$729,예비비!$A266,예비비!$E$430:$E$729,"&lt;"&amp;EDATE(BJ$99,1),예비비!$F$430:$F$729,"결제대금비")+MAX(0,IF(예비비!$D266&lt;EDATE(BJ$99,1),예비비!$E266,0)-SUMIFS(예비비!$O$430:$O$729,예비비!$B$430:$B$729,예비비!$A266,예비비!$E$430:$E$729,"&lt;"&amp;EDATE(BJ$99,1))),0)</f>
        <v>0</v>
      </c>
      <c r="BK266">
        <f>IF(예비비!$R266="OK",SUMIFS(예비비!$O$430:$O$729,예비비!$B$430:$B$729,예비비!$A266,예비비!$E$430:$E$729,"&lt;"&amp;EDATE(BK$99,1),예비비!$F$430:$F$729,"결제대금비")+MAX(0,IF(예비비!$D266&lt;EDATE(BK$99,1),예비비!$E266,0)-SUMIFS(예비비!$O$430:$O$729,예비비!$B$430:$B$729,예비비!$A266,예비비!$E$430:$E$729,"&lt;"&amp;EDATE(BK$99,1))),0)</f>
        <v>0</v>
      </c>
      <c r="BL266">
        <f>IF(예비비!$R266="OK",SUMIFS(예비비!$O$430:$O$729,예비비!$B$430:$B$729,예비비!$A266,예비비!$E$430:$E$729,"&lt;"&amp;EDATE(BL$99,1),예비비!$F$430:$F$729,"결제대금비")+MAX(0,IF(예비비!$D266&lt;EDATE(BL$99,1),예비비!$E266,0)-SUMIFS(예비비!$O$430:$O$729,예비비!$B$430:$B$729,예비비!$A266,예비비!$E$430:$E$729,"&lt;"&amp;EDATE(BL$99,1))),0)</f>
        <v>0</v>
      </c>
      <c r="BM266">
        <f>IF(예비비!$R266="OK",SUMIFS(예비비!$O$430:$O$729,예비비!$B$430:$B$729,예비비!$A266,예비비!$E$430:$E$729,"&lt;"&amp;EDATE(BM$99,1),예비비!$F$430:$F$729,"결제대금비")+MAX(0,IF(예비비!$D266&lt;EDATE(BM$99,1),예비비!$E266,0)-SUMIFS(예비비!$O$430:$O$729,예비비!$B$430:$B$729,예비비!$A266,예비비!$E$430:$E$729,"&lt;"&amp;EDATE(BM$99,1))),0)</f>
        <v>0</v>
      </c>
      <c r="BN266">
        <f>IF(예비비!$R266="OK",SUMIFS(예비비!$O$430:$O$729,예비비!$B$430:$B$729,예비비!$A266,예비비!$E$430:$E$729,"&lt;"&amp;EDATE(BN$99,1),예비비!$F$430:$F$729,"결제대금비")+MAX(0,IF(예비비!$D266&lt;EDATE(BN$99,1),예비비!$E266,0)-SUMIFS(예비비!$O$430:$O$729,예비비!$B$430:$B$729,예비비!$A266,예비비!$E$430:$E$729,"&lt;"&amp;EDATE(BN$99,1))),0)</f>
        <v>0</v>
      </c>
      <c r="BO266">
        <f>IF(예비비!$R266="OK",SUMIFS(예비비!$O$430:$O$729,예비비!$B$430:$B$729,예비비!$A266,예비비!$E$430:$E$729,"&lt;"&amp;EDATE(BO$99,1),예비비!$F$430:$F$729,"결제대금비")+MAX(0,IF(예비비!$D266&lt;EDATE(BO$99,1),예비비!$E266,0)-SUMIFS(예비비!$O$430:$O$729,예비비!$B$430:$B$729,예비비!$A266,예비비!$E$430:$E$729,"&lt;"&amp;EDATE(BO$99,1))),0)</f>
        <v>0</v>
      </c>
      <c r="BP266">
        <f>IF(예비비!$R266="OK",SUMIFS(예비비!$O$430:$O$729,예비비!$B$430:$B$729,예비비!$A266,예비비!$E$430:$E$729,"&lt;"&amp;EDATE(BP$99,1),예비비!$F$430:$F$729,"결제대금비")+MAX(0,IF(예비비!$D266&lt;EDATE(BP$99,1),예비비!$E266,0)-SUMIFS(예비비!$O$430:$O$729,예비비!$B$430:$B$729,예비비!$A266,예비비!$E$430:$E$729,"&lt;"&amp;EDATE(BP$99,1))),0)</f>
        <v>0</v>
      </c>
      <c r="BQ266">
        <f>IF(예비비!$R266="OK",SUMIFS(예비비!$O$430:$O$729,예비비!$B$430:$B$729,예비비!$A266,예비비!$E$430:$E$729,"&lt;"&amp;EDATE(BQ$99,1),예비비!$F$430:$F$729,"결제대금비")+MAX(0,IF(예비비!$D266&lt;EDATE(BQ$99,1),예비비!$E266,0)-SUMIFS(예비비!$O$430:$O$729,예비비!$B$430:$B$729,예비비!$A266,예비비!$E$430:$E$729,"&lt;"&amp;EDATE(BQ$99,1))),0)</f>
        <v>0</v>
      </c>
      <c r="BR266">
        <f>IF(예비비!$R266="OK",SUMIFS(예비비!$O$430:$O$729,예비비!$B$430:$B$729,예비비!$A266,예비비!$E$430:$E$729,"&lt;"&amp;EDATE(BR$99,1),예비비!$F$430:$F$729,"결제대금비")+MAX(0,IF(예비비!$D266&lt;EDATE(BR$99,1),예비비!$E266,0)-SUMIFS(예비비!$O$430:$O$729,예비비!$B$430:$B$729,예비비!$A266,예비비!$E$430:$E$729,"&lt;"&amp;EDATE(BR$99,1))),0)</f>
        <v>0</v>
      </c>
      <c r="BS266">
        <f>IF(예비비!$R266="OK",SUMIFS(예비비!$O$430:$O$729,예비비!$B$430:$B$729,예비비!$A266,예비비!$E$430:$E$729,"&lt;"&amp;EDATE(BS$99,1),예비비!$F$430:$F$729,"결제대금비")+MAX(0,IF(예비비!$D266&lt;EDATE(BS$99,1),예비비!$E266,0)-SUMIFS(예비비!$O$430:$O$729,예비비!$B$430:$B$729,예비비!$A266,예비비!$E$430:$E$729,"&lt;"&amp;EDATE(BS$99,1))),0)</f>
        <v>0</v>
      </c>
      <c r="BT266">
        <f>IF(예비비!$R266="OK",SUMIFS(예비비!$O$430:$O$729,예비비!$B$430:$B$729,예비비!$A266,예비비!$E$430:$E$729,"&lt;"&amp;EDATE(BT$99,1),예비비!$F$430:$F$729,"결제대금비")+MAX(0,IF(예비비!$D266&lt;EDATE(BT$99,1),예비비!$E266,0)-SUMIFS(예비비!$O$430:$O$729,예비비!$B$430:$B$729,예비비!$A266,예비비!$E$430:$E$729,"&lt;"&amp;EDATE(BT$99,1))),0)</f>
        <v>0</v>
      </c>
      <c r="BU266">
        <f>IF(예비비!$R266="OK",SUMIFS(예비비!$O$430:$O$729,예비비!$B$430:$B$729,예비비!$A266,예비비!$E$430:$E$729,"&lt;"&amp;EDATE(BU$99,1),예비비!$F$430:$F$729,"결제대금비")+MAX(0,IF(예비비!$D266&lt;EDATE(BU$99,1),예비비!$E266,0)-SUMIFS(예비비!$O$430:$O$729,예비비!$B$430:$B$729,예비비!$A266,예비비!$E$430:$E$729,"&lt;"&amp;EDATE(BU$99,1))),0)</f>
        <v>0</v>
      </c>
    </row>
    <row r="267">
      <c r="BA267">
        <v>211</v>
      </c>
      <c r="BB267">
        <f>IFERROR(INDEX(잔액!$A:$A,BA267),0)</f>
        <v>46235.0</v>
      </c>
      <c r="BH267">
        <f>IFERROR(IF(AND(BB267&gt;0,OR(COUNTIFS(예비비!$C$430:$C$729,BA267,예비비!$N$430:$N$729,"OK")&gt;0,AND(INDEX(잔액!$J:$J,BA267)="가족통장",INDEX(잔액!$K:$K,BA267)="미래에셋_WRAP형CMA"),COUNTIF(예비비!$A$8:$A$12,INDEX(잔액!$C:$C,BA267))=1,COUNTIF(예비비!$A$8:$A$12,INDEX(잔액!$D:$D,BA267))=1),OR(AND(BB267&gt;=예비비!$B$3,BB267&lt;EDATE(예비비!$B$3,1)),AND(BB267&lt;EDATE(예비비!$B$3,1),COUNTIFS(예비비!$C$430:$C$729,BA267,예비비!$L$430:$L$729,예비비!$B$3,예비비!$N$430:$N$729,"OK")&gt;0))),MAX($BH$120:BH266)+1,0),0)</f>
        <v>0</v>
      </c>
      <c r="BI267">
        <f>IF(예비비!$R267="OK",SUMIFS(예비비!$O$430:$O$729,예비비!$B$430:$B$729,예비비!$A267,예비비!$E$430:$E$729,"&lt;"&amp;EDATE(BI$99,1),예비비!$F$430:$F$729,"결제대금비")+MAX(0,IF(예비비!$D267&lt;EDATE(BI$99,1),예비비!$E267,0)-SUMIFS(예비비!$O$430:$O$729,예비비!$B$430:$B$729,예비비!$A267,예비비!$E$430:$E$729,"&lt;"&amp;EDATE(BI$99,1))),0)</f>
        <v>0</v>
      </c>
      <c r="BJ267">
        <f>IF(예비비!$R267="OK",SUMIFS(예비비!$O$430:$O$729,예비비!$B$430:$B$729,예비비!$A267,예비비!$E$430:$E$729,"&lt;"&amp;EDATE(BJ$99,1),예비비!$F$430:$F$729,"결제대금비")+MAX(0,IF(예비비!$D267&lt;EDATE(BJ$99,1),예비비!$E267,0)-SUMIFS(예비비!$O$430:$O$729,예비비!$B$430:$B$729,예비비!$A267,예비비!$E$430:$E$729,"&lt;"&amp;EDATE(BJ$99,1))),0)</f>
        <v>0</v>
      </c>
      <c r="BK267">
        <f>IF(예비비!$R267="OK",SUMIFS(예비비!$O$430:$O$729,예비비!$B$430:$B$729,예비비!$A267,예비비!$E$430:$E$729,"&lt;"&amp;EDATE(BK$99,1),예비비!$F$430:$F$729,"결제대금비")+MAX(0,IF(예비비!$D267&lt;EDATE(BK$99,1),예비비!$E267,0)-SUMIFS(예비비!$O$430:$O$729,예비비!$B$430:$B$729,예비비!$A267,예비비!$E$430:$E$729,"&lt;"&amp;EDATE(BK$99,1))),0)</f>
        <v>0</v>
      </c>
      <c r="BL267">
        <f>IF(예비비!$R267="OK",SUMIFS(예비비!$O$430:$O$729,예비비!$B$430:$B$729,예비비!$A267,예비비!$E$430:$E$729,"&lt;"&amp;EDATE(BL$99,1),예비비!$F$430:$F$729,"결제대금비")+MAX(0,IF(예비비!$D267&lt;EDATE(BL$99,1),예비비!$E267,0)-SUMIFS(예비비!$O$430:$O$729,예비비!$B$430:$B$729,예비비!$A267,예비비!$E$430:$E$729,"&lt;"&amp;EDATE(BL$99,1))),0)</f>
        <v>0</v>
      </c>
      <c r="BM267">
        <f>IF(예비비!$R267="OK",SUMIFS(예비비!$O$430:$O$729,예비비!$B$430:$B$729,예비비!$A267,예비비!$E$430:$E$729,"&lt;"&amp;EDATE(BM$99,1),예비비!$F$430:$F$729,"결제대금비")+MAX(0,IF(예비비!$D267&lt;EDATE(BM$99,1),예비비!$E267,0)-SUMIFS(예비비!$O$430:$O$729,예비비!$B$430:$B$729,예비비!$A267,예비비!$E$430:$E$729,"&lt;"&amp;EDATE(BM$99,1))),0)</f>
        <v>0</v>
      </c>
      <c r="BN267">
        <f>IF(예비비!$R267="OK",SUMIFS(예비비!$O$430:$O$729,예비비!$B$430:$B$729,예비비!$A267,예비비!$E$430:$E$729,"&lt;"&amp;EDATE(BN$99,1),예비비!$F$430:$F$729,"결제대금비")+MAX(0,IF(예비비!$D267&lt;EDATE(BN$99,1),예비비!$E267,0)-SUMIFS(예비비!$O$430:$O$729,예비비!$B$430:$B$729,예비비!$A267,예비비!$E$430:$E$729,"&lt;"&amp;EDATE(BN$99,1))),0)</f>
        <v>0</v>
      </c>
      <c r="BO267">
        <f>IF(예비비!$R267="OK",SUMIFS(예비비!$O$430:$O$729,예비비!$B$430:$B$729,예비비!$A267,예비비!$E$430:$E$729,"&lt;"&amp;EDATE(BO$99,1),예비비!$F$430:$F$729,"결제대금비")+MAX(0,IF(예비비!$D267&lt;EDATE(BO$99,1),예비비!$E267,0)-SUMIFS(예비비!$O$430:$O$729,예비비!$B$430:$B$729,예비비!$A267,예비비!$E$430:$E$729,"&lt;"&amp;EDATE(BO$99,1))),0)</f>
        <v>0</v>
      </c>
      <c r="BP267">
        <f>IF(예비비!$R267="OK",SUMIFS(예비비!$O$430:$O$729,예비비!$B$430:$B$729,예비비!$A267,예비비!$E$430:$E$729,"&lt;"&amp;EDATE(BP$99,1),예비비!$F$430:$F$729,"결제대금비")+MAX(0,IF(예비비!$D267&lt;EDATE(BP$99,1),예비비!$E267,0)-SUMIFS(예비비!$O$430:$O$729,예비비!$B$430:$B$729,예비비!$A267,예비비!$E$430:$E$729,"&lt;"&amp;EDATE(BP$99,1))),0)</f>
        <v>0</v>
      </c>
      <c r="BQ267">
        <f>IF(예비비!$R267="OK",SUMIFS(예비비!$O$430:$O$729,예비비!$B$430:$B$729,예비비!$A267,예비비!$E$430:$E$729,"&lt;"&amp;EDATE(BQ$99,1),예비비!$F$430:$F$729,"결제대금비")+MAX(0,IF(예비비!$D267&lt;EDATE(BQ$99,1),예비비!$E267,0)-SUMIFS(예비비!$O$430:$O$729,예비비!$B$430:$B$729,예비비!$A267,예비비!$E$430:$E$729,"&lt;"&amp;EDATE(BQ$99,1))),0)</f>
        <v>0</v>
      </c>
      <c r="BR267">
        <f>IF(예비비!$R267="OK",SUMIFS(예비비!$O$430:$O$729,예비비!$B$430:$B$729,예비비!$A267,예비비!$E$430:$E$729,"&lt;"&amp;EDATE(BR$99,1),예비비!$F$430:$F$729,"결제대금비")+MAX(0,IF(예비비!$D267&lt;EDATE(BR$99,1),예비비!$E267,0)-SUMIFS(예비비!$O$430:$O$729,예비비!$B$430:$B$729,예비비!$A267,예비비!$E$430:$E$729,"&lt;"&amp;EDATE(BR$99,1))),0)</f>
        <v>0</v>
      </c>
      <c r="BS267">
        <f>IF(예비비!$R267="OK",SUMIFS(예비비!$O$430:$O$729,예비비!$B$430:$B$729,예비비!$A267,예비비!$E$430:$E$729,"&lt;"&amp;EDATE(BS$99,1),예비비!$F$430:$F$729,"결제대금비")+MAX(0,IF(예비비!$D267&lt;EDATE(BS$99,1),예비비!$E267,0)-SUMIFS(예비비!$O$430:$O$729,예비비!$B$430:$B$729,예비비!$A267,예비비!$E$430:$E$729,"&lt;"&amp;EDATE(BS$99,1))),0)</f>
        <v>0</v>
      </c>
      <c r="BT267">
        <f>IF(예비비!$R267="OK",SUMIFS(예비비!$O$430:$O$729,예비비!$B$430:$B$729,예비비!$A267,예비비!$E$430:$E$729,"&lt;"&amp;EDATE(BT$99,1),예비비!$F$430:$F$729,"결제대금비")+MAX(0,IF(예비비!$D267&lt;EDATE(BT$99,1),예비비!$E267,0)-SUMIFS(예비비!$O$430:$O$729,예비비!$B$430:$B$729,예비비!$A267,예비비!$E$430:$E$729,"&lt;"&amp;EDATE(BT$99,1))),0)</f>
        <v>0</v>
      </c>
      <c r="BU267">
        <f>IF(예비비!$R267="OK",SUMIFS(예비비!$O$430:$O$729,예비비!$B$430:$B$729,예비비!$A267,예비비!$E$430:$E$729,"&lt;"&amp;EDATE(BU$99,1),예비비!$F$430:$F$729,"결제대금비")+MAX(0,IF(예비비!$D267&lt;EDATE(BU$99,1),예비비!$E267,0)-SUMIFS(예비비!$O$430:$O$729,예비비!$B$430:$B$729,예비비!$A267,예비비!$E$430:$E$729,"&lt;"&amp;EDATE(BU$99,1))),0)</f>
        <v>0</v>
      </c>
    </row>
    <row r="268">
      <c r="BA268">
        <v>212</v>
      </c>
      <c r="BB268">
        <f>IFERROR(INDEX(잔액!$A:$A,BA268),0)</f>
        <v>46235.0</v>
      </c>
      <c r="BH268">
        <f>IFERROR(IF(AND(BB268&gt;0,OR(COUNTIFS(예비비!$C$430:$C$729,BA268,예비비!$N$430:$N$729,"OK")&gt;0,AND(INDEX(잔액!$J:$J,BA268)="가족통장",INDEX(잔액!$K:$K,BA268)="미래에셋_WRAP형CMA"),COUNTIF(예비비!$A$8:$A$12,INDEX(잔액!$C:$C,BA268))=1,COUNTIF(예비비!$A$8:$A$12,INDEX(잔액!$D:$D,BA268))=1),OR(AND(BB268&gt;=예비비!$B$3,BB268&lt;EDATE(예비비!$B$3,1)),AND(BB268&lt;EDATE(예비비!$B$3,1),COUNTIFS(예비비!$C$430:$C$729,BA268,예비비!$L$430:$L$729,예비비!$B$3,예비비!$N$430:$N$729,"OK")&gt;0))),MAX($BH$120:BH267)+1,0),0)</f>
        <v>0</v>
      </c>
      <c r="BI268">
        <f>IF(예비비!$R268="OK",SUMIFS(예비비!$O$430:$O$729,예비비!$B$430:$B$729,예비비!$A268,예비비!$E$430:$E$729,"&lt;"&amp;EDATE(BI$99,1),예비비!$F$430:$F$729,"결제대금비")+MAX(0,IF(예비비!$D268&lt;EDATE(BI$99,1),예비비!$E268,0)-SUMIFS(예비비!$O$430:$O$729,예비비!$B$430:$B$729,예비비!$A268,예비비!$E$430:$E$729,"&lt;"&amp;EDATE(BI$99,1))),0)</f>
        <v>0</v>
      </c>
      <c r="BJ268">
        <f>IF(예비비!$R268="OK",SUMIFS(예비비!$O$430:$O$729,예비비!$B$430:$B$729,예비비!$A268,예비비!$E$430:$E$729,"&lt;"&amp;EDATE(BJ$99,1),예비비!$F$430:$F$729,"결제대금비")+MAX(0,IF(예비비!$D268&lt;EDATE(BJ$99,1),예비비!$E268,0)-SUMIFS(예비비!$O$430:$O$729,예비비!$B$430:$B$729,예비비!$A268,예비비!$E$430:$E$729,"&lt;"&amp;EDATE(BJ$99,1))),0)</f>
        <v>0</v>
      </c>
      <c r="BK268">
        <f>IF(예비비!$R268="OK",SUMIFS(예비비!$O$430:$O$729,예비비!$B$430:$B$729,예비비!$A268,예비비!$E$430:$E$729,"&lt;"&amp;EDATE(BK$99,1),예비비!$F$430:$F$729,"결제대금비")+MAX(0,IF(예비비!$D268&lt;EDATE(BK$99,1),예비비!$E268,0)-SUMIFS(예비비!$O$430:$O$729,예비비!$B$430:$B$729,예비비!$A268,예비비!$E$430:$E$729,"&lt;"&amp;EDATE(BK$99,1))),0)</f>
        <v>0</v>
      </c>
      <c r="BL268">
        <f>IF(예비비!$R268="OK",SUMIFS(예비비!$O$430:$O$729,예비비!$B$430:$B$729,예비비!$A268,예비비!$E$430:$E$729,"&lt;"&amp;EDATE(BL$99,1),예비비!$F$430:$F$729,"결제대금비")+MAX(0,IF(예비비!$D268&lt;EDATE(BL$99,1),예비비!$E268,0)-SUMIFS(예비비!$O$430:$O$729,예비비!$B$430:$B$729,예비비!$A268,예비비!$E$430:$E$729,"&lt;"&amp;EDATE(BL$99,1))),0)</f>
        <v>0</v>
      </c>
      <c r="BM268">
        <f>IF(예비비!$R268="OK",SUMIFS(예비비!$O$430:$O$729,예비비!$B$430:$B$729,예비비!$A268,예비비!$E$430:$E$729,"&lt;"&amp;EDATE(BM$99,1),예비비!$F$430:$F$729,"결제대금비")+MAX(0,IF(예비비!$D268&lt;EDATE(BM$99,1),예비비!$E268,0)-SUMIFS(예비비!$O$430:$O$729,예비비!$B$430:$B$729,예비비!$A268,예비비!$E$430:$E$729,"&lt;"&amp;EDATE(BM$99,1))),0)</f>
        <v>0</v>
      </c>
      <c r="BN268">
        <f>IF(예비비!$R268="OK",SUMIFS(예비비!$O$430:$O$729,예비비!$B$430:$B$729,예비비!$A268,예비비!$E$430:$E$729,"&lt;"&amp;EDATE(BN$99,1),예비비!$F$430:$F$729,"결제대금비")+MAX(0,IF(예비비!$D268&lt;EDATE(BN$99,1),예비비!$E268,0)-SUMIFS(예비비!$O$430:$O$729,예비비!$B$430:$B$729,예비비!$A268,예비비!$E$430:$E$729,"&lt;"&amp;EDATE(BN$99,1))),0)</f>
        <v>0</v>
      </c>
      <c r="BO268">
        <f>IF(예비비!$R268="OK",SUMIFS(예비비!$O$430:$O$729,예비비!$B$430:$B$729,예비비!$A268,예비비!$E$430:$E$729,"&lt;"&amp;EDATE(BO$99,1),예비비!$F$430:$F$729,"결제대금비")+MAX(0,IF(예비비!$D268&lt;EDATE(BO$99,1),예비비!$E268,0)-SUMIFS(예비비!$O$430:$O$729,예비비!$B$430:$B$729,예비비!$A268,예비비!$E$430:$E$729,"&lt;"&amp;EDATE(BO$99,1))),0)</f>
        <v>0</v>
      </c>
      <c r="BP268">
        <f>IF(예비비!$R268="OK",SUMIFS(예비비!$O$430:$O$729,예비비!$B$430:$B$729,예비비!$A268,예비비!$E$430:$E$729,"&lt;"&amp;EDATE(BP$99,1),예비비!$F$430:$F$729,"결제대금비")+MAX(0,IF(예비비!$D268&lt;EDATE(BP$99,1),예비비!$E268,0)-SUMIFS(예비비!$O$430:$O$729,예비비!$B$430:$B$729,예비비!$A268,예비비!$E$430:$E$729,"&lt;"&amp;EDATE(BP$99,1))),0)</f>
        <v>0</v>
      </c>
      <c r="BQ268">
        <f>IF(예비비!$R268="OK",SUMIFS(예비비!$O$430:$O$729,예비비!$B$430:$B$729,예비비!$A268,예비비!$E$430:$E$729,"&lt;"&amp;EDATE(BQ$99,1),예비비!$F$430:$F$729,"결제대금비")+MAX(0,IF(예비비!$D268&lt;EDATE(BQ$99,1),예비비!$E268,0)-SUMIFS(예비비!$O$430:$O$729,예비비!$B$430:$B$729,예비비!$A268,예비비!$E$430:$E$729,"&lt;"&amp;EDATE(BQ$99,1))),0)</f>
        <v>0</v>
      </c>
      <c r="BR268">
        <f>IF(예비비!$R268="OK",SUMIFS(예비비!$O$430:$O$729,예비비!$B$430:$B$729,예비비!$A268,예비비!$E$430:$E$729,"&lt;"&amp;EDATE(BR$99,1),예비비!$F$430:$F$729,"결제대금비")+MAX(0,IF(예비비!$D268&lt;EDATE(BR$99,1),예비비!$E268,0)-SUMIFS(예비비!$O$430:$O$729,예비비!$B$430:$B$729,예비비!$A268,예비비!$E$430:$E$729,"&lt;"&amp;EDATE(BR$99,1))),0)</f>
        <v>0</v>
      </c>
      <c r="BS268">
        <f>IF(예비비!$R268="OK",SUMIFS(예비비!$O$430:$O$729,예비비!$B$430:$B$729,예비비!$A268,예비비!$E$430:$E$729,"&lt;"&amp;EDATE(BS$99,1),예비비!$F$430:$F$729,"결제대금비")+MAX(0,IF(예비비!$D268&lt;EDATE(BS$99,1),예비비!$E268,0)-SUMIFS(예비비!$O$430:$O$729,예비비!$B$430:$B$729,예비비!$A268,예비비!$E$430:$E$729,"&lt;"&amp;EDATE(BS$99,1))),0)</f>
        <v>0</v>
      </c>
      <c r="BT268">
        <f>IF(예비비!$R268="OK",SUMIFS(예비비!$O$430:$O$729,예비비!$B$430:$B$729,예비비!$A268,예비비!$E$430:$E$729,"&lt;"&amp;EDATE(BT$99,1),예비비!$F$430:$F$729,"결제대금비")+MAX(0,IF(예비비!$D268&lt;EDATE(BT$99,1),예비비!$E268,0)-SUMIFS(예비비!$O$430:$O$729,예비비!$B$430:$B$729,예비비!$A268,예비비!$E$430:$E$729,"&lt;"&amp;EDATE(BT$99,1))),0)</f>
        <v>0</v>
      </c>
      <c r="BU268">
        <f>IF(예비비!$R268="OK",SUMIFS(예비비!$O$430:$O$729,예비비!$B$430:$B$729,예비비!$A268,예비비!$E$430:$E$729,"&lt;"&amp;EDATE(BU$99,1),예비비!$F$430:$F$729,"결제대금비")+MAX(0,IF(예비비!$D268&lt;EDATE(BU$99,1),예비비!$E268,0)-SUMIFS(예비비!$O$430:$O$729,예비비!$B$430:$B$729,예비비!$A268,예비비!$E$430:$E$729,"&lt;"&amp;EDATE(BU$99,1))),0)</f>
        <v>0</v>
      </c>
    </row>
    <row r="269">
      <c r="BA269">
        <v>213</v>
      </c>
      <c r="BB269">
        <f>IFERROR(INDEX(잔액!$A:$A,BA269),0)</f>
        <v>46235.0</v>
      </c>
      <c r="BH269">
        <f>IFERROR(IF(AND(BB269&gt;0,OR(COUNTIFS(예비비!$C$430:$C$729,BA269,예비비!$N$430:$N$729,"OK")&gt;0,AND(INDEX(잔액!$J:$J,BA269)="가족통장",INDEX(잔액!$K:$K,BA269)="미래에셋_WRAP형CMA"),COUNTIF(예비비!$A$8:$A$12,INDEX(잔액!$C:$C,BA269))=1,COUNTIF(예비비!$A$8:$A$12,INDEX(잔액!$D:$D,BA269))=1),OR(AND(BB269&gt;=예비비!$B$3,BB269&lt;EDATE(예비비!$B$3,1)),AND(BB269&lt;EDATE(예비비!$B$3,1),COUNTIFS(예비비!$C$430:$C$729,BA269,예비비!$L$430:$L$729,예비비!$B$3,예비비!$N$430:$N$729,"OK")&gt;0))),MAX($BH$120:BH268)+1,0),0)</f>
        <v>0</v>
      </c>
      <c r="BI269">
        <f>IF(예비비!$R269="OK",SUMIFS(예비비!$O$430:$O$729,예비비!$B$430:$B$729,예비비!$A269,예비비!$E$430:$E$729,"&lt;"&amp;EDATE(BI$99,1),예비비!$F$430:$F$729,"결제대금비")+MAX(0,IF(예비비!$D269&lt;EDATE(BI$99,1),예비비!$E269,0)-SUMIFS(예비비!$O$430:$O$729,예비비!$B$430:$B$729,예비비!$A269,예비비!$E$430:$E$729,"&lt;"&amp;EDATE(BI$99,1))),0)</f>
        <v>0</v>
      </c>
      <c r="BJ269">
        <f>IF(예비비!$R269="OK",SUMIFS(예비비!$O$430:$O$729,예비비!$B$430:$B$729,예비비!$A269,예비비!$E$430:$E$729,"&lt;"&amp;EDATE(BJ$99,1),예비비!$F$430:$F$729,"결제대금비")+MAX(0,IF(예비비!$D269&lt;EDATE(BJ$99,1),예비비!$E269,0)-SUMIFS(예비비!$O$430:$O$729,예비비!$B$430:$B$729,예비비!$A269,예비비!$E$430:$E$729,"&lt;"&amp;EDATE(BJ$99,1))),0)</f>
        <v>0</v>
      </c>
      <c r="BK269">
        <f>IF(예비비!$R269="OK",SUMIFS(예비비!$O$430:$O$729,예비비!$B$430:$B$729,예비비!$A269,예비비!$E$430:$E$729,"&lt;"&amp;EDATE(BK$99,1),예비비!$F$430:$F$729,"결제대금비")+MAX(0,IF(예비비!$D269&lt;EDATE(BK$99,1),예비비!$E269,0)-SUMIFS(예비비!$O$430:$O$729,예비비!$B$430:$B$729,예비비!$A269,예비비!$E$430:$E$729,"&lt;"&amp;EDATE(BK$99,1))),0)</f>
        <v>0</v>
      </c>
      <c r="BL269">
        <f>IF(예비비!$R269="OK",SUMIFS(예비비!$O$430:$O$729,예비비!$B$430:$B$729,예비비!$A269,예비비!$E$430:$E$729,"&lt;"&amp;EDATE(BL$99,1),예비비!$F$430:$F$729,"결제대금비")+MAX(0,IF(예비비!$D269&lt;EDATE(BL$99,1),예비비!$E269,0)-SUMIFS(예비비!$O$430:$O$729,예비비!$B$430:$B$729,예비비!$A269,예비비!$E$430:$E$729,"&lt;"&amp;EDATE(BL$99,1))),0)</f>
        <v>0</v>
      </c>
      <c r="BM269">
        <f>IF(예비비!$R269="OK",SUMIFS(예비비!$O$430:$O$729,예비비!$B$430:$B$729,예비비!$A269,예비비!$E$430:$E$729,"&lt;"&amp;EDATE(BM$99,1),예비비!$F$430:$F$729,"결제대금비")+MAX(0,IF(예비비!$D269&lt;EDATE(BM$99,1),예비비!$E269,0)-SUMIFS(예비비!$O$430:$O$729,예비비!$B$430:$B$729,예비비!$A269,예비비!$E$430:$E$729,"&lt;"&amp;EDATE(BM$99,1))),0)</f>
        <v>0</v>
      </c>
      <c r="BN269">
        <f>IF(예비비!$R269="OK",SUMIFS(예비비!$O$430:$O$729,예비비!$B$430:$B$729,예비비!$A269,예비비!$E$430:$E$729,"&lt;"&amp;EDATE(BN$99,1),예비비!$F$430:$F$729,"결제대금비")+MAX(0,IF(예비비!$D269&lt;EDATE(BN$99,1),예비비!$E269,0)-SUMIFS(예비비!$O$430:$O$729,예비비!$B$430:$B$729,예비비!$A269,예비비!$E$430:$E$729,"&lt;"&amp;EDATE(BN$99,1))),0)</f>
        <v>0</v>
      </c>
      <c r="BO269">
        <f>IF(예비비!$R269="OK",SUMIFS(예비비!$O$430:$O$729,예비비!$B$430:$B$729,예비비!$A269,예비비!$E$430:$E$729,"&lt;"&amp;EDATE(BO$99,1),예비비!$F$430:$F$729,"결제대금비")+MAX(0,IF(예비비!$D269&lt;EDATE(BO$99,1),예비비!$E269,0)-SUMIFS(예비비!$O$430:$O$729,예비비!$B$430:$B$729,예비비!$A269,예비비!$E$430:$E$729,"&lt;"&amp;EDATE(BO$99,1))),0)</f>
        <v>0</v>
      </c>
      <c r="BP269">
        <f>IF(예비비!$R269="OK",SUMIFS(예비비!$O$430:$O$729,예비비!$B$430:$B$729,예비비!$A269,예비비!$E$430:$E$729,"&lt;"&amp;EDATE(BP$99,1),예비비!$F$430:$F$729,"결제대금비")+MAX(0,IF(예비비!$D269&lt;EDATE(BP$99,1),예비비!$E269,0)-SUMIFS(예비비!$O$430:$O$729,예비비!$B$430:$B$729,예비비!$A269,예비비!$E$430:$E$729,"&lt;"&amp;EDATE(BP$99,1))),0)</f>
        <v>0</v>
      </c>
      <c r="BQ269">
        <f>IF(예비비!$R269="OK",SUMIFS(예비비!$O$430:$O$729,예비비!$B$430:$B$729,예비비!$A269,예비비!$E$430:$E$729,"&lt;"&amp;EDATE(BQ$99,1),예비비!$F$430:$F$729,"결제대금비")+MAX(0,IF(예비비!$D269&lt;EDATE(BQ$99,1),예비비!$E269,0)-SUMIFS(예비비!$O$430:$O$729,예비비!$B$430:$B$729,예비비!$A269,예비비!$E$430:$E$729,"&lt;"&amp;EDATE(BQ$99,1))),0)</f>
        <v>0</v>
      </c>
      <c r="BR269">
        <f>IF(예비비!$R269="OK",SUMIFS(예비비!$O$430:$O$729,예비비!$B$430:$B$729,예비비!$A269,예비비!$E$430:$E$729,"&lt;"&amp;EDATE(BR$99,1),예비비!$F$430:$F$729,"결제대금비")+MAX(0,IF(예비비!$D269&lt;EDATE(BR$99,1),예비비!$E269,0)-SUMIFS(예비비!$O$430:$O$729,예비비!$B$430:$B$729,예비비!$A269,예비비!$E$430:$E$729,"&lt;"&amp;EDATE(BR$99,1))),0)</f>
        <v>0</v>
      </c>
      <c r="BS269">
        <f>IF(예비비!$R269="OK",SUMIFS(예비비!$O$430:$O$729,예비비!$B$430:$B$729,예비비!$A269,예비비!$E$430:$E$729,"&lt;"&amp;EDATE(BS$99,1),예비비!$F$430:$F$729,"결제대금비")+MAX(0,IF(예비비!$D269&lt;EDATE(BS$99,1),예비비!$E269,0)-SUMIFS(예비비!$O$430:$O$729,예비비!$B$430:$B$729,예비비!$A269,예비비!$E$430:$E$729,"&lt;"&amp;EDATE(BS$99,1))),0)</f>
        <v>0</v>
      </c>
      <c r="BT269">
        <f>IF(예비비!$R269="OK",SUMIFS(예비비!$O$430:$O$729,예비비!$B$430:$B$729,예비비!$A269,예비비!$E$430:$E$729,"&lt;"&amp;EDATE(BT$99,1),예비비!$F$430:$F$729,"결제대금비")+MAX(0,IF(예비비!$D269&lt;EDATE(BT$99,1),예비비!$E269,0)-SUMIFS(예비비!$O$430:$O$729,예비비!$B$430:$B$729,예비비!$A269,예비비!$E$430:$E$729,"&lt;"&amp;EDATE(BT$99,1))),0)</f>
        <v>0</v>
      </c>
      <c r="BU269">
        <f>IF(예비비!$R269="OK",SUMIFS(예비비!$O$430:$O$729,예비비!$B$430:$B$729,예비비!$A269,예비비!$E$430:$E$729,"&lt;"&amp;EDATE(BU$99,1),예비비!$F$430:$F$729,"결제대금비")+MAX(0,IF(예비비!$D269&lt;EDATE(BU$99,1),예비비!$E269,0)-SUMIFS(예비비!$O$430:$O$729,예비비!$B$430:$B$729,예비비!$A269,예비비!$E$430:$E$729,"&lt;"&amp;EDATE(BU$99,1))),0)</f>
        <v>0</v>
      </c>
    </row>
    <row r="270">
      <c r="BA270">
        <v>214</v>
      </c>
      <c r="BB270">
        <f>IFERROR(INDEX(잔액!$A:$A,BA270),0)</f>
        <v>46266.0</v>
      </c>
      <c r="BH270">
        <f>IFERROR(IF(AND(BB270&gt;0,OR(COUNTIFS(예비비!$C$430:$C$729,BA270,예비비!$N$430:$N$729,"OK")&gt;0,AND(INDEX(잔액!$J:$J,BA270)="가족통장",INDEX(잔액!$K:$K,BA270)="미래에셋_WRAP형CMA"),COUNTIF(예비비!$A$8:$A$12,INDEX(잔액!$C:$C,BA270))=1,COUNTIF(예비비!$A$8:$A$12,INDEX(잔액!$D:$D,BA270))=1),OR(AND(BB270&gt;=예비비!$B$3,BB270&lt;EDATE(예비비!$B$3,1)),AND(BB270&lt;EDATE(예비비!$B$3,1),COUNTIFS(예비비!$C$430:$C$729,BA270,예비비!$L$430:$L$729,예비비!$B$3,예비비!$N$430:$N$729,"OK")&gt;0))),MAX($BH$120:BH269)+1,0),0)</f>
        <v>0</v>
      </c>
      <c r="BI270">
        <f>IF(예비비!$R270="OK",SUMIFS(예비비!$O$430:$O$729,예비비!$B$430:$B$729,예비비!$A270,예비비!$E$430:$E$729,"&lt;"&amp;EDATE(BI$99,1),예비비!$F$430:$F$729,"결제대금비")+MAX(0,IF(예비비!$D270&lt;EDATE(BI$99,1),예비비!$E270,0)-SUMIFS(예비비!$O$430:$O$729,예비비!$B$430:$B$729,예비비!$A270,예비비!$E$430:$E$729,"&lt;"&amp;EDATE(BI$99,1))),0)</f>
        <v>0</v>
      </c>
      <c r="BJ270">
        <f>IF(예비비!$R270="OK",SUMIFS(예비비!$O$430:$O$729,예비비!$B$430:$B$729,예비비!$A270,예비비!$E$430:$E$729,"&lt;"&amp;EDATE(BJ$99,1),예비비!$F$430:$F$729,"결제대금비")+MAX(0,IF(예비비!$D270&lt;EDATE(BJ$99,1),예비비!$E270,0)-SUMIFS(예비비!$O$430:$O$729,예비비!$B$430:$B$729,예비비!$A270,예비비!$E$430:$E$729,"&lt;"&amp;EDATE(BJ$99,1))),0)</f>
        <v>0</v>
      </c>
      <c r="BK270">
        <f>IF(예비비!$R270="OK",SUMIFS(예비비!$O$430:$O$729,예비비!$B$430:$B$729,예비비!$A270,예비비!$E$430:$E$729,"&lt;"&amp;EDATE(BK$99,1),예비비!$F$430:$F$729,"결제대금비")+MAX(0,IF(예비비!$D270&lt;EDATE(BK$99,1),예비비!$E270,0)-SUMIFS(예비비!$O$430:$O$729,예비비!$B$430:$B$729,예비비!$A270,예비비!$E$430:$E$729,"&lt;"&amp;EDATE(BK$99,1))),0)</f>
        <v>0</v>
      </c>
      <c r="BL270">
        <f>IF(예비비!$R270="OK",SUMIFS(예비비!$O$430:$O$729,예비비!$B$430:$B$729,예비비!$A270,예비비!$E$430:$E$729,"&lt;"&amp;EDATE(BL$99,1),예비비!$F$430:$F$729,"결제대금비")+MAX(0,IF(예비비!$D270&lt;EDATE(BL$99,1),예비비!$E270,0)-SUMIFS(예비비!$O$430:$O$729,예비비!$B$430:$B$729,예비비!$A270,예비비!$E$430:$E$729,"&lt;"&amp;EDATE(BL$99,1))),0)</f>
        <v>0</v>
      </c>
      <c r="BM270">
        <f>IF(예비비!$R270="OK",SUMIFS(예비비!$O$430:$O$729,예비비!$B$430:$B$729,예비비!$A270,예비비!$E$430:$E$729,"&lt;"&amp;EDATE(BM$99,1),예비비!$F$430:$F$729,"결제대금비")+MAX(0,IF(예비비!$D270&lt;EDATE(BM$99,1),예비비!$E270,0)-SUMIFS(예비비!$O$430:$O$729,예비비!$B$430:$B$729,예비비!$A270,예비비!$E$430:$E$729,"&lt;"&amp;EDATE(BM$99,1))),0)</f>
        <v>0</v>
      </c>
      <c r="BN270">
        <f>IF(예비비!$R270="OK",SUMIFS(예비비!$O$430:$O$729,예비비!$B$430:$B$729,예비비!$A270,예비비!$E$430:$E$729,"&lt;"&amp;EDATE(BN$99,1),예비비!$F$430:$F$729,"결제대금비")+MAX(0,IF(예비비!$D270&lt;EDATE(BN$99,1),예비비!$E270,0)-SUMIFS(예비비!$O$430:$O$729,예비비!$B$430:$B$729,예비비!$A270,예비비!$E$430:$E$729,"&lt;"&amp;EDATE(BN$99,1))),0)</f>
        <v>0</v>
      </c>
      <c r="BO270">
        <f>IF(예비비!$R270="OK",SUMIFS(예비비!$O$430:$O$729,예비비!$B$430:$B$729,예비비!$A270,예비비!$E$430:$E$729,"&lt;"&amp;EDATE(BO$99,1),예비비!$F$430:$F$729,"결제대금비")+MAX(0,IF(예비비!$D270&lt;EDATE(BO$99,1),예비비!$E270,0)-SUMIFS(예비비!$O$430:$O$729,예비비!$B$430:$B$729,예비비!$A270,예비비!$E$430:$E$729,"&lt;"&amp;EDATE(BO$99,1))),0)</f>
        <v>0</v>
      </c>
      <c r="BP270">
        <f>IF(예비비!$R270="OK",SUMIFS(예비비!$O$430:$O$729,예비비!$B$430:$B$729,예비비!$A270,예비비!$E$430:$E$729,"&lt;"&amp;EDATE(BP$99,1),예비비!$F$430:$F$729,"결제대금비")+MAX(0,IF(예비비!$D270&lt;EDATE(BP$99,1),예비비!$E270,0)-SUMIFS(예비비!$O$430:$O$729,예비비!$B$430:$B$729,예비비!$A270,예비비!$E$430:$E$729,"&lt;"&amp;EDATE(BP$99,1))),0)</f>
        <v>0</v>
      </c>
      <c r="BQ270">
        <f>IF(예비비!$R270="OK",SUMIFS(예비비!$O$430:$O$729,예비비!$B$430:$B$729,예비비!$A270,예비비!$E$430:$E$729,"&lt;"&amp;EDATE(BQ$99,1),예비비!$F$430:$F$729,"결제대금비")+MAX(0,IF(예비비!$D270&lt;EDATE(BQ$99,1),예비비!$E270,0)-SUMIFS(예비비!$O$430:$O$729,예비비!$B$430:$B$729,예비비!$A270,예비비!$E$430:$E$729,"&lt;"&amp;EDATE(BQ$99,1))),0)</f>
        <v>0</v>
      </c>
      <c r="BR270">
        <f>IF(예비비!$R270="OK",SUMIFS(예비비!$O$430:$O$729,예비비!$B$430:$B$729,예비비!$A270,예비비!$E$430:$E$729,"&lt;"&amp;EDATE(BR$99,1),예비비!$F$430:$F$729,"결제대금비")+MAX(0,IF(예비비!$D270&lt;EDATE(BR$99,1),예비비!$E270,0)-SUMIFS(예비비!$O$430:$O$729,예비비!$B$430:$B$729,예비비!$A270,예비비!$E$430:$E$729,"&lt;"&amp;EDATE(BR$99,1))),0)</f>
        <v>0</v>
      </c>
      <c r="BS270">
        <f>IF(예비비!$R270="OK",SUMIFS(예비비!$O$430:$O$729,예비비!$B$430:$B$729,예비비!$A270,예비비!$E$430:$E$729,"&lt;"&amp;EDATE(BS$99,1),예비비!$F$430:$F$729,"결제대금비")+MAX(0,IF(예비비!$D270&lt;EDATE(BS$99,1),예비비!$E270,0)-SUMIFS(예비비!$O$430:$O$729,예비비!$B$430:$B$729,예비비!$A270,예비비!$E$430:$E$729,"&lt;"&amp;EDATE(BS$99,1))),0)</f>
        <v>0</v>
      </c>
      <c r="BT270">
        <f>IF(예비비!$R270="OK",SUMIFS(예비비!$O$430:$O$729,예비비!$B$430:$B$729,예비비!$A270,예비비!$E$430:$E$729,"&lt;"&amp;EDATE(BT$99,1),예비비!$F$430:$F$729,"결제대금비")+MAX(0,IF(예비비!$D270&lt;EDATE(BT$99,1),예비비!$E270,0)-SUMIFS(예비비!$O$430:$O$729,예비비!$B$430:$B$729,예비비!$A270,예비비!$E$430:$E$729,"&lt;"&amp;EDATE(BT$99,1))),0)</f>
        <v>0</v>
      </c>
      <c r="BU270">
        <f>IF(예비비!$R270="OK",SUMIFS(예비비!$O$430:$O$729,예비비!$B$430:$B$729,예비비!$A270,예비비!$E$430:$E$729,"&lt;"&amp;EDATE(BU$99,1),예비비!$F$430:$F$729,"결제대금비")+MAX(0,IF(예비비!$D270&lt;EDATE(BU$99,1),예비비!$E270,0)-SUMIFS(예비비!$O$430:$O$729,예비비!$B$430:$B$729,예비비!$A270,예비비!$E$430:$E$729,"&lt;"&amp;EDATE(BU$99,1))),0)</f>
        <v>0</v>
      </c>
    </row>
    <row r="271">
      <c r="BA271">
        <v>215</v>
      </c>
      <c r="BB271">
        <f>IFERROR(INDEX(잔액!$A:$A,BA271),0)</f>
        <v>46266.0</v>
      </c>
      <c r="BH271">
        <f>IFERROR(IF(AND(BB271&gt;0,OR(COUNTIFS(예비비!$C$430:$C$729,BA271,예비비!$N$430:$N$729,"OK")&gt;0,AND(INDEX(잔액!$J:$J,BA271)="가족통장",INDEX(잔액!$K:$K,BA271)="미래에셋_WRAP형CMA"),COUNTIF(예비비!$A$8:$A$12,INDEX(잔액!$C:$C,BA271))=1,COUNTIF(예비비!$A$8:$A$12,INDEX(잔액!$D:$D,BA271))=1),OR(AND(BB271&gt;=예비비!$B$3,BB271&lt;EDATE(예비비!$B$3,1)),AND(BB271&lt;EDATE(예비비!$B$3,1),COUNTIFS(예비비!$C$430:$C$729,BA271,예비비!$L$430:$L$729,예비비!$B$3,예비비!$N$430:$N$729,"OK")&gt;0))),MAX($BH$120:BH270)+1,0),0)</f>
        <v>0</v>
      </c>
      <c r="BI271">
        <f>IF(예비비!$R271="OK",SUMIFS(예비비!$O$430:$O$729,예비비!$B$430:$B$729,예비비!$A271,예비비!$E$430:$E$729,"&lt;"&amp;EDATE(BI$99,1),예비비!$F$430:$F$729,"결제대금비")+MAX(0,IF(예비비!$D271&lt;EDATE(BI$99,1),예비비!$E271,0)-SUMIFS(예비비!$O$430:$O$729,예비비!$B$430:$B$729,예비비!$A271,예비비!$E$430:$E$729,"&lt;"&amp;EDATE(BI$99,1))),0)</f>
        <v>0</v>
      </c>
      <c r="BJ271">
        <f>IF(예비비!$R271="OK",SUMIFS(예비비!$O$430:$O$729,예비비!$B$430:$B$729,예비비!$A271,예비비!$E$430:$E$729,"&lt;"&amp;EDATE(BJ$99,1),예비비!$F$430:$F$729,"결제대금비")+MAX(0,IF(예비비!$D271&lt;EDATE(BJ$99,1),예비비!$E271,0)-SUMIFS(예비비!$O$430:$O$729,예비비!$B$430:$B$729,예비비!$A271,예비비!$E$430:$E$729,"&lt;"&amp;EDATE(BJ$99,1))),0)</f>
        <v>0</v>
      </c>
      <c r="BK271">
        <f>IF(예비비!$R271="OK",SUMIFS(예비비!$O$430:$O$729,예비비!$B$430:$B$729,예비비!$A271,예비비!$E$430:$E$729,"&lt;"&amp;EDATE(BK$99,1),예비비!$F$430:$F$729,"결제대금비")+MAX(0,IF(예비비!$D271&lt;EDATE(BK$99,1),예비비!$E271,0)-SUMIFS(예비비!$O$430:$O$729,예비비!$B$430:$B$729,예비비!$A271,예비비!$E$430:$E$729,"&lt;"&amp;EDATE(BK$99,1))),0)</f>
        <v>0</v>
      </c>
      <c r="BL271">
        <f>IF(예비비!$R271="OK",SUMIFS(예비비!$O$430:$O$729,예비비!$B$430:$B$729,예비비!$A271,예비비!$E$430:$E$729,"&lt;"&amp;EDATE(BL$99,1),예비비!$F$430:$F$729,"결제대금비")+MAX(0,IF(예비비!$D271&lt;EDATE(BL$99,1),예비비!$E271,0)-SUMIFS(예비비!$O$430:$O$729,예비비!$B$430:$B$729,예비비!$A271,예비비!$E$430:$E$729,"&lt;"&amp;EDATE(BL$99,1))),0)</f>
        <v>0</v>
      </c>
      <c r="BM271">
        <f>IF(예비비!$R271="OK",SUMIFS(예비비!$O$430:$O$729,예비비!$B$430:$B$729,예비비!$A271,예비비!$E$430:$E$729,"&lt;"&amp;EDATE(BM$99,1),예비비!$F$430:$F$729,"결제대금비")+MAX(0,IF(예비비!$D271&lt;EDATE(BM$99,1),예비비!$E271,0)-SUMIFS(예비비!$O$430:$O$729,예비비!$B$430:$B$729,예비비!$A271,예비비!$E$430:$E$729,"&lt;"&amp;EDATE(BM$99,1))),0)</f>
        <v>0</v>
      </c>
      <c r="BN271">
        <f>IF(예비비!$R271="OK",SUMIFS(예비비!$O$430:$O$729,예비비!$B$430:$B$729,예비비!$A271,예비비!$E$430:$E$729,"&lt;"&amp;EDATE(BN$99,1),예비비!$F$430:$F$729,"결제대금비")+MAX(0,IF(예비비!$D271&lt;EDATE(BN$99,1),예비비!$E271,0)-SUMIFS(예비비!$O$430:$O$729,예비비!$B$430:$B$729,예비비!$A271,예비비!$E$430:$E$729,"&lt;"&amp;EDATE(BN$99,1))),0)</f>
        <v>0</v>
      </c>
      <c r="BO271">
        <f>IF(예비비!$R271="OK",SUMIFS(예비비!$O$430:$O$729,예비비!$B$430:$B$729,예비비!$A271,예비비!$E$430:$E$729,"&lt;"&amp;EDATE(BO$99,1),예비비!$F$430:$F$729,"결제대금비")+MAX(0,IF(예비비!$D271&lt;EDATE(BO$99,1),예비비!$E271,0)-SUMIFS(예비비!$O$430:$O$729,예비비!$B$430:$B$729,예비비!$A271,예비비!$E$430:$E$729,"&lt;"&amp;EDATE(BO$99,1))),0)</f>
        <v>0</v>
      </c>
      <c r="BP271">
        <f>IF(예비비!$R271="OK",SUMIFS(예비비!$O$430:$O$729,예비비!$B$430:$B$729,예비비!$A271,예비비!$E$430:$E$729,"&lt;"&amp;EDATE(BP$99,1),예비비!$F$430:$F$729,"결제대금비")+MAX(0,IF(예비비!$D271&lt;EDATE(BP$99,1),예비비!$E271,0)-SUMIFS(예비비!$O$430:$O$729,예비비!$B$430:$B$729,예비비!$A271,예비비!$E$430:$E$729,"&lt;"&amp;EDATE(BP$99,1))),0)</f>
        <v>0</v>
      </c>
      <c r="BQ271">
        <f>IF(예비비!$R271="OK",SUMIFS(예비비!$O$430:$O$729,예비비!$B$430:$B$729,예비비!$A271,예비비!$E$430:$E$729,"&lt;"&amp;EDATE(BQ$99,1),예비비!$F$430:$F$729,"결제대금비")+MAX(0,IF(예비비!$D271&lt;EDATE(BQ$99,1),예비비!$E271,0)-SUMIFS(예비비!$O$430:$O$729,예비비!$B$430:$B$729,예비비!$A271,예비비!$E$430:$E$729,"&lt;"&amp;EDATE(BQ$99,1))),0)</f>
        <v>0</v>
      </c>
      <c r="BR271">
        <f>IF(예비비!$R271="OK",SUMIFS(예비비!$O$430:$O$729,예비비!$B$430:$B$729,예비비!$A271,예비비!$E$430:$E$729,"&lt;"&amp;EDATE(BR$99,1),예비비!$F$430:$F$729,"결제대금비")+MAX(0,IF(예비비!$D271&lt;EDATE(BR$99,1),예비비!$E271,0)-SUMIFS(예비비!$O$430:$O$729,예비비!$B$430:$B$729,예비비!$A271,예비비!$E$430:$E$729,"&lt;"&amp;EDATE(BR$99,1))),0)</f>
        <v>0</v>
      </c>
      <c r="BS271">
        <f>IF(예비비!$R271="OK",SUMIFS(예비비!$O$430:$O$729,예비비!$B$430:$B$729,예비비!$A271,예비비!$E$430:$E$729,"&lt;"&amp;EDATE(BS$99,1),예비비!$F$430:$F$729,"결제대금비")+MAX(0,IF(예비비!$D271&lt;EDATE(BS$99,1),예비비!$E271,0)-SUMIFS(예비비!$O$430:$O$729,예비비!$B$430:$B$729,예비비!$A271,예비비!$E$430:$E$729,"&lt;"&amp;EDATE(BS$99,1))),0)</f>
        <v>0</v>
      </c>
      <c r="BT271">
        <f>IF(예비비!$R271="OK",SUMIFS(예비비!$O$430:$O$729,예비비!$B$430:$B$729,예비비!$A271,예비비!$E$430:$E$729,"&lt;"&amp;EDATE(BT$99,1),예비비!$F$430:$F$729,"결제대금비")+MAX(0,IF(예비비!$D271&lt;EDATE(BT$99,1),예비비!$E271,0)-SUMIFS(예비비!$O$430:$O$729,예비비!$B$430:$B$729,예비비!$A271,예비비!$E$430:$E$729,"&lt;"&amp;EDATE(BT$99,1))),0)</f>
        <v>0</v>
      </c>
      <c r="BU271">
        <f>IF(예비비!$R271="OK",SUMIFS(예비비!$O$430:$O$729,예비비!$B$430:$B$729,예비비!$A271,예비비!$E$430:$E$729,"&lt;"&amp;EDATE(BU$99,1),예비비!$F$430:$F$729,"결제대금비")+MAX(0,IF(예비비!$D271&lt;EDATE(BU$99,1),예비비!$E271,0)-SUMIFS(예비비!$O$430:$O$729,예비비!$B$430:$B$729,예비비!$A271,예비비!$E$430:$E$729,"&lt;"&amp;EDATE(BU$99,1))),0)</f>
        <v>0</v>
      </c>
    </row>
    <row r="272">
      <c r="BA272">
        <v>216</v>
      </c>
      <c r="BB272">
        <f>IFERROR(INDEX(잔액!$A:$A,BA272),0)</f>
        <v>46266.0</v>
      </c>
      <c r="BH272">
        <f>IFERROR(IF(AND(BB272&gt;0,OR(COUNTIFS(예비비!$C$430:$C$729,BA272,예비비!$N$430:$N$729,"OK")&gt;0,AND(INDEX(잔액!$J:$J,BA272)="가족통장",INDEX(잔액!$K:$K,BA272)="미래에셋_WRAP형CMA"),COUNTIF(예비비!$A$8:$A$12,INDEX(잔액!$C:$C,BA272))=1,COUNTIF(예비비!$A$8:$A$12,INDEX(잔액!$D:$D,BA272))=1),OR(AND(BB272&gt;=예비비!$B$3,BB272&lt;EDATE(예비비!$B$3,1)),AND(BB272&lt;EDATE(예비비!$B$3,1),COUNTIFS(예비비!$C$430:$C$729,BA272,예비비!$L$430:$L$729,예비비!$B$3,예비비!$N$430:$N$729,"OK")&gt;0))),MAX($BH$120:BH271)+1,0),0)</f>
        <v>0</v>
      </c>
      <c r="BI272">
        <f>IF(예비비!$R272="OK",SUMIFS(예비비!$O$430:$O$729,예비비!$B$430:$B$729,예비비!$A272,예비비!$E$430:$E$729,"&lt;"&amp;EDATE(BI$99,1),예비비!$F$430:$F$729,"결제대금비")+MAX(0,IF(예비비!$D272&lt;EDATE(BI$99,1),예비비!$E272,0)-SUMIFS(예비비!$O$430:$O$729,예비비!$B$430:$B$729,예비비!$A272,예비비!$E$430:$E$729,"&lt;"&amp;EDATE(BI$99,1))),0)</f>
        <v>0</v>
      </c>
      <c r="BJ272">
        <f>IF(예비비!$R272="OK",SUMIFS(예비비!$O$430:$O$729,예비비!$B$430:$B$729,예비비!$A272,예비비!$E$430:$E$729,"&lt;"&amp;EDATE(BJ$99,1),예비비!$F$430:$F$729,"결제대금비")+MAX(0,IF(예비비!$D272&lt;EDATE(BJ$99,1),예비비!$E272,0)-SUMIFS(예비비!$O$430:$O$729,예비비!$B$430:$B$729,예비비!$A272,예비비!$E$430:$E$729,"&lt;"&amp;EDATE(BJ$99,1))),0)</f>
        <v>0</v>
      </c>
      <c r="BK272">
        <f>IF(예비비!$R272="OK",SUMIFS(예비비!$O$430:$O$729,예비비!$B$430:$B$729,예비비!$A272,예비비!$E$430:$E$729,"&lt;"&amp;EDATE(BK$99,1),예비비!$F$430:$F$729,"결제대금비")+MAX(0,IF(예비비!$D272&lt;EDATE(BK$99,1),예비비!$E272,0)-SUMIFS(예비비!$O$430:$O$729,예비비!$B$430:$B$729,예비비!$A272,예비비!$E$430:$E$729,"&lt;"&amp;EDATE(BK$99,1))),0)</f>
        <v>0</v>
      </c>
      <c r="BL272">
        <f>IF(예비비!$R272="OK",SUMIFS(예비비!$O$430:$O$729,예비비!$B$430:$B$729,예비비!$A272,예비비!$E$430:$E$729,"&lt;"&amp;EDATE(BL$99,1),예비비!$F$430:$F$729,"결제대금비")+MAX(0,IF(예비비!$D272&lt;EDATE(BL$99,1),예비비!$E272,0)-SUMIFS(예비비!$O$430:$O$729,예비비!$B$430:$B$729,예비비!$A272,예비비!$E$430:$E$729,"&lt;"&amp;EDATE(BL$99,1))),0)</f>
        <v>0</v>
      </c>
      <c r="BM272">
        <f>IF(예비비!$R272="OK",SUMIFS(예비비!$O$430:$O$729,예비비!$B$430:$B$729,예비비!$A272,예비비!$E$430:$E$729,"&lt;"&amp;EDATE(BM$99,1),예비비!$F$430:$F$729,"결제대금비")+MAX(0,IF(예비비!$D272&lt;EDATE(BM$99,1),예비비!$E272,0)-SUMIFS(예비비!$O$430:$O$729,예비비!$B$430:$B$729,예비비!$A272,예비비!$E$430:$E$729,"&lt;"&amp;EDATE(BM$99,1))),0)</f>
        <v>0</v>
      </c>
      <c r="BN272">
        <f>IF(예비비!$R272="OK",SUMIFS(예비비!$O$430:$O$729,예비비!$B$430:$B$729,예비비!$A272,예비비!$E$430:$E$729,"&lt;"&amp;EDATE(BN$99,1),예비비!$F$430:$F$729,"결제대금비")+MAX(0,IF(예비비!$D272&lt;EDATE(BN$99,1),예비비!$E272,0)-SUMIFS(예비비!$O$430:$O$729,예비비!$B$430:$B$729,예비비!$A272,예비비!$E$430:$E$729,"&lt;"&amp;EDATE(BN$99,1))),0)</f>
        <v>0</v>
      </c>
      <c r="BO272">
        <f>IF(예비비!$R272="OK",SUMIFS(예비비!$O$430:$O$729,예비비!$B$430:$B$729,예비비!$A272,예비비!$E$430:$E$729,"&lt;"&amp;EDATE(BO$99,1),예비비!$F$430:$F$729,"결제대금비")+MAX(0,IF(예비비!$D272&lt;EDATE(BO$99,1),예비비!$E272,0)-SUMIFS(예비비!$O$430:$O$729,예비비!$B$430:$B$729,예비비!$A272,예비비!$E$430:$E$729,"&lt;"&amp;EDATE(BO$99,1))),0)</f>
        <v>0</v>
      </c>
      <c r="BP272">
        <f>IF(예비비!$R272="OK",SUMIFS(예비비!$O$430:$O$729,예비비!$B$430:$B$729,예비비!$A272,예비비!$E$430:$E$729,"&lt;"&amp;EDATE(BP$99,1),예비비!$F$430:$F$729,"결제대금비")+MAX(0,IF(예비비!$D272&lt;EDATE(BP$99,1),예비비!$E272,0)-SUMIFS(예비비!$O$430:$O$729,예비비!$B$430:$B$729,예비비!$A272,예비비!$E$430:$E$729,"&lt;"&amp;EDATE(BP$99,1))),0)</f>
        <v>0</v>
      </c>
      <c r="BQ272">
        <f>IF(예비비!$R272="OK",SUMIFS(예비비!$O$430:$O$729,예비비!$B$430:$B$729,예비비!$A272,예비비!$E$430:$E$729,"&lt;"&amp;EDATE(BQ$99,1),예비비!$F$430:$F$729,"결제대금비")+MAX(0,IF(예비비!$D272&lt;EDATE(BQ$99,1),예비비!$E272,0)-SUMIFS(예비비!$O$430:$O$729,예비비!$B$430:$B$729,예비비!$A272,예비비!$E$430:$E$729,"&lt;"&amp;EDATE(BQ$99,1))),0)</f>
        <v>0</v>
      </c>
      <c r="BR272">
        <f>IF(예비비!$R272="OK",SUMIFS(예비비!$O$430:$O$729,예비비!$B$430:$B$729,예비비!$A272,예비비!$E$430:$E$729,"&lt;"&amp;EDATE(BR$99,1),예비비!$F$430:$F$729,"결제대금비")+MAX(0,IF(예비비!$D272&lt;EDATE(BR$99,1),예비비!$E272,0)-SUMIFS(예비비!$O$430:$O$729,예비비!$B$430:$B$729,예비비!$A272,예비비!$E$430:$E$729,"&lt;"&amp;EDATE(BR$99,1))),0)</f>
        <v>0</v>
      </c>
      <c r="BS272">
        <f>IF(예비비!$R272="OK",SUMIFS(예비비!$O$430:$O$729,예비비!$B$430:$B$729,예비비!$A272,예비비!$E$430:$E$729,"&lt;"&amp;EDATE(BS$99,1),예비비!$F$430:$F$729,"결제대금비")+MAX(0,IF(예비비!$D272&lt;EDATE(BS$99,1),예비비!$E272,0)-SUMIFS(예비비!$O$430:$O$729,예비비!$B$430:$B$729,예비비!$A272,예비비!$E$430:$E$729,"&lt;"&amp;EDATE(BS$99,1))),0)</f>
        <v>0</v>
      </c>
      <c r="BT272">
        <f>IF(예비비!$R272="OK",SUMIFS(예비비!$O$430:$O$729,예비비!$B$430:$B$729,예비비!$A272,예비비!$E$430:$E$729,"&lt;"&amp;EDATE(BT$99,1),예비비!$F$430:$F$729,"결제대금비")+MAX(0,IF(예비비!$D272&lt;EDATE(BT$99,1),예비비!$E272,0)-SUMIFS(예비비!$O$430:$O$729,예비비!$B$430:$B$729,예비비!$A272,예비비!$E$430:$E$729,"&lt;"&amp;EDATE(BT$99,1))),0)</f>
        <v>0</v>
      </c>
      <c r="BU272">
        <f>IF(예비비!$R272="OK",SUMIFS(예비비!$O$430:$O$729,예비비!$B$430:$B$729,예비비!$A272,예비비!$E$430:$E$729,"&lt;"&amp;EDATE(BU$99,1),예비비!$F$430:$F$729,"결제대금비")+MAX(0,IF(예비비!$D272&lt;EDATE(BU$99,1),예비비!$E272,0)-SUMIFS(예비비!$O$430:$O$729,예비비!$B$430:$B$729,예비비!$A272,예비비!$E$430:$E$729,"&lt;"&amp;EDATE(BU$99,1))),0)</f>
        <v>0</v>
      </c>
    </row>
    <row r="273">
      <c r="BA273">
        <v>217</v>
      </c>
      <c r="BB273">
        <f>IFERROR(INDEX(잔액!$A:$A,BA273),0)</f>
        <v>46266.0</v>
      </c>
      <c r="BH273">
        <f>IFERROR(IF(AND(BB273&gt;0,OR(COUNTIFS(예비비!$C$430:$C$729,BA273,예비비!$N$430:$N$729,"OK")&gt;0,AND(INDEX(잔액!$J:$J,BA273)="가족통장",INDEX(잔액!$K:$K,BA273)="미래에셋_WRAP형CMA"),COUNTIF(예비비!$A$8:$A$12,INDEX(잔액!$C:$C,BA273))=1,COUNTIF(예비비!$A$8:$A$12,INDEX(잔액!$D:$D,BA273))=1),OR(AND(BB273&gt;=예비비!$B$3,BB273&lt;EDATE(예비비!$B$3,1)),AND(BB273&lt;EDATE(예비비!$B$3,1),COUNTIFS(예비비!$C$430:$C$729,BA273,예비비!$L$430:$L$729,예비비!$B$3,예비비!$N$430:$N$729,"OK")&gt;0))),MAX($BH$120:BH272)+1,0),0)</f>
        <v>0</v>
      </c>
      <c r="BI273">
        <f>IF(예비비!$R273="OK",SUMIFS(예비비!$O$430:$O$729,예비비!$B$430:$B$729,예비비!$A273,예비비!$E$430:$E$729,"&lt;"&amp;EDATE(BI$99,1),예비비!$F$430:$F$729,"결제대금비")+MAX(0,IF(예비비!$D273&lt;EDATE(BI$99,1),예비비!$E273,0)-SUMIFS(예비비!$O$430:$O$729,예비비!$B$430:$B$729,예비비!$A273,예비비!$E$430:$E$729,"&lt;"&amp;EDATE(BI$99,1))),0)</f>
        <v>0</v>
      </c>
      <c r="BJ273">
        <f>IF(예비비!$R273="OK",SUMIFS(예비비!$O$430:$O$729,예비비!$B$430:$B$729,예비비!$A273,예비비!$E$430:$E$729,"&lt;"&amp;EDATE(BJ$99,1),예비비!$F$430:$F$729,"결제대금비")+MAX(0,IF(예비비!$D273&lt;EDATE(BJ$99,1),예비비!$E273,0)-SUMIFS(예비비!$O$430:$O$729,예비비!$B$430:$B$729,예비비!$A273,예비비!$E$430:$E$729,"&lt;"&amp;EDATE(BJ$99,1))),0)</f>
        <v>0</v>
      </c>
      <c r="BK273">
        <f>IF(예비비!$R273="OK",SUMIFS(예비비!$O$430:$O$729,예비비!$B$430:$B$729,예비비!$A273,예비비!$E$430:$E$729,"&lt;"&amp;EDATE(BK$99,1),예비비!$F$430:$F$729,"결제대금비")+MAX(0,IF(예비비!$D273&lt;EDATE(BK$99,1),예비비!$E273,0)-SUMIFS(예비비!$O$430:$O$729,예비비!$B$430:$B$729,예비비!$A273,예비비!$E$430:$E$729,"&lt;"&amp;EDATE(BK$99,1))),0)</f>
        <v>0</v>
      </c>
      <c r="BL273">
        <f>IF(예비비!$R273="OK",SUMIFS(예비비!$O$430:$O$729,예비비!$B$430:$B$729,예비비!$A273,예비비!$E$430:$E$729,"&lt;"&amp;EDATE(BL$99,1),예비비!$F$430:$F$729,"결제대금비")+MAX(0,IF(예비비!$D273&lt;EDATE(BL$99,1),예비비!$E273,0)-SUMIFS(예비비!$O$430:$O$729,예비비!$B$430:$B$729,예비비!$A273,예비비!$E$430:$E$729,"&lt;"&amp;EDATE(BL$99,1))),0)</f>
        <v>0</v>
      </c>
      <c r="BM273">
        <f>IF(예비비!$R273="OK",SUMIFS(예비비!$O$430:$O$729,예비비!$B$430:$B$729,예비비!$A273,예비비!$E$430:$E$729,"&lt;"&amp;EDATE(BM$99,1),예비비!$F$430:$F$729,"결제대금비")+MAX(0,IF(예비비!$D273&lt;EDATE(BM$99,1),예비비!$E273,0)-SUMIFS(예비비!$O$430:$O$729,예비비!$B$430:$B$729,예비비!$A273,예비비!$E$430:$E$729,"&lt;"&amp;EDATE(BM$99,1))),0)</f>
        <v>0</v>
      </c>
      <c r="BN273">
        <f>IF(예비비!$R273="OK",SUMIFS(예비비!$O$430:$O$729,예비비!$B$430:$B$729,예비비!$A273,예비비!$E$430:$E$729,"&lt;"&amp;EDATE(BN$99,1),예비비!$F$430:$F$729,"결제대금비")+MAX(0,IF(예비비!$D273&lt;EDATE(BN$99,1),예비비!$E273,0)-SUMIFS(예비비!$O$430:$O$729,예비비!$B$430:$B$729,예비비!$A273,예비비!$E$430:$E$729,"&lt;"&amp;EDATE(BN$99,1))),0)</f>
        <v>0</v>
      </c>
      <c r="BO273">
        <f>IF(예비비!$R273="OK",SUMIFS(예비비!$O$430:$O$729,예비비!$B$430:$B$729,예비비!$A273,예비비!$E$430:$E$729,"&lt;"&amp;EDATE(BO$99,1),예비비!$F$430:$F$729,"결제대금비")+MAX(0,IF(예비비!$D273&lt;EDATE(BO$99,1),예비비!$E273,0)-SUMIFS(예비비!$O$430:$O$729,예비비!$B$430:$B$729,예비비!$A273,예비비!$E$430:$E$729,"&lt;"&amp;EDATE(BO$99,1))),0)</f>
        <v>0</v>
      </c>
      <c r="BP273">
        <f>IF(예비비!$R273="OK",SUMIFS(예비비!$O$430:$O$729,예비비!$B$430:$B$729,예비비!$A273,예비비!$E$430:$E$729,"&lt;"&amp;EDATE(BP$99,1),예비비!$F$430:$F$729,"결제대금비")+MAX(0,IF(예비비!$D273&lt;EDATE(BP$99,1),예비비!$E273,0)-SUMIFS(예비비!$O$430:$O$729,예비비!$B$430:$B$729,예비비!$A273,예비비!$E$430:$E$729,"&lt;"&amp;EDATE(BP$99,1))),0)</f>
        <v>0</v>
      </c>
      <c r="BQ273">
        <f>IF(예비비!$R273="OK",SUMIFS(예비비!$O$430:$O$729,예비비!$B$430:$B$729,예비비!$A273,예비비!$E$430:$E$729,"&lt;"&amp;EDATE(BQ$99,1),예비비!$F$430:$F$729,"결제대금비")+MAX(0,IF(예비비!$D273&lt;EDATE(BQ$99,1),예비비!$E273,0)-SUMIFS(예비비!$O$430:$O$729,예비비!$B$430:$B$729,예비비!$A273,예비비!$E$430:$E$729,"&lt;"&amp;EDATE(BQ$99,1))),0)</f>
        <v>0</v>
      </c>
      <c r="BR273">
        <f>IF(예비비!$R273="OK",SUMIFS(예비비!$O$430:$O$729,예비비!$B$430:$B$729,예비비!$A273,예비비!$E$430:$E$729,"&lt;"&amp;EDATE(BR$99,1),예비비!$F$430:$F$729,"결제대금비")+MAX(0,IF(예비비!$D273&lt;EDATE(BR$99,1),예비비!$E273,0)-SUMIFS(예비비!$O$430:$O$729,예비비!$B$430:$B$729,예비비!$A273,예비비!$E$430:$E$729,"&lt;"&amp;EDATE(BR$99,1))),0)</f>
        <v>0</v>
      </c>
      <c r="BS273">
        <f>IF(예비비!$R273="OK",SUMIFS(예비비!$O$430:$O$729,예비비!$B$430:$B$729,예비비!$A273,예비비!$E$430:$E$729,"&lt;"&amp;EDATE(BS$99,1),예비비!$F$430:$F$729,"결제대금비")+MAX(0,IF(예비비!$D273&lt;EDATE(BS$99,1),예비비!$E273,0)-SUMIFS(예비비!$O$430:$O$729,예비비!$B$430:$B$729,예비비!$A273,예비비!$E$430:$E$729,"&lt;"&amp;EDATE(BS$99,1))),0)</f>
        <v>0</v>
      </c>
      <c r="BT273">
        <f>IF(예비비!$R273="OK",SUMIFS(예비비!$O$430:$O$729,예비비!$B$430:$B$729,예비비!$A273,예비비!$E$430:$E$729,"&lt;"&amp;EDATE(BT$99,1),예비비!$F$430:$F$729,"결제대금비")+MAX(0,IF(예비비!$D273&lt;EDATE(BT$99,1),예비비!$E273,0)-SUMIFS(예비비!$O$430:$O$729,예비비!$B$430:$B$729,예비비!$A273,예비비!$E$430:$E$729,"&lt;"&amp;EDATE(BT$99,1))),0)</f>
        <v>0</v>
      </c>
      <c r="BU273">
        <f>IF(예비비!$R273="OK",SUMIFS(예비비!$O$430:$O$729,예비비!$B$430:$B$729,예비비!$A273,예비비!$E$430:$E$729,"&lt;"&amp;EDATE(BU$99,1),예비비!$F$430:$F$729,"결제대금비")+MAX(0,IF(예비비!$D273&lt;EDATE(BU$99,1),예비비!$E273,0)-SUMIFS(예비비!$O$430:$O$729,예비비!$B$430:$B$729,예비비!$A273,예비비!$E$430:$E$729,"&lt;"&amp;EDATE(BU$99,1))),0)</f>
        <v>0</v>
      </c>
    </row>
    <row r="274">
      <c r="BA274">
        <v>218</v>
      </c>
      <c r="BB274">
        <f>IFERROR(INDEX(잔액!$A:$A,BA274),0)</f>
        <v>46266.0</v>
      </c>
      <c r="BH274">
        <f>IFERROR(IF(AND(BB274&gt;0,OR(COUNTIFS(예비비!$C$430:$C$729,BA274,예비비!$N$430:$N$729,"OK")&gt;0,AND(INDEX(잔액!$J:$J,BA274)="가족통장",INDEX(잔액!$K:$K,BA274)="미래에셋_WRAP형CMA"),COUNTIF(예비비!$A$8:$A$12,INDEX(잔액!$C:$C,BA274))=1,COUNTIF(예비비!$A$8:$A$12,INDEX(잔액!$D:$D,BA274))=1),OR(AND(BB274&gt;=예비비!$B$3,BB274&lt;EDATE(예비비!$B$3,1)),AND(BB274&lt;EDATE(예비비!$B$3,1),COUNTIFS(예비비!$C$430:$C$729,BA274,예비비!$L$430:$L$729,예비비!$B$3,예비비!$N$430:$N$729,"OK")&gt;0))),MAX($BH$120:BH273)+1,0),0)</f>
        <v>0</v>
      </c>
      <c r="BI274">
        <f>IF(예비비!$R274="OK",SUMIFS(예비비!$O$430:$O$729,예비비!$B$430:$B$729,예비비!$A274,예비비!$E$430:$E$729,"&lt;"&amp;EDATE(BI$99,1),예비비!$F$430:$F$729,"결제대금비")+MAX(0,IF(예비비!$D274&lt;EDATE(BI$99,1),예비비!$E274,0)-SUMIFS(예비비!$O$430:$O$729,예비비!$B$430:$B$729,예비비!$A274,예비비!$E$430:$E$729,"&lt;"&amp;EDATE(BI$99,1))),0)</f>
        <v>0</v>
      </c>
      <c r="BJ274">
        <f>IF(예비비!$R274="OK",SUMIFS(예비비!$O$430:$O$729,예비비!$B$430:$B$729,예비비!$A274,예비비!$E$430:$E$729,"&lt;"&amp;EDATE(BJ$99,1),예비비!$F$430:$F$729,"결제대금비")+MAX(0,IF(예비비!$D274&lt;EDATE(BJ$99,1),예비비!$E274,0)-SUMIFS(예비비!$O$430:$O$729,예비비!$B$430:$B$729,예비비!$A274,예비비!$E$430:$E$729,"&lt;"&amp;EDATE(BJ$99,1))),0)</f>
        <v>0</v>
      </c>
      <c r="BK274">
        <f>IF(예비비!$R274="OK",SUMIFS(예비비!$O$430:$O$729,예비비!$B$430:$B$729,예비비!$A274,예비비!$E$430:$E$729,"&lt;"&amp;EDATE(BK$99,1),예비비!$F$430:$F$729,"결제대금비")+MAX(0,IF(예비비!$D274&lt;EDATE(BK$99,1),예비비!$E274,0)-SUMIFS(예비비!$O$430:$O$729,예비비!$B$430:$B$729,예비비!$A274,예비비!$E$430:$E$729,"&lt;"&amp;EDATE(BK$99,1))),0)</f>
        <v>0</v>
      </c>
      <c r="BL274">
        <f>IF(예비비!$R274="OK",SUMIFS(예비비!$O$430:$O$729,예비비!$B$430:$B$729,예비비!$A274,예비비!$E$430:$E$729,"&lt;"&amp;EDATE(BL$99,1),예비비!$F$430:$F$729,"결제대금비")+MAX(0,IF(예비비!$D274&lt;EDATE(BL$99,1),예비비!$E274,0)-SUMIFS(예비비!$O$430:$O$729,예비비!$B$430:$B$729,예비비!$A274,예비비!$E$430:$E$729,"&lt;"&amp;EDATE(BL$99,1))),0)</f>
        <v>0</v>
      </c>
      <c r="BM274">
        <f>IF(예비비!$R274="OK",SUMIFS(예비비!$O$430:$O$729,예비비!$B$430:$B$729,예비비!$A274,예비비!$E$430:$E$729,"&lt;"&amp;EDATE(BM$99,1),예비비!$F$430:$F$729,"결제대금비")+MAX(0,IF(예비비!$D274&lt;EDATE(BM$99,1),예비비!$E274,0)-SUMIFS(예비비!$O$430:$O$729,예비비!$B$430:$B$729,예비비!$A274,예비비!$E$430:$E$729,"&lt;"&amp;EDATE(BM$99,1))),0)</f>
        <v>0</v>
      </c>
      <c r="BN274">
        <f>IF(예비비!$R274="OK",SUMIFS(예비비!$O$430:$O$729,예비비!$B$430:$B$729,예비비!$A274,예비비!$E$430:$E$729,"&lt;"&amp;EDATE(BN$99,1),예비비!$F$430:$F$729,"결제대금비")+MAX(0,IF(예비비!$D274&lt;EDATE(BN$99,1),예비비!$E274,0)-SUMIFS(예비비!$O$430:$O$729,예비비!$B$430:$B$729,예비비!$A274,예비비!$E$430:$E$729,"&lt;"&amp;EDATE(BN$99,1))),0)</f>
        <v>0</v>
      </c>
      <c r="BO274">
        <f>IF(예비비!$R274="OK",SUMIFS(예비비!$O$430:$O$729,예비비!$B$430:$B$729,예비비!$A274,예비비!$E$430:$E$729,"&lt;"&amp;EDATE(BO$99,1),예비비!$F$430:$F$729,"결제대금비")+MAX(0,IF(예비비!$D274&lt;EDATE(BO$99,1),예비비!$E274,0)-SUMIFS(예비비!$O$430:$O$729,예비비!$B$430:$B$729,예비비!$A274,예비비!$E$430:$E$729,"&lt;"&amp;EDATE(BO$99,1))),0)</f>
        <v>0</v>
      </c>
      <c r="BP274">
        <f>IF(예비비!$R274="OK",SUMIFS(예비비!$O$430:$O$729,예비비!$B$430:$B$729,예비비!$A274,예비비!$E$430:$E$729,"&lt;"&amp;EDATE(BP$99,1),예비비!$F$430:$F$729,"결제대금비")+MAX(0,IF(예비비!$D274&lt;EDATE(BP$99,1),예비비!$E274,0)-SUMIFS(예비비!$O$430:$O$729,예비비!$B$430:$B$729,예비비!$A274,예비비!$E$430:$E$729,"&lt;"&amp;EDATE(BP$99,1))),0)</f>
        <v>0</v>
      </c>
      <c r="BQ274">
        <f>IF(예비비!$R274="OK",SUMIFS(예비비!$O$430:$O$729,예비비!$B$430:$B$729,예비비!$A274,예비비!$E$430:$E$729,"&lt;"&amp;EDATE(BQ$99,1),예비비!$F$430:$F$729,"결제대금비")+MAX(0,IF(예비비!$D274&lt;EDATE(BQ$99,1),예비비!$E274,0)-SUMIFS(예비비!$O$430:$O$729,예비비!$B$430:$B$729,예비비!$A274,예비비!$E$430:$E$729,"&lt;"&amp;EDATE(BQ$99,1))),0)</f>
        <v>0</v>
      </c>
      <c r="BR274">
        <f>IF(예비비!$R274="OK",SUMIFS(예비비!$O$430:$O$729,예비비!$B$430:$B$729,예비비!$A274,예비비!$E$430:$E$729,"&lt;"&amp;EDATE(BR$99,1),예비비!$F$430:$F$729,"결제대금비")+MAX(0,IF(예비비!$D274&lt;EDATE(BR$99,1),예비비!$E274,0)-SUMIFS(예비비!$O$430:$O$729,예비비!$B$430:$B$729,예비비!$A274,예비비!$E$430:$E$729,"&lt;"&amp;EDATE(BR$99,1))),0)</f>
        <v>0</v>
      </c>
      <c r="BS274">
        <f>IF(예비비!$R274="OK",SUMIFS(예비비!$O$430:$O$729,예비비!$B$430:$B$729,예비비!$A274,예비비!$E$430:$E$729,"&lt;"&amp;EDATE(BS$99,1),예비비!$F$430:$F$729,"결제대금비")+MAX(0,IF(예비비!$D274&lt;EDATE(BS$99,1),예비비!$E274,0)-SUMIFS(예비비!$O$430:$O$729,예비비!$B$430:$B$729,예비비!$A274,예비비!$E$430:$E$729,"&lt;"&amp;EDATE(BS$99,1))),0)</f>
        <v>0</v>
      </c>
      <c r="BT274">
        <f>IF(예비비!$R274="OK",SUMIFS(예비비!$O$430:$O$729,예비비!$B$430:$B$729,예비비!$A274,예비비!$E$430:$E$729,"&lt;"&amp;EDATE(BT$99,1),예비비!$F$430:$F$729,"결제대금비")+MAX(0,IF(예비비!$D274&lt;EDATE(BT$99,1),예비비!$E274,0)-SUMIFS(예비비!$O$430:$O$729,예비비!$B$430:$B$729,예비비!$A274,예비비!$E$430:$E$729,"&lt;"&amp;EDATE(BT$99,1))),0)</f>
        <v>0</v>
      </c>
      <c r="BU274">
        <f>IF(예비비!$R274="OK",SUMIFS(예비비!$O$430:$O$729,예비비!$B$430:$B$729,예비비!$A274,예비비!$E$430:$E$729,"&lt;"&amp;EDATE(BU$99,1),예비비!$F$430:$F$729,"결제대금비")+MAX(0,IF(예비비!$D274&lt;EDATE(BU$99,1),예비비!$E274,0)-SUMIFS(예비비!$O$430:$O$729,예비비!$B$430:$B$729,예비비!$A274,예비비!$E$430:$E$729,"&lt;"&amp;EDATE(BU$99,1))),0)</f>
        <v>0</v>
      </c>
    </row>
    <row r="275">
      <c r="BA275">
        <v>219</v>
      </c>
      <c r="BB275">
        <f>IFERROR(INDEX(잔액!$A:$A,BA275),0)</f>
        <v>46266.0</v>
      </c>
      <c r="BH275">
        <f>IFERROR(IF(AND(BB275&gt;0,OR(COUNTIFS(예비비!$C$430:$C$729,BA275,예비비!$N$430:$N$729,"OK")&gt;0,AND(INDEX(잔액!$J:$J,BA275)="가족통장",INDEX(잔액!$K:$K,BA275)="미래에셋_WRAP형CMA"),COUNTIF(예비비!$A$8:$A$12,INDEX(잔액!$C:$C,BA275))=1,COUNTIF(예비비!$A$8:$A$12,INDEX(잔액!$D:$D,BA275))=1),OR(AND(BB275&gt;=예비비!$B$3,BB275&lt;EDATE(예비비!$B$3,1)),AND(BB275&lt;EDATE(예비비!$B$3,1),COUNTIFS(예비비!$C$430:$C$729,BA275,예비비!$L$430:$L$729,예비비!$B$3,예비비!$N$430:$N$729,"OK")&gt;0))),MAX($BH$120:BH274)+1,0),0)</f>
        <v>0</v>
      </c>
      <c r="BI275">
        <f>IF(예비비!$R275="OK",SUMIFS(예비비!$O$430:$O$729,예비비!$B$430:$B$729,예비비!$A275,예비비!$E$430:$E$729,"&lt;"&amp;EDATE(BI$99,1),예비비!$F$430:$F$729,"결제대금비")+MAX(0,IF(예비비!$D275&lt;EDATE(BI$99,1),예비비!$E275,0)-SUMIFS(예비비!$O$430:$O$729,예비비!$B$430:$B$729,예비비!$A275,예비비!$E$430:$E$729,"&lt;"&amp;EDATE(BI$99,1))),0)</f>
        <v>0</v>
      </c>
      <c r="BJ275">
        <f>IF(예비비!$R275="OK",SUMIFS(예비비!$O$430:$O$729,예비비!$B$430:$B$729,예비비!$A275,예비비!$E$430:$E$729,"&lt;"&amp;EDATE(BJ$99,1),예비비!$F$430:$F$729,"결제대금비")+MAX(0,IF(예비비!$D275&lt;EDATE(BJ$99,1),예비비!$E275,0)-SUMIFS(예비비!$O$430:$O$729,예비비!$B$430:$B$729,예비비!$A275,예비비!$E$430:$E$729,"&lt;"&amp;EDATE(BJ$99,1))),0)</f>
        <v>0</v>
      </c>
      <c r="BK275">
        <f>IF(예비비!$R275="OK",SUMIFS(예비비!$O$430:$O$729,예비비!$B$430:$B$729,예비비!$A275,예비비!$E$430:$E$729,"&lt;"&amp;EDATE(BK$99,1),예비비!$F$430:$F$729,"결제대금비")+MAX(0,IF(예비비!$D275&lt;EDATE(BK$99,1),예비비!$E275,0)-SUMIFS(예비비!$O$430:$O$729,예비비!$B$430:$B$729,예비비!$A275,예비비!$E$430:$E$729,"&lt;"&amp;EDATE(BK$99,1))),0)</f>
        <v>0</v>
      </c>
      <c r="BL275">
        <f>IF(예비비!$R275="OK",SUMIFS(예비비!$O$430:$O$729,예비비!$B$430:$B$729,예비비!$A275,예비비!$E$430:$E$729,"&lt;"&amp;EDATE(BL$99,1),예비비!$F$430:$F$729,"결제대금비")+MAX(0,IF(예비비!$D275&lt;EDATE(BL$99,1),예비비!$E275,0)-SUMIFS(예비비!$O$430:$O$729,예비비!$B$430:$B$729,예비비!$A275,예비비!$E$430:$E$729,"&lt;"&amp;EDATE(BL$99,1))),0)</f>
        <v>0</v>
      </c>
      <c r="BM275">
        <f>IF(예비비!$R275="OK",SUMIFS(예비비!$O$430:$O$729,예비비!$B$430:$B$729,예비비!$A275,예비비!$E$430:$E$729,"&lt;"&amp;EDATE(BM$99,1),예비비!$F$430:$F$729,"결제대금비")+MAX(0,IF(예비비!$D275&lt;EDATE(BM$99,1),예비비!$E275,0)-SUMIFS(예비비!$O$430:$O$729,예비비!$B$430:$B$729,예비비!$A275,예비비!$E$430:$E$729,"&lt;"&amp;EDATE(BM$99,1))),0)</f>
        <v>0</v>
      </c>
      <c r="BN275">
        <f>IF(예비비!$R275="OK",SUMIFS(예비비!$O$430:$O$729,예비비!$B$430:$B$729,예비비!$A275,예비비!$E$430:$E$729,"&lt;"&amp;EDATE(BN$99,1),예비비!$F$430:$F$729,"결제대금비")+MAX(0,IF(예비비!$D275&lt;EDATE(BN$99,1),예비비!$E275,0)-SUMIFS(예비비!$O$430:$O$729,예비비!$B$430:$B$729,예비비!$A275,예비비!$E$430:$E$729,"&lt;"&amp;EDATE(BN$99,1))),0)</f>
        <v>0</v>
      </c>
      <c r="BO275">
        <f>IF(예비비!$R275="OK",SUMIFS(예비비!$O$430:$O$729,예비비!$B$430:$B$729,예비비!$A275,예비비!$E$430:$E$729,"&lt;"&amp;EDATE(BO$99,1),예비비!$F$430:$F$729,"결제대금비")+MAX(0,IF(예비비!$D275&lt;EDATE(BO$99,1),예비비!$E275,0)-SUMIFS(예비비!$O$430:$O$729,예비비!$B$430:$B$729,예비비!$A275,예비비!$E$430:$E$729,"&lt;"&amp;EDATE(BO$99,1))),0)</f>
        <v>0</v>
      </c>
      <c r="BP275">
        <f>IF(예비비!$R275="OK",SUMIFS(예비비!$O$430:$O$729,예비비!$B$430:$B$729,예비비!$A275,예비비!$E$430:$E$729,"&lt;"&amp;EDATE(BP$99,1),예비비!$F$430:$F$729,"결제대금비")+MAX(0,IF(예비비!$D275&lt;EDATE(BP$99,1),예비비!$E275,0)-SUMIFS(예비비!$O$430:$O$729,예비비!$B$430:$B$729,예비비!$A275,예비비!$E$430:$E$729,"&lt;"&amp;EDATE(BP$99,1))),0)</f>
        <v>0</v>
      </c>
      <c r="BQ275">
        <f>IF(예비비!$R275="OK",SUMIFS(예비비!$O$430:$O$729,예비비!$B$430:$B$729,예비비!$A275,예비비!$E$430:$E$729,"&lt;"&amp;EDATE(BQ$99,1),예비비!$F$430:$F$729,"결제대금비")+MAX(0,IF(예비비!$D275&lt;EDATE(BQ$99,1),예비비!$E275,0)-SUMIFS(예비비!$O$430:$O$729,예비비!$B$430:$B$729,예비비!$A275,예비비!$E$430:$E$729,"&lt;"&amp;EDATE(BQ$99,1))),0)</f>
        <v>0</v>
      </c>
      <c r="BR275">
        <f>IF(예비비!$R275="OK",SUMIFS(예비비!$O$430:$O$729,예비비!$B$430:$B$729,예비비!$A275,예비비!$E$430:$E$729,"&lt;"&amp;EDATE(BR$99,1),예비비!$F$430:$F$729,"결제대금비")+MAX(0,IF(예비비!$D275&lt;EDATE(BR$99,1),예비비!$E275,0)-SUMIFS(예비비!$O$430:$O$729,예비비!$B$430:$B$729,예비비!$A275,예비비!$E$430:$E$729,"&lt;"&amp;EDATE(BR$99,1))),0)</f>
        <v>0</v>
      </c>
      <c r="BS275">
        <f>IF(예비비!$R275="OK",SUMIFS(예비비!$O$430:$O$729,예비비!$B$430:$B$729,예비비!$A275,예비비!$E$430:$E$729,"&lt;"&amp;EDATE(BS$99,1),예비비!$F$430:$F$729,"결제대금비")+MAX(0,IF(예비비!$D275&lt;EDATE(BS$99,1),예비비!$E275,0)-SUMIFS(예비비!$O$430:$O$729,예비비!$B$430:$B$729,예비비!$A275,예비비!$E$430:$E$729,"&lt;"&amp;EDATE(BS$99,1))),0)</f>
        <v>0</v>
      </c>
      <c r="BT275">
        <f>IF(예비비!$R275="OK",SUMIFS(예비비!$O$430:$O$729,예비비!$B$430:$B$729,예비비!$A275,예비비!$E$430:$E$729,"&lt;"&amp;EDATE(BT$99,1),예비비!$F$430:$F$729,"결제대금비")+MAX(0,IF(예비비!$D275&lt;EDATE(BT$99,1),예비비!$E275,0)-SUMIFS(예비비!$O$430:$O$729,예비비!$B$430:$B$729,예비비!$A275,예비비!$E$430:$E$729,"&lt;"&amp;EDATE(BT$99,1))),0)</f>
        <v>0</v>
      </c>
      <c r="BU275">
        <f>IF(예비비!$R275="OK",SUMIFS(예비비!$O$430:$O$729,예비비!$B$430:$B$729,예비비!$A275,예비비!$E$430:$E$729,"&lt;"&amp;EDATE(BU$99,1),예비비!$F$430:$F$729,"결제대금비")+MAX(0,IF(예비비!$D275&lt;EDATE(BU$99,1),예비비!$E275,0)-SUMIFS(예비비!$O$430:$O$729,예비비!$B$430:$B$729,예비비!$A275,예비비!$E$430:$E$729,"&lt;"&amp;EDATE(BU$99,1))),0)</f>
        <v>0</v>
      </c>
    </row>
    <row r="276">
      <c r="BA276">
        <v>220</v>
      </c>
      <c r="BB276">
        <f>IFERROR(INDEX(잔액!$A:$A,BA276),0)</f>
        <v>46266.0</v>
      </c>
      <c r="BH276">
        <f>IFERROR(IF(AND(BB276&gt;0,OR(COUNTIFS(예비비!$C$430:$C$729,BA276,예비비!$N$430:$N$729,"OK")&gt;0,AND(INDEX(잔액!$J:$J,BA276)="가족통장",INDEX(잔액!$K:$K,BA276)="미래에셋_WRAP형CMA"),COUNTIF(예비비!$A$8:$A$12,INDEX(잔액!$C:$C,BA276))=1,COUNTIF(예비비!$A$8:$A$12,INDEX(잔액!$D:$D,BA276))=1),OR(AND(BB276&gt;=예비비!$B$3,BB276&lt;EDATE(예비비!$B$3,1)),AND(BB276&lt;EDATE(예비비!$B$3,1),COUNTIFS(예비비!$C$430:$C$729,BA276,예비비!$L$430:$L$729,예비비!$B$3,예비비!$N$430:$N$729,"OK")&gt;0))),MAX($BH$120:BH275)+1,0),0)</f>
        <v>0</v>
      </c>
      <c r="BI276">
        <f>IF(예비비!$R276="OK",SUMIFS(예비비!$O$430:$O$729,예비비!$B$430:$B$729,예비비!$A276,예비비!$E$430:$E$729,"&lt;"&amp;EDATE(BI$99,1),예비비!$F$430:$F$729,"결제대금비")+MAX(0,IF(예비비!$D276&lt;EDATE(BI$99,1),예비비!$E276,0)-SUMIFS(예비비!$O$430:$O$729,예비비!$B$430:$B$729,예비비!$A276,예비비!$E$430:$E$729,"&lt;"&amp;EDATE(BI$99,1))),0)</f>
        <v>0</v>
      </c>
      <c r="BJ276">
        <f>IF(예비비!$R276="OK",SUMIFS(예비비!$O$430:$O$729,예비비!$B$430:$B$729,예비비!$A276,예비비!$E$430:$E$729,"&lt;"&amp;EDATE(BJ$99,1),예비비!$F$430:$F$729,"결제대금비")+MAX(0,IF(예비비!$D276&lt;EDATE(BJ$99,1),예비비!$E276,0)-SUMIFS(예비비!$O$430:$O$729,예비비!$B$430:$B$729,예비비!$A276,예비비!$E$430:$E$729,"&lt;"&amp;EDATE(BJ$99,1))),0)</f>
        <v>0</v>
      </c>
      <c r="BK276">
        <f>IF(예비비!$R276="OK",SUMIFS(예비비!$O$430:$O$729,예비비!$B$430:$B$729,예비비!$A276,예비비!$E$430:$E$729,"&lt;"&amp;EDATE(BK$99,1),예비비!$F$430:$F$729,"결제대금비")+MAX(0,IF(예비비!$D276&lt;EDATE(BK$99,1),예비비!$E276,0)-SUMIFS(예비비!$O$430:$O$729,예비비!$B$430:$B$729,예비비!$A276,예비비!$E$430:$E$729,"&lt;"&amp;EDATE(BK$99,1))),0)</f>
        <v>0</v>
      </c>
      <c r="BL276">
        <f>IF(예비비!$R276="OK",SUMIFS(예비비!$O$430:$O$729,예비비!$B$430:$B$729,예비비!$A276,예비비!$E$430:$E$729,"&lt;"&amp;EDATE(BL$99,1),예비비!$F$430:$F$729,"결제대금비")+MAX(0,IF(예비비!$D276&lt;EDATE(BL$99,1),예비비!$E276,0)-SUMIFS(예비비!$O$430:$O$729,예비비!$B$430:$B$729,예비비!$A276,예비비!$E$430:$E$729,"&lt;"&amp;EDATE(BL$99,1))),0)</f>
        <v>0</v>
      </c>
      <c r="BM276">
        <f>IF(예비비!$R276="OK",SUMIFS(예비비!$O$430:$O$729,예비비!$B$430:$B$729,예비비!$A276,예비비!$E$430:$E$729,"&lt;"&amp;EDATE(BM$99,1),예비비!$F$430:$F$729,"결제대금비")+MAX(0,IF(예비비!$D276&lt;EDATE(BM$99,1),예비비!$E276,0)-SUMIFS(예비비!$O$430:$O$729,예비비!$B$430:$B$729,예비비!$A276,예비비!$E$430:$E$729,"&lt;"&amp;EDATE(BM$99,1))),0)</f>
        <v>0</v>
      </c>
      <c r="BN276">
        <f>IF(예비비!$R276="OK",SUMIFS(예비비!$O$430:$O$729,예비비!$B$430:$B$729,예비비!$A276,예비비!$E$430:$E$729,"&lt;"&amp;EDATE(BN$99,1),예비비!$F$430:$F$729,"결제대금비")+MAX(0,IF(예비비!$D276&lt;EDATE(BN$99,1),예비비!$E276,0)-SUMIFS(예비비!$O$430:$O$729,예비비!$B$430:$B$729,예비비!$A276,예비비!$E$430:$E$729,"&lt;"&amp;EDATE(BN$99,1))),0)</f>
        <v>0</v>
      </c>
      <c r="BO276">
        <f>IF(예비비!$R276="OK",SUMIFS(예비비!$O$430:$O$729,예비비!$B$430:$B$729,예비비!$A276,예비비!$E$430:$E$729,"&lt;"&amp;EDATE(BO$99,1),예비비!$F$430:$F$729,"결제대금비")+MAX(0,IF(예비비!$D276&lt;EDATE(BO$99,1),예비비!$E276,0)-SUMIFS(예비비!$O$430:$O$729,예비비!$B$430:$B$729,예비비!$A276,예비비!$E$430:$E$729,"&lt;"&amp;EDATE(BO$99,1))),0)</f>
        <v>0</v>
      </c>
      <c r="BP276">
        <f>IF(예비비!$R276="OK",SUMIFS(예비비!$O$430:$O$729,예비비!$B$430:$B$729,예비비!$A276,예비비!$E$430:$E$729,"&lt;"&amp;EDATE(BP$99,1),예비비!$F$430:$F$729,"결제대금비")+MAX(0,IF(예비비!$D276&lt;EDATE(BP$99,1),예비비!$E276,0)-SUMIFS(예비비!$O$430:$O$729,예비비!$B$430:$B$729,예비비!$A276,예비비!$E$430:$E$729,"&lt;"&amp;EDATE(BP$99,1))),0)</f>
        <v>0</v>
      </c>
      <c r="BQ276">
        <f>IF(예비비!$R276="OK",SUMIFS(예비비!$O$430:$O$729,예비비!$B$430:$B$729,예비비!$A276,예비비!$E$430:$E$729,"&lt;"&amp;EDATE(BQ$99,1),예비비!$F$430:$F$729,"결제대금비")+MAX(0,IF(예비비!$D276&lt;EDATE(BQ$99,1),예비비!$E276,0)-SUMIFS(예비비!$O$430:$O$729,예비비!$B$430:$B$729,예비비!$A276,예비비!$E$430:$E$729,"&lt;"&amp;EDATE(BQ$99,1))),0)</f>
        <v>0</v>
      </c>
      <c r="BR276">
        <f>IF(예비비!$R276="OK",SUMIFS(예비비!$O$430:$O$729,예비비!$B$430:$B$729,예비비!$A276,예비비!$E$430:$E$729,"&lt;"&amp;EDATE(BR$99,1),예비비!$F$430:$F$729,"결제대금비")+MAX(0,IF(예비비!$D276&lt;EDATE(BR$99,1),예비비!$E276,0)-SUMIFS(예비비!$O$430:$O$729,예비비!$B$430:$B$729,예비비!$A276,예비비!$E$430:$E$729,"&lt;"&amp;EDATE(BR$99,1))),0)</f>
        <v>0</v>
      </c>
      <c r="BS276">
        <f>IF(예비비!$R276="OK",SUMIFS(예비비!$O$430:$O$729,예비비!$B$430:$B$729,예비비!$A276,예비비!$E$430:$E$729,"&lt;"&amp;EDATE(BS$99,1),예비비!$F$430:$F$729,"결제대금비")+MAX(0,IF(예비비!$D276&lt;EDATE(BS$99,1),예비비!$E276,0)-SUMIFS(예비비!$O$430:$O$729,예비비!$B$430:$B$729,예비비!$A276,예비비!$E$430:$E$729,"&lt;"&amp;EDATE(BS$99,1))),0)</f>
        <v>0</v>
      </c>
      <c r="BT276">
        <f>IF(예비비!$R276="OK",SUMIFS(예비비!$O$430:$O$729,예비비!$B$430:$B$729,예비비!$A276,예비비!$E$430:$E$729,"&lt;"&amp;EDATE(BT$99,1),예비비!$F$430:$F$729,"결제대금비")+MAX(0,IF(예비비!$D276&lt;EDATE(BT$99,1),예비비!$E276,0)-SUMIFS(예비비!$O$430:$O$729,예비비!$B$430:$B$729,예비비!$A276,예비비!$E$430:$E$729,"&lt;"&amp;EDATE(BT$99,1))),0)</f>
        <v>0</v>
      </c>
      <c r="BU276">
        <f>IF(예비비!$R276="OK",SUMIFS(예비비!$O$430:$O$729,예비비!$B$430:$B$729,예비비!$A276,예비비!$E$430:$E$729,"&lt;"&amp;EDATE(BU$99,1),예비비!$F$430:$F$729,"결제대금비")+MAX(0,IF(예비비!$D276&lt;EDATE(BU$99,1),예비비!$E276,0)-SUMIFS(예비비!$O$430:$O$729,예비비!$B$430:$B$729,예비비!$A276,예비비!$E$430:$E$729,"&lt;"&amp;EDATE(BU$99,1))),0)</f>
        <v>0</v>
      </c>
    </row>
    <row r="277">
      <c r="BA277">
        <v>221</v>
      </c>
      <c r="BB277">
        <f>IFERROR(INDEX(잔액!$A:$A,BA277),0)</f>
        <v>46266.0</v>
      </c>
      <c r="BH277">
        <f>IFERROR(IF(AND(BB277&gt;0,OR(COUNTIFS(예비비!$C$430:$C$729,BA277,예비비!$N$430:$N$729,"OK")&gt;0,AND(INDEX(잔액!$J:$J,BA277)="가족통장",INDEX(잔액!$K:$K,BA277)="미래에셋_WRAP형CMA"),COUNTIF(예비비!$A$8:$A$12,INDEX(잔액!$C:$C,BA277))=1,COUNTIF(예비비!$A$8:$A$12,INDEX(잔액!$D:$D,BA277))=1),OR(AND(BB277&gt;=예비비!$B$3,BB277&lt;EDATE(예비비!$B$3,1)),AND(BB277&lt;EDATE(예비비!$B$3,1),COUNTIFS(예비비!$C$430:$C$729,BA277,예비비!$L$430:$L$729,예비비!$B$3,예비비!$N$430:$N$729,"OK")&gt;0))),MAX($BH$120:BH276)+1,0),0)</f>
        <v>0</v>
      </c>
      <c r="BI277">
        <f>IF(예비비!$R277="OK",SUMIFS(예비비!$O$430:$O$729,예비비!$B$430:$B$729,예비비!$A277,예비비!$E$430:$E$729,"&lt;"&amp;EDATE(BI$99,1),예비비!$F$430:$F$729,"결제대금비")+MAX(0,IF(예비비!$D277&lt;EDATE(BI$99,1),예비비!$E277,0)-SUMIFS(예비비!$O$430:$O$729,예비비!$B$430:$B$729,예비비!$A277,예비비!$E$430:$E$729,"&lt;"&amp;EDATE(BI$99,1))),0)</f>
        <v>0</v>
      </c>
      <c r="BJ277">
        <f>IF(예비비!$R277="OK",SUMIFS(예비비!$O$430:$O$729,예비비!$B$430:$B$729,예비비!$A277,예비비!$E$430:$E$729,"&lt;"&amp;EDATE(BJ$99,1),예비비!$F$430:$F$729,"결제대금비")+MAX(0,IF(예비비!$D277&lt;EDATE(BJ$99,1),예비비!$E277,0)-SUMIFS(예비비!$O$430:$O$729,예비비!$B$430:$B$729,예비비!$A277,예비비!$E$430:$E$729,"&lt;"&amp;EDATE(BJ$99,1))),0)</f>
        <v>0</v>
      </c>
      <c r="BK277">
        <f>IF(예비비!$R277="OK",SUMIFS(예비비!$O$430:$O$729,예비비!$B$430:$B$729,예비비!$A277,예비비!$E$430:$E$729,"&lt;"&amp;EDATE(BK$99,1),예비비!$F$430:$F$729,"결제대금비")+MAX(0,IF(예비비!$D277&lt;EDATE(BK$99,1),예비비!$E277,0)-SUMIFS(예비비!$O$430:$O$729,예비비!$B$430:$B$729,예비비!$A277,예비비!$E$430:$E$729,"&lt;"&amp;EDATE(BK$99,1))),0)</f>
        <v>0</v>
      </c>
      <c r="BL277">
        <f>IF(예비비!$R277="OK",SUMIFS(예비비!$O$430:$O$729,예비비!$B$430:$B$729,예비비!$A277,예비비!$E$430:$E$729,"&lt;"&amp;EDATE(BL$99,1),예비비!$F$430:$F$729,"결제대금비")+MAX(0,IF(예비비!$D277&lt;EDATE(BL$99,1),예비비!$E277,0)-SUMIFS(예비비!$O$430:$O$729,예비비!$B$430:$B$729,예비비!$A277,예비비!$E$430:$E$729,"&lt;"&amp;EDATE(BL$99,1))),0)</f>
        <v>0</v>
      </c>
      <c r="BM277">
        <f>IF(예비비!$R277="OK",SUMIFS(예비비!$O$430:$O$729,예비비!$B$430:$B$729,예비비!$A277,예비비!$E$430:$E$729,"&lt;"&amp;EDATE(BM$99,1),예비비!$F$430:$F$729,"결제대금비")+MAX(0,IF(예비비!$D277&lt;EDATE(BM$99,1),예비비!$E277,0)-SUMIFS(예비비!$O$430:$O$729,예비비!$B$430:$B$729,예비비!$A277,예비비!$E$430:$E$729,"&lt;"&amp;EDATE(BM$99,1))),0)</f>
        <v>0</v>
      </c>
      <c r="BN277">
        <f>IF(예비비!$R277="OK",SUMIFS(예비비!$O$430:$O$729,예비비!$B$430:$B$729,예비비!$A277,예비비!$E$430:$E$729,"&lt;"&amp;EDATE(BN$99,1),예비비!$F$430:$F$729,"결제대금비")+MAX(0,IF(예비비!$D277&lt;EDATE(BN$99,1),예비비!$E277,0)-SUMIFS(예비비!$O$430:$O$729,예비비!$B$430:$B$729,예비비!$A277,예비비!$E$430:$E$729,"&lt;"&amp;EDATE(BN$99,1))),0)</f>
        <v>0</v>
      </c>
      <c r="BO277">
        <f>IF(예비비!$R277="OK",SUMIFS(예비비!$O$430:$O$729,예비비!$B$430:$B$729,예비비!$A277,예비비!$E$430:$E$729,"&lt;"&amp;EDATE(BO$99,1),예비비!$F$430:$F$729,"결제대금비")+MAX(0,IF(예비비!$D277&lt;EDATE(BO$99,1),예비비!$E277,0)-SUMIFS(예비비!$O$430:$O$729,예비비!$B$430:$B$729,예비비!$A277,예비비!$E$430:$E$729,"&lt;"&amp;EDATE(BO$99,1))),0)</f>
        <v>0</v>
      </c>
      <c r="BP277">
        <f>IF(예비비!$R277="OK",SUMIFS(예비비!$O$430:$O$729,예비비!$B$430:$B$729,예비비!$A277,예비비!$E$430:$E$729,"&lt;"&amp;EDATE(BP$99,1),예비비!$F$430:$F$729,"결제대금비")+MAX(0,IF(예비비!$D277&lt;EDATE(BP$99,1),예비비!$E277,0)-SUMIFS(예비비!$O$430:$O$729,예비비!$B$430:$B$729,예비비!$A277,예비비!$E$430:$E$729,"&lt;"&amp;EDATE(BP$99,1))),0)</f>
        <v>0</v>
      </c>
      <c r="BQ277">
        <f>IF(예비비!$R277="OK",SUMIFS(예비비!$O$430:$O$729,예비비!$B$430:$B$729,예비비!$A277,예비비!$E$430:$E$729,"&lt;"&amp;EDATE(BQ$99,1),예비비!$F$430:$F$729,"결제대금비")+MAX(0,IF(예비비!$D277&lt;EDATE(BQ$99,1),예비비!$E277,0)-SUMIFS(예비비!$O$430:$O$729,예비비!$B$430:$B$729,예비비!$A277,예비비!$E$430:$E$729,"&lt;"&amp;EDATE(BQ$99,1))),0)</f>
        <v>0</v>
      </c>
      <c r="BR277">
        <f>IF(예비비!$R277="OK",SUMIFS(예비비!$O$430:$O$729,예비비!$B$430:$B$729,예비비!$A277,예비비!$E$430:$E$729,"&lt;"&amp;EDATE(BR$99,1),예비비!$F$430:$F$729,"결제대금비")+MAX(0,IF(예비비!$D277&lt;EDATE(BR$99,1),예비비!$E277,0)-SUMIFS(예비비!$O$430:$O$729,예비비!$B$430:$B$729,예비비!$A277,예비비!$E$430:$E$729,"&lt;"&amp;EDATE(BR$99,1))),0)</f>
        <v>0</v>
      </c>
      <c r="BS277">
        <f>IF(예비비!$R277="OK",SUMIFS(예비비!$O$430:$O$729,예비비!$B$430:$B$729,예비비!$A277,예비비!$E$430:$E$729,"&lt;"&amp;EDATE(BS$99,1),예비비!$F$430:$F$729,"결제대금비")+MAX(0,IF(예비비!$D277&lt;EDATE(BS$99,1),예비비!$E277,0)-SUMIFS(예비비!$O$430:$O$729,예비비!$B$430:$B$729,예비비!$A277,예비비!$E$430:$E$729,"&lt;"&amp;EDATE(BS$99,1))),0)</f>
        <v>0</v>
      </c>
      <c r="BT277">
        <f>IF(예비비!$R277="OK",SUMIFS(예비비!$O$430:$O$729,예비비!$B$430:$B$729,예비비!$A277,예비비!$E$430:$E$729,"&lt;"&amp;EDATE(BT$99,1),예비비!$F$430:$F$729,"결제대금비")+MAX(0,IF(예비비!$D277&lt;EDATE(BT$99,1),예비비!$E277,0)-SUMIFS(예비비!$O$430:$O$729,예비비!$B$430:$B$729,예비비!$A277,예비비!$E$430:$E$729,"&lt;"&amp;EDATE(BT$99,1))),0)</f>
        <v>0</v>
      </c>
      <c r="BU277">
        <f>IF(예비비!$R277="OK",SUMIFS(예비비!$O$430:$O$729,예비비!$B$430:$B$729,예비비!$A277,예비비!$E$430:$E$729,"&lt;"&amp;EDATE(BU$99,1),예비비!$F$430:$F$729,"결제대금비")+MAX(0,IF(예비비!$D277&lt;EDATE(BU$99,1),예비비!$E277,0)-SUMIFS(예비비!$O$430:$O$729,예비비!$B$430:$B$729,예비비!$A277,예비비!$E$430:$E$729,"&lt;"&amp;EDATE(BU$99,1))),0)</f>
        <v>0</v>
      </c>
    </row>
    <row r="278">
      <c r="BA278">
        <v>222</v>
      </c>
      <c r="BB278">
        <f>IFERROR(INDEX(잔액!$A:$A,BA278),0)</f>
        <v>46266.0</v>
      </c>
      <c r="BH278">
        <f>IFERROR(IF(AND(BB278&gt;0,OR(COUNTIFS(예비비!$C$430:$C$729,BA278,예비비!$N$430:$N$729,"OK")&gt;0,AND(INDEX(잔액!$J:$J,BA278)="가족통장",INDEX(잔액!$K:$K,BA278)="미래에셋_WRAP형CMA"),COUNTIF(예비비!$A$8:$A$12,INDEX(잔액!$C:$C,BA278))=1,COUNTIF(예비비!$A$8:$A$12,INDEX(잔액!$D:$D,BA278))=1),OR(AND(BB278&gt;=예비비!$B$3,BB278&lt;EDATE(예비비!$B$3,1)),AND(BB278&lt;EDATE(예비비!$B$3,1),COUNTIFS(예비비!$C$430:$C$729,BA278,예비비!$L$430:$L$729,예비비!$B$3,예비비!$N$430:$N$729,"OK")&gt;0))),MAX($BH$120:BH277)+1,0),0)</f>
        <v>0</v>
      </c>
      <c r="BI278">
        <f>IF(예비비!$R278="OK",SUMIFS(예비비!$O$430:$O$729,예비비!$B$430:$B$729,예비비!$A278,예비비!$E$430:$E$729,"&lt;"&amp;EDATE(BI$99,1),예비비!$F$430:$F$729,"결제대금비")+MAX(0,IF(예비비!$D278&lt;EDATE(BI$99,1),예비비!$E278,0)-SUMIFS(예비비!$O$430:$O$729,예비비!$B$430:$B$729,예비비!$A278,예비비!$E$430:$E$729,"&lt;"&amp;EDATE(BI$99,1))),0)</f>
        <v>0</v>
      </c>
      <c r="BJ278">
        <f>IF(예비비!$R278="OK",SUMIFS(예비비!$O$430:$O$729,예비비!$B$430:$B$729,예비비!$A278,예비비!$E$430:$E$729,"&lt;"&amp;EDATE(BJ$99,1),예비비!$F$430:$F$729,"결제대금비")+MAX(0,IF(예비비!$D278&lt;EDATE(BJ$99,1),예비비!$E278,0)-SUMIFS(예비비!$O$430:$O$729,예비비!$B$430:$B$729,예비비!$A278,예비비!$E$430:$E$729,"&lt;"&amp;EDATE(BJ$99,1))),0)</f>
        <v>0</v>
      </c>
      <c r="BK278">
        <f>IF(예비비!$R278="OK",SUMIFS(예비비!$O$430:$O$729,예비비!$B$430:$B$729,예비비!$A278,예비비!$E$430:$E$729,"&lt;"&amp;EDATE(BK$99,1),예비비!$F$430:$F$729,"결제대금비")+MAX(0,IF(예비비!$D278&lt;EDATE(BK$99,1),예비비!$E278,0)-SUMIFS(예비비!$O$430:$O$729,예비비!$B$430:$B$729,예비비!$A278,예비비!$E$430:$E$729,"&lt;"&amp;EDATE(BK$99,1))),0)</f>
        <v>0</v>
      </c>
      <c r="BL278">
        <f>IF(예비비!$R278="OK",SUMIFS(예비비!$O$430:$O$729,예비비!$B$430:$B$729,예비비!$A278,예비비!$E$430:$E$729,"&lt;"&amp;EDATE(BL$99,1),예비비!$F$430:$F$729,"결제대금비")+MAX(0,IF(예비비!$D278&lt;EDATE(BL$99,1),예비비!$E278,0)-SUMIFS(예비비!$O$430:$O$729,예비비!$B$430:$B$729,예비비!$A278,예비비!$E$430:$E$729,"&lt;"&amp;EDATE(BL$99,1))),0)</f>
        <v>0</v>
      </c>
      <c r="BM278">
        <f>IF(예비비!$R278="OK",SUMIFS(예비비!$O$430:$O$729,예비비!$B$430:$B$729,예비비!$A278,예비비!$E$430:$E$729,"&lt;"&amp;EDATE(BM$99,1),예비비!$F$430:$F$729,"결제대금비")+MAX(0,IF(예비비!$D278&lt;EDATE(BM$99,1),예비비!$E278,0)-SUMIFS(예비비!$O$430:$O$729,예비비!$B$430:$B$729,예비비!$A278,예비비!$E$430:$E$729,"&lt;"&amp;EDATE(BM$99,1))),0)</f>
        <v>0</v>
      </c>
      <c r="BN278">
        <f>IF(예비비!$R278="OK",SUMIFS(예비비!$O$430:$O$729,예비비!$B$430:$B$729,예비비!$A278,예비비!$E$430:$E$729,"&lt;"&amp;EDATE(BN$99,1),예비비!$F$430:$F$729,"결제대금비")+MAX(0,IF(예비비!$D278&lt;EDATE(BN$99,1),예비비!$E278,0)-SUMIFS(예비비!$O$430:$O$729,예비비!$B$430:$B$729,예비비!$A278,예비비!$E$430:$E$729,"&lt;"&amp;EDATE(BN$99,1))),0)</f>
        <v>0</v>
      </c>
      <c r="BO278">
        <f>IF(예비비!$R278="OK",SUMIFS(예비비!$O$430:$O$729,예비비!$B$430:$B$729,예비비!$A278,예비비!$E$430:$E$729,"&lt;"&amp;EDATE(BO$99,1),예비비!$F$430:$F$729,"결제대금비")+MAX(0,IF(예비비!$D278&lt;EDATE(BO$99,1),예비비!$E278,0)-SUMIFS(예비비!$O$430:$O$729,예비비!$B$430:$B$729,예비비!$A278,예비비!$E$430:$E$729,"&lt;"&amp;EDATE(BO$99,1))),0)</f>
        <v>0</v>
      </c>
      <c r="BP278">
        <f>IF(예비비!$R278="OK",SUMIFS(예비비!$O$430:$O$729,예비비!$B$430:$B$729,예비비!$A278,예비비!$E$430:$E$729,"&lt;"&amp;EDATE(BP$99,1),예비비!$F$430:$F$729,"결제대금비")+MAX(0,IF(예비비!$D278&lt;EDATE(BP$99,1),예비비!$E278,0)-SUMIFS(예비비!$O$430:$O$729,예비비!$B$430:$B$729,예비비!$A278,예비비!$E$430:$E$729,"&lt;"&amp;EDATE(BP$99,1))),0)</f>
        <v>0</v>
      </c>
      <c r="BQ278">
        <f>IF(예비비!$R278="OK",SUMIFS(예비비!$O$430:$O$729,예비비!$B$430:$B$729,예비비!$A278,예비비!$E$430:$E$729,"&lt;"&amp;EDATE(BQ$99,1),예비비!$F$430:$F$729,"결제대금비")+MAX(0,IF(예비비!$D278&lt;EDATE(BQ$99,1),예비비!$E278,0)-SUMIFS(예비비!$O$430:$O$729,예비비!$B$430:$B$729,예비비!$A278,예비비!$E$430:$E$729,"&lt;"&amp;EDATE(BQ$99,1))),0)</f>
        <v>0</v>
      </c>
      <c r="BR278">
        <f>IF(예비비!$R278="OK",SUMIFS(예비비!$O$430:$O$729,예비비!$B$430:$B$729,예비비!$A278,예비비!$E$430:$E$729,"&lt;"&amp;EDATE(BR$99,1),예비비!$F$430:$F$729,"결제대금비")+MAX(0,IF(예비비!$D278&lt;EDATE(BR$99,1),예비비!$E278,0)-SUMIFS(예비비!$O$430:$O$729,예비비!$B$430:$B$729,예비비!$A278,예비비!$E$430:$E$729,"&lt;"&amp;EDATE(BR$99,1))),0)</f>
        <v>0</v>
      </c>
      <c r="BS278">
        <f>IF(예비비!$R278="OK",SUMIFS(예비비!$O$430:$O$729,예비비!$B$430:$B$729,예비비!$A278,예비비!$E$430:$E$729,"&lt;"&amp;EDATE(BS$99,1),예비비!$F$430:$F$729,"결제대금비")+MAX(0,IF(예비비!$D278&lt;EDATE(BS$99,1),예비비!$E278,0)-SUMIFS(예비비!$O$430:$O$729,예비비!$B$430:$B$729,예비비!$A278,예비비!$E$430:$E$729,"&lt;"&amp;EDATE(BS$99,1))),0)</f>
        <v>0</v>
      </c>
      <c r="BT278">
        <f>IF(예비비!$R278="OK",SUMIFS(예비비!$O$430:$O$729,예비비!$B$430:$B$729,예비비!$A278,예비비!$E$430:$E$729,"&lt;"&amp;EDATE(BT$99,1),예비비!$F$430:$F$729,"결제대금비")+MAX(0,IF(예비비!$D278&lt;EDATE(BT$99,1),예비비!$E278,0)-SUMIFS(예비비!$O$430:$O$729,예비비!$B$430:$B$729,예비비!$A278,예비비!$E$430:$E$729,"&lt;"&amp;EDATE(BT$99,1))),0)</f>
        <v>0</v>
      </c>
      <c r="BU278">
        <f>IF(예비비!$R278="OK",SUMIFS(예비비!$O$430:$O$729,예비비!$B$430:$B$729,예비비!$A278,예비비!$E$430:$E$729,"&lt;"&amp;EDATE(BU$99,1),예비비!$F$430:$F$729,"결제대금비")+MAX(0,IF(예비비!$D278&lt;EDATE(BU$99,1),예비비!$E278,0)-SUMIFS(예비비!$O$430:$O$729,예비비!$B$430:$B$729,예비비!$A278,예비비!$E$430:$E$729,"&lt;"&amp;EDATE(BU$99,1))),0)</f>
        <v>0</v>
      </c>
    </row>
    <row r="279">
      <c r="BA279">
        <v>223</v>
      </c>
      <c r="BB279">
        <f>IFERROR(INDEX(잔액!$A:$A,BA279),0)</f>
        <v>46266.0</v>
      </c>
      <c r="BH279">
        <f>IFERROR(IF(AND(BB279&gt;0,OR(COUNTIFS(예비비!$C$430:$C$729,BA279,예비비!$N$430:$N$729,"OK")&gt;0,AND(INDEX(잔액!$J:$J,BA279)="가족통장",INDEX(잔액!$K:$K,BA279)="미래에셋_WRAP형CMA"),COUNTIF(예비비!$A$8:$A$12,INDEX(잔액!$C:$C,BA279))=1,COUNTIF(예비비!$A$8:$A$12,INDEX(잔액!$D:$D,BA279))=1),OR(AND(BB279&gt;=예비비!$B$3,BB279&lt;EDATE(예비비!$B$3,1)),AND(BB279&lt;EDATE(예비비!$B$3,1),COUNTIFS(예비비!$C$430:$C$729,BA279,예비비!$L$430:$L$729,예비비!$B$3,예비비!$N$430:$N$729,"OK")&gt;0))),MAX($BH$120:BH278)+1,0),0)</f>
        <v>2</v>
      </c>
      <c r="BI279">
        <f>IF(예비비!$R279="OK",SUMIFS(예비비!$O$430:$O$729,예비비!$B$430:$B$729,예비비!$A279,예비비!$E$430:$E$729,"&lt;"&amp;EDATE(BI$99,1),예비비!$F$430:$F$729,"결제대금비")+MAX(0,IF(예비비!$D279&lt;EDATE(BI$99,1),예비비!$E279,0)-SUMIFS(예비비!$O$430:$O$729,예비비!$B$430:$B$729,예비비!$A279,예비비!$E$430:$E$729,"&lt;"&amp;EDATE(BI$99,1))),0)</f>
        <v>0</v>
      </c>
      <c r="BJ279">
        <f>IF(예비비!$R279="OK",SUMIFS(예비비!$O$430:$O$729,예비비!$B$430:$B$729,예비비!$A279,예비비!$E$430:$E$729,"&lt;"&amp;EDATE(BJ$99,1),예비비!$F$430:$F$729,"결제대금비")+MAX(0,IF(예비비!$D279&lt;EDATE(BJ$99,1),예비비!$E279,0)-SUMIFS(예비비!$O$430:$O$729,예비비!$B$430:$B$729,예비비!$A279,예비비!$E$430:$E$729,"&lt;"&amp;EDATE(BJ$99,1))),0)</f>
        <v>0</v>
      </c>
      <c r="BK279">
        <f>IF(예비비!$R279="OK",SUMIFS(예비비!$O$430:$O$729,예비비!$B$430:$B$729,예비비!$A279,예비비!$E$430:$E$729,"&lt;"&amp;EDATE(BK$99,1),예비비!$F$430:$F$729,"결제대금비")+MAX(0,IF(예비비!$D279&lt;EDATE(BK$99,1),예비비!$E279,0)-SUMIFS(예비비!$O$430:$O$729,예비비!$B$430:$B$729,예비비!$A279,예비비!$E$430:$E$729,"&lt;"&amp;EDATE(BK$99,1))),0)</f>
        <v>0</v>
      </c>
      <c r="BL279">
        <f>IF(예비비!$R279="OK",SUMIFS(예비비!$O$430:$O$729,예비비!$B$430:$B$729,예비비!$A279,예비비!$E$430:$E$729,"&lt;"&amp;EDATE(BL$99,1),예비비!$F$430:$F$729,"결제대금비")+MAX(0,IF(예비비!$D279&lt;EDATE(BL$99,1),예비비!$E279,0)-SUMIFS(예비비!$O$430:$O$729,예비비!$B$430:$B$729,예비비!$A279,예비비!$E$430:$E$729,"&lt;"&amp;EDATE(BL$99,1))),0)</f>
        <v>0</v>
      </c>
      <c r="BM279">
        <f>IF(예비비!$R279="OK",SUMIFS(예비비!$O$430:$O$729,예비비!$B$430:$B$729,예비비!$A279,예비비!$E$430:$E$729,"&lt;"&amp;EDATE(BM$99,1),예비비!$F$430:$F$729,"결제대금비")+MAX(0,IF(예비비!$D279&lt;EDATE(BM$99,1),예비비!$E279,0)-SUMIFS(예비비!$O$430:$O$729,예비비!$B$430:$B$729,예비비!$A279,예비비!$E$430:$E$729,"&lt;"&amp;EDATE(BM$99,1))),0)</f>
        <v>0</v>
      </c>
      <c r="BN279">
        <f>IF(예비비!$R279="OK",SUMIFS(예비비!$O$430:$O$729,예비비!$B$430:$B$729,예비비!$A279,예비비!$E$430:$E$729,"&lt;"&amp;EDATE(BN$99,1),예비비!$F$430:$F$729,"결제대금비")+MAX(0,IF(예비비!$D279&lt;EDATE(BN$99,1),예비비!$E279,0)-SUMIFS(예비비!$O$430:$O$729,예비비!$B$430:$B$729,예비비!$A279,예비비!$E$430:$E$729,"&lt;"&amp;EDATE(BN$99,1))),0)</f>
        <v>0</v>
      </c>
      <c r="BO279">
        <f>IF(예비비!$R279="OK",SUMIFS(예비비!$O$430:$O$729,예비비!$B$430:$B$729,예비비!$A279,예비비!$E$430:$E$729,"&lt;"&amp;EDATE(BO$99,1),예비비!$F$430:$F$729,"결제대금비")+MAX(0,IF(예비비!$D279&lt;EDATE(BO$99,1),예비비!$E279,0)-SUMIFS(예비비!$O$430:$O$729,예비비!$B$430:$B$729,예비비!$A279,예비비!$E$430:$E$729,"&lt;"&amp;EDATE(BO$99,1))),0)</f>
        <v>0</v>
      </c>
      <c r="BP279">
        <f>IF(예비비!$R279="OK",SUMIFS(예비비!$O$430:$O$729,예비비!$B$430:$B$729,예비비!$A279,예비비!$E$430:$E$729,"&lt;"&amp;EDATE(BP$99,1),예비비!$F$430:$F$729,"결제대금비")+MAX(0,IF(예비비!$D279&lt;EDATE(BP$99,1),예비비!$E279,0)-SUMIFS(예비비!$O$430:$O$729,예비비!$B$430:$B$729,예비비!$A279,예비비!$E$430:$E$729,"&lt;"&amp;EDATE(BP$99,1))),0)</f>
        <v>0</v>
      </c>
      <c r="BQ279">
        <f>IF(예비비!$R279="OK",SUMIFS(예비비!$O$430:$O$729,예비비!$B$430:$B$729,예비비!$A279,예비비!$E$430:$E$729,"&lt;"&amp;EDATE(BQ$99,1),예비비!$F$430:$F$729,"결제대금비")+MAX(0,IF(예비비!$D279&lt;EDATE(BQ$99,1),예비비!$E279,0)-SUMIFS(예비비!$O$430:$O$729,예비비!$B$430:$B$729,예비비!$A279,예비비!$E$430:$E$729,"&lt;"&amp;EDATE(BQ$99,1))),0)</f>
        <v>0</v>
      </c>
      <c r="BR279">
        <f>IF(예비비!$R279="OK",SUMIFS(예비비!$O$430:$O$729,예비비!$B$430:$B$729,예비비!$A279,예비비!$E$430:$E$729,"&lt;"&amp;EDATE(BR$99,1),예비비!$F$430:$F$729,"결제대금비")+MAX(0,IF(예비비!$D279&lt;EDATE(BR$99,1),예비비!$E279,0)-SUMIFS(예비비!$O$430:$O$729,예비비!$B$430:$B$729,예비비!$A279,예비비!$E$430:$E$729,"&lt;"&amp;EDATE(BR$99,1))),0)</f>
        <v>0</v>
      </c>
      <c r="BS279">
        <f>IF(예비비!$R279="OK",SUMIFS(예비비!$O$430:$O$729,예비비!$B$430:$B$729,예비비!$A279,예비비!$E$430:$E$729,"&lt;"&amp;EDATE(BS$99,1),예비비!$F$430:$F$729,"결제대금비")+MAX(0,IF(예비비!$D279&lt;EDATE(BS$99,1),예비비!$E279,0)-SUMIFS(예비비!$O$430:$O$729,예비비!$B$430:$B$729,예비비!$A279,예비비!$E$430:$E$729,"&lt;"&amp;EDATE(BS$99,1))),0)</f>
        <v>0</v>
      </c>
      <c r="BT279">
        <f>IF(예비비!$R279="OK",SUMIFS(예비비!$O$430:$O$729,예비비!$B$430:$B$729,예비비!$A279,예비비!$E$430:$E$729,"&lt;"&amp;EDATE(BT$99,1),예비비!$F$430:$F$729,"결제대금비")+MAX(0,IF(예비비!$D279&lt;EDATE(BT$99,1),예비비!$E279,0)-SUMIFS(예비비!$O$430:$O$729,예비비!$B$430:$B$729,예비비!$A279,예비비!$E$430:$E$729,"&lt;"&amp;EDATE(BT$99,1))),0)</f>
        <v>0</v>
      </c>
      <c r="BU279">
        <f>IF(예비비!$R279="OK",SUMIFS(예비비!$O$430:$O$729,예비비!$B$430:$B$729,예비비!$A279,예비비!$E$430:$E$729,"&lt;"&amp;EDATE(BU$99,1),예비비!$F$430:$F$729,"결제대금비")+MAX(0,IF(예비비!$D279&lt;EDATE(BU$99,1),예비비!$E279,0)-SUMIFS(예비비!$O$430:$O$729,예비비!$B$430:$B$729,예비비!$A279,예비비!$E$430:$E$729,"&lt;"&amp;EDATE(BU$99,1))),0)</f>
        <v>0</v>
      </c>
    </row>
    <row r="280">
      <c r="BA280">
        <v>224</v>
      </c>
      <c r="BB280">
        <f>IFERROR(INDEX(잔액!$A:$A,BA280),0)</f>
        <v>46266.0</v>
      </c>
      <c r="BH280">
        <f>IFERROR(IF(AND(BB280&gt;0,OR(COUNTIFS(예비비!$C$430:$C$729,BA280,예비비!$N$430:$N$729,"OK")&gt;0,AND(INDEX(잔액!$J:$J,BA280)="가족통장",INDEX(잔액!$K:$K,BA280)="미래에셋_WRAP형CMA"),COUNTIF(예비비!$A$8:$A$12,INDEX(잔액!$C:$C,BA280))=1,COUNTIF(예비비!$A$8:$A$12,INDEX(잔액!$D:$D,BA280))=1),OR(AND(BB280&gt;=예비비!$B$3,BB280&lt;EDATE(예비비!$B$3,1)),AND(BB280&lt;EDATE(예비비!$B$3,1),COUNTIFS(예비비!$C$430:$C$729,BA280,예비비!$L$430:$L$729,예비비!$B$3,예비비!$N$430:$N$729,"OK")&gt;0))),MAX($BH$120:BH279)+1,0),0)</f>
        <v>0</v>
      </c>
      <c r="BI280">
        <f>IF(예비비!$R280="OK",SUMIFS(예비비!$O$430:$O$729,예비비!$B$430:$B$729,예비비!$A280,예비비!$E$430:$E$729,"&lt;"&amp;EDATE(BI$99,1),예비비!$F$430:$F$729,"결제대금비")+MAX(0,IF(예비비!$D280&lt;EDATE(BI$99,1),예비비!$E280,0)-SUMIFS(예비비!$O$430:$O$729,예비비!$B$430:$B$729,예비비!$A280,예비비!$E$430:$E$729,"&lt;"&amp;EDATE(BI$99,1))),0)</f>
        <v>0</v>
      </c>
      <c r="BJ280">
        <f>IF(예비비!$R280="OK",SUMIFS(예비비!$O$430:$O$729,예비비!$B$430:$B$729,예비비!$A280,예비비!$E$430:$E$729,"&lt;"&amp;EDATE(BJ$99,1),예비비!$F$430:$F$729,"결제대금비")+MAX(0,IF(예비비!$D280&lt;EDATE(BJ$99,1),예비비!$E280,0)-SUMIFS(예비비!$O$430:$O$729,예비비!$B$430:$B$729,예비비!$A280,예비비!$E$430:$E$729,"&lt;"&amp;EDATE(BJ$99,1))),0)</f>
        <v>0</v>
      </c>
      <c r="BK280">
        <f>IF(예비비!$R280="OK",SUMIFS(예비비!$O$430:$O$729,예비비!$B$430:$B$729,예비비!$A280,예비비!$E$430:$E$729,"&lt;"&amp;EDATE(BK$99,1),예비비!$F$430:$F$729,"결제대금비")+MAX(0,IF(예비비!$D280&lt;EDATE(BK$99,1),예비비!$E280,0)-SUMIFS(예비비!$O$430:$O$729,예비비!$B$430:$B$729,예비비!$A280,예비비!$E$430:$E$729,"&lt;"&amp;EDATE(BK$99,1))),0)</f>
        <v>0</v>
      </c>
      <c r="BL280">
        <f>IF(예비비!$R280="OK",SUMIFS(예비비!$O$430:$O$729,예비비!$B$430:$B$729,예비비!$A280,예비비!$E$430:$E$729,"&lt;"&amp;EDATE(BL$99,1),예비비!$F$430:$F$729,"결제대금비")+MAX(0,IF(예비비!$D280&lt;EDATE(BL$99,1),예비비!$E280,0)-SUMIFS(예비비!$O$430:$O$729,예비비!$B$430:$B$729,예비비!$A280,예비비!$E$430:$E$729,"&lt;"&amp;EDATE(BL$99,1))),0)</f>
        <v>0</v>
      </c>
      <c r="BM280">
        <f>IF(예비비!$R280="OK",SUMIFS(예비비!$O$430:$O$729,예비비!$B$430:$B$729,예비비!$A280,예비비!$E$430:$E$729,"&lt;"&amp;EDATE(BM$99,1),예비비!$F$430:$F$729,"결제대금비")+MAX(0,IF(예비비!$D280&lt;EDATE(BM$99,1),예비비!$E280,0)-SUMIFS(예비비!$O$430:$O$729,예비비!$B$430:$B$729,예비비!$A280,예비비!$E$430:$E$729,"&lt;"&amp;EDATE(BM$99,1))),0)</f>
        <v>0</v>
      </c>
      <c r="BN280">
        <f>IF(예비비!$R280="OK",SUMIFS(예비비!$O$430:$O$729,예비비!$B$430:$B$729,예비비!$A280,예비비!$E$430:$E$729,"&lt;"&amp;EDATE(BN$99,1),예비비!$F$430:$F$729,"결제대금비")+MAX(0,IF(예비비!$D280&lt;EDATE(BN$99,1),예비비!$E280,0)-SUMIFS(예비비!$O$430:$O$729,예비비!$B$430:$B$729,예비비!$A280,예비비!$E$430:$E$729,"&lt;"&amp;EDATE(BN$99,1))),0)</f>
        <v>0</v>
      </c>
      <c r="BO280">
        <f>IF(예비비!$R280="OK",SUMIFS(예비비!$O$430:$O$729,예비비!$B$430:$B$729,예비비!$A280,예비비!$E$430:$E$729,"&lt;"&amp;EDATE(BO$99,1),예비비!$F$430:$F$729,"결제대금비")+MAX(0,IF(예비비!$D280&lt;EDATE(BO$99,1),예비비!$E280,0)-SUMIFS(예비비!$O$430:$O$729,예비비!$B$430:$B$729,예비비!$A280,예비비!$E$430:$E$729,"&lt;"&amp;EDATE(BO$99,1))),0)</f>
        <v>0</v>
      </c>
      <c r="BP280">
        <f>IF(예비비!$R280="OK",SUMIFS(예비비!$O$430:$O$729,예비비!$B$430:$B$729,예비비!$A280,예비비!$E$430:$E$729,"&lt;"&amp;EDATE(BP$99,1),예비비!$F$430:$F$729,"결제대금비")+MAX(0,IF(예비비!$D280&lt;EDATE(BP$99,1),예비비!$E280,0)-SUMIFS(예비비!$O$430:$O$729,예비비!$B$430:$B$729,예비비!$A280,예비비!$E$430:$E$729,"&lt;"&amp;EDATE(BP$99,1))),0)</f>
        <v>0</v>
      </c>
      <c r="BQ280">
        <f>IF(예비비!$R280="OK",SUMIFS(예비비!$O$430:$O$729,예비비!$B$430:$B$729,예비비!$A280,예비비!$E$430:$E$729,"&lt;"&amp;EDATE(BQ$99,1),예비비!$F$430:$F$729,"결제대금비")+MAX(0,IF(예비비!$D280&lt;EDATE(BQ$99,1),예비비!$E280,0)-SUMIFS(예비비!$O$430:$O$729,예비비!$B$430:$B$729,예비비!$A280,예비비!$E$430:$E$729,"&lt;"&amp;EDATE(BQ$99,1))),0)</f>
        <v>0</v>
      </c>
      <c r="BR280">
        <f>IF(예비비!$R280="OK",SUMIFS(예비비!$O$430:$O$729,예비비!$B$430:$B$729,예비비!$A280,예비비!$E$430:$E$729,"&lt;"&amp;EDATE(BR$99,1),예비비!$F$430:$F$729,"결제대금비")+MAX(0,IF(예비비!$D280&lt;EDATE(BR$99,1),예비비!$E280,0)-SUMIFS(예비비!$O$430:$O$729,예비비!$B$430:$B$729,예비비!$A280,예비비!$E$430:$E$729,"&lt;"&amp;EDATE(BR$99,1))),0)</f>
        <v>0</v>
      </c>
      <c r="BS280">
        <f>IF(예비비!$R280="OK",SUMIFS(예비비!$O$430:$O$729,예비비!$B$430:$B$729,예비비!$A280,예비비!$E$430:$E$729,"&lt;"&amp;EDATE(BS$99,1),예비비!$F$430:$F$729,"결제대금비")+MAX(0,IF(예비비!$D280&lt;EDATE(BS$99,1),예비비!$E280,0)-SUMIFS(예비비!$O$430:$O$729,예비비!$B$430:$B$729,예비비!$A280,예비비!$E$430:$E$729,"&lt;"&amp;EDATE(BS$99,1))),0)</f>
        <v>0</v>
      </c>
      <c r="BT280">
        <f>IF(예비비!$R280="OK",SUMIFS(예비비!$O$430:$O$729,예비비!$B$430:$B$729,예비비!$A280,예비비!$E$430:$E$729,"&lt;"&amp;EDATE(BT$99,1),예비비!$F$430:$F$729,"결제대금비")+MAX(0,IF(예비비!$D280&lt;EDATE(BT$99,1),예비비!$E280,0)-SUMIFS(예비비!$O$430:$O$729,예비비!$B$430:$B$729,예비비!$A280,예비비!$E$430:$E$729,"&lt;"&amp;EDATE(BT$99,1))),0)</f>
        <v>0</v>
      </c>
      <c r="BU280">
        <f>IF(예비비!$R280="OK",SUMIFS(예비비!$O$430:$O$729,예비비!$B$430:$B$729,예비비!$A280,예비비!$E$430:$E$729,"&lt;"&amp;EDATE(BU$99,1),예비비!$F$430:$F$729,"결제대금비")+MAX(0,IF(예비비!$D280&lt;EDATE(BU$99,1),예비비!$E280,0)-SUMIFS(예비비!$O$430:$O$729,예비비!$B$430:$B$729,예비비!$A280,예비비!$E$430:$E$729,"&lt;"&amp;EDATE(BU$99,1))),0)</f>
        <v>0</v>
      </c>
    </row>
    <row r="281">
      <c r="BA281">
        <v>225</v>
      </c>
      <c r="BB281">
        <f>IFERROR(INDEX(잔액!$A:$A,BA281),0)</f>
        <v>46266.0</v>
      </c>
      <c r="BH281">
        <f>IFERROR(IF(AND(BB281&gt;0,OR(COUNTIFS(예비비!$C$430:$C$729,BA281,예비비!$N$430:$N$729,"OK")&gt;0,AND(INDEX(잔액!$J:$J,BA281)="가족통장",INDEX(잔액!$K:$K,BA281)="미래에셋_WRAP형CMA"),COUNTIF(예비비!$A$8:$A$12,INDEX(잔액!$C:$C,BA281))=1,COUNTIF(예비비!$A$8:$A$12,INDEX(잔액!$D:$D,BA281))=1),OR(AND(BB281&gt;=예비비!$B$3,BB281&lt;EDATE(예비비!$B$3,1)),AND(BB281&lt;EDATE(예비비!$B$3,1),COUNTIFS(예비비!$C$430:$C$729,BA281,예비비!$L$430:$L$729,예비비!$B$3,예비비!$N$430:$N$729,"OK")&gt;0))),MAX($BH$120:BH280)+1,0),0)</f>
        <v>0</v>
      </c>
      <c r="BI281">
        <f>IF(예비비!$R281="OK",SUMIFS(예비비!$O$430:$O$729,예비비!$B$430:$B$729,예비비!$A281,예비비!$E$430:$E$729,"&lt;"&amp;EDATE(BI$99,1),예비비!$F$430:$F$729,"결제대금비")+MAX(0,IF(예비비!$D281&lt;EDATE(BI$99,1),예비비!$E281,0)-SUMIFS(예비비!$O$430:$O$729,예비비!$B$430:$B$729,예비비!$A281,예비비!$E$430:$E$729,"&lt;"&amp;EDATE(BI$99,1))),0)</f>
        <v>0</v>
      </c>
      <c r="BJ281">
        <f>IF(예비비!$R281="OK",SUMIFS(예비비!$O$430:$O$729,예비비!$B$430:$B$729,예비비!$A281,예비비!$E$430:$E$729,"&lt;"&amp;EDATE(BJ$99,1),예비비!$F$430:$F$729,"결제대금비")+MAX(0,IF(예비비!$D281&lt;EDATE(BJ$99,1),예비비!$E281,0)-SUMIFS(예비비!$O$430:$O$729,예비비!$B$430:$B$729,예비비!$A281,예비비!$E$430:$E$729,"&lt;"&amp;EDATE(BJ$99,1))),0)</f>
        <v>0</v>
      </c>
      <c r="BK281">
        <f>IF(예비비!$R281="OK",SUMIFS(예비비!$O$430:$O$729,예비비!$B$430:$B$729,예비비!$A281,예비비!$E$430:$E$729,"&lt;"&amp;EDATE(BK$99,1),예비비!$F$430:$F$729,"결제대금비")+MAX(0,IF(예비비!$D281&lt;EDATE(BK$99,1),예비비!$E281,0)-SUMIFS(예비비!$O$430:$O$729,예비비!$B$430:$B$729,예비비!$A281,예비비!$E$430:$E$729,"&lt;"&amp;EDATE(BK$99,1))),0)</f>
        <v>0</v>
      </c>
      <c r="BL281">
        <f>IF(예비비!$R281="OK",SUMIFS(예비비!$O$430:$O$729,예비비!$B$430:$B$729,예비비!$A281,예비비!$E$430:$E$729,"&lt;"&amp;EDATE(BL$99,1),예비비!$F$430:$F$729,"결제대금비")+MAX(0,IF(예비비!$D281&lt;EDATE(BL$99,1),예비비!$E281,0)-SUMIFS(예비비!$O$430:$O$729,예비비!$B$430:$B$729,예비비!$A281,예비비!$E$430:$E$729,"&lt;"&amp;EDATE(BL$99,1))),0)</f>
        <v>0</v>
      </c>
      <c r="BM281">
        <f>IF(예비비!$R281="OK",SUMIFS(예비비!$O$430:$O$729,예비비!$B$430:$B$729,예비비!$A281,예비비!$E$430:$E$729,"&lt;"&amp;EDATE(BM$99,1),예비비!$F$430:$F$729,"결제대금비")+MAX(0,IF(예비비!$D281&lt;EDATE(BM$99,1),예비비!$E281,0)-SUMIFS(예비비!$O$430:$O$729,예비비!$B$430:$B$729,예비비!$A281,예비비!$E$430:$E$729,"&lt;"&amp;EDATE(BM$99,1))),0)</f>
        <v>0</v>
      </c>
      <c r="BN281">
        <f>IF(예비비!$R281="OK",SUMIFS(예비비!$O$430:$O$729,예비비!$B$430:$B$729,예비비!$A281,예비비!$E$430:$E$729,"&lt;"&amp;EDATE(BN$99,1),예비비!$F$430:$F$729,"결제대금비")+MAX(0,IF(예비비!$D281&lt;EDATE(BN$99,1),예비비!$E281,0)-SUMIFS(예비비!$O$430:$O$729,예비비!$B$430:$B$729,예비비!$A281,예비비!$E$430:$E$729,"&lt;"&amp;EDATE(BN$99,1))),0)</f>
        <v>0</v>
      </c>
      <c r="BO281">
        <f>IF(예비비!$R281="OK",SUMIFS(예비비!$O$430:$O$729,예비비!$B$430:$B$729,예비비!$A281,예비비!$E$430:$E$729,"&lt;"&amp;EDATE(BO$99,1),예비비!$F$430:$F$729,"결제대금비")+MAX(0,IF(예비비!$D281&lt;EDATE(BO$99,1),예비비!$E281,0)-SUMIFS(예비비!$O$430:$O$729,예비비!$B$430:$B$729,예비비!$A281,예비비!$E$430:$E$729,"&lt;"&amp;EDATE(BO$99,1))),0)</f>
        <v>0</v>
      </c>
      <c r="BP281">
        <f>IF(예비비!$R281="OK",SUMIFS(예비비!$O$430:$O$729,예비비!$B$430:$B$729,예비비!$A281,예비비!$E$430:$E$729,"&lt;"&amp;EDATE(BP$99,1),예비비!$F$430:$F$729,"결제대금비")+MAX(0,IF(예비비!$D281&lt;EDATE(BP$99,1),예비비!$E281,0)-SUMIFS(예비비!$O$430:$O$729,예비비!$B$430:$B$729,예비비!$A281,예비비!$E$430:$E$729,"&lt;"&amp;EDATE(BP$99,1))),0)</f>
        <v>0</v>
      </c>
      <c r="BQ281">
        <f>IF(예비비!$R281="OK",SUMIFS(예비비!$O$430:$O$729,예비비!$B$430:$B$729,예비비!$A281,예비비!$E$430:$E$729,"&lt;"&amp;EDATE(BQ$99,1),예비비!$F$430:$F$729,"결제대금비")+MAX(0,IF(예비비!$D281&lt;EDATE(BQ$99,1),예비비!$E281,0)-SUMIFS(예비비!$O$430:$O$729,예비비!$B$430:$B$729,예비비!$A281,예비비!$E$430:$E$729,"&lt;"&amp;EDATE(BQ$99,1))),0)</f>
        <v>0</v>
      </c>
      <c r="BR281">
        <f>IF(예비비!$R281="OK",SUMIFS(예비비!$O$430:$O$729,예비비!$B$430:$B$729,예비비!$A281,예비비!$E$430:$E$729,"&lt;"&amp;EDATE(BR$99,1),예비비!$F$430:$F$729,"결제대금비")+MAX(0,IF(예비비!$D281&lt;EDATE(BR$99,1),예비비!$E281,0)-SUMIFS(예비비!$O$430:$O$729,예비비!$B$430:$B$729,예비비!$A281,예비비!$E$430:$E$729,"&lt;"&amp;EDATE(BR$99,1))),0)</f>
        <v>0</v>
      </c>
      <c r="BS281">
        <f>IF(예비비!$R281="OK",SUMIFS(예비비!$O$430:$O$729,예비비!$B$430:$B$729,예비비!$A281,예비비!$E$430:$E$729,"&lt;"&amp;EDATE(BS$99,1),예비비!$F$430:$F$729,"결제대금비")+MAX(0,IF(예비비!$D281&lt;EDATE(BS$99,1),예비비!$E281,0)-SUMIFS(예비비!$O$430:$O$729,예비비!$B$430:$B$729,예비비!$A281,예비비!$E$430:$E$729,"&lt;"&amp;EDATE(BS$99,1))),0)</f>
        <v>0</v>
      </c>
      <c r="BT281">
        <f>IF(예비비!$R281="OK",SUMIFS(예비비!$O$430:$O$729,예비비!$B$430:$B$729,예비비!$A281,예비비!$E$430:$E$729,"&lt;"&amp;EDATE(BT$99,1),예비비!$F$430:$F$729,"결제대금비")+MAX(0,IF(예비비!$D281&lt;EDATE(BT$99,1),예비비!$E281,0)-SUMIFS(예비비!$O$430:$O$729,예비비!$B$430:$B$729,예비비!$A281,예비비!$E$430:$E$729,"&lt;"&amp;EDATE(BT$99,1))),0)</f>
        <v>0</v>
      </c>
      <c r="BU281">
        <f>IF(예비비!$R281="OK",SUMIFS(예비비!$O$430:$O$729,예비비!$B$430:$B$729,예비비!$A281,예비비!$E$430:$E$729,"&lt;"&amp;EDATE(BU$99,1),예비비!$F$430:$F$729,"결제대금비")+MAX(0,IF(예비비!$D281&lt;EDATE(BU$99,1),예비비!$E281,0)-SUMIFS(예비비!$O$430:$O$729,예비비!$B$430:$B$729,예비비!$A281,예비비!$E$430:$E$729,"&lt;"&amp;EDATE(BU$99,1))),0)</f>
        <v>0</v>
      </c>
    </row>
    <row r="282">
      <c r="BA282">
        <v>226</v>
      </c>
      <c r="BB282">
        <f>IFERROR(INDEX(잔액!$A:$A,BA282),0)</f>
        <v>46266.0</v>
      </c>
      <c r="BH282">
        <f>IFERROR(IF(AND(BB282&gt;0,OR(COUNTIFS(예비비!$C$430:$C$729,BA282,예비비!$N$430:$N$729,"OK")&gt;0,AND(INDEX(잔액!$J:$J,BA282)="가족통장",INDEX(잔액!$K:$K,BA282)="미래에셋_WRAP형CMA"),COUNTIF(예비비!$A$8:$A$12,INDEX(잔액!$C:$C,BA282))=1,COUNTIF(예비비!$A$8:$A$12,INDEX(잔액!$D:$D,BA282))=1),OR(AND(BB282&gt;=예비비!$B$3,BB282&lt;EDATE(예비비!$B$3,1)),AND(BB282&lt;EDATE(예비비!$B$3,1),COUNTIFS(예비비!$C$430:$C$729,BA282,예비비!$L$430:$L$729,예비비!$B$3,예비비!$N$430:$N$729,"OK")&gt;0))),MAX($BH$120:BH281)+1,0),0)</f>
        <v>0</v>
      </c>
      <c r="BI282">
        <f>IF(예비비!$R282="OK",SUMIFS(예비비!$O$430:$O$729,예비비!$B$430:$B$729,예비비!$A282,예비비!$E$430:$E$729,"&lt;"&amp;EDATE(BI$99,1),예비비!$F$430:$F$729,"결제대금비")+MAX(0,IF(예비비!$D282&lt;EDATE(BI$99,1),예비비!$E282,0)-SUMIFS(예비비!$O$430:$O$729,예비비!$B$430:$B$729,예비비!$A282,예비비!$E$430:$E$729,"&lt;"&amp;EDATE(BI$99,1))),0)</f>
        <v>0</v>
      </c>
      <c r="BJ282">
        <f>IF(예비비!$R282="OK",SUMIFS(예비비!$O$430:$O$729,예비비!$B$430:$B$729,예비비!$A282,예비비!$E$430:$E$729,"&lt;"&amp;EDATE(BJ$99,1),예비비!$F$430:$F$729,"결제대금비")+MAX(0,IF(예비비!$D282&lt;EDATE(BJ$99,1),예비비!$E282,0)-SUMIFS(예비비!$O$430:$O$729,예비비!$B$430:$B$729,예비비!$A282,예비비!$E$430:$E$729,"&lt;"&amp;EDATE(BJ$99,1))),0)</f>
        <v>0</v>
      </c>
      <c r="BK282">
        <f>IF(예비비!$R282="OK",SUMIFS(예비비!$O$430:$O$729,예비비!$B$430:$B$729,예비비!$A282,예비비!$E$430:$E$729,"&lt;"&amp;EDATE(BK$99,1),예비비!$F$430:$F$729,"결제대금비")+MAX(0,IF(예비비!$D282&lt;EDATE(BK$99,1),예비비!$E282,0)-SUMIFS(예비비!$O$430:$O$729,예비비!$B$430:$B$729,예비비!$A282,예비비!$E$430:$E$729,"&lt;"&amp;EDATE(BK$99,1))),0)</f>
        <v>0</v>
      </c>
      <c r="BL282">
        <f>IF(예비비!$R282="OK",SUMIFS(예비비!$O$430:$O$729,예비비!$B$430:$B$729,예비비!$A282,예비비!$E$430:$E$729,"&lt;"&amp;EDATE(BL$99,1),예비비!$F$430:$F$729,"결제대금비")+MAX(0,IF(예비비!$D282&lt;EDATE(BL$99,1),예비비!$E282,0)-SUMIFS(예비비!$O$430:$O$729,예비비!$B$430:$B$729,예비비!$A282,예비비!$E$430:$E$729,"&lt;"&amp;EDATE(BL$99,1))),0)</f>
        <v>0</v>
      </c>
      <c r="BM282">
        <f>IF(예비비!$R282="OK",SUMIFS(예비비!$O$430:$O$729,예비비!$B$430:$B$729,예비비!$A282,예비비!$E$430:$E$729,"&lt;"&amp;EDATE(BM$99,1),예비비!$F$430:$F$729,"결제대금비")+MAX(0,IF(예비비!$D282&lt;EDATE(BM$99,1),예비비!$E282,0)-SUMIFS(예비비!$O$430:$O$729,예비비!$B$430:$B$729,예비비!$A282,예비비!$E$430:$E$729,"&lt;"&amp;EDATE(BM$99,1))),0)</f>
        <v>0</v>
      </c>
      <c r="BN282">
        <f>IF(예비비!$R282="OK",SUMIFS(예비비!$O$430:$O$729,예비비!$B$430:$B$729,예비비!$A282,예비비!$E$430:$E$729,"&lt;"&amp;EDATE(BN$99,1),예비비!$F$430:$F$729,"결제대금비")+MAX(0,IF(예비비!$D282&lt;EDATE(BN$99,1),예비비!$E282,0)-SUMIFS(예비비!$O$430:$O$729,예비비!$B$430:$B$729,예비비!$A282,예비비!$E$430:$E$729,"&lt;"&amp;EDATE(BN$99,1))),0)</f>
        <v>0</v>
      </c>
      <c r="BO282">
        <f>IF(예비비!$R282="OK",SUMIFS(예비비!$O$430:$O$729,예비비!$B$430:$B$729,예비비!$A282,예비비!$E$430:$E$729,"&lt;"&amp;EDATE(BO$99,1),예비비!$F$430:$F$729,"결제대금비")+MAX(0,IF(예비비!$D282&lt;EDATE(BO$99,1),예비비!$E282,0)-SUMIFS(예비비!$O$430:$O$729,예비비!$B$430:$B$729,예비비!$A282,예비비!$E$430:$E$729,"&lt;"&amp;EDATE(BO$99,1))),0)</f>
        <v>0</v>
      </c>
      <c r="BP282">
        <f>IF(예비비!$R282="OK",SUMIFS(예비비!$O$430:$O$729,예비비!$B$430:$B$729,예비비!$A282,예비비!$E$430:$E$729,"&lt;"&amp;EDATE(BP$99,1),예비비!$F$430:$F$729,"결제대금비")+MAX(0,IF(예비비!$D282&lt;EDATE(BP$99,1),예비비!$E282,0)-SUMIFS(예비비!$O$430:$O$729,예비비!$B$430:$B$729,예비비!$A282,예비비!$E$430:$E$729,"&lt;"&amp;EDATE(BP$99,1))),0)</f>
        <v>0</v>
      </c>
      <c r="BQ282">
        <f>IF(예비비!$R282="OK",SUMIFS(예비비!$O$430:$O$729,예비비!$B$430:$B$729,예비비!$A282,예비비!$E$430:$E$729,"&lt;"&amp;EDATE(BQ$99,1),예비비!$F$430:$F$729,"결제대금비")+MAX(0,IF(예비비!$D282&lt;EDATE(BQ$99,1),예비비!$E282,0)-SUMIFS(예비비!$O$430:$O$729,예비비!$B$430:$B$729,예비비!$A282,예비비!$E$430:$E$729,"&lt;"&amp;EDATE(BQ$99,1))),0)</f>
        <v>0</v>
      </c>
      <c r="BR282">
        <f>IF(예비비!$R282="OK",SUMIFS(예비비!$O$430:$O$729,예비비!$B$430:$B$729,예비비!$A282,예비비!$E$430:$E$729,"&lt;"&amp;EDATE(BR$99,1),예비비!$F$430:$F$729,"결제대금비")+MAX(0,IF(예비비!$D282&lt;EDATE(BR$99,1),예비비!$E282,0)-SUMIFS(예비비!$O$430:$O$729,예비비!$B$430:$B$729,예비비!$A282,예비비!$E$430:$E$729,"&lt;"&amp;EDATE(BR$99,1))),0)</f>
        <v>0</v>
      </c>
      <c r="BS282">
        <f>IF(예비비!$R282="OK",SUMIFS(예비비!$O$430:$O$729,예비비!$B$430:$B$729,예비비!$A282,예비비!$E$430:$E$729,"&lt;"&amp;EDATE(BS$99,1),예비비!$F$430:$F$729,"결제대금비")+MAX(0,IF(예비비!$D282&lt;EDATE(BS$99,1),예비비!$E282,0)-SUMIFS(예비비!$O$430:$O$729,예비비!$B$430:$B$729,예비비!$A282,예비비!$E$430:$E$729,"&lt;"&amp;EDATE(BS$99,1))),0)</f>
        <v>0</v>
      </c>
      <c r="BT282">
        <f>IF(예비비!$R282="OK",SUMIFS(예비비!$O$430:$O$729,예비비!$B$430:$B$729,예비비!$A282,예비비!$E$430:$E$729,"&lt;"&amp;EDATE(BT$99,1),예비비!$F$430:$F$729,"결제대금비")+MAX(0,IF(예비비!$D282&lt;EDATE(BT$99,1),예비비!$E282,0)-SUMIFS(예비비!$O$430:$O$729,예비비!$B$430:$B$729,예비비!$A282,예비비!$E$430:$E$729,"&lt;"&amp;EDATE(BT$99,1))),0)</f>
        <v>0</v>
      </c>
      <c r="BU282">
        <f>IF(예비비!$R282="OK",SUMIFS(예비비!$O$430:$O$729,예비비!$B$430:$B$729,예비비!$A282,예비비!$E$430:$E$729,"&lt;"&amp;EDATE(BU$99,1),예비비!$F$430:$F$729,"결제대금비")+MAX(0,IF(예비비!$D282&lt;EDATE(BU$99,1),예비비!$E282,0)-SUMIFS(예비비!$O$430:$O$729,예비비!$B$430:$B$729,예비비!$A282,예비비!$E$430:$E$729,"&lt;"&amp;EDATE(BU$99,1))),0)</f>
        <v>0</v>
      </c>
    </row>
    <row r="283">
      <c r="BA283">
        <v>227</v>
      </c>
      <c r="BB283">
        <f>IFERROR(INDEX(잔액!$A:$A,BA283),0)</f>
        <v>46266.0</v>
      </c>
      <c r="BH283">
        <f>IFERROR(IF(AND(BB283&gt;0,OR(COUNTIFS(예비비!$C$430:$C$729,BA283,예비비!$N$430:$N$729,"OK")&gt;0,AND(INDEX(잔액!$J:$J,BA283)="가족통장",INDEX(잔액!$K:$K,BA283)="미래에셋_WRAP형CMA"),COUNTIF(예비비!$A$8:$A$12,INDEX(잔액!$C:$C,BA283))=1,COUNTIF(예비비!$A$8:$A$12,INDEX(잔액!$D:$D,BA283))=1),OR(AND(BB283&gt;=예비비!$B$3,BB283&lt;EDATE(예비비!$B$3,1)),AND(BB283&lt;EDATE(예비비!$B$3,1),COUNTIFS(예비비!$C$430:$C$729,BA283,예비비!$L$430:$L$729,예비비!$B$3,예비비!$N$430:$N$729,"OK")&gt;0))),MAX($BH$120:BH282)+1,0),0)</f>
        <v>0</v>
      </c>
      <c r="BI283">
        <f>IF(예비비!$R283="OK",SUMIFS(예비비!$O$430:$O$729,예비비!$B$430:$B$729,예비비!$A283,예비비!$E$430:$E$729,"&lt;"&amp;EDATE(BI$99,1),예비비!$F$430:$F$729,"결제대금비")+MAX(0,IF(예비비!$D283&lt;EDATE(BI$99,1),예비비!$E283,0)-SUMIFS(예비비!$O$430:$O$729,예비비!$B$430:$B$729,예비비!$A283,예비비!$E$430:$E$729,"&lt;"&amp;EDATE(BI$99,1))),0)</f>
        <v>0</v>
      </c>
      <c r="BJ283">
        <f>IF(예비비!$R283="OK",SUMIFS(예비비!$O$430:$O$729,예비비!$B$430:$B$729,예비비!$A283,예비비!$E$430:$E$729,"&lt;"&amp;EDATE(BJ$99,1),예비비!$F$430:$F$729,"결제대금비")+MAX(0,IF(예비비!$D283&lt;EDATE(BJ$99,1),예비비!$E283,0)-SUMIFS(예비비!$O$430:$O$729,예비비!$B$430:$B$729,예비비!$A283,예비비!$E$430:$E$729,"&lt;"&amp;EDATE(BJ$99,1))),0)</f>
        <v>0</v>
      </c>
      <c r="BK283">
        <f>IF(예비비!$R283="OK",SUMIFS(예비비!$O$430:$O$729,예비비!$B$430:$B$729,예비비!$A283,예비비!$E$430:$E$729,"&lt;"&amp;EDATE(BK$99,1),예비비!$F$430:$F$729,"결제대금비")+MAX(0,IF(예비비!$D283&lt;EDATE(BK$99,1),예비비!$E283,0)-SUMIFS(예비비!$O$430:$O$729,예비비!$B$430:$B$729,예비비!$A283,예비비!$E$430:$E$729,"&lt;"&amp;EDATE(BK$99,1))),0)</f>
        <v>0</v>
      </c>
      <c r="BL283">
        <f>IF(예비비!$R283="OK",SUMIFS(예비비!$O$430:$O$729,예비비!$B$430:$B$729,예비비!$A283,예비비!$E$430:$E$729,"&lt;"&amp;EDATE(BL$99,1),예비비!$F$430:$F$729,"결제대금비")+MAX(0,IF(예비비!$D283&lt;EDATE(BL$99,1),예비비!$E283,0)-SUMIFS(예비비!$O$430:$O$729,예비비!$B$430:$B$729,예비비!$A283,예비비!$E$430:$E$729,"&lt;"&amp;EDATE(BL$99,1))),0)</f>
        <v>0</v>
      </c>
      <c r="BM283">
        <f>IF(예비비!$R283="OK",SUMIFS(예비비!$O$430:$O$729,예비비!$B$430:$B$729,예비비!$A283,예비비!$E$430:$E$729,"&lt;"&amp;EDATE(BM$99,1),예비비!$F$430:$F$729,"결제대금비")+MAX(0,IF(예비비!$D283&lt;EDATE(BM$99,1),예비비!$E283,0)-SUMIFS(예비비!$O$430:$O$729,예비비!$B$430:$B$729,예비비!$A283,예비비!$E$430:$E$729,"&lt;"&amp;EDATE(BM$99,1))),0)</f>
        <v>0</v>
      </c>
      <c r="BN283">
        <f>IF(예비비!$R283="OK",SUMIFS(예비비!$O$430:$O$729,예비비!$B$430:$B$729,예비비!$A283,예비비!$E$430:$E$729,"&lt;"&amp;EDATE(BN$99,1),예비비!$F$430:$F$729,"결제대금비")+MAX(0,IF(예비비!$D283&lt;EDATE(BN$99,1),예비비!$E283,0)-SUMIFS(예비비!$O$430:$O$729,예비비!$B$430:$B$729,예비비!$A283,예비비!$E$430:$E$729,"&lt;"&amp;EDATE(BN$99,1))),0)</f>
        <v>0</v>
      </c>
      <c r="BO283">
        <f>IF(예비비!$R283="OK",SUMIFS(예비비!$O$430:$O$729,예비비!$B$430:$B$729,예비비!$A283,예비비!$E$430:$E$729,"&lt;"&amp;EDATE(BO$99,1),예비비!$F$430:$F$729,"결제대금비")+MAX(0,IF(예비비!$D283&lt;EDATE(BO$99,1),예비비!$E283,0)-SUMIFS(예비비!$O$430:$O$729,예비비!$B$430:$B$729,예비비!$A283,예비비!$E$430:$E$729,"&lt;"&amp;EDATE(BO$99,1))),0)</f>
        <v>0</v>
      </c>
      <c r="BP283">
        <f>IF(예비비!$R283="OK",SUMIFS(예비비!$O$430:$O$729,예비비!$B$430:$B$729,예비비!$A283,예비비!$E$430:$E$729,"&lt;"&amp;EDATE(BP$99,1),예비비!$F$430:$F$729,"결제대금비")+MAX(0,IF(예비비!$D283&lt;EDATE(BP$99,1),예비비!$E283,0)-SUMIFS(예비비!$O$430:$O$729,예비비!$B$430:$B$729,예비비!$A283,예비비!$E$430:$E$729,"&lt;"&amp;EDATE(BP$99,1))),0)</f>
        <v>0</v>
      </c>
      <c r="BQ283">
        <f>IF(예비비!$R283="OK",SUMIFS(예비비!$O$430:$O$729,예비비!$B$430:$B$729,예비비!$A283,예비비!$E$430:$E$729,"&lt;"&amp;EDATE(BQ$99,1),예비비!$F$430:$F$729,"결제대금비")+MAX(0,IF(예비비!$D283&lt;EDATE(BQ$99,1),예비비!$E283,0)-SUMIFS(예비비!$O$430:$O$729,예비비!$B$430:$B$729,예비비!$A283,예비비!$E$430:$E$729,"&lt;"&amp;EDATE(BQ$99,1))),0)</f>
        <v>0</v>
      </c>
      <c r="BR283">
        <f>IF(예비비!$R283="OK",SUMIFS(예비비!$O$430:$O$729,예비비!$B$430:$B$729,예비비!$A283,예비비!$E$430:$E$729,"&lt;"&amp;EDATE(BR$99,1),예비비!$F$430:$F$729,"결제대금비")+MAX(0,IF(예비비!$D283&lt;EDATE(BR$99,1),예비비!$E283,0)-SUMIFS(예비비!$O$430:$O$729,예비비!$B$430:$B$729,예비비!$A283,예비비!$E$430:$E$729,"&lt;"&amp;EDATE(BR$99,1))),0)</f>
        <v>0</v>
      </c>
      <c r="BS283">
        <f>IF(예비비!$R283="OK",SUMIFS(예비비!$O$430:$O$729,예비비!$B$430:$B$729,예비비!$A283,예비비!$E$430:$E$729,"&lt;"&amp;EDATE(BS$99,1),예비비!$F$430:$F$729,"결제대금비")+MAX(0,IF(예비비!$D283&lt;EDATE(BS$99,1),예비비!$E283,0)-SUMIFS(예비비!$O$430:$O$729,예비비!$B$430:$B$729,예비비!$A283,예비비!$E$430:$E$729,"&lt;"&amp;EDATE(BS$99,1))),0)</f>
        <v>0</v>
      </c>
      <c r="BT283">
        <f>IF(예비비!$R283="OK",SUMIFS(예비비!$O$430:$O$729,예비비!$B$430:$B$729,예비비!$A283,예비비!$E$430:$E$729,"&lt;"&amp;EDATE(BT$99,1),예비비!$F$430:$F$729,"결제대금비")+MAX(0,IF(예비비!$D283&lt;EDATE(BT$99,1),예비비!$E283,0)-SUMIFS(예비비!$O$430:$O$729,예비비!$B$430:$B$729,예비비!$A283,예비비!$E$430:$E$729,"&lt;"&amp;EDATE(BT$99,1))),0)</f>
        <v>0</v>
      </c>
      <c r="BU283">
        <f>IF(예비비!$R283="OK",SUMIFS(예비비!$O$430:$O$729,예비비!$B$430:$B$729,예비비!$A283,예비비!$E$430:$E$729,"&lt;"&amp;EDATE(BU$99,1),예비비!$F$430:$F$729,"결제대금비")+MAX(0,IF(예비비!$D283&lt;EDATE(BU$99,1),예비비!$E283,0)-SUMIFS(예비비!$O$430:$O$729,예비비!$B$430:$B$729,예비비!$A283,예비비!$E$430:$E$729,"&lt;"&amp;EDATE(BU$99,1))),0)</f>
        <v>0</v>
      </c>
    </row>
    <row r="284">
      <c r="BA284">
        <v>228</v>
      </c>
      <c r="BB284">
        <f>IFERROR(INDEX(잔액!$A:$A,BA284),0)</f>
        <v>46266.0</v>
      </c>
      <c r="BH284">
        <f>IFERROR(IF(AND(BB284&gt;0,OR(COUNTIFS(예비비!$C$430:$C$729,BA284,예비비!$N$430:$N$729,"OK")&gt;0,AND(INDEX(잔액!$J:$J,BA284)="가족통장",INDEX(잔액!$K:$K,BA284)="미래에셋_WRAP형CMA"),COUNTIF(예비비!$A$8:$A$12,INDEX(잔액!$C:$C,BA284))=1,COUNTIF(예비비!$A$8:$A$12,INDEX(잔액!$D:$D,BA284))=1),OR(AND(BB284&gt;=예비비!$B$3,BB284&lt;EDATE(예비비!$B$3,1)),AND(BB284&lt;EDATE(예비비!$B$3,1),COUNTIFS(예비비!$C$430:$C$729,BA284,예비비!$L$430:$L$729,예비비!$B$3,예비비!$N$430:$N$729,"OK")&gt;0))),MAX($BH$120:BH283)+1,0),0)</f>
        <v>0</v>
      </c>
      <c r="BI284">
        <f>IF(예비비!$R284="OK",SUMIFS(예비비!$O$430:$O$729,예비비!$B$430:$B$729,예비비!$A284,예비비!$E$430:$E$729,"&lt;"&amp;EDATE(BI$99,1),예비비!$F$430:$F$729,"결제대금비")+MAX(0,IF(예비비!$D284&lt;EDATE(BI$99,1),예비비!$E284,0)-SUMIFS(예비비!$O$430:$O$729,예비비!$B$430:$B$729,예비비!$A284,예비비!$E$430:$E$729,"&lt;"&amp;EDATE(BI$99,1))),0)</f>
        <v>0</v>
      </c>
      <c r="BJ284">
        <f>IF(예비비!$R284="OK",SUMIFS(예비비!$O$430:$O$729,예비비!$B$430:$B$729,예비비!$A284,예비비!$E$430:$E$729,"&lt;"&amp;EDATE(BJ$99,1),예비비!$F$430:$F$729,"결제대금비")+MAX(0,IF(예비비!$D284&lt;EDATE(BJ$99,1),예비비!$E284,0)-SUMIFS(예비비!$O$430:$O$729,예비비!$B$430:$B$729,예비비!$A284,예비비!$E$430:$E$729,"&lt;"&amp;EDATE(BJ$99,1))),0)</f>
        <v>0</v>
      </c>
      <c r="BK284">
        <f>IF(예비비!$R284="OK",SUMIFS(예비비!$O$430:$O$729,예비비!$B$430:$B$729,예비비!$A284,예비비!$E$430:$E$729,"&lt;"&amp;EDATE(BK$99,1),예비비!$F$430:$F$729,"결제대금비")+MAX(0,IF(예비비!$D284&lt;EDATE(BK$99,1),예비비!$E284,0)-SUMIFS(예비비!$O$430:$O$729,예비비!$B$430:$B$729,예비비!$A284,예비비!$E$430:$E$729,"&lt;"&amp;EDATE(BK$99,1))),0)</f>
        <v>0</v>
      </c>
      <c r="BL284">
        <f>IF(예비비!$R284="OK",SUMIFS(예비비!$O$430:$O$729,예비비!$B$430:$B$729,예비비!$A284,예비비!$E$430:$E$729,"&lt;"&amp;EDATE(BL$99,1),예비비!$F$430:$F$729,"결제대금비")+MAX(0,IF(예비비!$D284&lt;EDATE(BL$99,1),예비비!$E284,0)-SUMIFS(예비비!$O$430:$O$729,예비비!$B$430:$B$729,예비비!$A284,예비비!$E$430:$E$729,"&lt;"&amp;EDATE(BL$99,1))),0)</f>
        <v>0</v>
      </c>
      <c r="BM284">
        <f>IF(예비비!$R284="OK",SUMIFS(예비비!$O$430:$O$729,예비비!$B$430:$B$729,예비비!$A284,예비비!$E$430:$E$729,"&lt;"&amp;EDATE(BM$99,1),예비비!$F$430:$F$729,"결제대금비")+MAX(0,IF(예비비!$D284&lt;EDATE(BM$99,1),예비비!$E284,0)-SUMIFS(예비비!$O$430:$O$729,예비비!$B$430:$B$729,예비비!$A284,예비비!$E$430:$E$729,"&lt;"&amp;EDATE(BM$99,1))),0)</f>
        <v>0</v>
      </c>
      <c r="BN284">
        <f>IF(예비비!$R284="OK",SUMIFS(예비비!$O$430:$O$729,예비비!$B$430:$B$729,예비비!$A284,예비비!$E$430:$E$729,"&lt;"&amp;EDATE(BN$99,1),예비비!$F$430:$F$729,"결제대금비")+MAX(0,IF(예비비!$D284&lt;EDATE(BN$99,1),예비비!$E284,0)-SUMIFS(예비비!$O$430:$O$729,예비비!$B$430:$B$729,예비비!$A284,예비비!$E$430:$E$729,"&lt;"&amp;EDATE(BN$99,1))),0)</f>
        <v>0</v>
      </c>
      <c r="BO284">
        <f>IF(예비비!$R284="OK",SUMIFS(예비비!$O$430:$O$729,예비비!$B$430:$B$729,예비비!$A284,예비비!$E$430:$E$729,"&lt;"&amp;EDATE(BO$99,1),예비비!$F$430:$F$729,"결제대금비")+MAX(0,IF(예비비!$D284&lt;EDATE(BO$99,1),예비비!$E284,0)-SUMIFS(예비비!$O$430:$O$729,예비비!$B$430:$B$729,예비비!$A284,예비비!$E$430:$E$729,"&lt;"&amp;EDATE(BO$99,1))),0)</f>
        <v>0</v>
      </c>
      <c r="BP284">
        <f>IF(예비비!$R284="OK",SUMIFS(예비비!$O$430:$O$729,예비비!$B$430:$B$729,예비비!$A284,예비비!$E$430:$E$729,"&lt;"&amp;EDATE(BP$99,1),예비비!$F$430:$F$729,"결제대금비")+MAX(0,IF(예비비!$D284&lt;EDATE(BP$99,1),예비비!$E284,0)-SUMIFS(예비비!$O$430:$O$729,예비비!$B$430:$B$729,예비비!$A284,예비비!$E$430:$E$729,"&lt;"&amp;EDATE(BP$99,1))),0)</f>
        <v>0</v>
      </c>
      <c r="BQ284">
        <f>IF(예비비!$R284="OK",SUMIFS(예비비!$O$430:$O$729,예비비!$B$430:$B$729,예비비!$A284,예비비!$E$430:$E$729,"&lt;"&amp;EDATE(BQ$99,1),예비비!$F$430:$F$729,"결제대금비")+MAX(0,IF(예비비!$D284&lt;EDATE(BQ$99,1),예비비!$E284,0)-SUMIFS(예비비!$O$430:$O$729,예비비!$B$430:$B$729,예비비!$A284,예비비!$E$430:$E$729,"&lt;"&amp;EDATE(BQ$99,1))),0)</f>
        <v>0</v>
      </c>
      <c r="BR284">
        <f>IF(예비비!$R284="OK",SUMIFS(예비비!$O$430:$O$729,예비비!$B$430:$B$729,예비비!$A284,예비비!$E$430:$E$729,"&lt;"&amp;EDATE(BR$99,1),예비비!$F$430:$F$729,"결제대금비")+MAX(0,IF(예비비!$D284&lt;EDATE(BR$99,1),예비비!$E284,0)-SUMIFS(예비비!$O$430:$O$729,예비비!$B$430:$B$729,예비비!$A284,예비비!$E$430:$E$729,"&lt;"&amp;EDATE(BR$99,1))),0)</f>
        <v>0</v>
      </c>
      <c r="BS284">
        <f>IF(예비비!$R284="OK",SUMIFS(예비비!$O$430:$O$729,예비비!$B$430:$B$729,예비비!$A284,예비비!$E$430:$E$729,"&lt;"&amp;EDATE(BS$99,1),예비비!$F$430:$F$729,"결제대금비")+MAX(0,IF(예비비!$D284&lt;EDATE(BS$99,1),예비비!$E284,0)-SUMIFS(예비비!$O$430:$O$729,예비비!$B$430:$B$729,예비비!$A284,예비비!$E$430:$E$729,"&lt;"&amp;EDATE(BS$99,1))),0)</f>
        <v>0</v>
      </c>
      <c r="BT284">
        <f>IF(예비비!$R284="OK",SUMIFS(예비비!$O$430:$O$729,예비비!$B$430:$B$729,예비비!$A284,예비비!$E$430:$E$729,"&lt;"&amp;EDATE(BT$99,1),예비비!$F$430:$F$729,"결제대금비")+MAX(0,IF(예비비!$D284&lt;EDATE(BT$99,1),예비비!$E284,0)-SUMIFS(예비비!$O$430:$O$729,예비비!$B$430:$B$729,예비비!$A284,예비비!$E$430:$E$729,"&lt;"&amp;EDATE(BT$99,1))),0)</f>
        <v>0</v>
      </c>
      <c r="BU284">
        <f>IF(예비비!$R284="OK",SUMIFS(예비비!$O$430:$O$729,예비비!$B$430:$B$729,예비비!$A284,예비비!$E$430:$E$729,"&lt;"&amp;EDATE(BU$99,1),예비비!$F$430:$F$729,"결제대금비")+MAX(0,IF(예비비!$D284&lt;EDATE(BU$99,1),예비비!$E284,0)-SUMIFS(예비비!$O$430:$O$729,예비비!$B$430:$B$729,예비비!$A284,예비비!$E$430:$E$729,"&lt;"&amp;EDATE(BU$99,1))),0)</f>
        <v>0</v>
      </c>
    </row>
    <row r="285">
      <c r="BA285">
        <v>229</v>
      </c>
      <c r="BB285">
        <f>IFERROR(INDEX(잔액!$A:$A,BA285),0)</f>
        <v>46266.0</v>
      </c>
      <c r="BH285">
        <f>IFERROR(IF(AND(BB285&gt;0,OR(COUNTIFS(예비비!$C$430:$C$729,BA285,예비비!$N$430:$N$729,"OK")&gt;0,AND(INDEX(잔액!$J:$J,BA285)="가족통장",INDEX(잔액!$K:$K,BA285)="미래에셋_WRAP형CMA"),COUNTIF(예비비!$A$8:$A$12,INDEX(잔액!$C:$C,BA285))=1,COUNTIF(예비비!$A$8:$A$12,INDEX(잔액!$D:$D,BA285))=1),OR(AND(BB285&gt;=예비비!$B$3,BB285&lt;EDATE(예비비!$B$3,1)),AND(BB285&lt;EDATE(예비비!$B$3,1),COUNTIFS(예비비!$C$430:$C$729,BA285,예비비!$L$430:$L$729,예비비!$B$3,예비비!$N$430:$N$729,"OK")&gt;0))),MAX($BH$120:BH284)+1,0),0)</f>
        <v>0</v>
      </c>
      <c r="BI285">
        <f>IF(예비비!$R285="OK",SUMIFS(예비비!$O$430:$O$729,예비비!$B$430:$B$729,예비비!$A285,예비비!$E$430:$E$729,"&lt;"&amp;EDATE(BI$99,1),예비비!$F$430:$F$729,"결제대금비")+MAX(0,IF(예비비!$D285&lt;EDATE(BI$99,1),예비비!$E285,0)-SUMIFS(예비비!$O$430:$O$729,예비비!$B$430:$B$729,예비비!$A285,예비비!$E$430:$E$729,"&lt;"&amp;EDATE(BI$99,1))),0)</f>
        <v>0</v>
      </c>
      <c r="BJ285">
        <f>IF(예비비!$R285="OK",SUMIFS(예비비!$O$430:$O$729,예비비!$B$430:$B$729,예비비!$A285,예비비!$E$430:$E$729,"&lt;"&amp;EDATE(BJ$99,1),예비비!$F$430:$F$729,"결제대금비")+MAX(0,IF(예비비!$D285&lt;EDATE(BJ$99,1),예비비!$E285,0)-SUMIFS(예비비!$O$430:$O$729,예비비!$B$430:$B$729,예비비!$A285,예비비!$E$430:$E$729,"&lt;"&amp;EDATE(BJ$99,1))),0)</f>
        <v>0</v>
      </c>
      <c r="BK285">
        <f>IF(예비비!$R285="OK",SUMIFS(예비비!$O$430:$O$729,예비비!$B$430:$B$729,예비비!$A285,예비비!$E$430:$E$729,"&lt;"&amp;EDATE(BK$99,1),예비비!$F$430:$F$729,"결제대금비")+MAX(0,IF(예비비!$D285&lt;EDATE(BK$99,1),예비비!$E285,0)-SUMIFS(예비비!$O$430:$O$729,예비비!$B$430:$B$729,예비비!$A285,예비비!$E$430:$E$729,"&lt;"&amp;EDATE(BK$99,1))),0)</f>
        <v>0</v>
      </c>
      <c r="BL285">
        <f>IF(예비비!$R285="OK",SUMIFS(예비비!$O$430:$O$729,예비비!$B$430:$B$729,예비비!$A285,예비비!$E$430:$E$729,"&lt;"&amp;EDATE(BL$99,1),예비비!$F$430:$F$729,"결제대금비")+MAX(0,IF(예비비!$D285&lt;EDATE(BL$99,1),예비비!$E285,0)-SUMIFS(예비비!$O$430:$O$729,예비비!$B$430:$B$729,예비비!$A285,예비비!$E$430:$E$729,"&lt;"&amp;EDATE(BL$99,1))),0)</f>
        <v>0</v>
      </c>
      <c r="BM285">
        <f>IF(예비비!$R285="OK",SUMIFS(예비비!$O$430:$O$729,예비비!$B$430:$B$729,예비비!$A285,예비비!$E$430:$E$729,"&lt;"&amp;EDATE(BM$99,1),예비비!$F$430:$F$729,"결제대금비")+MAX(0,IF(예비비!$D285&lt;EDATE(BM$99,1),예비비!$E285,0)-SUMIFS(예비비!$O$430:$O$729,예비비!$B$430:$B$729,예비비!$A285,예비비!$E$430:$E$729,"&lt;"&amp;EDATE(BM$99,1))),0)</f>
        <v>0</v>
      </c>
      <c r="BN285">
        <f>IF(예비비!$R285="OK",SUMIFS(예비비!$O$430:$O$729,예비비!$B$430:$B$729,예비비!$A285,예비비!$E$430:$E$729,"&lt;"&amp;EDATE(BN$99,1),예비비!$F$430:$F$729,"결제대금비")+MAX(0,IF(예비비!$D285&lt;EDATE(BN$99,1),예비비!$E285,0)-SUMIFS(예비비!$O$430:$O$729,예비비!$B$430:$B$729,예비비!$A285,예비비!$E$430:$E$729,"&lt;"&amp;EDATE(BN$99,1))),0)</f>
        <v>0</v>
      </c>
      <c r="BO285">
        <f>IF(예비비!$R285="OK",SUMIFS(예비비!$O$430:$O$729,예비비!$B$430:$B$729,예비비!$A285,예비비!$E$430:$E$729,"&lt;"&amp;EDATE(BO$99,1),예비비!$F$430:$F$729,"결제대금비")+MAX(0,IF(예비비!$D285&lt;EDATE(BO$99,1),예비비!$E285,0)-SUMIFS(예비비!$O$430:$O$729,예비비!$B$430:$B$729,예비비!$A285,예비비!$E$430:$E$729,"&lt;"&amp;EDATE(BO$99,1))),0)</f>
        <v>0</v>
      </c>
      <c r="BP285">
        <f>IF(예비비!$R285="OK",SUMIFS(예비비!$O$430:$O$729,예비비!$B$430:$B$729,예비비!$A285,예비비!$E$430:$E$729,"&lt;"&amp;EDATE(BP$99,1),예비비!$F$430:$F$729,"결제대금비")+MAX(0,IF(예비비!$D285&lt;EDATE(BP$99,1),예비비!$E285,0)-SUMIFS(예비비!$O$430:$O$729,예비비!$B$430:$B$729,예비비!$A285,예비비!$E$430:$E$729,"&lt;"&amp;EDATE(BP$99,1))),0)</f>
        <v>0</v>
      </c>
      <c r="BQ285">
        <f>IF(예비비!$R285="OK",SUMIFS(예비비!$O$430:$O$729,예비비!$B$430:$B$729,예비비!$A285,예비비!$E$430:$E$729,"&lt;"&amp;EDATE(BQ$99,1),예비비!$F$430:$F$729,"결제대금비")+MAX(0,IF(예비비!$D285&lt;EDATE(BQ$99,1),예비비!$E285,0)-SUMIFS(예비비!$O$430:$O$729,예비비!$B$430:$B$729,예비비!$A285,예비비!$E$430:$E$729,"&lt;"&amp;EDATE(BQ$99,1))),0)</f>
        <v>0</v>
      </c>
      <c r="BR285">
        <f>IF(예비비!$R285="OK",SUMIFS(예비비!$O$430:$O$729,예비비!$B$430:$B$729,예비비!$A285,예비비!$E$430:$E$729,"&lt;"&amp;EDATE(BR$99,1),예비비!$F$430:$F$729,"결제대금비")+MAX(0,IF(예비비!$D285&lt;EDATE(BR$99,1),예비비!$E285,0)-SUMIFS(예비비!$O$430:$O$729,예비비!$B$430:$B$729,예비비!$A285,예비비!$E$430:$E$729,"&lt;"&amp;EDATE(BR$99,1))),0)</f>
        <v>0</v>
      </c>
      <c r="BS285">
        <f>IF(예비비!$R285="OK",SUMIFS(예비비!$O$430:$O$729,예비비!$B$430:$B$729,예비비!$A285,예비비!$E$430:$E$729,"&lt;"&amp;EDATE(BS$99,1),예비비!$F$430:$F$729,"결제대금비")+MAX(0,IF(예비비!$D285&lt;EDATE(BS$99,1),예비비!$E285,0)-SUMIFS(예비비!$O$430:$O$729,예비비!$B$430:$B$729,예비비!$A285,예비비!$E$430:$E$729,"&lt;"&amp;EDATE(BS$99,1))),0)</f>
        <v>0</v>
      </c>
      <c r="BT285">
        <f>IF(예비비!$R285="OK",SUMIFS(예비비!$O$430:$O$729,예비비!$B$430:$B$729,예비비!$A285,예비비!$E$430:$E$729,"&lt;"&amp;EDATE(BT$99,1),예비비!$F$430:$F$729,"결제대금비")+MAX(0,IF(예비비!$D285&lt;EDATE(BT$99,1),예비비!$E285,0)-SUMIFS(예비비!$O$430:$O$729,예비비!$B$430:$B$729,예비비!$A285,예비비!$E$430:$E$729,"&lt;"&amp;EDATE(BT$99,1))),0)</f>
        <v>0</v>
      </c>
      <c r="BU285">
        <f>IF(예비비!$R285="OK",SUMIFS(예비비!$O$430:$O$729,예비비!$B$430:$B$729,예비비!$A285,예비비!$E$430:$E$729,"&lt;"&amp;EDATE(BU$99,1),예비비!$F$430:$F$729,"결제대금비")+MAX(0,IF(예비비!$D285&lt;EDATE(BU$99,1),예비비!$E285,0)-SUMIFS(예비비!$O$430:$O$729,예비비!$B$430:$B$729,예비비!$A285,예비비!$E$430:$E$729,"&lt;"&amp;EDATE(BU$99,1))),0)</f>
        <v>0</v>
      </c>
    </row>
    <row r="286">
      <c r="BA286">
        <v>230</v>
      </c>
      <c r="BB286">
        <f>IFERROR(INDEX(잔액!$A:$A,BA286),0)</f>
        <v>46266.0</v>
      </c>
      <c r="BH286">
        <f>IFERROR(IF(AND(BB286&gt;0,OR(COUNTIFS(예비비!$C$430:$C$729,BA286,예비비!$N$430:$N$729,"OK")&gt;0,AND(INDEX(잔액!$J:$J,BA286)="가족통장",INDEX(잔액!$K:$K,BA286)="미래에셋_WRAP형CMA"),COUNTIF(예비비!$A$8:$A$12,INDEX(잔액!$C:$C,BA286))=1,COUNTIF(예비비!$A$8:$A$12,INDEX(잔액!$D:$D,BA286))=1),OR(AND(BB286&gt;=예비비!$B$3,BB286&lt;EDATE(예비비!$B$3,1)),AND(BB286&lt;EDATE(예비비!$B$3,1),COUNTIFS(예비비!$C$430:$C$729,BA286,예비비!$L$430:$L$729,예비비!$B$3,예비비!$N$430:$N$729,"OK")&gt;0))),MAX($BH$120:BH285)+1,0),0)</f>
        <v>0</v>
      </c>
      <c r="BI286">
        <f>IF(예비비!$R286="OK",SUMIFS(예비비!$O$430:$O$729,예비비!$B$430:$B$729,예비비!$A286,예비비!$E$430:$E$729,"&lt;"&amp;EDATE(BI$99,1),예비비!$F$430:$F$729,"결제대금비")+MAX(0,IF(예비비!$D286&lt;EDATE(BI$99,1),예비비!$E286,0)-SUMIFS(예비비!$O$430:$O$729,예비비!$B$430:$B$729,예비비!$A286,예비비!$E$430:$E$729,"&lt;"&amp;EDATE(BI$99,1))),0)</f>
        <v>0</v>
      </c>
      <c r="BJ286">
        <f>IF(예비비!$R286="OK",SUMIFS(예비비!$O$430:$O$729,예비비!$B$430:$B$729,예비비!$A286,예비비!$E$430:$E$729,"&lt;"&amp;EDATE(BJ$99,1),예비비!$F$430:$F$729,"결제대금비")+MAX(0,IF(예비비!$D286&lt;EDATE(BJ$99,1),예비비!$E286,0)-SUMIFS(예비비!$O$430:$O$729,예비비!$B$430:$B$729,예비비!$A286,예비비!$E$430:$E$729,"&lt;"&amp;EDATE(BJ$99,1))),0)</f>
        <v>0</v>
      </c>
      <c r="BK286">
        <f>IF(예비비!$R286="OK",SUMIFS(예비비!$O$430:$O$729,예비비!$B$430:$B$729,예비비!$A286,예비비!$E$430:$E$729,"&lt;"&amp;EDATE(BK$99,1),예비비!$F$430:$F$729,"결제대금비")+MAX(0,IF(예비비!$D286&lt;EDATE(BK$99,1),예비비!$E286,0)-SUMIFS(예비비!$O$430:$O$729,예비비!$B$430:$B$729,예비비!$A286,예비비!$E$430:$E$729,"&lt;"&amp;EDATE(BK$99,1))),0)</f>
        <v>0</v>
      </c>
      <c r="BL286">
        <f>IF(예비비!$R286="OK",SUMIFS(예비비!$O$430:$O$729,예비비!$B$430:$B$729,예비비!$A286,예비비!$E$430:$E$729,"&lt;"&amp;EDATE(BL$99,1),예비비!$F$430:$F$729,"결제대금비")+MAX(0,IF(예비비!$D286&lt;EDATE(BL$99,1),예비비!$E286,0)-SUMIFS(예비비!$O$430:$O$729,예비비!$B$430:$B$729,예비비!$A286,예비비!$E$430:$E$729,"&lt;"&amp;EDATE(BL$99,1))),0)</f>
        <v>0</v>
      </c>
      <c r="BM286">
        <f>IF(예비비!$R286="OK",SUMIFS(예비비!$O$430:$O$729,예비비!$B$430:$B$729,예비비!$A286,예비비!$E$430:$E$729,"&lt;"&amp;EDATE(BM$99,1),예비비!$F$430:$F$729,"결제대금비")+MAX(0,IF(예비비!$D286&lt;EDATE(BM$99,1),예비비!$E286,0)-SUMIFS(예비비!$O$430:$O$729,예비비!$B$430:$B$729,예비비!$A286,예비비!$E$430:$E$729,"&lt;"&amp;EDATE(BM$99,1))),0)</f>
        <v>0</v>
      </c>
      <c r="BN286">
        <f>IF(예비비!$R286="OK",SUMIFS(예비비!$O$430:$O$729,예비비!$B$430:$B$729,예비비!$A286,예비비!$E$430:$E$729,"&lt;"&amp;EDATE(BN$99,1),예비비!$F$430:$F$729,"결제대금비")+MAX(0,IF(예비비!$D286&lt;EDATE(BN$99,1),예비비!$E286,0)-SUMIFS(예비비!$O$430:$O$729,예비비!$B$430:$B$729,예비비!$A286,예비비!$E$430:$E$729,"&lt;"&amp;EDATE(BN$99,1))),0)</f>
        <v>0</v>
      </c>
      <c r="BO286">
        <f>IF(예비비!$R286="OK",SUMIFS(예비비!$O$430:$O$729,예비비!$B$430:$B$729,예비비!$A286,예비비!$E$430:$E$729,"&lt;"&amp;EDATE(BO$99,1),예비비!$F$430:$F$729,"결제대금비")+MAX(0,IF(예비비!$D286&lt;EDATE(BO$99,1),예비비!$E286,0)-SUMIFS(예비비!$O$430:$O$729,예비비!$B$430:$B$729,예비비!$A286,예비비!$E$430:$E$729,"&lt;"&amp;EDATE(BO$99,1))),0)</f>
        <v>0</v>
      </c>
      <c r="BP286">
        <f>IF(예비비!$R286="OK",SUMIFS(예비비!$O$430:$O$729,예비비!$B$430:$B$729,예비비!$A286,예비비!$E$430:$E$729,"&lt;"&amp;EDATE(BP$99,1),예비비!$F$430:$F$729,"결제대금비")+MAX(0,IF(예비비!$D286&lt;EDATE(BP$99,1),예비비!$E286,0)-SUMIFS(예비비!$O$430:$O$729,예비비!$B$430:$B$729,예비비!$A286,예비비!$E$430:$E$729,"&lt;"&amp;EDATE(BP$99,1))),0)</f>
        <v>0</v>
      </c>
      <c r="BQ286">
        <f>IF(예비비!$R286="OK",SUMIFS(예비비!$O$430:$O$729,예비비!$B$430:$B$729,예비비!$A286,예비비!$E$430:$E$729,"&lt;"&amp;EDATE(BQ$99,1),예비비!$F$430:$F$729,"결제대금비")+MAX(0,IF(예비비!$D286&lt;EDATE(BQ$99,1),예비비!$E286,0)-SUMIFS(예비비!$O$430:$O$729,예비비!$B$430:$B$729,예비비!$A286,예비비!$E$430:$E$729,"&lt;"&amp;EDATE(BQ$99,1))),0)</f>
        <v>0</v>
      </c>
      <c r="BR286">
        <f>IF(예비비!$R286="OK",SUMIFS(예비비!$O$430:$O$729,예비비!$B$430:$B$729,예비비!$A286,예비비!$E$430:$E$729,"&lt;"&amp;EDATE(BR$99,1),예비비!$F$430:$F$729,"결제대금비")+MAX(0,IF(예비비!$D286&lt;EDATE(BR$99,1),예비비!$E286,0)-SUMIFS(예비비!$O$430:$O$729,예비비!$B$430:$B$729,예비비!$A286,예비비!$E$430:$E$729,"&lt;"&amp;EDATE(BR$99,1))),0)</f>
        <v>0</v>
      </c>
      <c r="BS286">
        <f>IF(예비비!$R286="OK",SUMIFS(예비비!$O$430:$O$729,예비비!$B$430:$B$729,예비비!$A286,예비비!$E$430:$E$729,"&lt;"&amp;EDATE(BS$99,1),예비비!$F$430:$F$729,"결제대금비")+MAX(0,IF(예비비!$D286&lt;EDATE(BS$99,1),예비비!$E286,0)-SUMIFS(예비비!$O$430:$O$729,예비비!$B$430:$B$729,예비비!$A286,예비비!$E$430:$E$729,"&lt;"&amp;EDATE(BS$99,1))),0)</f>
        <v>0</v>
      </c>
      <c r="BT286">
        <f>IF(예비비!$R286="OK",SUMIFS(예비비!$O$430:$O$729,예비비!$B$430:$B$729,예비비!$A286,예비비!$E$430:$E$729,"&lt;"&amp;EDATE(BT$99,1),예비비!$F$430:$F$729,"결제대금비")+MAX(0,IF(예비비!$D286&lt;EDATE(BT$99,1),예비비!$E286,0)-SUMIFS(예비비!$O$430:$O$729,예비비!$B$430:$B$729,예비비!$A286,예비비!$E$430:$E$729,"&lt;"&amp;EDATE(BT$99,1))),0)</f>
        <v>0</v>
      </c>
      <c r="BU286">
        <f>IF(예비비!$R286="OK",SUMIFS(예비비!$O$430:$O$729,예비비!$B$430:$B$729,예비비!$A286,예비비!$E$430:$E$729,"&lt;"&amp;EDATE(BU$99,1),예비비!$F$430:$F$729,"결제대금비")+MAX(0,IF(예비비!$D286&lt;EDATE(BU$99,1),예비비!$E286,0)-SUMIFS(예비비!$O$430:$O$729,예비비!$B$430:$B$729,예비비!$A286,예비비!$E$430:$E$729,"&lt;"&amp;EDATE(BU$99,1))),0)</f>
        <v>0</v>
      </c>
    </row>
    <row r="287">
      <c r="BA287">
        <v>231</v>
      </c>
      <c r="BB287">
        <f>IFERROR(INDEX(잔액!$A:$A,BA287),0)</f>
        <v>46308.851395949074</v>
      </c>
      <c r="BH287">
        <f>IFERROR(IF(AND(BB287&gt;0,OR(COUNTIFS(예비비!$C$430:$C$729,BA287,예비비!$N$430:$N$729,"OK")&gt;0,AND(INDEX(잔액!$J:$J,BA287)="가족통장",INDEX(잔액!$K:$K,BA287)="미래에셋_WRAP형CMA"),COUNTIF(예비비!$A$8:$A$12,INDEX(잔액!$C:$C,BA287))=1,COUNTIF(예비비!$A$8:$A$12,INDEX(잔액!$D:$D,BA287))=1),OR(AND(BB287&gt;=예비비!$B$3,BB287&lt;EDATE(예비비!$B$3,1)),AND(BB287&lt;EDATE(예비비!$B$3,1),COUNTIFS(예비비!$C$430:$C$729,BA287,예비비!$L$430:$L$729,예비비!$B$3,예비비!$N$430:$N$729,"OK")&gt;0))),MAX($BH$120:BH286)+1,0),0)</f>
        <v>0</v>
      </c>
      <c r="BI287">
        <f>IF(예비비!$R287="OK",SUMIFS(예비비!$O$430:$O$729,예비비!$B$430:$B$729,예비비!$A287,예비비!$E$430:$E$729,"&lt;"&amp;EDATE(BI$99,1),예비비!$F$430:$F$729,"결제대금비")+MAX(0,IF(예비비!$D287&lt;EDATE(BI$99,1),예비비!$E287,0)-SUMIFS(예비비!$O$430:$O$729,예비비!$B$430:$B$729,예비비!$A287,예비비!$E$430:$E$729,"&lt;"&amp;EDATE(BI$99,1))),0)</f>
        <v>0</v>
      </c>
      <c r="BJ287">
        <f>IF(예비비!$R287="OK",SUMIFS(예비비!$O$430:$O$729,예비비!$B$430:$B$729,예비비!$A287,예비비!$E$430:$E$729,"&lt;"&amp;EDATE(BJ$99,1),예비비!$F$430:$F$729,"결제대금비")+MAX(0,IF(예비비!$D287&lt;EDATE(BJ$99,1),예비비!$E287,0)-SUMIFS(예비비!$O$430:$O$729,예비비!$B$430:$B$729,예비비!$A287,예비비!$E$430:$E$729,"&lt;"&amp;EDATE(BJ$99,1))),0)</f>
        <v>0</v>
      </c>
      <c r="BK287">
        <f>IF(예비비!$R287="OK",SUMIFS(예비비!$O$430:$O$729,예비비!$B$430:$B$729,예비비!$A287,예비비!$E$430:$E$729,"&lt;"&amp;EDATE(BK$99,1),예비비!$F$430:$F$729,"결제대금비")+MAX(0,IF(예비비!$D287&lt;EDATE(BK$99,1),예비비!$E287,0)-SUMIFS(예비비!$O$430:$O$729,예비비!$B$430:$B$729,예비비!$A287,예비비!$E$430:$E$729,"&lt;"&amp;EDATE(BK$99,1))),0)</f>
        <v>0</v>
      </c>
      <c r="BL287">
        <f>IF(예비비!$R287="OK",SUMIFS(예비비!$O$430:$O$729,예비비!$B$430:$B$729,예비비!$A287,예비비!$E$430:$E$729,"&lt;"&amp;EDATE(BL$99,1),예비비!$F$430:$F$729,"결제대금비")+MAX(0,IF(예비비!$D287&lt;EDATE(BL$99,1),예비비!$E287,0)-SUMIFS(예비비!$O$430:$O$729,예비비!$B$430:$B$729,예비비!$A287,예비비!$E$430:$E$729,"&lt;"&amp;EDATE(BL$99,1))),0)</f>
        <v>0</v>
      </c>
      <c r="BM287">
        <f>IF(예비비!$R287="OK",SUMIFS(예비비!$O$430:$O$729,예비비!$B$430:$B$729,예비비!$A287,예비비!$E$430:$E$729,"&lt;"&amp;EDATE(BM$99,1),예비비!$F$430:$F$729,"결제대금비")+MAX(0,IF(예비비!$D287&lt;EDATE(BM$99,1),예비비!$E287,0)-SUMIFS(예비비!$O$430:$O$729,예비비!$B$430:$B$729,예비비!$A287,예비비!$E$430:$E$729,"&lt;"&amp;EDATE(BM$99,1))),0)</f>
        <v>0</v>
      </c>
      <c r="BN287">
        <f>IF(예비비!$R287="OK",SUMIFS(예비비!$O$430:$O$729,예비비!$B$430:$B$729,예비비!$A287,예비비!$E$430:$E$729,"&lt;"&amp;EDATE(BN$99,1),예비비!$F$430:$F$729,"결제대금비")+MAX(0,IF(예비비!$D287&lt;EDATE(BN$99,1),예비비!$E287,0)-SUMIFS(예비비!$O$430:$O$729,예비비!$B$430:$B$729,예비비!$A287,예비비!$E$430:$E$729,"&lt;"&amp;EDATE(BN$99,1))),0)</f>
        <v>0</v>
      </c>
      <c r="BO287">
        <f>IF(예비비!$R287="OK",SUMIFS(예비비!$O$430:$O$729,예비비!$B$430:$B$729,예비비!$A287,예비비!$E$430:$E$729,"&lt;"&amp;EDATE(BO$99,1),예비비!$F$430:$F$729,"결제대금비")+MAX(0,IF(예비비!$D287&lt;EDATE(BO$99,1),예비비!$E287,0)-SUMIFS(예비비!$O$430:$O$729,예비비!$B$430:$B$729,예비비!$A287,예비비!$E$430:$E$729,"&lt;"&amp;EDATE(BO$99,1))),0)</f>
        <v>0</v>
      </c>
      <c r="BP287">
        <f>IF(예비비!$R287="OK",SUMIFS(예비비!$O$430:$O$729,예비비!$B$430:$B$729,예비비!$A287,예비비!$E$430:$E$729,"&lt;"&amp;EDATE(BP$99,1),예비비!$F$430:$F$729,"결제대금비")+MAX(0,IF(예비비!$D287&lt;EDATE(BP$99,1),예비비!$E287,0)-SUMIFS(예비비!$O$430:$O$729,예비비!$B$430:$B$729,예비비!$A287,예비비!$E$430:$E$729,"&lt;"&amp;EDATE(BP$99,1))),0)</f>
        <v>0</v>
      </c>
      <c r="BQ287">
        <f>IF(예비비!$R287="OK",SUMIFS(예비비!$O$430:$O$729,예비비!$B$430:$B$729,예비비!$A287,예비비!$E$430:$E$729,"&lt;"&amp;EDATE(BQ$99,1),예비비!$F$430:$F$729,"결제대금비")+MAX(0,IF(예비비!$D287&lt;EDATE(BQ$99,1),예비비!$E287,0)-SUMIFS(예비비!$O$430:$O$729,예비비!$B$430:$B$729,예비비!$A287,예비비!$E$430:$E$729,"&lt;"&amp;EDATE(BQ$99,1))),0)</f>
        <v>0</v>
      </c>
      <c r="BR287">
        <f>IF(예비비!$R287="OK",SUMIFS(예비비!$O$430:$O$729,예비비!$B$430:$B$729,예비비!$A287,예비비!$E$430:$E$729,"&lt;"&amp;EDATE(BR$99,1),예비비!$F$430:$F$729,"결제대금비")+MAX(0,IF(예비비!$D287&lt;EDATE(BR$99,1),예비비!$E287,0)-SUMIFS(예비비!$O$430:$O$729,예비비!$B$430:$B$729,예비비!$A287,예비비!$E$430:$E$729,"&lt;"&amp;EDATE(BR$99,1))),0)</f>
        <v>0</v>
      </c>
      <c r="BS287">
        <f>IF(예비비!$R287="OK",SUMIFS(예비비!$O$430:$O$729,예비비!$B$430:$B$729,예비비!$A287,예비비!$E$430:$E$729,"&lt;"&amp;EDATE(BS$99,1),예비비!$F$430:$F$729,"결제대금비")+MAX(0,IF(예비비!$D287&lt;EDATE(BS$99,1),예비비!$E287,0)-SUMIFS(예비비!$O$430:$O$729,예비비!$B$430:$B$729,예비비!$A287,예비비!$E$430:$E$729,"&lt;"&amp;EDATE(BS$99,1))),0)</f>
        <v>0</v>
      </c>
      <c r="BT287">
        <f>IF(예비비!$R287="OK",SUMIFS(예비비!$O$430:$O$729,예비비!$B$430:$B$729,예비비!$A287,예비비!$E$430:$E$729,"&lt;"&amp;EDATE(BT$99,1),예비비!$F$430:$F$729,"결제대금비")+MAX(0,IF(예비비!$D287&lt;EDATE(BT$99,1),예비비!$E287,0)-SUMIFS(예비비!$O$430:$O$729,예비비!$B$430:$B$729,예비비!$A287,예비비!$E$430:$E$729,"&lt;"&amp;EDATE(BT$99,1))),0)</f>
        <v>0</v>
      </c>
      <c r="BU287">
        <f>IF(예비비!$R287="OK",SUMIFS(예비비!$O$430:$O$729,예비비!$B$430:$B$729,예비비!$A287,예비비!$E$430:$E$729,"&lt;"&amp;EDATE(BU$99,1),예비비!$F$430:$F$729,"결제대금비")+MAX(0,IF(예비비!$D287&lt;EDATE(BU$99,1),예비비!$E287,0)-SUMIFS(예비비!$O$430:$O$729,예비비!$B$430:$B$729,예비비!$A287,예비비!$E$430:$E$729,"&lt;"&amp;EDATE(BU$99,1))),0)</f>
        <v>0</v>
      </c>
    </row>
    <row r="288">
      <c r="BA288">
        <v>232</v>
      </c>
      <c r="BB288">
        <f>IFERROR(INDEX(잔액!$A:$A,BA288),0)</f>
        <v>46308.850696064816</v>
      </c>
      <c r="BH288">
        <f>IFERROR(IF(AND(BB288&gt;0,OR(COUNTIFS(예비비!$C$430:$C$729,BA288,예비비!$N$430:$N$729,"OK")&gt;0,AND(INDEX(잔액!$J:$J,BA288)="가족통장",INDEX(잔액!$K:$K,BA288)="미래에셋_WRAP형CMA"),COUNTIF(예비비!$A$8:$A$12,INDEX(잔액!$C:$C,BA288))=1,COUNTIF(예비비!$A$8:$A$12,INDEX(잔액!$D:$D,BA288))=1),OR(AND(BB288&gt;=예비비!$B$3,BB288&lt;EDATE(예비비!$B$3,1)),AND(BB288&lt;EDATE(예비비!$B$3,1),COUNTIFS(예비비!$C$430:$C$729,BA288,예비비!$L$430:$L$729,예비비!$B$3,예비비!$N$430:$N$729,"OK")&gt;0))),MAX($BH$120:BH287)+1,0),0)</f>
        <v>0</v>
      </c>
      <c r="BI288">
        <f>IF(예비비!$R288="OK",SUMIFS(예비비!$O$430:$O$729,예비비!$B$430:$B$729,예비비!$A288,예비비!$E$430:$E$729,"&lt;"&amp;EDATE(BI$99,1),예비비!$F$430:$F$729,"결제대금비")+MAX(0,IF(예비비!$D288&lt;EDATE(BI$99,1),예비비!$E288,0)-SUMIFS(예비비!$O$430:$O$729,예비비!$B$430:$B$729,예비비!$A288,예비비!$E$430:$E$729,"&lt;"&amp;EDATE(BI$99,1))),0)</f>
        <v>0</v>
      </c>
      <c r="BJ288">
        <f>IF(예비비!$R288="OK",SUMIFS(예비비!$O$430:$O$729,예비비!$B$430:$B$729,예비비!$A288,예비비!$E$430:$E$729,"&lt;"&amp;EDATE(BJ$99,1),예비비!$F$430:$F$729,"결제대금비")+MAX(0,IF(예비비!$D288&lt;EDATE(BJ$99,1),예비비!$E288,0)-SUMIFS(예비비!$O$430:$O$729,예비비!$B$430:$B$729,예비비!$A288,예비비!$E$430:$E$729,"&lt;"&amp;EDATE(BJ$99,1))),0)</f>
        <v>0</v>
      </c>
      <c r="BK288">
        <f>IF(예비비!$R288="OK",SUMIFS(예비비!$O$430:$O$729,예비비!$B$430:$B$729,예비비!$A288,예비비!$E$430:$E$729,"&lt;"&amp;EDATE(BK$99,1),예비비!$F$430:$F$729,"결제대금비")+MAX(0,IF(예비비!$D288&lt;EDATE(BK$99,1),예비비!$E288,0)-SUMIFS(예비비!$O$430:$O$729,예비비!$B$430:$B$729,예비비!$A288,예비비!$E$430:$E$729,"&lt;"&amp;EDATE(BK$99,1))),0)</f>
        <v>0</v>
      </c>
      <c r="BL288">
        <f>IF(예비비!$R288="OK",SUMIFS(예비비!$O$430:$O$729,예비비!$B$430:$B$729,예비비!$A288,예비비!$E$430:$E$729,"&lt;"&amp;EDATE(BL$99,1),예비비!$F$430:$F$729,"결제대금비")+MAX(0,IF(예비비!$D288&lt;EDATE(BL$99,1),예비비!$E288,0)-SUMIFS(예비비!$O$430:$O$729,예비비!$B$430:$B$729,예비비!$A288,예비비!$E$430:$E$729,"&lt;"&amp;EDATE(BL$99,1))),0)</f>
        <v>0</v>
      </c>
      <c r="BM288">
        <f>IF(예비비!$R288="OK",SUMIFS(예비비!$O$430:$O$729,예비비!$B$430:$B$729,예비비!$A288,예비비!$E$430:$E$729,"&lt;"&amp;EDATE(BM$99,1),예비비!$F$430:$F$729,"결제대금비")+MAX(0,IF(예비비!$D288&lt;EDATE(BM$99,1),예비비!$E288,0)-SUMIFS(예비비!$O$430:$O$729,예비비!$B$430:$B$729,예비비!$A288,예비비!$E$430:$E$729,"&lt;"&amp;EDATE(BM$99,1))),0)</f>
        <v>0</v>
      </c>
      <c r="BN288">
        <f>IF(예비비!$R288="OK",SUMIFS(예비비!$O$430:$O$729,예비비!$B$430:$B$729,예비비!$A288,예비비!$E$430:$E$729,"&lt;"&amp;EDATE(BN$99,1),예비비!$F$430:$F$729,"결제대금비")+MAX(0,IF(예비비!$D288&lt;EDATE(BN$99,1),예비비!$E288,0)-SUMIFS(예비비!$O$430:$O$729,예비비!$B$430:$B$729,예비비!$A288,예비비!$E$430:$E$729,"&lt;"&amp;EDATE(BN$99,1))),0)</f>
        <v>0</v>
      </c>
      <c r="BO288">
        <f>IF(예비비!$R288="OK",SUMIFS(예비비!$O$430:$O$729,예비비!$B$430:$B$729,예비비!$A288,예비비!$E$430:$E$729,"&lt;"&amp;EDATE(BO$99,1),예비비!$F$430:$F$729,"결제대금비")+MAX(0,IF(예비비!$D288&lt;EDATE(BO$99,1),예비비!$E288,0)-SUMIFS(예비비!$O$430:$O$729,예비비!$B$430:$B$729,예비비!$A288,예비비!$E$430:$E$729,"&lt;"&amp;EDATE(BO$99,1))),0)</f>
        <v>0</v>
      </c>
      <c r="BP288">
        <f>IF(예비비!$R288="OK",SUMIFS(예비비!$O$430:$O$729,예비비!$B$430:$B$729,예비비!$A288,예비비!$E$430:$E$729,"&lt;"&amp;EDATE(BP$99,1),예비비!$F$430:$F$729,"결제대금비")+MAX(0,IF(예비비!$D288&lt;EDATE(BP$99,1),예비비!$E288,0)-SUMIFS(예비비!$O$430:$O$729,예비비!$B$430:$B$729,예비비!$A288,예비비!$E$430:$E$729,"&lt;"&amp;EDATE(BP$99,1))),0)</f>
        <v>0</v>
      </c>
      <c r="BQ288">
        <f>IF(예비비!$R288="OK",SUMIFS(예비비!$O$430:$O$729,예비비!$B$430:$B$729,예비비!$A288,예비비!$E$430:$E$729,"&lt;"&amp;EDATE(BQ$99,1),예비비!$F$430:$F$729,"결제대금비")+MAX(0,IF(예비비!$D288&lt;EDATE(BQ$99,1),예비비!$E288,0)-SUMIFS(예비비!$O$430:$O$729,예비비!$B$430:$B$729,예비비!$A288,예비비!$E$430:$E$729,"&lt;"&amp;EDATE(BQ$99,1))),0)</f>
        <v>0</v>
      </c>
      <c r="BR288">
        <f>IF(예비비!$R288="OK",SUMIFS(예비비!$O$430:$O$729,예비비!$B$430:$B$729,예비비!$A288,예비비!$E$430:$E$729,"&lt;"&amp;EDATE(BR$99,1),예비비!$F$430:$F$729,"결제대금비")+MAX(0,IF(예비비!$D288&lt;EDATE(BR$99,1),예비비!$E288,0)-SUMIFS(예비비!$O$430:$O$729,예비비!$B$430:$B$729,예비비!$A288,예비비!$E$430:$E$729,"&lt;"&amp;EDATE(BR$99,1))),0)</f>
        <v>0</v>
      </c>
      <c r="BS288">
        <f>IF(예비비!$R288="OK",SUMIFS(예비비!$O$430:$O$729,예비비!$B$430:$B$729,예비비!$A288,예비비!$E$430:$E$729,"&lt;"&amp;EDATE(BS$99,1),예비비!$F$430:$F$729,"결제대금비")+MAX(0,IF(예비비!$D288&lt;EDATE(BS$99,1),예비비!$E288,0)-SUMIFS(예비비!$O$430:$O$729,예비비!$B$430:$B$729,예비비!$A288,예비비!$E$430:$E$729,"&lt;"&amp;EDATE(BS$99,1))),0)</f>
        <v>0</v>
      </c>
      <c r="BT288">
        <f>IF(예비비!$R288="OK",SUMIFS(예비비!$O$430:$O$729,예비비!$B$430:$B$729,예비비!$A288,예비비!$E$430:$E$729,"&lt;"&amp;EDATE(BT$99,1),예비비!$F$430:$F$729,"결제대금비")+MAX(0,IF(예비비!$D288&lt;EDATE(BT$99,1),예비비!$E288,0)-SUMIFS(예비비!$O$430:$O$729,예비비!$B$430:$B$729,예비비!$A288,예비비!$E$430:$E$729,"&lt;"&amp;EDATE(BT$99,1))),0)</f>
        <v>0</v>
      </c>
      <c r="BU288">
        <f>IF(예비비!$R288="OK",SUMIFS(예비비!$O$430:$O$729,예비비!$B$430:$B$729,예비비!$A288,예비비!$E$430:$E$729,"&lt;"&amp;EDATE(BU$99,1),예비비!$F$430:$F$729,"결제대금비")+MAX(0,IF(예비비!$D288&lt;EDATE(BU$99,1),예비비!$E288,0)-SUMIFS(예비비!$O$430:$O$729,예비비!$B$430:$B$729,예비비!$A288,예비비!$E$430:$E$729,"&lt;"&amp;EDATE(BU$99,1))),0)</f>
        <v>0</v>
      </c>
    </row>
    <row r="289">
      <c r="BA289">
        <v>233</v>
      </c>
      <c r="BB289">
        <f>IFERROR(INDEX(잔액!$A:$A,BA289),0)</f>
        <v>46308.85000755787</v>
      </c>
      <c r="BH289">
        <f>IFERROR(IF(AND(BB289&gt;0,OR(COUNTIFS(예비비!$C$430:$C$729,BA289,예비비!$N$430:$N$729,"OK")&gt;0,AND(INDEX(잔액!$J:$J,BA289)="가족통장",INDEX(잔액!$K:$K,BA289)="미래에셋_WRAP형CMA"),COUNTIF(예비비!$A$8:$A$12,INDEX(잔액!$C:$C,BA289))=1,COUNTIF(예비비!$A$8:$A$12,INDEX(잔액!$D:$D,BA289))=1),OR(AND(BB289&gt;=예비비!$B$3,BB289&lt;EDATE(예비비!$B$3,1)),AND(BB289&lt;EDATE(예비비!$B$3,1),COUNTIFS(예비비!$C$430:$C$729,BA289,예비비!$L$430:$L$729,예비비!$B$3,예비비!$N$430:$N$729,"OK")&gt;0))),MAX($BH$120:BH288)+1,0),0)</f>
        <v>0</v>
      </c>
      <c r="BI289">
        <f>IF(예비비!$R289="OK",SUMIFS(예비비!$O$430:$O$729,예비비!$B$430:$B$729,예비비!$A289,예비비!$E$430:$E$729,"&lt;"&amp;EDATE(BI$99,1),예비비!$F$430:$F$729,"결제대금비")+MAX(0,IF(예비비!$D289&lt;EDATE(BI$99,1),예비비!$E289,0)-SUMIFS(예비비!$O$430:$O$729,예비비!$B$430:$B$729,예비비!$A289,예비비!$E$430:$E$729,"&lt;"&amp;EDATE(BI$99,1))),0)</f>
        <v>0</v>
      </c>
      <c r="BJ289">
        <f>IF(예비비!$R289="OK",SUMIFS(예비비!$O$430:$O$729,예비비!$B$430:$B$729,예비비!$A289,예비비!$E$430:$E$729,"&lt;"&amp;EDATE(BJ$99,1),예비비!$F$430:$F$729,"결제대금비")+MAX(0,IF(예비비!$D289&lt;EDATE(BJ$99,1),예비비!$E289,0)-SUMIFS(예비비!$O$430:$O$729,예비비!$B$430:$B$729,예비비!$A289,예비비!$E$430:$E$729,"&lt;"&amp;EDATE(BJ$99,1))),0)</f>
        <v>0</v>
      </c>
      <c r="BK289">
        <f>IF(예비비!$R289="OK",SUMIFS(예비비!$O$430:$O$729,예비비!$B$430:$B$729,예비비!$A289,예비비!$E$430:$E$729,"&lt;"&amp;EDATE(BK$99,1),예비비!$F$430:$F$729,"결제대금비")+MAX(0,IF(예비비!$D289&lt;EDATE(BK$99,1),예비비!$E289,0)-SUMIFS(예비비!$O$430:$O$729,예비비!$B$430:$B$729,예비비!$A289,예비비!$E$430:$E$729,"&lt;"&amp;EDATE(BK$99,1))),0)</f>
        <v>0</v>
      </c>
      <c r="BL289">
        <f>IF(예비비!$R289="OK",SUMIFS(예비비!$O$430:$O$729,예비비!$B$430:$B$729,예비비!$A289,예비비!$E$430:$E$729,"&lt;"&amp;EDATE(BL$99,1),예비비!$F$430:$F$729,"결제대금비")+MAX(0,IF(예비비!$D289&lt;EDATE(BL$99,1),예비비!$E289,0)-SUMIFS(예비비!$O$430:$O$729,예비비!$B$430:$B$729,예비비!$A289,예비비!$E$430:$E$729,"&lt;"&amp;EDATE(BL$99,1))),0)</f>
        <v>0</v>
      </c>
      <c r="BM289">
        <f>IF(예비비!$R289="OK",SUMIFS(예비비!$O$430:$O$729,예비비!$B$430:$B$729,예비비!$A289,예비비!$E$430:$E$729,"&lt;"&amp;EDATE(BM$99,1),예비비!$F$430:$F$729,"결제대금비")+MAX(0,IF(예비비!$D289&lt;EDATE(BM$99,1),예비비!$E289,0)-SUMIFS(예비비!$O$430:$O$729,예비비!$B$430:$B$729,예비비!$A289,예비비!$E$430:$E$729,"&lt;"&amp;EDATE(BM$99,1))),0)</f>
        <v>0</v>
      </c>
      <c r="BN289">
        <f>IF(예비비!$R289="OK",SUMIFS(예비비!$O$430:$O$729,예비비!$B$430:$B$729,예비비!$A289,예비비!$E$430:$E$729,"&lt;"&amp;EDATE(BN$99,1),예비비!$F$430:$F$729,"결제대금비")+MAX(0,IF(예비비!$D289&lt;EDATE(BN$99,1),예비비!$E289,0)-SUMIFS(예비비!$O$430:$O$729,예비비!$B$430:$B$729,예비비!$A289,예비비!$E$430:$E$729,"&lt;"&amp;EDATE(BN$99,1))),0)</f>
        <v>0</v>
      </c>
      <c r="BO289">
        <f>IF(예비비!$R289="OK",SUMIFS(예비비!$O$430:$O$729,예비비!$B$430:$B$729,예비비!$A289,예비비!$E$430:$E$729,"&lt;"&amp;EDATE(BO$99,1),예비비!$F$430:$F$729,"결제대금비")+MAX(0,IF(예비비!$D289&lt;EDATE(BO$99,1),예비비!$E289,0)-SUMIFS(예비비!$O$430:$O$729,예비비!$B$430:$B$729,예비비!$A289,예비비!$E$430:$E$729,"&lt;"&amp;EDATE(BO$99,1))),0)</f>
        <v>0</v>
      </c>
      <c r="BP289">
        <f>IF(예비비!$R289="OK",SUMIFS(예비비!$O$430:$O$729,예비비!$B$430:$B$729,예비비!$A289,예비비!$E$430:$E$729,"&lt;"&amp;EDATE(BP$99,1),예비비!$F$430:$F$729,"결제대금비")+MAX(0,IF(예비비!$D289&lt;EDATE(BP$99,1),예비비!$E289,0)-SUMIFS(예비비!$O$430:$O$729,예비비!$B$430:$B$729,예비비!$A289,예비비!$E$430:$E$729,"&lt;"&amp;EDATE(BP$99,1))),0)</f>
        <v>0</v>
      </c>
      <c r="BQ289">
        <f>IF(예비비!$R289="OK",SUMIFS(예비비!$O$430:$O$729,예비비!$B$430:$B$729,예비비!$A289,예비비!$E$430:$E$729,"&lt;"&amp;EDATE(BQ$99,1),예비비!$F$430:$F$729,"결제대금비")+MAX(0,IF(예비비!$D289&lt;EDATE(BQ$99,1),예비비!$E289,0)-SUMIFS(예비비!$O$430:$O$729,예비비!$B$430:$B$729,예비비!$A289,예비비!$E$430:$E$729,"&lt;"&amp;EDATE(BQ$99,1))),0)</f>
        <v>0</v>
      </c>
      <c r="BR289">
        <f>IF(예비비!$R289="OK",SUMIFS(예비비!$O$430:$O$729,예비비!$B$430:$B$729,예비비!$A289,예비비!$E$430:$E$729,"&lt;"&amp;EDATE(BR$99,1),예비비!$F$430:$F$729,"결제대금비")+MAX(0,IF(예비비!$D289&lt;EDATE(BR$99,1),예비비!$E289,0)-SUMIFS(예비비!$O$430:$O$729,예비비!$B$430:$B$729,예비비!$A289,예비비!$E$430:$E$729,"&lt;"&amp;EDATE(BR$99,1))),0)</f>
        <v>0</v>
      </c>
      <c r="BS289">
        <f>IF(예비비!$R289="OK",SUMIFS(예비비!$O$430:$O$729,예비비!$B$430:$B$729,예비비!$A289,예비비!$E$430:$E$729,"&lt;"&amp;EDATE(BS$99,1),예비비!$F$430:$F$729,"결제대금비")+MAX(0,IF(예비비!$D289&lt;EDATE(BS$99,1),예비비!$E289,0)-SUMIFS(예비비!$O$430:$O$729,예비비!$B$430:$B$729,예비비!$A289,예비비!$E$430:$E$729,"&lt;"&amp;EDATE(BS$99,1))),0)</f>
        <v>0</v>
      </c>
      <c r="BT289">
        <f>IF(예비비!$R289="OK",SUMIFS(예비비!$O$430:$O$729,예비비!$B$430:$B$729,예비비!$A289,예비비!$E$430:$E$729,"&lt;"&amp;EDATE(BT$99,1),예비비!$F$430:$F$729,"결제대금비")+MAX(0,IF(예비비!$D289&lt;EDATE(BT$99,1),예비비!$E289,0)-SUMIFS(예비비!$O$430:$O$729,예비비!$B$430:$B$729,예비비!$A289,예비비!$E$430:$E$729,"&lt;"&amp;EDATE(BT$99,1))),0)</f>
        <v>0</v>
      </c>
      <c r="BU289">
        <f>IF(예비비!$R289="OK",SUMIFS(예비비!$O$430:$O$729,예비비!$B$430:$B$729,예비비!$A289,예비비!$E$430:$E$729,"&lt;"&amp;EDATE(BU$99,1),예비비!$F$430:$F$729,"결제대금비")+MAX(0,IF(예비비!$D289&lt;EDATE(BU$99,1),예비비!$E289,0)-SUMIFS(예비비!$O$430:$O$729,예비비!$B$430:$B$729,예비비!$A289,예비비!$E$430:$E$729,"&lt;"&amp;EDATE(BU$99,1))),0)</f>
        <v>0</v>
      </c>
    </row>
    <row r="290">
      <c r="BA290">
        <v>234</v>
      </c>
      <c r="BB290">
        <f>IFERROR(INDEX(잔액!$A:$A,BA290),0)</f>
        <v>46308.848613587965</v>
      </c>
      <c r="BH290">
        <f>IFERROR(IF(AND(BB290&gt;0,OR(COUNTIFS(예비비!$C$430:$C$729,BA290,예비비!$N$430:$N$729,"OK")&gt;0,AND(INDEX(잔액!$J:$J,BA290)="가족통장",INDEX(잔액!$K:$K,BA290)="미래에셋_WRAP형CMA"),COUNTIF(예비비!$A$8:$A$12,INDEX(잔액!$C:$C,BA290))=1,COUNTIF(예비비!$A$8:$A$12,INDEX(잔액!$D:$D,BA290))=1),OR(AND(BB290&gt;=예비비!$B$3,BB290&lt;EDATE(예비비!$B$3,1)),AND(BB290&lt;EDATE(예비비!$B$3,1),COUNTIFS(예비비!$C$430:$C$729,BA290,예비비!$L$430:$L$729,예비비!$B$3,예비비!$N$430:$N$729,"OK")&gt;0))),MAX($BH$120:BH289)+1,0),0)</f>
        <v>0</v>
      </c>
      <c r="BI290">
        <f>IF(예비비!$R290="OK",SUMIFS(예비비!$O$430:$O$729,예비비!$B$430:$B$729,예비비!$A290,예비비!$E$430:$E$729,"&lt;"&amp;EDATE(BI$99,1),예비비!$F$430:$F$729,"결제대금비")+MAX(0,IF(예비비!$D290&lt;EDATE(BI$99,1),예비비!$E290,0)-SUMIFS(예비비!$O$430:$O$729,예비비!$B$430:$B$729,예비비!$A290,예비비!$E$430:$E$729,"&lt;"&amp;EDATE(BI$99,1))),0)</f>
        <v>0</v>
      </c>
      <c r="BJ290">
        <f>IF(예비비!$R290="OK",SUMIFS(예비비!$O$430:$O$729,예비비!$B$430:$B$729,예비비!$A290,예비비!$E$430:$E$729,"&lt;"&amp;EDATE(BJ$99,1),예비비!$F$430:$F$729,"결제대금비")+MAX(0,IF(예비비!$D290&lt;EDATE(BJ$99,1),예비비!$E290,0)-SUMIFS(예비비!$O$430:$O$729,예비비!$B$430:$B$729,예비비!$A290,예비비!$E$430:$E$729,"&lt;"&amp;EDATE(BJ$99,1))),0)</f>
        <v>0</v>
      </c>
      <c r="BK290">
        <f>IF(예비비!$R290="OK",SUMIFS(예비비!$O$430:$O$729,예비비!$B$430:$B$729,예비비!$A290,예비비!$E$430:$E$729,"&lt;"&amp;EDATE(BK$99,1),예비비!$F$430:$F$729,"결제대금비")+MAX(0,IF(예비비!$D290&lt;EDATE(BK$99,1),예비비!$E290,0)-SUMIFS(예비비!$O$430:$O$729,예비비!$B$430:$B$729,예비비!$A290,예비비!$E$430:$E$729,"&lt;"&amp;EDATE(BK$99,1))),0)</f>
        <v>0</v>
      </c>
      <c r="BL290">
        <f>IF(예비비!$R290="OK",SUMIFS(예비비!$O$430:$O$729,예비비!$B$430:$B$729,예비비!$A290,예비비!$E$430:$E$729,"&lt;"&amp;EDATE(BL$99,1),예비비!$F$430:$F$729,"결제대금비")+MAX(0,IF(예비비!$D290&lt;EDATE(BL$99,1),예비비!$E290,0)-SUMIFS(예비비!$O$430:$O$729,예비비!$B$430:$B$729,예비비!$A290,예비비!$E$430:$E$729,"&lt;"&amp;EDATE(BL$99,1))),0)</f>
        <v>0</v>
      </c>
      <c r="BM290">
        <f>IF(예비비!$R290="OK",SUMIFS(예비비!$O$430:$O$729,예비비!$B$430:$B$729,예비비!$A290,예비비!$E$430:$E$729,"&lt;"&amp;EDATE(BM$99,1),예비비!$F$430:$F$729,"결제대금비")+MAX(0,IF(예비비!$D290&lt;EDATE(BM$99,1),예비비!$E290,0)-SUMIFS(예비비!$O$430:$O$729,예비비!$B$430:$B$729,예비비!$A290,예비비!$E$430:$E$729,"&lt;"&amp;EDATE(BM$99,1))),0)</f>
        <v>0</v>
      </c>
      <c r="BN290">
        <f>IF(예비비!$R290="OK",SUMIFS(예비비!$O$430:$O$729,예비비!$B$430:$B$729,예비비!$A290,예비비!$E$430:$E$729,"&lt;"&amp;EDATE(BN$99,1),예비비!$F$430:$F$729,"결제대금비")+MAX(0,IF(예비비!$D290&lt;EDATE(BN$99,1),예비비!$E290,0)-SUMIFS(예비비!$O$430:$O$729,예비비!$B$430:$B$729,예비비!$A290,예비비!$E$430:$E$729,"&lt;"&amp;EDATE(BN$99,1))),0)</f>
        <v>0</v>
      </c>
      <c r="BO290">
        <f>IF(예비비!$R290="OK",SUMIFS(예비비!$O$430:$O$729,예비비!$B$430:$B$729,예비비!$A290,예비비!$E$430:$E$729,"&lt;"&amp;EDATE(BO$99,1),예비비!$F$430:$F$729,"결제대금비")+MAX(0,IF(예비비!$D290&lt;EDATE(BO$99,1),예비비!$E290,0)-SUMIFS(예비비!$O$430:$O$729,예비비!$B$430:$B$729,예비비!$A290,예비비!$E$430:$E$729,"&lt;"&amp;EDATE(BO$99,1))),0)</f>
        <v>0</v>
      </c>
      <c r="BP290">
        <f>IF(예비비!$R290="OK",SUMIFS(예비비!$O$430:$O$729,예비비!$B$430:$B$729,예비비!$A290,예비비!$E$430:$E$729,"&lt;"&amp;EDATE(BP$99,1),예비비!$F$430:$F$729,"결제대금비")+MAX(0,IF(예비비!$D290&lt;EDATE(BP$99,1),예비비!$E290,0)-SUMIFS(예비비!$O$430:$O$729,예비비!$B$430:$B$729,예비비!$A290,예비비!$E$430:$E$729,"&lt;"&amp;EDATE(BP$99,1))),0)</f>
        <v>0</v>
      </c>
      <c r="BQ290">
        <f>IF(예비비!$R290="OK",SUMIFS(예비비!$O$430:$O$729,예비비!$B$430:$B$729,예비비!$A290,예비비!$E$430:$E$729,"&lt;"&amp;EDATE(BQ$99,1),예비비!$F$430:$F$729,"결제대금비")+MAX(0,IF(예비비!$D290&lt;EDATE(BQ$99,1),예비비!$E290,0)-SUMIFS(예비비!$O$430:$O$729,예비비!$B$430:$B$729,예비비!$A290,예비비!$E$430:$E$729,"&lt;"&amp;EDATE(BQ$99,1))),0)</f>
        <v>0</v>
      </c>
      <c r="BR290">
        <f>IF(예비비!$R290="OK",SUMIFS(예비비!$O$430:$O$729,예비비!$B$430:$B$729,예비비!$A290,예비비!$E$430:$E$729,"&lt;"&amp;EDATE(BR$99,1),예비비!$F$430:$F$729,"결제대금비")+MAX(0,IF(예비비!$D290&lt;EDATE(BR$99,1),예비비!$E290,0)-SUMIFS(예비비!$O$430:$O$729,예비비!$B$430:$B$729,예비비!$A290,예비비!$E$430:$E$729,"&lt;"&amp;EDATE(BR$99,1))),0)</f>
        <v>0</v>
      </c>
      <c r="BS290">
        <f>IF(예비비!$R290="OK",SUMIFS(예비비!$O$430:$O$729,예비비!$B$430:$B$729,예비비!$A290,예비비!$E$430:$E$729,"&lt;"&amp;EDATE(BS$99,1),예비비!$F$430:$F$729,"결제대금비")+MAX(0,IF(예비비!$D290&lt;EDATE(BS$99,1),예비비!$E290,0)-SUMIFS(예비비!$O$430:$O$729,예비비!$B$430:$B$729,예비비!$A290,예비비!$E$430:$E$729,"&lt;"&amp;EDATE(BS$99,1))),0)</f>
        <v>0</v>
      </c>
      <c r="BT290">
        <f>IF(예비비!$R290="OK",SUMIFS(예비비!$O$430:$O$729,예비비!$B$430:$B$729,예비비!$A290,예비비!$E$430:$E$729,"&lt;"&amp;EDATE(BT$99,1),예비비!$F$430:$F$729,"결제대금비")+MAX(0,IF(예비비!$D290&lt;EDATE(BT$99,1),예비비!$E290,0)-SUMIFS(예비비!$O$430:$O$729,예비비!$B$430:$B$729,예비비!$A290,예비비!$E$430:$E$729,"&lt;"&amp;EDATE(BT$99,1))),0)</f>
        <v>0</v>
      </c>
      <c r="BU290">
        <f>IF(예비비!$R290="OK",SUMIFS(예비비!$O$430:$O$729,예비비!$B$430:$B$729,예비비!$A290,예비비!$E$430:$E$729,"&lt;"&amp;EDATE(BU$99,1),예비비!$F$430:$F$729,"결제대금비")+MAX(0,IF(예비비!$D290&lt;EDATE(BU$99,1),예비비!$E290,0)-SUMIFS(예비비!$O$430:$O$729,예비비!$B$430:$B$729,예비비!$A290,예비비!$E$430:$E$729,"&lt;"&amp;EDATE(BU$99,1))),0)</f>
        <v>0</v>
      </c>
    </row>
    <row r="291">
      <c r="BA291">
        <v>235</v>
      </c>
      <c r="BB291">
        <f>IFERROR(INDEX(잔액!$A:$A,BA291),0)</f>
        <v>46308.84792493055</v>
      </c>
      <c r="BH291">
        <f>IFERROR(IF(AND(BB291&gt;0,OR(COUNTIFS(예비비!$C$430:$C$729,BA291,예비비!$N$430:$N$729,"OK")&gt;0,AND(INDEX(잔액!$J:$J,BA291)="가족통장",INDEX(잔액!$K:$K,BA291)="미래에셋_WRAP형CMA"),COUNTIF(예비비!$A$8:$A$12,INDEX(잔액!$C:$C,BA291))=1,COUNTIF(예비비!$A$8:$A$12,INDEX(잔액!$D:$D,BA291))=1),OR(AND(BB291&gt;=예비비!$B$3,BB291&lt;EDATE(예비비!$B$3,1)),AND(BB291&lt;EDATE(예비비!$B$3,1),COUNTIFS(예비비!$C$430:$C$729,BA291,예비비!$L$430:$L$729,예비비!$B$3,예비비!$N$430:$N$729,"OK")&gt;0))),MAX($BH$120:BH290)+1,0),0)</f>
        <v>0</v>
      </c>
      <c r="BI291">
        <f>IF(예비비!$R291="OK",SUMIFS(예비비!$O$430:$O$729,예비비!$B$430:$B$729,예비비!$A291,예비비!$E$430:$E$729,"&lt;"&amp;EDATE(BI$99,1),예비비!$F$430:$F$729,"결제대금비")+MAX(0,IF(예비비!$D291&lt;EDATE(BI$99,1),예비비!$E291,0)-SUMIFS(예비비!$O$430:$O$729,예비비!$B$430:$B$729,예비비!$A291,예비비!$E$430:$E$729,"&lt;"&amp;EDATE(BI$99,1))),0)</f>
        <v>0</v>
      </c>
      <c r="BJ291">
        <f>IF(예비비!$R291="OK",SUMIFS(예비비!$O$430:$O$729,예비비!$B$430:$B$729,예비비!$A291,예비비!$E$430:$E$729,"&lt;"&amp;EDATE(BJ$99,1),예비비!$F$430:$F$729,"결제대금비")+MAX(0,IF(예비비!$D291&lt;EDATE(BJ$99,1),예비비!$E291,0)-SUMIFS(예비비!$O$430:$O$729,예비비!$B$430:$B$729,예비비!$A291,예비비!$E$430:$E$729,"&lt;"&amp;EDATE(BJ$99,1))),0)</f>
        <v>0</v>
      </c>
      <c r="BK291">
        <f>IF(예비비!$R291="OK",SUMIFS(예비비!$O$430:$O$729,예비비!$B$430:$B$729,예비비!$A291,예비비!$E$430:$E$729,"&lt;"&amp;EDATE(BK$99,1),예비비!$F$430:$F$729,"결제대금비")+MAX(0,IF(예비비!$D291&lt;EDATE(BK$99,1),예비비!$E291,0)-SUMIFS(예비비!$O$430:$O$729,예비비!$B$430:$B$729,예비비!$A291,예비비!$E$430:$E$729,"&lt;"&amp;EDATE(BK$99,1))),0)</f>
        <v>0</v>
      </c>
      <c r="BL291">
        <f>IF(예비비!$R291="OK",SUMIFS(예비비!$O$430:$O$729,예비비!$B$430:$B$729,예비비!$A291,예비비!$E$430:$E$729,"&lt;"&amp;EDATE(BL$99,1),예비비!$F$430:$F$729,"결제대금비")+MAX(0,IF(예비비!$D291&lt;EDATE(BL$99,1),예비비!$E291,0)-SUMIFS(예비비!$O$430:$O$729,예비비!$B$430:$B$729,예비비!$A291,예비비!$E$430:$E$729,"&lt;"&amp;EDATE(BL$99,1))),0)</f>
        <v>0</v>
      </c>
      <c r="BM291">
        <f>IF(예비비!$R291="OK",SUMIFS(예비비!$O$430:$O$729,예비비!$B$430:$B$729,예비비!$A291,예비비!$E$430:$E$729,"&lt;"&amp;EDATE(BM$99,1),예비비!$F$430:$F$729,"결제대금비")+MAX(0,IF(예비비!$D291&lt;EDATE(BM$99,1),예비비!$E291,0)-SUMIFS(예비비!$O$430:$O$729,예비비!$B$430:$B$729,예비비!$A291,예비비!$E$430:$E$729,"&lt;"&amp;EDATE(BM$99,1))),0)</f>
        <v>0</v>
      </c>
      <c r="BN291">
        <f>IF(예비비!$R291="OK",SUMIFS(예비비!$O$430:$O$729,예비비!$B$430:$B$729,예비비!$A291,예비비!$E$430:$E$729,"&lt;"&amp;EDATE(BN$99,1),예비비!$F$430:$F$729,"결제대금비")+MAX(0,IF(예비비!$D291&lt;EDATE(BN$99,1),예비비!$E291,0)-SUMIFS(예비비!$O$430:$O$729,예비비!$B$430:$B$729,예비비!$A291,예비비!$E$430:$E$729,"&lt;"&amp;EDATE(BN$99,1))),0)</f>
        <v>0</v>
      </c>
      <c r="BO291">
        <f>IF(예비비!$R291="OK",SUMIFS(예비비!$O$430:$O$729,예비비!$B$430:$B$729,예비비!$A291,예비비!$E$430:$E$729,"&lt;"&amp;EDATE(BO$99,1),예비비!$F$430:$F$729,"결제대금비")+MAX(0,IF(예비비!$D291&lt;EDATE(BO$99,1),예비비!$E291,0)-SUMIFS(예비비!$O$430:$O$729,예비비!$B$430:$B$729,예비비!$A291,예비비!$E$430:$E$729,"&lt;"&amp;EDATE(BO$99,1))),0)</f>
        <v>0</v>
      </c>
      <c r="BP291">
        <f>IF(예비비!$R291="OK",SUMIFS(예비비!$O$430:$O$729,예비비!$B$430:$B$729,예비비!$A291,예비비!$E$430:$E$729,"&lt;"&amp;EDATE(BP$99,1),예비비!$F$430:$F$729,"결제대금비")+MAX(0,IF(예비비!$D291&lt;EDATE(BP$99,1),예비비!$E291,0)-SUMIFS(예비비!$O$430:$O$729,예비비!$B$430:$B$729,예비비!$A291,예비비!$E$430:$E$729,"&lt;"&amp;EDATE(BP$99,1))),0)</f>
        <v>0</v>
      </c>
      <c r="BQ291">
        <f>IF(예비비!$R291="OK",SUMIFS(예비비!$O$430:$O$729,예비비!$B$430:$B$729,예비비!$A291,예비비!$E$430:$E$729,"&lt;"&amp;EDATE(BQ$99,1),예비비!$F$430:$F$729,"결제대금비")+MAX(0,IF(예비비!$D291&lt;EDATE(BQ$99,1),예비비!$E291,0)-SUMIFS(예비비!$O$430:$O$729,예비비!$B$430:$B$729,예비비!$A291,예비비!$E$430:$E$729,"&lt;"&amp;EDATE(BQ$99,1))),0)</f>
        <v>0</v>
      </c>
      <c r="BR291">
        <f>IF(예비비!$R291="OK",SUMIFS(예비비!$O$430:$O$729,예비비!$B$430:$B$729,예비비!$A291,예비비!$E$430:$E$729,"&lt;"&amp;EDATE(BR$99,1),예비비!$F$430:$F$729,"결제대금비")+MAX(0,IF(예비비!$D291&lt;EDATE(BR$99,1),예비비!$E291,0)-SUMIFS(예비비!$O$430:$O$729,예비비!$B$430:$B$729,예비비!$A291,예비비!$E$430:$E$729,"&lt;"&amp;EDATE(BR$99,1))),0)</f>
        <v>0</v>
      </c>
      <c r="BS291">
        <f>IF(예비비!$R291="OK",SUMIFS(예비비!$O$430:$O$729,예비비!$B$430:$B$729,예비비!$A291,예비비!$E$430:$E$729,"&lt;"&amp;EDATE(BS$99,1),예비비!$F$430:$F$729,"결제대금비")+MAX(0,IF(예비비!$D291&lt;EDATE(BS$99,1),예비비!$E291,0)-SUMIFS(예비비!$O$430:$O$729,예비비!$B$430:$B$729,예비비!$A291,예비비!$E$430:$E$729,"&lt;"&amp;EDATE(BS$99,1))),0)</f>
        <v>0</v>
      </c>
      <c r="BT291">
        <f>IF(예비비!$R291="OK",SUMIFS(예비비!$O$430:$O$729,예비비!$B$430:$B$729,예비비!$A291,예비비!$E$430:$E$729,"&lt;"&amp;EDATE(BT$99,1),예비비!$F$430:$F$729,"결제대금비")+MAX(0,IF(예비비!$D291&lt;EDATE(BT$99,1),예비비!$E291,0)-SUMIFS(예비비!$O$430:$O$729,예비비!$B$430:$B$729,예비비!$A291,예비비!$E$430:$E$729,"&lt;"&amp;EDATE(BT$99,1))),0)</f>
        <v>0</v>
      </c>
      <c r="BU291">
        <f>IF(예비비!$R291="OK",SUMIFS(예비비!$O$430:$O$729,예비비!$B$430:$B$729,예비비!$A291,예비비!$E$430:$E$729,"&lt;"&amp;EDATE(BU$99,1),예비비!$F$430:$F$729,"결제대금비")+MAX(0,IF(예비비!$D291&lt;EDATE(BU$99,1),예비비!$E291,0)-SUMIFS(예비비!$O$430:$O$729,예비비!$B$430:$B$729,예비비!$A291,예비비!$E$430:$E$729,"&lt;"&amp;EDATE(BU$99,1))),0)</f>
        <v>0</v>
      </c>
    </row>
    <row r="292">
      <c r="BA292">
        <v>236</v>
      </c>
      <c r="BB292">
        <f>IFERROR(INDEX(잔액!$A:$A,BA292),0)</f>
        <v>46308.84583777778</v>
      </c>
      <c r="BH292">
        <f>IFERROR(IF(AND(BB292&gt;0,OR(COUNTIFS(예비비!$C$430:$C$729,BA292,예비비!$N$430:$N$729,"OK")&gt;0,AND(INDEX(잔액!$J:$J,BA292)="가족통장",INDEX(잔액!$K:$K,BA292)="미래에셋_WRAP형CMA"),COUNTIF(예비비!$A$8:$A$12,INDEX(잔액!$C:$C,BA292))=1,COUNTIF(예비비!$A$8:$A$12,INDEX(잔액!$D:$D,BA292))=1),OR(AND(BB292&gt;=예비비!$B$3,BB292&lt;EDATE(예비비!$B$3,1)),AND(BB292&lt;EDATE(예비비!$B$3,1),COUNTIFS(예비비!$C$430:$C$729,BA292,예비비!$L$430:$L$729,예비비!$B$3,예비비!$N$430:$N$729,"OK")&gt;0))),MAX($BH$120:BH291)+1,0),0)</f>
        <v>0</v>
      </c>
      <c r="BI292">
        <f>IF(예비비!$R292="OK",SUMIFS(예비비!$O$430:$O$729,예비비!$B$430:$B$729,예비비!$A292,예비비!$E$430:$E$729,"&lt;"&amp;EDATE(BI$99,1),예비비!$F$430:$F$729,"결제대금비")+MAX(0,IF(예비비!$D292&lt;EDATE(BI$99,1),예비비!$E292,0)-SUMIFS(예비비!$O$430:$O$729,예비비!$B$430:$B$729,예비비!$A292,예비비!$E$430:$E$729,"&lt;"&amp;EDATE(BI$99,1))),0)</f>
        <v>0</v>
      </c>
      <c r="BJ292">
        <f>IF(예비비!$R292="OK",SUMIFS(예비비!$O$430:$O$729,예비비!$B$430:$B$729,예비비!$A292,예비비!$E$430:$E$729,"&lt;"&amp;EDATE(BJ$99,1),예비비!$F$430:$F$729,"결제대금비")+MAX(0,IF(예비비!$D292&lt;EDATE(BJ$99,1),예비비!$E292,0)-SUMIFS(예비비!$O$430:$O$729,예비비!$B$430:$B$729,예비비!$A292,예비비!$E$430:$E$729,"&lt;"&amp;EDATE(BJ$99,1))),0)</f>
        <v>0</v>
      </c>
      <c r="BK292">
        <f>IF(예비비!$R292="OK",SUMIFS(예비비!$O$430:$O$729,예비비!$B$430:$B$729,예비비!$A292,예비비!$E$430:$E$729,"&lt;"&amp;EDATE(BK$99,1),예비비!$F$430:$F$729,"결제대금비")+MAX(0,IF(예비비!$D292&lt;EDATE(BK$99,1),예비비!$E292,0)-SUMIFS(예비비!$O$430:$O$729,예비비!$B$430:$B$729,예비비!$A292,예비비!$E$430:$E$729,"&lt;"&amp;EDATE(BK$99,1))),0)</f>
        <v>0</v>
      </c>
      <c r="BL292">
        <f>IF(예비비!$R292="OK",SUMIFS(예비비!$O$430:$O$729,예비비!$B$430:$B$729,예비비!$A292,예비비!$E$430:$E$729,"&lt;"&amp;EDATE(BL$99,1),예비비!$F$430:$F$729,"결제대금비")+MAX(0,IF(예비비!$D292&lt;EDATE(BL$99,1),예비비!$E292,0)-SUMIFS(예비비!$O$430:$O$729,예비비!$B$430:$B$729,예비비!$A292,예비비!$E$430:$E$729,"&lt;"&amp;EDATE(BL$99,1))),0)</f>
        <v>0</v>
      </c>
      <c r="BM292">
        <f>IF(예비비!$R292="OK",SUMIFS(예비비!$O$430:$O$729,예비비!$B$430:$B$729,예비비!$A292,예비비!$E$430:$E$729,"&lt;"&amp;EDATE(BM$99,1),예비비!$F$430:$F$729,"결제대금비")+MAX(0,IF(예비비!$D292&lt;EDATE(BM$99,1),예비비!$E292,0)-SUMIFS(예비비!$O$430:$O$729,예비비!$B$430:$B$729,예비비!$A292,예비비!$E$430:$E$729,"&lt;"&amp;EDATE(BM$99,1))),0)</f>
        <v>0</v>
      </c>
      <c r="BN292">
        <f>IF(예비비!$R292="OK",SUMIFS(예비비!$O$430:$O$729,예비비!$B$430:$B$729,예비비!$A292,예비비!$E$430:$E$729,"&lt;"&amp;EDATE(BN$99,1),예비비!$F$430:$F$729,"결제대금비")+MAX(0,IF(예비비!$D292&lt;EDATE(BN$99,1),예비비!$E292,0)-SUMIFS(예비비!$O$430:$O$729,예비비!$B$430:$B$729,예비비!$A292,예비비!$E$430:$E$729,"&lt;"&amp;EDATE(BN$99,1))),0)</f>
        <v>0</v>
      </c>
      <c r="BO292">
        <f>IF(예비비!$R292="OK",SUMIFS(예비비!$O$430:$O$729,예비비!$B$430:$B$729,예비비!$A292,예비비!$E$430:$E$729,"&lt;"&amp;EDATE(BO$99,1),예비비!$F$430:$F$729,"결제대금비")+MAX(0,IF(예비비!$D292&lt;EDATE(BO$99,1),예비비!$E292,0)-SUMIFS(예비비!$O$430:$O$729,예비비!$B$430:$B$729,예비비!$A292,예비비!$E$430:$E$729,"&lt;"&amp;EDATE(BO$99,1))),0)</f>
        <v>0</v>
      </c>
      <c r="BP292">
        <f>IF(예비비!$R292="OK",SUMIFS(예비비!$O$430:$O$729,예비비!$B$430:$B$729,예비비!$A292,예비비!$E$430:$E$729,"&lt;"&amp;EDATE(BP$99,1),예비비!$F$430:$F$729,"결제대금비")+MAX(0,IF(예비비!$D292&lt;EDATE(BP$99,1),예비비!$E292,0)-SUMIFS(예비비!$O$430:$O$729,예비비!$B$430:$B$729,예비비!$A292,예비비!$E$430:$E$729,"&lt;"&amp;EDATE(BP$99,1))),0)</f>
        <v>0</v>
      </c>
      <c r="BQ292">
        <f>IF(예비비!$R292="OK",SUMIFS(예비비!$O$430:$O$729,예비비!$B$430:$B$729,예비비!$A292,예비비!$E$430:$E$729,"&lt;"&amp;EDATE(BQ$99,1),예비비!$F$430:$F$729,"결제대금비")+MAX(0,IF(예비비!$D292&lt;EDATE(BQ$99,1),예비비!$E292,0)-SUMIFS(예비비!$O$430:$O$729,예비비!$B$430:$B$729,예비비!$A292,예비비!$E$430:$E$729,"&lt;"&amp;EDATE(BQ$99,1))),0)</f>
        <v>0</v>
      </c>
      <c r="BR292">
        <f>IF(예비비!$R292="OK",SUMIFS(예비비!$O$430:$O$729,예비비!$B$430:$B$729,예비비!$A292,예비비!$E$430:$E$729,"&lt;"&amp;EDATE(BR$99,1),예비비!$F$430:$F$729,"결제대금비")+MAX(0,IF(예비비!$D292&lt;EDATE(BR$99,1),예비비!$E292,0)-SUMIFS(예비비!$O$430:$O$729,예비비!$B$430:$B$729,예비비!$A292,예비비!$E$430:$E$729,"&lt;"&amp;EDATE(BR$99,1))),0)</f>
        <v>0</v>
      </c>
      <c r="BS292">
        <f>IF(예비비!$R292="OK",SUMIFS(예비비!$O$430:$O$729,예비비!$B$430:$B$729,예비비!$A292,예비비!$E$430:$E$729,"&lt;"&amp;EDATE(BS$99,1),예비비!$F$430:$F$729,"결제대금비")+MAX(0,IF(예비비!$D292&lt;EDATE(BS$99,1),예비비!$E292,0)-SUMIFS(예비비!$O$430:$O$729,예비비!$B$430:$B$729,예비비!$A292,예비비!$E$430:$E$729,"&lt;"&amp;EDATE(BS$99,1))),0)</f>
        <v>0</v>
      </c>
      <c r="BT292">
        <f>IF(예비비!$R292="OK",SUMIFS(예비비!$O$430:$O$729,예비비!$B$430:$B$729,예비비!$A292,예비비!$E$430:$E$729,"&lt;"&amp;EDATE(BT$99,1),예비비!$F$430:$F$729,"결제대금비")+MAX(0,IF(예비비!$D292&lt;EDATE(BT$99,1),예비비!$E292,0)-SUMIFS(예비비!$O$430:$O$729,예비비!$B$430:$B$729,예비비!$A292,예비비!$E$430:$E$729,"&lt;"&amp;EDATE(BT$99,1))),0)</f>
        <v>0</v>
      </c>
      <c r="BU292">
        <f>IF(예비비!$R292="OK",SUMIFS(예비비!$O$430:$O$729,예비비!$B$430:$B$729,예비비!$A292,예비비!$E$430:$E$729,"&lt;"&amp;EDATE(BU$99,1),예비비!$F$430:$F$729,"결제대금비")+MAX(0,IF(예비비!$D292&lt;EDATE(BU$99,1),예비비!$E292,0)-SUMIFS(예비비!$O$430:$O$729,예비비!$B$430:$B$729,예비비!$A292,예비비!$E$430:$E$729,"&lt;"&amp;EDATE(BU$99,1))),0)</f>
        <v>0</v>
      </c>
    </row>
    <row r="293">
      <c r="BA293">
        <v>237</v>
      </c>
      <c r="BB293">
        <f>IFERROR(INDEX(잔액!$A:$A,BA293),0)</f>
        <v>46308.74901017361</v>
      </c>
      <c r="BH293">
        <f>IFERROR(IF(AND(BB293&gt;0,OR(COUNTIFS(예비비!$C$430:$C$729,BA293,예비비!$N$430:$N$729,"OK")&gt;0,AND(INDEX(잔액!$J:$J,BA293)="가족통장",INDEX(잔액!$K:$K,BA293)="미래에셋_WRAP형CMA"),COUNTIF(예비비!$A$8:$A$12,INDEX(잔액!$C:$C,BA293))=1,COUNTIF(예비비!$A$8:$A$12,INDEX(잔액!$D:$D,BA293))=1),OR(AND(BB293&gt;=예비비!$B$3,BB293&lt;EDATE(예비비!$B$3,1)),AND(BB293&lt;EDATE(예비비!$B$3,1),COUNTIFS(예비비!$C$430:$C$729,BA293,예비비!$L$430:$L$729,예비비!$B$3,예비비!$N$430:$N$729,"OK")&gt;0))),MAX($BH$120:BH292)+1,0),0)</f>
        <v>0</v>
      </c>
      <c r="BI293">
        <f>IF(예비비!$R293="OK",SUMIFS(예비비!$O$430:$O$729,예비비!$B$430:$B$729,예비비!$A293,예비비!$E$430:$E$729,"&lt;"&amp;EDATE(BI$99,1),예비비!$F$430:$F$729,"결제대금비")+MAX(0,IF(예비비!$D293&lt;EDATE(BI$99,1),예비비!$E293,0)-SUMIFS(예비비!$O$430:$O$729,예비비!$B$430:$B$729,예비비!$A293,예비비!$E$430:$E$729,"&lt;"&amp;EDATE(BI$99,1))),0)</f>
        <v>0</v>
      </c>
      <c r="BJ293">
        <f>IF(예비비!$R293="OK",SUMIFS(예비비!$O$430:$O$729,예비비!$B$430:$B$729,예비비!$A293,예비비!$E$430:$E$729,"&lt;"&amp;EDATE(BJ$99,1),예비비!$F$430:$F$729,"결제대금비")+MAX(0,IF(예비비!$D293&lt;EDATE(BJ$99,1),예비비!$E293,0)-SUMIFS(예비비!$O$430:$O$729,예비비!$B$430:$B$729,예비비!$A293,예비비!$E$430:$E$729,"&lt;"&amp;EDATE(BJ$99,1))),0)</f>
        <v>0</v>
      </c>
      <c r="BK293">
        <f>IF(예비비!$R293="OK",SUMIFS(예비비!$O$430:$O$729,예비비!$B$430:$B$729,예비비!$A293,예비비!$E$430:$E$729,"&lt;"&amp;EDATE(BK$99,1),예비비!$F$430:$F$729,"결제대금비")+MAX(0,IF(예비비!$D293&lt;EDATE(BK$99,1),예비비!$E293,0)-SUMIFS(예비비!$O$430:$O$729,예비비!$B$430:$B$729,예비비!$A293,예비비!$E$430:$E$729,"&lt;"&amp;EDATE(BK$99,1))),0)</f>
        <v>0</v>
      </c>
      <c r="BL293">
        <f>IF(예비비!$R293="OK",SUMIFS(예비비!$O$430:$O$729,예비비!$B$430:$B$729,예비비!$A293,예비비!$E$430:$E$729,"&lt;"&amp;EDATE(BL$99,1),예비비!$F$430:$F$729,"결제대금비")+MAX(0,IF(예비비!$D293&lt;EDATE(BL$99,1),예비비!$E293,0)-SUMIFS(예비비!$O$430:$O$729,예비비!$B$430:$B$729,예비비!$A293,예비비!$E$430:$E$729,"&lt;"&amp;EDATE(BL$99,1))),0)</f>
        <v>0</v>
      </c>
      <c r="BM293">
        <f>IF(예비비!$R293="OK",SUMIFS(예비비!$O$430:$O$729,예비비!$B$430:$B$729,예비비!$A293,예비비!$E$430:$E$729,"&lt;"&amp;EDATE(BM$99,1),예비비!$F$430:$F$729,"결제대금비")+MAX(0,IF(예비비!$D293&lt;EDATE(BM$99,1),예비비!$E293,0)-SUMIFS(예비비!$O$430:$O$729,예비비!$B$430:$B$729,예비비!$A293,예비비!$E$430:$E$729,"&lt;"&amp;EDATE(BM$99,1))),0)</f>
        <v>0</v>
      </c>
      <c r="BN293">
        <f>IF(예비비!$R293="OK",SUMIFS(예비비!$O$430:$O$729,예비비!$B$430:$B$729,예비비!$A293,예비비!$E$430:$E$729,"&lt;"&amp;EDATE(BN$99,1),예비비!$F$430:$F$729,"결제대금비")+MAX(0,IF(예비비!$D293&lt;EDATE(BN$99,1),예비비!$E293,0)-SUMIFS(예비비!$O$430:$O$729,예비비!$B$430:$B$729,예비비!$A293,예비비!$E$430:$E$729,"&lt;"&amp;EDATE(BN$99,1))),0)</f>
        <v>0</v>
      </c>
      <c r="BO293">
        <f>IF(예비비!$R293="OK",SUMIFS(예비비!$O$430:$O$729,예비비!$B$430:$B$729,예비비!$A293,예비비!$E$430:$E$729,"&lt;"&amp;EDATE(BO$99,1),예비비!$F$430:$F$729,"결제대금비")+MAX(0,IF(예비비!$D293&lt;EDATE(BO$99,1),예비비!$E293,0)-SUMIFS(예비비!$O$430:$O$729,예비비!$B$430:$B$729,예비비!$A293,예비비!$E$430:$E$729,"&lt;"&amp;EDATE(BO$99,1))),0)</f>
        <v>0</v>
      </c>
      <c r="BP293">
        <f>IF(예비비!$R293="OK",SUMIFS(예비비!$O$430:$O$729,예비비!$B$430:$B$729,예비비!$A293,예비비!$E$430:$E$729,"&lt;"&amp;EDATE(BP$99,1),예비비!$F$430:$F$729,"결제대금비")+MAX(0,IF(예비비!$D293&lt;EDATE(BP$99,1),예비비!$E293,0)-SUMIFS(예비비!$O$430:$O$729,예비비!$B$430:$B$729,예비비!$A293,예비비!$E$430:$E$729,"&lt;"&amp;EDATE(BP$99,1))),0)</f>
        <v>0</v>
      </c>
      <c r="BQ293">
        <f>IF(예비비!$R293="OK",SUMIFS(예비비!$O$430:$O$729,예비비!$B$430:$B$729,예비비!$A293,예비비!$E$430:$E$729,"&lt;"&amp;EDATE(BQ$99,1),예비비!$F$430:$F$729,"결제대금비")+MAX(0,IF(예비비!$D293&lt;EDATE(BQ$99,1),예비비!$E293,0)-SUMIFS(예비비!$O$430:$O$729,예비비!$B$430:$B$729,예비비!$A293,예비비!$E$430:$E$729,"&lt;"&amp;EDATE(BQ$99,1))),0)</f>
        <v>0</v>
      </c>
      <c r="BR293">
        <f>IF(예비비!$R293="OK",SUMIFS(예비비!$O$430:$O$729,예비비!$B$430:$B$729,예비비!$A293,예비비!$E$430:$E$729,"&lt;"&amp;EDATE(BR$99,1),예비비!$F$430:$F$729,"결제대금비")+MAX(0,IF(예비비!$D293&lt;EDATE(BR$99,1),예비비!$E293,0)-SUMIFS(예비비!$O$430:$O$729,예비비!$B$430:$B$729,예비비!$A293,예비비!$E$430:$E$729,"&lt;"&amp;EDATE(BR$99,1))),0)</f>
        <v>0</v>
      </c>
      <c r="BS293">
        <f>IF(예비비!$R293="OK",SUMIFS(예비비!$O$430:$O$729,예비비!$B$430:$B$729,예비비!$A293,예비비!$E$430:$E$729,"&lt;"&amp;EDATE(BS$99,1),예비비!$F$430:$F$729,"결제대금비")+MAX(0,IF(예비비!$D293&lt;EDATE(BS$99,1),예비비!$E293,0)-SUMIFS(예비비!$O$430:$O$729,예비비!$B$430:$B$729,예비비!$A293,예비비!$E$430:$E$729,"&lt;"&amp;EDATE(BS$99,1))),0)</f>
        <v>0</v>
      </c>
      <c r="BT293">
        <f>IF(예비비!$R293="OK",SUMIFS(예비비!$O$430:$O$729,예비비!$B$430:$B$729,예비비!$A293,예비비!$E$430:$E$729,"&lt;"&amp;EDATE(BT$99,1),예비비!$F$430:$F$729,"결제대금비")+MAX(0,IF(예비비!$D293&lt;EDATE(BT$99,1),예비비!$E293,0)-SUMIFS(예비비!$O$430:$O$729,예비비!$B$430:$B$729,예비비!$A293,예비비!$E$430:$E$729,"&lt;"&amp;EDATE(BT$99,1))),0)</f>
        <v>0</v>
      </c>
      <c r="BU293">
        <f>IF(예비비!$R293="OK",SUMIFS(예비비!$O$430:$O$729,예비비!$B$430:$B$729,예비비!$A293,예비비!$E$430:$E$729,"&lt;"&amp;EDATE(BU$99,1),예비비!$F$430:$F$729,"결제대금비")+MAX(0,IF(예비비!$D293&lt;EDATE(BU$99,1),예비비!$E293,0)-SUMIFS(예비비!$O$430:$O$729,예비비!$B$430:$B$729,예비비!$A293,예비비!$E$430:$E$729,"&lt;"&amp;EDATE(BU$99,1))),0)</f>
        <v>0</v>
      </c>
    </row>
    <row r="294">
      <c r="BA294">
        <v>238</v>
      </c>
      <c r="BB294">
        <f>IFERROR(INDEX(잔액!$A:$A,BA294),0)</f>
        <v>46307.84306710648</v>
      </c>
      <c r="BH294">
        <f>IFERROR(IF(AND(BB294&gt;0,OR(COUNTIFS(예비비!$C$430:$C$729,BA294,예비비!$N$430:$N$729,"OK")&gt;0,AND(INDEX(잔액!$J:$J,BA294)="가족통장",INDEX(잔액!$K:$K,BA294)="미래에셋_WRAP형CMA"),COUNTIF(예비비!$A$8:$A$12,INDEX(잔액!$C:$C,BA294))=1,COUNTIF(예비비!$A$8:$A$12,INDEX(잔액!$D:$D,BA294))=1),OR(AND(BB294&gt;=예비비!$B$3,BB294&lt;EDATE(예비비!$B$3,1)),AND(BB294&lt;EDATE(예비비!$B$3,1),COUNTIFS(예비비!$C$430:$C$729,BA294,예비비!$L$430:$L$729,예비비!$B$3,예비비!$N$430:$N$729,"OK")&gt;0))),MAX($BH$120:BH293)+1,0),0)</f>
        <v>0</v>
      </c>
      <c r="BI294">
        <f>IF(예비비!$R294="OK",SUMIFS(예비비!$O$430:$O$729,예비비!$B$430:$B$729,예비비!$A294,예비비!$E$430:$E$729,"&lt;"&amp;EDATE(BI$99,1),예비비!$F$430:$F$729,"결제대금비")+MAX(0,IF(예비비!$D294&lt;EDATE(BI$99,1),예비비!$E294,0)-SUMIFS(예비비!$O$430:$O$729,예비비!$B$430:$B$729,예비비!$A294,예비비!$E$430:$E$729,"&lt;"&amp;EDATE(BI$99,1))),0)</f>
        <v>0</v>
      </c>
      <c r="BJ294">
        <f>IF(예비비!$R294="OK",SUMIFS(예비비!$O$430:$O$729,예비비!$B$430:$B$729,예비비!$A294,예비비!$E$430:$E$729,"&lt;"&amp;EDATE(BJ$99,1),예비비!$F$430:$F$729,"결제대금비")+MAX(0,IF(예비비!$D294&lt;EDATE(BJ$99,1),예비비!$E294,0)-SUMIFS(예비비!$O$430:$O$729,예비비!$B$430:$B$729,예비비!$A294,예비비!$E$430:$E$729,"&lt;"&amp;EDATE(BJ$99,1))),0)</f>
        <v>0</v>
      </c>
      <c r="BK294">
        <f>IF(예비비!$R294="OK",SUMIFS(예비비!$O$430:$O$729,예비비!$B$430:$B$729,예비비!$A294,예비비!$E$430:$E$729,"&lt;"&amp;EDATE(BK$99,1),예비비!$F$430:$F$729,"결제대금비")+MAX(0,IF(예비비!$D294&lt;EDATE(BK$99,1),예비비!$E294,0)-SUMIFS(예비비!$O$430:$O$729,예비비!$B$430:$B$729,예비비!$A294,예비비!$E$430:$E$729,"&lt;"&amp;EDATE(BK$99,1))),0)</f>
        <v>0</v>
      </c>
      <c r="BL294">
        <f>IF(예비비!$R294="OK",SUMIFS(예비비!$O$430:$O$729,예비비!$B$430:$B$729,예비비!$A294,예비비!$E$430:$E$729,"&lt;"&amp;EDATE(BL$99,1),예비비!$F$430:$F$729,"결제대금비")+MAX(0,IF(예비비!$D294&lt;EDATE(BL$99,1),예비비!$E294,0)-SUMIFS(예비비!$O$430:$O$729,예비비!$B$430:$B$729,예비비!$A294,예비비!$E$430:$E$729,"&lt;"&amp;EDATE(BL$99,1))),0)</f>
        <v>0</v>
      </c>
      <c r="BM294">
        <f>IF(예비비!$R294="OK",SUMIFS(예비비!$O$430:$O$729,예비비!$B$430:$B$729,예비비!$A294,예비비!$E$430:$E$729,"&lt;"&amp;EDATE(BM$99,1),예비비!$F$430:$F$729,"결제대금비")+MAX(0,IF(예비비!$D294&lt;EDATE(BM$99,1),예비비!$E294,0)-SUMIFS(예비비!$O$430:$O$729,예비비!$B$430:$B$729,예비비!$A294,예비비!$E$430:$E$729,"&lt;"&amp;EDATE(BM$99,1))),0)</f>
        <v>0</v>
      </c>
      <c r="BN294">
        <f>IF(예비비!$R294="OK",SUMIFS(예비비!$O$430:$O$729,예비비!$B$430:$B$729,예비비!$A294,예비비!$E$430:$E$729,"&lt;"&amp;EDATE(BN$99,1),예비비!$F$430:$F$729,"결제대금비")+MAX(0,IF(예비비!$D294&lt;EDATE(BN$99,1),예비비!$E294,0)-SUMIFS(예비비!$O$430:$O$729,예비비!$B$430:$B$729,예비비!$A294,예비비!$E$430:$E$729,"&lt;"&amp;EDATE(BN$99,1))),0)</f>
        <v>0</v>
      </c>
      <c r="BO294">
        <f>IF(예비비!$R294="OK",SUMIFS(예비비!$O$430:$O$729,예비비!$B$430:$B$729,예비비!$A294,예비비!$E$430:$E$729,"&lt;"&amp;EDATE(BO$99,1),예비비!$F$430:$F$729,"결제대금비")+MAX(0,IF(예비비!$D294&lt;EDATE(BO$99,1),예비비!$E294,0)-SUMIFS(예비비!$O$430:$O$729,예비비!$B$430:$B$729,예비비!$A294,예비비!$E$430:$E$729,"&lt;"&amp;EDATE(BO$99,1))),0)</f>
        <v>0</v>
      </c>
      <c r="BP294">
        <f>IF(예비비!$R294="OK",SUMIFS(예비비!$O$430:$O$729,예비비!$B$430:$B$729,예비비!$A294,예비비!$E$430:$E$729,"&lt;"&amp;EDATE(BP$99,1),예비비!$F$430:$F$729,"결제대금비")+MAX(0,IF(예비비!$D294&lt;EDATE(BP$99,1),예비비!$E294,0)-SUMIFS(예비비!$O$430:$O$729,예비비!$B$430:$B$729,예비비!$A294,예비비!$E$430:$E$729,"&lt;"&amp;EDATE(BP$99,1))),0)</f>
        <v>0</v>
      </c>
      <c r="BQ294">
        <f>IF(예비비!$R294="OK",SUMIFS(예비비!$O$430:$O$729,예비비!$B$430:$B$729,예비비!$A294,예비비!$E$430:$E$729,"&lt;"&amp;EDATE(BQ$99,1),예비비!$F$430:$F$729,"결제대금비")+MAX(0,IF(예비비!$D294&lt;EDATE(BQ$99,1),예비비!$E294,0)-SUMIFS(예비비!$O$430:$O$729,예비비!$B$430:$B$729,예비비!$A294,예비비!$E$430:$E$729,"&lt;"&amp;EDATE(BQ$99,1))),0)</f>
        <v>0</v>
      </c>
      <c r="BR294">
        <f>IF(예비비!$R294="OK",SUMIFS(예비비!$O$430:$O$729,예비비!$B$430:$B$729,예비비!$A294,예비비!$E$430:$E$729,"&lt;"&amp;EDATE(BR$99,1),예비비!$F$430:$F$729,"결제대금비")+MAX(0,IF(예비비!$D294&lt;EDATE(BR$99,1),예비비!$E294,0)-SUMIFS(예비비!$O$430:$O$729,예비비!$B$430:$B$729,예비비!$A294,예비비!$E$430:$E$729,"&lt;"&amp;EDATE(BR$99,1))),0)</f>
        <v>0</v>
      </c>
      <c r="BS294">
        <f>IF(예비비!$R294="OK",SUMIFS(예비비!$O$430:$O$729,예비비!$B$430:$B$729,예비비!$A294,예비비!$E$430:$E$729,"&lt;"&amp;EDATE(BS$99,1),예비비!$F$430:$F$729,"결제대금비")+MAX(0,IF(예비비!$D294&lt;EDATE(BS$99,1),예비비!$E294,0)-SUMIFS(예비비!$O$430:$O$729,예비비!$B$430:$B$729,예비비!$A294,예비비!$E$430:$E$729,"&lt;"&amp;EDATE(BS$99,1))),0)</f>
        <v>0</v>
      </c>
      <c r="BT294">
        <f>IF(예비비!$R294="OK",SUMIFS(예비비!$O$430:$O$729,예비비!$B$430:$B$729,예비비!$A294,예비비!$E$430:$E$729,"&lt;"&amp;EDATE(BT$99,1),예비비!$F$430:$F$729,"결제대금비")+MAX(0,IF(예비비!$D294&lt;EDATE(BT$99,1),예비비!$E294,0)-SUMIFS(예비비!$O$430:$O$729,예비비!$B$430:$B$729,예비비!$A294,예비비!$E$430:$E$729,"&lt;"&amp;EDATE(BT$99,1))),0)</f>
        <v>0</v>
      </c>
      <c r="BU294">
        <f>IF(예비비!$R294="OK",SUMIFS(예비비!$O$430:$O$729,예비비!$B$430:$B$729,예비비!$A294,예비비!$E$430:$E$729,"&lt;"&amp;EDATE(BU$99,1),예비비!$F$430:$F$729,"결제대금비")+MAX(0,IF(예비비!$D294&lt;EDATE(BU$99,1),예비비!$E294,0)-SUMIFS(예비비!$O$430:$O$729,예비비!$B$430:$B$729,예비비!$A294,예비비!$E$430:$E$729,"&lt;"&amp;EDATE(BU$99,1))),0)</f>
        <v>0</v>
      </c>
    </row>
    <row r="295">
      <c r="BA295">
        <v>239</v>
      </c>
      <c r="BB295">
        <f>IFERROR(INDEX(잔액!$A:$A,BA295),0)</f>
        <v>46307.82500104167</v>
      </c>
      <c r="BH295">
        <f>IFERROR(IF(AND(BB295&gt;0,OR(COUNTIFS(예비비!$C$430:$C$729,BA295,예비비!$N$430:$N$729,"OK")&gt;0,AND(INDEX(잔액!$J:$J,BA295)="가족통장",INDEX(잔액!$K:$K,BA295)="미래에셋_WRAP형CMA"),COUNTIF(예비비!$A$8:$A$12,INDEX(잔액!$C:$C,BA295))=1,COUNTIF(예비비!$A$8:$A$12,INDEX(잔액!$D:$D,BA295))=1),OR(AND(BB295&gt;=예비비!$B$3,BB295&lt;EDATE(예비비!$B$3,1)),AND(BB295&lt;EDATE(예비비!$B$3,1),COUNTIFS(예비비!$C$430:$C$729,BA295,예비비!$L$430:$L$729,예비비!$B$3,예비비!$N$430:$N$729,"OK")&gt;0))),MAX($BH$120:BH294)+1,0),0)</f>
        <v>0</v>
      </c>
      <c r="BI295">
        <f>IF(예비비!$R295="OK",SUMIFS(예비비!$O$430:$O$729,예비비!$B$430:$B$729,예비비!$A295,예비비!$E$430:$E$729,"&lt;"&amp;EDATE(BI$99,1),예비비!$F$430:$F$729,"결제대금비")+MAX(0,IF(예비비!$D295&lt;EDATE(BI$99,1),예비비!$E295,0)-SUMIFS(예비비!$O$430:$O$729,예비비!$B$430:$B$729,예비비!$A295,예비비!$E$430:$E$729,"&lt;"&amp;EDATE(BI$99,1))),0)</f>
        <v>0</v>
      </c>
      <c r="BJ295">
        <f>IF(예비비!$R295="OK",SUMIFS(예비비!$O$430:$O$729,예비비!$B$430:$B$729,예비비!$A295,예비비!$E$430:$E$729,"&lt;"&amp;EDATE(BJ$99,1),예비비!$F$430:$F$729,"결제대금비")+MAX(0,IF(예비비!$D295&lt;EDATE(BJ$99,1),예비비!$E295,0)-SUMIFS(예비비!$O$430:$O$729,예비비!$B$430:$B$729,예비비!$A295,예비비!$E$430:$E$729,"&lt;"&amp;EDATE(BJ$99,1))),0)</f>
        <v>0</v>
      </c>
      <c r="BK295">
        <f>IF(예비비!$R295="OK",SUMIFS(예비비!$O$430:$O$729,예비비!$B$430:$B$729,예비비!$A295,예비비!$E$430:$E$729,"&lt;"&amp;EDATE(BK$99,1),예비비!$F$430:$F$729,"결제대금비")+MAX(0,IF(예비비!$D295&lt;EDATE(BK$99,1),예비비!$E295,0)-SUMIFS(예비비!$O$430:$O$729,예비비!$B$430:$B$729,예비비!$A295,예비비!$E$430:$E$729,"&lt;"&amp;EDATE(BK$99,1))),0)</f>
        <v>0</v>
      </c>
      <c r="BL295">
        <f>IF(예비비!$R295="OK",SUMIFS(예비비!$O$430:$O$729,예비비!$B$430:$B$729,예비비!$A295,예비비!$E$430:$E$729,"&lt;"&amp;EDATE(BL$99,1),예비비!$F$430:$F$729,"결제대금비")+MAX(0,IF(예비비!$D295&lt;EDATE(BL$99,1),예비비!$E295,0)-SUMIFS(예비비!$O$430:$O$729,예비비!$B$430:$B$729,예비비!$A295,예비비!$E$430:$E$729,"&lt;"&amp;EDATE(BL$99,1))),0)</f>
        <v>0</v>
      </c>
      <c r="BM295">
        <f>IF(예비비!$R295="OK",SUMIFS(예비비!$O$430:$O$729,예비비!$B$430:$B$729,예비비!$A295,예비비!$E$430:$E$729,"&lt;"&amp;EDATE(BM$99,1),예비비!$F$430:$F$729,"결제대금비")+MAX(0,IF(예비비!$D295&lt;EDATE(BM$99,1),예비비!$E295,0)-SUMIFS(예비비!$O$430:$O$729,예비비!$B$430:$B$729,예비비!$A295,예비비!$E$430:$E$729,"&lt;"&amp;EDATE(BM$99,1))),0)</f>
        <v>0</v>
      </c>
      <c r="BN295">
        <f>IF(예비비!$R295="OK",SUMIFS(예비비!$O$430:$O$729,예비비!$B$430:$B$729,예비비!$A295,예비비!$E$430:$E$729,"&lt;"&amp;EDATE(BN$99,1),예비비!$F$430:$F$729,"결제대금비")+MAX(0,IF(예비비!$D295&lt;EDATE(BN$99,1),예비비!$E295,0)-SUMIFS(예비비!$O$430:$O$729,예비비!$B$430:$B$729,예비비!$A295,예비비!$E$430:$E$729,"&lt;"&amp;EDATE(BN$99,1))),0)</f>
        <v>0</v>
      </c>
      <c r="BO295">
        <f>IF(예비비!$R295="OK",SUMIFS(예비비!$O$430:$O$729,예비비!$B$430:$B$729,예비비!$A295,예비비!$E$430:$E$729,"&lt;"&amp;EDATE(BO$99,1),예비비!$F$430:$F$729,"결제대금비")+MAX(0,IF(예비비!$D295&lt;EDATE(BO$99,1),예비비!$E295,0)-SUMIFS(예비비!$O$430:$O$729,예비비!$B$430:$B$729,예비비!$A295,예비비!$E$430:$E$729,"&lt;"&amp;EDATE(BO$99,1))),0)</f>
        <v>0</v>
      </c>
      <c r="BP295">
        <f>IF(예비비!$R295="OK",SUMIFS(예비비!$O$430:$O$729,예비비!$B$430:$B$729,예비비!$A295,예비비!$E$430:$E$729,"&lt;"&amp;EDATE(BP$99,1),예비비!$F$430:$F$729,"결제대금비")+MAX(0,IF(예비비!$D295&lt;EDATE(BP$99,1),예비비!$E295,0)-SUMIFS(예비비!$O$430:$O$729,예비비!$B$430:$B$729,예비비!$A295,예비비!$E$430:$E$729,"&lt;"&amp;EDATE(BP$99,1))),0)</f>
        <v>0</v>
      </c>
      <c r="BQ295">
        <f>IF(예비비!$R295="OK",SUMIFS(예비비!$O$430:$O$729,예비비!$B$430:$B$729,예비비!$A295,예비비!$E$430:$E$729,"&lt;"&amp;EDATE(BQ$99,1),예비비!$F$430:$F$729,"결제대금비")+MAX(0,IF(예비비!$D295&lt;EDATE(BQ$99,1),예비비!$E295,0)-SUMIFS(예비비!$O$430:$O$729,예비비!$B$430:$B$729,예비비!$A295,예비비!$E$430:$E$729,"&lt;"&amp;EDATE(BQ$99,1))),0)</f>
        <v>0</v>
      </c>
      <c r="BR295">
        <f>IF(예비비!$R295="OK",SUMIFS(예비비!$O$430:$O$729,예비비!$B$430:$B$729,예비비!$A295,예비비!$E$430:$E$729,"&lt;"&amp;EDATE(BR$99,1),예비비!$F$430:$F$729,"결제대금비")+MAX(0,IF(예비비!$D295&lt;EDATE(BR$99,1),예비비!$E295,0)-SUMIFS(예비비!$O$430:$O$729,예비비!$B$430:$B$729,예비비!$A295,예비비!$E$430:$E$729,"&lt;"&amp;EDATE(BR$99,1))),0)</f>
        <v>0</v>
      </c>
      <c r="BS295">
        <f>IF(예비비!$R295="OK",SUMIFS(예비비!$O$430:$O$729,예비비!$B$430:$B$729,예비비!$A295,예비비!$E$430:$E$729,"&lt;"&amp;EDATE(BS$99,1),예비비!$F$430:$F$729,"결제대금비")+MAX(0,IF(예비비!$D295&lt;EDATE(BS$99,1),예비비!$E295,0)-SUMIFS(예비비!$O$430:$O$729,예비비!$B$430:$B$729,예비비!$A295,예비비!$E$430:$E$729,"&lt;"&amp;EDATE(BS$99,1))),0)</f>
        <v>0</v>
      </c>
      <c r="BT295">
        <f>IF(예비비!$R295="OK",SUMIFS(예비비!$O$430:$O$729,예비비!$B$430:$B$729,예비비!$A295,예비비!$E$430:$E$729,"&lt;"&amp;EDATE(BT$99,1),예비비!$F$430:$F$729,"결제대금비")+MAX(0,IF(예비비!$D295&lt;EDATE(BT$99,1),예비비!$E295,0)-SUMIFS(예비비!$O$430:$O$729,예비비!$B$430:$B$729,예비비!$A295,예비비!$E$430:$E$729,"&lt;"&amp;EDATE(BT$99,1))),0)</f>
        <v>0</v>
      </c>
      <c r="BU295">
        <f>IF(예비비!$R295="OK",SUMIFS(예비비!$O$430:$O$729,예비비!$B$430:$B$729,예비비!$A295,예비비!$E$430:$E$729,"&lt;"&amp;EDATE(BU$99,1),예비비!$F$430:$F$729,"결제대금비")+MAX(0,IF(예비비!$D295&lt;EDATE(BU$99,1),예비비!$E295,0)-SUMIFS(예비비!$O$430:$O$729,예비비!$B$430:$B$729,예비비!$A295,예비비!$E$430:$E$729,"&lt;"&amp;EDATE(BU$99,1))),0)</f>
        <v>0</v>
      </c>
    </row>
    <row r="296">
      <c r="BA296">
        <v>240</v>
      </c>
      <c r="BB296">
        <f>IFERROR(INDEX(잔액!$A:$A,BA296),0)</f>
        <v>46307.82431055555</v>
      </c>
      <c r="BH296">
        <f>IFERROR(IF(AND(BB296&gt;0,OR(COUNTIFS(예비비!$C$430:$C$729,BA296,예비비!$N$430:$N$729,"OK")&gt;0,AND(INDEX(잔액!$J:$J,BA296)="가족통장",INDEX(잔액!$K:$K,BA296)="미래에셋_WRAP형CMA"),COUNTIF(예비비!$A$8:$A$12,INDEX(잔액!$C:$C,BA296))=1,COUNTIF(예비비!$A$8:$A$12,INDEX(잔액!$D:$D,BA296))=1),OR(AND(BB296&gt;=예비비!$B$3,BB296&lt;EDATE(예비비!$B$3,1)),AND(BB296&lt;EDATE(예비비!$B$3,1),COUNTIFS(예비비!$C$430:$C$729,BA296,예비비!$L$430:$L$729,예비비!$B$3,예비비!$N$430:$N$729,"OK")&gt;0))),MAX($BH$120:BH295)+1,0),0)</f>
        <v>0</v>
      </c>
      <c r="BI296">
        <f>IF(예비비!$R296="OK",SUMIFS(예비비!$O$430:$O$729,예비비!$B$430:$B$729,예비비!$A296,예비비!$E$430:$E$729,"&lt;"&amp;EDATE(BI$99,1),예비비!$F$430:$F$729,"결제대금비")+MAX(0,IF(예비비!$D296&lt;EDATE(BI$99,1),예비비!$E296,0)-SUMIFS(예비비!$O$430:$O$729,예비비!$B$430:$B$729,예비비!$A296,예비비!$E$430:$E$729,"&lt;"&amp;EDATE(BI$99,1))),0)</f>
        <v>0</v>
      </c>
      <c r="BJ296">
        <f>IF(예비비!$R296="OK",SUMIFS(예비비!$O$430:$O$729,예비비!$B$430:$B$729,예비비!$A296,예비비!$E$430:$E$729,"&lt;"&amp;EDATE(BJ$99,1),예비비!$F$430:$F$729,"결제대금비")+MAX(0,IF(예비비!$D296&lt;EDATE(BJ$99,1),예비비!$E296,0)-SUMIFS(예비비!$O$430:$O$729,예비비!$B$430:$B$729,예비비!$A296,예비비!$E$430:$E$729,"&lt;"&amp;EDATE(BJ$99,1))),0)</f>
        <v>0</v>
      </c>
      <c r="BK296">
        <f>IF(예비비!$R296="OK",SUMIFS(예비비!$O$430:$O$729,예비비!$B$430:$B$729,예비비!$A296,예비비!$E$430:$E$729,"&lt;"&amp;EDATE(BK$99,1),예비비!$F$430:$F$729,"결제대금비")+MAX(0,IF(예비비!$D296&lt;EDATE(BK$99,1),예비비!$E296,0)-SUMIFS(예비비!$O$430:$O$729,예비비!$B$430:$B$729,예비비!$A296,예비비!$E$430:$E$729,"&lt;"&amp;EDATE(BK$99,1))),0)</f>
        <v>0</v>
      </c>
      <c r="BL296">
        <f>IF(예비비!$R296="OK",SUMIFS(예비비!$O$430:$O$729,예비비!$B$430:$B$729,예비비!$A296,예비비!$E$430:$E$729,"&lt;"&amp;EDATE(BL$99,1),예비비!$F$430:$F$729,"결제대금비")+MAX(0,IF(예비비!$D296&lt;EDATE(BL$99,1),예비비!$E296,0)-SUMIFS(예비비!$O$430:$O$729,예비비!$B$430:$B$729,예비비!$A296,예비비!$E$430:$E$729,"&lt;"&amp;EDATE(BL$99,1))),0)</f>
        <v>0</v>
      </c>
      <c r="BM296">
        <f>IF(예비비!$R296="OK",SUMIFS(예비비!$O$430:$O$729,예비비!$B$430:$B$729,예비비!$A296,예비비!$E$430:$E$729,"&lt;"&amp;EDATE(BM$99,1),예비비!$F$430:$F$729,"결제대금비")+MAX(0,IF(예비비!$D296&lt;EDATE(BM$99,1),예비비!$E296,0)-SUMIFS(예비비!$O$430:$O$729,예비비!$B$430:$B$729,예비비!$A296,예비비!$E$430:$E$729,"&lt;"&amp;EDATE(BM$99,1))),0)</f>
        <v>0</v>
      </c>
      <c r="BN296">
        <f>IF(예비비!$R296="OK",SUMIFS(예비비!$O$430:$O$729,예비비!$B$430:$B$729,예비비!$A296,예비비!$E$430:$E$729,"&lt;"&amp;EDATE(BN$99,1),예비비!$F$430:$F$729,"결제대금비")+MAX(0,IF(예비비!$D296&lt;EDATE(BN$99,1),예비비!$E296,0)-SUMIFS(예비비!$O$430:$O$729,예비비!$B$430:$B$729,예비비!$A296,예비비!$E$430:$E$729,"&lt;"&amp;EDATE(BN$99,1))),0)</f>
        <v>0</v>
      </c>
      <c r="BO296">
        <f>IF(예비비!$R296="OK",SUMIFS(예비비!$O$430:$O$729,예비비!$B$430:$B$729,예비비!$A296,예비비!$E$430:$E$729,"&lt;"&amp;EDATE(BO$99,1),예비비!$F$430:$F$729,"결제대금비")+MAX(0,IF(예비비!$D296&lt;EDATE(BO$99,1),예비비!$E296,0)-SUMIFS(예비비!$O$430:$O$729,예비비!$B$430:$B$729,예비비!$A296,예비비!$E$430:$E$729,"&lt;"&amp;EDATE(BO$99,1))),0)</f>
        <v>0</v>
      </c>
      <c r="BP296">
        <f>IF(예비비!$R296="OK",SUMIFS(예비비!$O$430:$O$729,예비비!$B$430:$B$729,예비비!$A296,예비비!$E$430:$E$729,"&lt;"&amp;EDATE(BP$99,1),예비비!$F$430:$F$729,"결제대금비")+MAX(0,IF(예비비!$D296&lt;EDATE(BP$99,1),예비비!$E296,0)-SUMIFS(예비비!$O$430:$O$729,예비비!$B$430:$B$729,예비비!$A296,예비비!$E$430:$E$729,"&lt;"&amp;EDATE(BP$99,1))),0)</f>
        <v>0</v>
      </c>
      <c r="BQ296">
        <f>IF(예비비!$R296="OK",SUMIFS(예비비!$O$430:$O$729,예비비!$B$430:$B$729,예비비!$A296,예비비!$E$430:$E$729,"&lt;"&amp;EDATE(BQ$99,1),예비비!$F$430:$F$729,"결제대금비")+MAX(0,IF(예비비!$D296&lt;EDATE(BQ$99,1),예비비!$E296,0)-SUMIFS(예비비!$O$430:$O$729,예비비!$B$430:$B$729,예비비!$A296,예비비!$E$430:$E$729,"&lt;"&amp;EDATE(BQ$99,1))),0)</f>
        <v>0</v>
      </c>
      <c r="BR296">
        <f>IF(예비비!$R296="OK",SUMIFS(예비비!$O$430:$O$729,예비비!$B$430:$B$729,예비비!$A296,예비비!$E$430:$E$729,"&lt;"&amp;EDATE(BR$99,1),예비비!$F$430:$F$729,"결제대금비")+MAX(0,IF(예비비!$D296&lt;EDATE(BR$99,1),예비비!$E296,0)-SUMIFS(예비비!$O$430:$O$729,예비비!$B$430:$B$729,예비비!$A296,예비비!$E$430:$E$729,"&lt;"&amp;EDATE(BR$99,1))),0)</f>
        <v>0</v>
      </c>
      <c r="BS296">
        <f>IF(예비비!$R296="OK",SUMIFS(예비비!$O$430:$O$729,예비비!$B$430:$B$729,예비비!$A296,예비비!$E$430:$E$729,"&lt;"&amp;EDATE(BS$99,1),예비비!$F$430:$F$729,"결제대금비")+MAX(0,IF(예비비!$D296&lt;EDATE(BS$99,1),예비비!$E296,0)-SUMIFS(예비비!$O$430:$O$729,예비비!$B$430:$B$729,예비비!$A296,예비비!$E$430:$E$729,"&lt;"&amp;EDATE(BS$99,1))),0)</f>
        <v>0</v>
      </c>
      <c r="BT296">
        <f>IF(예비비!$R296="OK",SUMIFS(예비비!$O$430:$O$729,예비비!$B$430:$B$729,예비비!$A296,예비비!$E$430:$E$729,"&lt;"&amp;EDATE(BT$99,1),예비비!$F$430:$F$729,"결제대금비")+MAX(0,IF(예비비!$D296&lt;EDATE(BT$99,1),예비비!$E296,0)-SUMIFS(예비비!$O$430:$O$729,예비비!$B$430:$B$729,예비비!$A296,예비비!$E$430:$E$729,"&lt;"&amp;EDATE(BT$99,1))),0)</f>
        <v>0</v>
      </c>
      <c r="BU296">
        <f>IF(예비비!$R296="OK",SUMIFS(예비비!$O$430:$O$729,예비비!$B$430:$B$729,예비비!$A296,예비비!$E$430:$E$729,"&lt;"&amp;EDATE(BU$99,1),예비비!$F$430:$F$729,"결제대금비")+MAX(0,IF(예비비!$D296&lt;EDATE(BU$99,1),예비비!$E296,0)-SUMIFS(예비비!$O$430:$O$729,예비비!$B$430:$B$729,예비비!$A296,예비비!$E$430:$E$729,"&lt;"&amp;EDATE(BU$99,1))),0)</f>
        <v>0</v>
      </c>
    </row>
    <row r="297">
      <c r="BA297">
        <v>241</v>
      </c>
      <c r="BB297">
        <f>IFERROR(INDEX(잔액!$A:$A,BA297),0)</f>
        <v>46299.620147118054</v>
      </c>
      <c r="BH297">
        <f>IFERROR(IF(AND(BB297&gt;0,OR(COUNTIFS(예비비!$C$430:$C$729,BA297,예비비!$N$430:$N$729,"OK")&gt;0,AND(INDEX(잔액!$J:$J,BA297)="가족통장",INDEX(잔액!$K:$K,BA297)="미래에셋_WRAP형CMA"),COUNTIF(예비비!$A$8:$A$12,INDEX(잔액!$C:$C,BA297))=1,COUNTIF(예비비!$A$8:$A$12,INDEX(잔액!$D:$D,BA297))=1),OR(AND(BB297&gt;=예비비!$B$3,BB297&lt;EDATE(예비비!$B$3,1)),AND(BB297&lt;EDATE(예비비!$B$3,1),COUNTIFS(예비비!$C$430:$C$729,BA297,예비비!$L$430:$L$729,예비비!$B$3,예비비!$N$430:$N$729,"OK")&gt;0))),MAX($BH$120:BH296)+1,0),0)</f>
        <v>0</v>
      </c>
      <c r="BI297">
        <f>IF(예비비!$R297="OK",SUMIFS(예비비!$O$430:$O$729,예비비!$B$430:$B$729,예비비!$A297,예비비!$E$430:$E$729,"&lt;"&amp;EDATE(BI$99,1),예비비!$F$430:$F$729,"결제대금비")+MAX(0,IF(예비비!$D297&lt;EDATE(BI$99,1),예비비!$E297,0)-SUMIFS(예비비!$O$430:$O$729,예비비!$B$430:$B$729,예비비!$A297,예비비!$E$430:$E$729,"&lt;"&amp;EDATE(BI$99,1))),0)</f>
        <v>0</v>
      </c>
      <c r="BJ297">
        <f>IF(예비비!$R297="OK",SUMIFS(예비비!$O$430:$O$729,예비비!$B$430:$B$729,예비비!$A297,예비비!$E$430:$E$729,"&lt;"&amp;EDATE(BJ$99,1),예비비!$F$430:$F$729,"결제대금비")+MAX(0,IF(예비비!$D297&lt;EDATE(BJ$99,1),예비비!$E297,0)-SUMIFS(예비비!$O$430:$O$729,예비비!$B$430:$B$729,예비비!$A297,예비비!$E$430:$E$729,"&lt;"&amp;EDATE(BJ$99,1))),0)</f>
        <v>0</v>
      </c>
      <c r="BK297">
        <f>IF(예비비!$R297="OK",SUMIFS(예비비!$O$430:$O$729,예비비!$B$430:$B$729,예비비!$A297,예비비!$E$430:$E$729,"&lt;"&amp;EDATE(BK$99,1),예비비!$F$430:$F$729,"결제대금비")+MAX(0,IF(예비비!$D297&lt;EDATE(BK$99,1),예비비!$E297,0)-SUMIFS(예비비!$O$430:$O$729,예비비!$B$430:$B$729,예비비!$A297,예비비!$E$430:$E$729,"&lt;"&amp;EDATE(BK$99,1))),0)</f>
        <v>0</v>
      </c>
      <c r="BL297">
        <f>IF(예비비!$R297="OK",SUMIFS(예비비!$O$430:$O$729,예비비!$B$430:$B$729,예비비!$A297,예비비!$E$430:$E$729,"&lt;"&amp;EDATE(BL$99,1),예비비!$F$430:$F$729,"결제대금비")+MAX(0,IF(예비비!$D297&lt;EDATE(BL$99,1),예비비!$E297,0)-SUMIFS(예비비!$O$430:$O$729,예비비!$B$430:$B$729,예비비!$A297,예비비!$E$430:$E$729,"&lt;"&amp;EDATE(BL$99,1))),0)</f>
        <v>0</v>
      </c>
      <c r="BM297">
        <f>IF(예비비!$R297="OK",SUMIFS(예비비!$O$430:$O$729,예비비!$B$430:$B$729,예비비!$A297,예비비!$E$430:$E$729,"&lt;"&amp;EDATE(BM$99,1),예비비!$F$430:$F$729,"결제대금비")+MAX(0,IF(예비비!$D297&lt;EDATE(BM$99,1),예비비!$E297,0)-SUMIFS(예비비!$O$430:$O$729,예비비!$B$430:$B$729,예비비!$A297,예비비!$E$430:$E$729,"&lt;"&amp;EDATE(BM$99,1))),0)</f>
        <v>0</v>
      </c>
      <c r="BN297">
        <f>IF(예비비!$R297="OK",SUMIFS(예비비!$O$430:$O$729,예비비!$B$430:$B$729,예비비!$A297,예비비!$E$430:$E$729,"&lt;"&amp;EDATE(BN$99,1),예비비!$F$430:$F$729,"결제대금비")+MAX(0,IF(예비비!$D297&lt;EDATE(BN$99,1),예비비!$E297,0)-SUMIFS(예비비!$O$430:$O$729,예비비!$B$430:$B$729,예비비!$A297,예비비!$E$430:$E$729,"&lt;"&amp;EDATE(BN$99,1))),0)</f>
        <v>0</v>
      </c>
      <c r="BO297">
        <f>IF(예비비!$R297="OK",SUMIFS(예비비!$O$430:$O$729,예비비!$B$430:$B$729,예비비!$A297,예비비!$E$430:$E$729,"&lt;"&amp;EDATE(BO$99,1),예비비!$F$430:$F$729,"결제대금비")+MAX(0,IF(예비비!$D297&lt;EDATE(BO$99,1),예비비!$E297,0)-SUMIFS(예비비!$O$430:$O$729,예비비!$B$430:$B$729,예비비!$A297,예비비!$E$430:$E$729,"&lt;"&amp;EDATE(BO$99,1))),0)</f>
        <v>0</v>
      </c>
      <c r="BP297">
        <f>IF(예비비!$R297="OK",SUMIFS(예비비!$O$430:$O$729,예비비!$B$430:$B$729,예비비!$A297,예비비!$E$430:$E$729,"&lt;"&amp;EDATE(BP$99,1),예비비!$F$430:$F$729,"결제대금비")+MAX(0,IF(예비비!$D297&lt;EDATE(BP$99,1),예비비!$E297,0)-SUMIFS(예비비!$O$430:$O$729,예비비!$B$430:$B$729,예비비!$A297,예비비!$E$430:$E$729,"&lt;"&amp;EDATE(BP$99,1))),0)</f>
        <v>0</v>
      </c>
      <c r="BQ297">
        <f>IF(예비비!$R297="OK",SUMIFS(예비비!$O$430:$O$729,예비비!$B$430:$B$729,예비비!$A297,예비비!$E$430:$E$729,"&lt;"&amp;EDATE(BQ$99,1),예비비!$F$430:$F$729,"결제대금비")+MAX(0,IF(예비비!$D297&lt;EDATE(BQ$99,1),예비비!$E297,0)-SUMIFS(예비비!$O$430:$O$729,예비비!$B$430:$B$729,예비비!$A297,예비비!$E$430:$E$729,"&lt;"&amp;EDATE(BQ$99,1))),0)</f>
        <v>0</v>
      </c>
      <c r="BR297">
        <f>IF(예비비!$R297="OK",SUMIFS(예비비!$O$430:$O$729,예비비!$B$430:$B$729,예비비!$A297,예비비!$E$430:$E$729,"&lt;"&amp;EDATE(BR$99,1),예비비!$F$430:$F$729,"결제대금비")+MAX(0,IF(예비비!$D297&lt;EDATE(BR$99,1),예비비!$E297,0)-SUMIFS(예비비!$O$430:$O$729,예비비!$B$430:$B$729,예비비!$A297,예비비!$E$430:$E$729,"&lt;"&amp;EDATE(BR$99,1))),0)</f>
        <v>0</v>
      </c>
      <c r="BS297">
        <f>IF(예비비!$R297="OK",SUMIFS(예비비!$O$430:$O$729,예비비!$B$430:$B$729,예비비!$A297,예비비!$E$430:$E$729,"&lt;"&amp;EDATE(BS$99,1),예비비!$F$430:$F$729,"결제대금비")+MAX(0,IF(예비비!$D297&lt;EDATE(BS$99,1),예비비!$E297,0)-SUMIFS(예비비!$O$430:$O$729,예비비!$B$430:$B$729,예비비!$A297,예비비!$E$430:$E$729,"&lt;"&amp;EDATE(BS$99,1))),0)</f>
        <v>0</v>
      </c>
      <c r="BT297">
        <f>IF(예비비!$R297="OK",SUMIFS(예비비!$O$430:$O$729,예비비!$B$430:$B$729,예비비!$A297,예비비!$E$430:$E$729,"&lt;"&amp;EDATE(BT$99,1),예비비!$F$430:$F$729,"결제대금비")+MAX(0,IF(예비비!$D297&lt;EDATE(BT$99,1),예비비!$E297,0)-SUMIFS(예비비!$O$430:$O$729,예비비!$B$430:$B$729,예비비!$A297,예비비!$E$430:$E$729,"&lt;"&amp;EDATE(BT$99,1))),0)</f>
        <v>0</v>
      </c>
      <c r="BU297">
        <f>IF(예비비!$R297="OK",SUMIFS(예비비!$O$430:$O$729,예비비!$B$430:$B$729,예비비!$A297,예비비!$E$430:$E$729,"&lt;"&amp;EDATE(BU$99,1),예비비!$F$430:$F$729,"결제대금비")+MAX(0,IF(예비비!$D297&lt;EDATE(BU$99,1),예비비!$E297,0)-SUMIFS(예비비!$O$430:$O$729,예비비!$B$430:$B$729,예비비!$A297,예비비!$E$430:$E$729,"&lt;"&amp;EDATE(BU$99,1))),0)</f>
        <v>0</v>
      </c>
    </row>
    <row r="298">
      <c r="BA298">
        <v>242</v>
      </c>
      <c r="BB298">
        <f>IFERROR(INDEX(잔액!$A:$A,BA298),0)</f>
        <v>46297.6222230787</v>
      </c>
      <c r="BH298">
        <f>IFERROR(IF(AND(BB298&gt;0,OR(COUNTIFS(예비비!$C$430:$C$729,BA298,예비비!$N$430:$N$729,"OK")&gt;0,AND(INDEX(잔액!$J:$J,BA298)="가족통장",INDEX(잔액!$K:$K,BA298)="미래에셋_WRAP형CMA"),COUNTIF(예비비!$A$8:$A$12,INDEX(잔액!$C:$C,BA298))=1,COUNTIF(예비비!$A$8:$A$12,INDEX(잔액!$D:$D,BA298))=1),OR(AND(BB298&gt;=예비비!$B$3,BB298&lt;EDATE(예비비!$B$3,1)),AND(BB298&lt;EDATE(예비비!$B$3,1),COUNTIFS(예비비!$C$430:$C$729,BA298,예비비!$L$430:$L$729,예비비!$B$3,예비비!$N$430:$N$729,"OK")&gt;0))),MAX($BH$120:BH297)+1,0),0)</f>
        <v>0</v>
      </c>
      <c r="BI298">
        <f>IF(예비비!$R298="OK",SUMIFS(예비비!$O$430:$O$729,예비비!$B$430:$B$729,예비비!$A298,예비비!$E$430:$E$729,"&lt;"&amp;EDATE(BI$99,1),예비비!$F$430:$F$729,"결제대금비")+MAX(0,IF(예비비!$D298&lt;EDATE(BI$99,1),예비비!$E298,0)-SUMIFS(예비비!$O$430:$O$729,예비비!$B$430:$B$729,예비비!$A298,예비비!$E$430:$E$729,"&lt;"&amp;EDATE(BI$99,1))),0)</f>
        <v>0</v>
      </c>
      <c r="BJ298">
        <f>IF(예비비!$R298="OK",SUMIFS(예비비!$O$430:$O$729,예비비!$B$430:$B$729,예비비!$A298,예비비!$E$430:$E$729,"&lt;"&amp;EDATE(BJ$99,1),예비비!$F$430:$F$729,"결제대금비")+MAX(0,IF(예비비!$D298&lt;EDATE(BJ$99,1),예비비!$E298,0)-SUMIFS(예비비!$O$430:$O$729,예비비!$B$430:$B$729,예비비!$A298,예비비!$E$430:$E$729,"&lt;"&amp;EDATE(BJ$99,1))),0)</f>
        <v>0</v>
      </c>
      <c r="BK298">
        <f>IF(예비비!$R298="OK",SUMIFS(예비비!$O$430:$O$729,예비비!$B$430:$B$729,예비비!$A298,예비비!$E$430:$E$729,"&lt;"&amp;EDATE(BK$99,1),예비비!$F$430:$F$729,"결제대금비")+MAX(0,IF(예비비!$D298&lt;EDATE(BK$99,1),예비비!$E298,0)-SUMIFS(예비비!$O$430:$O$729,예비비!$B$430:$B$729,예비비!$A298,예비비!$E$430:$E$729,"&lt;"&amp;EDATE(BK$99,1))),0)</f>
        <v>0</v>
      </c>
      <c r="BL298">
        <f>IF(예비비!$R298="OK",SUMIFS(예비비!$O$430:$O$729,예비비!$B$430:$B$729,예비비!$A298,예비비!$E$430:$E$729,"&lt;"&amp;EDATE(BL$99,1),예비비!$F$430:$F$729,"결제대금비")+MAX(0,IF(예비비!$D298&lt;EDATE(BL$99,1),예비비!$E298,0)-SUMIFS(예비비!$O$430:$O$729,예비비!$B$430:$B$729,예비비!$A298,예비비!$E$430:$E$729,"&lt;"&amp;EDATE(BL$99,1))),0)</f>
        <v>0</v>
      </c>
      <c r="BM298">
        <f>IF(예비비!$R298="OK",SUMIFS(예비비!$O$430:$O$729,예비비!$B$430:$B$729,예비비!$A298,예비비!$E$430:$E$729,"&lt;"&amp;EDATE(BM$99,1),예비비!$F$430:$F$729,"결제대금비")+MAX(0,IF(예비비!$D298&lt;EDATE(BM$99,1),예비비!$E298,0)-SUMIFS(예비비!$O$430:$O$729,예비비!$B$430:$B$729,예비비!$A298,예비비!$E$430:$E$729,"&lt;"&amp;EDATE(BM$99,1))),0)</f>
        <v>0</v>
      </c>
      <c r="BN298">
        <f>IF(예비비!$R298="OK",SUMIFS(예비비!$O$430:$O$729,예비비!$B$430:$B$729,예비비!$A298,예비비!$E$430:$E$729,"&lt;"&amp;EDATE(BN$99,1),예비비!$F$430:$F$729,"결제대금비")+MAX(0,IF(예비비!$D298&lt;EDATE(BN$99,1),예비비!$E298,0)-SUMIFS(예비비!$O$430:$O$729,예비비!$B$430:$B$729,예비비!$A298,예비비!$E$430:$E$729,"&lt;"&amp;EDATE(BN$99,1))),0)</f>
        <v>0</v>
      </c>
      <c r="BO298">
        <f>IF(예비비!$R298="OK",SUMIFS(예비비!$O$430:$O$729,예비비!$B$430:$B$729,예비비!$A298,예비비!$E$430:$E$729,"&lt;"&amp;EDATE(BO$99,1),예비비!$F$430:$F$729,"결제대금비")+MAX(0,IF(예비비!$D298&lt;EDATE(BO$99,1),예비비!$E298,0)-SUMIFS(예비비!$O$430:$O$729,예비비!$B$430:$B$729,예비비!$A298,예비비!$E$430:$E$729,"&lt;"&amp;EDATE(BO$99,1))),0)</f>
        <v>0</v>
      </c>
      <c r="BP298">
        <f>IF(예비비!$R298="OK",SUMIFS(예비비!$O$430:$O$729,예비비!$B$430:$B$729,예비비!$A298,예비비!$E$430:$E$729,"&lt;"&amp;EDATE(BP$99,1),예비비!$F$430:$F$729,"결제대금비")+MAX(0,IF(예비비!$D298&lt;EDATE(BP$99,1),예비비!$E298,0)-SUMIFS(예비비!$O$430:$O$729,예비비!$B$430:$B$729,예비비!$A298,예비비!$E$430:$E$729,"&lt;"&amp;EDATE(BP$99,1))),0)</f>
        <v>0</v>
      </c>
      <c r="BQ298">
        <f>IF(예비비!$R298="OK",SUMIFS(예비비!$O$430:$O$729,예비비!$B$430:$B$729,예비비!$A298,예비비!$E$430:$E$729,"&lt;"&amp;EDATE(BQ$99,1),예비비!$F$430:$F$729,"결제대금비")+MAX(0,IF(예비비!$D298&lt;EDATE(BQ$99,1),예비비!$E298,0)-SUMIFS(예비비!$O$430:$O$729,예비비!$B$430:$B$729,예비비!$A298,예비비!$E$430:$E$729,"&lt;"&amp;EDATE(BQ$99,1))),0)</f>
        <v>0</v>
      </c>
      <c r="BR298">
        <f>IF(예비비!$R298="OK",SUMIFS(예비비!$O$430:$O$729,예비비!$B$430:$B$729,예비비!$A298,예비비!$E$430:$E$729,"&lt;"&amp;EDATE(BR$99,1),예비비!$F$430:$F$729,"결제대금비")+MAX(0,IF(예비비!$D298&lt;EDATE(BR$99,1),예비비!$E298,0)-SUMIFS(예비비!$O$430:$O$729,예비비!$B$430:$B$729,예비비!$A298,예비비!$E$430:$E$729,"&lt;"&amp;EDATE(BR$99,1))),0)</f>
        <v>0</v>
      </c>
      <c r="BS298">
        <f>IF(예비비!$R298="OK",SUMIFS(예비비!$O$430:$O$729,예비비!$B$430:$B$729,예비비!$A298,예비비!$E$430:$E$729,"&lt;"&amp;EDATE(BS$99,1),예비비!$F$430:$F$729,"결제대금비")+MAX(0,IF(예비비!$D298&lt;EDATE(BS$99,1),예비비!$E298,0)-SUMIFS(예비비!$O$430:$O$729,예비비!$B$430:$B$729,예비비!$A298,예비비!$E$430:$E$729,"&lt;"&amp;EDATE(BS$99,1))),0)</f>
        <v>0</v>
      </c>
      <c r="BT298">
        <f>IF(예비비!$R298="OK",SUMIFS(예비비!$O$430:$O$729,예비비!$B$430:$B$729,예비비!$A298,예비비!$E$430:$E$729,"&lt;"&amp;EDATE(BT$99,1),예비비!$F$430:$F$729,"결제대금비")+MAX(0,IF(예비비!$D298&lt;EDATE(BT$99,1),예비비!$E298,0)-SUMIFS(예비비!$O$430:$O$729,예비비!$B$430:$B$729,예비비!$A298,예비비!$E$430:$E$729,"&lt;"&amp;EDATE(BT$99,1))),0)</f>
        <v>0</v>
      </c>
      <c r="BU298">
        <f>IF(예비비!$R298="OK",SUMIFS(예비비!$O$430:$O$729,예비비!$B$430:$B$729,예비비!$A298,예비비!$E$430:$E$729,"&lt;"&amp;EDATE(BU$99,1),예비비!$F$430:$F$729,"결제대금비")+MAX(0,IF(예비비!$D298&lt;EDATE(BU$99,1),예비비!$E298,0)-SUMIFS(예비비!$O$430:$O$729,예비비!$B$430:$B$729,예비비!$A298,예비비!$E$430:$E$729,"&lt;"&amp;EDATE(BU$99,1))),0)</f>
        <v>0</v>
      </c>
    </row>
    <row r="299">
      <c r="BA299">
        <v>243</v>
      </c>
      <c r="BB299">
        <f>IFERROR(INDEX(잔액!$A:$A,BA299),0)</f>
        <v>46266.0</v>
      </c>
      <c r="BH299">
        <f>IFERROR(IF(AND(BB299&gt;0,OR(COUNTIFS(예비비!$C$430:$C$729,BA299,예비비!$N$430:$N$729,"OK")&gt;0,AND(INDEX(잔액!$J:$J,BA299)="가족통장",INDEX(잔액!$K:$K,BA299)="미래에셋_WRAP형CMA"),COUNTIF(예비비!$A$8:$A$12,INDEX(잔액!$C:$C,BA299))=1,COUNTIF(예비비!$A$8:$A$12,INDEX(잔액!$D:$D,BA299))=1),OR(AND(BB299&gt;=예비비!$B$3,BB299&lt;EDATE(예비비!$B$3,1)),AND(BB299&lt;EDATE(예비비!$B$3,1),COUNTIFS(예비비!$C$430:$C$729,BA299,예비비!$L$430:$L$729,예비비!$B$3,예비비!$N$430:$N$729,"OK")&gt;0))),MAX($BH$120:BH298)+1,0),0)</f>
        <v>0</v>
      </c>
      <c r="BI299">
        <f>IF(예비비!$R299="OK",SUMIFS(예비비!$O$430:$O$729,예비비!$B$430:$B$729,예비비!$A299,예비비!$E$430:$E$729,"&lt;"&amp;EDATE(BI$99,1),예비비!$F$430:$F$729,"결제대금비")+MAX(0,IF(예비비!$D299&lt;EDATE(BI$99,1),예비비!$E299,0)-SUMIFS(예비비!$O$430:$O$729,예비비!$B$430:$B$729,예비비!$A299,예비비!$E$430:$E$729,"&lt;"&amp;EDATE(BI$99,1))),0)</f>
        <v>0</v>
      </c>
      <c r="BJ299">
        <f>IF(예비비!$R299="OK",SUMIFS(예비비!$O$430:$O$729,예비비!$B$430:$B$729,예비비!$A299,예비비!$E$430:$E$729,"&lt;"&amp;EDATE(BJ$99,1),예비비!$F$430:$F$729,"결제대금비")+MAX(0,IF(예비비!$D299&lt;EDATE(BJ$99,1),예비비!$E299,0)-SUMIFS(예비비!$O$430:$O$729,예비비!$B$430:$B$729,예비비!$A299,예비비!$E$430:$E$729,"&lt;"&amp;EDATE(BJ$99,1))),0)</f>
        <v>0</v>
      </c>
      <c r="BK299">
        <f>IF(예비비!$R299="OK",SUMIFS(예비비!$O$430:$O$729,예비비!$B$430:$B$729,예비비!$A299,예비비!$E$430:$E$729,"&lt;"&amp;EDATE(BK$99,1),예비비!$F$430:$F$729,"결제대금비")+MAX(0,IF(예비비!$D299&lt;EDATE(BK$99,1),예비비!$E299,0)-SUMIFS(예비비!$O$430:$O$729,예비비!$B$430:$B$729,예비비!$A299,예비비!$E$430:$E$729,"&lt;"&amp;EDATE(BK$99,1))),0)</f>
        <v>0</v>
      </c>
      <c r="BL299">
        <f>IF(예비비!$R299="OK",SUMIFS(예비비!$O$430:$O$729,예비비!$B$430:$B$729,예비비!$A299,예비비!$E$430:$E$729,"&lt;"&amp;EDATE(BL$99,1),예비비!$F$430:$F$729,"결제대금비")+MAX(0,IF(예비비!$D299&lt;EDATE(BL$99,1),예비비!$E299,0)-SUMIFS(예비비!$O$430:$O$729,예비비!$B$430:$B$729,예비비!$A299,예비비!$E$430:$E$729,"&lt;"&amp;EDATE(BL$99,1))),0)</f>
        <v>0</v>
      </c>
      <c r="BM299">
        <f>IF(예비비!$R299="OK",SUMIFS(예비비!$O$430:$O$729,예비비!$B$430:$B$729,예비비!$A299,예비비!$E$430:$E$729,"&lt;"&amp;EDATE(BM$99,1),예비비!$F$430:$F$729,"결제대금비")+MAX(0,IF(예비비!$D299&lt;EDATE(BM$99,1),예비비!$E299,0)-SUMIFS(예비비!$O$430:$O$729,예비비!$B$430:$B$729,예비비!$A299,예비비!$E$430:$E$729,"&lt;"&amp;EDATE(BM$99,1))),0)</f>
        <v>0</v>
      </c>
      <c r="BN299">
        <f>IF(예비비!$R299="OK",SUMIFS(예비비!$O$430:$O$729,예비비!$B$430:$B$729,예비비!$A299,예비비!$E$430:$E$729,"&lt;"&amp;EDATE(BN$99,1),예비비!$F$430:$F$729,"결제대금비")+MAX(0,IF(예비비!$D299&lt;EDATE(BN$99,1),예비비!$E299,0)-SUMIFS(예비비!$O$430:$O$729,예비비!$B$430:$B$729,예비비!$A299,예비비!$E$430:$E$729,"&lt;"&amp;EDATE(BN$99,1))),0)</f>
        <v>0</v>
      </c>
      <c r="BO299">
        <f>IF(예비비!$R299="OK",SUMIFS(예비비!$O$430:$O$729,예비비!$B$430:$B$729,예비비!$A299,예비비!$E$430:$E$729,"&lt;"&amp;EDATE(BO$99,1),예비비!$F$430:$F$729,"결제대금비")+MAX(0,IF(예비비!$D299&lt;EDATE(BO$99,1),예비비!$E299,0)-SUMIFS(예비비!$O$430:$O$729,예비비!$B$430:$B$729,예비비!$A299,예비비!$E$430:$E$729,"&lt;"&amp;EDATE(BO$99,1))),0)</f>
        <v>0</v>
      </c>
      <c r="BP299">
        <f>IF(예비비!$R299="OK",SUMIFS(예비비!$O$430:$O$729,예비비!$B$430:$B$729,예비비!$A299,예비비!$E$430:$E$729,"&lt;"&amp;EDATE(BP$99,1),예비비!$F$430:$F$729,"결제대금비")+MAX(0,IF(예비비!$D299&lt;EDATE(BP$99,1),예비비!$E299,0)-SUMIFS(예비비!$O$430:$O$729,예비비!$B$430:$B$729,예비비!$A299,예비비!$E$430:$E$729,"&lt;"&amp;EDATE(BP$99,1))),0)</f>
        <v>0</v>
      </c>
      <c r="BQ299">
        <f>IF(예비비!$R299="OK",SUMIFS(예비비!$O$430:$O$729,예비비!$B$430:$B$729,예비비!$A299,예비비!$E$430:$E$729,"&lt;"&amp;EDATE(BQ$99,1),예비비!$F$430:$F$729,"결제대금비")+MAX(0,IF(예비비!$D299&lt;EDATE(BQ$99,1),예비비!$E299,0)-SUMIFS(예비비!$O$430:$O$729,예비비!$B$430:$B$729,예비비!$A299,예비비!$E$430:$E$729,"&lt;"&amp;EDATE(BQ$99,1))),0)</f>
        <v>0</v>
      </c>
      <c r="BR299">
        <f>IF(예비비!$R299="OK",SUMIFS(예비비!$O$430:$O$729,예비비!$B$430:$B$729,예비비!$A299,예비비!$E$430:$E$729,"&lt;"&amp;EDATE(BR$99,1),예비비!$F$430:$F$729,"결제대금비")+MAX(0,IF(예비비!$D299&lt;EDATE(BR$99,1),예비비!$E299,0)-SUMIFS(예비비!$O$430:$O$729,예비비!$B$430:$B$729,예비비!$A299,예비비!$E$430:$E$729,"&lt;"&amp;EDATE(BR$99,1))),0)</f>
        <v>0</v>
      </c>
      <c r="BS299">
        <f>IF(예비비!$R299="OK",SUMIFS(예비비!$O$430:$O$729,예비비!$B$430:$B$729,예비비!$A299,예비비!$E$430:$E$729,"&lt;"&amp;EDATE(BS$99,1),예비비!$F$430:$F$729,"결제대금비")+MAX(0,IF(예비비!$D299&lt;EDATE(BS$99,1),예비비!$E299,0)-SUMIFS(예비비!$O$430:$O$729,예비비!$B$430:$B$729,예비비!$A299,예비비!$E$430:$E$729,"&lt;"&amp;EDATE(BS$99,1))),0)</f>
        <v>0</v>
      </c>
      <c r="BT299">
        <f>IF(예비비!$R299="OK",SUMIFS(예비비!$O$430:$O$729,예비비!$B$430:$B$729,예비비!$A299,예비비!$E$430:$E$729,"&lt;"&amp;EDATE(BT$99,1),예비비!$F$430:$F$729,"결제대금비")+MAX(0,IF(예비비!$D299&lt;EDATE(BT$99,1),예비비!$E299,0)-SUMIFS(예비비!$O$430:$O$729,예비비!$B$430:$B$729,예비비!$A299,예비비!$E$430:$E$729,"&lt;"&amp;EDATE(BT$99,1))),0)</f>
        <v>0</v>
      </c>
      <c r="BU299">
        <f>IF(예비비!$R299="OK",SUMIFS(예비비!$O$430:$O$729,예비비!$B$430:$B$729,예비비!$A299,예비비!$E$430:$E$729,"&lt;"&amp;EDATE(BU$99,1),예비비!$F$430:$F$729,"결제대금비")+MAX(0,IF(예비비!$D299&lt;EDATE(BU$99,1),예비비!$E299,0)-SUMIFS(예비비!$O$430:$O$729,예비비!$B$430:$B$729,예비비!$A299,예비비!$E$430:$E$729,"&lt;"&amp;EDATE(BU$99,1))),0)</f>
        <v>0</v>
      </c>
    </row>
    <row r="300">
      <c r="BA300">
        <v>244</v>
      </c>
      <c r="BB300">
        <f>IFERROR(INDEX(잔액!$A:$A,BA300),0)</f>
        <v>46082.0</v>
      </c>
      <c r="BH300">
        <f>IFERROR(IF(AND(BB300&gt;0,OR(COUNTIFS(예비비!$C$430:$C$729,BA300,예비비!$N$430:$N$729,"OK")&gt;0,AND(INDEX(잔액!$J:$J,BA300)="가족통장",INDEX(잔액!$K:$K,BA300)="미래에셋_WRAP형CMA"),COUNTIF(예비비!$A$8:$A$12,INDEX(잔액!$C:$C,BA300))=1,COUNTIF(예비비!$A$8:$A$12,INDEX(잔액!$D:$D,BA300))=1),OR(AND(BB300&gt;=예비비!$B$3,BB300&lt;EDATE(예비비!$B$3,1)),AND(BB300&lt;EDATE(예비비!$B$3,1),COUNTIFS(예비비!$C$430:$C$729,BA300,예비비!$L$430:$L$729,예비비!$B$3,예비비!$N$430:$N$729,"OK")&gt;0))),MAX($BH$120:BH299)+1,0),0)</f>
        <v>0</v>
      </c>
      <c r="BI300">
        <f>IF(예비비!$R300="OK",SUMIFS(예비비!$O$430:$O$729,예비비!$B$430:$B$729,예비비!$A300,예비비!$E$430:$E$729,"&lt;"&amp;EDATE(BI$99,1),예비비!$F$430:$F$729,"결제대금비")+MAX(0,IF(예비비!$D300&lt;EDATE(BI$99,1),예비비!$E300,0)-SUMIFS(예비비!$O$430:$O$729,예비비!$B$430:$B$729,예비비!$A300,예비비!$E$430:$E$729,"&lt;"&amp;EDATE(BI$99,1))),0)</f>
        <v>0</v>
      </c>
      <c r="BJ300">
        <f>IF(예비비!$R300="OK",SUMIFS(예비비!$O$430:$O$729,예비비!$B$430:$B$729,예비비!$A300,예비비!$E$430:$E$729,"&lt;"&amp;EDATE(BJ$99,1),예비비!$F$430:$F$729,"결제대금비")+MAX(0,IF(예비비!$D300&lt;EDATE(BJ$99,1),예비비!$E300,0)-SUMIFS(예비비!$O$430:$O$729,예비비!$B$430:$B$729,예비비!$A300,예비비!$E$430:$E$729,"&lt;"&amp;EDATE(BJ$99,1))),0)</f>
        <v>0</v>
      </c>
      <c r="BK300">
        <f>IF(예비비!$R300="OK",SUMIFS(예비비!$O$430:$O$729,예비비!$B$430:$B$729,예비비!$A300,예비비!$E$430:$E$729,"&lt;"&amp;EDATE(BK$99,1),예비비!$F$430:$F$729,"결제대금비")+MAX(0,IF(예비비!$D300&lt;EDATE(BK$99,1),예비비!$E300,0)-SUMIFS(예비비!$O$430:$O$729,예비비!$B$430:$B$729,예비비!$A300,예비비!$E$430:$E$729,"&lt;"&amp;EDATE(BK$99,1))),0)</f>
        <v>0</v>
      </c>
      <c r="BL300">
        <f>IF(예비비!$R300="OK",SUMIFS(예비비!$O$430:$O$729,예비비!$B$430:$B$729,예비비!$A300,예비비!$E$430:$E$729,"&lt;"&amp;EDATE(BL$99,1),예비비!$F$430:$F$729,"결제대금비")+MAX(0,IF(예비비!$D300&lt;EDATE(BL$99,1),예비비!$E300,0)-SUMIFS(예비비!$O$430:$O$729,예비비!$B$430:$B$729,예비비!$A300,예비비!$E$430:$E$729,"&lt;"&amp;EDATE(BL$99,1))),0)</f>
        <v>0</v>
      </c>
      <c r="BM300">
        <f>IF(예비비!$R300="OK",SUMIFS(예비비!$O$430:$O$729,예비비!$B$430:$B$729,예비비!$A300,예비비!$E$430:$E$729,"&lt;"&amp;EDATE(BM$99,1),예비비!$F$430:$F$729,"결제대금비")+MAX(0,IF(예비비!$D300&lt;EDATE(BM$99,1),예비비!$E300,0)-SUMIFS(예비비!$O$430:$O$729,예비비!$B$430:$B$729,예비비!$A300,예비비!$E$430:$E$729,"&lt;"&amp;EDATE(BM$99,1))),0)</f>
        <v>0</v>
      </c>
      <c r="BN300">
        <f>IF(예비비!$R300="OK",SUMIFS(예비비!$O$430:$O$729,예비비!$B$430:$B$729,예비비!$A300,예비비!$E$430:$E$729,"&lt;"&amp;EDATE(BN$99,1),예비비!$F$430:$F$729,"결제대금비")+MAX(0,IF(예비비!$D300&lt;EDATE(BN$99,1),예비비!$E300,0)-SUMIFS(예비비!$O$430:$O$729,예비비!$B$430:$B$729,예비비!$A300,예비비!$E$430:$E$729,"&lt;"&amp;EDATE(BN$99,1))),0)</f>
        <v>0</v>
      </c>
      <c r="BO300">
        <f>IF(예비비!$R300="OK",SUMIFS(예비비!$O$430:$O$729,예비비!$B$430:$B$729,예비비!$A300,예비비!$E$430:$E$729,"&lt;"&amp;EDATE(BO$99,1),예비비!$F$430:$F$729,"결제대금비")+MAX(0,IF(예비비!$D300&lt;EDATE(BO$99,1),예비비!$E300,0)-SUMIFS(예비비!$O$430:$O$729,예비비!$B$430:$B$729,예비비!$A300,예비비!$E$430:$E$729,"&lt;"&amp;EDATE(BO$99,1))),0)</f>
        <v>0</v>
      </c>
      <c r="BP300">
        <f>IF(예비비!$R300="OK",SUMIFS(예비비!$O$430:$O$729,예비비!$B$430:$B$729,예비비!$A300,예비비!$E$430:$E$729,"&lt;"&amp;EDATE(BP$99,1),예비비!$F$430:$F$729,"결제대금비")+MAX(0,IF(예비비!$D300&lt;EDATE(BP$99,1),예비비!$E300,0)-SUMIFS(예비비!$O$430:$O$729,예비비!$B$430:$B$729,예비비!$A300,예비비!$E$430:$E$729,"&lt;"&amp;EDATE(BP$99,1))),0)</f>
        <v>0</v>
      </c>
      <c r="BQ300">
        <f>IF(예비비!$R300="OK",SUMIFS(예비비!$O$430:$O$729,예비비!$B$430:$B$729,예비비!$A300,예비비!$E$430:$E$729,"&lt;"&amp;EDATE(BQ$99,1),예비비!$F$430:$F$729,"결제대금비")+MAX(0,IF(예비비!$D300&lt;EDATE(BQ$99,1),예비비!$E300,0)-SUMIFS(예비비!$O$430:$O$729,예비비!$B$430:$B$729,예비비!$A300,예비비!$E$430:$E$729,"&lt;"&amp;EDATE(BQ$99,1))),0)</f>
        <v>0</v>
      </c>
      <c r="BR300">
        <f>IF(예비비!$R300="OK",SUMIFS(예비비!$O$430:$O$729,예비비!$B$430:$B$729,예비비!$A300,예비비!$E$430:$E$729,"&lt;"&amp;EDATE(BR$99,1),예비비!$F$430:$F$729,"결제대금비")+MAX(0,IF(예비비!$D300&lt;EDATE(BR$99,1),예비비!$E300,0)-SUMIFS(예비비!$O$430:$O$729,예비비!$B$430:$B$729,예비비!$A300,예비비!$E$430:$E$729,"&lt;"&amp;EDATE(BR$99,1))),0)</f>
        <v>0</v>
      </c>
      <c r="BS300">
        <f>IF(예비비!$R300="OK",SUMIFS(예비비!$O$430:$O$729,예비비!$B$430:$B$729,예비비!$A300,예비비!$E$430:$E$729,"&lt;"&amp;EDATE(BS$99,1),예비비!$F$430:$F$729,"결제대금비")+MAX(0,IF(예비비!$D300&lt;EDATE(BS$99,1),예비비!$E300,0)-SUMIFS(예비비!$O$430:$O$729,예비비!$B$430:$B$729,예비비!$A300,예비비!$E$430:$E$729,"&lt;"&amp;EDATE(BS$99,1))),0)</f>
        <v>0</v>
      </c>
      <c r="BT300">
        <f>IF(예비비!$R300="OK",SUMIFS(예비비!$O$430:$O$729,예비비!$B$430:$B$729,예비비!$A300,예비비!$E$430:$E$729,"&lt;"&amp;EDATE(BT$99,1),예비비!$F$430:$F$729,"결제대금비")+MAX(0,IF(예비비!$D300&lt;EDATE(BT$99,1),예비비!$E300,0)-SUMIFS(예비비!$O$430:$O$729,예비비!$B$430:$B$729,예비비!$A300,예비비!$E$430:$E$729,"&lt;"&amp;EDATE(BT$99,1))),0)</f>
        <v>0</v>
      </c>
      <c r="BU300">
        <f>IF(예비비!$R300="OK",SUMIFS(예비비!$O$430:$O$729,예비비!$B$430:$B$729,예비비!$A300,예비비!$E$430:$E$729,"&lt;"&amp;EDATE(BU$99,1),예비비!$F$430:$F$729,"결제대금비")+MAX(0,IF(예비비!$D300&lt;EDATE(BU$99,1),예비비!$E300,0)-SUMIFS(예비비!$O$430:$O$729,예비비!$B$430:$B$729,예비비!$A300,예비비!$E$430:$E$729,"&lt;"&amp;EDATE(BU$99,1))),0)</f>
        <v>0</v>
      </c>
    </row>
    <row r="301">
      <c r="BA301">
        <v>245</v>
      </c>
      <c r="BB301">
        <f>IFERROR(INDEX(잔액!$A:$A,BA301),0)</f>
        <v>46308.859037118054</v>
      </c>
      <c r="BH301">
        <f>IFERROR(IF(AND(BB301&gt;0,OR(COUNTIFS(예비비!$C$430:$C$729,BA301,예비비!$N$430:$N$729,"OK")&gt;0,AND(INDEX(잔액!$J:$J,BA301)="가족통장",INDEX(잔액!$K:$K,BA301)="미래에셋_WRAP형CMA"),COUNTIF(예비비!$A$8:$A$12,INDEX(잔액!$C:$C,BA301))=1,COUNTIF(예비비!$A$8:$A$12,INDEX(잔액!$D:$D,BA301))=1),OR(AND(BB301&gt;=예비비!$B$3,BB301&lt;EDATE(예비비!$B$3,1)),AND(BB301&lt;EDATE(예비비!$B$3,1),COUNTIFS(예비비!$C$430:$C$729,BA301,예비비!$L$430:$L$729,예비비!$B$3,예비비!$N$430:$N$729,"OK")&gt;0))),MAX($BH$120:BH300)+1,0),0)</f>
        <v>0</v>
      </c>
      <c r="BI301">
        <f>IF(예비비!$R301="OK",SUMIFS(예비비!$O$430:$O$729,예비비!$B$430:$B$729,예비비!$A301,예비비!$E$430:$E$729,"&lt;"&amp;EDATE(BI$99,1),예비비!$F$430:$F$729,"결제대금비")+MAX(0,IF(예비비!$D301&lt;EDATE(BI$99,1),예비비!$E301,0)-SUMIFS(예비비!$O$430:$O$729,예비비!$B$430:$B$729,예비비!$A301,예비비!$E$430:$E$729,"&lt;"&amp;EDATE(BI$99,1))),0)</f>
        <v>0</v>
      </c>
      <c r="BJ301">
        <f>IF(예비비!$R301="OK",SUMIFS(예비비!$O$430:$O$729,예비비!$B$430:$B$729,예비비!$A301,예비비!$E$430:$E$729,"&lt;"&amp;EDATE(BJ$99,1),예비비!$F$430:$F$729,"결제대금비")+MAX(0,IF(예비비!$D301&lt;EDATE(BJ$99,1),예비비!$E301,0)-SUMIFS(예비비!$O$430:$O$729,예비비!$B$430:$B$729,예비비!$A301,예비비!$E$430:$E$729,"&lt;"&amp;EDATE(BJ$99,1))),0)</f>
        <v>0</v>
      </c>
      <c r="BK301">
        <f>IF(예비비!$R301="OK",SUMIFS(예비비!$O$430:$O$729,예비비!$B$430:$B$729,예비비!$A301,예비비!$E$430:$E$729,"&lt;"&amp;EDATE(BK$99,1),예비비!$F$430:$F$729,"결제대금비")+MAX(0,IF(예비비!$D301&lt;EDATE(BK$99,1),예비비!$E301,0)-SUMIFS(예비비!$O$430:$O$729,예비비!$B$430:$B$729,예비비!$A301,예비비!$E$430:$E$729,"&lt;"&amp;EDATE(BK$99,1))),0)</f>
        <v>0</v>
      </c>
      <c r="BL301">
        <f>IF(예비비!$R301="OK",SUMIFS(예비비!$O$430:$O$729,예비비!$B$430:$B$729,예비비!$A301,예비비!$E$430:$E$729,"&lt;"&amp;EDATE(BL$99,1),예비비!$F$430:$F$729,"결제대금비")+MAX(0,IF(예비비!$D301&lt;EDATE(BL$99,1),예비비!$E301,0)-SUMIFS(예비비!$O$430:$O$729,예비비!$B$430:$B$729,예비비!$A301,예비비!$E$430:$E$729,"&lt;"&amp;EDATE(BL$99,1))),0)</f>
        <v>0</v>
      </c>
      <c r="BM301">
        <f>IF(예비비!$R301="OK",SUMIFS(예비비!$O$430:$O$729,예비비!$B$430:$B$729,예비비!$A301,예비비!$E$430:$E$729,"&lt;"&amp;EDATE(BM$99,1),예비비!$F$430:$F$729,"결제대금비")+MAX(0,IF(예비비!$D301&lt;EDATE(BM$99,1),예비비!$E301,0)-SUMIFS(예비비!$O$430:$O$729,예비비!$B$430:$B$729,예비비!$A301,예비비!$E$430:$E$729,"&lt;"&amp;EDATE(BM$99,1))),0)</f>
        <v>0</v>
      </c>
      <c r="BN301">
        <f>IF(예비비!$R301="OK",SUMIFS(예비비!$O$430:$O$729,예비비!$B$430:$B$729,예비비!$A301,예비비!$E$430:$E$729,"&lt;"&amp;EDATE(BN$99,1),예비비!$F$430:$F$729,"결제대금비")+MAX(0,IF(예비비!$D301&lt;EDATE(BN$99,1),예비비!$E301,0)-SUMIFS(예비비!$O$430:$O$729,예비비!$B$430:$B$729,예비비!$A301,예비비!$E$430:$E$729,"&lt;"&amp;EDATE(BN$99,1))),0)</f>
        <v>0</v>
      </c>
      <c r="BO301">
        <f>IF(예비비!$R301="OK",SUMIFS(예비비!$O$430:$O$729,예비비!$B$430:$B$729,예비비!$A301,예비비!$E$430:$E$729,"&lt;"&amp;EDATE(BO$99,1),예비비!$F$430:$F$729,"결제대금비")+MAX(0,IF(예비비!$D301&lt;EDATE(BO$99,1),예비비!$E301,0)-SUMIFS(예비비!$O$430:$O$729,예비비!$B$430:$B$729,예비비!$A301,예비비!$E$430:$E$729,"&lt;"&amp;EDATE(BO$99,1))),0)</f>
        <v>0</v>
      </c>
      <c r="BP301">
        <f>IF(예비비!$R301="OK",SUMIFS(예비비!$O$430:$O$729,예비비!$B$430:$B$729,예비비!$A301,예비비!$E$430:$E$729,"&lt;"&amp;EDATE(BP$99,1),예비비!$F$430:$F$729,"결제대금비")+MAX(0,IF(예비비!$D301&lt;EDATE(BP$99,1),예비비!$E301,0)-SUMIFS(예비비!$O$430:$O$729,예비비!$B$430:$B$729,예비비!$A301,예비비!$E$430:$E$729,"&lt;"&amp;EDATE(BP$99,1))),0)</f>
        <v>0</v>
      </c>
      <c r="BQ301">
        <f>IF(예비비!$R301="OK",SUMIFS(예비비!$O$430:$O$729,예비비!$B$430:$B$729,예비비!$A301,예비비!$E$430:$E$729,"&lt;"&amp;EDATE(BQ$99,1),예비비!$F$430:$F$729,"결제대금비")+MAX(0,IF(예비비!$D301&lt;EDATE(BQ$99,1),예비비!$E301,0)-SUMIFS(예비비!$O$430:$O$729,예비비!$B$430:$B$729,예비비!$A301,예비비!$E$430:$E$729,"&lt;"&amp;EDATE(BQ$99,1))),0)</f>
        <v>0</v>
      </c>
      <c r="BR301">
        <f>IF(예비비!$R301="OK",SUMIFS(예비비!$O$430:$O$729,예비비!$B$430:$B$729,예비비!$A301,예비비!$E$430:$E$729,"&lt;"&amp;EDATE(BR$99,1),예비비!$F$430:$F$729,"결제대금비")+MAX(0,IF(예비비!$D301&lt;EDATE(BR$99,1),예비비!$E301,0)-SUMIFS(예비비!$O$430:$O$729,예비비!$B$430:$B$729,예비비!$A301,예비비!$E$430:$E$729,"&lt;"&amp;EDATE(BR$99,1))),0)</f>
        <v>0</v>
      </c>
      <c r="BS301">
        <f>IF(예비비!$R301="OK",SUMIFS(예비비!$O$430:$O$729,예비비!$B$430:$B$729,예비비!$A301,예비비!$E$430:$E$729,"&lt;"&amp;EDATE(BS$99,1),예비비!$F$430:$F$729,"결제대금비")+MAX(0,IF(예비비!$D301&lt;EDATE(BS$99,1),예비비!$E301,0)-SUMIFS(예비비!$O$430:$O$729,예비비!$B$430:$B$729,예비비!$A301,예비비!$E$430:$E$729,"&lt;"&amp;EDATE(BS$99,1))),0)</f>
        <v>0</v>
      </c>
      <c r="BT301">
        <f>IF(예비비!$R301="OK",SUMIFS(예비비!$O$430:$O$729,예비비!$B$430:$B$729,예비비!$A301,예비비!$E$430:$E$729,"&lt;"&amp;EDATE(BT$99,1),예비비!$F$430:$F$729,"결제대금비")+MAX(0,IF(예비비!$D301&lt;EDATE(BT$99,1),예비비!$E301,0)-SUMIFS(예비비!$O$430:$O$729,예비비!$B$430:$B$729,예비비!$A301,예비비!$E$430:$E$729,"&lt;"&amp;EDATE(BT$99,1))),0)</f>
        <v>0</v>
      </c>
      <c r="BU301">
        <f>IF(예비비!$R301="OK",SUMIFS(예비비!$O$430:$O$729,예비비!$B$430:$B$729,예비비!$A301,예비비!$E$430:$E$729,"&lt;"&amp;EDATE(BU$99,1),예비비!$F$430:$F$729,"결제대금비")+MAX(0,IF(예비비!$D301&lt;EDATE(BU$99,1),예비비!$E301,0)-SUMIFS(예비비!$O$430:$O$729,예비비!$B$430:$B$729,예비비!$A301,예비비!$E$430:$E$729,"&lt;"&amp;EDATE(BU$99,1))),0)</f>
        <v>0</v>
      </c>
    </row>
    <row r="302">
      <c r="BA302">
        <v>246</v>
      </c>
      <c r="BB302">
        <f>IFERROR(INDEX(잔액!$A:$A,BA302),0)</f>
        <v>46310.93959303241</v>
      </c>
      <c r="BH302">
        <f>IFERROR(IF(AND(BB302&gt;0,OR(COUNTIFS(예비비!$C$430:$C$729,BA302,예비비!$N$430:$N$729,"OK")&gt;0,AND(INDEX(잔액!$J:$J,BA302)="가족통장",INDEX(잔액!$K:$K,BA302)="미래에셋_WRAP형CMA"),COUNTIF(예비비!$A$8:$A$12,INDEX(잔액!$C:$C,BA302))=1,COUNTIF(예비비!$A$8:$A$12,INDEX(잔액!$D:$D,BA302))=1),OR(AND(BB302&gt;=예비비!$B$3,BB302&lt;EDATE(예비비!$B$3,1)),AND(BB302&lt;EDATE(예비비!$B$3,1),COUNTIFS(예비비!$C$430:$C$729,BA302,예비비!$L$430:$L$729,예비비!$B$3,예비비!$N$430:$N$729,"OK")&gt;0))),MAX($BH$120:BH301)+1,0),0)</f>
        <v>3</v>
      </c>
      <c r="BI302">
        <f>IF(예비비!$R302="OK",SUMIFS(예비비!$O$430:$O$729,예비비!$B$430:$B$729,예비비!$A302,예비비!$E$430:$E$729,"&lt;"&amp;EDATE(BI$99,1),예비비!$F$430:$F$729,"결제대금비")+MAX(0,IF(예비비!$D302&lt;EDATE(BI$99,1),예비비!$E302,0)-SUMIFS(예비비!$O$430:$O$729,예비비!$B$430:$B$729,예비비!$A302,예비비!$E$430:$E$729,"&lt;"&amp;EDATE(BI$99,1))),0)</f>
        <v>0</v>
      </c>
      <c r="BJ302">
        <f>IF(예비비!$R302="OK",SUMIFS(예비비!$O$430:$O$729,예비비!$B$430:$B$729,예비비!$A302,예비비!$E$430:$E$729,"&lt;"&amp;EDATE(BJ$99,1),예비비!$F$430:$F$729,"결제대금비")+MAX(0,IF(예비비!$D302&lt;EDATE(BJ$99,1),예비비!$E302,0)-SUMIFS(예비비!$O$430:$O$729,예비비!$B$430:$B$729,예비비!$A302,예비비!$E$430:$E$729,"&lt;"&amp;EDATE(BJ$99,1))),0)</f>
        <v>0</v>
      </c>
      <c r="BK302">
        <f>IF(예비비!$R302="OK",SUMIFS(예비비!$O$430:$O$729,예비비!$B$430:$B$729,예비비!$A302,예비비!$E$430:$E$729,"&lt;"&amp;EDATE(BK$99,1),예비비!$F$430:$F$729,"결제대금비")+MAX(0,IF(예비비!$D302&lt;EDATE(BK$99,1),예비비!$E302,0)-SUMIFS(예비비!$O$430:$O$729,예비비!$B$430:$B$729,예비비!$A302,예비비!$E$430:$E$729,"&lt;"&amp;EDATE(BK$99,1))),0)</f>
        <v>0</v>
      </c>
      <c r="BL302">
        <f>IF(예비비!$R302="OK",SUMIFS(예비비!$O$430:$O$729,예비비!$B$430:$B$729,예비비!$A302,예비비!$E$430:$E$729,"&lt;"&amp;EDATE(BL$99,1),예비비!$F$430:$F$729,"결제대금비")+MAX(0,IF(예비비!$D302&lt;EDATE(BL$99,1),예비비!$E302,0)-SUMIFS(예비비!$O$430:$O$729,예비비!$B$430:$B$729,예비비!$A302,예비비!$E$430:$E$729,"&lt;"&amp;EDATE(BL$99,1))),0)</f>
        <v>0</v>
      </c>
      <c r="BM302">
        <f>IF(예비비!$R302="OK",SUMIFS(예비비!$O$430:$O$729,예비비!$B$430:$B$729,예비비!$A302,예비비!$E$430:$E$729,"&lt;"&amp;EDATE(BM$99,1),예비비!$F$430:$F$729,"결제대금비")+MAX(0,IF(예비비!$D302&lt;EDATE(BM$99,1),예비비!$E302,0)-SUMIFS(예비비!$O$430:$O$729,예비비!$B$430:$B$729,예비비!$A302,예비비!$E$430:$E$729,"&lt;"&amp;EDATE(BM$99,1))),0)</f>
        <v>0</v>
      </c>
      <c r="BN302">
        <f>IF(예비비!$R302="OK",SUMIFS(예비비!$O$430:$O$729,예비비!$B$430:$B$729,예비비!$A302,예비비!$E$430:$E$729,"&lt;"&amp;EDATE(BN$99,1),예비비!$F$430:$F$729,"결제대금비")+MAX(0,IF(예비비!$D302&lt;EDATE(BN$99,1),예비비!$E302,0)-SUMIFS(예비비!$O$430:$O$729,예비비!$B$430:$B$729,예비비!$A302,예비비!$E$430:$E$729,"&lt;"&amp;EDATE(BN$99,1))),0)</f>
        <v>0</v>
      </c>
      <c r="BO302">
        <f>IF(예비비!$R302="OK",SUMIFS(예비비!$O$430:$O$729,예비비!$B$430:$B$729,예비비!$A302,예비비!$E$430:$E$729,"&lt;"&amp;EDATE(BO$99,1),예비비!$F$430:$F$729,"결제대금비")+MAX(0,IF(예비비!$D302&lt;EDATE(BO$99,1),예비비!$E302,0)-SUMIFS(예비비!$O$430:$O$729,예비비!$B$430:$B$729,예비비!$A302,예비비!$E$430:$E$729,"&lt;"&amp;EDATE(BO$99,1))),0)</f>
        <v>0</v>
      </c>
      <c r="BP302">
        <f>IF(예비비!$R302="OK",SUMIFS(예비비!$O$430:$O$729,예비비!$B$430:$B$729,예비비!$A302,예비비!$E$430:$E$729,"&lt;"&amp;EDATE(BP$99,1),예비비!$F$430:$F$729,"결제대금비")+MAX(0,IF(예비비!$D302&lt;EDATE(BP$99,1),예비비!$E302,0)-SUMIFS(예비비!$O$430:$O$729,예비비!$B$430:$B$729,예비비!$A302,예비비!$E$430:$E$729,"&lt;"&amp;EDATE(BP$99,1))),0)</f>
        <v>0</v>
      </c>
      <c r="BQ302">
        <f>IF(예비비!$R302="OK",SUMIFS(예비비!$O$430:$O$729,예비비!$B$430:$B$729,예비비!$A302,예비비!$E$430:$E$729,"&lt;"&amp;EDATE(BQ$99,1),예비비!$F$430:$F$729,"결제대금비")+MAX(0,IF(예비비!$D302&lt;EDATE(BQ$99,1),예비비!$E302,0)-SUMIFS(예비비!$O$430:$O$729,예비비!$B$430:$B$729,예비비!$A302,예비비!$E$430:$E$729,"&lt;"&amp;EDATE(BQ$99,1))),0)</f>
        <v>0</v>
      </c>
      <c r="BR302">
        <f>IF(예비비!$R302="OK",SUMIFS(예비비!$O$430:$O$729,예비비!$B$430:$B$729,예비비!$A302,예비비!$E$430:$E$729,"&lt;"&amp;EDATE(BR$99,1),예비비!$F$430:$F$729,"결제대금비")+MAX(0,IF(예비비!$D302&lt;EDATE(BR$99,1),예비비!$E302,0)-SUMIFS(예비비!$O$430:$O$729,예비비!$B$430:$B$729,예비비!$A302,예비비!$E$430:$E$729,"&lt;"&amp;EDATE(BR$99,1))),0)</f>
        <v>0</v>
      </c>
      <c r="BS302">
        <f>IF(예비비!$R302="OK",SUMIFS(예비비!$O$430:$O$729,예비비!$B$430:$B$729,예비비!$A302,예비비!$E$430:$E$729,"&lt;"&amp;EDATE(BS$99,1),예비비!$F$430:$F$729,"결제대금비")+MAX(0,IF(예비비!$D302&lt;EDATE(BS$99,1),예비비!$E302,0)-SUMIFS(예비비!$O$430:$O$729,예비비!$B$430:$B$729,예비비!$A302,예비비!$E$430:$E$729,"&lt;"&amp;EDATE(BS$99,1))),0)</f>
        <v>0</v>
      </c>
      <c r="BT302">
        <f>IF(예비비!$R302="OK",SUMIFS(예비비!$O$430:$O$729,예비비!$B$430:$B$729,예비비!$A302,예비비!$E$430:$E$729,"&lt;"&amp;EDATE(BT$99,1),예비비!$F$430:$F$729,"결제대금비")+MAX(0,IF(예비비!$D302&lt;EDATE(BT$99,1),예비비!$E302,0)-SUMIFS(예비비!$O$430:$O$729,예비비!$B$430:$B$729,예비비!$A302,예비비!$E$430:$E$729,"&lt;"&amp;EDATE(BT$99,1))),0)</f>
        <v>0</v>
      </c>
      <c r="BU302">
        <f>IF(예비비!$R302="OK",SUMIFS(예비비!$O$430:$O$729,예비비!$B$430:$B$729,예비비!$A302,예비비!$E$430:$E$729,"&lt;"&amp;EDATE(BU$99,1),예비비!$F$430:$F$729,"결제대금비")+MAX(0,IF(예비비!$D302&lt;EDATE(BU$99,1),예비비!$E302,0)-SUMIFS(예비비!$O$430:$O$729,예비비!$B$430:$B$729,예비비!$A302,예비비!$E$430:$E$729,"&lt;"&amp;EDATE(BU$99,1))),0)</f>
        <v>0</v>
      </c>
    </row>
    <row r="303">
      <c r="BA303">
        <v>247</v>
      </c>
      <c r="BB303">
        <f>IFERROR(INDEX(잔액!$A:$A,BA303),0)</f>
        <v>46310.9587962963</v>
      </c>
      <c r="BH303">
        <f>IFERROR(IF(AND(BB303&gt;0,OR(COUNTIFS(예비비!$C$430:$C$729,BA303,예비비!$N$430:$N$729,"OK")&gt;0,AND(INDEX(잔액!$J:$J,BA303)="가족통장",INDEX(잔액!$K:$K,BA303)="미래에셋_WRAP형CMA"),COUNTIF(예비비!$A$8:$A$12,INDEX(잔액!$C:$C,BA303))=1,COUNTIF(예비비!$A$8:$A$12,INDEX(잔액!$D:$D,BA303))=1),OR(AND(BB303&gt;=예비비!$B$3,BB303&lt;EDATE(예비비!$B$3,1)),AND(BB303&lt;EDATE(예비비!$B$3,1),COUNTIFS(예비비!$C$430:$C$729,BA303,예비비!$L$430:$L$729,예비비!$B$3,예비비!$N$430:$N$729,"OK")&gt;0))),MAX($BH$120:BH302)+1,0),0)</f>
        <v>0</v>
      </c>
      <c r="BI303">
        <f>IF(예비비!$R303="OK",SUMIFS(예비비!$O$430:$O$729,예비비!$B$430:$B$729,예비비!$A303,예비비!$E$430:$E$729,"&lt;"&amp;EDATE(BI$99,1),예비비!$F$430:$F$729,"결제대금비")+MAX(0,IF(예비비!$D303&lt;EDATE(BI$99,1),예비비!$E303,0)-SUMIFS(예비비!$O$430:$O$729,예비비!$B$430:$B$729,예비비!$A303,예비비!$E$430:$E$729,"&lt;"&amp;EDATE(BI$99,1))),0)</f>
        <v>0</v>
      </c>
      <c r="BJ303">
        <f>IF(예비비!$R303="OK",SUMIFS(예비비!$O$430:$O$729,예비비!$B$430:$B$729,예비비!$A303,예비비!$E$430:$E$729,"&lt;"&amp;EDATE(BJ$99,1),예비비!$F$430:$F$729,"결제대금비")+MAX(0,IF(예비비!$D303&lt;EDATE(BJ$99,1),예비비!$E303,0)-SUMIFS(예비비!$O$430:$O$729,예비비!$B$430:$B$729,예비비!$A303,예비비!$E$430:$E$729,"&lt;"&amp;EDATE(BJ$99,1))),0)</f>
        <v>0</v>
      </c>
      <c r="BK303">
        <f>IF(예비비!$R303="OK",SUMIFS(예비비!$O$430:$O$729,예비비!$B$430:$B$729,예비비!$A303,예비비!$E$430:$E$729,"&lt;"&amp;EDATE(BK$99,1),예비비!$F$430:$F$729,"결제대금비")+MAX(0,IF(예비비!$D303&lt;EDATE(BK$99,1),예비비!$E303,0)-SUMIFS(예비비!$O$430:$O$729,예비비!$B$430:$B$729,예비비!$A303,예비비!$E$430:$E$729,"&lt;"&amp;EDATE(BK$99,1))),0)</f>
        <v>0</v>
      </c>
      <c r="BL303">
        <f>IF(예비비!$R303="OK",SUMIFS(예비비!$O$430:$O$729,예비비!$B$430:$B$729,예비비!$A303,예비비!$E$430:$E$729,"&lt;"&amp;EDATE(BL$99,1),예비비!$F$430:$F$729,"결제대금비")+MAX(0,IF(예비비!$D303&lt;EDATE(BL$99,1),예비비!$E303,0)-SUMIFS(예비비!$O$430:$O$729,예비비!$B$430:$B$729,예비비!$A303,예비비!$E$430:$E$729,"&lt;"&amp;EDATE(BL$99,1))),0)</f>
        <v>0</v>
      </c>
      <c r="BM303">
        <f>IF(예비비!$R303="OK",SUMIFS(예비비!$O$430:$O$729,예비비!$B$430:$B$729,예비비!$A303,예비비!$E$430:$E$729,"&lt;"&amp;EDATE(BM$99,1),예비비!$F$430:$F$729,"결제대금비")+MAX(0,IF(예비비!$D303&lt;EDATE(BM$99,1),예비비!$E303,0)-SUMIFS(예비비!$O$430:$O$729,예비비!$B$430:$B$729,예비비!$A303,예비비!$E$430:$E$729,"&lt;"&amp;EDATE(BM$99,1))),0)</f>
        <v>0</v>
      </c>
      <c r="BN303">
        <f>IF(예비비!$R303="OK",SUMIFS(예비비!$O$430:$O$729,예비비!$B$430:$B$729,예비비!$A303,예비비!$E$430:$E$729,"&lt;"&amp;EDATE(BN$99,1),예비비!$F$430:$F$729,"결제대금비")+MAX(0,IF(예비비!$D303&lt;EDATE(BN$99,1),예비비!$E303,0)-SUMIFS(예비비!$O$430:$O$729,예비비!$B$430:$B$729,예비비!$A303,예비비!$E$430:$E$729,"&lt;"&amp;EDATE(BN$99,1))),0)</f>
        <v>0</v>
      </c>
      <c r="BO303">
        <f>IF(예비비!$R303="OK",SUMIFS(예비비!$O$430:$O$729,예비비!$B$430:$B$729,예비비!$A303,예비비!$E$430:$E$729,"&lt;"&amp;EDATE(BO$99,1),예비비!$F$430:$F$729,"결제대금비")+MAX(0,IF(예비비!$D303&lt;EDATE(BO$99,1),예비비!$E303,0)-SUMIFS(예비비!$O$430:$O$729,예비비!$B$430:$B$729,예비비!$A303,예비비!$E$430:$E$729,"&lt;"&amp;EDATE(BO$99,1))),0)</f>
        <v>0</v>
      </c>
      <c r="BP303">
        <f>IF(예비비!$R303="OK",SUMIFS(예비비!$O$430:$O$729,예비비!$B$430:$B$729,예비비!$A303,예비비!$E$430:$E$729,"&lt;"&amp;EDATE(BP$99,1),예비비!$F$430:$F$729,"결제대금비")+MAX(0,IF(예비비!$D303&lt;EDATE(BP$99,1),예비비!$E303,0)-SUMIFS(예비비!$O$430:$O$729,예비비!$B$430:$B$729,예비비!$A303,예비비!$E$430:$E$729,"&lt;"&amp;EDATE(BP$99,1))),0)</f>
        <v>0</v>
      </c>
      <c r="BQ303">
        <f>IF(예비비!$R303="OK",SUMIFS(예비비!$O$430:$O$729,예비비!$B$430:$B$729,예비비!$A303,예비비!$E$430:$E$729,"&lt;"&amp;EDATE(BQ$99,1),예비비!$F$430:$F$729,"결제대금비")+MAX(0,IF(예비비!$D303&lt;EDATE(BQ$99,1),예비비!$E303,0)-SUMIFS(예비비!$O$430:$O$729,예비비!$B$430:$B$729,예비비!$A303,예비비!$E$430:$E$729,"&lt;"&amp;EDATE(BQ$99,1))),0)</f>
        <v>0</v>
      </c>
      <c r="BR303">
        <f>IF(예비비!$R303="OK",SUMIFS(예비비!$O$430:$O$729,예비비!$B$430:$B$729,예비비!$A303,예비비!$E$430:$E$729,"&lt;"&amp;EDATE(BR$99,1),예비비!$F$430:$F$729,"결제대금비")+MAX(0,IF(예비비!$D303&lt;EDATE(BR$99,1),예비비!$E303,0)-SUMIFS(예비비!$O$430:$O$729,예비비!$B$430:$B$729,예비비!$A303,예비비!$E$430:$E$729,"&lt;"&amp;EDATE(BR$99,1))),0)</f>
        <v>0</v>
      </c>
      <c r="BS303">
        <f>IF(예비비!$R303="OK",SUMIFS(예비비!$O$430:$O$729,예비비!$B$430:$B$729,예비비!$A303,예비비!$E$430:$E$729,"&lt;"&amp;EDATE(BS$99,1),예비비!$F$430:$F$729,"결제대금비")+MAX(0,IF(예비비!$D303&lt;EDATE(BS$99,1),예비비!$E303,0)-SUMIFS(예비비!$O$430:$O$729,예비비!$B$430:$B$729,예비비!$A303,예비비!$E$430:$E$729,"&lt;"&amp;EDATE(BS$99,1))),0)</f>
        <v>0</v>
      </c>
      <c r="BT303">
        <f>IF(예비비!$R303="OK",SUMIFS(예비비!$O$430:$O$729,예비비!$B$430:$B$729,예비비!$A303,예비비!$E$430:$E$729,"&lt;"&amp;EDATE(BT$99,1),예비비!$F$430:$F$729,"결제대금비")+MAX(0,IF(예비비!$D303&lt;EDATE(BT$99,1),예비비!$E303,0)-SUMIFS(예비비!$O$430:$O$729,예비비!$B$430:$B$729,예비비!$A303,예비비!$E$430:$E$729,"&lt;"&amp;EDATE(BT$99,1))),0)</f>
        <v>0</v>
      </c>
      <c r="BU303">
        <f>IF(예비비!$R303="OK",SUMIFS(예비비!$O$430:$O$729,예비비!$B$430:$B$729,예비비!$A303,예비비!$E$430:$E$729,"&lt;"&amp;EDATE(BU$99,1),예비비!$F$430:$F$729,"결제대금비")+MAX(0,IF(예비비!$D303&lt;EDATE(BU$99,1),예비비!$E303,0)-SUMIFS(예비비!$O$430:$O$729,예비비!$B$430:$B$729,예비비!$A303,예비비!$E$430:$E$729,"&lt;"&amp;EDATE(BU$99,1))),0)</f>
        <v>0</v>
      </c>
    </row>
    <row r="304">
      <c r="BA304">
        <v>248</v>
      </c>
      <c r="BB304">
        <f>IFERROR(INDEX(잔액!$A:$A,BA304),0)</f>
        <v>46312.66737074074</v>
      </c>
      <c r="BH304">
        <f>IFERROR(IF(AND(BB304&gt;0,OR(COUNTIFS(예비비!$C$430:$C$729,BA304,예비비!$N$430:$N$729,"OK")&gt;0,AND(INDEX(잔액!$J:$J,BA304)="가족통장",INDEX(잔액!$K:$K,BA304)="미래에셋_WRAP형CMA"),COUNTIF(예비비!$A$8:$A$12,INDEX(잔액!$C:$C,BA304))=1,COUNTIF(예비비!$A$8:$A$12,INDEX(잔액!$D:$D,BA304))=1),OR(AND(BB304&gt;=예비비!$B$3,BB304&lt;EDATE(예비비!$B$3,1)),AND(BB304&lt;EDATE(예비비!$B$3,1),COUNTIFS(예비비!$C$430:$C$729,BA304,예비비!$L$430:$L$729,예비비!$B$3,예비비!$N$430:$N$729,"OK")&gt;0))),MAX($BH$120:BH303)+1,0),0)</f>
        <v>0</v>
      </c>
      <c r="BI304">
        <f>IF(예비비!$R304="OK",SUMIFS(예비비!$O$430:$O$729,예비비!$B$430:$B$729,예비비!$A304,예비비!$E$430:$E$729,"&lt;"&amp;EDATE(BI$99,1),예비비!$F$430:$F$729,"결제대금비")+MAX(0,IF(예비비!$D304&lt;EDATE(BI$99,1),예비비!$E304,0)-SUMIFS(예비비!$O$430:$O$729,예비비!$B$430:$B$729,예비비!$A304,예비비!$E$430:$E$729,"&lt;"&amp;EDATE(BI$99,1))),0)</f>
        <v>0</v>
      </c>
      <c r="BJ304">
        <f>IF(예비비!$R304="OK",SUMIFS(예비비!$O$430:$O$729,예비비!$B$430:$B$729,예비비!$A304,예비비!$E$430:$E$729,"&lt;"&amp;EDATE(BJ$99,1),예비비!$F$430:$F$729,"결제대금비")+MAX(0,IF(예비비!$D304&lt;EDATE(BJ$99,1),예비비!$E304,0)-SUMIFS(예비비!$O$430:$O$729,예비비!$B$430:$B$729,예비비!$A304,예비비!$E$430:$E$729,"&lt;"&amp;EDATE(BJ$99,1))),0)</f>
        <v>0</v>
      </c>
      <c r="BK304">
        <f>IF(예비비!$R304="OK",SUMIFS(예비비!$O$430:$O$729,예비비!$B$430:$B$729,예비비!$A304,예비비!$E$430:$E$729,"&lt;"&amp;EDATE(BK$99,1),예비비!$F$430:$F$729,"결제대금비")+MAX(0,IF(예비비!$D304&lt;EDATE(BK$99,1),예비비!$E304,0)-SUMIFS(예비비!$O$430:$O$729,예비비!$B$430:$B$729,예비비!$A304,예비비!$E$430:$E$729,"&lt;"&amp;EDATE(BK$99,1))),0)</f>
        <v>0</v>
      </c>
      <c r="BL304">
        <f>IF(예비비!$R304="OK",SUMIFS(예비비!$O$430:$O$729,예비비!$B$430:$B$729,예비비!$A304,예비비!$E$430:$E$729,"&lt;"&amp;EDATE(BL$99,1),예비비!$F$430:$F$729,"결제대금비")+MAX(0,IF(예비비!$D304&lt;EDATE(BL$99,1),예비비!$E304,0)-SUMIFS(예비비!$O$430:$O$729,예비비!$B$430:$B$729,예비비!$A304,예비비!$E$430:$E$729,"&lt;"&amp;EDATE(BL$99,1))),0)</f>
        <v>0</v>
      </c>
      <c r="BM304">
        <f>IF(예비비!$R304="OK",SUMIFS(예비비!$O$430:$O$729,예비비!$B$430:$B$729,예비비!$A304,예비비!$E$430:$E$729,"&lt;"&amp;EDATE(BM$99,1),예비비!$F$430:$F$729,"결제대금비")+MAX(0,IF(예비비!$D304&lt;EDATE(BM$99,1),예비비!$E304,0)-SUMIFS(예비비!$O$430:$O$729,예비비!$B$430:$B$729,예비비!$A304,예비비!$E$430:$E$729,"&lt;"&amp;EDATE(BM$99,1))),0)</f>
        <v>0</v>
      </c>
      <c r="BN304">
        <f>IF(예비비!$R304="OK",SUMIFS(예비비!$O$430:$O$729,예비비!$B$430:$B$729,예비비!$A304,예비비!$E$430:$E$729,"&lt;"&amp;EDATE(BN$99,1),예비비!$F$430:$F$729,"결제대금비")+MAX(0,IF(예비비!$D304&lt;EDATE(BN$99,1),예비비!$E304,0)-SUMIFS(예비비!$O$430:$O$729,예비비!$B$430:$B$729,예비비!$A304,예비비!$E$430:$E$729,"&lt;"&amp;EDATE(BN$99,1))),0)</f>
        <v>0</v>
      </c>
      <c r="BO304">
        <f>IF(예비비!$R304="OK",SUMIFS(예비비!$O$430:$O$729,예비비!$B$430:$B$729,예비비!$A304,예비비!$E$430:$E$729,"&lt;"&amp;EDATE(BO$99,1),예비비!$F$430:$F$729,"결제대금비")+MAX(0,IF(예비비!$D304&lt;EDATE(BO$99,1),예비비!$E304,0)-SUMIFS(예비비!$O$430:$O$729,예비비!$B$430:$B$729,예비비!$A304,예비비!$E$430:$E$729,"&lt;"&amp;EDATE(BO$99,1))),0)</f>
        <v>0</v>
      </c>
      <c r="BP304">
        <f>IF(예비비!$R304="OK",SUMIFS(예비비!$O$430:$O$729,예비비!$B$430:$B$729,예비비!$A304,예비비!$E$430:$E$729,"&lt;"&amp;EDATE(BP$99,1),예비비!$F$430:$F$729,"결제대금비")+MAX(0,IF(예비비!$D304&lt;EDATE(BP$99,1),예비비!$E304,0)-SUMIFS(예비비!$O$430:$O$729,예비비!$B$430:$B$729,예비비!$A304,예비비!$E$430:$E$729,"&lt;"&amp;EDATE(BP$99,1))),0)</f>
        <v>0</v>
      </c>
      <c r="BQ304">
        <f>IF(예비비!$R304="OK",SUMIFS(예비비!$O$430:$O$729,예비비!$B$430:$B$729,예비비!$A304,예비비!$E$430:$E$729,"&lt;"&amp;EDATE(BQ$99,1),예비비!$F$430:$F$729,"결제대금비")+MAX(0,IF(예비비!$D304&lt;EDATE(BQ$99,1),예비비!$E304,0)-SUMIFS(예비비!$O$430:$O$729,예비비!$B$430:$B$729,예비비!$A304,예비비!$E$430:$E$729,"&lt;"&amp;EDATE(BQ$99,1))),0)</f>
        <v>0</v>
      </c>
      <c r="BR304">
        <f>IF(예비비!$R304="OK",SUMIFS(예비비!$O$430:$O$729,예비비!$B$430:$B$729,예비비!$A304,예비비!$E$430:$E$729,"&lt;"&amp;EDATE(BR$99,1),예비비!$F$430:$F$729,"결제대금비")+MAX(0,IF(예비비!$D304&lt;EDATE(BR$99,1),예비비!$E304,0)-SUMIFS(예비비!$O$430:$O$729,예비비!$B$430:$B$729,예비비!$A304,예비비!$E$430:$E$729,"&lt;"&amp;EDATE(BR$99,1))),0)</f>
        <v>0</v>
      </c>
      <c r="BS304">
        <f>IF(예비비!$R304="OK",SUMIFS(예비비!$O$430:$O$729,예비비!$B$430:$B$729,예비비!$A304,예비비!$E$430:$E$729,"&lt;"&amp;EDATE(BS$99,1),예비비!$F$430:$F$729,"결제대금비")+MAX(0,IF(예비비!$D304&lt;EDATE(BS$99,1),예비비!$E304,0)-SUMIFS(예비비!$O$430:$O$729,예비비!$B$430:$B$729,예비비!$A304,예비비!$E$430:$E$729,"&lt;"&amp;EDATE(BS$99,1))),0)</f>
        <v>0</v>
      </c>
      <c r="BT304">
        <f>IF(예비비!$R304="OK",SUMIFS(예비비!$O$430:$O$729,예비비!$B$430:$B$729,예비비!$A304,예비비!$E$430:$E$729,"&lt;"&amp;EDATE(BT$99,1),예비비!$F$430:$F$729,"결제대금비")+MAX(0,IF(예비비!$D304&lt;EDATE(BT$99,1),예비비!$E304,0)-SUMIFS(예비비!$O$430:$O$729,예비비!$B$430:$B$729,예비비!$A304,예비비!$E$430:$E$729,"&lt;"&amp;EDATE(BT$99,1))),0)</f>
        <v>0</v>
      </c>
      <c r="BU304">
        <f>IF(예비비!$R304="OK",SUMIFS(예비비!$O$430:$O$729,예비비!$B$430:$B$729,예비비!$A304,예비비!$E$430:$E$729,"&lt;"&amp;EDATE(BU$99,1),예비비!$F$430:$F$729,"결제대금비")+MAX(0,IF(예비비!$D304&lt;EDATE(BU$99,1),예비비!$E304,0)-SUMIFS(예비비!$O$430:$O$729,예비비!$B$430:$B$729,예비비!$A304,예비비!$E$430:$E$729,"&lt;"&amp;EDATE(BU$99,1))),0)</f>
        <v>0</v>
      </c>
    </row>
    <row r="305">
      <c r="BA305">
        <v>249</v>
      </c>
      <c r="BB305" t="str">
        <f>IFERROR(INDEX(잔액!$A:$A,BA305),0)</f>
        <v>00:00:00</v>
      </c>
      <c r="BH305">
        <f>IFERROR(IF(AND(BB305&gt;0,OR(COUNTIFS(예비비!$C$430:$C$729,BA305,예비비!$N$430:$N$729,"OK")&gt;0,AND(INDEX(잔액!$J:$J,BA305)="가족통장",INDEX(잔액!$K:$K,BA305)="미래에셋_WRAP형CMA"),COUNTIF(예비비!$A$8:$A$12,INDEX(잔액!$C:$C,BA305))=1,COUNTIF(예비비!$A$8:$A$12,INDEX(잔액!$D:$D,BA305))=1),OR(AND(BB305&gt;=예비비!$B$3,BB305&lt;EDATE(예비비!$B$3,1)),AND(BB305&lt;EDATE(예비비!$B$3,1),COUNTIFS(예비비!$C$430:$C$729,BA305,예비비!$L$430:$L$729,예비비!$B$3,예비비!$N$430:$N$729,"OK")&gt;0))),MAX($BH$120:BH304)+1,0),0)</f>
        <v>0</v>
      </c>
      <c r="BI305">
        <f>IF(예비비!$R305="OK",SUMIFS(예비비!$O$430:$O$729,예비비!$B$430:$B$729,예비비!$A305,예비비!$E$430:$E$729,"&lt;"&amp;EDATE(BI$99,1),예비비!$F$430:$F$729,"결제대금비")+MAX(0,IF(예비비!$D305&lt;EDATE(BI$99,1),예비비!$E305,0)-SUMIFS(예비비!$O$430:$O$729,예비비!$B$430:$B$729,예비비!$A305,예비비!$E$430:$E$729,"&lt;"&amp;EDATE(BI$99,1))),0)</f>
        <v>0</v>
      </c>
      <c r="BJ305">
        <f>IF(예비비!$R305="OK",SUMIFS(예비비!$O$430:$O$729,예비비!$B$430:$B$729,예비비!$A305,예비비!$E$430:$E$729,"&lt;"&amp;EDATE(BJ$99,1),예비비!$F$430:$F$729,"결제대금비")+MAX(0,IF(예비비!$D305&lt;EDATE(BJ$99,1),예비비!$E305,0)-SUMIFS(예비비!$O$430:$O$729,예비비!$B$430:$B$729,예비비!$A305,예비비!$E$430:$E$729,"&lt;"&amp;EDATE(BJ$99,1))),0)</f>
        <v>0</v>
      </c>
      <c r="BK305">
        <f>IF(예비비!$R305="OK",SUMIFS(예비비!$O$430:$O$729,예비비!$B$430:$B$729,예비비!$A305,예비비!$E$430:$E$729,"&lt;"&amp;EDATE(BK$99,1),예비비!$F$430:$F$729,"결제대금비")+MAX(0,IF(예비비!$D305&lt;EDATE(BK$99,1),예비비!$E305,0)-SUMIFS(예비비!$O$430:$O$729,예비비!$B$430:$B$729,예비비!$A305,예비비!$E$430:$E$729,"&lt;"&amp;EDATE(BK$99,1))),0)</f>
        <v>0</v>
      </c>
      <c r="BL305">
        <f>IF(예비비!$R305="OK",SUMIFS(예비비!$O$430:$O$729,예비비!$B$430:$B$729,예비비!$A305,예비비!$E$430:$E$729,"&lt;"&amp;EDATE(BL$99,1),예비비!$F$430:$F$729,"결제대금비")+MAX(0,IF(예비비!$D305&lt;EDATE(BL$99,1),예비비!$E305,0)-SUMIFS(예비비!$O$430:$O$729,예비비!$B$430:$B$729,예비비!$A305,예비비!$E$430:$E$729,"&lt;"&amp;EDATE(BL$99,1))),0)</f>
        <v>0</v>
      </c>
      <c r="BM305">
        <f>IF(예비비!$R305="OK",SUMIFS(예비비!$O$430:$O$729,예비비!$B$430:$B$729,예비비!$A305,예비비!$E$430:$E$729,"&lt;"&amp;EDATE(BM$99,1),예비비!$F$430:$F$729,"결제대금비")+MAX(0,IF(예비비!$D305&lt;EDATE(BM$99,1),예비비!$E305,0)-SUMIFS(예비비!$O$430:$O$729,예비비!$B$430:$B$729,예비비!$A305,예비비!$E$430:$E$729,"&lt;"&amp;EDATE(BM$99,1))),0)</f>
        <v>0</v>
      </c>
      <c r="BN305">
        <f>IF(예비비!$R305="OK",SUMIFS(예비비!$O$430:$O$729,예비비!$B$430:$B$729,예비비!$A305,예비비!$E$430:$E$729,"&lt;"&amp;EDATE(BN$99,1),예비비!$F$430:$F$729,"결제대금비")+MAX(0,IF(예비비!$D305&lt;EDATE(BN$99,1),예비비!$E305,0)-SUMIFS(예비비!$O$430:$O$729,예비비!$B$430:$B$729,예비비!$A305,예비비!$E$430:$E$729,"&lt;"&amp;EDATE(BN$99,1))),0)</f>
        <v>0</v>
      </c>
      <c r="BO305">
        <f>IF(예비비!$R305="OK",SUMIFS(예비비!$O$430:$O$729,예비비!$B$430:$B$729,예비비!$A305,예비비!$E$430:$E$729,"&lt;"&amp;EDATE(BO$99,1),예비비!$F$430:$F$729,"결제대금비")+MAX(0,IF(예비비!$D305&lt;EDATE(BO$99,1),예비비!$E305,0)-SUMIFS(예비비!$O$430:$O$729,예비비!$B$430:$B$729,예비비!$A305,예비비!$E$430:$E$729,"&lt;"&amp;EDATE(BO$99,1))),0)</f>
        <v>0</v>
      </c>
      <c r="BP305">
        <f>IF(예비비!$R305="OK",SUMIFS(예비비!$O$430:$O$729,예비비!$B$430:$B$729,예비비!$A305,예비비!$E$430:$E$729,"&lt;"&amp;EDATE(BP$99,1),예비비!$F$430:$F$729,"결제대금비")+MAX(0,IF(예비비!$D305&lt;EDATE(BP$99,1),예비비!$E305,0)-SUMIFS(예비비!$O$430:$O$729,예비비!$B$430:$B$729,예비비!$A305,예비비!$E$430:$E$729,"&lt;"&amp;EDATE(BP$99,1))),0)</f>
        <v>0</v>
      </c>
      <c r="BQ305">
        <f>IF(예비비!$R305="OK",SUMIFS(예비비!$O$430:$O$729,예비비!$B$430:$B$729,예비비!$A305,예비비!$E$430:$E$729,"&lt;"&amp;EDATE(BQ$99,1),예비비!$F$430:$F$729,"결제대금비")+MAX(0,IF(예비비!$D305&lt;EDATE(BQ$99,1),예비비!$E305,0)-SUMIFS(예비비!$O$430:$O$729,예비비!$B$430:$B$729,예비비!$A305,예비비!$E$430:$E$729,"&lt;"&amp;EDATE(BQ$99,1))),0)</f>
        <v>0</v>
      </c>
      <c r="BR305">
        <f>IF(예비비!$R305="OK",SUMIFS(예비비!$O$430:$O$729,예비비!$B$430:$B$729,예비비!$A305,예비비!$E$430:$E$729,"&lt;"&amp;EDATE(BR$99,1),예비비!$F$430:$F$729,"결제대금비")+MAX(0,IF(예비비!$D305&lt;EDATE(BR$99,1),예비비!$E305,0)-SUMIFS(예비비!$O$430:$O$729,예비비!$B$430:$B$729,예비비!$A305,예비비!$E$430:$E$729,"&lt;"&amp;EDATE(BR$99,1))),0)</f>
        <v>0</v>
      </c>
      <c r="BS305">
        <f>IF(예비비!$R305="OK",SUMIFS(예비비!$O$430:$O$729,예비비!$B$430:$B$729,예비비!$A305,예비비!$E$430:$E$729,"&lt;"&amp;EDATE(BS$99,1),예비비!$F$430:$F$729,"결제대금비")+MAX(0,IF(예비비!$D305&lt;EDATE(BS$99,1),예비비!$E305,0)-SUMIFS(예비비!$O$430:$O$729,예비비!$B$430:$B$729,예비비!$A305,예비비!$E$430:$E$729,"&lt;"&amp;EDATE(BS$99,1))),0)</f>
        <v>0</v>
      </c>
      <c r="BT305">
        <f>IF(예비비!$R305="OK",SUMIFS(예비비!$O$430:$O$729,예비비!$B$430:$B$729,예비비!$A305,예비비!$E$430:$E$729,"&lt;"&amp;EDATE(BT$99,1),예비비!$F$430:$F$729,"결제대금비")+MAX(0,IF(예비비!$D305&lt;EDATE(BT$99,1),예비비!$E305,0)-SUMIFS(예비비!$O$430:$O$729,예비비!$B$430:$B$729,예비비!$A305,예비비!$E$430:$E$729,"&lt;"&amp;EDATE(BT$99,1))),0)</f>
        <v>0</v>
      </c>
      <c r="BU305">
        <f>IF(예비비!$R305="OK",SUMIFS(예비비!$O$430:$O$729,예비비!$B$430:$B$729,예비비!$A305,예비비!$E$430:$E$729,"&lt;"&amp;EDATE(BU$99,1),예비비!$F$430:$F$729,"결제대금비")+MAX(0,IF(예비비!$D305&lt;EDATE(BU$99,1),예비비!$E305,0)-SUMIFS(예비비!$O$430:$O$729,예비비!$B$430:$B$729,예비비!$A305,예비비!$E$430:$E$729,"&lt;"&amp;EDATE(BU$99,1))),0)</f>
        <v>0</v>
      </c>
    </row>
    <row r="306">
      <c r="BA306">
        <v>250</v>
      </c>
      <c r="BB306" t="str">
        <f>IFERROR(INDEX(잔액!$A:$A,BA306),0)</f>
        <v>00:00:00</v>
      </c>
      <c r="BH306">
        <f>IFERROR(IF(AND(BB306&gt;0,OR(COUNTIFS(예비비!$C$430:$C$729,BA306,예비비!$N$430:$N$729,"OK")&gt;0,AND(INDEX(잔액!$J:$J,BA306)="가족통장",INDEX(잔액!$K:$K,BA306)="미래에셋_WRAP형CMA"),COUNTIF(예비비!$A$8:$A$12,INDEX(잔액!$C:$C,BA306))=1,COUNTIF(예비비!$A$8:$A$12,INDEX(잔액!$D:$D,BA306))=1),OR(AND(BB306&gt;=예비비!$B$3,BB306&lt;EDATE(예비비!$B$3,1)),AND(BB306&lt;EDATE(예비비!$B$3,1),COUNTIFS(예비비!$C$430:$C$729,BA306,예비비!$L$430:$L$729,예비비!$B$3,예비비!$N$430:$N$729,"OK")&gt;0))),MAX($BH$120:BH305)+1,0),0)</f>
        <v>0</v>
      </c>
      <c r="BI306">
        <f>IF(예비비!$R306="OK",SUMIFS(예비비!$O$430:$O$729,예비비!$B$430:$B$729,예비비!$A306,예비비!$E$430:$E$729,"&lt;"&amp;EDATE(BI$99,1),예비비!$F$430:$F$729,"결제대금비")+MAX(0,IF(예비비!$D306&lt;EDATE(BI$99,1),예비비!$E306,0)-SUMIFS(예비비!$O$430:$O$729,예비비!$B$430:$B$729,예비비!$A306,예비비!$E$430:$E$729,"&lt;"&amp;EDATE(BI$99,1))),0)</f>
        <v>0</v>
      </c>
      <c r="BJ306">
        <f>IF(예비비!$R306="OK",SUMIFS(예비비!$O$430:$O$729,예비비!$B$430:$B$729,예비비!$A306,예비비!$E$430:$E$729,"&lt;"&amp;EDATE(BJ$99,1),예비비!$F$430:$F$729,"결제대금비")+MAX(0,IF(예비비!$D306&lt;EDATE(BJ$99,1),예비비!$E306,0)-SUMIFS(예비비!$O$430:$O$729,예비비!$B$430:$B$729,예비비!$A306,예비비!$E$430:$E$729,"&lt;"&amp;EDATE(BJ$99,1))),0)</f>
        <v>0</v>
      </c>
      <c r="BK306">
        <f>IF(예비비!$R306="OK",SUMIFS(예비비!$O$430:$O$729,예비비!$B$430:$B$729,예비비!$A306,예비비!$E$430:$E$729,"&lt;"&amp;EDATE(BK$99,1),예비비!$F$430:$F$729,"결제대금비")+MAX(0,IF(예비비!$D306&lt;EDATE(BK$99,1),예비비!$E306,0)-SUMIFS(예비비!$O$430:$O$729,예비비!$B$430:$B$729,예비비!$A306,예비비!$E$430:$E$729,"&lt;"&amp;EDATE(BK$99,1))),0)</f>
        <v>0</v>
      </c>
      <c r="BL306">
        <f>IF(예비비!$R306="OK",SUMIFS(예비비!$O$430:$O$729,예비비!$B$430:$B$729,예비비!$A306,예비비!$E$430:$E$729,"&lt;"&amp;EDATE(BL$99,1),예비비!$F$430:$F$729,"결제대금비")+MAX(0,IF(예비비!$D306&lt;EDATE(BL$99,1),예비비!$E306,0)-SUMIFS(예비비!$O$430:$O$729,예비비!$B$430:$B$729,예비비!$A306,예비비!$E$430:$E$729,"&lt;"&amp;EDATE(BL$99,1))),0)</f>
        <v>0</v>
      </c>
      <c r="BM306">
        <f>IF(예비비!$R306="OK",SUMIFS(예비비!$O$430:$O$729,예비비!$B$430:$B$729,예비비!$A306,예비비!$E$430:$E$729,"&lt;"&amp;EDATE(BM$99,1),예비비!$F$430:$F$729,"결제대금비")+MAX(0,IF(예비비!$D306&lt;EDATE(BM$99,1),예비비!$E306,0)-SUMIFS(예비비!$O$430:$O$729,예비비!$B$430:$B$729,예비비!$A306,예비비!$E$430:$E$729,"&lt;"&amp;EDATE(BM$99,1))),0)</f>
        <v>0</v>
      </c>
      <c r="BN306">
        <f>IF(예비비!$R306="OK",SUMIFS(예비비!$O$430:$O$729,예비비!$B$430:$B$729,예비비!$A306,예비비!$E$430:$E$729,"&lt;"&amp;EDATE(BN$99,1),예비비!$F$430:$F$729,"결제대금비")+MAX(0,IF(예비비!$D306&lt;EDATE(BN$99,1),예비비!$E306,0)-SUMIFS(예비비!$O$430:$O$729,예비비!$B$430:$B$729,예비비!$A306,예비비!$E$430:$E$729,"&lt;"&amp;EDATE(BN$99,1))),0)</f>
        <v>0</v>
      </c>
      <c r="BO306">
        <f>IF(예비비!$R306="OK",SUMIFS(예비비!$O$430:$O$729,예비비!$B$430:$B$729,예비비!$A306,예비비!$E$430:$E$729,"&lt;"&amp;EDATE(BO$99,1),예비비!$F$430:$F$729,"결제대금비")+MAX(0,IF(예비비!$D306&lt;EDATE(BO$99,1),예비비!$E306,0)-SUMIFS(예비비!$O$430:$O$729,예비비!$B$430:$B$729,예비비!$A306,예비비!$E$430:$E$729,"&lt;"&amp;EDATE(BO$99,1))),0)</f>
        <v>0</v>
      </c>
      <c r="BP306">
        <f>IF(예비비!$R306="OK",SUMIFS(예비비!$O$430:$O$729,예비비!$B$430:$B$729,예비비!$A306,예비비!$E$430:$E$729,"&lt;"&amp;EDATE(BP$99,1),예비비!$F$430:$F$729,"결제대금비")+MAX(0,IF(예비비!$D306&lt;EDATE(BP$99,1),예비비!$E306,0)-SUMIFS(예비비!$O$430:$O$729,예비비!$B$430:$B$729,예비비!$A306,예비비!$E$430:$E$729,"&lt;"&amp;EDATE(BP$99,1))),0)</f>
        <v>0</v>
      </c>
      <c r="BQ306">
        <f>IF(예비비!$R306="OK",SUMIFS(예비비!$O$430:$O$729,예비비!$B$430:$B$729,예비비!$A306,예비비!$E$430:$E$729,"&lt;"&amp;EDATE(BQ$99,1),예비비!$F$430:$F$729,"결제대금비")+MAX(0,IF(예비비!$D306&lt;EDATE(BQ$99,1),예비비!$E306,0)-SUMIFS(예비비!$O$430:$O$729,예비비!$B$430:$B$729,예비비!$A306,예비비!$E$430:$E$729,"&lt;"&amp;EDATE(BQ$99,1))),0)</f>
        <v>0</v>
      </c>
      <c r="BR306">
        <f>IF(예비비!$R306="OK",SUMIFS(예비비!$O$430:$O$729,예비비!$B$430:$B$729,예비비!$A306,예비비!$E$430:$E$729,"&lt;"&amp;EDATE(BR$99,1),예비비!$F$430:$F$729,"결제대금비")+MAX(0,IF(예비비!$D306&lt;EDATE(BR$99,1),예비비!$E306,0)-SUMIFS(예비비!$O$430:$O$729,예비비!$B$430:$B$729,예비비!$A306,예비비!$E$430:$E$729,"&lt;"&amp;EDATE(BR$99,1))),0)</f>
        <v>0</v>
      </c>
      <c r="BS306">
        <f>IF(예비비!$R306="OK",SUMIFS(예비비!$O$430:$O$729,예비비!$B$430:$B$729,예비비!$A306,예비비!$E$430:$E$729,"&lt;"&amp;EDATE(BS$99,1),예비비!$F$430:$F$729,"결제대금비")+MAX(0,IF(예비비!$D306&lt;EDATE(BS$99,1),예비비!$E306,0)-SUMIFS(예비비!$O$430:$O$729,예비비!$B$430:$B$729,예비비!$A306,예비비!$E$430:$E$729,"&lt;"&amp;EDATE(BS$99,1))),0)</f>
        <v>0</v>
      </c>
      <c r="BT306">
        <f>IF(예비비!$R306="OK",SUMIFS(예비비!$O$430:$O$729,예비비!$B$430:$B$729,예비비!$A306,예비비!$E$430:$E$729,"&lt;"&amp;EDATE(BT$99,1),예비비!$F$430:$F$729,"결제대금비")+MAX(0,IF(예비비!$D306&lt;EDATE(BT$99,1),예비비!$E306,0)-SUMIFS(예비비!$O$430:$O$729,예비비!$B$430:$B$729,예비비!$A306,예비비!$E$430:$E$729,"&lt;"&amp;EDATE(BT$99,1))),0)</f>
        <v>0</v>
      </c>
      <c r="BU306">
        <f>IF(예비비!$R306="OK",SUMIFS(예비비!$O$430:$O$729,예비비!$B$430:$B$729,예비비!$A306,예비비!$E$430:$E$729,"&lt;"&amp;EDATE(BU$99,1),예비비!$F$430:$F$729,"결제대금비")+MAX(0,IF(예비비!$D306&lt;EDATE(BU$99,1),예비비!$E306,0)-SUMIFS(예비비!$O$430:$O$729,예비비!$B$430:$B$729,예비비!$A306,예비비!$E$430:$E$729,"&lt;"&amp;EDATE(BU$99,1))),0)</f>
        <v>0</v>
      </c>
    </row>
    <row r="307">
      <c r="BA307">
        <v>251</v>
      </c>
      <c r="BB307" t="str">
        <f>IFERROR(INDEX(잔액!$A:$A,BA307),0)</f>
        <v>00:00:00</v>
      </c>
      <c r="BH307">
        <f>IFERROR(IF(AND(BB307&gt;0,OR(COUNTIFS(예비비!$C$430:$C$729,BA307,예비비!$N$430:$N$729,"OK")&gt;0,AND(INDEX(잔액!$J:$J,BA307)="가족통장",INDEX(잔액!$K:$K,BA307)="미래에셋_WRAP형CMA"),COUNTIF(예비비!$A$8:$A$12,INDEX(잔액!$C:$C,BA307))=1,COUNTIF(예비비!$A$8:$A$12,INDEX(잔액!$D:$D,BA307))=1),OR(AND(BB307&gt;=예비비!$B$3,BB307&lt;EDATE(예비비!$B$3,1)),AND(BB307&lt;EDATE(예비비!$B$3,1),COUNTIFS(예비비!$C$430:$C$729,BA307,예비비!$L$430:$L$729,예비비!$B$3,예비비!$N$430:$N$729,"OK")&gt;0))),MAX($BH$120:BH306)+1,0),0)</f>
        <v>0</v>
      </c>
      <c r="BI307">
        <f>IF(예비비!$R307="OK",SUMIFS(예비비!$O$430:$O$729,예비비!$B$430:$B$729,예비비!$A307,예비비!$E$430:$E$729,"&lt;"&amp;EDATE(BI$99,1),예비비!$F$430:$F$729,"결제대금비")+MAX(0,IF(예비비!$D307&lt;EDATE(BI$99,1),예비비!$E307,0)-SUMIFS(예비비!$O$430:$O$729,예비비!$B$430:$B$729,예비비!$A307,예비비!$E$430:$E$729,"&lt;"&amp;EDATE(BI$99,1))),0)</f>
        <v>0</v>
      </c>
      <c r="BJ307">
        <f>IF(예비비!$R307="OK",SUMIFS(예비비!$O$430:$O$729,예비비!$B$430:$B$729,예비비!$A307,예비비!$E$430:$E$729,"&lt;"&amp;EDATE(BJ$99,1),예비비!$F$430:$F$729,"결제대금비")+MAX(0,IF(예비비!$D307&lt;EDATE(BJ$99,1),예비비!$E307,0)-SUMIFS(예비비!$O$430:$O$729,예비비!$B$430:$B$729,예비비!$A307,예비비!$E$430:$E$729,"&lt;"&amp;EDATE(BJ$99,1))),0)</f>
        <v>0</v>
      </c>
      <c r="BK307">
        <f>IF(예비비!$R307="OK",SUMIFS(예비비!$O$430:$O$729,예비비!$B$430:$B$729,예비비!$A307,예비비!$E$430:$E$729,"&lt;"&amp;EDATE(BK$99,1),예비비!$F$430:$F$729,"결제대금비")+MAX(0,IF(예비비!$D307&lt;EDATE(BK$99,1),예비비!$E307,0)-SUMIFS(예비비!$O$430:$O$729,예비비!$B$430:$B$729,예비비!$A307,예비비!$E$430:$E$729,"&lt;"&amp;EDATE(BK$99,1))),0)</f>
        <v>0</v>
      </c>
      <c r="BL307">
        <f>IF(예비비!$R307="OK",SUMIFS(예비비!$O$430:$O$729,예비비!$B$430:$B$729,예비비!$A307,예비비!$E$430:$E$729,"&lt;"&amp;EDATE(BL$99,1),예비비!$F$430:$F$729,"결제대금비")+MAX(0,IF(예비비!$D307&lt;EDATE(BL$99,1),예비비!$E307,0)-SUMIFS(예비비!$O$430:$O$729,예비비!$B$430:$B$729,예비비!$A307,예비비!$E$430:$E$729,"&lt;"&amp;EDATE(BL$99,1))),0)</f>
        <v>0</v>
      </c>
      <c r="BM307">
        <f>IF(예비비!$R307="OK",SUMIFS(예비비!$O$430:$O$729,예비비!$B$430:$B$729,예비비!$A307,예비비!$E$430:$E$729,"&lt;"&amp;EDATE(BM$99,1),예비비!$F$430:$F$729,"결제대금비")+MAX(0,IF(예비비!$D307&lt;EDATE(BM$99,1),예비비!$E307,0)-SUMIFS(예비비!$O$430:$O$729,예비비!$B$430:$B$729,예비비!$A307,예비비!$E$430:$E$729,"&lt;"&amp;EDATE(BM$99,1))),0)</f>
        <v>0</v>
      </c>
      <c r="BN307">
        <f>IF(예비비!$R307="OK",SUMIFS(예비비!$O$430:$O$729,예비비!$B$430:$B$729,예비비!$A307,예비비!$E$430:$E$729,"&lt;"&amp;EDATE(BN$99,1),예비비!$F$430:$F$729,"결제대금비")+MAX(0,IF(예비비!$D307&lt;EDATE(BN$99,1),예비비!$E307,0)-SUMIFS(예비비!$O$430:$O$729,예비비!$B$430:$B$729,예비비!$A307,예비비!$E$430:$E$729,"&lt;"&amp;EDATE(BN$99,1))),0)</f>
        <v>0</v>
      </c>
      <c r="BO307">
        <f>IF(예비비!$R307="OK",SUMIFS(예비비!$O$430:$O$729,예비비!$B$430:$B$729,예비비!$A307,예비비!$E$430:$E$729,"&lt;"&amp;EDATE(BO$99,1),예비비!$F$430:$F$729,"결제대금비")+MAX(0,IF(예비비!$D307&lt;EDATE(BO$99,1),예비비!$E307,0)-SUMIFS(예비비!$O$430:$O$729,예비비!$B$430:$B$729,예비비!$A307,예비비!$E$430:$E$729,"&lt;"&amp;EDATE(BO$99,1))),0)</f>
        <v>0</v>
      </c>
      <c r="BP307">
        <f>IF(예비비!$R307="OK",SUMIFS(예비비!$O$430:$O$729,예비비!$B$430:$B$729,예비비!$A307,예비비!$E$430:$E$729,"&lt;"&amp;EDATE(BP$99,1),예비비!$F$430:$F$729,"결제대금비")+MAX(0,IF(예비비!$D307&lt;EDATE(BP$99,1),예비비!$E307,0)-SUMIFS(예비비!$O$430:$O$729,예비비!$B$430:$B$729,예비비!$A307,예비비!$E$430:$E$729,"&lt;"&amp;EDATE(BP$99,1))),0)</f>
        <v>0</v>
      </c>
      <c r="BQ307">
        <f>IF(예비비!$R307="OK",SUMIFS(예비비!$O$430:$O$729,예비비!$B$430:$B$729,예비비!$A307,예비비!$E$430:$E$729,"&lt;"&amp;EDATE(BQ$99,1),예비비!$F$430:$F$729,"결제대금비")+MAX(0,IF(예비비!$D307&lt;EDATE(BQ$99,1),예비비!$E307,0)-SUMIFS(예비비!$O$430:$O$729,예비비!$B$430:$B$729,예비비!$A307,예비비!$E$430:$E$729,"&lt;"&amp;EDATE(BQ$99,1))),0)</f>
        <v>0</v>
      </c>
      <c r="BR307">
        <f>IF(예비비!$R307="OK",SUMIFS(예비비!$O$430:$O$729,예비비!$B$430:$B$729,예비비!$A307,예비비!$E$430:$E$729,"&lt;"&amp;EDATE(BR$99,1),예비비!$F$430:$F$729,"결제대금비")+MAX(0,IF(예비비!$D307&lt;EDATE(BR$99,1),예비비!$E307,0)-SUMIFS(예비비!$O$430:$O$729,예비비!$B$430:$B$729,예비비!$A307,예비비!$E$430:$E$729,"&lt;"&amp;EDATE(BR$99,1))),0)</f>
        <v>0</v>
      </c>
      <c r="BS307">
        <f>IF(예비비!$R307="OK",SUMIFS(예비비!$O$430:$O$729,예비비!$B$430:$B$729,예비비!$A307,예비비!$E$430:$E$729,"&lt;"&amp;EDATE(BS$99,1),예비비!$F$430:$F$729,"결제대금비")+MAX(0,IF(예비비!$D307&lt;EDATE(BS$99,1),예비비!$E307,0)-SUMIFS(예비비!$O$430:$O$729,예비비!$B$430:$B$729,예비비!$A307,예비비!$E$430:$E$729,"&lt;"&amp;EDATE(BS$99,1))),0)</f>
        <v>0</v>
      </c>
      <c r="BT307">
        <f>IF(예비비!$R307="OK",SUMIFS(예비비!$O$430:$O$729,예비비!$B$430:$B$729,예비비!$A307,예비비!$E$430:$E$729,"&lt;"&amp;EDATE(BT$99,1),예비비!$F$430:$F$729,"결제대금비")+MAX(0,IF(예비비!$D307&lt;EDATE(BT$99,1),예비비!$E307,0)-SUMIFS(예비비!$O$430:$O$729,예비비!$B$430:$B$729,예비비!$A307,예비비!$E$430:$E$729,"&lt;"&amp;EDATE(BT$99,1))),0)</f>
        <v>0</v>
      </c>
      <c r="BU307">
        <f>IF(예비비!$R307="OK",SUMIFS(예비비!$O$430:$O$729,예비비!$B$430:$B$729,예비비!$A307,예비비!$E$430:$E$729,"&lt;"&amp;EDATE(BU$99,1),예비비!$F$430:$F$729,"결제대금비")+MAX(0,IF(예비비!$D307&lt;EDATE(BU$99,1),예비비!$E307,0)-SUMIFS(예비비!$O$430:$O$729,예비비!$B$430:$B$729,예비비!$A307,예비비!$E$430:$E$729,"&lt;"&amp;EDATE(BU$99,1))),0)</f>
        <v>0</v>
      </c>
    </row>
    <row r="308">
      <c r="BA308">
        <v>252</v>
      </c>
      <c r="BB308" t="str">
        <f>IFERROR(INDEX(잔액!$A:$A,BA308),0)</f>
        <v>00:00:00</v>
      </c>
      <c r="BH308">
        <f>IFERROR(IF(AND(BB308&gt;0,OR(COUNTIFS(예비비!$C$430:$C$729,BA308,예비비!$N$430:$N$729,"OK")&gt;0,AND(INDEX(잔액!$J:$J,BA308)="가족통장",INDEX(잔액!$K:$K,BA308)="미래에셋_WRAP형CMA"),COUNTIF(예비비!$A$8:$A$12,INDEX(잔액!$C:$C,BA308))=1,COUNTIF(예비비!$A$8:$A$12,INDEX(잔액!$D:$D,BA308))=1),OR(AND(BB308&gt;=예비비!$B$3,BB308&lt;EDATE(예비비!$B$3,1)),AND(BB308&lt;EDATE(예비비!$B$3,1),COUNTIFS(예비비!$C$430:$C$729,BA308,예비비!$L$430:$L$729,예비비!$B$3,예비비!$N$430:$N$729,"OK")&gt;0))),MAX($BH$120:BH307)+1,0),0)</f>
        <v>0</v>
      </c>
      <c r="BI308">
        <f>IF(예비비!$R308="OK",SUMIFS(예비비!$O$430:$O$729,예비비!$B$430:$B$729,예비비!$A308,예비비!$E$430:$E$729,"&lt;"&amp;EDATE(BI$99,1),예비비!$F$430:$F$729,"결제대금비")+MAX(0,IF(예비비!$D308&lt;EDATE(BI$99,1),예비비!$E308,0)-SUMIFS(예비비!$O$430:$O$729,예비비!$B$430:$B$729,예비비!$A308,예비비!$E$430:$E$729,"&lt;"&amp;EDATE(BI$99,1))),0)</f>
        <v>0</v>
      </c>
      <c r="BJ308">
        <f>IF(예비비!$R308="OK",SUMIFS(예비비!$O$430:$O$729,예비비!$B$430:$B$729,예비비!$A308,예비비!$E$430:$E$729,"&lt;"&amp;EDATE(BJ$99,1),예비비!$F$430:$F$729,"결제대금비")+MAX(0,IF(예비비!$D308&lt;EDATE(BJ$99,1),예비비!$E308,0)-SUMIFS(예비비!$O$430:$O$729,예비비!$B$430:$B$729,예비비!$A308,예비비!$E$430:$E$729,"&lt;"&amp;EDATE(BJ$99,1))),0)</f>
        <v>0</v>
      </c>
      <c r="BK308">
        <f>IF(예비비!$R308="OK",SUMIFS(예비비!$O$430:$O$729,예비비!$B$430:$B$729,예비비!$A308,예비비!$E$430:$E$729,"&lt;"&amp;EDATE(BK$99,1),예비비!$F$430:$F$729,"결제대금비")+MAX(0,IF(예비비!$D308&lt;EDATE(BK$99,1),예비비!$E308,0)-SUMIFS(예비비!$O$430:$O$729,예비비!$B$430:$B$729,예비비!$A308,예비비!$E$430:$E$729,"&lt;"&amp;EDATE(BK$99,1))),0)</f>
        <v>0</v>
      </c>
      <c r="BL308">
        <f>IF(예비비!$R308="OK",SUMIFS(예비비!$O$430:$O$729,예비비!$B$430:$B$729,예비비!$A308,예비비!$E$430:$E$729,"&lt;"&amp;EDATE(BL$99,1),예비비!$F$430:$F$729,"결제대금비")+MAX(0,IF(예비비!$D308&lt;EDATE(BL$99,1),예비비!$E308,0)-SUMIFS(예비비!$O$430:$O$729,예비비!$B$430:$B$729,예비비!$A308,예비비!$E$430:$E$729,"&lt;"&amp;EDATE(BL$99,1))),0)</f>
        <v>0</v>
      </c>
      <c r="BM308">
        <f>IF(예비비!$R308="OK",SUMIFS(예비비!$O$430:$O$729,예비비!$B$430:$B$729,예비비!$A308,예비비!$E$430:$E$729,"&lt;"&amp;EDATE(BM$99,1),예비비!$F$430:$F$729,"결제대금비")+MAX(0,IF(예비비!$D308&lt;EDATE(BM$99,1),예비비!$E308,0)-SUMIFS(예비비!$O$430:$O$729,예비비!$B$430:$B$729,예비비!$A308,예비비!$E$430:$E$729,"&lt;"&amp;EDATE(BM$99,1))),0)</f>
        <v>0</v>
      </c>
      <c r="BN308">
        <f>IF(예비비!$R308="OK",SUMIFS(예비비!$O$430:$O$729,예비비!$B$430:$B$729,예비비!$A308,예비비!$E$430:$E$729,"&lt;"&amp;EDATE(BN$99,1),예비비!$F$430:$F$729,"결제대금비")+MAX(0,IF(예비비!$D308&lt;EDATE(BN$99,1),예비비!$E308,0)-SUMIFS(예비비!$O$430:$O$729,예비비!$B$430:$B$729,예비비!$A308,예비비!$E$430:$E$729,"&lt;"&amp;EDATE(BN$99,1))),0)</f>
        <v>0</v>
      </c>
      <c r="BO308">
        <f>IF(예비비!$R308="OK",SUMIFS(예비비!$O$430:$O$729,예비비!$B$430:$B$729,예비비!$A308,예비비!$E$430:$E$729,"&lt;"&amp;EDATE(BO$99,1),예비비!$F$430:$F$729,"결제대금비")+MAX(0,IF(예비비!$D308&lt;EDATE(BO$99,1),예비비!$E308,0)-SUMIFS(예비비!$O$430:$O$729,예비비!$B$430:$B$729,예비비!$A308,예비비!$E$430:$E$729,"&lt;"&amp;EDATE(BO$99,1))),0)</f>
        <v>0</v>
      </c>
      <c r="BP308">
        <f>IF(예비비!$R308="OK",SUMIFS(예비비!$O$430:$O$729,예비비!$B$430:$B$729,예비비!$A308,예비비!$E$430:$E$729,"&lt;"&amp;EDATE(BP$99,1),예비비!$F$430:$F$729,"결제대금비")+MAX(0,IF(예비비!$D308&lt;EDATE(BP$99,1),예비비!$E308,0)-SUMIFS(예비비!$O$430:$O$729,예비비!$B$430:$B$729,예비비!$A308,예비비!$E$430:$E$729,"&lt;"&amp;EDATE(BP$99,1))),0)</f>
        <v>0</v>
      </c>
      <c r="BQ308">
        <f>IF(예비비!$R308="OK",SUMIFS(예비비!$O$430:$O$729,예비비!$B$430:$B$729,예비비!$A308,예비비!$E$430:$E$729,"&lt;"&amp;EDATE(BQ$99,1),예비비!$F$430:$F$729,"결제대금비")+MAX(0,IF(예비비!$D308&lt;EDATE(BQ$99,1),예비비!$E308,0)-SUMIFS(예비비!$O$430:$O$729,예비비!$B$430:$B$729,예비비!$A308,예비비!$E$430:$E$729,"&lt;"&amp;EDATE(BQ$99,1))),0)</f>
        <v>0</v>
      </c>
      <c r="BR308">
        <f>IF(예비비!$R308="OK",SUMIFS(예비비!$O$430:$O$729,예비비!$B$430:$B$729,예비비!$A308,예비비!$E$430:$E$729,"&lt;"&amp;EDATE(BR$99,1),예비비!$F$430:$F$729,"결제대금비")+MAX(0,IF(예비비!$D308&lt;EDATE(BR$99,1),예비비!$E308,0)-SUMIFS(예비비!$O$430:$O$729,예비비!$B$430:$B$729,예비비!$A308,예비비!$E$430:$E$729,"&lt;"&amp;EDATE(BR$99,1))),0)</f>
        <v>0</v>
      </c>
      <c r="BS308">
        <f>IF(예비비!$R308="OK",SUMIFS(예비비!$O$430:$O$729,예비비!$B$430:$B$729,예비비!$A308,예비비!$E$430:$E$729,"&lt;"&amp;EDATE(BS$99,1),예비비!$F$430:$F$729,"결제대금비")+MAX(0,IF(예비비!$D308&lt;EDATE(BS$99,1),예비비!$E308,0)-SUMIFS(예비비!$O$430:$O$729,예비비!$B$430:$B$729,예비비!$A308,예비비!$E$430:$E$729,"&lt;"&amp;EDATE(BS$99,1))),0)</f>
        <v>0</v>
      </c>
      <c r="BT308">
        <f>IF(예비비!$R308="OK",SUMIFS(예비비!$O$430:$O$729,예비비!$B$430:$B$729,예비비!$A308,예비비!$E$430:$E$729,"&lt;"&amp;EDATE(BT$99,1),예비비!$F$430:$F$729,"결제대금비")+MAX(0,IF(예비비!$D308&lt;EDATE(BT$99,1),예비비!$E308,0)-SUMIFS(예비비!$O$430:$O$729,예비비!$B$430:$B$729,예비비!$A308,예비비!$E$430:$E$729,"&lt;"&amp;EDATE(BT$99,1))),0)</f>
        <v>0</v>
      </c>
      <c r="BU308">
        <f>IF(예비비!$R308="OK",SUMIFS(예비비!$O$430:$O$729,예비비!$B$430:$B$729,예비비!$A308,예비비!$E$430:$E$729,"&lt;"&amp;EDATE(BU$99,1),예비비!$F$430:$F$729,"결제대금비")+MAX(0,IF(예비비!$D308&lt;EDATE(BU$99,1),예비비!$E308,0)-SUMIFS(예비비!$O$430:$O$729,예비비!$B$430:$B$729,예비비!$A308,예비비!$E$430:$E$729,"&lt;"&amp;EDATE(BU$99,1))),0)</f>
        <v>0</v>
      </c>
    </row>
    <row r="309">
      <c r="BA309">
        <v>253</v>
      </c>
      <c r="BB309" t="str">
        <f>IFERROR(INDEX(잔액!$A:$A,BA309),0)</f>
        <v>00:00:00</v>
      </c>
      <c r="BH309">
        <f>IFERROR(IF(AND(BB309&gt;0,OR(COUNTIFS(예비비!$C$430:$C$729,BA309,예비비!$N$430:$N$729,"OK")&gt;0,AND(INDEX(잔액!$J:$J,BA309)="가족통장",INDEX(잔액!$K:$K,BA309)="미래에셋_WRAP형CMA"),COUNTIF(예비비!$A$8:$A$12,INDEX(잔액!$C:$C,BA309))=1,COUNTIF(예비비!$A$8:$A$12,INDEX(잔액!$D:$D,BA309))=1),OR(AND(BB309&gt;=예비비!$B$3,BB309&lt;EDATE(예비비!$B$3,1)),AND(BB309&lt;EDATE(예비비!$B$3,1),COUNTIFS(예비비!$C$430:$C$729,BA309,예비비!$L$430:$L$729,예비비!$B$3,예비비!$N$430:$N$729,"OK")&gt;0))),MAX($BH$120:BH308)+1,0),0)</f>
        <v>0</v>
      </c>
      <c r="BI309">
        <f>IF(예비비!$R309="OK",SUMIFS(예비비!$O$430:$O$729,예비비!$B$430:$B$729,예비비!$A309,예비비!$E$430:$E$729,"&lt;"&amp;EDATE(BI$99,1),예비비!$F$430:$F$729,"결제대금비")+MAX(0,IF(예비비!$D309&lt;EDATE(BI$99,1),예비비!$E309,0)-SUMIFS(예비비!$O$430:$O$729,예비비!$B$430:$B$729,예비비!$A309,예비비!$E$430:$E$729,"&lt;"&amp;EDATE(BI$99,1))),0)</f>
        <v>0</v>
      </c>
      <c r="BJ309">
        <f>IF(예비비!$R309="OK",SUMIFS(예비비!$O$430:$O$729,예비비!$B$430:$B$729,예비비!$A309,예비비!$E$430:$E$729,"&lt;"&amp;EDATE(BJ$99,1),예비비!$F$430:$F$729,"결제대금비")+MAX(0,IF(예비비!$D309&lt;EDATE(BJ$99,1),예비비!$E309,0)-SUMIFS(예비비!$O$430:$O$729,예비비!$B$430:$B$729,예비비!$A309,예비비!$E$430:$E$729,"&lt;"&amp;EDATE(BJ$99,1))),0)</f>
        <v>0</v>
      </c>
      <c r="BK309">
        <f>IF(예비비!$R309="OK",SUMIFS(예비비!$O$430:$O$729,예비비!$B$430:$B$729,예비비!$A309,예비비!$E$430:$E$729,"&lt;"&amp;EDATE(BK$99,1),예비비!$F$430:$F$729,"결제대금비")+MAX(0,IF(예비비!$D309&lt;EDATE(BK$99,1),예비비!$E309,0)-SUMIFS(예비비!$O$430:$O$729,예비비!$B$430:$B$729,예비비!$A309,예비비!$E$430:$E$729,"&lt;"&amp;EDATE(BK$99,1))),0)</f>
        <v>0</v>
      </c>
      <c r="BL309">
        <f>IF(예비비!$R309="OK",SUMIFS(예비비!$O$430:$O$729,예비비!$B$430:$B$729,예비비!$A309,예비비!$E$430:$E$729,"&lt;"&amp;EDATE(BL$99,1),예비비!$F$430:$F$729,"결제대금비")+MAX(0,IF(예비비!$D309&lt;EDATE(BL$99,1),예비비!$E309,0)-SUMIFS(예비비!$O$430:$O$729,예비비!$B$430:$B$729,예비비!$A309,예비비!$E$430:$E$729,"&lt;"&amp;EDATE(BL$99,1))),0)</f>
        <v>0</v>
      </c>
      <c r="BM309">
        <f>IF(예비비!$R309="OK",SUMIFS(예비비!$O$430:$O$729,예비비!$B$430:$B$729,예비비!$A309,예비비!$E$430:$E$729,"&lt;"&amp;EDATE(BM$99,1),예비비!$F$430:$F$729,"결제대금비")+MAX(0,IF(예비비!$D309&lt;EDATE(BM$99,1),예비비!$E309,0)-SUMIFS(예비비!$O$430:$O$729,예비비!$B$430:$B$729,예비비!$A309,예비비!$E$430:$E$729,"&lt;"&amp;EDATE(BM$99,1))),0)</f>
        <v>0</v>
      </c>
      <c r="BN309">
        <f>IF(예비비!$R309="OK",SUMIFS(예비비!$O$430:$O$729,예비비!$B$430:$B$729,예비비!$A309,예비비!$E$430:$E$729,"&lt;"&amp;EDATE(BN$99,1),예비비!$F$430:$F$729,"결제대금비")+MAX(0,IF(예비비!$D309&lt;EDATE(BN$99,1),예비비!$E309,0)-SUMIFS(예비비!$O$430:$O$729,예비비!$B$430:$B$729,예비비!$A309,예비비!$E$430:$E$729,"&lt;"&amp;EDATE(BN$99,1))),0)</f>
        <v>0</v>
      </c>
      <c r="BO309">
        <f>IF(예비비!$R309="OK",SUMIFS(예비비!$O$430:$O$729,예비비!$B$430:$B$729,예비비!$A309,예비비!$E$430:$E$729,"&lt;"&amp;EDATE(BO$99,1),예비비!$F$430:$F$729,"결제대금비")+MAX(0,IF(예비비!$D309&lt;EDATE(BO$99,1),예비비!$E309,0)-SUMIFS(예비비!$O$430:$O$729,예비비!$B$430:$B$729,예비비!$A309,예비비!$E$430:$E$729,"&lt;"&amp;EDATE(BO$99,1))),0)</f>
        <v>0</v>
      </c>
      <c r="BP309">
        <f>IF(예비비!$R309="OK",SUMIFS(예비비!$O$430:$O$729,예비비!$B$430:$B$729,예비비!$A309,예비비!$E$430:$E$729,"&lt;"&amp;EDATE(BP$99,1),예비비!$F$430:$F$729,"결제대금비")+MAX(0,IF(예비비!$D309&lt;EDATE(BP$99,1),예비비!$E309,0)-SUMIFS(예비비!$O$430:$O$729,예비비!$B$430:$B$729,예비비!$A309,예비비!$E$430:$E$729,"&lt;"&amp;EDATE(BP$99,1))),0)</f>
        <v>0</v>
      </c>
      <c r="BQ309">
        <f>IF(예비비!$R309="OK",SUMIFS(예비비!$O$430:$O$729,예비비!$B$430:$B$729,예비비!$A309,예비비!$E$430:$E$729,"&lt;"&amp;EDATE(BQ$99,1),예비비!$F$430:$F$729,"결제대금비")+MAX(0,IF(예비비!$D309&lt;EDATE(BQ$99,1),예비비!$E309,0)-SUMIFS(예비비!$O$430:$O$729,예비비!$B$430:$B$729,예비비!$A309,예비비!$E$430:$E$729,"&lt;"&amp;EDATE(BQ$99,1))),0)</f>
        <v>0</v>
      </c>
      <c r="BR309">
        <f>IF(예비비!$R309="OK",SUMIFS(예비비!$O$430:$O$729,예비비!$B$430:$B$729,예비비!$A309,예비비!$E$430:$E$729,"&lt;"&amp;EDATE(BR$99,1),예비비!$F$430:$F$729,"결제대금비")+MAX(0,IF(예비비!$D309&lt;EDATE(BR$99,1),예비비!$E309,0)-SUMIFS(예비비!$O$430:$O$729,예비비!$B$430:$B$729,예비비!$A309,예비비!$E$430:$E$729,"&lt;"&amp;EDATE(BR$99,1))),0)</f>
        <v>0</v>
      </c>
      <c r="BS309">
        <f>IF(예비비!$R309="OK",SUMIFS(예비비!$O$430:$O$729,예비비!$B$430:$B$729,예비비!$A309,예비비!$E$430:$E$729,"&lt;"&amp;EDATE(BS$99,1),예비비!$F$430:$F$729,"결제대금비")+MAX(0,IF(예비비!$D309&lt;EDATE(BS$99,1),예비비!$E309,0)-SUMIFS(예비비!$O$430:$O$729,예비비!$B$430:$B$729,예비비!$A309,예비비!$E$430:$E$729,"&lt;"&amp;EDATE(BS$99,1))),0)</f>
        <v>0</v>
      </c>
      <c r="BT309">
        <f>IF(예비비!$R309="OK",SUMIFS(예비비!$O$430:$O$729,예비비!$B$430:$B$729,예비비!$A309,예비비!$E$430:$E$729,"&lt;"&amp;EDATE(BT$99,1),예비비!$F$430:$F$729,"결제대금비")+MAX(0,IF(예비비!$D309&lt;EDATE(BT$99,1),예비비!$E309,0)-SUMIFS(예비비!$O$430:$O$729,예비비!$B$430:$B$729,예비비!$A309,예비비!$E$430:$E$729,"&lt;"&amp;EDATE(BT$99,1))),0)</f>
        <v>0</v>
      </c>
      <c r="BU309">
        <f>IF(예비비!$R309="OK",SUMIFS(예비비!$O$430:$O$729,예비비!$B$430:$B$729,예비비!$A309,예비비!$E$430:$E$729,"&lt;"&amp;EDATE(BU$99,1),예비비!$F$430:$F$729,"결제대금비")+MAX(0,IF(예비비!$D309&lt;EDATE(BU$99,1),예비비!$E309,0)-SUMIFS(예비비!$O$430:$O$729,예비비!$B$430:$B$729,예비비!$A309,예비비!$E$430:$E$729,"&lt;"&amp;EDATE(BU$99,1))),0)</f>
        <v>0</v>
      </c>
    </row>
    <row r="310">
      <c r="BA310">
        <v>254</v>
      </c>
      <c r="BB310" t="str">
        <f>IFERROR(INDEX(잔액!$A:$A,BA310),0)</f>
        <v>00:00:00</v>
      </c>
      <c r="BH310">
        <f>IFERROR(IF(AND(BB310&gt;0,OR(COUNTIFS(예비비!$C$430:$C$729,BA310,예비비!$N$430:$N$729,"OK")&gt;0,AND(INDEX(잔액!$J:$J,BA310)="가족통장",INDEX(잔액!$K:$K,BA310)="미래에셋_WRAP형CMA"),COUNTIF(예비비!$A$8:$A$12,INDEX(잔액!$C:$C,BA310))=1,COUNTIF(예비비!$A$8:$A$12,INDEX(잔액!$D:$D,BA310))=1),OR(AND(BB310&gt;=예비비!$B$3,BB310&lt;EDATE(예비비!$B$3,1)),AND(BB310&lt;EDATE(예비비!$B$3,1),COUNTIFS(예비비!$C$430:$C$729,BA310,예비비!$L$430:$L$729,예비비!$B$3,예비비!$N$430:$N$729,"OK")&gt;0))),MAX($BH$120:BH309)+1,0),0)</f>
        <v>0</v>
      </c>
      <c r="BI310">
        <f>IF(예비비!$R310="OK",SUMIFS(예비비!$O$430:$O$729,예비비!$B$430:$B$729,예비비!$A310,예비비!$E$430:$E$729,"&lt;"&amp;EDATE(BI$99,1),예비비!$F$430:$F$729,"결제대금비")+MAX(0,IF(예비비!$D310&lt;EDATE(BI$99,1),예비비!$E310,0)-SUMIFS(예비비!$O$430:$O$729,예비비!$B$430:$B$729,예비비!$A310,예비비!$E$430:$E$729,"&lt;"&amp;EDATE(BI$99,1))),0)</f>
        <v>0</v>
      </c>
      <c r="BJ310">
        <f>IF(예비비!$R310="OK",SUMIFS(예비비!$O$430:$O$729,예비비!$B$430:$B$729,예비비!$A310,예비비!$E$430:$E$729,"&lt;"&amp;EDATE(BJ$99,1),예비비!$F$430:$F$729,"결제대금비")+MAX(0,IF(예비비!$D310&lt;EDATE(BJ$99,1),예비비!$E310,0)-SUMIFS(예비비!$O$430:$O$729,예비비!$B$430:$B$729,예비비!$A310,예비비!$E$430:$E$729,"&lt;"&amp;EDATE(BJ$99,1))),0)</f>
        <v>0</v>
      </c>
      <c r="BK310">
        <f>IF(예비비!$R310="OK",SUMIFS(예비비!$O$430:$O$729,예비비!$B$430:$B$729,예비비!$A310,예비비!$E$430:$E$729,"&lt;"&amp;EDATE(BK$99,1),예비비!$F$430:$F$729,"결제대금비")+MAX(0,IF(예비비!$D310&lt;EDATE(BK$99,1),예비비!$E310,0)-SUMIFS(예비비!$O$430:$O$729,예비비!$B$430:$B$729,예비비!$A310,예비비!$E$430:$E$729,"&lt;"&amp;EDATE(BK$99,1))),0)</f>
        <v>0</v>
      </c>
      <c r="BL310">
        <f>IF(예비비!$R310="OK",SUMIFS(예비비!$O$430:$O$729,예비비!$B$430:$B$729,예비비!$A310,예비비!$E$430:$E$729,"&lt;"&amp;EDATE(BL$99,1),예비비!$F$430:$F$729,"결제대금비")+MAX(0,IF(예비비!$D310&lt;EDATE(BL$99,1),예비비!$E310,0)-SUMIFS(예비비!$O$430:$O$729,예비비!$B$430:$B$729,예비비!$A310,예비비!$E$430:$E$729,"&lt;"&amp;EDATE(BL$99,1))),0)</f>
        <v>0</v>
      </c>
      <c r="BM310">
        <f>IF(예비비!$R310="OK",SUMIFS(예비비!$O$430:$O$729,예비비!$B$430:$B$729,예비비!$A310,예비비!$E$430:$E$729,"&lt;"&amp;EDATE(BM$99,1),예비비!$F$430:$F$729,"결제대금비")+MAX(0,IF(예비비!$D310&lt;EDATE(BM$99,1),예비비!$E310,0)-SUMIFS(예비비!$O$430:$O$729,예비비!$B$430:$B$729,예비비!$A310,예비비!$E$430:$E$729,"&lt;"&amp;EDATE(BM$99,1))),0)</f>
        <v>0</v>
      </c>
      <c r="BN310">
        <f>IF(예비비!$R310="OK",SUMIFS(예비비!$O$430:$O$729,예비비!$B$430:$B$729,예비비!$A310,예비비!$E$430:$E$729,"&lt;"&amp;EDATE(BN$99,1),예비비!$F$430:$F$729,"결제대금비")+MAX(0,IF(예비비!$D310&lt;EDATE(BN$99,1),예비비!$E310,0)-SUMIFS(예비비!$O$430:$O$729,예비비!$B$430:$B$729,예비비!$A310,예비비!$E$430:$E$729,"&lt;"&amp;EDATE(BN$99,1))),0)</f>
        <v>0</v>
      </c>
      <c r="BO310">
        <f>IF(예비비!$R310="OK",SUMIFS(예비비!$O$430:$O$729,예비비!$B$430:$B$729,예비비!$A310,예비비!$E$430:$E$729,"&lt;"&amp;EDATE(BO$99,1),예비비!$F$430:$F$729,"결제대금비")+MAX(0,IF(예비비!$D310&lt;EDATE(BO$99,1),예비비!$E310,0)-SUMIFS(예비비!$O$430:$O$729,예비비!$B$430:$B$729,예비비!$A310,예비비!$E$430:$E$729,"&lt;"&amp;EDATE(BO$99,1))),0)</f>
        <v>0</v>
      </c>
      <c r="BP310">
        <f>IF(예비비!$R310="OK",SUMIFS(예비비!$O$430:$O$729,예비비!$B$430:$B$729,예비비!$A310,예비비!$E$430:$E$729,"&lt;"&amp;EDATE(BP$99,1),예비비!$F$430:$F$729,"결제대금비")+MAX(0,IF(예비비!$D310&lt;EDATE(BP$99,1),예비비!$E310,0)-SUMIFS(예비비!$O$430:$O$729,예비비!$B$430:$B$729,예비비!$A310,예비비!$E$430:$E$729,"&lt;"&amp;EDATE(BP$99,1))),0)</f>
        <v>0</v>
      </c>
      <c r="BQ310">
        <f>IF(예비비!$R310="OK",SUMIFS(예비비!$O$430:$O$729,예비비!$B$430:$B$729,예비비!$A310,예비비!$E$430:$E$729,"&lt;"&amp;EDATE(BQ$99,1),예비비!$F$430:$F$729,"결제대금비")+MAX(0,IF(예비비!$D310&lt;EDATE(BQ$99,1),예비비!$E310,0)-SUMIFS(예비비!$O$430:$O$729,예비비!$B$430:$B$729,예비비!$A310,예비비!$E$430:$E$729,"&lt;"&amp;EDATE(BQ$99,1))),0)</f>
        <v>0</v>
      </c>
      <c r="BR310">
        <f>IF(예비비!$R310="OK",SUMIFS(예비비!$O$430:$O$729,예비비!$B$430:$B$729,예비비!$A310,예비비!$E$430:$E$729,"&lt;"&amp;EDATE(BR$99,1),예비비!$F$430:$F$729,"결제대금비")+MAX(0,IF(예비비!$D310&lt;EDATE(BR$99,1),예비비!$E310,0)-SUMIFS(예비비!$O$430:$O$729,예비비!$B$430:$B$729,예비비!$A310,예비비!$E$430:$E$729,"&lt;"&amp;EDATE(BR$99,1))),0)</f>
        <v>0</v>
      </c>
      <c r="BS310">
        <f>IF(예비비!$R310="OK",SUMIFS(예비비!$O$430:$O$729,예비비!$B$430:$B$729,예비비!$A310,예비비!$E$430:$E$729,"&lt;"&amp;EDATE(BS$99,1),예비비!$F$430:$F$729,"결제대금비")+MAX(0,IF(예비비!$D310&lt;EDATE(BS$99,1),예비비!$E310,0)-SUMIFS(예비비!$O$430:$O$729,예비비!$B$430:$B$729,예비비!$A310,예비비!$E$430:$E$729,"&lt;"&amp;EDATE(BS$99,1))),0)</f>
        <v>0</v>
      </c>
      <c r="BT310">
        <f>IF(예비비!$R310="OK",SUMIFS(예비비!$O$430:$O$729,예비비!$B$430:$B$729,예비비!$A310,예비비!$E$430:$E$729,"&lt;"&amp;EDATE(BT$99,1),예비비!$F$430:$F$729,"결제대금비")+MAX(0,IF(예비비!$D310&lt;EDATE(BT$99,1),예비비!$E310,0)-SUMIFS(예비비!$O$430:$O$729,예비비!$B$430:$B$729,예비비!$A310,예비비!$E$430:$E$729,"&lt;"&amp;EDATE(BT$99,1))),0)</f>
        <v>0</v>
      </c>
      <c r="BU310">
        <f>IF(예비비!$R310="OK",SUMIFS(예비비!$O$430:$O$729,예비비!$B$430:$B$729,예비비!$A310,예비비!$E$430:$E$729,"&lt;"&amp;EDATE(BU$99,1),예비비!$F$430:$F$729,"결제대금비")+MAX(0,IF(예비비!$D310&lt;EDATE(BU$99,1),예비비!$E310,0)-SUMIFS(예비비!$O$430:$O$729,예비비!$B$430:$B$729,예비비!$A310,예비비!$E$430:$E$729,"&lt;"&amp;EDATE(BU$99,1))),0)</f>
        <v>0</v>
      </c>
    </row>
    <row r="311">
      <c r="BA311">
        <v>255</v>
      </c>
      <c r="BB311" t="str">
        <f>IFERROR(INDEX(잔액!$A:$A,BA311),0)</f>
        <v>00:00:00</v>
      </c>
      <c r="BH311">
        <f>IFERROR(IF(AND(BB311&gt;0,OR(COUNTIFS(예비비!$C$430:$C$729,BA311,예비비!$N$430:$N$729,"OK")&gt;0,AND(INDEX(잔액!$J:$J,BA311)="가족통장",INDEX(잔액!$K:$K,BA311)="미래에셋_WRAP형CMA"),COUNTIF(예비비!$A$8:$A$12,INDEX(잔액!$C:$C,BA311))=1,COUNTIF(예비비!$A$8:$A$12,INDEX(잔액!$D:$D,BA311))=1),OR(AND(BB311&gt;=예비비!$B$3,BB311&lt;EDATE(예비비!$B$3,1)),AND(BB311&lt;EDATE(예비비!$B$3,1),COUNTIFS(예비비!$C$430:$C$729,BA311,예비비!$L$430:$L$729,예비비!$B$3,예비비!$N$430:$N$729,"OK")&gt;0))),MAX($BH$120:BH310)+1,0),0)</f>
        <v>0</v>
      </c>
      <c r="BI311">
        <f>IF(예비비!$R311="OK",SUMIFS(예비비!$O$430:$O$729,예비비!$B$430:$B$729,예비비!$A311,예비비!$E$430:$E$729,"&lt;"&amp;EDATE(BI$99,1),예비비!$F$430:$F$729,"결제대금비")+MAX(0,IF(예비비!$D311&lt;EDATE(BI$99,1),예비비!$E311,0)-SUMIFS(예비비!$O$430:$O$729,예비비!$B$430:$B$729,예비비!$A311,예비비!$E$430:$E$729,"&lt;"&amp;EDATE(BI$99,1))),0)</f>
        <v>0</v>
      </c>
      <c r="BJ311">
        <f>IF(예비비!$R311="OK",SUMIFS(예비비!$O$430:$O$729,예비비!$B$430:$B$729,예비비!$A311,예비비!$E$430:$E$729,"&lt;"&amp;EDATE(BJ$99,1),예비비!$F$430:$F$729,"결제대금비")+MAX(0,IF(예비비!$D311&lt;EDATE(BJ$99,1),예비비!$E311,0)-SUMIFS(예비비!$O$430:$O$729,예비비!$B$430:$B$729,예비비!$A311,예비비!$E$430:$E$729,"&lt;"&amp;EDATE(BJ$99,1))),0)</f>
        <v>0</v>
      </c>
      <c r="BK311">
        <f>IF(예비비!$R311="OK",SUMIFS(예비비!$O$430:$O$729,예비비!$B$430:$B$729,예비비!$A311,예비비!$E$430:$E$729,"&lt;"&amp;EDATE(BK$99,1),예비비!$F$430:$F$729,"결제대금비")+MAX(0,IF(예비비!$D311&lt;EDATE(BK$99,1),예비비!$E311,0)-SUMIFS(예비비!$O$430:$O$729,예비비!$B$430:$B$729,예비비!$A311,예비비!$E$430:$E$729,"&lt;"&amp;EDATE(BK$99,1))),0)</f>
        <v>0</v>
      </c>
      <c r="BL311">
        <f>IF(예비비!$R311="OK",SUMIFS(예비비!$O$430:$O$729,예비비!$B$430:$B$729,예비비!$A311,예비비!$E$430:$E$729,"&lt;"&amp;EDATE(BL$99,1),예비비!$F$430:$F$729,"결제대금비")+MAX(0,IF(예비비!$D311&lt;EDATE(BL$99,1),예비비!$E311,0)-SUMIFS(예비비!$O$430:$O$729,예비비!$B$430:$B$729,예비비!$A311,예비비!$E$430:$E$729,"&lt;"&amp;EDATE(BL$99,1))),0)</f>
        <v>0</v>
      </c>
      <c r="BM311">
        <f>IF(예비비!$R311="OK",SUMIFS(예비비!$O$430:$O$729,예비비!$B$430:$B$729,예비비!$A311,예비비!$E$430:$E$729,"&lt;"&amp;EDATE(BM$99,1),예비비!$F$430:$F$729,"결제대금비")+MAX(0,IF(예비비!$D311&lt;EDATE(BM$99,1),예비비!$E311,0)-SUMIFS(예비비!$O$430:$O$729,예비비!$B$430:$B$729,예비비!$A311,예비비!$E$430:$E$729,"&lt;"&amp;EDATE(BM$99,1))),0)</f>
        <v>0</v>
      </c>
      <c r="BN311">
        <f>IF(예비비!$R311="OK",SUMIFS(예비비!$O$430:$O$729,예비비!$B$430:$B$729,예비비!$A311,예비비!$E$430:$E$729,"&lt;"&amp;EDATE(BN$99,1),예비비!$F$430:$F$729,"결제대금비")+MAX(0,IF(예비비!$D311&lt;EDATE(BN$99,1),예비비!$E311,0)-SUMIFS(예비비!$O$430:$O$729,예비비!$B$430:$B$729,예비비!$A311,예비비!$E$430:$E$729,"&lt;"&amp;EDATE(BN$99,1))),0)</f>
        <v>0</v>
      </c>
      <c r="BO311">
        <f>IF(예비비!$R311="OK",SUMIFS(예비비!$O$430:$O$729,예비비!$B$430:$B$729,예비비!$A311,예비비!$E$430:$E$729,"&lt;"&amp;EDATE(BO$99,1),예비비!$F$430:$F$729,"결제대금비")+MAX(0,IF(예비비!$D311&lt;EDATE(BO$99,1),예비비!$E311,0)-SUMIFS(예비비!$O$430:$O$729,예비비!$B$430:$B$729,예비비!$A311,예비비!$E$430:$E$729,"&lt;"&amp;EDATE(BO$99,1))),0)</f>
        <v>0</v>
      </c>
      <c r="BP311">
        <f>IF(예비비!$R311="OK",SUMIFS(예비비!$O$430:$O$729,예비비!$B$430:$B$729,예비비!$A311,예비비!$E$430:$E$729,"&lt;"&amp;EDATE(BP$99,1),예비비!$F$430:$F$729,"결제대금비")+MAX(0,IF(예비비!$D311&lt;EDATE(BP$99,1),예비비!$E311,0)-SUMIFS(예비비!$O$430:$O$729,예비비!$B$430:$B$729,예비비!$A311,예비비!$E$430:$E$729,"&lt;"&amp;EDATE(BP$99,1))),0)</f>
        <v>0</v>
      </c>
      <c r="BQ311">
        <f>IF(예비비!$R311="OK",SUMIFS(예비비!$O$430:$O$729,예비비!$B$430:$B$729,예비비!$A311,예비비!$E$430:$E$729,"&lt;"&amp;EDATE(BQ$99,1),예비비!$F$430:$F$729,"결제대금비")+MAX(0,IF(예비비!$D311&lt;EDATE(BQ$99,1),예비비!$E311,0)-SUMIFS(예비비!$O$430:$O$729,예비비!$B$430:$B$729,예비비!$A311,예비비!$E$430:$E$729,"&lt;"&amp;EDATE(BQ$99,1))),0)</f>
        <v>0</v>
      </c>
      <c r="BR311">
        <f>IF(예비비!$R311="OK",SUMIFS(예비비!$O$430:$O$729,예비비!$B$430:$B$729,예비비!$A311,예비비!$E$430:$E$729,"&lt;"&amp;EDATE(BR$99,1),예비비!$F$430:$F$729,"결제대금비")+MAX(0,IF(예비비!$D311&lt;EDATE(BR$99,1),예비비!$E311,0)-SUMIFS(예비비!$O$430:$O$729,예비비!$B$430:$B$729,예비비!$A311,예비비!$E$430:$E$729,"&lt;"&amp;EDATE(BR$99,1))),0)</f>
        <v>0</v>
      </c>
      <c r="BS311">
        <f>IF(예비비!$R311="OK",SUMIFS(예비비!$O$430:$O$729,예비비!$B$430:$B$729,예비비!$A311,예비비!$E$430:$E$729,"&lt;"&amp;EDATE(BS$99,1),예비비!$F$430:$F$729,"결제대금비")+MAX(0,IF(예비비!$D311&lt;EDATE(BS$99,1),예비비!$E311,0)-SUMIFS(예비비!$O$430:$O$729,예비비!$B$430:$B$729,예비비!$A311,예비비!$E$430:$E$729,"&lt;"&amp;EDATE(BS$99,1))),0)</f>
        <v>0</v>
      </c>
      <c r="BT311">
        <f>IF(예비비!$R311="OK",SUMIFS(예비비!$O$430:$O$729,예비비!$B$430:$B$729,예비비!$A311,예비비!$E$430:$E$729,"&lt;"&amp;EDATE(BT$99,1),예비비!$F$430:$F$729,"결제대금비")+MAX(0,IF(예비비!$D311&lt;EDATE(BT$99,1),예비비!$E311,0)-SUMIFS(예비비!$O$430:$O$729,예비비!$B$430:$B$729,예비비!$A311,예비비!$E$430:$E$729,"&lt;"&amp;EDATE(BT$99,1))),0)</f>
        <v>0</v>
      </c>
      <c r="BU311">
        <f>IF(예비비!$R311="OK",SUMIFS(예비비!$O$430:$O$729,예비비!$B$430:$B$729,예비비!$A311,예비비!$E$430:$E$729,"&lt;"&amp;EDATE(BU$99,1),예비비!$F$430:$F$729,"결제대금비")+MAX(0,IF(예비비!$D311&lt;EDATE(BU$99,1),예비비!$E311,0)-SUMIFS(예비비!$O$430:$O$729,예비비!$B$430:$B$729,예비비!$A311,예비비!$E$430:$E$729,"&lt;"&amp;EDATE(BU$99,1))),0)</f>
        <v>0</v>
      </c>
    </row>
    <row r="312">
      <c r="BA312">
        <v>256</v>
      </c>
      <c r="BB312" t="str">
        <f>IFERROR(INDEX(잔액!$A:$A,BA312),0)</f>
        <v>00:00:00</v>
      </c>
      <c r="BH312">
        <f>IFERROR(IF(AND(BB312&gt;0,OR(COUNTIFS(예비비!$C$430:$C$729,BA312,예비비!$N$430:$N$729,"OK")&gt;0,AND(INDEX(잔액!$J:$J,BA312)="가족통장",INDEX(잔액!$K:$K,BA312)="미래에셋_WRAP형CMA"),COUNTIF(예비비!$A$8:$A$12,INDEX(잔액!$C:$C,BA312))=1,COUNTIF(예비비!$A$8:$A$12,INDEX(잔액!$D:$D,BA312))=1),OR(AND(BB312&gt;=예비비!$B$3,BB312&lt;EDATE(예비비!$B$3,1)),AND(BB312&lt;EDATE(예비비!$B$3,1),COUNTIFS(예비비!$C$430:$C$729,BA312,예비비!$L$430:$L$729,예비비!$B$3,예비비!$N$430:$N$729,"OK")&gt;0))),MAX($BH$120:BH311)+1,0),0)</f>
        <v>0</v>
      </c>
      <c r="BI312">
        <f>IF(예비비!$R312="OK",SUMIFS(예비비!$O$430:$O$729,예비비!$B$430:$B$729,예비비!$A312,예비비!$E$430:$E$729,"&lt;"&amp;EDATE(BI$99,1),예비비!$F$430:$F$729,"결제대금비")+MAX(0,IF(예비비!$D312&lt;EDATE(BI$99,1),예비비!$E312,0)-SUMIFS(예비비!$O$430:$O$729,예비비!$B$430:$B$729,예비비!$A312,예비비!$E$430:$E$729,"&lt;"&amp;EDATE(BI$99,1))),0)</f>
        <v>0</v>
      </c>
      <c r="BJ312">
        <f>IF(예비비!$R312="OK",SUMIFS(예비비!$O$430:$O$729,예비비!$B$430:$B$729,예비비!$A312,예비비!$E$430:$E$729,"&lt;"&amp;EDATE(BJ$99,1),예비비!$F$430:$F$729,"결제대금비")+MAX(0,IF(예비비!$D312&lt;EDATE(BJ$99,1),예비비!$E312,0)-SUMIFS(예비비!$O$430:$O$729,예비비!$B$430:$B$729,예비비!$A312,예비비!$E$430:$E$729,"&lt;"&amp;EDATE(BJ$99,1))),0)</f>
        <v>0</v>
      </c>
      <c r="BK312">
        <f>IF(예비비!$R312="OK",SUMIFS(예비비!$O$430:$O$729,예비비!$B$430:$B$729,예비비!$A312,예비비!$E$430:$E$729,"&lt;"&amp;EDATE(BK$99,1),예비비!$F$430:$F$729,"결제대금비")+MAX(0,IF(예비비!$D312&lt;EDATE(BK$99,1),예비비!$E312,0)-SUMIFS(예비비!$O$430:$O$729,예비비!$B$430:$B$729,예비비!$A312,예비비!$E$430:$E$729,"&lt;"&amp;EDATE(BK$99,1))),0)</f>
        <v>0</v>
      </c>
      <c r="BL312">
        <f>IF(예비비!$R312="OK",SUMIFS(예비비!$O$430:$O$729,예비비!$B$430:$B$729,예비비!$A312,예비비!$E$430:$E$729,"&lt;"&amp;EDATE(BL$99,1),예비비!$F$430:$F$729,"결제대금비")+MAX(0,IF(예비비!$D312&lt;EDATE(BL$99,1),예비비!$E312,0)-SUMIFS(예비비!$O$430:$O$729,예비비!$B$430:$B$729,예비비!$A312,예비비!$E$430:$E$729,"&lt;"&amp;EDATE(BL$99,1))),0)</f>
        <v>0</v>
      </c>
      <c r="BM312">
        <f>IF(예비비!$R312="OK",SUMIFS(예비비!$O$430:$O$729,예비비!$B$430:$B$729,예비비!$A312,예비비!$E$430:$E$729,"&lt;"&amp;EDATE(BM$99,1),예비비!$F$430:$F$729,"결제대금비")+MAX(0,IF(예비비!$D312&lt;EDATE(BM$99,1),예비비!$E312,0)-SUMIFS(예비비!$O$430:$O$729,예비비!$B$430:$B$729,예비비!$A312,예비비!$E$430:$E$729,"&lt;"&amp;EDATE(BM$99,1))),0)</f>
        <v>0</v>
      </c>
      <c r="BN312">
        <f>IF(예비비!$R312="OK",SUMIFS(예비비!$O$430:$O$729,예비비!$B$430:$B$729,예비비!$A312,예비비!$E$430:$E$729,"&lt;"&amp;EDATE(BN$99,1),예비비!$F$430:$F$729,"결제대금비")+MAX(0,IF(예비비!$D312&lt;EDATE(BN$99,1),예비비!$E312,0)-SUMIFS(예비비!$O$430:$O$729,예비비!$B$430:$B$729,예비비!$A312,예비비!$E$430:$E$729,"&lt;"&amp;EDATE(BN$99,1))),0)</f>
        <v>0</v>
      </c>
      <c r="BO312">
        <f>IF(예비비!$R312="OK",SUMIFS(예비비!$O$430:$O$729,예비비!$B$430:$B$729,예비비!$A312,예비비!$E$430:$E$729,"&lt;"&amp;EDATE(BO$99,1),예비비!$F$430:$F$729,"결제대금비")+MAX(0,IF(예비비!$D312&lt;EDATE(BO$99,1),예비비!$E312,0)-SUMIFS(예비비!$O$430:$O$729,예비비!$B$430:$B$729,예비비!$A312,예비비!$E$430:$E$729,"&lt;"&amp;EDATE(BO$99,1))),0)</f>
        <v>0</v>
      </c>
      <c r="BP312">
        <f>IF(예비비!$R312="OK",SUMIFS(예비비!$O$430:$O$729,예비비!$B$430:$B$729,예비비!$A312,예비비!$E$430:$E$729,"&lt;"&amp;EDATE(BP$99,1),예비비!$F$430:$F$729,"결제대금비")+MAX(0,IF(예비비!$D312&lt;EDATE(BP$99,1),예비비!$E312,0)-SUMIFS(예비비!$O$430:$O$729,예비비!$B$430:$B$729,예비비!$A312,예비비!$E$430:$E$729,"&lt;"&amp;EDATE(BP$99,1))),0)</f>
        <v>0</v>
      </c>
      <c r="BQ312">
        <f>IF(예비비!$R312="OK",SUMIFS(예비비!$O$430:$O$729,예비비!$B$430:$B$729,예비비!$A312,예비비!$E$430:$E$729,"&lt;"&amp;EDATE(BQ$99,1),예비비!$F$430:$F$729,"결제대금비")+MAX(0,IF(예비비!$D312&lt;EDATE(BQ$99,1),예비비!$E312,0)-SUMIFS(예비비!$O$430:$O$729,예비비!$B$430:$B$729,예비비!$A312,예비비!$E$430:$E$729,"&lt;"&amp;EDATE(BQ$99,1))),0)</f>
        <v>0</v>
      </c>
      <c r="BR312">
        <f>IF(예비비!$R312="OK",SUMIFS(예비비!$O$430:$O$729,예비비!$B$430:$B$729,예비비!$A312,예비비!$E$430:$E$729,"&lt;"&amp;EDATE(BR$99,1),예비비!$F$430:$F$729,"결제대금비")+MAX(0,IF(예비비!$D312&lt;EDATE(BR$99,1),예비비!$E312,0)-SUMIFS(예비비!$O$430:$O$729,예비비!$B$430:$B$729,예비비!$A312,예비비!$E$430:$E$729,"&lt;"&amp;EDATE(BR$99,1))),0)</f>
        <v>0</v>
      </c>
      <c r="BS312">
        <f>IF(예비비!$R312="OK",SUMIFS(예비비!$O$430:$O$729,예비비!$B$430:$B$729,예비비!$A312,예비비!$E$430:$E$729,"&lt;"&amp;EDATE(BS$99,1),예비비!$F$430:$F$729,"결제대금비")+MAX(0,IF(예비비!$D312&lt;EDATE(BS$99,1),예비비!$E312,0)-SUMIFS(예비비!$O$430:$O$729,예비비!$B$430:$B$729,예비비!$A312,예비비!$E$430:$E$729,"&lt;"&amp;EDATE(BS$99,1))),0)</f>
        <v>0</v>
      </c>
      <c r="BT312">
        <f>IF(예비비!$R312="OK",SUMIFS(예비비!$O$430:$O$729,예비비!$B$430:$B$729,예비비!$A312,예비비!$E$430:$E$729,"&lt;"&amp;EDATE(BT$99,1),예비비!$F$430:$F$729,"결제대금비")+MAX(0,IF(예비비!$D312&lt;EDATE(BT$99,1),예비비!$E312,0)-SUMIFS(예비비!$O$430:$O$729,예비비!$B$430:$B$729,예비비!$A312,예비비!$E$430:$E$729,"&lt;"&amp;EDATE(BT$99,1))),0)</f>
        <v>0</v>
      </c>
      <c r="BU312">
        <f>IF(예비비!$R312="OK",SUMIFS(예비비!$O$430:$O$729,예비비!$B$430:$B$729,예비비!$A312,예비비!$E$430:$E$729,"&lt;"&amp;EDATE(BU$99,1),예비비!$F$430:$F$729,"결제대금비")+MAX(0,IF(예비비!$D312&lt;EDATE(BU$99,1),예비비!$E312,0)-SUMIFS(예비비!$O$430:$O$729,예비비!$B$430:$B$729,예비비!$A312,예비비!$E$430:$E$729,"&lt;"&amp;EDATE(BU$99,1))),0)</f>
        <v>0</v>
      </c>
    </row>
    <row r="313">
      <c r="BA313">
        <v>257</v>
      </c>
      <c r="BB313" t="str">
        <f>IFERROR(INDEX(잔액!$A:$A,BA313),0)</f>
        <v>00:00:00</v>
      </c>
      <c r="BH313">
        <f>IFERROR(IF(AND(BB313&gt;0,OR(COUNTIFS(예비비!$C$430:$C$729,BA313,예비비!$N$430:$N$729,"OK")&gt;0,AND(INDEX(잔액!$J:$J,BA313)="가족통장",INDEX(잔액!$K:$K,BA313)="미래에셋_WRAP형CMA"),COUNTIF(예비비!$A$8:$A$12,INDEX(잔액!$C:$C,BA313))=1,COUNTIF(예비비!$A$8:$A$12,INDEX(잔액!$D:$D,BA313))=1),OR(AND(BB313&gt;=예비비!$B$3,BB313&lt;EDATE(예비비!$B$3,1)),AND(BB313&lt;EDATE(예비비!$B$3,1),COUNTIFS(예비비!$C$430:$C$729,BA313,예비비!$L$430:$L$729,예비비!$B$3,예비비!$N$430:$N$729,"OK")&gt;0))),MAX($BH$120:BH312)+1,0),0)</f>
        <v>0</v>
      </c>
      <c r="BI313">
        <f>IF(예비비!$R313="OK",SUMIFS(예비비!$O$430:$O$729,예비비!$B$430:$B$729,예비비!$A313,예비비!$E$430:$E$729,"&lt;"&amp;EDATE(BI$99,1),예비비!$F$430:$F$729,"결제대금비")+MAX(0,IF(예비비!$D313&lt;EDATE(BI$99,1),예비비!$E313,0)-SUMIFS(예비비!$O$430:$O$729,예비비!$B$430:$B$729,예비비!$A313,예비비!$E$430:$E$729,"&lt;"&amp;EDATE(BI$99,1))),0)</f>
        <v>0</v>
      </c>
      <c r="BJ313">
        <f>IF(예비비!$R313="OK",SUMIFS(예비비!$O$430:$O$729,예비비!$B$430:$B$729,예비비!$A313,예비비!$E$430:$E$729,"&lt;"&amp;EDATE(BJ$99,1),예비비!$F$430:$F$729,"결제대금비")+MAX(0,IF(예비비!$D313&lt;EDATE(BJ$99,1),예비비!$E313,0)-SUMIFS(예비비!$O$430:$O$729,예비비!$B$430:$B$729,예비비!$A313,예비비!$E$430:$E$729,"&lt;"&amp;EDATE(BJ$99,1))),0)</f>
        <v>0</v>
      </c>
      <c r="BK313">
        <f>IF(예비비!$R313="OK",SUMIFS(예비비!$O$430:$O$729,예비비!$B$430:$B$729,예비비!$A313,예비비!$E$430:$E$729,"&lt;"&amp;EDATE(BK$99,1),예비비!$F$430:$F$729,"결제대금비")+MAX(0,IF(예비비!$D313&lt;EDATE(BK$99,1),예비비!$E313,0)-SUMIFS(예비비!$O$430:$O$729,예비비!$B$430:$B$729,예비비!$A313,예비비!$E$430:$E$729,"&lt;"&amp;EDATE(BK$99,1))),0)</f>
        <v>0</v>
      </c>
      <c r="BL313">
        <f>IF(예비비!$R313="OK",SUMIFS(예비비!$O$430:$O$729,예비비!$B$430:$B$729,예비비!$A313,예비비!$E$430:$E$729,"&lt;"&amp;EDATE(BL$99,1),예비비!$F$430:$F$729,"결제대금비")+MAX(0,IF(예비비!$D313&lt;EDATE(BL$99,1),예비비!$E313,0)-SUMIFS(예비비!$O$430:$O$729,예비비!$B$430:$B$729,예비비!$A313,예비비!$E$430:$E$729,"&lt;"&amp;EDATE(BL$99,1))),0)</f>
        <v>0</v>
      </c>
      <c r="BM313">
        <f>IF(예비비!$R313="OK",SUMIFS(예비비!$O$430:$O$729,예비비!$B$430:$B$729,예비비!$A313,예비비!$E$430:$E$729,"&lt;"&amp;EDATE(BM$99,1),예비비!$F$430:$F$729,"결제대금비")+MAX(0,IF(예비비!$D313&lt;EDATE(BM$99,1),예비비!$E313,0)-SUMIFS(예비비!$O$430:$O$729,예비비!$B$430:$B$729,예비비!$A313,예비비!$E$430:$E$729,"&lt;"&amp;EDATE(BM$99,1))),0)</f>
        <v>0</v>
      </c>
      <c r="BN313">
        <f>IF(예비비!$R313="OK",SUMIFS(예비비!$O$430:$O$729,예비비!$B$430:$B$729,예비비!$A313,예비비!$E$430:$E$729,"&lt;"&amp;EDATE(BN$99,1),예비비!$F$430:$F$729,"결제대금비")+MAX(0,IF(예비비!$D313&lt;EDATE(BN$99,1),예비비!$E313,0)-SUMIFS(예비비!$O$430:$O$729,예비비!$B$430:$B$729,예비비!$A313,예비비!$E$430:$E$729,"&lt;"&amp;EDATE(BN$99,1))),0)</f>
        <v>0</v>
      </c>
      <c r="BO313">
        <f>IF(예비비!$R313="OK",SUMIFS(예비비!$O$430:$O$729,예비비!$B$430:$B$729,예비비!$A313,예비비!$E$430:$E$729,"&lt;"&amp;EDATE(BO$99,1),예비비!$F$430:$F$729,"결제대금비")+MAX(0,IF(예비비!$D313&lt;EDATE(BO$99,1),예비비!$E313,0)-SUMIFS(예비비!$O$430:$O$729,예비비!$B$430:$B$729,예비비!$A313,예비비!$E$430:$E$729,"&lt;"&amp;EDATE(BO$99,1))),0)</f>
        <v>0</v>
      </c>
      <c r="BP313">
        <f>IF(예비비!$R313="OK",SUMIFS(예비비!$O$430:$O$729,예비비!$B$430:$B$729,예비비!$A313,예비비!$E$430:$E$729,"&lt;"&amp;EDATE(BP$99,1),예비비!$F$430:$F$729,"결제대금비")+MAX(0,IF(예비비!$D313&lt;EDATE(BP$99,1),예비비!$E313,0)-SUMIFS(예비비!$O$430:$O$729,예비비!$B$430:$B$729,예비비!$A313,예비비!$E$430:$E$729,"&lt;"&amp;EDATE(BP$99,1))),0)</f>
        <v>0</v>
      </c>
      <c r="BQ313">
        <f>IF(예비비!$R313="OK",SUMIFS(예비비!$O$430:$O$729,예비비!$B$430:$B$729,예비비!$A313,예비비!$E$430:$E$729,"&lt;"&amp;EDATE(BQ$99,1),예비비!$F$430:$F$729,"결제대금비")+MAX(0,IF(예비비!$D313&lt;EDATE(BQ$99,1),예비비!$E313,0)-SUMIFS(예비비!$O$430:$O$729,예비비!$B$430:$B$729,예비비!$A313,예비비!$E$430:$E$729,"&lt;"&amp;EDATE(BQ$99,1))),0)</f>
        <v>0</v>
      </c>
      <c r="BR313">
        <f>IF(예비비!$R313="OK",SUMIFS(예비비!$O$430:$O$729,예비비!$B$430:$B$729,예비비!$A313,예비비!$E$430:$E$729,"&lt;"&amp;EDATE(BR$99,1),예비비!$F$430:$F$729,"결제대금비")+MAX(0,IF(예비비!$D313&lt;EDATE(BR$99,1),예비비!$E313,0)-SUMIFS(예비비!$O$430:$O$729,예비비!$B$430:$B$729,예비비!$A313,예비비!$E$430:$E$729,"&lt;"&amp;EDATE(BR$99,1))),0)</f>
        <v>0</v>
      </c>
      <c r="BS313">
        <f>IF(예비비!$R313="OK",SUMIFS(예비비!$O$430:$O$729,예비비!$B$430:$B$729,예비비!$A313,예비비!$E$430:$E$729,"&lt;"&amp;EDATE(BS$99,1),예비비!$F$430:$F$729,"결제대금비")+MAX(0,IF(예비비!$D313&lt;EDATE(BS$99,1),예비비!$E313,0)-SUMIFS(예비비!$O$430:$O$729,예비비!$B$430:$B$729,예비비!$A313,예비비!$E$430:$E$729,"&lt;"&amp;EDATE(BS$99,1))),0)</f>
        <v>0</v>
      </c>
      <c r="BT313">
        <f>IF(예비비!$R313="OK",SUMIFS(예비비!$O$430:$O$729,예비비!$B$430:$B$729,예비비!$A313,예비비!$E$430:$E$729,"&lt;"&amp;EDATE(BT$99,1),예비비!$F$430:$F$729,"결제대금비")+MAX(0,IF(예비비!$D313&lt;EDATE(BT$99,1),예비비!$E313,0)-SUMIFS(예비비!$O$430:$O$729,예비비!$B$430:$B$729,예비비!$A313,예비비!$E$430:$E$729,"&lt;"&amp;EDATE(BT$99,1))),0)</f>
        <v>0</v>
      </c>
      <c r="BU313">
        <f>IF(예비비!$R313="OK",SUMIFS(예비비!$O$430:$O$729,예비비!$B$430:$B$729,예비비!$A313,예비비!$E$430:$E$729,"&lt;"&amp;EDATE(BU$99,1),예비비!$F$430:$F$729,"결제대금비")+MAX(0,IF(예비비!$D313&lt;EDATE(BU$99,1),예비비!$E313,0)-SUMIFS(예비비!$O$430:$O$729,예비비!$B$430:$B$729,예비비!$A313,예비비!$E$430:$E$729,"&lt;"&amp;EDATE(BU$99,1))),0)</f>
        <v>0</v>
      </c>
    </row>
    <row r="314">
      <c r="BA314">
        <v>258</v>
      </c>
      <c r="BB314" t="str">
        <f>IFERROR(INDEX(잔액!$A:$A,BA314),0)</f>
        <v>00:00:00</v>
      </c>
      <c r="BH314">
        <f>IFERROR(IF(AND(BB314&gt;0,OR(COUNTIFS(예비비!$C$430:$C$729,BA314,예비비!$N$430:$N$729,"OK")&gt;0,AND(INDEX(잔액!$J:$J,BA314)="가족통장",INDEX(잔액!$K:$K,BA314)="미래에셋_WRAP형CMA"),COUNTIF(예비비!$A$8:$A$12,INDEX(잔액!$C:$C,BA314))=1,COUNTIF(예비비!$A$8:$A$12,INDEX(잔액!$D:$D,BA314))=1),OR(AND(BB314&gt;=예비비!$B$3,BB314&lt;EDATE(예비비!$B$3,1)),AND(BB314&lt;EDATE(예비비!$B$3,1),COUNTIFS(예비비!$C$430:$C$729,BA314,예비비!$L$430:$L$729,예비비!$B$3,예비비!$N$430:$N$729,"OK")&gt;0))),MAX($BH$120:BH313)+1,0),0)</f>
        <v>0</v>
      </c>
      <c r="BI314">
        <f>IF(예비비!$R314="OK",SUMIFS(예비비!$O$430:$O$729,예비비!$B$430:$B$729,예비비!$A314,예비비!$E$430:$E$729,"&lt;"&amp;EDATE(BI$99,1),예비비!$F$430:$F$729,"결제대금비")+MAX(0,IF(예비비!$D314&lt;EDATE(BI$99,1),예비비!$E314,0)-SUMIFS(예비비!$O$430:$O$729,예비비!$B$430:$B$729,예비비!$A314,예비비!$E$430:$E$729,"&lt;"&amp;EDATE(BI$99,1))),0)</f>
        <v>0</v>
      </c>
      <c r="BJ314">
        <f>IF(예비비!$R314="OK",SUMIFS(예비비!$O$430:$O$729,예비비!$B$430:$B$729,예비비!$A314,예비비!$E$430:$E$729,"&lt;"&amp;EDATE(BJ$99,1),예비비!$F$430:$F$729,"결제대금비")+MAX(0,IF(예비비!$D314&lt;EDATE(BJ$99,1),예비비!$E314,0)-SUMIFS(예비비!$O$430:$O$729,예비비!$B$430:$B$729,예비비!$A314,예비비!$E$430:$E$729,"&lt;"&amp;EDATE(BJ$99,1))),0)</f>
        <v>0</v>
      </c>
      <c r="BK314">
        <f>IF(예비비!$R314="OK",SUMIFS(예비비!$O$430:$O$729,예비비!$B$430:$B$729,예비비!$A314,예비비!$E$430:$E$729,"&lt;"&amp;EDATE(BK$99,1),예비비!$F$430:$F$729,"결제대금비")+MAX(0,IF(예비비!$D314&lt;EDATE(BK$99,1),예비비!$E314,0)-SUMIFS(예비비!$O$430:$O$729,예비비!$B$430:$B$729,예비비!$A314,예비비!$E$430:$E$729,"&lt;"&amp;EDATE(BK$99,1))),0)</f>
        <v>0</v>
      </c>
      <c r="BL314">
        <f>IF(예비비!$R314="OK",SUMIFS(예비비!$O$430:$O$729,예비비!$B$430:$B$729,예비비!$A314,예비비!$E$430:$E$729,"&lt;"&amp;EDATE(BL$99,1),예비비!$F$430:$F$729,"결제대금비")+MAX(0,IF(예비비!$D314&lt;EDATE(BL$99,1),예비비!$E314,0)-SUMIFS(예비비!$O$430:$O$729,예비비!$B$430:$B$729,예비비!$A314,예비비!$E$430:$E$729,"&lt;"&amp;EDATE(BL$99,1))),0)</f>
        <v>0</v>
      </c>
      <c r="BM314">
        <f>IF(예비비!$R314="OK",SUMIFS(예비비!$O$430:$O$729,예비비!$B$430:$B$729,예비비!$A314,예비비!$E$430:$E$729,"&lt;"&amp;EDATE(BM$99,1),예비비!$F$430:$F$729,"결제대금비")+MAX(0,IF(예비비!$D314&lt;EDATE(BM$99,1),예비비!$E314,0)-SUMIFS(예비비!$O$430:$O$729,예비비!$B$430:$B$729,예비비!$A314,예비비!$E$430:$E$729,"&lt;"&amp;EDATE(BM$99,1))),0)</f>
        <v>0</v>
      </c>
      <c r="BN314">
        <f>IF(예비비!$R314="OK",SUMIFS(예비비!$O$430:$O$729,예비비!$B$430:$B$729,예비비!$A314,예비비!$E$430:$E$729,"&lt;"&amp;EDATE(BN$99,1),예비비!$F$430:$F$729,"결제대금비")+MAX(0,IF(예비비!$D314&lt;EDATE(BN$99,1),예비비!$E314,0)-SUMIFS(예비비!$O$430:$O$729,예비비!$B$430:$B$729,예비비!$A314,예비비!$E$430:$E$729,"&lt;"&amp;EDATE(BN$99,1))),0)</f>
        <v>0</v>
      </c>
      <c r="BO314">
        <f>IF(예비비!$R314="OK",SUMIFS(예비비!$O$430:$O$729,예비비!$B$430:$B$729,예비비!$A314,예비비!$E$430:$E$729,"&lt;"&amp;EDATE(BO$99,1),예비비!$F$430:$F$729,"결제대금비")+MAX(0,IF(예비비!$D314&lt;EDATE(BO$99,1),예비비!$E314,0)-SUMIFS(예비비!$O$430:$O$729,예비비!$B$430:$B$729,예비비!$A314,예비비!$E$430:$E$729,"&lt;"&amp;EDATE(BO$99,1))),0)</f>
        <v>0</v>
      </c>
      <c r="BP314">
        <f>IF(예비비!$R314="OK",SUMIFS(예비비!$O$430:$O$729,예비비!$B$430:$B$729,예비비!$A314,예비비!$E$430:$E$729,"&lt;"&amp;EDATE(BP$99,1),예비비!$F$430:$F$729,"결제대금비")+MAX(0,IF(예비비!$D314&lt;EDATE(BP$99,1),예비비!$E314,0)-SUMIFS(예비비!$O$430:$O$729,예비비!$B$430:$B$729,예비비!$A314,예비비!$E$430:$E$729,"&lt;"&amp;EDATE(BP$99,1))),0)</f>
        <v>0</v>
      </c>
      <c r="BQ314">
        <f>IF(예비비!$R314="OK",SUMIFS(예비비!$O$430:$O$729,예비비!$B$430:$B$729,예비비!$A314,예비비!$E$430:$E$729,"&lt;"&amp;EDATE(BQ$99,1),예비비!$F$430:$F$729,"결제대금비")+MAX(0,IF(예비비!$D314&lt;EDATE(BQ$99,1),예비비!$E314,0)-SUMIFS(예비비!$O$430:$O$729,예비비!$B$430:$B$729,예비비!$A314,예비비!$E$430:$E$729,"&lt;"&amp;EDATE(BQ$99,1))),0)</f>
        <v>0</v>
      </c>
      <c r="BR314">
        <f>IF(예비비!$R314="OK",SUMIFS(예비비!$O$430:$O$729,예비비!$B$430:$B$729,예비비!$A314,예비비!$E$430:$E$729,"&lt;"&amp;EDATE(BR$99,1),예비비!$F$430:$F$729,"결제대금비")+MAX(0,IF(예비비!$D314&lt;EDATE(BR$99,1),예비비!$E314,0)-SUMIFS(예비비!$O$430:$O$729,예비비!$B$430:$B$729,예비비!$A314,예비비!$E$430:$E$729,"&lt;"&amp;EDATE(BR$99,1))),0)</f>
        <v>0</v>
      </c>
      <c r="BS314">
        <f>IF(예비비!$R314="OK",SUMIFS(예비비!$O$430:$O$729,예비비!$B$430:$B$729,예비비!$A314,예비비!$E$430:$E$729,"&lt;"&amp;EDATE(BS$99,1),예비비!$F$430:$F$729,"결제대금비")+MAX(0,IF(예비비!$D314&lt;EDATE(BS$99,1),예비비!$E314,0)-SUMIFS(예비비!$O$430:$O$729,예비비!$B$430:$B$729,예비비!$A314,예비비!$E$430:$E$729,"&lt;"&amp;EDATE(BS$99,1))),0)</f>
        <v>0</v>
      </c>
      <c r="BT314">
        <f>IF(예비비!$R314="OK",SUMIFS(예비비!$O$430:$O$729,예비비!$B$430:$B$729,예비비!$A314,예비비!$E$430:$E$729,"&lt;"&amp;EDATE(BT$99,1),예비비!$F$430:$F$729,"결제대금비")+MAX(0,IF(예비비!$D314&lt;EDATE(BT$99,1),예비비!$E314,0)-SUMIFS(예비비!$O$430:$O$729,예비비!$B$430:$B$729,예비비!$A314,예비비!$E$430:$E$729,"&lt;"&amp;EDATE(BT$99,1))),0)</f>
        <v>0</v>
      </c>
      <c r="BU314">
        <f>IF(예비비!$R314="OK",SUMIFS(예비비!$O$430:$O$729,예비비!$B$430:$B$729,예비비!$A314,예비비!$E$430:$E$729,"&lt;"&amp;EDATE(BU$99,1),예비비!$F$430:$F$729,"결제대금비")+MAX(0,IF(예비비!$D314&lt;EDATE(BU$99,1),예비비!$E314,0)-SUMIFS(예비비!$O$430:$O$729,예비비!$B$430:$B$729,예비비!$A314,예비비!$E$430:$E$729,"&lt;"&amp;EDATE(BU$99,1))),0)</f>
        <v>0</v>
      </c>
    </row>
    <row r="315">
      <c r="BA315">
        <v>259</v>
      </c>
      <c r="BB315" t="str">
        <f>IFERROR(INDEX(잔액!$A:$A,BA315),0)</f>
        <v>00:00:00</v>
      </c>
      <c r="BH315">
        <f>IFERROR(IF(AND(BB315&gt;0,OR(COUNTIFS(예비비!$C$430:$C$729,BA315,예비비!$N$430:$N$729,"OK")&gt;0,AND(INDEX(잔액!$J:$J,BA315)="가족통장",INDEX(잔액!$K:$K,BA315)="미래에셋_WRAP형CMA"),COUNTIF(예비비!$A$8:$A$12,INDEX(잔액!$C:$C,BA315))=1,COUNTIF(예비비!$A$8:$A$12,INDEX(잔액!$D:$D,BA315))=1),OR(AND(BB315&gt;=예비비!$B$3,BB315&lt;EDATE(예비비!$B$3,1)),AND(BB315&lt;EDATE(예비비!$B$3,1),COUNTIFS(예비비!$C$430:$C$729,BA315,예비비!$L$430:$L$729,예비비!$B$3,예비비!$N$430:$N$729,"OK")&gt;0))),MAX($BH$120:BH314)+1,0),0)</f>
        <v>0</v>
      </c>
      <c r="BI315">
        <f>IF(예비비!$R315="OK",SUMIFS(예비비!$O$430:$O$729,예비비!$B$430:$B$729,예비비!$A315,예비비!$E$430:$E$729,"&lt;"&amp;EDATE(BI$99,1),예비비!$F$430:$F$729,"결제대금비")+MAX(0,IF(예비비!$D315&lt;EDATE(BI$99,1),예비비!$E315,0)-SUMIFS(예비비!$O$430:$O$729,예비비!$B$430:$B$729,예비비!$A315,예비비!$E$430:$E$729,"&lt;"&amp;EDATE(BI$99,1))),0)</f>
        <v>0</v>
      </c>
      <c r="BJ315">
        <f>IF(예비비!$R315="OK",SUMIFS(예비비!$O$430:$O$729,예비비!$B$430:$B$729,예비비!$A315,예비비!$E$430:$E$729,"&lt;"&amp;EDATE(BJ$99,1),예비비!$F$430:$F$729,"결제대금비")+MAX(0,IF(예비비!$D315&lt;EDATE(BJ$99,1),예비비!$E315,0)-SUMIFS(예비비!$O$430:$O$729,예비비!$B$430:$B$729,예비비!$A315,예비비!$E$430:$E$729,"&lt;"&amp;EDATE(BJ$99,1))),0)</f>
        <v>0</v>
      </c>
      <c r="BK315">
        <f>IF(예비비!$R315="OK",SUMIFS(예비비!$O$430:$O$729,예비비!$B$430:$B$729,예비비!$A315,예비비!$E$430:$E$729,"&lt;"&amp;EDATE(BK$99,1),예비비!$F$430:$F$729,"결제대금비")+MAX(0,IF(예비비!$D315&lt;EDATE(BK$99,1),예비비!$E315,0)-SUMIFS(예비비!$O$430:$O$729,예비비!$B$430:$B$729,예비비!$A315,예비비!$E$430:$E$729,"&lt;"&amp;EDATE(BK$99,1))),0)</f>
        <v>0</v>
      </c>
      <c r="BL315">
        <f>IF(예비비!$R315="OK",SUMIFS(예비비!$O$430:$O$729,예비비!$B$430:$B$729,예비비!$A315,예비비!$E$430:$E$729,"&lt;"&amp;EDATE(BL$99,1),예비비!$F$430:$F$729,"결제대금비")+MAX(0,IF(예비비!$D315&lt;EDATE(BL$99,1),예비비!$E315,0)-SUMIFS(예비비!$O$430:$O$729,예비비!$B$430:$B$729,예비비!$A315,예비비!$E$430:$E$729,"&lt;"&amp;EDATE(BL$99,1))),0)</f>
        <v>0</v>
      </c>
      <c r="BM315">
        <f>IF(예비비!$R315="OK",SUMIFS(예비비!$O$430:$O$729,예비비!$B$430:$B$729,예비비!$A315,예비비!$E$430:$E$729,"&lt;"&amp;EDATE(BM$99,1),예비비!$F$430:$F$729,"결제대금비")+MAX(0,IF(예비비!$D315&lt;EDATE(BM$99,1),예비비!$E315,0)-SUMIFS(예비비!$O$430:$O$729,예비비!$B$430:$B$729,예비비!$A315,예비비!$E$430:$E$729,"&lt;"&amp;EDATE(BM$99,1))),0)</f>
        <v>0</v>
      </c>
      <c r="BN315">
        <f>IF(예비비!$R315="OK",SUMIFS(예비비!$O$430:$O$729,예비비!$B$430:$B$729,예비비!$A315,예비비!$E$430:$E$729,"&lt;"&amp;EDATE(BN$99,1),예비비!$F$430:$F$729,"결제대금비")+MAX(0,IF(예비비!$D315&lt;EDATE(BN$99,1),예비비!$E315,0)-SUMIFS(예비비!$O$430:$O$729,예비비!$B$430:$B$729,예비비!$A315,예비비!$E$430:$E$729,"&lt;"&amp;EDATE(BN$99,1))),0)</f>
        <v>0</v>
      </c>
      <c r="BO315">
        <f>IF(예비비!$R315="OK",SUMIFS(예비비!$O$430:$O$729,예비비!$B$430:$B$729,예비비!$A315,예비비!$E$430:$E$729,"&lt;"&amp;EDATE(BO$99,1),예비비!$F$430:$F$729,"결제대금비")+MAX(0,IF(예비비!$D315&lt;EDATE(BO$99,1),예비비!$E315,0)-SUMIFS(예비비!$O$430:$O$729,예비비!$B$430:$B$729,예비비!$A315,예비비!$E$430:$E$729,"&lt;"&amp;EDATE(BO$99,1))),0)</f>
        <v>0</v>
      </c>
      <c r="BP315">
        <f>IF(예비비!$R315="OK",SUMIFS(예비비!$O$430:$O$729,예비비!$B$430:$B$729,예비비!$A315,예비비!$E$430:$E$729,"&lt;"&amp;EDATE(BP$99,1),예비비!$F$430:$F$729,"결제대금비")+MAX(0,IF(예비비!$D315&lt;EDATE(BP$99,1),예비비!$E315,0)-SUMIFS(예비비!$O$430:$O$729,예비비!$B$430:$B$729,예비비!$A315,예비비!$E$430:$E$729,"&lt;"&amp;EDATE(BP$99,1))),0)</f>
        <v>0</v>
      </c>
      <c r="BQ315">
        <f>IF(예비비!$R315="OK",SUMIFS(예비비!$O$430:$O$729,예비비!$B$430:$B$729,예비비!$A315,예비비!$E$430:$E$729,"&lt;"&amp;EDATE(BQ$99,1),예비비!$F$430:$F$729,"결제대금비")+MAX(0,IF(예비비!$D315&lt;EDATE(BQ$99,1),예비비!$E315,0)-SUMIFS(예비비!$O$430:$O$729,예비비!$B$430:$B$729,예비비!$A315,예비비!$E$430:$E$729,"&lt;"&amp;EDATE(BQ$99,1))),0)</f>
        <v>0</v>
      </c>
      <c r="BR315">
        <f>IF(예비비!$R315="OK",SUMIFS(예비비!$O$430:$O$729,예비비!$B$430:$B$729,예비비!$A315,예비비!$E$430:$E$729,"&lt;"&amp;EDATE(BR$99,1),예비비!$F$430:$F$729,"결제대금비")+MAX(0,IF(예비비!$D315&lt;EDATE(BR$99,1),예비비!$E315,0)-SUMIFS(예비비!$O$430:$O$729,예비비!$B$430:$B$729,예비비!$A315,예비비!$E$430:$E$729,"&lt;"&amp;EDATE(BR$99,1))),0)</f>
        <v>0</v>
      </c>
      <c r="BS315">
        <f>IF(예비비!$R315="OK",SUMIFS(예비비!$O$430:$O$729,예비비!$B$430:$B$729,예비비!$A315,예비비!$E$430:$E$729,"&lt;"&amp;EDATE(BS$99,1),예비비!$F$430:$F$729,"결제대금비")+MAX(0,IF(예비비!$D315&lt;EDATE(BS$99,1),예비비!$E315,0)-SUMIFS(예비비!$O$430:$O$729,예비비!$B$430:$B$729,예비비!$A315,예비비!$E$430:$E$729,"&lt;"&amp;EDATE(BS$99,1))),0)</f>
        <v>0</v>
      </c>
      <c r="BT315">
        <f>IF(예비비!$R315="OK",SUMIFS(예비비!$O$430:$O$729,예비비!$B$430:$B$729,예비비!$A315,예비비!$E$430:$E$729,"&lt;"&amp;EDATE(BT$99,1),예비비!$F$430:$F$729,"결제대금비")+MAX(0,IF(예비비!$D315&lt;EDATE(BT$99,1),예비비!$E315,0)-SUMIFS(예비비!$O$430:$O$729,예비비!$B$430:$B$729,예비비!$A315,예비비!$E$430:$E$729,"&lt;"&amp;EDATE(BT$99,1))),0)</f>
        <v>0</v>
      </c>
      <c r="BU315">
        <f>IF(예비비!$R315="OK",SUMIFS(예비비!$O$430:$O$729,예비비!$B$430:$B$729,예비비!$A315,예비비!$E$430:$E$729,"&lt;"&amp;EDATE(BU$99,1),예비비!$F$430:$F$729,"결제대금비")+MAX(0,IF(예비비!$D315&lt;EDATE(BU$99,1),예비비!$E315,0)-SUMIFS(예비비!$O$430:$O$729,예비비!$B$430:$B$729,예비비!$A315,예비비!$E$430:$E$729,"&lt;"&amp;EDATE(BU$99,1))),0)</f>
        <v>0</v>
      </c>
    </row>
    <row r="316">
      <c r="BA316">
        <v>260</v>
      </c>
      <c r="BB316" t="str">
        <f>IFERROR(INDEX(잔액!$A:$A,BA316),0)</f>
        <v>00:00:00</v>
      </c>
      <c r="BH316">
        <f>IFERROR(IF(AND(BB316&gt;0,OR(COUNTIFS(예비비!$C$430:$C$729,BA316,예비비!$N$430:$N$729,"OK")&gt;0,AND(INDEX(잔액!$J:$J,BA316)="가족통장",INDEX(잔액!$K:$K,BA316)="미래에셋_WRAP형CMA"),COUNTIF(예비비!$A$8:$A$12,INDEX(잔액!$C:$C,BA316))=1,COUNTIF(예비비!$A$8:$A$12,INDEX(잔액!$D:$D,BA316))=1),OR(AND(BB316&gt;=예비비!$B$3,BB316&lt;EDATE(예비비!$B$3,1)),AND(BB316&lt;EDATE(예비비!$B$3,1),COUNTIFS(예비비!$C$430:$C$729,BA316,예비비!$L$430:$L$729,예비비!$B$3,예비비!$N$430:$N$729,"OK")&gt;0))),MAX($BH$120:BH315)+1,0),0)</f>
        <v>0</v>
      </c>
      <c r="BI316">
        <f>IF(예비비!$R316="OK",SUMIFS(예비비!$O$430:$O$729,예비비!$B$430:$B$729,예비비!$A316,예비비!$E$430:$E$729,"&lt;"&amp;EDATE(BI$99,1),예비비!$F$430:$F$729,"결제대금비")+MAX(0,IF(예비비!$D316&lt;EDATE(BI$99,1),예비비!$E316,0)-SUMIFS(예비비!$O$430:$O$729,예비비!$B$430:$B$729,예비비!$A316,예비비!$E$430:$E$729,"&lt;"&amp;EDATE(BI$99,1))),0)</f>
        <v>0</v>
      </c>
      <c r="BJ316">
        <f>IF(예비비!$R316="OK",SUMIFS(예비비!$O$430:$O$729,예비비!$B$430:$B$729,예비비!$A316,예비비!$E$430:$E$729,"&lt;"&amp;EDATE(BJ$99,1),예비비!$F$430:$F$729,"결제대금비")+MAX(0,IF(예비비!$D316&lt;EDATE(BJ$99,1),예비비!$E316,0)-SUMIFS(예비비!$O$430:$O$729,예비비!$B$430:$B$729,예비비!$A316,예비비!$E$430:$E$729,"&lt;"&amp;EDATE(BJ$99,1))),0)</f>
        <v>0</v>
      </c>
      <c r="BK316">
        <f>IF(예비비!$R316="OK",SUMIFS(예비비!$O$430:$O$729,예비비!$B$430:$B$729,예비비!$A316,예비비!$E$430:$E$729,"&lt;"&amp;EDATE(BK$99,1),예비비!$F$430:$F$729,"결제대금비")+MAX(0,IF(예비비!$D316&lt;EDATE(BK$99,1),예비비!$E316,0)-SUMIFS(예비비!$O$430:$O$729,예비비!$B$430:$B$729,예비비!$A316,예비비!$E$430:$E$729,"&lt;"&amp;EDATE(BK$99,1))),0)</f>
        <v>0</v>
      </c>
      <c r="BL316">
        <f>IF(예비비!$R316="OK",SUMIFS(예비비!$O$430:$O$729,예비비!$B$430:$B$729,예비비!$A316,예비비!$E$430:$E$729,"&lt;"&amp;EDATE(BL$99,1),예비비!$F$430:$F$729,"결제대금비")+MAX(0,IF(예비비!$D316&lt;EDATE(BL$99,1),예비비!$E316,0)-SUMIFS(예비비!$O$430:$O$729,예비비!$B$430:$B$729,예비비!$A316,예비비!$E$430:$E$729,"&lt;"&amp;EDATE(BL$99,1))),0)</f>
        <v>0</v>
      </c>
      <c r="BM316">
        <f>IF(예비비!$R316="OK",SUMIFS(예비비!$O$430:$O$729,예비비!$B$430:$B$729,예비비!$A316,예비비!$E$430:$E$729,"&lt;"&amp;EDATE(BM$99,1),예비비!$F$430:$F$729,"결제대금비")+MAX(0,IF(예비비!$D316&lt;EDATE(BM$99,1),예비비!$E316,0)-SUMIFS(예비비!$O$430:$O$729,예비비!$B$430:$B$729,예비비!$A316,예비비!$E$430:$E$729,"&lt;"&amp;EDATE(BM$99,1))),0)</f>
        <v>0</v>
      </c>
      <c r="BN316">
        <f>IF(예비비!$R316="OK",SUMIFS(예비비!$O$430:$O$729,예비비!$B$430:$B$729,예비비!$A316,예비비!$E$430:$E$729,"&lt;"&amp;EDATE(BN$99,1),예비비!$F$430:$F$729,"결제대금비")+MAX(0,IF(예비비!$D316&lt;EDATE(BN$99,1),예비비!$E316,0)-SUMIFS(예비비!$O$430:$O$729,예비비!$B$430:$B$729,예비비!$A316,예비비!$E$430:$E$729,"&lt;"&amp;EDATE(BN$99,1))),0)</f>
        <v>0</v>
      </c>
      <c r="BO316">
        <f>IF(예비비!$R316="OK",SUMIFS(예비비!$O$430:$O$729,예비비!$B$430:$B$729,예비비!$A316,예비비!$E$430:$E$729,"&lt;"&amp;EDATE(BO$99,1),예비비!$F$430:$F$729,"결제대금비")+MAX(0,IF(예비비!$D316&lt;EDATE(BO$99,1),예비비!$E316,0)-SUMIFS(예비비!$O$430:$O$729,예비비!$B$430:$B$729,예비비!$A316,예비비!$E$430:$E$729,"&lt;"&amp;EDATE(BO$99,1))),0)</f>
        <v>0</v>
      </c>
      <c r="BP316">
        <f>IF(예비비!$R316="OK",SUMIFS(예비비!$O$430:$O$729,예비비!$B$430:$B$729,예비비!$A316,예비비!$E$430:$E$729,"&lt;"&amp;EDATE(BP$99,1),예비비!$F$430:$F$729,"결제대금비")+MAX(0,IF(예비비!$D316&lt;EDATE(BP$99,1),예비비!$E316,0)-SUMIFS(예비비!$O$430:$O$729,예비비!$B$430:$B$729,예비비!$A316,예비비!$E$430:$E$729,"&lt;"&amp;EDATE(BP$99,1))),0)</f>
        <v>0</v>
      </c>
      <c r="BQ316">
        <f>IF(예비비!$R316="OK",SUMIFS(예비비!$O$430:$O$729,예비비!$B$430:$B$729,예비비!$A316,예비비!$E$430:$E$729,"&lt;"&amp;EDATE(BQ$99,1),예비비!$F$430:$F$729,"결제대금비")+MAX(0,IF(예비비!$D316&lt;EDATE(BQ$99,1),예비비!$E316,0)-SUMIFS(예비비!$O$430:$O$729,예비비!$B$430:$B$729,예비비!$A316,예비비!$E$430:$E$729,"&lt;"&amp;EDATE(BQ$99,1))),0)</f>
        <v>0</v>
      </c>
      <c r="BR316">
        <f>IF(예비비!$R316="OK",SUMIFS(예비비!$O$430:$O$729,예비비!$B$430:$B$729,예비비!$A316,예비비!$E$430:$E$729,"&lt;"&amp;EDATE(BR$99,1),예비비!$F$430:$F$729,"결제대금비")+MAX(0,IF(예비비!$D316&lt;EDATE(BR$99,1),예비비!$E316,0)-SUMIFS(예비비!$O$430:$O$729,예비비!$B$430:$B$729,예비비!$A316,예비비!$E$430:$E$729,"&lt;"&amp;EDATE(BR$99,1))),0)</f>
        <v>0</v>
      </c>
      <c r="BS316">
        <f>IF(예비비!$R316="OK",SUMIFS(예비비!$O$430:$O$729,예비비!$B$430:$B$729,예비비!$A316,예비비!$E$430:$E$729,"&lt;"&amp;EDATE(BS$99,1),예비비!$F$430:$F$729,"결제대금비")+MAX(0,IF(예비비!$D316&lt;EDATE(BS$99,1),예비비!$E316,0)-SUMIFS(예비비!$O$430:$O$729,예비비!$B$430:$B$729,예비비!$A316,예비비!$E$430:$E$729,"&lt;"&amp;EDATE(BS$99,1))),0)</f>
        <v>0</v>
      </c>
      <c r="BT316">
        <f>IF(예비비!$R316="OK",SUMIFS(예비비!$O$430:$O$729,예비비!$B$430:$B$729,예비비!$A316,예비비!$E$430:$E$729,"&lt;"&amp;EDATE(BT$99,1),예비비!$F$430:$F$729,"결제대금비")+MAX(0,IF(예비비!$D316&lt;EDATE(BT$99,1),예비비!$E316,0)-SUMIFS(예비비!$O$430:$O$729,예비비!$B$430:$B$729,예비비!$A316,예비비!$E$430:$E$729,"&lt;"&amp;EDATE(BT$99,1))),0)</f>
        <v>0</v>
      </c>
      <c r="BU316">
        <f>IF(예비비!$R316="OK",SUMIFS(예비비!$O$430:$O$729,예비비!$B$430:$B$729,예비비!$A316,예비비!$E$430:$E$729,"&lt;"&amp;EDATE(BU$99,1),예비비!$F$430:$F$729,"결제대금비")+MAX(0,IF(예비비!$D316&lt;EDATE(BU$99,1),예비비!$E316,0)-SUMIFS(예비비!$O$430:$O$729,예비비!$B$430:$B$729,예비비!$A316,예비비!$E$430:$E$729,"&lt;"&amp;EDATE(BU$99,1))),0)</f>
        <v>0</v>
      </c>
    </row>
    <row r="317">
      <c r="BA317">
        <v>261</v>
      </c>
      <c r="BB317" t="str">
        <f>IFERROR(INDEX(잔액!$A:$A,BA317),0)</f>
        <v>00:00:00</v>
      </c>
      <c r="BH317">
        <f>IFERROR(IF(AND(BB317&gt;0,OR(COUNTIFS(예비비!$C$430:$C$729,BA317,예비비!$N$430:$N$729,"OK")&gt;0,AND(INDEX(잔액!$J:$J,BA317)="가족통장",INDEX(잔액!$K:$K,BA317)="미래에셋_WRAP형CMA"),COUNTIF(예비비!$A$8:$A$12,INDEX(잔액!$C:$C,BA317))=1,COUNTIF(예비비!$A$8:$A$12,INDEX(잔액!$D:$D,BA317))=1),OR(AND(BB317&gt;=예비비!$B$3,BB317&lt;EDATE(예비비!$B$3,1)),AND(BB317&lt;EDATE(예비비!$B$3,1),COUNTIFS(예비비!$C$430:$C$729,BA317,예비비!$L$430:$L$729,예비비!$B$3,예비비!$N$430:$N$729,"OK")&gt;0))),MAX($BH$120:BH316)+1,0),0)</f>
        <v>0</v>
      </c>
      <c r="BI317">
        <f>IF(예비비!$R317="OK",SUMIFS(예비비!$O$430:$O$729,예비비!$B$430:$B$729,예비비!$A317,예비비!$E$430:$E$729,"&lt;"&amp;EDATE(BI$99,1),예비비!$F$430:$F$729,"결제대금비")+MAX(0,IF(예비비!$D317&lt;EDATE(BI$99,1),예비비!$E317,0)-SUMIFS(예비비!$O$430:$O$729,예비비!$B$430:$B$729,예비비!$A317,예비비!$E$430:$E$729,"&lt;"&amp;EDATE(BI$99,1))),0)</f>
        <v>0</v>
      </c>
      <c r="BJ317">
        <f>IF(예비비!$R317="OK",SUMIFS(예비비!$O$430:$O$729,예비비!$B$430:$B$729,예비비!$A317,예비비!$E$430:$E$729,"&lt;"&amp;EDATE(BJ$99,1),예비비!$F$430:$F$729,"결제대금비")+MAX(0,IF(예비비!$D317&lt;EDATE(BJ$99,1),예비비!$E317,0)-SUMIFS(예비비!$O$430:$O$729,예비비!$B$430:$B$729,예비비!$A317,예비비!$E$430:$E$729,"&lt;"&amp;EDATE(BJ$99,1))),0)</f>
        <v>0</v>
      </c>
      <c r="BK317">
        <f>IF(예비비!$R317="OK",SUMIFS(예비비!$O$430:$O$729,예비비!$B$430:$B$729,예비비!$A317,예비비!$E$430:$E$729,"&lt;"&amp;EDATE(BK$99,1),예비비!$F$430:$F$729,"결제대금비")+MAX(0,IF(예비비!$D317&lt;EDATE(BK$99,1),예비비!$E317,0)-SUMIFS(예비비!$O$430:$O$729,예비비!$B$430:$B$729,예비비!$A317,예비비!$E$430:$E$729,"&lt;"&amp;EDATE(BK$99,1))),0)</f>
        <v>0</v>
      </c>
      <c r="BL317">
        <f>IF(예비비!$R317="OK",SUMIFS(예비비!$O$430:$O$729,예비비!$B$430:$B$729,예비비!$A317,예비비!$E$430:$E$729,"&lt;"&amp;EDATE(BL$99,1),예비비!$F$430:$F$729,"결제대금비")+MAX(0,IF(예비비!$D317&lt;EDATE(BL$99,1),예비비!$E317,0)-SUMIFS(예비비!$O$430:$O$729,예비비!$B$430:$B$729,예비비!$A317,예비비!$E$430:$E$729,"&lt;"&amp;EDATE(BL$99,1))),0)</f>
        <v>0</v>
      </c>
      <c r="BM317">
        <f>IF(예비비!$R317="OK",SUMIFS(예비비!$O$430:$O$729,예비비!$B$430:$B$729,예비비!$A317,예비비!$E$430:$E$729,"&lt;"&amp;EDATE(BM$99,1),예비비!$F$430:$F$729,"결제대금비")+MAX(0,IF(예비비!$D317&lt;EDATE(BM$99,1),예비비!$E317,0)-SUMIFS(예비비!$O$430:$O$729,예비비!$B$430:$B$729,예비비!$A317,예비비!$E$430:$E$729,"&lt;"&amp;EDATE(BM$99,1))),0)</f>
        <v>0</v>
      </c>
      <c r="BN317">
        <f>IF(예비비!$R317="OK",SUMIFS(예비비!$O$430:$O$729,예비비!$B$430:$B$729,예비비!$A317,예비비!$E$430:$E$729,"&lt;"&amp;EDATE(BN$99,1),예비비!$F$430:$F$729,"결제대금비")+MAX(0,IF(예비비!$D317&lt;EDATE(BN$99,1),예비비!$E317,0)-SUMIFS(예비비!$O$430:$O$729,예비비!$B$430:$B$729,예비비!$A317,예비비!$E$430:$E$729,"&lt;"&amp;EDATE(BN$99,1))),0)</f>
        <v>0</v>
      </c>
      <c r="BO317">
        <f>IF(예비비!$R317="OK",SUMIFS(예비비!$O$430:$O$729,예비비!$B$430:$B$729,예비비!$A317,예비비!$E$430:$E$729,"&lt;"&amp;EDATE(BO$99,1),예비비!$F$430:$F$729,"결제대금비")+MAX(0,IF(예비비!$D317&lt;EDATE(BO$99,1),예비비!$E317,0)-SUMIFS(예비비!$O$430:$O$729,예비비!$B$430:$B$729,예비비!$A317,예비비!$E$430:$E$729,"&lt;"&amp;EDATE(BO$99,1))),0)</f>
        <v>0</v>
      </c>
      <c r="BP317">
        <f>IF(예비비!$R317="OK",SUMIFS(예비비!$O$430:$O$729,예비비!$B$430:$B$729,예비비!$A317,예비비!$E$430:$E$729,"&lt;"&amp;EDATE(BP$99,1),예비비!$F$430:$F$729,"결제대금비")+MAX(0,IF(예비비!$D317&lt;EDATE(BP$99,1),예비비!$E317,0)-SUMIFS(예비비!$O$430:$O$729,예비비!$B$430:$B$729,예비비!$A317,예비비!$E$430:$E$729,"&lt;"&amp;EDATE(BP$99,1))),0)</f>
        <v>0</v>
      </c>
      <c r="BQ317">
        <f>IF(예비비!$R317="OK",SUMIFS(예비비!$O$430:$O$729,예비비!$B$430:$B$729,예비비!$A317,예비비!$E$430:$E$729,"&lt;"&amp;EDATE(BQ$99,1),예비비!$F$430:$F$729,"결제대금비")+MAX(0,IF(예비비!$D317&lt;EDATE(BQ$99,1),예비비!$E317,0)-SUMIFS(예비비!$O$430:$O$729,예비비!$B$430:$B$729,예비비!$A317,예비비!$E$430:$E$729,"&lt;"&amp;EDATE(BQ$99,1))),0)</f>
        <v>0</v>
      </c>
      <c r="BR317">
        <f>IF(예비비!$R317="OK",SUMIFS(예비비!$O$430:$O$729,예비비!$B$430:$B$729,예비비!$A317,예비비!$E$430:$E$729,"&lt;"&amp;EDATE(BR$99,1),예비비!$F$430:$F$729,"결제대금비")+MAX(0,IF(예비비!$D317&lt;EDATE(BR$99,1),예비비!$E317,0)-SUMIFS(예비비!$O$430:$O$729,예비비!$B$430:$B$729,예비비!$A317,예비비!$E$430:$E$729,"&lt;"&amp;EDATE(BR$99,1))),0)</f>
        <v>0</v>
      </c>
      <c r="BS317">
        <f>IF(예비비!$R317="OK",SUMIFS(예비비!$O$430:$O$729,예비비!$B$430:$B$729,예비비!$A317,예비비!$E$430:$E$729,"&lt;"&amp;EDATE(BS$99,1),예비비!$F$430:$F$729,"결제대금비")+MAX(0,IF(예비비!$D317&lt;EDATE(BS$99,1),예비비!$E317,0)-SUMIFS(예비비!$O$430:$O$729,예비비!$B$430:$B$729,예비비!$A317,예비비!$E$430:$E$729,"&lt;"&amp;EDATE(BS$99,1))),0)</f>
        <v>0</v>
      </c>
      <c r="BT317">
        <f>IF(예비비!$R317="OK",SUMIFS(예비비!$O$430:$O$729,예비비!$B$430:$B$729,예비비!$A317,예비비!$E$430:$E$729,"&lt;"&amp;EDATE(BT$99,1),예비비!$F$430:$F$729,"결제대금비")+MAX(0,IF(예비비!$D317&lt;EDATE(BT$99,1),예비비!$E317,0)-SUMIFS(예비비!$O$430:$O$729,예비비!$B$430:$B$729,예비비!$A317,예비비!$E$430:$E$729,"&lt;"&amp;EDATE(BT$99,1))),0)</f>
        <v>0</v>
      </c>
      <c r="BU317">
        <f>IF(예비비!$R317="OK",SUMIFS(예비비!$O$430:$O$729,예비비!$B$430:$B$729,예비비!$A317,예비비!$E$430:$E$729,"&lt;"&amp;EDATE(BU$99,1),예비비!$F$430:$F$729,"결제대금비")+MAX(0,IF(예비비!$D317&lt;EDATE(BU$99,1),예비비!$E317,0)-SUMIFS(예비비!$O$430:$O$729,예비비!$B$430:$B$729,예비비!$A317,예비비!$E$430:$E$729,"&lt;"&amp;EDATE(BU$99,1))),0)</f>
        <v>0</v>
      </c>
    </row>
    <row r="318">
      <c r="BA318">
        <v>262</v>
      </c>
      <c r="BB318" t="str">
        <f>IFERROR(INDEX(잔액!$A:$A,BA318),0)</f>
        <v>00:00:00</v>
      </c>
      <c r="BH318">
        <f>IFERROR(IF(AND(BB318&gt;0,OR(COUNTIFS(예비비!$C$430:$C$729,BA318,예비비!$N$430:$N$729,"OK")&gt;0,AND(INDEX(잔액!$J:$J,BA318)="가족통장",INDEX(잔액!$K:$K,BA318)="미래에셋_WRAP형CMA"),COUNTIF(예비비!$A$8:$A$12,INDEX(잔액!$C:$C,BA318))=1,COUNTIF(예비비!$A$8:$A$12,INDEX(잔액!$D:$D,BA318))=1),OR(AND(BB318&gt;=예비비!$B$3,BB318&lt;EDATE(예비비!$B$3,1)),AND(BB318&lt;EDATE(예비비!$B$3,1),COUNTIFS(예비비!$C$430:$C$729,BA318,예비비!$L$430:$L$729,예비비!$B$3,예비비!$N$430:$N$729,"OK")&gt;0))),MAX($BH$120:BH317)+1,0),0)</f>
        <v>0</v>
      </c>
      <c r="BI318">
        <f>IF(예비비!$R318="OK",SUMIFS(예비비!$O$430:$O$729,예비비!$B$430:$B$729,예비비!$A318,예비비!$E$430:$E$729,"&lt;"&amp;EDATE(BI$99,1),예비비!$F$430:$F$729,"결제대금비")+MAX(0,IF(예비비!$D318&lt;EDATE(BI$99,1),예비비!$E318,0)-SUMIFS(예비비!$O$430:$O$729,예비비!$B$430:$B$729,예비비!$A318,예비비!$E$430:$E$729,"&lt;"&amp;EDATE(BI$99,1))),0)</f>
        <v>0</v>
      </c>
      <c r="BJ318">
        <f>IF(예비비!$R318="OK",SUMIFS(예비비!$O$430:$O$729,예비비!$B$430:$B$729,예비비!$A318,예비비!$E$430:$E$729,"&lt;"&amp;EDATE(BJ$99,1),예비비!$F$430:$F$729,"결제대금비")+MAX(0,IF(예비비!$D318&lt;EDATE(BJ$99,1),예비비!$E318,0)-SUMIFS(예비비!$O$430:$O$729,예비비!$B$430:$B$729,예비비!$A318,예비비!$E$430:$E$729,"&lt;"&amp;EDATE(BJ$99,1))),0)</f>
        <v>0</v>
      </c>
      <c r="BK318">
        <f>IF(예비비!$R318="OK",SUMIFS(예비비!$O$430:$O$729,예비비!$B$430:$B$729,예비비!$A318,예비비!$E$430:$E$729,"&lt;"&amp;EDATE(BK$99,1),예비비!$F$430:$F$729,"결제대금비")+MAX(0,IF(예비비!$D318&lt;EDATE(BK$99,1),예비비!$E318,0)-SUMIFS(예비비!$O$430:$O$729,예비비!$B$430:$B$729,예비비!$A318,예비비!$E$430:$E$729,"&lt;"&amp;EDATE(BK$99,1))),0)</f>
        <v>0</v>
      </c>
      <c r="BL318">
        <f>IF(예비비!$R318="OK",SUMIFS(예비비!$O$430:$O$729,예비비!$B$430:$B$729,예비비!$A318,예비비!$E$430:$E$729,"&lt;"&amp;EDATE(BL$99,1),예비비!$F$430:$F$729,"결제대금비")+MAX(0,IF(예비비!$D318&lt;EDATE(BL$99,1),예비비!$E318,0)-SUMIFS(예비비!$O$430:$O$729,예비비!$B$430:$B$729,예비비!$A318,예비비!$E$430:$E$729,"&lt;"&amp;EDATE(BL$99,1))),0)</f>
        <v>0</v>
      </c>
      <c r="BM318">
        <f>IF(예비비!$R318="OK",SUMIFS(예비비!$O$430:$O$729,예비비!$B$430:$B$729,예비비!$A318,예비비!$E$430:$E$729,"&lt;"&amp;EDATE(BM$99,1),예비비!$F$430:$F$729,"결제대금비")+MAX(0,IF(예비비!$D318&lt;EDATE(BM$99,1),예비비!$E318,0)-SUMIFS(예비비!$O$430:$O$729,예비비!$B$430:$B$729,예비비!$A318,예비비!$E$430:$E$729,"&lt;"&amp;EDATE(BM$99,1))),0)</f>
        <v>0</v>
      </c>
      <c r="BN318">
        <f>IF(예비비!$R318="OK",SUMIFS(예비비!$O$430:$O$729,예비비!$B$430:$B$729,예비비!$A318,예비비!$E$430:$E$729,"&lt;"&amp;EDATE(BN$99,1),예비비!$F$430:$F$729,"결제대금비")+MAX(0,IF(예비비!$D318&lt;EDATE(BN$99,1),예비비!$E318,0)-SUMIFS(예비비!$O$430:$O$729,예비비!$B$430:$B$729,예비비!$A318,예비비!$E$430:$E$729,"&lt;"&amp;EDATE(BN$99,1))),0)</f>
        <v>0</v>
      </c>
      <c r="BO318">
        <f>IF(예비비!$R318="OK",SUMIFS(예비비!$O$430:$O$729,예비비!$B$430:$B$729,예비비!$A318,예비비!$E$430:$E$729,"&lt;"&amp;EDATE(BO$99,1),예비비!$F$430:$F$729,"결제대금비")+MAX(0,IF(예비비!$D318&lt;EDATE(BO$99,1),예비비!$E318,0)-SUMIFS(예비비!$O$430:$O$729,예비비!$B$430:$B$729,예비비!$A318,예비비!$E$430:$E$729,"&lt;"&amp;EDATE(BO$99,1))),0)</f>
        <v>0</v>
      </c>
      <c r="BP318">
        <f>IF(예비비!$R318="OK",SUMIFS(예비비!$O$430:$O$729,예비비!$B$430:$B$729,예비비!$A318,예비비!$E$430:$E$729,"&lt;"&amp;EDATE(BP$99,1),예비비!$F$430:$F$729,"결제대금비")+MAX(0,IF(예비비!$D318&lt;EDATE(BP$99,1),예비비!$E318,0)-SUMIFS(예비비!$O$430:$O$729,예비비!$B$430:$B$729,예비비!$A318,예비비!$E$430:$E$729,"&lt;"&amp;EDATE(BP$99,1))),0)</f>
        <v>0</v>
      </c>
      <c r="BQ318">
        <f>IF(예비비!$R318="OK",SUMIFS(예비비!$O$430:$O$729,예비비!$B$430:$B$729,예비비!$A318,예비비!$E$430:$E$729,"&lt;"&amp;EDATE(BQ$99,1),예비비!$F$430:$F$729,"결제대금비")+MAX(0,IF(예비비!$D318&lt;EDATE(BQ$99,1),예비비!$E318,0)-SUMIFS(예비비!$O$430:$O$729,예비비!$B$430:$B$729,예비비!$A318,예비비!$E$430:$E$729,"&lt;"&amp;EDATE(BQ$99,1))),0)</f>
        <v>0</v>
      </c>
      <c r="BR318">
        <f>IF(예비비!$R318="OK",SUMIFS(예비비!$O$430:$O$729,예비비!$B$430:$B$729,예비비!$A318,예비비!$E$430:$E$729,"&lt;"&amp;EDATE(BR$99,1),예비비!$F$430:$F$729,"결제대금비")+MAX(0,IF(예비비!$D318&lt;EDATE(BR$99,1),예비비!$E318,0)-SUMIFS(예비비!$O$430:$O$729,예비비!$B$430:$B$729,예비비!$A318,예비비!$E$430:$E$729,"&lt;"&amp;EDATE(BR$99,1))),0)</f>
        <v>0</v>
      </c>
      <c r="BS318">
        <f>IF(예비비!$R318="OK",SUMIFS(예비비!$O$430:$O$729,예비비!$B$430:$B$729,예비비!$A318,예비비!$E$430:$E$729,"&lt;"&amp;EDATE(BS$99,1),예비비!$F$430:$F$729,"결제대금비")+MAX(0,IF(예비비!$D318&lt;EDATE(BS$99,1),예비비!$E318,0)-SUMIFS(예비비!$O$430:$O$729,예비비!$B$430:$B$729,예비비!$A318,예비비!$E$430:$E$729,"&lt;"&amp;EDATE(BS$99,1))),0)</f>
        <v>0</v>
      </c>
      <c r="BT318">
        <f>IF(예비비!$R318="OK",SUMIFS(예비비!$O$430:$O$729,예비비!$B$430:$B$729,예비비!$A318,예비비!$E$430:$E$729,"&lt;"&amp;EDATE(BT$99,1),예비비!$F$430:$F$729,"결제대금비")+MAX(0,IF(예비비!$D318&lt;EDATE(BT$99,1),예비비!$E318,0)-SUMIFS(예비비!$O$430:$O$729,예비비!$B$430:$B$729,예비비!$A318,예비비!$E$430:$E$729,"&lt;"&amp;EDATE(BT$99,1))),0)</f>
        <v>0</v>
      </c>
      <c r="BU318">
        <f>IF(예비비!$R318="OK",SUMIFS(예비비!$O$430:$O$729,예비비!$B$430:$B$729,예비비!$A318,예비비!$E$430:$E$729,"&lt;"&amp;EDATE(BU$99,1),예비비!$F$430:$F$729,"결제대금비")+MAX(0,IF(예비비!$D318&lt;EDATE(BU$99,1),예비비!$E318,0)-SUMIFS(예비비!$O$430:$O$729,예비비!$B$430:$B$729,예비비!$A318,예비비!$E$430:$E$729,"&lt;"&amp;EDATE(BU$99,1))),0)</f>
        <v>0</v>
      </c>
    </row>
    <row r="319">
      <c r="BA319">
        <v>263</v>
      </c>
      <c r="BB319" t="str">
        <f>IFERROR(INDEX(잔액!$A:$A,BA319),0)</f>
        <v>00:00:00</v>
      </c>
      <c r="BH319">
        <f>IFERROR(IF(AND(BB319&gt;0,OR(COUNTIFS(예비비!$C$430:$C$729,BA319,예비비!$N$430:$N$729,"OK")&gt;0,AND(INDEX(잔액!$J:$J,BA319)="가족통장",INDEX(잔액!$K:$K,BA319)="미래에셋_WRAP형CMA"),COUNTIF(예비비!$A$8:$A$12,INDEX(잔액!$C:$C,BA319))=1,COUNTIF(예비비!$A$8:$A$12,INDEX(잔액!$D:$D,BA319))=1),OR(AND(BB319&gt;=예비비!$B$3,BB319&lt;EDATE(예비비!$B$3,1)),AND(BB319&lt;EDATE(예비비!$B$3,1),COUNTIFS(예비비!$C$430:$C$729,BA319,예비비!$L$430:$L$729,예비비!$B$3,예비비!$N$430:$N$729,"OK")&gt;0))),MAX($BH$120:BH318)+1,0),0)</f>
        <v>0</v>
      </c>
      <c r="BI319">
        <f>IF(예비비!$R319="OK",SUMIFS(예비비!$O$430:$O$729,예비비!$B$430:$B$729,예비비!$A319,예비비!$E$430:$E$729,"&lt;"&amp;EDATE(BI$99,1),예비비!$F$430:$F$729,"결제대금비")+MAX(0,IF(예비비!$D319&lt;EDATE(BI$99,1),예비비!$E319,0)-SUMIFS(예비비!$O$430:$O$729,예비비!$B$430:$B$729,예비비!$A319,예비비!$E$430:$E$729,"&lt;"&amp;EDATE(BI$99,1))),0)</f>
        <v>0</v>
      </c>
      <c r="BJ319">
        <f>IF(예비비!$R319="OK",SUMIFS(예비비!$O$430:$O$729,예비비!$B$430:$B$729,예비비!$A319,예비비!$E$430:$E$729,"&lt;"&amp;EDATE(BJ$99,1),예비비!$F$430:$F$729,"결제대금비")+MAX(0,IF(예비비!$D319&lt;EDATE(BJ$99,1),예비비!$E319,0)-SUMIFS(예비비!$O$430:$O$729,예비비!$B$430:$B$729,예비비!$A319,예비비!$E$430:$E$729,"&lt;"&amp;EDATE(BJ$99,1))),0)</f>
        <v>0</v>
      </c>
      <c r="BK319">
        <f>IF(예비비!$R319="OK",SUMIFS(예비비!$O$430:$O$729,예비비!$B$430:$B$729,예비비!$A319,예비비!$E$430:$E$729,"&lt;"&amp;EDATE(BK$99,1),예비비!$F$430:$F$729,"결제대금비")+MAX(0,IF(예비비!$D319&lt;EDATE(BK$99,1),예비비!$E319,0)-SUMIFS(예비비!$O$430:$O$729,예비비!$B$430:$B$729,예비비!$A319,예비비!$E$430:$E$729,"&lt;"&amp;EDATE(BK$99,1))),0)</f>
        <v>0</v>
      </c>
      <c r="BL319">
        <f>IF(예비비!$R319="OK",SUMIFS(예비비!$O$430:$O$729,예비비!$B$430:$B$729,예비비!$A319,예비비!$E$430:$E$729,"&lt;"&amp;EDATE(BL$99,1),예비비!$F$430:$F$729,"결제대금비")+MAX(0,IF(예비비!$D319&lt;EDATE(BL$99,1),예비비!$E319,0)-SUMIFS(예비비!$O$430:$O$729,예비비!$B$430:$B$729,예비비!$A319,예비비!$E$430:$E$729,"&lt;"&amp;EDATE(BL$99,1))),0)</f>
        <v>0</v>
      </c>
      <c r="BM319">
        <f>IF(예비비!$R319="OK",SUMIFS(예비비!$O$430:$O$729,예비비!$B$430:$B$729,예비비!$A319,예비비!$E$430:$E$729,"&lt;"&amp;EDATE(BM$99,1),예비비!$F$430:$F$729,"결제대금비")+MAX(0,IF(예비비!$D319&lt;EDATE(BM$99,1),예비비!$E319,0)-SUMIFS(예비비!$O$430:$O$729,예비비!$B$430:$B$729,예비비!$A319,예비비!$E$430:$E$729,"&lt;"&amp;EDATE(BM$99,1))),0)</f>
        <v>0</v>
      </c>
      <c r="BN319">
        <f>IF(예비비!$R319="OK",SUMIFS(예비비!$O$430:$O$729,예비비!$B$430:$B$729,예비비!$A319,예비비!$E$430:$E$729,"&lt;"&amp;EDATE(BN$99,1),예비비!$F$430:$F$729,"결제대금비")+MAX(0,IF(예비비!$D319&lt;EDATE(BN$99,1),예비비!$E319,0)-SUMIFS(예비비!$O$430:$O$729,예비비!$B$430:$B$729,예비비!$A319,예비비!$E$430:$E$729,"&lt;"&amp;EDATE(BN$99,1))),0)</f>
        <v>0</v>
      </c>
      <c r="BO319">
        <f>IF(예비비!$R319="OK",SUMIFS(예비비!$O$430:$O$729,예비비!$B$430:$B$729,예비비!$A319,예비비!$E$430:$E$729,"&lt;"&amp;EDATE(BO$99,1),예비비!$F$430:$F$729,"결제대금비")+MAX(0,IF(예비비!$D319&lt;EDATE(BO$99,1),예비비!$E319,0)-SUMIFS(예비비!$O$430:$O$729,예비비!$B$430:$B$729,예비비!$A319,예비비!$E$430:$E$729,"&lt;"&amp;EDATE(BO$99,1))),0)</f>
        <v>0</v>
      </c>
      <c r="BP319">
        <f>IF(예비비!$R319="OK",SUMIFS(예비비!$O$430:$O$729,예비비!$B$430:$B$729,예비비!$A319,예비비!$E$430:$E$729,"&lt;"&amp;EDATE(BP$99,1),예비비!$F$430:$F$729,"결제대금비")+MAX(0,IF(예비비!$D319&lt;EDATE(BP$99,1),예비비!$E319,0)-SUMIFS(예비비!$O$430:$O$729,예비비!$B$430:$B$729,예비비!$A319,예비비!$E$430:$E$729,"&lt;"&amp;EDATE(BP$99,1))),0)</f>
        <v>0</v>
      </c>
      <c r="BQ319">
        <f>IF(예비비!$R319="OK",SUMIFS(예비비!$O$430:$O$729,예비비!$B$430:$B$729,예비비!$A319,예비비!$E$430:$E$729,"&lt;"&amp;EDATE(BQ$99,1),예비비!$F$430:$F$729,"결제대금비")+MAX(0,IF(예비비!$D319&lt;EDATE(BQ$99,1),예비비!$E319,0)-SUMIFS(예비비!$O$430:$O$729,예비비!$B$430:$B$729,예비비!$A319,예비비!$E$430:$E$729,"&lt;"&amp;EDATE(BQ$99,1))),0)</f>
        <v>0</v>
      </c>
      <c r="BR319">
        <f>IF(예비비!$R319="OK",SUMIFS(예비비!$O$430:$O$729,예비비!$B$430:$B$729,예비비!$A319,예비비!$E$430:$E$729,"&lt;"&amp;EDATE(BR$99,1),예비비!$F$430:$F$729,"결제대금비")+MAX(0,IF(예비비!$D319&lt;EDATE(BR$99,1),예비비!$E319,0)-SUMIFS(예비비!$O$430:$O$729,예비비!$B$430:$B$729,예비비!$A319,예비비!$E$430:$E$729,"&lt;"&amp;EDATE(BR$99,1))),0)</f>
        <v>0</v>
      </c>
      <c r="BS319">
        <f>IF(예비비!$R319="OK",SUMIFS(예비비!$O$430:$O$729,예비비!$B$430:$B$729,예비비!$A319,예비비!$E$430:$E$729,"&lt;"&amp;EDATE(BS$99,1),예비비!$F$430:$F$729,"결제대금비")+MAX(0,IF(예비비!$D319&lt;EDATE(BS$99,1),예비비!$E319,0)-SUMIFS(예비비!$O$430:$O$729,예비비!$B$430:$B$729,예비비!$A319,예비비!$E$430:$E$729,"&lt;"&amp;EDATE(BS$99,1))),0)</f>
        <v>0</v>
      </c>
      <c r="BT319">
        <f>IF(예비비!$R319="OK",SUMIFS(예비비!$O$430:$O$729,예비비!$B$430:$B$729,예비비!$A319,예비비!$E$430:$E$729,"&lt;"&amp;EDATE(BT$99,1),예비비!$F$430:$F$729,"결제대금비")+MAX(0,IF(예비비!$D319&lt;EDATE(BT$99,1),예비비!$E319,0)-SUMIFS(예비비!$O$430:$O$729,예비비!$B$430:$B$729,예비비!$A319,예비비!$E$430:$E$729,"&lt;"&amp;EDATE(BT$99,1))),0)</f>
        <v>0</v>
      </c>
      <c r="BU319">
        <f>IF(예비비!$R319="OK",SUMIFS(예비비!$O$430:$O$729,예비비!$B$430:$B$729,예비비!$A319,예비비!$E$430:$E$729,"&lt;"&amp;EDATE(BU$99,1),예비비!$F$430:$F$729,"결제대금비")+MAX(0,IF(예비비!$D319&lt;EDATE(BU$99,1),예비비!$E319,0)-SUMIFS(예비비!$O$430:$O$729,예비비!$B$430:$B$729,예비비!$A319,예비비!$E$430:$E$729,"&lt;"&amp;EDATE(BU$99,1))),0)</f>
        <v>0</v>
      </c>
    </row>
    <row r="320">
      <c r="BA320">
        <v>264</v>
      </c>
      <c r="BB320" t="str">
        <f>IFERROR(INDEX(잔액!$A:$A,BA320),0)</f>
        <v>00:00:00</v>
      </c>
      <c r="BH320">
        <f>IFERROR(IF(AND(BB320&gt;0,OR(COUNTIFS(예비비!$C$430:$C$729,BA320,예비비!$N$430:$N$729,"OK")&gt;0,AND(INDEX(잔액!$J:$J,BA320)="가족통장",INDEX(잔액!$K:$K,BA320)="미래에셋_WRAP형CMA"),COUNTIF(예비비!$A$8:$A$12,INDEX(잔액!$C:$C,BA320))=1,COUNTIF(예비비!$A$8:$A$12,INDEX(잔액!$D:$D,BA320))=1),OR(AND(BB320&gt;=예비비!$B$3,BB320&lt;EDATE(예비비!$B$3,1)),AND(BB320&lt;EDATE(예비비!$B$3,1),COUNTIFS(예비비!$C$430:$C$729,BA320,예비비!$L$430:$L$729,예비비!$B$3,예비비!$N$430:$N$729,"OK")&gt;0))),MAX($BH$120:BH319)+1,0),0)</f>
        <v>0</v>
      </c>
      <c r="BI320">
        <f>IF(예비비!$R320="OK",SUMIFS(예비비!$O$430:$O$729,예비비!$B$430:$B$729,예비비!$A320,예비비!$E$430:$E$729,"&lt;"&amp;EDATE(BI$99,1),예비비!$F$430:$F$729,"결제대금비")+MAX(0,IF(예비비!$D320&lt;EDATE(BI$99,1),예비비!$E320,0)-SUMIFS(예비비!$O$430:$O$729,예비비!$B$430:$B$729,예비비!$A320,예비비!$E$430:$E$729,"&lt;"&amp;EDATE(BI$99,1))),0)</f>
        <v>0</v>
      </c>
      <c r="BJ320">
        <f>IF(예비비!$R320="OK",SUMIFS(예비비!$O$430:$O$729,예비비!$B$430:$B$729,예비비!$A320,예비비!$E$430:$E$729,"&lt;"&amp;EDATE(BJ$99,1),예비비!$F$430:$F$729,"결제대금비")+MAX(0,IF(예비비!$D320&lt;EDATE(BJ$99,1),예비비!$E320,0)-SUMIFS(예비비!$O$430:$O$729,예비비!$B$430:$B$729,예비비!$A320,예비비!$E$430:$E$729,"&lt;"&amp;EDATE(BJ$99,1))),0)</f>
        <v>0</v>
      </c>
      <c r="BK320">
        <f>IF(예비비!$R320="OK",SUMIFS(예비비!$O$430:$O$729,예비비!$B$430:$B$729,예비비!$A320,예비비!$E$430:$E$729,"&lt;"&amp;EDATE(BK$99,1),예비비!$F$430:$F$729,"결제대금비")+MAX(0,IF(예비비!$D320&lt;EDATE(BK$99,1),예비비!$E320,0)-SUMIFS(예비비!$O$430:$O$729,예비비!$B$430:$B$729,예비비!$A320,예비비!$E$430:$E$729,"&lt;"&amp;EDATE(BK$99,1))),0)</f>
        <v>0</v>
      </c>
      <c r="BL320">
        <f>IF(예비비!$R320="OK",SUMIFS(예비비!$O$430:$O$729,예비비!$B$430:$B$729,예비비!$A320,예비비!$E$430:$E$729,"&lt;"&amp;EDATE(BL$99,1),예비비!$F$430:$F$729,"결제대금비")+MAX(0,IF(예비비!$D320&lt;EDATE(BL$99,1),예비비!$E320,0)-SUMIFS(예비비!$O$430:$O$729,예비비!$B$430:$B$729,예비비!$A320,예비비!$E$430:$E$729,"&lt;"&amp;EDATE(BL$99,1))),0)</f>
        <v>0</v>
      </c>
      <c r="BM320">
        <f>IF(예비비!$R320="OK",SUMIFS(예비비!$O$430:$O$729,예비비!$B$430:$B$729,예비비!$A320,예비비!$E$430:$E$729,"&lt;"&amp;EDATE(BM$99,1),예비비!$F$430:$F$729,"결제대금비")+MAX(0,IF(예비비!$D320&lt;EDATE(BM$99,1),예비비!$E320,0)-SUMIFS(예비비!$O$430:$O$729,예비비!$B$430:$B$729,예비비!$A320,예비비!$E$430:$E$729,"&lt;"&amp;EDATE(BM$99,1))),0)</f>
        <v>0</v>
      </c>
      <c r="BN320">
        <f>IF(예비비!$R320="OK",SUMIFS(예비비!$O$430:$O$729,예비비!$B$430:$B$729,예비비!$A320,예비비!$E$430:$E$729,"&lt;"&amp;EDATE(BN$99,1),예비비!$F$430:$F$729,"결제대금비")+MAX(0,IF(예비비!$D320&lt;EDATE(BN$99,1),예비비!$E320,0)-SUMIFS(예비비!$O$430:$O$729,예비비!$B$430:$B$729,예비비!$A320,예비비!$E$430:$E$729,"&lt;"&amp;EDATE(BN$99,1))),0)</f>
        <v>0</v>
      </c>
      <c r="BO320">
        <f>IF(예비비!$R320="OK",SUMIFS(예비비!$O$430:$O$729,예비비!$B$430:$B$729,예비비!$A320,예비비!$E$430:$E$729,"&lt;"&amp;EDATE(BO$99,1),예비비!$F$430:$F$729,"결제대금비")+MAX(0,IF(예비비!$D320&lt;EDATE(BO$99,1),예비비!$E320,0)-SUMIFS(예비비!$O$430:$O$729,예비비!$B$430:$B$729,예비비!$A320,예비비!$E$430:$E$729,"&lt;"&amp;EDATE(BO$99,1))),0)</f>
        <v>0</v>
      </c>
      <c r="BP320">
        <f>IF(예비비!$R320="OK",SUMIFS(예비비!$O$430:$O$729,예비비!$B$430:$B$729,예비비!$A320,예비비!$E$430:$E$729,"&lt;"&amp;EDATE(BP$99,1),예비비!$F$430:$F$729,"결제대금비")+MAX(0,IF(예비비!$D320&lt;EDATE(BP$99,1),예비비!$E320,0)-SUMIFS(예비비!$O$430:$O$729,예비비!$B$430:$B$729,예비비!$A320,예비비!$E$430:$E$729,"&lt;"&amp;EDATE(BP$99,1))),0)</f>
        <v>0</v>
      </c>
      <c r="BQ320">
        <f>IF(예비비!$R320="OK",SUMIFS(예비비!$O$430:$O$729,예비비!$B$430:$B$729,예비비!$A320,예비비!$E$430:$E$729,"&lt;"&amp;EDATE(BQ$99,1),예비비!$F$430:$F$729,"결제대금비")+MAX(0,IF(예비비!$D320&lt;EDATE(BQ$99,1),예비비!$E320,0)-SUMIFS(예비비!$O$430:$O$729,예비비!$B$430:$B$729,예비비!$A320,예비비!$E$430:$E$729,"&lt;"&amp;EDATE(BQ$99,1))),0)</f>
        <v>0</v>
      </c>
      <c r="BR320">
        <f>IF(예비비!$R320="OK",SUMIFS(예비비!$O$430:$O$729,예비비!$B$430:$B$729,예비비!$A320,예비비!$E$430:$E$729,"&lt;"&amp;EDATE(BR$99,1),예비비!$F$430:$F$729,"결제대금비")+MAX(0,IF(예비비!$D320&lt;EDATE(BR$99,1),예비비!$E320,0)-SUMIFS(예비비!$O$430:$O$729,예비비!$B$430:$B$729,예비비!$A320,예비비!$E$430:$E$729,"&lt;"&amp;EDATE(BR$99,1))),0)</f>
        <v>0</v>
      </c>
      <c r="BS320">
        <f>IF(예비비!$R320="OK",SUMIFS(예비비!$O$430:$O$729,예비비!$B$430:$B$729,예비비!$A320,예비비!$E$430:$E$729,"&lt;"&amp;EDATE(BS$99,1),예비비!$F$430:$F$729,"결제대금비")+MAX(0,IF(예비비!$D320&lt;EDATE(BS$99,1),예비비!$E320,0)-SUMIFS(예비비!$O$430:$O$729,예비비!$B$430:$B$729,예비비!$A320,예비비!$E$430:$E$729,"&lt;"&amp;EDATE(BS$99,1))),0)</f>
        <v>0</v>
      </c>
      <c r="BT320">
        <f>IF(예비비!$R320="OK",SUMIFS(예비비!$O$430:$O$729,예비비!$B$430:$B$729,예비비!$A320,예비비!$E$430:$E$729,"&lt;"&amp;EDATE(BT$99,1),예비비!$F$430:$F$729,"결제대금비")+MAX(0,IF(예비비!$D320&lt;EDATE(BT$99,1),예비비!$E320,0)-SUMIFS(예비비!$O$430:$O$729,예비비!$B$430:$B$729,예비비!$A320,예비비!$E$430:$E$729,"&lt;"&amp;EDATE(BT$99,1))),0)</f>
        <v>0</v>
      </c>
      <c r="BU320">
        <f>IF(예비비!$R320="OK",SUMIFS(예비비!$O$430:$O$729,예비비!$B$430:$B$729,예비비!$A320,예비비!$E$430:$E$729,"&lt;"&amp;EDATE(BU$99,1),예비비!$F$430:$F$729,"결제대금비")+MAX(0,IF(예비비!$D320&lt;EDATE(BU$99,1),예비비!$E320,0)-SUMIFS(예비비!$O$430:$O$729,예비비!$B$430:$B$729,예비비!$A320,예비비!$E$430:$E$729,"&lt;"&amp;EDATE(BU$99,1))),0)</f>
        <v>0</v>
      </c>
    </row>
    <row r="321">
      <c r="BA321">
        <v>265</v>
      </c>
      <c r="BB321" t="str">
        <f>IFERROR(INDEX(잔액!$A:$A,BA321),0)</f>
        <v>00:00:00</v>
      </c>
      <c r="BH321">
        <f>IFERROR(IF(AND(BB321&gt;0,OR(COUNTIFS(예비비!$C$430:$C$729,BA321,예비비!$N$430:$N$729,"OK")&gt;0,AND(INDEX(잔액!$J:$J,BA321)="가족통장",INDEX(잔액!$K:$K,BA321)="미래에셋_WRAP형CMA"),COUNTIF(예비비!$A$8:$A$12,INDEX(잔액!$C:$C,BA321))=1,COUNTIF(예비비!$A$8:$A$12,INDEX(잔액!$D:$D,BA321))=1),OR(AND(BB321&gt;=예비비!$B$3,BB321&lt;EDATE(예비비!$B$3,1)),AND(BB321&lt;EDATE(예비비!$B$3,1),COUNTIFS(예비비!$C$430:$C$729,BA321,예비비!$L$430:$L$729,예비비!$B$3,예비비!$N$430:$N$729,"OK")&gt;0))),MAX($BH$120:BH320)+1,0),0)</f>
        <v>0</v>
      </c>
      <c r="BI321">
        <f>IF(예비비!$R321="OK",SUMIFS(예비비!$O$430:$O$729,예비비!$B$430:$B$729,예비비!$A321,예비비!$E$430:$E$729,"&lt;"&amp;EDATE(BI$99,1),예비비!$F$430:$F$729,"결제대금비")+MAX(0,IF(예비비!$D321&lt;EDATE(BI$99,1),예비비!$E321,0)-SUMIFS(예비비!$O$430:$O$729,예비비!$B$430:$B$729,예비비!$A321,예비비!$E$430:$E$729,"&lt;"&amp;EDATE(BI$99,1))),0)</f>
        <v>0</v>
      </c>
      <c r="BJ321">
        <f>IF(예비비!$R321="OK",SUMIFS(예비비!$O$430:$O$729,예비비!$B$430:$B$729,예비비!$A321,예비비!$E$430:$E$729,"&lt;"&amp;EDATE(BJ$99,1),예비비!$F$430:$F$729,"결제대금비")+MAX(0,IF(예비비!$D321&lt;EDATE(BJ$99,1),예비비!$E321,0)-SUMIFS(예비비!$O$430:$O$729,예비비!$B$430:$B$729,예비비!$A321,예비비!$E$430:$E$729,"&lt;"&amp;EDATE(BJ$99,1))),0)</f>
        <v>0</v>
      </c>
      <c r="BK321">
        <f>IF(예비비!$R321="OK",SUMIFS(예비비!$O$430:$O$729,예비비!$B$430:$B$729,예비비!$A321,예비비!$E$430:$E$729,"&lt;"&amp;EDATE(BK$99,1),예비비!$F$430:$F$729,"결제대금비")+MAX(0,IF(예비비!$D321&lt;EDATE(BK$99,1),예비비!$E321,0)-SUMIFS(예비비!$O$430:$O$729,예비비!$B$430:$B$729,예비비!$A321,예비비!$E$430:$E$729,"&lt;"&amp;EDATE(BK$99,1))),0)</f>
        <v>0</v>
      </c>
      <c r="BL321">
        <f>IF(예비비!$R321="OK",SUMIFS(예비비!$O$430:$O$729,예비비!$B$430:$B$729,예비비!$A321,예비비!$E$430:$E$729,"&lt;"&amp;EDATE(BL$99,1),예비비!$F$430:$F$729,"결제대금비")+MAX(0,IF(예비비!$D321&lt;EDATE(BL$99,1),예비비!$E321,0)-SUMIFS(예비비!$O$430:$O$729,예비비!$B$430:$B$729,예비비!$A321,예비비!$E$430:$E$729,"&lt;"&amp;EDATE(BL$99,1))),0)</f>
        <v>0</v>
      </c>
      <c r="BM321">
        <f>IF(예비비!$R321="OK",SUMIFS(예비비!$O$430:$O$729,예비비!$B$430:$B$729,예비비!$A321,예비비!$E$430:$E$729,"&lt;"&amp;EDATE(BM$99,1),예비비!$F$430:$F$729,"결제대금비")+MAX(0,IF(예비비!$D321&lt;EDATE(BM$99,1),예비비!$E321,0)-SUMIFS(예비비!$O$430:$O$729,예비비!$B$430:$B$729,예비비!$A321,예비비!$E$430:$E$729,"&lt;"&amp;EDATE(BM$99,1))),0)</f>
        <v>0</v>
      </c>
      <c r="BN321">
        <f>IF(예비비!$R321="OK",SUMIFS(예비비!$O$430:$O$729,예비비!$B$430:$B$729,예비비!$A321,예비비!$E$430:$E$729,"&lt;"&amp;EDATE(BN$99,1),예비비!$F$430:$F$729,"결제대금비")+MAX(0,IF(예비비!$D321&lt;EDATE(BN$99,1),예비비!$E321,0)-SUMIFS(예비비!$O$430:$O$729,예비비!$B$430:$B$729,예비비!$A321,예비비!$E$430:$E$729,"&lt;"&amp;EDATE(BN$99,1))),0)</f>
        <v>0</v>
      </c>
      <c r="BO321">
        <f>IF(예비비!$R321="OK",SUMIFS(예비비!$O$430:$O$729,예비비!$B$430:$B$729,예비비!$A321,예비비!$E$430:$E$729,"&lt;"&amp;EDATE(BO$99,1),예비비!$F$430:$F$729,"결제대금비")+MAX(0,IF(예비비!$D321&lt;EDATE(BO$99,1),예비비!$E321,0)-SUMIFS(예비비!$O$430:$O$729,예비비!$B$430:$B$729,예비비!$A321,예비비!$E$430:$E$729,"&lt;"&amp;EDATE(BO$99,1))),0)</f>
        <v>0</v>
      </c>
      <c r="BP321">
        <f>IF(예비비!$R321="OK",SUMIFS(예비비!$O$430:$O$729,예비비!$B$430:$B$729,예비비!$A321,예비비!$E$430:$E$729,"&lt;"&amp;EDATE(BP$99,1),예비비!$F$430:$F$729,"결제대금비")+MAX(0,IF(예비비!$D321&lt;EDATE(BP$99,1),예비비!$E321,0)-SUMIFS(예비비!$O$430:$O$729,예비비!$B$430:$B$729,예비비!$A321,예비비!$E$430:$E$729,"&lt;"&amp;EDATE(BP$99,1))),0)</f>
        <v>0</v>
      </c>
      <c r="BQ321">
        <f>IF(예비비!$R321="OK",SUMIFS(예비비!$O$430:$O$729,예비비!$B$430:$B$729,예비비!$A321,예비비!$E$430:$E$729,"&lt;"&amp;EDATE(BQ$99,1),예비비!$F$430:$F$729,"결제대금비")+MAX(0,IF(예비비!$D321&lt;EDATE(BQ$99,1),예비비!$E321,0)-SUMIFS(예비비!$O$430:$O$729,예비비!$B$430:$B$729,예비비!$A321,예비비!$E$430:$E$729,"&lt;"&amp;EDATE(BQ$99,1))),0)</f>
        <v>0</v>
      </c>
      <c r="BR321">
        <f>IF(예비비!$R321="OK",SUMIFS(예비비!$O$430:$O$729,예비비!$B$430:$B$729,예비비!$A321,예비비!$E$430:$E$729,"&lt;"&amp;EDATE(BR$99,1),예비비!$F$430:$F$729,"결제대금비")+MAX(0,IF(예비비!$D321&lt;EDATE(BR$99,1),예비비!$E321,0)-SUMIFS(예비비!$O$430:$O$729,예비비!$B$430:$B$729,예비비!$A321,예비비!$E$430:$E$729,"&lt;"&amp;EDATE(BR$99,1))),0)</f>
        <v>0</v>
      </c>
      <c r="BS321">
        <f>IF(예비비!$R321="OK",SUMIFS(예비비!$O$430:$O$729,예비비!$B$430:$B$729,예비비!$A321,예비비!$E$430:$E$729,"&lt;"&amp;EDATE(BS$99,1),예비비!$F$430:$F$729,"결제대금비")+MAX(0,IF(예비비!$D321&lt;EDATE(BS$99,1),예비비!$E321,0)-SUMIFS(예비비!$O$430:$O$729,예비비!$B$430:$B$729,예비비!$A321,예비비!$E$430:$E$729,"&lt;"&amp;EDATE(BS$99,1))),0)</f>
        <v>0</v>
      </c>
      <c r="BT321">
        <f>IF(예비비!$R321="OK",SUMIFS(예비비!$O$430:$O$729,예비비!$B$430:$B$729,예비비!$A321,예비비!$E$430:$E$729,"&lt;"&amp;EDATE(BT$99,1),예비비!$F$430:$F$729,"결제대금비")+MAX(0,IF(예비비!$D321&lt;EDATE(BT$99,1),예비비!$E321,0)-SUMIFS(예비비!$O$430:$O$729,예비비!$B$430:$B$729,예비비!$A321,예비비!$E$430:$E$729,"&lt;"&amp;EDATE(BT$99,1))),0)</f>
        <v>0</v>
      </c>
      <c r="BU321">
        <f>IF(예비비!$R321="OK",SUMIFS(예비비!$O$430:$O$729,예비비!$B$430:$B$729,예비비!$A321,예비비!$E$430:$E$729,"&lt;"&amp;EDATE(BU$99,1),예비비!$F$430:$F$729,"결제대금비")+MAX(0,IF(예비비!$D321&lt;EDATE(BU$99,1),예비비!$E321,0)-SUMIFS(예비비!$O$430:$O$729,예비비!$B$430:$B$729,예비비!$A321,예비비!$E$430:$E$729,"&lt;"&amp;EDATE(BU$99,1))),0)</f>
        <v>0</v>
      </c>
    </row>
    <row r="322">
      <c r="BA322">
        <v>266</v>
      </c>
      <c r="BB322" t="str">
        <f>IFERROR(INDEX(잔액!$A:$A,BA322),0)</f>
        <v>00:00:00</v>
      </c>
      <c r="BH322">
        <f>IFERROR(IF(AND(BB322&gt;0,OR(COUNTIFS(예비비!$C$430:$C$729,BA322,예비비!$N$430:$N$729,"OK")&gt;0,AND(INDEX(잔액!$J:$J,BA322)="가족통장",INDEX(잔액!$K:$K,BA322)="미래에셋_WRAP형CMA"),COUNTIF(예비비!$A$8:$A$12,INDEX(잔액!$C:$C,BA322))=1,COUNTIF(예비비!$A$8:$A$12,INDEX(잔액!$D:$D,BA322))=1),OR(AND(BB322&gt;=예비비!$B$3,BB322&lt;EDATE(예비비!$B$3,1)),AND(BB322&lt;EDATE(예비비!$B$3,1),COUNTIFS(예비비!$C$430:$C$729,BA322,예비비!$L$430:$L$729,예비비!$B$3,예비비!$N$430:$N$729,"OK")&gt;0))),MAX($BH$120:BH321)+1,0),0)</f>
        <v>0</v>
      </c>
      <c r="BI322">
        <f>IF(예비비!$R322="OK",SUMIFS(예비비!$O$430:$O$729,예비비!$B$430:$B$729,예비비!$A322,예비비!$E$430:$E$729,"&lt;"&amp;EDATE(BI$99,1),예비비!$F$430:$F$729,"결제대금비")+MAX(0,IF(예비비!$D322&lt;EDATE(BI$99,1),예비비!$E322,0)-SUMIFS(예비비!$O$430:$O$729,예비비!$B$430:$B$729,예비비!$A322,예비비!$E$430:$E$729,"&lt;"&amp;EDATE(BI$99,1))),0)</f>
        <v>0</v>
      </c>
      <c r="BJ322">
        <f>IF(예비비!$R322="OK",SUMIFS(예비비!$O$430:$O$729,예비비!$B$430:$B$729,예비비!$A322,예비비!$E$430:$E$729,"&lt;"&amp;EDATE(BJ$99,1),예비비!$F$430:$F$729,"결제대금비")+MAX(0,IF(예비비!$D322&lt;EDATE(BJ$99,1),예비비!$E322,0)-SUMIFS(예비비!$O$430:$O$729,예비비!$B$430:$B$729,예비비!$A322,예비비!$E$430:$E$729,"&lt;"&amp;EDATE(BJ$99,1))),0)</f>
        <v>0</v>
      </c>
      <c r="BK322">
        <f>IF(예비비!$R322="OK",SUMIFS(예비비!$O$430:$O$729,예비비!$B$430:$B$729,예비비!$A322,예비비!$E$430:$E$729,"&lt;"&amp;EDATE(BK$99,1),예비비!$F$430:$F$729,"결제대금비")+MAX(0,IF(예비비!$D322&lt;EDATE(BK$99,1),예비비!$E322,0)-SUMIFS(예비비!$O$430:$O$729,예비비!$B$430:$B$729,예비비!$A322,예비비!$E$430:$E$729,"&lt;"&amp;EDATE(BK$99,1))),0)</f>
        <v>0</v>
      </c>
      <c r="BL322">
        <f>IF(예비비!$R322="OK",SUMIFS(예비비!$O$430:$O$729,예비비!$B$430:$B$729,예비비!$A322,예비비!$E$430:$E$729,"&lt;"&amp;EDATE(BL$99,1),예비비!$F$430:$F$729,"결제대금비")+MAX(0,IF(예비비!$D322&lt;EDATE(BL$99,1),예비비!$E322,0)-SUMIFS(예비비!$O$430:$O$729,예비비!$B$430:$B$729,예비비!$A322,예비비!$E$430:$E$729,"&lt;"&amp;EDATE(BL$99,1))),0)</f>
        <v>0</v>
      </c>
      <c r="BM322">
        <f>IF(예비비!$R322="OK",SUMIFS(예비비!$O$430:$O$729,예비비!$B$430:$B$729,예비비!$A322,예비비!$E$430:$E$729,"&lt;"&amp;EDATE(BM$99,1),예비비!$F$430:$F$729,"결제대금비")+MAX(0,IF(예비비!$D322&lt;EDATE(BM$99,1),예비비!$E322,0)-SUMIFS(예비비!$O$430:$O$729,예비비!$B$430:$B$729,예비비!$A322,예비비!$E$430:$E$729,"&lt;"&amp;EDATE(BM$99,1))),0)</f>
        <v>0</v>
      </c>
      <c r="BN322">
        <f>IF(예비비!$R322="OK",SUMIFS(예비비!$O$430:$O$729,예비비!$B$430:$B$729,예비비!$A322,예비비!$E$430:$E$729,"&lt;"&amp;EDATE(BN$99,1),예비비!$F$430:$F$729,"결제대금비")+MAX(0,IF(예비비!$D322&lt;EDATE(BN$99,1),예비비!$E322,0)-SUMIFS(예비비!$O$430:$O$729,예비비!$B$430:$B$729,예비비!$A322,예비비!$E$430:$E$729,"&lt;"&amp;EDATE(BN$99,1))),0)</f>
        <v>0</v>
      </c>
      <c r="BO322">
        <f>IF(예비비!$R322="OK",SUMIFS(예비비!$O$430:$O$729,예비비!$B$430:$B$729,예비비!$A322,예비비!$E$430:$E$729,"&lt;"&amp;EDATE(BO$99,1),예비비!$F$430:$F$729,"결제대금비")+MAX(0,IF(예비비!$D322&lt;EDATE(BO$99,1),예비비!$E322,0)-SUMIFS(예비비!$O$430:$O$729,예비비!$B$430:$B$729,예비비!$A322,예비비!$E$430:$E$729,"&lt;"&amp;EDATE(BO$99,1))),0)</f>
        <v>0</v>
      </c>
      <c r="BP322">
        <f>IF(예비비!$R322="OK",SUMIFS(예비비!$O$430:$O$729,예비비!$B$430:$B$729,예비비!$A322,예비비!$E$430:$E$729,"&lt;"&amp;EDATE(BP$99,1),예비비!$F$430:$F$729,"결제대금비")+MAX(0,IF(예비비!$D322&lt;EDATE(BP$99,1),예비비!$E322,0)-SUMIFS(예비비!$O$430:$O$729,예비비!$B$430:$B$729,예비비!$A322,예비비!$E$430:$E$729,"&lt;"&amp;EDATE(BP$99,1))),0)</f>
        <v>0</v>
      </c>
      <c r="BQ322">
        <f>IF(예비비!$R322="OK",SUMIFS(예비비!$O$430:$O$729,예비비!$B$430:$B$729,예비비!$A322,예비비!$E$430:$E$729,"&lt;"&amp;EDATE(BQ$99,1),예비비!$F$430:$F$729,"결제대금비")+MAX(0,IF(예비비!$D322&lt;EDATE(BQ$99,1),예비비!$E322,0)-SUMIFS(예비비!$O$430:$O$729,예비비!$B$430:$B$729,예비비!$A322,예비비!$E$430:$E$729,"&lt;"&amp;EDATE(BQ$99,1))),0)</f>
        <v>0</v>
      </c>
      <c r="BR322">
        <f>IF(예비비!$R322="OK",SUMIFS(예비비!$O$430:$O$729,예비비!$B$430:$B$729,예비비!$A322,예비비!$E$430:$E$729,"&lt;"&amp;EDATE(BR$99,1),예비비!$F$430:$F$729,"결제대금비")+MAX(0,IF(예비비!$D322&lt;EDATE(BR$99,1),예비비!$E322,0)-SUMIFS(예비비!$O$430:$O$729,예비비!$B$430:$B$729,예비비!$A322,예비비!$E$430:$E$729,"&lt;"&amp;EDATE(BR$99,1))),0)</f>
        <v>0</v>
      </c>
      <c r="BS322">
        <f>IF(예비비!$R322="OK",SUMIFS(예비비!$O$430:$O$729,예비비!$B$430:$B$729,예비비!$A322,예비비!$E$430:$E$729,"&lt;"&amp;EDATE(BS$99,1),예비비!$F$430:$F$729,"결제대금비")+MAX(0,IF(예비비!$D322&lt;EDATE(BS$99,1),예비비!$E322,0)-SUMIFS(예비비!$O$430:$O$729,예비비!$B$430:$B$729,예비비!$A322,예비비!$E$430:$E$729,"&lt;"&amp;EDATE(BS$99,1))),0)</f>
        <v>0</v>
      </c>
      <c r="BT322">
        <f>IF(예비비!$R322="OK",SUMIFS(예비비!$O$430:$O$729,예비비!$B$430:$B$729,예비비!$A322,예비비!$E$430:$E$729,"&lt;"&amp;EDATE(BT$99,1),예비비!$F$430:$F$729,"결제대금비")+MAX(0,IF(예비비!$D322&lt;EDATE(BT$99,1),예비비!$E322,0)-SUMIFS(예비비!$O$430:$O$729,예비비!$B$430:$B$729,예비비!$A322,예비비!$E$430:$E$729,"&lt;"&amp;EDATE(BT$99,1))),0)</f>
        <v>0</v>
      </c>
      <c r="BU322">
        <f>IF(예비비!$R322="OK",SUMIFS(예비비!$O$430:$O$729,예비비!$B$430:$B$729,예비비!$A322,예비비!$E$430:$E$729,"&lt;"&amp;EDATE(BU$99,1),예비비!$F$430:$F$729,"결제대금비")+MAX(0,IF(예비비!$D322&lt;EDATE(BU$99,1),예비비!$E322,0)-SUMIFS(예비비!$O$430:$O$729,예비비!$B$430:$B$729,예비비!$A322,예비비!$E$430:$E$729,"&lt;"&amp;EDATE(BU$99,1))),0)</f>
        <v>0</v>
      </c>
    </row>
    <row r="323">
      <c r="BA323">
        <v>267</v>
      </c>
      <c r="BB323" t="str">
        <f>IFERROR(INDEX(잔액!$A:$A,BA323),0)</f>
        <v>00:00:00</v>
      </c>
      <c r="BH323">
        <f>IFERROR(IF(AND(BB323&gt;0,OR(COUNTIFS(예비비!$C$430:$C$729,BA323,예비비!$N$430:$N$729,"OK")&gt;0,AND(INDEX(잔액!$J:$J,BA323)="가족통장",INDEX(잔액!$K:$K,BA323)="미래에셋_WRAP형CMA"),COUNTIF(예비비!$A$8:$A$12,INDEX(잔액!$C:$C,BA323))=1,COUNTIF(예비비!$A$8:$A$12,INDEX(잔액!$D:$D,BA323))=1),OR(AND(BB323&gt;=예비비!$B$3,BB323&lt;EDATE(예비비!$B$3,1)),AND(BB323&lt;EDATE(예비비!$B$3,1),COUNTIFS(예비비!$C$430:$C$729,BA323,예비비!$L$430:$L$729,예비비!$B$3,예비비!$N$430:$N$729,"OK")&gt;0))),MAX($BH$120:BH322)+1,0),0)</f>
        <v>0</v>
      </c>
      <c r="BI323">
        <f>IF(예비비!$R323="OK",SUMIFS(예비비!$O$430:$O$729,예비비!$B$430:$B$729,예비비!$A323,예비비!$E$430:$E$729,"&lt;"&amp;EDATE(BI$99,1),예비비!$F$430:$F$729,"결제대금비")+MAX(0,IF(예비비!$D323&lt;EDATE(BI$99,1),예비비!$E323,0)-SUMIFS(예비비!$O$430:$O$729,예비비!$B$430:$B$729,예비비!$A323,예비비!$E$430:$E$729,"&lt;"&amp;EDATE(BI$99,1))),0)</f>
        <v>0</v>
      </c>
      <c r="BJ323">
        <f>IF(예비비!$R323="OK",SUMIFS(예비비!$O$430:$O$729,예비비!$B$430:$B$729,예비비!$A323,예비비!$E$430:$E$729,"&lt;"&amp;EDATE(BJ$99,1),예비비!$F$430:$F$729,"결제대금비")+MAX(0,IF(예비비!$D323&lt;EDATE(BJ$99,1),예비비!$E323,0)-SUMIFS(예비비!$O$430:$O$729,예비비!$B$430:$B$729,예비비!$A323,예비비!$E$430:$E$729,"&lt;"&amp;EDATE(BJ$99,1))),0)</f>
        <v>0</v>
      </c>
      <c r="BK323">
        <f>IF(예비비!$R323="OK",SUMIFS(예비비!$O$430:$O$729,예비비!$B$430:$B$729,예비비!$A323,예비비!$E$430:$E$729,"&lt;"&amp;EDATE(BK$99,1),예비비!$F$430:$F$729,"결제대금비")+MAX(0,IF(예비비!$D323&lt;EDATE(BK$99,1),예비비!$E323,0)-SUMIFS(예비비!$O$430:$O$729,예비비!$B$430:$B$729,예비비!$A323,예비비!$E$430:$E$729,"&lt;"&amp;EDATE(BK$99,1))),0)</f>
        <v>0</v>
      </c>
      <c r="BL323">
        <f>IF(예비비!$R323="OK",SUMIFS(예비비!$O$430:$O$729,예비비!$B$430:$B$729,예비비!$A323,예비비!$E$430:$E$729,"&lt;"&amp;EDATE(BL$99,1),예비비!$F$430:$F$729,"결제대금비")+MAX(0,IF(예비비!$D323&lt;EDATE(BL$99,1),예비비!$E323,0)-SUMIFS(예비비!$O$430:$O$729,예비비!$B$430:$B$729,예비비!$A323,예비비!$E$430:$E$729,"&lt;"&amp;EDATE(BL$99,1))),0)</f>
        <v>0</v>
      </c>
      <c r="BM323">
        <f>IF(예비비!$R323="OK",SUMIFS(예비비!$O$430:$O$729,예비비!$B$430:$B$729,예비비!$A323,예비비!$E$430:$E$729,"&lt;"&amp;EDATE(BM$99,1),예비비!$F$430:$F$729,"결제대금비")+MAX(0,IF(예비비!$D323&lt;EDATE(BM$99,1),예비비!$E323,0)-SUMIFS(예비비!$O$430:$O$729,예비비!$B$430:$B$729,예비비!$A323,예비비!$E$430:$E$729,"&lt;"&amp;EDATE(BM$99,1))),0)</f>
        <v>0</v>
      </c>
      <c r="BN323">
        <f>IF(예비비!$R323="OK",SUMIFS(예비비!$O$430:$O$729,예비비!$B$430:$B$729,예비비!$A323,예비비!$E$430:$E$729,"&lt;"&amp;EDATE(BN$99,1),예비비!$F$430:$F$729,"결제대금비")+MAX(0,IF(예비비!$D323&lt;EDATE(BN$99,1),예비비!$E323,0)-SUMIFS(예비비!$O$430:$O$729,예비비!$B$430:$B$729,예비비!$A323,예비비!$E$430:$E$729,"&lt;"&amp;EDATE(BN$99,1))),0)</f>
        <v>0</v>
      </c>
      <c r="BO323">
        <f>IF(예비비!$R323="OK",SUMIFS(예비비!$O$430:$O$729,예비비!$B$430:$B$729,예비비!$A323,예비비!$E$430:$E$729,"&lt;"&amp;EDATE(BO$99,1),예비비!$F$430:$F$729,"결제대금비")+MAX(0,IF(예비비!$D323&lt;EDATE(BO$99,1),예비비!$E323,0)-SUMIFS(예비비!$O$430:$O$729,예비비!$B$430:$B$729,예비비!$A323,예비비!$E$430:$E$729,"&lt;"&amp;EDATE(BO$99,1))),0)</f>
        <v>0</v>
      </c>
      <c r="BP323">
        <f>IF(예비비!$R323="OK",SUMIFS(예비비!$O$430:$O$729,예비비!$B$430:$B$729,예비비!$A323,예비비!$E$430:$E$729,"&lt;"&amp;EDATE(BP$99,1),예비비!$F$430:$F$729,"결제대금비")+MAX(0,IF(예비비!$D323&lt;EDATE(BP$99,1),예비비!$E323,0)-SUMIFS(예비비!$O$430:$O$729,예비비!$B$430:$B$729,예비비!$A323,예비비!$E$430:$E$729,"&lt;"&amp;EDATE(BP$99,1))),0)</f>
        <v>0</v>
      </c>
      <c r="BQ323">
        <f>IF(예비비!$R323="OK",SUMIFS(예비비!$O$430:$O$729,예비비!$B$430:$B$729,예비비!$A323,예비비!$E$430:$E$729,"&lt;"&amp;EDATE(BQ$99,1),예비비!$F$430:$F$729,"결제대금비")+MAX(0,IF(예비비!$D323&lt;EDATE(BQ$99,1),예비비!$E323,0)-SUMIFS(예비비!$O$430:$O$729,예비비!$B$430:$B$729,예비비!$A323,예비비!$E$430:$E$729,"&lt;"&amp;EDATE(BQ$99,1))),0)</f>
        <v>0</v>
      </c>
      <c r="BR323">
        <f>IF(예비비!$R323="OK",SUMIFS(예비비!$O$430:$O$729,예비비!$B$430:$B$729,예비비!$A323,예비비!$E$430:$E$729,"&lt;"&amp;EDATE(BR$99,1),예비비!$F$430:$F$729,"결제대금비")+MAX(0,IF(예비비!$D323&lt;EDATE(BR$99,1),예비비!$E323,0)-SUMIFS(예비비!$O$430:$O$729,예비비!$B$430:$B$729,예비비!$A323,예비비!$E$430:$E$729,"&lt;"&amp;EDATE(BR$99,1))),0)</f>
        <v>0</v>
      </c>
      <c r="BS323">
        <f>IF(예비비!$R323="OK",SUMIFS(예비비!$O$430:$O$729,예비비!$B$430:$B$729,예비비!$A323,예비비!$E$430:$E$729,"&lt;"&amp;EDATE(BS$99,1),예비비!$F$430:$F$729,"결제대금비")+MAX(0,IF(예비비!$D323&lt;EDATE(BS$99,1),예비비!$E323,0)-SUMIFS(예비비!$O$430:$O$729,예비비!$B$430:$B$729,예비비!$A323,예비비!$E$430:$E$729,"&lt;"&amp;EDATE(BS$99,1))),0)</f>
        <v>0</v>
      </c>
      <c r="BT323">
        <f>IF(예비비!$R323="OK",SUMIFS(예비비!$O$430:$O$729,예비비!$B$430:$B$729,예비비!$A323,예비비!$E$430:$E$729,"&lt;"&amp;EDATE(BT$99,1),예비비!$F$430:$F$729,"결제대금비")+MAX(0,IF(예비비!$D323&lt;EDATE(BT$99,1),예비비!$E323,0)-SUMIFS(예비비!$O$430:$O$729,예비비!$B$430:$B$729,예비비!$A323,예비비!$E$430:$E$729,"&lt;"&amp;EDATE(BT$99,1))),0)</f>
        <v>0</v>
      </c>
      <c r="BU323">
        <f>IF(예비비!$R323="OK",SUMIFS(예비비!$O$430:$O$729,예비비!$B$430:$B$729,예비비!$A323,예비비!$E$430:$E$729,"&lt;"&amp;EDATE(BU$99,1),예비비!$F$430:$F$729,"결제대금비")+MAX(0,IF(예비비!$D323&lt;EDATE(BU$99,1),예비비!$E323,0)-SUMIFS(예비비!$O$430:$O$729,예비비!$B$430:$B$729,예비비!$A323,예비비!$E$430:$E$729,"&lt;"&amp;EDATE(BU$99,1))),0)</f>
        <v>0</v>
      </c>
    </row>
    <row r="324">
      <c r="BA324">
        <v>268</v>
      </c>
      <c r="BB324" t="str">
        <f>IFERROR(INDEX(잔액!$A:$A,BA324),0)</f>
        <v>00:00:00</v>
      </c>
      <c r="BH324">
        <f>IFERROR(IF(AND(BB324&gt;0,OR(COUNTIFS(예비비!$C$430:$C$729,BA324,예비비!$N$430:$N$729,"OK")&gt;0,AND(INDEX(잔액!$J:$J,BA324)="가족통장",INDEX(잔액!$K:$K,BA324)="미래에셋_WRAP형CMA"),COUNTIF(예비비!$A$8:$A$12,INDEX(잔액!$C:$C,BA324))=1,COUNTIF(예비비!$A$8:$A$12,INDEX(잔액!$D:$D,BA324))=1),OR(AND(BB324&gt;=예비비!$B$3,BB324&lt;EDATE(예비비!$B$3,1)),AND(BB324&lt;EDATE(예비비!$B$3,1),COUNTIFS(예비비!$C$430:$C$729,BA324,예비비!$L$430:$L$729,예비비!$B$3,예비비!$N$430:$N$729,"OK")&gt;0))),MAX($BH$120:BH323)+1,0),0)</f>
        <v>0</v>
      </c>
      <c r="BI324">
        <f>IF(예비비!$R324="OK",SUMIFS(예비비!$O$430:$O$729,예비비!$B$430:$B$729,예비비!$A324,예비비!$E$430:$E$729,"&lt;"&amp;EDATE(BI$99,1),예비비!$F$430:$F$729,"결제대금비")+MAX(0,IF(예비비!$D324&lt;EDATE(BI$99,1),예비비!$E324,0)-SUMIFS(예비비!$O$430:$O$729,예비비!$B$430:$B$729,예비비!$A324,예비비!$E$430:$E$729,"&lt;"&amp;EDATE(BI$99,1))),0)</f>
        <v>0</v>
      </c>
      <c r="BJ324">
        <f>IF(예비비!$R324="OK",SUMIFS(예비비!$O$430:$O$729,예비비!$B$430:$B$729,예비비!$A324,예비비!$E$430:$E$729,"&lt;"&amp;EDATE(BJ$99,1),예비비!$F$430:$F$729,"결제대금비")+MAX(0,IF(예비비!$D324&lt;EDATE(BJ$99,1),예비비!$E324,0)-SUMIFS(예비비!$O$430:$O$729,예비비!$B$430:$B$729,예비비!$A324,예비비!$E$430:$E$729,"&lt;"&amp;EDATE(BJ$99,1))),0)</f>
        <v>0</v>
      </c>
      <c r="BK324">
        <f>IF(예비비!$R324="OK",SUMIFS(예비비!$O$430:$O$729,예비비!$B$430:$B$729,예비비!$A324,예비비!$E$430:$E$729,"&lt;"&amp;EDATE(BK$99,1),예비비!$F$430:$F$729,"결제대금비")+MAX(0,IF(예비비!$D324&lt;EDATE(BK$99,1),예비비!$E324,0)-SUMIFS(예비비!$O$430:$O$729,예비비!$B$430:$B$729,예비비!$A324,예비비!$E$430:$E$729,"&lt;"&amp;EDATE(BK$99,1))),0)</f>
        <v>0</v>
      </c>
      <c r="BL324">
        <f>IF(예비비!$R324="OK",SUMIFS(예비비!$O$430:$O$729,예비비!$B$430:$B$729,예비비!$A324,예비비!$E$430:$E$729,"&lt;"&amp;EDATE(BL$99,1),예비비!$F$430:$F$729,"결제대금비")+MAX(0,IF(예비비!$D324&lt;EDATE(BL$99,1),예비비!$E324,0)-SUMIFS(예비비!$O$430:$O$729,예비비!$B$430:$B$729,예비비!$A324,예비비!$E$430:$E$729,"&lt;"&amp;EDATE(BL$99,1))),0)</f>
        <v>0</v>
      </c>
      <c r="BM324">
        <f>IF(예비비!$R324="OK",SUMIFS(예비비!$O$430:$O$729,예비비!$B$430:$B$729,예비비!$A324,예비비!$E$430:$E$729,"&lt;"&amp;EDATE(BM$99,1),예비비!$F$430:$F$729,"결제대금비")+MAX(0,IF(예비비!$D324&lt;EDATE(BM$99,1),예비비!$E324,0)-SUMIFS(예비비!$O$430:$O$729,예비비!$B$430:$B$729,예비비!$A324,예비비!$E$430:$E$729,"&lt;"&amp;EDATE(BM$99,1))),0)</f>
        <v>0</v>
      </c>
      <c r="BN324">
        <f>IF(예비비!$R324="OK",SUMIFS(예비비!$O$430:$O$729,예비비!$B$430:$B$729,예비비!$A324,예비비!$E$430:$E$729,"&lt;"&amp;EDATE(BN$99,1),예비비!$F$430:$F$729,"결제대금비")+MAX(0,IF(예비비!$D324&lt;EDATE(BN$99,1),예비비!$E324,0)-SUMIFS(예비비!$O$430:$O$729,예비비!$B$430:$B$729,예비비!$A324,예비비!$E$430:$E$729,"&lt;"&amp;EDATE(BN$99,1))),0)</f>
        <v>0</v>
      </c>
      <c r="BO324">
        <f>IF(예비비!$R324="OK",SUMIFS(예비비!$O$430:$O$729,예비비!$B$430:$B$729,예비비!$A324,예비비!$E$430:$E$729,"&lt;"&amp;EDATE(BO$99,1),예비비!$F$430:$F$729,"결제대금비")+MAX(0,IF(예비비!$D324&lt;EDATE(BO$99,1),예비비!$E324,0)-SUMIFS(예비비!$O$430:$O$729,예비비!$B$430:$B$729,예비비!$A324,예비비!$E$430:$E$729,"&lt;"&amp;EDATE(BO$99,1))),0)</f>
        <v>0</v>
      </c>
      <c r="BP324">
        <f>IF(예비비!$R324="OK",SUMIFS(예비비!$O$430:$O$729,예비비!$B$430:$B$729,예비비!$A324,예비비!$E$430:$E$729,"&lt;"&amp;EDATE(BP$99,1),예비비!$F$430:$F$729,"결제대금비")+MAX(0,IF(예비비!$D324&lt;EDATE(BP$99,1),예비비!$E324,0)-SUMIFS(예비비!$O$430:$O$729,예비비!$B$430:$B$729,예비비!$A324,예비비!$E$430:$E$729,"&lt;"&amp;EDATE(BP$99,1))),0)</f>
        <v>0</v>
      </c>
      <c r="BQ324">
        <f>IF(예비비!$R324="OK",SUMIFS(예비비!$O$430:$O$729,예비비!$B$430:$B$729,예비비!$A324,예비비!$E$430:$E$729,"&lt;"&amp;EDATE(BQ$99,1),예비비!$F$430:$F$729,"결제대금비")+MAX(0,IF(예비비!$D324&lt;EDATE(BQ$99,1),예비비!$E324,0)-SUMIFS(예비비!$O$430:$O$729,예비비!$B$430:$B$729,예비비!$A324,예비비!$E$430:$E$729,"&lt;"&amp;EDATE(BQ$99,1))),0)</f>
        <v>0</v>
      </c>
      <c r="BR324">
        <f>IF(예비비!$R324="OK",SUMIFS(예비비!$O$430:$O$729,예비비!$B$430:$B$729,예비비!$A324,예비비!$E$430:$E$729,"&lt;"&amp;EDATE(BR$99,1),예비비!$F$430:$F$729,"결제대금비")+MAX(0,IF(예비비!$D324&lt;EDATE(BR$99,1),예비비!$E324,0)-SUMIFS(예비비!$O$430:$O$729,예비비!$B$430:$B$729,예비비!$A324,예비비!$E$430:$E$729,"&lt;"&amp;EDATE(BR$99,1))),0)</f>
        <v>0</v>
      </c>
      <c r="BS324">
        <f>IF(예비비!$R324="OK",SUMIFS(예비비!$O$430:$O$729,예비비!$B$430:$B$729,예비비!$A324,예비비!$E$430:$E$729,"&lt;"&amp;EDATE(BS$99,1),예비비!$F$430:$F$729,"결제대금비")+MAX(0,IF(예비비!$D324&lt;EDATE(BS$99,1),예비비!$E324,0)-SUMIFS(예비비!$O$430:$O$729,예비비!$B$430:$B$729,예비비!$A324,예비비!$E$430:$E$729,"&lt;"&amp;EDATE(BS$99,1))),0)</f>
        <v>0</v>
      </c>
      <c r="BT324">
        <f>IF(예비비!$R324="OK",SUMIFS(예비비!$O$430:$O$729,예비비!$B$430:$B$729,예비비!$A324,예비비!$E$430:$E$729,"&lt;"&amp;EDATE(BT$99,1),예비비!$F$430:$F$729,"결제대금비")+MAX(0,IF(예비비!$D324&lt;EDATE(BT$99,1),예비비!$E324,0)-SUMIFS(예비비!$O$430:$O$729,예비비!$B$430:$B$729,예비비!$A324,예비비!$E$430:$E$729,"&lt;"&amp;EDATE(BT$99,1))),0)</f>
        <v>0</v>
      </c>
      <c r="BU324">
        <f>IF(예비비!$R324="OK",SUMIFS(예비비!$O$430:$O$729,예비비!$B$430:$B$729,예비비!$A324,예비비!$E$430:$E$729,"&lt;"&amp;EDATE(BU$99,1),예비비!$F$430:$F$729,"결제대금비")+MAX(0,IF(예비비!$D324&lt;EDATE(BU$99,1),예비비!$E324,0)-SUMIFS(예비비!$O$430:$O$729,예비비!$B$430:$B$729,예비비!$A324,예비비!$E$430:$E$729,"&lt;"&amp;EDATE(BU$99,1))),0)</f>
        <v>0</v>
      </c>
    </row>
    <row r="325">
      <c r="BA325">
        <v>269</v>
      </c>
      <c r="BB325" t="str">
        <f>IFERROR(INDEX(잔액!$A:$A,BA325),0)</f>
        <v>00:00:00</v>
      </c>
      <c r="BH325">
        <f>IFERROR(IF(AND(BB325&gt;0,OR(COUNTIFS(예비비!$C$430:$C$729,BA325,예비비!$N$430:$N$729,"OK")&gt;0,AND(INDEX(잔액!$J:$J,BA325)="가족통장",INDEX(잔액!$K:$K,BA325)="미래에셋_WRAP형CMA"),COUNTIF(예비비!$A$8:$A$12,INDEX(잔액!$C:$C,BA325))=1,COUNTIF(예비비!$A$8:$A$12,INDEX(잔액!$D:$D,BA325))=1),OR(AND(BB325&gt;=예비비!$B$3,BB325&lt;EDATE(예비비!$B$3,1)),AND(BB325&lt;EDATE(예비비!$B$3,1),COUNTIFS(예비비!$C$430:$C$729,BA325,예비비!$L$430:$L$729,예비비!$B$3,예비비!$N$430:$N$729,"OK")&gt;0))),MAX($BH$120:BH324)+1,0),0)</f>
        <v>0</v>
      </c>
      <c r="BI325">
        <f>IF(예비비!$R325="OK",SUMIFS(예비비!$O$430:$O$729,예비비!$B$430:$B$729,예비비!$A325,예비비!$E$430:$E$729,"&lt;"&amp;EDATE(BI$99,1),예비비!$F$430:$F$729,"결제대금비")+MAX(0,IF(예비비!$D325&lt;EDATE(BI$99,1),예비비!$E325,0)-SUMIFS(예비비!$O$430:$O$729,예비비!$B$430:$B$729,예비비!$A325,예비비!$E$430:$E$729,"&lt;"&amp;EDATE(BI$99,1))),0)</f>
        <v>0</v>
      </c>
      <c r="BJ325">
        <f>IF(예비비!$R325="OK",SUMIFS(예비비!$O$430:$O$729,예비비!$B$430:$B$729,예비비!$A325,예비비!$E$430:$E$729,"&lt;"&amp;EDATE(BJ$99,1),예비비!$F$430:$F$729,"결제대금비")+MAX(0,IF(예비비!$D325&lt;EDATE(BJ$99,1),예비비!$E325,0)-SUMIFS(예비비!$O$430:$O$729,예비비!$B$430:$B$729,예비비!$A325,예비비!$E$430:$E$729,"&lt;"&amp;EDATE(BJ$99,1))),0)</f>
        <v>0</v>
      </c>
      <c r="BK325">
        <f>IF(예비비!$R325="OK",SUMIFS(예비비!$O$430:$O$729,예비비!$B$430:$B$729,예비비!$A325,예비비!$E$430:$E$729,"&lt;"&amp;EDATE(BK$99,1),예비비!$F$430:$F$729,"결제대금비")+MAX(0,IF(예비비!$D325&lt;EDATE(BK$99,1),예비비!$E325,0)-SUMIFS(예비비!$O$430:$O$729,예비비!$B$430:$B$729,예비비!$A325,예비비!$E$430:$E$729,"&lt;"&amp;EDATE(BK$99,1))),0)</f>
        <v>0</v>
      </c>
      <c r="BL325">
        <f>IF(예비비!$R325="OK",SUMIFS(예비비!$O$430:$O$729,예비비!$B$430:$B$729,예비비!$A325,예비비!$E$430:$E$729,"&lt;"&amp;EDATE(BL$99,1),예비비!$F$430:$F$729,"결제대금비")+MAX(0,IF(예비비!$D325&lt;EDATE(BL$99,1),예비비!$E325,0)-SUMIFS(예비비!$O$430:$O$729,예비비!$B$430:$B$729,예비비!$A325,예비비!$E$430:$E$729,"&lt;"&amp;EDATE(BL$99,1))),0)</f>
        <v>0</v>
      </c>
      <c r="BM325">
        <f>IF(예비비!$R325="OK",SUMIFS(예비비!$O$430:$O$729,예비비!$B$430:$B$729,예비비!$A325,예비비!$E$430:$E$729,"&lt;"&amp;EDATE(BM$99,1),예비비!$F$430:$F$729,"결제대금비")+MAX(0,IF(예비비!$D325&lt;EDATE(BM$99,1),예비비!$E325,0)-SUMIFS(예비비!$O$430:$O$729,예비비!$B$430:$B$729,예비비!$A325,예비비!$E$430:$E$729,"&lt;"&amp;EDATE(BM$99,1))),0)</f>
        <v>0</v>
      </c>
      <c r="BN325">
        <f>IF(예비비!$R325="OK",SUMIFS(예비비!$O$430:$O$729,예비비!$B$430:$B$729,예비비!$A325,예비비!$E$430:$E$729,"&lt;"&amp;EDATE(BN$99,1),예비비!$F$430:$F$729,"결제대금비")+MAX(0,IF(예비비!$D325&lt;EDATE(BN$99,1),예비비!$E325,0)-SUMIFS(예비비!$O$430:$O$729,예비비!$B$430:$B$729,예비비!$A325,예비비!$E$430:$E$729,"&lt;"&amp;EDATE(BN$99,1))),0)</f>
        <v>0</v>
      </c>
      <c r="BO325">
        <f>IF(예비비!$R325="OK",SUMIFS(예비비!$O$430:$O$729,예비비!$B$430:$B$729,예비비!$A325,예비비!$E$430:$E$729,"&lt;"&amp;EDATE(BO$99,1),예비비!$F$430:$F$729,"결제대금비")+MAX(0,IF(예비비!$D325&lt;EDATE(BO$99,1),예비비!$E325,0)-SUMIFS(예비비!$O$430:$O$729,예비비!$B$430:$B$729,예비비!$A325,예비비!$E$430:$E$729,"&lt;"&amp;EDATE(BO$99,1))),0)</f>
        <v>0</v>
      </c>
      <c r="BP325">
        <f>IF(예비비!$R325="OK",SUMIFS(예비비!$O$430:$O$729,예비비!$B$430:$B$729,예비비!$A325,예비비!$E$430:$E$729,"&lt;"&amp;EDATE(BP$99,1),예비비!$F$430:$F$729,"결제대금비")+MAX(0,IF(예비비!$D325&lt;EDATE(BP$99,1),예비비!$E325,0)-SUMIFS(예비비!$O$430:$O$729,예비비!$B$430:$B$729,예비비!$A325,예비비!$E$430:$E$729,"&lt;"&amp;EDATE(BP$99,1))),0)</f>
        <v>0</v>
      </c>
      <c r="BQ325">
        <f>IF(예비비!$R325="OK",SUMIFS(예비비!$O$430:$O$729,예비비!$B$430:$B$729,예비비!$A325,예비비!$E$430:$E$729,"&lt;"&amp;EDATE(BQ$99,1),예비비!$F$430:$F$729,"결제대금비")+MAX(0,IF(예비비!$D325&lt;EDATE(BQ$99,1),예비비!$E325,0)-SUMIFS(예비비!$O$430:$O$729,예비비!$B$430:$B$729,예비비!$A325,예비비!$E$430:$E$729,"&lt;"&amp;EDATE(BQ$99,1))),0)</f>
        <v>0</v>
      </c>
      <c r="BR325">
        <f>IF(예비비!$R325="OK",SUMIFS(예비비!$O$430:$O$729,예비비!$B$430:$B$729,예비비!$A325,예비비!$E$430:$E$729,"&lt;"&amp;EDATE(BR$99,1),예비비!$F$430:$F$729,"결제대금비")+MAX(0,IF(예비비!$D325&lt;EDATE(BR$99,1),예비비!$E325,0)-SUMIFS(예비비!$O$430:$O$729,예비비!$B$430:$B$729,예비비!$A325,예비비!$E$430:$E$729,"&lt;"&amp;EDATE(BR$99,1))),0)</f>
        <v>0</v>
      </c>
      <c r="BS325">
        <f>IF(예비비!$R325="OK",SUMIFS(예비비!$O$430:$O$729,예비비!$B$430:$B$729,예비비!$A325,예비비!$E$430:$E$729,"&lt;"&amp;EDATE(BS$99,1),예비비!$F$430:$F$729,"결제대금비")+MAX(0,IF(예비비!$D325&lt;EDATE(BS$99,1),예비비!$E325,0)-SUMIFS(예비비!$O$430:$O$729,예비비!$B$430:$B$729,예비비!$A325,예비비!$E$430:$E$729,"&lt;"&amp;EDATE(BS$99,1))),0)</f>
        <v>0</v>
      </c>
      <c r="BT325">
        <f>IF(예비비!$R325="OK",SUMIFS(예비비!$O$430:$O$729,예비비!$B$430:$B$729,예비비!$A325,예비비!$E$430:$E$729,"&lt;"&amp;EDATE(BT$99,1),예비비!$F$430:$F$729,"결제대금비")+MAX(0,IF(예비비!$D325&lt;EDATE(BT$99,1),예비비!$E325,0)-SUMIFS(예비비!$O$430:$O$729,예비비!$B$430:$B$729,예비비!$A325,예비비!$E$430:$E$729,"&lt;"&amp;EDATE(BT$99,1))),0)</f>
        <v>0</v>
      </c>
      <c r="BU325">
        <f>IF(예비비!$R325="OK",SUMIFS(예비비!$O$430:$O$729,예비비!$B$430:$B$729,예비비!$A325,예비비!$E$430:$E$729,"&lt;"&amp;EDATE(BU$99,1),예비비!$F$430:$F$729,"결제대금비")+MAX(0,IF(예비비!$D325&lt;EDATE(BU$99,1),예비비!$E325,0)-SUMIFS(예비비!$O$430:$O$729,예비비!$B$430:$B$729,예비비!$A325,예비비!$E$430:$E$729,"&lt;"&amp;EDATE(BU$99,1))),0)</f>
        <v>0</v>
      </c>
    </row>
    <row r="326">
      <c r="BA326">
        <v>270</v>
      </c>
      <c r="BB326" t="str">
        <f>IFERROR(INDEX(잔액!$A:$A,BA326),0)</f>
        <v>00:00:00</v>
      </c>
      <c r="BH326">
        <f>IFERROR(IF(AND(BB326&gt;0,OR(COUNTIFS(예비비!$C$430:$C$729,BA326,예비비!$N$430:$N$729,"OK")&gt;0,AND(INDEX(잔액!$J:$J,BA326)="가족통장",INDEX(잔액!$K:$K,BA326)="미래에셋_WRAP형CMA"),COUNTIF(예비비!$A$8:$A$12,INDEX(잔액!$C:$C,BA326))=1,COUNTIF(예비비!$A$8:$A$12,INDEX(잔액!$D:$D,BA326))=1),OR(AND(BB326&gt;=예비비!$B$3,BB326&lt;EDATE(예비비!$B$3,1)),AND(BB326&lt;EDATE(예비비!$B$3,1),COUNTIFS(예비비!$C$430:$C$729,BA326,예비비!$L$430:$L$729,예비비!$B$3,예비비!$N$430:$N$729,"OK")&gt;0))),MAX($BH$120:BH325)+1,0),0)</f>
        <v>0</v>
      </c>
      <c r="BI326">
        <f>IF(예비비!$R326="OK",SUMIFS(예비비!$O$430:$O$729,예비비!$B$430:$B$729,예비비!$A326,예비비!$E$430:$E$729,"&lt;"&amp;EDATE(BI$99,1),예비비!$F$430:$F$729,"결제대금비")+MAX(0,IF(예비비!$D326&lt;EDATE(BI$99,1),예비비!$E326,0)-SUMIFS(예비비!$O$430:$O$729,예비비!$B$430:$B$729,예비비!$A326,예비비!$E$430:$E$729,"&lt;"&amp;EDATE(BI$99,1))),0)</f>
        <v>0</v>
      </c>
      <c r="BJ326">
        <f>IF(예비비!$R326="OK",SUMIFS(예비비!$O$430:$O$729,예비비!$B$430:$B$729,예비비!$A326,예비비!$E$430:$E$729,"&lt;"&amp;EDATE(BJ$99,1),예비비!$F$430:$F$729,"결제대금비")+MAX(0,IF(예비비!$D326&lt;EDATE(BJ$99,1),예비비!$E326,0)-SUMIFS(예비비!$O$430:$O$729,예비비!$B$430:$B$729,예비비!$A326,예비비!$E$430:$E$729,"&lt;"&amp;EDATE(BJ$99,1))),0)</f>
        <v>0</v>
      </c>
      <c r="BK326">
        <f>IF(예비비!$R326="OK",SUMIFS(예비비!$O$430:$O$729,예비비!$B$430:$B$729,예비비!$A326,예비비!$E$430:$E$729,"&lt;"&amp;EDATE(BK$99,1),예비비!$F$430:$F$729,"결제대금비")+MAX(0,IF(예비비!$D326&lt;EDATE(BK$99,1),예비비!$E326,0)-SUMIFS(예비비!$O$430:$O$729,예비비!$B$430:$B$729,예비비!$A326,예비비!$E$430:$E$729,"&lt;"&amp;EDATE(BK$99,1))),0)</f>
        <v>0</v>
      </c>
      <c r="BL326">
        <f>IF(예비비!$R326="OK",SUMIFS(예비비!$O$430:$O$729,예비비!$B$430:$B$729,예비비!$A326,예비비!$E$430:$E$729,"&lt;"&amp;EDATE(BL$99,1),예비비!$F$430:$F$729,"결제대금비")+MAX(0,IF(예비비!$D326&lt;EDATE(BL$99,1),예비비!$E326,0)-SUMIFS(예비비!$O$430:$O$729,예비비!$B$430:$B$729,예비비!$A326,예비비!$E$430:$E$729,"&lt;"&amp;EDATE(BL$99,1))),0)</f>
        <v>0</v>
      </c>
      <c r="BM326">
        <f>IF(예비비!$R326="OK",SUMIFS(예비비!$O$430:$O$729,예비비!$B$430:$B$729,예비비!$A326,예비비!$E$430:$E$729,"&lt;"&amp;EDATE(BM$99,1),예비비!$F$430:$F$729,"결제대금비")+MAX(0,IF(예비비!$D326&lt;EDATE(BM$99,1),예비비!$E326,0)-SUMIFS(예비비!$O$430:$O$729,예비비!$B$430:$B$729,예비비!$A326,예비비!$E$430:$E$729,"&lt;"&amp;EDATE(BM$99,1))),0)</f>
        <v>0</v>
      </c>
      <c r="BN326">
        <f>IF(예비비!$R326="OK",SUMIFS(예비비!$O$430:$O$729,예비비!$B$430:$B$729,예비비!$A326,예비비!$E$430:$E$729,"&lt;"&amp;EDATE(BN$99,1),예비비!$F$430:$F$729,"결제대금비")+MAX(0,IF(예비비!$D326&lt;EDATE(BN$99,1),예비비!$E326,0)-SUMIFS(예비비!$O$430:$O$729,예비비!$B$430:$B$729,예비비!$A326,예비비!$E$430:$E$729,"&lt;"&amp;EDATE(BN$99,1))),0)</f>
        <v>0</v>
      </c>
      <c r="BO326">
        <f>IF(예비비!$R326="OK",SUMIFS(예비비!$O$430:$O$729,예비비!$B$430:$B$729,예비비!$A326,예비비!$E$430:$E$729,"&lt;"&amp;EDATE(BO$99,1),예비비!$F$430:$F$729,"결제대금비")+MAX(0,IF(예비비!$D326&lt;EDATE(BO$99,1),예비비!$E326,0)-SUMIFS(예비비!$O$430:$O$729,예비비!$B$430:$B$729,예비비!$A326,예비비!$E$430:$E$729,"&lt;"&amp;EDATE(BO$99,1))),0)</f>
        <v>0</v>
      </c>
      <c r="BP326">
        <f>IF(예비비!$R326="OK",SUMIFS(예비비!$O$430:$O$729,예비비!$B$430:$B$729,예비비!$A326,예비비!$E$430:$E$729,"&lt;"&amp;EDATE(BP$99,1),예비비!$F$430:$F$729,"결제대금비")+MAX(0,IF(예비비!$D326&lt;EDATE(BP$99,1),예비비!$E326,0)-SUMIFS(예비비!$O$430:$O$729,예비비!$B$430:$B$729,예비비!$A326,예비비!$E$430:$E$729,"&lt;"&amp;EDATE(BP$99,1))),0)</f>
        <v>0</v>
      </c>
      <c r="BQ326">
        <f>IF(예비비!$R326="OK",SUMIFS(예비비!$O$430:$O$729,예비비!$B$430:$B$729,예비비!$A326,예비비!$E$430:$E$729,"&lt;"&amp;EDATE(BQ$99,1),예비비!$F$430:$F$729,"결제대금비")+MAX(0,IF(예비비!$D326&lt;EDATE(BQ$99,1),예비비!$E326,0)-SUMIFS(예비비!$O$430:$O$729,예비비!$B$430:$B$729,예비비!$A326,예비비!$E$430:$E$729,"&lt;"&amp;EDATE(BQ$99,1))),0)</f>
        <v>0</v>
      </c>
      <c r="BR326">
        <f>IF(예비비!$R326="OK",SUMIFS(예비비!$O$430:$O$729,예비비!$B$430:$B$729,예비비!$A326,예비비!$E$430:$E$729,"&lt;"&amp;EDATE(BR$99,1),예비비!$F$430:$F$729,"결제대금비")+MAX(0,IF(예비비!$D326&lt;EDATE(BR$99,1),예비비!$E326,0)-SUMIFS(예비비!$O$430:$O$729,예비비!$B$430:$B$729,예비비!$A326,예비비!$E$430:$E$729,"&lt;"&amp;EDATE(BR$99,1))),0)</f>
        <v>0</v>
      </c>
      <c r="BS326">
        <f>IF(예비비!$R326="OK",SUMIFS(예비비!$O$430:$O$729,예비비!$B$430:$B$729,예비비!$A326,예비비!$E$430:$E$729,"&lt;"&amp;EDATE(BS$99,1),예비비!$F$430:$F$729,"결제대금비")+MAX(0,IF(예비비!$D326&lt;EDATE(BS$99,1),예비비!$E326,0)-SUMIFS(예비비!$O$430:$O$729,예비비!$B$430:$B$729,예비비!$A326,예비비!$E$430:$E$729,"&lt;"&amp;EDATE(BS$99,1))),0)</f>
        <v>0</v>
      </c>
      <c r="BT326">
        <f>IF(예비비!$R326="OK",SUMIFS(예비비!$O$430:$O$729,예비비!$B$430:$B$729,예비비!$A326,예비비!$E$430:$E$729,"&lt;"&amp;EDATE(BT$99,1),예비비!$F$430:$F$729,"결제대금비")+MAX(0,IF(예비비!$D326&lt;EDATE(BT$99,1),예비비!$E326,0)-SUMIFS(예비비!$O$430:$O$729,예비비!$B$430:$B$729,예비비!$A326,예비비!$E$430:$E$729,"&lt;"&amp;EDATE(BT$99,1))),0)</f>
        <v>0</v>
      </c>
      <c r="BU326">
        <f>IF(예비비!$R326="OK",SUMIFS(예비비!$O$430:$O$729,예비비!$B$430:$B$729,예비비!$A326,예비비!$E$430:$E$729,"&lt;"&amp;EDATE(BU$99,1),예비비!$F$430:$F$729,"결제대금비")+MAX(0,IF(예비비!$D326&lt;EDATE(BU$99,1),예비비!$E326,0)-SUMIFS(예비비!$O$430:$O$729,예비비!$B$430:$B$729,예비비!$A326,예비비!$E$430:$E$729,"&lt;"&amp;EDATE(BU$99,1))),0)</f>
        <v>0</v>
      </c>
    </row>
    <row r="327">
      <c r="BA327">
        <v>271</v>
      </c>
      <c r="BB327" t="str">
        <f>IFERROR(INDEX(잔액!$A:$A,BA327),0)</f>
        <v>00:00:00</v>
      </c>
      <c r="BH327">
        <f>IFERROR(IF(AND(BB327&gt;0,OR(COUNTIFS(예비비!$C$430:$C$729,BA327,예비비!$N$430:$N$729,"OK")&gt;0,AND(INDEX(잔액!$J:$J,BA327)="가족통장",INDEX(잔액!$K:$K,BA327)="미래에셋_WRAP형CMA"),COUNTIF(예비비!$A$8:$A$12,INDEX(잔액!$C:$C,BA327))=1,COUNTIF(예비비!$A$8:$A$12,INDEX(잔액!$D:$D,BA327))=1),OR(AND(BB327&gt;=예비비!$B$3,BB327&lt;EDATE(예비비!$B$3,1)),AND(BB327&lt;EDATE(예비비!$B$3,1),COUNTIFS(예비비!$C$430:$C$729,BA327,예비비!$L$430:$L$729,예비비!$B$3,예비비!$N$430:$N$729,"OK")&gt;0))),MAX($BH$120:BH326)+1,0),0)</f>
        <v>0</v>
      </c>
      <c r="BI327">
        <f>IF(예비비!$R327="OK",SUMIFS(예비비!$O$430:$O$729,예비비!$B$430:$B$729,예비비!$A327,예비비!$E$430:$E$729,"&lt;"&amp;EDATE(BI$99,1),예비비!$F$430:$F$729,"결제대금비")+MAX(0,IF(예비비!$D327&lt;EDATE(BI$99,1),예비비!$E327,0)-SUMIFS(예비비!$O$430:$O$729,예비비!$B$430:$B$729,예비비!$A327,예비비!$E$430:$E$729,"&lt;"&amp;EDATE(BI$99,1))),0)</f>
        <v>0</v>
      </c>
      <c r="BJ327">
        <f>IF(예비비!$R327="OK",SUMIFS(예비비!$O$430:$O$729,예비비!$B$430:$B$729,예비비!$A327,예비비!$E$430:$E$729,"&lt;"&amp;EDATE(BJ$99,1),예비비!$F$430:$F$729,"결제대금비")+MAX(0,IF(예비비!$D327&lt;EDATE(BJ$99,1),예비비!$E327,0)-SUMIFS(예비비!$O$430:$O$729,예비비!$B$430:$B$729,예비비!$A327,예비비!$E$430:$E$729,"&lt;"&amp;EDATE(BJ$99,1))),0)</f>
        <v>0</v>
      </c>
      <c r="BK327">
        <f>IF(예비비!$R327="OK",SUMIFS(예비비!$O$430:$O$729,예비비!$B$430:$B$729,예비비!$A327,예비비!$E$430:$E$729,"&lt;"&amp;EDATE(BK$99,1),예비비!$F$430:$F$729,"결제대금비")+MAX(0,IF(예비비!$D327&lt;EDATE(BK$99,1),예비비!$E327,0)-SUMIFS(예비비!$O$430:$O$729,예비비!$B$430:$B$729,예비비!$A327,예비비!$E$430:$E$729,"&lt;"&amp;EDATE(BK$99,1))),0)</f>
        <v>0</v>
      </c>
      <c r="BL327">
        <f>IF(예비비!$R327="OK",SUMIFS(예비비!$O$430:$O$729,예비비!$B$430:$B$729,예비비!$A327,예비비!$E$430:$E$729,"&lt;"&amp;EDATE(BL$99,1),예비비!$F$430:$F$729,"결제대금비")+MAX(0,IF(예비비!$D327&lt;EDATE(BL$99,1),예비비!$E327,0)-SUMIFS(예비비!$O$430:$O$729,예비비!$B$430:$B$729,예비비!$A327,예비비!$E$430:$E$729,"&lt;"&amp;EDATE(BL$99,1))),0)</f>
        <v>0</v>
      </c>
      <c r="BM327">
        <f>IF(예비비!$R327="OK",SUMIFS(예비비!$O$430:$O$729,예비비!$B$430:$B$729,예비비!$A327,예비비!$E$430:$E$729,"&lt;"&amp;EDATE(BM$99,1),예비비!$F$430:$F$729,"결제대금비")+MAX(0,IF(예비비!$D327&lt;EDATE(BM$99,1),예비비!$E327,0)-SUMIFS(예비비!$O$430:$O$729,예비비!$B$430:$B$729,예비비!$A327,예비비!$E$430:$E$729,"&lt;"&amp;EDATE(BM$99,1))),0)</f>
        <v>0</v>
      </c>
      <c r="BN327">
        <f>IF(예비비!$R327="OK",SUMIFS(예비비!$O$430:$O$729,예비비!$B$430:$B$729,예비비!$A327,예비비!$E$430:$E$729,"&lt;"&amp;EDATE(BN$99,1),예비비!$F$430:$F$729,"결제대금비")+MAX(0,IF(예비비!$D327&lt;EDATE(BN$99,1),예비비!$E327,0)-SUMIFS(예비비!$O$430:$O$729,예비비!$B$430:$B$729,예비비!$A327,예비비!$E$430:$E$729,"&lt;"&amp;EDATE(BN$99,1))),0)</f>
        <v>0</v>
      </c>
      <c r="BO327">
        <f>IF(예비비!$R327="OK",SUMIFS(예비비!$O$430:$O$729,예비비!$B$430:$B$729,예비비!$A327,예비비!$E$430:$E$729,"&lt;"&amp;EDATE(BO$99,1),예비비!$F$430:$F$729,"결제대금비")+MAX(0,IF(예비비!$D327&lt;EDATE(BO$99,1),예비비!$E327,0)-SUMIFS(예비비!$O$430:$O$729,예비비!$B$430:$B$729,예비비!$A327,예비비!$E$430:$E$729,"&lt;"&amp;EDATE(BO$99,1))),0)</f>
        <v>0</v>
      </c>
      <c r="BP327">
        <f>IF(예비비!$R327="OK",SUMIFS(예비비!$O$430:$O$729,예비비!$B$430:$B$729,예비비!$A327,예비비!$E$430:$E$729,"&lt;"&amp;EDATE(BP$99,1),예비비!$F$430:$F$729,"결제대금비")+MAX(0,IF(예비비!$D327&lt;EDATE(BP$99,1),예비비!$E327,0)-SUMIFS(예비비!$O$430:$O$729,예비비!$B$430:$B$729,예비비!$A327,예비비!$E$430:$E$729,"&lt;"&amp;EDATE(BP$99,1))),0)</f>
        <v>0</v>
      </c>
      <c r="BQ327">
        <f>IF(예비비!$R327="OK",SUMIFS(예비비!$O$430:$O$729,예비비!$B$430:$B$729,예비비!$A327,예비비!$E$430:$E$729,"&lt;"&amp;EDATE(BQ$99,1),예비비!$F$430:$F$729,"결제대금비")+MAX(0,IF(예비비!$D327&lt;EDATE(BQ$99,1),예비비!$E327,0)-SUMIFS(예비비!$O$430:$O$729,예비비!$B$430:$B$729,예비비!$A327,예비비!$E$430:$E$729,"&lt;"&amp;EDATE(BQ$99,1))),0)</f>
        <v>0</v>
      </c>
      <c r="BR327">
        <f>IF(예비비!$R327="OK",SUMIFS(예비비!$O$430:$O$729,예비비!$B$430:$B$729,예비비!$A327,예비비!$E$430:$E$729,"&lt;"&amp;EDATE(BR$99,1),예비비!$F$430:$F$729,"결제대금비")+MAX(0,IF(예비비!$D327&lt;EDATE(BR$99,1),예비비!$E327,0)-SUMIFS(예비비!$O$430:$O$729,예비비!$B$430:$B$729,예비비!$A327,예비비!$E$430:$E$729,"&lt;"&amp;EDATE(BR$99,1))),0)</f>
        <v>0</v>
      </c>
      <c r="BS327">
        <f>IF(예비비!$R327="OK",SUMIFS(예비비!$O$430:$O$729,예비비!$B$430:$B$729,예비비!$A327,예비비!$E$430:$E$729,"&lt;"&amp;EDATE(BS$99,1),예비비!$F$430:$F$729,"결제대금비")+MAX(0,IF(예비비!$D327&lt;EDATE(BS$99,1),예비비!$E327,0)-SUMIFS(예비비!$O$430:$O$729,예비비!$B$430:$B$729,예비비!$A327,예비비!$E$430:$E$729,"&lt;"&amp;EDATE(BS$99,1))),0)</f>
        <v>0</v>
      </c>
      <c r="BT327">
        <f>IF(예비비!$R327="OK",SUMIFS(예비비!$O$430:$O$729,예비비!$B$430:$B$729,예비비!$A327,예비비!$E$430:$E$729,"&lt;"&amp;EDATE(BT$99,1),예비비!$F$430:$F$729,"결제대금비")+MAX(0,IF(예비비!$D327&lt;EDATE(BT$99,1),예비비!$E327,0)-SUMIFS(예비비!$O$430:$O$729,예비비!$B$430:$B$729,예비비!$A327,예비비!$E$430:$E$729,"&lt;"&amp;EDATE(BT$99,1))),0)</f>
        <v>0</v>
      </c>
      <c r="BU327">
        <f>IF(예비비!$R327="OK",SUMIFS(예비비!$O$430:$O$729,예비비!$B$430:$B$729,예비비!$A327,예비비!$E$430:$E$729,"&lt;"&amp;EDATE(BU$99,1),예비비!$F$430:$F$729,"결제대금비")+MAX(0,IF(예비비!$D327&lt;EDATE(BU$99,1),예비비!$E327,0)-SUMIFS(예비비!$O$430:$O$729,예비비!$B$430:$B$729,예비비!$A327,예비비!$E$430:$E$729,"&lt;"&amp;EDATE(BU$99,1))),0)</f>
        <v>0</v>
      </c>
    </row>
    <row r="328">
      <c r="BA328">
        <v>272</v>
      </c>
      <c r="BB328" t="str">
        <f>IFERROR(INDEX(잔액!$A:$A,BA328),0)</f>
        <v>00:00:00</v>
      </c>
      <c r="BH328">
        <f>IFERROR(IF(AND(BB328&gt;0,OR(COUNTIFS(예비비!$C$430:$C$729,BA328,예비비!$N$430:$N$729,"OK")&gt;0,AND(INDEX(잔액!$J:$J,BA328)="가족통장",INDEX(잔액!$K:$K,BA328)="미래에셋_WRAP형CMA"),COUNTIF(예비비!$A$8:$A$12,INDEX(잔액!$C:$C,BA328))=1,COUNTIF(예비비!$A$8:$A$12,INDEX(잔액!$D:$D,BA328))=1),OR(AND(BB328&gt;=예비비!$B$3,BB328&lt;EDATE(예비비!$B$3,1)),AND(BB328&lt;EDATE(예비비!$B$3,1),COUNTIFS(예비비!$C$430:$C$729,BA328,예비비!$L$430:$L$729,예비비!$B$3,예비비!$N$430:$N$729,"OK")&gt;0))),MAX($BH$120:BH327)+1,0),0)</f>
        <v>0</v>
      </c>
      <c r="BI328">
        <f>IF(예비비!$R328="OK",SUMIFS(예비비!$O$430:$O$729,예비비!$B$430:$B$729,예비비!$A328,예비비!$E$430:$E$729,"&lt;"&amp;EDATE(BI$99,1),예비비!$F$430:$F$729,"결제대금비")+MAX(0,IF(예비비!$D328&lt;EDATE(BI$99,1),예비비!$E328,0)-SUMIFS(예비비!$O$430:$O$729,예비비!$B$430:$B$729,예비비!$A328,예비비!$E$430:$E$729,"&lt;"&amp;EDATE(BI$99,1))),0)</f>
        <v>0</v>
      </c>
      <c r="BJ328">
        <f>IF(예비비!$R328="OK",SUMIFS(예비비!$O$430:$O$729,예비비!$B$430:$B$729,예비비!$A328,예비비!$E$430:$E$729,"&lt;"&amp;EDATE(BJ$99,1),예비비!$F$430:$F$729,"결제대금비")+MAX(0,IF(예비비!$D328&lt;EDATE(BJ$99,1),예비비!$E328,0)-SUMIFS(예비비!$O$430:$O$729,예비비!$B$430:$B$729,예비비!$A328,예비비!$E$430:$E$729,"&lt;"&amp;EDATE(BJ$99,1))),0)</f>
        <v>0</v>
      </c>
      <c r="BK328">
        <f>IF(예비비!$R328="OK",SUMIFS(예비비!$O$430:$O$729,예비비!$B$430:$B$729,예비비!$A328,예비비!$E$430:$E$729,"&lt;"&amp;EDATE(BK$99,1),예비비!$F$430:$F$729,"결제대금비")+MAX(0,IF(예비비!$D328&lt;EDATE(BK$99,1),예비비!$E328,0)-SUMIFS(예비비!$O$430:$O$729,예비비!$B$430:$B$729,예비비!$A328,예비비!$E$430:$E$729,"&lt;"&amp;EDATE(BK$99,1))),0)</f>
        <v>0</v>
      </c>
      <c r="BL328">
        <f>IF(예비비!$R328="OK",SUMIFS(예비비!$O$430:$O$729,예비비!$B$430:$B$729,예비비!$A328,예비비!$E$430:$E$729,"&lt;"&amp;EDATE(BL$99,1),예비비!$F$430:$F$729,"결제대금비")+MAX(0,IF(예비비!$D328&lt;EDATE(BL$99,1),예비비!$E328,0)-SUMIFS(예비비!$O$430:$O$729,예비비!$B$430:$B$729,예비비!$A328,예비비!$E$430:$E$729,"&lt;"&amp;EDATE(BL$99,1))),0)</f>
        <v>0</v>
      </c>
      <c r="BM328">
        <f>IF(예비비!$R328="OK",SUMIFS(예비비!$O$430:$O$729,예비비!$B$430:$B$729,예비비!$A328,예비비!$E$430:$E$729,"&lt;"&amp;EDATE(BM$99,1),예비비!$F$430:$F$729,"결제대금비")+MAX(0,IF(예비비!$D328&lt;EDATE(BM$99,1),예비비!$E328,0)-SUMIFS(예비비!$O$430:$O$729,예비비!$B$430:$B$729,예비비!$A328,예비비!$E$430:$E$729,"&lt;"&amp;EDATE(BM$99,1))),0)</f>
        <v>0</v>
      </c>
      <c r="BN328">
        <f>IF(예비비!$R328="OK",SUMIFS(예비비!$O$430:$O$729,예비비!$B$430:$B$729,예비비!$A328,예비비!$E$430:$E$729,"&lt;"&amp;EDATE(BN$99,1),예비비!$F$430:$F$729,"결제대금비")+MAX(0,IF(예비비!$D328&lt;EDATE(BN$99,1),예비비!$E328,0)-SUMIFS(예비비!$O$430:$O$729,예비비!$B$430:$B$729,예비비!$A328,예비비!$E$430:$E$729,"&lt;"&amp;EDATE(BN$99,1))),0)</f>
        <v>0</v>
      </c>
      <c r="BO328">
        <f>IF(예비비!$R328="OK",SUMIFS(예비비!$O$430:$O$729,예비비!$B$430:$B$729,예비비!$A328,예비비!$E$430:$E$729,"&lt;"&amp;EDATE(BO$99,1),예비비!$F$430:$F$729,"결제대금비")+MAX(0,IF(예비비!$D328&lt;EDATE(BO$99,1),예비비!$E328,0)-SUMIFS(예비비!$O$430:$O$729,예비비!$B$430:$B$729,예비비!$A328,예비비!$E$430:$E$729,"&lt;"&amp;EDATE(BO$99,1))),0)</f>
        <v>0</v>
      </c>
      <c r="BP328">
        <f>IF(예비비!$R328="OK",SUMIFS(예비비!$O$430:$O$729,예비비!$B$430:$B$729,예비비!$A328,예비비!$E$430:$E$729,"&lt;"&amp;EDATE(BP$99,1),예비비!$F$430:$F$729,"결제대금비")+MAX(0,IF(예비비!$D328&lt;EDATE(BP$99,1),예비비!$E328,0)-SUMIFS(예비비!$O$430:$O$729,예비비!$B$430:$B$729,예비비!$A328,예비비!$E$430:$E$729,"&lt;"&amp;EDATE(BP$99,1))),0)</f>
        <v>0</v>
      </c>
      <c r="BQ328">
        <f>IF(예비비!$R328="OK",SUMIFS(예비비!$O$430:$O$729,예비비!$B$430:$B$729,예비비!$A328,예비비!$E$430:$E$729,"&lt;"&amp;EDATE(BQ$99,1),예비비!$F$430:$F$729,"결제대금비")+MAX(0,IF(예비비!$D328&lt;EDATE(BQ$99,1),예비비!$E328,0)-SUMIFS(예비비!$O$430:$O$729,예비비!$B$430:$B$729,예비비!$A328,예비비!$E$430:$E$729,"&lt;"&amp;EDATE(BQ$99,1))),0)</f>
        <v>0</v>
      </c>
      <c r="BR328">
        <f>IF(예비비!$R328="OK",SUMIFS(예비비!$O$430:$O$729,예비비!$B$430:$B$729,예비비!$A328,예비비!$E$430:$E$729,"&lt;"&amp;EDATE(BR$99,1),예비비!$F$430:$F$729,"결제대금비")+MAX(0,IF(예비비!$D328&lt;EDATE(BR$99,1),예비비!$E328,0)-SUMIFS(예비비!$O$430:$O$729,예비비!$B$430:$B$729,예비비!$A328,예비비!$E$430:$E$729,"&lt;"&amp;EDATE(BR$99,1))),0)</f>
        <v>0</v>
      </c>
      <c r="BS328">
        <f>IF(예비비!$R328="OK",SUMIFS(예비비!$O$430:$O$729,예비비!$B$430:$B$729,예비비!$A328,예비비!$E$430:$E$729,"&lt;"&amp;EDATE(BS$99,1),예비비!$F$430:$F$729,"결제대금비")+MAX(0,IF(예비비!$D328&lt;EDATE(BS$99,1),예비비!$E328,0)-SUMIFS(예비비!$O$430:$O$729,예비비!$B$430:$B$729,예비비!$A328,예비비!$E$430:$E$729,"&lt;"&amp;EDATE(BS$99,1))),0)</f>
        <v>0</v>
      </c>
      <c r="BT328">
        <f>IF(예비비!$R328="OK",SUMIFS(예비비!$O$430:$O$729,예비비!$B$430:$B$729,예비비!$A328,예비비!$E$430:$E$729,"&lt;"&amp;EDATE(BT$99,1),예비비!$F$430:$F$729,"결제대금비")+MAX(0,IF(예비비!$D328&lt;EDATE(BT$99,1),예비비!$E328,0)-SUMIFS(예비비!$O$430:$O$729,예비비!$B$430:$B$729,예비비!$A328,예비비!$E$430:$E$729,"&lt;"&amp;EDATE(BT$99,1))),0)</f>
        <v>0</v>
      </c>
      <c r="BU328">
        <f>IF(예비비!$R328="OK",SUMIFS(예비비!$O$430:$O$729,예비비!$B$430:$B$729,예비비!$A328,예비비!$E$430:$E$729,"&lt;"&amp;EDATE(BU$99,1),예비비!$F$430:$F$729,"결제대금비")+MAX(0,IF(예비비!$D328&lt;EDATE(BU$99,1),예비비!$E328,0)-SUMIFS(예비비!$O$430:$O$729,예비비!$B$430:$B$729,예비비!$A328,예비비!$E$430:$E$729,"&lt;"&amp;EDATE(BU$99,1))),0)</f>
        <v>0</v>
      </c>
    </row>
    <row r="329">
      <c r="BA329">
        <v>273</v>
      </c>
      <c r="BB329" t="str">
        <f>IFERROR(INDEX(잔액!$A:$A,BA329),0)</f>
        <v>00:00:00</v>
      </c>
      <c r="BH329">
        <f>IFERROR(IF(AND(BB329&gt;0,OR(COUNTIFS(예비비!$C$430:$C$729,BA329,예비비!$N$430:$N$729,"OK")&gt;0,AND(INDEX(잔액!$J:$J,BA329)="가족통장",INDEX(잔액!$K:$K,BA329)="미래에셋_WRAP형CMA"),COUNTIF(예비비!$A$8:$A$12,INDEX(잔액!$C:$C,BA329))=1,COUNTIF(예비비!$A$8:$A$12,INDEX(잔액!$D:$D,BA329))=1),OR(AND(BB329&gt;=예비비!$B$3,BB329&lt;EDATE(예비비!$B$3,1)),AND(BB329&lt;EDATE(예비비!$B$3,1),COUNTIFS(예비비!$C$430:$C$729,BA329,예비비!$L$430:$L$729,예비비!$B$3,예비비!$N$430:$N$729,"OK")&gt;0))),MAX($BH$120:BH328)+1,0),0)</f>
        <v>0</v>
      </c>
      <c r="BI329">
        <f>IF(예비비!$R329="OK",SUMIFS(예비비!$O$430:$O$729,예비비!$B$430:$B$729,예비비!$A329,예비비!$E$430:$E$729,"&lt;"&amp;EDATE(BI$99,1),예비비!$F$430:$F$729,"결제대금비")+MAX(0,IF(예비비!$D329&lt;EDATE(BI$99,1),예비비!$E329,0)-SUMIFS(예비비!$O$430:$O$729,예비비!$B$430:$B$729,예비비!$A329,예비비!$E$430:$E$729,"&lt;"&amp;EDATE(BI$99,1))),0)</f>
        <v>0</v>
      </c>
      <c r="BJ329">
        <f>IF(예비비!$R329="OK",SUMIFS(예비비!$O$430:$O$729,예비비!$B$430:$B$729,예비비!$A329,예비비!$E$430:$E$729,"&lt;"&amp;EDATE(BJ$99,1),예비비!$F$430:$F$729,"결제대금비")+MAX(0,IF(예비비!$D329&lt;EDATE(BJ$99,1),예비비!$E329,0)-SUMIFS(예비비!$O$430:$O$729,예비비!$B$430:$B$729,예비비!$A329,예비비!$E$430:$E$729,"&lt;"&amp;EDATE(BJ$99,1))),0)</f>
        <v>0</v>
      </c>
      <c r="BK329">
        <f>IF(예비비!$R329="OK",SUMIFS(예비비!$O$430:$O$729,예비비!$B$430:$B$729,예비비!$A329,예비비!$E$430:$E$729,"&lt;"&amp;EDATE(BK$99,1),예비비!$F$430:$F$729,"결제대금비")+MAX(0,IF(예비비!$D329&lt;EDATE(BK$99,1),예비비!$E329,0)-SUMIFS(예비비!$O$430:$O$729,예비비!$B$430:$B$729,예비비!$A329,예비비!$E$430:$E$729,"&lt;"&amp;EDATE(BK$99,1))),0)</f>
        <v>0</v>
      </c>
      <c r="BL329">
        <f>IF(예비비!$R329="OK",SUMIFS(예비비!$O$430:$O$729,예비비!$B$430:$B$729,예비비!$A329,예비비!$E$430:$E$729,"&lt;"&amp;EDATE(BL$99,1),예비비!$F$430:$F$729,"결제대금비")+MAX(0,IF(예비비!$D329&lt;EDATE(BL$99,1),예비비!$E329,0)-SUMIFS(예비비!$O$430:$O$729,예비비!$B$430:$B$729,예비비!$A329,예비비!$E$430:$E$729,"&lt;"&amp;EDATE(BL$99,1))),0)</f>
        <v>0</v>
      </c>
      <c r="BM329">
        <f>IF(예비비!$R329="OK",SUMIFS(예비비!$O$430:$O$729,예비비!$B$430:$B$729,예비비!$A329,예비비!$E$430:$E$729,"&lt;"&amp;EDATE(BM$99,1),예비비!$F$430:$F$729,"결제대금비")+MAX(0,IF(예비비!$D329&lt;EDATE(BM$99,1),예비비!$E329,0)-SUMIFS(예비비!$O$430:$O$729,예비비!$B$430:$B$729,예비비!$A329,예비비!$E$430:$E$729,"&lt;"&amp;EDATE(BM$99,1))),0)</f>
        <v>0</v>
      </c>
      <c r="BN329">
        <f>IF(예비비!$R329="OK",SUMIFS(예비비!$O$430:$O$729,예비비!$B$430:$B$729,예비비!$A329,예비비!$E$430:$E$729,"&lt;"&amp;EDATE(BN$99,1),예비비!$F$430:$F$729,"결제대금비")+MAX(0,IF(예비비!$D329&lt;EDATE(BN$99,1),예비비!$E329,0)-SUMIFS(예비비!$O$430:$O$729,예비비!$B$430:$B$729,예비비!$A329,예비비!$E$430:$E$729,"&lt;"&amp;EDATE(BN$99,1))),0)</f>
        <v>0</v>
      </c>
      <c r="BO329">
        <f>IF(예비비!$R329="OK",SUMIFS(예비비!$O$430:$O$729,예비비!$B$430:$B$729,예비비!$A329,예비비!$E$430:$E$729,"&lt;"&amp;EDATE(BO$99,1),예비비!$F$430:$F$729,"결제대금비")+MAX(0,IF(예비비!$D329&lt;EDATE(BO$99,1),예비비!$E329,0)-SUMIFS(예비비!$O$430:$O$729,예비비!$B$430:$B$729,예비비!$A329,예비비!$E$430:$E$729,"&lt;"&amp;EDATE(BO$99,1))),0)</f>
        <v>0</v>
      </c>
      <c r="BP329">
        <f>IF(예비비!$R329="OK",SUMIFS(예비비!$O$430:$O$729,예비비!$B$430:$B$729,예비비!$A329,예비비!$E$430:$E$729,"&lt;"&amp;EDATE(BP$99,1),예비비!$F$430:$F$729,"결제대금비")+MAX(0,IF(예비비!$D329&lt;EDATE(BP$99,1),예비비!$E329,0)-SUMIFS(예비비!$O$430:$O$729,예비비!$B$430:$B$729,예비비!$A329,예비비!$E$430:$E$729,"&lt;"&amp;EDATE(BP$99,1))),0)</f>
        <v>0</v>
      </c>
      <c r="BQ329">
        <f>IF(예비비!$R329="OK",SUMIFS(예비비!$O$430:$O$729,예비비!$B$430:$B$729,예비비!$A329,예비비!$E$430:$E$729,"&lt;"&amp;EDATE(BQ$99,1),예비비!$F$430:$F$729,"결제대금비")+MAX(0,IF(예비비!$D329&lt;EDATE(BQ$99,1),예비비!$E329,0)-SUMIFS(예비비!$O$430:$O$729,예비비!$B$430:$B$729,예비비!$A329,예비비!$E$430:$E$729,"&lt;"&amp;EDATE(BQ$99,1))),0)</f>
        <v>0</v>
      </c>
      <c r="BR329">
        <f>IF(예비비!$R329="OK",SUMIFS(예비비!$O$430:$O$729,예비비!$B$430:$B$729,예비비!$A329,예비비!$E$430:$E$729,"&lt;"&amp;EDATE(BR$99,1),예비비!$F$430:$F$729,"결제대금비")+MAX(0,IF(예비비!$D329&lt;EDATE(BR$99,1),예비비!$E329,0)-SUMIFS(예비비!$O$430:$O$729,예비비!$B$430:$B$729,예비비!$A329,예비비!$E$430:$E$729,"&lt;"&amp;EDATE(BR$99,1))),0)</f>
        <v>0</v>
      </c>
      <c r="BS329">
        <f>IF(예비비!$R329="OK",SUMIFS(예비비!$O$430:$O$729,예비비!$B$430:$B$729,예비비!$A329,예비비!$E$430:$E$729,"&lt;"&amp;EDATE(BS$99,1),예비비!$F$430:$F$729,"결제대금비")+MAX(0,IF(예비비!$D329&lt;EDATE(BS$99,1),예비비!$E329,0)-SUMIFS(예비비!$O$430:$O$729,예비비!$B$430:$B$729,예비비!$A329,예비비!$E$430:$E$729,"&lt;"&amp;EDATE(BS$99,1))),0)</f>
        <v>0</v>
      </c>
      <c r="BT329">
        <f>IF(예비비!$R329="OK",SUMIFS(예비비!$O$430:$O$729,예비비!$B$430:$B$729,예비비!$A329,예비비!$E$430:$E$729,"&lt;"&amp;EDATE(BT$99,1),예비비!$F$430:$F$729,"결제대금비")+MAX(0,IF(예비비!$D329&lt;EDATE(BT$99,1),예비비!$E329,0)-SUMIFS(예비비!$O$430:$O$729,예비비!$B$430:$B$729,예비비!$A329,예비비!$E$430:$E$729,"&lt;"&amp;EDATE(BT$99,1))),0)</f>
        <v>0</v>
      </c>
      <c r="BU329">
        <f>IF(예비비!$R329="OK",SUMIFS(예비비!$O$430:$O$729,예비비!$B$430:$B$729,예비비!$A329,예비비!$E$430:$E$729,"&lt;"&amp;EDATE(BU$99,1),예비비!$F$430:$F$729,"결제대금비")+MAX(0,IF(예비비!$D329&lt;EDATE(BU$99,1),예비비!$E329,0)-SUMIFS(예비비!$O$430:$O$729,예비비!$B$430:$B$729,예비비!$A329,예비비!$E$430:$E$729,"&lt;"&amp;EDATE(BU$99,1))),0)</f>
        <v>0</v>
      </c>
    </row>
    <row r="330">
      <c r="BA330">
        <v>274</v>
      </c>
      <c r="BB330" t="str">
        <f>IFERROR(INDEX(잔액!$A:$A,BA330),0)</f>
        <v>00:00:00</v>
      </c>
      <c r="BH330">
        <f>IFERROR(IF(AND(BB330&gt;0,OR(COUNTIFS(예비비!$C$430:$C$729,BA330,예비비!$N$430:$N$729,"OK")&gt;0,AND(INDEX(잔액!$J:$J,BA330)="가족통장",INDEX(잔액!$K:$K,BA330)="미래에셋_WRAP형CMA"),COUNTIF(예비비!$A$8:$A$12,INDEX(잔액!$C:$C,BA330))=1,COUNTIF(예비비!$A$8:$A$12,INDEX(잔액!$D:$D,BA330))=1),OR(AND(BB330&gt;=예비비!$B$3,BB330&lt;EDATE(예비비!$B$3,1)),AND(BB330&lt;EDATE(예비비!$B$3,1),COUNTIFS(예비비!$C$430:$C$729,BA330,예비비!$L$430:$L$729,예비비!$B$3,예비비!$N$430:$N$729,"OK")&gt;0))),MAX($BH$120:BH329)+1,0),0)</f>
        <v>0</v>
      </c>
      <c r="BI330">
        <f>IF(예비비!$R330="OK",SUMIFS(예비비!$O$430:$O$729,예비비!$B$430:$B$729,예비비!$A330,예비비!$E$430:$E$729,"&lt;"&amp;EDATE(BI$99,1),예비비!$F$430:$F$729,"결제대금비")+MAX(0,IF(예비비!$D330&lt;EDATE(BI$99,1),예비비!$E330,0)-SUMIFS(예비비!$O$430:$O$729,예비비!$B$430:$B$729,예비비!$A330,예비비!$E$430:$E$729,"&lt;"&amp;EDATE(BI$99,1))),0)</f>
        <v>0</v>
      </c>
      <c r="BJ330">
        <f>IF(예비비!$R330="OK",SUMIFS(예비비!$O$430:$O$729,예비비!$B$430:$B$729,예비비!$A330,예비비!$E$430:$E$729,"&lt;"&amp;EDATE(BJ$99,1),예비비!$F$430:$F$729,"결제대금비")+MAX(0,IF(예비비!$D330&lt;EDATE(BJ$99,1),예비비!$E330,0)-SUMIFS(예비비!$O$430:$O$729,예비비!$B$430:$B$729,예비비!$A330,예비비!$E$430:$E$729,"&lt;"&amp;EDATE(BJ$99,1))),0)</f>
        <v>0</v>
      </c>
      <c r="BK330">
        <f>IF(예비비!$R330="OK",SUMIFS(예비비!$O$430:$O$729,예비비!$B$430:$B$729,예비비!$A330,예비비!$E$430:$E$729,"&lt;"&amp;EDATE(BK$99,1),예비비!$F$430:$F$729,"결제대금비")+MAX(0,IF(예비비!$D330&lt;EDATE(BK$99,1),예비비!$E330,0)-SUMIFS(예비비!$O$430:$O$729,예비비!$B$430:$B$729,예비비!$A330,예비비!$E$430:$E$729,"&lt;"&amp;EDATE(BK$99,1))),0)</f>
        <v>0</v>
      </c>
      <c r="BL330">
        <f>IF(예비비!$R330="OK",SUMIFS(예비비!$O$430:$O$729,예비비!$B$430:$B$729,예비비!$A330,예비비!$E$430:$E$729,"&lt;"&amp;EDATE(BL$99,1),예비비!$F$430:$F$729,"결제대금비")+MAX(0,IF(예비비!$D330&lt;EDATE(BL$99,1),예비비!$E330,0)-SUMIFS(예비비!$O$430:$O$729,예비비!$B$430:$B$729,예비비!$A330,예비비!$E$430:$E$729,"&lt;"&amp;EDATE(BL$99,1))),0)</f>
        <v>0</v>
      </c>
      <c r="BM330">
        <f>IF(예비비!$R330="OK",SUMIFS(예비비!$O$430:$O$729,예비비!$B$430:$B$729,예비비!$A330,예비비!$E$430:$E$729,"&lt;"&amp;EDATE(BM$99,1),예비비!$F$430:$F$729,"결제대금비")+MAX(0,IF(예비비!$D330&lt;EDATE(BM$99,1),예비비!$E330,0)-SUMIFS(예비비!$O$430:$O$729,예비비!$B$430:$B$729,예비비!$A330,예비비!$E$430:$E$729,"&lt;"&amp;EDATE(BM$99,1))),0)</f>
        <v>0</v>
      </c>
      <c r="BN330">
        <f>IF(예비비!$R330="OK",SUMIFS(예비비!$O$430:$O$729,예비비!$B$430:$B$729,예비비!$A330,예비비!$E$430:$E$729,"&lt;"&amp;EDATE(BN$99,1),예비비!$F$430:$F$729,"결제대금비")+MAX(0,IF(예비비!$D330&lt;EDATE(BN$99,1),예비비!$E330,0)-SUMIFS(예비비!$O$430:$O$729,예비비!$B$430:$B$729,예비비!$A330,예비비!$E$430:$E$729,"&lt;"&amp;EDATE(BN$99,1))),0)</f>
        <v>0</v>
      </c>
      <c r="BO330">
        <f>IF(예비비!$R330="OK",SUMIFS(예비비!$O$430:$O$729,예비비!$B$430:$B$729,예비비!$A330,예비비!$E$430:$E$729,"&lt;"&amp;EDATE(BO$99,1),예비비!$F$430:$F$729,"결제대금비")+MAX(0,IF(예비비!$D330&lt;EDATE(BO$99,1),예비비!$E330,0)-SUMIFS(예비비!$O$430:$O$729,예비비!$B$430:$B$729,예비비!$A330,예비비!$E$430:$E$729,"&lt;"&amp;EDATE(BO$99,1))),0)</f>
        <v>0</v>
      </c>
      <c r="BP330">
        <f>IF(예비비!$R330="OK",SUMIFS(예비비!$O$430:$O$729,예비비!$B$430:$B$729,예비비!$A330,예비비!$E$430:$E$729,"&lt;"&amp;EDATE(BP$99,1),예비비!$F$430:$F$729,"결제대금비")+MAX(0,IF(예비비!$D330&lt;EDATE(BP$99,1),예비비!$E330,0)-SUMIFS(예비비!$O$430:$O$729,예비비!$B$430:$B$729,예비비!$A330,예비비!$E$430:$E$729,"&lt;"&amp;EDATE(BP$99,1))),0)</f>
        <v>0</v>
      </c>
      <c r="BQ330">
        <f>IF(예비비!$R330="OK",SUMIFS(예비비!$O$430:$O$729,예비비!$B$430:$B$729,예비비!$A330,예비비!$E$430:$E$729,"&lt;"&amp;EDATE(BQ$99,1),예비비!$F$430:$F$729,"결제대금비")+MAX(0,IF(예비비!$D330&lt;EDATE(BQ$99,1),예비비!$E330,0)-SUMIFS(예비비!$O$430:$O$729,예비비!$B$430:$B$729,예비비!$A330,예비비!$E$430:$E$729,"&lt;"&amp;EDATE(BQ$99,1))),0)</f>
        <v>0</v>
      </c>
      <c r="BR330">
        <f>IF(예비비!$R330="OK",SUMIFS(예비비!$O$430:$O$729,예비비!$B$430:$B$729,예비비!$A330,예비비!$E$430:$E$729,"&lt;"&amp;EDATE(BR$99,1),예비비!$F$430:$F$729,"결제대금비")+MAX(0,IF(예비비!$D330&lt;EDATE(BR$99,1),예비비!$E330,0)-SUMIFS(예비비!$O$430:$O$729,예비비!$B$430:$B$729,예비비!$A330,예비비!$E$430:$E$729,"&lt;"&amp;EDATE(BR$99,1))),0)</f>
        <v>0</v>
      </c>
      <c r="BS330">
        <f>IF(예비비!$R330="OK",SUMIFS(예비비!$O$430:$O$729,예비비!$B$430:$B$729,예비비!$A330,예비비!$E$430:$E$729,"&lt;"&amp;EDATE(BS$99,1),예비비!$F$430:$F$729,"결제대금비")+MAX(0,IF(예비비!$D330&lt;EDATE(BS$99,1),예비비!$E330,0)-SUMIFS(예비비!$O$430:$O$729,예비비!$B$430:$B$729,예비비!$A330,예비비!$E$430:$E$729,"&lt;"&amp;EDATE(BS$99,1))),0)</f>
        <v>0</v>
      </c>
      <c r="BT330">
        <f>IF(예비비!$R330="OK",SUMIFS(예비비!$O$430:$O$729,예비비!$B$430:$B$729,예비비!$A330,예비비!$E$430:$E$729,"&lt;"&amp;EDATE(BT$99,1),예비비!$F$430:$F$729,"결제대금비")+MAX(0,IF(예비비!$D330&lt;EDATE(BT$99,1),예비비!$E330,0)-SUMIFS(예비비!$O$430:$O$729,예비비!$B$430:$B$729,예비비!$A330,예비비!$E$430:$E$729,"&lt;"&amp;EDATE(BT$99,1))),0)</f>
        <v>0</v>
      </c>
      <c r="BU330">
        <f>IF(예비비!$R330="OK",SUMIFS(예비비!$O$430:$O$729,예비비!$B$430:$B$729,예비비!$A330,예비비!$E$430:$E$729,"&lt;"&amp;EDATE(BU$99,1),예비비!$F$430:$F$729,"결제대금비")+MAX(0,IF(예비비!$D330&lt;EDATE(BU$99,1),예비비!$E330,0)-SUMIFS(예비비!$O$430:$O$729,예비비!$B$430:$B$729,예비비!$A330,예비비!$E$430:$E$729,"&lt;"&amp;EDATE(BU$99,1))),0)</f>
        <v>0</v>
      </c>
    </row>
    <row r="331">
      <c r="BA331">
        <v>275</v>
      </c>
      <c r="BB331" t="str">
        <f>IFERROR(INDEX(잔액!$A:$A,BA331),0)</f>
        <v>00:00:00</v>
      </c>
      <c r="BH331">
        <f>IFERROR(IF(AND(BB331&gt;0,OR(COUNTIFS(예비비!$C$430:$C$729,BA331,예비비!$N$430:$N$729,"OK")&gt;0,AND(INDEX(잔액!$J:$J,BA331)="가족통장",INDEX(잔액!$K:$K,BA331)="미래에셋_WRAP형CMA"),COUNTIF(예비비!$A$8:$A$12,INDEX(잔액!$C:$C,BA331))=1,COUNTIF(예비비!$A$8:$A$12,INDEX(잔액!$D:$D,BA331))=1),OR(AND(BB331&gt;=예비비!$B$3,BB331&lt;EDATE(예비비!$B$3,1)),AND(BB331&lt;EDATE(예비비!$B$3,1),COUNTIFS(예비비!$C$430:$C$729,BA331,예비비!$L$430:$L$729,예비비!$B$3,예비비!$N$430:$N$729,"OK")&gt;0))),MAX($BH$120:BH330)+1,0),0)</f>
        <v>0</v>
      </c>
      <c r="BI331">
        <f>IF(예비비!$R331="OK",SUMIFS(예비비!$O$430:$O$729,예비비!$B$430:$B$729,예비비!$A331,예비비!$E$430:$E$729,"&lt;"&amp;EDATE(BI$99,1),예비비!$F$430:$F$729,"결제대금비")+MAX(0,IF(예비비!$D331&lt;EDATE(BI$99,1),예비비!$E331,0)-SUMIFS(예비비!$O$430:$O$729,예비비!$B$430:$B$729,예비비!$A331,예비비!$E$430:$E$729,"&lt;"&amp;EDATE(BI$99,1))),0)</f>
        <v>0</v>
      </c>
      <c r="BJ331">
        <f>IF(예비비!$R331="OK",SUMIFS(예비비!$O$430:$O$729,예비비!$B$430:$B$729,예비비!$A331,예비비!$E$430:$E$729,"&lt;"&amp;EDATE(BJ$99,1),예비비!$F$430:$F$729,"결제대금비")+MAX(0,IF(예비비!$D331&lt;EDATE(BJ$99,1),예비비!$E331,0)-SUMIFS(예비비!$O$430:$O$729,예비비!$B$430:$B$729,예비비!$A331,예비비!$E$430:$E$729,"&lt;"&amp;EDATE(BJ$99,1))),0)</f>
        <v>0</v>
      </c>
      <c r="BK331">
        <f>IF(예비비!$R331="OK",SUMIFS(예비비!$O$430:$O$729,예비비!$B$430:$B$729,예비비!$A331,예비비!$E$430:$E$729,"&lt;"&amp;EDATE(BK$99,1),예비비!$F$430:$F$729,"결제대금비")+MAX(0,IF(예비비!$D331&lt;EDATE(BK$99,1),예비비!$E331,0)-SUMIFS(예비비!$O$430:$O$729,예비비!$B$430:$B$729,예비비!$A331,예비비!$E$430:$E$729,"&lt;"&amp;EDATE(BK$99,1))),0)</f>
        <v>0</v>
      </c>
      <c r="BL331">
        <f>IF(예비비!$R331="OK",SUMIFS(예비비!$O$430:$O$729,예비비!$B$430:$B$729,예비비!$A331,예비비!$E$430:$E$729,"&lt;"&amp;EDATE(BL$99,1),예비비!$F$430:$F$729,"결제대금비")+MAX(0,IF(예비비!$D331&lt;EDATE(BL$99,1),예비비!$E331,0)-SUMIFS(예비비!$O$430:$O$729,예비비!$B$430:$B$729,예비비!$A331,예비비!$E$430:$E$729,"&lt;"&amp;EDATE(BL$99,1))),0)</f>
        <v>0</v>
      </c>
      <c r="BM331">
        <f>IF(예비비!$R331="OK",SUMIFS(예비비!$O$430:$O$729,예비비!$B$430:$B$729,예비비!$A331,예비비!$E$430:$E$729,"&lt;"&amp;EDATE(BM$99,1),예비비!$F$430:$F$729,"결제대금비")+MAX(0,IF(예비비!$D331&lt;EDATE(BM$99,1),예비비!$E331,0)-SUMIFS(예비비!$O$430:$O$729,예비비!$B$430:$B$729,예비비!$A331,예비비!$E$430:$E$729,"&lt;"&amp;EDATE(BM$99,1))),0)</f>
        <v>0</v>
      </c>
      <c r="BN331">
        <f>IF(예비비!$R331="OK",SUMIFS(예비비!$O$430:$O$729,예비비!$B$430:$B$729,예비비!$A331,예비비!$E$430:$E$729,"&lt;"&amp;EDATE(BN$99,1),예비비!$F$430:$F$729,"결제대금비")+MAX(0,IF(예비비!$D331&lt;EDATE(BN$99,1),예비비!$E331,0)-SUMIFS(예비비!$O$430:$O$729,예비비!$B$430:$B$729,예비비!$A331,예비비!$E$430:$E$729,"&lt;"&amp;EDATE(BN$99,1))),0)</f>
        <v>0</v>
      </c>
      <c r="BO331">
        <f>IF(예비비!$R331="OK",SUMIFS(예비비!$O$430:$O$729,예비비!$B$430:$B$729,예비비!$A331,예비비!$E$430:$E$729,"&lt;"&amp;EDATE(BO$99,1),예비비!$F$430:$F$729,"결제대금비")+MAX(0,IF(예비비!$D331&lt;EDATE(BO$99,1),예비비!$E331,0)-SUMIFS(예비비!$O$430:$O$729,예비비!$B$430:$B$729,예비비!$A331,예비비!$E$430:$E$729,"&lt;"&amp;EDATE(BO$99,1))),0)</f>
        <v>0</v>
      </c>
      <c r="BP331">
        <f>IF(예비비!$R331="OK",SUMIFS(예비비!$O$430:$O$729,예비비!$B$430:$B$729,예비비!$A331,예비비!$E$430:$E$729,"&lt;"&amp;EDATE(BP$99,1),예비비!$F$430:$F$729,"결제대금비")+MAX(0,IF(예비비!$D331&lt;EDATE(BP$99,1),예비비!$E331,0)-SUMIFS(예비비!$O$430:$O$729,예비비!$B$430:$B$729,예비비!$A331,예비비!$E$430:$E$729,"&lt;"&amp;EDATE(BP$99,1))),0)</f>
        <v>0</v>
      </c>
      <c r="BQ331">
        <f>IF(예비비!$R331="OK",SUMIFS(예비비!$O$430:$O$729,예비비!$B$430:$B$729,예비비!$A331,예비비!$E$430:$E$729,"&lt;"&amp;EDATE(BQ$99,1),예비비!$F$430:$F$729,"결제대금비")+MAX(0,IF(예비비!$D331&lt;EDATE(BQ$99,1),예비비!$E331,0)-SUMIFS(예비비!$O$430:$O$729,예비비!$B$430:$B$729,예비비!$A331,예비비!$E$430:$E$729,"&lt;"&amp;EDATE(BQ$99,1))),0)</f>
        <v>0</v>
      </c>
      <c r="BR331">
        <f>IF(예비비!$R331="OK",SUMIFS(예비비!$O$430:$O$729,예비비!$B$430:$B$729,예비비!$A331,예비비!$E$430:$E$729,"&lt;"&amp;EDATE(BR$99,1),예비비!$F$430:$F$729,"결제대금비")+MAX(0,IF(예비비!$D331&lt;EDATE(BR$99,1),예비비!$E331,0)-SUMIFS(예비비!$O$430:$O$729,예비비!$B$430:$B$729,예비비!$A331,예비비!$E$430:$E$729,"&lt;"&amp;EDATE(BR$99,1))),0)</f>
        <v>0</v>
      </c>
      <c r="BS331">
        <f>IF(예비비!$R331="OK",SUMIFS(예비비!$O$430:$O$729,예비비!$B$430:$B$729,예비비!$A331,예비비!$E$430:$E$729,"&lt;"&amp;EDATE(BS$99,1),예비비!$F$430:$F$729,"결제대금비")+MAX(0,IF(예비비!$D331&lt;EDATE(BS$99,1),예비비!$E331,0)-SUMIFS(예비비!$O$430:$O$729,예비비!$B$430:$B$729,예비비!$A331,예비비!$E$430:$E$729,"&lt;"&amp;EDATE(BS$99,1))),0)</f>
        <v>0</v>
      </c>
      <c r="BT331">
        <f>IF(예비비!$R331="OK",SUMIFS(예비비!$O$430:$O$729,예비비!$B$430:$B$729,예비비!$A331,예비비!$E$430:$E$729,"&lt;"&amp;EDATE(BT$99,1),예비비!$F$430:$F$729,"결제대금비")+MAX(0,IF(예비비!$D331&lt;EDATE(BT$99,1),예비비!$E331,0)-SUMIFS(예비비!$O$430:$O$729,예비비!$B$430:$B$729,예비비!$A331,예비비!$E$430:$E$729,"&lt;"&amp;EDATE(BT$99,1))),0)</f>
        <v>0</v>
      </c>
      <c r="BU331">
        <f>IF(예비비!$R331="OK",SUMIFS(예비비!$O$430:$O$729,예비비!$B$430:$B$729,예비비!$A331,예비비!$E$430:$E$729,"&lt;"&amp;EDATE(BU$99,1),예비비!$F$430:$F$729,"결제대금비")+MAX(0,IF(예비비!$D331&lt;EDATE(BU$99,1),예비비!$E331,0)-SUMIFS(예비비!$O$430:$O$729,예비비!$B$430:$B$729,예비비!$A331,예비비!$E$430:$E$729,"&lt;"&amp;EDATE(BU$99,1))),0)</f>
        <v>0</v>
      </c>
    </row>
    <row r="332">
      <c r="BA332">
        <v>276</v>
      </c>
      <c r="BB332" t="str">
        <f>IFERROR(INDEX(잔액!$A:$A,BA332),0)</f>
        <v>00:00:00</v>
      </c>
      <c r="BH332">
        <f>IFERROR(IF(AND(BB332&gt;0,OR(COUNTIFS(예비비!$C$430:$C$729,BA332,예비비!$N$430:$N$729,"OK")&gt;0,AND(INDEX(잔액!$J:$J,BA332)="가족통장",INDEX(잔액!$K:$K,BA332)="미래에셋_WRAP형CMA"),COUNTIF(예비비!$A$8:$A$12,INDEX(잔액!$C:$C,BA332))=1,COUNTIF(예비비!$A$8:$A$12,INDEX(잔액!$D:$D,BA332))=1),OR(AND(BB332&gt;=예비비!$B$3,BB332&lt;EDATE(예비비!$B$3,1)),AND(BB332&lt;EDATE(예비비!$B$3,1),COUNTIFS(예비비!$C$430:$C$729,BA332,예비비!$L$430:$L$729,예비비!$B$3,예비비!$N$430:$N$729,"OK")&gt;0))),MAX($BH$120:BH331)+1,0),0)</f>
        <v>0</v>
      </c>
      <c r="BI332">
        <f>IF(예비비!$R332="OK",SUMIFS(예비비!$O$430:$O$729,예비비!$B$430:$B$729,예비비!$A332,예비비!$E$430:$E$729,"&lt;"&amp;EDATE(BI$99,1),예비비!$F$430:$F$729,"결제대금비")+MAX(0,IF(예비비!$D332&lt;EDATE(BI$99,1),예비비!$E332,0)-SUMIFS(예비비!$O$430:$O$729,예비비!$B$430:$B$729,예비비!$A332,예비비!$E$430:$E$729,"&lt;"&amp;EDATE(BI$99,1))),0)</f>
        <v>0</v>
      </c>
      <c r="BJ332">
        <f>IF(예비비!$R332="OK",SUMIFS(예비비!$O$430:$O$729,예비비!$B$430:$B$729,예비비!$A332,예비비!$E$430:$E$729,"&lt;"&amp;EDATE(BJ$99,1),예비비!$F$430:$F$729,"결제대금비")+MAX(0,IF(예비비!$D332&lt;EDATE(BJ$99,1),예비비!$E332,0)-SUMIFS(예비비!$O$430:$O$729,예비비!$B$430:$B$729,예비비!$A332,예비비!$E$430:$E$729,"&lt;"&amp;EDATE(BJ$99,1))),0)</f>
        <v>0</v>
      </c>
      <c r="BK332">
        <f>IF(예비비!$R332="OK",SUMIFS(예비비!$O$430:$O$729,예비비!$B$430:$B$729,예비비!$A332,예비비!$E$430:$E$729,"&lt;"&amp;EDATE(BK$99,1),예비비!$F$430:$F$729,"결제대금비")+MAX(0,IF(예비비!$D332&lt;EDATE(BK$99,1),예비비!$E332,0)-SUMIFS(예비비!$O$430:$O$729,예비비!$B$430:$B$729,예비비!$A332,예비비!$E$430:$E$729,"&lt;"&amp;EDATE(BK$99,1))),0)</f>
        <v>0</v>
      </c>
      <c r="BL332">
        <f>IF(예비비!$R332="OK",SUMIFS(예비비!$O$430:$O$729,예비비!$B$430:$B$729,예비비!$A332,예비비!$E$430:$E$729,"&lt;"&amp;EDATE(BL$99,1),예비비!$F$430:$F$729,"결제대금비")+MAX(0,IF(예비비!$D332&lt;EDATE(BL$99,1),예비비!$E332,0)-SUMIFS(예비비!$O$430:$O$729,예비비!$B$430:$B$729,예비비!$A332,예비비!$E$430:$E$729,"&lt;"&amp;EDATE(BL$99,1))),0)</f>
        <v>0</v>
      </c>
      <c r="BM332">
        <f>IF(예비비!$R332="OK",SUMIFS(예비비!$O$430:$O$729,예비비!$B$430:$B$729,예비비!$A332,예비비!$E$430:$E$729,"&lt;"&amp;EDATE(BM$99,1),예비비!$F$430:$F$729,"결제대금비")+MAX(0,IF(예비비!$D332&lt;EDATE(BM$99,1),예비비!$E332,0)-SUMIFS(예비비!$O$430:$O$729,예비비!$B$430:$B$729,예비비!$A332,예비비!$E$430:$E$729,"&lt;"&amp;EDATE(BM$99,1))),0)</f>
        <v>0</v>
      </c>
      <c r="BN332">
        <f>IF(예비비!$R332="OK",SUMIFS(예비비!$O$430:$O$729,예비비!$B$430:$B$729,예비비!$A332,예비비!$E$430:$E$729,"&lt;"&amp;EDATE(BN$99,1),예비비!$F$430:$F$729,"결제대금비")+MAX(0,IF(예비비!$D332&lt;EDATE(BN$99,1),예비비!$E332,0)-SUMIFS(예비비!$O$430:$O$729,예비비!$B$430:$B$729,예비비!$A332,예비비!$E$430:$E$729,"&lt;"&amp;EDATE(BN$99,1))),0)</f>
        <v>0</v>
      </c>
      <c r="BO332">
        <f>IF(예비비!$R332="OK",SUMIFS(예비비!$O$430:$O$729,예비비!$B$430:$B$729,예비비!$A332,예비비!$E$430:$E$729,"&lt;"&amp;EDATE(BO$99,1),예비비!$F$430:$F$729,"결제대금비")+MAX(0,IF(예비비!$D332&lt;EDATE(BO$99,1),예비비!$E332,0)-SUMIFS(예비비!$O$430:$O$729,예비비!$B$430:$B$729,예비비!$A332,예비비!$E$430:$E$729,"&lt;"&amp;EDATE(BO$99,1))),0)</f>
        <v>0</v>
      </c>
      <c r="BP332">
        <f>IF(예비비!$R332="OK",SUMIFS(예비비!$O$430:$O$729,예비비!$B$430:$B$729,예비비!$A332,예비비!$E$430:$E$729,"&lt;"&amp;EDATE(BP$99,1),예비비!$F$430:$F$729,"결제대금비")+MAX(0,IF(예비비!$D332&lt;EDATE(BP$99,1),예비비!$E332,0)-SUMIFS(예비비!$O$430:$O$729,예비비!$B$430:$B$729,예비비!$A332,예비비!$E$430:$E$729,"&lt;"&amp;EDATE(BP$99,1))),0)</f>
        <v>0</v>
      </c>
      <c r="BQ332">
        <f>IF(예비비!$R332="OK",SUMIFS(예비비!$O$430:$O$729,예비비!$B$430:$B$729,예비비!$A332,예비비!$E$430:$E$729,"&lt;"&amp;EDATE(BQ$99,1),예비비!$F$430:$F$729,"결제대금비")+MAX(0,IF(예비비!$D332&lt;EDATE(BQ$99,1),예비비!$E332,0)-SUMIFS(예비비!$O$430:$O$729,예비비!$B$430:$B$729,예비비!$A332,예비비!$E$430:$E$729,"&lt;"&amp;EDATE(BQ$99,1))),0)</f>
        <v>0</v>
      </c>
      <c r="BR332">
        <f>IF(예비비!$R332="OK",SUMIFS(예비비!$O$430:$O$729,예비비!$B$430:$B$729,예비비!$A332,예비비!$E$430:$E$729,"&lt;"&amp;EDATE(BR$99,1),예비비!$F$430:$F$729,"결제대금비")+MAX(0,IF(예비비!$D332&lt;EDATE(BR$99,1),예비비!$E332,0)-SUMIFS(예비비!$O$430:$O$729,예비비!$B$430:$B$729,예비비!$A332,예비비!$E$430:$E$729,"&lt;"&amp;EDATE(BR$99,1))),0)</f>
        <v>0</v>
      </c>
      <c r="BS332">
        <f>IF(예비비!$R332="OK",SUMIFS(예비비!$O$430:$O$729,예비비!$B$430:$B$729,예비비!$A332,예비비!$E$430:$E$729,"&lt;"&amp;EDATE(BS$99,1),예비비!$F$430:$F$729,"결제대금비")+MAX(0,IF(예비비!$D332&lt;EDATE(BS$99,1),예비비!$E332,0)-SUMIFS(예비비!$O$430:$O$729,예비비!$B$430:$B$729,예비비!$A332,예비비!$E$430:$E$729,"&lt;"&amp;EDATE(BS$99,1))),0)</f>
        <v>0</v>
      </c>
      <c r="BT332">
        <f>IF(예비비!$R332="OK",SUMIFS(예비비!$O$430:$O$729,예비비!$B$430:$B$729,예비비!$A332,예비비!$E$430:$E$729,"&lt;"&amp;EDATE(BT$99,1),예비비!$F$430:$F$729,"결제대금비")+MAX(0,IF(예비비!$D332&lt;EDATE(BT$99,1),예비비!$E332,0)-SUMIFS(예비비!$O$430:$O$729,예비비!$B$430:$B$729,예비비!$A332,예비비!$E$430:$E$729,"&lt;"&amp;EDATE(BT$99,1))),0)</f>
        <v>0</v>
      </c>
      <c r="BU332">
        <f>IF(예비비!$R332="OK",SUMIFS(예비비!$O$430:$O$729,예비비!$B$430:$B$729,예비비!$A332,예비비!$E$430:$E$729,"&lt;"&amp;EDATE(BU$99,1),예비비!$F$430:$F$729,"결제대금비")+MAX(0,IF(예비비!$D332&lt;EDATE(BU$99,1),예비비!$E332,0)-SUMIFS(예비비!$O$430:$O$729,예비비!$B$430:$B$729,예비비!$A332,예비비!$E$430:$E$729,"&lt;"&amp;EDATE(BU$99,1))),0)</f>
        <v>0</v>
      </c>
    </row>
    <row r="333">
      <c r="BA333">
        <v>277</v>
      </c>
      <c r="BB333" t="str">
        <f>IFERROR(INDEX(잔액!$A:$A,BA333),0)</f>
        <v>00:00:00</v>
      </c>
      <c r="BH333">
        <f>IFERROR(IF(AND(BB333&gt;0,OR(COUNTIFS(예비비!$C$430:$C$729,BA333,예비비!$N$430:$N$729,"OK")&gt;0,AND(INDEX(잔액!$J:$J,BA333)="가족통장",INDEX(잔액!$K:$K,BA333)="미래에셋_WRAP형CMA"),COUNTIF(예비비!$A$8:$A$12,INDEX(잔액!$C:$C,BA333))=1,COUNTIF(예비비!$A$8:$A$12,INDEX(잔액!$D:$D,BA333))=1),OR(AND(BB333&gt;=예비비!$B$3,BB333&lt;EDATE(예비비!$B$3,1)),AND(BB333&lt;EDATE(예비비!$B$3,1),COUNTIFS(예비비!$C$430:$C$729,BA333,예비비!$L$430:$L$729,예비비!$B$3,예비비!$N$430:$N$729,"OK")&gt;0))),MAX($BH$120:BH332)+1,0),0)</f>
        <v>0</v>
      </c>
      <c r="BI333">
        <f>IF(예비비!$R333="OK",SUMIFS(예비비!$O$430:$O$729,예비비!$B$430:$B$729,예비비!$A333,예비비!$E$430:$E$729,"&lt;"&amp;EDATE(BI$99,1),예비비!$F$430:$F$729,"결제대금비")+MAX(0,IF(예비비!$D333&lt;EDATE(BI$99,1),예비비!$E333,0)-SUMIFS(예비비!$O$430:$O$729,예비비!$B$430:$B$729,예비비!$A333,예비비!$E$430:$E$729,"&lt;"&amp;EDATE(BI$99,1))),0)</f>
        <v>0</v>
      </c>
      <c r="BJ333">
        <f>IF(예비비!$R333="OK",SUMIFS(예비비!$O$430:$O$729,예비비!$B$430:$B$729,예비비!$A333,예비비!$E$430:$E$729,"&lt;"&amp;EDATE(BJ$99,1),예비비!$F$430:$F$729,"결제대금비")+MAX(0,IF(예비비!$D333&lt;EDATE(BJ$99,1),예비비!$E333,0)-SUMIFS(예비비!$O$430:$O$729,예비비!$B$430:$B$729,예비비!$A333,예비비!$E$430:$E$729,"&lt;"&amp;EDATE(BJ$99,1))),0)</f>
        <v>0</v>
      </c>
      <c r="BK333">
        <f>IF(예비비!$R333="OK",SUMIFS(예비비!$O$430:$O$729,예비비!$B$430:$B$729,예비비!$A333,예비비!$E$430:$E$729,"&lt;"&amp;EDATE(BK$99,1),예비비!$F$430:$F$729,"결제대금비")+MAX(0,IF(예비비!$D333&lt;EDATE(BK$99,1),예비비!$E333,0)-SUMIFS(예비비!$O$430:$O$729,예비비!$B$430:$B$729,예비비!$A333,예비비!$E$430:$E$729,"&lt;"&amp;EDATE(BK$99,1))),0)</f>
        <v>0</v>
      </c>
      <c r="BL333">
        <f>IF(예비비!$R333="OK",SUMIFS(예비비!$O$430:$O$729,예비비!$B$430:$B$729,예비비!$A333,예비비!$E$430:$E$729,"&lt;"&amp;EDATE(BL$99,1),예비비!$F$430:$F$729,"결제대금비")+MAX(0,IF(예비비!$D333&lt;EDATE(BL$99,1),예비비!$E333,0)-SUMIFS(예비비!$O$430:$O$729,예비비!$B$430:$B$729,예비비!$A333,예비비!$E$430:$E$729,"&lt;"&amp;EDATE(BL$99,1))),0)</f>
        <v>0</v>
      </c>
      <c r="BM333">
        <f>IF(예비비!$R333="OK",SUMIFS(예비비!$O$430:$O$729,예비비!$B$430:$B$729,예비비!$A333,예비비!$E$430:$E$729,"&lt;"&amp;EDATE(BM$99,1),예비비!$F$430:$F$729,"결제대금비")+MAX(0,IF(예비비!$D333&lt;EDATE(BM$99,1),예비비!$E333,0)-SUMIFS(예비비!$O$430:$O$729,예비비!$B$430:$B$729,예비비!$A333,예비비!$E$430:$E$729,"&lt;"&amp;EDATE(BM$99,1))),0)</f>
        <v>0</v>
      </c>
      <c r="BN333">
        <f>IF(예비비!$R333="OK",SUMIFS(예비비!$O$430:$O$729,예비비!$B$430:$B$729,예비비!$A333,예비비!$E$430:$E$729,"&lt;"&amp;EDATE(BN$99,1),예비비!$F$430:$F$729,"결제대금비")+MAX(0,IF(예비비!$D333&lt;EDATE(BN$99,1),예비비!$E333,0)-SUMIFS(예비비!$O$430:$O$729,예비비!$B$430:$B$729,예비비!$A333,예비비!$E$430:$E$729,"&lt;"&amp;EDATE(BN$99,1))),0)</f>
        <v>0</v>
      </c>
      <c r="BO333">
        <f>IF(예비비!$R333="OK",SUMIFS(예비비!$O$430:$O$729,예비비!$B$430:$B$729,예비비!$A333,예비비!$E$430:$E$729,"&lt;"&amp;EDATE(BO$99,1),예비비!$F$430:$F$729,"결제대금비")+MAX(0,IF(예비비!$D333&lt;EDATE(BO$99,1),예비비!$E333,0)-SUMIFS(예비비!$O$430:$O$729,예비비!$B$430:$B$729,예비비!$A333,예비비!$E$430:$E$729,"&lt;"&amp;EDATE(BO$99,1))),0)</f>
        <v>0</v>
      </c>
      <c r="BP333">
        <f>IF(예비비!$R333="OK",SUMIFS(예비비!$O$430:$O$729,예비비!$B$430:$B$729,예비비!$A333,예비비!$E$430:$E$729,"&lt;"&amp;EDATE(BP$99,1),예비비!$F$430:$F$729,"결제대금비")+MAX(0,IF(예비비!$D333&lt;EDATE(BP$99,1),예비비!$E333,0)-SUMIFS(예비비!$O$430:$O$729,예비비!$B$430:$B$729,예비비!$A333,예비비!$E$430:$E$729,"&lt;"&amp;EDATE(BP$99,1))),0)</f>
        <v>0</v>
      </c>
      <c r="BQ333">
        <f>IF(예비비!$R333="OK",SUMIFS(예비비!$O$430:$O$729,예비비!$B$430:$B$729,예비비!$A333,예비비!$E$430:$E$729,"&lt;"&amp;EDATE(BQ$99,1),예비비!$F$430:$F$729,"결제대금비")+MAX(0,IF(예비비!$D333&lt;EDATE(BQ$99,1),예비비!$E333,0)-SUMIFS(예비비!$O$430:$O$729,예비비!$B$430:$B$729,예비비!$A333,예비비!$E$430:$E$729,"&lt;"&amp;EDATE(BQ$99,1))),0)</f>
        <v>0</v>
      </c>
      <c r="BR333">
        <f>IF(예비비!$R333="OK",SUMIFS(예비비!$O$430:$O$729,예비비!$B$430:$B$729,예비비!$A333,예비비!$E$430:$E$729,"&lt;"&amp;EDATE(BR$99,1),예비비!$F$430:$F$729,"결제대금비")+MAX(0,IF(예비비!$D333&lt;EDATE(BR$99,1),예비비!$E333,0)-SUMIFS(예비비!$O$430:$O$729,예비비!$B$430:$B$729,예비비!$A333,예비비!$E$430:$E$729,"&lt;"&amp;EDATE(BR$99,1))),0)</f>
        <v>0</v>
      </c>
      <c r="BS333">
        <f>IF(예비비!$R333="OK",SUMIFS(예비비!$O$430:$O$729,예비비!$B$430:$B$729,예비비!$A333,예비비!$E$430:$E$729,"&lt;"&amp;EDATE(BS$99,1),예비비!$F$430:$F$729,"결제대금비")+MAX(0,IF(예비비!$D333&lt;EDATE(BS$99,1),예비비!$E333,0)-SUMIFS(예비비!$O$430:$O$729,예비비!$B$430:$B$729,예비비!$A333,예비비!$E$430:$E$729,"&lt;"&amp;EDATE(BS$99,1))),0)</f>
        <v>0</v>
      </c>
      <c r="BT333">
        <f>IF(예비비!$R333="OK",SUMIFS(예비비!$O$430:$O$729,예비비!$B$430:$B$729,예비비!$A333,예비비!$E$430:$E$729,"&lt;"&amp;EDATE(BT$99,1),예비비!$F$430:$F$729,"결제대금비")+MAX(0,IF(예비비!$D333&lt;EDATE(BT$99,1),예비비!$E333,0)-SUMIFS(예비비!$O$430:$O$729,예비비!$B$430:$B$729,예비비!$A333,예비비!$E$430:$E$729,"&lt;"&amp;EDATE(BT$99,1))),0)</f>
        <v>0</v>
      </c>
      <c r="BU333">
        <f>IF(예비비!$R333="OK",SUMIFS(예비비!$O$430:$O$729,예비비!$B$430:$B$729,예비비!$A333,예비비!$E$430:$E$729,"&lt;"&amp;EDATE(BU$99,1),예비비!$F$430:$F$729,"결제대금비")+MAX(0,IF(예비비!$D333&lt;EDATE(BU$99,1),예비비!$E333,0)-SUMIFS(예비비!$O$430:$O$729,예비비!$B$430:$B$729,예비비!$A333,예비비!$E$430:$E$729,"&lt;"&amp;EDATE(BU$99,1))),0)</f>
        <v>0</v>
      </c>
    </row>
    <row r="334">
      <c r="BA334">
        <v>278</v>
      </c>
      <c r="BB334" t="str">
        <f>IFERROR(INDEX(잔액!$A:$A,BA334),0)</f>
        <v>00:00:00</v>
      </c>
      <c r="BH334">
        <f>IFERROR(IF(AND(BB334&gt;0,OR(COUNTIFS(예비비!$C$430:$C$729,BA334,예비비!$N$430:$N$729,"OK")&gt;0,AND(INDEX(잔액!$J:$J,BA334)="가족통장",INDEX(잔액!$K:$K,BA334)="미래에셋_WRAP형CMA"),COUNTIF(예비비!$A$8:$A$12,INDEX(잔액!$C:$C,BA334))=1,COUNTIF(예비비!$A$8:$A$12,INDEX(잔액!$D:$D,BA334))=1),OR(AND(BB334&gt;=예비비!$B$3,BB334&lt;EDATE(예비비!$B$3,1)),AND(BB334&lt;EDATE(예비비!$B$3,1),COUNTIFS(예비비!$C$430:$C$729,BA334,예비비!$L$430:$L$729,예비비!$B$3,예비비!$N$430:$N$729,"OK")&gt;0))),MAX($BH$120:BH333)+1,0),0)</f>
        <v>0</v>
      </c>
      <c r="BI334">
        <f>IF(예비비!$R334="OK",SUMIFS(예비비!$O$430:$O$729,예비비!$B$430:$B$729,예비비!$A334,예비비!$E$430:$E$729,"&lt;"&amp;EDATE(BI$99,1),예비비!$F$430:$F$729,"결제대금비")+MAX(0,IF(예비비!$D334&lt;EDATE(BI$99,1),예비비!$E334,0)-SUMIFS(예비비!$O$430:$O$729,예비비!$B$430:$B$729,예비비!$A334,예비비!$E$430:$E$729,"&lt;"&amp;EDATE(BI$99,1))),0)</f>
        <v>0</v>
      </c>
      <c r="BJ334">
        <f>IF(예비비!$R334="OK",SUMIFS(예비비!$O$430:$O$729,예비비!$B$430:$B$729,예비비!$A334,예비비!$E$430:$E$729,"&lt;"&amp;EDATE(BJ$99,1),예비비!$F$430:$F$729,"결제대금비")+MAX(0,IF(예비비!$D334&lt;EDATE(BJ$99,1),예비비!$E334,0)-SUMIFS(예비비!$O$430:$O$729,예비비!$B$430:$B$729,예비비!$A334,예비비!$E$430:$E$729,"&lt;"&amp;EDATE(BJ$99,1))),0)</f>
        <v>0</v>
      </c>
      <c r="BK334">
        <f>IF(예비비!$R334="OK",SUMIFS(예비비!$O$430:$O$729,예비비!$B$430:$B$729,예비비!$A334,예비비!$E$430:$E$729,"&lt;"&amp;EDATE(BK$99,1),예비비!$F$430:$F$729,"결제대금비")+MAX(0,IF(예비비!$D334&lt;EDATE(BK$99,1),예비비!$E334,0)-SUMIFS(예비비!$O$430:$O$729,예비비!$B$430:$B$729,예비비!$A334,예비비!$E$430:$E$729,"&lt;"&amp;EDATE(BK$99,1))),0)</f>
        <v>0</v>
      </c>
      <c r="BL334">
        <f>IF(예비비!$R334="OK",SUMIFS(예비비!$O$430:$O$729,예비비!$B$430:$B$729,예비비!$A334,예비비!$E$430:$E$729,"&lt;"&amp;EDATE(BL$99,1),예비비!$F$430:$F$729,"결제대금비")+MAX(0,IF(예비비!$D334&lt;EDATE(BL$99,1),예비비!$E334,0)-SUMIFS(예비비!$O$430:$O$729,예비비!$B$430:$B$729,예비비!$A334,예비비!$E$430:$E$729,"&lt;"&amp;EDATE(BL$99,1))),0)</f>
        <v>0</v>
      </c>
      <c r="BM334">
        <f>IF(예비비!$R334="OK",SUMIFS(예비비!$O$430:$O$729,예비비!$B$430:$B$729,예비비!$A334,예비비!$E$430:$E$729,"&lt;"&amp;EDATE(BM$99,1),예비비!$F$430:$F$729,"결제대금비")+MAX(0,IF(예비비!$D334&lt;EDATE(BM$99,1),예비비!$E334,0)-SUMIFS(예비비!$O$430:$O$729,예비비!$B$430:$B$729,예비비!$A334,예비비!$E$430:$E$729,"&lt;"&amp;EDATE(BM$99,1))),0)</f>
        <v>0</v>
      </c>
      <c r="BN334">
        <f>IF(예비비!$R334="OK",SUMIFS(예비비!$O$430:$O$729,예비비!$B$430:$B$729,예비비!$A334,예비비!$E$430:$E$729,"&lt;"&amp;EDATE(BN$99,1),예비비!$F$430:$F$729,"결제대금비")+MAX(0,IF(예비비!$D334&lt;EDATE(BN$99,1),예비비!$E334,0)-SUMIFS(예비비!$O$430:$O$729,예비비!$B$430:$B$729,예비비!$A334,예비비!$E$430:$E$729,"&lt;"&amp;EDATE(BN$99,1))),0)</f>
        <v>0</v>
      </c>
      <c r="BO334">
        <f>IF(예비비!$R334="OK",SUMIFS(예비비!$O$430:$O$729,예비비!$B$430:$B$729,예비비!$A334,예비비!$E$430:$E$729,"&lt;"&amp;EDATE(BO$99,1),예비비!$F$430:$F$729,"결제대금비")+MAX(0,IF(예비비!$D334&lt;EDATE(BO$99,1),예비비!$E334,0)-SUMIFS(예비비!$O$430:$O$729,예비비!$B$430:$B$729,예비비!$A334,예비비!$E$430:$E$729,"&lt;"&amp;EDATE(BO$99,1))),0)</f>
        <v>0</v>
      </c>
      <c r="BP334">
        <f>IF(예비비!$R334="OK",SUMIFS(예비비!$O$430:$O$729,예비비!$B$430:$B$729,예비비!$A334,예비비!$E$430:$E$729,"&lt;"&amp;EDATE(BP$99,1),예비비!$F$430:$F$729,"결제대금비")+MAX(0,IF(예비비!$D334&lt;EDATE(BP$99,1),예비비!$E334,0)-SUMIFS(예비비!$O$430:$O$729,예비비!$B$430:$B$729,예비비!$A334,예비비!$E$430:$E$729,"&lt;"&amp;EDATE(BP$99,1))),0)</f>
        <v>0</v>
      </c>
      <c r="BQ334">
        <f>IF(예비비!$R334="OK",SUMIFS(예비비!$O$430:$O$729,예비비!$B$430:$B$729,예비비!$A334,예비비!$E$430:$E$729,"&lt;"&amp;EDATE(BQ$99,1),예비비!$F$430:$F$729,"결제대금비")+MAX(0,IF(예비비!$D334&lt;EDATE(BQ$99,1),예비비!$E334,0)-SUMIFS(예비비!$O$430:$O$729,예비비!$B$430:$B$729,예비비!$A334,예비비!$E$430:$E$729,"&lt;"&amp;EDATE(BQ$99,1))),0)</f>
        <v>0</v>
      </c>
      <c r="BR334">
        <f>IF(예비비!$R334="OK",SUMIFS(예비비!$O$430:$O$729,예비비!$B$430:$B$729,예비비!$A334,예비비!$E$430:$E$729,"&lt;"&amp;EDATE(BR$99,1),예비비!$F$430:$F$729,"결제대금비")+MAX(0,IF(예비비!$D334&lt;EDATE(BR$99,1),예비비!$E334,0)-SUMIFS(예비비!$O$430:$O$729,예비비!$B$430:$B$729,예비비!$A334,예비비!$E$430:$E$729,"&lt;"&amp;EDATE(BR$99,1))),0)</f>
        <v>0</v>
      </c>
      <c r="BS334">
        <f>IF(예비비!$R334="OK",SUMIFS(예비비!$O$430:$O$729,예비비!$B$430:$B$729,예비비!$A334,예비비!$E$430:$E$729,"&lt;"&amp;EDATE(BS$99,1),예비비!$F$430:$F$729,"결제대금비")+MAX(0,IF(예비비!$D334&lt;EDATE(BS$99,1),예비비!$E334,0)-SUMIFS(예비비!$O$430:$O$729,예비비!$B$430:$B$729,예비비!$A334,예비비!$E$430:$E$729,"&lt;"&amp;EDATE(BS$99,1))),0)</f>
        <v>0</v>
      </c>
      <c r="BT334">
        <f>IF(예비비!$R334="OK",SUMIFS(예비비!$O$430:$O$729,예비비!$B$430:$B$729,예비비!$A334,예비비!$E$430:$E$729,"&lt;"&amp;EDATE(BT$99,1),예비비!$F$430:$F$729,"결제대금비")+MAX(0,IF(예비비!$D334&lt;EDATE(BT$99,1),예비비!$E334,0)-SUMIFS(예비비!$O$430:$O$729,예비비!$B$430:$B$729,예비비!$A334,예비비!$E$430:$E$729,"&lt;"&amp;EDATE(BT$99,1))),0)</f>
        <v>0</v>
      </c>
      <c r="BU334">
        <f>IF(예비비!$R334="OK",SUMIFS(예비비!$O$430:$O$729,예비비!$B$430:$B$729,예비비!$A334,예비비!$E$430:$E$729,"&lt;"&amp;EDATE(BU$99,1),예비비!$F$430:$F$729,"결제대금비")+MAX(0,IF(예비비!$D334&lt;EDATE(BU$99,1),예비비!$E334,0)-SUMIFS(예비비!$O$430:$O$729,예비비!$B$430:$B$729,예비비!$A334,예비비!$E$430:$E$729,"&lt;"&amp;EDATE(BU$99,1))),0)</f>
        <v>0</v>
      </c>
    </row>
    <row r="335">
      <c r="BA335">
        <v>279</v>
      </c>
      <c r="BB335" t="str">
        <f>IFERROR(INDEX(잔액!$A:$A,BA335),0)</f>
        <v>00:00:00</v>
      </c>
      <c r="BH335">
        <f>IFERROR(IF(AND(BB335&gt;0,OR(COUNTIFS(예비비!$C$430:$C$729,BA335,예비비!$N$430:$N$729,"OK")&gt;0,AND(INDEX(잔액!$J:$J,BA335)="가족통장",INDEX(잔액!$K:$K,BA335)="미래에셋_WRAP형CMA"),COUNTIF(예비비!$A$8:$A$12,INDEX(잔액!$C:$C,BA335))=1,COUNTIF(예비비!$A$8:$A$12,INDEX(잔액!$D:$D,BA335))=1),OR(AND(BB335&gt;=예비비!$B$3,BB335&lt;EDATE(예비비!$B$3,1)),AND(BB335&lt;EDATE(예비비!$B$3,1),COUNTIFS(예비비!$C$430:$C$729,BA335,예비비!$L$430:$L$729,예비비!$B$3,예비비!$N$430:$N$729,"OK")&gt;0))),MAX($BH$120:BH334)+1,0),0)</f>
        <v>0</v>
      </c>
      <c r="BI335">
        <f>IF(예비비!$R335="OK",SUMIFS(예비비!$O$430:$O$729,예비비!$B$430:$B$729,예비비!$A335,예비비!$E$430:$E$729,"&lt;"&amp;EDATE(BI$99,1),예비비!$F$430:$F$729,"결제대금비")+MAX(0,IF(예비비!$D335&lt;EDATE(BI$99,1),예비비!$E335,0)-SUMIFS(예비비!$O$430:$O$729,예비비!$B$430:$B$729,예비비!$A335,예비비!$E$430:$E$729,"&lt;"&amp;EDATE(BI$99,1))),0)</f>
        <v>0</v>
      </c>
      <c r="BJ335">
        <f>IF(예비비!$R335="OK",SUMIFS(예비비!$O$430:$O$729,예비비!$B$430:$B$729,예비비!$A335,예비비!$E$430:$E$729,"&lt;"&amp;EDATE(BJ$99,1),예비비!$F$430:$F$729,"결제대금비")+MAX(0,IF(예비비!$D335&lt;EDATE(BJ$99,1),예비비!$E335,0)-SUMIFS(예비비!$O$430:$O$729,예비비!$B$430:$B$729,예비비!$A335,예비비!$E$430:$E$729,"&lt;"&amp;EDATE(BJ$99,1))),0)</f>
        <v>0</v>
      </c>
      <c r="BK335">
        <f>IF(예비비!$R335="OK",SUMIFS(예비비!$O$430:$O$729,예비비!$B$430:$B$729,예비비!$A335,예비비!$E$430:$E$729,"&lt;"&amp;EDATE(BK$99,1),예비비!$F$430:$F$729,"결제대금비")+MAX(0,IF(예비비!$D335&lt;EDATE(BK$99,1),예비비!$E335,0)-SUMIFS(예비비!$O$430:$O$729,예비비!$B$430:$B$729,예비비!$A335,예비비!$E$430:$E$729,"&lt;"&amp;EDATE(BK$99,1))),0)</f>
        <v>0</v>
      </c>
      <c r="BL335">
        <f>IF(예비비!$R335="OK",SUMIFS(예비비!$O$430:$O$729,예비비!$B$430:$B$729,예비비!$A335,예비비!$E$430:$E$729,"&lt;"&amp;EDATE(BL$99,1),예비비!$F$430:$F$729,"결제대금비")+MAX(0,IF(예비비!$D335&lt;EDATE(BL$99,1),예비비!$E335,0)-SUMIFS(예비비!$O$430:$O$729,예비비!$B$430:$B$729,예비비!$A335,예비비!$E$430:$E$729,"&lt;"&amp;EDATE(BL$99,1))),0)</f>
        <v>0</v>
      </c>
      <c r="BM335">
        <f>IF(예비비!$R335="OK",SUMIFS(예비비!$O$430:$O$729,예비비!$B$430:$B$729,예비비!$A335,예비비!$E$430:$E$729,"&lt;"&amp;EDATE(BM$99,1),예비비!$F$430:$F$729,"결제대금비")+MAX(0,IF(예비비!$D335&lt;EDATE(BM$99,1),예비비!$E335,0)-SUMIFS(예비비!$O$430:$O$729,예비비!$B$430:$B$729,예비비!$A335,예비비!$E$430:$E$729,"&lt;"&amp;EDATE(BM$99,1))),0)</f>
        <v>0</v>
      </c>
      <c r="BN335">
        <f>IF(예비비!$R335="OK",SUMIFS(예비비!$O$430:$O$729,예비비!$B$430:$B$729,예비비!$A335,예비비!$E$430:$E$729,"&lt;"&amp;EDATE(BN$99,1),예비비!$F$430:$F$729,"결제대금비")+MAX(0,IF(예비비!$D335&lt;EDATE(BN$99,1),예비비!$E335,0)-SUMIFS(예비비!$O$430:$O$729,예비비!$B$430:$B$729,예비비!$A335,예비비!$E$430:$E$729,"&lt;"&amp;EDATE(BN$99,1))),0)</f>
        <v>0</v>
      </c>
      <c r="BO335">
        <f>IF(예비비!$R335="OK",SUMIFS(예비비!$O$430:$O$729,예비비!$B$430:$B$729,예비비!$A335,예비비!$E$430:$E$729,"&lt;"&amp;EDATE(BO$99,1),예비비!$F$430:$F$729,"결제대금비")+MAX(0,IF(예비비!$D335&lt;EDATE(BO$99,1),예비비!$E335,0)-SUMIFS(예비비!$O$430:$O$729,예비비!$B$430:$B$729,예비비!$A335,예비비!$E$430:$E$729,"&lt;"&amp;EDATE(BO$99,1))),0)</f>
        <v>0</v>
      </c>
      <c r="BP335">
        <f>IF(예비비!$R335="OK",SUMIFS(예비비!$O$430:$O$729,예비비!$B$430:$B$729,예비비!$A335,예비비!$E$430:$E$729,"&lt;"&amp;EDATE(BP$99,1),예비비!$F$430:$F$729,"결제대금비")+MAX(0,IF(예비비!$D335&lt;EDATE(BP$99,1),예비비!$E335,0)-SUMIFS(예비비!$O$430:$O$729,예비비!$B$430:$B$729,예비비!$A335,예비비!$E$430:$E$729,"&lt;"&amp;EDATE(BP$99,1))),0)</f>
        <v>0</v>
      </c>
      <c r="BQ335">
        <f>IF(예비비!$R335="OK",SUMIFS(예비비!$O$430:$O$729,예비비!$B$430:$B$729,예비비!$A335,예비비!$E$430:$E$729,"&lt;"&amp;EDATE(BQ$99,1),예비비!$F$430:$F$729,"결제대금비")+MAX(0,IF(예비비!$D335&lt;EDATE(BQ$99,1),예비비!$E335,0)-SUMIFS(예비비!$O$430:$O$729,예비비!$B$430:$B$729,예비비!$A335,예비비!$E$430:$E$729,"&lt;"&amp;EDATE(BQ$99,1))),0)</f>
        <v>0</v>
      </c>
      <c r="BR335">
        <f>IF(예비비!$R335="OK",SUMIFS(예비비!$O$430:$O$729,예비비!$B$430:$B$729,예비비!$A335,예비비!$E$430:$E$729,"&lt;"&amp;EDATE(BR$99,1),예비비!$F$430:$F$729,"결제대금비")+MAX(0,IF(예비비!$D335&lt;EDATE(BR$99,1),예비비!$E335,0)-SUMIFS(예비비!$O$430:$O$729,예비비!$B$430:$B$729,예비비!$A335,예비비!$E$430:$E$729,"&lt;"&amp;EDATE(BR$99,1))),0)</f>
        <v>0</v>
      </c>
      <c r="BS335">
        <f>IF(예비비!$R335="OK",SUMIFS(예비비!$O$430:$O$729,예비비!$B$430:$B$729,예비비!$A335,예비비!$E$430:$E$729,"&lt;"&amp;EDATE(BS$99,1),예비비!$F$430:$F$729,"결제대금비")+MAX(0,IF(예비비!$D335&lt;EDATE(BS$99,1),예비비!$E335,0)-SUMIFS(예비비!$O$430:$O$729,예비비!$B$430:$B$729,예비비!$A335,예비비!$E$430:$E$729,"&lt;"&amp;EDATE(BS$99,1))),0)</f>
        <v>0</v>
      </c>
      <c r="BT335">
        <f>IF(예비비!$R335="OK",SUMIFS(예비비!$O$430:$O$729,예비비!$B$430:$B$729,예비비!$A335,예비비!$E$430:$E$729,"&lt;"&amp;EDATE(BT$99,1),예비비!$F$430:$F$729,"결제대금비")+MAX(0,IF(예비비!$D335&lt;EDATE(BT$99,1),예비비!$E335,0)-SUMIFS(예비비!$O$430:$O$729,예비비!$B$430:$B$729,예비비!$A335,예비비!$E$430:$E$729,"&lt;"&amp;EDATE(BT$99,1))),0)</f>
        <v>0</v>
      </c>
      <c r="BU335">
        <f>IF(예비비!$R335="OK",SUMIFS(예비비!$O$430:$O$729,예비비!$B$430:$B$729,예비비!$A335,예비비!$E$430:$E$729,"&lt;"&amp;EDATE(BU$99,1),예비비!$F$430:$F$729,"결제대금비")+MAX(0,IF(예비비!$D335&lt;EDATE(BU$99,1),예비비!$E335,0)-SUMIFS(예비비!$O$430:$O$729,예비비!$B$430:$B$729,예비비!$A335,예비비!$E$430:$E$729,"&lt;"&amp;EDATE(BU$99,1))),0)</f>
        <v>0</v>
      </c>
    </row>
    <row r="336">
      <c r="BA336">
        <v>280</v>
      </c>
      <c r="BB336" t="str">
        <f>IFERROR(INDEX(잔액!$A:$A,BA336),0)</f>
        <v>00:00:00</v>
      </c>
      <c r="BH336">
        <f>IFERROR(IF(AND(BB336&gt;0,OR(COUNTIFS(예비비!$C$430:$C$729,BA336,예비비!$N$430:$N$729,"OK")&gt;0,AND(INDEX(잔액!$J:$J,BA336)="가족통장",INDEX(잔액!$K:$K,BA336)="미래에셋_WRAP형CMA"),COUNTIF(예비비!$A$8:$A$12,INDEX(잔액!$C:$C,BA336))=1,COUNTIF(예비비!$A$8:$A$12,INDEX(잔액!$D:$D,BA336))=1),OR(AND(BB336&gt;=예비비!$B$3,BB336&lt;EDATE(예비비!$B$3,1)),AND(BB336&lt;EDATE(예비비!$B$3,1),COUNTIFS(예비비!$C$430:$C$729,BA336,예비비!$L$430:$L$729,예비비!$B$3,예비비!$N$430:$N$729,"OK")&gt;0))),MAX($BH$120:BH335)+1,0),0)</f>
        <v>0</v>
      </c>
      <c r="BI336">
        <f>IF(예비비!$R336="OK",SUMIFS(예비비!$O$430:$O$729,예비비!$B$430:$B$729,예비비!$A336,예비비!$E$430:$E$729,"&lt;"&amp;EDATE(BI$99,1),예비비!$F$430:$F$729,"결제대금비")+MAX(0,IF(예비비!$D336&lt;EDATE(BI$99,1),예비비!$E336,0)-SUMIFS(예비비!$O$430:$O$729,예비비!$B$430:$B$729,예비비!$A336,예비비!$E$430:$E$729,"&lt;"&amp;EDATE(BI$99,1))),0)</f>
        <v>0</v>
      </c>
      <c r="BJ336">
        <f>IF(예비비!$R336="OK",SUMIFS(예비비!$O$430:$O$729,예비비!$B$430:$B$729,예비비!$A336,예비비!$E$430:$E$729,"&lt;"&amp;EDATE(BJ$99,1),예비비!$F$430:$F$729,"결제대금비")+MAX(0,IF(예비비!$D336&lt;EDATE(BJ$99,1),예비비!$E336,0)-SUMIFS(예비비!$O$430:$O$729,예비비!$B$430:$B$729,예비비!$A336,예비비!$E$430:$E$729,"&lt;"&amp;EDATE(BJ$99,1))),0)</f>
        <v>0</v>
      </c>
      <c r="BK336">
        <f>IF(예비비!$R336="OK",SUMIFS(예비비!$O$430:$O$729,예비비!$B$430:$B$729,예비비!$A336,예비비!$E$430:$E$729,"&lt;"&amp;EDATE(BK$99,1),예비비!$F$430:$F$729,"결제대금비")+MAX(0,IF(예비비!$D336&lt;EDATE(BK$99,1),예비비!$E336,0)-SUMIFS(예비비!$O$430:$O$729,예비비!$B$430:$B$729,예비비!$A336,예비비!$E$430:$E$729,"&lt;"&amp;EDATE(BK$99,1))),0)</f>
        <v>0</v>
      </c>
      <c r="BL336">
        <f>IF(예비비!$R336="OK",SUMIFS(예비비!$O$430:$O$729,예비비!$B$430:$B$729,예비비!$A336,예비비!$E$430:$E$729,"&lt;"&amp;EDATE(BL$99,1),예비비!$F$430:$F$729,"결제대금비")+MAX(0,IF(예비비!$D336&lt;EDATE(BL$99,1),예비비!$E336,0)-SUMIFS(예비비!$O$430:$O$729,예비비!$B$430:$B$729,예비비!$A336,예비비!$E$430:$E$729,"&lt;"&amp;EDATE(BL$99,1))),0)</f>
        <v>0</v>
      </c>
      <c r="BM336">
        <f>IF(예비비!$R336="OK",SUMIFS(예비비!$O$430:$O$729,예비비!$B$430:$B$729,예비비!$A336,예비비!$E$430:$E$729,"&lt;"&amp;EDATE(BM$99,1),예비비!$F$430:$F$729,"결제대금비")+MAX(0,IF(예비비!$D336&lt;EDATE(BM$99,1),예비비!$E336,0)-SUMIFS(예비비!$O$430:$O$729,예비비!$B$430:$B$729,예비비!$A336,예비비!$E$430:$E$729,"&lt;"&amp;EDATE(BM$99,1))),0)</f>
        <v>0</v>
      </c>
      <c r="BN336">
        <f>IF(예비비!$R336="OK",SUMIFS(예비비!$O$430:$O$729,예비비!$B$430:$B$729,예비비!$A336,예비비!$E$430:$E$729,"&lt;"&amp;EDATE(BN$99,1),예비비!$F$430:$F$729,"결제대금비")+MAX(0,IF(예비비!$D336&lt;EDATE(BN$99,1),예비비!$E336,0)-SUMIFS(예비비!$O$430:$O$729,예비비!$B$430:$B$729,예비비!$A336,예비비!$E$430:$E$729,"&lt;"&amp;EDATE(BN$99,1))),0)</f>
        <v>0</v>
      </c>
      <c r="BO336">
        <f>IF(예비비!$R336="OK",SUMIFS(예비비!$O$430:$O$729,예비비!$B$430:$B$729,예비비!$A336,예비비!$E$430:$E$729,"&lt;"&amp;EDATE(BO$99,1),예비비!$F$430:$F$729,"결제대금비")+MAX(0,IF(예비비!$D336&lt;EDATE(BO$99,1),예비비!$E336,0)-SUMIFS(예비비!$O$430:$O$729,예비비!$B$430:$B$729,예비비!$A336,예비비!$E$430:$E$729,"&lt;"&amp;EDATE(BO$99,1))),0)</f>
        <v>0</v>
      </c>
      <c r="BP336">
        <f>IF(예비비!$R336="OK",SUMIFS(예비비!$O$430:$O$729,예비비!$B$430:$B$729,예비비!$A336,예비비!$E$430:$E$729,"&lt;"&amp;EDATE(BP$99,1),예비비!$F$430:$F$729,"결제대금비")+MAX(0,IF(예비비!$D336&lt;EDATE(BP$99,1),예비비!$E336,0)-SUMIFS(예비비!$O$430:$O$729,예비비!$B$430:$B$729,예비비!$A336,예비비!$E$430:$E$729,"&lt;"&amp;EDATE(BP$99,1))),0)</f>
        <v>0</v>
      </c>
      <c r="BQ336">
        <f>IF(예비비!$R336="OK",SUMIFS(예비비!$O$430:$O$729,예비비!$B$430:$B$729,예비비!$A336,예비비!$E$430:$E$729,"&lt;"&amp;EDATE(BQ$99,1),예비비!$F$430:$F$729,"결제대금비")+MAX(0,IF(예비비!$D336&lt;EDATE(BQ$99,1),예비비!$E336,0)-SUMIFS(예비비!$O$430:$O$729,예비비!$B$430:$B$729,예비비!$A336,예비비!$E$430:$E$729,"&lt;"&amp;EDATE(BQ$99,1))),0)</f>
        <v>0</v>
      </c>
      <c r="BR336">
        <f>IF(예비비!$R336="OK",SUMIFS(예비비!$O$430:$O$729,예비비!$B$430:$B$729,예비비!$A336,예비비!$E$430:$E$729,"&lt;"&amp;EDATE(BR$99,1),예비비!$F$430:$F$729,"결제대금비")+MAX(0,IF(예비비!$D336&lt;EDATE(BR$99,1),예비비!$E336,0)-SUMIFS(예비비!$O$430:$O$729,예비비!$B$430:$B$729,예비비!$A336,예비비!$E$430:$E$729,"&lt;"&amp;EDATE(BR$99,1))),0)</f>
        <v>0</v>
      </c>
      <c r="BS336">
        <f>IF(예비비!$R336="OK",SUMIFS(예비비!$O$430:$O$729,예비비!$B$430:$B$729,예비비!$A336,예비비!$E$430:$E$729,"&lt;"&amp;EDATE(BS$99,1),예비비!$F$430:$F$729,"결제대금비")+MAX(0,IF(예비비!$D336&lt;EDATE(BS$99,1),예비비!$E336,0)-SUMIFS(예비비!$O$430:$O$729,예비비!$B$430:$B$729,예비비!$A336,예비비!$E$430:$E$729,"&lt;"&amp;EDATE(BS$99,1))),0)</f>
        <v>0</v>
      </c>
      <c r="BT336">
        <f>IF(예비비!$R336="OK",SUMIFS(예비비!$O$430:$O$729,예비비!$B$430:$B$729,예비비!$A336,예비비!$E$430:$E$729,"&lt;"&amp;EDATE(BT$99,1),예비비!$F$430:$F$729,"결제대금비")+MAX(0,IF(예비비!$D336&lt;EDATE(BT$99,1),예비비!$E336,0)-SUMIFS(예비비!$O$430:$O$729,예비비!$B$430:$B$729,예비비!$A336,예비비!$E$430:$E$729,"&lt;"&amp;EDATE(BT$99,1))),0)</f>
        <v>0</v>
      </c>
      <c r="BU336">
        <f>IF(예비비!$R336="OK",SUMIFS(예비비!$O$430:$O$729,예비비!$B$430:$B$729,예비비!$A336,예비비!$E$430:$E$729,"&lt;"&amp;EDATE(BU$99,1),예비비!$F$430:$F$729,"결제대금비")+MAX(0,IF(예비비!$D336&lt;EDATE(BU$99,1),예비비!$E336,0)-SUMIFS(예비비!$O$430:$O$729,예비비!$B$430:$B$729,예비비!$A336,예비비!$E$430:$E$729,"&lt;"&amp;EDATE(BU$99,1))),0)</f>
        <v>0</v>
      </c>
    </row>
    <row r="337">
      <c r="BA337">
        <v>281</v>
      </c>
      <c r="BB337" t="str">
        <f>IFERROR(INDEX(잔액!$A:$A,BA337),0)</f>
        <v>00:00:00</v>
      </c>
      <c r="BH337">
        <f>IFERROR(IF(AND(BB337&gt;0,OR(COUNTIFS(예비비!$C$430:$C$729,BA337,예비비!$N$430:$N$729,"OK")&gt;0,AND(INDEX(잔액!$J:$J,BA337)="가족통장",INDEX(잔액!$K:$K,BA337)="미래에셋_WRAP형CMA"),COUNTIF(예비비!$A$8:$A$12,INDEX(잔액!$C:$C,BA337))=1,COUNTIF(예비비!$A$8:$A$12,INDEX(잔액!$D:$D,BA337))=1),OR(AND(BB337&gt;=예비비!$B$3,BB337&lt;EDATE(예비비!$B$3,1)),AND(BB337&lt;EDATE(예비비!$B$3,1),COUNTIFS(예비비!$C$430:$C$729,BA337,예비비!$L$430:$L$729,예비비!$B$3,예비비!$N$430:$N$729,"OK")&gt;0))),MAX($BH$120:BH336)+1,0),0)</f>
        <v>0</v>
      </c>
      <c r="BI337">
        <f>IF(예비비!$R337="OK",SUMIFS(예비비!$O$430:$O$729,예비비!$B$430:$B$729,예비비!$A337,예비비!$E$430:$E$729,"&lt;"&amp;EDATE(BI$99,1),예비비!$F$430:$F$729,"결제대금비")+MAX(0,IF(예비비!$D337&lt;EDATE(BI$99,1),예비비!$E337,0)-SUMIFS(예비비!$O$430:$O$729,예비비!$B$430:$B$729,예비비!$A337,예비비!$E$430:$E$729,"&lt;"&amp;EDATE(BI$99,1))),0)</f>
        <v>0</v>
      </c>
      <c r="BJ337">
        <f>IF(예비비!$R337="OK",SUMIFS(예비비!$O$430:$O$729,예비비!$B$430:$B$729,예비비!$A337,예비비!$E$430:$E$729,"&lt;"&amp;EDATE(BJ$99,1),예비비!$F$430:$F$729,"결제대금비")+MAX(0,IF(예비비!$D337&lt;EDATE(BJ$99,1),예비비!$E337,0)-SUMIFS(예비비!$O$430:$O$729,예비비!$B$430:$B$729,예비비!$A337,예비비!$E$430:$E$729,"&lt;"&amp;EDATE(BJ$99,1))),0)</f>
        <v>0</v>
      </c>
      <c r="BK337">
        <f>IF(예비비!$R337="OK",SUMIFS(예비비!$O$430:$O$729,예비비!$B$430:$B$729,예비비!$A337,예비비!$E$430:$E$729,"&lt;"&amp;EDATE(BK$99,1),예비비!$F$430:$F$729,"결제대금비")+MAX(0,IF(예비비!$D337&lt;EDATE(BK$99,1),예비비!$E337,0)-SUMIFS(예비비!$O$430:$O$729,예비비!$B$430:$B$729,예비비!$A337,예비비!$E$430:$E$729,"&lt;"&amp;EDATE(BK$99,1))),0)</f>
        <v>0</v>
      </c>
      <c r="BL337">
        <f>IF(예비비!$R337="OK",SUMIFS(예비비!$O$430:$O$729,예비비!$B$430:$B$729,예비비!$A337,예비비!$E$430:$E$729,"&lt;"&amp;EDATE(BL$99,1),예비비!$F$430:$F$729,"결제대금비")+MAX(0,IF(예비비!$D337&lt;EDATE(BL$99,1),예비비!$E337,0)-SUMIFS(예비비!$O$430:$O$729,예비비!$B$430:$B$729,예비비!$A337,예비비!$E$430:$E$729,"&lt;"&amp;EDATE(BL$99,1))),0)</f>
        <v>0</v>
      </c>
      <c r="BM337">
        <f>IF(예비비!$R337="OK",SUMIFS(예비비!$O$430:$O$729,예비비!$B$430:$B$729,예비비!$A337,예비비!$E$430:$E$729,"&lt;"&amp;EDATE(BM$99,1),예비비!$F$430:$F$729,"결제대금비")+MAX(0,IF(예비비!$D337&lt;EDATE(BM$99,1),예비비!$E337,0)-SUMIFS(예비비!$O$430:$O$729,예비비!$B$430:$B$729,예비비!$A337,예비비!$E$430:$E$729,"&lt;"&amp;EDATE(BM$99,1))),0)</f>
        <v>0</v>
      </c>
      <c r="BN337">
        <f>IF(예비비!$R337="OK",SUMIFS(예비비!$O$430:$O$729,예비비!$B$430:$B$729,예비비!$A337,예비비!$E$430:$E$729,"&lt;"&amp;EDATE(BN$99,1),예비비!$F$430:$F$729,"결제대금비")+MAX(0,IF(예비비!$D337&lt;EDATE(BN$99,1),예비비!$E337,0)-SUMIFS(예비비!$O$430:$O$729,예비비!$B$430:$B$729,예비비!$A337,예비비!$E$430:$E$729,"&lt;"&amp;EDATE(BN$99,1))),0)</f>
        <v>0</v>
      </c>
      <c r="BO337">
        <f>IF(예비비!$R337="OK",SUMIFS(예비비!$O$430:$O$729,예비비!$B$430:$B$729,예비비!$A337,예비비!$E$430:$E$729,"&lt;"&amp;EDATE(BO$99,1),예비비!$F$430:$F$729,"결제대금비")+MAX(0,IF(예비비!$D337&lt;EDATE(BO$99,1),예비비!$E337,0)-SUMIFS(예비비!$O$430:$O$729,예비비!$B$430:$B$729,예비비!$A337,예비비!$E$430:$E$729,"&lt;"&amp;EDATE(BO$99,1))),0)</f>
        <v>0</v>
      </c>
      <c r="BP337">
        <f>IF(예비비!$R337="OK",SUMIFS(예비비!$O$430:$O$729,예비비!$B$430:$B$729,예비비!$A337,예비비!$E$430:$E$729,"&lt;"&amp;EDATE(BP$99,1),예비비!$F$430:$F$729,"결제대금비")+MAX(0,IF(예비비!$D337&lt;EDATE(BP$99,1),예비비!$E337,0)-SUMIFS(예비비!$O$430:$O$729,예비비!$B$430:$B$729,예비비!$A337,예비비!$E$430:$E$729,"&lt;"&amp;EDATE(BP$99,1))),0)</f>
        <v>0</v>
      </c>
      <c r="BQ337">
        <f>IF(예비비!$R337="OK",SUMIFS(예비비!$O$430:$O$729,예비비!$B$430:$B$729,예비비!$A337,예비비!$E$430:$E$729,"&lt;"&amp;EDATE(BQ$99,1),예비비!$F$430:$F$729,"결제대금비")+MAX(0,IF(예비비!$D337&lt;EDATE(BQ$99,1),예비비!$E337,0)-SUMIFS(예비비!$O$430:$O$729,예비비!$B$430:$B$729,예비비!$A337,예비비!$E$430:$E$729,"&lt;"&amp;EDATE(BQ$99,1))),0)</f>
        <v>0</v>
      </c>
      <c r="BR337">
        <f>IF(예비비!$R337="OK",SUMIFS(예비비!$O$430:$O$729,예비비!$B$430:$B$729,예비비!$A337,예비비!$E$430:$E$729,"&lt;"&amp;EDATE(BR$99,1),예비비!$F$430:$F$729,"결제대금비")+MAX(0,IF(예비비!$D337&lt;EDATE(BR$99,1),예비비!$E337,0)-SUMIFS(예비비!$O$430:$O$729,예비비!$B$430:$B$729,예비비!$A337,예비비!$E$430:$E$729,"&lt;"&amp;EDATE(BR$99,1))),0)</f>
        <v>0</v>
      </c>
      <c r="BS337">
        <f>IF(예비비!$R337="OK",SUMIFS(예비비!$O$430:$O$729,예비비!$B$430:$B$729,예비비!$A337,예비비!$E$430:$E$729,"&lt;"&amp;EDATE(BS$99,1),예비비!$F$430:$F$729,"결제대금비")+MAX(0,IF(예비비!$D337&lt;EDATE(BS$99,1),예비비!$E337,0)-SUMIFS(예비비!$O$430:$O$729,예비비!$B$430:$B$729,예비비!$A337,예비비!$E$430:$E$729,"&lt;"&amp;EDATE(BS$99,1))),0)</f>
        <v>0</v>
      </c>
      <c r="BT337">
        <f>IF(예비비!$R337="OK",SUMIFS(예비비!$O$430:$O$729,예비비!$B$430:$B$729,예비비!$A337,예비비!$E$430:$E$729,"&lt;"&amp;EDATE(BT$99,1),예비비!$F$430:$F$729,"결제대금비")+MAX(0,IF(예비비!$D337&lt;EDATE(BT$99,1),예비비!$E337,0)-SUMIFS(예비비!$O$430:$O$729,예비비!$B$430:$B$729,예비비!$A337,예비비!$E$430:$E$729,"&lt;"&amp;EDATE(BT$99,1))),0)</f>
        <v>0</v>
      </c>
      <c r="BU337">
        <f>IF(예비비!$R337="OK",SUMIFS(예비비!$O$430:$O$729,예비비!$B$430:$B$729,예비비!$A337,예비비!$E$430:$E$729,"&lt;"&amp;EDATE(BU$99,1),예비비!$F$430:$F$729,"결제대금비")+MAX(0,IF(예비비!$D337&lt;EDATE(BU$99,1),예비비!$E337,0)-SUMIFS(예비비!$O$430:$O$729,예비비!$B$430:$B$729,예비비!$A337,예비비!$E$430:$E$729,"&lt;"&amp;EDATE(BU$99,1))),0)</f>
        <v>0</v>
      </c>
    </row>
    <row r="338">
      <c r="BA338">
        <v>282</v>
      </c>
      <c r="BB338" t="str">
        <f>IFERROR(INDEX(잔액!$A:$A,BA338),0)</f>
        <v>00:00:00</v>
      </c>
      <c r="BH338">
        <f>IFERROR(IF(AND(BB338&gt;0,OR(COUNTIFS(예비비!$C$430:$C$729,BA338,예비비!$N$430:$N$729,"OK")&gt;0,AND(INDEX(잔액!$J:$J,BA338)="가족통장",INDEX(잔액!$K:$K,BA338)="미래에셋_WRAP형CMA"),COUNTIF(예비비!$A$8:$A$12,INDEX(잔액!$C:$C,BA338))=1,COUNTIF(예비비!$A$8:$A$12,INDEX(잔액!$D:$D,BA338))=1),OR(AND(BB338&gt;=예비비!$B$3,BB338&lt;EDATE(예비비!$B$3,1)),AND(BB338&lt;EDATE(예비비!$B$3,1),COUNTIFS(예비비!$C$430:$C$729,BA338,예비비!$L$430:$L$729,예비비!$B$3,예비비!$N$430:$N$729,"OK")&gt;0))),MAX($BH$120:BH337)+1,0),0)</f>
        <v>0</v>
      </c>
      <c r="BI338">
        <f>IF(예비비!$R338="OK",SUMIFS(예비비!$O$430:$O$729,예비비!$B$430:$B$729,예비비!$A338,예비비!$E$430:$E$729,"&lt;"&amp;EDATE(BI$99,1),예비비!$F$430:$F$729,"결제대금비")+MAX(0,IF(예비비!$D338&lt;EDATE(BI$99,1),예비비!$E338,0)-SUMIFS(예비비!$O$430:$O$729,예비비!$B$430:$B$729,예비비!$A338,예비비!$E$430:$E$729,"&lt;"&amp;EDATE(BI$99,1))),0)</f>
        <v>0</v>
      </c>
      <c r="BJ338">
        <f>IF(예비비!$R338="OK",SUMIFS(예비비!$O$430:$O$729,예비비!$B$430:$B$729,예비비!$A338,예비비!$E$430:$E$729,"&lt;"&amp;EDATE(BJ$99,1),예비비!$F$430:$F$729,"결제대금비")+MAX(0,IF(예비비!$D338&lt;EDATE(BJ$99,1),예비비!$E338,0)-SUMIFS(예비비!$O$430:$O$729,예비비!$B$430:$B$729,예비비!$A338,예비비!$E$430:$E$729,"&lt;"&amp;EDATE(BJ$99,1))),0)</f>
        <v>0</v>
      </c>
      <c r="BK338">
        <f>IF(예비비!$R338="OK",SUMIFS(예비비!$O$430:$O$729,예비비!$B$430:$B$729,예비비!$A338,예비비!$E$430:$E$729,"&lt;"&amp;EDATE(BK$99,1),예비비!$F$430:$F$729,"결제대금비")+MAX(0,IF(예비비!$D338&lt;EDATE(BK$99,1),예비비!$E338,0)-SUMIFS(예비비!$O$430:$O$729,예비비!$B$430:$B$729,예비비!$A338,예비비!$E$430:$E$729,"&lt;"&amp;EDATE(BK$99,1))),0)</f>
        <v>0</v>
      </c>
      <c r="BL338">
        <f>IF(예비비!$R338="OK",SUMIFS(예비비!$O$430:$O$729,예비비!$B$430:$B$729,예비비!$A338,예비비!$E$430:$E$729,"&lt;"&amp;EDATE(BL$99,1),예비비!$F$430:$F$729,"결제대금비")+MAX(0,IF(예비비!$D338&lt;EDATE(BL$99,1),예비비!$E338,0)-SUMIFS(예비비!$O$430:$O$729,예비비!$B$430:$B$729,예비비!$A338,예비비!$E$430:$E$729,"&lt;"&amp;EDATE(BL$99,1))),0)</f>
        <v>0</v>
      </c>
      <c r="BM338">
        <f>IF(예비비!$R338="OK",SUMIFS(예비비!$O$430:$O$729,예비비!$B$430:$B$729,예비비!$A338,예비비!$E$430:$E$729,"&lt;"&amp;EDATE(BM$99,1),예비비!$F$430:$F$729,"결제대금비")+MAX(0,IF(예비비!$D338&lt;EDATE(BM$99,1),예비비!$E338,0)-SUMIFS(예비비!$O$430:$O$729,예비비!$B$430:$B$729,예비비!$A338,예비비!$E$430:$E$729,"&lt;"&amp;EDATE(BM$99,1))),0)</f>
        <v>0</v>
      </c>
      <c r="BN338">
        <f>IF(예비비!$R338="OK",SUMIFS(예비비!$O$430:$O$729,예비비!$B$430:$B$729,예비비!$A338,예비비!$E$430:$E$729,"&lt;"&amp;EDATE(BN$99,1),예비비!$F$430:$F$729,"결제대금비")+MAX(0,IF(예비비!$D338&lt;EDATE(BN$99,1),예비비!$E338,0)-SUMIFS(예비비!$O$430:$O$729,예비비!$B$430:$B$729,예비비!$A338,예비비!$E$430:$E$729,"&lt;"&amp;EDATE(BN$99,1))),0)</f>
        <v>0</v>
      </c>
      <c r="BO338">
        <f>IF(예비비!$R338="OK",SUMIFS(예비비!$O$430:$O$729,예비비!$B$430:$B$729,예비비!$A338,예비비!$E$430:$E$729,"&lt;"&amp;EDATE(BO$99,1),예비비!$F$430:$F$729,"결제대금비")+MAX(0,IF(예비비!$D338&lt;EDATE(BO$99,1),예비비!$E338,0)-SUMIFS(예비비!$O$430:$O$729,예비비!$B$430:$B$729,예비비!$A338,예비비!$E$430:$E$729,"&lt;"&amp;EDATE(BO$99,1))),0)</f>
        <v>0</v>
      </c>
      <c r="BP338">
        <f>IF(예비비!$R338="OK",SUMIFS(예비비!$O$430:$O$729,예비비!$B$430:$B$729,예비비!$A338,예비비!$E$430:$E$729,"&lt;"&amp;EDATE(BP$99,1),예비비!$F$430:$F$729,"결제대금비")+MAX(0,IF(예비비!$D338&lt;EDATE(BP$99,1),예비비!$E338,0)-SUMIFS(예비비!$O$430:$O$729,예비비!$B$430:$B$729,예비비!$A338,예비비!$E$430:$E$729,"&lt;"&amp;EDATE(BP$99,1))),0)</f>
        <v>0</v>
      </c>
      <c r="BQ338">
        <f>IF(예비비!$R338="OK",SUMIFS(예비비!$O$430:$O$729,예비비!$B$430:$B$729,예비비!$A338,예비비!$E$430:$E$729,"&lt;"&amp;EDATE(BQ$99,1),예비비!$F$430:$F$729,"결제대금비")+MAX(0,IF(예비비!$D338&lt;EDATE(BQ$99,1),예비비!$E338,0)-SUMIFS(예비비!$O$430:$O$729,예비비!$B$430:$B$729,예비비!$A338,예비비!$E$430:$E$729,"&lt;"&amp;EDATE(BQ$99,1))),0)</f>
        <v>0</v>
      </c>
      <c r="BR338">
        <f>IF(예비비!$R338="OK",SUMIFS(예비비!$O$430:$O$729,예비비!$B$430:$B$729,예비비!$A338,예비비!$E$430:$E$729,"&lt;"&amp;EDATE(BR$99,1),예비비!$F$430:$F$729,"결제대금비")+MAX(0,IF(예비비!$D338&lt;EDATE(BR$99,1),예비비!$E338,0)-SUMIFS(예비비!$O$430:$O$729,예비비!$B$430:$B$729,예비비!$A338,예비비!$E$430:$E$729,"&lt;"&amp;EDATE(BR$99,1))),0)</f>
        <v>0</v>
      </c>
      <c r="BS338">
        <f>IF(예비비!$R338="OK",SUMIFS(예비비!$O$430:$O$729,예비비!$B$430:$B$729,예비비!$A338,예비비!$E$430:$E$729,"&lt;"&amp;EDATE(BS$99,1),예비비!$F$430:$F$729,"결제대금비")+MAX(0,IF(예비비!$D338&lt;EDATE(BS$99,1),예비비!$E338,0)-SUMIFS(예비비!$O$430:$O$729,예비비!$B$430:$B$729,예비비!$A338,예비비!$E$430:$E$729,"&lt;"&amp;EDATE(BS$99,1))),0)</f>
        <v>0</v>
      </c>
      <c r="BT338">
        <f>IF(예비비!$R338="OK",SUMIFS(예비비!$O$430:$O$729,예비비!$B$430:$B$729,예비비!$A338,예비비!$E$430:$E$729,"&lt;"&amp;EDATE(BT$99,1),예비비!$F$430:$F$729,"결제대금비")+MAX(0,IF(예비비!$D338&lt;EDATE(BT$99,1),예비비!$E338,0)-SUMIFS(예비비!$O$430:$O$729,예비비!$B$430:$B$729,예비비!$A338,예비비!$E$430:$E$729,"&lt;"&amp;EDATE(BT$99,1))),0)</f>
        <v>0</v>
      </c>
      <c r="BU338">
        <f>IF(예비비!$R338="OK",SUMIFS(예비비!$O$430:$O$729,예비비!$B$430:$B$729,예비비!$A338,예비비!$E$430:$E$729,"&lt;"&amp;EDATE(BU$99,1),예비비!$F$430:$F$729,"결제대금비")+MAX(0,IF(예비비!$D338&lt;EDATE(BU$99,1),예비비!$E338,0)-SUMIFS(예비비!$O$430:$O$729,예비비!$B$430:$B$729,예비비!$A338,예비비!$E$430:$E$729,"&lt;"&amp;EDATE(BU$99,1))),0)</f>
        <v>0</v>
      </c>
    </row>
    <row r="339">
      <c r="BA339">
        <v>283</v>
      </c>
      <c r="BB339" t="str">
        <f>IFERROR(INDEX(잔액!$A:$A,BA339),0)</f>
        <v>00:00:00</v>
      </c>
      <c r="BH339">
        <f>IFERROR(IF(AND(BB339&gt;0,OR(COUNTIFS(예비비!$C$430:$C$729,BA339,예비비!$N$430:$N$729,"OK")&gt;0,AND(INDEX(잔액!$J:$J,BA339)="가족통장",INDEX(잔액!$K:$K,BA339)="미래에셋_WRAP형CMA"),COUNTIF(예비비!$A$8:$A$12,INDEX(잔액!$C:$C,BA339))=1,COUNTIF(예비비!$A$8:$A$12,INDEX(잔액!$D:$D,BA339))=1),OR(AND(BB339&gt;=예비비!$B$3,BB339&lt;EDATE(예비비!$B$3,1)),AND(BB339&lt;EDATE(예비비!$B$3,1),COUNTIFS(예비비!$C$430:$C$729,BA339,예비비!$L$430:$L$729,예비비!$B$3,예비비!$N$430:$N$729,"OK")&gt;0))),MAX($BH$120:BH338)+1,0),0)</f>
        <v>0</v>
      </c>
      <c r="BI339">
        <f>IF(예비비!$R339="OK",SUMIFS(예비비!$O$430:$O$729,예비비!$B$430:$B$729,예비비!$A339,예비비!$E$430:$E$729,"&lt;"&amp;EDATE(BI$99,1),예비비!$F$430:$F$729,"결제대금비")+MAX(0,IF(예비비!$D339&lt;EDATE(BI$99,1),예비비!$E339,0)-SUMIFS(예비비!$O$430:$O$729,예비비!$B$430:$B$729,예비비!$A339,예비비!$E$430:$E$729,"&lt;"&amp;EDATE(BI$99,1))),0)</f>
        <v>0</v>
      </c>
      <c r="BJ339">
        <f>IF(예비비!$R339="OK",SUMIFS(예비비!$O$430:$O$729,예비비!$B$430:$B$729,예비비!$A339,예비비!$E$430:$E$729,"&lt;"&amp;EDATE(BJ$99,1),예비비!$F$430:$F$729,"결제대금비")+MAX(0,IF(예비비!$D339&lt;EDATE(BJ$99,1),예비비!$E339,0)-SUMIFS(예비비!$O$430:$O$729,예비비!$B$430:$B$729,예비비!$A339,예비비!$E$430:$E$729,"&lt;"&amp;EDATE(BJ$99,1))),0)</f>
        <v>0</v>
      </c>
      <c r="BK339">
        <f>IF(예비비!$R339="OK",SUMIFS(예비비!$O$430:$O$729,예비비!$B$430:$B$729,예비비!$A339,예비비!$E$430:$E$729,"&lt;"&amp;EDATE(BK$99,1),예비비!$F$430:$F$729,"결제대금비")+MAX(0,IF(예비비!$D339&lt;EDATE(BK$99,1),예비비!$E339,0)-SUMIFS(예비비!$O$430:$O$729,예비비!$B$430:$B$729,예비비!$A339,예비비!$E$430:$E$729,"&lt;"&amp;EDATE(BK$99,1))),0)</f>
        <v>0</v>
      </c>
      <c r="BL339">
        <f>IF(예비비!$R339="OK",SUMIFS(예비비!$O$430:$O$729,예비비!$B$430:$B$729,예비비!$A339,예비비!$E$430:$E$729,"&lt;"&amp;EDATE(BL$99,1),예비비!$F$430:$F$729,"결제대금비")+MAX(0,IF(예비비!$D339&lt;EDATE(BL$99,1),예비비!$E339,0)-SUMIFS(예비비!$O$430:$O$729,예비비!$B$430:$B$729,예비비!$A339,예비비!$E$430:$E$729,"&lt;"&amp;EDATE(BL$99,1))),0)</f>
        <v>0</v>
      </c>
      <c r="BM339">
        <f>IF(예비비!$R339="OK",SUMIFS(예비비!$O$430:$O$729,예비비!$B$430:$B$729,예비비!$A339,예비비!$E$430:$E$729,"&lt;"&amp;EDATE(BM$99,1),예비비!$F$430:$F$729,"결제대금비")+MAX(0,IF(예비비!$D339&lt;EDATE(BM$99,1),예비비!$E339,0)-SUMIFS(예비비!$O$430:$O$729,예비비!$B$430:$B$729,예비비!$A339,예비비!$E$430:$E$729,"&lt;"&amp;EDATE(BM$99,1))),0)</f>
        <v>0</v>
      </c>
      <c r="BN339">
        <f>IF(예비비!$R339="OK",SUMIFS(예비비!$O$430:$O$729,예비비!$B$430:$B$729,예비비!$A339,예비비!$E$430:$E$729,"&lt;"&amp;EDATE(BN$99,1),예비비!$F$430:$F$729,"결제대금비")+MAX(0,IF(예비비!$D339&lt;EDATE(BN$99,1),예비비!$E339,0)-SUMIFS(예비비!$O$430:$O$729,예비비!$B$430:$B$729,예비비!$A339,예비비!$E$430:$E$729,"&lt;"&amp;EDATE(BN$99,1))),0)</f>
        <v>0</v>
      </c>
      <c r="BO339">
        <f>IF(예비비!$R339="OK",SUMIFS(예비비!$O$430:$O$729,예비비!$B$430:$B$729,예비비!$A339,예비비!$E$430:$E$729,"&lt;"&amp;EDATE(BO$99,1),예비비!$F$430:$F$729,"결제대금비")+MAX(0,IF(예비비!$D339&lt;EDATE(BO$99,1),예비비!$E339,0)-SUMIFS(예비비!$O$430:$O$729,예비비!$B$430:$B$729,예비비!$A339,예비비!$E$430:$E$729,"&lt;"&amp;EDATE(BO$99,1))),0)</f>
        <v>0</v>
      </c>
      <c r="BP339">
        <f>IF(예비비!$R339="OK",SUMIFS(예비비!$O$430:$O$729,예비비!$B$430:$B$729,예비비!$A339,예비비!$E$430:$E$729,"&lt;"&amp;EDATE(BP$99,1),예비비!$F$430:$F$729,"결제대금비")+MAX(0,IF(예비비!$D339&lt;EDATE(BP$99,1),예비비!$E339,0)-SUMIFS(예비비!$O$430:$O$729,예비비!$B$430:$B$729,예비비!$A339,예비비!$E$430:$E$729,"&lt;"&amp;EDATE(BP$99,1))),0)</f>
        <v>0</v>
      </c>
      <c r="BQ339">
        <f>IF(예비비!$R339="OK",SUMIFS(예비비!$O$430:$O$729,예비비!$B$430:$B$729,예비비!$A339,예비비!$E$430:$E$729,"&lt;"&amp;EDATE(BQ$99,1),예비비!$F$430:$F$729,"결제대금비")+MAX(0,IF(예비비!$D339&lt;EDATE(BQ$99,1),예비비!$E339,0)-SUMIFS(예비비!$O$430:$O$729,예비비!$B$430:$B$729,예비비!$A339,예비비!$E$430:$E$729,"&lt;"&amp;EDATE(BQ$99,1))),0)</f>
        <v>0</v>
      </c>
      <c r="BR339">
        <f>IF(예비비!$R339="OK",SUMIFS(예비비!$O$430:$O$729,예비비!$B$430:$B$729,예비비!$A339,예비비!$E$430:$E$729,"&lt;"&amp;EDATE(BR$99,1),예비비!$F$430:$F$729,"결제대금비")+MAX(0,IF(예비비!$D339&lt;EDATE(BR$99,1),예비비!$E339,0)-SUMIFS(예비비!$O$430:$O$729,예비비!$B$430:$B$729,예비비!$A339,예비비!$E$430:$E$729,"&lt;"&amp;EDATE(BR$99,1))),0)</f>
        <v>0</v>
      </c>
      <c r="BS339">
        <f>IF(예비비!$R339="OK",SUMIFS(예비비!$O$430:$O$729,예비비!$B$430:$B$729,예비비!$A339,예비비!$E$430:$E$729,"&lt;"&amp;EDATE(BS$99,1),예비비!$F$430:$F$729,"결제대금비")+MAX(0,IF(예비비!$D339&lt;EDATE(BS$99,1),예비비!$E339,0)-SUMIFS(예비비!$O$430:$O$729,예비비!$B$430:$B$729,예비비!$A339,예비비!$E$430:$E$729,"&lt;"&amp;EDATE(BS$99,1))),0)</f>
        <v>0</v>
      </c>
      <c r="BT339">
        <f>IF(예비비!$R339="OK",SUMIFS(예비비!$O$430:$O$729,예비비!$B$430:$B$729,예비비!$A339,예비비!$E$430:$E$729,"&lt;"&amp;EDATE(BT$99,1),예비비!$F$430:$F$729,"결제대금비")+MAX(0,IF(예비비!$D339&lt;EDATE(BT$99,1),예비비!$E339,0)-SUMIFS(예비비!$O$430:$O$729,예비비!$B$430:$B$729,예비비!$A339,예비비!$E$430:$E$729,"&lt;"&amp;EDATE(BT$99,1))),0)</f>
        <v>0</v>
      </c>
      <c r="BU339">
        <f>IF(예비비!$R339="OK",SUMIFS(예비비!$O$430:$O$729,예비비!$B$430:$B$729,예비비!$A339,예비비!$E$430:$E$729,"&lt;"&amp;EDATE(BU$99,1),예비비!$F$430:$F$729,"결제대금비")+MAX(0,IF(예비비!$D339&lt;EDATE(BU$99,1),예비비!$E339,0)-SUMIFS(예비비!$O$430:$O$729,예비비!$B$430:$B$729,예비비!$A339,예비비!$E$430:$E$729,"&lt;"&amp;EDATE(BU$99,1))),0)</f>
        <v>0</v>
      </c>
    </row>
    <row r="340">
      <c r="BA340">
        <v>284</v>
      </c>
      <c r="BB340" t="str">
        <f>IFERROR(INDEX(잔액!$A:$A,BA340),0)</f>
        <v>00:00:00</v>
      </c>
      <c r="BH340">
        <f>IFERROR(IF(AND(BB340&gt;0,OR(COUNTIFS(예비비!$C$430:$C$729,BA340,예비비!$N$430:$N$729,"OK")&gt;0,AND(INDEX(잔액!$J:$J,BA340)="가족통장",INDEX(잔액!$K:$K,BA340)="미래에셋_WRAP형CMA"),COUNTIF(예비비!$A$8:$A$12,INDEX(잔액!$C:$C,BA340))=1,COUNTIF(예비비!$A$8:$A$12,INDEX(잔액!$D:$D,BA340))=1),OR(AND(BB340&gt;=예비비!$B$3,BB340&lt;EDATE(예비비!$B$3,1)),AND(BB340&lt;EDATE(예비비!$B$3,1),COUNTIFS(예비비!$C$430:$C$729,BA340,예비비!$L$430:$L$729,예비비!$B$3,예비비!$N$430:$N$729,"OK")&gt;0))),MAX($BH$120:BH339)+1,0),0)</f>
        <v>0</v>
      </c>
      <c r="BI340">
        <f>IF(예비비!$R340="OK",SUMIFS(예비비!$O$430:$O$729,예비비!$B$430:$B$729,예비비!$A340,예비비!$E$430:$E$729,"&lt;"&amp;EDATE(BI$99,1),예비비!$F$430:$F$729,"결제대금비")+MAX(0,IF(예비비!$D340&lt;EDATE(BI$99,1),예비비!$E340,0)-SUMIFS(예비비!$O$430:$O$729,예비비!$B$430:$B$729,예비비!$A340,예비비!$E$430:$E$729,"&lt;"&amp;EDATE(BI$99,1))),0)</f>
        <v>0</v>
      </c>
      <c r="BJ340">
        <f>IF(예비비!$R340="OK",SUMIFS(예비비!$O$430:$O$729,예비비!$B$430:$B$729,예비비!$A340,예비비!$E$430:$E$729,"&lt;"&amp;EDATE(BJ$99,1),예비비!$F$430:$F$729,"결제대금비")+MAX(0,IF(예비비!$D340&lt;EDATE(BJ$99,1),예비비!$E340,0)-SUMIFS(예비비!$O$430:$O$729,예비비!$B$430:$B$729,예비비!$A340,예비비!$E$430:$E$729,"&lt;"&amp;EDATE(BJ$99,1))),0)</f>
        <v>0</v>
      </c>
      <c r="BK340">
        <f>IF(예비비!$R340="OK",SUMIFS(예비비!$O$430:$O$729,예비비!$B$430:$B$729,예비비!$A340,예비비!$E$430:$E$729,"&lt;"&amp;EDATE(BK$99,1),예비비!$F$430:$F$729,"결제대금비")+MAX(0,IF(예비비!$D340&lt;EDATE(BK$99,1),예비비!$E340,0)-SUMIFS(예비비!$O$430:$O$729,예비비!$B$430:$B$729,예비비!$A340,예비비!$E$430:$E$729,"&lt;"&amp;EDATE(BK$99,1))),0)</f>
        <v>0</v>
      </c>
      <c r="BL340">
        <f>IF(예비비!$R340="OK",SUMIFS(예비비!$O$430:$O$729,예비비!$B$430:$B$729,예비비!$A340,예비비!$E$430:$E$729,"&lt;"&amp;EDATE(BL$99,1),예비비!$F$430:$F$729,"결제대금비")+MAX(0,IF(예비비!$D340&lt;EDATE(BL$99,1),예비비!$E340,0)-SUMIFS(예비비!$O$430:$O$729,예비비!$B$430:$B$729,예비비!$A340,예비비!$E$430:$E$729,"&lt;"&amp;EDATE(BL$99,1))),0)</f>
        <v>0</v>
      </c>
      <c r="BM340">
        <f>IF(예비비!$R340="OK",SUMIFS(예비비!$O$430:$O$729,예비비!$B$430:$B$729,예비비!$A340,예비비!$E$430:$E$729,"&lt;"&amp;EDATE(BM$99,1),예비비!$F$430:$F$729,"결제대금비")+MAX(0,IF(예비비!$D340&lt;EDATE(BM$99,1),예비비!$E340,0)-SUMIFS(예비비!$O$430:$O$729,예비비!$B$430:$B$729,예비비!$A340,예비비!$E$430:$E$729,"&lt;"&amp;EDATE(BM$99,1))),0)</f>
        <v>0</v>
      </c>
      <c r="BN340">
        <f>IF(예비비!$R340="OK",SUMIFS(예비비!$O$430:$O$729,예비비!$B$430:$B$729,예비비!$A340,예비비!$E$430:$E$729,"&lt;"&amp;EDATE(BN$99,1),예비비!$F$430:$F$729,"결제대금비")+MAX(0,IF(예비비!$D340&lt;EDATE(BN$99,1),예비비!$E340,0)-SUMIFS(예비비!$O$430:$O$729,예비비!$B$430:$B$729,예비비!$A340,예비비!$E$430:$E$729,"&lt;"&amp;EDATE(BN$99,1))),0)</f>
        <v>0</v>
      </c>
      <c r="BO340">
        <f>IF(예비비!$R340="OK",SUMIFS(예비비!$O$430:$O$729,예비비!$B$430:$B$729,예비비!$A340,예비비!$E$430:$E$729,"&lt;"&amp;EDATE(BO$99,1),예비비!$F$430:$F$729,"결제대금비")+MAX(0,IF(예비비!$D340&lt;EDATE(BO$99,1),예비비!$E340,0)-SUMIFS(예비비!$O$430:$O$729,예비비!$B$430:$B$729,예비비!$A340,예비비!$E$430:$E$729,"&lt;"&amp;EDATE(BO$99,1))),0)</f>
        <v>0</v>
      </c>
      <c r="BP340">
        <f>IF(예비비!$R340="OK",SUMIFS(예비비!$O$430:$O$729,예비비!$B$430:$B$729,예비비!$A340,예비비!$E$430:$E$729,"&lt;"&amp;EDATE(BP$99,1),예비비!$F$430:$F$729,"결제대금비")+MAX(0,IF(예비비!$D340&lt;EDATE(BP$99,1),예비비!$E340,0)-SUMIFS(예비비!$O$430:$O$729,예비비!$B$430:$B$729,예비비!$A340,예비비!$E$430:$E$729,"&lt;"&amp;EDATE(BP$99,1))),0)</f>
        <v>0</v>
      </c>
      <c r="BQ340">
        <f>IF(예비비!$R340="OK",SUMIFS(예비비!$O$430:$O$729,예비비!$B$430:$B$729,예비비!$A340,예비비!$E$430:$E$729,"&lt;"&amp;EDATE(BQ$99,1),예비비!$F$430:$F$729,"결제대금비")+MAX(0,IF(예비비!$D340&lt;EDATE(BQ$99,1),예비비!$E340,0)-SUMIFS(예비비!$O$430:$O$729,예비비!$B$430:$B$729,예비비!$A340,예비비!$E$430:$E$729,"&lt;"&amp;EDATE(BQ$99,1))),0)</f>
        <v>0</v>
      </c>
      <c r="BR340">
        <f>IF(예비비!$R340="OK",SUMIFS(예비비!$O$430:$O$729,예비비!$B$430:$B$729,예비비!$A340,예비비!$E$430:$E$729,"&lt;"&amp;EDATE(BR$99,1),예비비!$F$430:$F$729,"결제대금비")+MAX(0,IF(예비비!$D340&lt;EDATE(BR$99,1),예비비!$E340,0)-SUMIFS(예비비!$O$430:$O$729,예비비!$B$430:$B$729,예비비!$A340,예비비!$E$430:$E$729,"&lt;"&amp;EDATE(BR$99,1))),0)</f>
        <v>0</v>
      </c>
      <c r="BS340">
        <f>IF(예비비!$R340="OK",SUMIFS(예비비!$O$430:$O$729,예비비!$B$430:$B$729,예비비!$A340,예비비!$E$430:$E$729,"&lt;"&amp;EDATE(BS$99,1),예비비!$F$430:$F$729,"결제대금비")+MAX(0,IF(예비비!$D340&lt;EDATE(BS$99,1),예비비!$E340,0)-SUMIFS(예비비!$O$430:$O$729,예비비!$B$430:$B$729,예비비!$A340,예비비!$E$430:$E$729,"&lt;"&amp;EDATE(BS$99,1))),0)</f>
        <v>0</v>
      </c>
      <c r="BT340">
        <f>IF(예비비!$R340="OK",SUMIFS(예비비!$O$430:$O$729,예비비!$B$430:$B$729,예비비!$A340,예비비!$E$430:$E$729,"&lt;"&amp;EDATE(BT$99,1),예비비!$F$430:$F$729,"결제대금비")+MAX(0,IF(예비비!$D340&lt;EDATE(BT$99,1),예비비!$E340,0)-SUMIFS(예비비!$O$430:$O$729,예비비!$B$430:$B$729,예비비!$A340,예비비!$E$430:$E$729,"&lt;"&amp;EDATE(BT$99,1))),0)</f>
        <v>0</v>
      </c>
      <c r="BU340">
        <f>IF(예비비!$R340="OK",SUMIFS(예비비!$O$430:$O$729,예비비!$B$430:$B$729,예비비!$A340,예비비!$E$430:$E$729,"&lt;"&amp;EDATE(BU$99,1),예비비!$F$430:$F$729,"결제대금비")+MAX(0,IF(예비비!$D340&lt;EDATE(BU$99,1),예비비!$E340,0)-SUMIFS(예비비!$O$430:$O$729,예비비!$B$430:$B$729,예비비!$A340,예비비!$E$430:$E$729,"&lt;"&amp;EDATE(BU$99,1))),0)</f>
        <v>0</v>
      </c>
    </row>
    <row r="341">
      <c r="BA341">
        <v>285</v>
      </c>
      <c r="BB341" t="str">
        <f>IFERROR(INDEX(잔액!$A:$A,BA341),0)</f>
        <v>00:00:00</v>
      </c>
      <c r="BH341">
        <f>IFERROR(IF(AND(BB341&gt;0,OR(COUNTIFS(예비비!$C$430:$C$729,BA341,예비비!$N$430:$N$729,"OK")&gt;0,AND(INDEX(잔액!$J:$J,BA341)="가족통장",INDEX(잔액!$K:$K,BA341)="미래에셋_WRAP형CMA"),COUNTIF(예비비!$A$8:$A$12,INDEX(잔액!$C:$C,BA341))=1,COUNTIF(예비비!$A$8:$A$12,INDEX(잔액!$D:$D,BA341))=1),OR(AND(BB341&gt;=예비비!$B$3,BB341&lt;EDATE(예비비!$B$3,1)),AND(BB341&lt;EDATE(예비비!$B$3,1),COUNTIFS(예비비!$C$430:$C$729,BA341,예비비!$L$430:$L$729,예비비!$B$3,예비비!$N$430:$N$729,"OK")&gt;0))),MAX($BH$120:BH340)+1,0),0)</f>
        <v>0</v>
      </c>
      <c r="BI341">
        <f>IF(예비비!$R341="OK",SUMIFS(예비비!$O$430:$O$729,예비비!$B$430:$B$729,예비비!$A341,예비비!$E$430:$E$729,"&lt;"&amp;EDATE(BI$99,1),예비비!$F$430:$F$729,"결제대금비")+MAX(0,IF(예비비!$D341&lt;EDATE(BI$99,1),예비비!$E341,0)-SUMIFS(예비비!$O$430:$O$729,예비비!$B$430:$B$729,예비비!$A341,예비비!$E$430:$E$729,"&lt;"&amp;EDATE(BI$99,1))),0)</f>
        <v>0</v>
      </c>
      <c r="BJ341">
        <f>IF(예비비!$R341="OK",SUMIFS(예비비!$O$430:$O$729,예비비!$B$430:$B$729,예비비!$A341,예비비!$E$430:$E$729,"&lt;"&amp;EDATE(BJ$99,1),예비비!$F$430:$F$729,"결제대금비")+MAX(0,IF(예비비!$D341&lt;EDATE(BJ$99,1),예비비!$E341,0)-SUMIFS(예비비!$O$430:$O$729,예비비!$B$430:$B$729,예비비!$A341,예비비!$E$430:$E$729,"&lt;"&amp;EDATE(BJ$99,1))),0)</f>
        <v>0</v>
      </c>
      <c r="BK341">
        <f>IF(예비비!$R341="OK",SUMIFS(예비비!$O$430:$O$729,예비비!$B$430:$B$729,예비비!$A341,예비비!$E$430:$E$729,"&lt;"&amp;EDATE(BK$99,1),예비비!$F$430:$F$729,"결제대금비")+MAX(0,IF(예비비!$D341&lt;EDATE(BK$99,1),예비비!$E341,0)-SUMIFS(예비비!$O$430:$O$729,예비비!$B$430:$B$729,예비비!$A341,예비비!$E$430:$E$729,"&lt;"&amp;EDATE(BK$99,1))),0)</f>
        <v>0</v>
      </c>
      <c r="BL341">
        <f>IF(예비비!$R341="OK",SUMIFS(예비비!$O$430:$O$729,예비비!$B$430:$B$729,예비비!$A341,예비비!$E$430:$E$729,"&lt;"&amp;EDATE(BL$99,1),예비비!$F$430:$F$729,"결제대금비")+MAX(0,IF(예비비!$D341&lt;EDATE(BL$99,1),예비비!$E341,0)-SUMIFS(예비비!$O$430:$O$729,예비비!$B$430:$B$729,예비비!$A341,예비비!$E$430:$E$729,"&lt;"&amp;EDATE(BL$99,1))),0)</f>
        <v>0</v>
      </c>
      <c r="BM341">
        <f>IF(예비비!$R341="OK",SUMIFS(예비비!$O$430:$O$729,예비비!$B$430:$B$729,예비비!$A341,예비비!$E$430:$E$729,"&lt;"&amp;EDATE(BM$99,1),예비비!$F$430:$F$729,"결제대금비")+MAX(0,IF(예비비!$D341&lt;EDATE(BM$99,1),예비비!$E341,0)-SUMIFS(예비비!$O$430:$O$729,예비비!$B$430:$B$729,예비비!$A341,예비비!$E$430:$E$729,"&lt;"&amp;EDATE(BM$99,1))),0)</f>
        <v>0</v>
      </c>
      <c r="BN341">
        <f>IF(예비비!$R341="OK",SUMIFS(예비비!$O$430:$O$729,예비비!$B$430:$B$729,예비비!$A341,예비비!$E$430:$E$729,"&lt;"&amp;EDATE(BN$99,1),예비비!$F$430:$F$729,"결제대금비")+MAX(0,IF(예비비!$D341&lt;EDATE(BN$99,1),예비비!$E341,0)-SUMIFS(예비비!$O$430:$O$729,예비비!$B$430:$B$729,예비비!$A341,예비비!$E$430:$E$729,"&lt;"&amp;EDATE(BN$99,1))),0)</f>
        <v>0</v>
      </c>
      <c r="BO341">
        <f>IF(예비비!$R341="OK",SUMIFS(예비비!$O$430:$O$729,예비비!$B$430:$B$729,예비비!$A341,예비비!$E$430:$E$729,"&lt;"&amp;EDATE(BO$99,1),예비비!$F$430:$F$729,"결제대금비")+MAX(0,IF(예비비!$D341&lt;EDATE(BO$99,1),예비비!$E341,0)-SUMIFS(예비비!$O$430:$O$729,예비비!$B$430:$B$729,예비비!$A341,예비비!$E$430:$E$729,"&lt;"&amp;EDATE(BO$99,1))),0)</f>
        <v>0</v>
      </c>
      <c r="BP341">
        <f>IF(예비비!$R341="OK",SUMIFS(예비비!$O$430:$O$729,예비비!$B$430:$B$729,예비비!$A341,예비비!$E$430:$E$729,"&lt;"&amp;EDATE(BP$99,1),예비비!$F$430:$F$729,"결제대금비")+MAX(0,IF(예비비!$D341&lt;EDATE(BP$99,1),예비비!$E341,0)-SUMIFS(예비비!$O$430:$O$729,예비비!$B$430:$B$729,예비비!$A341,예비비!$E$430:$E$729,"&lt;"&amp;EDATE(BP$99,1))),0)</f>
        <v>0</v>
      </c>
      <c r="BQ341">
        <f>IF(예비비!$R341="OK",SUMIFS(예비비!$O$430:$O$729,예비비!$B$430:$B$729,예비비!$A341,예비비!$E$430:$E$729,"&lt;"&amp;EDATE(BQ$99,1),예비비!$F$430:$F$729,"결제대금비")+MAX(0,IF(예비비!$D341&lt;EDATE(BQ$99,1),예비비!$E341,0)-SUMIFS(예비비!$O$430:$O$729,예비비!$B$430:$B$729,예비비!$A341,예비비!$E$430:$E$729,"&lt;"&amp;EDATE(BQ$99,1))),0)</f>
        <v>0</v>
      </c>
      <c r="BR341">
        <f>IF(예비비!$R341="OK",SUMIFS(예비비!$O$430:$O$729,예비비!$B$430:$B$729,예비비!$A341,예비비!$E$430:$E$729,"&lt;"&amp;EDATE(BR$99,1),예비비!$F$430:$F$729,"결제대금비")+MAX(0,IF(예비비!$D341&lt;EDATE(BR$99,1),예비비!$E341,0)-SUMIFS(예비비!$O$430:$O$729,예비비!$B$430:$B$729,예비비!$A341,예비비!$E$430:$E$729,"&lt;"&amp;EDATE(BR$99,1))),0)</f>
        <v>0</v>
      </c>
      <c r="BS341">
        <f>IF(예비비!$R341="OK",SUMIFS(예비비!$O$430:$O$729,예비비!$B$430:$B$729,예비비!$A341,예비비!$E$430:$E$729,"&lt;"&amp;EDATE(BS$99,1),예비비!$F$430:$F$729,"결제대금비")+MAX(0,IF(예비비!$D341&lt;EDATE(BS$99,1),예비비!$E341,0)-SUMIFS(예비비!$O$430:$O$729,예비비!$B$430:$B$729,예비비!$A341,예비비!$E$430:$E$729,"&lt;"&amp;EDATE(BS$99,1))),0)</f>
        <v>0</v>
      </c>
      <c r="BT341">
        <f>IF(예비비!$R341="OK",SUMIFS(예비비!$O$430:$O$729,예비비!$B$430:$B$729,예비비!$A341,예비비!$E$430:$E$729,"&lt;"&amp;EDATE(BT$99,1),예비비!$F$430:$F$729,"결제대금비")+MAX(0,IF(예비비!$D341&lt;EDATE(BT$99,1),예비비!$E341,0)-SUMIFS(예비비!$O$430:$O$729,예비비!$B$430:$B$729,예비비!$A341,예비비!$E$430:$E$729,"&lt;"&amp;EDATE(BT$99,1))),0)</f>
        <v>0</v>
      </c>
      <c r="BU341">
        <f>IF(예비비!$R341="OK",SUMIFS(예비비!$O$430:$O$729,예비비!$B$430:$B$729,예비비!$A341,예비비!$E$430:$E$729,"&lt;"&amp;EDATE(BU$99,1),예비비!$F$430:$F$729,"결제대금비")+MAX(0,IF(예비비!$D341&lt;EDATE(BU$99,1),예비비!$E341,0)-SUMIFS(예비비!$O$430:$O$729,예비비!$B$430:$B$729,예비비!$A341,예비비!$E$430:$E$729,"&lt;"&amp;EDATE(BU$99,1))),0)</f>
        <v>0</v>
      </c>
    </row>
    <row r="342">
      <c r="BA342">
        <v>286</v>
      </c>
      <c r="BB342" t="str">
        <f>IFERROR(INDEX(잔액!$A:$A,BA342),0)</f>
        <v>00:00:00</v>
      </c>
      <c r="BH342">
        <f>IFERROR(IF(AND(BB342&gt;0,OR(COUNTIFS(예비비!$C$430:$C$729,BA342,예비비!$N$430:$N$729,"OK")&gt;0,AND(INDEX(잔액!$J:$J,BA342)="가족통장",INDEX(잔액!$K:$K,BA342)="미래에셋_WRAP형CMA"),COUNTIF(예비비!$A$8:$A$12,INDEX(잔액!$C:$C,BA342))=1,COUNTIF(예비비!$A$8:$A$12,INDEX(잔액!$D:$D,BA342))=1),OR(AND(BB342&gt;=예비비!$B$3,BB342&lt;EDATE(예비비!$B$3,1)),AND(BB342&lt;EDATE(예비비!$B$3,1),COUNTIFS(예비비!$C$430:$C$729,BA342,예비비!$L$430:$L$729,예비비!$B$3,예비비!$N$430:$N$729,"OK")&gt;0))),MAX($BH$120:BH341)+1,0),0)</f>
        <v>0</v>
      </c>
      <c r="BI342">
        <f>IF(예비비!$R342="OK",SUMIFS(예비비!$O$430:$O$729,예비비!$B$430:$B$729,예비비!$A342,예비비!$E$430:$E$729,"&lt;"&amp;EDATE(BI$99,1),예비비!$F$430:$F$729,"결제대금비")+MAX(0,IF(예비비!$D342&lt;EDATE(BI$99,1),예비비!$E342,0)-SUMIFS(예비비!$O$430:$O$729,예비비!$B$430:$B$729,예비비!$A342,예비비!$E$430:$E$729,"&lt;"&amp;EDATE(BI$99,1))),0)</f>
        <v>0</v>
      </c>
      <c r="BJ342">
        <f>IF(예비비!$R342="OK",SUMIFS(예비비!$O$430:$O$729,예비비!$B$430:$B$729,예비비!$A342,예비비!$E$430:$E$729,"&lt;"&amp;EDATE(BJ$99,1),예비비!$F$430:$F$729,"결제대금비")+MAX(0,IF(예비비!$D342&lt;EDATE(BJ$99,1),예비비!$E342,0)-SUMIFS(예비비!$O$430:$O$729,예비비!$B$430:$B$729,예비비!$A342,예비비!$E$430:$E$729,"&lt;"&amp;EDATE(BJ$99,1))),0)</f>
        <v>0</v>
      </c>
      <c r="BK342">
        <f>IF(예비비!$R342="OK",SUMIFS(예비비!$O$430:$O$729,예비비!$B$430:$B$729,예비비!$A342,예비비!$E$430:$E$729,"&lt;"&amp;EDATE(BK$99,1),예비비!$F$430:$F$729,"결제대금비")+MAX(0,IF(예비비!$D342&lt;EDATE(BK$99,1),예비비!$E342,0)-SUMIFS(예비비!$O$430:$O$729,예비비!$B$430:$B$729,예비비!$A342,예비비!$E$430:$E$729,"&lt;"&amp;EDATE(BK$99,1))),0)</f>
        <v>0</v>
      </c>
      <c r="BL342">
        <f>IF(예비비!$R342="OK",SUMIFS(예비비!$O$430:$O$729,예비비!$B$430:$B$729,예비비!$A342,예비비!$E$430:$E$729,"&lt;"&amp;EDATE(BL$99,1),예비비!$F$430:$F$729,"결제대금비")+MAX(0,IF(예비비!$D342&lt;EDATE(BL$99,1),예비비!$E342,0)-SUMIFS(예비비!$O$430:$O$729,예비비!$B$430:$B$729,예비비!$A342,예비비!$E$430:$E$729,"&lt;"&amp;EDATE(BL$99,1))),0)</f>
        <v>0</v>
      </c>
      <c r="BM342">
        <f>IF(예비비!$R342="OK",SUMIFS(예비비!$O$430:$O$729,예비비!$B$430:$B$729,예비비!$A342,예비비!$E$430:$E$729,"&lt;"&amp;EDATE(BM$99,1),예비비!$F$430:$F$729,"결제대금비")+MAX(0,IF(예비비!$D342&lt;EDATE(BM$99,1),예비비!$E342,0)-SUMIFS(예비비!$O$430:$O$729,예비비!$B$430:$B$729,예비비!$A342,예비비!$E$430:$E$729,"&lt;"&amp;EDATE(BM$99,1))),0)</f>
        <v>0</v>
      </c>
      <c r="BN342">
        <f>IF(예비비!$R342="OK",SUMIFS(예비비!$O$430:$O$729,예비비!$B$430:$B$729,예비비!$A342,예비비!$E$430:$E$729,"&lt;"&amp;EDATE(BN$99,1),예비비!$F$430:$F$729,"결제대금비")+MAX(0,IF(예비비!$D342&lt;EDATE(BN$99,1),예비비!$E342,0)-SUMIFS(예비비!$O$430:$O$729,예비비!$B$430:$B$729,예비비!$A342,예비비!$E$430:$E$729,"&lt;"&amp;EDATE(BN$99,1))),0)</f>
        <v>0</v>
      </c>
      <c r="BO342">
        <f>IF(예비비!$R342="OK",SUMIFS(예비비!$O$430:$O$729,예비비!$B$430:$B$729,예비비!$A342,예비비!$E$430:$E$729,"&lt;"&amp;EDATE(BO$99,1),예비비!$F$430:$F$729,"결제대금비")+MAX(0,IF(예비비!$D342&lt;EDATE(BO$99,1),예비비!$E342,0)-SUMIFS(예비비!$O$430:$O$729,예비비!$B$430:$B$729,예비비!$A342,예비비!$E$430:$E$729,"&lt;"&amp;EDATE(BO$99,1))),0)</f>
        <v>0</v>
      </c>
      <c r="BP342">
        <f>IF(예비비!$R342="OK",SUMIFS(예비비!$O$430:$O$729,예비비!$B$430:$B$729,예비비!$A342,예비비!$E$430:$E$729,"&lt;"&amp;EDATE(BP$99,1),예비비!$F$430:$F$729,"결제대금비")+MAX(0,IF(예비비!$D342&lt;EDATE(BP$99,1),예비비!$E342,0)-SUMIFS(예비비!$O$430:$O$729,예비비!$B$430:$B$729,예비비!$A342,예비비!$E$430:$E$729,"&lt;"&amp;EDATE(BP$99,1))),0)</f>
        <v>0</v>
      </c>
      <c r="BQ342">
        <f>IF(예비비!$R342="OK",SUMIFS(예비비!$O$430:$O$729,예비비!$B$430:$B$729,예비비!$A342,예비비!$E$430:$E$729,"&lt;"&amp;EDATE(BQ$99,1),예비비!$F$430:$F$729,"결제대금비")+MAX(0,IF(예비비!$D342&lt;EDATE(BQ$99,1),예비비!$E342,0)-SUMIFS(예비비!$O$430:$O$729,예비비!$B$430:$B$729,예비비!$A342,예비비!$E$430:$E$729,"&lt;"&amp;EDATE(BQ$99,1))),0)</f>
        <v>0</v>
      </c>
      <c r="BR342">
        <f>IF(예비비!$R342="OK",SUMIFS(예비비!$O$430:$O$729,예비비!$B$430:$B$729,예비비!$A342,예비비!$E$430:$E$729,"&lt;"&amp;EDATE(BR$99,1),예비비!$F$430:$F$729,"결제대금비")+MAX(0,IF(예비비!$D342&lt;EDATE(BR$99,1),예비비!$E342,0)-SUMIFS(예비비!$O$430:$O$729,예비비!$B$430:$B$729,예비비!$A342,예비비!$E$430:$E$729,"&lt;"&amp;EDATE(BR$99,1))),0)</f>
        <v>0</v>
      </c>
      <c r="BS342">
        <f>IF(예비비!$R342="OK",SUMIFS(예비비!$O$430:$O$729,예비비!$B$430:$B$729,예비비!$A342,예비비!$E$430:$E$729,"&lt;"&amp;EDATE(BS$99,1),예비비!$F$430:$F$729,"결제대금비")+MAX(0,IF(예비비!$D342&lt;EDATE(BS$99,1),예비비!$E342,0)-SUMIFS(예비비!$O$430:$O$729,예비비!$B$430:$B$729,예비비!$A342,예비비!$E$430:$E$729,"&lt;"&amp;EDATE(BS$99,1))),0)</f>
        <v>0</v>
      </c>
      <c r="BT342">
        <f>IF(예비비!$R342="OK",SUMIFS(예비비!$O$430:$O$729,예비비!$B$430:$B$729,예비비!$A342,예비비!$E$430:$E$729,"&lt;"&amp;EDATE(BT$99,1),예비비!$F$430:$F$729,"결제대금비")+MAX(0,IF(예비비!$D342&lt;EDATE(BT$99,1),예비비!$E342,0)-SUMIFS(예비비!$O$430:$O$729,예비비!$B$430:$B$729,예비비!$A342,예비비!$E$430:$E$729,"&lt;"&amp;EDATE(BT$99,1))),0)</f>
        <v>0</v>
      </c>
      <c r="BU342">
        <f>IF(예비비!$R342="OK",SUMIFS(예비비!$O$430:$O$729,예비비!$B$430:$B$729,예비비!$A342,예비비!$E$430:$E$729,"&lt;"&amp;EDATE(BU$99,1),예비비!$F$430:$F$729,"결제대금비")+MAX(0,IF(예비비!$D342&lt;EDATE(BU$99,1),예비비!$E342,0)-SUMIFS(예비비!$O$430:$O$729,예비비!$B$430:$B$729,예비비!$A342,예비비!$E$430:$E$729,"&lt;"&amp;EDATE(BU$99,1))),0)</f>
        <v>0</v>
      </c>
    </row>
    <row r="343">
      <c r="BA343">
        <v>287</v>
      </c>
      <c r="BB343" t="str">
        <f>IFERROR(INDEX(잔액!$A:$A,BA343),0)</f>
        <v>00:00:00</v>
      </c>
      <c r="BH343">
        <f>IFERROR(IF(AND(BB343&gt;0,OR(COUNTIFS(예비비!$C$430:$C$729,BA343,예비비!$N$430:$N$729,"OK")&gt;0,AND(INDEX(잔액!$J:$J,BA343)="가족통장",INDEX(잔액!$K:$K,BA343)="미래에셋_WRAP형CMA"),COUNTIF(예비비!$A$8:$A$12,INDEX(잔액!$C:$C,BA343))=1,COUNTIF(예비비!$A$8:$A$12,INDEX(잔액!$D:$D,BA343))=1),OR(AND(BB343&gt;=예비비!$B$3,BB343&lt;EDATE(예비비!$B$3,1)),AND(BB343&lt;EDATE(예비비!$B$3,1),COUNTIFS(예비비!$C$430:$C$729,BA343,예비비!$L$430:$L$729,예비비!$B$3,예비비!$N$430:$N$729,"OK")&gt;0))),MAX($BH$120:BH342)+1,0),0)</f>
        <v>0</v>
      </c>
      <c r="BI343">
        <f>IF(예비비!$R343="OK",SUMIFS(예비비!$O$430:$O$729,예비비!$B$430:$B$729,예비비!$A343,예비비!$E$430:$E$729,"&lt;"&amp;EDATE(BI$99,1),예비비!$F$430:$F$729,"결제대금비")+MAX(0,IF(예비비!$D343&lt;EDATE(BI$99,1),예비비!$E343,0)-SUMIFS(예비비!$O$430:$O$729,예비비!$B$430:$B$729,예비비!$A343,예비비!$E$430:$E$729,"&lt;"&amp;EDATE(BI$99,1))),0)</f>
        <v>0</v>
      </c>
      <c r="BJ343">
        <f>IF(예비비!$R343="OK",SUMIFS(예비비!$O$430:$O$729,예비비!$B$430:$B$729,예비비!$A343,예비비!$E$430:$E$729,"&lt;"&amp;EDATE(BJ$99,1),예비비!$F$430:$F$729,"결제대금비")+MAX(0,IF(예비비!$D343&lt;EDATE(BJ$99,1),예비비!$E343,0)-SUMIFS(예비비!$O$430:$O$729,예비비!$B$430:$B$729,예비비!$A343,예비비!$E$430:$E$729,"&lt;"&amp;EDATE(BJ$99,1))),0)</f>
        <v>0</v>
      </c>
      <c r="BK343">
        <f>IF(예비비!$R343="OK",SUMIFS(예비비!$O$430:$O$729,예비비!$B$430:$B$729,예비비!$A343,예비비!$E$430:$E$729,"&lt;"&amp;EDATE(BK$99,1),예비비!$F$430:$F$729,"결제대금비")+MAX(0,IF(예비비!$D343&lt;EDATE(BK$99,1),예비비!$E343,0)-SUMIFS(예비비!$O$430:$O$729,예비비!$B$430:$B$729,예비비!$A343,예비비!$E$430:$E$729,"&lt;"&amp;EDATE(BK$99,1))),0)</f>
        <v>0</v>
      </c>
      <c r="BL343">
        <f>IF(예비비!$R343="OK",SUMIFS(예비비!$O$430:$O$729,예비비!$B$430:$B$729,예비비!$A343,예비비!$E$430:$E$729,"&lt;"&amp;EDATE(BL$99,1),예비비!$F$430:$F$729,"결제대금비")+MAX(0,IF(예비비!$D343&lt;EDATE(BL$99,1),예비비!$E343,0)-SUMIFS(예비비!$O$430:$O$729,예비비!$B$430:$B$729,예비비!$A343,예비비!$E$430:$E$729,"&lt;"&amp;EDATE(BL$99,1))),0)</f>
        <v>0</v>
      </c>
      <c r="BM343">
        <f>IF(예비비!$R343="OK",SUMIFS(예비비!$O$430:$O$729,예비비!$B$430:$B$729,예비비!$A343,예비비!$E$430:$E$729,"&lt;"&amp;EDATE(BM$99,1),예비비!$F$430:$F$729,"결제대금비")+MAX(0,IF(예비비!$D343&lt;EDATE(BM$99,1),예비비!$E343,0)-SUMIFS(예비비!$O$430:$O$729,예비비!$B$430:$B$729,예비비!$A343,예비비!$E$430:$E$729,"&lt;"&amp;EDATE(BM$99,1))),0)</f>
        <v>0</v>
      </c>
      <c r="BN343">
        <f>IF(예비비!$R343="OK",SUMIFS(예비비!$O$430:$O$729,예비비!$B$430:$B$729,예비비!$A343,예비비!$E$430:$E$729,"&lt;"&amp;EDATE(BN$99,1),예비비!$F$430:$F$729,"결제대금비")+MAX(0,IF(예비비!$D343&lt;EDATE(BN$99,1),예비비!$E343,0)-SUMIFS(예비비!$O$430:$O$729,예비비!$B$430:$B$729,예비비!$A343,예비비!$E$430:$E$729,"&lt;"&amp;EDATE(BN$99,1))),0)</f>
        <v>0</v>
      </c>
      <c r="BO343">
        <f>IF(예비비!$R343="OK",SUMIFS(예비비!$O$430:$O$729,예비비!$B$430:$B$729,예비비!$A343,예비비!$E$430:$E$729,"&lt;"&amp;EDATE(BO$99,1),예비비!$F$430:$F$729,"결제대금비")+MAX(0,IF(예비비!$D343&lt;EDATE(BO$99,1),예비비!$E343,0)-SUMIFS(예비비!$O$430:$O$729,예비비!$B$430:$B$729,예비비!$A343,예비비!$E$430:$E$729,"&lt;"&amp;EDATE(BO$99,1))),0)</f>
        <v>0</v>
      </c>
      <c r="BP343">
        <f>IF(예비비!$R343="OK",SUMIFS(예비비!$O$430:$O$729,예비비!$B$430:$B$729,예비비!$A343,예비비!$E$430:$E$729,"&lt;"&amp;EDATE(BP$99,1),예비비!$F$430:$F$729,"결제대금비")+MAX(0,IF(예비비!$D343&lt;EDATE(BP$99,1),예비비!$E343,0)-SUMIFS(예비비!$O$430:$O$729,예비비!$B$430:$B$729,예비비!$A343,예비비!$E$430:$E$729,"&lt;"&amp;EDATE(BP$99,1))),0)</f>
        <v>0</v>
      </c>
      <c r="BQ343">
        <f>IF(예비비!$R343="OK",SUMIFS(예비비!$O$430:$O$729,예비비!$B$430:$B$729,예비비!$A343,예비비!$E$430:$E$729,"&lt;"&amp;EDATE(BQ$99,1),예비비!$F$430:$F$729,"결제대금비")+MAX(0,IF(예비비!$D343&lt;EDATE(BQ$99,1),예비비!$E343,0)-SUMIFS(예비비!$O$430:$O$729,예비비!$B$430:$B$729,예비비!$A343,예비비!$E$430:$E$729,"&lt;"&amp;EDATE(BQ$99,1))),0)</f>
        <v>0</v>
      </c>
      <c r="BR343">
        <f>IF(예비비!$R343="OK",SUMIFS(예비비!$O$430:$O$729,예비비!$B$430:$B$729,예비비!$A343,예비비!$E$430:$E$729,"&lt;"&amp;EDATE(BR$99,1),예비비!$F$430:$F$729,"결제대금비")+MAX(0,IF(예비비!$D343&lt;EDATE(BR$99,1),예비비!$E343,0)-SUMIFS(예비비!$O$430:$O$729,예비비!$B$430:$B$729,예비비!$A343,예비비!$E$430:$E$729,"&lt;"&amp;EDATE(BR$99,1))),0)</f>
        <v>0</v>
      </c>
      <c r="BS343">
        <f>IF(예비비!$R343="OK",SUMIFS(예비비!$O$430:$O$729,예비비!$B$430:$B$729,예비비!$A343,예비비!$E$430:$E$729,"&lt;"&amp;EDATE(BS$99,1),예비비!$F$430:$F$729,"결제대금비")+MAX(0,IF(예비비!$D343&lt;EDATE(BS$99,1),예비비!$E343,0)-SUMIFS(예비비!$O$430:$O$729,예비비!$B$430:$B$729,예비비!$A343,예비비!$E$430:$E$729,"&lt;"&amp;EDATE(BS$99,1))),0)</f>
        <v>0</v>
      </c>
      <c r="BT343">
        <f>IF(예비비!$R343="OK",SUMIFS(예비비!$O$430:$O$729,예비비!$B$430:$B$729,예비비!$A343,예비비!$E$430:$E$729,"&lt;"&amp;EDATE(BT$99,1),예비비!$F$430:$F$729,"결제대금비")+MAX(0,IF(예비비!$D343&lt;EDATE(BT$99,1),예비비!$E343,0)-SUMIFS(예비비!$O$430:$O$729,예비비!$B$430:$B$729,예비비!$A343,예비비!$E$430:$E$729,"&lt;"&amp;EDATE(BT$99,1))),0)</f>
        <v>0</v>
      </c>
      <c r="BU343">
        <f>IF(예비비!$R343="OK",SUMIFS(예비비!$O$430:$O$729,예비비!$B$430:$B$729,예비비!$A343,예비비!$E$430:$E$729,"&lt;"&amp;EDATE(BU$99,1),예비비!$F$430:$F$729,"결제대금비")+MAX(0,IF(예비비!$D343&lt;EDATE(BU$99,1),예비비!$E343,0)-SUMIFS(예비비!$O$430:$O$729,예비비!$B$430:$B$729,예비비!$A343,예비비!$E$430:$E$729,"&lt;"&amp;EDATE(BU$99,1))),0)</f>
        <v>0</v>
      </c>
    </row>
    <row r="344">
      <c r="BA344">
        <v>288</v>
      </c>
      <c r="BB344" t="str">
        <f>IFERROR(INDEX(잔액!$A:$A,BA344),0)</f>
        <v>00:00:00</v>
      </c>
      <c r="BH344">
        <f>IFERROR(IF(AND(BB344&gt;0,OR(COUNTIFS(예비비!$C$430:$C$729,BA344,예비비!$N$430:$N$729,"OK")&gt;0,AND(INDEX(잔액!$J:$J,BA344)="가족통장",INDEX(잔액!$K:$K,BA344)="미래에셋_WRAP형CMA"),COUNTIF(예비비!$A$8:$A$12,INDEX(잔액!$C:$C,BA344))=1,COUNTIF(예비비!$A$8:$A$12,INDEX(잔액!$D:$D,BA344))=1),OR(AND(BB344&gt;=예비비!$B$3,BB344&lt;EDATE(예비비!$B$3,1)),AND(BB344&lt;EDATE(예비비!$B$3,1),COUNTIFS(예비비!$C$430:$C$729,BA344,예비비!$L$430:$L$729,예비비!$B$3,예비비!$N$430:$N$729,"OK")&gt;0))),MAX($BH$120:BH343)+1,0),0)</f>
        <v>0</v>
      </c>
      <c r="BI344">
        <f>IF(예비비!$R344="OK",SUMIFS(예비비!$O$430:$O$729,예비비!$B$430:$B$729,예비비!$A344,예비비!$E$430:$E$729,"&lt;"&amp;EDATE(BI$99,1),예비비!$F$430:$F$729,"결제대금비")+MAX(0,IF(예비비!$D344&lt;EDATE(BI$99,1),예비비!$E344,0)-SUMIFS(예비비!$O$430:$O$729,예비비!$B$430:$B$729,예비비!$A344,예비비!$E$430:$E$729,"&lt;"&amp;EDATE(BI$99,1))),0)</f>
        <v>0</v>
      </c>
      <c r="BJ344">
        <f>IF(예비비!$R344="OK",SUMIFS(예비비!$O$430:$O$729,예비비!$B$430:$B$729,예비비!$A344,예비비!$E$430:$E$729,"&lt;"&amp;EDATE(BJ$99,1),예비비!$F$430:$F$729,"결제대금비")+MAX(0,IF(예비비!$D344&lt;EDATE(BJ$99,1),예비비!$E344,0)-SUMIFS(예비비!$O$430:$O$729,예비비!$B$430:$B$729,예비비!$A344,예비비!$E$430:$E$729,"&lt;"&amp;EDATE(BJ$99,1))),0)</f>
        <v>0</v>
      </c>
      <c r="BK344">
        <f>IF(예비비!$R344="OK",SUMIFS(예비비!$O$430:$O$729,예비비!$B$430:$B$729,예비비!$A344,예비비!$E$430:$E$729,"&lt;"&amp;EDATE(BK$99,1),예비비!$F$430:$F$729,"결제대금비")+MAX(0,IF(예비비!$D344&lt;EDATE(BK$99,1),예비비!$E344,0)-SUMIFS(예비비!$O$430:$O$729,예비비!$B$430:$B$729,예비비!$A344,예비비!$E$430:$E$729,"&lt;"&amp;EDATE(BK$99,1))),0)</f>
        <v>0</v>
      </c>
      <c r="BL344">
        <f>IF(예비비!$R344="OK",SUMIFS(예비비!$O$430:$O$729,예비비!$B$430:$B$729,예비비!$A344,예비비!$E$430:$E$729,"&lt;"&amp;EDATE(BL$99,1),예비비!$F$430:$F$729,"결제대금비")+MAX(0,IF(예비비!$D344&lt;EDATE(BL$99,1),예비비!$E344,0)-SUMIFS(예비비!$O$430:$O$729,예비비!$B$430:$B$729,예비비!$A344,예비비!$E$430:$E$729,"&lt;"&amp;EDATE(BL$99,1))),0)</f>
        <v>0</v>
      </c>
      <c r="BM344">
        <f>IF(예비비!$R344="OK",SUMIFS(예비비!$O$430:$O$729,예비비!$B$430:$B$729,예비비!$A344,예비비!$E$430:$E$729,"&lt;"&amp;EDATE(BM$99,1),예비비!$F$430:$F$729,"결제대금비")+MAX(0,IF(예비비!$D344&lt;EDATE(BM$99,1),예비비!$E344,0)-SUMIFS(예비비!$O$430:$O$729,예비비!$B$430:$B$729,예비비!$A344,예비비!$E$430:$E$729,"&lt;"&amp;EDATE(BM$99,1))),0)</f>
        <v>0</v>
      </c>
      <c r="BN344">
        <f>IF(예비비!$R344="OK",SUMIFS(예비비!$O$430:$O$729,예비비!$B$430:$B$729,예비비!$A344,예비비!$E$430:$E$729,"&lt;"&amp;EDATE(BN$99,1),예비비!$F$430:$F$729,"결제대금비")+MAX(0,IF(예비비!$D344&lt;EDATE(BN$99,1),예비비!$E344,0)-SUMIFS(예비비!$O$430:$O$729,예비비!$B$430:$B$729,예비비!$A344,예비비!$E$430:$E$729,"&lt;"&amp;EDATE(BN$99,1))),0)</f>
        <v>0</v>
      </c>
      <c r="BO344">
        <f>IF(예비비!$R344="OK",SUMIFS(예비비!$O$430:$O$729,예비비!$B$430:$B$729,예비비!$A344,예비비!$E$430:$E$729,"&lt;"&amp;EDATE(BO$99,1),예비비!$F$430:$F$729,"결제대금비")+MAX(0,IF(예비비!$D344&lt;EDATE(BO$99,1),예비비!$E344,0)-SUMIFS(예비비!$O$430:$O$729,예비비!$B$430:$B$729,예비비!$A344,예비비!$E$430:$E$729,"&lt;"&amp;EDATE(BO$99,1))),0)</f>
        <v>0</v>
      </c>
      <c r="BP344">
        <f>IF(예비비!$R344="OK",SUMIFS(예비비!$O$430:$O$729,예비비!$B$430:$B$729,예비비!$A344,예비비!$E$430:$E$729,"&lt;"&amp;EDATE(BP$99,1),예비비!$F$430:$F$729,"결제대금비")+MAX(0,IF(예비비!$D344&lt;EDATE(BP$99,1),예비비!$E344,0)-SUMIFS(예비비!$O$430:$O$729,예비비!$B$430:$B$729,예비비!$A344,예비비!$E$430:$E$729,"&lt;"&amp;EDATE(BP$99,1))),0)</f>
        <v>0</v>
      </c>
      <c r="BQ344">
        <f>IF(예비비!$R344="OK",SUMIFS(예비비!$O$430:$O$729,예비비!$B$430:$B$729,예비비!$A344,예비비!$E$430:$E$729,"&lt;"&amp;EDATE(BQ$99,1),예비비!$F$430:$F$729,"결제대금비")+MAX(0,IF(예비비!$D344&lt;EDATE(BQ$99,1),예비비!$E344,0)-SUMIFS(예비비!$O$430:$O$729,예비비!$B$430:$B$729,예비비!$A344,예비비!$E$430:$E$729,"&lt;"&amp;EDATE(BQ$99,1))),0)</f>
        <v>0</v>
      </c>
      <c r="BR344">
        <f>IF(예비비!$R344="OK",SUMIFS(예비비!$O$430:$O$729,예비비!$B$430:$B$729,예비비!$A344,예비비!$E$430:$E$729,"&lt;"&amp;EDATE(BR$99,1),예비비!$F$430:$F$729,"결제대금비")+MAX(0,IF(예비비!$D344&lt;EDATE(BR$99,1),예비비!$E344,0)-SUMIFS(예비비!$O$430:$O$729,예비비!$B$430:$B$729,예비비!$A344,예비비!$E$430:$E$729,"&lt;"&amp;EDATE(BR$99,1))),0)</f>
        <v>0</v>
      </c>
      <c r="BS344">
        <f>IF(예비비!$R344="OK",SUMIFS(예비비!$O$430:$O$729,예비비!$B$430:$B$729,예비비!$A344,예비비!$E$430:$E$729,"&lt;"&amp;EDATE(BS$99,1),예비비!$F$430:$F$729,"결제대금비")+MAX(0,IF(예비비!$D344&lt;EDATE(BS$99,1),예비비!$E344,0)-SUMIFS(예비비!$O$430:$O$729,예비비!$B$430:$B$729,예비비!$A344,예비비!$E$430:$E$729,"&lt;"&amp;EDATE(BS$99,1))),0)</f>
        <v>0</v>
      </c>
      <c r="BT344">
        <f>IF(예비비!$R344="OK",SUMIFS(예비비!$O$430:$O$729,예비비!$B$430:$B$729,예비비!$A344,예비비!$E$430:$E$729,"&lt;"&amp;EDATE(BT$99,1),예비비!$F$430:$F$729,"결제대금비")+MAX(0,IF(예비비!$D344&lt;EDATE(BT$99,1),예비비!$E344,0)-SUMIFS(예비비!$O$430:$O$729,예비비!$B$430:$B$729,예비비!$A344,예비비!$E$430:$E$729,"&lt;"&amp;EDATE(BT$99,1))),0)</f>
        <v>0</v>
      </c>
      <c r="BU344">
        <f>IF(예비비!$R344="OK",SUMIFS(예비비!$O$430:$O$729,예비비!$B$430:$B$729,예비비!$A344,예비비!$E$430:$E$729,"&lt;"&amp;EDATE(BU$99,1),예비비!$F$430:$F$729,"결제대금비")+MAX(0,IF(예비비!$D344&lt;EDATE(BU$99,1),예비비!$E344,0)-SUMIFS(예비비!$O$430:$O$729,예비비!$B$430:$B$729,예비비!$A344,예비비!$E$430:$E$729,"&lt;"&amp;EDATE(BU$99,1))),0)</f>
        <v>0</v>
      </c>
    </row>
    <row r="345">
      <c r="BA345">
        <v>289</v>
      </c>
      <c r="BB345" t="str">
        <f>IFERROR(INDEX(잔액!$A:$A,BA345),0)</f>
        <v>00:00:00</v>
      </c>
      <c r="BH345">
        <f>IFERROR(IF(AND(BB345&gt;0,OR(COUNTIFS(예비비!$C$430:$C$729,BA345,예비비!$N$430:$N$729,"OK")&gt;0,AND(INDEX(잔액!$J:$J,BA345)="가족통장",INDEX(잔액!$K:$K,BA345)="미래에셋_WRAP형CMA"),COUNTIF(예비비!$A$8:$A$12,INDEX(잔액!$C:$C,BA345))=1,COUNTIF(예비비!$A$8:$A$12,INDEX(잔액!$D:$D,BA345))=1),OR(AND(BB345&gt;=예비비!$B$3,BB345&lt;EDATE(예비비!$B$3,1)),AND(BB345&lt;EDATE(예비비!$B$3,1),COUNTIFS(예비비!$C$430:$C$729,BA345,예비비!$L$430:$L$729,예비비!$B$3,예비비!$N$430:$N$729,"OK")&gt;0))),MAX($BH$120:BH344)+1,0),0)</f>
        <v>0</v>
      </c>
      <c r="BI345">
        <f>IF(예비비!$R345="OK",SUMIFS(예비비!$O$430:$O$729,예비비!$B$430:$B$729,예비비!$A345,예비비!$E$430:$E$729,"&lt;"&amp;EDATE(BI$99,1),예비비!$F$430:$F$729,"결제대금비")+MAX(0,IF(예비비!$D345&lt;EDATE(BI$99,1),예비비!$E345,0)-SUMIFS(예비비!$O$430:$O$729,예비비!$B$430:$B$729,예비비!$A345,예비비!$E$430:$E$729,"&lt;"&amp;EDATE(BI$99,1))),0)</f>
        <v>0</v>
      </c>
      <c r="BJ345">
        <f>IF(예비비!$R345="OK",SUMIFS(예비비!$O$430:$O$729,예비비!$B$430:$B$729,예비비!$A345,예비비!$E$430:$E$729,"&lt;"&amp;EDATE(BJ$99,1),예비비!$F$430:$F$729,"결제대금비")+MAX(0,IF(예비비!$D345&lt;EDATE(BJ$99,1),예비비!$E345,0)-SUMIFS(예비비!$O$430:$O$729,예비비!$B$430:$B$729,예비비!$A345,예비비!$E$430:$E$729,"&lt;"&amp;EDATE(BJ$99,1))),0)</f>
        <v>0</v>
      </c>
      <c r="BK345">
        <f>IF(예비비!$R345="OK",SUMIFS(예비비!$O$430:$O$729,예비비!$B$430:$B$729,예비비!$A345,예비비!$E$430:$E$729,"&lt;"&amp;EDATE(BK$99,1),예비비!$F$430:$F$729,"결제대금비")+MAX(0,IF(예비비!$D345&lt;EDATE(BK$99,1),예비비!$E345,0)-SUMIFS(예비비!$O$430:$O$729,예비비!$B$430:$B$729,예비비!$A345,예비비!$E$430:$E$729,"&lt;"&amp;EDATE(BK$99,1))),0)</f>
        <v>0</v>
      </c>
      <c r="BL345">
        <f>IF(예비비!$R345="OK",SUMIFS(예비비!$O$430:$O$729,예비비!$B$430:$B$729,예비비!$A345,예비비!$E$430:$E$729,"&lt;"&amp;EDATE(BL$99,1),예비비!$F$430:$F$729,"결제대금비")+MAX(0,IF(예비비!$D345&lt;EDATE(BL$99,1),예비비!$E345,0)-SUMIFS(예비비!$O$430:$O$729,예비비!$B$430:$B$729,예비비!$A345,예비비!$E$430:$E$729,"&lt;"&amp;EDATE(BL$99,1))),0)</f>
        <v>0</v>
      </c>
      <c r="BM345">
        <f>IF(예비비!$R345="OK",SUMIFS(예비비!$O$430:$O$729,예비비!$B$430:$B$729,예비비!$A345,예비비!$E$430:$E$729,"&lt;"&amp;EDATE(BM$99,1),예비비!$F$430:$F$729,"결제대금비")+MAX(0,IF(예비비!$D345&lt;EDATE(BM$99,1),예비비!$E345,0)-SUMIFS(예비비!$O$430:$O$729,예비비!$B$430:$B$729,예비비!$A345,예비비!$E$430:$E$729,"&lt;"&amp;EDATE(BM$99,1))),0)</f>
        <v>0</v>
      </c>
      <c r="BN345">
        <f>IF(예비비!$R345="OK",SUMIFS(예비비!$O$430:$O$729,예비비!$B$430:$B$729,예비비!$A345,예비비!$E$430:$E$729,"&lt;"&amp;EDATE(BN$99,1),예비비!$F$430:$F$729,"결제대금비")+MAX(0,IF(예비비!$D345&lt;EDATE(BN$99,1),예비비!$E345,0)-SUMIFS(예비비!$O$430:$O$729,예비비!$B$430:$B$729,예비비!$A345,예비비!$E$430:$E$729,"&lt;"&amp;EDATE(BN$99,1))),0)</f>
        <v>0</v>
      </c>
      <c r="BO345">
        <f>IF(예비비!$R345="OK",SUMIFS(예비비!$O$430:$O$729,예비비!$B$430:$B$729,예비비!$A345,예비비!$E$430:$E$729,"&lt;"&amp;EDATE(BO$99,1),예비비!$F$430:$F$729,"결제대금비")+MAX(0,IF(예비비!$D345&lt;EDATE(BO$99,1),예비비!$E345,0)-SUMIFS(예비비!$O$430:$O$729,예비비!$B$430:$B$729,예비비!$A345,예비비!$E$430:$E$729,"&lt;"&amp;EDATE(BO$99,1))),0)</f>
        <v>0</v>
      </c>
      <c r="BP345">
        <f>IF(예비비!$R345="OK",SUMIFS(예비비!$O$430:$O$729,예비비!$B$430:$B$729,예비비!$A345,예비비!$E$430:$E$729,"&lt;"&amp;EDATE(BP$99,1),예비비!$F$430:$F$729,"결제대금비")+MAX(0,IF(예비비!$D345&lt;EDATE(BP$99,1),예비비!$E345,0)-SUMIFS(예비비!$O$430:$O$729,예비비!$B$430:$B$729,예비비!$A345,예비비!$E$430:$E$729,"&lt;"&amp;EDATE(BP$99,1))),0)</f>
        <v>0</v>
      </c>
      <c r="BQ345">
        <f>IF(예비비!$R345="OK",SUMIFS(예비비!$O$430:$O$729,예비비!$B$430:$B$729,예비비!$A345,예비비!$E$430:$E$729,"&lt;"&amp;EDATE(BQ$99,1),예비비!$F$430:$F$729,"결제대금비")+MAX(0,IF(예비비!$D345&lt;EDATE(BQ$99,1),예비비!$E345,0)-SUMIFS(예비비!$O$430:$O$729,예비비!$B$430:$B$729,예비비!$A345,예비비!$E$430:$E$729,"&lt;"&amp;EDATE(BQ$99,1))),0)</f>
        <v>0</v>
      </c>
      <c r="BR345">
        <f>IF(예비비!$R345="OK",SUMIFS(예비비!$O$430:$O$729,예비비!$B$430:$B$729,예비비!$A345,예비비!$E$430:$E$729,"&lt;"&amp;EDATE(BR$99,1),예비비!$F$430:$F$729,"결제대금비")+MAX(0,IF(예비비!$D345&lt;EDATE(BR$99,1),예비비!$E345,0)-SUMIFS(예비비!$O$430:$O$729,예비비!$B$430:$B$729,예비비!$A345,예비비!$E$430:$E$729,"&lt;"&amp;EDATE(BR$99,1))),0)</f>
        <v>0</v>
      </c>
      <c r="BS345">
        <f>IF(예비비!$R345="OK",SUMIFS(예비비!$O$430:$O$729,예비비!$B$430:$B$729,예비비!$A345,예비비!$E$430:$E$729,"&lt;"&amp;EDATE(BS$99,1),예비비!$F$430:$F$729,"결제대금비")+MAX(0,IF(예비비!$D345&lt;EDATE(BS$99,1),예비비!$E345,0)-SUMIFS(예비비!$O$430:$O$729,예비비!$B$430:$B$729,예비비!$A345,예비비!$E$430:$E$729,"&lt;"&amp;EDATE(BS$99,1))),0)</f>
        <v>0</v>
      </c>
      <c r="BT345">
        <f>IF(예비비!$R345="OK",SUMIFS(예비비!$O$430:$O$729,예비비!$B$430:$B$729,예비비!$A345,예비비!$E$430:$E$729,"&lt;"&amp;EDATE(BT$99,1),예비비!$F$430:$F$729,"결제대금비")+MAX(0,IF(예비비!$D345&lt;EDATE(BT$99,1),예비비!$E345,0)-SUMIFS(예비비!$O$430:$O$729,예비비!$B$430:$B$729,예비비!$A345,예비비!$E$430:$E$729,"&lt;"&amp;EDATE(BT$99,1))),0)</f>
        <v>0</v>
      </c>
      <c r="BU345">
        <f>IF(예비비!$R345="OK",SUMIFS(예비비!$O$430:$O$729,예비비!$B$430:$B$729,예비비!$A345,예비비!$E$430:$E$729,"&lt;"&amp;EDATE(BU$99,1),예비비!$F$430:$F$729,"결제대금비")+MAX(0,IF(예비비!$D345&lt;EDATE(BU$99,1),예비비!$E345,0)-SUMIFS(예비비!$O$430:$O$729,예비비!$B$430:$B$729,예비비!$A345,예비비!$E$430:$E$729,"&lt;"&amp;EDATE(BU$99,1))),0)</f>
        <v>0</v>
      </c>
    </row>
    <row r="346">
      <c r="BA346">
        <v>290</v>
      </c>
      <c r="BB346" t="str">
        <f>IFERROR(INDEX(잔액!$A:$A,BA346),0)</f>
        <v>00:00:00</v>
      </c>
      <c r="BH346">
        <f>IFERROR(IF(AND(BB346&gt;0,OR(COUNTIFS(예비비!$C$430:$C$729,BA346,예비비!$N$430:$N$729,"OK")&gt;0,AND(INDEX(잔액!$J:$J,BA346)="가족통장",INDEX(잔액!$K:$K,BA346)="미래에셋_WRAP형CMA"),COUNTIF(예비비!$A$8:$A$12,INDEX(잔액!$C:$C,BA346))=1,COUNTIF(예비비!$A$8:$A$12,INDEX(잔액!$D:$D,BA346))=1),OR(AND(BB346&gt;=예비비!$B$3,BB346&lt;EDATE(예비비!$B$3,1)),AND(BB346&lt;EDATE(예비비!$B$3,1),COUNTIFS(예비비!$C$430:$C$729,BA346,예비비!$L$430:$L$729,예비비!$B$3,예비비!$N$430:$N$729,"OK")&gt;0))),MAX($BH$120:BH345)+1,0),0)</f>
        <v>0</v>
      </c>
      <c r="BI346">
        <f>IF(예비비!$R346="OK",SUMIFS(예비비!$O$430:$O$729,예비비!$B$430:$B$729,예비비!$A346,예비비!$E$430:$E$729,"&lt;"&amp;EDATE(BI$99,1),예비비!$F$430:$F$729,"결제대금비")+MAX(0,IF(예비비!$D346&lt;EDATE(BI$99,1),예비비!$E346,0)-SUMIFS(예비비!$O$430:$O$729,예비비!$B$430:$B$729,예비비!$A346,예비비!$E$430:$E$729,"&lt;"&amp;EDATE(BI$99,1))),0)</f>
        <v>0</v>
      </c>
      <c r="BJ346">
        <f>IF(예비비!$R346="OK",SUMIFS(예비비!$O$430:$O$729,예비비!$B$430:$B$729,예비비!$A346,예비비!$E$430:$E$729,"&lt;"&amp;EDATE(BJ$99,1),예비비!$F$430:$F$729,"결제대금비")+MAX(0,IF(예비비!$D346&lt;EDATE(BJ$99,1),예비비!$E346,0)-SUMIFS(예비비!$O$430:$O$729,예비비!$B$430:$B$729,예비비!$A346,예비비!$E$430:$E$729,"&lt;"&amp;EDATE(BJ$99,1))),0)</f>
        <v>0</v>
      </c>
      <c r="BK346">
        <f>IF(예비비!$R346="OK",SUMIFS(예비비!$O$430:$O$729,예비비!$B$430:$B$729,예비비!$A346,예비비!$E$430:$E$729,"&lt;"&amp;EDATE(BK$99,1),예비비!$F$430:$F$729,"결제대금비")+MAX(0,IF(예비비!$D346&lt;EDATE(BK$99,1),예비비!$E346,0)-SUMIFS(예비비!$O$430:$O$729,예비비!$B$430:$B$729,예비비!$A346,예비비!$E$430:$E$729,"&lt;"&amp;EDATE(BK$99,1))),0)</f>
        <v>0</v>
      </c>
      <c r="BL346">
        <f>IF(예비비!$R346="OK",SUMIFS(예비비!$O$430:$O$729,예비비!$B$430:$B$729,예비비!$A346,예비비!$E$430:$E$729,"&lt;"&amp;EDATE(BL$99,1),예비비!$F$430:$F$729,"결제대금비")+MAX(0,IF(예비비!$D346&lt;EDATE(BL$99,1),예비비!$E346,0)-SUMIFS(예비비!$O$430:$O$729,예비비!$B$430:$B$729,예비비!$A346,예비비!$E$430:$E$729,"&lt;"&amp;EDATE(BL$99,1))),0)</f>
        <v>0</v>
      </c>
      <c r="BM346">
        <f>IF(예비비!$R346="OK",SUMIFS(예비비!$O$430:$O$729,예비비!$B$430:$B$729,예비비!$A346,예비비!$E$430:$E$729,"&lt;"&amp;EDATE(BM$99,1),예비비!$F$430:$F$729,"결제대금비")+MAX(0,IF(예비비!$D346&lt;EDATE(BM$99,1),예비비!$E346,0)-SUMIFS(예비비!$O$430:$O$729,예비비!$B$430:$B$729,예비비!$A346,예비비!$E$430:$E$729,"&lt;"&amp;EDATE(BM$99,1))),0)</f>
        <v>0</v>
      </c>
      <c r="BN346">
        <f>IF(예비비!$R346="OK",SUMIFS(예비비!$O$430:$O$729,예비비!$B$430:$B$729,예비비!$A346,예비비!$E$430:$E$729,"&lt;"&amp;EDATE(BN$99,1),예비비!$F$430:$F$729,"결제대금비")+MAX(0,IF(예비비!$D346&lt;EDATE(BN$99,1),예비비!$E346,0)-SUMIFS(예비비!$O$430:$O$729,예비비!$B$430:$B$729,예비비!$A346,예비비!$E$430:$E$729,"&lt;"&amp;EDATE(BN$99,1))),0)</f>
        <v>0</v>
      </c>
      <c r="BO346">
        <f>IF(예비비!$R346="OK",SUMIFS(예비비!$O$430:$O$729,예비비!$B$430:$B$729,예비비!$A346,예비비!$E$430:$E$729,"&lt;"&amp;EDATE(BO$99,1),예비비!$F$430:$F$729,"결제대금비")+MAX(0,IF(예비비!$D346&lt;EDATE(BO$99,1),예비비!$E346,0)-SUMIFS(예비비!$O$430:$O$729,예비비!$B$430:$B$729,예비비!$A346,예비비!$E$430:$E$729,"&lt;"&amp;EDATE(BO$99,1))),0)</f>
        <v>0</v>
      </c>
      <c r="BP346">
        <f>IF(예비비!$R346="OK",SUMIFS(예비비!$O$430:$O$729,예비비!$B$430:$B$729,예비비!$A346,예비비!$E$430:$E$729,"&lt;"&amp;EDATE(BP$99,1),예비비!$F$430:$F$729,"결제대금비")+MAX(0,IF(예비비!$D346&lt;EDATE(BP$99,1),예비비!$E346,0)-SUMIFS(예비비!$O$430:$O$729,예비비!$B$430:$B$729,예비비!$A346,예비비!$E$430:$E$729,"&lt;"&amp;EDATE(BP$99,1))),0)</f>
        <v>0</v>
      </c>
      <c r="BQ346">
        <f>IF(예비비!$R346="OK",SUMIFS(예비비!$O$430:$O$729,예비비!$B$430:$B$729,예비비!$A346,예비비!$E$430:$E$729,"&lt;"&amp;EDATE(BQ$99,1),예비비!$F$430:$F$729,"결제대금비")+MAX(0,IF(예비비!$D346&lt;EDATE(BQ$99,1),예비비!$E346,0)-SUMIFS(예비비!$O$430:$O$729,예비비!$B$430:$B$729,예비비!$A346,예비비!$E$430:$E$729,"&lt;"&amp;EDATE(BQ$99,1))),0)</f>
        <v>0</v>
      </c>
      <c r="BR346">
        <f>IF(예비비!$R346="OK",SUMIFS(예비비!$O$430:$O$729,예비비!$B$430:$B$729,예비비!$A346,예비비!$E$430:$E$729,"&lt;"&amp;EDATE(BR$99,1),예비비!$F$430:$F$729,"결제대금비")+MAX(0,IF(예비비!$D346&lt;EDATE(BR$99,1),예비비!$E346,0)-SUMIFS(예비비!$O$430:$O$729,예비비!$B$430:$B$729,예비비!$A346,예비비!$E$430:$E$729,"&lt;"&amp;EDATE(BR$99,1))),0)</f>
        <v>0</v>
      </c>
      <c r="BS346">
        <f>IF(예비비!$R346="OK",SUMIFS(예비비!$O$430:$O$729,예비비!$B$430:$B$729,예비비!$A346,예비비!$E$430:$E$729,"&lt;"&amp;EDATE(BS$99,1),예비비!$F$430:$F$729,"결제대금비")+MAX(0,IF(예비비!$D346&lt;EDATE(BS$99,1),예비비!$E346,0)-SUMIFS(예비비!$O$430:$O$729,예비비!$B$430:$B$729,예비비!$A346,예비비!$E$430:$E$729,"&lt;"&amp;EDATE(BS$99,1))),0)</f>
        <v>0</v>
      </c>
      <c r="BT346">
        <f>IF(예비비!$R346="OK",SUMIFS(예비비!$O$430:$O$729,예비비!$B$430:$B$729,예비비!$A346,예비비!$E$430:$E$729,"&lt;"&amp;EDATE(BT$99,1),예비비!$F$430:$F$729,"결제대금비")+MAX(0,IF(예비비!$D346&lt;EDATE(BT$99,1),예비비!$E346,0)-SUMIFS(예비비!$O$430:$O$729,예비비!$B$430:$B$729,예비비!$A346,예비비!$E$430:$E$729,"&lt;"&amp;EDATE(BT$99,1))),0)</f>
        <v>0</v>
      </c>
      <c r="BU346">
        <f>IF(예비비!$R346="OK",SUMIFS(예비비!$O$430:$O$729,예비비!$B$430:$B$729,예비비!$A346,예비비!$E$430:$E$729,"&lt;"&amp;EDATE(BU$99,1),예비비!$F$430:$F$729,"결제대금비")+MAX(0,IF(예비비!$D346&lt;EDATE(BU$99,1),예비비!$E346,0)-SUMIFS(예비비!$O$430:$O$729,예비비!$B$430:$B$729,예비비!$A346,예비비!$E$430:$E$729,"&lt;"&amp;EDATE(BU$99,1))),0)</f>
        <v>0</v>
      </c>
    </row>
    <row r="347">
      <c r="BA347">
        <v>291</v>
      </c>
      <c r="BB347" t="str">
        <f>IFERROR(INDEX(잔액!$A:$A,BA347),0)</f>
        <v>00:00:00</v>
      </c>
      <c r="BH347">
        <f>IFERROR(IF(AND(BB347&gt;0,OR(COUNTIFS(예비비!$C$430:$C$729,BA347,예비비!$N$430:$N$729,"OK")&gt;0,AND(INDEX(잔액!$J:$J,BA347)="가족통장",INDEX(잔액!$K:$K,BA347)="미래에셋_WRAP형CMA"),COUNTIF(예비비!$A$8:$A$12,INDEX(잔액!$C:$C,BA347))=1,COUNTIF(예비비!$A$8:$A$12,INDEX(잔액!$D:$D,BA347))=1),OR(AND(BB347&gt;=예비비!$B$3,BB347&lt;EDATE(예비비!$B$3,1)),AND(BB347&lt;EDATE(예비비!$B$3,1),COUNTIFS(예비비!$C$430:$C$729,BA347,예비비!$L$430:$L$729,예비비!$B$3,예비비!$N$430:$N$729,"OK")&gt;0))),MAX($BH$120:BH346)+1,0),0)</f>
        <v>0</v>
      </c>
      <c r="BI347">
        <f>IF(예비비!$R347="OK",SUMIFS(예비비!$O$430:$O$729,예비비!$B$430:$B$729,예비비!$A347,예비비!$E$430:$E$729,"&lt;"&amp;EDATE(BI$99,1),예비비!$F$430:$F$729,"결제대금비")+MAX(0,IF(예비비!$D347&lt;EDATE(BI$99,1),예비비!$E347,0)-SUMIFS(예비비!$O$430:$O$729,예비비!$B$430:$B$729,예비비!$A347,예비비!$E$430:$E$729,"&lt;"&amp;EDATE(BI$99,1))),0)</f>
        <v>0</v>
      </c>
      <c r="BJ347">
        <f>IF(예비비!$R347="OK",SUMIFS(예비비!$O$430:$O$729,예비비!$B$430:$B$729,예비비!$A347,예비비!$E$430:$E$729,"&lt;"&amp;EDATE(BJ$99,1),예비비!$F$430:$F$729,"결제대금비")+MAX(0,IF(예비비!$D347&lt;EDATE(BJ$99,1),예비비!$E347,0)-SUMIFS(예비비!$O$430:$O$729,예비비!$B$430:$B$729,예비비!$A347,예비비!$E$430:$E$729,"&lt;"&amp;EDATE(BJ$99,1))),0)</f>
        <v>0</v>
      </c>
      <c r="BK347">
        <f>IF(예비비!$R347="OK",SUMIFS(예비비!$O$430:$O$729,예비비!$B$430:$B$729,예비비!$A347,예비비!$E$430:$E$729,"&lt;"&amp;EDATE(BK$99,1),예비비!$F$430:$F$729,"결제대금비")+MAX(0,IF(예비비!$D347&lt;EDATE(BK$99,1),예비비!$E347,0)-SUMIFS(예비비!$O$430:$O$729,예비비!$B$430:$B$729,예비비!$A347,예비비!$E$430:$E$729,"&lt;"&amp;EDATE(BK$99,1))),0)</f>
        <v>0</v>
      </c>
      <c r="BL347">
        <f>IF(예비비!$R347="OK",SUMIFS(예비비!$O$430:$O$729,예비비!$B$430:$B$729,예비비!$A347,예비비!$E$430:$E$729,"&lt;"&amp;EDATE(BL$99,1),예비비!$F$430:$F$729,"결제대금비")+MAX(0,IF(예비비!$D347&lt;EDATE(BL$99,1),예비비!$E347,0)-SUMIFS(예비비!$O$430:$O$729,예비비!$B$430:$B$729,예비비!$A347,예비비!$E$430:$E$729,"&lt;"&amp;EDATE(BL$99,1))),0)</f>
        <v>0</v>
      </c>
      <c r="BM347">
        <f>IF(예비비!$R347="OK",SUMIFS(예비비!$O$430:$O$729,예비비!$B$430:$B$729,예비비!$A347,예비비!$E$430:$E$729,"&lt;"&amp;EDATE(BM$99,1),예비비!$F$430:$F$729,"결제대금비")+MAX(0,IF(예비비!$D347&lt;EDATE(BM$99,1),예비비!$E347,0)-SUMIFS(예비비!$O$430:$O$729,예비비!$B$430:$B$729,예비비!$A347,예비비!$E$430:$E$729,"&lt;"&amp;EDATE(BM$99,1))),0)</f>
        <v>0</v>
      </c>
      <c r="BN347">
        <f>IF(예비비!$R347="OK",SUMIFS(예비비!$O$430:$O$729,예비비!$B$430:$B$729,예비비!$A347,예비비!$E$430:$E$729,"&lt;"&amp;EDATE(BN$99,1),예비비!$F$430:$F$729,"결제대금비")+MAX(0,IF(예비비!$D347&lt;EDATE(BN$99,1),예비비!$E347,0)-SUMIFS(예비비!$O$430:$O$729,예비비!$B$430:$B$729,예비비!$A347,예비비!$E$430:$E$729,"&lt;"&amp;EDATE(BN$99,1))),0)</f>
        <v>0</v>
      </c>
      <c r="BO347">
        <f>IF(예비비!$R347="OK",SUMIFS(예비비!$O$430:$O$729,예비비!$B$430:$B$729,예비비!$A347,예비비!$E$430:$E$729,"&lt;"&amp;EDATE(BO$99,1),예비비!$F$430:$F$729,"결제대금비")+MAX(0,IF(예비비!$D347&lt;EDATE(BO$99,1),예비비!$E347,0)-SUMIFS(예비비!$O$430:$O$729,예비비!$B$430:$B$729,예비비!$A347,예비비!$E$430:$E$729,"&lt;"&amp;EDATE(BO$99,1))),0)</f>
        <v>0</v>
      </c>
      <c r="BP347">
        <f>IF(예비비!$R347="OK",SUMIFS(예비비!$O$430:$O$729,예비비!$B$430:$B$729,예비비!$A347,예비비!$E$430:$E$729,"&lt;"&amp;EDATE(BP$99,1),예비비!$F$430:$F$729,"결제대금비")+MAX(0,IF(예비비!$D347&lt;EDATE(BP$99,1),예비비!$E347,0)-SUMIFS(예비비!$O$430:$O$729,예비비!$B$430:$B$729,예비비!$A347,예비비!$E$430:$E$729,"&lt;"&amp;EDATE(BP$99,1))),0)</f>
        <v>0</v>
      </c>
      <c r="BQ347">
        <f>IF(예비비!$R347="OK",SUMIFS(예비비!$O$430:$O$729,예비비!$B$430:$B$729,예비비!$A347,예비비!$E$430:$E$729,"&lt;"&amp;EDATE(BQ$99,1),예비비!$F$430:$F$729,"결제대금비")+MAX(0,IF(예비비!$D347&lt;EDATE(BQ$99,1),예비비!$E347,0)-SUMIFS(예비비!$O$430:$O$729,예비비!$B$430:$B$729,예비비!$A347,예비비!$E$430:$E$729,"&lt;"&amp;EDATE(BQ$99,1))),0)</f>
        <v>0</v>
      </c>
      <c r="BR347">
        <f>IF(예비비!$R347="OK",SUMIFS(예비비!$O$430:$O$729,예비비!$B$430:$B$729,예비비!$A347,예비비!$E$430:$E$729,"&lt;"&amp;EDATE(BR$99,1),예비비!$F$430:$F$729,"결제대금비")+MAX(0,IF(예비비!$D347&lt;EDATE(BR$99,1),예비비!$E347,0)-SUMIFS(예비비!$O$430:$O$729,예비비!$B$430:$B$729,예비비!$A347,예비비!$E$430:$E$729,"&lt;"&amp;EDATE(BR$99,1))),0)</f>
        <v>0</v>
      </c>
      <c r="BS347">
        <f>IF(예비비!$R347="OK",SUMIFS(예비비!$O$430:$O$729,예비비!$B$430:$B$729,예비비!$A347,예비비!$E$430:$E$729,"&lt;"&amp;EDATE(BS$99,1),예비비!$F$430:$F$729,"결제대금비")+MAX(0,IF(예비비!$D347&lt;EDATE(BS$99,1),예비비!$E347,0)-SUMIFS(예비비!$O$430:$O$729,예비비!$B$430:$B$729,예비비!$A347,예비비!$E$430:$E$729,"&lt;"&amp;EDATE(BS$99,1))),0)</f>
        <v>0</v>
      </c>
      <c r="BT347">
        <f>IF(예비비!$R347="OK",SUMIFS(예비비!$O$430:$O$729,예비비!$B$430:$B$729,예비비!$A347,예비비!$E$430:$E$729,"&lt;"&amp;EDATE(BT$99,1),예비비!$F$430:$F$729,"결제대금비")+MAX(0,IF(예비비!$D347&lt;EDATE(BT$99,1),예비비!$E347,0)-SUMIFS(예비비!$O$430:$O$729,예비비!$B$430:$B$729,예비비!$A347,예비비!$E$430:$E$729,"&lt;"&amp;EDATE(BT$99,1))),0)</f>
        <v>0</v>
      </c>
      <c r="BU347">
        <f>IF(예비비!$R347="OK",SUMIFS(예비비!$O$430:$O$729,예비비!$B$430:$B$729,예비비!$A347,예비비!$E$430:$E$729,"&lt;"&amp;EDATE(BU$99,1),예비비!$F$430:$F$729,"결제대금비")+MAX(0,IF(예비비!$D347&lt;EDATE(BU$99,1),예비비!$E347,0)-SUMIFS(예비비!$O$430:$O$729,예비비!$B$430:$B$729,예비비!$A347,예비비!$E$430:$E$729,"&lt;"&amp;EDATE(BU$99,1))),0)</f>
        <v>0</v>
      </c>
    </row>
    <row r="348">
      <c r="BA348">
        <v>292</v>
      </c>
      <c r="BB348" t="str">
        <f>IFERROR(INDEX(잔액!$A:$A,BA348),0)</f>
        <v>00:00:00</v>
      </c>
      <c r="BH348">
        <f>IFERROR(IF(AND(BB348&gt;0,OR(COUNTIFS(예비비!$C$430:$C$729,BA348,예비비!$N$430:$N$729,"OK")&gt;0,AND(INDEX(잔액!$J:$J,BA348)="가족통장",INDEX(잔액!$K:$K,BA348)="미래에셋_WRAP형CMA"),COUNTIF(예비비!$A$8:$A$12,INDEX(잔액!$C:$C,BA348))=1,COUNTIF(예비비!$A$8:$A$12,INDEX(잔액!$D:$D,BA348))=1),OR(AND(BB348&gt;=예비비!$B$3,BB348&lt;EDATE(예비비!$B$3,1)),AND(BB348&lt;EDATE(예비비!$B$3,1),COUNTIFS(예비비!$C$430:$C$729,BA348,예비비!$L$430:$L$729,예비비!$B$3,예비비!$N$430:$N$729,"OK")&gt;0))),MAX($BH$120:BH347)+1,0),0)</f>
        <v>0</v>
      </c>
      <c r="BI348">
        <f>IF(예비비!$R348="OK",SUMIFS(예비비!$O$430:$O$729,예비비!$B$430:$B$729,예비비!$A348,예비비!$E$430:$E$729,"&lt;"&amp;EDATE(BI$99,1),예비비!$F$430:$F$729,"결제대금비")+MAX(0,IF(예비비!$D348&lt;EDATE(BI$99,1),예비비!$E348,0)-SUMIFS(예비비!$O$430:$O$729,예비비!$B$430:$B$729,예비비!$A348,예비비!$E$430:$E$729,"&lt;"&amp;EDATE(BI$99,1))),0)</f>
        <v>0</v>
      </c>
      <c r="BJ348">
        <f>IF(예비비!$R348="OK",SUMIFS(예비비!$O$430:$O$729,예비비!$B$430:$B$729,예비비!$A348,예비비!$E$430:$E$729,"&lt;"&amp;EDATE(BJ$99,1),예비비!$F$430:$F$729,"결제대금비")+MAX(0,IF(예비비!$D348&lt;EDATE(BJ$99,1),예비비!$E348,0)-SUMIFS(예비비!$O$430:$O$729,예비비!$B$430:$B$729,예비비!$A348,예비비!$E$430:$E$729,"&lt;"&amp;EDATE(BJ$99,1))),0)</f>
        <v>0</v>
      </c>
      <c r="BK348">
        <f>IF(예비비!$R348="OK",SUMIFS(예비비!$O$430:$O$729,예비비!$B$430:$B$729,예비비!$A348,예비비!$E$430:$E$729,"&lt;"&amp;EDATE(BK$99,1),예비비!$F$430:$F$729,"결제대금비")+MAX(0,IF(예비비!$D348&lt;EDATE(BK$99,1),예비비!$E348,0)-SUMIFS(예비비!$O$430:$O$729,예비비!$B$430:$B$729,예비비!$A348,예비비!$E$430:$E$729,"&lt;"&amp;EDATE(BK$99,1))),0)</f>
        <v>0</v>
      </c>
      <c r="BL348">
        <f>IF(예비비!$R348="OK",SUMIFS(예비비!$O$430:$O$729,예비비!$B$430:$B$729,예비비!$A348,예비비!$E$430:$E$729,"&lt;"&amp;EDATE(BL$99,1),예비비!$F$430:$F$729,"결제대금비")+MAX(0,IF(예비비!$D348&lt;EDATE(BL$99,1),예비비!$E348,0)-SUMIFS(예비비!$O$430:$O$729,예비비!$B$430:$B$729,예비비!$A348,예비비!$E$430:$E$729,"&lt;"&amp;EDATE(BL$99,1))),0)</f>
        <v>0</v>
      </c>
      <c r="BM348">
        <f>IF(예비비!$R348="OK",SUMIFS(예비비!$O$430:$O$729,예비비!$B$430:$B$729,예비비!$A348,예비비!$E$430:$E$729,"&lt;"&amp;EDATE(BM$99,1),예비비!$F$430:$F$729,"결제대금비")+MAX(0,IF(예비비!$D348&lt;EDATE(BM$99,1),예비비!$E348,0)-SUMIFS(예비비!$O$430:$O$729,예비비!$B$430:$B$729,예비비!$A348,예비비!$E$430:$E$729,"&lt;"&amp;EDATE(BM$99,1))),0)</f>
        <v>0</v>
      </c>
      <c r="BN348">
        <f>IF(예비비!$R348="OK",SUMIFS(예비비!$O$430:$O$729,예비비!$B$430:$B$729,예비비!$A348,예비비!$E$430:$E$729,"&lt;"&amp;EDATE(BN$99,1),예비비!$F$430:$F$729,"결제대금비")+MAX(0,IF(예비비!$D348&lt;EDATE(BN$99,1),예비비!$E348,0)-SUMIFS(예비비!$O$430:$O$729,예비비!$B$430:$B$729,예비비!$A348,예비비!$E$430:$E$729,"&lt;"&amp;EDATE(BN$99,1))),0)</f>
        <v>0</v>
      </c>
      <c r="BO348">
        <f>IF(예비비!$R348="OK",SUMIFS(예비비!$O$430:$O$729,예비비!$B$430:$B$729,예비비!$A348,예비비!$E$430:$E$729,"&lt;"&amp;EDATE(BO$99,1),예비비!$F$430:$F$729,"결제대금비")+MAX(0,IF(예비비!$D348&lt;EDATE(BO$99,1),예비비!$E348,0)-SUMIFS(예비비!$O$430:$O$729,예비비!$B$430:$B$729,예비비!$A348,예비비!$E$430:$E$729,"&lt;"&amp;EDATE(BO$99,1))),0)</f>
        <v>0</v>
      </c>
      <c r="BP348">
        <f>IF(예비비!$R348="OK",SUMIFS(예비비!$O$430:$O$729,예비비!$B$430:$B$729,예비비!$A348,예비비!$E$430:$E$729,"&lt;"&amp;EDATE(BP$99,1),예비비!$F$430:$F$729,"결제대금비")+MAX(0,IF(예비비!$D348&lt;EDATE(BP$99,1),예비비!$E348,0)-SUMIFS(예비비!$O$430:$O$729,예비비!$B$430:$B$729,예비비!$A348,예비비!$E$430:$E$729,"&lt;"&amp;EDATE(BP$99,1))),0)</f>
        <v>0</v>
      </c>
      <c r="BQ348">
        <f>IF(예비비!$R348="OK",SUMIFS(예비비!$O$430:$O$729,예비비!$B$430:$B$729,예비비!$A348,예비비!$E$430:$E$729,"&lt;"&amp;EDATE(BQ$99,1),예비비!$F$430:$F$729,"결제대금비")+MAX(0,IF(예비비!$D348&lt;EDATE(BQ$99,1),예비비!$E348,0)-SUMIFS(예비비!$O$430:$O$729,예비비!$B$430:$B$729,예비비!$A348,예비비!$E$430:$E$729,"&lt;"&amp;EDATE(BQ$99,1))),0)</f>
        <v>0</v>
      </c>
      <c r="BR348">
        <f>IF(예비비!$R348="OK",SUMIFS(예비비!$O$430:$O$729,예비비!$B$430:$B$729,예비비!$A348,예비비!$E$430:$E$729,"&lt;"&amp;EDATE(BR$99,1),예비비!$F$430:$F$729,"결제대금비")+MAX(0,IF(예비비!$D348&lt;EDATE(BR$99,1),예비비!$E348,0)-SUMIFS(예비비!$O$430:$O$729,예비비!$B$430:$B$729,예비비!$A348,예비비!$E$430:$E$729,"&lt;"&amp;EDATE(BR$99,1))),0)</f>
        <v>0</v>
      </c>
      <c r="BS348">
        <f>IF(예비비!$R348="OK",SUMIFS(예비비!$O$430:$O$729,예비비!$B$430:$B$729,예비비!$A348,예비비!$E$430:$E$729,"&lt;"&amp;EDATE(BS$99,1),예비비!$F$430:$F$729,"결제대금비")+MAX(0,IF(예비비!$D348&lt;EDATE(BS$99,1),예비비!$E348,0)-SUMIFS(예비비!$O$430:$O$729,예비비!$B$430:$B$729,예비비!$A348,예비비!$E$430:$E$729,"&lt;"&amp;EDATE(BS$99,1))),0)</f>
        <v>0</v>
      </c>
      <c r="BT348">
        <f>IF(예비비!$R348="OK",SUMIFS(예비비!$O$430:$O$729,예비비!$B$430:$B$729,예비비!$A348,예비비!$E$430:$E$729,"&lt;"&amp;EDATE(BT$99,1),예비비!$F$430:$F$729,"결제대금비")+MAX(0,IF(예비비!$D348&lt;EDATE(BT$99,1),예비비!$E348,0)-SUMIFS(예비비!$O$430:$O$729,예비비!$B$430:$B$729,예비비!$A348,예비비!$E$430:$E$729,"&lt;"&amp;EDATE(BT$99,1))),0)</f>
        <v>0</v>
      </c>
      <c r="BU348">
        <f>IF(예비비!$R348="OK",SUMIFS(예비비!$O$430:$O$729,예비비!$B$430:$B$729,예비비!$A348,예비비!$E$430:$E$729,"&lt;"&amp;EDATE(BU$99,1),예비비!$F$430:$F$729,"결제대금비")+MAX(0,IF(예비비!$D348&lt;EDATE(BU$99,1),예비비!$E348,0)-SUMIFS(예비비!$O$430:$O$729,예비비!$B$430:$B$729,예비비!$A348,예비비!$E$430:$E$729,"&lt;"&amp;EDATE(BU$99,1))),0)</f>
        <v>0</v>
      </c>
    </row>
    <row r="349">
      <c r="BA349">
        <v>293</v>
      </c>
      <c r="BB349" t="str">
        <f>IFERROR(INDEX(잔액!$A:$A,BA349),0)</f>
        <v>00:00:00</v>
      </c>
      <c r="BH349">
        <f>IFERROR(IF(AND(BB349&gt;0,OR(COUNTIFS(예비비!$C$430:$C$729,BA349,예비비!$N$430:$N$729,"OK")&gt;0,AND(INDEX(잔액!$J:$J,BA349)="가족통장",INDEX(잔액!$K:$K,BA349)="미래에셋_WRAP형CMA"),COUNTIF(예비비!$A$8:$A$12,INDEX(잔액!$C:$C,BA349))=1,COUNTIF(예비비!$A$8:$A$12,INDEX(잔액!$D:$D,BA349))=1),OR(AND(BB349&gt;=예비비!$B$3,BB349&lt;EDATE(예비비!$B$3,1)),AND(BB349&lt;EDATE(예비비!$B$3,1),COUNTIFS(예비비!$C$430:$C$729,BA349,예비비!$L$430:$L$729,예비비!$B$3,예비비!$N$430:$N$729,"OK")&gt;0))),MAX($BH$120:BH348)+1,0),0)</f>
        <v>0</v>
      </c>
      <c r="BI349">
        <f>IF(예비비!$R349="OK",SUMIFS(예비비!$O$430:$O$729,예비비!$B$430:$B$729,예비비!$A349,예비비!$E$430:$E$729,"&lt;"&amp;EDATE(BI$99,1),예비비!$F$430:$F$729,"결제대금비")+MAX(0,IF(예비비!$D349&lt;EDATE(BI$99,1),예비비!$E349,0)-SUMIFS(예비비!$O$430:$O$729,예비비!$B$430:$B$729,예비비!$A349,예비비!$E$430:$E$729,"&lt;"&amp;EDATE(BI$99,1))),0)</f>
        <v>0</v>
      </c>
      <c r="BJ349">
        <f>IF(예비비!$R349="OK",SUMIFS(예비비!$O$430:$O$729,예비비!$B$430:$B$729,예비비!$A349,예비비!$E$430:$E$729,"&lt;"&amp;EDATE(BJ$99,1),예비비!$F$430:$F$729,"결제대금비")+MAX(0,IF(예비비!$D349&lt;EDATE(BJ$99,1),예비비!$E349,0)-SUMIFS(예비비!$O$430:$O$729,예비비!$B$430:$B$729,예비비!$A349,예비비!$E$430:$E$729,"&lt;"&amp;EDATE(BJ$99,1))),0)</f>
        <v>0</v>
      </c>
      <c r="BK349">
        <f>IF(예비비!$R349="OK",SUMIFS(예비비!$O$430:$O$729,예비비!$B$430:$B$729,예비비!$A349,예비비!$E$430:$E$729,"&lt;"&amp;EDATE(BK$99,1),예비비!$F$430:$F$729,"결제대금비")+MAX(0,IF(예비비!$D349&lt;EDATE(BK$99,1),예비비!$E349,0)-SUMIFS(예비비!$O$430:$O$729,예비비!$B$430:$B$729,예비비!$A349,예비비!$E$430:$E$729,"&lt;"&amp;EDATE(BK$99,1))),0)</f>
        <v>0</v>
      </c>
      <c r="BL349">
        <f>IF(예비비!$R349="OK",SUMIFS(예비비!$O$430:$O$729,예비비!$B$430:$B$729,예비비!$A349,예비비!$E$430:$E$729,"&lt;"&amp;EDATE(BL$99,1),예비비!$F$430:$F$729,"결제대금비")+MAX(0,IF(예비비!$D349&lt;EDATE(BL$99,1),예비비!$E349,0)-SUMIFS(예비비!$O$430:$O$729,예비비!$B$430:$B$729,예비비!$A349,예비비!$E$430:$E$729,"&lt;"&amp;EDATE(BL$99,1))),0)</f>
        <v>0</v>
      </c>
      <c r="BM349">
        <f>IF(예비비!$R349="OK",SUMIFS(예비비!$O$430:$O$729,예비비!$B$430:$B$729,예비비!$A349,예비비!$E$430:$E$729,"&lt;"&amp;EDATE(BM$99,1),예비비!$F$430:$F$729,"결제대금비")+MAX(0,IF(예비비!$D349&lt;EDATE(BM$99,1),예비비!$E349,0)-SUMIFS(예비비!$O$430:$O$729,예비비!$B$430:$B$729,예비비!$A349,예비비!$E$430:$E$729,"&lt;"&amp;EDATE(BM$99,1))),0)</f>
        <v>0</v>
      </c>
      <c r="BN349">
        <f>IF(예비비!$R349="OK",SUMIFS(예비비!$O$430:$O$729,예비비!$B$430:$B$729,예비비!$A349,예비비!$E$430:$E$729,"&lt;"&amp;EDATE(BN$99,1),예비비!$F$430:$F$729,"결제대금비")+MAX(0,IF(예비비!$D349&lt;EDATE(BN$99,1),예비비!$E349,0)-SUMIFS(예비비!$O$430:$O$729,예비비!$B$430:$B$729,예비비!$A349,예비비!$E$430:$E$729,"&lt;"&amp;EDATE(BN$99,1))),0)</f>
        <v>0</v>
      </c>
      <c r="BO349">
        <f>IF(예비비!$R349="OK",SUMIFS(예비비!$O$430:$O$729,예비비!$B$430:$B$729,예비비!$A349,예비비!$E$430:$E$729,"&lt;"&amp;EDATE(BO$99,1),예비비!$F$430:$F$729,"결제대금비")+MAX(0,IF(예비비!$D349&lt;EDATE(BO$99,1),예비비!$E349,0)-SUMIFS(예비비!$O$430:$O$729,예비비!$B$430:$B$729,예비비!$A349,예비비!$E$430:$E$729,"&lt;"&amp;EDATE(BO$99,1))),0)</f>
        <v>0</v>
      </c>
      <c r="BP349">
        <f>IF(예비비!$R349="OK",SUMIFS(예비비!$O$430:$O$729,예비비!$B$430:$B$729,예비비!$A349,예비비!$E$430:$E$729,"&lt;"&amp;EDATE(BP$99,1),예비비!$F$430:$F$729,"결제대금비")+MAX(0,IF(예비비!$D349&lt;EDATE(BP$99,1),예비비!$E349,0)-SUMIFS(예비비!$O$430:$O$729,예비비!$B$430:$B$729,예비비!$A349,예비비!$E$430:$E$729,"&lt;"&amp;EDATE(BP$99,1))),0)</f>
        <v>0</v>
      </c>
      <c r="BQ349">
        <f>IF(예비비!$R349="OK",SUMIFS(예비비!$O$430:$O$729,예비비!$B$430:$B$729,예비비!$A349,예비비!$E$430:$E$729,"&lt;"&amp;EDATE(BQ$99,1),예비비!$F$430:$F$729,"결제대금비")+MAX(0,IF(예비비!$D349&lt;EDATE(BQ$99,1),예비비!$E349,0)-SUMIFS(예비비!$O$430:$O$729,예비비!$B$430:$B$729,예비비!$A349,예비비!$E$430:$E$729,"&lt;"&amp;EDATE(BQ$99,1))),0)</f>
        <v>0</v>
      </c>
      <c r="BR349">
        <f>IF(예비비!$R349="OK",SUMIFS(예비비!$O$430:$O$729,예비비!$B$430:$B$729,예비비!$A349,예비비!$E$430:$E$729,"&lt;"&amp;EDATE(BR$99,1),예비비!$F$430:$F$729,"결제대금비")+MAX(0,IF(예비비!$D349&lt;EDATE(BR$99,1),예비비!$E349,0)-SUMIFS(예비비!$O$430:$O$729,예비비!$B$430:$B$729,예비비!$A349,예비비!$E$430:$E$729,"&lt;"&amp;EDATE(BR$99,1))),0)</f>
        <v>0</v>
      </c>
      <c r="BS349">
        <f>IF(예비비!$R349="OK",SUMIFS(예비비!$O$430:$O$729,예비비!$B$430:$B$729,예비비!$A349,예비비!$E$430:$E$729,"&lt;"&amp;EDATE(BS$99,1),예비비!$F$430:$F$729,"결제대금비")+MAX(0,IF(예비비!$D349&lt;EDATE(BS$99,1),예비비!$E349,0)-SUMIFS(예비비!$O$430:$O$729,예비비!$B$430:$B$729,예비비!$A349,예비비!$E$430:$E$729,"&lt;"&amp;EDATE(BS$99,1))),0)</f>
        <v>0</v>
      </c>
      <c r="BT349">
        <f>IF(예비비!$R349="OK",SUMIFS(예비비!$O$430:$O$729,예비비!$B$430:$B$729,예비비!$A349,예비비!$E$430:$E$729,"&lt;"&amp;EDATE(BT$99,1),예비비!$F$430:$F$729,"결제대금비")+MAX(0,IF(예비비!$D349&lt;EDATE(BT$99,1),예비비!$E349,0)-SUMIFS(예비비!$O$430:$O$729,예비비!$B$430:$B$729,예비비!$A349,예비비!$E$430:$E$729,"&lt;"&amp;EDATE(BT$99,1))),0)</f>
        <v>0</v>
      </c>
      <c r="BU349">
        <f>IF(예비비!$R349="OK",SUMIFS(예비비!$O$430:$O$729,예비비!$B$430:$B$729,예비비!$A349,예비비!$E$430:$E$729,"&lt;"&amp;EDATE(BU$99,1),예비비!$F$430:$F$729,"결제대금비")+MAX(0,IF(예비비!$D349&lt;EDATE(BU$99,1),예비비!$E349,0)-SUMIFS(예비비!$O$430:$O$729,예비비!$B$430:$B$729,예비비!$A349,예비비!$E$430:$E$729,"&lt;"&amp;EDATE(BU$99,1))),0)</f>
        <v>0</v>
      </c>
    </row>
    <row r="350">
      <c r="BA350">
        <v>294</v>
      </c>
      <c r="BB350" t="str">
        <f>IFERROR(INDEX(잔액!$A:$A,BA350),0)</f>
        <v>00:00:00</v>
      </c>
      <c r="BH350">
        <f>IFERROR(IF(AND(BB350&gt;0,OR(COUNTIFS(예비비!$C$430:$C$729,BA350,예비비!$N$430:$N$729,"OK")&gt;0,AND(INDEX(잔액!$J:$J,BA350)="가족통장",INDEX(잔액!$K:$K,BA350)="미래에셋_WRAP형CMA"),COUNTIF(예비비!$A$8:$A$12,INDEX(잔액!$C:$C,BA350))=1,COUNTIF(예비비!$A$8:$A$12,INDEX(잔액!$D:$D,BA350))=1),OR(AND(BB350&gt;=예비비!$B$3,BB350&lt;EDATE(예비비!$B$3,1)),AND(BB350&lt;EDATE(예비비!$B$3,1),COUNTIFS(예비비!$C$430:$C$729,BA350,예비비!$L$430:$L$729,예비비!$B$3,예비비!$N$430:$N$729,"OK")&gt;0))),MAX($BH$120:BH349)+1,0),0)</f>
        <v>0</v>
      </c>
      <c r="BI350">
        <f>IF(예비비!$R350="OK",SUMIFS(예비비!$O$430:$O$729,예비비!$B$430:$B$729,예비비!$A350,예비비!$E$430:$E$729,"&lt;"&amp;EDATE(BI$99,1),예비비!$F$430:$F$729,"결제대금비")+MAX(0,IF(예비비!$D350&lt;EDATE(BI$99,1),예비비!$E350,0)-SUMIFS(예비비!$O$430:$O$729,예비비!$B$430:$B$729,예비비!$A350,예비비!$E$430:$E$729,"&lt;"&amp;EDATE(BI$99,1))),0)</f>
        <v>0</v>
      </c>
      <c r="BJ350">
        <f>IF(예비비!$R350="OK",SUMIFS(예비비!$O$430:$O$729,예비비!$B$430:$B$729,예비비!$A350,예비비!$E$430:$E$729,"&lt;"&amp;EDATE(BJ$99,1),예비비!$F$430:$F$729,"결제대금비")+MAX(0,IF(예비비!$D350&lt;EDATE(BJ$99,1),예비비!$E350,0)-SUMIFS(예비비!$O$430:$O$729,예비비!$B$430:$B$729,예비비!$A350,예비비!$E$430:$E$729,"&lt;"&amp;EDATE(BJ$99,1))),0)</f>
        <v>0</v>
      </c>
      <c r="BK350">
        <f>IF(예비비!$R350="OK",SUMIFS(예비비!$O$430:$O$729,예비비!$B$430:$B$729,예비비!$A350,예비비!$E$430:$E$729,"&lt;"&amp;EDATE(BK$99,1),예비비!$F$430:$F$729,"결제대금비")+MAX(0,IF(예비비!$D350&lt;EDATE(BK$99,1),예비비!$E350,0)-SUMIFS(예비비!$O$430:$O$729,예비비!$B$430:$B$729,예비비!$A350,예비비!$E$430:$E$729,"&lt;"&amp;EDATE(BK$99,1))),0)</f>
        <v>0</v>
      </c>
      <c r="BL350">
        <f>IF(예비비!$R350="OK",SUMIFS(예비비!$O$430:$O$729,예비비!$B$430:$B$729,예비비!$A350,예비비!$E$430:$E$729,"&lt;"&amp;EDATE(BL$99,1),예비비!$F$430:$F$729,"결제대금비")+MAX(0,IF(예비비!$D350&lt;EDATE(BL$99,1),예비비!$E350,0)-SUMIFS(예비비!$O$430:$O$729,예비비!$B$430:$B$729,예비비!$A350,예비비!$E$430:$E$729,"&lt;"&amp;EDATE(BL$99,1))),0)</f>
        <v>0</v>
      </c>
      <c r="BM350">
        <f>IF(예비비!$R350="OK",SUMIFS(예비비!$O$430:$O$729,예비비!$B$430:$B$729,예비비!$A350,예비비!$E$430:$E$729,"&lt;"&amp;EDATE(BM$99,1),예비비!$F$430:$F$729,"결제대금비")+MAX(0,IF(예비비!$D350&lt;EDATE(BM$99,1),예비비!$E350,0)-SUMIFS(예비비!$O$430:$O$729,예비비!$B$430:$B$729,예비비!$A350,예비비!$E$430:$E$729,"&lt;"&amp;EDATE(BM$99,1))),0)</f>
        <v>0</v>
      </c>
      <c r="BN350">
        <f>IF(예비비!$R350="OK",SUMIFS(예비비!$O$430:$O$729,예비비!$B$430:$B$729,예비비!$A350,예비비!$E$430:$E$729,"&lt;"&amp;EDATE(BN$99,1),예비비!$F$430:$F$729,"결제대금비")+MAX(0,IF(예비비!$D350&lt;EDATE(BN$99,1),예비비!$E350,0)-SUMIFS(예비비!$O$430:$O$729,예비비!$B$430:$B$729,예비비!$A350,예비비!$E$430:$E$729,"&lt;"&amp;EDATE(BN$99,1))),0)</f>
        <v>0</v>
      </c>
      <c r="BO350">
        <f>IF(예비비!$R350="OK",SUMIFS(예비비!$O$430:$O$729,예비비!$B$430:$B$729,예비비!$A350,예비비!$E$430:$E$729,"&lt;"&amp;EDATE(BO$99,1),예비비!$F$430:$F$729,"결제대금비")+MAX(0,IF(예비비!$D350&lt;EDATE(BO$99,1),예비비!$E350,0)-SUMIFS(예비비!$O$430:$O$729,예비비!$B$430:$B$729,예비비!$A350,예비비!$E$430:$E$729,"&lt;"&amp;EDATE(BO$99,1))),0)</f>
        <v>0</v>
      </c>
      <c r="BP350">
        <f>IF(예비비!$R350="OK",SUMIFS(예비비!$O$430:$O$729,예비비!$B$430:$B$729,예비비!$A350,예비비!$E$430:$E$729,"&lt;"&amp;EDATE(BP$99,1),예비비!$F$430:$F$729,"결제대금비")+MAX(0,IF(예비비!$D350&lt;EDATE(BP$99,1),예비비!$E350,0)-SUMIFS(예비비!$O$430:$O$729,예비비!$B$430:$B$729,예비비!$A350,예비비!$E$430:$E$729,"&lt;"&amp;EDATE(BP$99,1))),0)</f>
        <v>0</v>
      </c>
      <c r="BQ350">
        <f>IF(예비비!$R350="OK",SUMIFS(예비비!$O$430:$O$729,예비비!$B$430:$B$729,예비비!$A350,예비비!$E$430:$E$729,"&lt;"&amp;EDATE(BQ$99,1),예비비!$F$430:$F$729,"결제대금비")+MAX(0,IF(예비비!$D350&lt;EDATE(BQ$99,1),예비비!$E350,0)-SUMIFS(예비비!$O$430:$O$729,예비비!$B$430:$B$729,예비비!$A350,예비비!$E$430:$E$729,"&lt;"&amp;EDATE(BQ$99,1))),0)</f>
        <v>0</v>
      </c>
      <c r="BR350">
        <f>IF(예비비!$R350="OK",SUMIFS(예비비!$O$430:$O$729,예비비!$B$430:$B$729,예비비!$A350,예비비!$E$430:$E$729,"&lt;"&amp;EDATE(BR$99,1),예비비!$F$430:$F$729,"결제대금비")+MAX(0,IF(예비비!$D350&lt;EDATE(BR$99,1),예비비!$E350,0)-SUMIFS(예비비!$O$430:$O$729,예비비!$B$430:$B$729,예비비!$A350,예비비!$E$430:$E$729,"&lt;"&amp;EDATE(BR$99,1))),0)</f>
        <v>0</v>
      </c>
      <c r="BS350">
        <f>IF(예비비!$R350="OK",SUMIFS(예비비!$O$430:$O$729,예비비!$B$430:$B$729,예비비!$A350,예비비!$E$430:$E$729,"&lt;"&amp;EDATE(BS$99,1),예비비!$F$430:$F$729,"결제대금비")+MAX(0,IF(예비비!$D350&lt;EDATE(BS$99,1),예비비!$E350,0)-SUMIFS(예비비!$O$430:$O$729,예비비!$B$430:$B$729,예비비!$A350,예비비!$E$430:$E$729,"&lt;"&amp;EDATE(BS$99,1))),0)</f>
        <v>0</v>
      </c>
      <c r="BT350">
        <f>IF(예비비!$R350="OK",SUMIFS(예비비!$O$430:$O$729,예비비!$B$430:$B$729,예비비!$A350,예비비!$E$430:$E$729,"&lt;"&amp;EDATE(BT$99,1),예비비!$F$430:$F$729,"결제대금비")+MAX(0,IF(예비비!$D350&lt;EDATE(BT$99,1),예비비!$E350,0)-SUMIFS(예비비!$O$430:$O$729,예비비!$B$430:$B$729,예비비!$A350,예비비!$E$430:$E$729,"&lt;"&amp;EDATE(BT$99,1))),0)</f>
        <v>0</v>
      </c>
      <c r="BU350">
        <f>IF(예비비!$R350="OK",SUMIFS(예비비!$O$430:$O$729,예비비!$B$430:$B$729,예비비!$A350,예비비!$E$430:$E$729,"&lt;"&amp;EDATE(BU$99,1),예비비!$F$430:$F$729,"결제대금비")+MAX(0,IF(예비비!$D350&lt;EDATE(BU$99,1),예비비!$E350,0)-SUMIFS(예비비!$O$430:$O$729,예비비!$B$430:$B$729,예비비!$A350,예비비!$E$430:$E$729,"&lt;"&amp;EDATE(BU$99,1))),0)</f>
        <v>0</v>
      </c>
    </row>
    <row r="351">
      <c r="BA351">
        <v>295</v>
      </c>
      <c r="BB351" t="str">
        <f>IFERROR(INDEX(잔액!$A:$A,BA351),0)</f>
        <v>00:00:00</v>
      </c>
      <c r="BH351">
        <f>IFERROR(IF(AND(BB351&gt;0,OR(COUNTIFS(예비비!$C$430:$C$729,BA351,예비비!$N$430:$N$729,"OK")&gt;0,AND(INDEX(잔액!$J:$J,BA351)="가족통장",INDEX(잔액!$K:$K,BA351)="미래에셋_WRAP형CMA"),COUNTIF(예비비!$A$8:$A$12,INDEX(잔액!$C:$C,BA351))=1,COUNTIF(예비비!$A$8:$A$12,INDEX(잔액!$D:$D,BA351))=1),OR(AND(BB351&gt;=예비비!$B$3,BB351&lt;EDATE(예비비!$B$3,1)),AND(BB351&lt;EDATE(예비비!$B$3,1),COUNTIFS(예비비!$C$430:$C$729,BA351,예비비!$L$430:$L$729,예비비!$B$3,예비비!$N$430:$N$729,"OK")&gt;0))),MAX($BH$120:BH350)+1,0),0)</f>
        <v>0</v>
      </c>
      <c r="BI351">
        <f>IF(예비비!$R351="OK",SUMIFS(예비비!$O$430:$O$729,예비비!$B$430:$B$729,예비비!$A351,예비비!$E$430:$E$729,"&lt;"&amp;EDATE(BI$99,1),예비비!$F$430:$F$729,"결제대금비")+MAX(0,IF(예비비!$D351&lt;EDATE(BI$99,1),예비비!$E351,0)-SUMIFS(예비비!$O$430:$O$729,예비비!$B$430:$B$729,예비비!$A351,예비비!$E$430:$E$729,"&lt;"&amp;EDATE(BI$99,1))),0)</f>
        <v>0</v>
      </c>
      <c r="BJ351">
        <f>IF(예비비!$R351="OK",SUMIFS(예비비!$O$430:$O$729,예비비!$B$430:$B$729,예비비!$A351,예비비!$E$430:$E$729,"&lt;"&amp;EDATE(BJ$99,1),예비비!$F$430:$F$729,"결제대금비")+MAX(0,IF(예비비!$D351&lt;EDATE(BJ$99,1),예비비!$E351,0)-SUMIFS(예비비!$O$430:$O$729,예비비!$B$430:$B$729,예비비!$A351,예비비!$E$430:$E$729,"&lt;"&amp;EDATE(BJ$99,1))),0)</f>
        <v>0</v>
      </c>
      <c r="BK351">
        <f>IF(예비비!$R351="OK",SUMIFS(예비비!$O$430:$O$729,예비비!$B$430:$B$729,예비비!$A351,예비비!$E$430:$E$729,"&lt;"&amp;EDATE(BK$99,1),예비비!$F$430:$F$729,"결제대금비")+MAX(0,IF(예비비!$D351&lt;EDATE(BK$99,1),예비비!$E351,0)-SUMIFS(예비비!$O$430:$O$729,예비비!$B$430:$B$729,예비비!$A351,예비비!$E$430:$E$729,"&lt;"&amp;EDATE(BK$99,1))),0)</f>
        <v>0</v>
      </c>
      <c r="BL351">
        <f>IF(예비비!$R351="OK",SUMIFS(예비비!$O$430:$O$729,예비비!$B$430:$B$729,예비비!$A351,예비비!$E$430:$E$729,"&lt;"&amp;EDATE(BL$99,1),예비비!$F$430:$F$729,"결제대금비")+MAX(0,IF(예비비!$D351&lt;EDATE(BL$99,1),예비비!$E351,0)-SUMIFS(예비비!$O$430:$O$729,예비비!$B$430:$B$729,예비비!$A351,예비비!$E$430:$E$729,"&lt;"&amp;EDATE(BL$99,1))),0)</f>
        <v>0</v>
      </c>
      <c r="BM351">
        <f>IF(예비비!$R351="OK",SUMIFS(예비비!$O$430:$O$729,예비비!$B$430:$B$729,예비비!$A351,예비비!$E$430:$E$729,"&lt;"&amp;EDATE(BM$99,1),예비비!$F$430:$F$729,"결제대금비")+MAX(0,IF(예비비!$D351&lt;EDATE(BM$99,1),예비비!$E351,0)-SUMIFS(예비비!$O$430:$O$729,예비비!$B$430:$B$729,예비비!$A351,예비비!$E$430:$E$729,"&lt;"&amp;EDATE(BM$99,1))),0)</f>
        <v>0</v>
      </c>
      <c r="BN351">
        <f>IF(예비비!$R351="OK",SUMIFS(예비비!$O$430:$O$729,예비비!$B$430:$B$729,예비비!$A351,예비비!$E$430:$E$729,"&lt;"&amp;EDATE(BN$99,1),예비비!$F$430:$F$729,"결제대금비")+MAX(0,IF(예비비!$D351&lt;EDATE(BN$99,1),예비비!$E351,0)-SUMIFS(예비비!$O$430:$O$729,예비비!$B$430:$B$729,예비비!$A351,예비비!$E$430:$E$729,"&lt;"&amp;EDATE(BN$99,1))),0)</f>
        <v>0</v>
      </c>
      <c r="BO351">
        <f>IF(예비비!$R351="OK",SUMIFS(예비비!$O$430:$O$729,예비비!$B$430:$B$729,예비비!$A351,예비비!$E$430:$E$729,"&lt;"&amp;EDATE(BO$99,1),예비비!$F$430:$F$729,"결제대금비")+MAX(0,IF(예비비!$D351&lt;EDATE(BO$99,1),예비비!$E351,0)-SUMIFS(예비비!$O$430:$O$729,예비비!$B$430:$B$729,예비비!$A351,예비비!$E$430:$E$729,"&lt;"&amp;EDATE(BO$99,1))),0)</f>
        <v>0</v>
      </c>
      <c r="BP351">
        <f>IF(예비비!$R351="OK",SUMIFS(예비비!$O$430:$O$729,예비비!$B$430:$B$729,예비비!$A351,예비비!$E$430:$E$729,"&lt;"&amp;EDATE(BP$99,1),예비비!$F$430:$F$729,"결제대금비")+MAX(0,IF(예비비!$D351&lt;EDATE(BP$99,1),예비비!$E351,0)-SUMIFS(예비비!$O$430:$O$729,예비비!$B$430:$B$729,예비비!$A351,예비비!$E$430:$E$729,"&lt;"&amp;EDATE(BP$99,1))),0)</f>
        <v>0</v>
      </c>
      <c r="BQ351">
        <f>IF(예비비!$R351="OK",SUMIFS(예비비!$O$430:$O$729,예비비!$B$430:$B$729,예비비!$A351,예비비!$E$430:$E$729,"&lt;"&amp;EDATE(BQ$99,1),예비비!$F$430:$F$729,"결제대금비")+MAX(0,IF(예비비!$D351&lt;EDATE(BQ$99,1),예비비!$E351,0)-SUMIFS(예비비!$O$430:$O$729,예비비!$B$430:$B$729,예비비!$A351,예비비!$E$430:$E$729,"&lt;"&amp;EDATE(BQ$99,1))),0)</f>
        <v>0</v>
      </c>
      <c r="BR351">
        <f>IF(예비비!$R351="OK",SUMIFS(예비비!$O$430:$O$729,예비비!$B$430:$B$729,예비비!$A351,예비비!$E$430:$E$729,"&lt;"&amp;EDATE(BR$99,1),예비비!$F$430:$F$729,"결제대금비")+MAX(0,IF(예비비!$D351&lt;EDATE(BR$99,1),예비비!$E351,0)-SUMIFS(예비비!$O$430:$O$729,예비비!$B$430:$B$729,예비비!$A351,예비비!$E$430:$E$729,"&lt;"&amp;EDATE(BR$99,1))),0)</f>
        <v>0</v>
      </c>
      <c r="BS351">
        <f>IF(예비비!$R351="OK",SUMIFS(예비비!$O$430:$O$729,예비비!$B$430:$B$729,예비비!$A351,예비비!$E$430:$E$729,"&lt;"&amp;EDATE(BS$99,1),예비비!$F$430:$F$729,"결제대금비")+MAX(0,IF(예비비!$D351&lt;EDATE(BS$99,1),예비비!$E351,0)-SUMIFS(예비비!$O$430:$O$729,예비비!$B$430:$B$729,예비비!$A351,예비비!$E$430:$E$729,"&lt;"&amp;EDATE(BS$99,1))),0)</f>
        <v>0</v>
      </c>
      <c r="BT351">
        <f>IF(예비비!$R351="OK",SUMIFS(예비비!$O$430:$O$729,예비비!$B$430:$B$729,예비비!$A351,예비비!$E$430:$E$729,"&lt;"&amp;EDATE(BT$99,1),예비비!$F$430:$F$729,"결제대금비")+MAX(0,IF(예비비!$D351&lt;EDATE(BT$99,1),예비비!$E351,0)-SUMIFS(예비비!$O$430:$O$729,예비비!$B$430:$B$729,예비비!$A351,예비비!$E$430:$E$729,"&lt;"&amp;EDATE(BT$99,1))),0)</f>
        <v>0</v>
      </c>
      <c r="BU351">
        <f>IF(예비비!$R351="OK",SUMIFS(예비비!$O$430:$O$729,예비비!$B$430:$B$729,예비비!$A351,예비비!$E$430:$E$729,"&lt;"&amp;EDATE(BU$99,1),예비비!$F$430:$F$729,"결제대금비")+MAX(0,IF(예비비!$D351&lt;EDATE(BU$99,1),예비비!$E351,0)-SUMIFS(예비비!$O$430:$O$729,예비비!$B$430:$B$729,예비비!$A351,예비비!$E$430:$E$729,"&lt;"&amp;EDATE(BU$99,1))),0)</f>
        <v>0</v>
      </c>
    </row>
    <row r="352">
      <c r="BA352">
        <v>296</v>
      </c>
      <c r="BB352" t="str">
        <f>IFERROR(INDEX(잔액!$A:$A,BA352),0)</f>
        <v>00:00:00</v>
      </c>
      <c r="BH352">
        <f>IFERROR(IF(AND(BB352&gt;0,OR(COUNTIFS(예비비!$C$430:$C$729,BA352,예비비!$N$430:$N$729,"OK")&gt;0,AND(INDEX(잔액!$J:$J,BA352)="가족통장",INDEX(잔액!$K:$K,BA352)="미래에셋_WRAP형CMA"),COUNTIF(예비비!$A$8:$A$12,INDEX(잔액!$C:$C,BA352))=1,COUNTIF(예비비!$A$8:$A$12,INDEX(잔액!$D:$D,BA352))=1),OR(AND(BB352&gt;=예비비!$B$3,BB352&lt;EDATE(예비비!$B$3,1)),AND(BB352&lt;EDATE(예비비!$B$3,1),COUNTIFS(예비비!$C$430:$C$729,BA352,예비비!$L$430:$L$729,예비비!$B$3,예비비!$N$430:$N$729,"OK")&gt;0))),MAX($BH$120:BH351)+1,0),0)</f>
        <v>0</v>
      </c>
      <c r="BI352">
        <f>IF(예비비!$R352="OK",SUMIFS(예비비!$O$430:$O$729,예비비!$B$430:$B$729,예비비!$A352,예비비!$E$430:$E$729,"&lt;"&amp;EDATE(BI$99,1),예비비!$F$430:$F$729,"결제대금비")+MAX(0,IF(예비비!$D352&lt;EDATE(BI$99,1),예비비!$E352,0)-SUMIFS(예비비!$O$430:$O$729,예비비!$B$430:$B$729,예비비!$A352,예비비!$E$430:$E$729,"&lt;"&amp;EDATE(BI$99,1))),0)</f>
        <v>0</v>
      </c>
      <c r="BJ352">
        <f>IF(예비비!$R352="OK",SUMIFS(예비비!$O$430:$O$729,예비비!$B$430:$B$729,예비비!$A352,예비비!$E$430:$E$729,"&lt;"&amp;EDATE(BJ$99,1),예비비!$F$430:$F$729,"결제대금비")+MAX(0,IF(예비비!$D352&lt;EDATE(BJ$99,1),예비비!$E352,0)-SUMIFS(예비비!$O$430:$O$729,예비비!$B$430:$B$729,예비비!$A352,예비비!$E$430:$E$729,"&lt;"&amp;EDATE(BJ$99,1))),0)</f>
        <v>0</v>
      </c>
      <c r="BK352">
        <f>IF(예비비!$R352="OK",SUMIFS(예비비!$O$430:$O$729,예비비!$B$430:$B$729,예비비!$A352,예비비!$E$430:$E$729,"&lt;"&amp;EDATE(BK$99,1),예비비!$F$430:$F$729,"결제대금비")+MAX(0,IF(예비비!$D352&lt;EDATE(BK$99,1),예비비!$E352,0)-SUMIFS(예비비!$O$430:$O$729,예비비!$B$430:$B$729,예비비!$A352,예비비!$E$430:$E$729,"&lt;"&amp;EDATE(BK$99,1))),0)</f>
        <v>0</v>
      </c>
      <c r="BL352">
        <f>IF(예비비!$R352="OK",SUMIFS(예비비!$O$430:$O$729,예비비!$B$430:$B$729,예비비!$A352,예비비!$E$430:$E$729,"&lt;"&amp;EDATE(BL$99,1),예비비!$F$430:$F$729,"결제대금비")+MAX(0,IF(예비비!$D352&lt;EDATE(BL$99,1),예비비!$E352,0)-SUMIFS(예비비!$O$430:$O$729,예비비!$B$430:$B$729,예비비!$A352,예비비!$E$430:$E$729,"&lt;"&amp;EDATE(BL$99,1))),0)</f>
        <v>0</v>
      </c>
      <c r="BM352">
        <f>IF(예비비!$R352="OK",SUMIFS(예비비!$O$430:$O$729,예비비!$B$430:$B$729,예비비!$A352,예비비!$E$430:$E$729,"&lt;"&amp;EDATE(BM$99,1),예비비!$F$430:$F$729,"결제대금비")+MAX(0,IF(예비비!$D352&lt;EDATE(BM$99,1),예비비!$E352,0)-SUMIFS(예비비!$O$430:$O$729,예비비!$B$430:$B$729,예비비!$A352,예비비!$E$430:$E$729,"&lt;"&amp;EDATE(BM$99,1))),0)</f>
        <v>0</v>
      </c>
      <c r="BN352">
        <f>IF(예비비!$R352="OK",SUMIFS(예비비!$O$430:$O$729,예비비!$B$430:$B$729,예비비!$A352,예비비!$E$430:$E$729,"&lt;"&amp;EDATE(BN$99,1),예비비!$F$430:$F$729,"결제대금비")+MAX(0,IF(예비비!$D352&lt;EDATE(BN$99,1),예비비!$E352,0)-SUMIFS(예비비!$O$430:$O$729,예비비!$B$430:$B$729,예비비!$A352,예비비!$E$430:$E$729,"&lt;"&amp;EDATE(BN$99,1))),0)</f>
        <v>0</v>
      </c>
      <c r="BO352">
        <f>IF(예비비!$R352="OK",SUMIFS(예비비!$O$430:$O$729,예비비!$B$430:$B$729,예비비!$A352,예비비!$E$430:$E$729,"&lt;"&amp;EDATE(BO$99,1),예비비!$F$430:$F$729,"결제대금비")+MAX(0,IF(예비비!$D352&lt;EDATE(BO$99,1),예비비!$E352,0)-SUMIFS(예비비!$O$430:$O$729,예비비!$B$430:$B$729,예비비!$A352,예비비!$E$430:$E$729,"&lt;"&amp;EDATE(BO$99,1))),0)</f>
        <v>0</v>
      </c>
      <c r="BP352">
        <f>IF(예비비!$R352="OK",SUMIFS(예비비!$O$430:$O$729,예비비!$B$430:$B$729,예비비!$A352,예비비!$E$430:$E$729,"&lt;"&amp;EDATE(BP$99,1),예비비!$F$430:$F$729,"결제대금비")+MAX(0,IF(예비비!$D352&lt;EDATE(BP$99,1),예비비!$E352,0)-SUMIFS(예비비!$O$430:$O$729,예비비!$B$430:$B$729,예비비!$A352,예비비!$E$430:$E$729,"&lt;"&amp;EDATE(BP$99,1))),0)</f>
        <v>0</v>
      </c>
      <c r="BQ352">
        <f>IF(예비비!$R352="OK",SUMIFS(예비비!$O$430:$O$729,예비비!$B$430:$B$729,예비비!$A352,예비비!$E$430:$E$729,"&lt;"&amp;EDATE(BQ$99,1),예비비!$F$430:$F$729,"결제대금비")+MAX(0,IF(예비비!$D352&lt;EDATE(BQ$99,1),예비비!$E352,0)-SUMIFS(예비비!$O$430:$O$729,예비비!$B$430:$B$729,예비비!$A352,예비비!$E$430:$E$729,"&lt;"&amp;EDATE(BQ$99,1))),0)</f>
        <v>0</v>
      </c>
      <c r="BR352">
        <f>IF(예비비!$R352="OK",SUMIFS(예비비!$O$430:$O$729,예비비!$B$430:$B$729,예비비!$A352,예비비!$E$430:$E$729,"&lt;"&amp;EDATE(BR$99,1),예비비!$F$430:$F$729,"결제대금비")+MAX(0,IF(예비비!$D352&lt;EDATE(BR$99,1),예비비!$E352,0)-SUMIFS(예비비!$O$430:$O$729,예비비!$B$430:$B$729,예비비!$A352,예비비!$E$430:$E$729,"&lt;"&amp;EDATE(BR$99,1))),0)</f>
        <v>0</v>
      </c>
      <c r="BS352">
        <f>IF(예비비!$R352="OK",SUMIFS(예비비!$O$430:$O$729,예비비!$B$430:$B$729,예비비!$A352,예비비!$E$430:$E$729,"&lt;"&amp;EDATE(BS$99,1),예비비!$F$430:$F$729,"결제대금비")+MAX(0,IF(예비비!$D352&lt;EDATE(BS$99,1),예비비!$E352,0)-SUMIFS(예비비!$O$430:$O$729,예비비!$B$430:$B$729,예비비!$A352,예비비!$E$430:$E$729,"&lt;"&amp;EDATE(BS$99,1))),0)</f>
        <v>0</v>
      </c>
      <c r="BT352">
        <f>IF(예비비!$R352="OK",SUMIFS(예비비!$O$430:$O$729,예비비!$B$430:$B$729,예비비!$A352,예비비!$E$430:$E$729,"&lt;"&amp;EDATE(BT$99,1),예비비!$F$430:$F$729,"결제대금비")+MAX(0,IF(예비비!$D352&lt;EDATE(BT$99,1),예비비!$E352,0)-SUMIFS(예비비!$O$430:$O$729,예비비!$B$430:$B$729,예비비!$A352,예비비!$E$430:$E$729,"&lt;"&amp;EDATE(BT$99,1))),0)</f>
        <v>0</v>
      </c>
      <c r="BU352">
        <f>IF(예비비!$R352="OK",SUMIFS(예비비!$O$430:$O$729,예비비!$B$430:$B$729,예비비!$A352,예비비!$E$430:$E$729,"&lt;"&amp;EDATE(BU$99,1),예비비!$F$430:$F$729,"결제대금비")+MAX(0,IF(예비비!$D352&lt;EDATE(BU$99,1),예비비!$E352,0)-SUMIFS(예비비!$O$430:$O$729,예비비!$B$430:$B$729,예비비!$A352,예비비!$E$430:$E$729,"&lt;"&amp;EDATE(BU$99,1))),0)</f>
        <v>0</v>
      </c>
    </row>
    <row r="353">
      <c r="BA353">
        <v>297</v>
      </c>
      <c r="BB353" t="str">
        <f>IFERROR(INDEX(잔액!$A:$A,BA353),0)</f>
        <v>00:00:00</v>
      </c>
      <c r="BH353">
        <f>IFERROR(IF(AND(BB353&gt;0,OR(COUNTIFS(예비비!$C$430:$C$729,BA353,예비비!$N$430:$N$729,"OK")&gt;0,AND(INDEX(잔액!$J:$J,BA353)="가족통장",INDEX(잔액!$K:$K,BA353)="미래에셋_WRAP형CMA"),COUNTIF(예비비!$A$8:$A$12,INDEX(잔액!$C:$C,BA353))=1,COUNTIF(예비비!$A$8:$A$12,INDEX(잔액!$D:$D,BA353))=1),OR(AND(BB353&gt;=예비비!$B$3,BB353&lt;EDATE(예비비!$B$3,1)),AND(BB353&lt;EDATE(예비비!$B$3,1),COUNTIFS(예비비!$C$430:$C$729,BA353,예비비!$L$430:$L$729,예비비!$B$3,예비비!$N$430:$N$729,"OK")&gt;0))),MAX($BH$120:BH352)+1,0),0)</f>
        <v>0</v>
      </c>
      <c r="BI353">
        <f>IF(예비비!$R353="OK",SUMIFS(예비비!$O$430:$O$729,예비비!$B$430:$B$729,예비비!$A353,예비비!$E$430:$E$729,"&lt;"&amp;EDATE(BI$99,1),예비비!$F$430:$F$729,"결제대금비")+MAX(0,IF(예비비!$D353&lt;EDATE(BI$99,1),예비비!$E353,0)-SUMIFS(예비비!$O$430:$O$729,예비비!$B$430:$B$729,예비비!$A353,예비비!$E$430:$E$729,"&lt;"&amp;EDATE(BI$99,1))),0)</f>
        <v>0</v>
      </c>
      <c r="BJ353">
        <f>IF(예비비!$R353="OK",SUMIFS(예비비!$O$430:$O$729,예비비!$B$430:$B$729,예비비!$A353,예비비!$E$430:$E$729,"&lt;"&amp;EDATE(BJ$99,1),예비비!$F$430:$F$729,"결제대금비")+MAX(0,IF(예비비!$D353&lt;EDATE(BJ$99,1),예비비!$E353,0)-SUMIFS(예비비!$O$430:$O$729,예비비!$B$430:$B$729,예비비!$A353,예비비!$E$430:$E$729,"&lt;"&amp;EDATE(BJ$99,1))),0)</f>
        <v>0</v>
      </c>
      <c r="BK353">
        <f>IF(예비비!$R353="OK",SUMIFS(예비비!$O$430:$O$729,예비비!$B$430:$B$729,예비비!$A353,예비비!$E$430:$E$729,"&lt;"&amp;EDATE(BK$99,1),예비비!$F$430:$F$729,"결제대금비")+MAX(0,IF(예비비!$D353&lt;EDATE(BK$99,1),예비비!$E353,0)-SUMIFS(예비비!$O$430:$O$729,예비비!$B$430:$B$729,예비비!$A353,예비비!$E$430:$E$729,"&lt;"&amp;EDATE(BK$99,1))),0)</f>
        <v>0</v>
      </c>
      <c r="BL353">
        <f>IF(예비비!$R353="OK",SUMIFS(예비비!$O$430:$O$729,예비비!$B$430:$B$729,예비비!$A353,예비비!$E$430:$E$729,"&lt;"&amp;EDATE(BL$99,1),예비비!$F$430:$F$729,"결제대금비")+MAX(0,IF(예비비!$D353&lt;EDATE(BL$99,1),예비비!$E353,0)-SUMIFS(예비비!$O$430:$O$729,예비비!$B$430:$B$729,예비비!$A353,예비비!$E$430:$E$729,"&lt;"&amp;EDATE(BL$99,1))),0)</f>
        <v>0</v>
      </c>
      <c r="BM353">
        <f>IF(예비비!$R353="OK",SUMIFS(예비비!$O$430:$O$729,예비비!$B$430:$B$729,예비비!$A353,예비비!$E$430:$E$729,"&lt;"&amp;EDATE(BM$99,1),예비비!$F$430:$F$729,"결제대금비")+MAX(0,IF(예비비!$D353&lt;EDATE(BM$99,1),예비비!$E353,0)-SUMIFS(예비비!$O$430:$O$729,예비비!$B$430:$B$729,예비비!$A353,예비비!$E$430:$E$729,"&lt;"&amp;EDATE(BM$99,1))),0)</f>
        <v>0</v>
      </c>
      <c r="BN353">
        <f>IF(예비비!$R353="OK",SUMIFS(예비비!$O$430:$O$729,예비비!$B$430:$B$729,예비비!$A353,예비비!$E$430:$E$729,"&lt;"&amp;EDATE(BN$99,1),예비비!$F$430:$F$729,"결제대금비")+MAX(0,IF(예비비!$D353&lt;EDATE(BN$99,1),예비비!$E353,0)-SUMIFS(예비비!$O$430:$O$729,예비비!$B$430:$B$729,예비비!$A353,예비비!$E$430:$E$729,"&lt;"&amp;EDATE(BN$99,1))),0)</f>
        <v>0</v>
      </c>
      <c r="BO353">
        <f>IF(예비비!$R353="OK",SUMIFS(예비비!$O$430:$O$729,예비비!$B$430:$B$729,예비비!$A353,예비비!$E$430:$E$729,"&lt;"&amp;EDATE(BO$99,1),예비비!$F$430:$F$729,"결제대금비")+MAX(0,IF(예비비!$D353&lt;EDATE(BO$99,1),예비비!$E353,0)-SUMIFS(예비비!$O$430:$O$729,예비비!$B$430:$B$729,예비비!$A353,예비비!$E$430:$E$729,"&lt;"&amp;EDATE(BO$99,1))),0)</f>
        <v>0</v>
      </c>
      <c r="BP353">
        <f>IF(예비비!$R353="OK",SUMIFS(예비비!$O$430:$O$729,예비비!$B$430:$B$729,예비비!$A353,예비비!$E$430:$E$729,"&lt;"&amp;EDATE(BP$99,1),예비비!$F$430:$F$729,"결제대금비")+MAX(0,IF(예비비!$D353&lt;EDATE(BP$99,1),예비비!$E353,0)-SUMIFS(예비비!$O$430:$O$729,예비비!$B$430:$B$729,예비비!$A353,예비비!$E$430:$E$729,"&lt;"&amp;EDATE(BP$99,1))),0)</f>
        <v>0</v>
      </c>
      <c r="BQ353">
        <f>IF(예비비!$R353="OK",SUMIFS(예비비!$O$430:$O$729,예비비!$B$430:$B$729,예비비!$A353,예비비!$E$430:$E$729,"&lt;"&amp;EDATE(BQ$99,1),예비비!$F$430:$F$729,"결제대금비")+MAX(0,IF(예비비!$D353&lt;EDATE(BQ$99,1),예비비!$E353,0)-SUMIFS(예비비!$O$430:$O$729,예비비!$B$430:$B$729,예비비!$A353,예비비!$E$430:$E$729,"&lt;"&amp;EDATE(BQ$99,1))),0)</f>
        <v>0</v>
      </c>
      <c r="BR353">
        <f>IF(예비비!$R353="OK",SUMIFS(예비비!$O$430:$O$729,예비비!$B$430:$B$729,예비비!$A353,예비비!$E$430:$E$729,"&lt;"&amp;EDATE(BR$99,1),예비비!$F$430:$F$729,"결제대금비")+MAX(0,IF(예비비!$D353&lt;EDATE(BR$99,1),예비비!$E353,0)-SUMIFS(예비비!$O$430:$O$729,예비비!$B$430:$B$729,예비비!$A353,예비비!$E$430:$E$729,"&lt;"&amp;EDATE(BR$99,1))),0)</f>
        <v>0</v>
      </c>
      <c r="BS353">
        <f>IF(예비비!$R353="OK",SUMIFS(예비비!$O$430:$O$729,예비비!$B$430:$B$729,예비비!$A353,예비비!$E$430:$E$729,"&lt;"&amp;EDATE(BS$99,1),예비비!$F$430:$F$729,"결제대금비")+MAX(0,IF(예비비!$D353&lt;EDATE(BS$99,1),예비비!$E353,0)-SUMIFS(예비비!$O$430:$O$729,예비비!$B$430:$B$729,예비비!$A353,예비비!$E$430:$E$729,"&lt;"&amp;EDATE(BS$99,1))),0)</f>
        <v>0</v>
      </c>
      <c r="BT353">
        <f>IF(예비비!$R353="OK",SUMIFS(예비비!$O$430:$O$729,예비비!$B$430:$B$729,예비비!$A353,예비비!$E$430:$E$729,"&lt;"&amp;EDATE(BT$99,1),예비비!$F$430:$F$729,"결제대금비")+MAX(0,IF(예비비!$D353&lt;EDATE(BT$99,1),예비비!$E353,0)-SUMIFS(예비비!$O$430:$O$729,예비비!$B$430:$B$729,예비비!$A353,예비비!$E$430:$E$729,"&lt;"&amp;EDATE(BT$99,1))),0)</f>
        <v>0</v>
      </c>
      <c r="BU353">
        <f>IF(예비비!$R353="OK",SUMIFS(예비비!$O$430:$O$729,예비비!$B$430:$B$729,예비비!$A353,예비비!$E$430:$E$729,"&lt;"&amp;EDATE(BU$99,1),예비비!$F$430:$F$729,"결제대금비")+MAX(0,IF(예비비!$D353&lt;EDATE(BU$99,1),예비비!$E353,0)-SUMIFS(예비비!$O$430:$O$729,예비비!$B$430:$B$729,예비비!$A353,예비비!$E$430:$E$729,"&lt;"&amp;EDATE(BU$99,1))),0)</f>
        <v>0</v>
      </c>
    </row>
    <row r="354">
      <c r="BA354">
        <v>298</v>
      </c>
      <c r="BB354" t="str">
        <f>IFERROR(INDEX(잔액!$A:$A,BA354),0)</f>
        <v>00:00:00</v>
      </c>
      <c r="BH354">
        <f>IFERROR(IF(AND(BB354&gt;0,OR(COUNTIFS(예비비!$C$430:$C$729,BA354,예비비!$N$430:$N$729,"OK")&gt;0,AND(INDEX(잔액!$J:$J,BA354)="가족통장",INDEX(잔액!$K:$K,BA354)="미래에셋_WRAP형CMA"),COUNTIF(예비비!$A$8:$A$12,INDEX(잔액!$C:$C,BA354))=1,COUNTIF(예비비!$A$8:$A$12,INDEX(잔액!$D:$D,BA354))=1),OR(AND(BB354&gt;=예비비!$B$3,BB354&lt;EDATE(예비비!$B$3,1)),AND(BB354&lt;EDATE(예비비!$B$3,1),COUNTIFS(예비비!$C$430:$C$729,BA354,예비비!$L$430:$L$729,예비비!$B$3,예비비!$N$430:$N$729,"OK")&gt;0))),MAX($BH$120:BH353)+1,0),0)</f>
        <v>0</v>
      </c>
      <c r="BI354">
        <f>IF(예비비!$R354="OK",SUMIFS(예비비!$O$430:$O$729,예비비!$B$430:$B$729,예비비!$A354,예비비!$E$430:$E$729,"&lt;"&amp;EDATE(BI$99,1),예비비!$F$430:$F$729,"결제대금비")+MAX(0,IF(예비비!$D354&lt;EDATE(BI$99,1),예비비!$E354,0)-SUMIFS(예비비!$O$430:$O$729,예비비!$B$430:$B$729,예비비!$A354,예비비!$E$430:$E$729,"&lt;"&amp;EDATE(BI$99,1))),0)</f>
        <v>0</v>
      </c>
      <c r="BJ354">
        <f>IF(예비비!$R354="OK",SUMIFS(예비비!$O$430:$O$729,예비비!$B$430:$B$729,예비비!$A354,예비비!$E$430:$E$729,"&lt;"&amp;EDATE(BJ$99,1),예비비!$F$430:$F$729,"결제대금비")+MAX(0,IF(예비비!$D354&lt;EDATE(BJ$99,1),예비비!$E354,0)-SUMIFS(예비비!$O$430:$O$729,예비비!$B$430:$B$729,예비비!$A354,예비비!$E$430:$E$729,"&lt;"&amp;EDATE(BJ$99,1))),0)</f>
        <v>0</v>
      </c>
      <c r="BK354">
        <f>IF(예비비!$R354="OK",SUMIFS(예비비!$O$430:$O$729,예비비!$B$430:$B$729,예비비!$A354,예비비!$E$430:$E$729,"&lt;"&amp;EDATE(BK$99,1),예비비!$F$430:$F$729,"결제대금비")+MAX(0,IF(예비비!$D354&lt;EDATE(BK$99,1),예비비!$E354,0)-SUMIFS(예비비!$O$430:$O$729,예비비!$B$430:$B$729,예비비!$A354,예비비!$E$430:$E$729,"&lt;"&amp;EDATE(BK$99,1))),0)</f>
        <v>0</v>
      </c>
      <c r="BL354">
        <f>IF(예비비!$R354="OK",SUMIFS(예비비!$O$430:$O$729,예비비!$B$430:$B$729,예비비!$A354,예비비!$E$430:$E$729,"&lt;"&amp;EDATE(BL$99,1),예비비!$F$430:$F$729,"결제대금비")+MAX(0,IF(예비비!$D354&lt;EDATE(BL$99,1),예비비!$E354,0)-SUMIFS(예비비!$O$430:$O$729,예비비!$B$430:$B$729,예비비!$A354,예비비!$E$430:$E$729,"&lt;"&amp;EDATE(BL$99,1))),0)</f>
        <v>0</v>
      </c>
      <c r="BM354">
        <f>IF(예비비!$R354="OK",SUMIFS(예비비!$O$430:$O$729,예비비!$B$430:$B$729,예비비!$A354,예비비!$E$430:$E$729,"&lt;"&amp;EDATE(BM$99,1),예비비!$F$430:$F$729,"결제대금비")+MAX(0,IF(예비비!$D354&lt;EDATE(BM$99,1),예비비!$E354,0)-SUMIFS(예비비!$O$430:$O$729,예비비!$B$430:$B$729,예비비!$A354,예비비!$E$430:$E$729,"&lt;"&amp;EDATE(BM$99,1))),0)</f>
        <v>0</v>
      </c>
      <c r="BN354">
        <f>IF(예비비!$R354="OK",SUMIFS(예비비!$O$430:$O$729,예비비!$B$430:$B$729,예비비!$A354,예비비!$E$430:$E$729,"&lt;"&amp;EDATE(BN$99,1),예비비!$F$430:$F$729,"결제대금비")+MAX(0,IF(예비비!$D354&lt;EDATE(BN$99,1),예비비!$E354,0)-SUMIFS(예비비!$O$430:$O$729,예비비!$B$430:$B$729,예비비!$A354,예비비!$E$430:$E$729,"&lt;"&amp;EDATE(BN$99,1))),0)</f>
        <v>0</v>
      </c>
      <c r="BO354">
        <f>IF(예비비!$R354="OK",SUMIFS(예비비!$O$430:$O$729,예비비!$B$430:$B$729,예비비!$A354,예비비!$E$430:$E$729,"&lt;"&amp;EDATE(BO$99,1),예비비!$F$430:$F$729,"결제대금비")+MAX(0,IF(예비비!$D354&lt;EDATE(BO$99,1),예비비!$E354,0)-SUMIFS(예비비!$O$430:$O$729,예비비!$B$430:$B$729,예비비!$A354,예비비!$E$430:$E$729,"&lt;"&amp;EDATE(BO$99,1))),0)</f>
        <v>0</v>
      </c>
      <c r="BP354">
        <f>IF(예비비!$R354="OK",SUMIFS(예비비!$O$430:$O$729,예비비!$B$430:$B$729,예비비!$A354,예비비!$E$430:$E$729,"&lt;"&amp;EDATE(BP$99,1),예비비!$F$430:$F$729,"결제대금비")+MAX(0,IF(예비비!$D354&lt;EDATE(BP$99,1),예비비!$E354,0)-SUMIFS(예비비!$O$430:$O$729,예비비!$B$430:$B$729,예비비!$A354,예비비!$E$430:$E$729,"&lt;"&amp;EDATE(BP$99,1))),0)</f>
        <v>0</v>
      </c>
      <c r="BQ354">
        <f>IF(예비비!$R354="OK",SUMIFS(예비비!$O$430:$O$729,예비비!$B$430:$B$729,예비비!$A354,예비비!$E$430:$E$729,"&lt;"&amp;EDATE(BQ$99,1),예비비!$F$430:$F$729,"결제대금비")+MAX(0,IF(예비비!$D354&lt;EDATE(BQ$99,1),예비비!$E354,0)-SUMIFS(예비비!$O$430:$O$729,예비비!$B$430:$B$729,예비비!$A354,예비비!$E$430:$E$729,"&lt;"&amp;EDATE(BQ$99,1))),0)</f>
        <v>0</v>
      </c>
      <c r="BR354">
        <f>IF(예비비!$R354="OK",SUMIFS(예비비!$O$430:$O$729,예비비!$B$430:$B$729,예비비!$A354,예비비!$E$430:$E$729,"&lt;"&amp;EDATE(BR$99,1),예비비!$F$430:$F$729,"결제대금비")+MAX(0,IF(예비비!$D354&lt;EDATE(BR$99,1),예비비!$E354,0)-SUMIFS(예비비!$O$430:$O$729,예비비!$B$430:$B$729,예비비!$A354,예비비!$E$430:$E$729,"&lt;"&amp;EDATE(BR$99,1))),0)</f>
        <v>0</v>
      </c>
      <c r="BS354">
        <f>IF(예비비!$R354="OK",SUMIFS(예비비!$O$430:$O$729,예비비!$B$430:$B$729,예비비!$A354,예비비!$E$430:$E$729,"&lt;"&amp;EDATE(BS$99,1),예비비!$F$430:$F$729,"결제대금비")+MAX(0,IF(예비비!$D354&lt;EDATE(BS$99,1),예비비!$E354,0)-SUMIFS(예비비!$O$430:$O$729,예비비!$B$430:$B$729,예비비!$A354,예비비!$E$430:$E$729,"&lt;"&amp;EDATE(BS$99,1))),0)</f>
        <v>0</v>
      </c>
      <c r="BT354">
        <f>IF(예비비!$R354="OK",SUMIFS(예비비!$O$430:$O$729,예비비!$B$430:$B$729,예비비!$A354,예비비!$E$430:$E$729,"&lt;"&amp;EDATE(BT$99,1),예비비!$F$430:$F$729,"결제대금비")+MAX(0,IF(예비비!$D354&lt;EDATE(BT$99,1),예비비!$E354,0)-SUMIFS(예비비!$O$430:$O$729,예비비!$B$430:$B$729,예비비!$A354,예비비!$E$430:$E$729,"&lt;"&amp;EDATE(BT$99,1))),0)</f>
        <v>0</v>
      </c>
      <c r="BU354">
        <f>IF(예비비!$R354="OK",SUMIFS(예비비!$O$430:$O$729,예비비!$B$430:$B$729,예비비!$A354,예비비!$E$430:$E$729,"&lt;"&amp;EDATE(BU$99,1),예비비!$F$430:$F$729,"결제대금비")+MAX(0,IF(예비비!$D354&lt;EDATE(BU$99,1),예비비!$E354,0)-SUMIFS(예비비!$O$430:$O$729,예비비!$B$430:$B$729,예비비!$A354,예비비!$E$430:$E$729,"&lt;"&amp;EDATE(BU$99,1))),0)</f>
        <v>0</v>
      </c>
    </row>
    <row r="355">
      <c r="BA355">
        <v>299</v>
      </c>
      <c r="BB355" t="str">
        <f>IFERROR(INDEX(잔액!$A:$A,BA355),0)</f>
        <v>00:00:00</v>
      </c>
      <c r="BH355">
        <f>IFERROR(IF(AND(BB355&gt;0,OR(COUNTIFS(예비비!$C$430:$C$729,BA355,예비비!$N$430:$N$729,"OK")&gt;0,AND(INDEX(잔액!$J:$J,BA355)="가족통장",INDEX(잔액!$K:$K,BA355)="미래에셋_WRAP형CMA"),COUNTIF(예비비!$A$8:$A$12,INDEX(잔액!$C:$C,BA355))=1,COUNTIF(예비비!$A$8:$A$12,INDEX(잔액!$D:$D,BA355))=1),OR(AND(BB355&gt;=예비비!$B$3,BB355&lt;EDATE(예비비!$B$3,1)),AND(BB355&lt;EDATE(예비비!$B$3,1),COUNTIFS(예비비!$C$430:$C$729,BA355,예비비!$L$430:$L$729,예비비!$B$3,예비비!$N$430:$N$729,"OK")&gt;0))),MAX($BH$120:BH354)+1,0),0)</f>
        <v>0</v>
      </c>
      <c r="BI355">
        <f>IF(예비비!$R355="OK",SUMIFS(예비비!$O$430:$O$729,예비비!$B$430:$B$729,예비비!$A355,예비비!$E$430:$E$729,"&lt;"&amp;EDATE(BI$99,1),예비비!$F$430:$F$729,"결제대금비")+MAX(0,IF(예비비!$D355&lt;EDATE(BI$99,1),예비비!$E355,0)-SUMIFS(예비비!$O$430:$O$729,예비비!$B$430:$B$729,예비비!$A355,예비비!$E$430:$E$729,"&lt;"&amp;EDATE(BI$99,1))),0)</f>
        <v>0</v>
      </c>
      <c r="BJ355">
        <f>IF(예비비!$R355="OK",SUMIFS(예비비!$O$430:$O$729,예비비!$B$430:$B$729,예비비!$A355,예비비!$E$430:$E$729,"&lt;"&amp;EDATE(BJ$99,1),예비비!$F$430:$F$729,"결제대금비")+MAX(0,IF(예비비!$D355&lt;EDATE(BJ$99,1),예비비!$E355,0)-SUMIFS(예비비!$O$430:$O$729,예비비!$B$430:$B$729,예비비!$A355,예비비!$E$430:$E$729,"&lt;"&amp;EDATE(BJ$99,1))),0)</f>
        <v>0</v>
      </c>
      <c r="BK355">
        <f>IF(예비비!$R355="OK",SUMIFS(예비비!$O$430:$O$729,예비비!$B$430:$B$729,예비비!$A355,예비비!$E$430:$E$729,"&lt;"&amp;EDATE(BK$99,1),예비비!$F$430:$F$729,"결제대금비")+MAX(0,IF(예비비!$D355&lt;EDATE(BK$99,1),예비비!$E355,0)-SUMIFS(예비비!$O$430:$O$729,예비비!$B$430:$B$729,예비비!$A355,예비비!$E$430:$E$729,"&lt;"&amp;EDATE(BK$99,1))),0)</f>
        <v>0</v>
      </c>
      <c r="BL355">
        <f>IF(예비비!$R355="OK",SUMIFS(예비비!$O$430:$O$729,예비비!$B$430:$B$729,예비비!$A355,예비비!$E$430:$E$729,"&lt;"&amp;EDATE(BL$99,1),예비비!$F$430:$F$729,"결제대금비")+MAX(0,IF(예비비!$D355&lt;EDATE(BL$99,1),예비비!$E355,0)-SUMIFS(예비비!$O$430:$O$729,예비비!$B$430:$B$729,예비비!$A355,예비비!$E$430:$E$729,"&lt;"&amp;EDATE(BL$99,1))),0)</f>
        <v>0</v>
      </c>
      <c r="BM355">
        <f>IF(예비비!$R355="OK",SUMIFS(예비비!$O$430:$O$729,예비비!$B$430:$B$729,예비비!$A355,예비비!$E$430:$E$729,"&lt;"&amp;EDATE(BM$99,1),예비비!$F$430:$F$729,"결제대금비")+MAX(0,IF(예비비!$D355&lt;EDATE(BM$99,1),예비비!$E355,0)-SUMIFS(예비비!$O$430:$O$729,예비비!$B$430:$B$729,예비비!$A355,예비비!$E$430:$E$729,"&lt;"&amp;EDATE(BM$99,1))),0)</f>
        <v>0</v>
      </c>
      <c r="BN355">
        <f>IF(예비비!$R355="OK",SUMIFS(예비비!$O$430:$O$729,예비비!$B$430:$B$729,예비비!$A355,예비비!$E$430:$E$729,"&lt;"&amp;EDATE(BN$99,1),예비비!$F$430:$F$729,"결제대금비")+MAX(0,IF(예비비!$D355&lt;EDATE(BN$99,1),예비비!$E355,0)-SUMIFS(예비비!$O$430:$O$729,예비비!$B$430:$B$729,예비비!$A355,예비비!$E$430:$E$729,"&lt;"&amp;EDATE(BN$99,1))),0)</f>
        <v>0</v>
      </c>
      <c r="BO355">
        <f>IF(예비비!$R355="OK",SUMIFS(예비비!$O$430:$O$729,예비비!$B$430:$B$729,예비비!$A355,예비비!$E$430:$E$729,"&lt;"&amp;EDATE(BO$99,1),예비비!$F$430:$F$729,"결제대금비")+MAX(0,IF(예비비!$D355&lt;EDATE(BO$99,1),예비비!$E355,0)-SUMIFS(예비비!$O$430:$O$729,예비비!$B$430:$B$729,예비비!$A355,예비비!$E$430:$E$729,"&lt;"&amp;EDATE(BO$99,1))),0)</f>
        <v>0</v>
      </c>
      <c r="BP355">
        <f>IF(예비비!$R355="OK",SUMIFS(예비비!$O$430:$O$729,예비비!$B$430:$B$729,예비비!$A355,예비비!$E$430:$E$729,"&lt;"&amp;EDATE(BP$99,1),예비비!$F$430:$F$729,"결제대금비")+MAX(0,IF(예비비!$D355&lt;EDATE(BP$99,1),예비비!$E355,0)-SUMIFS(예비비!$O$430:$O$729,예비비!$B$430:$B$729,예비비!$A355,예비비!$E$430:$E$729,"&lt;"&amp;EDATE(BP$99,1))),0)</f>
        <v>0</v>
      </c>
      <c r="BQ355">
        <f>IF(예비비!$R355="OK",SUMIFS(예비비!$O$430:$O$729,예비비!$B$430:$B$729,예비비!$A355,예비비!$E$430:$E$729,"&lt;"&amp;EDATE(BQ$99,1),예비비!$F$430:$F$729,"결제대금비")+MAX(0,IF(예비비!$D355&lt;EDATE(BQ$99,1),예비비!$E355,0)-SUMIFS(예비비!$O$430:$O$729,예비비!$B$430:$B$729,예비비!$A355,예비비!$E$430:$E$729,"&lt;"&amp;EDATE(BQ$99,1))),0)</f>
        <v>0</v>
      </c>
      <c r="BR355">
        <f>IF(예비비!$R355="OK",SUMIFS(예비비!$O$430:$O$729,예비비!$B$430:$B$729,예비비!$A355,예비비!$E$430:$E$729,"&lt;"&amp;EDATE(BR$99,1),예비비!$F$430:$F$729,"결제대금비")+MAX(0,IF(예비비!$D355&lt;EDATE(BR$99,1),예비비!$E355,0)-SUMIFS(예비비!$O$430:$O$729,예비비!$B$430:$B$729,예비비!$A355,예비비!$E$430:$E$729,"&lt;"&amp;EDATE(BR$99,1))),0)</f>
        <v>0</v>
      </c>
      <c r="BS355">
        <f>IF(예비비!$R355="OK",SUMIFS(예비비!$O$430:$O$729,예비비!$B$430:$B$729,예비비!$A355,예비비!$E$430:$E$729,"&lt;"&amp;EDATE(BS$99,1),예비비!$F$430:$F$729,"결제대금비")+MAX(0,IF(예비비!$D355&lt;EDATE(BS$99,1),예비비!$E355,0)-SUMIFS(예비비!$O$430:$O$729,예비비!$B$430:$B$729,예비비!$A355,예비비!$E$430:$E$729,"&lt;"&amp;EDATE(BS$99,1))),0)</f>
        <v>0</v>
      </c>
      <c r="BT355">
        <f>IF(예비비!$R355="OK",SUMIFS(예비비!$O$430:$O$729,예비비!$B$430:$B$729,예비비!$A355,예비비!$E$430:$E$729,"&lt;"&amp;EDATE(BT$99,1),예비비!$F$430:$F$729,"결제대금비")+MAX(0,IF(예비비!$D355&lt;EDATE(BT$99,1),예비비!$E355,0)-SUMIFS(예비비!$O$430:$O$729,예비비!$B$430:$B$729,예비비!$A355,예비비!$E$430:$E$729,"&lt;"&amp;EDATE(BT$99,1))),0)</f>
        <v>0</v>
      </c>
      <c r="BU355">
        <f>IF(예비비!$R355="OK",SUMIFS(예비비!$O$430:$O$729,예비비!$B$430:$B$729,예비비!$A355,예비비!$E$430:$E$729,"&lt;"&amp;EDATE(BU$99,1),예비비!$F$430:$F$729,"결제대금비")+MAX(0,IF(예비비!$D355&lt;EDATE(BU$99,1),예비비!$E355,0)-SUMIFS(예비비!$O$430:$O$729,예비비!$B$430:$B$729,예비비!$A355,예비비!$E$430:$E$729,"&lt;"&amp;EDATE(BU$99,1))),0)</f>
        <v>0</v>
      </c>
    </row>
    <row r="356">
      <c r="BA356">
        <v>300</v>
      </c>
      <c r="BB356" t="str">
        <f>IFERROR(INDEX(잔액!$A:$A,BA356),0)</f>
        <v>00:00:00</v>
      </c>
      <c r="BH356">
        <f>IFERROR(IF(AND(BB356&gt;0,OR(COUNTIFS(예비비!$C$430:$C$729,BA356,예비비!$N$430:$N$729,"OK")&gt;0,AND(INDEX(잔액!$J:$J,BA356)="가족통장",INDEX(잔액!$K:$K,BA356)="미래에셋_WRAP형CMA"),COUNTIF(예비비!$A$8:$A$12,INDEX(잔액!$C:$C,BA356))=1,COUNTIF(예비비!$A$8:$A$12,INDEX(잔액!$D:$D,BA356))=1),OR(AND(BB356&gt;=예비비!$B$3,BB356&lt;EDATE(예비비!$B$3,1)),AND(BB356&lt;EDATE(예비비!$B$3,1),COUNTIFS(예비비!$C$430:$C$729,BA356,예비비!$L$430:$L$729,예비비!$B$3,예비비!$N$430:$N$729,"OK")&gt;0))),MAX($BH$120:BH355)+1,0),0)</f>
        <v>0</v>
      </c>
      <c r="BI356">
        <f>IF(예비비!$R356="OK",SUMIFS(예비비!$O$430:$O$729,예비비!$B$430:$B$729,예비비!$A356,예비비!$E$430:$E$729,"&lt;"&amp;EDATE(BI$99,1),예비비!$F$430:$F$729,"결제대금비")+MAX(0,IF(예비비!$D356&lt;EDATE(BI$99,1),예비비!$E356,0)-SUMIFS(예비비!$O$430:$O$729,예비비!$B$430:$B$729,예비비!$A356,예비비!$E$430:$E$729,"&lt;"&amp;EDATE(BI$99,1))),0)</f>
        <v>0</v>
      </c>
      <c r="BJ356">
        <f>IF(예비비!$R356="OK",SUMIFS(예비비!$O$430:$O$729,예비비!$B$430:$B$729,예비비!$A356,예비비!$E$430:$E$729,"&lt;"&amp;EDATE(BJ$99,1),예비비!$F$430:$F$729,"결제대금비")+MAX(0,IF(예비비!$D356&lt;EDATE(BJ$99,1),예비비!$E356,0)-SUMIFS(예비비!$O$430:$O$729,예비비!$B$430:$B$729,예비비!$A356,예비비!$E$430:$E$729,"&lt;"&amp;EDATE(BJ$99,1))),0)</f>
        <v>0</v>
      </c>
      <c r="BK356">
        <f>IF(예비비!$R356="OK",SUMIFS(예비비!$O$430:$O$729,예비비!$B$430:$B$729,예비비!$A356,예비비!$E$430:$E$729,"&lt;"&amp;EDATE(BK$99,1),예비비!$F$430:$F$729,"결제대금비")+MAX(0,IF(예비비!$D356&lt;EDATE(BK$99,1),예비비!$E356,0)-SUMIFS(예비비!$O$430:$O$729,예비비!$B$430:$B$729,예비비!$A356,예비비!$E$430:$E$729,"&lt;"&amp;EDATE(BK$99,1))),0)</f>
        <v>0</v>
      </c>
      <c r="BL356">
        <f>IF(예비비!$R356="OK",SUMIFS(예비비!$O$430:$O$729,예비비!$B$430:$B$729,예비비!$A356,예비비!$E$430:$E$729,"&lt;"&amp;EDATE(BL$99,1),예비비!$F$430:$F$729,"결제대금비")+MAX(0,IF(예비비!$D356&lt;EDATE(BL$99,1),예비비!$E356,0)-SUMIFS(예비비!$O$430:$O$729,예비비!$B$430:$B$729,예비비!$A356,예비비!$E$430:$E$729,"&lt;"&amp;EDATE(BL$99,1))),0)</f>
        <v>0</v>
      </c>
      <c r="BM356">
        <f>IF(예비비!$R356="OK",SUMIFS(예비비!$O$430:$O$729,예비비!$B$430:$B$729,예비비!$A356,예비비!$E$430:$E$729,"&lt;"&amp;EDATE(BM$99,1),예비비!$F$430:$F$729,"결제대금비")+MAX(0,IF(예비비!$D356&lt;EDATE(BM$99,1),예비비!$E356,0)-SUMIFS(예비비!$O$430:$O$729,예비비!$B$430:$B$729,예비비!$A356,예비비!$E$430:$E$729,"&lt;"&amp;EDATE(BM$99,1))),0)</f>
        <v>0</v>
      </c>
      <c r="BN356">
        <f>IF(예비비!$R356="OK",SUMIFS(예비비!$O$430:$O$729,예비비!$B$430:$B$729,예비비!$A356,예비비!$E$430:$E$729,"&lt;"&amp;EDATE(BN$99,1),예비비!$F$430:$F$729,"결제대금비")+MAX(0,IF(예비비!$D356&lt;EDATE(BN$99,1),예비비!$E356,0)-SUMIFS(예비비!$O$430:$O$729,예비비!$B$430:$B$729,예비비!$A356,예비비!$E$430:$E$729,"&lt;"&amp;EDATE(BN$99,1))),0)</f>
        <v>0</v>
      </c>
      <c r="BO356">
        <f>IF(예비비!$R356="OK",SUMIFS(예비비!$O$430:$O$729,예비비!$B$430:$B$729,예비비!$A356,예비비!$E$430:$E$729,"&lt;"&amp;EDATE(BO$99,1),예비비!$F$430:$F$729,"결제대금비")+MAX(0,IF(예비비!$D356&lt;EDATE(BO$99,1),예비비!$E356,0)-SUMIFS(예비비!$O$430:$O$729,예비비!$B$430:$B$729,예비비!$A356,예비비!$E$430:$E$729,"&lt;"&amp;EDATE(BO$99,1))),0)</f>
        <v>0</v>
      </c>
      <c r="BP356">
        <f>IF(예비비!$R356="OK",SUMIFS(예비비!$O$430:$O$729,예비비!$B$430:$B$729,예비비!$A356,예비비!$E$430:$E$729,"&lt;"&amp;EDATE(BP$99,1),예비비!$F$430:$F$729,"결제대금비")+MAX(0,IF(예비비!$D356&lt;EDATE(BP$99,1),예비비!$E356,0)-SUMIFS(예비비!$O$430:$O$729,예비비!$B$430:$B$729,예비비!$A356,예비비!$E$430:$E$729,"&lt;"&amp;EDATE(BP$99,1))),0)</f>
        <v>0</v>
      </c>
      <c r="BQ356">
        <f>IF(예비비!$R356="OK",SUMIFS(예비비!$O$430:$O$729,예비비!$B$430:$B$729,예비비!$A356,예비비!$E$430:$E$729,"&lt;"&amp;EDATE(BQ$99,1),예비비!$F$430:$F$729,"결제대금비")+MAX(0,IF(예비비!$D356&lt;EDATE(BQ$99,1),예비비!$E356,0)-SUMIFS(예비비!$O$430:$O$729,예비비!$B$430:$B$729,예비비!$A356,예비비!$E$430:$E$729,"&lt;"&amp;EDATE(BQ$99,1))),0)</f>
        <v>0</v>
      </c>
      <c r="BR356">
        <f>IF(예비비!$R356="OK",SUMIFS(예비비!$O$430:$O$729,예비비!$B$430:$B$729,예비비!$A356,예비비!$E$430:$E$729,"&lt;"&amp;EDATE(BR$99,1),예비비!$F$430:$F$729,"결제대금비")+MAX(0,IF(예비비!$D356&lt;EDATE(BR$99,1),예비비!$E356,0)-SUMIFS(예비비!$O$430:$O$729,예비비!$B$430:$B$729,예비비!$A356,예비비!$E$430:$E$729,"&lt;"&amp;EDATE(BR$99,1))),0)</f>
        <v>0</v>
      </c>
      <c r="BS356">
        <f>IF(예비비!$R356="OK",SUMIFS(예비비!$O$430:$O$729,예비비!$B$430:$B$729,예비비!$A356,예비비!$E$430:$E$729,"&lt;"&amp;EDATE(BS$99,1),예비비!$F$430:$F$729,"결제대금비")+MAX(0,IF(예비비!$D356&lt;EDATE(BS$99,1),예비비!$E356,0)-SUMIFS(예비비!$O$430:$O$729,예비비!$B$430:$B$729,예비비!$A356,예비비!$E$430:$E$729,"&lt;"&amp;EDATE(BS$99,1))),0)</f>
        <v>0</v>
      </c>
      <c r="BT356">
        <f>IF(예비비!$R356="OK",SUMIFS(예비비!$O$430:$O$729,예비비!$B$430:$B$729,예비비!$A356,예비비!$E$430:$E$729,"&lt;"&amp;EDATE(BT$99,1),예비비!$F$430:$F$729,"결제대금비")+MAX(0,IF(예비비!$D356&lt;EDATE(BT$99,1),예비비!$E356,0)-SUMIFS(예비비!$O$430:$O$729,예비비!$B$430:$B$729,예비비!$A356,예비비!$E$430:$E$729,"&lt;"&amp;EDATE(BT$99,1))),0)</f>
        <v>0</v>
      </c>
      <c r="BU356">
        <f>IF(예비비!$R356="OK",SUMIFS(예비비!$O$430:$O$729,예비비!$B$430:$B$729,예비비!$A356,예비비!$E$430:$E$729,"&lt;"&amp;EDATE(BU$99,1),예비비!$F$430:$F$729,"결제대금비")+MAX(0,IF(예비비!$D356&lt;EDATE(BU$99,1),예비비!$E356,0)-SUMIFS(예비비!$O$430:$O$729,예비비!$B$430:$B$729,예비비!$A356,예비비!$E$430:$E$729,"&lt;"&amp;EDATE(BU$99,1))),0)</f>
        <v>0</v>
      </c>
    </row>
    <row r="357">
      <c r="BA357">
        <v>301</v>
      </c>
      <c r="BB357" t="str">
        <f>IFERROR(INDEX(잔액!$A:$A,BA357),0)</f>
        <v>00:00:00</v>
      </c>
      <c r="BH357">
        <f>IFERROR(IF(AND(BB357&gt;0,OR(COUNTIFS(예비비!$C$430:$C$729,BA357,예비비!$N$430:$N$729,"OK")&gt;0,AND(INDEX(잔액!$J:$J,BA357)="가족통장",INDEX(잔액!$K:$K,BA357)="미래에셋_WRAP형CMA"),COUNTIF(예비비!$A$8:$A$12,INDEX(잔액!$C:$C,BA357))=1,COUNTIF(예비비!$A$8:$A$12,INDEX(잔액!$D:$D,BA357))=1),OR(AND(BB357&gt;=예비비!$B$3,BB357&lt;EDATE(예비비!$B$3,1)),AND(BB357&lt;EDATE(예비비!$B$3,1),COUNTIFS(예비비!$C$430:$C$729,BA357,예비비!$L$430:$L$729,예비비!$B$3,예비비!$N$430:$N$729,"OK")&gt;0))),MAX($BH$120:BH356)+1,0),0)</f>
        <v>0</v>
      </c>
      <c r="BI357">
        <f>IF(예비비!$R357="OK",SUMIFS(예비비!$O$430:$O$729,예비비!$B$430:$B$729,예비비!$A357,예비비!$E$430:$E$729,"&lt;"&amp;EDATE(BI$99,1),예비비!$F$430:$F$729,"결제대금비")+MAX(0,IF(예비비!$D357&lt;EDATE(BI$99,1),예비비!$E357,0)-SUMIFS(예비비!$O$430:$O$729,예비비!$B$430:$B$729,예비비!$A357,예비비!$E$430:$E$729,"&lt;"&amp;EDATE(BI$99,1))),0)</f>
        <v>0</v>
      </c>
      <c r="BJ357">
        <f>IF(예비비!$R357="OK",SUMIFS(예비비!$O$430:$O$729,예비비!$B$430:$B$729,예비비!$A357,예비비!$E$430:$E$729,"&lt;"&amp;EDATE(BJ$99,1),예비비!$F$430:$F$729,"결제대금비")+MAX(0,IF(예비비!$D357&lt;EDATE(BJ$99,1),예비비!$E357,0)-SUMIFS(예비비!$O$430:$O$729,예비비!$B$430:$B$729,예비비!$A357,예비비!$E$430:$E$729,"&lt;"&amp;EDATE(BJ$99,1))),0)</f>
        <v>0</v>
      </c>
      <c r="BK357">
        <f>IF(예비비!$R357="OK",SUMIFS(예비비!$O$430:$O$729,예비비!$B$430:$B$729,예비비!$A357,예비비!$E$430:$E$729,"&lt;"&amp;EDATE(BK$99,1),예비비!$F$430:$F$729,"결제대금비")+MAX(0,IF(예비비!$D357&lt;EDATE(BK$99,1),예비비!$E357,0)-SUMIFS(예비비!$O$430:$O$729,예비비!$B$430:$B$729,예비비!$A357,예비비!$E$430:$E$729,"&lt;"&amp;EDATE(BK$99,1))),0)</f>
        <v>0</v>
      </c>
      <c r="BL357">
        <f>IF(예비비!$R357="OK",SUMIFS(예비비!$O$430:$O$729,예비비!$B$430:$B$729,예비비!$A357,예비비!$E$430:$E$729,"&lt;"&amp;EDATE(BL$99,1),예비비!$F$430:$F$729,"결제대금비")+MAX(0,IF(예비비!$D357&lt;EDATE(BL$99,1),예비비!$E357,0)-SUMIFS(예비비!$O$430:$O$729,예비비!$B$430:$B$729,예비비!$A357,예비비!$E$430:$E$729,"&lt;"&amp;EDATE(BL$99,1))),0)</f>
        <v>0</v>
      </c>
      <c r="BM357">
        <f>IF(예비비!$R357="OK",SUMIFS(예비비!$O$430:$O$729,예비비!$B$430:$B$729,예비비!$A357,예비비!$E$430:$E$729,"&lt;"&amp;EDATE(BM$99,1),예비비!$F$430:$F$729,"결제대금비")+MAX(0,IF(예비비!$D357&lt;EDATE(BM$99,1),예비비!$E357,0)-SUMIFS(예비비!$O$430:$O$729,예비비!$B$430:$B$729,예비비!$A357,예비비!$E$430:$E$729,"&lt;"&amp;EDATE(BM$99,1))),0)</f>
        <v>0</v>
      </c>
      <c r="BN357">
        <f>IF(예비비!$R357="OK",SUMIFS(예비비!$O$430:$O$729,예비비!$B$430:$B$729,예비비!$A357,예비비!$E$430:$E$729,"&lt;"&amp;EDATE(BN$99,1),예비비!$F$430:$F$729,"결제대금비")+MAX(0,IF(예비비!$D357&lt;EDATE(BN$99,1),예비비!$E357,0)-SUMIFS(예비비!$O$430:$O$729,예비비!$B$430:$B$729,예비비!$A357,예비비!$E$430:$E$729,"&lt;"&amp;EDATE(BN$99,1))),0)</f>
        <v>0</v>
      </c>
      <c r="BO357">
        <f>IF(예비비!$R357="OK",SUMIFS(예비비!$O$430:$O$729,예비비!$B$430:$B$729,예비비!$A357,예비비!$E$430:$E$729,"&lt;"&amp;EDATE(BO$99,1),예비비!$F$430:$F$729,"결제대금비")+MAX(0,IF(예비비!$D357&lt;EDATE(BO$99,1),예비비!$E357,0)-SUMIFS(예비비!$O$430:$O$729,예비비!$B$430:$B$729,예비비!$A357,예비비!$E$430:$E$729,"&lt;"&amp;EDATE(BO$99,1))),0)</f>
        <v>0</v>
      </c>
      <c r="BP357">
        <f>IF(예비비!$R357="OK",SUMIFS(예비비!$O$430:$O$729,예비비!$B$430:$B$729,예비비!$A357,예비비!$E$430:$E$729,"&lt;"&amp;EDATE(BP$99,1),예비비!$F$430:$F$729,"결제대금비")+MAX(0,IF(예비비!$D357&lt;EDATE(BP$99,1),예비비!$E357,0)-SUMIFS(예비비!$O$430:$O$729,예비비!$B$430:$B$729,예비비!$A357,예비비!$E$430:$E$729,"&lt;"&amp;EDATE(BP$99,1))),0)</f>
        <v>0</v>
      </c>
      <c r="BQ357">
        <f>IF(예비비!$R357="OK",SUMIFS(예비비!$O$430:$O$729,예비비!$B$430:$B$729,예비비!$A357,예비비!$E$430:$E$729,"&lt;"&amp;EDATE(BQ$99,1),예비비!$F$430:$F$729,"결제대금비")+MAX(0,IF(예비비!$D357&lt;EDATE(BQ$99,1),예비비!$E357,0)-SUMIFS(예비비!$O$430:$O$729,예비비!$B$430:$B$729,예비비!$A357,예비비!$E$430:$E$729,"&lt;"&amp;EDATE(BQ$99,1))),0)</f>
        <v>0</v>
      </c>
      <c r="BR357">
        <f>IF(예비비!$R357="OK",SUMIFS(예비비!$O$430:$O$729,예비비!$B$430:$B$729,예비비!$A357,예비비!$E$430:$E$729,"&lt;"&amp;EDATE(BR$99,1),예비비!$F$430:$F$729,"결제대금비")+MAX(0,IF(예비비!$D357&lt;EDATE(BR$99,1),예비비!$E357,0)-SUMIFS(예비비!$O$430:$O$729,예비비!$B$430:$B$729,예비비!$A357,예비비!$E$430:$E$729,"&lt;"&amp;EDATE(BR$99,1))),0)</f>
        <v>0</v>
      </c>
      <c r="BS357">
        <f>IF(예비비!$R357="OK",SUMIFS(예비비!$O$430:$O$729,예비비!$B$430:$B$729,예비비!$A357,예비비!$E$430:$E$729,"&lt;"&amp;EDATE(BS$99,1),예비비!$F$430:$F$729,"결제대금비")+MAX(0,IF(예비비!$D357&lt;EDATE(BS$99,1),예비비!$E357,0)-SUMIFS(예비비!$O$430:$O$729,예비비!$B$430:$B$729,예비비!$A357,예비비!$E$430:$E$729,"&lt;"&amp;EDATE(BS$99,1))),0)</f>
        <v>0</v>
      </c>
      <c r="BT357">
        <f>IF(예비비!$R357="OK",SUMIFS(예비비!$O$430:$O$729,예비비!$B$430:$B$729,예비비!$A357,예비비!$E$430:$E$729,"&lt;"&amp;EDATE(BT$99,1),예비비!$F$430:$F$729,"결제대금비")+MAX(0,IF(예비비!$D357&lt;EDATE(BT$99,1),예비비!$E357,0)-SUMIFS(예비비!$O$430:$O$729,예비비!$B$430:$B$729,예비비!$A357,예비비!$E$430:$E$729,"&lt;"&amp;EDATE(BT$99,1))),0)</f>
        <v>0</v>
      </c>
      <c r="BU357">
        <f>IF(예비비!$R357="OK",SUMIFS(예비비!$O$430:$O$729,예비비!$B$430:$B$729,예비비!$A357,예비비!$E$430:$E$729,"&lt;"&amp;EDATE(BU$99,1),예비비!$F$430:$F$729,"결제대금비")+MAX(0,IF(예비비!$D357&lt;EDATE(BU$99,1),예비비!$E357,0)-SUMIFS(예비비!$O$430:$O$729,예비비!$B$430:$B$729,예비비!$A357,예비비!$E$430:$E$729,"&lt;"&amp;EDATE(BU$99,1))),0)</f>
        <v>0</v>
      </c>
    </row>
    <row r="358">
      <c r="BA358">
        <v>302</v>
      </c>
      <c r="BB358" t="str">
        <f>IFERROR(INDEX(잔액!$A:$A,BA358),0)</f>
        <v>00:00:00</v>
      </c>
      <c r="BH358">
        <f>IFERROR(IF(AND(BB358&gt;0,OR(COUNTIFS(예비비!$C$430:$C$729,BA358,예비비!$N$430:$N$729,"OK")&gt;0,AND(INDEX(잔액!$J:$J,BA358)="가족통장",INDEX(잔액!$K:$K,BA358)="미래에셋_WRAP형CMA"),COUNTIF(예비비!$A$8:$A$12,INDEX(잔액!$C:$C,BA358))=1,COUNTIF(예비비!$A$8:$A$12,INDEX(잔액!$D:$D,BA358))=1),OR(AND(BB358&gt;=예비비!$B$3,BB358&lt;EDATE(예비비!$B$3,1)),AND(BB358&lt;EDATE(예비비!$B$3,1),COUNTIFS(예비비!$C$430:$C$729,BA358,예비비!$L$430:$L$729,예비비!$B$3,예비비!$N$430:$N$729,"OK")&gt;0))),MAX($BH$120:BH357)+1,0),0)</f>
        <v>0</v>
      </c>
      <c r="BI358">
        <f>IF(예비비!$R358="OK",SUMIFS(예비비!$O$430:$O$729,예비비!$B$430:$B$729,예비비!$A358,예비비!$E$430:$E$729,"&lt;"&amp;EDATE(BI$99,1),예비비!$F$430:$F$729,"결제대금비")+MAX(0,IF(예비비!$D358&lt;EDATE(BI$99,1),예비비!$E358,0)-SUMIFS(예비비!$O$430:$O$729,예비비!$B$430:$B$729,예비비!$A358,예비비!$E$430:$E$729,"&lt;"&amp;EDATE(BI$99,1))),0)</f>
        <v>0</v>
      </c>
      <c r="BJ358">
        <f>IF(예비비!$R358="OK",SUMIFS(예비비!$O$430:$O$729,예비비!$B$430:$B$729,예비비!$A358,예비비!$E$430:$E$729,"&lt;"&amp;EDATE(BJ$99,1),예비비!$F$430:$F$729,"결제대금비")+MAX(0,IF(예비비!$D358&lt;EDATE(BJ$99,1),예비비!$E358,0)-SUMIFS(예비비!$O$430:$O$729,예비비!$B$430:$B$729,예비비!$A358,예비비!$E$430:$E$729,"&lt;"&amp;EDATE(BJ$99,1))),0)</f>
        <v>0</v>
      </c>
      <c r="BK358">
        <f>IF(예비비!$R358="OK",SUMIFS(예비비!$O$430:$O$729,예비비!$B$430:$B$729,예비비!$A358,예비비!$E$430:$E$729,"&lt;"&amp;EDATE(BK$99,1),예비비!$F$430:$F$729,"결제대금비")+MAX(0,IF(예비비!$D358&lt;EDATE(BK$99,1),예비비!$E358,0)-SUMIFS(예비비!$O$430:$O$729,예비비!$B$430:$B$729,예비비!$A358,예비비!$E$430:$E$729,"&lt;"&amp;EDATE(BK$99,1))),0)</f>
        <v>0</v>
      </c>
      <c r="BL358">
        <f>IF(예비비!$R358="OK",SUMIFS(예비비!$O$430:$O$729,예비비!$B$430:$B$729,예비비!$A358,예비비!$E$430:$E$729,"&lt;"&amp;EDATE(BL$99,1),예비비!$F$430:$F$729,"결제대금비")+MAX(0,IF(예비비!$D358&lt;EDATE(BL$99,1),예비비!$E358,0)-SUMIFS(예비비!$O$430:$O$729,예비비!$B$430:$B$729,예비비!$A358,예비비!$E$430:$E$729,"&lt;"&amp;EDATE(BL$99,1))),0)</f>
        <v>0</v>
      </c>
      <c r="BM358">
        <f>IF(예비비!$R358="OK",SUMIFS(예비비!$O$430:$O$729,예비비!$B$430:$B$729,예비비!$A358,예비비!$E$430:$E$729,"&lt;"&amp;EDATE(BM$99,1),예비비!$F$430:$F$729,"결제대금비")+MAX(0,IF(예비비!$D358&lt;EDATE(BM$99,1),예비비!$E358,0)-SUMIFS(예비비!$O$430:$O$729,예비비!$B$430:$B$729,예비비!$A358,예비비!$E$430:$E$729,"&lt;"&amp;EDATE(BM$99,1))),0)</f>
        <v>0</v>
      </c>
      <c r="BN358">
        <f>IF(예비비!$R358="OK",SUMIFS(예비비!$O$430:$O$729,예비비!$B$430:$B$729,예비비!$A358,예비비!$E$430:$E$729,"&lt;"&amp;EDATE(BN$99,1),예비비!$F$430:$F$729,"결제대금비")+MAX(0,IF(예비비!$D358&lt;EDATE(BN$99,1),예비비!$E358,0)-SUMIFS(예비비!$O$430:$O$729,예비비!$B$430:$B$729,예비비!$A358,예비비!$E$430:$E$729,"&lt;"&amp;EDATE(BN$99,1))),0)</f>
        <v>0</v>
      </c>
      <c r="BO358">
        <f>IF(예비비!$R358="OK",SUMIFS(예비비!$O$430:$O$729,예비비!$B$430:$B$729,예비비!$A358,예비비!$E$430:$E$729,"&lt;"&amp;EDATE(BO$99,1),예비비!$F$430:$F$729,"결제대금비")+MAX(0,IF(예비비!$D358&lt;EDATE(BO$99,1),예비비!$E358,0)-SUMIFS(예비비!$O$430:$O$729,예비비!$B$430:$B$729,예비비!$A358,예비비!$E$430:$E$729,"&lt;"&amp;EDATE(BO$99,1))),0)</f>
        <v>0</v>
      </c>
      <c r="BP358">
        <f>IF(예비비!$R358="OK",SUMIFS(예비비!$O$430:$O$729,예비비!$B$430:$B$729,예비비!$A358,예비비!$E$430:$E$729,"&lt;"&amp;EDATE(BP$99,1),예비비!$F$430:$F$729,"결제대금비")+MAX(0,IF(예비비!$D358&lt;EDATE(BP$99,1),예비비!$E358,0)-SUMIFS(예비비!$O$430:$O$729,예비비!$B$430:$B$729,예비비!$A358,예비비!$E$430:$E$729,"&lt;"&amp;EDATE(BP$99,1))),0)</f>
        <v>0</v>
      </c>
      <c r="BQ358">
        <f>IF(예비비!$R358="OK",SUMIFS(예비비!$O$430:$O$729,예비비!$B$430:$B$729,예비비!$A358,예비비!$E$430:$E$729,"&lt;"&amp;EDATE(BQ$99,1),예비비!$F$430:$F$729,"결제대금비")+MAX(0,IF(예비비!$D358&lt;EDATE(BQ$99,1),예비비!$E358,0)-SUMIFS(예비비!$O$430:$O$729,예비비!$B$430:$B$729,예비비!$A358,예비비!$E$430:$E$729,"&lt;"&amp;EDATE(BQ$99,1))),0)</f>
        <v>0</v>
      </c>
      <c r="BR358">
        <f>IF(예비비!$R358="OK",SUMIFS(예비비!$O$430:$O$729,예비비!$B$430:$B$729,예비비!$A358,예비비!$E$430:$E$729,"&lt;"&amp;EDATE(BR$99,1),예비비!$F$430:$F$729,"결제대금비")+MAX(0,IF(예비비!$D358&lt;EDATE(BR$99,1),예비비!$E358,0)-SUMIFS(예비비!$O$430:$O$729,예비비!$B$430:$B$729,예비비!$A358,예비비!$E$430:$E$729,"&lt;"&amp;EDATE(BR$99,1))),0)</f>
        <v>0</v>
      </c>
      <c r="BS358">
        <f>IF(예비비!$R358="OK",SUMIFS(예비비!$O$430:$O$729,예비비!$B$430:$B$729,예비비!$A358,예비비!$E$430:$E$729,"&lt;"&amp;EDATE(BS$99,1),예비비!$F$430:$F$729,"결제대금비")+MAX(0,IF(예비비!$D358&lt;EDATE(BS$99,1),예비비!$E358,0)-SUMIFS(예비비!$O$430:$O$729,예비비!$B$430:$B$729,예비비!$A358,예비비!$E$430:$E$729,"&lt;"&amp;EDATE(BS$99,1))),0)</f>
        <v>0</v>
      </c>
      <c r="BT358">
        <f>IF(예비비!$R358="OK",SUMIFS(예비비!$O$430:$O$729,예비비!$B$430:$B$729,예비비!$A358,예비비!$E$430:$E$729,"&lt;"&amp;EDATE(BT$99,1),예비비!$F$430:$F$729,"결제대금비")+MAX(0,IF(예비비!$D358&lt;EDATE(BT$99,1),예비비!$E358,0)-SUMIFS(예비비!$O$430:$O$729,예비비!$B$430:$B$729,예비비!$A358,예비비!$E$430:$E$729,"&lt;"&amp;EDATE(BT$99,1))),0)</f>
        <v>0</v>
      </c>
      <c r="BU358">
        <f>IF(예비비!$R358="OK",SUMIFS(예비비!$O$430:$O$729,예비비!$B$430:$B$729,예비비!$A358,예비비!$E$430:$E$729,"&lt;"&amp;EDATE(BU$99,1),예비비!$F$430:$F$729,"결제대금비")+MAX(0,IF(예비비!$D358&lt;EDATE(BU$99,1),예비비!$E358,0)-SUMIFS(예비비!$O$430:$O$729,예비비!$B$430:$B$729,예비비!$A358,예비비!$E$430:$E$729,"&lt;"&amp;EDATE(BU$99,1))),0)</f>
        <v>0</v>
      </c>
    </row>
    <row r="359">
      <c r="BA359">
        <v>303</v>
      </c>
      <c r="BB359" t="str">
        <f>IFERROR(INDEX(잔액!$A:$A,BA359),0)</f>
        <v>00:00:00</v>
      </c>
      <c r="BH359">
        <f>IFERROR(IF(AND(BB359&gt;0,OR(COUNTIFS(예비비!$C$430:$C$729,BA359,예비비!$N$430:$N$729,"OK")&gt;0,AND(INDEX(잔액!$J:$J,BA359)="가족통장",INDEX(잔액!$K:$K,BA359)="미래에셋_WRAP형CMA"),COUNTIF(예비비!$A$8:$A$12,INDEX(잔액!$C:$C,BA359))=1,COUNTIF(예비비!$A$8:$A$12,INDEX(잔액!$D:$D,BA359))=1),OR(AND(BB359&gt;=예비비!$B$3,BB359&lt;EDATE(예비비!$B$3,1)),AND(BB359&lt;EDATE(예비비!$B$3,1),COUNTIFS(예비비!$C$430:$C$729,BA359,예비비!$L$430:$L$729,예비비!$B$3,예비비!$N$430:$N$729,"OK")&gt;0))),MAX($BH$120:BH358)+1,0),0)</f>
        <v>0</v>
      </c>
      <c r="BI359">
        <f>IF(예비비!$R359="OK",SUMIFS(예비비!$O$430:$O$729,예비비!$B$430:$B$729,예비비!$A359,예비비!$E$430:$E$729,"&lt;"&amp;EDATE(BI$99,1),예비비!$F$430:$F$729,"결제대금비")+MAX(0,IF(예비비!$D359&lt;EDATE(BI$99,1),예비비!$E359,0)-SUMIFS(예비비!$O$430:$O$729,예비비!$B$430:$B$729,예비비!$A359,예비비!$E$430:$E$729,"&lt;"&amp;EDATE(BI$99,1))),0)</f>
        <v>0</v>
      </c>
      <c r="BJ359">
        <f>IF(예비비!$R359="OK",SUMIFS(예비비!$O$430:$O$729,예비비!$B$430:$B$729,예비비!$A359,예비비!$E$430:$E$729,"&lt;"&amp;EDATE(BJ$99,1),예비비!$F$430:$F$729,"결제대금비")+MAX(0,IF(예비비!$D359&lt;EDATE(BJ$99,1),예비비!$E359,0)-SUMIFS(예비비!$O$430:$O$729,예비비!$B$430:$B$729,예비비!$A359,예비비!$E$430:$E$729,"&lt;"&amp;EDATE(BJ$99,1))),0)</f>
        <v>0</v>
      </c>
      <c r="BK359">
        <f>IF(예비비!$R359="OK",SUMIFS(예비비!$O$430:$O$729,예비비!$B$430:$B$729,예비비!$A359,예비비!$E$430:$E$729,"&lt;"&amp;EDATE(BK$99,1),예비비!$F$430:$F$729,"결제대금비")+MAX(0,IF(예비비!$D359&lt;EDATE(BK$99,1),예비비!$E359,0)-SUMIFS(예비비!$O$430:$O$729,예비비!$B$430:$B$729,예비비!$A359,예비비!$E$430:$E$729,"&lt;"&amp;EDATE(BK$99,1))),0)</f>
        <v>0</v>
      </c>
      <c r="BL359">
        <f>IF(예비비!$R359="OK",SUMIFS(예비비!$O$430:$O$729,예비비!$B$430:$B$729,예비비!$A359,예비비!$E$430:$E$729,"&lt;"&amp;EDATE(BL$99,1),예비비!$F$430:$F$729,"결제대금비")+MAX(0,IF(예비비!$D359&lt;EDATE(BL$99,1),예비비!$E359,0)-SUMIFS(예비비!$O$430:$O$729,예비비!$B$430:$B$729,예비비!$A359,예비비!$E$430:$E$729,"&lt;"&amp;EDATE(BL$99,1))),0)</f>
        <v>0</v>
      </c>
      <c r="BM359">
        <f>IF(예비비!$R359="OK",SUMIFS(예비비!$O$430:$O$729,예비비!$B$430:$B$729,예비비!$A359,예비비!$E$430:$E$729,"&lt;"&amp;EDATE(BM$99,1),예비비!$F$430:$F$729,"결제대금비")+MAX(0,IF(예비비!$D359&lt;EDATE(BM$99,1),예비비!$E359,0)-SUMIFS(예비비!$O$430:$O$729,예비비!$B$430:$B$729,예비비!$A359,예비비!$E$430:$E$729,"&lt;"&amp;EDATE(BM$99,1))),0)</f>
        <v>0</v>
      </c>
      <c r="BN359">
        <f>IF(예비비!$R359="OK",SUMIFS(예비비!$O$430:$O$729,예비비!$B$430:$B$729,예비비!$A359,예비비!$E$430:$E$729,"&lt;"&amp;EDATE(BN$99,1),예비비!$F$430:$F$729,"결제대금비")+MAX(0,IF(예비비!$D359&lt;EDATE(BN$99,1),예비비!$E359,0)-SUMIFS(예비비!$O$430:$O$729,예비비!$B$430:$B$729,예비비!$A359,예비비!$E$430:$E$729,"&lt;"&amp;EDATE(BN$99,1))),0)</f>
        <v>0</v>
      </c>
      <c r="BO359">
        <f>IF(예비비!$R359="OK",SUMIFS(예비비!$O$430:$O$729,예비비!$B$430:$B$729,예비비!$A359,예비비!$E$430:$E$729,"&lt;"&amp;EDATE(BO$99,1),예비비!$F$430:$F$729,"결제대금비")+MAX(0,IF(예비비!$D359&lt;EDATE(BO$99,1),예비비!$E359,0)-SUMIFS(예비비!$O$430:$O$729,예비비!$B$430:$B$729,예비비!$A359,예비비!$E$430:$E$729,"&lt;"&amp;EDATE(BO$99,1))),0)</f>
        <v>0</v>
      </c>
      <c r="BP359">
        <f>IF(예비비!$R359="OK",SUMIFS(예비비!$O$430:$O$729,예비비!$B$430:$B$729,예비비!$A359,예비비!$E$430:$E$729,"&lt;"&amp;EDATE(BP$99,1),예비비!$F$430:$F$729,"결제대금비")+MAX(0,IF(예비비!$D359&lt;EDATE(BP$99,1),예비비!$E359,0)-SUMIFS(예비비!$O$430:$O$729,예비비!$B$430:$B$729,예비비!$A359,예비비!$E$430:$E$729,"&lt;"&amp;EDATE(BP$99,1))),0)</f>
        <v>0</v>
      </c>
      <c r="BQ359">
        <f>IF(예비비!$R359="OK",SUMIFS(예비비!$O$430:$O$729,예비비!$B$430:$B$729,예비비!$A359,예비비!$E$430:$E$729,"&lt;"&amp;EDATE(BQ$99,1),예비비!$F$430:$F$729,"결제대금비")+MAX(0,IF(예비비!$D359&lt;EDATE(BQ$99,1),예비비!$E359,0)-SUMIFS(예비비!$O$430:$O$729,예비비!$B$430:$B$729,예비비!$A359,예비비!$E$430:$E$729,"&lt;"&amp;EDATE(BQ$99,1))),0)</f>
        <v>0</v>
      </c>
      <c r="BR359">
        <f>IF(예비비!$R359="OK",SUMIFS(예비비!$O$430:$O$729,예비비!$B$430:$B$729,예비비!$A359,예비비!$E$430:$E$729,"&lt;"&amp;EDATE(BR$99,1),예비비!$F$430:$F$729,"결제대금비")+MAX(0,IF(예비비!$D359&lt;EDATE(BR$99,1),예비비!$E359,0)-SUMIFS(예비비!$O$430:$O$729,예비비!$B$430:$B$729,예비비!$A359,예비비!$E$430:$E$729,"&lt;"&amp;EDATE(BR$99,1))),0)</f>
        <v>0</v>
      </c>
      <c r="BS359">
        <f>IF(예비비!$R359="OK",SUMIFS(예비비!$O$430:$O$729,예비비!$B$430:$B$729,예비비!$A359,예비비!$E$430:$E$729,"&lt;"&amp;EDATE(BS$99,1),예비비!$F$430:$F$729,"결제대금비")+MAX(0,IF(예비비!$D359&lt;EDATE(BS$99,1),예비비!$E359,0)-SUMIFS(예비비!$O$430:$O$729,예비비!$B$430:$B$729,예비비!$A359,예비비!$E$430:$E$729,"&lt;"&amp;EDATE(BS$99,1))),0)</f>
        <v>0</v>
      </c>
      <c r="BT359">
        <f>IF(예비비!$R359="OK",SUMIFS(예비비!$O$430:$O$729,예비비!$B$430:$B$729,예비비!$A359,예비비!$E$430:$E$729,"&lt;"&amp;EDATE(BT$99,1),예비비!$F$430:$F$729,"결제대금비")+MAX(0,IF(예비비!$D359&lt;EDATE(BT$99,1),예비비!$E359,0)-SUMIFS(예비비!$O$430:$O$729,예비비!$B$430:$B$729,예비비!$A359,예비비!$E$430:$E$729,"&lt;"&amp;EDATE(BT$99,1))),0)</f>
        <v>0</v>
      </c>
      <c r="BU359">
        <f>IF(예비비!$R359="OK",SUMIFS(예비비!$O$430:$O$729,예비비!$B$430:$B$729,예비비!$A359,예비비!$E$430:$E$729,"&lt;"&amp;EDATE(BU$99,1),예비비!$F$430:$F$729,"결제대금비")+MAX(0,IF(예비비!$D359&lt;EDATE(BU$99,1),예비비!$E359,0)-SUMIFS(예비비!$O$430:$O$729,예비비!$B$430:$B$729,예비비!$A359,예비비!$E$430:$E$729,"&lt;"&amp;EDATE(BU$99,1))),0)</f>
        <v>0</v>
      </c>
    </row>
    <row r="360">
      <c r="BA360">
        <v>304</v>
      </c>
      <c r="BB360" t="str">
        <f>IFERROR(INDEX(잔액!$A:$A,BA360),0)</f>
        <v>00:00:00</v>
      </c>
      <c r="BH360">
        <f>IFERROR(IF(AND(BB360&gt;0,OR(COUNTIFS(예비비!$C$430:$C$729,BA360,예비비!$N$430:$N$729,"OK")&gt;0,AND(INDEX(잔액!$J:$J,BA360)="가족통장",INDEX(잔액!$K:$K,BA360)="미래에셋_WRAP형CMA"),COUNTIF(예비비!$A$8:$A$12,INDEX(잔액!$C:$C,BA360))=1,COUNTIF(예비비!$A$8:$A$12,INDEX(잔액!$D:$D,BA360))=1),OR(AND(BB360&gt;=예비비!$B$3,BB360&lt;EDATE(예비비!$B$3,1)),AND(BB360&lt;EDATE(예비비!$B$3,1),COUNTIFS(예비비!$C$430:$C$729,BA360,예비비!$L$430:$L$729,예비비!$B$3,예비비!$N$430:$N$729,"OK")&gt;0))),MAX($BH$120:BH359)+1,0),0)</f>
        <v>0</v>
      </c>
      <c r="BI360">
        <f>IF(예비비!$R360="OK",SUMIFS(예비비!$O$430:$O$729,예비비!$B$430:$B$729,예비비!$A360,예비비!$E$430:$E$729,"&lt;"&amp;EDATE(BI$99,1),예비비!$F$430:$F$729,"결제대금비")+MAX(0,IF(예비비!$D360&lt;EDATE(BI$99,1),예비비!$E360,0)-SUMIFS(예비비!$O$430:$O$729,예비비!$B$430:$B$729,예비비!$A360,예비비!$E$430:$E$729,"&lt;"&amp;EDATE(BI$99,1))),0)</f>
        <v>0</v>
      </c>
      <c r="BJ360">
        <f>IF(예비비!$R360="OK",SUMIFS(예비비!$O$430:$O$729,예비비!$B$430:$B$729,예비비!$A360,예비비!$E$430:$E$729,"&lt;"&amp;EDATE(BJ$99,1),예비비!$F$430:$F$729,"결제대금비")+MAX(0,IF(예비비!$D360&lt;EDATE(BJ$99,1),예비비!$E360,0)-SUMIFS(예비비!$O$430:$O$729,예비비!$B$430:$B$729,예비비!$A360,예비비!$E$430:$E$729,"&lt;"&amp;EDATE(BJ$99,1))),0)</f>
        <v>0</v>
      </c>
      <c r="BK360">
        <f>IF(예비비!$R360="OK",SUMIFS(예비비!$O$430:$O$729,예비비!$B$430:$B$729,예비비!$A360,예비비!$E$430:$E$729,"&lt;"&amp;EDATE(BK$99,1),예비비!$F$430:$F$729,"결제대금비")+MAX(0,IF(예비비!$D360&lt;EDATE(BK$99,1),예비비!$E360,0)-SUMIFS(예비비!$O$430:$O$729,예비비!$B$430:$B$729,예비비!$A360,예비비!$E$430:$E$729,"&lt;"&amp;EDATE(BK$99,1))),0)</f>
        <v>0</v>
      </c>
      <c r="BL360">
        <f>IF(예비비!$R360="OK",SUMIFS(예비비!$O$430:$O$729,예비비!$B$430:$B$729,예비비!$A360,예비비!$E$430:$E$729,"&lt;"&amp;EDATE(BL$99,1),예비비!$F$430:$F$729,"결제대금비")+MAX(0,IF(예비비!$D360&lt;EDATE(BL$99,1),예비비!$E360,0)-SUMIFS(예비비!$O$430:$O$729,예비비!$B$430:$B$729,예비비!$A360,예비비!$E$430:$E$729,"&lt;"&amp;EDATE(BL$99,1))),0)</f>
        <v>0</v>
      </c>
      <c r="BM360">
        <f>IF(예비비!$R360="OK",SUMIFS(예비비!$O$430:$O$729,예비비!$B$430:$B$729,예비비!$A360,예비비!$E$430:$E$729,"&lt;"&amp;EDATE(BM$99,1),예비비!$F$430:$F$729,"결제대금비")+MAX(0,IF(예비비!$D360&lt;EDATE(BM$99,1),예비비!$E360,0)-SUMIFS(예비비!$O$430:$O$729,예비비!$B$430:$B$729,예비비!$A360,예비비!$E$430:$E$729,"&lt;"&amp;EDATE(BM$99,1))),0)</f>
        <v>0</v>
      </c>
      <c r="BN360">
        <f>IF(예비비!$R360="OK",SUMIFS(예비비!$O$430:$O$729,예비비!$B$430:$B$729,예비비!$A360,예비비!$E$430:$E$729,"&lt;"&amp;EDATE(BN$99,1),예비비!$F$430:$F$729,"결제대금비")+MAX(0,IF(예비비!$D360&lt;EDATE(BN$99,1),예비비!$E360,0)-SUMIFS(예비비!$O$430:$O$729,예비비!$B$430:$B$729,예비비!$A360,예비비!$E$430:$E$729,"&lt;"&amp;EDATE(BN$99,1))),0)</f>
        <v>0</v>
      </c>
      <c r="BO360">
        <f>IF(예비비!$R360="OK",SUMIFS(예비비!$O$430:$O$729,예비비!$B$430:$B$729,예비비!$A360,예비비!$E$430:$E$729,"&lt;"&amp;EDATE(BO$99,1),예비비!$F$430:$F$729,"결제대금비")+MAX(0,IF(예비비!$D360&lt;EDATE(BO$99,1),예비비!$E360,0)-SUMIFS(예비비!$O$430:$O$729,예비비!$B$430:$B$729,예비비!$A360,예비비!$E$430:$E$729,"&lt;"&amp;EDATE(BO$99,1))),0)</f>
        <v>0</v>
      </c>
      <c r="BP360">
        <f>IF(예비비!$R360="OK",SUMIFS(예비비!$O$430:$O$729,예비비!$B$430:$B$729,예비비!$A360,예비비!$E$430:$E$729,"&lt;"&amp;EDATE(BP$99,1),예비비!$F$430:$F$729,"결제대금비")+MAX(0,IF(예비비!$D360&lt;EDATE(BP$99,1),예비비!$E360,0)-SUMIFS(예비비!$O$430:$O$729,예비비!$B$430:$B$729,예비비!$A360,예비비!$E$430:$E$729,"&lt;"&amp;EDATE(BP$99,1))),0)</f>
        <v>0</v>
      </c>
      <c r="BQ360">
        <f>IF(예비비!$R360="OK",SUMIFS(예비비!$O$430:$O$729,예비비!$B$430:$B$729,예비비!$A360,예비비!$E$430:$E$729,"&lt;"&amp;EDATE(BQ$99,1),예비비!$F$430:$F$729,"결제대금비")+MAX(0,IF(예비비!$D360&lt;EDATE(BQ$99,1),예비비!$E360,0)-SUMIFS(예비비!$O$430:$O$729,예비비!$B$430:$B$729,예비비!$A360,예비비!$E$430:$E$729,"&lt;"&amp;EDATE(BQ$99,1))),0)</f>
        <v>0</v>
      </c>
      <c r="BR360">
        <f>IF(예비비!$R360="OK",SUMIFS(예비비!$O$430:$O$729,예비비!$B$430:$B$729,예비비!$A360,예비비!$E$430:$E$729,"&lt;"&amp;EDATE(BR$99,1),예비비!$F$430:$F$729,"결제대금비")+MAX(0,IF(예비비!$D360&lt;EDATE(BR$99,1),예비비!$E360,0)-SUMIFS(예비비!$O$430:$O$729,예비비!$B$430:$B$729,예비비!$A360,예비비!$E$430:$E$729,"&lt;"&amp;EDATE(BR$99,1))),0)</f>
        <v>0</v>
      </c>
      <c r="BS360">
        <f>IF(예비비!$R360="OK",SUMIFS(예비비!$O$430:$O$729,예비비!$B$430:$B$729,예비비!$A360,예비비!$E$430:$E$729,"&lt;"&amp;EDATE(BS$99,1),예비비!$F$430:$F$729,"결제대금비")+MAX(0,IF(예비비!$D360&lt;EDATE(BS$99,1),예비비!$E360,0)-SUMIFS(예비비!$O$430:$O$729,예비비!$B$430:$B$729,예비비!$A360,예비비!$E$430:$E$729,"&lt;"&amp;EDATE(BS$99,1))),0)</f>
        <v>0</v>
      </c>
      <c r="BT360">
        <f>IF(예비비!$R360="OK",SUMIFS(예비비!$O$430:$O$729,예비비!$B$430:$B$729,예비비!$A360,예비비!$E$430:$E$729,"&lt;"&amp;EDATE(BT$99,1),예비비!$F$430:$F$729,"결제대금비")+MAX(0,IF(예비비!$D360&lt;EDATE(BT$99,1),예비비!$E360,0)-SUMIFS(예비비!$O$430:$O$729,예비비!$B$430:$B$729,예비비!$A360,예비비!$E$430:$E$729,"&lt;"&amp;EDATE(BT$99,1))),0)</f>
        <v>0</v>
      </c>
      <c r="BU360">
        <f>IF(예비비!$R360="OK",SUMIFS(예비비!$O$430:$O$729,예비비!$B$430:$B$729,예비비!$A360,예비비!$E$430:$E$729,"&lt;"&amp;EDATE(BU$99,1),예비비!$F$430:$F$729,"결제대금비")+MAX(0,IF(예비비!$D360&lt;EDATE(BU$99,1),예비비!$E360,0)-SUMIFS(예비비!$O$430:$O$729,예비비!$B$430:$B$729,예비비!$A360,예비비!$E$430:$E$729,"&lt;"&amp;EDATE(BU$99,1))),0)</f>
        <v>0</v>
      </c>
    </row>
    <row r="361">
      <c r="BA361">
        <v>305</v>
      </c>
      <c r="BB361" t="str">
        <f>IFERROR(INDEX(잔액!$A:$A,BA361),0)</f>
        <v>00:00:00</v>
      </c>
      <c r="BH361">
        <f>IFERROR(IF(AND(BB361&gt;0,OR(COUNTIFS(예비비!$C$430:$C$729,BA361,예비비!$N$430:$N$729,"OK")&gt;0,AND(INDEX(잔액!$J:$J,BA361)="가족통장",INDEX(잔액!$K:$K,BA361)="미래에셋_WRAP형CMA"),COUNTIF(예비비!$A$8:$A$12,INDEX(잔액!$C:$C,BA361))=1,COUNTIF(예비비!$A$8:$A$12,INDEX(잔액!$D:$D,BA361))=1),OR(AND(BB361&gt;=예비비!$B$3,BB361&lt;EDATE(예비비!$B$3,1)),AND(BB361&lt;EDATE(예비비!$B$3,1),COUNTIFS(예비비!$C$430:$C$729,BA361,예비비!$L$430:$L$729,예비비!$B$3,예비비!$N$430:$N$729,"OK")&gt;0))),MAX($BH$120:BH360)+1,0),0)</f>
        <v>0</v>
      </c>
      <c r="BI361">
        <f>IF(예비비!$R361="OK",SUMIFS(예비비!$O$430:$O$729,예비비!$B$430:$B$729,예비비!$A361,예비비!$E$430:$E$729,"&lt;"&amp;EDATE(BI$99,1),예비비!$F$430:$F$729,"결제대금비")+MAX(0,IF(예비비!$D361&lt;EDATE(BI$99,1),예비비!$E361,0)-SUMIFS(예비비!$O$430:$O$729,예비비!$B$430:$B$729,예비비!$A361,예비비!$E$430:$E$729,"&lt;"&amp;EDATE(BI$99,1))),0)</f>
        <v>0</v>
      </c>
      <c r="BJ361">
        <f>IF(예비비!$R361="OK",SUMIFS(예비비!$O$430:$O$729,예비비!$B$430:$B$729,예비비!$A361,예비비!$E$430:$E$729,"&lt;"&amp;EDATE(BJ$99,1),예비비!$F$430:$F$729,"결제대금비")+MAX(0,IF(예비비!$D361&lt;EDATE(BJ$99,1),예비비!$E361,0)-SUMIFS(예비비!$O$430:$O$729,예비비!$B$430:$B$729,예비비!$A361,예비비!$E$430:$E$729,"&lt;"&amp;EDATE(BJ$99,1))),0)</f>
        <v>0</v>
      </c>
      <c r="BK361">
        <f>IF(예비비!$R361="OK",SUMIFS(예비비!$O$430:$O$729,예비비!$B$430:$B$729,예비비!$A361,예비비!$E$430:$E$729,"&lt;"&amp;EDATE(BK$99,1),예비비!$F$430:$F$729,"결제대금비")+MAX(0,IF(예비비!$D361&lt;EDATE(BK$99,1),예비비!$E361,0)-SUMIFS(예비비!$O$430:$O$729,예비비!$B$430:$B$729,예비비!$A361,예비비!$E$430:$E$729,"&lt;"&amp;EDATE(BK$99,1))),0)</f>
        <v>0</v>
      </c>
      <c r="BL361">
        <f>IF(예비비!$R361="OK",SUMIFS(예비비!$O$430:$O$729,예비비!$B$430:$B$729,예비비!$A361,예비비!$E$430:$E$729,"&lt;"&amp;EDATE(BL$99,1),예비비!$F$430:$F$729,"결제대금비")+MAX(0,IF(예비비!$D361&lt;EDATE(BL$99,1),예비비!$E361,0)-SUMIFS(예비비!$O$430:$O$729,예비비!$B$430:$B$729,예비비!$A361,예비비!$E$430:$E$729,"&lt;"&amp;EDATE(BL$99,1))),0)</f>
        <v>0</v>
      </c>
      <c r="BM361">
        <f>IF(예비비!$R361="OK",SUMIFS(예비비!$O$430:$O$729,예비비!$B$430:$B$729,예비비!$A361,예비비!$E$430:$E$729,"&lt;"&amp;EDATE(BM$99,1),예비비!$F$430:$F$729,"결제대금비")+MAX(0,IF(예비비!$D361&lt;EDATE(BM$99,1),예비비!$E361,0)-SUMIFS(예비비!$O$430:$O$729,예비비!$B$430:$B$729,예비비!$A361,예비비!$E$430:$E$729,"&lt;"&amp;EDATE(BM$99,1))),0)</f>
        <v>0</v>
      </c>
      <c r="BN361">
        <f>IF(예비비!$R361="OK",SUMIFS(예비비!$O$430:$O$729,예비비!$B$430:$B$729,예비비!$A361,예비비!$E$430:$E$729,"&lt;"&amp;EDATE(BN$99,1),예비비!$F$430:$F$729,"결제대금비")+MAX(0,IF(예비비!$D361&lt;EDATE(BN$99,1),예비비!$E361,0)-SUMIFS(예비비!$O$430:$O$729,예비비!$B$430:$B$729,예비비!$A361,예비비!$E$430:$E$729,"&lt;"&amp;EDATE(BN$99,1))),0)</f>
        <v>0</v>
      </c>
      <c r="BO361">
        <f>IF(예비비!$R361="OK",SUMIFS(예비비!$O$430:$O$729,예비비!$B$430:$B$729,예비비!$A361,예비비!$E$430:$E$729,"&lt;"&amp;EDATE(BO$99,1),예비비!$F$430:$F$729,"결제대금비")+MAX(0,IF(예비비!$D361&lt;EDATE(BO$99,1),예비비!$E361,0)-SUMIFS(예비비!$O$430:$O$729,예비비!$B$430:$B$729,예비비!$A361,예비비!$E$430:$E$729,"&lt;"&amp;EDATE(BO$99,1))),0)</f>
        <v>0</v>
      </c>
      <c r="BP361">
        <f>IF(예비비!$R361="OK",SUMIFS(예비비!$O$430:$O$729,예비비!$B$430:$B$729,예비비!$A361,예비비!$E$430:$E$729,"&lt;"&amp;EDATE(BP$99,1),예비비!$F$430:$F$729,"결제대금비")+MAX(0,IF(예비비!$D361&lt;EDATE(BP$99,1),예비비!$E361,0)-SUMIFS(예비비!$O$430:$O$729,예비비!$B$430:$B$729,예비비!$A361,예비비!$E$430:$E$729,"&lt;"&amp;EDATE(BP$99,1))),0)</f>
        <v>0</v>
      </c>
      <c r="BQ361">
        <f>IF(예비비!$R361="OK",SUMIFS(예비비!$O$430:$O$729,예비비!$B$430:$B$729,예비비!$A361,예비비!$E$430:$E$729,"&lt;"&amp;EDATE(BQ$99,1),예비비!$F$430:$F$729,"결제대금비")+MAX(0,IF(예비비!$D361&lt;EDATE(BQ$99,1),예비비!$E361,0)-SUMIFS(예비비!$O$430:$O$729,예비비!$B$430:$B$729,예비비!$A361,예비비!$E$430:$E$729,"&lt;"&amp;EDATE(BQ$99,1))),0)</f>
        <v>0</v>
      </c>
      <c r="BR361">
        <f>IF(예비비!$R361="OK",SUMIFS(예비비!$O$430:$O$729,예비비!$B$430:$B$729,예비비!$A361,예비비!$E$430:$E$729,"&lt;"&amp;EDATE(BR$99,1),예비비!$F$430:$F$729,"결제대금비")+MAX(0,IF(예비비!$D361&lt;EDATE(BR$99,1),예비비!$E361,0)-SUMIFS(예비비!$O$430:$O$729,예비비!$B$430:$B$729,예비비!$A361,예비비!$E$430:$E$729,"&lt;"&amp;EDATE(BR$99,1))),0)</f>
        <v>0</v>
      </c>
      <c r="BS361">
        <f>IF(예비비!$R361="OK",SUMIFS(예비비!$O$430:$O$729,예비비!$B$430:$B$729,예비비!$A361,예비비!$E$430:$E$729,"&lt;"&amp;EDATE(BS$99,1),예비비!$F$430:$F$729,"결제대금비")+MAX(0,IF(예비비!$D361&lt;EDATE(BS$99,1),예비비!$E361,0)-SUMIFS(예비비!$O$430:$O$729,예비비!$B$430:$B$729,예비비!$A361,예비비!$E$430:$E$729,"&lt;"&amp;EDATE(BS$99,1))),0)</f>
        <v>0</v>
      </c>
      <c r="BT361">
        <f>IF(예비비!$R361="OK",SUMIFS(예비비!$O$430:$O$729,예비비!$B$430:$B$729,예비비!$A361,예비비!$E$430:$E$729,"&lt;"&amp;EDATE(BT$99,1),예비비!$F$430:$F$729,"결제대금비")+MAX(0,IF(예비비!$D361&lt;EDATE(BT$99,1),예비비!$E361,0)-SUMIFS(예비비!$O$430:$O$729,예비비!$B$430:$B$729,예비비!$A361,예비비!$E$430:$E$729,"&lt;"&amp;EDATE(BT$99,1))),0)</f>
        <v>0</v>
      </c>
      <c r="BU361">
        <f>IF(예비비!$R361="OK",SUMIFS(예비비!$O$430:$O$729,예비비!$B$430:$B$729,예비비!$A361,예비비!$E$430:$E$729,"&lt;"&amp;EDATE(BU$99,1),예비비!$F$430:$F$729,"결제대금비")+MAX(0,IF(예비비!$D361&lt;EDATE(BU$99,1),예비비!$E361,0)-SUMIFS(예비비!$O$430:$O$729,예비비!$B$430:$B$729,예비비!$A361,예비비!$E$430:$E$729,"&lt;"&amp;EDATE(BU$99,1))),0)</f>
        <v>0</v>
      </c>
    </row>
    <row r="362">
      <c r="BA362">
        <v>306</v>
      </c>
      <c r="BB362" t="str">
        <f>IFERROR(INDEX(잔액!$A:$A,BA362),0)</f>
        <v>00:00:00</v>
      </c>
      <c r="BH362">
        <f>IFERROR(IF(AND(BB362&gt;0,OR(COUNTIFS(예비비!$C$430:$C$729,BA362,예비비!$N$430:$N$729,"OK")&gt;0,AND(INDEX(잔액!$J:$J,BA362)="가족통장",INDEX(잔액!$K:$K,BA362)="미래에셋_WRAP형CMA"),COUNTIF(예비비!$A$8:$A$12,INDEX(잔액!$C:$C,BA362))=1,COUNTIF(예비비!$A$8:$A$12,INDEX(잔액!$D:$D,BA362))=1),OR(AND(BB362&gt;=예비비!$B$3,BB362&lt;EDATE(예비비!$B$3,1)),AND(BB362&lt;EDATE(예비비!$B$3,1),COUNTIFS(예비비!$C$430:$C$729,BA362,예비비!$L$430:$L$729,예비비!$B$3,예비비!$N$430:$N$729,"OK")&gt;0))),MAX($BH$120:BH361)+1,0),0)</f>
        <v>0</v>
      </c>
      <c r="BI362">
        <f>IF(예비비!$R362="OK",SUMIFS(예비비!$O$430:$O$729,예비비!$B$430:$B$729,예비비!$A362,예비비!$E$430:$E$729,"&lt;"&amp;EDATE(BI$99,1),예비비!$F$430:$F$729,"결제대금비")+MAX(0,IF(예비비!$D362&lt;EDATE(BI$99,1),예비비!$E362,0)-SUMIFS(예비비!$O$430:$O$729,예비비!$B$430:$B$729,예비비!$A362,예비비!$E$430:$E$729,"&lt;"&amp;EDATE(BI$99,1))),0)</f>
        <v>0</v>
      </c>
      <c r="BJ362">
        <f>IF(예비비!$R362="OK",SUMIFS(예비비!$O$430:$O$729,예비비!$B$430:$B$729,예비비!$A362,예비비!$E$430:$E$729,"&lt;"&amp;EDATE(BJ$99,1),예비비!$F$430:$F$729,"결제대금비")+MAX(0,IF(예비비!$D362&lt;EDATE(BJ$99,1),예비비!$E362,0)-SUMIFS(예비비!$O$430:$O$729,예비비!$B$430:$B$729,예비비!$A362,예비비!$E$430:$E$729,"&lt;"&amp;EDATE(BJ$99,1))),0)</f>
        <v>0</v>
      </c>
      <c r="BK362">
        <f>IF(예비비!$R362="OK",SUMIFS(예비비!$O$430:$O$729,예비비!$B$430:$B$729,예비비!$A362,예비비!$E$430:$E$729,"&lt;"&amp;EDATE(BK$99,1),예비비!$F$430:$F$729,"결제대금비")+MAX(0,IF(예비비!$D362&lt;EDATE(BK$99,1),예비비!$E362,0)-SUMIFS(예비비!$O$430:$O$729,예비비!$B$430:$B$729,예비비!$A362,예비비!$E$430:$E$729,"&lt;"&amp;EDATE(BK$99,1))),0)</f>
        <v>0</v>
      </c>
      <c r="BL362">
        <f>IF(예비비!$R362="OK",SUMIFS(예비비!$O$430:$O$729,예비비!$B$430:$B$729,예비비!$A362,예비비!$E$430:$E$729,"&lt;"&amp;EDATE(BL$99,1),예비비!$F$430:$F$729,"결제대금비")+MAX(0,IF(예비비!$D362&lt;EDATE(BL$99,1),예비비!$E362,0)-SUMIFS(예비비!$O$430:$O$729,예비비!$B$430:$B$729,예비비!$A362,예비비!$E$430:$E$729,"&lt;"&amp;EDATE(BL$99,1))),0)</f>
        <v>0</v>
      </c>
      <c r="BM362">
        <f>IF(예비비!$R362="OK",SUMIFS(예비비!$O$430:$O$729,예비비!$B$430:$B$729,예비비!$A362,예비비!$E$430:$E$729,"&lt;"&amp;EDATE(BM$99,1),예비비!$F$430:$F$729,"결제대금비")+MAX(0,IF(예비비!$D362&lt;EDATE(BM$99,1),예비비!$E362,0)-SUMIFS(예비비!$O$430:$O$729,예비비!$B$430:$B$729,예비비!$A362,예비비!$E$430:$E$729,"&lt;"&amp;EDATE(BM$99,1))),0)</f>
        <v>0</v>
      </c>
      <c r="BN362">
        <f>IF(예비비!$R362="OK",SUMIFS(예비비!$O$430:$O$729,예비비!$B$430:$B$729,예비비!$A362,예비비!$E$430:$E$729,"&lt;"&amp;EDATE(BN$99,1),예비비!$F$430:$F$729,"결제대금비")+MAX(0,IF(예비비!$D362&lt;EDATE(BN$99,1),예비비!$E362,0)-SUMIFS(예비비!$O$430:$O$729,예비비!$B$430:$B$729,예비비!$A362,예비비!$E$430:$E$729,"&lt;"&amp;EDATE(BN$99,1))),0)</f>
        <v>0</v>
      </c>
      <c r="BO362">
        <f>IF(예비비!$R362="OK",SUMIFS(예비비!$O$430:$O$729,예비비!$B$430:$B$729,예비비!$A362,예비비!$E$430:$E$729,"&lt;"&amp;EDATE(BO$99,1),예비비!$F$430:$F$729,"결제대금비")+MAX(0,IF(예비비!$D362&lt;EDATE(BO$99,1),예비비!$E362,0)-SUMIFS(예비비!$O$430:$O$729,예비비!$B$430:$B$729,예비비!$A362,예비비!$E$430:$E$729,"&lt;"&amp;EDATE(BO$99,1))),0)</f>
        <v>0</v>
      </c>
      <c r="BP362">
        <f>IF(예비비!$R362="OK",SUMIFS(예비비!$O$430:$O$729,예비비!$B$430:$B$729,예비비!$A362,예비비!$E$430:$E$729,"&lt;"&amp;EDATE(BP$99,1),예비비!$F$430:$F$729,"결제대금비")+MAX(0,IF(예비비!$D362&lt;EDATE(BP$99,1),예비비!$E362,0)-SUMIFS(예비비!$O$430:$O$729,예비비!$B$430:$B$729,예비비!$A362,예비비!$E$430:$E$729,"&lt;"&amp;EDATE(BP$99,1))),0)</f>
        <v>0</v>
      </c>
      <c r="BQ362">
        <f>IF(예비비!$R362="OK",SUMIFS(예비비!$O$430:$O$729,예비비!$B$430:$B$729,예비비!$A362,예비비!$E$430:$E$729,"&lt;"&amp;EDATE(BQ$99,1),예비비!$F$430:$F$729,"결제대금비")+MAX(0,IF(예비비!$D362&lt;EDATE(BQ$99,1),예비비!$E362,0)-SUMIFS(예비비!$O$430:$O$729,예비비!$B$430:$B$729,예비비!$A362,예비비!$E$430:$E$729,"&lt;"&amp;EDATE(BQ$99,1))),0)</f>
        <v>0</v>
      </c>
      <c r="BR362">
        <f>IF(예비비!$R362="OK",SUMIFS(예비비!$O$430:$O$729,예비비!$B$430:$B$729,예비비!$A362,예비비!$E$430:$E$729,"&lt;"&amp;EDATE(BR$99,1),예비비!$F$430:$F$729,"결제대금비")+MAX(0,IF(예비비!$D362&lt;EDATE(BR$99,1),예비비!$E362,0)-SUMIFS(예비비!$O$430:$O$729,예비비!$B$430:$B$729,예비비!$A362,예비비!$E$430:$E$729,"&lt;"&amp;EDATE(BR$99,1))),0)</f>
        <v>0</v>
      </c>
      <c r="BS362">
        <f>IF(예비비!$R362="OK",SUMIFS(예비비!$O$430:$O$729,예비비!$B$430:$B$729,예비비!$A362,예비비!$E$430:$E$729,"&lt;"&amp;EDATE(BS$99,1),예비비!$F$430:$F$729,"결제대금비")+MAX(0,IF(예비비!$D362&lt;EDATE(BS$99,1),예비비!$E362,0)-SUMIFS(예비비!$O$430:$O$729,예비비!$B$430:$B$729,예비비!$A362,예비비!$E$430:$E$729,"&lt;"&amp;EDATE(BS$99,1))),0)</f>
        <v>0</v>
      </c>
      <c r="BT362">
        <f>IF(예비비!$R362="OK",SUMIFS(예비비!$O$430:$O$729,예비비!$B$430:$B$729,예비비!$A362,예비비!$E$430:$E$729,"&lt;"&amp;EDATE(BT$99,1),예비비!$F$430:$F$729,"결제대금비")+MAX(0,IF(예비비!$D362&lt;EDATE(BT$99,1),예비비!$E362,0)-SUMIFS(예비비!$O$430:$O$729,예비비!$B$430:$B$729,예비비!$A362,예비비!$E$430:$E$729,"&lt;"&amp;EDATE(BT$99,1))),0)</f>
        <v>0</v>
      </c>
      <c r="BU362">
        <f>IF(예비비!$R362="OK",SUMIFS(예비비!$O$430:$O$729,예비비!$B$430:$B$729,예비비!$A362,예비비!$E$430:$E$729,"&lt;"&amp;EDATE(BU$99,1),예비비!$F$430:$F$729,"결제대금비")+MAX(0,IF(예비비!$D362&lt;EDATE(BU$99,1),예비비!$E362,0)-SUMIFS(예비비!$O$430:$O$729,예비비!$B$430:$B$729,예비비!$A362,예비비!$E$430:$E$729,"&lt;"&amp;EDATE(BU$99,1))),0)</f>
        <v>0</v>
      </c>
    </row>
    <row r="363">
      <c r="BA363">
        <v>307</v>
      </c>
      <c r="BB363" t="str">
        <f>IFERROR(INDEX(잔액!$A:$A,BA363),0)</f>
        <v>00:00:00</v>
      </c>
      <c r="BH363">
        <f>IFERROR(IF(AND(BB363&gt;0,OR(COUNTIFS(예비비!$C$430:$C$729,BA363,예비비!$N$430:$N$729,"OK")&gt;0,AND(INDEX(잔액!$J:$J,BA363)="가족통장",INDEX(잔액!$K:$K,BA363)="미래에셋_WRAP형CMA"),COUNTIF(예비비!$A$8:$A$12,INDEX(잔액!$C:$C,BA363))=1,COUNTIF(예비비!$A$8:$A$12,INDEX(잔액!$D:$D,BA363))=1),OR(AND(BB363&gt;=예비비!$B$3,BB363&lt;EDATE(예비비!$B$3,1)),AND(BB363&lt;EDATE(예비비!$B$3,1),COUNTIFS(예비비!$C$430:$C$729,BA363,예비비!$L$430:$L$729,예비비!$B$3,예비비!$N$430:$N$729,"OK")&gt;0))),MAX($BH$120:BH362)+1,0),0)</f>
        <v>0</v>
      </c>
      <c r="BI363">
        <f>IF(예비비!$R363="OK",SUMIFS(예비비!$O$430:$O$729,예비비!$B$430:$B$729,예비비!$A363,예비비!$E$430:$E$729,"&lt;"&amp;EDATE(BI$99,1),예비비!$F$430:$F$729,"결제대금비")+MAX(0,IF(예비비!$D363&lt;EDATE(BI$99,1),예비비!$E363,0)-SUMIFS(예비비!$O$430:$O$729,예비비!$B$430:$B$729,예비비!$A363,예비비!$E$430:$E$729,"&lt;"&amp;EDATE(BI$99,1))),0)</f>
        <v>0</v>
      </c>
      <c r="BJ363">
        <f>IF(예비비!$R363="OK",SUMIFS(예비비!$O$430:$O$729,예비비!$B$430:$B$729,예비비!$A363,예비비!$E$430:$E$729,"&lt;"&amp;EDATE(BJ$99,1),예비비!$F$430:$F$729,"결제대금비")+MAX(0,IF(예비비!$D363&lt;EDATE(BJ$99,1),예비비!$E363,0)-SUMIFS(예비비!$O$430:$O$729,예비비!$B$430:$B$729,예비비!$A363,예비비!$E$430:$E$729,"&lt;"&amp;EDATE(BJ$99,1))),0)</f>
        <v>0</v>
      </c>
      <c r="BK363">
        <f>IF(예비비!$R363="OK",SUMIFS(예비비!$O$430:$O$729,예비비!$B$430:$B$729,예비비!$A363,예비비!$E$430:$E$729,"&lt;"&amp;EDATE(BK$99,1),예비비!$F$430:$F$729,"결제대금비")+MAX(0,IF(예비비!$D363&lt;EDATE(BK$99,1),예비비!$E363,0)-SUMIFS(예비비!$O$430:$O$729,예비비!$B$430:$B$729,예비비!$A363,예비비!$E$430:$E$729,"&lt;"&amp;EDATE(BK$99,1))),0)</f>
        <v>0</v>
      </c>
      <c r="BL363">
        <f>IF(예비비!$R363="OK",SUMIFS(예비비!$O$430:$O$729,예비비!$B$430:$B$729,예비비!$A363,예비비!$E$430:$E$729,"&lt;"&amp;EDATE(BL$99,1),예비비!$F$430:$F$729,"결제대금비")+MAX(0,IF(예비비!$D363&lt;EDATE(BL$99,1),예비비!$E363,0)-SUMIFS(예비비!$O$430:$O$729,예비비!$B$430:$B$729,예비비!$A363,예비비!$E$430:$E$729,"&lt;"&amp;EDATE(BL$99,1))),0)</f>
        <v>0</v>
      </c>
      <c r="BM363">
        <f>IF(예비비!$R363="OK",SUMIFS(예비비!$O$430:$O$729,예비비!$B$430:$B$729,예비비!$A363,예비비!$E$430:$E$729,"&lt;"&amp;EDATE(BM$99,1),예비비!$F$430:$F$729,"결제대금비")+MAX(0,IF(예비비!$D363&lt;EDATE(BM$99,1),예비비!$E363,0)-SUMIFS(예비비!$O$430:$O$729,예비비!$B$430:$B$729,예비비!$A363,예비비!$E$430:$E$729,"&lt;"&amp;EDATE(BM$99,1))),0)</f>
        <v>0</v>
      </c>
      <c r="BN363">
        <f>IF(예비비!$R363="OK",SUMIFS(예비비!$O$430:$O$729,예비비!$B$430:$B$729,예비비!$A363,예비비!$E$430:$E$729,"&lt;"&amp;EDATE(BN$99,1),예비비!$F$430:$F$729,"결제대금비")+MAX(0,IF(예비비!$D363&lt;EDATE(BN$99,1),예비비!$E363,0)-SUMIFS(예비비!$O$430:$O$729,예비비!$B$430:$B$729,예비비!$A363,예비비!$E$430:$E$729,"&lt;"&amp;EDATE(BN$99,1))),0)</f>
        <v>0</v>
      </c>
      <c r="BO363">
        <f>IF(예비비!$R363="OK",SUMIFS(예비비!$O$430:$O$729,예비비!$B$430:$B$729,예비비!$A363,예비비!$E$430:$E$729,"&lt;"&amp;EDATE(BO$99,1),예비비!$F$430:$F$729,"결제대금비")+MAX(0,IF(예비비!$D363&lt;EDATE(BO$99,1),예비비!$E363,0)-SUMIFS(예비비!$O$430:$O$729,예비비!$B$430:$B$729,예비비!$A363,예비비!$E$430:$E$729,"&lt;"&amp;EDATE(BO$99,1))),0)</f>
        <v>0</v>
      </c>
      <c r="BP363">
        <f>IF(예비비!$R363="OK",SUMIFS(예비비!$O$430:$O$729,예비비!$B$430:$B$729,예비비!$A363,예비비!$E$430:$E$729,"&lt;"&amp;EDATE(BP$99,1),예비비!$F$430:$F$729,"결제대금비")+MAX(0,IF(예비비!$D363&lt;EDATE(BP$99,1),예비비!$E363,0)-SUMIFS(예비비!$O$430:$O$729,예비비!$B$430:$B$729,예비비!$A363,예비비!$E$430:$E$729,"&lt;"&amp;EDATE(BP$99,1))),0)</f>
        <v>0</v>
      </c>
      <c r="BQ363">
        <f>IF(예비비!$R363="OK",SUMIFS(예비비!$O$430:$O$729,예비비!$B$430:$B$729,예비비!$A363,예비비!$E$430:$E$729,"&lt;"&amp;EDATE(BQ$99,1),예비비!$F$430:$F$729,"결제대금비")+MAX(0,IF(예비비!$D363&lt;EDATE(BQ$99,1),예비비!$E363,0)-SUMIFS(예비비!$O$430:$O$729,예비비!$B$430:$B$729,예비비!$A363,예비비!$E$430:$E$729,"&lt;"&amp;EDATE(BQ$99,1))),0)</f>
        <v>0</v>
      </c>
      <c r="BR363">
        <f>IF(예비비!$R363="OK",SUMIFS(예비비!$O$430:$O$729,예비비!$B$430:$B$729,예비비!$A363,예비비!$E$430:$E$729,"&lt;"&amp;EDATE(BR$99,1),예비비!$F$430:$F$729,"결제대금비")+MAX(0,IF(예비비!$D363&lt;EDATE(BR$99,1),예비비!$E363,0)-SUMIFS(예비비!$O$430:$O$729,예비비!$B$430:$B$729,예비비!$A363,예비비!$E$430:$E$729,"&lt;"&amp;EDATE(BR$99,1))),0)</f>
        <v>0</v>
      </c>
      <c r="BS363">
        <f>IF(예비비!$R363="OK",SUMIFS(예비비!$O$430:$O$729,예비비!$B$430:$B$729,예비비!$A363,예비비!$E$430:$E$729,"&lt;"&amp;EDATE(BS$99,1),예비비!$F$430:$F$729,"결제대금비")+MAX(0,IF(예비비!$D363&lt;EDATE(BS$99,1),예비비!$E363,0)-SUMIFS(예비비!$O$430:$O$729,예비비!$B$430:$B$729,예비비!$A363,예비비!$E$430:$E$729,"&lt;"&amp;EDATE(BS$99,1))),0)</f>
        <v>0</v>
      </c>
      <c r="BT363">
        <f>IF(예비비!$R363="OK",SUMIFS(예비비!$O$430:$O$729,예비비!$B$430:$B$729,예비비!$A363,예비비!$E$430:$E$729,"&lt;"&amp;EDATE(BT$99,1),예비비!$F$430:$F$729,"결제대금비")+MAX(0,IF(예비비!$D363&lt;EDATE(BT$99,1),예비비!$E363,0)-SUMIFS(예비비!$O$430:$O$729,예비비!$B$430:$B$729,예비비!$A363,예비비!$E$430:$E$729,"&lt;"&amp;EDATE(BT$99,1))),0)</f>
        <v>0</v>
      </c>
      <c r="BU363">
        <f>IF(예비비!$R363="OK",SUMIFS(예비비!$O$430:$O$729,예비비!$B$430:$B$729,예비비!$A363,예비비!$E$430:$E$729,"&lt;"&amp;EDATE(BU$99,1),예비비!$F$430:$F$729,"결제대금비")+MAX(0,IF(예비비!$D363&lt;EDATE(BU$99,1),예비비!$E363,0)-SUMIFS(예비비!$O$430:$O$729,예비비!$B$430:$B$729,예비비!$A363,예비비!$E$430:$E$729,"&lt;"&amp;EDATE(BU$99,1))),0)</f>
        <v>0</v>
      </c>
    </row>
    <row r="364">
      <c r="BA364">
        <v>308</v>
      </c>
      <c r="BB364" t="str">
        <f>IFERROR(INDEX(잔액!$A:$A,BA364),0)</f>
        <v>00:00:00</v>
      </c>
      <c r="BH364">
        <f>IFERROR(IF(AND(BB364&gt;0,OR(COUNTIFS(예비비!$C$430:$C$729,BA364,예비비!$N$430:$N$729,"OK")&gt;0,AND(INDEX(잔액!$J:$J,BA364)="가족통장",INDEX(잔액!$K:$K,BA364)="미래에셋_WRAP형CMA"),COUNTIF(예비비!$A$8:$A$12,INDEX(잔액!$C:$C,BA364))=1,COUNTIF(예비비!$A$8:$A$12,INDEX(잔액!$D:$D,BA364))=1),OR(AND(BB364&gt;=예비비!$B$3,BB364&lt;EDATE(예비비!$B$3,1)),AND(BB364&lt;EDATE(예비비!$B$3,1),COUNTIFS(예비비!$C$430:$C$729,BA364,예비비!$L$430:$L$729,예비비!$B$3,예비비!$N$430:$N$729,"OK")&gt;0))),MAX($BH$120:BH363)+1,0),0)</f>
        <v>0</v>
      </c>
      <c r="BI364">
        <f>IF(예비비!$R364="OK",SUMIFS(예비비!$O$430:$O$729,예비비!$B$430:$B$729,예비비!$A364,예비비!$E$430:$E$729,"&lt;"&amp;EDATE(BI$99,1),예비비!$F$430:$F$729,"결제대금비")+MAX(0,IF(예비비!$D364&lt;EDATE(BI$99,1),예비비!$E364,0)-SUMIFS(예비비!$O$430:$O$729,예비비!$B$430:$B$729,예비비!$A364,예비비!$E$430:$E$729,"&lt;"&amp;EDATE(BI$99,1))),0)</f>
        <v>0</v>
      </c>
      <c r="BJ364">
        <f>IF(예비비!$R364="OK",SUMIFS(예비비!$O$430:$O$729,예비비!$B$430:$B$729,예비비!$A364,예비비!$E$430:$E$729,"&lt;"&amp;EDATE(BJ$99,1),예비비!$F$430:$F$729,"결제대금비")+MAX(0,IF(예비비!$D364&lt;EDATE(BJ$99,1),예비비!$E364,0)-SUMIFS(예비비!$O$430:$O$729,예비비!$B$430:$B$729,예비비!$A364,예비비!$E$430:$E$729,"&lt;"&amp;EDATE(BJ$99,1))),0)</f>
        <v>0</v>
      </c>
      <c r="BK364">
        <f>IF(예비비!$R364="OK",SUMIFS(예비비!$O$430:$O$729,예비비!$B$430:$B$729,예비비!$A364,예비비!$E$430:$E$729,"&lt;"&amp;EDATE(BK$99,1),예비비!$F$430:$F$729,"결제대금비")+MAX(0,IF(예비비!$D364&lt;EDATE(BK$99,1),예비비!$E364,0)-SUMIFS(예비비!$O$430:$O$729,예비비!$B$430:$B$729,예비비!$A364,예비비!$E$430:$E$729,"&lt;"&amp;EDATE(BK$99,1))),0)</f>
        <v>0</v>
      </c>
      <c r="BL364">
        <f>IF(예비비!$R364="OK",SUMIFS(예비비!$O$430:$O$729,예비비!$B$430:$B$729,예비비!$A364,예비비!$E$430:$E$729,"&lt;"&amp;EDATE(BL$99,1),예비비!$F$430:$F$729,"결제대금비")+MAX(0,IF(예비비!$D364&lt;EDATE(BL$99,1),예비비!$E364,0)-SUMIFS(예비비!$O$430:$O$729,예비비!$B$430:$B$729,예비비!$A364,예비비!$E$430:$E$729,"&lt;"&amp;EDATE(BL$99,1))),0)</f>
        <v>0</v>
      </c>
      <c r="BM364">
        <f>IF(예비비!$R364="OK",SUMIFS(예비비!$O$430:$O$729,예비비!$B$430:$B$729,예비비!$A364,예비비!$E$430:$E$729,"&lt;"&amp;EDATE(BM$99,1),예비비!$F$430:$F$729,"결제대금비")+MAX(0,IF(예비비!$D364&lt;EDATE(BM$99,1),예비비!$E364,0)-SUMIFS(예비비!$O$430:$O$729,예비비!$B$430:$B$729,예비비!$A364,예비비!$E$430:$E$729,"&lt;"&amp;EDATE(BM$99,1))),0)</f>
        <v>0</v>
      </c>
      <c r="BN364">
        <f>IF(예비비!$R364="OK",SUMIFS(예비비!$O$430:$O$729,예비비!$B$430:$B$729,예비비!$A364,예비비!$E$430:$E$729,"&lt;"&amp;EDATE(BN$99,1),예비비!$F$430:$F$729,"결제대금비")+MAX(0,IF(예비비!$D364&lt;EDATE(BN$99,1),예비비!$E364,0)-SUMIFS(예비비!$O$430:$O$729,예비비!$B$430:$B$729,예비비!$A364,예비비!$E$430:$E$729,"&lt;"&amp;EDATE(BN$99,1))),0)</f>
        <v>0</v>
      </c>
      <c r="BO364">
        <f>IF(예비비!$R364="OK",SUMIFS(예비비!$O$430:$O$729,예비비!$B$430:$B$729,예비비!$A364,예비비!$E$430:$E$729,"&lt;"&amp;EDATE(BO$99,1),예비비!$F$430:$F$729,"결제대금비")+MAX(0,IF(예비비!$D364&lt;EDATE(BO$99,1),예비비!$E364,0)-SUMIFS(예비비!$O$430:$O$729,예비비!$B$430:$B$729,예비비!$A364,예비비!$E$430:$E$729,"&lt;"&amp;EDATE(BO$99,1))),0)</f>
        <v>0</v>
      </c>
      <c r="BP364">
        <f>IF(예비비!$R364="OK",SUMIFS(예비비!$O$430:$O$729,예비비!$B$430:$B$729,예비비!$A364,예비비!$E$430:$E$729,"&lt;"&amp;EDATE(BP$99,1),예비비!$F$430:$F$729,"결제대금비")+MAX(0,IF(예비비!$D364&lt;EDATE(BP$99,1),예비비!$E364,0)-SUMIFS(예비비!$O$430:$O$729,예비비!$B$430:$B$729,예비비!$A364,예비비!$E$430:$E$729,"&lt;"&amp;EDATE(BP$99,1))),0)</f>
        <v>0</v>
      </c>
      <c r="BQ364">
        <f>IF(예비비!$R364="OK",SUMIFS(예비비!$O$430:$O$729,예비비!$B$430:$B$729,예비비!$A364,예비비!$E$430:$E$729,"&lt;"&amp;EDATE(BQ$99,1),예비비!$F$430:$F$729,"결제대금비")+MAX(0,IF(예비비!$D364&lt;EDATE(BQ$99,1),예비비!$E364,0)-SUMIFS(예비비!$O$430:$O$729,예비비!$B$430:$B$729,예비비!$A364,예비비!$E$430:$E$729,"&lt;"&amp;EDATE(BQ$99,1))),0)</f>
        <v>0</v>
      </c>
      <c r="BR364">
        <f>IF(예비비!$R364="OK",SUMIFS(예비비!$O$430:$O$729,예비비!$B$430:$B$729,예비비!$A364,예비비!$E$430:$E$729,"&lt;"&amp;EDATE(BR$99,1),예비비!$F$430:$F$729,"결제대금비")+MAX(0,IF(예비비!$D364&lt;EDATE(BR$99,1),예비비!$E364,0)-SUMIFS(예비비!$O$430:$O$729,예비비!$B$430:$B$729,예비비!$A364,예비비!$E$430:$E$729,"&lt;"&amp;EDATE(BR$99,1))),0)</f>
        <v>0</v>
      </c>
      <c r="BS364">
        <f>IF(예비비!$R364="OK",SUMIFS(예비비!$O$430:$O$729,예비비!$B$430:$B$729,예비비!$A364,예비비!$E$430:$E$729,"&lt;"&amp;EDATE(BS$99,1),예비비!$F$430:$F$729,"결제대금비")+MAX(0,IF(예비비!$D364&lt;EDATE(BS$99,1),예비비!$E364,0)-SUMIFS(예비비!$O$430:$O$729,예비비!$B$430:$B$729,예비비!$A364,예비비!$E$430:$E$729,"&lt;"&amp;EDATE(BS$99,1))),0)</f>
        <v>0</v>
      </c>
      <c r="BT364">
        <f>IF(예비비!$R364="OK",SUMIFS(예비비!$O$430:$O$729,예비비!$B$430:$B$729,예비비!$A364,예비비!$E$430:$E$729,"&lt;"&amp;EDATE(BT$99,1),예비비!$F$430:$F$729,"결제대금비")+MAX(0,IF(예비비!$D364&lt;EDATE(BT$99,1),예비비!$E364,0)-SUMIFS(예비비!$O$430:$O$729,예비비!$B$430:$B$729,예비비!$A364,예비비!$E$430:$E$729,"&lt;"&amp;EDATE(BT$99,1))),0)</f>
        <v>0</v>
      </c>
      <c r="BU364">
        <f>IF(예비비!$R364="OK",SUMIFS(예비비!$O$430:$O$729,예비비!$B$430:$B$729,예비비!$A364,예비비!$E$430:$E$729,"&lt;"&amp;EDATE(BU$99,1),예비비!$F$430:$F$729,"결제대금비")+MAX(0,IF(예비비!$D364&lt;EDATE(BU$99,1),예비비!$E364,0)-SUMIFS(예비비!$O$430:$O$729,예비비!$B$430:$B$729,예비비!$A364,예비비!$E$430:$E$729,"&lt;"&amp;EDATE(BU$99,1))),0)</f>
        <v>0</v>
      </c>
    </row>
    <row r="365">
      <c r="BA365">
        <v>309</v>
      </c>
      <c r="BB365" t="str">
        <f>IFERROR(INDEX(잔액!$A:$A,BA365),0)</f>
        <v>00:00:00</v>
      </c>
      <c r="BH365">
        <f>IFERROR(IF(AND(BB365&gt;0,OR(COUNTIFS(예비비!$C$430:$C$729,BA365,예비비!$N$430:$N$729,"OK")&gt;0,AND(INDEX(잔액!$J:$J,BA365)="가족통장",INDEX(잔액!$K:$K,BA365)="미래에셋_WRAP형CMA"),COUNTIF(예비비!$A$8:$A$12,INDEX(잔액!$C:$C,BA365))=1,COUNTIF(예비비!$A$8:$A$12,INDEX(잔액!$D:$D,BA365))=1),OR(AND(BB365&gt;=예비비!$B$3,BB365&lt;EDATE(예비비!$B$3,1)),AND(BB365&lt;EDATE(예비비!$B$3,1),COUNTIFS(예비비!$C$430:$C$729,BA365,예비비!$L$430:$L$729,예비비!$B$3,예비비!$N$430:$N$729,"OK")&gt;0))),MAX($BH$120:BH364)+1,0),0)</f>
        <v>0</v>
      </c>
      <c r="BI365">
        <f>IF(예비비!$R365="OK",SUMIFS(예비비!$O$430:$O$729,예비비!$B$430:$B$729,예비비!$A365,예비비!$E$430:$E$729,"&lt;"&amp;EDATE(BI$99,1),예비비!$F$430:$F$729,"결제대금비")+MAX(0,IF(예비비!$D365&lt;EDATE(BI$99,1),예비비!$E365,0)-SUMIFS(예비비!$O$430:$O$729,예비비!$B$430:$B$729,예비비!$A365,예비비!$E$430:$E$729,"&lt;"&amp;EDATE(BI$99,1))),0)</f>
        <v>0</v>
      </c>
      <c r="BJ365">
        <f>IF(예비비!$R365="OK",SUMIFS(예비비!$O$430:$O$729,예비비!$B$430:$B$729,예비비!$A365,예비비!$E$430:$E$729,"&lt;"&amp;EDATE(BJ$99,1),예비비!$F$430:$F$729,"결제대금비")+MAX(0,IF(예비비!$D365&lt;EDATE(BJ$99,1),예비비!$E365,0)-SUMIFS(예비비!$O$430:$O$729,예비비!$B$430:$B$729,예비비!$A365,예비비!$E$430:$E$729,"&lt;"&amp;EDATE(BJ$99,1))),0)</f>
        <v>0</v>
      </c>
      <c r="BK365">
        <f>IF(예비비!$R365="OK",SUMIFS(예비비!$O$430:$O$729,예비비!$B$430:$B$729,예비비!$A365,예비비!$E$430:$E$729,"&lt;"&amp;EDATE(BK$99,1),예비비!$F$430:$F$729,"결제대금비")+MAX(0,IF(예비비!$D365&lt;EDATE(BK$99,1),예비비!$E365,0)-SUMIFS(예비비!$O$430:$O$729,예비비!$B$430:$B$729,예비비!$A365,예비비!$E$430:$E$729,"&lt;"&amp;EDATE(BK$99,1))),0)</f>
        <v>0</v>
      </c>
      <c r="BL365">
        <f>IF(예비비!$R365="OK",SUMIFS(예비비!$O$430:$O$729,예비비!$B$430:$B$729,예비비!$A365,예비비!$E$430:$E$729,"&lt;"&amp;EDATE(BL$99,1),예비비!$F$430:$F$729,"결제대금비")+MAX(0,IF(예비비!$D365&lt;EDATE(BL$99,1),예비비!$E365,0)-SUMIFS(예비비!$O$430:$O$729,예비비!$B$430:$B$729,예비비!$A365,예비비!$E$430:$E$729,"&lt;"&amp;EDATE(BL$99,1))),0)</f>
        <v>0</v>
      </c>
      <c r="BM365">
        <f>IF(예비비!$R365="OK",SUMIFS(예비비!$O$430:$O$729,예비비!$B$430:$B$729,예비비!$A365,예비비!$E$430:$E$729,"&lt;"&amp;EDATE(BM$99,1),예비비!$F$430:$F$729,"결제대금비")+MAX(0,IF(예비비!$D365&lt;EDATE(BM$99,1),예비비!$E365,0)-SUMIFS(예비비!$O$430:$O$729,예비비!$B$430:$B$729,예비비!$A365,예비비!$E$430:$E$729,"&lt;"&amp;EDATE(BM$99,1))),0)</f>
        <v>0</v>
      </c>
      <c r="BN365">
        <f>IF(예비비!$R365="OK",SUMIFS(예비비!$O$430:$O$729,예비비!$B$430:$B$729,예비비!$A365,예비비!$E$430:$E$729,"&lt;"&amp;EDATE(BN$99,1),예비비!$F$430:$F$729,"결제대금비")+MAX(0,IF(예비비!$D365&lt;EDATE(BN$99,1),예비비!$E365,0)-SUMIFS(예비비!$O$430:$O$729,예비비!$B$430:$B$729,예비비!$A365,예비비!$E$430:$E$729,"&lt;"&amp;EDATE(BN$99,1))),0)</f>
        <v>0</v>
      </c>
      <c r="BO365">
        <f>IF(예비비!$R365="OK",SUMIFS(예비비!$O$430:$O$729,예비비!$B$430:$B$729,예비비!$A365,예비비!$E$430:$E$729,"&lt;"&amp;EDATE(BO$99,1),예비비!$F$430:$F$729,"결제대금비")+MAX(0,IF(예비비!$D365&lt;EDATE(BO$99,1),예비비!$E365,0)-SUMIFS(예비비!$O$430:$O$729,예비비!$B$430:$B$729,예비비!$A365,예비비!$E$430:$E$729,"&lt;"&amp;EDATE(BO$99,1))),0)</f>
        <v>0</v>
      </c>
      <c r="BP365">
        <f>IF(예비비!$R365="OK",SUMIFS(예비비!$O$430:$O$729,예비비!$B$430:$B$729,예비비!$A365,예비비!$E$430:$E$729,"&lt;"&amp;EDATE(BP$99,1),예비비!$F$430:$F$729,"결제대금비")+MAX(0,IF(예비비!$D365&lt;EDATE(BP$99,1),예비비!$E365,0)-SUMIFS(예비비!$O$430:$O$729,예비비!$B$430:$B$729,예비비!$A365,예비비!$E$430:$E$729,"&lt;"&amp;EDATE(BP$99,1))),0)</f>
        <v>0</v>
      </c>
      <c r="BQ365">
        <f>IF(예비비!$R365="OK",SUMIFS(예비비!$O$430:$O$729,예비비!$B$430:$B$729,예비비!$A365,예비비!$E$430:$E$729,"&lt;"&amp;EDATE(BQ$99,1),예비비!$F$430:$F$729,"결제대금비")+MAX(0,IF(예비비!$D365&lt;EDATE(BQ$99,1),예비비!$E365,0)-SUMIFS(예비비!$O$430:$O$729,예비비!$B$430:$B$729,예비비!$A365,예비비!$E$430:$E$729,"&lt;"&amp;EDATE(BQ$99,1))),0)</f>
        <v>0</v>
      </c>
      <c r="BR365">
        <f>IF(예비비!$R365="OK",SUMIFS(예비비!$O$430:$O$729,예비비!$B$430:$B$729,예비비!$A365,예비비!$E$430:$E$729,"&lt;"&amp;EDATE(BR$99,1),예비비!$F$430:$F$729,"결제대금비")+MAX(0,IF(예비비!$D365&lt;EDATE(BR$99,1),예비비!$E365,0)-SUMIFS(예비비!$O$430:$O$729,예비비!$B$430:$B$729,예비비!$A365,예비비!$E$430:$E$729,"&lt;"&amp;EDATE(BR$99,1))),0)</f>
        <v>0</v>
      </c>
      <c r="BS365">
        <f>IF(예비비!$R365="OK",SUMIFS(예비비!$O$430:$O$729,예비비!$B$430:$B$729,예비비!$A365,예비비!$E$430:$E$729,"&lt;"&amp;EDATE(BS$99,1),예비비!$F$430:$F$729,"결제대금비")+MAX(0,IF(예비비!$D365&lt;EDATE(BS$99,1),예비비!$E365,0)-SUMIFS(예비비!$O$430:$O$729,예비비!$B$430:$B$729,예비비!$A365,예비비!$E$430:$E$729,"&lt;"&amp;EDATE(BS$99,1))),0)</f>
        <v>0</v>
      </c>
      <c r="BT365">
        <f>IF(예비비!$R365="OK",SUMIFS(예비비!$O$430:$O$729,예비비!$B$430:$B$729,예비비!$A365,예비비!$E$430:$E$729,"&lt;"&amp;EDATE(BT$99,1),예비비!$F$430:$F$729,"결제대금비")+MAX(0,IF(예비비!$D365&lt;EDATE(BT$99,1),예비비!$E365,0)-SUMIFS(예비비!$O$430:$O$729,예비비!$B$430:$B$729,예비비!$A365,예비비!$E$430:$E$729,"&lt;"&amp;EDATE(BT$99,1))),0)</f>
        <v>0</v>
      </c>
      <c r="BU365">
        <f>IF(예비비!$R365="OK",SUMIFS(예비비!$O$430:$O$729,예비비!$B$430:$B$729,예비비!$A365,예비비!$E$430:$E$729,"&lt;"&amp;EDATE(BU$99,1),예비비!$F$430:$F$729,"결제대금비")+MAX(0,IF(예비비!$D365&lt;EDATE(BU$99,1),예비비!$E365,0)-SUMIFS(예비비!$O$430:$O$729,예비비!$B$430:$B$729,예비비!$A365,예비비!$E$430:$E$729,"&lt;"&amp;EDATE(BU$99,1))),0)</f>
        <v>0</v>
      </c>
    </row>
    <row r="366">
      <c r="BA366">
        <v>310</v>
      </c>
      <c r="BB366" t="str">
        <f>IFERROR(INDEX(잔액!$A:$A,BA366),0)</f>
        <v>00:00:00</v>
      </c>
      <c r="BH366">
        <f>IFERROR(IF(AND(BB366&gt;0,OR(COUNTIFS(예비비!$C$430:$C$729,BA366,예비비!$N$430:$N$729,"OK")&gt;0,AND(INDEX(잔액!$J:$J,BA366)="가족통장",INDEX(잔액!$K:$K,BA366)="미래에셋_WRAP형CMA"),COUNTIF(예비비!$A$8:$A$12,INDEX(잔액!$C:$C,BA366))=1,COUNTIF(예비비!$A$8:$A$12,INDEX(잔액!$D:$D,BA366))=1),OR(AND(BB366&gt;=예비비!$B$3,BB366&lt;EDATE(예비비!$B$3,1)),AND(BB366&lt;EDATE(예비비!$B$3,1),COUNTIFS(예비비!$C$430:$C$729,BA366,예비비!$L$430:$L$729,예비비!$B$3,예비비!$N$430:$N$729,"OK")&gt;0))),MAX($BH$120:BH365)+1,0),0)</f>
        <v>0</v>
      </c>
      <c r="BI366">
        <f>IF(예비비!$R366="OK",SUMIFS(예비비!$O$430:$O$729,예비비!$B$430:$B$729,예비비!$A366,예비비!$E$430:$E$729,"&lt;"&amp;EDATE(BI$99,1),예비비!$F$430:$F$729,"결제대금비")+MAX(0,IF(예비비!$D366&lt;EDATE(BI$99,1),예비비!$E366,0)-SUMIFS(예비비!$O$430:$O$729,예비비!$B$430:$B$729,예비비!$A366,예비비!$E$430:$E$729,"&lt;"&amp;EDATE(BI$99,1))),0)</f>
        <v>0</v>
      </c>
      <c r="BJ366">
        <f>IF(예비비!$R366="OK",SUMIFS(예비비!$O$430:$O$729,예비비!$B$430:$B$729,예비비!$A366,예비비!$E$430:$E$729,"&lt;"&amp;EDATE(BJ$99,1),예비비!$F$430:$F$729,"결제대금비")+MAX(0,IF(예비비!$D366&lt;EDATE(BJ$99,1),예비비!$E366,0)-SUMIFS(예비비!$O$430:$O$729,예비비!$B$430:$B$729,예비비!$A366,예비비!$E$430:$E$729,"&lt;"&amp;EDATE(BJ$99,1))),0)</f>
        <v>0</v>
      </c>
      <c r="BK366">
        <f>IF(예비비!$R366="OK",SUMIFS(예비비!$O$430:$O$729,예비비!$B$430:$B$729,예비비!$A366,예비비!$E$430:$E$729,"&lt;"&amp;EDATE(BK$99,1),예비비!$F$430:$F$729,"결제대금비")+MAX(0,IF(예비비!$D366&lt;EDATE(BK$99,1),예비비!$E366,0)-SUMIFS(예비비!$O$430:$O$729,예비비!$B$430:$B$729,예비비!$A366,예비비!$E$430:$E$729,"&lt;"&amp;EDATE(BK$99,1))),0)</f>
        <v>0</v>
      </c>
      <c r="BL366">
        <f>IF(예비비!$R366="OK",SUMIFS(예비비!$O$430:$O$729,예비비!$B$430:$B$729,예비비!$A366,예비비!$E$430:$E$729,"&lt;"&amp;EDATE(BL$99,1),예비비!$F$430:$F$729,"결제대금비")+MAX(0,IF(예비비!$D366&lt;EDATE(BL$99,1),예비비!$E366,0)-SUMIFS(예비비!$O$430:$O$729,예비비!$B$430:$B$729,예비비!$A366,예비비!$E$430:$E$729,"&lt;"&amp;EDATE(BL$99,1))),0)</f>
        <v>0</v>
      </c>
      <c r="BM366">
        <f>IF(예비비!$R366="OK",SUMIFS(예비비!$O$430:$O$729,예비비!$B$430:$B$729,예비비!$A366,예비비!$E$430:$E$729,"&lt;"&amp;EDATE(BM$99,1),예비비!$F$430:$F$729,"결제대금비")+MAX(0,IF(예비비!$D366&lt;EDATE(BM$99,1),예비비!$E366,0)-SUMIFS(예비비!$O$430:$O$729,예비비!$B$430:$B$729,예비비!$A366,예비비!$E$430:$E$729,"&lt;"&amp;EDATE(BM$99,1))),0)</f>
        <v>0</v>
      </c>
      <c r="BN366">
        <f>IF(예비비!$R366="OK",SUMIFS(예비비!$O$430:$O$729,예비비!$B$430:$B$729,예비비!$A366,예비비!$E$430:$E$729,"&lt;"&amp;EDATE(BN$99,1),예비비!$F$430:$F$729,"결제대금비")+MAX(0,IF(예비비!$D366&lt;EDATE(BN$99,1),예비비!$E366,0)-SUMIFS(예비비!$O$430:$O$729,예비비!$B$430:$B$729,예비비!$A366,예비비!$E$430:$E$729,"&lt;"&amp;EDATE(BN$99,1))),0)</f>
        <v>0</v>
      </c>
      <c r="BO366">
        <f>IF(예비비!$R366="OK",SUMIFS(예비비!$O$430:$O$729,예비비!$B$430:$B$729,예비비!$A366,예비비!$E$430:$E$729,"&lt;"&amp;EDATE(BO$99,1),예비비!$F$430:$F$729,"결제대금비")+MAX(0,IF(예비비!$D366&lt;EDATE(BO$99,1),예비비!$E366,0)-SUMIFS(예비비!$O$430:$O$729,예비비!$B$430:$B$729,예비비!$A366,예비비!$E$430:$E$729,"&lt;"&amp;EDATE(BO$99,1))),0)</f>
        <v>0</v>
      </c>
      <c r="BP366">
        <f>IF(예비비!$R366="OK",SUMIFS(예비비!$O$430:$O$729,예비비!$B$430:$B$729,예비비!$A366,예비비!$E$430:$E$729,"&lt;"&amp;EDATE(BP$99,1),예비비!$F$430:$F$729,"결제대금비")+MAX(0,IF(예비비!$D366&lt;EDATE(BP$99,1),예비비!$E366,0)-SUMIFS(예비비!$O$430:$O$729,예비비!$B$430:$B$729,예비비!$A366,예비비!$E$430:$E$729,"&lt;"&amp;EDATE(BP$99,1))),0)</f>
        <v>0</v>
      </c>
      <c r="BQ366">
        <f>IF(예비비!$R366="OK",SUMIFS(예비비!$O$430:$O$729,예비비!$B$430:$B$729,예비비!$A366,예비비!$E$430:$E$729,"&lt;"&amp;EDATE(BQ$99,1),예비비!$F$430:$F$729,"결제대금비")+MAX(0,IF(예비비!$D366&lt;EDATE(BQ$99,1),예비비!$E366,0)-SUMIFS(예비비!$O$430:$O$729,예비비!$B$430:$B$729,예비비!$A366,예비비!$E$430:$E$729,"&lt;"&amp;EDATE(BQ$99,1))),0)</f>
        <v>0</v>
      </c>
      <c r="BR366">
        <f>IF(예비비!$R366="OK",SUMIFS(예비비!$O$430:$O$729,예비비!$B$430:$B$729,예비비!$A366,예비비!$E$430:$E$729,"&lt;"&amp;EDATE(BR$99,1),예비비!$F$430:$F$729,"결제대금비")+MAX(0,IF(예비비!$D366&lt;EDATE(BR$99,1),예비비!$E366,0)-SUMIFS(예비비!$O$430:$O$729,예비비!$B$430:$B$729,예비비!$A366,예비비!$E$430:$E$729,"&lt;"&amp;EDATE(BR$99,1))),0)</f>
        <v>0</v>
      </c>
      <c r="BS366">
        <f>IF(예비비!$R366="OK",SUMIFS(예비비!$O$430:$O$729,예비비!$B$430:$B$729,예비비!$A366,예비비!$E$430:$E$729,"&lt;"&amp;EDATE(BS$99,1),예비비!$F$430:$F$729,"결제대금비")+MAX(0,IF(예비비!$D366&lt;EDATE(BS$99,1),예비비!$E366,0)-SUMIFS(예비비!$O$430:$O$729,예비비!$B$430:$B$729,예비비!$A366,예비비!$E$430:$E$729,"&lt;"&amp;EDATE(BS$99,1))),0)</f>
        <v>0</v>
      </c>
      <c r="BT366">
        <f>IF(예비비!$R366="OK",SUMIFS(예비비!$O$430:$O$729,예비비!$B$430:$B$729,예비비!$A366,예비비!$E$430:$E$729,"&lt;"&amp;EDATE(BT$99,1),예비비!$F$430:$F$729,"결제대금비")+MAX(0,IF(예비비!$D366&lt;EDATE(BT$99,1),예비비!$E366,0)-SUMIFS(예비비!$O$430:$O$729,예비비!$B$430:$B$729,예비비!$A366,예비비!$E$430:$E$729,"&lt;"&amp;EDATE(BT$99,1))),0)</f>
        <v>0</v>
      </c>
      <c r="BU366">
        <f>IF(예비비!$R366="OK",SUMIFS(예비비!$O$430:$O$729,예비비!$B$430:$B$729,예비비!$A366,예비비!$E$430:$E$729,"&lt;"&amp;EDATE(BU$99,1),예비비!$F$430:$F$729,"결제대금비")+MAX(0,IF(예비비!$D366&lt;EDATE(BU$99,1),예비비!$E366,0)-SUMIFS(예비비!$O$430:$O$729,예비비!$B$430:$B$729,예비비!$A366,예비비!$E$430:$E$729,"&lt;"&amp;EDATE(BU$99,1))),0)</f>
        <v>0</v>
      </c>
    </row>
    <row r="367">
      <c r="BA367">
        <v>311</v>
      </c>
      <c r="BB367" t="str">
        <f>IFERROR(INDEX(잔액!$A:$A,BA367),0)</f>
        <v>00:00:00</v>
      </c>
      <c r="BH367">
        <f>IFERROR(IF(AND(BB367&gt;0,OR(COUNTIFS(예비비!$C$430:$C$729,BA367,예비비!$N$430:$N$729,"OK")&gt;0,AND(INDEX(잔액!$J:$J,BA367)="가족통장",INDEX(잔액!$K:$K,BA367)="미래에셋_WRAP형CMA"),COUNTIF(예비비!$A$8:$A$12,INDEX(잔액!$C:$C,BA367))=1,COUNTIF(예비비!$A$8:$A$12,INDEX(잔액!$D:$D,BA367))=1),OR(AND(BB367&gt;=예비비!$B$3,BB367&lt;EDATE(예비비!$B$3,1)),AND(BB367&lt;EDATE(예비비!$B$3,1),COUNTIFS(예비비!$C$430:$C$729,BA367,예비비!$L$430:$L$729,예비비!$B$3,예비비!$N$430:$N$729,"OK")&gt;0))),MAX($BH$120:BH366)+1,0),0)</f>
        <v>0</v>
      </c>
      <c r="BI367">
        <f>IF(예비비!$R367="OK",SUMIFS(예비비!$O$430:$O$729,예비비!$B$430:$B$729,예비비!$A367,예비비!$E$430:$E$729,"&lt;"&amp;EDATE(BI$99,1),예비비!$F$430:$F$729,"결제대금비")+MAX(0,IF(예비비!$D367&lt;EDATE(BI$99,1),예비비!$E367,0)-SUMIFS(예비비!$O$430:$O$729,예비비!$B$430:$B$729,예비비!$A367,예비비!$E$430:$E$729,"&lt;"&amp;EDATE(BI$99,1))),0)</f>
        <v>0</v>
      </c>
      <c r="BJ367">
        <f>IF(예비비!$R367="OK",SUMIFS(예비비!$O$430:$O$729,예비비!$B$430:$B$729,예비비!$A367,예비비!$E$430:$E$729,"&lt;"&amp;EDATE(BJ$99,1),예비비!$F$430:$F$729,"결제대금비")+MAX(0,IF(예비비!$D367&lt;EDATE(BJ$99,1),예비비!$E367,0)-SUMIFS(예비비!$O$430:$O$729,예비비!$B$430:$B$729,예비비!$A367,예비비!$E$430:$E$729,"&lt;"&amp;EDATE(BJ$99,1))),0)</f>
        <v>0</v>
      </c>
      <c r="BK367">
        <f>IF(예비비!$R367="OK",SUMIFS(예비비!$O$430:$O$729,예비비!$B$430:$B$729,예비비!$A367,예비비!$E$430:$E$729,"&lt;"&amp;EDATE(BK$99,1),예비비!$F$430:$F$729,"결제대금비")+MAX(0,IF(예비비!$D367&lt;EDATE(BK$99,1),예비비!$E367,0)-SUMIFS(예비비!$O$430:$O$729,예비비!$B$430:$B$729,예비비!$A367,예비비!$E$430:$E$729,"&lt;"&amp;EDATE(BK$99,1))),0)</f>
        <v>0</v>
      </c>
      <c r="BL367">
        <f>IF(예비비!$R367="OK",SUMIFS(예비비!$O$430:$O$729,예비비!$B$430:$B$729,예비비!$A367,예비비!$E$430:$E$729,"&lt;"&amp;EDATE(BL$99,1),예비비!$F$430:$F$729,"결제대금비")+MAX(0,IF(예비비!$D367&lt;EDATE(BL$99,1),예비비!$E367,0)-SUMIFS(예비비!$O$430:$O$729,예비비!$B$430:$B$729,예비비!$A367,예비비!$E$430:$E$729,"&lt;"&amp;EDATE(BL$99,1))),0)</f>
        <v>0</v>
      </c>
      <c r="BM367">
        <f>IF(예비비!$R367="OK",SUMIFS(예비비!$O$430:$O$729,예비비!$B$430:$B$729,예비비!$A367,예비비!$E$430:$E$729,"&lt;"&amp;EDATE(BM$99,1),예비비!$F$430:$F$729,"결제대금비")+MAX(0,IF(예비비!$D367&lt;EDATE(BM$99,1),예비비!$E367,0)-SUMIFS(예비비!$O$430:$O$729,예비비!$B$430:$B$729,예비비!$A367,예비비!$E$430:$E$729,"&lt;"&amp;EDATE(BM$99,1))),0)</f>
        <v>0</v>
      </c>
      <c r="BN367">
        <f>IF(예비비!$R367="OK",SUMIFS(예비비!$O$430:$O$729,예비비!$B$430:$B$729,예비비!$A367,예비비!$E$430:$E$729,"&lt;"&amp;EDATE(BN$99,1),예비비!$F$430:$F$729,"결제대금비")+MAX(0,IF(예비비!$D367&lt;EDATE(BN$99,1),예비비!$E367,0)-SUMIFS(예비비!$O$430:$O$729,예비비!$B$430:$B$729,예비비!$A367,예비비!$E$430:$E$729,"&lt;"&amp;EDATE(BN$99,1))),0)</f>
        <v>0</v>
      </c>
      <c r="BO367">
        <f>IF(예비비!$R367="OK",SUMIFS(예비비!$O$430:$O$729,예비비!$B$430:$B$729,예비비!$A367,예비비!$E$430:$E$729,"&lt;"&amp;EDATE(BO$99,1),예비비!$F$430:$F$729,"결제대금비")+MAX(0,IF(예비비!$D367&lt;EDATE(BO$99,1),예비비!$E367,0)-SUMIFS(예비비!$O$430:$O$729,예비비!$B$430:$B$729,예비비!$A367,예비비!$E$430:$E$729,"&lt;"&amp;EDATE(BO$99,1))),0)</f>
        <v>0</v>
      </c>
      <c r="BP367">
        <f>IF(예비비!$R367="OK",SUMIFS(예비비!$O$430:$O$729,예비비!$B$430:$B$729,예비비!$A367,예비비!$E$430:$E$729,"&lt;"&amp;EDATE(BP$99,1),예비비!$F$430:$F$729,"결제대금비")+MAX(0,IF(예비비!$D367&lt;EDATE(BP$99,1),예비비!$E367,0)-SUMIFS(예비비!$O$430:$O$729,예비비!$B$430:$B$729,예비비!$A367,예비비!$E$430:$E$729,"&lt;"&amp;EDATE(BP$99,1))),0)</f>
        <v>0</v>
      </c>
      <c r="BQ367">
        <f>IF(예비비!$R367="OK",SUMIFS(예비비!$O$430:$O$729,예비비!$B$430:$B$729,예비비!$A367,예비비!$E$430:$E$729,"&lt;"&amp;EDATE(BQ$99,1),예비비!$F$430:$F$729,"결제대금비")+MAX(0,IF(예비비!$D367&lt;EDATE(BQ$99,1),예비비!$E367,0)-SUMIFS(예비비!$O$430:$O$729,예비비!$B$430:$B$729,예비비!$A367,예비비!$E$430:$E$729,"&lt;"&amp;EDATE(BQ$99,1))),0)</f>
        <v>0</v>
      </c>
      <c r="BR367">
        <f>IF(예비비!$R367="OK",SUMIFS(예비비!$O$430:$O$729,예비비!$B$430:$B$729,예비비!$A367,예비비!$E$430:$E$729,"&lt;"&amp;EDATE(BR$99,1),예비비!$F$430:$F$729,"결제대금비")+MAX(0,IF(예비비!$D367&lt;EDATE(BR$99,1),예비비!$E367,0)-SUMIFS(예비비!$O$430:$O$729,예비비!$B$430:$B$729,예비비!$A367,예비비!$E$430:$E$729,"&lt;"&amp;EDATE(BR$99,1))),0)</f>
        <v>0</v>
      </c>
      <c r="BS367">
        <f>IF(예비비!$R367="OK",SUMIFS(예비비!$O$430:$O$729,예비비!$B$430:$B$729,예비비!$A367,예비비!$E$430:$E$729,"&lt;"&amp;EDATE(BS$99,1),예비비!$F$430:$F$729,"결제대금비")+MAX(0,IF(예비비!$D367&lt;EDATE(BS$99,1),예비비!$E367,0)-SUMIFS(예비비!$O$430:$O$729,예비비!$B$430:$B$729,예비비!$A367,예비비!$E$430:$E$729,"&lt;"&amp;EDATE(BS$99,1))),0)</f>
        <v>0</v>
      </c>
      <c r="BT367">
        <f>IF(예비비!$R367="OK",SUMIFS(예비비!$O$430:$O$729,예비비!$B$430:$B$729,예비비!$A367,예비비!$E$430:$E$729,"&lt;"&amp;EDATE(BT$99,1),예비비!$F$430:$F$729,"결제대금비")+MAX(0,IF(예비비!$D367&lt;EDATE(BT$99,1),예비비!$E367,0)-SUMIFS(예비비!$O$430:$O$729,예비비!$B$430:$B$729,예비비!$A367,예비비!$E$430:$E$729,"&lt;"&amp;EDATE(BT$99,1))),0)</f>
        <v>0</v>
      </c>
      <c r="BU367">
        <f>IF(예비비!$R367="OK",SUMIFS(예비비!$O$430:$O$729,예비비!$B$430:$B$729,예비비!$A367,예비비!$E$430:$E$729,"&lt;"&amp;EDATE(BU$99,1),예비비!$F$430:$F$729,"결제대금비")+MAX(0,IF(예비비!$D367&lt;EDATE(BU$99,1),예비비!$E367,0)-SUMIFS(예비비!$O$430:$O$729,예비비!$B$430:$B$729,예비비!$A367,예비비!$E$430:$E$729,"&lt;"&amp;EDATE(BU$99,1))),0)</f>
        <v>0</v>
      </c>
    </row>
    <row r="368">
      <c r="BA368">
        <v>312</v>
      </c>
      <c r="BB368" t="str">
        <f>IFERROR(INDEX(잔액!$A:$A,BA368),0)</f>
        <v>00:00:00</v>
      </c>
      <c r="BH368">
        <f>IFERROR(IF(AND(BB368&gt;0,OR(COUNTIFS(예비비!$C$430:$C$729,BA368,예비비!$N$430:$N$729,"OK")&gt;0,AND(INDEX(잔액!$J:$J,BA368)="가족통장",INDEX(잔액!$K:$K,BA368)="미래에셋_WRAP형CMA"),COUNTIF(예비비!$A$8:$A$12,INDEX(잔액!$C:$C,BA368))=1,COUNTIF(예비비!$A$8:$A$12,INDEX(잔액!$D:$D,BA368))=1),OR(AND(BB368&gt;=예비비!$B$3,BB368&lt;EDATE(예비비!$B$3,1)),AND(BB368&lt;EDATE(예비비!$B$3,1),COUNTIFS(예비비!$C$430:$C$729,BA368,예비비!$L$430:$L$729,예비비!$B$3,예비비!$N$430:$N$729,"OK")&gt;0))),MAX($BH$120:BH367)+1,0),0)</f>
        <v>0</v>
      </c>
      <c r="BI368">
        <f>IF(예비비!$R368="OK",SUMIFS(예비비!$O$430:$O$729,예비비!$B$430:$B$729,예비비!$A368,예비비!$E$430:$E$729,"&lt;"&amp;EDATE(BI$99,1),예비비!$F$430:$F$729,"결제대금비")+MAX(0,IF(예비비!$D368&lt;EDATE(BI$99,1),예비비!$E368,0)-SUMIFS(예비비!$O$430:$O$729,예비비!$B$430:$B$729,예비비!$A368,예비비!$E$430:$E$729,"&lt;"&amp;EDATE(BI$99,1))),0)</f>
        <v>0</v>
      </c>
      <c r="BJ368">
        <f>IF(예비비!$R368="OK",SUMIFS(예비비!$O$430:$O$729,예비비!$B$430:$B$729,예비비!$A368,예비비!$E$430:$E$729,"&lt;"&amp;EDATE(BJ$99,1),예비비!$F$430:$F$729,"결제대금비")+MAX(0,IF(예비비!$D368&lt;EDATE(BJ$99,1),예비비!$E368,0)-SUMIFS(예비비!$O$430:$O$729,예비비!$B$430:$B$729,예비비!$A368,예비비!$E$430:$E$729,"&lt;"&amp;EDATE(BJ$99,1))),0)</f>
        <v>0</v>
      </c>
      <c r="BK368">
        <f>IF(예비비!$R368="OK",SUMIFS(예비비!$O$430:$O$729,예비비!$B$430:$B$729,예비비!$A368,예비비!$E$430:$E$729,"&lt;"&amp;EDATE(BK$99,1),예비비!$F$430:$F$729,"결제대금비")+MAX(0,IF(예비비!$D368&lt;EDATE(BK$99,1),예비비!$E368,0)-SUMIFS(예비비!$O$430:$O$729,예비비!$B$430:$B$729,예비비!$A368,예비비!$E$430:$E$729,"&lt;"&amp;EDATE(BK$99,1))),0)</f>
        <v>0</v>
      </c>
      <c r="BL368">
        <f>IF(예비비!$R368="OK",SUMIFS(예비비!$O$430:$O$729,예비비!$B$430:$B$729,예비비!$A368,예비비!$E$430:$E$729,"&lt;"&amp;EDATE(BL$99,1),예비비!$F$430:$F$729,"결제대금비")+MAX(0,IF(예비비!$D368&lt;EDATE(BL$99,1),예비비!$E368,0)-SUMIFS(예비비!$O$430:$O$729,예비비!$B$430:$B$729,예비비!$A368,예비비!$E$430:$E$729,"&lt;"&amp;EDATE(BL$99,1))),0)</f>
        <v>0</v>
      </c>
      <c r="BM368">
        <f>IF(예비비!$R368="OK",SUMIFS(예비비!$O$430:$O$729,예비비!$B$430:$B$729,예비비!$A368,예비비!$E$430:$E$729,"&lt;"&amp;EDATE(BM$99,1),예비비!$F$430:$F$729,"결제대금비")+MAX(0,IF(예비비!$D368&lt;EDATE(BM$99,1),예비비!$E368,0)-SUMIFS(예비비!$O$430:$O$729,예비비!$B$430:$B$729,예비비!$A368,예비비!$E$430:$E$729,"&lt;"&amp;EDATE(BM$99,1))),0)</f>
        <v>0</v>
      </c>
      <c r="BN368">
        <f>IF(예비비!$R368="OK",SUMIFS(예비비!$O$430:$O$729,예비비!$B$430:$B$729,예비비!$A368,예비비!$E$430:$E$729,"&lt;"&amp;EDATE(BN$99,1),예비비!$F$430:$F$729,"결제대금비")+MAX(0,IF(예비비!$D368&lt;EDATE(BN$99,1),예비비!$E368,0)-SUMIFS(예비비!$O$430:$O$729,예비비!$B$430:$B$729,예비비!$A368,예비비!$E$430:$E$729,"&lt;"&amp;EDATE(BN$99,1))),0)</f>
        <v>0</v>
      </c>
      <c r="BO368">
        <f>IF(예비비!$R368="OK",SUMIFS(예비비!$O$430:$O$729,예비비!$B$430:$B$729,예비비!$A368,예비비!$E$430:$E$729,"&lt;"&amp;EDATE(BO$99,1),예비비!$F$430:$F$729,"결제대금비")+MAX(0,IF(예비비!$D368&lt;EDATE(BO$99,1),예비비!$E368,0)-SUMIFS(예비비!$O$430:$O$729,예비비!$B$430:$B$729,예비비!$A368,예비비!$E$430:$E$729,"&lt;"&amp;EDATE(BO$99,1))),0)</f>
        <v>0</v>
      </c>
      <c r="BP368">
        <f>IF(예비비!$R368="OK",SUMIFS(예비비!$O$430:$O$729,예비비!$B$430:$B$729,예비비!$A368,예비비!$E$430:$E$729,"&lt;"&amp;EDATE(BP$99,1),예비비!$F$430:$F$729,"결제대금비")+MAX(0,IF(예비비!$D368&lt;EDATE(BP$99,1),예비비!$E368,0)-SUMIFS(예비비!$O$430:$O$729,예비비!$B$430:$B$729,예비비!$A368,예비비!$E$430:$E$729,"&lt;"&amp;EDATE(BP$99,1))),0)</f>
        <v>0</v>
      </c>
      <c r="BQ368">
        <f>IF(예비비!$R368="OK",SUMIFS(예비비!$O$430:$O$729,예비비!$B$430:$B$729,예비비!$A368,예비비!$E$430:$E$729,"&lt;"&amp;EDATE(BQ$99,1),예비비!$F$430:$F$729,"결제대금비")+MAX(0,IF(예비비!$D368&lt;EDATE(BQ$99,1),예비비!$E368,0)-SUMIFS(예비비!$O$430:$O$729,예비비!$B$430:$B$729,예비비!$A368,예비비!$E$430:$E$729,"&lt;"&amp;EDATE(BQ$99,1))),0)</f>
        <v>0</v>
      </c>
      <c r="BR368">
        <f>IF(예비비!$R368="OK",SUMIFS(예비비!$O$430:$O$729,예비비!$B$430:$B$729,예비비!$A368,예비비!$E$430:$E$729,"&lt;"&amp;EDATE(BR$99,1),예비비!$F$430:$F$729,"결제대금비")+MAX(0,IF(예비비!$D368&lt;EDATE(BR$99,1),예비비!$E368,0)-SUMIFS(예비비!$O$430:$O$729,예비비!$B$430:$B$729,예비비!$A368,예비비!$E$430:$E$729,"&lt;"&amp;EDATE(BR$99,1))),0)</f>
        <v>0</v>
      </c>
      <c r="BS368">
        <f>IF(예비비!$R368="OK",SUMIFS(예비비!$O$430:$O$729,예비비!$B$430:$B$729,예비비!$A368,예비비!$E$430:$E$729,"&lt;"&amp;EDATE(BS$99,1),예비비!$F$430:$F$729,"결제대금비")+MAX(0,IF(예비비!$D368&lt;EDATE(BS$99,1),예비비!$E368,0)-SUMIFS(예비비!$O$430:$O$729,예비비!$B$430:$B$729,예비비!$A368,예비비!$E$430:$E$729,"&lt;"&amp;EDATE(BS$99,1))),0)</f>
        <v>0</v>
      </c>
      <c r="BT368">
        <f>IF(예비비!$R368="OK",SUMIFS(예비비!$O$430:$O$729,예비비!$B$430:$B$729,예비비!$A368,예비비!$E$430:$E$729,"&lt;"&amp;EDATE(BT$99,1),예비비!$F$430:$F$729,"결제대금비")+MAX(0,IF(예비비!$D368&lt;EDATE(BT$99,1),예비비!$E368,0)-SUMIFS(예비비!$O$430:$O$729,예비비!$B$430:$B$729,예비비!$A368,예비비!$E$430:$E$729,"&lt;"&amp;EDATE(BT$99,1))),0)</f>
        <v>0</v>
      </c>
      <c r="BU368">
        <f>IF(예비비!$R368="OK",SUMIFS(예비비!$O$430:$O$729,예비비!$B$430:$B$729,예비비!$A368,예비비!$E$430:$E$729,"&lt;"&amp;EDATE(BU$99,1),예비비!$F$430:$F$729,"결제대금비")+MAX(0,IF(예비비!$D368&lt;EDATE(BU$99,1),예비비!$E368,0)-SUMIFS(예비비!$O$430:$O$729,예비비!$B$430:$B$729,예비비!$A368,예비비!$E$430:$E$729,"&lt;"&amp;EDATE(BU$99,1))),0)</f>
        <v>0</v>
      </c>
    </row>
    <row r="369">
      <c r="BA369">
        <v>313</v>
      </c>
      <c r="BB369" t="str">
        <f>IFERROR(INDEX(잔액!$A:$A,BA369),0)</f>
        <v>00:00:00</v>
      </c>
      <c r="BH369">
        <f>IFERROR(IF(AND(BB369&gt;0,OR(COUNTIFS(예비비!$C$430:$C$729,BA369,예비비!$N$430:$N$729,"OK")&gt;0,AND(INDEX(잔액!$J:$J,BA369)="가족통장",INDEX(잔액!$K:$K,BA369)="미래에셋_WRAP형CMA"),COUNTIF(예비비!$A$8:$A$12,INDEX(잔액!$C:$C,BA369))=1,COUNTIF(예비비!$A$8:$A$12,INDEX(잔액!$D:$D,BA369))=1),OR(AND(BB369&gt;=예비비!$B$3,BB369&lt;EDATE(예비비!$B$3,1)),AND(BB369&lt;EDATE(예비비!$B$3,1),COUNTIFS(예비비!$C$430:$C$729,BA369,예비비!$L$430:$L$729,예비비!$B$3,예비비!$N$430:$N$729,"OK")&gt;0))),MAX($BH$120:BH368)+1,0),0)</f>
        <v>0</v>
      </c>
      <c r="BI369">
        <f>IF(예비비!$R369="OK",SUMIFS(예비비!$O$430:$O$729,예비비!$B$430:$B$729,예비비!$A369,예비비!$E$430:$E$729,"&lt;"&amp;EDATE(BI$99,1),예비비!$F$430:$F$729,"결제대금비")+MAX(0,IF(예비비!$D369&lt;EDATE(BI$99,1),예비비!$E369,0)-SUMIFS(예비비!$O$430:$O$729,예비비!$B$430:$B$729,예비비!$A369,예비비!$E$430:$E$729,"&lt;"&amp;EDATE(BI$99,1))),0)</f>
        <v>0</v>
      </c>
      <c r="BJ369">
        <f>IF(예비비!$R369="OK",SUMIFS(예비비!$O$430:$O$729,예비비!$B$430:$B$729,예비비!$A369,예비비!$E$430:$E$729,"&lt;"&amp;EDATE(BJ$99,1),예비비!$F$430:$F$729,"결제대금비")+MAX(0,IF(예비비!$D369&lt;EDATE(BJ$99,1),예비비!$E369,0)-SUMIFS(예비비!$O$430:$O$729,예비비!$B$430:$B$729,예비비!$A369,예비비!$E$430:$E$729,"&lt;"&amp;EDATE(BJ$99,1))),0)</f>
        <v>0</v>
      </c>
      <c r="BK369">
        <f>IF(예비비!$R369="OK",SUMIFS(예비비!$O$430:$O$729,예비비!$B$430:$B$729,예비비!$A369,예비비!$E$430:$E$729,"&lt;"&amp;EDATE(BK$99,1),예비비!$F$430:$F$729,"결제대금비")+MAX(0,IF(예비비!$D369&lt;EDATE(BK$99,1),예비비!$E369,0)-SUMIFS(예비비!$O$430:$O$729,예비비!$B$430:$B$729,예비비!$A369,예비비!$E$430:$E$729,"&lt;"&amp;EDATE(BK$99,1))),0)</f>
        <v>0</v>
      </c>
      <c r="BL369">
        <f>IF(예비비!$R369="OK",SUMIFS(예비비!$O$430:$O$729,예비비!$B$430:$B$729,예비비!$A369,예비비!$E$430:$E$729,"&lt;"&amp;EDATE(BL$99,1),예비비!$F$430:$F$729,"결제대금비")+MAX(0,IF(예비비!$D369&lt;EDATE(BL$99,1),예비비!$E369,0)-SUMIFS(예비비!$O$430:$O$729,예비비!$B$430:$B$729,예비비!$A369,예비비!$E$430:$E$729,"&lt;"&amp;EDATE(BL$99,1))),0)</f>
        <v>0</v>
      </c>
      <c r="BM369">
        <f>IF(예비비!$R369="OK",SUMIFS(예비비!$O$430:$O$729,예비비!$B$430:$B$729,예비비!$A369,예비비!$E$430:$E$729,"&lt;"&amp;EDATE(BM$99,1),예비비!$F$430:$F$729,"결제대금비")+MAX(0,IF(예비비!$D369&lt;EDATE(BM$99,1),예비비!$E369,0)-SUMIFS(예비비!$O$430:$O$729,예비비!$B$430:$B$729,예비비!$A369,예비비!$E$430:$E$729,"&lt;"&amp;EDATE(BM$99,1))),0)</f>
        <v>0</v>
      </c>
      <c r="BN369">
        <f>IF(예비비!$R369="OK",SUMIFS(예비비!$O$430:$O$729,예비비!$B$430:$B$729,예비비!$A369,예비비!$E$430:$E$729,"&lt;"&amp;EDATE(BN$99,1),예비비!$F$430:$F$729,"결제대금비")+MAX(0,IF(예비비!$D369&lt;EDATE(BN$99,1),예비비!$E369,0)-SUMIFS(예비비!$O$430:$O$729,예비비!$B$430:$B$729,예비비!$A369,예비비!$E$430:$E$729,"&lt;"&amp;EDATE(BN$99,1))),0)</f>
        <v>0</v>
      </c>
      <c r="BO369">
        <f>IF(예비비!$R369="OK",SUMIFS(예비비!$O$430:$O$729,예비비!$B$430:$B$729,예비비!$A369,예비비!$E$430:$E$729,"&lt;"&amp;EDATE(BO$99,1),예비비!$F$430:$F$729,"결제대금비")+MAX(0,IF(예비비!$D369&lt;EDATE(BO$99,1),예비비!$E369,0)-SUMIFS(예비비!$O$430:$O$729,예비비!$B$430:$B$729,예비비!$A369,예비비!$E$430:$E$729,"&lt;"&amp;EDATE(BO$99,1))),0)</f>
        <v>0</v>
      </c>
      <c r="BP369">
        <f>IF(예비비!$R369="OK",SUMIFS(예비비!$O$430:$O$729,예비비!$B$430:$B$729,예비비!$A369,예비비!$E$430:$E$729,"&lt;"&amp;EDATE(BP$99,1),예비비!$F$430:$F$729,"결제대금비")+MAX(0,IF(예비비!$D369&lt;EDATE(BP$99,1),예비비!$E369,0)-SUMIFS(예비비!$O$430:$O$729,예비비!$B$430:$B$729,예비비!$A369,예비비!$E$430:$E$729,"&lt;"&amp;EDATE(BP$99,1))),0)</f>
        <v>0</v>
      </c>
      <c r="BQ369">
        <f>IF(예비비!$R369="OK",SUMIFS(예비비!$O$430:$O$729,예비비!$B$430:$B$729,예비비!$A369,예비비!$E$430:$E$729,"&lt;"&amp;EDATE(BQ$99,1),예비비!$F$430:$F$729,"결제대금비")+MAX(0,IF(예비비!$D369&lt;EDATE(BQ$99,1),예비비!$E369,0)-SUMIFS(예비비!$O$430:$O$729,예비비!$B$430:$B$729,예비비!$A369,예비비!$E$430:$E$729,"&lt;"&amp;EDATE(BQ$99,1))),0)</f>
        <v>0</v>
      </c>
      <c r="BR369">
        <f>IF(예비비!$R369="OK",SUMIFS(예비비!$O$430:$O$729,예비비!$B$430:$B$729,예비비!$A369,예비비!$E$430:$E$729,"&lt;"&amp;EDATE(BR$99,1),예비비!$F$430:$F$729,"결제대금비")+MAX(0,IF(예비비!$D369&lt;EDATE(BR$99,1),예비비!$E369,0)-SUMIFS(예비비!$O$430:$O$729,예비비!$B$430:$B$729,예비비!$A369,예비비!$E$430:$E$729,"&lt;"&amp;EDATE(BR$99,1))),0)</f>
        <v>0</v>
      </c>
      <c r="BS369">
        <f>IF(예비비!$R369="OK",SUMIFS(예비비!$O$430:$O$729,예비비!$B$430:$B$729,예비비!$A369,예비비!$E$430:$E$729,"&lt;"&amp;EDATE(BS$99,1),예비비!$F$430:$F$729,"결제대금비")+MAX(0,IF(예비비!$D369&lt;EDATE(BS$99,1),예비비!$E369,0)-SUMIFS(예비비!$O$430:$O$729,예비비!$B$430:$B$729,예비비!$A369,예비비!$E$430:$E$729,"&lt;"&amp;EDATE(BS$99,1))),0)</f>
        <v>0</v>
      </c>
      <c r="BT369">
        <f>IF(예비비!$R369="OK",SUMIFS(예비비!$O$430:$O$729,예비비!$B$430:$B$729,예비비!$A369,예비비!$E$430:$E$729,"&lt;"&amp;EDATE(BT$99,1),예비비!$F$430:$F$729,"결제대금비")+MAX(0,IF(예비비!$D369&lt;EDATE(BT$99,1),예비비!$E369,0)-SUMIFS(예비비!$O$430:$O$729,예비비!$B$430:$B$729,예비비!$A369,예비비!$E$430:$E$729,"&lt;"&amp;EDATE(BT$99,1))),0)</f>
        <v>0</v>
      </c>
      <c r="BU369">
        <f>IF(예비비!$R369="OK",SUMIFS(예비비!$O$430:$O$729,예비비!$B$430:$B$729,예비비!$A369,예비비!$E$430:$E$729,"&lt;"&amp;EDATE(BU$99,1),예비비!$F$430:$F$729,"결제대금비")+MAX(0,IF(예비비!$D369&lt;EDATE(BU$99,1),예비비!$E369,0)-SUMIFS(예비비!$O$430:$O$729,예비비!$B$430:$B$729,예비비!$A369,예비비!$E$430:$E$729,"&lt;"&amp;EDATE(BU$99,1))),0)</f>
        <v>0</v>
      </c>
    </row>
    <row r="370">
      <c r="BA370">
        <v>314</v>
      </c>
      <c r="BB370" t="str">
        <f>IFERROR(INDEX(잔액!$A:$A,BA370),0)</f>
        <v>00:00:00</v>
      </c>
      <c r="BH370">
        <f>IFERROR(IF(AND(BB370&gt;0,OR(COUNTIFS(예비비!$C$430:$C$729,BA370,예비비!$N$430:$N$729,"OK")&gt;0,AND(INDEX(잔액!$J:$J,BA370)="가족통장",INDEX(잔액!$K:$K,BA370)="미래에셋_WRAP형CMA"),COUNTIF(예비비!$A$8:$A$12,INDEX(잔액!$C:$C,BA370))=1,COUNTIF(예비비!$A$8:$A$12,INDEX(잔액!$D:$D,BA370))=1),OR(AND(BB370&gt;=예비비!$B$3,BB370&lt;EDATE(예비비!$B$3,1)),AND(BB370&lt;EDATE(예비비!$B$3,1),COUNTIFS(예비비!$C$430:$C$729,BA370,예비비!$L$430:$L$729,예비비!$B$3,예비비!$N$430:$N$729,"OK")&gt;0))),MAX($BH$120:BH369)+1,0),0)</f>
        <v>0</v>
      </c>
      <c r="BI370">
        <f>IF(예비비!$R370="OK",SUMIFS(예비비!$O$430:$O$729,예비비!$B$430:$B$729,예비비!$A370,예비비!$E$430:$E$729,"&lt;"&amp;EDATE(BI$99,1),예비비!$F$430:$F$729,"결제대금비")+MAX(0,IF(예비비!$D370&lt;EDATE(BI$99,1),예비비!$E370,0)-SUMIFS(예비비!$O$430:$O$729,예비비!$B$430:$B$729,예비비!$A370,예비비!$E$430:$E$729,"&lt;"&amp;EDATE(BI$99,1))),0)</f>
        <v>0</v>
      </c>
      <c r="BJ370">
        <f>IF(예비비!$R370="OK",SUMIFS(예비비!$O$430:$O$729,예비비!$B$430:$B$729,예비비!$A370,예비비!$E$430:$E$729,"&lt;"&amp;EDATE(BJ$99,1),예비비!$F$430:$F$729,"결제대금비")+MAX(0,IF(예비비!$D370&lt;EDATE(BJ$99,1),예비비!$E370,0)-SUMIFS(예비비!$O$430:$O$729,예비비!$B$430:$B$729,예비비!$A370,예비비!$E$430:$E$729,"&lt;"&amp;EDATE(BJ$99,1))),0)</f>
        <v>0</v>
      </c>
      <c r="BK370">
        <f>IF(예비비!$R370="OK",SUMIFS(예비비!$O$430:$O$729,예비비!$B$430:$B$729,예비비!$A370,예비비!$E$430:$E$729,"&lt;"&amp;EDATE(BK$99,1),예비비!$F$430:$F$729,"결제대금비")+MAX(0,IF(예비비!$D370&lt;EDATE(BK$99,1),예비비!$E370,0)-SUMIFS(예비비!$O$430:$O$729,예비비!$B$430:$B$729,예비비!$A370,예비비!$E$430:$E$729,"&lt;"&amp;EDATE(BK$99,1))),0)</f>
        <v>0</v>
      </c>
      <c r="BL370">
        <f>IF(예비비!$R370="OK",SUMIFS(예비비!$O$430:$O$729,예비비!$B$430:$B$729,예비비!$A370,예비비!$E$430:$E$729,"&lt;"&amp;EDATE(BL$99,1),예비비!$F$430:$F$729,"결제대금비")+MAX(0,IF(예비비!$D370&lt;EDATE(BL$99,1),예비비!$E370,0)-SUMIFS(예비비!$O$430:$O$729,예비비!$B$430:$B$729,예비비!$A370,예비비!$E$430:$E$729,"&lt;"&amp;EDATE(BL$99,1))),0)</f>
        <v>0</v>
      </c>
      <c r="BM370">
        <f>IF(예비비!$R370="OK",SUMIFS(예비비!$O$430:$O$729,예비비!$B$430:$B$729,예비비!$A370,예비비!$E$430:$E$729,"&lt;"&amp;EDATE(BM$99,1),예비비!$F$430:$F$729,"결제대금비")+MAX(0,IF(예비비!$D370&lt;EDATE(BM$99,1),예비비!$E370,0)-SUMIFS(예비비!$O$430:$O$729,예비비!$B$430:$B$729,예비비!$A370,예비비!$E$430:$E$729,"&lt;"&amp;EDATE(BM$99,1))),0)</f>
        <v>0</v>
      </c>
      <c r="BN370">
        <f>IF(예비비!$R370="OK",SUMIFS(예비비!$O$430:$O$729,예비비!$B$430:$B$729,예비비!$A370,예비비!$E$430:$E$729,"&lt;"&amp;EDATE(BN$99,1),예비비!$F$430:$F$729,"결제대금비")+MAX(0,IF(예비비!$D370&lt;EDATE(BN$99,1),예비비!$E370,0)-SUMIFS(예비비!$O$430:$O$729,예비비!$B$430:$B$729,예비비!$A370,예비비!$E$430:$E$729,"&lt;"&amp;EDATE(BN$99,1))),0)</f>
        <v>0</v>
      </c>
      <c r="BO370">
        <f>IF(예비비!$R370="OK",SUMIFS(예비비!$O$430:$O$729,예비비!$B$430:$B$729,예비비!$A370,예비비!$E$430:$E$729,"&lt;"&amp;EDATE(BO$99,1),예비비!$F$430:$F$729,"결제대금비")+MAX(0,IF(예비비!$D370&lt;EDATE(BO$99,1),예비비!$E370,0)-SUMIFS(예비비!$O$430:$O$729,예비비!$B$430:$B$729,예비비!$A370,예비비!$E$430:$E$729,"&lt;"&amp;EDATE(BO$99,1))),0)</f>
        <v>0</v>
      </c>
      <c r="BP370">
        <f>IF(예비비!$R370="OK",SUMIFS(예비비!$O$430:$O$729,예비비!$B$430:$B$729,예비비!$A370,예비비!$E$430:$E$729,"&lt;"&amp;EDATE(BP$99,1),예비비!$F$430:$F$729,"결제대금비")+MAX(0,IF(예비비!$D370&lt;EDATE(BP$99,1),예비비!$E370,0)-SUMIFS(예비비!$O$430:$O$729,예비비!$B$430:$B$729,예비비!$A370,예비비!$E$430:$E$729,"&lt;"&amp;EDATE(BP$99,1))),0)</f>
        <v>0</v>
      </c>
      <c r="BQ370">
        <f>IF(예비비!$R370="OK",SUMIFS(예비비!$O$430:$O$729,예비비!$B$430:$B$729,예비비!$A370,예비비!$E$430:$E$729,"&lt;"&amp;EDATE(BQ$99,1),예비비!$F$430:$F$729,"결제대금비")+MAX(0,IF(예비비!$D370&lt;EDATE(BQ$99,1),예비비!$E370,0)-SUMIFS(예비비!$O$430:$O$729,예비비!$B$430:$B$729,예비비!$A370,예비비!$E$430:$E$729,"&lt;"&amp;EDATE(BQ$99,1))),0)</f>
        <v>0</v>
      </c>
      <c r="BR370">
        <f>IF(예비비!$R370="OK",SUMIFS(예비비!$O$430:$O$729,예비비!$B$430:$B$729,예비비!$A370,예비비!$E$430:$E$729,"&lt;"&amp;EDATE(BR$99,1),예비비!$F$430:$F$729,"결제대금비")+MAX(0,IF(예비비!$D370&lt;EDATE(BR$99,1),예비비!$E370,0)-SUMIFS(예비비!$O$430:$O$729,예비비!$B$430:$B$729,예비비!$A370,예비비!$E$430:$E$729,"&lt;"&amp;EDATE(BR$99,1))),0)</f>
        <v>0</v>
      </c>
      <c r="BS370">
        <f>IF(예비비!$R370="OK",SUMIFS(예비비!$O$430:$O$729,예비비!$B$430:$B$729,예비비!$A370,예비비!$E$430:$E$729,"&lt;"&amp;EDATE(BS$99,1),예비비!$F$430:$F$729,"결제대금비")+MAX(0,IF(예비비!$D370&lt;EDATE(BS$99,1),예비비!$E370,0)-SUMIFS(예비비!$O$430:$O$729,예비비!$B$430:$B$729,예비비!$A370,예비비!$E$430:$E$729,"&lt;"&amp;EDATE(BS$99,1))),0)</f>
        <v>0</v>
      </c>
      <c r="BT370">
        <f>IF(예비비!$R370="OK",SUMIFS(예비비!$O$430:$O$729,예비비!$B$430:$B$729,예비비!$A370,예비비!$E$430:$E$729,"&lt;"&amp;EDATE(BT$99,1),예비비!$F$430:$F$729,"결제대금비")+MAX(0,IF(예비비!$D370&lt;EDATE(BT$99,1),예비비!$E370,0)-SUMIFS(예비비!$O$430:$O$729,예비비!$B$430:$B$729,예비비!$A370,예비비!$E$430:$E$729,"&lt;"&amp;EDATE(BT$99,1))),0)</f>
        <v>0</v>
      </c>
      <c r="BU370">
        <f>IF(예비비!$R370="OK",SUMIFS(예비비!$O$430:$O$729,예비비!$B$430:$B$729,예비비!$A370,예비비!$E$430:$E$729,"&lt;"&amp;EDATE(BU$99,1),예비비!$F$430:$F$729,"결제대금비")+MAX(0,IF(예비비!$D370&lt;EDATE(BU$99,1),예비비!$E370,0)-SUMIFS(예비비!$O$430:$O$729,예비비!$B$430:$B$729,예비비!$A370,예비비!$E$430:$E$729,"&lt;"&amp;EDATE(BU$99,1))),0)</f>
        <v>0</v>
      </c>
    </row>
    <row r="371">
      <c r="BA371">
        <v>315</v>
      </c>
      <c r="BB371" t="str">
        <f>IFERROR(INDEX(잔액!$A:$A,BA371),0)</f>
        <v>00:00:00</v>
      </c>
      <c r="BH371">
        <f>IFERROR(IF(AND(BB371&gt;0,OR(COUNTIFS(예비비!$C$430:$C$729,BA371,예비비!$N$430:$N$729,"OK")&gt;0,AND(INDEX(잔액!$J:$J,BA371)="가족통장",INDEX(잔액!$K:$K,BA371)="미래에셋_WRAP형CMA"),COUNTIF(예비비!$A$8:$A$12,INDEX(잔액!$C:$C,BA371))=1,COUNTIF(예비비!$A$8:$A$12,INDEX(잔액!$D:$D,BA371))=1),OR(AND(BB371&gt;=예비비!$B$3,BB371&lt;EDATE(예비비!$B$3,1)),AND(BB371&lt;EDATE(예비비!$B$3,1),COUNTIFS(예비비!$C$430:$C$729,BA371,예비비!$L$430:$L$729,예비비!$B$3,예비비!$N$430:$N$729,"OK")&gt;0))),MAX($BH$120:BH370)+1,0),0)</f>
        <v>0</v>
      </c>
      <c r="BI371">
        <f>IF(예비비!$R371="OK",SUMIFS(예비비!$O$430:$O$729,예비비!$B$430:$B$729,예비비!$A371,예비비!$E$430:$E$729,"&lt;"&amp;EDATE(BI$99,1),예비비!$F$430:$F$729,"결제대금비")+MAX(0,IF(예비비!$D371&lt;EDATE(BI$99,1),예비비!$E371,0)-SUMIFS(예비비!$O$430:$O$729,예비비!$B$430:$B$729,예비비!$A371,예비비!$E$430:$E$729,"&lt;"&amp;EDATE(BI$99,1))),0)</f>
        <v>0</v>
      </c>
      <c r="BJ371">
        <f>IF(예비비!$R371="OK",SUMIFS(예비비!$O$430:$O$729,예비비!$B$430:$B$729,예비비!$A371,예비비!$E$430:$E$729,"&lt;"&amp;EDATE(BJ$99,1),예비비!$F$430:$F$729,"결제대금비")+MAX(0,IF(예비비!$D371&lt;EDATE(BJ$99,1),예비비!$E371,0)-SUMIFS(예비비!$O$430:$O$729,예비비!$B$430:$B$729,예비비!$A371,예비비!$E$430:$E$729,"&lt;"&amp;EDATE(BJ$99,1))),0)</f>
        <v>0</v>
      </c>
      <c r="BK371">
        <f>IF(예비비!$R371="OK",SUMIFS(예비비!$O$430:$O$729,예비비!$B$430:$B$729,예비비!$A371,예비비!$E$430:$E$729,"&lt;"&amp;EDATE(BK$99,1),예비비!$F$430:$F$729,"결제대금비")+MAX(0,IF(예비비!$D371&lt;EDATE(BK$99,1),예비비!$E371,0)-SUMIFS(예비비!$O$430:$O$729,예비비!$B$430:$B$729,예비비!$A371,예비비!$E$430:$E$729,"&lt;"&amp;EDATE(BK$99,1))),0)</f>
        <v>0</v>
      </c>
      <c r="BL371">
        <f>IF(예비비!$R371="OK",SUMIFS(예비비!$O$430:$O$729,예비비!$B$430:$B$729,예비비!$A371,예비비!$E$430:$E$729,"&lt;"&amp;EDATE(BL$99,1),예비비!$F$430:$F$729,"결제대금비")+MAX(0,IF(예비비!$D371&lt;EDATE(BL$99,1),예비비!$E371,0)-SUMIFS(예비비!$O$430:$O$729,예비비!$B$430:$B$729,예비비!$A371,예비비!$E$430:$E$729,"&lt;"&amp;EDATE(BL$99,1))),0)</f>
        <v>0</v>
      </c>
      <c r="BM371">
        <f>IF(예비비!$R371="OK",SUMIFS(예비비!$O$430:$O$729,예비비!$B$430:$B$729,예비비!$A371,예비비!$E$430:$E$729,"&lt;"&amp;EDATE(BM$99,1),예비비!$F$430:$F$729,"결제대금비")+MAX(0,IF(예비비!$D371&lt;EDATE(BM$99,1),예비비!$E371,0)-SUMIFS(예비비!$O$430:$O$729,예비비!$B$430:$B$729,예비비!$A371,예비비!$E$430:$E$729,"&lt;"&amp;EDATE(BM$99,1))),0)</f>
        <v>0</v>
      </c>
      <c r="BN371">
        <f>IF(예비비!$R371="OK",SUMIFS(예비비!$O$430:$O$729,예비비!$B$430:$B$729,예비비!$A371,예비비!$E$430:$E$729,"&lt;"&amp;EDATE(BN$99,1),예비비!$F$430:$F$729,"결제대금비")+MAX(0,IF(예비비!$D371&lt;EDATE(BN$99,1),예비비!$E371,0)-SUMIFS(예비비!$O$430:$O$729,예비비!$B$430:$B$729,예비비!$A371,예비비!$E$430:$E$729,"&lt;"&amp;EDATE(BN$99,1))),0)</f>
        <v>0</v>
      </c>
      <c r="BO371">
        <f>IF(예비비!$R371="OK",SUMIFS(예비비!$O$430:$O$729,예비비!$B$430:$B$729,예비비!$A371,예비비!$E$430:$E$729,"&lt;"&amp;EDATE(BO$99,1),예비비!$F$430:$F$729,"결제대금비")+MAX(0,IF(예비비!$D371&lt;EDATE(BO$99,1),예비비!$E371,0)-SUMIFS(예비비!$O$430:$O$729,예비비!$B$430:$B$729,예비비!$A371,예비비!$E$430:$E$729,"&lt;"&amp;EDATE(BO$99,1))),0)</f>
        <v>0</v>
      </c>
      <c r="BP371">
        <f>IF(예비비!$R371="OK",SUMIFS(예비비!$O$430:$O$729,예비비!$B$430:$B$729,예비비!$A371,예비비!$E$430:$E$729,"&lt;"&amp;EDATE(BP$99,1),예비비!$F$430:$F$729,"결제대금비")+MAX(0,IF(예비비!$D371&lt;EDATE(BP$99,1),예비비!$E371,0)-SUMIFS(예비비!$O$430:$O$729,예비비!$B$430:$B$729,예비비!$A371,예비비!$E$430:$E$729,"&lt;"&amp;EDATE(BP$99,1))),0)</f>
        <v>0</v>
      </c>
      <c r="BQ371">
        <f>IF(예비비!$R371="OK",SUMIFS(예비비!$O$430:$O$729,예비비!$B$430:$B$729,예비비!$A371,예비비!$E$430:$E$729,"&lt;"&amp;EDATE(BQ$99,1),예비비!$F$430:$F$729,"결제대금비")+MAX(0,IF(예비비!$D371&lt;EDATE(BQ$99,1),예비비!$E371,0)-SUMIFS(예비비!$O$430:$O$729,예비비!$B$430:$B$729,예비비!$A371,예비비!$E$430:$E$729,"&lt;"&amp;EDATE(BQ$99,1))),0)</f>
        <v>0</v>
      </c>
      <c r="BR371">
        <f>IF(예비비!$R371="OK",SUMIFS(예비비!$O$430:$O$729,예비비!$B$430:$B$729,예비비!$A371,예비비!$E$430:$E$729,"&lt;"&amp;EDATE(BR$99,1),예비비!$F$430:$F$729,"결제대금비")+MAX(0,IF(예비비!$D371&lt;EDATE(BR$99,1),예비비!$E371,0)-SUMIFS(예비비!$O$430:$O$729,예비비!$B$430:$B$729,예비비!$A371,예비비!$E$430:$E$729,"&lt;"&amp;EDATE(BR$99,1))),0)</f>
        <v>0</v>
      </c>
      <c r="BS371">
        <f>IF(예비비!$R371="OK",SUMIFS(예비비!$O$430:$O$729,예비비!$B$430:$B$729,예비비!$A371,예비비!$E$430:$E$729,"&lt;"&amp;EDATE(BS$99,1),예비비!$F$430:$F$729,"결제대금비")+MAX(0,IF(예비비!$D371&lt;EDATE(BS$99,1),예비비!$E371,0)-SUMIFS(예비비!$O$430:$O$729,예비비!$B$430:$B$729,예비비!$A371,예비비!$E$430:$E$729,"&lt;"&amp;EDATE(BS$99,1))),0)</f>
        <v>0</v>
      </c>
      <c r="BT371">
        <f>IF(예비비!$R371="OK",SUMIFS(예비비!$O$430:$O$729,예비비!$B$430:$B$729,예비비!$A371,예비비!$E$430:$E$729,"&lt;"&amp;EDATE(BT$99,1),예비비!$F$430:$F$729,"결제대금비")+MAX(0,IF(예비비!$D371&lt;EDATE(BT$99,1),예비비!$E371,0)-SUMIFS(예비비!$O$430:$O$729,예비비!$B$430:$B$729,예비비!$A371,예비비!$E$430:$E$729,"&lt;"&amp;EDATE(BT$99,1))),0)</f>
        <v>0</v>
      </c>
      <c r="BU371">
        <f>IF(예비비!$R371="OK",SUMIFS(예비비!$O$430:$O$729,예비비!$B$430:$B$729,예비비!$A371,예비비!$E$430:$E$729,"&lt;"&amp;EDATE(BU$99,1),예비비!$F$430:$F$729,"결제대금비")+MAX(0,IF(예비비!$D371&lt;EDATE(BU$99,1),예비비!$E371,0)-SUMIFS(예비비!$O$430:$O$729,예비비!$B$430:$B$729,예비비!$A371,예비비!$E$430:$E$729,"&lt;"&amp;EDATE(BU$99,1))),0)</f>
        <v>0</v>
      </c>
    </row>
    <row r="372">
      <c r="BA372">
        <v>316</v>
      </c>
      <c r="BB372" t="str">
        <f>IFERROR(INDEX(잔액!$A:$A,BA372),0)</f>
        <v>00:00:00</v>
      </c>
      <c r="BH372">
        <f>IFERROR(IF(AND(BB372&gt;0,OR(COUNTIFS(예비비!$C$430:$C$729,BA372,예비비!$N$430:$N$729,"OK")&gt;0,AND(INDEX(잔액!$J:$J,BA372)="가족통장",INDEX(잔액!$K:$K,BA372)="미래에셋_WRAP형CMA"),COUNTIF(예비비!$A$8:$A$12,INDEX(잔액!$C:$C,BA372))=1,COUNTIF(예비비!$A$8:$A$12,INDEX(잔액!$D:$D,BA372))=1),OR(AND(BB372&gt;=예비비!$B$3,BB372&lt;EDATE(예비비!$B$3,1)),AND(BB372&lt;EDATE(예비비!$B$3,1),COUNTIFS(예비비!$C$430:$C$729,BA372,예비비!$L$430:$L$729,예비비!$B$3,예비비!$N$430:$N$729,"OK")&gt;0))),MAX($BH$120:BH371)+1,0),0)</f>
        <v>0</v>
      </c>
      <c r="BI372">
        <f>IF(예비비!$R372="OK",SUMIFS(예비비!$O$430:$O$729,예비비!$B$430:$B$729,예비비!$A372,예비비!$E$430:$E$729,"&lt;"&amp;EDATE(BI$99,1),예비비!$F$430:$F$729,"결제대금비")+MAX(0,IF(예비비!$D372&lt;EDATE(BI$99,1),예비비!$E372,0)-SUMIFS(예비비!$O$430:$O$729,예비비!$B$430:$B$729,예비비!$A372,예비비!$E$430:$E$729,"&lt;"&amp;EDATE(BI$99,1))),0)</f>
        <v>0</v>
      </c>
      <c r="BJ372">
        <f>IF(예비비!$R372="OK",SUMIFS(예비비!$O$430:$O$729,예비비!$B$430:$B$729,예비비!$A372,예비비!$E$430:$E$729,"&lt;"&amp;EDATE(BJ$99,1),예비비!$F$430:$F$729,"결제대금비")+MAX(0,IF(예비비!$D372&lt;EDATE(BJ$99,1),예비비!$E372,0)-SUMIFS(예비비!$O$430:$O$729,예비비!$B$430:$B$729,예비비!$A372,예비비!$E$430:$E$729,"&lt;"&amp;EDATE(BJ$99,1))),0)</f>
        <v>0</v>
      </c>
      <c r="BK372">
        <f>IF(예비비!$R372="OK",SUMIFS(예비비!$O$430:$O$729,예비비!$B$430:$B$729,예비비!$A372,예비비!$E$430:$E$729,"&lt;"&amp;EDATE(BK$99,1),예비비!$F$430:$F$729,"결제대금비")+MAX(0,IF(예비비!$D372&lt;EDATE(BK$99,1),예비비!$E372,0)-SUMIFS(예비비!$O$430:$O$729,예비비!$B$430:$B$729,예비비!$A372,예비비!$E$430:$E$729,"&lt;"&amp;EDATE(BK$99,1))),0)</f>
        <v>0</v>
      </c>
      <c r="BL372">
        <f>IF(예비비!$R372="OK",SUMIFS(예비비!$O$430:$O$729,예비비!$B$430:$B$729,예비비!$A372,예비비!$E$430:$E$729,"&lt;"&amp;EDATE(BL$99,1),예비비!$F$430:$F$729,"결제대금비")+MAX(0,IF(예비비!$D372&lt;EDATE(BL$99,1),예비비!$E372,0)-SUMIFS(예비비!$O$430:$O$729,예비비!$B$430:$B$729,예비비!$A372,예비비!$E$430:$E$729,"&lt;"&amp;EDATE(BL$99,1))),0)</f>
        <v>0</v>
      </c>
      <c r="BM372">
        <f>IF(예비비!$R372="OK",SUMIFS(예비비!$O$430:$O$729,예비비!$B$430:$B$729,예비비!$A372,예비비!$E$430:$E$729,"&lt;"&amp;EDATE(BM$99,1),예비비!$F$430:$F$729,"결제대금비")+MAX(0,IF(예비비!$D372&lt;EDATE(BM$99,1),예비비!$E372,0)-SUMIFS(예비비!$O$430:$O$729,예비비!$B$430:$B$729,예비비!$A372,예비비!$E$430:$E$729,"&lt;"&amp;EDATE(BM$99,1))),0)</f>
        <v>0</v>
      </c>
      <c r="BN372">
        <f>IF(예비비!$R372="OK",SUMIFS(예비비!$O$430:$O$729,예비비!$B$430:$B$729,예비비!$A372,예비비!$E$430:$E$729,"&lt;"&amp;EDATE(BN$99,1),예비비!$F$430:$F$729,"결제대금비")+MAX(0,IF(예비비!$D372&lt;EDATE(BN$99,1),예비비!$E372,0)-SUMIFS(예비비!$O$430:$O$729,예비비!$B$430:$B$729,예비비!$A372,예비비!$E$430:$E$729,"&lt;"&amp;EDATE(BN$99,1))),0)</f>
        <v>0</v>
      </c>
      <c r="BO372">
        <f>IF(예비비!$R372="OK",SUMIFS(예비비!$O$430:$O$729,예비비!$B$430:$B$729,예비비!$A372,예비비!$E$430:$E$729,"&lt;"&amp;EDATE(BO$99,1),예비비!$F$430:$F$729,"결제대금비")+MAX(0,IF(예비비!$D372&lt;EDATE(BO$99,1),예비비!$E372,0)-SUMIFS(예비비!$O$430:$O$729,예비비!$B$430:$B$729,예비비!$A372,예비비!$E$430:$E$729,"&lt;"&amp;EDATE(BO$99,1))),0)</f>
        <v>0</v>
      </c>
      <c r="BP372">
        <f>IF(예비비!$R372="OK",SUMIFS(예비비!$O$430:$O$729,예비비!$B$430:$B$729,예비비!$A372,예비비!$E$430:$E$729,"&lt;"&amp;EDATE(BP$99,1),예비비!$F$430:$F$729,"결제대금비")+MAX(0,IF(예비비!$D372&lt;EDATE(BP$99,1),예비비!$E372,0)-SUMIFS(예비비!$O$430:$O$729,예비비!$B$430:$B$729,예비비!$A372,예비비!$E$430:$E$729,"&lt;"&amp;EDATE(BP$99,1))),0)</f>
        <v>0</v>
      </c>
      <c r="BQ372">
        <f>IF(예비비!$R372="OK",SUMIFS(예비비!$O$430:$O$729,예비비!$B$430:$B$729,예비비!$A372,예비비!$E$430:$E$729,"&lt;"&amp;EDATE(BQ$99,1),예비비!$F$430:$F$729,"결제대금비")+MAX(0,IF(예비비!$D372&lt;EDATE(BQ$99,1),예비비!$E372,0)-SUMIFS(예비비!$O$430:$O$729,예비비!$B$430:$B$729,예비비!$A372,예비비!$E$430:$E$729,"&lt;"&amp;EDATE(BQ$99,1))),0)</f>
        <v>0</v>
      </c>
      <c r="BR372">
        <f>IF(예비비!$R372="OK",SUMIFS(예비비!$O$430:$O$729,예비비!$B$430:$B$729,예비비!$A372,예비비!$E$430:$E$729,"&lt;"&amp;EDATE(BR$99,1),예비비!$F$430:$F$729,"결제대금비")+MAX(0,IF(예비비!$D372&lt;EDATE(BR$99,1),예비비!$E372,0)-SUMIFS(예비비!$O$430:$O$729,예비비!$B$430:$B$729,예비비!$A372,예비비!$E$430:$E$729,"&lt;"&amp;EDATE(BR$99,1))),0)</f>
        <v>0</v>
      </c>
      <c r="BS372">
        <f>IF(예비비!$R372="OK",SUMIFS(예비비!$O$430:$O$729,예비비!$B$430:$B$729,예비비!$A372,예비비!$E$430:$E$729,"&lt;"&amp;EDATE(BS$99,1),예비비!$F$430:$F$729,"결제대금비")+MAX(0,IF(예비비!$D372&lt;EDATE(BS$99,1),예비비!$E372,0)-SUMIFS(예비비!$O$430:$O$729,예비비!$B$430:$B$729,예비비!$A372,예비비!$E$430:$E$729,"&lt;"&amp;EDATE(BS$99,1))),0)</f>
        <v>0</v>
      </c>
      <c r="BT372">
        <f>IF(예비비!$R372="OK",SUMIFS(예비비!$O$430:$O$729,예비비!$B$430:$B$729,예비비!$A372,예비비!$E$430:$E$729,"&lt;"&amp;EDATE(BT$99,1),예비비!$F$430:$F$729,"결제대금비")+MAX(0,IF(예비비!$D372&lt;EDATE(BT$99,1),예비비!$E372,0)-SUMIFS(예비비!$O$430:$O$729,예비비!$B$430:$B$729,예비비!$A372,예비비!$E$430:$E$729,"&lt;"&amp;EDATE(BT$99,1))),0)</f>
        <v>0</v>
      </c>
      <c r="BU372">
        <f>IF(예비비!$R372="OK",SUMIFS(예비비!$O$430:$O$729,예비비!$B$430:$B$729,예비비!$A372,예비비!$E$430:$E$729,"&lt;"&amp;EDATE(BU$99,1),예비비!$F$430:$F$729,"결제대금비")+MAX(0,IF(예비비!$D372&lt;EDATE(BU$99,1),예비비!$E372,0)-SUMIFS(예비비!$O$430:$O$729,예비비!$B$430:$B$729,예비비!$A372,예비비!$E$430:$E$729,"&lt;"&amp;EDATE(BU$99,1))),0)</f>
        <v>0</v>
      </c>
    </row>
    <row r="373">
      <c r="BA373">
        <v>317</v>
      </c>
      <c r="BB373" t="str">
        <f>IFERROR(INDEX(잔액!$A:$A,BA373),0)</f>
        <v>00:00:00</v>
      </c>
      <c r="BH373">
        <f>IFERROR(IF(AND(BB373&gt;0,OR(COUNTIFS(예비비!$C$430:$C$729,BA373,예비비!$N$430:$N$729,"OK")&gt;0,AND(INDEX(잔액!$J:$J,BA373)="가족통장",INDEX(잔액!$K:$K,BA373)="미래에셋_WRAP형CMA"),COUNTIF(예비비!$A$8:$A$12,INDEX(잔액!$C:$C,BA373))=1,COUNTIF(예비비!$A$8:$A$12,INDEX(잔액!$D:$D,BA373))=1),OR(AND(BB373&gt;=예비비!$B$3,BB373&lt;EDATE(예비비!$B$3,1)),AND(BB373&lt;EDATE(예비비!$B$3,1),COUNTIFS(예비비!$C$430:$C$729,BA373,예비비!$L$430:$L$729,예비비!$B$3,예비비!$N$430:$N$729,"OK")&gt;0))),MAX($BH$120:BH372)+1,0),0)</f>
        <v>0</v>
      </c>
      <c r="BI373">
        <f>IF(예비비!$R373="OK",SUMIFS(예비비!$O$430:$O$729,예비비!$B$430:$B$729,예비비!$A373,예비비!$E$430:$E$729,"&lt;"&amp;EDATE(BI$99,1),예비비!$F$430:$F$729,"결제대금비")+MAX(0,IF(예비비!$D373&lt;EDATE(BI$99,1),예비비!$E373,0)-SUMIFS(예비비!$O$430:$O$729,예비비!$B$430:$B$729,예비비!$A373,예비비!$E$430:$E$729,"&lt;"&amp;EDATE(BI$99,1))),0)</f>
        <v>0</v>
      </c>
      <c r="BJ373">
        <f>IF(예비비!$R373="OK",SUMIFS(예비비!$O$430:$O$729,예비비!$B$430:$B$729,예비비!$A373,예비비!$E$430:$E$729,"&lt;"&amp;EDATE(BJ$99,1),예비비!$F$430:$F$729,"결제대금비")+MAX(0,IF(예비비!$D373&lt;EDATE(BJ$99,1),예비비!$E373,0)-SUMIFS(예비비!$O$430:$O$729,예비비!$B$430:$B$729,예비비!$A373,예비비!$E$430:$E$729,"&lt;"&amp;EDATE(BJ$99,1))),0)</f>
        <v>0</v>
      </c>
      <c r="BK373">
        <f>IF(예비비!$R373="OK",SUMIFS(예비비!$O$430:$O$729,예비비!$B$430:$B$729,예비비!$A373,예비비!$E$430:$E$729,"&lt;"&amp;EDATE(BK$99,1),예비비!$F$430:$F$729,"결제대금비")+MAX(0,IF(예비비!$D373&lt;EDATE(BK$99,1),예비비!$E373,0)-SUMIFS(예비비!$O$430:$O$729,예비비!$B$430:$B$729,예비비!$A373,예비비!$E$430:$E$729,"&lt;"&amp;EDATE(BK$99,1))),0)</f>
        <v>0</v>
      </c>
      <c r="BL373">
        <f>IF(예비비!$R373="OK",SUMIFS(예비비!$O$430:$O$729,예비비!$B$430:$B$729,예비비!$A373,예비비!$E$430:$E$729,"&lt;"&amp;EDATE(BL$99,1),예비비!$F$430:$F$729,"결제대금비")+MAX(0,IF(예비비!$D373&lt;EDATE(BL$99,1),예비비!$E373,0)-SUMIFS(예비비!$O$430:$O$729,예비비!$B$430:$B$729,예비비!$A373,예비비!$E$430:$E$729,"&lt;"&amp;EDATE(BL$99,1))),0)</f>
        <v>0</v>
      </c>
      <c r="BM373">
        <f>IF(예비비!$R373="OK",SUMIFS(예비비!$O$430:$O$729,예비비!$B$430:$B$729,예비비!$A373,예비비!$E$430:$E$729,"&lt;"&amp;EDATE(BM$99,1),예비비!$F$430:$F$729,"결제대금비")+MAX(0,IF(예비비!$D373&lt;EDATE(BM$99,1),예비비!$E373,0)-SUMIFS(예비비!$O$430:$O$729,예비비!$B$430:$B$729,예비비!$A373,예비비!$E$430:$E$729,"&lt;"&amp;EDATE(BM$99,1))),0)</f>
        <v>0</v>
      </c>
      <c r="BN373">
        <f>IF(예비비!$R373="OK",SUMIFS(예비비!$O$430:$O$729,예비비!$B$430:$B$729,예비비!$A373,예비비!$E$430:$E$729,"&lt;"&amp;EDATE(BN$99,1),예비비!$F$430:$F$729,"결제대금비")+MAX(0,IF(예비비!$D373&lt;EDATE(BN$99,1),예비비!$E373,0)-SUMIFS(예비비!$O$430:$O$729,예비비!$B$430:$B$729,예비비!$A373,예비비!$E$430:$E$729,"&lt;"&amp;EDATE(BN$99,1))),0)</f>
        <v>0</v>
      </c>
      <c r="BO373">
        <f>IF(예비비!$R373="OK",SUMIFS(예비비!$O$430:$O$729,예비비!$B$430:$B$729,예비비!$A373,예비비!$E$430:$E$729,"&lt;"&amp;EDATE(BO$99,1),예비비!$F$430:$F$729,"결제대금비")+MAX(0,IF(예비비!$D373&lt;EDATE(BO$99,1),예비비!$E373,0)-SUMIFS(예비비!$O$430:$O$729,예비비!$B$430:$B$729,예비비!$A373,예비비!$E$430:$E$729,"&lt;"&amp;EDATE(BO$99,1))),0)</f>
        <v>0</v>
      </c>
      <c r="BP373">
        <f>IF(예비비!$R373="OK",SUMIFS(예비비!$O$430:$O$729,예비비!$B$430:$B$729,예비비!$A373,예비비!$E$430:$E$729,"&lt;"&amp;EDATE(BP$99,1),예비비!$F$430:$F$729,"결제대금비")+MAX(0,IF(예비비!$D373&lt;EDATE(BP$99,1),예비비!$E373,0)-SUMIFS(예비비!$O$430:$O$729,예비비!$B$430:$B$729,예비비!$A373,예비비!$E$430:$E$729,"&lt;"&amp;EDATE(BP$99,1))),0)</f>
        <v>0</v>
      </c>
      <c r="BQ373">
        <f>IF(예비비!$R373="OK",SUMIFS(예비비!$O$430:$O$729,예비비!$B$430:$B$729,예비비!$A373,예비비!$E$430:$E$729,"&lt;"&amp;EDATE(BQ$99,1),예비비!$F$430:$F$729,"결제대금비")+MAX(0,IF(예비비!$D373&lt;EDATE(BQ$99,1),예비비!$E373,0)-SUMIFS(예비비!$O$430:$O$729,예비비!$B$430:$B$729,예비비!$A373,예비비!$E$430:$E$729,"&lt;"&amp;EDATE(BQ$99,1))),0)</f>
        <v>0</v>
      </c>
      <c r="BR373">
        <f>IF(예비비!$R373="OK",SUMIFS(예비비!$O$430:$O$729,예비비!$B$430:$B$729,예비비!$A373,예비비!$E$430:$E$729,"&lt;"&amp;EDATE(BR$99,1),예비비!$F$430:$F$729,"결제대금비")+MAX(0,IF(예비비!$D373&lt;EDATE(BR$99,1),예비비!$E373,0)-SUMIFS(예비비!$O$430:$O$729,예비비!$B$430:$B$729,예비비!$A373,예비비!$E$430:$E$729,"&lt;"&amp;EDATE(BR$99,1))),0)</f>
        <v>0</v>
      </c>
      <c r="BS373">
        <f>IF(예비비!$R373="OK",SUMIFS(예비비!$O$430:$O$729,예비비!$B$430:$B$729,예비비!$A373,예비비!$E$430:$E$729,"&lt;"&amp;EDATE(BS$99,1),예비비!$F$430:$F$729,"결제대금비")+MAX(0,IF(예비비!$D373&lt;EDATE(BS$99,1),예비비!$E373,0)-SUMIFS(예비비!$O$430:$O$729,예비비!$B$430:$B$729,예비비!$A373,예비비!$E$430:$E$729,"&lt;"&amp;EDATE(BS$99,1))),0)</f>
        <v>0</v>
      </c>
      <c r="BT373">
        <f>IF(예비비!$R373="OK",SUMIFS(예비비!$O$430:$O$729,예비비!$B$430:$B$729,예비비!$A373,예비비!$E$430:$E$729,"&lt;"&amp;EDATE(BT$99,1),예비비!$F$430:$F$729,"결제대금비")+MAX(0,IF(예비비!$D373&lt;EDATE(BT$99,1),예비비!$E373,0)-SUMIFS(예비비!$O$430:$O$729,예비비!$B$430:$B$729,예비비!$A373,예비비!$E$430:$E$729,"&lt;"&amp;EDATE(BT$99,1))),0)</f>
        <v>0</v>
      </c>
      <c r="BU373">
        <f>IF(예비비!$R373="OK",SUMIFS(예비비!$O$430:$O$729,예비비!$B$430:$B$729,예비비!$A373,예비비!$E$430:$E$729,"&lt;"&amp;EDATE(BU$99,1),예비비!$F$430:$F$729,"결제대금비")+MAX(0,IF(예비비!$D373&lt;EDATE(BU$99,1),예비비!$E373,0)-SUMIFS(예비비!$O$430:$O$729,예비비!$B$430:$B$729,예비비!$A373,예비비!$E$430:$E$729,"&lt;"&amp;EDATE(BU$99,1))),0)</f>
        <v>0</v>
      </c>
    </row>
    <row r="374">
      <c r="BA374">
        <v>318</v>
      </c>
      <c r="BB374" t="str">
        <f>IFERROR(INDEX(잔액!$A:$A,BA374),0)</f>
        <v>00:00:00</v>
      </c>
      <c r="BH374">
        <f>IFERROR(IF(AND(BB374&gt;0,OR(COUNTIFS(예비비!$C$430:$C$729,BA374,예비비!$N$430:$N$729,"OK")&gt;0,AND(INDEX(잔액!$J:$J,BA374)="가족통장",INDEX(잔액!$K:$K,BA374)="미래에셋_WRAP형CMA"),COUNTIF(예비비!$A$8:$A$12,INDEX(잔액!$C:$C,BA374))=1,COUNTIF(예비비!$A$8:$A$12,INDEX(잔액!$D:$D,BA374))=1),OR(AND(BB374&gt;=예비비!$B$3,BB374&lt;EDATE(예비비!$B$3,1)),AND(BB374&lt;EDATE(예비비!$B$3,1),COUNTIFS(예비비!$C$430:$C$729,BA374,예비비!$L$430:$L$729,예비비!$B$3,예비비!$N$430:$N$729,"OK")&gt;0))),MAX($BH$120:BH373)+1,0),0)</f>
        <v>0</v>
      </c>
      <c r="BI374">
        <f>IF(예비비!$R374="OK",SUMIFS(예비비!$O$430:$O$729,예비비!$B$430:$B$729,예비비!$A374,예비비!$E$430:$E$729,"&lt;"&amp;EDATE(BI$99,1),예비비!$F$430:$F$729,"결제대금비")+MAX(0,IF(예비비!$D374&lt;EDATE(BI$99,1),예비비!$E374,0)-SUMIFS(예비비!$O$430:$O$729,예비비!$B$430:$B$729,예비비!$A374,예비비!$E$430:$E$729,"&lt;"&amp;EDATE(BI$99,1))),0)</f>
        <v>0</v>
      </c>
      <c r="BJ374">
        <f>IF(예비비!$R374="OK",SUMIFS(예비비!$O$430:$O$729,예비비!$B$430:$B$729,예비비!$A374,예비비!$E$430:$E$729,"&lt;"&amp;EDATE(BJ$99,1),예비비!$F$430:$F$729,"결제대금비")+MAX(0,IF(예비비!$D374&lt;EDATE(BJ$99,1),예비비!$E374,0)-SUMIFS(예비비!$O$430:$O$729,예비비!$B$430:$B$729,예비비!$A374,예비비!$E$430:$E$729,"&lt;"&amp;EDATE(BJ$99,1))),0)</f>
        <v>0</v>
      </c>
      <c r="BK374">
        <f>IF(예비비!$R374="OK",SUMIFS(예비비!$O$430:$O$729,예비비!$B$430:$B$729,예비비!$A374,예비비!$E$430:$E$729,"&lt;"&amp;EDATE(BK$99,1),예비비!$F$430:$F$729,"결제대금비")+MAX(0,IF(예비비!$D374&lt;EDATE(BK$99,1),예비비!$E374,0)-SUMIFS(예비비!$O$430:$O$729,예비비!$B$430:$B$729,예비비!$A374,예비비!$E$430:$E$729,"&lt;"&amp;EDATE(BK$99,1))),0)</f>
        <v>0</v>
      </c>
      <c r="BL374">
        <f>IF(예비비!$R374="OK",SUMIFS(예비비!$O$430:$O$729,예비비!$B$430:$B$729,예비비!$A374,예비비!$E$430:$E$729,"&lt;"&amp;EDATE(BL$99,1),예비비!$F$430:$F$729,"결제대금비")+MAX(0,IF(예비비!$D374&lt;EDATE(BL$99,1),예비비!$E374,0)-SUMIFS(예비비!$O$430:$O$729,예비비!$B$430:$B$729,예비비!$A374,예비비!$E$430:$E$729,"&lt;"&amp;EDATE(BL$99,1))),0)</f>
        <v>0</v>
      </c>
      <c r="BM374">
        <f>IF(예비비!$R374="OK",SUMIFS(예비비!$O$430:$O$729,예비비!$B$430:$B$729,예비비!$A374,예비비!$E$430:$E$729,"&lt;"&amp;EDATE(BM$99,1),예비비!$F$430:$F$729,"결제대금비")+MAX(0,IF(예비비!$D374&lt;EDATE(BM$99,1),예비비!$E374,0)-SUMIFS(예비비!$O$430:$O$729,예비비!$B$430:$B$729,예비비!$A374,예비비!$E$430:$E$729,"&lt;"&amp;EDATE(BM$99,1))),0)</f>
        <v>0</v>
      </c>
      <c r="BN374">
        <f>IF(예비비!$R374="OK",SUMIFS(예비비!$O$430:$O$729,예비비!$B$430:$B$729,예비비!$A374,예비비!$E$430:$E$729,"&lt;"&amp;EDATE(BN$99,1),예비비!$F$430:$F$729,"결제대금비")+MAX(0,IF(예비비!$D374&lt;EDATE(BN$99,1),예비비!$E374,0)-SUMIFS(예비비!$O$430:$O$729,예비비!$B$430:$B$729,예비비!$A374,예비비!$E$430:$E$729,"&lt;"&amp;EDATE(BN$99,1))),0)</f>
        <v>0</v>
      </c>
      <c r="BO374">
        <f>IF(예비비!$R374="OK",SUMIFS(예비비!$O$430:$O$729,예비비!$B$430:$B$729,예비비!$A374,예비비!$E$430:$E$729,"&lt;"&amp;EDATE(BO$99,1),예비비!$F$430:$F$729,"결제대금비")+MAX(0,IF(예비비!$D374&lt;EDATE(BO$99,1),예비비!$E374,0)-SUMIFS(예비비!$O$430:$O$729,예비비!$B$430:$B$729,예비비!$A374,예비비!$E$430:$E$729,"&lt;"&amp;EDATE(BO$99,1))),0)</f>
        <v>0</v>
      </c>
      <c r="BP374">
        <f>IF(예비비!$R374="OK",SUMIFS(예비비!$O$430:$O$729,예비비!$B$430:$B$729,예비비!$A374,예비비!$E$430:$E$729,"&lt;"&amp;EDATE(BP$99,1),예비비!$F$430:$F$729,"결제대금비")+MAX(0,IF(예비비!$D374&lt;EDATE(BP$99,1),예비비!$E374,0)-SUMIFS(예비비!$O$430:$O$729,예비비!$B$430:$B$729,예비비!$A374,예비비!$E$430:$E$729,"&lt;"&amp;EDATE(BP$99,1))),0)</f>
        <v>0</v>
      </c>
      <c r="BQ374">
        <f>IF(예비비!$R374="OK",SUMIFS(예비비!$O$430:$O$729,예비비!$B$430:$B$729,예비비!$A374,예비비!$E$430:$E$729,"&lt;"&amp;EDATE(BQ$99,1),예비비!$F$430:$F$729,"결제대금비")+MAX(0,IF(예비비!$D374&lt;EDATE(BQ$99,1),예비비!$E374,0)-SUMIFS(예비비!$O$430:$O$729,예비비!$B$430:$B$729,예비비!$A374,예비비!$E$430:$E$729,"&lt;"&amp;EDATE(BQ$99,1))),0)</f>
        <v>0</v>
      </c>
      <c r="BR374">
        <f>IF(예비비!$R374="OK",SUMIFS(예비비!$O$430:$O$729,예비비!$B$430:$B$729,예비비!$A374,예비비!$E$430:$E$729,"&lt;"&amp;EDATE(BR$99,1),예비비!$F$430:$F$729,"결제대금비")+MAX(0,IF(예비비!$D374&lt;EDATE(BR$99,1),예비비!$E374,0)-SUMIFS(예비비!$O$430:$O$729,예비비!$B$430:$B$729,예비비!$A374,예비비!$E$430:$E$729,"&lt;"&amp;EDATE(BR$99,1))),0)</f>
        <v>0</v>
      </c>
      <c r="BS374">
        <f>IF(예비비!$R374="OK",SUMIFS(예비비!$O$430:$O$729,예비비!$B$430:$B$729,예비비!$A374,예비비!$E$430:$E$729,"&lt;"&amp;EDATE(BS$99,1),예비비!$F$430:$F$729,"결제대금비")+MAX(0,IF(예비비!$D374&lt;EDATE(BS$99,1),예비비!$E374,0)-SUMIFS(예비비!$O$430:$O$729,예비비!$B$430:$B$729,예비비!$A374,예비비!$E$430:$E$729,"&lt;"&amp;EDATE(BS$99,1))),0)</f>
        <v>0</v>
      </c>
      <c r="BT374">
        <f>IF(예비비!$R374="OK",SUMIFS(예비비!$O$430:$O$729,예비비!$B$430:$B$729,예비비!$A374,예비비!$E$430:$E$729,"&lt;"&amp;EDATE(BT$99,1),예비비!$F$430:$F$729,"결제대금비")+MAX(0,IF(예비비!$D374&lt;EDATE(BT$99,1),예비비!$E374,0)-SUMIFS(예비비!$O$430:$O$729,예비비!$B$430:$B$729,예비비!$A374,예비비!$E$430:$E$729,"&lt;"&amp;EDATE(BT$99,1))),0)</f>
        <v>0</v>
      </c>
      <c r="BU374">
        <f>IF(예비비!$R374="OK",SUMIFS(예비비!$O$430:$O$729,예비비!$B$430:$B$729,예비비!$A374,예비비!$E$430:$E$729,"&lt;"&amp;EDATE(BU$99,1),예비비!$F$430:$F$729,"결제대금비")+MAX(0,IF(예비비!$D374&lt;EDATE(BU$99,1),예비비!$E374,0)-SUMIFS(예비비!$O$430:$O$729,예비비!$B$430:$B$729,예비비!$A374,예비비!$E$430:$E$729,"&lt;"&amp;EDATE(BU$99,1))),0)</f>
        <v>0</v>
      </c>
    </row>
    <row r="375">
      <c r="BA375">
        <v>319</v>
      </c>
      <c r="BB375" t="str">
        <f>IFERROR(INDEX(잔액!$A:$A,BA375),0)</f>
        <v>00:00:00</v>
      </c>
      <c r="BH375">
        <f>IFERROR(IF(AND(BB375&gt;0,OR(COUNTIFS(예비비!$C$430:$C$729,BA375,예비비!$N$430:$N$729,"OK")&gt;0,AND(INDEX(잔액!$J:$J,BA375)="가족통장",INDEX(잔액!$K:$K,BA375)="미래에셋_WRAP형CMA"),COUNTIF(예비비!$A$8:$A$12,INDEX(잔액!$C:$C,BA375))=1,COUNTIF(예비비!$A$8:$A$12,INDEX(잔액!$D:$D,BA375))=1),OR(AND(BB375&gt;=예비비!$B$3,BB375&lt;EDATE(예비비!$B$3,1)),AND(BB375&lt;EDATE(예비비!$B$3,1),COUNTIFS(예비비!$C$430:$C$729,BA375,예비비!$L$430:$L$729,예비비!$B$3,예비비!$N$430:$N$729,"OK")&gt;0))),MAX($BH$120:BH374)+1,0),0)</f>
        <v>0</v>
      </c>
      <c r="BI375">
        <f>IF(예비비!$R375="OK",SUMIFS(예비비!$O$430:$O$729,예비비!$B$430:$B$729,예비비!$A375,예비비!$E$430:$E$729,"&lt;"&amp;EDATE(BI$99,1),예비비!$F$430:$F$729,"결제대금비")+MAX(0,IF(예비비!$D375&lt;EDATE(BI$99,1),예비비!$E375,0)-SUMIFS(예비비!$O$430:$O$729,예비비!$B$430:$B$729,예비비!$A375,예비비!$E$430:$E$729,"&lt;"&amp;EDATE(BI$99,1))),0)</f>
        <v>0</v>
      </c>
      <c r="BJ375">
        <f>IF(예비비!$R375="OK",SUMIFS(예비비!$O$430:$O$729,예비비!$B$430:$B$729,예비비!$A375,예비비!$E$430:$E$729,"&lt;"&amp;EDATE(BJ$99,1),예비비!$F$430:$F$729,"결제대금비")+MAX(0,IF(예비비!$D375&lt;EDATE(BJ$99,1),예비비!$E375,0)-SUMIFS(예비비!$O$430:$O$729,예비비!$B$430:$B$729,예비비!$A375,예비비!$E$430:$E$729,"&lt;"&amp;EDATE(BJ$99,1))),0)</f>
        <v>0</v>
      </c>
      <c r="BK375">
        <f>IF(예비비!$R375="OK",SUMIFS(예비비!$O$430:$O$729,예비비!$B$430:$B$729,예비비!$A375,예비비!$E$430:$E$729,"&lt;"&amp;EDATE(BK$99,1),예비비!$F$430:$F$729,"결제대금비")+MAX(0,IF(예비비!$D375&lt;EDATE(BK$99,1),예비비!$E375,0)-SUMIFS(예비비!$O$430:$O$729,예비비!$B$430:$B$729,예비비!$A375,예비비!$E$430:$E$729,"&lt;"&amp;EDATE(BK$99,1))),0)</f>
        <v>0</v>
      </c>
      <c r="BL375">
        <f>IF(예비비!$R375="OK",SUMIFS(예비비!$O$430:$O$729,예비비!$B$430:$B$729,예비비!$A375,예비비!$E$430:$E$729,"&lt;"&amp;EDATE(BL$99,1),예비비!$F$430:$F$729,"결제대금비")+MAX(0,IF(예비비!$D375&lt;EDATE(BL$99,1),예비비!$E375,0)-SUMIFS(예비비!$O$430:$O$729,예비비!$B$430:$B$729,예비비!$A375,예비비!$E$430:$E$729,"&lt;"&amp;EDATE(BL$99,1))),0)</f>
        <v>0</v>
      </c>
      <c r="BM375">
        <f>IF(예비비!$R375="OK",SUMIFS(예비비!$O$430:$O$729,예비비!$B$430:$B$729,예비비!$A375,예비비!$E$430:$E$729,"&lt;"&amp;EDATE(BM$99,1),예비비!$F$430:$F$729,"결제대금비")+MAX(0,IF(예비비!$D375&lt;EDATE(BM$99,1),예비비!$E375,0)-SUMIFS(예비비!$O$430:$O$729,예비비!$B$430:$B$729,예비비!$A375,예비비!$E$430:$E$729,"&lt;"&amp;EDATE(BM$99,1))),0)</f>
        <v>0</v>
      </c>
      <c r="BN375">
        <f>IF(예비비!$R375="OK",SUMIFS(예비비!$O$430:$O$729,예비비!$B$430:$B$729,예비비!$A375,예비비!$E$430:$E$729,"&lt;"&amp;EDATE(BN$99,1),예비비!$F$430:$F$729,"결제대금비")+MAX(0,IF(예비비!$D375&lt;EDATE(BN$99,1),예비비!$E375,0)-SUMIFS(예비비!$O$430:$O$729,예비비!$B$430:$B$729,예비비!$A375,예비비!$E$430:$E$729,"&lt;"&amp;EDATE(BN$99,1))),0)</f>
        <v>0</v>
      </c>
      <c r="BO375">
        <f>IF(예비비!$R375="OK",SUMIFS(예비비!$O$430:$O$729,예비비!$B$430:$B$729,예비비!$A375,예비비!$E$430:$E$729,"&lt;"&amp;EDATE(BO$99,1),예비비!$F$430:$F$729,"결제대금비")+MAX(0,IF(예비비!$D375&lt;EDATE(BO$99,1),예비비!$E375,0)-SUMIFS(예비비!$O$430:$O$729,예비비!$B$430:$B$729,예비비!$A375,예비비!$E$430:$E$729,"&lt;"&amp;EDATE(BO$99,1))),0)</f>
        <v>0</v>
      </c>
      <c r="BP375">
        <f>IF(예비비!$R375="OK",SUMIFS(예비비!$O$430:$O$729,예비비!$B$430:$B$729,예비비!$A375,예비비!$E$430:$E$729,"&lt;"&amp;EDATE(BP$99,1),예비비!$F$430:$F$729,"결제대금비")+MAX(0,IF(예비비!$D375&lt;EDATE(BP$99,1),예비비!$E375,0)-SUMIFS(예비비!$O$430:$O$729,예비비!$B$430:$B$729,예비비!$A375,예비비!$E$430:$E$729,"&lt;"&amp;EDATE(BP$99,1))),0)</f>
        <v>0</v>
      </c>
      <c r="BQ375">
        <f>IF(예비비!$R375="OK",SUMIFS(예비비!$O$430:$O$729,예비비!$B$430:$B$729,예비비!$A375,예비비!$E$430:$E$729,"&lt;"&amp;EDATE(BQ$99,1),예비비!$F$430:$F$729,"결제대금비")+MAX(0,IF(예비비!$D375&lt;EDATE(BQ$99,1),예비비!$E375,0)-SUMIFS(예비비!$O$430:$O$729,예비비!$B$430:$B$729,예비비!$A375,예비비!$E$430:$E$729,"&lt;"&amp;EDATE(BQ$99,1))),0)</f>
        <v>0</v>
      </c>
      <c r="BR375">
        <f>IF(예비비!$R375="OK",SUMIFS(예비비!$O$430:$O$729,예비비!$B$430:$B$729,예비비!$A375,예비비!$E$430:$E$729,"&lt;"&amp;EDATE(BR$99,1),예비비!$F$430:$F$729,"결제대금비")+MAX(0,IF(예비비!$D375&lt;EDATE(BR$99,1),예비비!$E375,0)-SUMIFS(예비비!$O$430:$O$729,예비비!$B$430:$B$729,예비비!$A375,예비비!$E$430:$E$729,"&lt;"&amp;EDATE(BR$99,1))),0)</f>
        <v>0</v>
      </c>
      <c r="BS375">
        <f>IF(예비비!$R375="OK",SUMIFS(예비비!$O$430:$O$729,예비비!$B$430:$B$729,예비비!$A375,예비비!$E$430:$E$729,"&lt;"&amp;EDATE(BS$99,1),예비비!$F$430:$F$729,"결제대금비")+MAX(0,IF(예비비!$D375&lt;EDATE(BS$99,1),예비비!$E375,0)-SUMIFS(예비비!$O$430:$O$729,예비비!$B$430:$B$729,예비비!$A375,예비비!$E$430:$E$729,"&lt;"&amp;EDATE(BS$99,1))),0)</f>
        <v>0</v>
      </c>
      <c r="BT375">
        <f>IF(예비비!$R375="OK",SUMIFS(예비비!$O$430:$O$729,예비비!$B$430:$B$729,예비비!$A375,예비비!$E$430:$E$729,"&lt;"&amp;EDATE(BT$99,1),예비비!$F$430:$F$729,"결제대금비")+MAX(0,IF(예비비!$D375&lt;EDATE(BT$99,1),예비비!$E375,0)-SUMIFS(예비비!$O$430:$O$729,예비비!$B$430:$B$729,예비비!$A375,예비비!$E$430:$E$729,"&lt;"&amp;EDATE(BT$99,1))),0)</f>
        <v>0</v>
      </c>
      <c r="BU375">
        <f>IF(예비비!$R375="OK",SUMIFS(예비비!$O$430:$O$729,예비비!$B$430:$B$729,예비비!$A375,예비비!$E$430:$E$729,"&lt;"&amp;EDATE(BU$99,1),예비비!$F$430:$F$729,"결제대금비")+MAX(0,IF(예비비!$D375&lt;EDATE(BU$99,1),예비비!$E375,0)-SUMIFS(예비비!$O$430:$O$729,예비비!$B$430:$B$729,예비비!$A375,예비비!$E$430:$E$729,"&lt;"&amp;EDATE(BU$99,1))),0)</f>
        <v>0</v>
      </c>
    </row>
    <row r="376">
      <c r="BA376">
        <v>320</v>
      </c>
      <c r="BB376" t="str">
        <f>IFERROR(INDEX(잔액!$A:$A,BA376),0)</f>
        <v>00:00:00</v>
      </c>
      <c r="BH376">
        <f>IFERROR(IF(AND(BB376&gt;0,OR(COUNTIFS(예비비!$C$430:$C$729,BA376,예비비!$N$430:$N$729,"OK")&gt;0,AND(INDEX(잔액!$J:$J,BA376)="가족통장",INDEX(잔액!$K:$K,BA376)="미래에셋_WRAP형CMA"),COUNTIF(예비비!$A$8:$A$12,INDEX(잔액!$C:$C,BA376))=1,COUNTIF(예비비!$A$8:$A$12,INDEX(잔액!$D:$D,BA376))=1),OR(AND(BB376&gt;=예비비!$B$3,BB376&lt;EDATE(예비비!$B$3,1)),AND(BB376&lt;EDATE(예비비!$B$3,1),COUNTIFS(예비비!$C$430:$C$729,BA376,예비비!$L$430:$L$729,예비비!$B$3,예비비!$N$430:$N$729,"OK")&gt;0))),MAX($BH$120:BH375)+1,0),0)</f>
        <v>0</v>
      </c>
      <c r="BI376">
        <f>IF(예비비!$R376="OK",SUMIFS(예비비!$O$430:$O$729,예비비!$B$430:$B$729,예비비!$A376,예비비!$E$430:$E$729,"&lt;"&amp;EDATE(BI$99,1),예비비!$F$430:$F$729,"결제대금비")+MAX(0,IF(예비비!$D376&lt;EDATE(BI$99,1),예비비!$E376,0)-SUMIFS(예비비!$O$430:$O$729,예비비!$B$430:$B$729,예비비!$A376,예비비!$E$430:$E$729,"&lt;"&amp;EDATE(BI$99,1))),0)</f>
        <v>0</v>
      </c>
      <c r="BJ376">
        <f>IF(예비비!$R376="OK",SUMIFS(예비비!$O$430:$O$729,예비비!$B$430:$B$729,예비비!$A376,예비비!$E$430:$E$729,"&lt;"&amp;EDATE(BJ$99,1),예비비!$F$430:$F$729,"결제대금비")+MAX(0,IF(예비비!$D376&lt;EDATE(BJ$99,1),예비비!$E376,0)-SUMIFS(예비비!$O$430:$O$729,예비비!$B$430:$B$729,예비비!$A376,예비비!$E$430:$E$729,"&lt;"&amp;EDATE(BJ$99,1))),0)</f>
        <v>0</v>
      </c>
      <c r="BK376">
        <f>IF(예비비!$R376="OK",SUMIFS(예비비!$O$430:$O$729,예비비!$B$430:$B$729,예비비!$A376,예비비!$E$430:$E$729,"&lt;"&amp;EDATE(BK$99,1),예비비!$F$430:$F$729,"결제대금비")+MAX(0,IF(예비비!$D376&lt;EDATE(BK$99,1),예비비!$E376,0)-SUMIFS(예비비!$O$430:$O$729,예비비!$B$430:$B$729,예비비!$A376,예비비!$E$430:$E$729,"&lt;"&amp;EDATE(BK$99,1))),0)</f>
        <v>0</v>
      </c>
      <c r="BL376">
        <f>IF(예비비!$R376="OK",SUMIFS(예비비!$O$430:$O$729,예비비!$B$430:$B$729,예비비!$A376,예비비!$E$430:$E$729,"&lt;"&amp;EDATE(BL$99,1),예비비!$F$430:$F$729,"결제대금비")+MAX(0,IF(예비비!$D376&lt;EDATE(BL$99,1),예비비!$E376,0)-SUMIFS(예비비!$O$430:$O$729,예비비!$B$430:$B$729,예비비!$A376,예비비!$E$430:$E$729,"&lt;"&amp;EDATE(BL$99,1))),0)</f>
        <v>0</v>
      </c>
      <c r="BM376">
        <f>IF(예비비!$R376="OK",SUMIFS(예비비!$O$430:$O$729,예비비!$B$430:$B$729,예비비!$A376,예비비!$E$430:$E$729,"&lt;"&amp;EDATE(BM$99,1),예비비!$F$430:$F$729,"결제대금비")+MAX(0,IF(예비비!$D376&lt;EDATE(BM$99,1),예비비!$E376,0)-SUMIFS(예비비!$O$430:$O$729,예비비!$B$430:$B$729,예비비!$A376,예비비!$E$430:$E$729,"&lt;"&amp;EDATE(BM$99,1))),0)</f>
        <v>0</v>
      </c>
      <c r="BN376">
        <f>IF(예비비!$R376="OK",SUMIFS(예비비!$O$430:$O$729,예비비!$B$430:$B$729,예비비!$A376,예비비!$E$430:$E$729,"&lt;"&amp;EDATE(BN$99,1),예비비!$F$430:$F$729,"결제대금비")+MAX(0,IF(예비비!$D376&lt;EDATE(BN$99,1),예비비!$E376,0)-SUMIFS(예비비!$O$430:$O$729,예비비!$B$430:$B$729,예비비!$A376,예비비!$E$430:$E$729,"&lt;"&amp;EDATE(BN$99,1))),0)</f>
        <v>0</v>
      </c>
      <c r="BO376">
        <f>IF(예비비!$R376="OK",SUMIFS(예비비!$O$430:$O$729,예비비!$B$430:$B$729,예비비!$A376,예비비!$E$430:$E$729,"&lt;"&amp;EDATE(BO$99,1),예비비!$F$430:$F$729,"결제대금비")+MAX(0,IF(예비비!$D376&lt;EDATE(BO$99,1),예비비!$E376,0)-SUMIFS(예비비!$O$430:$O$729,예비비!$B$430:$B$729,예비비!$A376,예비비!$E$430:$E$729,"&lt;"&amp;EDATE(BO$99,1))),0)</f>
        <v>0</v>
      </c>
      <c r="BP376">
        <f>IF(예비비!$R376="OK",SUMIFS(예비비!$O$430:$O$729,예비비!$B$430:$B$729,예비비!$A376,예비비!$E$430:$E$729,"&lt;"&amp;EDATE(BP$99,1),예비비!$F$430:$F$729,"결제대금비")+MAX(0,IF(예비비!$D376&lt;EDATE(BP$99,1),예비비!$E376,0)-SUMIFS(예비비!$O$430:$O$729,예비비!$B$430:$B$729,예비비!$A376,예비비!$E$430:$E$729,"&lt;"&amp;EDATE(BP$99,1))),0)</f>
        <v>0</v>
      </c>
      <c r="BQ376">
        <f>IF(예비비!$R376="OK",SUMIFS(예비비!$O$430:$O$729,예비비!$B$430:$B$729,예비비!$A376,예비비!$E$430:$E$729,"&lt;"&amp;EDATE(BQ$99,1),예비비!$F$430:$F$729,"결제대금비")+MAX(0,IF(예비비!$D376&lt;EDATE(BQ$99,1),예비비!$E376,0)-SUMIFS(예비비!$O$430:$O$729,예비비!$B$430:$B$729,예비비!$A376,예비비!$E$430:$E$729,"&lt;"&amp;EDATE(BQ$99,1))),0)</f>
        <v>0</v>
      </c>
      <c r="BR376">
        <f>IF(예비비!$R376="OK",SUMIFS(예비비!$O$430:$O$729,예비비!$B$430:$B$729,예비비!$A376,예비비!$E$430:$E$729,"&lt;"&amp;EDATE(BR$99,1),예비비!$F$430:$F$729,"결제대금비")+MAX(0,IF(예비비!$D376&lt;EDATE(BR$99,1),예비비!$E376,0)-SUMIFS(예비비!$O$430:$O$729,예비비!$B$430:$B$729,예비비!$A376,예비비!$E$430:$E$729,"&lt;"&amp;EDATE(BR$99,1))),0)</f>
        <v>0</v>
      </c>
      <c r="BS376">
        <f>IF(예비비!$R376="OK",SUMIFS(예비비!$O$430:$O$729,예비비!$B$430:$B$729,예비비!$A376,예비비!$E$430:$E$729,"&lt;"&amp;EDATE(BS$99,1),예비비!$F$430:$F$729,"결제대금비")+MAX(0,IF(예비비!$D376&lt;EDATE(BS$99,1),예비비!$E376,0)-SUMIFS(예비비!$O$430:$O$729,예비비!$B$430:$B$729,예비비!$A376,예비비!$E$430:$E$729,"&lt;"&amp;EDATE(BS$99,1))),0)</f>
        <v>0</v>
      </c>
      <c r="BT376">
        <f>IF(예비비!$R376="OK",SUMIFS(예비비!$O$430:$O$729,예비비!$B$430:$B$729,예비비!$A376,예비비!$E$430:$E$729,"&lt;"&amp;EDATE(BT$99,1),예비비!$F$430:$F$729,"결제대금비")+MAX(0,IF(예비비!$D376&lt;EDATE(BT$99,1),예비비!$E376,0)-SUMIFS(예비비!$O$430:$O$729,예비비!$B$430:$B$729,예비비!$A376,예비비!$E$430:$E$729,"&lt;"&amp;EDATE(BT$99,1))),0)</f>
        <v>0</v>
      </c>
      <c r="BU376">
        <f>IF(예비비!$R376="OK",SUMIFS(예비비!$O$430:$O$729,예비비!$B$430:$B$729,예비비!$A376,예비비!$E$430:$E$729,"&lt;"&amp;EDATE(BU$99,1),예비비!$F$430:$F$729,"결제대금비")+MAX(0,IF(예비비!$D376&lt;EDATE(BU$99,1),예비비!$E376,0)-SUMIFS(예비비!$O$430:$O$729,예비비!$B$430:$B$729,예비비!$A376,예비비!$E$430:$E$729,"&lt;"&amp;EDATE(BU$99,1))),0)</f>
        <v>0</v>
      </c>
    </row>
    <row r="377">
      <c r="BA377">
        <v>321</v>
      </c>
      <c r="BB377" t="str">
        <f>IFERROR(INDEX(잔액!$A:$A,BA377),0)</f>
        <v>00:00:00</v>
      </c>
      <c r="BH377">
        <f>IFERROR(IF(AND(BB377&gt;0,OR(COUNTIFS(예비비!$C$430:$C$729,BA377,예비비!$N$430:$N$729,"OK")&gt;0,AND(INDEX(잔액!$J:$J,BA377)="가족통장",INDEX(잔액!$K:$K,BA377)="미래에셋_WRAP형CMA"),COUNTIF(예비비!$A$8:$A$12,INDEX(잔액!$C:$C,BA377))=1,COUNTIF(예비비!$A$8:$A$12,INDEX(잔액!$D:$D,BA377))=1),OR(AND(BB377&gt;=예비비!$B$3,BB377&lt;EDATE(예비비!$B$3,1)),AND(BB377&lt;EDATE(예비비!$B$3,1),COUNTIFS(예비비!$C$430:$C$729,BA377,예비비!$L$430:$L$729,예비비!$B$3,예비비!$N$430:$N$729,"OK")&gt;0))),MAX($BH$120:BH376)+1,0),0)</f>
        <v>0</v>
      </c>
      <c r="BI377">
        <f>IF(예비비!$R377="OK",SUMIFS(예비비!$O$430:$O$729,예비비!$B$430:$B$729,예비비!$A377,예비비!$E$430:$E$729,"&lt;"&amp;EDATE(BI$99,1),예비비!$F$430:$F$729,"결제대금비")+MAX(0,IF(예비비!$D377&lt;EDATE(BI$99,1),예비비!$E377,0)-SUMIFS(예비비!$O$430:$O$729,예비비!$B$430:$B$729,예비비!$A377,예비비!$E$430:$E$729,"&lt;"&amp;EDATE(BI$99,1))),0)</f>
        <v>0</v>
      </c>
      <c r="BJ377">
        <f>IF(예비비!$R377="OK",SUMIFS(예비비!$O$430:$O$729,예비비!$B$430:$B$729,예비비!$A377,예비비!$E$430:$E$729,"&lt;"&amp;EDATE(BJ$99,1),예비비!$F$430:$F$729,"결제대금비")+MAX(0,IF(예비비!$D377&lt;EDATE(BJ$99,1),예비비!$E377,0)-SUMIFS(예비비!$O$430:$O$729,예비비!$B$430:$B$729,예비비!$A377,예비비!$E$430:$E$729,"&lt;"&amp;EDATE(BJ$99,1))),0)</f>
        <v>0</v>
      </c>
      <c r="BK377">
        <f>IF(예비비!$R377="OK",SUMIFS(예비비!$O$430:$O$729,예비비!$B$430:$B$729,예비비!$A377,예비비!$E$430:$E$729,"&lt;"&amp;EDATE(BK$99,1),예비비!$F$430:$F$729,"결제대금비")+MAX(0,IF(예비비!$D377&lt;EDATE(BK$99,1),예비비!$E377,0)-SUMIFS(예비비!$O$430:$O$729,예비비!$B$430:$B$729,예비비!$A377,예비비!$E$430:$E$729,"&lt;"&amp;EDATE(BK$99,1))),0)</f>
        <v>0</v>
      </c>
      <c r="BL377">
        <f>IF(예비비!$R377="OK",SUMIFS(예비비!$O$430:$O$729,예비비!$B$430:$B$729,예비비!$A377,예비비!$E$430:$E$729,"&lt;"&amp;EDATE(BL$99,1),예비비!$F$430:$F$729,"결제대금비")+MAX(0,IF(예비비!$D377&lt;EDATE(BL$99,1),예비비!$E377,0)-SUMIFS(예비비!$O$430:$O$729,예비비!$B$430:$B$729,예비비!$A377,예비비!$E$430:$E$729,"&lt;"&amp;EDATE(BL$99,1))),0)</f>
        <v>0</v>
      </c>
      <c r="BM377">
        <f>IF(예비비!$R377="OK",SUMIFS(예비비!$O$430:$O$729,예비비!$B$430:$B$729,예비비!$A377,예비비!$E$430:$E$729,"&lt;"&amp;EDATE(BM$99,1),예비비!$F$430:$F$729,"결제대금비")+MAX(0,IF(예비비!$D377&lt;EDATE(BM$99,1),예비비!$E377,0)-SUMIFS(예비비!$O$430:$O$729,예비비!$B$430:$B$729,예비비!$A377,예비비!$E$430:$E$729,"&lt;"&amp;EDATE(BM$99,1))),0)</f>
        <v>0</v>
      </c>
      <c r="BN377">
        <f>IF(예비비!$R377="OK",SUMIFS(예비비!$O$430:$O$729,예비비!$B$430:$B$729,예비비!$A377,예비비!$E$430:$E$729,"&lt;"&amp;EDATE(BN$99,1),예비비!$F$430:$F$729,"결제대금비")+MAX(0,IF(예비비!$D377&lt;EDATE(BN$99,1),예비비!$E377,0)-SUMIFS(예비비!$O$430:$O$729,예비비!$B$430:$B$729,예비비!$A377,예비비!$E$430:$E$729,"&lt;"&amp;EDATE(BN$99,1))),0)</f>
        <v>0</v>
      </c>
      <c r="BO377">
        <f>IF(예비비!$R377="OK",SUMIFS(예비비!$O$430:$O$729,예비비!$B$430:$B$729,예비비!$A377,예비비!$E$430:$E$729,"&lt;"&amp;EDATE(BO$99,1),예비비!$F$430:$F$729,"결제대금비")+MAX(0,IF(예비비!$D377&lt;EDATE(BO$99,1),예비비!$E377,0)-SUMIFS(예비비!$O$430:$O$729,예비비!$B$430:$B$729,예비비!$A377,예비비!$E$430:$E$729,"&lt;"&amp;EDATE(BO$99,1))),0)</f>
        <v>0</v>
      </c>
      <c r="BP377">
        <f>IF(예비비!$R377="OK",SUMIFS(예비비!$O$430:$O$729,예비비!$B$430:$B$729,예비비!$A377,예비비!$E$430:$E$729,"&lt;"&amp;EDATE(BP$99,1),예비비!$F$430:$F$729,"결제대금비")+MAX(0,IF(예비비!$D377&lt;EDATE(BP$99,1),예비비!$E377,0)-SUMIFS(예비비!$O$430:$O$729,예비비!$B$430:$B$729,예비비!$A377,예비비!$E$430:$E$729,"&lt;"&amp;EDATE(BP$99,1))),0)</f>
        <v>0</v>
      </c>
      <c r="BQ377">
        <f>IF(예비비!$R377="OK",SUMIFS(예비비!$O$430:$O$729,예비비!$B$430:$B$729,예비비!$A377,예비비!$E$430:$E$729,"&lt;"&amp;EDATE(BQ$99,1),예비비!$F$430:$F$729,"결제대금비")+MAX(0,IF(예비비!$D377&lt;EDATE(BQ$99,1),예비비!$E377,0)-SUMIFS(예비비!$O$430:$O$729,예비비!$B$430:$B$729,예비비!$A377,예비비!$E$430:$E$729,"&lt;"&amp;EDATE(BQ$99,1))),0)</f>
        <v>0</v>
      </c>
      <c r="BR377">
        <f>IF(예비비!$R377="OK",SUMIFS(예비비!$O$430:$O$729,예비비!$B$430:$B$729,예비비!$A377,예비비!$E$430:$E$729,"&lt;"&amp;EDATE(BR$99,1),예비비!$F$430:$F$729,"결제대금비")+MAX(0,IF(예비비!$D377&lt;EDATE(BR$99,1),예비비!$E377,0)-SUMIFS(예비비!$O$430:$O$729,예비비!$B$430:$B$729,예비비!$A377,예비비!$E$430:$E$729,"&lt;"&amp;EDATE(BR$99,1))),0)</f>
        <v>0</v>
      </c>
      <c r="BS377">
        <f>IF(예비비!$R377="OK",SUMIFS(예비비!$O$430:$O$729,예비비!$B$430:$B$729,예비비!$A377,예비비!$E$430:$E$729,"&lt;"&amp;EDATE(BS$99,1),예비비!$F$430:$F$729,"결제대금비")+MAX(0,IF(예비비!$D377&lt;EDATE(BS$99,1),예비비!$E377,0)-SUMIFS(예비비!$O$430:$O$729,예비비!$B$430:$B$729,예비비!$A377,예비비!$E$430:$E$729,"&lt;"&amp;EDATE(BS$99,1))),0)</f>
        <v>0</v>
      </c>
      <c r="BT377">
        <f>IF(예비비!$R377="OK",SUMIFS(예비비!$O$430:$O$729,예비비!$B$430:$B$729,예비비!$A377,예비비!$E$430:$E$729,"&lt;"&amp;EDATE(BT$99,1),예비비!$F$430:$F$729,"결제대금비")+MAX(0,IF(예비비!$D377&lt;EDATE(BT$99,1),예비비!$E377,0)-SUMIFS(예비비!$O$430:$O$729,예비비!$B$430:$B$729,예비비!$A377,예비비!$E$430:$E$729,"&lt;"&amp;EDATE(BT$99,1))),0)</f>
        <v>0</v>
      </c>
      <c r="BU377">
        <f>IF(예비비!$R377="OK",SUMIFS(예비비!$O$430:$O$729,예비비!$B$430:$B$729,예비비!$A377,예비비!$E$430:$E$729,"&lt;"&amp;EDATE(BU$99,1),예비비!$F$430:$F$729,"결제대금비")+MAX(0,IF(예비비!$D377&lt;EDATE(BU$99,1),예비비!$E377,0)-SUMIFS(예비비!$O$430:$O$729,예비비!$B$430:$B$729,예비비!$A377,예비비!$E$430:$E$729,"&lt;"&amp;EDATE(BU$99,1))),0)</f>
        <v>0</v>
      </c>
    </row>
    <row r="378">
      <c r="BA378">
        <v>322</v>
      </c>
      <c r="BB378" t="str">
        <f>IFERROR(INDEX(잔액!$A:$A,BA378),0)</f>
        <v>00:00:00</v>
      </c>
      <c r="BH378">
        <f>IFERROR(IF(AND(BB378&gt;0,OR(COUNTIFS(예비비!$C$430:$C$729,BA378,예비비!$N$430:$N$729,"OK")&gt;0,AND(INDEX(잔액!$J:$J,BA378)="가족통장",INDEX(잔액!$K:$K,BA378)="미래에셋_WRAP형CMA"),COUNTIF(예비비!$A$8:$A$12,INDEX(잔액!$C:$C,BA378))=1,COUNTIF(예비비!$A$8:$A$12,INDEX(잔액!$D:$D,BA378))=1),OR(AND(BB378&gt;=예비비!$B$3,BB378&lt;EDATE(예비비!$B$3,1)),AND(BB378&lt;EDATE(예비비!$B$3,1),COUNTIFS(예비비!$C$430:$C$729,BA378,예비비!$L$430:$L$729,예비비!$B$3,예비비!$N$430:$N$729,"OK")&gt;0))),MAX($BH$120:BH377)+1,0),0)</f>
        <v>0</v>
      </c>
      <c r="BI378">
        <f>IF(예비비!$R378="OK",SUMIFS(예비비!$O$430:$O$729,예비비!$B$430:$B$729,예비비!$A378,예비비!$E$430:$E$729,"&lt;"&amp;EDATE(BI$99,1),예비비!$F$430:$F$729,"결제대금비")+MAX(0,IF(예비비!$D378&lt;EDATE(BI$99,1),예비비!$E378,0)-SUMIFS(예비비!$O$430:$O$729,예비비!$B$430:$B$729,예비비!$A378,예비비!$E$430:$E$729,"&lt;"&amp;EDATE(BI$99,1))),0)</f>
        <v>0</v>
      </c>
      <c r="BJ378">
        <f>IF(예비비!$R378="OK",SUMIFS(예비비!$O$430:$O$729,예비비!$B$430:$B$729,예비비!$A378,예비비!$E$430:$E$729,"&lt;"&amp;EDATE(BJ$99,1),예비비!$F$430:$F$729,"결제대금비")+MAX(0,IF(예비비!$D378&lt;EDATE(BJ$99,1),예비비!$E378,0)-SUMIFS(예비비!$O$430:$O$729,예비비!$B$430:$B$729,예비비!$A378,예비비!$E$430:$E$729,"&lt;"&amp;EDATE(BJ$99,1))),0)</f>
        <v>0</v>
      </c>
      <c r="BK378">
        <f>IF(예비비!$R378="OK",SUMIFS(예비비!$O$430:$O$729,예비비!$B$430:$B$729,예비비!$A378,예비비!$E$430:$E$729,"&lt;"&amp;EDATE(BK$99,1),예비비!$F$430:$F$729,"결제대금비")+MAX(0,IF(예비비!$D378&lt;EDATE(BK$99,1),예비비!$E378,0)-SUMIFS(예비비!$O$430:$O$729,예비비!$B$430:$B$729,예비비!$A378,예비비!$E$430:$E$729,"&lt;"&amp;EDATE(BK$99,1))),0)</f>
        <v>0</v>
      </c>
      <c r="BL378">
        <f>IF(예비비!$R378="OK",SUMIFS(예비비!$O$430:$O$729,예비비!$B$430:$B$729,예비비!$A378,예비비!$E$430:$E$729,"&lt;"&amp;EDATE(BL$99,1),예비비!$F$430:$F$729,"결제대금비")+MAX(0,IF(예비비!$D378&lt;EDATE(BL$99,1),예비비!$E378,0)-SUMIFS(예비비!$O$430:$O$729,예비비!$B$430:$B$729,예비비!$A378,예비비!$E$430:$E$729,"&lt;"&amp;EDATE(BL$99,1))),0)</f>
        <v>0</v>
      </c>
      <c r="BM378">
        <f>IF(예비비!$R378="OK",SUMIFS(예비비!$O$430:$O$729,예비비!$B$430:$B$729,예비비!$A378,예비비!$E$430:$E$729,"&lt;"&amp;EDATE(BM$99,1),예비비!$F$430:$F$729,"결제대금비")+MAX(0,IF(예비비!$D378&lt;EDATE(BM$99,1),예비비!$E378,0)-SUMIFS(예비비!$O$430:$O$729,예비비!$B$430:$B$729,예비비!$A378,예비비!$E$430:$E$729,"&lt;"&amp;EDATE(BM$99,1))),0)</f>
        <v>0</v>
      </c>
      <c r="BN378">
        <f>IF(예비비!$R378="OK",SUMIFS(예비비!$O$430:$O$729,예비비!$B$430:$B$729,예비비!$A378,예비비!$E$430:$E$729,"&lt;"&amp;EDATE(BN$99,1),예비비!$F$430:$F$729,"결제대금비")+MAX(0,IF(예비비!$D378&lt;EDATE(BN$99,1),예비비!$E378,0)-SUMIFS(예비비!$O$430:$O$729,예비비!$B$430:$B$729,예비비!$A378,예비비!$E$430:$E$729,"&lt;"&amp;EDATE(BN$99,1))),0)</f>
        <v>0</v>
      </c>
      <c r="BO378">
        <f>IF(예비비!$R378="OK",SUMIFS(예비비!$O$430:$O$729,예비비!$B$430:$B$729,예비비!$A378,예비비!$E$430:$E$729,"&lt;"&amp;EDATE(BO$99,1),예비비!$F$430:$F$729,"결제대금비")+MAX(0,IF(예비비!$D378&lt;EDATE(BO$99,1),예비비!$E378,0)-SUMIFS(예비비!$O$430:$O$729,예비비!$B$430:$B$729,예비비!$A378,예비비!$E$430:$E$729,"&lt;"&amp;EDATE(BO$99,1))),0)</f>
        <v>0</v>
      </c>
      <c r="BP378">
        <f>IF(예비비!$R378="OK",SUMIFS(예비비!$O$430:$O$729,예비비!$B$430:$B$729,예비비!$A378,예비비!$E$430:$E$729,"&lt;"&amp;EDATE(BP$99,1),예비비!$F$430:$F$729,"결제대금비")+MAX(0,IF(예비비!$D378&lt;EDATE(BP$99,1),예비비!$E378,0)-SUMIFS(예비비!$O$430:$O$729,예비비!$B$430:$B$729,예비비!$A378,예비비!$E$430:$E$729,"&lt;"&amp;EDATE(BP$99,1))),0)</f>
        <v>0</v>
      </c>
      <c r="BQ378">
        <f>IF(예비비!$R378="OK",SUMIFS(예비비!$O$430:$O$729,예비비!$B$430:$B$729,예비비!$A378,예비비!$E$430:$E$729,"&lt;"&amp;EDATE(BQ$99,1),예비비!$F$430:$F$729,"결제대금비")+MAX(0,IF(예비비!$D378&lt;EDATE(BQ$99,1),예비비!$E378,0)-SUMIFS(예비비!$O$430:$O$729,예비비!$B$430:$B$729,예비비!$A378,예비비!$E$430:$E$729,"&lt;"&amp;EDATE(BQ$99,1))),0)</f>
        <v>0</v>
      </c>
      <c r="BR378">
        <f>IF(예비비!$R378="OK",SUMIFS(예비비!$O$430:$O$729,예비비!$B$430:$B$729,예비비!$A378,예비비!$E$430:$E$729,"&lt;"&amp;EDATE(BR$99,1),예비비!$F$430:$F$729,"결제대금비")+MAX(0,IF(예비비!$D378&lt;EDATE(BR$99,1),예비비!$E378,0)-SUMIFS(예비비!$O$430:$O$729,예비비!$B$430:$B$729,예비비!$A378,예비비!$E$430:$E$729,"&lt;"&amp;EDATE(BR$99,1))),0)</f>
        <v>0</v>
      </c>
      <c r="BS378">
        <f>IF(예비비!$R378="OK",SUMIFS(예비비!$O$430:$O$729,예비비!$B$430:$B$729,예비비!$A378,예비비!$E$430:$E$729,"&lt;"&amp;EDATE(BS$99,1),예비비!$F$430:$F$729,"결제대금비")+MAX(0,IF(예비비!$D378&lt;EDATE(BS$99,1),예비비!$E378,0)-SUMIFS(예비비!$O$430:$O$729,예비비!$B$430:$B$729,예비비!$A378,예비비!$E$430:$E$729,"&lt;"&amp;EDATE(BS$99,1))),0)</f>
        <v>0</v>
      </c>
      <c r="BT378">
        <f>IF(예비비!$R378="OK",SUMIFS(예비비!$O$430:$O$729,예비비!$B$430:$B$729,예비비!$A378,예비비!$E$430:$E$729,"&lt;"&amp;EDATE(BT$99,1),예비비!$F$430:$F$729,"결제대금비")+MAX(0,IF(예비비!$D378&lt;EDATE(BT$99,1),예비비!$E378,0)-SUMIFS(예비비!$O$430:$O$729,예비비!$B$430:$B$729,예비비!$A378,예비비!$E$430:$E$729,"&lt;"&amp;EDATE(BT$99,1))),0)</f>
        <v>0</v>
      </c>
      <c r="BU378">
        <f>IF(예비비!$R378="OK",SUMIFS(예비비!$O$430:$O$729,예비비!$B$430:$B$729,예비비!$A378,예비비!$E$430:$E$729,"&lt;"&amp;EDATE(BU$99,1),예비비!$F$430:$F$729,"결제대금비")+MAX(0,IF(예비비!$D378&lt;EDATE(BU$99,1),예비비!$E378,0)-SUMIFS(예비비!$O$430:$O$729,예비비!$B$430:$B$729,예비비!$A378,예비비!$E$430:$E$729,"&lt;"&amp;EDATE(BU$99,1))),0)</f>
        <v>0</v>
      </c>
    </row>
    <row r="379">
      <c r="BA379">
        <v>323</v>
      </c>
      <c r="BB379" t="str">
        <f>IFERROR(INDEX(잔액!$A:$A,BA379),0)</f>
        <v>00:00:00</v>
      </c>
      <c r="BH379">
        <f>IFERROR(IF(AND(BB379&gt;0,OR(COUNTIFS(예비비!$C$430:$C$729,BA379,예비비!$N$430:$N$729,"OK")&gt;0,AND(INDEX(잔액!$J:$J,BA379)="가족통장",INDEX(잔액!$K:$K,BA379)="미래에셋_WRAP형CMA"),COUNTIF(예비비!$A$8:$A$12,INDEX(잔액!$C:$C,BA379))=1,COUNTIF(예비비!$A$8:$A$12,INDEX(잔액!$D:$D,BA379))=1),OR(AND(BB379&gt;=예비비!$B$3,BB379&lt;EDATE(예비비!$B$3,1)),AND(BB379&lt;EDATE(예비비!$B$3,1),COUNTIFS(예비비!$C$430:$C$729,BA379,예비비!$L$430:$L$729,예비비!$B$3,예비비!$N$430:$N$729,"OK")&gt;0))),MAX($BH$120:BH378)+1,0),0)</f>
        <v>0</v>
      </c>
      <c r="BI379">
        <f>IF(예비비!$R379="OK",SUMIFS(예비비!$O$430:$O$729,예비비!$B$430:$B$729,예비비!$A379,예비비!$E$430:$E$729,"&lt;"&amp;EDATE(BI$99,1),예비비!$F$430:$F$729,"결제대금비")+MAX(0,IF(예비비!$D379&lt;EDATE(BI$99,1),예비비!$E379,0)-SUMIFS(예비비!$O$430:$O$729,예비비!$B$430:$B$729,예비비!$A379,예비비!$E$430:$E$729,"&lt;"&amp;EDATE(BI$99,1))),0)</f>
        <v>0</v>
      </c>
      <c r="BJ379">
        <f>IF(예비비!$R379="OK",SUMIFS(예비비!$O$430:$O$729,예비비!$B$430:$B$729,예비비!$A379,예비비!$E$430:$E$729,"&lt;"&amp;EDATE(BJ$99,1),예비비!$F$430:$F$729,"결제대금비")+MAX(0,IF(예비비!$D379&lt;EDATE(BJ$99,1),예비비!$E379,0)-SUMIFS(예비비!$O$430:$O$729,예비비!$B$430:$B$729,예비비!$A379,예비비!$E$430:$E$729,"&lt;"&amp;EDATE(BJ$99,1))),0)</f>
        <v>0</v>
      </c>
      <c r="BK379">
        <f>IF(예비비!$R379="OK",SUMIFS(예비비!$O$430:$O$729,예비비!$B$430:$B$729,예비비!$A379,예비비!$E$430:$E$729,"&lt;"&amp;EDATE(BK$99,1),예비비!$F$430:$F$729,"결제대금비")+MAX(0,IF(예비비!$D379&lt;EDATE(BK$99,1),예비비!$E379,0)-SUMIFS(예비비!$O$430:$O$729,예비비!$B$430:$B$729,예비비!$A379,예비비!$E$430:$E$729,"&lt;"&amp;EDATE(BK$99,1))),0)</f>
        <v>0</v>
      </c>
      <c r="BL379">
        <f>IF(예비비!$R379="OK",SUMIFS(예비비!$O$430:$O$729,예비비!$B$430:$B$729,예비비!$A379,예비비!$E$430:$E$729,"&lt;"&amp;EDATE(BL$99,1),예비비!$F$430:$F$729,"결제대금비")+MAX(0,IF(예비비!$D379&lt;EDATE(BL$99,1),예비비!$E379,0)-SUMIFS(예비비!$O$430:$O$729,예비비!$B$430:$B$729,예비비!$A379,예비비!$E$430:$E$729,"&lt;"&amp;EDATE(BL$99,1))),0)</f>
        <v>0</v>
      </c>
      <c r="BM379">
        <f>IF(예비비!$R379="OK",SUMIFS(예비비!$O$430:$O$729,예비비!$B$430:$B$729,예비비!$A379,예비비!$E$430:$E$729,"&lt;"&amp;EDATE(BM$99,1),예비비!$F$430:$F$729,"결제대금비")+MAX(0,IF(예비비!$D379&lt;EDATE(BM$99,1),예비비!$E379,0)-SUMIFS(예비비!$O$430:$O$729,예비비!$B$430:$B$729,예비비!$A379,예비비!$E$430:$E$729,"&lt;"&amp;EDATE(BM$99,1))),0)</f>
        <v>0</v>
      </c>
      <c r="BN379">
        <f>IF(예비비!$R379="OK",SUMIFS(예비비!$O$430:$O$729,예비비!$B$430:$B$729,예비비!$A379,예비비!$E$430:$E$729,"&lt;"&amp;EDATE(BN$99,1),예비비!$F$430:$F$729,"결제대금비")+MAX(0,IF(예비비!$D379&lt;EDATE(BN$99,1),예비비!$E379,0)-SUMIFS(예비비!$O$430:$O$729,예비비!$B$430:$B$729,예비비!$A379,예비비!$E$430:$E$729,"&lt;"&amp;EDATE(BN$99,1))),0)</f>
        <v>0</v>
      </c>
      <c r="BO379">
        <f>IF(예비비!$R379="OK",SUMIFS(예비비!$O$430:$O$729,예비비!$B$430:$B$729,예비비!$A379,예비비!$E$430:$E$729,"&lt;"&amp;EDATE(BO$99,1),예비비!$F$430:$F$729,"결제대금비")+MAX(0,IF(예비비!$D379&lt;EDATE(BO$99,1),예비비!$E379,0)-SUMIFS(예비비!$O$430:$O$729,예비비!$B$430:$B$729,예비비!$A379,예비비!$E$430:$E$729,"&lt;"&amp;EDATE(BO$99,1))),0)</f>
        <v>0</v>
      </c>
      <c r="BP379">
        <f>IF(예비비!$R379="OK",SUMIFS(예비비!$O$430:$O$729,예비비!$B$430:$B$729,예비비!$A379,예비비!$E$430:$E$729,"&lt;"&amp;EDATE(BP$99,1),예비비!$F$430:$F$729,"결제대금비")+MAX(0,IF(예비비!$D379&lt;EDATE(BP$99,1),예비비!$E379,0)-SUMIFS(예비비!$O$430:$O$729,예비비!$B$430:$B$729,예비비!$A379,예비비!$E$430:$E$729,"&lt;"&amp;EDATE(BP$99,1))),0)</f>
        <v>0</v>
      </c>
      <c r="BQ379">
        <f>IF(예비비!$R379="OK",SUMIFS(예비비!$O$430:$O$729,예비비!$B$430:$B$729,예비비!$A379,예비비!$E$430:$E$729,"&lt;"&amp;EDATE(BQ$99,1),예비비!$F$430:$F$729,"결제대금비")+MAX(0,IF(예비비!$D379&lt;EDATE(BQ$99,1),예비비!$E379,0)-SUMIFS(예비비!$O$430:$O$729,예비비!$B$430:$B$729,예비비!$A379,예비비!$E$430:$E$729,"&lt;"&amp;EDATE(BQ$99,1))),0)</f>
        <v>0</v>
      </c>
      <c r="BR379">
        <f>IF(예비비!$R379="OK",SUMIFS(예비비!$O$430:$O$729,예비비!$B$430:$B$729,예비비!$A379,예비비!$E$430:$E$729,"&lt;"&amp;EDATE(BR$99,1),예비비!$F$430:$F$729,"결제대금비")+MAX(0,IF(예비비!$D379&lt;EDATE(BR$99,1),예비비!$E379,0)-SUMIFS(예비비!$O$430:$O$729,예비비!$B$430:$B$729,예비비!$A379,예비비!$E$430:$E$729,"&lt;"&amp;EDATE(BR$99,1))),0)</f>
        <v>0</v>
      </c>
      <c r="BS379">
        <f>IF(예비비!$R379="OK",SUMIFS(예비비!$O$430:$O$729,예비비!$B$430:$B$729,예비비!$A379,예비비!$E$430:$E$729,"&lt;"&amp;EDATE(BS$99,1),예비비!$F$430:$F$729,"결제대금비")+MAX(0,IF(예비비!$D379&lt;EDATE(BS$99,1),예비비!$E379,0)-SUMIFS(예비비!$O$430:$O$729,예비비!$B$430:$B$729,예비비!$A379,예비비!$E$430:$E$729,"&lt;"&amp;EDATE(BS$99,1))),0)</f>
        <v>0</v>
      </c>
      <c r="BT379">
        <f>IF(예비비!$R379="OK",SUMIFS(예비비!$O$430:$O$729,예비비!$B$430:$B$729,예비비!$A379,예비비!$E$430:$E$729,"&lt;"&amp;EDATE(BT$99,1),예비비!$F$430:$F$729,"결제대금비")+MAX(0,IF(예비비!$D379&lt;EDATE(BT$99,1),예비비!$E379,0)-SUMIFS(예비비!$O$430:$O$729,예비비!$B$430:$B$729,예비비!$A379,예비비!$E$430:$E$729,"&lt;"&amp;EDATE(BT$99,1))),0)</f>
        <v>0</v>
      </c>
      <c r="BU379">
        <f>IF(예비비!$R379="OK",SUMIFS(예비비!$O$430:$O$729,예비비!$B$430:$B$729,예비비!$A379,예비비!$E$430:$E$729,"&lt;"&amp;EDATE(BU$99,1),예비비!$F$430:$F$729,"결제대금비")+MAX(0,IF(예비비!$D379&lt;EDATE(BU$99,1),예비비!$E379,0)-SUMIFS(예비비!$O$430:$O$729,예비비!$B$430:$B$729,예비비!$A379,예비비!$E$430:$E$729,"&lt;"&amp;EDATE(BU$99,1))),0)</f>
        <v>0</v>
      </c>
    </row>
    <row r="380">
      <c r="BA380">
        <v>324</v>
      </c>
      <c r="BB380" t="str">
        <f>IFERROR(INDEX(잔액!$A:$A,BA380),0)</f>
        <v>00:00:00</v>
      </c>
      <c r="BH380">
        <f>IFERROR(IF(AND(BB380&gt;0,OR(COUNTIFS(예비비!$C$430:$C$729,BA380,예비비!$N$430:$N$729,"OK")&gt;0,AND(INDEX(잔액!$J:$J,BA380)="가족통장",INDEX(잔액!$K:$K,BA380)="미래에셋_WRAP형CMA"),COUNTIF(예비비!$A$8:$A$12,INDEX(잔액!$C:$C,BA380))=1,COUNTIF(예비비!$A$8:$A$12,INDEX(잔액!$D:$D,BA380))=1),OR(AND(BB380&gt;=예비비!$B$3,BB380&lt;EDATE(예비비!$B$3,1)),AND(BB380&lt;EDATE(예비비!$B$3,1),COUNTIFS(예비비!$C$430:$C$729,BA380,예비비!$L$430:$L$729,예비비!$B$3,예비비!$N$430:$N$729,"OK")&gt;0))),MAX($BH$120:BH379)+1,0),0)</f>
        <v>0</v>
      </c>
      <c r="BI380">
        <f>IF(예비비!$R380="OK",SUMIFS(예비비!$O$430:$O$729,예비비!$B$430:$B$729,예비비!$A380,예비비!$E$430:$E$729,"&lt;"&amp;EDATE(BI$99,1),예비비!$F$430:$F$729,"결제대금비")+MAX(0,IF(예비비!$D380&lt;EDATE(BI$99,1),예비비!$E380,0)-SUMIFS(예비비!$O$430:$O$729,예비비!$B$430:$B$729,예비비!$A380,예비비!$E$430:$E$729,"&lt;"&amp;EDATE(BI$99,1))),0)</f>
        <v>0</v>
      </c>
      <c r="BJ380">
        <f>IF(예비비!$R380="OK",SUMIFS(예비비!$O$430:$O$729,예비비!$B$430:$B$729,예비비!$A380,예비비!$E$430:$E$729,"&lt;"&amp;EDATE(BJ$99,1),예비비!$F$430:$F$729,"결제대금비")+MAX(0,IF(예비비!$D380&lt;EDATE(BJ$99,1),예비비!$E380,0)-SUMIFS(예비비!$O$430:$O$729,예비비!$B$430:$B$729,예비비!$A380,예비비!$E$430:$E$729,"&lt;"&amp;EDATE(BJ$99,1))),0)</f>
        <v>0</v>
      </c>
      <c r="BK380">
        <f>IF(예비비!$R380="OK",SUMIFS(예비비!$O$430:$O$729,예비비!$B$430:$B$729,예비비!$A380,예비비!$E$430:$E$729,"&lt;"&amp;EDATE(BK$99,1),예비비!$F$430:$F$729,"결제대금비")+MAX(0,IF(예비비!$D380&lt;EDATE(BK$99,1),예비비!$E380,0)-SUMIFS(예비비!$O$430:$O$729,예비비!$B$430:$B$729,예비비!$A380,예비비!$E$430:$E$729,"&lt;"&amp;EDATE(BK$99,1))),0)</f>
        <v>0</v>
      </c>
      <c r="BL380">
        <f>IF(예비비!$R380="OK",SUMIFS(예비비!$O$430:$O$729,예비비!$B$430:$B$729,예비비!$A380,예비비!$E$430:$E$729,"&lt;"&amp;EDATE(BL$99,1),예비비!$F$430:$F$729,"결제대금비")+MAX(0,IF(예비비!$D380&lt;EDATE(BL$99,1),예비비!$E380,0)-SUMIFS(예비비!$O$430:$O$729,예비비!$B$430:$B$729,예비비!$A380,예비비!$E$430:$E$729,"&lt;"&amp;EDATE(BL$99,1))),0)</f>
        <v>0</v>
      </c>
      <c r="BM380">
        <f>IF(예비비!$R380="OK",SUMIFS(예비비!$O$430:$O$729,예비비!$B$430:$B$729,예비비!$A380,예비비!$E$430:$E$729,"&lt;"&amp;EDATE(BM$99,1),예비비!$F$430:$F$729,"결제대금비")+MAX(0,IF(예비비!$D380&lt;EDATE(BM$99,1),예비비!$E380,0)-SUMIFS(예비비!$O$430:$O$729,예비비!$B$430:$B$729,예비비!$A380,예비비!$E$430:$E$729,"&lt;"&amp;EDATE(BM$99,1))),0)</f>
        <v>0</v>
      </c>
      <c r="BN380">
        <f>IF(예비비!$R380="OK",SUMIFS(예비비!$O$430:$O$729,예비비!$B$430:$B$729,예비비!$A380,예비비!$E$430:$E$729,"&lt;"&amp;EDATE(BN$99,1),예비비!$F$430:$F$729,"결제대금비")+MAX(0,IF(예비비!$D380&lt;EDATE(BN$99,1),예비비!$E380,0)-SUMIFS(예비비!$O$430:$O$729,예비비!$B$430:$B$729,예비비!$A380,예비비!$E$430:$E$729,"&lt;"&amp;EDATE(BN$99,1))),0)</f>
        <v>0</v>
      </c>
      <c r="BO380">
        <f>IF(예비비!$R380="OK",SUMIFS(예비비!$O$430:$O$729,예비비!$B$430:$B$729,예비비!$A380,예비비!$E$430:$E$729,"&lt;"&amp;EDATE(BO$99,1),예비비!$F$430:$F$729,"결제대금비")+MAX(0,IF(예비비!$D380&lt;EDATE(BO$99,1),예비비!$E380,0)-SUMIFS(예비비!$O$430:$O$729,예비비!$B$430:$B$729,예비비!$A380,예비비!$E$430:$E$729,"&lt;"&amp;EDATE(BO$99,1))),0)</f>
        <v>0</v>
      </c>
      <c r="BP380">
        <f>IF(예비비!$R380="OK",SUMIFS(예비비!$O$430:$O$729,예비비!$B$430:$B$729,예비비!$A380,예비비!$E$430:$E$729,"&lt;"&amp;EDATE(BP$99,1),예비비!$F$430:$F$729,"결제대금비")+MAX(0,IF(예비비!$D380&lt;EDATE(BP$99,1),예비비!$E380,0)-SUMIFS(예비비!$O$430:$O$729,예비비!$B$430:$B$729,예비비!$A380,예비비!$E$430:$E$729,"&lt;"&amp;EDATE(BP$99,1))),0)</f>
        <v>0</v>
      </c>
      <c r="BQ380">
        <f>IF(예비비!$R380="OK",SUMIFS(예비비!$O$430:$O$729,예비비!$B$430:$B$729,예비비!$A380,예비비!$E$430:$E$729,"&lt;"&amp;EDATE(BQ$99,1),예비비!$F$430:$F$729,"결제대금비")+MAX(0,IF(예비비!$D380&lt;EDATE(BQ$99,1),예비비!$E380,0)-SUMIFS(예비비!$O$430:$O$729,예비비!$B$430:$B$729,예비비!$A380,예비비!$E$430:$E$729,"&lt;"&amp;EDATE(BQ$99,1))),0)</f>
        <v>0</v>
      </c>
      <c r="BR380">
        <f>IF(예비비!$R380="OK",SUMIFS(예비비!$O$430:$O$729,예비비!$B$430:$B$729,예비비!$A380,예비비!$E$430:$E$729,"&lt;"&amp;EDATE(BR$99,1),예비비!$F$430:$F$729,"결제대금비")+MAX(0,IF(예비비!$D380&lt;EDATE(BR$99,1),예비비!$E380,0)-SUMIFS(예비비!$O$430:$O$729,예비비!$B$430:$B$729,예비비!$A380,예비비!$E$430:$E$729,"&lt;"&amp;EDATE(BR$99,1))),0)</f>
        <v>0</v>
      </c>
      <c r="BS380">
        <f>IF(예비비!$R380="OK",SUMIFS(예비비!$O$430:$O$729,예비비!$B$430:$B$729,예비비!$A380,예비비!$E$430:$E$729,"&lt;"&amp;EDATE(BS$99,1),예비비!$F$430:$F$729,"결제대금비")+MAX(0,IF(예비비!$D380&lt;EDATE(BS$99,1),예비비!$E380,0)-SUMIFS(예비비!$O$430:$O$729,예비비!$B$430:$B$729,예비비!$A380,예비비!$E$430:$E$729,"&lt;"&amp;EDATE(BS$99,1))),0)</f>
        <v>0</v>
      </c>
      <c r="BT380">
        <f>IF(예비비!$R380="OK",SUMIFS(예비비!$O$430:$O$729,예비비!$B$430:$B$729,예비비!$A380,예비비!$E$430:$E$729,"&lt;"&amp;EDATE(BT$99,1),예비비!$F$430:$F$729,"결제대금비")+MAX(0,IF(예비비!$D380&lt;EDATE(BT$99,1),예비비!$E380,0)-SUMIFS(예비비!$O$430:$O$729,예비비!$B$430:$B$729,예비비!$A380,예비비!$E$430:$E$729,"&lt;"&amp;EDATE(BT$99,1))),0)</f>
        <v>0</v>
      </c>
      <c r="BU380">
        <f>IF(예비비!$R380="OK",SUMIFS(예비비!$O$430:$O$729,예비비!$B$430:$B$729,예비비!$A380,예비비!$E$430:$E$729,"&lt;"&amp;EDATE(BU$99,1),예비비!$F$430:$F$729,"결제대금비")+MAX(0,IF(예비비!$D380&lt;EDATE(BU$99,1),예비비!$E380,0)-SUMIFS(예비비!$O$430:$O$729,예비비!$B$430:$B$729,예비비!$A380,예비비!$E$430:$E$729,"&lt;"&amp;EDATE(BU$99,1))),0)</f>
        <v>0</v>
      </c>
    </row>
    <row r="381">
      <c r="BA381">
        <v>325</v>
      </c>
      <c r="BB381" t="str">
        <f>IFERROR(INDEX(잔액!$A:$A,BA381),0)</f>
        <v>00:00:00</v>
      </c>
      <c r="BH381">
        <f>IFERROR(IF(AND(BB381&gt;0,OR(COUNTIFS(예비비!$C$430:$C$729,BA381,예비비!$N$430:$N$729,"OK")&gt;0,AND(INDEX(잔액!$J:$J,BA381)="가족통장",INDEX(잔액!$K:$K,BA381)="미래에셋_WRAP형CMA"),COUNTIF(예비비!$A$8:$A$12,INDEX(잔액!$C:$C,BA381))=1,COUNTIF(예비비!$A$8:$A$12,INDEX(잔액!$D:$D,BA381))=1),OR(AND(BB381&gt;=예비비!$B$3,BB381&lt;EDATE(예비비!$B$3,1)),AND(BB381&lt;EDATE(예비비!$B$3,1),COUNTIFS(예비비!$C$430:$C$729,BA381,예비비!$L$430:$L$729,예비비!$B$3,예비비!$N$430:$N$729,"OK")&gt;0))),MAX($BH$120:BH380)+1,0),0)</f>
        <v>0</v>
      </c>
      <c r="BI381">
        <f>IF(예비비!$R381="OK",SUMIFS(예비비!$O$430:$O$729,예비비!$B$430:$B$729,예비비!$A381,예비비!$E$430:$E$729,"&lt;"&amp;EDATE(BI$99,1),예비비!$F$430:$F$729,"결제대금비")+MAX(0,IF(예비비!$D381&lt;EDATE(BI$99,1),예비비!$E381,0)-SUMIFS(예비비!$O$430:$O$729,예비비!$B$430:$B$729,예비비!$A381,예비비!$E$430:$E$729,"&lt;"&amp;EDATE(BI$99,1))),0)</f>
        <v>0</v>
      </c>
      <c r="BJ381">
        <f>IF(예비비!$R381="OK",SUMIFS(예비비!$O$430:$O$729,예비비!$B$430:$B$729,예비비!$A381,예비비!$E$430:$E$729,"&lt;"&amp;EDATE(BJ$99,1),예비비!$F$430:$F$729,"결제대금비")+MAX(0,IF(예비비!$D381&lt;EDATE(BJ$99,1),예비비!$E381,0)-SUMIFS(예비비!$O$430:$O$729,예비비!$B$430:$B$729,예비비!$A381,예비비!$E$430:$E$729,"&lt;"&amp;EDATE(BJ$99,1))),0)</f>
        <v>0</v>
      </c>
      <c r="BK381">
        <f>IF(예비비!$R381="OK",SUMIFS(예비비!$O$430:$O$729,예비비!$B$430:$B$729,예비비!$A381,예비비!$E$430:$E$729,"&lt;"&amp;EDATE(BK$99,1),예비비!$F$430:$F$729,"결제대금비")+MAX(0,IF(예비비!$D381&lt;EDATE(BK$99,1),예비비!$E381,0)-SUMIFS(예비비!$O$430:$O$729,예비비!$B$430:$B$729,예비비!$A381,예비비!$E$430:$E$729,"&lt;"&amp;EDATE(BK$99,1))),0)</f>
        <v>0</v>
      </c>
      <c r="BL381">
        <f>IF(예비비!$R381="OK",SUMIFS(예비비!$O$430:$O$729,예비비!$B$430:$B$729,예비비!$A381,예비비!$E$430:$E$729,"&lt;"&amp;EDATE(BL$99,1),예비비!$F$430:$F$729,"결제대금비")+MAX(0,IF(예비비!$D381&lt;EDATE(BL$99,1),예비비!$E381,0)-SUMIFS(예비비!$O$430:$O$729,예비비!$B$430:$B$729,예비비!$A381,예비비!$E$430:$E$729,"&lt;"&amp;EDATE(BL$99,1))),0)</f>
        <v>0</v>
      </c>
      <c r="BM381">
        <f>IF(예비비!$R381="OK",SUMIFS(예비비!$O$430:$O$729,예비비!$B$430:$B$729,예비비!$A381,예비비!$E$430:$E$729,"&lt;"&amp;EDATE(BM$99,1),예비비!$F$430:$F$729,"결제대금비")+MAX(0,IF(예비비!$D381&lt;EDATE(BM$99,1),예비비!$E381,0)-SUMIFS(예비비!$O$430:$O$729,예비비!$B$430:$B$729,예비비!$A381,예비비!$E$430:$E$729,"&lt;"&amp;EDATE(BM$99,1))),0)</f>
        <v>0</v>
      </c>
      <c r="BN381">
        <f>IF(예비비!$R381="OK",SUMIFS(예비비!$O$430:$O$729,예비비!$B$430:$B$729,예비비!$A381,예비비!$E$430:$E$729,"&lt;"&amp;EDATE(BN$99,1),예비비!$F$430:$F$729,"결제대금비")+MAX(0,IF(예비비!$D381&lt;EDATE(BN$99,1),예비비!$E381,0)-SUMIFS(예비비!$O$430:$O$729,예비비!$B$430:$B$729,예비비!$A381,예비비!$E$430:$E$729,"&lt;"&amp;EDATE(BN$99,1))),0)</f>
        <v>0</v>
      </c>
      <c r="BO381">
        <f>IF(예비비!$R381="OK",SUMIFS(예비비!$O$430:$O$729,예비비!$B$430:$B$729,예비비!$A381,예비비!$E$430:$E$729,"&lt;"&amp;EDATE(BO$99,1),예비비!$F$430:$F$729,"결제대금비")+MAX(0,IF(예비비!$D381&lt;EDATE(BO$99,1),예비비!$E381,0)-SUMIFS(예비비!$O$430:$O$729,예비비!$B$430:$B$729,예비비!$A381,예비비!$E$430:$E$729,"&lt;"&amp;EDATE(BO$99,1))),0)</f>
        <v>0</v>
      </c>
      <c r="BP381">
        <f>IF(예비비!$R381="OK",SUMIFS(예비비!$O$430:$O$729,예비비!$B$430:$B$729,예비비!$A381,예비비!$E$430:$E$729,"&lt;"&amp;EDATE(BP$99,1),예비비!$F$430:$F$729,"결제대금비")+MAX(0,IF(예비비!$D381&lt;EDATE(BP$99,1),예비비!$E381,0)-SUMIFS(예비비!$O$430:$O$729,예비비!$B$430:$B$729,예비비!$A381,예비비!$E$430:$E$729,"&lt;"&amp;EDATE(BP$99,1))),0)</f>
        <v>0</v>
      </c>
      <c r="BQ381">
        <f>IF(예비비!$R381="OK",SUMIFS(예비비!$O$430:$O$729,예비비!$B$430:$B$729,예비비!$A381,예비비!$E$430:$E$729,"&lt;"&amp;EDATE(BQ$99,1),예비비!$F$430:$F$729,"결제대금비")+MAX(0,IF(예비비!$D381&lt;EDATE(BQ$99,1),예비비!$E381,0)-SUMIFS(예비비!$O$430:$O$729,예비비!$B$430:$B$729,예비비!$A381,예비비!$E$430:$E$729,"&lt;"&amp;EDATE(BQ$99,1))),0)</f>
        <v>0</v>
      </c>
      <c r="BR381">
        <f>IF(예비비!$R381="OK",SUMIFS(예비비!$O$430:$O$729,예비비!$B$430:$B$729,예비비!$A381,예비비!$E$430:$E$729,"&lt;"&amp;EDATE(BR$99,1),예비비!$F$430:$F$729,"결제대금비")+MAX(0,IF(예비비!$D381&lt;EDATE(BR$99,1),예비비!$E381,0)-SUMIFS(예비비!$O$430:$O$729,예비비!$B$430:$B$729,예비비!$A381,예비비!$E$430:$E$729,"&lt;"&amp;EDATE(BR$99,1))),0)</f>
        <v>0</v>
      </c>
      <c r="BS381">
        <f>IF(예비비!$R381="OK",SUMIFS(예비비!$O$430:$O$729,예비비!$B$430:$B$729,예비비!$A381,예비비!$E$430:$E$729,"&lt;"&amp;EDATE(BS$99,1),예비비!$F$430:$F$729,"결제대금비")+MAX(0,IF(예비비!$D381&lt;EDATE(BS$99,1),예비비!$E381,0)-SUMIFS(예비비!$O$430:$O$729,예비비!$B$430:$B$729,예비비!$A381,예비비!$E$430:$E$729,"&lt;"&amp;EDATE(BS$99,1))),0)</f>
        <v>0</v>
      </c>
      <c r="BT381">
        <f>IF(예비비!$R381="OK",SUMIFS(예비비!$O$430:$O$729,예비비!$B$430:$B$729,예비비!$A381,예비비!$E$430:$E$729,"&lt;"&amp;EDATE(BT$99,1),예비비!$F$430:$F$729,"결제대금비")+MAX(0,IF(예비비!$D381&lt;EDATE(BT$99,1),예비비!$E381,0)-SUMIFS(예비비!$O$430:$O$729,예비비!$B$430:$B$729,예비비!$A381,예비비!$E$430:$E$729,"&lt;"&amp;EDATE(BT$99,1))),0)</f>
        <v>0</v>
      </c>
      <c r="BU381">
        <f>IF(예비비!$R381="OK",SUMIFS(예비비!$O$430:$O$729,예비비!$B$430:$B$729,예비비!$A381,예비비!$E$430:$E$729,"&lt;"&amp;EDATE(BU$99,1),예비비!$F$430:$F$729,"결제대금비")+MAX(0,IF(예비비!$D381&lt;EDATE(BU$99,1),예비비!$E381,0)-SUMIFS(예비비!$O$430:$O$729,예비비!$B$430:$B$729,예비비!$A381,예비비!$E$430:$E$729,"&lt;"&amp;EDATE(BU$99,1))),0)</f>
        <v>0</v>
      </c>
    </row>
    <row r="382">
      <c r="BA382">
        <v>326</v>
      </c>
      <c r="BB382" t="str">
        <f>IFERROR(INDEX(잔액!$A:$A,BA382),0)</f>
        <v>00:00:00</v>
      </c>
      <c r="BH382">
        <f>IFERROR(IF(AND(BB382&gt;0,OR(COUNTIFS(예비비!$C$430:$C$729,BA382,예비비!$N$430:$N$729,"OK")&gt;0,AND(INDEX(잔액!$J:$J,BA382)="가족통장",INDEX(잔액!$K:$K,BA382)="미래에셋_WRAP형CMA"),COUNTIF(예비비!$A$8:$A$12,INDEX(잔액!$C:$C,BA382))=1,COUNTIF(예비비!$A$8:$A$12,INDEX(잔액!$D:$D,BA382))=1),OR(AND(BB382&gt;=예비비!$B$3,BB382&lt;EDATE(예비비!$B$3,1)),AND(BB382&lt;EDATE(예비비!$B$3,1),COUNTIFS(예비비!$C$430:$C$729,BA382,예비비!$L$430:$L$729,예비비!$B$3,예비비!$N$430:$N$729,"OK")&gt;0))),MAX($BH$120:BH381)+1,0),0)</f>
        <v>0</v>
      </c>
      <c r="BI382">
        <f>IF(예비비!$R382="OK",SUMIFS(예비비!$O$430:$O$729,예비비!$B$430:$B$729,예비비!$A382,예비비!$E$430:$E$729,"&lt;"&amp;EDATE(BI$99,1),예비비!$F$430:$F$729,"결제대금비")+MAX(0,IF(예비비!$D382&lt;EDATE(BI$99,1),예비비!$E382,0)-SUMIFS(예비비!$O$430:$O$729,예비비!$B$430:$B$729,예비비!$A382,예비비!$E$430:$E$729,"&lt;"&amp;EDATE(BI$99,1))),0)</f>
        <v>0</v>
      </c>
      <c r="BJ382">
        <f>IF(예비비!$R382="OK",SUMIFS(예비비!$O$430:$O$729,예비비!$B$430:$B$729,예비비!$A382,예비비!$E$430:$E$729,"&lt;"&amp;EDATE(BJ$99,1),예비비!$F$430:$F$729,"결제대금비")+MAX(0,IF(예비비!$D382&lt;EDATE(BJ$99,1),예비비!$E382,0)-SUMIFS(예비비!$O$430:$O$729,예비비!$B$430:$B$729,예비비!$A382,예비비!$E$430:$E$729,"&lt;"&amp;EDATE(BJ$99,1))),0)</f>
        <v>0</v>
      </c>
      <c r="BK382">
        <f>IF(예비비!$R382="OK",SUMIFS(예비비!$O$430:$O$729,예비비!$B$430:$B$729,예비비!$A382,예비비!$E$430:$E$729,"&lt;"&amp;EDATE(BK$99,1),예비비!$F$430:$F$729,"결제대금비")+MAX(0,IF(예비비!$D382&lt;EDATE(BK$99,1),예비비!$E382,0)-SUMIFS(예비비!$O$430:$O$729,예비비!$B$430:$B$729,예비비!$A382,예비비!$E$430:$E$729,"&lt;"&amp;EDATE(BK$99,1))),0)</f>
        <v>0</v>
      </c>
      <c r="BL382">
        <f>IF(예비비!$R382="OK",SUMIFS(예비비!$O$430:$O$729,예비비!$B$430:$B$729,예비비!$A382,예비비!$E$430:$E$729,"&lt;"&amp;EDATE(BL$99,1),예비비!$F$430:$F$729,"결제대금비")+MAX(0,IF(예비비!$D382&lt;EDATE(BL$99,1),예비비!$E382,0)-SUMIFS(예비비!$O$430:$O$729,예비비!$B$430:$B$729,예비비!$A382,예비비!$E$430:$E$729,"&lt;"&amp;EDATE(BL$99,1))),0)</f>
        <v>0</v>
      </c>
      <c r="BM382">
        <f>IF(예비비!$R382="OK",SUMIFS(예비비!$O$430:$O$729,예비비!$B$430:$B$729,예비비!$A382,예비비!$E$430:$E$729,"&lt;"&amp;EDATE(BM$99,1),예비비!$F$430:$F$729,"결제대금비")+MAX(0,IF(예비비!$D382&lt;EDATE(BM$99,1),예비비!$E382,0)-SUMIFS(예비비!$O$430:$O$729,예비비!$B$430:$B$729,예비비!$A382,예비비!$E$430:$E$729,"&lt;"&amp;EDATE(BM$99,1))),0)</f>
        <v>0</v>
      </c>
      <c r="BN382">
        <f>IF(예비비!$R382="OK",SUMIFS(예비비!$O$430:$O$729,예비비!$B$430:$B$729,예비비!$A382,예비비!$E$430:$E$729,"&lt;"&amp;EDATE(BN$99,1),예비비!$F$430:$F$729,"결제대금비")+MAX(0,IF(예비비!$D382&lt;EDATE(BN$99,1),예비비!$E382,0)-SUMIFS(예비비!$O$430:$O$729,예비비!$B$430:$B$729,예비비!$A382,예비비!$E$430:$E$729,"&lt;"&amp;EDATE(BN$99,1))),0)</f>
        <v>0</v>
      </c>
      <c r="BO382">
        <f>IF(예비비!$R382="OK",SUMIFS(예비비!$O$430:$O$729,예비비!$B$430:$B$729,예비비!$A382,예비비!$E$430:$E$729,"&lt;"&amp;EDATE(BO$99,1),예비비!$F$430:$F$729,"결제대금비")+MAX(0,IF(예비비!$D382&lt;EDATE(BO$99,1),예비비!$E382,0)-SUMIFS(예비비!$O$430:$O$729,예비비!$B$430:$B$729,예비비!$A382,예비비!$E$430:$E$729,"&lt;"&amp;EDATE(BO$99,1))),0)</f>
        <v>0</v>
      </c>
      <c r="BP382">
        <f>IF(예비비!$R382="OK",SUMIFS(예비비!$O$430:$O$729,예비비!$B$430:$B$729,예비비!$A382,예비비!$E$430:$E$729,"&lt;"&amp;EDATE(BP$99,1),예비비!$F$430:$F$729,"결제대금비")+MAX(0,IF(예비비!$D382&lt;EDATE(BP$99,1),예비비!$E382,0)-SUMIFS(예비비!$O$430:$O$729,예비비!$B$430:$B$729,예비비!$A382,예비비!$E$430:$E$729,"&lt;"&amp;EDATE(BP$99,1))),0)</f>
        <v>0</v>
      </c>
      <c r="BQ382">
        <f>IF(예비비!$R382="OK",SUMIFS(예비비!$O$430:$O$729,예비비!$B$430:$B$729,예비비!$A382,예비비!$E$430:$E$729,"&lt;"&amp;EDATE(BQ$99,1),예비비!$F$430:$F$729,"결제대금비")+MAX(0,IF(예비비!$D382&lt;EDATE(BQ$99,1),예비비!$E382,0)-SUMIFS(예비비!$O$430:$O$729,예비비!$B$430:$B$729,예비비!$A382,예비비!$E$430:$E$729,"&lt;"&amp;EDATE(BQ$99,1))),0)</f>
        <v>0</v>
      </c>
      <c r="BR382">
        <f>IF(예비비!$R382="OK",SUMIFS(예비비!$O$430:$O$729,예비비!$B$430:$B$729,예비비!$A382,예비비!$E$430:$E$729,"&lt;"&amp;EDATE(BR$99,1),예비비!$F$430:$F$729,"결제대금비")+MAX(0,IF(예비비!$D382&lt;EDATE(BR$99,1),예비비!$E382,0)-SUMIFS(예비비!$O$430:$O$729,예비비!$B$430:$B$729,예비비!$A382,예비비!$E$430:$E$729,"&lt;"&amp;EDATE(BR$99,1))),0)</f>
        <v>0</v>
      </c>
      <c r="BS382">
        <f>IF(예비비!$R382="OK",SUMIFS(예비비!$O$430:$O$729,예비비!$B$430:$B$729,예비비!$A382,예비비!$E$430:$E$729,"&lt;"&amp;EDATE(BS$99,1),예비비!$F$430:$F$729,"결제대금비")+MAX(0,IF(예비비!$D382&lt;EDATE(BS$99,1),예비비!$E382,0)-SUMIFS(예비비!$O$430:$O$729,예비비!$B$430:$B$729,예비비!$A382,예비비!$E$430:$E$729,"&lt;"&amp;EDATE(BS$99,1))),0)</f>
        <v>0</v>
      </c>
      <c r="BT382">
        <f>IF(예비비!$R382="OK",SUMIFS(예비비!$O$430:$O$729,예비비!$B$430:$B$729,예비비!$A382,예비비!$E$430:$E$729,"&lt;"&amp;EDATE(BT$99,1),예비비!$F$430:$F$729,"결제대금비")+MAX(0,IF(예비비!$D382&lt;EDATE(BT$99,1),예비비!$E382,0)-SUMIFS(예비비!$O$430:$O$729,예비비!$B$430:$B$729,예비비!$A382,예비비!$E$430:$E$729,"&lt;"&amp;EDATE(BT$99,1))),0)</f>
        <v>0</v>
      </c>
      <c r="BU382">
        <f>IF(예비비!$R382="OK",SUMIFS(예비비!$O$430:$O$729,예비비!$B$430:$B$729,예비비!$A382,예비비!$E$430:$E$729,"&lt;"&amp;EDATE(BU$99,1),예비비!$F$430:$F$729,"결제대금비")+MAX(0,IF(예비비!$D382&lt;EDATE(BU$99,1),예비비!$E382,0)-SUMIFS(예비비!$O$430:$O$729,예비비!$B$430:$B$729,예비비!$A382,예비비!$E$430:$E$729,"&lt;"&amp;EDATE(BU$99,1))),0)</f>
        <v>0</v>
      </c>
    </row>
    <row r="383">
      <c r="BA383">
        <v>327</v>
      </c>
      <c r="BB383" t="str">
        <f>IFERROR(INDEX(잔액!$A:$A,BA383),0)</f>
        <v>00:00:00</v>
      </c>
      <c r="BH383">
        <f>IFERROR(IF(AND(BB383&gt;0,OR(COUNTIFS(예비비!$C$430:$C$729,BA383,예비비!$N$430:$N$729,"OK")&gt;0,AND(INDEX(잔액!$J:$J,BA383)="가족통장",INDEX(잔액!$K:$K,BA383)="미래에셋_WRAP형CMA"),COUNTIF(예비비!$A$8:$A$12,INDEX(잔액!$C:$C,BA383))=1,COUNTIF(예비비!$A$8:$A$12,INDEX(잔액!$D:$D,BA383))=1),OR(AND(BB383&gt;=예비비!$B$3,BB383&lt;EDATE(예비비!$B$3,1)),AND(BB383&lt;EDATE(예비비!$B$3,1),COUNTIFS(예비비!$C$430:$C$729,BA383,예비비!$L$430:$L$729,예비비!$B$3,예비비!$N$430:$N$729,"OK")&gt;0))),MAX($BH$120:BH382)+1,0),0)</f>
        <v>0</v>
      </c>
      <c r="BI383">
        <f>IF(예비비!$R383="OK",SUMIFS(예비비!$O$430:$O$729,예비비!$B$430:$B$729,예비비!$A383,예비비!$E$430:$E$729,"&lt;"&amp;EDATE(BI$99,1),예비비!$F$430:$F$729,"결제대금비")+MAX(0,IF(예비비!$D383&lt;EDATE(BI$99,1),예비비!$E383,0)-SUMIFS(예비비!$O$430:$O$729,예비비!$B$430:$B$729,예비비!$A383,예비비!$E$430:$E$729,"&lt;"&amp;EDATE(BI$99,1))),0)</f>
        <v>0</v>
      </c>
      <c r="BJ383">
        <f>IF(예비비!$R383="OK",SUMIFS(예비비!$O$430:$O$729,예비비!$B$430:$B$729,예비비!$A383,예비비!$E$430:$E$729,"&lt;"&amp;EDATE(BJ$99,1),예비비!$F$430:$F$729,"결제대금비")+MAX(0,IF(예비비!$D383&lt;EDATE(BJ$99,1),예비비!$E383,0)-SUMIFS(예비비!$O$430:$O$729,예비비!$B$430:$B$729,예비비!$A383,예비비!$E$430:$E$729,"&lt;"&amp;EDATE(BJ$99,1))),0)</f>
        <v>0</v>
      </c>
      <c r="BK383">
        <f>IF(예비비!$R383="OK",SUMIFS(예비비!$O$430:$O$729,예비비!$B$430:$B$729,예비비!$A383,예비비!$E$430:$E$729,"&lt;"&amp;EDATE(BK$99,1),예비비!$F$430:$F$729,"결제대금비")+MAX(0,IF(예비비!$D383&lt;EDATE(BK$99,1),예비비!$E383,0)-SUMIFS(예비비!$O$430:$O$729,예비비!$B$430:$B$729,예비비!$A383,예비비!$E$430:$E$729,"&lt;"&amp;EDATE(BK$99,1))),0)</f>
        <v>0</v>
      </c>
      <c r="BL383">
        <f>IF(예비비!$R383="OK",SUMIFS(예비비!$O$430:$O$729,예비비!$B$430:$B$729,예비비!$A383,예비비!$E$430:$E$729,"&lt;"&amp;EDATE(BL$99,1),예비비!$F$430:$F$729,"결제대금비")+MAX(0,IF(예비비!$D383&lt;EDATE(BL$99,1),예비비!$E383,0)-SUMIFS(예비비!$O$430:$O$729,예비비!$B$430:$B$729,예비비!$A383,예비비!$E$430:$E$729,"&lt;"&amp;EDATE(BL$99,1))),0)</f>
        <v>0</v>
      </c>
      <c r="BM383">
        <f>IF(예비비!$R383="OK",SUMIFS(예비비!$O$430:$O$729,예비비!$B$430:$B$729,예비비!$A383,예비비!$E$430:$E$729,"&lt;"&amp;EDATE(BM$99,1),예비비!$F$430:$F$729,"결제대금비")+MAX(0,IF(예비비!$D383&lt;EDATE(BM$99,1),예비비!$E383,0)-SUMIFS(예비비!$O$430:$O$729,예비비!$B$430:$B$729,예비비!$A383,예비비!$E$430:$E$729,"&lt;"&amp;EDATE(BM$99,1))),0)</f>
        <v>0</v>
      </c>
      <c r="BN383">
        <f>IF(예비비!$R383="OK",SUMIFS(예비비!$O$430:$O$729,예비비!$B$430:$B$729,예비비!$A383,예비비!$E$430:$E$729,"&lt;"&amp;EDATE(BN$99,1),예비비!$F$430:$F$729,"결제대금비")+MAX(0,IF(예비비!$D383&lt;EDATE(BN$99,1),예비비!$E383,0)-SUMIFS(예비비!$O$430:$O$729,예비비!$B$430:$B$729,예비비!$A383,예비비!$E$430:$E$729,"&lt;"&amp;EDATE(BN$99,1))),0)</f>
        <v>0</v>
      </c>
      <c r="BO383">
        <f>IF(예비비!$R383="OK",SUMIFS(예비비!$O$430:$O$729,예비비!$B$430:$B$729,예비비!$A383,예비비!$E$430:$E$729,"&lt;"&amp;EDATE(BO$99,1),예비비!$F$430:$F$729,"결제대금비")+MAX(0,IF(예비비!$D383&lt;EDATE(BO$99,1),예비비!$E383,0)-SUMIFS(예비비!$O$430:$O$729,예비비!$B$430:$B$729,예비비!$A383,예비비!$E$430:$E$729,"&lt;"&amp;EDATE(BO$99,1))),0)</f>
        <v>0</v>
      </c>
      <c r="BP383">
        <f>IF(예비비!$R383="OK",SUMIFS(예비비!$O$430:$O$729,예비비!$B$430:$B$729,예비비!$A383,예비비!$E$430:$E$729,"&lt;"&amp;EDATE(BP$99,1),예비비!$F$430:$F$729,"결제대금비")+MAX(0,IF(예비비!$D383&lt;EDATE(BP$99,1),예비비!$E383,0)-SUMIFS(예비비!$O$430:$O$729,예비비!$B$430:$B$729,예비비!$A383,예비비!$E$430:$E$729,"&lt;"&amp;EDATE(BP$99,1))),0)</f>
        <v>0</v>
      </c>
      <c r="BQ383">
        <f>IF(예비비!$R383="OK",SUMIFS(예비비!$O$430:$O$729,예비비!$B$430:$B$729,예비비!$A383,예비비!$E$430:$E$729,"&lt;"&amp;EDATE(BQ$99,1),예비비!$F$430:$F$729,"결제대금비")+MAX(0,IF(예비비!$D383&lt;EDATE(BQ$99,1),예비비!$E383,0)-SUMIFS(예비비!$O$430:$O$729,예비비!$B$430:$B$729,예비비!$A383,예비비!$E$430:$E$729,"&lt;"&amp;EDATE(BQ$99,1))),0)</f>
        <v>0</v>
      </c>
      <c r="BR383">
        <f>IF(예비비!$R383="OK",SUMIFS(예비비!$O$430:$O$729,예비비!$B$430:$B$729,예비비!$A383,예비비!$E$430:$E$729,"&lt;"&amp;EDATE(BR$99,1),예비비!$F$430:$F$729,"결제대금비")+MAX(0,IF(예비비!$D383&lt;EDATE(BR$99,1),예비비!$E383,0)-SUMIFS(예비비!$O$430:$O$729,예비비!$B$430:$B$729,예비비!$A383,예비비!$E$430:$E$729,"&lt;"&amp;EDATE(BR$99,1))),0)</f>
        <v>0</v>
      </c>
      <c r="BS383">
        <f>IF(예비비!$R383="OK",SUMIFS(예비비!$O$430:$O$729,예비비!$B$430:$B$729,예비비!$A383,예비비!$E$430:$E$729,"&lt;"&amp;EDATE(BS$99,1),예비비!$F$430:$F$729,"결제대금비")+MAX(0,IF(예비비!$D383&lt;EDATE(BS$99,1),예비비!$E383,0)-SUMIFS(예비비!$O$430:$O$729,예비비!$B$430:$B$729,예비비!$A383,예비비!$E$430:$E$729,"&lt;"&amp;EDATE(BS$99,1))),0)</f>
        <v>0</v>
      </c>
      <c r="BT383">
        <f>IF(예비비!$R383="OK",SUMIFS(예비비!$O$430:$O$729,예비비!$B$430:$B$729,예비비!$A383,예비비!$E$430:$E$729,"&lt;"&amp;EDATE(BT$99,1),예비비!$F$430:$F$729,"결제대금비")+MAX(0,IF(예비비!$D383&lt;EDATE(BT$99,1),예비비!$E383,0)-SUMIFS(예비비!$O$430:$O$729,예비비!$B$430:$B$729,예비비!$A383,예비비!$E$430:$E$729,"&lt;"&amp;EDATE(BT$99,1))),0)</f>
        <v>0</v>
      </c>
      <c r="BU383">
        <f>IF(예비비!$R383="OK",SUMIFS(예비비!$O$430:$O$729,예비비!$B$430:$B$729,예비비!$A383,예비비!$E$430:$E$729,"&lt;"&amp;EDATE(BU$99,1),예비비!$F$430:$F$729,"결제대금비")+MAX(0,IF(예비비!$D383&lt;EDATE(BU$99,1),예비비!$E383,0)-SUMIFS(예비비!$O$430:$O$729,예비비!$B$430:$B$729,예비비!$A383,예비비!$E$430:$E$729,"&lt;"&amp;EDATE(BU$99,1))),0)</f>
        <v>0</v>
      </c>
    </row>
    <row r="384">
      <c r="BA384">
        <v>328</v>
      </c>
      <c r="BB384" t="str">
        <f>IFERROR(INDEX(잔액!$A:$A,BA384),0)</f>
        <v>00:00:00</v>
      </c>
      <c r="BH384">
        <f>IFERROR(IF(AND(BB384&gt;0,OR(COUNTIFS(예비비!$C$430:$C$729,BA384,예비비!$N$430:$N$729,"OK")&gt;0,AND(INDEX(잔액!$J:$J,BA384)="가족통장",INDEX(잔액!$K:$K,BA384)="미래에셋_WRAP형CMA"),COUNTIF(예비비!$A$8:$A$12,INDEX(잔액!$C:$C,BA384))=1,COUNTIF(예비비!$A$8:$A$12,INDEX(잔액!$D:$D,BA384))=1),OR(AND(BB384&gt;=예비비!$B$3,BB384&lt;EDATE(예비비!$B$3,1)),AND(BB384&lt;EDATE(예비비!$B$3,1),COUNTIFS(예비비!$C$430:$C$729,BA384,예비비!$L$430:$L$729,예비비!$B$3,예비비!$N$430:$N$729,"OK")&gt;0))),MAX($BH$120:BH383)+1,0),0)</f>
        <v>0</v>
      </c>
      <c r="BI384">
        <f>IF(예비비!$R384="OK",SUMIFS(예비비!$O$430:$O$729,예비비!$B$430:$B$729,예비비!$A384,예비비!$E$430:$E$729,"&lt;"&amp;EDATE(BI$99,1),예비비!$F$430:$F$729,"결제대금비")+MAX(0,IF(예비비!$D384&lt;EDATE(BI$99,1),예비비!$E384,0)-SUMIFS(예비비!$O$430:$O$729,예비비!$B$430:$B$729,예비비!$A384,예비비!$E$430:$E$729,"&lt;"&amp;EDATE(BI$99,1))),0)</f>
        <v>0</v>
      </c>
      <c r="BJ384">
        <f>IF(예비비!$R384="OK",SUMIFS(예비비!$O$430:$O$729,예비비!$B$430:$B$729,예비비!$A384,예비비!$E$430:$E$729,"&lt;"&amp;EDATE(BJ$99,1),예비비!$F$430:$F$729,"결제대금비")+MAX(0,IF(예비비!$D384&lt;EDATE(BJ$99,1),예비비!$E384,0)-SUMIFS(예비비!$O$430:$O$729,예비비!$B$430:$B$729,예비비!$A384,예비비!$E$430:$E$729,"&lt;"&amp;EDATE(BJ$99,1))),0)</f>
        <v>0</v>
      </c>
      <c r="BK384">
        <f>IF(예비비!$R384="OK",SUMIFS(예비비!$O$430:$O$729,예비비!$B$430:$B$729,예비비!$A384,예비비!$E$430:$E$729,"&lt;"&amp;EDATE(BK$99,1),예비비!$F$430:$F$729,"결제대금비")+MAX(0,IF(예비비!$D384&lt;EDATE(BK$99,1),예비비!$E384,0)-SUMIFS(예비비!$O$430:$O$729,예비비!$B$430:$B$729,예비비!$A384,예비비!$E$430:$E$729,"&lt;"&amp;EDATE(BK$99,1))),0)</f>
        <v>0</v>
      </c>
      <c r="BL384">
        <f>IF(예비비!$R384="OK",SUMIFS(예비비!$O$430:$O$729,예비비!$B$430:$B$729,예비비!$A384,예비비!$E$430:$E$729,"&lt;"&amp;EDATE(BL$99,1),예비비!$F$430:$F$729,"결제대금비")+MAX(0,IF(예비비!$D384&lt;EDATE(BL$99,1),예비비!$E384,0)-SUMIFS(예비비!$O$430:$O$729,예비비!$B$430:$B$729,예비비!$A384,예비비!$E$430:$E$729,"&lt;"&amp;EDATE(BL$99,1))),0)</f>
        <v>0</v>
      </c>
      <c r="BM384">
        <f>IF(예비비!$R384="OK",SUMIFS(예비비!$O$430:$O$729,예비비!$B$430:$B$729,예비비!$A384,예비비!$E$430:$E$729,"&lt;"&amp;EDATE(BM$99,1),예비비!$F$430:$F$729,"결제대금비")+MAX(0,IF(예비비!$D384&lt;EDATE(BM$99,1),예비비!$E384,0)-SUMIFS(예비비!$O$430:$O$729,예비비!$B$430:$B$729,예비비!$A384,예비비!$E$430:$E$729,"&lt;"&amp;EDATE(BM$99,1))),0)</f>
        <v>0</v>
      </c>
      <c r="BN384">
        <f>IF(예비비!$R384="OK",SUMIFS(예비비!$O$430:$O$729,예비비!$B$430:$B$729,예비비!$A384,예비비!$E$430:$E$729,"&lt;"&amp;EDATE(BN$99,1),예비비!$F$430:$F$729,"결제대금비")+MAX(0,IF(예비비!$D384&lt;EDATE(BN$99,1),예비비!$E384,0)-SUMIFS(예비비!$O$430:$O$729,예비비!$B$430:$B$729,예비비!$A384,예비비!$E$430:$E$729,"&lt;"&amp;EDATE(BN$99,1))),0)</f>
        <v>0</v>
      </c>
      <c r="BO384">
        <f>IF(예비비!$R384="OK",SUMIFS(예비비!$O$430:$O$729,예비비!$B$430:$B$729,예비비!$A384,예비비!$E$430:$E$729,"&lt;"&amp;EDATE(BO$99,1),예비비!$F$430:$F$729,"결제대금비")+MAX(0,IF(예비비!$D384&lt;EDATE(BO$99,1),예비비!$E384,0)-SUMIFS(예비비!$O$430:$O$729,예비비!$B$430:$B$729,예비비!$A384,예비비!$E$430:$E$729,"&lt;"&amp;EDATE(BO$99,1))),0)</f>
        <v>0</v>
      </c>
      <c r="BP384">
        <f>IF(예비비!$R384="OK",SUMIFS(예비비!$O$430:$O$729,예비비!$B$430:$B$729,예비비!$A384,예비비!$E$430:$E$729,"&lt;"&amp;EDATE(BP$99,1),예비비!$F$430:$F$729,"결제대금비")+MAX(0,IF(예비비!$D384&lt;EDATE(BP$99,1),예비비!$E384,0)-SUMIFS(예비비!$O$430:$O$729,예비비!$B$430:$B$729,예비비!$A384,예비비!$E$430:$E$729,"&lt;"&amp;EDATE(BP$99,1))),0)</f>
        <v>0</v>
      </c>
      <c r="BQ384">
        <f>IF(예비비!$R384="OK",SUMIFS(예비비!$O$430:$O$729,예비비!$B$430:$B$729,예비비!$A384,예비비!$E$430:$E$729,"&lt;"&amp;EDATE(BQ$99,1),예비비!$F$430:$F$729,"결제대금비")+MAX(0,IF(예비비!$D384&lt;EDATE(BQ$99,1),예비비!$E384,0)-SUMIFS(예비비!$O$430:$O$729,예비비!$B$430:$B$729,예비비!$A384,예비비!$E$430:$E$729,"&lt;"&amp;EDATE(BQ$99,1))),0)</f>
        <v>0</v>
      </c>
      <c r="BR384">
        <f>IF(예비비!$R384="OK",SUMIFS(예비비!$O$430:$O$729,예비비!$B$430:$B$729,예비비!$A384,예비비!$E$430:$E$729,"&lt;"&amp;EDATE(BR$99,1),예비비!$F$430:$F$729,"결제대금비")+MAX(0,IF(예비비!$D384&lt;EDATE(BR$99,1),예비비!$E384,0)-SUMIFS(예비비!$O$430:$O$729,예비비!$B$430:$B$729,예비비!$A384,예비비!$E$430:$E$729,"&lt;"&amp;EDATE(BR$99,1))),0)</f>
        <v>0</v>
      </c>
      <c r="BS384">
        <f>IF(예비비!$R384="OK",SUMIFS(예비비!$O$430:$O$729,예비비!$B$430:$B$729,예비비!$A384,예비비!$E$430:$E$729,"&lt;"&amp;EDATE(BS$99,1),예비비!$F$430:$F$729,"결제대금비")+MAX(0,IF(예비비!$D384&lt;EDATE(BS$99,1),예비비!$E384,0)-SUMIFS(예비비!$O$430:$O$729,예비비!$B$430:$B$729,예비비!$A384,예비비!$E$430:$E$729,"&lt;"&amp;EDATE(BS$99,1))),0)</f>
        <v>0</v>
      </c>
      <c r="BT384">
        <f>IF(예비비!$R384="OK",SUMIFS(예비비!$O$430:$O$729,예비비!$B$430:$B$729,예비비!$A384,예비비!$E$430:$E$729,"&lt;"&amp;EDATE(BT$99,1),예비비!$F$430:$F$729,"결제대금비")+MAX(0,IF(예비비!$D384&lt;EDATE(BT$99,1),예비비!$E384,0)-SUMIFS(예비비!$O$430:$O$729,예비비!$B$430:$B$729,예비비!$A384,예비비!$E$430:$E$729,"&lt;"&amp;EDATE(BT$99,1))),0)</f>
        <v>0</v>
      </c>
      <c r="BU384">
        <f>IF(예비비!$R384="OK",SUMIFS(예비비!$O$430:$O$729,예비비!$B$430:$B$729,예비비!$A384,예비비!$E$430:$E$729,"&lt;"&amp;EDATE(BU$99,1),예비비!$F$430:$F$729,"결제대금비")+MAX(0,IF(예비비!$D384&lt;EDATE(BU$99,1),예비비!$E384,0)-SUMIFS(예비비!$O$430:$O$729,예비비!$B$430:$B$729,예비비!$A384,예비비!$E$430:$E$729,"&lt;"&amp;EDATE(BU$99,1))),0)</f>
        <v>0</v>
      </c>
    </row>
    <row r="385">
      <c r="BA385">
        <v>329</v>
      </c>
      <c r="BB385" t="str">
        <f>IFERROR(INDEX(잔액!$A:$A,BA385),0)</f>
        <v>00:00:00</v>
      </c>
      <c r="BH385">
        <f>IFERROR(IF(AND(BB385&gt;0,OR(COUNTIFS(예비비!$C$430:$C$729,BA385,예비비!$N$430:$N$729,"OK")&gt;0,AND(INDEX(잔액!$J:$J,BA385)="가족통장",INDEX(잔액!$K:$K,BA385)="미래에셋_WRAP형CMA"),COUNTIF(예비비!$A$8:$A$12,INDEX(잔액!$C:$C,BA385))=1,COUNTIF(예비비!$A$8:$A$12,INDEX(잔액!$D:$D,BA385))=1),OR(AND(BB385&gt;=예비비!$B$3,BB385&lt;EDATE(예비비!$B$3,1)),AND(BB385&lt;EDATE(예비비!$B$3,1),COUNTIFS(예비비!$C$430:$C$729,BA385,예비비!$L$430:$L$729,예비비!$B$3,예비비!$N$430:$N$729,"OK")&gt;0))),MAX($BH$120:BH384)+1,0),0)</f>
        <v>0</v>
      </c>
      <c r="BI385">
        <f>IF(예비비!$R385="OK",SUMIFS(예비비!$O$430:$O$729,예비비!$B$430:$B$729,예비비!$A385,예비비!$E$430:$E$729,"&lt;"&amp;EDATE(BI$99,1),예비비!$F$430:$F$729,"결제대금비")+MAX(0,IF(예비비!$D385&lt;EDATE(BI$99,1),예비비!$E385,0)-SUMIFS(예비비!$O$430:$O$729,예비비!$B$430:$B$729,예비비!$A385,예비비!$E$430:$E$729,"&lt;"&amp;EDATE(BI$99,1))),0)</f>
        <v>0</v>
      </c>
      <c r="BJ385">
        <f>IF(예비비!$R385="OK",SUMIFS(예비비!$O$430:$O$729,예비비!$B$430:$B$729,예비비!$A385,예비비!$E$430:$E$729,"&lt;"&amp;EDATE(BJ$99,1),예비비!$F$430:$F$729,"결제대금비")+MAX(0,IF(예비비!$D385&lt;EDATE(BJ$99,1),예비비!$E385,0)-SUMIFS(예비비!$O$430:$O$729,예비비!$B$430:$B$729,예비비!$A385,예비비!$E$430:$E$729,"&lt;"&amp;EDATE(BJ$99,1))),0)</f>
        <v>0</v>
      </c>
      <c r="BK385">
        <f>IF(예비비!$R385="OK",SUMIFS(예비비!$O$430:$O$729,예비비!$B$430:$B$729,예비비!$A385,예비비!$E$430:$E$729,"&lt;"&amp;EDATE(BK$99,1),예비비!$F$430:$F$729,"결제대금비")+MAX(0,IF(예비비!$D385&lt;EDATE(BK$99,1),예비비!$E385,0)-SUMIFS(예비비!$O$430:$O$729,예비비!$B$430:$B$729,예비비!$A385,예비비!$E$430:$E$729,"&lt;"&amp;EDATE(BK$99,1))),0)</f>
        <v>0</v>
      </c>
      <c r="BL385">
        <f>IF(예비비!$R385="OK",SUMIFS(예비비!$O$430:$O$729,예비비!$B$430:$B$729,예비비!$A385,예비비!$E$430:$E$729,"&lt;"&amp;EDATE(BL$99,1),예비비!$F$430:$F$729,"결제대금비")+MAX(0,IF(예비비!$D385&lt;EDATE(BL$99,1),예비비!$E385,0)-SUMIFS(예비비!$O$430:$O$729,예비비!$B$430:$B$729,예비비!$A385,예비비!$E$430:$E$729,"&lt;"&amp;EDATE(BL$99,1))),0)</f>
        <v>0</v>
      </c>
      <c r="BM385">
        <f>IF(예비비!$R385="OK",SUMIFS(예비비!$O$430:$O$729,예비비!$B$430:$B$729,예비비!$A385,예비비!$E$430:$E$729,"&lt;"&amp;EDATE(BM$99,1),예비비!$F$430:$F$729,"결제대금비")+MAX(0,IF(예비비!$D385&lt;EDATE(BM$99,1),예비비!$E385,0)-SUMIFS(예비비!$O$430:$O$729,예비비!$B$430:$B$729,예비비!$A385,예비비!$E$430:$E$729,"&lt;"&amp;EDATE(BM$99,1))),0)</f>
        <v>0</v>
      </c>
      <c r="BN385">
        <f>IF(예비비!$R385="OK",SUMIFS(예비비!$O$430:$O$729,예비비!$B$430:$B$729,예비비!$A385,예비비!$E$430:$E$729,"&lt;"&amp;EDATE(BN$99,1),예비비!$F$430:$F$729,"결제대금비")+MAX(0,IF(예비비!$D385&lt;EDATE(BN$99,1),예비비!$E385,0)-SUMIFS(예비비!$O$430:$O$729,예비비!$B$430:$B$729,예비비!$A385,예비비!$E$430:$E$729,"&lt;"&amp;EDATE(BN$99,1))),0)</f>
        <v>0</v>
      </c>
      <c r="BO385">
        <f>IF(예비비!$R385="OK",SUMIFS(예비비!$O$430:$O$729,예비비!$B$430:$B$729,예비비!$A385,예비비!$E$430:$E$729,"&lt;"&amp;EDATE(BO$99,1),예비비!$F$430:$F$729,"결제대금비")+MAX(0,IF(예비비!$D385&lt;EDATE(BO$99,1),예비비!$E385,0)-SUMIFS(예비비!$O$430:$O$729,예비비!$B$430:$B$729,예비비!$A385,예비비!$E$430:$E$729,"&lt;"&amp;EDATE(BO$99,1))),0)</f>
        <v>0</v>
      </c>
      <c r="BP385">
        <f>IF(예비비!$R385="OK",SUMIFS(예비비!$O$430:$O$729,예비비!$B$430:$B$729,예비비!$A385,예비비!$E$430:$E$729,"&lt;"&amp;EDATE(BP$99,1),예비비!$F$430:$F$729,"결제대금비")+MAX(0,IF(예비비!$D385&lt;EDATE(BP$99,1),예비비!$E385,0)-SUMIFS(예비비!$O$430:$O$729,예비비!$B$430:$B$729,예비비!$A385,예비비!$E$430:$E$729,"&lt;"&amp;EDATE(BP$99,1))),0)</f>
        <v>0</v>
      </c>
      <c r="BQ385">
        <f>IF(예비비!$R385="OK",SUMIFS(예비비!$O$430:$O$729,예비비!$B$430:$B$729,예비비!$A385,예비비!$E$430:$E$729,"&lt;"&amp;EDATE(BQ$99,1),예비비!$F$430:$F$729,"결제대금비")+MAX(0,IF(예비비!$D385&lt;EDATE(BQ$99,1),예비비!$E385,0)-SUMIFS(예비비!$O$430:$O$729,예비비!$B$430:$B$729,예비비!$A385,예비비!$E$430:$E$729,"&lt;"&amp;EDATE(BQ$99,1))),0)</f>
        <v>0</v>
      </c>
      <c r="BR385">
        <f>IF(예비비!$R385="OK",SUMIFS(예비비!$O$430:$O$729,예비비!$B$430:$B$729,예비비!$A385,예비비!$E$430:$E$729,"&lt;"&amp;EDATE(BR$99,1),예비비!$F$430:$F$729,"결제대금비")+MAX(0,IF(예비비!$D385&lt;EDATE(BR$99,1),예비비!$E385,0)-SUMIFS(예비비!$O$430:$O$729,예비비!$B$430:$B$729,예비비!$A385,예비비!$E$430:$E$729,"&lt;"&amp;EDATE(BR$99,1))),0)</f>
        <v>0</v>
      </c>
      <c r="BS385">
        <f>IF(예비비!$R385="OK",SUMIFS(예비비!$O$430:$O$729,예비비!$B$430:$B$729,예비비!$A385,예비비!$E$430:$E$729,"&lt;"&amp;EDATE(BS$99,1),예비비!$F$430:$F$729,"결제대금비")+MAX(0,IF(예비비!$D385&lt;EDATE(BS$99,1),예비비!$E385,0)-SUMIFS(예비비!$O$430:$O$729,예비비!$B$430:$B$729,예비비!$A385,예비비!$E$430:$E$729,"&lt;"&amp;EDATE(BS$99,1))),0)</f>
        <v>0</v>
      </c>
      <c r="BT385">
        <f>IF(예비비!$R385="OK",SUMIFS(예비비!$O$430:$O$729,예비비!$B$430:$B$729,예비비!$A385,예비비!$E$430:$E$729,"&lt;"&amp;EDATE(BT$99,1),예비비!$F$430:$F$729,"결제대금비")+MAX(0,IF(예비비!$D385&lt;EDATE(BT$99,1),예비비!$E385,0)-SUMIFS(예비비!$O$430:$O$729,예비비!$B$430:$B$729,예비비!$A385,예비비!$E$430:$E$729,"&lt;"&amp;EDATE(BT$99,1))),0)</f>
        <v>0</v>
      </c>
      <c r="BU385">
        <f>IF(예비비!$R385="OK",SUMIFS(예비비!$O$430:$O$729,예비비!$B$430:$B$729,예비비!$A385,예비비!$E$430:$E$729,"&lt;"&amp;EDATE(BU$99,1),예비비!$F$430:$F$729,"결제대금비")+MAX(0,IF(예비비!$D385&lt;EDATE(BU$99,1),예비비!$E385,0)-SUMIFS(예비비!$O$430:$O$729,예비비!$B$430:$B$729,예비비!$A385,예비비!$E$430:$E$729,"&lt;"&amp;EDATE(BU$99,1))),0)</f>
        <v>0</v>
      </c>
    </row>
    <row r="386">
      <c r="BA386">
        <v>330</v>
      </c>
      <c r="BB386" t="str">
        <f>IFERROR(INDEX(잔액!$A:$A,BA386),0)</f>
        <v>00:00:00</v>
      </c>
      <c r="BH386">
        <f>IFERROR(IF(AND(BB386&gt;0,OR(COUNTIFS(예비비!$C$430:$C$729,BA386,예비비!$N$430:$N$729,"OK")&gt;0,AND(INDEX(잔액!$J:$J,BA386)="가족통장",INDEX(잔액!$K:$K,BA386)="미래에셋_WRAP형CMA"),COUNTIF(예비비!$A$8:$A$12,INDEX(잔액!$C:$C,BA386))=1,COUNTIF(예비비!$A$8:$A$12,INDEX(잔액!$D:$D,BA386))=1),OR(AND(BB386&gt;=예비비!$B$3,BB386&lt;EDATE(예비비!$B$3,1)),AND(BB386&lt;EDATE(예비비!$B$3,1),COUNTIFS(예비비!$C$430:$C$729,BA386,예비비!$L$430:$L$729,예비비!$B$3,예비비!$N$430:$N$729,"OK")&gt;0))),MAX($BH$120:BH385)+1,0),0)</f>
        <v>0</v>
      </c>
      <c r="BI386">
        <f>IF(예비비!$R386="OK",SUMIFS(예비비!$O$430:$O$729,예비비!$B$430:$B$729,예비비!$A386,예비비!$E$430:$E$729,"&lt;"&amp;EDATE(BI$99,1),예비비!$F$430:$F$729,"결제대금비")+MAX(0,IF(예비비!$D386&lt;EDATE(BI$99,1),예비비!$E386,0)-SUMIFS(예비비!$O$430:$O$729,예비비!$B$430:$B$729,예비비!$A386,예비비!$E$430:$E$729,"&lt;"&amp;EDATE(BI$99,1))),0)</f>
        <v>0</v>
      </c>
      <c r="BJ386">
        <f>IF(예비비!$R386="OK",SUMIFS(예비비!$O$430:$O$729,예비비!$B$430:$B$729,예비비!$A386,예비비!$E$430:$E$729,"&lt;"&amp;EDATE(BJ$99,1),예비비!$F$430:$F$729,"결제대금비")+MAX(0,IF(예비비!$D386&lt;EDATE(BJ$99,1),예비비!$E386,0)-SUMIFS(예비비!$O$430:$O$729,예비비!$B$430:$B$729,예비비!$A386,예비비!$E$430:$E$729,"&lt;"&amp;EDATE(BJ$99,1))),0)</f>
        <v>0</v>
      </c>
      <c r="BK386">
        <f>IF(예비비!$R386="OK",SUMIFS(예비비!$O$430:$O$729,예비비!$B$430:$B$729,예비비!$A386,예비비!$E$430:$E$729,"&lt;"&amp;EDATE(BK$99,1),예비비!$F$430:$F$729,"결제대금비")+MAX(0,IF(예비비!$D386&lt;EDATE(BK$99,1),예비비!$E386,0)-SUMIFS(예비비!$O$430:$O$729,예비비!$B$430:$B$729,예비비!$A386,예비비!$E$430:$E$729,"&lt;"&amp;EDATE(BK$99,1))),0)</f>
        <v>0</v>
      </c>
      <c r="BL386">
        <f>IF(예비비!$R386="OK",SUMIFS(예비비!$O$430:$O$729,예비비!$B$430:$B$729,예비비!$A386,예비비!$E$430:$E$729,"&lt;"&amp;EDATE(BL$99,1),예비비!$F$430:$F$729,"결제대금비")+MAX(0,IF(예비비!$D386&lt;EDATE(BL$99,1),예비비!$E386,0)-SUMIFS(예비비!$O$430:$O$729,예비비!$B$430:$B$729,예비비!$A386,예비비!$E$430:$E$729,"&lt;"&amp;EDATE(BL$99,1))),0)</f>
        <v>0</v>
      </c>
      <c r="BM386">
        <f>IF(예비비!$R386="OK",SUMIFS(예비비!$O$430:$O$729,예비비!$B$430:$B$729,예비비!$A386,예비비!$E$430:$E$729,"&lt;"&amp;EDATE(BM$99,1),예비비!$F$430:$F$729,"결제대금비")+MAX(0,IF(예비비!$D386&lt;EDATE(BM$99,1),예비비!$E386,0)-SUMIFS(예비비!$O$430:$O$729,예비비!$B$430:$B$729,예비비!$A386,예비비!$E$430:$E$729,"&lt;"&amp;EDATE(BM$99,1))),0)</f>
        <v>0</v>
      </c>
      <c r="BN386">
        <f>IF(예비비!$R386="OK",SUMIFS(예비비!$O$430:$O$729,예비비!$B$430:$B$729,예비비!$A386,예비비!$E$430:$E$729,"&lt;"&amp;EDATE(BN$99,1),예비비!$F$430:$F$729,"결제대금비")+MAX(0,IF(예비비!$D386&lt;EDATE(BN$99,1),예비비!$E386,0)-SUMIFS(예비비!$O$430:$O$729,예비비!$B$430:$B$729,예비비!$A386,예비비!$E$430:$E$729,"&lt;"&amp;EDATE(BN$99,1))),0)</f>
        <v>0</v>
      </c>
      <c r="BO386">
        <f>IF(예비비!$R386="OK",SUMIFS(예비비!$O$430:$O$729,예비비!$B$430:$B$729,예비비!$A386,예비비!$E$430:$E$729,"&lt;"&amp;EDATE(BO$99,1),예비비!$F$430:$F$729,"결제대금비")+MAX(0,IF(예비비!$D386&lt;EDATE(BO$99,1),예비비!$E386,0)-SUMIFS(예비비!$O$430:$O$729,예비비!$B$430:$B$729,예비비!$A386,예비비!$E$430:$E$729,"&lt;"&amp;EDATE(BO$99,1))),0)</f>
        <v>0</v>
      </c>
      <c r="BP386">
        <f>IF(예비비!$R386="OK",SUMIFS(예비비!$O$430:$O$729,예비비!$B$430:$B$729,예비비!$A386,예비비!$E$430:$E$729,"&lt;"&amp;EDATE(BP$99,1),예비비!$F$430:$F$729,"결제대금비")+MAX(0,IF(예비비!$D386&lt;EDATE(BP$99,1),예비비!$E386,0)-SUMIFS(예비비!$O$430:$O$729,예비비!$B$430:$B$729,예비비!$A386,예비비!$E$430:$E$729,"&lt;"&amp;EDATE(BP$99,1))),0)</f>
        <v>0</v>
      </c>
      <c r="BQ386">
        <f>IF(예비비!$R386="OK",SUMIFS(예비비!$O$430:$O$729,예비비!$B$430:$B$729,예비비!$A386,예비비!$E$430:$E$729,"&lt;"&amp;EDATE(BQ$99,1),예비비!$F$430:$F$729,"결제대금비")+MAX(0,IF(예비비!$D386&lt;EDATE(BQ$99,1),예비비!$E386,0)-SUMIFS(예비비!$O$430:$O$729,예비비!$B$430:$B$729,예비비!$A386,예비비!$E$430:$E$729,"&lt;"&amp;EDATE(BQ$99,1))),0)</f>
        <v>0</v>
      </c>
      <c r="BR386">
        <f>IF(예비비!$R386="OK",SUMIFS(예비비!$O$430:$O$729,예비비!$B$430:$B$729,예비비!$A386,예비비!$E$430:$E$729,"&lt;"&amp;EDATE(BR$99,1),예비비!$F$430:$F$729,"결제대금비")+MAX(0,IF(예비비!$D386&lt;EDATE(BR$99,1),예비비!$E386,0)-SUMIFS(예비비!$O$430:$O$729,예비비!$B$430:$B$729,예비비!$A386,예비비!$E$430:$E$729,"&lt;"&amp;EDATE(BR$99,1))),0)</f>
        <v>0</v>
      </c>
      <c r="BS386">
        <f>IF(예비비!$R386="OK",SUMIFS(예비비!$O$430:$O$729,예비비!$B$430:$B$729,예비비!$A386,예비비!$E$430:$E$729,"&lt;"&amp;EDATE(BS$99,1),예비비!$F$430:$F$729,"결제대금비")+MAX(0,IF(예비비!$D386&lt;EDATE(BS$99,1),예비비!$E386,0)-SUMIFS(예비비!$O$430:$O$729,예비비!$B$430:$B$729,예비비!$A386,예비비!$E$430:$E$729,"&lt;"&amp;EDATE(BS$99,1))),0)</f>
        <v>0</v>
      </c>
      <c r="BT386">
        <f>IF(예비비!$R386="OK",SUMIFS(예비비!$O$430:$O$729,예비비!$B$430:$B$729,예비비!$A386,예비비!$E$430:$E$729,"&lt;"&amp;EDATE(BT$99,1),예비비!$F$430:$F$729,"결제대금비")+MAX(0,IF(예비비!$D386&lt;EDATE(BT$99,1),예비비!$E386,0)-SUMIFS(예비비!$O$430:$O$729,예비비!$B$430:$B$729,예비비!$A386,예비비!$E$430:$E$729,"&lt;"&amp;EDATE(BT$99,1))),0)</f>
        <v>0</v>
      </c>
      <c r="BU386">
        <f>IF(예비비!$R386="OK",SUMIFS(예비비!$O$430:$O$729,예비비!$B$430:$B$729,예비비!$A386,예비비!$E$430:$E$729,"&lt;"&amp;EDATE(BU$99,1),예비비!$F$430:$F$729,"결제대금비")+MAX(0,IF(예비비!$D386&lt;EDATE(BU$99,1),예비비!$E386,0)-SUMIFS(예비비!$O$430:$O$729,예비비!$B$430:$B$729,예비비!$A386,예비비!$E$430:$E$729,"&lt;"&amp;EDATE(BU$99,1))),0)</f>
        <v>0</v>
      </c>
    </row>
    <row r="387">
      <c r="BA387">
        <v>331</v>
      </c>
      <c r="BB387" t="str">
        <f>IFERROR(INDEX(잔액!$A:$A,BA387),0)</f>
        <v>00:00:00</v>
      </c>
      <c r="BH387">
        <f>IFERROR(IF(AND(BB387&gt;0,OR(COUNTIFS(예비비!$C$430:$C$729,BA387,예비비!$N$430:$N$729,"OK")&gt;0,AND(INDEX(잔액!$J:$J,BA387)="가족통장",INDEX(잔액!$K:$K,BA387)="미래에셋_WRAP형CMA"),COUNTIF(예비비!$A$8:$A$12,INDEX(잔액!$C:$C,BA387))=1,COUNTIF(예비비!$A$8:$A$12,INDEX(잔액!$D:$D,BA387))=1),OR(AND(BB387&gt;=예비비!$B$3,BB387&lt;EDATE(예비비!$B$3,1)),AND(BB387&lt;EDATE(예비비!$B$3,1),COUNTIFS(예비비!$C$430:$C$729,BA387,예비비!$L$430:$L$729,예비비!$B$3,예비비!$N$430:$N$729,"OK")&gt;0))),MAX($BH$120:BH386)+1,0),0)</f>
        <v>0</v>
      </c>
      <c r="BI387">
        <f>IF(예비비!$R387="OK",SUMIFS(예비비!$O$430:$O$729,예비비!$B$430:$B$729,예비비!$A387,예비비!$E$430:$E$729,"&lt;"&amp;EDATE(BI$99,1),예비비!$F$430:$F$729,"결제대금비")+MAX(0,IF(예비비!$D387&lt;EDATE(BI$99,1),예비비!$E387,0)-SUMIFS(예비비!$O$430:$O$729,예비비!$B$430:$B$729,예비비!$A387,예비비!$E$430:$E$729,"&lt;"&amp;EDATE(BI$99,1))),0)</f>
        <v>0</v>
      </c>
      <c r="BJ387">
        <f>IF(예비비!$R387="OK",SUMIFS(예비비!$O$430:$O$729,예비비!$B$430:$B$729,예비비!$A387,예비비!$E$430:$E$729,"&lt;"&amp;EDATE(BJ$99,1),예비비!$F$430:$F$729,"결제대금비")+MAX(0,IF(예비비!$D387&lt;EDATE(BJ$99,1),예비비!$E387,0)-SUMIFS(예비비!$O$430:$O$729,예비비!$B$430:$B$729,예비비!$A387,예비비!$E$430:$E$729,"&lt;"&amp;EDATE(BJ$99,1))),0)</f>
        <v>0</v>
      </c>
      <c r="BK387">
        <f>IF(예비비!$R387="OK",SUMIFS(예비비!$O$430:$O$729,예비비!$B$430:$B$729,예비비!$A387,예비비!$E$430:$E$729,"&lt;"&amp;EDATE(BK$99,1),예비비!$F$430:$F$729,"결제대금비")+MAX(0,IF(예비비!$D387&lt;EDATE(BK$99,1),예비비!$E387,0)-SUMIFS(예비비!$O$430:$O$729,예비비!$B$430:$B$729,예비비!$A387,예비비!$E$430:$E$729,"&lt;"&amp;EDATE(BK$99,1))),0)</f>
        <v>0</v>
      </c>
      <c r="BL387">
        <f>IF(예비비!$R387="OK",SUMIFS(예비비!$O$430:$O$729,예비비!$B$430:$B$729,예비비!$A387,예비비!$E$430:$E$729,"&lt;"&amp;EDATE(BL$99,1),예비비!$F$430:$F$729,"결제대금비")+MAX(0,IF(예비비!$D387&lt;EDATE(BL$99,1),예비비!$E387,0)-SUMIFS(예비비!$O$430:$O$729,예비비!$B$430:$B$729,예비비!$A387,예비비!$E$430:$E$729,"&lt;"&amp;EDATE(BL$99,1))),0)</f>
        <v>0</v>
      </c>
      <c r="BM387">
        <f>IF(예비비!$R387="OK",SUMIFS(예비비!$O$430:$O$729,예비비!$B$430:$B$729,예비비!$A387,예비비!$E$430:$E$729,"&lt;"&amp;EDATE(BM$99,1),예비비!$F$430:$F$729,"결제대금비")+MAX(0,IF(예비비!$D387&lt;EDATE(BM$99,1),예비비!$E387,0)-SUMIFS(예비비!$O$430:$O$729,예비비!$B$430:$B$729,예비비!$A387,예비비!$E$430:$E$729,"&lt;"&amp;EDATE(BM$99,1))),0)</f>
        <v>0</v>
      </c>
      <c r="BN387">
        <f>IF(예비비!$R387="OK",SUMIFS(예비비!$O$430:$O$729,예비비!$B$430:$B$729,예비비!$A387,예비비!$E$430:$E$729,"&lt;"&amp;EDATE(BN$99,1),예비비!$F$430:$F$729,"결제대금비")+MAX(0,IF(예비비!$D387&lt;EDATE(BN$99,1),예비비!$E387,0)-SUMIFS(예비비!$O$430:$O$729,예비비!$B$430:$B$729,예비비!$A387,예비비!$E$430:$E$729,"&lt;"&amp;EDATE(BN$99,1))),0)</f>
        <v>0</v>
      </c>
      <c r="BO387">
        <f>IF(예비비!$R387="OK",SUMIFS(예비비!$O$430:$O$729,예비비!$B$430:$B$729,예비비!$A387,예비비!$E$430:$E$729,"&lt;"&amp;EDATE(BO$99,1),예비비!$F$430:$F$729,"결제대금비")+MAX(0,IF(예비비!$D387&lt;EDATE(BO$99,1),예비비!$E387,0)-SUMIFS(예비비!$O$430:$O$729,예비비!$B$430:$B$729,예비비!$A387,예비비!$E$430:$E$729,"&lt;"&amp;EDATE(BO$99,1))),0)</f>
        <v>0</v>
      </c>
      <c r="BP387">
        <f>IF(예비비!$R387="OK",SUMIFS(예비비!$O$430:$O$729,예비비!$B$430:$B$729,예비비!$A387,예비비!$E$430:$E$729,"&lt;"&amp;EDATE(BP$99,1),예비비!$F$430:$F$729,"결제대금비")+MAX(0,IF(예비비!$D387&lt;EDATE(BP$99,1),예비비!$E387,0)-SUMIFS(예비비!$O$430:$O$729,예비비!$B$430:$B$729,예비비!$A387,예비비!$E$430:$E$729,"&lt;"&amp;EDATE(BP$99,1))),0)</f>
        <v>0</v>
      </c>
      <c r="BQ387">
        <f>IF(예비비!$R387="OK",SUMIFS(예비비!$O$430:$O$729,예비비!$B$430:$B$729,예비비!$A387,예비비!$E$430:$E$729,"&lt;"&amp;EDATE(BQ$99,1),예비비!$F$430:$F$729,"결제대금비")+MAX(0,IF(예비비!$D387&lt;EDATE(BQ$99,1),예비비!$E387,0)-SUMIFS(예비비!$O$430:$O$729,예비비!$B$430:$B$729,예비비!$A387,예비비!$E$430:$E$729,"&lt;"&amp;EDATE(BQ$99,1))),0)</f>
        <v>0</v>
      </c>
      <c r="BR387">
        <f>IF(예비비!$R387="OK",SUMIFS(예비비!$O$430:$O$729,예비비!$B$430:$B$729,예비비!$A387,예비비!$E$430:$E$729,"&lt;"&amp;EDATE(BR$99,1),예비비!$F$430:$F$729,"결제대금비")+MAX(0,IF(예비비!$D387&lt;EDATE(BR$99,1),예비비!$E387,0)-SUMIFS(예비비!$O$430:$O$729,예비비!$B$430:$B$729,예비비!$A387,예비비!$E$430:$E$729,"&lt;"&amp;EDATE(BR$99,1))),0)</f>
        <v>0</v>
      </c>
      <c r="BS387">
        <f>IF(예비비!$R387="OK",SUMIFS(예비비!$O$430:$O$729,예비비!$B$430:$B$729,예비비!$A387,예비비!$E$430:$E$729,"&lt;"&amp;EDATE(BS$99,1),예비비!$F$430:$F$729,"결제대금비")+MAX(0,IF(예비비!$D387&lt;EDATE(BS$99,1),예비비!$E387,0)-SUMIFS(예비비!$O$430:$O$729,예비비!$B$430:$B$729,예비비!$A387,예비비!$E$430:$E$729,"&lt;"&amp;EDATE(BS$99,1))),0)</f>
        <v>0</v>
      </c>
      <c r="BT387">
        <f>IF(예비비!$R387="OK",SUMIFS(예비비!$O$430:$O$729,예비비!$B$430:$B$729,예비비!$A387,예비비!$E$430:$E$729,"&lt;"&amp;EDATE(BT$99,1),예비비!$F$430:$F$729,"결제대금비")+MAX(0,IF(예비비!$D387&lt;EDATE(BT$99,1),예비비!$E387,0)-SUMIFS(예비비!$O$430:$O$729,예비비!$B$430:$B$729,예비비!$A387,예비비!$E$430:$E$729,"&lt;"&amp;EDATE(BT$99,1))),0)</f>
        <v>0</v>
      </c>
      <c r="BU387">
        <f>IF(예비비!$R387="OK",SUMIFS(예비비!$O$430:$O$729,예비비!$B$430:$B$729,예비비!$A387,예비비!$E$430:$E$729,"&lt;"&amp;EDATE(BU$99,1),예비비!$F$430:$F$729,"결제대금비")+MAX(0,IF(예비비!$D387&lt;EDATE(BU$99,1),예비비!$E387,0)-SUMIFS(예비비!$O$430:$O$729,예비비!$B$430:$B$729,예비비!$A387,예비비!$E$430:$E$729,"&lt;"&amp;EDATE(BU$99,1))),0)</f>
        <v>0</v>
      </c>
    </row>
    <row r="388">
      <c r="BA388">
        <v>332</v>
      </c>
      <c r="BB388" t="str">
        <f>IFERROR(INDEX(잔액!$A:$A,BA388),0)</f>
        <v>00:00:00</v>
      </c>
      <c r="BH388">
        <f>IFERROR(IF(AND(BB388&gt;0,OR(COUNTIFS(예비비!$C$430:$C$729,BA388,예비비!$N$430:$N$729,"OK")&gt;0,AND(INDEX(잔액!$J:$J,BA388)="가족통장",INDEX(잔액!$K:$K,BA388)="미래에셋_WRAP형CMA"),COUNTIF(예비비!$A$8:$A$12,INDEX(잔액!$C:$C,BA388))=1,COUNTIF(예비비!$A$8:$A$12,INDEX(잔액!$D:$D,BA388))=1),OR(AND(BB388&gt;=예비비!$B$3,BB388&lt;EDATE(예비비!$B$3,1)),AND(BB388&lt;EDATE(예비비!$B$3,1),COUNTIFS(예비비!$C$430:$C$729,BA388,예비비!$L$430:$L$729,예비비!$B$3,예비비!$N$430:$N$729,"OK")&gt;0))),MAX($BH$120:BH387)+1,0),0)</f>
        <v>0</v>
      </c>
      <c r="BI388">
        <f>IF(예비비!$R388="OK",SUMIFS(예비비!$O$430:$O$729,예비비!$B$430:$B$729,예비비!$A388,예비비!$E$430:$E$729,"&lt;"&amp;EDATE(BI$99,1),예비비!$F$430:$F$729,"결제대금비")+MAX(0,IF(예비비!$D388&lt;EDATE(BI$99,1),예비비!$E388,0)-SUMIFS(예비비!$O$430:$O$729,예비비!$B$430:$B$729,예비비!$A388,예비비!$E$430:$E$729,"&lt;"&amp;EDATE(BI$99,1))),0)</f>
        <v>0</v>
      </c>
      <c r="BJ388">
        <f>IF(예비비!$R388="OK",SUMIFS(예비비!$O$430:$O$729,예비비!$B$430:$B$729,예비비!$A388,예비비!$E$430:$E$729,"&lt;"&amp;EDATE(BJ$99,1),예비비!$F$430:$F$729,"결제대금비")+MAX(0,IF(예비비!$D388&lt;EDATE(BJ$99,1),예비비!$E388,0)-SUMIFS(예비비!$O$430:$O$729,예비비!$B$430:$B$729,예비비!$A388,예비비!$E$430:$E$729,"&lt;"&amp;EDATE(BJ$99,1))),0)</f>
        <v>0</v>
      </c>
      <c r="BK388">
        <f>IF(예비비!$R388="OK",SUMIFS(예비비!$O$430:$O$729,예비비!$B$430:$B$729,예비비!$A388,예비비!$E$430:$E$729,"&lt;"&amp;EDATE(BK$99,1),예비비!$F$430:$F$729,"결제대금비")+MAX(0,IF(예비비!$D388&lt;EDATE(BK$99,1),예비비!$E388,0)-SUMIFS(예비비!$O$430:$O$729,예비비!$B$430:$B$729,예비비!$A388,예비비!$E$430:$E$729,"&lt;"&amp;EDATE(BK$99,1))),0)</f>
        <v>0</v>
      </c>
      <c r="BL388">
        <f>IF(예비비!$R388="OK",SUMIFS(예비비!$O$430:$O$729,예비비!$B$430:$B$729,예비비!$A388,예비비!$E$430:$E$729,"&lt;"&amp;EDATE(BL$99,1),예비비!$F$430:$F$729,"결제대금비")+MAX(0,IF(예비비!$D388&lt;EDATE(BL$99,1),예비비!$E388,0)-SUMIFS(예비비!$O$430:$O$729,예비비!$B$430:$B$729,예비비!$A388,예비비!$E$430:$E$729,"&lt;"&amp;EDATE(BL$99,1))),0)</f>
        <v>0</v>
      </c>
      <c r="BM388">
        <f>IF(예비비!$R388="OK",SUMIFS(예비비!$O$430:$O$729,예비비!$B$430:$B$729,예비비!$A388,예비비!$E$430:$E$729,"&lt;"&amp;EDATE(BM$99,1),예비비!$F$430:$F$729,"결제대금비")+MAX(0,IF(예비비!$D388&lt;EDATE(BM$99,1),예비비!$E388,0)-SUMIFS(예비비!$O$430:$O$729,예비비!$B$430:$B$729,예비비!$A388,예비비!$E$430:$E$729,"&lt;"&amp;EDATE(BM$99,1))),0)</f>
        <v>0</v>
      </c>
      <c r="BN388">
        <f>IF(예비비!$R388="OK",SUMIFS(예비비!$O$430:$O$729,예비비!$B$430:$B$729,예비비!$A388,예비비!$E$430:$E$729,"&lt;"&amp;EDATE(BN$99,1),예비비!$F$430:$F$729,"결제대금비")+MAX(0,IF(예비비!$D388&lt;EDATE(BN$99,1),예비비!$E388,0)-SUMIFS(예비비!$O$430:$O$729,예비비!$B$430:$B$729,예비비!$A388,예비비!$E$430:$E$729,"&lt;"&amp;EDATE(BN$99,1))),0)</f>
        <v>0</v>
      </c>
      <c r="BO388">
        <f>IF(예비비!$R388="OK",SUMIFS(예비비!$O$430:$O$729,예비비!$B$430:$B$729,예비비!$A388,예비비!$E$430:$E$729,"&lt;"&amp;EDATE(BO$99,1),예비비!$F$430:$F$729,"결제대금비")+MAX(0,IF(예비비!$D388&lt;EDATE(BO$99,1),예비비!$E388,0)-SUMIFS(예비비!$O$430:$O$729,예비비!$B$430:$B$729,예비비!$A388,예비비!$E$430:$E$729,"&lt;"&amp;EDATE(BO$99,1))),0)</f>
        <v>0</v>
      </c>
      <c r="BP388">
        <f>IF(예비비!$R388="OK",SUMIFS(예비비!$O$430:$O$729,예비비!$B$430:$B$729,예비비!$A388,예비비!$E$430:$E$729,"&lt;"&amp;EDATE(BP$99,1),예비비!$F$430:$F$729,"결제대금비")+MAX(0,IF(예비비!$D388&lt;EDATE(BP$99,1),예비비!$E388,0)-SUMIFS(예비비!$O$430:$O$729,예비비!$B$430:$B$729,예비비!$A388,예비비!$E$430:$E$729,"&lt;"&amp;EDATE(BP$99,1))),0)</f>
        <v>0</v>
      </c>
      <c r="BQ388">
        <f>IF(예비비!$R388="OK",SUMIFS(예비비!$O$430:$O$729,예비비!$B$430:$B$729,예비비!$A388,예비비!$E$430:$E$729,"&lt;"&amp;EDATE(BQ$99,1),예비비!$F$430:$F$729,"결제대금비")+MAX(0,IF(예비비!$D388&lt;EDATE(BQ$99,1),예비비!$E388,0)-SUMIFS(예비비!$O$430:$O$729,예비비!$B$430:$B$729,예비비!$A388,예비비!$E$430:$E$729,"&lt;"&amp;EDATE(BQ$99,1))),0)</f>
        <v>0</v>
      </c>
      <c r="BR388">
        <f>IF(예비비!$R388="OK",SUMIFS(예비비!$O$430:$O$729,예비비!$B$430:$B$729,예비비!$A388,예비비!$E$430:$E$729,"&lt;"&amp;EDATE(BR$99,1),예비비!$F$430:$F$729,"결제대금비")+MAX(0,IF(예비비!$D388&lt;EDATE(BR$99,1),예비비!$E388,0)-SUMIFS(예비비!$O$430:$O$729,예비비!$B$430:$B$729,예비비!$A388,예비비!$E$430:$E$729,"&lt;"&amp;EDATE(BR$99,1))),0)</f>
        <v>0</v>
      </c>
      <c r="BS388">
        <f>IF(예비비!$R388="OK",SUMIFS(예비비!$O$430:$O$729,예비비!$B$430:$B$729,예비비!$A388,예비비!$E$430:$E$729,"&lt;"&amp;EDATE(BS$99,1),예비비!$F$430:$F$729,"결제대금비")+MAX(0,IF(예비비!$D388&lt;EDATE(BS$99,1),예비비!$E388,0)-SUMIFS(예비비!$O$430:$O$729,예비비!$B$430:$B$729,예비비!$A388,예비비!$E$430:$E$729,"&lt;"&amp;EDATE(BS$99,1))),0)</f>
        <v>0</v>
      </c>
      <c r="BT388">
        <f>IF(예비비!$R388="OK",SUMIFS(예비비!$O$430:$O$729,예비비!$B$430:$B$729,예비비!$A388,예비비!$E$430:$E$729,"&lt;"&amp;EDATE(BT$99,1),예비비!$F$430:$F$729,"결제대금비")+MAX(0,IF(예비비!$D388&lt;EDATE(BT$99,1),예비비!$E388,0)-SUMIFS(예비비!$O$430:$O$729,예비비!$B$430:$B$729,예비비!$A388,예비비!$E$430:$E$729,"&lt;"&amp;EDATE(BT$99,1))),0)</f>
        <v>0</v>
      </c>
      <c r="BU388">
        <f>IF(예비비!$R388="OK",SUMIFS(예비비!$O$430:$O$729,예비비!$B$430:$B$729,예비비!$A388,예비비!$E$430:$E$729,"&lt;"&amp;EDATE(BU$99,1),예비비!$F$430:$F$729,"결제대금비")+MAX(0,IF(예비비!$D388&lt;EDATE(BU$99,1),예비비!$E388,0)-SUMIFS(예비비!$O$430:$O$729,예비비!$B$430:$B$729,예비비!$A388,예비비!$E$430:$E$729,"&lt;"&amp;EDATE(BU$99,1))),0)</f>
        <v>0</v>
      </c>
    </row>
    <row r="389">
      <c r="BA389">
        <v>333</v>
      </c>
      <c r="BB389" t="str">
        <f>IFERROR(INDEX(잔액!$A:$A,BA389),0)</f>
        <v>00:00:00</v>
      </c>
      <c r="BH389">
        <f>IFERROR(IF(AND(BB389&gt;0,OR(COUNTIFS(예비비!$C$430:$C$729,BA389,예비비!$N$430:$N$729,"OK")&gt;0,AND(INDEX(잔액!$J:$J,BA389)="가족통장",INDEX(잔액!$K:$K,BA389)="미래에셋_WRAP형CMA"),COUNTIF(예비비!$A$8:$A$12,INDEX(잔액!$C:$C,BA389))=1,COUNTIF(예비비!$A$8:$A$12,INDEX(잔액!$D:$D,BA389))=1),OR(AND(BB389&gt;=예비비!$B$3,BB389&lt;EDATE(예비비!$B$3,1)),AND(BB389&lt;EDATE(예비비!$B$3,1),COUNTIFS(예비비!$C$430:$C$729,BA389,예비비!$L$430:$L$729,예비비!$B$3,예비비!$N$430:$N$729,"OK")&gt;0))),MAX($BH$120:BH388)+1,0),0)</f>
        <v>0</v>
      </c>
      <c r="BI389">
        <f>IF(예비비!$R389="OK",SUMIFS(예비비!$O$430:$O$729,예비비!$B$430:$B$729,예비비!$A389,예비비!$E$430:$E$729,"&lt;"&amp;EDATE(BI$99,1),예비비!$F$430:$F$729,"결제대금비")+MAX(0,IF(예비비!$D389&lt;EDATE(BI$99,1),예비비!$E389,0)-SUMIFS(예비비!$O$430:$O$729,예비비!$B$430:$B$729,예비비!$A389,예비비!$E$430:$E$729,"&lt;"&amp;EDATE(BI$99,1))),0)</f>
        <v>0</v>
      </c>
      <c r="BJ389">
        <f>IF(예비비!$R389="OK",SUMIFS(예비비!$O$430:$O$729,예비비!$B$430:$B$729,예비비!$A389,예비비!$E$430:$E$729,"&lt;"&amp;EDATE(BJ$99,1),예비비!$F$430:$F$729,"결제대금비")+MAX(0,IF(예비비!$D389&lt;EDATE(BJ$99,1),예비비!$E389,0)-SUMIFS(예비비!$O$430:$O$729,예비비!$B$430:$B$729,예비비!$A389,예비비!$E$430:$E$729,"&lt;"&amp;EDATE(BJ$99,1))),0)</f>
        <v>0</v>
      </c>
      <c r="BK389">
        <f>IF(예비비!$R389="OK",SUMIFS(예비비!$O$430:$O$729,예비비!$B$430:$B$729,예비비!$A389,예비비!$E$430:$E$729,"&lt;"&amp;EDATE(BK$99,1),예비비!$F$430:$F$729,"결제대금비")+MAX(0,IF(예비비!$D389&lt;EDATE(BK$99,1),예비비!$E389,0)-SUMIFS(예비비!$O$430:$O$729,예비비!$B$430:$B$729,예비비!$A389,예비비!$E$430:$E$729,"&lt;"&amp;EDATE(BK$99,1))),0)</f>
        <v>0</v>
      </c>
      <c r="BL389">
        <f>IF(예비비!$R389="OK",SUMIFS(예비비!$O$430:$O$729,예비비!$B$430:$B$729,예비비!$A389,예비비!$E$430:$E$729,"&lt;"&amp;EDATE(BL$99,1),예비비!$F$430:$F$729,"결제대금비")+MAX(0,IF(예비비!$D389&lt;EDATE(BL$99,1),예비비!$E389,0)-SUMIFS(예비비!$O$430:$O$729,예비비!$B$430:$B$729,예비비!$A389,예비비!$E$430:$E$729,"&lt;"&amp;EDATE(BL$99,1))),0)</f>
        <v>0</v>
      </c>
      <c r="BM389">
        <f>IF(예비비!$R389="OK",SUMIFS(예비비!$O$430:$O$729,예비비!$B$430:$B$729,예비비!$A389,예비비!$E$430:$E$729,"&lt;"&amp;EDATE(BM$99,1),예비비!$F$430:$F$729,"결제대금비")+MAX(0,IF(예비비!$D389&lt;EDATE(BM$99,1),예비비!$E389,0)-SUMIFS(예비비!$O$430:$O$729,예비비!$B$430:$B$729,예비비!$A389,예비비!$E$430:$E$729,"&lt;"&amp;EDATE(BM$99,1))),0)</f>
        <v>0</v>
      </c>
      <c r="BN389">
        <f>IF(예비비!$R389="OK",SUMIFS(예비비!$O$430:$O$729,예비비!$B$430:$B$729,예비비!$A389,예비비!$E$430:$E$729,"&lt;"&amp;EDATE(BN$99,1),예비비!$F$430:$F$729,"결제대금비")+MAX(0,IF(예비비!$D389&lt;EDATE(BN$99,1),예비비!$E389,0)-SUMIFS(예비비!$O$430:$O$729,예비비!$B$430:$B$729,예비비!$A389,예비비!$E$430:$E$729,"&lt;"&amp;EDATE(BN$99,1))),0)</f>
        <v>0</v>
      </c>
      <c r="BO389">
        <f>IF(예비비!$R389="OK",SUMIFS(예비비!$O$430:$O$729,예비비!$B$430:$B$729,예비비!$A389,예비비!$E$430:$E$729,"&lt;"&amp;EDATE(BO$99,1),예비비!$F$430:$F$729,"결제대금비")+MAX(0,IF(예비비!$D389&lt;EDATE(BO$99,1),예비비!$E389,0)-SUMIFS(예비비!$O$430:$O$729,예비비!$B$430:$B$729,예비비!$A389,예비비!$E$430:$E$729,"&lt;"&amp;EDATE(BO$99,1))),0)</f>
        <v>0</v>
      </c>
      <c r="BP389">
        <f>IF(예비비!$R389="OK",SUMIFS(예비비!$O$430:$O$729,예비비!$B$430:$B$729,예비비!$A389,예비비!$E$430:$E$729,"&lt;"&amp;EDATE(BP$99,1),예비비!$F$430:$F$729,"결제대금비")+MAX(0,IF(예비비!$D389&lt;EDATE(BP$99,1),예비비!$E389,0)-SUMIFS(예비비!$O$430:$O$729,예비비!$B$430:$B$729,예비비!$A389,예비비!$E$430:$E$729,"&lt;"&amp;EDATE(BP$99,1))),0)</f>
        <v>0</v>
      </c>
      <c r="BQ389">
        <f>IF(예비비!$R389="OK",SUMIFS(예비비!$O$430:$O$729,예비비!$B$430:$B$729,예비비!$A389,예비비!$E$430:$E$729,"&lt;"&amp;EDATE(BQ$99,1),예비비!$F$430:$F$729,"결제대금비")+MAX(0,IF(예비비!$D389&lt;EDATE(BQ$99,1),예비비!$E389,0)-SUMIFS(예비비!$O$430:$O$729,예비비!$B$430:$B$729,예비비!$A389,예비비!$E$430:$E$729,"&lt;"&amp;EDATE(BQ$99,1))),0)</f>
        <v>0</v>
      </c>
      <c r="BR389">
        <f>IF(예비비!$R389="OK",SUMIFS(예비비!$O$430:$O$729,예비비!$B$430:$B$729,예비비!$A389,예비비!$E$430:$E$729,"&lt;"&amp;EDATE(BR$99,1),예비비!$F$430:$F$729,"결제대금비")+MAX(0,IF(예비비!$D389&lt;EDATE(BR$99,1),예비비!$E389,0)-SUMIFS(예비비!$O$430:$O$729,예비비!$B$430:$B$729,예비비!$A389,예비비!$E$430:$E$729,"&lt;"&amp;EDATE(BR$99,1))),0)</f>
        <v>0</v>
      </c>
      <c r="BS389">
        <f>IF(예비비!$R389="OK",SUMIFS(예비비!$O$430:$O$729,예비비!$B$430:$B$729,예비비!$A389,예비비!$E$430:$E$729,"&lt;"&amp;EDATE(BS$99,1),예비비!$F$430:$F$729,"결제대금비")+MAX(0,IF(예비비!$D389&lt;EDATE(BS$99,1),예비비!$E389,0)-SUMIFS(예비비!$O$430:$O$729,예비비!$B$430:$B$729,예비비!$A389,예비비!$E$430:$E$729,"&lt;"&amp;EDATE(BS$99,1))),0)</f>
        <v>0</v>
      </c>
      <c r="BT389">
        <f>IF(예비비!$R389="OK",SUMIFS(예비비!$O$430:$O$729,예비비!$B$430:$B$729,예비비!$A389,예비비!$E$430:$E$729,"&lt;"&amp;EDATE(BT$99,1),예비비!$F$430:$F$729,"결제대금비")+MAX(0,IF(예비비!$D389&lt;EDATE(BT$99,1),예비비!$E389,0)-SUMIFS(예비비!$O$430:$O$729,예비비!$B$430:$B$729,예비비!$A389,예비비!$E$430:$E$729,"&lt;"&amp;EDATE(BT$99,1))),0)</f>
        <v>0</v>
      </c>
      <c r="BU389">
        <f>IF(예비비!$R389="OK",SUMIFS(예비비!$O$430:$O$729,예비비!$B$430:$B$729,예비비!$A389,예비비!$E$430:$E$729,"&lt;"&amp;EDATE(BU$99,1),예비비!$F$430:$F$729,"결제대금비")+MAX(0,IF(예비비!$D389&lt;EDATE(BU$99,1),예비비!$E389,0)-SUMIFS(예비비!$O$430:$O$729,예비비!$B$430:$B$729,예비비!$A389,예비비!$E$430:$E$729,"&lt;"&amp;EDATE(BU$99,1))),0)</f>
        <v>0</v>
      </c>
    </row>
    <row r="390">
      <c r="BA390">
        <v>334</v>
      </c>
      <c r="BB390" t="str">
        <f>IFERROR(INDEX(잔액!$A:$A,BA390),0)</f>
        <v>00:00:00</v>
      </c>
      <c r="BH390">
        <f>IFERROR(IF(AND(BB390&gt;0,OR(COUNTIFS(예비비!$C$430:$C$729,BA390,예비비!$N$430:$N$729,"OK")&gt;0,AND(INDEX(잔액!$J:$J,BA390)="가족통장",INDEX(잔액!$K:$K,BA390)="미래에셋_WRAP형CMA"),COUNTIF(예비비!$A$8:$A$12,INDEX(잔액!$C:$C,BA390))=1,COUNTIF(예비비!$A$8:$A$12,INDEX(잔액!$D:$D,BA390))=1),OR(AND(BB390&gt;=예비비!$B$3,BB390&lt;EDATE(예비비!$B$3,1)),AND(BB390&lt;EDATE(예비비!$B$3,1),COUNTIFS(예비비!$C$430:$C$729,BA390,예비비!$L$430:$L$729,예비비!$B$3,예비비!$N$430:$N$729,"OK")&gt;0))),MAX($BH$120:BH389)+1,0),0)</f>
        <v>0</v>
      </c>
      <c r="BI390">
        <f>IF(예비비!$R390="OK",SUMIFS(예비비!$O$430:$O$729,예비비!$B$430:$B$729,예비비!$A390,예비비!$E$430:$E$729,"&lt;"&amp;EDATE(BI$99,1),예비비!$F$430:$F$729,"결제대금비")+MAX(0,IF(예비비!$D390&lt;EDATE(BI$99,1),예비비!$E390,0)-SUMIFS(예비비!$O$430:$O$729,예비비!$B$430:$B$729,예비비!$A390,예비비!$E$430:$E$729,"&lt;"&amp;EDATE(BI$99,1))),0)</f>
        <v>0</v>
      </c>
      <c r="BJ390">
        <f>IF(예비비!$R390="OK",SUMIFS(예비비!$O$430:$O$729,예비비!$B$430:$B$729,예비비!$A390,예비비!$E$430:$E$729,"&lt;"&amp;EDATE(BJ$99,1),예비비!$F$430:$F$729,"결제대금비")+MAX(0,IF(예비비!$D390&lt;EDATE(BJ$99,1),예비비!$E390,0)-SUMIFS(예비비!$O$430:$O$729,예비비!$B$430:$B$729,예비비!$A390,예비비!$E$430:$E$729,"&lt;"&amp;EDATE(BJ$99,1))),0)</f>
        <v>0</v>
      </c>
      <c r="BK390">
        <f>IF(예비비!$R390="OK",SUMIFS(예비비!$O$430:$O$729,예비비!$B$430:$B$729,예비비!$A390,예비비!$E$430:$E$729,"&lt;"&amp;EDATE(BK$99,1),예비비!$F$430:$F$729,"결제대금비")+MAX(0,IF(예비비!$D390&lt;EDATE(BK$99,1),예비비!$E390,0)-SUMIFS(예비비!$O$430:$O$729,예비비!$B$430:$B$729,예비비!$A390,예비비!$E$430:$E$729,"&lt;"&amp;EDATE(BK$99,1))),0)</f>
        <v>0</v>
      </c>
      <c r="BL390">
        <f>IF(예비비!$R390="OK",SUMIFS(예비비!$O$430:$O$729,예비비!$B$430:$B$729,예비비!$A390,예비비!$E$430:$E$729,"&lt;"&amp;EDATE(BL$99,1),예비비!$F$430:$F$729,"결제대금비")+MAX(0,IF(예비비!$D390&lt;EDATE(BL$99,1),예비비!$E390,0)-SUMIFS(예비비!$O$430:$O$729,예비비!$B$430:$B$729,예비비!$A390,예비비!$E$430:$E$729,"&lt;"&amp;EDATE(BL$99,1))),0)</f>
        <v>0</v>
      </c>
      <c r="BM390">
        <f>IF(예비비!$R390="OK",SUMIFS(예비비!$O$430:$O$729,예비비!$B$430:$B$729,예비비!$A390,예비비!$E$430:$E$729,"&lt;"&amp;EDATE(BM$99,1),예비비!$F$430:$F$729,"결제대금비")+MAX(0,IF(예비비!$D390&lt;EDATE(BM$99,1),예비비!$E390,0)-SUMIFS(예비비!$O$430:$O$729,예비비!$B$430:$B$729,예비비!$A390,예비비!$E$430:$E$729,"&lt;"&amp;EDATE(BM$99,1))),0)</f>
        <v>0</v>
      </c>
      <c r="BN390">
        <f>IF(예비비!$R390="OK",SUMIFS(예비비!$O$430:$O$729,예비비!$B$430:$B$729,예비비!$A390,예비비!$E$430:$E$729,"&lt;"&amp;EDATE(BN$99,1),예비비!$F$430:$F$729,"결제대금비")+MAX(0,IF(예비비!$D390&lt;EDATE(BN$99,1),예비비!$E390,0)-SUMIFS(예비비!$O$430:$O$729,예비비!$B$430:$B$729,예비비!$A390,예비비!$E$430:$E$729,"&lt;"&amp;EDATE(BN$99,1))),0)</f>
        <v>0</v>
      </c>
      <c r="BO390">
        <f>IF(예비비!$R390="OK",SUMIFS(예비비!$O$430:$O$729,예비비!$B$430:$B$729,예비비!$A390,예비비!$E$430:$E$729,"&lt;"&amp;EDATE(BO$99,1),예비비!$F$430:$F$729,"결제대금비")+MAX(0,IF(예비비!$D390&lt;EDATE(BO$99,1),예비비!$E390,0)-SUMIFS(예비비!$O$430:$O$729,예비비!$B$430:$B$729,예비비!$A390,예비비!$E$430:$E$729,"&lt;"&amp;EDATE(BO$99,1))),0)</f>
        <v>0</v>
      </c>
      <c r="BP390">
        <f>IF(예비비!$R390="OK",SUMIFS(예비비!$O$430:$O$729,예비비!$B$430:$B$729,예비비!$A390,예비비!$E$430:$E$729,"&lt;"&amp;EDATE(BP$99,1),예비비!$F$430:$F$729,"결제대금비")+MAX(0,IF(예비비!$D390&lt;EDATE(BP$99,1),예비비!$E390,0)-SUMIFS(예비비!$O$430:$O$729,예비비!$B$430:$B$729,예비비!$A390,예비비!$E$430:$E$729,"&lt;"&amp;EDATE(BP$99,1))),0)</f>
        <v>0</v>
      </c>
      <c r="BQ390">
        <f>IF(예비비!$R390="OK",SUMIFS(예비비!$O$430:$O$729,예비비!$B$430:$B$729,예비비!$A390,예비비!$E$430:$E$729,"&lt;"&amp;EDATE(BQ$99,1),예비비!$F$430:$F$729,"결제대금비")+MAX(0,IF(예비비!$D390&lt;EDATE(BQ$99,1),예비비!$E390,0)-SUMIFS(예비비!$O$430:$O$729,예비비!$B$430:$B$729,예비비!$A390,예비비!$E$430:$E$729,"&lt;"&amp;EDATE(BQ$99,1))),0)</f>
        <v>0</v>
      </c>
      <c r="BR390">
        <f>IF(예비비!$R390="OK",SUMIFS(예비비!$O$430:$O$729,예비비!$B$430:$B$729,예비비!$A390,예비비!$E$430:$E$729,"&lt;"&amp;EDATE(BR$99,1),예비비!$F$430:$F$729,"결제대금비")+MAX(0,IF(예비비!$D390&lt;EDATE(BR$99,1),예비비!$E390,0)-SUMIFS(예비비!$O$430:$O$729,예비비!$B$430:$B$729,예비비!$A390,예비비!$E$430:$E$729,"&lt;"&amp;EDATE(BR$99,1))),0)</f>
        <v>0</v>
      </c>
      <c r="BS390">
        <f>IF(예비비!$R390="OK",SUMIFS(예비비!$O$430:$O$729,예비비!$B$430:$B$729,예비비!$A390,예비비!$E$430:$E$729,"&lt;"&amp;EDATE(BS$99,1),예비비!$F$430:$F$729,"결제대금비")+MAX(0,IF(예비비!$D390&lt;EDATE(BS$99,1),예비비!$E390,0)-SUMIFS(예비비!$O$430:$O$729,예비비!$B$430:$B$729,예비비!$A390,예비비!$E$430:$E$729,"&lt;"&amp;EDATE(BS$99,1))),0)</f>
        <v>0</v>
      </c>
      <c r="BT390">
        <f>IF(예비비!$R390="OK",SUMIFS(예비비!$O$430:$O$729,예비비!$B$430:$B$729,예비비!$A390,예비비!$E$430:$E$729,"&lt;"&amp;EDATE(BT$99,1),예비비!$F$430:$F$729,"결제대금비")+MAX(0,IF(예비비!$D390&lt;EDATE(BT$99,1),예비비!$E390,0)-SUMIFS(예비비!$O$430:$O$729,예비비!$B$430:$B$729,예비비!$A390,예비비!$E$430:$E$729,"&lt;"&amp;EDATE(BT$99,1))),0)</f>
        <v>0</v>
      </c>
      <c r="BU390">
        <f>IF(예비비!$R390="OK",SUMIFS(예비비!$O$430:$O$729,예비비!$B$430:$B$729,예비비!$A390,예비비!$E$430:$E$729,"&lt;"&amp;EDATE(BU$99,1),예비비!$F$430:$F$729,"결제대금비")+MAX(0,IF(예비비!$D390&lt;EDATE(BU$99,1),예비비!$E390,0)-SUMIFS(예비비!$O$430:$O$729,예비비!$B$430:$B$729,예비비!$A390,예비비!$E$430:$E$729,"&lt;"&amp;EDATE(BU$99,1))),0)</f>
        <v>0</v>
      </c>
    </row>
    <row r="391">
      <c r="BA391">
        <v>335</v>
      </c>
      <c r="BB391" t="str">
        <f>IFERROR(INDEX(잔액!$A:$A,BA391),0)</f>
        <v>00:00:00</v>
      </c>
      <c r="BH391">
        <f>IFERROR(IF(AND(BB391&gt;0,OR(COUNTIFS(예비비!$C$430:$C$729,BA391,예비비!$N$430:$N$729,"OK")&gt;0,AND(INDEX(잔액!$J:$J,BA391)="가족통장",INDEX(잔액!$K:$K,BA391)="미래에셋_WRAP형CMA"),COUNTIF(예비비!$A$8:$A$12,INDEX(잔액!$C:$C,BA391))=1,COUNTIF(예비비!$A$8:$A$12,INDEX(잔액!$D:$D,BA391))=1),OR(AND(BB391&gt;=예비비!$B$3,BB391&lt;EDATE(예비비!$B$3,1)),AND(BB391&lt;EDATE(예비비!$B$3,1),COUNTIFS(예비비!$C$430:$C$729,BA391,예비비!$L$430:$L$729,예비비!$B$3,예비비!$N$430:$N$729,"OK")&gt;0))),MAX($BH$120:BH390)+1,0),0)</f>
        <v>0</v>
      </c>
      <c r="BI391">
        <f>IF(예비비!$R391="OK",SUMIFS(예비비!$O$430:$O$729,예비비!$B$430:$B$729,예비비!$A391,예비비!$E$430:$E$729,"&lt;"&amp;EDATE(BI$99,1),예비비!$F$430:$F$729,"결제대금비")+MAX(0,IF(예비비!$D391&lt;EDATE(BI$99,1),예비비!$E391,0)-SUMIFS(예비비!$O$430:$O$729,예비비!$B$430:$B$729,예비비!$A391,예비비!$E$430:$E$729,"&lt;"&amp;EDATE(BI$99,1))),0)</f>
        <v>0</v>
      </c>
      <c r="BJ391">
        <f>IF(예비비!$R391="OK",SUMIFS(예비비!$O$430:$O$729,예비비!$B$430:$B$729,예비비!$A391,예비비!$E$430:$E$729,"&lt;"&amp;EDATE(BJ$99,1),예비비!$F$430:$F$729,"결제대금비")+MAX(0,IF(예비비!$D391&lt;EDATE(BJ$99,1),예비비!$E391,0)-SUMIFS(예비비!$O$430:$O$729,예비비!$B$430:$B$729,예비비!$A391,예비비!$E$430:$E$729,"&lt;"&amp;EDATE(BJ$99,1))),0)</f>
        <v>0</v>
      </c>
      <c r="BK391">
        <f>IF(예비비!$R391="OK",SUMIFS(예비비!$O$430:$O$729,예비비!$B$430:$B$729,예비비!$A391,예비비!$E$430:$E$729,"&lt;"&amp;EDATE(BK$99,1),예비비!$F$430:$F$729,"결제대금비")+MAX(0,IF(예비비!$D391&lt;EDATE(BK$99,1),예비비!$E391,0)-SUMIFS(예비비!$O$430:$O$729,예비비!$B$430:$B$729,예비비!$A391,예비비!$E$430:$E$729,"&lt;"&amp;EDATE(BK$99,1))),0)</f>
        <v>0</v>
      </c>
      <c r="BL391">
        <f>IF(예비비!$R391="OK",SUMIFS(예비비!$O$430:$O$729,예비비!$B$430:$B$729,예비비!$A391,예비비!$E$430:$E$729,"&lt;"&amp;EDATE(BL$99,1),예비비!$F$430:$F$729,"결제대금비")+MAX(0,IF(예비비!$D391&lt;EDATE(BL$99,1),예비비!$E391,0)-SUMIFS(예비비!$O$430:$O$729,예비비!$B$430:$B$729,예비비!$A391,예비비!$E$430:$E$729,"&lt;"&amp;EDATE(BL$99,1))),0)</f>
        <v>0</v>
      </c>
      <c r="BM391">
        <f>IF(예비비!$R391="OK",SUMIFS(예비비!$O$430:$O$729,예비비!$B$430:$B$729,예비비!$A391,예비비!$E$430:$E$729,"&lt;"&amp;EDATE(BM$99,1),예비비!$F$430:$F$729,"결제대금비")+MAX(0,IF(예비비!$D391&lt;EDATE(BM$99,1),예비비!$E391,0)-SUMIFS(예비비!$O$430:$O$729,예비비!$B$430:$B$729,예비비!$A391,예비비!$E$430:$E$729,"&lt;"&amp;EDATE(BM$99,1))),0)</f>
        <v>0</v>
      </c>
      <c r="BN391">
        <f>IF(예비비!$R391="OK",SUMIFS(예비비!$O$430:$O$729,예비비!$B$430:$B$729,예비비!$A391,예비비!$E$430:$E$729,"&lt;"&amp;EDATE(BN$99,1),예비비!$F$430:$F$729,"결제대금비")+MAX(0,IF(예비비!$D391&lt;EDATE(BN$99,1),예비비!$E391,0)-SUMIFS(예비비!$O$430:$O$729,예비비!$B$430:$B$729,예비비!$A391,예비비!$E$430:$E$729,"&lt;"&amp;EDATE(BN$99,1))),0)</f>
        <v>0</v>
      </c>
      <c r="BO391">
        <f>IF(예비비!$R391="OK",SUMIFS(예비비!$O$430:$O$729,예비비!$B$430:$B$729,예비비!$A391,예비비!$E$430:$E$729,"&lt;"&amp;EDATE(BO$99,1),예비비!$F$430:$F$729,"결제대금비")+MAX(0,IF(예비비!$D391&lt;EDATE(BO$99,1),예비비!$E391,0)-SUMIFS(예비비!$O$430:$O$729,예비비!$B$430:$B$729,예비비!$A391,예비비!$E$430:$E$729,"&lt;"&amp;EDATE(BO$99,1))),0)</f>
        <v>0</v>
      </c>
      <c r="BP391">
        <f>IF(예비비!$R391="OK",SUMIFS(예비비!$O$430:$O$729,예비비!$B$430:$B$729,예비비!$A391,예비비!$E$430:$E$729,"&lt;"&amp;EDATE(BP$99,1),예비비!$F$430:$F$729,"결제대금비")+MAX(0,IF(예비비!$D391&lt;EDATE(BP$99,1),예비비!$E391,0)-SUMIFS(예비비!$O$430:$O$729,예비비!$B$430:$B$729,예비비!$A391,예비비!$E$430:$E$729,"&lt;"&amp;EDATE(BP$99,1))),0)</f>
        <v>0</v>
      </c>
      <c r="BQ391">
        <f>IF(예비비!$R391="OK",SUMIFS(예비비!$O$430:$O$729,예비비!$B$430:$B$729,예비비!$A391,예비비!$E$430:$E$729,"&lt;"&amp;EDATE(BQ$99,1),예비비!$F$430:$F$729,"결제대금비")+MAX(0,IF(예비비!$D391&lt;EDATE(BQ$99,1),예비비!$E391,0)-SUMIFS(예비비!$O$430:$O$729,예비비!$B$430:$B$729,예비비!$A391,예비비!$E$430:$E$729,"&lt;"&amp;EDATE(BQ$99,1))),0)</f>
        <v>0</v>
      </c>
      <c r="BR391">
        <f>IF(예비비!$R391="OK",SUMIFS(예비비!$O$430:$O$729,예비비!$B$430:$B$729,예비비!$A391,예비비!$E$430:$E$729,"&lt;"&amp;EDATE(BR$99,1),예비비!$F$430:$F$729,"결제대금비")+MAX(0,IF(예비비!$D391&lt;EDATE(BR$99,1),예비비!$E391,0)-SUMIFS(예비비!$O$430:$O$729,예비비!$B$430:$B$729,예비비!$A391,예비비!$E$430:$E$729,"&lt;"&amp;EDATE(BR$99,1))),0)</f>
        <v>0</v>
      </c>
      <c r="BS391">
        <f>IF(예비비!$R391="OK",SUMIFS(예비비!$O$430:$O$729,예비비!$B$430:$B$729,예비비!$A391,예비비!$E$430:$E$729,"&lt;"&amp;EDATE(BS$99,1),예비비!$F$430:$F$729,"결제대금비")+MAX(0,IF(예비비!$D391&lt;EDATE(BS$99,1),예비비!$E391,0)-SUMIFS(예비비!$O$430:$O$729,예비비!$B$430:$B$729,예비비!$A391,예비비!$E$430:$E$729,"&lt;"&amp;EDATE(BS$99,1))),0)</f>
        <v>0</v>
      </c>
      <c r="BT391">
        <f>IF(예비비!$R391="OK",SUMIFS(예비비!$O$430:$O$729,예비비!$B$430:$B$729,예비비!$A391,예비비!$E$430:$E$729,"&lt;"&amp;EDATE(BT$99,1),예비비!$F$430:$F$729,"결제대금비")+MAX(0,IF(예비비!$D391&lt;EDATE(BT$99,1),예비비!$E391,0)-SUMIFS(예비비!$O$430:$O$729,예비비!$B$430:$B$729,예비비!$A391,예비비!$E$430:$E$729,"&lt;"&amp;EDATE(BT$99,1))),0)</f>
        <v>0</v>
      </c>
      <c r="BU391">
        <f>IF(예비비!$R391="OK",SUMIFS(예비비!$O$430:$O$729,예비비!$B$430:$B$729,예비비!$A391,예비비!$E$430:$E$729,"&lt;"&amp;EDATE(BU$99,1),예비비!$F$430:$F$729,"결제대금비")+MAX(0,IF(예비비!$D391&lt;EDATE(BU$99,1),예비비!$E391,0)-SUMIFS(예비비!$O$430:$O$729,예비비!$B$430:$B$729,예비비!$A391,예비비!$E$430:$E$729,"&lt;"&amp;EDATE(BU$99,1))),0)</f>
        <v>0</v>
      </c>
    </row>
    <row r="392">
      <c r="BA392">
        <v>336</v>
      </c>
      <c r="BB392" t="str">
        <f>IFERROR(INDEX(잔액!$A:$A,BA392),0)</f>
        <v>00:00:00</v>
      </c>
      <c r="BH392">
        <f>IFERROR(IF(AND(BB392&gt;0,OR(COUNTIFS(예비비!$C$430:$C$729,BA392,예비비!$N$430:$N$729,"OK")&gt;0,AND(INDEX(잔액!$J:$J,BA392)="가족통장",INDEX(잔액!$K:$K,BA392)="미래에셋_WRAP형CMA"),COUNTIF(예비비!$A$8:$A$12,INDEX(잔액!$C:$C,BA392))=1,COUNTIF(예비비!$A$8:$A$12,INDEX(잔액!$D:$D,BA392))=1),OR(AND(BB392&gt;=예비비!$B$3,BB392&lt;EDATE(예비비!$B$3,1)),AND(BB392&lt;EDATE(예비비!$B$3,1),COUNTIFS(예비비!$C$430:$C$729,BA392,예비비!$L$430:$L$729,예비비!$B$3,예비비!$N$430:$N$729,"OK")&gt;0))),MAX($BH$120:BH391)+1,0),0)</f>
        <v>0</v>
      </c>
      <c r="BI392">
        <f>IF(예비비!$R392="OK",SUMIFS(예비비!$O$430:$O$729,예비비!$B$430:$B$729,예비비!$A392,예비비!$E$430:$E$729,"&lt;"&amp;EDATE(BI$99,1),예비비!$F$430:$F$729,"결제대금비")+MAX(0,IF(예비비!$D392&lt;EDATE(BI$99,1),예비비!$E392,0)-SUMIFS(예비비!$O$430:$O$729,예비비!$B$430:$B$729,예비비!$A392,예비비!$E$430:$E$729,"&lt;"&amp;EDATE(BI$99,1))),0)</f>
        <v>0</v>
      </c>
      <c r="BJ392">
        <f>IF(예비비!$R392="OK",SUMIFS(예비비!$O$430:$O$729,예비비!$B$430:$B$729,예비비!$A392,예비비!$E$430:$E$729,"&lt;"&amp;EDATE(BJ$99,1),예비비!$F$430:$F$729,"결제대금비")+MAX(0,IF(예비비!$D392&lt;EDATE(BJ$99,1),예비비!$E392,0)-SUMIFS(예비비!$O$430:$O$729,예비비!$B$430:$B$729,예비비!$A392,예비비!$E$430:$E$729,"&lt;"&amp;EDATE(BJ$99,1))),0)</f>
        <v>0</v>
      </c>
      <c r="BK392">
        <f>IF(예비비!$R392="OK",SUMIFS(예비비!$O$430:$O$729,예비비!$B$430:$B$729,예비비!$A392,예비비!$E$430:$E$729,"&lt;"&amp;EDATE(BK$99,1),예비비!$F$430:$F$729,"결제대금비")+MAX(0,IF(예비비!$D392&lt;EDATE(BK$99,1),예비비!$E392,0)-SUMIFS(예비비!$O$430:$O$729,예비비!$B$430:$B$729,예비비!$A392,예비비!$E$430:$E$729,"&lt;"&amp;EDATE(BK$99,1))),0)</f>
        <v>0</v>
      </c>
      <c r="BL392">
        <f>IF(예비비!$R392="OK",SUMIFS(예비비!$O$430:$O$729,예비비!$B$430:$B$729,예비비!$A392,예비비!$E$430:$E$729,"&lt;"&amp;EDATE(BL$99,1),예비비!$F$430:$F$729,"결제대금비")+MAX(0,IF(예비비!$D392&lt;EDATE(BL$99,1),예비비!$E392,0)-SUMIFS(예비비!$O$430:$O$729,예비비!$B$430:$B$729,예비비!$A392,예비비!$E$430:$E$729,"&lt;"&amp;EDATE(BL$99,1))),0)</f>
        <v>0</v>
      </c>
      <c r="BM392">
        <f>IF(예비비!$R392="OK",SUMIFS(예비비!$O$430:$O$729,예비비!$B$430:$B$729,예비비!$A392,예비비!$E$430:$E$729,"&lt;"&amp;EDATE(BM$99,1),예비비!$F$430:$F$729,"결제대금비")+MAX(0,IF(예비비!$D392&lt;EDATE(BM$99,1),예비비!$E392,0)-SUMIFS(예비비!$O$430:$O$729,예비비!$B$430:$B$729,예비비!$A392,예비비!$E$430:$E$729,"&lt;"&amp;EDATE(BM$99,1))),0)</f>
        <v>0</v>
      </c>
      <c r="BN392">
        <f>IF(예비비!$R392="OK",SUMIFS(예비비!$O$430:$O$729,예비비!$B$430:$B$729,예비비!$A392,예비비!$E$430:$E$729,"&lt;"&amp;EDATE(BN$99,1),예비비!$F$430:$F$729,"결제대금비")+MAX(0,IF(예비비!$D392&lt;EDATE(BN$99,1),예비비!$E392,0)-SUMIFS(예비비!$O$430:$O$729,예비비!$B$430:$B$729,예비비!$A392,예비비!$E$430:$E$729,"&lt;"&amp;EDATE(BN$99,1))),0)</f>
        <v>0</v>
      </c>
      <c r="BO392">
        <f>IF(예비비!$R392="OK",SUMIFS(예비비!$O$430:$O$729,예비비!$B$430:$B$729,예비비!$A392,예비비!$E$430:$E$729,"&lt;"&amp;EDATE(BO$99,1),예비비!$F$430:$F$729,"결제대금비")+MAX(0,IF(예비비!$D392&lt;EDATE(BO$99,1),예비비!$E392,0)-SUMIFS(예비비!$O$430:$O$729,예비비!$B$430:$B$729,예비비!$A392,예비비!$E$430:$E$729,"&lt;"&amp;EDATE(BO$99,1))),0)</f>
        <v>0</v>
      </c>
      <c r="BP392">
        <f>IF(예비비!$R392="OK",SUMIFS(예비비!$O$430:$O$729,예비비!$B$430:$B$729,예비비!$A392,예비비!$E$430:$E$729,"&lt;"&amp;EDATE(BP$99,1),예비비!$F$430:$F$729,"결제대금비")+MAX(0,IF(예비비!$D392&lt;EDATE(BP$99,1),예비비!$E392,0)-SUMIFS(예비비!$O$430:$O$729,예비비!$B$430:$B$729,예비비!$A392,예비비!$E$430:$E$729,"&lt;"&amp;EDATE(BP$99,1))),0)</f>
        <v>0</v>
      </c>
      <c r="BQ392">
        <f>IF(예비비!$R392="OK",SUMIFS(예비비!$O$430:$O$729,예비비!$B$430:$B$729,예비비!$A392,예비비!$E$430:$E$729,"&lt;"&amp;EDATE(BQ$99,1),예비비!$F$430:$F$729,"결제대금비")+MAX(0,IF(예비비!$D392&lt;EDATE(BQ$99,1),예비비!$E392,0)-SUMIFS(예비비!$O$430:$O$729,예비비!$B$430:$B$729,예비비!$A392,예비비!$E$430:$E$729,"&lt;"&amp;EDATE(BQ$99,1))),0)</f>
        <v>0</v>
      </c>
      <c r="BR392">
        <f>IF(예비비!$R392="OK",SUMIFS(예비비!$O$430:$O$729,예비비!$B$430:$B$729,예비비!$A392,예비비!$E$430:$E$729,"&lt;"&amp;EDATE(BR$99,1),예비비!$F$430:$F$729,"결제대금비")+MAX(0,IF(예비비!$D392&lt;EDATE(BR$99,1),예비비!$E392,0)-SUMIFS(예비비!$O$430:$O$729,예비비!$B$430:$B$729,예비비!$A392,예비비!$E$430:$E$729,"&lt;"&amp;EDATE(BR$99,1))),0)</f>
        <v>0</v>
      </c>
      <c r="BS392">
        <f>IF(예비비!$R392="OK",SUMIFS(예비비!$O$430:$O$729,예비비!$B$430:$B$729,예비비!$A392,예비비!$E$430:$E$729,"&lt;"&amp;EDATE(BS$99,1),예비비!$F$430:$F$729,"결제대금비")+MAX(0,IF(예비비!$D392&lt;EDATE(BS$99,1),예비비!$E392,0)-SUMIFS(예비비!$O$430:$O$729,예비비!$B$430:$B$729,예비비!$A392,예비비!$E$430:$E$729,"&lt;"&amp;EDATE(BS$99,1))),0)</f>
        <v>0</v>
      </c>
      <c r="BT392">
        <f>IF(예비비!$R392="OK",SUMIFS(예비비!$O$430:$O$729,예비비!$B$430:$B$729,예비비!$A392,예비비!$E$430:$E$729,"&lt;"&amp;EDATE(BT$99,1),예비비!$F$430:$F$729,"결제대금비")+MAX(0,IF(예비비!$D392&lt;EDATE(BT$99,1),예비비!$E392,0)-SUMIFS(예비비!$O$430:$O$729,예비비!$B$430:$B$729,예비비!$A392,예비비!$E$430:$E$729,"&lt;"&amp;EDATE(BT$99,1))),0)</f>
        <v>0</v>
      </c>
      <c r="BU392">
        <f>IF(예비비!$R392="OK",SUMIFS(예비비!$O$430:$O$729,예비비!$B$430:$B$729,예비비!$A392,예비비!$E$430:$E$729,"&lt;"&amp;EDATE(BU$99,1),예비비!$F$430:$F$729,"결제대금비")+MAX(0,IF(예비비!$D392&lt;EDATE(BU$99,1),예비비!$E392,0)-SUMIFS(예비비!$O$430:$O$729,예비비!$B$430:$B$729,예비비!$A392,예비비!$E$430:$E$729,"&lt;"&amp;EDATE(BU$99,1))),0)</f>
        <v>0</v>
      </c>
    </row>
    <row r="393">
      <c r="BA393">
        <v>337</v>
      </c>
      <c r="BB393" t="str">
        <f>IFERROR(INDEX(잔액!$A:$A,BA393),0)</f>
        <v>00:00:00</v>
      </c>
      <c r="BH393">
        <f>IFERROR(IF(AND(BB393&gt;0,OR(COUNTIFS(예비비!$C$430:$C$729,BA393,예비비!$N$430:$N$729,"OK")&gt;0,AND(INDEX(잔액!$J:$J,BA393)="가족통장",INDEX(잔액!$K:$K,BA393)="미래에셋_WRAP형CMA"),COUNTIF(예비비!$A$8:$A$12,INDEX(잔액!$C:$C,BA393))=1,COUNTIF(예비비!$A$8:$A$12,INDEX(잔액!$D:$D,BA393))=1),OR(AND(BB393&gt;=예비비!$B$3,BB393&lt;EDATE(예비비!$B$3,1)),AND(BB393&lt;EDATE(예비비!$B$3,1),COUNTIFS(예비비!$C$430:$C$729,BA393,예비비!$L$430:$L$729,예비비!$B$3,예비비!$N$430:$N$729,"OK")&gt;0))),MAX($BH$120:BH392)+1,0),0)</f>
        <v>0</v>
      </c>
      <c r="BI393">
        <f>IF(예비비!$R393="OK",SUMIFS(예비비!$O$430:$O$729,예비비!$B$430:$B$729,예비비!$A393,예비비!$E$430:$E$729,"&lt;"&amp;EDATE(BI$99,1),예비비!$F$430:$F$729,"결제대금비")+MAX(0,IF(예비비!$D393&lt;EDATE(BI$99,1),예비비!$E393,0)-SUMIFS(예비비!$O$430:$O$729,예비비!$B$430:$B$729,예비비!$A393,예비비!$E$430:$E$729,"&lt;"&amp;EDATE(BI$99,1))),0)</f>
        <v>0</v>
      </c>
      <c r="BJ393">
        <f>IF(예비비!$R393="OK",SUMIFS(예비비!$O$430:$O$729,예비비!$B$430:$B$729,예비비!$A393,예비비!$E$430:$E$729,"&lt;"&amp;EDATE(BJ$99,1),예비비!$F$430:$F$729,"결제대금비")+MAX(0,IF(예비비!$D393&lt;EDATE(BJ$99,1),예비비!$E393,0)-SUMIFS(예비비!$O$430:$O$729,예비비!$B$430:$B$729,예비비!$A393,예비비!$E$430:$E$729,"&lt;"&amp;EDATE(BJ$99,1))),0)</f>
        <v>0</v>
      </c>
      <c r="BK393">
        <f>IF(예비비!$R393="OK",SUMIFS(예비비!$O$430:$O$729,예비비!$B$430:$B$729,예비비!$A393,예비비!$E$430:$E$729,"&lt;"&amp;EDATE(BK$99,1),예비비!$F$430:$F$729,"결제대금비")+MAX(0,IF(예비비!$D393&lt;EDATE(BK$99,1),예비비!$E393,0)-SUMIFS(예비비!$O$430:$O$729,예비비!$B$430:$B$729,예비비!$A393,예비비!$E$430:$E$729,"&lt;"&amp;EDATE(BK$99,1))),0)</f>
        <v>0</v>
      </c>
      <c r="BL393">
        <f>IF(예비비!$R393="OK",SUMIFS(예비비!$O$430:$O$729,예비비!$B$430:$B$729,예비비!$A393,예비비!$E$430:$E$729,"&lt;"&amp;EDATE(BL$99,1),예비비!$F$430:$F$729,"결제대금비")+MAX(0,IF(예비비!$D393&lt;EDATE(BL$99,1),예비비!$E393,0)-SUMIFS(예비비!$O$430:$O$729,예비비!$B$430:$B$729,예비비!$A393,예비비!$E$430:$E$729,"&lt;"&amp;EDATE(BL$99,1))),0)</f>
        <v>0</v>
      </c>
      <c r="BM393">
        <f>IF(예비비!$R393="OK",SUMIFS(예비비!$O$430:$O$729,예비비!$B$430:$B$729,예비비!$A393,예비비!$E$430:$E$729,"&lt;"&amp;EDATE(BM$99,1),예비비!$F$430:$F$729,"결제대금비")+MAX(0,IF(예비비!$D393&lt;EDATE(BM$99,1),예비비!$E393,0)-SUMIFS(예비비!$O$430:$O$729,예비비!$B$430:$B$729,예비비!$A393,예비비!$E$430:$E$729,"&lt;"&amp;EDATE(BM$99,1))),0)</f>
        <v>0</v>
      </c>
      <c r="BN393">
        <f>IF(예비비!$R393="OK",SUMIFS(예비비!$O$430:$O$729,예비비!$B$430:$B$729,예비비!$A393,예비비!$E$430:$E$729,"&lt;"&amp;EDATE(BN$99,1),예비비!$F$430:$F$729,"결제대금비")+MAX(0,IF(예비비!$D393&lt;EDATE(BN$99,1),예비비!$E393,0)-SUMIFS(예비비!$O$430:$O$729,예비비!$B$430:$B$729,예비비!$A393,예비비!$E$430:$E$729,"&lt;"&amp;EDATE(BN$99,1))),0)</f>
        <v>0</v>
      </c>
      <c r="BO393">
        <f>IF(예비비!$R393="OK",SUMIFS(예비비!$O$430:$O$729,예비비!$B$430:$B$729,예비비!$A393,예비비!$E$430:$E$729,"&lt;"&amp;EDATE(BO$99,1),예비비!$F$430:$F$729,"결제대금비")+MAX(0,IF(예비비!$D393&lt;EDATE(BO$99,1),예비비!$E393,0)-SUMIFS(예비비!$O$430:$O$729,예비비!$B$430:$B$729,예비비!$A393,예비비!$E$430:$E$729,"&lt;"&amp;EDATE(BO$99,1))),0)</f>
        <v>0</v>
      </c>
      <c r="BP393">
        <f>IF(예비비!$R393="OK",SUMIFS(예비비!$O$430:$O$729,예비비!$B$430:$B$729,예비비!$A393,예비비!$E$430:$E$729,"&lt;"&amp;EDATE(BP$99,1),예비비!$F$430:$F$729,"결제대금비")+MAX(0,IF(예비비!$D393&lt;EDATE(BP$99,1),예비비!$E393,0)-SUMIFS(예비비!$O$430:$O$729,예비비!$B$430:$B$729,예비비!$A393,예비비!$E$430:$E$729,"&lt;"&amp;EDATE(BP$99,1))),0)</f>
        <v>0</v>
      </c>
      <c r="BQ393">
        <f>IF(예비비!$R393="OK",SUMIFS(예비비!$O$430:$O$729,예비비!$B$430:$B$729,예비비!$A393,예비비!$E$430:$E$729,"&lt;"&amp;EDATE(BQ$99,1),예비비!$F$430:$F$729,"결제대금비")+MAX(0,IF(예비비!$D393&lt;EDATE(BQ$99,1),예비비!$E393,0)-SUMIFS(예비비!$O$430:$O$729,예비비!$B$430:$B$729,예비비!$A393,예비비!$E$430:$E$729,"&lt;"&amp;EDATE(BQ$99,1))),0)</f>
        <v>0</v>
      </c>
      <c r="BR393">
        <f>IF(예비비!$R393="OK",SUMIFS(예비비!$O$430:$O$729,예비비!$B$430:$B$729,예비비!$A393,예비비!$E$430:$E$729,"&lt;"&amp;EDATE(BR$99,1),예비비!$F$430:$F$729,"결제대금비")+MAX(0,IF(예비비!$D393&lt;EDATE(BR$99,1),예비비!$E393,0)-SUMIFS(예비비!$O$430:$O$729,예비비!$B$430:$B$729,예비비!$A393,예비비!$E$430:$E$729,"&lt;"&amp;EDATE(BR$99,1))),0)</f>
        <v>0</v>
      </c>
      <c r="BS393">
        <f>IF(예비비!$R393="OK",SUMIFS(예비비!$O$430:$O$729,예비비!$B$430:$B$729,예비비!$A393,예비비!$E$430:$E$729,"&lt;"&amp;EDATE(BS$99,1),예비비!$F$430:$F$729,"결제대금비")+MAX(0,IF(예비비!$D393&lt;EDATE(BS$99,1),예비비!$E393,0)-SUMIFS(예비비!$O$430:$O$729,예비비!$B$430:$B$729,예비비!$A393,예비비!$E$430:$E$729,"&lt;"&amp;EDATE(BS$99,1))),0)</f>
        <v>0</v>
      </c>
      <c r="BT393">
        <f>IF(예비비!$R393="OK",SUMIFS(예비비!$O$430:$O$729,예비비!$B$430:$B$729,예비비!$A393,예비비!$E$430:$E$729,"&lt;"&amp;EDATE(BT$99,1),예비비!$F$430:$F$729,"결제대금비")+MAX(0,IF(예비비!$D393&lt;EDATE(BT$99,1),예비비!$E393,0)-SUMIFS(예비비!$O$430:$O$729,예비비!$B$430:$B$729,예비비!$A393,예비비!$E$430:$E$729,"&lt;"&amp;EDATE(BT$99,1))),0)</f>
        <v>0</v>
      </c>
      <c r="BU393">
        <f>IF(예비비!$R393="OK",SUMIFS(예비비!$O$430:$O$729,예비비!$B$430:$B$729,예비비!$A393,예비비!$E$430:$E$729,"&lt;"&amp;EDATE(BU$99,1),예비비!$F$430:$F$729,"결제대금비")+MAX(0,IF(예비비!$D393&lt;EDATE(BU$99,1),예비비!$E393,0)-SUMIFS(예비비!$O$430:$O$729,예비비!$B$430:$B$729,예비비!$A393,예비비!$E$430:$E$729,"&lt;"&amp;EDATE(BU$99,1))),0)</f>
        <v>0</v>
      </c>
    </row>
    <row r="394">
      <c r="BA394">
        <v>338</v>
      </c>
      <c r="BB394" t="str">
        <f>IFERROR(INDEX(잔액!$A:$A,BA394),0)</f>
        <v>00:00:00</v>
      </c>
      <c r="BH394">
        <f>IFERROR(IF(AND(BB394&gt;0,OR(COUNTIFS(예비비!$C$430:$C$729,BA394,예비비!$N$430:$N$729,"OK")&gt;0,AND(INDEX(잔액!$J:$J,BA394)="가족통장",INDEX(잔액!$K:$K,BA394)="미래에셋_WRAP형CMA"),COUNTIF(예비비!$A$8:$A$12,INDEX(잔액!$C:$C,BA394))=1,COUNTIF(예비비!$A$8:$A$12,INDEX(잔액!$D:$D,BA394))=1),OR(AND(BB394&gt;=예비비!$B$3,BB394&lt;EDATE(예비비!$B$3,1)),AND(BB394&lt;EDATE(예비비!$B$3,1),COUNTIFS(예비비!$C$430:$C$729,BA394,예비비!$L$430:$L$729,예비비!$B$3,예비비!$N$430:$N$729,"OK")&gt;0))),MAX($BH$120:BH393)+1,0),0)</f>
        <v>0</v>
      </c>
      <c r="BI394">
        <f>IF(예비비!$R394="OK",SUMIFS(예비비!$O$430:$O$729,예비비!$B$430:$B$729,예비비!$A394,예비비!$E$430:$E$729,"&lt;"&amp;EDATE(BI$99,1),예비비!$F$430:$F$729,"결제대금비")+MAX(0,IF(예비비!$D394&lt;EDATE(BI$99,1),예비비!$E394,0)-SUMIFS(예비비!$O$430:$O$729,예비비!$B$430:$B$729,예비비!$A394,예비비!$E$430:$E$729,"&lt;"&amp;EDATE(BI$99,1))),0)</f>
        <v>0</v>
      </c>
      <c r="BJ394">
        <f>IF(예비비!$R394="OK",SUMIFS(예비비!$O$430:$O$729,예비비!$B$430:$B$729,예비비!$A394,예비비!$E$430:$E$729,"&lt;"&amp;EDATE(BJ$99,1),예비비!$F$430:$F$729,"결제대금비")+MAX(0,IF(예비비!$D394&lt;EDATE(BJ$99,1),예비비!$E394,0)-SUMIFS(예비비!$O$430:$O$729,예비비!$B$430:$B$729,예비비!$A394,예비비!$E$430:$E$729,"&lt;"&amp;EDATE(BJ$99,1))),0)</f>
        <v>0</v>
      </c>
      <c r="BK394">
        <f>IF(예비비!$R394="OK",SUMIFS(예비비!$O$430:$O$729,예비비!$B$430:$B$729,예비비!$A394,예비비!$E$430:$E$729,"&lt;"&amp;EDATE(BK$99,1),예비비!$F$430:$F$729,"결제대금비")+MAX(0,IF(예비비!$D394&lt;EDATE(BK$99,1),예비비!$E394,0)-SUMIFS(예비비!$O$430:$O$729,예비비!$B$430:$B$729,예비비!$A394,예비비!$E$430:$E$729,"&lt;"&amp;EDATE(BK$99,1))),0)</f>
        <v>0</v>
      </c>
      <c r="BL394">
        <f>IF(예비비!$R394="OK",SUMIFS(예비비!$O$430:$O$729,예비비!$B$430:$B$729,예비비!$A394,예비비!$E$430:$E$729,"&lt;"&amp;EDATE(BL$99,1),예비비!$F$430:$F$729,"결제대금비")+MAX(0,IF(예비비!$D394&lt;EDATE(BL$99,1),예비비!$E394,0)-SUMIFS(예비비!$O$430:$O$729,예비비!$B$430:$B$729,예비비!$A394,예비비!$E$430:$E$729,"&lt;"&amp;EDATE(BL$99,1))),0)</f>
        <v>0</v>
      </c>
      <c r="BM394">
        <f>IF(예비비!$R394="OK",SUMIFS(예비비!$O$430:$O$729,예비비!$B$430:$B$729,예비비!$A394,예비비!$E$430:$E$729,"&lt;"&amp;EDATE(BM$99,1),예비비!$F$430:$F$729,"결제대금비")+MAX(0,IF(예비비!$D394&lt;EDATE(BM$99,1),예비비!$E394,0)-SUMIFS(예비비!$O$430:$O$729,예비비!$B$430:$B$729,예비비!$A394,예비비!$E$430:$E$729,"&lt;"&amp;EDATE(BM$99,1))),0)</f>
        <v>0</v>
      </c>
      <c r="BN394">
        <f>IF(예비비!$R394="OK",SUMIFS(예비비!$O$430:$O$729,예비비!$B$430:$B$729,예비비!$A394,예비비!$E$430:$E$729,"&lt;"&amp;EDATE(BN$99,1),예비비!$F$430:$F$729,"결제대금비")+MAX(0,IF(예비비!$D394&lt;EDATE(BN$99,1),예비비!$E394,0)-SUMIFS(예비비!$O$430:$O$729,예비비!$B$430:$B$729,예비비!$A394,예비비!$E$430:$E$729,"&lt;"&amp;EDATE(BN$99,1))),0)</f>
        <v>0</v>
      </c>
      <c r="BO394">
        <f>IF(예비비!$R394="OK",SUMIFS(예비비!$O$430:$O$729,예비비!$B$430:$B$729,예비비!$A394,예비비!$E$430:$E$729,"&lt;"&amp;EDATE(BO$99,1),예비비!$F$430:$F$729,"결제대금비")+MAX(0,IF(예비비!$D394&lt;EDATE(BO$99,1),예비비!$E394,0)-SUMIFS(예비비!$O$430:$O$729,예비비!$B$430:$B$729,예비비!$A394,예비비!$E$430:$E$729,"&lt;"&amp;EDATE(BO$99,1))),0)</f>
        <v>0</v>
      </c>
      <c r="BP394">
        <f>IF(예비비!$R394="OK",SUMIFS(예비비!$O$430:$O$729,예비비!$B$430:$B$729,예비비!$A394,예비비!$E$430:$E$729,"&lt;"&amp;EDATE(BP$99,1),예비비!$F$430:$F$729,"결제대금비")+MAX(0,IF(예비비!$D394&lt;EDATE(BP$99,1),예비비!$E394,0)-SUMIFS(예비비!$O$430:$O$729,예비비!$B$430:$B$729,예비비!$A394,예비비!$E$430:$E$729,"&lt;"&amp;EDATE(BP$99,1))),0)</f>
        <v>0</v>
      </c>
      <c r="BQ394">
        <f>IF(예비비!$R394="OK",SUMIFS(예비비!$O$430:$O$729,예비비!$B$430:$B$729,예비비!$A394,예비비!$E$430:$E$729,"&lt;"&amp;EDATE(BQ$99,1),예비비!$F$430:$F$729,"결제대금비")+MAX(0,IF(예비비!$D394&lt;EDATE(BQ$99,1),예비비!$E394,0)-SUMIFS(예비비!$O$430:$O$729,예비비!$B$430:$B$729,예비비!$A394,예비비!$E$430:$E$729,"&lt;"&amp;EDATE(BQ$99,1))),0)</f>
        <v>0</v>
      </c>
      <c r="BR394">
        <f>IF(예비비!$R394="OK",SUMIFS(예비비!$O$430:$O$729,예비비!$B$430:$B$729,예비비!$A394,예비비!$E$430:$E$729,"&lt;"&amp;EDATE(BR$99,1),예비비!$F$430:$F$729,"결제대금비")+MAX(0,IF(예비비!$D394&lt;EDATE(BR$99,1),예비비!$E394,0)-SUMIFS(예비비!$O$430:$O$729,예비비!$B$430:$B$729,예비비!$A394,예비비!$E$430:$E$729,"&lt;"&amp;EDATE(BR$99,1))),0)</f>
        <v>0</v>
      </c>
      <c r="BS394">
        <f>IF(예비비!$R394="OK",SUMIFS(예비비!$O$430:$O$729,예비비!$B$430:$B$729,예비비!$A394,예비비!$E$430:$E$729,"&lt;"&amp;EDATE(BS$99,1),예비비!$F$430:$F$729,"결제대금비")+MAX(0,IF(예비비!$D394&lt;EDATE(BS$99,1),예비비!$E394,0)-SUMIFS(예비비!$O$430:$O$729,예비비!$B$430:$B$729,예비비!$A394,예비비!$E$430:$E$729,"&lt;"&amp;EDATE(BS$99,1))),0)</f>
        <v>0</v>
      </c>
      <c r="BT394">
        <f>IF(예비비!$R394="OK",SUMIFS(예비비!$O$430:$O$729,예비비!$B$430:$B$729,예비비!$A394,예비비!$E$430:$E$729,"&lt;"&amp;EDATE(BT$99,1),예비비!$F$430:$F$729,"결제대금비")+MAX(0,IF(예비비!$D394&lt;EDATE(BT$99,1),예비비!$E394,0)-SUMIFS(예비비!$O$430:$O$729,예비비!$B$430:$B$729,예비비!$A394,예비비!$E$430:$E$729,"&lt;"&amp;EDATE(BT$99,1))),0)</f>
        <v>0</v>
      </c>
      <c r="BU394">
        <f>IF(예비비!$R394="OK",SUMIFS(예비비!$O$430:$O$729,예비비!$B$430:$B$729,예비비!$A394,예비비!$E$430:$E$729,"&lt;"&amp;EDATE(BU$99,1),예비비!$F$430:$F$729,"결제대금비")+MAX(0,IF(예비비!$D394&lt;EDATE(BU$99,1),예비비!$E394,0)-SUMIFS(예비비!$O$430:$O$729,예비비!$B$430:$B$729,예비비!$A394,예비비!$E$430:$E$729,"&lt;"&amp;EDATE(BU$99,1))),0)</f>
        <v>0</v>
      </c>
    </row>
    <row r="395">
      <c r="BA395">
        <v>339</v>
      </c>
      <c r="BB395" t="str">
        <f>IFERROR(INDEX(잔액!$A:$A,BA395),0)</f>
        <v>00:00:00</v>
      </c>
      <c r="BH395">
        <f>IFERROR(IF(AND(BB395&gt;0,OR(COUNTIFS(예비비!$C$430:$C$729,BA395,예비비!$N$430:$N$729,"OK")&gt;0,AND(INDEX(잔액!$J:$J,BA395)="가족통장",INDEX(잔액!$K:$K,BA395)="미래에셋_WRAP형CMA"),COUNTIF(예비비!$A$8:$A$12,INDEX(잔액!$C:$C,BA395))=1,COUNTIF(예비비!$A$8:$A$12,INDEX(잔액!$D:$D,BA395))=1),OR(AND(BB395&gt;=예비비!$B$3,BB395&lt;EDATE(예비비!$B$3,1)),AND(BB395&lt;EDATE(예비비!$B$3,1),COUNTIFS(예비비!$C$430:$C$729,BA395,예비비!$L$430:$L$729,예비비!$B$3,예비비!$N$430:$N$729,"OK")&gt;0))),MAX($BH$120:BH394)+1,0),0)</f>
        <v>0</v>
      </c>
      <c r="BI395">
        <f>IF(예비비!$R395="OK",SUMIFS(예비비!$O$430:$O$729,예비비!$B$430:$B$729,예비비!$A395,예비비!$E$430:$E$729,"&lt;"&amp;EDATE(BI$99,1),예비비!$F$430:$F$729,"결제대금비")+MAX(0,IF(예비비!$D395&lt;EDATE(BI$99,1),예비비!$E395,0)-SUMIFS(예비비!$O$430:$O$729,예비비!$B$430:$B$729,예비비!$A395,예비비!$E$430:$E$729,"&lt;"&amp;EDATE(BI$99,1))),0)</f>
        <v>0</v>
      </c>
      <c r="BJ395">
        <f>IF(예비비!$R395="OK",SUMIFS(예비비!$O$430:$O$729,예비비!$B$430:$B$729,예비비!$A395,예비비!$E$430:$E$729,"&lt;"&amp;EDATE(BJ$99,1),예비비!$F$430:$F$729,"결제대금비")+MAX(0,IF(예비비!$D395&lt;EDATE(BJ$99,1),예비비!$E395,0)-SUMIFS(예비비!$O$430:$O$729,예비비!$B$430:$B$729,예비비!$A395,예비비!$E$430:$E$729,"&lt;"&amp;EDATE(BJ$99,1))),0)</f>
        <v>0</v>
      </c>
      <c r="BK395">
        <f>IF(예비비!$R395="OK",SUMIFS(예비비!$O$430:$O$729,예비비!$B$430:$B$729,예비비!$A395,예비비!$E$430:$E$729,"&lt;"&amp;EDATE(BK$99,1),예비비!$F$430:$F$729,"결제대금비")+MAX(0,IF(예비비!$D395&lt;EDATE(BK$99,1),예비비!$E395,0)-SUMIFS(예비비!$O$430:$O$729,예비비!$B$430:$B$729,예비비!$A395,예비비!$E$430:$E$729,"&lt;"&amp;EDATE(BK$99,1))),0)</f>
        <v>0</v>
      </c>
      <c r="BL395">
        <f>IF(예비비!$R395="OK",SUMIFS(예비비!$O$430:$O$729,예비비!$B$430:$B$729,예비비!$A395,예비비!$E$430:$E$729,"&lt;"&amp;EDATE(BL$99,1),예비비!$F$430:$F$729,"결제대금비")+MAX(0,IF(예비비!$D395&lt;EDATE(BL$99,1),예비비!$E395,0)-SUMIFS(예비비!$O$430:$O$729,예비비!$B$430:$B$729,예비비!$A395,예비비!$E$430:$E$729,"&lt;"&amp;EDATE(BL$99,1))),0)</f>
        <v>0</v>
      </c>
      <c r="BM395">
        <f>IF(예비비!$R395="OK",SUMIFS(예비비!$O$430:$O$729,예비비!$B$430:$B$729,예비비!$A395,예비비!$E$430:$E$729,"&lt;"&amp;EDATE(BM$99,1),예비비!$F$430:$F$729,"결제대금비")+MAX(0,IF(예비비!$D395&lt;EDATE(BM$99,1),예비비!$E395,0)-SUMIFS(예비비!$O$430:$O$729,예비비!$B$430:$B$729,예비비!$A395,예비비!$E$430:$E$729,"&lt;"&amp;EDATE(BM$99,1))),0)</f>
        <v>0</v>
      </c>
      <c r="BN395">
        <f>IF(예비비!$R395="OK",SUMIFS(예비비!$O$430:$O$729,예비비!$B$430:$B$729,예비비!$A395,예비비!$E$430:$E$729,"&lt;"&amp;EDATE(BN$99,1),예비비!$F$430:$F$729,"결제대금비")+MAX(0,IF(예비비!$D395&lt;EDATE(BN$99,1),예비비!$E395,0)-SUMIFS(예비비!$O$430:$O$729,예비비!$B$430:$B$729,예비비!$A395,예비비!$E$430:$E$729,"&lt;"&amp;EDATE(BN$99,1))),0)</f>
        <v>0</v>
      </c>
      <c r="BO395">
        <f>IF(예비비!$R395="OK",SUMIFS(예비비!$O$430:$O$729,예비비!$B$430:$B$729,예비비!$A395,예비비!$E$430:$E$729,"&lt;"&amp;EDATE(BO$99,1),예비비!$F$430:$F$729,"결제대금비")+MAX(0,IF(예비비!$D395&lt;EDATE(BO$99,1),예비비!$E395,0)-SUMIFS(예비비!$O$430:$O$729,예비비!$B$430:$B$729,예비비!$A395,예비비!$E$430:$E$729,"&lt;"&amp;EDATE(BO$99,1))),0)</f>
        <v>0</v>
      </c>
      <c r="BP395">
        <f>IF(예비비!$R395="OK",SUMIFS(예비비!$O$430:$O$729,예비비!$B$430:$B$729,예비비!$A395,예비비!$E$430:$E$729,"&lt;"&amp;EDATE(BP$99,1),예비비!$F$430:$F$729,"결제대금비")+MAX(0,IF(예비비!$D395&lt;EDATE(BP$99,1),예비비!$E395,0)-SUMIFS(예비비!$O$430:$O$729,예비비!$B$430:$B$729,예비비!$A395,예비비!$E$430:$E$729,"&lt;"&amp;EDATE(BP$99,1))),0)</f>
        <v>0</v>
      </c>
      <c r="BQ395">
        <f>IF(예비비!$R395="OK",SUMIFS(예비비!$O$430:$O$729,예비비!$B$430:$B$729,예비비!$A395,예비비!$E$430:$E$729,"&lt;"&amp;EDATE(BQ$99,1),예비비!$F$430:$F$729,"결제대금비")+MAX(0,IF(예비비!$D395&lt;EDATE(BQ$99,1),예비비!$E395,0)-SUMIFS(예비비!$O$430:$O$729,예비비!$B$430:$B$729,예비비!$A395,예비비!$E$430:$E$729,"&lt;"&amp;EDATE(BQ$99,1))),0)</f>
        <v>0</v>
      </c>
      <c r="BR395">
        <f>IF(예비비!$R395="OK",SUMIFS(예비비!$O$430:$O$729,예비비!$B$430:$B$729,예비비!$A395,예비비!$E$430:$E$729,"&lt;"&amp;EDATE(BR$99,1),예비비!$F$430:$F$729,"결제대금비")+MAX(0,IF(예비비!$D395&lt;EDATE(BR$99,1),예비비!$E395,0)-SUMIFS(예비비!$O$430:$O$729,예비비!$B$430:$B$729,예비비!$A395,예비비!$E$430:$E$729,"&lt;"&amp;EDATE(BR$99,1))),0)</f>
        <v>0</v>
      </c>
      <c r="BS395">
        <f>IF(예비비!$R395="OK",SUMIFS(예비비!$O$430:$O$729,예비비!$B$430:$B$729,예비비!$A395,예비비!$E$430:$E$729,"&lt;"&amp;EDATE(BS$99,1),예비비!$F$430:$F$729,"결제대금비")+MAX(0,IF(예비비!$D395&lt;EDATE(BS$99,1),예비비!$E395,0)-SUMIFS(예비비!$O$430:$O$729,예비비!$B$430:$B$729,예비비!$A395,예비비!$E$430:$E$729,"&lt;"&amp;EDATE(BS$99,1))),0)</f>
        <v>0</v>
      </c>
      <c r="BT395">
        <f>IF(예비비!$R395="OK",SUMIFS(예비비!$O$430:$O$729,예비비!$B$430:$B$729,예비비!$A395,예비비!$E$430:$E$729,"&lt;"&amp;EDATE(BT$99,1),예비비!$F$430:$F$729,"결제대금비")+MAX(0,IF(예비비!$D395&lt;EDATE(BT$99,1),예비비!$E395,0)-SUMIFS(예비비!$O$430:$O$729,예비비!$B$430:$B$729,예비비!$A395,예비비!$E$430:$E$729,"&lt;"&amp;EDATE(BT$99,1))),0)</f>
        <v>0</v>
      </c>
      <c r="BU395">
        <f>IF(예비비!$R395="OK",SUMIFS(예비비!$O$430:$O$729,예비비!$B$430:$B$729,예비비!$A395,예비비!$E$430:$E$729,"&lt;"&amp;EDATE(BU$99,1),예비비!$F$430:$F$729,"결제대금비")+MAX(0,IF(예비비!$D395&lt;EDATE(BU$99,1),예비비!$E395,0)-SUMIFS(예비비!$O$430:$O$729,예비비!$B$430:$B$729,예비비!$A395,예비비!$E$430:$E$729,"&lt;"&amp;EDATE(BU$99,1))),0)</f>
        <v>0</v>
      </c>
    </row>
    <row r="396">
      <c r="BA396">
        <v>340</v>
      </c>
      <c r="BB396" t="str">
        <f>IFERROR(INDEX(잔액!$A:$A,BA396),0)</f>
        <v>00:00:00</v>
      </c>
      <c r="BH396">
        <f>IFERROR(IF(AND(BB396&gt;0,OR(COUNTIFS(예비비!$C$430:$C$729,BA396,예비비!$N$430:$N$729,"OK")&gt;0,AND(INDEX(잔액!$J:$J,BA396)="가족통장",INDEX(잔액!$K:$K,BA396)="미래에셋_WRAP형CMA"),COUNTIF(예비비!$A$8:$A$12,INDEX(잔액!$C:$C,BA396))=1,COUNTIF(예비비!$A$8:$A$12,INDEX(잔액!$D:$D,BA396))=1),OR(AND(BB396&gt;=예비비!$B$3,BB396&lt;EDATE(예비비!$B$3,1)),AND(BB396&lt;EDATE(예비비!$B$3,1),COUNTIFS(예비비!$C$430:$C$729,BA396,예비비!$L$430:$L$729,예비비!$B$3,예비비!$N$430:$N$729,"OK")&gt;0))),MAX($BH$120:BH395)+1,0),0)</f>
        <v>0</v>
      </c>
      <c r="BI396">
        <f>IF(예비비!$R396="OK",SUMIFS(예비비!$O$430:$O$729,예비비!$B$430:$B$729,예비비!$A396,예비비!$E$430:$E$729,"&lt;"&amp;EDATE(BI$99,1),예비비!$F$430:$F$729,"결제대금비")+MAX(0,IF(예비비!$D396&lt;EDATE(BI$99,1),예비비!$E396,0)-SUMIFS(예비비!$O$430:$O$729,예비비!$B$430:$B$729,예비비!$A396,예비비!$E$430:$E$729,"&lt;"&amp;EDATE(BI$99,1))),0)</f>
        <v>0</v>
      </c>
      <c r="BJ396">
        <f>IF(예비비!$R396="OK",SUMIFS(예비비!$O$430:$O$729,예비비!$B$430:$B$729,예비비!$A396,예비비!$E$430:$E$729,"&lt;"&amp;EDATE(BJ$99,1),예비비!$F$430:$F$729,"결제대금비")+MAX(0,IF(예비비!$D396&lt;EDATE(BJ$99,1),예비비!$E396,0)-SUMIFS(예비비!$O$430:$O$729,예비비!$B$430:$B$729,예비비!$A396,예비비!$E$430:$E$729,"&lt;"&amp;EDATE(BJ$99,1))),0)</f>
        <v>0</v>
      </c>
      <c r="BK396">
        <f>IF(예비비!$R396="OK",SUMIFS(예비비!$O$430:$O$729,예비비!$B$430:$B$729,예비비!$A396,예비비!$E$430:$E$729,"&lt;"&amp;EDATE(BK$99,1),예비비!$F$430:$F$729,"결제대금비")+MAX(0,IF(예비비!$D396&lt;EDATE(BK$99,1),예비비!$E396,0)-SUMIFS(예비비!$O$430:$O$729,예비비!$B$430:$B$729,예비비!$A396,예비비!$E$430:$E$729,"&lt;"&amp;EDATE(BK$99,1))),0)</f>
        <v>0</v>
      </c>
      <c r="BL396">
        <f>IF(예비비!$R396="OK",SUMIFS(예비비!$O$430:$O$729,예비비!$B$430:$B$729,예비비!$A396,예비비!$E$430:$E$729,"&lt;"&amp;EDATE(BL$99,1),예비비!$F$430:$F$729,"결제대금비")+MAX(0,IF(예비비!$D396&lt;EDATE(BL$99,1),예비비!$E396,0)-SUMIFS(예비비!$O$430:$O$729,예비비!$B$430:$B$729,예비비!$A396,예비비!$E$430:$E$729,"&lt;"&amp;EDATE(BL$99,1))),0)</f>
        <v>0</v>
      </c>
      <c r="BM396">
        <f>IF(예비비!$R396="OK",SUMIFS(예비비!$O$430:$O$729,예비비!$B$430:$B$729,예비비!$A396,예비비!$E$430:$E$729,"&lt;"&amp;EDATE(BM$99,1),예비비!$F$430:$F$729,"결제대금비")+MAX(0,IF(예비비!$D396&lt;EDATE(BM$99,1),예비비!$E396,0)-SUMIFS(예비비!$O$430:$O$729,예비비!$B$430:$B$729,예비비!$A396,예비비!$E$430:$E$729,"&lt;"&amp;EDATE(BM$99,1))),0)</f>
        <v>0</v>
      </c>
      <c r="BN396">
        <f>IF(예비비!$R396="OK",SUMIFS(예비비!$O$430:$O$729,예비비!$B$430:$B$729,예비비!$A396,예비비!$E$430:$E$729,"&lt;"&amp;EDATE(BN$99,1),예비비!$F$430:$F$729,"결제대금비")+MAX(0,IF(예비비!$D396&lt;EDATE(BN$99,1),예비비!$E396,0)-SUMIFS(예비비!$O$430:$O$729,예비비!$B$430:$B$729,예비비!$A396,예비비!$E$430:$E$729,"&lt;"&amp;EDATE(BN$99,1))),0)</f>
        <v>0</v>
      </c>
      <c r="BO396">
        <f>IF(예비비!$R396="OK",SUMIFS(예비비!$O$430:$O$729,예비비!$B$430:$B$729,예비비!$A396,예비비!$E$430:$E$729,"&lt;"&amp;EDATE(BO$99,1),예비비!$F$430:$F$729,"결제대금비")+MAX(0,IF(예비비!$D396&lt;EDATE(BO$99,1),예비비!$E396,0)-SUMIFS(예비비!$O$430:$O$729,예비비!$B$430:$B$729,예비비!$A396,예비비!$E$430:$E$729,"&lt;"&amp;EDATE(BO$99,1))),0)</f>
        <v>0</v>
      </c>
      <c r="BP396">
        <f>IF(예비비!$R396="OK",SUMIFS(예비비!$O$430:$O$729,예비비!$B$430:$B$729,예비비!$A396,예비비!$E$430:$E$729,"&lt;"&amp;EDATE(BP$99,1),예비비!$F$430:$F$729,"결제대금비")+MAX(0,IF(예비비!$D396&lt;EDATE(BP$99,1),예비비!$E396,0)-SUMIFS(예비비!$O$430:$O$729,예비비!$B$430:$B$729,예비비!$A396,예비비!$E$430:$E$729,"&lt;"&amp;EDATE(BP$99,1))),0)</f>
        <v>0</v>
      </c>
      <c r="BQ396">
        <f>IF(예비비!$R396="OK",SUMIFS(예비비!$O$430:$O$729,예비비!$B$430:$B$729,예비비!$A396,예비비!$E$430:$E$729,"&lt;"&amp;EDATE(BQ$99,1),예비비!$F$430:$F$729,"결제대금비")+MAX(0,IF(예비비!$D396&lt;EDATE(BQ$99,1),예비비!$E396,0)-SUMIFS(예비비!$O$430:$O$729,예비비!$B$430:$B$729,예비비!$A396,예비비!$E$430:$E$729,"&lt;"&amp;EDATE(BQ$99,1))),0)</f>
        <v>0</v>
      </c>
      <c r="BR396">
        <f>IF(예비비!$R396="OK",SUMIFS(예비비!$O$430:$O$729,예비비!$B$430:$B$729,예비비!$A396,예비비!$E$430:$E$729,"&lt;"&amp;EDATE(BR$99,1),예비비!$F$430:$F$729,"결제대금비")+MAX(0,IF(예비비!$D396&lt;EDATE(BR$99,1),예비비!$E396,0)-SUMIFS(예비비!$O$430:$O$729,예비비!$B$430:$B$729,예비비!$A396,예비비!$E$430:$E$729,"&lt;"&amp;EDATE(BR$99,1))),0)</f>
        <v>0</v>
      </c>
      <c r="BS396">
        <f>IF(예비비!$R396="OK",SUMIFS(예비비!$O$430:$O$729,예비비!$B$430:$B$729,예비비!$A396,예비비!$E$430:$E$729,"&lt;"&amp;EDATE(BS$99,1),예비비!$F$430:$F$729,"결제대금비")+MAX(0,IF(예비비!$D396&lt;EDATE(BS$99,1),예비비!$E396,0)-SUMIFS(예비비!$O$430:$O$729,예비비!$B$430:$B$729,예비비!$A396,예비비!$E$430:$E$729,"&lt;"&amp;EDATE(BS$99,1))),0)</f>
        <v>0</v>
      </c>
      <c r="BT396">
        <f>IF(예비비!$R396="OK",SUMIFS(예비비!$O$430:$O$729,예비비!$B$430:$B$729,예비비!$A396,예비비!$E$430:$E$729,"&lt;"&amp;EDATE(BT$99,1),예비비!$F$430:$F$729,"결제대금비")+MAX(0,IF(예비비!$D396&lt;EDATE(BT$99,1),예비비!$E396,0)-SUMIFS(예비비!$O$430:$O$729,예비비!$B$430:$B$729,예비비!$A396,예비비!$E$430:$E$729,"&lt;"&amp;EDATE(BT$99,1))),0)</f>
        <v>0</v>
      </c>
      <c r="BU396">
        <f>IF(예비비!$R396="OK",SUMIFS(예비비!$O$430:$O$729,예비비!$B$430:$B$729,예비비!$A396,예비비!$E$430:$E$729,"&lt;"&amp;EDATE(BU$99,1),예비비!$F$430:$F$729,"결제대금비")+MAX(0,IF(예비비!$D396&lt;EDATE(BU$99,1),예비비!$E396,0)-SUMIFS(예비비!$O$430:$O$729,예비비!$B$430:$B$729,예비비!$A396,예비비!$E$430:$E$729,"&lt;"&amp;EDATE(BU$99,1))),0)</f>
        <v>0</v>
      </c>
    </row>
    <row r="397">
      <c r="BA397">
        <v>341</v>
      </c>
      <c r="BB397" t="str">
        <f>IFERROR(INDEX(잔액!$A:$A,BA397),0)</f>
        <v>00:00:00</v>
      </c>
      <c r="BH397">
        <f>IFERROR(IF(AND(BB397&gt;0,OR(COUNTIFS(예비비!$C$430:$C$729,BA397,예비비!$N$430:$N$729,"OK")&gt;0,AND(INDEX(잔액!$J:$J,BA397)="가족통장",INDEX(잔액!$K:$K,BA397)="미래에셋_WRAP형CMA"),COUNTIF(예비비!$A$8:$A$12,INDEX(잔액!$C:$C,BA397))=1,COUNTIF(예비비!$A$8:$A$12,INDEX(잔액!$D:$D,BA397))=1),OR(AND(BB397&gt;=예비비!$B$3,BB397&lt;EDATE(예비비!$B$3,1)),AND(BB397&lt;EDATE(예비비!$B$3,1),COUNTIFS(예비비!$C$430:$C$729,BA397,예비비!$L$430:$L$729,예비비!$B$3,예비비!$N$430:$N$729,"OK")&gt;0))),MAX($BH$120:BH396)+1,0),0)</f>
        <v>0</v>
      </c>
      <c r="BI397">
        <f>IF(예비비!$R397="OK",SUMIFS(예비비!$O$430:$O$729,예비비!$B$430:$B$729,예비비!$A397,예비비!$E$430:$E$729,"&lt;"&amp;EDATE(BI$99,1),예비비!$F$430:$F$729,"결제대금비")+MAX(0,IF(예비비!$D397&lt;EDATE(BI$99,1),예비비!$E397,0)-SUMIFS(예비비!$O$430:$O$729,예비비!$B$430:$B$729,예비비!$A397,예비비!$E$430:$E$729,"&lt;"&amp;EDATE(BI$99,1))),0)</f>
        <v>0</v>
      </c>
      <c r="BJ397">
        <f>IF(예비비!$R397="OK",SUMIFS(예비비!$O$430:$O$729,예비비!$B$430:$B$729,예비비!$A397,예비비!$E$430:$E$729,"&lt;"&amp;EDATE(BJ$99,1),예비비!$F$430:$F$729,"결제대금비")+MAX(0,IF(예비비!$D397&lt;EDATE(BJ$99,1),예비비!$E397,0)-SUMIFS(예비비!$O$430:$O$729,예비비!$B$430:$B$729,예비비!$A397,예비비!$E$430:$E$729,"&lt;"&amp;EDATE(BJ$99,1))),0)</f>
        <v>0</v>
      </c>
      <c r="BK397">
        <f>IF(예비비!$R397="OK",SUMIFS(예비비!$O$430:$O$729,예비비!$B$430:$B$729,예비비!$A397,예비비!$E$430:$E$729,"&lt;"&amp;EDATE(BK$99,1),예비비!$F$430:$F$729,"결제대금비")+MAX(0,IF(예비비!$D397&lt;EDATE(BK$99,1),예비비!$E397,0)-SUMIFS(예비비!$O$430:$O$729,예비비!$B$430:$B$729,예비비!$A397,예비비!$E$430:$E$729,"&lt;"&amp;EDATE(BK$99,1))),0)</f>
        <v>0</v>
      </c>
      <c r="BL397">
        <f>IF(예비비!$R397="OK",SUMIFS(예비비!$O$430:$O$729,예비비!$B$430:$B$729,예비비!$A397,예비비!$E$430:$E$729,"&lt;"&amp;EDATE(BL$99,1),예비비!$F$430:$F$729,"결제대금비")+MAX(0,IF(예비비!$D397&lt;EDATE(BL$99,1),예비비!$E397,0)-SUMIFS(예비비!$O$430:$O$729,예비비!$B$430:$B$729,예비비!$A397,예비비!$E$430:$E$729,"&lt;"&amp;EDATE(BL$99,1))),0)</f>
        <v>0</v>
      </c>
      <c r="BM397">
        <f>IF(예비비!$R397="OK",SUMIFS(예비비!$O$430:$O$729,예비비!$B$430:$B$729,예비비!$A397,예비비!$E$430:$E$729,"&lt;"&amp;EDATE(BM$99,1),예비비!$F$430:$F$729,"결제대금비")+MAX(0,IF(예비비!$D397&lt;EDATE(BM$99,1),예비비!$E397,0)-SUMIFS(예비비!$O$430:$O$729,예비비!$B$430:$B$729,예비비!$A397,예비비!$E$430:$E$729,"&lt;"&amp;EDATE(BM$99,1))),0)</f>
        <v>0</v>
      </c>
      <c r="BN397">
        <f>IF(예비비!$R397="OK",SUMIFS(예비비!$O$430:$O$729,예비비!$B$430:$B$729,예비비!$A397,예비비!$E$430:$E$729,"&lt;"&amp;EDATE(BN$99,1),예비비!$F$430:$F$729,"결제대금비")+MAX(0,IF(예비비!$D397&lt;EDATE(BN$99,1),예비비!$E397,0)-SUMIFS(예비비!$O$430:$O$729,예비비!$B$430:$B$729,예비비!$A397,예비비!$E$430:$E$729,"&lt;"&amp;EDATE(BN$99,1))),0)</f>
        <v>0</v>
      </c>
      <c r="BO397">
        <f>IF(예비비!$R397="OK",SUMIFS(예비비!$O$430:$O$729,예비비!$B$430:$B$729,예비비!$A397,예비비!$E$430:$E$729,"&lt;"&amp;EDATE(BO$99,1),예비비!$F$430:$F$729,"결제대금비")+MAX(0,IF(예비비!$D397&lt;EDATE(BO$99,1),예비비!$E397,0)-SUMIFS(예비비!$O$430:$O$729,예비비!$B$430:$B$729,예비비!$A397,예비비!$E$430:$E$729,"&lt;"&amp;EDATE(BO$99,1))),0)</f>
        <v>0</v>
      </c>
      <c r="BP397">
        <f>IF(예비비!$R397="OK",SUMIFS(예비비!$O$430:$O$729,예비비!$B$430:$B$729,예비비!$A397,예비비!$E$430:$E$729,"&lt;"&amp;EDATE(BP$99,1),예비비!$F$430:$F$729,"결제대금비")+MAX(0,IF(예비비!$D397&lt;EDATE(BP$99,1),예비비!$E397,0)-SUMIFS(예비비!$O$430:$O$729,예비비!$B$430:$B$729,예비비!$A397,예비비!$E$430:$E$729,"&lt;"&amp;EDATE(BP$99,1))),0)</f>
        <v>0</v>
      </c>
      <c r="BQ397">
        <f>IF(예비비!$R397="OK",SUMIFS(예비비!$O$430:$O$729,예비비!$B$430:$B$729,예비비!$A397,예비비!$E$430:$E$729,"&lt;"&amp;EDATE(BQ$99,1),예비비!$F$430:$F$729,"결제대금비")+MAX(0,IF(예비비!$D397&lt;EDATE(BQ$99,1),예비비!$E397,0)-SUMIFS(예비비!$O$430:$O$729,예비비!$B$430:$B$729,예비비!$A397,예비비!$E$430:$E$729,"&lt;"&amp;EDATE(BQ$99,1))),0)</f>
        <v>0</v>
      </c>
      <c r="BR397">
        <f>IF(예비비!$R397="OK",SUMIFS(예비비!$O$430:$O$729,예비비!$B$430:$B$729,예비비!$A397,예비비!$E$430:$E$729,"&lt;"&amp;EDATE(BR$99,1),예비비!$F$430:$F$729,"결제대금비")+MAX(0,IF(예비비!$D397&lt;EDATE(BR$99,1),예비비!$E397,0)-SUMIFS(예비비!$O$430:$O$729,예비비!$B$430:$B$729,예비비!$A397,예비비!$E$430:$E$729,"&lt;"&amp;EDATE(BR$99,1))),0)</f>
        <v>0</v>
      </c>
      <c r="BS397">
        <f>IF(예비비!$R397="OK",SUMIFS(예비비!$O$430:$O$729,예비비!$B$430:$B$729,예비비!$A397,예비비!$E$430:$E$729,"&lt;"&amp;EDATE(BS$99,1),예비비!$F$430:$F$729,"결제대금비")+MAX(0,IF(예비비!$D397&lt;EDATE(BS$99,1),예비비!$E397,0)-SUMIFS(예비비!$O$430:$O$729,예비비!$B$430:$B$729,예비비!$A397,예비비!$E$430:$E$729,"&lt;"&amp;EDATE(BS$99,1))),0)</f>
        <v>0</v>
      </c>
      <c r="BT397">
        <f>IF(예비비!$R397="OK",SUMIFS(예비비!$O$430:$O$729,예비비!$B$430:$B$729,예비비!$A397,예비비!$E$430:$E$729,"&lt;"&amp;EDATE(BT$99,1),예비비!$F$430:$F$729,"결제대금비")+MAX(0,IF(예비비!$D397&lt;EDATE(BT$99,1),예비비!$E397,0)-SUMIFS(예비비!$O$430:$O$729,예비비!$B$430:$B$729,예비비!$A397,예비비!$E$430:$E$729,"&lt;"&amp;EDATE(BT$99,1))),0)</f>
        <v>0</v>
      </c>
      <c r="BU397">
        <f>IF(예비비!$R397="OK",SUMIFS(예비비!$O$430:$O$729,예비비!$B$430:$B$729,예비비!$A397,예비비!$E$430:$E$729,"&lt;"&amp;EDATE(BU$99,1),예비비!$F$430:$F$729,"결제대금비")+MAX(0,IF(예비비!$D397&lt;EDATE(BU$99,1),예비비!$E397,0)-SUMIFS(예비비!$O$430:$O$729,예비비!$B$430:$B$729,예비비!$A397,예비비!$E$430:$E$729,"&lt;"&amp;EDATE(BU$99,1))),0)</f>
        <v>0</v>
      </c>
    </row>
    <row r="398">
      <c r="BA398">
        <v>342</v>
      </c>
      <c r="BB398" t="str">
        <f>IFERROR(INDEX(잔액!$A:$A,BA398),0)</f>
        <v>00:00:00</v>
      </c>
      <c r="BH398">
        <f>IFERROR(IF(AND(BB398&gt;0,OR(COUNTIFS(예비비!$C$430:$C$729,BA398,예비비!$N$430:$N$729,"OK")&gt;0,AND(INDEX(잔액!$J:$J,BA398)="가족통장",INDEX(잔액!$K:$K,BA398)="미래에셋_WRAP형CMA"),COUNTIF(예비비!$A$8:$A$12,INDEX(잔액!$C:$C,BA398))=1,COUNTIF(예비비!$A$8:$A$12,INDEX(잔액!$D:$D,BA398))=1),OR(AND(BB398&gt;=예비비!$B$3,BB398&lt;EDATE(예비비!$B$3,1)),AND(BB398&lt;EDATE(예비비!$B$3,1),COUNTIFS(예비비!$C$430:$C$729,BA398,예비비!$L$430:$L$729,예비비!$B$3,예비비!$N$430:$N$729,"OK")&gt;0))),MAX($BH$120:BH397)+1,0),0)</f>
        <v>0</v>
      </c>
      <c r="BI398">
        <f>IF(예비비!$R398="OK",SUMIFS(예비비!$O$430:$O$729,예비비!$B$430:$B$729,예비비!$A398,예비비!$E$430:$E$729,"&lt;"&amp;EDATE(BI$99,1),예비비!$F$430:$F$729,"결제대금비")+MAX(0,IF(예비비!$D398&lt;EDATE(BI$99,1),예비비!$E398,0)-SUMIFS(예비비!$O$430:$O$729,예비비!$B$430:$B$729,예비비!$A398,예비비!$E$430:$E$729,"&lt;"&amp;EDATE(BI$99,1))),0)</f>
        <v>0</v>
      </c>
      <c r="BJ398">
        <f>IF(예비비!$R398="OK",SUMIFS(예비비!$O$430:$O$729,예비비!$B$430:$B$729,예비비!$A398,예비비!$E$430:$E$729,"&lt;"&amp;EDATE(BJ$99,1),예비비!$F$430:$F$729,"결제대금비")+MAX(0,IF(예비비!$D398&lt;EDATE(BJ$99,1),예비비!$E398,0)-SUMIFS(예비비!$O$430:$O$729,예비비!$B$430:$B$729,예비비!$A398,예비비!$E$430:$E$729,"&lt;"&amp;EDATE(BJ$99,1))),0)</f>
        <v>0</v>
      </c>
      <c r="BK398">
        <f>IF(예비비!$R398="OK",SUMIFS(예비비!$O$430:$O$729,예비비!$B$430:$B$729,예비비!$A398,예비비!$E$430:$E$729,"&lt;"&amp;EDATE(BK$99,1),예비비!$F$430:$F$729,"결제대금비")+MAX(0,IF(예비비!$D398&lt;EDATE(BK$99,1),예비비!$E398,0)-SUMIFS(예비비!$O$430:$O$729,예비비!$B$430:$B$729,예비비!$A398,예비비!$E$430:$E$729,"&lt;"&amp;EDATE(BK$99,1))),0)</f>
        <v>0</v>
      </c>
      <c r="BL398">
        <f>IF(예비비!$R398="OK",SUMIFS(예비비!$O$430:$O$729,예비비!$B$430:$B$729,예비비!$A398,예비비!$E$430:$E$729,"&lt;"&amp;EDATE(BL$99,1),예비비!$F$430:$F$729,"결제대금비")+MAX(0,IF(예비비!$D398&lt;EDATE(BL$99,1),예비비!$E398,0)-SUMIFS(예비비!$O$430:$O$729,예비비!$B$430:$B$729,예비비!$A398,예비비!$E$430:$E$729,"&lt;"&amp;EDATE(BL$99,1))),0)</f>
        <v>0</v>
      </c>
      <c r="BM398">
        <f>IF(예비비!$R398="OK",SUMIFS(예비비!$O$430:$O$729,예비비!$B$430:$B$729,예비비!$A398,예비비!$E$430:$E$729,"&lt;"&amp;EDATE(BM$99,1),예비비!$F$430:$F$729,"결제대금비")+MAX(0,IF(예비비!$D398&lt;EDATE(BM$99,1),예비비!$E398,0)-SUMIFS(예비비!$O$430:$O$729,예비비!$B$430:$B$729,예비비!$A398,예비비!$E$430:$E$729,"&lt;"&amp;EDATE(BM$99,1))),0)</f>
        <v>0</v>
      </c>
      <c r="BN398">
        <f>IF(예비비!$R398="OK",SUMIFS(예비비!$O$430:$O$729,예비비!$B$430:$B$729,예비비!$A398,예비비!$E$430:$E$729,"&lt;"&amp;EDATE(BN$99,1),예비비!$F$430:$F$729,"결제대금비")+MAX(0,IF(예비비!$D398&lt;EDATE(BN$99,1),예비비!$E398,0)-SUMIFS(예비비!$O$430:$O$729,예비비!$B$430:$B$729,예비비!$A398,예비비!$E$430:$E$729,"&lt;"&amp;EDATE(BN$99,1))),0)</f>
        <v>0</v>
      </c>
      <c r="BO398">
        <f>IF(예비비!$R398="OK",SUMIFS(예비비!$O$430:$O$729,예비비!$B$430:$B$729,예비비!$A398,예비비!$E$430:$E$729,"&lt;"&amp;EDATE(BO$99,1),예비비!$F$430:$F$729,"결제대금비")+MAX(0,IF(예비비!$D398&lt;EDATE(BO$99,1),예비비!$E398,0)-SUMIFS(예비비!$O$430:$O$729,예비비!$B$430:$B$729,예비비!$A398,예비비!$E$430:$E$729,"&lt;"&amp;EDATE(BO$99,1))),0)</f>
        <v>0</v>
      </c>
      <c r="BP398">
        <f>IF(예비비!$R398="OK",SUMIFS(예비비!$O$430:$O$729,예비비!$B$430:$B$729,예비비!$A398,예비비!$E$430:$E$729,"&lt;"&amp;EDATE(BP$99,1),예비비!$F$430:$F$729,"결제대금비")+MAX(0,IF(예비비!$D398&lt;EDATE(BP$99,1),예비비!$E398,0)-SUMIFS(예비비!$O$430:$O$729,예비비!$B$430:$B$729,예비비!$A398,예비비!$E$430:$E$729,"&lt;"&amp;EDATE(BP$99,1))),0)</f>
        <v>0</v>
      </c>
      <c r="BQ398">
        <f>IF(예비비!$R398="OK",SUMIFS(예비비!$O$430:$O$729,예비비!$B$430:$B$729,예비비!$A398,예비비!$E$430:$E$729,"&lt;"&amp;EDATE(BQ$99,1),예비비!$F$430:$F$729,"결제대금비")+MAX(0,IF(예비비!$D398&lt;EDATE(BQ$99,1),예비비!$E398,0)-SUMIFS(예비비!$O$430:$O$729,예비비!$B$430:$B$729,예비비!$A398,예비비!$E$430:$E$729,"&lt;"&amp;EDATE(BQ$99,1))),0)</f>
        <v>0</v>
      </c>
      <c r="BR398">
        <f>IF(예비비!$R398="OK",SUMIFS(예비비!$O$430:$O$729,예비비!$B$430:$B$729,예비비!$A398,예비비!$E$430:$E$729,"&lt;"&amp;EDATE(BR$99,1),예비비!$F$430:$F$729,"결제대금비")+MAX(0,IF(예비비!$D398&lt;EDATE(BR$99,1),예비비!$E398,0)-SUMIFS(예비비!$O$430:$O$729,예비비!$B$430:$B$729,예비비!$A398,예비비!$E$430:$E$729,"&lt;"&amp;EDATE(BR$99,1))),0)</f>
        <v>0</v>
      </c>
      <c r="BS398">
        <f>IF(예비비!$R398="OK",SUMIFS(예비비!$O$430:$O$729,예비비!$B$430:$B$729,예비비!$A398,예비비!$E$430:$E$729,"&lt;"&amp;EDATE(BS$99,1),예비비!$F$430:$F$729,"결제대금비")+MAX(0,IF(예비비!$D398&lt;EDATE(BS$99,1),예비비!$E398,0)-SUMIFS(예비비!$O$430:$O$729,예비비!$B$430:$B$729,예비비!$A398,예비비!$E$430:$E$729,"&lt;"&amp;EDATE(BS$99,1))),0)</f>
        <v>0</v>
      </c>
      <c r="BT398">
        <f>IF(예비비!$R398="OK",SUMIFS(예비비!$O$430:$O$729,예비비!$B$430:$B$729,예비비!$A398,예비비!$E$430:$E$729,"&lt;"&amp;EDATE(BT$99,1),예비비!$F$430:$F$729,"결제대금비")+MAX(0,IF(예비비!$D398&lt;EDATE(BT$99,1),예비비!$E398,0)-SUMIFS(예비비!$O$430:$O$729,예비비!$B$430:$B$729,예비비!$A398,예비비!$E$430:$E$729,"&lt;"&amp;EDATE(BT$99,1))),0)</f>
        <v>0</v>
      </c>
      <c r="BU398">
        <f>IF(예비비!$R398="OK",SUMIFS(예비비!$O$430:$O$729,예비비!$B$430:$B$729,예비비!$A398,예비비!$E$430:$E$729,"&lt;"&amp;EDATE(BU$99,1),예비비!$F$430:$F$729,"결제대금비")+MAX(0,IF(예비비!$D398&lt;EDATE(BU$99,1),예비비!$E398,0)-SUMIFS(예비비!$O$430:$O$729,예비비!$B$430:$B$729,예비비!$A398,예비비!$E$430:$E$729,"&lt;"&amp;EDATE(BU$99,1))),0)</f>
        <v>0</v>
      </c>
    </row>
    <row r="399">
      <c r="BA399">
        <v>343</v>
      </c>
      <c r="BB399" t="str">
        <f>IFERROR(INDEX(잔액!$A:$A,BA399),0)</f>
        <v>00:00:00</v>
      </c>
      <c r="BH399">
        <f>IFERROR(IF(AND(BB399&gt;0,OR(COUNTIFS(예비비!$C$430:$C$729,BA399,예비비!$N$430:$N$729,"OK")&gt;0,AND(INDEX(잔액!$J:$J,BA399)="가족통장",INDEX(잔액!$K:$K,BA399)="미래에셋_WRAP형CMA"),COUNTIF(예비비!$A$8:$A$12,INDEX(잔액!$C:$C,BA399))=1,COUNTIF(예비비!$A$8:$A$12,INDEX(잔액!$D:$D,BA399))=1),OR(AND(BB399&gt;=예비비!$B$3,BB399&lt;EDATE(예비비!$B$3,1)),AND(BB399&lt;EDATE(예비비!$B$3,1),COUNTIFS(예비비!$C$430:$C$729,BA399,예비비!$L$430:$L$729,예비비!$B$3,예비비!$N$430:$N$729,"OK")&gt;0))),MAX($BH$120:BH398)+1,0),0)</f>
        <v>0</v>
      </c>
      <c r="BI399">
        <f>IF(예비비!$R399="OK",SUMIFS(예비비!$O$430:$O$729,예비비!$B$430:$B$729,예비비!$A399,예비비!$E$430:$E$729,"&lt;"&amp;EDATE(BI$99,1),예비비!$F$430:$F$729,"결제대금비")+MAX(0,IF(예비비!$D399&lt;EDATE(BI$99,1),예비비!$E399,0)-SUMIFS(예비비!$O$430:$O$729,예비비!$B$430:$B$729,예비비!$A399,예비비!$E$430:$E$729,"&lt;"&amp;EDATE(BI$99,1))),0)</f>
        <v>0</v>
      </c>
      <c r="BJ399">
        <f>IF(예비비!$R399="OK",SUMIFS(예비비!$O$430:$O$729,예비비!$B$430:$B$729,예비비!$A399,예비비!$E$430:$E$729,"&lt;"&amp;EDATE(BJ$99,1),예비비!$F$430:$F$729,"결제대금비")+MAX(0,IF(예비비!$D399&lt;EDATE(BJ$99,1),예비비!$E399,0)-SUMIFS(예비비!$O$430:$O$729,예비비!$B$430:$B$729,예비비!$A399,예비비!$E$430:$E$729,"&lt;"&amp;EDATE(BJ$99,1))),0)</f>
        <v>0</v>
      </c>
      <c r="BK399">
        <f>IF(예비비!$R399="OK",SUMIFS(예비비!$O$430:$O$729,예비비!$B$430:$B$729,예비비!$A399,예비비!$E$430:$E$729,"&lt;"&amp;EDATE(BK$99,1),예비비!$F$430:$F$729,"결제대금비")+MAX(0,IF(예비비!$D399&lt;EDATE(BK$99,1),예비비!$E399,0)-SUMIFS(예비비!$O$430:$O$729,예비비!$B$430:$B$729,예비비!$A399,예비비!$E$430:$E$729,"&lt;"&amp;EDATE(BK$99,1))),0)</f>
        <v>0</v>
      </c>
      <c r="BL399">
        <f>IF(예비비!$R399="OK",SUMIFS(예비비!$O$430:$O$729,예비비!$B$430:$B$729,예비비!$A399,예비비!$E$430:$E$729,"&lt;"&amp;EDATE(BL$99,1),예비비!$F$430:$F$729,"결제대금비")+MAX(0,IF(예비비!$D399&lt;EDATE(BL$99,1),예비비!$E399,0)-SUMIFS(예비비!$O$430:$O$729,예비비!$B$430:$B$729,예비비!$A399,예비비!$E$430:$E$729,"&lt;"&amp;EDATE(BL$99,1))),0)</f>
        <v>0</v>
      </c>
      <c r="BM399">
        <f>IF(예비비!$R399="OK",SUMIFS(예비비!$O$430:$O$729,예비비!$B$430:$B$729,예비비!$A399,예비비!$E$430:$E$729,"&lt;"&amp;EDATE(BM$99,1),예비비!$F$430:$F$729,"결제대금비")+MAX(0,IF(예비비!$D399&lt;EDATE(BM$99,1),예비비!$E399,0)-SUMIFS(예비비!$O$430:$O$729,예비비!$B$430:$B$729,예비비!$A399,예비비!$E$430:$E$729,"&lt;"&amp;EDATE(BM$99,1))),0)</f>
        <v>0</v>
      </c>
      <c r="BN399">
        <f>IF(예비비!$R399="OK",SUMIFS(예비비!$O$430:$O$729,예비비!$B$430:$B$729,예비비!$A399,예비비!$E$430:$E$729,"&lt;"&amp;EDATE(BN$99,1),예비비!$F$430:$F$729,"결제대금비")+MAX(0,IF(예비비!$D399&lt;EDATE(BN$99,1),예비비!$E399,0)-SUMIFS(예비비!$O$430:$O$729,예비비!$B$430:$B$729,예비비!$A399,예비비!$E$430:$E$729,"&lt;"&amp;EDATE(BN$99,1))),0)</f>
        <v>0</v>
      </c>
      <c r="BO399">
        <f>IF(예비비!$R399="OK",SUMIFS(예비비!$O$430:$O$729,예비비!$B$430:$B$729,예비비!$A399,예비비!$E$430:$E$729,"&lt;"&amp;EDATE(BO$99,1),예비비!$F$430:$F$729,"결제대금비")+MAX(0,IF(예비비!$D399&lt;EDATE(BO$99,1),예비비!$E399,0)-SUMIFS(예비비!$O$430:$O$729,예비비!$B$430:$B$729,예비비!$A399,예비비!$E$430:$E$729,"&lt;"&amp;EDATE(BO$99,1))),0)</f>
        <v>0</v>
      </c>
      <c r="BP399">
        <f>IF(예비비!$R399="OK",SUMIFS(예비비!$O$430:$O$729,예비비!$B$430:$B$729,예비비!$A399,예비비!$E$430:$E$729,"&lt;"&amp;EDATE(BP$99,1),예비비!$F$430:$F$729,"결제대금비")+MAX(0,IF(예비비!$D399&lt;EDATE(BP$99,1),예비비!$E399,0)-SUMIFS(예비비!$O$430:$O$729,예비비!$B$430:$B$729,예비비!$A399,예비비!$E$430:$E$729,"&lt;"&amp;EDATE(BP$99,1))),0)</f>
        <v>0</v>
      </c>
      <c r="BQ399">
        <f>IF(예비비!$R399="OK",SUMIFS(예비비!$O$430:$O$729,예비비!$B$430:$B$729,예비비!$A399,예비비!$E$430:$E$729,"&lt;"&amp;EDATE(BQ$99,1),예비비!$F$430:$F$729,"결제대금비")+MAX(0,IF(예비비!$D399&lt;EDATE(BQ$99,1),예비비!$E399,0)-SUMIFS(예비비!$O$430:$O$729,예비비!$B$430:$B$729,예비비!$A399,예비비!$E$430:$E$729,"&lt;"&amp;EDATE(BQ$99,1))),0)</f>
        <v>0</v>
      </c>
      <c r="BR399">
        <f>IF(예비비!$R399="OK",SUMIFS(예비비!$O$430:$O$729,예비비!$B$430:$B$729,예비비!$A399,예비비!$E$430:$E$729,"&lt;"&amp;EDATE(BR$99,1),예비비!$F$430:$F$729,"결제대금비")+MAX(0,IF(예비비!$D399&lt;EDATE(BR$99,1),예비비!$E399,0)-SUMIFS(예비비!$O$430:$O$729,예비비!$B$430:$B$729,예비비!$A399,예비비!$E$430:$E$729,"&lt;"&amp;EDATE(BR$99,1))),0)</f>
        <v>0</v>
      </c>
      <c r="BS399">
        <f>IF(예비비!$R399="OK",SUMIFS(예비비!$O$430:$O$729,예비비!$B$430:$B$729,예비비!$A399,예비비!$E$430:$E$729,"&lt;"&amp;EDATE(BS$99,1),예비비!$F$430:$F$729,"결제대금비")+MAX(0,IF(예비비!$D399&lt;EDATE(BS$99,1),예비비!$E399,0)-SUMIFS(예비비!$O$430:$O$729,예비비!$B$430:$B$729,예비비!$A399,예비비!$E$430:$E$729,"&lt;"&amp;EDATE(BS$99,1))),0)</f>
        <v>0</v>
      </c>
      <c r="BT399">
        <f>IF(예비비!$R399="OK",SUMIFS(예비비!$O$430:$O$729,예비비!$B$430:$B$729,예비비!$A399,예비비!$E$430:$E$729,"&lt;"&amp;EDATE(BT$99,1),예비비!$F$430:$F$729,"결제대금비")+MAX(0,IF(예비비!$D399&lt;EDATE(BT$99,1),예비비!$E399,0)-SUMIFS(예비비!$O$430:$O$729,예비비!$B$430:$B$729,예비비!$A399,예비비!$E$430:$E$729,"&lt;"&amp;EDATE(BT$99,1))),0)</f>
        <v>0</v>
      </c>
      <c r="BU399">
        <f>IF(예비비!$R399="OK",SUMIFS(예비비!$O$430:$O$729,예비비!$B$430:$B$729,예비비!$A399,예비비!$E$430:$E$729,"&lt;"&amp;EDATE(BU$99,1),예비비!$F$430:$F$729,"결제대금비")+MAX(0,IF(예비비!$D399&lt;EDATE(BU$99,1),예비비!$E399,0)-SUMIFS(예비비!$O$430:$O$729,예비비!$B$430:$B$729,예비비!$A399,예비비!$E$430:$E$729,"&lt;"&amp;EDATE(BU$99,1))),0)</f>
        <v>0</v>
      </c>
    </row>
    <row r="400">
      <c r="BA400">
        <v>344</v>
      </c>
      <c r="BB400" t="str">
        <f>IFERROR(INDEX(잔액!$A:$A,BA400),0)</f>
        <v>00:00:00</v>
      </c>
      <c r="BH400">
        <f>IFERROR(IF(AND(BB400&gt;0,OR(COUNTIFS(예비비!$C$430:$C$729,BA400,예비비!$N$430:$N$729,"OK")&gt;0,AND(INDEX(잔액!$J:$J,BA400)="가족통장",INDEX(잔액!$K:$K,BA400)="미래에셋_WRAP형CMA"),COUNTIF(예비비!$A$8:$A$12,INDEX(잔액!$C:$C,BA400))=1,COUNTIF(예비비!$A$8:$A$12,INDEX(잔액!$D:$D,BA400))=1),OR(AND(BB400&gt;=예비비!$B$3,BB400&lt;EDATE(예비비!$B$3,1)),AND(BB400&lt;EDATE(예비비!$B$3,1),COUNTIFS(예비비!$C$430:$C$729,BA400,예비비!$L$430:$L$729,예비비!$B$3,예비비!$N$430:$N$729,"OK")&gt;0))),MAX($BH$120:BH399)+1,0),0)</f>
        <v>0</v>
      </c>
    </row>
    <row r="401">
      <c r="BA401">
        <v>345</v>
      </c>
      <c r="BB401" t="str">
        <f>IFERROR(INDEX(잔액!$A:$A,BA401),0)</f>
        <v>00:00:00</v>
      </c>
      <c r="BH401">
        <f>IFERROR(IF(AND(BB401&gt;0,OR(COUNTIFS(예비비!$C$430:$C$729,BA401,예비비!$N$430:$N$729,"OK")&gt;0,AND(INDEX(잔액!$J:$J,BA401)="가족통장",INDEX(잔액!$K:$K,BA401)="미래에셋_WRAP형CMA"),COUNTIF(예비비!$A$8:$A$12,INDEX(잔액!$C:$C,BA401))=1,COUNTIF(예비비!$A$8:$A$12,INDEX(잔액!$D:$D,BA401))=1),OR(AND(BB401&gt;=예비비!$B$3,BB401&lt;EDATE(예비비!$B$3,1)),AND(BB401&lt;EDATE(예비비!$B$3,1),COUNTIFS(예비비!$C$430:$C$729,BA401,예비비!$L$430:$L$729,예비비!$B$3,예비비!$N$430:$N$729,"OK")&gt;0))),MAX($BH$120:BH400)+1,0),0)</f>
        <v>0</v>
      </c>
    </row>
    <row r="402">
      <c r="BA402">
        <v>346</v>
      </c>
      <c r="BB402" t="str">
        <f>IFERROR(INDEX(잔액!$A:$A,BA402),0)</f>
        <v>00:00:00</v>
      </c>
      <c r="BH402">
        <f>IFERROR(IF(AND(BB402&gt;0,OR(COUNTIFS(예비비!$C$430:$C$729,BA402,예비비!$N$430:$N$729,"OK")&gt;0,AND(INDEX(잔액!$J:$J,BA402)="가족통장",INDEX(잔액!$K:$K,BA402)="미래에셋_WRAP형CMA"),COUNTIF(예비비!$A$8:$A$12,INDEX(잔액!$C:$C,BA402))=1,COUNTIF(예비비!$A$8:$A$12,INDEX(잔액!$D:$D,BA402))=1),OR(AND(BB402&gt;=예비비!$B$3,BB402&lt;EDATE(예비비!$B$3,1)),AND(BB402&lt;EDATE(예비비!$B$3,1),COUNTIFS(예비비!$C$430:$C$729,BA402,예비비!$L$430:$L$729,예비비!$B$3,예비비!$N$430:$N$729,"OK")&gt;0))),MAX($BH$120:BH401)+1,0),0)</f>
        <v>0</v>
      </c>
    </row>
    <row r="403">
      <c r="BA403">
        <v>347</v>
      </c>
      <c r="BB403" t="str">
        <f>IFERROR(INDEX(잔액!$A:$A,BA403),0)</f>
        <v>00:00:00</v>
      </c>
      <c r="BH403">
        <f>IFERROR(IF(AND(BB403&gt;0,OR(COUNTIFS(예비비!$C$430:$C$729,BA403,예비비!$N$430:$N$729,"OK")&gt;0,AND(INDEX(잔액!$J:$J,BA403)="가족통장",INDEX(잔액!$K:$K,BA403)="미래에셋_WRAP형CMA"),COUNTIF(예비비!$A$8:$A$12,INDEX(잔액!$C:$C,BA403))=1,COUNTIF(예비비!$A$8:$A$12,INDEX(잔액!$D:$D,BA403))=1),OR(AND(BB403&gt;=예비비!$B$3,BB403&lt;EDATE(예비비!$B$3,1)),AND(BB403&lt;EDATE(예비비!$B$3,1),COUNTIFS(예비비!$C$430:$C$729,BA403,예비비!$L$430:$L$729,예비비!$B$3,예비비!$N$430:$N$729,"OK")&gt;0))),MAX($BH$120:BH402)+1,0),0)</f>
        <v>0</v>
      </c>
    </row>
    <row r="404">
      <c r="BA404">
        <v>348</v>
      </c>
      <c r="BB404" t="str">
        <f>IFERROR(INDEX(잔액!$A:$A,BA404),0)</f>
        <v>00:00:00</v>
      </c>
      <c r="BH404">
        <f>IFERROR(IF(AND(BB404&gt;0,OR(COUNTIFS(예비비!$C$430:$C$729,BA404,예비비!$N$430:$N$729,"OK")&gt;0,AND(INDEX(잔액!$J:$J,BA404)="가족통장",INDEX(잔액!$K:$K,BA404)="미래에셋_WRAP형CMA"),COUNTIF(예비비!$A$8:$A$12,INDEX(잔액!$C:$C,BA404))=1,COUNTIF(예비비!$A$8:$A$12,INDEX(잔액!$D:$D,BA404))=1),OR(AND(BB404&gt;=예비비!$B$3,BB404&lt;EDATE(예비비!$B$3,1)),AND(BB404&lt;EDATE(예비비!$B$3,1),COUNTIFS(예비비!$C$430:$C$729,BA404,예비비!$L$430:$L$729,예비비!$B$3,예비비!$N$430:$N$729,"OK")&gt;0))),MAX($BH$120:BH403)+1,0),0)</f>
        <v>0</v>
      </c>
    </row>
    <row r="405">
      <c r="BA405">
        <v>349</v>
      </c>
      <c r="BB405" t="str">
        <f>IFERROR(INDEX(잔액!$A:$A,BA405),0)</f>
        <v>00:00:00</v>
      </c>
      <c r="BH405">
        <f>IFERROR(IF(AND(BB405&gt;0,OR(COUNTIFS(예비비!$C$430:$C$729,BA405,예비비!$N$430:$N$729,"OK")&gt;0,AND(INDEX(잔액!$J:$J,BA405)="가족통장",INDEX(잔액!$K:$K,BA405)="미래에셋_WRAP형CMA"),COUNTIF(예비비!$A$8:$A$12,INDEX(잔액!$C:$C,BA405))=1,COUNTIF(예비비!$A$8:$A$12,INDEX(잔액!$D:$D,BA405))=1),OR(AND(BB405&gt;=예비비!$B$3,BB405&lt;EDATE(예비비!$B$3,1)),AND(BB405&lt;EDATE(예비비!$B$3,1),COUNTIFS(예비비!$C$430:$C$729,BA405,예비비!$L$430:$L$729,예비비!$B$3,예비비!$N$430:$N$729,"OK")&gt;0))),MAX($BH$120:BH404)+1,0),0)</f>
        <v>0</v>
      </c>
    </row>
    <row r="406">
      <c r="BA406">
        <v>350</v>
      </c>
      <c r="BB406" t="str">
        <f>IFERROR(INDEX(잔액!$A:$A,BA406),0)</f>
        <v>00:00:00</v>
      </c>
      <c r="BH406">
        <f>IFERROR(IF(AND(BB406&gt;0,OR(COUNTIFS(예비비!$C$430:$C$729,BA406,예비비!$N$430:$N$729,"OK")&gt;0,AND(INDEX(잔액!$J:$J,BA406)="가족통장",INDEX(잔액!$K:$K,BA406)="미래에셋_WRAP형CMA"),COUNTIF(예비비!$A$8:$A$12,INDEX(잔액!$C:$C,BA406))=1,COUNTIF(예비비!$A$8:$A$12,INDEX(잔액!$D:$D,BA406))=1),OR(AND(BB406&gt;=예비비!$B$3,BB406&lt;EDATE(예비비!$B$3,1)),AND(BB406&lt;EDATE(예비비!$B$3,1),COUNTIFS(예비비!$C$430:$C$729,BA406,예비비!$L$430:$L$729,예비비!$B$3,예비비!$N$430:$N$729,"OK")&gt;0))),MAX($BH$120:BH405)+1,0),0)</f>
        <v>0</v>
      </c>
    </row>
    <row r="407">
      <c r="BA407">
        <v>351</v>
      </c>
      <c r="BB407" t="str">
        <f>IFERROR(INDEX(잔액!$A:$A,BA407),0)</f>
        <v>00:00:00</v>
      </c>
      <c r="BH407">
        <f>IFERROR(IF(AND(BB407&gt;0,OR(COUNTIFS(예비비!$C$430:$C$729,BA407,예비비!$N$430:$N$729,"OK")&gt;0,AND(INDEX(잔액!$J:$J,BA407)="가족통장",INDEX(잔액!$K:$K,BA407)="미래에셋_WRAP형CMA"),COUNTIF(예비비!$A$8:$A$12,INDEX(잔액!$C:$C,BA407))=1,COUNTIF(예비비!$A$8:$A$12,INDEX(잔액!$D:$D,BA407))=1),OR(AND(BB407&gt;=예비비!$B$3,BB407&lt;EDATE(예비비!$B$3,1)),AND(BB407&lt;EDATE(예비비!$B$3,1),COUNTIFS(예비비!$C$430:$C$729,BA407,예비비!$L$430:$L$729,예비비!$B$3,예비비!$N$430:$N$729,"OK")&gt;0))),MAX($BH$120:BH406)+1,0),0)</f>
        <v>0</v>
      </c>
    </row>
    <row r="408">
      <c r="BA408">
        <v>352</v>
      </c>
      <c r="BB408" t="str">
        <f>IFERROR(INDEX(잔액!$A:$A,BA408),0)</f>
        <v>00:00:00</v>
      </c>
      <c r="BH408">
        <f>IFERROR(IF(AND(BB408&gt;0,OR(COUNTIFS(예비비!$C$430:$C$729,BA408,예비비!$N$430:$N$729,"OK")&gt;0,AND(INDEX(잔액!$J:$J,BA408)="가족통장",INDEX(잔액!$K:$K,BA408)="미래에셋_WRAP형CMA"),COUNTIF(예비비!$A$8:$A$12,INDEX(잔액!$C:$C,BA408))=1,COUNTIF(예비비!$A$8:$A$12,INDEX(잔액!$D:$D,BA408))=1),OR(AND(BB408&gt;=예비비!$B$3,BB408&lt;EDATE(예비비!$B$3,1)),AND(BB408&lt;EDATE(예비비!$B$3,1),COUNTIFS(예비비!$C$430:$C$729,BA408,예비비!$L$430:$L$729,예비비!$B$3,예비비!$N$430:$N$729,"OK")&gt;0))),MAX($BH$120:BH407)+1,0),0)</f>
        <v>0</v>
      </c>
    </row>
    <row r="409">
      <c r="BA409">
        <v>353</v>
      </c>
      <c r="BB409" t="str">
        <f>IFERROR(INDEX(잔액!$A:$A,BA409),0)</f>
        <v>00:00:00</v>
      </c>
      <c r="BH409">
        <f>IFERROR(IF(AND(BB409&gt;0,OR(COUNTIFS(예비비!$C$430:$C$729,BA409,예비비!$N$430:$N$729,"OK")&gt;0,AND(INDEX(잔액!$J:$J,BA409)="가족통장",INDEX(잔액!$K:$K,BA409)="미래에셋_WRAP형CMA"),COUNTIF(예비비!$A$8:$A$12,INDEX(잔액!$C:$C,BA409))=1,COUNTIF(예비비!$A$8:$A$12,INDEX(잔액!$D:$D,BA409))=1),OR(AND(BB409&gt;=예비비!$B$3,BB409&lt;EDATE(예비비!$B$3,1)),AND(BB409&lt;EDATE(예비비!$B$3,1),COUNTIFS(예비비!$C$430:$C$729,BA409,예비비!$L$430:$L$729,예비비!$B$3,예비비!$N$430:$N$729,"OK")&gt;0))),MAX($BH$120:BH408)+1,0),0)</f>
        <v>0</v>
      </c>
    </row>
    <row r="410">
      <c r="BA410">
        <v>354</v>
      </c>
      <c r="BB410" t="str">
        <f>IFERROR(INDEX(잔액!$A:$A,BA410),0)</f>
        <v>00:00:00</v>
      </c>
      <c r="BH410">
        <f>IFERROR(IF(AND(BB410&gt;0,OR(COUNTIFS(예비비!$C$430:$C$729,BA410,예비비!$N$430:$N$729,"OK")&gt;0,AND(INDEX(잔액!$J:$J,BA410)="가족통장",INDEX(잔액!$K:$K,BA410)="미래에셋_WRAP형CMA"),COUNTIF(예비비!$A$8:$A$12,INDEX(잔액!$C:$C,BA410))=1,COUNTIF(예비비!$A$8:$A$12,INDEX(잔액!$D:$D,BA410))=1),OR(AND(BB410&gt;=예비비!$B$3,BB410&lt;EDATE(예비비!$B$3,1)),AND(BB410&lt;EDATE(예비비!$B$3,1),COUNTIFS(예비비!$C$430:$C$729,BA410,예비비!$L$430:$L$729,예비비!$B$3,예비비!$N$430:$N$729,"OK")&gt;0))),MAX($BH$120:BH409)+1,0),0)</f>
        <v>0</v>
      </c>
    </row>
    <row r="411">
      <c r="BA411">
        <v>355</v>
      </c>
      <c r="BB411" t="str">
        <f>IFERROR(INDEX(잔액!$A:$A,BA411),0)</f>
        <v>00:00:00</v>
      </c>
      <c r="BH411">
        <f>IFERROR(IF(AND(BB411&gt;0,OR(COUNTIFS(예비비!$C$430:$C$729,BA411,예비비!$N$430:$N$729,"OK")&gt;0,AND(INDEX(잔액!$J:$J,BA411)="가족통장",INDEX(잔액!$K:$K,BA411)="미래에셋_WRAP형CMA"),COUNTIF(예비비!$A$8:$A$12,INDEX(잔액!$C:$C,BA411))=1,COUNTIF(예비비!$A$8:$A$12,INDEX(잔액!$D:$D,BA411))=1),OR(AND(BB411&gt;=예비비!$B$3,BB411&lt;EDATE(예비비!$B$3,1)),AND(BB411&lt;EDATE(예비비!$B$3,1),COUNTIFS(예비비!$C$430:$C$729,BA411,예비비!$L$430:$L$729,예비비!$B$3,예비비!$N$430:$N$729,"OK")&gt;0))),MAX($BH$120:BH410)+1,0),0)</f>
        <v>0</v>
      </c>
    </row>
    <row r="412">
      <c r="BA412">
        <v>356</v>
      </c>
      <c r="BB412" t="str">
        <f>IFERROR(INDEX(잔액!$A:$A,BA412),0)</f>
        <v>00:00:00</v>
      </c>
      <c r="BH412">
        <f>IFERROR(IF(AND(BB412&gt;0,OR(COUNTIFS(예비비!$C$430:$C$729,BA412,예비비!$N$430:$N$729,"OK")&gt;0,AND(INDEX(잔액!$J:$J,BA412)="가족통장",INDEX(잔액!$K:$K,BA412)="미래에셋_WRAP형CMA"),COUNTIF(예비비!$A$8:$A$12,INDEX(잔액!$C:$C,BA412))=1,COUNTIF(예비비!$A$8:$A$12,INDEX(잔액!$D:$D,BA412))=1),OR(AND(BB412&gt;=예비비!$B$3,BB412&lt;EDATE(예비비!$B$3,1)),AND(BB412&lt;EDATE(예비비!$B$3,1),COUNTIFS(예비비!$C$430:$C$729,BA412,예비비!$L$430:$L$729,예비비!$B$3,예비비!$N$430:$N$729,"OK")&gt;0))),MAX($BH$120:BH411)+1,0),0)</f>
        <v>0</v>
      </c>
    </row>
    <row r="413">
      <c r="BA413">
        <v>357</v>
      </c>
      <c r="BB413" t="str">
        <f>IFERROR(INDEX(잔액!$A:$A,BA413),0)</f>
        <v>00:00:00</v>
      </c>
      <c r="BH413">
        <f>IFERROR(IF(AND(BB413&gt;0,OR(COUNTIFS(예비비!$C$430:$C$729,BA413,예비비!$N$430:$N$729,"OK")&gt;0,AND(INDEX(잔액!$J:$J,BA413)="가족통장",INDEX(잔액!$K:$K,BA413)="미래에셋_WRAP형CMA"),COUNTIF(예비비!$A$8:$A$12,INDEX(잔액!$C:$C,BA413))=1,COUNTIF(예비비!$A$8:$A$12,INDEX(잔액!$D:$D,BA413))=1),OR(AND(BB413&gt;=예비비!$B$3,BB413&lt;EDATE(예비비!$B$3,1)),AND(BB413&lt;EDATE(예비비!$B$3,1),COUNTIFS(예비비!$C$430:$C$729,BA413,예비비!$L$430:$L$729,예비비!$B$3,예비비!$N$430:$N$729,"OK")&gt;0))),MAX($BH$120:BH412)+1,0),0)</f>
        <v>0</v>
      </c>
    </row>
    <row r="414">
      <c r="BA414">
        <v>358</v>
      </c>
      <c r="BB414" t="str">
        <f>IFERROR(INDEX(잔액!$A:$A,BA414),0)</f>
        <v>00:00:00</v>
      </c>
      <c r="BH414">
        <f>IFERROR(IF(AND(BB414&gt;0,OR(COUNTIFS(예비비!$C$430:$C$729,BA414,예비비!$N$430:$N$729,"OK")&gt;0,AND(INDEX(잔액!$J:$J,BA414)="가족통장",INDEX(잔액!$K:$K,BA414)="미래에셋_WRAP형CMA"),COUNTIF(예비비!$A$8:$A$12,INDEX(잔액!$C:$C,BA414))=1,COUNTIF(예비비!$A$8:$A$12,INDEX(잔액!$D:$D,BA414))=1),OR(AND(BB414&gt;=예비비!$B$3,BB414&lt;EDATE(예비비!$B$3,1)),AND(BB414&lt;EDATE(예비비!$B$3,1),COUNTIFS(예비비!$C$430:$C$729,BA414,예비비!$L$430:$L$729,예비비!$B$3,예비비!$N$430:$N$729,"OK")&gt;0))),MAX($BH$120:BH413)+1,0),0)</f>
        <v>0</v>
      </c>
    </row>
    <row r="415">
      <c r="BA415">
        <v>359</v>
      </c>
      <c r="BB415" t="str">
        <f>IFERROR(INDEX(잔액!$A:$A,BA415),0)</f>
        <v>00:00:00</v>
      </c>
      <c r="BH415">
        <f>IFERROR(IF(AND(BB415&gt;0,OR(COUNTIFS(예비비!$C$430:$C$729,BA415,예비비!$N$430:$N$729,"OK")&gt;0,AND(INDEX(잔액!$J:$J,BA415)="가족통장",INDEX(잔액!$K:$K,BA415)="미래에셋_WRAP형CMA"),COUNTIF(예비비!$A$8:$A$12,INDEX(잔액!$C:$C,BA415))=1,COUNTIF(예비비!$A$8:$A$12,INDEX(잔액!$D:$D,BA415))=1),OR(AND(BB415&gt;=예비비!$B$3,BB415&lt;EDATE(예비비!$B$3,1)),AND(BB415&lt;EDATE(예비비!$B$3,1),COUNTIFS(예비비!$C$430:$C$729,BA415,예비비!$L$430:$L$729,예비비!$B$3,예비비!$N$430:$N$729,"OK")&gt;0))),MAX($BH$120:BH414)+1,0),0)</f>
        <v>0</v>
      </c>
    </row>
    <row r="416">
      <c r="BA416">
        <v>360</v>
      </c>
      <c r="BB416" t="str">
        <f>IFERROR(INDEX(잔액!$A:$A,BA416),0)</f>
        <v>00:00:00</v>
      </c>
      <c r="BH416">
        <f>IFERROR(IF(AND(BB416&gt;0,OR(COUNTIFS(예비비!$C$430:$C$729,BA416,예비비!$N$430:$N$729,"OK")&gt;0,AND(INDEX(잔액!$J:$J,BA416)="가족통장",INDEX(잔액!$K:$K,BA416)="미래에셋_WRAP형CMA"),COUNTIF(예비비!$A$8:$A$12,INDEX(잔액!$C:$C,BA416))=1,COUNTIF(예비비!$A$8:$A$12,INDEX(잔액!$D:$D,BA416))=1),OR(AND(BB416&gt;=예비비!$B$3,BB416&lt;EDATE(예비비!$B$3,1)),AND(BB416&lt;EDATE(예비비!$B$3,1),COUNTIFS(예비비!$C$430:$C$729,BA416,예비비!$L$430:$L$729,예비비!$B$3,예비비!$N$430:$N$729,"OK")&gt;0))),MAX($BH$120:BH415)+1,0),0)</f>
        <v>0</v>
      </c>
    </row>
    <row r="417">
      <c r="BA417">
        <v>361</v>
      </c>
      <c r="BB417" t="str">
        <f>IFERROR(INDEX(잔액!$A:$A,BA417),0)</f>
        <v>00:00:00</v>
      </c>
      <c r="BH417">
        <f>IFERROR(IF(AND(BB417&gt;0,OR(COUNTIFS(예비비!$C$430:$C$729,BA417,예비비!$N$430:$N$729,"OK")&gt;0,AND(INDEX(잔액!$J:$J,BA417)="가족통장",INDEX(잔액!$K:$K,BA417)="미래에셋_WRAP형CMA"),COUNTIF(예비비!$A$8:$A$12,INDEX(잔액!$C:$C,BA417))=1,COUNTIF(예비비!$A$8:$A$12,INDEX(잔액!$D:$D,BA417))=1),OR(AND(BB417&gt;=예비비!$B$3,BB417&lt;EDATE(예비비!$B$3,1)),AND(BB417&lt;EDATE(예비비!$B$3,1),COUNTIFS(예비비!$C$430:$C$729,BA417,예비비!$L$430:$L$729,예비비!$B$3,예비비!$N$430:$N$729,"OK")&gt;0))),MAX($BH$120:BH416)+1,0),0)</f>
        <v>0</v>
      </c>
    </row>
    <row r="418">
      <c r="BA418">
        <v>362</v>
      </c>
      <c r="BB418" t="str">
        <f>IFERROR(INDEX(잔액!$A:$A,BA418),0)</f>
        <v>00:00:00</v>
      </c>
      <c r="BH418">
        <f>IFERROR(IF(AND(BB418&gt;0,OR(COUNTIFS(예비비!$C$430:$C$729,BA418,예비비!$N$430:$N$729,"OK")&gt;0,AND(INDEX(잔액!$J:$J,BA418)="가족통장",INDEX(잔액!$K:$K,BA418)="미래에셋_WRAP형CMA"),COUNTIF(예비비!$A$8:$A$12,INDEX(잔액!$C:$C,BA418))=1,COUNTIF(예비비!$A$8:$A$12,INDEX(잔액!$D:$D,BA418))=1),OR(AND(BB418&gt;=예비비!$B$3,BB418&lt;EDATE(예비비!$B$3,1)),AND(BB418&lt;EDATE(예비비!$B$3,1),COUNTIFS(예비비!$C$430:$C$729,BA418,예비비!$L$430:$L$729,예비비!$B$3,예비비!$N$430:$N$729,"OK")&gt;0))),MAX($BH$120:BH417)+1,0),0)</f>
        <v>0</v>
      </c>
    </row>
    <row r="419">
      <c r="BA419">
        <v>363</v>
      </c>
      <c r="BB419" t="str">
        <f>IFERROR(INDEX(잔액!$A:$A,BA419),0)</f>
        <v>00:00:00</v>
      </c>
      <c r="BH419">
        <f>IFERROR(IF(AND(BB419&gt;0,OR(COUNTIFS(예비비!$C$430:$C$729,BA419,예비비!$N$430:$N$729,"OK")&gt;0,AND(INDEX(잔액!$J:$J,BA419)="가족통장",INDEX(잔액!$K:$K,BA419)="미래에셋_WRAP형CMA"),COUNTIF(예비비!$A$8:$A$12,INDEX(잔액!$C:$C,BA419))=1,COUNTIF(예비비!$A$8:$A$12,INDEX(잔액!$D:$D,BA419))=1),OR(AND(BB419&gt;=예비비!$B$3,BB419&lt;EDATE(예비비!$B$3,1)),AND(BB419&lt;EDATE(예비비!$B$3,1),COUNTIFS(예비비!$C$430:$C$729,BA419,예비비!$L$430:$L$729,예비비!$B$3,예비비!$N$430:$N$729,"OK")&gt;0))),MAX($BH$120:BH418)+1,0),0)</f>
        <v>0</v>
      </c>
    </row>
    <row r="420">
      <c r="BA420">
        <v>364</v>
      </c>
      <c r="BB420" t="str">
        <f>IFERROR(INDEX(잔액!$A:$A,BA420),0)</f>
        <v>00:00:00</v>
      </c>
      <c r="BH420">
        <f>IFERROR(IF(AND(BB420&gt;0,OR(COUNTIFS(예비비!$C$430:$C$729,BA420,예비비!$N$430:$N$729,"OK")&gt;0,AND(INDEX(잔액!$J:$J,BA420)="가족통장",INDEX(잔액!$K:$K,BA420)="미래에셋_WRAP형CMA"),COUNTIF(예비비!$A$8:$A$12,INDEX(잔액!$C:$C,BA420))=1,COUNTIF(예비비!$A$8:$A$12,INDEX(잔액!$D:$D,BA420))=1),OR(AND(BB420&gt;=예비비!$B$3,BB420&lt;EDATE(예비비!$B$3,1)),AND(BB420&lt;EDATE(예비비!$B$3,1),COUNTIFS(예비비!$C$430:$C$729,BA420,예비비!$L$430:$L$729,예비비!$B$3,예비비!$N$430:$N$729,"OK")&gt;0))),MAX($BH$120:BH419)+1,0),0)</f>
        <v>0</v>
      </c>
    </row>
    <row r="421">
      <c r="BA421">
        <v>365</v>
      </c>
      <c r="BB421" t="str">
        <f>IFERROR(INDEX(잔액!$A:$A,BA421),0)</f>
        <v>00:00:00</v>
      </c>
      <c r="BH421">
        <f>IFERROR(IF(AND(BB421&gt;0,OR(COUNTIFS(예비비!$C$430:$C$729,BA421,예비비!$N$430:$N$729,"OK")&gt;0,AND(INDEX(잔액!$J:$J,BA421)="가족통장",INDEX(잔액!$K:$K,BA421)="미래에셋_WRAP형CMA"),COUNTIF(예비비!$A$8:$A$12,INDEX(잔액!$C:$C,BA421))=1,COUNTIF(예비비!$A$8:$A$12,INDEX(잔액!$D:$D,BA421))=1),OR(AND(BB421&gt;=예비비!$B$3,BB421&lt;EDATE(예비비!$B$3,1)),AND(BB421&lt;EDATE(예비비!$B$3,1),COUNTIFS(예비비!$C$430:$C$729,BA421,예비비!$L$430:$L$729,예비비!$B$3,예비비!$N$430:$N$729,"OK")&gt;0))),MAX($BH$120:BH420)+1,0),0)</f>
        <v>0</v>
      </c>
    </row>
    <row r="422">
      <c r="BA422">
        <v>366</v>
      </c>
      <c r="BB422" t="str">
        <f>IFERROR(INDEX(잔액!$A:$A,BA422),0)</f>
        <v>00:00:00</v>
      </c>
      <c r="BH422">
        <f>IFERROR(IF(AND(BB422&gt;0,OR(COUNTIFS(예비비!$C$430:$C$729,BA422,예비비!$N$430:$N$729,"OK")&gt;0,AND(INDEX(잔액!$J:$J,BA422)="가족통장",INDEX(잔액!$K:$K,BA422)="미래에셋_WRAP형CMA"),COUNTIF(예비비!$A$8:$A$12,INDEX(잔액!$C:$C,BA422))=1,COUNTIF(예비비!$A$8:$A$12,INDEX(잔액!$D:$D,BA422))=1),OR(AND(BB422&gt;=예비비!$B$3,BB422&lt;EDATE(예비비!$B$3,1)),AND(BB422&lt;EDATE(예비비!$B$3,1),COUNTIFS(예비비!$C$430:$C$729,BA422,예비비!$L$430:$L$729,예비비!$B$3,예비비!$N$430:$N$729,"OK")&gt;0))),MAX($BH$120:BH421)+1,0),0)</f>
        <v>0</v>
      </c>
    </row>
    <row r="423">
      <c r="BA423">
        <v>367</v>
      </c>
      <c r="BB423" t="str">
        <f>IFERROR(INDEX(잔액!$A:$A,BA423),0)</f>
        <v>00:00:00</v>
      </c>
      <c r="BH423">
        <f>IFERROR(IF(AND(BB423&gt;0,OR(COUNTIFS(예비비!$C$430:$C$729,BA423,예비비!$N$430:$N$729,"OK")&gt;0,AND(INDEX(잔액!$J:$J,BA423)="가족통장",INDEX(잔액!$K:$K,BA423)="미래에셋_WRAP형CMA"),COUNTIF(예비비!$A$8:$A$12,INDEX(잔액!$C:$C,BA423))=1,COUNTIF(예비비!$A$8:$A$12,INDEX(잔액!$D:$D,BA423))=1),OR(AND(BB423&gt;=예비비!$B$3,BB423&lt;EDATE(예비비!$B$3,1)),AND(BB423&lt;EDATE(예비비!$B$3,1),COUNTIFS(예비비!$C$430:$C$729,BA423,예비비!$L$430:$L$729,예비비!$B$3,예비비!$N$430:$N$729,"OK")&gt;0))),MAX($BH$120:BH422)+1,0),0)</f>
        <v>0</v>
      </c>
    </row>
    <row r="424">
      <c r="BA424">
        <v>368</v>
      </c>
      <c r="BB424" t="str">
        <f>IFERROR(INDEX(잔액!$A:$A,BA424),0)</f>
        <v>00:00:00</v>
      </c>
      <c r="BH424">
        <f>IFERROR(IF(AND(BB424&gt;0,OR(COUNTIFS(예비비!$C$430:$C$729,BA424,예비비!$N$430:$N$729,"OK")&gt;0,AND(INDEX(잔액!$J:$J,BA424)="가족통장",INDEX(잔액!$K:$K,BA424)="미래에셋_WRAP형CMA"),COUNTIF(예비비!$A$8:$A$12,INDEX(잔액!$C:$C,BA424))=1,COUNTIF(예비비!$A$8:$A$12,INDEX(잔액!$D:$D,BA424))=1),OR(AND(BB424&gt;=예비비!$B$3,BB424&lt;EDATE(예비비!$B$3,1)),AND(BB424&lt;EDATE(예비비!$B$3,1),COUNTIFS(예비비!$C$430:$C$729,BA424,예비비!$L$430:$L$729,예비비!$B$3,예비비!$N$430:$N$729,"OK")&gt;0))),MAX($BH$120:BH423)+1,0),0)</f>
        <v>0</v>
      </c>
    </row>
    <row r="425">
      <c r="BA425">
        <v>369</v>
      </c>
      <c r="BB425" t="str">
        <f>IFERROR(INDEX(잔액!$A:$A,BA425),0)</f>
        <v>00:00:00</v>
      </c>
      <c r="BH425">
        <f>IFERROR(IF(AND(BB425&gt;0,OR(COUNTIFS(예비비!$C$430:$C$729,BA425,예비비!$N$430:$N$729,"OK")&gt;0,AND(INDEX(잔액!$J:$J,BA425)="가족통장",INDEX(잔액!$K:$K,BA425)="미래에셋_WRAP형CMA"),COUNTIF(예비비!$A$8:$A$12,INDEX(잔액!$C:$C,BA425))=1,COUNTIF(예비비!$A$8:$A$12,INDEX(잔액!$D:$D,BA425))=1),OR(AND(BB425&gt;=예비비!$B$3,BB425&lt;EDATE(예비비!$B$3,1)),AND(BB425&lt;EDATE(예비비!$B$3,1),COUNTIFS(예비비!$C$430:$C$729,BA425,예비비!$L$430:$L$729,예비비!$B$3,예비비!$N$430:$N$729,"OK")&gt;0))),MAX($BH$120:BH424)+1,0),0)</f>
        <v>0</v>
      </c>
    </row>
    <row r="426">
      <c r="BA426">
        <v>370</v>
      </c>
      <c r="BB426" t="str">
        <f>IFERROR(INDEX(잔액!$A:$A,BA426),0)</f>
        <v>00:00:00</v>
      </c>
      <c r="BH426">
        <f>IFERROR(IF(AND(BB426&gt;0,OR(COUNTIFS(예비비!$C$430:$C$729,BA426,예비비!$N$430:$N$729,"OK")&gt;0,AND(INDEX(잔액!$J:$J,BA426)="가족통장",INDEX(잔액!$K:$K,BA426)="미래에셋_WRAP형CMA"),COUNTIF(예비비!$A$8:$A$12,INDEX(잔액!$C:$C,BA426))=1,COUNTIF(예비비!$A$8:$A$12,INDEX(잔액!$D:$D,BA426))=1),OR(AND(BB426&gt;=예비비!$B$3,BB426&lt;EDATE(예비비!$B$3,1)),AND(BB426&lt;EDATE(예비비!$B$3,1),COUNTIFS(예비비!$C$430:$C$729,BA426,예비비!$L$430:$L$729,예비비!$B$3,예비비!$N$430:$N$729,"OK")&gt;0))),MAX($BH$120:BH425)+1,0),0)</f>
        <v>0</v>
      </c>
    </row>
    <row r="427">
      <c r="BA427">
        <v>371</v>
      </c>
      <c r="BB427" t="str">
        <f>IFERROR(INDEX(잔액!$A:$A,BA427),0)</f>
        <v>00:00:00</v>
      </c>
      <c r="BH427">
        <f>IFERROR(IF(AND(BB427&gt;0,OR(COUNTIFS(예비비!$C$430:$C$729,BA427,예비비!$N$430:$N$729,"OK")&gt;0,AND(INDEX(잔액!$J:$J,BA427)="가족통장",INDEX(잔액!$K:$K,BA427)="미래에셋_WRAP형CMA"),COUNTIF(예비비!$A$8:$A$12,INDEX(잔액!$C:$C,BA427))=1,COUNTIF(예비비!$A$8:$A$12,INDEX(잔액!$D:$D,BA427))=1),OR(AND(BB427&gt;=예비비!$B$3,BB427&lt;EDATE(예비비!$B$3,1)),AND(BB427&lt;EDATE(예비비!$B$3,1),COUNTIFS(예비비!$C$430:$C$729,BA427,예비비!$L$430:$L$729,예비비!$B$3,예비비!$N$430:$N$729,"OK")&gt;0))),MAX($BH$120:BH426)+1,0),0)</f>
        <v>0</v>
      </c>
    </row>
    <row r="428">
      <c r="BA428">
        <v>372</v>
      </c>
      <c r="BB428" t="str">
        <f>IFERROR(INDEX(잔액!$A:$A,BA428),0)</f>
        <v>00:00:00</v>
      </c>
      <c r="BH428">
        <f>IFERROR(IF(AND(BB428&gt;0,OR(COUNTIFS(예비비!$C$430:$C$729,BA428,예비비!$N$430:$N$729,"OK")&gt;0,AND(INDEX(잔액!$J:$J,BA428)="가족통장",INDEX(잔액!$K:$K,BA428)="미래에셋_WRAP형CMA"),COUNTIF(예비비!$A$8:$A$12,INDEX(잔액!$C:$C,BA428))=1,COUNTIF(예비비!$A$8:$A$12,INDEX(잔액!$D:$D,BA428))=1),OR(AND(BB428&gt;=예비비!$B$3,BB428&lt;EDATE(예비비!$B$3,1)),AND(BB428&lt;EDATE(예비비!$B$3,1),COUNTIFS(예비비!$C$430:$C$729,BA428,예비비!$L$430:$L$729,예비비!$B$3,예비비!$N$430:$N$729,"OK")&gt;0))),MAX($BH$120:BH427)+1,0),0)</f>
        <v>0</v>
      </c>
    </row>
    <row r="429">
      <c r="BA429">
        <v>373</v>
      </c>
      <c r="BB429" t="str">
        <f>IFERROR(INDEX(잔액!$A:$A,BA429),0)</f>
        <v>00:00:00</v>
      </c>
      <c r="BH429">
        <f>IFERROR(IF(AND(BB429&gt;0,OR(COUNTIFS(예비비!$C$430:$C$729,BA429,예비비!$N$430:$N$729,"OK")&gt;0,AND(INDEX(잔액!$J:$J,BA429)="가족통장",INDEX(잔액!$K:$K,BA429)="미래에셋_WRAP형CMA"),COUNTIF(예비비!$A$8:$A$12,INDEX(잔액!$C:$C,BA429))=1,COUNTIF(예비비!$A$8:$A$12,INDEX(잔액!$D:$D,BA429))=1),OR(AND(BB429&gt;=예비비!$B$3,BB429&lt;EDATE(예비비!$B$3,1)),AND(BB429&lt;EDATE(예비비!$B$3,1),COUNTIFS(예비비!$C$430:$C$729,BA429,예비비!$L$430:$L$729,예비비!$B$3,예비비!$N$430:$N$729,"OK")&gt;0))),MAX($BH$120:BH428)+1,0),0)</f>
        <v>0</v>
      </c>
    </row>
    <row r="430">
      <c r="BA430">
        <v>374</v>
      </c>
      <c r="BB430" t="str">
        <f>IFERROR(INDEX(잔액!$A:$A,BA430),0)</f>
        <v>00:00:00</v>
      </c>
      <c r="BH430">
        <f>IFERROR(IF(AND(BB430&gt;0,OR(COUNTIFS(예비비!$C$430:$C$729,BA430,예비비!$N$430:$N$729,"OK")&gt;0,AND(INDEX(잔액!$J:$J,BA430)="가족통장",INDEX(잔액!$K:$K,BA430)="미래에셋_WRAP형CMA"),COUNTIF(예비비!$A$8:$A$12,INDEX(잔액!$C:$C,BA430))=1,COUNTIF(예비비!$A$8:$A$12,INDEX(잔액!$D:$D,BA430))=1),OR(AND(BB430&gt;=예비비!$B$3,BB430&lt;EDATE(예비비!$B$3,1)),AND(BB430&lt;EDATE(예비비!$B$3,1),COUNTIFS(예비비!$C$430:$C$729,BA430,예비비!$L$430:$L$729,예비비!$B$3,예비비!$N$430:$N$729,"OK")&gt;0))),MAX($BH$120:BH429)+1,0),0)</f>
        <v>0</v>
      </c>
    </row>
    <row r="431">
      <c r="BA431">
        <v>375</v>
      </c>
      <c r="BB431" t="str">
        <f>IFERROR(INDEX(잔액!$A:$A,BA431),0)</f>
        <v>00:00:00</v>
      </c>
      <c r="BH431">
        <f>IFERROR(IF(AND(BB431&gt;0,OR(COUNTIFS(예비비!$C$430:$C$729,BA431,예비비!$N$430:$N$729,"OK")&gt;0,AND(INDEX(잔액!$J:$J,BA431)="가족통장",INDEX(잔액!$K:$K,BA431)="미래에셋_WRAP형CMA"),COUNTIF(예비비!$A$8:$A$12,INDEX(잔액!$C:$C,BA431))=1,COUNTIF(예비비!$A$8:$A$12,INDEX(잔액!$D:$D,BA431))=1),OR(AND(BB431&gt;=예비비!$B$3,BB431&lt;EDATE(예비비!$B$3,1)),AND(BB431&lt;EDATE(예비비!$B$3,1),COUNTIFS(예비비!$C$430:$C$729,BA431,예비비!$L$430:$L$729,예비비!$B$3,예비비!$N$430:$N$729,"OK")&gt;0))),MAX($BH$120:BH430)+1,0),0)</f>
        <v>0</v>
      </c>
    </row>
    <row r="432">
      <c r="BA432">
        <v>376</v>
      </c>
      <c r="BB432" t="str">
        <f>IFERROR(INDEX(잔액!$A:$A,BA432),0)</f>
        <v>00:00:00</v>
      </c>
      <c r="BH432">
        <f>IFERROR(IF(AND(BB432&gt;0,OR(COUNTIFS(예비비!$C$430:$C$729,BA432,예비비!$N$430:$N$729,"OK")&gt;0,AND(INDEX(잔액!$J:$J,BA432)="가족통장",INDEX(잔액!$K:$K,BA432)="미래에셋_WRAP형CMA"),COUNTIF(예비비!$A$8:$A$12,INDEX(잔액!$C:$C,BA432))=1,COUNTIF(예비비!$A$8:$A$12,INDEX(잔액!$D:$D,BA432))=1),OR(AND(BB432&gt;=예비비!$B$3,BB432&lt;EDATE(예비비!$B$3,1)),AND(BB432&lt;EDATE(예비비!$B$3,1),COUNTIFS(예비비!$C$430:$C$729,BA432,예비비!$L$430:$L$729,예비비!$B$3,예비비!$N$430:$N$729,"OK")&gt;0))),MAX($BH$120:BH431)+1,0),0)</f>
        <v>0</v>
      </c>
    </row>
    <row r="433">
      <c r="BA433">
        <v>377</v>
      </c>
      <c r="BB433" t="str">
        <f>IFERROR(INDEX(잔액!$A:$A,BA433),0)</f>
        <v>00:00:00</v>
      </c>
      <c r="BH433">
        <f>IFERROR(IF(AND(BB433&gt;0,OR(COUNTIFS(예비비!$C$430:$C$729,BA433,예비비!$N$430:$N$729,"OK")&gt;0,AND(INDEX(잔액!$J:$J,BA433)="가족통장",INDEX(잔액!$K:$K,BA433)="미래에셋_WRAP형CMA"),COUNTIF(예비비!$A$8:$A$12,INDEX(잔액!$C:$C,BA433))=1,COUNTIF(예비비!$A$8:$A$12,INDEX(잔액!$D:$D,BA433))=1),OR(AND(BB433&gt;=예비비!$B$3,BB433&lt;EDATE(예비비!$B$3,1)),AND(BB433&lt;EDATE(예비비!$B$3,1),COUNTIFS(예비비!$C$430:$C$729,BA433,예비비!$L$430:$L$729,예비비!$B$3,예비비!$N$430:$N$729,"OK")&gt;0))),MAX($BH$120:BH432)+1,0),0)</f>
        <v>0</v>
      </c>
    </row>
    <row r="434">
      <c r="BA434">
        <v>378</v>
      </c>
      <c r="BB434" t="str">
        <f>IFERROR(INDEX(잔액!$A:$A,BA434),0)</f>
        <v>00:00:00</v>
      </c>
      <c r="BH434">
        <f>IFERROR(IF(AND(BB434&gt;0,OR(COUNTIFS(예비비!$C$430:$C$729,BA434,예비비!$N$430:$N$729,"OK")&gt;0,AND(INDEX(잔액!$J:$J,BA434)="가족통장",INDEX(잔액!$K:$K,BA434)="미래에셋_WRAP형CMA"),COUNTIF(예비비!$A$8:$A$12,INDEX(잔액!$C:$C,BA434))=1,COUNTIF(예비비!$A$8:$A$12,INDEX(잔액!$D:$D,BA434))=1),OR(AND(BB434&gt;=예비비!$B$3,BB434&lt;EDATE(예비비!$B$3,1)),AND(BB434&lt;EDATE(예비비!$B$3,1),COUNTIFS(예비비!$C$430:$C$729,BA434,예비비!$L$430:$L$729,예비비!$B$3,예비비!$N$430:$N$729,"OK")&gt;0))),MAX($BH$120:BH433)+1,0),0)</f>
        <v>0</v>
      </c>
    </row>
    <row r="435">
      <c r="BA435">
        <v>379</v>
      </c>
      <c r="BB435" t="str">
        <f>IFERROR(INDEX(잔액!$A:$A,BA435),0)</f>
        <v>00:00:00</v>
      </c>
      <c r="BH435">
        <f>IFERROR(IF(AND(BB435&gt;0,OR(COUNTIFS(예비비!$C$430:$C$729,BA435,예비비!$N$430:$N$729,"OK")&gt;0,AND(INDEX(잔액!$J:$J,BA435)="가족통장",INDEX(잔액!$K:$K,BA435)="미래에셋_WRAP형CMA"),COUNTIF(예비비!$A$8:$A$12,INDEX(잔액!$C:$C,BA435))=1,COUNTIF(예비비!$A$8:$A$12,INDEX(잔액!$D:$D,BA435))=1),OR(AND(BB435&gt;=예비비!$B$3,BB435&lt;EDATE(예비비!$B$3,1)),AND(BB435&lt;EDATE(예비비!$B$3,1),COUNTIFS(예비비!$C$430:$C$729,BA435,예비비!$L$430:$L$729,예비비!$B$3,예비비!$N$430:$N$729,"OK")&gt;0))),MAX($BH$120:BH434)+1,0),0)</f>
        <v>0</v>
      </c>
    </row>
    <row r="436">
      <c r="BA436">
        <v>380</v>
      </c>
      <c r="BB436" t="str">
        <f>IFERROR(INDEX(잔액!$A:$A,BA436),0)</f>
        <v>00:00:00</v>
      </c>
      <c r="BH436">
        <f>IFERROR(IF(AND(BB436&gt;0,OR(COUNTIFS(예비비!$C$430:$C$729,BA436,예비비!$N$430:$N$729,"OK")&gt;0,AND(INDEX(잔액!$J:$J,BA436)="가족통장",INDEX(잔액!$K:$K,BA436)="미래에셋_WRAP형CMA"),COUNTIF(예비비!$A$8:$A$12,INDEX(잔액!$C:$C,BA436))=1,COUNTIF(예비비!$A$8:$A$12,INDEX(잔액!$D:$D,BA436))=1),OR(AND(BB436&gt;=예비비!$B$3,BB436&lt;EDATE(예비비!$B$3,1)),AND(BB436&lt;EDATE(예비비!$B$3,1),COUNTIFS(예비비!$C$430:$C$729,BA436,예비비!$L$430:$L$729,예비비!$B$3,예비비!$N$430:$N$729,"OK")&gt;0))),MAX($BH$120:BH435)+1,0),0)</f>
        <v>0</v>
      </c>
    </row>
    <row r="437">
      <c r="BA437">
        <v>381</v>
      </c>
      <c r="BB437" t="str">
        <f>IFERROR(INDEX(잔액!$A:$A,BA437),0)</f>
        <v>00:00:00</v>
      </c>
      <c r="BH437">
        <f>IFERROR(IF(AND(BB437&gt;0,OR(COUNTIFS(예비비!$C$430:$C$729,BA437,예비비!$N$430:$N$729,"OK")&gt;0,AND(INDEX(잔액!$J:$J,BA437)="가족통장",INDEX(잔액!$K:$K,BA437)="미래에셋_WRAP형CMA"),COUNTIF(예비비!$A$8:$A$12,INDEX(잔액!$C:$C,BA437))=1,COUNTIF(예비비!$A$8:$A$12,INDEX(잔액!$D:$D,BA437))=1),OR(AND(BB437&gt;=예비비!$B$3,BB437&lt;EDATE(예비비!$B$3,1)),AND(BB437&lt;EDATE(예비비!$B$3,1),COUNTIFS(예비비!$C$430:$C$729,BA437,예비비!$L$430:$L$729,예비비!$B$3,예비비!$N$430:$N$729,"OK")&gt;0))),MAX($BH$120:BH436)+1,0),0)</f>
        <v>0</v>
      </c>
    </row>
    <row r="438">
      <c r="BA438">
        <v>382</v>
      </c>
      <c r="BB438" t="str">
        <f>IFERROR(INDEX(잔액!$A:$A,BA438),0)</f>
        <v>00:00:00</v>
      </c>
      <c r="BH438">
        <f>IFERROR(IF(AND(BB438&gt;0,OR(COUNTIFS(예비비!$C$430:$C$729,BA438,예비비!$N$430:$N$729,"OK")&gt;0,AND(INDEX(잔액!$J:$J,BA438)="가족통장",INDEX(잔액!$K:$K,BA438)="미래에셋_WRAP형CMA"),COUNTIF(예비비!$A$8:$A$12,INDEX(잔액!$C:$C,BA438))=1,COUNTIF(예비비!$A$8:$A$12,INDEX(잔액!$D:$D,BA438))=1),OR(AND(BB438&gt;=예비비!$B$3,BB438&lt;EDATE(예비비!$B$3,1)),AND(BB438&lt;EDATE(예비비!$B$3,1),COUNTIFS(예비비!$C$430:$C$729,BA438,예비비!$L$430:$L$729,예비비!$B$3,예비비!$N$430:$N$729,"OK")&gt;0))),MAX($BH$120:BH437)+1,0),0)</f>
        <v>0</v>
      </c>
    </row>
    <row r="439">
      <c r="BA439">
        <v>383</v>
      </c>
      <c r="BB439" t="str">
        <f>IFERROR(INDEX(잔액!$A:$A,BA439),0)</f>
        <v>00:00:00</v>
      </c>
      <c r="BH439">
        <f>IFERROR(IF(AND(BB439&gt;0,OR(COUNTIFS(예비비!$C$430:$C$729,BA439,예비비!$N$430:$N$729,"OK")&gt;0,AND(INDEX(잔액!$J:$J,BA439)="가족통장",INDEX(잔액!$K:$K,BA439)="미래에셋_WRAP형CMA"),COUNTIF(예비비!$A$8:$A$12,INDEX(잔액!$C:$C,BA439))=1,COUNTIF(예비비!$A$8:$A$12,INDEX(잔액!$D:$D,BA439))=1),OR(AND(BB439&gt;=예비비!$B$3,BB439&lt;EDATE(예비비!$B$3,1)),AND(BB439&lt;EDATE(예비비!$B$3,1),COUNTIFS(예비비!$C$430:$C$729,BA439,예비비!$L$430:$L$729,예비비!$B$3,예비비!$N$430:$N$729,"OK")&gt;0))),MAX($BH$120:BH438)+1,0),0)</f>
        <v>0</v>
      </c>
    </row>
    <row r="440">
      <c r="BA440">
        <v>384</v>
      </c>
      <c r="BB440" t="str">
        <f>IFERROR(INDEX(잔액!$A:$A,BA440),0)</f>
        <v>00:00:00</v>
      </c>
      <c r="BH440">
        <f>IFERROR(IF(AND(BB440&gt;0,OR(COUNTIFS(예비비!$C$430:$C$729,BA440,예비비!$N$430:$N$729,"OK")&gt;0,AND(INDEX(잔액!$J:$J,BA440)="가족통장",INDEX(잔액!$K:$K,BA440)="미래에셋_WRAP형CMA"),COUNTIF(예비비!$A$8:$A$12,INDEX(잔액!$C:$C,BA440))=1,COUNTIF(예비비!$A$8:$A$12,INDEX(잔액!$D:$D,BA440))=1),OR(AND(BB440&gt;=예비비!$B$3,BB440&lt;EDATE(예비비!$B$3,1)),AND(BB440&lt;EDATE(예비비!$B$3,1),COUNTIFS(예비비!$C$430:$C$729,BA440,예비비!$L$430:$L$729,예비비!$B$3,예비비!$N$430:$N$729,"OK")&gt;0))),MAX($BH$120:BH439)+1,0),0)</f>
        <v>0</v>
      </c>
    </row>
    <row r="441">
      <c r="BA441">
        <v>385</v>
      </c>
      <c r="BB441" t="str">
        <f>IFERROR(INDEX(잔액!$A:$A,BA441),0)</f>
        <v>00:00:00</v>
      </c>
      <c r="BH441">
        <f>IFERROR(IF(AND(BB441&gt;0,OR(COUNTIFS(예비비!$C$430:$C$729,BA441,예비비!$N$430:$N$729,"OK")&gt;0,AND(INDEX(잔액!$J:$J,BA441)="가족통장",INDEX(잔액!$K:$K,BA441)="미래에셋_WRAP형CMA"),COUNTIF(예비비!$A$8:$A$12,INDEX(잔액!$C:$C,BA441))=1,COUNTIF(예비비!$A$8:$A$12,INDEX(잔액!$D:$D,BA441))=1),OR(AND(BB441&gt;=예비비!$B$3,BB441&lt;EDATE(예비비!$B$3,1)),AND(BB441&lt;EDATE(예비비!$B$3,1),COUNTIFS(예비비!$C$430:$C$729,BA441,예비비!$L$430:$L$729,예비비!$B$3,예비비!$N$430:$N$729,"OK")&gt;0))),MAX($BH$120:BH440)+1,0),0)</f>
        <v>0</v>
      </c>
    </row>
    <row r="442">
      <c r="BA442">
        <v>386</v>
      </c>
      <c r="BB442" t="str">
        <f>IFERROR(INDEX(잔액!$A:$A,BA442),0)</f>
        <v>00:00:00</v>
      </c>
      <c r="BH442">
        <f>IFERROR(IF(AND(BB442&gt;0,OR(COUNTIFS(예비비!$C$430:$C$729,BA442,예비비!$N$430:$N$729,"OK")&gt;0,AND(INDEX(잔액!$J:$J,BA442)="가족통장",INDEX(잔액!$K:$K,BA442)="미래에셋_WRAP형CMA"),COUNTIF(예비비!$A$8:$A$12,INDEX(잔액!$C:$C,BA442))=1,COUNTIF(예비비!$A$8:$A$12,INDEX(잔액!$D:$D,BA442))=1),OR(AND(BB442&gt;=예비비!$B$3,BB442&lt;EDATE(예비비!$B$3,1)),AND(BB442&lt;EDATE(예비비!$B$3,1),COUNTIFS(예비비!$C$430:$C$729,BA442,예비비!$L$430:$L$729,예비비!$B$3,예비비!$N$430:$N$729,"OK")&gt;0))),MAX($BH$120:BH441)+1,0),0)</f>
        <v>0</v>
      </c>
    </row>
    <row r="443">
      <c r="BA443">
        <v>387</v>
      </c>
      <c r="BB443" t="str">
        <f>IFERROR(INDEX(잔액!$A:$A,BA443),0)</f>
        <v>00:00:00</v>
      </c>
      <c r="BH443">
        <f>IFERROR(IF(AND(BB443&gt;0,OR(COUNTIFS(예비비!$C$430:$C$729,BA443,예비비!$N$430:$N$729,"OK")&gt;0,AND(INDEX(잔액!$J:$J,BA443)="가족통장",INDEX(잔액!$K:$K,BA443)="미래에셋_WRAP형CMA"),COUNTIF(예비비!$A$8:$A$12,INDEX(잔액!$C:$C,BA443))=1,COUNTIF(예비비!$A$8:$A$12,INDEX(잔액!$D:$D,BA443))=1),OR(AND(BB443&gt;=예비비!$B$3,BB443&lt;EDATE(예비비!$B$3,1)),AND(BB443&lt;EDATE(예비비!$B$3,1),COUNTIFS(예비비!$C$430:$C$729,BA443,예비비!$L$430:$L$729,예비비!$B$3,예비비!$N$430:$N$729,"OK")&gt;0))),MAX($BH$120:BH442)+1,0),0)</f>
        <v>0</v>
      </c>
    </row>
    <row r="444">
      <c r="BA444">
        <v>388</v>
      </c>
      <c r="BB444" t="str">
        <f>IFERROR(INDEX(잔액!$A:$A,BA444),0)</f>
        <v>00:00:00</v>
      </c>
      <c r="BH444">
        <f>IFERROR(IF(AND(BB444&gt;0,OR(COUNTIFS(예비비!$C$430:$C$729,BA444,예비비!$N$430:$N$729,"OK")&gt;0,AND(INDEX(잔액!$J:$J,BA444)="가족통장",INDEX(잔액!$K:$K,BA444)="미래에셋_WRAP형CMA"),COUNTIF(예비비!$A$8:$A$12,INDEX(잔액!$C:$C,BA444))=1,COUNTIF(예비비!$A$8:$A$12,INDEX(잔액!$D:$D,BA444))=1),OR(AND(BB444&gt;=예비비!$B$3,BB444&lt;EDATE(예비비!$B$3,1)),AND(BB444&lt;EDATE(예비비!$B$3,1),COUNTIFS(예비비!$C$430:$C$729,BA444,예비비!$L$430:$L$729,예비비!$B$3,예비비!$N$430:$N$729,"OK")&gt;0))),MAX($BH$120:BH443)+1,0),0)</f>
        <v>0</v>
      </c>
    </row>
    <row r="445">
      <c r="BA445">
        <v>389</v>
      </c>
      <c r="BB445" t="str">
        <f>IFERROR(INDEX(잔액!$A:$A,BA445),0)</f>
        <v>00:00:00</v>
      </c>
      <c r="BH445">
        <f>IFERROR(IF(AND(BB445&gt;0,OR(COUNTIFS(예비비!$C$430:$C$729,BA445,예비비!$N$430:$N$729,"OK")&gt;0,AND(INDEX(잔액!$J:$J,BA445)="가족통장",INDEX(잔액!$K:$K,BA445)="미래에셋_WRAP형CMA"),COUNTIF(예비비!$A$8:$A$12,INDEX(잔액!$C:$C,BA445))=1,COUNTIF(예비비!$A$8:$A$12,INDEX(잔액!$D:$D,BA445))=1),OR(AND(BB445&gt;=예비비!$B$3,BB445&lt;EDATE(예비비!$B$3,1)),AND(BB445&lt;EDATE(예비비!$B$3,1),COUNTIFS(예비비!$C$430:$C$729,BA445,예비비!$L$430:$L$729,예비비!$B$3,예비비!$N$430:$N$729,"OK")&gt;0))),MAX($BH$120:BH444)+1,0),0)</f>
        <v>0</v>
      </c>
    </row>
    <row r="446">
      <c r="BA446">
        <v>390</v>
      </c>
      <c r="BB446" t="str">
        <f>IFERROR(INDEX(잔액!$A:$A,BA446),0)</f>
        <v>00:00:00</v>
      </c>
      <c r="BH446">
        <f>IFERROR(IF(AND(BB446&gt;0,OR(COUNTIFS(예비비!$C$430:$C$729,BA446,예비비!$N$430:$N$729,"OK")&gt;0,AND(INDEX(잔액!$J:$J,BA446)="가족통장",INDEX(잔액!$K:$K,BA446)="미래에셋_WRAP형CMA"),COUNTIF(예비비!$A$8:$A$12,INDEX(잔액!$C:$C,BA446))=1,COUNTIF(예비비!$A$8:$A$12,INDEX(잔액!$D:$D,BA446))=1),OR(AND(BB446&gt;=예비비!$B$3,BB446&lt;EDATE(예비비!$B$3,1)),AND(BB446&lt;EDATE(예비비!$B$3,1),COUNTIFS(예비비!$C$430:$C$729,BA446,예비비!$L$430:$L$729,예비비!$B$3,예비비!$N$430:$N$729,"OK")&gt;0))),MAX($BH$120:BH445)+1,0),0)</f>
        <v>0</v>
      </c>
    </row>
    <row r="447">
      <c r="BA447">
        <v>391</v>
      </c>
      <c r="BB447" t="str">
        <f>IFERROR(INDEX(잔액!$A:$A,BA447),0)</f>
        <v>00:00:00</v>
      </c>
      <c r="BH447">
        <f>IFERROR(IF(AND(BB447&gt;0,OR(COUNTIFS(예비비!$C$430:$C$729,BA447,예비비!$N$430:$N$729,"OK")&gt;0,AND(INDEX(잔액!$J:$J,BA447)="가족통장",INDEX(잔액!$K:$K,BA447)="미래에셋_WRAP형CMA"),COUNTIF(예비비!$A$8:$A$12,INDEX(잔액!$C:$C,BA447))=1,COUNTIF(예비비!$A$8:$A$12,INDEX(잔액!$D:$D,BA447))=1),OR(AND(BB447&gt;=예비비!$B$3,BB447&lt;EDATE(예비비!$B$3,1)),AND(BB447&lt;EDATE(예비비!$B$3,1),COUNTIFS(예비비!$C$430:$C$729,BA447,예비비!$L$430:$L$729,예비비!$B$3,예비비!$N$430:$N$729,"OK")&gt;0))),MAX($BH$120:BH446)+1,0),0)</f>
        <v>0</v>
      </c>
    </row>
    <row r="448">
      <c r="BA448">
        <v>392</v>
      </c>
      <c r="BB448" t="str">
        <f>IFERROR(INDEX(잔액!$A:$A,BA448),0)</f>
        <v>00:00:00</v>
      </c>
      <c r="BH448">
        <f>IFERROR(IF(AND(BB448&gt;0,OR(COUNTIFS(예비비!$C$430:$C$729,BA448,예비비!$N$430:$N$729,"OK")&gt;0,AND(INDEX(잔액!$J:$J,BA448)="가족통장",INDEX(잔액!$K:$K,BA448)="미래에셋_WRAP형CMA"),COUNTIF(예비비!$A$8:$A$12,INDEX(잔액!$C:$C,BA448))=1,COUNTIF(예비비!$A$8:$A$12,INDEX(잔액!$D:$D,BA448))=1),OR(AND(BB448&gt;=예비비!$B$3,BB448&lt;EDATE(예비비!$B$3,1)),AND(BB448&lt;EDATE(예비비!$B$3,1),COUNTIFS(예비비!$C$430:$C$729,BA448,예비비!$L$430:$L$729,예비비!$B$3,예비비!$N$430:$N$729,"OK")&gt;0))),MAX($BH$120:BH447)+1,0),0)</f>
        <v>0</v>
      </c>
    </row>
    <row r="449">
      <c r="BA449">
        <v>393</v>
      </c>
      <c r="BB449" t="str">
        <f>IFERROR(INDEX(잔액!$A:$A,BA449),0)</f>
        <v>00:00:00</v>
      </c>
      <c r="BH449">
        <f>IFERROR(IF(AND(BB449&gt;0,OR(COUNTIFS(예비비!$C$430:$C$729,BA449,예비비!$N$430:$N$729,"OK")&gt;0,AND(INDEX(잔액!$J:$J,BA449)="가족통장",INDEX(잔액!$K:$K,BA449)="미래에셋_WRAP형CMA"),COUNTIF(예비비!$A$8:$A$12,INDEX(잔액!$C:$C,BA449))=1,COUNTIF(예비비!$A$8:$A$12,INDEX(잔액!$D:$D,BA449))=1),OR(AND(BB449&gt;=예비비!$B$3,BB449&lt;EDATE(예비비!$B$3,1)),AND(BB449&lt;EDATE(예비비!$B$3,1),COUNTIFS(예비비!$C$430:$C$729,BA449,예비비!$L$430:$L$729,예비비!$B$3,예비비!$N$430:$N$729,"OK")&gt;0))),MAX($BH$120:BH448)+1,0),0)</f>
        <v>0</v>
      </c>
    </row>
    <row r="450">
      <c r="BA450">
        <v>394</v>
      </c>
      <c r="BB450" t="str">
        <f>IFERROR(INDEX(잔액!$A:$A,BA450),0)</f>
        <v>00:00:00</v>
      </c>
      <c r="BH450">
        <f>IFERROR(IF(AND(BB450&gt;0,OR(COUNTIFS(예비비!$C$430:$C$729,BA450,예비비!$N$430:$N$729,"OK")&gt;0,AND(INDEX(잔액!$J:$J,BA450)="가족통장",INDEX(잔액!$K:$K,BA450)="미래에셋_WRAP형CMA"),COUNTIF(예비비!$A$8:$A$12,INDEX(잔액!$C:$C,BA450))=1,COUNTIF(예비비!$A$8:$A$12,INDEX(잔액!$D:$D,BA450))=1),OR(AND(BB450&gt;=예비비!$B$3,BB450&lt;EDATE(예비비!$B$3,1)),AND(BB450&lt;EDATE(예비비!$B$3,1),COUNTIFS(예비비!$C$430:$C$729,BA450,예비비!$L$430:$L$729,예비비!$B$3,예비비!$N$430:$N$729,"OK")&gt;0))),MAX($BH$120:BH449)+1,0),0)</f>
        <v>0</v>
      </c>
    </row>
    <row r="451">
      <c r="BA451">
        <v>395</v>
      </c>
      <c r="BB451" t="str">
        <f>IFERROR(INDEX(잔액!$A:$A,BA451),0)</f>
        <v>00:00:00</v>
      </c>
      <c r="BH451">
        <f>IFERROR(IF(AND(BB451&gt;0,OR(COUNTIFS(예비비!$C$430:$C$729,BA451,예비비!$N$430:$N$729,"OK")&gt;0,AND(INDEX(잔액!$J:$J,BA451)="가족통장",INDEX(잔액!$K:$K,BA451)="미래에셋_WRAP형CMA"),COUNTIF(예비비!$A$8:$A$12,INDEX(잔액!$C:$C,BA451))=1,COUNTIF(예비비!$A$8:$A$12,INDEX(잔액!$D:$D,BA451))=1),OR(AND(BB451&gt;=예비비!$B$3,BB451&lt;EDATE(예비비!$B$3,1)),AND(BB451&lt;EDATE(예비비!$B$3,1),COUNTIFS(예비비!$C$430:$C$729,BA451,예비비!$L$430:$L$729,예비비!$B$3,예비비!$N$430:$N$729,"OK")&gt;0))),MAX($BH$120:BH450)+1,0),0)</f>
        <v>0</v>
      </c>
    </row>
    <row r="452">
      <c r="BA452">
        <v>396</v>
      </c>
      <c r="BB452" t="str">
        <f>IFERROR(INDEX(잔액!$A:$A,BA452),0)</f>
        <v>00:00:00</v>
      </c>
      <c r="BH452">
        <f>IFERROR(IF(AND(BB452&gt;0,OR(COUNTIFS(예비비!$C$430:$C$729,BA452,예비비!$N$430:$N$729,"OK")&gt;0,AND(INDEX(잔액!$J:$J,BA452)="가족통장",INDEX(잔액!$K:$K,BA452)="미래에셋_WRAP형CMA"),COUNTIF(예비비!$A$8:$A$12,INDEX(잔액!$C:$C,BA452))=1,COUNTIF(예비비!$A$8:$A$12,INDEX(잔액!$D:$D,BA452))=1),OR(AND(BB452&gt;=예비비!$B$3,BB452&lt;EDATE(예비비!$B$3,1)),AND(BB452&lt;EDATE(예비비!$B$3,1),COUNTIFS(예비비!$C$430:$C$729,BA452,예비비!$L$430:$L$729,예비비!$B$3,예비비!$N$430:$N$729,"OK")&gt;0))),MAX($BH$120:BH451)+1,0),0)</f>
        <v>0</v>
      </c>
    </row>
    <row r="453">
      <c r="BA453">
        <v>397</v>
      </c>
      <c r="BB453" t="str">
        <f>IFERROR(INDEX(잔액!$A:$A,BA453),0)</f>
        <v>00:00:00</v>
      </c>
      <c r="BH453">
        <f>IFERROR(IF(AND(BB453&gt;0,OR(COUNTIFS(예비비!$C$430:$C$729,BA453,예비비!$N$430:$N$729,"OK")&gt;0,AND(INDEX(잔액!$J:$J,BA453)="가족통장",INDEX(잔액!$K:$K,BA453)="미래에셋_WRAP형CMA"),COUNTIF(예비비!$A$8:$A$12,INDEX(잔액!$C:$C,BA453))=1,COUNTIF(예비비!$A$8:$A$12,INDEX(잔액!$D:$D,BA453))=1),OR(AND(BB453&gt;=예비비!$B$3,BB453&lt;EDATE(예비비!$B$3,1)),AND(BB453&lt;EDATE(예비비!$B$3,1),COUNTIFS(예비비!$C$430:$C$729,BA453,예비비!$L$430:$L$729,예비비!$B$3,예비비!$N$430:$N$729,"OK")&gt;0))),MAX($BH$120:BH452)+1,0),0)</f>
        <v>0</v>
      </c>
    </row>
    <row r="454">
      <c r="BA454">
        <v>398</v>
      </c>
      <c r="BB454" t="str">
        <f>IFERROR(INDEX(잔액!$A:$A,BA454),0)</f>
        <v>00:00:00</v>
      </c>
      <c r="BH454">
        <f>IFERROR(IF(AND(BB454&gt;0,OR(COUNTIFS(예비비!$C$430:$C$729,BA454,예비비!$N$430:$N$729,"OK")&gt;0,AND(INDEX(잔액!$J:$J,BA454)="가족통장",INDEX(잔액!$K:$K,BA454)="미래에셋_WRAP형CMA"),COUNTIF(예비비!$A$8:$A$12,INDEX(잔액!$C:$C,BA454))=1,COUNTIF(예비비!$A$8:$A$12,INDEX(잔액!$D:$D,BA454))=1),OR(AND(BB454&gt;=예비비!$B$3,BB454&lt;EDATE(예비비!$B$3,1)),AND(BB454&lt;EDATE(예비비!$B$3,1),COUNTIFS(예비비!$C$430:$C$729,BA454,예비비!$L$430:$L$729,예비비!$B$3,예비비!$N$430:$N$729,"OK")&gt;0))),MAX($BH$120:BH453)+1,0),0)</f>
        <v>0</v>
      </c>
    </row>
    <row r="455">
      <c r="BA455">
        <v>399</v>
      </c>
      <c r="BB455" t="str">
        <f>IFERROR(INDEX(잔액!$A:$A,BA455),0)</f>
        <v>00:00:00</v>
      </c>
      <c r="BH455">
        <f>IFERROR(IF(AND(BB455&gt;0,OR(COUNTIFS(예비비!$C$430:$C$729,BA455,예비비!$N$430:$N$729,"OK")&gt;0,AND(INDEX(잔액!$J:$J,BA455)="가족통장",INDEX(잔액!$K:$K,BA455)="미래에셋_WRAP형CMA"),COUNTIF(예비비!$A$8:$A$12,INDEX(잔액!$C:$C,BA455))=1,COUNTIF(예비비!$A$8:$A$12,INDEX(잔액!$D:$D,BA455))=1),OR(AND(BB455&gt;=예비비!$B$3,BB455&lt;EDATE(예비비!$B$3,1)),AND(BB455&lt;EDATE(예비비!$B$3,1),COUNTIFS(예비비!$C$430:$C$729,BA455,예비비!$L$430:$L$729,예비비!$B$3,예비비!$N$430:$N$729,"OK")&gt;0))),MAX($BH$120:BH454)+1,0),0)</f>
        <v>0</v>
      </c>
    </row>
    <row r="456">
      <c r="BA456">
        <v>400</v>
      </c>
      <c r="BB456" t="str">
        <f>IFERROR(INDEX(잔액!$A:$A,BA456),0)</f>
        <v>00:00:00</v>
      </c>
      <c r="BH456">
        <f>IFERROR(IF(AND(BB456&gt;0,OR(COUNTIFS(예비비!$C$430:$C$729,BA456,예비비!$N$430:$N$729,"OK")&gt;0,AND(INDEX(잔액!$J:$J,BA456)="가족통장",INDEX(잔액!$K:$K,BA456)="미래에셋_WRAP형CMA"),COUNTIF(예비비!$A$8:$A$12,INDEX(잔액!$C:$C,BA456))=1,COUNTIF(예비비!$A$8:$A$12,INDEX(잔액!$D:$D,BA456))=1),OR(AND(BB456&gt;=예비비!$B$3,BB456&lt;EDATE(예비비!$B$3,1)),AND(BB456&lt;EDATE(예비비!$B$3,1),COUNTIFS(예비비!$C$430:$C$729,BA456,예비비!$L$430:$L$729,예비비!$B$3,예비비!$N$430:$N$729,"OK")&gt;0))),MAX($BH$120:BH455)+1,0),0)</f>
        <v>0</v>
      </c>
    </row>
    <row r="457">
      <c r="BA457">
        <v>401</v>
      </c>
      <c r="BB457" t="str">
        <f>IFERROR(INDEX(잔액!$A:$A,BA457),0)</f>
        <v>00:00:00</v>
      </c>
      <c r="BH457">
        <f>IFERROR(IF(AND(BB457&gt;0,OR(COUNTIFS(예비비!$C$430:$C$729,BA457,예비비!$N$430:$N$729,"OK")&gt;0,AND(INDEX(잔액!$J:$J,BA457)="가족통장",INDEX(잔액!$K:$K,BA457)="미래에셋_WRAP형CMA"),COUNTIF(예비비!$A$8:$A$12,INDEX(잔액!$C:$C,BA457))=1,COUNTIF(예비비!$A$8:$A$12,INDEX(잔액!$D:$D,BA457))=1),OR(AND(BB457&gt;=예비비!$B$3,BB457&lt;EDATE(예비비!$B$3,1)),AND(BB457&lt;EDATE(예비비!$B$3,1),COUNTIFS(예비비!$C$430:$C$729,BA457,예비비!$L$430:$L$729,예비비!$B$3,예비비!$N$430:$N$729,"OK")&gt;0))),MAX($BH$120:BH456)+1,0),0)</f>
        <v>0</v>
      </c>
    </row>
    <row r="458">
      <c r="BA458">
        <v>402</v>
      </c>
      <c r="BB458" t="str">
        <f>IFERROR(INDEX(잔액!$A:$A,BA458),0)</f>
        <v>00:00:00</v>
      </c>
      <c r="BH458">
        <f>IFERROR(IF(AND(BB458&gt;0,OR(COUNTIFS(예비비!$C$430:$C$729,BA458,예비비!$N$430:$N$729,"OK")&gt;0,AND(INDEX(잔액!$J:$J,BA458)="가족통장",INDEX(잔액!$K:$K,BA458)="미래에셋_WRAP형CMA"),COUNTIF(예비비!$A$8:$A$12,INDEX(잔액!$C:$C,BA458))=1,COUNTIF(예비비!$A$8:$A$12,INDEX(잔액!$D:$D,BA458))=1),OR(AND(BB458&gt;=예비비!$B$3,BB458&lt;EDATE(예비비!$B$3,1)),AND(BB458&lt;EDATE(예비비!$B$3,1),COUNTIFS(예비비!$C$430:$C$729,BA458,예비비!$L$430:$L$729,예비비!$B$3,예비비!$N$430:$N$729,"OK")&gt;0))),MAX($BH$120:BH457)+1,0),0)</f>
        <v>0</v>
      </c>
    </row>
    <row r="459">
      <c r="BA459">
        <v>403</v>
      </c>
      <c r="BB459" t="str">
        <f>IFERROR(INDEX(잔액!$A:$A,BA459),0)</f>
        <v>00:00:00</v>
      </c>
      <c r="BH459">
        <f>IFERROR(IF(AND(BB459&gt;0,OR(COUNTIFS(예비비!$C$430:$C$729,BA459,예비비!$N$430:$N$729,"OK")&gt;0,AND(INDEX(잔액!$J:$J,BA459)="가족통장",INDEX(잔액!$K:$K,BA459)="미래에셋_WRAP형CMA"),COUNTIF(예비비!$A$8:$A$12,INDEX(잔액!$C:$C,BA459))=1,COUNTIF(예비비!$A$8:$A$12,INDEX(잔액!$D:$D,BA459))=1),OR(AND(BB459&gt;=예비비!$B$3,BB459&lt;EDATE(예비비!$B$3,1)),AND(BB459&lt;EDATE(예비비!$B$3,1),COUNTIFS(예비비!$C$430:$C$729,BA459,예비비!$L$430:$L$729,예비비!$B$3,예비비!$N$430:$N$729,"OK")&gt;0))),MAX($BH$120:BH458)+1,0),0)</f>
        <v>0</v>
      </c>
    </row>
    <row r="460">
      <c r="BA460">
        <v>404</v>
      </c>
      <c r="BB460" t="str">
        <f>IFERROR(INDEX(잔액!$A:$A,BA460),0)</f>
        <v>00:00:00</v>
      </c>
      <c r="BH460">
        <f>IFERROR(IF(AND(BB460&gt;0,OR(COUNTIFS(예비비!$C$430:$C$729,BA460,예비비!$N$430:$N$729,"OK")&gt;0,AND(INDEX(잔액!$J:$J,BA460)="가족통장",INDEX(잔액!$K:$K,BA460)="미래에셋_WRAP형CMA"),COUNTIF(예비비!$A$8:$A$12,INDEX(잔액!$C:$C,BA460))=1,COUNTIF(예비비!$A$8:$A$12,INDEX(잔액!$D:$D,BA460))=1),OR(AND(BB460&gt;=예비비!$B$3,BB460&lt;EDATE(예비비!$B$3,1)),AND(BB460&lt;EDATE(예비비!$B$3,1),COUNTIFS(예비비!$C$430:$C$729,BA460,예비비!$L$430:$L$729,예비비!$B$3,예비비!$N$430:$N$729,"OK")&gt;0))),MAX($BH$120:BH459)+1,0),0)</f>
        <v>0</v>
      </c>
    </row>
    <row r="461">
      <c r="BA461">
        <v>405</v>
      </c>
      <c r="BB461" t="str">
        <f>IFERROR(INDEX(잔액!$A:$A,BA461),0)</f>
        <v>00:00:00</v>
      </c>
      <c r="BH461">
        <f>IFERROR(IF(AND(BB461&gt;0,OR(COUNTIFS(예비비!$C$430:$C$729,BA461,예비비!$N$430:$N$729,"OK")&gt;0,AND(INDEX(잔액!$J:$J,BA461)="가족통장",INDEX(잔액!$K:$K,BA461)="미래에셋_WRAP형CMA"),COUNTIF(예비비!$A$8:$A$12,INDEX(잔액!$C:$C,BA461))=1,COUNTIF(예비비!$A$8:$A$12,INDEX(잔액!$D:$D,BA461))=1),OR(AND(BB461&gt;=예비비!$B$3,BB461&lt;EDATE(예비비!$B$3,1)),AND(BB461&lt;EDATE(예비비!$B$3,1),COUNTIFS(예비비!$C$430:$C$729,BA461,예비비!$L$430:$L$729,예비비!$B$3,예비비!$N$430:$N$729,"OK")&gt;0))),MAX($BH$120:BH460)+1,0),0)</f>
        <v>0</v>
      </c>
    </row>
    <row r="462">
      <c r="BA462">
        <v>406</v>
      </c>
      <c r="BB462" t="str">
        <f>IFERROR(INDEX(잔액!$A:$A,BA462),0)</f>
        <v>00:00:00</v>
      </c>
      <c r="BH462">
        <f>IFERROR(IF(AND(BB462&gt;0,OR(COUNTIFS(예비비!$C$430:$C$729,BA462,예비비!$N$430:$N$729,"OK")&gt;0,AND(INDEX(잔액!$J:$J,BA462)="가족통장",INDEX(잔액!$K:$K,BA462)="미래에셋_WRAP형CMA"),COUNTIF(예비비!$A$8:$A$12,INDEX(잔액!$C:$C,BA462))=1,COUNTIF(예비비!$A$8:$A$12,INDEX(잔액!$D:$D,BA462))=1),OR(AND(BB462&gt;=예비비!$B$3,BB462&lt;EDATE(예비비!$B$3,1)),AND(BB462&lt;EDATE(예비비!$B$3,1),COUNTIFS(예비비!$C$430:$C$729,BA462,예비비!$L$430:$L$729,예비비!$B$3,예비비!$N$430:$N$729,"OK")&gt;0))),MAX($BH$120:BH461)+1,0),0)</f>
        <v>0</v>
      </c>
    </row>
    <row r="463">
      <c r="BA463">
        <v>407</v>
      </c>
      <c r="BB463" t="str">
        <f>IFERROR(INDEX(잔액!$A:$A,BA463),0)</f>
        <v>00:00:00</v>
      </c>
      <c r="BH463">
        <f>IFERROR(IF(AND(BB463&gt;0,OR(COUNTIFS(예비비!$C$430:$C$729,BA463,예비비!$N$430:$N$729,"OK")&gt;0,AND(INDEX(잔액!$J:$J,BA463)="가족통장",INDEX(잔액!$K:$K,BA463)="미래에셋_WRAP형CMA"),COUNTIF(예비비!$A$8:$A$12,INDEX(잔액!$C:$C,BA463))=1,COUNTIF(예비비!$A$8:$A$12,INDEX(잔액!$D:$D,BA463))=1),OR(AND(BB463&gt;=예비비!$B$3,BB463&lt;EDATE(예비비!$B$3,1)),AND(BB463&lt;EDATE(예비비!$B$3,1),COUNTIFS(예비비!$C$430:$C$729,BA463,예비비!$L$430:$L$729,예비비!$B$3,예비비!$N$430:$N$729,"OK")&gt;0))),MAX($BH$120:BH462)+1,0),0)</f>
        <v>0</v>
      </c>
    </row>
    <row r="464">
      <c r="BA464">
        <v>408</v>
      </c>
      <c r="BB464" t="str">
        <f>IFERROR(INDEX(잔액!$A:$A,BA464),0)</f>
        <v>00:00:00</v>
      </c>
      <c r="BH464">
        <f>IFERROR(IF(AND(BB464&gt;0,OR(COUNTIFS(예비비!$C$430:$C$729,BA464,예비비!$N$430:$N$729,"OK")&gt;0,AND(INDEX(잔액!$J:$J,BA464)="가족통장",INDEX(잔액!$K:$K,BA464)="미래에셋_WRAP형CMA"),COUNTIF(예비비!$A$8:$A$12,INDEX(잔액!$C:$C,BA464))=1,COUNTIF(예비비!$A$8:$A$12,INDEX(잔액!$D:$D,BA464))=1),OR(AND(BB464&gt;=예비비!$B$3,BB464&lt;EDATE(예비비!$B$3,1)),AND(BB464&lt;EDATE(예비비!$B$3,1),COUNTIFS(예비비!$C$430:$C$729,BA464,예비비!$L$430:$L$729,예비비!$B$3,예비비!$N$430:$N$729,"OK")&gt;0))),MAX($BH$120:BH463)+1,0),0)</f>
        <v>0</v>
      </c>
    </row>
    <row r="465">
      <c r="BA465">
        <v>409</v>
      </c>
      <c r="BB465" t="str">
        <f>IFERROR(INDEX(잔액!$A:$A,BA465),0)</f>
        <v>00:00:00</v>
      </c>
      <c r="BH465">
        <f>IFERROR(IF(AND(BB465&gt;0,OR(COUNTIFS(예비비!$C$430:$C$729,BA465,예비비!$N$430:$N$729,"OK")&gt;0,AND(INDEX(잔액!$J:$J,BA465)="가족통장",INDEX(잔액!$K:$K,BA465)="미래에셋_WRAP형CMA"),COUNTIF(예비비!$A$8:$A$12,INDEX(잔액!$C:$C,BA465))=1,COUNTIF(예비비!$A$8:$A$12,INDEX(잔액!$D:$D,BA465))=1),OR(AND(BB465&gt;=예비비!$B$3,BB465&lt;EDATE(예비비!$B$3,1)),AND(BB465&lt;EDATE(예비비!$B$3,1),COUNTIFS(예비비!$C$430:$C$729,BA465,예비비!$L$430:$L$729,예비비!$B$3,예비비!$N$430:$N$729,"OK")&gt;0))),MAX($BH$120:BH464)+1,0),0)</f>
        <v>0</v>
      </c>
    </row>
    <row r="466">
      <c r="BA466">
        <v>410</v>
      </c>
      <c r="BB466" t="str">
        <f>IFERROR(INDEX(잔액!$A:$A,BA466),0)</f>
        <v>00:00:00</v>
      </c>
      <c r="BH466">
        <f>IFERROR(IF(AND(BB466&gt;0,OR(COUNTIFS(예비비!$C$430:$C$729,BA466,예비비!$N$430:$N$729,"OK")&gt;0,AND(INDEX(잔액!$J:$J,BA466)="가족통장",INDEX(잔액!$K:$K,BA466)="미래에셋_WRAP형CMA"),COUNTIF(예비비!$A$8:$A$12,INDEX(잔액!$C:$C,BA466))=1,COUNTIF(예비비!$A$8:$A$12,INDEX(잔액!$D:$D,BA466))=1),OR(AND(BB466&gt;=예비비!$B$3,BB466&lt;EDATE(예비비!$B$3,1)),AND(BB466&lt;EDATE(예비비!$B$3,1),COUNTIFS(예비비!$C$430:$C$729,BA466,예비비!$L$430:$L$729,예비비!$B$3,예비비!$N$430:$N$729,"OK")&gt;0))),MAX($BH$120:BH465)+1,0),0)</f>
        <v>0</v>
      </c>
    </row>
    <row r="467">
      <c r="BA467">
        <v>411</v>
      </c>
      <c r="BB467" t="str">
        <f>IFERROR(INDEX(잔액!$A:$A,BA467),0)</f>
        <v>00:00:00</v>
      </c>
      <c r="BH467">
        <f>IFERROR(IF(AND(BB467&gt;0,OR(COUNTIFS(예비비!$C$430:$C$729,BA467,예비비!$N$430:$N$729,"OK")&gt;0,AND(INDEX(잔액!$J:$J,BA467)="가족통장",INDEX(잔액!$K:$K,BA467)="미래에셋_WRAP형CMA"),COUNTIF(예비비!$A$8:$A$12,INDEX(잔액!$C:$C,BA467))=1,COUNTIF(예비비!$A$8:$A$12,INDEX(잔액!$D:$D,BA467))=1),OR(AND(BB467&gt;=예비비!$B$3,BB467&lt;EDATE(예비비!$B$3,1)),AND(BB467&lt;EDATE(예비비!$B$3,1),COUNTIFS(예비비!$C$430:$C$729,BA467,예비비!$L$430:$L$729,예비비!$B$3,예비비!$N$430:$N$729,"OK")&gt;0))),MAX($BH$120:BH466)+1,0),0)</f>
        <v>0</v>
      </c>
    </row>
    <row r="468">
      <c r="BA468">
        <v>412</v>
      </c>
      <c r="BB468" t="str">
        <f>IFERROR(INDEX(잔액!$A:$A,BA468),0)</f>
        <v>00:00:00</v>
      </c>
      <c r="BH468">
        <f>IFERROR(IF(AND(BB468&gt;0,OR(COUNTIFS(예비비!$C$430:$C$729,BA468,예비비!$N$430:$N$729,"OK")&gt;0,AND(INDEX(잔액!$J:$J,BA468)="가족통장",INDEX(잔액!$K:$K,BA468)="미래에셋_WRAP형CMA"),COUNTIF(예비비!$A$8:$A$12,INDEX(잔액!$C:$C,BA468))=1,COUNTIF(예비비!$A$8:$A$12,INDEX(잔액!$D:$D,BA468))=1),OR(AND(BB468&gt;=예비비!$B$3,BB468&lt;EDATE(예비비!$B$3,1)),AND(BB468&lt;EDATE(예비비!$B$3,1),COUNTIFS(예비비!$C$430:$C$729,BA468,예비비!$L$430:$L$729,예비비!$B$3,예비비!$N$430:$N$729,"OK")&gt;0))),MAX($BH$120:BH467)+1,0),0)</f>
        <v>0</v>
      </c>
    </row>
    <row r="469">
      <c r="BA469">
        <v>413</v>
      </c>
      <c r="BB469" t="str">
        <f>IFERROR(INDEX(잔액!$A:$A,BA469),0)</f>
        <v>00:00:00</v>
      </c>
      <c r="BH469">
        <f>IFERROR(IF(AND(BB469&gt;0,OR(COUNTIFS(예비비!$C$430:$C$729,BA469,예비비!$N$430:$N$729,"OK")&gt;0,AND(INDEX(잔액!$J:$J,BA469)="가족통장",INDEX(잔액!$K:$K,BA469)="미래에셋_WRAP형CMA"),COUNTIF(예비비!$A$8:$A$12,INDEX(잔액!$C:$C,BA469))=1,COUNTIF(예비비!$A$8:$A$12,INDEX(잔액!$D:$D,BA469))=1),OR(AND(BB469&gt;=예비비!$B$3,BB469&lt;EDATE(예비비!$B$3,1)),AND(BB469&lt;EDATE(예비비!$B$3,1),COUNTIFS(예비비!$C$430:$C$729,BA469,예비비!$L$430:$L$729,예비비!$B$3,예비비!$N$430:$N$729,"OK")&gt;0))),MAX($BH$120:BH468)+1,0),0)</f>
        <v>0</v>
      </c>
    </row>
    <row r="470">
      <c r="BA470">
        <v>414</v>
      </c>
      <c r="BB470" t="str">
        <f>IFERROR(INDEX(잔액!$A:$A,BA470),0)</f>
        <v>00:00:00</v>
      </c>
      <c r="BH470">
        <f>IFERROR(IF(AND(BB470&gt;0,OR(COUNTIFS(예비비!$C$430:$C$729,BA470,예비비!$N$430:$N$729,"OK")&gt;0,AND(INDEX(잔액!$J:$J,BA470)="가족통장",INDEX(잔액!$K:$K,BA470)="미래에셋_WRAP형CMA"),COUNTIF(예비비!$A$8:$A$12,INDEX(잔액!$C:$C,BA470))=1,COUNTIF(예비비!$A$8:$A$12,INDEX(잔액!$D:$D,BA470))=1),OR(AND(BB470&gt;=예비비!$B$3,BB470&lt;EDATE(예비비!$B$3,1)),AND(BB470&lt;EDATE(예비비!$B$3,1),COUNTIFS(예비비!$C$430:$C$729,BA470,예비비!$L$430:$L$729,예비비!$B$3,예비비!$N$430:$N$729,"OK")&gt;0))),MAX($BH$120:BH469)+1,0),0)</f>
        <v>0</v>
      </c>
    </row>
    <row r="471">
      <c r="BA471">
        <v>415</v>
      </c>
      <c r="BB471" t="str">
        <f>IFERROR(INDEX(잔액!$A:$A,BA471),0)</f>
        <v>00:00:00</v>
      </c>
      <c r="BH471">
        <f>IFERROR(IF(AND(BB471&gt;0,OR(COUNTIFS(예비비!$C$430:$C$729,BA471,예비비!$N$430:$N$729,"OK")&gt;0,AND(INDEX(잔액!$J:$J,BA471)="가족통장",INDEX(잔액!$K:$K,BA471)="미래에셋_WRAP형CMA"),COUNTIF(예비비!$A$8:$A$12,INDEX(잔액!$C:$C,BA471))=1,COUNTIF(예비비!$A$8:$A$12,INDEX(잔액!$D:$D,BA471))=1),OR(AND(BB471&gt;=예비비!$B$3,BB471&lt;EDATE(예비비!$B$3,1)),AND(BB471&lt;EDATE(예비비!$B$3,1),COUNTIFS(예비비!$C$430:$C$729,BA471,예비비!$L$430:$L$729,예비비!$B$3,예비비!$N$430:$N$729,"OK")&gt;0))),MAX($BH$120:BH470)+1,0),0)</f>
        <v>0</v>
      </c>
    </row>
    <row r="472">
      <c r="BA472">
        <v>416</v>
      </c>
      <c r="BB472" t="str">
        <f>IFERROR(INDEX(잔액!$A:$A,BA472),0)</f>
        <v>00:00:00</v>
      </c>
      <c r="BH472">
        <f>IFERROR(IF(AND(BB472&gt;0,OR(COUNTIFS(예비비!$C$430:$C$729,BA472,예비비!$N$430:$N$729,"OK")&gt;0,AND(INDEX(잔액!$J:$J,BA472)="가족통장",INDEX(잔액!$K:$K,BA472)="미래에셋_WRAP형CMA"),COUNTIF(예비비!$A$8:$A$12,INDEX(잔액!$C:$C,BA472))=1,COUNTIF(예비비!$A$8:$A$12,INDEX(잔액!$D:$D,BA472))=1),OR(AND(BB472&gt;=예비비!$B$3,BB472&lt;EDATE(예비비!$B$3,1)),AND(BB472&lt;EDATE(예비비!$B$3,1),COUNTIFS(예비비!$C$430:$C$729,BA472,예비비!$L$430:$L$729,예비비!$B$3,예비비!$N$430:$N$729,"OK")&gt;0))),MAX($BH$120:BH471)+1,0),0)</f>
        <v>0</v>
      </c>
    </row>
    <row r="473">
      <c r="BA473">
        <v>417</v>
      </c>
      <c r="BB473" t="str">
        <f>IFERROR(INDEX(잔액!$A:$A,BA473),0)</f>
        <v>00:00:00</v>
      </c>
      <c r="BH473">
        <f>IFERROR(IF(AND(BB473&gt;0,OR(COUNTIFS(예비비!$C$430:$C$729,BA473,예비비!$N$430:$N$729,"OK")&gt;0,AND(INDEX(잔액!$J:$J,BA473)="가족통장",INDEX(잔액!$K:$K,BA473)="미래에셋_WRAP형CMA"),COUNTIF(예비비!$A$8:$A$12,INDEX(잔액!$C:$C,BA473))=1,COUNTIF(예비비!$A$8:$A$12,INDEX(잔액!$D:$D,BA473))=1),OR(AND(BB473&gt;=예비비!$B$3,BB473&lt;EDATE(예비비!$B$3,1)),AND(BB473&lt;EDATE(예비비!$B$3,1),COUNTIFS(예비비!$C$430:$C$729,BA473,예비비!$L$430:$L$729,예비비!$B$3,예비비!$N$430:$N$729,"OK")&gt;0))),MAX($BH$120:BH472)+1,0),0)</f>
        <v>0</v>
      </c>
    </row>
    <row r="474">
      <c r="BA474">
        <v>418</v>
      </c>
      <c r="BB474" t="str">
        <f>IFERROR(INDEX(잔액!$A:$A,BA474),0)</f>
        <v>00:00:00</v>
      </c>
      <c r="BH474">
        <f>IFERROR(IF(AND(BB474&gt;0,OR(COUNTIFS(예비비!$C$430:$C$729,BA474,예비비!$N$430:$N$729,"OK")&gt;0,AND(INDEX(잔액!$J:$J,BA474)="가족통장",INDEX(잔액!$K:$K,BA474)="미래에셋_WRAP형CMA"),COUNTIF(예비비!$A$8:$A$12,INDEX(잔액!$C:$C,BA474))=1,COUNTIF(예비비!$A$8:$A$12,INDEX(잔액!$D:$D,BA474))=1),OR(AND(BB474&gt;=예비비!$B$3,BB474&lt;EDATE(예비비!$B$3,1)),AND(BB474&lt;EDATE(예비비!$B$3,1),COUNTIFS(예비비!$C$430:$C$729,BA474,예비비!$L$430:$L$729,예비비!$B$3,예비비!$N$430:$N$729,"OK")&gt;0))),MAX($BH$120:BH473)+1,0),0)</f>
        <v>0</v>
      </c>
    </row>
    <row r="475">
      <c r="BA475">
        <v>419</v>
      </c>
      <c r="BB475" t="str">
        <f>IFERROR(INDEX(잔액!$A:$A,BA475),0)</f>
        <v>00:00:00</v>
      </c>
      <c r="BH475">
        <f>IFERROR(IF(AND(BB475&gt;0,OR(COUNTIFS(예비비!$C$430:$C$729,BA475,예비비!$N$430:$N$729,"OK")&gt;0,AND(INDEX(잔액!$J:$J,BA475)="가족통장",INDEX(잔액!$K:$K,BA475)="미래에셋_WRAP형CMA"),COUNTIF(예비비!$A$8:$A$12,INDEX(잔액!$C:$C,BA475))=1,COUNTIF(예비비!$A$8:$A$12,INDEX(잔액!$D:$D,BA475))=1),OR(AND(BB475&gt;=예비비!$B$3,BB475&lt;EDATE(예비비!$B$3,1)),AND(BB475&lt;EDATE(예비비!$B$3,1),COUNTIFS(예비비!$C$430:$C$729,BA475,예비비!$L$430:$L$729,예비비!$B$3,예비비!$N$430:$N$729,"OK")&gt;0))),MAX($BH$120:BH474)+1,0),0)</f>
        <v>0</v>
      </c>
    </row>
    <row r="476">
      <c r="BA476">
        <v>420</v>
      </c>
      <c r="BB476" t="str">
        <f>IFERROR(INDEX(잔액!$A:$A,BA476),0)</f>
        <v>00:00:00</v>
      </c>
      <c r="BH476">
        <f>IFERROR(IF(AND(BB476&gt;0,OR(COUNTIFS(예비비!$C$430:$C$729,BA476,예비비!$N$430:$N$729,"OK")&gt;0,AND(INDEX(잔액!$J:$J,BA476)="가족통장",INDEX(잔액!$K:$K,BA476)="미래에셋_WRAP형CMA"),COUNTIF(예비비!$A$8:$A$12,INDEX(잔액!$C:$C,BA476))=1,COUNTIF(예비비!$A$8:$A$12,INDEX(잔액!$D:$D,BA476))=1),OR(AND(BB476&gt;=예비비!$B$3,BB476&lt;EDATE(예비비!$B$3,1)),AND(BB476&lt;EDATE(예비비!$B$3,1),COUNTIFS(예비비!$C$430:$C$729,BA476,예비비!$L$430:$L$729,예비비!$B$3,예비비!$N$430:$N$729,"OK")&gt;0))),MAX($BH$120:BH475)+1,0),0)</f>
        <v>0</v>
      </c>
    </row>
    <row r="477">
      <c r="BA477">
        <v>421</v>
      </c>
      <c r="BB477" t="str">
        <f>IFERROR(INDEX(잔액!$A:$A,BA477),0)</f>
        <v>00:00:00</v>
      </c>
      <c r="BH477">
        <f>IFERROR(IF(AND(BB477&gt;0,OR(COUNTIFS(예비비!$C$430:$C$729,BA477,예비비!$N$430:$N$729,"OK")&gt;0,AND(INDEX(잔액!$J:$J,BA477)="가족통장",INDEX(잔액!$K:$K,BA477)="미래에셋_WRAP형CMA"),COUNTIF(예비비!$A$8:$A$12,INDEX(잔액!$C:$C,BA477))=1,COUNTIF(예비비!$A$8:$A$12,INDEX(잔액!$D:$D,BA477))=1),OR(AND(BB477&gt;=예비비!$B$3,BB477&lt;EDATE(예비비!$B$3,1)),AND(BB477&lt;EDATE(예비비!$B$3,1),COUNTIFS(예비비!$C$430:$C$729,BA477,예비비!$L$430:$L$729,예비비!$B$3,예비비!$N$430:$N$729,"OK")&gt;0))),MAX($BH$120:BH476)+1,0),0)</f>
        <v>0</v>
      </c>
    </row>
    <row r="478">
      <c r="BA478">
        <v>422</v>
      </c>
      <c r="BB478" t="str">
        <f>IFERROR(INDEX(잔액!$A:$A,BA478),0)</f>
        <v>00:00:00</v>
      </c>
      <c r="BH478">
        <f>IFERROR(IF(AND(BB478&gt;0,OR(COUNTIFS(예비비!$C$430:$C$729,BA478,예비비!$N$430:$N$729,"OK")&gt;0,AND(INDEX(잔액!$J:$J,BA478)="가족통장",INDEX(잔액!$K:$K,BA478)="미래에셋_WRAP형CMA"),COUNTIF(예비비!$A$8:$A$12,INDEX(잔액!$C:$C,BA478))=1,COUNTIF(예비비!$A$8:$A$12,INDEX(잔액!$D:$D,BA478))=1),OR(AND(BB478&gt;=예비비!$B$3,BB478&lt;EDATE(예비비!$B$3,1)),AND(BB478&lt;EDATE(예비비!$B$3,1),COUNTIFS(예비비!$C$430:$C$729,BA478,예비비!$L$430:$L$729,예비비!$B$3,예비비!$N$430:$N$729,"OK")&gt;0))),MAX($BH$120:BH477)+1,0),0)</f>
        <v>0</v>
      </c>
    </row>
    <row r="479">
      <c r="BA479">
        <v>423</v>
      </c>
      <c r="BB479" t="str">
        <f>IFERROR(INDEX(잔액!$A:$A,BA479),0)</f>
        <v>00:00:00</v>
      </c>
      <c r="BH479">
        <f>IFERROR(IF(AND(BB479&gt;0,OR(COUNTIFS(예비비!$C$430:$C$729,BA479,예비비!$N$430:$N$729,"OK")&gt;0,AND(INDEX(잔액!$J:$J,BA479)="가족통장",INDEX(잔액!$K:$K,BA479)="미래에셋_WRAP형CMA"),COUNTIF(예비비!$A$8:$A$12,INDEX(잔액!$C:$C,BA479))=1,COUNTIF(예비비!$A$8:$A$12,INDEX(잔액!$D:$D,BA479))=1),OR(AND(BB479&gt;=예비비!$B$3,BB479&lt;EDATE(예비비!$B$3,1)),AND(BB479&lt;EDATE(예비비!$B$3,1),COUNTIFS(예비비!$C$430:$C$729,BA479,예비비!$L$430:$L$729,예비비!$B$3,예비비!$N$430:$N$729,"OK")&gt;0))),MAX($BH$120:BH478)+1,0),0)</f>
        <v>0</v>
      </c>
    </row>
    <row r="480">
      <c r="BA480">
        <v>424</v>
      </c>
      <c r="BB480" t="str">
        <f>IFERROR(INDEX(잔액!$A:$A,BA480),0)</f>
        <v>00:00:00</v>
      </c>
      <c r="BH480">
        <f>IFERROR(IF(AND(BB480&gt;0,OR(COUNTIFS(예비비!$C$430:$C$729,BA480,예비비!$N$430:$N$729,"OK")&gt;0,AND(INDEX(잔액!$J:$J,BA480)="가족통장",INDEX(잔액!$K:$K,BA480)="미래에셋_WRAP형CMA"),COUNTIF(예비비!$A$8:$A$12,INDEX(잔액!$C:$C,BA480))=1,COUNTIF(예비비!$A$8:$A$12,INDEX(잔액!$D:$D,BA480))=1),OR(AND(BB480&gt;=예비비!$B$3,BB480&lt;EDATE(예비비!$B$3,1)),AND(BB480&lt;EDATE(예비비!$B$3,1),COUNTIFS(예비비!$C$430:$C$729,BA480,예비비!$L$430:$L$729,예비비!$B$3,예비비!$N$430:$N$729,"OK")&gt;0))),MAX($BH$120:BH479)+1,0),0)</f>
        <v>0</v>
      </c>
    </row>
    <row r="481">
      <c r="BA481">
        <v>425</v>
      </c>
      <c r="BB481" t="str">
        <f>IFERROR(INDEX(잔액!$A:$A,BA481),0)</f>
        <v>00:00:00</v>
      </c>
      <c r="BH481">
        <f>IFERROR(IF(AND(BB481&gt;0,OR(COUNTIFS(예비비!$C$430:$C$729,BA481,예비비!$N$430:$N$729,"OK")&gt;0,AND(INDEX(잔액!$J:$J,BA481)="가족통장",INDEX(잔액!$K:$K,BA481)="미래에셋_WRAP형CMA"),COUNTIF(예비비!$A$8:$A$12,INDEX(잔액!$C:$C,BA481))=1,COUNTIF(예비비!$A$8:$A$12,INDEX(잔액!$D:$D,BA481))=1),OR(AND(BB481&gt;=예비비!$B$3,BB481&lt;EDATE(예비비!$B$3,1)),AND(BB481&lt;EDATE(예비비!$B$3,1),COUNTIFS(예비비!$C$430:$C$729,BA481,예비비!$L$430:$L$729,예비비!$B$3,예비비!$N$430:$N$729,"OK")&gt;0))),MAX($BH$120:BH480)+1,0),0)</f>
        <v>0</v>
      </c>
    </row>
    <row r="482">
      <c r="BA482">
        <v>426</v>
      </c>
      <c r="BB482" t="str">
        <f>IFERROR(INDEX(잔액!$A:$A,BA482),0)</f>
        <v>00:00:00</v>
      </c>
      <c r="BH482">
        <f>IFERROR(IF(AND(BB482&gt;0,OR(COUNTIFS(예비비!$C$430:$C$729,BA482,예비비!$N$430:$N$729,"OK")&gt;0,AND(INDEX(잔액!$J:$J,BA482)="가족통장",INDEX(잔액!$K:$K,BA482)="미래에셋_WRAP형CMA"),COUNTIF(예비비!$A$8:$A$12,INDEX(잔액!$C:$C,BA482))=1,COUNTIF(예비비!$A$8:$A$12,INDEX(잔액!$D:$D,BA482))=1),OR(AND(BB482&gt;=예비비!$B$3,BB482&lt;EDATE(예비비!$B$3,1)),AND(BB482&lt;EDATE(예비비!$B$3,1),COUNTIFS(예비비!$C$430:$C$729,BA482,예비비!$L$430:$L$729,예비비!$B$3,예비비!$N$430:$N$729,"OK")&gt;0))),MAX($BH$120:BH481)+1,0),0)</f>
        <v>0</v>
      </c>
    </row>
    <row r="483">
      <c r="BA483">
        <v>427</v>
      </c>
      <c r="BB483" t="str">
        <f>IFERROR(INDEX(잔액!$A:$A,BA483),0)</f>
        <v>00:00:00</v>
      </c>
      <c r="BH483">
        <f>IFERROR(IF(AND(BB483&gt;0,OR(COUNTIFS(예비비!$C$430:$C$729,BA483,예비비!$N$430:$N$729,"OK")&gt;0,AND(INDEX(잔액!$J:$J,BA483)="가족통장",INDEX(잔액!$K:$K,BA483)="미래에셋_WRAP형CMA"),COUNTIF(예비비!$A$8:$A$12,INDEX(잔액!$C:$C,BA483))=1,COUNTIF(예비비!$A$8:$A$12,INDEX(잔액!$D:$D,BA483))=1),OR(AND(BB483&gt;=예비비!$B$3,BB483&lt;EDATE(예비비!$B$3,1)),AND(BB483&lt;EDATE(예비비!$B$3,1),COUNTIFS(예비비!$C$430:$C$729,BA483,예비비!$L$430:$L$729,예비비!$B$3,예비비!$N$430:$N$729,"OK")&gt;0))),MAX($BH$120:BH482)+1,0),0)</f>
        <v>0</v>
      </c>
    </row>
    <row r="484">
      <c r="BA484">
        <v>428</v>
      </c>
      <c r="BB484" t="str">
        <f>IFERROR(INDEX(잔액!$A:$A,BA484),0)</f>
        <v>00:00:00</v>
      </c>
      <c r="BH484">
        <f>IFERROR(IF(AND(BB484&gt;0,OR(COUNTIFS(예비비!$C$430:$C$729,BA484,예비비!$N$430:$N$729,"OK")&gt;0,AND(INDEX(잔액!$J:$J,BA484)="가족통장",INDEX(잔액!$K:$K,BA484)="미래에셋_WRAP형CMA"),COUNTIF(예비비!$A$8:$A$12,INDEX(잔액!$C:$C,BA484))=1,COUNTIF(예비비!$A$8:$A$12,INDEX(잔액!$D:$D,BA484))=1),OR(AND(BB484&gt;=예비비!$B$3,BB484&lt;EDATE(예비비!$B$3,1)),AND(BB484&lt;EDATE(예비비!$B$3,1),COUNTIFS(예비비!$C$430:$C$729,BA484,예비비!$L$430:$L$729,예비비!$B$3,예비비!$N$430:$N$729,"OK")&gt;0))),MAX($BH$120:BH483)+1,0),0)</f>
        <v>0</v>
      </c>
    </row>
    <row r="485">
      <c r="BA485">
        <v>429</v>
      </c>
      <c r="BB485" t="str">
        <f>IFERROR(INDEX(잔액!$A:$A,BA485),0)</f>
        <v>00:00:00</v>
      </c>
      <c r="BH485">
        <f>IFERROR(IF(AND(BB485&gt;0,OR(COUNTIFS(예비비!$C$430:$C$729,BA485,예비비!$N$430:$N$729,"OK")&gt;0,AND(INDEX(잔액!$J:$J,BA485)="가족통장",INDEX(잔액!$K:$K,BA485)="미래에셋_WRAP형CMA"),COUNTIF(예비비!$A$8:$A$12,INDEX(잔액!$C:$C,BA485))=1,COUNTIF(예비비!$A$8:$A$12,INDEX(잔액!$D:$D,BA485))=1),OR(AND(BB485&gt;=예비비!$B$3,BB485&lt;EDATE(예비비!$B$3,1)),AND(BB485&lt;EDATE(예비비!$B$3,1),COUNTIFS(예비비!$C$430:$C$729,BA485,예비비!$L$430:$L$729,예비비!$B$3,예비비!$N$430:$N$729,"OK")&gt;0))),MAX($BH$120:BH484)+1,0),0)</f>
        <v>0</v>
      </c>
    </row>
    <row r="486">
      <c r="BA486">
        <v>430</v>
      </c>
      <c r="BB486" t="str">
        <f>IFERROR(INDEX(잔액!$A:$A,BA486),0)</f>
        <v>00:00:00</v>
      </c>
      <c r="BH486">
        <f>IFERROR(IF(AND(BB486&gt;0,OR(COUNTIFS(예비비!$C$430:$C$729,BA486,예비비!$N$430:$N$729,"OK")&gt;0,AND(INDEX(잔액!$J:$J,BA486)="가족통장",INDEX(잔액!$K:$K,BA486)="미래에셋_WRAP형CMA"),COUNTIF(예비비!$A$8:$A$12,INDEX(잔액!$C:$C,BA486))=1,COUNTIF(예비비!$A$8:$A$12,INDEX(잔액!$D:$D,BA486))=1),OR(AND(BB486&gt;=예비비!$B$3,BB486&lt;EDATE(예비비!$B$3,1)),AND(BB486&lt;EDATE(예비비!$B$3,1),COUNTIFS(예비비!$C$430:$C$729,BA486,예비비!$L$430:$L$729,예비비!$B$3,예비비!$N$430:$N$729,"OK")&gt;0))),MAX($BH$120:BH485)+1,0),0)</f>
        <v>0</v>
      </c>
    </row>
    <row r="487">
      <c r="BA487">
        <v>431</v>
      </c>
      <c r="BB487" t="str">
        <f>IFERROR(INDEX(잔액!$A:$A,BA487),0)</f>
        <v>00:00:00</v>
      </c>
      <c r="BH487">
        <f>IFERROR(IF(AND(BB487&gt;0,OR(COUNTIFS(예비비!$C$430:$C$729,BA487,예비비!$N$430:$N$729,"OK")&gt;0,AND(INDEX(잔액!$J:$J,BA487)="가족통장",INDEX(잔액!$K:$K,BA487)="미래에셋_WRAP형CMA"),COUNTIF(예비비!$A$8:$A$12,INDEX(잔액!$C:$C,BA487))=1,COUNTIF(예비비!$A$8:$A$12,INDEX(잔액!$D:$D,BA487))=1),OR(AND(BB487&gt;=예비비!$B$3,BB487&lt;EDATE(예비비!$B$3,1)),AND(BB487&lt;EDATE(예비비!$B$3,1),COUNTIFS(예비비!$C$430:$C$729,BA487,예비비!$L$430:$L$729,예비비!$B$3,예비비!$N$430:$N$729,"OK")&gt;0))),MAX($BH$120:BH486)+1,0),0)</f>
        <v>0</v>
      </c>
    </row>
    <row r="488">
      <c r="BA488">
        <v>432</v>
      </c>
      <c r="BB488" t="str">
        <f>IFERROR(INDEX(잔액!$A:$A,BA488),0)</f>
        <v>00:00:00</v>
      </c>
      <c r="BH488">
        <f>IFERROR(IF(AND(BB488&gt;0,OR(COUNTIFS(예비비!$C$430:$C$729,BA488,예비비!$N$430:$N$729,"OK")&gt;0,AND(INDEX(잔액!$J:$J,BA488)="가족통장",INDEX(잔액!$K:$K,BA488)="미래에셋_WRAP형CMA"),COUNTIF(예비비!$A$8:$A$12,INDEX(잔액!$C:$C,BA488))=1,COUNTIF(예비비!$A$8:$A$12,INDEX(잔액!$D:$D,BA488))=1),OR(AND(BB488&gt;=예비비!$B$3,BB488&lt;EDATE(예비비!$B$3,1)),AND(BB488&lt;EDATE(예비비!$B$3,1),COUNTIFS(예비비!$C$430:$C$729,BA488,예비비!$L$430:$L$729,예비비!$B$3,예비비!$N$430:$N$729,"OK")&gt;0))),MAX($BH$120:BH487)+1,0),0)</f>
        <v>0</v>
      </c>
    </row>
    <row r="489">
      <c r="BA489">
        <v>433</v>
      </c>
      <c r="BB489" t="str">
        <f>IFERROR(INDEX(잔액!$A:$A,BA489),0)</f>
        <v>00:00:00</v>
      </c>
      <c r="BH489">
        <f>IFERROR(IF(AND(BB489&gt;0,OR(COUNTIFS(예비비!$C$430:$C$729,BA489,예비비!$N$430:$N$729,"OK")&gt;0,AND(INDEX(잔액!$J:$J,BA489)="가족통장",INDEX(잔액!$K:$K,BA489)="미래에셋_WRAP형CMA"),COUNTIF(예비비!$A$8:$A$12,INDEX(잔액!$C:$C,BA489))=1,COUNTIF(예비비!$A$8:$A$12,INDEX(잔액!$D:$D,BA489))=1),OR(AND(BB489&gt;=예비비!$B$3,BB489&lt;EDATE(예비비!$B$3,1)),AND(BB489&lt;EDATE(예비비!$B$3,1),COUNTIFS(예비비!$C$430:$C$729,BA489,예비비!$L$430:$L$729,예비비!$B$3,예비비!$N$430:$N$729,"OK")&gt;0))),MAX($BH$120:BH488)+1,0),0)</f>
        <v>0</v>
      </c>
    </row>
    <row r="490">
      <c r="BA490">
        <v>434</v>
      </c>
      <c r="BB490" t="str">
        <f>IFERROR(INDEX(잔액!$A:$A,BA490),0)</f>
        <v>00:00:00</v>
      </c>
      <c r="BH490">
        <f>IFERROR(IF(AND(BB490&gt;0,OR(COUNTIFS(예비비!$C$430:$C$729,BA490,예비비!$N$430:$N$729,"OK")&gt;0,AND(INDEX(잔액!$J:$J,BA490)="가족통장",INDEX(잔액!$K:$K,BA490)="미래에셋_WRAP형CMA"),COUNTIF(예비비!$A$8:$A$12,INDEX(잔액!$C:$C,BA490))=1,COUNTIF(예비비!$A$8:$A$12,INDEX(잔액!$D:$D,BA490))=1),OR(AND(BB490&gt;=예비비!$B$3,BB490&lt;EDATE(예비비!$B$3,1)),AND(BB490&lt;EDATE(예비비!$B$3,1),COUNTIFS(예비비!$C$430:$C$729,BA490,예비비!$L$430:$L$729,예비비!$B$3,예비비!$N$430:$N$729,"OK")&gt;0))),MAX($BH$120:BH489)+1,0),0)</f>
        <v>0</v>
      </c>
    </row>
    <row r="491">
      <c r="BA491">
        <v>435</v>
      </c>
      <c r="BB491" t="str">
        <f>IFERROR(INDEX(잔액!$A:$A,BA491),0)</f>
        <v>00:00:00</v>
      </c>
      <c r="BH491">
        <f>IFERROR(IF(AND(BB491&gt;0,OR(COUNTIFS(예비비!$C$430:$C$729,BA491,예비비!$N$430:$N$729,"OK")&gt;0,AND(INDEX(잔액!$J:$J,BA491)="가족통장",INDEX(잔액!$K:$K,BA491)="미래에셋_WRAP형CMA"),COUNTIF(예비비!$A$8:$A$12,INDEX(잔액!$C:$C,BA491))=1,COUNTIF(예비비!$A$8:$A$12,INDEX(잔액!$D:$D,BA491))=1),OR(AND(BB491&gt;=예비비!$B$3,BB491&lt;EDATE(예비비!$B$3,1)),AND(BB491&lt;EDATE(예비비!$B$3,1),COUNTIFS(예비비!$C$430:$C$729,BA491,예비비!$L$430:$L$729,예비비!$B$3,예비비!$N$430:$N$729,"OK")&gt;0))),MAX($BH$120:BH490)+1,0),0)</f>
        <v>0</v>
      </c>
    </row>
    <row r="492">
      <c r="BA492">
        <v>436</v>
      </c>
      <c r="BB492" t="str">
        <f>IFERROR(INDEX(잔액!$A:$A,BA492),0)</f>
        <v>00:00:00</v>
      </c>
      <c r="BH492">
        <f>IFERROR(IF(AND(BB492&gt;0,OR(COUNTIFS(예비비!$C$430:$C$729,BA492,예비비!$N$430:$N$729,"OK")&gt;0,AND(INDEX(잔액!$J:$J,BA492)="가족통장",INDEX(잔액!$K:$K,BA492)="미래에셋_WRAP형CMA"),COUNTIF(예비비!$A$8:$A$12,INDEX(잔액!$C:$C,BA492))=1,COUNTIF(예비비!$A$8:$A$12,INDEX(잔액!$D:$D,BA492))=1),OR(AND(BB492&gt;=예비비!$B$3,BB492&lt;EDATE(예비비!$B$3,1)),AND(BB492&lt;EDATE(예비비!$B$3,1),COUNTIFS(예비비!$C$430:$C$729,BA492,예비비!$L$430:$L$729,예비비!$B$3,예비비!$N$430:$N$729,"OK")&gt;0))),MAX($BH$120:BH491)+1,0),0)</f>
        <v>0</v>
      </c>
    </row>
    <row r="493">
      <c r="BA493">
        <v>437</v>
      </c>
      <c r="BB493" t="str">
        <f>IFERROR(INDEX(잔액!$A:$A,BA493),0)</f>
        <v>00:00:00</v>
      </c>
      <c r="BH493">
        <f>IFERROR(IF(AND(BB493&gt;0,OR(COUNTIFS(예비비!$C$430:$C$729,BA493,예비비!$N$430:$N$729,"OK")&gt;0,AND(INDEX(잔액!$J:$J,BA493)="가족통장",INDEX(잔액!$K:$K,BA493)="미래에셋_WRAP형CMA"),COUNTIF(예비비!$A$8:$A$12,INDEX(잔액!$C:$C,BA493))=1,COUNTIF(예비비!$A$8:$A$12,INDEX(잔액!$D:$D,BA493))=1),OR(AND(BB493&gt;=예비비!$B$3,BB493&lt;EDATE(예비비!$B$3,1)),AND(BB493&lt;EDATE(예비비!$B$3,1),COUNTIFS(예비비!$C$430:$C$729,BA493,예비비!$L$430:$L$729,예비비!$B$3,예비비!$N$430:$N$729,"OK")&gt;0))),MAX($BH$120:BH492)+1,0),0)</f>
        <v>0</v>
      </c>
    </row>
    <row r="494">
      <c r="BA494">
        <v>438</v>
      </c>
      <c r="BB494" t="str">
        <f>IFERROR(INDEX(잔액!$A:$A,BA494),0)</f>
        <v>00:00:00</v>
      </c>
      <c r="BH494">
        <f>IFERROR(IF(AND(BB494&gt;0,OR(COUNTIFS(예비비!$C$430:$C$729,BA494,예비비!$N$430:$N$729,"OK")&gt;0,AND(INDEX(잔액!$J:$J,BA494)="가족통장",INDEX(잔액!$K:$K,BA494)="미래에셋_WRAP형CMA"),COUNTIF(예비비!$A$8:$A$12,INDEX(잔액!$C:$C,BA494))=1,COUNTIF(예비비!$A$8:$A$12,INDEX(잔액!$D:$D,BA494))=1),OR(AND(BB494&gt;=예비비!$B$3,BB494&lt;EDATE(예비비!$B$3,1)),AND(BB494&lt;EDATE(예비비!$B$3,1),COUNTIFS(예비비!$C$430:$C$729,BA494,예비비!$L$430:$L$729,예비비!$B$3,예비비!$N$430:$N$729,"OK")&gt;0))),MAX($BH$120:BH493)+1,0),0)</f>
        <v>0</v>
      </c>
    </row>
    <row r="495">
      <c r="BA495">
        <v>439</v>
      </c>
      <c r="BB495" t="str">
        <f>IFERROR(INDEX(잔액!$A:$A,BA495),0)</f>
        <v>00:00:00</v>
      </c>
      <c r="BH495">
        <f>IFERROR(IF(AND(BB495&gt;0,OR(COUNTIFS(예비비!$C$430:$C$729,BA495,예비비!$N$430:$N$729,"OK")&gt;0,AND(INDEX(잔액!$J:$J,BA495)="가족통장",INDEX(잔액!$K:$K,BA495)="미래에셋_WRAP형CMA"),COUNTIF(예비비!$A$8:$A$12,INDEX(잔액!$C:$C,BA495))=1,COUNTIF(예비비!$A$8:$A$12,INDEX(잔액!$D:$D,BA495))=1),OR(AND(BB495&gt;=예비비!$B$3,BB495&lt;EDATE(예비비!$B$3,1)),AND(BB495&lt;EDATE(예비비!$B$3,1),COUNTIFS(예비비!$C$430:$C$729,BA495,예비비!$L$430:$L$729,예비비!$B$3,예비비!$N$430:$N$729,"OK")&gt;0))),MAX($BH$120:BH494)+1,0),0)</f>
        <v>0</v>
      </c>
    </row>
    <row r="496">
      <c r="BA496">
        <v>440</v>
      </c>
      <c r="BB496" t="str">
        <f>IFERROR(INDEX(잔액!$A:$A,BA496),0)</f>
        <v>00:00:00</v>
      </c>
      <c r="BH496">
        <f>IFERROR(IF(AND(BB496&gt;0,OR(COUNTIFS(예비비!$C$430:$C$729,BA496,예비비!$N$430:$N$729,"OK")&gt;0,AND(INDEX(잔액!$J:$J,BA496)="가족통장",INDEX(잔액!$K:$K,BA496)="미래에셋_WRAP형CMA"),COUNTIF(예비비!$A$8:$A$12,INDEX(잔액!$C:$C,BA496))=1,COUNTIF(예비비!$A$8:$A$12,INDEX(잔액!$D:$D,BA496))=1),OR(AND(BB496&gt;=예비비!$B$3,BB496&lt;EDATE(예비비!$B$3,1)),AND(BB496&lt;EDATE(예비비!$B$3,1),COUNTIFS(예비비!$C$430:$C$729,BA496,예비비!$L$430:$L$729,예비비!$B$3,예비비!$N$430:$N$729,"OK")&gt;0))),MAX($BH$120:BH495)+1,0),0)</f>
        <v>0</v>
      </c>
    </row>
    <row r="497">
      <c r="BA497">
        <v>441</v>
      </c>
      <c r="BB497" t="str">
        <f>IFERROR(INDEX(잔액!$A:$A,BA497),0)</f>
        <v>00:00:00</v>
      </c>
      <c r="BH497">
        <f>IFERROR(IF(AND(BB497&gt;0,OR(COUNTIFS(예비비!$C$430:$C$729,BA497,예비비!$N$430:$N$729,"OK")&gt;0,AND(INDEX(잔액!$J:$J,BA497)="가족통장",INDEX(잔액!$K:$K,BA497)="미래에셋_WRAP형CMA"),COUNTIF(예비비!$A$8:$A$12,INDEX(잔액!$C:$C,BA497))=1,COUNTIF(예비비!$A$8:$A$12,INDEX(잔액!$D:$D,BA497))=1),OR(AND(BB497&gt;=예비비!$B$3,BB497&lt;EDATE(예비비!$B$3,1)),AND(BB497&lt;EDATE(예비비!$B$3,1),COUNTIFS(예비비!$C$430:$C$729,BA497,예비비!$L$430:$L$729,예비비!$B$3,예비비!$N$430:$N$729,"OK")&gt;0))),MAX($BH$120:BH496)+1,0),0)</f>
        <v>0</v>
      </c>
    </row>
    <row r="498">
      <c r="BA498">
        <v>442</v>
      </c>
      <c r="BB498" t="str">
        <f>IFERROR(INDEX(잔액!$A:$A,BA498),0)</f>
        <v>00:00:00</v>
      </c>
      <c r="BH498">
        <f>IFERROR(IF(AND(BB498&gt;0,OR(COUNTIFS(예비비!$C$430:$C$729,BA498,예비비!$N$430:$N$729,"OK")&gt;0,AND(INDEX(잔액!$J:$J,BA498)="가족통장",INDEX(잔액!$K:$K,BA498)="미래에셋_WRAP형CMA"),COUNTIF(예비비!$A$8:$A$12,INDEX(잔액!$C:$C,BA498))=1,COUNTIF(예비비!$A$8:$A$12,INDEX(잔액!$D:$D,BA498))=1),OR(AND(BB498&gt;=예비비!$B$3,BB498&lt;EDATE(예비비!$B$3,1)),AND(BB498&lt;EDATE(예비비!$B$3,1),COUNTIFS(예비비!$C$430:$C$729,BA498,예비비!$L$430:$L$729,예비비!$B$3,예비비!$N$430:$N$729,"OK")&gt;0))),MAX($BH$120:BH497)+1,0),0)</f>
        <v>0</v>
      </c>
    </row>
    <row r="499">
      <c r="BA499">
        <v>443</v>
      </c>
      <c r="BB499" t="str">
        <f>IFERROR(INDEX(잔액!$A:$A,BA499),0)</f>
        <v>00:00:00</v>
      </c>
      <c r="BH499">
        <f>IFERROR(IF(AND(BB499&gt;0,OR(COUNTIFS(예비비!$C$430:$C$729,BA499,예비비!$N$430:$N$729,"OK")&gt;0,AND(INDEX(잔액!$J:$J,BA499)="가족통장",INDEX(잔액!$K:$K,BA499)="미래에셋_WRAP형CMA"),COUNTIF(예비비!$A$8:$A$12,INDEX(잔액!$C:$C,BA499))=1,COUNTIF(예비비!$A$8:$A$12,INDEX(잔액!$D:$D,BA499))=1),OR(AND(BB499&gt;=예비비!$B$3,BB499&lt;EDATE(예비비!$B$3,1)),AND(BB499&lt;EDATE(예비비!$B$3,1),COUNTIFS(예비비!$C$430:$C$729,BA499,예비비!$L$430:$L$729,예비비!$B$3,예비비!$N$430:$N$729,"OK")&gt;0))),MAX($BH$120:BH498)+1,0),0)</f>
        <v>0</v>
      </c>
    </row>
    <row r="500">
      <c r="BA500">
        <v>444</v>
      </c>
      <c r="BB500" t="str">
        <f>IFERROR(INDEX(잔액!$A:$A,BA500),0)</f>
        <v>00:00:00</v>
      </c>
      <c r="BH500">
        <f>IFERROR(IF(AND(BB500&gt;0,OR(COUNTIFS(예비비!$C$430:$C$729,BA500,예비비!$N$430:$N$729,"OK")&gt;0,AND(INDEX(잔액!$J:$J,BA500)="가족통장",INDEX(잔액!$K:$K,BA500)="미래에셋_WRAP형CMA"),COUNTIF(예비비!$A$8:$A$12,INDEX(잔액!$C:$C,BA500))=1,COUNTIF(예비비!$A$8:$A$12,INDEX(잔액!$D:$D,BA500))=1),OR(AND(BB500&gt;=예비비!$B$3,BB500&lt;EDATE(예비비!$B$3,1)),AND(BB500&lt;EDATE(예비비!$B$3,1),COUNTIFS(예비비!$C$430:$C$729,BA500,예비비!$L$430:$L$729,예비비!$B$3,예비비!$N$430:$N$729,"OK")&gt;0))),MAX($BH$120:BH499)+1,0),0)</f>
        <v>0</v>
      </c>
    </row>
    <row r="501">
      <c r="BA501">
        <v>445</v>
      </c>
      <c r="BB501" t="str">
        <f>IFERROR(INDEX(잔액!$A:$A,BA501),0)</f>
        <v>00:00:00</v>
      </c>
      <c r="BH501">
        <f>IFERROR(IF(AND(BB501&gt;0,OR(COUNTIFS(예비비!$C$430:$C$729,BA501,예비비!$N$430:$N$729,"OK")&gt;0,AND(INDEX(잔액!$J:$J,BA501)="가족통장",INDEX(잔액!$K:$K,BA501)="미래에셋_WRAP형CMA"),COUNTIF(예비비!$A$8:$A$12,INDEX(잔액!$C:$C,BA501))=1,COUNTIF(예비비!$A$8:$A$12,INDEX(잔액!$D:$D,BA501))=1),OR(AND(BB501&gt;=예비비!$B$3,BB501&lt;EDATE(예비비!$B$3,1)),AND(BB501&lt;EDATE(예비비!$B$3,1),COUNTIFS(예비비!$C$430:$C$729,BA501,예비비!$L$430:$L$729,예비비!$B$3,예비비!$N$430:$N$729,"OK")&gt;0))),MAX($BH$120:BH500)+1,0),0)</f>
        <v>0</v>
      </c>
    </row>
    <row r="502">
      <c r="BA502">
        <v>446</v>
      </c>
      <c r="BB502" t="str">
        <f>IFERROR(INDEX(잔액!$A:$A,BA502),0)</f>
        <v>00:00:00</v>
      </c>
      <c r="BH502">
        <f>IFERROR(IF(AND(BB502&gt;0,OR(COUNTIFS(예비비!$C$430:$C$729,BA502,예비비!$N$430:$N$729,"OK")&gt;0,AND(INDEX(잔액!$J:$J,BA502)="가족통장",INDEX(잔액!$K:$K,BA502)="미래에셋_WRAP형CMA"),COUNTIF(예비비!$A$8:$A$12,INDEX(잔액!$C:$C,BA502))=1,COUNTIF(예비비!$A$8:$A$12,INDEX(잔액!$D:$D,BA502))=1),OR(AND(BB502&gt;=예비비!$B$3,BB502&lt;EDATE(예비비!$B$3,1)),AND(BB502&lt;EDATE(예비비!$B$3,1),COUNTIFS(예비비!$C$430:$C$729,BA502,예비비!$L$430:$L$729,예비비!$B$3,예비비!$N$430:$N$729,"OK")&gt;0))),MAX($BH$120:BH501)+1,0),0)</f>
        <v>0</v>
      </c>
    </row>
    <row r="503">
      <c r="BA503">
        <v>447</v>
      </c>
      <c r="BB503" t="str">
        <f>IFERROR(INDEX(잔액!$A:$A,BA503),0)</f>
        <v>00:00:00</v>
      </c>
      <c r="BH503">
        <f>IFERROR(IF(AND(BB503&gt;0,OR(COUNTIFS(예비비!$C$430:$C$729,BA503,예비비!$N$430:$N$729,"OK")&gt;0,AND(INDEX(잔액!$J:$J,BA503)="가족통장",INDEX(잔액!$K:$K,BA503)="미래에셋_WRAP형CMA"),COUNTIF(예비비!$A$8:$A$12,INDEX(잔액!$C:$C,BA503))=1,COUNTIF(예비비!$A$8:$A$12,INDEX(잔액!$D:$D,BA503))=1),OR(AND(BB503&gt;=예비비!$B$3,BB503&lt;EDATE(예비비!$B$3,1)),AND(BB503&lt;EDATE(예비비!$B$3,1),COUNTIFS(예비비!$C$430:$C$729,BA503,예비비!$L$430:$L$729,예비비!$B$3,예비비!$N$430:$N$729,"OK")&gt;0))),MAX($BH$120:BH502)+1,0),0)</f>
        <v>0</v>
      </c>
    </row>
    <row r="504">
      <c r="BA504">
        <v>448</v>
      </c>
      <c r="BB504" t="str">
        <f>IFERROR(INDEX(잔액!$A:$A,BA504),0)</f>
        <v>00:00:00</v>
      </c>
      <c r="BH504">
        <f>IFERROR(IF(AND(BB504&gt;0,OR(COUNTIFS(예비비!$C$430:$C$729,BA504,예비비!$N$430:$N$729,"OK")&gt;0,AND(INDEX(잔액!$J:$J,BA504)="가족통장",INDEX(잔액!$K:$K,BA504)="미래에셋_WRAP형CMA"),COUNTIF(예비비!$A$8:$A$12,INDEX(잔액!$C:$C,BA504))=1,COUNTIF(예비비!$A$8:$A$12,INDEX(잔액!$D:$D,BA504))=1),OR(AND(BB504&gt;=예비비!$B$3,BB504&lt;EDATE(예비비!$B$3,1)),AND(BB504&lt;EDATE(예비비!$B$3,1),COUNTIFS(예비비!$C$430:$C$729,BA504,예비비!$L$430:$L$729,예비비!$B$3,예비비!$N$430:$N$729,"OK")&gt;0))),MAX($BH$120:BH503)+1,0),0)</f>
        <v>0</v>
      </c>
    </row>
    <row r="505">
      <c r="BA505">
        <v>449</v>
      </c>
      <c r="BB505" t="str">
        <f>IFERROR(INDEX(잔액!$A:$A,BA505),0)</f>
        <v>00:00:00</v>
      </c>
      <c r="BH505">
        <f>IFERROR(IF(AND(BB505&gt;0,OR(COUNTIFS(예비비!$C$430:$C$729,BA505,예비비!$N$430:$N$729,"OK")&gt;0,AND(INDEX(잔액!$J:$J,BA505)="가족통장",INDEX(잔액!$K:$K,BA505)="미래에셋_WRAP형CMA"),COUNTIF(예비비!$A$8:$A$12,INDEX(잔액!$C:$C,BA505))=1,COUNTIF(예비비!$A$8:$A$12,INDEX(잔액!$D:$D,BA505))=1),OR(AND(BB505&gt;=예비비!$B$3,BB505&lt;EDATE(예비비!$B$3,1)),AND(BB505&lt;EDATE(예비비!$B$3,1),COUNTIFS(예비비!$C$430:$C$729,BA505,예비비!$L$430:$L$729,예비비!$B$3,예비비!$N$430:$N$729,"OK")&gt;0))),MAX($BH$120:BH504)+1,0),0)</f>
        <v>0</v>
      </c>
    </row>
    <row r="506">
      <c r="BA506">
        <v>450</v>
      </c>
      <c r="BB506" t="str">
        <f>IFERROR(INDEX(잔액!$A:$A,BA506),0)</f>
        <v>00:00:00</v>
      </c>
      <c r="BH506">
        <f>IFERROR(IF(AND(BB506&gt;0,OR(COUNTIFS(예비비!$C$430:$C$729,BA506,예비비!$N$430:$N$729,"OK")&gt;0,AND(INDEX(잔액!$J:$J,BA506)="가족통장",INDEX(잔액!$K:$K,BA506)="미래에셋_WRAP형CMA"),COUNTIF(예비비!$A$8:$A$12,INDEX(잔액!$C:$C,BA506))=1,COUNTIF(예비비!$A$8:$A$12,INDEX(잔액!$D:$D,BA506))=1),OR(AND(BB506&gt;=예비비!$B$3,BB506&lt;EDATE(예비비!$B$3,1)),AND(BB506&lt;EDATE(예비비!$B$3,1),COUNTIFS(예비비!$C$430:$C$729,BA506,예비비!$L$430:$L$729,예비비!$B$3,예비비!$N$430:$N$729,"OK")&gt;0))),MAX($BH$120:BH505)+1,0),0)</f>
        <v>0</v>
      </c>
    </row>
    <row r="507">
      <c r="BA507">
        <v>451</v>
      </c>
      <c r="BB507" t="str">
        <f>IFERROR(INDEX(잔액!$A:$A,BA507),0)</f>
        <v>00:00:00</v>
      </c>
      <c r="BH507">
        <f>IFERROR(IF(AND(BB507&gt;0,OR(COUNTIFS(예비비!$C$430:$C$729,BA507,예비비!$N$430:$N$729,"OK")&gt;0,AND(INDEX(잔액!$J:$J,BA507)="가족통장",INDEX(잔액!$K:$K,BA507)="미래에셋_WRAP형CMA"),COUNTIF(예비비!$A$8:$A$12,INDEX(잔액!$C:$C,BA507))=1,COUNTIF(예비비!$A$8:$A$12,INDEX(잔액!$D:$D,BA507))=1),OR(AND(BB507&gt;=예비비!$B$3,BB507&lt;EDATE(예비비!$B$3,1)),AND(BB507&lt;EDATE(예비비!$B$3,1),COUNTIFS(예비비!$C$430:$C$729,BA507,예비비!$L$430:$L$729,예비비!$B$3,예비비!$N$430:$N$729,"OK")&gt;0))),MAX($BH$120:BH506)+1,0),0)</f>
        <v>0</v>
      </c>
    </row>
    <row r="508">
      <c r="BA508">
        <v>452</v>
      </c>
      <c r="BB508" t="str">
        <f>IFERROR(INDEX(잔액!$A:$A,BA508),0)</f>
        <v>00:00:00</v>
      </c>
      <c r="BH508">
        <f>IFERROR(IF(AND(BB508&gt;0,OR(COUNTIFS(예비비!$C$430:$C$729,BA508,예비비!$N$430:$N$729,"OK")&gt;0,AND(INDEX(잔액!$J:$J,BA508)="가족통장",INDEX(잔액!$K:$K,BA508)="미래에셋_WRAP형CMA"),COUNTIF(예비비!$A$8:$A$12,INDEX(잔액!$C:$C,BA508))=1,COUNTIF(예비비!$A$8:$A$12,INDEX(잔액!$D:$D,BA508))=1),OR(AND(BB508&gt;=예비비!$B$3,BB508&lt;EDATE(예비비!$B$3,1)),AND(BB508&lt;EDATE(예비비!$B$3,1),COUNTIFS(예비비!$C$430:$C$729,BA508,예비비!$L$430:$L$729,예비비!$B$3,예비비!$N$430:$N$729,"OK")&gt;0))),MAX($BH$120:BH507)+1,0),0)</f>
        <v>0</v>
      </c>
    </row>
    <row r="509">
      <c r="BA509">
        <v>453</v>
      </c>
      <c r="BB509" t="str">
        <f>IFERROR(INDEX(잔액!$A:$A,BA509),0)</f>
        <v>00:00:00</v>
      </c>
      <c r="BH509">
        <f>IFERROR(IF(AND(BB509&gt;0,OR(COUNTIFS(예비비!$C$430:$C$729,BA509,예비비!$N$430:$N$729,"OK")&gt;0,AND(INDEX(잔액!$J:$J,BA509)="가족통장",INDEX(잔액!$K:$K,BA509)="미래에셋_WRAP형CMA"),COUNTIF(예비비!$A$8:$A$12,INDEX(잔액!$C:$C,BA509))=1,COUNTIF(예비비!$A$8:$A$12,INDEX(잔액!$D:$D,BA509))=1),OR(AND(BB509&gt;=예비비!$B$3,BB509&lt;EDATE(예비비!$B$3,1)),AND(BB509&lt;EDATE(예비비!$B$3,1),COUNTIFS(예비비!$C$430:$C$729,BA509,예비비!$L$430:$L$729,예비비!$B$3,예비비!$N$430:$N$729,"OK")&gt;0))),MAX($BH$120:BH508)+1,0),0)</f>
        <v>0</v>
      </c>
    </row>
    <row r="510">
      <c r="BA510">
        <v>454</v>
      </c>
      <c r="BB510" t="str">
        <f>IFERROR(INDEX(잔액!$A:$A,BA510),0)</f>
        <v>00:00:00</v>
      </c>
      <c r="BH510">
        <f>IFERROR(IF(AND(BB510&gt;0,OR(COUNTIFS(예비비!$C$430:$C$729,BA510,예비비!$N$430:$N$729,"OK")&gt;0,AND(INDEX(잔액!$J:$J,BA510)="가족통장",INDEX(잔액!$K:$K,BA510)="미래에셋_WRAP형CMA"),COUNTIF(예비비!$A$8:$A$12,INDEX(잔액!$C:$C,BA510))=1,COUNTIF(예비비!$A$8:$A$12,INDEX(잔액!$D:$D,BA510))=1),OR(AND(BB510&gt;=예비비!$B$3,BB510&lt;EDATE(예비비!$B$3,1)),AND(BB510&lt;EDATE(예비비!$B$3,1),COUNTIFS(예비비!$C$430:$C$729,BA510,예비비!$L$430:$L$729,예비비!$B$3,예비비!$N$430:$N$729,"OK")&gt;0))),MAX($BH$120:BH509)+1,0),0)</f>
        <v>0</v>
      </c>
    </row>
    <row r="511">
      <c r="BA511">
        <v>455</v>
      </c>
      <c r="BB511" t="str">
        <f>IFERROR(INDEX(잔액!$A:$A,BA511),0)</f>
        <v>00:00:00</v>
      </c>
      <c r="BH511">
        <f>IFERROR(IF(AND(BB511&gt;0,OR(COUNTIFS(예비비!$C$430:$C$729,BA511,예비비!$N$430:$N$729,"OK")&gt;0,AND(INDEX(잔액!$J:$J,BA511)="가족통장",INDEX(잔액!$K:$K,BA511)="미래에셋_WRAP형CMA"),COUNTIF(예비비!$A$8:$A$12,INDEX(잔액!$C:$C,BA511))=1,COUNTIF(예비비!$A$8:$A$12,INDEX(잔액!$D:$D,BA511))=1),OR(AND(BB511&gt;=예비비!$B$3,BB511&lt;EDATE(예비비!$B$3,1)),AND(BB511&lt;EDATE(예비비!$B$3,1),COUNTIFS(예비비!$C$430:$C$729,BA511,예비비!$L$430:$L$729,예비비!$B$3,예비비!$N$430:$N$729,"OK")&gt;0))),MAX($BH$120:BH510)+1,0),0)</f>
        <v>0</v>
      </c>
    </row>
    <row r="512">
      <c r="BA512">
        <v>456</v>
      </c>
      <c r="BB512" t="str">
        <f>IFERROR(INDEX(잔액!$A:$A,BA512),0)</f>
        <v>00:00:00</v>
      </c>
      <c r="BH512">
        <f>IFERROR(IF(AND(BB512&gt;0,OR(COUNTIFS(예비비!$C$430:$C$729,BA512,예비비!$N$430:$N$729,"OK")&gt;0,AND(INDEX(잔액!$J:$J,BA512)="가족통장",INDEX(잔액!$K:$K,BA512)="미래에셋_WRAP형CMA"),COUNTIF(예비비!$A$8:$A$12,INDEX(잔액!$C:$C,BA512))=1,COUNTIF(예비비!$A$8:$A$12,INDEX(잔액!$D:$D,BA512))=1),OR(AND(BB512&gt;=예비비!$B$3,BB512&lt;EDATE(예비비!$B$3,1)),AND(BB512&lt;EDATE(예비비!$B$3,1),COUNTIFS(예비비!$C$430:$C$729,BA512,예비비!$L$430:$L$729,예비비!$B$3,예비비!$N$430:$N$729,"OK")&gt;0))),MAX($BH$120:BH511)+1,0),0)</f>
        <v>0</v>
      </c>
    </row>
    <row r="513">
      <c r="BA513">
        <v>457</v>
      </c>
      <c r="BB513" t="str">
        <f>IFERROR(INDEX(잔액!$A:$A,BA513),0)</f>
        <v>00:00:00</v>
      </c>
      <c r="BH513">
        <f>IFERROR(IF(AND(BB513&gt;0,OR(COUNTIFS(예비비!$C$430:$C$729,BA513,예비비!$N$430:$N$729,"OK")&gt;0,AND(INDEX(잔액!$J:$J,BA513)="가족통장",INDEX(잔액!$K:$K,BA513)="미래에셋_WRAP형CMA"),COUNTIF(예비비!$A$8:$A$12,INDEX(잔액!$C:$C,BA513))=1,COUNTIF(예비비!$A$8:$A$12,INDEX(잔액!$D:$D,BA513))=1),OR(AND(BB513&gt;=예비비!$B$3,BB513&lt;EDATE(예비비!$B$3,1)),AND(BB513&lt;EDATE(예비비!$B$3,1),COUNTIFS(예비비!$C$430:$C$729,BA513,예비비!$L$430:$L$729,예비비!$B$3,예비비!$N$430:$N$729,"OK")&gt;0))),MAX($BH$120:BH512)+1,0),0)</f>
        <v>0</v>
      </c>
    </row>
    <row r="514">
      <c r="BA514">
        <v>458</v>
      </c>
      <c r="BB514" t="str">
        <f>IFERROR(INDEX(잔액!$A:$A,BA514),0)</f>
        <v>00:00:00</v>
      </c>
      <c r="BH514">
        <f>IFERROR(IF(AND(BB514&gt;0,OR(COUNTIFS(예비비!$C$430:$C$729,BA514,예비비!$N$430:$N$729,"OK")&gt;0,AND(INDEX(잔액!$J:$J,BA514)="가족통장",INDEX(잔액!$K:$K,BA514)="미래에셋_WRAP형CMA"),COUNTIF(예비비!$A$8:$A$12,INDEX(잔액!$C:$C,BA514))=1,COUNTIF(예비비!$A$8:$A$12,INDEX(잔액!$D:$D,BA514))=1),OR(AND(BB514&gt;=예비비!$B$3,BB514&lt;EDATE(예비비!$B$3,1)),AND(BB514&lt;EDATE(예비비!$B$3,1),COUNTIFS(예비비!$C$430:$C$729,BA514,예비비!$L$430:$L$729,예비비!$B$3,예비비!$N$430:$N$729,"OK")&gt;0))),MAX($BH$120:BH513)+1,0),0)</f>
        <v>0</v>
      </c>
    </row>
    <row r="515">
      <c r="BA515">
        <v>459</v>
      </c>
      <c r="BB515" t="str">
        <f>IFERROR(INDEX(잔액!$A:$A,BA515),0)</f>
        <v>00:00:00</v>
      </c>
      <c r="BH515">
        <f>IFERROR(IF(AND(BB515&gt;0,OR(COUNTIFS(예비비!$C$430:$C$729,BA515,예비비!$N$430:$N$729,"OK")&gt;0,AND(INDEX(잔액!$J:$J,BA515)="가족통장",INDEX(잔액!$K:$K,BA515)="미래에셋_WRAP형CMA"),COUNTIF(예비비!$A$8:$A$12,INDEX(잔액!$C:$C,BA515))=1,COUNTIF(예비비!$A$8:$A$12,INDEX(잔액!$D:$D,BA515))=1),OR(AND(BB515&gt;=예비비!$B$3,BB515&lt;EDATE(예비비!$B$3,1)),AND(BB515&lt;EDATE(예비비!$B$3,1),COUNTIFS(예비비!$C$430:$C$729,BA515,예비비!$L$430:$L$729,예비비!$B$3,예비비!$N$430:$N$729,"OK")&gt;0))),MAX($BH$120:BH514)+1,0),0)</f>
        <v>0</v>
      </c>
    </row>
    <row r="516">
      <c r="BA516">
        <v>460</v>
      </c>
      <c r="BB516" t="str">
        <f>IFERROR(INDEX(잔액!$A:$A,BA516),0)</f>
        <v>00:00:00</v>
      </c>
      <c r="BH516">
        <f>IFERROR(IF(AND(BB516&gt;0,OR(COUNTIFS(예비비!$C$430:$C$729,BA516,예비비!$N$430:$N$729,"OK")&gt;0,AND(INDEX(잔액!$J:$J,BA516)="가족통장",INDEX(잔액!$K:$K,BA516)="미래에셋_WRAP형CMA"),COUNTIF(예비비!$A$8:$A$12,INDEX(잔액!$C:$C,BA516))=1,COUNTIF(예비비!$A$8:$A$12,INDEX(잔액!$D:$D,BA516))=1),OR(AND(BB516&gt;=예비비!$B$3,BB516&lt;EDATE(예비비!$B$3,1)),AND(BB516&lt;EDATE(예비비!$B$3,1),COUNTIFS(예비비!$C$430:$C$729,BA516,예비비!$L$430:$L$729,예비비!$B$3,예비비!$N$430:$N$729,"OK")&gt;0))),MAX($BH$120:BH515)+1,0),0)</f>
        <v>0</v>
      </c>
    </row>
    <row r="517">
      <c r="BA517">
        <v>461</v>
      </c>
      <c r="BB517" t="str">
        <f>IFERROR(INDEX(잔액!$A:$A,BA517),0)</f>
        <v>00:00:00</v>
      </c>
      <c r="BH517">
        <f>IFERROR(IF(AND(BB517&gt;0,OR(COUNTIFS(예비비!$C$430:$C$729,BA517,예비비!$N$430:$N$729,"OK")&gt;0,AND(INDEX(잔액!$J:$J,BA517)="가족통장",INDEX(잔액!$K:$K,BA517)="미래에셋_WRAP형CMA"),COUNTIF(예비비!$A$8:$A$12,INDEX(잔액!$C:$C,BA517))=1,COUNTIF(예비비!$A$8:$A$12,INDEX(잔액!$D:$D,BA517))=1),OR(AND(BB517&gt;=예비비!$B$3,BB517&lt;EDATE(예비비!$B$3,1)),AND(BB517&lt;EDATE(예비비!$B$3,1),COUNTIFS(예비비!$C$430:$C$729,BA517,예비비!$L$430:$L$729,예비비!$B$3,예비비!$N$430:$N$729,"OK")&gt;0))),MAX($BH$120:BH516)+1,0),0)</f>
        <v>0</v>
      </c>
    </row>
    <row r="518">
      <c r="BA518">
        <v>462</v>
      </c>
      <c r="BB518" t="str">
        <f>IFERROR(INDEX(잔액!$A:$A,BA518),0)</f>
        <v>00:00:00</v>
      </c>
      <c r="BH518">
        <f>IFERROR(IF(AND(BB518&gt;0,OR(COUNTIFS(예비비!$C$430:$C$729,BA518,예비비!$N$430:$N$729,"OK")&gt;0,AND(INDEX(잔액!$J:$J,BA518)="가족통장",INDEX(잔액!$K:$K,BA518)="미래에셋_WRAP형CMA"),COUNTIF(예비비!$A$8:$A$12,INDEX(잔액!$C:$C,BA518))=1,COUNTIF(예비비!$A$8:$A$12,INDEX(잔액!$D:$D,BA518))=1),OR(AND(BB518&gt;=예비비!$B$3,BB518&lt;EDATE(예비비!$B$3,1)),AND(BB518&lt;EDATE(예비비!$B$3,1),COUNTIFS(예비비!$C$430:$C$729,BA518,예비비!$L$430:$L$729,예비비!$B$3,예비비!$N$430:$N$729,"OK")&gt;0))),MAX($BH$120:BH517)+1,0),0)</f>
        <v>0</v>
      </c>
    </row>
    <row r="519">
      <c r="BA519">
        <v>463</v>
      </c>
      <c r="BB519" t="str">
        <f>IFERROR(INDEX(잔액!$A:$A,BA519),0)</f>
        <v>00:00:00</v>
      </c>
      <c r="BH519">
        <f>IFERROR(IF(AND(BB519&gt;0,OR(COUNTIFS(예비비!$C$430:$C$729,BA519,예비비!$N$430:$N$729,"OK")&gt;0,AND(INDEX(잔액!$J:$J,BA519)="가족통장",INDEX(잔액!$K:$K,BA519)="미래에셋_WRAP형CMA"),COUNTIF(예비비!$A$8:$A$12,INDEX(잔액!$C:$C,BA519))=1,COUNTIF(예비비!$A$8:$A$12,INDEX(잔액!$D:$D,BA519))=1),OR(AND(BB519&gt;=예비비!$B$3,BB519&lt;EDATE(예비비!$B$3,1)),AND(BB519&lt;EDATE(예비비!$B$3,1),COUNTIFS(예비비!$C$430:$C$729,BA519,예비비!$L$430:$L$729,예비비!$B$3,예비비!$N$430:$N$729,"OK")&gt;0))),MAX($BH$120:BH518)+1,0),0)</f>
        <v>0</v>
      </c>
    </row>
    <row r="520">
      <c r="BA520">
        <v>464</v>
      </c>
      <c r="BB520" t="str">
        <f>IFERROR(INDEX(잔액!$A:$A,BA520),0)</f>
        <v>00:00:00</v>
      </c>
      <c r="BH520">
        <f>IFERROR(IF(AND(BB520&gt;0,OR(COUNTIFS(예비비!$C$430:$C$729,BA520,예비비!$N$430:$N$729,"OK")&gt;0,AND(INDEX(잔액!$J:$J,BA520)="가족통장",INDEX(잔액!$K:$K,BA520)="미래에셋_WRAP형CMA"),COUNTIF(예비비!$A$8:$A$12,INDEX(잔액!$C:$C,BA520))=1,COUNTIF(예비비!$A$8:$A$12,INDEX(잔액!$D:$D,BA520))=1),OR(AND(BB520&gt;=예비비!$B$3,BB520&lt;EDATE(예비비!$B$3,1)),AND(BB520&lt;EDATE(예비비!$B$3,1),COUNTIFS(예비비!$C$430:$C$729,BA520,예비비!$L$430:$L$729,예비비!$B$3,예비비!$N$430:$N$729,"OK")&gt;0))),MAX($BH$120:BH519)+1,0),0)</f>
        <v>0</v>
      </c>
    </row>
    <row r="521">
      <c r="BA521">
        <v>465</v>
      </c>
      <c r="BB521" t="str">
        <f>IFERROR(INDEX(잔액!$A:$A,BA521),0)</f>
        <v>00:00:00</v>
      </c>
      <c r="BH521">
        <f>IFERROR(IF(AND(BB521&gt;0,OR(COUNTIFS(예비비!$C$430:$C$729,BA521,예비비!$N$430:$N$729,"OK")&gt;0,AND(INDEX(잔액!$J:$J,BA521)="가족통장",INDEX(잔액!$K:$K,BA521)="미래에셋_WRAP형CMA"),COUNTIF(예비비!$A$8:$A$12,INDEX(잔액!$C:$C,BA521))=1,COUNTIF(예비비!$A$8:$A$12,INDEX(잔액!$D:$D,BA521))=1),OR(AND(BB521&gt;=예비비!$B$3,BB521&lt;EDATE(예비비!$B$3,1)),AND(BB521&lt;EDATE(예비비!$B$3,1),COUNTIFS(예비비!$C$430:$C$729,BA521,예비비!$L$430:$L$729,예비비!$B$3,예비비!$N$430:$N$729,"OK")&gt;0))),MAX($BH$120:BH520)+1,0),0)</f>
        <v>0</v>
      </c>
    </row>
    <row r="522">
      <c r="BA522">
        <v>466</v>
      </c>
      <c r="BB522" t="str">
        <f>IFERROR(INDEX(잔액!$A:$A,BA522),0)</f>
        <v>00:00:00</v>
      </c>
      <c r="BH522">
        <f>IFERROR(IF(AND(BB522&gt;0,OR(COUNTIFS(예비비!$C$430:$C$729,BA522,예비비!$N$430:$N$729,"OK")&gt;0,AND(INDEX(잔액!$J:$J,BA522)="가족통장",INDEX(잔액!$K:$K,BA522)="미래에셋_WRAP형CMA"),COUNTIF(예비비!$A$8:$A$12,INDEX(잔액!$C:$C,BA522))=1,COUNTIF(예비비!$A$8:$A$12,INDEX(잔액!$D:$D,BA522))=1),OR(AND(BB522&gt;=예비비!$B$3,BB522&lt;EDATE(예비비!$B$3,1)),AND(BB522&lt;EDATE(예비비!$B$3,1),COUNTIFS(예비비!$C$430:$C$729,BA522,예비비!$L$430:$L$729,예비비!$B$3,예비비!$N$430:$N$729,"OK")&gt;0))),MAX($BH$120:BH521)+1,0),0)</f>
        <v>0</v>
      </c>
    </row>
    <row r="523">
      <c r="BA523">
        <v>467</v>
      </c>
      <c r="BB523" t="str">
        <f>IFERROR(INDEX(잔액!$A:$A,BA523),0)</f>
        <v>00:00:00</v>
      </c>
      <c r="BH523">
        <f>IFERROR(IF(AND(BB523&gt;0,OR(COUNTIFS(예비비!$C$430:$C$729,BA523,예비비!$N$430:$N$729,"OK")&gt;0,AND(INDEX(잔액!$J:$J,BA523)="가족통장",INDEX(잔액!$K:$K,BA523)="미래에셋_WRAP형CMA"),COUNTIF(예비비!$A$8:$A$12,INDEX(잔액!$C:$C,BA523))=1,COUNTIF(예비비!$A$8:$A$12,INDEX(잔액!$D:$D,BA523))=1),OR(AND(BB523&gt;=예비비!$B$3,BB523&lt;EDATE(예비비!$B$3,1)),AND(BB523&lt;EDATE(예비비!$B$3,1),COUNTIFS(예비비!$C$430:$C$729,BA523,예비비!$L$430:$L$729,예비비!$B$3,예비비!$N$430:$N$729,"OK")&gt;0))),MAX($BH$120:BH522)+1,0),0)</f>
        <v>0</v>
      </c>
    </row>
    <row r="524">
      <c r="BA524">
        <v>468</v>
      </c>
      <c r="BB524" t="str">
        <f>IFERROR(INDEX(잔액!$A:$A,BA524),0)</f>
        <v>00:00:00</v>
      </c>
      <c r="BH524">
        <f>IFERROR(IF(AND(BB524&gt;0,OR(COUNTIFS(예비비!$C$430:$C$729,BA524,예비비!$N$430:$N$729,"OK")&gt;0,AND(INDEX(잔액!$J:$J,BA524)="가족통장",INDEX(잔액!$K:$K,BA524)="미래에셋_WRAP형CMA"),COUNTIF(예비비!$A$8:$A$12,INDEX(잔액!$C:$C,BA524))=1,COUNTIF(예비비!$A$8:$A$12,INDEX(잔액!$D:$D,BA524))=1),OR(AND(BB524&gt;=예비비!$B$3,BB524&lt;EDATE(예비비!$B$3,1)),AND(BB524&lt;EDATE(예비비!$B$3,1),COUNTIFS(예비비!$C$430:$C$729,BA524,예비비!$L$430:$L$729,예비비!$B$3,예비비!$N$430:$N$729,"OK")&gt;0))),MAX($BH$120:BH523)+1,0),0)</f>
        <v>0</v>
      </c>
    </row>
    <row r="525">
      <c r="BA525">
        <v>469</v>
      </c>
      <c r="BB525" t="str">
        <f>IFERROR(INDEX(잔액!$A:$A,BA525),0)</f>
        <v>00:00:00</v>
      </c>
      <c r="BH525">
        <f>IFERROR(IF(AND(BB525&gt;0,OR(COUNTIFS(예비비!$C$430:$C$729,BA525,예비비!$N$430:$N$729,"OK")&gt;0,AND(INDEX(잔액!$J:$J,BA525)="가족통장",INDEX(잔액!$K:$K,BA525)="미래에셋_WRAP형CMA"),COUNTIF(예비비!$A$8:$A$12,INDEX(잔액!$C:$C,BA525))=1,COUNTIF(예비비!$A$8:$A$12,INDEX(잔액!$D:$D,BA525))=1),OR(AND(BB525&gt;=예비비!$B$3,BB525&lt;EDATE(예비비!$B$3,1)),AND(BB525&lt;EDATE(예비비!$B$3,1),COUNTIFS(예비비!$C$430:$C$729,BA525,예비비!$L$430:$L$729,예비비!$B$3,예비비!$N$430:$N$729,"OK")&gt;0))),MAX($BH$120:BH524)+1,0),0)</f>
        <v>0</v>
      </c>
    </row>
    <row r="526">
      <c r="BA526">
        <v>470</v>
      </c>
      <c r="BB526" t="str">
        <f>IFERROR(INDEX(잔액!$A:$A,BA526),0)</f>
        <v>00:00:00</v>
      </c>
      <c r="BH526">
        <f>IFERROR(IF(AND(BB526&gt;0,OR(COUNTIFS(예비비!$C$430:$C$729,BA526,예비비!$N$430:$N$729,"OK")&gt;0,AND(INDEX(잔액!$J:$J,BA526)="가족통장",INDEX(잔액!$K:$K,BA526)="미래에셋_WRAP형CMA"),COUNTIF(예비비!$A$8:$A$12,INDEX(잔액!$C:$C,BA526))=1,COUNTIF(예비비!$A$8:$A$12,INDEX(잔액!$D:$D,BA526))=1),OR(AND(BB526&gt;=예비비!$B$3,BB526&lt;EDATE(예비비!$B$3,1)),AND(BB526&lt;EDATE(예비비!$B$3,1),COUNTIFS(예비비!$C$430:$C$729,BA526,예비비!$L$430:$L$729,예비비!$B$3,예비비!$N$430:$N$729,"OK")&gt;0))),MAX($BH$120:BH525)+1,0),0)</f>
        <v>0</v>
      </c>
    </row>
    <row r="527">
      <c r="BA527">
        <v>471</v>
      </c>
      <c r="BB527" t="str">
        <f>IFERROR(INDEX(잔액!$A:$A,BA527),0)</f>
        <v>00:00:00</v>
      </c>
      <c r="BH527">
        <f>IFERROR(IF(AND(BB527&gt;0,OR(COUNTIFS(예비비!$C$430:$C$729,BA527,예비비!$N$430:$N$729,"OK")&gt;0,AND(INDEX(잔액!$J:$J,BA527)="가족통장",INDEX(잔액!$K:$K,BA527)="미래에셋_WRAP형CMA"),COUNTIF(예비비!$A$8:$A$12,INDEX(잔액!$C:$C,BA527))=1,COUNTIF(예비비!$A$8:$A$12,INDEX(잔액!$D:$D,BA527))=1),OR(AND(BB527&gt;=예비비!$B$3,BB527&lt;EDATE(예비비!$B$3,1)),AND(BB527&lt;EDATE(예비비!$B$3,1),COUNTIFS(예비비!$C$430:$C$729,BA527,예비비!$L$430:$L$729,예비비!$B$3,예비비!$N$430:$N$729,"OK")&gt;0))),MAX($BH$120:BH526)+1,0),0)</f>
        <v>0</v>
      </c>
    </row>
    <row r="528">
      <c r="BA528">
        <v>472</v>
      </c>
      <c r="BB528" t="str">
        <f>IFERROR(INDEX(잔액!$A:$A,BA528),0)</f>
        <v>00:00:00</v>
      </c>
      <c r="BH528">
        <f>IFERROR(IF(AND(BB528&gt;0,OR(COUNTIFS(예비비!$C$430:$C$729,BA528,예비비!$N$430:$N$729,"OK")&gt;0,AND(INDEX(잔액!$J:$J,BA528)="가족통장",INDEX(잔액!$K:$K,BA528)="미래에셋_WRAP형CMA"),COUNTIF(예비비!$A$8:$A$12,INDEX(잔액!$C:$C,BA528))=1,COUNTIF(예비비!$A$8:$A$12,INDEX(잔액!$D:$D,BA528))=1),OR(AND(BB528&gt;=예비비!$B$3,BB528&lt;EDATE(예비비!$B$3,1)),AND(BB528&lt;EDATE(예비비!$B$3,1),COUNTIFS(예비비!$C$430:$C$729,BA528,예비비!$L$430:$L$729,예비비!$B$3,예비비!$N$430:$N$729,"OK")&gt;0))),MAX($BH$120:BH527)+1,0),0)</f>
        <v>0</v>
      </c>
    </row>
    <row r="529">
      <c r="BA529">
        <v>473</v>
      </c>
      <c r="BB529" t="str">
        <f>IFERROR(INDEX(잔액!$A:$A,BA529),0)</f>
        <v>00:00:00</v>
      </c>
      <c r="BH529">
        <f>IFERROR(IF(AND(BB529&gt;0,OR(COUNTIFS(예비비!$C$430:$C$729,BA529,예비비!$N$430:$N$729,"OK")&gt;0,AND(INDEX(잔액!$J:$J,BA529)="가족통장",INDEX(잔액!$K:$K,BA529)="미래에셋_WRAP형CMA"),COUNTIF(예비비!$A$8:$A$12,INDEX(잔액!$C:$C,BA529))=1,COUNTIF(예비비!$A$8:$A$12,INDEX(잔액!$D:$D,BA529))=1),OR(AND(BB529&gt;=예비비!$B$3,BB529&lt;EDATE(예비비!$B$3,1)),AND(BB529&lt;EDATE(예비비!$B$3,1),COUNTIFS(예비비!$C$430:$C$729,BA529,예비비!$L$430:$L$729,예비비!$B$3,예비비!$N$430:$N$729,"OK")&gt;0))),MAX($BH$120:BH528)+1,0),0)</f>
        <v>0</v>
      </c>
    </row>
    <row r="530">
      <c r="BA530">
        <v>474</v>
      </c>
      <c r="BB530" t="str">
        <f>IFERROR(INDEX(잔액!$A:$A,BA530),0)</f>
        <v>00:00:00</v>
      </c>
      <c r="BH530">
        <f>IFERROR(IF(AND(BB530&gt;0,OR(COUNTIFS(예비비!$C$430:$C$729,BA530,예비비!$N$430:$N$729,"OK")&gt;0,AND(INDEX(잔액!$J:$J,BA530)="가족통장",INDEX(잔액!$K:$K,BA530)="미래에셋_WRAP형CMA"),COUNTIF(예비비!$A$8:$A$12,INDEX(잔액!$C:$C,BA530))=1,COUNTIF(예비비!$A$8:$A$12,INDEX(잔액!$D:$D,BA530))=1),OR(AND(BB530&gt;=예비비!$B$3,BB530&lt;EDATE(예비비!$B$3,1)),AND(BB530&lt;EDATE(예비비!$B$3,1),COUNTIFS(예비비!$C$430:$C$729,BA530,예비비!$L$430:$L$729,예비비!$B$3,예비비!$N$430:$N$729,"OK")&gt;0))),MAX($BH$120:BH529)+1,0),0)</f>
        <v>0</v>
      </c>
    </row>
    <row r="531">
      <c r="BA531">
        <v>475</v>
      </c>
      <c r="BB531" t="str">
        <f>IFERROR(INDEX(잔액!$A:$A,BA531),0)</f>
        <v>00:00:00</v>
      </c>
      <c r="BH531">
        <f>IFERROR(IF(AND(BB531&gt;0,OR(COUNTIFS(예비비!$C$430:$C$729,BA531,예비비!$N$430:$N$729,"OK")&gt;0,AND(INDEX(잔액!$J:$J,BA531)="가족통장",INDEX(잔액!$K:$K,BA531)="미래에셋_WRAP형CMA"),COUNTIF(예비비!$A$8:$A$12,INDEX(잔액!$C:$C,BA531))=1,COUNTIF(예비비!$A$8:$A$12,INDEX(잔액!$D:$D,BA531))=1),OR(AND(BB531&gt;=예비비!$B$3,BB531&lt;EDATE(예비비!$B$3,1)),AND(BB531&lt;EDATE(예비비!$B$3,1),COUNTIFS(예비비!$C$430:$C$729,BA531,예비비!$L$430:$L$729,예비비!$B$3,예비비!$N$430:$N$729,"OK")&gt;0))),MAX($BH$120:BH530)+1,0),0)</f>
        <v>0</v>
      </c>
    </row>
    <row r="532">
      <c r="BA532">
        <v>476</v>
      </c>
      <c r="BB532" t="str">
        <f>IFERROR(INDEX(잔액!$A:$A,BA532),0)</f>
        <v>00:00:00</v>
      </c>
      <c r="BH532">
        <f>IFERROR(IF(AND(BB532&gt;0,OR(COUNTIFS(예비비!$C$430:$C$729,BA532,예비비!$N$430:$N$729,"OK")&gt;0,AND(INDEX(잔액!$J:$J,BA532)="가족통장",INDEX(잔액!$K:$K,BA532)="미래에셋_WRAP형CMA"),COUNTIF(예비비!$A$8:$A$12,INDEX(잔액!$C:$C,BA532))=1,COUNTIF(예비비!$A$8:$A$12,INDEX(잔액!$D:$D,BA532))=1),OR(AND(BB532&gt;=예비비!$B$3,BB532&lt;EDATE(예비비!$B$3,1)),AND(BB532&lt;EDATE(예비비!$B$3,1),COUNTIFS(예비비!$C$430:$C$729,BA532,예비비!$L$430:$L$729,예비비!$B$3,예비비!$N$430:$N$729,"OK")&gt;0))),MAX($BH$120:BH531)+1,0),0)</f>
        <v>0</v>
      </c>
    </row>
    <row r="533">
      <c r="BA533">
        <v>477</v>
      </c>
      <c r="BB533" t="str">
        <f>IFERROR(INDEX(잔액!$A:$A,BA533),0)</f>
        <v>00:00:00</v>
      </c>
      <c r="BH533">
        <f>IFERROR(IF(AND(BB533&gt;0,OR(COUNTIFS(예비비!$C$430:$C$729,BA533,예비비!$N$430:$N$729,"OK")&gt;0,AND(INDEX(잔액!$J:$J,BA533)="가족통장",INDEX(잔액!$K:$K,BA533)="미래에셋_WRAP형CMA"),COUNTIF(예비비!$A$8:$A$12,INDEX(잔액!$C:$C,BA533))=1,COUNTIF(예비비!$A$8:$A$12,INDEX(잔액!$D:$D,BA533))=1),OR(AND(BB533&gt;=예비비!$B$3,BB533&lt;EDATE(예비비!$B$3,1)),AND(BB533&lt;EDATE(예비비!$B$3,1),COUNTIFS(예비비!$C$430:$C$729,BA533,예비비!$L$430:$L$729,예비비!$B$3,예비비!$N$430:$N$729,"OK")&gt;0))),MAX($BH$120:BH532)+1,0),0)</f>
        <v>0</v>
      </c>
    </row>
    <row r="534">
      <c r="BA534">
        <v>478</v>
      </c>
      <c r="BB534" t="str">
        <f>IFERROR(INDEX(잔액!$A:$A,BA534),0)</f>
        <v>00:00:00</v>
      </c>
      <c r="BH534">
        <f>IFERROR(IF(AND(BB534&gt;0,OR(COUNTIFS(예비비!$C$430:$C$729,BA534,예비비!$N$430:$N$729,"OK")&gt;0,AND(INDEX(잔액!$J:$J,BA534)="가족통장",INDEX(잔액!$K:$K,BA534)="미래에셋_WRAP형CMA"),COUNTIF(예비비!$A$8:$A$12,INDEX(잔액!$C:$C,BA534))=1,COUNTIF(예비비!$A$8:$A$12,INDEX(잔액!$D:$D,BA534))=1),OR(AND(BB534&gt;=예비비!$B$3,BB534&lt;EDATE(예비비!$B$3,1)),AND(BB534&lt;EDATE(예비비!$B$3,1),COUNTIFS(예비비!$C$430:$C$729,BA534,예비비!$L$430:$L$729,예비비!$B$3,예비비!$N$430:$N$729,"OK")&gt;0))),MAX($BH$120:BH533)+1,0),0)</f>
        <v>0</v>
      </c>
    </row>
    <row r="535">
      <c r="BA535">
        <v>479</v>
      </c>
      <c r="BB535" t="str">
        <f>IFERROR(INDEX(잔액!$A:$A,BA535),0)</f>
        <v>00:00:00</v>
      </c>
      <c r="BH535">
        <f>IFERROR(IF(AND(BB535&gt;0,OR(COUNTIFS(예비비!$C$430:$C$729,BA535,예비비!$N$430:$N$729,"OK")&gt;0,AND(INDEX(잔액!$J:$J,BA535)="가족통장",INDEX(잔액!$K:$K,BA535)="미래에셋_WRAP형CMA"),COUNTIF(예비비!$A$8:$A$12,INDEX(잔액!$C:$C,BA535))=1,COUNTIF(예비비!$A$8:$A$12,INDEX(잔액!$D:$D,BA535))=1),OR(AND(BB535&gt;=예비비!$B$3,BB535&lt;EDATE(예비비!$B$3,1)),AND(BB535&lt;EDATE(예비비!$B$3,1),COUNTIFS(예비비!$C$430:$C$729,BA535,예비비!$L$430:$L$729,예비비!$B$3,예비비!$N$430:$N$729,"OK")&gt;0))),MAX($BH$120:BH534)+1,0),0)</f>
        <v>0</v>
      </c>
    </row>
    <row r="536">
      <c r="BA536">
        <v>480</v>
      </c>
      <c r="BB536" t="str">
        <f>IFERROR(INDEX(잔액!$A:$A,BA536),0)</f>
        <v>00:00:00</v>
      </c>
      <c r="BH536">
        <f>IFERROR(IF(AND(BB536&gt;0,OR(COUNTIFS(예비비!$C$430:$C$729,BA536,예비비!$N$430:$N$729,"OK")&gt;0,AND(INDEX(잔액!$J:$J,BA536)="가족통장",INDEX(잔액!$K:$K,BA536)="미래에셋_WRAP형CMA"),COUNTIF(예비비!$A$8:$A$12,INDEX(잔액!$C:$C,BA536))=1,COUNTIF(예비비!$A$8:$A$12,INDEX(잔액!$D:$D,BA536))=1),OR(AND(BB536&gt;=예비비!$B$3,BB536&lt;EDATE(예비비!$B$3,1)),AND(BB536&lt;EDATE(예비비!$B$3,1),COUNTIFS(예비비!$C$430:$C$729,BA536,예비비!$L$430:$L$729,예비비!$B$3,예비비!$N$430:$N$729,"OK")&gt;0))),MAX($BH$120:BH535)+1,0),0)</f>
        <v>0</v>
      </c>
    </row>
    <row r="537">
      <c r="BA537">
        <v>481</v>
      </c>
      <c r="BB537" t="str">
        <f>IFERROR(INDEX(잔액!$A:$A,BA537),0)</f>
        <v>00:00:00</v>
      </c>
      <c r="BH537">
        <f>IFERROR(IF(AND(BB537&gt;0,OR(COUNTIFS(예비비!$C$430:$C$729,BA537,예비비!$N$430:$N$729,"OK")&gt;0,AND(INDEX(잔액!$J:$J,BA537)="가족통장",INDEX(잔액!$K:$K,BA537)="미래에셋_WRAP형CMA"),COUNTIF(예비비!$A$8:$A$12,INDEX(잔액!$C:$C,BA537))=1,COUNTIF(예비비!$A$8:$A$12,INDEX(잔액!$D:$D,BA537))=1),OR(AND(BB537&gt;=예비비!$B$3,BB537&lt;EDATE(예비비!$B$3,1)),AND(BB537&lt;EDATE(예비비!$B$3,1),COUNTIFS(예비비!$C$430:$C$729,BA537,예비비!$L$430:$L$729,예비비!$B$3,예비비!$N$430:$N$729,"OK")&gt;0))),MAX($BH$120:BH536)+1,0),0)</f>
        <v>0</v>
      </c>
    </row>
    <row r="538">
      <c r="BA538">
        <v>482</v>
      </c>
      <c r="BB538" t="str">
        <f>IFERROR(INDEX(잔액!$A:$A,BA538),0)</f>
        <v>00:00:00</v>
      </c>
      <c r="BH538">
        <f>IFERROR(IF(AND(BB538&gt;0,OR(COUNTIFS(예비비!$C$430:$C$729,BA538,예비비!$N$430:$N$729,"OK")&gt;0,AND(INDEX(잔액!$J:$J,BA538)="가족통장",INDEX(잔액!$K:$K,BA538)="미래에셋_WRAP형CMA"),COUNTIF(예비비!$A$8:$A$12,INDEX(잔액!$C:$C,BA538))=1,COUNTIF(예비비!$A$8:$A$12,INDEX(잔액!$D:$D,BA538))=1),OR(AND(BB538&gt;=예비비!$B$3,BB538&lt;EDATE(예비비!$B$3,1)),AND(BB538&lt;EDATE(예비비!$B$3,1),COUNTIFS(예비비!$C$430:$C$729,BA538,예비비!$L$430:$L$729,예비비!$B$3,예비비!$N$430:$N$729,"OK")&gt;0))),MAX($BH$120:BH537)+1,0),0)</f>
        <v>0</v>
      </c>
    </row>
    <row r="539">
      <c r="BA539">
        <v>483</v>
      </c>
      <c r="BB539" t="str">
        <f>IFERROR(INDEX(잔액!$A:$A,BA539),0)</f>
        <v>00:00:00</v>
      </c>
      <c r="BH539">
        <f>IFERROR(IF(AND(BB539&gt;0,OR(COUNTIFS(예비비!$C$430:$C$729,BA539,예비비!$N$430:$N$729,"OK")&gt;0,AND(INDEX(잔액!$J:$J,BA539)="가족통장",INDEX(잔액!$K:$K,BA539)="미래에셋_WRAP형CMA"),COUNTIF(예비비!$A$8:$A$12,INDEX(잔액!$C:$C,BA539))=1,COUNTIF(예비비!$A$8:$A$12,INDEX(잔액!$D:$D,BA539))=1),OR(AND(BB539&gt;=예비비!$B$3,BB539&lt;EDATE(예비비!$B$3,1)),AND(BB539&lt;EDATE(예비비!$B$3,1),COUNTIFS(예비비!$C$430:$C$729,BA539,예비비!$L$430:$L$729,예비비!$B$3,예비비!$N$430:$N$729,"OK")&gt;0))),MAX($BH$120:BH538)+1,0),0)</f>
        <v>0</v>
      </c>
    </row>
    <row r="540">
      <c r="BA540">
        <v>484</v>
      </c>
      <c r="BB540" t="str">
        <f>IFERROR(INDEX(잔액!$A:$A,BA540),0)</f>
        <v>00:00:00</v>
      </c>
      <c r="BH540">
        <f>IFERROR(IF(AND(BB540&gt;0,OR(COUNTIFS(예비비!$C$430:$C$729,BA540,예비비!$N$430:$N$729,"OK")&gt;0,AND(INDEX(잔액!$J:$J,BA540)="가족통장",INDEX(잔액!$K:$K,BA540)="미래에셋_WRAP형CMA"),COUNTIF(예비비!$A$8:$A$12,INDEX(잔액!$C:$C,BA540))=1,COUNTIF(예비비!$A$8:$A$12,INDEX(잔액!$D:$D,BA540))=1),OR(AND(BB540&gt;=예비비!$B$3,BB540&lt;EDATE(예비비!$B$3,1)),AND(BB540&lt;EDATE(예비비!$B$3,1),COUNTIFS(예비비!$C$430:$C$729,BA540,예비비!$L$430:$L$729,예비비!$B$3,예비비!$N$430:$N$729,"OK")&gt;0))),MAX($BH$120:BH539)+1,0),0)</f>
        <v>0</v>
      </c>
    </row>
    <row r="541">
      <c r="BA541">
        <v>485</v>
      </c>
      <c r="BB541" t="str">
        <f>IFERROR(INDEX(잔액!$A:$A,BA541),0)</f>
        <v>00:00:00</v>
      </c>
      <c r="BH541">
        <f>IFERROR(IF(AND(BB541&gt;0,OR(COUNTIFS(예비비!$C$430:$C$729,BA541,예비비!$N$430:$N$729,"OK")&gt;0,AND(INDEX(잔액!$J:$J,BA541)="가족통장",INDEX(잔액!$K:$K,BA541)="미래에셋_WRAP형CMA"),COUNTIF(예비비!$A$8:$A$12,INDEX(잔액!$C:$C,BA541))=1,COUNTIF(예비비!$A$8:$A$12,INDEX(잔액!$D:$D,BA541))=1),OR(AND(BB541&gt;=예비비!$B$3,BB541&lt;EDATE(예비비!$B$3,1)),AND(BB541&lt;EDATE(예비비!$B$3,1),COUNTIFS(예비비!$C$430:$C$729,BA541,예비비!$L$430:$L$729,예비비!$B$3,예비비!$N$430:$N$729,"OK")&gt;0))),MAX($BH$120:BH540)+1,0),0)</f>
        <v>0</v>
      </c>
    </row>
    <row r="542">
      <c r="BA542">
        <v>486</v>
      </c>
      <c r="BB542" t="str">
        <f>IFERROR(INDEX(잔액!$A:$A,BA542),0)</f>
        <v>00:00:00</v>
      </c>
      <c r="BH542">
        <f>IFERROR(IF(AND(BB542&gt;0,OR(COUNTIFS(예비비!$C$430:$C$729,BA542,예비비!$N$430:$N$729,"OK")&gt;0,AND(INDEX(잔액!$J:$J,BA542)="가족통장",INDEX(잔액!$K:$K,BA542)="미래에셋_WRAP형CMA"),COUNTIF(예비비!$A$8:$A$12,INDEX(잔액!$C:$C,BA542))=1,COUNTIF(예비비!$A$8:$A$12,INDEX(잔액!$D:$D,BA542))=1),OR(AND(BB542&gt;=예비비!$B$3,BB542&lt;EDATE(예비비!$B$3,1)),AND(BB542&lt;EDATE(예비비!$B$3,1),COUNTIFS(예비비!$C$430:$C$729,BA542,예비비!$L$430:$L$729,예비비!$B$3,예비비!$N$430:$N$729,"OK")&gt;0))),MAX($BH$120:BH541)+1,0),0)</f>
        <v>0</v>
      </c>
    </row>
    <row r="543">
      <c r="BA543">
        <v>487</v>
      </c>
      <c r="BB543" t="str">
        <f>IFERROR(INDEX(잔액!$A:$A,BA543),0)</f>
        <v>00:00:00</v>
      </c>
      <c r="BH543">
        <f>IFERROR(IF(AND(BB543&gt;0,OR(COUNTIFS(예비비!$C$430:$C$729,BA543,예비비!$N$430:$N$729,"OK")&gt;0,AND(INDEX(잔액!$J:$J,BA543)="가족통장",INDEX(잔액!$K:$K,BA543)="미래에셋_WRAP형CMA"),COUNTIF(예비비!$A$8:$A$12,INDEX(잔액!$C:$C,BA543))=1,COUNTIF(예비비!$A$8:$A$12,INDEX(잔액!$D:$D,BA543))=1),OR(AND(BB543&gt;=예비비!$B$3,BB543&lt;EDATE(예비비!$B$3,1)),AND(BB543&lt;EDATE(예비비!$B$3,1),COUNTIFS(예비비!$C$430:$C$729,BA543,예비비!$L$430:$L$729,예비비!$B$3,예비비!$N$430:$N$729,"OK")&gt;0))),MAX($BH$120:BH542)+1,0),0)</f>
        <v>0</v>
      </c>
    </row>
    <row r="544">
      <c r="BA544">
        <v>488</v>
      </c>
      <c r="BB544" t="str">
        <f>IFERROR(INDEX(잔액!$A:$A,BA544),0)</f>
        <v>00:00:00</v>
      </c>
      <c r="BH544">
        <f>IFERROR(IF(AND(BB544&gt;0,OR(COUNTIFS(예비비!$C$430:$C$729,BA544,예비비!$N$430:$N$729,"OK")&gt;0,AND(INDEX(잔액!$J:$J,BA544)="가족통장",INDEX(잔액!$K:$K,BA544)="미래에셋_WRAP형CMA"),COUNTIF(예비비!$A$8:$A$12,INDEX(잔액!$C:$C,BA544))=1,COUNTIF(예비비!$A$8:$A$12,INDEX(잔액!$D:$D,BA544))=1),OR(AND(BB544&gt;=예비비!$B$3,BB544&lt;EDATE(예비비!$B$3,1)),AND(BB544&lt;EDATE(예비비!$B$3,1),COUNTIFS(예비비!$C$430:$C$729,BA544,예비비!$L$430:$L$729,예비비!$B$3,예비비!$N$430:$N$729,"OK")&gt;0))),MAX($BH$120:BH543)+1,0),0)</f>
        <v>0</v>
      </c>
    </row>
    <row r="545">
      <c r="BA545">
        <v>489</v>
      </c>
      <c r="BB545" t="str">
        <f>IFERROR(INDEX(잔액!$A:$A,BA545),0)</f>
        <v>00:00:00</v>
      </c>
      <c r="BH545">
        <f>IFERROR(IF(AND(BB545&gt;0,OR(COUNTIFS(예비비!$C$430:$C$729,BA545,예비비!$N$430:$N$729,"OK")&gt;0,AND(INDEX(잔액!$J:$J,BA545)="가족통장",INDEX(잔액!$K:$K,BA545)="미래에셋_WRAP형CMA"),COUNTIF(예비비!$A$8:$A$12,INDEX(잔액!$C:$C,BA545))=1,COUNTIF(예비비!$A$8:$A$12,INDEX(잔액!$D:$D,BA545))=1),OR(AND(BB545&gt;=예비비!$B$3,BB545&lt;EDATE(예비비!$B$3,1)),AND(BB545&lt;EDATE(예비비!$B$3,1),COUNTIFS(예비비!$C$430:$C$729,BA545,예비비!$L$430:$L$729,예비비!$B$3,예비비!$N$430:$N$729,"OK")&gt;0))),MAX($BH$120:BH544)+1,0),0)</f>
        <v>0</v>
      </c>
    </row>
    <row r="546">
      <c r="BA546">
        <v>490</v>
      </c>
      <c r="BB546" t="str">
        <f>IFERROR(INDEX(잔액!$A:$A,BA546),0)</f>
        <v>00:00:00</v>
      </c>
      <c r="BH546">
        <f>IFERROR(IF(AND(BB546&gt;0,OR(COUNTIFS(예비비!$C$430:$C$729,BA546,예비비!$N$430:$N$729,"OK")&gt;0,AND(INDEX(잔액!$J:$J,BA546)="가족통장",INDEX(잔액!$K:$K,BA546)="미래에셋_WRAP형CMA"),COUNTIF(예비비!$A$8:$A$12,INDEX(잔액!$C:$C,BA546))=1,COUNTIF(예비비!$A$8:$A$12,INDEX(잔액!$D:$D,BA546))=1),OR(AND(BB546&gt;=예비비!$B$3,BB546&lt;EDATE(예비비!$B$3,1)),AND(BB546&lt;EDATE(예비비!$B$3,1),COUNTIFS(예비비!$C$430:$C$729,BA546,예비비!$L$430:$L$729,예비비!$B$3,예비비!$N$430:$N$729,"OK")&gt;0))),MAX($BH$120:BH545)+1,0),0)</f>
        <v>0</v>
      </c>
    </row>
    <row r="547">
      <c r="BA547">
        <v>491</v>
      </c>
      <c r="BB547" t="str">
        <f>IFERROR(INDEX(잔액!$A:$A,BA547),0)</f>
        <v>00:00:00</v>
      </c>
      <c r="BH547">
        <f>IFERROR(IF(AND(BB547&gt;0,OR(COUNTIFS(예비비!$C$430:$C$729,BA547,예비비!$N$430:$N$729,"OK")&gt;0,AND(INDEX(잔액!$J:$J,BA547)="가족통장",INDEX(잔액!$K:$K,BA547)="미래에셋_WRAP형CMA"),COUNTIF(예비비!$A$8:$A$12,INDEX(잔액!$C:$C,BA547))=1,COUNTIF(예비비!$A$8:$A$12,INDEX(잔액!$D:$D,BA547))=1),OR(AND(BB547&gt;=예비비!$B$3,BB547&lt;EDATE(예비비!$B$3,1)),AND(BB547&lt;EDATE(예비비!$B$3,1),COUNTIFS(예비비!$C$430:$C$729,BA547,예비비!$L$430:$L$729,예비비!$B$3,예비비!$N$430:$N$729,"OK")&gt;0))),MAX($BH$120:BH546)+1,0),0)</f>
        <v>0</v>
      </c>
    </row>
    <row r="548">
      <c r="BA548">
        <v>492</v>
      </c>
      <c r="BB548" t="str">
        <f>IFERROR(INDEX(잔액!$A:$A,BA548),0)</f>
        <v>00:00:00</v>
      </c>
      <c r="BH548">
        <f>IFERROR(IF(AND(BB548&gt;0,OR(COUNTIFS(예비비!$C$430:$C$729,BA548,예비비!$N$430:$N$729,"OK")&gt;0,AND(INDEX(잔액!$J:$J,BA548)="가족통장",INDEX(잔액!$K:$K,BA548)="미래에셋_WRAP형CMA"),COUNTIF(예비비!$A$8:$A$12,INDEX(잔액!$C:$C,BA548))=1,COUNTIF(예비비!$A$8:$A$12,INDEX(잔액!$D:$D,BA548))=1),OR(AND(BB548&gt;=예비비!$B$3,BB548&lt;EDATE(예비비!$B$3,1)),AND(BB548&lt;EDATE(예비비!$B$3,1),COUNTIFS(예비비!$C$430:$C$729,BA548,예비비!$L$430:$L$729,예비비!$B$3,예비비!$N$430:$N$729,"OK")&gt;0))),MAX($BH$120:BH547)+1,0),0)</f>
        <v>0</v>
      </c>
    </row>
    <row r="549">
      <c r="BA549">
        <v>493</v>
      </c>
      <c r="BB549" t="str">
        <f>IFERROR(INDEX(잔액!$A:$A,BA549),0)</f>
        <v>00:00:00</v>
      </c>
      <c r="BH549">
        <f>IFERROR(IF(AND(BB549&gt;0,OR(COUNTIFS(예비비!$C$430:$C$729,BA549,예비비!$N$430:$N$729,"OK")&gt;0,AND(INDEX(잔액!$J:$J,BA549)="가족통장",INDEX(잔액!$K:$K,BA549)="미래에셋_WRAP형CMA"),COUNTIF(예비비!$A$8:$A$12,INDEX(잔액!$C:$C,BA549))=1,COUNTIF(예비비!$A$8:$A$12,INDEX(잔액!$D:$D,BA549))=1),OR(AND(BB549&gt;=예비비!$B$3,BB549&lt;EDATE(예비비!$B$3,1)),AND(BB549&lt;EDATE(예비비!$B$3,1),COUNTIFS(예비비!$C$430:$C$729,BA549,예비비!$L$430:$L$729,예비비!$B$3,예비비!$N$430:$N$729,"OK")&gt;0))),MAX($BH$120:BH548)+1,0),0)</f>
        <v>0</v>
      </c>
    </row>
    <row r="550">
      <c r="BA550">
        <v>494</v>
      </c>
      <c r="BB550" t="str">
        <f>IFERROR(INDEX(잔액!$A:$A,BA550),0)</f>
        <v>00:00:00</v>
      </c>
      <c r="BH550">
        <f>IFERROR(IF(AND(BB550&gt;0,OR(COUNTIFS(예비비!$C$430:$C$729,BA550,예비비!$N$430:$N$729,"OK")&gt;0,AND(INDEX(잔액!$J:$J,BA550)="가족통장",INDEX(잔액!$K:$K,BA550)="미래에셋_WRAP형CMA"),COUNTIF(예비비!$A$8:$A$12,INDEX(잔액!$C:$C,BA550))=1,COUNTIF(예비비!$A$8:$A$12,INDEX(잔액!$D:$D,BA550))=1),OR(AND(BB550&gt;=예비비!$B$3,BB550&lt;EDATE(예비비!$B$3,1)),AND(BB550&lt;EDATE(예비비!$B$3,1),COUNTIFS(예비비!$C$430:$C$729,BA550,예비비!$L$430:$L$729,예비비!$B$3,예비비!$N$430:$N$729,"OK")&gt;0))),MAX($BH$120:BH549)+1,0),0)</f>
        <v>0</v>
      </c>
    </row>
    <row r="551">
      <c r="BA551">
        <v>495</v>
      </c>
      <c r="BB551" t="str">
        <f>IFERROR(INDEX(잔액!$A:$A,BA551),0)</f>
        <v>00:00:00</v>
      </c>
      <c r="BH551">
        <f>IFERROR(IF(AND(BB551&gt;0,OR(COUNTIFS(예비비!$C$430:$C$729,BA551,예비비!$N$430:$N$729,"OK")&gt;0,AND(INDEX(잔액!$J:$J,BA551)="가족통장",INDEX(잔액!$K:$K,BA551)="미래에셋_WRAP형CMA"),COUNTIF(예비비!$A$8:$A$12,INDEX(잔액!$C:$C,BA551))=1,COUNTIF(예비비!$A$8:$A$12,INDEX(잔액!$D:$D,BA551))=1),OR(AND(BB551&gt;=예비비!$B$3,BB551&lt;EDATE(예비비!$B$3,1)),AND(BB551&lt;EDATE(예비비!$B$3,1),COUNTIFS(예비비!$C$430:$C$729,BA551,예비비!$L$430:$L$729,예비비!$B$3,예비비!$N$430:$N$729,"OK")&gt;0))),MAX($BH$120:BH550)+1,0),0)</f>
        <v>0</v>
      </c>
    </row>
    <row r="552">
      <c r="BA552">
        <v>496</v>
      </c>
      <c r="BB552" t="str">
        <f>IFERROR(INDEX(잔액!$A:$A,BA552),0)</f>
        <v>00:00:00</v>
      </c>
      <c r="BH552">
        <f>IFERROR(IF(AND(BB552&gt;0,OR(COUNTIFS(예비비!$C$430:$C$729,BA552,예비비!$N$430:$N$729,"OK")&gt;0,AND(INDEX(잔액!$J:$J,BA552)="가족통장",INDEX(잔액!$K:$K,BA552)="미래에셋_WRAP형CMA"),COUNTIF(예비비!$A$8:$A$12,INDEX(잔액!$C:$C,BA552))=1,COUNTIF(예비비!$A$8:$A$12,INDEX(잔액!$D:$D,BA552))=1),OR(AND(BB552&gt;=예비비!$B$3,BB552&lt;EDATE(예비비!$B$3,1)),AND(BB552&lt;EDATE(예비비!$B$3,1),COUNTIFS(예비비!$C$430:$C$729,BA552,예비비!$L$430:$L$729,예비비!$B$3,예비비!$N$430:$N$729,"OK")&gt;0))),MAX($BH$120:BH551)+1,0),0)</f>
        <v>0</v>
      </c>
    </row>
    <row r="553">
      <c r="BA553">
        <v>497</v>
      </c>
      <c r="BB553" t="str">
        <f>IFERROR(INDEX(잔액!$A:$A,BA553),0)</f>
        <v>00:00:00</v>
      </c>
      <c r="BH553">
        <f>IFERROR(IF(AND(BB553&gt;0,OR(COUNTIFS(예비비!$C$430:$C$729,BA553,예비비!$N$430:$N$729,"OK")&gt;0,AND(INDEX(잔액!$J:$J,BA553)="가족통장",INDEX(잔액!$K:$K,BA553)="미래에셋_WRAP형CMA"),COUNTIF(예비비!$A$8:$A$12,INDEX(잔액!$C:$C,BA553))=1,COUNTIF(예비비!$A$8:$A$12,INDEX(잔액!$D:$D,BA553))=1),OR(AND(BB553&gt;=예비비!$B$3,BB553&lt;EDATE(예비비!$B$3,1)),AND(BB553&lt;EDATE(예비비!$B$3,1),COUNTIFS(예비비!$C$430:$C$729,BA553,예비비!$L$430:$L$729,예비비!$B$3,예비비!$N$430:$N$729,"OK")&gt;0))),MAX($BH$120:BH552)+1,0),0)</f>
        <v>0</v>
      </c>
    </row>
    <row r="554">
      <c r="BA554">
        <v>498</v>
      </c>
      <c r="BB554" t="str">
        <f>IFERROR(INDEX(잔액!$A:$A,BA554),0)</f>
        <v>00:00:00</v>
      </c>
      <c r="BH554">
        <f>IFERROR(IF(AND(BB554&gt;0,OR(COUNTIFS(예비비!$C$430:$C$729,BA554,예비비!$N$430:$N$729,"OK")&gt;0,AND(INDEX(잔액!$J:$J,BA554)="가족통장",INDEX(잔액!$K:$K,BA554)="미래에셋_WRAP형CMA"),COUNTIF(예비비!$A$8:$A$12,INDEX(잔액!$C:$C,BA554))=1,COUNTIF(예비비!$A$8:$A$12,INDEX(잔액!$D:$D,BA554))=1),OR(AND(BB554&gt;=예비비!$B$3,BB554&lt;EDATE(예비비!$B$3,1)),AND(BB554&lt;EDATE(예비비!$B$3,1),COUNTIFS(예비비!$C$430:$C$729,BA554,예비비!$L$430:$L$729,예비비!$B$3,예비비!$N$430:$N$729,"OK")&gt;0))),MAX($BH$120:BH553)+1,0),0)</f>
        <v>0</v>
      </c>
    </row>
    <row r="555">
      <c r="BA555">
        <v>499</v>
      </c>
      <c r="BB555" t="str">
        <f>IFERROR(INDEX(잔액!$A:$A,BA555),0)</f>
        <v>00:00:00</v>
      </c>
      <c r="BH555">
        <f>IFERROR(IF(AND(BB555&gt;0,OR(COUNTIFS(예비비!$C$430:$C$729,BA555,예비비!$N$430:$N$729,"OK")&gt;0,AND(INDEX(잔액!$J:$J,BA555)="가족통장",INDEX(잔액!$K:$K,BA555)="미래에셋_WRAP형CMA"),COUNTIF(예비비!$A$8:$A$12,INDEX(잔액!$C:$C,BA555))=1,COUNTIF(예비비!$A$8:$A$12,INDEX(잔액!$D:$D,BA555))=1),OR(AND(BB555&gt;=예비비!$B$3,BB555&lt;EDATE(예비비!$B$3,1)),AND(BB555&lt;EDATE(예비비!$B$3,1),COUNTIFS(예비비!$C$430:$C$729,BA555,예비비!$L$430:$L$729,예비비!$B$3,예비비!$N$430:$N$729,"OK")&gt;0))),MAX($BH$120:BH554)+1,0),0)</f>
        <v>0</v>
      </c>
    </row>
    <row r="556">
      <c r="BA556">
        <v>500</v>
      </c>
      <c r="BB556" t="str">
        <f>IFERROR(INDEX(잔액!$A:$A,BA556),0)</f>
        <v>00:00:00</v>
      </c>
      <c r="BH556">
        <f>IFERROR(IF(AND(BB556&gt;0,OR(COUNTIFS(예비비!$C$430:$C$729,BA556,예비비!$N$430:$N$729,"OK")&gt;0,AND(INDEX(잔액!$J:$J,BA556)="가족통장",INDEX(잔액!$K:$K,BA556)="미래에셋_WRAP형CMA"),COUNTIF(예비비!$A$8:$A$12,INDEX(잔액!$C:$C,BA556))=1,COUNTIF(예비비!$A$8:$A$12,INDEX(잔액!$D:$D,BA556))=1),OR(AND(BB556&gt;=예비비!$B$3,BB556&lt;EDATE(예비비!$B$3,1)),AND(BB556&lt;EDATE(예비비!$B$3,1),COUNTIFS(예비비!$C$430:$C$729,BA556,예비비!$L$430:$L$729,예비비!$B$3,예비비!$N$430:$N$729,"OK")&gt;0))),MAX($BH$120:BH555)+1,0),0)</f>
        <v>0</v>
      </c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94:F94"/>
    <mergeCell ref="B76:C76"/>
    <mergeCell ref="U96:W96"/>
    <mergeCell ref="A81:W81"/>
    <mergeCell ref="L77:M77"/>
    <mergeCell ref="A87:F87"/>
    <mergeCell ref="B75:C75"/>
    <mergeCell ref="A65:W66"/>
    <mergeCell ref="J72:K72"/>
    <mergeCell ref="A37:F37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J74:K74"/>
    <mergeCell ref="N76:W76"/>
    <mergeCell ref="L74:M74"/>
    <mergeCell ref="U85:W85"/>
    <mergeCell ref="A93:F93"/>
    <mergeCell ref="U94:W94"/>
    <mergeCell ref="N75:W75"/>
    <mergeCell ref="H71:I71"/>
    <mergeCell ref="A60:W61"/>
    <mergeCell ref="J71:K71"/>
    <mergeCell ref="N73:W73"/>
    <mergeCell ref="J73:K73"/>
    <mergeCell ref="A92:W92"/>
    <mergeCell ref="F74:G74"/>
    <mergeCell ref="H74:I74"/>
    <mergeCell ref="S3:W3"/>
    <mergeCell ref="J77:K77"/>
    <mergeCell ref="C3:F3"/>
    <mergeCell ref="A85:F85"/>
    <mergeCell ref="A69:W69"/>
    <mergeCell ref="D76:E76"/>
    <mergeCell ref="O3:R3"/>
    <mergeCell ref="F76:G76"/>
    <mergeCell ref="K3:N3"/>
    <mergeCell ref="L76:M76"/>
    <mergeCell ref="A83:F83"/>
    <mergeCell ref="C47:F47"/>
    <mergeCell ref="A39:F39"/>
    <mergeCell ref="N77:W77"/>
    <mergeCell ref="F77:G77"/>
    <mergeCell ref="H77:I77"/>
    <mergeCell ref="A84:F84"/>
    <mergeCell ref="U97:W97"/>
    <mergeCell ref="L75:M75"/>
    <mergeCell ref="A86:F86"/>
    <mergeCell ref="U87:W87"/>
    <mergeCell ref="A95:F95"/>
    <mergeCell ref="B77:C77"/>
    <mergeCell ref="D77:E77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</mergeCells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45</vt:i4>
      </vt:variant>
      <vt:variant>
        <vt:lpstr>이름 지정된 범위</vt:lpstr>
      </vt:variant>
      <vt:variant>
        <vt:i4>25</vt:i4>
      </vt:variant>
    </vt:vector>
  </HeadingPairs>
  <TitlesOfParts>
    <vt:vector size="70" baseType="lpstr">
      <vt:lpstr>사용안내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_예비비계산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2026-10-13T14:41:56Z</dcterms:modified>
</cp:coreProperties>
</file>