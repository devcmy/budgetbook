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1" activeTab="2" xr2:uid="{00000000-000D-0000-FFFF-FFFF00000000}"/>
  </bookViews>
  <sheets>
    <sheet name="사용안내" sheetId="1" r:id="rId1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27" hidden="1">RAW!$A$1:$S$2453</definedName>
    <definedName name="_xlnm.Print_Area" localSheetId="21">'10월'!$A$1:$V$86</definedName>
    <definedName name="_xlnm.Print_Area" localSheetId="22">'10월계산기'!$A$1:$W$155</definedName>
    <definedName name="_xlnm.Print_Area" localSheetId="23">'11월'!$A$1:$V$70</definedName>
    <definedName name="_xlnm.Print_Area" localSheetId="24">'11월계산기'!$A$1:$W$155</definedName>
    <definedName name="_xlnm.Print_Area" localSheetId="25">'12월'!$A$1:$V$70</definedName>
    <definedName name="_xlnm.Print_Area" localSheetId="26">'12월계산기'!$A$1:$W$155</definedName>
    <definedName name="_xlnm.Print_Area" localSheetId="3">'1월'!$A$1:$V$70</definedName>
    <definedName name="_xlnm.Print_Area" localSheetId="4">'1월계산기'!$A$1:$W$155</definedName>
    <definedName name="_xlnm.Print_Area" localSheetId="5">'2월'!$A$1:$V$70</definedName>
    <definedName name="_xlnm.Print_Area" localSheetId="6">'2월계산기'!$A$1:$W$155</definedName>
    <definedName name="_xlnm.Print_Area" localSheetId="7">'3월'!$A$1:$V$70</definedName>
    <definedName name="_xlnm.Print_Area" localSheetId="8">'3월계산기'!$A$1:$W$155</definedName>
    <definedName name="_xlnm.Print_Area" localSheetId="9">'4월'!$A$1:$V$70</definedName>
    <definedName name="_xlnm.Print_Area" localSheetId="10">'4월계산기'!$A$1:$W$155</definedName>
    <definedName name="_xlnm.Print_Area" localSheetId="11">'5월'!$A$1:$V$70</definedName>
    <definedName name="_xlnm.Print_Area" localSheetId="12">'5월계산기'!$A$1:$W$155</definedName>
    <definedName name="_xlnm.Print_Area" localSheetId="13">'6월'!$A$1:$V$70</definedName>
    <definedName name="_xlnm.Print_Area" localSheetId="14">'6월계산기'!$A$1:$W$155</definedName>
    <definedName name="_xlnm.Print_Area" localSheetId="15">'7월'!$A$1:$V$70</definedName>
    <definedName name="_xlnm.Print_Area" localSheetId="16">'7월계산기'!$A$1:$W$155</definedName>
    <definedName name="_xlnm.Print_Area" localSheetId="17">'8월'!$A$1:$V$70</definedName>
    <definedName name="_xlnm.Print_Area" localSheetId="18">'8월계산기'!$A$1:$W$155</definedName>
    <definedName name="_xlnm.Print_Area" localSheetId="19">'9월'!$A$1:$V$70</definedName>
    <definedName name="_xlnm.Print_Area" localSheetId="20">'9월계산기'!$A$1:$W$155</definedName>
    <definedName name="_xlnm.Print_Area" localSheetId="2">'잔액'!$A$1:$L$525</definedName>
    <definedName name="_xlnm.Print_Area" localSheetId="1">'예비비'!$A$1:$O$79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<sst xmlns="http://schemas.openxmlformats.org/spreadsheetml/2006/main" count="26787" uniqueCount="2558">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</sst>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2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555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4" borderId="15" xfId="0" applyFont="1" applyBorder="1" applyAlignment="1">
      <alignment vertical="center"/>
    </xf>
    <xf numFmtId="0" fontId="59" fillId="44" borderId="12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7" borderId="14" xfId="0" applyFont="1" applyBorder="1" applyAlignment="1">
      <alignment vertical="center"/>
    </xf>
    <xf numFmtId="0" fontId="59" fillId="47" borderId="16" xfId="0" applyFont="1" applyBorder="1" applyAlignment="1">
      <alignment vertical="center"/>
    </xf>
    <xf numFmtId="0" fontId="59" fillId="47" borderId="11" xfId="0" applyFont="1" applyBorder="1" applyAlignment="1">
      <alignment vertical="center"/>
    </xf>
    <xf numFmtId="0" fontId="59" fillId="47" borderId="13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6" borderId="13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6" borderId="12" xfId="0" applyFont="1" applyBorder="1" applyAlignment="1">
      <alignment vertical="center"/>
    </xf>
    <xf numFmtId="0" fontId="59" fillId="47" borderId="15" xfId="0" applyFont="1" applyBorder="1" applyAlignment="1">
      <alignment vertical="center"/>
    </xf>
    <xf numFmtId="0" fontId="59" fillId="47" borderId="12" xfId="0" applyFont="1" applyBorder="1" applyAlignment="1">
      <alignment vertical="center"/>
    </xf>
    <xf numFmtId="0" fontId="59" fillId="49" borderId="11" xfId="0" applyFont="1" applyBorder="1" applyAlignment="1">
      <alignment vertical="center"/>
    </xf>
    <xf numFmtId="0" fontId="59" fillId="49" borderId="13" xfId="0" applyFont="1" applyBorder="1" applyAlignment="1">
      <alignment vertical="center"/>
    </xf>
    <xf numFmtId="0" fontId="59" fillId="49" borderId="15" xfId="0" applyFont="1" applyBorder="1" applyAlignment="1">
      <alignment vertical="center"/>
    </xf>
    <xf numFmtId="0" fontId="59" fillId="49" borderId="12" xfId="0" applyFont="1" applyBorder="1" applyAlignment="1">
      <alignment vertical="center"/>
    </xf>
    <xf numFmtId="0" fontId="59" fillId="49" borderId="14" xfId="0" applyFont="1" applyBorder="1" applyAlignment="1">
      <alignment vertical="center"/>
    </xf>
    <xf numFmtId="0" fontId="59" fillId="49" borderId="16" xfId="0" applyFont="1" applyBorder="1" applyAlignment="1">
      <alignment vertical="center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선택월 사용계획·실제 사용·사용가능액을 봅니다. 사용계획은 잔액을 차감하지 않고, 실제 사용분은 결제대금비로 자동 확보합니다.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 조회월(B3)은 상단 잔액·내역과 하단 WRAP 원장에 함께 적용됩니다. 전체 입력 원장은 같은 탭의 +를 펼쳐 편집합니다.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inlineStr">
        <is>
          <t>통합 파일은 테트리스_가계부_2026_고도화.xlsm으로 관리합니다. 각 월간 시트 다음에 계산기가 있으며, 검증은 별도 기록으로 관리하며, 예비비·잔액 탭에서 현황을 확인하세요.</t>
        </is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10/18까지 실제 자료입니다. 미수령 급여·미결제 고정비·공동자금·대납은 월간 확인표에 별도 표시합니다.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164건 중 WRAP 15건을 잔액 원장과 대조합니다. 타계좌 48건·카드사용 101건을 보존하며 충전·실제 결제를 중복 소비로 잡지 않습니다.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 사용은 등록할 때 한 번 반영합니다. 실제 이체를 사용ID·원장행에 연결하면 자동 확보와 중복되지 않습니다. 적립계획과 사용계획은 별도 입력입니다.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 xml:space="preserve">노란색만 입력합니다. 계획은 참고용이며 실제 사용만 반영합니다. 사용가능액은 잔액 탭의 같은 목적 계정과 일치합니다.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 xml:space="preserve">1  현황 | 계획은 참고 · 실제 사용은 한 번 · 사용가능액은 잔액 탭과 일치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42" customHeight="1">
      <c r="A7" s="507" t="inlineStr">
        <is>
          <t xml:space="preserve">목적</t>
        </is>
      </c>
      <c r="B7" s="507"/>
      <c r="C7" s="507" t="inlineStr">
        <is>
          <t xml:space="preserve">선택월 사용계획</t>
        </is>
      </c>
      <c r="D7" s="507"/>
      <c r="E7" s="507"/>
      <c r="F7" s="507" t="inlineStr">
        <is>
          <t xml:space="preserve">선택월 실제 사용액</t>
        </is>
      </c>
      <c r="G7" s="507"/>
      <c r="H7" s="507"/>
      <c r="I7" s="507" t="inlineStr">
        <is>
          <t xml:space="preserve">사용가능액</t>
        </is>
      </c>
      <c r="J7" s="507"/>
      <c r="K7" s="507"/>
      <c r="L7" s="507"/>
      <c r="M7" s="507"/>
      <c r="N7" s="507"/>
      <c r="O7" s="507"/>
      <c r="AD7" s="501" t="n">
        <v>46204</v>
      </c>
    </row>
    <row r="8" ht="24" customHeight="1">
      <c r="A8" s="508" t="inlineStr">
        <is>
          <t xml:space="preserve">명절비</t>
        </is>
      </c>
      <c r="B8" s="508"/>
      <c r="C8" s="510" t="str">
        <f>IF(COUNT(INDEX($D$34:$O$38,MATCH($A8,$A$34:$A$38,0),MONTH($B$3)))=0,"미입력",INDEX($D$34:$O$38,MATCH($A8,$A$34:$A$38,0),MONTH($B$3)))</f>
        <v>미입력</v>
      </c>
      <c r="D8" s="510"/>
      <c r="E8" s="510"/>
      <c r="F8" s="510">
        <f>SUMIFS($E$100:$E$399,$C$100:$C$399,$A8,$D$100:$D$399,"&gt;="&amp;$B$3,$D$100:$D$399,"&lt;"&amp;EDATE($B$3,1),$R$100:$R$399,"OK")</f>
        <v>0</v>
      </c>
      <c r="G8" s="510"/>
      <c r="H8" s="510"/>
      <c r="I8" s="512">
        <f>IF($B$3&lt;DATE(2026,3,1),"원장 없음",SUMIFS(잔액!$Y$64:$Y$500,잔액!$D$64:$D$500,$A8,잔액!$A$64:$A$500,"&lt;"&amp;EDATE($B$3,1))-SUMIFS(잔액!$Y$64:$Y$500,잔액!$C$64:$C$500,$A8,잔액!$A$64:$A$500,"&lt;"&amp;EDATE($B$3,1))-IFERROR(INDEX('_예비비계산'!$BI$81:$BU$86,MATCH($A8,'_예비비계산'!$BH$81:$BH$86,0),MONTH($B$3)+1),0))</f>
        <v>0</v>
      </c>
      <c r="J8" s="512"/>
      <c r="K8" s="512"/>
      <c r="L8" s="512"/>
      <c r="M8" s="512"/>
      <c r="N8" s="512"/>
      <c r="O8" s="512"/>
      <c r="AD8" s="501" t="n">
        <v>46235</v>
      </c>
    </row>
    <row r="9" ht="24" customHeight="1">
      <c r="A9" s="508" t="inlineStr">
        <is>
          <t xml:space="preserve">여행비</t>
        </is>
      </c>
      <c r="B9" s="508"/>
      <c r="C9" s="510" t="str">
        <f>IF(COUNT(INDEX($D$34:$O$38,MATCH($A9,$A$34:$A$38,0),MONTH($B$3)))=0,"미입력",INDEX($D$34:$O$38,MATCH($A9,$A$34:$A$38,0),MONTH($B$3)))</f>
        <v>미입력</v>
      </c>
      <c r="D9" s="510"/>
      <c r="E9" s="510"/>
      <c r="F9" s="510">
        <f>SUMIFS($E$100:$E$399,$C$100:$C$399,$A9,$D$100:$D$399,"&gt;="&amp;$B$3,$D$100:$D$399,"&lt;"&amp;EDATE($B$3,1),$R$100:$R$399,"OK")</f>
        <v>0</v>
      </c>
      <c r="G9" s="510"/>
      <c r="H9" s="510"/>
      <c r="I9" s="512">
        <f>IF($B$3&lt;DATE(2026,3,1),"원장 없음",SUMIFS(잔액!$Y$64:$Y$500,잔액!$D$64:$D$500,$A9,잔액!$A$64:$A$500,"&lt;"&amp;EDATE($B$3,1))-SUMIFS(잔액!$Y$64:$Y$500,잔액!$C$64:$C$500,$A9,잔액!$A$64:$A$500,"&lt;"&amp;EDATE($B$3,1))-IFERROR(INDEX('_예비비계산'!$BI$81:$BU$86,MATCH($A9,'_예비비계산'!$BH$81:$BH$86,0),MONTH($B$3)+1),0))</f>
        <v>1400000</v>
      </c>
      <c r="J9" s="512"/>
      <c r="K9" s="512"/>
      <c r="L9" s="512"/>
      <c r="M9" s="512"/>
      <c r="N9" s="512"/>
      <c r="O9" s="512"/>
      <c r="AD9" s="501" t="n">
        <v>46266</v>
      </c>
    </row>
    <row r="10" ht="24" customHeight="1">
      <c r="A10" s="508" t="inlineStr">
        <is>
          <t xml:space="preserve">경조사비</t>
        </is>
      </c>
      <c r="B10" s="508"/>
      <c r="C10" s="510" t="str">
        <f>IF(COUNT(INDEX($D$34:$O$38,MATCH($A10,$A$34:$A$38,0),MONTH($B$3)))=0,"미입력",INDEX($D$34:$O$38,MATCH($A10,$A$34:$A$38,0),MONTH($B$3)))</f>
        <v>미입력</v>
      </c>
      <c r="D10" s="510"/>
      <c r="E10" s="510"/>
      <c r="F10" s="510">
        <f>SUMIFS($E$100:$E$399,$C$100:$C$399,$A10,$D$100:$D$399,"&gt;="&amp;$B$3,$D$100:$D$399,"&lt;"&amp;EDATE($B$3,1),$R$100:$R$399,"OK")</f>
        <v>239000</v>
      </c>
      <c r="G10" s="510"/>
      <c r="H10" s="510"/>
      <c r="I10" s="512">
        <f>IF($B$3&lt;DATE(2026,3,1),"원장 없음",SUMIFS(잔액!$Y$64:$Y$500,잔액!$D$64:$D$500,$A10,잔액!$A$64:$A$500,"&lt;"&amp;EDATE($B$3,1))-SUMIFS(잔액!$Y$64:$Y$500,잔액!$C$64:$C$500,$A10,잔액!$A$64:$A$500,"&lt;"&amp;EDATE($B$3,1))-IFERROR(INDEX('_예비비계산'!$BI$81:$BU$86,MATCH($A10,'_예비비계산'!$BH$81:$BH$86,0),MONTH($B$3)+1),0))</f>
        <v>450000</v>
      </c>
      <c r="J10" s="512"/>
      <c r="K10" s="512"/>
      <c r="L10" s="512"/>
      <c r="M10" s="512"/>
      <c r="N10" s="512"/>
      <c r="O10" s="512"/>
      <c r="AD10" s="501" t="n">
        <v>46296</v>
      </c>
    </row>
    <row r="11" ht="24" customHeight="1">
      <c r="A11" s="508" t="inlineStr">
        <is>
          <t xml:space="preserve">상환비</t>
        </is>
      </c>
      <c r="B11" s="508"/>
      <c r="C11" s="510" t="str">
        <f>IF(COUNT(INDEX($D$34:$O$38,MATCH($A11,$A$34:$A$38,0),MONTH($B$3)))=0,"미입력",INDEX($D$34:$O$38,MATCH($A11,$A$34:$A$38,0),MONTH($B$3)))</f>
        <v>미입력</v>
      </c>
      <c r="D11" s="510"/>
      <c r="E11" s="510"/>
      <c r="F11" s="510">
        <f>SUMIFS($E$100:$E$399,$C$100:$C$399,$A11,$D$100:$D$399,"&gt;="&amp;$B$3,$D$100:$D$399,"&lt;"&amp;EDATE($B$3,1),$R$100:$R$399,"OK")</f>
        <v>0</v>
      </c>
      <c r="G11" s="510"/>
      <c r="H11" s="510"/>
      <c r="I11" s="512">
        <f>IF($B$3&lt;DATE(2026,3,1),"원장 없음",SUMIFS(잔액!$Y$64:$Y$500,잔액!$D$64:$D$500,$A11,잔액!$A$64:$A$500,"&lt;"&amp;EDATE($B$3,1))-SUMIFS(잔액!$Y$64:$Y$500,잔액!$C$64:$C$500,$A11,잔액!$A$64:$A$500,"&lt;"&amp;EDATE($B$3,1))-IFERROR(INDEX('_예비비계산'!$BI$81:$BU$86,MATCH($A11,'_예비비계산'!$BH$81:$BH$86,0),MONTH($B$3)+1),0))</f>
        <v>300000</v>
      </c>
      <c r="J11" s="512"/>
      <c r="K11" s="512"/>
      <c r="L11" s="512"/>
      <c r="M11" s="512"/>
      <c r="N11" s="512"/>
      <c r="O11" s="512"/>
      <c r="AD11" s="501" t="n">
        <v>46327</v>
      </c>
    </row>
    <row r="12" ht="24" customHeight="1">
      <c r="A12" s="508" t="inlineStr">
        <is>
          <t xml:space="preserve">예비비</t>
        </is>
      </c>
      <c r="B12" s="508"/>
      <c r="C12" s="510" t="str">
        <f>IF(COUNT(INDEX($D$34:$O$38,MATCH($A12,$A$34:$A$38,0),MONTH($B$3)))=0,"미입력",INDEX($D$34:$O$38,MATCH($A12,$A$34:$A$38,0),MONTH($B$3)))</f>
        <v>미입력</v>
      </c>
      <c r="D12" s="510"/>
      <c r="E12" s="510"/>
      <c r="F12" s="510">
        <f>SUMIFS($E$100:$E$399,$C$100:$C$399,$A12,$D$100:$D$399,"&gt;="&amp;$B$3,$D$100:$D$399,"&lt;"&amp;EDATE($B$3,1),$R$100:$R$399,"OK")</f>
        <v>0</v>
      </c>
      <c r="G12" s="510"/>
      <c r="H12" s="510"/>
      <c r="I12" s="512">
        <f>IF($B$3&lt;DATE(2026,3,1),"원장 없음",SUMIFS(잔액!$Y$64:$Y$500,잔액!$D$64:$D$500,$A12,잔액!$A$64:$A$500,"&lt;"&amp;EDATE($B$3,1))-SUMIFS(잔액!$Y$64:$Y$500,잔액!$C$64:$C$500,$A12,잔액!$A$64:$A$500,"&lt;"&amp;EDATE($B$3,1))-IFERROR(INDEX('_예비비계산'!$BI$81:$BU$86,MATCH($A12,'_예비비계산'!$BH$81:$BH$86,0),MONTH($B$3)+1),0))</f>
        <v>0</v>
      </c>
      <c r="J12" s="512"/>
      <c r="K12" s="512"/>
      <c r="L12" s="512"/>
      <c r="M12" s="512"/>
      <c r="N12" s="512"/>
      <c r="O12" s="512"/>
      <c r="AD12" s="501" t="n">
        <v>46357</v>
      </c>
    </row>
    <row r="13" ht="24" customHeight="1">
      <c r="A13" s="508" t="inlineStr">
        <is>
          <t xml:space="preserve">합계</t>
        </is>
      </c>
      <c r="B13" s="508"/>
      <c r="C13" s="514" t="str">
        <f>IF(COUNT(INDEX($D$34:$O$38,0,MONTH($B$3)))=0,"미입력",SUM(INDEX($D$34:$O$38,0,MONTH($B$3))))</f>
        <v>미입력</v>
      </c>
      <c r="D13" s="514"/>
      <c r="E13" s="514"/>
      <c r="F13" s="514">
        <f>SUM(F8:F12)</f>
        <v>239000</v>
      </c>
      <c r="G13" s="514"/>
      <c r="H13" s="514"/>
      <c r="I13" s="514">
        <f>IF(COUNT(I8:I12)=0,"원장 없음",SUM(I8:I12))</f>
        <v>2150000</v>
      </c>
      <c r="J13" s="514"/>
      <c r="K13" s="514"/>
      <c r="L13" s="514"/>
      <c r="M13" s="514"/>
      <c r="N13" s="514"/>
      <c r="O13" s="514"/>
    </row>
    <row r="14" ht="24" customHeight="1">
      <c r="A14" s="502" t="inlineStr">
        <is>
          <t xml:space="preserve">10월 생신 사용 239,000원은 명절비 200,000원 + 임시보관 39,000원으로 이미 충당했습니다. 경조사비에서 중복 차감하지 않습니다.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사용등록·이체 연결이 있습니다. 아래 등록 자료를 확인하세요.",IF(MIN($I$8:$I$12)&lt;0,"사용가능액이 부족한 항목이 있습니다. 부담 항목 또는 실제 추가 적립을 확인하세요.","계획액은 잔액에서 차감하지 않습니다. 사용가능액은 같은 조회월의 잔액 탭 계정 잔액과 연결됩니다."))</f>
        <v>계획액은 잔액에서 차감하지 않습니다. 사용가능액은 같은 조회월의 잔액 탭 계정 잔액과 연결됩니다.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 xml:space="preserve">2-1  적립계획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30" customHeight="1">
      <c r="A32" s="499" t="inlineStr">
        <is>
          <t xml:space="preserve">2-2  사용계획 | 이번 달 쓸 예정인 금액 · 비워두면 미입력</t>
        </is>
      </c>
      <c r="B32" s="499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499"/>
      <c r="N32" s="499"/>
      <c r="O32" s="499"/>
    </row>
    <row r="33" ht="30" customHeight="1">
      <c r="A33" s="507" t="inlineStr">
        <is>
          <t xml:space="preserve">예비비 항목</t>
        </is>
      </c>
      <c r="B33" s="507"/>
      <c r="C33" s="507"/>
      <c r="D33" s="517">
        <v>46023.0</v>
      </c>
      <c r="E33" s="517">
        <v>46054.0</v>
      </c>
      <c r="F33" s="517">
        <v>46082.0</v>
      </c>
      <c r="G33" s="517">
        <v>46113.0</v>
      </c>
      <c r="H33" s="517">
        <v>46143.0</v>
      </c>
      <c r="I33" s="517">
        <v>46174.0</v>
      </c>
      <c r="J33" s="517">
        <v>46204.0</v>
      </c>
      <c r="K33" s="517">
        <v>46235.0</v>
      </c>
      <c r="L33" s="517">
        <v>46266.0</v>
      </c>
      <c r="M33" s="517">
        <v>46296.0</v>
      </c>
      <c r="N33" s="517">
        <v>46327.0</v>
      </c>
      <c r="O33" s="517">
        <v>46357.0</v>
      </c>
    </row>
    <row r="34" ht="25" customHeight="1">
      <c r="A34" s="518" t="inlineStr">
        <is>
          <t xml:space="preserve">명절비</t>
        </is>
      </c>
      <c r="B34" s="518"/>
      <c r="C34" s="518"/>
      <c r="D34" s="519"/>
      <c r="E34" s="519"/>
      <c r="F34" s="519"/>
      <c r="G34" s="519"/>
      <c r="H34" s="519"/>
      <c r="I34" s="519"/>
      <c r="J34" s="519"/>
      <c r="K34" s="519"/>
      <c r="L34" s="519"/>
      <c r="M34" s="519"/>
      <c r="N34" s="519"/>
      <c r="O34" s="519"/>
    </row>
    <row r="35" ht="25" customHeight="1">
      <c r="A35" s="518" t="inlineStr">
        <is>
          <t xml:space="preserve">여행비</t>
        </is>
      </c>
      <c r="B35" s="518"/>
      <c r="C35" s="518"/>
      <c r="D35" s="519"/>
      <c r="E35" s="519"/>
      <c r="F35" s="519"/>
      <c r="G35" s="519"/>
      <c r="H35" s="519"/>
      <c r="I35" s="519"/>
      <c r="J35" s="519"/>
      <c r="K35" s="519"/>
      <c r="L35" s="519"/>
      <c r="M35" s="519"/>
      <c r="N35" s="519"/>
      <c r="O35" s="519"/>
    </row>
    <row r="36" ht="25" customHeight="1">
      <c r="A36" s="518" t="inlineStr">
        <is>
          <t xml:space="preserve">경조사비</t>
        </is>
      </c>
      <c r="B36" s="518"/>
      <c r="C36" s="518"/>
      <c r="D36" s="519"/>
      <c r="E36" s="519"/>
      <c r="F36" s="519"/>
      <c r="G36" s="519"/>
      <c r="H36" s="519"/>
      <c r="I36" s="519"/>
      <c r="J36" s="519"/>
      <c r="K36" s="519"/>
      <c r="L36" s="519"/>
      <c r="M36" s="519"/>
      <c r="N36" s="519"/>
      <c r="O36" s="519"/>
    </row>
    <row r="37" ht="25" customHeight="1">
      <c r="A37" s="518" t="inlineStr">
        <is>
          <t xml:space="preserve">상환비</t>
        </is>
      </c>
      <c r="B37" s="518"/>
      <c r="C37" s="518"/>
      <c r="D37" s="519"/>
      <c r="E37" s="519"/>
      <c r="F37" s="519"/>
      <c r="G37" s="519"/>
      <c r="H37" s="519"/>
      <c r="I37" s="519"/>
      <c r="J37" s="519"/>
      <c r="K37" s="519"/>
      <c r="L37" s="519"/>
      <c r="M37" s="519"/>
      <c r="N37" s="519"/>
      <c r="O37" s="519"/>
    </row>
    <row r="38" ht="25" customHeight="1">
      <c r="A38" s="518" t="inlineStr">
        <is>
          <t xml:space="preserve">예비비</t>
        </is>
      </c>
      <c r="B38" s="518"/>
      <c r="C38" s="518"/>
      <c r="D38" s="519"/>
      <c r="E38" s="519"/>
      <c r="F38" s="519"/>
      <c r="G38" s="519"/>
      <c r="H38" s="519"/>
      <c r="I38" s="519"/>
      <c r="J38" s="519"/>
      <c r="K38" s="519"/>
      <c r="L38" s="519"/>
      <c r="M38" s="519"/>
      <c r="N38" s="519"/>
      <c r="O38" s="519"/>
    </row>
    <row r="39" ht="25" customHeight="1">
      <c r="A39" s="518" t="inlineStr">
        <is>
          <t xml:space="preserve">사용계획 합계</t>
        </is>
      </c>
      <c r="B39" s="518"/>
      <c r="C39" s="518"/>
      <c r="D39" s="521">
        <f>IF(COUNT(D34:D38)=0,"",SUM(D34:D38))</f>
      </c>
      <c r="E39" s="521">
        <f>IF(COUNT(E34:E38)=0,"",SUM(E34:E38))</f>
      </c>
      <c r="F39" s="521">
        <f>IF(COUNT(F34:F38)=0,"",SUM(F34:F38))</f>
      </c>
      <c r="G39" s="521">
        <f>IF(COUNT(G34:G38)=0,"",SUM(G34:G38))</f>
      </c>
      <c r="H39" s="521">
        <f>IF(COUNT(H34:H38)=0,"",SUM(H34:H38))</f>
      </c>
      <c r="I39" s="521">
        <f>IF(COUNT(I34:I38)=0,"",SUM(I34:I38))</f>
      </c>
      <c r="J39" s="521">
        <f>IF(COUNT(J34:J38)=0,"",SUM(J34:J38))</f>
      </c>
      <c r="K39" s="521">
        <f>IF(COUNT(K34:K38)=0,"",SUM(K34:K38))</f>
      </c>
      <c r="L39" s="521">
        <f>IF(COUNT(L34:L38)=0,"",SUM(L34:L38))</f>
      </c>
      <c r="M39" s="521">
        <f>IF(COUNT(M34:M38)=0,"",SUM(M34:M38))</f>
      </c>
      <c r="N39" s="521">
        <f>IF(COUNT(N34:N38)=0,"",SUM(N34:N38))</f>
      </c>
      <c r="O39" s="521">
        <f>IF(COUNT(O34:O38)=0,"",SUM(O34:O38))</f>
      </c>
    </row>
    <row r="40" ht="36" customHeight="1">
      <c r="A40" s="502" t="inlineStr">
        <is>
          <t xml:space="preserve">사용계획은 참고용입니다. 비워두면 미입력, 0을 입력하면 사용계획 없음입니다. 실제 사용·잔액에는 영향을 주지 않습니다.</t>
        </is>
      </c>
      <c r="B40" s="502"/>
      <c r="C40" s="502"/>
      <c r="D40" s="502"/>
      <c r="E40" s="502"/>
      <c r="F40" s="502"/>
      <c r="G40" s="502"/>
      <c r="H40" s="502"/>
      <c r="I40" s="502"/>
      <c r="J40" s="502"/>
      <c r="K40" s="502"/>
      <c r="L40" s="502"/>
      <c r="M40" s="502"/>
      <c r="N40" s="502"/>
      <c r="O40" s="502"/>
    </row>
    <row r="42" ht="24" customHeight="1">
      <c r="A42" s="499" t="inlineStr">
        <is>
          <t xml:space="preserve">3  이체 내역 | 사용과 실제 자금 이동을 함께 확인</t>
        </is>
      </c>
      <c r="B42" s="500" t="n"/>
      <c r="C42" s="500" t="n"/>
      <c r="D42" s="500" t="n"/>
      <c r="E42" s="500" t="n"/>
      <c r="F42" s="500" t="n"/>
      <c r="G42" s="500" t="n"/>
      <c r="H42" s="500" t="n"/>
      <c r="I42" s="500" t="n"/>
      <c r="J42" s="500" t="n"/>
      <c r="K42" s="500" t="n"/>
      <c r="L42" s="500" t="n"/>
      <c r="M42" s="500" t="n"/>
      <c r="N42" s="500" t="n"/>
      <c r="O42" s="500" t="n"/>
    </row>
    <row r="43" ht="36" customHeight="1">
      <c r="A43" s="504" t="inlineStr">
        <is>
          <t>표시</t>
        </is>
      </c>
      <c r="B43" s="522" t="inlineStr">
        <is>
          <t>조회월</t>
        </is>
      </c>
      <c r="C43" s="506" t="n"/>
      <c r="D43" s="502" t="str">
        <f>"확보된 결제대금비: "&amp;IF(ISNUMBER(IF($B$3&lt;DATE(2026,3,1),"원장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),TEXT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,"#,##0")&amp;"원","원장 없음")&amp;" · 카드대금 출금은 새 사용이 아닙니다."</f>
        <v>확보된 결제대금비: 0원 · 카드대금 출금은 새 사용이 아닙니다.</v>
      </c>
      <c r="E43" s="503" t="n"/>
      <c r="F43" s="503" t="n"/>
      <c r="G43" s="503" t="n"/>
      <c r="H43" s="503" t="n"/>
      <c r="I43" s="503" t="n"/>
      <c r="J43" s="503" t="n"/>
      <c r="K43" s="503" t="n"/>
      <c r="L43" s="503" t="n"/>
      <c r="M43" s="503" t="n"/>
      <c r="N43" s="503" t="n"/>
      <c r="O43" s="503" t="n"/>
    </row>
    <row r="44" ht="24" customHeight="1">
      <c r="A44" s="504" t="inlineStr">
        <is>
          <t>사용 페이지</t>
        </is>
      </c>
      <c r="B44" s="523" t="n">
        <v>1</v>
      </c>
      <c r="C44" s="506" t="n"/>
      <c r="D44" s="502" t="str">
        <f>COUNTIF($X$100:$X$399,1)&amp;"건 · 표시 페이지 "&amp;AC44&amp;" / "&amp;MAX(1,ROUNDUP(COUNTIF($X$100:$X$399,1)/12,0))</f>
        <v>1건 · 표시 페이지 1 / 1</v>
      </c>
      <c r="E44" s="503" t="n"/>
      <c r="F44" s="503" t="n"/>
      <c r="G44" s="503" t="n"/>
      <c r="H44" s="503" t="n"/>
      <c r="I44" s="503" t="n"/>
      <c r="J44" s="503" t="n"/>
      <c r="K44" s="503" t="n"/>
      <c r="L44" s="503" t="n"/>
      <c r="M44" s="503" t="n"/>
      <c r="N44" s="503" t="n"/>
      <c r="O44" s="503" t="n"/>
      <c r="AC44" s="504">
        <f>MIN(MAX(1,B44),MAX(1,ROUNDUP(COUNTIF($X$100:$X$399,1)/12,0)))</f>
        <v>1</v>
      </c>
    </row>
    <row r="45" ht="36" customHeight="1">
      <c r="A45" s="507" t="inlineStr">
        <is>
          <t>사용일/월</t>
        </is>
      </c>
      <c r="B45" s="507" t="inlineStr">
        <is>
          <t>사용 내용</t>
        </is>
      </c>
      <c r="C45" s="507" t="n"/>
      <c r="D45" s="507" t="inlineStr">
        <is>
          <t>항목</t>
        </is>
      </c>
      <c r="E45" s="507" t="inlineStr">
        <is>
          <t>사용액</t>
        </is>
      </c>
      <c r="F45" s="507" t="inlineStr">
        <is>
          <t>당월 정산</t>
        </is>
      </c>
      <c r="G45" s="507" t="inlineStr">
        <is>
          <t>누적 정산</t>
        </is>
      </c>
      <c r="H45" s="507" t="inlineStr">
        <is>
          <t xml:space="preserve">아직 옮길 돈</t>
        </is>
      </c>
      <c r="I45" s="507" t="inlineStr">
        <is>
          <t>상태</t>
        </is>
      </c>
      <c r="J45" s="507" t="n"/>
      <c r="K45" s="507" t="inlineStr">
        <is>
          <t>연결</t>
        </is>
      </c>
      <c r="L45" s="507" t="n"/>
      <c r="M45" s="507" t="inlineStr">
        <is>
          <t>원본·등록</t>
        </is>
      </c>
      <c r="N45" s="507" t="n"/>
      <c r="O45" s="507" t="n"/>
    </row>
    <row r="46" ht="24" customHeight="1">
      <c r="A46" s="518" t="str">
        <f>IF($AB46=0,"",IF(INDEX($G$100:$G$399,$AB46)="월기록",TEXT(INDEX($D$100:$D$399,$AB46),"yyyy-mm"),TEXT(INDEX($D$100:$D$399,$AB46),"m/d")))</f>
        <v>2026-10</v>
      </c>
      <c r="B46" s="518" t="str">
        <f>IF($AB46=0,"",INDEX($B$100:$B$399,$AB46))</f>
        <v>부모 생신 본인 부담</v>
      </c>
      <c r="C46" s="511" t="n"/>
      <c r="D46" s="518" t="str">
        <f>IF($AB46=0,"",INDEX($C$100:$C$399,$AB46))</f>
        <v>경조사비</v>
      </c>
      <c r="E46" s="521">
        <f>IF($AB46=0,"",INDEX($E$100:$E$399,$AB46))</f>
        <v>239000</v>
      </c>
      <c r="F46" s="521">
        <f>IF($AB46=0,"",INDEX($Z$100:$Z$399,$AB46))</f>
        <v>0</v>
      </c>
      <c r="G46" s="521">
        <f>IF($AB46=0,"",INDEX($T$100:$T$399,$AB46))</f>
        <v>239000</v>
      </c>
      <c r="H46" s="521">
        <f>IF($AB46=0,"",INDEX($U$100:$U$399,$AB46))</f>
        <v>0</v>
      </c>
      <c r="I46" s="518" t="str">
        <f>IF($AB46=0,"",IF($B$3&lt;DATE(2026,3,1),"정산일 미기록",IF(INDEX($D$100:$D$399,$AB46)&gt;=EDATE($B$3,1),"선이체",IF(INDEX($U$100:$U$399,$AB46)=0,"정산완료",IF(INDEX($T$100:$T$399,$AB46)&gt;0,"부분정산","미정산")))))</f>
        <v>정산완료</v>
      </c>
      <c r="J46" s="511" t="n"/>
      <c r="K46" s="518" t="str">
        <f>IF($AB46=0,"",COUNTIFS($B$430:$B$729,INDEX($A$100:$A$399,$AB46),$N$430:$N$729,"OK",$E$430:$E$729,"&lt;"&amp;EDATE($B$3,1))&amp;"건")</f>
        <v>2건</v>
      </c>
      <c r="L46" s="511" t="n"/>
      <c r="M46" s="518" t="str">
        <f>IF($AB46=0,"",HYPERLINK("#'예비비'!A98","등록 "&amp;($AB46+99)&amp;"행 확인"))</f>
        <v>등록 107행 확인</v>
      </c>
      <c r="N46" s="511" t="n"/>
      <c r="O46" s="511" t="n"/>
      <c r="AB46" s="504">
        <f>IFERROR(MATCH(($AC$44-1)*12+1,$Y$100:$Y$399,0),0)</f>
        <v>8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IFERROR(MATCH(($AC$44-1)*12+2,$Y$100:$Y$399,0),0)</f>
        <v>0</v>
      </c>
    </row>
    <row r="48" ht="24" customHeight="1">
      <c r="A48" s="518">
        <f>IF($AB48=0,"",IF(INDEX($G$100:$G$399,$AB48)="월기록",TEXT(INDEX($D$100:$D$399,$AB48),"yyyy-mm"),TEXT(INDEX($D$100:$D$399,$AB48),"m/d")))</f>
      </c>
      <c r="B48" s="518">
        <f>IF($AB48=0,"",INDEX($B$100:$B$399,$AB48))</f>
      </c>
      <c r="C48" s="511" t="n"/>
      <c r="D48" s="518">
        <f>IF($AB48=0,"",INDEX($C$100:$C$399,$AB48))</f>
      </c>
      <c r="E48" s="521">
        <f>IF($AB48=0,"",INDEX($E$100:$E$399,$AB48))</f>
      </c>
      <c r="F48" s="521">
        <f>IF($AB48=0,"",INDEX($Z$100:$Z$399,$AB48))</f>
      </c>
      <c r="G48" s="521">
        <f>IF($AB48=0,"",INDEX($T$100:$T$399,$AB48))</f>
      </c>
      <c r="H48" s="521">
        <f>IF($AB48=0,"",INDEX($U$100:$U$399,$AB48))</f>
      </c>
      <c r="I48" s="518">
        <f>IF($AB48=0,"",IF($B$3&lt;DATE(2026,3,1),"정산일 미기록",IF(INDEX($D$100:$D$399,$AB48)&gt;=EDATE($B$3,1),"선이체",IF(INDEX($U$100:$U$399,$AB48)=0,"정산완료",IF(INDEX($T$100:$T$399,$AB48)&gt;0,"부분정산","미정산")))))</f>
      </c>
      <c r="J48" s="511" t="n"/>
      <c r="K48" s="518">
        <f>IF($AB48=0,"",COUNTIFS($B$430:$B$729,INDEX($A$100:$A$399,$AB48),$N$430:$N$729,"OK",$E$430:$E$729,"&lt;"&amp;EDATE($B$3,1))&amp;"건")</f>
      </c>
      <c r="L48" s="511" t="n"/>
      <c r="M48" s="518">
        <f>IF($AB48=0,"",HYPERLINK("#'예비비'!A98","등록 "&amp;($AB48+99)&amp;"행 확인"))</f>
      </c>
      <c r="N48" s="511" t="n"/>
      <c r="O48" s="511" t="n"/>
      <c r="AB48" s="504">
        <f>IFERROR(MATCH(($AC$44-1)*12+3,$Y$100:$Y$399,0),0)</f>
        <v>0</v>
      </c>
    </row>
    <row r="49" ht="24" customHeight="1">
      <c r="A49" s="518">
        <f>IF($AB49=0,"",IF(INDEX($G$100:$G$399,$AB49)="월기록",TEXT(INDEX($D$100:$D$399,$AB49),"yyyy-mm"),TEXT(INDEX($D$100:$D$399,$AB49),"m/d")))</f>
      </c>
      <c r="B49" s="518">
        <f>IF($AB49=0,"",INDEX($B$100:$B$399,$AB49))</f>
      </c>
      <c r="C49" s="511" t="n"/>
      <c r="D49" s="518">
        <f>IF($AB49=0,"",INDEX($C$100:$C$399,$AB49))</f>
      </c>
      <c r="E49" s="521">
        <f>IF($AB49=0,"",INDEX($E$100:$E$399,$AB49))</f>
      </c>
      <c r="F49" s="521">
        <f>IF($AB49=0,"",INDEX($Z$100:$Z$399,$AB49))</f>
      </c>
      <c r="G49" s="521">
        <f>IF($AB49=0,"",INDEX($T$100:$T$399,$AB49))</f>
      </c>
      <c r="H49" s="521">
        <f>IF($AB49=0,"",INDEX($U$100:$U$399,$AB49))</f>
      </c>
      <c r="I49" s="518">
        <f>IF($AB49=0,"",IF($B$3&lt;DATE(2026,3,1),"정산일 미기록",IF(INDEX($D$100:$D$399,$AB49)&gt;=EDATE($B$3,1),"선이체",IF(INDEX($U$100:$U$399,$AB49)=0,"정산완료",IF(INDEX($T$100:$T$399,$AB49)&gt;0,"부분정산","미정산")))))</f>
      </c>
      <c r="J49" s="511" t="n"/>
      <c r="K49" s="518">
        <f>IF($AB49=0,"",COUNTIFS($B$430:$B$729,INDEX($A$100:$A$399,$AB49),$N$430:$N$729,"OK",$E$430:$E$729,"&lt;"&amp;EDATE($B$3,1))&amp;"건")</f>
      </c>
      <c r="L49" s="511" t="n"/>
      <c r="M49" s="518">
        <f>IF($AB49=0,"",HYPERLINK("#'예비비'!A98","등록 "&amp;($AB49+99)&amp;"행 확인"))</f>
      </c>
      <c r="N49" s="511" t="n"/>
      <c r="O49" s="511" t="n"/>
      <c r="AB49" s="504">
        <f>IFERROR(MATCH(($AC$44-1)*12+4,$Y$100:$Y$399,0),0)</f>
        <v>0</v>
      </c>
    </row>
    <row r="50" ht="24" customHeight="1">
      <c r="A50" s="518">
        <f>IF($AB50=0,"",IF(INDEX($G$100:$G$399,$AB50)="월기록",TEXT(INDEX($D$100:$D$399,$AB50),"yyyy-mm"),TEXT(INDEX($D$100:$D$399,$AB50),"m/d")))</f>
      </c>
      <c r="B50" s="518">
        <f>IF($AB50=0,"",INDEX($B$100:$B$399,$AB50))</f>
      </c>
      <c r="C50" s="511" t="n"/>
      <c r="D50" s="518">
        <f>IF($AB50=0,"",INDEX($C$100:$C$399,$AB50))</f>
      </c>
      <c r="E50" s="521">
        <f>IF($AB50=0,"",INDEX($E$100:$E$399,$AB50))</f>
      </c>
      <c r="F50" s="521">
        <f>IF($AB50=0,"",INDEX($Z$100:$Z$399,$AB50))</f>
      </c>
      <c r="G50" s="521">
        <f>IF($AB50=0,"",INDEX($T$100:$T$399,$AB50))</f>
      </c>
      <c r="H50" s="521">
        <f>IF($AB50=0,"",INDEX($U$100:$U$399,$AB50))</f>
      </c>
      <c r="I50" s="518">
        <f>IF($AB50=0,"",IF($B$3&lt;DATE(2026,3,1),"정산일 미기록",IF(INDEX($D$100:$D$399,$AB50)&gt;=EDATE($B$3,1),"선이체",IF(INDEX($U$100:$U$399,$AB50)=0,"정산완료",IF(INDEX($T$100:$T$399,$AB50)&gt;0,"부분정산","미정산")))))</f>
      </c>
      <c r="J50" s="511" t="n"/>
      <c r="K50" s="518">
        <f>IF($AB50=0,"",COUNTIFS($B$430:$B$729,INDEX($A$100:$A$399,$AB50),$N$430:$N$729,"OK",$E$430:$E$729,"&lt;"&amp;EDATE($B$3,1))&amp;"건")</f>
      </c>
      <c r="L50" s="511" t="n"/>
      <c r="M50" s="518">
        <f>IF($AB50=0,"",HYPERLINK("#'예비비'!A98","등록 "&amp;($AB50+99)&amp;"행 확인"))</f>
      </c>
      <c r="N50" s="511" t="n"/>
      <c r="O50" s="511" t="n"/>
      <c r="AB50" s="504">
        <f>IFERROR(MATCH(($AC$44-1)*12+5,$Y$100:$Y$399,0),0)</f>
        <v>0</v>
      </c>
    </row>
    <row r="51" ht="24" customHeight="1">
      <c r="A51" s="518">
        <f>IF($AB51=0,"",IF(INDEX($G$100:$G$399,$AB51)="월기록",TEXT(INDEX($D$100:$D$399,$AB51),"yyyy-mm"),TEXT(INDEX($D$100:$D$399,$AB51),"m/d")))</f>
      </c>
      <c r="B51" s="518">
        <f>IF($AB51=0,"",INDEX($B$100:$B$399,$AB51))</f>
      </c>
      <c r="C51" s="511" t="n"/>
      <c r="D51" s="518">
        <f>IF($AB51=0,"",INDEX($C$100:$C$399,$AB51))</f>
      </c>
      <c r="E51" s="521">
        <f>IF($AB51=0,"",INDEX($E$100:$E$399,$AB51))</f>
      </c>
      <c r="F51" s="521">
        <f>IF($AB51=0,"",INDEX($Z$100:$Z$399,$AB51))</f>
      </c>
      <c r="G51" s="521">
        <f>IF($AB51=0,"",INDEX($T$100:$T$399,$AB51))</f>
      </c>
      <c r="H51" s="521">
        <f>IF($AB51=0,"",INDEX($U$100:$U$399,$AB51))</f>
      </c>
      <c r="I51" s="518">
        <f>IF($AB51=0,"",IF($B$3&lt;DATE(2026,3,1),"정산일 미기록",IF(INDEX($D$100:$D$399,$AB51)&gt;=EDATE($B$3,1),"선이체",IF(INDEX($U$100:$U$399,$AB51)=0,"정산완료",IF(INDEX($T$100:$T$399,$AB51)&gt;0,"부분정산","미정산")))))</f>
      </c>
      <c r="J51" s="511" t="n"/>
      <c r="K51" s="518">
        <f>IF($AB51=0,"",COUNTIFS($B$430:$B$729,INDEX($A$100:$A$399,$AB51),$N$430:$N$729,"OK",$E$430:$E$729,"&lt;"&amp;EDATE($B$3,1))&amp;"건")</f>
      </c>
      <c r="L51" s="511" t="n"/>
      <c r="M51" s="518">
        <f>IF($AB51=0,"",HYPERLINK("#'예비비'!A98","등록 "&amp;($AB51+99)&amp;"행 확인"))</f>
      </c>
      <c r="N51" s="511" t="n"/>
      <c r="O51" s="511" t="n"/>
      <c r="AB51" s="504">
        <f>IFERROR(MATCH(($AC$44-1)*12+6,$Y$100:$Y$399,0),0)</f>
        <v>0</v>
      </c>
    </row>
    <row r="52" ht="24" customHeight="1">
      <c r="A52" s="518">
        <f>IF($AB52=0,"",IF(INDEX($G$100:$G$399,$AB52)="월기록",TEXT(INDEX($D$100:$D$399,$AB52),"yyyy-mm"),TEXT(INDEX($D$100:$D$399,$AB52),"m/d")))</f>
      </c>
      <c r="B52" s="518">
        <f>IF($AB52=0,"",INDEX($B$100:$B$399,$AB52))</f>
      </c>
      <c r="C52" s="511" t="n"/>
      <c r="D52" s="518">
        <f>IF($AB52=0,"",INDEX($C$100:$C$399,$AB52))</f>
      </c>
      <c r="E52" s="521">
        <f>IF($AB52=0,"",INDEX($E$100:$E$399,$AB52))</f>
      </c>
      <c r="F52" s="521">
        <f>IF($AB52=0,"",INDEX($Z$100:$Z$399,$AB52))</f>
      </c>
      <c r="G52" s="521">
        <f>IF($AB52=0,"",INDEX($T$100:$T$399,$AB52))</f>
      </c>
      <c r="H52" s="521">
        <f>IF($AB52=0,"",INDEX($U$100:$U$399,$AB52))</f>
      </c>
      <c r="I52" s="518">
        <f>IF($AB52=0,"",IF($B$3&lt;DATE(2026,3,1),"정산일 미기록",IF(INDEX($D$100:$D$399,$AB52)&gt;=EDATE($B$3,1),"선이체",IF(INDEX($U$100:$U$399,$AB52)=0,"정산완료",IF(INDEX($T$100:$T$399,$AB52)&gt;0,"부분정산","미정산")))))</f>
      </c>
      <c r="J52" s="511" t="n"/>
      <c r="K52" s="518">
        <f>IF($AB52=0,"",COUNTIFS($B$430:$B$729,INDEX($A$100:$A$399,$AB52),$N$430:$N$729,"OK",$E$430:$E$729,"&lt;"&amp;EDATE($B$3,1))&amp;"건")</f>
      </c>
      <c r="L52" s="511" t="n"/>
      <c r="M52" s="518">
        <f>IF($AB52=0,"",HYPERLINK("#'예비비'!A98","등록 "&amp;($AB52+99)&amp;"행 확인"))</f>
      </c>
      <c r="N52" s="511" t="n"/>
      <c r="O52" s="511" t="n"/>
      <c r="AB52" s="504">
        <f>IFERROR(MATCH(($AC$44-1)*12+7,$Y$100:$Y$399,0),0)</f>
        <v>0</v>
      </c>
    </row>
    <row r="53" ht="24" customHeight="1">
      <c r="A53" s="518">
        <f>IF($AB53=0,"",IF(INDEX($G$100:$G$399,$AB53)="월기록",TEXT(INDEX($D$100:$D$399,$AB53),"yyyy-mm"),TEXT(INDEX($D$100:$D$399,$AB53),"m/d")))</f>
      </c>
      <c r="B53" s="518">
        <f>IF($AB53=0,"",INDEX($B$100:$B$399,$AB53))</f>
      </c>
      <c r="C53" s="511" t="n"/>
      <c r="D53" s="518">
        <f>IF($AB53=0,"",INDEX($C$100:$C$399,$AB53))</f>
      </c>
      <c r="E53" s="521">
        <f>IF($AB53=0,"",INDEX($E$100:$E$399,$AB53))</f>
      </c>
      <c r="F53" s="521">
        <f>IF($AB53=0,"",INDEX($Z$100:$Z$399,$AB53))</f>
      </c>
      <c r="G53" s="521">
        <f>IF($AB53=0,"",INDEX($T$100:$T$399,$AB53))</f>
      </c>
      <c r="H53" s="521">
        <f>IF($AB53=0,"",INDEX($U$100:$U$399,$AB53))</f>
      </c>
      <c r="I53" s="518">
        <f>IF($AB53=0,"",IF($B$3&lt;DATE(2026,3,1),"정산일 미기록",IF(INDEX($D$100:$D$399,$AB53)&gt;=EDATE($B$3,1),"선이체",IF(INDEX($U$100:$U$399,$AB53)=0,"정산완료",IF(INDEX($T$100:$T$399,$AB53)&gt;0,"부분정산","미정산")))))</f>
      </c>
      <c r="J53" s="511" t="n"/>
      <c r="K53" s="518">
        <f>IF($AB53=0,"",COUNTIFS($B$430:$B$729,INDEX($A$100:$A$399,$AB53),$N$430:$N$729,"OK",$E$430:$E$729,"&lt;"&amp;EDATE($B$3,1))&amp;"건")</f>
      </c>
      <c r="L53" s="511" t="n"/>
      <c r="M53" s="518">
        <f>IF($AB53=0,"",HYPERLINK("#'예비비'!A98","등록 "&amp;($AB53+99)&amp;"행 확인"))</f>
      </c>
      <c r="N53" s="511" t="n"/>
      <c r="O53" s="511" t="n"/>
      <c r="AB53" s="504">
        <f>IFERROR(MATCH(($AC$44-1)*12+8,$Y$100:$Y$399,0),0)</f>
        <v>0</v>
      </c>
    </row>
    <row r="54" ht="24" customHeight="1">
      <c r="A54" s="518">
        <f>IF($AB54=0,"",IF(INDEX($G$100:$G$399,$AB54)="월기록",TEXT(INDEX($D$100:$D$399,$AB54),"yyyy-mm"),TEXT(INDEX($D$100:$D$399,$AB54),"m/d")))</f>
      </c>
      <c r="B54" s="518">
        <f>IF($AB54=0,"",INDEX($B$100:$B$399,$AB54))</f>
      </c>
      <c r="C54" s="511" t="n"/>
      <c r="D54" s="518">
        <f>IF($AB54=0,"",INDEX($C$100:$C$399,$AB54))</f>
      </c>
      <c r="E54" s="521">
        <f>IF($AB54=0,"",INDEX($E$100:$E$399,$AB54))</f>
      </c>
      <c r="F54" s="521">
        <f>IF($AB54=0,"",INDEX($Z$100:$Z$399,$AB54))</f>
      </c>
      <c r="G54" s="521">
        <f>IF($AB54=0,"",INDEX($T$100:$T$399,$AB54))</f>
      </c>
      <c r="H54" s="521">
        <f>IF($AB54=0,"",INDEX($U$100:$U$399,$AB54))</f>
      </c>
      <c r="I54" s="518">
        <f>IF($AB54=0,"",IF($B$3&lt;DATE(2026,3,1),"정산일 미기록",IF(INDEX($D$100:$D$399,$AB54)&gt;=EDATE($B$3,1),"선이체",IF(INDEX($U$100:$U$399,$AB54)=0,"정산완료",IF(INDEX($T$100:$T$399,$AB54)&gt;0,"부분정산","미정산")))))</f>
      </c>
      <c r="J54" s="511" t="n"/>
      <c r="K54" s="518">
        <f>IF($AB54=0,"",COUNTIFS($B$430:$B$729,INDEX($A$100:$A$399,$AB54),$N$430:$N$729,"OK",$E$430:$E$729,"&lt;"&amp;EDATE($B$3,1))&amp;"건")</f>
      </c>
      <c r="L54" s="511" t="n"/>
      <c r="M54" s="518">
        <f>IF($AB54=0,"",HYPERLINK("#'예비비'!A98","등록 "&amp;($AB54+99)&amp;"행 확인"))</f>
      </c>
      <c r="N54" s="511" t="n"/>
      <c r="O54" s="511" t="n"/>
      <c r="AB54" s="504">
        <f>IFERROR(MATCH(($AC$44-1)*12+9,$Y$100:$Y$399,0),0)</f>
        <v>0</v>
      </c>
    </row>
    <row r="55" ht="24" customHeight="1">
      <c r="A55" s="518">
        <f>IF($AB55=0,"",IF(INDEX($G$100:$G$399,$AB55)="월기록",TEXT(INDEX($D$100:$D$399,$AB55),"yyyy-mm"),TEXT(INDEX($D$100:$D$399,$AB55),"m/d")))</f>
      </c>
      <c r="B55" s="518">
        <f>IF($AB55=0,"",INDEX($B$100:$B$399,$AB55))</f>
      </c>
      <c r="C55" s="511" t="n"/>
      <c r="D55" s="518">
        <f>IF($AB55=0,"",INDEX($C$100:$C$399,$AB55))</f>
      </c>
      <c r="E55" s="521">
        <f>IF($AB55=0,"",INDEX($E$100:$E$399,$AB55))</f>
      </c>
      <c r="F55" s="521">
        <f>IF($AB55=0,"",INDEX($Z$100:$Z$399,$AB55))</f>
      </c>
      <c r="G55" s="521">
        <f>IF($AB55=0,"",INDEX($T$100:$T$399,$AB55))</f>
      </c>
      <c r="H55" s="521">
        <f>IF($AB55=0,"",INDEX($U$100:$U$399,$AB55))</f>
      </c>
      <c r="I55" s="518">
        <f>IF($AB55=0,"",IF($B$3&lt;DATE(2026,3,1),"정산일 미기록",IF(INDEX($D$100:$D$399,$AB55)&gt;=EDATE($B$3,1),"선이체",IF(INDEX($U$100:$U$399,$AB55)=0,"정산완료",IF(INDEX($T$100:$T$399,$AB55)&gt;0,"부분정산","미정산")))))</f>
      </c>
      <c r="J55" s="511" t="n"/>
      <c r="K55" s="518">
        <f>IF($AB55=0,"",COUNTIFS($B$430:$B$729,INDEX($A$100:$A$399,$AB55),$N$430:$N$729,"OK",$E$430:$E$729,"&lt;"&amp;EDATE($B$3,1))&amp;"건")</f>
      </c>
      <c r="L55" s="511" t="n"/>
      <c r="M55" s="518">
        <f>IF($AB55=0,"",HYPERLINK("#'예비비'!A98","등록 "&amp;($AB55+99)&amp;"행 확인"))</f>
      </c>
      <c r="N55" s="511" t="n"/>
      <c r="O55" s="511" t="n"/>
      <c r="AB55" s="504">
        <f>IFERROR(MATCH(($AC$44-1)*12+10,$Y$100:$Y$399,0),0)</f>
        <v>0</v>
      </c>
    </row>
    <row r="56" ht="24" customHeight="1">
      <c r="A56" s="518">
        <f>IF($AB56=0,"",IF(INDEX($G$100:$G$399,$AB56)="월기록",TEXT(INDEX($D$100:$D$399,$AB56),"yyyy-mm"),TEXT(INDEX($D$100:$D$399,$AB56),"m/d")))</f>
      </c>
      <c r="B56" s="518">
        <f>IF($AB56=0,"",INDEX($B$100:$B$399,$AB56))</f>
      </c>
      <c r="C56" s="511" t="n"/>
      <c r="D56" s="518">
        <f>IF($AB56=0,"",INDEX($C$100:$C$399,$AB56))</f>
      </c>
      <c r="E56" s="521">
        <f>IF($AB56=0,"",INDEX($E$100:$E$399,$AB56))</f>
      </c>
      <c r="F56" s="521">
        <f>IF($AB56=0,"",INDEX($Z$100:$Z$399,$AB56))</f>
      </c>
      <c r="G56" s="521">
        <f>IF($AB56=0,"",INDEX($T$100:$T$399,$AB56))</f>
      </c>
      <c r="H56" s="521">
        <f>IF($AB56=0,"",INDEX($U$100:$U$399,$AB56))</f>
      </c>
      <c r="I56" s="518">
        <f>IF($AB56=0,"",IF($B$3&lt;DATE(2026,3,1),"정산일 미기록",IF(INDEX($D$100:$D$399,$AB56)&gt;=EDATE($B$3,1),"선이체",IF(INDEX($U$100:$U$399,$AB56)=0,"정산완료",IF(INDEX($T$100:$T$399,$AB56)&gt;0,"부분정산","미정산")))))</f>
      </c>
      <c r="J56" s="511" t="n"/>
      <c r="K56" s="518">
        <f>IF($AB56=0,"",COUNTIFS($B$430:$B$729,INDEX($A$100:$A$399,$AB56),$N$430:$N$729,"OK",$E$430:$E$729,"&lt;"&amp;EDATE($B$3,1))&amp;"건")</f>
      </c>
      <c r="L56" s="511" t="n"/>
      <c r="M56" s="518">
        <f>IF($AB56=0,"",HYPERLINK("#'예비비'!A98","등록 "&amp;($AB56+99)&amp;"행 확인"))</f>
      </c>
      <c r="N56" s="511" t="n"/>
      <c r="O56" s="511" t="n"/>
      <c r="AB56" s="504">
        <f>IFERROR(MATCH(($AC$44-1)*12+11,$Y$100:$Y$399,0),0)</f>
        <v>0</v>
      </c>
    </row>
    <row r="57" ht="24" customHeight="1">
      <c r="A57" s="518">
        <f>IF($AB57=0,"",IF(INDEX($G$100:$G$399,$AB57)="월기록",TEXT(INDEX($D$100:$D$399,$AB57),"yyyy-mm"),TEXT(INDEX($D$100:$D$399,$AB57),"m/d")))</f>
      </c>
      <c r="B57" s="518">
        <f>IF($AB57=0,"",INDEX($B$100:$B$399,$AB57))</f>
      </c>
      <c r="C57" s="511" t="n"/>
      <c r="D57" s="518">
        <f>IF($AB57=0,"",INDEX($C$100:$C$399,$AB57))</f>
      </c>
      <c r="E57" s="521">
        <f>IF($AB57=0,"",INDEX($E$100:$E$399,$AB57))</f>
      </c>
      <c r="F57" s="521">
        <f>IF($AB57=0,"",INDEX($Z$100:$Z$399,$AB57))</f>
      </c>
      <c r="G57" s="521">
        <f>IF($AB57=0,"",INDEX($T$100:$T$399,$AB57))</f>
      </c>
      <c r="H57" s="521">
        <f>IF($AB57=0,"",INDEX($U$100:$U$399,$AB57))</f>
      </c>
      <c r="I57" s="518">
        <f>IF($AB57=0,"",IF($B$3&lt;DATE(2026,3,1),"정산일 미기록",IF(INDEX($D$100:$D$399,$AB57)&gt;=EDATE($B$3,1),"선이체",IF(INDEX($U$100:$U$399,$AB57)=0,"정산완료",IF(INDEX($T$100:$T$399,$AB57)&gt;0,"부분정산","미정산")))))</f>
      </c>
      <c r="J57" s="511" t="n"/>
      <c r="K57" s="518">
        <f>IF($AB57=0,"",COUNTIFS($B$430:$B$729,INDEX($A$100:$A$399,$AB57),$N$430:$N$729,"OK",$E$430:$E$729,"&lt;"&amp;EDATE($B$3,1))&amp;"건")</f>
      </c>
      <c r="L57" s="511" t="n"/>
      <c r="M57" s="518">
        <f>IF($AB57=0,"",HYPERLINK("#'예비비'!A98","등록 "&amp;($AB57+99)&amp;"행 확인"))</f>
      </c>
      <c r="N57" s="511" t="n"/>
      <c r="O57" s="511" t="n"/>
      <c r="AB57" s="504">
        <f>IFERROR(MATCH(($AC$44-1)*12+12,$Y$100:$Y$399,0),0)</f>
        <v>0</v>
      </c>
    </row>
    <row r="58" ht="36" customHeight="1">
      <c r="A58" s="502" t="inlineStr">
        <is>
          <t xml:space="preserve">당월·누적 정산은 실제 재원 이동을 연결한 금액입니다. 이미 반영한 사용액은 나중에 이체할 때 다시 지출로 차감하지 않습니다.</t>
        </is>
      </c>
      <c r="B58" s="503" t="n"/>
      <c r="C58" s="503" t="n"/>
      <c r="D58" s="503" t="n"/>
      <c r="E58" s="503" t="n"/>
      <c r="F58" s="503" t="n"/>
      <c r="G58" s="503" t="n"/>
      <c r="H58" s="503" t="n"/>
      <c r="I58" s="503" t="n"/>
      <c r="J58" s="503" t="n"/>
      <c r="K58" s="503" t="n"/>
      <c r="L58" s="503" t="n"/>
      <c r="M58" s="503" t="n"/>
      <c r="N58" s="503" t="n"/>
      <c r="O58" s="503" t="n"/>
    </row>
    <row r="59" ht="24" customHeight="1">
      <c r="A59" s="506" t="n"/>
      <c r="B59" s="506" t="n"/>
      <c r="C59" s="506" t="n"/>
      <c r="D59" s="506" t="n"/>
      <c r="E59" s="506" t="n"/>
      <c r="F59" s="506" t="n"/>
      <c r="G59" s="506" t="n"/>
      <c r="H59" s="506" t="n"/>
      <c r="I59" s="506" t="n"/>
      <c r="J59" s="506" t="n"/>
      <c r="K59" s="506" t="n"/>
      <c r="L59" s="506" t="n"/>
      <c r="M59" s="506" t="n"/>
      <c r="N59" s="506" t="n"/>
      <c r="O59" s="506" t="n"/>
    </row>
    <row r="60" ht="24" customHeight="1">
      <c r="A60" s="504" t="inlineStr">
        <is>
          <t>이체 페이지</t>
        </is>
      </c>
      <c r="B60" s="523" t="n">
        <v>1</v>
      </c>
      <c r="C60" s="506" t="n"/>
      <c r="D60" s="502" t="str">
        <f>COUNTIF('_예비비계산'!$BH$120:$BH$556,"&gt;0")&amp;"건 · 해당 월 원장 변동 + 선택월 사용에 연결된 선이체"</f>
        <v>3건 · 해당 월 원장 변동 + 선택월 사용에 연결된 선이체</v>
      </c>
      <c r="E60" s="503" t="n"/>
      <c r="F60" s="503" t="n"/>
      <c r="G60" s="503" t="n"/>
      <c r="H60" s="503" t="n"/>
      <c r="I60" s="503" t="n"/>
      <c r="J60" s="503" t="n"/>
      <c r="K60" s="503" t="n"/>
      <c r="L60" s="503" t="n"/>
      <c r="M60" s="503" t="n"/>
      <c r="N60" s="503" t="n"/>
      <c r="O60" s="503" t="n"/>
      <c r="AC60" s="504">
        <f>MIN(MAX(1,B60),MAX(1,ROUNDUP(COUNTIF('_예비비계산'!$BH$120:$BH$556,"&gt;0")/12,0)))</f>
        <v>1</v>
      </c>
    </row>
    <row r="61" ht="30" customHeight="1">
      <c r="A61" s="507" t="inlineStr">
        <is>
          <t>원장일/월</t>
        </is>
      </c>
      <c r="B61" s="507" t="inlineStr">
        <is>
          <t>내용</t>
        </is>
      </c>
      <c r="C61" s="507" t="n"/>
      <c r="D61" s="507" t="inlineStr">
        <is>
          <t>보낸 계정</t>
        </is>
      </c>
      <c r="E61" s="507" t="n"/>
      <c r="F61" s="507" t="inlineStr">
        <is>
          <t>받는 계정/계좌</t>
        </is>
      </c>
      <c r="G61" s="507" t="n"/>
      <c r="H61" s="507" t="n"/>
      <c r="I61" s="507" t="inlineStr">
        <is>
          <t>원장 금액</t>
        </is>
      </c>
      <c r="J61" s="507" t="n"/>
      <c r="K61" s="507" t="inlineStr">
        <is>
          <t>연결 상태</t>
        </is>
      </c>
      <c r="L61" s="507" t="n"/>
      <c r="M61" s="507" t="inlineStr">
        <is>
          <t>원장 근거</t>
        </is>
      </c>
      <c r="N61" s="507" t="n"/>
      <c r="O61" s="507" t="n"/>
    </row>
    <row r="62" ht="24" customHeight="1">
      <c r="A62" s="518" t="str">
        <f>IF($AB62=0,"",TEXT(INDEX(잔액!$A:$A,INDEX('_예비비계산'!$BA$120:$BA$556,$AB62)),IF(INDEX(잔액!$L:$L,INDEX('_예비비계산'!$BA$120:$BA$556,$AB62))="원본WRAP","yyyy-mm","yyyy-mm-dd")))</f>
        <v>2026-08</v>
      </c>
      <c r="B62" s="518" t="str">
        <f>IF($AB62=0,"",INDEX(잔액!$F:$F,INDEX('_예비비계산'!$BA$120:$BA$556,$AB62)))</f>
        <v>가족통장</v>
      </c>
      <c r="C62" s="511" t="n"/>
      <c r="D62" s="518" t="str">
        <f>IF($AB62=0,"",INDEX(잔액!$C:$C,INDEX('_예비비계산'!$BA$120:$BA$556,$AB62)))</f>
        <v>임시보관</v>
      </c>
      <c r="E62" s="511" t="n"/>
      <c r="F62" s="518" t="str">
        <f>IF($AB62=0,"",IF(INDEX(잔액!$K:$K,INDEX('_예비비계산'!$BA$120:$BA$556,$AB62))&lt;&gt;"",INDEX(잔액!$K:$K,INDEX('_예비비계산'!$BA$120:$BA$556,$AB62)),INDEX(잔액!$D:$D,INDEX('_예비비계산'!$BA$120:$BA$556,$AB62))))</f>
        <v>지출</v>
      </c>
      <c r="G62" s="511" t="n"/>
      <c r="H62" s="511" t="n"/>
      <c r="I62" s="521">
        <f>IF($AB62=0,"",INDEX(잔액!$Y:$Y,INDEX('_예비비계산'!$BA$120:$BA$556,$AB62)))</f>
        <v>100000</v>
      </c>
      <c r="J62" s="511" t="n"/>
      <c r="K62" s="518" t="str">
        <f>IF($AB62=0,"",IF(COUNTIFS($C$430:$C$729,INDEX('_예비비계산'!$BA$120:$BA$556,$AB62),$N$430:$N$729,"OK")&gt;0,"정산 연결",INDEX(잔액!$B:$B,INDEX('_예비비계산'!$BA$120:$BA$556,$AB62))))</f>
        <v>정산 연결</v>
      </c>
      <c r="L62" s="511" t="n"/>
      <c r="M62" s="518" t="str">
        <f>IF($AB62=0,"",HYPERLINK("#'잔액'!A"&amp;INDEX('_예비비계산'!$BA$120:$BA$556,$AB62),"원장 "&amp;INDEX('_예비비계산'!$BA$120:$BA$556,$AB62)&amp;"행 ↗"))</f>
        <v>원장 208행 ↗</v>
      </c>
      <c r="N62" s="511" t="n"/>
      <c r="O62" s="511" t="n"/>
      <c r="AB62" s="504">
        <f>IFERROR(MATCH(($AC$60-1)*12+1,'_예비비계산'!$BH$120:$BH$556,0),0)</f>
        <v>145</v>
      </c>
    </row>
    <row r="63" ht="24" customHeight="1">
      <c r="A63" s="518" t="str">
        <f>IF($AB63=0,"",TEXT(INDEX(잔액!$A:$A,INDEX('_예비비계산'!$BA$120:$BA$556,$AB63)),IF(INDEX(잔액!$L:$L,INDEX('_예비비계산'!$BA$120:$BA$556,$AB63))="원본WRAP","yyyy-mm","yyyy-mm-dd")))</f>
        <v>2026-09</v>
      </c>
      <c r="B63" s="518" t="str">
        <f>IF($AB63=0,"",INDEX(잔액!$F:$F,INDEX('_예비비계산'!$BA$120:$BA$556,$AB63)))</f>
        <v>10월 부모 생신 자금 선이체</v>
      </c>
      <c r="C63" s="511" t="n"/>
      <c r="D63" s="518" t="str">
        <f>IF($AB63=0,"",INDEX(잔액!$C:$C,INDEX('_예비비계산'!$BA$120:$BA$556,$AB63)))</f>
        <v>명절비</v>
      </c>
      <c r="E63" s="511" t="n"/>
      <c r="F63" s="518" t="str">
        <f>IF($AB63=0,"",IF(INDEX(잔액!$K:$K,INDEX('_예비비계산'!$BA$120:$BA$556,$AB63))&lt;&gt;"",INDEX(잔액!$K:$K,INDEX('_예비비계산'!$BA$120:$BA$556,$AB63)),INDEX(잔액!$D:$D,INDEX('_예비비계산'!$BA$120:$BA$556,$AB63))))</f>
        <v>가족통장</v>
      </c>
      <c r="G63" s="511" t="n"/>
      <c r="H63" s="511" t="n"/>
      <c r="I63" s="521">
        <f>IF($AB63=0,"",INDEX(잔액!$Y:$Y,INDEX('_예비비계산'!$BA$120:$BA$556,$AB63)))</f>
        <v>200000</v>
      </c>
      <c r="J63" s="511" t="n"/>
      <c r="K63" s="518" t="str">
        <f>IF($AB63=0,"",IF(COUNTIFS($C$430:$C$729,INDEX('_예비비계산'!$BA$120:$BA$556,$AB63),$N$430:$N$729,"OK")&gt;0,"정산 연결",INDEX(잔액!$B:$B,INDEX('_예비비계산'!$BA$120:$BA$556,$AB63))))</f>
        <v>정산 연결</v>
      </c>
      <c r="L63" s="511" t="n"/>
      <c r="M63" s="518" t="str">
        <f>IF($AB63=0,"",HYPERLINK("#'잔액'!A"&amp;INDEX('_예비비계산'!$BA$120:$BA$556,$AB63),"원장 "&amp;INDEX('_예비비계산'!$BA$120:$BA$556,$AB63)&amp;"행 ↗"))</f>
        <v>원장 223행 ↗</v>
      </c>
      <c r="N63" s="511" t="n"/>
      <c r="O63" s="511" t="n"/>
      <c r="AB63" s="504">
        <f>IFERROR(MATCH(($AC$60-1)*12+2,'_예비비계산'!$BH$120:$BH$556,0),0)</f>
        <v>160</v>
      </c>
    </row>
    <row r="64" ht="24" customHeight="1">
      <c r="A64" s="518" t="str">
        <f>IF($AB64=0,"",TEXT(INDEX(잔액!$A:$A,INDEX('_예비비계산'!$BA$120:$BA$556,$AB64)),IF(INDEX(잔액!$L:$L,INDEX('_예비비계산'!$BA$120:$BA$556,$AB64))="원본WRAP","yyyy-mm","yyyy-mm-dd")))</f>
        <v>2026-10-15</v>
      </c>
      <c r="B64" s="518" t="str">
        <f>IF($AB64=0,"",INDEX(잔액!$F:$F,INDEX('_예비비계산'!$BA$120:$BA$556,$AB64)))</f>
        <v>부모 생신 미사용 원금 회수</v>
      </c>
      <c r="C64" s="511" t="n"/>
      <c r="D64" s="518" t="str">
        <f>IF($AB64=0,"",INDEX(잔액!$C:$C,INDEX('_예비비계산'!$BA$120:$BA$556,$AB64)))</f>
        <v>외부</v>
      </c>
      <c r="E64" s="511" t="n"/>
      <c r="F64" s="518" t="str">
        <f>IF($AB64=0,"",IF(INDEX(잔액!$K:$K,INDEX('_예비비계산'!$BA$120:$BA$556,$AB64))&lt;&gt;"",INDEX(잔액!$K:$K,INDEX('_예비비계산'!$BA$120:$BA$556,$AB64)),INDEX(잔액!$D:$D,INDEX('_예비비계산'!$BA$120:$BA$556,$AB64))))</f>
        <v>미래에셋_WRAP형CMA</v>
      </c>
      <c r="G64" s="511" t="n"/>
      <c r="H64" s="511" t="n"/>
      <c r="I64" s="521">
        <f>IF($AB64=0,"",INDEX(잔액!$Y:$Y,INDEX('_예비비계산'!$BA$120:$BA$556,$AB64)))</f>
        <v>61000</v>
      </c>
      <c r="J64" s="511" t="n"/>
      <c r="K64" s="518" t="str">
        <f>IF($AB64=0,"",IF(COUNTIFS($C$430:$C$729,INDEX('_예비비계산'!$BA$120:$BA$556,$AB64),$N$430:$N$729,"OK")&gt;0,"정산 연결",INDEX(잔액!$B:$B,INDEX('_예비비계산'!$BA$120:$BA$556,$AB64))))</f>
        <v>이체</v>
      </c>
      <c r="L64" s="511" t="n"/>
      <c r="M64" s="518" t="str">
        <f>IF($AB64=0,"",HYPERLINK("#'잔액'!A"&amp;INDEX('_예비비계산'!$BA$120:$BA$556,$AB64),"원장 "&amp;INDEX('_예비비계산'!$BA$120:$BA$556,$AB64)&amp;"행 ↗"))</f>
        <v>원장 246행 ↗</v>
      </c>
      <c r="N64" s="511" t="n"/>
      <c r="O64" s="511" t="n"/>
      <c r="AB64" s="504">
        <f>IFERROR(MATCH(($AC$60-1)*12+3,'_예비비계산'!$BH$120:$BH$556,0),0)</f>
        <v>183</v>
      </c>
    </row>
    <row r="65" ht="24" customHeight="1">
      <c r="A65" s="518">
        <f>IF($AB65=0,"",TEXT(INDEX(잔액!$A:$A,INDEX('_예비비계산'!$BA$120:$BA$556,$AB65)),IF(INDEX(잔액!$L:$L,INDEX('_예비비계산'!$BA$120:$BA$556,$AB65))="원본WRAP","yyyy-mm","yyyy-mm-dd")))</f>
      </c>
      <c r="B65" s="518">
        <f>IF($AB65=0,"",INDEX(잔액!$F:$F,INDEX('_예비비계산'!$BA$120:$BA$556,$AB65)))</f>
      </c>
      <c r="C65" s="511" t="n"/>
      <c r="D65" s="518">
        <f>IF($AB65=0,"",INDEX(잔액!$C:$C,INDEX('_예비비계산'!$BA$120:$BA$556,$AB65)))</f>
      </c>
      <c r="E65" s="511" t="n"/>
      <c r="F65" s="518">
        <f>IF($AB65=0,"",IF(INDEX(잔액!$K:$K,INDEX('_예비비계산'!$BA$120:$BA$556,$AB65))&lt;&gt;"",INDEX(잔액!$K:$K,INDEX('_예비비계산'!$BA$120:$BA$556,$AB65)),INDEX(잔액!$D:$D,INDEX('_예비비계산'!$BA$120:$BA$556,$AB65))))</f>
      </c>
      <c r="G65" s="511" t="n"/>
      <c r="H65" s="511" t="n"/>
      <c r="I65" s="521">
        <f>IF($AB65=0,"",INDEX(잔액!$Y:$Y,INDEX('_예비비계산'!$BA$120:$BA$556,$AB65)))</f>
      </c>
      <c r="J65" s="511" t="n"/>
      <c r="K65" s="518">
        <f>IF($AB65=0,"",IF(COUNTIFS($C$430:$C$729,INDEX('_예비비계산'!$BA$120:$BA$556,$AB65),$N$430:$N$729,"OK")&gt;0,"정산 연결",INDEX(잔액!$B:$B,INDEX('_예비비계산'!$BA$120:$BA$556,$AB65))))</f>
      </c>
      <c r="L65" s="511" t="n"/>
      <c r="M65" s="518">
        <f>IF($AB65=0,"",HYPERLINK("#'잔액'!A"&amp;INDEX('_예비비계산'!$BA$120:$BA$556,$AB65),"원장 "&amp;INDEX('_예비비계산'!$BA$120:$BA$556,$AB65)&amp;"행 ↗"))</f>
      </c>
      <c r="N65" s="511" t="n"/>
      <c r="O65" s="511" t="n"/>
      <c r="AB65" s="504">
        <f>IFERROR(MATCH(($AC$60-1)*12+4,'_예비비계산'!$BH$120:$BH$556,0),0)</f>
        <v>0</v>
      </c>
    </row>
    <row r="66" ht="24" customHeight="1">
      <c r="A66" s="518">
        <f>IF($AB66=0,"",TEXT(INDEX(잔액!$A:$A,INDEX('_예비비계산'!$BA$120:$BA$556,$AB66)),IF(INDEX(잔액!$L:$L,INDEX('_예비비계산'!$BA$120:$BA$556,$AB66))="원본WRAP","yyyy-mm","yyyy-mm-dd")))</f>
      </c>
      <c r="B66" s="518">
        <f>IF($AB66=0,"",INDEX(잔액!$F:$F,INDEX('_예비비계산'!$BA$120:$BA$556,$AB66)))</f>
      </c>
      <c r="C66" s="511" t="n"/>
      <c r="D66" s="518">
        <f>IF($AB66=0,"",INDEX(잔액!$C:$C,INDEX('_예비비계산'!$BA$120:$BA$556,$AB66)))</f>
      </c>
      <c r="E66" s="511" t="n"/>
      <c r="F66" s="518">
        <f>IF($AB66=0,"",IF(INDEX(잔액!$K:$K,INDEX('_예비비계산'!$BA$120:$BA$556,$AB66))&lt;&gt;"",INDEX(잔액!$K:$K,INDEX('_예비비계산'!$BA$120:$BA$556,$AB66)),INDEX(잔액!$D:$D,INDEX('_예비비계산'!$BA$120:$BA$556,$AB66))))</f>
      </c>
      <c r="G66" s="511" t="n"/>
      <c r="H66" s="511" t="n"/>
      <c r="I66" s="521">
        <f>IF($AB66=0,"",INDEX(잔액!$Y:$Y,INDEX('_예비비계산'!$BA$120:$BA$556,$AB66)))</f>
      </c>
      <c r="J66" s="511" t="n"/>
      <c r="K66" s="518">
        <f>IF($AB66=0,"",IF(COUNTIFS($C$430:$C$729,INDEX('_예비비계산'!$BA$120:$BA$556,$AB66),$N$430:$N$729,"OK")&gt;0,"정산 연결",INDEX(잔액!$B:$B,INDEX('_예비비계산'!$BA$120:$BA$556,$AB66))))</f>
      </c>
      <c r="L66" s="511" t="n"/>
      <c r="M66" s="518">
        <f>IF($AB66=0,"",HYPERLINK("#'잔액'!A"&amp;INDEX('_예비비계산'!$BA$120:$BA$556,$AB66),"원장 "&amp;INDEX('_예비비계산'!$BA$120:$BA$556,$AB66)&amp;"행 ↗"))</f>
      </c>
      <c r="N66" s="511" t="n"/>
      <c r="O66" s="511" t="n"/>
      <c r="AB66" s="504">
        <f>IFERROR(MATCH(($AC$60-1)*12+5,'_예비비계산'!$BH$120:$BH$556,0),0)</f>
        <v>0</v>
      </c>
    </row>
    <row r="67" ht="24" customHeight="1">
      <c r="A67" s="518">
        <f>IF($AB67=0,"",TEXT(INDEX(잔액!$A:$A,INDEX('_예비비계산'!$BA$120:$BA$556,$AB67)),IF(INDEX(잔액!$L:$L,INDEX('_예비비계산'!$BA$120:$BA$556,$AB67))="원본WRAP","yyyy-mm","yyyy-mm-dd")))</f>
      </c>
      <c r="B67" s="518">
        <f>IF($AB67=0,"",INDEX(잔액!$F:$F,INDEX('_예비비계산'!$BA$120:$BA$556,$AB67)))</f>
      </c>
      <c r="C67" s="511" t="n"/>
      <c r="D67" s="518">
        <f>IF($AB67=0,"",INDEX(잔액!$C:$C,INDEX('_예비비계산'!$BA$120:$BA$556,$AB67)))</f>
      </c>
      <c r="E67" s="511" t="n"/>
      <c r="F67" s="518">
        <f>IF($AB67=0,"",IF(INDEX(잔액!$K:$K,INDEX('_예비비계산'!$BA$120:$BA$556,$AB67))&lt;&gt;"",INDEX(잔액!$K:$K,INDEX('_예비비계산'!$BA$120:$BA$556,$AB67)),INDEX(잔액!$D:$D,INDEX('_예비비계산'!$BA$120:$BA$556,$AB67))))</f>
      </c>
      <c r="G67" s="511" t="n"/>
      <c r="H67" s="511" t="n"/>
      <c r="I67" s="521">
        <f>IF($AB67=0,"",INDEX(잔액!$Y:$Y,INDEX('_예비비계산'!$BA$120:$BA$556,$AB67)))</f>
      </c>
      <c r="J67" s="511" t="n"/>
      <c r="K67" s="518">
        <f>IF($AB67=0,"",IF(COUNTIFS($C$430:$C$729,INDEX('_예비비계산'!$BA$120:$BA$556,$AB67),$N$430:$N$729,"OK")&gt;0,"정산 연결",INDEX(잔액!$B:$B,INDEX('_예비비계산'!$BA$120:$BA$556,$AB67))))</f>
      </c>
      <c r="L67" s="511" t="n"/>
      <c r="M67" s="518">
        <f>IF($AB67=0,"",HYPERLINK("#'잔액'!A"&amp;INDEX('_예비비계산'!$BA$120:$BA$556,$AB67),"원장 "&amp;INDEX('_예비비계산'!$BA$120:$BA$556,$AB67)&amp;"행 ↗"))</f>
      </c>
      <c r="N67" s="511" t="n"/>
      <c r="O67" s="511" t="n"/>
      <c r="AB67" s="504">
        <f>IFERROR(MATCH(($AC$60-1)*12+6,'_예비비계산'!$BH$120:$BH$556,0),0)</f>
        <v>0</v>
      </c>
    </row>
    <row r="68" ht="24" customHeight="1">
      <c r="A68" s="518">
        <f>IF($AB68=0,"",TEXT(INDEX(잔액!$A:$A,INDEX('_예비비계산'!$BA$120:$BA$556,$AB68)),IF(INDEX(잔액!$L:$L,INDEX('_예비비계산'!$BA$120:$BA$556,$AB68))="원본WRAP","yyyy-mm","yyyy-mm-dd")))</f>
      </c>
      <c r="B68" s="518">
        <f>IF($AB68=0,"",INDEX(잔액!$F:$F,INDEX('_예비비계산'!$BA$120:$BA$556,$AB68)))</f>
      </c>
      <c r="C68" s="511" t="n"/>
      <c r="D68" s="518">
        <f>IF($AB68=0,"",INDEX(잔액!$C:$C,INDEX('_예비비계산'!$BA$120:$BA$556,$AB68)))</f>
      </c>
      <c r="E68" s="511" t="n"/>
      <c r="F68" s="518">
        <f>IF($AB68=0,"",IF(INDEX(잔액!$K:$K,INDEX('_예비비계산'!$BA$120:$BA$556,$AB68))&lt;&gt;"",INDEX(잔액!$K:$K,INDEX('_예비비계산'!$BA$120:$BA$556,$AB68)),INDEX(잔액!$D:$D,INDEX('_예비비계산'!$BA$120:$BA$556,$AB68))))</f>
      </c>
      <c r="G68" s="511" t="n"/>
      <c r="H68" s="511" t="n"/>
      <c r="I68" s="521">
        <f>IF($AB68=0,"",INDEX(잔액!$Y:$Y,INDEX('_예비비계산'!$BA$120:$BA$556,$AB68)))</f>
      </c>
      <c r="J68" s="511" t="n"/>
      <c r="K68" s="518">
        <f>IF($AB68=0,"",IF(COUNTIFS($C$430:$C$729,INDEX('_예비비계산'!$BA$120:$BA$556,$AB68),$N$430:$N$729,"OK")&gt;0,"정산 연결",INDEX(잔액!$B:$B,INDEX('_예비비계산'!$BA$120:$BA$556,$AB68))))</f>
      </c>
      <c r="L68" s="511" t="n"/>
      <c r="M68" s="518">
        <f>IF($AB68=0,"",HYPERLINK("#'잔액'!A"&amp;INDEX('_예비비계산'!$BA$120:$BA$556,$AB68),"원장 "&amp;INDEX('_예비비계산'!$BA$120:$BA$556,$AB68)&amp;"행 ↗"))</f>
      </c>
      <c r="N68" s="511" t="n"/>
      <c r="O68" s="511" t="n"/>
      <c r="AB68" s="504">
        <f>IFERROR(MATCH(($AC$60-1)*12+7,'_예비비계산'!$BH$120:$BH$556,0),0)</f>
        <v>0</v>
      </c>
    </row>
    <row r="69" ht="24" customHeight="1">
      <c r="A69" s="518">
        <f>IF($AB69=0,"",TEXT(INDEX(잔액!$A:$A,INDEX('_예비비계산'!$BA$120:$BA$556,$AB69)),IF(INDEX(잔액!$L:$L,INDEX('_예비비계산'!$BA$120:$BA$556,$AB69))="원본WRAP","yyyy-mm","yyyy-mm-dd")))</f>
      </c>
      <c r="B69" s="518">
        <f>IF($AB69=0,"",INDEX(잔액!$F:$F,INDEX('_예비비계산'!$BA$120:$BA$556,$AB69)))</f>
      </c>
      <c r="C69" s="511" t="n"/>
      <c r="D69" s="518">
        <f>IF($AB69=0,"",INDEX(잔액!$C:$C,INDEX('_예비비계산'!$BA$120:$BA$556,$AB69)))</f>
      </c>
      <c r="E69" s="511" t="n"/>
      <c r="F69" s="518">
        <f>IF($AB69=0,"",IF(INDEX(잔액!$K:$K,INDEX('_예비비계산'!$BA$120:$BA$556,$AB69))&lt;&gt;"",INDEX(잔액!$K:$K,INDEX('_예비비계산'!$BA$120:$BA$556,$AB69)),INDEX(잔액!$D:$D,INDEX('_예비비계산'!$BA$120:$BA$556,$AB69))))</f>
      </c>
      <c r="G69" s="511" t="n"/>
      <c r="H69" s="511" t="n"/>
      <c r="I69" s="521">
        <f>IF($AB69=0,"",INDEX(잔액!$Y:$Y,INDEX('_예비비계산'!$BA$120:$BA$556,$AB69)))</f>
      </c>
      <c r="J69" s="511" t="n"/>
      <c r="K69" s="518">
        <f>IF($AB69=0,"",IF(COUNTIFS($C$430:$C$729,INDEX('_예비비계산'!$BA$120:$BA$556,$AB69),$N$430:$N$729,"OK")&gt;0,"정산 연결",INDEX(잔액!$B:$B,INDEX('_예비비계산'!$BA$120:$BA$556,$AB69))))</f>
      </c>
      <c r="L69" s="511" t="n"/>
      <c r="M69" s="518">
        <f>IF($AB69=0,"",HYPERLINK("#'잔액'!A"&amp;INDEX('_예비비계산'!$BA$120:$BA$556,$AB69),"원장 "&amp;INDEX('_예비비계산'!$BA$120:$BA$556,$AB69)&amp;"행 ↗"))</f>
      </c>
      <c r="N69" s="511" t="n"/>
      <c r="O69" s="511" t="n"/>
      <c r="AB69" s="504">
        <f>IFERROR(MATCH(($AC$60-1)*12+8,'_예비비계산'!$BH$120:$BH$556,0),0)</f>
        <v>0</v>
      </c>
    </row>
    <row r="70" ht="24" customHeight="1">
      <c r="A70" s="518">
        <f>IF($AB70=0,"",TEXT(INDEX(잔액!$A:$A,INDEX('_예비비계산'!$BA$120:$BA$556,$AB70)),IF(INDEX(잔액!$L:$L,INDEX('_예비비계산'!$BA$120:$BA$556,$AB70))="원본WRAP","yyyy-mm","yyyy-mm-dd")))</f>
      </c>
      <c r="B70" s="518">
        <f>IF($AB70=0,"",INDEX(잔액!$F:$F,INDEX('_예비비계산'!$BA$120:$BA$556,$AB70)))</f>
      </c>
      <c r="C70" s="511" t="n"/>
      <c r="D70" s="518">
        <f>IF($AB70=0,"",INDEX(잔액!$C:$C,INDEX('_예비비계산'!$BA$120:$BA$556,$AB70)))</f>
      </c>
      <c r="E70" s="511" t="n"/>
      <c r="F70" s="518">
        <f>IF($AB70=0,"",IF(INDEX(잔액!$K:$K,INDEX('_예비비계산'!$BA$120:$BA$556,$AB70))&lt;&gt;"",INDEX(잔액!$K:$K,INDEX('_예비비계산'!$BA$120:$BA$556,$AB70)),INDEX(잔액!$D:$D,INDEX('_예비비계산'!$BA$120:$BA$556,$AB70))))</f>
      </c>
      <c r="G70" s="511" t="n"/>
      <c r="H70" s="511" t="n"/>
      <c r="I70" s="521">
        <f>IF($AB70=0,"",INDEX(잔액!$Y:$Y,INDEX('_예비비계산'!$BA$120:$BA$556,$AB70)))</f>
      </c>
      <c r="J70" s="511" t="n"/>
      <c r="K70" s="518">
        <f>IF($AB70=0,"",IF(COUNTIFS($C$430:$C$729,INDEX('_예비비계산'!$BA$120:$BA$556,$AB70),$N$430:$N$729,"OK")&gt;0,"정산 연결",INDEX(잔액!$B:$B,INDEX('_예비비계산'!$BA$120:$BA$556,$AB70))))</f>
      </c>
      <c r="L70" s="511" t="n"/>
      <c r="M70" s="518">
        <f>IF($AB70=0,"",HYPERLINK("#'잔액'!A"&amp;INDEX('_예비비계산'!$BA$120:$BA$556,$AB70),"원장 "&amp;INDEX('_예비비계산'!$BA$120:$BA$556,$AB70)&amp;"행 ↗"))</f>
      </c>
      <c r="N70" s="511" t="n"/>
      <c r="O70" s="511" t="n"/>
      <c r="AB70" s="504">
        <f>IFERROR(MATCH(($AC$60-1)*12+9,'_예비비계산'!$BH$120:$BH$556,0),0)</f>
        <v>0</v>
      </c>
    </row>
    <row r="71" ht="24" customHeight="1">
      <c r="A71" s="518">
        <f>IF($AB71=0,"",TEXT(INDEX(잔액!$A:$A,INDEX('_예비비계산'!$BA$120:$BA$556,$AB71)),IF(INDEX(잔액!$L:$L,INDEX('_예비비계산'!$BA$120:$BA$556,$AB71))="원본WRAP","yyyy-mm","yyyy-mm-dd")))</f>
      </c>
      <c r="B71" s="518">
        <f>IF($AB71=0,"",INDEX(잔액!$F:$F,INDEX('_예비비계산'!$BA$120:$BA$556,$AB71)))</f>
      </c>
      <c r="C71" s="511" t="n"/>
      <c r="D71" s="518">
        <f>IF($AB71=0,"",INDEX(잔액!$C:$C,INDEX('_예비비계산'!$BA$120:$BA$556,$AB71)))</f>
      </c>
      <c r="E71" s="511" t="n"/>
      <c r="F71" s="518">
        <f>IF($AB71=0,"",IF(INDEX(잔액!$K:$K,INDEX('_예비비계산'!$BA$120:$BA$556,$AB71))&lt;&gt;"",INDEX(잔액!$K:$K,INDEX('_예비비계산'!$BA$120:$BA$556,$AB71)),INDEX(잔액!$D:$D,INDEX('_예비비계산'!$BA$120:$BA$556,$AB71))))</f>
      </c>
      <c r="G71" s="511" t="n"/>
      <c r="H71" s="511" t="n"/>
      <c r="I71" s="521">
        <f>IF($AB71=0,"",INDEX(잔액!$Y:$Y,INDEX('_예비비계산'!$BA$120:$BA$556,$AB71)))</f>
      </c>
      <c r="J71" s="511" t="n"/>
      <c r="K71" s="518">
        <f>IF($AB71=0,"",IF(COUNTIFS($C$430:$C$729,INDEX('_예비비계산'!$BA$120:$BA$556,$AB71),$N$430:$N$729,"OK")&gt;0,"정산 연결",INDEX(잔액!$B:$B,INDEX('_예비비계산'!$BA$120:$BA$556,$AB71))))</f>
      </c>
      <c r="L71" s="511" t="n"/>
      <c r="M71" s="518">
        <f>IF($AB71=0,"",HYPERLINK("#'잔액'!A"&amp;INDEX('_예비비계산'!$BA$120:$BA$556,$AB71),"원장 "&amp;INDEX('_예비비계산'!$BA$120:$BA$556,$AB71)&amp;"행 ↗"))</f>
      </c>
      <c r="N71" s="511" t="n"/>
      <c r="O71" s="511" t="n"/>
      <c r="AB71" s="504">
        <f>IFERROR(MATCH(($AC$60-1)*12+10,'_예비비계산'!$BH$120:$BH$556,0),0)</f>
        <v>0</v>
      </c>
    </row>
    <row r="72" ht="24" customHeight="1">
      <c r="A72" s="518">
        <f>IF($AB72=0,"",TEXT(INDEX(잔액!$A:$A,INDEX('_예비비계산'!$BA$120:$BA$556,$AB72)),IF(INDEX(잔액!$L:$L,INDEX('_예비비계산'!$BA$120:$BA$556,$AB72))="원본WRAP","yyyy-mm","yyyy-mm-dd")))</f>
      </c>
      <c r="B72" s="518">
        <f>IF($AB72=0,"",INDEX(잔액!$F:$F,INDEX('_예비비계산'!$BA$120:$BA$556,$AB72)))</f>
      </c>
      <c r="C72" s="511" t="n"/>
      <c r="D72" s="518">
        <f>IF($AB72=0,"",INDEX(잔액!$C:$C,INDEX('_예비비계산'!$BA$120:$BA$556,$AB72)))</f>
      </c>
      <c r="E72" s="511" t="n"/>
      <c r="F72" s="518">
        <f>IF($AB72=0,"",IF(INDEX(잔액!$K:$K,INDEX('_예비비계산'!$BA$120:$BA$556,$AB72))&lt;&gt;"",INDEX(잔액!$K:$K,INDEX('_예비비계산'!$BA$120:$BA$556,$AB72)),INDEX(잔액!$D:$D,INDEX('_예비비계산'!$BA$120:$BA$556,$AB72))))</f>
      </c>
      <c r="G72" s="511" t="n"/>
      <c r="H72" s="511" t="n"/>
      <c r="I72" s="521">
        <f>IF($AB72=0,"",INDEX(잔액!$Y:$Y,INDEX('_예비비계산'!$BA$120:$BA$556,$AB72)))</f>
      </c>
      <c r="J72" s="511" t="n"/>
      <c r="K72" s="518">
        <f>IF($AB72=0,"",IF(COUNTIFS($C$430:$C$729,INDEX('_예비비계산'!$BA$120:$BA$556,$AB72),$N$430:$N$729,"OK")&gt;0,"정산 연결",INDEX(잔액!$B:$B,INDEX('_예비비계산'!$BA$120:$BA$556,$AB72))))</f>
      </c>
      <c r="L72" s="511" t="n"/>
      <c r="M72" s="518">
        <f>IF($AB72=0,"",HYPERLINK("#'잔액'!A"&amp;INDEX('_예비비계산'!$BA$120:$BA$556,$AB72),"원장 "&amp;INDEX('_예비비계산'!$BA$120:$BA$556,$AB72)&amp;"행 ↗"))</f>
      </c>
      <c r="N72" s="511" t="n"/>
      <c r="O72" s="511" t="n"/>
      <c r="AB72" s="504">
        <f>IFERROR(MATCH(($AC$60-1)*12+11,'_예비비계산'!$BH$120:$BH$556,0),0)</f>
        <v>0</v>
      </c>
    </row>
    <row r="73" ht="24" customHeight="1">
      <c r="A73" s="518">
        <f>IF($AB73=0,"",TEXT(INDEX(잔액!$A:$A,INDEX('_예비비계산'!$BA$120:$BA$556,$AB73)),IF(INDEX(잔액!$L:$L,INDEX('_예비비계산'!$BA$120:$BA$556,$AB73))="원본WRAP","yyyy-mm","yyyy-mm-dd")))</f>
      </c>
      <c r="B73" s="518">
        <f>IF($AB73=0,"",INDEX(잔액!$F:$F,INDEX('_예비비계산'!$BA$120:$BA$556,$AB73)))</f>
      </c>
      <c r="C73" s="511" t="n"/>
      <c r="D73" s="518">
        <f>IF($AB73=0,"",INDEX(잔액!$C:$C,INDEX('_예비비계산'!$BA$120:$BA$556,$AB73)))</f>
      </c>
      <c r="E73" s="511" t="n"/>
      <c r="F73" s="518">
        <f>IF($AB73=0,"",IF(INDEX(잔액!$K:$K,INDEX('_예비비계산'!$BA$120:$BA$556,$AB73))&lt;&gt;"",INDEX(잔액!$K:$K,INDEX('_예비비계산'!$BA$120:$BA$556,$AB73)),INDEX(잔액!$D:$D,INDEX('_예비비계산'!$BA$120:$BA$556,$AB73))))</f>
      </c>
      <c r="G73" s="511" t="n"/>
      <c r="H73" s="511" t="n"/>
      <c r="I73" s="521">
        <f>IF($AB73=0,"",INDEX(잔액!$Y:$Y,INDEX('_예비비계산'!$BA$120:$BA$556,$AB73)))</f>
      </c>
      <c r="J73" s="511" t="n"/>
      <c r="K73" s="518">
        <f>IF($AB73=0,"",IF(COUNTIFS($C$430:$C$729,INDEX('_예비비계산'!$BA$120:$BA$556,$AB73),$N$430:$N$729,"OK")&gt;0,"정산 연결",INDEX(잔액!$B:$B,INDEX('_예비비계산'!$BA$120:$BA$556,$AB73))))</f>
      </c>
      <c r="L73" s="511" t="n"/>
      <c r="M73" s="518">
        <f>IF($AB73=0,"",HYPERLINK("#'잔액'!A"&amp;INDEX('_예비비계산'!$BA$120:$BA$556,$AB73),"원장 "&amp;INDEX('_예비비계산'!$BA$120:$BA$556,$AB73)&amp;"행 ↗"))</f>
      </c>
      <c r="N73" s="511" t="n"/>
      <c r="O73" s="511" t="n"/>
      <c r="AB73" s="504">
        <f>IFERROR(MATCH(($AC$60-1)*12+12,'_예비비계산'!$BH$120:$BH$556,0),0)</f>
        <v>0</v>
      </c>
    </row>
    <row r="74" ht="24" customHeight="1">
      <c r="A74" s="506" t="n"/>
      <c r="B74" s="506" t="n"/>
      <c r="C74" s="506" t="n"/>
      <c r="D74" s="506" t="n"/>
      <c r="E74" s="506" t="n"/>
      <c r="F74" s="506" t="n"/>
      <c r="G74" s="506" t="n"/>
      <c r="H74" s="506" t="n"/>
      <c r="I74" s="506" t="n"/>
      <c r="J74" s="506" t="n"/>
      <c r="K74" s="506" t="n"/>
      <c r="L74" s="506" t="n"/>
      <c r="M74" s="506" t="n"/>
      <c r="N74" s="506" t="n"/>
      <c r="O74" s="506" t="n"/>
    </row>
    <row r="75" ht="24" customHeight="1">
      <c r="A7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75" s="503" t="n"/>
      <c r="C75" s="503" t="n"/>
      <c r="D75" s="503" t="n"/>
      <c r="E75" s="503" t="n"/>
      <c r="F75" s="503" t="n"/>
      <c r="G75" s="503" t="n"/>
      <c r="H75" s="503" t="n"/>
      <c r="I75" s="503" t="n"/>
      <c r="J75" s="503" t="n"/>
      <c r="K75" s="503" t="n"/>
      <c r="L75" s="503" t="n"/>
      <c r="M75" s="503" t="n"/>
      <c r="N75" s="503" t="n"/>
      <c r="O75" s="503" t="n"/>
    </row>
    <row r="76" ht="24" customHeight="1">
      <c r="A76" s="502" t="inlineStr">
        <is>
          <t xml:space="preserve">생신 사용 239,000원 = 명절비 200,000 + 임시보관 39,000. 잔금 61,000원 회수는 신규 수입·사용이 아닙니다.</t>
        </is>
      </c>
      <c r="B76" s="503" t="n"/>
      <c r="C76" s="503" t="n"/>
      <c r="D76" s="503" t="n"/>
      <c r="E76" s="503" t="n"/>
      <c r="F76" s="503" t="n"/>
      <c r="G76" s="503" t="n"/>
      <c r="H76" s="503" t="n"/>
      <c r="I76" s="503" t="n"/>
      <c r="J76" s="503" t="n"/>
      <c r="K76" s="503" t="n"/>
      <c r="L76" s="503" t="n"/>
      <c r="M76" s="503" t="n"/>
      <c r="N76" s="503" t="n"/>
      <c r="O76" s="503" t="n"/>
    </row>
    <row r="77" ht="24" customHeight="1">
      <c r="A77" s="506" t="n"/>
      <c r="B77" s="506" t="n"/>
      <c r="C77" s="506" t="n"/>
      <c r="D77" s="506" t="n"/>
      <c r="E77" s="506" t="n"/>
      <c r="F77" s="506" t="n"/>
      <c r="G77" s="506" t="n"/>
      <c r="H77" s="506" t="n"/>
      <c r="I77" s="506" t="n"/>
      <c r="J77" s="506" t="n"/>
      <c r="K77" s="506" t="n"/>
      <c r="L77" s="506" t="n"/>
      <c r="M77" s="506" t="n"/>
      <c r="N77" s="506" t="n"/>
      <c r="O77" s="506" t="n"/>
    </row>
    <row r="78" ht="24" customHeight="1">
      <c r="A78" s="502" t="str">
        <f>HYPERLINK("#'예비비'!A98","사용 등록 자료 펼치기 ↓")</f>
        <v>사용 등록 자료 펼치기 ↓</v>
      </c>
      <c r="B78" s="503" t="n"/>
      <c r="C78" s="503" t="n"/>
      <c r="D78" s="503" t="n"/>
      <c r="E78" s="503" t="n"/>
      <c r="F78" s="503" t="n"/>
      <c r="G78" s="503" t="n"/>
      <c r="H78" s="503" t="n"/>
      <c r="I78" s="503" t="n"/>
      <c r="J78" s="503" t="n"/>
      <c r="K78" s="503" t="n"/>
      <c r="L78" s="503" t="n"/>
      <c r="M78" s="503" t="n"/>
      <c r="N78" s="503" t="n"/>
      <c r="O78" s="503" t="n"/>
    </row>
    <row r="79" ht="24" customHeight="1">
      <c r="A79" s="502" t="str">
        <f>HYPERLINK("#'예비비'!A428","이체 연결 자료 펼치기 ↓")</f>
        <v>이체 연결 자료 펼치기 ↓</v>
      </c>
      <c r="B79" s="503" t="n"/>
      <c r="C79" s="503" t="n"/>
      <c r="D79" s="503" t="n"/>
      <c r="E79" s="503" t="n"/>
      <c r="F79" s="503" t="n"/>
      <c r="G79" s="503" t="n"/>
      <c r="H79" s="503" t="n"/>
      <c r="I79" s="503" t="n"/>
      <c r="J79" s="503" t="n"/>
      <c r="K79" s="503" t="n"/>
      <c r="L79" s="503" t="n"/>
      <c r="M79" s="503" t="n"/>
      <c r="N79" s="503" t="n"/>
      <c r="O7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IF(AND(R100="OK",IF($B$43="전체",D100&lt;EDATE($B$3,1),IF($B$43="미정산",U100&gt;0,OR(S100=$B$3,Z100&gt;0,U100&gt;0)))),1,0)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IF(AND(R101="OK",IF($B$43="전체",D101&lt;EDATE($B$3,1),IF($B$43="미정산",U101&gt;0,OR(S101=$B$3,Z101&gt;0,U101&gt;0)))),1,0)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IF(AND(R102="OK",IF($B$43="전체",D102&lt;EDATE($B$3,1),IF($B$43="미정산",U102&gt;0,OR(S102=$B$3,Z102&gt;0,U102&gt;0)))),1,0)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IF(AND(R103="OK",IF($B$43="전체",D103&lt;EDATE($B$3,1),IF($B$43="미정산",U103&gt;0,OR(S103=$B$3,Z103&gt;0,U103&gt;0)))),1,0)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IF(AND(R104="OK",IF($B$43="전체",D104&lt;EDATE($B$3,1),IF($B$43="미정산",U104&gt;0,OR(S104=$B$3,Z104&gt;0,U104&gt;0)))),1,0)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IF(AND(R105="OK",IF($B$43="전체",D105&lt;EDATE($B$3,1),IF($B$43="미정산",U105&gt;0,OR(S105=$B$3,Z105&gt;0,U105&gt;0)))),1,0)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IF(AND(R106="OK",IF($B$43="전체",D106&lt;EDATE($B$3,1),IF($B$43="미정산",U106&gt;0,OR(S106=$B$3,Z106&gt;0,U106&gt;0)))),1,0)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>
        <v>239000</v>
      </c>
      <c r="F107" s="522" t="n"/>
      <c r="G107" s="504" t="inlineStr">
        <is>
          <t>월기록</t>
        </is>
      </c>
      <c r="H107" s="504" t="inlineStr">
        <is>
          <t xml:space="preserve">본인 납입 300,000 − 잔금 회수 61,000 = 239,000. 명절비 200,000 + 임시보관 39,000. 가족통장 이자 25원 별도.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239000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IF(AND(R107="OK",IF($B$43="전체",D107&lt;EDATE($B$3,1),IF($B$43="미정산",U107&gt;0,OR(S107=$B$3,Z107&gt;0,U107&gt;0)))),1,0)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IF(AND(R108="OK",IF($B$43="전체",D108&lt;EDATE($B$3,1),IF($B$43="미정산",U108&gt;0,OR(S108=$B$3,Z108&gt;0,U108&gt;0)))),1,0)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IF(AND(R109="OK",IF($B$43="전체",D109&lt;EDATE($B$3,1),IF($B$43="미정산",U109&gt;0,OR(S109=$B$3,Z109&gt;0,U109&gt;0)))),1,0)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IF(AND(R110="OK",IF($B$43="전체",D110&lt;EDATE($B$3,1),IF($B$43="미정산",U110&gt;0,OR(S110=$B$3,Z110&gt;0,U110&gt;0)))),1,0)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IF(AND(R111="OK",IF($B$43="전체",D111&lt;EDATE($B$3,1),IF($B$43="미정산",U111&gt;0,OR(S111=$B$3,Z111&gt;0,U111&gt;0)))),1,0)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IF(AND(R112="OK",IF($B$43="전체",D112&lt;EDATE($B$3,1),IF($B$43="미정산",U112&gt;0,OR(S112=$B$3,Z112&gt;0,U112&gt;0)))),1,0)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IF(AND(R113="OK",IF($B$43="전체",D113&lt;EDATE($B$3,1),IF($B$43="미정산",U113&gt;0,OR(S113=$B$3,Z113&gt;0,U113&gt;0)))),1,0)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IF(AND(R114="OK",IF($B$43="전체",D114&lt;EDATE($B$3,1),IF($B$43="미정산",U114&gt;0,OR(S114=$B$3,Z114&gt;0,U114&gt;0)))),1,0)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IF(AND(R115="OK",IF($B$43="전체",D115&lt;EDATE($B$3,1),IF($B$43="미정산",U115&gt;0,OR(S115=$B$3,Z115&gt;0,U115&gt;0)))),1,0)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IF(AND(R116="OK",IF($B$43="전체",D116&lt;EDATE($B$3,1),IF($B$43="미정산",U116&gt;0,OR(S116=$B$3,Z116&gt;0,U116&gt;0)))),1,0)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IF(AND(R117="OK",IF($B$43="전체",D117&lt;EDATE($B$3,1),IF($B$43="미정산",U117&gt;0,OR(S117=$B$3,Z117&gt;0,U117&gt;0)))),1,0)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IF(AND(R118="OK",IF($B$43="전체",D118&lt;EDATE($B$3,1),IF($B$43="미정산",U118&gt;0,OR(S118=$B$3,Z118&gt;0,U118&gt;0)))),1,0)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IF(AND(R119="OK",IF($B$43="전체",D119&lt;EDATE($B$3,1),IF($B$43="미정산",U119&gt;0,OR(S119=$B$3,Z119&gt;0,U119&gt;0)))),1,0)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IF(AND(R120="OK",IF($B$43="전체",D120&lt;EDATE($B$3,1),IF($B$43="미정산",U120&gt;0,OR(S120=$B$3,Z120&gt;0,U120&gt;0)))),1,0)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IF(AND(R121="OK",IF($B$43="전체",D121&lt;EDATE($B$3,1),IF($B$43="미정산",U121&gt;0,OR(S121=$B$3,Z121&gt;0,U121&gt;0)))),1,0)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IF(AND(R122="OK",IF($B$43="전체",D122&lt;EDATE($B$3,1),IF($B$43="미정산",U122&gt;0,OR(S122=$B$3,Z122&gt;0,U122&gt;0)))),1,0)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IF(AND(R123="OK",IF($B$43="전체",D123&lt;EDATE($B$3,1),IF($B$43="미정산",U123&gt;0,OR(S123=$B$3,Z123&gt;0,U123&gt;0)))),1,0)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IF(AND(R124="OK",IF($B$43="전체",D124&lt;EDATE($B$3,1),IF($B$43="미정산",U124&gt;0,OR(S124=$B$3,Z124&gt;0,U124&gt;0)))),1,0)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IF(AND(R125="OK",IF($B$43="전체",D125&lt;EDATE($B$3,1),IF($B$43="미정산",U125&gt;0,OR(S125=$B$3,Z125&gt;0,U125&gt;0)))),1,0)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IF(AND(R126="OK",IF($B$43="전체",D126&lt;EDATE($B$3,1),IF($B$43="미정산",U126&gt;0,OR(S126=$B$3,Z126&gt;0,U126&gt;0)))),1,0)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IF(AND(R127="OK",IF($B$43="전체",D127&lt;EDATE($B$3,1),IF($B$43="미정산",U127&gt;0,OR(S127=$B$3,Z127&gt;0,U127&gt;0)))),1,0)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IF(AND(R128="OK",IF($B$43="전체",D128&lt;EDATE($B$3,1),IF($B$43="미정산",U128&gt;0,OR(S128=$B$3,Z128&gt;0,U128&gt;0)))),1,0)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IF(AND(R129="OK",IF($B$43="전체",D129&lt;EDATE($B$3,1),IF($B$43="미정산",U129&gt;0,OR(S129=$B$3,Z129&gt;0,U129&gt;0)))),1,0)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IF(AND(R130="OK",IF($B$43="전체",D130&lt;EDATE($B$3,1),IF($B$43="미정산",U130&gt;0,OR(S130=$B$3,Z130&gt;0,U130&gt;0)))),1,0)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IF(AND(R131="OK",IF($B$43="전체",D131&lt;EDATE($B$3,1),IF($B$43="미정산",U131&gt;0,OR(S131=$B$3,Z131&gt;0,U131&gt;0)))),1,0)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IF(AND(R132="OK",IF($B$43="전체",D132&lt;EDATE($B$3,1),IF($B$43="미정산",U132&gt;0,OR(S132=$B$3,Z132&gt;0,U132&gt;0)))),1,0)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IF(AND(R133="OK",IF($B$43="전체",D133&lt;EDATE($B$3,1),IF($B$43="미정산",U133&gt;0,OR(S133=$B$3,Z133&gt;0,U133&gt;0)))),1,0)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IF(AND(R134="OK",IF($B$43="전체",D134&lt;EDATE($B$3,1),IF($B$43="미정산",U134&gt;0,OR(S134=$B$3,Z134&gt;0,U134&gt;0)))),1,0)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IF(AND(R135="OK",IF($B$43="전체",D135&lt;EDATE($B$3,1),IF($B$43="미정산",U135&gt;0,OR(S135=$B$3,Z135&gt;0,U135&gt;0)))),1,0)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IF(AND(R136="OK",IF($B$43="전체",D136&lt;EDATE($B$3,1),IF($B$43="미정산",U136&gt;0,OR(S136=$B$3,Z136&gt;0,U136&gt;0)))),1,0)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IF(AND(R137="OK",IF($B$43="전체",D137&lt;EDATE($B$3,1),IF($B$43="미정산",U137&gt;0,OR(S137=$B$3,Z137&gt;0,U137&gt;0)))),1,0)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IF(AND(R138="OK",IF($B$43="전체",D138&lt;EDATE($B$3,1),IF($B$43="미정산",U138&gt;0,OR(S138=$B$3,Z138&gt;0,U138&gt;0)))),1,0)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IF(AND(R139="OK",IF($B$43="전체",D139&lt;EDATE($B$3,1),IF($B$43="미정산",U139&gt;0,OR(S139=$B$3,Z139&gt;0,U139&gt;0)))),1,0)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IF(AND(R140="OK",IF($B$43="전체",D140&lt;EDATE($B$3,1),IF($B$43="미정산",U140&gt;0,OR(S140=$B$3,Z140&gt;0,U140&gt;0)))),1,0)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IF(AND(R141="OK",IF($B$43="전체",D141&lt;EDATE($B$3,1),IF($B$43="미정산",U141&gt;0,OR(S141=$B$3,Z141&gt;0,U141&gt;0)))),1,0)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IF(AND(R142="OK",IF($B$43="전체",D142&lt;EDATE($B$3,1),IF($B$43="미정산",U142&gt;0,OR(S142=$B$3,Z142&gt;0,U142&gt;0)))),1,0)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IF(AND(R143="OK",IF($B$43="전체",D143&lt;EDATE($B$3,1),IF($B$43="미정산",U143&gt;0,OR(S143=$B$3,Z143&gt;0,U143&gt;0)))),1,0)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IF(AND(R144="OK",IF($B$43="전체",D144&lt;EDATE($B$3,1),IF($B$43="미정산",U144&gt;0,OR(S144=$B$3,Z144&gt;0,U144&gt;0)))),1,0)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IF(AND(R145="OK",IF($B$43="전체",D145&lt;EDATE($B$3,1),IF($B$43="미정산",U145&gt;0,OR(S145=$B$3,Z145&gt;0,U145&gt;0)))),1,0)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IF(AND(R146="OK",IF($B$43="전체",D146&lt;EDATE($B$3,1),IF($B$43="미정산",U146&gt;0,OR(S146=$B$3,Z146&gt;0,U146&gt;0)))),1,0)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IF(AND(R147="OK",IF($B$43="전체",D147&lt;EDATE($B$3,1),IF($B$43="미정산",U147&gt;0,OR(S147=$B$3,Z147&gt;0,U147&gt;0)))),1,0)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IF(AND(R148="OK",IF($B$43="전체",D148&lt;EDATE($B$3,1),IF($B$43="미정산",U148&gt;0,OR(S148=$B$3,Z148&gt;0,U148&gt;0)))),1,0)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IF(AND(R149="OK",IF($B$43="전체",D149&lt;EDATE($B$3,1),IF($B$43="미정산",U149&gt;0,OR(S149=$B$3,Z149&gt;0,U149&gt;0)))),1,0)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IF(AND(R150="OK",IF($B$43="전체",D150&lt;EDATE($B$3,1),IF($B$43="미정산",U150&gt;0,OR(S150=$B$3,Z150&gt;0,U150&gt;0)))),1,0)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IF(AND(R151="OK",IF($B$43="전체",D151&lt;EDATE($B$3,1),IF($B$43="미정산",U151&gt;0,OR(S151=$B$3,Z151&gt;0,U151&gt;0)))),1,0)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IF(AND(R152="OK",IF($B$43="전체",D152&lt;EDATE($B$3,1),IF($B$43="미정산",U152&gt;0,OR(S152=$B$3,Z152&gt;0,U152&gt;0)))),1,0)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IF(AND(R153="OK",IF($B$43="전체",D153&lt;EDATE($B$3,1),IF($B$43="미정산",U153&gt;0,OR(S153=$B$3,Z153&gt;0,U153&gt;0)))),1,0)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IF(AND(R154="OK",IF($B$43="전체",D154&lt;EDATE($B$3,1),IF($B$43="미정산",U154&gt;0,OR(S154=$B$3,Z154&gt;0,U154&gt;0)))),1,0)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IF(AND(R155="OK",IF($B$43="전체",D155&lt;EDATE($B$3,1),IF($B$43="미정산",U155&gt;0,OR(S155=$B$3,Z155&gt;0,U155&gt;0)))),1,0)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IF(AND(R156="OK",IF($B$43="전체",D156&lt;EDATE($B$3,1),IF($B$43="미정산",U156&gt;0,OR(S156=$B$3,Z156&gt;0,U156&gt;0)))),1,0)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IF(AND(R157="OK",IF($B$43="전체",D157&lt;EDATE($B$3,1),IF($B$43="미정산",U157&gt;0,OR(S157=$B$3,Z157&gt;0,U157&gt;0)))),1,0)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IF(AND(R158="OK",IF($B$43="전체",D158&lt;EDATE($B$3,1),IF($B$43="미정산",U158&gt;0,OR(S158=$B$3,Z158&gt;0,U158&gt;0)))),1,0)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IF(AND(R159="OK",IF($B$43="전체",D159&lt;EDATE($B$3,1),IF($B$43="미정산",U159&gt;0,OR(S159=$B$3,Z159&gt;0,U159&gt;0)))),1,0)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IF(AND(R160="OK",IF($B$43="전체",D160&lt;EDATE($B$3,1),IF($B$43="미정산",U160&gt;0,OR(S160=$B$3,Z160&gt;0,U160&gt;0)))),1,0)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IF(AND(R161="OK",IF($B$43="전체",D161&lt;EDATE($B$3,1),IF($B$43="미정산",U161&gt;0,OR(S161=$B$3,Z161&gt;0,U161&gt;0)))),1,0)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IF(AND(R162="OK",IF($B$43="전체",D162&lt;EDATE($B$3,1),IF($B$43="미정산",U162&gt;0,OR(S162=$B$3,Z162&gt;0,U162&gt;0)))),1,0)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IF(AND(R163="OK",IF($B$43="전체",D163&lt;EDATE($B$3,1),IF($B$43="미정산",U163&gt;0,OR(S163=$B$3,Z163&gt;0,U163&gt;0)))),1,0)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IF(AND(R164="OK",IF($B$43="전체",D164&lt;EDATE($B$3,1),IF($B$43="미정산",U164&gt;0,OR(S164=$B$3,Z164&gt;0,U164&gt;0)))),1,0)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IF(AND(R165="OK",IF($B$43="전체",D165&lt;EDATE($B$3,1),IF($B$43="미정산",U165&gt;0,OR(S165=$B$3,Z165&gt;0,U165&gt;0)))),1,0)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IF(AND(R166="OK",IF($B$43="전체",D166&lt;EDATE($B$3,1),IF($B$43="미정산",U166&gt;0,OR(S166=$B$3,Z166&gt;0,U166&gt;0)))),1,0)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IF(AND(R167="OK",IF($B$43="전체",D167&lt;EDATE($B$3,1),IF($B$43="미정산",U167&gt;0,OR(S167=$B$3,Z167&gt;0,U167&gt;0)))),1,0)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IF(AND(R168="OK",IF($B$43="전체",D168&lt;EDATE($B$3,1),IF($B$43="미정산",U168&gt;0,OR(S168=$B$3,Z168&gt;0,U168&gt;0)))),1,0)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IF(AND(R169="OK",IF($B$43="전체",D169&lt;EDATE($B$3,1),IF($B$43="미정산",U169&gt;0,OR(S169=$B$3,Z169&gt;0,U169&gt;0)))),1,0)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IF(AND(R170="OK",IF($B$43="전체",D170&lt;EDATE($B$3,1),IF($B$43="미정산",U170&gt;0,OR(S170=$B$3,Z170&gt;0,U170&gt;0)))),1,0)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IF(AND(R171="OK",IF($B$43="전체",D171&lt;EDATE($B$3,1),IF($B$43="미정산",U171&gt;0,OR(S171=$B$3,Z171&gt;0,U171&gt;0)))),1,0)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IF(AND(R172="OK",IF($B$43="전체",D172&lt;EDATE($B$3,1),IF($B$43="미정산",U172&gt;0,OR(S172=$B$3,Z172&gt;0,U172&gt;0)))),1,0)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IF(AND(R173="OK",IF($B$43="전체",D173&lt;EDATE($B$3,1),IF($B$43="미정산",U173&gt;0,OR(S173=$B$3,Z173&gt;0,U173&gt;0)))),1,0)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IF(AND(R174="OK",IF($B$43="전체",D174&lt;EDATE($B$3,1),IF($B$43="미정산",U174&gt;0,OR(S174=$B$3,Z174&gt;0,U174&gt;0)))),1,0)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IF(AND(R175="OK",IF($B$43="전체",D175&lt;EDATE($B$3,1),IF($B$43="미정산",U175&gt;0,OR(S175=$B$3,Z175&gt;0,U175&gt;0)))),1,0)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IF(AND(R176="OK",IF($B$43="전체",D176&lt;EDATE($B$3,1),IF($B$43="미정산",U176&gt;0,OR(S176=$B$3,Z176&gt;0,U176&gt;0)))),1,0)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IF(AND(R177="OK",IF($B$43="전체",D177&lt;EDATE($B$3,1),IF($B$43="미정산",U177&gt;0,OR(S177=$B$3,Z177&gt;0,U177&gt;0)))),1,0)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IF(AND(R178="OK",IF($B$43="전체",D178&lt;EDATE($B$3,1),IF($B$43="미정산",U178&gt;0,OR(S178=$B$3,Z178&gt;0,U178&gt;0)))),1,0)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IF(AND(R179="OK",IF($B$43="전체",D179&lt;EDATE($B$3,1),IF($B$43="미정산",U179&gt;0,OR(S179=$B$3,Z179&gt;0,U179&gt;0)))),1,0)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IF(AND(R180="OK",IF($B$43="전체",D180&lt;EDATE($B$3,1),IF($B$43="미정산",U180&gt;0,OR(S180=$B$3,Z180&gt;0,U180&gt;0)))),1,0)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IF(AND(R181="OK",IF($B$43="전체",D181&lt;EDATE($B$3,1),IF($B$43="미정산",U181&gt;0,OR(S181=$B$3,Z181&gt;0,U181&gt;0)))),1,0)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IF(AND(R182="OK",IF($B$43="전체",D182&lt;EDATE($B$3,1),IF($B$43="미정산",U182&gt;0,OR(S182=$B$3,Z182&gt;0,U182&gt;0)))),1,0)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IF(AND(R183="OK",IF($B$43="전체",D183&lt;EDATE($B$3,1),IF($B$43="미정산",U183&gt;0,OR(S183=$B$3,Z183&gt;0,U183&gt;0)))),1,0)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IF(AND(R184="OK",IF($B$43="전체",D184&lt;EDATE($B$3,1),IF($B$43="미정산",U184&gt;0,OR(S184=$B$3,Z184&gt;0,U184&gt;0)))),1,0)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IF(AND(R185="OK",IF($B$43="전체",D185&lt;EDATE($B$3,1),IF($B$43="미정산",U185&gt;0,OR(S185=$B$3,Z185&gt;0,U185&gt;0)))),1,0)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IF(AND(R186="OK",IF($B$43="전체",D186&lt;EDATE($B$3,1),IF($B$43="미정산",U186&gt;0,OR(S186=$B$3,Z186&gt;0,U186&gt;0)))),1,0)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IF(AND(R187="OK",IF($B$43="전체",D187&lt;EDATE($B$3,1),IF($B$43="미정산",U187&gt;0,OR(S187=$B$3,Z187&gt;0,U187&gt;0)))),1,0)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IF(AND(R188="OK",IF($B$43="전체",D188&lt;EDATE($B$3,1),IF($B$43="미정산",U188&gt;0,OR(S188=$B$3,Z188&gt;0,U188&gt;0)))),1,0)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IF(AND(R189="OK",IF($B$43="전체",D189&lt;EDATE($B$3,1),IF($B$43="미정산",U189&gt;0,OR(S189=$B$3,Z189&gt;0,U189&gt;0)))),1,0)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IF(AND(R190="OK",IF($B$43="전체",D190&lt;EDATE($B$3,1),IF($B$43="미정산",U190&gt;0,OR(S190=$B$3,Z190&gt;0,U190&gt;0)))),1,0)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IF(AND(R191="OK",IF($B$43="전체",D191&lt;EDATE($B$3,1),IF($B$43="미정산",U191&gt;0,OR(S191=$B$3,Z191&gt;0,U191&gt;0)))),1,0)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IF(AND(R192="OK",IF($B$43="전체",D192&lt;EDATE($B$3,1),IF($B$43="미정산",U192&gt;0,OR(S192=$B$3,Z192&gt;0,U192&gt;0)))),1,0)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IF(AND(R193="OK",IF($B$43="전체",D193&lt;EDATE($B$3,1),IF($B$43="미정산",U193&gt;0,OR(S193=$B$3,Z193&gt;0,U193&gt;0)))),1,0)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IF(AND(R194="OK",IF($B$43="전체",D194&lt;EDATE($B$3,1),IF($B$43="미정산",U194&gt;0,OR(S194=$B$3,Z194&gt;0,U194&gt;0)))),1,0)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IF(AND(R195="OK",IF($B$43="전체",D195&lt;EDATE($B$3,1),IF($B$43="미정산",U195&gt;0,OR(S195=$B$3,Z195&gt;0,U195&gt;0)))),1,0)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IF(AND(R196="OK",IF($B$43="전체",D196&lt;EDATE($B$3,1),IF($B$43="미정산",U196&gt;0,OR(S196=$B$3,Z196&gt;0,U196&gt;0)))),1,0)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IF(AND(R197="OK",IF($B$43="전체",D197&lt;EDATE($B$3,1),IF($B$43="미정산",U197&gt;0,OR(S197=$B$3,Z197&gt;0,U197&gt;0)))),1,0)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IF(AND(R198="OK",IF($B$43="전체",D198&lt;EDATE($B$3,1),IF($B$43="미정산",U198&gt;0,OR(S198=$B$3,Z198&gt;0,U198&gt;0)))),1,0)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IF(AND(R199="OK",IF($B$43="전체",D199&lt;EDATE($B$3,1),IF($B$43="미정산",U199&gt;0,OR(S199=$B$3,Z199&gt;0,U199&gt;0)))),1,0)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IF(AND(R200="OK",IF($B$43="전체",D200&lt;EDATE($B$3,1),IF($B$43="미정산",U200&gt;0,OR(S200=$B$3,Z200&gt;0,U200&gt;0)))),1,0)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IF(AND(R201="OK",IF($B$43="전체",D201&lt;EDATE($B$3,1),IF($B$43="미정산",U201&gt;0,OR(S201=$B$3,Z201&gt;0,U201&gt;0)))),1,0)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IF(AND(R202="OK",IF($B$43="전체",D202&lt;EDATE($B$3,1),IF($B$43="미정산",U202&gt;0,OR(S202=$B$3,Z202&gt;0,U202&gt;0)))),1,0)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IF(AND(R203="OK",IF($B$43="전체",D203&lt;EDATE($B$3,1),IF($B$43="미정산",U203&gt;0,OR(S203=$B$3,Z203&gt;0,U203&gt;0)))),1,0)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IF(AND(R204="OK",IF($B$43="전체",D204&lt;EDATE($B$3,1),IF($B$43="미정산",U204&gt;0,OR(S204=$B$3,Z204&gt;0,U204&gt;0)))),1,0)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IF(AND(R205="OK",IF($B$43="전체",D205&lt;EDATE($B$3,1),IF($B$43="미정산",U205&gt;0,OR(S205=$B$3,Z205&gt;0,U205&gt;0)))),1,0)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IF(AND(R206="OK",IF($B$43="전체",D206&lt;EDATE($B$3,1),IF($B$43="미정산",U206&gt;0,OR(S206=$B$3,Z206&gt;0,U206&gt;0)))),1,0)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IF(AND(R207="OK",IF($B$43="전체",D207&lt;EDATE($B$3,1),IF($B$43="미정산",U207&gt;0,OR(S207=$B$3,Z207&gt;0,U207&gt;0)))),1,0)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IF(AND(R208="OK",IF($B$43="전체",D208&lt;EDATE($B$3,1),IF($B$43="미정산",U208&gt;0,OR(S208=$B$3,Z208&gt;0,U208&gt;0)))),1,0)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IF(AND(R209="OK",IF($B$43="전체",D209&lt;EDATE($B$3,1),IF($B$43="미정산",U209&gt;0,OR(S209=$B$3,Z209&gt;0,U209&gt;0)))),1,0)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IF(AND(R210="OK",IF($B$43="전체",D210&lt;EDATE($B$3,1),IF($B$43="미정산",U210&gt;0,OR(S210=$B$3,Z210&gt;0,U210&gt;0)))),1,0)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IF(AND(R211="OK",IF($B$43="전체",D211&lt;EDATE($B$3,1),IF($B$43="미정산",U211&gt;0,OR(S211=$B$3,Z211&gt;0,U211&gt;0)))),1,0)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IF(AND(R212="OK",IF($B$43="전체",D212&lt;EDATE($B$3,1),IF($B$43="미정산",U212&gt;0,OR(S212=$B$3,Z212&gt;0,U212&gt;0)))),1,0)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IF(AND(R213="OK",IF($B$43="전체",D213&lt;EDATE($B$3,1),IF($B$43="미정산",U213&gt;0,OR(S213=$B$3,Z213&gt;0,U213&gt;0)))),1,0)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IF(AND(R214="OK",IF($B$43="전체",D214&lt;EDATE($B$3,1),IF($B$43="미정산",U214&gt;0,OR(S214=$B$3,Z214&gt;0,U214&gt;0)))),1,0)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IF(AND(R215="OK",IF($B$43="전체",D215&lt;EDATE($B$3,1),IF($B$43="미정산",U215&gt;0,OR(S215=$B$3,Z215&gt;0,U215&gt;0)))),1,0)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IF(AND(R216="OK",IF($B$43="전체",D216&lt;EDATE($B$3,1),IF($B$43="미정산",U216&gt;0,OR(S216=$B$3,Z216&gt;0,U216&gt;0)))),1,0)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IF(AND(R217="OK",IF($B$43="전체",D217&lt;EDATE($B$3,1),IF($B$43="미정산",U217&gt;0,OR(S217=$B$3,Z217&gt;0,U217&gt;0)))),1,0)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IF(AND(R218="OK",IF($B$43="전체",D218&lt;EDATE($B$3,1),IF($B$43="미정산",U218&gt;0,OR(S218=$B$3,Z218&gt;0,U218&gt;0)))),1,0)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IF(AND(R219="OK",IF($B$43="전체",D219&lt;EDATE($B$3,1),IF($B$43="미정산",U219&gt;0,OR(S219=$B$3,Z219&gt;0,U219&gt;0)))),1,0)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IF(AND(R220="OK",IF($B$43="전체",D220&lt;EDATE($B$3,1),IF($B$43="미정산",U220&gt;0,OR(S220=$B$3,Z220&gt;0,U220&gt;0)))),1,0)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IF(AND(R221="OK",IF($B$43="전체",D221&lt;EDATE($B$3,1),IF($B$43="미정산",U221&gt;0,OR(S221=$B$3,Z221&gt;0,U221&gt;0)))),1,0)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IF(AND(R222="OK",IF($B$43="전체",D222&lt;EDATE($B$3,1),IF($B$43="미정산",U222&gt;0,OR(S222=$B$3,Z222&gt;0,U222&gt;0)))),1,0)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IF(AND(R223="OK",IF($B$43="전체",D223&lt;EDATE($B$3,1),IF($B$43="미정산",U223&gt;0,OR(S223=$B$3,Z223&gt;0,U223&gt;0)))),1,0)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IF(AND(R224="OK",IF($B$43="전체",D224&lt;EDATE($B$3,1),IF($B$43="미정산",U224&gt;0,OR(S224=$B$3,Z224&gt;0,U224&gt;0)))),1,0)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IF(AND(R225="OK",IF($B$43="전체",D225&lt;EDATE($B$3,1),IF($B$43="미정산",U225&gt;0,OR(S225=$B$3,Z225&gt;0,U225&gt;0)))),1,0)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IF(AND(R226="OK",IF($B$43="전체",D226&lt;EDATE($B$3,1),IF($B$43="미정산",U226&gt;0,OR(S226=$B$3,Z226&gt;0,U226&gt;0)))),1,0)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IF(AND(R227="OK",IF($B$43="전체",D227&lt;EDATE($B$3,1),IF($B$43="미정산",U227&gt;0,OR(S227=$B$3,Z227&gt;0,U227&gt;0)))),1,0)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IF(AND(R228="OK",IF($B$43="전체",D228&lt;EDATE($B$3,1),IF($B$43="미정산",U228&gt;0,OR(S228=$B$3,Z228&gt;0,U228&gt;0)))),1,0)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IF(AND(R229="OK",IF($B$43="전체",D229&lt;EDATE($B$3,1),IF($B$43="미정산",U229&gt;0,OR(S229=$B$3,Z229&gt;0,U229&gt;0)))),1,0)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IF(AND(R230="OK",IF($B$43="전체",D230&lt;EDATE($B$3,1),IF($B$43="미정산",U230&gt;0,OR(S230=$B$3,Z230&gt;0,U230&gt;0)))),1,0)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IF(AND(R231="OK",IF($B$43="전체",D231&lt;EDATE($B$3,1),IF($B$43="미정산",U231&gt;0,OR(S231=$B$3,Z231&gt;0,U231&gt;0)))),1,0)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IF(AND(R232="OK",IF($B$43="전체",D232&lt;EDATE($B$3,1),IF($B$43="미정산",U232&gt;0,OR(S232=$B$3,Z232&gt;0,U232&gt;0)))),1,0)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IF(AND(R233="OK",IF($B$43="전체",D233&lt;EDATE($B$3,1),IF($B$43="미정산",U233&gt;0,OR(S233=$B$3,Z233&gt;0,U233&gt;0)))),1,0)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IF(AND(R234="OK",IF($B$43="전체",D234&lt;EDATE($B$3,1),IF($B$43="미정산",U234&gt;0,OR(S234=$B$3,Z234&gt;0,U234&gt;0)))),1,0)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IF(AND(R235="OK",IF($B$43="전체",D235&lt;EDATE($B$3,1),IF($B$43="미정산",U235&gt;0,OR(S235=$B$3,Z235&gt;0,U235&gt;0)))),1,0)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IF(AND(R236="OK",IF($B$43="전체",D236&lt;EDATE($B$3,1),IF($B$43="미정산",U236&gt;0,OR(S236=$B$3,Z236&gt;0,U236&gt;0)))),1,0)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IF(AND(R237="OK",IF($B$43="전체",D237&lt;EDATE($B$3,1),IF($B$43="미정산",U237&gt;0,OR(S237=$B$3,Z237&gt;0,U237&gt;0)))),1,0)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IF(AND(R238="OK",IF($B$43="전체",D238&lt;EDATE($B$3,1),IF($B$43="미정산",U238&gt;0,OR(S238=$B$3,Z238&gt;0,U238&gt;0)))),1,0)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IF(AND(R239="OK",IF($B$43="전체",D239&lt;EDATE($B$3,1),IF($B$43="미정산",U239&gt;0,OR(S239=$B$3,Z239&gt;0,U239&gt;0)))),1,0)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IF(AND(R240="OK",IF($B$43="전체",D240&lt;EDATE($B$3,1),IF($B$43="미정산",U240&gt;0,OR(S240=$B$3,Z240&gt;0,U240&gt;0)))),1,0)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IF(AND(R241="OK",IF($B$43="전체",D241&lt;EDATE($B$3,1),IF($B$43="미정산",U241&gt;0,OR(S241=$B$3,Z241&gt;0,U241&gt;0)))),1,0)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IF(AND(R242="OK",IF($B$43="전체",D242&lt;EDATE($B$3,1),IF($B$43="미정산",U242&gt;0,OR(S242=$B$3,Z242&gt;0,U242&gt;0)))),1,0)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IF(AND(R243="OK",IF($B$43="전체",D243&lt;EDATE($B$3,1),IF($B$43="미정산",U243&gt;0,OR(S243=$B$3,Z243&gt;0,U243&gt;0)))),1,0)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IF(AND(R244="OK",IF($B$43="전체",D244&lt;EDATE($B$3,1),IF($B$43="미정산",U244&gt;0,OR(S244=$B$3,Z244&gt;0,U244&gt;0)))),1,0)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IF(AND(R245="OK",IF($B$43="전체",D245&lt;EDATE($B$3,1),IF($B$43="미정산",U245&gt;0,OR(S245=$B$3,Z245&gt;0,U245&gt;0)))),1,0)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IF(AND(R246="OK",IF($B$43="전체",D246&lt;EDATE($B$3,1),IF($B$43="미정산",U246&gt;0,OR(S246=$B$3,Z246&gt;0,U246&gt;0)))),1,0)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IF(AND(R247="OK",IF($B$43="전체",D247&lt;EDATE($B$3,1),IF($B$43="미정산",U247&gt;0,OR(S247=$B$3,Z247&gt;0,U247&gt;0)))),1,0)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IF(AND(R248="OK",IF($B$43="전체",D248&lt;EDATE($B$3,1),IF($B$43="미정산",U248&gt;0,OR(S248=$B$3,Z248&gt;0,U248&gt;0)))),1,0)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IF(AND(R249="OK",IF($B$43="전체",D249&lt;EDATE($B$3,1),IF($B$43="미정산",U249&gt;0,OR(S249=$B$3,Z249&gt;0,U249&gt;0)))),1,0)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IF(AND(R250="OK",IF($B$43="전체",D250&lt;EDATE($B$3,1),IF($B$43="미정산",U250&gt;0,OR(S250=$B$3,Z250&gt;0,U250&gt;0)))),1,0)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IF(AND(R251="OK",IF($B$43="전체",D251&lt;EDATE($B$3,1),IF($B$43="미정산",U251&gt;0,OR(S251=$B$3,Z251&gt;0,U251&gt;0)))),1,0)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IF(AND(R252="OK",IF($B$43="전체",D252&lt;EDATE($B$3,1),IF($B$43="미정산",U252&gt;0,OR(S252=$B$3,Z252&gt;0,U252&gt;0)))),1,0)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IF(AND(R253="OK",IF($B$43="전체",D253&lt;EDATE($B$3,1),IF($B$43="미정산",U253&gt;0,OR(S253=$B$3,Z253&gt;0,U253&gt;0)))),1,0)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IF(AND(R254="OK",IF($B$43="전체",D254&lt;EDATE($B$3,1),IF($B$43="미정산",U254&gt;0,OR(S254=$B$3,Z254&gt;0,U254&gt;0)))),1,0)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IF(AND(R255="OK",IF($B$43="전체",D255&lt;EDATE($B$3,1),IF($B$43="미정산",U255&gt;0,OR(S255=$B$3,Z255&gt;0,U255&gt;0)))),1,0)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IF(AND(R256="OK",IF($B$43="전체",D256&lt;EDATE($B$3,1),IF($B$43="미정산",U256&gt;0,OR(S256=$B$3,Z256&gt;0,U256&gt;0)))),1,0)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IF(AND(R257="OK",IF($B$43="전체",D257&lt;EDATE($B$3,1),IF($B$43="미정산",U257&gt;0,OR(S257=$B$3,Z257&gt;0,U257&gt;0)))),1,0)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IF(AND(R258="OK",IF($B$43="전체",D258&lt;EDATE($B$3,1),IF($B$43="미정산",U258&gt;0,OR(S258=$B$3,Z258&gt;0,U258&gt;0)))),1,0)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IF(AND(R259="OK",IF($B$43="전체",D259&lt;EDATE($B$3,1),IF($B$43="미정산",U259&gt;0,OR(S259=$B$3,Z259&gt;0,U259&gt;0)))),1,0)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IF(AND(R260="OK",IF($B$43="전체",D260&lt;EDATE($B$3,1),IF($B$43="미정산",U260&gt;0,OR(S260=$B$3,Z260&gt;0,U260&gt;0)))),1,0)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IF(AND(R261="OK",IF($B$43="전체",D261&lt;EDATE($B$3,1),IF($B$43="미정산",U261&gt;0,OR(S261=$B$3,Z261&gt;0,U261&gt;0)))),1,0)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IF(AND(R262="OK",IF($B$43="전체",D262&lt;EDATE($B$3,1),IF($B$43="미정산",U262&gt;0,OR(S262=$B$3,Z262&gt;0,U262&gt;0)))),1,0)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IF(AND(R263="OK",IF($B$43="전체",D263&lt;EDATE($B$3,1),IF($B$43="미정산",U263&gt;0,OR(S263=$B$3,Z263&gt;0,U263&gt;0)))),1,0)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IF(AND(R264="OK",IF($B$43="전체",D264&lt;EDATE($B$3,1),IF($B$43="미정산",U264&gt;0,OR(S264=$B$3,Z264&gt;0,U264&gt;0)))),1,0)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IF(AND(R265="OK",IF($B$43="전체",D265&lt;EDATE($B$3,1),IF($B$43="미정산",U265&gt;0,OR(S265=$B$3,Z265&gt;0,U265&gt;0)))),1,0)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IF(AND(R266="OK",IF($B$43="전체",D266&lt;EDATE($B$3,1),IF($B$43="미정산",U266&gt;0,OR(S266=$B$3,Z266&gt;0,U266&gt;0)))),1,0)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IF(AND(R267="OK",IF($B$43="전체",D267&lt;EDATE($B$3,1),IF($B$43="미정산",U267&gt;0,OR(S267=$B$3,Z267&gt;0,U267&gt;0)))),1,0)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IF(AND(R268="OK",IF($B$43="전체",D268&lt;EDATE($B$3,1),IF($B$43="미정산",U268&gt;0,OR(S268=$B$3,Z268&gt;0,U268&gt;0)))),1,0)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IF(AND(R269="OK",IF($B$43="전체",D269&lt;EDATE($B$3,1),IF($B$43="미정산",U269&gt;0,OR(S269=$B$3,Z269&gt;0,U269&gt;0)))),1,0)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IF(AND(R270="OK",IF($B$43="전체",D270&lt;EDATE($B$3,1),IF($B$43="미정산",U270&gt;0,OR(S270=$B$3,Z270&gt;0,U270&gt;0)))),1,0)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IF(AND(R271="OK",IF($B$43="전체",D271&lt;EDATE($B$3,1),IF($B$43="미정산",U271&gt;0,OR(S271=$B$3,Z271&gt;0,U271&gt;0)))),1,0)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IF(AND(R272="OK",IF($B$43="전체",D272&lt;EDATE($B$3,1),IF($B$43="미정산",U272&gt;0,OR(S272=$B$3,Z272&gt;0,U272&gt;0)))),1,0)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IF(AND(R273="OK",IF($B$43="전체",D273&lt;EDATE($B$3,1),IF($B$43="미정산",U273&gt;0,OR(S273=$B$3,Z273&gt;0,U273&gt;0)))),1,0)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IF(AND(R274="OK",IF($B$43="전체",D274&lt;EDATE($B$3,1),IF($B$43="미정산",U274&gt;0,OR(S274=$B$3,Z274&gt;0,U274&gt;0)))),1,0)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IF(AND(R275="OK",IF($B$43="전체",D275&lt;EDATE($B$3,1),IF($B$43="미정산",U275&gt;0,OR(S275=$B$3,Z275&gt;0,U275&gt;0)))),1,0)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IF(AND(R276="OK",IF($B$43="전체",D276&lt;EDATE($B$3,1),IF($B$43="미정산",U276&gt;0,OR(S276=$B$3,Z276&gt;0,U276&gt;0)))),1,0)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IF(AND(R277="OK",IF($B$43="전체",D277&lt;EDATE($B$3,1),IF($B$43="미정산",U277&gt;0,OR(S277=$B$3,Z277&gt;0,U277&gt;0)))),1,0)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IF(AND(R278="OK",IF($B$43="전체",D278&lt;EDATE($B$3,1),IF($B$43="미정산",U278&gt;0,OR(S278=$B$3,Z278&gt;0,U278&gt;0)))),1,0)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IF(AND(R279="OK",IF($B$43="전체",D279&lt;EDATE($B$3,1),IF($B$43="미정산",U279&gt;0,OR(S279=$B$3,Z279&gt;0,U279&gt;0)))),1,0)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IF(AND(R280="OK",IF($B$43="전체",D280&lt;EDATE($B$3,1),IF($B$43="미정산",U280&gt;0,OR(S280=$B$3,Z280&gt;0,U280&gt;0)))),1,0)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IF(AND(R281="OK",IF($B$43="전체",D281&lt;EDATE($B$3,1),IF($B$43="미정산",U281&gt;0,OR(S281=$B$3,Z281&gt;0,U281&gt;0)))),1,0)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IF(AND(R282="OK",IF($B$43="전체",D282&lt;EDATE($B$3,1),IF($B$43="미정산",U282&gt;0,OR(S282=$B$3,Z282&gt;0,U282&gt;0)))),1,0)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IF(AND(R283="OK",IF($B$43="전체",D283&lt;EDATE($B$3,1),IF($B$43="미정산",U283&gt;0,OR(S283=$B$3,Z283&gt;0,U283&gt;0)))),1,0)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IF(AND(R284="OK",IF($B$43="전체",D284&lt;EDATE($B$3,1),IF($B$43="미정산",U284&gt;0,OR(S284=$B$3,Z284&gt;0,U284&gt;0)))),1,0)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IF(AND(R285="OK",IF($B$43="전체",D285&lt;EDATE($B$3,1),IF($B$43="미정산",U285&gt;0,OR(S285=$B$3,Z285&gt;0,U285&gt;0)))),1,0)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IF(AND(R286="OK",IF($B$43="전체",D286&lt;EDATE($B$3,1),IF($B$43="미정산",U286&gt;0,OR(S286=$B$3,Z286&gt;0,U286&gt;0)))),1,0)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IF(AND(R287="OK",IF($B$43="전체",D287&lt;EDATE($B$3,1),IF($B$43="미정산",U287&gt;0,OR(S287=$B$3,Z287&gt;0,U287&gt;0)))),1,0)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IF(AND(R288="OK",IF($B$43="전체",D288&lt;EDATE($B$3,1),IF($B$43="미정산",U288&gt;0,OR(S288=$B$3,Z288&gt;0,U288&gt;0)))),1,0)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IF(AND(R289="OK",IF($B$43="전체",D289&lt;EDATE($B$3,1),IF($B$43="미정산",U289&gt;0,OR(S289=$B$3,Z289&gt;0,U289&gt;0)))),1,0)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IF(AND(R290="OK",IF($B$43="전체",D290&lt;EDATE($B$3,1),IF($B$43="미정산",U290&gt;0,OR(S290=$B$3,Z290&gt;0,U290&gt;0)))),1,0)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IF(AND(R291="OK",IF($B$43="전체",D291&lt;EDATE($B$3,1),IF($B$43="미정산",U291&gt;0,OR(S291=$B$3,Z291&gt;0,U291&gt;0)))),1,0)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IF(AND(R292="OK",IF($B$43="전체",D292&lt;EDATE($B$3,1),IF($B$43="미정산",U292&gt;0,OR(S292=$B$3,Z292&gt;0,U292&gt;0)))),1,0)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IF(AND(R293="OK",IF($B$43="전체",D293&lt;EDATE($B$3,1),IF($B$43="미정산",U293&gt;0,OR(S293=$B$3,Z293&gt;0,U293&gt;0)))),1,0)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IF(AND(R294="OK",IF($B$43="전체",D294&lt;EDATE($B$3,1),IF($B$43="미정산",U294&gt;0,OR(S294=$B$3,Z294&gt;0,U294&gt;0)))),1,0)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IF(AND(R295="OK",IF($B$43="전체",D295&lt;EDATE($B$3,1),IF($B$43="미정산",U295&gt;0,OR(S295=$B$3,Z295&gt;0,U295&gt;0)))),1,0)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IF(AND(R296="OK",IF($B$43="전체",D296&lt;EDATE($B$3,1),IF($B$43="미정산",U296&gt;0,OR(S296=$B$3,Z296&gt;0,U296&gt;0)))),1,0)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IF(AND(R297="OK",IF($B$43="전체",D297&lt;EDATE($B$3,1),IF($B$43="미정산",U297&gt;0,OR(S297=$B$3,Z297&gt;0,U297&gt;0)))),1,0)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IF(AND(R298="OK",IF($B$43="전체",D298&lt;EDATE($B$3,1),IF($B$43="미정산",U298&gt;0,OR(S298=$B$3,Z298&gt;0,U298&gt;0)))),1,0)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IF(AND(R299="OK",IF($B$43="전체",D299&lt;EDATE($B$3,1),IF($B$43="미정산",U299&gt;0,OR(S299=$B$3,Z299&gt;0,U299&gt;0)))),1,0)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IF(AND(R300="OK",IF($B$43="전체",D300&lt;EDATE($B$3,1),IF($B$43="미정산",U300&gt;0,OR(S300=$B$3,Z300&gt;0,U300&gt;0)))),1,0)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IF(AND(R301="OK",IF($B$43="전체",D301&lt;EDATE($B$3,1),IF($B$43="미정산",U301&gt;0,OR(S301=$B$3,Z301&gt;0,U301&gt;0)))),1,0)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IF(AND(R302="OK",IF($B$43="전체",D302&lt;EDATE($B$3,1),IF($B$43="미정산",U302&gt;0,OR(S302=$B$3,Z302&gt;0,U302&gt;0)))),1,0)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IF(AND(R303="OK",IF($B$43="전체",D303&lt;EDATE($B$3,1),IF($B$43="미정산",U303&gt;0,OR(S303=$B$3,Z303&gt;0,U303&gt;0)))),1,0)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IF(AND(R304="OK",IF($B$43="전체",D304&lt;EDATE($B$3,1),IF($B$43="미정산",U304&gt;0,OR(S304=$B$3,Z304&gt;0,U304&gt;0)))),1,0)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IF(AND(R305="OK",IF($B$43="전체",D305&lt;EDATE($B$3,1),IF($B$43="미정산",U305&gt;0,OR(S305=$B$3,Z305&gt;0,U305&gt;0)))),1,0)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IF(AND(R306="OK",IF($B$43="전체",D306&lt;EDATE($B$3,1),IF($B$43="미정산",U306&gt;0,OR(S306=$B$3,Z306&gt;0,U306&gt;0)))),1,0)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IF(AND(R307="OK",IF($B$43="전체",D307&lt;EDATE($B$3,1),IF($B$43="미정산",U307&gt;0,OR(S307=$B$3,Z307&gt;0,U307&gt;0)))),1,0)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IF(AND(R308="OK",IF($B$43="전체",D308&lt;EDATE($B$3,1),IF($B$43="미정산",U308&gt;0,OR(S308=$B$3,Z308&gt;0,U308&gt;0)))),1,0)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IF(AND(R309="OK",IF($B$43="전체",D309&lt;EDATE($B$3,1),IF($B$43="미정산",U309&gt;0,OR(S309=$B$3,Z309&gt;0,U309&gt;0)))),1,0)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IF(AND(R310="OK",IF($B$43="전체",D310&lt;EDATE($B$3,1),IF($B$43="미정산",U310&gt;0,OR(S310=$B$3,Z310&gt;0,U310&gt;0)))),1,0)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IF(AND(R311="OK",IF($B$43="전체",D311&lt;EDATE($B$3,1),IF($B$43="미정산",U311&gt;0,OR(S311=$B$3,Z311&gt;0,U311&gt;0)))),1,0)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IF(AND(R312="OK",IF($B$43="전체",D312&lt;EDATE($B$3,1),IF($B$43="미정산",U312&gt;0,OR(S312=$B$3,Z312&gt;0,U312&gt;0)))),1,0)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IF(AND(R313="OK",IF($B$43="전체",D313&lt;EDATE($B$3,1),IF($B$43="미정산",U313&gt;0,OR(S313=$B$3,Z313&gt;0,U313&gt;0)))),1,0)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IF(AND(R314="OK",IF($B$43="전체",D314&lt;EDATE($B$3,1),IF($B$43="미정산",U314&gt;0,OR(S314=$B$3,Z314&gt;0,U314&gt;0)))),1,0)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IF(AND(R315="OK",IF($B$43="전체",D315&lt;EDATE($B$3,1),IF($B$43="미정산",U315&gt;0,OR(S315=$B$3,Z315&gt;0,U315&gt;0)))),1,0)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IF(AND(R316="OK",IF($B$43="전체",D316&lt;EDATE($B$3,1),IF($B$43="미정산",U316&gt;0,OR(S316=$B$3,Z316&gt;0,U316&gt;0)))),1,0)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IF(AND(R317="OK",IF($B$43="전체",D317&lt;EDATE($B$3,1),IF($B$43="미정산",U317&gt;0,OR(S317=$B$3,Z317&gt;0,U317&gt;0)))),1,0)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IF(AND(R318="OK",IF($B$43="전체",D318&lt;EDATE($B$3,1),IF($B$43="미정산",U318&gt;0,OR(S318=$B$3,Z318&gt;0,U318&gt;0)))),1,0)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IF(AND(R319="OK",IF($B$43="전체",D319&lt;EDATE($B$3,1),IF($B$43="미정산",U319&gt;0,OR(S319=$B$3,Z319&gt;0,U319&gt;0)))),1,0)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IF(AND(R320="OK",IF($B$43="전체",D320&lt;EDATE($B$3,1),IF($B$43="미정산",U320&gt;0,OR(S320=$B$3,Z320&gt;0,U320&gt;0)))),1,0)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IF(AND(R321="OK",IF($B$43="전체",D321&lt;EDATE($B$3,1),IF($B$43="미정산",U321&gt;0,OR(S321=$B$3,Z321&gt;0,U321&gt;0)))),1,0)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IF(AND(R322="OK",IF($B$43="전체",D322&lt;EDATE($B$3,1),IF($B$43="미정산",U322&gt;0,OR(S322=$B$3,Z322&gt;0,U322&gt;0)))),1,0)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IF(AND(R323="OK",IF($B$43="전체",D323&lt;EDATE($B$3,1),IF($B$43="미정산",U323&gt;0,OR(S323=$B$3,Z323&gt;0,U323&gt;0)))),1,0)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IF(AND(R324="OK",IF($B$43="전체",D324&lt;EDATE($B$3,1),IF($B$43="미정산",U324&gt;0,OR(S324=$B$3,Z324&gt;0,U324&gt;0)))),1,0)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IF(AND(R325="OK",IF($B$43="전체",D325&lt;EDATE($B$3,1),IF($B$43="미정산",U325&gt;0,OR(S325=$B$3,Z325&gt;0,U325&gt;0)))),1,0)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IF(AND(R326="OK",IF($B$43="전체",D326&lt;EDATE($B$3,1),IF($B$43="미정산",U326&gt;0,OR(S326=$B$3,Z326&gt;0,U326&gt;0)))),1,0)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IF(AND(R327="OK",IF($B$43="전체",D327&lt;EDATE($B$3,1),IF($B$43="미정산",U327&gt;0,OR(S327=$B$3,Z327&gt;0,U327&gt;0)))),1,0)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IF(AND(R328="OK",IF($B$43="전체",D328&lt;EDATE($B$3,1),IF($B$43="미정산",U328&gt;0,OR(S328=$B$3,Z328&gt;0,U328&gt;0)))),1,0)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IF(AND(R329="OK",IF($B$43="전체",D329&lt;EDATE($B$3,1),IF($B$43="미정산",U329&gt;0,OR(S329=$B$3,Z329&gt;0,U329&gt;0)))),1,0)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IF(AND(R330="OK",IF($B$43="전체",D330&lt;EDATE($B$3,1),IF($B$43="미정산",U330&gt;0,OR(S330=$B$3,Z330&gt;0,U330&gt;0)))),1,0)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IF(AND(R331="OK",IF($B$43="전체",D331&lt;EDATE($B$3,1),IF($B$43="미정산",U331&gt;0,OR(S331=$B$3,Z331&gt;0,U331&gt;0)))),1,0)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IF(AND(R332="OK",IF($B$43="전체",D332&lt;EDATE($B$3,1),IF($B$43="미정산",U332&gt;0,OR(S332=$B$3,Z332&gt;0,U332&gt;0)))),1,0)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IF(AND(R333="OK",IF($B$43="전체",D333&lt;EDATE($B$3,1),IF($B$43="미정산",U333&gt;0,OR(S333=$B$3,Z333&gt;0,U333&gt;0)))),1,0)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IF(AND(R334="OK",IF($B$43="전체",D334&lt;EDATE($B$3,1),IF($B$43="미정산",U334&gt;0,OR(S334=$B$3,Z334&gt;0,U334&gt;0)))),1,0)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IF(AND(R335="OK",IF($B$43="전체",D335&lt;EDATE($B$3,1),IF($B$43="미정산",U335&gt;0,OR(S335=$B$3,Z335&gt;0,U335&gt;0)))),1,0)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IF(AND(R336="OK",IF($B$43="전체",D336&lt;EDATE($B$3,1),IF($B$43="미정산",U336&gt;0,OR(S336=$B$3,Z336&gt;0,U336&gt;0)))),1,0)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IF(AND(R337="OK",IF($B$43="전체",D337&lt;EDATE($B$3,1),IF($B$43="미정산",U337&gt;0,OR(S337=$B$3,Z337&gt;0,U337&gt;0)))),1,0)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IF(AND(R338="OK",IF($B$43="전체",D338&lt;EDATE($B$3,1),IF($B$43="미정산",U338&gt;0,OR(S338=$B$3,Z338&gt;0,U338&gt;0)))),1,0)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IF(AND(R339="OK",IF($B$43="전체",D339&lt;EDATE($B$3,1),IF($B$43="미정산",U339&gt;0,OR(S339=$B$3,Z339&gt;0,U339&gt;0)))),1,0)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IF(AND(R340="OK",IF($B$43="전체",D340&lt;EDATE($B$3,1),IF($B$43="미정산",U340&gt;0,OR(S340=$B$3,Z340&gt;0,U340&gt;0)))),1,0)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IF(AND(R341="OK",IF($B$43="전체",D341&lt;EDATE($B$3,1),IF($B$43="미정산",U341&gt;0,OR(S341=$B$3,Z341&gt;0,U341&gt;0)))),1,0)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IF(AND(R342="OK",IF($B$43="전체",D342&lt;EDATE($B$3,1),IF($B$43="미정산",U342&gt;0,OR(S342=$B$3,Z342&gt;0,U342&gt;0)))),1,0)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IF(AND(R343="OK",IF($B$43="전체",D343&lt;EDATE($B$3,1),IF($B$43="미정산",U343&gt;0,OR(S343=$B$3,Z343&gt;0,U343&gt;0)))),1,0)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IF(AND(R344="OK",IF($B$43="전체",D344&lt;EDATE($B$3,1),IF($B$43="미정산",U344&gt;0,OR(S344=$B$3,Z344&gt;0,U344&gt;0)))),1,0)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IF(AND(R345="OK",IF($B$43="전체",D345&lt;EDATE($B$3,1),IF($B$43="미정산",U345&gt;0,OR(S345=$B$3,Z345&gt;0,U345&gt;0)))),1,0)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IF(AND(R346="OK",IF($B$43="전체",D346&lt;EDATE($B$3,1),IF($B$43="미정산",U346&gt;0,OR(S346=$B$3,Z346&gt;0,U346&gt;0)))),1,0)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IF(AND(R347="OK",IF($B$43="전체",D347&lt;EDATE($B$3,1),IF($B$43="미정산",U347&gt;0,OR(S347=$B$3,Z347&gt;0,U347&gt;0)))),1,0)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IF(AND(R348="OK",IF($B$43="전체",D348&lt;EDATE($B$3,1),IF($B$43="미정산",U348&gt;0,OR(S348=$B$3,Z348&gt;0,U348&gt;0)))),1,0)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IF(AND(R349="OK",IF($B$43="전체",D349&lt;EDATE($B$3,1),IF($B$43="미정산",U349&gt;0,OR(S349=$B$3,Z349&gt;0,U349&gt;0)))),1,0)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IF(AND(R350="OK",IF($B$43="전체",D350&lt;EDATE($B$3,1),IF($B$43="미정산",U350&gt;0,OR(S350=$B$3,Z350&gt;0,U350&gt;0)))),1,0)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IF(AND(R351="OK",IF($B$43="전체",D351&lt;EDATE($B$3,1),IF($B$43="미정산",U351&gt;0,OR(S351=$B$3,Z351&gt;0,U351&gt;0)))),1,0)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IF(AND(R352="OK",IF($B$43="전체",D352&lt;EDATE($B$3,1),IF($B$43="미정산",U352&gt;0,OR(S352=$B$3,Z352&gt;0,U352&gt;0)))),1,0)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IF(AND(R353="OK",IF($B$43="전체",D353&lt;EDATE($B$3,1),IF($B$43="미정산",U353&gt;0,OR(S353=$B$3,Z353&gt;0,U353&gt;0)))),1,0)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IF(AND(R354="OK",IF($B$43="전체",D354&lt;EDATE($B$3,1),IF($B$43="미정산",U354&gt;0,OR(S354=$B$3,Z354&gt;0,U354&gt;0)))),1,0)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IF(AND(R355="OK",IF($B$43="전체",D355&lt;EDATE($B$3,1),IF($B$43="미정산",U355&gt;0,OR(S355=$B$3,Z355&gt;0,U355&gt;0)))),1,0)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IF(AND(R356="OK",IF($B$43="전체",D356&lt;EDATE($B$3,1),IF($B$43="미정산",U356&gt;0,OR(S356=$B$3,Z356&gt;0,U356&gt;0)))),1,0)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IF(AND(R357="OK",IF($B$43="전체",D357&lt;EDATE($B$3,1),IF($B$43="미정산",U357&gt;0,OR(S357=$B$3,Z357&gt;0,U357&gt;0)))),1,0)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IF(AND(R358="OK",IF($B$43="전체",D358&lt;EDATE($B$3,1),IF($B$43="미정산",U358&gt;0,OR(S358=$B$3,Z358&gt;0,U358&gt;0)))),1,0)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IF(AND(R359="OK",IF($B$43="전체",D359&lt;EDATE($B$3,1),IF($B$43="미정산",U359&gt;0,OR(S359=$B$3,Z359&gt;0,U359&gt;0)))),1,0)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IF(AND(R360="OK",IF($B$43="전체",D360&lt;EDATE($B$3,1),IF($B$43="미정산",U360&gt;0,OR(S360=$B$3,Z360&gt;0,U360&gt;0)))),1,0)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IF(AND(R361="OK",IF($B$43="전체",D361&lt;EDATE($B$3,1),IF($B$43="미정산",U361&gt;0,OR(S361=$B$3,Z361&gt;0,U361&gt;0)))),1,0)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IF(AND(R362="OK",IF($B$43="전체",D362&lt;EDATE($B$3,1),IF($B$43="미정산",U362&gt;0,OR(S362=$B$3,Z362&gt;0,U362&gt;0)))),1,0)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IF(AND(R363="OK",IF($B$43="전체",D363&lt;EDATE($B$3,1),IF($B$43="미정산",U363&gt;0,OR(S363=$B$3,Z363&gt;0,U363&gt;0)))),1,0)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IF(AND(R364="OK",IF($B$43="전체",D364&lt;EDATE($B$3,1),IF($B$43="미정산",U364&gt;0,OR(S364=$B$3,Z364&gt;0,U364&gt;0)))),1,0)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IF(AND(R365="OK",IF($B$43="전체",D365&lt;EDATE($B$3,1),IF($B$43="미정산",U365&gt;0,OR(S365=$B$3,Z365&gt;0,U365&gt;0)))),1,0)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IF(AND(R366="OK",IF($B$43="전체",D366&lt;EDATE($B$3,1),IF($B$43="미정산",U366&gt;0,OR(S366=$B$3,Z366&gt;0,U366&gt;0)))),1,0)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IF(AND(R367="OK",IF($B$43="전체",D367&lt;EDATE($B$3,1),IF($B$43="미정산",U367&gt;0,OR(S367=$B$3,Z367&gt;0,U367&gt;0)))),1,0)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IF(AND(R368="OK",IF($B$43="전체",D368&lt;EDATE($B$3,1),IF($B$43="미정산",U368&gt;0,OR(S368=$B$3,Z368&gt;0,U368&gt;0)))),1,0)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IF(AND(R369="OK",IF($B$43="전체",D369&lt;EDATE($B$3,1),IF($B$43="미정산",U369&gt;0,OR(S369=$B$3,Z369&gt;0,U369&gt;0)))),1,0)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IF(AND(R370="OK",IF($B$43="전체",D370&lt;EDATE($B$3,1),IF($B$43="미정산",U370&gt;0,OR(S370=$B$3,Z370&gt;0,U370&gt;0)))),1,0)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IF(AND(R371="OK",IF($B$43="전체",D371&lt;EDATE($B$3,1),IF($B$43="미정산",U371&gt;0,OR(S371=$B$3,Z371&gt;0,U371&gt;0)))),1,0)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IF(AND(R372="OK",IF($B$43="전체",D372&lt;EDATE($B$3,1),IF($B$43="미정산",U372&gt;0,OR(S372=$B$3,Z372&gt;0,U372&gt;0)))),1,0)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IF(AND(R373="OK",IF($B$43="전체",D373&lt;EDATE($B$3,1),IF($B$43="미정산",U373&gt;0,OR(S373=$B$3,Z373&gt;0,U373&gt;0)))),1,0)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IF(AND(R374="OK",IF($B$43="전체",D374&lt;EDATE($B$3,1),IF($B$43="미정산",U374&gt;0,OR(S374=$B$3,Z374&gt;0,U374&gt;0)))),1,0)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IF(AND(R375="OK",IF($B$43="전체",D375&lt;EDATE($B$3,1),IF($B$43="미정산",U375&gt;0,OR(S375=$B$3,Z375&gt;0,U375&gt;0)))),1,0)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IF(AND(R376="OK",IF($B$43="전체",D376&lt;EDATE($B$3,1),IF($B$43="미정산",U376&gt;0,OR(S376=$B$3,Z376&gt;0,U376&gt;0)))),1,0)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IF(AND(R377="OK",IF($B$43="전체",D377&lt;EDATE($B$3,1),IF($B$43="미정산",U377&gt;0,OR(S377=$B$3,Z377&gt;0,U377&gt;0)))),1,0)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IF(AND(R378="OK",IF($B$43="전체",D378&lt;EDATE($B$3,1),IF($B$43="미정산",U378&gt;0,OR(S378=$B$3,Z378&gt;0,U378&gt;0)))),1,0)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IF(AND(R379="OK",IF($B$43="전체",D379&lt;EDATE($B$3,1),IF($B$43="미정산",U379&gt;0,OR(S379=$B$3,Z379&gt;0,U379&gt;0)))),1,0)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IF(AND(R380="OK",IF($B$43="전체",D380&lt;EDATE($B$3,1),IF($B$43="미정산",U380&gt;0,OR(S380=$B$3,Z380&gt;0,U380&gt;0)))),1,0)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IF(AND(R381="OK",IF($B$43="전체",D381&lt;EDATE($B$3,1),IF($B$43="미정산",U381&gt;0,OR(S381=$B$3,Z381&gt;0,U381&gt;0)))),1,0)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IF(AND(R382="OK",IF($B$43="전체",D382&lt;EDATE($B$3,1),IF($B$43="미정산",U382&gt;0,OR(S382=$B$3,Z382&gt;0,U382&gt;0)))),1,0)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IF(AND(R383="OK",IF($B$43="전체",D383&lt;EDATE($B$3,1),IF($B$43="미정산",U383&gt;0,OR(S383=$B$3,Z383&gt;0,U383&gt;0)))),1,0)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IF(AND(R384="OK",IF($B$43="전체",D384&lt;EDATE($B$3,1),IF($B$43="미정산",U384&gt;0,OR(S384=$B$3,Z384&gt;0,U384&gt;0)))),1,0)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IF(AND(R385="OK",IF($B$43="전체",D385&lt;EDATE($B$3,1),IF($B$43="미정산",U385&gt;0,OR(S385=$B$3,Z385&gt;0,U385&gt;0)))),1,0)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IF(AND(R386="OK",IF($B$43="전체",D386&lt;EDATE($B$3,1),IF($B$43="미정산",U386&gt;0,OR(S386=$B$3,Z386&gt;0,U386&gt;0)))),1,0)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IF(AND(R387="OK",IF($B$43="전체",D387&lt;EDATE($B$3,1),IF($B$43="미정산",U387&gt;0,OR(S387=$B$3,Z387&gt;0,U387&gt;0)))),1,0)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IF(AND(R388="OK",IF($B$43="전체",D388&lt;EDATE($B$3,1),IF($B$43="미정산",U388&gt;0,OR(S388=$B$3,Z388&gt;0,U388&gt;0)))),1,0)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IF(AND(R389="OK",IF($B$43="전체",D389&lt;EDATE($B$3,1),IF($B$43="미정산",U389&gt;0,OR(S389=$B$3,Z389&gt;0,U389&gt;0)))),1,0)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IF(AND(R390="OK",IF($B$43="전체",D390&lt;EDATE($B$3,1),IF($B$43="미정산",U390&gt;0,OR(S390=$B$3,Z390&gt;0,U390&gt;0)))),1,0)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IF(AND(R391="OK",IF($B$43="전체",D391&lt;EDATE($B$3,1),IF($B$43="미정산",U391&gt;0,OR(S391=$B$3,Z391&gt;0,U391&gt;0)))),1,0)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IF(AND(R392="OK",IF($B$43="전체",D392&lt;EDATE($B$3,1),IF($B$43="미정산",U392&gt;0,OR(S392=$B$3,Z392&gt;0,U392&gt;0)))),1,0)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IF(AND(R393="OK",IF($B$43="전체",D393&lt;EDATE($B$3,1),IF($B$43="미정산",U393&gt;0,OR(S393=$B$3,Z393&gt;0,U393&gt;0)))),1,0)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IF(AND(R394="OK",IF($B$43="전체",D394&lt;EDATE($B$3,1),IF($B$43="미정산",U394&gt;0,OR(S394=$B$3,Z394&gt;0,U394&gt;0)))),1,0)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IF(AND(R395="OK",IF($B$43="전체",D395&lt;EDATE($B$3,1),IF($B$43="미정산",U395&gt;0,OR(S395=$B$3,Z395&gt;0,U395&gt;0)))),1,0)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IF(AND(R396="OK",IF($B$43="전체",D396&lt;EDATE($B$3,1),IF($B$43="미정산",U396&gt;0,OR(S396=$B$3,Z396&gt;0,U396&gt;0)))),1,0)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IF(AND(R397="OK",IF($B$43="전체",D397&lt;EDATE($B$3,1),IF($B$43="미정산",U397&gt;0,OR(S397=$B$3,Z397&gt;0,U397&gt;0)))),1,0)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IF(AND(R398="OK",IF($B$43="전체",D398&lt;EDATE($B$3,1),IF($B$43="미정산",U398&gt;0,OR(S398=$B$3,Z398&gt;0,U398&gt;0)))),1,0)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IF(AND(R399="OK",IF($B$43="전체",D399&lt;EDATE($B$3,1),IF($B$43="미정산",U399&gt;0,OR(S399=$B$3,Z399&gt;0,U399&gt;0)))),1,0)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F430="결제대금비",AND(B430="U008",C430=223,J430="경조사비",F430="명절비"),AND(B430="U008",C430=208,J430="경조사비",F430="임시보관",SUMIF($C$430:$C$729,C430,$D$430:$D$729)&lt;=39000)),OR(COUNTIF($A$8:$A$12,F430)=1,F430="결제대금비"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F431="결제대금비",AND(B431="U008",C431=223,J431="경조사비",F431="명절비"),AND(B431="U008",C431=208,J431="경조사비",F431="임시보관",SUMIF($C$430:$C$729,C431,$D$430:$D$729)&lt;=39000)),OR(COUNTIF($A$8:$A$12,F431)=1,F431="결제대금비"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F432="결제대금비",AND(B432="U008",C432=223,J432="경조사비",F432="명절비"),AND(B432="U008",C432=208,J432="경조사비",F432="임시보관",SUMIF($C$430:$C$729,C432,$D$430:$D$729)&lt;=39000)),OR(COUNTIF($A$8:$A$12,F432)=1,F432="결제대금비"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F433="결제대금비",AND(B433="U008",C433=223,J433="경조사비",F433="명절비"),AND(B433="U008",C433=208,J433="경조사비",F433="임시보관",SUMIF($C$430:$C$729,C433,$D$430:$D$729)&lt;=39000)),OR(COUNTIF($A$8:$A$12,F433)=1,F433="결제대금비"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F434="결제대금비",AND(B434="U008",C434=223,J434="경조사비",F434="명절비"),AND(B434="U008",C434=208,J434="경조사비",F434="임시보관",SUMIF($C$430:$C$729,C434,$D$430:$D$729)&lt;=39000)),OR(COUNTIF($A$8:$A$12,F434)=1,F434="결제대금비"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F435="결제대금비",AND(B435="U008",C435=223,J435="경조사비",F435="명절비"),AND(B435="U008",C435=208,J435="경조사비",F435="임시보관",SUMIF($C$430:$C$729,C435,$D$430:$D$729)&lt;=39000)),OR(COUNTIF($A$8:$A$12,F435)=1,F435="결제대금비"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F436="결제대금비",AND(B436="U008",C436=223,J436="경조사비",F436="명절비"),AND(B436="U008",C436=208,J436="경조사비",F436="임시보관",SUMIF($C$430:$C$729,C436,$D$430:$D$729)&lt;=39000)),OR(COUNTIF($A$8:$A$12,F436)=1,F436="결제대금비"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F437="결제대금비",AND(B437="U008",C437=223,J437="경조사비",F437="명절비"),AND(B437="U008",C437=208,J437="경조사비",F437="임시보관",SUMIF($C$430:$C$729,C437,$D$430:$D$729)&lt;=39000)),OR(COUNTIF($A$8:$A$12,F437)=1,F437="결제대금비"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 t="str">
        <f>IF(B438="","","S"&amp;ROW())</f>
        <v>S438</v>
      </c>
      <c r="B438" s="522" t="inlineStr">
        <is>
          <t xml:space="preserve">U008</t>
        </is>
      </c>
      <c r="C438" s="522">
        <v>208</v>
      </c>
      <c r="D438" s="525">
        <v>39000</v>
      </c>
      <c r="E438" s="524">
        <f>IF(C438="","",IFERROR(INDEX(잔액!$A:$A,MAX(64,C438)),""))</f>
        <v>46235.0</v>
      </c>
      <c r="F438" s="504" t="str">
        <f>IF(C438="","",IFERROR(INDEX(잔액!$C:$C,MAX(64,C438)),""))</f>
        <v>임시보관</v>
      </c>
      <c r="G438" s="504" t="str">
        <f>IF(C438="","",IF(INDEX(잔액!$K:$K,MAX(64,C438))&lt;&gt;"",INDEX(잔액!$K:$K,MAX(64,C438)),INDEX(잔액!$D:$D,MAX(64,C438))))</f>
        <v>지출</v>
      </c>
      <c r="H438" s="504" t="inlineStr">
        <is>
          <t xml:space="preserve">원장</t>
        </is>
      </c>
      <c r="I438" t="inlineStr">
        <is>
          <t xml:space="preserve">임시보관 납입 100,000 중 행사 부담 39,000. 나머지 61,000은 10/15 원장 246행 회수</t>
        </is>
      </c>
      <c r="J438" s="504" t="str">
        <f>IFERROR(INDEX($C$100:$C$399,MATCH(B438,$A$100:$A$399,0)),"")</f>
        <v>경조사비</v>
      </c>
      <c r="K438" s="524">
        <f>IFERROR(INDEX($D$100:$D$399,MATCH(B438,$A$100:$A$399,0)),"")</f>
        <v>46296.0</v>
      </c>
      <c r="L438" s="504">
        <f>IFERROR(INDEX($S$100:$S$399,MATCH(B438,$A$100:$A$399,0)),"")</f>
        <v>46296.0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F438="결제대금비",AND(B438="U008",C438=223,J438="경조사비",F438="명절비"),AND(B438="U008",C438=208,J438="경조사비",F438="임시보관",SUMIF($C$430:$C$729,C438,$D$430:$D$729)&lt;=39000)),OR(COUNTIF($A$8:$A$12,F438)=1,F438="결제대금비"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504" t="str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  <v>OK</v>
      </c>
      <c r="O438" s="526">
        <f>IF(N438="OK",D438,0)</f>
        <v>39000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F439="결제대금비",AND(B439="U008",C439=223,J439="경조사비",F439="명절비"),AND(B439="U008",C439=208,J439="경조사비",F439="임시보관",SUMIF($C$430:$C$729,C439,$D$430:$D$729)&lt;=39000)),OR(COUNTIF($A$8:$A$12,F439)=1,F439="결제대금비",AND(B439="U008",C439=208,J439="경조사비",F439="임시보관",SUMIF($C$430:$C$729,C439,$D$430:$D$729)&lt;=39000))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F440="결제대금비",AND(B440="U008",C440=223,J440="경조사비",F440="명절비"),AND(B440="U008",C440=208,J440="경조사비",F440="임시보관",SUMIF($C$430:$C$729,C440,$D$430:$D$729)&lt;=39000)),OR(COUNTIF($A$8:$A$12,F440)=1,F440="결제대금비",AND(B440="U008",C440=208,J440="경조사비",F440="임시보관",SUMIF($C$430:$C$729,C440,$D$430:$D$729)&lt;=39000))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F441="결제대금비",AND(B441="U008",C441=223,J441="경조사비",F441="명절비"),AND(B441="U008",C441=208,J441="경조사비",F441="임시보관",SUMIF($C$430:$C$729,C441,$D$430:$D$729)&lt;=39000)),OR(COUNTIF($A$8:$A$12,F441)=1,F441="결제대금비",AND(B441="U008",C441=208,J441="경조사비",F441="임시보관",SUMIF($C$430:$C$729,C441,$D$430:$D$729)&lt;=39000))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F442="결제대금비",AND(B442="U008",C442=223,J442="경조사비",F442="명절비"),AND(B442="U008",C442=208,J442="경조사비",F442="임시보관",SUMIF($C$430:$C$729,C442,$D$430:$D$729)&lt;=39000)),OR(COUNTIF($A$8:$A$12,F442)=1,F442="결제대금비",AND(B442="U008",C442=208,J442="경조사비",F442="임시보관",SUMIF($C$430:$C$729,C442,$D$430:$D$729)&lt;=39000))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F443="결제대금비",AND(B443="U008",C443=223,J443="경조사비",F443="명절비"),AND(B443="U008",C443=208,J443="경조사비",F443="임시보관",SUMIF($C$430:$C$729,C443,$D$430:$D$729)&lt;=39000)),OR(COUNTIF($A$8:$A$12,F443)=1,F443="결제대금비",AND(B443="U008",C443=208,J443="경조사비",F443="임시보관",SUMIF($C$430:$C$729,C443,$D$430:$D$729)&lt;=39000))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F444="결제대금비",AND(B444="U008",C444=223,J444="경조사비",F444="명절비"),AND(B444="U008",C444=208,J444="경조사비",F444="임시보관",SUMIF($C$430:$C$729,C444,$D$430:$D$729)&lt;=39000)),OR(COUNTIF($A$8:$A$12,F444)=1,F444="결제대금비",AND(B444="U008",C444=208,J444="경조사비",F444="임시보관",SUMIF($C$430:$C$729,C444,$D$430:$D$729)&lt;=39000))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F445="결제대금비",AND(B445="U008",C445=223,J445="경조사비",F445="명절비"),AND(B445="U008",C445=208,J445="경조사비",F445="임시보관",SUMIF($C$430:$C$729,C445,$D$430:$D$729)&lt;=39000)),OR(COUNTIF($A$8:$A$12,F445)=1,F445="결제대금비",AND(B445="U008",C445=208,J445="경조사비",F445="임시보관",SUMIF($C$430:$C$729,C445,$D$430:$D$729)&lt;=39000))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F446="결제대금비",AND(B446="U008",C446=223,J446="경조사비",F446="명절비"),AND(B446="U008",C446=208,J446="경조사비",F446="임시보관",SUMIF($C$430:$C$729,C446,$D$430:$D$729)&lt;=39000)),OR(COUNTIF($A$8:$A$12,F446)=1,F446="결제대금비",AND(B446="U008",C446=208,J446="경조사비",F446="임시보관",SUMIF($C$430:$C$729,C446,$D$430:$D$729)&lt;=39000))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F447="결제대금비",AND(B447="U008",C447=223,J447="경조사비",F447="명절비"),AND(B447="U008",C447=208,J447="경조사비",F447="임시보관",SUMIF($C$430:$C$729,C447,$D$430:$D$729)&lt;=39000)),OR(COUNTIF($A$8:$A$12,F447)=1,F447="결제대금비",AND(B447="U008",C447=208,J447="경조사비",F447="임시보관",SUMIF($C$430:$C$729,C447,$D$430:$D$729)&lt;=39000))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F448="결제대금비",AND(B448="U008",C448=223,J448="경조사비",F448="명절비"),AND(B448="U008",C448=208,J448="경조사비",F448="임시보관",SUMIF($C$430:$C$729,C448,$D$430:$D$729)&lt;=39000)),OR(COUNTIF($A$8:$A$12,F448)=1,F448="결제대금비",AND(B448="U008",C448=208,J448="경조사비",F448="임시보관",SUMIF($C$430:$C$729,C448,$D$430:$D$729)&lt;=39000))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F449="결제대금비",AND(B449="U008",C449=223,J449="경조사비",F449="명절비"),AND(B449="U008",C449=208,J449="경조사비",F449="임시보관",SUMIF($C$430:$C$729,C449,$D$430:$D$729)&lt;=39000)),OR(COUNTIF($A$8:$A$12,F449)=1,F449="결제대금비",AND(B449="U008",C449=208,J449="경조사비",F449="임시보관",SUMIF($C$430:$C$729,C449,$D$430:$D$729)&lt;=39000))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F450="결제대금비",AND(B450="U008",C450=223,J450="경조사비",F450="명절비"),AND(B450="U008",C450=208,J450="경조사비",F450="임시보관",SUMIF($C$430:$C$729,C450,$D$430:$D$729)&lt;=39000)),OR(COUNTIF($A$8:$A$12,F450)=1,F450="결제대금비",AND(B450="U008",C450=208,J450="경조사비",F450="임시보관",SUMIF($C$430:$C$729,C450,$D$430:$D$729)&lt;=39000))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F451="결제대금비",AND(B451="U008",C451=223,J451="경조사비",F451="명절비"),AND(B451="U008",C451=208,J451="경조사비",F451="임시보관",SUMIF($C$430:$C$729,C451,$D$430:$D$729)&lt;=39000)),OR(COUNTIF($A$8:$A$12,F451)=1,F451="결제대금비",AND(B451="U008",C451=208,J451="경조사비",F451="임시보관",SUMIF($C$430:$C$729,C451,$D$430:$D$729)&lt;=39000))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F452="결제대금비",AND(B452="U008",C452=223,J452="경조사비",F452="명절비"),AND(B452="U008",C452=208,J452="경조사비",F452="임시보관",SUMIF($C$430:$C$729,C452,$D$430:$D$729)&lt;=39000)),OR(COUNTIF($A$8:$A$12,F452)=1,F452="결제대금비",AND(B452="U008",C452=208,J452="경조사비",F452="임시보관",SUMIF($C$430:$C$729,C452,$D$430:$D$729)&lt;=39000))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F453="결제대금비",AND(B453="U008",C453=223,J453="경조사비",F453="명절비"),AND(B453="U008",C453=208,J453="경조사비",F453="임시보관",SUMIF($C$430:$C$729,C453,$D$430:$D$729)&lt;=39000)),OR(COUNTIF($A$8:$A$12,F453)=1,F453="결제대금비",AND(B453="U008",C453=208,J453="경조사비",F453="임시보관",SUMIF($C$430:$C$729,C453,$D$430:$D$729)&lt;=39000))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F454="결제대금비",AND(B454="U008",C454=223,J454="경조사비",F454="명절비"),AND(B454="U008",C454=208,J454="경조사비",F454="임시보관",SUMIF($C$430:$C$729,C454,$D$430:$D$729)&lt;=39000)),OR(COUNTIF($A$8:$A$12,F454)=1,F454="결제대금비",AND(B454="U008",C454=208,J454="경조사비",F454="임시보관",SUMIF($C$430:$C$729,C454,$D$430:$D$729)&lt;=39000))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F455="결제대금비",AND(B455="U008",C455=223,J455="경조사비",F455="명절비"),AND(B455="U008",C455=208,J455="경조사비",F455="임시보관",SUMIF($C$430:$C$729,C455,$D$430:$D$729)&lt;=39000)),OR(COUNTIF($A$8:$A$12,F455)=1,F455="결제대금비",AND(B455="U008",C455=208,J455="경조사비",F455="임시보관",SUMIF($C$430:$C$729,C455,$D$430:$D$729)&lt;=39000))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F456="결제대금비",AND(B456="U008",C456=223,J456="경조사비",F456="명절비"),AND(B456="U008",C456=208,J456="경조사비",F456="임시보관",SUMIF($C$430:$C$729,C456,$D$430:$D$729)&lt;=39000)),OR(COUNTIF($A$8:$A$12,F456)=1,F456="결제대금비",AND(B456="U008",C456=208,J456="경조사비",F456="임시보관",SUMIF($C$430:$C$729,C456,$D$430:$D$729)&lt;=39000))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F457="결제대금비",AND(B457="U008",C457=223,J457="경조사비",F457="명절비"),AND(B457="U008",C457=208,J457="경조사비",F457="임시보관",SUMIF($C$430:$C$729,C457,$D$430:$D$729)&lt;=39000)),OR(COUNTIF($A$8:$A$12,F457)=1,F457="결제대금비",AND(B457="U008",C457=208,J457="경조사비",F457="임시보관",SUMIF($C$430:$C$729,C457,$D$430:$D$729)&lt;=39000))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F458="결제대금비",AND(B458="U008",C458=223,J458="경조사비",F458="명절비"),AND(B458="U008",C458=208,J458="경조사비",F458="임시보관",SUMIF($C$430:$C$729,C458,$D$430:$D$729)&lt;=39000)),OR(COUNTIF($A$8:$A$12,F458)=1,F458="결제대금비",AND(B458="U008",C458=208,J458="경조사비",F458="임시보관",SUMIF($C$430:$C$729,C458,$D$430:$D$729)&lt;=39000))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F459="결제대금비",AND(B459="U008",C459=223,J459="경조사비",F459="명절비"),AND(B459="U008",C459=208,J459="경조사비",F459="임시보관",SUMIF($C$430:$C$729,C459,$D$430:$D$729)&lt;=39000)),OR(COUNTIF($A$8:$A$12,F459)=1,F459="결제대금비",AND(B459="U008",C459=208,J459="경조사비",F459="임시보관",SUMIF($C$430:$C$729,C459,$D$430:$D$729)&lt;=39000))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F460="결제대금비",AND(B460="U008",C460=223,J460="경조사비",F460="명절비"),AND(B460="U008",C460=208,J460="경조사비",F460="임시보관",SUMIF($C$430:$C$729,C460,$D$430:$D$729)&lt;=39000)),OR(COUNTIF($A$8:$A$12,F460)=1,F460="결제대금비",AND(B460="U008",C460=208,J460="경조사비",F460="임시보관",SUMIF($C$430:$C$729,C460,$D$430:$D$729)&lt;=39000))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F461="결제대금비",AND(B461="U008",C461=223,J461="경조사비",F461="명절비"),AND(B461="U008",C461=208,J461="경조사비",F461="임시보관",SUMIF($C$430:$C$729,C461,$D$430:$D$729)&lt;=39000)),OR(COUNTIF($A$8:$A$12,F461)=1,F461="결제대금비",AND(B461="U008",C461=208,J461="경조사비",F461="임시보관",SUMIF($C$430:$C$729,C461,$D$430:$D$729)&lt;=39000))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F462="결제대금비",AND(B462="U008",C462=223,J462="경조사비",F462="명절비"),AND(B462="U008",C462=208,J462="경조사비",F462="임시보관",SUMIF($C$430:$C$729,C462,$D$430:$D$729)&lt;=39000)),OR(COUNTIF($A$8:$A$12,F462)=1,F462="결제대금비",AND(B462="U008",C462=208,J462="경조사비",F462="임시보관",SUMIF($C$430:$C$729,C462,$D$430:$D$729)&lt;=39000))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F463="결제대금비",AND(B463="U008",C463=223,J463="경조사비",F463="명절비"),AND(B463="U008",C463=208,J463="경조사비",F463="임시보관",SUMIF($C$430:$C$729,C463,$D$430:$D$729)&lt;=39000)),OR(COUNTIF($A$8:$A$12,F463)=1,F463="결제대금비",AND(B463="U008",C463=208,J463="경조사비",F463="임시보관",SUMIF($C$430:$C$729,C463,$D$430:$D$729)&lt;=39000))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F464="결제대금비",AND(B464="U008",C464=223,J464="경조사비",F464="명절비"),AND(B464="U008",C464=208,J464="경조사비",F464="임시보관",SUMIF($C$430:$C$729,C464,$D$430:$D$729)&lt;=39000)),OR(COUNTIF($A$8:$A$12,F464)=1,F464="결제대금비",AND(B464="U008",C464=208,J464="경조사비",F464="임시보관",SUMIF($C$430:$C$729,C464,$D$430:$D$729)&lt;=39000))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F465="결제대금비",AND(B465="U008",C465=223,J465="경조사비",F465="명절비"),AND(B465="U008",C465=208,J465="경조사비",F465="임시보관",SUMIF($C$430:$C$729,C465,$D$430:$D$729)&lt;=39000)),OR(COUNTIF($A$8:$A$12,F465)=1,F465="결제대금비",AND(B465="U008",C465=208,J465="경조사비",F465="임시보관",SUMIF($C$430:$C$729,C465,$D$430:$D$729)&lt;=39000))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F466="결제대금비",AND(B466="U008",C466=223,J466="경조사비",F466="명절비"),AND(B466="U008",C466=208,J466="경조사비",F466="임시보관",SUMIF($C$430:$C$729,C466,$D$430:$D$729)&lt;=39000)),OR(COUNTIF($A$8:$A$12,F466)=1,F466="결제대금비",AND(B466="U008",C466=208,J466="경조사비",F466="임시보관",SUMIF($C$430:$C$729,C466,$D$430:$D$729)&lt;=39000))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F467="결제대금비",AND(B467="U008",C467=223,J467="경조사비",F467="명절비"),AND(B467="U008",C467=208,J467="경조사비",F467="임시보관",SUMIF($C$430:$C$729,C467,$D$430:$D$729)&lt;=39000)),OR(COUNTIF($A$8:$A$12,F467)=1,F467="결제대금비",AND(B467="U008",C467=208,J467="경조사비",F467="임시보관",SUMIF($C$430:$C$729,C467,$D$430:$D$729)&lt;=39000))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F468="결제대금비",AND(B468="U008",C468=223,J468="경조사비",F468="명절비"),AND(B468="U008",C468=208,J468="경조사비",F468="임시보관",SUMIF($C$430:$C$729,C468,$D$430:$D$729)&lt;=39000)),OR(COUNTIF($A$8:$A$12,F468)=1,F468="결제대금비",AND(B468="U008",C468=208,J468="경조사비",F468="임시보관",SUMIF($C$430:$C$729,C468,$D$430:$D$729)&lt;=39000))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F469="결제대금비",AND(B469="U008",C469=223,J469="경조사비",F469="명절비"),AND(B469="U008",C469=208,J469="경조사비",F469="임시보관",SUMIF($C$430:$C$729,C469,$D$430:$D$729)&lt;=39000)),OR(COUNTIF($A$8:$A$12,F469)=1,F469="결제대금비",AND(B469="U008",C469=208,J469="경조사비",F469="임시보관",SUMIF($C$430:$C$729,C469,$D$430:$D$729)&lt;=39000))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F470="결제대금비",AND(B470="U008",C470=223,J470="경조사비",F470="명절비"),AND(B470="U008",C470=208,J470="경조사비",F470="임시보관",SUMIF($C$430:$C$729,C470,$D$430:$D$729)&lt;=39000)),OR(COUNTIF($A$8:$A$12,F470)=1,F470="결제대금비",AND(B470="U008",C470=208,J470="경조사비",F470="임시보관",SUMIF($C$430:$C$729,C470,$D$430:$D$729)&lt;=39000))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F471="결제대금비",AND(B471="U008",C471=223,J471="경조사비",F471="명절비"),AND(B471="U008",C471=208,J471="경조사비",F471="임시보관",SUMIF($C$430:$C$729,C471,$D$430:$D$729)&lt;=39000)),OR(COUNTIF($A$8:$A$12,F471)=1,F471="결제대금비",AND(B471="U008",C471=208,J471="경조사비",F471="임시보관",SUMIF($C$430:$C$729,C471,$D$430:$D$729)&lt;=39000))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F472="결제대금비",AND(B472="U008",C472=223,J472="경조사비",F472="명절비"),AND(B472="U008",C472=208,J472="경조사비",F472="임시보관",SUMIF($C$430:$C$729,C472,$D$430:$D$729)&lt;=39000)),OR(COUNTIF($A$8:$A$12,F472)=1,F472="결제대금비",AND(B472="U008",C472=208,J472="경조사비",F472="임시보관",SUMIF($C$430:$C$729,C472,$D$430:$D$729)&lt;=39000))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F473="결제대금비",AND(B473="U008",C473=223,J473="경조사비",F473="명절비"),AND(B473="U008",C473=208,J473="경조사비",F473="임시보관",SUMIF($C$430:$C$729,C473,$D$430:$D$729)&lt;=39000)),OR(COUNTIF($A$8:$A$12,F473)=1,F473="결제대금비",AND(B473="U008",C473=208,J473="경조사비",F473="임시보관",SUMIF($C$430:$C$729,C473,$D$430:$D$729)&lt;=39000))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F474="결제대금비",AND(B474="U008",C474=223,J474="경조사비",F474="명절비"),AND(B474="U008",C474=208,J474="경조사비",F474="임시보관",SUMIF($C$430:$C$729,C474,$D$430:$D$729)&lt;=39000)),OR(COUNTIF($A$8:$A$12,F474)=1,F474="결제대금비",AND(B474="U008",C474=208,J474="경조사비",F474="임시보관",SUMIF($C$430:$C$729,C474,$D$430:$D$729)&lt;=39000))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F475="결제대금비",AND(B475="U008",C475=223,J475="경조사비",F475="명절비"),AND(B475="U008",C475=208,J475="경조사비",F475="임시보관",SUMIF($C$430:$C$729,C475,$D$430:$D$729)&lt;=39000)),OR(COUNTIF($A$8:$A$12,F475)=1,F475="결제대금비",AND(B475="U008",C475=208,J475="경조사비",F475="임시보관",SUMIF($C$430:$C$729,C475,$D$430:$D$729)&lt;=39000))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F476="결제대금비",AND(B476="U008",C476=223,J476="경조사비",F476="명절비"),AND(B476="U008",C476=208,J476="경조사비",F476="임시보관",SUMIF($C$430:$C$729,C476,$D$430:$D$729)&lt;=39000)),OR(COUNTIF($A$8:$A$12,F476)=1,F476="결제대금비",AND(B476="U008",C476=208,J476="경조사비",F476="임시보관",SUMIF($C$430:$C$729,C476,$D$430:$D$729)&lt;=39000))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F477="결제대금비",AND(B477="U008",C477=223,J477="경조사비",F477="명절비"),AND(B477="U008",C477=208,J477="경조사비",F477="임시보관",SUMIF($C$430:$C$729,C477,$D$430:$D$729)&lt;=39000)),OR(COUNTIF($A$8:$A$12,F477)=1,F477="결제대금비",AND(B477="U008",C477=208,J477="경조사비",F477="임시보관",SUMIF($C$430:$C$729,C477,$D$430:$D$729)&lt;=39000))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F478="결제대금비",AND(B478="U008",C478=223,J478="경조사비",F478="명절비"),AND(B478="U008",C478=208,J478="경조사비",F478="임시보관",SUMIF($C$430:$C$729,C478,$D$430:$D$729)&lt;=39000)),OR(COUNTIF($A$8:$A$12,F478)=1,F478="결제대금비",AND(B478="U008",C478=208,J478="경조사비",F478="임시보관",SUMIF($C$430:$C$729,C478,$D$430:$D$729)&lt;=39000))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F479="결제대금비",AND(B479="U008",C479=223,J479="경조사비",F479="명절비"),AND(B479="U008",C479=208,J479="경조사비",F479="임시보관",SUMIF($C$430:$C$729,C479,$D$430:$D$729)&lt;=39000)),OR(COUNTIF($A$8:$A$12,F479)=1,F479="결제대금비",AND(B479="U008",C479=208,J479="경조사비",F479="임시보관",SUMIF($C$430:$C$729,C479,$D$430:$D$729)&lt;=39000))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F480="결제대금비",AND(B480="U008",C480=223,J480="경조사비",F480="명절비"),AND(B480="U008",C480=208,J480="경조사비",F480="임시보관",SUMIF($C$430:$C$729,C480,$D$430:$D$729)&lt;=39000)),OR(COUNTIF($A$8:$A$12,F480)=1,F480="결제대금비",AND(B480="U008",C480=208,J480="경조사비",F480="임시보관",SUMIF($C$430:$C$729,C480,$D$430:$D$729)&lt;=39000))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F481="결제대금비",AND(B481="U008",C481=223,J481="경조사비",F481="명절비"),AND(B481="U008",C481=208,J481="경조사비",F481="임시보관",SUMIF($C$430:$C$729,C481,$D$430:$D$729)&lt;=39000)),OR(COUNTIF($A$8:$A$12,F481)=1,F481="결제대금비",AND(B481="U008",C481=208,J481="경조사비",F481="임시보관",SUMIF($C$430:$C$729,C481,$D$430:$D$729)&lt;=39000))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F482="결제대금비",AND(B482="U008",C482=223,J482="경조사비",F482="명절비"),AND(B482="U008",C482=208,J482="경조사비",F482="임시보관",SUMIF($C$430:$C$729,C482,$D$430:$D$729)&lt;=39000)),OR(COUNTIF($A$8:$A$12,F482)=1,F482="결제대금비",AND(B482="U008",C482=208,J482="경조사비",F482="임시보관",SUMIF($C$430:$C$729,C482,$D$430:$D$729)&lt;=39000))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F483="결제대금비",AND(B483="U008",C483=223,J483="경조사비",F483="명절비"),AND(B483="U008",C483=208,J483="경조사비",F483="임시보관",SUMIF($C$430:$C$729,C483,$D$430:$D$729)&lt;=39000)),OR(COUNTIF($A$8:$A$12,F483)=1,F483="결제대금비",AND(B483="U008",C483=208,J483="경조사비",F483="임시보관",SUMIF($C$430:$C$729,C483,$D$430:$D$729)&lt;=39000))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F484="결제대금비",AND(B484="U008",C484=223,J484="경조사비",F484="명절비"),AND(B484="U008",C484=208,J484="경조사비",F484="임시보관",SUMIF($C$430:$C$729,C484,$D$430:$D$729)&lt;=39000)),OR(COUNTIF($A$8:$A$12,F484)=1,F484="결제대금비",AND(B484="U008",C484=208,J484="경조사비",F484="임시보관",SUMIF($C$430:$C$729,C484,$D$430:$D$729)&lt;=39000))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F485="결제대금비",AND(B485="U008",C485=223,J485="경조사비",F485="명절비"),AND(B485="U008",C485=208,J485="경조사비",F485="임시보관",SUMIF($C$430:$C$729,C485,$D$430:$D$729)&lt;=39000)),OR(COUNTIF($A$8:$A$12,F485)=1,F485="결제대금비",AND(B485="U008",C485=208,J485="경조사비",F485="임시보관",SUMIF($C$430:$C$729,C485,$D$430:$D$729)&lt;=39000))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F486="결제대금비",AND(B486="U008",C486=223,J486="경조사비",F486="명절비"),AND(B486="U008",C486=208,J486="경조사비",F486="임시보관",SUMIF($C$430:$C$729,C486,$D$430:$D$729)&lt;=39000)),OR(COUNTIF($A$8:$A$12,F486)=1,F486="결제대금비",AND(B486="U008",C486=208,J486="경조사비",F486="임시보관",SUMIF($C$430:$C$729,C486,$D$430:$D$729)&lt;=39000))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F487="결제대금비",AND(B487="U008",C487=223,J487="경조사비",F487="명절비"),AND(B487="U008",C487=208,J487="경조사비",F487="임시보관",SUMIF($C$430:$C$729,C487,$D$430:$D$729)&lt;=39000)),OR(COUNTIF($A$8:$A$12,F487)=1,F487="결제대금비",AND(B487="U008",C487=208,J487="경조사비",F487="임시보관",SUMIF($C$430:$C$729,C487,$D$430:$D$729)&lt;=39000))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F488="결제대금비",AND(B488="U008",C488=223,J488="경조사비",F488="명절비"),AND(B488="U008",C488=208,J488="경조사비",F488="임시보관",SUMIF($C$430:$C$729,C488,$D$430:$D$729)&lt;=39000)),OR(COUNTIF($A$8:$A$12,F488)=1,F488="결제대금비",AND(B488="U008",C488=208,J488="경조사비",F488="임시보관",SUMIF($C$430:$C$729,C488,$D$430:$D$729)&lt;=39000))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F489="결제대금비",AND(B489="U008",C489=223,J489="경조사비",F489="명절비"),AND(B489="U008",C489=208,J489="경조사비",F489="임시보관",SUMIF($C$430:$C$729,C489,$D$430:$D$729)&lt;=39000)),OR(COUNTIF($A$8:$A$12,F489)=1,F489="결제대금비",AND(B489="U008",C489=208,J489="경조사비",F489="임시보관",SUMIF($C$430:$C$729,C489,$D$430:$D$729)&lt;=39000))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F490="결제대금비",AND(B490="U008",C490=223,J490="경조사비",F490="명절비"),AND(B490="U008",C490=208,J490="경조사비",F490="임시보관",SUMIF($C$430:$C$729,C490,$D$430:$D$729)&lt;=39000)),OR(COUNTIF($A$8:$A$12,F490)=1,F490="결제대금비",AND(B490="U008",C490=208,J490="경조사비",F490="임시보관",SUMIF($C$430:$C$729,C490,$D$430:$D$729)&lt;=39000))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F491="결제대금비",AND(B491="U008",C491=223,J491="경조사비",F491="명절비"),AND(B491="U008",C491=208,J491="경조사비",F491="임시보관",SUMIF($C$430:$C$729,C491,$D$430:$D$729)&lt;=39000)),OR(COUNTIF($A$8:$A$12,F491)=1,F491="결제대금비",AND(B491="U008",C491=208,J491="경조사비",F491="임시보관",SUMIF($C$430:$C$729,C491,$D$430:$D$729)&lt;=39000))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F492="결제대금비",AND(B492="U008",C492=223,J492="경조사비",F492="명절비"),AND(B492="U008",C492=208,J492="경조사비",F492="임시보관",SUMIF($C$430:$C$729,C492,$D$430:$D$729)&lt;=39000)),OR(COUNTIF($A$8:$A$12,F492)=1,F492="결제대금비",AND(B492="U008",C492=208,J492="경조사비",F492="임시보관",SUMIF($C$430:$C$729,C492,$D$430:$D$729)&lt;=39000))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F493="결제대금비",AND(B493="U008",C493=223,J493="경조사비",F493="명절비"),AND(B493="U008",C493=208,J493="경조사비",F493="임시보관",SUMIF($C$430:$C$729,C493,$D$430:$D$729)&lt;=39000)),OR(COUNTIF($A$8:$A$12,F493)=1,F493="결제대금비",AND(B493="U008",C493=208,J493="경조사비",F493="임시보관",SUMIF($C$430:$C$729,C493,$D$430:$D$729)&lt;=39000))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F494="결제대금비",AND(B494="U008",C494=223,J494="경조사비",F494="명절비"),AND(B494="U008",C494=208,J494="경조사비",F494="임시보관",SUMIF($C$430:$C$729,C494,$D$430:$D$729)&lt;=39000)),OR(COUNTIF($A$8:$A$12,F494)=1,F494="결제대금비",AND(B494="U008",C494=208,J494="경조사비",F494="임시보관",SUMIF($C$430:$C$729,C494,$D$430:$D$729)&lt;=39000))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F495="결제대금비",AND(B495="U008",C495=223,J495="경조사비",F495="명절비"),AND(B495="U008",C495=208,J495="경조사비",F495="임시보관",SUMIF($C$430:$C$729,C495,$D$430:$D$729)&lt;=39000)),OR(COUNTIF($A$8:$A$12,F495)=1,F495="결제대금비",AND(B495="U008",C495=208,J495="경조사비",F495="임시보관",SUMIF($C$430:$C$729,C495,$D$430:$D$729)&lt;=39000))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F496="결제대금비",AND(B496="U008",C496=223,J496="경조사비",F496="명절비"),AND(B496="U008",C496=208,J496="경조사비",F496="임시보관",SUMIF($C$430:$C$729,C496,$D$430:$D$729)&lt;=39000)),OR(COUNTIF($A$8:$A$12,F496)=1,F496="결제대금비",AND(B496="U008",C496=208,J496="경조사비",F496="임시보관",SUMIF($C$430:$C$729,C496,$D$430:$D$729)&lt;=39000))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F497="결제대금비",AND(B497="U008",C497=223,J497="경조사비",F497="명절비"),AND(B497="U008",C497=208,J497="경조사비",F497="임시보관",SUMIF($C$430:$C$729,C497,$D$430:$D$729)&lt;=39000)),OR(COUNTIF($A$8:$A$12,F497)=1,F497="결제대금비",AND(B497="U008",C497=208,J497="경조사비",F497="임시보관",SUMIF($C$430:$C$729,C497,$D$430:$D$729)&lt;=39000))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F498="결제대금비",AND(B498="U008",C498=223,J498="경조사비",F498="명절비"),AND(B498="U008",C498=208,J498="경조사비",F498="임시보관",SUMIF($C$430:$C$729,C498,$D$430:$D$729)&lt;=39000)),OR(COUNTIF($A$8:$A$12,F498)=1,F498="결제대금비",AND(B498="U008",C498=208,J498="경조사비",F498="임시보관",SUMIF($C$430:$C$729,C498,$D$430:$D$729)&lt;=39000))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F499="결제대금비",AND(B499="U008",C499=223,J499="경조사비",F499="명절비"),AND(B499="U008",C499=208,J499="경조사비",F499="임시보관",SUMIF($C$430:$C$729,C499,$D$430:$D$729)&lt;=39000)),OR(COUNTIF($A$8:$A$12,F499)=1,F499="결제대금비",AND(B499="U008",C499=208,J499="경조사비",F499="임시보관",SUMIF($C$430:$C$729,C499,$D$430:$D$729)&lt;=39000))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F500="결제대금비",AND(B500="U008",C500=223,J500="경조사비",F500="명절비"),AND(B500="U008",C500=208,J500="경조사비",F500="임시보관",SUMIF($C$430:$C$729,C500,$D$430:$D$729)&lt;=39000)),OR(COUNTIF($A$8:$A$12,F500)=1,F500="결제대금비",AND(B500="U008",C500=208,J500="경조사비",F500="임시보관",SUMIF($C$430:$C$729,C500,$D$430:$D$729)&lt;=39000))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F501="결제대금비",AND(B501="U008",C501=223,J501="경조사비",F501="명절비"),AND(B501="U008",C501=208,J501="경조사비",F501="임시보관",SUMIF($C$430:$C$729,C501,$D$430:$D$729)&lt;=39000)),OR(COUNTIF($A$8:$A$12,F501)=1,F501="결제대금비",AND(B501="U008",C501=208,J501="경조사비",F501="임시보관",SUMIF($C$430:$C$729,C501,$D$430:$D$729)&lt;=39000))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F502="결제대금비",AND(B502="U008",C502=223,J502="경조사비",F502="명절비"),AND(B502="U008",C502=208,J502="경조사비",F502="임시보관",SUMIF($C$430:$C$729,C502,$D$430:$D$729)&lt;=39000)),OR(COUNTIF($A$8:$A$12,F502)=1,F502="결제대금비",AND(B502="U008",C502=208,J502="경조사비",F502="임시보관",SUMIF($C$430:$C$729,C502,$D$430:$D$729)&lt;=39000))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F503="결제대금비",AND(B503="U008",C503=223,J503="경조사비",F503="명절비"),AND(B503="U008",C503=208,J503="경조사비",F503="임시보관",SUMIF($C$430:$C$729,C503,$D$430:$D$729)&lt;=39000)),OR(COUNTIF($A$8:$A$12,F503)=1,F503="결제대금비",AND(B503="U008",C503=208,J503="경조사비",F503="임시보관",SUMIF($C$430:$C$729,C503,$D$430:$D$729)&lt;=39000))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F504="결제대금비",AND(B504="U008",C504=223,J504="경조사비",F504="명절비"),AND(B504="U008",C504=208,J504="경조사비",F504="임시보관",SUMIF($C$430:$C$729,C504,$D$430:$D$729)&lt;=39000)),OR(COUNTIF($A$8:$A$12,F504)=1,F504="결제대금비",AND(B504="U008",C504=208,J504="경조사비",F504="임시보관",SUMIF($C$430:$C$729,C504,$D$430:$D$729)&lt;=39000))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F505="결제대금비",AND(B505="U008",C505=223,J505="경조사비",F505="명절비"),AND(B505="U008",C505=208,J505="경조사비",F505="임시보관",SUMIF($C$430:$C$729,C505,$D$430:$D$729)&lt;=39000)),OR(COUNTIF($A$8:$A$12,F505)=1,F505="결제대금비",AND(B505="U008",C505=208,J505="경조사비",F505="임시보관",SUMIF($C$430:$C$729,C505,$D$430:$D$729)&lt;=39000))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F506="결제대금비",AND(B506="U008",C506=223,J506="경조사비",F506="명절비"),AND(B506="U008",C506=208,J506="경조사비",F506="임시보관",SUMIF($C$430:$C$729,C506,$D$430:$D$729)&lt;=39000)),OR(COUNTIF($A$8:$A$12,F506)=1,F506="결제대금비",AND(B506="U008",C506=208,J506="경조사비",F506="임시보관",SUMIF($C$430:$C$729,C506,$D$430:$D$729)&lt;=39000))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F507="결제대금비",AND(B507="U008",C507=223,J507="경조사비",F507="명절비"),AND(B507="U008",C507=208,J507="경조사비",F507="임시보관",SUMIF($C$430:$C$729,C507,$D$430:$D$729)&lt;=39000)),OR(COUNTIF($A$8:$A$12,F507)=1,F507="결제대금비",AND(B507="U008",C507=208,J507="경조사비",F507="임시보관",SUMIF($C$430:$C$729,C507,$D$430:$D$729)&lt;=39000))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F508="결제대금비",AND(B508="U008",C508=223,J508="경조사비",F508="명절비"),AND(B508="U008",C508=208,J508="경조사비",F508="임시보관",SUMIF($C$430:$C$729,C508,$D$430:$D$729)&lt;=39000)),OR(COUNTIF($A$8:$A$12,F508)=1,F508="결제대금비",AND(B508="U008",C508=208,J508="경조사비",F508="임시보관",SUMIF($C$430:$C$729,C508,$D$430:$D$729)&lt;=39000))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F509="결제대금비",AND(B509="U008",C509=223,J509="경조사비",F509="명절비"),AND(B509="U008",C509=208,J509="경조사비",F509="임시보관",SUMIF($C$430:$C$729,C509,$D$430:$D$729)&lt;=39000)),OR(COUNTIF($A$8:$A$12,F509)=1,F509="결제대금비",AND(B509="U008",C509=208,J509="경조사비",F509="임시보관",SUMIF($C$430:$C$729,C509,$D$430:$D$729)&lt;=39000))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F510="결제대금비",AND(B510="U008",C510=223,J510="경조사비",F510="명절비"),AND(B510="U008",C510=208,J510="경조사비",F510="임시보관",SUMIF($C$430:$C$729,C510,$D$430:$D$729)&lt;=39000)),OR(COUNTIF($A$8:$A$12,F510)=1,F510="결제대금비",AND(B510="U008",C510=208,J510="경조사비",F510="임시보관",SUMIF($C$430:$C$729,C510,$D$430:$D$729)&lt;=39000))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F511="결제대금비",AND(B511="U008",C511=223,J511="경조사비",F511="명절비"),AND(B511="U008",C511=208,J511="경조사비",F511="임시보관",SUMIF($C$430:$C$729,C511,$D$430:$D$729)&lt;=39000)),OR(COUNTIF($A$8:$A$12,F511)=1,F511="결제대금비",AND(B511="U008",C511=208,J511="경조사비",F511="임시보관",SUMIF($C$430:$C$729,C511,$D$430:$D$729)&lt;=39000))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F512="결제대금비",AND(B512="U008",C512=223,J512="경조사비",F512="명절비"),AND(B512="U008",C512=208,J512="경조사비",F512="임시보관",SUMIF($C$430:$C$729,C512,$D$430:$D$729)&lt;=39000)),OR(COUNTIF($A$8:$A$12,F512)=1,F512="결제대금비",AND(B512="U008",C512=208,J512="경조사비",F512="임시보관",SUMIF($C$430:$C$729,C512,$D$430:$D$729)&lt;=39000))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F513="결제대금비",AND(B513="U008",C513=223,J513="경조사비",F513="명절비"),AND(B513="U008",C513=208,J513="경조사비",F513="임시보관",SUMIF($C$430:$C$729,C513,$D$430:$D$729)&lt;=39000)),OR(COUNTIF($A$8:$A$12,F513)=1,F513="결제대금비",AND(B513="U008",C513=208,J513="경조사비",F513="임시보관",SUMIF($C$430:$C$729,C513,$D$430:$D$729)&lt;=39000))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F514="결제대금비",AND(B514="U008",C514=223,J514="경조사비",F514="명절비"),AND(B514="U008",C514=208,J514="경조사비",F514="임시보관",SUMIF($C$430:$C$729,C514,$D$430:$D$729)&lt;=39000)),OR(COUNTIF($A$8:$A$12,F514)=1,F514="결제대금비",AND(B514="U008",C514=208,J514="경조사비",F514="임시보관",SUMIF($C$430:$C$729,C514,$D$430:$D$729)&lt;=39000))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F515="결제대금비",AND(B515="U008",C515=223,J515="경조사비",F515="명절비"),AND(B515="U008",C515=208,J515="경조사비",F515="임시보관",SUMIF($C$430:$C$729,C515,$D$430:$D$729)&lt;=39000)),OR(COUNTIF($A$8:$A$12,F515)=1,F515="결제대금비",AND(B515="U008",C515=208,J515="경조사비",F515="임시보관",SUMIF($C$430:$C$729,C515,$D$430:$D$729)&lt;=39000))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F516="결제대금비",AND(B516="U008",C516=223,J516="경조사비",F516="명절비"),AND(B516="U008",C516=208,J516="경조사비",F516="임시보관",SUMIF($C$430:$C$729,C516,$D$430:$D$729)&lt;=39000)),OR(COUNTIF($A$8:$A$12,F516)=1,F516="결제대금비",AND(B516="U008",C516=208,J516="경조사비",F516="임시보관",SUMIF($C$430:$C$729,C516,$D$430:$D$729)&lt;=39000))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F517="결제대금비",AND(B517="U008",C517=223,J517="경조사비",F517="명절비"),AND(B517="U008",C517=208,J517="경조사비",F517="임시보관",SUMIF($C$430:$C$729,C517,$D$430:$D$729)&lt;=39000)),OR(COUNTIF($A$8:$A$12,F517)=1,F517="결제대금비",AND(B517="U008",C517=208,J517="경조사비",F517="임시보관",SUMIF($C$430:$C$729,C517,$D$430:$D$729)&lt;=39000))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F518="결제대금비",AND(B518="U008",C518=223,J518="경조사비",F518="명절비"),AND(B518="U008",C518=208,J518="경조사비",F518="임시보관",SUMIF($C$430:$C$729,C518,$D$430:$D$729)&lt;=39000)),OR(COUNTIF($A$8:$A$12,F518)=1,F518="결제대금비",AND(B518="U008",C518=208,J518="경조사비",F518="임시보관",SUMIF($C$430:$C$729,C518,$D$430:$D$729)&lt;=39000))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F519="결제대금비",AND(B519="U008",C519=223,J519="경조사비",F519="명절비"),AND(B519="U008",C519=208,J519="경조사비",F519="임시보관",SUMIF($C$430:$C$729,C519,$D$430:$D$729)&lt;=39000)),OR(COUNTIF($A$8:$A$12,F519)=1,F519="결제대금비",AND(B519="U008",C519=208,J519="경조사비",F519="임시보관",SUMIF($C$430:$C$729,C519,$D$430:$D$729)&lt;=39000))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F520="결제대금비",AND(B520="U008",C520=223,J520="경조사비",F520="명절비"),AND(B520="U008",C520=208,J520="경조사비",F520="임시보관",SUMIF($C$430:$C$729,C520,$D$430:$D$729)&lt;=39000)),OR(COUNTIF($A$8:$A$12,F520)=1,F520="결제대금비",AND(B520="U008",C520=208,J520="경조사비",F520="임시보관",SUMIF($C$430:$C$729,C520,$D$430:$D$729)&lt;=39000))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F521="결제대금비",AND(B521="U008",C521=223,J521="경조사비",F521="명절비"),AND(B521="U008",C521=208,J521="경조사비",F521="임시보관",SUMIF($C$430:$C$729,C521,$D$430:$D$729)&lt;=39000)),OR(COUNTIF($A$8:$A$12,F521)=1,F521="결제대금비",AND(B521="U008",C521=208,J521="경조사비",F521="임시보관",SUMIF($C$430:$C$729,C521,$D$430:$D$729)&lt;=39000))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F522="결제대금비",AND(B522="U008",C522=223,J522="경조사비",F522="명절비"),AND(B522="U008",C522=208,J522="경조사비",F522="임시보관",SUMIF($C$430:$C$729,C522,$D$430:$D$729)&lt;=39000)),OR(COUNTIF($A$8:$A$12,F522)=1,F522="결제대금비",AND(B522="U008",C522=208,J522="경조사비",F522="임시보관",SUMIF($C$430:$C$729,C522,$D$430:$D$729)&lt;=39000))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F523="결제대금비",AND(B523="U008",C523=223,J523="경조사비",F523="명절비"),AND(B523="U008",C523=208,J523="경조사비",F523="임시보관",SUMIF($C$430:$C$729,C523,$D$430:$D$729)&lt;=39000)),OR(COUNTIF($A$8:$A$12,F523)=1,F523="결제대금비",AND(B523="U008",C523=208,J523="경조사비",F523="임시보관",SUMIF($C$430:$C$729,C523,$D$430:$D$729)&lt;=39000))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F524="결제대금비",AND(B524="U008",C524=223,J524="경조사비",F524="명절비"),AND(B524="U008",C524=208,J524="경조사비",F524="임시보관",SUMIF($C$430:$C$729,C524,$D$430:$D$729)&lt;=39000)),OR(COUNTIF($A$8:$A$12,F524)=1,F524="결제대금비",AND(B524="U008",C524=208,J524="경조사비",F524="임시보관",SUMIF($C$430:$C$729,C524,$D$430:$D$729)&lt;=39000))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F525="결제대금비",AND(B525="U008",C525=223,J525="경조사비",F525="명절비"),AND(B525="U008",C525=208,J525="경조사비",F525="임시보관",SUMIF($C$430:$C$729,C525,$D$430:$D$729)&lt;=39000)),OR(COUNTIF($A$8:$A$12,F525)=1,F525="결제대금비",AND(B525="U008",C525=208,J525="경조사비",F525="임시보관",SUMIF($C$430:$C$729,C525,$D$430:$D$729)&lt;=39000))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F526="결제대금비",AND(B526="U008",C526=223,J526="경조사비",F526="명절비"),AND(B526="U008",C526=208,J526="경조사비",F526="임시보관",SUMIF($C$430:$C$729,C526,$D$430:$D$729)&lt;=39000)),OR(COUNTIF($A$8:$A$12,F526)=1,F526="결제대금비",AND(B526="U008",C526=208,J526="경조사비",F526="임시보관",SUMIF($C$430:$C$729,C526,$D$430:$D$729)&lt;=39000))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F527="결제대금비",AND(B527="U008",C527=223,J527="경조사비",F527="명절비"),AND(B527="U008",C527=208,J527="경조사비",F527="임시보관",SUMIF($C$430:$C$729,C527,$D$430:$D$729)&lt;=39000)),OR(COUNTIF($A$8:$A$12,F527)=1,F527="결제대금비",AND(B527="U008",C527=208,J527="경조사비",F527="임시보관",SUMIF($C$430:$C$729,C527,$D$430:$D$729)&lt;=39000))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F528="결제대금비",AND(B528="U008",C528=223,J528="경조사비",F528="명절비"),AND(B528="U008",C528=208,J528="경조사비",F528="임시보관",SUMIF($C$430:$C$729,C528,$D$430:$D$729)&lt;=39000)),OR(COUNTIF($A$8:$A$12,F528)=1,F528="결제대금비",AND(B528="U008",C528=208,J528="경조사비",F528="임시보관",SUMIF($C$430:$C$729,C528,$D$430:$D$729)&lt;=39000))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F529="결제대금비",AND(B529="U008",C529=223,J529="경조사비",F529="명절비"),AND(B529="U008",C529=208,J529="경조사비",F529="임시보관",SUMIF($C$430:$C$729,C529,$D$430:$D$729)&lt;=39000)),OR(COUNTIF($A$8:$A$12,F529)=1,F529="결제대금비",AND(B529="U008",C529=208,J529="경조사비",F529="임시보관",SUMIF($C$430:$C$729,C529,$D$430:$D$729)&lt;=39000))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F530="결제대금비",AND(B530="U008",C530=223,J530="경조사비",F530="명절비"),AND(B530="U008",C530=208,J530="경조사비",F530="임시보관",SUMIF($C$430:$C$729,C530,$D$430:$D$729)&lt;=39000)),OR(COUNTIF($A$8:$A$12,F530)=1,F530="결제대금비",AND(B530="U008",C530=208,J530="경조사비",F530="임시보관",SUMIF($C$430:$C$729,C530,$D$430:$D$729)&lt;=39000))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F531="결제대금비",AND(B531="U008",C531=223,J531="경조사비",F531="명절비"),AND(B531="U008",C531=208,J531="경조사비",F531="임시보관",SUMIF($C$430:$C$729,C531,$D$430:$D$729)&lt;=39000)),OR(COUNTIF($A$8:$A$12,F531)=1,F531="결제대금비",AND(B531="U008",C531=208,J531="경조사비",F531="임시보관",SUMIF($C$430:$C$729,C531,$D$430:$D$729)&lt;=39000))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F532="결제대금비",AND(B532="U008",C532=223,J532="경조사비",F532="명절비"),AND(B532="U008",C532=208,J532="경조사비",F532="임시보관",SUMIF($C$430:$C$729,C532,$D$430:$D$729)&lt;=39000)),OR(COUNTIF($A$8:$A$12,F532)=1,F532="결제대금비",AND(B532="U008",C532=208,J532="경조사비",F532="임시보관",SUMIF($C$430:$C$729,C532,$D$430:$D$729)&lt;=39000))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F533="결제대금비",AND(B533="U008",C533=223,J533="경조사비",F533="명절비"),AND(B533="U008",C533=208,J533="경조사비",F533="임시보관",SUMIF($C$430:$C$729,C533,$D$430:$D$729)&lt;=39000)),OR(COUNTIF($A$8:$A$12,F533)=1,F533="결제대금비",AND(B533="U008",C533=208,J533="경조사비",F533="임시보관",SUMIF($C$430:$C$729,C533,$D$430:$D$729)&lt;=39000))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F534="결제대금비",AND(B534="U008",C534=223,J534="경조사비",F534="명절비"),AND(B534="U008",C534=208,J534="경조사비",F534="임시보관",SUMIF($C$430:$C$729,C534,$D$430:$D$729)&lt;=39000)),OR(COUNTIF($A$8:$A$12,F534)=1,F534="결제대금비",AND(B534="U008",C534=208,J534="경조사비",F534="임시보관",SUMIF($C$430:$C$729,C534,$D$430:$D$729)&lt;=39000))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F535="결제대금비",AND(B535="U008",C535=223,J535="경조사비",F535="명절비"),AND(B535="U008",C535=208,J535="경조사비",F535="임시보관",SUMIF($C$430:$C$729,C535,$D$430:$D$729)&lt;=39000)),OR(COUNTIF($A$8:$A$12,F535)=1,F535="결제대금비",AND(B535="U008",C535=208,J535="경조사비",F535="임시보관",SUMIF($C$430:$C$729,C535,$D$430:$D$729)&lt;=39000))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F536="결제대금비",AND(B536="U008",C536=223,J536="경조사비",F536="명절비"),AND(B536="U008",C536=208,J536="경조사비",F536="임시보관",SUMIF($C$430:$C$729,C536,$D$430:$D$729)&lt;=39000)),OR(COUNTIF($A$8:$A$12,F536)=1,F536="결제대금비",AND(B536="U008",C536=208,J536="경조사비",F536="임시보관",SUMIF($C$430:$C$729,C536,$D$430:$D$729)&lt;=39000))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F537="결제대금비",AND(B537="U008",C537=223,J537="경조사비",F537="명절비"),AND(B537="U008",C537=208,J537="경조사비",F537="임시보관",SUMIF($C$430:$C$729,C537,$D$430:$D$729)&lt;=39000)),OR(COUNTIF($A$8:$A$12,F537)=1,F537="결제대금비",AND(B537="U008",C537=208,J537="경조사비",F537="임시보관",SUMIF($C$430:$C$729,C537,$D$430:$D$729)&lt;=39000))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F538="결제대금비",AND(B538="U008",C538=223,J538="경조사비",F538="명절비"),AND(B538="U008",C538=208,J538="경조사비",F538="임시보관",SUMIF($C$430:$C$729,C538,$D$430:$D$729)&lt;=39000)),OR(COUNTIF($A$8:$A$12,F538)=1,F538="결제대금비",AND(B538="U008",C538=208,J538="경조사비",F538="임시보관",SUMIF($C$430:$C$729,C538,$D$430:$D$729)&lt;=39000))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F539="결제대금비",AND(B539="U008",C539=223,J539="경조사비",F539="명절비"),AND(B539="U008",C539=208,J539="경조사비",F539="임시보관",SUMIF($C$430:$C$729,C539,$D$430:$D$729)&lt;=39000)),OR(COUNTIF($A$8:$A$12,F539)=1,F539="결제대금비",AND(B539="U008",C539=208,J539="경조사비",F539="임시보관",SUMIF($C$430:$C$729,C539,$D$430:$D$729)&lt;=39000))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F540="결제대금비",AND(B540="U008",C540=223,J540="경조사비",F540="명절비"),AND(B540="U008",C540=208,J540="경조사비",F540="임시보관",SUMIF($C$430:$C$729,C540,$D$430:$D$729)&lt;=39000)),OR(COUNTIF($A$8:$A$12,F540)=1,F540="결제대금비",AND(B540="U008",C540=208,J540="경조사비",F540="임시보관",SUMIF($C$430:$C$729,C540,$D$430:$D$729)&lt;=39000))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F541="결제대금비",AND(B541="U008",C541=223,J541="경조사비",F541="명절비"),AND(B541="U008",C541=208,J541="경조사비",F541="임시보관",SUMIF($C$430:$C$729,C541,$D$430:$D$729)&lt;=39000)),OR(COUNTIF($A$8:$A$12,F541)=1,F541="결제대금비",AND(B541="U008",C541=208,J541="경조사비",F541="임시보관",SUMIF($C$430:$C$729,C541,$D$430:$D$729)&lt;=39000))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F542="결제대금비",AND(B542="U008",C542=223,J542="경조사비",F542="명절비"),AND(B542="U008",C542=208,J542="경조사비",F542="임시보관",SUMIF($C$430:$C$729,C542,$D$430:$D$729)&lt;=39000)),OR(COUNTIF($A$8:$A$12,F542)=1,F542="결제대금비",AND(B542="U008",C542=208,J542="경조사비",F542="임시보관",SUMIF($C$430:$C$729,C542,$D$430:$D$729)&lt;=39000))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F543="결제대금비",AND(B543="U008",C543=223,J543="경조사비",F543="명절비"),AND(B543="U008",C543=208,J543="경조사비",F543="임시보관",SUMIF($C$430:$C$729,C543,$D$430:$D$729)&lt;=39000)),OR(COUNTIF($A$8:$A$12,F543)=1,F543="결제대금비",AND(B543="U008",C543=208,J543="경조사비",F543="임시보관",SUMIF($C$430:$C$729,C543,$D$430:$D$729)&lt;=39000))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F544="결제대금비",AND(B544="U008",C544=223,J544="경조사비",F544="명절비"),AND(B544="U008",C544=208,J544="경조사비",F544="임시보관",SUMIF($C$430:$C$729,C544,$D$430:$D$729)&lt;=39000)),OR(COUNTIF($A$8:$A$12,F544)=1,F544="결제대금비",AND(B544="U008",C544=208,J544="경조사비",F544="임시보관",SUMIF($C$430:$C$729,C544,$D$430:$D$729)&lt;=39000))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F545="결제대금비",AND(B545="U008",C545=223,J545="경조사비",F545="명절비"),AND(B545="U008",C545=208,J545="경조사비",F545="임시보관",SUMIF($C$430:$C$729,C545,$D$430:$D$729)&lt;=39000)),OR(COUNTIF($A$8:$A$12,F545)=1,F545="결제대금비",AND(B545="U008",C545=208,J545="경조사비",F545="임시보관",SUMIF($C$430:$C$729,C545,$D$430:$D$729)&lt;=39000))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F546="결제대금비",AND(B546="U008",C546=223,J546="경조사비",F546="명절비"),AND(B546="U008",C546=208,J546="경조사비",F546="임시보관",SUMIF($C$430:$C$729,C546,$D$430:$D$729)&lt;=39000)),OR(COUNTIF($A$8:$A$12,F546)=1,F546="결제대금비",AND(B546="U008",C546=208,J546="경조사비",F546="임시보관",SUMIF($C$430:$C$729,C546,$D$430:$D$729)&lt;=39000))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F547="결제대금비",AND(B547="U008",C547=223,J547="경조사비",F547="명절비"),AND(B547="U008",C547=208,J547="경조사비",F547="임시보관",SUMIF($C$430:$C$729,C547,$D$430:$D$729)&lt;=39000)),OR(COUNTIF($A$8:$A$12,F547)=1,F547="결제대금비",AND(B547="U008",C547=208,J547="경조사비",F547="임시보관",SUMIF($C$430:$C$729,C547,$D$430:$D$729)&lt;=39000))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F548="결제대금비",AND(B548="U008",C548=223,J548="경조사비",F548="명절비"),AND(B548="U008",C548=208,J548="경조사비",F548="임시보관",SUMIF($C$430:$C$729,C548,$D$430:$D$729)&lt;=39000)),OR(COUNTIF($A$8:$A$12,F548)=1,F548="결제대금비",AND(B548="U008",C548=208,J548="경조사비",F548="임시보관",SUMIF($C$430:$C$729,C548,$D$430:$D$729)&lt;=39000))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F549="결제대금비",AND(B549="U008",C549=223,J549="경조사비",F549="명절비"),AND(B549="U008",C549=208,J549="경조사비",F549="임시보관",SUMIF($C$430:$C$729,C549,$D$430:$D$729)&lt;=39000)),OR(COUNTIF($A$8:$A$12,F549)=1,F549="결제대금비",AND(B549="U008",C549=208,J549="경조사비",F549="임시보관",SUMIF($C$430:$C$729,C549,$D$430:$D$729)&lt;=39000))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F550="결제대금비",AND(B550="U008",C550=223,J550="경조사비",F550="명절비"),AND(B550="U008",C550=208,J550="경조사비",F550="임시보관",SUMIF($C$430:$C$729,C550,$D$430:$D$729)&lt;=39000)),OR(COUNTIF($A$8:$A$12,F550)=1,F550="결제대금비",AND(B550="U008",C550=208,J550="경조사비",F550="임시보관",SUMIF($C$430:$C$729,C550,$D$430:$D$729)&lt;=39000))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F551="결제대금비",AND(B551="U008",C551=223,J551="경조사비",F551="명절비"),AND(B551="U008",C551=208,J551="경조사비",F551="임시보관",SUMIF($C$430:$C$729,C551,$D$430:$D$729)&lt;=39000)),OR(COUNTIF($A$8:$A$12,F551)=1,F551="결제대금비",AND(B551="U008",C551=208,J551="경조사비",F551="임시보관",SUMIF($C$430:$C$729,C551,$D$430:$D$729)&lt;=39000))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F552="결제대금비",AND(B552="U008",C552=223,J552="경조사비",F552="명절비"),AND(B552="U008",C552=208,J552="경조사비",F552="임시보관",SUMIF($C$430:$C$729,C552,$D$430:$D$729)&lt;=39000)),OR(COUNTIF($A$8:$A$12,F552)=1,F552="결제대금비",AND(B552="U008",C552=208,J552="경조사비",F552="임시보관",SUMIF($C$430:$C$729,C552,$D$430:$D$729)&lt;=39000))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F553="결제대금비",AND(B553="U008",C553=223,J553="경조사비",F553="명절비"),AND(B553="U008",C553=208,J553="경조사비",F553="임시보관",SUMIF($C$430:$C$729,C553,$D$430:$D$729)&lt;=39000)),OR(COUNTIF($A$8:$A$12,F553)=1,F553="결제대금비",AND(B553="U008",C553=208,J553="경조사비",F553="임시보관",SUMIF($C$430:$C$729,C553,$D$430:$D$729)&lt;=39000))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F554="결제대금비",AND(B554="U008",C554=223,J554="경조사비",F554="명절비"),AND(B554="U008",C554=208,J554="경조사비",F554="임시보관",SUMIF($C$430:$C$729,C554,$D$430:$D$729)&lt;=39000)),OR(COUNTIF($A$8:$A$12,F554)=1,F554="결제대금비",AND(B554="U008",C554=208,J554="경조사비",F554="임시보관",SUMIF($C$430:$C$729,C554,$D$430:$D$729)&lt;=39000))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F555="결제대금비",AND(B555="U008",C555=223,J555="경조사비",F555="명절비"),AND(B555="U008",C555=208,J555="경조사비",F555="임시보관",SUMIF($C$430:$C$729,C555,$D$430:$D$729)&lt;=39000)),OR(COUNTIF($A$8:$A$12,F555)=1,F555="결제대금비",AND(B555="U008",C555=208,J555="경조사비",F555="임시보관",SUMIF($C$430:$C$729,C555,$D$430:$D$729)&lt;=39000))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F556="결제대금비",AND(B556="U008",C556=223,J556="경조사비",F556="명절비"),AND(B556="U008",C556=208,J556="경조사비",F556="임시보관",SUMIF($C$430:$C$729,C556,$D$430:$D$729)&lt;=39000)),OR(COUNTIF($A$8:$A$12,F556)=1,F556="결제대금비",AND(B556="U008",C556=208,J556="경조사비",F556="임시보관",SUMIF($C$430:$C$729,C556,$D$430:$D$729)&lt;=39000))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F557="결제대금비",AND(B557="U008",C557=223,J557="경조사비",F557="명절비"),AND(B557="U008",C557=208,J557="경조사비",F557="임시보관",SUMIF($C$430:$C$729,C557,$D$430:$D$729)&lt;=39000)),OR(COUNTIF($A$8:$A$12,F557)=1,F557="결제대금비",AND(B557="U008",C557=208,J557="경조사비",F557="임시보관",SUMIF($C$430:$C$729,C557,$D$430:$D$729)&lt;=39000))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F558="결제대금비",AND(B558="U008",C558=223,J558="경조사비",F558="명절비"),AND(B558="U008",C558=208,J558="경조사비",F558="임시보관",SUMIF($C$430:$C$729,C558,$D$430:$D$729)&lt;=39000)),OR(COUNTIF($A$8:$A$12,F558)=1,F558="결제대금비",AND(B558="U008",C558=208,J558="경조사비",F558="임시보관",SUMIF($C$430:$C$729,C558,$D$430:$D$729)&lt;=39000))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F559="결제대금비",AND(B559="U008",C559=223,J559="경조사비",F559="명절비"),AND(B559="U008",C559=208,J559="경조사비",F559="임시보관",SUMIF($C$430:$C$729,C559,$D$430:$D$729)&lt;=39000)),OR(COUNTIF($A$8:$A$12,F559)=1,F559="결제대금비",AND(B559="U008",C559=208,J559="경조사비",F559="임시보관",SUMIF($C$430:$C$729,C559,$D$430:$D$729)&lt;=39000))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F560="결제대금비",AND(B560="U008",C560=223,J560="경조사비",F560="명절비"),AND(B560="U008",C560=208,J560="경조사비",F560="임시보관",SUMIF($C$430:$C$729,C560,$D$430:$D$729)&lt;=39000)),OR(COUNTIF($A$8:$A$12,F560)=1,F560="결제대금비",AND(B560="U008",C560=208,J560="경조사비",F560="임시보관",SUMIF($C$430:$C$729,C560,$D$430:$D$729)&lt;=39000))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F561="결제대금비",AND(B561="U008",C561=223,J561="경조사비",F561="명절비"),AND(B561="U008",C561=208,J561="경조사비",F561="임시보관",SUMIF($C$430:$C$729,C561,$D$430:$D$729)&lt;=39000)),OR(COUNTIF($A$8:$A$12,F561)=1,F561="결제대금비",AND(B561="U008",C561=208,J561="경조사비",F561="임시보관",SUMIF($C$430:$C$729,C561,$D$430:$D$729)&lt;=39000))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F562="결제대금비",AND(B562="U008",C562=223,J562="경조사비",F562="명절비"),AND(B562="U008",C562=208,J562="경조사비",F562="임시보관",SUMIF($C$430:$C$729,C562,$D$430:$D$729)&lt;=39000)),OR(COUNTIF($A$8:$A$12,F562)=1,F562="결제대금비",AND(B562="U008",C562=208,J562="경조사비",F562="임시보관",SUMIF($C$430:$C$729,C562,$D$430:$D$729)&lt;=39000))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F563="결제대금비",AND(B563="U008",C563=223,J563="경조사비",F563="명절비"),AND(B563="U008",C563=208,J563="경조사비",F563="임시보관",SUMIF($C$430:$C$729,C563,$D$430:$D$729)&lt;=39000)),OR(COUNTIF($A$8:$A$12,F563)=1,F563="결제대금비",AND(B563="U008",C563=208,J563="경조사비",F563="임시보관",SUMIF($C$430:$C$729,C563,$D$430:$D$729)&lt;=39000))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F564="결제대금비",AND(B564="U008",C564=223,J564="경조사비",F564="명절비"),AND(B564="U008",C564=208,J564="경조사비",F564="임시보관",SUMIF($C$430:$C$729,C564,$D$430:$D$729)&lt;=39000)),OR(COUNTIF($A$8:$A$12,F564)=1,F564="결제대금비",AND(B564="U008",C564=208,J564="경조사비",F564="임시보관",SUMIF($C$430:$C$729,C564,$D$430:$D$729)&lt;=39000))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F565="결제대금비",AND(B565="U008",C565=223,J565="경조사비",F565="명절비"),AND(B565="U008",C565=208,J565="경조사비",F565="임시보관",SUMIF($C$430:$C$729,C565,$D$430:$D$729)&lt;=39000)),OR(COUNTIF($A$8:$A$12,F565)=1,F565="결제대금비",AND(B565="U008",C565=208,J565="경조사비",F565="임시보관",SUMIF($C$430:$C$729,C565,$D$430:$D$729)&lt;=39000))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F566="결제대금비",AND(B566="U008",C566=223,J566="경조사비",F566="명절비"),AND(B566="U008",C566=208,J566="경조사비",F566="임시보관",SUMIF($C$430:$C$729,C566,$D$430:$D$729)&lt;=39000)),OR(COUNTIF($A$8:$A$12,F566)=1,F566="결제대금비",AND(B566="U008",C566=208,J566="경조사비",F566="임시보관",SUMIF($C$430:$C$729,C566,$D$430:$D$729)&lt;=39000))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F567="결제대금비",AND(B567="U008",C567=223,J567="경조사비",F567="명절비"),AND(B567="U008",C567=208,J567="경조사비",F567="임시보관",SUMIF($C$430:$C$729,C567,$D$430:$D$729)&lt;=39000)),OR(COUNTIF($A$8:$A$12,F567)=1,F567="결제대금비",AND(B567="U008",C567=208,J567="경조사비",F567="임시보관",SUMIF($C$430:$C$729,C567,$D$430:$D$729)&lt;=39000))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F568="결제대금비",AND(B568="U008",C568=223,J568="경조사비",F568="명절비"),AND(B568="U008",C568=208,J568="경조사비",F568="임시보관",SUMIF($C$430:$C$729,C568,$D$430:$D$729)&lt;=39000)),OR(COUNTIF($A$8:$A$12,F568)=1,F568="결제대금비",AND(B568="U008",C568=208,J568="경조사비",F568="임시보관",SUMIF($C$430:$C$729,C568,$D$430:$D$729)&lt;=39000))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F569="결제대금비",AND(B569="U008",C569=223,J569="경조사비",F569="명절비"),AND(B569="U008",C569=208,J569="경조사비",F569="임시보관",SUMIF($C$430:$C$729,C569,$D$430:$D$729)&lt;=39000)),OR(COUNTIF($A$8:$A$12,F569)=1,F569="결제대금비",AND(B569="U008",C569=208,J569="경조사비",F569="임시보관",SUMIF($C$430:$C$729,C569,$D$430:$D$729)&lt;=39000))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F570="결제대금비",AND(B570="U008",C570=223,J570="경조사비",F570="명절비"),AND(B570="U008",C570=208,J570="경조사비",F570="임시보관",SUMIF($C$430:$C$729,C570,$D$430:$D$729)&lt;=39000)),OR(COUNTIF($A$8:$A$12,F570)=1,F570="결제대금비",AND(B570="U008",C570=208,J570="경조사비",F570="임시보관",SUMIF($C$430:$C$729,C570,$D$430:$D$729)&lt;=39000))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F571="결제대금비",AND(B571="U008",C571=223,J571="경조사비",F571="명절비"),AND(B571="U008",C571=208,J571="경조사비",F571="임시보관",SUMIF($C$430:$C$729,C571,$D$430:$D$729)&lt;=39000)),OR(COUNTIF($A$8:$A$12,F571)=1,F571="결제대금비",AND(B571="U008",C571=208,J571="경조사비",F571="임시보관",SUMIF($C$430:$C$729,C571,$D$430:$D$729)&lt;=39000))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F572="결제대금비",AND(B572="U008",C572=223,J572="경조사비",F572="명절비"),AND(B572="U008",C572=208,J572="경조사비",F572="임시보관",SUMIF($C$430:$C$729,C572,$D$430:$D$729)&lt;=39000)),OR(COUNTIF($A$8:$A$12,F572)=1,F572="결제대금비",AND(B572="U008",C572=208,J572="경조사비",F572="임시보관",SUMIF($C$430:$C$729,C572,$D$430:$D$729)&lt;=39000))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F573="결제대금비",AND(B573="U008",C573=223,J573="경조사비",F573="명절비"),AND(B573="U008",C573=208,J573="경조사비",F573="임시보관",SUMIF($C$430:$C$729,C573,$D$430:$D$729)&lt;=39000)),OR(COUNTIF($A$8:$A$12,F573)=1,F573="결제대금비",AND(B573="U008",C573=208,J573="경조사비",F573="임시보관",SUMIF($C$430:$C$729,C573,$D$430:$D$729)&lt;=39000))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F574="결제대금비",AND(B574="U008",C574=223,J574="경조사비",F574="명절비"),AND(B574="U008",C574=208,J574="경조사비",F574="임시보관",SUMIF($C$430:$C$729,C574,$D$430:$D$729)&lt;=39000)),OR(COUNTIF($A$8:$A$12,F574)=1,F574="결제대금비",AND(B574="U008",C574=208,J574="경조사비",F574="임시보관",SUMIF($C$430:$C$729,C574,$D$430:$D$729)&lt;=39000))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F575="결제대금비",AND(B575="U008",C575=223,J575="경조사비",F575="명절비"),AND(B575="U008",C575=208,J575="경조사비",F575="임시보관",SUMIF($C$430:$C$729,C575,$D$430:$D$729)&lt;=39000)),OR(COUNTIF($A$8:$A$12,F575)=1,F575="결제대금비",AND(B575="U008",C575=208,J575="경조사비",F575="임시보관",SUMIF($C$430:$C$729,C575,$D$430:$D$729)&lt;=39000))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F576="결제대금비",AND(B576="U008",C576=223,J576="경조사비",F576="명절비"),AND(B576="U008",C576=208,J576="경조사비",F576="임시보관",SUMIF($C$430:$C$729,C576,$D$430:$D$729)&lt;=39000)),OR(COUNTIF($A$8:$A$12,F576)=1,F576="결제대금비",AND(B576="U008",C576=208,J576="경조사비",F576="임시보관",SUMIF($C$430:$C$729,C576,$D$430:$D$729)&lt;=39000))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F577="결제대금비",AND(B577="U008",C577=223,J577="경조사비",F577="명절비"),AND(B577="U008",C577=208,J577="경조사비",F577="임시보관",SUMIF($C$430:$C$729,C577,$D$430:$D$729)&lt;=39000)),OR(COUNTIF($A$8:$A$12,F577)=1,F577="결제대금비",AND(B577="U008",C577=208,J577="경조사비",F577="임시보관",SUMIF($C$430:$C$729,C577,$D$430:$D$729)&lt;=39000))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F578="결제대금비",AND(B578="U008",C578=223,J578="경조사비",F578="명절비"),AND(B578="U008",C578=208,J578="경조사비",F578="임시보관",SUMIF($C$430:$C$729,C578,$D$430:$D$729)&lt;=39000)),OR(COUNTIF($A$8:$A$12,F578)=1,F578="결제대금비",AND(B578="U008",C578=208,J578="경조사비",F578="임시보관",SUMIF($C$430:$C$729,C578,$D$430:$D$729)&lt;=39000))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F579="결제대금비",AND(B579="U008",C579=223,J579="경조사비",F579="명절비"),AND(B579="U008",C579=208,J579="경조사비",F579="임시보관",SUMIF($C$430:$C$729,C579,$D$430:$D$729)&lt;=39000)),OR(COUNTIF($A$8:$A$12,F579)=1,F579="결제대금비",AND(B579="U008",C579=208,J579="경조사비",F579="임시보관",SUMIF($C$430:$C$729,C579,$D$430:$D$729)&lt;=39000))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F580="결제대금비",AND(B580="U008",C580=223,J580="경조사비",F580="명절비"),AND(B580="U008",C580=208,J580="경조사비",F580="임시보관",SUMIF($C$430:$C$729,C580,$D$430:$D$729)&lt;=39000)),OR(COUNTIF($A$8:$A$12,F580)=1,F580="결제대금비",AND(B580="U008",C580=208,J580="경조사비",F580="임시보관",SUMIF($C$430:$C$729,C580,$D$430:$D$729)&lt;=39000))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F581="결제대금비",AND(B581="U008",C581=223,J581="경조사비",F581="명절비"),AND(B581="U008",C581=208,J581="경조사비",F581="임시보관",SUMIF($C$430:$C$729,C581,$D$430:$D$729)&lt;=39000)),OR(COUNTIF($A$8:$A$12,F581)=1,F581="결제대금비",AND(B581="U008",C581=208,J581="경조사비",F581="임시보관",SUMIF($C$430:$C$729,C581,$D$430:$D$729)&lt;=39000))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F582="결제대금비",AND(B582="U008",C582=223,J582="경조사비",F582="명절비"),AND(B582="U008",C582=208,J582="경조사비",F582="임시보관",SUMIF($C$430:$C$729,C582,$D$430:$D$729)&lt;=39000)),OR(COUNTIF($A$8:$A$12,F582)=1,F582="결제대금비",AND(B582="U008",C582=208,J582="경조사비",F582="임시보관",SUMIF($C$430:$C$729,C582,$D$430:$D$729)&lt;=39000))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F583="결제대금비",AND(B583="U008",C583=223,J583="경조사비",F583="명절비"),AND(B583="U008",C583=208,J583="경조사비",F583="임시보관",SUMIF($C$430:$C$729,C583,$D$430:$D$729)&lt;=39000)),OR(COUNTIF($A$8:$A$12,F583)=1,F583="결제대금비",AND(B583="U008",C583=208,J583="경조사비",F583="임시보관",SUMIF($C$430:$C$729,C583,$D$430:$D$729)&lt;=39000))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F584="결제대금비",AND(B584="U008",C584=223,J584="경조사비",F584="명절비"),AND(B584="U008",C584=208,J584="경조사비",F584="임시보관",SUMIF($C$430:$C$729,C584,$D$430:$D$729)&lt;=39000)),OR(COUNTIF($A$8:$A$12,F584)=1,F584="결제대금비",AND(B584="U008",C584=208,J584="경조사비",F584="임시보관",SUMIF($C$430:$C$729,C584,$D$430:$D$729)&lt;=39000))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F585="결제대금비",AND(B585="U008",C585=223,J585="경조사비",F585="명절비"),AND(B585="U008",C585=208,J585="경조사비",F585="임시보관",SUMIF($C$430:$C$729,C585,$D$430:$D$729)&lt;=39000)),OR(COUNTIF($A$8:$A$12,F585)=1,F585="결제대금비",AND(B585="U008",C585=208,J585="경조사비",F585="임시보관",SUMIF($C$430:$C$729,C585,$D$430:$D$729)&lt;=39000))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F586="결제대금비",AND(B586="U008",C586=223,J586="경조사비",F586="명절비"),AND(B586="U008",C586=208,J586="경조사비",F586="임시보관",SUMIF($C$430:$C$729,C586,$D$430:$D$729)&lt;=39000)),OR(COUNTIF($A$8:$A$12,F586)=1,F586="결제대금비",AND(B586="U008",C586=208,J586="경조사비",F586="임시보관",SUMIF($C$430:$C$729,C586,$D$430:$D$729)&lt;=39000))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F587="결제대금비",AND(B587="U008",C587=223,J587="경조사비",F587="명절비"),AND(B587="U008",C587=208,J587="경조사비",F587="임시보관",SUMIF($C$430:$C$729,C587,$D$430:$D$729)&lt;=39000)),OR(COUNTIF($A$8:$A$12,F587)=1,F587="결제대금비",AND(B587="U008",C587=208,J587="경조사비",F587="임시보관",SUMIF($C$430:$C$729,C587,$D$430:$D$729)&lt;=39000))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F588="결제대금비",AND(B588="U008",C588=223,J588="경조사비",F588="명절비"),AND(B588="U008",C588=208,J588="경조사비",F588="임시보관",SUMIF($C$430:$C$729,C588,$D$430:$D$729)&lt;=39000)),OR(COUNTIF($A$8:$A$12,F588)=1,F588="결제대금비",AND(B588="U008",C588=208,J588="경조사비",F588="임시보관",SUMIF($C$430:$C$729,C588,$D$430:$D$729)&lt;=39000))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F589="결제대금비",AND(B589="U008",C589=223,J589="경조사비",F589="명절비"),AND(B589="U008",C589=208,J589="경조사비",F589="임시보관",SUMIF($C$430:$C$729,C589,$D$430:$D$729)&lt;=39000)),OR(COUNTIF($A$8:$A$12,F589)=1,F589="결제대금비",AND(B589="U008",C589=208,J589="경조사비",F589="임시보관",SUMIF($C$430:$C$729,C589,$D$430:$D$729)&lt;=39000))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F590="결제대금비",AND(B590="U008",C590=223,J590="경조사비",F590="명절비"),AND(B590="U008",C590=208,J590="경조사비",F590="임시보관",SUMIF($C$430:$C$729,C590,$D$430:$D$729)&lt;=39000)),OR(COUNTIF($A$8:$A$12,F590)=1,F590="결제대금비",AND(B590="U008",C590=208,J590="경조사비",F590="임시보관",SUMIF($C$430:$C$729,C590,$D$430:$D$729)&lt;=39000))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F591="결제대금비",AND(B591="U008",C591=223,J591="경조사비",F591="명절비"),AND(B591="U008",C591=208,J591="경조사비",F591="임시보관",SUMIF($C$430:$C$729,C591,$D$430:$D$729)&lt;=39000)),OR(COUNTIF($A$8:$A$12,F591)=1,F591="결제대금비",AND(B591="U008",C591=208,J591="경조사비",F591="임시보관",SUMIF($C$430:$C$729,C591,$D$430:$D$729)&lt;=39000))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F592="결제대금비",AND(B592="U008",C592=223,J592="경조사비",F592="명절비"),AND(B592="U008",C592=208,J592="경조사비",F592="임시보관",SUMIF($C$430:$C$729,C592,$D$430:$D$729)&lt;=39000)),OR(COUNTIF($A$8:$A$12,F592)=1,F592="결제대금비",AND(B592="U008",C592=208,J592="경조사비",F592="임시보관",SUMIF($C$430:$C$729,C592,$D$430:$D$729)&lt;=39000))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F593="결제대금비",AND(B593="U008",C593=223,J593="경조사비",F593="명절비"),AND(B593="U008",C593=208,J593="경조사비",F593="임시보관",SUMIF($C$430:$C$729,C593,$D$430:$D$729)&lt;=39000)),OR(COUNTIF($A$8:$A$12,F593)=1,F593="결제대금비",AND(B593="U008",C593=208,J593="경조사비",F593="임시보관",SUMIF($C$430:$C$729,C593,$D$430:$D$729)&lt;=39000))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F594="결제대금비",AND(B594="U008",C594=223,J594="경조사비",F594="명절비"),AND(B594="U008",C594=208,J594="경조사비",F594="임시보관",SUMIF($C$430:$C$729,C594,$D$430:$D$729)&lt;=39000)),OR(COUNTIF($A$8:$A$12,F594)=1,F594="결제대금비",AND(B594="U008",C594=208,J594="경조사비",F594="임시보관",SUMIF($C$430:$C$729,C594,$D$430:$D$729)&lt;=39000))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F595="결제대금비",AND(B595="U008",C595=223,J595="경조사비",F595="명절비"),AND(B595="U008",C595=208,J595="경조사비",F595="임시보관",SUMIF($C$430:$C$729,C595,$D$430:$D$729)&lt;=39000)),OR(COUNTIF($A$8:$A$12,F595)=1,F595="결제대금비",AND(B595="U008",C595=208,J595="경조사비",F595="임시보관",SUMIF($C$430:$C$729,C595,$D$430:$D$729)&lt;=39000))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F596="결제대금비",AND(B596="U008",C596=223,J596="경조사비",F596="명절비"),AND(B596="U008",C596=208,J596="경조사비",F596="임시보관",SUMIF($C$430:$C$729,C596,$D$430:$D$729)&lt;=39000)),OR(COUNTIF($A$8:$A$12,F596)=1,F596="결제대금비",AND(B596="U008",C596=208,J596="경조사비",F596="임시보관",SUMIF($C$430:$C$729,C596,$D$430:$D$729)&lt;=39000))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F597="결제대금비",AND(B597="U008",C597=223,J597="경조사비",F597="명절비"),AND(B597="U008",C597=208,J597="경조사비",F597="임시보관",SUMIF($C$430:$C$729,C597,$D$430:$D$729)&lt;=39000)),OR(COUNTIF($A$8:$A$12,F597)=1,F597="결제대금비",AND(B597="U008",C597=208,J597="경조사비",F597="임시보관",SUMIF($C$430:$C$729,C597,$D$430:$D$729)&lt;=39000))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F598="결제대금비",AND(B598="U008",C598=223,J598="경조사비",F598="명절비"),AND(B598="U008",C598=208,J598="경조사비",F598="임시보관",SUMIF($C$430:$C$729,C598,$D$430:$D$729)&lt;=39000)),OR(COUNTIF($A$8:$A$12,F598)=1,F598="결제대금비",AND(B598="U008",C598=208,J598="경조사비",F598="임시보관",SUMIF($C$430:$C$729,C598,$D$430:$D$729)&lt;=39000))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F599="결제대금비",AND(B599="U008",C599=223,J599="경조사비",F599="명절비"),AND(B599="U008",C599=208,J599="경조사비",F599="임시보관",SUMIF($C$430:$C$729,C599,$D$430:$D$729)&lt;=39000)),OR(COUNTIF($A$8:$A$12,F599)=1,F599="결제대금비",AND(B599="U008",C599=208,J599="경조사비",F599="임시보관",SUMIF($C$430:$C$729,C599,$D$430:$D$729)&lt;=39000))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F600="결제대금비",AND(B600="U008",C600=223,J600="경조사비",F600="명절비"),AND(B600="U008",C600=208,J600="경조사비",F600="임시보관",SUMIF($C$430:$C$729,C600,$D$430:$D$729)&lt;=39000)),OR(COUNTIF($A$8:$A$12,F600)=1,F600="결제대금비",AND(B600="U008",C600=208,J600="경조사비",F600="임시보관",SUMIF($C$430:$C$729,C600,$D$430:$D$729)&lt;=39000))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F601="결제대금비",AND(B601="U008",C601=223,J601="경조사비",F601="명절비"),AND(B601="U008",C601=208,J601="경조사비",F601="임시보관",SUMIF($C$430:$C$729,C601,$D$430:$D$729)&lt;=39000)),OR(COUNTIF($A$8:$A$12,F601)=1,F601="결제대금비",AND(B601="U008",C601=208,J601="경조사비",F601="임시보관",SUMIF($C$430:$C$729,C601,$D$430:$D$729)&lt;=39000))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F602="결제대금비",AND(B602="U008",C602=223,J602="경조사비",F602="명절비"),AND(B602="U008",C602=208,J602="경조사비",F602="임시보관",SUMIF($C$430:$C$729,C602,$D$430:$D$729)&lt;=39000)),OR(COUNTIF($A$8:$A$12,F602)=1,F602="결제대금비",AND(B602="U008",C602=208,J602="경조사비",F602="임시보관",SUMIF($C$430:$C$729,C602,$D$430:$D$729)&lt;=39000))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F603="결제대금비",AND(B603="U008",C603=223,J603="경조사비",F603="명절비"),AND(B603="U008",C603=208,J603="경조사비",F603="임시보관",SUMIF($C$430:$C$729,C603,$D$430:$D$729)&lt;=39000)),OR(COUNTIF($A$8:$A$12,F603)=1,F603="결제대금비",AND(B603="U008",C603=208,J603="경조사비",F603="임시보관",SUMIF($C$430:$C$729,C603,$D$430:$D$729)&lt;=39000))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F604="결제대금비",AND(B604="U008",C604=223,J604="경조사비",F604="명절비"),AND(B604="U008",C604=208,J604="경조사비",F604="임시보관",SUMIF($C$430:$C$729,C604,$D$430:$D$729)&lt;=39000)),OR(COUNTIF($A$8:$A$12,F604)=1,F604="결제대금비",AND(B604="U008",C604=208,J604="경조사비",F604="임시보관",SUMIF($C$430:$C$729,C604,$D$430:$D$729)&lt;=39000))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F605="결제대금비",AND(B605="U008",C605=223,J605="경조사비",F605="명절비"),AND(B605="U008",C605=208,J605="경조사비",F605="임시보관",SUMIF($C$430:$C$729,C605,$D$430:$D$729)&lt;=39000)),OR(COUNTIF($A$8:$A$12,F605)=1,F605="결제대금비",AND(B605="U008",C605=208,J605="경조사비",F605="임시보관",SUMIF($C$430:$C$729,C605,$D$430:$D$729)&lt;=39000))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F606="결제대금비",AND(B606="U008",C606=223,J606="경조사비",F606="명절비"),AND(B606="U008",C606=208,J606="경조사비",F606="임시보관",SUMIF($C$430:$C$729,C606,$D$430:$D$729)&lt;=39000)),OR(COUNTIF($A$8:$A$12,F606)=1,F606="결제대금비",AND(B606="U008",C606=208,J606="경조사비",F606="임시보관",SUMIF($C$430:$C$729,C606,$D$430:$D$729)&lt;=39000))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F607="결제대금비",AND(B607="U008",C607=223,J607="경조사비",F607="명절비"),AND(B607="U008",C607=208,J607="경조사비",F607="임시보관",SUMIF($C$430:$C$729,C607,$D$430:$D$729)&lt;=39000)),OR(COUNTIF($A$8:$A$12,F607)=1,F607="결제대금비",AND(B607="U008",C607=208,J607="경조사비",F607="임시보관",SUMIF($C$430:$C$729,C607,$D$430:$D$729)&lt;=39000))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F608="결제대금비",AND(B608="U008",C608=223,J608="경조사비",F608="명절비"),AND(B608="U008",C608=208,J608="경조사비",F608="임시보관",SUMIF($C$430:$C$729,C608,$D$430:$D$729)&lt;=39000)),OR(COUNTIF($A$8:$A$12,F608)=1,F608="결제대금비",AND(B608="U008",C608=208,J608="경조사비",F608="임시보관",SUMIF($C$430:$C$729,C608,$D$430:$D$729)&lt;=39000))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F609="결제대금비",AND(B609="U008",C609=223,J609="경조사비",F609="명절비"),AND(B609="U008",C609=208,J609="경조사비",F609="임시보관",SUMIF($C$430:$C$729,C609,$D$430:$D$729)&lt;=39000)),OR(COUNTIF($A$8:$A$12,F609)=1,F609="결제대금비",AND(B609="U008",C609=208,J609="경조사비",F609="임시보관",SUMIF($C$430:$C$729,C609,$D$430:$D$729)&lt;=39000))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F610="결제대금비",AND(B610="U008",C610=223,J610="경조사비",F610="명절비"),AND(B610="U008",C610=208,J610="경조사비",F610="임시보관",SUMIF($C$430:$C$729,C610,$D$430:$D$729)&lt;=39000)),OR(COUNTIF($A$8:$A$12,F610)=1,F610="결제대금비",AND(B610="U008",C610=208,J610="경조사비",F610="임시보관",SUMIF($C$430:$C$729,C610,$D$430:$D$729)&lt;=39000))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F611="결제대금비",AND(B611="U008",C611=223,J611="경조사비",F611="명절비"),AND(B611="U008",C611=208,J611="경조사비",F611="임시보관",SUMIF($C$430:$C$729,C611,$D$430:$D$729)&lt;=39000)),OR(COUNTIF($A$8:$A$12,F611)=1,F611="결제대금비",AND(B611="U008",C611=208,J611="경조사비",F611="임시보관",SUMIF($C$430:$C$729,C611,$D$430:$D$729)&lt;=39000))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F612="결제대금비",AND(B612="U008",C612=223,J612="경조사비",F612="명절비"),AND(B612="U008",C612=208,J612="경조사비",F612="임시보관",SUMIF($C$430:$C$729,C612,$D$430:$D$729)&lt;=39000)),OR(COUNTIF($A$8:$A$12,F612)=1,F612="결제대금비",AND(B612="U008",C612=208,J612="경조사비",F612="임시보관",SUMIF($C$430:$C$729,C612,$D$430:$D$729)&lt;=39000))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F613="결제대금비",AND(B613="U008",C613=223,J613="경조사비",F613="명절비"),AND(B613="U008",C613=208,J613="경조사비",F613="임시보관",SUMIF($C$430:$C$729,C613,$D$430:$D$729)&lt;=39000)),OR(COUNTIF($A$8:$A$12,F613)=1,F613="결제대금비",AND(B613="U008",C613=208,J613="경조사비",F613="임시보관",SUMIF($C$430:$C$729,C613,$D$430:$D$729)&lt;=39000))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F614="결제대금비",AND(B614="U008",C614=223,J614="경조사비",F614="명절비"),AND(B614="U008",C614=208,J614="경조사비",F614="임시보관",SUMIF($C$430:$C$729,C614,$D$430:$D$729)&lt;=39000)),OR(COUNTIF($A$8:$A$12,F614)=1,F614="결제대금비",AND(B614="U008",C614=208,J614="경조사비",F614="임시보관",SUMIF($C$430:$C$729,C614,$D$430:$D$729)&lt;=39000))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F615="결제대금비",AND(B615="U008",C615=223,J615="경조사비",F615="명절비"),AND(B615="U008",C615=208,J615="경조사비",F615="임시보관",SUMIF($C$430:$C$729,C615,$D$430:$D$729)&lt;=39000)),OR(COUNTIF($A$8:$A$12,F615)=1,F615="결제대금비",AND(B615="U008",C615=208,J615="경조사비",F615="임시보관",SUMIF($C$430:$C$729,C615,$D$430:$D$729)&lt;=39000))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F616="결제대금비",AND(B616="U008",C616=223,J616="경조사비",F616="명절비"),AND(B616="U008",C616=208,J616="경조사비",F616="임시보관",SUMIF($C$430:$C$729,C616,$D$430:$D$729)&lt;=39000)),OR(COUNTIF($A$8:$A$12,F616)=1,F616="결제대금비",AND(B616="U008",C616=208,J616="경조사비",F616="임시보관",SUMIF($C$430:$C$729,C616,$D$430:$D$729)&lt;=39000))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F617="결제대금비",AND(B617="U008",C617=223,J617="경조사비",F617="명절비"),AND(B617="U008",C617=208,J617="경조사비",F617="임시보관",SUMIF($C$430:$C$729,C617,$D$430:$D$729)&lt;=39000)),OR(COUNTIF($A$8:$A$12,F617)=1,F617="결제대금비",AND(B617="U008",C617=208,J617="경조사비",F617="임시보관",SUMIF($C$430:$C$729,C617,$D$430:$D$729)&lt;=39000))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F618="결제대금비",AND(B618="U008",C618=223,J618="경조사비",F618="명절비"),AND(B618="U008",C618=208,J618="경조사비",F618="임시보관",SUMIF($C$430:$C$729,C618,$D$430:$D$729)&lt;=39000)),OR(COUNTIF($A$8:$A$12,F618)=1,F618="결제대금비",AND(B618="U008",C618=208,J618="경조사비",F618="임시보관",SUMIF($C$430:$C$729,C618,$D$430:$D$729)&lt;=39000))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F619="결제대금비",AND(B619="U008",C619=223,J619="경조사비",F619="명절비"),AND(B619="U008",C619=208,J619="경조사비",F619="임시보관",SUMIF($C$430:$C$729,C619,$D$430:$D$729)&lt;=39000)),OR(COUNTIF($A$8:$A$12,F619)=1,F619="결제대금비",AND(B619="U008",C619=208,J619="경조사비",F619="임시보관",SUMIF($C$430:$C$729,C619,$D$430:$D$729)&lt;=39000))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F620="결제대금비",AND(B620="U008",C620=223,J620="경조사비",F620="명절비"),AND(B620="U008",C620=208,J620="경조사비",F620="임시보관",SUMIF($C$430:$C$729,C620,$D$430:$D$729)&lt;=39000)),OR(COUNTIF($A$8:$A$12,F620)=1,F620="결제대금비",AND(B620="U008",C620=208,J620="경조사비",F620="임시보관",SUMIF($C$430:$C$729,C620,$D$430:$D$729)&lt;=39000))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F621="결제대금비",AND(B621="U008",C621=223,J621="경조사비",F621="명절비"),AND(B621="U008",C621=208,J621="경조사비",F621="임시보관",SUMIF($C$430:$C$729,C621,$D$430:$D$729)&lt;=39000)),OR(COUNTIF($A$8:$A$12,F621)=1,F621="결제대금비",AND(B621="U008",C621=208,J621="경조사비",F621="임시보관",SUMIF($C$430:$C$729,C621,$D$430:$D$729)&lt;=39000))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F622="결제대금비",AND(B622="U008",C622=223,J622="경조사비",F622="명절비"),AND(B622="U008",C622=208,J622="경조사비",F622="임시보관",SUMIF($C$430:$C$729,C622,$D$430:$D$729)&lt;=39000)),OR(COUNTIF($A$8:$A$12,F622)=1,F622="결제대금비",AND(B622="U008",C622=208,J622="경조사비",F622="임시보관",SUMIF($C$430:$C$729,C622,$D$430:$D$729)&lt;=39000))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F623="결제대금비",AND(B623="U008",C623=223,J623="경조사비",F623="명절비"),AND(B623="U008",C623=208,J623="경조사비",F623="임시보관",SUMIF($C$430:$C$729,C623,$D$430:$D$729)&lt;=39000)),OR(COUNTIF($A$8:$A$12,F623)=1,F623="결제대금비",AND(B623="U008",C623=208,J623="경조사비",F623="임시보관",SUMIF($C$430:$C$729,C623,$D$430:$D$729)&lt;=39000))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F624="결제대금비",AND(B624="U008",C624=223,J624="경조사비",F624="명절비"),AND(B624="U008",C624=208,J624="경조사비",F624="임시보관",SUMIF($C$430:$C$729,C624,$D$430:$D$729)&lt;=39000)),OR(COUNTIF($A$8:$A$12,F624)=1,F624="결제대금비",AND(B624="U008",C624=208,J624="경조사비",F624="임시보관",SUMIF($C$430:$C$729,C624,$D$430:$D$729)&lt;=39000))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F625="결제대금비",AND(B625="U008",C625=223,J625="경조사비",F625="명절비"),AND(B625="U008",C625=208,J625="경조사비",F625="임시보관",SUMIF($C$430:$C$729,C625,$D$430:$D$729)&lt;=39000)),OR(COUNTIF($A$8:$A$12,F625)=1,F625="결제대금비",AND(B625="U008",C625=208,J625="경조사비",F625="임시보관",SUMIF($C$430:$C$729,C625,$D$430:$D$729)&lt;=39000))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F626="결제대금비",AND(B626="U008",C626=223,J626="경조사비",F626="명절비"),AND(B626="U008",C626=208,J626="경조사비",F626="임시보관",SUMIF($C$430:$C$729,C626,$D$430:$D$729)&lt;=39000)),OR(COUNTIF($A$8:$A$12,F626)=1,F626="결제대금비",AND(B626="U008",C626=208,J626="경조사비",F626="임시보관",SUMIF($C$430:$C$729,C626,$D$430:$D$729)&lt;=39000))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F627="결제대금비",AND(B627="U008",C627=223,J627="경조사비",F627="명절비"),AND(B627="U008",C627=208,J627="경조사비",F627="임시보관",SUMIF($C$430:$C$729,C627,$D$430:$D$729)&lt;=39000)),OR(COUNTIF($A$8:$A$12,F627)=1,F627="결제대금비",AND(B627="U008",C627=208,J627="경조사비",F627="임시보관",SUMIF($C$430:$C$729,C627,$D$430:$D$729)&lt;=39000))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F628="결제대금비",AND(B628="U008",C628=223,J628="경조사비",F628="명절비"),AND(B628="U008",C628=208,J628="경조사비",F628="임시보관",SUMIF($C$430:$C$729,C628,$D$430:$D$729)&lt;=39000)),OR(COUNTIF($A$8:$A$12,F628)=1,F628="결제대금비",AND(B628="U008",C628=208,J628="경조사비",F628="임시보관",SUMIF($C$430:$C$729,C628,$D$430:$D$729)&lt;=39000))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F629="결제대금비",AND(B629="U008",C629=223,J629="경조사비",F629="명절비"),AND(B629="U008",C629=208,J629="경조사비",F629="임시보관",SUMIF($C$430:$C$729,C629,$D$430:$D$729)&lt;=39000)),OR(COUNTIF($A$8:$A$12,F629)=1,F629="결제대금비",AND(B629="U008",C629=208,J629="경조사비",F629="임시보관",SUMIF($C$430:$C$729,C629,$D$430:$D$729)&lt;=39000))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F630="결제대금비",AND(B630="U008",C630=223,J630="경조사비",F630="명절비"),AND(B630="U008",C630=208,J630="경조사비",F630="임시보관",SUMIF($C$430:$C$729,C630,$D$430:$D$729)&lt;=39000)),OR(COUNTIF($A$8:$A$12,F630)=1,F630="결제대금비",AND(B630="U008",C630=208,J630="경조사비",F630="임시보관",SUMIF($C$430:$C$729,C630,$D$430:$D$729)&lt;=39000))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F631="결제대금비",AND(B631="U008",C631=223,J631="경조사비",F631="명절비"),AND(B631="U008",C631=208,J631="경조사비",F631="임시보관",SUMIF($C$430:$C$729,C631,$D$430:$D$729)&lt;=39000)),OR(COUNTIF($A$8:$A$12,F631)=1,F631="결제대금비",AND(B631="U008",C631=208,J631="경조사비",F631="임시보관",SUMIF($C$430:$C$729,C631,$D$430:$D$729)&lt;=39000))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F632="결제대금비",AND(B632="U008",C632=223,J632="경조사비",F632="명절비"),AND(B632="U008",C632=208,J632="경조사비",F632="임시보관",SUMIF($C$430:$C$729,C632,$D$430:$D$729)&lt;=39000)),OR(COUNTIF($A$8:$A$12,F632)=1,F632="결제대금비",AND(B632="U008",C632=208,J632="경조사비",F632="임시보관",SUMIF($C$430:$C$729,C632,$D$430:$D$729)&lt;=39000))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F633="결제대금비",AND(B633="U008",C633=223,J633="경조사비",F633="명절비"),AND(B633="U008",C633=208,J633="경조사비",F633="임시보관",SUMIF($C$430:$C$729,C633,$D$430:$D$729)&lt;=39000)),OR(COUNTIF($A$8:$A$12,F633)=1,F633="결제대금비",AND(B633="U008",C633=208,J633="경조사비",F633="임시보관",SUMIF($C$430:$C$729,C633,$D$430:$D$729)&lt;=39000))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F634="결제대금비",AND(B634="U008",C634=223,J634="경조사비",F634="명절비"),AND(B634="U008",C634=208,J634="경조사비",F634="임시보관",SUMIF($C$430:$C$729,C634,$D$430:$D$729)&lt;=39000)),OR(COUNTIF($A$8:$A$12,F634)=1,F634="결제대금비",AND(B634="U008",C634=208,J634="경조사비",F634="임시보관",SUMIF($C$430:$C$729,C634,$D$430:$D$729)&lt;=39000))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F635="결제대금비",AND(B635="U008",C635=223,J635="경조사비",F635="명절비"),AND(B635="U008",C635=208,J635="경조사비",F635="임시보관",SUMIF($C$430:$C$729,C635,$D$430:$D$729)&lt;=39000)),OR(COUNTIF($A$8:$A$12,F635)=1,F635="결제대금비",AND(B635="U008",C635=208,J635="경조사비",F635="임시보관",SUMIF($C$430:$C$729,C635,$D$430:$D$729)&lt;=39000))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F636="결제대금비",AND(B636="U008",C636=223,J636="경조사비",F636="명절비"),AND(B636="U008",C636=208,J636="경조사비",F636="임시보관",SUMIF($C$430:$C$729,C636,$D$430:$D$729)&lt;=39000)),OR(COUNTIF($A$8:$A$12,F636)=1,F636="결제대금비",AND(B636="U008",C636=208,J636="경조사비",F636="임시보관",SUMIF($C$430:$C$729,C636,$D$430:$D$729)&lt;=39000))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F637="결제대금비",AND(B637="U008",C637=223,J637="경조사비",F637="명절비"),AND(B637="U008",C637=208,J637="경조사비",F637="임시보관",SUMIF($C$430:$C$729,C637,$D$430:$D$729)&lt;=39000)),OR(COUNTIF($A$8:$A$12,F637)=1,F637="결제대금비",AND(B637="U008",C637=208,J637="경조사비",F637="임시보관",SUMIF($C$430:$C$729,C637,$D$430:$D$729)&lt;=39000))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F638="결제대금비",AND(B638="U008",C638=223,J638="경조사비",F638="명절비"),AND(B638="U008",C638=208,J638="경조사비",F638="임시보관",SUMIF($C$430:$C$729,C638,$D$430:$D$729)&lt;=39000)),OR(COUNTIF($A$8:$A$12,F638)=1,F638="결제대금비",AND(B638="U008",C638=208,J638="경조사비",F638="임시보관",SUMIF($C$430:$C$729,C638,$D$430:$D$729)&lt;=39000))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F639="결제대금비",AND(B639="U008",C639=223,J639="경조사비",F639="명절비"),AND(B639="U008",C639=208,J639="경조사비",F639="임시보관",SUMIF($C$430:$C$729,C639,$D$430:$D$729)&lt;=39000)),OR(COUNTIF($A$8:$A$12,F639)=1,F639="결제대금비",AND(B639="U008",C639=208,J639="경조사비",F639="임시보관",SUMIF($C$430:$C$729,C639,$D$430:$D$729)&lt;=39000))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F640="결제대금비",AND(B640="U008",C640=223,J640="경조사비",F640="명절비"),AND(B640="U008",C640=208,J640="경조사비",F640="임시보관",SUMIF($C$430:$C$729,C640,$D$430:$D$729)&lt;=39000)),OR(COUNTIF($A$8:$A$12,F640)=1,F640="결제대금비",AND(B640="U008",C640=208,J640="경조사비",F640="임시보관",SUMIF($C$430:$C$729,C640,$D$430:$D$729)&lt;=39000))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F641="결제대금비",AND(B641="U008",C641=223,J641="경조사비",F641="명절비"),AND(B641="U008",C641=208,J641="경조사비",F641="임시보관",SUMIF($C$430:$C$729,C641,$D$430:$D$729)&lt;=39000)),OR(COUNTIF($A$8:$A$12,F641)=1,F641="결제대금비",AND(B641="U008",C641=208,J641="경조사비",F641="임시보관",SUMIF($C$430:$C$729,C641,$D$430:$D$729)&lt;=39000))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F642="결제대금비",AND(B642="U008",C642=223,J642="경조사비",F642="명절비"),AND(B642="U008",C642=208,J642="경조사비",F642="임시보관",SUMIF($C$430:$C$729,C642,$D$430:$D$729)&lt;=39000)),OR(COUNTIF($A$8:$A$12,F642)=1,F642="결제대금비",AND(B642="U008",C642=208,J642="경조사비",F642="임시보관",SUMIF($C$430:$C$729,C642,$D$430:$D$729)&lt;=39000))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F643="결제대금비",AND(B643="U008",C643=223,J643="경조사비",F643="명절비"),AND(B643="U008",C643=208,J643="경조사비",F643="임시보관",SUMIF($C$430:$C$729,C643,$D$430:$D$729)&lt;=39000)),OR(COUNTIF($A$8:$A$12,F643)=1,F643="결제대금비",AND(B643="U008",C643=208,J643="경조사비",F643="임시보관",SUMIF($C$430:$C$729,C643,$D$430:$D$729)&lt;=39000))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F644="결제대금비",AND(B644="U008",C644=223,J644="경조사비",F644="명절비"),AND(B644="U008",C644=208,J644="경조사비",F644="임시보관",SUMIF($C$430:$C$729,C644,$D$430:$D$729)&lt;=39000)),OR(COUNTIF($A$8:$A$12,F644)=1,F644="결제대금비",AND(B644="U008",C644=208,J644="경조사비",F644="임시보관",SUMIF($C$430:$C$729,C644,$D$430:$D$729)&lt;=39000))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F645="결제대금비",AND(B645="U008",C645=223,J645="경조사비",F645="명절비"),AND(B645="U008",C645=208,J645="경조사비",F645="임시보관",SUMIF($C$430:$C$729,C645,$D$430:$D$729)&lt;=39000)),OR(COUNTIF($A$8:$A$12,F645)=1,F645="결제대금비",AND(B645="U008",C645=208,J645="경조사비",F645="임시보관",SUMIF($C$430:$C$729,C645,$D$430:$D$729)&lt;=39000))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F646="결제대금비",AND(B646="U008",C646=223,J646="경조사비",F646="명절비"),AND(B646="U008",C646=208,J646="경조사비",F646="임시보관",SUMIF($C$430:$C$729,C646,$D$430:$D$729)&lt;=39000)),OR(COUNTIF($A$8:$A$12,F646)=1,F646="결제대금비",AND(B646="U008",C646=208,J646="경조사비",F646="임시보관",SUMIF($C$430:$C$729,C646,$D$430:$D$729)&lt;=39000))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F647="결제대금비",AND(B647="U008",C647=223,J647="경조사비",F647="명절비"),AND(B647="U008",C647=208,J647="경조사비",F647="임시보관",SUMIF($C$430:$C$729,C647,$D$430:$D$729)&lt;=39000)),OR(COUNTIF($A$8:$A$12,F647)=1,F647="결제대금비",AND(B647="U008",C647=208,J647="경조사비",F647="임시보관",SUMIF($C$430:$C$729,C647,$D$430:$D$729)&lt;=39000))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F648="결제대금비",AND(B648="U008",C648=223,J648="경조사비",F648="명절비"),AND(B648="U008",C648=208,J648="경조사비",F648="임시보관",SUMIF($C$430:$C$729,C648,$D$430:$D$729)&lt;=39000)),OR(COUNTIF($A$8:$A$12,F648)=1,F648="결제대금비",AND(B648="U008",C648=208,J648="경조사비",F648="임시보관",SUMIF($C$430:$C$729,C648,$D$430:$D$729)&lt;=39000))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F649="결제대금비",AND(B649="U008",C649=223,J649="경조사비",F649="명절비"),AND(B649="U008",C649=208,J649="경조사비",F649="임시보관",SUMIF($C$430:$C$729,C649,$D$430:$D$729)&lt;=39000)),OR(COUNTIF($A$8:$A$12,F649)=1,F649="결제대금비",AND(B649="U008",C649=208,J649="경조사비",F649="임시보관",SUMIF($C$430:$C$729,C649,$D$430:$D$729)&lt;=39000))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F650="결제대금비",AND(B650="U008",C650=223,J650="경조사비",F650="명절비"),AND(B650="U008",C650=208,J650="경조사비",F650="임시보관",SUMIF($C$430:$C$729,C650,$D$430:$D$729)&lt;=39000)),OR(COUNTIF($A$8:$A$12,F650)=1,F650="결제대금비",AND(B650="U008",C650=208,J650="경조사비",F650="임시보관",SUMIF($C$430:$C$729,C650,$D$430:$D$729)&lt;=39000))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F651="결제대금비",AND(B651="U008",C651=223,J651="경조사비",F651="명절비"),AND(B651="U008",C651=208,J651="경조사비",F651="임시보관",SUMIF($C$430:$C$729,C651,$D$430:$D$729)&lt;=39000)),OR(COUNTIF($A$8:$A$12,F651)=1,F651="결제대금비",AND(B651="U008",C651=208,J651="경조사비",F651="임시보관",SUMIF($C$430:$C$729,C651,$D$430:$D$729)&lt;=39000))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F652="결제대금비",AND(B652="U008",C652=223,J652="경조사비",F652="명절비"),AND(B652="U008",C652=208,J652="경조사비",F652="임시보관",SUMIF($C$430:$C$729,C652,$D$430:$D$729)&lt;=39000)),OR(COUNTIF($A$8:$A$12,F652)=1,F652="결제대금비",AND(B652="U008",C652=208,J652="경조사비",F652="임시보관",SUMIF($C$430:$C$729,C652,$D$430:$D$729)&lt;=39000))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F653="결제대금비",AND(B653="U008",C653=223,J653="경조사비",F653="명절비"),AND(B653="U008",C653=208,J653="경조사비",F653="임시보관",SUMIF($C$430:$C$729,C653,$D$430:$D$729)&lt;=39000)),OR(COUNTIF($A$8:$A$12,F653)=1,F653="결제대금비",AND(B653="U008",C653=208,J653="경조사비",F653="임시보관",SUMIF($C$430:$C$729,C653,$D$430:$D$729)&lt;=39000))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F654="결제대금비",AND(B654="U008",C654=223,J654="경조사비",F654="명절비"),AND(B654="U008",C654=208,J654="경조사비",F654="임시보관",SUMIF($C$430:$C$729,C654,$D$430:$D$729)&lt;=39000)),OR(COUNTIF($A$8:$A$12,F654)=1,F654="결제대금비",AND(B654="U008",C654=208,J654="경조사비",F654="임시보관",SUMIF($C$430:$C$729,C654,$D$430:$D$729)&lt;=39000))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F655="결제대금비",AND(B655="U008",C655=223,J655="경조사비",F655="명절비"),AND(B655="U008",C655=208,J655="경조사비",F655="임시보관",SUMIF($C$430:$C$729,C655,$D$430:$D$729)&lt;=39000)),OR(COUNTIF($A$8:$A$12,F655)=1,F655="결제대금비",AND(B655="U008",C655=208,J655="경조사비",F655="임시보관",SUMIF($C$430:$C$729,C655,$D$430:$D$729)&lt;=39000))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F656="결제대금비",AND(B656="U008",C656=223,J656="경조사비",F656="명절비"),AND(B656="U008",C656=208,J656="경조사비",F656="임시보관",SUMIF($C$430:$C$729,C656,$D$430:$D$729)&lt;=39000)),OR(COUNTIF($A$8:$A$12,F656)=1,F656="결제대금비",AND(B656="U008",C656=208,J656="경조사비",F656="임시보관",SUMIF($C$430:$C$729,C656,$D$430:$D$729)&lt;=39000))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F657="결제대금비",AND(B657="U008",C657=223,J657="경조사비",F657="명절비"),AND(B657="U008",C657=208,J657="경조사비",F657="임시보관",SUMIF($C$430:$C$729,C657,$D$430:$D$729)&lt;=39000)),OR(COUNTIF($A$8:$A$12,F657)=1,F657="결제대금비",AND(B657="U008",C657=208,J657="경조사비",F657="임시보관",SUMIF($C$430:$C$729,C657,$D$430:$D$729)&lt;=39000))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F658="결제대금비",AND(B658="U008",C658=223,J658="경조사비",F658="명절비"),AND(B658="U008",C658=208,J658="경조사비",F658="임시보관",SUMIF($C$430:$C$729,C658,$D$430:$D$729)&lt;=39000)),OR(COUNTIF($A$8:$A$12,F658)=1,F658="결제대금비",AND(B658="U008",C658=208,J658="경조사비",F658="임시보관",SUMIF($C$430:$C$729,C658,$D$430:$D$729)&lt;=39000))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F659="결제대금비",AND(B659="U008",C659=223,J659="경조사비",F659="명절비"),AND(B659="U008",C659=208,J659="경조사비",F659="임시보관",SUMIF($C$430:$C$729,C659,$D$430:$D$729)&lt;=39000)),OR(COUNTIF($A$8:$A$12,F659)=1,F659="결제대금비",AND(B659="U008",C659=208,J659="경조사비",F659="임시보관",SUMIF($C$430:$C$729,C659,$D$430:$D$729)&lt;=39000))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F660="결제대금비",AND(B660="U008",C660=223,J660="경조사비",F660="명절비"),AND(B660="U008",C660=208,J660="경조사비",F660="임시보관",SUMIF($C$430:$C$729,C660,$D$430:$D$729)&lt;=39000)),OR(COUNTIF($A$8:$A$12,F660)=1,F660="결제대금비",AND(B660="U008",C660=208,J660="경조사비",F660="임시보관",SUMIF($C$430:$C$729,C660,$D$430:$D$729)&lt;=39000))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F661="결제대금비",AND(B661="U008",C661=223,J661="경조사비",F661="명절비"),AND(B661="U008",C661=208,J661="경조사비",F661="임시보관",SUMIF($C$430:$C$729,C661,$D$430:$D$729)&lt;=39000)),OR(COUNTIF($A$8:$A$12,F661)=1,F661="결제대금비",AND(B661="U008",C661=208,J661="경조사비",F661="임시보관",SUMIF($C$430:$C$729,C661,$D$430:$D$729)&lt;=39000))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F662="결제대금비",AND(B662="U008",C662=223,J662="경조사비",F662="명절비"),AND(B662="U008",C662=208,J662="경조사비",F662="임시보관",SUMIF($C$430:$C$729,C662,$D$430:$D$729)&lt;=39000)),OR(COUNTIF($A$8:$A$12,F662)=1,F662="결제대금비",AND(B662="U008",C662=208,J662="경조사비",F662="임시보관",SUMIF($C$430:$C$729,C662,$D$430:$D$729)&lt;=39000))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F663="결제대금비",AND(B663="U008",C663=223,J663="경조사비",F663="명절비"),AND(B663="U008",C663=208,J663="경조사비",F663="임시보관",SUMIF($C$430:$C$729,C663,$D$430:$D$729)&lt;=39000)),OR(COUNTIF($A$8:$A$12,F663)=1,F663="결제대금비",AND(B663="U008",C663=208,J663="경조사비",F663="임시보관",SUMIF($C$430:$C$729,C663,$D$430:$D$729)&lt;=39000))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F664="결제대금비",AND(B664="U008",C664=223,J664="경조사비",F664="명절비"),AND(B664="U008",C664=208,J664="경조사비",F664="임시보관",SUMIF($C$430:$C$729,C664,$D$430:$D$729)&lt;=39000)),OR(COUNTIF($A$8:$A$12,F664)=1,F664="결제대금비",AND(B664="U008",C664=208,J664="경조사비",F664="임시보관",SUMIF($C$430:$C$729,C664,$D$430:$D$729)&lt;=39000))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F665="결제대금비",AND(B665="U008",C665=223,J665="경조사비",F665="명절비"),AND(B665="U008",C665=208,J665="경조사비",F665="임시보관",SUMIF($C$430:$C$729,C665,$D$430:$D$729)&lt;=39000)),OR(COUNTIF($A$8:$A$12,F665)=1,F665="결제대금비",AND(B665="U008",C665=208,J665="경조사비",F665="임시보관",SUMIF($C$430:$C$729,C665,$D$430:$D$729)&lt;=39000))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F666="결제대금비",AND(B666="U008",C666=223,J666="경조사비",F666="명절비"),AND(B666="U008",C666=208,J666="경조사비",F666="임시보관",SUMIF($C$430:$C$729,C666,$D$430:$D$729)&lt;=39000)),OR(COUNTIF($A$8:$A$12,F666)=1,F666="결제대금비",AND(B666="U008",C666=208,J666="경조사비",F666="임시보관",SUMIF($C$430:$C$729,C666,$D$430:$D$729)&lt;=39000))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F667="결제대금비",AND(B667="U008",C667=223,J667="경조사비",F667="명절비"),AND(B667="U008",C667=208,J667="경조사비",F667="임시보관",SUMIF($C$430:$C$729,C667,$D$430:$D$729)&lt;=39000)),OR(COUNTIF($A$8:$A$12,F667)=1,F667="결제대금비",AND(B667="U008",C667=208,J667="경조사비",F667="임시보관",SUMIF($C$430:$C$729,C667,$D$430:$D$729)&lt;=39000))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F668="결제대금비",AND(B668="U008",C668=223,J668="경조사비",F668="명절비"),AND(B668="U008",C668=208,J668="경조사비",F668="임시보관",SUMIF($C$430:$C$729,C668,$D$430:$D$729)&lt;=39000)),OR(COUNTIF($A$8:$A$12,F668)=1,F668="결제대금비",AND(B668="U008",C668=208,J668="경조사비",F668="임시보관",SUMIF($C$430:$C$729,C668,$D$430:$D$729)&lt;=39000))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F669="결제대금비",AND(B669="U008",C669=223,J669="경조사비",F669="명절비"),AND(B669="U008",C669=208,J669="경조사비",F669="임시보관",SUMIF($C$430:$C$729,C669,$D$430:$D$729)&lt;=39000)),OR(COUNTIF($A$8:$A$12,F669)=1,F669="결제대금비",AND(B669="U008",C669=208,J669="경조사비",F669="임시보관",SUMIF($C$430:$C$729,C669,$D$430:$D$729)&lt;=39000))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F670="결제대금비",AND(B670="U008",C670=223,J670="경조사비",F670="명절비"),AND(B670="U008",C670=208,J670="경조사비",F670="임시보관",SUMIF($C$430:$C$729,C670,$D$430:$D$729)&lt;=39000)),OR(COUNTIF($A$8:$A$12,F670)=1,F670="결제대금비",AND(B670="U008",C670=208,J670="경조사비",F670="임시보관",SUMIF($C$430:$C$729,C670,$D$430:$D$729)&lt;=39000))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F671="결제대금비",AND(B671="U008",C671=223,J671="경조사비",F671="명절비"),AND(B671="U008",C671=208,J671="경조사비",F671="임시보관",SUMIF($C$430:$C$729,C671,$D$430:$D$729)&lt;=39000)),OR(COUNTIF($A$8:$A$12,F671)=1,F671="결제대금비",AND(B671="U008",C671=208,J671="경조사비",F671="임시보관",SUMIF($C$430:$C$729,C671,$D$430:$D$729)&lt;=39000))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F672="결제대금비",AND(B672="U008",C672=223,J672="경조사비",F672="명절비"),AND(B672="U008",C672=208,J672="경조사비",F672="임시보관",SUMIF($C$430:$C$729,C672,$D$430:$D$729)&lt;=39000)),OR(COUNTIF($A$8:$A$12,F672)=1,F672="결제대금비",AND(B672="U008",C672=208,J672="경조사비",F672="임시보관",SUMIF($C$430:$C$729,C672,$D$430:$D$729)&lt;=39000))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F673="결제대금비",AND(B673="U008",C673=223,J673="경조사비",F673="명절비"),AND(B673="U008",C673=208,J673="경조사비",F673="임시보관",SUMIF($C$430:$C$729,C673,$D$430:$D$729)&lt;=39000)),OR(COUNTIF($A$8:$A$12,F673)=1,F673="결제대금비",AND(B673="U008",C673=208,J673="경조사비",F673="임시보관",SUMIF($C$430:$C$729,C673,$D$430:$D$729)&lt;=39000))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F674="결제대금비",AND(B674="U008",C674=223,J674="경조사비",F674="명절비"),AND(B674="U008",C674=208,J674="경조사비",F674="임시보관",SUMIF($C$430:$C$729,C674,$D$430:$D$729)&lt;=39000)),OR(COUNTIF($A$8:$A$12,F674)=1,F674="결제대금비",AND(B674="U008",C674=208,J674="경조사비",F674="임시보관",SUMIF($C$430:$C$729,C674,$D$430:$D$729)&lt;=39000))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F675="결제대금비",AND(B675="U008",C675=223,J675="경조사비",F675="명절비"),AND(B675="U008",C675=208,J675="경조사비",F675="임시보관",SUMIF($C$430:$C$729,C675,$D$430:$D$729)&lt;=39000)),OR(COUNTIF($A$8:$A$12,F675)=1,F675="결제대금비",AND(B675="U008",C675=208,J675="경조사비",F675="임시보관",SUMIF($C$430:$C$729,C675,$D$430:$D$729)&lt;=39000))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F676="결제대금비",AND(B676="U008",C676=223,J676="경조사비",F676="명절비"),AND(B676="U008",C676=208,J676="경조사비",F676="임시보관",SUMIF($C$430:$C$729,C676,$D$430:$D$729)&lt;=39000)),OR(COUNTIF($A$8:$A$12,F676)=1,F676="결제대금비",AND(B676="U008",C676=208,J676="경조사비",F676="임시보관",SUMIF($C$430:$C$729,C676,$D$430:$D$729)&lt;=39000))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F677="결제대금비",AND(B677="U008",C677=223,J677="경조사비",F677="명절비"),AND(B677="U008",C677=208,J677="경조사비",F677="임시보관",SUMIF($C$430:$C$729,C677,$D$430:$D$729)&lt;=39000)),OR(COUNTIF($A$8:$A$12,F677)=1,F677="결제대금비",AND(B677="U008",C677=208,J677="경조사비",F677="임시보관",SUMIF($C$430:$C$729,C677,$D$430:$D$729)&lt;=39000))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F678="결제대금비",AND(B678="U008",C678=223,J678="경조사비",F678="명절비"),AND(B678="U008",C678=208,J678="경조사비",F678="임시보관",SUMIF($C$430:$C$729,C678,$D$430:$D$729)&lt;=39000)),OR(COUNTIF($A$8:$A$12,F678)=1,F678="결제대금비",AND(B678="U008",C678=208,J678="경조사비",F678="임시보관",SUMIF($C$430:$C$729,C678,$D$430:$D$729)&lt;=39000))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F679="결제대금비",AND(B679="U008",C679=223,J679="경조사비",F679="명절비"),AND(B679="U008",C679=208,J679="경조사비",F679="임시보관",SUMIF($C$430:$C$729,C679,$D$430:$D$729)&lt;=39000)),OR(COUNTIF($A$8:$A$12,F679)=1,F679="결제대금비",AND(B679="U008",C679=208,J679="경조사비",F679="임시보관",SUMIF($C$430:$C$729,C679,$D$430:$D$729)&lt;=39000))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F680="결제대금비",AND(B680="U008",C680=223,J680="경조사비",F680="명절비"),AND(B680="U008",C680=208,J680="경조사비",F680="임시보관",SUMIF($C$430:$C$729,C680,$D$430:$D$729)&lt;=39000)),OR(COUNTIF($A$8:$A$12,F680)=1,F680="결제대금비",AND(B680="U008",C680=208,J680="경조사비",F680="임시보관",SUMIF($C$430:$C$729,C680,$D$430:$D$729)&lt;=39000))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F681="결제대금비",AND(B681="U008",C681=223,J681="경조사비",F681="명절비"),AND(B681="U008",C681=208,J681="경조사비",F681="임시보관",SUMIF($C$430:$C$729,C681,$D$430:$D$729)&lt;=39000)),OR(COUNTIF($A$8:$A$12,F681)=1,F681="결제대금비",AND(B681="U008",C681=208,J681="경조사비",F681="임시보관",SUMIF($C$430:$C$729,C681,$D$430:$D$729)&lt;=39000))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F682="결제대금비",AND(B682="U008",C682=223,J682="경조사비",F682="명절비"),AND(B682="U008",C682=208,J682="경조사비",F682="임시보관",SUMIF($C$430:$C$729,C682,$D$430:$D$729)&lt;=39000)),OR(COUNTIF($A$8:$A$12,F682)=1,F682="결제대금비",AND(B682="U008",C682=208,J682="경조사비",F682="임시보관",SUMIF($C$430:$C$729,C682,$D$430:$D$729)&lt;=39000))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F683="결제대금비",AND(B683="U008",C683=223,J683="경조사비",F683="명절비"),AND(B683="U008",C683=208,J683="경조사비",F683="임시보관",SUMIF($C$430:$C$729,C683,$D$430:$D$729)&lt;=39000)),OR(COUNTIF($A$8:$A$12,F683)=1,F683="결제대금비",AND(B683="U008",C683=208,J683="경조사비",F683="임시보관",SUMIF($C$430:$C$729,C683,$D$430:$D$729)&lt;=39000))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F684="결제대금비",AND(B684="U008",C684=223,J684="경조사비",F684="명절비"),AND(B684="U008",C684=208,J684="경조사비",F684="임시보관",SUMIF($C$430:$C$729,C684,$D$430:$D$729)&lt;=39000)),OR(COUNTIF($A$8:$A$12,F684)=1,F684="결제대금비",AND(B684="U008",C684=208,J684="경조사비",F684="임시보관",SUMIF($C$430:$C$729,C684,$D$430:$D$729)&lt;=39000))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F685="결제대금비",AND(B685="U008",C685=223,J685="경조사비",F685="명절비"),AND(B685="U008",C685=208,J685="경조사비",F685="임시보관",SUMIF($C$430:$C$729,C685,$D$430:$D$729)&lt;=39000)),OR(COUNTIF($A$8:$A$12,F685)=1,F685="결제대금비",AND(B685="U008",C685=208,J685="경조사비",F685="임시보관",SUMIF($C$430:$C$729,C685,$D$430:$D$729)&lt;=39000))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F686="결제대금비",AND(B686="U008",C686=223,J686="경조사비",F686="명절비"),AND(B686="U008",C686=208,J686="경조사비",F686="임시보관",SUMIF($C$430:$C$729,C686,$D$430:$D$729)&lt;=39000)),OR(COUNTIF($A$8:$A$12,F686)=1,F686="결제대금비",AND(B686="U008",C686=208,J686="경조사비",F686="임시보관",SUMIF($C$430:$C$729,C686,$D$430:$D$729)&lt;=39000))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F687="결제대금비",AND(B687="U008",C687=223,J687="경조사비",F687="명절비"),AND(B687="U008",C687=208,J687="경조사비",F687="임시보관",SUMIF($C$430:$C$729,C687,$D$430:$D$729)&lt;=39000)),OR(COUNTIF($A$8:$A$12,F687)=1,F687="결제대금비",AND(B687="U008",C687=208,J687="경조사비",F687="임시보관",SUMIF($C$430:$C$729,C687,$D$430:$D$729)&lt;=39000))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F688="결제대금비",AND(B688="U008",C688=223,J688="경조사비",F688="명절비"),AND(B688="U008",C688=208,J688="경조사비",F688="임시보관",SUMIF($C$430:$C$729,C688,$D$430:$D$729)&lt;=39000)),OR(COUNTIF($A$8:$A$12,F688)=1,F688="결제대금비",AND(B688="U008",C688=208,J688="경조사비",F688="임시보관",SUMIF($C$430:$C$729,C688,$D$430:$D$729)&lt;=39000))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F689="결제대금비",AND(B689="U008",C689=223,J689="경조사비",F689="명절비"),AND(B689="U008",C689=208,J689="경조사비",F689="임시보관",SUMIF($C$430:$C$729,C689,$D$430:$D$729)&lt;=39000)),OR(COUNTIF($A$8:$A$12,F689)=1,F689="결제대금비",AND(B689="U008",C689=208,J689="경조사비",F689="임시보관",SUMIF($C$430:$C$729,C689,$D$430:$D$729)&lt;=39000))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F690="결제대금비",AND(B690="U008",C690=223,J690="경조사비",F690="명절비"),AND(B690="U008",C690=208,J690="경조사비",F690="임시보관",SUMIF($C$430:$C$729,C690,$D$430:$D$729)&lt;=39000)),OR(COUNTIF($A$8:$A$12,F690)=1,F690="결제대금비",AND(B690="U008",C690=208,J690="경조사비",F690="임시보관",SUMIF($C$430:$C$729,C690,$D$430:$D$729)&lt;=39000))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F691="결제대금비",AND(B691="U008",C691=223,J691="경조사비",F691="명절비"),AND(B691="U008",C691=208,J691="경조사비",F691="임시보관",SUMIF($C$430:$C$729,C691,$D$430:$D$729)&lt;=39000)),OR(COUNTIF($A$8:$A$12,F691)=1,F691="결제대금비",AND(B691="U008",C691=208,J691="경조사비",F691="임시보관",SUMIF($C$430:$C$729,C691,$D$430:$D$729)&lt;=39000))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F692="결제대금비",AND(B692="U008",C692=223,J692="경조사비",F692="명절비"),AND(B692="U008",C692=208,J692="경조사비",F692="임시보관",SUMIF($C$430:$C$729,C692,$D$430:$D$729)&lt;=39000)),OR(COUNTIF($A$8:$A$12,F692)=1,F692="결제대금비",AND(B692="U008",C692=208,J692="경조사비",F692="임시보관",SUMIF($C$430:$C$729,C692,$D$430:$D$729)&lt;=39000))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F693="결제대금비",AND(B693="U008",C693=223,J693="경조사비",F693="명절비"),AND(B693="U008",C693=208,J693="경조사비",F693="임시보관",SUMIF($C$430:$C$729,C693,$D$430:$D$729)&lt;=39000)),OR(COUNTIF($A$8:$A$12,F693)=1,F693="결제대금비",AND(B693="U008",C693=208,J693="경조사비",F693="임시보관",SUMIF($C$430:$C$729,C693,$D$430:$D$729)&lt;=39000))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F694="결제대금비",AND(B694="U008",C694=223,J694="경조사비",F694="명절비"),AND(B694="U008",C694=208,J694="경조사비",F694="임시보관",SUMIF($C$430:$C$729,C694,$D$430:$D$729)&lt;=39000)),OR(COUNTIF($A$8:$A$12,F694)=1,F694="결제대금비",AND(B694="U008",C694=208,J694="경조사비",F694="임시보관",SUMIF($C$430:$C$729,C694,$D$430:$D$729)&lt;=39000))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F695="결제대금비",AND(B695="U008",C695=223,J695="경조사비",F695="명절비"),AND(B695="U008",C695=208,J695="경조사비",F695="임시보관",SUMIF($C$430:$C$729,C695,$D$430:$D$729)&lt;=39000)),OR(COUNTIF($A$8:$A$12,F695)=1,F695="결제대금비",AND(B695="U008",C695=208,J695="경조사비",F695="임시보관",SUMIF($C$430:$C$729,C695,$D$430:$D$729)&lt;=39000))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F696="결제대금비",AND(B696="U008",C696=223,J696="경조사비",F696="명절비"),AND(B696="U008",C696=208,J696="경조사비",F696="임시보관",SUMIF($C$430:$C$729,C696,$D$430:$D$729)&lt;=39000)),OR(COUNTIF($A$8:$A$12,F696)=1,F696="결제대금비",AND(B696="U008",C696=208,J696="경조사비",F696="임시보관",SUMIF($C$430:$C$729,C696,$D$430:$D$729)&lt;=39000))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F697="결제대금비",AND(B697="U008",C697=223,J697="경조사비",F697="명절비"),AND(B697="U008",C697=208,J697="경조사비",F697="임시보관",SUMIF($C$430:$C$729,C697,$D$430:$D$729)&lt;=39000)),OR(COUNTIF($A$8:$A$12,F697)=1,F697="결제대금비",AND(B697="U008",C697=208,J697="경조사비",F697="임시보관",SUMIF($C$430:$C$729,C697,$D$430:$D$729)&lt;=39000))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F698="결제대금비",AND(B698="U008",C698=223,J698="경조사비",F698="명절비"),AND(B698="U008",C698=208,J698="경조사비",F698="임시보관",SUMIF($C$430:$C$729,C698,$D$430:$D$729)&lt;=39000)),OR(COUNTIF($A$8:$A$12,F698)=1,F698="결제대금비",AND(B698="U008",C698=208,J698="경조사비",F698="임시보관",SUMIF($C$430:$C$729,C698,$D$430:$D$729)&lt;=39000))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F699="결제대금비",AND(B699="U008",C699=223,J699="경조사비",F699="명절비"),AND(B699="U008",C699=208,J699="경조사비",F699="임시보관",SUMIF($C$430:$C$729,C699,$D$430:$D$729)&lt;=39000)),OR(COUNTIF($A$8:$A$12,F699)=1,F699="결제대금비",AND(B699="U008",C699=208,J699="경조사비",F699="임시보관",SUMIF($C$430:$C$729,C699,$D$430:$D$729)&lt;=39000))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F700="결제대금비",AND(B700="U008",C700=223,J700="경조사비",F700="명절비"),AND(B700="U008",C700=208,J700="경조사비",F700="임시보관",SUMIF($C$430:$C$729,C700,$D$430:$D$729)&lt;=39000)),OR(COUNTIF($A$8:$A$12,F700)=1,F700="결제대금비",AND(B700="U008",C700=208,J700="경조사비",F700="임시보관",SUMIF($C$430:$C$729,C700,$D$430:$D$729)&lt;=39000))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F701="결제대금비",AND(B701="U008",C701=223,J701="경조사비",F701="명절비"),AND(B701="U008",C701=208,J701="경조사비",F701="임시보관",SUMIF($C$430:$C$729,C701,$D$430:$D$729)&lt;=39000)),OR(COUNTIF($A$8:$A$12,F701)=1,F701="결제대금비",AND(B701="U008",C701=208,J701="경조사비",F701="임시보관",SUMIF($C$430:$C$729,C701,$D$430:$D$729)&lt;=39000))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F702="결제대금비",AND(B702="U008",C702=223,J702="경조사비",F702="명절비"),AND(B702="U008",C702=208,J702="경조사비",F702="임시보관",SUMIF($C$430:$C$729,C702,$D$430:$D$729)&lt;=39000)),OR(COUNTIF($A$8:$A$12,F702)=1,F702="결제대금비",AND(B702="U008",C702=208,J702="경조사비",F702="임시보관",SUMIF($C$430:$C$729,C702,$D$430:$D$729)&lt;=39000))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F703="결제대금비",AND(B703="U008",C703=223,J703="경조사비",F703="명절비"),AND(B703="U008",C703=208,J703="경조사비",F703="임시보관",SUMIF($C$430:$C$729,C703,$D$430:$D$729)&lt;=39000)),OR(COUNTIF($A$8:$A$12,F703)=1,F703="결제대금비",AND(B703="U008",C703=208,J703="경조사비",F703="임시보관",SUMIF($C$430:$C$729,C703,$D$430:$D$729)&lt;=39000))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F704="결제대금비",AND(B704="U008",C704=223,J704="경조사비",F704="명절비"),AND(B704="U008",C704=208,J704="경조사비",F704="임시보관",SUMIF($C$430:$C$729,C704,$D$430:$D$729)&lt;=39000)),OR(COUNTIF($A$8:$A$12,F704)=1,F704="결제대금비",AND(B704="U008",C704=208,J704="경조사비",F704="임시보관",SUMIF($C$430:$C$729,C704,$D$430:$D$729)&lt;=39000))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F705="결제대금비",AND(B705="U008",C705=223,J705="경조사비",F705="명절비"),AND(B705="U008",C705=208,J705="경조사비",F705="임시보관",SUMIF($C$430:$C$729,C705,$D$430:$D$729)&lt;=39000)),OR(COUNTIF($A$8:$A$12,F705)=1,F705="결제대금비",AND(B705="U008",C705=208,J705="경조사비",F705="임시보관",SUMIF($C$430:$C$729,C705,$D$430:$D$729)&lt;=39000))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F706="결제대금비",AND(B706="U008",C706=223,J706="경조사비",F706="명절비"),AND(B706="U008",C706=208,J706="경조사비",F706="임시보관",SUMIF($C$430:$C$729,C706,$D$430:$D$729)&lt;=39000)),OR(COUNTIF($A$8:$A$12,F706)=1,F706="결제대금비",AND(B706="U008",C706=208,J706="경조사비",F706="임시보관",SUMIF($C$430:$C$729,C706,$D$430:$D$729)&lt;=39000))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F707="결제대금비",AND(B707="U008",C707=223,J707="경조사비",F707="명절비"),AND(B707="U008",C707=208,J707="경조사비",F707="임시보관",SUMIF($C$430:$C$729,C707,$D$430:$D$729)&lt;=39000)),OR(COUNTIF($A$8:$A$12,F707)=1,F707="결제대금비",AND(B707="U008",C707=208,J707="경조사비",F707="임시보관",SUMIF($C$430:$C$729,C707,$D$430:$D$729)&lt;=39000))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F708="결제대금비",AND(B708="U008",C708=223,J708="경조사비",F708="명절비"),AND(B708="U008",C708=208,J708="경조사비",F708="임시보관",SUMIF($C$430:$C$729,C708,$D$430:$D$729)&lt;=39000)),OR(COUNTIF($A$8:$A$12,F708)=1,F708="결제대금비",AND(B708="U008",C708=208,J708="경조사비",F708="임시보관",SUMIF($C$430:$C$729,C708,$D$430:$D$729)&lt;=39000))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F709="결제대금비",AND(B709="U008",C709=223,J709="경조사비",F709="명절비"),AND(B709="U008",C709=208,J709="경조사비",F709="임시보관",SUMIF($C$430:$C$729,C709,$D$430:$D$729)&lt;=39000)),OR(COUNTIF($A$8:$A$12,F709)=1,F709="결제대금비",AND(B709="U008",C709=208,J709="경조사비",F709="임시보관",SUMIF($C$430:$C$729,C709,$D$430:$D$729)&lt;=39000))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F710="결제대금비",AND(B710="U008",C710=223,J710="경조사비",F710="명절비"),AND(B710="U008",C710=208,J710="경조사비",F710="임시보관",SUMIF($C$430:$C$729,C710,$D$430:$D$729)&lt;=39000)),OR(COUNTIF($A$8:$A$12,F710)=1,F710="결제대금비",AND(B710="U008",C710=208,J710="경조사비",F710="임시보관",SUMIF($C$430:$C$729,C710,$D$430:$D$729)&lt;=39000))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F711="결제대금비",AND(B711="U008",C711=223,J711="경조사비",F711="명절비"),AND(B711="U008",C711=208,J711="경조사비",F711="임시보관",SUMIF($C$430:$C$729,C711,$D$430:$D$729)&lt;=39000)),OR(COUNTIF($A$8:$A$12,F711)=1,F711="결제대금비",AND(B711="U008",C711=208,J711="경조사비",F711="임시보관",SUMIF($C$430:$C$729,C711,$D$430:$D$729)&lt;=39000))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F712="결제대금비",AND(B712="U008",C712=223,J712="경조사비",F712="명절비"),AND(B712="U008",C712=208,J712="경조사비",F712="임시보관",SUMIF($C$430:$C$729,C712,$D$430:$D$729)&lt;=39000)),OR(COUNTIF($A$8:$A$12,F712)=1,F712="결제대금비",AND(B712="U008",C712=208,J712="경조사비",F712="임시보관",SUMIF($C$430:$C$729,C712,$D$430:$D$729)&lt;=39000))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F713="결제대금비",AND(B713="U008",C713=223,J713="경조사비",F713="명절비"),AND(B713="U008",C713=208,J713="경조사비",F713="임시보관",SUMIF($C$430:$C$729,C713,$D$430:$D$729)&lt;=39000)),OR(COUNTIF($A$8:$A$12,F713)=1,F713="결제대금비",AND(B713="U008",C713=208,J713="경조사비",F713="임시보관",SUMIF($C$430:$C$729,C713,$D$430:$D$729)&lt;=39000))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F714="결제대금비",AND(B714="U008",C714=223,J714="경조사비",F714="명절비"),AND(B714="U008",C714=208,J714="경조사비",F714="임시보관",SUMIF($C$430:$C$729,C714,$D$430:$D$729)&lt;=39000)),OR(COUNTIF($A$8:$A$12,F714)=1,F714="결제대금비",AND(B714="U008",C714=208,J714="경조사비",F714="임시보관",SUMIF($C$430:$C$729,C714,$D$430:$D$729)&lt;=39000))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F715="결제대금비",AND(B715="U008",C715=223,J715="경조사비",F715="명절비"),AND(B715="U008",C715=208,J715="경조사비",F715="임시보관",SUMIF($C$430:$C$729,C715,$D$430:$D$729)&lt;=39000)),OR(COUNTIF($A$8:$A$12,F715)=1,F715="결제대금비",AND(B715="U008",C715=208,J715="경조사비",F715="임시보관",SUMIF($C$430:$C$729,C715,$D$430:$D$729)&lt;=39000))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F716="결제대금비",AND(B716="U008",C716=223,J716="경조사비",F716="명절비"),AND(B716="U008",C716=208,J716="경조사비",F716="임시보관",SUMIF($C$430:$C$729,C716,$D$430:$D$729)&lt;=39000)),OR(COUNTIF($A$8:$A$12,F716)=1,F716="결제대금비",AND(B716="U008",C716=208,J716="경조사비",F716="임시보관",SUMIF($C$430:$C$729,C716,$D$430:$D$729)&lt;=39000))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F717="결제대금비",AND(B717="U008",C717=223,J717="경조사비",F717="명절비"),AND(B717="U008",C717=208,J717="경조사비",F717="임시보관",SUMIF($C$430:$C$729,C717,$D$430:$D$729)&lt;=39000)),OR(COUNTIF($A$8:$A$12,F717)=1,F717="결제대금비",AND(B717="U008",C717=208,J717="경조사비",F717="임시보관",SUMIF($C$430:$C$729,C717,$D$430:$D$729)&lt;=39000))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F718="결제대금비",AND(B718="U008",C718=223,J718="경조사비",F718="명절비"),AND(B718="U008",C718=208,J718="경조사비",F718="임시보관",SUMIF($C$430:$C$729,C718,$D$430:$D$729)&lt;=39000)),OR(COUNTIF($A$8:$A$12,F718)=1,F718="결제대금비",AND(B718="U008",C718=208,J718="경조사비",F718="임시보관",SUMIF($C$430:$C$729,C718,$D$430:$D$729)&lt;=39000))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F719="결제대금비",AND(B719="U008",C719=223,J719="경조사비",F719="명절비"),AND(B719="U008",C719=208,J719="경조사비",F719="임시보관",SUMIF($C$430:$C$729,C719,$D$430:$D$729)&lt;=39000)),OR(COUNTIF($A$8:$A$12,F719)=1,F719="결제대금비",AND(B719="U008",C719=208,J719="경조사비",F719="임시보관",SUMIF($C$430:$C$729,C719,$D$430:$D$729)&lt;=39000))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F720="결제대금비",AND(B720="U008",C720=223,J720="경조사비",F720="명절비"),AND(B720="U008",C720=208,J720="경조사비",F720="임시보관",SUMIF($C$430:$C$729,C720,$D$430:$D$729)&lt;=39000)),OR(COUNTIF($A$8:$A$12,F720)=1,F720="결제대금비",AND(B720="U008",C720=208,J720="경조사비",F720="임시보관",SUMIF($C$430:$C$729,C720,$D$430:$D$729)&lt;=39000))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F721="결제대금비",AND(B721="U008",C721=223,J721="경조사비",F721="명절비"),AND(B721="U008",C721=208,J721="경조사비",F721="임시보관",SUMIF($C$430:$C$729,C721,$D$430:$D$729)&lt;=39000)),OR(COUNTIF($A$8:$A$12,F721)=1,F721="결제대금비",AND(B721="U008",C721=208,J721="경조사비",F721="임시보관",SUMIF($C$430:$C$729,C721,$D$430:$D$729)&lt;=39000))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F722="결제대금비",AND(B722="U008",C722=223,J722="경조사비",F722="명절비"),AND(B722="U008",C722=208,J722="경조사비",F722="임시보관",SUMIF($C$430:$C$729,C722,$D$430:$D$729)&lt;=39000)),OR(COUNTIF($A$8:$A$12,F722)=1,F722="결제대금비",AND(B722="U008",C722=208,J722="경조사비",F722="임시보관",SUMIF($C$430:$C$729,C722,$D$430:$D$729)&lt;=39000))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F723="결제대금비",AND(B723="U008",C723=223,J723="경조사비",F723="명절비"),AND(B723="U008",C723=208,J723="경조사비",F723="임시보관",SUMIF($C$430:$C$729,C723,$D$430:$D$729)&lt;=39000)),OR(COUNTIF($A$8:$A$12,F723)=1,F723="결제대금비",AND(B723="U008",C723=208,J723="경조사비",F723="임시보관",SUMIF($C$430:$C$729,C723,$D$430:$D$729)&lt;=39000))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F724="결제대금비",AND(B724="U008",C724=223,J724="경조사비",F724="명절비"),AND(B724="U008",C724=208,J724="경조사비",F724="임시보관",SUMIF($C$430:$C$729,C724,$D$430:$D$729)&lt;=39000)),OR(COUNTIF($A$8:$A$12,F724)=1,F724="결제대금비",AND(B724="U008",C724=208,J724="경조사비",F724="임시보관",SUMIF($C$430:$C$729,C724,$D$430:$D$729)&lt;=39000))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F725="결제대금비",AND(B725="U008",C725=223,J725="경조사비",F725="명절비"),AND(B725="U008",C725=208,J725="경조사비",F725="임시보관",SUMIF($C$430:$C$729,C725,$D$430:$D$729)&lt;=39000)),OR(COUNTIF($A$8:$A$12,F725)=1,F725="결제대금비",AND(B725="U008",C725=208,J725="경조사비",F725="임시보관",SUMIF($C$430:$C$729,C725,$D$430:$D$729)&lt;=39000))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F726="결제대금비",AND(B726="U008",C726=223,J726="경조사비",F726="명절비"),AND(B726="U008",C726=208,J726="경조사비",F726="임시보관",SUMIF($C$430:$C$729,C726,$D$430:$D$729)&lt;=39000)),OR(COUNTIF($A$8:$A$12,F726)=1,F726="결제대금비",AND(B726="U008",C726=208,J726="경조사비",F726="임시보관",SUMIF($C$430:$C$729,C726,$D$430:$D$729)&lt;=39000))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F727="결제대금비",AND(B727="U008",C727=223,J727="경조사비",F727="명절비"),AND(B727="U008",C727=208,J727="경조사비",F727="임시보관",SUMIF($C$430:$C$729,C727,$D$430:$D$729)&lt;=39000)),OR(COUNTIF($A$8:$A$12,F727)=1,F727="결제대금비",AND(B727="U008",C727=208,J727="경조사비",F727="임시보관",SUMIF($C$430:$C$729,C727,$D$430:$D$729)&lt;=39000))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F728="결제대금비",AND(B728="U008",C728=223,J728="경조사비",F728="명절비"),AND(B728="U008",C728=208,J728="경조사비",F728="임시보관",SUMIF($C$430:$C$729,C728,$D$430:$D$729)&lt;=39000)),OR(COUNTIF($A$8:$A$12,F728)=1,F728="결제대금비",AND(B728="U008",C728=208,J728="경조사비",F728="임시보관",SUMIF($C$430:$C$729,C728,$D$430:$D$729)&lt;=39000))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F729="결제대금비",AND(B729="U008",C729=223,J729="경조사비",F729="명절비"),AND(B729="U008",C729=208,J729="경조사비",F729="임시보관",SUMIF($C$430:$C$729,C729,$D$430:$D$729)&lt;=39000)),OR(COUNTIF($A$8:$A$12,F729)=1,F729="결제대금비",AND(B729="U008",C729=208,J729="경조사비",F729="임시보관",SUMIF($C$430:$C$729,C729,$D$430:$D$729)&lt;=39000))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198">
    <mergeCell ref="A79:O79"/>
    <mergeCell ref="D70:E70"/>
    <mergeCell ref="A76:O76"/>
    <mergeCell ref="M50:O50"/>
    <mergeCell ref="K45:L45"/>
    <mergeCell ref="M51:O51"/>
    <mergeCell ref="B71:C71"/>
    <mergeCell ref="A42:O42"/>
    <mergeCell ref="D71:E71"/>
    <mergeCell ref="F71:H71"/>
    <mergeCell ref="I68:J68"/>
    <mergeCell ref="K68:L68"/>
    <mergeCell ref="K62:L62"/>
    <mergeCell ref="B48:C48"/>
    <mergeCell ref="E45"/>
    <mergeCell ref="I52:J52"/>
    <mergeCell ref="K52:L52"/>
    <mergeCell ref="M63:O63"/>
    <mergeCell ref="D72:E72"/>
    <mergeCell ref="B50:C50"/>
    <mergeCell ref="I62:J62"/>
    <mergeCell ref="D66:E66"/>
    <mergeCell ref="I54:J54"/>
    <mergeCell ref="A15:O15"/>
    <mergeCell ref="B65:C65"/>
    <mergeCell ref="K63:L63"/>
    <mergeCell ref="F45"/>
    <mergeCell ref="M65:O65"/>
    <mergeCell ref="B61:C61"/>
    <mergeCell ref="M62:O62"/>
    <mergeCell ref="D61:E61"/>
    <mergeCell ref="M49:O49"/>
    <mergeCell ref="K47:L47"/>
    <mergeCell ref="B51:C51"/>
    <mergeCell ref="B73:C73"/>
    <mergeCell ref="B45:C45"/>
    <mergeCell ref="F61:H61"/>
    <mergeCell ref="I56:J56"/>
    <mergeCell ref="I71:J71"/>
    <mergeCell ref="A18:O18"/>
    <mergeCell ref="K65:L65"/>
    <mergeCell ref="I67:J67"/>
    <mergeCell ref="M47:O47"/>
    <mergeCell ref="K61:L61"/>
    <mergeCell ref="A2:O2"/>
    <mergeCell ref="I64:J64"/>
    <mergeCell ref="H45"/>
    <mergeCell ref="A16:H16"/>
    <mergeCell ref="I51:J51"/>
    <mergeCell ref="K73:L73"/>
    <mergeCell ref="K51:L51"/>
    <mergeCell ref="A61"/>
    <mergeCell ref="M67:O67"/>
    <mergeCell ref="D3:O3"/>
    <mergeCell ref="B63:C63"/>
    <mergeCell ref="I66:J66"/>
    <mergeCell ref="D63:E63"/>
    <mergeCell ref="K66:L66"/>
    <mergeCell ref="I53:J53"/>
    <mergeCell ref="M48:O48"/>
    <mergeCell ref="K53:L53"/>
    <mergeCell ref="B47:C47"/>
    <mergeCell ref="M66:O66"/>
    <mergeCell ref="M53:O53"/>
    <mergeCell ref="M68:O68"/>
    <mergeCell ref="A58:O58"/>
    <mergeCell ref="A30:O30"/>
    <mergeCell ref="I45:J45"/>
    <mergeCell ref="A98:O98"/>
    <mergeCell ref="I69:J69"/>
    <mergeCell ref="M45:O45"/>
    <mergeCell ref="F69:H69"/>
    <mergeCell ref="I70:J70"/>
    <mergeCell ref="F65:H65"/>
    <mergeCell ref="B64:C64"/>
    <mergeCell ref="A45"/>
    <mergeCell ref="D73:E73"/>
    <mergeCell ref="I55:J55"/>
    <mergeCell ref="K55:L55"/>
    <mergeCell ref="B66:C66"/>
    <mergeCell ref="K64:L64"/>
    <mergeCell ref="B53:C53"/>
    <mergeCell ref="B68:C68"/>
    <mergeCell ref="K70:L70"/>
    <mergeCell ref="B62:C62"/>
    <mergeCell ref="D45"/>
    <mergeCell ref="M56:O56"/>
    <mergeCell ref="I57:J57"/>
    <mergeCell ref="D62:E62"/>
    <mergeCell ref="M52:O52"/>
    <mergeCell ref="K57:L57"/>
    <mergeCell ref="B52:C52"/>
    <mergeCell ref="K54:L54"/>
    <mergeCell ref="F68:H68"/>
    <mergeCell ref="I47:J47"/>
    <mergeCell ref="B70:C70"/>
    <mergeCell ref="F62:H62"/>
    <mergeCell ref="K56:L56"/>
    <mergeCell ref="M71:O71"/>
    <mergeCell ref="K50:L50"/>
    <mergeCell ref="B67:C67"/>
    <mergeCell ref="M72:O72"/>
    <mergeCell ref="B54:C54"/>
    <mergeCell ref="F70:H70"/>
    <mergeCell ref="I72:J72"/>
    <mergeCell ref="F67:H67"/>
    <mergeCell ref="A78:O78"/>
    <mergeCell ref="A400:O400"/>
    <mergeCell ref="D60:O60"/>
    <mergeCell ref="F63:H63"/>
    <mergeCell ref="F73:H73"/>
    <mergeCell ref="D44:O44"/>
    <mergeCell ref="M54:O54"/>
    <mergeCell ref="M69:O69"/>
    <mergeCell ref="I61:J61"/>
    <mergeCell ref="D65:E65"/>
    <mergeCell ref="B55:C55"/>
    <mergeCell ref="I73:J73"/>
    <mergeCell ref="A1:O1"/>
    <mergeCell ref="K67:L67"/>
    <mergeCell ref="D64:E64"/>
    <mergeCell ref="M61:O61"/>
    <mergeCell ref="M70:O70"/>
    <mergeCell ref="B57:C57"/>
    <mergeCell ref="B72:C72"/>
    <mergeCell ref="A75:O75"/>
    <mergeCell ref="M64:O64"/>
    <mergeCell ref="G45"/>
    <mergeCell ref="B69:C69"/>
    <mergeCell ref="B56:C56"/>
    <mergeCell ref="I46:J46"/>
    <mergeCell ref="F72:H72"/>
    <mergeCell ref="K46:L46"/>
    <mergeCell ref="B49:C49"/>
    <mergeCell ref="A428:O428"/>
    <mergeCell ref="M46:O46"/>
    <mergeCell ref="D67:E67"/>
    <mergeCell ref="A14:O14"/>
    <mergeCell ref="M55:O55"/>
    <mergeCell ref="F66:H66"/>
    <mergeCell ref="I63:J63"/>
    <mergeCell ref="A4:O4"/>
    <mergeCell ref="M57:O57"/>
    <mergeCell ref="K69:L69"/>
    <mergeCell ref="M73:O73"/>
    <mergeCell ref="D43:O43"/>
    <mergeCell ref="I65:J65"/>
    <mergeCell ref="A730:O730"/>
    <mergeCell ref="I49:J49"/>
    <mergeCell ref="I16:O16"/>
    <mergeCell ref="D68:E68"/>
    <mergeCell ref="K49:L49"/>
    <mergeCell ref="K71:L71"/>
    <mergeCell ref="F64:H64"/>
    <mergeCell ref="I48:J48"/>
    <mergeCell ref="K48:L48"/>
    <mergeCell ref="B46:C46"/>
    <mergeCell ref="A6:O6"/>
    <mergeCell ref="K72:L72"/>
    <mergeCell ref="I50:J50"/>
    <mergeCell ref="D69:E69"/>
    <mergeCell ref="A7:B7"/>
    <mergeCell ref="C7:E7"/>
    <mergeCell ref="F7:H7"/>
    <mergeCell ref="I7:O7"/>
    <mergeCell ref="A8:B8"/>
    <mergeCell ref="C8:E8"/>
    <mergeCell ref="F8:H8"/>
    <mergeCell ref="I8:O8"/>
    <mergeCell ref="A9:B9"/>
    <mergeCell ref="C9:E9"/>
    <mergeCell ref="F9:H9"/>
    <mergeCell ref="I9:O9"/>
    <mergeCell ref="A10:B10"/>
    <mergeCell ref="C10:E10"/>
    <mergeCell ref="F10:H10"/>
    <mergeCell ref="I10:O10"/>
    <mergeCell ref="A11:B11"/>
    <mergeCell ref="C11:E11"/>
    <mergeCell ref="F11:H11"/>
    <mergeCell ref="I11:O11"/>
    <mergeCell ref="A12:B12"/>
    <mergeCell ref="C12:E12"/>
    <mergeCell ref="F12:H12"/>
    <mergeCell ref="I12:O12"/>
    <mergeCell ref="A13:B13"/>
    <mergeCell ref="C13:E13"/>
    <mergeCell ref="F13:H13"/>
    <mergeCell ref="I13:O13"/>
    <mergeCell ref="A32:O32"/>
    <mergeCell ref="A33:C33"/>
    <mergeCell ref="A34:C34"/>
    <mergeCell ref="A35:C35"/>
    <mergeCell ref="A36:C36"/>
    <mergeCell ref="A37:C37"/>
    <mergeCell ref="A38:C38"/>
    <mergeCell ref="A39:C39"/>
    <mergeCell ref="A40:O40"/>
  </mergeCells>
  <dataValidations count="11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4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4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6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  <dataValidation type="whole" operator="between" sqref="D34:O38" allowBlank="1" showInputMessage="1" showErrorMessage="1" errorStyle="stop" promptTitle="선택월 사용계획" prompt="해당 월에 쓸 예정 금액을 입력하세요. 미정이면 비워두세요." errorTitle="금액 확인" error="0 이상 1,000,000,000 이하 정수를 입력하세요.">
      <formula1>0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outlinePr summaryBelow="1" showOutlineSymbols="1"/>
    <pageSetUpPr fitToPage="1"/>
  </sheetPr>
  <dimension ref="A1:AC525"/>
  <sheetViews>
    <sheetView showGridLines="0" tabSelected="1" zoomScale="85" zoomScaleNormal="85" workbookViewId="0" showOutlineSymbols="1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  <col min="26" max="29" width="18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inlineStr">
        <is>
          <t xml:space="preserve">2026-10-18 기준 · WRAP RAW 15건 연결. 카카오페이 충전 15,700원 1회 차감. 카드 사용·타계좌 결제는 WRAP 중복 제외.</t>
        </is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inlineStr">
        <is>
          <t xml:space="preserve">이체·분류 보냄</t>
        </is>
      </c>
      <c r="F6" s="30" t="inlineStr">
        <is>
          <t xml:space="preserve">이체·분류 받음</t>
        </is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11900</v>
      </c>
      <c r="E7" s="28">
        <f t="shared" ref="E7:E15" si="3">SUMIFS($Y$64:$Y$500,$C$64:$C$500,$A7,$H$64:$H$500,$B$3)-D7</f>
        <v>2553539</v>
      </c>
      <c r="F7" s="28">
        <f t="shared" ref="F7:F15" si="4">SUMIFS($Y$64:$Y$500,$D$64:$D$500,$A7,$H$64:$H$500,$B$3)-C7</f>
        <v>687510</v>
      </c>
      <c r="G7" s="28">
        <f t="shared" ref="G7:G15" si="5">B7+C7-D7-E7+F7</f>
        <v>4519766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>(SUMIFS($Y$64:$Y$500,$D$64:$D$500,$A8,$A$64:$A$500,"&lt;"&amp;$B$3)-SUMIFS($Y$64:$Y$500,$C$64:$C$500,$A8,$A$64:$A$500,"&lt;"&amp;$B$3))-IFERROR(INDEX('_예비비계산'!$BI$81:$BU$86,MATCH($A8,'_예비비계산'!$BH$81:$BH$86,0),MONTH($B$3)),0)</f>
        <v>0</v>
      </c>
      <c r="C8" s="28">
        <f t="shared" si="1"/>
        <v>0</v>
      </c>
      <c r="D8" s="28">
        <f t="shared" si="2"/>
        <v>0</v>
      </c>
      <c r="E8" s="28">
        <f>(SUMIFS($Y$64:$Y$500,$C$64:$C$500,$A8,$H$64:$H$500,$B$3)-D8)+MAX(IFERROR(INDEX('_예비비계산'!$BI$81:$BU$86,MATCH($A8,'_예비비계산'!$BH$81:$BH$86,0),MONTH($B$3)+1),0)-IFERROR(INDEX('_예비비계산'!$BI$81:$BU$86,MATCH($A8,'_예비비계산'!$BH$81:$BH$86,0),MONTH($B$3)),0),0)</f>
        <v>0</v>
      </c>
      <c r="F8" s="28">
        <f>(SUMIFS($Y$64:$Y$500,$D$64:$D$500,$A8,$H$64:$H$500,$B$3)-C8)+MAX(IFERROR(INDEX('_예비비계산'!$BI$81:$BU$86,MATCH($A8,'_예비비계산'!$BH$81:$BH$86,0),MONTH($B$3)),0)-IFERROR(INDEX('_예비비계산'!$BI$81:$BU$86,MATCH($A8,'_예비비계산'!$BH$81:$BH$86,0),MONTH($B$3)+1),0),0)</f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>(SUMIFS($Y$64:$Y$500,$D$64:$D$500,$A9,$A$64:$A$500,"&lt;"&amp;$B$3)-SUMIFS($Y$64:$Y$500,$C$64:$C$500,$A9,$A$64:$A$500,"&lt;"&amp;$B$3))-IFERROR(INDEX('_예비비계산'!$BI$81:$BU$86,MATCH($A9,'_예비비계산'!$BH$81:$BH$86,0),MONTH($B$3)),0)</f>
        <v>1400000</v>
      </c>
      <c r="C9" s="28">
        <f t="shared" si="1"/>
        <v>0</v>
      </c>
      <c r="D9" s="28">
        <f t="shared" si="2"/>
        <v>0</v>
      </c>
      <c r="E9" s="28">
        <f>(SUMIFS($Y$64:$Y$500,$C$64:$C$500,$A9,$H$64:$H$500,$B$3)-D9)+MAX(IFERROR(INDEX('_예비비계산'!$BI$81:$BU$86,MATCH($A9,'_예비비계산'!$BH$81:$BH$86,0),MONTH($B$3)+1),0)-IFERROR(INDEX('_예비비계산'!$BI$81:$BU$86,MATCH($A9,'_예비비계산'!$BH$81:$BH$86,0),MONTH($B$3)),0),0)</f>
        <v>0</v>
      </c>
      <c r="F9" s="28">
        <f>(SUMIFS($Y$64:$Y$500,$D$64:$D$500,$A9,$H$64:$H$500,$B$3)-C9)+MAX(IFERROR(INDEX('_예비비계산'!$BI$81:$BU$86,MATCH($A9,'_예비비계산'!$BH$81:$BH$86,0),MONTH($B$3)),0)-IFERROR(INDEX('_예비비계산'!$BI$81:$BU$86,MATCH($A9,'_예비비계산'!$BH$81:$BH$86,0),MONTH($B$3)+1),0),0)</f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>(SUMIFS($Y$64:$Y$500,$D$64:$D$500,$A10,$A$64:$A$500,"&lt;"&amp;$B$3)-SUMIFS($Y$64:$Y$500,$C$64:$C$500,$A10,$A$64:$A$500,"&lt;"&amp;$B$3))-IFERROR(INDEX('_예비비계산'!$BI$81:$BU$86,MATCH($A10,'_예비비계산'!$BH$81:$BH$86,0),MONTH($B$3)),0)</f>
        <v>450000</v>
      </c>
      <c r="C10" s="28">
        <f t="shared" si="1"/>
        <v>0</v>
      </c>
      <c r="D10" s="28">
        <f t="shared" si="2"/>
        <v>0</v>
      </c>
      <c r="E10" s="28">
        <f>(SUMIFS($Y$64:$Y$500,$C$64:$C$500,$A10,$H$64:$H$500,$B$3)-D10)+MAX(IFERROR(INDEX('_예비비계산'!$BI$81:$BU$86,MATCH($A10,'_예비비계산'!$BH$81:$BH$86,0),MONTH($B$3)+1),0)-IFERROR(INDEX('_예비비계산'!$BI$81:$BU$86,MATCH($A10,'_예비비계산'!$BH$81:$BH$86,0),MONTH($B$3)),0),0)</f>
        <v>0</v>
      </c>
      <c r="F10" s="28">
        <f>(SUMIFS($Y$64:$Y$500,$D$64:$D$500,$A10,$H$64:$H$500,$B$3)-C10)+MAX(IFERROR(INDEX('_예비비계산'!$BI$81:$BU$86,MATCH($A10,'_예비비계산'!$BH$81:$BH$86,0),MONTH($B$3)),0)-IFERROR(INDEX('_예비비계산'!$BI$81:$BU$86,MATCH($A10,'_예비비계산'!$BH$81:$BH$86,0),MONTH($B$3)+1),0),0)</f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>(SUMIFS($Y$64:$Y$500,$D$64:$D$500,$A11,$A$64:$A$500,"&lt;"&amp;$B$3)-SUMIFS($Y$64:$Y$500,$C$64:$C$500,$A11,$A$64:$A$500,"&lt;"&amp;$B$3))-IFERROR(INDEX('_예비비계산'!$BI$81:$BU$86,MATCH($A11,'_예비비계산'!$BH$81:$BH$86,0),MONTH($B$3)),0)</f>
        <v>300000</v>
      </c>
      <c r="C11" s="28">
        <f t="shared" si="1"/>
        <v>0</v>
      </c>
      <c r="D11" s="28">
        <f t="shared" si="2"/>
        <v>0</v>
      </c>
      <c r="E11" s="28">
        <f>(SUMIFS($Y$64:$Y$500,$C$64:$C$500,$A11,$H$64:$H$500,$B$3)-D11)+MAX(IFERROR(INDEX('_예비비계산'!$BI$81:$BU$86,MATCH($A11,'_예비비계산'!$BH$81:$BH$86,0),MONTH($B$3)+1),0)-IFERROR(INDEX('_예비비계산'!$BI$81:$BU$86,MATCH($A11,'_예비비계산'!$BH$81:$BH$86,0),MONTH($B$3)),0),0)</f>
        <v>0</v>
      </c>
      <c r="F11" s="28">
        <f>(SUMIFS($Y$64:$Y$500,$D$64:$D$500,$A11,$H$64:$H$500,$B$3)-C11)+MAX(IFERROR(INDEX('_예비비계산'!$BI$81:$BU$86,MATCH($A11,'_예비비계산'!$BH$81:$BH$86,0),MONTH($B$3)),0)-IFERROR(INDEX('_예비비계산'!$BI$81:$BU$86,MATCH($A11,'_예비비계산'!$BH$81:$BH$86,0),MONTH($B$3)+1),0),0)</f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>(SUMIFS($Y$64:$Y$500,$D$64:$D$500,$A12,$A$64:$A$500,"&lt;"&amp;$B$3)-SUMIFS($Y$64:$Y$500,$C$64:$C$500,$A12,$A$64:$A$500,"&lt;"&amp;$B$3))-IFERROR(INDEX('_예비비계산'!$BI$81:$BU$86,MATCH($A12,'_예비비계산'!$BH$81:$BH$86,0),MONTH($B$3)),0)</f>
        <v>0</v>
      </c>
      <c r="C12" s="28">
        <f t="shared" si="1"/>
        <v>0</v>
      </c>
      <c r="D12" s="28">
        <f t="shared" si="2"/>
        <v>0</v>
      </c>
      <c r="E12" s="28">
        <f>(SUMIFS($Y$64:$Y$500,$C$64:$C$500,$A12,$H$64:$H$500,$B$3)-D12)+MAX(IFERROR(INDEX('_예비비계산'!$BI$81:$BU$86,MATCH($A12,'_예비비계산'!$BH$81:$BH$86,0),MONTH($B$3)+1),0)-IFERROR(INDEX('_예비비계산'!$BI$81:$BU$86,MATCH($A12,'_예비비계산'!$BH$81:$BH$86,0),MONTH($B$3)),0),0)</f>
        <v>0</v>
      </c>
      <c r="F12" s="28">
        <f>(SUMIFS($Y$64:$Y$500,$D$64:$D$500,$A12,$H$64:$H$500,$B$3)-C12)+MAX(IFERROR(INDEX('_예비비계산'!$BI$81:$BU$86,MATCH($A12,'_예비비계산'!$BH$81:$BH$86,0),MONTH($B$3)),0)-IFERROR(INDEX('_예비비계산'!$BI$81:$BU$86,MATCH($A12,'_예비비계산'!$BH$81:$BH$86,0),MONTH($B$3)+1),0),0)</f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>(SUMIFS($Y$64:$Y$500,$D$64:$D$500,$A13,$A$64:$A$500,"&lt;"&amp;$B$3)-SUMIFS($Y$64:$Y$500,$C$64:$C$500,$A13,$A$64:$A$500,"&lt;"&amp;$B$3))+IFERROR(INDEX('_예비비계산'!$BI$81:$BU$86,MATCH($A13,'_예비비계산'!$BH$81:$BH$86,0),MONTH($B$3)),0)</f>
        <v>0</v>
      </c>
      <c r="C13" s="28">
        <f t="shared" si="1"/>
        <v>0</v>
      </c>
      <c r="D13" s="28">
        <f t="shared" si="2"/>
        <v>0</v>
      </c>
      <c r="E13" s="28">
        <f>(SUMIFS($Y$64:$Y$500,$C$64:$C$500,$A13,$H$64:$H$500,$B$3)-D13)+MAX(IFERROR(INDEX('_예비비계산'!$BI$81:$BU$86,MATCH("명절비",'_예비비계산'!$BH$81:$BH$86,0),MONTH($B$3)),0)-IFERROR(INDEX('_예비비계산'!$BI$81:$BU$86,MATCH("명절비",'_예비비계산'!$BH$81:$BH$86,0),MONTH($B$3)+1),0),0)+MAX(IFERROR(INDEX('_예비비계산'!$BI$81:$BU$86,MATCH("여행비",'_예비비계산'!$BH$81:$BH$86,0),MONTH($B$3)),0)-IFERROR(INDEX('_예비비계산'!$BI$81:$BU$86,MATCH("여행비",'_예비비계산'!$BH$81:$BH$86,0),MONTH($B$3)+1),0),0)+MAX(IFERROR(INDEX('_예비비계산'!$BI$81:$BU$86,MATCH("경조사비",'_예비비계산'!$BH$81:$BH$86,0),MONTH($B$3)),0)-IFERROR(INDEX('_예비비계산'!$BI$81:$BU$86,MATCH("경조사비",'_예비비계산'!$BH$81:$BH$86,0),MONTH($B$3)+1),0),0)+MAX(IFERROR(INDEX('_예비비계산'!$BI$81:$BU$86,MATCH("상환비",'_예비비계산'!$BH$81:$BH$86,0),MONTH($B$3)),0)-IFERROR(INDEX('_예비비계산'!$BI$81:$BU$86,MATCH("상환비",'_예비비계산'!$BH$81:$BH$86,0),MONTH($B$3)+1),0),0)+MAX(IFERROR(INDEX('_예비비계산'!$BI$81:$BU$86,MATCH("예비비",'_예비비계산'!$BH$81:$BH$86,0),MONTH($B$3)),0)-IFERROR(INDEX('_예비비계산'!$BI$81:$BU$86,MATCH("예비비",'_예비비계산'!$BH$81:$BH$86,0),MONTH($B$3)+1),0),0)</f>
        <v>0</v>
      </c>
      <c r="F13" s="28">
        <f>(SUMIFS($Y$64:$Y$500,$D$64:$D$500,$A13,$H$64:$H$500,$B$3)-C13)+MAX(IFERROR(INDEX('_예비비계산'!$BI$81:$BU$86,MATCH("명절비",'_예비비계산'!$BH$81:$BH$86,0),MONTH($B$3)+1),0)-IFERROR(INDEX('_예비비계산'!$BI$81:$BU$86,MATCH("명절비",'_예비비계산'!$BH$81:$BH$86,0),MONTH($B$3)),0),0)+MAX(IFERROR(INDEX('_예비비계산'!$BI$81:$BU$86,MATCH("여행비",'_예비비계산'!$BH$81:$BH$86,0),MONTH($B$3)+1),0)-IFERROR(INDEX('_예비비계산'!$BI$81:$BU$86,MATCH("여행비",'_예비비계산'!$BH$81:$BH$86,0),MONTH($B$3)),0),0)+MAX(IFERROR(INDEX('_예비비계산'!$BI$81:$BU$86,MATCH("경조사비",'_예비비계산'!$BH$81:$BH$86,0),MONTH($B$3)+1),0)-IFERROR(INDEX('_예비비계산'!$BI$81:$BU$86,MATCH("경조사비",'_예비비계산'!$BH$81:$BH$86,0),MONTH($B$3)),0),0)+MAX(IFERROR(INDEX('_예비비계산'!$BI$81:$BU$86,MATCH("상환비",'_예비비계산'!$BH$81:$BH$86,0),MONTH($B$3)+1),0)-IFERROR(INDEX('_예비비계산'!$BI$81:$BU$86,MATCH("상환비",'_예비비계산'!$BH$81:$BH$86,0),MONTH($B$3)),0),0)+MAX(IFERROR(INDEX('_예비비계산'!$BI$81:$BU$86,MATCH("예비비",'_예비비계산'!$BH$81:$BH$86,0),MONTH($B$3)+1),0)-IFERROR(INDEX('_예비비계산'!$BI$81:$BU$86,MATCH("예비비",'_예비비계산'!$BH$81:$BH$86,0),MONTH($B$3)),0),0)</f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61000</v>
      </c>
      <c r="F15" s="28">
        <f t="shared" si="4"/>
        <v>61000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11900</v>
      </c>
      <c r="E16" s="32">
        <f t="shared" si="7"/>
        <v>2614539</v>
      </c>
      <c r="F16" s="32">
        <f t="shared" si="7"/>
        <v>748510</v>
      </c>
      <c r="G16" s="32">
        <f t="shared" si="7"/>
        <v>6669766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계정 잔액에는 예비비 사용분의 결제대금비 자동 확보가 포함됩니다. 은행 거래가 아니며, 아래 원장 조회는 실제 입력 기록입니다.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IF(C$21&gt;MAX($A$64:$A$500),"",SUMIFS($Y$64:$Y$500,$D$64:$D$500,$A22,$A$64:$A$500,"&lt;"&amp;EDATE(C$21,1))-SUMIFS($Y$64:$Y$500,$C$64:$C$500,$A22,$A$64:$A$500,"&lt;"&amp;EDATE(C$21,1)))</f>
        <v>993611</v>
      </c>
      <c r="D22" s="92">
        <f>IF(D$21&gt;MAX($A$64:$A$500),"",SUMIFS($Y$64:$Y$500,$D$64:$D$500,$A22,$A$64:$A$500,"&lt;"&amp;EDATE(D$21,1))-SUMIFS($Y$64:$Y$500,$C$64:$C$500,$A22,$A$64:$A$500,"&lt;"&amp;EDATE(D$21,1)))</f>
        <v>944667</v>
      </c>
      <c r="E22" s="92">
        <f>IF(E$21&gt;MAX($A$64:$A$500),"",SUMIFS($Y$64:$Y$500,$D$64:$D$500,$A22,$A$64:$A$500,"&lt;"&amp;EDATE(E$21,1))-SUMIFS($Y$64:$Y$500,$C$64:$C$500,$A22,$A$64:$A$500,"&lt;"&amp;EDATE(E$21,1)))</f>
        <v>1062089</v>
      </c>
      <c r="F22" s="92">
        <f>IF(F$21&gt;MAX($A$64:$A$500),"",SUMIFS($Y$64:$Y$500,$D$64:$D$500,$A22,$A$64:$A$500,"&lt;"&amp;EDATE(F$21,1))-SUMIFS($Y$64:$Y$500,$C$64:$C$500,$A22,$A$64:$A$500,"&lt;"&amp;EDATE(F$21,1)))</f>
        <v>626802</v>
      </c>
      <c r="G22" s="92">
        <f>IF(G$21&gt;MAX($A$64:$A$500),"",SUMIFS($Y$64:$Y$500,$D$64:$D$500,$A22,$A$64:$A$500,"&lt;"&amp;EDATE(G$21,1))-SUMIFS($Y$64:$Y$500,$C$64:$C$500,$A22,$A$64:$A$500,"&lt;"&amp;EDATE(G$21,1)))</f>
        <v>-498498</v>
      </c>
      <c r="H22" s="92">
        <f>IF(H$21&gt;MAX($A$64:$A$500),"",SUMIFS($Y$64:$Y$500,$D$64:$D$500,$A22,$A$64:$A$500,"&lt;"&amp;EDATE(H$21,1))-SUMIFS($Y$64:$Y$500,$C$64:$C$500,$A22,$A$64:$A$500,"&lt;"&amp;EDATE(H$21,1)))</f>
        <v>0</v>
      </c>
      <c r="I22" s="92">
        <f>IF(I$21&gt;MAX($A$64:$A$500),"",SUMIFS($Y$64:$Y$500,$D$64:$D$500,$A22,$A$64:$A$500,"&lt;"&amp;EDATE(I$21,1))-SUMIFS($Y$64:$Y$500,$C$64:$C$500,$A22,$A$64:$A$500,"&lt;"&amp;EDATE(I$21,1)))</f>
        <v>6388603</v>
      </c>
      <c r="J22" s="92">
        <f>IF(J$21&gt;MAX($A$64:$A$500),"",SUMIFS($Y$64:$Y$500,$D$64:$D$500,$A22,$A$64:$A$500,"&lt;"&amp;EDATE(J$21,1))-SUMIFS($Y$64:$Y$500,$C$64:$C$500,$A22,$A$64:$A$500,"&lt;"&amp;EDATE(J$21,1)))</f>
        <v>4519766</v>
      </c>
      <c r="K22" s="92">
        <f>IF(K$21&gt;MAX($A$64:$A$500),"",SUMIFS($Y$64:$Y$500,$D$64:$D$500,$A22,$A$64:$A$500,"&lt;"&amp;EDATE(K$21,1))-SUMIFS($Y$64:$Y$500,$C$64:$C$500,$A22,$A$64:$A$500,"&lt;"&amp;EDATE(K$21,1)))</f>
      </c>
      <c r="L22" s="92">
        <f>IF(L$21&gt;MAX($A$64:$A$500),"",SUMIFS($Y$64:$Y$500,$D$64:$D$500,$A22,$A$64:$A$500,"&lt;"&amp;EDATE(L$21,1))-SUMIFS($Y$64:$Y$500,$C$64:$C$500,$A22,$A$64:$A$500,"&lt;"&amp;EDATE(L$21,1)))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"&amp;EDATE(C$21,1))-SUMIFS($Y$64:$Y$500,$C$64:$C$500,$A23,$A$64:$A$500,"&lt;"&amp;EDATE(C$21,1))-IFERROR(INDEX('_예비비계산'!$BI$81:$BU$86,MATCH($A23,'_예비비계산'!$BH$81:$BH$86,0),MONTH(C$21)+1),0))</f>
        <v>100000</v>
      </c>
      <c r="D23" s="92">
        <f>IF(D$21&gt;MAX($A$64:$A$500),"",SUMIFS($Y$64:$Y$500,$D$64:$D$500,$A23,$A$64:$A$500,"&lt;"&amp;EDATE(D$21,1))-SUMIFS($Y$64:$Y$500,$C$64:$C$500,$A23,$A$64:$A$500,"&lt;"&amp;EDATE(D$21,1))-IFERROR(INDEX('_예비비계산'!$BI$81:$BU$86,MATCH($A23,'_예비비계산'!$BH$81:$BH$86,0),MONTH(D$21)+1),0))</f>
        <v>200000</v>
      </c>
      <c r="E23" s="92">
        <f>IF(E$21&gt;MAX($A$64:$A$500),"",SUMIFS($Y$64:$Y$500,$D$64:$D$500,$A23,$A$64:$A$500,"&lt;"&amp;EDATE(E$21,1))-SUMIFS($Y$64:$Y$500,$C$64:$C$500,$A23,$A$64:$A$500,"&lt;"&amp;EDATE(E$21,1))-IFERROR(INDEX('_예비비계산'!$BI$81:$BU$86,MATCH($A23,'_예비비계산'!$BH$81:$BH$86,0),MONTH(E$21)+1),0))</f>
        <v>50000</v>
      </c>
      <c r="F23" s="92">
        <f>IF(F$21&gt;MAX($A$64:$A$500),"",SUMIFS($Y$64:$Y$500,$D$64:$D$500,$A23,$A$64:$A$500,"&lt;"&amp;EDATE(F$21,1))-SUMIFS($Y$64:$Y$500,$C$64:$C$500,$A23,$A$64:$A$500,"&lt;"&amp;EDATE(F$21,1))-IFERROR(INDEX('_예비비계산'!$BI$81:$BU$86,MATCH($A23,'_예비비계산'!$BH$81:$BH$86,0),MONTH(F$21)+1),0))</f>
        <v>100000</v>
      </c>
      <c r="G23" s="92">
        <f>IF(G$21&gt;MAX($A$64:$A$500),"",SUMIFS($Y$64:$Y$500,$D$64:$D$500,$A23,$A$64:$A$500,"&lt;"&amp;EDATE(G$21,1))-SUMIFS($Y$64:$Y$500,$C$64:$C$500,$A23,$A$64:$A$500,"&lt;"&amp;EDATE(G$21,1))-IFERROR(INDEX('_예비비계산'!$BI$81:$BU$86,MATCH($A23,'_예비비계산'!$BH$81:$BH$86,0),MONTH(G$21)+1),0))</f>
        <v>200000</v>
      </c>
      <c r="H23" s="92">
        <f>IF(H$21&gt;MAX($A$64:$A$500),"",SUMIFS($Y$64:$Y$500,$D$64:$D$500,$A23,$A$64:$A$500,"&lt;"&amp;EDATE(H$21,1))-SUMIFS($Y$64:$Y$500,$C$64:$C$500,$A23,$A$64:$A$500,"&lt;"&amp;EDATE(H$21,1))-IFERROR(INDEX('_예비비계산'!$BI$81:$BU$86,MATCH($A23,'_예비비계산'!$BH$81:$BH$86,0),MONTH(H$21)+1),0))</f>
        <v>300000</v>
      </c>
      <c r="I23" s="92">
        <f>IF(I$21&gt;MAX($A$64:$A$500),"",SUMIFS($Y$64:$Y$500,$D$64:$D$500,$A23,$A$64:$A$500,"&lt;"&amp;EDATE(I$21,1))-SUMIFS($Y$64:$Y$500,$C$64:$C$500,$A23,$A$64:$A$500,"&lt;"&amp;EDATE(I$21,1))-IFERROR(INDEX('_예비비계산'!$BI$81:$BU$86,MATCH($A23,'_예비비계산'!$BH$81:$BH$86,0),MONTH(I$21)+1),0))</f>
        <v>0</v>
      </c>
      <c r="J23" s="92">
        <f>IF(J$21&gt;MAX($A$64:$A$500),"",SUMIFS($Y$64:$Y$500,$D$64:$D$500,$A23,$A$64:$A$500,"&lt;"&amp;EDATE(J$21,1))-SUMIFS($Y$64:$Y$500,$C$64:$C$500,$A23,$A$64:$A$500,"&lt;"&amp;EDATE(J$21,1))-IFERROR(INDEX('_예비비계산'!$BI$81:$BU$86,MATCH($A23,'_예비비계산'!$BH$81:$BH$86,0),MONTH(J$21)+1),0))</f>
        <v>0</v>
      </c>
      <c r="K23" s="92">
        <f>IF(K$21&gt;MAX($A$64:$A$500),"",SUMIFS($Y$64:$Y$500,$D$64:$D$500,$A23,$A$64:$A$500,"&lt;"&amp;EDATE(K$21,1))-SUMIFS($Y$64:$Y$500,$C$64:$C$500,$A23,$A$64:$A$500,"&lt;"&amp;EDATE(K$21,1))-IFERROR(INDEX('_예비비계산'!$BI$81:$BU$86,MATCH($A23,'_예비비계산'!$BH$81:$BH$86,0),MONTH(K$21)+1),0))</f>
      </c>
      <c r="L23" s="92">
        <f>IF(L$21&gt;MAX($A$64:$A$500),"",SUMIFS($Y$64:$Y$500,$D$64:$D$500,$A23,$A$64:$A$500,"&lt;"&amp;EDATE(L$21,1))-SUMIFS($Y$64:$Y$500,$C$64:$C$500,$A23,$A$64:$A$500,"&lt;"&amp;EDATE(L$21,1))-IFERROR(INDEX('_예비비계산'!$BI$81:$BU$86,MATCH($A23,'_예비비계산'!$BH$81:$BH$86,0),MONTH(L$21)+1),0)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"&amp;EDATE(C$21,1))-SUMIFS($Y$64:$Y$500,$C$64:$C$500,$A24,$A$64:$A$500,"&lt;"&amp;EDATE(C$21,1))-IFERROR(INDEX('_예비비계산'!$BI$81:$BU$86,MATCH($A24,'_예비비계산'!$BH$81:$BH$86,0),MONTH(C$21)+1),0))</f>
        <v>1300000</v>
      </c>
      <c r="D24" s="92">
        <f>IF(D$21&gt;MAX($A$64:$A$500),"",SUMIFS($Y$64:$Y$500,$D$64:$D$500,$A24,$A$64:$A$500,"&lt;"&amp;EDATE(D$21,1))-SUMIFS($Y$64:$Y$500,$C$64:$C$500,$A24,$A$64:$A$500,"&lt;"&amp;EDATE(D$21,1))-IFERROR(INDEX('_예비비계산'!$BI$81:$BU$86,MATCH($A24,'_예비비계산'!$BH$81:$BH$86,0),MONTH(D$21)+1),0))</f>
        <v>1400000</v>
      </c>
      <c r="E24" s="92">
        <f>IF(E$21&gt;MAX($A$64:$A$500),"",SUMIFS($Y$64:$Y$500,$D$64:$D$500,$A24,$A$64:$A$500,"&lt;"&amp;EDATE(E$21,1))-SUMIFS($Y$64:$Y$500,$C$64:$C$500,$A24,$A$64:$A$500,"&lt;"&amp;EDATE(E$21,1))-IFERROR(INDEX('_예비비계산'!$BI$81:$BU$86,MATCH($A24,'_예비비계산'!$BH$81:$BH$86,0),MONTH(E$21)+1),0))</f>
        <v>1500000</v>
      </c>
      <c r="F24" s="92">
        <f>IF(F$21&gt;MAX($A$64:$A$500),"",SUMIFS($Y$64:$Y$500,$D$64:$D$500,$A24,$A$64:$A$500,"&lt;"&amp;EDATE(F$21,1))-SUMIFS($Y$64:$Y$500,$C$64:$C$500,$A24,$A$64:$A$500,"&lt;"&amp;EDATE(F$21,1))-IFERROR(INDEX('_예비비계산'!$BI$81:$BU$86,MATCH($A24,'_예비비계산'!$BH$81:$BH$86,0),MONTH(F$21)+1),0))</f>
        <v>1600000</v>
      </c>
      <c r="G24" s="92">
        <f>IF(G$21&gt;MAX($A$64:$A$500),"",SUMIFS($Y$64:$Y$500,$D$64:$D$500,$A24,$A$64:$A$500,"&lt;"&amp;EDATE(G$21,1))-SUMIFS($Y$64:$Y$500,$C$64:$C$500,$A24,$A$64:$A$500,"&lt;"&amp;EDATE(G$21,1))-IFERROR(INDEX('_예비비계산'!$BI$81:$BU$86,MATCH($A24,'_예비비계산'!$BH$81:$BH$86,0),MONTH(G$21)+1),0))</f>
        <v>1600000</v>
      </c>
      <c r="H24" s="92">
        <f>IF(H$21&gt;MAX($A$64:$A$500),"",SUMIFS($Y$64:$Y$500,$D$64:$D$500,$A24,$A$64:$A$500,"&lt;"&amp;EDATE(H$21,1))-SUMIFS($Y$64:$Y$500,$C$64:$C$500,$A24,$A$64:$A$500,"&lt;"&amp;EDATE(H$21,1))-IFERROR(INDEX('_예비비계산'!$BI$81:$BU$86,MATCH($A24,'_예비비계산'!$BH$81:$BH$86,0),MONTH(H$21)+1),0))</f>
        <v>1300000</v>
      </c>
      <c r="I24" s="92">
        <f>IF(I$21&gt;MAX($A$64:$A$500),"",SUMIFS($Y$64:$Y$500,$D$64:$D$500,$A24,$A$64:$A$500,"&lt;"&amp;EDATE(I$21,1))-SUMIFS($Y$64:$Y$500,$C$64:$C$500,$A24,$A$64:$A$500,"&lt;"&amp;EDATE(I$21,1))-IFERROR(INDEX('_예비비계산'!$BI$81:$BU$86,MATCH($A24,'_예비비계산'!$BH$81:$BH$86,0),MONTH(I$21)+1),0))</f>
        <v>1400000</v>
      </c>
      <c r="J24" s="92">
        <f>IF(J$21&gt;MAX($A$64:$A$500),"",SUMIFS($Y$64:$Y$500,$D$64:$D$500,$A24,$A$64:$A$500,"&lt;"&amp;EDATE(J$21,1))-SUMIFS($Y$64:$Y$500,$C$64:$C$500,$A24,$A$64:$A$500,"&lt;"&amp;EDATE(J$21,1))-IFERROR(INDEX('_예비비계산'!$BI$81:$BU$86,MATCH($A24,'_예비비계산'!$BH$81:$BH$86,0),MONTH(J$21)+1),0))</f>
        <v>1400000</v>
      </c>
      <c r="K24" s="92">
        <f>IF(K$21&gt;MAX($A$64:$A$500),"",SUMIFS($Y$64:$Y$500,$D$64:$D$500,$A24,$A$64:$A$500,"&lt;"&amp;EDATE(K$21,1))-SUMIFS($Y$64:$Y$500,$C$64:$C$500,$A24,$A$64:$A$500,"&lt;"&amp;EDATE(K$21,1))-IFERROR(INDEX('_예비비계산'!$BI$81:$BU$86,MATCH($A24,'_예비비계산'!$BH$81:$BH$86,0),MONTH(K$21)+1),0))</f>
      </c>
      <c r="L24" s="92">
        <f>IF(L$21&gt;MAX($A$64:$A$500),"",SUMIFS($Y$64:$Y$500,$D$64:$D$500,$A24,$A$64:$A$500,"&lt;"&amp;EDATE(L$21,1))-SUMIFS($Y$64:$Y$500,$C$64:$C$500,$A24,$A$64:$A$500,"&lt;"&amp;EDATE(L$21,1))-IFERROR(INDEX('_예비비계산'!$BI$81:$BU$86,MATCH($A24,'_예비비계산'!$BH$81:$BH$86,0),MONTH(L$21)+1),0)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"&amp;EDATE(C$21,1))-SUMIFS($Y$64:$Y$500,$C$64:$C$500,$A25,$A$64:$A$500,"&lt;"&amp;EDATE(C$21,1))-IFERROR(INDEX('_예비비계산'!$BI$81:$BU$86,MATCH($A25,'_예비비계산'!$BH$81:$BH$86,0),MONTH(C$21)+1),0))</f>
        <v>0</v>
      </c>
      <c r="D25" s="92">
        <f>IF(D$21&gt;MAX($A$64:$A$500),"",SUMIFS($Y$64:$Y$500,$D$64:$D$500,$A25,$A$64:$A$500,"&lt;"&amp;EDATE(D$21,1))-SUMIFS($Y$64:$Y$500,$C$64:$C$500,$A25,$A$64:$A$500,"&lt;"&amp;EDATE(D$21,1))-IFERROR(INDEX('_예비비계산'!$BI$81:$BU$86,MATCH($A25,'_예비비계산'!$BH$81:$BH$86,0),MONTH(D$21)+1),0))</f>
        <v>0</v>
      </c>
      <c r="E25" s="92">
        <f>IF(E$21&gt;MAX($A$64:$A$500),"",SUMIFS($Y$64:$Y$500,$D$64:$D$500,$A25,$A$64:$A$500,"&lt;"&amp;EDATE(E$21,1))-SUMIFS($Y$64:$Y$500,$C$64:$C$500,$A25,$A$64:$A$500,"&lt;"&amp;EDATE(E$21,1))-IFERROR(INDEX('_예비비계산'!$BI$81:$BU$86,MATCH($A25,'_예비비계산'!$BH$81:$BH$86,0),MONTH(E$21)+1),0))</f>
        <v>50000</v>
      </c>
      <c r="F25" s="92">
        <f>IF(F$21&gt;MAX($A$64:$A$500),"",SUMIFS($Y$64:$Y$500,$D$64:$D$500,$A25,$A$64:$A$500,"&lt;"&amp;EDATE(F$21,1))-SUMIFS($Y$64:$Y$500,$C$64:$C$500,$A25,$A$64:$A$500,"&lt;"&amp;EDATE(F$21,1))-IFERROR(INDEX('_예비비계산'!$BI$81:$BU$86,MATCH($A25,'_예비비계산'!$BH$81:$BH$86,0),MONTH(F$21)+1),0))</f>
        <v>100000</v>
      </c>
      <c r="G25" s="92">
        <f>IF(G$21&gt;MAX($A$64:$A$500),"",SUMIFS($Y$64:$Y$500,$D$64:$D$500,$A25,$A$64:$A$500,"&lt;"&amp;EDATE(G$21,1))-SUMIFS($Y$64:$Y$500,$C$64:$C$500,$A25,$A$64:$A$500,"&lt;"&amp;EDATE(G$21,1))-IFERROR(INDEX('_예비비계산'!$BI$81:$BU$86,MATCH($A25,'_예비비계산'!$BH$81:$BH$86,0),MONTH(G$21)+1),0))</f>
        <v>150000</v>
      </c>
      <c r="H25" s="92">
        <f>IF(H$21&gt;MAX($A$64:$A$500),"",SUMIFS($Y$64:$Y$500,$D$64:$D$500,$A25,$A$64:$A$500,"&lt;"&amp;EDATE(H$21,1))-SUMIFS($Y$64:$Y$500,$C$64:$C$500,$A25,$A$64:$A$500,"&lt;"&amp;EDATE(H$21,1))-IFERROR(INDEX('_예비비계산'!$BI$81:$BU$86,MATCH($A25,'_예비비계산'!$BH$81:$BH$86,0),MONTH(H$21)+1),0))</f>
        <v>200000</v>
      </c>
      <c r="I25" s="92">
        <f>IF(I$21&gt;MAX($A$64:$A$500),"",SUMIFS($Y$64:$Y$500,$D$64:$D$500,$A25,$A$64:$A$500,"&lt;"&amp;EDATE(I$21,1))-SUMIFS($Y$64:$Y$500,$C$64:$C$500,$A25,$A$64:$A$500,"&lt;"&amp;EDATE(I$21,1))-IFERROR(INDEX('_예비비계산'!$BI$81:$BU$86,MATCH($A25,'_예비비계산'!$BH$81:$BH$86,0),MONTH(I$21)+1),0))</f>
        <v>450000</v>
      </c>
      <c r="J25" s="92">
        <f>IF(J$21&gt;MAX($A$64:$A$500),"",SUMIFS($Y$64:$Y$500,$D$64:$D$500,$A25,$A$64:$A$500,"&lt;"&amp;EDATE(J$21,1))-SUMIFS($Y$64:$Y$500,$C$64:$C$500,$A25,$A$64:$A$500,"&lt;"&amp;EDATE(J$21,1))-IFERROR(INDEX('_예비비계산'!$BI$81:$BU$86,MATCH($A25,'_예비비계산'!$BH$81:$BH$86,0),MONTH(J$21)+1),0))</f>
        <v>450000</v>
      </c>
      <c r="K25" s="92">
        <f>IF(K$21&gt;MAX($A$64:$A$500),"",SUMIFS($Y$64:$Y$500,$D$64:$D$500,$A25,$A$64:$A$500,"&lt;"&amp;EDATE(K$21,1))-SUMIFS($Y$64:$Y$500,$C$64:$C$500,$A25,$A$64:$A$500,"&lt;"&amp;EDATE(K$21,1))-IFERROR(INDEX('_예비비계산'!$BI$81:$BU$86,MATCH($A25,'_예비비계산'!$BH$81:$BH$86,0),MONTH(K$21)+1),0))</f>
      </c>
      <c r="L25" s="92">
        <f>IF(L$21&gt;MAX($A$64:$A$500),"",SUMIFS($Y$64:$Y$500,$D$64:$D$500,$A25,$A$64:$A$500,"&lt;"&amp;EDATE(L$21,1))-SUMIFS($Y$64:$Y$500,$C$64:$C$500,$A25,$A$64:$A$500,"&lt;"&amp;EDATE(L$21,1))-IFERROR(INDEX('_예비비계산'!$BI$81:$BU$86,MATCH($A25,'_예비비계산'!$BH$81:$BH$86,0),MONTH(L$21)+1),0)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"&amp;EDATE(C$21,1))-SUMIFS($Y$64:$Y$500,$C$64:$C$500,$A26,$A$64:$A$500,"&lt;"&amp;EDATE(C$21,1))-IFERROR(INDEX('_예비비계산'!$BI$81:$BU$86,MATCH($A26,'_예비비계산'!$BH$81:$BH$86,0),MONTH(C$21)+1),0))</f>
        <v>350000</v>
      </c>
      <c r="D26" s="92">
        <f>IF(D$21&gt;MAX($A$64:$A$500),"",SUMIFS($Y$64:$Y$500,$D$64:$D$500,$A26,$A$64:$A$500,"&lt;"&amp;EDATE(D$21,1))-SUMIFS($Y$64:$Y$500,$C$64:$C$500,$A26,$A$64:$A$500,"&lt;"&amp;EDATE(D$21,1))-IFERROR(INDEX('_예비비계산'!$BI$81:$BU$86,MATCH($A26,'_예비비계산'!$BH$81:$BH$86,0),MONTH(D$21)+1),0))</f>
        <v>350000</v>
      </c>
      <c r="E26" s="92">
        <f>IF(E$21&gt;MAX($A$64:$A$500),"",SUMIFS($Y$64:$Y$500,$D$64:$D$500,$A26,$A$64:$A$500,"&lt;"&amp;EDATE(E$21,1))-SUMIFS($Y$64:$Y$500,$C$64:$C$500,$A26,$A$64:$A$500,"&lt;"&amp;EDATE(E$21,1))-IFERROR(INDEX('_예비비계산'!$BI$81:$BU$86,MATCH($A26,'_예비비계산'!$BH$81:$BH$86,0),MONTH(E$21)+1),0))</f>
        <v>0</v>
      </c>
      <c r="F26" s="92">
        <f>IF(F$21&gt;MAX($A$64:$A$500),"",SUMIFS($Y$64:$Y$500,$D$64:$D$500,$A26,$A$64:$A$500,"&lt;"&amp;EDATE(F$21,1))-SUMIFS($Y$64:$Y$500,$C$64:$C$500,$A26,$A$64:$A$500,"&lt;"&amp;EDATE(F$21,1))-IFERROR(INDEX('_예비비계산'!$BI$81:$BU$86,MATCH($A26,'_예비비계산'!$BH$81:$BH$86,0),MONTH(F$21)+1),0))</f>
        <v>0</v>
      </c>
      <c r="G26" s="92">
        <f>IF(G$21&gt;MAX($A$64:$A$500),"",SUMIFS($Y$64:$Y$500,$D$64:$D$500,$A26,$A$64:$A$500,"&lt;"&amp;EDATE(G$21,1))-SUMIFS($Y$64:$Y$500,$C$64:$C$500,$A26,$A$64:$A$500,"&lt;"&amp;EDATE(G$21,1))-IFERROR(INDEX('_예비비계산'!$BI$81:$BU$86,MATCH($A26,'_예비비계산'!$BH$81:$BH$86,0),MONTH(G$21)+1),0))</f>
        <v>100000</v>
      </c>
      <c r="H26" s="92">
        <f>IF(H$21&gt;MAX($A$64:$A$500),"",SUMIFS($Y$64:$Y$500,$D$64:$D$500,$A26,$A$64:$A$500,"&lt;"&amp;EDATE(H$21,1))-SUMIFS($Y$64:$Y$500,$C$64:$C$500,$A26,$A$64:$A$500,"&lt;"&amp;EDATE(H$21,1))-IFERROR(INDEX('_예비비계산'!$BI$81:$BU$86,MATCH($A26,'_예비비계산'!$BH$81:$BH$86,0),MONTH(H$21)+1),0))</f>
        <v>200000</v>
      </c>
      <c r="I26" s="92">
        <f>IF(I$21&gt;MAX($A$64:$A$500),"",SUMIFS($Y$64:$Y$500,$D$64:$D$500,$A26,$A$64:$A$500,"&lt;"&amp;EDATE(I$21,1))-SUMIFS($Y$64:$Y$500,$C$64:$C$500,$A26,$A$64:$A$500,"&lt;"&amp;EDATE(I$21,1))-IFERROR(INDEX('_예비비계산'!$BI$81:$BU$86,MATCH($A26,'_예비비계산'!$BH$81:$BH$86,0),MONTH(I$21)+1),0))</f>
        <v>300000</v>
      </c>
      <c r="J26" s="92">
        <f>IF(J$21&gt;MAX($A$64:$A$500),"",SUMIFS($Y$64:$Y$500,$D$64:$D$500,$A26,$A$64:$A$500,"&lt;"&amp;EDATE(J$21,1))-SUMIFS($Y$64:$Y$500,$C$64:$C$500,$A26,$A$64:$A$500,"&lt;"&amp;EDATE(J$21,1))-IFERROR(INDEX('_예비비계산'!$BI$81:$BU$86,MATCH($A26,'_예비비계산'!$BH$81:$BH$86,0),MONTH(J$21)+1),0))</f>
        <v>300000</v>
      </c>
      <c r="K26" s="92">
        <f>IF(K$21&gt;MAX($A$64:$A$500),"",SUMIFS($Y$64:$Y$500,$D$64:$D$500,$A26,$A$64:$A$500,"&lt;"&amp;EDATE(K$21,1))-SUMIFS($Y$64:$Y$500,$C$64:$C$500,$A26,$A$64:$A$500,"&lt;"&amp;EDATE(K$21,1))-IFERROR(INDEX('_예비비계산'!$BI$81:$BU$86,MATCH($A26,'_예비비계산'!$BH$81:$BH$86,0),MONTH(K$21)+1),0))</f>
      </c>
      <c r="L26" s="92">
        <f>IF(L$21&gt;MAX($A$64:$A$500),"",SUMIFS($Y$64:$Y$500,$D$64:$D$500,$A26,$A$64:$A$500,"&lt;"&amp;EDATE(L$21,1))-SUMIFS($Y$64:$Y$500,$C$64:$C$500,$A26,$A$64:$A$500,"&lt;"&amp;EDATE(L$21,1))-IFERROR(INDEX('_예비비계산'!$BI$81:$BU$86,MATCH($A26,'_예비비계산'!$BH$81:$BH$86,0),MONTH(L$21)+1),0)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"&amp;EDATE(C$21,1))-SUMIFS($Y$64:$Y$500,$C$64:$C$500,$A27,$A$64:$A$500,"&lt;"&amp;EDATE(C$21,1))-IFERROR(INDEX('_예비비계산'!$BI$81:$BU$86,MATCH($A27,'_예비비계산'!$BH$81:$BH$86,0),MONTH(C$21)+1),0))</f>
        <v>0</v>
      </c>
      <c r="D27" s="92">
        <f>IF(D$21&gt;MAX($A$64:$A$500),"",SUMIFS($Y$64:$Y$500,$D$64:$D$500,$A27,$A$64:$A$500,"&lt;"&amp;EDATE(D$21,1))-SUMIFS($Y$64:$Y$500,$C$64:$C$500,$A27,$A$64:$A$500,"&lt;"&amp;EDATE(D$21,1))-IFERROR(INDEX('_예비비계산'!$BI$81:$BU$86,MATCH($A27,'_예비비계산'!$BH$81:$BH$86,0),MONTH(D$21)+1),0))</f>
        <v>0</v>
      </c>
      <c r="E27" s="92">
        <f>IF(E$21&gt;MAX($A$64:$A$500),"",SUMIFS($Y$64:$Y$500,$D$64:$D$500,$A27,$A$64:$A$500,"&lt;"&amp;EDATE(E$21,1))-SUMIFS($Y$64:$Y$500,$C$64:$C$500,$A27,$A$64:$A$500,"&lt;"&amp;EDATE(E$21,1))-IFERROR(INDEX('_예비비계산'!$BI$81:$BU$86,MATCH($A27,'_예비비계산'!$BH$81:$BH$86,0),MONTH(E$21)+1),0))</f>
        <v>0</v>
      </c>
      <c r="F27" s="92">
        <f>IF(F$21&gt;MAX($A$64:$A$500),"",SUMIFS($Y$64:$Y$500,$D$64:$D$500,$A27,$A$64:$A$500,"&lt;"&amp;EDATE(F$21,1))-SUMIFS($Y$64:$Y$500,$C$64:$C$500,$A27,$A$64:$A$500,"&lt;"&amp;EDATE(F$21,1))-IFERROR(INDEX('_예비비계산'!$BI$81:$BU$86,MATCH($A27,'_예비비계산'!$BH$81:$BH$86,0),MONTH(F$21)+1),0))</f>
        <v>0</v>
      </c>
      <c r="G27" s="92">
        <f>IF(G$21&gt;MAX($A$64:$A$500),"",SUMIFS($Y$64:$Y$500,$D$64:$D$500,$A27,$A$64:$A$500,"&lt;"&amp;EDATE(G$21,1))-SUMIFS($Y$64:$Y$500,$C$64:$C$500,$A27,$A$64:$A$500,"&lt;"&amp;EDATE(G$21,1))-IFERROR(INDEX('_예비비계산'!$BI$81:$BU$86,MATCH($A27,'_예비비계산'!$BH$81:$BH$86,0),MONTH(G$21)+1),0))</f>
        <v>0</v>
      </c>
      <c r="H27" s="92">
        <f>IF(H$21&gt;MAX($A$64:$A$500),"",SUMIFS($Y$64:$Y$500,$D$64:$D$500,$A27,$A$64:$A$500,"&lt;"&amp;EDATE(H$21,1))-SUMIFS($Y$64:$Y$500,$C$64:$C$500,$A27,$A$64:$A$500,"&lt;"&amp;EDATE(H$21,1))-IFERROR(INDEX('_예비비계산'!$BI$81:$BU$86,MATCH($A27,'_예비비계산'!$BH$81:$BH$86,0),MONTH(H$21)+1),0))</f>
        <v>0</v>
      </c>
      <c r="I27" s="92">
        <f>IF(I$21&gt;MAX($A$64:$A$500),"",SUMIFS($Y$64:$Y$500,$D$64:$D$500,$A27,$A$64:$A$500,"&lt;"&amp;EDATE(I$21,1))-SUMIFS($Y$64:$Y$500,$C$64:$C$500,$A27,$A$64:$A$500,"&lt;"&amp;EDATE(I$21,1))-IFERROR(INDEX('_예비비계산'!$BI$81:$BU$86,MATCH($A27,'_예비비계산'!$BH$81:$BH$86,0),MONTH(I$21)+1),0))</f>
        <v>0</v>
      </c>
      <c r="J27" s="92">
        <f>IF(J$21&gt;MAX($A$64:$A$500),"",SUMIFS($Y$64:$Y$500,$D$64:$D$500,$A27,$A$64:$A$500,"&lt;"&amp;EDATE(J$21,1))-SUMIFS($Y$64:$Y$500,$C$64:$C$500,$A27,$A$64:$A$500,"&lt;"&amp;EDATE(J$21,1))-IFERROR(INDEX('_예비비계산'!$BI$81:$BU$86,MATCH($A27,'_예비비계산'!$BH$81:$BH$86,0),MONTH(J$21)+1),0))</f>
        <v>0</v>
      </c>
      <c r="K27" s="92">
        <f>IF(K$21&gt;MAX($A$64:$A$500),"",SUMIFS($Y$64:$Y$500,$D$64:$D$500,$A27,$A$64:$A$500,"&lt;"&amp;EDATE(K$21,1))-SUMIFS($Y$64:$Y$500,$C$64:$C$500,$A27,$A$64:$A$500,"&lt;"&amp;EDATE(K$21,1))-IFERROR(INDEX('_예비비계산'!$BI$81:$BU$86,MATCH($A27,'_예비비계산'!$BH$81:$BH$86,0),MONTH(K$21)+1),0))</f>
      </c>
      <c r="L27" s="92">
        <f>IF(L$21&gt;MAX($A$64:$A$500),"",SUMIFS($Y$64:$Y$500,$D$64:$D$500,$A27,$A$64:$A$500,"&lt;"&amp;EDATE(L$21,1))-SUMIFS($Y$64:$Y$500,$C$64:$C$500,$A27,$A$64:$A$500,"&lt;"&amp;EDATE(L$21,1))-IFERROR(INDEX('_예비비계산'!$BI$81:$BU$86,MATCH($A27,'_예비비계산'!$BH$81:$BH$86,0),MONTH(L$21)+1),0)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"&amp;EDATE(C$21,1))-SUMIFS($Y$64:$Y$500,$C$64:$C$500,$A28,$A$64:$A$500,"&lt;"&amp;EDATE(C$21,1))+IFERROR(INDEX('_예비비계산'!$BI$81:$BU$86,MATCH($A28,'_예비비계산'!$BH$81:$BH$86,0),MONTH(C$21)+1),0))</f>
        <v>21500</v>
      </c>
      <c r="D28" s="92">
        <f>IF(D$21&gt;MAX($A$64:$A$500),"",SUMIFS($Y$64:$Y$500,$D$64:$D$500,$A28,$A$64:$A$500,"&lt;"&amp;EDATE(D$21,1))-SUMIFS($Y$64:$Y$500,$C$64:$C$500,$A28,$A$64:$A$500,"&lt;"&amp;EDATE(D$21,1))+IFERROR(INDEX('_예비비계산'!$BI$81:$BU$86,MATCH($A28,'_예비비계산'!$BH$81:$BH$86,0),MONTH(D$21)+1),0))</f>
        <v>0</v>
      </c>
      <c r="E28" s="92">
        <f>IF(E$21&gt;MAX($A$64:$A$500),"",SUMIFS($Y$64:$Y$500,$D$64:$D$500,$A28,$A$64:$A$500,"&lt;"&amp;EDATE(E$21,1))-SUMIFS($Y$64:$Y$500,$C$64:$C$500,$A28,$A$64:$A$500,"&lt;"&amp;EDATE(E$21,1))+IFERROR(INDEX('_예비비계산'!$BI$81:$BU$86,MATCH($A28,'_예비비계산'!$BH$81:$BH$86,0),MONTH(E$21)+1),0))</f>
        <v>0</v>
      </c>
      <c r="F28" s="92">
        <f>IF(F$21&gt;MAX($A$64:$A$500),"",SUMIFS($Y$64:$Y$500,$D$64:$D$500,$A28,$A$64:$A$500,"&lt;"&amp;EDATE(F$21,1))-SUMIFS($Y$64:$Y$500,$C$64:$C$500,$A28,$A$64:$A$500,"&lt;"&amp;EDATE(F$21,1))+IFERROR(INDEX('_예비비계산'!$BI$81:$BU$86,MATCH($A28,'_예비비계산'!$BH$81:$BH$86,0),MONTH(F$21)+1),0))</f>
        <v>0</v>
      </c>
      <c r="G28" s="92">
        <f>IF(G$21&gt;MAX($A$64:$A$500),"",SUMIFS($Y$64:$Y$500,$D$64:$D$500,$A28,$A$64:$A$500,"&lt;"&amp;EDATE(G$21,1))-SUMIFS($Y$64:$Y$500,$C$64:$C$500,$A28,$A$64:$A$500,"&lt;"&amp;EDATE(G$21,1))+IFERROR(INDEX('_예비비계산'!$BI$81:$BU$86,MATCH($A28,'_예비비계산'!$BH$81:$BH$86,0),MONTH(G$21)+1),0))</f>
        <v>0</v>
      </c>
      <c r="H28" s="92">
        <f>IF(H$21&gt;MAX($A$64:$A$500),"",SUMIFS($Y$64:$Y$500,$D$64:$D$500,$A28,$A$64:$A$500,"&lt;"&amp;EDATE(H$21,1))-SUMIFS($Y$64:$Y$500,$C$64:$C$500,$A28,$A$64:$A$500,"&lt;"&amp;EDATE(H$21,1))+IFERROR(INDEX('_예비비계산'!$BI$81:$BU$86,MATCH($A28,'_예비비계산'!$BH$81:$BH$86,0),MONTH(H$21)+1),0))</f>
        <v>0</v>
      </c>
      <c r="I28" s="92">
        <f>IF(I$21&gt;MAX($A$64:$A$500),"",SUMIFS($Y$64:$Y$500,$D$64:$D$500,$A28,$A$64:$A$500,"&lt;"&amp;EDATE(I$21,1))-SUMIFS($Y$64:$Y$500,$C$64:$C$500,$A28,$A$64:$A$500,"&lt;"&amp;EDATE(I$21,1))+IFERROR(INDEX('_예비비계산'!$BI$81:$BU$86,MATCH($A28,'_예비비계산'!$BH$81:$BH$86,0),MONTH(I$21)+1),0))</f>
        <v>0</v>
      </c>
      <c r="J28" s="92">
        <f>IF(J$21&gt;MAX($A$64:$A$500),"",SUMIFS($Y$64:$Y$500,$D$64:$D$500,$A28,$A$64:$A$500,"&lt;"&amp;EDATE(J$21,1))-SUMIFS($Y$64:$Y$500,$C$64:$C$500,$A28,$A$64:$A$500,"&lt;"&amp;EDATE(J$21,1))+IFERROR(INDEX('_예비비계산'!$BI$81:$BU$86,MATCH($A28,'_예비비계산'!$BH$81:$BH$86,0),MONTH(J$21)+1),0))</f>
        <v>0</v>
      </c>
      <c r="K28" s="92">
        <f>IF(K$21&gt;MAX($A$64:$A$500),"",SUMIFS($Y$64:$Y$500,$D$64:$D$500,$A28,$A$64:$A$500,"&lt;"&amp;EDATE(K$21,1))-SUMIFS($Y$64:$Y$500,$C$64:$C$500,$A28,$A$64:$A$500,"&lt;"&amp;EDATE(K$21,1))+IFERROR(INDEX('_예비비계산'!$BI$81:$BU$86,MATCH($A28,'_예비비계산'!$BH$81:$BH$86,0),MONTH(K$21)+1),0))</f>
      </c>
      <c r="L28" s="92">
        <f>IF(L$21&gt;MAX($A$64:$A$500),"",SUMIFS($Y$64:$Y$500,$D$64:$D$500,$A28,$A$64:$A$500,"&lt;"&amp;EDATE(L$21,1))-SUMIFS($Y$64:$Y$500,$C$64:$C$500,$A28,$A$64:$A$500,"&lt;"&amp;EDATE(L$21,1))+IFERROR(INDEX('_예비비계산'!$BI$81:$BU$86,MATCH($A28,'_예비비계산'!$BH$81:$BH$86,0),MONTH(L$21)+1),0)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IF(C$21&gt;MAX($A$64:$A$500),"",SUMIFS($Y$64:$Y$500,$D$64:$D$500,$A29,$A$64:$A$500,"&lt;"&amp;EDATE(C$21,1))-SUMIFS($Y$64:$Y$500,$C$64:$C$500,$A29,$A$64:$A$500,"&lt;"&amp;EDATE(C$21,1)))</f>
        <v>0</v>
      </c>
      <c r="D29" s="92">
        <f>IF(D$21&gt;MAX($A$64:$A$500),"",SUMIFS($Y$64:$Y$500,$D$64:$D$500,$A29,$A$64:$A$500,"&lt;"&amp;EDATE(D$21,1))-SUMIFS($Y$64:$Y$500,$C$64:$C$500,$A29,$A$64:$A$500,"&lt;"&amp;EDATE(D$21,1)))</f>
        <v>2151</v>
      </c>
      <c r="E29" s="92">
        <f>IF(E$21&gt;MAX($A$64:$A$500),"",SUMIFS($Y$64:$Y$500,$D$64:$D$500,$A29,$A$64:$A$500,"&lt;"&amp;EDATE(E$21,1))-SUMIFS($Y$64:$Y$500,$C$64:$C$500,$A29,$A$64:$A$500,"&lt;"&amp;EDATE(E$21,1)))</f>
        <v>1137</v>
      </c>
      <c r="F29" s="92">
        <f>IF(F$21&gt;MAX($A$64:$A$500),"",SUMIFS($Y$64:$Y$500,$D$64:$D$500,$A29,$A$64:$A$500,"&lt;"&amp;EDATE(F$21,1))-SUMIFS($Y$64:$Y$500,$C$64:$C$500,$A29,$A$64:$A$500,"&lt;"&amp;EDATE(F$21,1)))</f>
        <v>4897</v>
      </c>
      <c r="G29" s="92">
        <f>IF(G$21&gt;MAX($A$64:$A$500),"",SUMIFS($Y$64:$Y$500,$D$64:$D$500,$A29,$A$64:$A$500,"&lt;"&amp;EDATE(G$21,1))-SUMIFS($Y$64:$Y$500,$C$64:$C$500,$A29,$A$64:$A$500,"&lt;"&amp;EDATE(G$21,1)))</f>
        <v>27858</v>
      </c>
      <c r="H29" s="92">
        <f>IF(H$21&gt;MAX($A$64:$A$500),"",SUMIFS($Y$64:$Y$500,$D$64:$D$500,$A29,$A$64:$A$500,"&lt;"&amp;EDATE(H$21,1))-SUMIFS($Y$64:$Y$500,$C$64:$C$500,$A29,$A$64:$A$500,"&lt;"&amp;EDATE(H$21,1)))</f>
        <v>0</v>
      </c>
      <c r="I29" s="92">
        <f>IF(I$21&gt;MAX($A$64:$A$500),"",SUMIFS($Y$64:$Y$500,$D$64:$D$500,$A29,$A$64:$A$500,"&lt;"&amp;EDATE(I$21,1))-SUMIFS($Y$64:$Y$500,$C$64:$C$500,$A29,$A$64:$A$500,"&lt;"&amp;EDATE(I$21,1)))</f>
        <v>0</v>
      </c>
      <c r="J29" s="92">
        <f>IF(J$21&gt;MAX($A$64:$A$500),"",SUMIFS($Y$64:$Y$500,$D$64:$D$500,$A29,$A$64:$A$500,"&lt;"&amp;EDATE(J$21,1))-SUMIFS($Y$64:$Y$500,$C$64:$C$500,$A29,$A$64:$A$500,"&lt;"&amp;EDATE(J$21,1)))</f>
        <v>0</v>
      </c>
      <c r="K29" s="92">
        <f>IF(K$21&gt;MAX($A$64:$A$500),"",SUMIFS($Y$64:$Y$500,$D$64:$D$500,$A29,$A$64:$A$500,"&lt;"&amp;EDATE(K$21,1))-SUMIFS($Y$64:$Y$500,$C$64:$C$500,$A29,$A$64:$A$500,"&lt;"&amp;EDATE(K$21,1)))</f>
      </c>
      <c r="L29" s="92">
        <f>IF(L$21&gt;MAX($A$64:$A$500),"",SUMIFS($Y$64:$Y$500,$D$64:$D$500,$A29,$A$64:$A$500,"&lt;"&amp;EDATE(L$21,1))-SUMIFS($Y$64:$Y$500,$C$64:$C$500,$A29,$A$64:$A$500,"&lt;"&amp;EDATE(L$21,1)))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IF(C$21&gt;MAX($A$64:$A$500),"",SUMIFS($Y$64:$Y$500,$D$64:$D$500,$A30,$A$64:$A$500,"&lt;"&amp;EDATE(C$21,1))-SUMIFS($Y$64:$Y$500,$C$64:$C$500,$A30,$A$64:$A$500,"&lt;"&amp;EDATE(C$21,1)))</f>
        <v>2042224</v>
      </c>
      <c r="D30" s="92">
        <f>IF(D$21&gt;MAX($A$64:$A$500),"",SUMIFS($Y$64:$Y$500,$D$64:$D$500,$A30,$A$64:$A$500,"&lt;"&amp;EDATE(D$21,1))-SUMIFS($Y$64:$Y$500,$C$64:$C$500,$A30,$A$64:$A$500,"&lt;"&amp;EDATE(D$21,1)))</f>
        <v>2548910</v>
      </c>
      <c r="E30" s="92">
        <f>IF(E$21&gt;MAX($A$64:$A$500),"",SUMIFS($Y$64:$Y$500,$D$64:$D$500,$A30,$A$64:$A$500,"&lt;"&amp;EDATE(E$21,1))-SUMIFS($Y$64:$Y$500,$C$64:$C$500,$A30,$A$64:$A$500,"&lt;"&amp;EDATE(E$21,1)))</f>
        <v>2042174</v>
      </c>
      <c r="F30" s="92">
        <f>IF(F$21&gt;MAX($A$64:$A$500),"",SUMIFS($Y$64:$Y$500,$D$64:$D$500,$A30,$A$64:$A$500,"&lt;"&amp;EDATE(F$21,1))-SUMIFS($Y$64:$Y$500,$C$64:$C$500,$A30,$A$64:$A$500,"&lt;"&amp;EDATE(F$21,1)))</f>
        <v>6188750</v>
      </c>
      <c r="G30" s="92">
        <f>IF(G$21&gt;MAX($A$64:$A$500),"",SUMIFS($Y$64:$Y$500,$D$64:$D$500,$A30,$A$64:$A$500,"&lt;"&amp;EDATE(G$21,1))-SUMIFS($Y$64:$Y$500,$C$64:$C$500,$A30,$A$64:$A$500,"&lt;"&amp;EDATE(G$21,1)))</f>
        <v>11338850</v>
      </c>
      <c r="H30" s="92">
        <f>IF(H$21&gt;MAX($A$64:$A$500),"",SUMIFS($Y$64:$Y$500,$D$64:$D$500,$A30,$A$64:$A$500,"&lt;"&amp;EDATE(H$21,1))-SUMIFS($Y$64:$Y$500,$C$64:$C$500,$A30,$A$64:$A$500,"&lt;"&amp;EDATE(H$21,1)))</f>
        <v>9495719</v>
      </c>
      <c r="I30" s="92">
        <f>IF(I$21&gt;MAX($A$64:$A$500),"",SUMIFS($Y$64:$Y$500,$D$64:$D$500,$A30,$A$64:$A$500,"&lt;"&amp;EDATE(I$21,1))-SUMIFS($Y$64:$Y$500,$C$64:$C$500,$A30,$A$64:$A$500,"&lt;"&amp;EDATE(I$21,1)))</f>
        <v>0</v>
      </c>
      <c r="J30" s="92">
        <f>IF(J$21&gt;MAX($A$64:$A$500),"",SUMIFS($Y$64:$Y$500,$D$64:$D$500,$A30,$A$64:$A$500,"&lt;"&amp;EDATE(J$21,1))-SUMIFS($Y$64:$Y$500,$C$64:$C$500,$A30,$A$64:$A$500,"&lt;"&amp;EDATE(J$21,1)))</f>
        <v>0</v>
      </c>
      <c r="K30" s="92">
        <f>IF(K$21&gt;MAX($A$64:$A$500),"",SUMIFS($Y$64:$Y$500,$D$64:$D$500,$A30,$A$64:$A$500,"&lt;"&amp;EDATE(K$21,1))-SUMIFS($Y$64:$Y$500,$C$64:$C$500,$A30,$A$64:$A$500,"&lt;"&amp;EDATE(K$21,1)))</f>
      </c>
      <c r="L30" s="92">
        <f>IF(L$21&gt;MAX($A$64:$A$500),"",SUMIFS($Y$64:$Y$500,$D$64:$D$500,$A30,$A$64:$A$500,"&lt;"&amp;EDATE(L$21,1))-SUMIFS($Y$64:$Y$500,$C$64:$C$500,$A30,$A$64:$A$500,"&lt;"&amp;EDATE(L$21,1)))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6669766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inlineStr">
        <is>
          <t xml:space="preserve">목적계정 사용가능액 + 결제대금비 등 모든 계정 = WRAP 현금. 결제대금 자동 확보는 총현금을 바꾸지 않습니다.</t>
        </is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inlineStr">
        <is>
          <t xml:space="preserve">내역 월(연동)</t>
        </is>
      </c>
      <c r="B35" s="308">
        <f>MONTH($B$3)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tr">
        <f>"표시: 내역 "&amp;$AA$35&amp;"/"&amp;$F$35&amp;" · 이체 "&amp;$AB$35&amp;"/"&amp;$I$35</f>
        <v>표시: 내역 1/1 · 이체 1/1</v>
      </c>
      <c r="K35" s="345"/>
      <c r="L35" s="345"/>
      <c r="M35" s="80"/>
      <c r="N35" s="80"/>
      <c r="V35" s="80">
        <f>$B$3</f>
        <v>46296.0</v>
      </c>
      <c r="AA35">
        <f>MIN(MAX(1,IFERROR(INT($E$35),1)),$F$35)</f>
        <v>1</v>
      </c>
      <c r="AB35">
        <f>MIN(MAX(1,IFERROR(INT($H$35),1)),$I$35)</f>
        <v>1</v>
      </c>
    </row>
    <row r="36" spans="1:22" ht="24" customHeight="1">
      <c r="A36" s="354" t="str">
        <f>"WRAP 입금·사용 ("&amp;COUNTIFS($H$64:$H$500,$V$35,$P$64:$P$500,"내역")&amp;"건)"</f>
        <v>WRAP 입금·사용 (3건)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(13건)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46308.859037118054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미래에셋 WRAP 이자</v>
      </c>
      <c r="D38" s="341"/>
      <c r="E38" s="342"/>
      <c r="F38" s="312">
        <f t="shared" ref="F38:F59" si="13">IF($M38=0,"",INDEX($T$64:$T$500,$M38))</f>
        <v>535</v>
      </c>
      <c r="G38" s="310">
        <f t="shared" ref="G38:G59" si="14">IF($N38=0,"",INDEX($U$64:$U$500,$N38))</f>
        <v>46312.66737074074</v>
      </c>
      <c r="H38" s="311" t="str">
        <f t="shared" ref="H38:H59" si="15">SUBSTITUTE(IF($N38=0,"",IF(INDEX($J$64:$J$500,$N38)&lt;&gt;"",INDEX($J$64:$J$500,$N38),INDEX($C$64:$C$500,$N38))),"미래에셋_WRAP형CMA","미래에셋 WRAP")</f>
        <v>미래에셋 WRAP</v>
      </c>
      <c r="I38" s="311" t="str">
        <f t="shared" ref="I38:I59" si="16">SUBSTITUTE(IF($N38=0,"",IF(INDEX($K$64:$K$500,$N38)&lt;&gt;"",INDEX($K$64:$K$500,$N38),INDEX($D$64:$D$500,$N38))),"미래에셋_WRAP형CMA","미래에셋 WRAP")</f>
        <v>카카오페이머니</v>
      </c>
      <c r="J38" s="313">
        <f t="shared" ref="J38:J59" si="17">IF($N38=0,"",INDEX($E$64:$E$500,$N38))</f>
        <v>15700</v>
      </c>
      <c r="K38" s="340" t="str">
        <f t="shared" ref="K38:K59" si="18">IF($N38=0,"",INDEX($F$64:$F$500,$N38))</f>
        <v>외부출금 · 카카오페이 충전</v>
      </c>
      <c r="L38" s="342"/>
      <c r="M38" s="80">
        <f>IFERROR(MATCH(TEXT($V$35,"yyyymm")&amp;"_내역_"&amp;(38-37+($AA$35-1)*22),$R$64:$R$500,0),0)</f>
        <v>182</v>
      </c>
      <c r="N38" s="80">
        <f>IFERROR(MATCH(TEXT($V$35,"yyyymm")&amp;"_이체_"&amp;(38-37+($AB$35-1)*22),$R$64:$R$500,0),0)</f>
        <v>185</v>
      </c>
    </row>
    <row r="39" spans="1:22" ht="24" customHeight="1">
      <c r="A39" s="310">
        <f t="shared" si="10"/>
        <v>46307.84306710648</v>
      </c>
      <c r="B39" s="311" t="str">
        <f t="shared" si="11"/>
        <v>생활비</v>
      </c>
      <c r="C39" s="340" t="str">
        <f t="shared" si="12"/>
        <v>미래에셋 WRAP 이자</v>
      </c>
      <c r="D39" s="341"/>
      <c r="E39" s="342"/>
      <c r="F39" s="312">
        <f t="shared" si="13"/>
        <v>8557</v>
      </c>
      <c r="G39" s="310">
        <f t="shared" si="14"/>
        <v>46310.9587962963</v>
      </c>
      <c r="H39" s="311" t="str">
        <f t="shared" si="15"/>
        <v>미래에셋 WRAP</v>
      </c>
      <c r="I39" s="311" t="str">
        <f t="shared" si="16"/>
        <v>미래에셋 WRAP</v>
      </c>
      <c r="J39" s="313">
        <f t="shared" si="17"/>
        <v>61000</v>
      </c>
      <c r="K39" s="340" t="str">
        <f t="shared" si="18"/>
        <v>생신 잔금 임시보관 → 생활비</v>
      </c>
      <c r="L39" s="342"/>
      <c r="M39" s="80">
        <f>IFERROR(MATCH(TEXT($V$35,"yyyymm")&amp;"_내역_"&amp;(39-37+($AA$35-1)*22),$R$64:$R$500,0),0)</f>
        <v>175</v>
      </c>
      <c r="N39" s="80">
        <f>IFERROR(MATCH(TEXT($V$35,"yyyymm")&amp;"_이체_"&amp;(39-37+($AB$35-1)*22),$R$64:$R$500,0),0)</f>
        <v>184</v>
      </c>
    </row>
    <row r="40" spans="1:22" ht="24" customHeight="1">
      <c r="A40" s="310">
        <f t="shared" si="10"/>
        <v>46297.6222230787</v>
      </c>
      <c r="B40" s="311" t="str">
        <f t="shared" si="11"/>
        <v>생활비</v>
      </c>
      <c r="C40" s="340" t="str">
        <f t="shared" si="12"/>
        <v>두끼떡볶이</v>
      </c>
      <c r="D40" s="341"/>
      <c r="E40" s="342"/>
      <c r="F40" s="312">
        <f t="shared" si="13"/>
        <v>-11900</v>
      </c>
      <c r="G40" s="310">
        <f t="shared" si="14"/>
        <v>46310.93959303241</v>
      </c>
      <c r="H40" s="311" t="str">
        <f t="shared" si="15"/>
        <v>가족통장</v>
      </c>
      <c r="I40" s="311" t="str">
        <f t="shared" si="16"/>
        <v>미래에셋 WRAP</v>
      </c>
      <c r="J40" s="313">
        <f t="shared" si="17"/>
        <v>61000</v>
      </c>
      <c r="K40" s="340" t="str">
        <f t="shared" si="18"/>
        <v>부모 생신 미사용 원금 회수</v>
      </c>
      <c r="L40" s="342"/>
      <c r="M40" s="80">
        <f>IFERROR(MATCH(TEXT($V$35,"yyyymm")&amp;"_내역_"&amp;(40-37+($AA$35-1)*22),$R$64:$R$500,0),0)</f>
        <v>179</v>
      </c>
      <c r="N40" s="80">
        <f>IFERROR(MATCH(TEXT($V$35,"yyyymm")&amp;"_이체_"&amp;(40-37+($AB$35-1)*22),$R$64:$R$500,0),0)</f>
        <v>183</v>
      </c>
    </row>
    <row r="41" spans="1:22" ht="24" customHeight="1">
      <c r="A41" s="310">
        <f t="shared" si="10"/>
      </c>
      <c r="B41" s="311">
        <f t="shared" si="11"/>
      </c>
      <c r="C41" s="340">
        <f t="shared" si="12"/>
      </c>
      <c r="D41" s="341"/>
      <c r="E41" s="342"/>
      <c r="F41" s="312">
        <f t="shared" si="13"/>
      </c>
      <c r="G41" s="310">
        <f t="shared" si="14"/>
        <v>46308.851395949074</v>
      </c>
      <c r="H41" s="311" t="str">
        <f t="shared" si="15"/>
        <v>신한은행V2</v>
      </c>
      <c r="I41" s="311" t="str">
        <f t="shared" si="16"/>
        <v>미래에셋 WRAP</v>
      </c>
      <c r="J41" s="313">
        <f t="shared" si="17"/>
        <v>22210</v>
      </c>
      <c r="K41" s="340" t="str">
        <f t="shared" si="18"/>
        <v>신한은행V2 → 미래에셋 WRAP</v>
      </c>
      <c r="L41" s="342"/>
      <c r="M41" s="80">
        <f>IFERROR(MATCH(TEXT($V$35,"yyyymm")&amp;"_내역_"&amp;(41-37+($AA$35-1)*22),$R$64:$R$500,0),0)</f>
        <v>0</v>
      </c>
      <c r="N41" s="80">
        <f>IFERROR(MATCH(TEXT($V$35,"yyyymm")&amp;"_이체_"&amp;(41-37+($AB$35-1)*22),$R$64:$R$500,0),0)</f>
        <v>168</v>
      </c>
    </row>
    <row r="42" spans="1:22" ht="24" customHeight="1">
      <c r="A42" s="310">
        <f t="shared" si="10"/>
      </c>
      <c r="B42" s="311">
        <f t="shared" si="11"/>
      </c>
      <c r="C42" s="340">
        <f t="shared" si="12"/>
      </c>
      <c r="D42" s="341"/>
      <c r="E42" s="342"/>
      <c r="F42" s="312">
        <f t="shared" si="13"/>
      </c>
      <c r="G42" s="310">
        <f t="shared" si="14"/>
        <v>46308.850696064816</v>
      </c>
      <c r="H42" s="311" t="str">
        <f t="shared" si="15"/>
        <v>미래에셋 WRAP</v>
      </c>
      <c r="I42" s="311" t="str">
        <f t="shared" si="16"/>
        <v>토스뱅크</v>
      </c>
      <c r="J42" s="313">
        <f t="shared" si="17"/>
        <v>236270</v>
      </c>
      <c r="K42" s="340" t="str">
        <f t="shared" si="18"/>
        <v>미래에셋 WRAP → 토스뱅크</v>
      </c>
      <c r="L42" s="342"/>
      <c r="M42" s="80">
        <f>IFERROR(MATCH(TEXT($V$35,"yyyymm")&amp;"_내역_"&amp;(42-37+($AA$35-1)*22),$R$64:$R$500,0),0)</f>
        <v>0</v>
      </c>
      <c r="N42" s="80">
        <f>IFERROR(MATCH(TEXT($V$35,"yyyymm")&amp;"_이체_"&amp;(42-37+($AB$35-1)*22),$R$64:$R$500,0),0)</f>
        <v>169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46308.85000755787</v>
      </c>
      <c r="H43" s="311" t="str">
        <f t="shared" si="15"/>
        <v>미래에셋 WRAP</v>
      </c>
      <c r="I43" s="311" t="str">
        <f t="shared" si="16"/>
        <v>우리은행</v>
      </c>
      <c r="J43" s="313">
        <f t="shared" si="17"/>
        <v>246568</v>
      </c>
      <c r="K43" s="340" t="str">
        <f t="shared" si="18"/>
        <v>미래에셋 WRAP → 우리은행</v>
      </c>
      <c r="L43" s="342"/>
      <c r="M43" s="80">
        <f>IFERROR(MATCH(TEXT($V$35,"yyyymm")&amp;"_내역_"&amp;(43-37+($AA$35-1)*22),$R$64:$R$500,0),0)</f>
        <v>0</v>
      </c>
      <c r="N43" s="80">
        <f>IFERROR(MATCH(TEXT($V$35,"yyyymm")&amp;"_이체_"&amp;(43-37+($AB$35-1)*22),$R$64:$R$500,0),0)</f>
        <v>170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46308.848613587965</v>
      </c>
      <c r="H44" s="311" t="str">
        <f t="shared" si="15"/>
        <v>미래에셋 WRAP</v>
      </c>
      <c r="I44" s="311" t="str">
        <f t="shared" si="16"/>
        <v>국민은행</v>
      </c>
      <c r="J44" s="313">
        <f t="shared" si="17"/>
        <v>360550</v>
      </c>
      <c r="K44" s="340" t="str">
        <f t="shared" si="18"/>
        <v>미래에셋 WRAP → 국민은행</v>
      </c>
      <c r="L44" s="342"/>
      <c r="M44" s="80">
        <f>IFERROR(MATCH(TEXT($V$35,"yyyymm")&amp;"_내역_"&amp;(44-37+($AA$35-1)*22),$R$64:$R$500,0),0)</f>
        <v>0</v>
      </c>
      <c r="N44" s="80">
        <f>IFERROR(MATCH(TEXT($V$35,"yyyymm")&amp;"_이체_"&amp;(44-37+($AB$35-1)*22),$R$64:$R$500,0),0)</f>
        <v>171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46308.84792493055</v>
      </c>
      <c r="H45" s="311" t="str">
        <f t="shared" si="15"/>
        <v>미래에셋 WRAP</v>
      </c>
      <c r="I45" s="311" t="str">
        <f t="shared" si="16"/>
        <v>토스뱅크</v>
      </c>
      <c r="J45" s="313">
        <f t="shared" si="17"/>
        <v>798746</v>
      </c>
      <c r="K45" s="340" t="str">
        <f t="shared" si="18"/>
        <v>미래에셋 WRAP → 토스뱅크</v>
      </c>
      <c r="L45" s="342"/>
      <c r="M45" s="80">
        <f>IFERROR(MATCH(TEXT($V$35,"yyyymm")&amp;"_내역_"&amp;(45-37+($AA$35-1)*22),$R$64:$R$500,0),0)</f>
        <v>0</v>
      </c>
      <c r="N45" s="80">
        <f>IFERROR(MATCH(TEXT($V$35,"yyyymm")&amp;"_이체_"&amp;(45-37+($AB$35-1)*22),$R$64:$R$500,0),0)</f>
        <v>172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46308.84583777778</v>
      </c>
      <c r="H46" s="311" t="str">
        <f t="shared" si="15"/>
        <v>토스뱅크</v>
      </c>
      <c r="I46" s="311" t="str">
        <f t="shared" si="16"/>
        <v>미래에셋 WRAP</v>
      </c>
      <c r="J46" s="313">
        <f t="shared" si="17"/>
        <v>604300</v>
      </c>
      <c r="K46" s="340" t="str">
        <f t="shared" si="18"/>
        <v>토스뱅크 → 미래에셋 WRAP</v>
      </c>
      <c r="L46" s="342"/>
      <c r="M46" s="80">
        <f>IFERROR(MATCH(TEXT($V$35,"yyyymm")&amp;"_내역_"&amp;(46-37+($AA$35-1)*22),$R$64:$R$500,0),0)</f>
        <v>0</v>
      </c>
      <c r="N46" s="80">
        <f>IFERROR(MATCH(TEXT($V$35,"yyyymm")&amp;"_이체_"&amp;(46-37+($AB$35-1)*22),$R$64:$R$500,0),0)</f>
        <v>173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46308.74901017361</v>
      </c>
      <c r="H47" s="311" t="str">
        <f t="shared" si="15"/>
        <v>미래에셋 WRAP</v>
      </c>
      <c r="I47" s="311" t="str">
        <f t="shared" si="16"/>
        <v>새마을금고</v>
      </c>
      <c r="J47" s="313">
        <f t="shared" si="17"/>
        <v>753905</v>
      </c>
      <c r="K47" s="340" t="str">
        <f t="shared" si="18"/>
        <v>미래에셋 WRAP → 새마을금고</v>
      </c>
      <c r="L47" s="342"/>
      <c r="M47" s="80">
        <f>IFERROR(MATCH(TEXT($V$35,"yyyymm")&amp;"_내역_"&amp;(47-37+($AA$35-1)*22),$R$64:$R$500,0),0)</f>
        <v>0</v>
      </c>
      <c r="N47" s="80">
        <f>IFERROR(MATCH(TEXT($V$35,"yyyymm")&amp;"_이체_"&amp;(47-37+($AB$35-1)*22),$R$64:$R$500,0),0)</f>
        <v>174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  <v>46307.82500104167</v>
      </c>
      <c r="H48" s="311" t="str">
        <f t="shared" si="15"/>
        <v>미래에셋 WRAP</v>
      </c>
      <c r="I48" s="311" t="str">
        <f t="shared" si="16"/>
        <v>카카오뱅크</v>
      </c>
      <c r="J48" s="313">
        <f t="shared" si="17"/>
        <v>1390</v>
      </c>
      <c r="K48" s="340" t="str">
        <f t="shared" si="18"/>
        <v>미래에셋 WRAP → 카카오뱅크</v>
      </c>
      <c r="L48" s="342"/>
      <c r="M48" s="80">
        <f>IFERROR(MATCH(TEXT($V$35,"yyyymm")&amp;"_내역_"&amp;(48-37+($AA$35-1)*22),$R$64:$R$500,0),0)</f>
        <v>0</v>
      </c>
      <c r="N48" s="80">
        <f>IFERROR(MATCH(TEXT($V$35,"yyyymm")&amp;"_이체_"&amp;(48-37+($AB$35-1)*22),$R$64:$R$500,0),0)</f>
        <v>176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  <v>46307.82431055555</v>
      </c>
      <c r="H49" s="311" t="str">
        <f t="shared" si="15"/>
        <v>미래에셋 WRAP</v>
      </c>
      <c r="I49" s="311" t="str">
        <f t="shared" si="16"/>
        <v>신한은행</v>
      </c>
      <c r="J49" s="313">
        <f t="shared" si="17"/>
        <v>90410</v>
      </c>
      <c r="K49" s="340" t="str">
        <f t="shared" si="18"/>
        <v>미래에셋 WRAP → 신한은행</v>
      </c>
      <c r="L49" s="342"/>
      <c r="M49" s="80">
        <f>IFERROR(MATCH(TEXT($V$35,"yyyymm")&amp;"_내역_"&amp;(49-37+($AA$35-1)*22),$R$64:$R$500,0),0)</f>
        <v>0</v>
      </c>
      <c r="N49" s="80">
        <f>IFERROR(MATCH(TEXT($V$35,"yyyymm")&amp;"_이체_"&amp;(49-37+($AB$35-1)*22),$R$64:$R$500,0),0)</f>
        <v>177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  <v>46299.620147118054</v>
      </c>
      <c r="H50" s="311" t="str">
        <f t="shared" si="15"/>
        <v>미래에셋 WRAP</v>
      </c>
      <c r="I50" s="311" t="str">
        <f t="shared" si="16"/>
        <v>모임통장</v>
      </c>
      <c r="J50" s="313">
        <f t="shared" si="17"/>
        <v>50000</v>
      </c>
      <c r="K50" s="340" t="str">
        <f t="shared" si="18"/>
        <v>미래에셋 WRAP → 모임통장</v>
      </c>
      <c r="L50" s="342"/>
      <c r="M50" s="80">
        <f>IFERROR(MATCH(TEXT($V$35,"yyyymm")&amp;"_내역_"&amp;(50-37+($AA$35-1)*22),$R$64:$R$500,0),0)</f>
        <v>0</v>
      </c>
      <c r="N50" s="80">
        <f>IFERROR(MATCH(TEXT($V$35,"yyyymm")&amp;"_이체_"&amp;(50-37+($AB$35-1)*22),$R$64:$R$500,0),0)</f>
        <v>178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IFERROR(MATCH(TEXT($V$35,"yyyymm")&amp;"_내역_"&amp;(51-37+($AA$35-1)*22),$R$64:$R$500,0),0)</f>
        <v>0</v>
      </c>
      <c r="N51" s="80">
        <f>IFERROR(MATCH(TEXT($V$35,"yyyymm")&amp;"_이체_"&amp;(51-37+($AB$35-1)*22),$R$64:$R$500,0),0)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IFERROR(MATCH(TEXT($V$35,"yyyymm")&amp;"_내역_"&amp;(52-37+($AA$35-1)*22),$R$64:$R$500,0),0)</f>
        <v>0</v>
      </c>
      <c r="N52" s="80">
        <f>IFERROR(MATCH(TEXT($V$35,"yyyymm")&amp;"_이체_"&amp;(52-37+($AB$35-1)*22),$R$64:$R$500,0),0)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IFERROR(MATCH(TEXT($V$35,"yyyymm")&amp;"_내역_"&amp;(53-37+($AA$35-1)*22),$R$64:$R$500,0),0)</f>
        <v>0</v>
      </c>
      <c r="N53" s="80">
        <f>IFERROR(MATCH(TEXT($V$35,"yyyymm")&amp;"_이체_"&amp;(53-37+($AB$35-1)*22),$R$64:$R$500,0),0)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IFERROR(MATCH(TEXT($V$35,"yyyymm")&amp;"_내역_"&amp;(54-37+($AA$35-1)*22),$R$64:$R$500,0),0)</f>
        <v>0</v>
      </c>
      <c r="N54" s="80">
        <f>IFERROR(MATCH(TEXT($V$35,"yyyymm")&amp;"_이체_"&amp;(54-37+($AB$35-1)*22),$R$64:$R$500,0),0)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IFERROR(MATCH(TEXT($V$35,"yyyymm")&amp;"_내역_"&amp;(55-37+($AA$35-1)*22),$R$64:$R$500,0),0)</f>
        <v>0</v>
      </c>
      <c r="N55" s="80">
        <f>IFERROR(MATCH(TEXT($V$35,"yyyymm")&amp;"_이체_"&amp;(55-37+($AB$35-1)*22),$R$64:$R$500,0),0)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IFERROR(MATCH(TEXT($V$35,"yyyymm")&amp;"_내역_"&amp;(56-37+($AA$35-1)*22),$R$64:$R$500,0),0)</f>
        <v>0</v>
      </c>
      <c r="N56" s="80">
        <f>IFERROR(MATCH(TEXT($V$35,"yyyymm")&amp;"_이체_"&amp;(56-37+($AB$35-1)*22),$R$64:$R$500,0),0)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IFERROR(MATCH(TEXT($V$35,"yyyymm")&amp;"_내역_"&amp;(57-37+($AA$35-1)*22),$R$64:$R$500,0),0)</f>
        <v>0</v>
      </c>
      <c r="N57" s="80">
        <f>IFERROR(MATCH(TEXT($V$35,"yyyymm")&amp;"_이체_"&amp;(57-37+($AB$35-1)*22),$R$64:$R$500,0),0)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IFERROR(MATCH(TEXT($V$35,"yyyymm")&amp;"_내역_"&amp;(58-37+($AA$35-1)*22),$R$64:$R$500,0),0)</f>
        <v>0</v>
      </c>
      <c r="N58" s="80">
        <f>IFERROR(MATCH(TEXT($V$35,"yyyymm")&amp;"_이체_"&amp;(58-37+($AB$35-1)*22),$R$64:$R$500,0),0)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IFERROR(MATCH(TEXT($V$35,"yyyymm")&amp;"_내역_"&amp;(59-37+($AA$35-1)*22),$R$64:$R$500,0),0)</f>
        <v>0</v>
      </c>
      <c r="N59" s="80">
        <f>IFERROR(MATCH(TEXT($V$35,"yyyymm")&amp;"_이체_"&amp;(59-37+($AB$35-1)*22),$R$64:$R$500,0),0)</f>
        <v>0</v>
      </c>
    </row>
    <row r="60" spans="1:25" ht="40" customHeight="1">
      <c r="A60" s="349" t="inlineStr">
        <is>
          <t xml:space="preserve">내역·원장 조회는 위쪽 조회월(B3)에 자동 연동됩니다. 조회표는 직접 수정하지 말고, 전체 원장 입력자료는 아래 왼쪽 +를 펼쳐 편집하세요.</t>
        </is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inlineStr">
        <is>
          <t xml:space="preserve">선택월 WRAP 원장 | 조회월(B3) 자동 연동 · 전체 입력자료는 왼쪽 +로 펼침</t>
        </is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 hidden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 hidden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  <c r="Z64">
        <f>IFERROR(IF(AND(ISNUMBER(A64),A64&gt;=$B$3,A64&lt;EDATE($B$3,1)),COUNTIFS($A$64:$A$500,"&gt;"&amp;A64,$A$64:$A$500,"&lt;"&amp;EDATE($B$3,1))+COUNTIF($A$64:A64,A64),0),0)</f>
        <v>0</v>
      </c>
    </row>
    <row r="65" spans="1:25" ht="40" customHeight="1" outlineLevel="1" hidden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  <c r="Z65">
        <f>IFERROR(IF(AND(ISNUMBER(A65),A65&gt;=$B$3,A65&lt;EDATE($B$3,1)),COUNTIFS($A$64:$A$500,"&gt;"&amp;A65,$A$64:$A$500,"&lt;"&amp;EDATE($B$3,1))+COUNTIF($A$64:A65,A65),0),0)</f>
        <v>0</v>
      </c>
    </row>
    <row r="66" spans="1:25" ht="40" customHeight="1" outlineLevel="1" hidden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  <c r="Z66">
        <f>IFERROR(IF(AND(ISNUMBER(A66),A66&gt;=$B$3,A66&lt;EDATE($B$3,1)),COUNTIFS($A$64:$A$500,"&gt;"&amp;A66,$A$64:$A$500,"&lt;"&amp;EDATE($B$3,1))+COUNTIF($A$64:A66,A66),0),0)</f>
        <v>0</v>
      </c>
    </row>
    <row r="67" spans="1:25" ht="40" customHeight="1" outlineLevel="1" hidden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  <c r="Z67">
        <f>IFERROR(IF(AND(ISNUMBER(A67),A67&gt;=$B$3,A67&lt;EDATE($B$3,1)),COUNTIFS($A$64:$A$500,"&gt;"&amp;A67,$A$64:$A$500,"&lt;"&amp;EDATE($B$3,1))+COUNTIF($A$64:A67,A67),0),0)</f>
        <v>0</v>
      </c>
    </row>
    <row r="68" spans="1:25" ht="40" customHeight="1" outlineLevel="1" hidden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  <c r="Z68">
        <f>IFERROR(IF(AND(ISNUMBER(A68),A68&gt;=$B$3,A68&lt;EDATE($B$3,1)),COUNTIFS($A$64:$A$500,"&gt;"&amp;A68,$A$64:$A$500,"&lt;"&amp;EDATE($B$3,1))+COUNTIF($A$64:A68,A68),0),0)</f>
        <v>0</v>
      </c>
    </row>
    <row r="69" spans="1:25" ht="40" customHeight="1" outlineLevel="1" hidden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  <c r="Z69">
        <f>IFERROR(IF(AND(ISNUMBER(A69),A69&gt;=$B$3,A69&lt;EDATE($B$3,1)),COUNTIFS($A$64:$A$500,"&gt;"&amp;A69,$A$64:$A$500,"&lt;"&amp;EDATE($B$3,1))+COUNTIF($A$64:A69,A69),0),0)</f>
        <v>0</v>
      </c>
    </row>
    <row r="70" spans="1:25" ht="40" customHeight="1" outlineLevel="1" hidden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  <c r="Z70">
        <f>IFERROR(IF(AND(ISNUMBER(A70),A70&gt;=$B$3,A70&lt;EDATE($B$3,1)),COUNTIFS($A$64:$A$500,"&gt;"&amp;A70,$A$64:$A$500,"&lt;"&amp;EDATE($B$3,1))+COUNTIF($A$64:A70,A70),0),0)</f>
        <v>0</v>
      </c>
    </row>
    <row r="71" spans="1:25" ht="40" customHeight="1" outlineLevel="1" hidden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  <c r="Z71">
        <f>IFERROR(IF(AND(ISNUMBER(A71),A71&gt;=$B$3,A71&lt;EDATE($B$3,1)),COUNTIFS($A$64:$A$500,"&gt;"&amp;A71,$A$64:$A$500,"&lt;"&amp;EDATE($B$3,1))+COUNTIF($A$64:A71,A71),0),0)</f>
        <v>0</v>
      </c>
    </row>
    <row r="72" spans="1:25" ht="40" customHeight="1" outlineLevel="1" hidden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  <c r="Z72">
        <f>IFERROR(IF(AND(ISNUMBER(A72),A72&gt;=$B$3,A72&lt;EDATE($B$3,1)),COUNTIFS($A$64:$A$500,"&gt;"&amp;A72,$A$64:$A$500,"&lt;"&amp;EDATE($B$3,1))+COUNTIF($A$64:A72,A72),0),0)</f>
        <v>0</v>
      </c>
    </row>
    <row r="73" spans="1:25" ht="40" customHeight="1" outlineLevel="1" hidden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  <c r="Z73">
        <f>IFERROR(IF(AND(ISNUMBER(A73),A73&gt;=$B$3,A73&lt;EDATE($B$3,1)),COUNTIFS($A$64:$A$500,"&gt;"&amp;A73,$A$64:$A$500,"&lt;"&amp;EDATE($B$3,1))+COUNTIF($A$64:A73,A73),0),0)</f>
        <v>0</v>
      </c>
    </row>
    <row r="74" spans="1:25" ht="40" customHeight="1" outlineLevel="1" hidden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  <c r="Z74">
        <f>IFERROR(IF(AND(ISNUMBER(A74),A74&gt;=$B$3,A74&lt;EDATE($B$3,1)),COUNTIFS($A$64:$A$500,"&gt;"&amp;A74,$A$64:$A$500,"&lt;"&amp;EDATE($B$3,1))+COUNTIF($A$64:A74,A74),0),0)</f>
        <v>0</v>
      </c>
    </row>
    <row r="75" spans="1:25" ht="40" customHeight="1" outlineLevel="1" hidden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  <c r="Z75">
        <f>IFERROR(IF(AND(ISNUMBER(A75),A75&gt;=$B$3,A75&lt;EDATE($B$3,1)),COUNTIFS($A$64:$A$500,"&gt;"&amp;A75,$A$64:$A$500,"&lt;"&amp;EDATE($B$3,1))+COUNTIF($A$64:A75,A75),0),0)</f>
        <v>0</v>
      </c>
    </row>
    <row r="76" spans="1:25" ht="40" customHeight="1" outlineLevel="1" hidden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  <c r="Z76">
        <f>IFERROR(IF(AND(ISNUMBER(A76),A76&gt;=$B$3,A76&lt;EDATE($B$3,1)),COUNTIFS($A$64:$A$500,"&gt;"&amp;A76,$A$64:$A$500,"&lt;"&amp;EDATE($B$3,1))+COUNTIF($A$64:A76,A76),0),0)</f>
        <v>0</v>
      </c>
    </row>
    <row r="77" spans="1:25" ht="40" customHeight="1" outlineLevel="1" hidden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  <c r="Z77">
        <f>IFERROR(IF(AND(ISNUMBER(A77),A77&gt;=$B$3,A77&lt;EDATE($B$3,1)),COUNTIFS($A$64:$A$500,"&gt;"&amp;A77,$A$64:$A$500,"&lt;"&amp;EDATE($B$3,1))+COUNTIF($A$64:A77,A77),0),0)</f>
        <v>0</v>
      </c>
    </row>
    <row r="78" spans="1:25" ht="40" customHeight="1" outlineLevel="1" hidden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  <c r="Z78">
        <f>IFERROR(IF(AND(ISNUMBER(A78),A78&gt;=$B$3,A78&lt;EDATE($B$3,1)),COUNTIFS($A$64:$A$500,"&gt;"&amp;A78,$A$64:$A$500,"&lt;"&amp;EDATE($B$3,1))+COUNTIF($A$64:A78,A78),0),0)</f>
        <v>0</v>
      </c>
    </row>
    <row r="79" spans="1:25" ht="40" customHeight="1" outlineLevel="1" hidden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  <c r="Z79">
        <f>IFERROR(IF(AND(ISNUMBER(A79),A79&gt;=$B$3,A79&lt;EDATE($B$3,1)),COUNTIFS($A$64:$A$500,"&gt;"&amp;A79,$A$64:$A$500,"&lt;"&amp;EDATE($B$3,1))+COUNTIF($A$64:A79,A79),0),0)</f>
        <v>0</v>
      </c>
    </row>
    <row r="80" spans="1:25" ht="40" customHeight="1" outlineLevel="1" hidden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  <c r="Z80">
        <f>IFERROR(IF(AND(ISNUMBER(A80),A80&gt;=$B$3,A80&lt;EDATE($B$3,1)),COUNTIFS($A$64:$A$500,"&gt;"&amp;A80,$A$64:$A$500,"&lt;"&amp;EDATE($B$3,1))+COUNTIF($A$64:A80,A80),0),0)</f>
        <v>0</v>
      </c>
    </row>
    <row r="81" spans="1:25" ht="40" customHeight="1" outlineLevel="1" hidden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  <c r="Z81">
        <f>IFERROR(IF(AND(ISNUMBER(A81),A81&gt;=$B$3,A81&lt;EDATE($B$3,1)),COUNTIFS($A$64:$A$500,"&gt;"&amp;A81,$A$64:$A$500,"&lt;"&amp;EDATE($B$3,1))+COUNTIF($A$64:A81,A81),0),0)</f>
        <v>0</v>
      </c>
    </row>
    <row r="82" spans="1:25" ht="40" customHeight="1" outlineLevel="1" hidden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  <c r="Z82">
        <f>IFERROR(IF(AND(ISNUMBER(A82),A82&gt;=$B$3,A82&lt;EDATE($B$3,1)),COUNTIFS($A$64:$A$500,"&gt;"&amp;A82,$A$64:$A$500,"&lt;"&amp;EDATE($B$3,1))+COUNTIF($A$64:A82,A82),0),0)</f>
        <v>0</v>
      </c>
    </row>
    <row r="83" spans="1:25" ht="40" customHeight="1" outlineLevel="1" hidden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  <c r="Z83">
        <f>IFERROR(IF(AND(ISNUMBER(A83),A83&gt;=$B$3,A83&lt;EDATE($B$3,1)),COUNTIFS($A$64:$A$500,"&gt;"&amp;A83,$A$64:$A$500,"&lt;"&amp;EDATE($B$3,1))+COUNTIF($A$64:A83,A83),0),0)</f>
        <v>0</v>
      </c>
    </row>
    <row r="84" spans="1:25" ht="40" customHeight="1" outlineLevel="1" hidden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  <c r="Z84">
        <f>IFERROR(IF(AND(ISNUMBER(A84),A84&gt;=$B$3,A84&lt;EDATE($B$3,1)),COUNTIFS($A$64:$A$500,"&gt;"&amp;A84,$A$64:$A$500,"&lt;"&amp;EDATE($B$3,1))+COUNTIF($A$64:A84,A84),0),0)</f>
        <v>0</v>
      </c>
    </row>
    <row r="85" spans="1:25" ht="40" customHeight="1" outlineLevel="1" hidden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  <c r="Z85">
        <f>IFERROR(IF(AND(ISNUMBER(A85),A85&gt;=$B$3,A85&lt;EDATE($B$3,1)),COUNTIFS($A$64:$A$500,"&gt;"&amp;A85,$A$64:$A$500,"&lt;"&amp;EDATE($B$3,1))+COUNTIF($A$64:A85,A85),0),0)</f>
        <v>0</v>
      </c>
    </row>
    <row r="86" spans="1:25" ht="40" customHeight="1" outlineLevel="1" hidden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  <c r="Z86">
        <f>IFERROR(IF(AND(ISNUMBER(A86),A86&gt;=$B$3,A86&lt;EDATE($B$3,1)),COUNTIFS($A$64:$A$500,"&gt;"&amp;A86,$A$64:$A$500,"&lt;"&amp;EDATE($B$3,1))+COUNTIF($A$64:A86,A86),0),0)</f>
        <v>0</v>
      </c>
    </row>
    <row r="87" spans="1:25" ht="40" customHeight="1" outlineLevel="1" hidden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  <c r="Z87">
        <f>IFERROR(IF(AND(ISNUMBER(A87),A87&gt;=$B$3,A87&lt;EDATE($B$3,1)),COUNTIFS($A$64:$A$500,"&gt;"&amp;A87,$A$64:$A$500,"&lt;"&amp;EDATE($B$3,1))+COUNTIF($A$64:A87,A87),0),0)</f>
        <v>0</v>
      </c>
    </row>
    <row r="88" spans="1:25" ht="40" customHeight="1" outlineLevel="1" hidden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  <c r="Z88">
        <f>IFERROR(IF(AND(ISNUMBER(A88),A88&gt;=$B$3,A88&lt;EDATE($B$3,1)),COUNTIFS($A$64:$A$500,"&gt;"&amp;A88,$A$64:$A$500,"&lt;"&amp;EDATE($B$3,1))+COUNTIF($A$64:A88,A88),0),0)</f>
        <v>0</v>
      </c>
    </row>
    <row r="89" spans="1:25" ht="40" customHeight="1" outlineLevel="1" hidden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  <c r="Z89">
        <f>IFERROR(IF(AND(ISNUMBER(A89),A89&gt;=$B$3,A89&lt;EDATE($B$3,1)),COUNTIFS($A$64:$A$500,"&gt;"&amp;A89,$A$64:$A$500,"&lt;"&amp;EDATE($B$3,1))+COUNTIF($A$64:A89,A89),0),0)</f>
        <v>0</v>
      </c>
    </row>
    <row r="90" spans="1:25" ht="40" customHeight="1" outlineLevel="1" hidden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  <c r="Z90">
        <f>IFERROR(IF(AND(ISNUMBER(A90),A90&gt;=$B$3,A90&lt;EDATE($B$3,1)),COUNTIFS($A$64:$A$500,"&gt;"&amp;A90,$A$64:$A$500,"&lt;"&amp;EDATE($B$3,1))+COUNTIF($A$64:A90,A90),0),0)</f>
        <v>0</v>
      </c>
    </row>
    <row r="91" spans="1:25" ht="40" customHeight="1" outlineLevel="1" hidden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  <c r="Z91">
        <f>IFERROR(IF(AND(ISNUMBER(A91),A91&gt;=$B$3,A91&lt;EDATE($B$3,1)),COUNTIFS($A$64:$A$500,"&gt;"&amp;A91,$A$64:$A$500,"&lt;"&amp;EDATE($B$3,1))+COUNTIF($A$64:A91,A91),0),0)</f>
        <v>0</v>
      </c>
    </row>
    <row r="92" spans="1:25" ht="40" customHeight="1" outlineLevel="1" hidden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  <c r="Z92">
        <f>IFERROR(IF(AND(ISNUMBER(A92),A92&gt;=$B$3,A92&lt;EDATE($B$3,1)),COUNTIFS($A$64:$A$500,"&gt;"&amp;A92,$A$64:$A$500,"&lt;"&amp;EDATE($B$3,1))+COUNTIF($A$64:A92,A92),0),0)</f>
        <v>0</v>
      </c>
    </row>
    <row r="93" spans="1:25" ht="40" customHeight="1" outlineLevel="1" hidden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  <c r="Z93">
        <f>IFERROR(IF(AND(ISNUMBER(A93),A93&gt;=$B$3,A93&lt;EDATE($B$3,1)),COUNTIFS($A$64:$A$500,"&gt;"&amp;A93,$A$64:$A$500,"&lt;"&amp;EDATE($B$3,1))+COUNTIF($A$64:A93,A93),0),0)</f>
        <v>0</v>
      </c>
    </row>
    <row r="94" spans="1:25" ht="40" customHeight="1" outlineLevel="1" hidden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  <c r="Z94">
        <f>IFERROR(IF(AND(ISNUMBER(A94),A94&gt;=$B$3,A94&lt;EDATE($B$3,1)),COUNTIFS($A$64:$A$500,"&gt;"&amp;A94,$A$64:$A$500,"&lt;"&amp;EDATE($B$3,1))+COUNTIF($A$64:A94,A94),0),0)</f>
        <v>0</v>
      </c>
    </row>
    <row r="95" spans="1:25" ht="40" customHeight="1" outlineLevel="1" hidden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  <c r="Z95">
        <f>IFERROR(IF(AND(ISNUMBER(A95),A95&gt;=$B$3,A95&lt;EDATE($B$3,1)),COUNTIFS($A$64:$A$500,"&gt;"&amp;A95,$A$64:$A$500,"&lt;"&amp;EDATE($B$3,1))+COUNTIF($A$64:A95,A95),0),0)</f>
        <v>0</v>
      </c>
    </row>
    <row r="96" spans="1:25" ht="40" customHeight="1" outlineLevel="1" hidden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  <c r="Z96">
        <f>IFERROR(IF(AND(ISNUMBER(A96),A96&gt;=$B$3,A96&lt;EDATE($B$3,1)),COUNTIFS($A$64:$A$500,"&gt;"&amp;A96,$A$64:$A$500,"&lt;"&amp;EDATE($B$3,1))+COUNTIF($A$64:A96,A96),0),0)</f>
        <v>0</v>
      </c>
    </row>
    <row r="97" spans="1:25" ht="40" customHeight="1" outlineLevel="1" hidden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  <c r="Z97">
        <f>IFERROR(IF(AND(ISNUMBER(A97),A97&gt;=$B$3,A97&lt;EDATE($B$3,1)),COUNTIFS($A$64:$A$500,"&gt;"&amp;A97,$A$64:$A$500,"&lt;"&amp;EDATE($B$3,1))+COUNTIF($A$64:A97,A97),0),0)</f>
        <v>0</v>
      </c>
    </row>
    <row r="98" spans="1:25" ht="40" customHeight="1" outlineLevel="1" hidden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  <c r="Z98">
        <f>IFERROR(IF(AND(ISNUMBER(A98),A98&gt;=$B$3,A98&lt;EDATE($B$3,1)),COUNTIFS($A$64:$A$500,"&gt;"&amp;A98,$A$64:$A$500,"&lt;"&amp;EDATE($B$3,1))+COUNTIF($A$64:A98,A98),0),0)</f>
        <v>0</v>
      </c>
    </row>
    <row r="99" spans="1:25" ht="40" customHeight="1" outlineLevel="1" hidden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  <c r="Z99">
        <f>IFERROR(IF(AND(ISNUMBER(A99),A99&gt;=$B$3,A99&lt;EDATE($B$3,1)),COUNTIFS($A$64:$A$500,"&gt;"&amp;A99,$A$64:$A$500,"&lt;"&amp;EDATE($B$3,1))+COUNTIF($A$64:A99,A99),0),0)</f>
        <v>0</v>
      </c>
    </row>
    <row r="100" spans="1:25" ht="40" customHeight="1" outlineLevel="1" hidden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  <c r="Z100">
        <f>IFERROR(IF(AND(ISNUMBER(A100),A100&gt;=$B$3,A100&lt;EDATE($B$3,1)),COUNTIFS($A$64:$A$500,"&gt;"&amp;A100,$A$64:$A$500,"&lt;"&amp;EDATE($B$3,1))+COUNTIF($A$64:A100,A100),0),0)</f>
        <v>0</v>
      </c>
    </row>
    <row r="101" spans="1:25" ht="40" customHeight="1" outlineLevel="1" hidden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  <c r="Z101">
        <f>IFERROR(IF(AND(ISNUMBER(A101),A101&gt;=$B$3,A101&lt;EDATE($B$3,1)),COUNTIFS($A$64:$A$500,"&gt;"&amp;A101,$A$64:$A$500,"&lt;"&amp;EDATE($B$3,1))+COUNTIF($A$64:A101,A101),0),0)</f>
        <v>0</v>
      </c>
    </row>
    <row r="102" spans="1:25" ht="40" customHeight="1" outlineLevel="1" hidden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  <c r="Z102">
        <f>IFERROR(IF(AND(ISNUMBER(A102),A102&gt;=$B$3,A102&lt;EDATE($B$3,1)),COUNTIFS($A$64:$A$500,"&gt;"&amp;A102,$A$64:$A$500,"&lt;"&amp;EDATE($B$3,1))+COUNTIF($A$64:A102,A102),0),0)</f>
        <v>0</v>
      </c>
    </row>
    <row r="103" spans="1:25" ht="40" customHeight="1" outlineLevel="1" hidden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  <c r="Z103">
        <f>IFERROR(IF(AND(ISNUMBER(A103),A103&gt;=$B$3,A103&lt;EDATE($B$3,1)),COUNTIFS($A$64:$A$500,"&gt;"&amp;A103,$A$64:$A$500,"&lt;"&amp;EDATE($B$3,1))+COUNTIF($A$64:A103,A103),0),0)</f>
        <v>0</v>
      </c>
    </row>
    <row r="104" spans="1:25" ht="40" customHeight="1" outlineLevel="1" hidden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  <c r="Z104">
        <f>IFERROR(IF(AND(ISNUMBER(A104),A104&gt;=$B$3,A104&lt;EDATE($B$3,1)),COUNTIFS($A$64:$A$500,"&gt;"&amp;A104,$A$64:$A$500,"&lt;"&amp;EDATE($B$3,1))+COUNTIF($A$64:A104,A104),0),0)</f>
        <v>0</v>
      </c>
    </row>
    <row r="105" spans="1:25" ht="40" customHeight="1" outlineLevel="1" hidden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  <c r="Z105">
        <f>IFERROR(IF(AND(ISNUMBER(A105),A105&gt;=$B$3,A105&lt;EDATE($B$3,1)),COUNTIFS($A$64:$A$500,"&gt;"&amp;A105,$A$64:$A$500,"&lt;"&amp;EDATE($B$3,1))+COUNTIF($A$64:A105,A105),0),0)</f>
        <v>0</v>
      </c>
    </row>
    <row r="106" spans="1:25" ht="40" customHeight="1" outlineLevel="1" hidden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  <c r="Z106">
        <f>IFERROR(IF(AND(ISNUMBER(A106),A106&gt;=$B$3,A106&lt;EDATE($B$3,1)),COUNTIFS($A$64:$A$500,"&gt;"&amp;A106,$A$64:$A$500,"&lt;"&amp;EDATE($B$3,1))+COUNTIF($A$64:A106,A106),0),0)</f>
        <v>0</v>
      </c>
    </row>
    <row r="107" spans="1:25" ht="40" customHeight="1" outlineLevel="1" hidden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  <c r="Z107">
        <f>IFERROR(IF(AND(ISNUMBER(A107),A107&gt;=$B$3,A107&lt;EDATE($B$3,1)),COUNTIFS($A$64:$A$500,"&gt;"&amp;A107,$A$64:$A$500,"&lt;"&amp;EDATE($B$3,1))+COUNTIF($A$64:A107,A107),0),0)</f>
        <v>0</v>
      </c>
    </row>
    <row r="108" spans="1:25" ht="40" customHeight="1" outlineLevel="1" hidden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  <c r="Z108">
        <f>IFERROR(IF(AND(ISNUMBER(A108),A108&gt;=$B$3,A108&lt;EDATE($B$3,1)),COUNTIFS($A$64:$A$500,"&gt;"&amp;A108,$A$64:$A$500,"&lt;"&amp;EDATE($B$3,1))+COUNTIF($A$64:A108,A108),0),0)</f>
        <v>0</v>
      </c>
    </row>
    <row r="109" spans="1:25" ht="40" customHeight="1" outlineLevel="1" hidden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  <c r="Z109">
        <f>IFERROR(IF(AND(ISNUMBER(A109),A109&gt;=$B$3,A109&lt;EDATE($B$3,1)),COUNTIFS($A$64:$A$500,"&gt;"&amp;A109,$A$64:$A$500,"&lt;"&amp;EDATE($B$3,1))+COUNTIF($A$64:A109,A109),0),0)</f>
        <v>0</v>
      </c>
    </row>
    <row r="110" spans="1:25" ht="40" customHeight="1" outlineLevel="1" hidden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  <c r="Z110">
        <f>IFERROR(IF(AND(ISNUMBER(A110),A110&gt;=$B$3,A110&lt;EDATE($B$3,1)),COUNTIFS($A$64:$A$500,"&gt;"&amp;A110,$A$64:$A$500,"&lt;"&amp;EDATE($B$3,1))+COUNTIF($A$64:A110,A110),0),0)</f>
        <v>0</v>
      </c>
    </row>
    <row r="111" spans="1:25" ht="40" customHeight="1" outlineLevel="1" hidden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  <c r="Z111">
        <f>IFERROR(IF(AND(ISNUMBER(A111),A111&gt;=$B$3,A111&lt;EDATE($B$3,1)),COUNTIFS($A$64:$A$500,"&gt;"&amp;A111,$A$64:$A$500,"&lt;"&amp;EDATE($B$3,1))+COUNTIF($A$64:A111,A111),0),0)</f>
        <v>0</v>
      </c>
    </row>
    <row r="112" spans="1:25" ht="40" customHeight="1" outlineLevel="1" hidden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  <c r="Z112">
        <f>IFERROR(IF(AND(ISNUMBER(A112),A112&gt;=$B$3,A112&lt;EDATE($B$3,1)),COUNTIFS($A$64:$A$500,"&gt;"&amp;A112,$A$64:$A$500,"&lt;"&amp;EDATE($B$3,1))+COUNTIF($A$64:A112,A112),0),0)</f>
        <v>0</v>
      </c>
    </row>
    <row r="113" spans="1:25" ht="40" customHeight="1" outlineLevel="1" hidden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  <c r="Z113">
        <f>IFERROR(IF(AND(ISNUMBER(A113),A113&gt;=$B$3,A113&lt;EDATE($B$3,1)),COUNTIFS($A$64:$A$500,"&gt;"&amp;A113,$A$64:$A$500,"&lt;"&amp;EDATE($B$3,1))+COUNTIF($A$64:A113,A113),0),0)</f>
        <v>0</v>
      </c>
    </row>
    <row r="114" spans="1:25" ht="40" customHeight="1" outlineLevel="1" hidden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  <c r="Z114">
        <f>IFERROR(IF(AND(ISNUMBER(A114),A114&gt;=$B$3,A114&lt;EDATE($B$3,1)),COUNTIFS($A$64:$A$500,"&gt;"&amp;A114,$A$64:$A$500,"&lt;"&amp;EDATE($B$3,1))+COUNTIF($A$64:A114,A114),0),0)</f>
        <v>0</v>
      </c>
    </row>
    <row r="115" spans="1:25" ht="40" customHeight="1" outlineLevel="1" hidden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  <c r="Z115">
        <f>IFERROR(IF(AND(ISNUMBER(A115),A115&gt;=$B$3,A115&lt;EDATE($B$3,1)),COUNTIFS($A$64:$A$500,"&gt;"&amp;A115,$A$64:$A$500,"&lt;"&amp;EDATE($B$3,1))+COUNTIF($A$64:A115,A115),0),0)</f>
        <v>0</v>
      </c>
    </row>
    <row r="116" spans="1:25" ht="40" customHeight="1" outlineLevel="1" hidden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  <c r="Z116">
        <f>IFERROR(IF(AND(ISNUMBER(A116),A116&gt;=$B$3,A116&lt;EDATE($B$3,1)),COUNTIFS($A$64:$A$500,"&gt;"&amp;A116,$A$64:$A$500,"&lt;"&amp;EDATE($B$3,1))+COUNTIF($A$64:A116,A116),0),0)</f>
        <v>0</v>
      </c>
    </row>
    <row r="117" spans="1:25" ht="40" customHeight="1" outlineLevel="1" hidden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  <c r="Z117">
        <f>IFERROR(IF(AND(ISNUMBER(A117),A117&gt;=$B$3,A117&lt;EDATE($B$3,1)),COUNTIFS($A$64:$A$500,"&gt;"&amp;A117,$A$64:$A$500,"&lt;"&amp;EDATE($B$3,1))+COUNTIF($A$64:A117,A117),0),0)</f>
        <v>0</v>
      </c>
    </row>
    <row r="118" spans="1:25" ht="40" customHeight="1" outlineLevel="1" hidden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  <c r="Z118">
        <f>IFERROR(IF(AND(ISNUMBER(A118),A118&gt;=$B$3,A118&lt;EDATE($B$3,1)),COUNTIFS($A$64:$A$500,"&gt;"&amp;A118,$A$64:$A$500,"&lt;"&amp;EDATE($B$3,1))+COUNTIF($A$64:A118,A118),0),0)</f>
        <v>0</v>
      </c>
    </row>
    <row r="119" spans="1:25" ht="40" customHeight="1" outlineLevel="1" hidden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  <c r="Z119">
        <f>IFERROR(IF(AND(ISNUMBER(A119),A119&gt;=$B$3,A119&lt;EDATE($B$3,1)),COUNTIFS($A$64:$A$500,"&gt;"&amp;A119,$A$64:$A$500,"&lt;"&amp;EDATE($B$3,1))+COUNTIF($A$64:A119,A119),0),0)</f>
        <v>0</v>
      </c>
    </row>
    <row r="120" spans="1:25" ht="40" customHeight="1" outlineLevel="1" hidden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  <c r="Z120">
        <f>IFERROR(IF(AND(ISNUMBER(A120),A120&gt;=$B$3,A120&lt;EDATE($B$3,1)),COUNTIFS($A$64:$A$500,"&gt;"&amp;A120,$A$64:$A$500,"&lt;"&amp;EDATE($B$3,1))+COUNTIF($A$64:A120,A120),0),0)</f>
        <v>0</v>
      </c>
    </row>
    <row r="121" spans="1:25" ht="40" customHeight="1" outlineLevel="1" hidden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  <c r="Z121">
        <f>IFERROR(IF(AND(ISNUMBER(A121),A121&gt;=$B$3,A121&lt;EDATE($B$3,1)),COUNTIFS($A$64:$A$500,"&gt;"&amp;A121,$A$64:$A$500,"&lt;"&amp;EDATE($B$3,1))+COUNTIF($A$64:A121,A121),0),0)</f>
        <v>0</v>
      </c>
    </row>
    <row r="122" spans="1:25" ht="40" customHeight="1" outlineLevel="1" hidden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  <c r="Z122">
        <f>IFERROR(IF(AND(ISNUMBER(A122),A122&gt;=$B$3,A122&lt;EDATE($B$3,1)),COUNTIFS($A$64:$A$500,"&gt;"&amp;A122,$A$64:$A$500,"&lt;"&amp;EDATE($B$3,1))+COUNTIF($A$64:A122,A122),0),0)</f>
        <v>0</v>
      </c>
    </row>
    <row r="123" spans="1:25" ht="40" customHeight="1" outlineLevel="1" hidden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  <c r="Z123">
        <f>IFERROR(IF(AND(ISNUMBER(A123),A123&gt;=$B$3,A123&lt;EDATE($B$3,1)),COUNTIFS($A$64:$A$500,"&gt;"&amp;A123,$A$64:$A$500,"&lt;"&amp;EDATE($B$3,1))+COUNTIF($A$64:A123,A123),0),0)</f>
        <v>0</v>
      </c>
    </row>
    <row r="124" spans="1:25" ht="40" customHeight="1" outlineLevel="1" hidden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  <c r="Z124">
        <f>IFERROR(IF(AND(ISNUMBER(A124),A124&gt;=$B$3,A124&lt;EDATE($B$3,1)),COUNTIFS($A$64:$A$500,"&gt;"&amp;A124,$A$64:$A$500,"&lt;"&amp;EDATE($B$3,1))+COUNTIF($A$64:A124,A124),0),0)</f>
        <v>0</v>
      </c>
    </row>
    <row r="125" spans="1:25" ht="40" customHeight="1" outlineLevel="1" hidden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  <c r="Z125">
        <f>IFERROR(IF(AND(ISNUMBER(A125),A125&gt;=$B$3,A125&lt;EDATE($B$3,1)),COUNTIFS($A$64:$A$500,"&gt;"&amp;A125,$A$64:$A$500,"&lt;"&amp;EDATE($B$3,1))+COUNTIF($A$64:A125,A125),0),0)</f>
        <v>0</v>
      </c>
    </row>
    <row r="126" spans="1:25" ht="40" customHeight="1" outlineLevel="1" hidden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  <c r="Z126">
        <f>IFERROR(IF(AND(ISNUMBER(A126),A126&gt;=$B$3,A126&lt;EDATE($B$3,1)),COUNTIFS($A$64:$A$500,"&gt;"&amp;A126,$A$64:$A$500,"&lt;"&amp;EDATE($B$3,1))+COUNTIF($A$64:A126,A126),0),0)</f>
        <v>0</v>
      </c>
    </row>
    <row r="127" spans="1:25" ht="40" customHeight="1" outlineLevel="1" hidden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  <c r="Z127">
        <f>IFERROR(IF(AND(ISNUMBER(A127),A127&gt;=$B$3,A127&lt;EDATE($B$3,1)),COUNTIFS($A$64:$A$500,"&gt;"&amp;A127,$A$64:$A$500,"&lt;"&amp;EDATE($B$3,1))+COUNTIF($A$64:A127,A127),0),0)</f>
        <v>0</v>
      </c>
    </row>
    <row r="128" spans="1:25" ht="40" customHeight="1" outlineLevel="1" hidden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  <c r="Z128">
        <f>IFERROR(IF(AND(ISNUMBER(A128),A128&gt;=$B$3,A128&lt;EDATE($B$3,1)),COUNTIFS($A$64:$A$500,"&gt;"&amp;A128,$A$64:$A$500,"&lt;"&amp;EDATE($B$3,1))+COUNTIF($A$64:A128,A128),0),0)</f>
        <v>0</v>
      </c>
    </row>
    <row r="129" spans="1:25" ht="40" customHeight="1" outlineLevel="1" hidden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  <c r="Z129">
        <f>IFERROR(IF(AND(ISNUMBER(A129),A129&gt;=$B$3,A129&lt;EDATE($B$3,1)),COUNTIFS($A$64:$A$500,"&gt;"&amp;A129,$A$64:$A$500,"&lt;"&amp;EDATE($B$3,1))+COUNTIF($A$64:A129,A129),0),0)</f>
        <v>0</v>
      </c>
    </row>
    <row r="130" spans="1:25" ht="40" customHeight="1" outlineLevel="1" hidden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  <c r="Z130">
        <f>IFERROR(IF(AND(ISNUMBER(A130),A130&gt;=$B$3,A130&lt;EDATE($B$3,1)),COUNTIFS($A$64:$A$500,"&gt;"&amp;A130,$A$64:$A$500,"&lt;"&amp;EDATE($B$3,1))+COUNTIF($A$64:A130,A130),0),0)</f>
        <v>0</v>
      </c>
    </row>
    <row r="131" spans="1:25" ht="40" customHeight="1" outlineLevel="1" hidden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  <c r="Z131">
        <f>IFERROR(IF(AND(ISNUMBER(A131),A131&gt;=$B$3,A131&lt;EDATE($B$3,1)),COUNTIFS($A$64:$A$500,"&gt;"&amp;A131,$A$64:$A$500,"&lt;"&amp;EDATE($B$3,1))+COUNTIF($A$64:A131,A131),0),0)</f>
        <v>0</v>
      </c>
    </row>
    <row r="132" spans="1:25" ht="40" customHeight="1" outlineLevel="1" hidden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  <c r="Z132">
        <f>IFERROR(IF(AND(ISNUMBER(A132),A132&gt;=$B$3,A132&lt;EDATE($B$3,1)),COUNTIFS($A$64:$A$500,"&gt;"&amp;A132,$A$64:$A$500,"&lt;"&amp;EDATE($B$3,1))+COUNTIF($A$64:A132,A132),0),0)</f>
        <v>0</v>
      </c>
    </row>
    <row r="133" spans="1:25" ht="40" customHeight="1" outlineLevel="1" hidden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  <c r="Z133">
        <f>IFERROR(IF(AND(ISNUMBER(A133),A133&gt;=$B$3,A133&lt;EDATE($B$3,1)),COUNTIFS($A$64:$A$500,"&gt;"&amp;A133,$A$64:$A$500,"&lt;"&amp;EDATE($B$3,1))+COUNTIF($A$64:A133,A133),0),0)</f>
        <v>0</v>
      </c>
    </row>
    <row r="134" spans="1:25" ht="40" customHeight="1" outlineLevel="1" hidden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  <c r="Z134">
        <f>IFERROR(IF(AND(ISNUMBER(A134),A134&gt;=$B$3,A134&lt;EDATE($B$3,1)),COUNTIFS($A$64:$A$500,"&gt;"&amp;A134,$A$64:$A$500,"&lt;"&amp;EDATE($B$3,1))+COUNTIF($A$64:A134,A134),0),0)</f>
        <v>0</v>
      </c>
    </row>
    <row r="135" spans="1:25" ht="40" customHeight="1" outlineLevel="1" hidden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  <c r="Z135">
        <f>IFERROR(IF(AND(ISNUMBER(A135),A135&gt;=$B$3,A135&lt;EDATE($B$3,1)),COUNTIFS($A$64:$A$500,"&gt;"&amp;A135,$A$64:$A$500,"&lt;"&amp;EDATE($B$3,1))+COUNTIF($A$64:A135,A135),0),0)</f>
        <v>0</v>
      </c>
    </row>
    <row r="136" spans="1:25" ht="40" customHeight="1" outlineLevel="1" hidden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  <c r="Z136">
        <f>IFERROR(IF(AND(ISNUMBER(A136),A136&gt;=$B$3,A136&lt;EDATE($B$3,1)),COUNTIFS($A$64:$A$500,"&gt;"&amp;A136,$A$64:$A$500,"&lt;"&amp;EDATE($B$3,1))+COUNTIF($A$64:A136,A136),0),0)</f>
        <v>0</v>
      </c>
    </row>
    <row r="137" spans="1:25" ht="40" customHeight="1" outlineLevel="1" hidden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  <c r="Z137">
        <f>IFERROR(IF(AND(ISNUMBER(A137),A137&gt;=$B$3,A137&lt;EDATE($B$3,1)),COUNTIFS($A$64:$A$500,"&gt;"&amp;A137,$A$64:$A$500,"&lt;"&amp;EDATE($B$3,1))+COUNTIF($A$64:A137,A137),0),0)</f>
        <v>0</v>
      </c>
    </row>
    <row r="138" spans="1:25" ht="40" customHeight="1" outlineLevel="1" hidden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  <c r="Z138">
        <f>IFERROR(IF(AND(ISNUMBER(A138),A138&gt;=$B$3,A138&lt;EDATE($B$3,1)),COUNTIFS($A$64:$A$500,"&gt;"&amp;A138,$A$64:$A$500,"&lt;"&amp;EDATE($B$3,1))+COUNTIF($A$64:A138,A138),0),0)</f>
        <v>0</v>
      </c>
    </row>
    <row r="139" spans="1:25" ht="40" customHeight="1" outlineLevel="1" hidden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  <c r="Z139">
        <f>IFERROR(IF(AND(ISNUMBER(A139),A139&gt;=$B$3,A139&lt;EDATE($B$3,1)),COUNTIFS($A$64:$A$500,"&gt;"&amp;A139,$A$64:$A$500,"&lt;"&amp;EDATE($B$3,1))+COUNTIF($A$64:A139,A139),0),0)</f>
        <v>0</v>
      </c>
    </row>
    <row r="140" spans="1:25" ht="40" customHeight="1" outlineLevel="1" hidden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  <c r="Z140">
        <f>IFERROR(IF(AND(ISNUMBER(A140),A140&gt;=$B$3,A140&lt;EDATE($B$3,1)),COUNTIFS($A$64:$A$500,"&gt;"&amp;A140,$A$64:$A$500,"&lt;"&amp;EDATE($B$3,1))+COUNTIF($A$64:A140,A140),0),0)</f>
        <v>0</v>
      </c>
    </row>
    <row r="141" spans="1:25" ht="40" customHeight="1" outlineLevel="1" hidden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  <c r="Z141">
        <f>IFERROR(IF(AND(ISNUMBER(A141),A141&gt;=$B$3,A141&lt;EDATE($B$3,1)),COUNTIFS($A$64:$A$500,"&gt;"&amp;A141,$A$64:$A$500,"&lt;"&amp;EDATE($B$3,1))+COUNTIF($A$64:A141,A141),0),0)</f>
        <v>0</v>
      </c>
    </row>
    <row r="142" spans="1:25" ht="40" customHeight="1" outlineLevel="1" hidden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  <c r="Z142">
        <f>IFERROR(IF(AND(ISNUMBER(A142),A142&gt;=$B$3,A142&lt;EDATE($B$3,1)),COUNTIFS($A$64:$A$500,"&gt;"&amp;A142,$A$64:$A$500,"&lt;"&amp;EDATE($B$3,1))+COUNTIF($A$64:A142,A142),0),0)</f>
        <v>0</v>
      </c>
    </row>
    <row r="143" spans="1:25" ht="40" customHeight="1" outlineLevel="1" hidden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  <c r="Z143">
        <f>IFERROR(IF(AND(ISNUMBER(A143),A143&gt;=$B$3,A143&lt;EDATE($B$3,1)),COUNTIFS($A$64:$A$500,"&gt;"&amp;A143,$A$64:$A$500,"&lt;"&amp;EDATE($B$3,1))+COUNTIF($A$64:A143,A143),0),0)</f>
        <v>0</v>
      </c>
    </row>
    <row r="144" spans="1:25" ht="40" customHeight="1" outlineLevel="1" hidden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  <c r="Z144">
        <f>IFERROR(IF(AND(ISNUMBER(A144),A144&gt;=$B$3,A144&lt;EDATE($B$3,1)),COUNTIFS($A$64:$A$500,"&gt;"&amp;A144,$A$64:$A$500,"&lt;"&amp;EDATE($B$3,1))+COUNTIF($A$64:A144,A144),0),0)</f>
        <v>0</v>
      </c>
    </row>
    <row r="145" spans="1:25" ht="40" customHeight="1" outlineLevel="1" hidden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  <c r="Z145">
        <f>IFERROR(IF(AND(ISNUMBER(A145),A145&gt;=$B$3,A145&lt;EDATE($B$3,1)),COUNTIFS($A$64:$A$500,"&gt;"&amp;A145,$A$64:$A$500,"&lt;"&amp;EDATE($B$3,1))+COUNTIF($A$64:A145,A145),0),0)</f>
        <v>0</v>
      </c>
    </row>
    <row r="146" spans="1:25" ht="40" customHeight="1" outlineLevel="1" hidden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  <c r="Z146">
        <f>IFERROR(IF(AND(ISNUMBER(A146),A146&gt;=$B$3,A146&lt;EDATE($B$3,1)),COUNTIFS($A$64:$A$500,"&gt;"&amp;A146,$A$64:$A$500,"&lt;"&amp;EDATE($B$3,1))+COUNTIF($A$64:A146,A146),0),0)</f>
        <v>0</v>
      </c>
    </row>
    <row r="147" spans="1:25" ht="40" customHeight="1" outlineLevel="1" hidden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  <c r="Z147">
        <f>IFERROR(IF(AND(ISNUMBER(A147),A147&gt;=$B$3,A147&lt;EDATE($B$3,1)),COUNTIFS($A$64:$A$500,"&gt;"&amp;A147,$A$64:$A$500,"&lt;"&amp;EDATE($B$3,1))+COUNTIF($A$64:A147,A147),0),0)</f>
        <v>0</v>
      </c>
    </row>
    <row r="148" spans="1:25" ht="40" customHeight="1" outlineLevel="1" hidden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  <c r="Z148">
        <f>IFERROR(IF(AND(ISNUMBER(A148),A148&gt;=$B$3,A148&lt;EDATE($B$3,1)),COUNTIFS($A$64:$A$500,"&gt;"&amp;A148,$A$64:$A$500,"&lt;"&amp;EDATE($B$3,1))+COUNTIF($A$64:A148,A148),0),0)</f>
        <v>0</v>
      </c>
    </row>
    <row r="149" spans="1:25" ht="40" customHeight="1" outlineLevel="1" hidden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  <c r="Z149">
        <f>IFERROR(IF(AND(ISNUMBER(A149),A149&gt;=$B$3,A149&lt;EDATE($B$3,1)),COUNTIFS($A$64:$A$500,"&gt;"&amp;A149,$A$64:$A$500,"&lt;"&amp;EDATE($B$3,1))+COUNTIF($A$64:A149,A149),0),0)</f>
        <v>0</v>
      </c>
    </row>
    <row r="150" spans="1:25" ht="40" customHeight="1" outlineLevel="1" hidden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  <c r="Z150">
        <f>IFERROR(IF(AND(ISNUMBER(A150),A150&gt;=$B$3,A150&lt;EDATE($B$3,1)),COUNTIFS($A$64:$A$500,"&gt;"&amp;A150,$A$64:$A$500,"&lt;"&amp;EDATE($B$3,1))+COUNTIF($A$64:A150,A150),0),0)</f>
        <v>0</v>
      </c>
    </row>
    <row r="151" spans="1:25" ht="40" customHeight="1" outlineLevel="1" hidden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  <c r="Z151">
        <f>IFERROR(IF(AND(ISNUMBER(A151),A151&gt;=$B$3,A151&lt;EDATE($B$3,1)),COUNTIFS($A$64:$A$500,"&gt;"&amp;A151,$A$64:$A$500,"&lt;"&amp;EDATE($B$3,1))+COUNTIF($A$64:A151,A151),0),0)</f>
        <v>0</v>
      </c>
    </row>
    <row r="152" spans="1:25" ht="40" customHeight="1" outlineLevel="1" hidden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  <c r="Z152">
        <f>IFERROR(IF(AND(ISNUMBER(A152),A152&gt;=$B$3,A152&lt;EDATE($B$3,1)),COUNTIFS($A$64:$A$500,"&gt;"&amp;A152,$A$64:$A$500,"&lt;"&amp;EDATE($B$3,1))+COUNTIF($A$64:A152,A152),0),0)</f>
        <v>0</v>
      </c>
    </row>
    <row r="153" spans="1:25" ht="40" customHeight="1" outlineLevel="1" hidden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  <c r="Z153">
        <f>IFERROR(IF(AND(ISNUMBER(A153),A153&gt;=$B$3,A153&lt;EDATE($B$3,1)),COUNTIFS($A$64:$A$500,"&gt;"&amp;A153,$A$64:$A$500,"&lt;"&amp;EDATE($B$3,1))+COUNTIF($A$64:A153,A153),0),0)</f>
        <v>0</v>
      </c>
    </row>
    <row r="154" spans="1:25" ht="40" customHeight="1" outlineLevel="1" hidden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  <c r="Z154">
        <f>IFERROR(IF(AND(ISNUMBER(A154),A154&gt;=$B$3,A154&lt;EDATE($B$3,1)),COUNTIFS($A$64:$A$500,"&gt;"&amp;A154,$A$64:$A$500,"&lt;"&amp;EDATE($B$3,1))+COUNTIF($A$64:A154,A154),0),0)</f>
        <v>0</v>
      </c>
    </row>
    <row r="155" spans="1:25" ht="40" customHeight="1" outlineLevel="1" hidden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  <c r="Z155">
        <f>IFERROR(IF(AND(ISNUMBER(A155),A155&gt;=$B$3,A155&lt;EDATE($B$3,1)),COUNTIFS($A$64:$A$500,"&gt;"&amp;A155,$A$64:$A$500,"&lt;"&amp;EDATE($B$3,1))+COUNTIF($A$64:A155,A155),0),0)</f>
        <v>0</v>
      </c>
    </row>
    <row r="156" spans="1:25" ht="40" customHeight="1" outlineLevel="1" hidden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  <c r="Z156">
        <f>IFERROR(IF(AND(ISNUMBER(A156),A156&gt;=$B$3,A156&lt;EDATE($B$3,1)),COUNTIFS($A$64:$A$500,"&gt;"&amp;A156,$A$64:$A$500,"&lt;"&amp;EDATE($B$3,1))+COUNTIF($A$64:A156,A156),0),0)</f>
        <v>0</v>
      </c>
    </row>
    <row r="157" spans="1:25" ht="40" customHeight="1" outlineLevel="1" hidden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  <c r="Z157">
        <f>IFERROR(IF(AND(ISNUMBER(A157),A157&gt;=$B$3,A157&lt;EDATE($B$3,1)),COUNTIFS($A$64:$A$500,"&gt;"&amp;A157,$A$64:$A$500,"&lt;"&amp;EDATE($B$3,1))+COUNTIF($A$64:A157,A157),0),0)</f>
        <v>0</v>
      </c>
    </row>
    <row r="158" spans="1:25" ht="40" customHeight="1" outlineLevel="1" hidden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  <c r="Z158">
        <f>IFERROR(IF(AND(ISNUMBER(A158),A158&gt;=$B$3,A158&lt;EDATE($B$3,1)),COUNTIFS($A$64:$A$500,"&gt;"&amp;A158,$A$64:$A$500,"&lt;"&amp;EDATE($B$3,1))+COUNTIF($A$64:A158,A158),0),0)</f>
        <v>0</v>
      </c>
    </row>
    <row r="159" spans="1:25" ht="40" customHeight="1" outlineLevel="1" hidden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  <c r="Z159">
        <f>IFERROR(IF(AND(ISNUMBER(A159),A159&gt;=$B$3,A159&lt;EDATE($B$3,1)),COUNTIFS($A$64:$A$500,"&gt;"&amp;A159,$A$64:$A$500,"&lt;"&amp;EDATE($B$3,1))+COUNTIF($A$64:A159,A159),0),0)</f>
        <v>0</v>
      </c>
    </row>
    <row r="160" spans="1:25" ht="40" customHeight="1" outlineLevel="1" hidden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  <c r="Z160">
        <f>IFERROR(IF(AND(ISNUMBER(A160),A160&gt;=$B$3,A160&lt;EDATE($B$3,1)),COUNTIFS($A$64:$A$500,"&gt;"&amp;A160,$A$64:$A$500,"&lt;"&amp;EDATE($B$3,1))+COUNTIF($A$64:A160,A160),0),0)</f>
        <v>0</v>
      </c>
    </row>
    <row r="161" spans="1:25" ht="40" customHeight="1" outlineLevel="1" hidden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  <c r="Z161">
        <f>IFERROR(IF(AND(ISNUMBER(A161),A161&gt;=$B$3,A161&lt;EDATE($B$3,1)),COUNTIFS($A$64:$A$500,"&gt;"&amp;A161,$A$64:$A$500,"&lt;"&amp;EDATE($B$3,1))+COUNTIF($A$64:A161,A161),0),0)</f>
        <v>0</v>
      </c>
    </row>
    <row r="162" spans="1:25" ht="40" customHeight="1" outlineLevel="1" hidden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  <c r="Z162">
        <f>IFERROR(IF(AND(ISNUMBER(A162),A162&gt;=$B$3,A162&lt;EDATE($B$3,1)),COUNTIFS($A$64:$A$500,"&gt;"&amp;A162,$A$64:$A$500,"&lt;"&amp;EDATE($B$3,1))+COUNTIF($A$64:A162,A162),0),0)</f>
        <v>0</v>
      </c>
    </row>
    <row r="163" spans="1:25" ht="40" customHeight="1" outlineLevel="1" hidden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  <c r="Z163">
        <f>IFERROR(IF(AND(ISNUMBER(A163),A163&gt;=$B$3,A163&lt;EDATE($B$3,1)),COUNTIFS($A$64:$A$500,"&gt;"&amp;A163,$A$64:$A$500,"&lt;"&amp;EDATE($B$3,1))+COUNTIF($A$64:A163,A163),0),0)</f>
        <v>0</v>
      </c>
    </row>
    <row r="164" spans="1:25" ht="40" customHeight="1" outlineLevel="1" hidden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  <c r="Z164">
        <f>IFERROR(IF(AND(ISNUMBER(A164),A164&gt;=$B$3,A164&lt;EDATE($B$3,1)),COUNTIFS($A$64:$A$500,"&gt;"&amp;A164,$A$64:$A$500,"&lt;"&amp;EDATE($B$3,1))+COUNTIF($A$64:A164,A164),0),0)</f>
        <v>0</v>
      </c>
    </row>
    <row r="165" spans="1:25" ht="40" customHeight="1" outlineLevel="1" hidden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  <c r="Z165">
        <f>IFERROR(IF(AND(ISNUMBER(A165),A165&gt;=$B$3,A165&lt;EDATE($B$3,1)),COUNTIFS($A$64:$A$500,"&gt;"&amp;A165,$A$64:$A$500,"&lt;"&amp;EDATE($B$3,1))+COUNTIF($A$64:A165,A165),0),0)</f>
        <v>0</v>
      </c>
    </row>
    <row r="166" spans="1:25" ht="40" customHeight="1" outlineLevel="1" hidden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  <c r="Z166">
        <f>IFERROR(IF(AND(ISNUMBER(A166),A166&gt;=$B$3,A166&lt;EDATE($B$3,1)),COUNTIFS($A$64:$A$500,"&gt;"&amp;A166,$A$64:$A$500,"&lt;"&amp;EDATE($B$3,1))+COUNTIF($A$64:A166,A166),0),0)</f>
        <v>0</v>
      </c>
    </row>
    <row r="167" spans="1:25" ht="40" customHeight="1" outlineLevel="1" hidden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  <c r="Z167">
        <f>IFERROR(IF(AND(ISNUMBER(A167),A167&gt;=$B$3,A167&lt;EDATE($B$3,1)),COUNTIFS($A$64:$A$500,"&gt;"&amp;A167,$A$64:$A$500,"&lt;"&amp;EDATE($B$3,1))+COUNTIF($A$64:A167,A167),0),0)</f>
        <v>0</v>
      </c>
    </row>
    <row r="168" spans="1:25" ht="40" customHeight="1" outlineLevel="1" hidden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  <c r="Z168">
        <f>IFERROR(IF(AND(ISNUMBER(A168),A168&gt;=$B$3,A168&lt;EDATE($B$3,1)),COUNTIFS($A$64:$A$500,"&gt;"&amp;A168,$A$64:$A$500,"&lt;"&amp;EDATE($B$3,1))+COUNTIF($A$64:A168,A168),0),0)</f>
        <v>0</v>
      </c>
    </row>
    <row r="169" spans="1:25" ht="40" customHeight="1" outlineLevel="1" hidden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  <c r="Z169">
        <f>IFERROR(IF(AND(ISNUMBER(A169),A169&gt;=$B$3,A169&lt;EDATE($B$3,1)),COUNTIFS($A$64:$A$500,"&gt;"&amp;A169,$A$64:$A$500,"&lt;"&amp;EDATE($B$3,1))+COUNTIF($A$64:A169,A169),0),0)</f>
        <v>0</v>
      </c>
    </row>
    <row r="170" spans="1:25" ht="40" customHeight="1" outlineLevel="1" hidden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  <c r="Z170">
        <f>IFERROR(IF(AND(ISNUMBER(A170),A170&gt;=$B$3,A170&lt;EDATE($B$3,1)),COUNTIFS($A$64:$A$500,"&gt;"&amp;A170,$A$64:$A$500,"&lt;"&amp;EDATE($B$3,1))+COUNTIF($A$64:A170,A170),0),0)</f>
        <v>0</v>
      </c>
    </row>
    <row r="171" spans="1:25" ht="40" customHeight="1" outlineLevel="1" hidden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  <c r="Z171">
        <f>IFERROR(IF(AND(ISNUMBER(A171),A171&gt;=$B$3,A171&lt;EDATE($B$3,1)),COUNTIFS($A$64:$A$500,"&gt;"&amp;A171,$A$64:$A$500,"&lt;"&amp;EDATE($B$3,1))+COUNTIF($A$64:A171,A171),0),0)</f>
        <v>0</v>
      </c>
    </row>
    <row r="172" spans="1:25" ht="40" customHeight="1" outlineLevel="1" hidden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  <c r="Z172">
        <f>IFERROR(IF(AND(ISNUMBER(A172),A172&gt;=$B$3,A172&lt;EDATE($B$3,1)),COUNTIFS($A$64:$A$500,"&gt;"&amp;A172,$A$64:$A$500,"&lt;"&amp;EDATE($B$3,1))+COUNTIF($A$64:A172,A172),0),0)</f>
        <v>0</v>
      </c>
    </row>
    <row r="173" spans="1:25" ht="40" customHeight="1" outlineLevel="1" hidden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  <c r="Z173">
        <f>IFERROR(IF(AND(ISNUMBER(A173),A173&gt;=$B$3,A173&lt;EDATE($B$3,1)),COUNTIFS($A$64:$A$500,"&gt;"&amp;A173,$A$64:$A$500,"&lt;"&amp;EDATE($B$3,1))+COUNTIF($A$64:A173,A173),0),0)</f>
        <v>0</v>
      </c>
    </row>
    <row r="174" spans="1:25" ht="40" customHeight="1" outlineLevel="1" hidden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  <c r="Z174">
        <f>IFERROR(IF(AND(ISNUMBER(A174),A174&gt;=$B$3,A174&lt;EDATE($B$3,1)),COUNTIFS($A$64:$A$500,"&gt;"&amp;A174,$A$64:$A$500,"&lt;"&amp;EDATE($B$3,1))+COUNTIF($A$64:A174,A174),0),0)</f>
        <v>0</v>
      </c>
    </row>
    <row r="175" spans="1:25" ht="40" customHeight="1" outlineLevel="1" hidden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  <c r="Z175">
        <f>IFERROR(IF(AND(ISNUMBER(A175),A175&gt;=$B$3,A175&lt;EDATE($B$3,1)),COUNTIFS($A$64:$A$500,"&gt;"&amp;A175,$A$64:$A$500,"&lt;"&amp;EDATE($B$3,1))+COUNTIF($A$64:A175,A175),0),0)</f>
        <v>0</v>
      </c>
    </row>
    <row r="176" spans="1:25" ht="40" customHeight="1" outlineLevel="1" hidden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  <c r="Z176">
        <f>IFERROR(IF(AND(ISNUMBER(A176),A176&gt;=$B$3,A176&lt;EDATE($B$3,1)),COUNTIFS($A$64:$A$500,"&gt;"&amp;A176,$A$64:$A$500,"&lt;"&amp;EDATE($B$3,1))+COUNTIF($A$64:A176,A176),0),0)</f>
        <v>0</v>
      </c>
    </row>
    <row r="177" spans="1:25" ht="40" customHeight="1" outlineLevel="1" hidden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  <c r="Z177">
        <f>IFERROR(IF(AND(ISNUMBER(A177),A177&gt;=$B$3,A177&lt;EDATE($B$3,1)),COUNTIFS($A$64:$A$500,"&gt;"&amp;A177,$A$64:$A$500,"&lt;"&amp;EDATE($B$3,1))+COUNTIF($A$64:A177,A177),0),0)</f>
        <v>0</v>
      </c>
    </row>
    <row r="178" spans="1:25" ht="40" customHeight="1" outlineLevel="1" hidden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  <c r="Z178">
        <f>IFERROR(IF(AND(ISNUMBER(A178),A178&gt;=$B$3,A178&lt;EDATE($B$3,1)),COUNTIFS($A$64:$A$500,"&gt;"&amp;A178,$A$64:$A$500,"&lt;"&amp;EDATE($B$3,1))+COUNTIF($A$64:A178,A178),0),0)</f>
        <v>0</v>
      </c>
    </row>
    <row r="179" spans="1:25" ht="40" customHeight="1" outlineLevel="1" hidden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  <c r="Z179">
        <f>IFERROR(IF(AND(ISNUMBER(A179),A179&gt;=$B$3,A179&lt;EDATE($B$3,1)),COUNTIFS($A$64:$A$500,"&gt;"&amp;A179,$A$64:$A$500,"&lt;"&amp;EDATE($B$3,1))+COUNTIF($A$64:A179,A179),0),0)</f>
        <v>0</v>
      </c>
    </row>
    <row r="180" spans="1:25" ht="40" customHeight="1" outlineLevel="1" hidden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  <c r="Z180">
        <f>IFERROR(IF(AND(ISNUMBER(A180),A180&gt;=$B$3,A180&lt;EDATE($B$3,1)),COUNTIFS($A$64:$A$500,"&gt;"&amp;A180,$A$64:$A$500,"&lt;"&amp;EDATE($B$3,1))+COUNTIF($A$64:A180,A180),0),0)</f>
        <v>0</v>
      </c>
    </row>
    <row r="181" spans="1:25" ht="40" customHeight="1" outlineLevel="1" hidden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  <c r="Z181">
        <f>IFERROR(IF(AND(ISNUMBER(A181),A181&gt;=$B$3,A181&lt;EDATE($B$3,1)),COUNTIFS($A$64:$A$500,"&gt;"&amp;A181,$A$64:$A$500,"&lt;"&amp;EDATE($B$3,1))+COUNTIF($A$64:A181,A181),0),0)</f>
        <v>0</v>
      </c>
    </row>
    <row r="182" spans="1:25" ht="40" customHeight="1" outlineLevel="1" hidden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  <c r="Z182">
        <f>IFERROR(IF(AND(ISNUMBER(A182),A182&gt;=$B$3,A182&lt;EDATE($B$3,1)),COUNTIFS($A$64:$A$500,"&gt;"&amp;A182,$A$64:$A$500,"&lt;"&amp;EDATE($B$3,1))+COUNTIF($A$64:A182,A182),0),0)</f>
        <v>0</v>
      </c>
    </row>
    <row r="183" spans="1:25" ht="40" customHeight="1" outlineLevel="1" hidden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  <c r="Z183">
        <f>IFERROR(IF(AND(ISNUMBER(A183),A183&gt;=$B$3,A183&lt;EDATE($B$3,1)),COUNTIFS($A$64:$A$500,"&gt;"&amp;A183,$A$64:$A$500,"&lt;"&amp;EDATE($B$3,1))+COUNTIF($A$64:A183,A183),0),0)</f>
        <v>0</v>
      </c>
    </row>
    <row r="184" spans="1:25" ht="40" customHeight="1" outlineLevel="1" hidden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  <c r="Z184">
        <f>IFERROR(IF(AND(ISNUMBER(A184),A184&gt;=$B$3,A184&lt;EDATE($B$3,1)),COUNTIFS($A$64:$A$500,"&gt;"&amp;A184,$A$64:$A$500,"&lt;"&amp;EDATE($B$3,1))+COUNTIF($A$64:A184,A184),0),0)</f>
        <v>0</v>
      </c>
    </row>
    <row r="185" spans="1:25" ht="40" customHeight="1" outlineLevel="1" hidden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  <c r="Z185">
        <f>IFERROR(IF(AND(ISNUMBER(A185),A185&gt;=$B$3,A185&lt;EDATE($B$3,1)),COUNTIFS($A$64:$A$500,"&gt;"&amp;A185,$A$64:$A$500,"&lt;"&amp;EDATE($B$3,1))+COUNTIF($A$64:A185,A185),0),0)</f>
        <v>0</v>
      </c>
    </row>
    <row r="186" spans="1:25" ht="40" customHeight="1" outlineLevel="1" hidden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  <c r="Z186">
        <f>IFERROR(IF(AND(ISNUMBER(A186),A186&gt;=$B$3,A186&lt;EDATE($B$3,1)),COUNTIFS($A$64:$A$500,"&gt;"&amp;A186,$A$64:$A$500,"&lt;"&amp;EDATE($B$3,1))+COUNTIF($A$64:A186,A186),0),0)</f>
        <v>0</v>
      </c>
    </row>
    <row r="187" spans="1:25" ht="40" customHeight="1" outlineLevel="1" hidden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  <c r="Z187">
        <f>IFERROR(IF(AND(ISNUMBER(A187),A187&gt;=$B$3,A187&lt;EDATE($B$3,1)),COUNTIFS($A$64:$A$500,"&gt;"&amp;A187,$A$64:$A$500,"&lt;"&amp;EDATE($B$3,1))+COUNTIF($A$64:A187,A187),0),0)</f>
        <v>0</v>
      </c>
    </row>
    <row r="188" spans="1:25" ht="40" customHeight="1" outlineLevel="1" hidden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  <c r="Z188">
        <f>IFERROR(IF(AND(ISNUMBER(A188),A188&gt;=$B$3,A188&lt;EDATE($B$3,1)),COUNTIFS($A$64:$A$500,"&gt;"&amp;A188,$A$64:$A$500,"&lt;"&amp;EDATE($B$3,1))+COUNTIF($A$64:A188,A188),0),0)</f>
        <v>0</v>
      </c>
    </row>
    <row r="189" spans="1:25" ht="40" customHeight="1" outlineLevel="1" hidden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  <c r="Z189">
        <f>IFERROR(IF(AND(ISNUMBER(A189),A189&gt;=$B$3,A189&lt;EDATE($B$3,1)),COUNTIFS($A$64:$A$500,"&gt;"&amp;A189,$A$64:$A$500,"&lt;"&amp;EDATE($B$3,1))+COUNTIF($A$64:A189,A189),0),0)</f>
        <v>0</v>
      </c>
    </row>
    <row r="190" spans="1:25" ht="40" customHeight="1" outlineLevel="1" hidden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  <c r="Z190">
        <f>IFERROR(IF(AND(ISNUMBER(A190),A190&gt;=$B$3,A190&lt;EDATE($B$3,1)),COUNTIFS($A$64:$A$500,"&gt;"&amp;A190,$A$64:$A$500,"&lt;"&amp;EDATE($B$3,1))+COUNTIF($A$64:A190,A190),0),0)</f>
        <v>0</v>
      </c>
    </row>
    <row r="191" spans="1:25" ht="40" customHeight="1" outlineLevel="1" hidden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  <c r="Z191">
        <f>IFERROR(IF(AND(ISNUMBER(A191),A191&gt;=$B$3,A191&lt;EDATE($B$3,1)),COUNTIFS($A$64:$A$500,"&gt;"&amp;A191,$A$64:$A$500,"&lt;"&amp;EDATE($B$3,1))+COUNTIF($A$64:A191,A191),0),0)</f>
        <v>0</v>
      </c>
    </row>
    <row r="192" spans="1:25" ht="40" customHeight="1" outlineLevel="1" hidden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  <c r="Z192">
        <f>IFERROR(IF(AND(ISNUMBER(A192),A192&gt;=$B$3,A192&lt;EDATE($B$3,1)),COUNTIFS($A$64:$A$500,"&gt;"&amp;A192,$A$64:$A$500,"&lt;"&amp;EDATE($B$3,1))+COUNTIF($A$64:A192,A192),0),0)</f>
        <v>0</v>
      </c>
    </row>
    <row r="193" spans="1:25" ht="40" customHeight="1" outlineLevel="1" hidden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  <c r="Z193">
        <f>IFERROR(IF(AND(ISNUMBER(A193),A193&gt;=$B$3,A193&lt;EDATE($B$3,1)),COUNTIFS($A$64:$A$500,"&gt;"&amp;A193,$A$64:$A$500,"&lt;"&amp;EDATE($B$3,1))+COUNTIF($A$64:A193,A193),0),0)</f>
        <v>0</v>
      </c>
    </row>
    <row r="194" spans="1:25" ht="40" customHeight="1" outlineLevel="1" hidden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  <c r="Z194">
        <f>IFERROR(IF(AND(ISNUMBER(A194),A194&gt;=$B$3,A194&lt;EDATE($B$3,1)),COUNTIFS($A$64:$A$500,"&gt;"&amp;A194,$A$64:$A$500,"&lt;"&amp;EDATE($B$3,1))+COUNTIF($A$64:A194,A194),0),0)</f>
        <v>0</v>
      </c>
    </row>
    <row r="195" spans="1:25" ht="40" customHeight="1" outlineLevel="1" hidden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  <c r="Z195">
        <f>IFERROR(IF(AND(ISNUMBER(A195),A195&gt;=$B$3,A195&lt;EDATE($B$3,1)),COUNTIFS($A$64:$A$500,"&gt;"&amp;A195,$A$64:$A$500,"&lt;"&amp;EDATE($B$3,1))+COUNTIF($A$64:A195,A195),0),0)</f>
        <v>0</v>
      </c>
    </row>
    <row r="196" spans="1:25" ht="40" customHeight="1" outlineLevel="1" hidden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  <c r="Z196">
        <f>IFERROR(IF(AND(ISNUMBER(A196),A196&gt;=$B$3,A196&lt;EDATE($B$3,1)),COUNTIFS($A$64:$A$500,"&gt;"&amp;A196,$A$64:$A$500,"&lt;"&amp;EDATE($B$3,1))+COUNTIF($A$64:A196,A196),0),0)</f>
        <v>0</v>
      </c>
    </row>
    <row r="197" spans="1:25" ht="40" customHeight="1" outlineLevel="1" hidden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  <c r="Z197">
        <f>IFERROR(IF(AND(ISNUMBER(A197),A197&gt;=$B$3,A197&lt;EDATE($B$3,1)),COUNTIFS($A$64:$A$500,"&gt;"&amp;A197,$A$64:$A$500,"&lt;"&amp;EDATE($B$3,1))+COUNTIF($A$64:A197,A197),0),0)</f>
        <v>0</v>
      </c>
    </row>
    <row r="198" spans="1:25" ht="40" customHeight="1" outlineLevel="1" hidden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  <c r="Z198">
        <f>IFERROR(IF(AND(ISNUMBER(A198),A198&gt;=$B$3,A198&lt;EDATE($B$3,1)),COUNTIFS($A$64:$A$500,"&gt;"&amp;A198,$A$64:$A$500,"&lt;"&amp;EDATE($B$3,1))+COUNTIF($A$64:A198,A198),0),0)</f>
        <v>0</v>
      </c>
    </row>
    <row r="199" spans="1:25" ht="40" customHeight="1" outlineLevel="1" hidden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  <c r="Z199">
        <f>IFERROR(IF(AND(ISNUMBER(A199),A199&gt;=$B$3,A199&lt;EDATE($B$3,1)),COUNTIFS($A$64:$A$500,"&gt;"&amp;A199,$A$64:$A$500,"&lt;"&amp;EDATE($B$3,1))+COUNTIF($A$64:A199,A199),0),0)</f>
        <v>0</v>
      </c>
    </row>
    <row r="200" spans="1:25" ht="40" customHeight="1" outlineLevel="1" hidden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  <c r="Z200">
        <f>IFERROR(IF(AND(ISNUMBER(A200),A200&gt;=$B$3,A200&lt;EDATE($B$3,1)),COUNTIFS($A$64:$A$500,"&gt;"&amp;A200,$A$64:$A$500,"&lt;"&amp;EDATE($B$3,1))+COUNTIF($A$64:A200,A200),0),0)</f>
        <v>0</v>
      </c>
    </row>
    <row r="201" spans="1:25" ht="40" customHeight="1" outlineLevel="1" hidden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  <c r="Z201">
        <f>IFERROR(IF(AND(ISNUMBER(A201),A201&gt;=$B$3,A201&lt;EDATE($B$3,1)),COUNTIFS($A$64:$A$500,"&gt;"&amp;A201,$A$64:$A$500,"&lt;"&amp;EDATE($B$3,1))+COUNTIF($A$64:A201,A201),0),0)</f>
        <v>0</v>
      </c>
    </row>
    <row r="202" spans="1:25" ht="40" customHeight="1" outlineLevel="1" hidden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  <c r="Z202">
        <f>IFERROR(IF(AND(ISNUMBER(A202),A202&gt;=$B$3,A202&lt;EDATE($B$3,1)),COUNTIFS($A$64:$A$500,"&gt;"&amp;A202,$A$64:$A$500,"&lt;"&amp;EDATE($B$3,1))+COUNTIF($A$64:A202,A202),0),0)</f>
        <v>0</v>
      </c>
    </row>
    <row r="203" spans="1:25" ht="40" customHeight="1" outlineLevel="1" hidden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  <c r="Z203">
        <f>IFERROR(IF(AND(ISNUMBER(A203),A203&gt;=$B$3,A203&lt;EDATE($B$3,1)),COUNTIFS($A$64:$A$500,"&gt;"&amp;A203,$A$64:$A$500,"&lt;"&amp;EDATE($B$3,1))+COUNTIF($A$64:A203,A203),0),0)</f>
        <v>0</v>
      </c>
    </row>
    <row r="204" spans="1:25" ht="40" customHeight="1" outlineLevel="1" hidden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  <c r="Z204">
        <f>IFERROR(IF(AND(ISNUMBER(A204),A204&gt;=$B$3,A204&lt;EDATE($B$3,1)),COUNTIFS($A$64:$A$500,"&gt;"&amp;A204,$A$64:$A$500,"&lt;"&amp;EDATE($B$3,1))+COUNTIF($A$64:A204,A204),0),0)</f>
        <v>0</v>
      </c>
    </row>
    <row r="205" spans="1:25" ht="40" customHeight="1" outlineLevel="1" hidden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  <c r="Z205">
        <f>IFERROR(IF(AND(ISNUMBER(A205),A205&gt;=$B$3,A205&lt;EDATE($B$3,1)),COUNTIFS($A$64:$A$500,"&gt;"&amp;A205,$A$64:$A$500,"&lt;"&amp;EDATE($B$3,1))+COUNTIF($A$64:A205,A205),0),0)</f>
        <v>0</v>
      </c>
    </row>
    <row r="206" spans="1:25" ht="40" customHeight="1" outlineLevel="1" hidden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  <c r="Z206">
        <f>IFERROR(IF(AND(ISNUMBER(A206),A206&gt;=$B$3,A206&lt;EDATE($B$3,1)),COUNTIFS($A$64:$A$500,"&gt;"&amp;A206,$A$64:$A$500,"&lt;"&amp;EDATE($B$3,1))+COUNTIF($A$64:A206,A206),0),0)</f>
        <v>0</v>
      </c>
    </row>
    <row r="207" spans="1:25" ht="40" customHeight="1" outlineLevel="1" hidden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  <c r="Z207">
        <f>IFERROR(IF(AND(ISNUMBER(A207),A207&gt;=$B$3,A207&lt;EDATE($B$3,1)),COUNTIFS($A$64:$A$500,"&gt;"&amp;A207,$A$64:$A$500,"&lt;"&amp;EDATE($B$3,1))+COUNTIF($A$64:A207,A207),0),0)</f>
        <v>0</v>
      </c>
    </row>
    <row r="208" spans="1:25" ht="40" customHeight="1" outlineLevel="1" hidden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inlineStr">
        <is>
          <t xml:space="preserve">원본 8월 임시보관의 가족통장 납입 100,000원. 10월 생신 사용 39,000원에 배분하고 잔금 61,000원은 원장 246행에서 회수. 날짜 미기록: 월 기준일.</t>
        </is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  <c r="Z208">
        <f>IFERROR(IF(AND(ISNUMBER(A208),A208&gt;=$B$3,A208&lt;EDATE($B$3,1)),COUNTIFS($A$64:$A$500,"&gt;"&amp;A208,$A$64:$A$500,"&lt;"&amp;EDATE($B$3,1))+COUNTIF($A$64:A208,A208),0),0)</f>
        <v>0</v>
      </c>
    </row>
    <row r="209" spans="1:25" ht="40" customHeight="1" outlineLevel="1" hidden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  <c r="Z209">
        <f>IFERROR(IF(AND(ISNUMBER(A209),A209&gt;=$B$3,A209&lt;EDATE($B$3,1)),COUNTIFS($A$64:$A$500,"&gt;"&amp;A209,$A$64:$A$500,"&lt;"&amp;EDATE($B$3,1))+COUNTIF($A$64:A209,A209),0),0)</f>
        <v>0</v>
      </c>
    </row>
    <row r="210" spans="1:25" ht="40" customHeight="1" outlineLevel="1" hidden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  <c r="Z210">
        <f>IFERROR(IF(AND(ISNUMBER(A210),A210&gt;=$B$3,A210&lt;EDATE($B$3,1)),COUNTIFS($A$64:$A$500,"&gt;"&amp;A210,$A$64:$A$500,"&lt;"&amp;EDATE($B$3,1))+COUNTIF($A$64:A210,A210),0),0)</f>
        <v>0</v>
      </c>
    </row>
    <row r="211" spans="1:25" ht="40" customHeight="1" outlineLevel="1" hidden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  <c r="Z211">
        <f>IFERROR(IF(AND(ISNUMBER(A211),A211&gt;=$B$3,A211&lt;EDATE($B$3,1)),COUNTIFS($A$64:$A$500,"&gt;"&amp;A211,$A$64:$A$500,"&lt;"&amp;EDATE($B$3,1))+COUNTIF($A$64:A211,A211),0),0)</f>
        <v>0</v>
      </c>
    </row>
    <row r="212" spans="1:25" ht="40" customHeight="1" outlineLevel="1" hidden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  <c r="Z212">
        <f>IFERROR(IF(AND(ISNUMBER(A212),A212&gt;=$B$3,A212&lt;EDATE($B$3,1)),COUNTIFS($A$64:$A$500,"&gt;"&amp;A212,$A$64:$A$500,"&lt;"&amp;EDATE($B$3,1))+COUNTIF($A$64:A212,A212),0),0)</f>
        <v>0</v>
      </c>
    </row>
    <row r="213" spans="1:25" ht="40" customHeight="1" outlineLevel="1" hidden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  <c r="Z213">
        <f>IFERROR(IF(AND(ISNUMBER(A213),A213&gt;=$B$3,A213&lt;EDATE($B$3,1)),COUNTIFS($A$64:$A$500,"&gt;"&amp;A213,$A$64:$A$500,"&lt;"&amp;EDATE($B$3,1))+COUNTIF($A$64:A213,A213),0),0)</f>
        <v>0</v>
      </c>
    </row>
    <row r="214" spans="1:25" ht="40" customHeight="1" outlineLevel="1" hidden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  <c r="Z214">
        <f>IFERROR(IF(AND(ISNUMBER(A214),A214&gt;=$B$3,A214&lt;EDATE($B$3,1)),COUNTIFS($A$64:$A$500,"&gt;"&amp;A214,$A$64:$A$500,"&lt;"&amp;EDATE($B$3,1))+COUNTIF($A$64:A214,A214),0),0)</f>
        <v>0</v>
      </c>
    </row>
    <row r="215" spans="1:25" ht="40" customHeight="1" outlineLevel="1" hidden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  <c r="Z215">
        <f>IFERROR(IF(AND(ISNUMBER(A215),A215&gt;=$B$3,A215&lt;EDATE($B$3,1)),COUNTIFS($A$64:$A$500,"&gt;"&amp;A215,$A$64:$A$500,"&lt;"&amp;EDATE($B$3,1))+COUNTIF($A$64:A215,A215),0),0)</f>
        <v>0</v>
      </c>
    </row>
    <row r="216" spans="1:25" ht="40" customHeight="1" outlineLevel="1" hidden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  <c r="Z216">
        <f>IFERROR(IF(AND(ISNUMBER(A216),A216&gt;=$B$3,A216&lt;EDATE($B$3,1)),COUNTIFS($A$64:$A$500,"&gt;"&amp;A216,$A$64:$A$500,"&lt;"&amp;EDATE($B$3,1))+COUNTIF($A$64:A216,A216),0),0)</f>
        <v>0</v>
      </c>
    </row>
    <row r="217" spans="1:25" ht="40" customHeight="1" outlineLevel="1" hidden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  <c r="Z217">
        <f>IFERROR(IF(AND(ISNUMBER(A217),A217&gt;=$B$3,A217&lt;EDATE($B$3,1)),COUNTIFS($A$64:$A$500,"&gt;"&amp;A217,$A$64:$A$500,"&lt;"&amp;EDATE($B$3,1))+COUNTIF($A$64:A217,A217),0),0)</f>
        <v>0</v>
      </c>
    </row>
    <row r="218" spans="1:25" ht="40" customHeight="1" outlineLevel="1" hidden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  <c r="Z218">
        <f>IFERROR(IF(AND(ISNUMBER(A218),A218&gt;=$B$3,A218&lt;EDATE($B$3,1)),COUNTIFS($A$64:$A$500,"&gt;"&amp;A218,$A$64:$A$500,"&lt;"&amp;EDATE($B$3,1))+COUNTIF($A$64:A218,A218),0),0)</f>
        <v>0</v>
      </c>
    </row>
    <row r="219" spans="1:25" ht="40" customHeight="1" outlineLevel="1" hidden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  <c r="Z219">
        <f>IFERROR(IF(AND(ISNUMBER(A219),A219&gt;=$B$3,A219&lt;EDATE($B$3,1)),COUNTIFS($A$64:$A$500,"&gt;"&amp;A219,$A$64:$A$500,"&lt;"&amp;EDATE($B$3,1))+COUNTIF($A$64:A219,A219),0),0)</f>
        <v>0</v>
      </c>
    </row>
    <row r="220" spans="1:25" ht="40" customHeight="1" outlineLevel="1" hidden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  <c r="Z220">
        <f>IFERROR(IF(AND(ISNUMBER(A220),A220&gt;=$B$3,A220&lt;EDATE($B$3,1)),COUNTIFS($A$64:$A$500,"&gt;"&amp;A220,$A$64:$A$500,"&lt;"&amp;EDATE($B$3,1))+COUNTIF($A$64:A220,A220),0),0)</f>
        <v>0</v>
      </c>
    </row>
    <row r="221" spans="1:25" ht="40" customHeight="1" outlineLevel="1" hidden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  <c r="Z221">
        <f>IFERROR(IF(AND(ISNUMBER(A221),A221&gt;=$B$3,A221&lt;EDATE($B$3,1)),COUNTIFS($A$64:$A$500,"&gt;"&amp;A221,$A$64:$A$500,"&lt;"&amp;EDATE($B$3,1))+COUNTIF($A$64:A221,A221),0),0)</f>
        <v>0</v>
      </c>
    </row>
    <row r="222" spans="1:25" ht="40" customHeight="1" outlineLevel="1" hidden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  <c r="Z222">
        <f>IFERROR(IF(AND(ISNUMBER(A222),A222&gt;=$B$3,A222&lt;EDATE($B$3,1)),COUNTIFS($A$64:$A$500,"&gt;"&amp;A222,$A$64:$A$500,"&lt;"&amp;EDATE($B$3,1))+COUNTIF($A$64:A222,A222),0),0)</f>
        <v>0</v>
      </c>
    </row>
    <row r="223" spans="1:25" ht="40" customHeight="1" outlineLevel="1" hidden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  <c r="Z223">
        <f>IFERROR(IF(AND(ISNUMBER(A223),A223&gt;=$B$3,A223&lt;EDATE($B$3,1)),COUNTIFS($A$64:$A$500,"&gt;"&amp;A223,$A$64:$A$500,"&lt;"&amp;EDATE($B$3,1))+COUNTIF($A$64:A223,A223),0),0)</f>
        <v>0</v>
      </c>
    </row>
    <row r="224" spans="1:25" ht="40" customHeight="1" outlineLevel="1" hidden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  <c r="Z224">
        <f>IFERROR(IF(AND(ISNUMBER(A224),A224&gt;=$B$3,A224&lt;EDATE($B$3,1)),COUNTIFS($A$64:$A$500,"&gt;"&amp;A224,$A$64:$A$500,"&lt;"&amp;EDATE($B$3,1))+COUNTIF($A$64:A224,A224),0),0)</f>
        <v>0</v>
      </c>
    </row>
    <row r="225" spans="1:25" ht="40" customHeight="1" outlineLevel="1" hidden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  <c r="Z225">
        <f>IFERROR(IF(AND(ISNUMBER(A225),A225&gt;=$B$3,A225&lt;EDATE($B$3,1)),COUNTIFS($A$64:$A$500,"&gt;"&amp;A225,$A$64:$A$500,"&lt;"&amp;EDATE($B$3,1))+COUNTIF($A$64:A225,A225),0),0)</f>
        <v>0</v>
      </c>
    </row>
    <row r="226" spans="1:25" ht="40" customHeight="1" outlineLevel="1" hidden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  <c r="Z226">
        <f>IFERROR(IF(AND(ISNUMBER(A226),A226&gt;=$B$3,A226&lt;EDATE($B$3,1)),COUNTIFS($A$64:$A$500,"&gt;"&amp;A226,$A$64:$A$500,"&lt;"&amp;EDATE($B$3,1))+COUNTIF($A$64:A226,A226),0),0)</f>
        <v>0</v>
      </c>
    </row>
    <row r="227" spans="1:25" ht="40" customHeight="1" outlineLevel="1" hidden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  <c r="Z227">
        <f>IFERROR(IF(AND(ISNUMBER(A227),A227&gt;=$B$3,A227&lt;EDATE($B$3,1)),COUNTIFS($A$64:$A$500,"&gt;"&amp;A227,$A$64:$A$500,"&lt;"&amp;EDATE($B$3,1))+COUNTIF($A$64:A227,A227),0),0)</f>
        <v>0</v>
      </c>
    </row>
    <row r="228" spans="1:25" ht="40" customHeight="1" outlineLevel="1" hidden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  <c r="Z228">
        <f>IFERROR(IF(AND(ISNUMBER(A228),A228&gt;=$B$3,A228&lt;EDATE($B$3,1)),COUNTIFS($A$64:$A$500,"&gt;"&amp;A228,$A$64:$A$500,"&lt;"&amp;EDATE($B$3,1))+COUNTIF($A$64:A228,A228),0),0)</f>
        <v>0</v>
      </c>
    </row>
    <row r="229" spans="1:25" ht="40" customHeight="1" outlineLevel="1" hidden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  <c r="Z229">
        <f>IFERROR(IF(AND(ISNUMBER(A229),A229&gt;=$B$3,A229&lt;EDATE($B$3,1)),COUNTIFS($A$64:$A$500,"&gt;"&amp;A229,$A$64:$A$500,"&lt;"&amp;EDATE($B$3,1))+COUNTIF($A$64:A229,A229),0),0)</f>
        <v>0</v>
      </c>
    </row>
    <row r="230" spans="1:25" ht="40" customHeight="1" outlineLevel="1" hidden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  <c r="Z230">
        <f>IFERROR(IF(AND(ISNUMBER(A230),A230&gt;=$B$3,A230&lt;EDATE($B$3,1)),COUNTIFS($A$64:$A$500,"&gt;"&amp;A230,$A$64:$A$500,"&lt;"&amp;EDATE($B$3,1))+COUNTIF($A$64:A230,A230),0),0)</f>
        <v>0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202610_이체_4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  <c r="Z231">
        <f>IFERROR(IF(AND(ISNUMBER(A231),A231&gt;=$B$3,A231&lt;EDATE($B$3,1)),COUNTIFS($A$64:$A$500,"&gt;"&amp;A231,$A$64:$A$500,"&lt;"&amp;EDATE($B$3,1))+COUNTIF($A$64:A231,A231),0),0)</f>
        <v>5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202610_이체_5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  <c r="Z232">
        <f>IFERROR(IF(AND(ISNUMBER(A232),A232&gt;=$B$3,A232&lt;EDATE($B$3,1)),COUNTIFS($A$64:$A$500,"&gt;"&amp;A232,$A$64:$A$500,"&lt;"&amp;EDATE($B$3,1))+COUNTIF($A$64:A232,A232),0),0)</f>
        <v>6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202610_이체_6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  <c r="Z233">
        <f>IFERROR(IF(AND(ISNUMBER(A233),A233&gt;=$B$3,A233&lt;EDATE($B$3,1)),COUNTIFS($A$64:$A$500,"&gt;"&amp;A233,$A$64:$A$500,"&lt;"&amp;EDATE($B$3,1))+COUNTIF($A$64:A233,A233),0),0)</f>
        <v>7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202610_이체_7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  <c r="Z234">
        <f>IFERROR(IF(AND(ISNUMBER(A234),A234&gt;=$B$3,A234&lt;EDATE($B$3,1)),COUNTIFS($A$64:$A$500,"&gt;"&amp;A234,$A$64:$A$500,"&lt;"&amp;EDATE($B$3,1))+COUNTIF($A$64:A234,A234),0),0)</f>
        <v>8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202610_이체_8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  <c r="Z235">
        <f>IFERROR(IF(AND(ISNUMBER(A235),A235&gt;=$B$3,A235&lt;EDATE($B$3,1)),COUNTIFS($A$64:$A$500,"&gt;"&amp;A235,$A$64:$A$500,"&lt;"&amp;EDATE($B$3,1))+COUNTIF($A$64:A235,A235),0),0)</f>
        <v>9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202610_이체_9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  <c r="Z236">
        <f>IFERROR(IF(AND(ISNUMBER(A236),A236&gt;=$B$3,A236&lt;EDATE($B$3,1)),COUNTIFS($A$64:$A$500,"&gt;"&amp;A236,$A$64:$A$500,"&lt;"&amp;EDATE($B$3,1))+COUNTIF($A$64:A236,A236),0),0)</f>
        <v>10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202610_이체_10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  <c r="Z237">
        <f>IFERROR(IF(AND(ISNUMBER(A237),A237&gt;=$B$3,A237&lt;EDATE($B$3,1)),COUNTIFS($A$64:$A$500,"&gt;"&amp;A237,$A$64:$A$500,"&lt;"&amp;EDATE($B$3,1))+COUNTIF($A$64:A237,A237),0),0)</f>
        <v>11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202610_내역_2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  <c r="Z238">
        <f>IFERROR(IF(AND(ISNUMBER(A238),A238&gt;=$B$3,A238&lt;EDATE($B$3,1)),COUNTIFS($A$64:$A$500,"&gt;"&amp;A238,$A$64:$A$500,"&lt;"&amp;EDATE($B$3,1))+COUNTIF($A$64:A238,A238),0),0)</f>
        <v>12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202610_이체_11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  <c r="Z239">
        <f>IFERROR(IF(AND(ISNUMBER(A239),A239&gt;=$B$3,A239&lt;EDATE($B$3,1)),COUNTIFS($A$64:$A$500,"&gt;"&amp;A239,$A$64:$A$500,"&lt;"&amp;EDATE($B$3,1))+COUNTIF($A$64:A239,A239),0),0)</f>
        <v>13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202610_이체_12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  <c r="Z240">
        <f>IFERROR(IF(AND(ISNUMBER(A240),A240&gt;=$B$3,A240&lt;EDATE($B$3,1)),COUNTIFS($A$64:$A$500,"&gt;"&amp;A240,$A$64:$A$500,"&lt;"&amp;EDATE($B$3,1))+COUNTIF($A$64:A240,A240),0),0)</f>
        <v>14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202610_이체_13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  <c r="Z241">
        <f>IFERROR(IF(AND(ISNUMBER(A241),A241&gt;=$B$3,A241&lt;EDATE($B$3,1)),COUNTIFS($A$64:$A$500,"&gt;"&amp;A241,$A$64:$A$500,"&lt;"&amp;EDATE($B$3,1))+COUNTIF($A$64:A241,A241),0),0)</f>
        <v>15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202610_내역_3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  <c r="Z242">
        <f>IFERROR(IF(AND(ISNUMBER(A242),A242&gt;=$B$3,A242&lt;EDATE($B$3,1)),COUNTIFS($A$64:$A$500,"&gt;"&amp;A242,$A$64:$A$500,"&lt;"&amp;EDATE($B$3,1))+COUNTIF($A$64:A242,A242),0),0)</f>
        <v>16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  <c r="Z243">
        <f>IFERROR(IF(AND(ISNUMBER(A243),A243&gt;=$B$3,A243&lt;EDATE($B$3,1)),COUNTIFS($A$64:$A$500,"&gt;"&amp;A243,$A$64:$A$500,"&lt;"&amp;EDATE($B$3,1))+COUNTIF($A$64:A243,A243),0),0)</f>
        <v>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  <c r="Z244">
        <f>IFERROR(IF(AND(ISNUMBER(A244),A244&gt;=$B$3,A244&lt;EDATE($B$3,1)),COUNTIFS($A$64:$A$500,"&gt;"&amp;A244,$A$64:$A$500,"&lt;"&amp;EDATE($B$3,1))+COUNTIF($A$64:A244,A244),0),0)</f>
        <v>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202610_내역_1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  <c r="Z245">
        <f>IFERROR(IF(AND(ISNUMBER(A245),A245&gt;=$B$3,A245&lt;EDATE($B$3,1)),COUNTIFS($A$64:$A$500,"&gt;"&amp;A245,$A$64:$A$500,"&lt;"&amp;EDATE($B$3,1))+COUNTIF($A$64:A245,A245),0),0)</f>
        <v>4</v>
      </c>
    </row>
    <row r="246" spans="1:25" ht="80" hidden="1" customHeight="1" outlineLevel="1">
      <c r="A246" s="314">
        <v>46310.93959303241</v>
      </c>
      <c r="B246" s="318" t="inlineStr">
        <is>
          <t xml:space="preserve">이체</t>
        </is>
      </c>
      <c r="C246" s="318" t="inlineStr">
        <is>
          <t xml:space="preserve">외부</t>
        </is>
      </c>
      <c r="D246" s="318" t="inlineStr">
        <is>
          <t xml:space="preserve">임시보관</t>
        </is>
      </c>
      <c r="E246" s="316">
        <v>61000</v>
      </c>
      <c r="F246" s="318" t="inlineStr">
        <is>
          <t xml:space="preserve">부모 생신 미사용 원금 회수</t>
        </is>
      </c>
      <c r="G246" s="318" t="inlineStr">
        <is>
          <t xml:space="preserve">RAW 2466행. 8월 가족통장 납입 100,000 중 행사 39,000 사용, 원금 61,000 회수. 신규 수입·예비비 적립 아님. 회수 후 원장 247행에서 임시보관 → 생활비로 분류 이동.</t>
        </is>
      </c>
      <c r="H246" s="317">
        <f t="shared" si="35"/>
        <v>46296.0</v>
      </c>
      <c r="I246" s="318" t="str">
        <f t="shared" si="36"/>
        <v>OK</v>
      </c>
      <c r="J246" s="318" t="inlineStr">
        <is>
          <t xml:space="preserve">가족통장</t>
        </is>
      </c>
      <c r="K246" s="318" t="inlineStr">
        <is>
          <t xml:space="preserve">미래에셋_WRAP형CMA</t>
        </is>
      </c>
      <c r="L246" s="320" t="inlineStr">
        <is>
          <t xml:space="preserve">WRAP계좌이체</t>
        </is>
      </c>
      <c r="P246" t="str">
        <f t="shared" si="37"/>
        <v>이체</v>
      </c>
      <c r="Q246" t="str">
        <f t="shared" si="38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202610_이체_3</v>
      </c>
      <c r="S246" t="str">
        <f t="shared" si="39"/>
        <v>임시보관</v>
      </c>
      <c r="T246">
        <f t="shared" si="40"/>
        <v>61000</v>
      </c>
      <c r="U246">
        <f t="shared" si="41"/>
        <v>46310.93959303241</v>
      </c>
      <c r="W246">
        <v>2466</v>
      </c>
      <c r="Y246">
        <f t="shared" si="42"/>
        <v>61000</v>
      </c>
      <c r="Z246">
        <f>IFERROR(IF(AND(ISNUMBER(A246),A246&gt;=$B$3,A246&lt;EDATE($B$3,1)),COUNTIFS($A$64:$A$500,"&gt;"&amp;A246,$A$64:$A$500,"&lt;"&amp;EDATE($B$3,1))+COUNTIF($A$64:A246,A246),0),0)</f>
        <v>3</v>
      </c>
    </row>
    <row r="247" spans="1:25" ht="68" hidden="1" customHeight="1" outlineLevel="1">
      <c r="A247" s="314">
        <v>46310.9587962963</v>
      </c>
      <c r="B247" s="318" t="inlineStr">
        <is>
          <t xml:space="preserve">이체</t>
        </is>
      </c>
      <c r="C247" s="318" t="inlineStr">
        <is>
          <t xml:space="preserve">임시보관</t>
        </is>
      </c>
      <c r="D247" s="318" t="inlineStr">
        <is>
          <t xml:space="preserve">생활비</t>
        </is>
      </c>
      <c r="E247" s="316">
        <v>61000</v>
      </c>
      <c r="F247" s="318" t="inlineStr">
        <is>
          <t xml:space="preserve">생신 잔금 임시보관 → 생활비</t>
        </is>
      </c>
      <c r="G247" s="318" t="inlineStr">
        <is>
          <t xml:space="preserve">사용자 요청으로 회수 원금 61,000원을 생활비로 분류 이동. 날짜는 분류 기록 시각이며 실제 은행 송금 아님. 원금 회수는 원장 246행에 별도 보존. 신규 수입·지출·적립 아님.</t>
        </is>
      </c>
      <c r="H247" s="317">
        <f t="shared" si="35"/>
        <v>46296.0</v>
      </c>
      <c r="I247" s="318" t="str">
        <f t="shared" si="36"/>
        <v>OK</v>
      </c>
      <c r="J247" s="318" t="inlineStr">
        <is>
          <t xml:space="preserve">미래에셋_WRAP형CMA</t>
        </is>
      </c>
      <c r="K247" s="318" t="inlineStr">
        <is>
          <t xml:space="preserve">미래에셋_WRAP형CMA</t>
        </is>
      </c>
      <c r="L247" s="320" t="inlineStr">
        <is>
          <t xml:space="preserve">WRAP내계정이동</t>
        </is>
      </c>
      <c r="P247" t="str">
        <f t="shared" si="37"/>
        <v>이체</v>
      </c>
      <c r="Q247" t="str">
        <f t="shared" si="38"/>
        <v>이체</v>
      </c>
      <c r="R247" t="str">
        <f>IF(P247="","",TEXT(H247,"yyyymm")&amp;"_"&amp;P247&amp;"_"&amp;(COUNTIFS($H$64:$H$500,H247,$P$64:$P$500,P247,$A$64:$A$500,"&gt;"&amp;A247)+COUNTIFS($H$64:H247,H247,$P$64:P247,P247,$A$64:A247,A247)))</f>
        <v>202610_이체_2</v>
      </c>
      <c r="S247" t="str">
        <f t="shared" si="39"/>
        <v>생활비</v>
      </c>
      <c r="T247">
        <f t="shared" si="40"/>
        <v>61000</v>
      </c>
      <c r="U247">
        <f t="shared" si="41"/>
        <v>46310.9587962963</v>
      </c>
      <c r="Y247">
        <f t="shared" si="42"/>
        <v>61000</v>
      </c>
      <c r="Z247">
        <f>IFERROR(IF(AND(ISNUMBER(A247),A247&gt;=$B$3,A247&lt;EDATE($B$3,1)),COUNTIFS($A$64:$A$500,"&gt;"&amp;A247,$A$64:$A$500,"&lt;"&amp;EDATE($B$3,1))+COUNTIF($A$64:A247,A247),0),0)</f>
        <v>2</v>
      </c>
    </row>
    <row r="248" spans="1:25" ht="68" hidden="1" customHeight="1" outlineLevel="1">
      <c r="A248" s="314">
        <v>46312.66737074074</v>
      </c>
      <c r="B248" s="315" t="inlineStr">
        <is>
          <t xml:space="preserve">이체</t>
        </is>
      </c>
      <c r="C248" s="315" t="inlineStr">
        <is>
          <t xml:space="preserve">생활비</t>
        </is>
      </c>
      <c r="D248" s="315" t="inlineStr">
        <is>
          <t xml:space="preserve">외부</t>
        </is>
      </c>
      <c r="E248" s="316">
        <v>15700</v>
      </c>
      <c r="F248" s="315" t="inlineStr">
        <is>
          <t xml:space="preserve">외부출금 · 카카오페이 충전</t>
        </is>
      </c>
      <c r="G248" s="315" t="inlineStr">
        <is>
          <t xml:space="preserve">KP20261017-01 · 플라잉 더치 구매 연결(사용자 확인). 충전 RAW 2475행 15,700원 + 양배추 대납 회수 RAW 2376행 1,300원 = 구매 RAW 2474행 17,000원. 현금은 충전에서만 차감, 소비는 구매에서만 집계.</t>
        </is>
      </c>
      <c r="H248" s="317">
        <f t="shared" si="35"/>
        <v>46296.0</v>
      </c>
      <c r="I248" s="318" t="str">
        <f t="shared" si="36"/>
        <v>OK</v>
      </c>
      <c r="J248" s="315" t="inlineStr">
        <is>
          <t xml:space="preserve">미래에셋_WRAP형CMA</t>
        </is>
      </c>
      <c r="K248" s="315" t="inlineStr">
        <is>
          <t xml:space="preserve">카카오페이머니</t>
        </is>
      </c>
      <c r="L248" s="319" t="inlineStr">
        <is>
          <t xml:space="preserve">WRAP계좌이체</t>
        </is>
      </c>
      <c r="P248" t="str">
        <f t="shared" si="37"/>
        <v>이체</v>
      </c>
      <c r="Q248" t="str">
        <f t="shared" si="38"/>
        <v>이체</v>
      </c>
      <c r="R248" t="str">
        <f>IF(P248="","",TEXT(H248,"yyyymm")&amp;"_"&amp;P248&amp;"_"&amp;(COUNTIFS($H$64:$H$500,H248,$P$64:$P$500,P248,$A$64:$A$500,"&gt;"&amp;A248)+COUNTIFS($H$64:H248,H248,$P$64:P248,P248,$A$64:A248,A248)))</f>
        <v>202610_이체_1</v>
      </c>
      <c r="S248" t="str">
        <f t="shared" si="39"/>
        <v>외부</v>
      </c>
      <c r="T248">
        <f t="shared" si="40"/>
        <v>15700</v>
      </c>
      <c r="U248">
        <f t="shared" si="41"/>
        <v>46312.66737074074</v>
      </c>
      <c r="W248">
        <v>2475</v>
      </c>
      <c r="Y248">
        <f t="shared" si="42"/>
        <v>15700</v>
      </c>
      <c r="Z248">
        <f>IFERROR(IF(AND(ISNUMBER(A248),A248&gt;=$B$3,A248&lt;EDATE($B$3,1)),COUNTIFS($A$64:$A$500,"&gt;"&amp;A248,$A$64:$A$500,"&lt;"&amp;EDATE($B$3,1))+COUNTIF($A$64:A248,A248),0),0)</f>
        <v>1</v>
      </c>
    </row>
    <row r="249" spans="1:25" ht="32" hidden="1" customHeight="1" outlineLevel="1">
      <c r="A249" s="314"/>
      <c r="B249" s="318"/>
      <c r="C249" s="318"/>
      <c r="D249" s="318"/>
      <c r="E249" s="316"/>
      <c r="F249" s="318"/>
      <c r="G249" s="318"/>
      <c r="H249" s="317">
        <f t="shared" si="35"/>
      </c>
      <c r="I249" s="318">
        <f t="shared" si="36"/>
      </c>
      <c r="J249" s="318"/>
      <c r="K249" s="318"/>
      <c r="L249" s="320"/>
      <c r="P249">
        <f t="shared" si="37"/>
      </c>
      <c r="Q249">
        <f t="shared" si="38"/>
      </c>
      <c r="R249">
        <f>IF(P249="","",TEXT(H249,"yyyymm")&amp;"_"&amp;P249&amp;"_"&amp;(COUNTIFS($H$64:$H$500,H249,$P$64:$P$500,P249,$A$64:$A$500,"&gt;"&amp;A249)+COUNTIFS($H$64:H249,H249,$P$64:P249,P249,$A$64:A249,A249)))</f>
      </c>
      <c r="S249">
        <f t="shared" si="39"/>
      </c>
      <c r="T249">
        <f t="shared" si="40"/>
      </c>
      <c r="U249">
        <f t="shared" si="41"/>
      </c>
      <c r="Y249">
        <f t="shared" si="42"/>
      </c>
      <c r="Z249">
        <f>IFERROR(IF(AND(ISNUMBER(A249),A249&gt;=$B$3,A249&lt;EDATE($B$3,1)),COUNTIFS($A$64:$A$500,"&gt;"&amp;A249,$A$64:$A$500,"&lt;"&amp;EDATE($B$3,1))+COUNTIF($A$64:A249,A249),0),0)</f>
        <v>0</v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  <c r="Z250">
        <f>IFERROR(IF(AND(ISNUMBER(A250),A250&gt;=$B$3,A250&lt;EDATE($B$3,1)),COUNTIFS($A$64:$A$500,"&gt;"&amp;A250,$A$64:$A$500,"&lt;"&amp;EDATE($B$3,1))+COUNTIF($A$64:A250,A250),0),0)</f>
        <v>0</v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  <c r="Z251">
        <f>IFERROR(IF(AND(ISNUMBER(A251),A251&gt;=$B$3,A251&lt;EDATE($B$3,1)),COUNTIFS($A$64:$A$500,"&gt;"&amp;A251,$A$64:$A$500,"&lt;"&amp;EDATE($B$3,1))+COUNTIF($A$64:A251,A251),0),0)</f>
        <v>0</v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  <c r="Z252">
        <f>IFERROR(IF(AND(ISNUMBER(A252),A252&gt;=$B$3,A252&lt;EDATE($B$3,1)),COUNTIFS($A$64:$A$500,"&gt;"&amp;A252,$A$64:$A$500,"&lt;"&amp;EDATE($B$3,1))+COUNTIF($A$64:A252,A252),0),0)</f>
        <v>0</v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  <c r="Z253">
        <f>IFERROR(IF(AND(ISNUMBER(A253),A253&gt;=$B$3,A253&lt;EDATE($B$3,1)),COUNTIFS($A$64:$A$500,"&gt;"&amp;A253,$A$64:$A$500,"&lt;"&amp;EDATE($B$3,1))+COUNTIF($A$64:A253,A253),0),0)</f>
        <v>0</v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  <c r="Z254">
        <f>IFERROR(IF(AND(ISNUMBER(A254),A254&gt;=$B$3,A254&lt;EDATE($B$3,1)),COUNTIFS($A$64:$A$500,"&gt;"&amp;A254,$A$64:$A$500,"&lt;"&amp;EDATE($B$3,1))+COUNTIF($A$64:A254,A254),0),0)</f>
        <v>0</v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  <c r="Z255">
        <f>IFERROR(IF(AND(ISNUMBER(A255),A255&gt;=$B$3,A255&lt;EDATE($B$3,1)),COUNTIFS($A$64:$A$500,"&gt;"&amp;A255,$A$64:$A$500,"&lt;"&amp;EDATE($B$3,1))+COUNTIF($A$64:A255,A255),0),0)</f>
        <v>0</v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  <c r="Z256">
        <f>IFERROR(IF(AND(ISNUMBER(A256),A256&gt;=$B$3,A256&lt;EDATE($B$3,1)),COUNTIFS($A$64:$A$500,"&gt;"&amp;A256,$A$64:$A$500,"&lt;"&amp;EDATE($B$3,1))+COUNTIF($A$64:A256,A256),0),0)</f>
        <v>0</v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  <c r="Z257">
        <f>IFERROR(IF(AND(ISNUMBER(A257),A257&gt;=$B$3,A257&lt;EDATE($B$3,1)),COUNTIFS($A$64:$A$500,"&gt;"&amp;A257,$A$64:$A$500,"&lt;"&amp;EDATE($B$3,1))+COUNTIF($A$64:A257,A257),0),0)</f>
        <v>0</v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  <c r="Z258">
        <f>IFERROR(IF(AND(ISNUMBER(A258),A258&gt;=$B$3,A258&lt;EDATE($B$3,1)),COUNTIFS($A$64:$A$500,"&gt;"&amp;A258,$A$64:$A$500,"&lt;"&amp;EDATE($B$3,1))+COUNTIF($A$64:A258,A258),0),0)</f>
        <v>0</v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  <c r="Z259">
        <f>IFERROR(IF(AND(ISNUMBER(A259),A259&gt;=$B$3,A259&lt;EDATE($B$3,1)),COUNTIFS($A$64:$A$500,"&gt;"&amp;A259,$A$64:$A$500,"&lt;"&amp;EDATE($B$3,1))+COUNTIF($A$64:A259,A259),0),0)</f>
        <v>0</v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  <c r="Z260">
        <f>IFERROR(IF(AND(ISNUMBER(A260),A260&gt;=$B$3,A260&lt;EDATE($B$3,1)),COUNTIFS($A$64:$A$500,"&gt;"&amp;A260,$A$64:$A$500,"&lt;"&amp;EDATE($B$3,1))+COUNTIF($A$64:A260,A260),0),0)</f>
        <v>0</v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  <c r="Z261">
        <f>IFERROR(IF(AND(ISNUMBER(A261),A261&gt;=$B$3,A261&lt;EDATE($B$3,1)),COUNTIFS($A$64:$A$500,"&gt;"&amp;A261,$A$64:$A$500,"&lt;"&amp;EDATE($B$3,1))+COUNTIF($A$64:A261,A261),0),0)</f>
        <v>0</v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  <c r="Z262">
        <f>IFERROR(IF(AND(ISNUMBER(A262),A262&gt;=$B$3,A262&lt;EDATE($B$3,1)),COUNTIFS($A$64:$A$500,"&gt;"&amp;A262,$A$64:$A$500,"&lt;"&amp;EDATE($B$3,1))+COUNTIF($A$64:A262,A262),0),0)</f>
        <v>0</v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  <c r="Z263">
        <f>IFERROR(IF(AND(ISNUMBER(A263),A263&gt;=$B$3,A263&lt;EDATE($B$3,1)),COUNTIFS($A$64:$A$500,"&gt;"&amp;A263,$A$64:$A$500,"&lt;"&amp;EDATE($B$3,1))+COUNTIF($A$64:A263,A263),0),0)</f>
        <v>0</v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  <c r="Z264">
        <f>IFERROR(IF(AND(ISNUMBER(A264),A264&gt;=$B$3,A264&lt;EDATE($B$3,1)),COUNTIFS($A$64:$A$500,"&gt;"&amp;A264,$A$64:$A$500,"&lt;"&amp;EDATE($B$3,1))+COUNTIF($A$64:A264,A264),0),0)</f>
        <v>0</v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  <c r="Z265">
        <f>IFERROR(IF(AND(ISNUMBER(A265),A265&gt;=$B$3,A265&lt;EDATE($B$3,1)),COUNTIFS($A$64:$A$500,"&gt;"&amp;A265,$A$64:$A$500,"&lt;"&amp;EDATE($B$3,1))+COUNTIF($A$64:A265,A265),0),0)</f>
        <v>0</v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  <c r="Z266">
        <f>IFERROR(IF(AND(ISNUMBER(A266),A266&gt;=$B$3,A266&lt;EDATE($B$3,1)),COUNTIFS($A$64:$A$500,"&gt;"&amp;A266,$A$64:$A$500,"&lt;"&amp;EDATE($B$3,1))+COUNTIF($A$64:A266,A266),0),0)</f>
        <v>0</v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  <c r="Z267">
        <f>IFERROR(IF(AND(ISNUMBER(A267),A267&gt;=$B$3,A267&lt;EDATE($B$3,1)),COUNTIFS($A$64:$A$500,"&gt;"&amp;A267,$A$64:$A$500,"&lt;"&amp;EDATE($B$3,1))+COUNTIF($A$64:A267,A267),0),0)</f>
        <v>0</v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  <c r="Z268">
        <f>IFERROR(IF(AND(ISNUMBER(A268),A268&gt;=$B$3,A268&lt;EDATE($B$3,1)),COUNTIFS($A$64:$A$500,"&gt;"&amp;A268,$A$64:$A$500,"&lt;"&amp;EDATE($B$3,1))+COUNTIF($A$64:A268,A268),0),0)</f>
        <v>0</v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  <c r="Z269">
        <f>IFERROR(IF(AND(ISNUMBER(A269),A269&gt;=$B$3,A269&lt;EDATE($B$3,1)),COUNTIFS($A$64:$A$500,"&gt;"&amp;A269,$A$64:$A$500,"&lt;"&amp;EDATE($B$3,1))+COUNTIF($A$64:A269,A269),0),0)</f>
        <v>0</v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  <c r="Z270">
        <f>IFERROR(IF(AND(ISNUMBER(A270),A270&gt;=$B$3,A270&lt;EDATE($B$3,1)),COUNTIFS($A$64:$A$500,"&gt;"&amp;A270,$A$64:$A$500,"&lt;"&amp;EDATE($B$3,1))+COUNTIF($A$64:A270,A270),0),0)</f>
        <v>0</v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  <c r="Z271">
        <f>IFERROR(IF(AND(ISNUMBER(A271),A271&gt;=$B$3,A271&lt;EDATE($B$3,1)),COUNTIFS($A$64:$A$500,"&gt;"&amp;A271,$A$64:$A$500,"&lt;"&amp;EDATE($B$3,1))+COUNTIF($A$64:A271,A271),0),0)</f>
        <v>0</v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  <c r="Z272">
        <f>IFERROR(IF(AND(ISNUMBER(A272),A272&gt;=$B$3,A272&lt;EDATE($B$3,1)),COUNTIFS($A$64:$A$500,"&gt;"&amp;A272,$A$64:$A$500,"&lt;"&amp;EDATE($B$3,1))+COUNTIF($A$64:A272,A272),0),0)</f>
        <v>0</v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  <c r="Z273">
        <f>IFERROR(IF(AND(ISNUMBER(A273),A273&gt;=$B$3,A273&lt;EDATE($B$3,1)),COUNTIFS($A$64:$A$500,"&gt;"&amp;A273,$A$64:$A$500,"&lt;"&amp;EDATE($B$3,1))+COUNTIF($A$64:A273,A273),0),0)</f>
        <v>0</v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  <c r="Z274">
        <f>IFERROR(IF(AND(ISNUMBER(A274),A274&gt;=$B$3,A274&lt;EDATE($B$3,1)),COUNTIFS($A$64:$A$500,"&gt;"&amp;A274,$A$64:$A$500,"&lt;"&amp;EDATE($B$3,1))+COUNTIF($A$64:A274,A274),0),0)</f>
        <v>0</v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  <c r="Z275">
        <f>IFERROR(IF(AND(ISNUMBER(A275),A275&gt;=$B$3,A275&lt;EDATE($B$3,1)),COUNTIFS($A$64:$A$500,"&gt;"&amp;A275,$A$64:$A$500,"&lt;"&amp;EDATE($B$3,1))+COUNTIF($A$64:A275,A275),0),0)</f>
        <v>0</v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  <c r="Z276">
        <f>IFERROR(IF(AND(ISNUMBER(A276),A276&gt;=$B$3,A276&lt;EDATE($B$3,1)),COUNTIFS($A$64:$A$500,"&gt;"&amp;A276,$A$64:$A$500,"&lt;"&amp;EDATE($B$3,1))+COUNTIF($A$64:A276,A276),0),0)</f>
        <v>0</v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  <c r="Z277">
        <f>IFERROR(IF(AND(ISNUMBER(A277),A277&gt;=$B$3,A277&lt;EDATE($B$3,1)),COUNTIFS($A$64:$A$500,"&gt;"&amp;A277,$A$64:$A$500,"&lt;"&amp;EDATE($B$3,1))+COUNTIF($A$64:A277,A277),0),0)</f>
        <v>0</v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  <c r="Z278">
        <f>IFERROR(IF(AND(ISNUMBER(A278),A278&gt;=$B$3,A278&lt;EDATE($B$3,1)),COUNTIFS($A$64:$A$500,"&gt;"&amp;A278,$A$64:$A$500,"&lt;"&amp;EDATE($B$3,1))+COUNTIF($A$64:A278,A278),0),0)</f>
        <v>0</v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  <c r="Z279">
        <f>IFERROR(IF(AND(ISNUMBER(A279),A279&gt;=$B$3,A279&lt;EDATE($B$3,1)),COUNTIFS($A$64:$A$500,"&gt;"&amp;A279,$A$64:$A$500,"&lt;"&amp;EDATE($B$3,1))+COUNTIF($A$64:A279,A279),0),0)</f>
        <v>0</v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  <c r="Z280">
        <f>IFERROR(IF(AND(ISNUMBER(A280),A280&gt;=$B$3,A280&lt;EDATE($B$3,1)),COUNTIFS($A$64:$A$500,"&gt;"&amp;A280,$A$64:$A$500,"&lt;"&amp;EDATE($B$3,1))+COUNTIF($A$64:A280,A280),0),0)</f>
        <v>0</v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  <c r="Z281">
        <f>IFERROR(IF(AND(ISNUMBER(A281),A281&gt;=$B$3,A281&lt;EDATE($B$3,1)),COUNTIFS($A$64:$A$500,"&gt;"&amp;A281,$A$64:$A$500,"&lt;"&amp;EDATE($B$3,1))+COUNTIF($A$64:A281,A281),0),0)</f>
        <v>0</v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  <c r="Z282">
        <f>IFERROR(IF(AND(ISNUMBER(A282),A282&gt;=$B$3,A282&lt;EDATE($B$3,1)),COUNTIFS($A$64:$A$500,"&gt;"&amp;A282,$A$64:$A$500,"&lt;"&amp;EDATE($B$3,1))+COUNTIF($A$64:A282,A282),0),0)</f>
        <v>0</v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  <c r="Z283">
        <f>IFERROR(IF(AND(ISNUMBER(A283),A283&gt;=$B$3,A283&lt;EDATE($B$3,1)),COUNTIFS($A$64:$A$500,"&gt;"&amp;A283,$A$64:$A$500,"&lt;"&amp;EDATE($B$3,1))+COUNTIF($A$64:A283,A283),0),0)</f>
        <v>0</v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  <c r="Z284">
        <f>IFERROR(IF(AND(ISNUMBER(A284),A284&gt;=$B$3,A284&lt;EDATE($B$3,1)),COUNTIFS($A$64:$A$500,"&gt;"&amp;A284,$A$64:$A$500,"&lt;"&amp;EDATE($B$3,1))+COUNTIF($A$64:A284,A284),0),0)</f>
        <v>0</v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  <c r="Z285">
        <f>IFERROR(IF(AND(ISNUMBER(A285),A285&gt;=$B$3,A285&lt;EDATE($B$3,1)),COUNTIFS($A$64:$A$500,"&gt;"&amp;A285,$A$64:$A$500,"&lt;"&amp;EDATE($B$3,1))+COUNTIF($A$64:A285,A285),0),0)</f>
        <v>0</v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  <c r="Z286">
        <f>IFERROR(IF(AND(ISNUMBER(A286),A286&gt;=$B$3,A286&lt;EDATE($B$3,1)),COUNTIFS($A$64:$A$500,"&gt;"&amp;A286,$A$64:$A$500,"&lt;"&amp;EDATE($B$3,1))+COUNTIF($A$64:A286,A286),0),0)</f>
        <v>0</v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  <c r="Z287">
        <f>IFERROR(IF(AND(ISNUMBER(A287),A287&gt;=$B$3,A287&lt;EDATE($B$3,1)),COUNTIFS($A$64:$A$500,"&gt;"&amp;A287,$A$64:$A$500,"&lt;"&amp;EDATE($B$3,1))+COUNTIF($A$64:A287,A287),0),0)</f>
        <v>0</v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  <c r="Z288">
        <f>IFERROR(IF(AND(ISNUMBER(A288),A288&gt;=$B$3,A288&lt;EDATE($B$3,1)),COUNTIFS($A$64:$A$500,"&gt;"&amp;A288,$A$64:$A$500,"&lt;"&amp;EDATE($B$3,1))+COUNTIF($A$64:A288,A288),0),0)</f>
        <v>0</v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  <c r="Z289">
        <f>IFERROR(IF(AND(ISNUMBER(A289),A289&gt;=$B$3,A289&lt;EDATE($B$3,1)),COUNTIFS($A$64:$A$500,"&gt;"&amp;A289,$A$64:$A$500,"&lt;"&amp;EDATE($B$3,1))+COUNTIF($A$64:A289,A289),0),0)</f>
        <v>0</v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  <c r="Z290">
        <f>IFERROR(IF(AND(ISNUMBER(A290),A290&gt;=$B$3,A290&lt;EDATE($B$3,1)),COUNTIFS($A$64:$A$500,"&gt;"&amp;A290,$A$64:$A$500,"&lt;"&amp;EDATE($B$3,1))+COUNTIF($A$64:A290,A290),0),0)</f>
        <v>0</v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  <c r="Z291">
        <f>IFERROR(IF(AND(ISNUMBER(A291),A291&gt;=$B$3,A291&lt;EDATE($B$3,1)),COUNTIFS($A$64:$A$500,"&gt;"&amp;A291,$A$64:$A$500,"&lt;"&amp;EDATE($B$3,1))+COUNTIF($A$64:A291,A291),0),0)</f>
        <v>0</v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  <c r="Z292">
        <f>IFERROR(IF(AND(ISNUMBER(A292),A292&gt;=$B$3,A292&lt;EDATE($B$3,1)),COUNTIFS($A$64:$A$500,"&gt;"&amp;A292,$A$64:$A$500,"&lt;"&amp;EDATE($B$3,1))+COUNTIF($A$64:A292,A292),0),0)</f>
        <v>0</v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  <c r="Z293">
        <f>IFERROR(IF(AND(ISNUMBER(A293),A293&gt;=$B$3,A293&lt;EDATE($B$3,1)),COUNTIFS($A$64:$A$500,"&gt;"&amp;A293,$A$64:$A$500,"&lt;"&amp;EDATE($B$3,1))+COUNTIF($A$64:A293,A293),0),0)</f>
        <v>0</v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  <c r="Z294">
        <f>IFERROR(IF(AND(ISNUMBER(A294),A294&gt;=$B$3,A294&lt;EDATE($B$3,1)),COUNTIFS($A$64:$A$500,"&gt;"&amp;A294,$A$64:$A$500,"&lt;"&amp;EDATE($B$3,1))+COUNTIF($A$64:A294,A294),0),0)</f>
        <v>0</v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  <c r="Z295">
        <f>IFERROR(IF(AND(ISNUMBER(A295),A295&gt;=$B$3,A295&lt;EDATE($B$3,1)),COUNTIFS($A$64:$A$500,"&gt;"&amp;A295,$A$64:$A$500,"&lt;"&amp;EDATE($B$3,1))+COUNTIF($A$64:A295,A295),0),0)</f>
        <v>0</v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  <c r="Z296">
        <f>IFERROR(IF(AND(ISNUMBER(A296),A296&gt;=$B$3,A296&lt;EDATE($B$3,1)),COUNTIFS($A$64:$A$500,"&gt;"&amp;A296,$A$64:$A$500,"&lt;"&amp;EDATE($B$3,1))+COUNTIF($A$64:A296,A296),0),0)</f>
        <v>0</v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  <c r="Z297">
        <f>IFERROR(IF(AND(ISNUMBER(A297),A297&gt;=$B$3,A297&lt;EDATE($B$3,1)),COUNTIFS($A$64:$A$500,"&gt;"&amp;A297,$A$64:$A$500,"&lt;"&amp;EDATE($B$3,1))+COUNTIF($A$64:A297,A297),0),0)</f>
        <v>0</v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  <c r="Z298">
        <f>IFERROR(IF(AND(ISNUMBER(A298),A298&gt;=$B$3,A298&lt;EDATE($B$3,1)),COUNTIFS($A$64:$A$500,"&gt;"&amp;A298,$A$64:$A$500,"&lt;"&amp;EDATE($B$3,1))+COUNTIF($A$64:A298,A298),0),0)</f>
        <v>0</v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  <c r="Z299">
        <f>IFERROR(IF(AND(ISNUMBER(A299),A299&gt;=$B$3,A299&lt;EDATE($B$3,1)),COUNTIFS($A$64:$A$500,"&gt;"&amp;A299,$A$64:$A$500,"&lt;"&amp;EDATE($B$3,1))+COUNTIF($A$64:A299,A299),0),0)</f>
        <v>0</v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  <c r="Z300">
        <f>IFERROR(IF(AND(ISNUMBER(A300),A300&gt;=$B$3,A300&lt;EDATE($B$3,1)),COUNTIFS($A$64:$A$500,"&gt;"&amp;A300,$A$64:$A$500,"&lt;"&amp;EDATE($B$3,1))+COUNTIF($A$64:A300,A300),0),0)</f>
        <v>0</v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  <c r="Z301">
        <f>IFERROR(IF(AND(ISNUMBER(A301),A301&gt;=$B$3,A301&lt;EDATE($B$3,1)),COUNTIFS($A$64:$A$500,"&gt;"&amp;A301,$A$64:$A$500,"&lt;"&amp;EDATE($B$3,1))+COUNTIF($A$64:A301,A301),0),0)</f>
        <v>0</v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  <c r="Z302">
        <f>IFERROR(IF(AND(ISNUMBER(A302),A302&gt;=$B$3,A302&lt;EDATE($B$3,1)),COUNTIFS($A$64:$A$500,"&gt;"&amp;A302,$A$64:$A$500,"&lt;"&amp;EDATE($B$3,1))+COUNTIF($A$64:A302,A302),0),0)</f>
        <v>0</v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  <c r="Z303">
        <f>IFERROR(IF(AND(ISNUMBER(A303),A303&gt;=$B$3,A303&lt;EDATE($B$3,1)),COUNTIFS($A$64:$A$500,"&gt;"&amp;A303,$A$64:$A$500,"&lt;"&amp;EDATE($B$3,1))+COUNTIF($A$64:A303,A303),0),0)</f>
        <v>0</v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  <c r="Z304">
        <f>IFERROR(IF(AND(ISNUMBER(A304),A304&gt;=$B$3,A304&lt;EDATE($B$3,1)),COUNTIFS($A$64:$A$500,"&gt;"&amp;A304,$A$64:$A$500,"&lt;"&amp;EDATE($B$3,1))+COUNTIF($A$64:A304,A304),0),0)</f>
        <v>0</v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  <c r="Z305">
        <f>IFERROR(IF(AND(ISNUMBER(A305),A305&gt;=$B$3,A305&lt;EDATE($B$3,1)),COUNTIFS($A$64:$A$500,"&gt;"&amp;A305,$A$64:$A$500,"&lt;"&amp;EDATE($B$3,1))+COUNTIF($A$64:A305,A305),0),0)</f>
        <v>0</v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  <c r="Z306">
        <f>IFERROR(IF(AND(ISNUMBER(A306),A306&gt;=$B$3,A306&lt;EDATE($B$3,1)),COUNTIFS($A$64:$A$500,"&gt;"&amp;A306,$A$64:$A$500,"&lt;"&amp;EDATE($B$3,1))+COUNTIF($A$64:A306,A306),0),0)</f>
        <v>0</v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  <c r="Z307">
        <f>IFERROR(IF(AND(ISNUMBER(A307),A307&gt;=$B$3,A307&lt;EDATE($B$3,1)),COUNTIFS($A$64:$A$500,"&gt;"&amp;A307,$A$64:$A$500,"&lt;"&amp;EDATE($B$3,1))+COUNTIF($A$64:A307,A307),0),0)</f>
        <v>0</v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  <c r="Z308">
        <f>IFERROR(IF(AND(ISNUMBER(A308),A308&gt;=$B$3,A308&lt;EDATE($B$3,1)),COUNTIFS($A$64:$A$500,"&gt;"&amp;A308,$A$64:$A$500,"&lt;"&amp;EDATE($B$3,1))+COUNTIF($A$64:A308,A308),0),0)</f>
        <v>0</v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  <c r="Z309">
        <f>IFERROR(IF(AND(ISNUMBER(A309),A309&gt;=$B$3,A309&lt;EDATE($B$3,1)),COUNTIFS($A$64:$A$500,"&gt;"&amp;A309,$A$64:$A$500,"&lt;"&amp;EDATE($B$3,1))+COUNTIF($A$64:A309,A309),0),0)</f>
        <v>0</v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  <c r="Z310">
        <f>IFERROR(IF(AND(ISNUMBER(A310),A310&gt;=$B$3,A310&lt;EDATE($B$3,1)),COUNTIFS($A$64:$A$500,"&gt;"&amp;A310,$A$64:$A$500,"&lt;"&amp;EDATE($B$3,1))+COUNTIF($A$64:A310,A310),0),0)</f>
        <v>0</v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  <c r="Z311">
        <f>IFERROR(IF(AND(ISNUMBER(A311),A311&gt;=$B$3,A311&lt;EDATE($B$3,1)),COUNTIFS($A$64:$A$500,"&gt;"&amp;A311,$A$64:$A$500,"&lt;"&amp;EDATE($B$3,1))+COUNTIF($A$64:A311,A311),0),0)</f>
        <v>0</v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  <c r="Z312">
        <f>IFERROR(IF(AND(ISNUMBER(A312),A312&gt;=$B$3,A312&lt;EDATE($B$3,1)),COUNTIFS($A$64:$A$500,"&gt;"&amp;A312,$A$64:$A$500,"&lt;"&amp;EDATE($B$3,1))+COUNTIF($A$64:A312,A312),0),0)</f>
        <v>0</v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  <c r="Z313">
        <f>IFERROR(IF(AND(ISNUMBER(A313),A313&gt;=$B$3,A313&lt;EDATE($B$3,1)),COUNTIFS($A$64:$A$500,"&gt;"&amp;A313,$A$64:$A$500,"&lt;"&amp;EDATE($B$3,1))+COUNTIF($A$64:A313,A313),0),0)</f>
        <v>0</v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  <c r="Z314">
        <f>IFERROR(IF(AND(ISNUMBER(A314),A314&gt;=$B$3,A314&lt;EDATE($B$3,1)),COUNTIFS($A$64:$A$500,"&gt;"&amp;A314,$A$64:$A$500,"&lt;"&amp;EDATE($B$3,1))+COUNTIF($A$64:A314,A314),0),0)</f>
        <v>0</v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  <c r="Z315">
        <f>IFERROR(IF(AND(ISNUMBER(A315),A315&gt;=$B$3,A315&lt;EDATE($B$3,1)),COUNTIFS($A$64:$A$500,"&gt;"&amp;A315,$A$64:$A$500,"&lt;"&amp;EDATE($B$3,1))+COUNTIF($A$64:A315,A315),0),0)</f>
        <v>0</v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  <c r="Z316">
        <f>IFERROR(IF(AND(ISNUMBER(A316),A316&gt;=$B$3,A316&lt;EDATE($B$3,1)),COUNTIFS($A$64:$A$500,"&gt;"&amp;A316,$A$64:$A$500,"&lt;"&amp;EDATE($B$3,1))+COUNTIF($A$64:A316,A316),0),0)</f>
        <v>0</v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  <c r="Z317">
        <f>IFERROR(IF(AND(ISNUMBER(A317),A317&gt;=$B$3,A317&lt;EDATE($B$3,1)),COUNTIFS($A$64:$A$500,"&gt;"&amp;A317,$A$64:$A$500,"&lt;"&amp;EDATE($B$3,1))+COUNTIF($A$64:A317,A317),0),0)</f>
        <v>0</v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  <c r="Z318">
        <f>IFERROR(IF(AND(ISNUMBER(A318),A318&gt;=$B$3,A318&lt;EDATE($B$3,1)),COUNTIFS($A$64:$A$500,"&gt;"&amp;A318,$A$64:$A$500,"&lt;"&amp;EDATE($B$3,1))+COUNTIF($A$64:A318,A318),0),0)</f>
        <v>0</v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  <c r="Z319">
        <f>IFERROR(IF(AND(ISNUMBER(A319),A319&gt;=$B$3,A319&lt;EDATE($B$3,1)),COUNTIFS($A$64:$A$500,"&gt;"&amp;A319,$A$64:$A$500,"&lt;"&amp;EDATE($B$3,1))+COUNTIF($A$64:A319,A319),0),0)</f>
        <v>0</v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  <c r="Z320">
        <f>IFERROR(IF(AND(ISNUMBER(A320),A320&gt;=$B$3,A320&lt;EDATE($B$3,1)),COUNTIFS($A$64:$A$500,"&gt;"&amp;A320,$A$64:$A$500,"&lt;"&amp;EDATE($B$3,1))+COUNTIF($A$64:A320,A320),0),0)</f>
        <v>0</v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  <c r="Z321">
        <f>IFERROR(IF(AND(ISNUMBER(A321),A321&gt;=$B$3,A321&lt;EDATE($B$3,1)),COUNTIFS($A$64:$A$500,"&gt;"&amp;A321,$A$64:$A$500,"&lt;"&amp;EDATE($B$3,1))+COUNTIF($A$64:A321,A321),0),0)</f>
        <v>0</v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  <c r="Z322">
        <f>IFERROR(IF(AND(ISNUMBER(A322),A322&gt;=$B$3,A322&lt;EDATE($B$3,1)),COUNTIFS($A$64:$A$500,"&gt;"&amp;A322,$A$64:$A$500,"&lt;"&amp;EDATE($B$3,1))+COUNTIF($A$64:A322,A322),0),0)</f>
        <v>0</v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  <c r="Z323">
        <f>IFERROR(IF(AND(ISNUMBER(A323),A323&gt;=$B$3,A323&lt;EDATE($B$3,1)),COUNTIFS($A$64:$A$500,"&gt;"&amp;A323,$A$64:$A$500,"&lt;"&amp;EDATE($B$3,1))+COUNTIF($A$64:A323,A323),0),0)</f>
        <v>0</v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  <c r="Z324">
        <f>IFERROR(IF(AND(ISNUMBER(A324),A324&gt;=$B$3,A324&lt;EDATE($B$3,1)),COUNTIFS($A$64:$A$500,"&gt;"&amp;A324,$A$64:$A$500,"&lt;"&amp;EDATE($B$3,1))+COUNTIF($A$64:A324,A324),0),0)</f>
        <v>0</v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  <c r="Z325">
        <f>IFERROR(IF(AND(ISNUMBER(A325),A325&gt;=$B$3,A325&lt;EDATE($B$3,1)),COUNTIFS($A$64:$A$500,"&gt;"&amp;A325,$A$64:$A$500,"&lt;"&amp;EDATE($B$3,1))+COUNTIF($A$64:A325,A325),0),0)</f>
        <v>0</v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  <c r="Z326">
        <f>IFERROR(IF(AND(ISNUMBER(A326),A326&gt;=$B$3,A326&lt;EDATE($B$3,1)),COUNTIFS($A$64:$A$500,"&gt;"&amp;A326,$A$64:$A$500,"&lt;"&amp;EDATE($B$3,1))+COUNTIF($A$64:A326,A326),0),0)</f>
        <v>0</v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  <c r="Z327">
        <f>IFERROR(IF(AND(ISNUMBER(A327),A327&gt;=$B$3,A327&lt;EDATE($B$3,1)),COUNTIFS($A$64:$A$500,"&gt;"&amp;A327,$A$64:$A$500,"&lt;"&amp;EDATE($B$3,1))+COUNTIF($A$64:A327,A327),0),0)</f>
        <v>0</v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  <c r="Z328">
        <f>IFERROR(IF(AND(ISNUMBER(A328),A328&gt;=$B$3,A328&lt;EDATE($B$3,1)),COUNTIFS($A$64:$A$500,"&gt;"&amp;A328,$A$64:$A$500,"&lt;"&amp;EDATE($B$3,1))+COUNTIF($A$64:A328,A328),0),0)</f>
        <v>0</v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  <c r="Z329">
        <f>IFERROR(IF(AND(ISNUMBER(A329),A329&gt;=$B$3,A329&lt;EDATE($B$3,1)),COUNTIFS($A$64:$A$500,"&gt;"&amp;A329,$A$64:$A$500,"&lt;"&amp;EDATE($B$3,1))+COUNTIF($A$64:A329,A329),0),0)</f>
        <v>0</v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  <c r="Z330">
        <f>IFERROR(IF(AND(ISNUMBER(A330),A330&gt;=$B$3,A330&lt;EDATE($B$3,1)),COUNTIFS($A$64:$A$500,"&gt;"&amp;A330,$A$64:$A$500,"&lt;"&amp;EDATE($B$3,1))+COUNTIF($A$64:A330,A330),0),0)</f>
        <v>0</v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  <c r="Z331">
        <f>IFERROR(IF(AND(ISNUMBER(A331),A331&gt;=$B$3,A331&lt;EDATE($B$3,1)),COUNTIFS($A$64:$A$500,"&gt;"&amp;A331,$A$64:$A$500,"&lt;"&amp;EDATE($B$3,1))+COUNTIF($A$64:A331,A331),0),0)</f>
        <v>0</v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  <c r="Z332">
        <f>IFERROR(IF(AND(ISNUMBER(A332),A332&gt;=$B$3,A332&lt;EDATE($B$3,1)),COUNTIFS($A$64:$A$500,"&gt;"&amp;A332,$A$64:$A$500,"&lt;"&amp;EDATE($B$3,1))+COUNTIF($A$64:A332,A332),0),0)</f>
        <v>0</v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  <c r="Z333">
        <f>IFERROR(IF(AND(ISNUMBER(A333),A333&gt;=$B$3,A333&lt;EDATE($B$3,1)),COUNTIFS($A$64:$A$500,"&gt;"&amp;A333,$A$64:$A$500,"&lt;"&amp;EDATE($B$3,1))+COUNTIF($A$64:A333,A333),0),0)</f>
        <v>0</v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  <c r="Z334">
        <f>IFERROR(IF(AND(ISNUMBER(A334),A334&gt;=$B$3,A334&lt;EDATE($B$3,1)),COUNTIFS($A$64:$A$500,"&gt;"&amp;A334,$A$64:$A$500,"&lt;"&amp;EDATE($B$3,1))+COUNTIF($A$64:A334,A334),0),0)</f>
        <v>0</v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  <c r="Z335">
        <f>IFERROR(IF(AND(ISNUMBER(A335),A335&gt;=$B$3,A335&lt;EDATE($B$3,1)),COUNTIFS($A$64:$A$500,"&gt;"&amp;A335,$A$64:$A$500,"&lt;"&amp;EDATE($B$3,1))+COUNTIF($A$64:A335,A335),0),0)</f>
        <v>0</v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  <c r="Z336">
        <f>IFERROR(IF(AND(ISNUMBER(A336),A336&gt;=$B$3,A336&lt;EDATE($B$3,1)),COUNTIFS($A$64:$A$500,"&gt;"&amp;A336,$A$64:$A$500,"&lt;"&amp;EDATE($B$3,1))+COUNTIF($A$64:A336,A336),0),0)</f>
        <v>0</v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  <c r="Z337">
        <f>IFERROR(IF(AND(ISNUMBER(A337),A337&gt;=$B$3,A337&lt;EDATE($B$3,1)),COUNTIFS($A$64:$A$500,"&gt;"&amp;A337,$A$64:$A$500,"&lt;"&amp;EDATE($B$3,1))+COUNTIF($A$64:A337,A337),0),0)</f>
        <v>0</v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  <c r="Z338">
        <f>IFERROR(IF(AND(ISNUMBER(A338),A338&gt;=$B$3,A338&lt;EDATE($B$3,1)),COUNTIFS($A$64:$A$500,"&gt;"&amp;A338,$A$64:$A$500,"&lt;"&amp;EDATE($B$3,1))+COUNTIF($A$64:A338,A338),0),0)</f>
        <v>0</v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  <c r="Z339">
        <f>IFERROR(IF(AND(ISNUMBER(A339),A339&gt;=$B$3,A339&lt;EDATE($B$3,1)),COUNTIFS($A$64:$A$500,"&gt;"&amp;A339,$A$64:$A$500,"&lt;"&amp;EDATE($B$3,1))+COUNTIF($A$64:A339,A339),0),0)</f>
        <v>0</v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  <c r="Z340">
        <f>IFERROR(IF(AND(ISNUMBER(A340),A340&gt;=$B$3,A340&lt;EDATE($B$3,1)),COUNTIFS($A$64:$A$500,"&gt;"&amp;A340,$A$64:$A$500,"&lt;"&amp;EDATE($B$3,1))+COUNTIF($A$64:A340,A340),0),0)</f>
        <v>0</v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  <c r="Z341">
        <f>IFERROR(IF(AND(ISNUMBER(A341),A341&gt;=$B$3,A341&lt;EDATE($B$3,1)),COUNTIFS($A$64:$A$500,"&gt;"&amp;A341,$A$64:$A$500,"&lt;"&amp;EDATE($B$3,1))+COUNTIF($A$64:A341,A341),0),0)</f>
        <v>0</v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  <c r="Z342">
        <f>IFERROR(IF(AND(ISNUMBER(A342),A342&gt;=$B$3,A342&lt;EDATE($B$3,1)),COUNTIFS($A$64:$A$500,"&gt;"&amp;A342,$A$64:$A$500,"&lt;"&amp;EDATE($B$3,1))+COUNTIF($A$64:A342,A342),0),0)</f>
        <v>0</v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  <c r="Z343">
        <f>IFERROR(IF(AND(ISNUMBER(A343),A343&gt;=$B$3,A343&lt;EDATE($B$3,1)),COUNTIFS($A$64:$A$500,"&gt;"&amp;A343,$A$64:$A$500,"&lt;"&amp;EDATE($B$3,1))+COUNTIF($A$64:A343,A343),0),0)</f>
        <v>0</v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  <c r="Z344">
        <f>IFERROR(IF(AND(ISNUMBER(A344),A344&gt;=$B$3,A344&lt;EDATE($B$3,1)),COUNTIFS($A$64:$A$500,"&gt;"&amp;A344,$A$64:$A$500,"&lt;"&amp;EDATE($B$3,1))+COUNTIF($A$64:A344,A344),0),0)</f>
        <v>0</v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  <c r="Z345">
        <f>IFERROR(IF(AND(ISNUMBER(A345),A345&gt;=$B$3,A345&lt;EDATE($B$3,1)),COUNTIFS($A$64:$A$500,"&gt;"&amp;A345,$A$64:$A$500,"&lt;"&amp;EDATE($B$3,1))+COUNTIF($A$64:A345,A345),0),0)</f>
        <v>0</v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  <c r="Z346">
        <f>IFERROR(IF(AND(ISNUMBER(A346),A346&gt;=$B$3,A346&lt;EDATE($B$3,1)),COUNTIFS($A$64:$A$500,"&gt;"&amp;A346,$A$64:$A$500,"&lt;"&amp;EDATE($B$3,1))+COUNTIF($A$64:A346,A346),0),0)</f>
        <v>0</v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  <c r="Z347">
        <f>IFERROR(IF(AND(ISNUMBER(A347),A347&gt;=$B$3,A347&lt;EDATE($B$3,1)),COUNTIFS($A$64:$A$500,"&gt;"&amp;A347,$A$64:$A$500,"&lt;"&amp;EDATE($B$3,1))+COUNTIF($A$64:A347,A347),0),0)</f>
        <v>0</v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  <c r="Z348">
        <f>IFERROR(IF(AND(ISNUMBER(A348),A348&gt;=$B$3,A348&lt;EDATE($B$3,1)),COUNTIFS($A$64:$A$500,"&gt;"&amp;A348,$A$64:$A$500,"&lt;"&amp;EDATE($B$3,1))+COUNTIF($A$64:A348,A348),0),0)</f>
        <v>0</v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  <c r="Z349">
        <f>IFERROR(IF(AND(ISNUMBER(A349),A349&gt;=$B$3,A349&lt;EDATE($B$3,1)),COUNTIFS($A$64:$A$500,"&gt;"&amp;A349,$A$64:$A$500,"&lt;"&amp;EDATE($B$3,1))+COUNTIF($A$64:A349,A349),0),0)</f>
        <v>0</v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  <c r="Z350">
        <f>IFERROR(IF(AND(ISNUMBER(A350),A350&gt;=$B$3,A350&lt;EDATE($B$3,1)),COUNTIFS($A$64:$A$500,"&gt;"&amp;A350,$A$64:$A$500,"&lt;"&amp;EDATE($B$3,1))+COUNTIF($A$64:A350,A350),0),0)</f>
        <v>0</v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  <c r="Z351">
        <f>IFERROR(IF(AND(ISNUMBER(A351),A351&gt;=$B$3,A351&lt;EDATE($B$3,1)),COUNTIFS($A$64:$A$500,"&gt;"&amp;A351,$A$64:$A$500,"&lt;"&amp;EDATE($B$3,1))+COUNTIF($A$64:A351,A351),0),0)</f>
        <v>0</v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  <c r="Z352">
        <f>IFERROR(IF(AND(ISNUMBER(A352),A352&gt;=$B$3,A352&lt;EDATE($B$3,1)),COUNTIFS($A$64:$A$500,"&gt;"&amp;A352,$A$64:$A$500,"&lt;"&amp;EDATE($B$3,1))+COUNTIF($A$64:A352,A352),0),0)</f>
        <v>0</v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  <c r="Z353">
        <f>IFERROR(IF(AND(ISNUMBER(A353),A353&gt;=$B$3,A353&lt;EDATE($B$3,1)),COUNTIFS($A$64:$A$500,"&gt;"&amp;A353,$A$64:$A$500,"&lt;"&amp;EDATE($B$3,1))+COUNTIF($A$64:A353,A353),0),0)</f>
        <v>0</v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  <c r="Z354">
        <f>IFERROR(IF(AND(ISNUMBER(A354),A354&gt;=$B$3,A354&lt;EDATE($B$3,1)),COUNTIFS($A$64:$A$500,"&gt;"&amp;A354,$A$64:$A$500,"&lt;"&amp;EDATE($B$3,1))+COUNTIF($A$64:A354,A354),0),0)</f>
        <v>0</v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  <c r="Z355">
        <f>IFERROR(IF(AND(ISNUMBER(A355),A355&gt;=$B$3,A355&lt;EDATE($B$3,1)),COUNTIFS($A$64:$A$500,"&gt;"&amp;A355,$A$64:$A$500,"&lt;"&amp;EDATE($B$3,1))+COUNTIF($A$64:A355,A355),0),0)</f>
        <v>0</v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  <c r="Z356">
        <f>IFERROR(IF(AND(ISNUMBER(A356),A356&gt;=$B$3,A356&lt;EDATE($B$3,1)),COUNTIFS($A$64:$A$500,"&gt;"&amp;A356,$A$64:$A$500,"&lt;"&amp;EDATE($B$3,1))+COUNTIF($A$64:A356,A356),0),0)</f>
        <v>0</v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  <c r="Z357">
        <f>IFERROR(IF(AND(ISNUMBER(A357),A357&gt;=$B$3,A357&lt;EDATE($B$3,1)),COUNTIFS($A$64:$A$500,"&gt;"&amp;A357,$A$64:$A$500,"&lt;"&amp;EDATE($B$3,1))+COUNTIF($A$64:A357,A357),0),0)</f>
        <v>0</v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  <c r="Z358">
        <f>IFERROR(IF(AND(ISNUMBER(A358),A358&gt;=$B$3,A358&lt;EDATE($B$3,1)),COUNTIFS($A$64:$A$500,"&gt;"&amp;A358,$A$64:$A$500,"&lt;"&amp;EDATE($B$3,1))+COUNTIF($A$64:A358,A358),0),0)</f>
        <v>0</v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  <c r="Z359">
        <f>IFERROR(IF(AND(ISNUMBER(A359),A359&gt;=$B$3,A359&lt;EDATE($B$3,1)),COUNTIFS($A$64:$A$500,"&gt;"&amp;A359,$A$64:$A$500,"&lt;"&amp;EDATE($B$3,1))+COUNTIF($A$64:A359,A359),0),0)</f>
        <v>0</v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  <c r="Z360">
        <f>IFERROR(IF(AND(ISNUMBER(A360),A360&gt;=$B$3,A360&lt;EDATE($B$3,1)),COUNTIFS($A$64:$A$500,"&gt;"&amp;A360,$A$64:$A$500,"&lt;"&amp;EDATE($B$3,1))+COUNTIF($A$64:A360,A360),0),0)</f>
        <v>0</v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  <c r="Z361">
        <f>IFERROR(IF(AND(ISNUMBER(A361),A361&gt;=$B$3,A361&lt;EDATE($B$3,1)),COUNTIFS($A$64:$A$500,"&gt;"&amp;A361,$A$64:$A$500,"&lt;"&amp;EDATE($B$3,1))+COUNTIF($A$64:A361,A361),0),0)</f>
        <v>0</v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  <c r="Z362">
        <f>IFERROR(IF(AND(ISNUMBER(A362),A362&gt;=$B$3,A362&lt;EDATE($B$3,1)),COUNTIFS($A$64:$A$500,"&gt;"&amp;A362,$A$64:$A$500,"&lt;"&amp;EDATE($B$3,1))+COUNTIF($A$64:A362,A362),0),0)</f>
        <v>0</v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  <c r="Z363">
        <f>IFERROR(IF(AND(ISNUMBER(A363),A363&gt;=$B$3,A363&lt;EDATE($B$3,1)),COUNTIFS($A$64:$A$500,"&gt;"&amp;A363,$A$64:$A$500,"&lt;"&amp;EDATE($B$3,1))+COUNTIF($A$64:A363,A363),0),0)</f>
        <v>0</v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  <c r="Z364">
        <f>IFERROR(IF(AND(ISNUMBER(A364),A364&gt;=$B$3,A364&lt;EDATE($B$3,1)),COUNTIFS($A$64:$A$500,"&gt;"&amp;A364,$A$64:$A$500,"&lt;"&amp;EDATE($B$3,1))+COUNTIF($A$64:A364,A364),0),0)</f>
        <v>0</v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  <c r="Z365">
        <f>IFERROR(IF(AND(ISNUMBER(A365),A365&gt;=$B$3,A365&lt;EDATE($B$3,1)),COUNTIFS($A$64:$A$500,"&gt;"&amp;A365,$A$64:$A$500,"&lt;"&amp;EDATE($B$3,1))+COUNTIF($A$64:A365,A365),0),0)</f>
        <v>0</v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  <c r="Z366">
        <f>IFERROR(IF(AND(ISNUMBER(A366),A366&gt;=$B$3,A366&lt;EDATE($B$3,1)),COUNTIFS($A$64:$A$500,"&gt;"&amp;A366,$A$64:$A$500,"&lt;"&amp;EDATE($B$3,1))+COUNTIF($A$64:A366,A366),0),0)</f>
        <v>0</v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  <c r="Z367">
        <f>IFERROR(IF(AND(ISNUMBER(A367),A367&gt;=$B$3,A367&lt;EDATE($B$3,1)),COUNTIFS($A$64:$A$500,"&gt;"&amp;A367,$A$64:$A$500,"&lt;"&amp;EDATE($B$3,1))+COUNTIF($A$64:A367,A367),0),0)</f>
        <v>0</v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  <c r="Z368">
        <f>IFERROR(IF(AND(ISNUMBER(A368),A368&gt;=$B$3,A368&lt;EDATE($B$3,1)),COUNTIFS($A$64:$A$500,"&gt;"&amp;A368,$A$64:$A$500,"&lt;"&amp;EDATE($B$3,1))+COUNTIF($A$64:A368,A368),0),0)</f>
        <v>0</v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  <c r="Z369">
        <f>IFERROR(IF(AND(ISNUMBER(A369),A369&gt;=$B$3,A369&lt;EDATE($B$3,1)),COUNTIFS($A$64:$A$500,"&gt;"&amp;A369,$A$64:$A$500,"&lt;"&amp;EDATE($B$3,1))+COUNTIF($A$64:A369,A369),0),0)</f>
        <v>0</v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  <c r="Z370">
        <f>IFERROR(IF(AND(ISNUMBER(A370),A370&gt;=$B$3,A370&lt;EDATE($B$3,1)),COUNTIFS($A$64:$A$500,"&gt;"&amp;A370,$A$64:$A$500,"&lt;"&amp;EDATE($B$3,1))+COUNTIF($A$64:A370,A370),0),0)</f>
        <v>0</v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  <c r="Z371">
        <f>IFERROR(IF(AND(ISNUMBER(A371),A371&gt;=$B$3,A371&lt;EDATE($B$3,1)),COUNTIFS($A$64:$A$500,"&gt;"&amp;A371,$A$64:$A$500,"&lt;"&amp;EDATE($B$3,1))+COUNTIF($A$64:A371,A371),0),0)</f>
        <v>0</v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  <c r="Z372">
        <f>IFERROR(IF(AND(ISNUMBER(A372),A372&gt;=$B$3,A372&lt;EDATE($B$3,1)),COUNTIFS($A$64:$A$500,"&gt;"&amp;A372,$A$64:$A$500,"&lt;"&amp;EDATE($B$3,1))+COUNTIF($A$64:A372,A372),0),0)</f>
        <v>0</v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  <c r="Z373">
        <f>IFERROR(IF(AND(ISNUMBER(A373),A373&gt;=$B$3,A373&lt;EDATE($B$3,1)),COUNTIFS($A$64:$A$500,"&gt;"&amp;A373,$A$64:$A$500,"&lt;"&amp;EDATE($B$3,1))+COUNTIF($A$64:A373,A373),0),0)</f>
        <v>0</v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  <c r="Z374">
        <f>IFERROR(IF(AND(ISNUMBER(A374),A374&gt;=$B$3,A374&lt;EDATE($B$3,1)),COUNTIFS($A$64:$A$500,"&gt;"&amp;A374,$A$64:$A$500,"&lt;"&amp;EDATE($B$3,1))+COUNTIF($A$64:A374,A374),0),0)</f>
        <v>0</v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  <c r="Z375">
        <f>IFERROR(IF(AND(ISNUMBER(A375),A375&gt;=$B$3,A375&lt;EDATE($B$3,1)),COUNTIFS($A$64:$A$500,"&gt;"&amp;A375,$A$64:$A$500,"&lt;"&amp;EDATE($B$3,1))+COUNTIF($A$64:A375,A375),0),0)</f>
        <v>0</v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  <c r="Z376">
        <f>IFERROR(IF(AND(ISNUMBER(A376),A376&gt;=$B$3,A376&lt;EDATE($B$3,1)),COUNTIFS($A$64:$A$500,"&gt;"&amp;A376,$A$64:$A$500,"&lt;"&amp;EDATE($B$3,1))+COUNTIF($A$64:A376,A376),0),0)</f>
        <v>0</v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  <c r="Z377">
        <f>IFERROR(IF(AND(ISNUMBER(A377),A377&gt;=$B$3,A377&lt;EDATE($B$3,1)),COUNTIFS($A$64:$A$500,"&gt;"&amp;A377,$A$64:$A$500,"&lt;"&amp;EDATE($B$3,1))+COUNTIF($A$64:A377,A377),0),0)</f>
        <v>0</v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  <c r="Z378">
        <f>IFERROR(IF(AND(ISNUMBER(A378),A378&gt;=$B$3,A378&lt;EDATE($B$3,1)),COUNTIFS($A$64:$A$500,"&gt;"&amp;A378,$A$64:$A$500,"&lt;"&amp;EDATE($B$3,1))+COUNTIF($A$64:A378,A378),0),0)</f>
        <v>0</v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  <c r="Z379">
        <f>IFERROR(IF(AND(ISNUMBER(A379),A379&gt;=$B$3,A379&lt;EDATE($B$3,1)),COUNTIFS($A$64:$A$500,"&gt;"&amp;A379,$A$64:$A$500,"&lt;"&amp;EDATE($B$3,1))+COUNTIF($A$64:A379,A379),0),0)</f>
        <v>0</v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  <c r="Z380">
        <f>IFERROR(IF(AND(ISNUMBER(A380),A380&gt;=$B$3,A380&lt;EDATE($B$3,1)),COUNTIFS($A$64:$A$500,"&gt;"&amp;A380,$A$64:$A$500,"&lt;"&amp;EDATE($B$3,1))+COUNTIF($A$64:A380,A380),0),0)</f>
        <v>0</v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  <c r="Z381">
        <f>IFERROR(IF(AND(ISNUMBER(A381),A381&gt;=$B$3,A381&lt;EDATE($B$3,1)),COUNTIFS($A$64:$A$500,"&gt;"&amp;A381,$A$64:$A$500,"&lt;"&amp;EDATE($B$3,1))+COUNTIF($A$64:A381,A381),0),0)</f>
        <v>0</v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  <c r="Z382">
        <f>IFERROR(IF(AND(ISNUMBER(A382),A382&gt;=$B$3,A382&lt;EDATE($B$3,1)),COUNTIFS($A$64:$A$500,"&gt;"&amp;A382,$A$64:$A$500,"&lt;"&amp;EDATE($B$3,1))+COUNTIF($A$64:A382,A382),0),0)</f>
        <v>0</v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  <c r="Z383">
        <f>IFERROR(IF(AND(ISNUMBER(A383),A383&gt;=$B$3,A383&lt;EDATE($B$3,1)),COUNTIFS($A$64:$A$500,"&gt;"&amp;A383,$A$64:$A$500,"&lt;"&amp;EDATE($B$3,1))+COUNTIF($A$64:A383,A383),0),0)</f>
        <v>0</v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  <c r="Z384">
        <f>IFERROR(IF(AND(ISNUMBER(A384),A384&gt;=$B$3,A384&lt;EDATE($B$3,1)),COUNTIFS($A$64:$A$500,"&gt;"&amp;A384,$A$64:$A$500,"&lt;"&amp;EDATE($B$3,1))+COUNTIF($A$64:A384,A384),0),0)</f>
        <v>0</v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  <c r="Z385">
        <f>IFERROR(IF(AND(ISNUMBER(A385),A385&gt;=$B$3,A385&lt;EDATE($B$3,1)),COUNTIFS($A$64:$A$500,"&gt;"&amp;A385,$A$64:$A$500,"&lt;"&amp;EDATE($B$3,1))+COUNTIF($A$64:A385,A385),0),0)</f>
        <v>0</v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  <c r="Z386">
        <f>IFERROR(IF(AND(ISNUMBER(A386),A386&gt;=$B$3,A386&lt;EDATE($B$3,1)),COUNTIFS($A$64:$A$500,"&gt;"&amp;A386,$A$64:$A$500,"&lt;"&amp;EDATE($B$3,1))+COUNTIF($A$64:A386,A386),0),0)</f>
        <v>0</v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  <c r="Z387">
        <f>IFERROR(IF(AND(ISNUMBER(A387),A387&gt;=$B$3,A387&lt;EDATE($B$3,1)),COUNTIFS($A$64:$A$500,"&gt;"&amp;A387,$A$64:$A$500,"&lt;"&amp;EDATE($B$3,1))+COUNTIF($A$64:A387,A387),0),0)</f>
        <v>0</v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  <c r="Z388">
        <f>IFERROR(IF(AND(ISNUMBER(A388),A388&gt;=$B$3,A388&lt;EDATE($B$3,1)),COUNTIFS($A$64:$A$500,"&gt;"&amp;A388,$A$64:$A$500,"&lt;"&amp;EDATE($B$3,1))+COUNTIF($A$64:A388,A388),0),0)</f>
        <v>0</v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  <c r="Z389">
        <f>IFERROR(IF(AND(ISNUMBER(A389),A389&gt;=$B$3,A389&lt;EDATE($B$3,1)),COUNTIFS($A$64:$A$500,"&gt;"&amp;A389,$A$64:$A$500,"&lt;"&amp;EDATE($B$3,1))+COUNTIF($A$64:A389,A389),0),0)</f>
        <v>0</v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  <c r="Z390">
        <f>IFERROR(IF(AND(ISNUMBER(A390),A390&gt;=$B$3,A390&lt;EDATE($B$3,1)),COUNTIFS($A$64:$A$500,"&gt;"&amp;A390,$A$64:$A$500,"&lt;"&amp;EDATE($B$3,1))+COUNTIF($A$64:A390,A390),0),0)</f>
        <v>0</v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  <c r="Z391">
        <f>IFERROR(IF(AND(ISNUMBER(A391),A391&gt;=$B$3,A391&lt;EDATE($B$3,1)),COUNTIFS($A$64:$A$500,"&gt;"&amp;A391,$A$64:$A$500,"&lt;"&amp;EDATE($B$3,1))+COUNTIF($A$64:A391,A391),0),0)</f>
        <v>0</v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  <c r="Z392">
        <f>IFERROR(IF(AND(ISNUMBER(A392),A392&gt;=$B$3,A392&lt;EDATE($B$3,1)),COUNTIFS($A$64:$A$500,"&gt;"&amp;A392,$A$64:$A$500,"&lt;"&amp;EDATE($B$3,1))+COUNTIF($A$64:A392,A392),0),0)</f>
        <v>0</v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  <c r="Z393">
        <f>IFERROR(IF(AND(ISNUMBER(A393),A393&gt;=$B$3,A393&lt;EDATE($B$3,1)),COUNTIFS($A$64:$A$500,"&gt;"&amp;A393,$A$64:$A$500,"&lt;"&amp;EDATE($B$3,1))+COUNTIF($A$64:A393,A393),0),0)</f>
        <v>0</v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  <c r="Z394">
        <f>IFERROR(IF(AND(ISNUMBER(A394),A394&gt;=$B$3,A394&lt;EDATE($B$3,1)),COUNTIFS($A$64:$A$500,"&gt;"&amp;A394,$A$64:$A$500,"&lt;"&amp;EDATE($B$3,1))+COUNTIF($A$64:A394,A394),0),0)</f>
        <v>0</v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  <c r="Z395">
        <f>IFERROR(IF(AND(ISNUMBER(A395),A395&gt;=$B$3,A395&lt;EDATE($B$3,1)),COUNTIFS($A$64:$A$500,"&gt;"&amp;A395,$A$64:$A$500,"&lt;"&amp;EDATE($B$3,1))+COUNTIF($A$64:A395,A395),0),0)</f>
        <v>0</v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  <c r="Z396">
        <f>IFERROR(IF(AND(ISNUMBER(A396),A396&gt;=$B$3,A396&lt;EDATE($B$3,1)),COUNTIFS($A$64:$A$500,"&gt;"&amp;A396,$A$64:$A$500,"&lt;"&amp;EDATE($B$3,1))+COUNTIF($A$64:A396,A396),0),0)</f>
        <v>0</v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  <c r="Z397">
        <f>IFERROR(IF(AND(ISNUMBER(A397),A397&gt;=$B$3,A397&lt;EDATE($B$3,1)),COUNTIFS($A$64:$A$500,"&gt;"&amp;A397,$A$64:$A$500,"&lt;"&amp;EDATE($B$3,1))+COUNTIF($A$64:A397,A397),0),0)</f>
        <v>0</v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  <c r="Z398">
        <f>IFERROR(IF(AND(ISNUMBER(A398),A398&gt;=$B$3,A398&lt;EDATE($B$3,1)),COUNTIFS($A$64:$A$500,"&gt;"&amp;A398,$A$64:$A$500,"&lt;"&amp;EDATE($B$3,1))+COUNTIF($A$64:A398,A398),0),0)</f>
        <v>0</v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  <c r="Z399">
        <f>IFERROR(IF(AND(ISNUMBER(A399),A399&gt;=$B$3,A399&lt;EDATE($B$3,1)),COUNTIFS($A$64:$A$500,"&gt;"&amp;A399,$A$64:$A$500,"&lt;"&amp;EDATE($B$3,1))+COUNTIF($A$64:A399,A399),0),0)</f>
        <v>0</v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  <c r="Z400">
        <f>IFERROR(IF(AND(ISNUMBER(A400),A400&gt;=$B$3,A400&lt;EDATE($B$3,1)),COUNTIFS($A$64:$A$500,"&gt;"&amp;A400,$A$64:$A$500,"&lt;"&amp;EDATE($B$3,1))+COUNTIF($A$64:A400,A400),0),0)</f>
        <v>0</v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  <c r="Z401">
        <f>IFERROR(IF(AND(ISNUMBER(A401),A401&gt;=$B$3,A401&lt;EDATE($B$3,1)),COUNTIFS($A$64:$A$500,"&gt;"&amp;A401,$A$64:$A$500,"&lt;"&amp;EDATE($B$3,1))+COUNTIF($A$64:A401,A401),0),0)</f>
        <v>0</v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  <c r="Z402">
        <f>IFERROR(IF(AND(ISNUMBER(A402),A402&gt;=$B$3,A402&lt;EDATE($B$3,1)),COUNTIFS($A$64:$A$500,"&gt;"&amp;A402,$A$64:$A$500,"&lt;"&amp;EDATE($B$3,1))+COUNTIF($A$64:A402,A402),0),0)</f>
        <v>0</v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  <c r="Z403">
        <f>IFERROR(IF(AND(ISNUMBER(A403),A403&gt;=$B$3,A403&lt;EDATE($B$3,1)),COUNTIFS($A$64:$A$500,"&gt;"&amp;A403,$A$64:$A$500,"&lt;"&amp;EDATE($B$3,1))+COUNTIF($A$64:A403,A403),0),0)</f>
        <v>0</v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  <c r="Z404">
        <f>IFERROR(IF(AND(ISNUMBER(A404),A404&gt;=$B$3,A404&lt;EDATE($B$3,1)),COUNTIFS($A$64:$A$500,"&gt;"&amp;A404,$A$64:$A$500,"&lt;"&amp;EDATE($B$3,1))+COUNTIF($A$64:A404,A404),0),0)</f>
        <v>0</v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  <c r="Z405">
        <f>IFERROR(IF(AND(ISNUMBER(A405),A405&gt;=$B$3,A405&lt;EDATE($B$3,1)),COUNTIFS($A$64:$A$500,"&gt;"&amp;A405,$A$64:$A$500,"&lt;"&amp;EDATE($B$3,1))+COUNTIF($A$64:A405,A405),0),0)</f>
        <v>0</v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  <c r="Z406">
        <f>IFERROR(IF(AND(ISNUMBER(A406),A406&gt;=$B$3,A406&lt;EDATE($B$3,1)),COUNTIFS($A$64:$A$500,"&gt;"&amp;A406,$A$64:$A$500,"&lt;"&amp;EDATE($B$3,1))+COUNTIF($A$64:A406,A406),0),0)</f>
        <v>0</v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  <c r="Z407">
        <f>IFERROR(IF(AND(ISNUMBER(A407),A407&gt;=$B$3,A407&lt;EDATE($B$3,1)),COUNTIFS($A$64:$A$500,"&gt;"&amp;A407,$A$64:$A$500,"&lt;"&amp;EDATE($B$3,1))+COUNTIF($A$64:A407,A407),0),0)</f>
        <v>0</v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  <c r="Z408">
        <f>IFERROR(IF(AND(ISNUMBER(A408),A408&gt;=$B$3,A408&lt;EDATE($B$3,1)),COUNTIFS($A$64:$A$500,"&gt;"&amp;A408,$A$64:$A$500,"&lt;"&amp;EDATE($B$3,1))+COUNTIF($A$64:A408,A408),0),0)</f>
        <v>0</v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  <c r="Z409">
        <f>IFERROR(IF(AND(ISNUMBER(A409),A409&gt;=$B$3,A409&lt;EDATE($B$3,1)),COUNTIFS($A$64:$A$500,"&gt;"&amp;A409,$A$64:$A$500,"&lt;"&amp;EDATE($B$3,1))+COUNTIF($A$64:A409,A409),0),0)</f>
        <v>0</v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  <c r="Z410">
        <f>IFERROR(IF(AND(ISNUMBER(A410),A410&gt;=$B$3,A410&lt;EDATE($B$3,1)),COUNTIFS($A$64:$A$500,"&gt;"&amp;A410,$A$64:$A$500,"&lt;"&amp;EDATE($B$3,1))+COUNTIF($A$64:A410,A410),0),0)</f>
        <v>0</v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  <c r="Z411">
        <f>IFERROR(IF(AND(ISNUMBER(A411),A411&gt;=$B$3,A411&lt;EDATE($B$3,1)),COUNTIFS($A$64:$A$500,"&gt;"&amp;A411,$A$64:$A$500,"&lt;"&amp;EDATE($B$3,1))+COUNTIF($A$64:A411,A411),0),0)</f>
        <v>0</v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  <c r="Z412">
        <f>IFERROR(IF(AND(ISNUMBER(A412),A412&gt;=$B$3,A412&lt;EDATE($B$3,1)),COUNTIFS($A$64:$A$500,"&gt;"&amp;A412,$A$64:$A$500,"&lt;"&amp;EDATE($B$3,1))+COUNTIF($A$64:A412,A412),0),0)</f>
        <v>0</v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  <c r="Z413">
        <f>IFERROR(IF(AND(ISNUMBER(A413),A413&gt;=$B$3,A413&lt;EDATE($B$3,1)),COUNTIFS($A$64:$A$500,"&gt;"&amp;A413,$A$64:$A$500,"&lt;"&amp;EDATE($B$3,1))+COUNTIF($A$64:A413,A413),0),0)</f>
        <v>0</v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  <c r="Z414">
        <f>IFERROR(IF(AND(ISNUMBER(A414),A414&gt;=$B$3,A414&lt;EDATE($B$3,1)),COUNTIFS($A$64:$A$500,"&gt;"&amp;A414,$A$64:$A$500,"&lt;"&amp;EDATE($B$3,1))+COUNTIF($A$64:A414,A414),0),0)</f>
        <v>0</v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  <c r="Z415">
        <f>IFERROR(IF(AND(ISNUMBER(A415),A415&gt;=$B$3,A415&lt;EDATE($B$3,1)),COUNTIFS($A$64:$A$500,"&gt;"&amp;A415,$A$64:$A$500,"&lt;"&amp;EDATE($B$3,1))+COUNTIF($A$64:A415,A415),0),0)</f>
        <v>0</v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  <c r="Z416">
        <f>IFERROR(IF(AND(ISNUMBER(A416),A416&gt;=$B$3,A416&lt;EDATE($B$3,1)),COUNTIFS($A$64:$A$500,"&gt;"&amp;A416,$A$64:$A$500,"&lt;"&amp;EDATE($B$3,1))+COUNTIF($A$64:A416,A416),0),0)</f>
        <v>0</v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  <c r="Z417">
        <f>IFERROR(IF(AND(ISNUMBER(A417),A417&gt;=$B$3,A417&lt;EDATE($B$3,1)),COUNTIFS($A$64:$A$500,"&gt;"&amp;A417,$A$64:$A$500,"&lt;"&amp;EDATE($B$3,1))+COUNTIF($A$64:A417,A417),0),0)</f>
        <v>0</v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  <c r="Z418">
        <f>IFERROR(IF(AND(ISNUMBER(A418),A418&gt;=$B$3,A418&lt;EDATE($B$3,1)),COUNTIFS($A$64:$A$500,"&gt;"&amp;A418,$A$64:$A$500,"&lt;"&amp;EDATE($B$3,1))+COUNTIF($A$64:A418,A418),0),0)</f>
        <v>0</v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  <c r="Z419">
        <f>IFERROR(IF(AND(ISNUMBER(A419),A419&gt;=$B$3,A419&lt;EDATE($B$3,1)),COUNTIFS($A$64:$A$500,"&gt;"&amp;A419,$A$64:$A$500,"&lt;"&amp;EDATE($B$3,1))+COUNTIF($A$64:A419,A419),0),0)</f>
        <v>0</v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  <c r="Z420">
        <f>IFERROR(IF(AND(ISNUMBER(A420),A420&gt;=$B$3,A420&lt;EDATE($B$3,1)),COUNTIFS($A$64:$A$500,"&gt;"&amp;A420,$A$64:$A$500,"&lt;"&amp;EDATE($B$3,1))+COUNTIF($A$64:A420,A420),0),0)</f>
        <v>0</v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  <c r="Z421">
        <f>IFERROR(IF(AND(ISNUMBER(A421),A421&gt;=$B$3,A421&lt;EDATE($B$3,1)),COUNTIFS($A$64:$A$500,"&gt;"&amp;A421,$A$64:$A$500,"&lt;"&amp;EDATE($B$3,1))+COUNTIF($A$64:A421,A421),0),0)</f>
        <v>0</v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  <c r="Z422">
        <f>IFERROR(IF(AND(ISNUMBER(A422),A422&gt;=$B$3,A422&lt;EDATE($B$3,1)),COUNTIFS($A$64:$A$500,"&gt;"&amp;A422,$A$64:$A$500,"&lt;"&amp;EDATE($B$3,1))+COUNTIF($A$64:A422,A422),0),0)</f>
        <v>0</v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  <c r="Z423">
        <f>IFERROR(IF(AND(ISNUMBER(A423),A423&gt;=$B$3,A423&lt;EDATE($B$3,1)),COUNTIFS($A$64:$A$500,"&gt;"&amp;A423,$A$64:$A$500,"&lt;"&amp;EDATE($B$3,1))+COUNTIF($A$64:A423,A423),0),0)</f>
        <v>0</v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  <c r="Z424">
        <f>IFERROR(IF(AND(ISNUMBER(A424),A424&gt;=$B$3,A424&lt;EDATE($B$3,1)),COUNTIFS($A$64:$A$500,"&gt;"&amp;A424,$A$64:$A$500,"&lt;"&amp;EDATE($B$3,1))+COUNTIF($A$64:A424,A424),0),0)</f>
        <v>0</v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  <c r="Z425">
        <f>IFERROR(IF(AND(ISNUMBER(A425),A425&gt;=$B$3,A425&lt;EDATE($B$3,1)),COUNTIFS($A$64:$A$500,"&gt;"&amp;A425,$A$64:$A$500,"&lt;"&amp;EDATE($B$3,1))+COUNTIF($A$64:A425,A425),0),0)</f>
        <v>0</v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  <c r="Z426">
        <f>IFERROR(IF(AND(ISNUMBER(A426),A426&gt;=$B$3,A426&lt;EDATE($B$3,1)),COUNTIFS($A$64:$A$500,"&gt;"&amp;A426,$A$64:$A$500,"&lt;"&amp;EDATE($B$3,1))+COUNTIF($A$64:A426,A426),0),0)</f>
        <v>0</v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  <c r="Z427">
        <f>IFERROR(IF(AND(ISNUMBER(A427),A427&gt;=$B$3,A427&lt;EDATE($B$3,1)),COUNTIFS($A$64:$A$500,"&gt;"&amp;A427,$A$64:$A$500,"&lt;"&amp;EDATE($B$3,1))+COUNTIF($A$64:A427,A427),0),0)</f>
        <v>0</v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  <c r="Z428">
        <f>IFERROR(IF(AND(ISNUMBER(A428),A428&gt;=$B$3,A428&lt;EDATE($B$3,1)),COUNTIFS($A$64:$A$500,"&gt;"&amp;A428,$A$64:$A$500,"&lt;"&amp;EDATE($B$3,1))+COUNTIF($A$64:A428,A428),0),0)</f>
        <v>0</v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  <c r="Z429">
        <f>IFERROR(IF(AND(ISNUMBER(A429),A429&gt;=$B$3,A429&lt;EDATE($B$3,1)),COUNTIFS($A$64:$A$500,"&gt;"&amp;A429,$A$64:$A$500,"&lt;"&amp;EDATE($B$3,1))+COUNTIF($A$64:A429,A429),0),0)</f>
        <v>0</v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  <c r="Z430">
        <f>IFERROR(IF(AND(ISNUMBER(A430),A430&gt;=$B$3,A430&lt;EDATE($B$3,1)),COUNTIFS($A$64:$A$500,"&gt;"&amp;A430,$A$64:$A$500,"&lt;"&amp;EDATE($B$3,1))+COUNTIF($A$64:A430,A430),0),0)</f>
        <v>0</v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  <c r="Z431">
        <f>IFERROR(IF(AND(ISNUMBER(A431),A431&gt;=$B$3,A431&lt;EDATE($B$3,1)),COUNTIFS($A$64:$A$500,"&gt;"&amp;A431,$A$64:$A$500,"&lt;"&amp;EDATE($B$3,1))+COUNTIF($A$64:A431,A431),0),0)</f>
        <v>0</v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  <c r="Z432">
        <f>IFERROR(IF(AND(ISNUMBER(A432),A432&gt;=$B$3,A432&lt;EDATE($B$3,1)),COUNTIFS($A$64:$A$500,"&gt;"&amp;A432,$A$64:$A$500,"&lt;"&amp;EDATE($B$3,1))+COUNTIF($A$64:A432,A432),0),0)</f>
        <v>0</v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  <c r="Z433">
        <f>IFERROR(IF(AND(ISNUMBER(A433),A433&gt;=$B$3,A433&lt;EDATE($B$3,1)),COUNTIFS($A$64:$A$500,"&gt;"&amp;A433,$A$64:$A$500,"&lt;"&amp;EDATE($B$3,1))+COUNTIF($A$64:A433,A433),0),0)</f>
        <v>0</v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  <c r="Z434">
        <f>IFERROR(IF(AND(ISNUMBER(A434),A434&gt;=$B$3,A434&lt;EDATE($B$3,1)),COUNTIFS($A$64:$A$500,"&gt;"&amp;A434,$A$64:$A$500,"&lt;"&amp;EDATE($B$3,1))+COUNTIF($A$64:A434,A434),0),0)</f>
        <v>0</v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  <c r="Z435">
        <f>IFERROR(IF(AND(ISNUMBER(A435),A435&gt;=$B$3,A435&lt;EDATE($B$3,1)),COUNTIFS($A$64:$A$500,"&gt;"&amp;A435,$A$64:$A$500,"&lt;"&amp;EDATE($B$3,1))+COUNTIF($A$64:A435,A435),0),0)</f>
        <v>0</v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  <c r="Z436">
        <f>IFERROR(IF(AND(ISNUMBER(A436),A436&gt;=$B$3,A436&lt;EDATE($B$3,1)),COUNTIFS($A$64:$A$500,"&gt;"&amp;A436,$A$64:$A$500,"&lt;"&amp;EDATE($B$3,1))+COUNTIF($A$64:A436,A436),0),0)</f>
        <v>0</v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  <c r="Z437">
        <f>IFERROR(IF(AND(ISNUMBER(A437),A437&gt;=$B$3,A437&lt;EDATE($B$3,1)),COUNTIFS($A$64:$A$500,"&gt;"&amp;A437,$A$64:$A$500,"&lt;"&amp;EDATE($B$3,1))+COUNTIF($A$64:A437,A437),0),0)</f>
        <v>0</v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  <c r="Z438">
        <f>IFERROR(IF(AND(ISNUMBER(A438),A438&gt;=$B$3,A438&lt;EDATE($B$3,1)),COUNTIFS($A$64:$A$500,"&gt;"&amp;A438,$A$64:$A$500,"&lt;"&amp;EDATE($B$3,1))+COUNTIF($A$64:A438,A438),0),0)</f>
        <v>0</v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  <c r="Z439">
        <f>IFERROR(IF(AND(ISNUMBER(A439),A439&gt;=$B$3,A439&lt;EDATE($B$3,1)),COUNTIFS($A$64:$A$500,"&gt;"&amp;A439,$A$64:$A$500,"&lt;"&amp;EDATE($B$3,1))+COUNTIF($A$64:A439,A439),0),0)</f>
        <v>0</v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  <c r="Z440">
        <f>IFERROR(IF(AND(ISNUMBER(A440),A440&gt;=$B$3,A440&lt;EDATE($B$3,1)),COUNTIFS($A$64:$A$500,"&gt;"&amp;A440,$A$64:$A$500,"&lt;"&amp;EDATE($B$3,1))+COUNTIF($A$64:A440,A440),0),0)</f>
        <v>0</v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  <c r="Z441">
        <f>IFERROR(IF(AND(ISNUMBER(A441),A441&gt;=$B$3,A441&lt;EDATE($B$3,1)),COUNTIFS($A$64:$A$500,"&gt;"&amp;A441,$A$64:$A$500,"&lt;"&amp;EDATE($B$3,1))+COUNTIF($A$64:A441,A441),0),0)</f>
        <v>0</v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  <c r="Z442">
        <f>IFERROR(IF(AND(ISNUMBER(A442),A442&gt;=$B$3,A442&lt;EDATE($B$3,1)),COUNTIFS($A$64:$A$500,"&gt;"&amp;A442,$A$64:$A$500,"&lt;"&amp;EDATE($B$3,1))+COUNTIF($A$64:A442,A442),0),0)</f>
        <v>0</v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  <c r="Z443">
        <f>IFERROR(IF(AND(ISNUMBER(A443),A443&gt;=$B$3,A443&lt;EDATE($B$3,1)),COUNTIFS($A$64:$A$500,"&gt;"&amp;A443,$A$64:$A$500,"&lt;"&amp;EDATE($B$3,1))+COUNTIF($A$64:A443,A443),0),0)</f>
        <v>0</v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  <c r="Z444">
        <f>IFERROR(IF(AND(ISNUMBER(A444),A444&gt;=$B$3,A444&lt;EDATE($B$3,1)),COUNTIFS($A$64:$A$500,"&gt;"&amp;A444,$A$64:$A$500,"&lt;"&amp;EDATE($B$3,1))+COUNTIF($A$64:A444,A444),0),0)</f>
        <v>0</v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  <c r="Z445">
        <f>IFERROR(IF(AND(ISNUMBER(A445),A445&gt;=$B$3,A445&lt;EDATE($B$3,1)),COUNTIFS($A$64:$A$500,"&gt;"&amp;A445,$A$64:$A$500,"&lt;"&amp;EDATE($B$3,1))+COUNTIF($A$64:A445,A445),0),0)</f>
        <v>0</v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  <c r="Z446">
        <f>IFERROR(IF(AND(ISNUMBER(A446),A446&gt;=$B$3,A446&lt;EDATE($B$3,1)),COUNTIFS($A$64:$A$500,"&gt;"&amp;A446,$A$64:$A$500,"&lt;"&amp;EDATE($B$3,1))+COUNTIF($A$64:A446,A446),0),0)</f>
        <v>0</v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  <c r="Z447">
        <f>IFERROR(IF(AND(ISNUMBER(A447),A447&gt;=$B$3,A447&lt;EDATE($B$3,1)),COUNTIFS($A$64:$A$500,"&gt;"&amp;A447,$A$64:$A$500,"&lt;"&amp;EDATE($B$3,1))+COUNTIF($A$64:A447,A447),0),0)</f>
        <v>0</v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  <c r="Z448">
        <f>IFERROR(IF(AND(ISNUMBER(A448),A448&gt;=$B$3,A448&lt;EDATE($B$3,1)),COUNTIFS($A$64:$A$500,"&gt;"&amp;A448,$A$64:$A$500,"&lt;"&amp;EDATE($B$3,1))+COUNTIF($A$64:A448,A448),0),0)</f>
        <v>0</v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  <c r="Z449">
        <f>IFERROR(IF(AND(ISNUMBER(A449),A449&gt;=$B$3,A449&lt;EDATE($B$3,1)),COUNTIFS($A$64:$A$500,"&gt;"&amp;A449,$A$64:$A$500,"&lt;"&amp;EDATE($B$3,1))+COUNTIF($A$64:A449,A449),0),0)</f>
        <v>0</v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  <c r="Z450">
        <f>IFERROR(IF(AND(ISNUMBER(A450),A450&gt;=$B$3,A450&lt;EDATE($B$3,1)),COUNTIFS($A$64:$A$500,"&gt;"&amp;A450,$A$64:$A$500,"&lt;"&amp;EDATE($B$3,1))+COUNTIF($A$64:A450,A450),0),0)</f>
        <v>0</v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  <c r="Z451">
        <f>IFERROR(IF(AND(ISNUMBER(A451),A451&gt;=$B$3,A451&lt;EDATE($B$3,1)),COUNTIFS($A$64:$A$500,"&gt;"&amp;A451,$A$64:$A$500,"&lt;"&amp;EDATE($B$3,1))+COUNTIF($A$64:A451,A451),0),0)</f>
        <v>0</v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  <c r="Z452">
        <f>IFERROR(IF(AND(ISNUMBER(A452),A452&gt;=$B$3,A452&lt;EDATE($B$3,1)),COUNTIFS($A$64:$A$500,"&gt;"&amp;A452,$A$64:$A$500,"&lt;"&amp;EDATE($B$3,1))+COUNTIF($A$64:A452,A452),0),0)</f>
        <v>0</v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  <c r="Z453">
        <f>IFERROR(IF(AND(ISNUMBER(A453),A453&gt;=$B$3,A453&lt;EDATE($B$3,1)),COUNTIFS($A$64:$A$500,"&gt;"&amp;A453,$A$64:$A$500,"&lt;"&amp;EDATE($B$3,1))+COUNTIF($A$64:A453,A453),0),0)</f>
        <v>0</v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  <c r="Z454">
        <f>IFERROR(IF(AND(ISNUMBER(A454),A454&gt;=$B$3,A454&lt;EDATE($B$3,1)),COUNTIFS($A$64:$A$500,"&gt;"&amp;A454,$A$64:$A$500,"&lt;"&amp;EDATE($B$3,1))+COUNTIF($A$64:A454,A454),0),0)</f>
        <v>0</v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  <c r="Z455">
        <f>IFERROR(IF(AND(ISNUMBER(A455),A455&gt;=$B$3,A455&lt;EDATE($B$3,1)),COUNTIFS($A$64:$A$500,"&gt;"&amp;A455,$A$64:$A$500,"&lt;"&amp;EDATE($B$3,1))+COUNTIF($A$64:A455,A455),0),0)</f>
        <v>0</v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  <c r="Z456">
        <f>IFERROR(IF(AND(ISNUMBER(A456),A456&gt;=$B$3,A456&lt;EDATE($B$3,1)),COUNTIFS($A$64:$A$500,"&gt;"&amp;A456,$A$64:$A$500,"&lt;"&amp;EDATE($B$3,1))+COUNTIF($A$64:A456,A456),0),0)</f>
        <v>0</v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  <c r="Z457">
        <f>IFERROR(IF(AND(ISNUMBER(A457),A457&gt;=$B$3,A457&lt;EDATE($B$3,1)),COUNTIFS($A$64:$A$500,"&gt;"&amp;A457,$A$64:$A$500,"&lt;"&amp;EDATE($B$3,1))+COUNTIF($A$64:A457,A457),0),0)</f>
        <v>0</v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  <c r="Z458">
        <f>IFERROR(IF(AND(ISNUMBER(A458),A458&gt;=$B$3,A458&lt;EDATE($B$3,1)),COUNTIFS($A$64:$A$500,"&gt;"&amp;A458,$A$64:$A$500,"&lt;"&amp;EDATE($B$3,1))+COUNTIF($A$64:A458,A458),0),0)</f>
        <v>0</v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  <c r="Z459">
        <f>IFERROR(IF(AND(ISNUMBER(A459),A459&gt;=$B$3,A459&lt;EDATE($B$3,1)),COUNTIFS($A$64:$A$500,"&gt;"&amp;A459,$A$64:$A$500,"&lt;"&amp;EDATE($B$3,1))+COUNTIF($A$64:A459,A459),0),0)</f>
        <v>0</v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  <c r="Z460">
        <f>IFERROR(IF(AND(ISNUMBER(A460),A460&gt;=$B$3,A460&lt;EDATE($B$3,1)),COUNTIFS($A$64:$A$500,"&gt;"&amp;A460,$A$64:$A$500,"&lt;"&amp;EDATE($B$3,1))+COUNTIF($A$64:A460,A460),0),0)</f>
        <v>0</v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  <c r="Z461">
        <f>IFERROR(IF(AND(ISNUMBER(A461),A461&gt;=$B$3,A461&lt;EDATE($B$3,1)),COUNTIFS($A$64:$A$500,"&gt;"&amp;A461,$A$64:$A$500,"&lt;"&amp;EDATE($B$3,1))+COUNTIF($A$64:A461,A461),0),0)</f>
        <v>0</v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  <c r="Z462">
        <f>IFERROR(IF(AND(ISNUMBER(A462),A462&gt;=$B$3,A462&lt;EDATE($B$3,1)),COUNTIFS($A$64:$A$500,"&gt;"&amp;A462,$A$64:$A$500,"&lt;"&amp;EDATE($B$3,1))+COUNTIF($A$64:A462,A462),0),0)</f>
        <v>0</v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  <c r="Z463">
        <f>IFERROR(IF(AND(ISNUMBER(A463),A463&gt;=$B$3,A463&lt;EDATE($B$3,1)),COUNTIFS($A$64:$A$500,"&gt;"&amp;A463,$A$64:$A$500,"&lt;"&amp;EDATE($B$3,1))+COUNTIF($A$64:A463,A463),0),0)</f>
        <v>0</v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  <c r="Z464">
        <f>IFERROR(IF(AND(ISNUMBER(A464),A464&gt;=$B$3,A464&lt;EDATE($B$3,1)),COUNTIFS($A$64:$A$500,"&gt;"&amp;A464,$A$64:$A$500,"&lt;"&amp;EDATE($B$3,1))+COUNTIF($A$64:A464,A464),0),0)</f>
        <v>0</v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  <c r="Z465">
        <f>IFERROR(IF(AND(ISNUMBER(A465),A465&gt;=$B$3,A465&lt;EDATE($B$3,1)),COUNTIFS($A$64:$A$500,"&gt;"&amp;A465,$A$64:$A$500,"&lt;"&amp;EDATE($B$3,1))+COUNTIF($A$64:A465,A465),0),0)</f>
        <v>0</v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  <c r="Z466">
        <f>IFERROR(IF(AND(ISNUMBER(A466),A466&gt;=$B$3,A466&lt;EDATE($B$3,1)),COUNTIFS($A$64:$A$500,"&gt;"&amp;A466,$A$64:$A$500,"&lt;"&amp;EDATE($B$3,1))+COUNTIF($A$64:A466,A466),0),0)</f>
        <v>0</v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  <c r="Z467">
        <f>IFERROR(IF(AND(ISNUMBER(A467),A467&gt;=$B$3,A467&lt;EDATE($B$3,1)),COUNTIFS($A$64:$A$500,"&gt;"&amp;A467,$A$64:$A$500,"&lt;"&amp;EDATE($B$3,1))+COUNTIF($A$64:A467,A467),0),0)</f>
        <v>0</v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  <c r="Z468">
        <f>IFERROR(IF(AND(ISNUMBER(A468),A468&gt;=$B$3,A468&lt;EDATE($B$3,1)),COUNTIFS($A$64:$A$500,"&gt;"&amp;A468,$A$64:$A$500,"&lt;"&amp;EDATE($B$3,1))+COUNTIF($A$64:A468,A468),0),0)</f>
        <v>0</v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  <c r="Z469">
        <f>IFERROR(IF(AND(ISNUMBER(A469),A469&gt;=$B$3,A469&lt;EDATE($B$3,1)),COUNTIFS($A$64:$A$500,"&gt;"&amp;A469,$A$64:$A$500,"&lt;"&amp;EDATE($B$3,1))+COUNTIF($A$64:A469,A469),0),0)</f>
        <v>0</v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  <c r="Z470">
        <f>IFERROR(IF(AND(ISNUMBER(A470),A470&gt;=$B$3,A470&lt;EDATE($B$3,1)),COUNTIFS($A$64:$A$500,"&gt;"&amp;A470,$A$64:$A$500,"&lt;"&amp;EDATE($B$3,1))+COUNTIF($A$64:A470,A470),0),0)</f>
        <v>0</v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  <c r="Z471">
        <f>IFERROR(IF(AND(ISNUMBER(A471),A471&gt;=$B$3,A471&lt;EDATE($B$3,1)),COUNTIFS($A$64:$A$500,"&gt;"&amp;A471,$A$64:$A$500,"&lt;"&amp;EDATE($B$3,1))+COUNTIF($A$64:A471,A471),0),0)</f>
        <v>0</v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  <c r="Z472">
        <f>IFERROR(IF(AND(ISNUMBER(A472),A472&gt;=$B$3,A472&lt;EDATE($B$3,1)),COUNTIFS($A$64:$A$500,"&gt;"&amp;A472,$A$64:$A$500,"&lt;"&amp;EDATE($B$3,1))+COUNTIF($A$64:A472,A472),0),0)</f>
        <v>0</v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  <c r="Z473">
        <f>IFERROR(IF(AND(ISNUMBER(A473),A473&gt;=$B$3,A473&lt;EDATE($B$3,1)),COUNTIFS($A$64:$A$500,"&gt;"&amp;A473,$A$64:$A$500,"&lt;"&amp;EDATE($B$3,1))+COUNTIF($A$64:A473,A473),0),0)</f>
        <v>0</v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  <c r="Z474">
        <f>IFERROR(IF(AND(ISNUMBER(A474),A474&gt;=$B$3,A474&lt;EDATE($B$3,1)),COUNTIFS($A$64:$A$500,"&gt;"&amp;A474,$A$64:$A$500,"&lt;"&amp;EDATE($B$3,1))+COUNTIF($A$64:A474,A474),0),0)</f>
        <v>0</v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  <c r="Z475">
        <f>IFERROR(IF(AND(ISNUMBER(A475),A475&gt;=$B$3,A475&lt;EDATE($B$3,1)),COUNTIFS($A$64:$A$500,"&gt;"&amp;A475,$A$64:$A$500,"&lt;"&amp;EDATE($B$3,1))+COUNTIF($A$64:A475,A475),0),0)</f>
        <v>0</v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  <c r="Z476">
        <f>IFERROR(IF(AND(ISNUMBER(A476),A476&gt;=$B$3,A476&lt;EDATE($B$3,1)),COUNTIFS($A$64:$A$500,"&gt;"&amp;A476,$A$64:$A$500,"&lt;"&amp;EDATE($B$3,1))+COUNTIF($A$64:A476,A476),0),0)</f>
        <v>0</v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  <c r="Z477">
        <f>IFERROR(IF(AND(ISNUMBER(A477),A477&gt;=$B$3,A477&lt;EDATE($B$3,1)),COUNTIFS($A$64:$A$500,"&gt;"&amp;A477,$A$64:$A$500,"&lt;"&amp;EDATE($B$3,1))+COUNTIF($A$64:A477,A477),0),0)</f>
        <v>0</v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  <c r="Z478">
        <f>IFERROR(IF(AND(ISNUMBER(A478),A478&gt;=$B$3,A478&lt;EDATE($B$3,1)),COUNTIFS($A$64:$A$500,"&gt;"&amp;A478,$A$64:$A$500,"&lt;"&amp;EDATE($B$3,1))+COUNTIF($A$64:A478,A478),0),0)</f>
        <v>0</v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  <c r="Z479">
        <f>IFERROR(IF(AND(ISNUMBER(A479),A479&gt;=$B$3,A479&lt;EDATE($B$3,1)),COUNTIFS($A$64:$A$500,"&gt;"&amp;A479,$A$64:$A$500,"&lt;"&amp;EDATE($B$3,1))+COUNTIF($A$64:A479,A479),0),0)</f>
        <v>0</v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  <c r="Z480">
        <f>IFERROR(IF(AND(ISNUMBER(A480),A480&gt;=$B$3,A480&lt;EDATE($B$3,1)),COUNTIFS($A$64:$A$500,"&gt;"&amp;A480,$A$64:$A$500,"&lt;"&amp;EDATE($B$3,1))+COUNTIF($A$64:A480,A480),0),0)</f>
        <v>0</v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  <c r="Z481">
        <f>IFERROR(IF(AND(ISNUMBER(A481),A481&gt;=$B$3,A481&lt;EDATE($B$3,1)),COUNTIFS($A$64:$A$500,"&gt;"&amp;A481,$A$64:$A$500,"&lt;"&amp;EDATE($B$3,1))+COUNTIF($A$64:A481,A481),0),0)</f>
        <v>0</v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  <c r="Z482">
        <f>IFERROR(IF(AND(ISNUMBER(A482),A482&gt;=$B$3,A482&lt;EDATE($B$3,1)),COUNTIFS($A$64:$A$500,"&gt;"&amp;A482,$A$64:$A$500,"&lt;"&amp;EDATE($B$3,1))+COUNTIF($A$64:A482,A482),0),0)</f>
        <v>0</v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  <c r="Z483">
        <f>IFERROR(IF(AND(ISNUMBER(A483),A483&gt;=$B$3,A483&lt;EDATE($B$3,1)),COUNTIFS($A$64:$A$500,"&gt;"&amp;A483,$A$64:$A$500,"&lt;"&amp;EDATE($B$3,1))+COUNTIF($A$64:A483,A483),0),0)</f>
        <v>0</v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  <c r="Z484">
        <f>IFERROR(IF(AND(ISNUMBER(A484),A484&gt;=$B$3,A484&lt;EDATE($B$3,1)),COUNTIFS($A$64:$A$500,"&gt;"&amp;A484,$A$64:$A$500,"&lt;"&amp;EDATE($B$3,1))+COUNTIF($A$64:A484,A484),0),0)</f>
        <v>0</v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  <c r="Z485">
        <f>IFERROR(IF(AND(ISNUMBER(A485),A485&gt;=$B$3,A485&lt;EDATE($B$3,1)),COUNTIFS($A$64:$A$500,"&gt;"&amp;A485,$A$64:$A$500,"&lt;"&amp;EDATE($B$3,1))+COUNTIF($A$64:A485,A485),0),0)</f>
        <v>0</v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  <c r="Z486">
        <f>IFERROR(IF(AND(ISNUMBER(A486),A486&gt;=$B$3,A486&lt;EDATE($B$3,1)),COUNTIFS($A$64:$A$500,"&gt;"&amp;A486,$A$64:$A$500,"&lt;"&amp;EDATE($B$3,1))+COUNTIF($A$64:A486,A486),0),0)</f>
        <v>0</v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  <c r="Z487">
        <f>IFERROR(IF(AND(ISNUMBER(A487),A487&gt;=$B$3,A487&lt;EDATE($B$3,1)),COUNTIFS($A$64:$A$500,"&gt;"&amp;A487,$A$64:$A$500,"&lt;"&amp;EDATE($B$3,1))+COUNTIF($A$64:A487,A487),0),0)</f>
        <v>0</v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  <c r="Z488">
        <f>IFERROR(IF(AND(ISNUMBER(A488),A488&gt;=$B$3,A488&lt;EDATE($B$3,1)),COUNTIFS($A$64:$A$500,"&gt;"&amp;A488,$A$64:$A$500,"&lt;"&amp;EDATE($B$3,1))+COUNTIF($A$64:A488,A488),0),0)</f>
        <v>0</v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  <c r="Z489">
        <f>IFERROR(IF(AND(ISNUMBER(A489),A489&gt;=$B$3,A489&lt;EDATE($B$3,1)),COUNTIFS($A$64:$A$500,"&gt;"&amp;A489,$A$64:$A$500,"&lt;"&amp;EDATE($B$3,1))+COUNTIF($A$64:A489,A489),0),0)</f>
        <v>0</v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  <c r="Z490">
        <f>IFERROR(IF(AND(ISNUMBER(A490),A490&gt;=$B$3,A490&lt;EDATE($B$3,1)),COUNTIFS($A$64:$A$500,"&gt;"&amp;A490,$A$64:$A$500,"&lt;"&amp;EDATE($B$3,1))+COUNTIF($A$64:A490,A490),0),0)</f>
        <v>0</v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  <c r="Z491">
        <f>IFERROR(IF(AND(ISNUMBER(A491),A491&gt;=$B$3,A491&lt;EDATE($B$3,1)),COUNTIFS($A$64:$A$500,"&gt;"&amp;A491,$A$64:$A$500,"&lt;"&amp;EDATE($B$3,1))+COUNTIF($A$64:A491,A491),0),0)</f>
        <v>0</v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  <c r="Z492">
        <f>IFERROR(IF(AND(ISNUMBER(A492),A492&gt;=$B$3,A492&lt;EDATE($B$3,1)),COUNTIFS($A$64:$A$500,"&gt;"&amp;A492,$A$64:$A$500,"&lt;"&amp;EDATE($B$3,1))+COUNTIF($A$64:A492,A492),0),0)</f>
        <v>0</v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  <c r="Z493">
        <f>IFERROR(IF(AND(ISNUMBER(A493),A493&gt;=$B$3,A493&lt;EDATE($B$3,1)),COUNTIFS($A$64:$A$500,"&gt;"&amp;A493,$A$64:$A$500,"&lt;"&amp;EDATE($B$3,1))+COUNTIF($A$64:A493,A493),0),0)</f>
        <v>0</v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  <c r="Z494">
        <f>IFERROR(IF(AND(ISNUMBER(A494),A494&gt;=$B$3,A494&lt;EDATE($B$3,1)),COUNTIFS($A$64:$A$500,"&gt;"&amp;A494,$A$64:$A$500,"&lt;"&amp;EDATE($B$3,1))+COUNTIF($A$64:A494,A494),0),0)</f>
        <v>0</v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  <c r="Z495">
        <f>IFERROR(IF(AND(ISNUMBER(A495),A495&gt;=$B$3,A495&lt;EDATE($B$3,1)),COUNTIFS($A$64:$A$500,"&gt;"&amp;A495,$A$64:$A$500,"&lt;"&amp;EDATE($B$3,1))+COUNTIF($A$64:A495,A495),0),0)</f>
        <v>0</v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  <c r="Z496">
        <f>IFERROR(IF(AND(ISNUMBER(A496),A496&gt;=$B$3,A496&lt;EDATE($B$3,1)),COUNTIFS($A$64:$A$500,"&gt;"&amp;A496,$A$64:$A$500,"&lt;"&amp;EDATE($B$3,1))+COUNTIF($A$64:A496,A496),0),0)</f>
        <v>0</v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  <c r="Z497">
        <f>IFERROR(IF(AND(ISNUMBER(A497),A497&gt;=$B$3,A497&lt;EDATE($B$3,1)),COUNTIFS($A$64:$A$500,"&gt;"&amp;A497,$A$64:$A$500,"&lt;"&amp;EDATE($B$3,1))+COUNTIF($A$64:A497,A497),0),0)</f>
        <v>0</v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  <c r="Z498">
        <f>IFERROR(IF(AND(ISNUMBER(A498),A498&gt;=$B$3,A498&lt;EDATE($B$3,1)),COUNTIFS($A$64:$A$500,"&gt;"&amp;A498,$A$64:$A$500,"&lt;"&amp;EDATE($B$3,1))+COUNTIF($A$64:A498,A498),0),0)</f>
        <v>0</v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  <c r="Z499">
        <f>IFERROR(IF(AND(ISNUMBER(A499),A499&gt;=$B$3,A499&lt;EDATE($B$3,1)),COUNTIFS($A$64:$A$500,"&gt;"&amp;A499,$A$64:$A$500,"&lt;"&amp;EDATE($B$3,1))+COUNTIF($A$64:A499,A499),0),0)</f>
        <v>0</v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  <c r="Z500">
        <f>IFERROR(IF(AND(ISNUMBER(A500),A500&gt;=$B$3,A500&lt;EDATE($B$3,1)),COUNTIFS($A$64:$A$500,"&gt;"&amp;A500,$A$64:$A$500,"&lt;"&amp;EDATE($B$3,1))+COUNTIF($A$64:A500,A500),0),0)</f>
        <v>0</v>
      </c>
    </row>
    <row r="501" spans="1:25" hidden="0" outlineLevel="0" ht="32" customHeight="1" collapsed="1">
      <c r="A501" s="86" t="inlineStr">
        <is>
          <t xml:space="preserve">원장 페이지</t>
        </is>
      </c>
      <c r="B501" s="309">
        <v>1</v>
      </c>
      <c r="C501" s="308" t="str">
        <f>$AC$501&amp;"건 · 표시 페이지 "&amp;$AA$501&amp;" / "&amp;$AB$501&amp;" · 최신 기록순"</f>
        <v>16건 · 표시 페이지 1 / 1 · 최신 기록순</v>
      </c>
      <c r="I501" s="311" t="str">
        <f>HYPERLINK("#'잔액'!A63",IF(COUNTIF($I$64:$I$500,"*확인*")&gt;0,"전체 원장 확인 필요: "&amp;COUNTIF($I$64:$I$500,"*확인*")&amp;"건 (+로 펼침)","전체 원장 입력은 +로 펼침"))</f>
        <v>전체 원장 입력은 +로 펼침</v>
      </c>
      <c r="AA501">
        <f>MIN(MAX(1,IFERROR(INT($B$501),1)),$AB$501)</f>
        <v>1</v>
      </c>
      <c r="AB501">
        <f>MAX(1,ROUNDUP($AC$501/22,0))</f>
        <v>1</v>
      </c>
      <c r="AC501">
        <f>COUNTIF($Z$64:$Z$500,"&gt;0")</f>
        <v>16</v>
      </c>
    </row>
    <row r="502" hidden="0" outlineLevel="0" ht="32" customHeight="1">
      <c r="A502" s="82" t="inlineStr">
        <is>
          <t xml:space="preserve">날짜/월</t>
        </is>
      </c>
      <c r="B502" s="82" t="inlineStr">
        <is>
          <t xml:space="preserve">유형</t>
        </is>
      </c>
      <c r="C502" s="82" t="inlineStr">
        <is>
          <t xml:space="preserve">보내는 곳</t>
        </is>
      </c>
      <c r="D502" s="82" t="inlineStr">
        <is>
          <t xml:space="preserve">받는 곳</t>
        </is>
      </c>
      <c r="E502" s="82" t="inlineStr">
        <is>
          <t xml:space="preserve">금액</t>
        </is>
      </c>
      <c r="F502" s="82" t="inlineStr">
        <is>
          <t xml:space="preserve">내용</t>
        </is>
      </c>
      <c r="G502" s="82" t="inlineStr">
        <is>
          <t xml:space="preserve">메모 요약</t>
        </is>
      </c>
      <c r="H502" s="82" t="inlineStr">
        <is>
          <t xml:space="preserve">월</t>
        </is>
      </c>
      <c r="I502" s="82" t="inlineStr">
        <is>
          <t xml:space="preserve">검증</t>
        </is>
      </c>
      <c r="J502" s="82" t="inlineStr">
        <is>
          <t xml:space="preserve">보낸 계좌</t>
        </is>
      </c>
      <c r="K502" s="82" t="inlineStr">
        <is>
          <t xml:space="preserve">받은 계좌</t>
        </is>
      </c>
      <c r="L502" s="82" t="inlineStr">
        <is>
          <t xml:space="preserve">원본 행</t>
        </is>
      </c>
    </row>
    <row r="503" hidden="0" outlineLevel="0" ht="54" customHeight="1">
      <c r="A503" s="311" t="str">
        <f>IF($AA503=0,"",TEXT(INDEX($A$64:$A$500,MAX(1,$AA503)),IF(INDEX($L$64:$L$500,MAX(1,$AA503))="원본WRAP","yyyy-mm","m/d hh:mm")))</f>
        <v>10/17 16:01</v>
      </c>
      <c r="B503" s="311" t="str">
        <f>IF($AA503=0,"",IF(INDEX($B$64:$B$500,MAX(1,$AA503))="","",INDEX($B$64:$B$500,MAX(1,$AA503))))</f>
        <v>이체</v>
      </c>
      <c r="C503" s="311" t="str">
        <f>IF($AA503=0,"",IF(INDEX($C$64:$C$500,MAX(1,$AA503))="","",INDEX($C$64:$C$500,MAX(1,$AA503))))</f>
        <v>생활비</v>
      </c>
      <c r="D503" s="311" t="str">
        <f>IF($AA503=0,"",IF(INDEX($D$64:$D$500,MAX(1,$AA503))="","",INDEX($D$64:$D$500,MAX(1,$AA503))))</f>
        <v>외부</v>
      </c>
      <c r="E503" s="28">
        <f>IF($AA503=0,"",INDEX($E$64:$E$500,MAX(1,$AA503)))</f>
        <v>15700</v>
      </c>
      <c r="F503" s="311" t="str">
        <f>IF($AA503=0,"",IF(INDEX($F$64:$F$500,MAX(1,$AA503))="","",INDEX($F$64:$F$500,MAX(1,$AA503))))</f>
        <v>외부출금 · 카카오페이 충전</v>
      </c>
      <c r="G503" s="90" t="str">
        <f>IF($AA503=0,"",LEFT(INDEX($G$64:$G$500,MAX(1,$AA503)),40)&amp;IF(LEN(INDEX($G$64:$G$500,MAX(1,$AA503)))&gt;40,"…",""))</f>
        <v>KP20261017-01 · 플라잉 더치 구매 연결(사용자 확인). 충전…</v>
      </c>
      <c r="H503" s="311" t="str">
        <f>IF($AA503=0,"",TEXT(INDEX($H$64:$H$500,MAX(1,$AA503)),"yyyy-mm"))</f>
        <v>2026-10</v>
      </c>
      <c r="I503" s="311" t="str">
        <f>IF($AA503=0,"",IF(INDEX($I$64:$I$500,MAX(1,$AA503))="","",INDEX($I$64:$I$500,MAX(1,$AA503))))</f>
        <v>OK</v>
      </c>
      <c r="J503" s="311" t="str">
        <f>IF($AA503=0,"",IF(INDEX($J$64:$J$500,MAX(1,$AA503))="","",INDEX($J$64:$J$500,MAX(1,$AA503))))</f>
        <v>미래에셋_WRAP형CMA</v>
      </c>
      <c r="K503" s="311" t="str">
        <f>IF($AA503=0,"",IF(INDEX($K$64:$K$500,MAX(1,$AA503))="","",INDEX($K$64:$K$500,MAX(1,$AA503))))</f>
        <v>카카오페이머니</v>
      </c>
      <c r="L503" s="311" t="str">
        <f>IF($AA503=0,"",HYPERLINK("#'잔액'!A"&amp;($AA503+63),"원장 "&amp;($AA503+63)&amp;"행 ↗"))</f>
        <v>원장 248행 ↗</v>
      </c>
      <c r="AA503">
        <f>IFERROR(MATCH(($AA$501-1)*22+1,$Z$64:$Z$500,0),0)</f>
        <v>185</v>
      </c>
    </row>
    <row r="504" hidden="0" outlineLevel="0" ht="54" customHeight="1">
      <c r="A504" s="311" t="str">
        <f>IF($AA504=0,"",TEXT(INDEX($A$64:$A$500,MAX(1,$AA504)),IF(INDEX($L$64:$L$500,MAX(1,$AA504))="원본WRAP","yyyy-mm","m/d hh:mm")))</f>
        <v>10/15 23:00</v>
      </c>
      <c r="B504" s="311" t="str">
        <f>IF($AA504=0,"",IF(INDEX($B$64:$B$500,MAX(1,$AA504))="","",INDEX($B$64:$B$500,MAX(1,$AA504))))</f>
        <v>이체</v>
      </c>
      <c r="C504" s="311" t="str">
        <f>IF($AA504=0,"",IF(INDEX($C$64:$C$500,MAX(1,$AA504))="","",INDEX($C$64:$C$500,MAX(1,$AA504))))</f>
        <v>임시보관</v>
      </c>
      <c r="D504" s="311" t="str">
        <f>IF($AA504=0,"",IF(INDEX($D$64:$D$500,MAX(1,$AA504))="","",INDEX($D$64:$D$500,MAX(1,$AA504))))</f>
        <v>생활비</v>
      </c>
      <c r="E504" s="28">
        <f>IF($AA504=0,"",INDEX($E$64:$E$500,MAX(1,$AA504)))</f>
        <v>61000</v>
      </c>
      <c r="F504" s="311" t="str">
        <f>IF($AA504=0,"",IF(INDEX($F$64:$F$500,MAX(1,$AA504))="","",INDEX($F$64:$F$500,MAX(1,$AA504))))</f>
        <v>생신 잔금 임시보관 → 생활비</v>
      </c>
      <c r="G504" s="90" t="str">
        <f>IF($AA504=0,"",LEFT(INDEX($G$64:$G$500,MAX(1,$AA504)),40)&amp;IF(LEN(INDEX($G$64:$G$500,MAX(1,$AA504)))&gt;40,"…",""))</f>
        <v>사용자 요청으로 회수 원금 61,000원을 생활비로 분류 이동. 날짜는 …</v>
      </c>
      <c r="H504" s="311" t="str">
        <f>IF($AA504=0,"",TEXT(INDEX($H$64:$H$500,MAX(1,$AA504)),"yyyy-mm"))</f>
        <v>2026-10</v>
      </c>
      <c r="I504" s="311" t="str">
        <f>IF($AA504=0,"",IF(INDEX($I$64:$I$500,MAX(1,$AA504))="","",INDEX($I$64:$I$500,MAX(1,$AA504))))</f>
        <v>OK</v>
      </c>
      <c r="J504" s="311" t="str">
        <f>IF($AA504=0,"",IF(INDEX($J$64:$J$500,MAX(1,$AA504))="","",INDEX($J$64:$J$500,MAX(1,$AA504))))</f>
        <v>미래에셋_WRAP형CMA</v>
      </c>
      <c r="K504" s="311" t="str">
        <f>IF($AA504=0,"",IF(INDEX($K$64:$K$500,MAX(1,$AA504))="","",INDEX($K$64:$K$500,MAX(1,$AA504))))</f>
        <v>미래에셋_WRAP형CMA</v>
      </c>
      <c r="L504" s="311" t="str">
        <f>IF($AA504=0,"",HYPERLINK("#'잔액'!A"&amp;($AA504+63),"원장 "&amp;($AA504+63)&amp;"행 ↗"))</f>
        <v>원장 247행 ↗</v>
      </c>
      <c r="AA504">
        <f>IFERROR(MATCH(($AA$501-1)*22+2,$Z$64:$Z$500,0),0)</f>
        <v>184</v>
      </c>
    </row>
    <row r="505" hidden="0" outlineLevel="0" ht="54" customHeight="1">
      <c r="A505" s="311" t="str">
        <f>IF($AA505=0,"",TEXT(INDEX($A$64:$A$500,MAX(1,$AA505)),IF(INDEX($L$64:$L$500,MAX(1,$AA505))="원본WRAP","yyyy-mm","m/d hh:mm")))</f>
        <v>10/15 22:33</v>
      </c>
      <c r="B505" s="311" t="str">
        <f>IF($AA505=0,"",IF(INDEX($B$64:$B$500,MAX(1,$AA505))="","",INDEX($B$64:$B$500,MAX(1,$AA505))))</f>
        <v>이체</v>
      </c>
      <c r="C505" s="311" t="str">
        <f>IF($AA505=0,"",IF(INDEX($C$64:$C$500,MAX(1,$AA505))="","",INDEX($C$64:$C$500,MAX(1,$AA505))))</f>
        <v>외부</v>
      </c>
      <c r="D505" s="311" t="str">
        <f>IF($AA505=0,"",IF(INDEX($D$64:$D$500,MAX(1,$AA505))="","",INDEX($D$64:$D$500,MAX(1,$AA505))))</f>
        <v>임시보관</v>
      </c>
      <c r="E505" s="28">
        <f>IF($AA505=0,"",INDEX($E$64:$E$500,MAX(1,$AA505)))</f>
        <v>61000</v>
      </c>
      <c r="F505" s="311" t="str">
        <f>IF($AA505=0,"",IF(INDEX($F$64:$F$500,MAX(1,$AA505))="","",INDEX($F$64:$F$500,MAX(1,$AA505))))</f>
        <v>부모 생신 미사용 원금 회수</v>
      </c>
      <c r="G505" s="90" t="str">
        <f>IF($AA505=0,"",LEFT(INDEX($G$64:$G$500,MAX(1,$AA505)),40)&amp;IF(LEN(INDEX($G$64:$G$500,MAX(1,$AA505)))&gt;40,"…",""))</f>
        <v>RAW 2466행. 8월 가족통장 납입 100,000 중 행사 39,00…</v>
      </c>
      <c r="H505" s="311" t="str">
        <f>IF($AA505=0,"",TEXT(INDEX($H$64:$H$500,MAX(1,$AA505)),"yyyy-mm"))</f>
        <v>2026-10</v>
      </c>
      <c r="I505" s="311" t="str">
        <f>IF($AA505=0,"",IF(INDEX($I$64:$I$500,MAX(1,$AA505))="","",INDEX($I$64:$I$500,MAX(1,$AA505))))</f>
        <v>OK</v>
      </c>
      <c r="J505" s="311" t="str">
        <f>IF($AA505=0,"",IF(INDEX($J$64:$J$500,MAX(1,$AA505))="","",INDEX($J$64:$J$500,MAX(1,$AA505))))</f>
        <v>가족통장</v>
      </c>
      <c r="K505" s="311" t="str">
        <f>IF($AA505=0,"",IF(INDEX($K$64:$K$500,MAX(1,$AA505))="","",INDEX($K$64:$K$500,MAX(1,$AA505))))</f>
        <v>미래에셋_WRAP형CMA</v>
      </c>
      <c r="L505" s="311" t="str">
        <f>IF($AA505=0,"",HYPERLINK("#'잔액'!A"&amp;($AA505+63),"원장 "&amp;($AA505+63)&amp;"행 ↗"))</f>
        <v>원장 246행 ↗</v>
      </c>
      <c r="AA505">
        <f>IFERROR(MATCH(($AA$501-1)*22+3,$Z$64:$Z$500,0),0)</f>
        <v>183</v>
      </c>
    </row>
    <row r="506" hidden="0" outlineLevel="0" ht="54" customHeight="1">
      <c r="A506" s="311" t="str">
        <f>IF($AA506=0,"",TEXT(INDEX($A$64:$A$500,MAX(1,$AA506)),IF(INDEX($L$64:$L$500,MAX(1,$AA506))="원본WRAP","yyyy-mm","m/d hh:mm")))</f>
        <v>10/13 20:37</v>
      </c>
      <c r="B506" s="311" t="str">
        <f>IF($AA506=0,"",IF(INDEX($B$64:$B$500,MAX(1,$AA506))="","",INDEX($B$64:$B$500,MAX(1,$AA506))))</f>
        <v>입금</v>
      </c>
      <c r="C506" s="311" t="str">
        <f>IF($AA506=0,"",IF(INDEX($C$64:$C$500,MAX(1,$AA506))="","",INDEX($C$64:$C$500,MAX(1,$AA506))))</f>
        <v>외부</v>
      </c>
      <c r="D506" s="311" t="str">
        <f>IF($AA506=0,"",IF(INDEX($D$64:$D$500,MAX(1,$AA506))="","",INDEX($D$64:$D$500,MAX(1,$AA506))))</f>
        <v>생활비</v>
      </c>
      <c r="E506" s="28">
        <f>IF($AA506=0,"",INDEX($E$64:$E$500,MAX(1,$AA506)))</f>
        <v>535</v>
      </c>
      <c r="F506" s="311" t="str">
        <f>IF($AA506=0,"",IF(INDEX($F$64:$F$500,MAX(1,$AA506))="","",INDEX($F$64:$F$500,MAX(1,$AA506))))</f>
        <v>미래에셋 WRAP 이자</v>
      </c>
      <c r="G506" s="90" t="str">
        <f>IF($AA506=0,"",LEFT(INDEX($G$64:$G$500,MAX(1,$AA506)),40)&amp;IF(LEN(INDEX($G$64:$G$500,MAX(1,$AA506)))&gt;40,"…",""))</f>
        <v>RAW 2454행 · 10/13 추가 이자 535원. 10/15 RAW …</v>
      </c>
      <c r="H506" s="311" t="str">
        <f>IF($AA506=0,"",TEXT(INDEX($H$64:$H$500,MAX(1,$AA506)),"yyyy-mm"))</f>
        <v>2026-10</v>
      </c>
      <c r="I506" s="311" t="str">
        <f>IF($AA506=0,"",IF(INDEX($I$64:$I$500,MAX(1,$AA506))="","",INDEX($I$64:$I$500,MAX(1,$AA506))))</f>
        <v>OK</v>
      </c>
      <c r="J506" s="311" t="str">
        <f>IF($AA506=0,"",IF(INDEX($J$64:$J$500,MAX(1,$AA506))="","",INDEX($J$64:$J$500,MAX(1,$AA506))))</f>
        <v>외부</v>
      </c>
      <c r="K506" s="311" t="str">
        <f>IF($AA506=0,"",IF(INDEX($K$64:$K$500,MAX(1,$AA506))="","",INDEX($K$64:$K$500,MAX(1,$AA506))))</f>
        <v>미래에셋_WRAP형CMA</v>
      </c>
      <c r="L506" s="311" t="str">
        <f>IF($AA506=0,"",HYPERLINK("#'잔액'!A"&amp;($AA506+63),"원장 "&amp;($AA506+63)&amp;"행 ↗"))</f>
        <v>원장 245행 ↗</v>
      </c>
      <c r="AA506">
        <f>IFERROR(MATCH(($AA$501-1)*22+4,$Z$64:$Z$500,0),0)</f>
        <v>182</v>
      </c>
    </row>
    <row r="507" hidden="0" outlineLevel="0" ht="54" customHeight="1">
      <c r="A507" s="311" t="str">
        <f>IF($AA507=0,"",TEXT(INDEX($A$64:$A$500,MAX(1,$AA507)),IF(INDEX($L$64:$L$500,MAX(1,$AA507))="원본WRAP","yyyy-mm","m/d hh:mm")))</f>
        <v>10/13 20:26</v>
      </c>
      <c r="B507" s="311" t="str">
        <f>IF($AA507=0,"",IF(INDEX($B$64:$B$500,MAX(1,$AA507))="","",INDEX($B$64:$B$500,MAX(1,$AA507))))</f>
        <v>계좌이체</v>
      </c>
      <c r="C507" s="311" t="str">
        <f>IF($AA507=0,"",IF(INDEX($C$64:$C$500,MAX(1,$AA507))="","",INDEX($C$64:$C$500,MAX(1,$AA507))))</f>
        <v>외부</v>
      </c>
      <c r="D507" s="311" t="str">
        <f>IF($AA507=0,"",IF(INDEX($D$64:$D$500,MAX(1,$AA507))="","",INDEX($D$64:$D$500,MAX(1,$AA507))))</f>
        <v>생활비</v>
      </c>
      <c r="E507" s="28">
        <f>IF($AA507=0,"",INDEX($E$64:$E$500,MAX(1,$AA507)))</f>
        <v>22210</v>
      </c>
      <c r="F507" s="311" t="str">
        <f>IF($AA507=0,"",IF(INDEX($F$64:$F$500,MAX(1,$AA507))="","",INDEX($F$64:$F$500,MAX(1,$AA507))))</f>
        <v>신한은행V2 → 미래에셋 WRAP</v>
      </c>
      <c r="G507" s="90" t="str">
        <f>IF($AA507=0,"",LEFT(INDEX($G$64:$G$500,MAX(1,$AA507)),40)&amp;IF(LEN(INDEX($G$64:$G$500,MAX(1,$AA507)))&gt;40,"…",""))</f>
        <v>RAW 2453행 · WRAP 이체입금 22,210원. WRAP에서 나가…</v>
      </c>
      <c r="H507" s="311" t="str">
        <f>IF($AA507=0,"",TEXT(INDEX($H$64:$H$500,MAX(1,$AA507)),"yyyy-mm"))</f>
        <v>2026-10</v>
      </c>
      <c r="I507" s="311" t="str">
        <f>IF($AA507=0,"",IF(INDEX($I$64:$I$500,MAX(1,$AA507))="","",INDEX($I$64:$I$500,MAX(1,$AA507))))</f>
        <v>OK</v>
      </c>
      <c r="J507" s="311" t="str">
        <f>IF($AA507=0,"",IF(INDEX($J$64:$J$500,MAX(1,$AA507))="","",INDEX($J$64:$J$500,MAX(1,$AA507))))</f>
        <v>신한은행V2</v>
      </c>
      <c r="K507" s="311" t="str">
        <f>IF($AA507=0,"",IF(INDEX($K$64:$K$500,MAX(1,$AA507))="","",INDEX($K$64:$K$500,MAX(1,$AA507))))</f>
        <v>미래에셋_WRAP형CMA</v>
      </c>
      <c r="L507" s="311" t="str">
        <f>IF($AA507=0,"",HYPERLINK("#'잔액'!A"&amp;($AA507+63),"원장 "&amp;($AA507+63)&amp;"행 ↗"))</f>
        <v>원장 231행 ↗</v>
      </c>
      <c r="AA507">
        <f>IFERROR(MATCH(($AA$501-1)*22+5,$Z$64:$Z$500,0),0)</f>
        <v>168</v>
      </c>
    </row>
    <row r="508" hidden="0" outlineLevel="0" ht="54" customHeight="1">
      <c r="A508" s="311" t="str">
        <f>IF($AA508=0,"",TEXT(INDEX($A$64:$A$500,MAX(1,$AA508)),IF(INDEX($L$64:$L$500,MAX(1,$AA508))="원본WRAP","yyyy-mm","m/d hh:mm")))</f>
        <v>10/13 20:25</v>
      </c>
      <c r="B508" s="311" t="str">
        <f>IF($AA508=0,"",IF(INDEX($B$64:$B$500,MAX(1,$AA508))="","",INDEX($B$64:$B$500,MAX(1,$AA508))))</f>
        <v>계좌이체</v>
      </c>
      <c r="C508" s="311" t="str">
        <f>IF($AA508=0,"",IF(INDEX($C$64:$C$500,MAX(1,$AA508))="","",INDEX($C$64:$C$500,MAX(1,$AA508))))</f>
        <v>생활비</v>
      </c>
      <c r="D508" s="311" t="str">
        <f>IF($AA508=0,"",IF(INDEX($D$64:$D$500,MAX(1,$AA508))="","",INDEX($D$64:$D$500,MAX(1,$AA508))))</f>
        <v>외부</v>
      </c>
      <c r="E508" s="28">
        <f>IF($AA508=0,"",INDEX($E$64:$E$500,MAX(1,$AA508)))</f>
        <v>236270</v>
      </c>
      <c r="F508" s="311" t="str">
        <f>IF($AA508=0,"",IF(INDEX($F$64:$F$500,MAX(1,$AA508))="","",INDEX($F$64:$F$500,MAX(1,$AA508))))</f>
        <v>미래에셋 WRAP → 토스뱅크</v>
      </c>
      <c r="G508" s="90" t="str">
        <f>IF($AA508=0,"",LEFT(INDEX($G$64:$G$500,MAX(1,$AA508)),40)&amp;IF(LEN(INDEX($G$64:$G$500,MAX(1,$AA508)))&gt;40,"…",""))</f>
        <v>RAW 2452행 · WRAP 이체출금 236,270원. WRAP에서 나…</v>
      </c>
      <c r="H508" s="311" t="str">
        <f>IF($AA508=0,"",TEXT(INDEX($H$64:$H$500,MAX(1,$AA508)),"yyyy-mm"))</f>
        <v>2026-10</v>
      </c>
      <c r="I508" s="311" t="str">
        <f>IF($AA508=0,"",IF(INDEX($I$64:$I$500,MAX(1,$AA508))="","",INDEX($I$64:$I$500,MAX(1,$AA508))))</f>
        <v>OK</v>
      </c>
      <c r="J508" s="311" t="str">
        <f>IF($AA508=0,"",IF(INDEX($J$64:$J$500,MAX(1,$AA508))="","",INDEX($J$64:$J$500,MAX(1,$AA508))))</f>
        <v>미래에셋_WRAP형CMA</v>
      </c>
      <c r="K508" s="311" t="str">
        <f>IF($AA508=0,"",IF(INDEX($K$64:$K$500,MAX(1,$AA508))="","",INDEX($K$64:$K$500,MAX(1,$AA508))))</f>
        <v>토스뱅크</v>
      </c>
      <c r="L508" s="311" t="str">
        <f>IF($AA508=0,"",HYPERLINK("#'잔액'!A"&amp;($AA508+63),"원장 "&amp;($AA508+63)&amp;"행 ↗"))</f>
        <v>원장 232행 ↗</v>
      </c>
      <c r="AA508">
        <f>IFERROR(MATCH(($AA$501-1)*22+6,$Z$64:$Z$500,0),0)</f>
        <v>169</v>
      </c>
    </row>
    <row r="509" hidden="0" outlineLevel="0" ht="54" customHeight="1">
      <c r="A509" s="311" t="str">
        <f>IF($AA509=0,"",TEXT(INDEX($A$64:$A$500,MAX(1,$AA509)),IF(INDEX($L$64:$L$500,MAX(1,$AA509))="원본WRAP","yyyy-mm","m/d hh:mm")))</f>
        <v>10/13 20:24</v>
      </c>
      <c r="B509" s="311" t="str">
        <f>IF($AA509=0,"",IF(INDEX($B$64:$B$500,MAX(1,$AA509))="","",INDEX($B$64:$B$500,MAX(1,$AA509))))</f>
        <v>계좌이체</v>
      </c>
      <c r="C509" s="311" t="str">
        <f>IF($AA509=0,"",IF(INDEX($C$64:$C$500,MAX(1,$AA509))="","",INDEX($C$64:$C$500,MAX(1,$AA509))))</f>
        <v>생활비</v>
      </c>
      <c r="D509" s="311" t="str">
        <f>IF($AA509=0,"",IF(INDEX($D$64:$D$500,MAX(1,$AA509))="","",INDEX($D$64:$D$500,MAX(1,$AA509))))</f>
        <v>외부</v>
      </c>
      <c r="E509" s="28">
        <f>IF($AA509=0,"",INDEX($E$64:$E$500,MAX(1,$AA509)))</f>
        <v>246568</v>
      </c>
      <c r="F509" s="311" t="str">
        <f>IF($AA509=0,"",IF(INDEX($F$64:$F$500,MAX(1,$AA509))="","",INDEX($F$64:$F$500,MAX(1,$AA509))))</f>
        <v>미래에셋 WRAP → 우리은행</v>
      </c>
      <c r="G509" s="90" t="str">
        <f>IF($AA509=0,"",LEFT(INDEX($G$64:$G$500,MAX(1,$AA509)),40)&amp;IF(LEN(INDEX($G$64:$G$500,MAX(1,$AA509)))&gt;40,"…",""))</f>
        <v>RAW 2451행 · WRAP 이체출금 246,568원. WRAP에서 나…</v>
      </c>
      <c r="H509" s="311" t="str">
        <f>IF($AA509=0,"",TEXT(INDEX($H$64:$H$500,MAX(1,$AA509)),"yyyy-mm"))</f>
        <v>2026-10</v>
      </c>
      <c r="I509" s="311" t="str">
        <f>IF($AA509=0,"",IF(INDEX($I$64:$I$500,MAX(1,$AA509))="","",INDEX($I$64:$I$500,MAX(1,$AA509))))</f>
        <v>OK</v>
      </c>
      <c r="J509" s="311" t="str">
        <f>IF($AA509=0,"",IF(INDEX($J$64:$J$500,MAX(1,$AA509))="","",INDEX($J$64:$J$500,MAX(1,$AA509))))</f>
        <v>미래에셋_WRAP형CMA</v>
      </c>
      <c r="K509" s="311" t="str">
        <f>IF($AA509=0,"",IF(INDEX($K$64:$K$500,MAX(1,$AA509))="","",INDEX($K$64:$K$500,MAX(1,$AA509))))</f>
        <v>우리은행</v>
      </c>
      <c r="L509" s="311" t="str">
        <f>IF($AA509=0,"",HYPERLINK("#'잔액'!A"&amp;($AA509+63),"원장 "&amp;($AA509+63)&amp;"행 ↗"))</f>
        <v>원장 233행 ↗</v>
      </c>
      <c r="AA509">
        <f>IFERROR(MATCH(($AA$501-1)*22+7,$Z$64:$Z$500,0),0)</f>
        <v>170</v>
      </c>
    </row>
    <row r="510" hidden="0" outlineLevel="0" ht="54" customHeight="1">
      <c r="A510" s="311" t="str">
        <f>IF($AA510=0,"",TEXT(INDEX($A$64:$A$500,MAX(1,$AA510)),IF(INDEX($L$64:$L$500,MAX(1,$AA510))="원본WRAP","yyyy-mm","m/d hh:mm")))</f>
        <v>10/13 20:22</v>
      </c>
      <c r="B510" s="311" t="str">
        <f>IF($AA510=0,"",IF(INDEX($B$64:$B$500,MAX(1,$AA510))="","",INDEX($B$64:$B$500,MAX(1,$AA510))))</f>
        <v>계좌이체</v>
      </c>
      <c r="C510" s="311" t="str">
        <f>IF($AA510=0,"",IF(INDEX($C$64:$C$500,MAX(1,$AA510))="","",INDEX($C$64:$C$500,MAX(1,$AA510))))</f>
        <v>생활비</v>
      </c>
      <c r="D510" s="311" t="str">
        <f>IF($AA510=0,"",IF(INDEX($D$64:$D$500,MAX(1,$AA510))="","",INDEX($D$64:$D$500,MAX(1,$AA510))))</f>
        <v>외부</v>
      </c>
      <c r="E510" s="28">
        <f>IF($AA510=0,"",INDEX($E$64:$E$500,MAX(1,$AA510)))</f>
        <v>360550</v>
      </c>
      <c r="F510" s="311" t="str">
        <f>IF($AA510=0,"",IF(INDEX($F$64:$F$500,MAX(1,$AA510))="","",INDEX($F$64:$F$500,MAX(1,$AA510))))</f>
        <v>미래에셋 WRAP → 국민은행</v>
      </c>
      <c r="G510" s="90" t="str">
        <f>IF($AA510=0,"",LEFT(INDEX($G$64:$G$500,MAX(1,$AA510)),40)&amp;IF(LEN(INDEX($G$64:$G$500,MAX(1,$AA510)))&gt;40,"…",""))</f>
        <v>RAW 2450행 · WRAP 이체출금 360,550원. WRAP에서 나…</v>
      </c>
      <c r="H510" s="311" t="str">
        <f>IF($AA510=0,"",TEXT(INDEX($H$64:$H$500,MAX(1,$AA510)),"yyyy-mm"))</f>
        <v>2026-10</v>
      </c>
      <c r="I510" s="311" t="str">
        <f>IF($AA510=0,"",IF(INDEX($I$64:$I$500,MAX(1,$AA510))="","",INDEX($I$64:$I$500,MAX(1,$AA510))))</f>
        <v>OK</v>
      </c>
      <c r="J510" s="311" t="str">
        <f>IF($AA510=0,"",IF(INDEX($J$64:$J$500,MAX(1,$AA510))="","",INDEX($J$64:$J$500,MAX(1,$AA510))))</f>
        <v>미래에셋_WRAP형CMA</v>
      </c>
      <c r="K510" s="311" t="str">
        <f>IF($AA510=0,"",IF(INDEX($K$64:$K$500,MAX(1,$AA510))="","",INDEX($K$64:$K$500,MAX(1,$AA510))))</f>
        <v>국민은행</v>
      </c>
      <c r="L510" s="311" t="str">
        <f>IF($AA510=0,"",HYPERLINK("#'잔액'!A"&amp;($AA510+63),"원장 "&amp;($AA510+63)&amp;"행 ↗"))</f>
        <v>원장 234행 ↗</v>
      </c>
      <c r="AA510">
        <f>IFERROR(MATCH(($AA$501-1)*22+8,$Z$64:$Z$500,0),0)</f>
        <v>171</v>
      </c>
    </row>
    <row r="511" hidden="0" outlineLevel="0" ht="54" customHeight="1">
      <c r="A511" s="311" t="str">
        <f>IF($AA511=0,"",TEXT(INDEX($A$64:$A$500,MAX(1,$AA511)),IF(INDEX($L$64:$L$500,MAX(1,$AA511))="원본WRAP","yyyy-mm","m/d hh:mm")))</f>
        <v>10/13 20:21</v>
      </c>
      <c r="B511" s="311" t="str">
        <f>IF($AA511=0,"",IF(INDEX($B$64:$B$500,MAX(1,$AA511))="","",INDEX($B$64:$B$500,MAX(1,$AA511))))</f>
        <v>계좌이체</v>
      </c>
      <c r="C511" s="311" t="str">
        <f>IF($AA511=0,"",IF(INDEX($C$64:$C$500,MAX(1,$AA511))="","",INDEX($C$64:$C$500,MAX(1,$AA511))))</f>
        <v>생활비</v>
      </c>
      <c r="D511" s="311" t="str">
        <f>IF($AA511=0,"",IF(INDEX($D$64:$D$500,MAX(1,$AA511))="","",INDEX($D$64:$D$500,MAX(1,$AA511))))</f>
        <v>외부</v>
      </c>
      <c r="E511" s="28">
        <f>IF($AA511=0,"",INDEX($E$64:$E$500,MAX(1,$AA511)))</f>
        <v>798746</v>
      </c>
      <c r="F511" s="311" t="str">
        <f>IF($AA511=0,"",IF(INDEX($F$64:$F$500,MAX(1,$AA511))="","",INDEX($F$64:$F$500,MAX(1,$AA511))))</f>
        <v>미래에셋 WRAP → 토스뱅크</v>
      </c>
      <c r="G511" s="90" t="str">
        <f>IF($AA511=0,"",LEFT(INDEX($G$64:$G$500,MAX(1,$AA511)),40)&amp;IF(LEN(INDEX($G$64:$G$500,MAX(1,$AA511)))&gt;40,"…",""))</f>
        <v>RAW 2449행 · WRAP 이체출금 798,746원. WRAP에서 나…</v>
      </c>
      <c r="H511" s="311" t="str">
        <f>IF($AA511=0,"",TEXT(INDEX($H$64:$H$500,MAX(1,$AA511)),"yyyy-mm"))</f>
        <v>2026-10</v>
      </c>
      <c r="I511" s="311" t="str">
        <f>IF($AA511=0,"",IF(INDEX($I$64:$I$500,MAX(1,$AA511))="","",INDEX($I$64:$I$500,MAX(1,$AA511))))</f>
        <v>OK</v>
      </c>
      <c r="J511" s="311" t="str">
        <f>IF($AA511=0,"",IF(INDEX($J$64:$J$500,MAX(1,$AA511))="","",INDEX($J$64:$J$500,MAX(1,$AA511))))</f>
        <v>미래에셋_WRAP형CMA</v>
      </c>
      <c r="K511" s="311" t="str">
        <f>IF($AA511=0,"",IF(INDEX($K$64:$K$500,MAX(1,$AA511))="","",INDEX($K$64:$K$500,MAX(1,$AA511))))</f>
        <v>토스뱅크</v>
      </c>
      <c r="L511" s="311" t="str">
        <f>IF($AA511=0,"",HYPERLINK("#'잔액'!A"&amp;($AA511+63),"원장 "&amp;($AA511+63)&amp;"행 ↗"))</f>
        <v>원장 235행 ↗</v>
      </c>
      <c r="AA511">
        <f>IFERROR(MATCH(($AA$501-1)*22+9,$Z$64:$Z$500,0),0)</f>
        <v>172</v>
      </c>
    </row>
    <row r="512" hidden="0" outlineLevel="0" ht="54" customHeight="1">
      <c r="A512" s="311" t="str">
        <f>IF($AA512=0,"",TEXT(INDEX($A$64:$A$500,MAX(1,$AA512)),IF(INDEX($L$64:$L$500,MAX(1,$AA512))="원본WRAP","yyyy-mm","m/d hh:mm")))</f>
        <v>10/13 20:18</v>
      </c>
      <c r="B512" s="311" t="str">
        <f>IF($AA512=0,"",IF(INDEX($B$64:$B$500,MAX(1,$AA512))="","",INDEX($B$64:$B$500,MAX(1,$AA512))))</f>
        <v>계좌이체</v>
      </c>
      <c r="C512" s="311" t="str">
        <f>IF($AA512=0,"",IF(INDEX($C$64:$C$500,MAX(1,$AA512))="","",INDEX($C$64:$C$500,MAX(1,$AA512))))</f>
        <v>외부</v>
      </c>
      <c r="D512" s="311" t="str">
        <f>IF($AA512=0,"",IF(INDEX($D$64:$D$500,MAX(1,$AA512))="","",INDEX($D$64:$D$500,MAX(1,$AA512))))</f>
        <v>생활비</v>
      </c>
      <c r="E512" s="28">
        <f>IF($AA512=0,"",INDEX($E$64:$E$500,MAX(1,$AA512)))</f>
        <v>604300</v>
      </c>
      <c r="F512" s="311" t="str">
        <f>IF($AA512=0,"",IF(INDEX($F$64:$F$500,MAX(1,$AA512))="","",INDEX($F$64:$F$500,MAX(1,$AA512))))</f>
        <v>토스뱅크 → 미래에셋 WRAP</v>
      </c>
      <c r="G512" s="90" t="str">
        <f>IF($AA512=0,"",LEFT(INDEX($G$64:$G$500,MAX(1,$AA512)),40)&amp;IF(LEN(INDEX($G$64:$G$500,MAX(1,$AA512)))&gt;40,"…",""))</f>
        <v>RAW 2448행 · WRAP 이체입금 604,300원. WRAP에서 나…</v>
      </c>
      <c r="H512" s="311" t="str">
        <f>IF($AA512=0,"",TEXT(INDEX($H$64:$H$500,MAX(1,$AA512)),"yyyy-mm"))</f>
        <v>2026-10</v>
      </c>
      <c r="I512" s="311" t="str">
        <f>IF($AA512=0,"",IF(INDEX($I$64:$I$500,MAX(1,$AA512))="","",INDEX($I$64:$I$500,MAX(1,$AA512))))</f>
        <v>OK</v>
      </c>
      <c r="J512" s="311" t="str">
        <f>IF($AA512=0,"",IF(INDEX($J$64:$J$500,MAX(1,$AA512))="","",INDEX($J$64:$J$500,MAX(1,$AA512))))</f>
        <v>토스뱅크</v>
      </c>
      <c r="K512" s="311" t="str">
        <f>IF($AA512=0,"",IF(INDEX($K$64:$K$500,MAX(1,$AA512))="","",INDEX($K$64:$K$500,MAX(1,$AA512))))</f>
        <v>미래에셋_WRAP형CMA</v>
      </c>
      <c r="L512" s="311" t="str">
        <f>IF($AA512=0,"",HYPERLINK("#'잔액'!A"&amp;($AA512+63),"원장 "&amp;($AA512+63)&amp;"행 ↗"))</f>
        <v>원장 236행 ↗</v>
      </c>
      <c r="AA512">
        <f>IFERROR(MATCH(($AA$501-1)*22+10,$Z$64:$Z$500,0),0)</f>
        <v>173</v>
      </c>
    </row>
    <row r="513" hidden="0" outlineLevel="0" ht="54" customHeight="1">
      <c r="A513" s="311" t="str">
        <f>IF($AA513=0,"",TEXT(INDEX($A$64:$A$500,MAX(1,$AA513)),IF(INDEX($L$64:$L$500,MAX(1,$AA513))="원본WRAP","yyyy-mm","m/d hh:mm")))</f>
        <v>10/13 17:58</v>
      </c>
      <c r="B513" s="311" t="str">
        <f>IF($AA513=0,"",IF(INDEX($B$64:$B$500,MAX(1,$AA513))="","",INDEX($B$64:$B$500,MAX(1,$AA513))))</f>
        <v>계좌이체</v>
      </c>
      <c r="C513" s="311" t="str">
        <f>IF($AA513=0,"",IF(INDEX($C$64:$C$500,MAX(1,$AA513))="","",INDEX($C$64:$C$500,MAX(1,$AA513))))</f>
        <v>생활비</v>
      </c>
      <c r="D513" s="311" t="str">
        <f>IF($AA513=0,"",IF(INDEX($D$64:$D$500,MAX(1,$AA513))="","",INDEX($D$64:$D$500,MAX(1,$AA513))))</f>
        <v>외부</v>
      </c>
      <c r="E513" s="28">
        <f>IF($AA513=0,"",INDEX($E$64:$E$500,MAX(1,$AA513)))</f>
        <v>753905</v>
      </c>
      <c r="F513" s="311" t="str">
        <f>IF($AA513=0,"",IF(INDEX($F$64:$F$500,MAX(1,$AA513))="","",INDEX($F$64:$F$500,MAX(1,$AA513))))</f>
        <v>미래에셋 WRAP → 새마을금고</v>
      </c>
      <c r="G513" s="90" t="str">
        <f>IF($AA513=0,"",LEFT(INDEX($G$64:$G$500,MAX(1,$AA513)),40)&amp;IF(LEN(INDEX($G$64:$G$500,MAX(1,$AA513)))&gt;40,"…",""))</f>
        <v>RAW 2446행 · WRAP 이체출금 753,905원. WRAP에서 나…</v>
      </c>
      <c r="H513" s="311" t="str">
        <f>IF($AA513=0,"",TEXT(INDEX($H$64:$H$500,MAX(1,$AA513)),"yyyy-mm"))</f>
        <v>2026-10</v>
      </c>
      <c r="I513" s="311" t="str">
        <f>IF($AA513=0,"",IF(INDEX($I$64:$I$500,MAX(1,$AA513))="","",INDEX($I$64:$I$500,MAX(1,$AA513))))</f>
        <v>OK</v>
      </c>
      <c r="J513" s="311" t="str">
        <f>IF($AA513=0,"",IF(INDEX($J$64:$J$500,MAX(1,$AA513))="","",INDEX($J$64:$J$500,MAX(1,$AA513))))</f>
        <v>미래에셋_WRAP형CMA</v>
      </c>
      <c r="K513" s="311" t="str">
        <f>IF($AA513=0,"",IF(INDEX($K$64:$K$500,MAX(1,$AA513))="","",INDEX($K$64:$K$500,MAX(1,$AA513))))</f>
        <v>새마을금고</v>
      </c>
      <c r="L513" s="311" t="str">
        <f>IF($AA513=0,"",HYPERLINK("#'잔액'!A"&amp;($AA513+63),"원장 "&amp;($AA513+63)&amp;"행 ↗"))</f>
        <v>원장 237행 ↗</v>
      </c>
      <c r="AA513">
        <f>IFERROR(MATCH(($AA$501-1)*22+11,$Z$64:$Z$500,0),0)</f>
        <v>174</v>
      </c>
    </row>
    <row r="514" hidden="0" outlineLevel="0" ht="54" customHeight="1">
      <c r="A514" s="311" t="str">
        <f>IF($AA514=0,"",TEXT(INDEX($A$64:$A$500,MAX(1,$AA514)),IF(INDEX($L$64:$L$500,MAX(1,$AA514))="원본WRAP","yyyy-mm","m/d hh:mm")))</f>
        <v>10/12 20:14</v>
      </c>
      <c r="B514" s="311" t="str">
        <f>IF($AA514=0,"",IF(INDEX($B$64:$B$500,MAX(1,$AA514))="","",INDEX($B$64:$B$500,MAX(1,$AA514))))</f>
        <v>입금</v>
      </c>
      <c r="C514" s="311" t="str">
        <f>IF($AA514=0,"",IF(INDEX($C$64:$C$500,MAX(1,$AA514))="","",INDEX($C$64:$C$500,MAX(1,$AA514))))</f>
        <v>외부</v>
      </c>
      <c r="D514" s="311" t="str">
        <f>IF($AA514=0,"",IF(INDEX($D$64:$D$500,MAX(1,$AA514))="","",INDEX($D$64:$D$500,MAX(1,$AA514))))</f>
        <v>생활비</v>
      </c>
      <c r="E514" s="28">
        <f>IF($AA514=0,"",INDEX($E$64:$E$500,MAX(1,$AA514)))</f>
        <v>8557</v>
      </c>
      <c r="F514" s="311" t="str">
        <f>IF($AA514=0,"",IF(INDEX($F$64:$F$500,MAX(1,$AA514))="","",INDEX($F$64:$F$500,MAX(1,$AA514))))</f>
        <v>미래에셋 WRAP 이자</v>
      </c>
      <c r="G514" s="90" t="str">
        <f>IF($AA514=0,"",LEFT(INDEX($G$64:$G$500,MAX(1,$AA514)),40)&amp;IF(LEN(INDEX($G$64:$G$500,MAX(1,$AA514)))&gt;40,"…",""))</f>
        <v>RAW 2442행 · WRAP 입금 8,557원. 실제 자산은 미래에셋_…</v>
      </c>
      <c r="H514" s="311" t="str">
        <f>IF($AA514=0,"",TEXT(INDEX($H$64:$H$500,MAX(1,$AA514)),"yyyy-mm"))</f>
        <v>2026-10</v>
      </c>
      <c r="I514" s="311" t="str">
        <f>IF($AA514=0,"",IF(INDEX($I$64:$I$500,MAX(1,$AA514))="","",INDEX($I$64:$I$500,MAX(1,$AA514))))</f>
        <v>OK</v>
      </c>
      <c r="J514" s="311" t="str">
        <f>IF($AA514=0,"",IF(INDEX($J$64:$J$500,MAX(1,$AA514))="","",INDEX($J$64:$J$500,MAX(1,$AA514))))</f>
        <v>외부</v>
      </c>
      <c r="K514" s="311" t="str">
        <f>IF($AA514=0,"",IF(INDEX($K$64:$K$500,MAX(1,$AA514))="","",INDEX($K$64:$K$500,MAX(1,$AA514))))</f>
        <v>미래에셋_WRAP형CMA</v>
      </c>
      <c r="L514" s="311" t="str">
        <f>IF($AA514=0,"",HYPERLINK("#'잔액'!A"&amp;($AA514+63),"원장 "&amp;($AA514+63)&amp;"행 ↗"))</f>
        <v>원장 238행 ↗</v>
      </c>
      <c r="AA514">
        <f>IFERROR(MATCH(($AA$501-1)*22+12,$Z$64:$Z$500,0),0)</f>
        <v>175</v>
      </c>
    </row>
    <row r="515" hidden="0" outlineLevel="0" ht="54" customHeight="1">
      <c r="A515" s="311" t="str">
        <f>IF($AA515=0,"",TEXT(INDEX($A$64:$A$500,MAX(1,$AA515)),IF(INDEX($L$64:$L$500,MAX(1,$AA515))="원본WRAP","yyyy-mm","m/d hh:mm")))</f>
        <v>10/12 19:48</v>
      </c>
      <c r="B515" s="311" t="str">
        <f>IF($AA515=0,"",IF(INDEX($B$64:$B$500,MAX(1,$AA515))="","",INDEX($B$64:$B$500,MAX(1,$AA515))))</f>
        <v>계좌이체</v>
      </c>
      <c r="C515" s="311" t="str">
        <f>IF($AA515=0,"",IF(INDEX($C$64:$C$500,MAX(1,$AA515))="","",INDEX($C$64:$C$500,MAX(1,$AA515))))</f>
        <v>생활비</v>
      </c>
      <c r="D515" s="311" t="str">
        <f>IF($AA515=0,"",IF(INDEX($D$64:$D$500,MAX(1,$AA515))="","",INDEX($D$64:$D$500,MAX(1,$AA515))))</f>
        <v>외부</v>
      </c>
      <c r="E515" s="28">
        <f>IF($AA515=0,"",INDEX($E$64:$E$500,MAX(1,$AA515)))</f>
        <v>1390</v>
      </c>
      <c r="F515" s="311" t="str">
        <f>IF($AA515=0,"",IF(INDEX($F$64:$F$500,MAX(1,$AA515))="","",INDEX($F$64:$F$500,MAX(1,$AA515))))</f>
        <v>미래에셋 WRAP → 카카오뱅크</v>
      </c>
      <c r="G515" s="90" t="str">
        <f>IF($AA515=0,"",LEFT(INDEX($G$64:$G$500,MAX(1,$AA515)),40)&amp;IF(LEN(INDEX($G$64:$G$500,MAX(1,$AA515)))&gt;40,"…",""))</f>
        <v>RAW 2430행 · WRAP 이체출금 1,390원. WRAP에서 나가면…</v>
      </c>
      <c r="H515" s="311" t="str">
        <f>IF($AA515=0,"",TEXT(INDEX($H$64:$H$500,MAX(1,$AA515)),"yyyy-mm"))</f>
        <v>2026-10</v>
      </c>
      <c r="I515" s="311" t="str">
        <f>IF($AA515=0,"",IF(INDEX($I$64:$I$500,MAX(1,$AA515))="","",INDEX($I$64:$I$500,MAX(1,$AA515))))</f>
        <v>OK</v>
      </c>
      <c r="J515" s="311" t="str">
        <f>IF($AA515=0,"",IF(INDEX($J$64:$J$500,MAX(1,$AA515))="","",INDEX($J$64:$J$500,MAX(1,$AA515))))</f>
        <v>미래에셋_WRAP형CMA</v>
      </c>
      <c r="K515" s="311" t="str">
        <f>IF($AA515=0,"",IF(INDEX($K$64:$K$500,MAX(1,$AA515))="","",INDEX($K$64:$K$500,MAX(1,$AA515))))</f>
        <v>카카오뱅크</v>
      </c>
      <c r="L515" s="311" t="str">
        <f>IF($AA515=0,"",HYPERLINK("#'잔액'!A"&amp;($AA515+63),"원장 "&amp;($AA515+63)&amp;"행 ↗"))</f>
        <v>원장 239행 ↗</v>
      </c>
      <c r="AA515">
        <f>IFERROR(MATCH(($AA$501-1)*22+13,$Z$64:$Z$500,0),0)</f>
        <v>176</v>
      </c>
    </row>
    <row r="516" hidden="0" outlineLevel="0" ht="54" customHeight="1">
      <c r="A516" s="311" t="str">
        <f>IF($AA516=0,"",TEXT(INDEX($A$64:$A$500,MAX(1,$AA516)),IF(INDEX($L$64:$L$500,MAX(1,$AA516))="원본WRAP","yyyy-mm","m/d hh:mm")))</f>
        <v>10/12 19:47</v>
      </c>
      <c r="B516" s="311" t="str">
        <f>IF($AA516=0,"",IF(INDEX($B$64:$B$500,MAX(1,$AA516))="","",INDEX($B$64:$B$500,MAX(1,$AA516))))</f>
        <v>계좌이체</v>
      </c>
      <c r="C516" s="311" t="str">
        <f>IF($AA516=0,"",IF(INDEX($C$64:$C$500,MAX(1,$AA516))="","",INDEX($C$64:$C$500,MAX(1,$AA516))))</f>
        <v>생활비</v>
      </c>
      <c r="D516" s="311" t="str">
        <f>IF($AA516=0,"",IF(INDEX($D$64:$D$500,MAX(1,$AA516))="","",INDEX($D$64:$D$500,MAX(1,$AA516))))</f>
        <v>외부</v>
      </c>
      <c r="E516" s="28">
        <f>IF($AA516=0,"",INDEX($E$64:$E$500,MAX(1,$AA516)))</f>
        <v>90410</v>
      </c>
      <c r="F516" s="311" t="str">
        <f>IF($AA516=0,"",IF(INDEX($F$64:$F$500,MAX(1,$AA516))="","",INDEX($F$64:$F$500,MAX(1,$AA516))))</f>
        <v>미래에셋 WRAP → 신한은행</v>
      </c>
      <c r="G516" s="90" t="str">
        <f>IF($AA516=0,"",LEFT(INDEX($G$64:$G$500,MAX(1,$AA516)),40)&amp;IF(LEN(INDEX($G$64:$G$500,MAX(1,$AA516)))&gt;40,"…",""))</f>
        <v>RAW 2429행 · WRAP 이체출금 90,410원. WRAP에서 나가…</v>
      </c>
      <c r="H516" s="311" t="str">
        <f>IF($AA516=0,"",TEXT(INDEX($H$64:$H$500,MAX(1,$AA516)),"yyyy-mm"))</f>
        <v>2026-10</v>
      </c>
      <c r="I516" s="311" t="str">
        <f>IF($AA516=0,"",IF(INDEX($I$64:$I$500,MAX(1,$AA516))="","",INDEX($I$64:$I$500,MAX(1,$AA516))))</f>
        <v>OK</v>
      </c>
      <c r="J516" s="311" t="str">
        <f>IF($AA516=0,"",IF(INDEX($J$64:$J$500,MAX(1,$AA516))="","",INDEX($J$64:$J$500,MAX(1,$AA516))))</f>
        <v>미래에셋_WRAP형CMA</v>
      </c>
      <c r="K516" s="311" t="str">
        <f>IF($AA516=0,"",IF(INDEX($K$64:$K$500,MAX(1,$AA516))="","",INDEX($K$64:$K$500,MAX(1,$AA516))))</f>
        <v>신한은행</v>
      </c>
      <c r="L516" s="311" t="str">
        <f>IF($AA516=0,"",HYPERLINK("#'잔액'!A"&amp;($AA516+63),"원장 "&amp;($AA516+63)&amp;"행 ↗"))</f>
        <v>원장 240행 ↗</v>
      </c>
      <c r="AA516">
        <f>IFERROR(MATCH(($AA$501-1)*22+14,$Z$64:$Z$500,0),0)</f>
        <v>177</v>
      </c>
    </row>
    <row r="517" hidden="0" outlineLevel="0" ht="54" customHeight="1">
      <c r="A517" s="311" t="str">
        <f>IF($AA517=0,"",TEXT(INDEX($A$64:$A$500,MAX(1,$AA517)),IF(INDEX($L$64:$L$500,MAX(1,$AA517))="원본WRAP","yyyy-mm","m/d hh:mm")))</f>
        <v>10/4 14:53</v>
      </c>
      <c r="B517" s="311" t="str">
        <f>IF($AA517=0,"",IF(INDEX($B$64:$B$500,MAX(1,$AA517))="","",INDEX($B$64:$B$500,MAX(1,$AA517))))</f>
        <v>계좌이체</v>
      </c>
      <c r="C517" s="311" t="str">
        <f>IF($AA517=0,"",IF(INDEX($C$64:$C$500,MAX(1,$AA517))="","",INDEX($C$64:$C$500,MAX(1,$AA517))))</f>
        <v>생활비</v>
      </c>
      <c r="D517" s="311" t="str">
        <f>IF($AA517=0,"",IF(INDEX($D$64:$D$500,MAX(1,$AA517))="","",INDEX($D$64:$D$500,MAX(1,$AA517))))</f>
        <v>외부</v>
      </c>
      <c r="E517" s="28">
        <f>IF($AA517=0,"",INDEX($E$64:$E$500,MAX(1,$AA517)))</f>
        <v>50000</v>
      </c>
      <c r="F517" s="311" t="str">
        <f>IF($AA517=0,"",IF(INDEX($F$64:$F$500,MAX(1,$AA517))="","",INDEX($F$64:$F$500,MAX(1,$AA517))))</f>
        <v>미래에셋 WRAP → 모임통장</v>
      </c>
      <c r="G517" s="90" t="str">
        <f>IF($AA517=0,"",LEFT(INDEX($G$64:$G$500,MAX(1,$AA517)),40)&amp;IF(LEN(INDEX($G$64:$G$500,MAX(1,$AA517)))&gt;40,"…",""))</f>
        <v>RAW 2347행 · WRAP 이체출금 50,000원. WRAP에서 나가…</v>
      </c>
      <c r="H517" s="311" t="str">
        <f>IF($AA517=0,"",TEXT(INDEX($H$64:$H$500,MAX(1,$AA517)),"yyyy-mm"))</f>
        <v>2026-10</v>
      </c>
      <c r="I517" s="311" t="str">
        <f>IF($AA517=0,"",IF(INDEX($I$64:$I$500,MAX(1,$AA517))="","",INDEX($I$64:$I$500,MAX(1,$AA517))))</f>
        <v>OK</v>
      </c>
      <c r="J517" s="311" t="str">
        <f>IF($AA517=0,"",IF(INDEX($J$64:$J$500,MAX(1,$AA517))="","",INDEX($J$64:$J$500,MAX(1,$AA517))))</f>
        <v>미래에셋_WRAP형CMA</v>
      </c>
      <c r="K517" s="311" t="str">
        <f>IF($AA517=0,"",IF(INDEX($K$64:$K$500,MAX(1,$AA517))="","",INDEX($K$64:$K$500,MAX(1,$AA517))))</f>
        <v>모임통장</v>
      </c>
      <c r="L517" s="311" t="str">
        <f>IF($AA517=0,"",HYPERLINK("#'잔액'!A"&amp;($AA517+63),"원장 "&amp;($AA517+63)&amp;"행 ↗"))</f>
        <v>원장 241행 ↗</v>
      </c>
      <c r="AA517">
        <f>IFERROR(MATCH(($AA$501-1)*22+15,$Z$64:$Z$500,0),0)</f>
        <v>178</v>
      </c>
    </row>
    <row r="518" hidden="0" outlineLevel="0" ht="54" customHeight="1">
      <c r="A518" s="311" t="str">
        <f>IF($AA518=0,"",TEXT(INDEX($A$64:$A$500,MAX(1,$AA518)),IF(INDEX($L$64:$L$500,MAX(1,$AA518))="원본WRAP","yyyy-mm","m/d hh:mm")))</f>
        <v>10/2 14:56</v>
      </c>
      <c r="B518" s="311" t="str">
        <f>IF($AA518=0,"",IF(INDEX($B$64:$B$500,MAX(1,$AA518))="","",INDEX($B$64:$B$500,MAX(1,$AA518))))</f>
        <v>사용</v>
      </c>
      <c r="C518" s="311" t="str">
        <f>IF($AA518=0,"",IF(INDEX($C$64:$C$500,MAX(1,$AA518))="","",INDEX($C$64:$C$500,MAX(1,$AA518))))</f>
        <v>생활비</v>
      </c>
      <c r="D518" s="311" t="str">
        <f>IF($AA518=0,"",IF(INDEX($D$64:$D$500,MAX(1,$AA518))="","",INDEX($D$64:$D$500,MAX(1,$AA518))))</f>
        <v>지출</v>
      </c>
      <c r="E518" s="28">
        <f>IF($AA518=0,"",INDEX($E$64:$E$500,MAX(1,$AA518)))</f>
        <v>11900</v>
      </c>
      <c r="F518" s="311" t="str">
        <f>IF($AA518=0,"",IF(INDEX($F$64:$F$500,MAX(1,$AA518))="","",INDEX($F$64:$F$500,MAX(1,$AA518))))</f>
        <v>두끼떡볶이</v>
      </c>
      <c r="G518" s="90" t="str">
        <f>IF($AA518=0,"",LEFT(INDEX($G$64:$G$500,MAX(1,$AA518)),40)&amp;IF(LEN(INDEX($G$64:$G$500,MAX(1,$AA518)))&gt;40,"…",""))</f>
        <v>RAW 2334행 · WRAP 출금 11,900원. 실제 자산은 미래에셋…</v>
      </c>
      <c r="H518" s="311" t="str">
        <f>IF($AA518=0,"",TEXT(INDEX($H$64:$H$500,MAX(1,$AA518)),"yyyy-mm"))</f>
        <v>2026-10</v>
      </c>
      <c r="I518" s="311" t="str">
        <f>IF($AA518=0,"",IF(INDEX($I$64:$I$500,MAX(1,$AA518))="","",INDEX($I$64:$I$500,MAX(1,$AA518))))</f>
        <v>OK</v>
      </c>
      <c r="J518" s="311" t="str">
        <f>IF($AA518=0,"",IF(INDEX($J$64:$J$500,MAX(1,$AA518))="","",INDEX($J$64:$J$500,MAX(1,$AA518))))</f>
        <v>미래에셋_WRAP형CMA</v>
      </c>
      <c r="K518" s="311" t="str">
        <f>IF($AA518=0,"",IF(INDEX($K$64:$K$500,MAX(1,$AA518))="","",INDEX($K$64:$K$500,MAX(1,$AA518))))</f>
        <v>외부</v>
      </c>
      <c r="L518" s="311" t="str">
        <f>IF($AA518=0,"",HYPERLINK("#'잔액'!A"&amp;($AA518+63),"원장 "&amp;($AA518+63)&amp;"행 ↗"))</f>
        <v>원장 242행 ↗</v>
      </c>
      <c r="AA518">
        <f>IFERROR(MATCH(($AA$501-1)*22+16,$Z$64:$Z$500,0),0)</f>
        <v>179</v>
      </c>
    </row>
    <row r="519" hidden="0" outlineLevel="0" ht="54" customHeight="1">
      <c r="A519" s="311">
        <f>IF($AA519=0,"",TEXT(INDEX($A$64:$A$500,MAX(1,$AA519)),IF(INDEX($L$64:$L$500,MAX(1,$AA519))="원본WRAP","yyyy-mm","m/d hh:mm")))</f>
      </c>
      <c r="B519" s="311">
        <f>IF($AA519=0,"",IF(INDEX($B$64:$B$500,MAX(1,$AA519))="","",INDEX($B$64:$B$500,MAX(1,$AA519))))</f>
      </c>
      <c r="C519" s="311">
        <f>IF($AA519=0,"",IF(INDEX($C$64:$C$500,MAX(1,$AA519))="","",INDEX($C$64:$C$500,MAX(1,$AA519))))</f>
      </c>
      <c r="D519" s="311">
        <f>IF($AA519=0,"",IF(INDEX($D$64:$D$500,MAX(1,$AA519))="","",INDEX($D$64:$D$500,MAX(1,$AA519))))</f>
      </c>
      <c r="E519" s="28">
        <f>IF($AA519=0,"",INDEX($E$64:$E$500,MAX(1,$AA519)))</f>
      </c>
      <c r="F519" s="311">
        <f>IF($AA519=0,"",IF(INDEX($F$64:$F$500,MAX(1,$AA519))="","",INDEX($F$64:$F$500,MAX(1,$AA519))))</f>
      </c>
      <c r="G519" s="90">
        <f>IF($AA519=0,"",LEFT(INDEX($G$64:$G$500,MAX(1,$AA519)),40)&amp;IF(LEN(INDEX($G$64:$G$500,MAX(1,$AA519)))&gt;40,"…",""))</f>
      </c>
      <c r="H519" s="311">
        <f>IF($AA519=0,"",TEXT(INDEX($H$64:$H$500,MAX(1,$AA519)),"yyyy-mm"))</f>
      </c>
      <c r="I519" s="311">
        <f>IF($AA519=0,"",IF(INDEX($I$64:$I$500,MAX(1,$AA519))="","",INDEX($I$64:$I$500,MAX(1,$AA519))))</f>
      </c>
      <c r="J519" s="311">
        <f>IF($AA519=0,"",IF(INDEX($J$64:$J$500,MAX(1,$AA519))="","",INDEX($J$64:$J$500,MAX(1,$AA519))))</f>
      </c>
      <c r="K519" s="311">
        <f>IF($AA519=0,"",IF(INDEX($K$64:$K$500,MAX(1,$AA519))="","",INDEX($K$64:$K$500,MAX(1,$AA519))))</f>
      </c>
      <c r="L519" s="311">
        <f>IF($AA519=0,"",HYPERLINK("#'잔액'!A"&amp;($AA519+63),"원장 "&amp;($AA519+63)&amp;"행 ↗"))</f>
      </c>
      <c r="AA519">
        <f>IFERROR(MATCH(($AA$501-1)*22+17,$Z$64:$Z$500,0),0)</f>
        <v>0</v>
      </c>
    </row>
    <row r="520" hidden="0" outlineLevel="0" ht="54" customHeight="1">
      <c r="A520" s="311">
        <f>IF($AA520=0,"",TEXT(INDEX($A$64:$A$500,MAX(1,$AA520)),IF(INDEX($L$64:$L$500,MAX(1,$AA520))="원본WRAP","yyyy-mm","m/d hh:mm")))</f>
      </c>
      <c r="B520" s="311">
        <f>IF($AA520=0,"",IF(INDEX($B$64:$B$500,MAX(1,$AA520))="","",INDEX($B$64:$B$500,MAX(1,$AA520))))</f>
      </c>
      <c r="C520" s="311">
        <f>IF($AA520=0,"",IF(INDEX($C$64:$C$500,MAX(1,$AA520))="","",INDEX($C$64:$C$500,MAX(1,$AA520))))</f>
      </c>
      <c r="D520" s="311">
        <f>IF($AA520=0,"",IF(INDEX($D$64:$D$500,MAX(1,$AA520))="","",INDEX($D$64:$D$500,MAX(1,$AA520))))</f>
      </c>
      <c r="E520" s="28">
        <f>IF($AA520=0,"",INDEX($E$64:$E$500,MAX(1,$AA520)))</f>
      </c>
      <c r="F520" s="311">
        <f>IF($AA520=0,"",IF(INDEX($F$64:$F$500,MAX(1,$AA520))="","",INDEX($F$64:$F$500,MAX(1,$AA520))))</f>
      </c>
      <c r="G520" s="90">
        <f>IF($AA520=0,"",LEFT(INDEX($G$64:$G$500,MAX(1,$AA520)),40)&amp;IF(LEN(INDEX($G$64:$G$500,MAX(1,$AA520)))&gt;40,"…",""))</f>
      </c>
      <c r="H520" s="311">
        <f>IF($AA520=0,"",TEXT(INDEX($H$64:$H$500,MAX(1,$AA520)),"yyyy-mm"))</f>
      </c>
      <c r="I520" s="311">
        <f>IF($AA520=0,"",IF(INDEX($I$64:$I$500,MAX(1,$AA520))="","",INDEX($I$64:$I$500,MAX(1,$AA520))))</f>
      </c>
      <c r="J520" s="311">
        <f>IF($AA520=0,"",IF(INDEX($J$64:$J$500,MAX(1,$AA520))="","",INDEX($J$64:$J$500,MAX(1,$AA520))))</f>
      </c>
      <c r="K520" s="311">
        <f>IF($AA520=0,"",IF(INDEX($K$64:$K$500,MAX(1,$AA520))="","",INDEX($K$64:$K$500,MAX(1,$AA520))))</f>
      </c>
      <c r="L520" s="311">
        <f>IF($AA520=0,"",HYPERLINK("#'잔액'!A"&amp;($AA520+63),"원장 "&amp;($AA520+63)&amp;"행 ↗"))</f>
      </c>
      <c r="AA520">
        <f>IFERROR(MATCH(($AA$501-1)*22+18,$Z$64:$Z$500,0),0)</f>
        <v>0</v>
      </c>
    </row>
    <row r="521" hidden="0" outlineLevel="0" ht="54" customHeight="1">
      <c r="A521" s="311">
        <f>IF($AA521=0,"",TEXT(INDEX($A$64:$A$500,MAX(1,$AA521)),IF(INDEX($L$64:$L$500,MAX(1,$AA521))="원본WRAP","yyyy-mm","m/d hh:mm")))</f>
      </c>
      <c r="B521" s="311">
        <f>IF($AA521=0,"",IF(INDEX($B$64:$B$500,MAX(1,$AA521))="","",INDEX($B$64:$B$500,MAX(1,$AA521))))</f>
      </c>
      <c r="C521" s="311">
        <f>IF($AA521=0,"",IF(INDEX($C$64:$C$500,MAX(1,$AA521))="","",INDEX($C$64:$C$500,MAX(1,$AA521))))</f>
      </c>
      <c r="D521" s="311">
        <f>IF($AA521=0,"",IF(INDEX($D$64:$D$500,MAX(1,$AA521))="","",INDEX($D$64:$D$500,MAX(1,$AA521))))</f>
      </c>
      <c r="E521" s="28">
        <f>IF($AA521=0,"",INDEX($E$64:$E$500,MAX(1,$AA521)))</f>
      </c>
      <c r="F521" s="311">
        <f>IF($AA521=0,"",IF(INDEX($F$64:$F$500,MAX(1,$AA521))="","",INDEX($F$64:$F$500,MAX(1,$AA521))))</f>
      </c>
      <c r="G521" s="90">
        <f>IF($AA521=0,"",LEFT(INDEX($G$64:$G$500,MAX(1,$AA521)),40)&amp;IF(LEN(INDEX($G$64:$G$500,MAX(1,$AA521)))&gt;40,"…",""))</f>
      </c>
      <c r="H521" s="311">
        <f>IF($AA521=0,"",TEXT(INDEX($H$64:$H$500,MAX(1,$AA521)),"yyyy-mm"))</f>
      </c>
      <c r="I521" s="311">
        <f>IF($AA521=0,"",IF(INDEX($I$64:$I$500,MAX(1,$AA521))="","",INDEX($I$64:$I$500,MAX(1,$AA521))))</f>
      </c>
      <c r="J521" s="311">
        <f>IF($AA521=0,"",IF(INDEX($J$64:$J$500,MAX(1,$AA521))="","",INDEX($J$64:$J$500,MAX(1,$AA521))))</f>
      </c>
      <c r="K521" s="311">
        <f>IF($AA521=0,"",IF(INDEX($K$64:$K$500,MAX(1,$AA521))="","",INDEX($K$64:$K$500,MAX(1,$AA521))))</f>
      </c>
      <c r="L521" s="311">
        <f>IF($AA521=0,"",HYPERLINK("#'잔액'!A"&amp;($AA521+63),"원장 "&amp;($AA521+63)&amp;"행 ↗"))</f>
      </c>
      <c r="AA521">
        <f>IFERROR(MATCH(($AA$501-1)*22+19,$Z$64:$Z$500,0),0)</f>
        <v>0</v>
      </c>
    </row>
    <row r="522" hidden="0" outlineLevel="0" ht="54" customHeight="1">
      <c r="A522" s="311">
        <f>IF($AA522=0,"",TEXT(INDEX($A$64:$A$500,MAX(1,$AA522)),IF(INDEX($L$64:$L$500,MAX(1,$AA522))="원본WRAP","yyyy-mm","m/d hh:mm")))</f>
      </c>
      <c r="B522" s="311">
        <f>IF($AA522=0,"",IF(INDEX($B$64:$B$500,MAX(1,$AA522))="","",INDEX($B$64:$B$500,MAX(1,$AA522))))</f>
      </c>
      <c r="C522" s="311">
        <f>IF($AA522=0,"",IF(INDEX($C$64:$C$500,MAX(1,$AA522))="","",INDEX($C$64:$C$500,MAX(1,$AA522))))</f>
      </c>
      <c r="D522" s="311">
        <f>IF($AA522=0,"",IF(INDEX($D$64:$D$500,MAX(1,$AA522))="","",INDEX($D$64:$D$500,MAX(1,$AA522))))</f>
      </c>
      <c r="E522" s="28">
        <f>IF($AA522=0,"",INDEX($E$64:$E$500,MAX(1,$AA522)))</f>
      </c>
      <c r="F522" s="311">
        <f>IF($AA522=0,"",IF(INDEX($F$64:$F$500,MAX(1,$AA522))="","",INDEX($F$64:$F$500,MAX(1,$AA522))))</f>
      </c>
      <c r="G522" s="90">
        <f>IF($AA522=0,"",LEFT(INDEX($G$64:$G$500,MAX(1,$AA522)),40)&amp;IF(LEN(INDEX($G$64:$G$500,MAX(1,$AA522)))&gt;40,"…",""))</f>
      </c>
      <c r="H522" s="311">
        <f>IF($AA522=0,"",TEXT(INDEX($H$64:$H$500,MAX(1,$AA522)),"yyyy-mm"))</f>
      </c>
      <c r="I522" s="311">
        <f>IF($AA522=0,"",IF(INDEX($I$64:$I$500,MAX(1,$AA522))="","",INDEX($I$64:$I$500,MAX(1,$AA522))))</f>
      </c>
      <c r="J522" s="311">
        <f>IF($AA522=0,"",IF(INDEX($J$64:$J$500,MAX(1,$AA522))="","",INDEX($J$64:$J$500,MAX(1,$AA522))))</f>
      </c>
      <c r="K522" s="311">
        <f>IF($AA522=0,"",IF(INDEX($K$64:$K$500,MAX(1,$AA522))="","",INDEX($K$64:$K$500,MAX(1,$AA522))))</f>
      </c>
      <c r="L522" s="311">
        <f>IF($AA522=0,"",HYPERLINK("#'잔액'!A"&amp;($AA522+63),"원장 "&amp;($AA522+63)&amp;"행 ↗"))</f>
      </c>
      <c r="AA522">
        <f>IFERROR(MATCH(($AA$501-1)*22+20,$Z$64:$Z$500,0),0)</f>
        <v>0</v>
      </c>
    </row>
    <row r="523" hidden="0" outlineLevel="0" ht="54" customHeight="1">
      <c r="A523" s="311">
        <f>IF($AA523=0,"",TEXT(INDEX($A$64:$A$500,MAX(1,$AA523)),IF(INDEX($L$64:$L$500,MAX(1,$AA523))="원본WRAP","yyyy-mm","m/d hh:mm")))</f>
      </c>
      <c r="B523" s="311">
        <f>IF($AA523=0,"",IF(INDEX($B$64:$B$500,MAX(1,$AA523))="","",INDEX($B$64:$B$500,MAX(1,$AA523))))</f>
      </c>
      <c r="C523" s="311">
        <f>IF($AA523=0,"",IF(INDEX($C$64:$C$500,MAX(1,$AA523))="","",INDEX($C$64:$C$500,MAX(1,$AA523))))</f>
      </c>
      <c r="D523" s="311">
        <f>IF($AA523=0,"",IF(INDEX($D$64:$D$500,MAX(1,$AA523))="","",INDEX($D$64:$D$500,MAX(1,$AA523))))</f>
      </c>
      <c r="E523" s="28">
        <f>IF($AA523=0,"",INDEX($E$64:$E$500,MAX(1,$AA523)))</f>
      </c>
      <c r="F523" s="311">
        <f>IF($AA523=0,"",IF(INDEX($F$64:$F$500,MAX(1,$AA523))="","",INDEX($F$64:$F$500,MAX(1,$AA523))))</f>
      </c>
      <c r="G523" s="90">
        <f>IF($AA523=0,"",LEFT(INDEX($G$64:$G$500,MAX(1,$AA523)),40)&amp;IF(LEN(INDEX($G$64:$G$500,MAX(1,$AA523)))&gt;40,"…",""))</f>
      </c>
      <c r="H523" s="311">
        <f>IF($AA523=0,"",TEXT(INDEX($H$64:$H$500,MAX(1,$AA523)),"yyyy-mm"))</f>
      </c>
      <c r="I523" s="311">
        <f>IF($AA523=0,"",IF(INDEX($I$64:$I$500,MAX(1,$AA523))="","",INDEX($I$64:$I$500,MAX(1,$AA523))))</f>
      </c>
      <c r="J523" s="311">
        <f>IF($AA523=0,"",IF(INDEX($J$64:$J$500,MAX(1,$AA523))="","",INDEX($J$64:$J$500,MAX(1,$AA523))))</f>
      </c>
      <c r="K523" s="311">
        <f>IF($AA523=0,"",IF(INDEX($K$64:$K$500,MAX(1,$AA523))="","",INDEX($K$64:$K$500,MAX(1,$AA523))))</f>
      </c>
      <c r="L523" s="311">
        <f>IF($AA523=0,"",HYPERLINK("#'잔액'!A"&amp;($AA523+63),"원장 "&amp;($AA523+63)&amp;"행 ↗"))</f>
      </c>
      <c r="AA523">
        <f>IFERROR(MATCH(($AA$501-1)*22+21,$Z$64:$Z$500,0),0)</f>
        <v>0</v>
      </c>
    </row>
    <row r="524" hidden="0" outlineLevel="0" ht="54" customHeight="1">
      <c r="A524" s="311">
        <f>IF($AA524=0,"",TEXT(INDEX($A$64:$A$500,MAX(1,$AA524)),IF(INDEX($L$64:$L$500,MAX(1,$AA524))="원본WRAP","yyyy-mm","m/d hh:mm")))</f>
      </c>
      <c r="B524" s="311">
        <f>IF($AA524=0,"",IF(INDEX($B$64:$B$500,MAX(1,$AA524))="","",INDEX($B$64:$B$500,MAX(1,$AA524))))</f>
      </c>
      <c r="C524" s="311">
        <f>IF($AA524=0,"",IF(INDEX($C$64:$C$500,MAX(1,$AA524))="","",INDEX($C$64:$C$500,MAX(1,$AA524))))</f>
      </c>
      <c r="D524" s="311">
        <f>IF($AA524=0,"",IF(INDEX($D$64:$D$500,MAX(1,$AA524))="","",INDEX($D$64:$D$500,MAX(1,$AA524))))</f>
      </c>
      <c r="E524" s="28">
        <f>IF($AA524=0,"",INDEX($E$64:$E$500,MAX(1,$AA524)))</f>
      </c>
      <c r="F524" s="311">
        <f>IF($AA524=0,"",IF(INDEX($F$64:$F$500,MAX(1,$AA524))="","",INDEX($F$64:$F$500,MAX(1,$AA524))))</f>
      </c>
      <c r="G524" s="90">
        <f>IF($AA524=0,"",LEFT(INDEX($G$64:$G$500,MAX(1,$AA524)),40)&amp;IF(LEN(INDEX($G$64:$G$500,MAX(1,$AA524)))&gt;40,"…",""))</f>
      </c>
      <c r="H524" s="311">
        <f>IF($AA524=0,"",TEXT(INDEX($H$64:$H$500,MAX(1,$AA524)),"yyyy-mm"))</f>
      </c>
      <c r="I524" s="311">
        <f>IF($AA524=0,"",IF(INDEX($I$64:$I$500,MAX(1,$AA524))="","",INDEX($I$64:$I$500,MAX(1,$AA524))))</f>
      </c>
      <c r="J524" s="311">
        <f>IF($AA524=0,"",IF(INDEX($J$64:$J$500,MAX(1,$AA524))="","",INDEX($J$64:$J$500,MAX(1,$AA524))))</f>
      </c>
      <c r="K524" s="311">
        <f>IF($AA524=0,"",IF(INDEX($K$64:$K$500,MAX(1,$AA524))="","",INDEX($K$64:$K$500,MAX(1,$AA524))))</f>
      </c>
      <c r="L524" s="311">
        <f>IF($AA524=0,"",HYPERLINK("#'잔액'!A"&amp;($AA524+63),"원장 "&amp;($AA524+63)&amp;"행 ↗"))</f>
      </c>
      <c r="AA524">
        <f>IFERROR(MATCH(($AA$501-1)*22+22,$Z$64:$Z$500,0),0)</f>
        <v>0</v>
      </c>
    </row>
    <row r="525" hidden="0" outlineLevel="0" ht="40" customHeight="1">
      <c r="A525" s="349" t="inlineStr">
        <is>
          <t xml:space="preserve">선택월 실제 입력 원장입니다. 자동 결제대금 분류는 상단 계정 잔액에 별도로 반영되며 새 은행 거래가 아닙니다. 원장 편집은 왼쪽 +를 펼칩니다.</t>
        </is>
      </c>
    </row>
  </sheetData>
  <mergeCells count="73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  <mergeCell ref="C501:H501"/>
    <mergeCell ref="I501:L501"/>
    <mergeCell ref="A525:L525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whole" sqref="E35" xr:uid="{00000000-0002-0000-0300-000002000000}">
      <formula1>1</formula1>
      <formula2>$F$35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$I$35</formula2>
    </dataValidation>
    <dataValidation type="list" sqref="B3" allowBlank="0" showDropDown="0" showInputMessage="1" showErrorMessage="1" errorStyle="stop" promptTitle="조회월 선택" prompt="조회월을 고르면 상단 잔액·내역과 하단 WRAP 원장이 같은 월로 바뀝니다." errorTitle="목록에서 월을 선택하세요" error="조회월은 목록에 있는 2026년 3~12월 중에서 선택해주세요.">
      <formula1>$C$21:$L$21</formula1>
    </dataValidation>
    <dataValidation type="whole" operator="between" sqref="B501" allowBlank="0" showInputMessage="1" showErrorMessage="1" errorStyle="stop" promptTitle="선택월 원장 페이지" prompt="표시된 페이지 범위 안의 정수를 입력하세요." errorTitle="페이지 확인" error="현재 월의 페이지 범위 안에서 선택하세요.">
      <formula1>1</formula1>
      <formula2>$AB$501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I33-50000-'_예비비계산'!AG10</f>
        <v>1862851</v>
      </c>
      <c r="I38" s="27">
        <f>SUM(I4,I9,I14,I19,I24,I29)-50000-'_예비비계산'!AH10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46313.0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10/18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10/18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10/18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10/18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10/18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10/18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10/18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10/18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10/18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$2486&gt;=D13)*(RAW!$A$2323:$A$2486&lt;D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63000</v>
      </c>
      <c r="E14" s="35">
        <f>SUMPRODUCT((RAW!$A$2323:$A$2486&gt;=E13)*(RAW!$A$2323:$A$2486&lt;E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20000</v>
      </c>
      <c r="F14" s="35">
        <f>SUMPRODUCT((RAW!$A$2323:$A$2486&gt;=F13)*(RAW!$A$2323:$A$2486&lt;F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23000</v>
      </c>
      <c r="G14" s="35">
        <f>SUMPRODUCT((RAW!$A$2323:$A$2486&gt;=G13)*(RAW!$A$2323:$A$2486&lt;G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63000</v>
      </c>
      <c r="H14" s="35">
        <f>SUMPRODUCT((RAW!$A$2323:$A$2486&gt;=H13)*(RAW!$A$2323:$A$2486&lt;H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94000</v>
      </c>
      <c r="I14" s="45">
        <f>SUM(B14:H14)</f>
        <v>508000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10/18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경조·선물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일회성전자")+SUMIFS(RAW!$K$2:$K$10018,RAW!$A$2:$A$10018,"&gt;="&amp;F13,RAW!$A$2:$A$10018,"&lt;"&amp;F13+1,RAW!$H$2:$H$10018,"지출",RAW!$L$2:$L$10018,"본인",RAW!$J$2:$J$10018,"여행")</f>
        <v>22900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경조·선물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일회성전자")+SUMIFS(RAW!$K$2:$K$10018,RAW!$A$2:$A$10018,"&gt;="&amp;G13,RAW!$A$2:$A$10018,"&lt;"&amp;G13+1,RAW!$H$2:$H$10018,"지출",RAW!$L$2:$L$10018,"본인",RAW!$J$2:$J$10018,"여행")</f>
        <v>61630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경조·선물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일회성전자")+SUMIFS(RAW!$K$2:$K$10018,RAW!$A$2:$A$10018,"&gt;="&amp;H13,RAW!$A$2:$A$10018,"&lt;"&amp;H13+1,RAW!$H$2:$H$10018,"지출",RAW!$L$2:$L$10018,"본인",RAW!$J$2:$J$10018,"여행")</f>
        <v>92630</v>
      </c>
      <c r="I15" s="45">
        <f>SUM(B15:H15)</f>
        <v>501080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10/18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  <v>100</v>
      </c>
      <c r="G16" s="27">
        <f t="shared" si="3"/>
        <v>1370</v>
      </c>
      <c r="H16" s="27">
        <f t="shared" si="3"/>
        <v>1370</v>
      </c>
      <c r="I16" s="45">
        <f>SUM(B16:H16)</f>
        <v>6920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10/18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10/18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10/18 기준 RAW 확인 · 10/04 거래</t>
        </is>
      </c>
    </row>
    <row r="19" spans="1:22" ht="29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10/18 RAW 집계에 없음 · 예정액 유지</t>
        </is>
      </c>
    </row>
    <row r="20" spans="1:22" ht="29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10/18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10/18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10/18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10/18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1501000</v>
      </c>
      <c r="N28" s="367"/>
      <c r="O28" s="429" t="s">
        <v>234</v>
      </c>
      <c r="P28" s="367"/>
      <c r="Q28" s="431">
        <f>'10월계산기'!W12</f>
        <v>1501000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1501000</v>
      </c>
      <c r="N29" s="367"/>
      <c r="O29" s="429" t="s">
        <v>239</v>
      </c>
      <c r="P29" s="367"/>
      <c r="Q29" s="431">
        <f>'10월계산기'!W13</f>
        <v>1501000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24100</v>
      </c>
      <c r="N30" s="367"/>
      <c r="O30" s="429" t="s">
        <v>514</v>
      </c>
      <c r="P30" s="367"/>
      <c r="Q30" s="431">
        <f>SUM(I4,I9,I14,I19,I24,I29)-I33</f>
        <v>24100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s">
        <v>705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1476900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I33-'_예비비계산'!AG11</f>
        <v>1476900</v>
      </c>
      <c r="I38" s="27">
        <f>SUM(I4,I9,I14,I19,I24,I29)-'_예비비계산'!AH11</f>
        <v>1501000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1995922</v>
      </c>
      <c r="I44" s="37">
        <f>SUM(I37:I42)+I47-I43</f>
        <v>2024000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-1486639</v>
      </c>
      <c r="I45" s="113">
        <f>IF(H45="","",C41-I44)</f>
        <v>-1514717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44" customHeight="1">
      <c r="A53" s="96">
        <f>INT(RAW!A2474)</f>
        <v>46312.0</v>
      </c>
      <c r="B53" s="35" t="inlineStr">
        <is>
          <t xml:space="preserve">선불금</t>
        </is>
      </c>
      <c r="C53" s="101" t="inlineStr">
        <is>
          <t xml:space="preserve">플라잉 더치</t>
        </is>
      </c>
      <c r="D53" s="35">
        <f>RAW!K2474</f>
        <v>17000</v>
      </c>
      <c r="E53" s="35"/>
      <c r="F53" s="27">
        <f t="shared" si="6"/>
        <v>17000</v>
      </c>
      <c r="G53" s="35">
        <f>RAW!K2474</f>
        <v>17000</v>
      </c>
      <c r="H53" s="27">
        <f t="shared" si="7"/>
        <v>0</v>
      </c>
      <c r="I53" s="101" t="inlineStr">
        <is>
          <t xml:space="preserve">카카오페이머니: 달력에 1회 집계, 추가 합산 0원.</t>
        </is>
      </c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239000</v>
      </c>
      <c r="N66" s="40">
        <f>'_예비비계산'!AD11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471" t="inlineStr">
        <is>
          <t xml:space="preserve">생신 본인 사용 239,000 = 명절비 200,000 + 임시보관 39,000. 기존 현금 납입과 연결; WRAP·월급 재차감 없음.</t>
        </is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479" t="inlineStr">
        <is>
          <t xml:space="preserve">10/1~18 RAW 164건. 기존 144건 유지 + 신규 20건. 본인 생활비 177,160원 추가; 공금 사용·카카오페이 충전은 중복 소비 제외.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inlineStr">
        <is>
          <t xml:space="preserve">10/18 실제 / 예정 / 공동자금 · 달력 합계와 연결</t>
        </is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f>SUMIFS(RAW!$G$2323:$G$2486,RAW!$C$2323:$C$2486,"모임통장",RAW!$H$2323:$H$2486,"지출")</f>
        <v>357230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inlineStr">
        <is>
          <t xml:space="preserve">용돈 500,000 + 식사 139,000 = 639,000. 본인 부담 239,000 + 형제자매 400,000.</t>
        </is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f>SUMIFS(RAW!$G$2323:$G$2486,RAW!$C$2323:$C$2486,"가족통장",RAW!$H$2323:$H$2486,"지출")+SUMIFS(RAW!$G$2323:$G$2486,RAW!$C$2323:$C$2486,"가족통장",RAW!$H$2323:$H$2486,"이체지출")</f>
        <v>800000</v>
      </c>
      <c r="F78" s="473"/>
      <c r="G78" s="473"/>
      <c r="H78" s="474"/>
      <c r="J78" s="472" t="inlineStr">
        <is>
          <t xml:space="preserve">실제 출금 800,000 = 행사 639,000 + 형제자매 반환 100,000 + 본인 원금 회수 61,000. 식사 정산 중복 제외.</t>
        </is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239000</v>
      </c>
      <c r="F79" s="473"/>
      <c r="G79" s="473"/>
      <c r="H79" s="474"/>
      <c r="J79" s="475" t="inlineStr">
        <is>
          <t xml:space="preserve">본인 납입 300,000 − 회수 61,000 = 사용 239,000. 가족통장 이자 25원 잔존. WRAP·당월 월급 중복 차감 없음.</t>
        </is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f>SUMIFS(RAW!$G$2323:$G$2486,RAW!$J$2323:$J$2486,"대납",RAW!$L$2323:$L$2486,"정산대기",RAW!$H$2323:$H$2486,"지출")</f>
        <v>103600</v>
      </c>
      <c r="F80" s="473"/>
      <c r="G80" s="473"/>
      <c r="H80" s="474"/>
      <c r="J80" s="472" t="inlineStr">
        <is>
          <t xml:space="preserve">사용자 확인: 10/12·10/14 각 51,800원 철도 대납. 회수 입금 없음. 미회수 합계 103,600원, 본인 소비 제외.</t>
        </is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1476900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1501000</v>
      </c>
      <c r="F82" s="473"/>
      <c r="G82" s="473"/>
      <c r="H82" s="474"/>
      <c r="J82" s="472" t="inlineStr">
        <is>
          <t xml:space="preserve">각 본인 소비 거래를 천원 단위 올림해 합산. 대납 2건·목적자금·공동자금·카드대금 납부 제외.</t>
        </is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COUNT(RAW!G2323:G2486)-164</f>
        <v>0</v>
      </c>
      <c r="F83" s="473"/>
      <c r="G83" s="473"/>
      <c r="H83" s="474"/>
      <c r="J83" s="475" t="inlineStr">
        <is>
          <t xml:space="preserve">0이면 최신 10/18 첨부 RAW 164건 모두 유지. 기존 분류·행번호 보존.</t>
        </is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I33-1476900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SUM(I4,I9,I14,I19,I24,I29)-1501000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-1995922</v>
      </c>
      <c r="F86" s="473"/>
      <c r="G86" s="473"/>
      <c r="H86" s="474"/>
      <c r="J86" s="475" t="inlineStr">
        <is>
          <t xml:space="preserve">급여 미입금: 10/18 중간 집계이며 월말 결과가 아님</t>
        </is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323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323000</v>
      </c>
      <c r="AA3">
        <v>323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75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75000</v>
      </c>
      <c r="AA4">
        <v>75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126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126000</v>
      </c>
      <c r="AA6">
        <v>126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147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147000</v>
      </c>
      <c r="AA7">
        <v>147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277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277000</v>
      </c>
      <c r="AA9">
        <v>277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1501000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1501000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1501000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529"/>
      <c r="H80" s="532"/>
      <c r="I80" s="535"/>
      <c r="J80" s="532"/>
      <c r="K80" s="529"/>
      <c r="L80" s="539"/>
      <c r="M80" s="535"/>
      <c r="N80" s="543"/>
      <c r="O80" s="546"/>
      <c r="P80" s="543"/>
      <c r="Q80" s="529"/>
      <c r="R80" s="532"/>
      <c r="S80" s="529"/>
      <c r="T80" s="532"/>
      <c r="U80" s="529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527"/>
      <c r="G81" s="530"/>
      <c r="H81" s="527"/>
      <c r="I81" s="536"/>
      <c r="J81" s="527"/>
      <c r="K81" s="530"/>
      <c r="L81" s="540"/>
      <c r="M81" s="536"/>
      <c r="N81" s="544"/>
      <c r="O81" s="541"/>
      <c r="P81" s="527"/>
      <c r="Q81" s="530"/>
      <c r="R81" s="527"/>
      <c r="S81" s="530"/>
      <c r="T81" s="527"/>
      <c r="U81" s="530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527"/>
      <c r="G82" s="530"/>
      <c r="H82" s="533"/>
      <c r="I82" s="530"/>
      <c r="J82" s="527"/>
      <c r="K82" s="530"/>
      <c r="L82" s="540"/>
      <c r="M82" s="536"/>
      <c r="N82" s="544"/>
      <c r="O82" s="541"/>
      <c r="P82" s="527"/>
      <c r="Q82" s="530"/>
      <c r="R82" s="527"/>
      <c r="S82" s="530"/>
      <c r="T82" s="527"/>
      <c r="U82" s="530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527"/>
      <c r="G83" s="530"/>
      <c r="H83" s="533"/>
      <c r="I83" s="530"/>
      <c r="J83" s="527"/>
      <c r="K83" s="537"/>
      <c r="L83" s="533"/>
      <c r="M83" s="541"/>
      <c r="N83" s="544"/>
      <c r="O83" s="541"/>
      <c r="P83" s="527"/>
      <c r="Q83" s="530"/>
      <c r="R83" s="527"/>
      <c r="S83" s="530"/>
      <c r="T83" s="527"/>
      <c r="U83" s="530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528"/>
      <c r="G84" s="531"/>
      <c r="H84" s="534"/>
      <c r="I84" s="531"/>
      <c r="J84" s="528"/>
      <c r="K84" s="538"/>
      <c r="L84" s="534"/>
      <c r="M84" s="542"/>
      <c r="N84" s="545"/>
      <c r="O84" s="542"/>
      <c r="P84" s="528"/>
      <c r="Q84" s="531"/>
      <c r="R84" s="527"/>
      <c r="S84" s="531"/>
      <c r="T84" s="528"/>
      <c r="U84" s="531"/>
      <c r="V84" s="127"/>
      <c r="W84" s="127"/>
    </row>
    <row r="85" spans="1:23" s="106" customFormat="1" ht="12" customHeight="1">
      <c r="A85" s="127"/>
      <c r="B85" s="532"/>
      <c r="C85" s="529"/>
      <c r="D85" s="539"/>
      <c r="E85" s="548"/>
      <c r="F85" s="532"/>
      <c r="G85" s="529"/>
      <c r="H85" s="532"/>
      <c r="I85" s="546"/>
      <c r="J85" s="543"/>
      <c r="K85" s="546"/>
      <c r="L85" s="543"/>
      <c r="M85" s="535"/>
      <c r="N85" s="549"/>
      <c r="O85" s="552"/>
      <c r="P85" s="549"/>
      <c r="Q85" s="552"/>
      <c r="R85" s="549"/>
      <c r="S85" s="552"/>
      <c r="T85" s="549"/>
      <c r="U85" s="552"/>
      <c r="V85" s="127"/>
      <c r="W85" s="127"/>
    </row>
    <row r="86" spans="1:23" s="106" customFormat="1" ht="12" customHeight="1">
      <c r="A86" s="127"/>
      <c r="B86" s="527"/>
      <c r="C86" s="530"/>
      <c r="D86" s="540"/>
      <c r="E86" s="537"/>
      <c r="F86" s="527"/>
      <c r="G86" s="530"/>
      <c r="H86" s="527"/>
      <c r="I86" s="541"/>
      <c r="J86" s="544"/>
      <c r="K86" s="541"/>
      <c r="L86" s="544"/>
      <c r="M86" s="536"/>
      <c r="N86" s="550"/>
      <c r="O86" s="553"/>
      <c r="P86" s="550"/>
      <c r="Q86" s="553"/>
      <c r="R86" s="550"/>
      <c r="S86" s="553"/>
      <c r="T86" s="550"/>
      <c r="U86" s="530"/>
      <c r="V86" s="127"/>
      <c r="W86" s="127"/>
    </row>
    <row r="87" spans="1:23" s="106" customFormat="1" ht="12" customHeight="1">
      <c r="A87" s="127"/>
      <c r="B87" s="527"/>
      <c r="C87" s="537"/>
      <c r="D87" s="540"/>
      <c r="E87" s="537"/>
      <c r="F87" s="527"/>
      <c r="G87" s="530"/>
      <c r="H87" s="544"/>
      <c r="I87" s="541"/>
      <c r="J87" s="544"/>
      <c r="K87" s="541"/>
      <c r="L87" s="533"/>
      <c r="M87" s="530"/>
      <c r="N87" s="550"/>
      <c r="O87" s="553"/>
      <c r="P87" s="550"/>
      <c r="Q87" s="553"/>
      <c r="R87" s="550"/>
      <c r="S87" s="553"/>
      <c r="T87" s="550"/>
      <c r="U87" s="530"/>
      <c r="V87" s="127"/>
      <c r="W87" s="127"/>
    </row>
    <row r="88" spans="1:23" s="106" customFormat="1" ht="12" customHeight="1">
      <c r="A88" s="127"/>
      <c r="B88" s="527"/>
      <c r="C88" s="537"/>
      <c r="D88" s="540"/>
      <c r="E88" s="537"/>
      <c r="F88" s="527"/>
      <c r="G88" s="530"/>
      <c r="H88" s="544"/>
      <c r="I88" s="541"/>
      <c r="J88" s="544"/>
      <c r="K88" s="541"/>
      <c r="L88" s="533"/>
      <c r="M88" s="530"/>
      <c r="N88" s="550"/>
      <c r="O88" s="553"/>
      <c r="P88" s="550"/>
      <c r="Q88" s="553"/>
      <c r="R88" s="550"/>
      <c r="S88" s="553"/>
      <c r="T88" s="550"/>
      <c r="U88" s="530"/>
      <c r="V88" s="127"/>
      <c r="W88" s="127"/>
    </row>
    <row r="89" spans="1:23" s="106" customFormat="1" ht="12" customHeight="1" thickBot="1">
      <c r="A89" s="146">
        <v>15</v>
      </c>
      <c r="B89" s="528"/>
      <c r="C89" s="538"/>
      <c r="D89" s="547"/>
      <c r="E89" s="531"/>
      <c r="F89" s="528"/>
      <c r="G89" s="531"/>
      <c r="H89" s="545"/>
      <c r="I89" s="542"/>
      <c r="J89" s="545"/>
      <c r="K89" s="542"/>
      <c r="L89" s="534"/>
      <c r="M89" s="531"/>
      <c r="N89" s="551"/>
      <c r="O89" s="554"/>
      <c r="P89" s="551"/>
      <c r="Q89" s="554"/>
      <c r="R89" s="551"/>
      <c r="S89" s="554"/>
      <c r="T89" s="551"/>
      <c r="U89" s="531"/>
      <c r="V89" s="127"/>
      <c r="W89" s="127"/>
    </row>
    <row r="90" spans="1:23" s="106" customFormat="1" ht="12" customHeight="1">
      <c r="A90" s="127"/>
      <c r="B90" s="532"/>
      <c r="C90" s="180"/>
      <c r="D90" s="179"/>
      <c r="E90" s="180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s="106" customFormat="1" ht="12" customHeight="1">
      <c r="A91" s="127"/>
      <c r="B91" s="181"/>
      <c r="C91" s="182"/>
      <c r="D91" s="181"/>
      <c r="E91" s="182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s="106" customFormat="1" ht="12" customHeight="1">
      <c r="A92" s="127"/>
      <c r="B92" s="181"/>
      <c r="C92" s="182"/>
      <c r="D92" s="181"/>
      <c r="E92" s="182"/>
      <c r="F92" s="181"/>
      <c r="G92" s="182"/>
      <c r="H92" s="181"/>
      <c r="I92" s="182"/>
      <c r="J92" s="131"/>
      <c r="K92" s="182"/>
      <c r="L92" s="131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s="106" customFormat="1" ht="12" customHeight="1">
      <c r="A93" s="127"/>
      <c r="B93" s="181"/>
      <c r="C93" s="182"/>
      <c r="D93" s="181"/>
      <c r="E93" s="182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s="106" customFormat="1" ht="12" customHeight="1" thickBot="1">
      <c r="A94" s="146">
        <v>16</v>
      </c>
      <c r="B94" s="184"/>
      <c r="C94" s="183"/>
      <c r="D94" s="184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s="106" customFormat="1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1501000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1501000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10/18까지 본인 생활비 반영. 이전 색상·블록 유지 + 180칸 추가. 공금 사용·미회수 대납 103,600원·생신 예비비 239,000원은 중복 합산하지 않음.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86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2026-10-18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10/1~18 RAW 164건: 기존 144건 유지 + 신규 20건. WRAP 15건 연결·타계좌 48건·카드사용 101건.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inlineStr">
        <is>
          <t xml:space="preserve">생신 본인 사용 239,000원 = 명절비 200,000 + 임시보관 39,000. 기존 현금 납입으로 충당; 월급 부담에 다시 더하지 않음.</t>
        </is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inlineStr">
        <is>
          <t xml:space="preserve">생신 실비 639,000 / 형제자매 반환 100,000 / 본인 원금 회수 61,000. 철도 대납 미회수 103,600원. 이체 중복 소비 제외.</t>
        </is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inlineStr">
        <is>
          <t xml:space="preserve">양배추 대리구매</t>
        </is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inlineStr">
        <is>
          <t xml:space="preserve">KP20261017-01 | 10/19 사용자 확인: 양배추 대리구매 대납금 1,300원은 이미 회수했고 플라잉 더치 구매에 사용. 함께 산 원구매 금액은 수정하지 않으며, 기존 소비 상계 -1,300원을 유지. 신규 소득·추가 미회수 대납 아님.</t>
        </is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inlineStr">
        <is>
          <t xml:space="preserve">부모 생신 용돈 500,000원. 본인 행사 부담 239,000원과 형제자매 부담 400,000원으로 식사까지 충당.</t>
        </is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46306.81527777778</v>
      </c>
      <c r="B2422" s="78">
        <v>46296</v>
      </c>
      <c r="C2422" s="76" t="s">
        <v>147</v>
      </c>
      <c r="D2422" s="76" t="inlineStr">
        <is>
          <t xml:space="preserve">여행/약속/공사</t>
        </is>
      </c>
      <c r="E2422" s="76" t="inlineStr">
        <is>
          <t xml:space="preserve">약속</t>
        </is>
      </c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inlineStr">
        <is>
          <t xml:space="preserve">10/15 재첨부 RAW 43행으로 시각·분류 수정. 기존 형제자매 잔금 반환 100,000원. 신규 소비·본인 반환 아님.</t>
        </is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  <row r="2466" spans="1:19">
      <c r="A2466" s="114">
        <v>46310.93959303241</v>
      </c>
      <c r="B2466" s="78">
        <v>46296.0</v>
      </c>
      <c r="C2466" s="76" t="inlineStr">
        <is>
          <t xml:space="preserve">가족통장</t>
        </is>
      </c>
      <c r="D2466" s="76" t="inlineStr">
        <is>
          <t xml:space="preserve">미래에셋_WRAP형CMA</t>
        </is>
      </c>
      <c r="E2466" s="76"/>
      <c r="F2466" s="76" t="inlineStr">
        <is>
          <t xml:space="preserve">이체</t>
        </is>
      </c>
      <c r="G2466" s="79">
        <v>61000</v>
      </c>
      <c r="H2466" s="76" t="inlineStr">
        <is>
          <t xml:space="preserve">이체지출</t>
        </is>
      </c>
      <c r="I2466" s="76"/>
      <c r="J2466" s="76" t="inlineStr">
        <is>
          <t xml:space="preserve">내부이체</t>
        </is>
      </c>
      <c r="K2466" s="79">
        <v>61000</v>
      </c>
      <c r="L2466" s="76" t="inlineStr">
        <is>
          <t xml:space="preserve">본인</t>
        </is>
      </c>
      <c r="M2466" s="76" t="inlineStr">
        <is>
          <t xml:space="preserve">10/15 재첨부 RAW 2행. 생신 본인 납입 300,000 중 미사용 원금 61,000 회수. 수입·환불 소비 아님. WRAP 임시보관에 1회 복귀; 가족통장 이자 25원은 제외.</t>
        </is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O2466"/>
      <c r="P2466"/>
      <c r="Q2466"/>
      <c r="R2466" s="76" t="inlineStr">
        <is>
          <t xml:space="preserve">WRAP</t>
        </is>
      </c>
      <c r="S2466" s="76" t="inlineStr">
        <is>
          <t xml:space="preserve">이체입금</t>
        </is>
      </c>
    </row>
    <row r="2467" spans="1:19">
      <c r="A2467" s="114">
        <v>46311.660425636575</v>
      </c>
      <c r="B2467" s="78">
        <v>46296.0</v>
      </c>
      <c r="C2467" s="76" t="inlineStr">
        <is>
          <t xml:space="preserve">우리카드의정석SUPER</t>
        </is>
      </c>
      <c r="D2467" s="76" t="inlineStr">
        <is>
          <t xml:space="preserve">식비</t>
        </is>
      </c>
      <c r="E2467" s="76" t="inlineStr">
        <is>
          <t xml:space="preserve">식대</t>
        </is>
      </c>
      <c r="F2467" s="76" t="inlineStr">
        <is>
          <t xml:space="preserve">동양솥밥</t>
        </is>
      </c>
      <c r="G2467" s="79">
        <v>10900</v>
      </c>
      <c r="H2467" s="76" t="inlineStr">
        <is>
          <t xml:space="preserve">지출</t>
        </is>
      </c>
      <c r="I2467" s="76"/>
      <c r="J2467" s="76" t="inlineStr">
        <is>
          <t xml:space="preserve">변동비</t>
        </is>
      </c>
      <c r="K2467" s="79">
        <v>10900</v>
      </c>
      <c r="L2467" s="76" t="inlineStr">
        <is>
          <t xml:space="preserve">본인</t>
        </is>
      </c>
      <c r="M2467" s="76" t="inlineStr">
        <is>
          <t xml:space="preserve">10/18 첨부 RAW 20행 · 신규 거래. 기존 RAW 행번호와 이전 분류는 보존. 본인 생활비·달력·계산기 반영. WRAP 원장에는 결제를 재기록하지 않음.</t>
        </is>
      </c>
      <c r="N2467" s="76" t="str">
        <f>IF(R2467="WRAP",IF((COUNTIF(잔액!$W$64:$W$500,ROW())+COUNTIF(잔액!$X$64:$X$500,ROW()))=1,"연결",IF((COUNTIF(잔액!$W$64:$W$500,ROW())+COUNTIF(잔액!$X$64:$X$500,ROW()))=0,"누락","중복")),IF(R2467="카드사용","월간·계산기","타계좌·잔액제외"))</f>
        <v>월간·계산기</v>
      </c>
      <c r="O2467"/>
      <c r="P2467"/>
      <c r="Q2467"/>
      <c r="R2467" s="76" t="inlineStr">
        <is>
          <t xml:space="preserve">카드사용</t>
        </is>
      </c>
      <c r="S2467" s="76"/>
    </row>
    <row r="2468" spans="1:19">
      <c r="A2468" s="114">
        <v>46311.66042717593</v>
      </c>
      <c r="B2468" s="78">
        <v>46296.0</v>
      </c>
      <c r="C2468" s="76" t="inlineStr">
        <is>
          <t xml:space="preserve">우리카드의정석SUPER</t>
        </is>
      </c>
      <c r="D2468" s="76" t="inlineStr">
        <is>
          <t xml:space="preserve">기타</t>
        </is>
      </c>
      <c r="E2468" s="76"/>
      <c r="F2468" s="76" t="inlineStr">
        <is>
          <t xml:space="preserve">기타</t>
        </is>
      </c>
      <c r="G2468" s="79">
        <v>5000</v>
      </c>
      <c r="H2468" s="76" t="inlineStr">
        <is>
          <t xml:space="preserve">지출</t>
        </is>
      </c>
      <c r="I2468" s="76"/>
      <c r="J2468" s="76" t="inlineStr">
        <is>
          <t xml:space="preserve">변동비</t>
        </is>
      </c>
      <c r="K2468" s="79">
        <v>5000</v>
      </c>
      <c r="L2468" s="76" t="inlineStr">
        <is>
          <t xml:space="preserve">본인</t>
        </is>
      </c>
      <c r="M2468" s="76" t="inlineStr">
        <is>
          <t xml:space="preserve">10/18 첨부 RAW 21행 · 신규 거래. 기존 RAW 행번호와 이전 분류는 보존. 본인 생활비·달력·계산기 반영. WRAP 원장에는 결제를 재기록하지 않음.</t>
        </is>
      </c>
      <c r="N2468" s="76" t="str">
        <f>IF(R2468="WRAP",IF((COUNTIF(잔액!$W$64:$W$500,ROW())+COUNTIF(잔액!$X$64:$X$500,ROW()))=1,"연결",IF((COUNTIF(잔액!$W$64:$W$500,ROW())+COUNTIF(잔액!$X$64:$X$500,ROW()))=0,"누락","중복")),IF(R2468="카드사용","월간·계산기","타계좌·잔액제외"))</f>
        <v>월간·계산기</v>
      </c>
      <c r="O2468"/>
      <c r="P2468"/>
      <c r="Q2468"/>
      <c r="R2468" s="76" t="inlineStr">
        <is>
          <t xml:space="preserve">카드사용</t>
        </is>
      </c>
      <c r="S2468" s="76"/>
    </row>
    <row r="2469" spans="1:19">
      <c r="A2469" s="114">
        <v>46311.66180972222</v>
      </c>
      <c r="B2469" s="78">
        <v>46296.0</v>
      </c>
      <c r="C2469" s="76" t="inlineStr">
        <is>
          <t xml:space="preserve">우리카드의정석SUPER</t>
        </is>
      </c>
      <c r="D2469" s="76" t="inlineStr">
        <is>
          <t xml:space="preserve">식비</t>
        </is>
      </c>
      <c r="E2469" s="76" t="inlineStr">
        <is>
          <t xml:space="preserve">음료/디저트/간식</t>
        </is>
      </c>
      <c r="F2469" s="76" t="inlineStr">
        <is>
          <t xml:space="preserve">빽다방</t>
        </is>
      </c>
      <c r="G2469" s="79">
        <v>7000</v>
      </c>
      <c r="H2469" s="76" t="inlineStr">
        <is>
          <t xml:space="preserve">지출</t>
        </is>
      </c>
      <c r="I2469" s="76"/>
      <c r="J2469" s="76" t="inlineStr">
        <is>
          <t xml:space="preserve">변동비</t>
        </is>
      </c>
      <c r="K2469" s="79">
        <v>7000</v>
      </c>
      <c r="L2469" s="76" t="inlineStr">
        <is>
          <t xml:space="preserve">본인</t>
        </is>
      </c>
      <c r="M2469" s="76" t="inlineStr">
        <is>
          <t xml:space="preserve">10/18 첨부 RAW 19행 · 신규 거래. 기존 RAW 행번호와 이전 분류는 보존. 본인 생활비·달력·계산기 반영. WRAP 원장에는 결제를 재기록하지 않음.</t>
        </is>
      </c>
      <c r="N2469" s="76" t="str">
        <f>IF(R2469="WRAP",IF((COUNTIF(잔액!$W$64:$W$500,ROW())+COUNTIF(잔액!$X$64:$X$500,ROW()))=1,"연결",IF((COUNTIF(잔액!$W$64:$W$500,ROW())+COUNTIF(잔액!$X$64:$X$500,ROW()))=0,"누락","중복")),IF(R2469="카드사용","월간·계산기","타계좌·잔액제외"))</f>
        <v>월간·계산기</v>
      </c>
      <c r="O2469"/>
      <c r="P2469"/>
      <c r="Q2469"/>
      <c r="R2469" s="76" t="inlineStr">
        <is>
          <t xml:space="preserve">카드사용</t>
        </is>
      </c>
      <c r="S2469" s="76"/>
    </row>
    <row r="2470" spans="1:19">
      <c r="A2470" s="114">
        <v>46312.66250971065</v>
      </c>
      <c r="B2470" s="78">
        <v>46296.0</v>
      </c>
      <c r="C2470" s="76" t="inlineStr">
        <is>
          <t xml:space="preserve">우리카드의정석SUPER</t>
        </is>
      </c>
      <c r="D2470" s="76" t="inlineStr">
        <is>
          <t xml:space="preserve">식비</t>
        </is>
      </c>
      <c r="E2470" s="76" t="inlineStr">
        <is>
          <t xml:space="preserve">음료/디저트/간식</t>
        </is>
      </c>
      <c r="F2470" s="76" t="inlineStr">
        <is>
          <t xml:space="preserve">CU</t>
        </is>
      </c>
      <c r="G2470" s="79">
        <v>4000</v>
      </c>
      <c r="H2470" s="76" t="inlineStr">
        <is>
          <t xml:space="preserve">지출</t>
        </is>
      </c>
      <c r="I2470" s="76" t="inlineStr">
        <is>
          <t xml:space="preserve">커피, 빵</t>
        </is>
      </c>
      <c r="J2470" s="76" t="inlineStr">
        <is>
          <t xml:space="preserve">변동비</t>
        </is>
      </c>
      <c r="K2470" s="79">
        <v>4000</v>
      </c>
      <c r="L2470" s="76" t="inlineStr">
        <is>
          <t xml:space="preserve">본인</t>
        </is>
      </c>
      <c r="M2470" s="76" t="inlineStr">
        <is>
          <t xml:space="preserve">10/18 첨부 RAW 18행 · 신규 거래. 기존 RAW 행번호와 이전 분류는 보존. 본인 생활비·달력·계산기 반영. WRAP 원장에는 결제를 재기록하지 않음.</t>
        </is>
      </c>
      <c r="N2470" s="76" t="str">
        <f>IF(R2470="WRAP",IF((COUNTIF(잔액!$W$64:$W$500,ROW())+COUNTIF(잔액!$X$64:$X$500,ROW()))=1,"연결",IF((COUNTIF(잔액!$W$64:$W$500,ROW())+COUNTIF(잔액!$X$64:$X$500,ROW()))=0,"누락","중복")),IF(R2470="카드사용","월간·계산기","타계좌·잔액제외"))</f>
        <v>월간·계산기</v>
      </c>
      <c r="O2470"/>
      <c r="P2470"/>
      <c r="Q2470"/>
      <c r="R2470" s="76" t="inlineStr">
        <is>
          <t xml:space="preserve">카드사용</t>
        </is>
      </c>
      <c r="S2470" s="76"/>
    </row>
    <row r="2471" spans="1:19">
      <c r="A2471" s="114">
        <v>46312.663201296295</v>
      </c>
      <c r="B2471" s="78">
        <v>46296.0</v>
      </c>
      <c r="C2471" s="76" t="inlineStr">
        <is>
          <t xml:space="preserve">우리카드의정석SUPER</t>
        </is>
      </c>
      <c r="D2471" s="76" t="inlineStr">
        <is>
          <t xml:space="preserve">건강/보험/의료</t>
        </is>
      </c>
      <c r="E2471" s="76"/>
      <c r="F2471" s="76" t="inlineStr">
        <is>
          <t xml:space="preserve">연신내로데오약국</t>
        </is>
      </c>
      <c r="G2471" s="79">
        <v>5000</v>
      </c>
      <c r="H2471" s="76" t="inlineStr">
        <is>
          <t xml:space="preserve">지출</t>
        </is>
      </c>
      <c r="I2471" s="76" t="inlineStr">
        <is>
          <t xml:space="preserve">인공눈물</t>
        </is>
      </c>
      <c r="J2471" s="76" t="inlineStr">
        <is>
          <t xml:space="preserve">변동비</t>
        </is>
      </c>
      <c r="K2471" s="79">
        <v>5000</v>
      </c>
      <c r="L2471" s="76" t="inlineStr">
        <is>
          <t xml:space="preserve">본인</t>
        </is>
      </c>
      <c r="M2471" s="76" t="inlineStr">
        <is>
          <t xml:space="preserve">10/18 첨부 RAW 16행 · 신규 거래. 기존 RAW 행번호와 이전 분류는 보존. 본인 생활비·달력·계산기 반영. WRAP 원장에는 결제를 재기록하지 않음.</t>
        </is>
      </c>
      <c r="N2471" s="76" t="str">
        <f>IF(R2471="WRAP",IF((COUNTIF(잔액!$W$64:$W$500,ROW())+COUNTIF(잔액!$X$64:$X$500,ROW()))=1,"연결",IF((COUNTIF(잔액!$W$64:$W$500,ROW())+COUNTIF(잔액!$X$64:$X$500,ROW()))=0,"누락","중복")),IF(R2471="카드사용","월간·계산기","타계좌·잔액제외"))</f>
        <v>월간·계산기</v>
      </c>
      <c r="O2471"/>
      <c r="P2471"/>
      <c r="Q2471"/>
      <c r="R2471" s="76" t="inlineStr">
        <is>
          <t xml:space="preserve">카드사용</t>
        </is>
      </c>
      <c r="S2471" s="76"/>
    </row>
    <row r="2472" spans="1:19">
      <c r="A2472" s="114">
        <v>46312.66320138889</v>
      </c>
      <c r="B2472" s="78">
        <v>46296.0</v>
      </c>
      <c r="C2472" s="76" t="inlineStr">
        <is>
          <t xml:space="preserve">우리카드의정석SUPER</t>
        </is>
      </c>
      <c r="D2472" s="76" t="inlineStr">
        <is>
          <t xml:space="preserve">기타</t>
        </is>
      </c>
      <c r="E2472" s="76"/>
      <c r="F2472" s="76" t="inlineStr">
        <is>
          <t xml:space="preserve">기타</t>
        </is>
      </c>
      <c r="G2472" s="79">
        <v>5000</v>
      </c>
      <c r="H2472" s="76" t="inlineStr">
        <is>
          <t xml:space="preserve">지출</t>
        </is>
      </c>
      <c r="I2472" s="76"/>
      <c r="J2472" s="76" t="inlineStr">
        <is>
          <t xml:space="preserve">변동비</t>
        </is>
      </c>
      <c r="K2472" s="79">
        <v>5000</v>
      </c>
      <c r="L2472" s="76" t="inlineStr">
        <is>
          <t xml:space="preserve">본인</t>
        </is>
      </c>
      <c r="M2472" s="76" t="inlineStr">
        <is>
          <t xml:space="preserve">10/18 첨부 RAW 17행 · 신규 거래. 기존 RAW 행번호와 이전 분류는 보존. 본인 생활비·달력·계산기 반영. WRAP 원장에는 결제를 재기록하지 않음.</t>
        </is>
      </c>
      <c r="N2472" s="76" t="str">
        <f>IF(R2472="WRAP",IF((COUNTIF(잔액!$W$64:$W$500,ROW())+COUNTIF(잔액!$X$64:$X$500,ROW()))=1,"연결",IF((COUNTIF(잔액!$W$64:$W$500,ROW())+COUNTIF(잔액!$X$64:$X$500,ROW()))=0,"누락","중복")),IF(R2472="카드사용","월간·계산기","타계좌·잔액제외"))</f>
        <v>월간·계산기</v>
      </c>
      <c r="O2472"/>
      <c r="P2472"/>
      <c r="Q2472"/>
      <c r="R2472" s="76" t="inlineStr">
        <is>
          <t xml:space="preserve">카드사용</t>
        </is>
      </c>
      <c r="S2472" s="76"/>
    </row>
    <row r="2473" spans="1:19">
      <c r="A2473" s="114">
        <v>46312.664585659724</v>
      </c>
      <c r="B2473" s="78">
        <v>46296.0</v>
      </c>
      <c r="C2473" s="76" t="inlineStr">
        <is>
          <t xml:space="preserve">KB쿠팡와우</t>
        </is>
      </c>
      <c r="D2473" s="76" t="inlineStr">
        <is>
          <t xml:space="preserve">패션/미용</t>
        </is>
      </c>
      <c r="E2473" s="76"/>
      <c r="F2473" s="76" t="inlineStr">
        <is>
          <t xml:space="preserve">쿠팡</t>
        </is>
      </c>
      <c r="G2473" s="79">
        <v>12530</v>
      </c>
      <c r="H2473" s="76" t="inlineStr">
        <is>
          <t xml:space="preserve">지출</t>
        </is>
      </c>
      <c r="I2473" s="76" t="inlineStr">
        <is>
          <t xml:space="preserve">롤빗 1호</t>
        </is>
      </c>
      <c r="J2473" s="76" t="inlineStr">
        <is>
          <t xml:space="preserve">변동비</t>
        </is>
      </c>
      <c r="K2473" s="79">
        <v>12530</v>
      </c>
      <c r="L2473" s="76" t="inlineStr">
        <is>
          <t xml:space="preserve">본인</t>
        </is>
      </c>
      <c r="M2473" s="76" t="inlineStr">
        <is>
          <t xml:space="preserve">10/18 첨부 RAW 15행 · 신규 거래. 기존 RAW 행번호와 이전 분류는 보존. 본인 생활비·달력·계산기 반영. WRAP 원장에는 결제를 재기록하지 않음.</t>
        </is>
      </c>
      <c r="N2473" s="76" t="str">
        <f>IF(R2473="WRAP",IF((COUNTIF(잔액!$W$64:$W$500,ROW())+COUNTIF(잔액!$X$64:$X$500,ROW()))=1,"연결",IF((COUNTIF(잔액!$W$64:$W$500,ROW())+COUNTIF(잔액!$X$64:$X$500,ROW()))=0,"누락","중복")),IF(R2473="카드사용","월간·계산기","타계좌·잔액제외"))</f>
        <v>월간·계산기</v>
      </c>
      <c r="O2473"/>
      <c r="P2473"/>
      <c r="Q2473"/>
      <c r="R2473" s="76" t="inlineStr">
        <is>
          <t xml:space="preserve">카드사용</t>
        </is>
      </c>
      <c r="S2473" s="76"/>
    </row>
    <row r="2474" spans="1:19">
      <c r="A2474" s="114">
        <v>46312.66528891204</v>
      </c>
      <c r="B2474" s="78">
        <v>46296.0</v>
      </c>
      <c r="C2474" s="76" t="inlineStr">
        <is>
          <t xml:space="preserve">카카오페이머니</t>
        </is>
      </c>
      <c r="D2474" s="76" t="inlineStr">
        <is>
          <t xml:space="preserve">식비</t>
        </is>
      </c>
      <c r="E2474" s="76" t="inlineStr">
        <is>
          <t xml:space="preserve">음료/디저트/간식</t>
        </is>
      </c>
      <c r="F2474" s="76" t="inlineStr">
        <is>
          <t xml:space="preserve">플라잉 더치</t>
        </is>
      </c>
      <c r="G2474" s="79">
        <v>17000</v>
      </c>
      <c r="H2474" s="76" t="inlineStr">
        <is>
          <t xml:space="preserve">지출</t>
        </is>
      </c>
      <c r="I2474" s="76" t="inlineStr">
        <is>
          <t xml:space="preserve">서울커피앤티페어</t>
        </is>
      </c>
      <c r="J2474" s="76" t="inlineStr">
        <is>
          <t xml:space="preserve">변동비</t>
        </is>
      </c>
      <c r="K2474" s="79">
        <v>17000</v>
      </c>
      <c r="L2474" s="76" t="inlineStr">
        <is>
          <t xml:space="preserve">본인</t>
        </is>
      </c>
      <c r="M2474" s="76" t="inlineStr">
        <is>
          <t xml:space="preserve">KP20261017-01 | 플라잉 더치 구매 17,000원 = 충전 RAW 2475행 15,700원 + 양배추 대납 회수 RAW 2376행 1,300원(10/19 사용자 확인). 소비는 구매에 1회, WRAP 출금은 충전에 1회. 10월 추가 실지출 표에는 이미 집계된 거래로 표시.</t>
        </is>
      </c>
      <c r="N2474" s="76" t="str">
        <f>IF(R2474="WRAP",IF((COUNTIF(잔액!$W$64:$W$500,ROW())+COUNTIF(잔액!$X$64:$X$500,ROW()))=1,"연결",IF((COUNTIF(잔액!$W$64:$W$500,ROW())+COUNTIF(잔액!$X$64:$X$500,ROW()))=0,"누락","중복")),IF(R2474="카드사용","월간·계산기","타계좌·잔액제외"))</f>
        <v>타계좌·잔액제외</v>
      </c>
      <c r="O2474"/>
      <c r="P2474"/>
      <c r="Q2474"/>
      <c r="R2474" s="76" t="inlineStr">
        <is>
          <t xml:space="preserve">타계좌</t>
        </is>
      </c>
      <c r="S2474" s="76"/>
    </row>
    <row r="2475" spans="1:19">
      <c r="A2475" s="114">
        <v>46312.66737074074</v>
      </c>
      <c r="B2475" s="78">
        <v>46296.0</v>
      </c>
      <c r="C2475" s="76" t="inlineStr">
        <is>
          <t xml:space="preserve">미래에셋_WRAP형CMA</t>
        </is>
      </c>
      <c r="D2475" s="76" t="inlineStr">
        <is>
          <t xml:space="preserve">카카오페이머니</t>
        </is>
      </c>
      <c r="E2475" s="76"/>
      <c r="F2475" s="76" t="inlineStr">
        <is>
          <t xml:space="preserve">카카오페이 충전</t>
        </is>
      </c>
      <c r="G2475" s="79">
        <v>15700</v>
      </c>
      <c r="H2475" s="76" t="inlineStr">
        <is>
          <t xml:space="preserve">이체지출</t>
        </is>
      </c>
      <c r="I2475" s="76"/>
      <c r="J2475" s="76" t="inlineStr">
        <is>
          <t xml:space="preserve">내부이체</t>
        </is>
      </c>
      <c r="K2475" s="79">
        <v>15700</v>
      </c>
      <c r="L2475" s="76" t="inlineStr">
        <is>
          <t xml:space="preserve">본인</t>
        </is>
      </c>
      <c r="M2475" s="76" t="inlineStr">
        <is>
          <t xml:space="preserve">KP20261017-01 | 플라잉 더치 구매 RAW 2474행 17,000원의 재원: 이번 충전 15,700원 + 이미 회수한 양배추 대납금 1,300원(RAW 2376행). WRAP 원장 248행에서 충전만 차감하며 소비 재합산 제외. 원본 입력 시각 보존.</t>
        </is>
      </c>
      <c r="N2475" s="76" t="str">
        <f>IF(R2475="WRAP",IF((COUNTIF(잔액!$W$64:$W$500,ROW())+COUNTIF(잔액!$X$64:$X$500,ROW()))=1,"연결",IF((COUNTIF(잔액!$W$64:$W$500,ROW())+COUNTIF(잔액!$X$64:$X$500,ROW()))=0,"누락","중복")),IF(R2475="카드사용","월간·계산기","타계좌·잔액제외"))</f>
        <v>연결</v>
      </c>
      <c r="O2475"/>
      <c r="P2475"/>
      <c r="Q2475"/>
      <c r="R2475" s="76" t="inlineStr">
        <is>
          <t xml:space="preserve">WRAP</t>
        </is>
      </c>
      <c r="S2475" s="76" t="inlineStr">
        <is>
          <t xml:space="preserve">이체출금</t>
        </is>
      </c>
    </row>
    <row r="2476" spans="1:19">
      <c r="A2476" s="114">
        <v>46312.6680593287</v>
      </c>
      <c r="B2476" s="78">
        <v>46296.0</v>
      </c>
      <c r="C2476" s="76" t="inlineStr">
        <is>
          <t xml:space="preserve">모임통장</t>
        </is>
      </c>
      <c r="D2476" s="76" t="inlineStr">
        <is>
          <t xml:space="preserve">여행/약속/공사</t>
        </is>
      </c>
      <c r="E2476" s="76" t="inlineStr">
        <is>
          <t xml:space="preserve">만남</t>
        </is>
      </c>
      <c r="F2476" s="76" t="inlineStr">
        <is>
          <t xml:space="preserve">에크하우스</t>
        </is>
      </c>
      <c r="G2476" s="79">
        <v>10000</v>
      </c>
      <c r="H2476" s="76" t="inlineStr">
        <is>
          <t xml:space="preserve">지출</t>
        </is>
      </c>
      <c r="I2476" s="76" t="inlineStr">
        <is>
          <t xml:space="preserve">양재시민의숲 카페</t>
        </is>
      </c>
      <c r="J2476" s="76" t="inlineStr">
        <is>
          <t xml:space="preserve">약속·만남</t>
        </is>
      </c>
      <c r="K2476" s="79">
        <v>5000.0</v>
      </c>
      <c r="L2476" s="76" t="inlineStr">
        <is>
          <t xml:space="preserve">모임통장</t>
        </is>
      </c>
      <c r="M2476" s="76" t="inlineStr">
        <is>
          <t xml:space="preserve">10/18 첨부 RAW 12행 · 신규 거래. 기존 RAW 행번호와 이전 분류는 보존. 기존 모임통장 분류·본인분 1/2 기준 유지. 월급 납입과 중복 소비 제외.</t>
        </is>
      </c>
      <c r="N2476" s="76" t="str">
        <f>IF(R2476="WRAP",IF((COUNTIF(잔액!$W$64:$W$500,ROW())+COUNTIF(잔액!$X$64:$X$500,ROW()))=1,"연결",IF((COUNTIF(잔액!$W$64:$W$500,ROW())+COUNTIF(잔액!$X$64:$X$500,ROW()))=0,"누락","중복")),IF(R2476="카드사용","월간·계산기","타계좌·잔액제외"))</f>
        <v>타계좌·잔액제외</v>
      </c>
      <c r="O2476"/>
      <c r="P2476"/>
      <c r="Q2476"/>
      <c r="R2476" s="76" t="inlineStr">
        <is>
          <t xml:space="preserve">타계좌</t>
        </is>
      </c>
      <c r="S2476" s="76"/>
    </row>
    <row r="2477" spans="1:19">
      <c r="A2477" s="114">
        <v>46312.66805943287</v>
      </c>
      <c r="B2477" s="78">
        <v>46296.0</v>
      </c>
      <c r="C2477" s="76" t="inlineStr">
        <is>
          <t xml:space="preserve">모임통장</t>
        </is>
      </c>
      <c r="D2477" s="76" t="inlineStr">
        <is>
          <t xml:space="preserve">여행/약속/공사</t>
        </is>
      </c>
      <c r="E2477" s="76" t="inlineStr">
        <is>
          <t xml:space="preserve">만남</t>
        </is>
      </c>
      <c r="F2477" s="76" t="inlineStr">
        <is>
          <t xml:space="preserve">식물원김밥</t>
        </is>
      </c>
      <c r="G2477" s="79">
        <v>26800</v>
      </c>
      <c r="H2477" s="76" t="inlineStr">
        <is>
          <t xml:space="preserve">지출</t>
        </is>
      </c>
      <c r="I2477" s="76" t="inlineStr">
        <is>
          <t xml:space="preserve">용산점</t>
        </is>
      </c>
      <c r="J2477" s="76" t="inlineStr">
        <is>
          <t xml:space="preserve">약속·만남</t>
        </is>
      </c>
      <c r="K2477" s="79">
        <v>13400.0</v>
      </c>
      <c r="L2477" s="76" t="inlineStr">
        <is>
          <t xml:space="preserve">모임통장</t>
        </is>
      </c>
      <c r="M2477" s="76" t="inlineStr">
        <is>
          <t xml:space="preserve">10/18 첨부 RAW 11행 · 신규 거래. 기존 RAW 행번호와 이전 분류는 보존. 기존 모임통장 분류·본인분 1/2 기준 유지. 월급 납입과 중복 소비 제외.</t>
        </is>
      </c>
      <c r="N2477" s="76" t="str">
        <f>IF(R2477="WRAP",IF((COUNTIF(잔액!$W$64:$W$500,ROW())+COUNTIF(잔액!$X$64:$X$500,ROW()))=1,"연결",IF((COUNTIF(잔액!$W$64:$W$500,ROW())+COUNTIF(잔액!$X$64:$X$500,ROW()))=0,"누락","중복")),IF(R2477="카드사용","월간·계산기","타계좌·잔액제외"))</f>
        <v>타계좌·잔액제외</v>
      </c>
      <c r="O2477"/>
      <c r="P2477"/>
      <c r="Q2477"/>
      <c r="R2477" s="76" t="inlineStr">
        <is>
          <t xml:space="preserve">타계좌</t>
        </is>
      </c>
      <c r="S2477" s="76"/>
    </row>
    <row r="2478" spans="1:19">
      <c r="A2478" s="114">
        <v>46312.66875293981</v>
      </c>
      <c r="B2478" s="78">
        <v>46296.0</v>
      </c>
      <c r="C2478" s="76" t="inlineStr">
        <is>
          <t xml:space="preserve">우리카드의정석SUPER</t>
        </is>
      </c>
      <c r="D2478" s="76" t="inlineStr">
        <is>
          <t xml:space="preserve">식비</t>
        </is>
      </c>
      <c r="E2478" s="76" t="inlineStr">
        <is>
          <t xml:space="preserve">음료/디저트/간식</t>
        </is>
      </c>
      <c r="F2478" s="76" t="inlineStr">
        <is>
          <t xml:space="preserve">CU</t>
        </is>
      </c>
      <c r="G2478" s="79">
        <v>5900</v>
      </c>
      <c r="H2478" s="76" t="inlineStr">
        <is>
          <t xml:space="preserve">지출</t>
        </is>
      </c>
      <c r="I2478" s="76" t="inlineStr">
        <is>
          <t xml:space="preserve">음료</t>
        </is>
      </c>
      <c r="J2478" s="76" t="inlineStr">
        <is>
          <t xml:space="preserve">변동비</t>
        </is>
      </c>
      <c r="K2478" s="79">
        <v>5900</v>
      </c>
      <c r="L2478" s="76" t="inlineStr">
        <is>
          <t xml:space="preserve">본인</t>
        </is>
      </c>
      <c r="M2478" s="76" t="inlineStr">
        <is>
          <t xml:space="preserve">10/18 첨부 RAW 10행 · 신규 거래. 기존 RAW 행번호와 이전 분류는 보존. 본인 생활비·달력·계산기 반영. WRAP 원장에는 결제를 재기록하지 않음.</t>
        </is>
      </c>
      <c r="N2478" s="76" t="str">
        <f>IF(R2478="WRAP",IF((COUNTIF(잔액!$W$64:$W$500,ROW())+COUNTIF(잔액!$X$64:$X$500,ROW()))=1,"연결",IF((COUNTIF(잔액!$W$64:$W$500,ROW())+COUNTIF(잔액!$X$64:$X$500,ROW()))=0,"누락","중복")),IF(R2478="카드사용","월간·계산기","타계좌·잔액제외"))</f>
        <v>월간·계산기</v>
      </c>
      <c r="O2478"/>
      <c r="P2478"/>
      <c r="Q2478"/>
      <c r="R2478" s="76" t="inlineStr">
        <is>
          <t xml:space="preserve">카드사용</t>
        </is>
      </c>
      <c r="S2478" s="76"/>
    </row>
    <row r="2479" spans="1:19">
      <c r="A2479" s="114">
        <v>46312.67084106481</v>
      </c>
      <c r="B2479" s="78">
        <v>46296.0</v>
      </c>
      <c r="C2479" s="76" t="inlineStr">
        <is>
          <t xml:space="preserve">우리카드의정석SUPER</t>
        </is>
      </c>
      <c r="D2479" s="76" t="inlineStr">
        <is>
          <t xml:space="preserve">식비</t>
        </is>
      </c>
      <c r="E2479" s="76" t="inlineStr">
        <is>
          <t xml:space="preserve">음료/디저트/간식</t>
        </is>
      </c>
      <c r="F2479" s="76" t="inlineStr">
        <is>
          <t xml:space="preserve">맥도날드</t>
        </is>
      </c>
      <c r="G2479" s="79">
        <v>12200</v>
      </c>
      <c r="H2479" s="76" t="inlineStr">
        <is>
          <t xml:space="preserve">지출</t>
        </is>
      </c>
      <c r="I2479" s="76" t="inlineStr">
        <is>
          <t xml:space="preserve">간식</t>
        </is>
      </c>
      <c r="J2479" s="76" t="inlineStr">
        <is>
          <t xml:space="preserve">변동비</t>
        </is>
      </c>
      <c r="K2479" s="79">
        <v>12200</v>
      </c>
      <c r="L2479" s="76" t="inlineStr">
        <is>
          <t xml:space="preserve">본인</t>
        </is>
      </c>
      <c r="M2479" s="76" t="inlineStr">
        <is>
          <t xml:space="preserve">10/18 첨부 RAW 9행 · 신규 거래. 기존 RAW 행번호와 이전 분류는 보존. 본인 생활비·달력·계산기 반영. WRAP 원장에는 결제를 재기록하지 않음.</t>
        </is>
      </c>
      <c r="N2479" s="76" t="str">
        <f>IF(R2479="WRAP",IF((COUNTIF(잔액!$W$64:$W$500,ROW())+COUNTIF(잔액!$X$64:$X$500,ROW()))=1,"연결",IF((COUNTIF(잔액!$W$64:$W$500,ROW())+COUNTIF(잔액!$X$64:$X$500,ROW()))=0,"누락","중복")),IF(R2479="카드사용","월간·계산기","타계좌·잔액제외"))</f>
        <v>월간·계산기</v>
      </c>
      <c r="O2479"/>
      <c r="P2479"/>
      <c r="Q2479"/>
      <c r="R2479" s="76" t="inlineStr">
        <is>
          <t xml:space="preserve">카드사용</t>
        </is>
      </c>
      <c r="S2479" s="76"/>
    </row>
    <row r="2480" spans="1:19">
      <c r="A2480" s="114">
        <v>46313.67153349537</v>
      </c>
      <c r="B2480" s="78">
        <v>46296.0</v>
      </c>
      <c r="C2480" s="76" t="inlineStr">
        <is>
          <t xml:space="preserve">우리카드의정석SUPER</t>
        </is>
      </c>
      <c r="D2480" s="76" t="inlineStr">
        <is>
          <t xml:space="preserve">건강/보험/의료</t>
        </is>
      </c>
      <c r="E2480" s="76" t="inlineStr">
        <is>
          <t xml:space="preserve">병원/약국/검진</t>
        </is>
      </c>
      <c r="F2480" s="76" t="inlineStr">
        <is>
          <t xml:space="preserve">연신내로데오약국</t>
        </is>
      </c>
      <c r="G2480" s="79">
        <v>12000</v>
      </c>
      <c r="H2480" s="76" t="inlineStr">
        <is>
          <t xml:space="preserve">지출</t>
        </is>
      </c>
      <c r="I2480" s="76" t="inlineStr">
        <is>
          <t xml:space="preserve">지르텍 알러지약</t>
        </is>
      </c>
      <c r="J2480" s="76" t="inlineStr">
        <is>
          <t xml:space="preserve">변동비</t>
        </is>
      </c>
      <c r="K2480" s="79">
        <v>12000</v>
      </c>
      <c r="L2480" s="76" t="inlineStr">
        <is>
          <t xml:space="preserve">본인</t>
        </is>
      </c>
      <c r="M2480" s="76" t="inlineStr">
        <is>
          <t xml:space="preserve">10/18 첨부 RAW 8행 · 신규 거래. 기존 RAW 행번호와 이전 분류는 보존. 본인 생활비·달력·계산기 반영. WRAP 원장에는 결제를 재기록하지 않음.</t>
        </is>
      </c>
      <c r="N2480" s="76" t="str">
        <f>IF(R2480="WRAP",IF((COUNTIF(잔액!$W$64:$W$500,ROW())+COUNTIF(잔액!$X$64:$X$500,ROW()))=1,"연결",IF((COUNTIF(잔액!$W$64:$W$500,ROW())+COUNTIF(잔액!$X$64:$X$500,ROW()))=0,"누락","중복")),IF(R2480="카드사용","월간·계산기","타계좌·잔액제외"))</f>
        <v>월간·계산기</v>
      </c>
      <c r="O2480"/>
      <c r="P2480"/>
      <c r="Q2480"/>
      <c r="R2480" s="76" t="inlineStr">
        <is>
          <t xml:space="preserve">카드사용</t>
        </is>
      </c>
      <c r="S2480" s="76"/>
    </row>
    <row r="2481" spans="1:19">
      <c r="A2481" s="114">
        <v>46313.67222680555</v>
      </c>
      <c r="B2481" s="78">
        <v>46296.0</v>
      </c>
      <c r="C2481" s="76" t="inlineStr">
        <is>
          <t xml:space="preserve">KB쿠팡와우</t>
        </is>
      </c>
      <c r="D2481" s="76" t="inlineStr">
        <is>
          <t xml:space="preserve">식비</t>
        </is>
      </c>
      <c r="E2481" s="76" t="inlineStr">
        <is>
          <t xml:space="preserve">배달</t>
        </is>
      </c>
      <c r="F2481" s="76" t="inlineStr">
        <is>
          <t xml:space="preserve">쿠팡이츠</t>
        </is>
      </c>
      <c r="G2481" s="79">
        <v>12410</v>
      </c>
      <c r="H2481" s="76" t="inlineStr">
        <is>
          <t xml:space="preserve">지출</t>
        </is>
      </c>
      <c r="I2481" s="76" t="inlineStr">
        <is>
          <t xml:space="preserve">국밥</t>
        </is>
      </c>
      <c r="J2481" s="76" t="inlineStr">
        <is>
          <t xml:space="preserve">변동비</t>
        </is>
      </c>
      <c r="K2481" s="79">
        <v>12410</v>
      </c>
      <c r="L2481" s="76" t="inlineStr">
        <is>
          <t xml:space="preserve">본인</t>
        </is>
      </c>
      <c r="M2481" s="76" t="inlineStr">
        <is>
          <t xml:space="preserve">10/18 첨부 RAW 7행 · 신규 거래. 기존 RAW 행번호와 이전 분류는 보존. 본인 생활비·달력·계산기 반영. WRAP 원장에는 결제를 재기록하지 않음.</t>
        </is>
      </c>
      <c r="N2481" s="76" t="str">
        <f>IF(R2481="WRAP",IF((COUNTIF(잔액!$W$64:$W$500,ROW())+COUNTIF(잔액!$X$64:$X$500,ROW()))=1,"연결",IF((COUNTIF(잔액!$W$64:$W$500,ROW())+COUNTIF(잔액!$X$64:$X$500,ROW()))=0,"누락","중복")),IF(R2481="카드사용","월간·계산기","타계좌·잔액제외"))</f>
        <v>월간·계산기</v>
      </c>
      <c r="O2481"/>
      <c r="P2481"/>
      <c r="Q2481"/>
      <c r="R2481" s="76" t="inlineStr">
        <is>
          <t xml:space="preserve">카드사용</t>
        </is>
      </c>
      <c r="S2481" s="76"/>
    </row>
    <row r="2482" spans="1:19">
      <c r="A2482" s="114">
        <v>46313.675007997685</v>
      </c>
      <c r="B2482" s="78">
        <v>46296.0</v>
      </c>
      <c r="C2482" s="76" t="inlineStr">
        <is>
          <t xml:space="preserve">우리카드의정석SUPER</t>
        </is>
      </c>
      <c r="D2482" s="76" t="inlineStr">
        <is>
          <t xml:space="preserve">문화/생활</t>
        </is>
      </c>
      <c r="E2482" s="76"/>
      <c r="F2482" s="76" t="inlineStr">
        <is>
          <t xml:space="preserve">코인세탁</t>
        </is>
      </c>
      <c r="G2482" s="79">
        <v>20000</v>
      </c>
      <c r="H2482" s="76" t="inlineStr">
        <is>
          <t xml:space="preserve">지출</t>
        </is>
      </c>
      <c r="I2482" s="76"/>
      <c r="J2482" s="76" t="inlineStr">
        <is>
          <t xml:space="preserve">변동비</t>
        </is>
      </c>
      <c r="K2482" s="79">
        <v>20000</v>
      </c>
      <c r="L2482" s="76" t="inlineStr">
        <is>
          <t xml:space="preserve">본인</t>
        </is>
      </c>
      <c r="M2482" s="76" t="inlineStr">
        <is>
          <t xml:space="preserve">10/18 첨부 RAW 6행 · 신규 거래. 기존 RAW 행번호와 이전 분류는 보존. 본인 생활비·달력·계산기 반영. WRAP 원장에는 결제를 재기록하지 않음.</t>
        </is>
      </c>
      <c r="N2482" s="76" t="str">
        <f>IF(R2482="WRAP",IF((COUNTIF(잔액!$W$64:$W$500,ROW())+COUNTIF(잔액!$X$64:$X$500,ROW()))=1,"연결",IF((COUNTIF(잔액!$W$64:$W$500,ROW())+COUNTIF(잔액!$X$64:$X$500,ROW()))=0,"누락","중복")),IF(R2482="카드사용","월간·계산기","타계좌·잔액제외"))</f>
        <v>월간·계산기</v>
      </c>
      <c r="O2482"/>
      <c r="P2482"/>
      <c r="Q2482"/>
      <c r="R2482" s="76" t="inlineStr">
        <is>
          <t xml:space="preserve">카드사용</t>
        </is>
      </c>
      <c r="S2482" s="76"/>
    </row>
    <row r="2483" spans="1:19">
      <c r="A2483" s="114">
        <v>46313.67569491898</v>
      </c>
      <c r="B2483" s="78">
        <v>46296.0</v>
      </c>
      <c r="C2483" s="76" t="inlineStr">
        <is>
          <t xml:space="preserve">우리카드의정석SUPER</t>
        </is>
      </c>
      <c r="D2483" s="76" t="inlineStr">
        <is>
          <t xml:space="preserve">기타</t>
        </is>
      </c>
      <c r="E2483" s="76"/>
      <c r="F2483" s="76" t="inlineStr">
        <is>
          <t xml:space="preserve">기타</t>
        </is>
      </c>
      <c r="G2483" s="79">
        <v>5000</v>
      </c>
      <c r="H2483" s="76" t="inlineStr">
        <is>
          <t xml:space="preserve">지출</t>
        </is>
      </c>
      <c r="I2483" s="76"/>
      <c r="J2483" s="76" t="inlineStr">
        <is>
          <t xml:space="preserve">변동비</t>
        </is>
      </c>
      <c r="K2483" s="79">
        <v>5000</v>
      </c>
      <c r="L2483" s="76" t="inlineStr">
        <is>
          <t xml:space="preserve">본인</t>
        </is>
      </c>
      <c r="M2483" s="76" t="inlineStr">
        <is>
          <t xml:space="preserve">10/18 첨부 RAW 5행 · 신규 거래. 기존 RAW 행번호와 이전 분류는 보존. 본인 생활비·달력·계산기 반영. WRAP 원장에는 결제를 재기록하지 않음.</t>
        </is>
      </c>
      <c r="N2483" s="76" t="str">
        <f>IF(R2483="WRAP",IF((COUNTIF(잔액!$W$64:$W$500,ROW())+COUNTIF(잔액!$X$64:$X$500,ROW()))=1,"연결",IF((COUNTIF(잔액!$W$64:$W$500,ROW())+COUNTIF(잔액!$X$64:$X$500,ROW()))=0,"누락","중복")),IF(R2483="카드사용","월간·계산기","타계좌·잔액제외"))</f>
        <v>월간·계산기</v>
      </c>
      <c r="O2483"/>
      <c r="P2483"/>
      <c r="Q2483"/>
      <c r="R2483" s="76" t="inlineStr">
        <is>
          <t xml:space="preserve">카드사용</t>
        </is>
      </c>
      <c r="S2483" s="76"/>
    </row>
    <row r="2484" spans="1:19">
      <c r="A2484" s="114">
        <v>46313.67569805556</v>
      </c>
      <c r="B2484" s="78">
        <v>46296.0</v>
      </c>
      <c r="C2484" s="76" t="inlineStr">
        <is>
          <t xml:space="preserve">우리카드의정석SUPER</t>
        </is>
      </c>
      <c r="D2484" s="76" t="inlineStr">
        <is>
          <t xml:space="preserve">식비</t>
        </is>
      </c>
      <c r="E2484" s="76" t="inlineStr">
        <is>
          <t xml:space="preserve">음료/디저트/간식</t>
        </is>
      </c>
      <c r="F2484" s="76" t="inlineStr">
        <is>
          <t xml:space="preserve">CU</t>
        </is>
      </c>
      <c r="G2484" s="79">
        <v>3000</v>
      </c>
      <c r="H2484" s="76" t="inlineStr">
        <is>
          <t xml:space="preserve">지출</t>
        </is>
      </c>
      <c r="I2484" s="76" t="inlineStr">
        <is>
          <t xml:space="preserve">초코모찌빵</t>
        </is>
      </c>
      <c r="J2484" s="76" t="inlineStr">
        <is>
          <t xml:space="preserve">변동비</t>
        </is>
      </c>
      <c r="K2484" s="79">
        <v>3000</v>
      </c>
      <c r="L2484" s="76" t="inlineStr">
        <is>
          <t xml:space="preserve">본인</t>
        </is>
      </c>
      <c r="M2484" s="76" t="inlineStr">
        <is>
          <t xml:space="preserve">10/18 첨부 RAW 4행 · 신규 거래. 기존 RAW 행번호와 이전 분류는 보존. 본인 생활비·달력·계산기 반영. WRAP 원장에는 결제를 재기록하지 않음.</t>
        </is>
      </c>
      <c r="N2484" s="76" t="str">
        <f>IF(R2484="WRAP",IF((COUNTIF(잔액!$W$64:$W$500,ROW())+COUNTIF(잔액!$X$64:$X$500,ROW()))=1,"연결",IF((COUNTIF(잔액!$W$64:$W$500,ROW())+COUNTIF(잔액!$X$64:$X$500,ROW()))=0,"누락","중복")),IF(R2484="카드사용","월간·계산기","타계좌·잔액제외"))</f>
        <v>월간·계산기</v>
      </c>
      <c r="O2484"/>
      <c r="P2484"/>
      <c r="Q2484"/>
      <c r="R2484" s="76" t="inlineStr">
        <is>
          <t xml:space="preserve">카드사용</t>
        </is>
      </c>
      <c r="S2484" s="76"/>
    </row>
    <row r="2485" spans="1:19">
      <c r="A2485" s="114">
        <v>46313.676396759256</v>
      </c>
      <c r="B2485" s="78">
        <v>46296.0</v>
      </c>
      <c r="C2485" s="76" t="inlineStr">
        <is>
          <t xml:space="preserve">KB쿠팡와우</t>
        </is>
      </c>
      <c r="D2485" s="76" t="inlineStr">
        <is>
          <t xml:space="preserve">잡화/소품/가구/생필품</t>
        </is>
      </c>
      <c r="E2485" s="76"/>
      <c r="F2485" s="76" t="inlineStr">
        <is>
          <t xml:space="preserve">쿠팡</t>
        </is>
      </c>
      <c r="G2485" s="79">
        <v>35820</v>
      </c>
      <c r="H2485" s="76" t="inlineStr">
        <is>
          <t xml:space="preserve">지출</t>
        </is>
      </c>
      <c r="I2485" s="76" t="inlineStr">
        <is>
          <t xml:space="preserve">바디로션, 가글</t>
        </is>
      </c>
      <c r="J2485" s="76" t="inlineStr">
        <is>
          <t xml:space="preserve">변동비</t>
        </is>
      </c>
      <c r="K2485" s="79">
        <v>35820</v>
      </c>
      <c r="L2485" s="76" t="inlineStr">
        <is>
          <t xml:space="preserve">본인</t>
        </is>
      </c>
      <c r="M2485" s="76" t="inlineStr">
        <is>
          <t xml:space="preserve">10/18 첨부 RAW 3행 · 신규 거래. 기존 RAW 행번호와 이전 분류는 보존. 본인 생활비·달력·계산기 반영. WRAP 원장에는 결제를 재기록하지 않음.</t>
        </is>
      </c>
      <c r="N2485" s="76" t="str">
        <f>IF(R2485="WRAP",IF((COUNTIF(잔액!$W$64:$W$500,ROW())+COUNTIF(잔액!$X$64:$X$500,ROW()))=1,"연결",IF((COUNTIF(잔액!$W$64:$W$500,ROW())+COUNTIF(잔액!$X$64:$X$500,ROW()))=0,"누락","중복")),IF(R2485="카드사용","월간·계산기","타계좌·잔액제외"))</f>
        <v>월간·계산기</v>
      </c>
      <c r="O2485"/>
      <c r="P2485"/>
      <c r="Q2485"/>
      <c r="R2485" s="76" t="inlineStr">
        <is>
          <t xml:space="preserve">카드사용</t>
        </is>
      </c>
      <c r="S2485" s="76"/>
    </row>
    <row r="2486" spans="1:19">
      <c r="A2486" s="114">
        <v>46313.67708631945</v>
      </c>
      <c r="B2486" s="78">
        <v>46296.0</v>
      </c>
      <c r="C2486" s="76" t="inlineStr">
        <is>
          <t xml:space="preserve">우리카드의정석SUPER</t>
        </is>
      </c>
      <c r="D2486" s="76" t="inlineStr">
        <is>
          <t xml:space="preserve">식비</t>
        </is>
      </c>
      <c r="E2486" s="76" t="inlineStr">
        <is>
          <t xml:space="preserve">음료/디저트/간식</t>
        </is>
      </c>
      <c r="F2486" s="76" t="inlineStr">
        <is>
          <t xml:space="preserve">우지커피</t>
        </is>
      </c>
      <c r="G2486" s="79">
        <v>4400</v>
      </c>
      <c r="H2486" s="76" t="inlineStr">
        <is>
          <t xml:space="preserve">지출</t>
        </is>
      </c>
      <c r="I2486" s="76"/>
      <c r="J2486" s="76" t="inlineStr">
        <is>
          <t xml:space="preserve">변동비</t>
        </is>
      </c>
      <c r="K2486" s="79">
        <v>4400</v>
      </c>
      <c r="L2486" s="76" t="inlineStr">
        <is>
          <t xml:space="preserve">본인</t>
        </is>
      </c>
      <c r="M2486" s="76" t="inlineStr">
        <is>
          <t xml:space="preserve">10/18 첨부 RAW 2행 · 신규 거래. 기존 RAW 행번호와 이전 분류는 보존. 본인 생활비·달력·계산기 반영. WRAP 원장에는 결제를 재기록하지 않음.</t>
        </is>
      </c>
      <c r="N2486" s="76" t="str">
        <f>IF(R2486="WRAP",IF((COUNTIF(잔액!$W$64:$W$500,ROW())+COUNTIF(잔액!$X$64:$X$500,ROW()))=1,"연결",IF((COUNTIF(잔액!$W$64:$W$500,ROW())+COUNTIF(잔액!$X$64:$X$500,ROW()))=0,"누락","중복")),IF(R2486="카드사용","월간·계산기","타계좌·잔액제외"))</f>
        <v>월간·계산기</v>
      </c>
      <c r="O2486"/>
      <c r="P2486"/>
      <c r="Q2486"/>
      <c r="R2486" s="76" t="inlineStr">
        <is>
          <t xml:space="preserve">카드사용</t>
        </is>
      </c>
      <c r="S2486" s="76"/>
    </row>
  </sheetData>
  <autoFilter ref="A1:S2486" xr:uid="{00000000-0009-0000-0000-00001C000000}"/>
  <phoneticPr fontId="27" type="noConversion"/>
  <conditionalFormatting sqref="N2323:N2486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U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  <col min="61" max="73" hidden="1" width="12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339000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inlineStr">
        <is>
          <t xml:space="preserve">10월 실제 사용 239,000원. 명절비 선이체 200,000 + 임시보관 39,000. WRAP 추가 차감 없음.</t>
        </is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32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inlineStr">
        <is>
          <t xml:space="preserve">10월 생신 실제 사용 239,000원은 명절비 선이체 200,000원과 임시보관 39,000원으로 충당. 잔금 61,000원은 WRAP 임시보관으로 회수; 소비·적립 아님.</t>
        </is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111000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inlineStr">
        <is>
          <t xml:space="preserve">원본 적립 차이 −100,000 보존. 생신 사용 239,000은 명절비 200,000 + 임시보관 39,000으로 충당하여 경조사비 잔액에서 다시 빼지 않음.</t>
        </is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2111000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326120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0">
      <c r="BI80">
        <v>45992.0</v>
      </c>
      <c r="BJ80">
        <v>46023.0</v>
      </c>
      <c r="BK80">
        <v>46054.0</v>
      </c>
      <c r="BL80">
        <v>46082.0</v>
      </c>
      <c r="BM80">
        <v>46113.0</v>
      </c>
      <c r="BN80">
        <v>46143.0</v>
      </c>
      <c r="BO80">
        <v>46174.0</v>
      </c>
      <c r="BP80">
        <v>46204.0</v>
      </c>
      <c r="BQ80">
        <v>46235.0</v>
      </c>
      <c r="BR80">
        <v>46266.0</v>
      </c>
      <c r="BS80">
        <v>46296.0</v>
      </c>
      <c r="BT80">
        <v>46327.0</v>
      </c>
      <c r="BU80">
        <v>46357.0</v>
      </c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  <c r="BH81" t="inlineStr">
        <is>
          <t xml:space="preserve">명절비</t>
        </is>
      </c>
      <c r="BI81">
        <f>SUMIF(예비비!$C$100:$C$399,$BH81,BI$100:BI$399)</f>
        <v>0</v>
      </c>
      <c r="BJ81">
        <f>SUMIF(예비비!$C$100:$C$399,$BH81,BJ$100:BJ$399)</f>
        <v>0</v>
      </c>
      <c r="BK81">
        <f>SUMIF(예비비!$C$100:$C$399,$BH81,BK$100:BK$399)</f>
        <v>100000</v>
      </c>
      <c r="BL81">
        <f>SUMIF(예비비!$C$100:$C$399,$BH81,BL$100:BL$399)</f>
        <v>0</v>
      </c>
      <c r="BM81">
        <f>SUMIF(예비비!$C$100:$C$399,$BH81,BM$100:BM$399)</f>
        <v>0</v>
      </c>
      <c r="BN81">
        <f>SUMIF(예비비!$C$100:$C$399,$BH81,BN$100:BN$399)</f>
        <v>0</v>
      </c>
      <c r="BO81">
        <f>SUMIF(예비비!$C$100:$C$399,$BH81,BO$100:BO$399)</f>
        <v>0</v>
      </c>
      <c r="BP81">
        <f>SUMIF(예비비!$C$100:$C$399,$BH81,BP$100:BP$399)</f>
        <v>0</v>
      </c>
      <c r="BQ81">
        <f>SUMIF(예비비!$C$100:$C$399,$BH81,BQ$100:BQ$399)</f>
        <v>0</v>
      </c>
      <c r="BR81">
        <f>SUMIF(예비비!$C$100:$C$399,$BH81,BR$100:BR$399)</f>
        <v>0</v>
      </c>
      <c r="BS81">
        <f>SUMIF(예비비!$C$100:$C$399,$BH81,BS$100:BS$399)</f>
        <v>0</v>
      </c>
      <c r="BT81">
        <f>SUMIF(예비비!$C$100:$C$399,$BH81,BT$100:BT$399)</f>
        <v>0</v>
      </c>
      <c r="BU81">
        <f>SUMIF(예비비!$C$100:$C$399,$BH81,BU$100:BU$399)</f>
        <v>0</v>
      </c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  <c r="BH82" t="inlineStr">
        <is>
          <t xml:space="preserve">여행비</t>
        </is>
      </c>
      <c r="BI82">
        <f>SUMIF(예비비!$C$100:$C$399,$BH82,BI$100:BI$399)</f>
        <v>0</v>
      </c>
      <c r="BJ82">
        <f>SUMIF(예비비!$C$100:$C$399,$BH82,BJ$100:BJ$399)</f>
        <v>0</v>
      </c>
      <c r="BK82">
        <f>SUMIF(예비비!$C$100:$C$399,$BH82,BK$100:BK$399)</f>
        <v>0</v>
      </c>
      <c r="BL82">
        <f>SUMIF(예비비!$C$100:$C$399,$BH82,BL$100:BL$399)</f>
        <v>0</v>
      </c>
      <c r="BM82">
        <f>SUMIF(예비비!$C$100:$C$399,$BH82,BM$100:BM$399)</f>
        <v>0</v>
      </c>
      <c r="BN82">
        <f>SUMIF(예비비!$C$100:$C$399,$BH82,BN$100:BN$399)</f>
        <v>0</v>
      </c>
      <c r="BO82">
        <f>SUMIF(예비비!$C$100:$C$399,$BH82,BO$100:BO$399)</f>
        <v>0</v>
      </c>
      <c r="BP82">
        <f>SUMIF(예비비!$C$100:$C$399,$BH82,BP$100:BP$399)</f>
        <v>0</v>
      </c>
      <c r="BQ82">
        <f>SUMIF(예비비!$C$100:$C$399,$BH82,BQ$100:BQ$399)</f>
        <v>0</v>
      </c>
      <c r="BR82">
        <f>SUMIF(예비비!$C$100:$C$399,$BH82,BR$100:BR$399)</f>
        <v>0</v>
      </c>
      <c r="BS82">
        <f>SUMIF(예비비!$C$100:$C$399,$BH82,BS$100:BS$399)</f>
        <v>0</v>
      </c>
      <c r="BT82">
        <f>SUMIF(예비비!$C$100:$C$399,$BH82,BT$100:BT$399)</f>
        <v>0</v>
      </c>
      <c r="BU82">
        <f>SUMIF(예비비!$C$100:$C$399,$BH82,BU$100:BU$399)</f>
        <v>0</v>
      </c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  <c r="BH83" t="inlineStr">
        <is>
          <t xml:space="preserve">경조사비</t>
        </is>
      </c>
      <c r="BI83">
        <f>SUMIF(예비비!$C$100:$C$399,$BH83,BI$100:BI$399)</f>
        <v>0</v>
      </c>
      <c r="BJ83">
        <f>SUMIF(예비비!$C$100:$C$399,$BH83,BJ$100:BJ$399)</f>
        <v>50000</v>
      </c>
      <c r="BK83">
        <f>SUMIF(예비비!$C$100:$C$399,$BH83,BK$100:BK$399)</f>
        <v>50000</v>
      </c>
      <c r="BL83">
        <f>SUMIF(예비비!$C$100:$C$399,$BH83,BL$100:BL$399)</f>
        <v>0</v>
      </c>
      <c r="BM83">
        <f>SUMIF(예비비!$C$100:$C$399,$BH83,BM$100:BM$399)</f>
        <v>0</v>
      </c>
      <c r="BN83">
        <f>SUMIF(예비비!$C$100:$C$399,$BH83,BN$100:BN$399)</f>
        <v>0</v>
      </c>
      <c r="BO83">
        <f>SUMIF(예비비!$C$100:$C$399,$BH83,BO$100:BO$399)</f>
        <v>0</v>
      </c>
      <c r="BP83">
        <f>SUMIF(예비비!$C$100:$C$399,$BH83,BP$100:BP$399)</f>
        <v>0</v>
      </c>
      <c r="BQ83">
        <f>SUMIF(예비비!$C$100:$C$399,$BH83,BQ$100:BQ$399)</f>
        <v>0</v>
      </c>
      <c r="BR83">
        <f>SUMIF(예비비!$C$100:$C$399,$BH83,BR$100:BR$399)</f>
        <v>0</v>
      </c>
      <c r="BS83">
        <f>SUMIF(예비비!$C$100:$C$399,$BH83,BS$100:BS$399)</f>
        <v>0</v>
      </c>
      <c r="BT83">
        <f>SUMIF(예비비!$C$100:$C$399,$BH83,BT$100:BT$399)</f>
        <v>0</v>
      </c>
      <c r="BU83">
        <f>SUMIF(예비비!$C$100:$C$399,$BH83,BU$100:BU$399)</f>
        <v>0</v>
      </c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  <c r="BH84" t="inlineStr">
        <is>
          <t xml:space="preserve">상환비</t>
        </is>
      </c>
      <c r="BI84">
        <f>SUMIF(예비비!$C$100:$C$399,$BH84,BI$100:BI$399)</f>
        <v>0</v>
      </c>
      <c r="BJ84">
        <f>SUMIF(예비비!$C$100:$C$399,$BH84,BJ$100:BJ$399)</f>
        <v>0</v>
      </c>
      <c r="BK84">
        <f>SUMIF(예비비!$C$100:$C$399,$BH84,BK$100:BK$399)</f>
        <v>0</v>
      </c>
      <c r="BL84">
        <f>SUMIF(예비비!$C$100:$C$399,$BH84,BL$100:BL$399)</f>
        <v>0</v>
      </c>
      <c r="BM84">
        <f>SUMIF(예비비!$C$100:$C$399,$BH84,BM$100:BM$399)</f>
        <v>0</v>
      </c>
      <c r="BN84">
        <f>SUMIF(예비비!$C$100:$C$399,$BH84,BN$100:BN$399)</f>
        <v>0</v>
      </c>
      <c r="BO84">
        <f>SUMIF(예비비!$C$100:$C$399,$BH84,BO$100:BO$399)</f>
        <v>0</v>
      </c>
      <c r="BP84">
        <f>SUMIF(예비비!$C$100:$C$399,$BH84,BP$100:BP$399)</f>
        <v>0</v>
      </c>
      <c r="BQ84">
        <f>SUMIF(예비비!$C$100:$C$399,$BH84,BQ$100:BQ$399)</f>
        <v>0</v>
      </c>
      <c r="BR84">
        <f>SUMIF(예비비!$C$100:$C$399,$BH84,BR$100:BR$399)</f>
        <v>0</v>
      </c>
      <c r="BS84">
        <f>SUMIF(예비비!$C$100:$C$399,$BH84,BS$100:BS$399)</f>
        <v>0</v>
      </c>
      <c r="BT84">
        <f>SUMIF(예비비!$C$100:$C$399,$BH84,BT$100:BT$399)</f>
        <v>0</v>
      </c>
      <c r="BU84">
        <f>SUMIF(예비비!$C$100:$C$399,$BH84,BU$100:BU$399)</f>
        <v>0</v>
      </c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  <c r="BH85" t="inlineStr">
        <is>
          <t xml:space="preserve">예비비</t>
        </is>
      </c>
      <c r="BI85">
        <f>SUMIF(예비비!$C$100:$C$399,$BH85,BI$100:BI$399)</f>
        <v>0</v>
      </c>
      <c r="BJ85">
        <f>SUMIF(예비비!$C$100:$C$399,$BH85,BJ$100:BJ$399)</f>
        <v>0</v>
      </c>
      <c r="BK85">
        <f>SUMIF(예비비!$C$100:$C$399,$BH85,BK$100:BK$399)</f>
        <v>200000</v>
      </c>
      <c r="BL85">
        <f>SUMIF(예비비!$C$100:$C$399,$BH85,BL$100:BL$399)</f>
        <v>0</v>
      </c>
      <c r="BM85">
        <f>SUMIF(예비비!$C$100:$C$399,$BH85,BM$100:BM$399)</f>
        <v>0</v>
      </c>
      <c r="BN85">
        <f>SUMIF(예비비!$C$100:$C$399,$BH85,BN$100:BN$399)</f>
        <v>0</v>
      </c>
      <c r="BO85">
        <f>SUMIF(예비비!$C$100:$C$399,$BH85,BO$100:BO$399)</f>
        <v>0</v>
      </c>
      <c r="BP85">
        <f>SUMIF(예비비!$C$100:$C$399,$BH85,BP$100:BP$399)</f>
        <v>0</v>
      </c>
      <c r="BQ85">
        <f>SUMIF(예비비!$C$100:$C$399,$BH85,BQ$100:BQ$399)</f>
        <v>0</v>
      </c>
      <c r="BR85">
        <f>SUMIF(예비비!$C$100:$C$399,$BH85,BR$100:BR$399)</f>
        <v>0</v>
      </c>
      <c r="BS85">
        <f>SUMIF(예비비!$C$100:$C$399,$BH85,BS$100:BS$399)</f>
        <v>0</v>
      </c>
      <c r="BT85">
        <f>SUMIF(예비비!$C$100:$C$399,$BH85,BT$100:BT$399)</f>
        <v>0</v>
      </c>
      <c r="BU85">
        <f>SUMIF(예비비!$C$100:$C$399,$BH85,BU$100:BU$399)</f>
        <v>0</v>
      </c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  <c r="BH86" t="inlineStr">
        <is>
          <t xml:space="preserve">결제대금비</t>
        </is>
      </c>
      <c r="BI86">
        <f>SUM(BI81:BI85)</f>
        <v>0</v>
      </c>
      <c r="BJ86">
        <f>SUM(BJ81:BJ85)</f>
        <v>50000</v>
      </c>
      <c r="BK86">
        <f>SUM(BK81:BK85)</f>
        <v>350000</v>
      </c>
      <c r="BL86">
        <f>SUM(BL81:BL85)</f>
        <v>0</v>
      </c>
      <c r="BM86">
        <f>SUM(BM81:BM85)</f>
        <v>0</v>
      </c>
      <c r="BN86">
        <f>SUM(BN81:BN85)</f>
        <v>0</v>
      </c>
      <c r="BO86">
        <f>SUM(BO81:BO85)</f>
        <v>0</v>
      </c>
      <c r="BP86">
        <f>SUM(BP81:BP85)</f>
        <v>0</v>
      </c>
      <c r="BQ86">
        <f>SUM(BQ81:BQ85)</f>
        <v>0</v>
      </c>
      <c r="BR86">
        <f>SUM(BR81:BR85)</f>
        <v>0</v>
      </c>
      <c r="BS86">
        <f>SUM(BS81:BS85)</f>
        <v>0</v>
      </c>
      <c r="BT86">
        <f>SUM(BT81:BT85)</f>
        <v>0</v>
      </c>
      <c r="BU86">
        <f>SUM(BU81:BU85)</f>
        <v>0</v>
      </c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99">
      <c r="BI99">
        <v>45992.0</v>
      </c>
      <c r="BJ99">
        <v>46023.0</v>
      </c>
      <c r="BK99">
        <v>46054.0</v>
      </c>
      <c r="BL99">
        <v>46082.0</v>
      </c>
      <c r="BM99">
        <v>46113.0</v>
      </c>
      <c r="BN99">
        <v>46143.0</v>
      </c>
      <c r="BO99">
        <v>46174.0</v>
      </c>
      <c r="BP99">
        <v>46204.0</v>
      </c>
      <c r="BQ99">
        <v>46235.0</v>
      </c>
      <c r="BR99">
        <v>46266.0</v>
      </c>
      <c r="BS99">
        <v>46296.0</v>
      </c>
      <c r="BT99">
        <v>46327.0</v>
      </c>
      <c r="BU99">
        <v>46357.0</v>
      </c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  <c r="BI100">
        <f>IF(예비비!$R100="OK",SUMIFS(예비비!$O$430:$O$729,예비비!$B$430:$B$729,예비비!$A100,예비비!$E$430:$E$729,"&lt;"&amp;EDATE(BI$99,1),예비비!$F$430:$F$729,"결제대금비")+MAX(0,IF(예비비!$D100&lt;EDATE(BI$99,1),예비비!$E100,0)-SUMIFS(예비비!$O$430:$O$729,예비비!$B$430:$B$729,예비비!$A100,예비비!$E$430:$E$729,"&lt;"&amp;EDATE(BI$99,1))),0)</f>
        <v>0</v>
      </c>
      <c r="BJ100">
        <f>IF(예비비!$R100="OK",SUMIFS(예비비!$O$430:$O$729,예비비!$B$430:$B$729,예비비!$A100,예비비!$E$430:$E$729,"&lt;"&amp;EDATE(BJ$99,1),예비비!$F$430:$F$729,"결제대금비")+MAX(0,IF(예비비!$D100&lt;EDATE(BJ$99,1),예비비!$E100,0)-SUMIFS(예비비!$O$430:$O$729,예비비!$B$430:$B$729,예비비!$A100,예비비!$E$430:$E$729,"&lt;"&amp;EDATE(BJ$99,1))),0)</f>
        <v>50000</v>
      </c>
      <c r="BK100">
        <f>IF(예비비!$R100="OK",SUMIFS(예비비!$O$430:$O$729,예비비!$B$430:$B$729,예비비!$A100,예비비!$E$430:$E$729,"&lt;"&amp;EDATE(BK$99,1),예비비!$F$430:$F$729,"결제대금비")+MAX(0,IF(예비비!$D100&lt;EDATE(BK$99,1),예비비!$E100,0)-SUMIFS(예비비!$O$430:$O$729,예비비!$B$430:$B$729,예비비!$A100,예비비!$E$430:$E$729,"&lt;"&amp;EDATE(BK$99,1))),0)</f>
        <v>50000</v>
      </c>
      <c r="BL100">
        <f>IF(예비비!$R100="OK",SUMIFS(예비비!$O$430:$O$729,예비비!$B$430:$B$729,예비비!$A100,예비비!$E$430:$E$729,"&lt;"&amp;EDATE(BL$99,1),예비비!$F$430:$F$729,"결제대금비")+MAX(0,IF(예비비!$D100&lt;EDATE(BL$99,1),예비비!$E100,0)-SUMIFS(예비비!$O$430:$O$729,예비비!$B$430:$B$729,예비비!$A100,예비비!$E$430:$E$729,"&lt;"&amp;EDATE(BL$99,1))),0)</f>
        <v>0</v>
      </c>
      <c r="BM100">
        <f>IF(예비비!$R100="OK",SUMIFS(예비비!$O$430:$O$729,예비비!$B$430:$B$729,예비비!$A100,예비비!$E$430:$E$729,"&lt;"&amp;EDATE(BM$99,1),예비비!$F$430:$F$729,"결제대금비")+MAX(0,IF(예비비!$D100&lt;EDATE(BM$99,1),예비비!$E100,0)-SUMIFS(예비비!$O$430:$O$729,예비비!$B$430:$B$729,예비비!$A100,예비비!$E$430:$E$729,"&lt;"&amp;EDATE(BM$99,1))),0)</f>
        <v>0</v>
      </c>
      <c r="BN100">
        <f>IF(예비비!$R100="OK",SUMIFS(예비비!$O$430:$O$729,예비비!$B$430:$B$729,예비비!$A100,예비비!$E$430:$E$729,"&lt;"&amp;EDATE(BN$99,1),예비비!$F$430:$F$729,"결제대금비")+MAX(0,IF(예비비!$D100&lt;EDATE(BN$99,1),예비비!$E100,0)-SUMIFS(예비비!$O$430:$O$729,예비비!$B$430:$B$729,예비비!$A100,예비비!$E$430:$E$729,"&lt;"&amp;EDATE(BN$99,1))),0)</f>
        <v>0</v>
      </c>
      <c r="BO100">
        <f>IF(예비비!$R100="OK",SUMIFS(예비비!$O$430:$O$729,예비비!$B$430:$B$729,예비비!$A100,예비비!$E$430:$E$729,"&lt;"&amp;EDATE(BO$99,1),예비비!$F$430:$F$729,"결제대금비")+MAX(0,IF(예비비!$D100&lt;EDATE(BO$99,1),예비비!$E100,0)-SUMIFS(예비비!$O$430:$O$729,예비비!$B$430:$B$729,예비비!$A100,예비비!$E$430:$E$729,"&lt;"&amp;EDATE(BO$99,1))),0)</f>
        <v>0</v>
      </c>
      <c r="BP100">
        <f>IF(예비비!$R100="OK",SUMIFS(예비비!$O$430:$O$729,예비비!$B$430:$B$729,예비비!$A100,예비비!$E$430:$E$729,"&lt;"&amp;EDATE(BP$99,1),예비비!$F$430:$F$729,"결제대금비")+MAX(0,IF(예비비!$D100&lt;EDATE(BP$99,1),예비비!$E100,0)-SUMIFS(예비비!$O$430:$O$729,예비비!$B$430:$B$729,예비비!$A100,예비비!$E$430:$E$729,"&lt;"&amp;EDATE(BP$99,1))),0)</f>
        <v>0</v>
      </c>
      <c r="BQ100">
        <f>IF(예비비!$R100="OK",SUMIFS(예비비!$O$430:$O$729,예비비!$B$430:$B$729,예비비!$A100,예비비!$E$430:$E$729,"&lt;"&amp;EDATE(BQ$99,1),예비비!$F$430:$F$729,"결제대금비")+MAX(0,IF(예비비!$D100&lt;EDATE(BQ$99,1),예비비!$E100,0)-SUMIFS(예비비!$O$430:$O$729,예비비!$B$430:$B$729,예비비!$A100,예비비!$E$430:$E$729,"&lt;"&amp;EDATE(BQ$99,1))),0)</f>
        <v>0</v>
      </c>
      <c r="BR100">
        <f>IF(예비비!$R100="OK",SUMIFS(예비비!$O$430:$O$729,예비비!$B$430:$B$729,예비비!$A100,예비비!$E$430:$E$729,"&lt;"&amp;EDATE(BR$99,1),예비비!$F$430:$F$729,"결제대금비")+MAX(0,IF(예비비!$D100&lt;EDATE(BR$99,1),예비비!$E100,0)-SUMIFS(예비비!$O$430:$O$729,예비비!$B$430:$B$729,예비비!$A100,예비비!$E$430:$E$729,"&lt;"&amp;EDATE(BR$99,1))),0)</f>
        <v>0</v>
      </c>
      <c r="BS100">
        <f>IF(예비비!$R100="OK",SUMIFS(예비비!$O$430:$O$729,예비비!$B$430:$B$729,예비비!$A100,예비비!$E$430:$E$729,"&lt;"&amp;EDATE(BS$99,1),예비비!$F$430:$F$729,"결제대금비")+MAX(0,IF(예비비!$D100&lt;EDATE(BS$99,1),예비비!$E100,0)-SUMIFS(예비비!$O$430:$O$729,예비비!$B$430:$B$729,예비비!$A100,예비비!$E$430:$E$729,"&lt;"&amp;EDATE(BS$99,1))),0)</f>
        <v>0</v>
      </c>
      <c r="BT100">
        <f>IF(예비비!$R100="OK",SUMIFS(예비비!$O$430:$O$729,예비비!$B$430:$B$729,예비비!$A100,예비비!$E$430:$E$729,"&lt;"&amp;EDATE(BT$99,1),예비비!$F$430:$F$729,"결제대금비")+MAX(0,IF(예비비!$D100&lt;EDATE(BT$99,1),예비비!$E100,0)-SUMIFS(예비비!$O$430:$O$729,예비비!$B$430:$B$729,예비비!$A100,예비비!$E$430:$E$729,"&lt;"&amp;EDATE(BT$99,1))),0)</f>
        <v>0</v>
      </c>
      <c r="BU100">
        <f>IF(예비비!$R100="OK",SUMIFS(예비비!$O$430:$O$729,예비비!$B$430:$B$729,예비비!$A100,예비비!$E$430:$E$729,"&lt;"&amp;EDATE(BU$99,1),예비비!$F$430:$F$729,"결제대금비")+MAX(0,IF(예비비!$D100&lt;EDATE(BU$99,1),예비비!$E100,0)-SUMIFS(예비비!$O$430:$O$729,예비비!$B$430:$B$729,예비비!$A100,예비비!$E$430:$E$729,"&lt;"&amp;EDATE(BU$99,1))),0)</f>
        <v>0</v>
      </c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  <c r="BI101">
        <f>IF(예비비!$R101="OK",SUMIFS(예비비!$O$430:$O$729,예비비!$B$430:$B$729,예비비!$A101,예비비!$E$430:$E$729,"&lt;"&amp;EDATE(BI$99,1),예비비!$F$430:$F$729,"결제대금비")+MAX(0,IF(예비비!$D101&lt;EDATE(BI$99,1),예비비!$E101,0)-SUMIFS(예비비!$O$430:$O$729,예비비!$B$430:$B$729,예비비!$A101,예비비!$E$430:$E$729,"&lt;"&amp;EDATE(BI$99,1))),0)</f>
        <v>0</v>
      </c>
      <c r="BJ101">
        <f>IF(예비비!$R101="OK",SUMIFS(예비비!$O$430:$O$729,예비비!$B$430:$B$729,예비비!$A101,예비비!$E$430:$E$729,"&lt;"&amp;EDATE(BJ$99,1),예비비!$F$430:$F$729,"결제대금비")+MAX(0,IF(예비비!$D101&lt;EDATE(BJ$99,1),예비비!$E101,0)-SUMIFS(예비비!$O$430:$O$729,예비비!$B$430:$B$729,예비비!$A101,예비비!$E$430:$E$729,"&lt;"&amp;EDATE(BJ$99,1))),0)</f>
        <v>0</v>
      </c>
      <c r="BK101">
        <f>IF(예비비!$R101="OK",SUMIFS(예비비!$O$430:$O$729,예비비!$B$430:$B$729,예비비!$A101,예비비!$E$430:$E$729,"&lt;"&amp;EDATE(BK$99,1),예비비!$F$430:$F$729,"결제대금비")+MAX(0,IF(예비비!$D101&lt;EDATE(BK$99,1),예비비!$E101,0)-SUMIFS(예비비!$O$430:$O$729,예비비!$B$430:$B$729,예비비!$A101,예비비!$E$430:$E$729,"&lt;"&amp;EDATE(BK$99,1))),0)</f>
        <v>100000</v>
      </c>
      <c r="BL101">
        <f>IF(예비비!$R101="OK",SUMIFS(예비비!$O$430:$O$729,예비비!$B$430:$B$729,예비비!$A101,예비비!$E$430:$E$729,"&lt;"&amp;EDATE(BL$99,1),예비비!$F$430:$F$729,"결제대금비")+MAX(0,IF(예비비!$D101&lt;EDATE(BL$99,1),예비비!$E101,0)-SUMIFS(예비비!$O$430:$O$729,예비비!$B$430:$B$729,예비비!$A101,예비비!$E$430:$E$729,"&lt;"&amp;EDATE(BL$99,1))),0)</f>
        <v>0</v>
      </c>
      <c r="BM101">
        <f>IF(예비비!$R101="OK",SUMIFS(예비비!$O$430:$O$729,예비비!$B$430:$B$729,예비비!$A101,예비비!$E$430:$E$729,"&lt;"&amp;EDATE(BM$99,1),예비비!$F$430:$F$729,"결제대금비")+MAX(0,IF(예비비!$D101&lt;EDATE(BM$99,1),예비비!$E101,0)-SUMIFS(예비비!$O$430:$O$729,예비비!$B$430:$B$729,예비비!$A101,예비비!$E$430:$E$729,"&lt;"&amp;EDATE(BM$99,1))),0)</f>
        <v>0</v>
      </c>
      <c r="BN101">
        <f>IF(예비비!$R101="OK",SUMIFS(예비비!$O$430:$O$729,예비비!$B$430:$B$729,예비비!$A101,예비비!$E$430:$E$729,"&lt;"&amp;EDATE(BN$99,1),예비비!$F$430:$F$729,"결제대금비")+MAX(0,IF(예비비!$D101&lt;EDATE(BN$99,1),예비비!$E101,0)-SUMIFS(예비비!$O$430:$O$729,예비비!$B$430:$B$729,예비비!$A101,예비비!$E$430:$E$729,"&lt;"&amp;EDATE(BN$99,1))),0)</f>
        <v>0</v>
      </c>
      <c r="BO101">
        <f>IF(예비비!$R101="OK",SUMIFS(예비비!$O$430:$O$729,예비비!$B$430:$B$729,예비비!$A101,예비비!$E$430:$E$729,"&lt;"&amp;EDATE(BO$99,1),예비비!$F$430:$F$729,"결제대금비")+MAX(0,IF(예비비!$D101&lt;EDATE(BO$99,1),예비비!$E101,0)-SUMIFS(예비비!$O$430:$O$729,예비비!$B$430:$B$729,예비비!$A101,예비비!$E$430:$E$729,"&lt;"&amp;EDATE(BO$99,1))),0)</f>
        <v>0</v>
      </c>
      <c r="BP101">
        <f>IF(예비비!$R101="OK",SUMIFS(예비비!$O$430:$O$729,예비비!$B$430:$B$729,예비비!$A101,예비비!$E$430:$E$729,"&lt;"&amp;EDATE(BP$99,1),예비비!$F$430:$F$729,"결제대금비")+MAX(0,IF(예비비!$D101&lt;EDATE(BP$99,1),예비비!$E101,0)-SUMIFS(예비비!$O$430:$O$729,예비비!$B$430:$B$729,예비비!$A101,예비비!$E$430:$E$729,"&lt;"&amp;EDATE(BP$99,1))),0)</f>
        <v>0</v>
      </c>
      <c r="BQ101">
        <f>IF(예비비!$R101="OK",SUMIFS(예비비!$O$430:$O$729,예비비!$B$430:$B$729,예비비!$A101,예비비!$E$430:$E$729,"&lt;"&amp;EDATE(BQ$99,1),예비비!$F$430:$F$729,"결제대금비")+MAX(0,IF(예비비!$D101&lt;EDATE(BQ$99,1),예비비!$E101,0)-SUMIFS(예비비!$O$430:$O$729,예비비!$B$430:$B$729,예비비!$A101,예비비!$E$430:$E$729,"&lt;"&amp;EDATE(BQ$99,1))),0)</f>
        <v>0</v>
      </c>
      <c r="BR101">
        <f>IF(예비비!$R101="OK",SUMIFS(예비비!$O$430:$O$729,예비비!$B$430:$B$729,예비비!$A101,예비비!$E$430:$E$729,"&lt;"&amp;EDATE(BR$99,1),예비비!$F$430:$F$729,"결제대금비")+MAX(0,IF(예비비!$D101&lt;EDATE(BR$99,1),예비비!$E101,0)-SUMIFS(예비비!$O$430:$O$729,예비비!$B$430:$B$729,예비비!$A101,예비비!$E$430:$E$729,"&lt;"&amp;EDATE(BR$99,1))),0)</f>
        <v>0</v>
      </c>
      <c r="BS101">
        <f>IF(예비비!$R101="OK",SUMIFS(예비비!$O$430:$O$729,예비비!$B$430:$B$729,예비비!$A101,예비비!$E$430:$E$729,"&lt;"&amp;EDATE(BS$99,1),예비비!$F$430:$F$729,"결제대금비")+MAX(0,IF(예비비!$D101&lt;EDATE(BS$99,1),예비비!$E101,0)-SUMIFS(예비비!$O$430:$O$729,예비비!$B$430:$B$729,예비비!$A101,예비비!$E$430:$E$729,"&lt;"&amp;EDATE(BS$99,1))),0)</f>
        <v>0</v>
      </c>
      <c r="BT101">
        <f>IF(예비비!$R101="OK",SUMIFS(예비비!$O$430:$O$729,예비비!$B$430:$B$729,예비비!$A101,예비비!$E$430:$E$729,"&lt;"&amp;EDATE(BT$99,1),예비비!$F$430:$F$729,"결제대금비")+MAX(0,IF(예비비!$D101&lt;EDATE(BT$99,1),예비비!$E101,0)-SUMIFS(예비비!$O$430:$O$729,예비비!$B$430:$B$729,예비비!$A101,예비비!$E$430:$E$729,"&lt;"&amp;EDATE(BT$99,1))),0)</f>
        <v>0</v>
      </c>
      <c r="BU101">
        <f>IF(예비비!$R101="OK",SUMIFS(예비비!$O$430:$O$729,예비비!$B$430:$B$729,예비비!$A101,예비비!$E$430:$E$729,"&lt;"&amp;EDATE(BU$99,1),예비비!$F$430:$F$729,"결제대금비")+MAX(0,IF(예비비!$D101&lt;EDATE(BU$99,1),예비비!$E101,0)-SUMIFS(예비비!$O$430:$O$729,예비비!$B$430:$B$729,예비비!$A101,예비비!$E$430:$E$729,"&lt;"&amp;EDATE(BU$99,1))),0)</f>
        <v>0</v>
      </c>
    </row>
    <row r="102">
      <c r="BI102">
        <f>IF(예비비!$R102="OK",SUMIFS(예비비!$O$430:$O$729,예비비!$B$430:$B$729,예비비!$A102,예비비!$E$430:$E$729,"&lt;"&amp;EDATE(BI$99,1),예비비!$F$430:$F$729,"결제대금비")+MAX(0,IF(예비비!$D102&lt;EDATE(BI$99,1),예비비!$E102,0)-SUMIFS(예비비!$O$430:$O$729,예비비!$B$430:$B$729,예비비!$A102,예비비!$E$430:$E$729,"&lt;"&amp;EDATE(BI$99,1))),0)</f>
        <v>0</v>
      </c>
      <c r="BJ102">
        <f>IF(예비비!$R102="OK",SUMIFS(예비비!$O$430:$O$729,예비비!$B$430:$B$729,예비비!$A102,예비비!$E$430:$E$729,"&lt;"&amp;EDATE(BJ$99,1),예비비!$F$430:$F$729,"결제대금비")+MAX(0,IF(예비비!$D102&lt;EDATE(BJ$99,1),예비비!$E102,0)-SUMIFS(예비비!$O$430:$O$729,예비비!$B$430:$B$729,예비비!$A102,예비비!$E$430:$E$729,"&lt;"&amp;EDATE(BJ$99,1))),0)</f>
        <v>0</v>
      </c>
      <c r="BK102">
        <f>IF(예비비!$R102="OK",SUMIFS(예비비!$O$430:$O$729,예비비!$B$430:$B$729,예비비!$A102,예비비!$E$430:$E$729,"&lt;"&amp;EDATE(BK$99,1),예비비!$F$430:$F$729,"결제대금비")+MAX(0,IF(예비비!$D102&lt;EDATE(BK$99,1),예비비!$E102,0)-SUMIFS(예비비!$O$430:$O$729,예비비!$B$430:$B$729,예비비!$A102,예비비!$E$430:$E$729,"&lt;"&amp;EDATE(BK$99,1))),0)</f>
        <v>200000</v>
      </c>
      <c r="BL102">
        <f>IF(예비비!$R102="OK",SUMIFS(예비비!$O$430:$O$729,예비비!$B$430:$B$729,예비비!$A102,예비비!$E$430:$E$729,"&lt;"&amp;EDATE(BL$99,1),예비비!$F$430:$F$729,"결제대금비")+MAX(0,IF(예비비!$D102&lt;EDATE(BL$99,1),예비비!$E102,0)-SUMIFS(예비비!$O$430:$O$729,예비비!$B$430:$B$729,예비비!$A102,예비비!$E$430:$E$729,"&lt;"&amp;EDATE(BL$99,1))),0)</f>
        <v>0</v>
      </c>
      <c r="BM102">
        <f>IF(예비비!$R102="OK",SUMIFS(예비비!$O$430:$O$729,예비비!$B$430:$B$729,예비비!$A102,예비비!$E$430:$E$729,"&lt;"&amp;EDATE(BM$99,1),예비비!$F$430:$F$729,"결제대금비")+MAX(0,IF(예비비!$D102&lt;EDATE(BM$99,1),예비비!$E102,0)-SUMIFS(예비비!$O$430:$O$729,예비비!$B$430:$B$729,예비비!$A102,예비비!$E$430:$E$729,"&lt;"&amp;EDATE(BM$99,1))),0)</f>
        <v>0</v>
      </c>
      <c r="BN102">
        <f>IF(예비비!$R102="OK",SUMIFS(예비비!$O$430:$O$729,예비비!$B$430:$B$729,예비비!$A102,예비비!$E$430:$E$729,"&lt;"&amp;EDATE(BN$99,1),예비비!$F$430:$F$729,"결제대금비")+MAX(0,IF(예비비!$D102&lt;EDATE(BN$99,1),예비비!$E102,0)-SUMIFS(예비비!$O$430:$O$729,예비비!$B$430:$B$729,예비비!$A102,예비비!$E$430:$E$729,"&lt;"&amp;EDATE(BN$99,1))),0)</f>
        <v>0</v>
      </c>
      <c r="BO102">
        <f>IF(예비비!$R102="OK",SUMIFS(예비비!$O$430:$O$729,예비비!$B$430:$B$729,예비비!$A102,예비비!$E$430:$E$729,"&lt;"&amp;EDATE(BO$99,1),예비비!$F$430:$F$729,"결제대금비")+MAX(0,IF(예비비!$D102&lt;EDATE(BO$99,1),예비비!$E102,0)-SUMIFS(예비비!$O$430:$O$729,예비비!$B$430:$B$729,예비비!$A102,예비비!$E$430:$E$729,"&lt;"&amp;EDATE(BO$99,1))),0)</f>
        <v>0</v>
      </c>
      <c r="BP102">
        <f>IF(예비비!$R102="OK",SUMIFS(예비비!$O$430:$O$729,예비비!$B$430:$B$729,예비비!$A102,예비비!$E$430:$E$729,"&lt;"&amp;EDATE(BP$99,1),예비비!$F$430:$F$729,"결제대금비")+MAX(0,IF(예비비!$D102&lt;EDATE(BP$99,1),예비비!$E102,0)-SUMIFS(예비비!$O$430:$O$729,예비비!$B$430:$B$729,예비비!$A102,예비비!$E$430:$E$729,"&lt;"&amp;EDATE(BP$99,1))),0)</f>
        <v>0</v>
      </c>
      <c r="BQ102">
        <f>IF(예비비!$R102="OK",SUMIFS(예비비!$O$430:$O$729,예비비!$B$430:$B$729,예비비!$A102,예비비!$E$430:$E$729,"&lt;"&amp;EDATE(BQ$99,1),예비비!$F$430:$F$729,"결제대금비")+MAX(0,IF(예비비!$D102&lt;EDATE(BQ$99,1),예비비!$E102,0)-SUMIFS(예비비!$O$430:$O$729,예비비!$B$430:$B$729,예비비!$A102,예비비!$E$430:$E$729,"&lt;"&amp;EDATE(BQ$99,1))),0)</f>
        <v>0</v>
      </c>
      <c r="BR102">
        <f>IF(예비비!$R102="OK",SUMIFS(예비비!$O$430:$O$729,예비비!$B$430:$B$729,예비비!$A102,예비비!$E$430:$E$729,"&lt;"&amp;EDATE(BR$99,1),예비비!$F$430:$F$729,"결제대금비")+MAX(0,IF(예비비!$D102&lt;EDATE(BR$99,1),예비비!$E102,0)-SUMIFS(예비비!$O$430:$O$729,예비비!$B$430:$B$729,예비비!$A102,예비비!$E$430:$E$729,"&lt;"&amp;EDATE(BR$99,1))),0)</f>
        <v>0</v>
      </c>
      <c r="BS102">
        <f>IF(예비비!$R102="OK",SUMIFS(예비비!$O$430:$O$729,예비비!$B$430:$B$729,예비비!$A102,예비비!$E$430:$E$729,"&lt;"&amp;EDATE(BS$99,1),예비비!$F$430:$F$729,"결제대금비")+MAX(0,IF(예비비!$D102&lt;EDATE(BS$99,1),예비비!$E102,0)-SUMIFS(예비비!$O$430:$O$729,예비비!$B$430:$B$729,예비비!$A102,예비비!$E$430:$E$729,"&lt;"&amp;EDATE(BS$99,1))),0)</f>
        <v>0</v>
      </c>
      <c r="BT102">
        <f>IF(예비비!$R102="OK",SUMIFS(예비비!$O$430:$O$729,예비비!$B$430:$B$729,예비비!$A102,예비비!$E$430:$E$729,"&lt;"&amp;EDATE(BT$99,1),예비비!$F$430:$F$729,"결제대금비")+MAX(0,IF(예비비!$D102&lt;EDATE(BT$99,1),예비비!$E102,0)-SUMIFS(예비비!$O$430:$O$729,예비비!$B$430:$B$729,예비비!$A102,예비비!$E$430:$E$729,"&lt;"&amp;EDATE(BT$99,1))),0)</f>
        <v>0</v>
      </c>
      <c r="BU102">
        <f>IF(예비비!$R102="OK",SUMIFS(예비비!$O$430:$O$729,예비비!$B$430:$B$729,예비비!$A102,예비비!$E$430:$E$729,"&lt;"&amp;EDATE(BU$99,1),예비비!$F$430:$F$729,"결제대금비")+MAX(0,IF(예비비!$D102&lt;EDATE(BU$99,1),예비비!$E102,0)-SUMIFS(예비비!$O$430:$O$729,예비비!$B$430:$B$729,예비비!$A102,예비비!$E$430:$E$729,"&lt;"&amp;EDATE(BU$99,1))),0)</f>
        <v>0</v>
      </c>
    </row>
    <row r="103">
      <c r="BI103">
        <f>IF(예비비!$R103="OK",SUMIFS(예비비!$O$430:$O$729,예비비!$B$430:$B$729,예비비!$A103,예비비!$E$430:$E$729,"&lt;"&amp;EDATE(BI$99,1),예비비!$F$430:$F$729,"결제대금비")+MAX(0,IF(예비비!$D103&lt;EDATE(BI$99,1),예비비!$E103,0)-SUMIFS(예비비!$O$430:$O$729,예비비!$B$430:$B$729,예비비!$A103,예비비!$E$430:$E$729,"&lt;"&amp;EDATE(BI$99,1))),0)</f>
        <v>0</v>
      </c>
      <c r="BJ103">
        <f>IF(예비비!$R103="OK",SUMIFS(예비비!$O$430:$O$729,예비비!$B$430:$B$729,예비비!$A103,예비비!$E$430:$E$729,"&lt;"&amp;EDATE(BJ$99,1),예비비!$F$430:$F$729,"결제대금비")+MAX(0,IF(예비비!$D103&lt;EDATE(BJ$99,1),예비비!$E103,0)-SUMIFS(예비비!$O$430:$O$729,예비비!$B$430:$B$729,예비비!$A103,예비비!$E$430:$E$729,"&lt;"&amp;EDATE(BJ$99,1))),0)</f>
        <v>0</v>
      </c>
      <c r="BK103">
        <f>IF(예비비!$R103="OK",SUMIFS(예비비!$O$430:$O$729,예비비!$B$430:$B$729,예비비!$A103,예비비!$E$430:$E$729,"&lt;"&amp;EDATE(BK$99,1),예비비!$F$430:$F$729,"결제대금비")+MAX(0,IF(예비비!$D103&lt;EDATE(BK$99,1),예비비!$E103,0)-SUMIFS(예비비!$O$430:$O$729,예비비!$B$430:$B$729,예비비!$A103,예비비!$E$430:$E$729,"&lt;"&amp;EDATE(BK$99,1))),0)</f>
        <v>0</v>
      </c>
      <c r="BL103">
        <f>IF(예비비!$R103="OK",SUMIFS(예비비!$O$430:$O$729,예비비!$B$430:$B$729,예비비!$A103,예비비!$E$430:$E$729,"&lt;"&amp;EDATE(BL$99,1),예비비!$F$430:$F$729,"결제대금비")+MAX(0,IF(예비비!$D103&lt;EDATE(BL$99,1),예비비!$E103,0)-SUMIFS(예비비!$O$430:$O$729,예비비!$B$430:$B$729,예비비!$A103,예비비!$E$430:$E$729,"&lt;"&amp;EDATE(BL$99,1))),0)</f>
        <v>0</v>
      </c>
      <c r="BM103">
        <f>IF(예비비!$R103="OK",SUMIFS(예비비!$O$430:$O$729,예비비!$B$430:$B$729,예비비!$A103,예비비!$E$430:$E$729,"&lt;"&amp;EDATE(BM$99,1),예비비!$F$430:$F$729,"결제대금비")+MAX(0,IF(예비비!$D103&lt;EDATE(BM$99,1),예비비!$E103,0)-SUMIFS(예비비!$O$430:$O$729,예비비!$B$430:$B$729,예비비!$A103,예비비!$E$430:$E$729,"&lt;"&amp;EDATE(BM$99,1))),0)</f>
        <v>0</v>
      </c>
      <c r="BN103">
        <f>IF(예비비!$R103="OK",SUMIFS(예비비!$O$430:$O$729,예비비!$B$430:$B$729,예비비!$A103,예비비!$E$430:$E$729,"&lt;"&amp;EDATE(BN$99,1),예비비!$F$430:$F$729,"결제대금비")+MAX(0,IF(예비비!$D103&lt;EDATE(BN$99,1),예비비!$E103,0)-SUMIFS(예비비!$O$430:$O$729,예비비!$B$430:$B$729,예비비!$A103,예비비!$E$430:$E$729,"&lt;"&amp;EDATE(BN$99,1))),0)</f>
        <v>0</v>
      </c>
      <c r="BO103">
        <f>IF(예비비!$R103="OK",SUMIFS(예비비!$O$430:$O$729,예비비!$B$430:$B$729,예비비!$A103,예비비!$E$430:$E$729,"&lt;"&amp;EDATE(BO$99,1),예비비!$F$430:$F$729,"결제대금비")+MAX(0,IF(예비비!$D103&lt;EDATE(BO$99,1),예비비!$E103,0)-SUMIFS(예비비!$O$430:$O$729,예비비!$B$430:$B$729,예비비!$A103,예비비!$E$430:$E$729,"&lt;"&amp;EDATE(BO$99,1))),0)</f>
        <v>0</v>
      </c>
      <c r="BP103">
        <f>IF(예비비!$R103="OK",SUMIFS(예비비!$O$430:$O$729,예비비!$B$430:$B$729,예비비!$A103,예비비!$E$430:$E$729,"&lt;"&amp;EDATE(BP$99,1),예비비!$F$430:$F$729,"결제대금비")+MAX(0,IF(예비비!$D103&lt;EDATE(BP$99,1),예비비!$E103,0)-SUMIFS(예비비!$O$430:$O$729,예비비!$B$430:$B$729,예비비!$A103,예비비!$E$430:$E$729,"&lt;"&amp;EDATE(BP$99,1))),0)</f>
        <v>0</v>
      </c>
      <c r="BQ103">
        <f>IF(예비비!$R103="OK",SUMIFS(예비비!$O$430:$O$729,예비비!$B$430:$B$729,예비비!$A103,예비비!$E$430:$E$729,"&lt;"&amp;EDATE(BQ$99,1),예비비!$F$430:$F$729,"결제대금비")+MAX(0,IF(예비비!$D103&lt;EDATE(BQ$99,1),예비비!$E103,0)-SUMIFS(예비비!$O$430:$O$729,예비비!$B$430:$B$729,예비비!$A103,예비비!$E$430:$E$729,"&lt;"&amp;EDATE(BQ$99,1))),0)</f>
        <v>0</v>
      </c>
      <c r="BR103">
        <f>IF(예비비!$R103="OK",SUMIFS(예비비!$O$430:$O$729,예비비!$B$430:$B$729,예비비!$A103,예비비!$E$430:$E$729,"&lt;"&amp;EDATE(BR$99,1),예비비!$F$430:$F$729,"결제대금비")+MAX(0,IF(예비비!$D103&lt;EDATE(BR$99,1),예비비!$E103,0)-SUMIFS(예비비!$O$430:$O$729,예비비!$B$430:$B$729,예비비!$A103,예비비!$E$430:$E$729,"&lt;"&amp;EDATE(BR$99,1))),0)</f>
        <v>0</v>
      </c>
      <c r="BS103">
        <f>IF(예비비!$R103="OK",SUMIFS(예비비!$O$430:$O$729,예비비!$B$430:$B$729,예비비!$A103,예비비!$E$430:$E$729,"&lt;"&amp;EDATE(BS$99,1),예비비!$F$430:$F$729,"결제대금비")+MAX(0,IF(예비비!$D103&lt;EDATE(BS$99,1),예비비!$E103,0)-SUMIFS(예비비!$O$430:$O$729,예비비!$B$430:$B$729,예비비!$A103,예비비!$E$430:$E$729,"&lt;"&amp;EDATE(BS$99,1))),0)</f>
        <v>0</v>
      </c>
      <c r="BT103">
        <f>IF(예비비!$R103="OK",SUMIFS(예비비!$O$430:$O$729,예비비!$B$430:$B$729,예비비!$A103,예비비!$E$430:$E$729,"&lt;"&amp;EDATE(BT$99,1),예비비!$F$430:$F$729,"결제대금비")+MAX(0,IF(예비비!$D103&lt;EDATE(BT$99,1),예비비!$E103,0)-SUMIFS(예비비!$O$430:$O$729,예비비!$B$430:$B$729,예비비!$A103,예비비!$E$430:$E$729,"&lt;"&amp;EDATE(BT$99,1))),0)</f>
        <v>0</v>
      </c>
      <c r="BU103">
        <f>IF(예비비!$R103="OK",SUMIFS(예비비!$O$430:$O$729,예비비!$B$430:$B$729,예비비!$A103,예비비!$E$430:$E$729,"&lt;"&amp;EDATE(BU$99,1),예비비!$F$430:$F$729,"결제대금비")+MAX(0,IF(예비비!$D103&lt;EDATE(BU$99,1),예비비!$E103,0)-SUMIFS(예비비!$O$430:$O$729,예비비!$B$430:$B$729,예비비!$A103,예비비!$E$430:$E$729,"&lt;"&amp;EDATE(BU$99,1))),0)</f>
        <v>0</v>
      </c>
    </row>
    <row r="104">
      <c r="BI104">
        <f>IF(예비비!$R104="OK",SUMIFS(예비비!$O$430:$O$729,예비비!$B$430:$B$729,예비비!$A104,예비비!$E$430:$E$729,"&lt;"&amp;EDATE(BI$99,1),예비비!$F$430:$F$729,"결제대금비")+MAX(0,IF(예비비!$D104&lt;EDATE(BI$99,1),예비비!$E104,0)-SUMIFS(예비비!$O$430:$O$729,예비비!$B$430:$B$729,예비비!$A104,예비비!$E$430:$E$729,"&lt;"&amp;EDATE(BI$99,1))),0)</f>
        <v>0</v>
      </c>
      <c r="BJ104">
        <f>IF(예비비!$R104="OK",SUMIFS(예비비!$O$430:$O$729,예비비!$B$430:$B$729,예비비!$A104,예비비!$E$430:$E$729,"&lt;"&amp;EDATE(BJ$99,1),예비비!$F$430:$F$729,"결제대금비")+MAX(0,IF(예비비!$D104&lt;EDATE(BJ$99,1),예비비!$E104,0)-SUMIFS(예비비!$O$430:$O$729,예비비!$B$430:$B$729,예비비!$A104,예비비!$E$430:$E$729,"&lt;"&amp;EDATE(BJ$99,1))),0)</f>
        <v>0</v>
      </c>
      <c r="BK104">
        <f>IF(예비비!$R104="OK",SUMIFS(예비비!$O$430:$O$729,예비비!$B$430:$B$729,예비비!$A104,예비비!$E$430:$E$729,"&lt;"&amp;EDATE(BK$99,1),예비비!$F$430:$F$729,"결제대금비")+MAX(0,IF(예비비!$D104&lt;EDATE(BK$99,1),예비비!$E104,0)-SUMIFS(예비비!$O$430:$O$729,예비비!$B$430:$B$729,예비비!$A104,예비비!$E$430:$E$729,"&lt;"&amp;EDATE(BK$99,1))),0)</f>
        <v>0</v>
      </c>
      <c r="BL104">
        <f>IF(예비비!$R104="OK",SUMIFS(예비비!$O$430:$O$729,예비비!$B$430:$B$729,예비비!$A104,예비비!$E$430:$E$729,"&lt;"&amp;EDATE(BL$99,1),예비비!$F$430:$F$729,"결제대금비")+MAX(0,IF(예비비!$D104&lt;EDATE(BL$99,1),예비비!$E104,0)-SUMIFS(예비비!$O$430:$O$729,예비비!$B$430:$B$729,예비비!$A104,예비비!$E$430:$E$729,"&lt;"&amp;EDATE(BL$99,1))),0)</f>
        <v>0</v>
      </c>
      <c r="BM104">
        <f>IF(예비비!$R104="OK",SUMIFS(예비비!$O$430:$O$729,예비비!$B$430:$B$729,예비비!$A104,예비비!$E$430:$E$729,"&lt;"&amp;EDATE(BM$99,1),예비비!$F$430:$F$729,"결제대금비")+MAX(0,IF(예비비!$D104&lt;EDATE(BM$99,1),예비비!$E104,0)-SUMIFS(예비비!$O$430:$O$729,예비비!$B$430:$B$729,예비비!$A104,예비비!$E$430:$E$729,"&lt;"&amp;EDATE(BM$99,1))),0)</f>
        <v>0</v>
      </c>
      <c r="BN104">
        <f>IF(예비비!$R104="OK",SUMIFS(예비비!$O$430:$O$729,예비비!$B$430:$B$729,예비비!$A104,예비비!$E$430:$E$729,"&lt;"&amp;EDATE(BN$99,1),예비비!$F$430:$F$729,"결제대금비")+MAX(0,IF(예비비!$D104&lt;EDATE(BN$99,1),예비비!$E104,0)-SUMIFS(예비비!$O$430:$O$729,예비비!$B$430:$B$729,예비비!$A104,예비비!$E$430:$E$729,"&lt;"&amp;EDATE(BN$99,1))),0)</f>
        <v>0</v>
      </c>
      <c r="BO104">
        <f>IF(예비비!$R104="OK",SUMIFS(예비비!$O$430:$O$729,예비비!$B$430:$B$729,예비비!$A104,예비비!$E$430:$E$729,"&lt;"&amp;EDATE(BO$99,1),예비비!$F$430:$F$729,"결제대금비")+MAX(0,IF(예비비!$D104&lt;EDATE(BO$99,1),예비비!$E104,0)-SUMIFS(예비비!$O$430:$O$729,예비비!$B$430:$B$729,예비비!$A104,예비비!$E$430:$E$729,"&lt;"&amp;EDATE(BO$99,1))),0)</f>
        <v>0</v>
      </c>
      <c r="BP104">
        <f>IF(예비비!$R104="OK",SUMIFS(예비비!$O$430:$O$729,예비비!$B$430:$B$729,예비비!$A104,예비비!$E$430:$E$729,"&lt;"&amp;EDATE(BP$99,1),예비비!$F$430:$F$729,"결제대금비")+MAX(0,IF(예비비!$D104&lt;EDATE(BP$99,1),예비비!$E104,0)-SUMIFS(예비비!$O$430:$O$729,예비비!$B$430:$B$729,예비비!$A104,예비비!$E$430:$E$729,"&lt;"&amp;EDATE(BP$99,1))),0)</f>
        <v>0</v>
      </c>
      <c r="BQ104">
        <f>IF(예비비!$R104="OK",SUMIFS(예비비!$O$430:$O$729,예비비!$B$430:$B$729,예비비!$A104,예비비!$E$430:$E$729,"&lt;"&amp;EDATE(BQ$99,1),예비비!$F$430:$F$729,"결제대금비")+MAX(0,IF(예비비!$D104&lt;EDATE(BQ$99,1),예비비!$E104,0)-SUMIFS(예비비!$O$430:$O$729,예비비!$B$430:$B$729,예비비!$A104,예비비!$E$430:$E$729,"&lt;"&amp;EDATE(BQ$99,1))),0)</f>
        <v>0</v>
      </c>
      <c r="BR104">
        <f>IF(예비비!$R104="OK",SUMIFS(예비비!$O$430:$O$729,예비비!$B$430:$B$729,예비비!$A104,예비비!$E$430:$E$729,"&lt;"&amp;EDATE(BR$99,1),예비비!$F$430:$F$729,"결제대금비")+MAX(0,IF(예비비!$D104&lt;EDATE(BR$99,1),예비비!$E104,0)-SUMIFS(예비비!$O$430:$O$729,예비비!$B$430:$B$729,예비비!$A104,예비비!$E$430:$E$729,"&lt;"&amp;EDATE(BR$99,1))),0)</f>
        <v>0</v>
      </c>
      <c r="BS104">
        <f>IF(예비비!$R104="OK",SUMIFS(예비비!$O$430:$O$729,예비비!$B$430:$B$729,예비비!$A104,예비비!$E$430:$E$729,"&lt;"&amp;EDATE(BS$99,1),예비비!$F$430:$F$729,"결제대금비")+MAX(0,IF(예비비!$D104&lt;EDATE(BS$99,1),예비비!$E104,0)-SUMIFS(예비비!$O$430:$O$729,예비비!$B$430:$B$729,예비비!$A104,예비비!$E$430:$E$729,"&lt;"&amp;EDATE(BS$99,1))),0)</f>
        <v>0</v>
      </c>
      <c r="BT104">
        <f>IF(예비비!$R104="OK",SUMIFS(예비비!$O$430:$O$729,예비비!$B$430:$B$729,예비비!$A104,예비비!$E$430:$E$729,"&lt;"&amp;EDATE(BT$99,1),예비비!$F$430:$F$729,"결제대금비")+MAX(0,IF(예비비!$D104&lt;EDATE(BT$99,1),예비비!$E104,0)-SUMIFS(예비비!$O$430:$O$729,예비비!$B$430:$B$729,예비비!$A104,예비비!$E$430:$E$729,"&lt;"&amp;EDATE(BT$99,1))),0)</f>
        <v>0</v>
      </c>
      <c r="BU104">
        <f>IF(예비비!$R104="OK",SUMIFS(예비비!$O$430:$O$729,예비비!$B$430:$B$729,예비비!$A104,예비비!$E$430:$E$729,"&lt;"&amp;EDATE(BU$99,1),예비비!$F$430:$F$729,"결제대금비")+MAX(0,IF(예비비!$D104&lt;EDATE(BU$99,1),예비비!$E104,0)-SUMIFS(예비비!$O$430:$O$729,예비비!$B$430:$B$729,예비비!$A104,예비비!$E$430:$E$729,"&lt;"&amp;EDATE(BU$99,1))),0)</f>
        <v>0</v>
      </c>
    </row>
    <row r="105">
      <c r="BI105">
        <f>IF(예비비!$R105="OK",SUMIFS(예비비!$O$430:$O$729,예비비!$B$430:$B$729,예비비!$A105,예비비!$E$430:$E$729,"&lt;"&amp;EDATE(BI$99,1),예비비!$F$430:$F$729,"결제대금비")+MAX(0,IF(예비비!$D105&lt;EDATE(BI$99,1),예비비!$E105,0)-SUMIFS(예비비!$O$430:$O$729,예비비!$B$430:$B$729,예비비!$A105,예비비!$E$430:$E$729,"&lt;"&amp;EDATE(BI$99,1))),0)</f>
        <v>0</v>
      </c>
      <c r="BJ105">
        <f>IF(예비비!$R105="OK",SUMIFS(예비비!$O$430:$O$729,예비비!$B$430:$B$729,예비비!$A105,예비비!$E$430:$E$729,"&lt;"&amp;EDATE(BJ$99,1),예비비!$F$430:$F$729,"결제대금비")+MAX(0,IF(예비비!$D105&lt;EDATE(BJ$99,1),예비비!$E105,0)-SUMIFS(예비비!$O$430:$O$729,예비비!$B$430:$B$729,예비비!$A105,예비비!$E$430:$E$729,"&lt;"&amp;EDATE(BJ$99,1))),0)</f>
        <v>0</v>
      </c>
      <c r="BK105">
        <f>IF(예비비!$R105="OK",SUMIFS(예비비!$O$430:$O$729,예비비!$B$430:$B$729,예비비!$A105,예비비!$E$430:$E$729,"&lt;"&amp;EDATE(BK$99,1),예비비!$F$430:$F$729,"결제대금비")+MAX(0,IF(예비비!$D105&lt;EDATE(BK$99,1),예비비!$E105,0)-SUMIFS(예비비!$O$430:$O$729,예비비!$B$430:$B$729,예비비!$A105,예비비!$E$430:$E$729,"&lt;"&amp;EDATE(BK$99,1))),0)</f>
        <v>0</v>
      </c>
      <c r="BL105">
        <f>IF(예비비!$R105="OK",SUMIFS(예비비!$O$430:$O$729,예비비!$B$430:$B$729,예비비!$A105,예비비!$E$430:$E$729,"&lt;"&amp;EDATE(BL$99,1),예비비!$F$430:$F$729,"결제대금비")+MAX(0,IF(예비비!$D105&lt;EDATE(BL$99,1),예비비!$E105,0)-SUMIFS(예비비!$O$430:$O$729,예비비!$B$430:$B$729,예비비!$A105,예비비!$E$430:$E$729,"&lt;"&amp;EDATE(BL$99,1))),0)</f>
        <v>0</v>
      </c>
      <c r="BM105">
        <f>IF(예비비!$R105="OK",SUMIFS(예비비!$O$430:$O$729,예비비!$B$430:$B$729,예비비!$A105,예비비!$E$430:$E$729,"&lt;"&amp;EDATE(BM$99,1),예비비!$F$430:$F$729,"결제대금비")+MAX(0,IF(예비비!$D105&lt;EDATE(BM$99,1),예비비!$E105,0)-SUMIFS(예비비!$O$430:$O$729,예비비!$B$430:$B$729,예비비!$A105,예비비!$E$430:$E$729,"&lt;"&amp;EDATE(BM$99,1))),0)</f>
        <v>0</v>
      </c>
      <c r="BN105">
        <f>IF(예비비!$R105="OK",SUMIFS(예비비!$O$430:$O$729,예비비!$B$430:$B$729,예비비!$A105,예비비!$E$430:$E$729,"&lt;"&amp;EDATE(BN$99,1),예비비!$F$430:$F$729,"결제대금비")+MAX(0,IF(예비비!$D105&lt;EDATE(BN$99,1),예비비!$E105,0)-SUMIFS(예비비!$O$430:$O$729,예비비!$B$430:$B$729,예비비!$A105,예비비!$E$430:$E$729,"&lt;"&amp;EDATE(BN$99,1))),0)</f>
        <v>0</v>
      </c>
      <c r="BO105">
        <f>IF(예비비!$R105="OK",SUMIFS(예비비!$O$430:$O$729,예비비!$B$430:$B$729,예비비!$A105,예비비!$E$430:$E$729,"&lt;"&amp;EDATE(BO$99,1),예비비!$F$430:$F$729,"결제대금비")+MAX(0,IF(예비비!$D105&lt;EDATE(BO$99,1),예비비!$E105,0)-SUMIFS(예비비!$O$430:$O$729,예비비!$B$430:$B$729,예비비!$A105,예비비!$E$430:$E$729,"&lt;"&amp;EDATE(BO$99,1))),0)</f>
        <v>0</v>
      </c>
      <c r="BP105">
        <f>IF(예비비!$R105="OK",SUMIFS(예비비!$O$430:$O$729,예비비!$B$430:$B$729,예비비!$A105,예비비!$E$430:$E$729,"&lt;"&amp;EDATE(BP$99,1),예비비!$F$430:$F$729,"결제대금비")+MAX(0,IF(예비비!$D105&lt;EDATE(BP$99,1),예비비!$E105,0)-SUMIFS(예비비!$O$430:$O$729,예비비!$B$430:$B$729,예비비!$A105,예비비!$E$430:$E$729,"&lt;"&amp;EDATE(BP$99,1))),0)</f>
        <v>0</v>
      </c>
      <c r="BQ105">
        <f>IF(예비비!$R105="OK",SUMIFS(예비비!$O$430:$O$729,예비비!$B$430:$B$729,예비비!$A105,예비비!$E$430:$E$729,"&lt;"&amp;EDATE(BQ$99,1),예비비!$F$430:$F$729,"결제대금비")+MAX(0,IF(예비비!$D105&lt;EDATE(BQ$99,1),예비비!$E105,0)-SUMIFS(예비비!$O$430:$O$729,예비비!$B$430:$B$729,예비비!$A105,예비비!$E$430:$E$729,"&lt;"&amp;EDATE(BQ$99,1))),0)</f>
        <v>0</v>
      </c>
      <c r="BR105">
        <f>IF(예비비!$R105="OK",SUMIFS(예비비!$O$430:$O$729,예비비!$B$430:$B$729,예비비!$A105,예비비!$E$430:$E$729,"&lt;"&amp;EDATE(BR$99,1),예비비!$F$430:$F$729,"결제대금비")+MAX(0,IF(예비비!$D105&lt;EDATE(BR$99,1),예비비!$E105,0)-SUMIFS(예비비!$O$430:$O$729,예비비!$B$430:$B$729,예비비!$A105,예비비!$E$430:$E$729,"&lt;"&amp;EDATE(BR$99,1))),0)</f>
        <v>0</v>
      </c>
      <c r="BS105">
        <f>IF(예비비!$R105="OK",SUMIFS(예비비!$O$430:$O$729,예비비!$B$430:$B$729,예비비!$A105,예비비!$E$430:$E$729,"&lt;"&amp;EDATE(BS$99,1),예비비!$F$430:$F$729,"결제대금비")+MAX(0,IF(예비비!$D105&lt;EDATE(BS$99,1),예비비!$E105,0)-SUMIFS(예비비!$O$430:$O$729,예비비!$B$430:$B$729,예비비!$A105,예비비!$E$430:$E$729,"&lt;"&amp;EDATE(BS$99,1))),0)</f>
        <v>0</v>
      </c>
      <c r="BT105">
        <f>IF(예비비!$R105="OK",SUMIFS(예비비!$O$430:$O$729,예비비!$B$430:$B$729,예비비!$A105,예비비!$E$430:$E$729,"&lt;"&amp;EDATE(BT$99,1),예비비!$F$430:$F$729,"결제대금비")+MAX(0,IF(예비비!$D105&lt;EDATE(BT$99,1),예비비!$E105,0)-SUMIFS(예비비!$O$430:$O$729,예비비!$B$430:$B$729,예비비!$A105,예비비!$E$430:$E$729,"&lt;"&amp;EDATE(BT$99,1))),0)</f>
        <v>0</v>
      </c>
      <c r="BU105">
        <f>IF(예비비!$R105="OK",SUMIFS(예비비!$O$430:$O$729,예비비!$B$430:$B$729,예비비!$A105,예비비!$E$430:$E$729,"&lt;"&amp;EDATE(BU$99,1),예비비!$F$430:$F$729,"결제대금비")+MAX(0,IF(예비비!$D105&lt;EDATE(BU$99,1),예비비!$E105,0)-SUMIFS(예비비!$O$430:$O$729,예비비!$B$430:$B$729,예비비!$A105,예비비!$E$430:$E$729,"&lt;"&amp;EDATE(BU$99,1))),0)</f>
        <v>0</v>
      </c>
    </row>
    <row r="106">
      <c r="BI106">
        <f>IF(예비비!$R106="OK",SUMIFS(예비비!$O$430:$O$729,예비비!$B$430:$B$729,예비비!$A106,예비비!$E$430:$E$729,"&lt;"&amp;EDATE(BI$99,1),예비비!$F$430:$F$729,"결제대금비")+MAX(0,IF(예비비!$D106&lt;EDATE(BI$99,1),예비비!$E106,0)-SUMIFS(예비비!$O$430:$O$729,예비비!$B$430:$B$729,예비비!$A106,예비비!$E$430:$E$729,"&lt;"&amp;EDATE(BI$99,1))),0)</f>
        <v>0</v>
      </c>
      <c r="BJ106">
        <f>IF(예비비!$R106="OK",SUMIFS(예비비!$O$430:$O$729,예비비!$B$430:$B$729,예비비!$A106,예비비!$E$430:$E$729,"&lt;"&amp;EDATE(BJ$99,1),예비비!$F$430:$F$729,"결제대금비")+MAX(0,IF(예비비!$D106&lt;EDATE(BJ$99,1),예비비!$E106,0)-SUMIFS(예비비!$O$430:$O$729,예비비!$B$430:$B$729,예비비!$A106,예비비!$E$430:$E$729,"&lt;"&amp;EDATE(BJ$99,1))),0)</f>
        <v>0</v>
      </c>
      <c r="BK106">
        <f>IF(예비비!$R106="OK",SUMIFS(예비비!$O$430:$O$729,예비비!$B$430:$B$729,예비비!$A106,예비비!$E$430:$E$729,"&lt;"&amp;EDATE(BK$99,1),예비비!$F$430:$F$729,"결제대금비")+MAX(0,IF(예비비!$D106&lt;EDATE(BK$99,1),예비비!$E106,0)-SUMIFS(예비비!$O$430:$O$729,예비비!$B$430:$B$729,예비비!$A106,예비비!$E$430:$E$729,"&lt;"&amp;EDATE(BK$99,1))),0)</f>
        <v>0</v>
      </c>
      <c r="BL106">
        <f>IF(예비비!$R106="OK",SUMIFS(예비비!$O$430:$O$729,예비비!$B$430:$B$729,예비비!$A106,예비비!$E$430:$E$729,"&lt;"&amp;EDATE(BL$99,1),예비비!$F$430:$F$729,"결제대금비")+MAX(0,IF(예비비!$D106&lt;EDATE(BL$99,1),예비비!$E106,0)-SUMIFS(예비비!$O$430:$O$729,예비비!$B$430:$B$729,예비비!$A106,예비비!$E$430:$E$729,"&lt;"&amp;EDATE(BL$99,1))),0)</f>
        <v>0</v>
      </c>
      <c r="BM106">
        <f>IF(예비비!$R106="OK",SUMIFS(예비비!$O$430:$O$729,예비비!$B$430:$B$729,예비비!$A106,예비비!$E$430:$E$729,"&lt;"&amp;EDATE(BM$99,1),예비비!$F$430:$F$729,"결제대금비")+MAX(0,IF(예비비!$D106&lt;EDATE(BM$99,1),예비비!$E106,0)-SUMIFS(예비비!$O$430:$O$729,예비비!$B$430:$B$729,예비비!$A106,예비비!$E$430:$E$729,"&lt;"&amp;EDATE(BM$99,1))),0)</f>
        <v>0</v>
      </c>
      <c r="BN106">
        <f>IF(예비비!$R106="OK",SUMIFS(예비비!$O$430:$O$729,예비비!$B$430:$B$729,예비비!$A106,예비비!$E$430:$E$729,"&lt;"&amp;EDATE(BN$99,1),예비비!$F$430:$F$729,"결제대금비")+MAX(0,IF(예비비!$D106&lt;EDATE(BN$99,1),예비비!$E106,0)-SUMIFS(예비비!$O$430:$O$729,예비비!$B$430:$B$729,예비비!$A106,예비비!$E$430:$E$729,"&lt;"&amp;EDATE(BN$99,1))),0)</f>
        <v>0</v>
      </c>
      <c r="BO106">
        <f>IF(예비비!$R106="OK",SUMIFS(예비비!$O$430:$O$729,예비비!$B$430:$B$729,예비비!$A106,예비비!$E$430:$E$729,"&lt;"&amp;EDATE(BO$99,1),예비비!$F$430:$F$729,"결제대금비")+MAX(0,IF(예비비!$D106&lt;EDATE(BO$99,1),예비비!$E106,0)-SUMIFS(예비비!$O$430:$O$729,예비비!$B$430:$B$729,예비비!$A106,예비비!$E$430:$E$729,"&lt;"&amp;EDATE(BO$99,1))),0)</f>
        <v>0</v>
      </c>
      <c r="BP106">
        <f>IF(예비비!$R106="OK",SUMIFS(예비비!$O$430:$O$729,예비비!$B$430:$B$729,예비비!$A106,예비비!$E$430:$E$729,"&lt;"&amp;EDATE(BP$99,1),예비비!$F$430:$F$729,"결제대금비")+MAX(0,IF(예비비!$D106&lt;EDATE(BP$99,1),예비비!$E106,0)-SUMIFS(예비비!$O$430:$O$729,예비비!$B$430:$B$729,예비비!$A106,예비비!$E$430:$E$729,"&lt;"&amp;EDATE(BP$99,1))),0)</f>
        <v>0</v>
      </c>
      <c r="BQ106">
        <f>IF(예비비!$R106="OK",SUMIFS(예비비!$O$430:$O$729,예비비!$B$430:$B$729,예비비!$A106,예비비!$E$430:$E$729,"&lt;"&amp;EDATE(BQ$99,1),예비비!$F$430:$F$729,"결제대금비")+MAX(0,IF(예비비!$D106&lt;EDATE(BQ$99,1),예비비!$E106,0)-SUMIFS(예비비!$O$430:$O$729,예비비!$B$430:$B$729,예비비!$A106,예비비!$E$430:$E$729,"&lt;"&amp;EDATE(BQ$99,1))),0)</f>
        <v>0</v>
      </c>
      <c r="BR106">
        <f>IF(예비비!$R106="OK",SUMIFS(예비비!$O$430:$O$729,예비비!$B$430:$B$729,예비비!$A106,예비비!$E$430:$E$729,"&lt;"&amp;EDATE(BR$99,1),예비비!$F$430:$F$729,"결제대금비")+MAX(0,IF(예비비!$D106&lt;EDATE(BR$99,1),예비비!$E106,0)-SUMIFS(예비비!$O$430:$O$729,예비비!$B$430:$B$729,예비비!$A106,예비비!$E$430:$E$729,"&lt;"&amp;EDATE(BR$99,1))),0)</f>
        <v>0</v>
      </c>
      <c r="BS106">
        <f>IF(예비비!$R106="OK",SUMIFS(예비비!$O$430:$O$729,예비비!$B$430:$B$729,예비비!$A106,예비비!$E$430:$E$729,"&lt;"&amp;EDATE(BS$99,1),예비비!$F$430:$F$729,"결제대금비")+MAX(0,IF(예비비!$D106&lt;EDATE(BS$99,1),예비비!$E106,0)-SUMIFS(예비비!$O$430:$O$729,예비비!$B$430:$B$729,예비비!$A106,예비비!$E$430:$E$729,"&lt;"&amp;EDATE(BS$99,1))),0)</f>
        <v>0</v>
      </c>
      <c r="BT106">
        <f>IF(예비비!$R106="OK",SUMIFS(예비비!$O$430:$O$729,예비비!$B$430:$B$729,예비비!$A106,예비비!$E$430:$E$729,"&lt;"&amp;EDATE(BT$99,1),예비비!$F$430:$F$729,"결제대금비")+MAX(0,IF(예비비!$D106&lt;EDATE(BT$99,1),예비비!$E106,0)-SUMIFS(예비비!$O$430:$O$729,예비비!$B$430:$B$729,예비비!$A106,예비비!$E$430:$E$729,"&lt;"&amp;EDATE(BT$99,1))),0)</f>
        <v>0</v>
      </c>
      <c r="BU106">
        <f>IF(예비비!$R106="OK",SUMIFS(예비비!$O$430:$O$729,예비비!$B$430:$B$729,예비비!$A106,예비비!$E$430:$E$729,"&lt;"&amp;EDATE(BU$99,1),예비비!$F$430:$F$729,"결제대금비")+MAX(0,IF(예비비!$D106&lt;EDATE(BU$99,1),예비비!$E106,0)-SUMIFS(예비비!$O$430:$O$729,예비비!$B$430:$B$729,예비비!$A106,예비비!$E$430:$E$729,"&lt;"&amp;EDATE(BU$99,1))),0)</f>
        <v>0</v>
      </c>
    </row>
    <row r="107">
      <c r="BI107">
        <f>IF(예비비!$R107="OK",SUMIFS(예비비!$O$430:$O$729,예비비!$B$430:$B$729,예비비!$A107,예비비!$E$430:$E$729,"&lt;"&amp;EDATE(BI$99,1),예비비!$F$430:$F$729,"결제대금비")+MAX(0,IF(예비비!$D107&lt;EDATE(BI$99,1),예비비!$E107,0)-SUMIFS(예비비!$O$430:$O$729,예비비!$B$430:$B$729,예비비!$A107,예비비!$E$430:$E$729,"&lt;"&amp;EDATE(BI$99,1))),0)</f>
        <v>0</v>
      </c>
      <c r="BJ107">
        <f>IF(예비비!$R107="OK",SUMIFS(예비비!$O$430:$O$729,예비비!$B$430:$B$729,예비비!$A107,예비비!$E$430:$E$729,"&lt;"&amp;EDATE(BJ$99,1),예비비!$F$430:$F$729,"결제대금비")+MAX(0,IF(예비비!$D107&lt;EDATE(BJ$99,1),예비비!$E107,0)-SUMIFS(예비비!$O$430:$O$729,예비비!$B$430:$B$729,예비비!$A107,예비비!$E$430:$E$729,"&lt;"&amp;EDATE(BJ$99,1))),0)</f>
        <v>0</v>
      </c>
      <c r="BK107">
        <f>IF(예비비!$R107="OK",SUMIFS(예비비!$O$430:$O$729,예비비!$B$430:$B$729,예비비!$A107,예비비!$E$430:$E$729,"&lt;"&amp;EDATE(BK$99,1),예비비!$F$430:$F$729,"결제대금비")+MAX(0,IF(예비비!$D107&lt;EDATE(BK$99,1),예비비!$E107,0)-SUMIFS(예비비!$O$430:$O$729,예비비!$B$430:$B$729,예비비!$A107,예비비!$E$430:$E$729,"&lt;"&amp;EDATE(BK$99,1))),0)</f>
        <v>0</v>
      </c>
      <c r="BL107">
        <f>IF(예비비!$R107="OK",SUMIFS(예비비!$O$430:$O$729,예비비!$B$430:$B$729,예비비!$A107,예비비!$E$430:$E$729,"&lt;"&amp;EDATE(BL$99,1),예비비!$F$430:$F$729,"결제대금비")+MAX(0,IF(예비비!$D107&lt;EDATE(BL$99,1),예비비!$E107,0)-SUMIFS(예비비!$O$430:$O$729,예비비!$B$430:$B$729,예비비!$A107,예비비!$E$430:$E$729,"&lt;"&amp;EDATE(BL$99,1))),0)</f>
        <v>0</v>
      </c>
      <c r="BM107">
        <f>IF(예비비!$R107="OK",SUMIFS(예비비!$O$430:$O$729,예비비!$B$430:$B$729,예비비!$A107,예비비!$E$430:$E$729,"&lt;"&amp;EDATE(BM$99,1),예비비!$F$430:$F$729,"결제대금비")+MAX(0,IF(예비비!$D107&lt;EDATE(BM$99,1),예비비!$E107,0)-SUMIFS(예비비!$O$430:$O$729,예비비!$B$430:$B$729,예비비!$A107,예비비!$E$430:$E$729,"&lt;"&amp;EDATE(BM$99,1))),0)</f>
        <v>0</v>
      </c>
      <c r="BN107">
        <f>IF(예비비!$R107="OK",SUMIFS(예비비!$O$430:$O$729,예비비!$B$430:$B$729,예비비!$A107,예비비!$E$430:$E$729,"&lt;"&amp;EDATE(BN$99,1),예비비!$F$430:$F$729,"결제대금비")+MAX(0,IF(예비비!$D107&lt;EDATE(BN$99,1),예비비!$E107,0)-SUMIFS(예비비!$O$430:$O$729,예비비!$B$430:$B$729,예비비!$A107,예비비!$E$430:$E$729,"&lt;"&amp;EDATE(BN$99,1))),0)</f>
        <v>0</v>
      </c>
      <c r="BO107">
        <f>IF(예비비!$R107="OK",SUMIFS(예비비!$O$430:$O$729,예비비!$B$430:$B$729,예비비!$A107,예비비!$E$430:$E$729,"&lt;"&amp;EDATE(BO$99,1),예비비!$F$430:$F$729,"결제대금비")+MAX(0,IF(예비비!$D107&lt;EDATE(BO$99,1),예비비!$E107,0)-SUMIFS(예비비!$O$430:$O$729,예비비!$B$430:$B$729,예비비!$A107,예비비!$E$430:$E$729,"&lt;"&amp;EDATE(BO$99,1))),0)</f>
        <v>0</v>
      </c>
      <c r="BP107">
        <f>IF(예비비!$R107="OK",SUMIFS(예비비!$O$430:$O$729,예비비!$B$430:$B$729,예비비!$A107,예비비!$E$430:$E$729,"&lt;"&amp;EDATE(BP$99,1),예비비!$F$430:$F$729,"결제대금비")+MAX(0,IF(예비비!$D107&lt;EDATE(BP$99,1),예비비!$E107,0)-SUMIFS(예비비!$O$430:$O$729,예비비!$B$430:$B$729,예비비!$A107,예비비!$E$430:$E$729,"&lt;"&amp;EDATE(BP$99,1))),0)</f>
        <v>0</v>
      </c>
      <c r="BQ107">
        <f>IF(예비비!$R107="OK",SUMIFS(예비비!$O$430:$O$729,예비비!$B$430:$B$729,예비비!$A107,예비비!$E$430:$E$729,"&lt;"&amp;EDATE(BQ$99,1),예비비!$F$430:$F$729,"결제대금비")+MAX(0,IF(예비비!$D107&lt;EDATE(BQ$99,1),예비비!$E107,0)-SUMIFS(예비비!$O$430:$O$729,예비비!$B$430:$B$729,예비비!$A107,예비비!$E$430:$E$729,"&lt;"&amp;EDATE(BQ$99,1))),0)</f>
        <v>0</v>
      </c>
      <c r="BR107">
        <f>IF(예비비!$R107="OK",SUMIFS(예비비!$O$430:$O$729,예비비!$B$430:$B$729,예비비!$A107,예비비!$E$430:$E$729,"&lt;"&amp;EDATE(BR$99,1),예비비!$F$430:$F$729,"결제대금비")+MAX(0,IF(예비비!$D107&lt;EDATE(BR$99,1),예비비!$E107,0)-SUMIFS(예비비!$O$430:$O$729,예비비!$B$430:$B$729,예비비!$A107,예비비!$E$430:$E$729,"&lt;"&amp;EDATE(BR$99,1))),0)</f>
        <v>0</v>
      </c>
      <c r="BS107">
        <f>IF(예비비!$R107="OK",SUMIFS(예비비!$O$430:$O$729,예비비!$B$430:$B$729,예비비!$A107,예비비!$E$430:$E$729,"&lt;"&amp;EDATE(BS$99,1),예비비!$F$430:$F$729,"결제대금비")+MAX(0,IF(예비비!$D107&lt;EDATE(BS$99,1),예비비!$E107,0)-SUMIFS(예비비!$O$430:$O$729,예비비!$B$430:$B$729,예비비!$A107,예비비!$E$430:$E$729,"&lt;"&amp;EDATE(BS$99,1))),0)</f>
        <v>0</v>
      </c>
      <c r="BT107">
        <f>IF(예비비!$R107="OK",SUMIFS(예비비!$O$430:$O$729,예비비!$B$430:$B$729,예비비!$A107,예비비!$E$430:$E$729,"&lt;"&amp;EDATE(BT$99,1),예비비!$F$430:$F$729,"결제대금비")+MAX(0,IF(예비비!$D107&lt;EDATE(BT$99,1),예비비!$E107,0)-SUMIFS(예비비!$O$430:$O$729,예비비!$B$430:$B$729,예비비!$A107,예비비!$E$430:$E$729,"&lt;"&amp;EDATE(BT$99,1))),0)</f>
        <v>0</v>
      </c>
      <c r="BU107">
        <f>IF(예비비!$R107="OK",SUMIFS(예비비!$O$430:$O$729,예비비!$B$430:$B$729,예비비!$A107,예비비!$E$430:$E$729,"&lt;"&amp;EDATE(BU$99,1),예비비!$F$430:$F$729,"결제대금비")+MAX(0,IF(예비비!$D107&lt;EDATE(BU$99,1),예비비!$E107,0)-SUMIFS(예비비!$O$430:$O$729,예비비!$B$430:$B$729,예비비!$A107,예비비!$E$430:$E$729,"&lt;"&amp;EDATE(BU$99,1))),0)</f>
        <v>0</v>
      </c>
    </row>
    <row r="108">
      <c r="BI108">
        <f>IF(예비비!$R108="OK",SUMIFS(예비비!$O$430:$O$729,예비비!$B$430:$B$729,예비비!$A108,예비비!$E$430:$E$729,"&lt;"&amp;EDATE(BI$99,1),예비비!$F$430:$F$729,"결제대금비")+MAX(0,IF(예비비!$D108&lt;EDATE(BI$99,1),예비비!$E108,0)-SUMIFS(예비비!$O$430:$O$729,예비비!$B$430:$B$729,예비비!$A108,예비비!$E$430:$E$729,"&lt;"&amp;EDATE(BI$99,1))),0)</f>
        <v>0</v>
      </c>
      <c r="BJ108">
        <f>IF(예비비!$R108="OK",SUMIFS(예비비!$O$430:$O$729,예비비!$B$430:$B$729,예비비!$A108,예비비!$E$430:$E$729,"&lt;"&amp;EDATE(BJ$99,1),예비비!$F$430:$F$729,"결제대금비")+MAX(0,IF(예비비!$D108&lt;EDATE(BJ$99,1),예비비!$E108,0)-SUMIFS(예비비!$O$430:$O$729,예비비!$B$430:$B$729,예비비!$A108,예비비!$E$430:$E$729,"&lt;"&amp;EDATE(BJ$99,1))),0)</f>
        <v>0</v>
      </c>
      <c r="BK108">
        <f>IF(예비비!$R108="OK",SUMIFS(예비비!$O$430:$O$729,예비비!$B$430:$B$729,예비비!$A108,예비비!$E$430:$E$729,"&lt;"&amp;EDATE(BK$99,1),예비비!$F$430:$F$729,"결제대금비")+MAX(0,IF(예비비!$D108&lt;EDATE(BK$99,1),예비비!$E108,0)-SUMIFS(예비비!$O$430:$O$729,예비비!$B$430:$B$729,예비비!$A108,예비비!$E$430:$E$729,"&lt;"&amp;EDATE(BK$99,1))),0)</f>
        <v>0</v>
      </c>
      <c r="BL108">
        <f>IF(예비비!$R108="OK",SUMIFS(예비비!$O$430:$O$729,예비비!$B$430:$B$729,예비비!$A108,예비비!$E$430:$E$729,"&lt;"&amp;EDATE(BL$99,1),예비비!$F$430:$F$729,"결제대금비")+MAX(0,IF(예비비!$D108&lt;EDATE(BL$99,1),예비비!$E108,0)-SUMIFS(예비비!$O$430:$O$729,예비비!$B$430:$B$729,예비비!$A108,예비비!$E$430:$E$729,"&lt;"&amp;EDATE(BL$99,1))),0)</f>
        <v>0</v>
      </c>
      <c r="BM108">
        <f>IF(예비비!$R108="OK",SUMIFS(예비비!$O$430:$O$729,예비비!$B$430:$B$729,예비비!$A108,예비비!$E$430:$E$729,"&lt;"&amp;EDATE(BM$99,1),예비비!$F$430:$F$729,"결제대금비")+MAX(0,IF(예비비!$D108&lt;EDATE(BM$99,1),예비비!$E108,0)-SUMIFS(예비비!$O$430:$O$729,예비비!$B$430:$B$729,예비비!$A108,예비비!$E$430:$E$729,"&lt;"&amp;EDATE(BM$99,1))),0)</f>
        <v>0</v>
      </c>
      <c r="BN108">
        <f>IF(예비비!$R108="OK",SUMIFS(예비비!$O$430:$O$729,예비비!$B$430:$B$729,예비비!$A108,예비비!$E$430:$E$729,"&lt;"&amp;EDATE(BN$99,1),예비비!$F$430:$F$729,"결제대금비")+MAX(0,IF(예비비!$D108&lt;EDATE(BN$99,1),예비비!$E108,0)-SUMIFS(예비비!$O$430:$O$729,예비비!$B$430:$B$729,예비비!$A108,예비비!$E$430:$E$729,"&lt;"&amp;EDATE(BN$99,1))),0)</f>
        <v>0</v>
      </c>
      <c r="BO108">
        <f>IF(예비비!$R108="OK",SUMIFS(예비비!$O$430:$O$729,예비비!$B$430:$B$729,예비비!$A108,예비비!$E$430:$E$729,"&lt;"&amp;EDATE(BO$99,1),예비비!$F$430:$F$729,"결제대금비")+MAX(0,IF(예비비!$D108&lt;EDATE(BO$99,1),예비비!$E108,0)-SUMIFS(예비비!$O$430:$O$729,예비비!$B$430:$B$729,예비비!$A108,예비비!$E$430:$E$729,"&lt;"&amp;EDATE(BO$99,1))),0)</f>
        <v>0</v>
      </c>
      <c r="BP108">
        <f>IF(예비비!$R108="OK",SUMIFS(예비비!$O$430:$O$729,예비비!$B$430:$B$729,예비비!$A108,예비비!$E$430:$E$729,"&lt;"&amp;EDATE(BP$99,1),예비비!$F$430:$F$729,"결제대금비")+MAX(0,IF(예비비!$D108&lt;EDATE(BP$99,1),예비비!$E108,0)-SUMIFS(예비비!$O$430:$O$729,예비비!$B$430:$B$729,예비비!$A108,예비비!$E$430:$E$729,"&lt;"&amp;EDATE(BP$99,1))),0)</f>
        <v>0</v>
      </c>
      <c r="BQ108">
        <f>IF(예비비!$R108="OK",SUMIFS(예비비!$O$430:$O$729,예비비!$B$430:$B$729,예비비!$A108,예비비!$E$430:$E$729,"&lt;"&amp;EDATE(BQ$99,1),예비비!$F$430:$F$729,"결제대금비")+MAX(0,IF(예비비!$D108&lt;EDATE(BQ$99,1),예비비!$E108,0)-SUMIFS(예비비!$O$430:$O$729,예비비!$B$430:$B$729,예비비!$A108,예비비!$E$430:$E$729,"&lt;"&amp;EDATE(BQ$99,1))),0)</f>
        <v>0</v>
      </c>
      <c r="BR108">
        <f>IF(예비비!$R108="OK",SUMIFS(예비비!$O$430:$O$729,예비비!$B$430:$B$729,예비비!$A108,예비비!$E$430:$E$729,"&lt;"&amp;EDATE(BR$99,1),예비비!$F$430:$F$729,"결제대금비")+MAX(0,IF(예비비!$D108&lt;EDATE(BR$99,1),예비비!$E108,0)-SUMIFS(예비비!$O$430:$O$729,예비비!$B$430:$B$729,예비비!$A108,예비비!$E$430:$E$729,"&lt;"&amp;EDATE(BR$99,1))),0)</f>
        <v>0</v>
      </c>
      <c r="BS108">
        <f>IF(예비비!$R108="OK",SUMIFS(예비비!$O$430:$O$729,예비비!$B$430:$B$729,예비비!$A108,예비비!$E$430:$E$729,"&lt;"&amp;EDATE(BS$99,1),예비비!$F$430:$F$729,"결제대금비")+MAX(0,IF(예비비!$D108&lt;EDATE(BS$99,1),예비비!$E108,0)-SUMIFS(예비비!$O$430:$O$729,예비비!$B$430:$B$729,예비비!$A108,예비비!$E$430:$E$729,"&lt;"&amp;EDATE(BS$99,1))),0)</f>
        <v>0</v>
      </c>
      <c r="BT108">
        <f>IF(예비비!$R108="OK",SUMIFS(예비비!$O$430:$O$729,예비비!$B$430:$B$729,예비비!$A108,예비비!$E$430:$E$729,"&lt;"&amp;EDATE(BT$99,1),예비비!$F$430:$F$729,"결제대금비")+MAX(0,IF(예비비!$D108&lt;EDATE(BT$99,1),예비비!$E108,0)-SUMIFS(예비비!$O$430:$O$729,예비비!$B$430:$B$729,예비비!$A108,예비비!$E$430:$E$729,"&lt;"&amp;EDATE(BT$99,1))),0)</f>
        <v>0</v>
      </c>
      <c r="BU108">
        <f>IF(예비비!$R108="OK",SUMIFS(예비비!$O$430:$O$729,예비비!$B$430:$B$729,예비비!$A108,예비비!$E$430:$E$729,"&lt;"&amp;EDATE(BU$99,1),예비비!$F$430:$F$729,"결제대금비")+MAX(0,IF(예비비!$D108&lt;EDATE(BU$99,1),예비비!$E108,0)-SUMIFS(예비비!$O$430:$O$729,예비비!$B$430:$B$729,예비비!$A108,예비비!$E$430:$E$729,"&lt;"&amp;EDATE(BU$99,1))),0)</f>
        <v>0</v>
      </c>
    </row>
    <row r="109">
      <c r="BI109">
        <f>IF(예비비!$R109="OK",SUMIFS(예비비!$O$430:$O$729,예비비!$B$430:$B$729,예비비!$A109,예비비!$E$430:$E$729,"&lt;"&amp;EDATE(BI$99,1),예비비!$F$430:$F$729,"결제대금비")+MAX(0,IF(예비비!$D109&lt;EDATE(BI$99,1),예비비!$E109,0)-SUMIFS(예비비!$O$430:$O$729,예비비!$B$430:$B$729,예비비!$A109,예비비!$E$430:$E$729,"&lt;"&amp;EDATE(BI$99,1))),0)</f>
        <v>0</v>
      </c>
      <c r="BJ109">
        <f>IF(예비비!$R109="OK",SUMIFS(예비비!$O$430:$O$729,예비비!$B$430:$B$729,예비비!$A109,예비비!$E$430:$E$729,"&lt;"&amp;EDATE(BJ$99,1),예비비!$F$430:$F$729,"결제대금비")+MAX(0,IF(예비비!$D109&lt;EDATE(BJ$99,1),예비비!$E109,0)-SUMIFS(예비비!$O$430:$O$729,예비비!$B$430:$B$729,예비비!$A109,예비비!$E$430:$E$729,"&lt;"&amp;EDATE(BJ$99,1))),0)</f>
        <v>0</v>
      </c>
      <c r="BK109">
        <f>IF(예비비!$R109="OK",SUMIFS(예비비!$O$430:$O$729,예비비!$B$430:$B$729,예비비!$A109,예비비!$E$430:$E$729,"&lt;"&amp;EDATE(BK$99,1),예비비!$F$430:$F$729,"결제대금비")+MAX(0,IF(예비비!$D109&lt;EDATE(BK$99,1),예비비!$E109,0)-SUMIFS(예비비!$O$430:$O$729,예비비!$B$430:$B$729,예비비!$A109,예비비!$E$430:$E$729,"&lt;"&amp;EDATE(BK$99,1))),0)</f>
        <v>0</v>
      </c>
      <c r="BL109">
        <f>IF(예비비!$R109="OK",SUMIFS(예비비!$O$430:$O$729,예비비!$B$430:$B$729,예비비!$A109,예비비!$E$430:$E$729,"&lt;"&amp;EDATE(BL$99,1),예비비!$F$430:$F$729,"결제대금비")+MAX(0,IF(예비비!$D109&lt;EDATE(BL$99,1),예비비!$E109,0)-SUMIFS(예비비!$O$430:$O$729,예비비!$B$430:$B$729,예비비!$A109,예비비!$E$430:$E$729,"&lt;"&amp;EDATE(BL$99,1))),0)</f>
        <v>0</v>
      </c>
      <c r="BM109">
        <f>IF(예비비!$R109="OK",SUMIFS(예비비!$O$430:$O$729,예비비!$B$430:$B$729,예비비!$A109,예비비!$E$430:$E$729,"&lt;"&amp;EDATE(BM$99,1),예비비!$F$430:$F$729,"결제대금비")+MAX(0,IF(예비비!$D109&lt;EDATE(BM$99,1),예비비!$E109,0)-SUMIFS(예비비!$O$430:$O$729,예비비!$B$430:$B$729,예비비!$A109,예비비!$E$430:$E$729,"&lt;"&amp;EDATE(BM$99,1))),0)</f>
        <v>0</v>
      </c>
      <c r="BN109">
        <f>IF(예비비!$R109="OK",SUMIFS(예비비!$O$430:$O$729,예비비!$B$430:$B$729,예비비!$A109,예비비!$E$430:$E$729,"&lt;"&amp;EDATE(BN$99,1),예비비!$F$430:$F$729,"결제대금비")+MAX(0,IF(예비비!$D109&lt;EDATE(BN$99,1),예비비!$E109,0)-SUMIFS(예비비!$O$430:$O$729,예비비!$B$430:$B$729,예비비!$A109,예비비!$E$430:$E$729,"&lt;"&amp;EDATE(BN$99,1))),0)</f>
        <v>0</v>
      </c>
      <c r="BO109">
        <f>IF(예비비!$R109="OK",SUMIFS(예비비!$O$430:$O$729,예비비!$B$430:$B$729,예비비!$A109,예비비!$E$430:$E$729,"&lt;"&amp;EDATE(BO$99,1),예비비!$F$430:$F$729,"결제대금비")+MAX(0,IF(예비비!$D109&lt;EDATE(BO$99,1),예비비!$E109,0)-SUMIFS(예비비!$O$430:$O$729,예비비!$B$430:$B$729,예비비!$A109,예비비!$E$430:$E$729,"&lt;"&amp;EDATE(BO$99,1))),0)</f>
        <v>0</v>
      </c>
      <c r="BP109">
        <f>IF(예비비!$R109="OK",SUMIFS(예비비!$O$430:$O$729,예비비!$B$430:$B$729,예비비!$A109,예비비!$E$430:$E$729,"&lt;"&amp;EDATE(BP$99,1),예비비!$F$430:$F$729,"결제대금비")+MAX(0,IF(예비비!$D109&lt;EDATE(BP$99,1),예비비!$E109,0)-SUMIFS(예비비!$O$430:$O$729,예비비!$B$430:$B$729,예비비!$A109,예비비!$E$430:$E$729,"&lt;"&amp;EDATE(BP$99,1))),0)</f>
        <v>0</v>
      </c>
      <c r="BQ109">
        <f>IF(예비비!$R109="OK",SUMIFS(예비비!$O$430:$O$729,예비비!$B$430:$B$729,예비비!$A109,예비비!$E$430:$E$729,"&lt;"&amp;EDATE(BQ$99,1),예비비!$F$430:$F$729,"결제대금비")+MAX(0,IF(예비비!$D109&lt;EDATE(BQ$99,1),예비비!$E109,0)-SUMIFS(예비비!$O$430:$O$729,예비비!$B$430:$B$729,예비비!$A109,예비비!$E$430:$E$729,"&lt;"&amp;EDATE(BQ$99,1))),0)</f>
        <v>0</v>
      </c>
      <c r="BR109">
        <f>IF(예비비!$R109="OK",SUMIFS(예비비!$O$430:$O$729,예비비!$B$430:$B$729,예비비!$A109,예비비!$E$430:$E$729,"&lt;"&amp;EDATE(BR$99,1),예비비!$F$430:$F$729,"결제대금비")+MAX(0,IF(예비비!$D109&lt;EDATE(BR$99,1),예비비!$E109,0)-SUMIFS(예비비!$O$430:$O$729,예비비!$B$430:$B$729,예비비!$A109,예비비!$E$430:$E$729,"&lt;"&amp;EDATE(BR$99,1))),0)</f>
        <v>0</v>
      </c>
      <c r="BS109">
        <f>IF(예비비!$R109="OK",SUMIFS(예비비!$O$430:$O$729,예비비!$B$430:$B$729,예비비!$A109,예비비!$E$430:$E$729,"&lt;"&amp;EDATE(BS$99,1),예비비!$F$430:$F$729,"결제대금비")+MAX(0,IF(예비비!$D109&lt;EDATE(BS$99,1),예비비!$E109,0)-SUMIFS(예비비!$O$430:$O$729,예비비!$B$430:$B$729,예비비!$A109,예비비!$E$430:$E$729,"&lt;"&amp;EDATE(BS$99,1))),0)</f>
        <v>0</v>
      </c>
      <c r="BT109">
        <f>IF(예비비!$R109="OK",SUMIFS(예비비!$O$430:$O$729,예비비!$B$430:$B$729,예비비!$A109,예비비!$E$430:$E$729,"&lt;"&amp;EDATE(BT$99,1),예비비!$F$430:$F$729,"결제대금비")+MAX(0,IF(예비비!$D109&lt;EDATE(BT$99,1),예비비!$E109,0)-SUMIFS(예비비!$O$430:$O$729,예비비!$B$430:$B$729,예비비!$A109,예비비!$E$430:$E$729,"&lt;"&amp;EDATE(BT$99,1))),0)</f>
        <v>0</v>
      </c>
      <c r="BU109">
        <f>IF(예비비!$R109="OK",SUMIFS(예비비!$O$430:$O$729,예비비!$B$430:$B$729,예비비!$A109,예비비!$E$430:$E$729,"&lt;"&amp;EDATE(BU$99,1),예비비!$F$430:$F$729,"결제대금비")+MAX(0,IF(예비비!$D109&lt;EDATE(BU$99,1),예비비!$E109,0)-SUMIFS(예비비!$O$430:$O$729,예비비!$B$430:$B$729,예비비!$A109,예비비!$E$430:$E$729,"&lt;"&amp;EDATE(BU$99,1))),0)</f>
        <v>0</v>
      </c>
    </row>
    <row r="110">
      <c r="BI110">
        <f>IF(예비비!$R110="OK",SUMIFS(예비비!$O$430:$O$729,예비비!$B$430:$B$729,예비비!$A110,예비비!$E$430:$E$729,"&lt;"&amp;EDATE(BI$99,1),예비비!$F$430:$F$729,"결제대금비")+MAX(0,IF(예비비!$D110&lt;EDATE(BI$99,1),예비비!$E110,0)-SUMIFS(예비비!$O$430:$O$729,예비비!$B$430:$B$729,예비비!$A110,예비비!$E$430:$E$729,"&lt;"&amp;EDATE(BI$99,1))),0)</f>
        <v>0</v>
      </c>
      <c r="BJ110">
        <f>IF(예비비!$R110="OK",SUMIFS(예비비!$O$430:$O$729,예비비!$B$430:$B$729,예비비!$A110,예비비!$E$430:$E$729,"&lt;"&amp;EDATE(BJ$99,1),예비비!$F$430:$F$729,"결제대금비")+MAX(0,IF(예비비!$D110&lt;EDATE(BJ$99,1),예비비!$E110,0)-SUMIFS(예비비!$O$430:$O$729,예비비!$B$430:$B$729,예비비!$A110,예비비!$E$430:$E$729,"&lt;"&amp;EDATE(BJ$99,1))),0)</f>
        <v>0</v>
      </c>
      <c r="BK110">
        <f>IF(예비비!$R110="OK",SUMIFS(예비비!$O$430:$O$729,예비비!$B$430:$B$729,예비비!$A110,예비비!$E$430:$E$729,"&lt;"&amp;EDATE(BK$99,1),예비비!$F$430:$F$729,"결제대금비")+MAX(0,IF(예비비!$D110&lt;EDATE(BK$99,1),예비비!$E110,0)-SUMIFS(예비비!$O$430:$O$729,예비비!$B$430:$B$729,예비비!$A110,예비비!$E$430:$E$729,"&lt;"&amp;EDATE(BK$99,1))),0)</f>
        <v>0</v>
      </c>
      <c r="BL110">
        <f>IF(예비비!$R110="OK",SUMIFS(예비비!$O$430:$O$729,예비비!$B$430:$B$729,예비비!$A110,예비비!$E$430:$E$729,"&lt;"&amp;EDATE(BL$99,1),예비비!$F$430:$F$729,"결제대금비")+MAX(0,IF(예비비!$D110&lt;EDATE(BL$99,1),예비비!$E110,0)-SUMIFS(예비비!$O$430:$O$729,예비비!$B$430:$B$729,예비비!$A110,예비비!$E$430:$E$729,"&lt;"&amp;EDATE(BL$99,1))),0)</f>
        <v>0</v>
      </c>
      <c r="BM110">
        <f>IF(예비비!$R110="OK",SUMIFS(예비비!$O$430:$O$729,예비비!$B$430:$B$729,예비비!$A110,예비비!$E$430:$E$729,"&lt;"&amp;EDATE(BM$99,1),예비비!$F$430:$F$729,"결제대금비")+MAX(0,IF(예비비!$D110&lt;EDATE(BM$99,1),예비비!$E110,0)-SUMIFS(예비비!$O$430:$O$729,예비비!$B$430:$B$729,예비비!$A110,예비비!$E$430:$E$729,"&lt;"&amp;EDATE(BM$99,1))),0)</f>
        <v>0</v>
      </c>
      <c r="BN110">
        <f>IF(예비비!$R110="OK",SUMIFS(예비비!$O$430:$O$729,예비비!$B$430:$B$729,예비비!$A110,예비비!$E$430:$E$729,"&lt;"&amp;EDATE(BN$99,1),예비비!$F$430:$F$729,"결제대금비")+MAX(0,IF(예비비!$D110&lt;EDATE(BN$99,1),예비비!$E110,0)-SUMIFS(예비비!$O$430:$O$729,예비비!$B$430:$B$729,예비비!$A110,예비비!$E$430:$E$729,"&lt;"&amp;EDATE(BN$99,1))),0)</f>
        <v>0</v>
      </c>
      <c r="BO110">
        <f>IF(예비비!$R110="OK",SUMIFS(예비비!$O$430:$O$729,예비비!$B$430:$B$729,예비비!$A110,예비비!$E$430:$E$729,"&lt;"&amp;EDATE(BO$99,1),예비비!$F$430:$F$729,"결제대금비")+MAX(0,IF(예비비!$D110&lt;EDATE(BO$99,1),예비비!$E110,0)-SUMIFS(예비비!$O$430:$O$729,예비비!$B$430:$B$729,예비비!$A110,예비비!$E$430:$E$729,"&lt;"&amp;EDATE(BO$99,1))),0)</f>
        <v>0</v>
      </c>
      <c r="BP110">
        <f>IF(예비비!$R110="OK",SUMIFS(예비비!$O$430:$O$729,예비비!$B$430:$B$729,예비비!$A110,예비비!$E$430:$E$729,"&lt;"&amp;EDATE(BP$99,1),예비비!$F$430:$F$729,"결제대금비")+MAX(0,IF(예비비!$D110&lt;EDATE(BP$99,1),예비비!$E110,0)-SUMIFS(예비비!$O$430:$O$729,예비비!$B$430:$B$729,예비비!$A110,예비비!$E$430:$E$729,"&lt;"&amp;EDATE(BP$99,1))),0)</f>
        <v>0</v>
      </c>
      <c r="BQ110">
        <f>IF(예비비!$R110="OK",SUMIFS(예비비!$O$430:$O$729,예비비!$B$430:$B$729,예비비!$A110,예비비!$E$430:$E$729,"&lt;"&amp;EDATE(BQ$99,1),예비비!$F$430:$F$729,"결제대금비")+MAX(0,IF(예비비!$D110&lt;EDATE(BQ$99,1),예비비!$E110,0)-SUMIFS(예비비!$O$430:$O$729,예비비!$B$430:$B$729,예비비!$A110,예비비!$E$430:$E$729,"&lt;"&amp;EDATE(BQ$99,1))),0)</f>
        <v>0</v>
      </c>
      <c r="BR110">
        <f>IF(예비비!$R110="OK",SUMIFS(예비비!$O$430:$O$729,예비비!$B$430:$B$729,예비비!$A110,예비비!$E$430:$E$729,"&lt;"&amp;EDATE(BR$99,1),예비비!$F$430:$F$729,"결제대금비")+MAX(0,IF(예비비!$D110&lt;EDATE(BR$99,1),예비비!$E110,0)-SUMIFS(예비비!$O$430:$O$729,예비비!$B$430:$B$729,예비비!$A110,예비비!$E$430:$E$729,"&lt;"&amp;EDATE(BR$99,1))),0)</f>
        <v>0</v>
      </c>
      <c r="BS110">
        <f>IF(예비비!$R110="OK",SUMIFS(예비비!$O$430:$O$729,예비비!$B$430:$B$729,예비비!$A110,예비비!$E$430:$E$729,"&lt;"&amp;EDATE(BS$99,1),예비비!$F$430:$F$729,"결제대금비")+MAX(0,IF(예비비!$D110&lt;EDATE(BS$99,1),예비비!$E110,0)-SUMIFS(예비비!$O$430:$O$729,예비비!$B$430:$B$729,예비비!$A110,예비비!$E$430:$E$729,"&lt;"&amp;EDATE(BS$99,1))),0)</f>
        <v>0</v>
      </c>
      <c r="BT110">
        <f>IF(예비비!$R110="OK",SUMIFS(예비비!$O$430:$O$729,예비비!$B$430:$B$729,예비비!$A110,예비비!$E$430:$E$729,"&lt;"&amp;EDATE(BT$99,1),예비비!$F$430:$F$729,"결제대금비")+MAX(0,IF(예비비!$D110&lt;EDATE(BT$99,1),예비비!$E110,0)-SUMIFS(예비비!$O$430:$O$729,예비비!$B$430:$B$729,예비비!$A110,예비비!$E$430:$E$729,"&lt;"&amp;EDATE(BT$99,1))),0)</f>
        <v>0</v>
      </c>
      <c r="BU110">
        <f>IF(예비비!$R110="OK",SUMIFS(예비비!$O$430:$O$729,예비비!$B$430:$B$729,예비비!$A110,예비비!$E$430:$E$729,"&lt;"&amp;EDATE(BU$99,1),예비비!$F$430:$F$729,"결제대금비")+MAX(0,IF(예비비!$D110&lt;EDATE(BU$99,1),예비비!$E110,0)-SUMIFS(예비비!$O$430:$O$729,예비비!$B$430:$B$729,예비비!$A110,예비비!$E$430:$E$729,"&lt;"&amp;EDATE(BU$99,1))),0)</f>
        <v>0</v>
      </c>
    </row>
    <row r="111">
      <c r="BI111">
        <f>IF(예비비!$R111="OK",SUMIFS(예비비!$O$430:$O$729,예비비!$B$430:$B$729,예비비!$A111,예비비!$E$430:$E$729,"&lt;"&amp;EDATE(BI$99,1),예비비!$F$430:$F$729,"결제대금비")+MAX(0,IF(예비비!$D111&lt;EDATE(BI$99,1),예비비!$E111,0)-SUMIFS(예비비!$O$430:$O$729,예비비!$B$430:$B$729,예비비!$A111,예비비!$E$430:$E$729,"&lt;"&amp;EDATE(BI$99,1))),0)</f>
        <v>0</v>
      </c>
      <c r="BJ111">
        <f>IF(예비비!$R111="OK",SUMIFS(예비비!$O$430:$O$729,예비비!$B$430:$B$729,예비비!$A111,예비비!$E$430:$E$729,"&lt;"&amp;EDATE(BJ$99,1),예비비!$F$430:$F$729,"결제대금비")+MAX(0,IF(예비비!$D111&lt;EDATE(BJ$99,1),예비비!$E111,0)-SUMIFS(예비비!$O$430:$O$729,예비비!$B$430:$B$729,예비비!$A111,예비비!$E$430:$E$729,"&lt;"&amp;EDATE(BJ$99,1))),0)</f>
        <v>0</v>
      </c>
      <c r="BK111">
        <f>IF(예비비!$R111="OK",SUMIFS(예비비!$O$430:$O$729,예비비!$B$430:$B$729,예비비!$A111,예비비!$E$430:$E$729,"&lt;"&amp;EDATE(BK$99,1),예비비!$F$430:$F$729,"결제대금비")+MAX(0,IF(예비비!$D111&lt;EDATE(BK$99,1),예비비!$E111,0)-SUMIFS(예비비!$O$430:$O$729,예비비!$B$430:$B$729,예비비!$A111,예비비!$E$430:$E$729,"&lt;"&amp;EDATE(BK$99,1))),0)</f>
        <v>0</v>
      </c>
      <c r="BL111">
        <f>IF(예비비!$R111="OK",SUMIFS(예비비!$O$430:$O$729,예비비!$B$430:$B$729,예비비!$A111,예비비!$E$430:$E$729,"&lt;"&amp;EDATE(BL$99,1),예비비!$F$430:$F$729,"결제대금비")+MAX(0,IF(예비비!$D111&lt;EDATE(BL$99,1),예비비!$E111,0)-SUMIFS(예비비!$O$430:$O$729,예비비!$B$430:$B$729,예비비!$A111,예비비!$E$430:$E$729,"&lt;"&amp;EDATE(BL$99,1))),0)</f>
        <v>0</v>
      </c>
      <c r="BM111">
        <f>IF(예비비!$R111="OK",SUMIFS(예비비!$O$430:$O$729,예비비!$B$430:$B$729,예비비!$A111,예비비!$E$430:$E$729,"&lt;"&amp;EDATE(BM$99,1),예비비!$F$430:$F$729,"결제대금비")+MAX(0,IF(예비비!$D111&lt;EDATE(BM$99,1),예비비!$E111,0)-SUMIFS(예비비!$O$430:$O$729,예비비!$B$430:$B$729,예비비!$A111,예비비!$E$430:$E$729,"&lt;"&amp;EDATE(BM$99,1))),0)</f>
        <v>0</v>
      </c>
      <c r="BN111">
        <f>IF(예비비!$R111="OK",SUMIFS(예비비!$O$430:$O$729,예비비!$B$430:$B$729,예비비!$A111,예비비!$E$430:$E$729,"&lt;"&amp;EDATE(BN$99,1),예비비!$F$430:$F$729,"결제대금비")+MAX(0,IF(예비비!$D111&lt;EDATE(BN$99,1),예비비!$E111,0)-SUMIFS(예비비!$O$430:$O$729,예비비!$B$430:$B$729,예비비!$A111,예비비!$E$430:$E$729,"&lt;"&amp;EDATE(BN$99,1))),0)</f>
        <v>0</v>
      </c>
      <c r="BO111">
        <f>IF(예비비!$R111="OK",SUMIFS(예비비!$O$430:$O$729,예비비!$B$430:$B$729,예비비!$A111,예비비!$E$430:$E$729,"&lt;"&amp;EDATE(BO$99,1),예비비!$F$430:$F$729,"결제대금비")+MAX(0,IF(예비비!$D111&lt;EDATE(BO$99,1),예비비!$E111,0)-SUMIFS(예비비!$O$430:$O$729,예비비!$B$430:$B$729,예비비!$A111,예비비!$E$430:$E$729,"&lt;"&amp;EDATE(BO$99,1))),0)</f>
        <v>0</v>
      </c>
      <c r="BP111">
        <f>IF(예비비!$R111="OK",SUMIFS(예비비!$O$430:$O$729,예비비!$B$430:$B$729,예비비!$A111,예비비!$E$430:$E$729,"&lt;"&amp;EDATE(BP$99,1),예비비!$F$430:$F$729,"결제대금비")+MAX(0,IF(예비비!$D111&lt;EDATE(BP$99,1),예비비!$E111,0)-SUMIFS(예비비!$O$430:$O$729,예비비!$B$430:$B$729,예비비!$A111,예비비!$E$430:$E$729,"&lt;"&amp;EDATE(BP$99,1))),0)</f>
        <v>0</v>
      </c>
      <c r="BQ111">
        <f>IF(예비비!$R111="OK",SUMIFS(예비비!$O$430:$O$729,예비비!$B$430:$B$729,예비비!$A111,예비비!$E$430:$E$729,"&lt;"&amp;EDATE(BQ$99,1),예비비!$F$430:$F$729,"결제대금비")+MAX(0,IF(예비비!$D111&lt;EDATE(BQ$99,1),예비비!$E111,0)-SUMIFS(예비비!$O$430:$O$729,예비비!$B$430:$B$729,예비비!$A111,예비비!$E$430:$E$729,"&lt;"&amp;EDATE(BQ$99,1))),0)</f>
        <v>0</v>
      </c>
      <c r="BR111">
        <f>IF(예비비!$R111="OK",SUMIFS(예비비!$O$430:$O$729,예비비!$B$430:$B$729,예비비!$A111,예비비!$E$430:$E$729,"&lt;"&amp;EDATE(BR$99,1),예비비!$F$430:$F$729,"결제대금비")+MAX(0,IF(예비비!$D111&lt;EDATE(BR$99,1),예비비!$E111,0)-SUMIFS(예비비!$O$430:$O$729,예비비!$B$430:$B$729,예비비!$A111,예비비!$E$430:$E$729,"&lt;"&amp;EDATE(BR$99,1))),0)</f>
        <v>0</v>
      </c>
      <c r="BS111">
        <f>IF(예비비!$R111="OK",SUMIFS(예비비!$O$430:$O$729,예비비!$B$430:$B$729,예비비!$A111,예비비!$E$430:$E$729,"&lt;"&amp;EDATE(BS$99,1),예비비!$F$430:$F$729,"결제대금비")+MAX(0,IF(예비비!$D111&lt;EDATE(BS$99,1),예비비!$E111,0)-SUMIFS(예비비!$O$430:$O$729,예비비!$B$430:$B$729,예비비!$A111,예비비!$E$430:$E$729,"&lt;"&amp;EDATE(BS$99,1))),0)</f>
        <v>0</v>
      </c>
      <c r="BT111">
        <f>IF(예비비!$R111="OK",SUMIFS(예비비!$O$430:$O$729,예비비!$B$430:$B$729,예비비!$A111,예비비!$E$430:$E$729,"&lt;"&amp;EDATE(BT$99,1),예비비!$F$430:$F$729,"결제대금비")+MAX(0,IF(예비비!$D111&lt;EDATE(BT$99,1),예비비!$E111,0)-SUMIFS(예비비!$O$430:$O$729,예비비!$B$430:$B$729,예비비!$A111,예비비!$E$430:$E$729,"&lt;"&amp;EDATE(BT$99,1))),0)</f>
        <v>0</v>
      </c>
      <c r="BU111">
        <f>IF(예비비!$R111="OK",SUMIFS(예비비!$O$430:$O$729,예비비!$B$430:$B$729,예비비!$A111,예비비!$E$430:$E$729,"&lt;"&amp;EDATE(BU$99,1),예비비!$F$430:$F$729,"결제대금비")+MAX(0,IF(예비비!$D111&lt;EDATE(BU$99,1),예비비!$E111,0)-SUMIFS(예비비!$O$430:$O$729,예비비!$B$430:$B$729,예비비!$A111,예비비!$E$430:$E$729,"&lt;"&amp;EDATE(BU$99,1))),0)</f>
        <v>0</v>
      </c>
    </row>
    <row r="112">
      <c r="BI112">
        <f>IF(예비비!$R112="OK",SUMIFS(예비비!$O$430:$O$729,예비비!$B$430:$B$729,예비비!$A112,예비비!$E$430:$E$729,"&lt;"&amp;EDATE(BI$99,1),예비비!$F$430:$F$729,"결제대금비")+MAX(0,IF(예비비!$D112&lt;EDATE(BI$99,1),예비비!$E112,0)-SUMIFS(예비비!$O$430:$O$729,예비비!$B$430:$B$729,예비비!$A112,예비비!$E$430:$E$729,"&lt;"&amp;EDATE(BI$99,1))),0)</f>
        <v>0</v>
      </c>
      <c r="BJ112">
        <f>IF(예비비!$R112="OK",SUMIFS(예비비!$O$430:$O$729,예비비!$B$430:$B$729,예비비!$A112,예비비!$E$430:$E$729,"&lt;"&amp;EDATE(BJ$99,1),예비비!$F$430:$F$729,"결제대금비")+MAX(0,IF(예비비!$D112&lt;EDATE(BJ$99,1),예비비!$E112,0)-SUMIFS(예비비!$O$430:$O$729,예비비!$B$430:$B$729,예비비!$A112,예비비!$E$430:$E$729,"&lt;"&amp;EDATE(BJ$99,1))),0)</f>
        <v>0</v>
      </c>
      <c r="BK112">
        <f>IF(예비비!$R112="OK",SUMIFS(예비비!$O$430:$O$729,예비비!$B$430:$B$729,예비비!$A112,예비비!$E$430:$E$729,"&lt;"&amp;EDATE(BK$99,1),예비비!$F$430:$F$729,"결제대금비")+MAX(0,IF(예비비!$D112&lt;EDATE(BK$99,1),예비비!$E112,0)-SUMIFS(예비비!$O$430:$O$729,예비비!$B$430:$B$729,예비비!$A112,예비비!$E$430:$E$729,"&lt;"&amp;EDATE(BK$99,1))),0)</f>
        <v>0</v>
      </c>
      <c r="BL112">
        <f>IF(예비비!$R112="OK",SUMIFS(예비비!$O$430:$O$729,예비비!$B$430:$B$729,예비비!$A112,예비비!$E$430:$E$729,"&lt;"&amp;EDATE(BL$99,1),예비비!$F$430:$F$729,"결제대금비")+MAX(0,IF(예비비!$D112&lt;EDATE(BL$99,1),예비비!$E112,0)-SUMIFS(예비비!$O$430:$O$729,예비비!$B$430:$B$729,예비비!$A112,예비비!$E$430:$E$729,"&lt;"&amp;EDATE(BL$99,1))),0)</f>
        <v>0</v>
      </c>
      <c r="BM112">
        <f>IF(예비비!$R112="OK",SUMIFS(예비비!$O$430:$O$729,예비비!$B$430:$B$729,예비비!$A112,예비비!$E$430:$E$729,"&lt;"&amp;EDATE(BM$99,1),예비비!$F$430:$F$729,"결제대금비")+MAX(0,IF(예비비!$D112&lt;EDATE(BM$99,1),예비비!$E112,0)-SUMIFS(예비비!$O$430:$O$729,예비비!$B$430:$B$729,예비비!$A112,예비비!$E$430:$E$729,"&lt;"&amp;EDATE(BM$99,1))),0)</f>
        <v>0</v>
      </c>
      <c r="BN112">
        <f>IF(예비비!$R112="OK",SUMIFS(예비비!$O$430:$O$729,예비비!$B$430:$B$729,예비비!$A112,예비비!$E$430:$E$729,"&lt;"&amp;EDATE(BN$99,1),예비비!$F$430:$F$729,"결제대금비")+MAX(0,IF(예비비!$D112&lt;EDATE(BN$99,1),예비비!$E112,0)-SUMIFS(예비비!$O$430:$O$729,예비비!$B$430:$B$729,예비비!$A112,예비비!$E$430:$E$729,"&lt;"&amp;EDATE(BN$99,1))),0)</f>
        <v>0</v>
      </c>
      <c r="BO112">
        <f>IF(예비비!$R112="OK",SUMIFS(예비비!$O$430:$O$729,예비비!$B$430:$B$729,예비비!$A112,예비비!$E$430:$E$729,"&lt;"&amp;EDATE(BO$99,1),예비비!$F$430:$F$729,"결제대금비")+MAX(0,IF(예비비!$D112&lt;EDATE(BO$99,1),예비비!$E112,0)-SUMIFS(예비비!$O$430:$O$729,예비비!$B$430:$B$729,예비비!$A112,예비비!$E$430:$E$729,"&lt;"&amp;EDATE(BO$99,1))),0)</f>
        <v>0</v>
      </c>
      <c r="BP112">
        <f>IF(예비비!$R112="OK",SUMIFS(예비비!$O$430:$O$729,예비비!$B$430:$B$729,예비비!$A112,예비비!$E$430:$E$729,"&lt;"&amp;EDATE(BP$99,1),예비비!$F$430:$F$729,"결제대금비")+MAX(0,IF(예비비!$D112&lt;EDATE(BP$99,1),예비비!$E112,0)-SUMIFS(예비비!$O$430:$O$729,예비비!$B$430:$B$729,예비비!$A112,예비비!$E$430:$E$729,"&lt;"&amp;EDATE(BP$99,1))),0)</f>
        <v>0</v>
      </c>
      <c r="BQ112">
        <f>IF(예비비!$R112="OK",SUMIFS(예비비!$O$430:$O$729,예비비!$B$430:$B$729,예비비!$A112,예비비!$E$430:$E$729,"&lt;"&amp;EDATE(BQ$99,1),예비비!$F$430:$F$729,"결제대금비")+MAX(0,IF(예비비!$D112&lt;EDATE(BQ$99,1),예비비!$E112,0)-SUMIFS(예비비!$O$430:$O$729,예비비!$B$430:$B$729,예비비!$A112,예비비!$E$430:$E$729,"&lt;"&amp;EDATE(BQ$99,1))),0)</f>
        <v>0</v>
      </c>
      <c r="BR112">
        <f>IF(예비비!$R112="OK",SUMIFS(예비비!$O$430:$O$729,예비비!$B$430:$B$729,예비비!$A112,예비비!$E$430:$E$729,"&lt;"&amp;EDATE(BR$99,1),예비비!$F$430:$F$729,"결제대금비")+MAX(0,IF(예비비!$D112&lt;EDATE(BR$99,1),예비비!$E112,0)-SUMIFS(예비비!$O$430:$O$729,예비비!$B$430:$B$729,예비비!$A112,예비비!$E$430:$E$729,"&lt;"&amp;EDATE(BR$99,1))),0)</f>
        <v>0</v>
      </c>
      <c r="BS112">
        <f>IF(예비비!$R112="OK",SUMIFS(예비비!$O$430:$O$729,예비비!$B$430:$B$729,예비비!$A112,예비비!$E$430:$E$729,"&lt;"&amp;EDATE(BS$99,1),예비비!$F$430:$F$729,"결제대금비")+MAX(0,IF(예비비!$D112&lt;EDATE(BS$99,1),예비비!$E112,0)-SUMIFS(예비비!$O$430:$O$729,예비비!$B$430:$B$729,예비비!$A112,예비비!$E$430:$E$729,"&lt;"&amp;EDATE(BS$99,1))),0)</f>
        <v>0</v>
      </c>
      <c r="BT112">
        <f>IF(예비비!$R112="OK",SUMIFS(예비비!$O$430:$O$729,예비비!$B$430:$B$729,예비비!$A112,예비비!$E$430:$E$729,"&lt;"&amp;EDATE(BT$99,1),예비비!$F$430:$F$729,"결제대금비")+MAX(0,IF(예비비!$D112&lt;EDATE(BT$99,1),예비비!$E112,0)-SUMIFS(예비비!$O$430:$O$729,예비비!$B$430:$B$729,예비비!$A112,예비비!$E$430:$E$729,"&lt;"&amp;EDATE(BT$99,1))),0)</f>
        <v>0</v>
      </c>
      <c r="BU112">
        <f>IF(예비비!$R112="OK",SUMIFS(예비비!$O$430:$O$729,예비비!$B$430:$B$729,예비비!$A112,예비비!$E$430:$E$729,"&lt;"&amp;EDATE(BU$99,1),예비비!$F$430:$F$729,"결제대금비")+MAX(0,IF(예비비!$D112&lt;EDATE(BU$99,1),예비비!$E112,0)-SUMIFS(예비비!$O$430:$O$729,예비비!$B$430:$B$729,예비비!$A112,예비비!$E$430:$E$729,"&lt;"&amp;EDATE(BU$99,1))),0)</f>
        <v>0</v>
      </c>
    </row>
    <row r="113">
      <c r="BI113">
        <f>IF(예비비!$R113="OK",SUMIFS(예비비!$O$430:$O$729,예비비!$B$430:$B$729,예비비!$A113,예비비!$E$430:$E$729,"&lt;"&amp;EDATE(BI$99,1),예비비!$F$430:$F$729,"결제대금비")+MAX(0,IF(예비비!$D113&lt;EDATE(BI$99,1),예비비!$E113,0)-SUMIFS(예비비!$O$430:$O$729,예비비!$B$430:$B$729,예비비!$A113,예비비!$E$430:$E$729,"&lt;"&amp;EDATE(BI$99,1))),0)</f>
        <v>0</v>
      </c>
      <c r="BJ113">
        <f>IF(예비비!$R113="OK",SUMIFS(예비비!$O$430:$O$729,예비비!$B$430:$B$729,예비비!$A113,예비비!$E$430:$E$729,"&lt;"&amp;EDATE(BJ$99,1),예비비!$F$430:$F$729,"결제대금비")+MAX(0,IF(예비비!$D113&lt;EDATE(BJ$99,1),예비비!$E113,0)-SUMIFS(예비비!$O$430:$O$729,예비비!$B$430:$B$729,예비비!$A113,예비비!$E$430:$E$729,"&lt;"&amp;EDATE(BJ$99,1))),0)</f>
        <v>0</v>
      </c>
      <c r="BK113">
        <f>IF(예비비!$R113="OK",SUMIFS(예비비!$O$430:$O$729,예비비!$B$430:$B$729,예비비!$A113,예비비!$E$430:$E$729,"&lt;"&amp;EDATE(BK$99,1),예비비!$F$430:$F$729,"결제대금비")+MAX(0,IF(예비비!$D113&lt;EDATE(BK$99,1),예비비!$E113,0)-SUMIFS(예비비!$O$430:$O$729,예비비!$B$430:$B$729,예비비!$A113,예비비!$E$430:$E$729,"&lt;"&amp;EDATE(BK$99,1))),0)</f>
        <v>0</v>
      </c>
      <c r="BL113">
        <f>IF(예비비!$R113="OK",SUMIFS(예비비!$O$430:$O$729,예비비!$B$430:$B$729,예비비!$A113,예비비!$E$430:$E$729,"&lt;"&amp;EDATE(BL$99,1),예비비!$F$430:$F$729,"결제대금비")+MAX(0,IF(예비비!$D113&lt;EDATE(BL$99,1),예비비!$E113,0)-SUMIFS(예비비!$O$430:$O$729,예비비!$B$430:$B$729,예비비!$A113,예비비!$E$430:$E$729,"&lt;"&amp;EDATE(BL$99,1))),0)</f>
        <v>0</v>
      </c>
      <c r="BM113">
        <f>IF(예비비!$R113="OK",SUMIFS(예비비!$O$430:$O$729,예비비!$B$430:$B$729,예비비!$A113,예비비!$E$430:$E$729,"&lt;"&amp;EDATE(BM$99,1),예비비!$F$430:$F$729,"결제대금비")+MAX(0,IF(예비비!$D113&lt;EDATE(BM$99,1),예비비!$E113,0)-SUMIFS(예비비!$O$430:$O$729,예비비!$B$430:$B$729,예비비!$A113,예비비!$E$430:$E$729,"&lt;"&amp;EDATE(BM$99,1))),0)</f>
        <v>0</v>
      </c>
      <c r="BN113">
        <f>IF(예비비!$R113="OK",SUMIFS(예비비!$O$430:$O$729,예비비!$B$430:$B$729,예비비!$A113,예비비!$E$430:$E$729,"&lt;"&amp;EDATE(BN$99,1),예비비!$F$430:$F$729,"결제대금비")+MAX(0,IF(예비비!$D113&lt;EDATE(BN$99,1),예비비!$E113,0)-SUMIFS(예비비!$O$430:$O$729,예비비!$B$430:$B$729,예비비!$A113,예비비!$E$430:$E$729,"&lt;"&amp;EDATE(BN$99,1))),0)</f>
        <v>0</v>
      </c>
      <c r="BO113">
        <f>IF(예비비!$R113="OK",SUMIFS(예비비!$O$430:$O$729,예비비!$B$430:$B$729,예비비!$A113,예비비!$E$430:$E$729,"&lt;"&amp;EDATE(BO$99,1),예비비!$F$430:$F$729,"결제대금비")+MAX(0,IF(예비비!$D113&lt;EDATE(BO$99,1),예비비!$E113,0)-SUMIFS(예비비!$O$430:$O$729,예비비!$B$430:$B$729,예비비!$A113,예비비!$E$430:$E$729,"&lt;"&amp;EDATE(BO$99,1))),0)</f>
        <v>0</v>
      </c>
      <c r="BP113">
        <f>IF(예비비!$R113="OK",SUMIFS(예비비!$O$430:$O$729,예비비!$B$430:$B$729,예비비!$A113,예비비!$E$430:$E$729,"&lt;"&amp;EDATE(BP$99,1),예비비!$F$430:$F$729,"결제대금비")+MAX(0,IF(예비비!$D113&lt;EDATE(BP$99,1),예비비!$E113,0)-SUMIFS(예비비!$O$430:$O$729,예비비!$B$430:$B$729,예비비!$A113,예비비!$E$430:$E$729,"&lt;"&amp;EDATE(BP$99,1))),0)</f>
        <v>0</v>
      </c>
      <c r="BQ113">
        <f>IF(예비비!$R113="OK",SUMIFS(예비비!$O$430:$O$729,예비비!$B$430:$B$729,예비비!$A113,예비비!$E$430:$E$729,"&lt;"&amp;EDATE(BQ$99,1),예비비!$F$430:$F$729,"결제대금비")+MAX(0,IF(예비비!$D113&lt;EDATE(BQ$99,1),예비비!$E113,0)-SUMIFS(예비비!$O$430:$O$729,예비비!$B$430:$B$729,예비비!$A113,예비비!$E$430:$E$729,"&lt;"&amp;EDATE(BQ$99,1))),0)</f>
        <v>0</v>
      </c>
      <c r="BR113">
        <f>IF(예비비!$R113="OK",SUMIFS(예비비!$O$430:$O$729,예비비!$B$430:$B$729,예비비!$A113,예비비!$E$430:$E$729,"&lt;"&amp;EDATE(BR$99,1),예비비!$F$430:$F$729,"결제대금비")+MAX(0,IF(예비비!$D113&lt;EDATE(BR$99,1),예비비!$E113,0)-SUMIFS(예비비!$O$430:$O$729,예비비!$B$430:$B$729,예비비!$A113,예비비!$E$430:$E$729,"&lt;"&amp;EDATE(BR$99,1))),0)</f>
        <v>0</v>
      </c>
      <c r="BS113">
        <f>IF(예비비!$R113="OK",SUMIFS(예비비!$O$430:$O$729,예비비!$B$430:$B$729,예비비!$A113,예비비!$E$430:$E$729,"&lt;"&amp;EDATE(BS$99,1),예비비!$F$430:$F$729,"결제대금비")+MAX(0,IF(예비비!$D113&lt;EDATE(BS$99,1),예비비!$E113,0)-SUMIFS(예비비!$O$430:$O$729,예비비!$B$430:$B$729,예비비!$A113,예비비!$E$430:$E$729,"&lt;"&amp;EDATE(BS$99,1))),0)</f>
        <v>0</v>
      </c>
      <c r="BT113">
        <f>IF(예비비!$R113="OK",SUMIFS(예비비!$O$430:$O$729,예비비!$B$430:$B$729,예비비!$A113,예비비!$E$430:$E$729,"&lt;"&amp;EDATE(BT$99,1),예비비!$F$430:$F$729,"결제대금비")+MAX(0,IF(예비비!$D113&lt;EDATE(BT$99,1),예비비!$E113,0)-SUMIFS(예비비!$O$430:$O$729,예비비!$B$430:$B$729,예비비!$A113,예비비!$E$430:$E$729,"&lt;"&amp;EDATE(BT$99,1))),0)</f>
        <v>0</v>
      </c>
      <c r="BU113">
        <f>IF(예비비!$R113="OK",SUMIFS(예비비!$O$430:$O$729,예비비!$B$430:$B$729,예비비!$A113,예비비!$E$430:$E$729,"&lt;"&amp;EDATE(BU$99,1),예비비!$F$430:$F$729,"결제대금비")+MAX(0,IF(예비비!$D113&lt;EDATE(BU$99,1),예비비!$E113,0)-SUMIFS(예비비!$O$430:$O$729,예비비!$B$430:$B$729,예비비!$A113,예비비!$E$430:$E$729,"&lt;"&amp;EDATE(BU$99,1))),0)</f>
        <v>0</v>
      </c>
    </row>
    <row r="114">
      <c r="BI114">
        <f>IF(예비비!$R114="OK",SUMIFS(예비비!$O$430:$O$729,예비비!$B$430:$B$729,예비비!$A114,예비비!$E$430:$E$729,"&lt;"&amp;EDATE(BI$99,1),예비비!$F$430:$F$729,"결제대금비")+MAX(0,IF(예비비!$D114&lt;EDATE(BI$99,1),예비비!$E114,0)-SUMIFS(예비비!$O$430:$O$729,예비비!$B$430:$B$729,예비비!$A114,예비비!$E$430:$E$729,"&lt;"&amp;EDATE(BI$99,1))),0)</f>
        <v>0</v>
      </c>
      <c r="BJ114">
        <f>IF(예비비!$R114="OK",SUMIFS(예비비!$O$430:$O$729,예비비!$B$430:$B$729,예비비!$A114,예비비!$E$430:$E$729,"&lt;"&amp;EDATE(BJ$99,1),예비비!$F$430:$F$729,"결제대금비")+MAX(0,IF(예비비!$D114&lt;EDATE(BJ$99,1),예비비!$E114,0)-SUMIFS(예비비!$O$430:$O$729,예비비!$B$430:$B$729,예비비!$A114,예비비!$E$430:$E$729,"&lt;"&amp;EDATE(BJ$99,1))),0)</f>
        <v>0</v>
      </c>
      <c r="BK114">
        <f>IF(예비비!$R114="OK",SUMIFS(예비비!$O$430:$O$729,예비비!$B$430:$B$729,예비비!$A114,예비비!$E$430:$E$729,"&lt;"&amp;EDATE(BK$99,1),예비비!$F$430:$F$729,"결제대금비")+MAX(0,IF(예비비!$D114&lt;EDATE(BK$99,1),예비비!$E114,0)-SUMIFS(예비비!$O$430:$O$729,예비비!$B$430:$B$729,예비비!$A114,예비비!$E$430:$E$729,"&lt;"&amp;EDATE(BK$99,1))),0)</f>
        <v>0</v>
      </c>
      <c r="BL114">
        <f>IF(예비비!$R114="OK",SUMIFS(예비비!$O$430:$O$729,예비비!$B$430:$B$729,예비비!$A114,예비비!$E$430:$E$729,"&lt;"&amp;EDATE(BL$99,1),예비비!$F$430:$F$729,"결제대금비")+MAX(0,IF(예비비!$D114&lt;EDATE(BL$99,1),예비비!$E114,0)-SUMIFS(예비비!$O$430:$O$729,예비비!$B$430:$B$729,예비비!$A114,예비비!$E$430:$E$729,"&lt;"&amp;EDATE(BL$99,1))),0)</f>
        <v>0</v>
      </c>
      <c r="BM114">
        <f>IF(예비비!$R114="OK",SUMIFS(예비비!$O$430:$O$729,예비비!$B$430:$B$729,예비비!$A114,예비비!$E$430:$E$729,"&lt;"&amp;EDATE(BM$99,1),예비비!$F$430:$F$729,"결제대금비")+MAX(0,IF(예비비!$D114&lt;EDATE(BM$99,1),예비비!$E114,0)-SUMIFS(예비비!$O$430:$O$729,예비비!$B$430:$B$729,예비비!$A114,예비비!$E$430:$E$729,"&lt;"&amp;EDATE(BM$99,1))),0)</f>
        <v>0</v>
      </c>
      <c r="BN114">
        <f>IF(예비비!$R114="OK",SUMIFS(예비비!$O$430:$O$729,예비비!$B$430:$B$729,예비비!$A114,예비비!$E$430:$E$729,"&lt;"&amp;EDATE(BN$99,1),예비비!$F$430:$F$729,"결제대금비")+MAX(0,IF(예비비!$D114&lt;EDATE(BN$99,1),예비비!$E114,0)-SUMIFS(예비비!$O$430:$O$729,예비비!$B$430:$B$729,예비비!$A114,예비비!$E$430:$E$729,"&lt;"&amp;EDATE(BN$99,1))),0)</f>
        <v>0</v>
      </c>
      <c r="BO114">
        <f>IF(예비비!$R114="OK",SUMIFS(예비비!$O$430:$O$729,예비비!$B$430:$B$729,예비비!$A114,예비비!$E$430:$E$729,"&lt;"&amp;EDATE(BO$99,1),예비비!$F$430:$F$729,"결제대금비")+MAX(0,IF(예비비!$D114&lt;EDATE(BO$99,1),예비비!$E114,0)-SUMIFS(예비비!$O$430:$O$729,예비비!$B$430:$B$729,예비비!$A114,예비비!$E$430:$E$729,"&lt;"&amp;EDATE(BO$99,1))),0)</f>
        <v>0</v>
      </c>
      <c r="BP114">
        <f>IF(예비비!$R114="OK",SUMIFS(예비비!$O$430:$O$729,예비비!$B$430:$B$729,예비비!$A114,예비비!$E$430:$E$729,"&lt;"&amp;EDATE(BP$99,1),예비비!$F$430:$F$729,"결제대금비")+MAX(0,IF(예비비!$D114&lt;EDATE(BP$99,1),예비비!$E114,0)-SUMIFS(예비비!$O$430:$O$729,예비비!$B$430:$B$729,예비비!$A114,예비비!$E$430:$E$729,"&lt;"&amp;EDATE(BP$99,1))),0)</f>
        <v>0</v>
      </c>
      <c r="BQ114">
        <f>IF(예비비!$R114="OK",SUMIFS(예비비!$O$430:$O$729,예비비!$B$430:$B$729,예비비!$A114,예비비!$E$430:$E$729,"&lt;"&amp;EDATE(BQ$99,1),예비비!$F$430:$F$729,"결제대금비")+MAX(0,IF(예비비!$D114&lt;EDATE(BQ$99,1),예비비!$E114,0)-SUMIFS(예비비!$O$430:$O$729,예비비!$B$430:$B$729,예비비!$A114,예비비!$E$430:$E$729,"&lt;"&amp;EDATE(BQ$99,1))),0)</f>
        <v>0</v>
      </c>
      <c r="BR114">
        <f>IF(예비비!$R114="OK",SUMIFS(예비비!$O$430:$O$729,예비비!$B$430:$B$729,예비비!$A114,예비비!$E$430:$E$729,"&lt;"&amp;EDATE(BR$99,1),예비비!$F$430:$F$729,"결제대금비")+MAX(0,IF(예비비!$D114&lt;EDATE(BR$99,1),예비비!$E114,0)-SUMIFS(예비비!$O$430:$O$729,예비비!$B$430:$B$729,예비비!$A114,예비비!$E$430:$E$729,"&lt;"&amp;EDATE(BR$99,1))),0)</f>
        <v>0</v>
      </c>
      <c r="BS114">
        <f>IF(예비비!$R114="OK",SUMIFS(예비비!$O$430:$O$729,예비비!$B$430:$B$729,예비비!$A114,예비비!$E$430:$E$729,"&lt;"&amp;EDATE(BS$99,1),예비비!$F$430:$F$729,"결제대금비")+MAX(0,IF(예비비!$D114&lt;EDATE(BS$99,1),예비비!$E114,0)-SUMIFS(예비비!$O$430:$O$729,예비비!$B$430:$B$729,예비비!$A114,예비비!$E$430:$E$729,"&lt;"&amp;EDATE(BS$99,1))),0)</f>
        <v>0</v>
      </c>
      <c r="BT114">
        <f>IF(예비비!$R114="OK",SUMIFS(예비비!$O$430:$O$729,예비비!$B$430:$B$729,예비비!$A114,예비비!$E$430:$E$729,"&lt;"&amp;EDATE(BT$99,1),예비비!$F$430:$F$729,"결제대금비")+MAX(0,IF(예비비!$D114&lt;EDATE(BT$99,1),예비비!$E114,0)-SUMIFS(예비비!$O$430:$O$729,예비비!$B$430:$B$729,예비비!$A114,예비비!$E$430:$E$729,"&lt;"&amp;EDATE(BT$99,1))),0)</f>
        <v>0</v>
      </c>
      <c r="BU114">
        <f>IF(예비비!$R114="OK",SUMIFS(예비비!$O$430:$O$729,예비비!$B$430:$B$729,예비비!$A114,예비비!$E$430:$E$729,"&lt;"&amp;EDATE(BU$99,1),예비비!$F$430:$F$729,"결제대금비")+MAX(0,IF(예비비!$D114&lt;EDATE(BU$99,1),예비비!$E114,0)-SUMIFS(예비비!$O$430:$O$729,예비비!$B$430:$B$729,예비비!$A114,예비비!$E$430:$E$729,"&lt;"&amp;EDATE(BU$99,1))),0)</f>
        <v>0</v>
      </c>
    </row>
    <row r="115">
      <c r="BI115">
        <f>IF(예비비!$R115="OK",SUMIFS(예비비!$O$430:$O$729,예비비!$B$430:$B$729,예비비!$A115,예비비!$E$430:$E$729,"&lt;"&amp;EDATE(BI$99,1),예비비!$F$430:$F$729,"결제대금비")+MAX(0,IF(예비비!$D115&lt;EDATE(BI$99,1),예비비!$E115,0)-SUMIFS(예비비!$O$430:$O$729,예비비!$B$430:$B$729,예비비!$A115,예비비!$E$430:$E$729,"&lt;"&amp;EDATE(BI$99,1))),0)</f>
        <v>0</v>
      </c>
      <c r="BJ115">
        <f>IF(예비비!$R115="OK",SUMIFS(예비비!$O$430:$O$729,예비비!$B$430:$B$729,예비비!$A115,예비비!$E$430:$E$729,"&lt;"&amp;EDATE(BJ$99,1),예비비!$F$430:$F$729,"결제대금비")+MAX(0,IF(예비비!$D115&lt;EDATE(BJ$99,1),예비비!$E115,0)-SUMIFS(예비비!$O$430:$O$729,예비비!$B$430:$B$729,예비비!$A115,예비비!$E$430:$E$729,"&lt;"&amp;EDATE(BJ$99,1))),0)</f>
        <v>0</v>
      </c>
      <c r="BK115">
        <f>IF(예비비!$R115="OK",SUMIFS(예비비!$O$430:$O$729,예비비!$B$430:$B$729,예비비!$A115,예비비!$E$430:$E$729,"&lt;"&amp;EDATE(BK$99,1),예비비!$F$430:$F$729,"결제대금비")+MAX(0,IF(예비비!$D115&lt;EDATE(BK$99,1),예비비!$E115,0)-SUMIFS(예비비!$O$430:$O$729,예비비!$B$430:$B$729,예비비!$A115,예비비!$E$430:$E$729,"&lt;"&amp;EDATE(BK$99,1))),0)</f>
        <v>0</v>
      </c>
      <c r="BL115">
        <f>IF(예비비!$R115="OK",SUMIFS(예비비!$O$430:$O$729,예비비!$B$430:$B$729,예비비!$A115,예비비!$E$430:$E$729,"&lt;"&amp;EDATE(BL$99,1),예비비!$F$430:$F$729,"결제대금비")+MAX(0,IF(예비비!$D115&lt;EDATE(BL$99,1),예비비!$E115,0)-SUMIFS(예비비!$O$430:$O$729,예비비!$B$430:$B$729,예비비!$A115,예비비!$E$430:$E$729,"&lt;"&amp;EDATE(BL$99,1))),0)</f>
        <v>0</v>
      </c>
      <c r="BM115">
        <f>IF(예비비!$R115="OK",SUMIFS(예비비!$O$430:$O$729,예비비!$B$430:$B$729,예비비!$A115,예비비!$E$430:$E$729,"&lt;"&amp;EDATE(BM$99,1),예비비!$F$430:$F$729,"결제대금비")+MAX(0,IF(예비비!$D115&lt;EDATE(BM$99,1),예비비!$E115,0)-SUMIFS(예비비!$O$430:$O$729,예비비!$B$430:$B$729,예비비!$A115,예비비!$E$430:$E$729,"&lt;"&amp;EDATE(BM$99,1))),0)</f>
        <v>0</v>
      </c>
      <c r="BN115">
        <f>IF(예비비!$R115="OK",SUMIFS(예비비!$O$430:$O$729,예비비!$B$430:$B$729,예비비!$A115,예비비!$E$430:$E$729,"&lt;"&amp;EDATE(BN$99,1),예비비!$F$430:$F$729,"결제대금비")+MAX(0,IF(예비비!$D115&lt;EDATE(BN$99,1),예비비!$E115,0)-SUMIFS(예비비!$O$430:$O$729,예비비!$B$430:$B$729,예비비!$A115,예비비!$E$430:$E$729,"&lt;"&amp;EDATE(BN$99,1))),0)</f>
        <v>0</v>
      </c>
      <c r="BO115">
        <f>IF(예비비!$R115="OK",SUMIFS(예비비!$O$430:$O$729,예비비!$B$430:$B$729,예비비!$A115,예비비!$E$430:$E$729,"&lt;"&amp;EDATE(BO$99,1),예비비!$F$430:$F$729,"결제대금비")+MAX(0,IF(예비비!$D115&lt;EDATE(BO$99,1),예비비!$E115,0)-SUMIFS(예비비!$O$430:$O$729,예비비!$B$430:$B$729,예비비!$A115,예비비!$E$430:$E$729,"&lt;"&amp;EDATE(BO$99,1))),0)</f>
        <v>0</v>
      </c>
      <c r="BP115">
        <f>IF(예비비!$R115="OK",SUMIFS(예비비!$O$430:$O$729,예비비!$B$430:$B$729,예비비!$A115,예비비!$E$430:$E$729,"&lt;"&amp;EDATE(BP$99,1),예비비!$F$430:$F$729,"결제대금비")+MAX(0,IF(예비비!$D115&lt;EDATE(BP$99,1),예비비!$E115,0)-SUMIFS(예비비!$O$430:$O$729,예비비!$B$430:$B$729,예비비!$A115,예비비!$E$430:$E$729,"&lt;"&amp;EDATE(BP$99,1))),0)</f>
        <v>0</v>
      </c>
      <c r="BQ115">
        <f>IF(예비비!$R115="OK",SUMIFS(예비비!$O$430:$O$729,예비비!$B$430:$B$729,예비비!$A115,예비비!$E$430:$E$729,"&lt;"&amp;EDATE(BQ$99,1),예비비!$F$430:$F$729,"결제대금비")+MAX(0,IF(예비비!$D115&lt;EDATE(BQ$99,1),예비비!$E115,0)-SUMIFS(예비비!$O$430:$O$729,예비비!$B$430:$B$729,예비비!$A115,예비비!$E$430:$E$729,"&lt;"&amp;EDATE(BQ$99,1))),0)</f>
        <v>0</v>
      </c>
      <c r="BR115">
        <f>IF(예비비!$R115="OK",SUMIFS(예비비!$O$430:$O$729,예비비!$B$430:$B$729,예비비!$A115,예비비!$E$430:$E$729,"&lt;"&amp;EDATE(BR$99,1),예비비!$F$430:$F$729,"결제대금비")+MAX(0,IF(예비비!$D115&lt;EDATE(BR$99,1),예비비!$E115,0)-SUMIFS(예비비!$O$430:$O$729,예비비!$B$430:$B$729,예비비!$A115,예비비!$E$430:$E$729,"&lt;"&amp;EDATE(BR$99,1))),0)</f>
        <v>0</v>
      </c>
      <c r="BS115">
        <f>IF(예비비!$R115="OK",SUMIFS(예비비!$O$430:$O$729,예비비!$B$430:$B$729,예비비!$A115,예비비!$E$430:$E$729,"&lt;"&amp;EDATE(BS$99,1),예비비!$F$430:$F$729,"결제대금비")+MAX(0,IF(예비비!$D115&lt;EDATE(BS$99,1),예비비!$E115,0)-SUMIFS(예비비!$O$430:$O$729,예비비!$B$430:$B$729,예비비!$A115,예비비!$E$430:$E$729,"&lt;"&amp;EDATE(BS$99,1))),0)</f>
        <v>0</v>
      </c>
      <c r="BT115">
        <f>IF(예비비!$R115="OK",SUMIFS(예비비!$O$430:$O$729,예비비!$B$430:$B$729,예비비!$A115,예비비!$E$430:$E$729,"&lt;"&amp;EDATE(BT$99,1),예비비!$F$430:$F$729,"결제대금비")+MAX(0,IF(예비비!$D115&lt;EDATE(BT$99,1),예비비!$E115,0)-SUMIFS(예비비!$O$430:$O$729,예비비!$B$430:$B$729,예비비!$A115,예비비!$E$430:$E$729,"&lt;"&amp;EDATE(BT$99,1))),0)</f>
        <v>0</v>
      </c>
      <c r="BU115">
        <f>IF(예비비!$R115="OK",SUMIFS(예비비!$O$430:$O$729,예비비!$B$430:$B$729,예비비!$A115,예비비!$E$430:$E$729,"&lt;"&amp;EDATE(BU$99,1),예비비!$F$430:$F$729,"결제대금비")+MAX(0,IF(예비비!$D115&lt;EDATE(BU$99,1),예비비!$E115,0)-SUMIFS(예비비!$O$430:$O$729,예비비!$B$430:$B$729,예비비!$A115,예비비!$E$430:$E$729,"&lt;"&amp;EDATE(BU$99,1))),0)</f>
        <v>0</v>
      </c>
    </row>
    <row r="116">
      <c r="BI116">
        <f>IF(예비비!$R116="OK",SUMIFS(예비비!$O$430:$O$729,예비비!$B$430:$B$729,예비비!$A116,예비비!$E$430:$E$729,"&lt;"&amp;EDATE(BI$99,1),예비비!$F$430:$F$729,"결제대금비")+MAX(0,IF(예비비!$D116&lt;EDATE(BI$99,1),예비비!$E116,0)-SUMIFS(예비비!$O$430:$O$729,예비비!$B$430:$B$729,예비비!$A116,예비비!$E$430:$E$729,"&lt;"&amp;EDATE(BI$99,1))),0)</f>
        <v>0</v>
      </c>
      <c r="BJ116">
        <f>IF(예비비!$R116="OK",SUMIFS(예비비!$O$430:$O$729,예비비!$B$430:$B$729,예비비!$A116,예비비!$E$430:$E$729,"&lt;"&amp;EDATE(BJ$99,1),예비비!$F$430:$F$729,"결제대금비")+MAX(0,IF(예비비!$D116&lt;EDATE(BJ$99,1),예비비!$E116,0)-SUMIFS(예비비!$O$430:$O$729,예비비!$B$430:$B$729,예비비!$A116,예비비!$E$430:$E$729,"&lt;"&amp;EDATE(BJ$99,1))),0)</f>
        <v>0</v>
      </c>
      <c r="BK116">
        <f>IF(예비비!$R116="OK",SUMIFS(예비비!$O$430:$O$729,예비비!$B$430:$B$729,예비비!$A116,예비비!$E$430:$E$729,"&lt;"&amp;EDATE(BK$99,1),예비비!$F$430:$F$729,"결제대금비")+MAX(0,IF(예비비!$D116&lt;EDATE(BK$99,1),예비비!$E116,0)-SUMIFS(예비비!$O$430:$O$729,예비비!$B$430:$B$729,예비비!$A116,예비비!$E$430:$E$729,"&lt;"&amp;EDATE(BK$99,1))),0)</f>
        <v>0</v>
      </c>
      <c r="BL116">
        <f>IF(예비비!$R116="OK",SUMIFS(예비비!$O$430:$O$729,예비비!$B$430:$B$729,예비비!$A116,예비비!$E$430:$E$729,"&lt;"&amp;EDATE(BL$99,1),예비비!$F$430:$F$729,"결제대금비")+MAX(0,IF(예비비!$D116&lt;EDATE(BL$99,1),예비비!$E116,0)-SUMIFS(예비비!$O$430:$O$729,예비비!$B$430:$B$729,예비비!$A116,예비비!$E$430:$E$729,"&lt;"&amp;EDATE(BL$99,1))),0)</f>
        <v>0</v>
      </c>
      <c r="BM116">
        <f>IF(예비비!$R116="OK",SUMIFS(예비비!$O$430:$O$729,예비비!$B$430:$B$729,예비비!$A116,예비비!$E$430:$E$729,"&lt;"&amp;EDATE(BM$99,1),예비비!$F$430:$F$729,"결제대금비")+MAX(0,IF(예비비!$D116&lt;EDATE(BM$99,1),예비비!$E116,0)-SUMIFS(예비비!$O$430:$O$729,예비비!$B$430:$B$729,예비비!$A116,예비비!$E$430:$E$729,"&lt;"&amp;EDATE(BM$99,1))),0)</f>
        <v>0</v>
      </c>
      <c r="BN116">
        <f>IF(예비비!$R116="OK",SUMIFS(예비비!$O$430:$O$729,예비비!$B$430:$B$729,예비비!$A116,예비비!$E$430:$E$729,"&lt;"&amp;EDATE(BN$99,1),예비비!$F$430:$F$729,"결제대금비")+MAX(0,IF(예비비!$D116&lt;EDATE(BN$99,1),예비비!$E116,0)-SUMIFS(예비비!$O$430:$O$729,예비비!$B$430:$B$729,예비비!$A116,예비비!$E$430:$E$729,"&lt;"&amp;EDATE(BN$99,1))),0)</f>
        <v>0</v>
      </c>
      <c r="BO116">
        <f>IF(예비비!$R116="OK",SUMIFS(예비비!$O$430:$O$729,예비비!$B$430:$B$729,예비비!$A116,예비비!$E$430:$E$729,"&lt;"&amp;EDATE(BO$99,1),예비비!$F$430:$F$729,"결제대금비")+MAX(0,IF(예비비!$D116&lt;EDATE(BO$99,1),예비비!$E116,0)-SUMIFS(예비비!$O$430:$O$729,예비비!$B$430:$B$729,예비비!$A116,예비비!$E$430:$E$729,"&lt;"&amp;EDATE(BO$99,1))),0)</f>
        <v>0</v>
      </c>
      <c r="BP116">
        <f>IF(예비비!$R116="OK",SUMIFS(예비비!$O$430:$O$729,예비비!$B$430:$B$729,예비비!$A116,예비비!$E$430:$E$729,"&lt;"&amp;EDATE(BP$99,1),예비비!$F$430:$F$729,"결제대금비")+MAX(0,IF(예비비!$D116&lt;EDATE(BP$99,1),예비비!$E116,0)-SUMIFS(예비비!$O$430:$O$729,예비비!$B$430:$B$729,예비비!$A116,예비비!$E$430:$E$729,"&lt;"&amp;EDATE(BP$99,1))),0)</f>
        <v>0</v>
      </c>
      <c r="BQ116">
        <f>IF(예비비!$R116="OK",SUMIFS(예비비!$O$430:$O$729,예비비!$B$430:$B$729,예비비!$A116,예비비!$E$430:$E$729,"&lt;"&amp;EDATE(BQ$99,1),예비비!$F$430:$F$729,"결제대금비")+MAX(0,IF(예비비!$D116&lt;EDATE(BQ$99,1),예비비!$E116,0)-SUMIFS(예비비!$O$430:$O$729,예비비!$B$430:$B$729,예비비!$A116,예비비!$E$430:$E$729,"&lt;"&amp;EDATE(BQ$99,1))),0)</f>
        <v>0</v>
      </c>
      <c r="BR116">
        <f>IF(예비비!$R116="OK",SUMIFS(예비비!$O$430:$O$729,예비비!$B$430:$B$729,예비비!$A116,예비비!$E$430:$E$729,"&lt;"&amp;EDATE(BR$99,1),예비비!$F$430:$F$729,"결제대금비")+MAX(0,IF(예비비!$D116&lt;EDATE(BR$99,1),예비비!$E116,0)-SUMIFS(예비비!$O$430:$O$729,예비비!$B$430:$B$729,예비비!$A116,예비비!$E$430:$E$729,"&lt;"&amp;EDATE(BR$99,1))),0)</f>
        <v>0</v>
      </c>
      <c r="BS116">
        <f>IF(예비비!$R116="OK",SUMIFS(예비비!$O$430:$O$729,예비비!$B$430:$B$729,예비비!$A116,예비비!$E$430:$E$729,"&lt;"&amp;EDATE(BS$99,1),예비비!$F$430:$F$729,"결제대금비")+MAX(0,IF(예비비!$D116&lt;EDATE(BS$99,1),예비비!$E116,0)-SUMIFS(예비비!$O$430:$O$729,예비비!$B$430:$B$729,예비비!$A116,예비비!$E$430:$E$729,"&lt;"&amp;EDATE(BS$99,1))),0)</f>
        <v>0</v>
      </c>
      <c r="BT116">
        <f>IF(예비비!$R116="OK",SUMIFS(예비비!$O$430:$O$729,예비비!$B$430:$B$729,예비비!$A116,예비비!$E$430:$E$729,"&lt;"&amp;EDATE(BT$99,1),예비비!$F$430:$F$729,"결제대금비")+MAX(0,IF(예비비!$D116&lt;EDATE(BT$99,1),예비비!$E116,0)-SUMIFS(예비비!$O$430:$O$729,예비비!$B$430:$B$729,예비비!$A116,예비비!$E$430:$E$729,"&lt;"&amp;EDATE(BT$99,1))),0)</f>
        <v>0</v>
      </c>
      <c r="BU116">
        <f>IF(예비비!$R116="OK",SUMIFS(예비비!$O$430:$O$729,예비비!$B$430:$B$729,예비비!$A116,예비비!$E$430:$E$729,"&lt;"&amp;EDATE(BU$99,1),예비비!$F$430:$F$729,"결제대금비")+MAX(0,IF(예비비!$D116&lt;EDATE(BU$99,1),예비비!$E116,0)-SUMIFS(예비비!$O$430:$O$729,예비비!$B$430:$B$729,예비비!$A116,예비비!$E$430:$E$729,"&lt;"&amp;EDATE(BU$99,1))),0)</f>
        <v>0</v>
      </c>
    </row>
    <row r="117">
      <c r="BI117">
        <f>IF(예비비!$R117="OK",SUMIFS(예비비!$O$430:$O$729,예비비!$B$430:$B$729,예비비!$A117,예비비!$E$430:$E$729,"&lt;"&amp;EDATE(BI$99,1),예비비!$F$430:$F$729,"결제대금비")+MAX(0,IF(예비비!$D117&lt;EDATE(BI$99,1),예비비!$E117,0)-SUMIFS(예비비!$O$430:$O$729,예비비!$B$430:$B$729,예비비!$A117,예비비!$E$430:$E$729,"&lt;"&amp;EDATE(BI$99,1))),0)</f>
        <v>0</v>
      </c>
      <c r="BJ117">
        <f>IF(예비비!$R117="OK",SUMIFS(예비비!$O$430:$O$729,예비비!$B$430:$B$729,예비비!$A117,예비비!$E$430:$E$729,"&lt;"&amp;EDATE(BJ$99,1),예비비!$F$430:$F$729,"결제대금비")+MAX(0,IF(예비비!$D117&lt;EDATE(BJ$99,1),예비비!$E117,0)-SUMIFS(예비비!$O$430:$O$729,예비비!$B$430:$B$729,예비비!$A117,예비비!$E$430:$E$729,"&lt;"&amp;EDATE(BJ$99,1))),0)</f>
        <v>0</v>
      </c>
      <c r="BK117">
        <f>IF(예비비!$R117="OK",SUMIFS(예비비!$O$430:$O$729,예비비!$B$430:$B$729,예비비!$A117,예비비!$E$430:$E$729,"&lt;"&amp;EDATE(BK$99,1),예비비!$F$430:$F$729,"결제대금비")+MAX(0,IF(예비비!$D117&lt;EDATE(BK$99,1),예비비!$E117,0)-SUMIFS(예비비!$O$430:$O$729,예비비!$B$430:$B$729,예비비!$A117,예비비!$E$430:$E$729,"&lt;"&amp;EDATE(BK$99,1))),0)</f>
        <v>0</v>
      </c>
      <c r="BL117">
        <f>IF(예비비!$R117="OK",SUMIFS(예비비!$O$430:$O$729,예비비!$B$430:$B$729,예비비!$A117,예비비!$E$430:$E$729,"&lt;"&amp;EDATE(BL$99,1),예비비!$F$430:$F$729,"결제대금비")+MAX(0,IF(예비비!$D117&lt;EDATE(BL$99,1),예비비!$E117,0)-SUMIFS(예비비!$O$430:$O$729,예비비!$B$430:$B$729,예비비!$A117,예비비!$E$430:$E$729,"&lt;"&amp;EDATE(BL$99,1))),0)</f>
        <v>0</v>
      </c>
      <c r="BM117">
        <f>IF(예비비!$R117="OK",SUMIFS(예비비!$O$430:$O$729,예비비!$B$430:$B$729,예비비!$A117,예비비!$E$430:$E$729,"&lt;"&amp;EDATE(BM$99,1),예비비!$F$430:$F$729,"결제대금비")+MAX(0,IF(예비비!$D117&lt;EDATE(BM$99,1),예비비!$E117,0)-SUMIFS(예비비!$O$430:$O$729,예비비!$B$430:$B$729,예비비!$A117,예비비!$E$430:$E$729,"&lt;"&amp;EDATE(BM$99,1))),0)</f>
        <v>0</v>
      </c>
      <c r="BN117">
        <f>IF(예비비!$R117="OK",SUMIFS(예비비!$O$430:$O$729,예비비!$B$430:$B$729,예비비!$A117,예비비!$E$430:$E$729,"&lt;"&amp;EDATE(BN$99,1),예비비!$F$430:$F$729,"결제대금비")+MAX(0,IF(예비비!$D117&lt;EDATE(BN$99,1),예비비!$E117,0)-SUMIFS(예비비!$O$430:$O$729,예비비!$B$430:$B$729,예비비!$A117,예비비!$E$430:$E$729,"&lt;"&amp;EDATE(BN$99,1))),0)</f>
        <v>0</v>
      </c>
      <c r="BO117">
        <f>IF(예비비!$R117="OK",SUMIFS(예비비!$O$430:$O$729,예비비!$B$430:$B$729,예비비!$A117,예비비!$E$430:$E$729,"&lt;"&amp;EDATE(BO$99,1),예비비!$F$430:$F$729,"결제대금비")+MAX(0,IF(예비비!$D117&lt;EDATE(BO$99,1),예비비!$E117,0)-SUMIFS(예비비!$O$430:$O$729,예비비!$B$430:$B$729,예비비!$A117,예비비!$E$430:$E$729,"&lt;"&amp;EDATE(BO$99,1))),0)</f>
        <v>0</v>
      </c>
      <c r="BP117">
        <f>IF(예비비!$R117="OK",SUMIFS(예비비!$O$430:$O$729,예비비!$B$430:$B$729,예비비!$A117,예비비!$E$430:$E$729,"&lt;"&amp;EDATE(BP$99,1),예비비!$F$430:$F$729,"결제대금비")+MAX(0,IF(예비비!$D117&lt;EDATE(BP$99,1),예비비!$E117,0)-SUMIFS(예비비!$O$430:$O$729,예비비!$B$430:$B$729,예비비!$A117,예비비!$E$430:$E$729,"&lt;"&amp;EDATE(BP$99,1))),0)</f>
        <v>0</v>
      </c>
      <c r="BQ117">
        <f>IF(예비비!$R117="OK",SUMIFS(예비비!$O$430:$O$729,예비비!$B$430:$B$729,예비비!$A117,예비비!$E$430:$E$729,"&lt;"&amp;EDATE(BQ$99,1),예비비!$F$430:$F$729,"결제대금비")+MAX(0,IF(예비비!$D117&lt;EDATE(BQ$99,1),예비비!$E117,0)-SUMIFS(예비비!$O$430:$O$729,예비비!$B$430:$B$729,예비비!$A117,예비비!$E$430:$E$729,"&lt;"&amp;EDATE(BQ$99,1))),0)</f>
        <v>0</v>
      </c>
      <c r="BR117">
        <f>IF(예비비!$R117="OK",SUMIFS(예비비!$O$430:$O$729,예비비!$B$430:$B$729,예비비!$A117,예비비!$E$430:$E$729,"&lt;"&amp;EDATE(BR$99,1),예비비!$F$430:$F$729,"결제대금비")+MAX(0,IF(예비비!$D117&lt;EDATE(BR$99,1),예비비!$E117,0)-SUMIFS(예비비!$O$430:$O$729,예비비!$B$430:$B$729,예비비!$A117,예비비!$E$430:$E$729,"&lt;"&amp;EDATE(BR$99,1))),0)</f>
        <v>0</v>
      </c>
      <c r="BS117">
        <f>IF(예비비!$R117="OK",SUMIFS(예비비!$O$430:$O$729,예비비!$B$430:$B$729,예비비!$A117,예비비!$E$430:$E$729,"&lt;"&amp;EDATE(BS$99,1),예비비!$F$430:$F$729,"결제대금비")+MAX(0,IF(예비비!$D117&lt;EDATE(BS$99,1),예비비!$E117,0)-SUMIFS(예비비!$O$430:$O$729,예비비!$B$430:$B$729,예비비!$A117,예비비!$E$430:$E$729,"&lt;"&amp;EDATE(BS$99,1))),0)</f>
        <v>0</v>
      </c>
      <c r="BT117">
        <f>IF(예비비!$R117="OK",SUMIFS(예비비!$O$430:$O$729,예비비!$B$430:$B$729,예비비!$A117,예비비!$E$430:$E$729,"&lt;"&amp;EDATE(BT$99,1),예비비!$F$430:$F$729,"결제대금비")+MAX(0,IF(예비비!$D117&lt;EDATE(BT$99,1),예비비!$E117,0)-SUMIFS(예비비!$O$430:$O$729,예비비!$B$430:$B$729,예비비!$A117,예비비!$E$430:$E$729,"&lt;"&amp;EDATE(BT$99,1))),0)</f>
        <v>0</v>
      </c>
      <c r="BU117">
        <f>IF(예비비!$R117="OK",SUMIFS(예비비!$O$430:$O$729,예비비!$B$430:$B$729,예비비!$A117,예비비!$E$430:$E$729,"&lt;"&amp;EDATE(BU$99,1),예비비!$F$430:$F$729,"결제대금비")+MAX(0,IF(예비비!$D117&lt;EDATE(BU$99,1),예비비!$E117,0)-SUMIFS(예비비!$O$430:$O$729,예비비!$B$430:$B$729,예비비!$A117,예비비!$E$430:$E$729,"&lt;"&amp;EDATE(BU$99,1))),0)</f>
        <v>0</v>
      </c>
    </row>
    <row r="118">
      <c r="BI118">
        <f>IF(예비비!$R118="OK",SUMIFS(예비비!$O$430:$O$729,예비비!$B$430:$B$729,예비비!$A118,예비비!$E$430:$E$729,"&lt;"&amp;EDATE(BI$99,1),예비비!$F$430:$F$729,"결제대금비")+MAX(0,IF(예비비!$D118&lt;EDATE(BI$99,1),예비비!$E118,0)-SUMIFS(예비비!$O$430:$O$729,예비비!$B$430:$B$729,예비비!$A118,예비비!$E$430:$E$729,"&lt;"&amp;EDATE(BI$99,1))),0)</f>
        <v>0</v>
      </c>
      <c r="BJ118">
        <f>IF(예비비!$R118="OK",SUMIFS(예비비!$O$430:$O$729,예비비!$B$430:$B$729,예비비!$A118,예비비!$E$430:$E$729,"&lt;"&amp;EDATE(BJ$99,1),예비비!$F$430:$F$729,"결제대금비")+MAX(0,IF(예비비!$D118&lt;EDATE(BJ$99,1),예비비!$E118,0)-SUMIFS(예비비!$O$430:$O$729,예비비!$B$430:$B$729,예비비!$A118,예비비!$E$430:$E$729,"&lt;"&amp;EDATE(BJ$99,1))),0)</f>
        <v>0</v>
      </c>
      <c r="BK118">
        <f>IF(예비비!$R118="OK",SUMIFS(예비비!$O$430:$O$729,예비비!$B$430:$B$729,예비비!$A118,예비비!$E$430:$E$729,"&lt;"&amp;EDATE(BK$99,1),예비비!$F$430:$F$729,"결제대금비")+MAX(0,IF(예비비!$D118&lt;EDATE(BK$99,1),예비비!$E118,0)-SUMIFS(예비비!$O$430:$O$729,예비비!$B$430:$B$729,예비비!$A118,예비비!$E$430:$E$729,"&lt;"&amp;EDATE(BK$99,1))),0)</f>
        <v>0</v>
      </c>
      <c r="BL118">
        <f>IF(예비비!$R118="OK",SUMIFS(예비비!$O$430:$O$729,예비비!$B$430:$B$729,예비비!$A118,예비비!$E$430:$E$729,"&lt;"&amp;EDATE(BL$99,1),예비비!$F$430:$F$729,"결제대금비")+MAX(0,IF(예비비!$D118&lt;EDATE(BL$99,1),예비비!$E118,0)-SUMIFS(예비비!$O$430:$O$729,예비비!$B$430:$B$729,예비비!$A118,예비비!$E$430:$E$729,"&lt;"&amp;EDATE(BL$99,1))),0)</f>
        <v>0</v>
      </c>
      <c r="BM118">
        <f>IF(예비비!$R118="OK",SUMIFS(예비비!$O$430:$O$729,예비비!$B$430:$B$729,예비비!$A118,예비비!$E$430:$E$729,"&lt;"&amp;EDATE(BM$99,1),예비비!$F$430:$F$729,"결제대금비")+MAX(0,IF(예비비!$D118&lt;EDATE(BM$99,1),예비비!$E118,0)-SUMIFS(예비비!$O$430:$O$729,예비비!$B$430:$B$729,예비비!$A118,예비비!$E$430:$E$729,"&lt;"&amp;EDATE(BM$99,1))),0)</f>
        <v>0</v>
      </c>
      <c r="BN118">
        <f>IF(예비비!$R118="OK",SUMIFS(예비비!$O$430:$O$729,예비비!$B$430:$B$729,예비비!$A118,예비비!$E$430:$E$729,"&lt;"&amp;EDATE(BN$99,1),예비비!$F$430:$F$729,"결제대금비")+MAX(0,IF(예비비!$D118&lt;EDATE(BN$99,1),예비비!$E118,0)-SUMIFS(예비비!$O$430:$O$729,예비비!$B$430:$B$729,예비비!$A118,예비비!$E$430:$E$729,"&lt;"&amp;EDATE(BN$99,1))),0)</f>
        <v>0</v>
      </c>
      <c r="BO118">
        <f>IF(예비비!$R118="OK",SUMIFS(예비비!$O$430:$O$729,예비비!$B$430:$B$729,예비비!$A118,예비비!$E$430:$E$729,"&lt;"&amp;EDATE(BO$99,1),예비비!$F$430:$F$729,"결제대금비")+MAX(0,IF(예비비!$D118&lt;EDATE(BO$99,1),예비비!$E118,0)-SUMIFS(예비비!$O$430:$O$729,예비비!$B$430:$B$729,예비비!$A118,예비비!$E$430:$E$729,"&lt;"&amp;EDATE(BO$99,1))),0)</f>
        <v>0</v>
      </c>
      <c r="BP118">
        <f>IF(예비비!$R118="OK",SUMIFS(예비비!$O$430:$O$729,예비비!$B$430:$B$729,예비비!$A118,예비비!$E$430:$E$729,"&lt;"&amp;EDATE(BP$99,1),예비비!$F$430:$F$729,"결제대금비")+MAX(0,IF(예비비!$D118&lt;EDATE(BP$99,1),예비비!$E118,0)-SUMIFS(예비비!$O$430:$O$729,예비비!$B$430:$B$729,예비비!$A118,예비비!$E$430:$E$729,"&lt;"&amp;EDATE(BP$99,1))),0)</f>
        <v>0</v>
      </c>
      <c r="BQ118">
        <f>IF(예비비!$R118="OK",SUMIFS(예비비!$O$430:$O$729,예비비!$B$430:$B$729,예비비!$A118,예비비!$E$430:$E$729,"&lt;"&amp;EDATE(BQ$99,1),예비비!$F$430:$F$729,"결제대금비")+MAX(0,IF(예비비!$D118&lt;EDATE(BQ$99,1),예비비!$E118,0)-SUMIFS(예비비!$O$430:$O$729,예비비!$B$430:$B$729,예비비!$A118,예비비!$E$430:$E$729,"&lt;"&amp;EDATE(BQ$99,1))),0)</f>
        <v>0</v>
      </c>
      <c r="BR118">
        <f>IF(예비비!$R118="OK",SUMIFS(예비비!$O$430:$O$729,예비비!$B$430:$B$729,예비비!$A118,예비비!$E$430:$E$729,"&lt;"&amp;EDATE(BR$99,1),예비비!$F$430:$F$729,"결제대금비")+MAX(0,IF(예비비!$D118&lt;EDATE(BR$99,1),예비비!$E118,0)-SUMIFS(예비비!$O$430:$O$729,예비비!$B$430:$B$729,예비비!$A118,예비비!$E$430:$E$729,"&lt;"&amp;EDATE(BR$99,1))),0)</f>
        <v>0</v>
      </c>
      <c r="BS118">
        <f>IF(예비비!$R118="OK",SUMIFS(예비비!$O$430:$O$729,예비비!$B$430:$B$729,예비비!$A118,예비비!$E$430:$E$729,"&lt;"&amp;EDATE(BS$99,1),예비비!$F$430:$F$729,"결제대금비")+MAX(0,IF(예비비!$D118&lt;EDATE(BS$99,1),예비비!$E118,0)-SUMIFS(예비비!$O$430:$O$729,예비비!$B$430:$B$729,예비비!$A118,예비비!$E$430:$E$729,"&lt;"&amp;EDATE(BS$99,1))),0)</f>
        <v>0</v>
      </c>
      <c r="BT118">
        <f>IF(예비비!$R118="OK",SUMIFS(예비비!$O$430:$O$729,예비비!$B$430:$B$729,예비비!$A118,예비비!$E$430:$E$729,"&lt;"&amp;EDATE(BT$99,1),예비비!$F$430:$F$729,"결제대금비")+MAX(0,IF(예비비!$D118&lt;EDATE(BT$99,1),예비비!$E118,0)-SUMIFS(예비비!$O$430:$O$729,예비비!$B$430:$B$729,예비비!$A118,예비비!$E$430:$E$729,"&lt;"&amp;EDATE(BT$99,1))),0)</f>
        <v>0</v>
      </c>
      <c r="BU118">
        <f>IF(예비비!$R118="OK",SUMIFS(예비비!$O$430:$O$729,예비비!$B$430:$B$729,예비비!$A118,예비비!$E$430:$E$729,"&lt;"&amp;EDATE(BU$99,1),예비비!$F$430:$F$729,"결제대금비")+MAX(0,IF(예비비!$D118&lt;EDATE(BU$99,1),예비비!$E118,0)-SUMIFS(예비비!$O$430:$O$729,예비비!$B$430:$B$729,예비비!$A118,예비비!$E$430:$E$729,"&lt;"&amp;EDATE(BU$99,1))),0)</f>
        <v>0</v>
      </c>
    </row>
    <row r="119">
      <c r="BI119">
        <f>IF(예비비!$R119="OK",SUMIFS(예비비!$O$430:$O$729,예비비!$B$430:$B$729,예비비!$A119,예비비!$E$430:$E$729,"&lt;"&amp;EDATE(BI$99,1),예비비!$F$430:$F$729,"결제대금비")+MAX(0,IF(예비비!$D119&lt;EDATE(BI$99,1),예비비!$E119,0)-SUMIFS(예비비!$O$430:$O$729,예비비!$B$430:$B$729,예비비!$A119,예비비!$E$430:$E$729,"&lt;"&amp;EDATE(BI$99,1))),0)</f>
        <v>0</v>
      </c>
      <c r="BJ119">
        <f>IF(예비비!$R119="OK",SUMIFS(예비비!$O$430:$O$729,예비비!$B$430:$B$729,예비비!$A119,예비비!$E$430:$E$729,"&lt;"&amp;EDATE(BJ$99,1),예비비!$F$430:$F$729,"결제대금비")+MAX(0,IF(예비비!$D119&lt;EDATE(BJ$99,1),예비비!$E119,0)-SUMIFS(예비비!$O$430:$O$729,예비비!$B$430:$B$729,예비비!$A119,예비비!$E$430:$E$729,"&lt;"&amp;EDATE(BJ$99,1))),0)</f>
        <v>0</v>
      </c>
      <c r="BK119">
        <f>IF(예비비!$R119="OK",SUMIFS(예비비!$O$430:$O$729,예비비!$B$430:$B$729,예비비!$A119,예비비!$E$430:$E$729,"&lt;"&amp;EDATE(BK$99,1),예비비!$F$430:$F$729,"결제대금비")+MAX(0,IF(예비비!$D119&lt;EDATE(BK$99,1),예비비!$E119,0)-SUMIFS(예비비!$O$430:$O$729,예비비!$B$430:$B$729,예비비!$A119,예비비!$E$430:$E$729,"&lt;"&amp;EDATE(BK$99,1))),0)</f>
        <v>0</v>
      </c>
      <c r="BL119">
        <f>IF(예비비!$R119="OK",SUMIFS(예비비!$O$430:$O$729,예비비!$B$430:$B$729,예비비!$A119,예비비!$E$430:$E$729,"&lt;"&amp;EDATE(BL$99,1),예비비!$F$430:$F$729,"결제대금비")+MAX(0,IF(예비비!$D119&lt;EDATE(BL$99,1),예비비!$E119,0)-SUMIFS(예비비!$O$430:$O$729,예비비!$B$430:$B$729,예비비!$A119,예비비!$E$430:$E$729,"&lt;"&amp;EDATE(BL$99,1))),0)</f>
        <v>0</v>
      </c>
      <c r="BM119">
        <f>IF(예비비!$R119="OK",SUMIFS(예비비!$O$430:$O$729,예비비!$B$430:$B$729,예비비!$A119,예비비!$E$430:$E$729,"&lt;"&amp;EDATE(BM$99,1),예비비!$F$430:$F$729,"결제대금비")+MAX(0,IF(예비비!$D119&lt;EDATE(BM$99,1),예비비!$E119,0)-SUMIFS(예비비!$O$430:$O$729,예비비!$B$430:$B$729,예비비!$A119,예비비!$E$430:$E$729,"&lt;"&amp;EDATE(BM$99,1))),0)</f>
        <v>0</v>
      </c>
      <c r="BN119">
        <f>IF(예비비!$R119="OK",SUMIFS(예비비!$O$430:$O$729,예비비!$B$430:$B$729,예비비!$A119,예비비!$E$430:$E$729,"&lt;"&amp;EDATE(BN$99,1),예비비!$F$430:$F$729,"결제대금비")+MAX(0,IF(예비비!$D119&lt;EDATE(BN$99,1),예비비!$E119,0)-SUMIFS(예비비!$O$430:$O$729,예비비!$B$430:$B$729,예비비!$A119,예비비!$E$430:$E$729,"&lt;"&amp;EDATE(BN$99,1))),0)</f>
        <v>0</v>
      </c>
      <c r="BO119">
        <f>IF(예비비!$R119="OK",SUMIFS(예비비!$O$430:$O$729,예비비!$B$430:$B$729,예비비!$A119,예비비!$E$430:$E$729,"&lt;"&amp;EDATE(BO$99,1),예비비!$F$430:$F$729,"결제대금비")+MAX(0,IF(예비비!$D119&lt;EDATE(BO$99,1),예비비!$E119,0)-SUMIFS(예비비!$O$430:$O$729,예비비!$B$430:$B$729,예비비!$A119,예비비!$E$430:$E$729,"&lt;"&amp;EDATE(BO$99,1))),0)</f>
        <v>0</v>
      </c>
      <c r="BP119">
        <f>IF(예비비!$R119="OK",SUMIFS(예비비!$O$430:$O$729,예비비!$B$430:$B$729,예비비!$A119,예비비!$E$430:$E$729,"&lt;"&amp;EDATE(BP$99,1),예비비!$F$430:$F$729,"결제대금비")+MAX(0,IF(예비비!$D119&lt;EDATE(BP$99,1),예비비!$E119,0)-SUMIFS(예비비!$O$430:$O$729,예비비!$B$430:$B$729,예비비!$A119,예비비!$E$430:$E$729,"&lt;"&amp;EDATE(BP$99,1))),0)</f>
        <v>0</v>
      </c>
      <c r="BQ119">
        <f>IF(예비비!$R119="OK",SUMIFS(예비비!$O$430:$O$729,예비비!$B$430:$B$729,예비비!$A119,예비비!$E$430:$E$729,"&lt;"&amp;EDATE(BQ$99,1),예비비!$F$430:$F$729,"결제대금비")+MAX(0,IF(예비비!$D119&lt;EDATE(BQ$99,1),예비비!$E119,0)-SUMIFS(예비비!$O$430:$O$729,예비비!$B$430:$B$729,예비비!$A119,예비비!$E$430:$E$729,"&lt;"&amp;EDATE(BQ$99,1))),0)</f>
        <v>0</v>
      </c>
      <c r="BR119">
        <f>IF(예비비!$R119="OK",SUMIFS(예비비!$O$430:$O$729,예비비!$B$430:$B$729,예비비!$A119,예비비!$E$430:$E$729,"&lt;"&amp;EDATE(BR$99,1),예비비!$F$430:$F$729,"결제대금비")+MAX(0,IF(예비비!$D119&lt;EDATE(BR$99,1),예비비!$E119,0)-SUMIFS(예비비!$O$430:$O$729,예비비!$B$430:$B$729,예비비!$A119,예비비!$E$430:$E$729,"&lt;"&amp;EDATE(BR$99,1))),0)</f>
        <v>0</v>
      </c>
      <c r="BS119">
        <f>IF(예비비!$R119="OK",SUMIFS(예비비!$O$430:$O$729,예비비!$B$430:$B$729,예비비!$A119,예비비!$E$430:$E$729,"&lt;"&amp;EDATE(BS$99,1),예비비!$F$430:$F$729,"결제대금비")+MAX(0,IF(예비비!$D119&lt;EDATE(BS$99,1),예비비!$E119,0)-SUMIFS(예비비!$O$430:$O$729,예비비!$B$430:$B$729,예비비!$A119,예비비!$E$430:$E$729,"&lt;"&amp;EDATE(BS$99,1))),0)</f>
        <v>0</v>
      </c>
      <c r="BT119">
        <f>IF(예비비!$R119="OK",SUMIFS(예비비!$O$430:$O$729,예비비!$B$430:$B$729,예비비!$A119,예비비!$E$430:$E$729,"&lt;"&amp;EDATE(BT$99,1),예비비!$F$430:$F$729,"결제대금비")+MAX(0,IF(예비비!$D119&lt;EDATE(BT$99,1),예비비!$E119,0)-SUMIFS(예비비!$O$430:$O$729,예비비!$B$430:$B$729,예비비!$A119,예비비!$E$430:$E$729,"&lt;"&amp;EDATE(BT$99,1))),0)</f>
        <v>0</v>
      </c>
      <c r="BU119">
        <f>IF(예비비!$R119="OK",SUMIFS(예비비!$O$430:$O$729,예비비!$B$430:$B$729,예비비!$A119,예비비!$E$430:$E$729,"&lt;"&amp;EDATE(BU$99,1),예비비!$F$430:$F$729,"결제대금비")+MAX(0,IF(예비비!$D119&lt;EDATE(BU$99,1),예비비!$E119,0)-SUMIFS(예비비!$O$430:$O$729,예비비!$B$430:$B$729,예비비!$A119,예비비!$E$430:$E$729,"&lt;"&amp;EDATE(BU$99,1))),0)</f>
        <v>0</v>
      </c>
    </row>
    <row r="120">
      <c r="BA120">
        <v>64</v>
      </c>
      <c r="BB120">
        <f>IFERROR(INDEX(잔액!$A:$A,BA120),0)</f>
        <v>46082.0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  <c r="BI120">
        <f>IF(예비비!$R120="OK",SUMIFS(예비비!$O$430:$O$729,예비비!$B$430:$B$729,예비비!$A120,예비비!$E$430:$E$729,"&lt;"&amp;EDATE(BI$99,1),예비비!$F$430:$F$729,"결제대금비")+MAX(0,IF(예비비!$D120&lt;EDATE(BI$99,1),예비비!$E120,0)-SUMIFS(예비비!$O$430:$O$729,예비비!$B$430:$B$729,예비비!$A120,예비비!$E$430:$E$729,"&lt;"&amp;EDATE(BI$99,1))),0)</f>
        <v>0</v>
      </c>
      <c r="BJ120">
        <f>IF(예비비!$R120="OK",SUMIFS(예비비!$O$430:$O$729,예비비!$B$430:$B$729,예비비!$A120,예비비!$E$430:$E$729,"&lt;"&amp;EDATE(BJ$99,1),예비비!$F$430:$F$729,"결제대금비")+MAX(0,IF(예비비!$D120&lt;EDATE(BJ$99,1),예비비!$E120,0)-SUMIFS(예비비!$O$430:$O$729,예비비!$B$430:$B$729,예비비!$A120,예비비!$E$430:$E$729,"&lt;"&amp;EDATE(BJ$99,1))),0)</f>
        <v>0</v>
      </c>
      <c r="BK120">
        <f>IF(예비비!$R120="OK",SUMIFS(예비비!$O$430:$O$729,예비비!$B$430:$B$729,예비비!$A120,예비비!$E$430:$E$729,"&lt;"&amp;EDATE(BK$99,1),예비비!$F$430:$F$729,"결제대금비")+MAX(0,IF(예비비!$D120&lt;EDATE(BK$99,1),예비비!$E120,0)-SUMIFS(예비비!$O$430:$O$729,예비비!$B$430:$B$729,예비비!$A120,예비비!$E$430:$E$729,"&lt;"&amp;EDATE(BK$99,1))),0)</f>
        <v>0</v>
      </c>
      <c r="BL120">
        <f>IF(예비비!$R120="OK",SUMIFS(예비비!$O$430:$O$729,예비비!$B$430:$B$729,예비비!$A120,예비비!$E$430:$E$729,"&lt;"&amp;EDATE(BL$99,1),예비비!$F$430:$F$729,"결제대금비")+MAX(0,IF(예비비!$D120&lt;EDATE(BL$99,1),예비비!$E120,0)-SUMIFS(예비비!$O$430:$O$729,예비비!$B$430:$B$729,예비비!$A120,예비비!$E$430:$E$729,"&lt;"&amp;EDATE(BL$99,1))),0)</f>
        <v>0</v>
      </c>
      <c r="BM120">
        <f>IF(예비비!$R120="OK",SUMIFS(예비비!$O$430:$O$729,예비비!$B$430:$B$729,예비비!$A120,예비비!$E$430:$E$729,"&lt;"&amp;EDATE(BM$99,1),예비비!$F$430:$F$729,"결제대금비")+MAX(0,IF(예비비!$D120&lt;EDATE(BM$99,1),예비비!$E120,0)-SUMIFS(예비비!$O$430:$O$729,예비비!$B$430:$B$729,예비비!$A120,예비비!$E$430:$E$729,"&lt;"&amp;EDATE(BM$99,1))),0)</f>
        <v>0</v>
      </c>
      <c r="BN120">
        <f>IF(예비비!$R120="OK",SUMIFS(예비비!$O$430:$O$729,예비비!$B$430:$B$729,예비비!$A120,예비비!$E$430:$E$729,"&lt;"&amp;EDATE(BN$99,1),예비비!$F$430:$F$729,"결제대금비")+MAX(0,IF(예비비!$D120&lt;EDATE(BN$99,1),예비비!$E120,0)-SUMIFS(예비비!$O$430:$O$729,예비비!$B$430:$B$729,예비비!$A120,예비비!$E$430:$E$729,"&lt;"&amp;EDATE(BN$99,1))),0)</f>
        <v>0</v>
      </c>
      <c r="BO120">
        <f>IF(예비비!$R120="OK",SUMIFS(예비비!$O$430:$O$729,예비비!$B$430:$B$729,예비비!$A120,예비비!$E$430:$E$729,"&lt;"&amp;EDATE(BO$99,1),예비비!$F$430:$F$729,"결제대금비")+MAX(0,IF(예비비!$D120&lt;EDATE(BO$99,1),예비비!$E120,0)-SUMIFS(예비비!$O$430:$O$729,예비비!$B$430:$B$729,예비비!$A120,예비비!$E$430:$E$729,"&lt;"&amp;EDATE(BO$99,1))),0)</f>
        <v>0</v>
      </c>
      <c r="BP120">
        <f>IF(예비비!$R120="OK",SUMIFS(예비비!$O$430:$O$729,예비비!$B$430:$B$729,예비비!$A120,예비비!$E$430:$E$729,"&lt;"&amp;EDATE(BP$99,1),예비비!$F$430:$F$729,"결제대금비")+MAX(0,IF(예비비!$D120&lt;EDATE(BP$99,1),예비비!$E120,0)-SUMIFS(예비비!$O$430:$O$729,예비비!$B$430:$B$729,예비비!$A120,예비비!$E$430:$E$729,"&lt;"&amp;EDATE(BP$99,1))),0)</f>
        <v>0</v>
      </c>
      <c r="BQ120">
        <f>IF(예비비!$R120="OK",SUMIFS(예비비!$O$430:$O$729,예비비!$B$430:$B$729,예비비!$A120,예비비!$E$430:$E$729,"&lt;"&amp;EDATE(BQ$99,1),예비비!$F$430:$F$729,"결제대금비")+MAX(0,IF(예비비!$D120&lt;EDATE(BQ$99,1),예비비!$E120,0)-SUMIFS(예비비!$O$430:$O$729,예비비!$B$430:$B$729,예비비!$A120,예비비!$E$430:$E$729,"&lt;"&amp;EDATE(BQ$99,1))),0)</f>
        <v>0</v>
      </c>
      <c r="BR120">
        <f>IF(예비비!$R120="OK",SUMIFS(예비비!$O$430:$O$729,예비비!$B$430:$B$729,예비비!$A120,예비비!$E$430:$E$729,"&lt;"&amp;EDATE(BR$99,1),예비비!$F$430:$F$729,"결제대금비")+MAX(0,IF(예비비!$D120&lt;EDATE(BR$99,1),예비비!$E120,0)-SUMIFS(예비비!$O$430:$O$729,예비비!$B$430:$B$729,예비비!$A120,예비비!$E$430:$E$729,"&lt;"&amp;EDATE(BR$99,1))),0)</f>
        <v>0</v>
      </c>
      <c r="BS120">
        <f>IF(예비비!$R120="OK",SUMIFS(예비비!$O$430:$O$729,예비비!$B$430:$B$729,예비비!$A120,예비비!$E$430:$E$729,"&lt;"&amp;EDATE(BS$99,1),예비비!$F$430:$F$729,"결제대금비")+MAX(0,IF(예비비!$D120&lt;EDATE(BS$99,1),예비비!$E120,0)-SUMIFS(예비비!$O$430:$O$729,예비비!$B$430:$B$729,예비비!$A120,예비비!$E$430:$E$729,"&lt;"&amp;EDATE(BS$99,1))),0)</f>
        <v>0</v>
      </c>
      <c r="BT120">
        <f>IF(예비비!$R120="OK",SUMIFS(예비비!$O$430:$O$729,예비비!$B$430:$B$729,예비비!$A120,예비비!$E$430:$E$729,"&lt;"&amp;EDATE(BT$99,1),예비비!$F$430:$F$729,"결제대금비")+MAX(0,IF(예비비!$D120&lt;EDATE(BT$99,1),예비비!$E120,0)-SUMIFS(예비비!$O$430:$O$729,예비비!$B$430:$B$729,예비비!$A120,예비비!$E$430:$E$729,"&lt;"&amp;EDATE(BT$99,1))),0)</f>
        <v>0</v>
      </c>
      <c r="BU120">
        <f>IF(예비비!$R120="OK",SUMIFS(예비비!$O$430:$O$729,예비비!$B$430:$B$729,예비비!$A120,예비비!$E$430:$E$729,"&lt;"&amp;EDATE(BU$99,1),예비비!$F$430:$F$729,"결제대금비")+MAX(0,IF(예비비!$D120&lt;EDATE(BU$99,1),예비비!$E120,0)-SUMIFS(예비비!$O$430:$O$729,예비비!$B$430:$B$729,예비비!$A120,예비비!$E$430:$E$729,"&lt;"&amp;EDATE(BU$99,1))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  <c r="BI121">
        <f>IF(예비비!$R121="OK",SUMIFS(예비비!$O$430:$O$729,예비비!$B$430:$B$729,예비비!$A121,예비비!$E$430:$E$729,"&lt;"&amp;EDATE(BI$99,1),예비비!$F$430:$F$729,"결제대금비")+MAX(0,IF(예비비!$D121&lt;EDATE(BI$99,1),예비비!$E121,0)-SUMIFS(예비비!$O$430:$O$729,예비비!$B$430:$B$729,예비비!$A121,예비비!$E$430:$E$729,"&lt;"&amp;EDATE(BI$99,1))),0)</f>
        <v>0</v>
      </c>
      <c r="BJ121">
        <f>IF(예비비!$R121="OK",SUMIFS(예비비!$O$430:$O$729,예비비!$B$430:$B$729,예비비!$A121,예비비!$E$430:$E$729,"&lt;"&amp;EDATE(BJ$99,1),예비비!$F$430:$F$729,"결제대금비")+MAX(0,IF(예비비!$D121&lt;EDATE(BJ$99,1),예비비!$E121,0)-SUMIFS(예비비!$O$430:$O$729,예비비!$B$430:$B$729,예비비!$A121,예비비!$E$430:$E$729,"&lt;"&amp;EDATE(BJ$99,1))),0)</f>
        <v>0</v>
      </c>
      <c r="BK121">
        <f>IF(예비비!$R121="OK",SUMIFS(예비비!$O$430:$O$729,예비비!$B$430:$B$729,예비비!$A121,예비비!$E$430:$E$729,"&lt;"&amp;EDATE(BK$99,1),예비비!$F$430:$F$729,"결제대금비")+MAX(0,IF(예비비!$D121&lt;EDATE(BK$99,1),예비비!$E121,0)-SUMIFS(예비비!$O$430:$O$729,예비비!$B$430:$B$729,예비비!$A121,예비비!$E$430:$E$729,"&lt;"&amp;EDATE(BK$99,1))),0)</f>
        <v>0</v>
      </c>
      <c r="BL121">
        <f>IF(예비비!$R121="OK",SUMIFS(예비비!$O$430:$O$729,예비비!$B$430:$B$729,예비비!$A121,예비비!$E$430:$E$729,"&lt;"&amp;EDATE(BL$99,1),예비비!$F$430:$F$729,"결제대금비")+MAX(0,IF(예비비!$D121&lt;EDATE(BL$99,1),예비비!$E121,0)-SUMIFS(예비비!$O$430:$O$729,예비비!$B$430:$B$729,예비비!$A121,예비비!$E$430:$E$729,"&lt;"&amp;EDATE(BL$99,1))),0)</f>
        <v>0</v>
      </c>
      <c r="BM121">
        <f>IF(예비비!$R121="OK",SUMIFS(예비비!$O$430:$O$729,예비비!$B$430:$B$729,예비비!$A121,예비비!$E$430:$E$729,"&lt;"&amp;EDATE(BM$99,1),예비비!$F$430:$F$729,"결제대금비")+MAX(0,IF(예비비!$D121&lt;EDATE(BM$99,1),예비비!$E121,0)-SUMIFS(예비비!$O$430:$O$729,예비비!$B$430:$B$729,예비비!$A121,예비비!$E$430:$E$729,"&lt;"&amp;EDATE(BM$99,1))),0)</f>
        <v>0</v>
      </c>
      <c r="BN121">
        <f>IF(예비비!$R121="OK",SUMIFS(예비비!$O$430:$O$729,예비비!$B$430:$B$729,예비비!$A121,예비비!$E$430:$E$729,"&lt;"&amp;EDATE(BN$99,1),예비비!$F$430:$F$729,"결제대금비")+MAX(0,IF(예비비!$D121&lt;EDATE(BN$99,1),예비비!$E121,0)-SUMIFS(예비비!$O$430:$O$729,예비비!$B$430:$B$729,예비비!$A121,예비비!$E$430:$E$729,"&lt;"&amp;EDATE(BN$99,1))),0)</f>
        <v>0</v>
      </c>
      <c r="BO121">
        <f>IF(예비비!$R121="OK",SUMIFS(예비비!$O$430:$O$729,예비비!$B$430:$B$729,예비비!$A121,예비비!$E$430:$E$729,"&lt;"&amp;EDATE(BO$99,1),예비비!$F$430:$F$729,"결제대금비")+MAX(0,IF(예비비!$D121&lt;EDATE(BO$99,1),예비비!$E121,0)-SUMIFS(예비비!$O$430:$O$729,예비비!$B$430:$B$729,예비비!$A121,예비비!$E$430:$E$729,"&lt;"&amp;EDATE(BO$99,1))),0)</f>
        <v>0</v>
      </c>
      <c r="BP121">
        <f>IF(예비비!$R121="OK",SUMIFS(예비비!$O$430:$O$729,예비비!$B$430:$B$729,예비비!$A121,예비비!$E$430:$E$729,"&lt;"&amp;EDATE(BP$99,1),예비비!$F$430:$F$729,"결제대금비")+MAX(0,IF(예비비!$D121&lt;EDATE(BP$99,1),예비비!$E121,0)-SUMIFS(예비비!$O$430:$O$729,예비비!$B$430:$B$729,예비비!$A121,예비비!$E$430:$E$729,"&lt;"&amp;EDATE(BP$99,1))),0)</f>
        <v>0</v>
      </c>
      <c r="BQ121">
        <f>IF(예비비!$R121="OK",SUMIFS(예비비!$O$430:$O$729,예비비!$B$430:$B$729,예비비!$A121,예비비!$E$430:$E$729,"&lt;"&amp;EDATE(BQ$99,1),예비비!$F$430:$F$729,"결제대금비")+MAX(0,IF(예비비!$D121&lt;EDATE(BQ$99,1),예비비!$E121,0)-SUMIFS(예비비!$O$430:$O$729,예비비!$B$430:$B$729,예비비!$A121,예비비!$E$430:$E$729,"&lt;"&amp;EDATE(BQ$99,1))),0)</f>
        <v>0</v>
      </c>
      <c r="BR121">
        <f>IF(예비비!$R121="OK",SUMIFS(예비비!$O$430:$O$729,예비비!$B$430:$B$729,예비비!$A121,예비비!$E$430:$E$729,"&lt;"&amp;EDATE(BR$99,1),예비비!$F$430:$F$729,"결제대금비")+MAX(0,IF(예비비!$D121&lt;EDATE(BR$99,1),예비비!$E121,0)-SUMIFS(예비비!$O$430:$O$729,예비비!$B$430:$B$729,예비비!$A121,예비비!$E$430:$E$729,"&lt;"&amp;EDATE(BR$99,1))),0)</f>
        <v>0</v>
      </c>
      <c r="BS121">
        <f>IF(예비비!$R121="OK",SUMIFS(예비비!$O$430:$O$729,예비비!$B$430:$B$729,예비비!$A121,예비비!$E$430:$E$729,"&lt;"&amp;EDATE(BS$99,1),예비비!$F$430:$F$729,"결제대금비")+MAX(0,IF(예비비!$D121&lt;EDATE(BS$99,1),예비비!$E121,0)-SUMIFS(예비비!$O$430:$O$729,예비비!$B$430:$B$729,예비비!$A121,예비비!$E$430:$E$729,"&lt;"&amp;EDATE(BS$99,1))),0)</f>
        <v>0</v>
      </c>
      <c r="BT121">
        <f>IF(예비비!$R121="OK",SUMIFS(예비비!$O$430:$O$729,예비비!$B$430:$B$729,예비비!$A121,예비비!$E$430:$E$729,"&lt;"&amp;EDATE(BT$99,1),예비비!$F$430:$F$729,"결제대금비")+MAX(0,IF(예비비!$D121&lt;EDATE(BT$99,1),예비비!$E121,0)-SUMIFS(예비비!$O$430:$O$729,예비비!$B$430:$B$729,예비비!$A121,예비비!$E$430:$E$729,"&lt;"&amp;EDATE(BT$99,1))),0)</f>
        <v>0</v>
      </c>
      <c r="BU121">
        <f>IF(예비비!$R121="OK",SUMIFS(예비비!$O$430:$O$729,예비비!$B$430:$B$729,예비비!$A121,예비비!$E$430:$E$729,"&lt;"&amp;EDATE(BU$99,1),예비비!$F$430:$F$729,"결제대금비")+MAX(0,IF(예비비!$D121&lt;EDATE(BU$99,1),예비비!$E121,0)-SUMIFS(예비비!$O$430:$O$729,예비비!$B$430:$B$729,예비비!$A121,예비비!$E$430:$E$729,"&lt;"&amp;EDATE(BU$99,1))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  <c r="BI122">
        <f>IF(예비비!$R122="OK",SUMIFS(예비비!$O$430:$O$729,예비비!$B$430:$B$729,예비비!$A122,예비비!$E$430:$E$729,"&lt;"&amp;EDATE(BI$99,1),예비비!$F$430:$F$729,"결제대금비")+MAX(0,IF(예비비!$D122&lt;EDATE(BI$99,1),예비비!$E122,0)-SUMIFS(예비비!$O$430:$O$729,예비비!$B$430:$B$729,예비비!$A122,예비비!$E$430:$E$729,"&lt;"&amp;EDATE(BI$99,1))),0)</f>
        <v>0</v>
      </c>
      <c r="BJ122">
        <f>IF(예비비!$R122="OK",SUMIFS(예비비!$O$430:$O$729,예비비!$B$430:$B$729,예비비!$A122,예비비!$E$430:$E$729,"&lt;"&amp;EDATE(BJ$99,1),예비비!$F$430:$F$729,"결제대금비")+MAX(0,IF(예비비!$D122&lt;EDATE(BJ$99,1),예비비!$E122,0)-SUMIFS(예비비!$O$430:$O$729,예비비!$B$430:$B$729,예비비!$A122,예비비!$E$430:$E$729,"&lt;"&amp;EDATE(BJ$99,1))),0)</f>
        <v>0</v>
      </c>
      <c r="BK122">
        <f>IF(예비비!$R122="OK",SUMIFS(예비비!$O$430:$O$729,예비비!$B$430:$B$729,예비비!$A122,예비비!$E$430:$E$729,"&lt;"&amp;EDATE(BK$99,1),예비비!$F$430:$F$729,"결제대금비")+MAX(0,IF(예비비!$D122&lt;EDATE(BK$99,1),예비비!$E122,0)-SUMIFS(예비비!$O$430:$O$729,예비비!$B$430:$B$729,예비비!$A122,예비비!$E$430:$E$729,"&lt;"&amp;EDATE(BK$99,1))),0)</f>
        <v>0</v>
      </c>
      <c r="BL122">
        <f>IF(예비비!$R122="OK",SUMIFS(예비비!$O$430:$O$729,예비비!$B$430:$B$729,예비비!$A122,예비비!$E$430:$E$729,"&lt;"&amp;EDATE(BL$99,1),예비비!$F$430:$F$729,"결제대금비")+MAX(0,IF(예비비!$D122&lt;EDATE(BL$99,1),예비비!$E122,0)-SUMIFS(예비비!$O$430:$O$729,예비비!$B$430:$B$729,예비비!$A122,예비비!$E$430:$E$729,"&lt;"&amp;EDATE(BL$99,1))),0)</f>
        <v>0</v>
      </c>
      <c r="BM122">
        <f>IF(예비비!$R122="OK",SUMIFS(예비비!$O$430:$O$729,예비비!$B$430:$B$729,예비비!$A122,예비비!$E$430:$E$729,"&lt;"&amp;EDATE(BM$99,1),예비비!$F$430:$F$729,"결제대금비")+MAX(0,IF(예비비!$D122&lt;EDATE(BM$99,1),예비비!$E122,0)-SUMIFS(예비비!$O$430:$O$729,예비비!$B$430:$B$729,예비비!$A122,예비비!$E$430:$E$729,"&lt;"&amp;EDATE(BM$99,1))),0)</f>
        <v>0</v>
      </c>
      <c r="BN122">
        <f>IF(예비비!$R122="OK",SUMIFS(예비비!$O$430:$O$729,예비비!$B$430:$B$729,예비비!$A122,예비비!$E$430:$E$729,"&lt;"&amp;EDATE(BN$99,1),예비비!$F$430:$F$729,"결제대금비")+MAX(0,IF(예비비!$D122&lt;EDATE(BN$99,1),예비비!$E122,0)-SUMIFS(예비비!$O$430:$O$729,예비비!$B$430:$B$729,예비비!$A122,예비비!$E$430:$E$729,"&lt;"&amp;EDATE(BN$99,1))),0)</f>
        <v>0</v>
      </c>
      <c r="BO122">
        <f>IF(예비비!$R122="OK",SUMIFS(예비비!$O$430:$O$729,예비비!$B$430:$B$729,예비비!$A122,예비비!$E$430:$E$729,"&lt;"&amp;EDATE(BO$99,1),예비비!$F$430:$F$729,"결제대금비")+MAX(0,IF(예비비!$D122&lt;EDATE(BO$99,1),예비비!$E122,0)-SUMIFS(예비비!$O$430:$O$729,예비비!$B$430:$B$729,예비비!$A122,예비비!$E$430:$E$729,"&lt;"&amp;EDATE(BO$99,1))),0)</f>
        <v>0</v>
      </c>
      <c r="BP122">
        <f>IF(예비비!$R122="OK",SUMIFS(예비비!$O$430:$O$729,예비비!$B$430:$B$729,예비비!$A122,예비비!$E$430:$E$729,"&lt;"&amp;EDATE(BP$99,1),예비비!$F$430:$F$729,"결제대금비")+MAX(0,IF(예비비!$D122&lt;EDATE(BP$99,1),예비비!$E122,0)-SUMIFS(예비비!$O$430:$O$729,예비비!$B$430:$B$729,예비비!$A122,예비비!$E$430:$E$729,"&lt;"&amp;EDATE(BP$99,1))),0)</f>
        <v>0</v>
      </c>
      <c r="BQ122">
        <f>IF(예비비!$R122="OK",SUMIFS(예비비!$O$430:$O$729,예비비!$B$430:$B$729,예비비!$A122,예비비!$E$430:$E$729,"&lt;"&amp;EDATE(BQ$99,1),예비비!$F$430:$F$729,"결제대금비")+MAX(0,IF(예비비!$D122&lt;EDATE(BQ$99,1),예비비!$E122,0)-SUMIFS(예비비!$O$430:$O$729,예비비!$B$430:$B$729,예비비!$A122,예비비!$E$430:$E$729,"&lt;"&amp;EDATE(BQ$99,1))),0)</f>
        <v>0</v>
      </c>
      <c r="BR122">
        <f>IF(예비비!$R122="OK",SUMIFS(예비비!$O$430:$O$729,예비비!$B$430:$B$729,예비비!$A122,예비비!$E$430:$E$729,"&lt;"&amp;EDATE(BR$99,1),예비비!$F$430:$F$729,"결제대금비")+MAX(0,IF(예비비!$D122&lt;EDATE(BR$99,1),예비비!$E122,0)-SUMIFS(예비비!$O$430:$O$729,예비비!$B$430:$B$729,예비비!$A122,예비비!$E$430:$E$729,"&lt;"&amp;EDATE(BR$99,1))),0)</f>
        <v>0</v>
      </c>
      <c r="BS122">
        <f>IF(예비비!$R122="OK",SUMIFS(예비비!$O$430:$O$729,예비비!$B$430:$B$729,예비비!$A122,예비비!$E$430:$E$729,"&lt;"&amp;EDATE(BS$99,1),예비비!$F$430:$F$729,"결제대금비")+MAX(0,IF(예비비!$D122&lt;EDATE(BS$99,1),예비비!$E122,0)-SUMIFS(예비비!$O$430:$O$729,예비비!$B$430:$B$729,예비비!$A122,예비비!$E$430:$E$729,"&lt;"&amp;EDATE(BS$99,1))),0)</f>
        <v>0</v>
      </c>
      <c r="BT122">
        <f>IF(예비비!$R122="OK",SUMIFS(예비비!$O$430:$O$729,예비비!$B$430:$B$729,예비비!$A122,예비비!$E$430:$E$729,"&lt;"&amp;EDATE(BT$99,1),예비비!$F$430:$F$729,"결제대금비")+MAX(0,IF(예비비!$D122&lt;EDATE(BT$99,1),예비비!$E122,0)-SUMIFS(예비비!$O$430:$O$729,예비비!$B$430:$B$729,예비비!$A122,예비비!$E$430:$E$729,"&lt;"&amp;EDATE(BT$99,1))),0)</f>
        <v>0</v>
      </c>
      <c r="BU122">
        <f>IF(예비비!$R122="OK",SUMIFS(예비비!$O$430:$O$729,예비비!$B$430:$B$729,예비비!$A122,예비비!$E$430:$E$729,"&lt;"&amp;EDATE(BU$99,1),예비비!$F$430:$F$729,"결제대금비")+MAX(0,IF(예비비!$D122&lt;EDATE(BU$99,1),예비비!$E122,0)-SUMIFS(예비비!$O$430:$O$729,예비비!$B$430:$B$729,예비비!$A122,예비비!$E$430:$E$729,"&lt;"&amp;EDATE(BU$99,1))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  <c r="BI123">
        <f>IF(예비비!$R123="OK",SUMIFS(예비비!$O$430:$O$729,예비비!$B$430:$B$729,예비비!$A123,예비비!$E$430:$E$729,"&lt;"&amp;EDATE(BI$99,1),예비비!$F$430:$F$729,"결제대금비")+MAX(0,IF(예비비!$D123&lt;EDATE(BI$99,1),예비비!$E123,0)-SUMIFS(예비비!$O$430:$O$729,예비비!$B$430:$B$729,예비비!$A123,예비비!$E$430:$E$729,"&lt;"&amp;EDATE(BI$99,1))),0)</f>
        <v>0</v>
      </c>
      <c r="BJ123">
        <f>IF(예비비!$R123="OK",SUMIFS(예비비!$O$430:$O$729,예비비!$B$430:$B$729,예비비!$A123,예비비!$E$430:$E$729,"&lt;"&amp;EDATE(BJ$99,1),예비비!$F$430:$F$729,"결제대금비")+MAX(0,IF(예비비!$D123&lt;EDATE(BJ$99,1),예비비!$E123,0)-SUMIFS(예비비!$O$430:$O$729,예비비!$B$430:$B$729,예비비!$A123,예비비!$E$430:$E$729,"&lt;"&amp;EDATE(BJ$99,1))),0)</f>
        <v>0</v>
      </c>
      <c r="BK123">
        <f>IF(예비비!$R123="OK",SUMIFS(예비비!$O$430:$O$729,예비비!$B$430:$B$729,예비비!$A123,예비비!$E$430:$E$729,"&lt;"&amp;EDATE(BK$99,1),예비비!$F$430:$F$729,"결제대금비")+MAX(0,IF(예비비!$D123&lt;EDATE(BK$99,1),예비비!$E123,0)-SUMIFS(예비비!$O$430:$O$729,예비비!$B$430:$B$729,예비비!$A123,예비비!$E$430:$E$729,"&lt;"&amp;EDATE(BK$99,1))),0)</f>
        <v>0</v>
      </c>
      <c r="BL123">
        <f>IF(예비비!$R123="OK",SUMIFS(예비비!$O$430:$O$729,예비비!$B$430:$B$729,예비비!$A123,예비비!$E$430:$E$729,"&lt;"&amp;EDATE(BL$99,1),예비비!$F$430:$F$729,"결제대금비")+MAX(0,IF(예비비!$D123&lt;EDATE(BL$99,1),예비비!$E123,0)-SUMIFS(예비비!$O$430:$O$729,예비비!$B$430:$B$729,예비비!$A123,예비비!$E$430:$E$729,"&lt;"&amp;EDATE(BL$99,1))),0)</f>
        <v>0</v>
      </c>
      <c r="BM123">
        <f>IF(예비비!$R123="OK",SUMIFS(예비비!$O$430:$O$729,예비비!$B$430:$B$729,예비비!$A123,예비비!$E$430:$E$729,"&lt;"&amp;EDATE(BM$99,1),예비비!$F$430:$F$729,"결제대금비")+MAX(0,IF(예비비!$D123&lt;EDATE(BM$99,1),예비비!$E123,0)-SUMIFS(예비비!$O$430:$O$729,예비비!$B$430:$B$729,예비비!$A123,예비비!$E$430:$E$729,"&lt;"&amp;EDATE(BM$99,1))),0)</f>
        <v>0</v>
      </c>
      <c r="BN123">
        <f>IF(예비비!$R123="OK",SUMIFS(예비비!$O$430:$O$729,예비비!$B$430:$B$729,예비비!$A123,예비비!$E$430:$E$729,"&lt;"&amp;EDATE(BN$99,1),예비비!$F$430:$F$729,"결제대금비")+MAX(0,IF(예비비!$D123&lt;EDATE(BN$99,1),예비비!$E123,0)-SUMIFS(예비비!$O$430:$O$729,예비비!$B$430:$B$729,예비비!$A123,예비비!$E$430:$E$729,"&lt;"&amp;EDATE(BN$99,1))),0)</f>
        <v>0</v>
      </c>
      <c r="BO123">
        <f>IF(예비비!$R123="OK",SUMIFS(예비비!$O$430:$O$729,예비비!$B$430:$B$729,예비비!$A123,예비비!$E$430:$E$729,"&lt;"&amp;EDATE(BO$99,1),예비비!$F$430:$F$729,"결제대금비")+MAX(0,IF(예비비!$D123&lt;EDATE(BO$99,1),예비비!$E123,0)-SUMIFS(예비비!$O$430:$O$729,예비비!$B$430:$B$729,예비비!$A123,예비비!$E$430:$E$729,"&lt;"&amp;EDATE(BO$99,1))),0)</f>
        <v>0</v>
      </c>
      <c r="BP123">
        <f>IF(예비비!$R123="OK",SUMIFS(예비비!$O$430:$O$729,예비비!$B$430:$B$729,예비비!$A123,예비비!$E$430:$E$729,"&lt;"&amp;EDATE(BP$99,1),예비비!$F$430:$F$729,"결제대금비")+MAX(0,IF(예비비!$D123&lt;EDATE(BP$99,1),예비비!$E123,0)-SUMIFS(예비비!$O$430:$O$729,예비비!$B$430:$B$729,예비비!$A123,예비비!$E$430:$E$729,"&lt;"&amp;EDATE(BP$99,1))),0)</f>
        <v>0</v>
      </c>
      <c r="BQ123">
        <f>IF(예비비!$R123="OK",SUMIFS(예비비!$O$430:$O$729,예비비!$B$430:$B$729,예비비!$A123,예비비!$E$430:$E$729,"&lt;"&amp;EDATE(BQ$99,1),예비비!$F$430:$F$729,"결제대금비")+MAX(0,IF(예비비!$D123&lt;EDATE(BQ$99,1),예비비!$E123,0)-SUMIFS(예비비!$O$430:$O$729,예비비!$B$430:$B$729,예비비!$A123,예비비!$E$430:$E$729,"&lt;"&amp;EDATE(BQ$99,1))),0)</f>
        <v>0</v>
      </c>
      <c r="BR123">
        <f>IF(예비비!$R123="OK",SUMIFS(예비비!$O$430:$O$729,예비비!$B$430:$B$729,예비비!$A123,예비비!$E$430:$E$729,"&lt;"&amp;EDATE(BR$99,1),예비비!$F$430:$F$729,"결제대금비")+MAX(0,IF(예비비!$D123&lt;EDATE(BR$99,1),예비비!$E123,0)-SUMIFS(예비비!$O$430:$O$729,예비비!$B$430:$B$729,예비비!$A123,예비비!$E$430:$E$729,"&lt;"&amp;EDATE(BR$99,1))),0)</f>
        <v>0</v>
      </c>
      <c r="BS123">
        <f>IF(예비비!$R123="OK",SUMIFS(예비비!$O$430:$O$729,예비비!$B$430:$B$729,예비비!$A123,예비비!$E$430:$E$729,"&lt;"&amp;EDATE(BS$99,1),예비비!$F$430:$F$729,"결제대금비")+MAX(0,IF(예비비!$D123&lt;EDATE(BS$99,1),예비비!$E123,0)-SUMIFS(예비비!$O$430:$O$729,예비비!$B$430:$B$729,예비비!$A123,예비비!$E$430:$E$729,"&lt;"&amp;EDATE(BS$99,1))),0)</f>
        <v>0</v>
      </c>
      <c r="BT123">
        <f>IF(예비비!$R123="OK",SUMIFS(예비비!$O$430:$O$729,예비비!$B$430:$B$729,예비비!$A123,예비비!$E$430:$E$729,"&lt;"&amp;EDATE(BT$99,1),예비비!$F$430:$F$729,"결제대금비")+MAX(0,IF(예비비!$D123&lt;EDATE(BT$99,1),예비비!$E123,0)-SUMIFS(예비비!$O$430:$O$729,예비비!$B$430:$B$729,예비비!$A123,예비비!$E$430:$E$729,"&lt;"&amp;EDATE(BT$99,1))),0)</f>
        <v>0</v>
      </c>
      <c r="BU123">
        <f>IF(예비비!$R123="OK",SUMIFS(예비비!$O$430:$O$729,예비비!$B$430:$B$729,예비비!$A123,예비비!$E$430:$E$729,"&lt;"&amp;EDATE(BU$99,1),예비비!$F$430:$F$729,"결제대금비")+MAX(0,IF(예비비!$D123&lt;EDATE(BU$99,1),예비비!$E123,0)-SUMIFS(예비비!$O$430:$O$729,예비비!$B$430:$B$729,예비비!$A123,예비비!$E$430:$E$729,"&lt;"&amp;EDATE(BU$99,1))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  <c r="BI124">
        <f>IF(예비비!$R124="OK",SUMIFS(예비비!$O$430:$O$729,예비비!$B$430:$B$729,예비비!$A124,예비비!$E$430:$E$729,"&lt;"&amp;EDATE(BI$99,1),예비비!$F$430:$F$729,"결제대금비")+MAX(0,IF(예비비!$D124&lt;EDATE(BI$99,1),예비비!$E124,0)-SUMIFS(예비비!$O$430:$O$729,예비비!$B$430:$B$729,예비비!$A124,예비비!$E$430:$E$729,"&lt;"&amp;EDATE(BI$99,1))),0)</f>
        <v>0</v>
      </c>
      <c r="BJ124">
        <f>IF(예비비!$R124="OK",SUMIFS(예비비!$O$430:$O$729,예비비!$B$430:$B$729,예비비!$A124,예비비!$E$430:$E$729,"&lt;"&amp;EDATE(BJ$99,1),예비비!$F$430:$F$729,"결제대금비")+MAX(0,IF(예비비!$D124&lt;EDATE(BJ$99,1),예비비!$E124,0)-SUMIFS(예비비!$O$430:$O$729,예비비!$B$430:$B$729,예비비!$A124,예비비!$E$430:$E$729,"&lt;"&amp;EDATE(BJ$99,1))),0)</f>
        <v>0</v>
      </c>
      <c r="BK124">
        <f>IF(예비비!$R124="OK",SUMIFS(예비비!$O$430:$O$729,예비비!$B$430:$B$729,예비비!$A124,예비비!$E$430:$E$729,"&lt;"&amp;EDATE(BK$99,1),예비비!$F$430:$F$729,"결제대금비")+MAX(0,IF(예비비!$D124&lt;EDATE(BK$99,1),예비비!$E124,0)-SUMIFS(예비비!$O$430:$O$729,예비비!$B$430:$B$729,예비비!$A124,예비비!$E$430:$E$729,"&lt;"&amp;EDATE(BK$99,1))),0)</f>
        <v>0</v>
      </c>
      <c r="BL124">
        <f>IF(예비비!$R124="OK",SUMIFS(예비비!$O$430:$O$729,예비비!$B$430:$B$729,예비비!$A124,예비비!$E$430:$E$729,"&lt;"&amp;EDATE(BL$99,1),예비비!$F$430:$F$729,"결제대금비")+MAX(0,IF(예비비!$D124&lt;EDATE(BL$99,1),예비비!$E124,0)-SUMIFS(예비비!$O$430:$O$729,예비비!$B$430:$B$729,예비비!$A124,예비비!$E$430:$E$729,"&lt;"&amp;EDATE(BL$99,1))),0)</f>
        <v>0</v>
      </c>
      <c r="BM124">
        <f>IF(예비비!$R124="OK",SUMIFS(예비비!$O$430:$O$729,예비비!$B$430:$B$729,예비비!$A124,예비비!$E$430:$E$729,"&lt;"&amp;EDATE(BM$99,1),예비비!$F$430:$F$729,"결제대금비")+MAX(0,IF(예비비!$D124&lt;EDATE(BM$99,1),예비비!$E124,0)-SUMIFS(예비비!$O$430:$O$729,예비비!$B$430:$B$729,예비비!$A124,예비비!$E$430:$E$729,"&lt;"&amp;EDATE(BM$99,1))),0)</f>
        <v>0</v>
      </c>
      <c r="BN124">
        <f>IF(예비비!$R124="OK",SUMIFS(예비비!$O$430:$O$729,예비비!$B$430:$B$729,예비비!$A124,예비비!$E$430:$E$729,"&lt;"&amp;EDATE(BN$99,1),예비비!$F$430:$F$729,"결제대금비")+MAX(0,IF(예비비!$D124&lt;EDATE(BN$99,1),예비비!$E124,0)-SUMIFS(예비비!$O$430:$O$729,예비비!$B$430:$B$729,예비비!$A124,예비비!$E$430:$E$729,"&lt;"&amp;EDATE(BN$99,1))),0)</f>
        <v>0</v>
      </c>
      <c r="BO124">
        <f>IF(예비비!$R124="OK",SUMIFS(예비비!$O$430:$O$729,예비비!$B$430:$B$729,예비비!$A124,예비비!$E$430:$E$729,"&lt;"&amp;EDATE(BO$99,1),예비비!$F$430:$F$729,"결제대금비")+MAX(0,IF(예비비!$D124&lt;EDATE(BO$99,1),예비비!$E124,0)-SUMIFS(예비비!$O$430:$O$729,예비비!$B$430:$B$729,예비비!$A124,예비비!$E$430:$E$729,"&lt;"&amp;EDATE(BO$99,1))),0)</f>
        <v>0</v>
      </c>
      <c r="BP124">
        <f>IF(예비비!$R124="OK",SUMIFS(예비비!$O$430:$O$729,예비비!$B$430:$B$729,예비비!$A124,예비비!$E$430:$E$729,"&lt;"&amp;EDATE(BP$99,1),예비비!$F$430:$F$729,"결제대금비")+MAX(0,IF(예비비!$D124&lt;EDATE(BP$99,1),예비비!$E124,0)-SUMIFS(예비비!$O$430:$O$729,예비비!$B$430:$B$729,예비비!$A124,예비비!$E$430:$E$729,"&lt;"&amp;EDATE(BP$99,1))),0)</f>
        <v>0</v>
      </c>
      <c r="BQ124">
        <f>IF(예비비!$R124="OK",SUMIFS(예비비!$O$430:$O$729,예비비!$B$430:$B$729,예비비!$A124,예비비!$E$430:$E$729,"&lt;"&amp;EDATE(BQ$99,1),예비비!$F$430:$F$729,"결제대금비")+MAX(0,IF(예비비!$D124&lt;EDATE(BQ$99,1),예비비!$E124,0)-SUMIFS(예비비!$O$430:$O$729,예비비!$B$430:$B$729,예비비!$A124,예비비!$E$430:$E$729,"&lt;"&amp;EDATE(BQ$99,1))),0)</f>
        <v>0</v>
      </c>
      <c r="BR124">
        <f>IF(예비비!$R124="OK",SUMIFS(예비비!$O$430:$O$729,예비비!$B$430:$B$729,예비비!$A124,예비비!$E$430:$E$729,"&lt;"&amp;EDATE(BR$99,1),예비비!$F$430:$F$729,"결제대금비")+MAX(0,IF(예비비!$D124&lt;EDATE(BR$99,1),예비비!$E124,0)-SUMIFS(예비비!$O$430:$O$729,예비비!$B$430:$B$729,예비비!$A124,예비비!$E$430:$E$729,"&lt;"&amp;EDATE(BR$99,1))),0)</f>
        <v>0</v>
      </c>
      <c r="BS124">
        <f>IF(예비비!$R124="OK",SUMIFS(예비비!$O$430:$O$729,예비비!$B$430:$B$729,예비비!$A124,예비비!$E$430:$E$729,"&lt;"&amp;EDATE(BS$99,1),예비비!$F$430:$F$729,"결제대금비")+MAX(0,IF(예비비!$D124&lt;EDATE(BS$99,1),예비비!$E124,0)-SUMIFS(예비비!$O$430:$O$729,예비비!$B$430:$B$729,예비비!$A124,예비비!$E$430:$E$729,"&lt;"&amp;EDATE(BS$99,1))),0)</f>
        <v>0</v>
      </c>
      <c r="BT124">
        <f>IF(예비비!$R124="OK",SUMIFS(예비비!$O$430:$O$729,예비비!$B$430:$B$729,예비비!$A124,예비비!$E$430:$E$729,"&lt;"&amp;EDATE(BT$99,1),예비비!$F$430:$F$729,"결제대금비")+MAX(0,IF(예비비!$D124&lt;EDATE(BT$99,1),예비비!$E124,0)-SUMIFS(예비비!$O$430:$O$729,예비비!$B$430:$B$729,예비비!$A124,예비비!$E$430:$E$729,"&lt;"&amp;EDATE(BT$99,1))),0)</f>
        <v>0</v>
      </c>
      <c r="BU124">
        <f>IF(예비비!$R124="OK",SUMIFS(예비비!$O$430:$O$729,예비비!$B$430:$B$729,예비비!$A124,예비비!$E$430:$E$729,"&lt;"&amp;EDATE(BU$99,1),예비비!$F$430:$F$729,"결제대금비")+MAX(0,IF(예비비!$D124&lt;EDATE(BU$99,1),예비비!$E124,0)-SUMIFS(예비비!$O$430:$O$729,예비비!$B$430:$B$729,예비비!$A124,예비비!$E$430:$E$729,"&lt;"&amp;EDATE(BU$99,1))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  <c r="BI125">
        <f>IF(예비비!$R125="OK",SUMIFS(예비비!$O$430:$O$729,예비비!$B$430:$B$729,예비비!$A125,예비비!$E$430:$E$729,"&lt;"&amp;EDATE(BI$99,1),예비비!$F$430:$F$729,"결제대금비")+MAX(0,IF(예비비!$D125&lt;EDATE(BI$99,1),예비비!$E125,0)-SUMIFS(예비비!$O$430:$O$729,예비비!$B$430:$B$729,예비비!$A125,예비비!$E$430:$E$729,"&lt;"&amp;EDATE(BI$99,1))),0)</f>
        <v>0</v>
      </c>
      <c r="BJ125">
        <f>IF(예비비!$R125="OK",SUMIFS(예비비!$O$430:$O$729,예비비!$B$430:$B$729,예비비!$A125,예비비!$E$430:$E$729,"&lt;"&amp;EDATE(BJ$99,1),예비비!$F$430:$F$729,"결제대금비")+MAX(0,IF(예비비!$D125&lt;EDATE(BJ$99,1),예비비!$E125,0)-SUMIFS(예비비!$O$430:$O$729,예비비!$B$430:$B$729,예비비!$A125,예비비!$E$430:$E$729,"&lt;"&amp;EDATE(BJ$99,1))),0)</f>
        <v>0</v>
      </c>
      <c r="BK125">
        <f>IF(예비비!$R125="OK",SUMIFS(예비비!$O$430:$O$729,예비비!$B$430:$B$729,예비비!$A125,예비비!$E$430:$E$729,"&lt;"&amp;EDATE(BK$99,1),예비비!$F$430:$F$729,"결제대금비")+MAX(0,IF(예비비!$D125&lt;EDATE(BK$99,1),예비비!$E125,0)-SUMIFS(예비비!$O$430:$O$729,예비비!$B$430:$B$729,예비비!$A125,예비비!$E$430:$E$729,"&lt;"&amp;EDATE(BK$99,1))),0)</f>
        <v>0</v>
      </c>
      <c r="BL125">
        <f>IF(예비비!$R125="OK",SUMIFS(예비비!$O$430:$O$729,예비비!$B$430:$B$729,예비비!$A125,예비비!$E$430:$E$729,"&lt;"&amp;EDATE(BL$99,1),예비비!$F$430:$F$729,"결제대금비")+MAX(0,IF(예비비!$D125&lt;EDATE(BL$99,1),예비비!$E125,0)-SUMIFS(예비비!$O$430:$O$729,예비비!$B$430:$B$729,예비비!$A125,예비비!$E$430:$E$729,"&lt;"&amp;EDATE(BL$99,1))),0)</f>
        <v>0</v>
      </c>
      <c r="BM125">
        <f>IF(예비비!$R125="OK",SUMIFS(예비비!$O$430:$O$729,예비비!$B$430:$B$729,예비비!$A125,예비비!$E$430:$E$729,"&lt;"&amp;EDATE(BM$99,1),예비비!$F$430:$F$729,"결제대금비")+MAX(0,IF(예비비!$D125&lt;EDATE(BM$99,1),예비비!$E125,0)-SUMIFS(예비비!$O$430:$O$729,예비비!$B$430:$B$729,예비비!$A125,예비비!$E$430:$E$729,"&lt;"&amp;EDATE(BM$99,1))),0)</f>
        <v>0</v>
      </c>
      <c r="BN125">
        <f>IF(예비비!$R125="OK",SUMIFS(예비비!$O$430:$O$729,예비비!$B$430:$B$729,예비비!$A125,예비비!$E$430:$E$729,"&lt;"&amp;EDATE(BN$99,1),예비비!$F$430:$F$729,"결제대금비")+MAX(0,IF(예비비!$D125&lt;EDATE(BN$99,1),예비비!$E125,0)-SUMIFS(예비비!$O$430:$O$729,예비비!$B$430:$B$729,예비비!$A125,예비비!$E$430:$E$729,"&lt;"&amp;EDATE(BN$99,1))),0)</f>
        <v>0</v>
      </c>
      <c r="BO125">
        <f>IF(예비비!$R125="OK",SUMIFS(예비비!$O$430:$O$729,예비비!$B$430:$B$729,예비비!$A125,예비비!$E$430:$E$729,"&lt;"&amp;EDATE(BO$99,1),예비비!$F$430:$F$729,"결제대금비")+MAX(0,IF(예비비!$D125&lt;EDATE(BO$99,1),예비비!$E125,0)-SUMIFS(예비비!$O$430:$O$729,예비비!$B$430:$B$729,예비비!$A125,예비비!$E$430:$E$729,"&lt;"&amp;EDATE(BO$99,1))),0)</f>
        <v>0</v>
      </c>
      <c r="BP125">
        <f>IF(예비비!$R125="OK",SUMIFS(예비비!$O$430:$O$729,예비비!$B$430:$B$729,예비비!$A125,예비비!$E$430:$E$729,"&lt;"&amp;EDATE(BP$99,1),예비비!$F$430:$F$729,"결제대금비")+MAX(0,IF(예비비!$D125&lt;EDATE(BP$99,1),예비비!$E125,0)-SUMIFS(예비비!$O$430:$O$729,예비비!$B$430:$B$729,예비비!$A125,예비비!$E$430:$E$729,"&lt;"&amp;EDATE(BP$99,1))),0)</f>
        <v>0</v>
      </c>
      <c r="BQ125">
        <f>IF(예비비!$R125="OK",SUMIFS(예비비!$O$430:$O$729,예비비!$B$430:$B$729,예비비!$A125,예비비!$E$430:$E$729,"&lt;"&amp;EDATE(BQ$99,1),예비비!$F$430:$F$729,"결제대금비")+MAX(0,IF(예비비!$D125&lt;EDATE(BQ$99,1),예비비!$E125,0)-SUMIFS(예비비!$O$430:$O$729,예비비!$B$430:$B$729,예비비!$A125,예비비!$E$430:$E$729,"&lt;"&amp;EDATE(BQ$99,1))),0)</f>
        <v>0</v>
      </c>
      <c r="BR125">
        <f>IF(예비비!$R125="OK",SUMIFS(예비비!$O$430:$O$729,예비비!$B$430:$B$729,예비비!$A125,예비비!$E$430:$E$729,"&lt;"&amp;EDATE(BR$99,1),예비비!$F$430:$F$729,"결제대금비")+MAX(0,IF(예비비!$D125&lt;EDATE(BR$99,1),예비비!$E125,0)-SUMIFS(예비비!$O$430:$O$729,예비비!$B$430:$B$729,예비비!$A125,예비비!$E$430:$E$729,"&lt;"&amp;EDATE(BR$99,1))),0)</f>
        <v>0</v>
      </c>
      <c r="BS125">
        <f>IF(예비비!$R125="OK",SUMIFS(예비비!$O$430:$O$729,예비비!$B$430:$B$729,예비비!$A125,예비비!$E$430:$E$729,"&lt;"&amp;EDATE(BS$99,1),예비비!$F$430:$F$729,"결제대금비")+MAX(0,IF(예비비!$D125&lt;EDATE(BS$99,1),예비비!$E125,0)-SUMIFS(예비비!$O$430:$O$729,예비비!$B$430:$B$729,예비비!$A125,예비비!$E$430:$E$729,"&lt;"&amp;EDATE(BS$99,1))),0)</f>
        <v>0</v>
      </c>
      <c r="BT125">
        <f>IF(예비비!$R125="OK",SUMIFS(예비비!$O$430:$O$729,예비비!$B$430:$B$729,예비비!$A125,예비비!$E$430:$E$729,"&lt;"&amp;EDATE(BT$99,1),예비비!$F$430:$F$729,"결제대금비")+MAX(0,IF(예비비!$D125&lt;EDATE(BT$99,1),예비비!$E125,0)-SUMIFS(예비비!$O$430:$O$729,예비비!$B$430:$B$729,예비비!$A125,예비비!$E$430:$E$729,"&lt;"&amp;EDATE(BT$99,1))),0)</f>
        <v>0</v>
      </c>
      <c r="BU125">
        <f>IF(예비비!$R125="OK",SUMIFS(예비비!$O$430:$O$729,예비비!$B$430:$B$729,예비비!$A125,예비비!$E$430:$E$729,"&lt;"&amp;EDATE(BU$99,1),예비비!$F$430:$F$729,"결제대금비")+MAX(0,IF(예비비!$D125&lt;EDATE(BU$99,1),예비비!$E125,0)-SUMIFS(예비비!$O$430:$O$729,예비비!$B$430:$B$729,예비비!$A125,예비비!$E$430:$E$729,"&lt;"&amp;EDATE(BU$99,1))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  <c r="BI126">
        <f>IF(예비비!$R126="OK",SUMIFS(예비비!$O$430:$O$729,예비비!$B$430:$B$729,예비비!$A126,예비비!$E$430:$E$729,"&lt;"&amp;EDATE(BI$99,1),예비비!$F$430:$F$729,"결제대금비")+MAX(0,IF(예비비!$D126&lt;EDATE(BI$99,1),예비비!$E126,0)-SUMIFS(예비비!$O$430:$O$729,예비비!$B$430:$B$729,예비비!$A126,예비비!$E$430:$E$729,"&lt;"&amp;EDATE(BI$99,1))),0)</f>
        <v>0</v>
      </c>
      <c r="BJ126">
        <f>IF(예비비!$R126="OK",SUMIFS(예비비!$O$430:$O$729,예비비!$B$430:$B$729,예비비!$A126,예비비!$E$430:$E$729,"&lt;"&amp;EDATE(BJ$99,1),예비비!$F$430:$F$729,"결제대금비")+MAX(0,IF(예비비!$D126&lt;EDATE(BJ$99,1),예비비!$E126,0)-SUMIFS(예비비!$O$430:$O$729,예비비!$B$430:$B$729,예비비!$A126,예비비!$E$430:$E$729,"&lt;"&amp;EDATE(BJ$99,1))),0)</f>
        <v>0</v>
      </c>
      <c r="BK126">
        <f>IF(예비비!$R126="OK",SUMIFS(예비비!$O$430:$O$729,예비비!$B$430:$B$729,예비비!$A126,예비비!$E$430:$E$729,"&lt;"&amp;EDATE(BK$99,1),예비비!$F$430:$F$729,"결제대금비")+MAX(0,IF(예비비!$D126&lt;EDATE(BK$99,1),예비비!$E126,0)-SUMIFS(예비비!$O$430:$O$729,예비비!$B$430:$B$729,예비비!$A126,예비비!$E$430:$E$729,"&lt;"&amp;EDATE(BK$99,1))),0)</f>
        <v>0</v>
      </c>
      <c r="BL126">
        <f>IF(예비비!$R126="OK",SUMIFS(예비비!$O$430:$O$729,예비비!$B$430:$B$729,예비비!$A126,예비비!$E$430:$E$729,"&lt;"&amp;EDATE(BL$99,1),예비비!$F$430:$F$729,"결제대금비")+MAX(0,IF(예비비!$D126&lt;EDATE(BL$99,1),예비비!$E126,0)-SUMIFS(예비비!$O$430:$O$729,예비비!$B$430:$B$729,예비비!$A126,예비비!$E$430:$E$729,"&lt;"&amp;EDATE(BL$99,1))),0)</f>
        <v>0</v>
      </c>
      <c r="BM126">
        <f>IF(예비비!$R126="OK",SUMIFS(예비비!$O$430:$O$729,예비비!$B$430:$B$729,예비비!$A126,예비비!$E$430:$E$729,"&lt;"&amp;EDATE(BM$99,1),예비비!$F$430:$F$729,"결제대금비")+MAX(0,IF(예비비!$D126&lt;EDATE(BM$99,1),예비비!$E126,0)-SUMIFS(예비비!$O$430:$O$729,예비비!$B$430:$B$729,예비비!$A126,예비비!$E$430:$E$729,"&lt;"&amp;EDATE(BM$99,1))),0)</f>
        <v>0</v>
      </c>
      <c r="BN126">
        <f>IF(예비비!$R126="OK",SUMIFS(예비비!$O$430:$O$729,예비비!$B$430:$B$729,예비비!$A126,예비비!$E$430:$E$729,"&lt;"&amp;EDATE(BN$99,1),예비비!$F$430:$F$729,"결제대금비")+MAX(0,IF(예비비!$D126&lt;EDATE(BN$99,1),예비비!$E126,0)-SUMIFS(예비비!$O$430:$O$729,예비비!$B$430:$B$729,예비비!$A126,예비비!$E$430:$E$729,"&lt;"&amp;EDATE(BN$99,1))),0)</f>
        <v>0</v>
      </c>
      <c r="BO126">
        <f>IF(예비비!$R126="OK",SUMIFS(예비비!$O$430:$O$729,예비비!$B$430:$B$729,예비비!$A126,예비비!$E$430:$E$729,"&lt;"&amp;EDATE(BO$99,1),예비비!$F$430:$F$729,"결제대금비")+MAX(0,IF(예비비!$D126&lt;EDATE(BO$99,1),예비비!$E126,0)-SUMIFS(예비비!$O$430:$O$729,예비비!$B$430:$B$729,예비비!$A126,예비비!$E$430:$E$729,"&lt;"&amp;EDATE(BO$99,1))),0)</f>
        <v>0</v>
      </c>
      <c r="BP126">
        <f>IF(예비비!$R126="OK",SUMIFS(예비비!$O$430:$O$729,예비비!$B$430:$B$729,예비비!$A126,예비비!$E$430:$E$729,"&lt;"&amp;EDATE(BP$99,1),예비비!$F$430:$F$729,"결제대금비")+MAX(0,IF(예비비!$D126&lt;EDATE(BP$99,1),예비비!$E126,0)-SUMIFS(예비비!$O$430:$O$729,예비비!$B$430:$B$729,예비비!$A126,예비비!$E$430:$E$729,"&lt;"&amp;EDATE(BP$99,1))),0)</f>
        <v>0</v>
      </c>
      <c r="BQ126">
        <f>IF(예비비!$R126="OK",SUMIFS(예비비!$O$430:$O$729,예비비!$B$430:$B$729,예비비!$A126,예비비!$E$430:$E$729,"&lt;"&amp;EDATE(BQ$99,1),예비비!$F$430:$F$729,"결제대금비")+MAX(0,IF(예비비!$D126&lt;EDATE(BQ$99,1),예비비!$E126,0)-SUMIFS(예비비!$O$430:$O$729,예비비!$B$430:$B$729,예비비!$A126,예비비!$E$430:$E$729,"&lt;"&amp;EDATE(BQ$99,1))),0)</f>
        <v>0</v>
      </c>
      <c r="BR126">
        <f>IF(예비비!$R126="OK",SUMIFS(예비비!$O$430:$O$729,예비비!$B$430:$B$729,예비비!$A126,예비비!$E$430:$E$729,"&lt;"&amp;EDATE(BR$99,1),예비비!$F$430:$F$729,"결제대금비")+MAX(0,IF(예비비!$D126&lt;EDATE(BR$99,1),예비비!$E126,0)-SUMIFS(예비비!$O$430:$O$729,예비비!$B$430:$B$729,예비비!$A126,예비비!$E$430:$E$729,"&lt;"&amp;EDATE(BR$99,1))),0)</f>
        <v>0</v>
      </c>
      <c r="BS126">
        <f>IF(예비비!$R126="OK",SUMIFS(예비비!$O$430:$O$729,예비비!$B$430:$B$729,예비비!$A126,예비비!$E$430:$E$729,"&lt;"&amp;EDATE(BS$99,1),예비비!$F$430:$F$729,"결제대금비")+MAX(0,IF(예비비!$D126&lt;EDATE(BS$99,1),예비비!$E126,0)-SUMIFS(예비비!$O$430:$O$729,예비비!$B$430:$B$729,예비비!$A126,예비비!$E$430:$E$729,"&lt;"&amp;EDATE(BS$99,1))),0)</f>
        <v>0</v>
      </c>
      <c r="BT126">
        <f>IF(예비비!$R126="OK",SUMIFS(예비비!$O$430:$O$729,예비비!$B$430:$B$729,예비비!$A126,예비비!$E$430:$E$729,"&lt;"&amp;EDATE(BT$99,1),예비비!$F$430:$F$729,"결제대금비")+MAX(0,IF(예비비!$D126&lt;EDATE(BT$99,1),예비비!$E126,0)-SUMIFS(예비비!$O$430:$O$729,예비비!$B$430:$B$729,예비비!$A126,예비비!$E$430:$E$729,"&lt;"&amp;EDATE(BT$99,1))),0)</f>
        <v>0</v>
      </c>
      <c r="BU126">
        <f>IF(예비비!$R126="OK",SUMIFS(예비비!$O$430:$O$729,예비비!$B$430:$B$729,예비비!$A126,예비비!$E$430:$E$729,"&lt;"&amp;EDATE(BU$99,1),예비비!$F$430:$F$729,"결제대금비")+MAX(0,IF(예비비!$D126&lt;EDATE(BU$99,1),예비비!$E126,0)-SUMIFS(예비비!$O$430:$O$729,예비비!$B$430:$B$729,예비비!$A126,예비비!$E$430:$E$729,"&lt;"&amp;EDATE(BU$99,1))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  <c r="BI127">
        <f>IF(예비비!$R127="OK",SUMIFS(예비비!$O$430:$O$729,예비비!$B$430:$B$729,예비비!$A127,예비비!$E$430:$E$729,"&lt;"&amp;EDATE(BI$99,1),예비비!$F$430:$F$729,"결제대금비")+MAX(0,IF(예비비!$D127&lt;EDATE(BI$99,1),예비비!$E127,0)-SUMIFS(예비비!$O$430:$O$729,예비비!$B$430:$B$729,예비비!$A127,예비비!$E$430:$E$729,"&lt;"&amp;EDATE(BI$99,1))),0)</f>
        <v>0</v>
      </c>
      <c r="BJ127">
        <f>IF(예비비!$R127="OK",SUMIFS(예비비!$O$430:$O$729,예비비!$B$430:$B$729,예비비!$A127,예비비!$E$430:$E$729,"&lt;"&amp;EDATE(BJ$99,1),예비비!$F$430:$F$729,"결제대금비")+MAX(0,IF(예비비!$D127&lt;EDATE(BJ$99,1),예비비!$E127,0)-SUMIFS(예비비!$O$430:$O$729,예비비!$B$430:$B$729,예비비!$A127,예비비!$E$430:$E$729,"&lt;"&amp;EDATE(BJ$99,1))),0)</f>
        <v>0</v>
      </c>
      <c r="BK127">
        <f>IF(예비비!$R127="OK",SUMIFS(예비비!$O$430:$O$729,예비비!$B$430:$B$729,예비비!$A127,예비비!$E$430:$E$729,"&lt;"&amp;EDATE(BK$99,1),예비비!$F$430:$F$729,"결제대금비")+MAX(0,IF(예비비!$D127&lt;EDATE(BK$99,1),예비비!$E127,0)-SUMIFS(예비비!$O$430:$O$729,예비비!$B$430:$B$729,예비비!$A127,예비비!$E$430:$E$729,"&lt;"&amp;EDATE(BK$99,1))),0)</f>
        <v>0</v>
      </c>
      <c r="BL127">
        <f>IF(예비비!$R127="OK",SUMIFS(예비비!$O$430:$O$729,예비비!$B$430:$B$729,예비비!$A127,예비비!$E$430:$E$729,"&lt;"&amp;EDATE(BL$99,1),예비비!$F$430:$F$729,"결제대금비")+MAX(0,IF(예비비!$D127&lt;EDATE(BL$99,1),예비비!$E127,0)-SUMIFS(예비비!$O$430:$O$729,예비비!$B$430:$B$729,예비비!$A127,예비비!$E$430:$E$729,"&lt;"&amp;EDATE(BL$99,1))),0)</f>
        <v>0</v>
      </c>
      <c r="BM127">
        <f>IF(예비비!$R127="OK",SUMIFS(예비비!$O$430:$O$729,예비비!$B$430:$B$729,예비비!$A127,예비비!$E$430:$E$729,"&lt;"&amp;EDATE(BM$99,1),예비비!$F$430:$F$729,"결제대금비")+MAX(0,IF(예비비!$D127&lt;EDATE(BM$99,1),예비비!$E127,0)-SUMIFS(예비비!$O$430:$O$729,예비비!$B$430:$B$729,예비비!$A127,예비비!$E$430:$E$729,"&lt;"&amp;EDATE(BM$99,1))),0)</f>
        <v>0</v>
      </c>
      <c r="BN127">
        <f>IF(예비비!$R127="OK",SUMIFS(예비비!$O$430:$O$729,예비비!$B$430:$B$729,예비비!$A127,예비비!$E$430:$E$729,"&lt;"&amp;EDATE(BN$99,1),예비비!$F$430:$F$729,"결제대금비")+MAX(0,IF(예비비!$D127&lt;EDATE(BN$99,1),예비비!$E127,0)-SUMIFS(예비비!$O$430:$O$729,예비비!$B$430:$B$729,예비비!$A127,예비비!$E$430:$E$729,"&lt;"&amp;EDATE(BN$99,1))),0)</f>
        <v>0</v>
      </c>
      <c r="BO127">
        <f>IF(예비비!$R127="OK",SUMIFS(예비비!$O$430:$O$729,예비비!$B$430:$B$729,예비비!$A127,예비비!$E$430:$E$729,"&lt;"&amp;EDATE(BO$99,1),예비비!$F$430:$F$729,"결제대금비")+MAX(0,IF(예비비!$D127&lt;EDATE(BO$99,1),예비비!$E127,0)-SUMIFS(예비비!$O$430:$O$729,예비비!$B$430:$B$729,예비비!$A127,예비비!$E$430:$E$729,"&lt;"&amp;EDATE(BO$99,1))),0)</f>
        <v>0</v>
      </c>
      <c r="BP127">
        <f>IF(예비비!$R127="OK",SUMIFS(예비비!$O$430:$O$729,예비비!$B$430:$B$729,예비비!$A127,예비비!$E$430:$E$729,"&lt;"&amp;EDATE(BP$99,1),예비비!$F$430:$F$729,"결제대금비")+MAX(0,IF(예비비!$D127&lt;EDATE(BP$99,1),예비비!$E127,0)-SUMIFS(예비비!$O$430:$O$729,예비비!$B$430:$B$729,예비비!$A127,예비비!$E$430:$E$729,"&lt;"&amp;EDATE(BP$99,1))),0)</f>
        <v>0</v>
      </c>
      <c r="BQ127">
        <f>IF(예비비!$R127="OK",SUMIFS(예비비!$O$430:$O$729,예비비!$B$430:$B$729,예비비!$A127,예비비!$E$430:$E$729,"&lt;"&amp;EDATE(BQ$99,1),예비비!$F$430:$F$729,"결제대금비")+MAX(0,IF(예비비!$D127&lt;EDATE(BQ$99,1),예비비!$E127,0)-SUMIFS(예비비!$O$430:$O$729,예비비!$B$430:$B$729,예비비!$A127,예비비!$E$430:$E$729,"&lt;"&amp;EDATE(BQ$99,1))),0)</f>
        <v>0</v>
      </c>
      <c r="BR127">
        <f>IF(예비비!$R127="OK",SUMIFS(예비비!$O$430:$O$729,예비비!$B$430:$B$729,예비비!$A127,예비비!$E$430:$E$729,"&lt;"&amp;EDATE(BR$99,1),예비비!$F$430:$F$729,"결제대금비")+MAX(0,IF(예비비!$D127&lt;EDATE(BR$99,1),예비비!$E127,0)-SUMIFS(예비비!$O$430:$O$729,예비비!$B$430:$B$729,예비비!$A127,예비비!$E$430:$E$729,"&lt;"&amp;EDATE(BR$99,1))),0)</f>
        <v>0</v>
      </c>
      <c r="BS127">
        <f>IF(예비비!$R127="OK",SUMIFS(예비비!$O$430:$O$729,예비비!$B$430:$B$729,예비비!$A127,예비비!$E$430:$E$729,"&lt;"&amp;EDATE(BS$99,1),예비비!$F$430:$F$729,"결제대금비")+MAX(0,IF(예비비!$D127&lt;EDATE(BS$99,1),예비비!$E127,0)-SUMIFS(예비비!$O$430:$O$729,예비비!$B$430:$B$729,예비비!$A127,예비비!$E$430:$E$729,"&lt;"&amp;EDATE(BS$99,1))),0)</f>
        <v>0</v>
      </c>
      <c r="BT127">
        <f>IF(예비비!$R127="OK",SUMIFS(예비비!$O$430:$O$729,예비비!$B$430:$B$729,예비비!$A127,예비비!$E$430:$E$729,"&lt;"&amp;EDATE(BT$99,1),예비비!$F$430:$F$729,"결제대금비")+MAX(0,IF(예비비!$D127&lt;EDATE(BT$99,1),예비비!$E127,0)-SUMIFS(예비비!$O$430:$O$729,예비비!$B$430:$B$729,예비비!$A127,예비비!$E$430:$E$729,"&lt;"&amp;EDATE(BT$99,1))),0)</f>
        <v>0</v>
      </c>
      <c r="BU127">
        <f>IF(예비비!$R127="OK",SUMIFS(예비비!$O$430:$O$729,예비비!$B$430:$B$729,예비비!$A127,예비비!$E$430:$E$729,"&lt;"&amp;EDATE(BU$99,1),예비비!$F$430:$F$729,"결제대금비")+MAX(0,IF(예비비!$D127&lt;EDATE(BU$99,1),예비비!$E127,0)-SUMIFS(예비비!$O$430:$O$729,예비비!$B$430:$B$729,예비비!$A127,예비비!$E$430:$E$729,"&lt;"&amp;EDATE(BU$99,1))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  <c r="BI128">
        <f>IF(예비비!$R128="OK",SUMIFS(예비비!$O$430:$O$729,예비비!$B$430:$B$729,예비비!$A128,예비비!$E$430:$E$729,"&lt;"&amp;EDATE(BI$99,1),예비비!$F$430:$F$729,"결제대금비")+MAX(0,IF(예비비!$D128&lt;EDATE(BI$99,1),예비비!$E128,0)-SUMIFS(예비비!$O$430:$O$729,예비비!$B$430:$B$729,예비비!$A128,예비비!$E$430:$E$729,"&lt;"&amp;EDATE(BI$99,1))),0)</f>
        <v>0</v>
      </c>
      <c r="BJ128">
        <f>IF(예비비!$R128="OK",SUMIFS(예비비!$O$430:$O$729,예비비!$B$430:$B$729,예비비!$A128,예비비!$E$430:$E$729,"&lt;"&amp;EDATE(BJ$99,1),예비비!$F$430:$F$729,"결제대금비")+MAX(0,IF(예비비!$D128&lt;EDATE(BJ$99,1),예비비!$E128,0)-SUMIFS(예비비!$O$430:$O$729,예비비!$B$430:$B$729,예비비!$A128,예비비!$E$430:$E$729,"&lt;"&amp;EDATE(BJ$99,1))),0)</f>
        <v>0</v>
      </c>
      <c r="BK128">
        <f>IF(예비비!$R128="OK",SUMIFS(예비비!$O$430:$O$729,예비비!$B$430:$B$729,예비비!$A128,예비비!$E$430:$E$729,"&lt;"&amp;EDATE(BK$99,1),예비비!$F$430:$F$729,"결제대금비")+MAX(0,IF(예비비!$D128&lt;EDATE(BK$99,1),예비비!$E128,0)-SUMIFS(예비비!$O$430:$O$729,예비비!$B$430:$B$729,예비비!$A128,예비비!$E$430:$E$729,"&lt;"&amp;EDATE(BK$99,1))),0)</f>
        <v>0</v>
      </c>
      <c r="BL128">
        <f>IF(예비비!$R128="OK",SUMIFS(예비비!$O$430:$O$729,예비비!$B$430:$B$729,예비비!$A128,예비비!$E$430:$E$729,"&lt;"&amp;EDATE(BL$99,1),예비비!$F$430:$F$729,"결제대금비")+MAX(0,IF(예비비!$D128&lt;EDATE(BL$99,1),예비비!$E128,0)-SUMIFS(예비비!$O$430:$O$729,예비비!$B$430:$B$729,예비비!$A128,예비비!$E$430:$E$729,"&lt;"&amp;EDATE(BL$99,1))),0)</f>
        <v>0</v>
      </c>
      <c r="BM128">
        <f>IF(예비비!$R128="OK",SUMIFS(예비비!$O$430:$O$729,예비비!$B$430:$B$729,예비비!$A128,예비비!$E$430:$E$729,"&lt;"&amp;EDATE(BM$99,1),예비비!$F$430:$F$729,"결제대금비")+MAX(0,IF(예비비!$D128&lt;EDATE(BM$99,1),예비비!$E128,0)-SUMIFS(예비비!$O$430:$O$729,예비비!$B$430:$B$729,예비비!$A128,예비비!$E$430:$E$729,"&lt;"&amp;EDATE(BM$99,1))),0)</f>
        <v>0</v>
      </c>
      <c r="BN128">
        <f>IF(예비비!$R128="OK",SUMIFS(예비비!$O$430:$O$729,예비비!$B$430:$B$729,예비비!$A128,예비비!$E$430:$E$729,"&lt;"&amp;EDATE(BN$99,1),예비비!$F$430:$F$729,"결제대금비")+MAX(0,IF(예비비!$D128&lt;EDATE(BN$99,1),예비비!$E128,0)-SUMIFS(예비비!$O$430:$O$729,예비비!$B$430:$B$729,예비비!$A128,예비비!$E$430:$E$729,"&lt;"&amp;EDATE(BN$99,1))),0)</f>
        <v>0</v>
      </c>
      <c r="BO128">
        <f>IF(예비비!$R128="OK",SUMIFS(예비비!$O$430:$O$729,예비비!$B$430:$B$729,예비비!$A128,예비비!$E$430:$E$729,"&lt;"&amp;EDATE(BO$99,1),예비비!$F$430:$F$729,"결제대금비")+MAX(0,IF(예비비!$D128&lt;EDATE(BO$99,1),예비비!$E128,0)-SUMIFS(예비비!$O$430:$O$729,예비비!$B$430:$B$729,예비비!$A128,예비비!$E$430:$E$729,"&lt;"&amp;EDATE(BO$99,1))),0)</f>
        <v>0</v>
      </c>
      <c r="BP128">
        <f>IF(예비비!$R128="OK",SUMIFS(예비비!$O$430:$O$729,예비비!$B$430:$B$729,예비비!$A128,예비비!$E$430:$E$729,"&lt;"&amp;EDATE(BP$99,1),예비비!$F$430:$F$729,"결제대금비")+MAX(0,IF(예비비!$D128&lt;EDATE(BP$99,1),예비비!$E128,0)-SUMIFS(예비비!$O$430:$O$729,예비비!$B$430:$B$729,예비비!$A128,예비비!$E$430:$E$729,"&lt;"&amp;EDATE(BP$99,1))),0)</f>
        <v>0</v>
      </c>
      <c r="BQ128">
        <f>IF(예비비!$R128="OK",SUMIFS(예비비!$O$430:$O$729,예비비!$B$430:$B$729,예비비!$A128,예비비!$E$430:$E$729,"&lt;"&amp;EDATE(BQ$99,1),예비비!$F$430:$F$729,"결제대금비")+MAX(0,IF(예비비!$D128&lt;EDATE(BQ$99,1),예비비!$E128,0)-SUMIFS(예비비!$O$430:$O$729,예비비!$B$430:$B$729,예비비!$A128,예비비!$E$430:$E$729,"&lt;"&amp;EDATE(BQ$99,1))),0)</f>
        <v>0</v>
      </c>
      <c r="BR128">
        <f>IF(예비비!$R128="OK",SUMIFS(예비비!$O$430:$O$729,예비비!$B$430:$B$729,예비비!$A128,예비비!$E$430:$E$729,"&lt;"&amp;EDATE(BR$99,1),예비비!$F$430:$F$729,"결제대금비")+MAX(0,IF(예비비!$D128&lt;EDATE(BR$99,1),예비비!$E128,0)-SUMIFS(예비비!$O$430:$O$729,예비비!$B$430:$B$729,예비비!$A128,예비비!$E$430:$E$729,"&lt;"&amp;EDATE(BR$99,1))),0)</f>
        <v>0</v>
      </c>
      <c r="BS128">
        <f>IF(예비비!$R128="OK",SUMIFS(예비비!$O$430:$O$729,예비비!$B$430:$B$729,예비비!$A128,예비비!$E$430:$E$729,"&lt;"&amp;EDATE(BS$99,1),예비비!$F$430:$F$729,"결제대금비")+MAX(0,IF(예비비!$D128&lt;EDATE(BS$99,1),예비비!$E128,0)-SUMIFS(예비비!$O$430:$O$729,예비비!$B$430:$B$729,예비비!$A128,예비비!$E$430:$E$729,"&lt;"&amp;EDATE(BS$99,1))),0)</f>
        <v>0</v>
      </c>
      <c r="BT128">
        <f>IF(예비비!$R128="OK",SUMIFS(예비비!$O$430:$O$729,예비비!$B$430:$B$729,예비비!$A128,예비비!$E$430:$E$729,"&lt;"&amp;EDATE(BT$99,1),예비비!$F$430:$F$729,"결제대금비")+MAX(0,IF(예비비!$D128&lt;EDATE(BT$99,1),예비비!$E128,0)-SUMIFS(예비비!$O$430:$O$729,예비비!$B$430:$B$729,예비비!$A128,예비비!$E$430:$E$729,"&lt;"&amp;EDATE(BT$99,1))),0)</f>
        <v>0</v>
      </c>
      <c r="BU128">
        <f>IF(예비비!$R128="OK",SUMIFS(예비비!$O$430:$O$729,예비비!$B$430:$B$729,예비비!$A128,예비비!$E$430:$E$729,"&lt;"&amp;EDATE(BU$99,1),예비비!$F$430:$F$729,"결제대금비")+MAX(0,IF(예비비!$D128&lt;EDATE(BU$99,1),예비비!$E128,0)-SUMIFS(예비비!$O$430:$O$729,예비비!$B$430:$B$729,예비비!$A128,예비비!$E$430:$E$729,"&lt;"&amp;EDATE(BU$99,1))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  <c r="BI129">
        <f>IF(예비비!$R129="OK",SUMIFS(예비비!$O$430:$O$729,예비비!$B$430:$B$729,예비비!$A129,예비비!$E$430:$E$729,"&lt;"&amp;EDATE(BI$99,1),예비비!$F$430:$F$729,"결제대금비")+MAX(0,IF(예비비!$D129&lt;EDATE(BI$99,1),예비비!$E129,0)-SUMIFS(예비비!$O$430:$O$729,예비비!$B$430:$B$729,예비비!$A129,예비비!$E$430:$E$729,"&lt;"&amp;EDATE(BI$99,1))),0)</f>
        <v>0</v>
      </c>
      <c r="BJ129">
        <f>IF(예비비!$R129="OK",SUMIFS(예비비!$O$430:$O$729,예비비!$B$430:$B$729,예비비!$A129,예비비!$E$430:$E$729,"&lt;"&amp;EDATE(BJ$99,1),예비비!$F$430:$F$729,"결제대금비")+MAX(0,IF(예비비!$D129&lt;EDATE(BJ$99,1),예비비!$E129,0)-SUMIFS(예비비!$O$430:$O$729,예비비!$B$430:$B$729,예비비!$A129,예비비!$E$430:$E$729,"&lt;"&amp;EDATE(BJ$99,1))),0)</f>
        <v>0</v>
      </c>
      <c r="BK129">
        <f>IF(예비비!$R129="OK",SUMIFS(예비비!$O$430:$O$729,예비비!$B$430:$B$729,예비비!$A129,예비비!$E$430:$E$729,"&lt;"&amp;EDATE(BK$99,1),예비비!$F$430:$F$729,"결제대금비")+MAX(0,IF(예비비!$D129&lt;EDATE(BK$99,1),예비비!$E129,0)-SUMIFS(예비비!$O$430:$O$729,예비비!$B$430:$B$729,예비비!$A129,예비비!$E$430:$E$729,"&lt;"&amp;EDATE(BK$99,1))),0)</f>
        <v>0</v>
      </c>
      <c r="BL129">
        <f>IF(예비비!$R129="OK",SUMIFS(예비비!$O$430:$O$729,예비비!$B$430:$B$729,예비비!$A129,예비비!$E$430:$E$729,"&lt;"&amp;EDATE(BL$99,1),예비비!$F$430:$F$729,"결제대금비")+MAX(0,IF(예비비!$D129&lt;EDATE(BL$99,1),예비비!$E129,0)-SUMIFS(예비비!$O$430:$O$729,예비비!$B$430:$B$729,예비비!$A129,예비비!$E$430:$E$729,"&lt;"&amp;EDATE(BL$99,1))),0)</f>
        <v>0</v>
      </c>
      <c r="BM129">
        <f>IF(예비비!$R129="OK",SUMIFS(예비비!$O$430:$O$729,예비비!$B$430:$B$729,예비비!$A129,예비비!$E$430:$E$729,"&lt;"&amp;EDATE(BM$99,1),예비비!$F$430:$F$729,"결제대금비")+MAX(0,IF(예비비!$D129&lt;EDATE(BM$99,1),예비비!$E129,0)-SUMIFS(예비비!$O$430:$O$729,예비비!$B$430:$B$729,예비비!$A129,예비비!$E$430:$E$729,"&lt;"&amp;EDATE(BM$99,1))),0)</f>
        <v>0</v>
      </c>
      <c r="BN129">
        <f>IF(예비비!$R129="OK",SUMIFS(예비비!$O$430:$O$729,예비비!$B$430:$B$729,예비비!$A129,예비비!$E$430:$E$729,"&lt;"&amp;EDATE(BN$99,1),예비비!$F$430:$F$729,"결제대금비")+MAX(0,IF(예비비!$D129&lt;EDATE(BN$99,1),예비비!$E129,0)-SUMIFS(예비비!$O$430:$O$729,예비비!$B$430:$B$729,예비비!$A129,예비비!$E$430:$E$729,"&lt;"&amp;EDATE(BN$99,1))),0)</f>
        <v>0</v>
      </c>
      <c r="BO129">
        <f>IF(예비비!$R129="OK",SUMIFS(예비비!$O$430:$O$729,예비비!$B$430:$B$729,예비비!$A129,예비비!$E$430:$E$729,"&lt;"&amp;EDATE(BO$99,1),예비비!$F$430:$F$729,"결제대금비")+MAX(0,IF(예비비!$D129&lt;EDATE(BO$99,1),예비비!$E129,0)-SUMIFS(예비비!$O$430:$O$729,예비비!$B$430:$B$729,예비비!$A129,예비비!$E$430:$E$729,"&lt;"&amp;EDATE(BO$99,1))),0)</f>
        <v>0</v>
      </c>
      <c r="BP129">
        <f>IF(예비비!$R129="OK",SUMIFS(예비비!$O$430:$O$729,예비비!$B$430:$B$729,예비비!$A129,예비비!$E$430:$E$729,"&lt;"&amp;EDATE(BP$99,1),예비비!$F$430:$F$729,"결제대금비")+MAX(0,IF(예비비!$D129&lt;EDATE(BP$99,1),예비비!$E129,0)-SUMIFS(예비비!$O$430:$O$729,예비비!$B$430:$B$729,예비비!$A129,예비비!$E$430:$E$729,"&lt;"&amp;EDATE(BP$99,1))),0)</f>
        <v>0</v>
      </c>
      <c r="BQ129">
        <f>IF(예비비!$R129="OK",SUMIFS(예비비!$O$430:$O$729,예비비!$B$430:$B$729,예비비!$A129,예비비!$E$430:$E$729,"&lt;"&amp;EDATE(BQ$99,1),예비비!$F$430:$F$729,"결제대금비")+MAX(0,IF(예비비!$D129&lt;EDATE(BQ$99,1),예비비!$E129,0)-SUMIFS(예비비!$O$430:$O$729,예비비!$B$430:$B$729,예비비!$A129,예비비!$E$430:$E$729,"&lt;"&amp;EDATE(BQ$99,1))),0)</f>
        <v>0</v>
      </c>
      <c r="BR129">
        <f>IF(예비비!$R129="OK",SUMIFS(예비비!$O$430:$O$729,예비비!$B$430:$B$729,예비비!$A129,예비비!$E$430:$E$729,"&lt;"&amp;EDATE(BR$99,1),예비비!$F$430:$F$729,"결제대금비")+MAX(0,IF(예비비!$D129&lt;EDATE(BR$99,1),예비비!$E129,0)-SUMIFS(예비비!$O$430:$O$729,예비비!$B$430:$B$729,예비비!$A129,예비비!$E$430:$E$729,"&lt;"&amp;EDATE(BR$99,1))),0)</f>
        <v>0</v>
      </c>
      <c r="BS129">
        <f>IF(예비비!$R129="OK",SUMIFS(예비비!$O$430:$O$729,예비비!$B$430:$B$729,예비비!$A129,예비비!$E$430:$E$729,"&lt;"&amp;EDATE(BS$99,1),예비비!$F$430:$F$729,"결제대금비")+MAX(0,IF(예비비!$D129&lt;EDATE(BS$99,1),예비비!$E129,0)-SUMIFS(예비비!$O$430:$O$729,예비비!$B$430:$B$729,예비비!$A129,예비비!$E$430:$E$729,"&lt;"&amp;EDATE(BS$99,1))),0)</f>
        <v>0</v>
      </c>
      <c r="BT129">
        <f>IF(예비비!$R129="OK",SUMIFS(예비비!$O$430:$O$729,예비비!$B$430:$B$729,예비비!$A129,예비비!$E$430:$E$729,"&lt;"&amp;EDATE(BT$99,1),예비비!$F$430:$F$729,"결제대금비")+MAX(0,IF(예비비!$D129&lt;EDATE(BT$99,1),예비비!$E129,0)-SUMIFS(예비비!$O$430:$O$729,예비비!$B$430:$B$729,예비비!$A129,예비비!$E$430:$E$729,"&lt;"&amp;EDATE(BT$99,1))),0)</f>
        <v>0</v>
      </c>
      <c r="BU129">
        <f>IF(예비비!$R129="OK",SUMIFS(예비비!$O$430:$O$729,예비비!$B$430:$B$729,예비비!$A129,예비비!$E$430:$E$729,"&lt;"&amp;EDATE(BU$99,1),예비비!$F$430:$F$729,"결제대금비")+MAX(0,IF(예비비!$D129&lt;EDATE(BU$99,1),예비비!$E129,0)-SUMIFS(예비비!$O$430:$O$729,예비비!$B$430:$B$729,예비비!$A129,예비비!$E$430:$E$729,"&lt;"&amp;EDATE(BU$99,1))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  <c r="BI130">
        <f>IF(예비비!$R130="OK",SUMIFS(예비비!$O$430:$O$729,예비비!$B$430:$B$729,예비비!$A130,예비비!$E$430:$E$729,"&lt;"&amp;EDATE(BI$99,1),예비비!$F$430:$F$729,"결제대금비")+MAX(0,IF(예비비!$D130&lt;EDATE(BI$99,1),예비비!$E130,0)-SUMIFS(예비비!$O$430:$O$729,예비비!$B$430:$B$729,예비비!$A130,예비비!$E$430:$E$729,"&lt;"&amp;EDATE(BI$99,1))),0)</f>
        <v>0</v>
      </c>
      <c r="BJ130">
        <f>IF(예비비!$R130="OK",SUMIFS(예비비!$O$430:$O$729,예비비!$B$430:$B$729,예비비!$A130,예비비!$E$430:$E$729,"&lt;"&amp;EDATE(BJ$99,1),예비비!$F$430:$F$729,"결제대금비")+MAX(0,IF(예비비!$D130&lt;EDATE(BJ$99,1),예비비!$E130,0)-SUMIFS(예비비!$O$430:$O$729,예비비!$B$430:$B$729,예비비!$A130,예비비!$E$430:$E$729,"&lt;"&amp;EDATE(BJ$99,1))),0)</f>
        <v>0</v>
      </c>
      <c r="BK130">
        <f>IF(예비비!$R130="OK",SUMIFS(예비비!$O$430:$O$729,예비비!$B$430:$B$729,예비비!$A130,예비비!$E$430:$E$729,"&lt;"&amp;EDATE(BK$99,1),예비비!$F$430:$F$729,"결제대금비")+MAX(0,IF(예비비!$D130&lt;EDATE(BK$99,1),예비비!$E130,0)-SUMIFS(예비비!$O$430:$O$729,예비비!$B$430:$B$729,예비비!$A130,예비비!$E$430:$E$729,"&lt;"&amp;EDATE(BK$99,1))),0)</f>
        <v>0</v>
      </c>
      <c r="BL130">
        <f>IF(예비비!$R130="OK",SUMIFS(예비비!$O$430:$O$729,예비비!$B$430:$B$729,예비비!$A130,예비비!$E$430:$E$729,"&lt;"&amp;EDATE(BL$99,1),예비비!$F$430:$F$729,"결제대금비")+MAX(0,IF(예비비!$D130&lt;EDATE(BL$99,1),예비비!$E130,0)-SUMIFS(예비비!$O$430:$O$729,예비비!$B$430:$B$729,예비비!$A130,예비비!$E$430:$E$729,"&lt;"&amp;EDATE(BL$99,1))),0)</f>
        <v>0</v>
      </c>
      <c r="BM130">
        <f>IF(예비비!$R130="OK",SUMIFS(예비비!$O$430:$O$729,예비비!$B$430:$B$729,예비비!$A130,예비비!$E$430:$E$729,"&lt;"&amp;EDATE(BM$99,1),예비비!$F$430:$F$729,"결제대금비")+MAX(0,IF(예비비!$D130&lt;EDATE(BM$99,1),예비비!$E130,0)-SUMIFS(예비비!$O$430:$O$729,예비비!$B$430:$B$729,예비비!$A130,예비비!$E$430:$E$729,"&lt;"&amp;EDATE(BM$99,1))),0)</f>
        <v>0</v>
      </c>
      <c r="BN130">
        <f>IF(예비비!$R130="OK",SUMIFS(예비비!$O$430:$O$729,예비비!$B$430:$B$729,예비비!$A130,예비비!$E$430:$E$729,"&lt;"&amp;EDATE(BN$99,1),예비비!$F$430:$F$729,"결제대금비")+MAX(0,IF(예비비!$D130&lt;EDATE(BN$99,1),예비비!$E130,0)-SUMIFS(예비비!$O$430:$O$729,예비비!$B$430:$B$729,예비비!$A130,예비비!$E$430:$E$729,"&lt;"&amp;EDATE(BN$99,1))),0)</f>
        <v>0</v>
      </c>
      <c r="BO130">
        <f>IF(예비비!$R130="OK",SUMIFS(예비비!$O$430:$O$729,예비비!$B$430:$B$729,예비비!$A130,예비비!$E$430:$E$729,"&lt;"&amp;EDATE(BO$99,1),예비비!$F$430:$F$729,"결제대금비")+MAX(0,IF(예비비!$D130&lt;EDATE(BO$99,1),예비비!$E130,0)-SUMIFS(예비비!$O$430:$O$729,예비비!$B$430:$B$729,예비비!$A130,예비비!$E$430:$E$729,"&lt;"&amp;EDATE(BO$99,1))),0)</f>
        <v>0</v>
      </c>
      <c r="BP130">
        <f>IF(예비비!$R130="OK",SUMIFS(예비비!$O$430:$O$729,예비비!$B$430:$B$729,예비비!$A130,예비비!$E$430:$E$729,"&lt;"&amp;EDATE(BP$99,1),예비비!$F$430:$F$729,"결제대금비")+MAX(0,IF(예비비!$D130&lt;EDATE(BP$99,1),예비비!$E130,0)-SUMIFS(예비비!$O$430:$O$729,예비비!$B$430:$B$729,예비비!$A130,예비비!$E$430:$E$729,"&lt;"&amp;EDATE(BP$99,1))),0)</f>
        <v>0</v>
      </c>
      <c r="BQ130">
        <f>IF(예비비!$R130="OK",SUMIFS(예비비!$O$430:$O$729,예비비!$B$430:$B$729,예비비!$A130,예비비!$E$430:$E$729,"&lt;"&amp;EDATE(BQ$99,1),예비비!$F$430:$F$729,"결제대금비")+MAX(0,IF(예비비!$D130&lt;EDATE(BQ$99,1),예비비!$E130,0)-SUMIFS(예비비!$O$430:$O$729,예비비!$B$430:$B$729,예비비!$A130,예비비!$E$430:$E$729,"&lt;"&amp;EDATE(BQ$99,1))),0)</f>
        <v>0</v>
      </c>
      <c r="BR130">
        <f>IF(예비비!$R130="OK",SUMIFS(예비비!$O$430:$O$729,예비비!$B$430:$B$729,예비비!$A130,예비비!$E$430:$E$729,"&lt;"&amp;EDATE(BR$99,1),예비비!$F$430:$F$729,"결제대금비")+MAX(0,IF(예비비!$D130&lt;EDATE(BR$99,1),예비비!$E130,0)-SUMIFS(예비비!$O$430:$O$729,예비비!$B$430:$B$729,예비비!$A130,예비비!$E$430:$E$729,"&lt;"&amp;EDATE(BR$99,1))),0)</f>
        <v>0</v>
      </c>
      <c r="BS130">
        <f>IF(예비비!$R130="OK",SUMIFS(예비비!$O$430:$O$729,예비비!$B$430:$B$729,예비비!$A130,예비비!$E$430:$E$729,"&lt;"&amp;EDATE(BS$99,1),예비비!$F$430:$F$729,"결제대금비")+MAX(0,IF(예비비!$D130&lt;EDATE(BS$99,1),예비비!$E130,0)-SUMIFS(예비비!$O$430:$O$729,예비비!$B$430:$B$729,예비비!$A130,예비비!$E$430:$E$729,"&lt;"&amp;EDATE(BS$99,1))),0)</f>
        <v>0</v>
      </c>
      <c r="BT130">
        <f>IF(예비비!$R130="OK",SUMIFS(예비비!$O$430:$O$729,예비비!$B$430:$B$729,예비비!$A130,예비비!$E$430:$E$729,"&lt;"&amp;EDATE(BT$99,1),예비비!$F$430:$F$729,"결제대금비")+MAX(0,IF(예비비!$D130&lt;EDATE(BT$99,1),예비비!$E130,0)-SUMIFS(예비비!$O$430:$O$729,예비비!$B$430:$B$729,예비비!$A130,예비비!$E$430:$E$729,"&lt;"&amp;EDATE(BT$99,1))),0)</f>
        <v>0</v>
      </c>
      <c r="BU130">
        <f>IF(예비비!$R130="OK",SUMIFS(예비비!$O$430:$O$729,예비비!$B$430:$B$729,예비비!$A130,예비비!$E$430:$E$729,"&lt;"&amp;EDATE(BU$99,1),예비비!$F$430:$F$729,"결제대금비")+MAX(0,IF(예비비!$D130&lt;EDATE(BU$99,1),예비비!$E130,0)-SUMIFS(예비비!$O$430:$O$729,예비비!$B$430:$B$729,예비비!$A130,예비비!$E$430:$E$729,"&lt;"&amp;EDATE(BU$99,1))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  <c r="BI131">
        <f>IF(예비비!$R131="OK",SUMIFS(예비비!$O$430:$O$729,예비비!$B$430:$B$729,예비비!$A131,예비비!$E$430:$E$729,"&lt;"&amp;EDATE(BI$99,1),예비비!$F$430:$F$729,"결제대금비")+MAX(0,IF(예비비!$D131&lt;EDATE(BI$99,1),예비비!$E131,0)-SUMIFS(예비비!$O$430:$O$729,예비비!$B$430:$B$729,예비비!$A131,예비비!$E$430:$E$729,"&lt;"&amp;EDATE(BI$99,1))),0)</f>
        <v>0</v>
      </c>
      <c r="BJ131">
        <f>IF(예비비!$R131="OK",SUMIFS(예비비!$O$430:$O$729,예비비!$B$430:$B$729,예비비!$A131,예비비!$E$430:$E$729,"&lt;"&amp;EDATE(BJ$99,1),예비비!$F$430:$F$729,"결제대금비")+MAX(0,IF(예비비!$D131&lt;EDATE(BJ$99,1),예비비!$E131,0)-SUMIFS(예비비!$O$430:$O$729,예비비!$B$430:$B$729,예비비!$A131,예비비!$E$430:$E$729,"&lt;"&amp;EDATE(BJ$99,1))),0)</f>
        <v>0</v>
      </c>
      <c r="BK131">
        <f>IF(예비비!$R131="OK",SUMIFS(예비비!$O$430:$O$729,예비비!$B$430:$B$729,예비비!$A131,예비비!$E$430:$E$729,"&lt;"&amp;EDATE(BK$99,1),예비비!$F$430:$F$729,"결제대금비")+MAX(0,IF(예비비!$D131&lt;EDATE(BK$99,1),예비비!$E131,0)-SUMIFS(예비비!$O$430:$O$729,예비비!$B$430:$B$729,예비비!$A131,예비비!$E$430:$E$729,"&lt;"&amp;EDATE(BK$99,1))),0)</f>
        <v>0</v>
      </c>
      <c r="BL131">
        <f>IF(예비비!$R131="OK",SUMIFS(예비비!$O$430:$O$729,예비비!$B$430:$B$729,예비비!$A131,예비비!$E$430:$E$729,"&lt;"&amp;EDATE(BL$99,1),예비비!$F$430:$F$729,"결제대금비")+MAX(0,IF(예비비!$D131&lt;EDATE(BL$99,1),예비비!$E131,0)-SUMIFS(예비비!$O$430:$O$729,예비비!$B$430:$B$729,예비비!$A131,예비비!$E$430:$E$729,"&lt;"&amp;EDATE(BL$99,1))),0)</f>
        <v>0</v>
      </c>
      <c r="BM131">
        <f>IF(예비비!$R131="OK",SUMIFS(예비비!$O$430:$O$729,예비비!$B$430:$B$729,예비비!$A131,예비비!$E$430:$E$729,"&lt;"&amp;EDATE(BM$99,1),예비비!$F$430:$F$729,"결제대금비")+MAX(0,IF(예비비!$D131&lt;EDATE(BM$99,1),예비비!$E131,0)-SUMIFS(예비비!$O$430:$O$729,예비비!$B$430:$B$729,예비비!$A131,예비비!$E$430:$E$729,"&lt;"&amp;EDATE(BM$99,1))),0)</f>
        <v>0</v>
      </c>
      <c r="BN131">
        <f>IF(예비비!$R131="OK",SUMIFS(예비비!$O$430:$O$729,예비비!$B$430:$B$729,예비비!$A131,예비비!$E$430:$E$729,"&lt;"&amp;EDATE(BN$99,1),예비비!$F$430:$F$729,"결제대금비")+MAX(0,IF(예비비!$D131&lt;EDATE(BN$99,1),예비비!$E131,0)-SUMIFS(예비비!$O$430:$O$729,예비비!$B$430:$B$729,예비비!$A131,예비비!$E$430:$E$729,"&lt;"&amp;EDATE(BN$99,1))),0)</f>
        <v>0</v>
      </c>
      <c r="BO131">
        <f>IF(예비비!$R131="OK",SUMIFS(예비비!$O$430:$O$729,예비비!$B$430:$B$729,예비비!$A131,예비비!$E$430:$E$729,"&lt;"&amp;EDATE(BO$99,1),예비비!$F$430:$F$729,"결제대금비")+MAX(0,IF(예비비!$D131&lt;EDATE(BO$99,1),예비비!$E131,0)-SUMIFS(예비비!$O$430:$O$729,예비비!$B$430:$B$729,예비비!$A131,예비비!$E$430:$E$729,"&lt;"&amp;EDATE(BO$99,1))),0)</f>
        <v>0</v>
      </c>
      <c r="BP131">
        <f>IF(예비비!$R131="OK",SUMIFS(예비비!$O$430:$O$729,예비비!$B$430:$B$729,예비비!$A131,예비비!$E$430:$E$729,"&lt;"&amp;EDATE(BP$99,1),예비비!$F$430:$F$729,"결제대금비")+MAX(0,IF(예비비!$D131&lt;EDATE(BP$99,1),예비비!$E131,0)-SUMIFS(예비비!$O$430:$O$729,예비비!$B$430:$B$729,예비비!$A131,예비비!$E$430:$E$729,"&lt;"&amp;EDATE(BP$99,1))),0)</f>
        <v>0</v>
      </c>
      <c r="BQ131">
        <f>IF(예비비!$R131="OK",SUMIFS(예비비!$O$430:$O$729,예비비!$B$430:$B$729,예비비!$A131,예비비!$E$430:$E$729,"&lt;"&amp;EDATE(BQ$99,1),예비비!$F$430:$F$729,"결제대금비")+MAX(0,IF(예비비!$D131&lt;EDATE(BQ$99,1),예비비!$E131,0)-SUMIFS(예비비!$O$430:$O$729,예비비!$B$430:$B$729,예비비!$A131,예비비!$E$430:$E$729,"&lt;"&amp;EDATE(BQ$99,1))),0)</f>
        <v>0</v>
      </c>
      <c r="BR131">
        <f>IF(예비비!$R131="OK",SUMIFS(예비비!$O$430:$O$729,예비비!$B$430:$B$729,예비비!$A131,예비비!$E$430:$E$729,"&lt;"&amp;EDATE(BR$99,1),예비비!$F$430:$F$729,"결제대금비")+MAX(0,IF(예비비!$D131&lt;EDATE(BR$99,1),예비비!$E131,0)-SUMIFS(예비비!$O$430:$O$729,예비비!$B$430:$B$729,예비비!$A131,예비비!$E$430:$E$729,"&lt;"&amp;EDATE(BR$99,1))),0)</f>
        <v>0</v>
      </c>
      <c r="BS131">
        <f>IF(예비비!$R131="OK",SUMIFS(예비비!$O$430:$O$729,예비비!$B$430:$B$729,예비비!$A131,예비비!$E$430:$E$729,"&lt;"&amp;EDATE(BS$99,1),예비비!$F$430:$F$729,"결제대금비")+MAX(0,IF(예비비!$D131&lt;EDATE(BS$99,1),예비비!$E131,0)-SUMIFS(예비비!$O$430:$O$729,예비비!$B$430:$B$729,예비비!$A131,예비비!$E$430:$E$729,"&lt;"&amp;EDATE(BS$99,1))),0)</f>
        <v>0</v>
      </c>
      <c r="BT131">
        <f>IF(예비비!$R131="OK",SUMIFS(예비비!$O$430:$O$729,예비비!$B$430:$B$729,예비비!$A131,예비비!$E$430:$E$729,"&lt;"&amp;EDATE(BT$99,1),예비비!$F$430:$F$729,"결제대금비")+MAX(0,IF(예비비!$D131&lt;EDATE(BT$99,1),예비비!$E131,0)-SUMIFS(예비비!$O$430:$O$729,예비비!$B$430:$B$729,예비비!$A131,예비비!$E$430:$E$729,"&lt;"&amp;EDATE(BT$99,1))),0)</f>
        <v>0</v>
      </c>
      <c r="BU131">
        <f>IF(예비비!$R131="OK",SUMIFS(예비비!$O$430:$O$729,예비비!$B$430:$B$729,예비비!$A131,예비비!$E$430:$E$729,"&lt;"&amp;EDATE(BU$99,1),예비비!$F$430:$F$729,"결제대금비")+MAX(0,IF(예비비!$D131&lt;EDATE(BU$99,1),예비비!$E131,0)-SUMIFS(예비비!$O$430:$O$729,예비비!$B$430:$B$729,예비비!$A131,예비비!$E$430:$E$729,"&lt;"&amp;EDATE(BU$99,1))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  <c r="BI132">
        <f>IF(예비비!$R132="OK",SUMIFS(예비비!$O$430:$O$729,예비비!$B$430:$B$729,예비비!$A132,예비비!$E$430:$E$729,"&lt;"&amp;EDATE(BI$99,1),예비비!$F$430:$F$729,"결제대금비")+MAX(0,IF(예비비!$D132&lt;EDATE(BI$99,1),예비비!$E132,0)-SUMIFS(예비비!$O$430:$O$729,예비비!$B$430:$B$729,예비비!$A132,예비비!$E$430:$E$729,"&lt;"&amp;EDATE(BI$99,1))),0)</f>
        <v>0</v>
      </c>
      <c r="BJ132">
        <f>IF(예비비!$R132="OK",SUMIFS(예비비!$O$430:$O$729,예비비!$B$430:$B$729,예비비!$A132,예비비!$E$430:$E$729,"&lt;"&amp;EDATE(BJ$99,1),예비비!$F$430:$F$729,"결제대금비")+MAX(0,IF(예비비!$D132&lt;EDATE(BJ$99,1),예비비!$E132,0)-SUMIFS(예비비!$O$430:$O$729,예비비!$B$430:$B$729,예비비!$A132,예비비!$E$430:$E$729,"&lt;"&amp;EDATE(BJ$99,1))),0)</f>
        <v>0</v>
      </c>
      <c r="BK132">
        <f>IF(예비비!$R132="OK",SUMIFS(예비비!$O$430:$O$729,예비비!$B$430:$B$729,예비비!$A132,예비비!$E$430:$E$729,"&lt;"&amp;EDATE(BK$99,1),예비비!$F$430:$F$729,"결제대금비")+MAX(0,IF(예비비!$D132&lt;EDATE(BK$99,1),예비비!$E132,0)-SUMIFS(예비비!$O$430:$O$729,예비비!$B$430:$B$729,예비비!$A132,예비비!$E$430:$E$729,"&lt;"&amp;EDATE(BK$99,1))),0)</f>
        <v>0</v>
      </c>
      <c r="BL132">
        <f>IF(예비비!$R132="OK",SUMIFS(예비비!$O$430:$O$729,예비비!$B$430:$B$729,예비비!$A132,예비비!$E$430:$E$729,"&lt;"&amp;EDATE(BL$99,1),예비비!$F$430:$F$729,"결제대금비")+MAX(0,IF(예비비!$D132&lt;EDATE(BL$99,1),예비비!$E132,0)-SUMIFS(예비비!$O$430:$O$729,예비비!$B$430:$B$729,예비비!$A132,예비비!$E$430:$E$729,"&lt;"&amp;EDATE(BL$99,1))),0)</f>
        <v>0</v>
      </c>
      <c r="BM132">
        <f>IF(예비비!$R132="OK",SUMIFS(예비비!$O$430:$O$729,예비비!$B$430:$B$729,예비비!$A132,예비비!$E$430:$E$729,"&lt;"&amp;EDATE(BM$99,1),예비비!$F$430:$F$729,"결제대금비")+MAX(0,IF(예비비!$D132&lt;EDATE(BM$99,1),예비비!$E132,0)-SUMIFS(예비비!$O$430:$O$729,예비비!$B$430:$B$729,예비비!$A132,예비비!$E$430:$E$729,"&lt;"&amp;EDATE(BM$99,1))),0)</f>
        <v>0</v>
      </c>
      <c r="BN132">
        <f>IF(예비비!$R132="OK",SUMIFS(예비비!$O$430:$O$729,예비비!$B$430:$B$729,예비비!$A132,예비비!$E$430:$E$729,"&lt;"&amp;EDATE(BN$99,1),예비비!$F$430:$F$729,"결제대금비")+MAX(0,IF(예비비!$D132&lt;EDATE(BN$99,1),예비비!$E132,0)-SUMIFS(예비비!$O$430:$O$729,예비비!$B$430:$B$729,예비비!$A132,예비비!$E$430:$E$729,"&lt;"&amp;EDATE(BN$99,1))),0)</f>
        <v>0</v>
      </c>
      <c r="BO132">
        <f>IF(예비비!$R132="OK",SUMIFS(예비비!$O$430:$O$729,예비비!$B$430:$B$729,예비비!$A132,예비비!$E$430:$E$729,"&lt;"&amp;EDATE(BO$99,1),예비비!$F$430:$F$729,"결제대금비")+MAX(0,IF(예비비!$D132&lt;EDATE(BO$99,1),예비비!$E132,0)-SUMIFS(예비비!$O$430:$O$729,예비비!$B$430:$B$729,예비비!$A132,예비비!$E$430:$E$729,"&lt;"&amp;EDATE(BO$99,1))),0)</f>
        <v>0</v>
      </c>
      <c r="BP132">
        <f>IF(예비비!$R132="OK",SUMIFS(예비비!$O$430:$O$729,예비비!$B$430:$B$729,예비비!$A132,예비비!$E$430:$E$729,"&lt;"&amp;EDATE(BP$99,1),예비비!$F$430:$F$729,"결제대금비")+MAX(0,IF(예비비!$D132&lt;EDATE(BP$99,1),예비비!$E132,0)-SUMIFS(예비비!$O$430:$O$729,예비비!$B$430:$B$729,예비비!$A132,예비비!$E$430:$E$729,"&lt;"&amp;EDATE(BP$99,1))),0)</f>
        <v>0</v>
      </c>
      <c r="BQ132">
        <f>IF(예비비!$R132="OK",SUMIFS(예비비!$O$430:$O$729,예비비!$B$430:$B$729,예비비!$A132,예비비!$E$430:$E$729,"&lt;"&amp;EDATE(BQ$99,1),예비비!$F$430:$F$729,"결제대금비")+MAX(0,IF(예비비!$D132&lt;EDATE(BQ$99,1),예비비!$E132,0)-SUMIFS(예비비!$O$430:$O$729,예비비!$B$430:$B$729,예비비!$A132,예비비!$E$430:$E$729,"&lt;"&amp;EDATE(BQ$99,1))),0)</f>
        <v>0</v>
      </c>
      <c r="BR132">
        <f>IF(예비비!$R132="OK",SUMIFS(예비비!$O$430:$O$729,예비비!$B$430:$B$729,예비비!$A132,예비비!$E$430:$E$729,"&lt;"&amp;EDATE(BR$99,1),예비비!$F$430:$F$729,"결제대금비")+MAX(0,IF(예비비!$D132&lt;EDATE(BR$99,1),예비비!$E132,0)-SUMIFS(예비비!$O$430:$O$729,예비비!$B$430:$B$729,예비비!$A132,예비비!$E$430:$E$729,"&lt;"&amp;EDATE(BR$99,1))),0)</f>
        <v>0</v>
      </c>
      <c r="BS132">
        <f>IF(예비비!$R132="OK",SUMIFS(예비비!$O$430:$O$729,예비비!$B$430:$B$729,예비비!$A132,예비비!$E$430:$E$729,"&lt;"&amp;EDATE(BS$99,1),예비비!$F$430:$F$729,"결제대금비")+MAX(0,IF(예비비!$D132&lt;EDATE(BS$99,1),예비비!$E132,0)-SUMIFS(예비비!$O$430:$O$729,예비비!$B$430:$B$729,예비비!$A132,예비비!$E$430:$E$729,"&lt;"&amp;EDATE(BS$99,1))),0)</f>
        <v>0</v>
      </c>
      <c r="BT132">
        <f>IF(예비비!$R132="OK",SUMIFS(예비비!$O$430:$O$729,예비비!$B$430:$B$729,예비비!$A132,예비비!$E$430:$E$729,"&lt;"&amp;EDATE(BT$99,1),예비비!$F$430:$F$729,"결제대금비")+MAX(0,IF(예비비!$D132&lt;EDATE(BT$99,1),예비비!$E132,0)-SUMIFS(예비비!$O$430:$O$729,예비비!$B$430:$B$729,예비비!$A132,예비비!$E$430:$E$729,"&lt;"&amp;EDATE(BT$99,1))),0)</f>
        <v>0</v>
      </c>
      <c r="BU132">
        <f>IF(예비비!$R132="OK",SUMIFS(예비비!$O$430:$O$729,예비비!$B$430:$B$729,예비비!$A132,예비비!$E$430:$E$729,"&lt;"&amp;EDATE(BU$99,1),예비비!$F$430:$F$729,"결제대금비")+MAX(0,IF(예비비!$D132&lt;EDATE(BU$99,1),예비비!$E132,0)-SUMIFS(예비비!$O$430:$O$729,예비비!$B$430:$B$729,예비비!$A132,예비비!$E$430:$E$729,"&lt;"&amp;EDATE(BU$99,1))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  <c r="BI133">
        <f>IF(예비비!$R133="OK",SUMIFS(예비비!$O$430:$O$729,예비비!$B$430:$B$729,예비비!$A133,예비비!$E$430:$E$729,"&lt;"&amp;EDATE(BI$99,1),예비비!$F$430:$F$729,"결제대금비")+MAX(0,IF(예비비!$D133&lt;EDATE(BI$99,1),예비비!$E133,0)-SUMIFS(예비비!$O$430:$O$729,예비비!$B$430:$B$729,예비비!$A133,예비비!$E$430:$E$729,"&lt;"&amp;EDATE(BI$99,1))),0)</f>
        <v>0</v>
      </c>
      <c r="BJ133">
        <f>IF(예비비!$R133="OK",SUMIFS(예비비!$O$430:$O$729,예비비!$B$430:$B$729,예비비!$A133,예비비!$E$430:$E$729,"&lt;"&amp;EDATE(BJ$99,1),예비비!$F$430:$F$729,"결제대금비")+MAX(0,IF(예비비!$D133&lt;EDATE(BJ$99,1),예비비!$E133,0)-SUMIFS(예비비!$O$430:$O$729,예비비!$B$430:$B$729,예비비!$A133,예비비!$E$430:$E$729,"&lt;"&amp;EDATE(BJ$99,1))),0)</f>
        <v>0</v>
      </c>
      <c r="BK133">
        <f>IF(예비비!$R133="OK",SUMIFS(예비비!$O$430:$O$729,예비비!$B$430:$B$729,예비비!$A133,예비비!$E$430:$E$729,"&lt;"&amp;EDATE(BK$99,1),예비비!$F$430:$F$729,"결제대금비")+MAX(0,IF(예비비!$D133&lt;EDATE(BK$99,1),예비비!$E133,0)-SUMIFS(예비비!$O$430:$O$729,예비비!$B$430:$B$729,예비비!$A133,예비비!$E$430:$E$729,"&lt;"&amp;EDATE(BK$99,1))),0)</f>
        <v>0</v>
      </c>
      <c r="BL133">
        <f>IF(예비비!$R133="OK",SUMIFS(예비비!$O$430:$O$729,예비비!$B$430:$B$729,예비비!$A133,예비비!$E$430:$E$729,"&lt;"&amp;EDATE(BL$99,1),예비비!$F$430:$F$729,"결제대금비")+MAX(0,IF(예비비!$D133&lt;EDATE(BL$99,1),예비비!$E133,0)-SUMIFS(예비비!$O$430:$O$729,예비비!$B$430:$B$729,예비비!$A133,예비비!$E$430:$E$729,"&lt;"&amp;EDATE(BL$99,1))),0)</f>
        <v>0</v>
      </c>
      <c r="BM133">
        <f>IF(예비비!$R133="OK",SUMIFS(예비비!$O$430:$O$729,예비비!$B$430:$B$729,예비비!$A133,예비비!$E$430:$E$729,"&lt;"&amp;EDATE(BM$99,1),예비비!$F$430:$F$729,"결제대금비")+MAX(0,IF(예비비!$D133&lt;EDATE(BM$99,1),예비비!$E133,0)-SUMIFS(예비비!$O$430:$O$729,예비비!$B$430:$B$729,예비비!$A133,예비비!$E$430:$E$729,"&lt;"&amp;EDATE(BM$99,1))),0)</f>
        <v>0</v>
      </c>
      <c r="BN133">
        <f>IF(예비비!$R133="OK",SUMIFS(예비비!$O$430:$O$729,예비비!$B$430:$B$729,예비비!$A133,예비비!$E$430:$E$729,"&lt;"&amp;EDATE(BN$99,1),예비비!$F$430:$F$729,"결제대금비")+MAX(0,IF(예비비!$D133&lt;EDATE(BN$99,1),예비비!$E133,0)-SUMIFS(예비비!$O$430:$O$729,예비비!$B$430:$B$729,예비비!$A133,예비비!$E$430:$E$729,"&lt;"&amp;EDATE(BN$99,1))),0)</f>
        <v>0</v>
      </c>
      <c r="BO133">
        <f>IF(예비비!$R133="OK",SUMIFS(예비비!$O$430:$O$729,예비비!$B$430:$B$729,예비비!$A133,예비비!$E$430:$E$729,"&lt;"&amp;EDATE(BO$99,1),예비비!$F$430:$F$729,"결제대금비")+MAX(0,IF(예비비!$D133&lt;EDATE(BO$99,1),예비비!$E133,0)-SUMIFS(예비비!$O$430:$O$729,예비비!$B$430:$B$729,예비비!$A133,예비비!$E$430:$E$729,"&lt;"&amp;EDATE(BO$99,1))),0)</f>
        <v>0</v>
      </c>
      <c r="BP133">
        <f>IF(예비비!$R133="OK",SUMIFS(예비비!$O$430:$O$729,예비비!$B$430:$B$729,예비비!$A133,예비비!$E$430:$E$729,"&lt;"&amp;EDATE(BP$99,1),예비비!$F$430:$F$729,"결제대금비")+MAX(0,IF(예비비!$D133&lt;EDATE(BP$99,1),예비비!$E133,0)-SUMIFS(예비비!$O$430:$O$729,예비비!$B$430:$B$729,예비비!$A133,예비비!$E$430:$E$729,"&lt;"&amp;EDATE(BP$99,1))),0)</f>
        <v>0</v>
      </c>
      <c r="BQ133">
        <f>IF(예비비!$R133="OK",SUMIFS(예비비!$O$430:$O$729,예비비!$B$430:$B$729,예비비!$A133,예비비!$E$430:$E$729,"&lt;"&amp;EDATE(BQ$99,1),예비비!$F$430:$F$729,"결제대금비")+MAX(0,IF(예비비!$D133&lt;EDATE(BQ$99,1),예비비!$E133,0)-SUMIFS(예비비!$O$430:$O$729,예비비!$B$430:$B$729,예비비!$A133,예비비!$E$430:$E$729,"&lt;"&amp;EDATE(BQ$99,1))),0)</f>
        <v>0</v>
      </c>
      <c r="BR133">
        <f>IF(예비비!$R133="OK",SUMIFS(예비비!$O$430:$O$729,예비비!$B$430:$B$729,예비비!$A133,예비비!$E$430:$E$729,"&lt;"&amp;EDATE(BR$99,1),예비비!$F$430:$F$729,"결제대금비")+MAX(0,IF(예비비!$D133&lt;EDATE(BR$99,1),예비비!$E133,0)-SUMIFS(예비비!$O$430:$O$729,예비비!$B$430:$B$729,예비비!$A133,예비비!$E$430:$E$729,"&lt;"&amp;EDATE(BR$99,1))),0)</f>
        <v>0</v>
      </c>
      <c r="BS133">
        <f>IF(예비비!$R133="OK",SUMIFS(예비비!$O$430:$O$729,예비비!$B$430:$B$729,예비비!$A133,예비비!$E$430:$E$729,"&lt;"&amp;EDATE(BS$99,1),예비비!$F$430:$F$729,"결제대금비")+MAX(0,IF(예비비!$D133&lt;EDATE(BS$99,1),예비비!$E133,0)-SUMIFS(예비비!$O$430:$O$729,예비비!$B$430:$B$729,예비비!$A133,예비비!$E$430:$E$729,"&lt;"&amp;EDATE(BS$99,1))),0)</f>
        <v>0</v>
      </c>
      <c r="BT133">
        <f>IF(예비비!$R133="OK",SUMIFS(예비비!$O$430:$O$729,예비비!$B$430:$B$729,예비비!$A133,예비비!$E$430:$E$729,"&lt;"&amp;EDATE(BT$99,1),예비비!$F$430:$F$729,"결제대금비")+MAX(0,IF(예비비!$D133&lt;EDATE(BT$99,1),예비비!$E133,0)-SUMIFS(예비비!$O$430:$O$729,예비비!$B$430:$B$729,예비비!$A133,예비비!$E$430:$E$729,"&lt;"&amp;EDATE(BT$99,1))),0)</f>
        <v>0</v>
      </c>
      <c r="BU133">
        <f>IF(예비비!$R133="OK",SUMIFS(예비비!$O$430:$O$729,예비비!$B$430:$B$729,예비비!$A133,예비비!$E$430:$E$729,"&lt;"&amp;EDATE(BU$99,1),예비비!$F$430:$F$729,"결제대금비")+MAX(0,IF(예비비!$D133&lt;EDATE(BU$99,1),예비비!$E133,0)-SUMIFS(예비비!$O$430:$O$729,예비비!$B$430:$B$729,예비비!$A133,예비비!$E$430:$E$729,"&lt;"&amp;EDATE(BU$99,1))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  <c r="BI134">
        <f>IF(예비비!$R134="OK",SUMIFS(예비비!$O$430:$O$729,예비비!$B$430:$B$729,예비비!$A134,예비비!$E$430:$E$729,"&lt;"&amp;EDATE(BI$99,1),예비비!$F$430:$F$729,"결제대금비")+MAX(0,IF(예비비!$D134&lt;EDATE(BI$99,1),예비비!$E134,0)-SUMIFS(예비비!$O$430:$O$729,예비비!$B$430:$B$729,예비비!$A134,예비비!$E$430:$E$729,"&lt;"&amp;EDATE(BI$99,1))),0)</f>
        <v>0</v>
      </c>
      <c r="BJ134">
        <f>IF(예비비!$R134="OK",SUMIFS(예비비!$O$430:$O$729,예비비!$B$430:$B$729,예비비!$A134,예비비!$E$430:$E$729,"&lt;"&amp;EDATE(BJ$99,1),예비비!$F$430:$F$729,"결제대금비")+MAX(0,IF(예비비!$D134&lt;EDATE(BJ$99,1),예비비!$E134,0)-SUMIFS(예비비!$O$430:$O$729,예비비!$B$430:$B$729,예비비!$A134,예비비!$E$430:$E$729,"&lt;"&amp;EDATE(BJ$99,1))),0)</f>
        <v>0</v>
      </c>
      <c r="BK134">
        <f>IF(예비비!$R134="OK",SUMIFS(예비비!$O$430:$O$729,예비비!$B$430:$B$729,예비비!$A134,예비비!$E$430:$E$729,"&lt;"&amp;EDATE(BK$99,1),예비비!$F$430:$F$729,"결제대금비")+MAX(0,IF(예비비!$D134&lt;EDATE(BK$99,1),예비비!$E134,0)-SUMIFS(예비비!$O$430:$O$729,예비비!$B$430:$B$729,예비비!$A134,예비비!$E$430:$E$729,"&lt;"&amp;EDATE(BK$99,1))),0)</f>
        <v>0</v>
      </c>
      <c r="BL134">
        <f>IF(예비비!$R134="OK",SUMIFS(예비비!$O$430:$O$729,예비비!$B$430:$B$729,예비비!$A134,예비비!$E$430:$E$729,"&lt;"&amp;EDATE(BL$99,1),예비비!$F$430:$F$729,"결제대금비")+MAX(0,IF(예비비!$D134&lt;EDATE(BL$99,1),예비비!$E134,0)-SUMIFS(예비비!$O$430:$O$729,예비비!$B$430:$B$729,예비비!$A134,예비비!$E$430:$E$729,"&lt;"&amp;EDATE(BL$99,1))),0)</f>
        <v>0</v>
      </c>
      <c r="BM134">
        <f>IF(예비비!$R134="OK",SUMIFS(예비비!$O$430:$O$729,예비비!$B$430:$B$729,예비비!$A134,예비비!$E$430:$E$729,"&lt;"&amp;EDATE(BM$99,1),예비비!$F$430:$F$729,"결제대금비")+MAX(0,IF(예비비!$D134&lt;EDATE(BM$99,1),예비비!$E134,0)-SUMIFS(예비비!$O$430:$O$729,예비비!$B$430:$B$729,예비비!$A134,예비비!$E$430:$E$729,"&lt;"&amp;EDATE(BM$99,1))),0)</f>
        <v>0</v>
      </c>
      <c r="BN134">
        <f>IF(예비비!$R134="OK",SUMIFS(예비비!$O$430:$O$729,예비비!$B$430:$B$729,예비비!$A134,예비비!$E$430:$E$729,"&lt;"&amp;EDATE(BN$99,1),예비비!$F$430:$F$729,"결제대금비")+MAX(0,IF(예비비!$D134&lt;EDATE(BN$99,1),예비비!$E134,0)-SUMIFS(예비비!$O$430:$O$729,예비비!$B$430:$B$729,예비비!$A134,예비비!$E$430:$E$729,"&lt;"&amp;EDATE(BN$99,1))),0)</f>
        <v>0</v>
      </c>
      <c r="BO134">
        <f>IF(예비비!$R134="OK",SUMIFS(예비비!$O$430:$O$729,예비비!$B$430:$B$729,예비비!$A134,예비비!$E$430:$E$729,"&lt;"&amp;EDATE(BO$99,1),예비비!$F$430:$F$729,"결제대금비")+MAX(0,IF(예비비!$D134&lt;EDATE(BO$99,1),예비비!$E134,0)-SUMIFS(예비비!$O$430:$O$729,예비비!$B$430:$B$729,예비비!$A134,예비비!$E$430:$E$729,"&lt;"&amp;EDATE(BO$99,1))),0)</f>
        <v>0</v>
      </c>
      <c r="BP134">
        <f>IF(예비비!$R134="OK",SUMIFS(예비비!$O$430:$O$729,예비비!$B$430:$B$729,예비비!$A134,예비비!$E$430:$E$729,"&lt;"&amp;EDATE(BP$99,1),예비비!$F$430:$F$729,"결제대금비")+MAX(0,IF(예비비!$D134&lt;EDATE(BP$99,1),예비비!$E134,0)-SUMIFS(예비비!$O$430:$O$729,예비비!$B$430:$B$729,예비비!$A134,예비비!$E$430:$E$729,"&lt;"&amp;EDATE(BP$99,1))),0)</f>
        <v>0</v>
      </c>
      <c r="BQ134">
        <f>IF(예비비!$R134="OK",SUMIFS(예비비!$O$430:$O$729,예비비!$B$430:$B$729,예비비!$A134,예비비!$E$430:$E$729,"&lt;"&amp;EDATE(BQ$99,1),예비비!$F$430:$F$729,"결제대금비")+MAX(0,IF(예비비!$D134&lt;EDATE(BQ$99,1),예비비!$E134,0)-SUMIFS(예비비!$O$430:$O$729,예비비!$B$430:$B$729,예비비!$A134,예비비!$E$430:$E$729,"&lt;"&amp;EDATE(BQ$99,1))),0)</f>
        <v>0</v>
      </c>
      <c r="BR134">
        <f>IF(예비비!$R134="OK",SUMIFS(예비비!$O$430:$O$729,예비비!$B$430:$B$729,예비비!$A134,예비비!$E$430:$E$729,"&lt;"&amp;EDATE(BR$99,1),예비비!$F$430:$F$729,"결제대금비")+MAX(0,IF(예비비!$D134&lt;EDATE(BR$99,1),예비비!$E134,0)-SUMIFS(예비비!$O$430:$O$729,예비비!$B$430:$B$729,예비비!$A134,예비비!$E$430:$E$729,"&lt;"&amp;EDATE(BR$99,1))),0)</f>
        <v>0</v>
      </c>
      <c r="BS134">
        <f>IF(예비비!$R134="OK",SUMIFS(예비비!$O$430:$O$729,예비비!$B$430:$B$729,예비비!$A134,예비비!$E$430:$E$729,"&lt;"&amp;EDATE(BS$99,1),예비비!$F$430:$F$729,"결제대금비")+MAX(0,IF(예비비!$D134&lt;EDATE(BS$99,1),예비비!$E134,0)-SUMIFS(예비비!$O$430:$O$729,예비비!$B$430:$B$729,예비비!$A134,예비비!$E$430:$E$729,"&lt;"&amp;EDATE(BS$99,1))),0)</f>
        <v>0</v>
      </c>
      <c r="BT134">
        <f>IF(예비비!$R134="OK",SUMIFS(예비비!$O$430:$O$729,예비비!$B$430:$B$729,예비비!$A134,예비비!$E$430:$E$729,"&lt;"&amp;EDATE(BT$99,1),예비비!$F$430:$F$729,"결제대금비")+MAX(0,IF(예비비!$D134&lt;EDATE(BT$99,1),예비비!$E134,0)-SUMIFS(예비비!$O$430:$O$729,예비비!$B$430:$B$729,예비비!$A134,예비비!$E$430:$E$729,"&lt;"&amp;EDATE(BT$99,1))),0)</f>
        <v>0</v>
      </c>
      <c r="BU134">
        <f>IF(예비비!$R134="OK",SUMIFS(예비비!$O$430:$O$729,예비비!$B$430:$B$729,예비비!$A134,예비비!$E$430:$E$729,"&lt;"&amp;EDATE(BU$99,1),예비비!$F$430:$F$729,"결제대금비")+MAX(0,IF(예비비!$D134&lt;EDATE(BU$99,1),예비비!$E134,0)-SUMIFS(예비비!$O$430:$O$729,예비비!$B$430:$B$729,예비비!$A134,예비비!$E$430:$E$729,"&lt;"&amp;EDATE(BU$99,1))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  <c r="BI135">
        <f>IF(예비비!$R135="OK",SUMIFS(예비비!$O$430:$O$729,예비비!$B$430:$B$729,예비비!$A135,예비비!$E$430:$E$729,"&lt;"&amp;EDATE(BI$99,1),예비비!$F$430:$F$729,"결제대금비")+MAX(0,IF(예비비!$D135&lt;EDATE(BI$99,1),예비비!$E135,0)-SUMIFS(예비비!$O$430:$O$729,예비비!$B$430:$B$729,예비비!$A135,예비비!$E$430:$E$729,"&lt;"&amp;EDATE(BI$99,1))),0)</f>
        <v>0</v>
      </c>
      <c r="BJ135">
        <f>IF(예비비!$R135="OK",SUMIFS(예비비!$O$430:$O$729,예비비!$B$430:$B$729,예비비!$A135,예비비!$E$430:$E$729,"&lt;"&amp;EDATE(BJ$99,1),예비비!$F$430:$F$729,"결제대금비")+MAX(0,IF(예비비!$D135&lt;EDATE(BJ$99,1),예비비!$E135,0)-SUMIFS(예비비!$O$430:$O$729,예비비!$B$430:$B$729,예비비!$A135,예비비!$E$430:$E$729,"&lt;"&amp;EDATE(BJ$99,1))),0)</f>
        <v>0</v>
      </c>
      <c r="BK135">
        <f>IF(예비비!$R135="OK",SUMIFS(예비비!$O$430:$O$729,예비비!$B$430:$B$729,예비비!$A135,예비비!$E$430:$E$729,"&lt;"&amp;EDATE(BK$99,1),예비비!$F$430:$F$729,"결제대금비")+MAX(0,IF(예비비!$D135&lt;EDATE(BK$99,1),예비비!$E135,0)-SUMIFS(예비비!$O$430:$O$729,예비비!$B$430:$B$729,예비비!$A135,예비비!$E$430:$E$729,"&lt;"&amp;EDATE(BK$99,1))),0)</f>
        <v>0</v>
      </c>
      <c r="BL135">
        <f>IF(예비비!$R135="OK",SUMIFS(예비비!$O$430:$O$729,예비비!$B$430:$B$729,예비비!$A135,예비비!$E$430:$E$729,"&lt;"&amp;EDATE(BL$99,1),예비비!$F$430:$F$729,"결제대금비")+MAX(0,IF(예비비!$D135&lt;EDATE(BL$99,1),예비비!$E135,0)-SUMIFS(예비비!$O$430:$O$729,예비비!$B$430:$B$729,예비비!$A135,예비비!$E$430:$E$729,"&lt;"&amp;EDATE(BL$99,1))),0)</f>
        <v>0</v>
      </c>
      <c r="BM135">
        <f>IF(예비비!$R135="OK",SUMIFS(예비비!$O$430:$O$729,예비비!$B$430:$B$729,예비비!$A135,예비비!$E$430:$E$729,"&lt;"&amp;EDATE(BM$99,1),예비비!$F$430:$F$729,"결제대금비")+MAX(0,IF(예비비!$D135&lt;EDATE(BM$99,1),예비비!$E135,0)-SUMIFS(예비비!$O$430:$O$729,예비비!$B$430:$B$729,예비비!$A135,예비비!$E$430:$E$729,"&lt;"&amp;EDATE(BM$99,1))),0)</f>
        <v>0</v>
      </c>
      <c r="BN135">
        <f>IF(예비비!$R135="OK",SUMIFS(예비비!$O$430:$O$729,예비비!$B$430:$B$729,예비비!$A135,예비비!$E$430:$E$729,"&lt;"&amp;EDATE(BN$99,1),예비비!$F$430:$F$729,"결제대금비")+MAX(0,IF(예비비!$D135&lt;EDATE(BN$99,1),예비비!$E135,0)-SUMIFS(예비비!$O$430:$O$729,예비비!$B$430:$B$729,예비비!$A135,예비비!$E$430:$E$729,"&lt;"&amp;EDATE(BN$99,1))),0)</f>
        <v>0</v>
      </c>
      <c r="BO135">
        <f>IF(예비비!$R135="OK",SUMIFS(예비비!$O$430:$O$729,예비비!$B$430:$B$729,예비비!$A135,예비비!$E$430:$E$729,"&lt;"&amp;EDATE(BO$99,1),예비비!$F$430:$F$729,"결제대금비")+MAX(0,IF(예비비!$D135&lt;EDATE(BO$99,1),예비비!$E135,0)-SUMIFS(예비비!$O$430:$O$729,예비비!$B$430:$B$729,예비비!$A135,예비비!$E$430:$E$729,"&lt;"&amp;EDATE(BO$99,1))),0)</f>
        <v>0</v>
      </c>
      <c r="BP135">
        <f>IF(예비비!$R135="OK",SUMIFS(예비비!$O$430:$O$729,예비비!$B$430:$B$729,예비비!$A135,예비비!$E$430:$E$729,"&lt;"&amp;EDATE(BP$99,1),예비비!$F$430:$F$729,"결제대금비")+MAX(0,IF(예비비!$D135&lt;EDATE(BP$99,1),예비비!$E135,0)-SUMIFS(예비비!$O$430:$O$729,예비비!$B$430:$B$729,예비비!$A135,예비비!$E$430:$E$729,"&lt;"&amp;EDATE(BP$99,1))),0)</f>
        <v>0</v>
      </c>
      <c r="BQ135">
        <f>IF(예비비!$R135="OK",SUMIFS(예비비!$O$430:$O$729,예비비!$B$430:$B$729,예비비!$A135,예비비!$E$430:$E$729,"&lt;"&amp;EDATE(BQ$99,1),예비비!$F$430:$F$729,"결제대금비")+MAX(0,IF(예비비!$D135&lt;EDATE(BQ$99,1),예비비!$E135,0)-SUMIFS(예비비!$O$430:$O$729,예비비!$B$430:$B$729,예비비!$A135,예비비!$E$430:$E$729,"&lt;"&amp;EDATE(BQ$99,1))),0)</f>
        <v>0</v>
      </c>
      <c r="BR135">
        <f>IF(예비비!$R135="OK",SUMIFS(예비비!$O$430:$O$729,예비비!$B$430:$B$729,예비비!$A135,예비비!$E$430:$E$729,"&lt;"&amp;EDATE(BR$99,1),예비비!$F$430:$F$729,"결제대금비")+MAX(0,IF(예비비!$D135&lt;EDATE(BR$99,1),예비비!$E135,0)-SUMIFS(예비비!$O$430:$O$729,예비비!$B$430:$B$729,예비비!$A135,예비비!$E$430:$E$729,"&lt;"&amp;EDATE(BR$99,1))),0)</f>
        <v>0</v>
      </c>
      <c r="BS135">
        <f>IF(예비비!$R135="OK",SUMIFS(예비비!$O$430:$O$729,예비비!$B$430:$B$729,예비비!$A135,예비비!$E$430:$E$729,"&lt;"&amp;EDATE(BS$99,1),예비비!$F$430:$F$729,"결제대금비")+MAX(0,IF(예비비!$D135&lt;EDATE(BS$99,1),예비비!$E135,0)-SUMIFS(예비비!$O$430:$O$729,예비비!$B$430:$B$729,예비비!$A135,예비비!$E$430:$E$729,"&lt;"&amp;EDATE(BS$99,1))),0)</f>
        <v>0</v>
      </c>
      <c r="BT135">
        <f>IF(예비비!$R135="OK",SUMIFS(예비비!$O$430:$O$729,예비비!$B$430:$B$729,예비비!$A135,예비비!$E$430:$E$729,"&lt;"&amp;EDATE(BT$99,1),예비비!$F$430:$F$729,"결제대금비")+MAX(0,IF(예비비!$D135&lt;EDATE(BT$99,1),예비비!$E135,0)-SUMIFS(예비비!$O$430:$O$729,예비비!$B$430:$B$729,예비비!$A135,예비비!$E$430:$E$729,"&lt;"&amp;EDATE(BT$99,1))),0)</f>
        <v>0</v>
      </c>
      <c r="BU135">
        <f>IF(예비비!$R135="OK",SUMIFS(예비비!$O$430:$O$729,예비비!$B$430:$B$729,예비비!$A135,예비비!$E$430:$E$729,"&lt;"&amp;EDATE(BU$99,1),예비비!$F$430:$F$729,"결제대금비")+MAX(0,IF(예비비!$D135&lt;EDATE(BU$99,1),예비비!$E135,0)-SUMIFS(예비비!$O$430:$O$729,예비비!$B$430:$B$729,예비비!$A135,예비비!$E$430:$E$729,"&lt;"&amp;EDATE(BU$99,1))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  <c r="BI136">
        <f>IF(예비비!$R136="OK",SUMIFS(예비비!$O$430:$O$729,예비비!$B$430:$B$729,예비비!$A136,예비비!$E$430:$E$729,"&lt;"&amp;EDATE(BI$99,1),예비비!$F$430:$F$729,"결제대금비")+MAX(0,IF(예비비!$D136&lt;EDATE(BI$99,1),예비비!$E136,0)-SUMIFS(예비비!$O$430:$O$729,예비비!$B$430:$B$729,예비비!$A136,예비비!$E$430:$E$729,"&lt;"&amp;EDATE(BI$99,1))),0)</f>
        <v>0</v>
      </c>
      <c r="BJ136">
        <f>IF(예비비!$R136="OK",SUMIFS(예비비!$O$430:$O$729,예비비!$B$430:$B$729,예비비!$A136,예비비!$E$430:$E$729,"&lt;"&amp;EDATE(BJ$99,1),예비비!$F$430:$F$729,"결제대금비")+MAX(0,IF(예비비!$D136&lt;EDATE(BJ$99,1),예비비!$E136,0)-SUMIFS(예비비!$O$430:$O$729,예비비!$B$430:$B$729,예비비!$A136,예비비!$E$430:$E$729,"&lt;"&amp;EDATE(BJ$99,1))),0)</f>
        <v>0</v>
      </c>
      <c r="BK136">
        <f>IF(예비비!$R136="OK",SUMIFS(예비비!$O$430:$O$729,예비비!$B$430:$B$729,예비비!$A136,예비비!$E$430:$E$729,"&lt;"&amp;EDATE(BK$99,1),예비비!$F$430:$F$729,"결제대금비")+MAX(0,IF(예비비!$D136&lt;EDATE(BK$99,1),예비비!$E136,0)-SUMIFS(예비비!$O$430:$O$729,예비비!$B$430:$B$729,예비비!$A136,예비비!$E$430:$E$729,"&lt;"&amp;EDATE(BK$99,1))),0)</f>
        <v>0</v>
      </c>
      <c r="BL136">
        <f>IF(예비비!$R136="OK",SUMIFS(예비비!$O$430:$O$729,예비비!$B$430:$B$729,예비비!$A136,예비비!$E$430:$E$729,"&lt;"&amp;EDATE(BL$99,1),예비비!$F$430:$F$729,"결제대금비")+MAX(0,IF(예비비!$D136&lt;EDATE(BL$99,1),예비비!$E136,0)-SUMIFS(예비비!$O$430:$O$729,예비비!$B$430:$B$729,예비비!$A136,예비비!$E$430:$E$729,"&lt;"&amp;EDATE(BL$99,1))),0)</f>
        <v>0</v>
      </c>
      <c r="BM136">
        <f>IF(예비비!$R136="OK",SUMIFS(예비비!$O$430:$O$729,예비비!$B$430:$B$729,예비비!$A136,예비비!$E$430:$E$729,"&lt;"&amp;EDATE(BM$99,1),예비비!$F$430:$F$729,"결제대금비")+MAX(0,IF(예비비!$D136&lt;EDATE(BM$99,1),예비비!$E136,0)-SUMIFS(예비비!$O$430:$O$729,예비비!$B$430:$B$729,예비비!$A136,예비비!$E$430:$E$729,"&lt;"&amp;EDATE(BM$99,1))),0)</f>
        <v>0</v>
      </c>
      <c r="BN136">
        <f>IF(예비비!$R136="OK",SUMIFS(예비비!$O$430:$O$729,예비비!$B$430:$B$729,예비비!$A136,예비비!$E$430:$E$729,"&lt;"&amp;EDATE(BN$99,1),예비비!$F$430:$F$729,"결제대금비")+MAX(0,IF(예비비!$D136&lt;EDATE(BN$99,1),예비비!$E136,0)-SUMIFS(예비비!$O$430:$O$729,예비비!$B$430:$B$729,예비비!$A136,예비비!$E$430:$E$729,"&lt;"&amp;EDATE(BN$99,1))),0)</f>
        <v>0</v>
      </c>
      <c r="BO136">
        <f>IF(예비비!$R136="OK",SUMIFS(예비비!$O$430:$O$729,예비비!$B$430:$B$729,예비비!$A136,예비비!$E$430:$E$729,"&lt;"&amp;EDATE(BO$99,1),예비비!$F$430:$F$729,"결제대금비")+MAX(0,IF(예비비!$D136&lt;EDATE(BO$99,1),예비비!$E136,0)-SUMIFS(예비비!$O$430:$O$729,예비비!$B$430:$B$729,예비비!$A136,예비비!$E$430:$E$729,"&lt;"&amp;EDATE(BO$99,1))),0)</f>
        <v>0</v>
      </c>
      <c r="BP136">
        <f>IF(예비비!$R136="OK",SUMIFS(예비비!$O$430:$O$729,예비비!$B$430:$B$729,예비비!$A136,예비비!$E$430:$E$729,"&lt;"&amp;EDATE(BP$99,1),예비비!$F$430:$F$729,"결제대금비")+MAX(0,IF(예비비!$D136&lt;EDATE(BP$99,1),예비비!$E136,0)-SUMIFS(예비비!$O$430:$O$729,예비비!$B$430:$B$729,예비비!$A136,예비비!$E$430:$E$729,"&lt;"&amp;EDATE(BP$99,1))),0)</f>
        <v>0</v>
      </c>
      <c r="BQ136">
        <f>IF(예비비!$R136="OK",SUMIFS(예비비!$O$430:$O$729,예비비!$B$430:$B$729,예비비!$A136,예비비!$E$430:$E$729,"&lt;"&amp;EDATE(BQ$99,1),예비비!$F$430:$F$729,"결제대금비")+MAX(0,IF(예비비!$D136&lt;EDATE(BQ$99,1),예비비!$E136,0)-SUMIFS(예비비!$O$430:$O$729,예비비!$B$430:$B$729,예비비!$A136,예비비!$E$430:$E$729,"&lt;"&amp;EDATE(BQ$99,1))),0)</f>
        <v>0</v>
      </c>
      <c r="BR136">
        <f>IF(예비비!$R136="OK",SUMIFS(예비비!$O$430:$O$729,예비비!$B$430:$B$729,예비비!$A136,예비비!$E$430:$E$729,"&lt;"&amp;EDATE(BR$99,1),예비비!$F$430:$F$729,"결제대금비")+MAX(0,IF(예비비!$D136&lt;EDATE(BR$99,1),예비비!$E136,0)-SUMIFS(예비비!$O$430:$O$729,예비비!$B$430:$B$729,예비비!$A136,예비비!$E$430:$E$729,"&lt;"&amp;EDATE(BR$99,1))),0)</f>
        <v>0</v>
      </c>
      <c r="BS136">
        <f>IF(예비비!$R136="OK",SUMIFS(예비비!$O$430:$O$729,예비비!$B$430:$B$729,예비비!$A136,예비비!$E$430:$E$729,"&lt;"&amp;EDATE(BS$99,1),예비비!$F$430:$F$729,"결제대금비")+MAX(0,IF(예비비!$D136&lt;EDATE(BS$99,1),예비비!$E136,0)-SUMIFS(예비비!$O$430:$O$729,예비비!$B$430:$B$729,예비비!$A136,예비비!$E$430:$E$729,"&lt;"&amp;EDATE(BS$99,1))),0)</f>
        <v>0</v>
      </c>
      <c r="BT136">
        <f>IF(예비비!$R136="OK",SUMIFS(예비비!$O$430:$O$729,예비비!$B$430:$B$729,예비비!$A136,예비비!$E$430:$E$729,"&lt;"&amp;EDATE(BT$99,1),예비비!$F$430:$F$729,"결제대금비")+MAX(0,IF(예비비!$D136&lt;EDATE(BT$99,1),예비비!$E136,0)-SUMIFS(예비비!$O$430:$O$729,예비비!$B$430:$B$729,예비비!$A136,예비비!$E$430:$E$729,"&lt;"&amp;EDATE(BT$99,1))),0)</f>
        <v>0</v>
      </c>
      <c r="BU136">
        <f>IF(예비비!$R136="OK",SUMIFS(예비비!$O$430:$O$729,예비비!$B$430:$B$729,예비비!$A136,예비비!$E$430:$E$729,"&lt;"&amp;EDATE(BU$99,1),예비비!$F$430:$F$729,"결제대금비")+MAX(0,IF(예비비!$D136&lt;EDATE(BU$99,1),예비비!$E136,0)-SUMIFS(예비비!$O$430:$O$729,예비비!$B$430:$B$729,예비비!$A136,예비비!$E$430:$E$729,"&lt;"&amp;EDATE(BU$99,1))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  <c r="BI137">
        <f>IF(예비비!$R137="OK",SUMIFS(예비비!$O$430:$O$729,예비비!$B$430:$B$729,예비비!$A137,예비비!$E$430:$E$729,"&lt;"&amp;EDATE(BI$99,1),예비비!$F$430:$F$729,"결제대금비")+MAX(0,IF(예비비!$D137&lt;EDATE(BI$99,1),예비비!$E137,0)-SUMIFS(예비비!$O$430:$O$729,예비비!$B$430:$B$729,예비비!$A137,예비비!$E$430:$E$729,"&lt;"&amp;EDATE(BI$99,1))),0)</f>
        <v>0</v>
      </c>
      <c r="BJ137">
        <f>IF(예비비!$R137="OK",SUMIFS(예비비!$O$430:$O$729,예비비!$B$430:$B$729,예비비!$A137,예비비!$E$430:$E$729,"&lt;"&amp;EDATE(BJ$99,1),예비비!$F$430:$F$729,"결제대금비")+MAX(0,IF(예비비!$D137&lt;EDATE(BJ$99,1),예비비!$E137,0)-SUMIFS(예비비!$O$430:$O$729,예비비!$B$430:$B$729,예비비!$A137,예비비!$E$430:$E$729,"&lt;"&amp;EDATE(BJ$99,1))),0)</f>
        <v>0</v>
      </c>
      <c r="BK137">
        <f>IF(예비비!$R137="OK",SUMIFS(예비비!$O$430:$O$729,예비비!$B$430:$B$729,예비비!$A137,예비비!$E$430:$E$729,"&lt;"&amp;EDATE(BK$99,1),예비비!$F$430:$F$729,"결제대금비")+MAX(0,IF(예비비!$D137&lt;EDATE(BK$99,1),예비비!$E137,0)-SUMIFS(예비비!$O$430:$O$729,예비비!$B$430:$B$729,예비비!$A137,예비비!$E$430:$E$729,"&lt;"&amp;EDATE(BK$99,1))),0)</f>
        <v>0</v>
      </c>
      <c r="BL137">
        <f>IF(예비비!$R137="OK",SUMIFS(예비비!$O$430:$O$729,예비비!$B$430:$B$729,예비비!$A137,예비비!$E$430:$E$729,"&lt;"&amp;EDATE(BL$99,1),예비비!$F$430:$F$729,"결제대금비")+MAX(0,IF(예비비!$D137&lt;EDATE(BL$99,1),예비비!$E137,0)-SUMIFS(예비비!$O$430:$O$729,예비비!$B$430:$B$729,예비비!$A137,예비비!$E$430:$E$729,"&lt;"&amp;EDATE(BL$99,1))),0)</f>
        <v>0</v>
      </c>
      <c r="BM137">
        <f>IF(예비비!$R137="OK",SUMIFS(예비비!$O$430:$O$729,예비비!$B$430:$B$729,예비비!$A137,예비비!$E$430:$E$729,"&lt;"&amp;EDATE(BM$99,1),예비비!$F$430:$F$729,"결제대금비")+MAX(0,IF(예비비!$D137&lt;EDATE(BM$99,1),예비비!$E137,0)-SUMIFS(예비비!$O$430:$O$729,예비비!$B$430:$B$729,예비비!$A137,예비비!$E$430:$E$729,"&lt;"&amp;EDATE(BM$99,1))),0)</f>
        <v>0</v>
      </c>
      <c r="BN137">
        <f>IF(예비비!$R137="OK",SUMIFS(예비비!$O$430:$O$729,예비비!$B$430:$B$729,예비비!$A137,예비비!$E$430:$E$729,"&lt;"&amp;EDATE(BN$99,1),예비비!$F$430:$F$729,"결제대금비")+MAX(0,IF(예비비!$D137&lt;EDATE(BN$99,1),예비비!$E137,0)-SUMIFS(예비비!$O$430:$O$729,예비비!$B$430:$B$729,예비비!$A137,예비비!$E$430:$E$729,"&lt;"&amp;EDATE(BN$99,1))),0)</f>
        <v>0</v>
      </c>
      <c r="BO137">
        <f>IF(예비비!$R137="OK",SUMIFS(예비비!$O$430:$O$729,예비비!$B$430:$B$729,예비비!$A137,예비비!$E$430:$E$729,"&lt;"&amp;EDATE(BO$99,1),예비비!$F$430:$F$729,"결제대금비")+MAX(0,IF(예비비!$D137&lt;EDATE(BO$99,1),예비비!$E137,0)-SUMIFS(예비비!$O$430:$O$729,예비비!$B$430:$B$729,예비비!$A137,예비비!$E$430:$E$729,"&lt;"&amp;EDATE(BO$99,1))),0)</f>
        <v>0</v>
      </c>
      <c r="BP137">
        <f>IF(예비비!$R137="OK",SUMIFS(예비비!$O$430:$O$729,예비비!$B$430:$B$729,예비비!$A137,예비비!$E$430:$E$729,"&lt;"&amp;EDATE(BP$99,1),예비비!$F$430:$F$729,"결제대금비")+MAX(0,IF(예비비!$D137&lt;EDATE(BP$99,1),예비비!$E137,0)-SUMIFS(예비비!$O$430:$O$729,예비비!$B$430:$B$729,예비비!$A137,예비비!$E$430:$E$729,"&lt;"&amp;EDATE(BP$99,1))),0)</f>
        <v>0</v>
      </c>
      <c r="BQ137">
        <f>IF(예비비!$R137="OK",SUMIFS(예비비!$O$430:$O$729,예비비!$B$430:$B$729,예비비!$A137,예비비!$E$430:$E$729,"&lt;"&amp;EDATE(BQ$99,1),예비비!$F$430:$F$729,"결제대금비")+MAX(0,IF(예비비!$D137&lt;EDATE(BQ$99,1),예비비!$E137,0)-SUMIFS(예비비!$O$430:$O$729,예비비!$B$430:$B$729,예비비!$A137,예비비!$E$430:$E$729,"&lt;"&amp;EDATE(BQ$99,1))),0)</f>
        <v>0</v>
      </c>
      <c r="BR137">
        <f>IF(예비비!$R137="OK",SUMIFS(예비비!$O$430:$O$729,예비비!$B$430:$B$729,예비비!$A137,예비비!$E$430:$E$729,"&lt;"&amp;EDATE(BR$99,1),예비비!$F$430:$F$729,"결제대금비")+MAX(0,IF(예비비!$D137&lt;EDATE(BR$99,1),예비비!$E137,0)-SUMIFS(예비비!$O$430:$O$729,예비비!$B$430:$B$729,예비비!$A137,예비비!$E$430:$E$729,"&lt;"&amp;EDATE(BR$99,1))),0)</f>
        <v>0</v>
      </c>
      <c r="BS137">
        <f>IF(예비비!$R137="OK",SUMIFS(예비비!$O$430:$O$729,예비비!$B$430:$B$729,예비비!$A137,예비비!$E$430:$E$729,"&lt;"&amp;EDATE(BS$99,1),예비비!$F$430:$F$729,"결제대금비")+MAX(0,IF(예비비!$D137&lt;EDATE(BS$99,1),예비비!$E137,0)-SUMIFS(예비비!$O$430:$O$729,예비비!$B$430:$B$729,예비비!$A137,예비비!$E$430:$E$729,"&lt;"&amp;EDATE(BS$99,1))),0)</f>
        <v>0</v>
      </c>
      <c r="BT137">
        <f>IF(예비비!$R137="OK",SUMIFS(예비비!$O$430:$O$729,예비비!$B$430:$B$729,예비비!$A137,예비비!$E$430:$E$729,"&lt;"&amp;EDATE(BT$99,1),예비비!$F$430:$F$729,"결제대금비")+MAX(0,IF(예비비!$D137&lt;EDATE(BT$99,1),예비비!$E137,0)-SUMIFS(예비비!$O$430:$O$729,예비비!$B$430:$B$729,예비비!$A137,예비비!$E$430:$E$729,"&lt;"&amp;EDATE(BT$99,1))),0)</f>
        <v>0</v>
      </c>
      <c r="BU137">
        <f>IF(예비비!$R137="OK",SUMIFS(예비비!$O$430:$O$729,예비비!$B$430:$B$729,예비비!$A137,예비비!$E$430:$E$729,"&lt;"&amp;EDATE(BU$99,1),예비비!$F$430:$F$729,"결제대금비")+MAX(0,IF(예비비!$D137&lt;EDATE(BU$99,1),예비비!$E137,0)-SUMIFS(예비비!$O$430:$O$729,예비비!$B$430:$B$729,예비비!$A137,예비비!$E$430:$E$729,"&lt;"&amp;EDATE(BU$99,1))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  <c r="BI138">
        <f>IF(예비비!$R138="OK",SUMIFS(예비비!$O$430:$O$729,예비비!$B$430:$B$729,예비비!$A138,예비비!$E$430:$E$729,"&lt;"&amp;EDATE(BI$99,1),예비비!$F$430:$F$729,"결제대금비")+MAX(0,IF(예비비!$D138&lt;EDATE(BI$99,1),예비비!$E138,0)-SUMIFS(예비비!$O$430:$O$729,예비비!$B$430:$B$729,예비비!$A138,예비비!$E$430:$E$729,"&lt;"&amp;EDATE(BI$99,1))),0)</f>
        <v>0</v>
      </c>
      <c r="BJ138">
        <f>IF(예비비!$R138="OK",SUMIFS(예비비!$O$430:$O$729,예비비!$B$430:$B$729,예비비!$A138,예비비!$E$430:$E$729,"&lt;"&amp;EDATE(BJ$99,1),예비비!$F$430:$F$729,"결제대금비")+MAX(0,IF(예비비!$D138&lt;EDATE(BJ$99,1),예비비!$E138,0)-SUMIFS(예비비!$O$430:$O$729,예비비!$B$430:$B$729,예비비!$A138,예비비!$E$430:$E$729,"&lt;"&amp;EDATE(BJ$99,1))),0)</f>
        <v>0</v>
      </c>
      <c r="BK138">
        <f>IF(예비비!$R138="OK",SUMIFS(예비비!$O$430:$O$729,예비비!$B$430:$B$729,예비비!$A138,예비비!$E$430:$E$729,"&lt;"&amp;EDATE(BK$99,1),예비비!$F$430:$F$729,"결제대금비")+MAX(0,IF(예비비!$D138&lt;EDATE(BK$99,1),예비비!$E138,0)-SUMIFS(예비비!$O$430:$O$729,예비비!$B$430:$B$729,예비비!$A138,예비비!$E$430:$E$729,"&lt;"&amp;EDATE(BK$99,1))),0)</f>
        <v>0</v>
      </c>
      <c r="BL138">
        <f>IF(예비비!$R138="OK",SUMIFS(예비비!$O$430:$O$729,예비비!$B$430:$B$729,예비비!$A138,예비비!$E$430:$E$729,"&lt;"&amp;EDATE(BL$99,1),예비비!$F$430:$F$729,"결제대금비")+MAX(0,IF(예비비!$D138&lt;EDATE(BL$99,1),예비비!$E138,0)-SUMIFS(예비비!$O$430:$O$729,예비비!$B$430:$B$729,예비비!$A138,예비비!$E$430:$E$729,"&lt;"&amp;EDATE(BL$99,1))),0)</f>
        <v>0</v>
      </c>
      <c r="BM138">
        <f>IF(예비비!$R138="OK",SUMIFS(예비비!$O$430:$O$729,예비비!$B$430:$B$729,예비비!$A138,예비비!$E$430:$E$729,"&lt;"&amp;EDATE(BM$99,1),예비비!$F$430:$F$729,"결제대금비")+MAX(0,IF(예비비!$D138&lt;EDATE(BM$99,1),예비비!$E138,0)-SUMIFS(예비비!$O$430:$O$729,예비비!$B$430:$B$729,예비비!$A138,예비비!$E$430:$E$729,"&lt;"&amp;EDATE(BM$99,1))),0)</f>
        <v>0</v>
      </c>
      <c r="BN138">
        <f>IF(예비비!$R138="OK",SUMIFS(예비비!$O$430:$O$729,예비비!$B$430:$B$729,예비비!$A138,예비비!$E$430:$E$729,"&lt;"&amp;EDATE(BN$99,1),예비비!$F$430:$F$729,"결제대금비")+MAX(0,IF(예비비!$D138&lt;EDATE(BN$99,1),예비비!$E138,0)-SUMIFS(예비비!$O$430:$O$729,예비비!$B$430:$B$729,예비비!$A138,예비비!$E$430:$E$729,"&lt;"&amp;EDATE(BN$99,1))),0)</f>
        <v>0</v>
      </c>
      <c r="BO138">
        <f>IF(예비비!$R138="OK",SUMIFS(예비비!$O$430:$O$729,예비비!$B$430:$B$729,예비비!$A138,예비비!$E$430:$E$729,"&lt;"&amp;EDATE(BO$99,1),예비비!$F$430:$F$729,"결제대금비")+MAX(0,IF(예비비!$D138&lt;EDATE(BO$99,1),예비비!$E138,0)-SUMIFS(예비비!$O$430:$O$729,예비비!$B$430:$B$729,예비비!$A138,예비비!$E$430:$E$729,"&lt;"&amp;EDATE(BO$99,1))),0)</f>
        <v>0</v>
      </c>
      <c r="BP138">
        <f>IF(예비비!$R138="OK",SUMIFS(예비비!$O$430:$O$729,예비비!$B$430:$B$729,예비비!$A138,예비비!$E$430:$E$729,"&lt;"&amp;EDATE(BP$99,1),예비비!$F$430:$F$729,"결제대금비")+MAX(0,IF(예비비!$D138&lt;EDATE(BP$99,1),예비비!$E138,0)-SUMIFS(예비비!$O$430:$O$729,예비비!$B$430:$B$729,예비비!$A138,예비비!$E$430:$E$729,"&lt;"&amp;EDATE(BP$99,1))),0)</f>
        <v>0</v>
      </c>
      <c r="BQ138">
        <f>IF(예비비!$R138="OK",SUMIFS(예비비!$O$430:$O$729,예비비!$B$430:$B$729,예비비!$A138,예비비!$E$430:$E$729,"&lt;"&amp;EDATE(BQ$99,1),예비비!$F$430:$F$729,"결제대금비")+MAX(0,IF(예비비!$D138&lt;EDATE(BQ$99,1),예비비!$E138,0)-SUMIFS(예비비!$O$430:$O$729,예비비!$B$430:$B$729,예비비!$A138,예비비!$E$430:$E$729,"&lt;"&amp;EDATE(BQ$99,1))),0)</f>
        <v>0</v>
      </c>
      <c r="BR138">
        <f>IF(예비비!$R138="OK",SUMIFS(예비비!$O$430:$O$729,예비비!$B$430:$B$729,예비비!$A138,예비비!$E$430:$E$729,"&lt;"&amp;EDATE(BR$99,1),예비비!$F$430:$F$729,"결제대금비")+MAX(0,IF(예비비!$D138&lt;EDATE(BR$99,1),예비비!$E138,0)-SUMIFS(예비비!$O$430:$O$729,예비비!$B$430:$B$729,예비비!$A138,예비비!$E$430:$E$729,"&lt;"&amp;EDATE(BR$99,1))),0)</f>
        <v>0</v>
      </c>
      <c r="BS138">
        <f>IF(예비비!$R138="OK",SUMIFS(예비비!$O$430:$O$729,예비비!$B$430:$B$729,예비비!$A138,예비비!$E$430:$E$729,"&lt;"&amp;EDATE(BS$99,1),예비비!$F$430:$F$729,"결제대금비")+MAX(0,IF(예비비!$D138&lt;EDATE(BS$99,1),예비비!$E138,0)-SUMIFS(예비비!$O$430:$O$729,예비비!$B$430:$B$729,예비비!$A138,예비비!$E$430:$E$729,"&lt;"&amp;EDATE(BS$99,1))),0)</f>
        <v>0</v>
      </c>
      <c r="BT138">
        <f>IF(예비비!$R138="OK",SUMIFS(예비비!$O$430:$O$729,예비비!$B$430:$B$729,예비비!$A138,예비비!$E$430:$E$729,"&lt;"&amp;EDATE(BT$99,1),예비비!$F$430:$F$729,"결제대금비")+MAX(0,IF(예비비!$D138&lt;EDATE(BT$99,1),예비비!$E138,0)-SUMIFS(예비비!$O$430:$O$729,예비비!$B$430:$B$729,예비비!$A138,예비비!$E$430:$E$729,"&lt;"&amp;EDATE(BT$99,1))),0)</f>
        <v>0</v>
      </c>
      <c r="BU138">
        <f>IF(예비비!$R138="OK",SUMIFS(예비비!$O$430:$O$729,예비비!$B$430:$B$729,예비비!$A138,예비비!$E$430:$E$729,"&lt;"&amp;EDATE(BU$99,1),예비비!$F$430:$F$729,"결제대금비")+MAX(0,IF(예비비!$D138&lt;EDATE(BU$99,1),예비비!$E138,0)-SUMIFS(예비비!$O$430:$O$729,예비비!$B$430:$B$729,예비비!$A138,예비비!$E$430:$E$729,"&lt;"&amp;EDATE(BU$99,1))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  <c r="BI139">
        <f>IF(예비비!$R139="OK",SUMIFS(예비비!$O$430:$O$729,예비비!$B$430:$B$729,예비비!$A139,예비비!$E$430:$E$729,"&lt;"&amp;EDATE(BI$99,1),예비비!$F$430:$F$729,"결제대금비")+MAX(0,IF(예비비!$D139&lt;EDATE(BI$99,1),예비비!$E139,0)-SUMIFS(예비비!$O$430:$O$729,예비비!$B$430:$B$729,예비비!$A139,예비비!$E$430:$E$729,"&lt;"&amp;EDATE(BI$99,1))),0)</f>
        <v>0</v>
      </c>
      <c r="BJ139">
        <f>IF(예비비!$R139="OK",SUMIFS(예비비!$O$430:$O$729,예비비!$B$430:$B$729,예비비!$A139,예비비!$E$430:$E$729,"&lt;"&amp;EDATE(BJ$99,1),예비비!$F$430:$F$729,"결제대금비")+MAX(0,IF(예비비!$D139&lt;EDATE(BJ$99,1),예비비!$E139,0)-SUMIFS(예비비!$O$430:$O$729,예비비!$B$430:$B$729,예비비!$A139,예비비!$E$430:$E$729,"&lt;"&amp;EDATE(BJ$99,1))),0)</f>
        <v>0</v>
      </c>
      <c r="BK139">
        <f>IF(예비비!$R139="OK",SUMIFS(예비비!$O$430:$O$729,예비비!$B$430:$B$729,예비비!$A139,예비비!$E$430:$E$729,"&lt;"&amp;EDATE(BK$99,1),예비비!$F$430:$F$729,"결제대금비")+MAX(0,IF(예비비!$D139&lt;EDATE(BK$99,1),예비비!$E139,0)-SUMIFS(예비비!$O$430:$O$729,예비비!$B$430:$B$729,예비비!$A139,예비비!$E$430:$E$729,"&lt;"&amp;EDATE(BK$99,1))),0)</f>
        <v>0</v>
      </c>
      <c r="BL139">
        <f>IF(예비비!$R139="OK",SUMIFS(예비비!$O$430:$O$729,예비비!$B$430:$B$729,예비비!$A139,예비비!$E$430:$E$729,"&lt;"&amp;EDATE(BL$99,1),예비비!$F$430:$F$729,"결제대금비")+MAX(0,IF(예비비!$D139&lt;EDATE(BL$99,1),예비비!$E139,0)-SUMIFS(예비비!$O$430:$O$729,예비비!$B$430:$B$729,예비비!$A139,예비비!$E$430:$E$729,"&lt;"&amp;EDATE(BL$99,1))),0)</f>
        <v>0</v>
      </c>
      <c r="BM139">
        <f>IF(예비비!$R139="OK",SUMIFS(예비비!$O$430:$O$729,예비비!$B$430:$B$729,예비비!$A139,예비비!$E$430:$E$729,"&lt;"&amp;EDATE(BM$99,1),예비비!$F$430:$F$729,"결제대금비")+MAX(0,IF(예비비!$D139&lt;EDATE(BM$99,1),예비비!$E139,0)-SUMIFS(예비비!$O$430:$O$729,예비비!$B$430:$B$729,예비비!$A139,예비비!$E$430:$E$729,"&lt;"&amp;EDATE(BM$99,1))),0)</f>
        <v>0</v>
      </c>
      <c r="BN139">
        <f>IF(예비비!$R139="OK",SUMIFS(예비비!$O$430:$O$729,예비비!$B$430:$B$729,예비비!$A139,예비비!$E$430:$E$729,"&lt;"&amp;EDATE(BN$99,1),예비비!$F$430:$F$729,"결제대금비")+MAX(0,IF(예비비!$D139&lt;EDATE(BN$99,1),예비비!$E139,0)-SUMIFS(예비비!$O$430:$O$729,예비비!$B$430:$B$729,예비비!$A139,예비비!$E$430:$E$729,"&lt;"&amp;EDATE(BN$99,1))),0)</f>
        <v>0</v>
      </c>
      <c r="BO139">
        <f>IF(예비비!$R139="OK",SUMIFS(예비비!$O$430:$O$729,예비비!$B$430:$B$729,예비비!$A139,예비비!$E$430:$E$729,"&lt;"&amp;EDATE(BO$99,1),예비비!$F$430:$F$729,"결제대금비")+MAX(0,IF(예비비!$D139&lt;EDATE(BO$99,1),예비비!$E139,0)-SUMIFS(예비비!$O$430:$O$729,예비비!$B$430:$B$729,예비비!$A139,예비비!$E$430:$E$729,"&lt;"&amp;EDATE(BO$99,1))),0)</f>
        <v>0</v>
      </c>
      <c r="BP139">
        <f>IF(예비비!$R139="OK",SUMIFS(예비비!$O$430:$O$729,예비비!$B$430:$B$729,예비비!$A139,예비비!$E$430:$E$729,"&lt;"&amp;EDATE(BP$99,1),예비비!$F$430:$F$729,"결제대금비")+MAX(0,IF(예비비!$D139&lt;EDATE(BP$99,1),예비비!$E139,0)-SUMIFS(예비비!$O$430:$O$729,예비비!$B$430:$B$729,예비비!$A139,예비비!$E$430:$E$729,"&lt;"&amp;EDATE(BP$99,1))),0)</f>
        <v>0</v>
      </c>
      <c r="BQ139">
        <f>IF(예비비!$R139="OK",SUMIFS(예비비!$O$430:$O$729,예비비!$B$430:$B$729,예비비!$A139,예비비!$E$430:$E$729,"&lt;"&amp;EDATE(BQ$99,1),예비비!$F$430:$F$729,"결제대금비")+MAX(0,IF(예비비!$D139&lt;EDATE(BQ$99,1),예비비!$E139,0)-SUMIFS(예비비!$O$430:$O$729,예비비!$B$430:$B$729,예비비!$A139,예비비!$E$430:$E$729,"&lt;"&amp;EDATE(BQ$99,1))),0)</f>
        <v>0</v>
      </c>
      <c r="BR139">
        <f>IF(예비비!$R139="OK",SUMIFS(예비비!$O$430:$O$729,예비비!$B$430:$B$729,예비비!$A139,예비비!$E$430:$E$729,"&lt;"&amp;EDATE(BR$99,1),예비비!$F$430:$F$729,"결제대금비")+MAX(0,IF(예비비!$D139&lt;EDATE(BR$99,1),예비비!$E139,0)-SUMIFS(예비비!$O$430:$O$729,예비비!$B$430:$B$729,예비비!$A139,예비비!$E$430:$E$729,"&lt;"&amp;EDATE(BR$99,1))),0)</f>
        <v>0</v>
      </c>
      <c r="BS139">
        <f>IF(예비비!$R139="OK",SUMIFS(예비비!$O$430:$O$729,예비비!$B$430:$B$729,예비비!$A139,예비비!$E$430:$E$729,"&lt;"&amp;EDATE(BS$99,1),예비비!$F$430:$F$729,"결제대금비")+MAX(0,IF(예비비!$D139&lt;EDATE(BS$99,1),예비비!$E139,0)-SUMIFS(예비비!$O$430:$O$729,예비비!$B$430:$B$729,예비비!$A139,예비비!$E$430:$E$729,"&lt;"&amp;EDATE(BS$99,1))),0)</f>
        <v>0</v>
      </c>
      <c r="BT139">
        <f>IF(예비비!$R139="OK",SUMIFS(예비비!$O$430:$O$729,예비비!$B$430:$B$729,예비비!$A139,예비비!$E$430:$E$729,"&lt;"&amp;EDATE(BT$99,1),예비비!$F$430:$F$729,"결제대금비")+MAX(0,IF(예비비!$D139&lt;EDATE(BT$99,1),예비비!$E139,0)-SUMIFS(예비비!$O$430:$O$729,예비비!$B$430:$B$729,예비비!$A139,예비비!$E$430:$E$729,"&lt;"&amp;EDATE(BT$99,1))),0)</f>
        <v>0</v>
      </c>
      <c r="BU139">
        <f>IF(예비비!$R139="OK",SUMIFS(예비비!$O$430:$O$729,예비비!$B$430:$B$729,예비비!$A139,예비비!$E$430:$E$729,"&lt;"&amp;EDATE(BU$99,1),예비비!$F$430:$F$729,"결제대금비")+MAX(0,IF(예비비!$D139&lt;EDATE(BU$99,1),예비비!$E139,0)-SUMIFS(예비비!$O$430:$O$729,예비비!$B$430:$B$729,예비비!$A139,예비비!$E$430:$E$729,"&lt;"&amp;EDATE(BU$99,1))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  <c r="BI140">
        <f>IF(예비비!$R140="OK",SUMIFS(예비비!$O$430:$O$729,예비비!$B$430:$B$729,예비비!$A140,예비비!$E$430:$E$729,"&lt;"&amp;EDATE(BI$99,1),예비비!$F$430:$F$729,"결제대금비")+MAX(0,IF(예비비!$D140&lt;EDATE(BI$99,1),예비비!$E140,0)-SUMIFS(예비비!$O$430:$O$729,예비비!$B$430:$B$729,예비비!$A140,예비비!$E$430:$E$729,"&lt;"&amp;EDATE(BI$99,1))),0)</f>
        <v>0</v>
      </c>
      <c r="BJ140">
        <f>IF(예비비!$R140="OK",SUMIFS(예비비!$O$430:$O$729,예비비!$B$430:$B$729,예비비!$A140,예비비!$E$430:$E$729,"&lt;"&amp;EDATE(BJ$99,1),예비비!$F$430:$F$729,"결제대금비")+MAX(0,IF(예비비!$D140&lt;EDATE(BJ$99,1),예비비!$E140,0)-SUMIFS(예비비!$O$430:$O$729,예비비!$B$430:$B$729,예비비!$A140,예비비!$E$430:$E$729,"&lt;"&amp;EDATE(BJ$99,1))),0)</f>
        <v>0</v>
      </c>
      <c r="BK140">
        <f>IF(예비비!$R140="OK",SUMIFS(예비비!$O$430:$O$729,예비비!$B$430:$B$729,예비비!$A140,예비비!$E$430:$E$729,"&lt;"&amp;EDATE(BK$99,1),예비비!$F$430:$F$729,"결제대금비")+MAX(0,IF(예비비!$D140&lt;EDATE(BK$99,1),예비비!$E140,0)-SUMIFS(예비비!$O$430:$O$729,예비비!$B$430:$B$729,예비비!$A140,예비비!$E$430:$E$729,"&lt;"&amp;EDATE(BK$99,1))),0)</f>
        <v>0</v>
      </c>
      <c r="BL140">
        <f>IF(예비비!$R140="OK",SUMIFS(예비비!$O$430:$O$729,예비비!$B$430:$B$729,예비비!$A140,예비비!$E$430:$E$729,"&lt;"&amp;EDATE(BL$99,1),예비비!$F$430:$F$729,"결제대금비")+MAX(0,IF(예비비!$D140&lt;EDATE(BL$99,1),예비비!$E140,0)-SUMIFS(예비비!$O$430:$O$729,예비비!$B$430:$B$729,예비비!$A140,예비비!$E$430:$E$729,"&lt;"&amp;EDATE(BL$99,1))),0)</f>
        <v>0</v>
      </c>
      <c r="BM140">
        <f>IF(예비비!$R140="OK",SUMIFS(예비비!$O$430:$O$729,예비비!$B$430:$B$729,예비비!$A140,예비비!$E$430:$E$729,"&lt;"&amp;EDATE(BM$99,1),예비비!$F$430:$F$729,"결제대금비")+MAX(0,IF(예비비!$D140&lt;EDATE(BM$99,1),예비비!$E140,0)-SUMIFS(예비비!$O$430:$O$729,예비비!$B$430:$B$729,예비비!$A140,예비비!$E$430:$E$729,"&lt;"&amp;EDATE(BM$99,1))),0)</f>
        <v>0</v>
      </c>
      <c r="BN140">
        <f>IF(예비비!$R140="OK",SUMIFS(예비비!$O$430:$O$729,예비비!$B$430:$B$729,예비비!$A140,예비비!$E$430:$E$729,"&lt;"&amp;EDATE(BN$99,1),예비비!$F$430:$F$729,"결제대금비")+MAX(0,IF(예비비!$D140&lt;EDATE(BN$99,1),예비비!$E140,0)-SUMIFS(예비비!$O$430:$O$729,예비비!$B$430:$B$729,예비비!$A140,예비비!$E$430:$E$729,"&lt;"&amp;EDATE(BN$99,1))),0)</f>
        <v>0</v>
      </c>
      <c r="BO140">
        <f>IF(예비비!$R140="OK",SUMIFS(예비비!$O$430:$O$729,예비비!$B$430:$B$729,예비비!$A140,예비비!$E$430:$E$729,"&lt;"&amp;EDATE(BO$99,1),예비비!$F$430:$F$729,"결제대금비")+MAX(0,IF(예비비!$D140&lt;EDATE(BO$99,1),예비비!$E140,0)-SUMIFS(예비비!$O$430:$O$729,예비비!$B$430:$B$729,예비비!$A140,예비비!$E$430:$E$729,"&lt;"&amp;EDATE(BO$99,1))),0)</f>
        <v>0</v>
      </c>
      <c r="BP140">
        <f>IF(예비비!$R140="OK",SUMIFS(예비비!$O$430:$O$729,예비비!$B$430:$B$729,예비비!$A140,예비비!$E$430:$E$729,"&lt;"&amp;EDATE(BP$99,1),예비비!$F$430:$F$729,"결제대금비")+MAX(0,IF(예비비!$D140&lt;EDATE(BP$99,1),예비비!$E140,0)-SUMIFS(예비비!$O$430:$O$729,예비비!$B$430:$B$729,예비비!$A140,예비비!$E$430:$E$729,"&lt;"&amp;EDATE(BP$99,1))),0)</f>
        <v>0</v>
      </c>
      <c r="BQ140">
        <f>IF(예비비!$R140="OK",SUMIFS(예비비!$O$430:$O$729,예비비!$B$430:$B$729,예비비!$A140,예비비!$E$430:$E$729,"&lt;"&amp;EDATE(BQ$99,1),예비비!$F$430:$F$729,"결제대금비")+MAX(0,IF(예비비!$D140&lt;EDATE(BQ$99,1),예비비!$E140,0)-SUMIFS(예비비!$O$430:$O$729,예비비!$B$430:$B$729,예비비!$A140,예비비!$E$430:$E$729,"&lt;"&amp;EDATE(BQ$99,1))),0)</f>
        <v>0</v>
      </c>
      <c r="BR140">
        <f>IF(예비비!$R140="OK",SUMIFS(예비비!$O$430:$O$729,예비비!$B$430:$B$729,예비비!$A140,예비비!$E$430:$E$729,"&lt;"&amp;EDATE(BR$99,1),예비비!$F$430:$F$729,"결제대금비")+MAX(0,IF(예비비!$D140&lt;EDATE(BR$99,1),예비비!$E140,0)-SUMIFS(예비비!$O$430:$O$729,예비비!$B$430:$B$729,예비비!$A140,예비비!$E$430:$E$729,"&lt;"&amp;EDATE(BR$99,1))),0)</f>
        <v>0</v>
      </c>
      <c r="BS140">
        <f>IF(예비비!$R140="OK",SUMIFS(예비비!$O$430:$O$729,예비비!$B$430:$B$729,예비비!$A140,예비비!$E$430:$E$729,"&lt;"&amp;EDATE(BS$99,1),예비비!$F$430:$F$729,"결제대금비")+MAX(0,IF(예비비!$D140&lt;EDATE(BS$99,1),예비비!$E140,0)-SUMIFS(예비비!$O$430:$O$729,예비비!$B$430:$B$729,예비비!$A140,예비비!$E$430:$E$729,"&lt;"&amp;EDATE(BS$99,1))),0)</f>
        <v>0</v>
      </c>
      <c r="BT140">
        <f>IF(예비비!$R140="OK",SUMIFS(예비비!$O$430:$O$729,예비비!$B$430:$B$729,예비비!$A140,예비비!$E$430:$E$729,"&lt;"&amp;EDATE(BT$99,1),예비비!$F$430:$F$729,"결제대금비")+MAX(0,IF(예비비!$D140&lt;EDATE(BT$99,1),예비비!$E140,0)-SUMIFS(예비비!$O$430:$O$729,예비비!$B$430:$B$729,예비비!$A140,예비비!$E$430:$E$729,"&lt;"&amp;EDATE(BT$99,1))),0)</f>
        <v>0</v>
      </c>
      <c r="BU140">
        <f>IF(예비비!$R140="OK",SUMIFS(예비비!$O$430:$O$729,예비비!$B$430:$B$729,예비비!$A140,예비비!$E$430:$E$729,"&lt;"&amp;EDATE(BU$99,1),예비비!$F$430:$F$729,"결제대금비")+MAX(0,IF(예비비!$D140&lt;EDATE(BU$99,1),예비비!$E140,0)-SUMIFS(예비비!$O$430:$O$729,예비비!$B$430:$B$729,예비비!$A140,예비비!$E$430:$E$729,"&lt;"&amp;EDATE(BU$99,1))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  <c r="BI141">
        <f>IF(예비비!$R141="OK",SUMIFS(예비비!$O$430:$O$729,예비비!$B$430:$B$729,예비비!$A141,예비비!$E$430:$E$729,"&lt;"&amp;EDATE(BI$99,1),예비비!$F$430:$F$729,"결제대금비")+MAX(0,IF(예비비!$D141&lt;EDATE(BI$99,1),예비비!$E141,0)-SUMIFS(예비비!$O$430:$O$729,예비비!$B$430:$B$729,예비비!$A141,예비비!$E$430:$E$729,"&lt;"&amp;EDATE(BI$99,1))),0)</f>
        <v>0</v>
      </c>
      <c r="BJ141">
        <f>IF(예비비!$R141="OK",SUMIFS(예비비!$O$430:$O$729,예비비!$B$430:$B$729,예비비!$A141,예비비!$E$430:$E$729,"&lt;"&amp;EDATE(BJ$99,1),예비비!$F$430:$F$729,"결제대금비")+MAX(0,IF(예비비!$D141&lt;EDATE(BJ$99,1),예비비!$E141,0)-SUMIFS(예비비!$O$430:$O$729,예비비!$B$430:$B$729,예비비!$A141,예비비!$E$430:$E$729,"&lt;"&amp;EDATE(BJ$99,1))),0)</f>
        <v>0</v>
      </c>
      <c r="BK141">
        <f>IF(예비비!$R141="OK",SUMIFS(예비비!$O$430:$O$729,예비비!$B$430:$B$729,예비비!$A141,예비비!$E$430:$E$729,"&lt;"&amp;EDATE(BK$99,1),예비비!$F$430:$F$729,"결제대금비")+MAX(0,IF(예비비!$D141&lt;EDATE(BK$99,1),예비비!$E141,0)-SUMIFS(예비비!$O$430:$O$729,예비비!$B$430:$B$729,예비비!$A141,예비비!$E$430:$E$729,"&lt;"&amp;EDATE(BK$99,1))),0)</f>
        <v>0</v>
      </c>
      <c r="BL141">
        <f>IF(예비비!$R141="OK",SUMIFS(예비비!$O$430:$O$729,예비비!$B$430:$B$729,예비비!$A141,예비비!$E$430:$E$729,"&lt;"&amp;EDATE(BL$99,1),예비비!$F$430:$F$729,"결제대금비")+MAX(0,IF(예비비!$D141&lt;EDATE(BL$99,1),예비비!$E141,0)-SUMIFS(예비비!$O$430:$O$729,예비비!$B$430:$B$729,예비비!$A141,예비비!$E$430:$E$729,"&lt;"&amp;EDATE(BL$99,1))),0)</f>
        <v>0</v>
      </c>
      <c r="BM141">
        <f>IF(예비비!$R141="OK",SUMIFS(예비비!$O$430:$O$729,예비비!$B$430:$B$729,예비비!$A141,예비비!$E$430:$E$729,"&lt;"&amp;EDATE(BM$99,1),예비비!$F$430:$F$729,"결제대금비")+MAX(0,IF(예비비!$D141&lt;EDATE(BM$99,1),예비비!$E141,0)-SUMIFS(예비비!$O$430:$O$729,예비비!$B$430:$B$729,예비비!$A141,예비비!$E$430:$E$729,"&lt;"&amp;EDATE(BM$99,1))),0)</f>
        <v>0</v>
      </c>
      <c r="BN141">
        <f>IF(예비비!$R141="OK",SUMIFS(예비비!$O$430:$O$729,예비비!$B$430:$B$729,예비비!$A141,예비비!$E$430:$E$729,"&lt;"&amp;EDATE(BN$99,1),예비비!$F$430:$F$729,"결제대금비")+MAX(0,IF(예비비!$D141&lt;EDATE(BN$99,1),예비비!$E141,0)-SUMIFS(예비비!$O$430:$O$729,예비비!$B$430:$B$729,예비비!$A141,예비비!$E$430:$E$729,"&lt;"&amp;EDATE(BN$99,1))),0)</f>
        <v>0</v>
      </c>
      <c r="BO141">
        <f>IF(예비비!$R141="OK",SUMIFS(예비비!$O$430:$O$729,예비비!$B$430:$B$729,예비비!$A141,예비비!$E$430:$E$729,"&lt;"&amp;EDATE(BO$99,1),예비비!$F$430:$F$729,"결제대금비")+MAX(0,IF(예비비!$D141&lt;EDATE(BO$99,1),예비비!$E141,0)-SUMIFS(예비비!$O$430:$O$729,예비비!$B$430:$B$729,예비비!$A141,예비비!$E$430:$E$729,"&lt;"&amp;EDATE(BO$99,1))),0)</f>
        <v>0</v>
      </c>
      <c r="BP141">
        <f>IF(예비비!$R141="OK",SUMIFS(예비비!$O$430:$O$729,예비비!$B$430:$B$729,예비비!$A141,예비비!$E$430:$E$729,"&lt;"&amp;EDATE(BP$99,1),예비비!$F$430:$F$729,"결제대금비")+MAX(0,IF(예비비!$D141&lt;EDATE(BP$99,1),예비비!$E141,0)-SUMIFS(예비비!$O$430:$O$729,예비비!$B$430:$B$729,예비비!$A141,예비비!$E$430:$E$729,"&lt;"&amp;EDATE(BP$99,1))),0)</f>
        <v>0</v>
      </c>
      <c r="BQ141">
        <f>IF(예비비!$R141="OK",SUMIFS(예비비!$O$430:$O$729,예비비!$B$430:$B$729,예비비!$A141,예비비!$E$430:$E$729,"&lt;"&amp;EDATE(BQ$99,1),예비비!$F$430:$F$729,"결제대금비")+MAX(0,IF(예비비!$D141&lt;EDATE(BQ$99,1),예비비!$E141,0)-SUMIFS(예비비!$O$430:$O$729,예비비!$B$430:$B$729,예비비!$A141,예비비!$E$430:$E$729,"&lt;"&amp;EDATE(BQ$99,1))),0)</f>
        <v>0</v>
      </c>
      <c r="BR141">
        <f>IF(예비비!$R141="OK",SUMIFS(예비비!$O$430:$O$729,예비비!$B$430:$B$729,예비비!$A141,예비비!$E$430:$E$729,"&lt;"&amp;EDATE(BR$99,1),예비비!$F$430:$F$729,"결제대금비")+MAX(0,IF(예비비!$D141&lt;EDATE(BR$99,1),예비비!$E141,0)-SUMIFS(예비비!$O$430:$O$729,예비비!$B$430:$B$729,예비비!$A141,예비비!$E$430:$E$729,"&lt;"&amp;EDATE(BR$99,1))),0)</f>
        <v>0</v>
      </c>
      <c r="BS141">
        <f>IF(예비비!$R141="OK",SUMIFS(예비비!$O$430:$O$729,예비비!$B$430:$B$729,예비비!$A141,예비비!$E$430:$E$729,"&lt;"&amp;EDATE(BS$99,1),예비비!$F$430:$F$729,"결제대금비")+MAX(0,IF(예비비!$D141&lt;EDATE(BS$99,1),예비비!$E141,0)-SUMIFS(예비비!$O$430:$O$729,예비비!$B$430:$B$729,예비비!$A141,예비비!$E$430:$E$729,"&lt;"&amp;EDATE(BS$99,1))),0)</f>
        <v>0</v>
      </c>
      <c r="BT141">
        <f>IF(예비비!$R141="OK",SUMIFS(예비비!$O$430:$O$729,예비비!$B$430:$B$729,예비비!$A141,예비비!$E$430:$E$729,"&lt;"&amp;EDATE(BT$99,1),예비비!$F$430:$F$729,"결제대금비")+MAX(0,IF(예비비!$D141&lt;EDATE(BT$99,1),예비비!$E141,0)-SUMIFS(예비비!$O$430:$O$729,예비비!$B$430:$B$729,예비비!$A141,예비비!$E$430:$E$729,"&lt;"&amp;EDATE(BT$99,1))),0)</f>
        <v>0</v>
      </c>
      <c r="BU141">
        <f>IF(예비비!$R141="OK",SUMIFS(예비비!$O$430:$O$729,예비비!$B$430:$B$729,예비비!$A141,예비비!$E$430:$E$729,"&lt;"&amp;EDATE(BU$99,1),예비비!$F$430:$F$729,"결제대금비")+MAX(0,IF(예비비!$D141&lt;EDATE(BU$99,1),예비비!$E141,0)-SUMIFS(예비비!$O$430:$O$729,예비비!$B$430:$B$729,예비비!$A141,예비비!$E$430:$E$729,"&lt;"&amp;EDATE(BU$99,1))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  <c r="BI142">
        <f>IF(예비비!$R142="OK",SUMIFS(예비비!$O$430:$O$729,예비비!$B$430:$B$729,예비비!$A142,예비비!$E$430:$E$729,"&lt;"&amp;EDATE(BI$99,1),예비비!$F$430:$F$729,"결제대금비")+MAX(0,IF(예비비!$D142&lt;EDATE(BI$99,1),예비비!$E142,0)-SUMIFS(예비비!$O$430:$O$729,예비비!$B$430:$B$729,예비비!$A142,예비비!$E$430:$E$729,"&lt;"&amp;EDATE(BI$99,1))),0)</f>
        <v>0</v>
      </c>
      <c r="BJ142">
        <f>IF(예비비!$R142="OK",SUMIFS(예비비!$O$430:$O$729,예비비!$B$430:$B$729,예비비!$A142,예비비!$E$430:$E$729,"&lt;"&amp;EDATE(BJ$99,1),예비비!$F$430:$F$729,"결제대금비")+MAX(0,IF(예비비!$D142&lt;EDATE(BJ$99,1),예비비!$E142,0)-SUMIFS(예비비!$O$430:$O$729,예비비!$B$430:$B$729,예비비!$A142,예비비!$E$430:$E$729,"&lt;"&amp;EDATE(BJ$99,1))),0)</f>
        <v>0</v>
      </c>
      <c r="BK142">
        <f>IF(예비비!$R142="OK",SUMIFS(예비비!$O$430:$O$729,예비비!$B$430:$B$729,예비비!$A142,예비비!$E$430:$E$729,"&lt;"&amp;EDATE(BK$99,1),예비비!$F$430:$F$729,"결제대금비")+MAX(0,IF(예비비!$D142&lt;EDATE(BK$99,1),예비비!$E142,0)-SUMIFS(예비비!$O$430:$O$729,예비비!$B$430:$B$729,예비비!$A142,예비비!$E$430:$E$729,"&lt;"&amp;EDATE(BK$99,1))),0)</f>
        <v>0</v>
      </c>
      <c r="BL142">
        <f>IF(예비비!$R142="OK",SUMIFS(예비비!$O$430:$O$729,예비비!$B$430:$B$729,예비비!$A142,예비비!$E$430:$E$729,"&lt;"&amp;EDATE(BL$99,1),예비비!$F$430:$F$729,"결제대금비")+MAX(0,IF(예비비!$D142&lt;EDATE(BL$99,1),예비비!$E142,0)-SUMIFS(예비비!$O$430:$O$729,예비비!$B$430:$B$729,예비비!$A142,예비비!$E$430:$E$729,"&lt;"&amp;EDATE(BL$99,1))),0)</f>
        <v>0</v>
      </c>
      <c r="BM142">
        <f>IF(예비비!$R142="OK",SUMIFS(예비비!$O$430:$O$729,예비비!$B$430:$B$729,예비비!$A142,예비비!$E$430:$E$729,"&lt;"&amp;EDATE(BM$99,1),예비비!$F$430:$F$729,"결제대금비")+MAX(0,IF(예비비!$D142&lt;EDATE(BM$99,1),예비비!$E142,0)-SUMIFS(예비비!$O$430:$O$729,예비비!$B$430:$B$729,예비비!$A142,예비비!$E$430:$E$729,"&lt;"&amp;EDATE(BM$99,1))),0)</f>
        <v>0</v>
      </c>
      <c r="BN142">
        <f>IF(예비비!$R142="OK",SUMIFS(예비비!$O$430:$O$729,예비비!$B$430:$B$729,예비비!$A142,예비비!$E$430:$E$729,"&lt;"&amp;EDATE(BN$99,1),예비비!$F$430:$F$729,"결제대금비")+MAX(0,IF(예비비!$D142&lt;EDATE(BN$99,1),예비비!$E142,0)-SUMIFS(예비비!$O$430:$O$729,예비비!$B$430:$B$729,예비비!$A142,예비비!$E$430:$E$729,"&lt;"&amp;EDATE(BN$99,1))),0)</f>
        <v>0</v>
      </c>
      <c r="BO142">
        <f>IF(예비비!$R142="OK",SUMIFS(예비비!$O$430:$O$729,예비비!$B$430:$B$729,예비비!$A142,예비비!$E$430:$E$729,"&lt;"&amp;EDATE(BO$99,1),예비비!$F$430:$F$729,"결제대금비")+MAX(0,IF(예비비!$D142&lt;EDATE(BO$99,1),예비비!$E142,0)-SUMIFS(예비비!$O$430:$O$729,예비비!$B$430:$B$729,예비비!$A142,예비비!$E$430:$E$729,"&lt;"&amp;EDATE(BO$99,1))),0)</f>
        <v>0</v>
      </c>
      <c r="BP142">
        <f>IF(예비비!$R142="OK",SUMIFS(예비비!$O$430:$O$729,예비비!$B$430:$B$729,예비비!$A142,예비비!$E$430:$E$729,"&lt;"&amp;EDATE(BP$99,1),예비비!$F$430:$F$729,"결제대금비")+MAX(0,IF(예비비!$D142&lt;EDATE(BP$99,1),예비비!$E142,0)-SUMIFS(예비비!$O$430:$O$729,예비비!$B$430:$B$729,예비비!$A142,예비비!$E$430:$E$729,"&lt;"&amp;EDATE(BP$99,1))),0)</f>
        <v>0</v>
      </c>
      <c r="BQ142">
        <f>IF(예비비!$R142="OK",SUMIFS(예비비!$O$430:$O$729,예비비!$B$430:$B$729,예비비!$A142,예비비!$E$430:$E$729,"&lt;"&amp;EDATE(BQ$99,1),예비비!$F$430:$F$729,"결제대금비")+MAX(0,IF(예비비!$D142&lt;EDATE(BQ$99,1),예비비!$E142,0)-SUMIFS(예비비!$O$430:$O$729,예비비!$B$430:$B$729,예비비!$A142,예비비!$E$430:$E$729,"&lt;"&amp;EDATE(BQ$99,1))),0)</f>
        <v>0</v>
      </c>
      <c r="BR142">
        <f>IF(예비비!$R142="OK",SUMIFS(예비비!$O$430:$O$729,예비비!$B$430:$B$729,예비비!$A142,예비비!$E$430:$E$729,"&lt;"&amp;EDATE(BR$99,1),예비비!$F$430:$F$729,"결제대금비")+MAX(0,IF(예비비!$D142&lt;EDATE(BR$99,1),예비비!$E142,0)-SUMIFS(예비비!$O$430:$O$729,예비비!$B$430:$B$729,예비비!$A142,예비비!$E$430:$E$729,"&lt;"&amp;EDATE(BR$99,1))),0)</f>
        <v>0</v>
      </c>
      <c r="BS142">
        <f>IF(예비비!$R142="OK",SUMIFS(예비비!$O$430:$O$729,예비비!$B$430:$B$729,예비비!$A142,예비비!$E$430:$E$729,"&lt;"&amp;EDATE(BS$99,1),예비비!$F$430:$F$729,"결제대금비")+MAX(0,IF(예비비!$D142&lt;EDATE(BS$99,1),예비비!$E142,0)-SUMIFS(예비비!$O$430:$O$729,예비비!$B$430:$B$729,예비비!$A142,예비비!$E$430:$E$729,"&lt;"&amp;EDATE(BS$99,1))),0)</f>
        <v>0</v>
      </c>
      <c r="BT142">
        <f>IF(예비비!$R142="OK",SUMIFS(예비비!$O$430:$O$729,예비비!$B$430:$B$729,예비비!$A142,예비비!$E$430:$E$729,"&lt;"&amp;EDATE(BT$99,1),예비비!$F$430:$F$729,"결제대금비")+MAX(0,IF(예비비!$D142&lt;EDATE(BT$99,1),예비비!$E142,0)-SUMIFS(예비비!$O$430:$O$729,예비비!$B$430:$B$729,예비비!$A142,예비비!$E$430:$E$729,"&lt;"&amp;EDATE(BT$99,1))),0)</f>
        <v>0</v>
      </c>
      <c r="BU142">
        <f>IF(예비비!$R142="OK",SUMIFS(예비비!$O$430:$O$729,예비비!$B$430:$B$729,예비비!$A142,예비비!$E$430:$E$729,"&lt;"&amp;EDATE(BU$99,1),예비비!$F$430:$F$729,"결제대금비")+MAX(0,IF(예비비!$D142&lt;EDATE(BU$99,1),예비비!$E142,0)-SUMIFS(예비비!$O$430:$O$729,예비비!$B$430:$B$729,예비비!$A142,예비비!$E$430:$E$729,"&lt;"&amp;EDATE(BU$99,1))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  <c r="BI143">
        <f>IF(예비비!$R143="OK",SUMIFS(예비비!$O$430:$O$729,예비비!$B$430:$B$729,예비비!$A143,예비비!$E$430:$E$729,"&lt;"&amp;EDATE(BI$99,1),예비비!$F$430:$F$729,"결제대금비")+MAX(0,IF(예비비!$D143&lt;EDATE(BI$99,1),예비비!$E143,0)-SUMIFS(예비비!$O$430:$O$729,예비비!$B$430:$B$729,예비비!$A143,예비비!$E$430:$E$729,"&lt;"&amp;EDATE(BI$99,1))),0)</f>
        <v>0</v>
      </c>
      <c r="BJ143">
        <f>IF(예비비!$R143="OK",SUMIFS(예비비!$O$430:$O$729,예비비!$B$430:$B$729,예비비!$A143,예비비!$E$430:$E$729,"&lt;"&amp;EDATE(BJ$99,1),예비비!$F$430:$F$729,"결제대금비")+MAX(0,IF(예비비!$D143&lt;EDATE(BJ$99,1),예비비!$E143,0)-SUMIFS(예비비!$O$430:$O$729,예비비!$B$430:$B$729,예비비!$A143,예비비!$E$430:$E$729,"&lt;"&amp;EDATE(BJ$99,1))),0)</f>
        <v>0</v>
      </c>
      <c r="BK143">
        <f>IF(예비비!$R143="OK",SUMIFS(예비비!$O$430:$O$729,예비비!$B$430:$B$729,예비비!$A143,예비비!$E$430:$E$729,"&lt;"&amp;EDATE(BK$99,1),예비비!$F$430:$F$729,"결제대금비")+MAX(0,IF(예비비!$D143&lt;EDATE(BK$99,1),예비비!$E143,0)-SUMIFS(예비비!$O$430:$O$729,예비비!$B$430:$B$729,예비비!$A143,예비비!$E$430:$E$729,"&lt;"&amp;EDATE(BK$99,1))),0)</f>
        <v>0</v>
      </c>
      <c r="BL143">
        <f>IF(예비비!$R143="OK",SUMIFS(예비비!$O$430:$O$729,예비비!$B$430:$B$729,예비비!$A143,예비비!$E$430:$E$729,"&lt;"&amp;EDATE(BL$99,1),예비비!$F$430:$F$729,"결제대금비")+MAX(0,IF(예비비!$D143&lt;EDATE(BL$99,1),예비비!$E143,0)-SUMIFS(예비비!$O$430:$O$729,예비비!$B$430:$B$729,예비비!$A143,예비비!$E$430:$E$729,"&lt;"&amp;EDATE(BL$99,1))),0)</f>
        <v>0</v>
      </c>
      <c r="BM143">
        <f>IF(예비비!$R143="OK",SUMIFS(예비비!$O$430:$O$729,예비비!$B$430:$B$729,예비비!$A143,예비비!$E$430:$E$729,"&lt;"&amp;EDATE(BM$99,1),예비비!$F$430:$F$729,"결제대금비")+MAX(0,IF(예비비!$D143&lt;EDATE(BM$99,1),예비비!$E143,0)-SUMIFS(예비비!$O$430:$O$729,예비비!$B$430:$B$729,예비비!$A143,예비비!$E$430:$E$729,"&lt;"&amp;EDATE(BM$99,1))),0)</f>
        <v>0</v>
      </c>
      <c r="BN143">
        <f>IF(예비비!$R143="OK",SUMIFS(예비비!$O$430:$O$729,예비비!$B$430:$B$729,예비비!$A143,예비비!$E$430:$E$729,"&lt;"&amp;EDATE(BN$99,1),예비비!$F$430:$F$729,"결제대금비")+MAX(0,IF(예비비!$D143&lt;EDATE(BN$99,1),예비비!$E143,0)-SUMIFS(예비비!$O$430:$O$729,예비비!$B$430:$B$729,예비비!$A143,예비비!$E$430:$E$729,"&lt;"&amp;EDATE(BN$99,1))),0)</f>
        <v>0</v>
      </c>
      <c r="BO143">
        <f>IF(예비비!$R143="OK",SUMIFS(예비비!$O$430:$O$729,예비비!$B$430:$B$729,예비비!$A143,예비비!$E$430:$E$729,"&lt;"&amp;EDATE(BO$99,1),예비비!$F$430:$F$729,"결제대금비")+MAX(0,IF(예비비!$D143&lt;EDATE(BO$99,1),예비비!$E143,0)-SUMIFS(예비비!$O$430:$O$729,예비비!$B$430:$B$729,예비비!$A143,예비비!$E$430:$E$729,"&lt;"&amp;EDATE(BO$99,1))),0)</f>
        <v>0</v>
      </c>
      <c r="BP143">
        <f>IF(예비비!$R143="OK",SUMIFS(예비비!$O$430:$O$729,예비비!$B$430:$B$729,예비비!$A143,예비비!$E$430:$E$729,"&lt;"&amp;EDATE(BP$99,1),예비비!$F$430:$F$729,"결제대금비")+MAX(0,IF(예비비!$D143&lt;EDATE(BP$99,1),예비비!$E143,0)-SUMIFS(예비비!$O$430:$O$729,예비비!$B$430:$B$729,예비비!$A143,예비비!$E$430:$E$729,"&lt;"&amp;EDATE(BP$99,1))),0)</f>
        <v>0</v>
      </c>
      <c r="BQ143">
        <f>IF(예비비!$R143="OK",SUMIFS(예비비!$O$430:$O$729,예비비!$B$430:$B$729,예비비!$A143,예비비!$E$430:$E$729,"&lt;"&amp;EDATE(BQ$99,1),예비비!$F$430:$F$729,"결제대금비")+MAX(0,IF(예비비!$D143&lt;EDATE(BQ$99,1),예비비!$E143,0)-SUMIFS(예비비!$O$430:$O$729,예비비!$B$430:$B$729,예비비!$A143,예비비!$E$430:$E$729,"&lt;"&amp;EDATE(BQ$99,1))),0)</f>
        <v>0</v>
      </c>
      <c r="BR143">
        <f>IF(예비비!$R143="OK",SUMIFS(예비비!$O$430:$O$729,예비비!$B$430:$B$729,예비비!$A143,예비비!$E$430:$E$729,"&lt;"&amp;EDATE(BR$99,1),예비비!$F$430:$F$729,"결제대금비")+MAX(0,IF(예비비!$D143&lt;EDATE(BR$99,1),예비비!$E143,0)-SUMIFS(예비비!$O$430:$O$729,예비비!$B$430:$B$729,예비비!$A143,예비비!$E$430:$E$729,"&lt;"&amp;EDATE(BR$99,1))),0)</f>
        <v>0</v>
      </c>
      <c r="BS143">
        <f>IF(예비비!$R143="OK",SUMIFS(예비비!$O$430:$O$729,예비비!$B$430:$B$729,예비비!$A143,예비비!$E$430:$E$729,"&lt;"&amp;EDATE(BS$99,1),예비비!$F$430:$F$729,"결제대금비")+MAX(0,IF(예비비!$D143&lt;EDATE(BS$99,1),예비비!$E143,0)-SUMIFS(예비비!$O$430:$O$729,예비비!$B$430:$B$729,예비비!$A143,예비비!$E$430:$E$729,"&lt;"&amp;EDATE(BS$99,1))),0)</f>
        <v>0</v>
      </c>
      <c r="BT143">
        <f>IF(예비비!$R143="OK",SUMIFS(예비비!$O$430:$O$729,예비비!$B$430:$B$729,예비비!$A143,예비비!$E$430:$E$729,"&lt;"&amp;EDATE(BT$99,1),예비비!$F$430:$F$729,"결제대금비")+MAX(0,IF(예비비!$D143&lt;EDATE(BT$99,1),예비비!$E143,0)-SUMIFS(예비비!$O$430:$O$729,예비비!$B$430:$B$729,예비비!$A143,예비비!$E$430:$E$729,"&lt;"&amp;EDATE(BT$99,1))),0)</f>
        <v>0</v>
      </c>
      <c r="BU143">
        <f>IF(예비비!$R143="OK",SUMIFS(예비비!$O$430:$O$729,예비비!$B$430:$B$729,예비비!$A143,예비비!$E$430:$E$729,"&lt;"&amp;EDATE(BU$99,1),예비비!$F$430:$F$729,"결제대금비")+MAX(0,IF(예비비!$D143&lt;EDATE(BU$99,1),예비비!$E143,0)-SUMIFS(예비비!$O$430:$O$729,예비비!$B$430:$B$729,예비비!$A143,예비비!$E$430:$E$729,"&lt;"&amp;EDATE(BU$99,1))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  <c r="BI144">
        <f>IF(예비비!$R144="OK",SUMIFS(예비비!$O$430:$O$729,예비비!$B$430:$B$729,예비비!$A144,예비비!$E$430:$E$729,"&lt;"&amp;EDATE(BI$99,1),예비비!$F$430:$F$729,"결제대금비")+MAX(0,IF(예비비!$D144&lt;EDATE(BI$99,1),예비비!$E144,0)-SUMIFS(예비비!$O$430:$O$729,예비비!$B$430:$B$729,예비비!$A144,예비비!$E$430:$E$729,"&lt;"&amp;EDATE(BI$99,1))),0)</f>
        <v>0</v>
      </c>
      <c r="BJ144">
        <f>IF(예비비!$R144="OK",SUMIFS(예비비!$O$430:$O$729,예비비!$B$430:$B$729,예비비!$A144,예비비!$E$430:$E$729,"&lt;"&amp;EDATE(BJ$99,1),예비비!$F$430:$F$729,"결제대금비")+MAX(0,IF(예비비!$D144&lt;EDATE(BJ$99,1),예비비!$E144,0)-SUMIFS(예비비!$O$430:$O$729,예비비!$B$430:$B$729,예비비!$A144,예비비!$E$430:$E$729,"&lt;"&amp;EDATE(BJ$99,1))),0)</f>
        <v>0</v>
      </c>
      <c r="BK144">
        <f>IF(예비비!$R144="OK",SUMIFS(예비비!$O$430:$O$729,예비비!$B$430:$B$729,예비비!$A144,예비비!$E$430:$E$729,"&lt;"&amp;EDATE(BK$99,1),예비비!$F$430:$F$729,"결제대금비")+MAX(0,IF(예비비!$D144&lt;EDATE(BK$99,1),예비비!$E144,0)-SUMIFS(예비비!$O$430:$O$729,예비비!$B$430:$B$729,예비비!$A144,예비비!$E$430:$E$729,"&lt;"&amp;EDATE(BK$99,1))),0)</f>
        <v>0</v>
      </c>
      <c r="BL144">
        <f>IF(예비비!$R144="OK",SUMIFS(예비비!$O$430:$O$729,예비비!$B$430:$B$729,예비비!$A144,예비비!$E$430:$E$729,"&lt;"&amp;EDATE(BL$99,1),예비비!$F$430:$F$729,"결제대금비")+MAX(0,IF(예비비!$D144&lt;EDATE(BL$99,1),예비비!$E144,0)-SUMIFS(예비비!$O$430:$O$729,예비비!$B$430:$B$729,예비비!$A144,예비비!$E$430:$E$729,"&lt;"&amp;EDATE(BL$99,1))),0)</f>
        <v>0</v>
      </c>
      <c r="BM144">
        <f>IF(예비비!$R144="OK",SUMIFS(예비비!$O$430:$O$729,예비비!$B$430:$B$729,예비비!$A144,예비비!$E$430:$E$729,"&lt;"&amp;EDATE(BM$99,1),예비비!$F$430:$F$729,"결제대금비")+MAX(0,IF(예비비!$D144&lt;EDATE(BM$99,1),예비비!$E144,0)-SUMIFS(예비비!$O$430:$O$729,예비비!$B$430:$B$729,예비비!$A144,예비비!$E$430:$E$729,"&lt;"&amp;EDATE(BM$99,1))),0)</f>
        <v>0</v>
      </c>
      <c r="BN144">
        <f>IF(예비비!$R144="OK",SUMIFS(예비비!$O$430:$O$729,예비비!$B$430:$B$729,예비비!$A144,예비비!$E$430:$E$729,"&lt;"&amp;EDATE(BN$99,1),예비비!$F$430:$F$729,"결제대금비")+MAX(0,IF(예비비!$D144&lt;EDATE(BN$99,1),예비비!$E144,0)-SUMIFS(예비비!$O$430:$O$729,예비비!$B$430:$B$729,예비비!$A144,예비비!$E$430:$E$729,"&lt;"&amp;EDATE(BN$99,1))),0)</f>
        <v>0</v>
      </c>
      <c r="BO144">
        <f>IF(예비비!$R144="OK",SUMIFS(예비비!$O$430:$O$729,예비비!$B$430:$B$729,예비비!$A144,예비비!$E$430:$E$729,"&lt;"&amp;EDATE(BO$99,1),예비비!$F$430:$F$729,"결제대금비")+MAX(0,IF(예비비!$D144&lt;EDATE(BO$99,1),예비비!$E144,0)-SUMIFS(예비비!$O$430:$O$729,예비비!$B$430:$B$729,예비비!$A144,예비비!$E$430:$E$729,"&lt;"&amp;EDATE(BO$99,1))),0)</f>
        <v>0</v>
      </c>
      <c r="BP144">
        <f>IF(예비비!$R144="OK",SUMIFS(예비비!$O$430:$O$729,예비비!$B$430:$B$729,예비비!$A144,예비비!$E$430:$E$729,"&lt;"&amp;EDATE(BP$99,1),예비비!$F$430:$F$729,"결제대금비")+MAX(0,IF(예비비!$D144&lt;EDATE(BP$99,1),예비비!$E144,0)-SUMIFS(예비비!$O$430:$O$729,예비비!$B$430:$B$729,예비비!$A144,예비비!$E$430:$E$729,"&lt;"&amp;EDATE(BP$99,1))),0)</f>
        <v>0</v>
      </c>
      <c r="BQ144">
        <f>IF(예비비!$R144="OK",SUMIFS(예비비!$O$430:$O$729,예비비!$B$430:$B$729,예비비!$A144,예비비!$E$430:$E$729,"&lt;"&amp;EDATE(BQ$99,1),예비비!$F$430:$F$729,"결제대금비")+MAX(0,IF(예비비!$D144&lt;EDATE(BQ$99,1),예비비!$E144,0)-SUMIFS(예비비!$O$430:$O$729,예비비!$B$430:$B$729,예비비!$A144,예비비!$E$430:$E$729,"&lt;"&amp;EDATE(BQ$99,1))),0)</f>
        <v>0</v>
      </c>
      <c r="BR144">
        <f>IF(예비비!$R144="OK",SUMIFS(예비비!$O$430:$O$729,예비비!$B$430:$B$729,예비비!$A144,예비비!$E$430:$E$729,"&lt;"&amp;EDATE(BR$99,1),예비비!$F$430:$F$729,"결제대금비")+MAX(0,IF(예비비!$D144&lt;EDATE(BR$99,1),예비비!$E144,0)-SUMIFS(예비비!$O$430:$O$729,예비비!$B$430:$B$729,예비비!$A144,예비비!$E$430:$E$729,"&lt;"&amp;EDATE(BR$99,1))),0)</f>
        <v>0</v>
      </c>
      <c r="BS144">
        <f>IF(예비비!$R144="OK",SUMIFS(예비비!$O$430:$O$729,예비비!$B$430:$B$729,예비비!$A144,예비비!$E$430:$E$729,"&lt;"&amp;EDATE(BS$99,1),예비비!$F$430:$F$729,"결제대금비")+MAX(0,IF(예비비!$D144&lt;EDATE(BS$99,1),예비비!$E144,0)-SUMIFS(예비비!$O$430:$O$729,예비비!$B$430:$B$729,예비비!$A144,예비비!$E$430:$E$729,"&lt;"&amp;EDATE(BS$99,1))),0)</f>
        <v>0</v>
      </c>
      <c r="BT144">
        <f>IF(예비비!$R144="OK",SUMIFS(예비비!$O$430:$O$729,예비비!$B$430:$B$729,예비비!$A144,예비비!$E$430:$E$729,"&lt;"&amp;EDATE(BT$99,1),예비비!$F$430:$F$729,"결제대금비")+MAX(0,IF(예비비!$D144&lt;EDATE(BT$99,1),예비비!$E144,0)-SUMIFS(예비비!$O$430:$O$729,예비비!$B$430:$B$729,예비비!$A144,예비비!$E$430:$E$729,"&lt;"&amp;EDATE(BT$99,1))),0)</f>
        <v>0</v>
      </c>
      <c r="BU144">
        <f>IF(예비비!$R144="OK",SUMIFS(예비비!$O$430:$O$729,예비비!$B$430:$B$729,예비비!$A144,예비비!$E$430:$E$729,"&lt;"&amp;EDATE(BU$99,1),예비비!$F$430:$F$729,"결제대금비")+MAX(0,IF(예비비!$D144&lt;EDATE(BU$99,1),예비비!$E144,0)-SUMIFS(예비비!$O$430:$O$729,예비비!$B$430:$B$729,예비비!$A144,예비비!$E$430:$E$729,"&lt;"&amp;EDATE(BU$99,1))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  <c r="BI145">
        <f>IF(예비비!$R145="OK",SUMIFS(예비비!$O$430:$O$729,예비비!$B$430:$B$729,예비비!$A145,예비비!$E$430:$E$729,"&lt;"&amp;EDATE(BI$99,1),예비비!$F$430:$F$729,"결제대금비")+MAX(0,IF(예비비!$D145&lt;EDATE(BI$99,1),예비비!$E145,0)-SUMIFS(예비비!$O$430:$O$729,예비비!$B$430:$B$729,예비비!$A145,예비비!$E$430:$E$729,"&lt;"&amp;EDATE(BI$99,1))),0)</f>
        <v>0</v>
      </c>
      <c r="BJ145">
        <f>IF(예비비!$R145="OK",SUMIFS(예비비!$O$430:$O$729,예비비!$B$430:$B$729,예비비!$A145,예비비!$E$430:$E$729,"&lt;"&amp;EDATE(BJ$99,1),예비비!$F$430:$F$729,"결제대금비")+MAX(0,IF(예비비!$D145&lt;EDATE(BJ$99,1),예비비!$E145,0)-SUMIFS(예비비!$O$430:$O$729,예비비!$B$430:$B$729,예비비!$A145,예비비!$E$430:$E$729,"&lt;"&amp;EDATE(BJ$99,1))),0)</f>
        <v>0</v>
      </c>
      <c r="BK145">
        <f>IF(예비비!$R145="OK",SUMIFS(예비비!$O$430:$O$729,예비비!$B$430:$B$729,예비비!$A145,예비비!$E$430:$E$729,"&lt;"&amp;EDATE(BK$99,1),예비비!$F$430:$F$729,"결제대금비")+MAX(0,IF(예비비!$D145&lt;EDATE(BK$99,1),예비비!$E145,0)-SUMIFS(예비비!$O$430:$O$729,예비비!$B$430:$B$729,예비비!$A145,예비비!$E$430:$E$729,"&lt;"&amp;EDATE(BK$99,1))),0)</f>
        <v>0</v>
      </c>
      <c r="BL145">
        <f>IF(예비비!$R145="OK",SUMIFS(예비비!$O$430:$O$729,예비비!$B$430:$B$729,예비비!$A145,예비비!$E$430:$E$729,"&lt;"&amp;EDATE(BL$99,1),예비비!$F$430:$F$729,"결제대금비")+MAX(0,IF(예비비!$D145&lt;EDATE(BL$99,1),예비비!$E145,0)-SUMIFS(예비비!$O$430:$O$729,예비비!$B$430:$B$729,예비비!$A145,예비비!$E$430:$E$729,"&lt;"&amp;EDATE(BL$99,1))),0)</f>
        <v>0</v>
      </c>
      <c r="BM145">
        <f>IF(예비비!$R145="OK",SUMIFS(예비비!$O$430:$O$729,예비비!$B$430:$B$729,예비비!$A145,예비비!$E$430:$E$729,"&lt;"&amp;EDATE(BM$99,1),예비비!$F$430:$F$729,"결제대금비")+MAX(0,IF(예비비!$D145&lt;EDATE(BM$99,1),예비비!$E145,0)-SUMIFS(예비비!$O$430:$O$729,예비비!$B$430:$B$729,예비비!$A145,예비비!$E$430:$E$729,"&lt;"&amp;EDATE(BM$99,1))),0)</f>
        <v>0</v>
      </c>
      <c r="BN145">
        <f>IF(예비비!$R145="OK",SUMIFS(예비비!$O$430:$O$729,예비비!$B$430:$B$729,예비비!$A145,예비비!$E$430:$E$729,"&lt;"&amp;EDATE(BN$99,1),예비비!$F$430:$F$729,"결제대금비")+MAX(0,IF(예비비!$D145&lt;EDATE(BN$99,1),예비비!$E145,0)-SUMIFS(예비비!$O$430:$O$729,예비비!$B$430:$B$729,예비비!$A145,예비비!$E$430:$E$729,"&lt;"&amp;EDATE(BN$99,1))),0)</f>
        <v>0</v>
      </c>
      <c r="BO145">
        <f>IF(예비비!$R145="OK",SUMIFS(예비비!$O$430:$O$729,예비비!$B$430:$B$729,예비비!$A145,예비비!$E$430:$E$729,"&lt;"&amp;EDATE(BO$99,1),예비비!$F$430:$F$729,"결제대금비")+MAX(0,IF(예비비!$D145&lt;EDATE(BO$99,1),예비비!$E145,0)-SUMIFS(예비비!$O$430:$O$729,예비비!$B$430:$B$729,예비비!$A145,예비비!$E$430:$E$729,"&lt;"&amp;EDATE(BO$99,1))),0)</f>
        <v>0</v>
      </c>
      <c r="BP145">
        <f>IF(예비비!$R145="OK",SUMIFS(예비비!$O$430:$O$729,예비비!$B$430:$B$729,예비비!$A145,예비비!$E$430:$E$729,"&lt;"&amp;EDATE(BP$99,1),예비비!$F$430:$F$729,"결제대금비")+MAX(0,IF(예비비!$D145&lt;EDATE(BP$99,1),예비비!$E145,0)-SUMIFS(예비비!$O$430:$O$729,예비비!$B$430:$B$729,예비비!$A145,예비비!$E$430:$E$729,"&lt;"&amp;EDATE(BP$99,1))),0)</f>
        <v>0</v>
      </c>
      <c r="BQ145">
        <f>IF(예비비!$R145="OK",SUMIFS(예비비!$O$430:$O$729,예비비!$B$430:$B$729,예비비!$A145,예비비!$E$430:$E$729,"&lt;"&amp;EDATE(BQ$99,1),예비비!$F$430:$F$729,"결제대금비")+MAX(0,IF(예비비!$D145&lt;EDATE(BQ$99,1),예비비!$E145,0)-SUMIFS(예비비!$O$430:$O$729,예비비!$B$430:$B$729,예비비!$A145,예비비!$E$430:$E$729,"&lt;"&amp;EDATE(BQ$99,1))),0)</f>
        <v>0</v>
      </c>
      <c r="BR145">
        <f>IF(예비비!$R145="OK",SUMIFS(예비비!$O$430:$O$729,예비비!$B$430:$B$729,예비비!$A145,예비비!$E$430:$E$729,"&lt;"&amp;EDATE(BR$99,1),예비비!$F$430:$F$729,"결제대금비")+MAX(0,IF(예비비!$D145&lt;EDATE(BR$99,1),예비비!$E145,0)-SUMIFS(예비비!$O$430:$O$729,예비비!$B$430:$B$729,예비비!$A145,예비비!$E$430:$E$729,"&lt;"&amp;EDATE(BR$99,1))),0)</f>
        <v>0</v>
      </c>
      <c r="BS145">
        <f>IF(예비비!$R145="OK",SUMIFS(예비비!$O$430:$O$729,예비비!$B$430:$B$729,예비비!$A145,예비비!$E$430:$E$729,"&lt;"&amp;EDATE(BS$99,1),예비비!$F$430:$F$729,"결제대금비")+MAX(0,IF(예비비!$D145&lt;EDATE(BS$99,1),예비비!$E145,0)-SUMIFS(예비비!$O$430:$O$729,예비비!$B$430:$B$729,예비비!$A145,예비비!$E$430:$E$729,"&lt;"&amp;EDATE(BS$99,1))),0)</f>
        <v>0</v>
      </c>
      <c r="BT145">
        <f>IF(예비비!$R145="OK",SUMIFS(예비비!$O$430:$O$729,예비비!$B$430:$B$729,예비비!$A145,예비비!$E$430:$E$729,"&lt;"&amp;EDATE(BT$99,1),예비비!$F$430:$F$729,"결제대금비")+MAX(0,IF(예비비!$D145&lt;EDATE(BT$99,1),예비비!$E145,0)-SUMIFS(예비비!$O$430:$O$729,예비비!$B$430:$B$729,예비비!$A145,예비비!$E$430:$E$729,"&lt;"&amp;EDATE(BT$99,1))),0)</f>
        <v>0</v>
      </c>
      <c r="BU145">
        <f>IF(예비비!$R145="OK",SUMIFS(예비비!$O$430:$O$729,예비비!$B$430:$B$729,예비비!$A145,예비비!$E$430:$E$729,"&lt;"&amp;EDATE(BU$99,1),예비비!$F$430:$F$729,"결제대금비")+MAX(0,IF(예비비!$D145&lt;EDATE(BU$99,1),예비비!$E145,0)-SUMIFS(예비비!$O$430:$O$729,예비비!$B$430:$B$729,예비비!$A145,예비비!$E$430:$E$729,"&lt;"&amp;EDATE(BU$99,1))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  <c r="BI146">
        <f>IF(예비비!$R146="OK",SUMIFS(예비비!$O$430:$O$729,예비비!$B$430:$B$729,예비비!$A146,예비비!$E$430:$E$729,"&lt;"&amp;EDATE(BI$99,1),예비비!$F$430:$F$729,"결제대금비")+MAX(0,IF(예비비!$D146&lt;EDATE(BI$99,1),예비비!$E146,0)-SUMIFS(예비비!$O$430:$O$729,예비비!$B$430:$B$729,예비비!$A146,예비비!$E$430:$E$729,"&lt;"&amp;EDATE(BI$99,1))),0)</f>
        <v>0</v>
      </c>
      <c r="BJ146">
        <f>IF(예비비!$R146="OK",SUMIFS(예비비!$O$430:$O$729,예비비!$B$430:$B$729,예비비!$A146,예비비!$E$430:$E$729,"&lt;"&amp;EDATE(BJ$99,1),예비비!$F$430:$F$729,"결제대금비")+MAX(0,IF(예비비!$D146&lt;EDATE(BJ$99,1),예비비!$E146,0)-SUMIFS(예비비!$O$430:$O$729,예비비!$B$430:$B$729,예비비!$A146,예비비!$E$430:$E$729,"&lt;"&amp;EDATE(BJ$99,1))),0)</f>
        <v>0</v>
      </c>
      <c r="BK146">
        <f>IF(예비비!$R146="OK",SUMIFS(예비비!$O$430:$O$729,예비비!$B$430:$B$729,예비비!$A146,예비비!$E$430:$E$729,"&lt;"&amp;EDATE(BK$99,1),예비비!$F$430:$F$729,"결제대금비")+MAX(0,IF(예비비!$D146&lt;EDATE(BK$99,1),예비비!$E146,0)-SUMIFS(예비비!$O$430:$O$729,예비비!$B$430:$B$729,예비비!$A146,예비비!$E$430:$E$729,"&lt;"&amp;EDATE(BK$99,1))),0)</f>
        <v>0</v>
      </c>
      <c r="BL146">
        <f>IF(예비비!$R146="OK",SUMIFS(예비비!$O$430:$O$729,예비비!$B$430:$B$729,예비비!$A146,예비비!$E$430:$E$729,"&lt;"&amp;EDATE(BL$99,1),예비비!$F$430:$F$729,"결제대금비")+MAX(0,IF(예비비!$D146&lt;EDATE(BL$99,1),예비비!$E146,0)-SUMIFS(예비비!$O$430:$O$729,예비비!$B$430:$B$729,예비비!$A146,예비비!$E$430:$E$729,"&lt;"&amp;EDATE(BL$99,1))),0)</f>
        <v>0</v>
      </c>
      <c r="BM146">
        <f>IF(예비비!$R146="OK",SUMIFS(예비비!$O$430:$O$729,예비비!$B$430:$B$729,예비비!$A146,예비비!$E$430:$E$729,"&lt;"&amp;EDATE(BM$99,1),예비비!$F$430:$F$729,"결제대금비")+MAX(0,IF(예비비!$D146&lt;EDATE(BM$99,1),예비비!$E146,0)-SUMIFS(예비비!$O$430:$O$729,예비비!$B$430:$B$729,예비비!$A146,예비비!$E$430:$E$729,"&lt;"&amp;EDATE(BM$99,1))),0)</f>
        <v>0</v>
      </c>
      <c r="BN146">
        <f>IF(예비비!$R146="OK",SUMIFS(예비비!$O$430:$O$729,예비비!$B$430:$B$729,예비비!$A146,예비비!$E$430:$E$729,"&lt;"&amp;EDATE(BN$99,1),예비비!$F$430:$F$729,"결제대금비")+MAX(0,IF(예비비!$D146&lt;EDATE(BN$99,1),예비비!$E146,0)-SUMIFS(예비비!$O$430:$O$729,예비비!$B$430:$B$729,예비비!$A146,예비비!$E$430:$E$729,"&lt;"&amp;EDATE(BN$99,1))),0)</f>
        <v>0</v>
      </c>
      <c r="BO146">
        <f>IF(예비비!$R146="OK",SUMIFS(예비비!$O$430:$O$729,예비비!$B$430:$B$729,예비비!$A146,예비비!$E$430:$E$729,"&lt;"&amp;EDATE(BO$99,1),예비비!$F$430:$F$729,"결제대금비")+MAX(0,IF(예비비!$D146&lt;EDATE(BO$99,1),예비비!$E146,0)-SUMIFS(예비비!$O$430:$O$729,예비비!$B$430:$B$729,예비비!$A146,예비비!$E$430:$E$729,"&lt;"&amp;EDATE(BO$99,1))),0)</f>
        <v>0</v>
      </c>
      <c r="BP146">
        <f>IF(예비비!$R146="OK",SUMIFS(예비비!$O$430:$O$729,예비비!$B$430:$B$729,예비비!$A146,예비비!$E$430:$E$729,"&lt;"&amp;EDATE(BP$99,1),예비비!$F$430:$F$729,"결제대금비")+MAX(0,IF(예비비!$D146&lt;EDATE(BP$99,1),예비비!$E146,0)-SUMIFS(예비비!$O$430:$O$729,예비비!$B$430:$B$729,예비비!$A146,예비비!$E$430:$E$729,"&lt;"&amp;EDATE(BP$99,1))),0)</f>
        <v>0</v>
      </c>
      <c r="BQ146">
        <f>IF(예비비!$R146="OK",SUMIFS(예비비!$O$430:$O$729,예비비!$B$430:$B$729,예비비!$A146,예비비!$E$430:$E$729,"&lt;"&amp;EDATE(BQ$99,1),예비비!$F$430:$F$729,"결제대금비")+MAX(0,IF(예비비!$D146&lt;EDATE(BQ$99,1),예비비!$E146,0)-SUMIFS(예비비!$O$430:$O$729,예비비!$B$430:$B$729,예비비!$A146,예비비!$E$430:$E$729,"&lt;"&amp;EDATE(BQ$99,1))),0)</f>
        <v>0</v>
      </c>
      <c r="BR146">
        <f>IF(예비비!$R146="OK",SUMIFS(예비비!$O$430:$O$729,예비비!$B$430:$B$729,예비비!$A146,예비비!$E$430:$E$729,"&lt;"&amp;EDATE(BR$99,1),예비비!$F$430:$F$729,"결제대금비")+MAX(0,IF(예비비!$D146&lt;EDATE(BR$99,1),예비비!$E146,0)-SUMIFS(예비비!$O$430:$O$729,예비비!$B$430:$B$729,예비비!$A146,예비비!$E$430:$E$729,"&lt;"&amp;EDATE(BR$99,1))),0)</f>
        <v>0</v>
      </c>
      <c r="BS146">
        <f>IF(예비비!$R146="OK",SUMIFS(예비비!$O$430:$O$729,예비비!$B$430:$B$729,예비비!$A146,예비비!$E$430:$E$729,"&lt;"&amp;EDATE(BS$99,1),예비비!$F$430:$F$729,"결제대금비")+MAX(0,IF(예비비!$D146&lt;EDATE(BS$99,1),예비비!$E146,0)-SUMIFS(예비비!$O$430:$O$729,예비비!$B$430:$B$729,예비비!$A146,예비비!$E$430:$E$729,"&lt;"&amp;EDATE(BS$99,1))),0)</f>
        <v>0</v>
      </c>
      <c r="BT146">
        <f>IF(예비비!$R146="OK",SUMIFS(예비비!$O$430:$O$729,예비비!$B$430:$B$729,예비비!$A146,예비비!$E$430:$E$729,"&lt;"&amp;EDATE(BT$99,1),예비비!$F$430:$F$729,"결제대금비")+MAX(0,IF(예비비!$D146&lt;EDATE(BT$99,1),예비비!$E146,0)-SUMIFS(예비비!$O$430:$O$729,예비비!$B$430:$B$729,예비비!$A146,예비비!$E$430:$E$729,"&lt;"&amp;EDATE(BT$99,1))),0)</f>
        <v>0</v>
      </c>
      <c r="BU146">
        <f>IF(예비비!$R146="OK",SUMIFS(예비비!$O$430:$O$729,예비비!$B$430:$B$729,예비비!$A146,예비비!$E$430:$E$729,"&lt;"&amp;EDATE(BU$99,1),예비비!$F$430:$F$729,"결제대금비")+MAX(0,IF(예비비!$D146&lt;EDATE(BU$99,1),예비비!$E146,0)-SUMIFS(예비비!$O$430:$O$729,예비비!$B$430:$B$729,예비비!$A146,예비비!$E$430:$E$729,"&lt;"&amp;EDATE(BU$99,1))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  <c r="BI147">
        <f>IF(예비비!$R147="OK",SUMIFS(예비비!$O$430:$O$729,예비비!$B$430:$B$729,예비비!$A147,예비비!$E$430:$E$729,"&lt;"&amp;EDATE(BI$99,1),예비비!$F$430:$F$729,"결제대금비")+MAX(0,IF(예비비!$D147&lt;EDATE(BI$99,1),예비비!$E147,0)-SUMIFS(예비비!$O$430:$O$729,예비비!$B$430:$B$729,예비비!$A147,예비비!$E$430:$E$729,"&lt;"&amp;EDATE(BI$99,1))),0)</f>
        <v>0</v>
      </c>
      <c r="BJ147">
        <f>IF(예비비!$R147="OK",SUMIFS(예비비!$O$430:$O$729,예비비!$B$430:$B$729,예비비!$A147,예비비!$E$430:$E$729,"&lt;"&amp;EDATE(BJ$99,1),예비비!$F$430:$F$729,"결제대금비")+MAX(0,IF(예비비!$D147&lt;EDATE(BJ$99,1),예비비!$E147,0)-SUMIFS(예비비!$O$430:$O$729,예비비!$B$430:$B$729,예비비!$A147,예비비!$E$430:$E$729,"&lt;"&amp;EDATE(BJ$99,1))),0)</f>
        <v>0</v>
      </c>
      <c r="BK147">
        <f>IF(예비비!$R147="OK",SUMIFS(예비비!$O$430:$O$729,예비비!$B$430:$B$729,예비비!$A147,예비비!$E$430:$E$729,"&lt;"&amp;EDATE(BK$99,1),예비비!$F$430:$F$729,"결제대금비")+MAX(0,IF(예비비!$D147&lt;EDATE(BK$99,1),예비비!$E147,0)-SUMIFS(예비비!$O$430:$O$729,예비비!$B$430:$B$729,예비비!$A147,예비비!$E$430:$E$729,"&lt;"&amp;EDATE(BK$99,1))),0)</f>
        <v>0</v>
      </c>
      <c r="BL147">
        <f>IF(예비비!$R147="OK",SUMIFS(예비비!$O$430:$O$729,예비비!$B$430:$B$729,예비비!$A147,예비비!$E$430:$E$729,"&lt;"&amp;EDATE(BL$99,1),예비비!$F$430:$F$729,"결제대금비")+MAX(0,IF(예비비!$D147&lt;EDATE(BL$99,1),예비비!$E147,0)-SUMIFS(예비비!$O$430:$O$729,예비비!$B$430:$B$729,예비비!$A147,예비비!$E$430:$E$729,"&lt;"&amp;EDATE(BL$99,1))),0)</f>
        <v>0</v>
      </c>
      <c r="BM147">
        <f>IF(예비비!$R147="OK",SUMIFS(예비비!$O$430:$O$729,예비비!$B$430:$B$729,예비비!$A147,예비비!$E$430:$E$729,"&lt;"&amp;EDATE(BM$99,1),예비비!$F$430:$F$729,"결제대금비")+MAX(0,IF(예비비!$D147&lt;EDATE(BM$99,1),예비비!$E147,0)-SUMIFS(예비비!$O$430:$O$729,예비비!$B$430:$B$729,예비비!$A147,예비비!$E$430:$E$729,"&lt;"&amp;EDATE(BM$99,1))),0)</f>
        <v>0</v>
      </c>
      <c r="BN147">
        <f>IF(예비비!$R147="OK",SUMIFS(예비비!$O$430:$O$729,예비비!$B$430:$B$729,예비비!$A147,예비비!$E$430:$E$729,"&lt;"&amp;EDATE(BN$99,1),예비비!$F$430:$F$729,"결제대금비")+MAX(0,IF(예비비!$D147&lt;EDATE(BN$99,1),예비비!$E147,0)-SUMIFS(예비비!$O$430:$O$729,예비비!$B$430:$B$729,예비비!$A147,예비비!$E$430:$E$729,"&lt;"&amp;EDATE(BN$99,1))),0)</f>
        <v>0</v>
      </c>
      <c r="BO147">
        <f>IF(예비비!$R147="OK",SUMIFS(예비비!$O$430:$O$729,예비비!$B$430:$B$729,예비비!$A147,예비비!$E$430:$E$729,"&lt;"&amp;EDATE(BO$99,1),예비비!$F$430:$F$729,"결제대금비")+MAX(0,IF(예비비!$D147&lt;EDATE(BO$99,1),예비비!$E147,0)-SUMIFS(예비비!$O$430:$O$729,예비비!$B$430:$B$729,예비비!$A147,예비비!$E$430:$E$729,"&lt;"&amp;EDATE(BO$99,1))),0)</f>
        <v>0</v>
      </c>
      <c r="BP147">
        <f>IF(예비비!$R147="OK",SUMIFS(예비비!$O$430:$O$729,예비비!$B$430:$B$729,예비비!$A147,예비비!$E$430:$E$729,"&lt;"&amp;EDATE(BP$99,1),예비비!$F$430:$F$729,"결제대금비")+MAX(0,IF(예비비!$D147&lt;EDATE(BP$99,1),예비비!$E147,0)-SUMIFS(예비비!$O$430:$O$729,예비비!$B$430:$B$729,예비비!$A147,예비비!$E$430:$E$729,"&lt;"&amp;EDATE(BP$99,1))),0)</f>
        <v>0</v>
      </c>
      <c r="BQ147">
        <f>IF(예비비!$R147="OK",SUMIFS(예비비!$O$430:$O$729,예비비!$B$430:$B$729,예비비!$A147,예비비!$E$430:$E$729,"&lt;"&amp;EDATE(BQ$99,1),예비비!$F$430:$F$729,"결제대금비")+MAX(0,IF(예비비!$D147&lt;EDATE(BQ$99,1),예비비!$E147,0)-SUMIFS(예비비!$O$430:$O$729,예비비!$B$430:$B$729,예비비!$A147,예비비!$E$430:$E$729,"&lt;"&amp;EDATE(BQ$99,1))),0)</f>
        <v>0</v>
      </c>
      <c r="BR147">
        <f>IF(예비비!$R147="OK",SUMIFS(예비비!$O$430:$O$729,예비비!$B$430:$B$729,예비비!$A147,예비비!$E$430:$E$729,"&lt;"&amp;EDATE(BR$99,1),예비비!$F$430:$F$729,"결제대금비")+MAX(0,IF(예비비!$D147&lt;EDATE(BR$99,1),예비비!$E147,0)-SUMIFS(예비비!$O$430:$O$729,예비비!$B$430:$B$729,예비비!$A147,예비비!$E$430:$E$729,"&lt;"&amp;EDATE(BR$99,1))),0)</f>
        <v>0</v>
      </c>
      <c r="BS147">
        <f>IF(예비비!$R147="OK",SUMIFS(예비비!$O$430:$O$729,예비비!$B$430:$B$729,예비비!$A147,예비비!$E$430:$E$729,"&lt;"&amp;EDATE(BS$99,1),예비비!$F$430:$F$729,"결제대금비")+MAX(0,IF(예비비!$D147&lt;EDATE(BS$99,1),예비비!$E147,0)-SUMIFS(예비비!$O$430:$O$729,예비비!$B$430:$B$729,예비비!$A147,예비비!$E$430:$E$729,"&lt;"&amp;EDATE(BS$99,1))),0)</f>
        <v>0</v>
      </c>
      <c r="BT147">
        <f>IF(예비비!$R147="OK",SUMIFS(예비비!$O$430:$O$729,예비비!$B$430:$B$729,예비비!$A147,예비비!$E$430:$E$729,"&lt;"&amp;EDATE(BT$99,1),예비비!$F$430:$F$729,"결제대금비")+MAX(0,IF(예비비!$D147&lt;EDATE(BT$99,1),예비비!$E147,0)-SUMIFS(예비비!$O$430:$O$729,예비비!$B$430:$B$729,예비비!$A147,예비비!$E$430:$E$729,"&lt;"&amp;EDATE(BT$99,1))),0)</f>
        <v>0</v>
      </c>
      <c r="BU147">
        <f>IF(예비비!$R147="OK",SUMIFS(예비비!$O$430:$O$729,예비비!$B$430:$B$729,예비비!$A147,예비비!$E$430:$E$729,"&lt;"&amp;EDATE(BU$99,1),예비비!$F$430:$F$729,"결제대금비")+MAX(0,IF(예비비!$D147&lt;EDATE(BU$99,1),예비비!$E147,0)-SUMIFS(예비비!$O$430:$O$729,예비비!$B$430:$B$729,예비비!$A147,예비비!$E$430:$E$729,"&lt;"&amp;EDATE(BU$99,1))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  <c r="BI148">
        <f>IF(예비비!$R148="OK",SUMIFS(예비비!$O$430:$O$729,예비비!$B$430:$B$729,예비비!$A148,예비비!$E$430:$E$729,"&lt;"&amp;EDATE(BI$99,1),예비비!$F$430:$F$729,"결제대금비")+MAX(0,IF(예비비!$D148&lt;EDATE(BI$99,1),예비비!$E148,0)-SUMIFS(예비비!$O$430:$O$729,예비비!$B$430:$B$729,예비비!$A148,예비비!$E$430:$E$729,"&lt;"&amp;EDATE(BI$99,1))),0)</f>
        <v>0</v>
      </c>
      <c r="BJ148">
        <f>IF(예비비!$R148="OK",SUMIFS(예비비!$O$430:$O$729,예비비!$B$430:$B$729,예비비!$A148,예비비!$E$430:$E$729,"&lt;"&amp;EDATE(BJ$99,1),예비비!$F$430:$F$729,"결제대금비")+MAX(0,IF(예비비!$D148&lt;EDATE(BJ$99,1),예비비!$E148,0)-SUMIFS(예비비!$O$430:$O$729,예비비!$B$430:$B$729,예비비!$A148,예비비!$E$430:$E$729,"&lt;"&amp;EDATE(BJ$99,1))),0)</f>
        <v>0</v>
      </c>
      <c r="BK148">
        <f>IF(예비비!$R148="OK",SUMIFS(예비비!$O$430:$O$729,예비비!$B$430:$B$729,예비비!$A148,예비비!$E$430:$E$729,"&lt;"&amp;EDATE(BK$99,1),예비비!$F$430:$F$729,"결제대금비")+MAX(0,IF(예비비!$D148&lt;EDATE(BK$99,1),예비비!$E148,0)-SUMIFS(예비비!$O$430:$O$729,예비비!$B$430:$B$729,예비비!$A148,예비비!$E$430:$E$729,"&lt;"&amp;EDATE(BK$99,1))),0)</f>
        <v>0</v>
      </c>
      <c r="BL148">
        <f>IF(예비비!$R148="OK",SUMIFS(예비비!$O$430:$O$729,예비비!$B$430:$B$729,예비비!$A148,예비비!$E$430:$E$729,"&lt;"&amp;EDATE(BL$99,1),예비비!$F$430:$F$729,"결제대금비")+MAX(0,IF(예비비!$D148&lt;EDATE(BL$99,1),예비비!$E148,0)-SUMIFS(예비비!$O$430:$O$729,예비비!$B$430:$B$729,예비비!$A148,예비비!$E$430:$E$729,"&lt;"&amp;EDATE(BL$99,1))),0)</f>
        <v>0</v>
      </c>
      <c r="BM148">
        <f>IF(예비비!$R148="OK",SUMIFS(예비비!$O$430:$O$729,예비비!$B$430:$B$729,예비비!$A148,예비비!$E$430:$E$729,"&lt;"&amp;EDATE(BM$99,1),예비비!$F$430:$F$729,"결제대금비")+MAX(0,IF(예비비!$D148&lt;EDATE(BM$99,1),예비비!$E148,0)-SUMIFS(예비비!$O$430:$O$729,예비비!$B$430:$B$729,예비비!$A148,예비비!$E$430:$E$729,"&lt;"&amp;EDATE(BM$99,1))),0)</f>
        <v>0</v>
      </c>
      <c r="BN148">
        <f>IF(예비비!$R148="OK",SUMIFS(예비비!$O$430:$O$729,예비비!$B$430:$B$729,예비비!$A148,예비비!$E$430:$E$729,"&lt;"&amp;EDATE(BN$99,1),예비비!$F$430:$F$729,"결제대금비")+MAX(0,IF(예비비!$D148&lt;EDATE(BN$99,1),예비비!$E148,0)-SUMIFS(예비비!$O$430:$O$729,예비비!$B$430:$B$729,예비비!$A148,예비비!$E$430:$E$729,"&lt;"&amp;EDATE(BN$99,1))),0)</f>
        <v>0</v>
      </c>
      <c r="BO148">
        <f>IF(예비비!$R148="OK",SUMIFS(예비비!$O$430:$O$729,예비비!$B$430:$B$729,예비비!$A148,예비비!$E$430:$E$729,"&lt;"&amp;EDATE(BO$99,1),예비비!$F$430:$F$729,"결제대금비")+MAX(0,IF(예비비!$D148&lt;EDATE(BO$99,1),예비비!$E148,0)-SUMIFS(예비비!$O$430:$O$729,예비비!$B$430:$B$729,예비비!$A148,예비비!$E$430:$E$729,"&lt;"&amp;EDATE(BO$99,1))),0)</f>
        <v>0</v>
      </c>
      <c r="BP148">
        <f>IF(예비비!$R148="OK",SUMIFS(예비비!$O$430:$O$729,예비비!$B$430:$B$729,예비비!$A148,예비비!$E$430:$E$729,"&lt;"&amp;EDATE(BP$99,1),예비비!$F$430:$F$729,"결제대금비")+MAX(0,IF(예비비!$D148&lt;EDATE(BP$99,1),예비비!$E148,0)-SUMIFS(예비비!$O$430:$O$729,예비비!$B$430:$B$729,예비비!$A148,예비비!$E$430:$E$729,"&lt;"&amp;EDATE(BP$99,1))),0)</f>
        <v>0</v>
      </c>
      <c r="BQ148">
        <f>IF(예비비!$R148="OK",SUMIFS(예비비!$O$430:$O$729,예비비!$B$430:$B$729,예비비!$A148,예비비!$E$430:$E$729,"&lt;"&amp;EDATE(BQ$99,1),예비비!$F$430:$F$729,"결제대금비")+MAX(0,IF(예비비!$D148&lt;EDATE(BQ$99,1),예비비!$E148,0)-SUMIFS(예비비!$O$430:$O$729,예비비!$B$430:$B$729,예비비!$A148,예비비!$E$430:$E$729,"&lt;"&amp;EDATE(BQ$99,1))),0)</f>
        <v>0</v>
      </c>
      <c r="BR148">
        <f>IF(예비비!$R148="OK",SUMIFS(예비비!$O$430:$O$729,예비비!$B$430:$B$729,예비비!$A148,예비비!$E$430:$E$729,"&lt;"&amp;EDATE(BR$99,1),예비비!$F$430:$F$729,"결제대금비")+MAX(0,IF(예비비!$D148&lt;EDATE(BR$99,1),예비비!$E148,0)-SUMIFS(예비비!$O$430:$O$729,예비비!$B$430:$B$729,예비비!$A148,예비비!$E$430:$E$729,"&lt;"&amp;EDATE(BR$99,1))),0)</f>
        <v>0</v>
      </c>
      <c r="BS148">
        <f>IF(예비비!$R148="OK",SUMIFS(예비비!$O$430:$O$729,예비비!$B$430:$B$729,예비비!$A148,예비비!$E$430:$E$729,"&lt;"&amp;EDATE(BS$99,1),예비비!$F$430:$F$729,"결제대금비")+MAX(0,IF(예비비!$D148&lt;EDATE(BS$99,1),예비비!$E148,0)-SUMIFS(예비비!$O$430:$O$729,예비비!$B$430:$B$729,예비비!$A148,예비비!$E$430:$E$729,"&lt;"&amp;EDATE(BS$99,1))),0)</f>
        <v>0</v>
      </c>
      <c r="BT148">
        <f>IF(예비비!$R148="OK",SUMIFS(예비비!$O$430:$O$729,예비비!$B$430:$B$729,예비비!$A148,예비비!$E$430:$E$729,"&lt;"&amp;EDATE(BT$99,1),예비비!$F$430:$F$729,"결제대금비")+MAX(0,IF(예비비!$D148&lt;EDATE(BT$99,1),예비비!$E148,0)-SUMIFS(예비비!$O$430:$O$729,예비비!$B$430:$B$729,예비비!$A148,예비비!$E$430:$E$729,"&lt;"&amp;EDATE(BT$99,1))),0)</f>
        <v>0</v>
      </c>
      <c r="BU148">
        <f>IF(예비비!$R148="OK",SUMIFS(예비비!$O$430:$O$729,예비비!$B$430:$B$729,예비비!$A148,예비비!$E$430:$E$729,"&lt;"&amp;EDATE(BU$99,1),예비비!$F$430:$F$729,"결제대금비")+MAX(0,IF(예비비!$D148&lt;EDATE(BU$99,1),예비비!$E148,0)-SUMIFS(예비비!$O$430:$O$729,예비비!$B$430:$B$729,예비비!$A148,예비비!$E$430:$E$729,"&lt;"&amp;EDATE(BU$99,1))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  <c r="BI149">
        <f>IF(예비비!$R149="OK",SUMIFS(예비비!$O$430:$O$729,예비비!$B$430:$B$729,예비비!$A149,예비비!$E$430:$E$729,"&lt;"&amp;EDATE(BI$99,1),예비비!$F$430:$F$729,"결제대금비")+MAX(0,IF(예비비!$D149&lt;EDATE(BI$99,1),예비비!$E149,0)-SUMIFS(예비비!$O$430:$O$729,예비비!$B$430:$B$729,예비비!$A149,예비비!$E$430:$E$729,"&lt;"&amp;EDATE(BI$99,1))),0)</f>
        <v>0</v>
      </c>
      <c r="BJ149">
        <f>IF(예비비!$R149="OK",SUMIFS(예비비!$O$430:$O$729,예비비!$B$430:$B$729,예비비!$A149,예비비!$E$430:$E$729,"&lt;"&amp;EDATE(BJ$99,1),예비비!$F$430:$F$729,"결제대금비")+MAX(0,IF(예비비!$D149&lt;EDATE(BJ$99,1),예비비!$E149,0)-SUMIFS(예비비!$O$430:$O$729,예비비!$B$430:$B$729,예비비!$A149,예비비!$E$430:$E$729,"&lt;"&amp;EDATE(BJ$99,1))),0)</f>
        <v>0</v>
      </c>
      <c r="BK149">
        <f>IF(예비비!$R149="OK",SUMIFS(예비비!$O$430:$O$729,예비비!$B$430:$B$729,예비비!$A149,예비비!$E$430:$E$729,"&lt;"&amp;EDATE(BK$99,1),예비비!$F$430:$F$729,"결제대금비")+MAX(0,IF(예비비!$D149&lt;EDATE(BK$99,1),예비비!$E149,0)-SUMIFS(예비비!$O$430:$O$729,예비비!$B$430:$B$729,예비비!$A149,예비비!$E$430:$E$729,"&lt;"&amp;EDATE(BK$99,1))),0)</f>
        <v>0</v>
      </c>
      <c r="BL149">
        <f>IF(예비비!$R149="OK",SUMIFS(예비비!$O$430:$O$729,예비비!$B$430:$B$729,예비비!$A149,예비비!$E$430:$E$729,"&lt;"&amp;EDATE(BL$99,1),예비비!$F$430:$F$729,"결제대금비")+MAX(0,IF(예비비!$D149&lt;EDATE(BL$99,1),예비비!$E149,0)-SUMIFS(예비비!$O$430:$O$729,예비비!$B$430:$B$729,예비비!$A149,예비비!$E$430:$E$729,"&lt;"&amp;EDATE(BL$99,1))),0)</f>
        <v>0</v>
      </c>
      <c r="BM149">
        <f>IF(예비비!$R149="OK",SUMIFS(예비비!$O$430:$O$729,예비비!$B$430:$B$729,예비비!$A149,예비비!$E$430:$E$729,"&lt;"&amp;EDATE(BM$99,1),예비비!$F$430:$F$729,"결제대금비")+MAX(0,IF(예비비!$D149&lt;EDATE(BM$99,1),예비비!$E149,0)-SUMIFS(예비비!$O$430:$O$729,예비비!$B$430:$B$729,예비비!$A149,예비비!$E$430:$E$729,"&lt;"&amp;EDATE(BM$99,1))),0)</f>
        <v>0</v>
      </c>
      <c r="BN149">
        <f>IF(예비비!$R149="OK",SUMIFS(예비비!$O$430:$O$729,예비비!$B$430:$B$729,예비비!$A149,예비비!$E$430:$E$729,"&lt;"&amp;EDATE(BN$99,1),예비비!$F$430:$F$729,"결제대금비")+MAX(0,IF(예비비!$D149&lt;EDATE(BN$99,1),예비비!$E149,0)-SUMIFS(예비비!$O$430:$O$729,예비비!$B$430:$B$729,예비비!$A149,예비비!$E$430:$E$729,"&lt;"&amp;EDATE(BN$99,1))),0)</f>
        <v>0</v>
      </c>
      <c r="BO149">
        <f>IF(예비비!$R149="OK",SUMIFS(예비비!$O$430:$O$729,예비비!$B$430:$B$729,예비비!$A149,예비비!$E$430:$E$729,"&lt;"&amp;EDATE(BO$99,1),예비비!$F$430:$F$729,"결제대금비")+MAX(0,IF(예비비!$D149&lt;EDATE(BO$99,1),예비비!$E149,0)-SUMIFS(예비비!$O$430:$O$729,예비비!$B$430:$B$729,예비비!$A149,예비비!$E$430:$E$729,"&lt;"&amp;EDATE(BO$99,1))),0)</f>
        <v>0</v>
      </c>
      <c r="BP149">
        <f>IF(예비비!$R149="OK",SUMIFS(예비비!$O$430:$O$729,예비비!$B$430:$B$729,예비비!$A149,예비비!$E$430:$E$729,"&lt;"&amp;EDATE(BP$99,1),예비비!$F$430:$F$729,"결제대금비")+MAX(0,IF(예비비!$D149&lt;EDATE(BP$99,1),예비비!$E149,0)-SUMIFS(예비비!$O$430:$O$729,예비비!$B$430:$B$729,예비비!$A149,예비비!$E$430:$E$729,"&lt;"&amp;EDATE(BP$99,1))),0)</f>
        <v>0</v>
      </c>
      <c r="BQ149">
        <f>IF(예비비!$R149="OK",SUMIFS(예비비!$O$430:$O$729,예비비!$B$430:$B$729,예비비!$A149,예비비!$E$430:$E$729,"&lt;"&amp;EDATE(BQ$99,1),예비비!$F$430:$F$729,"결제대금비")+MAX(0,IF(예비비!$D149&lt;EDATE(BQ$99,1),예비비!$E149,0)-SUMIFS(예비비!$O$430:$O$729,예비비!$B$430:$B$729,예비비!$A149,예비비!$E$430:$E$729,"&lt;"&amp;EDATE(BQ$99,1))),0)</f>
        <v>0</v>
      </c>
      <c r="BR149">
        <f>IF(예비비!$R149="OK",SUMIFS(예비비!$O$430:$O$729,예비비!$B$430:$B$729,예비비!$A149,예비비!$E$430:$E$729,"&lt;"&amp;EDATE(BR$99,1),예비비!$F$430:$F$729,"결제대금비")+MAX(0,IF(예비비!$D149&lt;EDATE(BR$99,1),예비비!$E149,0)-SUMIFS(예비비!$O$430:$O$729,예비비!$B$430:$B$729,예비비!$A149,예비비!$E$430:$E$729,"&lt;"&amp;EDATE(BR$99,1))),0)</f>
        <v>0</v>
      </c>
      <c r="BS149">
        <f>IF(예비비!$R149="OK",SUMIFS(예비비!$O$430:$O$729,예비비!$B$430:$B$729,예비비!$A149,예비비!$E$430:$E$729,"&lt;"&amp;EDATE(BS$99,1),예비비!$F$430:$F$729,"결제대금비")+MAX(0,IF(예비비!$D149&lt;EDATE(BS$99,1),예비비!$E149,0)-SUMIFS(예비비!$O$430:$O$729,예비비!$B$430:$B$729,예비비!$A149,예비비!$E$430:$E$729,"&lt;"&amp;EDATE(BS$99,1))),0)</f>
        <v>0</v>
      </c>
      <c r="BT149">
        <f>IF(예비비!$R149="OK",SUMIFS(예비비!$O$430:$O$729,예비비!$B$430:$B$729,예비비!$A149,예비비!$E$430:$E$729,"&lt;"&amp;EDATE(BT$99,1),예비비!$F$430:$F$729,"결제대금비")+MAX(0,IF(예비비!$D149&lt;EDATE(BT$99,1),예비비!$E149,0)-SUMIFS(예비비!$O$430:$O$729,예비비!$B$430:$B$729,예비비!$A149,예비비!$E$430:$E$729,"&lt;"&amp;EDATE(BT$99,1))),0)</f>
        <v>0</v>
      </c>
      <c r="BU149">
        <f>IF(예비비!$R149="OK",SUMIFS(예비비!$O$430:$O$729,예비비!$B$430:$B$729,예비비!$A149,예비비!$E$430:$E$729,"&lt;"&amp;EDATE(BU$99,1),예비비!$F$430:$F$729,"결제대금비")+MAX(0,IF(예비비!$D149&lt;EDATE(BU$99,1),예비비!$E149,0)-SUMIFS(예비비!$O$430:$O$729,예비비!$B$430:$B$729,예비비!$A149,예비비!$E$430:$E$729,"&lt;"&amp;EDATE(BU$99,1))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  <c r="BI150">
        <f>IF(예비비!$R150="OK",SUMIFS(예비비!$O$430:$O$729,예비비!$B$430:$B$729,예비비!$A150,예비비!$E$430:$E$729,"&lt;"&amp;EDATE(BI$99,1),예비비!$F$430:$F$729,"결제대금비")+MAX(0,IF(예비비!$D150&lt;EDATE(BI$99,1),예비비!$E150,0)-SUMIFS(예비비!$O$430:$O$729,예비비!$B$430:$B$729,예비비!$A150,예비비!$E$430:$E$729,"&lt;"&amp;EDATE(BI$99,1))),0)</f>
        <v>0</v>
      </c>
      <c r="BJ150">
        <f>IF(예비비!$R150="OK",SUMIFS(예비비!$O$430:$O$729,예비비!$B$430:$B$729,예비비!$A150,예비비!$E$430:$E$729,"&lt;"&amp;EDATE(BJ$99,1),예비비!$F$430:$F$729,"결제대금비")+MAX(0,IF(예비비!$D150&lt;EDATE(BJ$99,1),예비비!$E150,0)-SUMIFS(예비비!$O$430:$O$729,예비비!$B$430:$B$729,예비비!$A150,예비비!$E$430:$E$729,"&lt;"&amp;EDATE(BJ$99,1))),0)</f>
        <v>0</v>
      </c>
      <c r="BK150">
        <f>IF(예비비!$R150="OK",SUMIFS(예비비!$O$430:$O$729,예비비!$B$430:$B$729,예비비!$A150,예비비!$E$430:$E$729,"&lt;"&amp;EDATE(BK$99,1),예비비!$F$430:$F$729,"결제대금비")+MAX(0,IF(예비비!$D150&lt;EDATE(BK$99,1),예비비!$E150,0)-SUMIFS(예비비!$O$430:$O$729,예비비!$B$430:$B$729,예비비!$A150,예비비!$E$430:$E$729,"&lt;"&amp;EDATE(BK$99,1))),0)</f>
        <v>0</v>
      </c>
      <c r="BL150">
        <f>IF(예비비!$R150="OK",SUMIFS(예비비!$O$430:$O$729,예비비!$B$430:$B$729,예비비!$A150,예비비!$E$430:$E$729,"&lt;"&amp;EDATE(BL$99,1),예비비!$F$430:$F$729,"결제대금비")+MAX(0,IF(예비비!$D150&lt;EDATE(BL$99,1),예비비!$E150,0)-SUMIFS(예비비!$O$430:$O$729,예비비!$B$430:$B$729,예비비!$A150,예비비!$E$430:$E$729,"&lt;"&amp;EDATE(BL$99,1))),0)</f>
        <v>0</v>
      </c>
      <c r="BM150">
        <f>IF(예비비!$R150="OK",SUMIFS(예비비!$O$430:$O$729,예비비!$B$430:$B$729,예비비!$A150,예비비!$E$430:$E$729,"&lt;"&amp;EDATE(BM$99,1),예비비!$F$430:$F$729,"결제대금비")+MAX(0,IF(예비비!$D150&lt;EDATE(BM$99,1),예비비!$E150,0)-SUMIFS(예비비!$O$430:$O$729,예비비!$B$430:$B$729,예비비!$A150,예비비!$E$430:$E$729,"&lt;"&amp;EDATE(BM$99,1))),0)</f>
        <v>0</v>
      </c>
      <c r="BN150">
        <f>IF(예비비!$R150="OK",SUMIFS(예비비!$O$430:$O$729,예비비!$B$430:$B$729,예비비!$A150,예비비!$E$430:$E$729,"&lt;"&amp;EDATE(BN$99,1),예비비!$F$430:$F$729,"결제대금비")+MAX(0,IF(예비비!$D150&lt;EDATE(BN$99,1),예비비!$E150,0)-SUMIFS(예비비!$O$430:$O$729,예비비!$B$430:$B$729,예비비!$A150,예비비!$E$430:$E$729,"&lt;"&amp;EDATE(BN$99,1))),0)</f>
        <v>0</v>
      </c>
      <c r="BO150">
        <f>IF(예비비!$R150="OK",SUMIFS(예비비!$O$430:$O$729,예비비!$B$430:$B$729,예비비!$A150,예비비!$E$430:$E$729,"&lt;"&amp;EDATE(BO$99,1),예비비!$F$430:$F$729,"결제대금비")+MAX(0,IF(예비비!$D150&lt;EDATE(BO$99,1),예비비!$E150,0)-SUMIFS(예비비!$O$430:$O$729,예비비!$B$430:$B$729,예비비!$A150,예비비!$E$430:$E$729,"&lt;"&amp;EDATE(BO$99,1))),0)</f>
        <v>0</v>
      </c>
      <c r="BP150">
        <f>IF(예비비!$R150="OK",SUMIFS(예비비!$O$430:$O$729,예비비!$B$430:$B$729,예비비!$A150,예비비!$E$430:$E$729,"&lt;"&amp;EDATE(BP$99,1),예비비!$F$430:$F$729,"결제대금비")+MAX(0,IF(예비비!$D150&lt;EDATE(BP$99,1),예비비!$E150,0)-SUMIFS(예비비!$O$430:$O$729,예비비!$B$430:$B$729,예비비!$A150,예비비!$E$430:$E$729,"&lt;"&amp;EDATE(BP$99,1))),0)</f>
        <v>0</v>
      </c>
      <c r="BQ150">
        <f>IF(예비비!$R150="OK",SUMIFS(예비비!$O$430:$O$729,예비비!$B$430:$B$729,예비비!$A150,예비비!$E$430:$E$729,"&lt;"&amp;EDATE(BQ$99,1),예비비!$F$430:$F$729,"결제대금비")+MAX(0,IF(예비비!$D150&lt;EDATE(BQ$99,1),예비비!$E150,0)-SUMIFS(예비비!$O$430:$O$729,예비비!$B$430:$B$729,예비비!$A150,예비비!$E$430:$E$729,"&lt;"&amp;EDATE(BQ$99,1))),0)</f>
        <v>0</v>
      </c>
      <c r="BR150">
        <f>IF(예비비!$R150="OK",SUMIFS(예비비!$O$430:$O$729,예비비!$B$430:$B$729,예비비!$A150,예비비!$E$430:$E$729,"&lt;"&amp;EDATE(BR$99,1),예비비!$F$430:$F$729,"결제대금비")+MAX(0,IF(예비비!$D150&lt;EDATE(BR$99,1),예비비!$E150,0)-SUMIFS(예비비!$O$430:$O$729,예비비!$B$430:$B$729,예비비!$A150,예비비!$E$430:$E$729,"&lt;"&amp;EDATE(BR$99,1))),0)</f>
        <v>0</v>
      </c>
      <c r="BS150">
        <f>IF(예비비!$R150="OK",SUMIFS(예비비!$O$430:$O$729,예비비!$B$430:$B$729,예비비!$A150,예비비!$E$430:$E$729,"&lt;"&amp;EDATE(BS$99,1),예비비!$F$430:$F$729,"결제대금비")+MAX(0,IF(예비비!$D150&lt;EDATE(BS$99,1),예비비!$E150,0)-SUMIFS(예비비!$O$430:$O$729,예비비!$B$430:$B$729,예비비!$A150,예비비!$E$430:$E$729,"&lt;"&amp;EDATE(BS$99,1))),0)</f>
        <v>0</v>
      </c>
      <c r="BT150">
        <f>IF(예비비!$R150="OK",SUMIFS(예비비!$O$430:$O$729,예비비!$B$430:$B$729,예비비!$A150,예비비!$E$430:$E$729,"&lt;"&amp;EDATE(BT$99,1),예비비!$F$430:$F$729,"결제대금비")+MAX(0,IF(예비비!$D150&lt;EDATE(BT$99,1),예비비!$E150,0)-SUMIFS(예비비!$O$430:$O$729,예비비!$B$430:$B$729,예비비!$A150,예비비!$E$430:$E$729,"&lt;"&amp;EDATE(BT$99,1))),0)</f>
        <v>0</v>
      </c>
      <c r="BU150">
        <f>IF(예비비!$R150="OK",SUMIFS(예비비!$O$430:$O$729,예비비!$B$430:$B$729,예비비!$A150,예비비!$E$430:$E$729,"&lt;"&amp;EDATE(BU$99,1),예비비!$F$430:$F$729,"결제대금비")+MAX(0,IF(예비비!$D150&lt;EDATE(BU$99,1),예비비!$E150,0)-SUMIFS(예비비!$O$430:$O$729,예비비!$B$430:$B$729,예비비!$A150,예비비!$E$430:$E$729,"&lt;"&amp;EDATE(BU$99,1))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  <c r="BI151">
        <f>IF(예비비!$R151="OK",SUMIFS(예비비!$O$430:$O$729,예비비!$B$430:$B$729,예비비!$A151,예비비!$E$430:$E$729,"&lt;"&amp;EDATE(BI$99,1),예비비!$F$430:$F$729,"결제대금비")+MAX(0,IF(예비비!$D151&lt;EDATE(BI$99,1),예비비!$E151,0)-SUMIFS(예비비!$O$430:$O$729,예비비!$B$430:$B$729,예비비!$A151,예비비!$E$430:$E$729,"&lt;"&amp;EDATE(BI$99,1))),0)</f>
        <v>0</v>
      </c>
      <c r="BJ151">
        <f>IF(예비비!$R151="OK",SUMIFS(예비비!$O$430:$O$729,예비비!$B$430:$B$729,예비비!$A151,예비비!$E$430:$E$729,"&lt;"&amp;EDATE(BJ$99,1),예비비!$F$430:$F$729,"결제대금비")+MAX(0,IF(예비비!$D151&lt;EDATE(BJ$99,1),예비비!$E151,0)-SUMIFS(예비비!$O$430:$O$729,예비비!$B$430:$B$729,예비비!$A151,예비비!$E$430:$E$729,"&lt;"&amp;EDATE(BJ$99,1))),0)</f>
        <v>0</v>
      </c>
      <c r="BK151">
        <f>IF(예비비!$R151="OK",SUMIFS(예비비!$O$430:$O$729,예비비!$B$430:$B$729,예비비!$A151,예비비!$E$430:$E$729,"&lt;"&amp;EDATE(BK$99,1),예비비!$F$430:$F$729,"결제대금비")+MAX(0,IF(예비비!$D151&lt;EDATE(BK$99,1),예비비!$E151,0)-SUMIFS(예비비!$O$430:$O$729,예비비!$B$430:$B$729,예비비!$A151,예비비!$E$430:$E$729,"&lt;"&amp;EDATE(BK$99,1))),0)</f>
        <v>0</v>
      </c>
      <c r="BL151">
        <f>IF(예비비!$R151="OK",SUMIFS(예비비!$O$430:$O$729,예비비!$B$430:$B$729,예비비!$A151,예비비!$E$430:$E$729,"&lt;"&amp;EDATE(BL$99,1),예비비!$F$430:$F$729,"결제대금비")+MAX(0,IF(예비비!$D151&lt;EDATE(BL$99,1),예비비!$E151,0)-SUMIFS(예비비!$O$430:$O$729,예비비!$B$430:$B$729,예비비!$A151,예비비!$E$430:$E$729,"&lt;"&amp;EDATE(BL$99,1))),0)</f>
        <v>0</v>
      </c>
      <c r="BM151">
        <f>IF(예비비!$R151="OK",SUMIFS(예비비!$O$430:$O$729,예비비!$B$430:$B$729,예비비!$A151,예비비!$E$430:$E$729,"&lt;"&amp;EDATE(BM$99,1),예비비!$F$430:$F$729,"결제대금비")+MAX(0,IF(예비비!$D151&lt;EDATE(BM$99,1),예비비!$E151,0)-SUMIFS(예비비!$O$430:$O$729,예비비!$B$430:$B$729,예비비!$A151,예비비!$E$430:$E$729,"&lt;"&amp;EDATE(BM$99,1))),0)</f>
        <v>0</v>
      </c>
      <c r="BN151">
        <f>IF(예비비!$R151="OK",SUMIFS(예비비!$O$430:$O$729,예비비!$B$430:$B$729,예비비!$A151,예비비!$E$430:$E$729,"&lt;"&amp;EDATE(BN$99,1),예비비!$F$430:$F$729,"결제대금비")+MAX(0,IF(예비비!$D151&lt;EDATE(BN$99,1),예비비!$E151,0)-SUMIFS(예비비!$O$430:$O$729,예비비!$B$430:$B$729,예비비!$A151,예비비!$E$430:$E$729,"&lt;"&amp;EDATE(BN$99,1))),0)</f>
        <v>0</v>
      </c>
      <c r="BO151">
        <f>IF(예비비!$R151="OK",SUMIFS(예비비!$O$430:$O$729,예비비!$B$430:$B$729,예비비!$A151,예비비!$E$430:$E$729,"&lt;"&amp;EDATE(BO$99,1),예비비!$F$430:$F$729,"결제대금비")+MAX(0,IF(예비비!$D151&lt;EDATE(BO$99,1),예비비!$E151,0)-SUMIFS(예비비!$O$430:$O$729,예비비!$B$430:$B$729,예비비!$A151,예비비!$E$430:$E$729,"&lt;"&amp;EDATE(BO$99,1))),0)</f>
        <v>0</v>
      </c>
      <c r="BP151">
        <f>IF(예비비!$R151="OK",SUMIFS(예비비!$O$430:$O$729,예비비!$B$430:$B$729,예비비!$A151,예비비!$E$430:$E$729,"&lt;"&amp;EDATE(BP$99,1),예비비!$F$430:$F$729,"결제대금비")+MAX(0,IF(예비비!$D151&lt;EDATE(BP$99,1),예비비!$E151,0)-SUMIFS(예비비!$O$430:$O$729,예비비!$B$430:$B$729,예비비!$A151,예비비!$E$430:$E$729,"&lt;"&amp;EDATE(BP$99,1))),0)</f>
        <v>0</v>
      </c>
      <c r="BQ151">
        <f>IF(예비비!$R151="OK",SUMIFS(예비비!$O$430:$O$729,예비비!$B$430:$B$729,예비비!$A151,예비비!$E$430:$E$729,"&lt;"&amp;EDATE(BQ$99,1),예비비!$F$430:$F$729,"결제대금비")+MAX(0,IF(예비비!$D151&lt;EDATE(BQ$99,1),예비비!$E151,0)-SUMIFS(예비비!$O$430:$O$729,예비비!$B$430:$B$729,예비비!$A151,예비비!$E$430:$E$729,"&lt;"&amp;EDATE(BQ$99,1))),0)</f>
        <v>0</v>
      </c>
      <c r="BR151">
        <f>IF(예비비!$R151="OK",SUMIFS(예비비!$O$430:$O$729,예비비!$B$430:$B$729,예비비!$A151,예비비!$E$430:$E$729,"&lt;"&amp;EDATE(BR$99,1),예비비!$F$430:$F$729,"결제대금비")+MAX(0,IF(예비비!$D151&lt;EDATE(BR$99,1),예비비!$E151,0)-SUMIFS(예비비!$O$430:$O$729,예비비!$B$430:$B$729,예비비!$A151,예비비!$E$430:$E$729,"&lt;"&amp;EDATE(BR$99,1))),0)</f>
        <v>0</v>
      </c>
      <c r="BS151">
        <f>IF(예비비!$R151="OK",SUMIFS(예비비!$O$430:$O$729,예비비!$B$430:$B$729,예비비!$A151,예비비!$E$430:$E$729,"&lt;"&amp;EDATE(BS$99,1),예비비!$F$430:$F$729,"결제대금비")+MAX(0,IF(예비비!$D151&lt;EDATE(BS$99,1),예비비!$E151,0)-SUMIFS(예비비!$O$430:$O$729,예비비!$B$430:$B$729,예비비!$A151,예비비!$E$430:$E$729,"&lt;"&amp;EDATE(BS$99,1))),0)</f>
        <v>0</v>
      </c>
      <c r="BT151">
        <f>IF(예비비!$R151="OK",SUMIFS(예비비!$O$430:$O$729,예비비!$B$430:$B$729,예비비!$A151,예비비!$E$430:$E$729,"&lt;"&amp;EDATE(BT$99,1),예비비!$F$430:$F$729,"결제대금비")+MAX(0,IF(예비비!$D151&lt;EDATE(BT$99,1),예비비!$E151,0)-SUMIFS(예비비!$O$430:$O$729,예비비!$B$430:$B$729,예비비!$A151,예비비!$E$430:$E$729,"&lt;"&amp;EDATE(BT$99,1))),0)</f>
        <v>0</v>
      </c>
      <c r="BU151">
        <f>IF(예비비!$R151="OK",SUMIFS(예비비!$O$430:$O$729,예비비!$B$430:$B$729,예비비!$A151,예비비!$E$430:$E$729,"&lt;"&amp;EDATE(BU$99,1),예비비!$F$430:$F$729,"결제대금비")+MAX(0,IF(예비비!$D151&lt;EDATE(BU$99,1),예비비!$E151,0)-SUMIFS(예비비!$O$430:$O$729,예비비!$B$430:$B$729,예비비!$A151,예비비!$E$430:$E$729,"&lt;"&amp;EDATE(BU$99,1))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  <c r="BI152">
        <f>IF(예비비!$R152="OK",SUMIFS(예비비!$O$430:$O$729,예비비!$B$430:$B$729,예비비!$A152,예비비!$E$430:$E$729,"&lt;"&amp;EDATE(BI$99,1),예비비!$F$430:$F$729,"결제대금비")+MAX(0,IF(예비비!$D152&lt;EDATE(BI$99,1),예비비!$E152,0)-SUMIFS(예비비!$O$430:$O$729,예비비!$B$430:$B$729,예비비!$A152,예비비!$E$430:$E$729,"&lt;"&amp;EDATE(BI$99,1))),0)</f>
        <v>0</v>
      </c>
      <c r="BJ152">
        <f>IF(예비비!$R152="OK",SUMIFS(예비비!$O$430:$O$729,예비비!$B$430:$B$729,예비비!$A152,예비비!$E$430:$E$729,"&lt;"&amp;EDATE(BJ$99,1),예비비!$F$430:$F$729,"결제대금비")+MAX(0,IF(예비비!$D152&lt;EDATE(BJ$99,1),예비비!$E152,0)-SUMIFS(예비비!$O$430:$O$729,예비비!$B$430:$B$729,예비비!$A152,예비비!$E$430:$E$729,"&lt;"&amp;EDATE(BJ$99,1))),0)</f>
        <v>0</v>
      </c>
      <c r="BK152">
        <f>IF(예비비!$R152="OK",SUMIFS(예비비!$O$430:$O$729,예비비!$B$430:$B$729,예비비!$A152,예비비!$E$430:$E$729,"&lt;"&amp;EDATE(BK$99,1),예비비!$F$430:$F$729,"결제대금비")+MAX(0,IF(예비비!$D152&lt;EDATE(BK$99,1),예비비!$E152,0)-SUMIFS(예비비!$O$430:$O$729,예비비!$B$430:$B$729,예비비!$A152,예비비!$E$430:$E$729,"&lt;"&amp;EDATE(BK$99,1))),0)</f>
        <v>0</v>
      </c>
      <c r="BL152">
        <f>IF(예비비!$R152="OK",SUMIFS(예비비!$O$430:$O$729,예비비!$B$430:$B$729,예비비!$A152,예비비!$E$430:$E$729,"&lt;"&amp;EDATE(BL$99,1),예비비!$F$430:$F$729,"결제대금비")+MAX(0,IF(예비비!$D152&lt;EDATE(BL$99,1),예비비!$E152,0)-SUMIFS(예비비!$O$430:$O$729,예비비!$B$430:$B$729,예비비!$A152,예비비!$E$430:$E$729,"&lt;"&amp;EDATE(BL$99,1))),0)</f>
        <v>0</v>
      </c>
      <c r="BM152">
        <f>IF(예비비!$R152="OK",SUMIFS(예비비!$O$430:$O$729,예비비!$B$430:$B$729,예비비!$A152,예비비!$E$430:$E$729,"&lt;"&amp;EDATE(BM$99,1),예비비!$F$430:$F$729,"결제대금비")+MAX(0,IF(예비비!$D152&lt;EDATE(BM$99,1),예비비!$E152,0)-SUMIFS(예비비!$O$430:$O$729,예비비!$B$430:$B$729,예비비!$A152,예비비!$E$430:$E$729,"&lt;"&amp;EDATE(BM$99,1))),0)</f>
        <v>0</v>
      </c>
      <c r="BN152">
        <f>IF(예비비!$R152="OK",SUMIFS(예비비!$O$430:$O$729,예비비!$B$430:$B$729,예비비!$A152,예비비!$E$430:$E$729,"&lt;"&amp;EDATE(BN$99,1),예비비!$F$430:$F$729,"결제대금비")+MAX(0,IF(예비비!$D152&lt;EDATE(BN$99,1),예비비!$E152,0)-SUMIFS(예비비!$O$430:$O$729,예비비!$B$430:$B$729,예비비!$A152,예비비!$E$430:$E$729,"&lt;"&amp;EDATE(BN$99,1))),0)</f>
        <v>0</v>
      </c>
      <c r="BO152">
        <f>IF(예비비!$R152="OK",SUMIFS(예비비!$O$430:$O$729,예비비!$B$430:$B$729,예비비!$A152,예비비!$E$430:$E$729,"&lt;"&amp;EDATE(BO$99,1),예비비!$F$430:$F$729,"결제대금비")+MAX(0,IF(예비비!$D152&lt;EDATE(BO$99,1),예비비!$E152,0)-SUMIFS(예비비!$O$430:$O$729,예비비!$B$430:$B$729,예비비!$A152,예비비!$E$430:$E$729,"&lt;"&amp;EDATE(BO$99,1))),0)</f>
        <v>0</v>
      </c>
      <c r="BP152">
        <f>IF(예비비!$R152="OK",SUMIFS(예비비!$O$430:$O$729,예비비!$B$430:$B$729,예비비!$A152,예비비!$E$430:$E$729,"&lt;"&amp;EDATE(BP$99,1),예비비!$F$430:$F$729,"결제대금비")+MAX(0,IF(예비비!$D152&lt;EDATE(BP$99,1),예비비!$E152,0)-SUMIFS(예비비!$O$430:$O$729,예비비!$B$430:$B$729,예비비!$A152,예비비!$E$430:$E$729,"&lt;"&amp;EDATE(BP$99,1))),0)</f>
        <v>0</v>
      </c>
      <c r="BQ152">
        <f>IF(예비비!$R152="OK",SUMIFS(예비비!$O$430:$O$729,예비비!$B$430:$B$729,예비비!$A152,예비비!$E$430:$E$729,"&lt;"&amp;EDATE(BQ$99,1),예비비!$F$430:$F$729,"결제대금비")+MAX(0,IF(예비비!$D152&lt;EDATE(BQ$99,1),예비비!$E152,0)-SUMIFS(예비비!$O$430:$O$729,예비비!$B$430:$B$729,예비비!$A152,예비비!$E$430:$E$729,"&lt;"&amp;EDATE(BQ$99,1))),0)</f>
        <v>0</v>
      </c>
      <c r="BR152">
        <f>IF(예비비!$R152="OK",SUMIFS(예비비!$O$430:$O$729,예비비!$B$430:$B$729,예비비!$A152,예비비!$E$430:$E$729,"&lt;"&amp;EDATE(BR$99,1),예비비!$F$430:$F$729,"결제대금비")+MAX(0,IF(예비비!$D152&lt;EDATE(BR$99,1),예비비!$E152,0)-SUMIFS(예비비!$O$430:$O$729,예비비!$B$430:$B$729,예비비!$A152,예비비!$E$430:$E$729,"&lt;"&amp;EDATE(BR$99,1))),0)</f>
        <v>0</v>
      </c>
      <c r="BS152">
        <f>IF(예비비!$R152="OK",SUMIFS(예비비!$O$430:$O$729,예비비!$B$430:$B$729,예비비!$A152,예비비!$E$430:$E$729,"&lt;"&amp;EDATE(BS$99,1),예비비!$F$430:$F$729,"결제대금비")+MAX(0,IF(예비비!$D152&lt;EDATE(BS$99,1),예비비!$E152,0)-SUMIFS(예비비!$O$430:$O$729,예비비!$B$430:$B$729,예비비!$A152,예비비!$E$430:$E$729,"&lt;"&amp;EDATE(BS$99,1))),0)</f>
        <v>0</v>
      </c>
      <c r="BT152">
        <f>IF(예비비!$R152="OK",SUMIFS(예비비!$O$430:$O$729,예비비!$B$430:$B$729,예비비!$A152,예비비!$E$430:$E$729,"&lt;"&amp;EDATE(BT$99,1),예비비!$F$430:$F$729,"결제대금비")+MAX(0,IF(예비비!$D152&lt;EDATE(BT$99,1),예비비!$E152,0)-SUMIFS(예비비!$O$430:$O$729,예비비!$B$430:$B$729,예비비!$A152,예비비!$E$430:$E$729,"&lt;"&amp;EDATE(BT$99,1))),0)</f>
        <v>0</v>
      </c>
      <c r="BU152">
        <f>IF(예비비!$R152="OK",SUMIFS(예비비!$O$430:$O$729,예비비!$B$430:$B$729,예비비!$A152,예비비!$E$430:$E$729,"&lt;"&amp;EDATE(BU$99,1),예비비!$F$430:$F$729,"결제대금비")+MAX(0,IF(예비비!$D152&lt;EDATE(BU$99,1),예비비!$E152,0)-SUMIFS(예비비!$O$430:$O$729,예비비!$B$430:$B$729,예비비!$A152,예비비!$E$430:$E$729,"&lt;"&amp;EDATE(BU$99,1))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  <c r="BI153">
        <f>IF(예비비!$R153="OK",SUMIFS(예비비!$O$430:$O$729,예비비!$B$430:$B$729,예비비!$A153,예비비!$E$430:$E$729,"&lt;"&amp;EDATE(BI$99,1),예비비!$F$430:$F$729,"결제대금비")+MAX(0,IF(예비비!$D153&lt;EDATE(BI$99,1),예비비!$E153,0)-SUMIFS(예비비!$O$430:$O$729,예비비!$B$430:$B$729,예비비!$A153,예비비!$E$430:$E$729,"&lt;"&amp;EDATE(BI$99,1))),0)</f>
        <v>0</v>
      </c>
      <c r="BJ153">
        <f>IF(예비비!$R153="OK",SUMIFS(예비비!$O$430:$O$729,예비비!$B$430:$B$729,예비비!$A153,예비비!$E$430:$E$729,"&lt;"&amp;EDATE(BJ$99,1),예비비!$F$430:$F$729,"결제대금비")+MAX(0,IF(예비비!$D153&lt;EDATE(BJ$99,1),예비비!$E153,0)-SUMIFS(예비비!$O$430:$O$729,예비비!$B$430:$B$729,예비비!$A153,예비비!$E$430:$E$729,"&lt;"&amp;EDATE(BJ$99,1))),0)</f>
        <v>0</v>
      </c>
      <c r="BK153">
        <f>IF(예비비!$R153="OK",SUMIFS(예비비!$O$430:$O$729,예비비!$B$430:$B$729,예비비!$A153,예비비!$E$430:$E$729,"&lt;"&amp;EDATE(BK$99,1),예비비!$F$430:$F$729,"결제대금비")+MAX(0,IF(예비비!$D153&lt;EDATE(BK$99,1),예비비!$E153,0)-SUMIFS(예비비!$O$430:$O$729,예비비!$B$430:$B$729,예비비!$A153,예비비!$E$430:$E$729,"&lt;"&amp;EDATE(BK$99,1))),0)</f>
        <v>0</v>
      </c>
      <c r="BL153">
        <f>IF(예비비!$R153="OK",SUMIFS(예비비!$O$430:$O$729,예비비!$B$430:$B$729,예비비!$A153,예비비!$E$430:$E$729,"&lt;"&amp;EDATE(BL$99,1),예비비!$F$430:$F$729,"결제대금비")+MAX(0,IF(예비비!$D153&lt;EDATE(BL$99,1),예비비!$E153,0)-SUMIFS(예비비!$O$430:$O$729,예비비!$B$430:$B$729,예비비!$A153,예비비!$E$430:$E$729,"&lt;"&amp;EDATE(BL$99,1))),0)</f>
        <v>0</v>
      </c>
      <c r="BM153">
        <f>IF(예비비!$R153="OK",SUMIFS(예비비!$O$430:$O$729,예비비!$B$430:$B$729,예비비!$A153,예비비!$E$430:$E$729,"&lt;"&amp;EDATE(BM$99,1),예비비!$F$430:$F$729,"결제대금비")+MAX(0,IF(예비비!$D153&lt;EDATE(BM$99,1),예비비!$E153,0)-SUMIFS(예비비!$O$430:$O$729,예비비!$B$430:$B$729,예비비!$A153,예비비!$E$430:$E$729,"&lt;"&amp;EDATE(BM$99,1))),0)</f>
        <v>0</v>
      </c>
      <c r="BN153">
        <f>IF(예비비!$R153="OK",SUMIFS(예비비!$O$430:$O$729,예비비!$B$430:$B$729,예비비!$A153,예비비!$E$430:$E$729,"&lt;"&amp;EDATE(BN$99,1),예비비!$F$430:$F$729,"결제대금비")+MAX(0,IF(예비비!$D153&lt;EDATE(BN$99,1),예비비!$E153,0)-SUMIFS(예비비!$O$430:$O$729,예비비!$B$430:$B$729,예비비!$A153,예비비!$E$430:$E$729,"&lt;"&amp;EDATE(BN$99,1))),0)</f>
        <v>0</v>
      </c>
      <c r="BO153">
        <f>IF(예비비!$R153="OK",SUMIFS(예비비!$O$430:$O$729,예비비!$B$430:$B$729,예비비!$A153,예비비!$E$430:$E$729,"&lt;"&amp;EDATE(BO$99,1),예비비!$F$430:$F$729,"결제대금비")+MAX(0,IF(예비비!$D153&lt;EDATE(BO$99,1),예비비!$E153,0)-SUMIFS(예비비!$O$430:$O$729,예비비!$B$430:$B$729,예비비!$A153,예비비!$E$430:$E$729,"&lt;"&amp;EDATE(BO$99,1))),0)</f>
        <v>0</v>
      </c>
      <c r="BP153">
        <f>IF(예비비!$R153="OK",SUMIFS(예비비!$O$430:$O$729,예비비!$B$430:$B$729,예비비!$A153,예비비!$E$430:$E$729,"&lt;"&amp;EDATE(BP$99,1),예비비!$F$430:$F$729,"결제대금비")+MAX(0,IF(예비비!$D153&lt;EDATE(BP$99,1),예비비!$E153,0)-SUMIFS(예비비!$O$430:$O$729,예비비!$B$430:$B$729,예비비!$A153,예비비!$E$430:$E$729,"&lt;"&amp;EDATE(BP$99,1))),0)</f>
        <v>0</v>
      </c>
      <c r="BQ153">
        <f>IF(예비비!$R153="OK",SUMIFS(예비비!$O$430:$O$729,예비비!$B$430:$B$729,예비비!$A153,예비비!$E$430:$E$729,"&lt;"&amp;EDATE(BQ$99,1),예비비!$F$430:$F$729,"결제대금비")+MAX(0,IF(예비비!$D153&lt;EDATE(BQ$99,1),예비비!$E153,0)-SUMIFS(예비비!$O$430:$O$729,예비비!$B$430:$B$729,예비비!$A153,예비비!$E$430:$E$729,"&lt;"&amp;EDATE(BQ$99,1))),0)</f>
        <v>0</v>
      </c>
      <c r="BR153">
        <f>IF(예비비!$R153="OK",SUMIFS(예비비!$O$430:$O$729,예비비!$B$430:$B$729,예비비!$A153,예비비!$E$430:$E$729,"&lt;"&amp;EDATE(BR$99,1),예비비!$F$430:$F$729,"결제대금비")+MAX(0,IF(예비비!$D153&lt;EDATE(BR$99,1),예비비!$E153,0)-SUMIFS(예비비!$O$430:$O$729,예비비!$B$430:$B$729,예비비!$A153,예비비!$E$430:$E$729,"&lt;"&amp;EDATE(BR$99,1))),0)</f>
        <v>0</v>
      </c>
      <c r="BS153">
        <f>IF(예비비!$R153="OK",SUMIFS(예비비!$O$430:$O$729,예비비!$B$430:$B$729,예비비!$A153,예비비!$E$430:$E$729,"&lt;"&amp;EDATE(BS$99,1),예비비!$F$430:$F$729,"결제대금비")+MAX(0,IF(예비비!$D153&lt;EDATE(BS$99,1),예비비!$E153,0)-SUMIFS(예비비!$O$430:$O$729,예비비!$B$430:$B$729,예비비!$A153,예비비!$E$430:$E$729,"&lt;"&amp;EDATE(BS$99,1))),0)</f>
        <v>0</v>
      </c>
      <c r="BT153">
        <f>IF(예비비!$R153="OK",SUMIFS(예비비!$O$430:$O$729,예비비!$B$430:$B$729,예비비!$A153,예비비!$E$430:$E$729,"&lt;"&amp;EDATE(BT$99,1),예비비!$F$430:$F$729,"결제대금비")+MAX(0,IF(예비비!$D153&lt;EDATE(BT$99,1),예비비!$E153,0)-SUMIFS(예비비!$O$430:$O$729,예비비!$B$430:$B$729,예비비!$A153,예비비!$E$430:$E$729,"&lt;"&amp;EDATE(BT$99,1))),0)</f>
        <v>0</v>
      </c>
      <c r="BU153">
        <f>IF(예비비!$R153="OK",SUMIFS(예비비!$O$430:$O$729,예비비!$B$430:$B$729,예비비!$A153,예비비!$E$430:$E$729,"&lt;"&amp;EDATE(BU$99,1),예비비!$F$430:$F$729,"결제대금비")+MAX(0,IF(예비비!$D153&lt;EDATE(BU$99,1),예비비!$E153,0)-SUMIFS(예비비!$O$430:$O$729,예비비!$B$430:$B$729,예비비!$A153,예비비!$E$430:$E$729,"&lt;"&amp;EDATE(BU$99,1))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  <c r="BI154">
        <f>IF(예비비!$R154="OK",SUMIFS(예비비!$O$430:$O$729,예비비!$B$430:$B$729,예비비!$A154,예비비!$E$430:$E$729,"&lt;"&amp;EDATE(BI$99,1),예비비!$F$430:$F$729,"결제대금비")+MAX(0,IF(예비비!$D154&lt;EDATE(BI$99,1),예비비!$E154,0)-SUMIFS(예비비!$O$430:$O$729,예비비!$B$430:$B$729,예비비!$A154,예비비!$E$430:$E$729,"&lt;"&amp;EDATE(BI$99,1))),0)</f>
        <v>0</v>
      </c>
      <c r="BJ154">
        <f>IF(예비비!$R154="OK",SUMIFS(예비비!$O$430:$O$729,예비비!$B$430:$B$729,예비비!$A154,예비비!$E$430:$E$729,"&lt;"&amp;EDATE(BJ$99,1),예비비!$F$430:$F$729,"결제대금비")+MAX(0,IF(예비비!$D154&lt;EDATE(BJ$99,1),예비비!$E154,0)-SUMIFS(예비비!$O$430:$O$729,예비비!$B$430:$B$729,예비비!$A154,예비비!$E$430:$E$729,"&lt;"&amp;EDATE(BJ$99,1))),0)</f>
        <v>0</v>
      </c>
      <c r="BK154">
        <f>IF(예비비!$R154="OK",SUMIFS(예비비!$O$430:$O$729,예비비!$B$430:$B$729,예비비!$A154,예비비!$E$430:$E$729,"&lt;"&amp;EDATE(BK$99,1),예비비!$F$430:$F$729,"결제대금비")+MAX(0,IF(예비비!$D154&lt;EDATE(BK$99,1),예비비!$E154,0)-SUMIFS(예비비!$O$430:$O$729,예비비!$B$430:$B$729,예비비!$A154,예비비!$E$430:$E$729,"&lt;"&amp;EDATE(BK$99,1))),0)</f>
        <v>0</v>
      </c>
      <c r="BL154">
        <f>IF(예비비!$R154="OK",SUMIFS(예비비!$O$430:$O$729,예비비!$B$430:$B$729,예비비!$A154,예비비!$E$430:$E$729,"&lt;"&amp;EDATE(BL$99,1),예비비!$F$430:$F$729,"결제대금비")+MAX(0,IF(예비비!$D154&lt;EDATE(BL$99,1),예비비!$E154,0)-SUMIFS(예비비!$O$430:$O$729,예비비!$B$430:$B$729,예비비!$A154,예비비!$E$430:$E$729,"&lt;"&amp;EDATE(BL$99,1))),0)</f>
        <v>0</v>
      </c>
      <c r="BM154">
        <f>IF(예비비!$R154="OK",SUMIFS(예비비!$O$430:$O$729,예비비!$B$430:$B$729,예비비!$A154,예비비!$E$430:$E$729,"&lt;"&amp;EDATE(BM$99,1),예비비!$F$430:$F$729,"결제대금비")+MAX(0,IF(예비비!$D154&lt;EDATE(BM$99,1),예비비!$E154,0)-SUMIFS(예비비!$O$430:$O$729,예비비!$B$430:$B$729,예비비!$A154,예비비!$E$430:$E$729,"&lt;"&amp;EDATE(BM$99,1))),0)</f>
        <v>0</v>
      </c>
      <c r="BN154">
        <f>IF(예비비!$R154="OK",SUMIFS(예비비!$O$430:$O$729,예비비!$B$430:$B$729,예비비!$A154,예비비!$E$430:$E$729,"&lt;"&amp;EDATE(BN$99,1),예비비!$F$430:$F$729,"결제대금비")+MAX(0,IF(예비비!$D154&lt;EDATE(BN$99,1),예비비!$E154,0)-SUMIFS(예비비!$O$430:$O$729,예비비!$B$430:$B$729,예비비!$A154,예비비!$E$430:$E$729,"&lt;"&amp;EDATE(BN$99,1))),0)</f>
        <v>0</v>
      </c>
      <c r="BO154">
        <f>IF(예비비!$R154="OK",SUMIFS(예비비!$O$430:$O$729,예비비!$B$430:$B$729,예비비!$A154,예비비!$E$430:$E$729,"&lt;"&amp;EDATE(BO$99,1),예비비!$F$430:$F$729,"결제대금비")+MAX(0,IF(예비비!$D154&lt;EDATE(BO$99,1),예비비!$E154,0)-SUMIFS(예비비!$O$430:$O$729,예비비!$B$430:$B$729,예비비!$A154,예비비!$E$430:$E$729,"&lt;"&amp;EDATE(BO$99,1))),0)</f>
        <v>0</v>
      </c>
      <c r="BP154">
        <f>IF(예비비!$R154="OK",SUMIFS(예비비!$O$430:$O$729,예비비!$B$430:$B$729,예비비!$A154,예비비!$E$430:$E$729,"&lt;"&amp;EDATE(BP$99,1),예비비!$F$430:$F$729,"결제대금비")+MAX(0,IF(예비비!$D154&lt;EDATE(BP$99,1),예비비!$E154,0)-SUMIFS(예비비!$O$430:$O$729,예비비!$B$430:$B$729,예비비!$A154,예비비!$E$430:$E$729,"&lt;"&amp;EDATE(BP$99,1))),0)</f>
        <v>0</v>
      </c>
      <c r="BQ154">
        <f>IF(예비비!$R154="OK",SUMIFS(예비비!$O$430:$O$729,예비비!$B$430:$B$729,예비비!$A154,예비비!$E$430:$E$729,"&lt;"&amp;EDATE(BQ$99,1),예비비!$F$430:$F$729,"결제대금비")+MAX(0,IF(예비비!$D154&lt;EDATE(BQ$99,1),예비비!$E154,0)-SUMIFS(예비비!$O$430:$O$729,예비비!$B$430:$B$729,예비비!$A154,예비비!$E$430:$E$729,"&lt;"&amp;EDATE(BQ$99,1))),0)</f>
        <v>0</v>
      </c>
      <c r="BR154">
        <f>IF(예비비!$R154="OK",SUMIFS(예비비!$O$430:$O$729,예비비!$B$430:$B$729,예비비!$A154,예비비!$E$430:$E$729,"&lt;"&amp;EDATE(BR$99,1),예비비!$F$430:$F$729,"결제대금비")+MAX(0,IF(예비비!$D154&lt;EDATE(BR$99,1),예비비!$E154,0)-SUMIFS(예비비!$O$430:$O$729,예비비!$B$430:$B$729,예비비!$A154,예비비!$E$430:$E$729,"&lt;"&amp;EDATE(BR$99,1))),0)</f>
        <v>0</v>
      </c>
      <c r="BS154">
        <f>IF(예비비!$R154="OK",SUMIFS(예비비!$O$430:$O$729,예비비!$B$430:$B$729,예비비!$A154,예비비!$E$430:$E$729,"&lt;"&amp;EDATE(BS$99,1),예비비!$F$430:$F$729,"결제대금비")+MAX(0,IF(예비비!$D154&lt;EDATE(BS$99,1),예비비!$E154,0)-SUMIFS(예비비!$O$430:$O$729,예비비!$B$430:$B$729,예비비!$A154,예비비!$E$430:$E$729,"&lt;"&amp;EDATE(BS$99,1))),0)</f>
        <v>0</v>
      </c>
      <c r="BT154">
        <f>IF(예비비!$R154="OK",SUMIFS(예비비!$O$430:$O$729,예비비!$B$430:$B$729,예비비!$A154,예비비!$E$430:$E$729,"&lt;"&amp;EDATE(BT$99,1),예비비!$F$430:$F$729,"결제대금비")+MAX(0,IF(예비비!$D154&lt;EDATE(BT$99,1),예비비!$E154,0)-SUMIFS(예비비!$O$430:$O$729,예비비!$B$430:$B$729,예비비!$A154,예비비!$E$430:$E$729,"&lt;"&amp;EDATE(BT$99,1))),0)</f>
        <v>0</v>
      </c>
      <c r="BU154">
        <f>IF(예비비!$R154="OK",SUMIFS(예비비!$O$430:$O$729,예비비!$B$430:$B$729,예비비!$A154,예비비!$E$430:$E$729,"&lt;"&amp;EDATE(BU$99,1),예비비!$F$430:$F$729,"결제대금비")+MAX(0,IF(예비비!$D154&lt;EDATE(BU$99,1),예비비!$E154,0)-SUMIFS(예비비!$O$430:$O$729,예비비!$B$430:$B$729,예비비!$A154,예비비!$E$430:$E$729,"&lt;"&amp;EDATE(BU$99,1))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  <c r="BI155">
        <f>IF(예비비!$R155="OK",SUMIFS(예비비!$O$430:$O$729,예비비!$B$430:$B$729,예비비!$A155,예비비!$E$430:$E$729,"&lt;"&amp;EDATE(BI$99,1),예비비!$F$430:$F$729,"결제대금비")+MAX(0,IF(예비비!$D155&lt;EDATE(BI$99,1),예비비!$E155,0)-SUMIFS(예비비!$O$430:$O$729,예비비!$B$430:$B$729,예비비!$A155,예비비!$E$430:$E$729,"&lt;"&amp;EDATE(BI$99,1))),0)</f>
        <v>0</v>
      </c>
      <c r="BJ155">
        <f>IF(예비비!$R155="OK",SUMIFS(예비비!$O$430:$O$729,예비비!$B$430:$B$729,예비비!$A155,예비비!$E$430:$E$729,"&lt;"&amp;EDATE(BJ$99,1),예비비!$F$430:$F$729,"결제대금비")+MAX(0,IF(예비비!$D155&lt;EDATE(BJ$99,1),예비비!$E155,0)-SUMIFS(예비비!$O$430:$O$729,예비비!$B$430:$B$729,예비비!$A155,예비비!$E$430:$E$729,"&lt;"&amp;EDATE(BJ$99,1))),0)</f>
        <v>0</v>
      </c>
      <c r="BK155">
        <f>IF(예비비!$R155="OK",SUMIFS(예비비!$O$430:$O$729,예비비!$B$430:$B$729,예비비!$A155,예비비!$E$430:$E$729,"&lt;"&amp;EDATE(BK$99,1),예비비!$F$430:$F$729,"결제대금비")+MAX(0,IF(예비비!$D155&lt;EDATE(BK$99,1),예비비!$E155,0)-SUMIFS(예비비!$O$430:$O$729,예비비!$B$430:$B$729,예비비!$A155,예비비!$E$430:$E$729,"&lt;"&amp;EDATE(BK$99,1))),0)</f>
        <v>0</v>
      </c>
      <c r="BL155">
        <f>IF(예비비!$R155="OK",SUMIFS(예비비!$O$430:$O$729,예비비!$B$430:$B$729,예비비!$A155,예비비!$E$430:$E$729,"&lt;"&amp;EDATE(BL$99,1),예비비!$F$430:$F$729,"결제대금비")+MAX(0,IF(예비비!$D155&lt;EDATE(BL$99,1),예비비!$E155,0)-SUMIFS(예비비!$O$430:$O$729,예비비!$B$430:$B$729,예비비!$A155,예비비!$E$430:$E$729,"&lt;"&amp;EDATE(BL$99,1))),0)</f>
        <v>0</v>
      </c>
      <c r="BM155">
        <f>IF(예비비!$R155="OK",SUMIFS(예비비!$O$430:$O$729,예비비!$B$430:$B$729,예비비!$A155,예비비!$E$430:$E$729,"&lt;"&amp;EDATE(BM$99,1),예비비!$F$430:$F$729,"결제대금비")+MAX(0,IF(예비비!$D155&lt;EDATE(BM$99,1),예비비!$E155,0)-SUMIFS(예비비!$O$430:$O$729,예비비!$B$430:$B$729,예비비!$A155,예비비!$E$430:$E$729,"&lt;"&amp;EDATE(BM$99,1))),0)</f>
        <v>0</v>
      </c>
      <c r="BN155">
        <f>IF(예비비!$R155="OK",SUMIFS(예비비!$O$430:$O$729,예비비!$B$430:$B$729,예비비!$A155,예비비!$E$430:$E$729,"&lt;"&amp;EDATE(BN$99,1),예비비!$F$430:$F$729,"결제대금비")+MAX(0,IF(예비비!$D155&lt;EDATE(BN$99,1),예비비!$E155,0)-SUMIFS(예비비!$O$430:$O$729,예비비!$B$430:$B$729,예비비!$A155,예비비!$E$430:$E$729,"&lt;"&amp;EDATE(BN$99,1))),0)</f>
        <v>0</v>
      </c>
      <c r="BO155">
        <f>IF(예비비!$R155="OK",SUMIFS(예비비!$O$430:$O$729,예비비!$B$430:$B$729,예비비!$A155,예비비!$E$430:$E$729,"&lt;"&amp;EDATE(BO$99,1),예비비!$F$430:$F$729,"결제대금비")+MAX(0,IF(예비비!$D155&lt;EDATE(BO$99,1),예비비!$E155,0)-SUMIFS(예비비!$O$430:$O$729,예비비!$B$430:$B$729,예비비!$A155,예비비!$E$430:$E$729,"&lt;"&amp;EDATE(BO$99,1))),0)</f>
        <v>0</v>
      </c>
      <c r="BP155">
        <f>IF(예비비!$R155="OK",SUMIFS(예비비!$O$430:$O$729,예비비!$B$430:$B$729,예비비!$A155,예비비!$E$430:$E$729,"&lt;"&amp;EDATE(BP$99,1),예비비!$F$430:$F$729,"결제대금비")+MAX(0,IF(예비비!$D155&lt;EDATE(BP$99,1),예비비!$E155,0)-SUMIFS(예비비!$O$430:$O$729,예비비!$B$430:$B$729,예비비!$A155,예비비!$E$430:$E$729,"&lt;"&amp;EDATE(BP$99,1))),0)</f>
        <v>0</v>
      </c>
      <c r="BQ155">
        <f>IF(예비비!$R155="OK",SUMIFS(예비비!$O$430:$O$729,예비비!$B$430:$B$729,예비비!$A155,예비비!$E$430:$E$729,"&lt;"&amp;EDATE(BQ$99,1),예비비!$F$430:$F$729,"결제대금비")+MAX(0,IF(예비비!$D155&lt;EDATE(BQ$99,1),예비비!$E155,0)-SUMIFS(예비비!$O$430:$O$729,예비비!$B$430:$B$729,예비비!$A155,예비비!$E$430:$E$729,"&lt;"&amp;EDATE(BQ$99,1))),0)</f>
        <v>0</v>
      </c>
      <c r="BR155">
        <f>IF(예비비!$R155="OK",SUMIFS(예비비!$O$430:$O$729,예비비!$B$430:$B$729,예비비!$A155,예비비!$E$430:$E$729,"&lt;"&amp;EDATE(BR$99,1),예비비!$F$430:$F$729,"결제대금비")+MAX(0,IF(예비비!$D155&lt;EDATE(BR$99,1),예비비!$E155,0)-SUMIFS(예비비!$O$430:$O$729,예비비!$B$430:$B$729,예비비!$A155,예비비!$E$430:$E$729,"&lt;"&amp;EDATE(BR$99,1))),0)</f>
        <v>0</v>
      </c>
      <c r="BS155">
        <f>IF(예비비!$R155="OK",SUMIFS(예비비!$O$430:$O$729,예비비!$B$430:$B$729,예비비!$A155,예비비!$E$430:$E$729,"&lt;"&amp;EDATE(BS$99,1),예비비!$F$430:$F$729,"결제대금비")+MAX(0,IF(예비비!$D155&lt;EDATE(BS$99,1),예비비!$E155,0)-SUMIFS(예비비!$O$430:$O$729,예비비!$B$430:$B$729,예비비!$A155,예비비!$E$430:$E$729,"&lt;"&amp;EDATE(BS$99,1))),0)</f>
        <v>0</v>
      </c>
      <c r="BT155">
        <f>IF(예비비!$R155="OK",SUMIFS(예비비!$O$430:$O$729,예비비!$B$430:$B$729,예비비!$A155,예비비!$E$430:$E$729,"&lt;"&amp;EDATE(BT$99,1),예비비!$F$430:$F$729,"결제대금비")+MAX(0,IF(예비비!$D155&lt;EDATE(BT$99,1),예비비!$E155,0)-SUMIFS(예비비!$O$430:$O$729,예비비!$B$430:$B$729,예비비!$A155,예비비!$E$430:$E$729,"&lt;"&amp;EDATE(BT$99,1))),0)</f>
        <v>0</v>
      </c>
      <c r="BU155">
        <f>IF(예비비!$R155="OK",SUMIFS(예비비!$O$430:$O$729,예비비!$B$430:$B$729,예비비!$A155,예비비!$E$430:$E$729,"&lt;"&amp;EDATE(BU$99,1),예비비!$F$430:$F$729,"결제대금비")+MAX(0,IF(예비비!$D155&lt;EDATE(BU$99,1),예비비!$E155,0)-SUMIFS(예비비!$O$430:$O$729,예비비!$B$430:$B$729,예비비!$A155,예비비!$E$430:$E$729,"&lt;"&amp;EDATE(BU$99,1))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  <c r="BI156">
        <f>IF(예비비!$R156="OK",SUMIFS(예비비!$O$430:$O$729,예비비!$B$430:$B$729,예비비!$A156,예비비!$E$430:$E$729,"&lt;"&amp;EDATE(BI$99,1),예비비!$F$430:$F$729,"결제대금비")+MAX(0,IF(예비비!$D156&lt;EDATE(BI$99,1),예비비!$E156,0)-SUMIFS(예비비!$O$430:$O$729,예비비!$B$430:$B$729,예비비!$A156,예비비!$E$430:$E$729,"&lt;"&amp;EDATE(BI$99,1))),0)</f>
        <v>0</v>
      </c>
      <c r="BJ156">
        <f>IF(예비비!$R156="OK",SUMIFS(예비비!$O$430:$O$729,예비비!$B$430:$B$729,예비비!$A156,예비비!$E$430:$E$729,"&lt;"&amp;EDATE(BJ$99,1),예비비!$F$430:$F$729,"결제대금비")+MAX(0,IF(예비비!$D156&lt;EDATE(BJ$99,1),예비비!$E156,0)-SUMIFS(예비비!$O$430:$O$729,예비비!$B$430:$B$729,예비비!$A156,예비비!$E$430:$E$729,"&lt;"&amp;EDATE(BJ$99,1))),0)</f>
        <v>0</v>
      </c>
      <c r="BK156">
        <f>IF(예비비!$R156="OK",SUMIFS(예비비!$O$430:$O$729,예비비!$B$430:$B$729,예비비!$A156,예비비!$E$430:$E$729,"&lt;"&amp;EDATE(BK$99,1),예비비!$F$430:$F$729,"결제대금비")+MAX(0,IF(예비비!$D156&lt;EDATE(BK$99,1),예비비!$E156,0)-SUMIFS(예비비!$O$430:$O$729,예비비!$B$430:$B$729,예비비!$A156,예비비!$E$430:$E$729,"&lt;"&amp;EDATE(BK$99,1))),0)</f>
        <v>0</v>
      </c>
      <c r="BL156">
        <f>IF(예비비!$R156="OK",SUMIFS(예비비!$O$430:$O$729,예비비!$B$430:$B$729,예비비!$A156,예비비!$E$430:$E$729,"&lt;"&amp;EDATE(BL$99,1),예비비!$F$430:$F$729,"결제대금비")+MAX(0,IF(예비비!$D156&lt;EDATE(BL$99,1),예비비!$E156,0)-SUMIFS(예비비!$O$430:$O$729,예비비!$B$430:$B$729,예비비!$A156,예비비!$E$430:$E$729,"&lt;"&amp;EDATE(BL$99,1))),0)</f>
        <v>0</v>
      </c>
      <c r="BM156">
        <f>IF(예비비!$R156="OK",SUMIFS(예비비!$O$430:$O$729,예비비!$B$430:$B$729,예비비!$A156,예비비!$E$430:$E$729,"&lt;"&amp;EDATE(BM$99,1),예비비!$F$430:$F$729,"결제대금비")+MAX(0,IF(예비비!$D156&lt;EDATE(BM$99,1),예비비!$E156,0)-SUMIFS(예비비!$O$430:$O$729,예비비!$B$430:$B$729,예비비!$A156,예비비!$E$430:$E$729,"&lt;"&amp;EDATE(BM$99,1))),0)</f>
        <v>0</v>
      </c>
      <c r="BN156">
        <f>IF(예비비!$R156="OK",SUMIFS(예비비!$O$430:$O$729,예비비!$B$430:$B$729,예비비!$A156,예비비!$E$430:$E$729,"&lt;"&amp;EDATE(BN$99,1),예비비!$F$430:$F$729,"결제대금비")+MAX(0,IF(예비비!$D156&lt;EDATE(BN$99,1),예비비!$E156,0)-SUMIFS(예비비!$O$430:$O$729,예비비!$B$430:$B$729,예비비!$A156,예비비!$E$430:$E$729,"&lt;"&amp;EDATE(BN$99,1))),0)</f>
        <v>0</v>
      </c>
      <c r="BO156">
        <f>IF(예비비!$R156="OK",SUMIFS(예비비!$O$430:$O$729,예비비!$B$430:$B$729,예비비!$A156,예비비!$E$430:$E$729,"&lt;"&amp;EDATE(BO$99,1),예비비!$F$430:$F$729,"결제대금비")+MAX(0,IF(예비비!$D156&lt;EDATE(BO$99,1),예비비!$E156,0)-SUMIFS(예비비!$O$430:$O$729,예비비!$B$430:$B$729,예비비!$A156,예비비!$E$430:$E$729,"&lt;"&amp;EDATE(BO$99,1))),0)</f>
        <v>0</v>
      </c>
      <c r="BP156">
        <f>IF(예비비!$R156="OK",SUMIFS(예비비!$O$430:$O$729,예비비!$B$430:$B$729,예비비!$A156,예비비!$E$430:$E$729,"&lt;"&amp;EDATE(BP$99,1),예비비!$F$430:$F$729,"결제대금비")+MAX(0,IF(예비비!$D156&lt;EDATE(BP$99,1),예비비!$E156,0)-SUMIFS(예비비!$O$430:$O$729,예비비!$B$430:$B$729,예비비!$A156,예비비!$E$430:$E$729,"&lt;"&amp;EDATE(BP$99,1))),0)</f>
        <v>0</v>
      </c>
      <c r="BQ156">
        <f>IF(예비비!$R156="OK",SUMIFS(예비비!$O$430:$O$729,예비비!$B$430:$B$729,예비비!$A156,예비비!$E$430:$E$729,"&lt;"&amp;EDATE(BQ$99,1),예비비!$F$430:$F$729,"결제대금비")+MAX(0,IF(예비비!$D156&lt;EDATE(BQ$99,1),예비비!$E156,0)-SUMIFS(예비비!$O$430:$O$729,예비비!$B$430:$B$729,예비비!$A156,예비비!$E$430:$E$729,"&lt;"&amp;EDATE(BQ$99,1))),0)</f>
        <v>0</v>
      </c>
      <c r="BR156">
        <f>IF(예비비!$R156="OK",SUMIFS(예비비!$O$430:$O$729,예비비!$B$430:$B$729,예비비!$A156,예비비!$E$430:$E$729,"&lt;"&amp;EDATE(BR$99,1),예비비!$F$430:$F$729,"결제대금비")+MAX(0,IF(예비비!$D156&lt;EDATE(BR$99,1),예비비!$E156,0)-SUMIFS(예비비!$O$430:$O$729,예비비!$B$430:$B$729,예비비!$A156,예비비!$E$430:$E$729,"&lt;"&amp;EDATE(BR$99,1))),0)</f>
        <v>0</v>
      </c>
      <c r="BS156">
        <f>IF(예비비!$R156="OK",SUMIFS(예비비!$O$430:$O$729,예비비!$B$430:$B$729,예비비!$A156,예비비!$E$430:$E$729,"&lt;"&amp;EDATE(BS$99,1),예비비!$F$430:$F$729,"결제대금비")+MAX(0,IF(예비비!$D156&lt;EDATE(BS$99,1),예비비!$E156,0)-SUMIFS(예비비!$O$430:$O$729,예비비!$B$430:$B$729,예비비!$A156,예비비!$E$430:$E$729,"&lt;"&amp;EDATE(BS$99,1))),0)</f>
        <v>0</v>
      </c>
      <c r="BT156">
        <f>IF(예비비!$R156="OK",SUMIFS(예비비!$O$430:$O$729,예비비!$B$430:$B$729,예비비!$A156,예비비!$E$430:$E$729,"&lt;"&amp;EDATE(BT$99,1),예비비!$F$430:$F$729,"결제대금비")+MAX(0,IF(예비비!$D156&lt;EDATE(BT$99,1),예비비!$E156,0)-SUMIFS(예비비!$O$430:$O$729,예비비!$B$430:$B$729,예비비!$A156,예비비!$E$430:$E$729,"&lt;"&amp;EDATE(BT$99,1))),0)</f>
        <v>0</v>
      </c>
      <c r="BU156">
        <f>IF(예비비!$R156="OK",SUMIFS(예비비!$O$430:$O$729,예비비!$B$430:$B$729,예비비!$A156,예비비!$E$430:$E$729,"&lt;"&amp;EDATE(BU$99,1),예비비!$F$430:$F$729,"결제대금비")+MAX(0,IF(예비비!$D156&lt;EDATE(BU$99,1),예비비!$E156,0)-SUMIFS(예비비!$O$430:$O$729,예비비!$B$430:$B$729,예비비!$A156,예비비!$E$430:$E$729,"&lt;"&amp;EDATE(BU$99,1))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  <c r="BI157">
        <f>IF(예비비!$R157="OK",SUMIFS(예비비!$O$430:$O$729,예비비!$B$430:$B$729,예비비!$A157,예비비!$E$430:$E$729,"&lt;"&amp;EDATE(BI$99,1),예비비!$F$430:$F$729,"결제대금비")+MAX(0,IF(예비비!$D157&lt;EDATE(BI$99,1),예비비!$E157,0)-SUMIFS(예비비!$O$430:$O$729,예비비!$B$430:$B$729,예비비!$A157,예비비!$E$430:$E$729,"&lt;"&amp;EDATE(BI$99,1))),0)</f>
        <v>0</v>
      </c>
      <c r="BJ157">
        <f>IF(예비비!$R157="OK",SUMIFS(예비비!$O$430:$O$729,예비비!$B$430:$B$729,예비비!$A157,예비비!$E$430:$E$729,"&lt;"&amp;EDATE(BJ$99,1),예비비!$F$430:$F$729,"결제대금비")+MAX(0,IF(예비비!$D157&lt;EDATE(BJ$99,1),예비비!$E157,0)-SUMIFS(예비비!$O$430:$O$729,예비비!$B$430:$B$729,예비비!$A157,예비비!$E$430:$E$729,"&lt;"&amp;EDATE(BJ$99,1))),0)</f>
        <v>0</v>
      </c>
      <c r="BK157">
        <f>IF(예비비!$R157="OK",SUMIFS(예비비!$O$430:$O$729,예비비!$B$430:$B$729,예비비!$A157,예비비!$E$430:$E$729,"&lt;"&amp;EDATE(BK$99,1),예비비!$F$430:$F$729,"결제대금비")+MAX(0,IF(예비비!$D157&lt;EDATE(BK$99,1),예비비!$E157,0)-SUMIFS(예비비!$O$430:$O$729,예비비!$B$430:$B$729,예비비!$A157,예비비!$E$430:$E$729,"&lt;"&amp;EDATE(BK$99,1))),0)</f>
        <v>0</v>
      </c>
      <c r="BL157">
        <f>IF(예비비!$R157="OK",SUMIFS(예비비!$O$430:$O$729,예비비!$B$430:$B$729,예비비!$A157,예비비!$E$430:$E$729,"&lt;"&amp;EDATE(BL$99,1),예비비!$F$430:$F$729,"결제대금비")+MAX(0,IF(예비비!$D157&lt;EDATE(BL$99,1),예비비!$E157,0)-SUMIFS(예비비!$O$430:$O$729,예비비!$B$430:$B$729,예비비!$A157,예비비!$E$430:$E$729,"&lt;"&amp;EDATE(BL$99,1))),0)</f>
        <v>0</v>
      </c>
      <c r="BM157">
        <f>IF(예비비!$R157="OK",SUMIFS(예비비!$O$430:$O$729,예비비!$B$430:$B$729,예비비!$A157,예비비!$E$430:$E$729,"&lt;"&amp;EDATE(BM$99,1),예비비!$F$430:$F$729,"결제대금비")+MAX(0,IF(예비비!$D157&lt;EDATE(BM$99,1),예비비!$E157,0)-SUMIFS(예비비!$O$430:$O$729,예비비!$B$430:$B$729,예비비!$A157,예비비!$E$430:$E$729,"&lt;"&amp;EDATE(BM$99,1))),0)</f>
        <v>0</v>
      </c>
      <c r="BN157">
        <f>IF(예비비!$R157="OK",SUMIFS(예비비!$O$430:$O$729,예비비!$B$430:$B$729,예비비!$A157,예비비!$E$430:$E$729,"&lt;"&amp;EDATE(BN$99,1),예비비!$F$430:$F$729,"결제대금비")+MAX(0,IF(예비비!$D157&lt;EDATE(BN$99,1),예비비!$E157,0)-SUMIFS(예비비!$O$430:$O$729,예비비!$B$430:$B$729,예비비!$A157,예비비!$E$430:$E$729,"&lt;"&amp;EDATE(BN$99,1))),0)</f>
        <v>0</v>
      </c>
      <c r="BO157">
        <f>IF(예비비!$R157="OK",SUMIFS(예비비!$O$430:$O$729,예비비!$B$430:$B$729,예비비!$A157,예비비!$E$430:$E$729,"&lt;"&amp;EDATE(BO$99,1),예비비!$F$430:$F$729,"결제대금비")+MAX(0,IF(예비비!$D157&lt;EDATE(BO$99,1),예비비!$E157,0)-SUMIFS(예비비!$O$430:$O$729,예비비!$B$430:$B$729,예비비!$A157,예비비!$E$430:$E$729,"&lt;"&amp;EDATE(BO$99,1))),0)</f>
        <v>0</v>
      </c>
      <c r="BP157">
        <f>IF(예비비!$R157="OK",SUMIFS(예비비!$O$430:$O$729,예비비!$B$430:$B$729,예비비!$A157,예비비!$E$430:$E$729,"&lt;"&amp;EDATE(BP$99,1),예비비!$F$430:$F$729,"결제대금비")+MAX(0,IF(예비비!$D157&lt;EDATE(BP$99,1),예비비!$E157,0)-SUMIFS(예비비!$O$430:$O$729,예비비!$B$430:$B$729,예비비!$A157,예비비!$E$430:$E$729,"&lt;"&amp;EDATE(BP$99,1))),0)</f>
        <v>0</v>
      </c>
      <c r="BQ157">
        <f>IF(예비비!$R157="OK",SUMIFS(예비비!$O$430:$O$729,예비비!$B$430:$B$729,예비비!$A157,예비비!$E$430:$E$729,"&lt;"&amp;EDATE(BQ$99,1),예비비!$F$430:$F$729,"결제대금비")+MAX(0,IF(예비비!$D157&lt;EDATE(BQ$99,1),예비비!$E157,0)-SUMIFS(예비비!$O$430:$O$729,예비비!$B$430:$B$729,예비비!$A157,예비비!$E$430:$E$729,"&lt;"&amp;EDATE(BQ$99,1))),0)</f>
        <v>0</v>
      </c>
      <c r="BR157">
        <f>IF(예비비!$R157="OK",SUMIFS(예비비!$O$430:$O$729,예비비!$B$430:$B$729,예비비!$A157,예비비!$E$430:$E$729,"&lt;"&amp;EDATE(BR$99,1),예비비!$F$430:$F$729,"결제대금비")+MAX(0,IF(예비비!$D157&lt;EDATE(BR$99,1),예비비!$E157,0)-SUMIFS(예비비!$O$430:$O$729,예비비!$B$430:$B$729,예비비!$A157,예비비!$E$430:$E$729,"&lt;"&amp;EDATE(BR$99,1))),0)</f>
        <v>0</v>
      </c>
      <c r="BS157">
        <f>IF(예비비!$R157="OK",SUMIFS(예비비!$O$430:$O$729,예비비!$B$430:$B$729,예비비!$A157,예비비!$E$430:$E$729,"&lt;"&amp;EDATE(BS$99,1),예비비!$F$430:$F$729,"결제대금비")+MAX(0,IF(예비비!$D157&lt;EDATE(BS$99,1),예비비!$E157,0)-SUMIFS(예비비!$O$430:$O$729,예비비!$B$430:$B$729,예비비!$A157,예비비!$E$430:$E$729,"&lt;"&amp;EDATE(BS$99,1))),0)</f>
        <v>0</v>
      </c>
      <c r="BT157">
        <f>IF(예비비!$R157="OK",SUMIFS(예비비!$O$430:$O$729,예비비!$B$430:$B$729,예비비!$A157,예비비!$E$430:$E$729,"&lt;"&amp;EDATE(BT$99,1),예비비!$F$430:$F$729,"결제대금비")+MAX(0,IF(예비비!$D157&lt;EDATE(BT$99,1),예비비!$E157,0)-SUMIFS(예비비!$O$430:$O$729,예비비!$B$430:$B$729,예비비!$A157,예비비!$E$430:$E$729,"&lt;"&amp;EDATE(BT$99,1))),0)</f>
        <v>0</v>
      </c>
      <c r="BU157">
        <f>IF(예비비!$R157="OK",SUMIFS(예비비!$O$430:$O$729,예비비!$B$430:$B$729,예비비!$A157,예비비!$E$430:$E$729,"&lt;"&amp;EDATE(BU$99,1),예비비!$F$430:$F$729,"결제대금비")+MAX(0,IF(예비비!$D157&lt;EDATE(BU$99,1),예비비!$E157,0)-SUMIFS(예비비!$O$430:$O$729,예비비!$B$430:$B$729,예비비!$A157,예비비!$E$430:$E$729,"&lt;"&amp;EDATE(BU$99,1))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  <c r="BI158">
        <f>IF(예비비!$R158="OK",SUMIFS(예비비!$O$430:$O$729,예비비!$B$430:$B$729,예비비!$A158,예비비!$E$430:$E$729,"&lt;"&amp;EDATE(BI$99,1),예비비!$F$430:$F$729,"결제대금비")+MAX(0,IF(예비비!$D158&lt;EDATE(BI$99,1),예비비!$E158,0)-SUMIFS(예비비!$O$430:$O$729,예비비!$B$430:$B$729,예비비!$A158,예비비!$E$430:$E$729,"&lt;"&amp;EDATE(BI$99,1))),0)</f>
        <v>0</v>
      </c>
      <c r="BJ158">
        <f>IF(예비비!$R158="OK",SUMIFS(예비비!$O$430:$O$729,예비비!$B$430:$B$729,예비비!$A158,예비비!$E$430:$E$729,"&lt;"&amp;EDATE(BJ$99,1),예비비!$F$430:$F$729,"결제대금비")+MAX(0,IF(예비비!$D158&lt;EDATE(BJ$99,1),예비비!$E158,0)-SUMIFS(예비비!$O$430:$O$729,예비비!$B$430:$B$729,예비비!$A158,예비비!$E$430:$E$729,"&lt;"&amp;EDATE(BJ$99,1))),0)</f>
        <v>0</v>
      </c>
      <c r="BK158">
        <f>IF(예비비!$R158="OK",SUMIFS(예비비!$O$430:$O$729,예비비!$B$430:$B$729,예비비!$A158,예비비!$E$430:$E$729,"&lt;"&amp;EDATE(BK$99,1),예비비!$F$430:$F$729,"결제대금비")+MAX(0,IF(예비비!$D158&lt;EDATE(BK$99,1),예비비!$E158,0)-SUMIFS(예비비!$O$430:$O$729,예비비!$B$430:$B$729,예비비!$A158,예비비!$E$430:$E$729,"&lt;"&amp;EDATE(BK$99,1))),0)</f>
        <v>0</v>
      </c>
      <c r="BL158">
        <f>IF(예비비!$R158="OK",SUMIFS(예비비!$O$430:$O$729,예비비!$B$430:$B$729,예비비!$A158,예비비!$E$430:$E$729,"&lt;"&amp;EDATE(BL$99,1),예비비!$F$430:$F$729,"결제대금비")+MAX(0,IF(예비비!$D158&lt;EDATE(BL$99,1),예비비!$E158,0)-SUMIFS(예비비!$O$430:$O$729,예비비!$B$430:$B$729,예비비!$A158,예비비!$E$430:$E$729,"&lt;"&amp;EDATE(BL$99,1))),0)</f>
        <v>0</v>
      </c>
      <c r="BM158">
        <f>IF(예비비!$R158="OK",SUMIFS(예비비!$O$430:$O$729,예비비!$B$430:$B$729,예비비!$A158,예비비!$E$430:$E$729,"&lt;"&amp;EDATE(BM$99,1),예비비!$F$430:$F$729,"결제대금비")+MAX(0,IF(예비비!$D158&lt;EDATE(BM$99,1),예비비!$E158,0)-SUMIFS(예비비!$O$430:$O$729,예비비!$B$430:$B$729,예비비!$A158,예비비!$E$430:$E$729,"&lt;"&amp;EDATE(BM$99,1))),0)</f>
        <v>0</v>
      </c>
      <c r="BN158">
        <f>IF(예비비!$R158="OK",SUMIFS(예비비!$O$430:$O$729,예비비!$B$430:$B$729,예비비!$A158,예비비!$E$430:$E$729,"&lt;"&amp;EDATE(BN$99,1),예비비!$F$430:$F$729,"결제대금비")+MAX(0,IF(예비비!$D158&lt;EDATE(BN$99,1),예비비!$E158,0)-SUMIFS(예비비!$O$430:$O$729,예비비!$B$430:$B$729,예비비!$A158,예비비!$E$430:$E$729,"&lt;"&amp;EDATE(BN$99,1))),0)</f>
        <v>0</v>
      </c>
      <c r="BO158">
        <f>IF(예비비!$R158="OK",SUMIFS(예비비!$O$430:$O$729,예비비!$B$430:$B$729,예비비!$A158,예비비!$E$430:$E$729,"&lt;"&amp;EDATE(BO$99,1),예비비!$F$430:$F$729,"결제대금비")+MAX(0,IF(예비비!$D158&lt;EDATE(BO$99,1),예비비!$E158,0)-SUMIFS(예비비!$O$430:$O$729,예비비!$B$430:$B$729,예비비!$A158,예비비!$E$430:$E$729,"&lt;"&amp;EDATE(BO$99,1))),0)</f>
        <v>0</v>
      </c>
      <c r="BP158">
        <f>IF(예비비!$R158="OK",SUMIFS(예비비!$O$430:$O$729,예비비!$B$430:$B$729,예비비!$A158,예비비!$E$430:$E$729,"&lt;"&amp;EDATE(BP$99,1),예비비!$F$430:$F$729,"결제대금비")+MAX(0,IF(예비비!$D158&lt;EDATE(BP$99,1),예비비!$E158,0)-SUMIFS(예비비!$O$430:$O$729,예비비!$B$430:$B$729,예비비!$A158,예비비!$E$430:$E$729,"&lt;"&amp;EDATE(BP$99,1))),0)</f>
        <v>0</v>
      </c>
      <c r="BQ158">
        <f>IF(예비비!$R158="OK",SUMIFS(예비비!$O$430:$O$729,예비비!$B$430:$B$729,예비비!$A158,예비비!$E$430:$E$729,"&lt;"&amp;EDATE(BQ$99,1),예비비!$F$430:$F$729,"결제대금비")+MAX(0,IF(예비비!$D158&lt;EDATE(BQ$99,1),예비비!$E158,0)-SUMIFS(예비비!$O$430:$O$729,예비비!$B$430:$B$729,예비비!$A158,예비비!$E$430:$E$729,"&lt;"&amp;EDATE(BQ$99,1))),0)</f>
        <v>0</v>
      </c>
      <c r="BR158">
        <f>IF(예비비!$R158="OK",SUMIFS(예비비!$O$430:$O$729,예비비!$B$430:$B$729,예비비!$A158,예비비!$E$430:$E$729,"&lt;"&amp;EDATE(BR$99,1),예비비!$F$430:$F$729,"결제대금비")+MAX(0,IF(예비비!$D158&lt;EDATE(BR$99,1),예비비!$E158,0)-SUMIFS(예비비!$O$430:$O$729,예비비!$B$430:$B$729,예비비!$A158,예비비!$E$430:$E$729,"&lt;"&amp;EDATE(BR$99,1))),0)</f>
        <v>0</v>
      </c>
      <c r="BS158">
        <f>IF(예비비!$R158="OK",SUMIFS(예비비!$O$430:$O$729,예비비!$B$430:$B$729,예비비!$A158,예비비!$E$430:$E$729,"&lt;"&amp;EDATE(BS$99,1),예비비!$F$430:$F$729,"결제대금비")+MAX(0,IF(예비비!$D158&lt;EDATE(BS$99,1),예비비!$E158,0)-SUMIFS(예비비!$O$430:$O$729,예비비!$B$430:$B$729,예비비!$A158,예비비!$E$430:$E$729,"&lt;"&amp;EDATE(BS$99,1))),0)</f>
        <v>0</v>
      </c>
      <c r="BT158">
        <f>IF(예비비!$R158="OK",SUMIFS(예비비!$O$430:$O$729,예비비!$B$430:$B$729,예비비!$A158,예비비!$E$430:$E$729,"&lt;"&amp;EDATE(BT$99,1),예비비!$F$430:$F$729,"결제대금비")+MAX(0,IF(예비비!$D158&lt;EDATE(BT$99,1),예비비!$E158,0)-SUMIFS(예비비!$O$430:$O$729,예비비!$B$430:$B$729,예비비!$A158,예비비!$E$430:$E$729,"&lt;"&amp;EDATE(BT$99,1))),0)</f>
        <v>0</v>
      </c>
      <c r="BU158">
        <f>IF(예비비!$R158="OK",SUMIFS(예비비!$O$430:$O$729,예비비!$B$430:$B$729,예비비!$A158,예비비!$E$430:$E$729,"&lt;"&amp;EDATE(BU$99,1),예비비!$F$430:$F$729,"결제대금비")+MAX(0,IF(예비비!$D158&lt;EDATE(BU$99,1),예비비!$E158,0)-SUMIFS(예비비!$O$430:$O$729,예비비!$B$430:$B$729,예비비!$A158,예비비!$E$430:$E$729,"&lt;"&amp;EDATE(BU$99,1))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  <c r="BI159">
        <f>IF(예비비!$R159="OK",SUMIFS(예비비!$O$430:$O$729,예비비!$B$430:$B$729,예비비!$A159,예비비!$E$430:$E$729,"&lt;"&amp;EDATE(BI$99,1),예비비!$F$430:$F$729,"결제대금비")+MAX(0,IF(예비비!$D159&lt;EDATE(BI$99,1),예비비!$E159,0)-SUMIFS(예비비!$O$430:$O$729,예비비!$B$430:$B$729,예비비!$A159,예비비!$E$430:$E$729,"&lt;"&amp;EDATE(BI$99,1))),0)</f>
        <v>0</v>
      </c>
      <c r="BJ159">
        <f>IF(예비비!$R159="OK",SUMIFS(예비비!$O$430:$O$729,예비비!$B$430:$B$729,예비비!$A159,예비비!$E$430:$E$729,"&lt;"&amp;EDATE(BJ$99,1),예비비!$F$430:$F$729,"결제대금비")+MAX(0,IF(예비비!$D159&lt;EDATE(BJ$99,1),예비비!$E159,0)-SUMIFS(예비비!$O$430:$O$729,예비비!$B$430:$B$729,예비비!$A159,예비비!$E$430:$E$729,"&lt;"&amp;EDATE(BJ$99,1))),0)</f>
        <v>0</v>
      </c>
      <c r="BK159">
        <f>IF(예비비!$R159="OK",SUMIFS(예비비!$O$430:$O$729,예비비!$B$430:$B$729,예비비!$A159,예비비!$E$430:$E$729,"&lt;"&amp;EDATE(BK$99,1),예비비!$F$430:$F$729,"결제대금비")+MAX(0,IF(예비비!$D159&lt;EDATE(BK$99,1),예비비!$E159,0)-SUMIFS(예비비!$O$430:$O$729,예비비!$B$430:$B$729,예비비!$A159,예비비!$E$430:$E$729,"&lt;"&amp;EDATE(BK$99,1))),0)</f>
        <v>0</v>
      </c>
      <c r="BL159">
        <f>IF(예비비!$R159="OK",SUMIFS(예비비!$O$430:$O$729,예비비!$B$430:$B$729,예비비!$A159,예비비!$E$430:$E$729,"&lt;"&amp;EDATE(BL$99,1),예비비!$F$430:$F$729,"결제대금비")+MAX(0,IF(예비비!$D159&lt;EDATE(BL$99,1),예비비!$E159,0)-SUMIFS(예비비!$O$430:$O$729,예비비!$B$430:$B$729,예비비!$A159,예비비!$E$430:$E$729,"&lt;"&amp;EDATE(BL$99,1))),0)</f>
        <v>0</v>
      </c>
      <c r="BM159">
        <f>IF(예비비!$R159="OK",SUMIFS(예비비!$O$430:$O$729,예비비!$B$430:$B$729,예비비!$A159,예비비!$E$430:$E$729,"&lt;"&amp;EDATE(BM$99,1),예비비!$F$430:$F$729,"결제대금비")+MAX(0,IF(예비비!$D159&lt;EDATE(BM$99,1),예비비!$E159,0)-SUMIFS(예비비!$O$430:$O$729,예비비!$B$430:$B$729,예비비!$A159,예비비!$E$430:$E$729,"&lt;"&amp;EDATE(BM$99,1))),0)</f>
        <v>0</v>
      </c>
      <c r="BN159">
        <f>IF(예비비!$R159="OK",SUMIFS(예비비!$O$430:$O$729,예비비!$B$430:$B$729,예비비!$A159,예비비!$E$430:$E$729,"&lt;"&amp;EDATE(BN$99,1),예비비!$F$430:$F$729,"결제대금비")+MAX(0,IF(예비비!$D159&lt;EDATE(BN$99,1),예비비!$E159,0)-SUMIFS(예비비!$O$430:$O$729,예비비!$B$430:$B$729,예비비!$A159,예비비!$E$430:$E$729,"&lt;"&amp;EDATE(BN$99,1))),0)</f>
        <v>0</v>
      </c>
      <c r="BO159">
        <f>IF(예비비!$R159="OK",SUMIFS(예비비!$O$430:$O$729,예비비!$B$430:$B$729,예비비!$A159,예비비!$E$430:$E$729,"&lt;"&amp;EDATE(BO$99,1),예비비!$F$430:$F$729,"결제대금비")+MAX(0,IF(예비비!$D159&lt;EDATE(BO$99,1),예비비!$E159,0)-SUMIFS(예비비!$O$430:$O$729,예비비!$B$430:$B$729,예비비!$A159,예비비!$E$430:$E$729,"&lt;"&amp;EDATE(BO$99,1))),0)</f>
        <v>0</v>
      </c>
      <c r="BP159">
        <f>IF(예비비!$R159="OK",SUMIFS(예비비!$O$430:$O$729,예비비!$B$430:$B$729,예비비!$A159,예비비!$E$430:$E$729,"&lt;"&amp;EDATE(BP$99,1),예비비!$F$430:$F$729,"결제대금비")+MAX(0,IF(예비비!$D159&lt;EDATE(BP$99,1),예비비!$E159,0)-SUMIFS(예비비!$O$430:$O$729,예비비!$B$430:$B$729,예비비!$A159,예비비!$E$430:$E$729,"&lt;"&amp;EDATE(BP$99,1))),0)</f>
        <v>0</v>
      </c>
      <c r="BQ159">
        <f>IF(예비비!$R159="OK",SUMIFS(예비비!$O$430:$O$729,예비비!$B$430:$B$729,예비비!$A159,예비비!$E$430:$E$729,"&lt;"&amp;EDATE(BQ$99,1),예비비!$F$430:$F$729,"결제대금비")+MAX(0,IF(예비비!$D159&lt;EDATE(BQ$99,1),예비비!$E159,0)-SUMIFS(예비비!$O$430:$O$729,예비비!$B$430:$B$729,예비비!$A159,예비비!$E$430:$E$729,"&lt;"&amp;EDATE(BQ$99,1))),0)</f>
        <v>0</v>
      </c>
      <c r="BR159">
        <f>IF(예비비!$R159="OK",SUMIFS(예비비!$O$430:$O$729,예비비!$B$430:$B$729,예비비!$A159,예비비!$E$430:$E$729,"&lt;"&amp;EDATE(BR$99,1),예비비!$F$430:$F$729,"결제대금비")+MAX(0,IF(예비비!$D159&lt;EDATE(BR$99,1),예비비!$E159,0)-SUMIFS(예비비!$O$430:$O$729,예비비!$B$430:$B$729,예비비!$A159,예비비!$E$430:$E$729,"&lt;"&amp;EDATE(BR$99,1))),0)</f>
        <v>0</v>
      </c>
      <c r="BS159">
        <f>IF(예비비!$R159="OK",SUMIFS(예비비!$O$430:$O$729,예비비!$B$430:$B$729,예비비!$A159,예비비!$E$430:$E$729,"&lt;"&amp;EDATE(BS$99,1),예비비!$F$430:$F$729,"결제대금비")+MAX(0,IF(예비비!$D159&lt;EDATE(BS$99,1),예비비!$E159,0)-SUMIFS(예비비!$O$430:$O$729,예비비!$B$430:$B$729,예비비!$A159,예비비!$E$430:$E$729,"&lt;"&amp;EDATE(BS$99,1))),0)</f>
        <v>0</v>
      </c>
      <c r="BT159">
        <f>IF(예비비!$R159="OK",SUMIFS(예비비!$O$430:$O$729,예비비!$B$430:$B$729,예비비!$A159,예비비!$E$430:$E$729,"&lt;"&amp;EDATE(BT$99,1),예비비!$F$430:$F$729,"결제대금비")+MAX(0,IF(예비비!$D159&lt;EDATE(BT$99,1),예비비!$E159,0)-SUMIFS(예비비!$O$430:$O$729,예비비!$B$430:$B$729,예비비!$A159,예비비!$E$430:$E$729,"&lt;"&amp;EDATE(BT$99,1))),0)</f>
        <v>0</v>
      </c>
      <c r="BU159">
        <f>IF(예비비!$R159="OK",SUMIFS(예비비!$O$430:$O$729,예비비!$B$430:$B$729,예비비!$A159,예비비!$E$430:$E$729,"&lt;"&amp;EDATE(BU$99,1),예비비!$F$430:$F$729,"결제대금비")+MAX(0,IF(예비비!$D159&lt;EDATE(BU$99,1),예비비!$E159,0)-SUMIFS(예비비!$O$430:$O$729,예비비!$B$430:$B$729,예비비!$A159,예비비!$E$430:$E$729,"&lt;"&amp;EDATE(BU$99,1))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  <c r="BI160">
        <f>IF(예비비!$R160="OK",SUMIFS(예비비!$O$430:$O$729,예비비!$B$430:$B$729,예비비!$A160,예비비!$E$430:$E$729,"&lt;"&amp;EDATE(BI$99,1),예비비!$F$430:$F$729,"결제대금비")+MAX(0,IF(예비비!$D160&lt;EDATE(BI$99,1),예비비!$E160,0)-SUMIFS(예비비!$O$430:$O$729,예비비!$B$430:$B$729,예비비!$A160,예비비!$E$430:$E$729,"&lt;"&amp;EDATE(BI$99,1))),0)</f>
        <v>0</v>
      </c>
      <c r="BJ160">
        <f>IF(예비비!$R160="OK",SUMIFS(예비비!$O$430:$O$729,예비비!$B$430:$B$729,예비비!$A160,예비비!$E$430:$E$729,"&lt;"&amp;EDATE(BJ$99,1),예비비!$F$430:$F$729,"결제대금비")+MAX(0,IF(예비비!$D160&lt;EDATE(BJ$99,1),예비비!$E160,0)-SUMIFS(예비비!$O$430:$O$729,예비비!$B$430:$B$729,예비비!$A160,예비비!$E$430:$E$729,"&lt;"&amp;EDATE(BJ$99,1))),0)</f>
        <v>0</v>
      </c>
      <c r="BK160">
        <f>IF(예비비!$R160="OK",SUMIFS(예비비!$O$430:$O$729,예비비!$B$430:$B$729,예비비!$A160,예비비!$E$430:$E$729,"&lt;"&amp;EDATE(BK$99,1),예비비!$F$430:$F$729,"결제대금비")+MAX(0,IF(예비비!$D160&lt;EDATE(BK$99,1),예비비!$E160,0)-SUMIFS(예비비!$O$430:$O$729,예비비!$B$430:$B$729,예비비!$A160,예비비!$E$430:$E$729,"&lt;"&amp;EDATE(BK$99,1))),0)</f>
        <v>0</v>
      </c>
      <c r="BL160">
        <f>IF(예비비!$R160="OK",SUMIFS(예비비!$O$430:$O$729,예비비!$B$430:$B$729,예비비!$A160,예비비!$E$430:$E$729,"&lt;"&amp;EDATE(BL$99,1),예비비!$F$430:$F$729,"결제대금비")+MAX(0,IF(예비비!$D160&lt;EDATE(BL$99,1),예비비!$E160,0)-SUMIFS(예비비!$O$430:$O$729,예비비!$B$430:$B$729,예비비!$A160,예비비!$E$430:$E$729,"&lt;"&amp;EDATE(BL$99,1))),0)</f>
        <v>0</v>
      </c>
      <c r="BM160">
        <f>IF(예비비!$R160="OK",SUMIFS(예비비!$O$430:$O$729,예비비!$B$430:$B$729,예비비!$A160,예비비!$E$430:$E$729,"&lt;"&amp;EDATE(BM$99,1),예비비!$F$430:$F$729,"결제대금비")+MAX(0,IF(예비비!$D160&lt;EDATE(BM$99,1),예비비!$E160,0)-SUMIFS(예비비!$O$430:$O$729,예비비!$B$430:$B$729,예비비!$A160,예비비!$E$430:$E$729,"&lt;"&amp;EDATE(BM$99,1))),0)</f>
        <v>0</v>
      </c>
      <c r="BN160">
        <f>IF(예비비!$R160="OK",SUMIFS(예비비!$O$430:$O$729,예비비!$B$430:$B$729,예비비!$A160,예비비!$E$430:$E$729,"&lt;"&amp;EDATE(BN$99,1),예비비!$F$430:$F$729,"결제대금비")+MAX(0,IF(예비비!$D160&lt;EDATE(BN$99,1),예비비!$E160,0)-SUMIFS(예비비!$O$430:$O$729,예비비!$B$430:$B$729,예비비!$A160,예비비!$E$430:$E$729,"&lt;"&amp;EDATE(BN$99,1))),0)</f>
        <v>0</v>
      </c>
      <c r="BO160">
        <f>IF(예비비!$R160="OK",SUMIFS(예비비!$O$430:$O$729,예비비!$B$430:$B$729,예비비!$A160,예비비!$E$430:$E$729,"&lt;"&amp;EDATE(BO$99,1),예비비!$F$430:$F$729,"결제대금비")+MAX(0,IF(예비비!$D160&lt;EDATE(BO$99,1),예비비!$E160,0)-SUMIFS(예비비!$O$430:$O$729,예비비!$B$430:$B$729,예비비!$A160,예비비!$E$430:$E$729,"&lt;"&amp;EDATE(BO$99,1))),0)</f>
        <v>0</v>
      </c>
      <c r="BP160">
        <f>IF(예비비!$R160="OK",SUMIFS(예비비!$O$430:$O$729,예비비!$B$430:$B$729,예비비!$A160,예비비!$E$430:$E$729,"&lt;"&amp;EDATE(BP$99,1),예비비!$F$430:$F$729,"결제대금비")+MAX(0,IF(예비비!$D160&lt;EDATE(BP$99,1),예비비!$E160,0)-SUMIFS(예비비!$O$430:$O$729,예비비!$B$430:$B$729,예비비!$A160,예비비!$E$430:$E$729,"&lt;"&amp;EDATE(BP$99,1))),0)</f>
        <v>0</v>
      </c>
      <c r="BQ160">
        <f>IF(예비비!$R160="OK",SUMIFS(예비비!$O$430:$O$729,예비비!$B$430:$B$729,예비비!$A160,예비비!$E$430:$E$729,"&lt;"&amp;EDATE(BQ$99,1),예비비!$F$430:$F$729,"결제대금비")+MAX(0,IF(예비비!$D160&lt;EDATE(BQ$99,1),예비비!$E160,0)-SUMIFS(예비비!$O$430:$O$729,예비비!$B$430:$B$729,예비비!$A160,예비비!$E$430:$E$729,"&lt;"&amp;EDATE(BQ$99,1))),0)</f>
        <v>0</v>
      </c>
      <c r="BR160">
        <f>IF(예비비!$R160="OK",SUMIFS(예비비!$O$430:$O$729,예비비!$B$430:$B$729,예비비!$A160,예비비!$E$430:$E$729,"&lt;"&amp;EDATE(BR$99,1),예비비!$F$430:$F$729,"결제대금비")+MAX(0,IF(예비비!$D160&lt;EDATE(BR$99,1),예비비!$E160,0)-SUMIFS(예비비!$O$430:$O$729,예비비!$B$430:$B$729,예비비!$A160,예비비!$E$430:$E$729,"&lt;"&amp;EDATE(BR$99,1))),0)</f>
        <v>0</v>
      </c>
      <c r="BS160">
        <f>IF(예비비!$R160="OK",SUMIFS(예비비!$O$430:$O$729,예비비!$B$430:$B$729,예비비!$A160,예비비!$E$430:$E$729,"&lt;"&amp;EDATE(BS$99,1),예비비!$F$430:$F$729,"결제대금비")+MAX(0,IF(예비비!$D160&lt;EDATE(BS$99,1),예비비!$E160,0)-SUMIFS(예비비!$O$430:$O$729,예비비!$B$430:$B$729,예비비!$A160,예비비!$E$430:$E$729,"&lt;"&amp;EDATE(BS$99,1))),0)</f>
        <v>0</v>
      </c>
      <c r="BT160">
        <f>IF(예비비!$R160="OK",SUMIFS(예비비!$O$430:$O$729,예비비!$B$430:$B$729,예비비!$A160,예비비!$E$430:$E$729,"&lt;"&amp;EDATE(BT$99,1),예비비!$F$430:$F$729,"결제대금비")+MAX(0,IF(예비비!$D160&lt;EDATE(BT$99,1),예비비!$E160,0)-SUMIFS(예비비!$O$430:$O$729,예비비!$B$430:$B$729,예비비!$A160,예비비!$E$430:$E$729,"&lt;"&amp;EDATE(BT$99,1))),0)</f>
        <v>0</v>
      </c>
      <c r="BU160">
        <f>IF(예비비!$R160="OK",SUMIFS(예비비!$O$430:$O$729,예비비!$B$430:$B$729,예비비!$A160,예비비!$E$430:$E$729,"&lt;"&amp;EDATE(BU$99,1),예비비!$F$430:$F$729,"결제대금비")+MAX(0,IF(예비비!$D160&lt;EDATE(BU$99,1),예비비!$E160,0)-SUMIFS(예비비!$O$430:$O$729,예비비!$B$430:$B$729,예비비!$A160,예비비!$E$430:$E$729,"&lt;"&amp;EDATE(BU$99,1))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  <c r="BI161">
        <f>IF(예비비!$R161="OK",SUMIFS(예비비!$O$430:$O$729,예비비!$B$430:$B$729,예비비!$A161,예비비!$E$430:$E$729,"&lt;"&amp;EDATE(BI$99,1),예비비!$F$430:$F$729,"결제대금비")+MAX(0,IF(예비비!$D161&lt;EDATE(BI$99,1),예비비!$E161,0)-SUMIFS(예비비!$O$430:$O$729,예비비!$B$430:$B$729,예비비!$A161,예비비!$E$430:$E$729,"&lt;"&amp;EDATE(BI$99,1))),0)</f>
        <v>0</v>
      </c>
      <c r="BJ161">
        <f>IF(예비비!$R161="OK",SUMIFS(예비비!$O$430:$O$729,예비비!$B$430:$B$729,예비비!$A161,예비비!$E$430:$E$729,"&lt;"&amp;EDATE(BJ$99,1),예비비!$F$430:$F$729,"결제대금비")+MAX(0,IF(예비비!$D161&lt;EDATE(BJ$99,1),예비비!$E161,0)-SUMIFS(예비비!$O$430:$O$729,예비비!$B$430:$B$729,예비비!$A161,예비비!$E$430:$E$729,"&lt;"&amp;EDATE(BJ$99,1))),0)</f>
        <v>0</v>
      </c>
      <c r="BK161">
        <f>IF(예비비!$R161="OK",SUMIFS(예비비!$O$430:$O$729,예비비!$B$430:$B$729,예비비!$A161,예비비!$E$430:$E$729,"&lt;"&amp;EDATE(BK$99,1),예비비!$F$430:$F$729,"결제대금비")+MAX(0,IF(예비비!$D161&lt;EDATE(BK$99,1),예비비!$E161,0)-SUMIFS(예비비!$O$430:$O$729,예비비!$B$430:$B$729,예비비!$A161,예비비!$E$430:$E$729,"&lt;"&amp;EDATE(BK$99,1))),0)</f>
        <v>0</v>
      </c>
      <c r="BL161">
        <f>IF(예비비!$R161="OK",SUMIFS(예비비!$O$430:$O$729,예비비!$B$430:$B$729,예비비!$A161,예비비!$E$430:$E$729,"&lt;"&amp;EDATE(BL$99,1),예비비!$F$430:$F$729,"결제대금비")+MAX(0,IF(예비비!$D161&lt;EDATE(BL$99,1),예비비!$E161,0)-SUMIFS(예비비!$O$430:$O$729,예비비!$B$430:$B$729,예비비!$A161,예비비!$E$430:$E$729,"&lt;"&amp;EDATE(BL$99,1))),0)</f>
        <v>0</v>
      </c>
      <c r="BM161">
        <f>IF(예비비!$R161="OK",SUMIFS(예비비!$O$430:$O$729,예비비!$B$430:$B$729,예비비!$A161,예비비!$E$430:$E$729,"&lt;"&amp;EDATE(BM$99,1),예비비!$F$430:$F$729,"결제대금비")+MAX(0,IF(예비비!$D161&lt;EDATE(BM$99,1),예비비!$E161,0)-SUMIFS(예비비!$O$430:$O$729,예비비!$B$430:$B$729,예비비!$A161,예비비!$E$430:$E$729,"&lt;"&amp;EDATE(BM$99,1))),0)</f>
        <v>0</v>
      </c>
      <c r="BN161">
        <f>IF(예비비!$R161="OK",SUMIFS(예비비!$O$430:$O$729,예비비!$B$430:$B$729,예비비!$A161,예비비!$E$430:$E$729,"&lt;"&amp;EDATE(BN$99,1),예비비!$F$430:$F$729,"결제대금비")+MAX(0,IF(예비비!$D161&lt;EDATE(BN$99,1),예비비!$E161,0)-SUMIFS(예비비!$O$430:$O$729,예비비!$B$430:$B$729,예비비!$A161,예비비!$E$430:$E$729,"&lt;"&amp;EDATE(BN$99,1))),0)</f>
        <v>0</v>
      </c>
      <c r="BO161">
        <f>IF(예비비!$R161="OK",SUMIFS(예비비!$O$430:$O$729,예비비!$B$430:$B$729,예비비!$A161,예비비!$E$430:$E$729,"&lt;"&amp;EDATE(BO$99,1),예비비!$F$430:$F$729,"결제대금비")+MAX(0,IF(예비비!$D161&lt;EDATE(BO$99,1),예비비!$E161,0)-SUMIFS(예비비!$O$430:$O$729,예비비!$B$430:$B$729,예비비!$A161,예비비!$E$430:$E$729,"&lt;"&amp;EDATE(BO$99,1))),0)</f>
        <v>0</v>
      </c>
      <c r="BP161">
        <f>IF(예비비!$R161="OK",SUMIFS(예비비!$O$430:$O$729,예비비!$B$430:$B$729,예비비!$A161,예비비!$E$430:$E$729,"&lt;"&amp;EDATE(BP$99,1),예비비!$F$430:$F$729,"결제대금비")+MAX(0,IF(예비비!$D161&lt;EDATE(BP$99,1),예비비!$E161,0)-SUMIFS(예비비!$O$430:$O$729,예비비!$B$430:$B$729,예비비!$A161,예비비!$E$430:$E$729,"&lt;"&amp;EDATE(BP$99,1))),0)</f>
        <v>0</v>
      </c>
      <c r="BQ161">
        <f>IF(예비비!$R161="OK",SUMIFS(예비비!$O$430:$O$729,예비비!$B$430:$B$729,예비비!$A161,예비비!$E$430:$E$729,"&lt;"&amp;EDATE(BQ$99,1),예비비!$F$430:$F$729,"결제대금비")+MAX(0,IF(예비비!$D161&lt;EDATE(BQ$99,1),예비비!$E161,0)-SUMIFS(예비비!$O$430:$O$729,예비비!$B$430:$B$729,예비비!$A161,예비비!$E$430:$E$729,"&lt;"&amp;EDATE(BQ$99,1))),0)</f>
        <v>0</v>
      </c>
      <c r="BR161">
        <f>IF(예비비!$R161="OK",SUMIFS(예비비!$O$430:$O$729,예비비!$B$430:$B$729,예비비!$A161,예비비!$E$430:$E$729,"&lt;"&amp;EDATE(BR$99,1),예비비!$F$430:$F$729,"결제대금비")+MAX(0,IF(예비비!$D161&lt;EDATE(BR$99,1),예비비!$E161,0)-SUMIFS(예비비!$O$430:$O$729,예비비!$B$430:$B$729,예비비!$A161,예비비!$E$430:$E$729,"&lt;"&amp;EDATE(BR$99,1))),0)</f>
        <v>0</v>
      </c>
      <c r="BS161">
        <f>IF(예비비!$R161="OK",SUMIFS(예비비!$O$430:$O$729,예비비!$B$430:$B$729,예비비!$A161,예비비!$E$430:$E$729,"&lt;"&amp;EDATE(BS$99,1),예비비!$F$430:$F$729,"결제대금비")+MAX(0,IF(예비비!$D161&lt;EDATE(BS$99,1),예비비!$E161,0)-SUMIFS(예비비!$O$430:$O$729,예비비!$B$430:$B$729,예비비!$A161,예비비!$E$430:$E$729,"&lt;"&amp;EDATE(BS$99,1))),0)</f>
        <v>0</v>
      </c>
      <c r="BT161">
        <f>IF(예비비!$R161="OK",SUMIFS(예비비!$O$430:$O$729,예비비!$B$430:$B$729,예비비!$A161,예비비!$E$430:$E$729,"&lt;"&amp;EDATE(BT$99,1),예비비!$F$430:$F$729,"결제대금비")+MAX(0,IF(예비비!$D161&lt;EDATE(BT$99,1),예비비!$E161,0)-SUMIFS(예비비!$O$430:$O$729,예비비!$B$430:$B$729,예비비!$A161,예비비!$E$430:$E$729,"&lt;"&amp;EDATE(BT$99,1))),0)</f>
        <v>0</v>
      </c>
      <c r="BU161">
        <f>IF(예비비!$R161="OK",SUMIFS(예비비!$O$430:$O$729,예비비!$B$430:$B$729,예비비!$A161,예비비!$E$430:$E$729,"&lt;"&amp;EDATE(BU$99,1),예비비!$F$430:$F$729,"결제대금비")+MAX(0,IF(예비비!$D161&lt;EDATE(BU$99,1),예비비!$E161,0)-SUMIFS(예비비!$O$430:$O$729,예비비!$B$430:$B$729,예비비!$A161,예비비!$E$430:$E$729,"&lt;"&amp;EDATE(BU$99,1))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  <c r="BI162">
        <f>IF(예비비!$R162="OK",SUMIFS(예비비!$O$430:$O$729,예비비!$B$430:$B$729,예비비!$A162,예비비!$E$430:$E$729,"&lt;"&amp;EDATE(BI$99,1),예비비!$F$430:$F$729,"결제대금비")+MAX(0,IF(예비비!$D162&lt;EDATE(BI$99,1),예비비!$E162,0)-SUMIFS(예비비!$O$430:$O$729,예비비!$B$430:$B$729,예비비!$A162,예비비!$E$430:$E$729,"&lt;"&amp;EDATE(BI$99,1))),0)</f>
        <v>0</v>
      </c>
      <c r="BJ162">
        <f>IF(예비비!$R162="OK",SUMIFS(예비비!$O$430:$O$729,예비비!$B$430:$B$729,예비비!$A162,예비비!$E$430:$E$729,"&lt;"&amp;EDATE(BJ$99,1),예비비!$F$430:$F$729,"결제대금비")+MAX(0,IF(예비비!$D162&lt;EDATE(BJ$99,1),예비비!$E162,0)-SUMIFS(예비비!$O$430:$O$729,예비비!$B$430:$B$729,예비비!$A162,예비비!$E$430:$E$729,"&lt;"&amp;EDATE(BJ$99,1))),0)</f>
        <v>0</v>
      </c>
      <c r="BK162">
        <f>IF(예비비!$R162="OK",SUMIFS(예비비!$O$430:$O$729,예비비!$B$430:$B$729,예비비!$A162,예비비!$E$430:$E$729,"&lt;"&amp;EDATE(BK$99,1),예비비!$F$430:$F$729,"결제대금비")+MAX(0,IF(예비비!$D162&lt;EDATE(BK$99,1),예비비!$E162,0)-SUMIFS(예비비!$O$430:$O$729,예비비!$B$430:$B$729,예비비!$A162,예비비!$E$430:$E$729,"&lt;"&amp;EDATE(BK$99,1))),0)</f>
        <v>0</v>
      </c>
      <c r="BL162">
        <f>IF(예비비!$R162="OK",SUMIFS(예비비!$O$430:$O$729,예비비!$B$430:$B$729,예비비!$A162,예비비!$E$430:$E$729,"&lt;"&amp;EDATE(BL$99,1),예비비!$F$430:$F$729,"결제대금비")+MAX(0,IF(예비비!$D162&lt;EDATE(BL$99,1),예비비!$E162,0)-SUMIFS(예비비!$O$430:$O$729,예비비!$B$430:$B$729,예비비!$A162,예비비!$E$430:$E$729,"&lt;"&amp;EDATE(BL$99,1))),0)</f>
        <v>0</v>
      </c>
      <c r="BM162">
        <f>IF(예비비!$R162="OK",SUMIFS(예비비!$O$430:$O$729,예비비!$B$430:$B$729,예비비!$A162,예비비!$E$430:$E$729,"&lt;"&amp;EDATE(BM$99,1),예비비!$F$430:$F$729,"결제대금비")+MAX(0,IF(예비비!$D162&lt;EDATE(BM$99,1),예비비!$E162,0)-SUMIFS(예비비!$O$430:$O$729,예비비!$B$430:$B$729,예비비!$A162,예비비!$E$430:$E$729,"&lt;"&amp;EDATE(BM$99,1))),0)</f>
        <v>0</v>
      </c>
      <c r="BN162">
        <f>IF(예비비!$R162="OK",SUMIFS(예비비!$O$430:$O$729,예비비!$B$430:$B$729,예비비!$A162,예비비!$E$430:$E$729,"&lt;"&amp;EDATE(BN$99,1),예비비!$F$430:$F$729,"결제대금비")+MAX(0,IF(예비비!$D162&lt;EDATE(BN$99,1),예비비!$E162,0)-SUMIFS(예비비!$O$430:$O$729,예비비!$B$430:$B$729,예비비!$A162,예비비!$E$430:$E$729,"&lt;"&amp;EDATE(BN$99,1))),0)</f>
        <v>0</v>
      </c>
      <c r="BO162">
        <f>IF(예비비!$R162="OK",SUMIFS(예비비!$O$430:$O$729,예비비!$B$430:$B$729,예비비!$A162,예비비!$E$430:$E$729,"&lt;"&amp;EDATE(BO$99,1),예비비!$F$430:$F$729,"결제대금비")+MAX(0,IF(예비비!$D162&lt;EDATE(BO$99,1),예비비!$E162,0)-SUMIFS(예비비!$O$430:$O$729,예비비!$B$430:$B$729,예비비!$A162,예비비!$E$430:$E$729,"&lt;"&amp;EDATE(BO$99,1))),0)</f>
        <v>0</v>
      </c>
      <c r="BP162">
        <f>IF(예비비!$R162="OK",SUMIFS(예비비!$O$430:$O$729,예비비!$B$430:$B$729,예비비!$A162,예비비!$E$430:$E$729,"&lt;"&amp;EDATE(BP$99,1),예비비!$F$430:$F$729,"결제대금비")+MAX(0,IF(예비비!$D162&lt;EDATE(BP$99,1),예비비!$E162,0)-SUMIFS(예비비!$O$430:$O$729,예비비!$B$430:$B$729,예비비!$A162,예비비!$E$430:$E$729,"&lt;"&amp;EDATE(BP$99,1))),0)</f>
        <v>0</v>
      </c>
      <c r="BQ162">
        <f>IF(예비비!$R162="OK",SUMIFS(예비비!$O$430:$O$729,예비비!$B$430:$B$729,예비비!$A162,예비비!$E$430:$E$729,"&lt;"&amp;EDATE(BQ$99,1),예비비!$F$430:$F$729,"결제대금비")+MAX(0,IF(예비비!$D162&lt;EDATE(BQ$99,1),예비비!$E162,0)-SUMIFS(예비비!$O$430:$O$729,예비비!$B$430:$B$729,예비비!$A162,예비비!$E$430:$E$729,"&lt;"&amp;EDATE(BQ$99,1))),0)</f>
        <v>0</v>
      </c>
      <c r="BR162">
        <f>IF(예비비!$R162="OK",SUMIFS(예비비!$O$430:$O$729,예비비!$B$430:$B$729,예비비!$A162,예비비!$E$430:$E$729,"&lt;"&amp;EDATE(BR$99,1),예비비!$F$430:$F$729,"결제대금비")+MAX(0,IF(예비비!$D162&lt;EDATE(BR$99,1),예비비!$E162,0)-SUMIFS(예비비!$O$430:$O$729,예비비!$B$430:$B$729,예비비!$A162,예비비!$E$430:$E$729,"&lt;"&amp;EDATE(BR$99,1))),0)</f>
        <v>0</v>
      </c>
      <c r="BS162">
        <f>IF(예비비!$R162="OK",SUMIFS(예비비!$O$430:$O$729,예비비!$B$430:$B$729,예비비!$A162,예비비!$E$430:$E$729,"&lt;"&amp;EDATE(BS$99,1),예비비!$F$430:$F$729,"결제대금비")+MAX(0,IF(예비비!$D162&lt;EDATE(BS$99,1),예비비!$E162,0)-SUMIFS(예비비!$O$430:$O$729,예비비!$B$430:$B$729,예비비!$A162,예비비!$E$430:$E$729,"&lt;"&amp;EDATE(BS$99,1))),0)</f>
        <v>0</v>
      </c>
      <c r="BT162">
        <f>IF(예비비!$R162="OK",SUMIFS(예비비!$O$430:$O$729,예비비!$B$430:$B$729,예비비!$A162,예비비!$E$430:$E$729,"&lt;"&amp;EDATE(BT$99,1),예비비!$F$430:$F$729,"결제대금비")+MAX(0,IF(예비비!$D162&lt;EDATE(BT$99,1),예비비!$E162,0)-SUMIFS(예비비!$O$430:$O$729,예비비!$B$430:$B$729,예비비!$A162,예비비!$E$430:$E$729,"&lt;"&amp;EDATE(BT$99,1))),0)</f>
        <v>0</v>
      </c>
      <c r="BU162">
        <f>IF(예비비!$R162="OK",SUMIFS(예비비!$O$430:$O$729,예비비!$B$430:$B$729,예비비!$A162,예비비!$E$430:$E$729,"&lt;"&amp;EDATE(BU$99,1),예비비!$F$430:$F$729,"결제대금비")+MAX(0,IF(예비비!$D162&lt;EDATE(BU$99,1),예비비!$E162,0)-SUMIFS(예비비!$O$430:$O$729,예비비!$B$430:$B$729,예비비!$A162,예비비!$E$430:$E$729,"&lt;"&amp;EDATE(BU$99,1))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  <c r="BI163">
        <f>IF(예비비!$R163="OK",SUMIFS(예비비!$O$430:$O$729,예비비!$B$430:$B$729,예비비!$A163,예비비!$E$430:$E$729,"&lt;"&amp;EDATE(BI$99,1),예비비!$F$430:$F$729,"결제대금비")+MAX(0,IF(예비비!$D163&lt;EDATE(BI$99,1),예비비!$E163,0)-SUMIFS(예비비!$O$430:$O$729,예비비!$B$430:$B$729,예비비!$A163,예비비!$E$430:$E$729,"&lt;"&amp;EDATE(BI$99,1))),0)</f>
        <v>0</v>
      </c>
      <c r="BJ163">
        <f>IF(예비비!$R163="OK",SUMIFS(예비비!$O$430:$O$729,예비비!$B$430:$B$729,예비비!$A163,예비비!$E$430:$E$729,"&lt;"&amp;EDATE(BJ$99,1),예비비!$F$430:$F$729,"결제대금비")+MAX(0,IF(예비비!$D163&lt;EDATE(BJ$99,1),예비비!$E163,0)-SUMIFS(예비비!$O$430:$O$729,예비비!$B$430:$B$729,예비비!$A163,예비비!$E$430:$E$729,"&lt;"&amp;EDATE(BJ$99,1))),0)</f>
        <v>0</v>
      </c>
      <c r="BK163">
        <f>IF(예비비!$R163="OK",SUMIFS(예비비!$O$430:$O$729,예비비!$B$430:$B$729,예비비!$A163,예비비!$E$430:$E$729,"&lt;"&amp;EDATE(BK$99,1),예비비!$F$430:$F$729,"결제대금비")+MAX(0,IF(예비비!$D163&lt;EDATE(BK$99,1),예비비!$E163,0)-SUMIFS(예비비!$O$430:$O$729,예비비!$B$430:$B$729,예비비!$A163,예비비!$E$430:$E$729,"&lt;"&amp;EDATE(BK$99,1))),0)</f>
        <v>0</v>
      </c>
      <c r="BL163">
        <f>IF(예비비!$R163="OK",SUMIFS(예비비!$O$430:$O$729,예비비!$B$430:$B$729,예비비!$A163,예비비!$E$430:$E$729,"&lt;"&amp;EDATE(BL$99,1),예비비!$F$430:$F$729,"결제대금비")+MAX(0,IF(예비비!$D163&lt;EDATE(BL$99,1),예비비!$E163,0)-SUMIFS(예비비!$O$430:$O$729,예비비!$B$430:$B$729,예비비!$A163,예비비!$E$430:$E$729,"&lt;"&amp;EDATE(BL$99,1))),0)</f>
        <v>0</v>
      </c>
      <c r="BM163">
        <f>IF(예비비!$R163="OK",SUMIFS(예비비!$O$430:$O$729,예비비!$B$430:$B$729,예비비!$A163,예비비!$E$430:$E$729,"&lt;"&amp;EDATE(BM$99,1),예비비!$F$430:$F$729,"결제대금비")+MAX(0,IF(예비비!$D163&lt;EDATE(BM$99,1),예비비!$E163,0)-SUMIFS(예비비!$O$430:$O$729,예비비!$B$430:$B$729,예비비!$A163,예비비!$E$430:$E$729,"&lt;"&amp;EDATE(BM$99,1))),0)</f>
        <v>0</v>
      </c>
      <c r="BN163">
        <f>IF(예비비!$R163="OK",SUMIFS(예비비!$O$430:$O$729,예비비!$B$430:$B$729,예비비!$A163,예비비!$E$430:$E$729,"&lt;"&amp;EDATE(BN$99,1),예비비!$F$430:$F$729,"결제대금비")+MAX(0,IF(예비비!$D163&lt;EDATE(BN$99,1),예비비!$E163,0)-SUMIFS(예비비!$O$430:$O$729,예비비!$B$430:$B$729,예비비!$A163,예비비!$E$430:$E$729,"&lt;"&amp;EDATE(BN$99,1))),0)</f>
        <v>0</v>
      </c>
      <c r="BO163">
        <f>IF(예비비!$R163="OK",SUMIFS(예비비!$O$430:$O$729,예비비!$B$430:$B$729,예비비!$A163,예비비!$E$430:$E$729,"&lt;"&amp;EDATE(BO$99,1),예비비!$F$430:$F$729,"결제대금비")+MAX(0,IF(예비비!$D163&lt;EDATE(BO$99,1),예비비!$E163,0)-SUMIFS(예비비!$O$430:$O$729,예비비!$B$430:$B$729,예비비!$A163,예비비!$E$430:$E$729,"&lt;"&amp;EDATE(BO$99,1))),0)</f>
        <v>0</v>
      </c>
      <c r="BP163">
        <f>IF(예비비!$R163="OK",SUMIFS(예비비!$O$430:$O$729,예비비!$B$430:$B$729,예비비!$A163,예비비!$E$430:$E$729,"&lt;"&amp;EDATE(BP$99,1),예비비!$F$430:$F$729,"결제대금비")+MAX(0,IF(예비비!$D163&lt;EDATE(BP$99,1),예비비!$E163,0)-SUMIFS(예비비!$O$430:$O$729,예비비!$B$430:$B$729,예비비!$A163,예비비!$E$430:$E$729,"&lt;"&amp;EDATE(BP$99,1))),0)</f>
        <v>0</v>
      </c>
      <c r="BQ163">
        <f>IF(예비비!$R163="OK",SUMIFS(예비비!$O$430:$O$729,예비비!$B$430:$B$729,예비비!$A163,예비비!$E$430:$E$729,"&lt;"&amp;EDATE(BQ$99,1),예비비!$F$430:$F$729,"결제대금비")+MAX(0,IF(예비비!$D163&lt;EDATE(BQ$99,1),예비비!$E163,0)-SUMIFS(예비비!$O$430:$O$729,예비비!$B$430:$B$729,예비비!$A163,예비비!$E$430:$E$729,"&lt;"&amp;EDATE(BQ$99,1))),0)</f>
        <v>0</v>
      </c>
      <c r="BR163">
        <f>IF(예비비!$R163="OK",SUMIFS(예비비!$O$430:$O$729,예비비!$B$430:$B$729,예비비!$A163,예비비!$E$430:$E$729,"&lt;"&amp;EDATE(BR$99,1),예비비!$F$430:$F$729,"결제대금비")+MAX(0,IF(예비비!$D163&lt;EDATE(BR$99,1),예비비!$E163,0)-SUMIFS(예비비!$O$430:$O$729,예비비!$B$430:$B$729,예비비!$A163,예비비!$E$430:$E$729,"&lt;"&amp;EDATE(BR$99,1))),0)</f>
        <v>0</v>
      </c>
      <c r="BS163">
        <f>IF(예비비!$R163="OK",SUMIFS(예비비!$O$430:$O$729,예비비!$B$430:$B$729,예비비!$A163,예비비!$E$430:$E$729,"&lt;"&amp;EDATE(BS$99,1),예비비!$F$430:$F$729,"결제대금비")+MAX(0,IF(예비비!$D163&lt;EDATE(BS$99,1),예비비!$E163,0)-SUMIFS(예비비!$O$430:$O$729,예비비!$B$430:$B$729,예비비!$A163,예비비!$E$430:$E$729,"&lt;"&amp;EDATE(BS$99,1))),0)</f>
        <v>0</v>
      </c>
      <c r="BT163">
        <f>IF(예비비!$R163="OK",SUMIFS(예비비!$O$430:$O$729,예비비!$B$430:$B$729,예비비!$A163,예비비!$E$430:$E$729,"&lt;"&amp;EDATE(BT$99,1),예비비!$F$430:$F$729,"결제대금비")+MAX(0,IF(예비비!$D163&lt;EDATE(BT$99,1),예비비!$E163,0)-SUMIFS(예비비!$O$430:$O$729,예비비!$B$430:$B$729,예비비!$A163,예비비!$E$430:$E$729,"&lt;"&amp;EDATE(BT$99,1))),0)</f>
        <v>0</v>
      </c>
      <c r="BU163">
        <f>IF(예비비!$R163="OK",SUMIFS(예비비!$O$430:$O$729,예비비!$B$430:$B$729,예비비!$A163,예비비!$E$430:$E$729,"&lt;"&amp;EDATE(BU$99,1),예비비!$F$430:$F$729,"결제대금비")+MAX(0,IF(예비비!$D163&lt;EDATE(BU$99,1),예비비!$E163,0)-SUMIFS(예비비!$O$430:$O$729,예비비!$B$430:$B$729,예비비!$A163,예비비!$E$430:$E$729,"&lt;"&amp;EDATE(BU$99,1))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  <c r="BI164">
        <f>IF(예비비!$R164="OK",SUMIFS(예비비!$O$430:$O$729,예비비!$B$430:$B$729,예비비!$A164,예비비!$E$430:$E$729,"&lt;"&amp;EDATE(BI$99,1),예비비!$F$430:$F$729,"결제대금비")+MAX(0,IF(예비비!$D164&lt;EDATE(BI$99,1),예비비!$E164,0)-SUMIFS(예비비!$O$430:$O$729,예비비!$B$430:$B$729,예비비!$A164,예비비!$E$430:$E$729,"&lt;"&amp;EDATE(BI$99,1))),0)</f>
        <v>0</v>
      </c>
      <c r="BJ164">
        <f>IF(예비비!$R164="OK",SUMIFS(예비비!$O$430:$O$729,예비비!$B$430:$B$729,예비비!$A164,예비비!$E$430:$E$729,"&lt;"&amp;EDATE(BJ$99,1),예비비!$F$430:$F$729,"결제대금비")+MAX(0,IF(예비비!$D164&lt;EDATE(BJ$99,1),예비비!$E164,0)-SUMIFS(예비비!$O$430:$O$729,예비비!$B$430:$B$729,예비비!$A164,예비비!$E$430:$E$729,"&lt;"&amp;EDATE(BJ$99,1))),0)</f>
        <v>0</v>
      </c>
      <c r="BK164">
        <f>IF(예비비!$R164="OK",SUMIFS(예비비!$O$430:$O$729,예비비!$B$430:$B$729,예비비!$A164,예비비!$E$430:$E$729,"&lt;"&amp;EDATE(BK$99,1),예비비!$F$430:$F$729,"결제대금비")+MAX(0,IF(예비비!$D164&lt;EDATE(BK$99,1),예비비!$E164,0)-SUMIFS(예비비!$O$430:$O$729,예비비!$B$430:$B$729,예비비!$A164,예비비!$E$430:$E$729,"&lt;"&amp;EDATE(BK$99,1))),0)</f>
        <v>0</v>
      </c>
      <c r="BL164">
        <f>IF(예비비!$R164="OK",SUMIFS(예비비!$O$430:$O$729,예비비!$B$430:$B$729,예비비!$A164,예비비!$E$430:$E$729,"&lt;"&amp;EDATE(BL$99,1),예비비!$F$430:$F$729,"결제대금비")+MAX(0,IF(예비비!$D164&lt;EDATE(BL$99,1),예비비!$E164,0)-SUMIFS(예비비!$O$430:$O$729,예비비!$B$430:$B$729,예비비!$A164,예비비!$E$430:$E$729,"&lt;"&amp;EDATE(BL$99,1))),0)</f>
        <v>0</v>
      </c>
      <c r="BM164">
        <f>IF(예비비!$R164="OK",SUMIFS(예비비!$O$430:$O$729,예비비!$B$430:$B$729,예비비!$A164,예비비!$E$430:$E$729,"&lt;"&amp;EDATE(BM$99,1),예비비!$F$430:$F$729,"결제대금비")+MAX(0,IF(예비비!$D164&lt;EDATE(BM$99,1),예비비!$E164,0)-SUMIFS(예비비!$O$430:$O$729,예비비!$B$430:$B$729,예비비!$A164,예비비!$E$430:$E$729,"&lt;"&amp;EDATE(BM$99,1))),0)</f>
        <v>0</v>
      </c>
      <c r="BN164">
        <f>IF(예비비!$R164="OK",SUMIFS(예비비!$O$430:$O$729,예비비!$B$430:$B$729,예비비!$A164,예비비!$E$430:$E$729,"&lt;"&amp;EDATE(BN$99,1),예비비!$F$430:$F$729,"결제대금비")+MAX(0,IF(예비비!$D164&lt;EDATE(BN$99,1),예비비!$E164,0)-SUMIFS(예비비!$O$430:$O$729,예비비!$B$430:$B$729,예비비!$A164,예비비!$E$430:$E$729,"&lt;"&amp;EDATE(BN$99,1))),0)</f>
        <v>0</v>
      </c>
      <c r="BO164">
        <f>IF(예비비!$R164="OK",SUMIFS(예비비!$O$430:$O$729,예비비!$B$430:$B$729,예비비!$A164,예비비!$E$430:$E$729,"&lt;"&amp;EDATE(BO$99,1),예비비!$F$430:$F$729,"결제대금비")+MAX(0,IF(예비비!$D164&lt;EDATE(BO$99,1),예비비!$E164,0)-SUMIFS(예비비!$O$430:$O$729,예비비!$B$430:$B$729,예비비!$A164,예비비!$E$430:$E$729,"&lt;"&amp;EDATE(BO$99,1))),0)</f>
        <v>0</v>
      </c>
      <c r="BP164">
        <f>IF(예비비!$R164="OK",SUMIFS(예비비!$O$430:$O$729,예비비!$B$430:$B$729,예비비!$A164,예비비!$E$430:$E$729,"&lt;"&amp;EDATE(BP$99,1),예비비!$F$430:$F$729,"결제대금비")+MAX(0,IF(예비비!$D164&lt;EDATE(BP$99,1),예비비!$E164,0)-SUMIFS(예비비!$O$430:$O$729,예비비!$B$430:$B$729,예비비!$A164,예비비!$E$430:$E$729,"&lt;"&amp;EDATE(BP$99,1))),0)</f>
        <v>0</v>
      </c>
      <c r="BQ164">
        <f>IF(예비비!$R164="OK",SUMIFS(예비비!$O$430:$O$729,예비비!$B$430:$B$729,예비비!$A164,예비비!$E$430:$E$729,"&lt;"&amp;EDATE(BQ$99,1),예비비!$F$430:$F$729,"결제대금비")+MAX(0,IF(예비비!$D164&lt;EDATE(BQ$99,1),예비비!$E164,0)-SUMIFS(예비비!$O$430:$O$729,예비비!$B$430:$B$729,예비비!$A164,예비비!$E$430:$E$729,"&lt;"&amp;EDATE(BQ$99,1))),0)</f>
        <v>0</v>
      </c>
      <c r="BR164">
        <f>IF(예비비!$R164="OK",SUMIFS(예비비!$O$430:$O$729,예비비!$B$430:$B$729,예비비!$A164,예비비!$E$430:$E$729,"&lt;"&amp;EDATE(BR$99,1),예비비!$F$430:$F$729,"결제대금비")+MAX(0,IF(예비비!$D164&lt;EDATE(BR$99,1),예비비!$E164,0)-SUMIFS(예비비!$O$430:$O$729,예비비!$B$430:$B$729,예비비!$A164,예비비!$E$430:$E$729,"&lt;"&amp;EDATE(BR$99,1))),0)</f>
        <v>0</v>
      </c>
      <c r="BS164">
        <f>IF(예비비!$R164="OK",SUMIFS(예비비!$O$430:$O$729,예비비!$B$430:$B$729,예비비!$A164,예비비!$E$430:$E$729,"&lt;"&amp;EDATE(BS$99,1),예비비!$F$430:$F$729,"결제대금비")+MAX(0,IF(예비비!$D164&lt;EDATE(BS$99,1),예비비!$E164,0)-SUMIFS(예비비!$O$430:$O$729,예비비!$B$430:$B$729,예비비!$A164,예비비!$E$430:$E$729,"&lt;"&amp;EDATE(BS$99,1))),0)</f>
        <v>0</v>
      </c>
      <c r="BT164">
        <f>IF(예비비!$R164="OK",SUMIFS(예비비!$O$430:$O$729,예비비!$B$430:$B$729,예비비!$A164,예비비!$E$430:$E$729,"&lt;"&amp;EDATE(BT$99,1),예비비!$F$430:$F$729,"결제대금비")+MAX(0,IF(예비비!$D164&lt;EDATE(BT$99,1),예비비!$E164,0)-SUMIFS(예비비!$O$430:$O$729,예비비!$B$430:$B$729,예비비!$A164,예비비!$E$430:$E$729,"&lt;"&amp;EDATE(BT$99,1))),0)</f>
        <v>0</v>
      </c>
      <c r="BU164">
        <f>IF(예비비!$R164="OK",SUMIFS(예비비!$O$430:$O$729,예비비!$B$430:$B$729,예비비!$A164,예비비!$E$430:$E$729,"&lt;"&amp;EDATE(BU$99,1),예비비!$F$430:$F$729,"결제대금비")+MAX(0,IF(예비비!$D164&lt;EDATE(BU$99,1),예비비!$E164,0)-SUMIFS(예비비!$O$430:$O$729,예비비!$B$430:$B$729,예비비!$A164,예비비!$E$430:$E$729,"&lt;"&amp;EDATE(BU$99,1))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  <c r="BI165">
        <f>IF(예비비!$R165="OK",SUMIFS(예비비!$O$430:$O$729,예비비!$B$430:$B$729,예비비!$A165,예비비!$E$430:$E$729,"&lt;"&amp;EDATE(BI$99,1),예비비!$F$430:$F$729,"결제대금비")+MAX(0,IF(예비비!$D165&lt;EDATE(BI$99,1),예비비!$E165,0)-SUMIFS(예비비!$O$430:$O$729,예비비!$B$430:$B$729,예비비!$A165,예비비!$E$430:$E$729,"&lt;"&amp;EDATE(BI$99,1))),0)</f>
        <v>0</v>
      </c>
      <c r="BJ165">
        <f>IF(예비비!$R165="OK",SUMIFS(예비비!$O$430:$O$729,예비비!$B$430:$B$729,예비비!$A165,예비비!$E$430:$E$729,"&lt;"&amp;EDATE(BJ$99,1),예비비!$F$430:$F$729,"결제대금비")+MAX(0,IF(예비비!$D165&lt;EDATE(BJ$99,1),예비비!$E165,0)-SUMIFS(예비비!$O$430:$O$729,예비비!$B$430:$B$729,예비비!$A165,예비비!$E$430:$E$729,"&lt;"&amp;EDATE(BJ$99,1))),0)</f>
        <v>0</v>
      </c>
      <c r="BK165">
        <f>IF(예비비!$R165="OK",SUMIFS(예비비!$O$430:$O$729,예비비!$B$430:$B$729,예비비!$A165,예비비!$E$430:$E$729,"&lt;"&amp;EDATE(BK$99,1),예비비!$F$430:$F$729,"결제대금비")+MAX(0,IF(예비비!$D165&lt;EDATE(BK$99,1),예비비!$E165,0)-SUMIFS(예비비!$O$430:$O$729,예비비!$B$430:$B$729,예비비!$A165,예비비!$E$430:$E$729,"&lt;"&amp;EDATE(BK$99,1))),0)</f>
        <v>0</v>
      </c>
      <c r="BL165">
        <f>IF(예비비!$R165="OK",SUMIFS(예비비!$O$430:$O$729,예비비!$B$430:$B$729,예비비!$A165,예비비!$E$430:$E$729,"&lt;"&amp;EDATE(BL$99,1),예비비!$F$430:$F$729,"결제대금비")+MAX(0,IF(예비비!$D165&lt;EDATE(BL$99,1),예비비!$E165,0)-SUMIFS(예비비!$O$430:$O$729,예비비!$B$430:$B$729,예비비!$A165,예비비!$E$430:$E$729,"&lt;"&amp;EDATE(BL$99,1))),0)</f>
        <v>0</v>
      </c>
      <c r="BM165">
        <f>IF(예비비!$R165="OK",SUMIFS(예비비!$O$430:$O$729,예비비!$B$430:$B$729,예비비!$A165,예비비!$E$430:$E$729,"&lt;"&amp;EDATE(BM$99,1),예비비!$F$430:$F$729,"결제대금비")+MAX(0,IF(예비비!$D165&lt;EDATE(BM$99,1),예비비!$E165,0)-SUMIFS(예비비!$O$430:$O$729,예비비!$B$430:$B$729,예비비!$A165,예비비!$E$430:$E$729,"&lt;"&amp;EDATE(BM$99,1))),0)</f>
        <v>0</v>
      </c>
      <c r="BN165">
        <f>IF(예비비!$R165="OK",SUMIFS(예비비!$O$430:$O$729,예비비!$B$430:$B$729,예비비!$A165,예비비!$E$430:$E$729,"&lt;"&amp;EDATE(BN$99,1),예비비!$F$430:$F$729,"결제대금비")+MAX(0,IF(예비비!$D165&lt;EDATE(BN$99,1),예비비!$E165,0)-SUMIFS(예비비!$O$430:$O$729,예비비!$B$430:$B$729,예비비!$A165,예비비!$E$430:$E$729,"&lt;"&amp;EDATE(BN$99,1))),0)</f>
        <v>0</v>
      </c>
      <c r="BO165">
        <f>IF(예비비!$R165="OK",SUMIFS(예비비!$O$430:$O$729,예비비!$B$430:$B$729,예비비!$A165,예비비!$E$430:$E$729,"&lt;"&amp;EDATE(BO$99,1),예비비!$F$430:$F$729,"결제대금비")+MAX(0,IF(예비비!$D165&lt;EDATE(BO$99,1),예비비!$E165,0)-SUMIFS(예비비!$O$430:$O$729,예비비!$B$430:$B$729,예비비!$A165,예비비!$E$430:$E$729,"&lt;"&amp;EDATE(BO$99,1))),0)</f>
        <v>0</v>
      </c>
      <c r="BP165">
        <f>IF(예비비!$R165="OK",SUMIFS(예비비!$O$430:$O$729,예비비!$B$430:$B$729,예비비!$A165,예비비!$E$430:$E$729,"&lt;"&amp;EDATE(BP$99,1),예비비!$F$430:$F$729,"결제대금비")+MAX(0,IF(예비비!$D165&lt;EDATE(BP$99,1),예비비!$E165,0)-SUMIFS(예비비!$O$430:$O$729,예비비!$B$430:$B$729,예비비!$A165,예비비!$E$430:$E$729,"&lt;"&amp;EDATE(BP$99,1))),0)</f>
        <v>0</v>
      </c>
      <c r="BQ165">
        <f>IF(예비비!$R165="OK",SUMIFS(예비비!$O$430:$O$729,예비비!$B$430:$B$729,예비비!$A165,예비비!$E$430:$E$729,"&lt;"&amp;EDATE(BQ$99,1),예비비!$F$430:$F$729,"결제대금비")+MAX(0,IF(예비비!$D165&lt;EDATE(BQ$99,1),예비비!$E165,0)-SUMIFS(예비비!$O$430:$O$729,예비비!$B$430:$B$729,예비비!$A165,예비비!$E$430:$E$729,"&lt;"&amp;EDATE(BQ$99,1))),0)</f>
        <v>0</v>
      </c>
      <c r="BR165">
        <f>IF(예비비!$R165="OK",SUMIFS(예비비!$O$430:$O$729,예비비!$B$430:$B$729,예비비!$A165,예비비!$E$430:$E$729,"&lt;"&amp;EDATE(BR$99,1),예비비!$F$430:$F$729,"결제대금비")+MAX(0,IF(예비비!$D165&lt;EDATE(BR$99,1),예비비!$E165,0)-SUMIFS(예비비!$O$430:$O$729,예비비!$B$430:$B$729,예비비!$A165,예비비!$E$430:$E$729,"&lt;"&amp;EDATE(BR$99,1))),0)</f>
        <v>0</v>
      </c>
      <c r="BS165">
        <f>IF(예비비!$R165="OK",SUMIFS(예비비!$O$430:$O$729,예비비!$B$430:$B$729,예비비!$A165,예비비!$E$430:$E$729,"&lt;"&amp;EDATE(BS$99,1),예비비!$F$430:$F$729,"결제대금비")+MAX(0,IF(예비비!$D165&lt;EDATE(BS$99,1),예비비!$E165,0)-SUMIFS(예비비!$O$430:$O$729,예비비!$B$430:$B$729,예비비!$A165,예비비!$E$430:$E$729,"&lt;"&amp;EDATE(BS$99,1))),0)</f>
        <v>0</v>
      </c>
      <c r="BT165">
        <f>IF(예비비!$R165="OK",SUMIFS(예비비!$O$430:$O$729,예비비!$B$430:$B$729,예비비!$A165,예비비!$E$430:$E$729,"&lt;"&amp;EDATE(BT$99,1),예비비!$F$430:$F$729,"결제대금비")+MAX(0,IF(예비비!$D165&lt;EDATE(BT$99,1),예비비!$E165,0)-SUMIFS(예비비!$O$430:$O$729,예비비!$B$430:$B$729,예비비!$A165,예비비!$E$430:$E$729,"&lt;"&amp;EDATE(BT$99,1))),0)</f>
        <v>0</v>
      </c>
      <c r="BU165">
        <f>IF(예비비!$R165="OK",SUMIFS(예비비!$O$430:$O$729,예비비!$B$430:$B$729,예비비!$A165,예비비!$E$430:$E$729,"&lt;"&amp;EDATE(BU$99,1),예비비!$F$430:$F$729,"결제대금비")+MAX(0,IF(예비비!$D165&lt;EDATE(BU$99,1),예비비!$E165,0)-SUMIFS(예비비!$O$430:$O$729,예비비!$B$430:$B$729,예비비!$A165,예비비!$E$430:$E$729,"&lt;"&amp;EDATE(BU$99,1))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  <c r="BI166">
        <f>IF(예비비!$R166="OK",SUMIFS(예비비!$O$430:$O$729,예비비!$B$430:$B$729,예비비!$A166,예비비!$E$430:$E$729,"&lt;"&amp;EDATE(BI$99,1),예비비!$F$430:$F$729,"결제대금비")+MAX(0,IF(예비비!$D166&lt;EDATE(BI$99,1),예비비!$E166,0)-SUMIFS(예비비!$O$430:$O$729,예비비!$B$430:$B$729,예비비!$A166,예비비!$E$430:$E$729,"&lt;"&amp;EDATE(BI$99,1))),0)</f>
        <v>0</v>
      </c>
      <c r="BJ166">
        <f>IF(예비비!$R166="OK",SUMIFS(예비비!$O$430:$O$729,예비비!$B$430:$B$729,예비비!$A166,예비비!$E$430:$E$729,"&lt;"&amp;EDATE(BJ$99,1),예비비!$F$430:$F$729,"결제대금비")+MAX(0,IF(예비비!$D166&lt;EDATE(BJ$99,1),예비비!$E166,0)-SUMIFS(예비비!$O$430:$O$729,예비비!$B$430:$B$729,예비비!$A166,예비비!$E$430:$E$729,"&lt;"&amp;EDATE(BJ$99,1))),0)</f>
        <v>0</v>
      </c>
      <c r="BK166">
        <f>IF(예비비!$R166="OK",SUMIFS(예비비!$O$430:$O$729,예비비!$B$430:$B$729,예비비!$A166,예비비!$E$430:$E$729,"&lt;"&amp;EDATE(BK$99,1),예비비!$F$430:$F$729,"결제대금비")+MAX(0,IF(예비비!$D166&lt;EDATE(BK$99,1),예비비!$E166,0)-SUMIFS(예비비!$O$430:$O$729,예비비!$B$430:$B$729,예비비!$A166,예비비!$E$430:$E$729,"&lt;"&amp;EDATE(BK$99,1))),0)</f>
        <v>0</v>
      </c>
      <c r="BL166">
        <f>IF(예비비!$R166="OK",SUMIFS(예비비!$O$430:$O$729,예비비!$B$430:$B$729,예비비!$A166,예비비!$E$430:$E$729,"&lt;"&amp;EDATE(BL$99,1),예비비!$F$430:$F$729,"결제대금비")+MAX(0,IF(예비비!$D166&lt;EDATE(BL$99,1),예비비!$E166,0)-SUMIFS(예비비!$O$430:$O$729,예비비!$B$430:$B$729,예비비!$A166,예비비!$E$430:$E$729,"&lt;"&amp;EDATE(BL$99,1))),0)</f>
        <v>0</v>
      </c>
      <c r="BM166">
        <f>IF(예비비!$R166="OK",SUMIFS(예비비!$O$430:$O$729,예비비!$B$430:$B$729,예비비!$A166,예비비!$E$430:$E$729,"&lt;"&amp;EDATE(BM$99,1),예비비!$F$430:$F$729,"결제대금비")+MAX(0,IF(예비비!$D166&lt;EDATE(BM$99,1),예비비!$E166,0)-SUMIFS(예비비!$O$430:$O$729,예비비!$B$430:$B$729,예비비!$A166,예비비!$E$430:$E$729,"&lt;"&amp;EDATE(BM$99,1))),0)</f>
        <v>0</v>
      </c>
      <c r="BN166">
        <f>IF(예비비!$R166="OK",SUMIFS(예비비!$O$430:$O$729,예비비!$B$430:$B$729,예비비!$A166,예비비!$E$430:$E$729,"&lt;"&amp;EDATE(BN$99,1),예비비!$F$430:$F$729,"결제대금비")+MAX(0,IF(예비비!$D166&lt;EDATE(BN$99,1),예비비!$E166,0)-SUMIFS(예비비!$O$430:$O$729,예비비!$B$430:$B$729,예비비!$A166,예비비!$E$430:$E$729,"&lt;"&amp;EDATE(BN$99,1))),0)</f>
        <v>0</v>
      </c>
      <c r="BO166">
        <f>IF(예비비!$R166="OK",SUMIFS(예비비!$O$430:$O$729,예비비!$B$430:$B$729,예비비!$A166,예비비!$E$430:$E$729,"&lt;"&amp;EDATE(BO$99,1),예비비!$F$430:$F$729,"결제대금비")+MAX(0,IF(예비비!$D166&lt;EDATE(BO$99,1),예비비!$E166,0)-SUMIFS(예비비!$O$430:$O$729,예비비!$B$430:$B$729,예비비!$A166,예비비!$E$430:$E$729,"&lt;"&amp;EDATE(BO$99,1))),0)</f>
        <v>0</v>
      </c>
      <c r="BP166">
        <f>IF(예비비!$R166="OK",SUMIFS(예비비!$O$430:$O$729,예비비!$B$430:$B$729,예비비!$A166,예비비!$E$430:$E$729,"&lt;"&amp;EDATE(BP$99,1),예비비!$F$430:$F$729,"결제대금비")+MAX(0,IF(예비비!$D166&lt;EDATE(BP$99,1),예비비!$E166,0)-SUMIFS(예비비!$O$430:$O$729,예비비!$B$430:$B$729,예비비!$A166,예비비!$E$430:$E$729,"&lt;"&amp;EDATE(BP$99,1))),0)</f>
        <v>0</v>
      </c>
      <c r="BQ166">
        <f>IF(예비비!$R166="OK",SUMIFS(예비비!$O$430:$O$729,예비비!$B$430:$B$729,예비비!$A166,예비비!$E$430:$E$729,"&lt;"&amp;EDATE(BQ$99,1),예비비!$F$430:$F$729,"결제대금비")+MAX(0,IF(예비비!$D166&lt;EDATE(BQ$99,1),예비비!$E166,0)-SUMIFS(예비비!$O$430:$O$729,예비비!$B$430:$B$729,예비비!$A166,예비비!$E$430:$E$729,"&lt;"&amp;EDATE(BQ$99,1))),0)</f>
        <v>0</v>
      </c>
      <c r="BR166">
        <f>IF(예비비!$R166="OK",SUMIFS(예비비!$O$430:$O$729,예비비!$B$430:$B$729,예비비!$A166,예비비!$E$430:$E$729,"&lt;"&amp;EDATE(BR$99,1),예비비!$F$430:$F$729,"결제대금비")+MAX(0,IF(예비비!$D166&lt;EDATE(BR$99,1),예비비!$E166,0)-SUMIFS(예비비!$O$430:$O$729,예비비!$B$430:$B$729,예비비!$A166,예비비!$E$430:$E$729,"&lt;"&amp;EDATE(BR$99,1))),0)</f>
        <v>0</v>
      </c>
      <c r="BS166">
        <f>IF(예비비!$R166="OK",SUMIFS(예비비!$O$430:$O$729,예비비!$B$430:$B$729,예비비!$A166,예비비!$E$430:$E$729,"&lt;"&amp;EDATE(BS$99,1),예비비!$F$430:$F$729,"결제대금비")+MAX(0,IF(예비비!$D166&lt;EDATE(BS$99,1),예비비!$E166,0)-SUMIFS(예비비!$O$430:$O$729,예비비!$B$430:$B$729,예비비!$A166,예비비!$E$430:$E$729,"&lt;"&amp;EDATE(BS$99,1))),0)</f>
        <v>0</v>
      </c>
      <c r="BT166">
        <f>IF(예비비!$R166="OK",SUMIFS(예비비!$O$430:$O$729,예비비!$B$430:$B$729,예비비!$A166,예비비!$E$430:$E$729,"&lt;"&amp;EDATE(BT$99,1),예비비!$F$430:$F$729,"결제대금비")+MAX(0,IF(예비비!$D166&lt;EDATE(BT$99,1),예비비!$E166,0)-SUMIFS(예비비!$O$430:$O$729,예비비!$B$430:$B$729,예비비!$A166,예비비!$E$430:$E$729,"&lt;"&amp;EDATE(BT$99,1))),0)</f>
        <v>0</v>
      </c>
      <c r="BU166">
        <f>IF(예비비!$R166="OK",SUMIFS(예비비!$O$430:$O$729,예비비!$B$430:$B$729,예비비!$A166,예비비!$E$430:$E$729,"&lt;"&amp;EDATE(BU$99,1),예비비!$F$430:$F$729,"결제대금비")+MAX(0,IF(예비비!$D166&lt;EDATE(BU$99,1),예비비!$E166,0)-SUMIFS(예비비!$O$430:$O$729,예비비!$B$430:$B$729,예비비!$A166,예비비!$E$430:$E$729,"&lt;"&amp;EDATE(BU$99,1))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  <c r="BI167">
        <f>IF(예비비!$R167="OK",SUMIFS(예비비!$O$430:$O$729,예비비!$B$430:$B$729,예비비!$A167,예비비!$E$430:$E$729,"&lt;"&amp;EDATE(BI$99,1),예비비!$F$430:$F$729,"결제대금비")+MAX(0,IF(예비비!$D167&lt;EDATE(BI$99,1),예비비!$E167,0)-SUMIFS(예비비!$O$430:$O$729,예비비!$B$430:$B$729,예비비!$A167,예비비!$E$430:$E$729,"&lt;"&amp;EDATE(BI$99,1))),0)</f>
        <v>0</v>
      </c>
      <c r="BJ167">
        <f>IF(예비비!$R167="OK",SUMIFS(예비비!$O$430:$O$729,예비비!$B$430:$B$729,예비비!$A167,예비비!$E$430:$E$729,"&lt;"&amp;EDATE(BJ$99,1),예비비!$F$430:$F$729,"결제대금비")+MAX(0,IF(예비비!$D167&lt;EDATE(BJ$99,1),예비비!$E167,0)-SUMIFS(예비비!$O$430:$O$729,예비비!$B$430:$B$729,예비비!$A167,예비비!$E$430:$E$729,"&lt;"&amp;EDATE(BJ$99,1))),0)</f>
        <v>0</v>
      </c>
      <c r="BK167">
        <f>IF(예비비!$R167="OK",SUMIFS(예비비!$O$430:$O$729,예비비!$B$430:$B$729,예비비!$A167,예비비!$E$430:$E$729,"&lt;"&amp;EDATE(BK$99,1),예비비!$F$430:$F$729,"결제대금비")+MAX(0,IF(예비비!$D167&lt;EDATE(BK$99,1),예비비!$E167,0)-SUMIFS(예비비!$O$430:$O$729,예비비!$B$430:$B$729,예비비!$A167,예비비!$E$430:$E$729,"&lt;"&amp;EDATE(BK$99,1))),0)</f>
        <v>0</v>
      </c>
      <c r="BL167">
        <f>IF(예비비!$R167="OK",SUMIFS(예비비!$O$430:$O$729,예비비!$B$430:$B$729,예비비!$A167,예비비!$E$430:$E$729,"&lt;"&amp;EDATE(BL$99,1),예비비!$F$430:$F$729,"결제대금비")+MAX(0,IF(예비비!$D167&lt;EDATE(BL$99,1),예비비!$E167,0)-SUMIFS(예비비!$O$430:$O$729,예비비!$B$430:$B$729,예비비!$A167,예비비!$E$430:$E$729,"&lt;"&amp;EDATE(BL$99,1))),0)</f>
        <v>0</v>
      </c>
      <c r="BM167">
        <f>IF(예비비!$R167="OK",SUMIFS(예비비!$O$430:$O$729,예비비!$B$430:$B$729,예비비!$A167,예비비!$E$430:$E$729,"&lt;"&amp;EDATE(BM$99,1),예비비!$F$430:$F$729,"결제대금비")+MAX(0,IF(예비비!$D167&lt;EDATE(BM$99,1),예비비!$E167,0)-SUMIFS(예비비!$O$430:$O$729,예비비!$B$430:$B$729,예비비!$A167,예비비!$E$430:$E$729,"&lt;"&amp;EDATE(BM$99,1))),0)</f>
        <v>0</v>
      </c>
      <c r="BN167">
        <f>IF(예비비!$R167="OK",SUMIFS(예비비!$O$430:$O$729,예비비!$B$430:$B$729,예비비!$A167,예비비!$E$430:$E$729,"&lt;"&amp;EDATE(BN$99,1),예비비!$F$430:$F$729,"결제대금비")+MAX(0,IF(예비비!$D167&lt;EDATE(BN$99,1),예비비!$E167,0)-SUMIFS(예비비!$O$430:$O$729,예비비!$B$430:$B$729,예비비!$A167,예비비!$E$430:$E$729,"&lt;"&amp;EDATE(BN$99,1))),0)</f>
        <v>0</v>
      </c>
      <c r="BO167">
        <f>IF(예비비!$R167="OK",SUMIFS(예비비!$O$430:$O$729,예비비!$B$430:$B$729,예비비!$A167,예비비!$E$430:$E$729,"&lt;"&amp;EDATE(BO$99,1),예비비!$F$430:$F$729,"결제대금비")+MAX(0,IF(예비비!$D167&lt;EDATE(BO$99,1),예비비!$E167,0)-SUMIFS(예비비!$O$430:$O$729,예비비!$B$430:$B$729,예비비!$A167,예비비!$E$430:$E$729,"&lt;"&amp;EDATE(BO$99,1))),0)</f>
        <v>0</v>
      </c>
      <c r="BP167">
        <f>IF(예비비!$R167="OK",SUMIFS(예비비!$O$430:$O$729,예비비!$B$430:$B$729,예비비!$A167,예비비!$E$430:$E$729,"&lt;"&amp;EDATE(BP$99,1),예비비!$F$430:$F$729,"결제대금비")+MAX(0,IF(예비비!$D167&lt;EDATE(BP$99,1),예비비!$E167,0)-SUMIFS(예비비!$O$430:$O$729,예비비!$B$430:$B$729,예비비!$A167,예비비!$E$430:$E$729,"&lt;"&amp;EDATE(BP$99,1))),0)</f>
        <v>0</v>
      </c>
      <c r="BQ167">
        <f>IF(예비비!$R167="OK",SUMIFS(예비비!$O$430:$O$729,예비비!$B$430:$B$729,예비비!$A167,예비비!$E$430:$E$729,"&lt;"&amp;EDATE(BQ$99,1),예비비!$F$430:$F$729,"결제대금비")+MAX(0,IF(예비비!$D167&lt;EDATE(BQ$99,1),예비비!$E167,0)-SUMIFS(예비비!$O$430:$O$729,예비비!$B$430:$B$729,예비비!$A167,예비비!$E$430:$E$729,"&lt;"&amp;EDATE(BQ$99,1))),0)</f>
        <v>0</v>
      </c>
      <c r="BR167">
        <f>IF(예비비!$R167="OK",SUMIFS(예비비!$O$430:$O$729,예비비!$B$430:$B$729,예비비!$A167,예비비!$E$430:$E$729,"&lt;"&amp;EDATE(BR$99,1),예비비!$F$430:$F$729,"결제대금비")+MAX(0,IF(예비비!$D167&lt;EDATE(BR$99,1),예비비!$E167,0)-SUMIFS(예비비!$O$430:$O$729,예비비!$B$430:$B$729,예비비!$A167,예비비!$E$430:$E$729,"&lt;"&amp;EDATE(BR$99,1))),0)</f>
        <v>0</v>
      </c>
      <c r="BS167">
        <f>IF(예비비!$R167="OK",SUMIFS(예비비!$O$430:$O$729,예비비!$B$430:$B$729,예비비!$A167,예비비!$E$430:$E$729,"&lt;"&amp;EDATE(BS$99,1),예비비!$F$430:$F$729,"결제대금비")+MAX(0,IF(예비비!$D167&lt;EDATE(BS$99,1),예비비!$E167,0)-SUMIFS(예비비!$O$430:$O$729,예비비!$B$430:$B$729,예비비!$A167,예비비!$E$430:$E$729,"&lt;"&amp;EDATE(BS$99,1))),0)</f>
        <v>0</v>
      </c>
      <c r="BT167">
        <f>IF(예비비!$R167="OK",SUMIFS(예비비!$O$430:$O$729,예비비!$B$430:$B$729,예비비!$A167,예비비!$E$430:$E$729,"&lt;"&amp;EDATE(BT$99,1),예비비!$F$430:$F$729,"결제대금비")+MAX(0,IF(예비비!$D167&lt;EDATE(BT$99,1),예비비!$E167,0)-SUMIFS(예비비!$O$430:$O$729,예비비!$B$430:$B$729,예비비!$A167,예비비!$E$430:$E$729,"&lt;"&amp;EDATE(BT$99,1))),0)</f>
        <v>0</v>
      </c>
      <c r="BU167">
        <f>IF(예비비!$R167="OK",SUMIFS(예비비!$O$430:$O$729,예비비!$B$430:$B$729,예비비!$A167,예비비!$E$430:$E$729,"&lt;"&amp;EDATE(BU$99,1),예비비!$F$430:$F$729,"결제대금비")+MAX(0,IF(예비비!$D167&lt;EDATE(BU$99,1),예비비!$E167,0)-SUMIFS(예비비!$O$430:$O$729,예비비!$B$430:$B$729,예비비!$A167,예비비!$E$430:$E$729,"&lt;"&amp;EDATE(BU$99,1))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  <c r="BI168">
        <f>IF(예비비!$R168="OK",SUMIFS(예비비!$O$430:$O$729,예비비!$B$430:$B$729,예비비!$A168,예비비!$E$430:$E$729,"&lt;"&amp;EDATE(BI$99,1),예비비!$F$430:$F$729,"결제대금비")+MAX(0,IF(예비비!$D168&lt;EDATE(BI$99,1),예비비!$E168,0)-SUMIFS(예비비!$O$430:$O$729,예비비!$B$430:$B$729,예비비!$A168,예비비!$E$430:$E$729,"&lt;"&amp;EDATE(BI$99,1))),0)</f>
        <v>0</v>
      </c>
      <c r="BJ168">
        <f>IF(예비비!$R168="OK",SUMIFS(예비비!$O$430:$O$729,예비비!$B$430:$B$729,예비비!$A168,예비비!$E$430:$E$729,"&lt;"&amp;EDATE(BJ$99,1),예비비!$F$430:$F$729,"결제대금비")+MAX(0,IF(예비비!$D168&lt;EDATE(BJ$99,1),예비비!$E168,0)-SUMIFS(예비비!$O$430:$O$729,예비비!$B$430:$B$729,예비비!$A168,예비비!$E$430:$E$729,"&lt;"&amp;EDATE(BJ$99,1))),0)</f>
        <v>0</v>
      </c>
      <c r="BK168">
        <f>IF(예비비!$R168="OK",SUMIFS(예비비!$O$430:$O$729,예비비!$B$430:$B$729,예비비!$A168,예비비!$E$430:$E$729,"&lt;"&amp;EDATE(BK$99,1),예비비!$F$430:$F$729,"결제대금비")+MAX(0,IF(예비비!$D168&lt;EDATE(BK$99,1),예비비!$E168,0)-SUMIFS(예비비!$O$430:$O$729,예비비!$B$430:$B$729,예비비!$A168,예비비!$E$430:$E$729,"&lt;"&amp;EDATE(BK$99,1))),0)</f>
        <v>0</v>
      </c>
      <c r="BL168">
        <f>IF(예비비!$R168="OK",SUMIFS(예비비!$O$430:$O$729,예비비!$B$430:$B$729,예비비!$A168,예비비!$E$430:$E$729,"&lt;"&amp;EDATE(BL$99,1),예비비!$F$430:$F$729,"결제대금비")+MAX(0,IF(예비비!$D168&lt;EDATE(BL$99,1),예비비!$E168,0)-SUMIFS(예비비!$O$430:$O$729,예비비!$B$430:$B$729,예비비!$A168,예비비!$E$430:$E$729,"&lt;"&amp;EDATE(BL$99,1))),0)</f>
        <v>0</v>
      </c>
      <c r="BM168">
        <f>IF(예비비!$R168="OK",SUMIFS(예비비!$O$430:$O$729,예비비!$B$430:$B$729,예비비!$A168,예비비!$E$430:$E$729,"&lt;"&amp;EDATE(BM$99,1),예비비!$F$430:$F$729,"결제대금비")+MAX(0,IF(예비비!$D168&lt;EDATE(BM$99,1),예비비!$E168,0)-SUMIFS(예비비!$O$430:$O$729,예비비!$B$430:$B$729,예비비!$A168,예비비!$E$430:$E$729,"&lt;"&amp;EDATE(BM$99,1))),0)</f>
        <v>0</v>
      </c>
      <c r="BN168">
        <f>IF(예비비!$R168="OK",SUMIFS(예비비!$O$430:$O$729,예비비!$B$430:$B$729,예비비!$A168,예비비!$E$430:$E$729,"&lt;"&amp;EDATE(BN$99,1),예비비!$F$430:$F$729,"결제대금비")+MAX(0,IF(예비비!$D168&lt;EDATE(BN$99,1),예비비!$E168,0)-SUMIFS(예비비!$O$430:$O$729,예비비!$B$430:$B$729,예비비!$A168,예비비!$E$430:$E$729,"&lt;"&amp;EDATE(BN$99,1))),0)</f>
        <v>0</v>
      </c>
      <c r="BO168">
        <f>IF(예비비!$R168="OK",SUMIFS(예비비!$O$430:$O$729,예비비!$B$430:$B$729,예비비!$A168,예비비!$E$430:$E$729,"&lt;"&amp;EDATE(BO$99,1),예비비!$F$430:$F$729,"결제대금비")+MAX(0,IF(예비비!$D168&lt;EDATE(BO$99,1),예비비!$E168,0)-SUMIFS(예비비!$O$430:$O$729,예비비!$B$430:$B$729,예비비!$A168,예비비!$E$430:$E$729,"&lt;"&amp;EDATE(BO$99,1))),0)</f>
        <v>0</v>
      </c>
      <c r="BP168">
        <f>IF(예비비!$R168="OK",SUMIFS(예비비!$O$430:$O$729,예비비!$B$430:$B$729,예비비!$A168,예비비!$E$430:$E$729,"&lt;"&amp;EDATE(BP$99,1),예비비!$F$430:$F$729,"결제대금비")+MAX(0,IF(예비비!$D168&lt;EDATE(BP$99,1),예비비!$E168,0)-SUMIFS(예비비!$O$430:$O$729,예비비!$B$430:$B$729,예비비!$A168,예비비!$E$430:$E$729,"&lt;"&amp;EDATE(BP$99,1))),0)</f>
        <v>0</v>
      </c>
      <c r="BQ168">
        <f>IF(예비비!$R168="OK",SUMIFS(예비비!$O$430:$O$729,예비비!$B$430:$B$729,예비비!$A168,예비비!$E$430:$E$729,"&lt;"&amp;EDATE(BQ$99,1),예비비!$F$430:$F$729,"결제대금비")+MAX(0,IF(예비비!$D168&lt;EDATE(BQ$99,1),예비비!$E168,0)-SUMIFS(예비비!$O$430:$O$729,예비비!$B$430:$B$729,예비비!$A168,예비비!$E$430:$E$729,"&lt;"&amp;EDATE(BQ$99,1))),0)</f>
        <v>0</v>
      </c>
      <c r="BR168">
        <f>IF(예비비!$R168="OK",SUMIFS(예비비!$O$430:$O$729,예비비!$B$430:$B$729,예비비!$A168,예비비!$E$430:$E$729,"&lt;"&amp;EDATE(BR$99,1),예비비!$F$430:$F$729,"결제대금비")+MAX(0,IF(예비비!$D168&lt;EDATE(BR$99,1),예비비!$E168,0)-SUMIFS(예비비!$O$430:$O$729,예비비!$B$430:$B$729,예비비!$A168,예비비!$E$430:$E$729,"&lt;"&amp;EDATE(BR$99,1))),0)</f>
        <v>0</v>
      </c>
      <c r="BS168">
        <f>IF(예비비!$R168="OK",SUMIFS(예비비!$O$430:$O$729,예비비!$B$430:$B$729,예비비!$A168,예비비!$E$430:$E$729,"&lt;"&amp;EDATE(BS$99,1),예비비!$F$430:$F$729,"결제대금비")+MAX(0,IF(예비비!$D168&lt;EDATE(BS$99,1),예비비!$E168,0)-SUMIFS(예비비!$O$430:$O$729,예비비!$B$430:$B$729,예비비!$A168,예비비!$E$430:$E$729,"&lt;"&amp;EDATE(BS$99,1))),0)</f>
        <v>0</v>
      </c>
      <c r="BT168">
        <f>IF(예비비!$R168="OK",SUMIFS(예비비!$O$430:$O$729,예비비!$B$430:$B$729,예비비!$A168,예비비!$E$430:$E$729,"&lt;"&amp;EDATE(BT$99,1),예비비!$F$430:$F$729,"결제대금비")+MAX(0,IF(예비비!$D168&lt;EDATE(BT$99,1),예비비!$E168,0)-SUMIFS(예비비!$O$430:$O$729,예비비!$B$430:$B$729,예비비!$A168,예비비!$E$430:$E$729,"&lt;"&amp;EDATE(BT$99,1))),0)</f>
        <v>0</v>
      </c>
      <c r="BU168">
        <f>IF(예비비!$R168="OK",SUMIFS(예비비!$O$430:$O$729,예비비!$B$430:$B$729,예비비!$A168,예비비!$E$430:$E$729,"&lt;"&amp;EDATE(BU$99,1),예비비!$F$430:$F$729,"결제대금비")+MAX(0,IF(예비비!$D168&lt;EDATE(BU$99,1),예비비!$E168,0)-SUMIFS(예비비!$O$430:$O$729,예비비!$B$430:$B$729,예비비!$A168,예비비!$E$430:$E$729,"&lt;"&amp;EDATE(BU$99,1))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  <c r="BI169">
        <f>IF(예비비!$R169="OK",SUMIFS(예비비!$O$430:$O$729,예비비!$B$430:$B$729,예비비!$A169,예비비!$E$430:$E$729,"&lt;"&amp;EDATE(BI$99,1),예비비!$F$430:$F$729,"결제대금비")+MAX(0,IF(예비비!$D169&lt;EDATE(BI$99,1),예비비!$E169,0)-SUMIFS(예비비!$O$430:$O$729,예비비!$B$430:$B$729,예비비!$A169,예비비!$E$430:$E$729,"&lt;"&amp;EDATE(BI$99,1))),0)</f>
        <v>0</v>
      </c>
      <c r="BJ169">
        <f>IF(예비비!$R169="OK",SUMIFS(예비비!$O$430:$O$729,예비비!$B$430:$B$729,예비비!$A169,예비비!$E$430:$E$729,"&lt;"&amp;EDATE(BJ$99,1),예비비!$F$430:$F$729,"결제대금비")+MAX(0,IF(예비비!$D169&lt;EDATE(BJ$99,1),예비비!$E169,0)-SUMIFS(예비비!$O$430:$O$729,예비비!$B$430:$B$729,예비비!$A169,예비비!$E$430:$E$729,"&lt;"&amp;EDATE(BJ$99,1))),0)</f>
        <v>0</v>
      </c>
      <c r="BK169">
        <f>IF(예비비!$R169="OK",SUMIFS(예비비!$O$430:$O$729,예비비!$B$430:$B$729,예비비!$A169,예비비!$E$430:$E$729,"&lt;"&amp;EDATE(BK$99,1),예비비!$F$430:$F$729,"결제대금비")+MAX(0,IF(예비비!$D169&lt;EDATE(BK$99,1),예비비!$E169,0)-SUMIFS(예비비!$O$430:$O$729,예비비!$B$430:$B$729,예비비!$A169,예비비!$E$430:$E$729,"&lt;"&amp;EDATE(BK$99,1))),0)</f>
        <v>0</v>
      </c>
      <c r="BL169">
        <f>IF(예비비!$R169="OK",SUMIFS(예비비!$O$430:$O$729,예비비!$B$430:$B$729,예비비!$A169,예비비!$E$430:$E$729,"&lt;"&amp;EDATE(BL$99,1),예비비!$F$430:$F$729,"결제대금비")+MAX(0,IF(예비비!$D169&lt;EDATE(BL$99,1),예비비!$E169,0)-SUMIFS(예비비!$O$430:$O$729,예비비!$B$430:$B$729,예비비!$A169,예비비!$E$430:$E$729,"&lt;"&amp;EDATE(BL$99,1))),0)</f>
        <v>0</v>
      </c>
      <c r="BM169">
        <f>IF(예비비!$R169="OK",SUMIFS(예비비!$O$430:$O$729,예비비!$B$430:$B$729,예비비!$A169,예비비!$E$430:$E$729,"&lt;"&amp;EDATE(BM$99,1),예비비!$F$430:$F$729,"결제대금비")+MAX(0,IF(예비비!$D169&lt;EDATE(BM$99,1),예비비!$E169,0)-SUMIFS(예비비!$O$430:$O$729,예비비!$B$430:$B$729,예비비!$A169,예비비!$E$430:$E$729,"&lt;"&amp;EDATE(BM$99,1))),0)</f>
        <v>0</v>
      </c>
      <c r="BN169">
        <f>IF(예비비!$R169="OK",SUMIFS(예비비!$O$430:$O$729,예비비!$B$430:$B$729,예비비!$A169,예비비!$E$430:$E$729,"&lt;"&amp;EDATE(BN$99,1),예비비!$F$430:$F$729,"결제대금비")+MAX(0,IF(예비비!$D169&lt;EDATE(BN$99,1),예비비!$E169,0)-SUMIFS(예비비!$O$430:$O$729,예비비!$B$430:$B$729,예비비!$A169,예비비!$E$430:$E$729,"&lt;"&amp;EDATE(BN$99,1))),0)</f>
        <v>0</v>
      </c>
      <c r="BO169">
        <f>IF(예비비!$R169="OK",SUMIFS(예비비!$O$430:$O$729,예비비!$B$430:$B$729,예비비!$A169,예비비!$E$430:$E$729,"&lt;"&amp;EDATE(BO$99,1),예비비!$F$430:$F$729,"결제대금비")+MAX(0,IF(예비비!$D169&lt;EDATE(BO$99,1),예비비!$E169,0)-SUMIFS(예비비!$O$430:$O$729,예비비!$B$430:$B$729,예비비!$A169,예비비!$E$430:$E$729,"&lt;"&amp;EDATE(BO$99,1))),0)</f>
        <v>0</v>
      </c>
      <c r="BP169">
        <f>IF(예비비!$R169="OK",SUMIFS(예비비!$O$430:$O$729,예비비!$B$430:$B$729,예비비!$A169,예비비!$E$430:$E$729,"&lt;"&amp;EDATE(BP$99,1),예비비!$F$430:$F$729,"결제대금비")+MAX(0,IF(예비비!$D169&lt;EDATE(BP$99,1),예비비!$E169,0)-SUMIFS(예비비!$O$430:$O$729,예비비!$B$430:$B$729,예비비!$A169,예비비!$E$430:$E$729,"&lt;"&amp;EDATE(BP$99,1))),0)</f>
        <v>0</v>
      </c>
      <c r="BQ169">
        <f>IF(예비비!$R169="OK",SUMIFS(예비비!$O$430:$O$729,예비비!$B$430:$B$729,예비비!$A169,예비비!$E$430:$E$729,"&lt;"&amp;EDATE(BQ$99,1),예비비!$F$430:$F$729,"결제대금비")+MAX(0,IF(예비비!$D169&lt;EDATE(BQ$99,1),예비비!$E169,0)-SUMIFS(예비비!$O$430:$O$729,예비비!$B$430:$B$729,예비비!$A169,예비비!$E$430:$E$729,"&lt;"&amp;EDATE(BQ$99,1))),0)</f>
        <v>0</v>
      </c>
      <c r="BR169">
        <f>IF(예비비!$R169="OK",SUMIFS(예비비!$O$430:$O$729,예비비!$B$430:$B$729,예비비!$A169,예비비!$E$430:$E$729,"&lt;"&amp;EDATE(BR$99,1),예비비!$F$430:$F$729,"결제대금비")+MAX(0,IF(예비비!$D169&lt;EDATE(BR$99,1),예비비!$E169,0)-SUMIFS(예비비!$O$430:$O$729,예비비!$B$430:$B$729,예비비!$A169,예비비!$E$430:$E$729,"&lt;"&amp;EDATE(BR$99,1))),0)</f>
        <v>0</v>
      </c>
      <c r="BS169">
        <f>IF(예비비!$R169="OK",SUMIFS(예비비!$O$430:$O$729,예비비!$B$430:$B$729,예비비!$A169,예비비!$E$430:$E$729,"&lt;"&amp;EDATE(BS$99,1),예비비!$F$430:$F$729,"결제대금비")+MAX(0,IF(예비비!$D169&lt;EDATE(BS$99,1),예비비!$E169,0)-SUMIFS(예비비!$O$430:$O$729,예비비!$B$430:$B$729,예비비!$A169,예비비!$E$430:$E$729,"&lt;"&amp;EDATE(BS$99,1))),0)</f>
        <v>0</v>
      </c>
      <c r="BT169">
        <f>IF(예비비!$R169="OK",SUMIFS(예비비!$O$430:$O$729,예비비!$B$430:$B$729,예비비!$A169,예비비!$E$430:$E$729,"&lt;"&amp;EDATE(BT$99,1),예비비!$F$430:$F$729,"결제대금비")+MAX(0,IF(예비비!$D169&lt;EDATE(BT$99,1),예비비!$E169,0)-SUMIFS(예비비!$O$430:$O$729,예비비!$B$430:$B$729,예비비!$A169,예비비!$E$430:$E$729,"&lt;"&amp;EDATE(BT$99,1))),0)</f>
        <v>0</v>
      </c>
      <c r="BU169">
        <f>IF(예비비!$R169="OK",SUMIFS(예비비!$O$430:$O$729,예비비!$B$430:$B$729,예비비!$A169,예비비!$E$430:$E$729,"&lt;"&amp;EDATE(BU$99,1),예비비!$F$430:$F$729,"결제대금비")+MAX(0,IF(예비비!$D169&lt;EDATE(BU$99,1),예비비!$E169,0)-SUMIFS(예비비!$O$430:$O$729,예비비!$B$430:$B$729,예비비!$A169,예비비!$E$430:$E$729,"&lt;"&amp;EDATE(BU$99,1))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  <c r="BI170">
        <f>IF(예비비!$R170="OK",SUMIFS(예비비!$O$430:$O$729,예비비!$B$430:$B$729,예비비!$A170,예비비!$E$430:$E$729,"&lt;"&amp;EDATE(BI$99,1),예비비!$F$430:$F$729,"결제대금비")+MAX(0,IF(예비비!$D170&lt;EDATE(BI$99,1),예비비!$E170,0)-SUMIFS(예비비!$O$430:$O$729,예비비!$B$430:$B$729,예비비!$A170,예비비!$E$430:$E$729,"&lt;"&amp;EDATE(BI$99,1))),0)</f>
        <v>0</v>
      </c>
      <c r="BJ170">
        <f>IF(예비비!$R170="OK",SUMIFS(예비비!$O$430:$O$729,예비비!$B$430:$B$729,예비비!$A170,예비비!$E$430:$E$729,"&lt;"&amp;EDATE(BJ$99,1),예비비!$F$430:$F$729,"결제대금비")+MAX(0,IF(예비비!$D170&lt;EDATE(BJ$99,1),예비비!$E170,0)-SUMIFS(예비비!$O$430:$O$729,예비비!$B$430:$B$729,예비비!$A170,예비비!$E$430:$E$729,"&lt;"&amp;EDATE(BJ$99,1))),0)</f>
        <v>0</v>
      </c>
      <c r="BK170">
        <f>IF(예비비!$R170="OK",SUMIFS(예비비!$O$430:$O$729,예비비!$B$430:$B$729,예비비!$A170,예비비!$E$430:$E$729,"&lt;"&amp;EDATE(BK$99,1),예비비!$F$430:$F$729,"결제대금비")+MAX(0,IF(예비비!$D170&lt;EDATE(BK$99,1),예비비!$E170,0)-SUMIFS(예비비!$O$430:$O$729,예비비!$B$430:$B$729,예비비!$A170,예비비!$E$430:$E$729,"&lt;"&amp;EDATE(BK$99,1))),0)</f>
        <v>0</v>
      </c>
      <c r="BL170">
        <f>IF(예비비!$R170="OK",SUMIFS(예비비!$O$430:$O$729,예비비!$B$430:$B$729,예비비!$A170,예비비!$E$430:$E$729,"&lt;"&amp;EDATE(BL$99,1),예비비!$F$430:$F$729,"결제대금비")+MAX(0,IF(예비비!$D170&lt;EDATE(BL$99,1),예비비!$E170,0)-SUMIFS(예비비!$O$430:$O$729,예비비!$B$430:$B$729,예비비!$A170,예비비!$E$430:$E$729,"&lt;"&amp;EDATE(BL$99,1))),0)</f>
        <v>0</v>
      </c>
      <c r="BM170">
        <f>IF(예비비!$R170="OK",SUMIFS(예비비!$O$430:$O$729,예비비!$B$430:$B$729,예비비!$A170,예비비!$E$430:$E$729,"&lt;"&amp;EDATE(BM$99,1),예비비!$F$430:$F$729,"결제대금비")+MAX(0,IF(예비비!$D170&lt;EDATE(BM$99,1),예비비!$E170,0)-SUMIFS(예비비!$O$430:$O$729,예비비!$B$430:$B$729,예비비!$A170,예비비!$E$430:$E$729,"&lt;"&amp;EDATE(BM$99,1))),0)</f>
        <v>0</v>
      </c>
      <c r="BN170">
        <f>IF(예비비!$R170="OK",SUMIFS(예비비!$O$430:$O$729,예비비!$B$430:$B$729,예비비!$A170,예비비!$E$430:$E$729,"&lt;"&amp;EDATE(BN$99,1),예비비!$F$430:$F$729,"결제대금비")+MAX(0,IF(예비비!$D170&lt;EDATE(BN$99,1),예비비!$E170,0)-SUMIFS(예비비!$O$430:$O$729,예비비!$B$430:$B$729,예비비!$A170,예비비!$E$430:$E$729,"&lt;"&amp;EDATE(BN$99,1))),0)</f>
        <v>0</v>
      </c>
      <c r="BO170">
        <f>IF(예비비!$R170="OK",SUMIFS(예비비!$O$430:$O$729,예비비!$B$430:$B$729,예비비!$A170,예비비!$E$430:$E$729,"&lt;"&amp;EDATE(BO$99,1),예비비!$F$430:$F$729,"결제대금비")+MAX(0,IF(예비비!$D170&lt;EDATE(BO$99,1),예비비!$E170,0)-SUMIFS(예비비!$O$430:$O$729,예비비!$B$430:$B$729,예비비!$A170,예비비!$E$430:$E$729,"&lt;"&amp;EDATE(BO$99,1))),0)</f>
        <v>0</v>
      </c>
      <c r="BP170">
        <f>IF(예비비!$R170="OK",SUMIFS(예비비!$O$430:$O$729,예비비!$B$430:$B$729,예비비!$A170,예비비!$E$430:$E$729,"&lt;"&amp;EDATE(BP$99,1),예비비!$F$430:$F$729,"결제대금비")+MAX(0,IF(예비비!$D170&lt;EDATE(BP$99,1),예비비!$E170,0)-SUMIFS(예비비!$O$430:$O$729,예비비!$B$430:$B$729,예비비!$A170,예비비!$E$430:$E$729,"&lt;"&amp;EDATE(BP$99,1))),0)</f>
        <v>0</v>
      </c>
      <c r="BQ170">
        <f>IF(예비비!$R170="OK",SUMIFS(예비비!$O$430:$O$729,예비비!$B$430:$B$729,예비비!$A170,예비비!$E$430:$E$729,"&lt;"&amp;EDATE(BQ$99,1),예비비!$F$430:$F$729,"결제대금비")+MAX(0,IF(예비비!$D170&lt;EDATE(BQ$99,1),예비비!$E170,0)-SUMIFS(예비비!$O$430:$O$729,예비비!$B$430:$B$729,예비비!$A170,예비비!$E$430:$E$729,"&lt;"&amp;EDATE(BQ$99,1))),0)</f>
        <v>0</v>
      </c>
      <c r="BR170">
        <f>IF(예비비!$R170="OK",SUMIFS(예비비!$O$430:$O$729,예비비!$B$430:$B$729,예비비!$A170,예비비!$E$430:$E$729,"&lt;"&amp;EDATE(BR$99,1),예비비!$F$430:$F$729,"결제대금비")+MAX(0,IF(예비비!$D170&lt;EDATE(BR$99,1),예비비!$E170,0)-SUMIFS(예비비!$O$430:$O$729,예비비!$B$430:$B$729,예비비!$A170,예비비!$E$430:$E$729,"&lt;"&amp;EDATE(BR$99,1))),0)</f>
        <v>0</v>
      </c>
      <c r="BS170">
        <f>IF(예비비!$R170="OK",SUMIFS(예비비!$O$430:$O$729,예비비!$B$430:$B$729,예비비!$A170,예비비!$E$430:$E$729,"&lt;"&amp;EDATE(BS$99,1),예비비!$F$430:$F$729,"결제대금비")+MAX(0,IF(예비비!$D170&lt;EDATE(BS$99,1),예비비!$E170,0)-SUMIFS(예비비!$O$430:$O$729,예비비!$B$430:$B$729,예비비!$A170,예비비!$E$430:$E$729,"&lt;"&amp;EDATE(BS$99,1))),0)</f>
        <v>0</v>
      </c>
      <c r="BT170">
        <f>IF(예비비!$R170="OK",SUMIFS(예비비!$O$430:$O$729,예비비!$B$430:$B$729,예비비!$A170,예비비!$E$430:$E$729,"&lt;"&amp;EDATE(BT$99,1),예비비!$F$430:$F$729,"결제대금비")+MAX(0,IF(예비비!$D170&lt;EDATE(BT$99,1),예비비!$E170,0)-SUMIFS(예비비!$O$430:$O$729,예비비!$B$430:$B$729,예비비!$A170,예비비!$E$430:$E$729,"&lt;"&amp;EDATE(BT$99,1))),0)</f>
        <v>0</v>
      </c>
      <c r="BU170">
        <f>IF(예비비!$R170="OK",SUMIFS(예비비!$O$430:$O$729,예비비!$B$430:$B$729,예비비!$A170,예비비!$E$430:$E$729,"&lt;"&amp;EDATE(BU$99,1),예비비!$F$430:$F$729,"결제대금비")+MAX(0,IF(예비비!$D170&lt;EDATE(BU$99,1),예비비!$E170,0)-SUMIFS(예비비!$O$430:$O$729,예비비!$B$430:$B$729,예비비!$A170,예비비!$E$430:$E$729,"&lt;"&amp;EDATE(BU$99,1))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  <c r="BI171">
        <f>IF(예비비!$R171="OK",SUMIFS(예비비!$O$430:$O$729,예비비!$B$430:$B$729,예비비!$A171,예비비!$E$430:$E$729,"&lt;"&amp;EDATE(BI$99,1),예비비!$F$430:$F$729,"결제대금비")+MAX(0,IF(예비비!$D171&lt;EDATE(BI$99,1),예비비!$E171,0)-SUMIFS(예비비!$O$430:$O$729,예비비!$B$430:$B$729,예비비!$A171,예비비!$E$430:$E$729,"&lt;"&amp;EDATE(BI$99,1))),0)</f>
        <v>0</v>
      </c>
      <c r="BJ171">
        <f>IF(예비비!$R171="OK",SUMIFS(예비비!$O$430:$O$729,예비비!$B$430:$B$729,예비비!$A171,예비비!$E$430:$E$729,"&lt;"&amp;EDATE(BJ$99,1),예비비!$F$430:$F$729,"결제대금비")+MAX(0,IF(예비비!$D171&lt;EDATE(BJ$99,1),예비비!$E171,0)-SUMIFS(예비비!$O$430:$O$729,예비비!$B$430:$B$729,예비비!$A171,예비비!$E$430:$E$729,"&lt;"&amp;EDATE(BJ$99,1))),0)</f>
        <v>0</v>
      </c>
      <c r="BK171">
        <f>IF(예비비!$R171="OK",SUMIFS(예비비!$O$430:$O$729,예비비!$B$430:$B$729,예비비!$A171,예비비!$E$430:$E$729,"&lt;"&amp;EDATE(BK$99,1),예비비!$F$430:$F$729,"결제대금비")+MAX(0,IF(예비비!$D171&lt;EDATE(BK$99,1),예비비!$E171,0)-SUMIFS(예비비!$O$430:$O$729,예비비!$B$430:$B$729,예비비!$A171,예비비!$E$430:$E$729,"&lt;"&amp;EDATE(BK$99,1))),0)</f>
        <v>0</v>
      </c>
      <c r="BL171">
        <f>IF(예비비!$R171="OK",SUMIFS(예비비!$O$430:$O$729,예비비!$B$430:$B$729,예비비!$A171,예비비!$E$430:$E$729,"&lt;"&amp;EDATE(BL$99,1),예비비!$F$430:$F$729,"결제대금비")+MAX(0,IF(예비비!$D171&lt;EDATE(BL$99,1),예비비!$E171,0)-SUMIFS(예비비!$O$430:$O$729,예비비!$B$430:$B$729,예비비!$A171,예비비!$E$430:$E$729,"&lt;"&amp;EDATE(BL$99,1))),0)</f>
        <v>0</v>
      </c>
      <c r="BM171">
        <f>IF(예비비!$R171="OK",SUMIFS(예비비!$O$430:$O$729,예비비!$B$430:$B$729,예비비!$A171,예비비!$E$430:$E$729,"&lt;"&amp;EDATE(BM$99,1),예비비!$F$430:$F$729,"결제대금비")+MAX(0,IF(예비비!$D171&lt;EDATE(BM$99,1),예비비!$E171,0)-SUMIFS(예비비!$O$430:$O$729,예비비!$B$430:$B$729,예비비!$A171,예비비!$E$430:$E$729,"&lt;"&amp;EDATE(BM$99,1))),0)</f>
        <v>0</v>
      </c>
      <c r="BN171">
        <f>IF(예비비!$R171="OK",SUMIFS(예비비!$O$430:$O$729,예비비!$B$430:$B$729,예비비!$A171,예비비!$E$430:$E$729,"&lt;"&amp;EDATE(BN$99,1),예비비!$F$430:$F$729,"결제대금비")+MAX(0,IF(예비비!$D171&lt;EDATE(BN$99,1),예비비!$E171,0)-SUMIFS(예비비!$O$430:$O$729,예비비!$B$430:$B$729,예비비!$A171,예비비!$E$430:$E$729,"&lt;"&amp;EDATE(BN$99,1))),0)</f>
        <v>0</v>
      </c>
      <c r="BO171">
        <f>IF(예비비!$R171="OK",SUMIFS(예비비!$O$430:$O$729,예비비!$B$430:$B$729,예비비!$A171,예비비!$E$430:$E$729,"&lt;"&amp;EDATE(BO$99,1),예비비!$F$430:$F$729,"결제대금비")+MAX(0,IF(예비비!$D171&lt;EDATE(BO$99,1),예비비!$E171,0)-SUMIFS(예비비!$O$430:$O$729,예비비!$B$430:$B$729,예비비!$A171,예비비!$E$430:$E$729,"&lt;"&amp;EDATE(BO$99,1))),0)</f>
        <v>0</v>
      </c>
      <c r="BP171">
        <f>IF(예비비!$R171="OK",SUMIFS(예비비!$O$430:$O$729,예비비!$B$430:$B$729,예비비!$A171,예비비!$E$430:$E$729,"&lt;"&amp;EDATE(BP$99,1),예비비!$F$430:$F$729,"결제대금비")+MAX(0,IF(예비비!$D171&lt;EDATE(BP$99,1),예비비!$E171,0)-SUMIFS(예비비!$O$430:$O$729,예비비!$B$430:$B$729,예비비!$A171,예비비!$E$430:$E$729,"&lt;"&amp;EDATE(BP$99,1))),0)</f>
        <v>0</v>
      </c>
      <c r="BQ171">
        <f>IF(예비비!$R171="OK",SUMIFS(예비비!$O$430:$O$729,예비비!$B$430:$B$729,예비비!$A171,예비비!$E$430:$E$729,"&lt;"&amp;EDATE(BQ$99,1),예비비!$F$430:$F$729,"결제대금비")+MAX(0,IF(예비비!$D171&lt;EDATE(BQ$99,1),예비비!$E171,0)-SUMIFS(예비비!$O$430:$O$729,예비비!$B$430:$B$729,예비비!$A171,예비비!$E$430:$E$729,"&lt;"&amp;EDATE(BQ$99,1))),0)</f>
        <v>0</v>
      </c>
      <c r="BR171">
        <f>IF(예비비!$R171="OK",SUMIFS(예비비!$O$430:$O$729,예비비!$B$430:$B$729,예비비!$A171,예비비!$E$430:$E$729,"&lt;"&amp;EDATE(BR$99,1),예비비!$F$430:$F$729,"결제대금비")+MAX(0,IF(예비비!$D171&lt;EDATE(BR$99,1),예비비!$E171,0)-SUMIFS(예비비!$O$430:$O$729,예비비!$B$430:$B$729,예비비!$A171,예비비!$E$430:$E$729,"&lt;"&amp;EDATE(BR$99,1))),0)</f>
        <v>0</v>
      </c>
      <c r="BS171">
        <f>IF(예비비!$R171="OK",SUMIFS(예비비!$O$430:$O$729,예비비!$B$430:$B$729,예비비!$A171,예비비!$E$430:$E$729,"&lt;"&amp;EDATE(BS$99,1),예비비!$F$430:$F$729,"결제대금비")+MAX(0,IF(예비비!$D171&lt;EDATE(BS$99,1),예비비!$E171,0)-SUMIFS(예비비!$O$430:$O$729,예비비!$B$430:$B$729,예비비!$A171,예비비!$E$430:$E$729,"&lt;"&amp;EDATE(BS$99,1))),0)</f>
        <v>0</v>
      </c>
      <c r="BT171">
        <f>IF(예비비!$R171="OK",SUMIFS(예비비!$O$430:$O$729,예비비!$B$430:$B$729,예비비!$A171,예비비!$E$430:$E$729,"&lt;"&amp;EDATE(BT$99,1),예비비!$F$430:$F$729,"결제대금비")+MAX(0,IF(예비비!$D171&lt;EDATE(BT$99,1),예비비!$E171,0)-SUMIFS(예비비!$O$430:$O$729,예비비!$B$430:$B$729,예비비!$A171,예비비!$E$430:$E$729,"&lt;"&amp;EDATE(BT$99,1))),0)</f>
        <v>0</v>
      </c>
      <c r="BU171">
        <f>IF(예비비!$R171="OK",SUMIFS(예비비!$O$430:$O$729,예비비!$B$430:$B$729,예비비!$A171,예비비!$E$430:$E$729,"&lt;"&amp;EDATE(BU$99,1),예비비!$F$430:$F$729,"결제대금비")+MAX(0,IF(예비비!$D171&lt;EDATE(BU$99,1),예비비!$E171,0)-SUMIFS(예비비!$O$430:$O$729,예비비!$B$430:$B$729,예비비!$A171,예비비!$E$430:$E$729,"&lt;"&amp;EDATE(BU$99,1))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  <c r="BI172">
        <f>IF(예비비!$R172="OK",SUMIFS(예비비!$O$430:$O$729,예비비!$B$430:$B$729,예비비!$A172,예비비!$E$430:$E$729,"&lt;"&amp;EDATE(BI$99,1),예비비!$F$430:$F$729,"결제대금비")+MAX(0,IF(예비비!$D172&lt;EDATE(BI$99,1),예비비!$E172,0)-SUMIFS(예비비!$O$430:$O$729,예비비!$B$430:$B$729,예비비!$A172,예비비!$E$430:$E$729,"&lt;"&amp;EDATE(BI$99,1))),0)</f>
        <v>0</v>
      </c>
      <c r="BJ172">
        <f>IF(예비비!$R172="OK",SUMIFS(예비비!$O$430:$O$729,예비비!$B$430:$B$729,예비비!$A172,예비비!$E$430:$E$729,"&lt;"&amp;EDATE(BJ$99,1),예비비!$F$430:$F$729,"결제대금비")+MAX(0,IF(예비비!$D172&lt;EDATE(BJ$99,1),예비비!$E172,0)-SUMIFS(예비비!$O$430:$O$729,예비비!$B$430:$B$729,예비비!$A172,예비비!$E$430:$E$729,"&lt;"&amp;EDATE(BJ$99,1))),0)</f>
        <v>0</v>
      </c>
      <c r="BK172">
        <f>IF(예비비!$R172="OK",SUMIFS(예비비!$O$430:$O$729,예비비!$B$430:$B$729,예비비!$A172,예비비!$E$430:$E$729,"&lt;"&amp;EDATE(BK$99,1),예비비!$F$430:$F$729,"결제대금비")+MAX(0,IF(예비비!$D172&lt;EDATE(BK$99,1),예비비!$E172,0)-SUMIFS(예비비!$O$430:$O$729,예비비!$B$430:$B$729,예비비!$A172,예비비!$E$430:$E$729,"&lt;"&amp;EDATE(BK$99,1))),0)</f>
        <v>0</v>
      </c>
      <c r="BL172">
        <f>IF(예비비!$R172="OK",SUMIFS(예비비!$O$430:$O$729,예비비!$B$430:$B$729,예비비!$A172,예비비!$E$430:$E$729,"&lt;"&amp;EDATE(BL$99,1),예비비!$F$430:$F$729,"결제대금비")+MAX(0,IF(예비비!$D172&lt;EDATE(BL$99,1),예비비!$E172,0)-SUMIFS(예비비!$O$430:$O$729,예비비!$B$430:$B$729,예비비!$A172,예비비!$E$430:$E$729,"&lt;"&amp;EDATE(BL$99,1))),0)</f>
        <v>0</v>
      </c>
      <c r="BM172">
        <f>IF(예비비!$R172="OK",SUMIFS(예비비!$O$430:$O$729,예비비!$B$430:$B$729,예비비!$A172,예비비!$E$430:$E$729,"&lt;"&amp;EDATE(BM$99,1),예비비!$F$430:$F$729,"결제대금비")+MAX(0,IF(예비비!$D172&lt;EDATE(BM$99,1),예비비!$E172,0)-SUMIFS(예비비!$O$430:$O$729,예비비!$B$430:$B$729,예비비!$A172,예비비!$E$430:$E$729,"&lt;"&amp;EDATE(BM$99,1))),0)</f>
        <v>0</v>
      </c>
      <c r="BN172">
        <f>IF(예비비!$R172="OK",SUMIFS(예비비!$O$430:$O$729,예비비!$B$430:$B$729,예비비!$A172,예비비!$E$430:$E$729,"&lt;"&amp;EDATE(BN$99,1),예비비!$F$430:$F$729,"결제대금비")+MAX(0,IF(예비비!$D172&lt;EDATE(BN$99,1),예비비!$E172,0)-SUMIFS(예비비!$O$430:$O$729,예비비!$B$430:$B$729,예비비!$A172,예비비!$E$430:$E$729,"&lt;"&amp;EDATE(BN$99,1))),0)</f>
        <v>0</v>
      </c>
      <c r="BO172">
        <f>IF(예비비!$R172="OK",SUMIFS(예비비!$O$430:$O$729,예비비!$B$430:$B$729,예비비!$A172,예비비!$E$430:$E$729,"&lt;"&amp;EDATE(BO$99,1),예비비!$F$430:$F$729,"결제대금비")+MAX(0,IF(예비비!$D172&lt;EDATE(BO$99,1),예비비!$E172,0)-SUMIFS(예비비!$O$430:$O$729,예비비!$B$430:$B$729,예비비!$A172,예비비!$E$430:$E$729,"&lt;"&amp;EDATE(BO$99,1))),0)</f>
        <v>0</v>
      </c>
      <c r="BP172">
        <f>IF(예비비!$R172="OK",SUMIFS(예비비!$O$430:$O$729,예비비!$B$430:$B$729,예비비!$A172,예비비!$E$430:$E$729,"&lt;"&amp;EDATE(BP$99,1),예비비!$F$430:$F$729,"결제대금비")+MAX(0,IF(예비비!$D172&lt;EDATE(BP$99,1),예비비!$E172,0)-SUMIFS(예비비!$O$430:$O$729,예비비!$B$430:$B$729,예비비!$A172,예비비!$E$430:$E$729,"&lt;"&amp;EDATE(BP$99,1))),0)</f>
        <v>0</v>
      </c>
      <c r="BQ172">
        <f>IF(예비비!$R172="OK",SUMIFS(예비비!$O$430:$O$729,예비비!$B$430:$B$729,예비비!$A172,예비비!$E$430:$E$729,"&lt;"&amp;EDATE(BQ$99,1),예비비!$F$430:$F$729,"결제대금비")+MAX(0,IF(예비비!$D172&lt;EDATE(BQ$99,1),예비비!$E172,0)-SUMIFS(예비비!$O$430:$O$729,예비비!$B$430:$B$729,예비비!$A172,예비비!$E$430:$E$729,"&lt;"&amp;EDATE(BQ$99,1))),0)</f>
        <v>0</v>
      </c>
      <c r="BR172">
        <f>IF(예비비!$R172="OK",SUMIFS(예비비!$O$430:$O$729,예비비!$B$430:$B$729,예비비!$A172,예비비!$E$430:$E$729,"&lt;"&amp;EDATE(BR$99,1),예비비!$F$430:$F$729,"결제대금비")+MAX(0,IF(예비비!$D172&lt;EDATE(BR$99,1),예비비!$E172,0)-SUMIFS(예비비!$O$430:$O$729,예비비!$B$430:$B$729,예비비!$A172,예비비!$E$430:$E$729,"&lt;"&amp;EDATE(BR$99,1))),0)</f>
        <v>0</v>
      </c>
      <c r="BS172">
        <f>IF(예비비!$R172="OK",SUMIFS(예비비!$O$430:$O$729,예비비!$B$430:$B$729,예비비!$A172,예비비!$E$430:$E$729,"&lt;"&amp;EDATE(BS$99,1),예비비!$F$430:$F$729,"결제대금비")+MAX(0,IF(예비비!$D172&lt;EDATE(BS$99,1),예비비!$E172,0)-SUMIFS(예비비!$O$430:$O$729,예비비!$B$430:$B$729,예비비!$A172,예비비!$E$430:$E$729,"&lt;"&amp;EDATE(BS$99,1))),0)</f>
        <v>0</v>
      </c>
      <c r="BT172">
        <f>IF(예비비!$R172="OK",SUMIFS(예비비!$O$430:$O$729,예비비!$B$430:$B$729,예비비!$A172,예비비!$E$430:$E$729,"&lt;"&amp;EDATE(BT$99,1),예비비!$F$430:$F$729,"결제대금비")+MAX(0,IF(예비비!$D172&lt;EDATE(BT$99,1),예비비!$E172,0)-SUMIFS(예비비!$O$430:$O$729,예비비!$B$430:$B$729,예비비!$A172,예비비!$E$430:$E$729,"&lt;"&amp;EDATE(BT$99,1))),0)</f>
        <v>0</v>
      </c>
      <c r="BU172">
        <f>IF(예비비!$R172="OK",SUMIFS(예비비!$O$430:$O$729,예비비!$B$430:$B$729,예비비!$A172,예비비!$E$430:$E$729,"&lt;"&amp;EDATE(BU$99,1),예비비!$F$430:$F$729,"결제대금비")+MAX(0,IF(예비비!$D172&lt;EDATE(BU$99,1),예비비!$E172,0)-SUMIFS(예비비!$O$430:$O$729,예비비!$B$430:$B$729,예비비!$A172,예비비!$E$430:$E$729,"&lt;"&amp;EDATE(BU$99,1))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  <c r="BI173">
        <f>IF(예비비!$R173="OK",SUMIFS(예비비!$O$430:$O$729,예비비!$B$430:$B$729,예비비!$A173,예비비!$E$430:$E$729,"&lt;"&amp;EDATE(BI$99,1),예비비!$F$430:$F$729,"결제대금비")+MAX(0,IF(예비비!$D173&lt;EDATE(BI$99,1),예비비!$E173,0)-SUMIFS(예비비!$O$430:$O$729,예비비!$B$430:$B$729,예비비!$A173,예비비!$E$430:$E$729,"&lt;"&amp;EDATE(BI$99,1))),0)</f>
        <v>0</v>
      </c>
      <c r="BJ173">
        <f>IF(예비비!$R173="OK",SUMIFS(예비비!$O$430:$O$729,예비비!$B$430:$B$729,예비비!$A173,예비비!$E$430:$E$729,"&lt;"&amp;EDATE(BJ$99,1),예비비!$F$430:$F$729,"결제대금비")+MAX(0,IF(예비비!$D173&lt;EDATE(BJ$99,1),예비비!$E173,0)-SUMIFS(예비비!$O$430:$O$729,예비비!$B$430:$B$729,예비비!$A173,예비비!$E$430:$E$729,"&lt;"&amp;EDATE(BJ$99,1))),0)</f>
        <v>0</v>
      </c>
      <c r="BK173">
        <f>IF(예비비!$R173="OK",SUMIFS(예비비!$O$430:$O$729,예비비!$B$430:$B$729,예비비!$A173,예비비!$E$430:$E$729,"&lt;"&amp;EDATE(BK$99,1),예비비!$F$430:$F$729,"결제대금비")+MAX(0,IF(예비비!$D173&lt;EDATE(BK$99,1),예비비!$E173,0)-SUMIFS(예비비!$O$430:$O$729,예비비!$B$430:$B$729,예비비!$A173,예비비!$E$430:$E$729,"&lt;"&amp;EDATE(BK$99,1))),0)</f>
        <v>0</v>
      </c>
      <c r="BL173">
        <f>IF(예비비!$R173="OK",SUMIFS(예비비!$O$430:$O$729,예비비!$B$430:$B$729,예비비!$A173,예비비!$E$430:$E$729,"&lt;"&amp;EDATE(BL$99,1),예비비!$F$430:$F$729,"결제대금비")+MAX(0,IF(예비비!$D173&lt;EDATE(BL$99,1),예비비!$E173,0)-SUMIFS(예비비!$O$430:$O$729,예비비!$B$430:$B$729,예비비!$A173,예비비!$E$430:$E$729,"&lt;"&amp;EDATE(BL$99,1))),0)</f>
        <v>0</v>
      </c>
      <c r="BM173">
        <f>IF(예비비!$R173="OK",SUMIFS(예비비!$O$430:$O$729,예비비!$B$430:$B$729,예비비!$A173,예비비!$E$430:$E$729,"&lt;"&amp;EDATE(BM$99,1),예비비!$F$430:$F$729,"결제대금비")+MAX(0,IF(예비비!$D173&lt;EDATE(BM$99,1),예비비!$E173,0)-SUMIFS(예비비!$O$430:$O$729,예비비!$B$430:$B$729,예비비!$A173,예비비!$E$430:$E$729,"&lt;"&amp;EDATE(BM$99,1))),0)</f>
        <v>0</v>
      </c>
      <c r="BN173">
        <f>IF(예비비!$R173="OK",SUMIFS(예비비!$O$430:$O$729,예비비!$B$430:$B$729,예비비!$A173,예비비!$E$430:$E$729,"&lt;"&amp;EDATE(BN$99,1),예비비!$F$430:$F$729,"결제대금비")+MAX(0,IF(예비비!$D173&lt;EDATE(BN$99,1),예비비!$E173,0)-SUMIFS(예비비!$O$430:$O$729,예비비!$B$430:$B$729,예비비!$A173,예비비!$E$430:$E$729,"&lt;"&amp;EDATE(BN$99,1))),0)</f>
        <v>0</v>
      </c>
      <c r="BO173">
        <f>IF(예비비!$R173="OK",SUMIFS(예비비!$O$430:$O$729,예비비!$B$430:$B$729,예비비!$A173,예비비!$E$430:$E$729,"&lt;"&amp;EDATE(BO$99,1),예비비!$F$430:$F$729,"결제대금비")+MAX(0,IF(예비비!$D173&lt;EDATE(BO$99,1),예비비!$E173,0)-SUMIFS(예비비!$O$430:$O$729,예비비!$B$430:$B$729,예비비!$A173,예비비!$E$430:$E$729,"&lt;"&amp;EDATE(BO$99,1))),0)</f>
        <v>0</v>
      </c>
      <c r="BP173">
        <f>IF(예비비!$R173="OK",SUMIFS(예비비!$O$430:$O$729,예비비!$B$430:$B$729,예비비!$A173,예비비!$E$430:$E$729,"&lt;"&amp;EDATE(BP$99,1),예비비!$F$430:$F$729,"결제대금비")+MAX(0,IF(예비비!$D173&lt;EDATE(BP$99,1),예비비!$E173,0)-SUMIFS(예비비!$O$430:$O$729,예비비!$B$430:$B$729,예비비!$A173,예비비!$E$430:$E$729,"&lt;"&amp;EDATE(BP$99,1))),0)</f>
        <v>0</v>
      </c>
      <c r="BQ173">
        <f>IF(예비비!$R173="OK",SUMIFS(예비비!$O$430:$O$729,예비비!$B$430:$B$729,예비비!$A173,예비비!$E$430:$E$729,"&lt;"&amp;EDATE(BQ$99,1),예비비!$F$430:$F$729,"결제대금비")+MAX(0,IF(예비비!$D173&lt;EDATE(BQ$99,1),예비비!$E173,0)-SUMIFS(예비비!$O$430:$O$729,예비비!$B$430:$B$729,예비비!$A173,예비비!$E$430:$E$729,"&lt;"&amp;EDATE(BQ$99,1))),0)</f>
        <v>0</v>
      </c>
      <c r="BR173">
        <f>IF(예비비!$R173="OK",SUMIFS(예비비!$O$430:$O$729,예비비!$B$430:$B$729,예비비!$A173,예비비!$E$430:$E$729,"&lt;"&amp;EDATE(BR$99,1),예비비!$F$430:$F$729,"결제대금비")+MAX(0,IF(예비비!$D173&lt;EDATE(BR$99,1),예비비!$E173,0)-SUMIFS(예비비!$O$430:$O$729,예비비!$B$430:$B$729,예비비!$A173,예비비!$E$430:$E$729,"&lt;"&amp;EDATE(BR$99,1))),0)</f>
        <v>0</v>
      </c>
      <c r="BS173">
        <f>IF(예비비!$R173="OK",SUMIFS(예비비!$O$430:$O$729,예비비!$B$430:$B$729,예비비!$A173,예비비!$E$430:$E$729,"&lt;"&amp;EDATE(BS$99,1),예비비!$F$430:$F$729,"결제대금비")+MAX(0,IF(예비비!$D173&lt;EDATE(BS$99,1),예비비!$E173,0)-SUMIFS(예비비!$O$430:$O$729,예비비!$B$430:$B$729,예비비!$A173,예비비!$E$430:$E$729,"&lt;"&amp;EDATE(BS$99,1))),0)</f>
        <v>0</v>
      </c>
      <c r="BT173">
        <f>IF(예비비!$R173="OK",SUMIFS(예비비!$O$430:$O$729,예비비!$B$430:$B$729,예비비!$A173,예비비!$E$430:$E$729,"&lt;"&amp;EDATE(BT$99,1),예비비!$F$430:$F$729,"결제대금비")+MAX(0,IF(예비비!$D173&lt;EDATE(BT$99,1),예비비!$E173,0)-SUMIFS(예비비!$O$430:$O$729,예비비!$B$430:$B$729,예비비!$A173,예비비!$E$430:$E$729,"&lt;"&amp;EDATE(BT$99,1))),0)</f>
        <v>0</v>
      </c>
      <c r="BU173">
        <f>IF(예비비!$R173="OK",SUMIFS(예비비!$O$430:$O$729,예비비!$B$430:$B$729,예비비!$A173,예비비!$E$430:$E$729,"&lt;"&amp;EDATE(BU$99,1),예비비!$F$430:$F$729,"결제대금비")+MAX(0,IF(예비비!$D173&lt;EDATE(BU$99,1),예비비!$E173,0)-SUMIFS(예비비!$O$430:$O$729,예비비!$B$430:$B$729,예비비!$A173,예비비!$E$430:$E$729,"&lt;"&amp;EDATE(BU$99,1))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  <c r="BI174">
        <f>IF(예비비!$R174="OK",SUMIFS(예비비!$O$430:$O$729,예비비!$B$430:$B$729,예비비!$A174,예비비!$E$430:$E$729,"&lt;"&amp;EDATE(BI$99,1),예비비!$F$430:$F$729,"결제대금비")+MAX(0,IF(예비비!$D174&lt;EDATE(BI$99,1),예비비!$E174,0)-SUMIFS(예비비!$O$430:$O$729,예비비!$B$430:$B$729,예비비!$A174,예비비!$E$430:$E$729,"&lt;"&amp;EDATE(BI$99,1))),0)</f>
        <v>0</v>
      </c>
      <c r="BJ174">
        <f>IF(예비비!$R174="OK",SUMIFS(예비비!$O$430:$O$729,예비비!$B$430:$B$729,예비비!$A174,예비비!$E$430:$E$729,"&lt;"&amp;EDATE(BJ$99,1),예비비!$F$430:$F$729,"결제대금비")+MAX(0,IF(예비비!$D174&lt;EDATE(BJ$99,1),예비비!$E174,0)-SUMIFS(예비비!$O$430:$O$729,예비비!$B$430:$B$729,예비비!$A174,예비비!$E$430:$E$729,"&lt;"&amp;EDATE(BJ$99,1))),0)</f>
        <v>0</v>
      </c>
      <c r="BK174">
        <f>IF(예비비!$R174="OK",SUMIFS(예비비!$O$430:$O$729,예비비!$B$430:$B$729,예비비!$A174,예비비!$E$430:$E$729,"&lt;"&amp;EDATE(BK$99,1),예비비!$F$430:$F$729,"결제대금비")+MAX(0,IF(예비비!$D174&lt;EDATE(BK$99,1),예비비!$E174,0)-SUMIFS(예비비!$O$430:$O$729,예비비!$B$430:$B$729,예비비!$A174,예비비!$E$430:$E$729,"&lt;"&amp;EDATE(BK$99,1))),0)</f>
        <v>0</v>
      </c>
      <c r="BL174">
        <f>IF(예비비!$R174="OK",SUMIFS(예비비!$O$430:$O$729,예비비!$B$430:$B$729,예비비!$A174,예비비!$E$430:$E$729,"&lt;"&amp;EDATE(BL$99,1),예비비!$F$430:$F$729,"결제대금비")+MAX(0,IF(예비비!$D174&lt;EDATE(BL$99,1),예비비!$E174,0)-SUMIFS(예비비!$O$430:$O$729,예비비!$B$430:$B$729,예비비!$A174,예비비!$E$430:$E$729,"&lt;"&amp;EDATE(BL$99,1))),0)</f>
        <v>0</v>
      </c>
      <c r="BM174">
        <f>IF(예비비!$R174="OK",SUMIFS(예비비!$O$430:$O$729,예비비!$B$430:$B$729,예비비!$A174,예비비!$E$430:$E$729,"&lt;"&amp;EDATE(BM$99,1),예비비!$F$430:$F$729,"결제대금비")+MAX(0,IF(예비비!$D174&lt;EDATE(BM$99,1),예비비!$E174,0)-SUMIFS(예비비!$O$430:$O$729,예비비!$B$430:$B$729,예비비!$A174,예비비!$E$430:$E$729,"&lt;"&amp;EDATE(BM$99,1))),0)</f>
        <v>0</v>
      </c>
      <c r="BN174">
        <f>IF(예비비!$R174="OK",SUMIFS(예비비!$O$430:$O$729,예비비!$B$430:$B$729,예비비!$A174,예비비!$E$430:$E$729,"&lt;"&amp;EDATE(BN$99,1),예비비!$F$430:$F$729,"결제대금비")+MAX(0,IF(예비비!$D174&lt;EDATE(BN$99,1),예비비!$E174,0)-SUMIFS(예비비!$O$430:$O$729,예비비!$B$430:$B$729,예비비!$A174,예비비!$E$430:$E$729,"&lt;"&amp;EDATE(BN$99,1))),0)</f>
        <v>0</v>
      </c>
      <c r="BO174">
        <f>IF(예비비!$R174="OK",SUMIFS(예비비!$O$430:$O$729,예비비!$B$430:$B$729,예비비!$A174,예비비!$E$430:$E$729,"&lt;"&amp;EDATE(BO$99,1),예비비!$F$430:$F$729,"결제대금비")+MAX(0,IF(예비비!$D174&lt;EDATE(BO$99,1),예비비!$E174,0)-SUMIFS(예비비!$O$430:$O$729,예비비!$B$430:$B$729,예비비!$A174,예비비!$E$430:$E$729,"&lt;"&amp;EDATE(BO$99,1))),0)</f>
        <v>0</v>
      </c>
      <c r="BP174">
        <f>IF(예비비!$R174="OK",SUMIFS(예비비!$O$430:$O$729,예비비!$B$430:$B$729,예비비!$A174,예비비!$E$430:$E$729,"&lt;"&amp;EDATE(BP$99,1),예비비!$F$430:$F$729,"결제대금비")+MAX(0,IF(예비비!$D174&lt;EDATE(BP$99,1),예비비!$E174,0)-SUMIFS(예비비!$O$430:$O$729,예비비!$B$430:$B$729,예비비!$A174,예비비!$E$430:$E$729,"&lt;"&amp;EDATE(BP$99,1))),0)</f>
        <v>0</v>
      </c>
      <c r="BQ174">
        <f>IF(예비비!$R174="OK",SUMIFS(예비비!$O$430:$O$729,예비비!$B$430:$B$729,예비비!$A174,예비비!$E$430:$E$729,"&lt;"&amp;EDATE(BQ$99,1),예비비!$F$430:$F$729,"결제대금비")+MAX(0,IF(예비비!$D174&lt;EDATE(BQ$99,1),예비비!$E174,0)-SUMIFS(예비비!$O$430:$O$729,예비비!$B$430:$B$729,예비비!$A174,예비비!$E$430:$E$729,"&lt;"&amp;EDATE(BQ$99,1))),0)</f>
        <v>0</v>
      </c>
      <c r="BR174">
        <f>IF(예비비!$R174="OK",SUMIFS(예비비!$O$430:$O$729,예비비!$B$430:$B$729,예비비!$A174,예비비!$E$430:$E$729,"&lt;"&amp;EDATE(BR$99,1),예비비!$F$430:$F$729,"결제대금비")+MAX(0,IF(예비비!$D174&lt;EDATE(BR$99,1),예비비!$E174,0)-SUMIFS(예비비!$O$430:$O$729,예비비!$B$430:$B$729,예비비!$A174,예비비!$E$430:$E$729,"&lt;"&amp;EDATE(BR$99,1))),0)</f>
        <v>0</v>
      </c>
      <c r="BS174">
        <f>IF(예비비!$R174="OK",SUMIFS(예비비!$O$430:$O$729,예비비!$B$430:$B$729,예비비!$A174,예비비!$E$430:$E$729,"&lt;"&amp;EDATE(BS$99,1),예비비!$F$430:$F$729,"결제대금비")+MAX(0,IF(예비비!$D174&lt;EDATE(BS$99,1),예비비!$E174,0)-SUMIFS(예비비!$O$430:$O$729,예비비!$B$430:$B$729,예비비!$A174,예비비!$E$430:$E$729,"&lt;"&amp;EDATE(BS$99,1))),0)</f>
        <v>0</v>
      </c>
      <c r="BT174">
        <f>IF(예비비!$R174="OK",SUMIFS(예비비!$O$430:$O$729,예비비!$B$430:$B$729,예비비!$A174,예비비!$E$430:$E$729,"&lt;"&amp;EDATE(BT$99,1),예비비!$F$430:$F$729,"결제대금비")+MAX(0,IF(예비비!$D174&lt;EDATE(BT$99,1),예비비!$E174,0)-SUMIFS(예비비!$O$430:$O$729,예비비!$B$430:$B$729,예비비!$A174,예비비!$E$430:$E$729,"&lt;"&amp;EDATE(BT$99,1))),0)</f>
        <v>0</v>
      </c>
      <c r="BU174">
        <f>IF(예비비!$R174="OK",SUMIFS(예비비!$O$430:$O$729,예비비!$B$430:$B$729,예비비!$A174,예비비!$E$430:$E$729,"&lt;"&amp;EDATE(BU$99,1),예비비!$F$430:$F$729,"결제대금비")+MAX(0,IF(예비비!$D174&lt;EDATE(BU$99,1),예비비!$E174,0)-SUMIFS(예비비!$O$430:$O$729,예비비!$B$430:$B$729,예비비!$A174,예비비!$E$430:$E$729,"&lt;"&amp;EDATE(BU$99,1))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  <c r="BI175">
        <f>IF(예비비!$R175="OK",SUMIFS(예비비!$O$430:$O$729,예비비!$B$430:$B$729,예비비!$A175,예비비!$E$430:$E$729,"&lt;"&amp;EDATE(BI$99,1),예비비!$F$430:$F$729,"결제대금비")+MAX(0,IF(예비비!$D175&lt;EDATE(BI$99,1),예비비!$E175,0)-SUMIFS(예비비!$O$430:$O$729,예비비!$B$430:$B$729,예비비!$A175,예비비!$E$430:$E$729,"&lt;"&amp;EDATE(BI$99,1))),0)</f>
        <v>0</v>
      </c>
      <c r="BJ175">
        <f>IF(예비비!$R175="OK",SUMIFS(예비비!$O$430:$O$729,예비비!$B$430:$B$729,예비비!$A175,예비비!$E$430:$E$729,"&lt;"&amp;EDATE(BJ$99,1),예비비!$F$430:$F$729,"결제대금비")+MAX(0,IF(예비비!$D175&lt;EDATE(BJ$99,1),예비비!$E175,0)-SUMIFS(예비비!$O$430:$O$729,예비비!$B$430:$B$729,예비비!$A175,예비비!$E$430:$E$729,"&lt;"&amp;EDATE(BJ$99,1))),0)</f>
        <v>0</v>
      </c>
      <c r="BK175">
        <f>IF(예비비!$R175="OK",SUMIFS(예비비!$O$430:$O$729,예비비!$B$430:$B$729,예비비!$A175,예비비!$E$430:$E$729,"&lt;"&amp;EDATE(BK$99,1),예비비!$F$430:$F$729,"결제대금비")+MAX(0,IF(예비비!$D175&lt;EDATE(BK$99,1),예비비!$E175,0)-SUMIFS(예비비!$O$430:$O$729,예비비!$B$430:$B$729,예비비!$A175,예비비!$E$430:$E$729,"&lt;"&amp;EDATE(BK$99,1))),0)</f>
        <v>0</v>
      </c>
      <c r="BL175">
        <f>IF(예비비!$R175="OK",SUMIFS(예비비!$O$430:$O$729,예비비!$B$430:$B$729,예비비!$A175,예비비!$E$430:$E$729,"&lt;"&amp;EDATE(BL$99,1),예비비!$F$430:$F$729,"결제대금비")+MAX(0,IF(예비비!$D175&lt;EDATE(BL$99,1),예비비!$E175,0)-SUMIFS(예비비!$O$430:$O$729,예비비!$B$430:$B$729,예비비!$A175,예비비!$E$430:$E$729,"&lt;"&amp;EDATE(BL$99,1))),0)</f>
        <v>0</v>
      </c>
      <c r="BM175">
        <f>IF(예비비!$R175="OK",SUMIFS(예비비!$O$430:$O$729,예비비!$B$430:$B$729,예비비!$A175,예비비!$E$430:$E$729,"&lt;"&amp;EDATE(BM$99,1),예비비!$F$430:$F$729,"결제대금비")+MAX(0,IF(예비비!$D175&lt;EDATE(BM$99,1),예비비!$E175,0)-SUMIFS(예비비!$O$430:$O$729,예비비!$B$430:$B$729,예비비!$A175,예비비!$E$430:$E$729,"&lt;"&amp;EDATE(BM$99,1))),0)</f>
        <v>0</v>
      </c>
      <c r="BN175">
        <f>IF(예비비!$R175="OK",SUMIFS(예비비!$O$430:$O$729,예비비!$B$430:$B$729,예비비!$A175,예비비!$E$430:$E$729,"&lt;"&amp;EDATE(BN$99,1),예비비!$F$430:$F$729,"결제대금비")+MAX(0,IF(예비비!$D175&lt;EDATE(BN$99,1),예비비!$E175,0)-SUMIFS(예비비!$O$430:$O$729,예비비!$B$430:$B$729,예비비!$A175,예비비!$E$430:$E$729,"&lt;"&amp;EDATE(BN$99,1))),0)</f>
        <v>0</v>
      </c>
      <c r="BO175">
        <f>IF(예비비!$R175="OK",SUMIFS(예비비!$O$430:$O$729,예비비!$B$430:$B$729,예비비!$A175,예비비!$E$430:$E$729,"&lt;"&amp;EDATE(BO$99,1),예비비!$F$430:$F$729,"결제대금비")+MAX(0,IF(예비비!$D175&lt;EDATE(BO$99,1),예비비!$E175,0)-SUMIFS(예비비!$O$430:$O$729,예비비!$B$430:$B$729,예비비!$A175,예비비!$E$430:$E$729,"&lt;"&amp;EDATE(BO$99,1))),0)</f>
        <v>0</v>
      </c>
      <c r="BP175">
        <f>IF(예비비!$R175="OK",SUMIFS(예비비!$O$430:$O$729,예비비!$B$430:$B$729,예비비!$A175,예비비!$E$430:$E$729,"&lt;"&amp;EDATE(BP$99,1),예비비!$F$430:$F$729,"결제대금비")+MAX(0,IF(예비비!$D175&lt;EDATE(BP$99,1),예비비!$E175,0)-SUMIFS(예비비!$O$430:$O$729,예비비!$B$430:$B$729,예비비!$A175,예비비!$E$430:$E$729,"&lt;"&amp;EDATE(BP$99,1))),0)</f>
        <v>0</v>
      </c>
      <c r="BQ175">
        <f>IF(예비비!$R175="OK",SUMIFS(예비비!$O$430:$O$729,예비비!$B$430:$B$729,예비비!$A175,예비비!$E$430:$E$729,"&lt;"&amp;EDATE(BQ$99,1),예비비!$F$430:$F$729,"결제대금비")+MAX(0,IF(예비비!$D175&lt;EDATE(BQ$99,1),예비비!$E175,0)-SUMIFS(예비비!$O$430:$O$729,예비비!$B$430:$B$729,예비비!$A175,예비비!$E$430:$E$729,"&lt;"&amp;EDATE(BQ$99,1))),0)</f>
        <v>0</v>
      </c>
      <c r="BR175">
        <f>IF(예비비!$R175="OK",SUMIFS(예비비!$O$430:$O$729,예비비!$B$430:$B$729,예비비!$A175,예비비!$E$430:$E$729,"&lt;"&amp;EDATE(BR$99,1),예비비!$F$430:$F$729,"결제대금비")+MAX(0,IF(예비비!$D175&lt;EDATE(BR$99,1),예비비!$E175,0)-SUMIFS(예비비!$O$430:$O$729,예비비!$B$430:$B$729,예비비!$A175,예비비!$E$430:$E$729,"&lt;"&amp;EDATE(BR$99,1))),0)</f>
        <v>0</v>
      </c>
      <c r="BS175">
        <f>IF(예비비!$R175="OK",SUMIFS(예비비!$O$430:$O$729,예비비!$B$430:$B$729,예비비!$A175,예비비!$E$430:$E$729,"&lt;"&amp;EDATE(BS$99,1),예비비!$F$430:$F$729,"결제대금비")+MAX(0,IF(예비비!$D175&lt;EDATE(BS$99,1),예비비!$E175,0)-SUMIFS(예비비!$O$430:$O$729,예비비!$B$430:$B$729,예비비!$A175,예비비!$E$430:$E$729,"&lt;"&amp;EDATE(BS$99,1))),0)</f>
        <v>0</v>
      </c>
      <c r="BT175">
        <f>IF(예비비!$R175="OK",SUMIFS(예비비!$O$430:$O$729,예비비!$B$430:$B$729,예비비!$A175,예비비!$E$430:$E$729,"&lt;"&amp;EDATE(BT$99,1),예비비!$F$430:$F$729,"결제대금비")+MAX(0,IF(예비비!$D175&lt;EDATE(BT$99,1),예비비!$E175,0)-SUMIFS(예비비!$O$430:$O$729,예비비!$B$430:$B$729,예비비!$A175,예비비!$E$430:$E$729,"&lt;"&amp;EDATE(BT$99,1))),0)</f>
        <v>0</v>
      </c>
      <c r="BU175">
        <f>IF(예비비!$R175="OK",SUMIFS(예비비!$O$430:$O$729,예비비!$B$430:$B$729,예비비!$A175,예비비!$E$430:$E$729,"&lt;"&amp;EDATE(BU$99,1),예비비!$F$430:$F$729,"결제대금비")+MAX(0,IF(예비비!$D175&lt;EDATE(BU$99,1),예비비!$E175,0)-SUMIFS(예비비!$O$430:$O$729,예비비!$B$430:$B$729,예비비!$A175,예비비!$E$430:$E$729,"&lt;"&amp;EDATE(BU$99,1))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  <c r="BI176">
        <f>IF(예비비!$R176="OK",SUMIFS(예비비!$O$430:$O$729,예비비!$B$430:$B$729,예비비!$A176,예비비!$E$430:$E$729,"&lt;"&amp;EDATE(BI$99,1),예비비!$F$430:$F$729,"결제대금비")+MAX(0,IF(예비비!$D176&lt;EDATE(BI$99,1),예비비!$E176,0)-SUMIFS(예비비!$O$430:$O$729,예비비!$B$430:$B$729,예비비!$A176,예비비!$E$430:$E$729,"&lt;"&amp;EDATE(BI$99,1))),0)</f>
        <v>0</v>
      </c>
      <c r="BJ176">
        <f>IF(예비비!$R176="OK",SUMIFS(예비비!$O$430:$O$729,예비비!$B$430:$B$729,예비비!$A176,예비비!$E$430:$E$729,"&lt;"&amp;EDATE(BJ$99,1),예비비!$F$430:$F$729,"결제대금비")+MAX(0,IF(예비비!$D176&lt;EDATE(BJ$99,1),예비비!$E176,0)-SUMIFS(예비비!$O$430:$O$729,예비비!$B$430:$B$729,예비비!$A176,예비비!$E$430:$E$729,"&lt;"&amp;EDATE(BJ$99,1))),0)</f>
        <v>0</v>
      </c>
      <c r="BK176">
        <f>IF(예비비!$R176="OK",SUMIFS(예비비!$O$430:$O$729,예비비!$B$430:$B$729,예비비!$A176,예비비!$E$430:$E$729,"&lt;"&amp;EDATE(BK$99,1),예비비!$F$430:$F$729,"결제대금비")+MAX(0,IF(예비비!$D176&lt;EDATE(BK$99,1),예비비!$E176,0)-SUMIFS(예비비!$O$430:$O$729,예비비!$B$430:$B$729,예비비!$A176,예비비!$E$430:$E$729,"&lt;"&amp;EDATE(BK$99,1))),0)</f>
        <v>0</v>
      </c>
      <c r="BL176">
        <f>IF(예비비!$R176="OK",SUMIFS(예비비!$O$430:$O$729,예비비!$B$430:$B$729,예비비!$A176,예비비!$E$430:$E$729,"&lt;"&amp;EDATE(BL$99,1),예비비!$F$430:$F$729,"결제대금비")+MAX(0,IF(예비비!$D176&lt;EDATE(BL$99,1),예비비!$E176,0)-SUMIFS(예비비!$O$430:$O$729,예비비!$B$430:$B$729,예비비!$A176,예비비!$E$430:$E$729,"&lt;"&amp;EDATE(BL$99,1))),0)</f>
        <v>0</v>
      </c>
      <c r="BM176">
        <f>IF(예비비!$R176="OK",SUMIFS(예비비!$O$430:$O$729,예비비!$B$430:$B$729,예비비!$A176,예비비!$E$430:$E$729,"&lt;"&amp;EDATE(BM$99,1),예비비!$F$430:$F$729,"결제대금비")+MAX(0,IF(예비비!$D176&lt;EDATE(BM$99,1),예비비!$E176,0)-SUMIFS(예비비!$O$430:$O$729,예비비!$B$430:$B$729,예비비!$A176,예비비!$E$430:$E$729,"&lt;"&amp;EDATE(BM$99,1))),0)</f>
        <v>0</v>
      </c>
      <c r="BN176">
        <f>IF(예비비!$R176="OK",SUMIFS(예비비!$O$430:$O$729,예비비!$B$430:$B$729,예비비!$A176,예비비!$E$430:$E$729,"&lt;"&amp;EDATE(BN$99,1),예비비!$F$430:$F$729,"결제대금비")+MAX(0,IF(예비비!$D176&lt;EDATE(BN$99,1),예비비!$E176,0)-SUMIFS(예비비!$O$430:$O$729,예비비!$B$430:$B$729,예비비!$A176,예비비!$E$430:$E$729,"&lt;"&amp;EDATE(BN$99,1))),0)</f>
        <v>0</v>
      </c>
      <c r="BO176">
        <f>IF(예비비!$R176="OK",SUMIFS(예비비!$O$430:$O$729,예비비!$B$430:$B$729,예비비!$A176,예비비!$E$430:$E$729,"&lt;"&amp;EDATE(BO$99,1),예비비!$F$430:$F$729,"결제대금비")+MAX(0,IF(예비비!$D176&lt;EDATE(BO$99,1),예비비!$E176,0)-SUMIFS(예비비!$O$430:$O$729,예비비!$B$430:$B$729,예비비!$A176,예비비!$E$430:$E$729,"&lt;"&amp;EDATE(BO$99,1))),0)</f>
        <v>0</v>
      </c>
      <c r="BP176">
        <f>IF(예비비!$R176="OK",SUMIFS(예비비!$O$430:$O$729,예비비!$B$430:$B$729,예비비!$A176,예비비!$E$430:$E$729,"&lt;"&amp;EDATE(BP$99,1),예비비!$F$430:$F$729,"결제대금비")+MAX(0,IF(예비비!$D176&lt;EDATE(BP$99,1),예비비!$E176,0)-SUMIFS(예비비!$O$430:$O$729,예비비!$B$430:$B$729,예비비!$A176,예비비!$E$430:$E$729,"&lt;"&amp;EDATE(BP$99,1))),0)</f>
        <v>0</v>
      </c>
      <c r="BQ176">
        <f>IF(예비비!$R176="OK",SUMIFS(예비비!$O$430:$O$729,예비비!$B$430:$B$729,예비비!$A176,예비비!$E$430:$E$729,"&lt;"&amp;EDATE(BQ$99,1),예비비!$F$430:$F$729,"결제대금비")+MAX(0,IF(예비비!$D176&lt;EDATE(BQ$99,1),예비비!$E176,0)-SUMIFS(예비비!$O$430:$O$729,예비비!$B$430:$B$729,예비비!$A176,예비비!$E$430:$E$729,"&lt;"&amp;EDATE(BQ$99,1))),0)</f>
        <v>0</v>
      </c>
      <c r="BR176">
        <f>IF(예비비!$R176="OK",SUMIFS(예비비!$O$430:$O$729,예비비!$B$430:$B$729,예비비!$A176,예비비!$E$430:$E$729,"&lt;"&amp;EDATE(BR$99,1),예비비!$F$430:$F$729,"결제대금비")+MAX(0,IF(예비비!$D176&lt;EDATE(BR$99,1),예비비!$E176,0)-SUMIFS(예비비!$O$430:$O$729,예비비!$B$430:$B$729,예비비!$A176,예비비!$E$430:$E$729,"&lt;"&amp;EDATE(BR$99,1))),0)</f>
        <v>0</v>
      </c>
      <c r="BS176">
        <f>IF(예비비!$R176="OK",SUMIFS(예비비!$O$430:$O$729,예비비!$B$430:$B$729,예비비!$A176,예비비!$E$430:$E$729,"&lt;"&amp;EDATE(BS$99,1),예비비!$F$430:$F$729,"결제대금비")+MAX(0,IF(예비비!$D176&lt;EDATE(BS$99,1),예비비!$E176,0)-SUMIFS(예비비!$O$430:$O$729,예비비!$B$430:$B$729,예비비!$A176,예비비!$E$430:$E$729,"&lt;"&amp;EDATE(BS$99,1))),0)</f>
        <v>0</v>
      </c>
      <c r="BT176">
        <f>IF(예비비!$R176="OK",SUMIFS(예비비!$O$430:$O$729,예비비!$B$430:$B$729,예비비!$A176,예비비!$E$430:$E$729,"&lt;"&amp;EDATE(BT$99,1),예비비!$F$430:$F$729,"결제대금비")+MAX(0,IF(예비비!$D176&lt;EDATE(BT$99,1),예비비!$E176,0)-SUMIFS(예비비!$O$430:$O$729,예비비!$B$430:$B$729,예비비!$A176,예비비!$E$430:$E$729,"&lt;"&amp;EDATE(BT$99,1))),0)</f>
        <v>0</v>
      </c>
      <c r="BU176">
        <f>IF(예비비!$R176="OK",SUMIFS(예비비!$O$430:$O$729,예비비!$B$430:$B$729,예비비!$A176,예비비!$E$430:$E$729,"&lt;"&amp;EDATE(BU$99,1),예비비!$F$430:$F$729,"결제대금비")+MAX(0,IF(예비비!$D176&lt;EDATE(BU$99,1),예비비!$E176,0)-SUMIFS(예비비!$O$430:$O$729,예비비!$B$430:$B$729,예비비!$A176,예비비!$E$430:$E$729,"&lt;"&amp;EDATE(BU$99,1))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  <c r="BI177">
        <f>IF(예비비!$R177="OK",SUMIFS(예비비!$O$430:$O$729,예비비!$B$430:$B$729,예비비!$A177,예비비!$E$430:$E$729,"&lt;"&amp;EDATE(BI$99,1),예비비!$F$430:$F$729,"결제대금비")+MAX(0,IF(예비비!$D177&lt;EDATE(BI$99,1),예비비!$E177,0)-SUMIFS(예비비!$O$430:$O$729,예비비!$B$430:$B$729,예비비!$A177,예비비!$E$430:$E$729,"&lt;"&amp;EDATE(BI$99,1))),0)</f>
        <v>0</v>
      </c>
      <c r="BJ177">
        <f>IF(예비비!$R177="OK",SUMIFS(예비비!$O$430:$O$729,예비비!$B$430:$B$729,예비비!$A177,예비비!$E$430:$E$729,"&lt;"&amp;EDATE(BJ$99,1),예비비!$F$430:$F$729,"결제대금비")+MAX(0,IF(예비비!$D177&lt;EDATE(BJ$99,1),예비비!$E177,0)-SUMIFS(예비비!$O$430:$O$729,예비비!$B$430:$B$729,예비비!$A177,예비비!$E$430:$E$729,"&lt;"&amp;EDATE(BJ$99,1))),0)</f>
        <v>0</v>
      </c>
      <c r="BK177">
        <f>IF(예비비!$R177="OK",SUMIFS(예비비!$O$430:$O$729,예비비!$B$430:$B$729,예비비!$A177,예비비!$E$430:$E$729,"&lt;"&amp;EDATE(BK$99,1),예비비!$F$430:$F$729,"결제대금비")+MAX(0,IF(예비비!$D177&lt;EDATE(BK$99,1),예비비!$E177,0)-SUMIFS(예비비!$O$430:$O$729,예비비!$B$430:$B$729,예비비!$A177,예비비!$E$430:$E$729,"&lt;"&amp;EDATE(BK$99,1))),0)</f>
        <v>0</v>
      </c>
      <c r="BL177">
        <f>IF(예비비!$R177="OK",SUMIFS(예비비!$O$430:$O$729,예비비!$B$430:$B$729,예비비!$A177,예비비!$E$430:$E$729,"&lt;"&amp;EDATE(BL$99,1),예비비!$F$430:$F$729,"결제대금비")+MAX(0,IF(예비비!$D177&lt;EDATE(BL$99,1),예비비!$E177,0)-SUMIFS(예비비!$O$430:$O$729,예비비!$B$430:$B$729,예비비!$A177,예비비!$E$430:$E$729,"&lt;"&amp;EDATE(BL$99,1))),0)</f>
        <v>0</v>
      </c>
      <c r="BM177">
        <f>IF(예비비!$R177="OK",SUMIFS(예비비!$O$430:$O$729,예비비!$B$430:$B$729,예비비!$A177,예비비!$E$430:$E$729,"&lt;"&amp;EDATE(BM$99,1),예비비!$F$430:$F$729,"결제대금비")+MAX(0,IF(예비비!$D177&lt;EDATE(BM$99,1),예비비!$E177,0)-SUMIFS(예비비!$O$430:$O$729,예비비!$B$430:$B$729,예비비!$A177,예비비!$E$430:$E$729,"&lt;"&amp;EDATE(BM$99,1))),0)</f>
        <v>0</v>
      </c>
      <c r="BN177">
        <f>IF(예비비!$R177="OK",SUMIFS(예비비!$O$430:$O$729,예비비!$B$430:$B$729,예비비!$A177,예비비!$E$430:$E$729,"&lt;"&amp;EDATE(BN$99,1),예비비!$F$430:$F$729,"결제대금비")+MAX(0,IF(예비비!$D177&lt;EDATE(BN$99,1),예비비!$E177,0)-SUMIFS(예비비!$O$430:$O$729,예비비!$B$430:$B$729,예비비!$A177,예비비!$E$430:$E$729,"&lt;"&amp;EDATE(BN$99,1))),0)</f>
        <v>0</v>
      </c>
      <c r="BO177">
        <f>IF(예비비!$R177="OK",SUMIFS(예비비!$O$430:$O$729,예비비!$B$430:$B$729,예비비!$A177,예비비!$E$430:$E$729,"&lt;"&amp;EDATE(BO$99,1),예비비!$F$430:$F$729,"결제대금비")+MAX(0,IF(예비비!$D177&lt;EDATE(BO$99,1),예비비!$E177,0)-SUMIFS(예비비!$O$430:$O$729,예비비!$B$430:$B$729,예비비!$A177,예비비!$E$430:$E$729,"&lt;"&amp;EDATE(BO$99,1))),0)</f>
        <v>0</v>
      </c>
      <c r="BP177">
        <f>IF(예비비!$R177="OK",SUMIFS(예비비!$O$430:$O$729,예비비!$B$430:$B$729,예비비!$A177,예비비!$E$430:$E$729,"&lt;"&amp;EDATE(BP$99,1),예비비!$F$430:$F$729,"결제대금비")+MAX(0,IF(예비비!$D177&lt;EDATE(BP$99,1),예비비!$E177,0)-SUMIFS(예비비!$O$430:$O$729,예비비!$B$430:$B$729,예비비!$A177,예비비!$E$430:$E$729,"&lt;"&amp;EDATE(BP$99,1))),0)</f>
        <v>0</v>
      </c>
      <c r="BQ177">
        <f>IF(예비비!$R177="OK",SUMIFS(예비비!$O$430:$O$729,예비비!$B$430:$B$729,예비비!$A177,예비비!$E$430:$E$729,"&lt;"&amp;EDATE(BQ$99,1),예비비!$F$430:$F$729,"결제대금비")+MAX(0,IF(예비비!$D177&lt;EDATE(BQ$99,1),예비비!$E177,0)-SUMIFS(예비비!$O$430:$O$729,예비비!$B$430:$B$729,예비비!$A177,예비비!$E$430:$E$729,"&lt;"&amp;EDATE(BQ$99,1))),0)</f>
        <v>0</v>
      </c>
      <c r="BR177">
        <f>IF(예비비!$R177="OK",SUMIFS(예비비!$O$430:$O$729,예비비!$B$430:$B$729,예비비!$A177,예비비!$E$430:$E$729,"&lt;"&amp;EDATE(BR$99,1),예비비!$F$430:$F$729,"결제대금비")+MAX(0,IF(예비비!$D177&lt;EDATE(BR$99,1),예비비!$E177,0)-SUMIFS(예비비!$O$430:$O$729,예비비!$B$430:$B$729,예비비!$A177,예비비!$E$430:$E$729,"&lt;"&amp;EDATE(BR$99,1))),0)</f>
        <v>0</v>
      </c>
      <c r="BS177">
        <f>IF(예비비!$R177="OK",SUMIFS(예비비!$O$430:$O$729,예비비!$B$430:$B$729,예비비!$A177,예비비!$E$430:$E$729,"&lt;"&amp;EDATE(BS$99,1),예비비!$F$430:$F$729,"결제대금비")+MAX(0,IF(예비비!$D177&lt;EDATE(BS$99,1),예비비!$E177,0)-SUMIFS(예비비!$O$430:$O$729,예비비!$B$430:$B$729,예비비!$A177,예비비!$E$430:$E$729,"&lt;"&amp;EDATE(BS$99,1))),0)</f>
        <v>0</v>
      </c>
      <c r="BT177">
        <f>IF(예비비!$R177="OK",SUMIFS(예비비!$O$430:$O$729,예비비!$B$430:$B$729,예비비!$A177,예비비!$E$430:$E$729,"&lt;"&amp;EDATE(BT$99,1),예비비!$F$430:$F$729,"결제대금비")+MAX(0,IF(예비비!$D177&lt;EDATE(BT$99,1),예비비!$E177,0)-SUMIFS(예비비!$O$430:$O$729,예비비!$B$430:$B$729,예비비!$A177,예비비!$E$430:$E$729,"&lt;"&amp;EDATE(BT$99,1))),0)</f>
        <v>0</v>
      </c>
      <c r="BU177">
        <f>IF(예비비!$R177="OK",SUMIFS(예비비!$O$430:$O$729,예비비!$B$430:$B$729,예비비!$A177,예비비!$E$430:$E$729,"&lt;"&amp;EDATE(BU$99,1),예비비!$F$430:$F$729,"결제대금비")+MAX(0,IF(예비비!$D177&lt;EDATE(BU$99,1),예비비!$E177,0)-SUMIFS(예비비!$O$430:$O$729,예비비!$B$430:$B$729,예비비!$A177,예비비!$E$430:$E$729,"&lt;"&amp;EDATE(BU$99,1))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  <c r="BI178">
        <f>IF(예비비!$R178="OK",SUMIFS(예비비!$O$430:$O$729,예비비!$B$430:$B$729,예비비!$A178,예비비!$E$430:$E$729,"&lt;"&amp;EDATE(BI$99,1),예비비!$F$430:$F$729,"결제대금비")+MAX(0,IF(예비비!$D178&lt;EDATE(BI$99,1),예비비!$E178,0)-SUMIFS(예비비!$O$430:$O$729,예비비!$B$430:$B$729,예비비!$A178,예비비!$E$430:$E$729,"&lt;"&amp;EDATE(BI$99,1))),0)</f>
        <v>0</v>
      </c>
      <c r="BJ178">
        <f>IF(예비비!$R178="OK",SUMIFS(예비비!$O$430:$O$729,예비비!$B$430:$B$729,예비비!$A178,예비비!$E$430:$E$729,"&lt;"&amp;EDATE(BJ$99,1),예비비!$F$430:$F$729,"결제대금비")+MAX(0,IF(예비비!$D178&lt;EDATE(BJ$99,1),예비비!$E178,0)-SUMIFS(예비비!$O$430:$O$729,예비비!$B$430:$B$729,예비비!$A178,예비비!$E$430:$E$729,"&lt;"&amp;EDATE(BJ$99,1))),0)</f>
        <v>0</v>
      </c>
      <c r="BK178">
        <f>IF(예비비!$R178="OK",SUMIFS(예비비!$O$430:$O$729,예비비!$B$430:$B$729,예비비!$A178,예비비!$E$430:$E$729,"&lt;"&amp;EDATE(BK$99,1),예비비!$F$430:$F$729,"결제대금비")+MAX(0,IF(예비비!$D178&lt;EDATE(BK$99,1),예비비!$E178,0)-SUMIFS(예비비!$O$430:$O$729,예비비!$B$430:$B$729,예비비!$A178,예비비!$E$430:$E$729,"&lt;"&amp;EDATE(BK$99,1))),0)</f>
        <v>0</v>
      </c>
      <c r="BL178">
        <f>IF(예비비!$R178="OK",SUMIFS(예비비!$O$430:$O$729,예비비!$B$430:$B$729,예비비!$A178,예비비!$E$430:$E$729,"&lt;"&amp;EDATE(BL$99,1),예비비!$F$430:$F$729,"결제대금비")+MAX(0,IF(예비비!$D178&lt;EDATE(BL$99,1),예비비!$E178,0)-SUMIFS(예비비!$O$430:$O$729,예비비!$B$430:$B$729,예비비!$A178,예비비!$E$430:$E$729,"&lt;"&amp;EDATE(BL$99,1))),0)</f>
        <v>0</v>
      </c>
      <c r="BM178">
        <f>IF(예비비!$R178="OK",SUMIFS(예비비!$O$430:$O$729,예비비!$B$430:$B$729,예비비!$A178,예비비!$E$430:$E$729,"&lt;"&amp;EDATE(BM$99,1),예비비!$F$430:$F$729,"결제대금비")+MAX(0,IF(예비비!$D178&lt;EDATE(BM$99,1),예비비!$E178,0)-SUMIFS(예비비!$O$430:$O$729,예비비!$B$430:$B$729,예비비!$A178,예비비!$E$430:$E$729,"&lt;"&amp;EDATE(BM$99,1))),0)</f>
        <v>0</v>
      </c>
      <c r="BN178">
        <f>IF(예비비!$R178="OK",SUMIFS(예비비!$O$430:$O$729,예비비!$B$430:$B$729,예비비!$A178,예비비!$E$430:$E$729,"&lt;"&amp;EDATE(BN$99,1),예비비!$F$430:$F$729,"결제대금비")+MAX(0,IF(예비비!$D178&lt;EDATE(BN$99,1),예비비!$E178,0)-SUMIFS(예비비!$O$430:$O$729,예비비!$B$430:$B$729,예비비!$A178,예비비!$E$430:$E$729,"&lt;"&amp;EDATE(BN$99,1))),0)</f>
        <v>0</v>
      </c>
      <c r="BO178">
        <f>IF(예비비!$R178="OK",SUMIFS(예비비!$O$430:$O$729,예비비!$B$430:$B$729,예비비!$A178,예비비!$E$430:$E$729,"&lt;"&amp;EDATE(BO$99,1),예비비!$F$430:$F$729,"결제대금비")+MAX(0,IF(예비비!$D178&lt;EDATE(BO$99,1),예비비!$E178,0)-SUMIFS(예비비!$O$430:$O$729,예비비!$B$430:$B$729,예비비!$A178,예비비!$E$430:$E$729,"&lt;"&amp;EDATE(BO$99,1))),0)</f>
        <v>0</v>
      </c>
      <c r="BP178">
        <f>IF(예비비!$R178="OK",SUMIFS(예비비!$O$430:$O$729,예비비!$B$430:$B$729,예비비!$A178,예비비!$E$430:$E$729,"&lt;"&amp;EDATE(BP$99,1),예비비!$F$430:$F$729,"결제대금비")+MAX(0,IF(예비비!$D178&lt;EDATE(BP$99,1),예비비!$E178,0)-SUMIFS(예비비!$O$430:$O$729,예비비!$B$430:$B$729,예비비!$A178,예비비!$E$430:$E$729,"&lt;"&amp;EDATE(BP$99,1))),0)</f>
        <v>0</v>
      </c>
      <c r="BQ178">
        <f>IF(예비비!$R178="OK",SUMIFS(예비비!$O$430:$O$729,예비비!$B$430:$B$729,예비비!$A178,예비비!$E$430:$E$729,"&lt;"&amp;EDATE(BQ$99,1),예비비!$F$430:$F$729,"결제대금비")+MAX(0,IF(예비비!$D178&lt;EDATE(BQ$99,1),예비비!$E178,0)-SUMIFS(예비비!$O$430:$O$729,예비비!$B$430:$B$729,예비비!$A178,예비비!$E$430:$E$729,"&lt;"&amp;EDATE(BQ$99,1))),0)</f>
        <v>0</v>
      </c>
      <c r="BR178">
        <f>IF(예비비!$R178="OK",SUMIFS(예비비!$O$430:$O$729,예비비!$B$430:$B$729,예비비!$A178,예비비!$E$430:$E$729,"&lt;"&amp;EDATE(BR$99,1),예비비!$F$430:$F$729,"결제대금비")+MAX(0,IF(예비비!$D178&lt;EDATE(BR$99,1),예비비!$E178,0)-SUMIFS(예비비!$O$430:$O$729,예비비!$B$430:$B$729,예비비!$A178,예비비!$E$430:$E$729,"&lt;"&amp;EDATE(BR$99,1))),0)</f>
        <v>0</v>
      </c>
      <c r="BS178">
        <f>IF(예비비!$R178="OK",SUMIFS(예비비!$O$430:$O$729,예비비!$B$430:$B$729,예비비!$A178,예비비!$E$430:$E$729,"&lt;"&amp;EDATE(BS$99,1),예비비!$F$430:$F$729,"결제대금비")+MAX(0,IF(예비비!$D178&lt;EDATE(BS$99,1),예비비!$E178,0)-SUMIFS(예비비!$O$430:$O$729,예비비!$B$430:$B$729,예비비!$A178,예비비!$E$430:$E$729,"&lt;"&amp;EDATE(BS$99,1))),0)</f>
        <v>0</v>
      </c>
      <c r="BT178">
        <f>IF(예비비!$R178="OK",SUMIFS(예비비!$O$430:$O$729,예비비!$B$430:$B$729,예비비!$A178,예비비!$E$430:$E$729,"&lt;"&amp;EDATE(BT$99,1),예비비!$F$430:$F$729,"결제대금비")+MAX(0,IF(예비비!$D178&lt;EDATE(BT$99,1),예비비!$E178,0)-SUMIFS(예비비!$O$430:$O$729,예비비!$B$430:$B$729,예비비!$A178,예비비!$E$430:$E$729,"&lt;"&amp;EDATE(BT$99,1))),0)</f>
        <v>0</v>
      </c>
      <c r="BU178">
        <f>IF(예비비!$R178="OK",SUMIFS(예비비!$O$430:$O$729,예비비!$B$430:$B$729,예비비!$A178,예비비!$E$430:$E$729,"&lt;"&amp;EDATE(BU$99,1),예비비!$F$430:$F$729,"결제대금비")+MAX(0,IF(예비비!$D178&lt;EDATE(BU$99,1),예비비!$E178,0)-SUMIFS(예비비!$O$430:$O$729,예비비!$B$430:$B$729,예비비!$A178,예비비!$E$430:$E$729,"&lt;"&amp;EDATE(BU$99,1))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  <c r="BI179">
        <f>IF(예비비!$R179="OK",SUMIFS(예비비!$O$430:$O$729,예비비!$B$430:$B$729,예비비!$A179,예비비!$E$430:$E$729,"&lt;"&amp;EDATE(BI$99,1),예비비!$F$430:$F$729,"결제대금비")+MAX(0,IF(예비비!$D179&lt;EDATE(BI$99,1),예비비!$E179,0)-SUMIFS(예비비!$O$430:$O$729,예비비!$B$430:$B$729,예비비!$A179,예비비!$E$430:$E$729,"&lt;"&amp;EDATE(BI$99,1))),0)</f>
        <v>0</v>
      </c>
      <c r="BJ179">
        <f>IF(예비비!$R179="OK",SUMIFS(예비비!$O$430:$O$729,예비비!$B$430:$B$729,예비비!$A179,예비비!$E$430:$E$729,"&lt;"&amp;EDATE(BJ$99,1),예비비!$F$430:$F$729,"결제대금비")+MAX(0,IF(예비비!$D179&lt;EDATE(BJ$99,1),예비비!$E179,0)-SUMIFS(예비비!$O$430:$O$729,예비비!$B$430:$B$729,예비비!$A179,예비비!$E$430:$E$729,"&lt;"&amp;EDATE(BJ$99,1))),0)</f>
        <v>0</v>
      </c>
      <c r="BK179">
        <f>IF(예비비!$R179="OK",SUMIFS(예비비!$O$430:$O$729,예비비!$B$430:$B$729,예비비!$A179,예비비!$E$430:$E$729,"&lt;"&amp;EDATE(BK$99,1),예비비!$F$430:$F$729,"결제대금비")+MAX(0,IF(예비비!$D179&lt;EDATE(BK$99,1),예비비!$E179,0)-SUMIFS(예비비!$O$430:$O$729,예비비!$B$430:$B$729,예비비!$A179,예비비!$E$430:$E$729,"&lt;"&amp;EDATE(BK$99,1))),0)</f>
        <v>0</v>
      </c>
      <c r="BL179">
        <f>IF(예비비!$R179="OK",SUMIFS(예비비!$O$430:$O$729,예비비!$B$430:$B$729,예비비!$A179,예비비!$E$430:$E$729,"&lt;"&amp;EDATE(BL$99,1),예비비!$F$430:$F$729,"결제대금비")+MAX(0,IF(예비비!$D179&lt;EDATE(BL$99,1),예비비!$E179,0)-SUMIFS(예비비!$O$430:$O$729,예비비!$B$430:$B$729,예비비!$A179,예비비!$E$430:$E$729,"&lt;"&amp;EDATE(BL$99,1))),0)</f>
        <v>0</v>
      </c>
      <c r="BM179">
        <f>IF(예비비!$R179="OK",SUMIFS(예비비!$O$430:$O$729,예비비!$B$430:$B$729,예비비!$A179,예비비!$E$430:$E$729,"&lt;"&amp;EDATE(BM$99,1),예비비!$F$430:$F$729,"결제대금비")+MAX(0,IF(예비비!$D179&lt;EDATE(BM$99,1),예비비!$E179,0)-SUMIFS(예비비!$O$430:$O$729,예비비!$B$430:$B$729,예비비!$A179,예비비!$E$430:$E$729,"&lt;"&amp;EDATE(BM$99,1))),0)</f>
        <v>0</v>
      </c>
      <c r="BN179">
        <f>IF(예비비!$R179="OK",SUMIFS(예비비!$O$430:$O$729,예비비!$B$430:$B$729,예비비!$A179,예비비!$E$430:$E$729,"&lt;"&amp;EDATE(BN$99,1),예비비!$F$430:$F$729,"결제대금비")+MAX(0,IF(예비비!$D179&lt;EDATE(BN$99,1),예비비!$E179,0)-SUMIFS(예비비!$O$430:$O$729,예비비!$B$430:$B$729,예비비!$A179,예비비!$E$430:$E$729,"&lt;"&amp;EDATE(BN$99,1))),0)</f>
        <v>0</v>
      </c>
      <c r="BO179">
        <f>IF(예비비!$R179="OK",SUMIFS(예비비!$O$430:$O$729,예비비!$B$430:$B$729,예비비!$A179,예비비!$E$430:$E$729,"&lt;"&amp;EDATE(BO$99,1),예비비!$F$430:$F$729,"결제대금비")+MAX(0,IF(예비비!$D179&lt;EDATE(BO$99,1),예비비!$E179,0)-SUMIFS(예비비!$O$430:$O$729,예비비!$B$430:$B$729,예비비!$A179,예비비!$E$430:$E$729,"&lt;"&amp;EDATE(BO$99,1))),0)</f>
        <v>0</v>
      </c>
      <c r="BP179">
        <f>IF(예비비!$R179="OK",SUMIFS(예비비!$O$430:$O$729,예비비!$B$430:$B$729,예비비!$A179,예비비!$E$430:$E$729,"&lt;"&amp;EDATE(BP$99,1),예비비!$F$430:$F$729,"결제대금비")+MAX(0,IF(예비비!$D179&lt;EDATE(BP$99,1),예비비!$E179,0)-SUMIFS(예비비!$O$430:$O$729,예비비!$B$430:$B$729,예비비!$A179,예비비!$E$430:$E$729,"&lt;"&amp;EDATE(BP$99,1))),0)</f>
        <v>0</v>
      </c>
      <c r="BQ179">
        <f>IF(예비비!$R179="OK",SUMIFS(예비비!$O$430:$O$729,예비비!$B$430:$B$729,예비비!$A179,예비비!$E$430:$E$729,"&lt;"&amp;EDATE(BQ$99,1),예비비!$F$430:$F$729,"결제대금비")+MAX(0,IF(예비비!$D179&lt;EDATE(BQ$99,1),예비비!$E179,0)-SUMIFS(예비비!$O$430:$O$729,예비비!$B$430:$B$729,예비비!$A179,예비비!$E$430:$E$729,"&lt;"&amp;EDATE(BQ$99,1))),0)</f>
        <v>0</v>
      </c>
      <c r="BR179">
        <f>IF(예비비!$R179="OK",SUMIFS(예비비!$O$430:$O$729,예비비!$B$430:$B$729,예비비!$A179,예비비!$E$430:$E$729,"&lt;"&amp;EDATE(BR$99,1),예비비!$F$430:$F$729,"결제대금비")+MAX(0,IF(예비비!$D179&lt;EDATE(BR$99,1),예비비!$E179,0)-SUMIFS(예비비!$O$430:$O$729,예비비!$B$430:$B$729,예비비!$A179,예비비!$E$430:$E$729,"&lt;"&amp;EDATE(BR$99,1))),0)</f>
        <v>0</v>
      </c>
      <c r="BS179">
        <f>IF(예비비!$R179="OK",SUMIFS(예비비!$O$430:$O$729,예비비!$B$430:$B$729,예비비!$A179,예비비!$E$430:$E$729,"&lt;"&amp;EDATE(BS$99,1),예비비!$F$430:$F$729,"결제대금비")+MAX(0,IF(예비비!$D179&lt;EDATE(BS$99,1),예비비!$E179,0)-SUMIFS(예비비!$O$430:$O$729,예비비!$B$430:$B$729,예비비!$A179,예비비!$E$430:$E$729,"&lt;"&amp;EDATE(BS$99,1))),0)</f>
        <v>0</v>
      </c>
      <c r="BT179">
        <f>IF(예비비!$R179="OK",SUMIFS(예비비!$O$430:$O$729,예비비!$B$430:$B$729,예비비!$A179,예비비!$E$430:$E$729,"&lt;"&amp;EDATE(BT$99,1),예비비!$F$430:$F$729,"결제대금비")+MAX(0,IF(예비비!$D179&lt;EDATE(BT$99,1),예비비!$E179,0)-SUMIFS(예비비!$O$430:$O$729,예비비!$B$430:$B$729,예비비!$A179,예비비!$E$430:$E$729,"&lt;"&amp;EDATE(BT$99,1))),0)</f>
        <v>0</v>
      </c>
      <c r="BU179">
        <f>IF(예비비!$R179="OK",SUMIFS(예비비!$O$430:$O$729,예비비!$B$430:$B$729,예비비!$A179,예비비!$E$430:$E$729,"&lt;"&amp;EDATE(BU$99,1),예비비!$F$430:$F$729,"결제대금비")+MAX(0,IF(예비비!$D179&lt;EDATE(BU$99,1),예비비!$E179,0)-SUMIFS(예비비!$O$430:$O$729,예비비!$B$430:$B$729,예비비!$A179,예비비!$E$430:$E$729,"&lt;"&amp;EDATE(BU$99,1))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  <c r="BI180">
        <f>IF(예비비!$R180="OK",SUMIFS(예비비!$O$430:$O$729,예비비!$B$430:$B$729,예비비!$A180,예비비!$E$430:$E$729,"&lt;"&amp;EDATE(BI$99,1),예비비!$F$430:$F$729,"결제대금비")+MAX(0,IF(예비비!$D180&lt;EDATE(BI$99,1),예비비!$E180,0)-SUMIFS(예비비!$O$430:$O$729,예비비!$B$430:$B$729,예비비!$A180,예비비!$E$430:$E$729,"&lt;"&amp;EDATE(BI$99,1))),0)</f>
        <v>0</v>
      </c>
      <c r="BJ180">
        <f>IF(예비비!$R180="OK",SUMIFS(예비비!$O$430:$O$729,예비비!$B$430:$B$729,예비비!$A180,예비비!$E$430:$E$729,"&lt;"&amp;EDATE(BJ$99,1),예비비!$F$430:$F$729,"결제대금비")+MAX(0,IF(예비비!$D180&lt;EDATE(BJ$99,1),예비비!$E180,0)-SUMIFS(예비비!$O$430:$O$729,예비비!$B$430:$B$729,예비비!$A180,예비비!$E$430:$E$729,"&lt;"&amp;EDATE(BJ$99,1))),0)</f>
        <v>0</v>
      </c>
      <c r="BK180">
        <f>IF(예비비!$R180="OK",SUMIFS(예비비!$O$430:$O$729,예비비!$B$430:$B$729,예비비!$A180,예비비!$E$430:$E$729,"&lt;"&amp;EDATE(BK$99,1),예비비!$F$430:$F$729,"결제대금비")+MAX(0,IF(예비비!$D180&lt;EDATE(BK$99,1),예비비!$E180,0)-SUMIFS(예비비!$O$430:$O$729,예비비!$B$430:$B$729,예비비!$A180,예비비!$E$430:$E$729,"&lt;"&amp;EDATE(BK$99,1))),0)</f>
        <v>0</v>
      </c>
      <c r="BL180">
        <f>IF(예비비!$R180="OK",SUMIFS(예비비!$O$430:$O$729,예비비!$B$430:$B$729,예비비!$A180,예비비!$E$430:$E$729,"&lt;"&amp;EDATE(BL$99,1),예비비!$F$430:$F$729,"결제대금비")+MAX(0,IF(예비비!$D180&lt;EDATE(BL$99,1),예비비!$E180,0)-SUMIFS(예비비!$O$430:$O$729,예비비!$B$430:$B$729,예비비!$A180,예비비!$E$430:$E$729,"&lt;"&amp;EDATE(BL$99,1))),0)</f>
        <v>0</v>
      </c>
      <c r="BM180">
        <f>IF(예비비!$R180="OK",SUMIFS(예비비!$O$430:$O$729,예비비!$B$430:$B$729,예비비!$A180,예비비!$E$430:$E$729,"&lt;"&amp;EDATE(BM$99,1),예비비!$F$430:$F$729,"결제대금비")+MAX(0,IF(예비비!$D180&lt;EDATE(BM$99,1),예비비!$E180,0)-SUMIFS(예비비!$O$430:$O$729,예비비!$B$430:$B$729,예비비!$A180,예비비!$E$430:$E$729,"&lt;"&amp;EDATE(BM$99,1))),0)</f>
        <v>0</v>
      </c>
      <c r="BN180">
        <f>IF(예비비!$R180="OK",SUMIFS(예비비!$O$430:$O$729,예비비!$B$430:$B$729,예비비!$A180,예비비!$E$430:$E$729,"&lt;"&amp;EDATE(BN$99,1),예비비!$F$430:$F$729,"결제대금비")+MAX(0,IF(예비비!$D180&lt;EDATE(BN$99,1),예비비!$E180,0)-SUMIFS(예비비!$O$430:$O$729,예비비!$B$430:$B$729,예비비!$A180,예비비!$E$430:$E$729,"&lt;"&amp;EDATE(BN$99,1))),0)</f>
        <v>0</v>
      </c>
      <c r="BO180">
        <f>IF(예비비!$R180="OK",SUMIFS(예비비!$O$430:$O$729,예비비!$B$430:$B$729,예비비!$A180,예비비!$E$430:$E$729,"&lt;"&amp;EDATE(BO$99,1),예비비!$F$430:$F$729,"결제대금비")+MAX(0,IF(예비비!$D180&lt;EDATE(BO$99,1),예비비!$E180,0)-SUMIFS(예비비!$O$430:$O$729,예비비!$B$430:$B$729,예비비!$A180,예비비!$E$430:$E$729,"&lt;"&amp;EDATE(BO$99,1))),0)</f>
        <v>0</v>
      </c>
      <c r="BP180">
        <f>IF(예비비!$R180="OK",SUMIFS(예비비!$O$430:$O$729,예비비!$B$430:$B$729,예비비!$A180,예비비!$E$430:$E$729,"&lt;"&amp;EDATE(BP$99,1),예비비!$F$430:$F$729,"결제대금비")+MAX(0,IF(예비비!$D180&lt;EDATE(BP$99,1),예비비!$E180,0)-SUMIFS(예비비!$O$430:$O$729,예비비!$B$430:$B$729,예비비!$A180,예비비!$E$430:$E$729,"&lt;"&amp;EDATE(BP$99,1))),0)</f>
        <v>0</v>
      </c>
      <c r="BQ180">
        <f>IF(예비비!$R180="OK",SUMIFS(예비비!$O$430:$O$729,예비비!$B$430:$B$729,예비비!$A180,예비비!$E$430:$E$729,"&lt;"&amp;EDATE(BQ$99,1),예비비!$F$430:$F$729,"결제대금비")+MAX(0,IF(예비비!$D180&lt;EDATE(BQ$99,1),예비비!$E180,0)-SUMIFS(예비비!$O$430:$O$729,예비비!$B$430:$B$729,예비비!$A180,예비비!$E$430:$E$729,"&lt;"&amp;EDATE(BQ$99,1))),0)</f>
        <v>0</v>
      </c>
      <c r="BR180">
        <f>IF(예비비!$R180="OK",SUMIFS(예비비!$O$430:$O$729,예비비!$B$430:$B$729,예비비!$A180,예비비!$E$430:$E$729,"&lt;"&amp;EDATE(BR$99,1),예비비!$F$430:$F$729,"결제대금비")+MAX(0,IF(예비비!$D180&lt;EDATE(BR$99,1),예비비!$E180,0)-SUMIFS(예비비!$O$430:$O$729,예비비!$B$430:$B$729,예비비!$A180,예비비!$E$430:$E$729,"&lt;"&amp;EDATE(BR$99,1))),0)</f>
        <v>0</v>
      </c>
      <c r="BS180">
        <f>IF(예비비!$R180="OK",SUMIFS(예비비!$O$430:$O$729,예비비!$B$430:$B$729,예비비!$A180,예비비!$E$430:$E$729,"&lt;"&amp;EDATE(BS$99,1),예비비!$F$430:$F$729,"결제대금비")+MAX(0,IF(예비비!$D180&lt;EDATE(BS$99,1),예비비!$E180,0)-SUMIFS(예비비!$O$430:$O$729,예비비!$B$430:$B$729,예비비!$A180,예비비!$E$430:$E$729,"&lt;"&amp;EDATE(BS$99,1))),0)</f>
        <v>0</v>
      </c>
      <c r="BT180">
        <f>IF(예비비!$R180="OK",SUMIFS(예비비!$O$430:$O$729,예비비!$B$430:$B$729,예비비!$A180,예비비!$E$430:$E$729,"&lt;"&amp;EDATE(BT$99,1),예비비!$F$430:$F$729,"결제대금비")+MAX(0,IF(예비비!$D180&lt;EDATE(BT$99,1),예비비!$E180,0)-SUMIFS(예비비!$O$430:$O$729,예비비!$B$430:$B$729,예비비!$A180,예비비!$E$430:$E$729,"&lt;"&amp;EDATE(BT$99,1))),0)</f>
        <v>0</v>
      </c>
      <c r="BU180">
        <f>IF(예비비!$R180="OK",SUMIFS(예비비!$O$430:$O$729,예비비!$B$430:$B$729,예비비!$A180,예비비!$E$430:$E$729,"&lt;"&amp;EDATE(BU$99,1),예비비!$F$430:$F$729,"결제대금비")+MAX(0,IF(예비비!$D180&lt;EDATE(BU$99,1),예비비!$E180,0)-SUMIFS(예비비!$O$430:$O$729,예비비!$B$430:$B$729,예비비!$A180,예비비!$E$430:$E$729,"&lt;"&amp;EDATE(BU$99,1))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  <c r="BI181">
        <f>IF(예비비!$R181="OK",SUMIFS(예비비!$O$430:$O$729,예비비!$B$430:$B$729,예비비!$A181,예비비!$E$430:$E$729,"&lt;"&amp;EDATE(BI$99,1),예비비!$F$430:$F$729,"결제대금비")+MAX(0,IF(예비비!$D181&lt;EDATE(BI$99,1),예비비!$E181,0)-SUMIFS(예비비!$O$430:$O$729,예비비!$B$430:$B$729,예비비!$A181,예비비!$E$430:$E$729,"&lt;"&amp;EDATE(BI$99,1))),0)</f>
        <v>0</v>
      </c>
      <c r="BJ181">
        <f>IF(예비비!$R181="OK",SUMIFS(예비비!$O$430:$O$729,예비비!$B$430:$B$729,예비비!$A181,예비비!$E$430:$E$729,"&lt;"&amp;EDATE(BJ$99,1),예비비!$F$430:$F$729,"결제대금비")+MAX(0,IF(예비비!$D181&lt;EDATE(BJ$99,1),예비비!$E181,0)-SUMIFS(예비비!$O$430:$O$729,예비비!$B$430:$B$729,예비비!$A181,예비비!$E$430:$E$729,"&lt;"&amp;EDATE(BJ$99,1))),0)</f>
        <v>0</v>
      </c>
      <c r="BK181">
        <f>IF(예비비!$R181="OK",SUMIFS(예비비!$O$430:$O$729,예비비!$B$430:$B$729,예비비!$A181,예비비!$E$430:$E$729,"&lt;"&amp;EDATE(BK$99,1),예비비!$F$430:$F$729,"결제대금비")+MAX(0,IF(예비비!$D181&lt;EDATE(BK$99,1),예비비!$E181,0)-SUMIFS(예비비!$O$430:$O$729,예비비!$B$430:$B$729,예비비!$A181,예비비!$E$430:$E$729,"&lt;"&amp;EDATE(BK$99,1))),0)</f>
        <v>0</v>
      </c>
      <c r="BL181">
        <f>IF(예비비!$R181="OK",SUMIFS(예비비!$O$430:$O$729,예비비!$B$430:$B$729,예비비!$A181,예비비!$E$430:$E$729,"&lt;"&amp;EDATE(BL$99,1),예비비!$F$430:$F$729,"결제대금비")+MAX(0,IF(예비비!$D181&lt;EDATE(BL$99,1),예비비!$E181,0)-SUMIFS(예비비!$O$430:$O$729,예비비!$B$430:$B$729,예비비!$A181,예비비!$E$430:$E$729,"&lt;"&amp;EDATE(BL$99,1))),0)</f>
        <v>0</v>
      </c>
      <c r="BM181">
        <f>IF(예비비!$R181="OK",SUMIFS(예비비!$O$430:$O$729,예비비!$B$430:$B$729,예비비!$A181,예비비!$E$430:$E$729,"&lt;"&amp;EDATE(BM$99,1),예비비!$F$430:$F$729,"결제대금비")+MAX(0,IF(예비비!$D181&lt;EDATE(BM$99,1),예비비!$E181,0)-SUMIFS(예비비!$O$430:$O$729,예비비!$B$430:$B$729,예비비!$A181,예비비!$E$430:$E$729,"&lt;"&amp;EDATE(BM$99,1))),0)</f>
        <v>0</v>
      </c>
      <c r="BN181">
        <f>IF(예비비!$R181="OK",SUMIFS(예비비!$O$430:$O$729,예비비!$B$430:$B$729,예비비!$A181,예비비!$E$430:$E$729,"&lt;"&amp;EDATE(BN$99,1),예비비!$F$430:$F$729,"결제대금비")+MAX(0,IF(예비비!$D181&lt;EDATE(BN$99,1),예비비!$E181,0)-SUMIFS(예비비!$O$430:$O$729,예비비!$B$430:$B$729,예비비!$A181,예비비!$E$430:$E$729,"&lt;"&amp;EDATE(BN$99,1))),0)</f>
        <v>0</v>
      </c>
      <c r="BO181">
        <f>IF(예비비!$R181="OK",SUMIFS(예비비!$O$430:$O$729,예비비!$B$430:$B$729,예비비!$A181,예비비!$E$430:$E$729,"&lt;"&amp;EDATE(BO$99,1),예비비!$F$430:$F$729,"결제대금비")+MAX(0,IF(예비비!$D181&lt;EDATE(BO$99,1),예비비!$E181,0)-SUMIFS(예비비!$O$430:$O$729,예비비!$B$430:$B$729,예비비!$A181,예비비!$E$430:$E$729,"&lt;"&amp;EDATE(BO$99,1))),0)</f>
        <v>0</v>
      </c>
      <c r="BP181">
        <f>IF(예비비!$R181="OK",SUMIFS(예비비!$O$430:$O$729,예비비!$B$430:$B$729,예비비!$A181,예비비!$E$430:$E$729,"&lt;"&amp;EDATE(BP$99,1),예비비!$F$430:$F$729,"결제대금비")+MAX(0,IF(예비비!$D181&lt;EDATE(BP$99,1),예비비!$E181,0)-SUMIFS(예비비!$O$430:$O$729,예비비!$B$430:$B$729,예비비!$A181,예비비!$E$430:$E$729,"&lt;"&amp;EDATE(BP$99,1))),0)</f>
        <v>0</v>
      </c>
      <c r="BQ181">
        <f>IF(예비비!$R181="OK",SUMIFS(예비비!$O$430:$O$729,예비비!$B$430:$B$729,예비비!$A181,예비비!$E$430:$E$729,"&lt;"&amp;EDATE(BQ$99,1),예비비!$F$430:$F$729,"결제대금비")+MAX(0,IF(예비비!$D181&lt;EDATE(BQ$99,1),예비비!$E181,0)-SUMIFS(예비비!$O$430:$O$729,예비비!$B$430:$B$729,예비비!$A181,예비비!$E$430:$E$729,"&lt;"&amp;EDATE(BQ$99,1))),0)</f>
        <v>0</v>
      </c>
      <c r="BR181">
        <f>IF(예비비!$R181="OK",SUMIFS(예비비!$O$430:$O$729,예비비!$B$430:$B$729,예비비!$A181,예비비!$E$430:$E$729,"&lt;"&amp;EDATE(BR$99,1),예비비!$F$430:$F$729,"결제대금비")+MAX(0,IF(예비비!$D181&lt;EDATE(BR$99,1),예비비!$E181,0)-SUMIFS(예비비!$O$430:$O$729,예비비!$B$430:$B$729,예비비!$A181,예비비!$E$430:$E$729,"&lt;"&amp;EDATE(BR$99,1))),0)</f>
        <v>0</v>
      </c>
      <c r="BS181">
        <f>IF(예비비!$R181="OK",SUMIFS(예비비!$O$430:$O$729,예비비!$B$430:$B$729,예비비!$A181,예비비!$E$430:$E$729,"&lt;"&amp;EDATE(BS$99,1),예비비!$F$430:$F$729,"결제대금비")+MAX(0,IF(예비비!$D181&lt;EDATE(BS$99,1),예비비!$E181,0)-SUMIFS(예비비!$O$430:$O$729,예비비!$B$430:$B$729,예비비!$A181,예비비!$E$430:$E$729,"&lt;"&amp;EDATE(BS$99,1))),0)</f>
        <v>0</v>
      </c>
      <c r="BT181">
        <f>IF(예비비!$R181="OK",SUMIFS(예비비!$O$430:$O$729,예비비!$B$430:$B$729,예비비!$A181,예비비!$E$430:$E$729,"&lt;"&amp;EDATE(BT$99,1),예비비!$F$430:$F$729,"결제대금비")+MAX(0,IF(예비비!$D181&lt;EDATE(BT$99,1),예비비!$E181,0)-SUMIFS(예비비!$O$430:$O$729,예비비!$B$430:$B$729,예비비!$A181,예비비!$E$430:$E$729,"&lt;"&amp;EDATE(BT$99,1))),0)</f>
        <v>0</v>
      </c>
      <c r="BU181">
        <f>IF(예비비!$R181="OK",SUMIFS(예비비!$O$430:$O$729,예비비!$B$430:$B$729,예비비!$A181,예비비!$E$430:$E$729,"&lt;"&amp;EDATE(BU$99,1),예비비!$F$430:$F$729,"결제대금비")+MAX(0,IF(예비비!$D181&lt;EDATE(BU$99,1),예비비!$E181,0)-SUMIFS(예비비!$O$430:$O$729,예비비!$B$430:$B$729,예비비!$A181,예비비!$E$430:$E$729,"&lt;"&amp;EDATE(BU$99,1))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  <c r="BI182">
        <f>IF(예비비!$R182="OK",SUMIFS(예비비!$O$430:$O$729,예비비!$B$430:$B$729,예비비!$A182,예비비!$E$430:$E$729,"&lt;"&amp;EDATE(BI$99,1),예비비!$F$430:$F$729,"결제대금비")+MAX(0,IF(예비비!$D182&lt;EDATE(BI$99,1),예비비!$E182,0)-SUMIFS(예비비!$O$430:$O$729,예비비!$B$430:$B$729,예비비!$A182,예비비!$E$430:$E$729,"&lt;"&amp;EDATE(BI$99,1))),0)</f>
        <v>0</v>
      </c>
      <c r="BJ182">
        <f>IF(예비비!$R182="OK",SUMIFS(예비비!$O$430:$O$729,예비비!$B$430:$B$729,예비비!$A182,예비비!$E$430:$E$729,"&lt;"&amp;EDATE(BJ$99,1),예비비!$F$430:$F$729,"결제대금비")+MAX(0,IF(예비비!$D182&lt;EDATE(BJ$99,1),예비비!$E182,0)-SUMIFS(예비비!$O$430:$O$729,예비비!$B$430:$B$729,예비비!$A182,예비비!$E$430:$E$729,"&lt;"&amp;EDATE(BJ$99,1))),0)</f>
        <v>0</v>
      </c>
      <c r="BK182">
        <f>IF(예비비!$R182="OK",SUMIFS(예비비!$O$430:$O$729,예비비!$B$430:$B$729,예비비!$A182,예비비!$E$430:$E$729,"&lt;"&amp;EDATE(BK$99,1),예비비!$F$430:$F$729,"결제대금비")+MAX(0,IF(예비비!$D182&lt;EDATE(BK$99,1),예비비!$E182,0)-SUMIFS(예비비!$O$430:$O$729,예비비!$B$430:$B$729,예비비!$A182,예비비!$E$430:$E$729,"&lt;"&amp;EDATE(BK$99,1))),0)</f>
        <v>0</v>
      </c>
      <c r="BL182">
        <f>IF(예비비!$R182="OK",SUMIFS(예비비!$O$430:$O$729,예비비!$B$430:$B$729,예비비!$A182,예비비!$E$430:$E$729,"&lt;"&amp;EDATE(BL$99,1),예비비!$F$430:$F$729,"결제대금비")+MAX(0,IF(예비비!$D182&lt;EDATE(BL$99,1),예비비!$E182,0)-SUMIFS(예비비!$O$430:$O$729,예비비!$B$430:$B$729,예비비!$A182,예비비!$E$430:$E$729,"&lt;"&amp;EDATE(BL$99,1))),0)</f>
        <v>0</v>
      </c>
      <c r="BM182">
        <f>IF(예비비!$R182="OK",SUMIFS(예비비!$O$430:$O$729,예비비!$B$430:$B$729,예비비!$A182,예비비!$E$430:$E$729,"&lt;"&amp;EDATE(BM$99,1),예비비!$F$430:$F$729,"결제대금비")+MAX(0,IF(예비비!$D182&lt;EDATE(BM$99,1),예비비!$E182,0)-SUMIFS(예비비!$O$430:$O$729,예비비!$B$430:$B$729,예비비!$A182,예비비!$E$430:$E$729,"&lt;"&amp;EDATE(BM$99,1))),0)</f>
        <v>0</v>
      </c>
      <c r="BN182">
        <f>IF(예비비!$R182="OK",SUMIFS(예비비!$O$430:$O$729,예비비!$B$430:$B$729,예비비!$A182,예비비!$E$430:$E$729,"&lt;"&amp;EDATE(BN$99,1),예비비!$F$430:$F$729,"결제대금비")+MAX(0,IF(예비비!$D182&lt;EDATE(BN$99,1),예비비!$E182,0)-SUMIFS(예비비!$O$430:$O$729,예비비!$B$430:$B$729,예비비!$A182,예비비!$E$430:$E$729,"&lt;"&amp;EDATE(BN$99,1))),0)</f>
        <v>0</v>
      </c>
      <c r="BO182">
        <f>IF(예비비!$R182="OK",SUMIFS(예비비!$O$430:$O$729,예비비!$B$430:$B$729,예비비!$A182,예비비!$E$430:$E$729,"&lt;"&amp;EDATE(BO$99,1),예비비!$F$430:$F$729,"결제대금비")+MAX(0,IF(예비비!$D182&lt;EDATE(BO$99,1),예비비!$E182,0)-SUMIFS(예비비!$O$430:$O$729,예비비!$B$430:$B$729,예비비!$A182,예비비!$E$430:$E$729,"&lt;"&amp;EDATE(BO$99,1))),0)</f>
        <v>0</v>
      </c>
      <c r="BP182">
        <f>IF(예비비!$R182="OK",SUMIFS(예비비!$O$430:$O$729,예비비!$B$430:$B$729,예비비!$A182,예비비!$E$430:$E$729,"&lt;"&amp;EDATE(BP$99,1),예비비!$F$430:$F$729,"결제대금비")+MAX(0,IF(예비비!$D182&lt;EDATE(BP$99,1),예비비!$E182,0)-SUMIFS(예비비!$O$430:$O$729,예비비!$B$430:$B$729,예비비!$A182,예비비!$E$430:$E$729,"&lt;"&amp;EDATE(BP$99,1))),0)</f>
        <v>0</v>
      </c>
      <c r="BQ182">
        <f>IF(예비비!$R182="OK",SUMIFS(예비비!$O$430:$O$729,예비비!$B$430:$B$729,예비비!$A182,예비비!$E$430:$E$729,"&lt;"&amp;EDATE(BQ$99,1),예비비!$F$430:$F$729,"결제대금비")+MAX(0,IF(예비비!$D182&lt;EDATE(BQ$99,1),예비비!$E182,0)-SUMIFS(예비비!$O$430:$O$729,예비비!$B$430:$B$729,예비비!$A182,예비비!$E$430:$E$729,"&lt;"&amp;EDATE(BQ$99,1))),0)</f>
        <v>0</v>
      </c>
      <c r="BR182">
        <f>IF(예비비!$R182="OK",SUMIFS(예비비!$O$430:$O$729,예비비!$B$430:$B$729,예비비!$A182,예비비!$E$430:$E$729,"&lt;"&amp;EDATE(BR$99,1),예비비!$F$430:$F$729,"결제대금비")+MAX(0,IF(예비비!$D182&lt;EDATE(BR$99,1),예비비!$E182,0)-SUMIFS(예비비!$O$430:$O$729,예비비!$B$430:$B$729,예비비!$A182,예비비!$E$430:$E$729,"&lt;"&amp;EDATE(BR$99,1))),0)</f>
        <v>0</v>
      </c>
      <c r="BS182">
        <f>IF(예비비!$R182="OK",SUMIFS(예비비!$O$430:$O$729,예비비!$B$430:$B$729,예비비!$A182,예비비!$E$430:$E$729,"&lt;"&amp;EDATE(BS$99,1),예비비!$F$430:$F$729,"결제대금비")+MAX(0,IF(예비비!$D182&lt;EDATE(BS$99,1),예비비!$E182,0)-SUMIFS(예비비!$O$430:$O$729,예비비!$B$430:$B$729,예비비!$A182,예비비!$E$430:$E$729,"&lt;"&amp;EDATE(BS$99,1))),0)</f>
        <v>0</v>
      </c>
      <c r="BT182">
        <f>IF(예비비!$R182="OK",SUMIFS(예비비!$O$430:$O$729,예비비!$B$430:$B$729,예비비!$A182,예비비!$E$430:$E$729,"&lt;"&amp;EDATE(BT$99,1),예비비!$F$430:$F$729,"결제대금비")+MAX(0,IF(예비비!$D182&lt;EDATE(BT$99,1),예비비!$E182,0)-SUMIFS(예비비!$O$430:$O$729,예비비!$B$430:$B$729,예비비!$A182,예비비!$E$430:$E$729,"&lt;"&amp;EDATE(BT$99,1))),0)</f>
        <v>0</v>
      </c>
      <c r="BU182">
        <f>IF(예비비!$R182="OK",SUMIFS(예비비!$O$430:$O$729,예비비!$B$430:$B$729,예비비!$A182,예비비!$E$430:$E$729,"&lt;"&amp;EDATE(BU$99,1),예비비!$F$430:$F$729,"결제대금비")+MAX(0,IF(예비비!$D182&lt;EDATE(BU$99,1),예비비!$E182,0)-SUMIFS(예비비!$O$430:$O$729,예비비!$B$430:$B$729,예비비!$A182,예비비!$E$430:$E$729,"&lt;"&amp;EDATE(BU$99,1))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  <c r="BI183">
        <f>IF(예비비!$R183="OK",SUMIFS(예비비!$O$430:$O$729,예비비!$B$430:$B$729,예비비!$A183,예비비!$E$430:$E$729,"&lt;"&amp;EDATE(BI$99,1),예비비!$F$430:$F$729,"결제대금비")+MAX(0,IF(예비비!$D183&lt;EDATE(BI$99,1),예비비!$E183,0)-SUMIFS(예비비!$O$430:$O$729,예비비!$B$430:$B$729,예비비!$A183,예비비!$E$430:$E$729,"&lt;"&amp;EDATE(BI$99,1))),0)</f>
        <v>0</v>
      </c>
      <c r="BJ183">
        <f>IF(예비비!$R183="OK",SUMIFS(예비비!$O$430:$O$729,예비비!$B$430:$B$729,예비비!$A183,예비비!$E$430:$E$729,"&lt;"&amp;EDATE(BJ$99,1),예비비!$F$430:$F$729,"결제대금비")+MAX(0,IF(예비비!$D183&lt;EDATE(BJ$99,1),예비비!$E183,0)-SUMIFS(예비비!$O$430:$O$729,예비비!$B$430:$B$729,예비비!$A183,예비비!$E$430:$E$729,"&lt;"&amp;EDATE(BJ$99,1))),0)</f>
        <v>0</v>
      </c>
      <c r="BK183">
        <f>IF(예비비!$R183="OK",SUMIFS(예비비!$O$430:$O$729,예비비!$B$430:$B$729,예비비!$A183,예비비!$E$430:$E$729,"&lt;"&amp;EDATE(BK$99,1),예비비!$F$430:$F$729,"결제대금비")+MAX(0,IF(예비비!$D183&lt;EDATE(BK$99,1),예비비!$E183,0)-SUMIFS(예비비!$O$430:$O$729,예비비!$B$430:$B$729,예비비!$A183,예비비!$E$430:$E$729,"&lt;"&amp;EDATE(BK$99,1))),0)</f>
        <v>0</v>
      </c>
      <c r="BL183">
        <f>IF(예비비!$R183="OK",SUMIFS(예비비!$O$430:$O$729,예비비!$B$430:$B$729,예비비!$A183,예비비!$E$430:$E$729,"&lt;"&amp;EDATE(BL$99,1),예비비!$F$430:$F$729,"결제대금비")+MAX(0,IF(예비비!$D183&lt;EDATE(BL$99,1),예비비!$E183,0)-SUMIFS(예비비!$O$430:$O$729,예비비!$B$430:$B$729,예비비!$A183,예비비!$E$430:$E$729,"&lt;"&amp;EDATE(BL$99,1))),0)</f>
        <v>0</v>
      </c>
      <c r="BM183">
        <f>IF(예비비!$R183="OK",SUMIFS(예비비!$O$430:$O$729,예비비!$B$430:$B$729,예비비!$A183,예비비!$E$430:$E$729,"&lt;"&amp;EDATE(BM$99,1),예비비!$F$430:$F$729,"결제대금비")+MAX(0,IF(예비비!$D183&lt;EDATE(BM$99,1),예비비!$E183,0)-SUMIFS(예비비!$O$430:$O$729,예비비!$B$430:$B$729,예비비!$A183,예비비!$E$430:$E$729,"&lt;"&amp;EDATE(BM$99,1))),0)</f>
        <v>0</v>
      </c>
      <c r="BN183">
        <f>IF(예비비!$R183="OK",SUMIFS(예비비!$O$430:$O$729,예비비!$B$430:$B$729,예비비!$A183,예비비!$E$430:$E$729,"&lt;"&amp;EDATE(BN$99,1),예비비!$F$430:$F$729,"결제대금비")+MAX(0,IF(예비비!$D183&lt;EDATE(BN$99,1),예비비!$E183,0)-SUMIFS(예비비!$O$430:$O$729,예비비!$B$430:$B$729,예비비!$A183,예비비!$E$430:$E$729,"&lt;"&amp;EDATE(BN$99,1))),0)</f>
        <v>0</v>
      </c>
      <c r="BO183">
        <f>IF(예비비!$R183="OK",SUMIFS(예비비!$O$430:$O$729,예비비!$B$430:$B$729,예비비!$A183,예비비!$E$430:$E$729,"&lt;"&amp;EDATE(BO$99,1),예비비!$F$430:$F$729,"결제대금비")+MAX(0,IF(예비비!$D183&lt;EDATE(BO$99,1),예비비!$E183,0)-SUMIFS(예비비!$O$430:$O$729,예비비!$B$430:$B$729,예비비!$A183,예비비!$E$430:$E$729,"&lt;"&amp;EDATE(BO$99,1))),0)</f>
        <v>0</v>
      </c>
      <c r="BP183">
        <f>IF(예비비!$R183="OK",SUMIFS(예비비!$O$430:$O$729,예비비!$B$430:$B$729,예비비!$A183,예비비!$E$430:$E$729,"&lt;"&amp;EDATE(BP$99,1),예비비!$F$430:$F$729,"결제대금비")+MAX(0,IF(예비비!$D183&lt;EDATE(BP$99,1),예비비!$E183,0)-SUMIFS(예비비!$O$430:$O$729,예비비!$B$430:$B$729,예비비!$A183,예비비!$E$430:$E$729,"&lt;"&amp;EDATE(BP$99,1))),0)</f>
        <v>0</v>
      </c>
      <c r="BQ183">
        <f>IF(예비비!$R183="OK",SUMIFS(예비비!$O$430:$O$729,예비비!$B$430:$B$729,예비비!$A183,예비비!$E$430:$E$729,"&lt;"&amp;EDATE(BQ$99,1),예비비!$F$430:$F$729,"결제대금비")+MAX(0,IF(예비비!$D183&lt;EDATE(BQ$99,1),예비비!$E183,0)-SUMIFS(예비비!$O$430:$O$729,예비비!$B$430:$B$729,예비비!$A183,예비비!$E$430:$E$729,"&lt;"&amp;EDATE(BQ$99,1))),0)</f>
        <v>0</v>
      </c>
      <c r="BR183">
        <f>IF(예비비!$R183="OK",SUMIFS(예비비!$O$430:$O$729,예비비!$B$430:$B$729,예비비!$A183,예비비!$E$430:$E$729,"&lt;"&amp;EDATE(BR$99,1),예비비!$F$430:$F$729,"결제대금비")+MAX(0,IF(예비비!$D183&lt;EDATE(BR$99,1),예비비!$E183,0)-SUMIFS(예비비!$O$430:$O$729,예비비!$B$430:$B$729,예비비!$A183,예비비!$E$430:$E$729,"&lt;"&amp;EDATE(BR$99,1))),0)</f>
        <v>0</v>
      </c>
      <c r="BS183">
        <f>IF(예비비!$R183="OK",SUMIFS(예비비!$O$430:$O$729,예비비!$B$430:$B$729,예비비!$A183,예비비!$E$430:$E$729,"&lt;"&amp;EDATE(BS$99,1),예비비!$F$430:$F$729,"결제대금비")+MAX(0,IF(예비비!$D183&lt;EDATE(BS$99,1),예비비!$E183,0)-SUMIFS(예비비!$O$430:$O$729,예비비!$B$430:$B$729,예비비!$A183,예비비!$E$430:$E$729,"&lt;"&amp;EDATE(BS$99,1))),0)</f>
        <v>0</v>
      </c>
      <c r="BT183">
        <f>IF(예비비!$R183="OK",SUMIFS(예비비!$O$430:$O$729,예비비!$B$430:$B$729,예비비!$A183,예비비!$E$430:$E$729,"&lt;"&amp;EDATE(BT$99,1),예비비!$F$430:$F$729,"결제대금비")+MAX(0,IF(예비비!$D183&lt;EDATE(BT$99,1),예비비!$E183,0)-SUMIFS(예비비!$O$430:$O$729,예비비!$B$430:$B$729,예비비!$A183,예비비!$E$430:$E$729,"&lt;"&amp;EDATE(BT$99,1))),0)</f>
        <v>0</v>
      </c>
      <c r="BU183">
        <f>IF(예비비!$R183="OK",SUMIFS(예비비!$O$430:$O$729,예비비!$B$430:$B$729,예비비!$A183,예비비!$E$430:$E$729,"&lt;"&amp;EDATE(BU$99,1),예비비!$F$430:$F$729,"결제대금비")+MAX(0,IF(예비비!$D183&lt;EDATE(BU$99,1),예비비!$E183,0)-SUMIFS(예비비!$O$430:$O$729,예비비!$B$430:$B$729,예비비!$A183,예비비!$E$430:$E$729,"&lt;"&amp;EDATE(BU$99,1))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  <c r="BI184">
        <f>IF(예비비!$R184="OK",SUMIFS(예비비!$O$430:$O$729,예비비!$B$430:$B$729,예비비!$A184,예비비!$E$430:$E$729,"&lt;"&amp;EDATE(BI$99,1),예비비!$F$430:$F$729,"결제대금비")+MAX(0,IF(예비비!$D184&lt;EDATE(BI$99,1),예비비!$E184,0)-SUMIFS(예비비!$O$430:$O$729,예비비!$B$430:$B$729,예비비!$A184,예비비!$E$430:$E$729,"&lt;"&amp;EDATE(BI$99,1))),0)</f>
        <v>0</v>
      </c>
      <c r="BJ184">
        <f>IF(예비비!$R184="OK",SUMIFS(예비비!$O$430:$O$729,예비비!$B$430:$B$729,예비비!$A184,예비비!$E$430:$E$729,"&lt;"&amp;EDATE(BJ$99,1),예비비!$F$430:$F$729,"결제대금비")+MAX(0,IF(예비비!$D184&lt;EDATE(BJ$99,1),예비비!$E184,0)-SUMIFS(예비비!$O$430:$O$729,예비비!$B$430:$B$729,예비비!$A184,예비비!$E$430:$E$729,"&lt;"&amp;EDATE(BJ$99,1))),0)</f>
        <v>0</v>
      </c>
      <c r="BK184">
        <f>IF(예비비!$R184="OK",SUMIFS(예비비!$O$430:$O$729,예비비!$B$430:$B$729,예비비!$A184,예비비!$E$430:$E$729,"&lt;"&amp;EDATE(BK$99,1),예비비!$F$430:$F$729,"결제대금비")+MAX(0,IF(예비비!$D184&lt;EDATE(BK$99,1),예비비!$E184,0)-SUMIFS(예비비!$O$430:$O$729,예비비!$B$430:$B$729,예비비!$A184,예비비!$E$430:$E$729,"&lt;"&amp;EDATE(BK$99,1))),0)</f>
        <v>0</v>
      </c>
      <c r="BL184">
        <f>IF(예비비!$R184="OK",SUMIFS(예비비!$O$430:$O$729,예비비!$B$430:$B$729,예비비!$A184,예비비!$E$430:$E$729,"&lt;"&amp;EDATE(BL$99,1),예비비!$F$430:$F$729,"결제대금비")+MAX(0,IF(예비비!$D184&lt;EDATE(BL$99,1),예비비!$E184,0)-SUMIFS(예비비!$O$430:$O$729,예비비!$B$430:$B$729,예비비!$A184,예비비!$E$430:$E$729,"&lt;"&amp;EDATE(BL$99,1))),0)</f>
        <v>0</v>
      </c>
      <c r="BM184">
        <f>IF(예비비!$R184="OK",SUMIFS(예비비!$O$430:$O$729,예비비!$B$430:$B$729,예비비!$A184,예비비!$E$430:$E$729,"&lt;"&amp;EDATE(BM$99,1),예비비!$F$430:$F$729,"결제대금비")+MAX(0,IF(예비비!$D184&lt;EDATE(BM$99,1),예비비!$E184,0)-SUMIFS(예비비!$O$430:$O$729,예비비!$B$430:$B$729,예비비!$A184,예비비!$E$430:$E$729,"&lt;"&amp;EDATE(BM$99,1))),0)</f>
        <v>0</v>
      </c>
      <c r="BN184">
        <f>IF(예비비!$R184="OK",SUMIFS(예비비!$O$430:$O$729,예비비!$B$430:$B$729,예비비!$A184,예비비!$E$430:$E$729,"&lt;"&amp;EDATE(BN$99,1),예비비!$F$430:$F$729,"결제대금비")+MAX(0,IF(예비비!$D184&lt;EDATE(BN$99,1),예비비!$E184,0)-SUMIFS(예비비!$O$430:$O$729,예비비!$B$430:$B$729,예비비!$A184,예비비!$E$430:$E$729,"&lt;"&amp;EDATE(BN$99,1))),0)</f>
        <v>0</v>
      </c>
      <c r="BO184">
        <f>IF(예비비!$R184="OK",SUMIFS(예비비!$O$430:$O$729,예비비!$B$430:$B$729,예비비!$A184,예비비!$E$430:$E$729,"&lt;"&amp;EDATE(BO$99,1),예비비!$F$430:$F$729,"결제대금비")+MAX(0,IF(예비비!$D184&lt;EDATE(BO$99,1),예비비!$E184,0)-SUMIFS(예비비!$O$430:$O$729,예비비!$B$430:$B$729,예비비!$A184,예비비!$E$430:$E$729,"&lt;"&amp;EDATE(BO$99,1))),0)</f>
        <v>0</v>
      </c>
      <c r="BP184">
        <f>IF(예비비!$R184="OK",SUMIFS(예비비!$O$430:$O$729,예비비!$B$430:$B$729,예비비!$A184,예비비!$E$430:$E$729,"&lt;"&amp;EDATE(BP$99,1),예비비!$F$430:$F$729,"결제대금비")+MAX(0,IF(예비비!$D184&lt;EDATE(BP$99,1),예비비!$E184,0)-SUMIFS(예비비!$O$430:$O$729,예비비!$B$430:$B$729,예비비!$A184,예비비!$E$430:$E$729,"&lt;"&amp;EDATE(BP$99,1))),0)</f>
        <v>0</v>
      </c>
      <c r="BQ184">
        <f>IF(예비비!$R184="OK",SUMIFS(예비비!$O$430:$O$729,예비비!$B$430:$B$729,예비비!$A184,예비비!$E$430:$E$729,"&lt;"&amp;EDATE(BQ$99,1),예비비!$F$430:$F$729,"결제대금비")+MAX(0,IF(예비비!$D184&lt;EDATE(BQ$99,1),예비비!$E184,0)-SUMIFS(예비비!$O$430:$O$729,예비비!$B$430:$B$729,예비비!$A184,예비비!$E$430:$E$729,"&lt;"&amp;EDATE(BQ$99,1))),0)</f>
        <v>0</v>
      </c>
      <c r="BR184">
        <f>IF(예비비!$R184="OK",SUMIFS(예비비!$O$430:$O$729,예비비!$B$430:$B$729,예비비!$A184,예비비!$E$430:$E$729,"&lt;"&amp;EDATE(BR$99,1),예비비!$F$430:$F$729,"결제대금비")+MAX(0,IF(예비비!$D184&lt;EDATE(BR$99,1),예비비!$E184,0)-SUMIFS(예비비!$O$430:$O$729,예비비!$B$430:$B$729,예비비!$A184,예비비!$E$430:$E$729,"&lt;"&amp;EDATE(BR$99,1))),0)</f>
        <v>0</v>
      </c>
      <c r="BS184">
        <f>IF(예비비!$R184="OK",SUMIFS(예비비!$O$430:$O$729,예비비!$B$430:$B$729,예비비!$A184,예비비!$E$430:$E$729,"&lt;"&amp;EDATE(BS$99,1),예비비!$F$430:$F$729,"결제대금비")+MAX(0,IF(예비비!$D184&lt;EDATE(BS$99,1),예비비!$E184,0)-SUMIFS(예비비!$O$430:$O$729,예비비!$B$430:$B$729,예비비!$A184,예비비!$E$430:$E$729,"&lt;"&amp;EDATE(BS$99,1))),0)</f>
        <v>0</v>
      </c>
      <c r="BT184">
        <f>IF(예비비!$R184="OK",SUMIFS(예비비!$O$430:$O$729,예비비!$B$430:$B$729,예비비!$A184,예비비!$E$430:$E$729,"&lt;"&amp;EDATE(BT$99,1),예비비!$F$430:$F$729,"결제대금비")+MAX(0,IF(예비비!$D184&lt;EDATE(BT$99,1),예비비!$E184,0)-SUMIFS(예비비!$O$430:$O$729,예비비!$B$430:$B$729,예비비!$A184,예비비!$E$430:$E$729,"&lt;"&amp;EDATE(BT$99,1))),0)</f>
        <v>0</v>
      </c>
      <c r="BU184">
        <f>IF(예비비!$R184="OK",SUMIFS(예비비!$O$430:$O$729,예비비!$B$430:$B$729,예비비!$A184,예비비!$E$430:$E$729,"&lt;"&amp;EDATE(BU$99,1),예비비!$F$430:$F$729,"결제대금비")+MAX(0,IF(예비비!$D184&lt;EDATE(BU$99,1),예비비!$E184,0)-SUMIFS(예비비!$O$430:$O$729,예비비!$B$430:$B$729,예비비!$A184,예비비!$E$430:$E$729,"&lt;"&amp;EDATE(BU$99,1))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  <c r="BI185">
        <f>IF(예비비!$R185="OK",SUMIFS(예비비!$O$430:$O$729,예비비!$B$430:$B$729,예비비!$A185,예비비!$E$430:$E$729,"&lt;"&amp;EDATE(BI$99,1),예비비!$F$430:$F$729,"결제대금비")+MAX(0,IF(예비비!$D185&lt;EDATE(BI$99,1),예비비!$E185,0)-SUMIFS(예비비!$O$430:$O$729,예비비!$B$430:$B$729,예비비!$A185,예비비!$E$430:$E$729,"&lt;"&amp;EDATE(BI$99,1))),0)</f>
        <v>0</v>
      </c>
      <c r="BJ185">
        <f>IF(예비비!$R185="OK",SUMIFS(예비비!$O$430:$O$729,예비비!$B$430:$B$729,예비비!$A185,예비비!$E$430:$E$729,"&lt;"&amp;EDATE(BJ$99,1),예비비!$F$430:$F$729,"결제대금비")+MAX(0,IF(예비비!$D185&lt;EDATE(BJ$99,1),예비비!$E185,0)-SUMIFS(예비비!$O$430:$O$729,예비비!$B$430:$B$729,예비비!$A185,예비비!$E$430:$E$729,"&lt;"&amp;EDATE(BJ$99,1))),0)</f>
        <v>0</v>
      </c>
      <c r="BK185">
        <f>IF(예비비!$R185="OK",SUMIFS(예비비!$O$430:$O$729,예비비!$B$430:$B$729,예비비!$A185,예비비!$E$430:$E$729,"&lt;"&amp;EDATE(BK$99,1),예비비!$F$430:$F$729,"결제대금비")+MAX(0,IF(예비비!$D185&lt;EDATE(BK$99,1),예비비!$E185,0)-SUMIFS(예비비!$O$430:$O$729,예비비!$B$430:$B$729,예비비!$A185,예비비!$E$430:$E$729,"&lt;"&amp;EDATE(BK$99,1))),0)</f>
        <v>0</v>
      </c>
      <c r="BL185">
        <f>IF(예비비!$R185="OK",SUMIFS(예비비!$O$430:$O$729,예비비!$B$430:$B$729,예비비!$A185,예비비!$E$430:$E$729,"&lt;"&amp;EDATE(BL$99,1),예비비!$F$430:$F$729,"결제대금비")+MAX(0,IF(예비비!$D185&lt;EDATE(BL$99,1),예비비!$E185,0)-SUMIFS(예비비!$O$430:$O$729,예비비!$B$430:$B$729,예비비!$A185,예비비!$E$430:$E$729,"&lt;"&amp;EDATE(BL$99,1))),0)</f>
        <v>0</v>
      </c>
      <c r="BM185">
        <f>IF(예비비!$R185="OK",SUMIFS(예비비!$O$430:$O$729,예비비!$B$430:$B$729,예비비!$A185,예비비!$E$430:$E$729,"&lt;"&amp;EDATE(BM$99,1),예비비!$F$430:$F$729,"결제대금비")+MAX(0,IF(예비비!$D185&lt;EDATE(BM$99,1),예비비!$E185,0)-SUMIFS(예비비!$O$430:$O$729,예비비!$B$430:$B$729,예비비!$A185,예비비!$E$430:$E$729,"&lt;"&amp;EDATE(BM$99,1))),0)</f>
        <v>0</v>
      </c>
      <c r="BN185">
        <f>IF(예비비!$R185="OK",SUMIFS(예비비!$O$430:$O$729,예비비!$B$430:$B$729,예비비!$A185,예비비!$E$430:$E$729,"&lt;"&amp;EDATE(BN$99,1),예비비!$F$430:$F$729,"결제대금비")+MAX(0,IF(예비비!$D185&lt;EDATE(BN$99,1),예비비!$E185,0)-SUMIFS(예비비!$O$430:$O$729,예비비!$B$430:$B$729,예비비!$A185,예비비!$E$430:$E$729,"&lt;"&amp;EDATE(BN$99,1))),0)</f>
        <v>0</v>
      </c>
      <c r="BO185">
        <f>IF(예비비!$R185="OK",SUMIFS(예비비!$O$430:$O$729,예비비!$B$430:$B$729,예비비!$A185,예비비!$E$430:$E$729,"&lt;"&amp;EDATE(BO$99,1),예비비!$F$430:$F$729,"결제대금비")+MAX(0,IF(예비비!$D185&lt;EDATE(BO$99,1),예비비!$E185,0)-SUMIFS(예비비!$O$430:$O$729,예비비!$B$430:$B$729,예비비!$A185,예비비!$E$430:$E$729,"&lt;"&amp;EDATE(BO$99,1))),0)</f>
        <v>0</v>
      </c>
      <c r="BP185">
        <f>IF(예비비!$R185="OK",SUMIFS(예비비!$O$430:$O$729,예비비!$B$430:$B$729,예비비!$A185,예비비!$E$430:$E$729,"&lt;"&amp;EDATE(BP$99,1),예비비!$F$430:$F$729,"결제대금비")+MAX(0,IF(예비비!$D185&lt;EDATE(BP$99,1),예비비!$E185,0)-SUMIFS(예비비!$O$430:$O$729,예비비!$B$430:$B$729,예비비!$A185,예비비!$E$430:$E$729,"&lt;"&amp;EDATE(BP$99,1))),0)</f>
        <v>0</v>
      </c>
      <c r="BQ185">
        <f>IF(예비비!$R185="OK",SUMIFS(예비비!$O$430:$O$729,예비비!$B$430:$B$729,예비비!$A185,예비비!$E$430:$E$729,"&lt;"&amp;EDATE(BQ$99,1),예비비!$F$430:$F$729,"결제대금비")+MAX(0,IF(예비비!$D185&lt;EDATE(BQ$99,1),예비비!$E185,0)-SUMIFS(예비비!$O$430:$O$729,예비비!$B$430:$B$729,예비비!$A185,예비비!$E$430:$E$729,"&lt;"&amp;EDATE(BQ$99,1))),0)</f>
        <v>0</v>
      </c>
      <c r="BR185">
        <f>IF(예비비!$R185="OK",SUMIFS(예비비!$O$430:$O$729,예비비!$B$430:$B$729,예비비!$A185,예비비!$E$430:$E$729,"&lt;"&amp;EDATE(BR$99,1),예비비!$F$430:$F$729,"결제대금비")+MAX(0,IF(예비비!$D185&lt;EDATE(BR$99,1),예비비!$E185,0)-SUMIFS(예비비!$O$430:$O$729,예비비!$B$430:$B$729,예비비!$A185,예비비!$E$430:$E$729,"&lt;"&amp;EDATE(BR$99,1))),0)</f>
        <v>0</v>
      </c>
      <c r="BS185">
        <f>IF(예비비!$R185="OK",SUMIFS(예비비!$O$430:$O$729,예비비!$B$430:$B$729,예비비!$A185,예비비!$E$430:$E$729,"&lt;"&amp;EDATE(BS$99,1),예비비!$F$430:$F$729,"결제대금비")+MAX(0,IF(예비비!$D185&lt;EDATE(BS$99,1),예비비!$E185,0)-SUMIFS(예비비!$O$430:$O$729,예비비!$B$430:$B$729,예비비!$A185,예비비!$E$430:$E$729,"&lt;"&amp;EDATE(BS$99,1))),0)</f>
        <v>0</v>
      </c>
      <c r="BT185">
        <f>IF(예비비!$R185="OK",SUMIFS(예비비!$O$430:$O$729,예비비!$B$430:$B$729,예비비!$A185,예비비!$E$430:$E$729,"&lt;"&amp;EDATE(BT$99,1),예비비!$F$430:$F$729,"결제대금비")+MAX(0,IF(예비비!$D185&lt;EDATE(BT$99,1),예비비!$E185,0)-SUMIFS(예비비!$O$430:$O$729,예비비!$B$430:$B$729,예비비!$A185,예비비!$E$430:$E$729,"&lt;"&amp;EDATE(BT$99,1))),0)</f>
        <v>0</v>
      </c>
      <c r="BU185">
        <f>IF(예비비!$R185="OK",SUMIFS(예비비!$O$430:$O$729,예비비!$B$430:$B$729,예비비!$A185,예비비!$E$430:$E$729,"&lt;"&amp;EDATE(BU$99,1),예비비!$F$430:$F$729,"결제대금비")+MAX(0,IF(예비비!$D185&lt;EDATE(BU$99,1),예비비!$E185,0)-SUMIFS(예비비!$O$430:$O$729,예비비!$B$430:$B$729,예비비!$A185,예비비!$E$430:$E$729,"&lt;"&amp;EDATE(BU$99,1))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  <c r="BI186">
        <f>IF(예비비!$R186="OK",SUMIFS(예비비!$O$430:$O$729,예비비!$B$430:$B$729,예비비!$A186,예비비!$E$430:$E$729,"&lt;"&amp;EDATE(BI$99,1),예비비!$F$430:$F$729,"결제대금비")+MAX(0,IF(예비비!$D186&lt;EDATE(BI$99,1),예비비!$E186,0)-SUMIFS(예비비!$O$430:$O$729,예비비!$B$430:$B$729,예비비!$A186,예비비!$E$430:$E$729,"&lt;"&amp;EDATE(BI$99,1))),0)</f>
        <v>0</v>
      </c>
      <c r="BJ186">
        <f>IF(예비비!$R186="OK",SUMIFS(예비비!$O$430:$O$729,예비비!$B$430:$B$729,예비비!$A186,예비비!$E$430:$E$729,"&lt;"&amp;EDATE(BJ$99,1),예비비!$F$430:$F$729,"결제대금비")+MAX(0,IF(예비비!$D186&lt;EDATE(BJ$99,1),예비비!$E186,0)-SUMIFS(예비비!$O$430:$O$729,예비비!$B$430:$B$729,예비비!$A186,예비비!$E$430:$E$729,"&lt;"&amp;EDATE(BJ$99,1))),0)</f>
        <v>0</v>
      </c>
      <c r="BK186">
        <f>IF(예비비!$R186="OK",SUMIFS(예비비!$O$430:$O$729,예비비!$B$430:$B$729,예비비!$A186,예비비!$E$430:$E$729,"&lt;"&amp;EDATE(BK$99,1),예비비!$F$430:$F$729,"결제대금비")+MAX(0,IF(예비비!$D186&lt;EDATE(BK$99,1),예비비!$E186,0)-SUMIFS(예비비!$O$430:$O$729,예비비!$B$430:$B$729,예비비!$A186,예비비!$E$430:$E$729,"&lt;"&amp;EDATE(BK$99,1))),0)</f>
        <v>0</v>
      </c>
      <c r="BL186">
        <f>IF(예비비!$R186="OK",SUMIFS(예비비!$O$430:$O$729,예비비!$B$430:$B$729,예비비!$A186,예비비!$E$430:$E$729,"&lt;"&amp;EDATE(BL$99,1),예비비!$F$430:$F$729,"결제대금비")+MAX(0,IF(예비비!$D186&lt;EDATE(BL$99,1),예비비!$E186,0)-SUMIFS(예비비!$O$430:$O$729,예비비!$B$430:$B$729,예비비!$A186,예비비!$E$430:$E$729,"&lt;"&amp;EDATE(BL$99,1))),0)</f>
        <v>0</v>
      </c>
      <c r="BM186">
        <f>IF(예비비!$R186="OK",SUMIFS(예비비!$O$430:$O$729,예비비!$B$430:$B$729,예비비!$A186,예비비!$E$430:$E$729,"&lt;"&amp;EDATE(BM$99,1),예비비!$F$430:$F$729,"결제대금비")+MAX(0,IF(예비비!$D186&lt;EDATE(BM$99,1),예비비!$E186,0)-SUMIFS(예비비!$O$430:$O$729,예비비!$B$430:$B$729,예비비!$A186,예비비!$E$430:$E$729,"&lt;"&amp;EDATE(BM$99,1))),0)</f>
        <v>0</v>
      </c>
      <c r="BN186">
        <f>IF(예비비!$R186="OK",SUMIFS(예비비!$O$430:$O$729,예비비!$B$430:$B$729,예비비!$A186,예비비!$E$430:$E$729,"&lt;"&amp;EDATE(BN$99,1),예비비!$F$430:$F$729,"결제대금비")+MAX(0,IF(예비비!$D186&lt;EDATE(BN$99,1),예비비!$E186,0)-SUMIFS(예비비!$O$430:$O$729,예비비!$B$430:$B$729,예비비!$A186,예비비!$E$430:$E$729,"&lt;"&amp;EDATE(BN$99,1))),0)</f>
        <v>0</v>
      </c>
      <c r="BO186">
        <f>IF(예비비!$R186="OK",SUMIFS(예비비!$O$430:$O$729,예비비!$B$430:$B$729,예비비!$A186,예비비!$E$430:$E$729,"&lt;"&amp;EDATE(BO$99,1),예비비!$F$430:$F$729,"결제대금비")+MAX(0,IF(예비비!$D186&lt;EDATE(BO$99,1),예비비!$E186,0)-SUMIFS(예비비!$O$430:$O$729,예비비!$B$430:$B$729,예비비!$A186,예비비!$E$430:$E$729,"&lt;"&amp;EDATE(BO$99,1))),0)</f>
        <v>0</v>
      </c>
      <c r="BP186">
        <f>IF(예비비!$R186="OK",SUMIFS(예비비!$O$430:$O$729,예비비!$B$430:$B$729,예비비!$A186,예비비!$E$430:$E$729,"&lt;"&amp;EDATE(BP$99,1),예비비!$F$430:$F$729,"결제대금비")+MAX(0,IF(예비비!$D186&lt;EDATE(BP$99,1),예비비!$E186,0)-SUMIFS(예비비!$O$430:$O$729,예비비!$B$430:$B$729,예비비!$A186,예비비!$E$430:$E$729,"&lt;"&amp;EDATE(BP$99,1))),0)</f>
        <v>0</v>
      </c>
      <c r="BQ186">
        <f>IF(예비비!$R186="OK",SUMIFS(예비비!$O$430:$O$729,예비비!$B$430:$B$729,예비비!$A186,예비비!$E$430:$E$729,"&lt;"&amp;EDATE(BQ$99,1),예비비!$F$430:$F$729,"결제대금비")+MAX(0,IF(예비비!$D186&lt;EDATE(BQ$99,1),예비비!$E186,0)-SUMIFS(예비비!$O$430:$O$729,예비비!$B$430:$B$729,예비비!$A186,예비비!$E$430:$E$729,"&lt;"&amp;EDATE(BQ$99,1))),0)</f>
        <v>0</v>
      </c>
      <c r="BR186">
        <f>IF(예비비!$R186="OK",SUMIFS(예비비!$O$430:$O$729,예비비!$B$430:$B$729,예비비!$A186,예비비!$E$430:$E$729,"&lt;"&amp;EDATE(BR$99,1),예비비!$F$430:$F$729,"결제대금비")+MAX(0,IF(예비비!$D186&lt;EDATE(BR$99,1),예비비!$E186,0)-SUMIFS(예비비!$O$430:$O$729,예비비!$B$430:$B$729,예비비!$A186,예비비!$E$430:$E$729,"&lt;"&amp;EDATE(BR$99,1))),0)</f>
        <v>0</v>
      </c>
      <c r="BS186">
        <f>IF(예비비!$R186="OK",SUMIFS(예비비!$O$430:$O$729,예비비!$B$430:$B$729,예비비!$A186,예비비!$E$430:$E$729,"&lt;"&amp;EDATE(BS$99,1),예비비!$F$430:$F$729,"결제대금비")+MAX(0,IF(예비비!$D186&lt;EDATE(BS$99,1),예비비!$E186,0)-SUMIFS(예비비!$O$430:$O$729,예비비!$B$430:$B$729,예비비!$A186,예비비!$E$430:$E$729,"&lt;"&amp;EDATE(BS$99,1))),0)</f>
        <v>0</v>
      </c>
      <c r="BT186">
        <f>IF(예비비!$R186="OK",SUMIFS(예비비!$O$430:$O$729,예비비!$B$430:$B$729,예비비!$A186,예비비!$E$430:$E$729,"&lt;"&amp;EDATE(BT$99,1),예비비!$F$430:$F$729,"결제대금비")+MAX(0,IF(예비비!$D186&lt;EDATE(BT$99,1),예비비!$E186,0)-SUMIFS(예비비!$O$430:$O$729,예비비!$B$430:$B$729,예비비!$A186,예비비!$E$430:$E$729,"&lt;"&amp;EDATE(BT$99,1))),0)</f>
        <v>0</v>
      </c>
      <c r="BU186">
        <f>IF(예비비!$R186="OK",SUMIFS(예비비!$O$430:$O$729,예비비!$B$430:$B$729,예비비!$A186,예비비!$E$430:$E$729,"&lt;"&amp;EDATE(BU$99,1),예비비!$F$430:$F$729,"결제대금비")+MAX(0,IF(예비비!$D186&lt;EDATE(BU$99,1),예비비!$E186,0)-SUMIFS(예비비!$O$430:$O$729,예비비!$B$430:$B$729,예비비!$A186,예비비!$E$430:$E$729,"&lt;"&amp;EDATE(BU$99,1))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  <c r="BI187">
        <f>IF(예비비!$R187="OK",SUMIFS(예비비!$O$430:$O$729,예비비!$B$430:$B$729,예비비!$A187,예비비!$E$430:$E$729,"&lt;"&amp;EDATE(BI$99,1),예비비!$F$430:$F$729,"결제대금비")+MAX(0,IF(예비비!$D187&lt;EDATE(BI$99,1),예비비!$E187,0)-SUMIFS(예비비!$O$430:$O$729,예비비!$B$430:$B$729,예비비!$A187,예비비!$E$430:$E$729,"&lt;"&amp;EDATE(BI$99,1))),0)</f>
        <v>0</v>
      </c>
      <c r="BJ187">
        <f>IF(예비비!$R187="OK",SUMIFS(예비비!$O$430:$O$729,예비비!$B$430:$B$729,예비비!$A187,예비비!$E$430:$E$729,"&lt;"&amp;EDATE(BJ$99,1),예비비!$F$430:$F$729,"결제대금비")+MAX(0,IF(예비비!$D187&lt;EDATE(BJ$99,1),예비비!$E187,0)-SUMIFS(예비비!$O$430:$O$729,예비비!$B$430:$B$729,예비비!$A187,예비비!$E$430:$E$729,"&lt;"&amp;EDATE(BJ$99,1))),0)</f>
        <v>0</v>
      </c>
      <c r="BK187">
        <f>IF(예비비!$R187="OK",SUMIFS(예비비!$O$430:$O$729,예비비!$B$430:$B$729,예비비!$A187,예비비!$E$430:$E$729,"&lt;"&amp;EDATE(BK$99,1),예비비!$F$430:$F$729,"결제대금비")+MAX(0,IF(예비비!$D187&lt;EDATE(BK$99,1),예비비!$E187,0)-SUMIFS(예비비!$O$430:$O$729,예비비!$B$430:$B$729,예비비!$A187,예비비!$E$430:$E$729,"&lt;"&amp;EDATE(BK$99,1))),0)</f>
        <v>0</v>
      </c>
      <c r="BL187">
        <f>IF(예비비!$R187="OK",SUMIFS(예비비!$O$430:$O$729,예비비!$B$430:$B$729,예비비!$A187,예비비!$E$430:$E$729,"&lt;"&amp;EDATE(BL$99,1),예비비!$F$430:$F$729,"결제대금비")+MAX(0,IF(예비비!$D187&lt;EDATE(BL$99,1),예비비!$E187,0)-SUMIFS(예비비!$O$430:$O$729,예비비!$B$430:$B$729,예비비!$A187,예비비!$E$430:$E$729,"&lt;"&amp;EDATE(BL$99,1))),0)</f>
        <v>0</v>
      </c>
      <c r="BM187">
        <f>IF(예비비!$R187="OK",SUMIFS(예비비!$O$430:$O$729,예비비!$B$430:$B$729,예비비!$A187,예비비!$E$430:$E$729,"&lt;"&amp;EDATE(BM$99,1),예비비!$F$430:$F$729,"결제대금비")+MAX(0,IF(예비비!$D187&lt;EDATE(BM$99,1),예비비!$E187,0)-SUMIFS(예비비!$O$430:$O$729,예비비!$B$430:$B$729,예비비!$A187,예비비!$E$430:$E$729,"&lt;"&amp;EDATE(BM$99,1))),0)</f>
        <v>0</v>
      </c>
      <c r="BN187">
        <f>IF(예비비!$R187="OK",SUMIFS(예비비!$O$430:$O$729,예비비!$B$430:$B$729,예비비!$A187,예비비!$E$430:$E$729,"&lt;"&amp;EDATE(BN$99,1),예비비!$F$430:$F$729,"결제대금비")+MAX(0,IF(예비비!$D187&lt;EDATE(BN$99,1),예비비!$E187,0)-SUMIFS(예비비!$O$430:$O$729,예비비!$B$430:$B$729,예비비!$A187,예비비!$E$430:$E$729,"&lt;"&amp;EDATE(BN$99,1))),0)</f>
        <v>0</v>
      </c>
      <c r="BO187">
        <f>IF(예비비!$R187="OK",SUMIFS(예비비!$O$430:$O$729,예비비!$B$430:$B$729,예비비!$A187,예비비!$E$430:$E$729,"&lt;"&amp;EDATE(BO$99,1),예비비!$F$430:$F$729,"결제대금비")+MAX(0,IF(예비비!$D187&lt;EDATE(BO$99,1),예비비!$E187,0)-SUMIFS(예비비!$O$430:$O$729,예비비!$B$430:$B$729,예비비!$A187,예비비!$E$430:$E$729,"&lt;"&amp;EDATE(BO$99,1))),0)</f>
        <v>0</v>
      </c>
      <c r="BP187">
        <f>IF(예비비!$R187="OK",SUMIFS(예비비!$O$430:$O$729,예비비!$B$430:$B$729,예비비!$A187,예비비!$E$430:$E$729,"&lt;"&amp;EDATE(BP$99,1),예비비!$F$430:$F$729,"결제대금비")+MAX(0,IF(예비비!$D187&lt;EDATE(BP$99,1),예비비!$E187,0)-SUMIFS(예비비!$O$430:$O$729,예비비!$B$430:$B$729,예비비!$A187,예비비!$E$430:$E$729,"&lt;"&amp;EDATE(BP$99,1))),0)</f>
        <v>0</v>
      </c>
      <c r="BQ187">
        <f>IF(예비비!$R187="OK",SUMIFS(예비비!$O$430:$O$729,예비비!$B$430:$B$729,예비비!$A187,예비비!$E$430:$E$729,"&lt;"&amp;EDATE(BQ$99,1),예비비!$F$430:$F$729,"결제대금비")+MAX(0,IF(예비비!$D187&lt;EDATE(BQ$99,1),예비비!$E187,0)-SUMIFS(예비비!$O$430:$O$729,예비비!$B$430:$B$729,예비비!$A187,예비비!$E$430:$E$729,"&lt;"&amp;EDATE(BQ$99,1))),0)</f>
        <v>0</v>
      </c>
      <c r="BR187">
        <f>IF(예비비!$R187="OK",SUMIFS(예비비!$O$430:$O$729,예비비!$B$430:$B$729,예비비!$A187,예비비!$E$430:$E$729,"&lt;"&amp;EDATE(BR$99,1),예비비!$F$430:$F$729,"결제대금비")+MAX(0,IF(예비비!$D187&lt;EDATE(BR$99,1),예비비!$E187,0)-SUMIFS(예비비!$O$430:$O$729,예비비!$B$430:$B$729,예비비!$A187,예비비!$E$430:$E$729,"&lt;"&amp;EDATE(BR$99,1))),0)</f>
        <v>0</v>
      </c>
      <c r="BS187">
        <f>IF(예비비!$R187="OK",SUMIFS(예비비!$O$430:$O$729,예비비!$B$430:$B$729,예비비!$A187,예비비!$E$430:$E$729,"&lt;"&amp;EDATE(BS$99,1),예비비!$F$430:$F$729,"결제대금비")+MAX(0,IF(예비비!$D187&lt;EDATE(BS$99,1),예비비!$E187,0)-SUMIFS(예비비!$O$430:$O$729,예비비!$B$430:$B$729,예비비!$A187,예비비!$E$430:$E$729,"&lt;"&amp;EDATE(BS$99,1))),0)</f>
        <v>0</v>
      </c>
      <c r="BT187">
        <f>IF(예비비!$R187="OK",SUMIFS(예비비!$O$430:$O$729,예비비!$B$430:$B$729,예비비!$A187,예비비!$E$430:$E$729,"&lt;"&amp;EDATE(BT$99,1),예비비!$F$430:$F$729,"결제대금비")+MAX(0,IF(예비비!$D187&lt;EDATE(BT$99,1),예비비!$E187,0)-SUMIFS(예비비!$O$430:$O$729,예비비!$B$430:$B$729,예비비!$A187,예비비!$E$430:$E$729,"&lt;"&amp;EDATE(BT$99,1))),0)</f>
        <v>0</v>
      </c>
      <c r="BU187">
        <f>IF(예비비!$R187="OK",SUMIFS(예비비!$O$430:$O$729,예비비!$B$430:$B$729,예비비!$A187,예비비!$E$430:$E$729,"&lt;"&amp;EDATE(BU$99,1),예비비!$F$430:$F$729,"결제대금비")+MAX(0,IF(예비비!$D187&lt;EDATE(BU$99,1),예비비!$E187,0)-SUMIFS(예비비!$O$430:$O$729,예비비!$B$430:$B$729,예비비!$A187,예비비!$E$430:$E$729,"&lt;"&amp;EDATE(BU$99,1))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  <c r="BI188">
        <f>IF(예비비!$R188="OK",SUMIFS(예비비!$O$430:$O$729,예비비!$B$430:$B$729,예비비!$A188,예비비!$E$430:$E$729,"&lt;"&amp;EDATE(BI$99,1),예비비!$F$430:$F$729,"결제대금비")+MAX(0,IF(예비비!$D188&lt;EDATE(BI$99,1),예비비!$E188,0)-SUMIFS(예비비!$O$430:$O$729,예비비!$B$430:$B$729,예비비!$A188,예비비!$E$430:$E$729,"&lt;"&amp;EDATE(BI$99,1))),0)</f>
        <v>0</v>
      </c>
      <c r="BJ188">
        <f>IF(예비비!$R188="OK",SUMIFS(예비비!$O$430:$O$729,예비비!$B$430:$B$729,예비비!$A188,예비비!$E$430:$E$729,"&lt;"&amp;EDATE(BJ$99,1),예비비!$F$430:$F$729,"결제대금비")+MAX(0,IF(예비비!$D188&lt;EDATE(BJ$99,1),예비비!$E188,0)-SUMIFS(예비비!$O$430:$O$729,예비비!$B$430:$B$729,예비비!$A188,예비비!$E$430:$E$729,"&lt;"&amp;EDATE(BJ$99,1))),0)</f>
        <v>0</v>
      </c>
      <c r="BK188">
        <f>IF(예비비!$R188="OK",SUMIFS(예비비!$O$430:$O$729,예비비!$B$430:$B$729,예비비!$A188,예비비!$E$430:$E$729,"&lt;"&amp;EDATE(BK$99,1),예비비!$F$430:$F$729,"결제대금비")+MAX(0,IF(예비비!$D188&lt;EDATE(BK$99,1),예비비!$E188,0)-SUMIFS(예비비!$O$430:$O$729,예비비!$B$430:$B$729,예비비!$A188,예비비!$E$430:$E$729,"&lt;"&amp;EDATE(BK$99,1))),0)</f>
        <v>0</v>
      </c>
      <c r="BL188">
        <f>IF(예비비!$R188="OK",SUMIFS(예비비!$O$430:$O$729,예비비!$B$430:$B$729,예비비!$A188,예비비!$E$430:$E$729,"&lt;"&amp;EDATE(BL$99,1),예비비!$F$430:$F$729,"결제대금비")+MAX(0,IF(예비비!$D188&lt;EDATE(BL$99,1),예비비!$E188,0)-SUMIFS(예비비!$O$430:$O$729,예비비!$B$430:$B$729,예비비!$A188,예비비!$E$430:$E$729,"&lt;"&amp;EDATE(BL$99,1))),0)</f>
        <v>0</v>
      </c>
      <c r="BM188">
        <f>IF(예비비!$R188="OK",SUMIFS(예비비!$O$430:$O$729,예비비!$B$430:$B$729,예비비!$A188,예비비!$E$430:$E$729,"&lt;"&amp;EDATE(BM$99,1),예비비!$F$430:$F$729,"결제대금비")+MAX(0,IF(예비비!$D188&lt;EDATE(BM$99,1),예비비!$E188,0)-SUMIFS(예비비!$O$430:$O$729,예비비!$B$430:$B$729,예비비!$A188,예비비!$E$430:$E$729,"&lt;"&amp;EDATE(BM$99,1))),0)</f>
        <v>0</v>
      </c>
      <c r="BN188">
        <f>IF(예비비!$R188="OK",SUMIFS(예비비!$O$430:$O$729,예비비!$B$430:$B$729,예비비!$A188,예비비!$E$430:$E$729,"&lt;"&amp;EDATE(BN$99,1),예비비!$F$430:$F$729,"결제대금비")+MAX(0,IF(예비비!$D188&lt;EDATE(BN$99,1),예비비!$E188,0)-SUMIFS(예비비!$O$430:$O$729,예비비!$B$430:$B$729,예비비!$A188,예비비!$E$430:$E$729,"&lt;"&amp;EDATE(BN$99,1))),0)</f>
        <v>0</v>
      </c>
      <c r="BO188">
        <f>IF(예비비!$R188="OK",SUMIFS(예비비!$O$430:$O$729,예비비!$B$430:$B$729,예비비!$A188,예비비!$E$430:$E$729,"&lt;"&amp;EDATE(BO$99,1),예비비!$F$430:$F$729,"결제대금비")+MAX(0,IF(예비비!$D188&lt;EDATE(BO$99,1),예비비!$E188,0)-SUMIFS(예비비!$O$430:$O$729,예비비!$B$430:$B$729,예비비!$A188,예비비!$E$430:$E$729,"&lt;"&amp;EDATE(BO$99,1))),0)</f>
        <v>0</v>
      </c>
      <c r="BP188">
        <f>IF(예비비!$R188="OK",SUMIFS(예비비!$O$430:$O$729,예비비!$B$430:$B$729,예비비!$A188,예비비!$E$430:$E$729,"&lt;"&amp;EDATE(BP$99,1),예비비!$F$430:$F$729,"결제대금비")+MAX(0,IF(예비비!$D188&lt;EDATE(BP$99,1),예비비!$E188,0)-SUMIFS(예비비!$O$430:$O$729,예비비!$B$430:$B$729,예비비!$A188,예비비!$E$430:$E$729,"&lt;"&amp;EDATE(BP$99,1))),0)</f>
        <v>0</v>
      </c>
      <c r="BQ188">
        <f>IF(예비비!$R188="OK",SUMIFS(예비비!$O$430:$O$729,예비비!$B$430:$B$729,예비비!$A188,예비비!$E$430:$E$729,"&lt;"&amp;EDATE(BQ$99,1),예비비!$F$430:$F$729,"결제대금비")+MAX(0,IF(예비비!$D188&lt;EDATE(BQ$99,1),예비비!$E188,0)-SUMIFS(예비비!$O$430:$O$729,예비비!$B$430:$B$729,예비비!$A188,예비비!$E$430:$E$729,"&lt;"&amp;EDATE(BQ$99,1))),0)</f>
        <v>0</v>
      </c>
      <c r="BR188">
        <f>IF(예비비!$R188="OK",SUMIFS(예비비!$O$430:$O$729,예비비!$B$430:$B$729,예비비!$A188,예비비!$E$430:$E$729,"&lt;"&amp;EDATE(BR$99,1),예비비!$F$430:$F$729,"결제대금비")+MAX(0,IF(예비비!$D188&lt;EDATE(BR$99,1),예비비!$E188,0)-SUMIFS(예비비!$O$430:$O$729,예비비!$B$430:$B$729,예비비!$A188,예비비!$E$430:$E$729,"&lt;"&amp;EDATE(BR$99,1))),0)</f>
        <v>0</v>
      </c>
      <c r="BS188">
        <f>IF(예비비!$R188="OK",SUMIFS(예비비!$O$430:$O$729,예비비!$B$430:$B$729,예비비!$A188,예비비!$E$430:$E$729,"&lt;"&amp;EDATE(BS$99,1),예비비!$F$430:$F$729,"결제대금비")+MAX(0,IF(예비비!$D188&lt;EDATE(BS$99,1),예비비!$E188,0)-SUMIFS(예비비!$O$430:$O$729,예비비!$B$430:$B$729,예비비!$A188,예비비!$E$430:$E$729,"&lt;"&amp;EDATE(BS$99,1))),0)</f>
        <v>0</v>
      </c>
      <c r="BT188">
        <f>IF(예비비!$R188="OK",SUMIFS(예비비!$O$430:$O$729,예비비!$B$430:$B$729,예비비!$A188,예비비!$E$430:$E$729,"&lt;"&amp;EDATE(BT$99,1),예비비!$F$430:$F$729,"결제대금비")+MAX(0,IF(예비비!$D188&lt;EDATE(BT$99,1),예비비!$E188,0)-SUMIFS(예비비!$O$430:$O$729,예비비!$B$430:$B$729,예비비!$A188,예비비!$E$430:$E$729,"&lt;"&amp;EDATE(BT$99,1))),0)</f>
        <v>0</v>
      </c>
      <c r="BU188">
        <f>IF(예비비!$R188="OK",SUMIFS(예비비!$O$430:$O$729,예비비!$B$430:$B$729,예비비!$A188,예비비!$E$430:$E$729,"&lt;"&amp;EDATE(BU$99,1),예비비!$F$430:$F$729,"결제대금비")+MAX(0,IF(예비비!$D188&lt;EDATE(BU$99,1),예비비!$E188,0)-SUMIFS(예비비!$O$430:$O$729,예비비!$B$430:$B$729,예비비!$A188,예비비!$E$430:$E$729,"&lt;"&amp;EDATE(BU$99,1))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  <c r="BI189">
        <f>IF(예비비!$R189="OK",SUMIFS(예비비!$O$430:$O$729,예비비!$B$430:$B$729,예비비!$A189,예비비!$E$430:$E$729,"&lt;"&amp;EDATE(BI$99,1),예비비!$F$430:$F$729,"결제대금비")+MAX(0,IF(예비비!$D189&lt;EDATE(BI$99,1),예비비!$E189,0)-SUMIFS(예비비!$O$430:$O$729,예비비!$B$430:$B$729,예비비!$A189,예비비!$E$430:$E$729,"&lt;"&amp;EDATE(BI$99,1))),0)</f>
        <v>0</v>
      </c>
      <c r="BJ189">
        <f>IF(예비비!$R189="OK",SUMIFS(예비비!$O$430:$O$729,예비비!$B$430:$B$729,예비비!$A189,예비비!$E$430:$E$729,"&lt;"&amp;EDATE(BJ$99,1),예비비!$F$430:$F$729,"결제대금비")+MAX(0,IF(예비비!$D189&lt;EDATE(BJ$99,1),예비비!$E189,0)-SUMIFS(예비비!$O$430:$O$729,예비비!$B$430:$B$729,예비비!$A189,예비비!$E$430:$E$729,"&lt;"&amp;EDATE(BJ$99,1))),0)</f>
        <v>0</v>
      </c>
      <c r="BK189">
        <f>IF(예비비!$R189="OK",SUMIFS(예비비!$O$430:$O$729,예비비!$B$430:$B$729,예비비!$A189,예비비!$E$430:$E$729,"&lt;"&amp;EDATE(BK$99,1),예비비!$F$430:$F$729,"결제대금비")+MAX(0,IF(예비비!$D189&lt;EDATE(BK$99,1),예비비!$E189,0)-SUMIFS(예비비!$O$430:$O$729,예비비!$B$430:$B$729,예비비!$A189,예비비!$E$430:$E$729,"&lt;"&amp;EDATE(BK$99,1))),0)</f>
        <v>0</v>
      </c>
      <c r="BL189">
        <f>IF(예비비!$R189="OK",SUMIFS(예비비!$O$430:$O$729,예비비!$B$430:$B$729,예비비!$A189,예비비!$E$430:$E$729,"&lt;"&amp;EDATE(BL$99,1),예비비!$F$430:$F$729,"결제대금비")+MAX(0,IF(예비비!$D189&lt;EDATE(BL$99,1),예비비!$E189,0)-SUMIFS(예비비!$O$430:$O$729,예비비!$B$430:$B$729,예비비!$A189,예비비!$E$430:$E$729,"&lt;"&amp;EDATE(BL$99,1))),0)</f>
        <v>0</v>
      </c>
      <c r="BM189">
        <f>IF(예비비!$R189="OK",SUMIFS(예비비!$O$430:$O$729,예비비!$B$430:$B$729,예비비!$A189,예비비!$E$430:$E$729,"&lt;"&amp;EDATE(BM$99,1),예비비!$F$430:$F$729,"결제대금비")+MAX(0,IF(예비비!$D189&lt;EDATE(BM$99,1),예비비!$E189,0)-SUMIFS(예비비!$O$430:$O$729,예비비!$B$430:$B$729,예비비!$A189,예비비!$E$430:$E$729,"&lt;"&amp;EDATE(BM$99,1))),0)</f>
        <v>0</v>
      </c>
      <c r="BN189">
        <f>IF(예비비!$R189="OK",SUMIFS(예비비!$O$430:$O$729,예비비!$B$430:$B$729,예비비!$A189,예비비!$E$430:$E$729,"&lt;"&amp;EDATE(BN$99,1),예비비!$F$430:$F$729,"결제대금비")+MAX(0,IF(예비비!$D189&lt;EDATE(BN$99,1),예비비!$E189,0)-SUMIFS(예비비!$O$430:$O$729,예비비!$B$430:$B$729,예비비!$A189,예비비!$E$430:$E$729,"&lt;"&amp;EDATE(BN$99,1))),0)</f>
        <v>0</v>
      </c>
      <c r="BO189">
        <f>IF(예비비!$R189="OK",SUMIFS(예비비!$O$430:$O$729,예비비!$B$430:$B$729,예비비!$A189,예비비!$E$430:$E$729,"&lt;"&amp;EDATE(BO$99,1),예비비!$F$430:$F$729,"결제대금비")+MAX(0,IF(예비비!$D189&lt;EDATE(BO$99,1),예비비!$E189,0)-SUMIFS(예비비!$O$430:$O$729,예비비!$B$430:$B$729,예비비!$A189,예비비!$E$430:$E$729,"&lt;"&amp;EDATE(BO$99,1))),0)</f>
        <v>0</v>
      </c>
      <c r="BP189">
        <f>IF(예비비!$R189="OK",SUMIFS(예비비!$O$430:$O$729,예비비!$B$430:$B$729,예비비!$A189,예비비!$E$430:$E$729,"&lt;"&amp;EDATE(BP$99,1),예비비!$F$430:$F$729,"결제대금비")+MAX(0,IF(예비비!$D189&lt;EDATE(BP$99,1),예비비!$E189,0)-SUMIFS(예비비!$O$430:$O$729,예비비!$B$430:$B$729,예비비!$A189,예비비!$E$430:$E$729,"&lt;"&amp;EDATE(BP$99,1))),0)</f>
        <v>0</v>
      </c>
      <c r="BQ189">
        <f>IF(예비비!$R189="OK",SUMIFS(예비비!$O$430:$O$729,예비비!$B$430:$B$729,예비비!$A189,예비비!$E$430:$E$729,"&lt;"&amp;EDATE(BQ$99,1),예비비!$F$430:$F$729,"결제대금비")+MAX(0,IF(예비비!$D189&lt;EDATE(BQ$99,1),예비비!$E189,0)-SUMIFS(예비비!$O$430:$O$729,예비비!$B$430:$B$729,예비비!$A189,예비비!$E$430:$E$729,"&lt;"&amp;EDATE(BQ$99,1))),0)</f>
        <v>0</v>
      </c>
      <c r="BR189">
        <f>IF(예비비!$R189="OK",SUMIFS(예비비!$O$430:$O$729,예비비!$B$430:$B$729,예비비!$A189,예비비!$E$430:$E$729,"&lt;"&amp;EDATE(BR$99,1),예비비!$F$430:$F$729,"결제대금비")+MAX(0,IF(예비비!$D189&lt;EDATE(BR$99,1),예비비!$E189,0)-SUMIFS(예비비!$O$430:$O$729,예비비!$B$430:$B$729,예비비!$A189,예비비!$E$430:$E$729,"&lt;"&amp;EDATE(BR$99,1))),0)</f>
        <v>0</v>
      </c>
      <c r="BS189">
        <f>IF(예비비!$R189="OK",SUMIFS(예비비!$O$430:$O$729,예비비!$B$430:$B$729,예비비!$A189,예비비!$E$430:$E$729,"&lt;"&amp;EDATE(BS$99,1),예비비!$F$430:$F$729,"결제대금비")+MAX(0,IF(예비비!$D189&lt;EDATE(BS$99,1),예비비!$E189,0)-SUMIFS(예비비!$O$430:$O$729,예비비!$B$430:$B$729,예비비!$A189,예비비!$E$430:$E$729,"&lt;"&amp;EDATE(BS$99,1))),0)</f>
        <v>0</v>
      </c>
      <c r="BT189">
        <f>IF(예비비!$R189="OK",SUMIFS(예비비!$O$430:$O$729,예비비!$B$430:$B$729,예비비!$A189,예비비!$E$430:$E$729,"&lt;"&amp;EDATE(BT$99,1),예비비!$F$430:$F$729,"결제대금비")+MAX(0,IF(예비비!$D189&lt;EDATE(BT$99,1),예비비!$E189,0)-SUMIFS(예비비!$O$430:$O$729,예비비!$B$430:$B$729,예비비!$A189,예비비!$E$430:$E$729,"&lt;"&amp;EDATE(BT$99,1))),0)</f>
        <v>0</v>
      </c>
      <c r="BU189">
        <f>IF(예비비!$R189="OK",SUMIFS(예비비!$O$430:$O$729,예비비!$B$430:$B$729,예비비!$A189,예비비!$E$430:$E$729,"&lt;"&amp;EDATE(BU$99,1),예비비!$F$430:$F$729,"결제대금비")+MAX(0,IF(예비비!$D189&lt;EDATE(BU$99,1),예비비!$E189,0)-SUMIFS(예비비!$O$430:$O$729,예비비!$B$430:$B$729,예비비!$A189,예비비!$E$430:$E$729,"&lt;"&amp;EDATE(BU$99,1))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  <c r="BI190">
        <f>IF(예비비!$R190="OK",SUMIFS(예비비!$O$430:$O$729,예비비!$B$430:$B$729,예비비!$A190,예비비!$E$430:$E$729,"&lt;"&amp;EDATE(BI$99,1),예비비!$F$430:$F$729,"결제대금비")+MAX(0,IF(예비비!$D190&lt;EDATE(BI$99,1),예비비!$E190,0)-SUMIFS(예비비!$O$430:$O$729,예비비!$B$430:$B$729,예비비!$A190,예비비!$E$430:$E$729,"&lt;"&amp;EDATE(BI$99,1))),0)</f>
        <v>0</v>
      </c>
      <c r="BJ190">
        <f>IF(예비비!$R190="OK",SUMIFS(예비비!$O$430:$O$729,예비비!$B$430:$B$729,예비비!$A190,예비비!$E$430:$E$729,"&lt;"&amp;EDATE(BJ$99,1),예비비!$F$430:$F$729,"결제대금비")+MAX(0,IF(예비비!$D190&lt;EDATE(BJ$99,1),예비비!$E190,0)-SUMIFS(예비비!$O$430:$O$729,예비비!$B$430:$B$729,예비비!$A190,예비비!$E$430:$E$729,"&lt;"&amp;EDATE(BJ$99,1))),0)</f>
        <v>0</v>
      </c>
      <c r="BK190">
        <f>IF(예비비!$R190="OK",SUMIFS(예비비!$O$430:$O$729,예비비!$B$430:$B$729,예비비!$A190,예비비!$E$430:$E$729,"&lt;"&amp;EDATE(BK$99,1),예비비!$F$430:$F$729,"결제대금비")+MAX(0,IF(예비비!$D190&lt;EDATE(BK$99,1),예비비!$E190,0)-SUMIFS(예비비!$O$430:$O$729,예비비!$B$430:$B$729,예비비!$A190,예비비!$E$430:$E$729,"&lt;"&amp;EDATE(BK$99,1))),0)</f>
        <v>0</v>
      </c>
      <c r="BL190">
        <f>IF(예비비!$R190="OK",SUMIFS(예비비!$O$430:$O$729,예비비!$B$430:$B$729,예비비!$A190,예비비!$E$430:$E$729,"&lt;"&amp;EDATE(BL$99,1),예비비!$F$430:$F$729,"결제대금비")+MAX(0,IF(예비비!$D190&lt;EDATE(BL$99,1),예비비!$E190,0)-SUMIFS(예비비!$O$430:$O$729,예비비!$B$430:$B$729,예비비!$A190,예비비!$E$430:$E$729,"&lt;"&amp;EDATE(BL$99,1))),0)</f>
        <v>0</v>
      </c>
      <c r="BM190">
        <f>IF(예비비!$R190="OK",SUMIFS(예비비!$O$430:$O$729,예비비!$B$430:$B$729,예비비!$A190,예비비!$E$430:$E$729,"&lt;"&amp;EDATE(BM$99,1),예비비!$F$430:$F$729,"결제대금비")+MAX(0,IF(예비비!$D190&lt;EDATE(BM$99,1),예비비!$E190,0)-SUMIFS(예비비!$O$430:$O$729,예비비!$B$430:$B$729,예비비!$A190,예비비!$E$430:$E$729,"&lt;"&amp;EDATE(BM$99,1))),0)</f>
        <v>0</v>
      </c>
      <c r="BN190">
        <f>IF(예비비!$R190="OK",SUMIFS(예비비!$O$430:$O$729,예비비!$B$430:$B$729,예비비!$A190,예비비!$E$430:$E$729,"&lt;"&amp;EDATE(BN$99,1),예비비!$F$430:$F$729,"결제대금비")+MAX(0,IF(예비비!$D190&lt;EDATE(BN$99,1),예비비!$E190,0)-SUMIFS(예비비!$O$430:$O$729,예비비!$B$430:$B$729,예비비!$A190,예비비!$E$430:$E$729,"&lt;"&amp;EDATE(BN$99,1))),0)</f>
        <v>0</v>
      </c>
      <c r="BO190">
        <f>IF(예비비!$R190="OK",SUMIFS(예비비!$O$430:$O$729,예비비!$B$430:$B$729,예비비!$A190,예비비!$E$430:$E$729,"&lt;"&amp;EDATE(BO$99,1),예비비!$F$430:$F$729,"결제대금비")+MAX(0,IF(예비비!$D190&lt;EDATE(BO$99,1),예비비!$E190,0)-SUMIFS(예비비!$O$430:$O$729,예비비!$B$430:$B$729,예비비!$A190,예비비!$E$430:$E$729,"&lt;"&amp;EDATE(BO$99,1))),0)</f>
        <v>0</v>
      </c>
      <c r="BP190">
        <f>IF(예비비!$R190="OK",SUMIFS(예비비!$O$430:$O$729,예비비!$B$430:$B$729,예비비!$A190,예비비!$E$430:$E$729,"&lt;"&amp;EDATE(BP$99,1),예비비!$F$430:$F$729,"결제대금비")+MAX(0,IF(예비비!$D190&lt;EDATE(BP$99,1),예비비!$E190,0)-SUMIFS(예비비!$O$430:$O$729,예비비!$B$430:$B$729,예비비!$A190,예비비!$E$430:$E$729,"&lt;"&amp;EDATE(BP$99,1))),0)</f>
        <v>0</v>
      </c>
      <c r="BQ190">
        <f>IF(예비비!$R190="OK",SUMIFS(예비비!$O$430:$O$729,예비비!$B$430:$B$729,예비비!$A190,예비비!$E$430:$E$729,"&lt;"&amp;EDATE(BQ$99,1),예비비!$F$430:$F$729,"결제대금비")+MAX(0,IF(예비비!$D190&lt;EDATE(BQ$99,1),예비비!$E190,0)-SUMIFS(예비비!$O$430:$O$729,예비비!$B$430:$B$729,예비비!$A190,예비비!$E$430:$E$729,"&lt;"&amp;EDATE(BQ$99,1))),0)</f>
        <v>0</v>
      </c>
      <c r="BR190">
        <f>IF(예비비!$R190="OK",SUMIFS(예비비!$O$430:$O$729,예비비!$B$430:$B$729,예비비!$A190,예비비!$E$430:$E$729,"&lt;"&amp;EDATE(BR$99,1),예비비!$F$430:$F$729,"결제대금비")+MAX(0,IF(예비비!$D190&lt;EDATE(BR$99,1),예비비!$E190,0)-SUMIFS(예비비!$O$430:$O$729,예비비!$B$430:$B$729,예비비!$A190,예비비!$E$430:$E$729,"&lt;"&amp;EDATE(BR$99,1))),0)</f>
        <v>0</v>
      </c>
      <c r="BS190">
        <f>IF(예비비!$R190="OK",SUMIFS(예비비!$O$430:$O$729,예비비!$B$430:$B$729,예비비!$A190,예비비!$E$430:$E$729,"&lt;"&amp;EDATE(BS$99,1),예비비!$F$430:$F$729,"결제대금비")+MAX(0,IF(예비비!$D190&lt;EDATE(BS$99,1),예비비!$E190,0)-SUMIFS(예비비!$O$430:$O$729,예비비!$B$430:$B$729,예비비!$A190,예비비!$E$430:$E$729,"&lt;"&amp;EDATE(BS$99,1))),0)</f>
        <v>0</v>
      </c>
      <c r="BT190">
        <f>IF(예비비!$R190="OK",SUMIFS(예비비!$O$430:$O$729,예비비!$B$430:$B$729,예비비!$A190,예비비!$E$430:$E$729,"&lt;"&amp;EDATE(BT$99,1),예비비!$F$430:$F$729,"결제대금비")+MAX(0,IF(예비비!$D190&lt;EDATE(BT$99,1),예비비!$E190,0)-SUMIFS(예비비!$O$430:$O$729,예비비!$B$430:$B$729,예비비!$A190,예비비!$E$430:$E$729,"&lt;"&amp;EDATE(BT$99,1))),0)</f>
        <v>0</v>
      </c>
      <c r="BU190">
        <f>IF(예비비!$R190="OK",SUMIFS(예비비!$O$430:$O$729,예비비!$B$430:$B$729,예비비!$A190,예비비!$E$430:$E$729,"&lt;"&amp;EDATE(BU$99,1),예비비!$F$430:$F$729,"결제대금비")+MAX(0,IF(예비비!$D190&lt;EDATE(BU$99,1),예비비!$E190,0)-SUMIFS(예비비!$O$430:$O$729,예비비!$B$430:$B$729,예비비!$A190,예비비!$E$430:$E$729,"&lt;"&amp;EDATE(BU$99,1))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  <c r="BI191">
        <f>IF(예비비!$R191="OK",SUMIFS(예비비!$O$430:$O$729,예비비!$B$430:$B$729,예비비!$A191,예비비!$E$430:$E$729,"&lt;"&amp;EDATE(BI$99,1),예비비!$F$430:$F$729,"결제대금비")+MAX(0,IF(예비비!$D191&lt;EDATE(BI$99,1),예비비!$E191,0)-SUMIFS(예비비!$O$430:$O$729,예비비!$B$430:$B$729,예비비!$A191,예비비!$E$430:$E$729,"&lt;"&amp;EDATE(BI$99,1))),0)</f>
        <v>0</v>
      </c>
      <c r="BJ191">
        <f>IF(예비비!$R191="OK",SUMIFS(예비비!$O$430:$O$729,예비비!$B$430:$B$729,예비비!$A191,예비비!$E$430:$E$729,"&lt;"&amp;EDATE(BJ$99,1),예비비!$F$430:$F$729,"결제대금비")+MAX(0,IF(예비비!$D191&lt;EDATE(BJ$99,1),예비비!$E191,0)-SUMIFS(예비비!$O$430:$O$729,예비비!$B$430:$B$729,예비비!$A191,예비비!$E$430:$E$729,"&lt;"&amp;EDATE(BJ$99,1))),0)</f>
        <v>0</v>
      </c>
      <c r="BK191">
        <f>IF(예비비!$R191="OK",SUMIFS(예비비!$O$430:$O$729,예비비!$B$430:$B$729,예비비!$A191,예비비!$E$430:$E$729,"&lt;"&amp;EDATE(BK$99,1),예비비!$F$430:$F$729,"결제대금비")+MAX(0,IF(예비비!$D191&lt;EDATE(BK$99,1),예비비!$E191,0)-SUMIFS(예비비!$O$430:$O$729,예비비!$B$430:$B$729,예비비!$A191,예비비!$E$430:$E$729,"&lt;"&amp;EDATE(BK$99,1))),0)</f>
        <v>0</v>
      </c>
      <c r="BL191">
        <f>IF(예비비!$R191="OK",SUMIFS(예비비!$O$430:$O$729,예비비!$B$430:$B$729,예비비!$A191,예비비!$E$430:$E$729,"&lt;"&amp;EDATE(BL$99,1),예비비!$F$430:$F$729,"결제대금비")+MAX(0,IF(예비비!$D191&lt;EDATE(BL$99,1),예비비!$E191,0)-SUMIFS(예비비!$O$430:$O$729,예비비!$B$430:$B$729,예비비!$A191,예비비!$E$430:$E$729,"&lt;"&amp;EDATE(BL$99,1))),0)</f>
        <v>0</v>
      </c>
      <c r="BM191">
        <f>IF(예비비!$R191="OK",SUMIFS(예비비!$O$430:$O$729,예비비!$B$430:$B$729,예비비!$A191,예비비!$E$430:$E$729,"&lt;"&amp;EDATE(BM$99,1),예비비!$F$430:$F$729,"결제대금비")+MAX(0,IF(예비비!$D191&lt;EDATE(BM$99,1),예비비!$E191,0)-SUMIFS(예비비!$O$430:$O$729,예비비!$B$430:$B$729,예비비!$A191,예비비!$E$430:$E$729,"&lt;"&amp;EDATE(BM$99,1))),0)</f>
        <v>0</v>
      </c>
      <c r="BN191">
        <f>IF(예비비!$R191="OK",SUMIFS(예비비!$O$430:$O$729,예비비!$B$430:$B$729,예비비!$A191,예비비!$E$430:$E$729,"&lt;"&amp;EDATE(BN$99,1),예비비!$F$430:$F$729,"결제대금비")+MAX(0,IF(예비비!$D191&lt;EDATE(BN$99,1),예비비!$E191,0)-SUMIFS(예비비!$O$430:$O$729,예비비!$B$430:$B$729,예비비!$A191,예비비!$E$430:$E$729,"&lt;"&amp;EDATE(BN$99,1))),0)</f>
        <v>0</v>
      </c>
      <c r="BO191">
        <f>IF(예비비!$R191="OK",SUMIFS(예비비!$O$430:$O$729,예비비!$B$430:$B$729,예비비!$A191,예비비!$E$430:$E$729,"&lt;"&amp;EDATE(BO$99,1),예비비!$F$430:$F$729,"결제대금비")+MAX(0,IF(예비비!$D191&lt;EDATE(BO$99,1),예비비!$E191,0)-SUMIFS(예비비!$O$430:$O$729,예비비!$B$430:$B$729,예비비!$A191,예비비!$E$430:$E$729,"&lt;"&amp;EDATE(BO$99,1))),0)</f>
        <v>0</v>
      </c>
      <c r="BP191">
        <f>IF(예비비!$R191="OK",SUMIFS(예비비!$O$430:$O$729,예비비!$B$430:$B$729,예비비!$A191,예비비!$E$430:$E$729,"&lt;"&amp;EDATE(BP$99,1),예비비!$F$430:$F$729,"결제대금비")+MAX(0,IF(예비비!$D191&lt;EDATE(BP$99,1),예비비!$E191,0)-SUMIFS(예비비!$O$430:$O$729,예비비!$B$430:$B$729,예비비!$A191,예비비!$E$430:$E$729,"&lt;"&amp;EDATE(BP$99,1))),0)</f>
        <v>0</v>
      </c>
      <c r="BQ191">
        <f>IF(예비비!$R191="OK",SUMIFS(예비비!$O$430:$O$729,예비비!$B$430:$B$729,예비비!$A191,예비비!$E$430:$E$729,"&lt;"&amp;EDATE(BQ$99,1),예비비!$F$430:$F$729,"결제대금비")+MAX(0,IF(예비비!$D191&lt;EDATE(BQ$99,1),예비비!$E191,0)-SUMIFS(예비비!$O$430:$O$729,예비비!$B$430:$B$729,예비비!$A191,예비비!$E$430:$E$729,"&lt;"&amp;EDATE(BQ$99,1))),0)</f>
        <v>0</v>
      </c>
      <c r="BR191">
        <f>IF(예비비!$R191="OK",SUMIFS(예비비!$O$430:$O$729,예비비!$B$430:$B$729,예비비!$A191,예비비!$E$430:$E$729,"&lt;"&amp;EDATE(BR$99,1),예비비!$F$430:$F$729,"결제대금비")+MAX(0,IF(예비비!$D191&lt;EDATE(BR$99,1),예비비!$E191,0)-SUMIFS(예비비!$O$430:$O$729,예비비!$B$430:$B$729,예비비!$A191,예비비!$E$430:$E$729,"&lt;"&amp;EDATE(BR$99,1))),0)</f>
        <v>0</v>
      </c>
      <c r="BS191">
        <f>IF(예비비!$R191="OK",SUMIFS(예비비!$O$430:$O$729,예비비!$B$430:$B$729,예비비!$A191,예비비!$E$430:$E$729,"&lt;"&amp;EDATE(BS$99,1),예비비!$F$430:$F$729,"결제대금비")+MAX(0,IF(예비비!$D191&lt;EDATE(BS$99,1),예비비!$E191,0)-SUMIFS(예비비!$O$430:$O$729,예비비!$B$430:$B$729,예비비!$A191,예비비!$E$430:$E$729,"&lt;"&amp;EDATE(BS$99,1))),0)</f>
        <v>0</v>
      </c>
      <c r="BT191">
        <f>IF(예비비!$R191="OK",SUMIFS(예비비!$O$430:$O$729,예비비!$B$430:$B$729,예비비!$A191,예비비!$E$430:$E$729,"&lt;"&amp;EDATE(BT$99,1),예비비!$F$430:$F$729,"결제대금비")+MAX(0,IF(예비비!$D191&lt;EDATE(BT$99,1),예비비!$E191,0)-SUMIFS(예비비!$O$430:$O$729,예비비!$B$430:$B$729,예비비!$A191,예비비!$E$430:$E$729,"&lt;"&amp;EDATE(BT$99,1))),0)</f>
        <v>0</v>
      </c>
      <c r="BU191">
        <f>IF(예비비!$R191="OK",SUMIFS(예비비!$O$430:$O$729,예비비!$B$430:$B$729,예비비!$A191,예비비!$E$430:$E$729,"&lt;"&amp;EDATE(BU$99,1),예비비!$F$430:$F$729,"결제대금비")+MAX(0,IF(예비비!$D191&lt;EDATE(BU$99,1),예비비!$E191,0)-SUMIFS(예비비!$O$430:$O$729,예비비!$B$430:$B$729,예비비!$A191,예비비!$E$430:$E$729,"&lt;"&amp;EDATE(BU$99,1))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  <c r="BI192">
        <f>IF(예비비!$R192="OK",SUMIFS(예비비!$O$430:$O$729,예비비!$B$430:$B$729,예비비!$A192,예비비!$E$430:$E$729,"&lt;"&amp;EDATE(BI$99,1),예비비!$F$430:$F$729,"결제대금비")+MAX(0,IF(예비비!$D192&lt;EDATE(BI$99,1),예비비!$E192,0)-SUMIFS(예비비!$O$430:$O$729,예비비!$B$430:$B$729,예비비!$A192,예비비!$E$430:$E$729,"&lt;"&amp;EDATE(BI$99,1))),0)</f>
        <v>0</v>
      </c>
      <c r="BJ192">
        <f>IF(예비비!$R192="OK",SUMIFS(예비비!$O$430:$O$729,예비비!$B$430:$B$729,예비비!$A192,예비비!$E$430:$E$729,"&lt;"&amp;EDATE(BJ$99,1),예비비!$F$430:$F$729,"결제대금비")+MAX(0,IF(예비비!$D192&lt;EDATE(BJ$99,1),예비비!$E192,0)-SUMIFS(예비비!$O$430:$O$729,예비비!$B$430:$B$729,예비비!$A192,예비비!$E$430:$E$729,"&lt;"&amp;EDATE(BJ$99,1))),0)</f>
        <v>0</v>
      </c>
      <c r="BK192">
        <f>IF(예비비!$R192="OK",SUMIFS(예비비!$O$430:$O$729,예비비!$B$430:$B$729,예비비!$A192,예비비!$E$430:$E$729,"&lt;"&amp;EDATE(BK$99,1),예비비!$F$430:$F$729,"결제대금비")+MAX(0,IF(예비비!$D192&lt;EDATE(BK$99,1),예비비!$E192,0)-SUMIFS(예비비!$O$430:$O$729,예비비!$B$430:$B$729,예비비!$A192,예비비!$E$430:$E$729,"&lt;"&amp;EDATE(BK$99,1))),0)</f>
        <v>0</v>
      </c>
      <c r="BL192">
        <f>IF(예비비!$R192="OK",SUMIFS(예비비!$O$430:$O$729,예비비!$B$430:$B$729,예비비!$A192,예비비!$E$430:$E$729,"&lt;"&amp;EDATE(BL$99,1),예비비!$F$430:$F$729,"결제대금비")+MAX(0,IF(예비비!$D192&lt;EDATE(BL$99,1),예비비!$E192,0)-SUMIFS(예비비!$O$430:$O$729,예비비!$B$430:$B$729,예비비!$A192,예비비!$E$430:$E$729,"&lt;"&amp;EDATE(BL$99,1))),0)</f>
        <v>0</v>
      </c>
      <c r="BM192">
        <f>IF(예비비!$R192="OK",SUMIFS(예비비!$O$430:$O$729,예비비!$B$430:$B$729,예비비!$A192,예비비!$E$430:$E$729,"&lt;"&amp;EDATE(BM$99,1),예비비!$F$430:$F$729,"결제대금비")+MAX(0,IF(예비비!$D192&lt;EDATE(BM$99,1),예비비!$E192,0)-SUMIFS(예비비!$O$430:$O$729,예비비!$B$430:$B$729,예비비!$A192,예비비!$E$430:$E$729,"&lt;"&amp;EDATE(BM$99,1))),0)</f>
        <v>0</v>
      </c>
      <c r="BN192">
        <f>IF(예비비!$R192="OK",SUMIFS(예비비!$O$430:$O$729,예비비!$B$430:$B$729,예비비!$A192,예비비!$E$430:$E$729,"&lt;"&amp;EDATE(BN$99,1),예비비!$F$430:$F$729,"결제대금비")+MAX(0,IF(예비비!$D192&lt;EDATE(BN$99,1),예비비!$E192,0)-SUMIFS(예비비!$O$430:$O$729,예비비!$B$430:$B$729,예비비!$A192,예비비!$E$430:$E$729,"&lt;"&amp;EDATE(BN$99,1))),0)</f>
        <v>0</v>
      </c>
      <c r="BO192">
        <f>IF(예비비!$R192="OK",SUMIFS(예비비!$O$430:$O$729,예비비!$B$430:$B$729,예비비!$A192,예비비!$E$430:$E$729,"&lt;"&amp;EDATE(BO$99,1),예비비!$F$430:$F$729,"결제대금비")+MAX(0,IF(예비비!$D192&lt;EDATE(BO$99,1),예비비!$E192,0)-SUMIFS(예비비!$O$430:$O$729,예비비!$B$430:$B$729,예비비!$A192,예비비!$E$430:$E$729,"&lt;"&amp;EDATE(BO$99,1))),0)</f>
        <v>0</v>
      </c>
      <c r="BP192">
        <f>IF(예비비!$R192="OK",SUMIFS(예비비!$O$430:$O$729,예비비!$B$430:$B$729,예비비!$A192,예비비!$E$430:$E$729,"&lt;"&amp;EDATE(BP$99,1),예비비!$F$430:$F$729,"결제대금비")+MAX(0,IF(예비비!$D192&lt;EDATE(BP$99,1),예비비!$E192,0)-SUMIFS(예비비!$O$430:$O$729,예비비!$B$430:$B$729,예비비!$A192,예비비!$E$430:$E$729,"&lt;"&amp;EDATE(BP$99,1))),0)</f>
        <v>0</v>
      </c>
      <c r="BQ192">
        <f>IF(예비비!$R192="OK",SUMIFS(예비비!$O$430:$O$729,예비비!$B$430:$B$729,예비비!$A192,예비비!$E$430:$E$729,"&lt;"&amp;EDATE(BQ$99,1),예비비!$F$430:$F$729,"결제대금비")+MAX(0,IF(예비비!$D192&lt;EDATE(BQ$99,1),예비비!$E192,0)-SUMIFS(예비비!$O$430:$O$729,예비비!$B$430:$B$729,예비비!$A192,예비비!$E$430:$E$729,"&lt;"&amp;EDATE(BQ$99,1))),0)</f>
        <v>0</v>
      </c>
      <c r="BR192">
        <f>IF(예비비!$R192="OK",SUMIFS(예비비!$O$430:$O$729,예비비!$B$430:$B$729,예비비!$A192,예비비!$E$430:$E$729,"&lt;"&amp;EDATE(BR$99,1),예비비!$F$430:$F$729,"결제대금비")+MAX(0,IF(예비비!$D192&lt;EDATE(BR$99,1),예비비!$E192,0)-SUMIFS(예비비!$O$430:$O$729,예비비!$B$430:$B$729,예비비!$A192,예비비!$E$430:$E$729,"&lt;"&amp;EDATE(BR$99,1))),0)</f>
        <v>0</v>
      </c>
      <c r="BS192">
        <f>IF(예비비!$R192="OK",SUMIFS(예비비!$O$430:$O$729,예비비!$B$430:$B$729,예비비!$A192,예비비!$E$430:$E$729,"&lt;"&amp;EDATE(BS$99,1),예비비!$F$430:$F$729,"결제대금비")+MAX(0,IF(예비비!$D192&lt;EDATE(BS$99,1),예비비!$E192,0)-SUMIFS(예비비!$O$430:$O$729,예비비!$B$430:$B$729,예비비!$A192,예비비!$E$430:$E$729,"&lt;"&amp;EDATE(BS$99,1))),0)</f>
        <v>0</v>
      </c>
      <c r="BT192">
        <f>IF(예비비!$R192="OK",SUMIFS(예비비!$O$430:$O$729,예비비!$B$430:$B$729,예비비!$A192,예비비!$E$430:$E$729,"&lt;"&amp;EDATE(BT$99,1),예비비!$F$430:$F$729,"결제대금비")+MAX(0,IF(예비비!$D192&lt;EDATE(BT$99,1),예비비!$E192,0)-SUMIFS(예비비!$O$430:$O$729,예비비!$B$430:$B$729,예비비!$A192,예비비!$E$430:$E$729,"&lt;"&amp;EDATE(BT$99,1))),0)</f>
        <v>0</v>
      </c>
      <c r="BU192">
        <f>IF(예비비!$R192="OK",SUMIFS(예비비!$O$430:$O$729,예비비!$B$430:$B$729,예비비!$A192,예비비!$E$430:$E$729,"&lt;"&amp;EDATE(BU$99,1),예비비!$F$430:$F$729,"결제대금비")+MAX(0,IF(예비비!$D192&lt;EDATE(BU$99,1),예비비!$E192,0)-SUMIFS(예비비!$O$430:$O$729,예비비!$B$430:$B$729,예비비!$A192,예비비!$E$430:$E$729,"&lt;"&amp;EDATE(BU$99,1))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  <c r="BI193">
        <f>IF(예비비!$R193="OK",SUMIFS(예비비!$O$430:$O$729,예비비!$B$430:$B$729,예비비!$A193,예비비!$E$430:$E$729,"&lt;"&amp;EDATE(BI$99,1),예비비!$F$430:$F$729,"결제대금비")+MAX(0,IF(예비비!$D193&lt;EDATE(BI$99,1),예비비!$E193,0)-SUMIFS(예비비!$O$430:$O$729,예비비!$B$430:$B$729,예비비!$A193,예비비!$E$430:$E$729,"&lt;"&amp;EDATE(BI$99,1))),0)</f>
        <v>0</v>
      </c>
      <c r="BJ193">
        <f>IF(예비비!$R193="OK",SUMIFS(예비비!$O$430:$O$729,예비비!$B$430:$B$729,예비비!$A193,예비비!$E$430:$E$729,"&lt;"&amp;EDATE(BJ$99,1),예비비!$F$430:$F$729,"결제대금비")+MAX(0,IF(예비비!$D193&lt;EDATE(BJ$99,1),예비비!$E193,0)-SUMIFS(예비비!$O$430:$O$729,예비비!$B$430:$B$729,예비비!$A193,예비비!$E$430:$E$729,"&lt;"&amp;EDATE(BJ$99,1))),0)</f>
        <v>0</v>
      </c>
      <c r="BK193">
        <f>IF(예비비!$R193="OK",SUMIFS(예비비!$O$430:$O$729,예비비!$B$430:$B$729,예비비!$A193,예비비!$E$430:$E$729,"&lt;"&amp;EDATE(BK$99,1),예비비!$F$430:$F$729,"결제대금비")+MAX(0,IF(예비비!$D193&lt;EDATE(BK$99,1),예비비!$E193,0)-SUMIFS(예비비!$O$430:$O$729,예비비!$B$430:$B$729,예비비!$A193,예비비!$E$430:$E$729,"&lt;"&amp;EDATE(BK$99,1))),0)</f>
        <v>0</v>
      </c>
      <c r="BL193">
        <f>IF(예비비!$R193="OK",SUMIFS(예비비!$O$430:$O$729,예비비!$B$430:$B$729,예비비!$A193,예비비!$E$430:$E$729,"&lt;"&amp;EDATE(BL$99,1),예비비!$F$430:$F$729,"결제대금비")+MAX(0,IF(예비비!$D193&lt;EDATE(BL$99,1),예비비!$E193,0)-SUMIFS(예비비!$O$430:$O$729,예비비!$B$430:$B$729,예비비!$A193,예비비!$E$430:$E$729,"&lt;"&amp;EDATE(BL$99,1))),0)</f>
        <v>0</v>
      </c>
      <c r="BM193">
        <f>IF(예비비!$R193="OK",SUMIFS(예비비!$O$430:$O$729,예비비!$B$430:$B$729,예비비!$A193,예비비!$E$430:$E$729,"&lt;"&amp;EDATE(BM$99,1),예비비!$F$430:$F$729,"결제대금비")+MAX(0,IF(예비비!$D193&lt;EDATE(BM$99,1),예비비!$E193,0)-SUMIFS(예비비!$O$430:$O$729,예비비!$B$430:$B$729,예비비!$A193,예비비!$E$430:$E$729,"&lt;"&amp;EDATE(BM$99,1))),0)</f>
        <v>0</v>
      </c>
      <c r="BN193">
        <f>IF(예비비!$R193="OK",SUMIFS(예비비!$O$430:$O$729,예비비!$B$430:$B$729,예비비!$A193,예비비!$E$430:$E$729,"&lt;"&amp;EDATE(BN$99,1),예비비!$F$430:$F$729,"결제대금비")+MAX(0,IF(예비비!$D193&lt;EDATE(BN$99,1),예비비!$E193,0)-SUMIFS(예비비!$O$430:$O$729,예비비!$B$430:$B$729,예비비!$A193,예비비!$E$430:$E$729,"&lt;"&amp;EDATE(BN$99,1))),0)</f>
        <v>0</v>
      </c>
      <c r="BO193">
        <f>IF(예비비!$R193="OK",SUMIFS(예비비!$O$430:$O$729,예비비!$B$430:$B$729,예비비!$A193,예비비!$E$430:$E$729,"&lt;"&amp;EDATE(BO$99,1),예비비!$F$430:$F$729,"결제대금비")+MAX(0,IF(예비비!$D193&lt;EDATE(BO$99,1),예비비!$E193,0)-SUMIFS(예비비!$O$430:$O$729,예비비!$B$430:$B$729,예비비!$A193,예비비!$E$430:$E$729,"&lt;"&amp;EDATE(BO$99,1))),0)</f>
        <v>0</v>
      </c>
      <c r="BP193">
        <f>IF(예비비!$R193="OK",SUMIFS(예비비!$O$430:$O$729,예비비!$B$430:$B$729,예비비!$A193,예비비!$E$430:$E$729,"&lt;"&amp;EDATE(BP$99,1),예비비!$F$430:$F$729,"결제대금비")+MAX(0,IF(예비비!$D193&lt;EDATE(BP$99,1),예비비!$E193,0)-SUMIFS(예비비!$O$430:$O$729,예비비!$B$430:$B$729,예비비!$A193,예비비!$E$430:$E$729,"&lt;"&amp;EDATE(BP$99,1))),0)</f>
        <v>0</v>
      </c>
      <c r="BQ193">
        <f>IF(예비비!$R193="OK",SUMIFS(예비비!$O$430:$O$729,예비비!$B$430:$B$729,예비비!$A193,예비비!$E$430:$E$729,"&lt;"&amp;EDATE(BQ$99,1),예비비!$F$430:$F$729,"결제대금비")+MAX(0,IF(예비비!$D193&lt;EDATE(BQ$99,1),예비비!$E193,0)-SUMIFS(예비비!$O$430:$O$729,예비비!$B$430:$B$729,예비비!$A193,예비비!$E$430:$E$729,"&lt;"&amp;EDATE(BQ$99,1))),0)</f>
        <v>0</v>
      </c>
      <c r="BR193">
        <f>IF(예비비!$R193="OK",SUMIFS(예비비!$O$430:$O$729,예비비!$B$430:$B$729,예비비!$A193,예비비!$E$430:$E$729,"&lt;"&amp;EDATE(BR$99,1),예비비!$F$430:$F$729,"결제대금비")+MAX(0,IF(예비비!$D193&lt;EDATE(BR$99,1),예비비!$E193,0)-SUMIFS(예비비!$O$430:$O$729,예비비!$B$430:$B$729,예비비!$A193,예비비!$E$430:$E$729,"&lt;"&amp;EDATE(BR$99,1))),0)</f>
        <v>0</v>
      </c>
      <c r="BS193">
        <f>IF(예비비!$R193="OK",SUMIFS(예비비!$O$430:$O$729,예비비!$B$430:$B$729,예비비!$A193,예비비!$E$430:$E$729,"&lt;"&amp;EDATE(BS$99,1),예비비!$F$430:$F$729,"결제대금비")+MAX(0,IF(예비비!$D193&lt;EDATE(BS$99,1),예비비!$E193,0)-SUMIFS(예비비!$O$430:$O$729,예비비!$B$430:$B$729,예비비!$A193,예비비!$E$430:$E$729,"&lt;"&amp;EDATE(BS$99,1))),0)</f>
        <v>0</v>
      </c>
      <c r="BT193">
        <f>IF(예비비!$R193="OK",SUMIFS(예비비!$O$430:$O$729,예비비!$B$430:$B$729,예비비!$A193,예비비!$E$430:$E$729,"&lt;"&amp;EDATE(BT$99,1),예비비!$F$430:$F$729,"결제대금비")+MAX(0,IF(예비비!$D193&lt;EDATE(BT$99,1),예비비!$E193,0)-SUMIFS(예비비!$O$430:$O$729,예비비!$B$430:$B$729,예비비!$A193,예비비!$E$430:$E$729,"&lt;"&amp;EDATE(BT$99,1))),0)</f>
        <v>0</v>
      </c>
      <c r="BU193">
        <f>IF(예비비!$R193="OK",SUMIFS(예비비!$O$430:$O$729,예비비!$B$430:$B$729,예비비!$A193,예비비!$E$430:$E$729,"&lt;"&amp;EDATE(BU$99,1),예비비!$F$430:$F$729,"결제대금비")+MAX(0,IF(예비비!$D193&lt;EDATE(BU$99,1),예비비!$E193,0)-SUMIFS(예비비!$O$430:$O$729,예비비!$B$430:$B$729,예비비!$A193,예비비!$E$430:$E$729,"&lt;"&amp;EDATE(BU$99,1))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  <c r="BI194">
        <f>IF(예비비!$R194="OK",SUMIFS(예비비!$O$430:$O$729,예비비!$B$430:$B$729,예비비!$A194,예비비!$E$430:$E$729,"&lt;"&amp;EDATE(BI$99,1),예비비!$F$430:$F$729,"결제대금비")+MAX(0,IF(예비비!$D194&lt;EDATE(BI$99,1),예비비!$E194,0)-SUMIFS(예비비!$O$430:$O$729,예비비!$B$430:$B$729,예비비!$A194,예비비!$E$430:$E$729,"&lt;"&amp;EDATE(BI$99,1))),0)</f>
        <v>0</v>
      </c>
      <c r="BJ194">
        <f>IF(예비비!$R194="OK",SUMIFS(예비비!$O$430:$O$729,예비비!$B$430:$B$729,예비비!$A194,예비비!$E$430:$E$729,"&lt;"&amp;EDATE(BJ$99,1),예비비!$F$430:$F$729,"결제대금비")+MAX(0,IF(예비비!$D194&lt;EDATE(BJ$99,1),예비비!$E194,0)-SUMIFS(예비비!$O$430:$O$729,예비비!$B$430:$B$729,예비비!$A194,예비비!$E$430:$E$729,"&lt;"&amp;EDATE(BJ$99,1))),0)</f>
        <v>0</v>
      </c>
      <c r="BK194">
        <f>IF(예비비!$R194="OK",SUMIFS(예비비!$O$430:$O$729,예비비!$B$430:$B$729,예비비!$A194,예비비!$E$430:$E$729,"&lt;"&amp;EDATE(BK$99,1),예비비!$F$430:$F$729,"결제대금비")+MAX(0,IF(예비비!$D194&lt;EDATE(BK$99,1),예비비!$E194,0)-SUMIFS(예비비!$O$430:$O$729,예비비!$B$430:$B$729,예비비!$A194,예비비!$E$430:$E$729,"&lt;"&amp;EDATE(BK$99,1))),0)</f>
        <v>0</v>
      </c>
      <c r="BL194">
        <f>IF(예비비!$R194="OK",SUMIFS(예비비!$O$430:$O$729,예비비!$B$430:$B$729,예비비!$A194,예비비!$E$430:$E$729,"&lt;"&amp;EDATE(BL$99,1),예비비!$F$430:$F$729,"결제대금비")+MAX(0,IF(예비비!$D194&lt;EDATE(BL$99,1),예비비!$E194,0)-SUMIFS(예비비!$O$430:$O$729,예비비!$B$430:$B$729,예비비!$A194,예비비!$E$430:$E$729,"&lt;"&amp;EDATE(BL$99,1))),0)</f>
        <v>0</v>
      </c>
      <c r="BM194">
        <f>IF(예비비!$R194="OK",SUMIFS(예비비!$O$430:$O$729,예비비!$B$430:$B$729,예비비!$A194,예비비!$E$430:$E$729,"&lt;"&amp;EDATE(BM$99,1),예비비!$F$430:$F$729,"결제대금비")+MAX(0,IF(예비비!$D194&lt;EDATE(BM$99,1),예비비!$E194,0)-SUMIFS(예비비!$O$430:$O$729,예비비!$B$430:$B$729,예비비!$A194,예비비!$E$430:$E$729,"&lt;"&amp;EDATE(BM$99,1))),0)</f>
        <v>0</v>
      </c>
      <c r="BN194">
        <f>IF(예비비!$R194="OK",SUMIFS(예비비!$O$430:$O$729,예비비!$B$430:$B$729,예비비!$A194,예비비!$E$430:$E$729,"&lt;"&amp;EDATE(BN$99,1),예비비!$F$430:$F$729,"결제대금비")+MAX(0,IF(예비비!$D194&lt;EDATE(BN$99,1),예비비!$E194,0)-SUMIFS(예비비!$O$430:$O$729,예비비!$B$430:$B$729,예비비!$A194,예비비!$E$430:$E$729,"&lt;"&amp;EDATE(BN$99,1))),0)</f>
        <v>0</v>
      </c>
      <c r="BO194">
        <f>IF(예비비!$R194="OK",SUMIFS(예비비!$O$430:$O$729,예비비!$B$430:$B$729,예비비!$A194,예비비!$E$430:$E$729,"&lt;"&amp;EDATE(BO$99,1),예비비!$F$430:$F$729,"결제대금비")+MAX(0,IF(예비비!$D194&lt;EDATE(BO$99,1),예비비!$E194,0)-SUMIFS(예비비!$O$430:$O$729,예비비!$B$430:$B$729,예비비!$A194,예비비!$E$430:$E$729,"&lt;"&amp;EDATE(BO$99,1))),0)</f>
        <v>0</v>
      </c>
      <c r="BP194">
        <f>IF(예비비!$R194="OK",SUMIFS(예비비!$O$430:$O$729,예비비!$B$430:$B$729,예비비!$A194,예비비!$E$430:$E$729,"&lt;"&amp;EDATE(BP$99,1),예비비!$F$430:$F$729,"결제대금비")+MAX(0,IF(예비비!$D194&lt;EDATE(BP$99,1),예비비!$E194,0)-SUMIFS(예비비!$O$430:$O$729,예비비!$B$430:$B$729,예비비!$A194,예비비!$E$430:$E$729,"&lt;"&amp;EDATE(BP$99,1))),0)</f>
        <v>0</v>
      </c>
      <c r="BQ194">
        <f>IF(예비비!$R194="OK",SUMIFS(예비비!$O$430:$O$729,예비비!$B$430:$B$729,예비비!$A194,예비비!$E$430:$E$729,"&lt;"&amp;EDATE(BQ$99,1),예비비!$F$430:$F$729,"결제대금비")+MAX(0,IF(예비비!$D194&lt;EDATE(BQ$99,1),예비비!$E194,0)-SUMIFS(예비비!$O$430:$O$729,예비비!$B$430:$B$729,예비비!$A194,예비비!$E$430:$E$729,"&lt;"&amp;EDATE(BQ$99,1))),0)</f>
        <v>0</v>
      </c>
      <c r="BR194">
        <f>IF(예비비!$R194="OK",SUMIFS(예비비!$O$430:$O$729,예비비!$B$430:$B$729,예비비!$A194,예비비!$E$430:$E$729,"&lt;"&amp;EDATE(BR$99,1),예비비!$F$430:$F$729,"결제대금비")+MAX(0,IF(예비비!$D194&lt;EDATE(BR$99,1),예비비!$E194,0)-SUMIFS(예비비!$O$430:$O$729,예비비!$B$430:$B$729,예비비!$A194,예비비!$E$430:$E$729,"&lt;"&amp;EDATE(BR$99,1))),0)</f>
        <v>0</v>
      </c>
      <c r="BS194">
        <f>IF(예비비!$R194="OK",SUMIFS(예비비!$O$430:$O$729,예비비!$B$430:$B$729,예비비!$A194,예비비!$E$430:$E$729,"&lt;"&amp;EDATE(BS$99,1),예비비!$F$430:$F$729,"결제대금비")+MAX(0,IF(예비비!$D194&lt;EDATE(BS$99,1),예비비!$E194,0)-SUMIFS(예비비!$O$430:$O$729,예비비!$B$430:$B$729,예비비!$A194,예비비!$E$430:$E$729,"&lt;"&amp;EDATE(BS$99,1))),0)</f>
        <v>0</v>
      </c>
      <c r="BT194">
        <f>IF(예비비!$R194="OK",SUMIFS(예비비!$O$430:$O$729,예비비!$B$430:$B$729,예비비!$A194,예비비!$E$430:$E$729,"&lt;"&amp;EDATE(BT$99,1),예비비!$F$430:$F$729,"결제대금비")+MAX(0,IF(예비비!$D194&lt;EDATE(BT$99,1),예비비!$E194,0)-SUMIFS(예비비!$O$430:$O$729,예비비!$B$430:$B$729,예비비!$A194,예비비!$E$430:$E$729,"&lt;"&amp;EDATE(BT$99,1))),0)</f>
        <v>0</v>
      </c>
      <c r="BU194">
        <f>IF(예비비!$R194="OK",SUMIFS(예비비!$O$430:$O$729,예비비!$B$430:$B$729,예비비!$A194,예비비!$E$430:$E$729,"&lt;"&amp;EDATE(BU$99,1),예비비!$F$430:$F$729,"결제대금비")+MAX(0,IF(예비비!$D194&lt;EDATE(BU$99,1),예비비!$E194,0)-SUMIFS(예비비!$O$430:$O$729,예비비!$B$430:$B$729,예비비!$A194,예비비!$E$430:$E$729,"&lt;"&amp;EDATE(BU$99,1))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  <c r="BI195">
        <f>IF(예비비!$R195="OK",SUMIFS(예비비!$O$430:$O$729,예비비!$B$430:$B$729,예비비!$A195,예비비!$E$430:$E$729,"&lt;"&amp;EDATE(BI$99,1),예비비!$F$430:$F$729,"결제대금비")+MAX(0,IF(예비비!$D195&lt;EDATE(BI$99,1),예비비!$E195,0)-SUMIFS(예비비!$O$430:$O$729,예비비!$B$430:$B$729,예비비!$A195,예비비!$E$430:$E$729,"&lt;"&amp;EDATE(BI$99,1))),0)</f>
        <v>0</v>
      </c>
      <c r="BJ195">
        <f>IF(예비비!$R195="OK",SUMIFS(예비비!$O$430:$O$729,예비비!$B$430:$B$729,예비비!$A195,예비비!$E$430:$E$729,"&lt;"&amp;EDATE(BJ$99,1),예비비!$F$430:$F$729,"결제대금비")+MAX(0,IF(예비비!$D195&lt;EDATE(BJ$99,1),예비비!$E195,0)-SUMIFS(예비비!$O$430:$O$729,예비비!$B$430:$B$729,예비비!$A195,예비비!$E$430:$E$729,"&lt;"&amp;EDATE(BJ$99,1))),0)</f>
        <v>0</v>
      </c>
      <c r="BK195">
        <f>IF(예비비!$R195="OK",SUMIFS(예비비!$O$430:$O$729,예비비!$B$430:$B$729,예비비!$A195,예비비!$E$430:$E$729,"&lt;"&amp;EDATE(BK$99,1),예비비!$F$430:$F$729,"결제대금비")+MAX(0,IF(예비비!$D195&lt;EDATE(BK$99,1),예비비!$E195,0)-SUMIFS(예비비!$O$430:$O$729,예비비!$B$430:$B$729,예비비!$A195,예비비!$E$430:$E$729,"&lt;"&amp;EDATE(BK$99,1))),0)</f>
        <v>0</v>
      </c>
      <c r="BL195">
        <f>IF(예비비!$R195="OK",SUMIFS(예비비!$O$430:$O$729,예비비!$B$430:$B$729,예비비!$A195,예비비!$E$430:$E$729,"&lt;"&amp;EDATE(BL$99,1),예비비!$F$430:$F$729,"결제대금비")+MAX(0,IF(예비비!$D195&lt;EDATE(BL$99,1),예비비!$E195,0)-SUMIFS(예비비!$O$430:$O$729,예비비!$B$430:$B$729,예비비!$A195,예비비!$E$430:$E$729,"&lt;"&amp;EDATE(BL$99,1))),0)</f>
        <v>0</v>
      </c>
      <c r="BM195">
        <f>IF(예비비!$R195="OK",SUMIFS(예비비!$O$430:$O$729,예비비!$B$430:$B$729,예비비!$A195,예비비!$E$430:$E$729,"&lt;"&amp;EDATE(BM$99,1),예비비!$F$430:$F$729,"결제대금비")+MAX(0,IF(예비비!$D195&lt;EDATE(BM$99,1),예비비!$E195,0)-SUMIFS(예비비!$O$430:$O$729,예비비!$B$430:$B$729,예비비!$A195,예비비!$E$430:$E$729,"&lt;"&amp;EDATE(BM$99,1))),0)</f>
        <v>0</v>
      </c>
      <c r="BN195">
        <f>IF(예비비!$R195="OK",SUMIFS(예비비!$O$430:$O$729,예비비!$B$430:$B$729,예비비!$A195,예비비!$E$430:$E$729,"&lt;"&amp;EDATE(BN$99,1),예비비!$F$430:$F$729,"결제대금비")+MAX(0,IF(예비비!$D195&lt;EDATE(BN$99,1),예비비!$E195,0)-SUMIFS(예비비!$O$430:$O$729,예비비!$B$430:$B$729,예비비!$A195,예비비!$E$430:$E$729,"&lt;"&amp;EDATE(BN$99,1))),0)</f>
        <v>0</v>
      </c>
      <c r="BO195">
        <f>IF(예비비!$R195="OK",SUMIFS(예비비!$O$430:$O$729,예비비!$B$430:$B$729,예비비!$A195,예비비!$E$430:$E$729,"&lt;"&amp;EDATE(BO$99,1),예비비!$F$430:$F$729,"결제대금비")+MAX(0,IF(예비비!$D195&lt;EDATE(BO$99,1),예비비!$E195,0)-SUMIFS(예비비!$O$430:$O$729,예비비!$B$430:$B$729,예비비!$A195,예비비!$E$430:$E$729,"&lt;"&amp;EDATE(BO$99,1))),0)</f>
        <v>0</v>
      </c>
      <c r="BP195">
        <f>IF(예비비!$R195="OK",SUMIFS(예비비!$O$430:$O$729,예비비!$B$430:$B$729,예비비!$A195,예비비!$E$430:$E$729,"&lt;"&amp;EDATE(BP$99,1),예비비!$F$430:$F$729,"결제대금비")+MAX(0,IF(예비비!$D195&lt;EDATE(BP$99,1),예비비!$E195,0)-SUMIFS(예비비!$O$430:$O$729,예비비!$B$430:$B$729,예비비!$A195,예비비!$E$430:$E$729,"&lt;"&amp;EDATE(BP$99,1))),0)</f>
        <v>0</v>
      </c>
      <c r="BQ195">
        <f>IF(예비비!$R195="OK",SUMIFS(예비비!$O$430:$O$729,예비비!$B$430:$B$729,예비비!$A195,예비비!$E$430:$E$729,"&lt;"&amp;EDATE(BQ$99,1),예비비!$F$430:$F$729,"결제대금비")+MAX(0,IF(예비비!$D195&lt;EDATE(BQ$99,1),예비비!$E195,0)-SUMIFS(예비비!$O$430:$O$729,예비비!$B$430:$B$729,예비비!$A195,예비비!$E$430:$E$729,"&lt;"&amp;EDATE(BQ$99,1))),0)</f>
        <v>0</v>
      </c>
      <c r="BR195">
        <f>IF(예비비!$R195="OK",SUMIFS(예비비!$O$430:$O$729,예비비!$B$430:$B$729,예비비!$A195,예비비!$E$430:$E$729,"&lt;"&amp;EDATE(BR$99,1),예비비!$F$430:$F$729,"결제대금비")+MAX(0,IF(예비비!$D195&lt;EDATE(BR$99,1),예비비!$E195,0)-SUMIFS(예비비!$O$430:$O$729,예비비!$B$430:$B$729,예비비!$A195,예비비!$E$430:$E$729,"&lt;"&amp;EDATE(BR$99,1))),0)</f>
        <v>0</v>
      </c>
      <c r="BS195">
        <f>IF(예비비!$R195="OK",SUMIFS(예비비!$O$430:$O$729,예비비!$B$430:$B$729,예비비!$A195,예비비!$E$430:$E$729,"&lt;"&amp;EDATE(BS$99,1),예비비!$F$430:$F$729,"결제대금비")+MAX(0,IF(예비비!$D195&lt;EDATE(BS$99,1),예비비!$E195,0)-SUMIFS(예비비!$O$430:$O$729,예비비!$B$430:$B$729,예비비!$A195,예비비!$E$430:$E$729,"&lt;"&amp;EDATE(BS$99,1))),0)</f>
        <v>0</v>
      </c>
      <c r="BT195">
        <f>IF(예비비!$R195="OK",SUMIFS(예비비!$O$430:$O$729,예비비!$B$430:$B$729,예비비!$A195,예비비!$E$430:$E$729,"&lt;"&amp;EDATE(BT$99,1),예비비!$F$430:$F$729,"결제대금비")+MAX(0,IF(예비비!$D195&lt;EDATE(BT$99,1),예비비!$E195,0)-SUMIFS(예비비!$O$430:$O$729,예비비!$B$430:$B$729,예비비!$A195,예비비!$E$430:$E$729,"&lt;"&amp;EDATE(BT$99,1))),0)</f>
        <v>0</v>
      </c>
      <c r="BU195">
        <f>IF(예비비!$R195="OK",SUMIFS(예비비!$O$430:$O$729,예비비!$B$430:$B$729,예비비!$A195,예비비!$E$430:$E$729,"&lt;"&amp;EDATE(BU$99,1),예비비!$F$430:$F$729,"결제대금비")+MAX(0,IF(예비비!$D195&lt;EDATE(BU$99,1),예비비!$E195,0)-SUMIFS(예비비!$O$430:$O$729,예비비!$B$430:$B$729,예비비!$A195,예비비!$E$430:$E$729,"&lt;"&amp;EDATE(BU$99,1))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  <c r="BI196">
        <f>IF(예비비!$R196="OK",SUMIFS(예비비!$O$430:$O$729,예비비!$B$430:$B$729,예비비!$A196,예비비!$E$430:$E$729,"&lt;"&amp;EDATE(BI$99,1),예비비!$F$430:$F$729,"결제대금비")+MAX(0,IF(예비비!$D196&lt;EDATE(BI$99,1),예비비!$E196,0)-SUMIFS(예비비!$O$430:$O$729,예비비!$B$430:$B$729,예비비!$A196,예비비!$E$430:$E$729,"&lt;"&amp;EDATE(BI$99,1))),0)</f>
        <v>0</v>
      </c>
      <c r="BJ196">
        <f>IF(예비비!$R196="OK",SUMIFS(예비비!$O$430:$O$729,예비비!$B$430:$B$729,예비비!$A196,예비비!$E$430:$E$729,"&lt;"&amp;EDATE(BJ$99,1),예비비!$F$430:$F$729,"결제대금비")+MAX(0,IF(예비비!$D196&lt;EDATE(BJ$99,1),예비비!$E196,0)-SUMIFS(예비비!$O$430:$O$729,예비비!$B$430:$B$729,예비비!$A196,예비비!$E$430:$E$729,"&lt;"&amp;EDATE(BJ$99,1))),0)</f>
        <v>0</v>
      </c>
      <c r="BK196">
        <f>IF(예비비!$R196="OK",SUMIFS(예비비!$O$430:$O$729,예비비!$B$430:$B$729,예비비!$A196,예비비!$E$430:$E$729,"&lt;"&amp;EDATE(BK$99,1),예비비!$F$430:$F$729,"결제대금비")+MAX(0,IF(예비비!$D196&lt;EDATE(BK$99,1),예비비!$E196,0)-SUMIFS(예비비!$O$430:$O$729,예비비!$B$430:$B$729,예비비!$A196,예비비!$E$430:$E$729,"&lt;"&amp;EDATE(BK$99,1))),0)</f>
        <v>0</v>
      </c>
      <c r="BL196">
        <f>IF(예비비!$R196="OK",SUMIFS(예비비!$O$430:$O$729,예비비!$B$430:$B$729,예비비!$A196,예비비!$E$430:$E$729,"&lt;"&amp;EDATE(BL$99,1),예비비!$F$430:$F$729,"결제대금비")+MAX(0,IF(예비비!$D196&lt;EDATE(BL$99,1),예비비!$E196,0)-SUMIFS(예비비!$O$430:$O$729,예비비!$B$430:$B$729,예비비!$A196,예비비!$E$430:$E$729,"&lt;"&amp;EDATE(BL$99,1))),0)</f>
        <v>0</v>
      </c>
      <c r="BM196">
        <f>IF(예비비!$R196="OK",SUMIFS(예비비!$O$430:$O$729,예비비!$B$430:$B$729,예비비!$A196,예비비!$E$430:$E$729,"&lt;"&amp;EDATE(BM$99,1),예비비!$F$430:$F$729,"결제대금비")+MAX(0,IF(예비비!$D196&lt;EDATE(BM$99,1),예비비!$E196,0)-SUMIFS(예비비!$O$430:$O$729,예비비!$B$430:$B$729,예비비!$A196,예비비!$E$430:$E$729,"&lt;"&amp;EDATE(BM$99,1))),0)</f>
        <v>0</v>
      </c>
      <c r="BN196">
        <f>IF(예비비!$R196="OK",SUMIFS(예비비!$O$430:$O$729,예비비!$B$430:$B$729,예비비!$A196,예비비!$E$430:$E$729,"&lt;"&amp;EDATE(BN$99,1),예비비!$F$430:$F$729,"결제대금비")+MAX(0,IF(예비비!$D196&lt;EDATE(BN$99,1),예비비!$E196,0)-SUMIFS(예비비!$O$430:$O$729,예비비!$B$430:$B$729,예비비!$A196,예비비!$E$430:$E$729,"&lt;"&amp;EDATE(BN$99,1))),0)</f>
        <v>0</v>
      </c>
      <c r="BO196">
        <f>IF(예비비!$R196="OK",SUMIFS(예비비!$O$430:$O$729,예비비!$B$430:$B$729,예비비!$A196,예비비!$E$430:$E$729,"&lt;"&amp;EDATE(BO$99,1),예비비!$F$430:$F$729,"결제대금비")+MAX(0,IF(예비비!$D196&lt;EDATE(BO$99,1),예비비!$E196,0)-SUMIFS(예비비!$O$430:$O$729,예비비!$B$430:$B$729,예비비!$A196,예비비!$E$430:$E$729,"&lt;"&amp;EDATE(BO$99,1))),0)</f>
        <v>0</v>
      </c>
      <c r="BP196">
        <f>IF(예비비!$R196="OK",SUMIFS(예비비!$O$430:$O$729,예비비!$B$430:$B$729,예비비!$A196,예비비!$E$430:$E$729,"&lt;"&amp;EDATE(BP$99,1),예비비!$F$430:$F$729,"결제대금비")+MAX(0,IF(예비비!$D196&lt;EDATE(BP$99,1),예비비!$E196,0)-SUMIFS(예비비!$O$430:$O$729,예비비!$B$430:$B$729,예비비!$A196,예비비!$E$430:$E$729,"&lt;"&amp;EDATE(BP$99,1))),0)</f>
        <v>0</v>
      </c>
      <c r="BQ196">
        <f>IF(예비비!$R196="OK",SUMIFS(예비비!$O$430:$O$729,예비비!$B$430:$B$729,예비비!$A196,예비비!$E$430:$E$729,"&lt;"&amp;EDATE(BQ$99,1),예비비!$F$430:$F$729,"결제대금비")+MAX(0,IF(예비비!$D196&lt;EDATE(BQ$99,1),예비비!$E196,0)-SUMIFS(예비비!$O$430:$O$729,예비비!$B$430:$B$729,예비비!$A196,예비비!$E$430:$E$729,"&lt;"&amp;EDATE(BQ$99,1))),0)</f>
        <v>0</v>
      </c>
      <c r="BR196">
        <f>IF(예비비!$R196="OK",SUMIFS(예비비!$O$430:$O$729,예비비!$B$430:$B$729,예비비!$A196,예비비!$E$430:$E$729,"&lt;"&amp;EDATE(BR$99,1),예비비!$F$430:$F$729,"결제대금비")+MAX(0,IF(예비비!$D196&lt;EDATE(BR$99,1),예비비!$E196,0)-SUMIFS(예비비!$O$430:$O$729,예비비!$B$430:$B$729,예비비!$A196,예비비!$E$430:$E$729,"&lt;"&amp;EDATE(BR$99,1))),0)</f>
        <v>0</v>
      </c>
      <c r="BS196">
        <f>IF(예비비!$R196="OK",SUMIFS(예비비!$O$430:$O$729,예비비!$B$430:$B$729,예비비!$A196,예비비!$E$430:$E$729,"&lt;"&amp;EDATE(BS$99,1),예비비!$F$430:$F$729,"결제대금비")+MAX(0,IF(예비비!$D196&lt;EDATE(BS$99,1),예비비!$E196,0)-SUMIFS(예비비!$O$430:$O$729,예비비!$B$430:$B$729,예비비!$A196,예비비!$E$430:$E$729,"&lt;"&amp;EDATE(BS$99,1))),0)</f>
        <v>0</v>
      </c>
      <c r="BT196">
        <f>IF(예비비!$R196="OK",SUMIFS(예비비!$O$430:$O$729,예비비!$B$430:$B$729,예비비!$A196,예비비!$E$430:$E$729,"&lt;"&amp;EDATE(BT$99,1),예비비!$F$430:$F$729,"결제대금비")+MAX(0,IF(예비비!$D196&lt;EDATE(BT$99,1),예비비!$E196,0)-SUMIFS(예비비!$O$430:$O$729,예비비!$B$430:$B$729,예비비!$A196,예비비!$E$430:$E$729,"&lt;"&amp;EDATE(BT$99,1))),0)</f>
        <v>0</v>
      </c>
      <c r="BU196">
        <f>IF(예비비!$R196="OK",SUMIFS(예비비!$O$430:$O$729,예비비!$B$430:$B$729,예비비!$A196,예비비!$E$430:$E$729,"&lt;"&amp;EDATE(BU$99,1),예비비!$F$430:$F$729,"결제대금비")+MAX(0,IF(예비비!$D196&lt;EDATE(BU$99,1),예비비!$E196,0)-SUMIFS(예비비!$O$430:$O$729,예비비!$B$430:$B$729,예비비!$A196,예비비!$E$430:$E$729,"&lt;"&amp;EDATE(BU$99,1))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  <c r="BI197">
        <f>IF(예비비!$R197="OK",SUMIFS(예비비!$O$430:$O$729,예비비!$B$430:$B$729,예비비!$A197,예비비!$E$430:$E$729,"&lt;"&amp;EDATE(BI$99,1),예비비!$F$430:$F$729,"결제대금비")+MAX(0,IF(예비비!$D197&lt;EDATE(BI$99,1),예비비!$E197,0)-SUMIFS(예비비!$O$430:$O$729,예비비!$B$430:$B$729,예비비!$A197,예비비!$E$430:$E$729,"&lt;"&amp;EDATE(BI$99,1))),0)</f>
        <v>0</v>
      </c>
      <c r="BJ197">
        <f>IF(예비비!$R197="OK",SUMIFS(예비비!$O$430:$O$729,예비비!$B$430:$B$729,예비비!$A197,예비비!$E$430:$E$729,"&lt;"&amp;EDATE(BJ$99,1),예비비!$F$430:$F$729,"결제대금비")+MAX(0,IF(예비비!$D197&lt;EDATE(BJ$99,1),예비비!$E197,0)-SUMIFS(예비비!$O$430:$O$729,예비비!$B$430:$B$729,예비비!$A197,예비비!$E$430:$E$729,"&lt;"&amp;EDATE(BJ$99,1))),0)</f>
        <v>0</v>
      </c>
      <c r="BK197">
        <f>IF(예비비!$R197="OK",SUMIFS(예비비!$O$430:$O$729,예비비!$B$430:$B$729,예비비!$A197,예비비!$E$430:$E$729,"&lt;"&amp;EDATE(BK$99,1),예비비!$F$430:$F$729,"결제대금비")+MAX(0,IF(예비비!$D197&lt;EDATE(BK$99,1),예비비!$E197,0)-SUMIFS(예비비!$O$430:$O$729,예비비!$B$430:$B$729,예비비!$A197,예비비!$E$430:$E$729,"&lt;"&amp;EDATE(BK$99,1))),0)</f>
        <v>0</v>
      </c>
      <c r="BL197">
        <f>IF(예비비!$R197="OK",SUMIFS(예비비!$O$430:$O$729,예비비!$B$430:$B$729,예비비!$A197,예비비!$E$430:$E$729,"&lt;"&amp;EDATE(BL$99,1),예비비!$F$430:$F$729,"결제대금비")+MAX(0,IF(예비비!$D197&lt;EDATE(BL$99,1),예비비!$E197,0)-SUMIFS(예비비!$O$430:$O$729,예비비!$B$430:$B$729,예비비!$A197,예비비!$E$430:$E$729,"&lt;"&amp;EDATE(BL$99,1))),0)</f>
        <v>0</v>
      </c>
      <c r="BM197">
        <f>IF(예비비!$R197="OK",SUMIFS(예비비!$O$430:$O$729,예비비!$B$430:$B$729,예비비!$A197,예비비!$E$430:$E$729,"&lt;"&amp;EDATE(BM$99,1),예비비!$F$430:$F$729,"결제대금비")+MAX(0,IF(예비비!$D197&lt;EDATE(BM$99,1),예비비!$E197,0)-SUMIFS(예비비!$O$430:$O$729,예비비!$B$430:$B$729,예비비!$A197,예비비!$E$430:$E$729,"&lt;"&amp;EDATE(BM$99,1))),0)</f>
        <v>0</v>
      </c>
      <c r="BN197">
        <f>IF(예비비!$R197="OK",SUMIFS(예비비!$O$430:$O$729,예비비!$B$430:$B$729,예비비!$A197,예비비!$E$430:$E$729,"&lt;"&amp;EDATE(BN$99,1),예비비!$F$430:$F$729,"결제대금비")+MAX(0,IF(예비비!$D197&lt;EDATE(BN$99,1),예비비!$E197,0)-SUMIFS(예비비!$O$430:$O$729,예비비!$B$430:$B$729,예비비!$A197,예비비!$E$430:$E$729,"&lt;"&amp;EDATE(BN$99,1))),0)</f>
        <v>0</v>
      </c>
      <c r="BO197">
        <f>IF(예비비!$R197="OK",SUMIFS(예비비!$O$430:$O$729,예비비!$B$430:$B$729,예비비!$A197,예비비!$E$430:$E$729,"&lt;"&amp;EDATE(BO$99,1),예비비!$F$430:$F$729,"결제대금비")+MAX(0,IF(예비비!$D197&lt;EDATE(BO$99,1),예비비!$E197,0)-SUMIFS(예비비!$O$430:$O$729,예비비!$B$430:$B$729,예비비!$A197,예비비!$E$430:$E$729,"&lt;"&amp;EDATE(BO$99,1))),0)</f>
        <v>0</v>
      </c>
      <c r="BP197">
        <f>IF(예비비!$R197="OK",SUMIFS(예비비!$O$430:$O$729,예비비!$B$430:$B$729,예비비!$A197,예비비!$E$430:$E$729,"&lt;"&amp;EDATE(BP$99,1),예비비!$F$430:$F$729,"결제대금비")+MAX(0,IF(예비비!$D197&lt;EDATE(BP$99,1),예비비!$E197,0)-SUMIFS(예비비!$O$430:$O$729,예비비!$B$430:$B$729,예비비!$A197,예비비!$E$430:$E$729,"&lt;"&amp;EDATE(BP$99,1))),0)</f>
        <v>0</v>
      </c>
      <c r="BQ197">
        <f>IF(예비비!$R197="OK",SUMIFS(예비비!$O$430:$O$729,예비비!$B$430:$B$729,예비비!$A197,예비비!$E$430:$E$729,"&lt;"&amp;EDATE(BQ$99,1),예비비!$F$430:$F$729,"결제대금비")+MAX(0,IF(예비비!$D197&lt;EDATE(BQ$99,1),예비비!$E197,0)-SUMIFS(예비비!$O$430:$O$729,예비비!$B$430:$B$729,예비비!$A197,예비비!$E$430:$E$729,"&lt;"&amp;EDATE(BQ$99,1))),0)</f>
        <v>0</v>
      </c>
      <c r="BR197">
        <f>IF(예비비!$R197="OK",SUMIFS(예비비!$O$430:$O$729,예비비!$B$430:$B$729,예비비!$A197,예비비!$E$430:$E$729,"&lt;"&amp;EDATE(BR$99,1),예비비!$F$430:$F$729,"결제대금비")+MAX(0,IF(예비비!$D197&lt;EDATE(BR$99,1),예비비!$E197,0)-SUMIFS(예비비!$O$430:$O$729,예비비!$B$430:$B$729,예비비!$A197,예비비!$E$430:$E$729,"&lt;"&amp;EDATE(BR$99,1))),0)</f>
        <v>0</v>
      </c>
      <c r="BS197">
        <f>IF(예비비!$R197="OK",SUMIFS(예비비!$O$430:$O$729,예비비!$B$430:$B$729,예비비!$A197,예비비!$E$430:$E$729,"&lt;"&amp;EDATE(BS$99,1),예비비!$F$430:$F$729,"결제대금비")+MAX(0,IF(예비비!$D197&lt;EDATE(BS$99,1),예비비!$E197,0)-SUMIFS(예비비!$O$430:$O$729,예비비!$B$430:$B$729,예비비!$A197,예비비!$E$430:$E$729,"&lt;"&amp;EDATE(BS$99,1))),0)</f>
        <v>0</v>
      </c>
      <c r="BT197">
        <f>IF(예비비!$R197="OK",SUMIFS(예비비!$O$430:$O$729,예비비!$B$430:$B$729,예비비!$A197,예비비!$E$430:$E$729,"&lt;"&amp;EDATE(BT$99,1),예비비!$F$430:$F$729,"결제대금비")+MAX(0,IF(예비비!$D197&lt;EDATE(BT$99,1),예비비!$E197,0)-SUMIFS(예비비!$O$430:$O$729,예비비!$B$430:$B$729,예비비!$A197,예비비!$E$430:$E$729,"&lt;"&amp;EDATE(BT$99,1))),0)</f>
        <v>0</v>
      </c>
      <c r="BU197">
        <f>IF(예비비!$R197="OK",SUMIFS(예비비!$O$430:$O$729,예비비!$B$430:$B$729,예비비!$A197,예비비!$E$430:$E$729,"&lt;"&amp;EDATE(BU$99,1),예비비!$F$430:$F$729,"결제대금비")+MAX(0,IF(예비비!$D197&lt;EDATE(BU$99,1),예비비!$E197,0)-SUMIFS(예비비!$O$430:$O$729,예비비!$B$430:$B$729,예비비!$A197,예비비!$E$430:$E$729,"&lt;"&amp;EDATE(BU$99,1))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  <c r="BI198">
        <f>IF(예비비!$R198="OK",SUMIFS(예비비!$O$430:$O$729,예비비!$B$430:$B$729,예비비!$A198,예비비!$E$430:$E$729,"&lt;"&amp;EDATE(BI$99,1),예비비!$F$430:$F$729,"결제대금비")+MAX(0,IF(예비비!$D198&lt;EDATE(BI$99,1),예비비!$E198,0)-SUMIFS(예비비!$O$430:$O$729,예비비!$B$430:$B$729,예비비!$A198,예비비!$E$430:$E$729,"&lt;"&amp;EDATE(BI$99,1))),0)</f>
        <v>0</v>
      </c>
      <c r="BJ198">
        <f>IF(예비비!$R198="OK",SUMIFS(예비비!$O$430:$O$729,예비비!$B$430:$B$729,예비비!$A198,예비비!$E$430:$E$729,"&lt;"&amp;EDATE(BJ$99,1),예비비!$F$430:$F$729,"결제대금비")+MAX(0,IF(예비비!$D198&lt;EDATE(BJ$99,1),예비비!$E198,0)-SUMIFS(예비비!$O$430:$O$729,예비비!$B$430:$B$729,예비비!$A198,예비비!$E$430:$E$729,"&lt;"&amp;EDATE(BJ$99,1))),0)</f>
        <v>0</v>
      </c>
      <c r="BK198">
        <f>IF(예비비!$R198="OK",SUMIFS(예비비!$O$430:$O$729,예비비!$B$430:$B$729,예비비!$A198,예비비!$E$430:$E$729,"&lt;"&amp;EDATE(BK$99,1),예비비!$F$430:$F$729,"결제대금비")+MAX(0,IF(예비비!$D198&lt;EDATE(BK$99,1),예비비!$E198,0)-SUMIFS(예비비!$O$430:$O$729,예비비!$B$430:$B$729,예비비!$A198,예비비!$E$430:$E$729,"&lt;"&amp;EDATE(BK$99,1))),0)</f>
        <v>0</v>
      </c>
      <c r="BL198">
        <f>IF(예비비!$R198="OK",SUMIFS(예비비!$O$430:$O$729,예비비!$B$430:$B$729,예비비!$A198,예비비!$E$430:$E$729,"&lt;"&amp;EDATE(BL$99,1),예비비!$F$430:$F$729,"결제대금비")+MAX(0,IF(예비비!$D198&lt;EDATE(BL$99,1),예비비!$E198,0)-SUMIFS(예비비!$O$430:$O$729,예비비!$B$430:$B$729,예비비!$A198,예비비!$E$430:$E$729,"&lt;"&amp;EDATE(BL$99,1))),0)</f>
        <v>0</v>
      </c>
      <c r="BM198">
        <f>IF(예비비!$R198="OK",SUMIFS(예비비!$O$430:$O$729,예비비!$B$430:$B$729,예비비!$A198,예비비!$E$430:$E$729,"&lt;"&amp;EDATE(BM$99,1),예비비!$F$430:$F$729,"결제대금비")+MAX(0,IF(예비비!$D198&lt;EDATE(BM$99,1),예비비!$E198,0)-SUMIFS(예비비!$O$430:$O$729,예비비!$B$430:$B$729,예비비!$A198,예비비!$E$430:$E$729,"&lt;"&amp;EDATE(BM$99,1))),0)</f>
        <v>0</v>
      </c>
      <c r="BN198">
        <f>IF(예비비!$R198="OK",SUMIFS(예비비!$O$430:$O$729,예비비!$B$430:$B$729,예비비!$A198,예비비!$E$430:$E$729,"&lt;"&amp;EDATE(BN$99,1),예비비!$F$430:$F$729,"결제대금비")+MAX(0,IF(예비비!$D198&lt;EDATE(BN$99,1),예비비!$E198,0)-SUMIFS(예비비!$O$430:$O$729,예비비!$B$430:$B$729,예비비!$A198,예비비!$E$430:$E$729,"&lt;"&amp;EDATE(BN$99,1))),0)</f>
        <v>0</v>
      </c>
      <c r="BO198">
        <f>IF(예비비!$R198="OK",SUMIFS(예비비!$O$430:$O$729,예비비!$B$430:$B$729,예비비!$A198,예비비!$E$430:$E$729,"&lt;"&amp;EDATE(BO$99,1),예비비!$F$430:$F$729,"결제대금비")+MAX(0,IF(예비비!$D198&lt;EDATE(BO$99,1),예비비!$E198,0)-SUMIFS(예비비!$O$430:$O$729,예비비!$B$430:$B$729,예비비!$A198,예비비!$E$430:$E$729,"&lt;"&amp;EDATE(BO$99,1))),0)</f>
        <v>0</v>
      </c>
      <c r="BP198">
        <f>IF(예비비!$R198="OK",SUMIFS(예비비!$O$430:$O$729,예비비!$B$430:$B$729,예비비!$A198,예비비!$E$430:$E$729,"&lt;"&amp;EDATE(BP$99,1),예비비!$F$430:$F$729,"결제대금비")+MAX(0,IF(예비비!$D198&lt;EDATE(BP$99,1),예비비!$E198,0)-SUMIFS(예비비!$O$430:$O$729,예비비!$B$430:$B$729,예비비!$A198,예비비!$E$430:$E$729,"&lt;"&amp;EDATE(BP$99,1))),0)</f>
        <v>0</v>
      </c>
      <c r="BQ198">
        <f>IF(예비비!$R198="OK",SUMIFS(예비비!$O$430:$O$729,예비비!$B$430:$B$729,예비비!$A198,예비비!$E$430:$E$729,"&lt;"&amp;EDATE(BQ$99,1),예비비!$F$430:$F$729,"결제대금비")+MAX(0,IF(예비비!$D198&lt;EDATE(BQ$99,1),예비비!$E198,0)-SUMIFS(예비비!$O$430:$O$729,예비비!$B$430:$B$729,예비비!$A198,예비비!$E$430:$E$729,"&lt;"&amp;EDATE(BQ$99,1))),0)</f>
        <v>0</v>
      </c>
      <c r="BR198">
        <f>IF(예비비!$R198="OK",SUMIFS(예비비!$O$430:$O$729,예비비!$B$430:$B$729,예비비!$A198,예비비!$E$430:$E$729,"&lt;"&amp;EDATE(BR$99,1),예비비!$F$430:$F$729,"결제대금비")+MAX(0,IF(예비비!$D198&lt;EDATE(BR$99,1),예비비!$E198,0)-SUMIFS(예비비!$O$430:$O$729,예비비!$B$430:$B$729,예비비!$A198,예비비!$E$430:$E$729,"&lt;"&amp;EDATE(BR$99,1))),0)</f>
        <v>0</v>
      </c>
      <c r="BS198">
        <f>IF(예비비!$R198="OK",SUMIFS(예비비!$O$430:$O$729,예비비!$B$430:$B$729,예비비!$A198,예비비!$E$430:$E$729,"&lt;"&amp;EDATE(BS$99,1),예비비!$F$430:$F$729,"결제대금비")+MAX(0,IF(예비비!$D198&lt;EDATE(BS$99,1),예비비!$E198,0)-SUMIFS(예비비!$O$430:$O$729,예비비!$B$430:$B$729,예비비!$A198,예비비!$E$430:$E$729,"&lt;"&amp;EDATE(BS$99,1))),0)</f>
        <v>0</v>
      </c>
      <c r="BT198">
        <f>IF(예비비!$R198="OK",SUMIFS(예비비!$O$430:$O$729,예비비!$B$430:$B$729,예비비!$A198,예비비!$E$430:$E$729,"&lt;"&amp;EDATE(BT$99,1),예비비!$F$430:$F$729,"결제대금비")+MAX(0,IF(예비비!$D198&lt;EDATE(BT$99,1),예비비!$E198,0)-SUMIFS(예비비!$O$430:$O$729,예비비!$B$430:$B$729,예비비!$A198,예비비!$E$430:$E$729,"&lt;"&amp;EDATE(BT$99,1))),0)</f>
        <v>0</v>
      </c>
      <c r="BU198">
        <f>IF(예비비!$R198="OK",SUMIFS(예비비!$O$430:$O$729,예비비!$B$430:$B$729,예비비!$A198,예비비!$E$430:$E$729,"&lt;"&amp;EDATE(BU$99,1),예비비!$F$430:$F$729,"결제대금비")+MAX(0,IF(예비비!$D198&lt;EDATE(BU$99,1),예비비!$E198,0)-SUMIFS(예비비!$O$430:$O$729,예비비!$B$430:$B$729,예비비!$A198,예비비!$E$430:$E$729,"&lt;"&amp;EDATE(BU$99,1))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  <c r="BI199">
        <f>IF(예비비!$R199="OK",SUMIFS(예비비!$O$430:$O$729,예비비!$B$430:$B$729,예비비!$A199,예비비!$E$430:$E$729,"&lt;"&amp;EDATE(BI$99,1),예비비!$F$430:$F$729,"결제대금비")+MAX(0,IF(예비비!$D199&lt;EDATE(BI$99,1),예비비!$E199,0)-SUMIFS(예비비!$O$430:$O$729,예비비!$B$430:$B$729,예비비!$A199,예비비!$E$430:$E$729,"&lt;"&amp;EDATE(BI$99,1))),0)</f>
        <v>0</v>
      </c>
      <c r="BJ199">
        <f>IF(예비비!$R199="OK",SUMIFS(예비비!$O$430:$O$729,예비비!$B$430:$B$729,예비비!$A199,예비비!$E$430:$E$729,"&lt;"&amp;EDATE(BJ$99,1),예비비!$F$430:$F$729,"결제대금비")+MAX(0,IF(예비비!$D199&lt;EDATE(BJ$99,1),예비비!$E199,0)-SUMIFS(예비비!$O$430:$O$729,예비비!$B$430:$B$729,예비비!$A199,예비비!$E$430:$E$729,"&lt;"&amp;EDATE(BJ$99,1))),0)</f>
        <v>0</v>
      </c>
      <c r="BK199">
        <f>IF(예비비!$R199="OK",SUMIFS(예비비!$O$430:$O$729,예비비!$B$430:$B$729,예비비!$A199,예비비!$E$430:$E$729,"&lt;"&amp;EDATE(BK$99,1),예비비!$F$430:$F$729,"결제대금비")+MAX(0,IF(예비비!$D199&lt;EDATE(BK$99,1),예비비!$E199,0)-SUMIFS(예비비!$O$430:$O$729,예비비!$B$430:$B$729,예비비!$A199,예비비!$E$430:$E$729,"&lt;"&amp;EDATE(BK$99,1))),0)</f>
        <v>0</v>
      </c>
      <c r="BL199">
        <f>IF(예비비!$R199="OK",SUMIFS(예비비!$O$430:$O$729,예비비!$B$430:$B$729,예비비!$A199,예비비!$E$430:$E$729,"&lt;"&amp;EDATE(BL$99,1),예비비!$F$430:$F$729,"결제대금비")+MAX(0,IF(예비비!$D199&lt;EDATE(BL$99,1),예비비!$E199,0)-SUMIFS(예비비!$O$430:$O$729,예비비!$B$430:$B$729,예비비!$A199,예비비!$E$430:$E$729,"&lt;"&amp;EDATE(BL$99,1))),0)</f>
        <v>0</v>
      </c>
      <c r="BM199">
        <f>IF(예비비!$R199="OK",SUMIFS(예비비!$O$430:$O$729,예비비!$B$430:$B$729,예비비!$A199,예비비!$E$430:$E$729,"&lt;"&amp;EDATE(BM$99,1),예비비!$F$430:$F$729,"결제대금비")+MAX(0,IF(예비비!$D199&lt;EDATE(BM$99,1),예비비!$E199,0)-SUMIFS(예비비!$O$430:$O$729,예비비!$B$430:$B$729,예비비!$A199,예비비!$E$430:$E$729,"&lt;"&amp;EDATE(BM$99,1))),0)</f>
        <v>0</v>
      </c>
      <c r="BN199">
        <f>IF(예비비!$R199="OK",SUMIFS(예비비!$O$430:$O$729,예비비!$B$430:$B$729,예비비!$A199,예비비!$E$430:$E$729,"&lt;"&amp;EDATE(BN$99,1),예비비!$F$430:$F$729,"결제대금비")+MAX(0,IF(예비비!$D199&lt;EDATE(BN$99,1),예비비!$E199,0)-SUMIFS(예비비!$O$430:$O$729,예비비!$B$430:$B$729,예비비!$A199,예비비!$E$430:$E$729,"&lt;"&amp;EDATE(BN$99,1))),0)</f>
        <v>0</v>
      </c>
      <c r="BO199">
        <f>IF(예비비!$R199="OK",SUMIFS(예비비!$O$430:$O$729,예비비!$B$430:$B$729,예비비!$A199,예비비!$E$430:$E$729,"&lt;"&amp;EDATE(BO$99,1),예비비!$F$430:$F$729,"결제대금비")+MAX(0,IF(예비비!$D199&lt;EDATE(BO$99,1),예비비!$E199,0)-SUMIFS(예비비!$O$430:$O$729,예비비!$B$430:$B$729,예비비!$A199,예비비!$E$430:$E$729,"&lt;"&amp;EDATE(BO$99,1))),0)</f>
        <v>0</v>
      </c>
      <c r="BP199">
        <f>IF(예비비!$R199="OK",SUMIFS(예비비!$O$430:$O$729,예비비!$B$430:$B$729,예비비!$A199,예비비!$E$430:$E$729,"&lt;"&amp;EDATE(BP$99,1),예비비!$F$430:$F$729,"결제대금비")+MAX(0,IF(예비비!$D199&lt;EDATE(BP$99,1),예비비!$E199,0)-SUMIFS(예비비!$O$430:$O$729,예비비!$B$430:$B$729,예비비!$A199,예비비!$E$430:$E$729,"&lt;"&amp;EDATE(BP$99,1))),0)</f>
        <v>0</v>
      </c>
      <c r="BQ199">
        <f>IF(예비비!$R199="OK",SUMIFS(예비비!$O$430:$O$729,예비비!$B$430:$B$729,예비비!$A199,예비비!$E$430:$E$729,"&lt;"&amp;EDATE(BQ$99,1),예비비!$F$430:$F$729,"결제대금비")+MAX(0,IF(예비비!$D199&lt;EDATE(BQ$99,1),예비비!$E199,0)-SUMIFS(예비비!$O$430:$O$729,예비비!$B$430:$B$729,예비비!$A199,예비비!$E$430:$E$729,"&lt;"&amp;EDATE(BQ$99,1))),0)</f>
        <v>0</v>
      </c>
      <c r="BR199">
        <f>IF(예비비!$R199="OK",SUMIFS(예비비!$O$430:$O$729,예비비!$B$430:$B$729,예비비!$A199,예비비!$E$430:$E$729,"&lt;"&amp;EDATE(BR$99,1),예비비!$F$430:$F$729,"결제대금비")+MAX(0,IF(예비비!$D199&lt;EDATE(BR$99,1),예비비!$E199,0)-SUMIFS(예비비!$O$430:$O$729,예비비!$B$430:$B$729,예비비!$A199,예비비!$E$430:$E$729,"&lt;"&amp;EDATE(BR$99,1))),0)</f>
        <v>0</v>
      </c>
      <c r="BS199">
        <f>IF(예비비!$R199="OK",SUMIFS(예비비!$O$430:$O$729,예비비!$B$430:$B$729,예비비!$A199,예비비!$E$430:$E$729,"&lt;"&amp;EDATE(BS$99,1),예비비!$F$430:$F$729,"결제대금비")+MAX(0,IF(예비비!$D199&lt;EDATE(BS$99,1),예비비!$E199,0)-SUMIFS(예비비!$O$430:$O$729,예비비!$B$430:$B$729,예비비!$A199,예비비!$E$430:$E$729,"&lt;"&amp;EDATE(BS$99,1))),0)</f>
        <v>0</v>
      </c>
      <c r="BT199">
        <f>IF(예비비!$R199="OK",SUMIFS(예비비!$O$430:$O$729,예비비!$B$430:$B$729,예비비!$A199,예비비!$E$430:$E$729,"&lt;"&amp;EDATE(BT$99,1),예비비!$F$430:$F$729,"결제대금비")+MAX(0,IF(예비비!$D199&lt;EDATE(BT$99,1),예비비!$E199,0)-SUMIFS(예비비!$O$430:$O$729,예비비!$B$430:$B$729,예비비!$A199,예비비!$E$430:$E$729,"&lt;"&amp;EDATE(BT$99,1))),0)</f>
        <v>0</v>
      </c>
      <c r="BU199">
        <f>IF(예비비!$R199="OK",SUMIFS(예비비!$O$430:$O$729,예비비!$B$430:$B$729,예비비!$A199,예비비!$E$430:$E$729,"&lt;"&amp;EDATE(BU$99,1),예비비!$F$430:$F$729,"결제대금비")+MAX(0,IF(예비비!$D199&lt;EDATE(BU$99,1),예비비!$E199,0)-SUMIFS(예비비!$O$430:$O$729,예비비!$B$430:$B$729,예비비!$A199,예비비!$E$430:$E$729,"&lt;"&amp;EDATE(BU$99,1))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  <c r="BI200">
        <f>IF(예비비!$R200="OK",SUMIFS(예비비!$O$430:$O$729,예비비!$B$430:$B$729,예비비!$A200,예비비!$E$430:$E$729,"&lt;"&amp;EDATE(BI$99,1),예비비!$F$430:$F$729,"결제대금비")+MAX(0,IF(예비비!$D200&lt;EDATE(BI$99,1),예비비!$E200,0)-SUMIFS(예비비!$O$430:$O$729,예비비!$B$430:$B$729,예비비!$A200,예비비!$E$430:$E$729,"&lt;"&amp;EDATE(BI$99,1))),0)</f>
        <v>0</v>
      </c>
      <c r="BJ200">
        <f>IF(예비비!$R200="OK",SUMIFS(예비비!$O$430:$O$729,예비비!$B$430:$B$729,예비비!$A200,예비비!$E$430:$E$729,"&lt;"&amp;EDATE(BJ$99,1),예비비!$F$430:$F$729,"결제대금비")+MAX(0,IF(예비비!$D200&lt;EDATE(BJ$99,1),예비비!$E200,0)-SUMIFS(예비비!$O$430:$O$729,예비비!$B$430:$B$729,예비비!$A200,예비비!$E$430:$E$729,"&lt;"&amp;EDATE(BJ$99,1))),0)</f>
        <v>0</v>
      </c>
      <c r="BK200">
        <f>IF(예비비!$R200="OK",SUMIFS(예비비!$O$430:$O$729,예비비!$B$430:$B$729,예비비!$A200,예비비!$E$430:$E$729,"&lt;"&amp;EDATE(BK$99,1),예비비!$F$430:$F$729,"결제대금비")+MAX(0,IF(예비비!$D200&lt;EDATE(BK$99,1),예비비!$E200,0)-SUMIFS(예비비!$O$430:$O$729,예비비!$B$430:$B$729,예비비!$A200,예비비!$E$430:$E$729,"&lt;"&amp;EDATE(BK$99,1))),0)</f>
        <v>0</v>
      </c>
      <c r="BL200">
        <f>IF(예비비!$R200="OK",SUMIFS(예비비!$O$430:$O$729,예비비!$B$430:$B$729,예비비!$A200,예비비!$E$430:$E$729,"&lt;"&amp;EDATE(BL$99,1),예비비!$F$430:$F$729,"결제대금비")+MAX(0,IF(예비비!$D200&lt;EDATE(BL$99,1),예비비!$E200,0)-SUMIFS(예비비!$O$430:$O$729,예비비!$B$430:$B$729,예비비!$A200,예비비!$E$430:$E$729,"&lt;"&amp;EDATE(BL$99,1))),0)</f>
        <v>0</v>
      </c>
      <c r="BM200">
        <f>IF(예비비!$R200="OK",SUMIFS(예비비!$O$430:$O$729,예비비!$B$430:$B$729,예비비!$A200,예비비!$E$430:$E$729,"&lt;"&amp;EDATE(BM$99,1),예비비!$F$430:$F$729,"결제대금비")+MAX(0,IF(예비비!$D200&lt;EDATE(BM$99,1),예비비!$E200,0)-SUMIFS(예비비!$O$430:$O$729,예비비!$B$430:$B$729,예비비!$A200,예비비!$E$430:$E$729,"&lt;"&amp;EDATE(BM$99,1))),0)</f>
        <v>0</v>
      </c>
      <c r="BN200">
        <f>IF(예비비!$R200="OK",SUMIFS(예비비!$O$430:$O$729,예비비!$B$430:$B$729,예비비!$A200,예비비!$E$430:$E$729,"&lt;"&amp;EDATE(BN$99,1),예비비!$F$430:$F$729,"결제대금비")+MAX(0,IF(예비비!$D200&lt;EDATE(BN$99,1),예비비!$E200,0)-SUMIFS(예비비!$O$430:$O$729,예비비!$B$430:$B$729,예비비!$A200,예비비!$E$430:$E$729,"&lt;"&amp;EDATE(BN$99,1))),0)</f>
        <v>0</v>
      </c>
      <c r="BO200">
        <f>IF(예비비!$R200="OK",SUMIFS(예비비!$O$430:$O$729,예비비!$B$430:$B$729,예비비!$A200,예비비!$E$430:$E$729,"&lt;"&amp;EDATE(BO$99,1),예비비!$F$430:$F$729,"결제대금비")+MAX(0,IF(예비비!$D200&lt;EDATE(BO$99,1),예비비!$E200,0)-SUMIFS(예비비!$O$430:$O$729,예비비!$B$430:$B$729,예비비!$A200,예비비!$E$430:$E$729,"&lt;"&amp;EDATE(BO$99,1))),0)</f>
        <v>0</v>
      </c>
      <c r="BP200">
        <f>IF(예비비!$R200="OK",SUMIFS(예비비!$O$430:$O$729,예비비!$B$430:$B$729,예비비!$A200,예비비!$E$430:$E$729,"&lt;"&amp;EDATE(BP$99,1),예비비!$F$430:$F$729,"결제대금비")+MAX(0,IF(예비비!$D200&lt;EDATE(BP$99,1),예비비!$E200,0)-SUMIFS(예비비!$O$430:$O$729,예비비!$B$430:$B$729,예비비!$A200,예비비!$E$430:$E$729,"&lt;"&amp;EDATE(BP$99,1))),0)</f>
        <v>0</v>
      </c>
      <c r="BQ200">
        <f>IF(예비비!$R200="OK",SUMIFS(예비비!$O$430:$O$729,예비비!$B$430:$B$729,예비비!$A200,예비비!$E$430:$E$729,"&lt;"&amp;EDATE(BQ$99,1),예비비!$F$430:$F$729,"결제대금비")+MAX(0,IF(예비비!$D200&lt;EDATE(BQ$99,1),예비비!$E200,0)-SUMIFS(예비비!$O$430:$O$729,예비비!$B$430:$B$729,예비비!$A200,예비비!$E$430:$E$729,"&lt;"&amp;EDATE(BQ$99,1))),0)</f>
        <v>0</v>
      </c>
      <c r="BR200">
        <f>IF(예비비!$R200="OK",SUMIFS(예비비!$O$430:$O$729,예비비!$B$430:$B$729,예비비!$A200,예비비!$E$430:$E$729,"&lt;"&amp;EDATE(BR$99,1),예비비!$F$430:$F$729,"결제대금비")+MAX(0,IF(예비비!$D200&lt;EDATE(BR$99,1),예비비!$E200,0)-SUMIFS(예비비!$O$430:$O$729,예비비!$B$430:$B$729,예비비!$A200,예비비!$E$430:$E$729,"&lt;"&amp;EDATE(BR$99,1))),0)</f>
        <v>0</v>
      </c>
      <c r="BS200">
        <f>IF(예비비!$R200="OK",SUMIFS(예비비!$O$430:$O$729,예비비!$B$430:$B$729,예비비!$A200,예비비!$E$430:$E$729,"&lt;"&amp;EDATE(BS$99,1),예비비!$F$430:$F$729,"결제대금비")+MAX(0,IF(예비비!$D200&lt;EDATE(BS$99,1),예비비!$E200,0)-SUMIFS(예비비!$O$430:$O$729,예비비!$B$430:$B$729,예비비!$A200,예비비!$E$430:$E$729,"&lt;"&amp;EDATE(BS$99,1))),0)</f>
        <v>0</v>
      </c>
      <c r="BT200">
        <f>IF(예비비!$R200="OK",SUMIFS(예비비!$O$430:$O$729,예비비!$B$430:$B$729,예비비!$A200,예비비!$E$430:$E$729,"&lt;"&amp;EDATE(BT$99,1),예비비!$F$430:$F$729,"결제대금비")+MAX(0,IF(예비비!$D200&lt;EDATE(BT$99,1),예비비!$E200,0)-SUMIFS(예비비!$O$430:$O$729,예비비!$B$430:$B$729,예비비!$A200,예비비!$E$430:$E$729,"&lt;"&amp;EDATE(BT$99,1))),0)</f>
        <v>0</v>
      </c>
      <c r="BU200">
        <f>IF(예비비!$R200="OK",SUMIFS(예비비!$O$430:$O$729,예비비!$B$430:$B$729,예비비!$A200,예비비!$E$430:$E$729,"&lt;"&amp;EDATE(BU$99,1),예비비!$F$430:$F$729,"결제대금비")+MAX(0,IF(예비비!$D200&lt;EDATE(BU$99,1),예비비!$E200,0)-SUMIFS(예비비!$O$430:$O$729,예비비!$B$430:$B$729,예비비!$A200,예비비!$E$430:$E$729,"&lt;"&amp;EDATE(BU$99,1))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  <c r="BI201">
        <f>IF(예비비!$R201="OK",SUMIFS(예비비!$O$430:$O$729,예비비!$B$430:$B$729,예비비!$A201,예비비!$E$430:$E$729,"&lt;"&amp;EDATE(BI$99,1),예비비!$F$430:$F$729,"결제대금비")+MAX(0,IF(예비비!$D201&lt;EDATE(BI$99,1),예비비!$E201,0)-SUMIFS(예비비!$O$430:$O$729,예비비!$B$430:$B$729,예비비!$A201,예비비!$E$430:$E$729,"&lt;"&amp;EDATE(BI$99,1))),0)</f>
        <v>0</v>
      </c>
      <c r="BJ201">
        <f>IF(예비비!$R201="OK",SUMIFS(예비비!$O$430:$O$729,예비비!$B$430:$B$729,예비비!$A201,예비비!$E$430:$E$729,"&lt;"&amp;EDATE(BJ$99,1),예비비!$F$430:$F$729,"결제대금비")+MAX(0,IF(예비비!$D201&lt;EDATE(BJ$99,1),예비비!$E201,0)-SUMIFS(예비비!$O$430:$O$729,예비비!$B$430:$B$729,예비비!$A201,예비비!$E$430:$E$729,"&lt;"&amp;EDATE(BJ$99,1))),0)</f>
        <v>0</v>
      </c>
      <c r="BK201">
        <f>IF(예비비!$R201="OK",SUMIFS(예비비!$O$430:$O$729,예비비!$B$430:$B$729,예비비!$A201,예비비!$E$430:$E$729,"&lt;"&amp;EDATE(BK$99,1),예비비!$F$430:$F$729,"결제대금비")+MAX(0,IF(예비비!$D201&lt;EDATE(BK$99,1),예비비!$E201,0)-SUMIFS(예비비!$O$430:$O$729,예비비!$B$430:$B$729,예비비!$A201,예비비!$E$430:$E$729,"&lt;"&amp;EDATE(BK$99,1))),0)</f>
        <v>0</v>
      </c>
      <c r="BL201">
        <f>IF(예비비!$R201="OK",SUMIFS(예비비!$O$430:$O$729,예비비!$B$430:$B$729,예비비!$A201,예비비!$E$430:$E$729,"&lt;"&amp;EDATE(BL$99,1),예비비!$F$430:$F$729,"결제대금비")+MAX(0,IF(예비비!$D201&lt;EDATE(BL$99,1),예비비!$E201,0)-SUMIFS(예비비!$O$430:$O$729,예비비!$B$430:$B$729,예비비!$A201,예비비!$E$430:$E$729,"&lt;"&amp;EDATE(BL$99,1))),0)</f>
        <v>0</v>
      </c>
      <c r="BM201">
        <f>IF(예비비!$R201="OK",SUMIFS(예비비!$O$430:$O$729,예비비!$B$430:$B$729,예비비!$A201,예비비!$E$430:$E$729,"&lt;"&amp;EDATE(BM$99,1),예비비!$F$430:$F$729,"결제대금비")+MAX(0,IF(예비비!$D201&lt;EDATE(BM$99,1),예비비!$E201,0)-SUMIFS(예비비!$O$430:$O$729,예비비!$B$430:$B$729,예비비!$A201,예비비!$E$430:$E$729,"&lt;"&amp;EDATE(BM$99,1))),0)</f>
        <v>0</v>
      </c>
      <c r="BN201">
        <f>IF(예비비!$R201="OK",SUMIFS(예비비!$O$430:$O$729,예비비!$B$430:$B$729,예비비!$A201,예비비!$E$430:$E$729,"&lt;"&amp;EDATE(BN$99,1),예비비!$F$430:$F$729,"결제대금비")+MAX(0,IF(예비비!$D201&lt;EDATE(BN$99,1),예비비!$E201,0)-SUMIFS(예비비!$O$430:$O$729,예비비!$B$430:$B$729,예비비!$A201,예비비!$E$430:$E$729,"&lt;"&amp;EDATE(BN$99,1))),0)</f>
        <v>0</v>
      </c>
      <c r="BO201">
        <f>IF(예비비!$R201="OK",SUMIFS(예비비!$O$430:$O$729,예비비!$B$430:$B$729,예비비!$A201,예비비!$E$430:$E$729,"&lt;"&amp;EDATE(BO$99,1),예비비!$F$430:$F$729,"결제대금비")+MAX(0,IF(예비비!$D201&lt;EDATE(BO$99,1),예비비!$E201,0)-SUMIFS(예비비!$O$430:$O$729,예비비!$B$430:$B$729,예비비!$A201,예비비!$E$430:$E$729,"&lt;"&amp;EDATE(BO$99,1))),0)</f>
        <v>0</v>
      </c>
      <c r="BP201">
        <f>IF(예비비!$R201="OK",SUMIFS(예비비!$O$430:$O$729,예비비!$B$430:$B$729,예비비!$A201,예비비!$E$430:$E$729,"&lt;"&amp;EDATE(BP$99,1),예비비!$F$430:$F$729,"결제대금비")+MAX(0,IF(예비비!$D201&lt;EDATE(BP$99,1),예비비!$E201,0)-SUMIFS(예비비!$O$430:$O$729,예비비!$B$430:$B$729,예비비!$A201,예비비!$E$430:$E$729,"&lt;"&amp;EDATE(BP$99,1))),0)</f>
        <v>0</v>
      </c>
      <c r="BQ201">
        <f>IF(예비비!$R201="OK",SUMIFS(예비비!$O$430:$O$729,예비비!$B$430:$B$729,예비비!$A201,예비비!$E$430:$E$729,"&lt;"&amp;EDATE(BQ$99,1),예비비!$F$430:$F$729,"결제대금비")+MAX(0,IF(예비비!$D201&lt;EDATE(BQ$99,1),예비비!$E201,0)-SUMIFS(예비비!$O$430:$O$729,예비비!$B$430:$B$729,예비비!$A201,예비비!$E$430:$E$729,"&lt;"&amp;EDATE(BQ$99,1))),0)</f>
        <v>0</v>
      </c>
      <c r="BR201">
        <f>IF(예비비!$R201="OK",SUMIFS(예비비!$O$430:$O$729,예비비!$B$430:$B$729,예비비!$A201,예비비!$E$430:$E$729,"&lt;"&amp;EDATE(BR$99,1),예비비!$F$430:$F$729,"결제대금비")+MAX(0,IF(예비비!$D201&lt;EDATE(BR$99,1),예비비!$E201,0)-SUMIFS(예비비!$O$430:$O$729,예비비!$B$430:$B$729,예비비!$A201,예비비!$E$430:$E$729,"&lt;"&amp;EDATE(BR$99,1))),0)</f>
        <v>0</v>
      </c>
      <c r="BS201">
        <f>IF(예비비!$R201="OK",SUMIFS(예비비!$O$430:$O$729,예비비!$B$430:$B$729,예비비!$A201,예비비!$E$430:$E$729,"&lt;"&amp;EDATE(BS$99,1),예비비!$F$430:$F$729,"결제대금비")+MAX(0,IF(예비비!$D201&lt;EDATE(BS$99,1),예비비!$E201,0)-SUMIFS(예비비!$O$430:$O$729,예비비!$B$430:$B$729,예비비!$A201,예비비!$E$430:$E$729,"&lt;"&amp;EDATE(BS$99,1))),0)</f>
        <v>0</v>
      </c>
      <c r="BT201">
        <f>IF(예비비!$R201="OK",SUMIFS(예비비!$O$430:$O$729,예비비!$B$430:$B$729,예비비!$A201,예비비!$E$430:$E$729,"&lt;"&amp;EDATE(BT$99,1),예비비!$F$430:$F$729,"결제대금비")+MAX(0,IF(예비비!$D201&lt;EDATE(BT$99,1),예비비!$E201,0)-SUMIFS(예비비!$O$430:$O$729,예비비!$B$430:$B$729,예비비!$A201,예비비!$E$430:$E$729,"&lt;"&amp;EDATE(BT$99,1))),0)</f>
        <v>0</v>
      </c>
      <c r="BU201">
        <f>IF(예비비!$R201="OK",SUMIFS(예비비!$O$430:$O$729,예비비!$B$430:$B$729,예비비!$A201,예비비!$E$430:$E$729,"&lt;"&amp;EDATE(BU$99,1),예비비!$F$430:$F$729,"결제대금비")+MAX(0,IF(예비비!$D201&lt;EDATE(BU$99,1),예비비!$E201,0)-SUMIFS(예비비!$O$430:$O$729,예비비!$B$430:$B$729,예비비!$A201,예비비!$E$430:$E$729,"&lt;"&amp;EDATE(BU$99,1))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  <c r="BI202">
        <f>IF(예비비!$R202="OK",SUMIFS(예비비!$O$430:$O$729,예비비!$B$430:$B$729,예비비!$A202,예비비!$E$430:$E$729,"&lt;"&amp;EDATE(BI$99,1),예비비!$F$430:$F$729,"결제대금비")+MAX(0,IF(예비비!$D202&lt;EDATE(BI$99,1),예비비!$E202,0)-SUMIFS(예비비!$O$430:$O$729,예비비!$B$430:$B$729,예비비!$A202,예비비!$E$430:$E$729,"&lt;"&amp;EDATE(BI$99,1))),0)</f>
        <v>0</v>
      </c>
      <c r="BJ202">
        <f>IF(예비비!$R202="OK",SUMIFS(예비비!$O$430:$O$729,예비비!$B$430:$B$729,예비비!$A202,예비비!$E$430:$E$729,"&lt;"&amp;EDATE(BJ$99,1),예비비!$F$430:$F$729,"결제대금비")+MAX(0,IF(예비비!$D202&lt;EDATE(BJ$99,1),예비비!$E202,0)-SUMIFS(예비비!$O$430:$O$729,예비비!$B$430:$B$729,예비비!$A202,예비비!$E$430:$E$729,"&lt;"&amp;EDATE(BJ$99,1))),0)</f>
        <v>0</v>
      </c>
      <c r="BK202">
        <f>IF(예비비!$R202="OK",SUMIFS(예비비!$O$430:$O$729,예비비!$B$430:$B$729,예비비!$A202,예비비!$E$430:$E$729,"&lt;"&amp;EDATE(BK$99,1),예비비!$F$430:$F$729,"결제대금비")+MAX(0,IF(예비비!$D202&lt;EDATE(BK$99,1),예비비!$E202,0)-SUMIFS(예비비!$O$430:$O$729,예비비!$B$430:$B$729,예비비!$A202,예비비!$E$430:$E$729,"&lt;"&amp;EDATE(BK$99,1))),0)</f>
        <v>0</v>
      </c>
      <c r="BL202">
        <f>IF(예비비!$R202="OK",SUMIFS(예비비!$O$430:$O$729,예비비!$B$430:$B$729,예비비!$A202,예비비!$E$430:$E$729,"&lt;"&amp;EDATE(BL$99,1),예비비!$F$430:$F$729,"결제대금비")+MAX(0,IF(예비비!$D202&lt;EDATE(BL$99,1),예비비!$E202,0)-SUMIFS(예비비!$O$430:$O$729,예비비!$B$430:$B$729,예비비!$A202,예비비!$E$430:$E$729,"&lt;"&amp;EDATE(BL$99,1))),0)</f>
        <v>0</v>
      </c>
      <c r="BM202">
        <f>IF(예비비!$R202="OK",SUMIFS(예비비!$O$430:$O$729,예비비!$B$430:$B$729,예비비!$A202,예비비!$E$430:$E$729,"&lt;"&amp;EDATE(BM$99,1),예비비!$F$430:$F$729,"결제대금비")+MAX(0,IF(예비비!$D202&lt;EDATE(BM$99,1),예비비!$E202,0)-SUMIFS(예비비!$O$430:$O$729,예비비!$B$430:$B$729,예비비!$A202,예비비!$E$430:$E$729,"&lt;"&amp;EDATE(BM$99,1))),0)</f>
        <v>0</v>
      </c>
      <c r="BN202">
        <f>IF(예비비!$R202="OK",SUMIFS(예비비!$O$430:$O$729,예비비!$B$430:$B$729,예비비!$A202,예비비!$E$430:$E$729,"&lt;"&amp;EDATE(BN$99,1),예비비!$F$430:$F$729,"결제대금비")+MAX(0,IF(예비비!$D202&lt;EDATE(BN$99,1),예비비!$E202,0)-SUMIFS(예비비!$O$430:$O$729,예비비!$B$430:$B$729,예비비!$A202,예비비!$E$430:$E$729,"&lt;"&amp;EDATE(BN$99,1))),0)</f>
        <v>0</v>
      </c>
      <c r="BO202">
        <f>IF(예비비!$R202="OK",SUMIFS(예비비!$O$430:$O$729,예비비!$B$430:$B$729,예비비!$A202,예비비!$E$430:$E$729,"&lt;"&amp;EDATE(BO$99,1),예비비!$F$430:$F$729,"결제대금비")+MAX(0,IF(예비비!$D202&lt;EDATE(BO$99,1),예비비!$E202,0)-SUMIFS(예비비!$O$430:$O$729,예비비!$B$430:$B$729,예비비!$A202,예비비!$E$430:$E$729,"&lt;"&amp;EDATE(BO$99,1))),0)</f>
        <v>0</v>
      </c>
      <c r="BP202">
        <f>IF(예비비!$R202="OK",SUMIFS(예비비!$O$430:$O$729,예비비!$B$430:$B$729,예비비!$A202,예비비!$E$430:$E$729,"&lt;"&amp;EDATE(BP$99,1),예비비!$F$430:$F$729,"결제대금비")+MAX(0,IF(예비비!$D202&lt;EDATE(BP$99,1),예비비!$E202,0)-SUMIFS(예비비!$O$430:$O$729,예비비!$B$430:$B$729,예비비!$A202,예비비!$E$430:$E$729,"&lt;"&amp;EDATE(BP$99,1))),0)</f>
        <v>0</v>
      </c>
      <c r="BQ202">
        <f>IF(예비비!$R202="OK",SUMIFS(예비비!$O$430:$O$729,예비비!$B$430:$B$729,예비비!$A202,예비비!$E$430:$E$729,"&lt;"&amp;EDATE(BQ$99,1),예비비!$F$430:$F$729,"결제대금비")+MAX(0,IF(예비비!$D202&lt;EDATE(BQ$99,1),예비비!$E202,0)-SUMIFS(예비비!$O$430:$O$729,예비비!$B$430:$B$729,예비비!$A202,예비비!$E$430:$E$729,"&lt;"&amp;EDATE(BQ$99,1))),0)</f>
        <v>0</v>
      </c>
      <c r="BR202">
        <f>IF(예비비!$R202="OK",SUMIFS(예비비!$O$430:$O$729,예비비!$B$430:$B$729,예비비!$A202,예비비!$E$430:$E$729,"&lt;"&amp;EDATE(BR$99,1),예비비!$F$430:$F$729,"결제대금비")+MAX(0,IF(예비비!$D202&lt;EDATE(BR$99,1),예비비!$E202,0)-SUMIFS(예비비!$O$430:$O$729,예비비!$B$430:$B$729,예비비!$A202,예비비!$E$430:$E$729,"&lt;"&amp;EDATE(BR$99,1))),0)</f>
        <v>0</v>
      </c>
      <c r="BS202">
        <f>IF(예비비!$R202="OK",SUMIFS(예비비!$O$430:$O$729,예비비!$B$430:$B$729,예비비!$A202,예비비!$E$430:$E$729,"&lt;"&amp;EDATE(BS$99,1),예비비!$F$430:$F$729,"결제대금비")+MAX(0,IF(예비비!$D202&lt;EDATE(BS$99,1),예비비!$E202,0)-SUMIFS(예비비!$O$430:$O$729,예비비!$B$430:$B$729,예비비!$A202,예비비!$E$430:$E$729,"&lt;"&amp;EDATE(BS$99,1))),0)</f>
        <v>0</v>
      </c>
      <c r="BT202">
        <f>IF(예비비!$R202="OK",SUMIFS(예비비!$O$430:$O$729,예비비!$B$430:$B$729,예비비!$A202,예비비!$E$430:$E$729,"&lt;"&amp;EDATE(BT$99,1),예비비!$F$430:$F$729,"결제대금비")+MAX(0,IF(예비비!$D202&lt;EDATE(BT$99,1),예비비!$E202,0)-SUMIFS(예비비!$O$430:$O$729,예비비!$B$430:$B$729,예비비!$A202,예비비!$E$430:$E$729,"&lt;"&amp;EDATE(BT$99,1))),0)</f>
        <v>0</v>
      </c>
      <c r="BU202">
        <f>IF(예비비!$R202="OK",SUMIFS(예비비!$O$430:$O$729,예비비!$B$430:$B$729,예비비!$A202,예비비!$E$430:$E$729,"&lt;"&amp;EDATE(BU$99,1),예비비!$F$430:$F$729,"결제대금비")+MAX(0,IF(예비비!$D202&lt;EDATE(BU$99,1),예비비!$E202,0)-SUMIFS(예비비!$O$430:$O$729,예비비!$B$430:$B$729,예비비!$A202,예비비!$E$430:$E$729,"&lt;"&amp;EDATE(BU$99,1))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  <c r="BI203">
        <f>IF(예비비!$R203="OK",SUMIFS(예비비!$O$430:$O$729,예비비!$B$430:$B$729,예비비!$A203,예비비!$E$430:$E$729,"&lt;"&amp;EDATE(BI$99,1),예비비!$F$430:$F$729,"결제대금비")+MAX(0,IF(예비비!$D203&lt;EDATE(BI$99,1),예비비!$E203,0)-SUMIFS(예비비!$O$430:$O$729,예비비!$B$430:$B$729,예비비!$A203,예비비!$E$430:$E$729,"&lt;"&amp;EDATE(BI$99,1))),0)</f>
        <v>0</v>
      </c>
      <c r="BJ203">
        <f>IF(예비비!$R203="OK",SUMIFS(예비비!$O$430:$O$729,예비비!$B$430:$B$729,예비비!$A203,예비비!$E$430:$E$729,"&lt;"&amp;EDATE(BJ$99,1),예비비!$F$430:$F$729,"결제대금비")+MAX(0,IF(예비비!$D203&lt;EDATE(BJ$99,1),예비비!$E203,0)-SUMIFS(예비비!$O$430:$O$729,예비비!$B$430:$B$729,예비비!$A203,예비비!$E$430:$E$729,"&lt;"&amp;EDATE(BJ$99,1))),0)</f>
        <v>0</v>
      </c>
      <c r="BK203">
        <f>IF(예비비!$R203="OK",SUMIFS(예비비!$O$430:$O$729,예비비!$B$430:$B$729,예비비!$A203,예비비!$E$430:$E$729,"&lt;"&amp;EDATE(BK$99,1),예비비!$F$430:$F$729,"결제대금비")+MAX(0,IF(예비비!$D203&lt;EDATE(BK$99,1),예비비!$E203,0)-SUMIFS(예비비!$O$430:$O$729,예비비!$B$430:$B$729,예비비!$A203,예비비!$E$430:$E$729,"&lt;"&amp;EDATE(BK$99,1))),0)</f>
        <v>0</v>
      </c>
      <c r="BL203">
        <f>IF(예비비!$R203="OK",SUMIFS(예비비!$O$430:$O$729,예비비!$B$430:$B$729,예비비!$A203,예비비!$E$430:$E$729,"&lt;"&amp;EDATE(BL$99,1),예비비!$F$430:$F$729,"결제대금비")+MAX(0,IF(예비비!$D203&lt;EDATE(BL$99,1),예비비!$E203,0)-SUMIFS(예비비!$O$430:$O$729,예비비!$B$430:$B$729,예비비!$A203,예비비!$E$430:$E$729,"&lt;"&amp;EDATE(BL$99,1))),0)</f>
        <v>0</v>
      </c>
      <c r="BM203">
        <f>IF(예비비!$R203="OK",SUMIFS(예비비!$O$430:$O$729,예비비!$B$430:$B$729,예비비!$A203,예비비!$E$430:$E$729,"&lt;"&amp;EDATE(BM$99,1),예비비!$F$430:$F$729,"결제대금비")+MAX(0,IF(예비비!$D203&lt;EDATE(BM$99,1),예비비!$E203,0)-SUMIFS(예비비!$O$430:$O$729,예비비!$B$430:$B$729,예비비!$A203,예비비!$E$430:$E$729,"&lt;"&amp;EDATE(BM$99,1))),0)</f>
        <v>0</v>
      </c>
      <c r="BN203">
        <f>IF(예비비!$R203="OK",SUMIFS(예비비!$O$430:$O$729,예비비!$B$430:$B$729,예비비!$A203,예비비!$E$430:$E$729,"&lt;"&amp;EDATE(BN$99,1),예비비!$F$430:$F$729,"결제대금비")+MAX(0,IF(예비비!$D203&lt;EDATE(BN$99,1),예비비!$E203,0)-SUMIFS(예비비!$O$430:$O$729,예비비!$B$430:$B$729,예비비!$A203,예비비!$E$430:$E$729,"&lt;"&amp;EDATE(BN$99,1))),0)</f>
        <v>0</v>
      </c>
      <c r="BO203">
        <f>IF(예비비!$R203="OK",SUMIFS(예비비!$O$430:$O$729,예비비!$B$430:$B$729,예비비!$A203,예비비!$E$430:$E$729,"&lt;"&amp;EDATE(BO$99,1),예비비!$F$430:$F$729,"결제대금비")+MAX(0,IF(예비비!$D203&lt;EDATE(BO$99,1),예비비!$E203,0)-SUMIFS(예비비!$O$430:$O$729,예비비!$B$430:$B$729,예비비!$A203,예비비!$E$430:$E$729,"&lt;"&amp;EDATE(BO$99,1))),0)</f>
        <v>0</v>
      </c>
      <c r="BP203">
        <f>IF(예비비!$R203="OK",SUMIFS(예비비!$O$430:$O$729,예비비!$B$430:$B$729,예비비!$A203,예비비!$E$430:$E$729,"&lt;"&amp;EDATE(BP$99,1),예비비!$F$430:$F$729,"결제대금비")+MAX(0,IF(예비비!$D203&lt;EDATE(BP$99,1),예비비!$E203,0)-SUMIFS(예비비!$O$430:$O$729,예비비!$B$430:$B$729,예비비!$A203,예비비!$E$430:$E$729,"&lt;"&amp;EDATE(BP$99,1))),0)</f>
        <v>0</v>
      </c>
      <c r="BQ203">
        <f>IF(예비비!$R203="OK",SUMIFS(예비비!$O$430:$O$729,예비비!$B$430:$B$729,예비비!$A203,예비비!$E$430:$E$729,"&lt;"&amp;EDATE(BQ$99,1),예비비!$F$430:$F$729,"결제대금비")+MAX(0,IF(예비비!$D203&lt;EDATE(BQ$99,1),예비비!$E203,0)-SUMIFS(예비비!$O$430:$O$729,예비비!$B$430:$B$729,예비비!$A203,예비비!$E$430:$E$729,"&lt;"&amp;EDATE(BQ$99,1))),0)</f>
        <v>0</v>
      </c>
      <c r="BR203">
        <f>IF(예비비!$R203="OK",SUMIFS(예비비!$O$430:$O$729,예비비!$B$430:$B$729,예비비!$A203,예비비!$E$430:$E$729,"&lt;"&amp;EDATE(BR$99,1),예비비!$F$430:$F$729,"결제대금비")+MAX(0,IF(예비비!$D203&lt;EDATE(BR$99,1),예비비!$E203,0)-SUMIFS(예비비!$O$430:$O$729,예비비!$B$430:$B$729,예비비!$A203,예비비!$E$430:$E$729,"&lt;"&amp;EDATE(BR$99,1))),0)</f>
        <v>0</v>
      </c>
      <c r="BS203">
        <f>IF(예비비!$R203="OK",SUMIFS(예비비!$O$430:$O$729,예비비!$B$430:$B$729,예비비!$A203,예비비!$E$430:$E$729,"&lt;"&amp;EDATE(BS$99,1),예비비!$F$430:$F$729,"결제대금비")+MAX(0,IF(예비비!$D203&lt;EDATE(BS$99,1),예비비!$E203,0)-SUMIFS(예비비!$O$430:$O$729,예비비!$B$430:$B$729,예비비!$A203,예비비!$E$430:$E$729,"&lt;"&amp;EDATE(BS$99,1))),0)</f>
        <v>0</v>
      </c>
      <c r="BT203">
        <f>IF(예비비!$R203="OK",SUMIFS(예비비!$O$430:$O$729,예비비!$B$430:$B$729,예비비!$A203,예비비!$E$430:$E$729,"&lt;"&amp;EDATE(BT$99,1),예비비!$F$430:$F$729,"결제대금비")+MAX(0,IF(예비비!$D203&lt;EDATE(BT$99,1),예비비!$E203,0)-SUMIFS(예비비!$O$430:$O$729,예비비!$B$430:$B$729,예비비!$A203,예비비!$E$430:$E$729,"&lt;"&amp;EDATE(BT$99,1))),0)</f>
        <v>0</v>
      </c>
      <c r="BU203">
        <f>IF(예비비!$R203="OK",SUMIFS(예비비!$O$430:$O$729,예비비!$B$430:$B$729,예비비!$A203,예비비!$E$430:$E$729,"&lt;"&amp;EDATE(BU$99,1),예비비!$F$430:$F$729,"결제대금비")+MAX(0,IF(예비비!$D203&lt;EDATE(BU$99,1),예비비!$E203,0)-SUMIFS(예비비!$O$430:$O$729,예비비!$B$430:$B$729,예비비!$A203,예비비!$E$430:$E$729,"&lt;"&amp;EDATE(BU$99,1))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  <c r="BI204">
        <f>IF(예비비!$R204="OK",SUMIFS(예비비!$O$430:$O$729,예비비!$B$430:$B$729,예비비!$A204,예비비!$E$430:$E$729,"&lt;"&amp;EDATE(BI$99,1),예비비!$F$430:$F$729,"결제대금비")+MAX(0,IF(예비비!$D204&lt;EDATE(BI$99,1),예비비!$E204,0)-SUMIFS(예비비!$O$430:$O$729,예비비!$B$430:$B$729,예비비!$A204,예비비!$E$430:$E$729,"&lt;"&amp;EDATE(BI$99,1))),0)</f>
        <v>0</v>
      </c>
      <c r="BJ204">
        <f>IF(예비비!$R204="OK",SUMIFS(예비비!$O$430:$O$729,예비비!$B$430:$B$729,예비비!$A204,예비비!$E$430:$E$729,"&lt;"&amp;EDATE(BJ$99,1),예비비!$F$430:$F$729,"결제대금비")+MAX(0,IF(예비비!$D204&lt;EDATE(BJ$99,1),예비비!$E204,0)-SUMIFS(예비비!$O$430:$O$729,예비비!$B$430:$B$729,예비비!$A204,예비비!$E$430:$E$729,"&lt;"&amp;EDATE(BJ$99,1))),0)</f>
        <v>0</v>
      </c>
      <c r="BK204">
        <f>IF(예비비!$R204="OK",SUMIFS(예비비!$O$430:$O$729,예비비!$B$430:$B$729,예비비!$A204,예비비!$E$430:$E$729,"&lt;"&amp;EDATE(BK$99,1),예비비!$F$430:$F$729,"결제대금비")+MAX(0,IF(예비비!$D204&lt;EDATE(BK$99,1),예비비!$E204,0)-SUMIFS(예비비!$O$430:$O$729,예비비!$B$430:$B$729,예비비!$A204,예비비!$E$430:$E$729,"&lt;"&amp;EDATE(BK$99,1))),0)</f>
        <v>0</v>
      </c>
      <c r="BL204">
        <f>IF(예비비!$R204="OK",SUMIFS(예비비!$O$430:$O$729,예비비!$B$430:$B$729,예비비!$A204,예비비!$E$430:$E$729,"&lt;"&amp;EDATE(BL$99,1),예비비!$F$430:$F$729,"결제대금비")+MAX(0,IF(예비비!$D204&lt;EDATE(BL$99,1),예비비!$E204,0)-SUMIFS(예비비!$O$430:$O$729,예비비!$B$430:$B$729,예비비!$A204,예비비!$E$430:$E$729,"&lt;"&amp;EDATE(BL$99,1))),0)</f>
        <v>0</v>
      </c>
      <c r="BM204">
        <f>IF(예비비!$R204="OK",SUMIFS(예비비!$O$430:$O$729,예비비!$B$430:$B$729,예비비!$A204,예비비!$E$430:$E$729,"&lt;"&amp;EDATE(BM$99,1),예비비!$F$430:$F$729,"결제대금비")+MAX(0,IF(예비비!$D204&lt;EDATE(BM$99,1),예비비!$E204,0)-SUMIFS(예비비!$O$430:$O$729,예비비!$B$430:$B$729,예비비!$A204,예비비!$E$430:$E$729,"&lt;"&amp;EDATE(BM$99,1))),0)</f>
        <v>0</v>
      </c>
      <c r="BN204">
        <f>IF(예비비!$R204="OK",SUMIFS(예비비!$O$430:$O$729,예비비!$B$430:$B$729,예비비!$A204,예비비!$E$430:$E$729,"&lt;"&amp;EDATE(BN$99,1),예비비!$F$430:$F$729,"결제대금비")+MAX(0,IF(예비비!$D204&lt;EDATE(BN$99,1),예비비!$E204,0)-SUMIFS(예비비!$O$430:$O$729,예비비!$B$430:$B$729,예비비!$A204,예비비!$E$430:$E$729,"&lt;"&amp;EDATE(BN$99,1))),0)</f>
        <v>0</v>
      </c>
      <c r="BO204">
        <f>IF(예비비!$R204="OK",SUMIFS(예비비!$O$430:$O$729,예비비!$B$430:$B$729,예비비!$A204,예비비!$E$430:$E$729,"&lt;"&amp;EDATE(BO$99,1),예비비!$F$430:$F$729,"결제대금비")+MAX(0,IF(예비비!$D204&lt;EDATE(BO$99,1),예비비!$E204,0)-SUMIFS(예비비!$O$430:$O$729,예비비!$B$430:$B$729,예비비!$A204,예비비!$E$430:$E$729,"&lt;"&amp;EDATE(BO$99,1))),0)</f>
        <v>0</v>
      </c>
      <c r="BP204">
        <f>IF(예비비!$R204="OK",SUMIFS(예비비!$O$430:$O$729,예비비!$B$430:$B$729,예비비!$A204,예비비!$E$430:$E$729,"&lt;"&amp;EDATE(BP$99,1),예비비!$F$430:$F$729,"결제대금비")+MAX(0,IF(예비비!$D204&lt;EDATE(BP$99,1),예비비!$E204,0)-SUMIFS(예비비!$O$430:$O$729,예비비!$B$430:$B$729,예비비!$A204,예비비!$E$430:$E$729,"&lt;"&amp;EDATE(BP$99,1))),0)</f>
        <v>0</v>
      </c>
      <c r="BQ204">
        <f>IF(예비비!$R204="OK",SUMIFS(예비비!$O$430:$O$729,예비비!$B$430:$B$729,예비비!$A204,예비비!$E$430:$E$729,"&lt;"&amp;EDATE(BQ$99,1),예비비!$F$430:$F$729,"결제대금비")+MAX(0,IF(예비비!$D204&lt;EDATE(BQ$99,1),예비비!$E204,0)-SUMIFS(예비비!$O$430:$O$729,예비비!$B$430:$B$729,예비비!$A204,예비비!$E$430:$E$729,"&lt;"&amp;EDATE(BQ$99,1))),0)</f>
        <v>0</v>
      </c>
      <c r="BR204">
        <f>IF(예비비!$R204="OK",SUMIFS(예비비!$O$430:$O$729,예비비!$B$430:$B$729,예비비!$A204,예비비!$E$430:$E$729,"&lt;"&amp;EDATE(BR$99,1),예비비!$F$430:$F$729,"결제대금비")+MAX(0,IF(예비비!$D204&lt;EDATE(BR$99,1),예비비!$E204,0)-SUMIFS(예비비!$O$430:$O$729,예비비!$B$430:$B$729,예비비!$A204,예비비!$E$430:$E$729,"&lt;"&amp;EDATE(BR$99,1))),0)</f>
        <v>0</v>
      </c>
      <c r="BS204">
        <f>IF(예비비!$R204="OK",SUMIFS(예비비!$O$430:$O$729,예비비!$B$430:$B$729,예비비!$A204,예비비!$E$430:$E$729,"&lt;"&amp;EDATE(BS$99,1),예비비!$F$430:$F$729,"결제대금비")+MAX(0,IF(예비비!$D204&lt;EDATE(BS$99,1),예비비!$E204,0)-SUMIFS(예비비!$O$430:$O$729,예비비!$B$430:$B$729,예비비!$A204,예비비!$E$430:$E$729,"&lt;"&amp;EDATE(BS$99,1))),0)</f>
        <v>0</v>
      </c>
      <c r="BT204">
        <f>IF(예비비!$R204="OK",SUMIFS(예비비!$O$430:$O$729,예비비!$B$430:$B$729,예비비!$A204,예비비!$E$430:$E$729,"&lt;"&amp;EDATE(BT$99,1),예비비!$F$430:$F$729,"결제대금비")+MAX(0,IF(예비비!$D204&lt;EDATE(BT$99,1),예비비!$E204,0)-SUMIFS(예비비!$O$430:$O$729,예비비!$B$430:$B$729,예비비!$A204,예비비!$E$430:$E$729,"&lt;"&amp;EDATE(BT$99,1))),0)</f>
        <v>0</v>
      </c>
      <c r="BU204">
        <f>IF(예비비!$R204="OK",SUMIFS(예비비!$O$430:$O$729,예비비!$B$430:$B$729,예비비!$A204,예비비!$E$430:$E$729,"&lt;"&amp;EDATE(BU$99,1),예비비!$F$430:$F$729,"결제대금비")+MAX(0,IF(예비비!$D204&lt;EDATE(BU$99,1),예비비!$E204,0)-SUMIFS(예비비!$O$430:$O$729,예비비!$B$430:$B$729,예비비!$A204,예비비!$E$430:$E$729,"&lt;"&amp;EDATE(BU$99,1))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  <c r="BI205">
        <f>IF(예비비!$R205="OK",SUMIFS(예비비!$O$430:$O$729,예비비!$B$430:$B$729,예비비!$A205,예비비!$E$430:$E$729,"&lt;"&amp;EDATE(BI$99,1),예비비!$F$430:$F$729,"결제대금비")+MAX(0,IF(예비비!$D205&lt;EDATE(BI$99,1),예비비!$E205,0)-SUMIFS(예비비!$O$430:$O$729,예비비!$B$430:$B$729,예비비!$A205,예비비!$E$430:$E$729,"&lt;"&amp;EDATE(BI$99,1))),0)</f>
        <v>0</v>
      </c>
      <c r="BJ205">
        <f>IF(예비비!$R205="OK",SUMIFS(예비비!$O$430:$O$729,예비비!$B$430:$B$729,예비비!$A205,예비비!$E$430:$E$729,"&lt;"&amp;EDATE(BJ$99,1),예비비!$F$430:$F$729,"결제대금비")+MAX(0,IF(예비비!$D205&lt;EDATE(BJ$99,1),예비비!$E205,0)-SUMIFS(예비비!$O$430:$O$729,예비비!$B$430:$B$729,예비비!$A205,예비비!$E$430:$E$729,"&lt;"&amp;EDATE(BJ$99,1))),0)</f>
        <v>0</v>
      </c>
      <c r="BK205">
        <f>IF(예비비!$R205="OK",SUMIFS(예비비!$O$430:$O$729,예비비!$B$430:$B$729,예비비!$A205,예비비!$E$430:$E$729,"&lt;"&amp;EDATE(BK$99,1),예비비!$F$430:$F$729,"결제대금비")+MAX(0,IF(예비비!$D205&lt;EDATE(BK$99,1),예비비!$E205,0)-SUMIFS(예비비!$O$430:$O$729,예비비!$B$430:$B$729,예비비!$A205,예비비!$E$430:$E$729,"&lt;"&amp;EDATE(BK$99,1))),0)</f>
        <v>0</v>
      </c>
      <c r="BL205">
        <f>IF(예비비!$R205="OK",SUMIFS(예비비!$O$430:$O$729,예비비!$B$430:$B$729,예비비!$A205,예비비!$E$430:$E$729,"&lt;"&amp;EDATE(BL$99,1),예비비!$F$430:$F$729,"결제대금비")+MAX(0,IF(예비비!$D205&lt;EDATE(BL$99,1),예비비!$E205,0)-SUMIFS(예비비!$O$430:$O$729,예비비!$B$430:$B$729,예비비!$A205,예비비!$E$430:$E$729,"&lt;"&amp;EDATE(BL$99,1))),0)</f>
        <v>0</v>
      </c>
      <c r="BM205">
        <f>IF(예비비!$R205="OK",SUMIFS(예비비!$O$430:$O$729,예비비!$B$430:$B$729,예비비!$A205,예비비!$E$430:$E$729,"&lt;"&amp;EDATE(BM$99,1),예비비!$F$430:$F$729,"결제대금비")+MAX(0,IF(예비비!$D205&lt;EDATE(BM$99,1),예비비!$E205,0)-SUMIFS(예비비!$O$430:$O$729,예비비!$B$430:$B$729,예비비!$A205,예비비!$E$430:$E$729,"&lt;"&amp;EDATE(BM$99,1))),0)</f>
        <v>0</v>
      </c>
      <c r="BN205">
        <f>IF(예비비!$R205="OK",SUMIFS(예비비!$O$430:$O$729,예비비!$B$430:$B$729,예비비!$A205,예비비!$E$430:$E$729,"&lt;"&amp;EDATE(BN$99,1),예비비!$F$430:$F$729,"결제대금비")+MAX(0,IF(예비비!$D205&lt;EDATE(BN$99,1),예비비!$E205,0)-SUMIFS(예비비!$O$430:$O$729,예비비!$B$430:$B$729,예비비!$A205,예비비!$E$430:$E$729,"&lt;"&amp;EDATE(BN$99,1))),0)</f>
        <v>0</v>
      </c>
      <c r="BO205">
        <f>IF(예비비!$R205="OK",SUMIFS(예비비!$O$430:$O$729,예비비!$B$430:$B$729,예비비!$A205,예비비!$E$430:$E$729,"&lt;"&amp;EDATE(BO$99,1),예비비!$F$430:$F$729,"결제대금비")+MAX(0,IF(예비비!$D205&lt;EDATE(BO$99,1),예비비!$E205,0)-SUMIFS(예비비!$O$430:$O$729,예비비!$B$430:$B$729,예비비!$A205,예비비!$E$430:$E$729,"&lt;"&amp;EDATE(BO$99,1))),0)</f>
        <v>0</v>
      </c>
      <c r="BP205">
        <f>IF(예비비!$R205="OK",SUMIFS(예비비!$O$430:$O$729,예비비!$B$430:$B$729,예비비!$A205,예비비!$E$430:$E$729,"&lt;"&amp;EDATE(BP$99,1),예비비!$F$430:$F$729,"결제대금비")+MAX(0,IF(예비비!$D205&lt;EDATE(BP$99,1),예비비!$E205,0)-SUMIFS(예비비!$O$430:$O$729,예비비!$B$430:$B$729,예비비!$A205,예비비!$E$430:$E$729,"&lt;"&amp;EDATE(BP$99,1))),0)</f>
        <v>0</v>
      </c>
      <c r="BQ205">
        <f>IF(예비비!$R205="OK",SUMIFS(예비비!$O$430:$O$729,예비비!$B$430:$B$729,예비비!$A205,예비비!$E$430:$E$729,"&lt;"&amp;EDATE(BQ$99,1),예비비!$F$430:$F$729,"결제대금비")+MAX(0,IF(예비비!$D205&lt;EDATE(BQ$99,1),예비비!$E205,0)-SUMIFS(예비비!$O$430:$O$729,예비비!$B$430:$B$729,예비비!$A205,예비비!$E$430:$E$729,"&lt;"&amp;EDATE(BQ$99,1))),0)</f>
        <v>0</v>
      </c>
      <c r="BR205">
        <f>IF(예비비!$R205="OK",SUMIFS(예비비!$O$430:$O$729,예비비!$B$430:$B$729,예비비!$A205,예비비!$E$430:$E$729,"&lt;"&amp;EDATE(BR$99,1),예비비!$F$430:$F$729,"결제대금비")+MAX(0,IF(예비비!$D205&lt;EDATE(BR$99,1),예비비!$E205,0)-SUMIFS(예비비!$O$430:$O$729,예비비!$B$430:$B$729,예비비!$A205,예비비!$E$430:$E$729,"&lt;"&amp;EDATE(BR$99,1))),0)</f>
        <v>0</v>
      </c>
      <c r="BS205">
        <f>IF(예비비!$R205="OK",SUMIFS(예비비!$O$430:$O$729,예비비!$B$430:$B$729,예비비!$A205,예비비!$E$430:$E$729,"&lt;"&amp;EDATE(BS$99,1),예비비!$F$430:$F$729,"결제대금비")+MAX(0,IF(예비비!$D205&lt;EDATE(BS$99,1),예비비!$E205,0)-SUMIFS(예비비!$O$430:$O$729,예비비!$B$430:$B$729,예비비!$A205,예비비!$E$430:$E$729,"&lt;"&amp;EDATE(BS$99,1))),0)</f>
        <v>0</v>
      </c>
      <c r="BT205">
        <f>IF(예비비!$R205="OK",SUMIFS(예비비!$O$430:$O$729,예비비!$B$430:$B$729,예비비!$A205,예비비!$E$430:$E$729,"&lt;"&amp;EDATE(BT$99,1),예비비!$F$430:$F$729,"결제대금비")+MAX(0,IF(예비비!$D205&lt;EDATE(BT$99,1),예비비!$E205,0)-SUMIFS(예비비!$O$430:$O$729,예비비!$B$430:$B$729,예비비!$A205,예비비!$E$430:$E$729,"&lt;"&amp;EDATE(BT$99,1))),0)</f>
        <v>0</v>
      </c>
      <c r="BU205">
        <f>IF(예비비!$R205="OK",SUMIFS(예비비!$O$430:$O$729,예비비!$B$430:$B$729,예비비!$A205,예비비!$E$430:$E$729,"&lt;"&amp;EDATE(BU$99,1),예비비!$F$430:$F$729,"결제대금비")+MAX(0,IF(예비비!$D205&lt;EDATE(BU$99,1),예비비!$E205,0)-SUMIFS(예비비!$O$430:$O$729,예비비!$B$430:$B$729,예비비!$A205,예비비!$E$430:$E$729,"&lt;"&amp;EDATE(BU$99,1))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  <c r="BI206">
        <f>IF(예비비!$R206="OK",SUMIFS(예비비!$O$430:$O$729,예비비!$B$430:$B$729,예비비!$A206,예비비!$E$430:$E$729,"&lt;"&amp;EDATE(BI$99,1),예비비!$F$430:$F$729,"결제대금비")+MAX(0,IF(예비비!$D206&lt;EDATE(BI$99,1),예비비!$E206,0)-SUMIFS(예비비!$O$430:$O$729,예비비!$B$430:$B$729,예비비!$A206,예비비!$E$430:$E$729,"&lt;"&amp;EDATE(BI$99,1))),0)</f>
        <v>0</v>
      </c>
      <c r="BJ206">
        <f>IF(예비비!$R206="OK",SUMIFS(예비비!$O$430:$O$729,예비비!$B$430:$B$729,예비비!$A206,예비비!$E$430:$E$729,"&lt;"&amp;EDATE(BJ$99,1),예비비!$F$430:$F$729,"결제대금비")+MAX(0,IF(예비비!$D206&lt;EDATE(BJ$99,1),예비비!$E206,0)-SUMIFS(예비비!$O$430:$O$729,예비비!$B$430:$B$729,예비비!$A206,예비비!$E$430:$E$729,"&lt;"&amp;EDATE(BJ$99,1))),0)</f>
        <v>0</v>
      </c>
      <c r="BK206">
        <f>IF(예비비!$R206="OK",SUMIFS(예비비!$O$430:$O$729,예비비!$B$430:$B$729,예비비!$A206,예비비!$E$430:$E$729,"&lt;"&amp;EDATE(BK$99,1),예비비!$F$430:$F$729,"결제대금비")+MAX(0,IF(예비비!$D206&lt;EDATE(BK$99,1),예비비!$E206,0)-SUMIFS(예비비!$O$430:$O$729,예비비!$B$430:$B$729,예비비!$A206,예비비!$E$430:$E$729,"&lt;"&amp;EDATE(BK$99,1))),0)</f>
        <v>0</v>
      </c>
      <c r="BL206">
        <f>IF(예비비!$R206="OK",SUMIFS(예비비!$O$430:$O$729,예비비!$B$430:$B$729,예비비!$A206,예비비!$E$430:$E$729,"&lt;"&amp;EDATE(BL$99,1),예비비!$F$430:$F$729,"결제대금비")+MAX(0,IF(예비비!$D206&lt;EDATE(BL$99,1),예비비!$E206,0)-SUMIFS(예비비!$O$430:$O$729,예비비!$B$430:$B$729,예비비!$A206,예비비!$E$430:$E$729,"&lt;"&amp;EDATE(BL$99,1))),0)</f>
        <v>0</v>
      </c>
      <c r="BM206">
        <f>IF(예비비!$R206="OK",SUMIFS(예비비!$O$430:$O$729,예비비!$B$430:$B$729,예비비!$A206,예비비!$E$430:$E$729,"&lt;"&amp;EDATE(BM$99,1),예비비!$F$430:$F$729,"결제대금비")+MAX(0,IF(예비비!$D206&lt;EDATE(BM$99,1),예비비!$E206,0)-SUMIFS(예비비!$O$430:$O$729,예비비!$B$430:$B$729,예비비!$A206,예비비!$E$430:$E$729,"&lt;"&amp;EDATE(BM$99,1))),0)</f>
        <v>0</v>
      </c>
      <c r="BN206">
        <f>IF(예비비!$R206="OK",SUMIFS(예비비!$O$430:$O$729,예비비!$B$430:$B$729,예비비!$A206,예비비!$E$430:$E$729,"&lt;"&amp;EDATE(BN$99,1),예비비!$F$430:$F$729,"결제대금비")+MAX(0,IF(예비비!$D206&lt;EDATE(BN$99,1),예비비!$E206,0)-SUMIFS(예비비!$O$430:$O$729,예비비!$B$430:$B$729,예비비!$A206,예비비!$E$430:$E$729,"&lt;"&amp;EDATE(BN$99,1))),0)</f>
        <v>0</v>
      </c>
      <c r="BO206">
        <f>IF(예비비!$R206="OK",SUMIFS(예비비!$O$430:$O$729,예비비!$B$430:$B$729,예비비!$A206,예비비!$E$430:$E$729,"&lt;"&amp;EDATE(BO$99,1),예비비!$F$430:$F$729,"결제대금비")+MAX(0,IF(예비비!$D206&lt;EDATE(BO$99,1),예비비!$E206,0)-SUMIFS(예비비!$O$430:$O$729,예비비!$B$430:$B$729,예비비!$A206,예비비!$E$430:$E$729,"&lt;"&amp;EDATE(BO$99,1))),0)</f>
        <v>0</v>
      </c>
      <c r="BP206">
        <f>IF(예비비!$R206="OK",SUMIFS(예비비!$O$430:$O$729,예비비!$B$430:$B$729,예비비!$A206,예비비!$E$430:$E$729,"&lt;"&amp;EDATE(BP$99,1),예비비!$F$430:$F$729,"결제대금비")+MAX(0,IF(예비비!$D206&lt;EDATE(BP$99,1),예비비!$E206,0)-SUMIFS(예비비!$O$430:$O$729,예비비!$B$430:$B$729,예비비!$A206,예비비!$E$430:$E$729,"&lt;"&amp;EDATE(BP$99,1))),0)</f>
        <v>0</v>
      </c>
      <c r="BQ206">
        <f>IF(예비비!$R206="OK",SUMIFS(예비비!$O$430:$O$729,예비비!$B$430:$B$729,예비비!$A206,예비비!$E$430:$E$729,"&lt;"&amp;EDATE(BQ$99,1),예비비!$F$430:$F$729,"결제대금비")+MAX(0,IF(예비비!$D206&lt;EDATE(BQ$99,1),예비비!$E206,0)-SUMIFS(예비비!$O$430:$O$729,예비비!$B$430:$B$729,예비비!$A206,예비비!$E$430:$E$729,"&lt;"&amp;EDATE(BQ$99,1))),0)</f>
        <v>0</v>
      </c>
      <c r="BR206">
        <f>IF(예비비!$R206="OK",SUMIFS(예비비!$O$430:$O$729,예비비!$B$430:$B$729,예비비!$A206,예비비!$E$430:$E$729,"&lt;"&amp;EDATE(BR$99,1),예비비!$F$430:$F$729,"결제대금비")+MAX(0,IF(예비비!$D206&lt;EDATE(BR$99,1),예비비!$E206,0)-SUMIFS(예비비!$O$430:$O$729,예비비!$B$430:$B$729,예비비!$A206,예비비!$E$430:$E$729,"&lt;"&amp;EDATE(BR$99,1))),0)</f>
        <v>0</v>
      </c>
      <c r="BS206">
        <f>IF(예비비!$R206="OK",SUMIFS(예비비!$O$430:$O$729,예비비!$B$430:$B$729,예비비!$A206,예비비!$E$430:$E$729,"&lt;"&amp;EDATE(BS$99,1),예비비!$F$430:$F$729,"결제대금비")+MAX(0,IF(예비비!$D206&lt;EDATE(BS$99,1),예비비!$E206,0)-SUMIFS(예비비!$O$430:$O$729,예비비!$B$430:$B$729,예비비!$A206,예비비!$E$430:$E$729,"&lt;"&amp;EDATE(BS$99,1))),0)</f>
        <v>0</v>
      </c>
      <c r="BT206">
        <f>IF(예비비!$R206="OK",SUMIFS(예비비!$O$430:$O$729,예비비!$B$430:$B$729,예비비!$A206,예비비!$E$430:$E$729,"&lt;"&amp;EDATE(BT$99,1),예비비!$F$430:$F$729,"결제대금비")+MAX(0,IF(예비비!$D206&lt;EDATE(BT$99,1),예비비!$E206,0)-SUMIFS(예비비!$O$430:$O$729,예비비!$B$430:$B$729,예비비!$A206,예비비!$E$430:$E$729,"&lt;"&amp;EDATE(BT$99,1))),0)</f>
        <v>0</v>
      </c>
      <c r="BU206">
        <f>IF(예비비!$R206="OK",SUMIFS(예비비!$O$430:$O$729,예비비!$B$430:$B$729,예비비!$A206,예비비!$E$430:$E$729,"&lt;"&amp;EDATE(BU$99,1),예비비!$F$430:$F$729,"결제대금비")+MAX(0,IF(예비비!$D206&lt;EDATE(BU$99,1),예비비!$E206,0)-SUMIFS(예비비!$O$430:$O$729,예비비!$B$430:$B$729,예비비!$A206,예비비!$E$430:$E$729,"&lt;"&amp;EDATE(BU$99,1))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  <c r="BI207">
        <f>IF(예비비!$R207="OK",SUMIFS(예비비!$O$430:$O$729,예비비!$B$430:$B$729,예비비!$A207,예비비!$E$430:$E$729,"&lt;"&amp;EDATE(BI$99,1),예비비!$F$430:$F$729,"결제대금비")+MAX(0,IF(예비비!$D207&lt;EDATE(BI$99,1),예비비!$E207,0)-SUMIFS(예비비!$O$430:$O$729,예비비!$B$430:$B$729,예비비!$A207,예비비!$E$430:$E$729,"&lt;"&amp;EDATE(BI$99,1))),0)</f>
        <v>0</v>
      </c>
      <c r="BJ207">
        <f>IF(예비비!$R207="OK",SUMIFS(예비비!$O$430:$O$729,예비비!$B$430:$B$729,예비비!$A207,예비비!$E$430:$E$729,"&lt;"&amp;EDATE(BJ$99,1),예비비!$F$430:$F$729,"결제대금비")+MAX(0,IF(예비비!$D207&lt;EDATE(BJ$99,1),예비비!$E207,0)-SUMIFS(예비비!$O$430:$O$729,예비비!$B$430:$B$729,예비비!$A207,예비비!$E$430:$E$729,"&lt;"&amp;EDATE(BJ$99,1))),0)</f>
        <v>0</v>
      </c>
      <c r="BK207">
        <f>IF(예비비!$R207="OK",SUMIFS(예비비!$O$430:$O$729,예비비!$B$430:$B$729,예비비!$A207,예비비!$E$430:$E$729,"&lt;"&amp;EDATE(BK$99,1),예비비!$F$430:$F$729,"결제대금비")+MAX(0,IF(예비비!$D207&lt;EDATE(BK$99,1),예비비!$E207,0)-SUMIFS(예비비!$O$430:$O$729,예비비!$B$430:$B$729,예비비!$A207,예비비!$E$430:$E$729,"&lt;"&amp;EDATE(BK$99,1))),0)</f>
        <v>0</v>
      </c>
      <c r="BL207">
        <f>IF(예비비!$R207="OK",SUMIFS(예비비!$O$430:$O$729,예비비!$B$430:$B$729,예비비!$A207,예비비!$E$430:$E$729,"&lt;"&amp;EDATE(BL$99,1),예비비!$F$430:$F$729,"결제대금비")+MAX(0,IF(예비비!$D207&lt;EDATE(BL$99,1),예비비!$E207,0)-SUMIFS(예비비!$O$430:$O$729,예비비!$B$430:$B$729,예비비!$A207,예비비!$E$430:$E$729,"&lt;"&amp;EDATE(BL$99,1))),0)</f>
        <v>0</v>
      </c>
      <c r="BM207">
        <f>IF(예비비!$R207="OK",SUMIFS(예비비!$O$430:$O$729,예비비!$B$430:$B$729,예비비!$A207,예비비!$E$430:$E$729,"&lt;"&amp;EDATE(BM$99,1),예비비!$F$430:$F$729,"결제대금비")+MAX(0,IF(예비비!$D207&lt;EDATE(BM$99,1),예비비!$E207,0)-SUMIFS(예비비!$O$430:$O$729,예비비!$B$430:$B$729,예비비!$A207,예비비!$E$430:$E$729,"&lt;"&amp;EDATE(BM$99,1))),0)</f>
        <v>0</v>
      </c>
      <c r="BN207">
        <f>IF(예비비!$R207="OK",SUMIFS(예비비!$O$430:$O$729,예비비!$B$430:$B$729,예비비!$A207,예비비!$E$430:$E$729,"&lt;"&amp;EDATE(BN$99,1),예비비!$F$430:$F$729,"결제대금비")+MAX(0,IF(예비비!$D207&lt;EDATE(BN$99,1),예비비!$E207,0)-SUMIFS(예비비!$O$430:$O$729,예비비!$B$430:$B$729,예비비!$A207,예비비!$E$430:$E$729,"&lt;"&amp;EDATE(BN$99,1))),0)</f>
        <v>0</v>
      </c>
      <c r="BO207">
        <f>IF(예비비!$R207="OK",SUMIFS(예비비!$O$430:$O$729,예비비!$B$430:$B$729,예비비!$A207,예비비!$E$430:$E$729,"&lt;"&amp;EDATE(BO$99,1),예비비!$F$430:$F$729,"결제대금비")+MAX(0,IF(예비비!$D207&lt;EDATE(BO$99,1),예비비!$E207,0)-SUMIFS(예비비!$O$430:$O$729,예비비!$B$430:$B$729,예비비!$A207,예비비!$E$430:$E$729,"&lt;"&amp;EDATE(BO$99,1))),0)</f>
        <v>0</v>
      </c>
      <c r="BP207">
        <f>IF(예비비!$R207="OK",SUMIFS(예비비!$O$430:$O$729,예비비!$B$430:$B$729,예비비!$A207,예비비!$E$430:$E$729,"&lt;"&amp;EDATE(BP$99,1),예비비!$F$430:$F$729,"결제대금비")+MAX(0,IF(예비비!$D207&lt;EDATE(BP$99,1),예비비!$E207,0)-SUMIFS(예비비!$O$430:$O$729,예비비!$B$430:$B$729,예비비!$A207,예비비!$E$430:$E$729,"&lt;"&amp;EDATE(BP$99,1))),0)</f>
        <v>0</v>
      </c>
      <c r="BQ207">
        <f>IF(예비비!$R207="OK",SUMIFS(예비비!$O$430:$O$729,예비비!$B$430:$B$729,예비비!$A207,예비비!$E$430:$E$729,"&lt;"&amp;EDATE(BQ$99,1),예비비!$F$430:$F$729,"결제대금비")+MAX(0,IF(예비비!$D207&lt;EDATE(BQ$99,1),예비비!$E207,0)-SUMIFS(예비비!$O$430:$O$729,예비비!$B$430:$B$729,예비비!$A207,예비비!$E$430:$E$729,"&lt;"&amp;EDATE(BQ$99,1))),0)</f>
        <v>0</v>
      </c>
      <c r="BR207">
        <f>IF(예비비!$R207="OK",SUMIFS(예비비!$O$430:$O$729,예비비!$B$430:$B$729,예비비!$A207,예비비!$E$430:$E$729,"&lt;"&amp;EDATE(BR$99,1),예비비!$F$430:$F$729,"결제대금비")+MAX(0,IF(예비비!$D207&lt;EDATE(BR$99,1),예비비!$E207,0)-SUMIFS(예비비!$O$430:$O$729,예비비!$B$430:$B$729,예비비!$A207,예비비!$E$430:$E$729,"&lt;"&amp;EDATE(BR$99,1))),0)</f>
        <v>0</v>
      </c>
      <c r="BS207">
        <f>IF(예비비!$R207="OK",SUMIFS(예비비!$O$430:$O$729,예비비!$B$430:$B$729,예비비!$A207,예비비!$E$430:$E$729,"&lt;"&amp;EDATE(BS$99,1),예비비!$F$430:$F$729,"결제대금비")+MAX(0,IF(예비비!$D207&lt;EDATE(BS$99,1),예비비!$E207,0)-SUMIFS(예비비!$O$430:$O$729,예비비!$B$430:$B$729,예비비!$A207,예비비!$E$430:$E$729,"&lt;"&amp;EDATE(BS$99,1))),0)</f>
        <v>0</v>
      </c>
      <c r="BT207">
        <f>IF(예비비!$R207="OK",SUMIFS(예비비!$O$430:$O$729,예비비!$B$430:$B$729,예비비!$A207,예비비!$E$430:$E$729,"&lt;"&amp;EDATE(BT$99,1),예비비!$F$430:$F$729,"결제대금비")+MAX(0,IF(예비비!$D207&lt;EDATE(BT$99,1),예비비!$E207,0)-SUMIFS(예비비!$O$430:$O$729,예비비!$B$430:$B$729,예비비!$A207,예비비!$E$430:$E$729,"&lt;"&amp;EDATE(BT$99,1))),0)</f>
        <v>0</v>
      </c>
      <c r="BU207">
        <f>IF(예비비!$R207="OK",SUMIFS(예비비!$O$430:$O$729,예비비!$B$430:$B$729,예비비!$A207,예비비!$E$430:$E$729,"&lt;"&amp;EDATE(BU$99,1),예비비!$F$430:$F$729,"결제대금비")+MAX(0,IF(예비비!$D207&lt;EDATE(BU$99,1),예비비!$E207,0)-SUMIFS(예비비!$O$430:$O$729,예비비!$B$430:$B$729,예비비!$A207,예비비!$E$430:$E$729,"&lt;"&amp;EDATE(BU$99,1))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  <c r="BI208">
        <f>IF(예비비!$R208="OK",SUMIFS(예비비!$O$430:$O$729,예비비!$B$430:$B$729,예비비!$A208,예비비!$E$430:$E$729,"&lt;"&amp;EDATE(BI$99,1),예비비!$F$430:$F$729,"결제대금비")+MAX(0,IF(예비비!$D208&lt;EDATE(BI$99,1),예비비!$E208,0)-SUMIFS(예비비!$O$430:$O$729,예비비!$B$430:$B$729,예비비!$A208,예비비!$E$430:$E$729,"&lt;"&amp;EDATE(BI$99,1))),0)</f>
        <v>0</v>
      </c>
      <c r="BJ208">
        <f>IF(예비비!$R208="OK",SUMIFS(예비비!$O$430:$O$729,예비비!$B$430:$B$729,예비비!$A208,예비비!$E$430:$E$729,"&lt;"&amp;EDATE(BJ$99,1),예비비!$F$430:$F$729,"결제대금비")+MAX(0,IF(예비비!$D208&lt;EDATE(BJ$99,1),예비비!$E208,0)-SUMIFS(예비비!$O$430:$O$729,예비비!$B$430:$B$729,예비비!$A208,예비비!$E$430:$E$729,"&lt;"&amp;EDATE(BJ$99,1))),0)</f>
        <v>0</v>
      </c>
      <c r="BK208">
        <f>IF(예비비!$R208="OK",SUMIFS(예비비!$O$430:$O$729,예비비!$B$430:$B$729,예비비!$A208,예비비!$E$430:$E$729,"&lt;"&amp;EDATE(BK$99,1),예비비!$F$430:$F$729,"결제대금비")+MAX(0,IF(예비비!$D208&lt;EDATE(BK$99,1),예비비!$E208,0)-SUMIFS(예비비!$O$430:$O$729,예비비!$B$430:$B$729,예비비!$A208,예비비!$E$430:$E$729,"&lt;"&amp;EDATE(BK$99,1))),0)</f>
        <v>0</v>
      </c>
      <c r="BL208">
        <f>IF(예비비!$R208="OK",SUMIFS(예비비!$O$430:$O$729,예비비!$B$430:$B$729,예비비!$A208,예비비!$E$430:$E$729,"&lt;"&amp;EDATE(BL$99,1),예비비!$F$430:$F$729,"결제대금비")+MAX(0,IF(예비비!$D208&lt;EDATE(BL$99,1),예비비!$E208,0)-SUMIFS(예비비!$O$430:$O$729,예비비!$B$430:$B$729,예비비!$A208,예비비!$E$430:$E$729,"&lt;"&amp;EDATE(BL$99,1))),0)</f>
        <v>0</v>
      </c>
      <c r="BM208">
        <f>IF(예비비!$R208="OK",SUMIFS(예비비!$O$430:$O$729,예비비!$B$430:$B$729,예비비!$A208,예비비!$E$430:$E$729,"&lt;"&amp;EDATE(BM$99,1),예비비!$F$430:$F$729,"결제대금비")+MAX(0,IF(예비비!$D208&lt;EDATE(BM$99,1),예비비!$E208,0)-SUMIFS(예비비!$O$430:$O$729,예비비!$B$430:$B$729,예비비!$A208,예비비!$E$430:$E$729,"&lt;"&amp;EDATE(BM$99,1))),0)</f>
        <v>0</v>
      </c>
      <c r="BN208">
        <f>IF(예비비!$R208="OK",SUMIFS(예비비!$O$430:$O$729,예비비!$B$430:$B$729,예비비!$A208,예비비!$E$430:$E$729,"&lt;"&amp;EDATE(BN$99,1),예비비!$F$430:$F$729,"결제대금비")+MAX(0,IF(예비비!$D208&lt;EDATE(BN$99,1),예비비!$E208,0)-SUMIFS(예비비!$O$430:$O$729,예비비!$B$430:$B$729,예비비!$A208,예비비!$E$430:$E$729,"&lt;"&amp;EDATE(BN$99,1))),0)</f>
        <v>0</v>
      </c>
      <c r="BO208">
        <f>IF(예비비!$R208="OK",SUMIFS(예비비!$O$430:$O$729,예비비!$B$430:$B$729,예비비!$A208,예비비!$E$430:$E$729,"&lt;"&amp;EDATE(BO$99,1),예비비!$F$430:$F$729,"결제대금비")+MAX(0,IF(예비비!$D208&lt;EDATE(BO$99,1),예비비!$E208,0)-SUMIFS(예비비!$O$430:$O$729,예비비!$B$430:$B$729,예비비!$A208,예비비!$E$430:$E$729,"&lt;"&amp;EDATE(BO$99,1))),0)</f>
        <v>0</v>
      </c>
      <c r="BP208">
        <f>IF(예비비!$R208="OK",SUMIFS(예비비!$O$430:$O$729,예비비!$B$430:$B$729,예비비!$A208,예비비!$E$430:$E$729,"&lt;"&amp;EDATE(BP$99,1),예비비!$F$430:$F$729,"결제대금비")+MAX(0,IF(예비비!$D208&lt;EDATE(BP$99,1),예비비!$E208,0)-SUMIFS(예비비!$O$430:$O$729,예비비!$B$430:$B$729,예비비!$A208,예비비!$E$430:$E$729,"&lt;"&amp;EDATE(BP$99,1))),0)</f>
        <v>0</v>
      </c>
      <c r="BQ208">
        <f>IF(예비비!$R208="OK",SUMIFS(예비비!$O$430:$O$729,예비비!$B$430:$B$729,예비비!$A208,예비비!$E$430:$E$729,"&lt;"&amp;EDATE(BQ$99,1),예비비!$F$430:$F$729,"결제대금비")+MAX(0,IF(예비비!$D208&lt;EDATE(BQ$99,1),예비비!$E208,0)-SUMIFS(예비비!$O$430:$O$729,예비비!$B$430:$B$729,예비비!$A208,예비비!$E$430:$E$729,"&lt;"&amp;EDATE(BQ$99,1))),0)</f>
        <v>0</v>
      </c>
      <c r="BR208">
        <f>IF(예비비!$R208="OK",SUMIFS(예비비!$O$430:$O$729,예비비!$B$430:$B$729,예비비!$A208,예비비!$E$430:$E$729,"&lt;"&amp;EDATE(BR$99,1),예비비!$F$430:$F$729,"결제대금비")+MAX(0,IF(예비비!$D208&lt;EDATE(BR$99,1),예비비!$E208,0)-SUMIFS(예비비!$O$430:$O$729,예비비!$B$430:$B$729,예비비!$A208,예비비!$E$430:$E$729,"&lt;"&amp;EDATE(BR$99,1))),0)</f>
        <v>0</v>
      </c>
      <c r="BS208">
        <f>IF(예비비!$R208="OK",SUMIFS(예비비!$O$430:$O$729,예비비!$B$430:$B$729,예비비!$A208,예비비!$E$430:$E$729,"&lt;"&amp;EDATE(BS$99,1),예비비!$F$430:$F$729,"결제대금비")+MAX(0,IF(예비비!$D208&lt;EDATE(BS$99,1),예비비!$E208,0)-SUMIFS(예비비!$O$430:$O$729,예비비!$B$430:$B$729,예비비!$A208,예비비!$E$430:$E$729,"&lt;"&amp;EDATE(BS$99,1))),0)</f>
        <v>0</v>
      </c>
      <c r="BT208">
        <f>IF(예비비!$R208="OK",SUMIFS(예비비!$O$430:$O$729,예비비!$B$430:$B$729,예비비!$A208,예비비!$E$430:$E$729,"&lt;"&amp;EDATE(BT$99,1),예비비!$F$430:$F$729,"결제대금비")+MAX(0,IF(예비비!$D208&lt;EDATE(BT$99,1),예비비!$E208,0)-SUMIFS(예비비!$O$430:$O$729,예비비!$B$430:$B$729,예비비!$A208,예비비!$E$430:$E$729,"&lt;"&amp;EDATE(BT$99,1))),0)</f>
        <v>0</v>
      </c>
      <c r="BU208">
        <f>IF(예비비!$R208="OK",SUMIFS(예비비!$O$430:$O$729,예비비!$B$430:$B$729,예비비!$A208,예비비!$E$430:$E$729,"&lt;"&amp;EDATE(BU$99,1),예비비!$F$430:$F$729,"결제대금비")+MAX(0,IF(예비비!$D208&lt;EDATE(BU$99,1),예비비!$E208,0)-SUMIFS(예비비!$O$430:$O$729,예비비!$B$430:$B$729,예비비!$A208,예비비!$E$430:$E$729,"&lt;"&amp;EDATE(BU$99,1))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  <c r="BI209">
        <f>IF(예비비!$R209="OK",SUMIFS(예비비!$O$430:$O$729,예비비!$B$430:$B$729,예비비!$A209,예비비!$E$430:$E$729,"&lt;"&amp;EDATE(BI$99,1),예비비!$F$430:$F$729,"결제대금비")+MAX(0,IF(예비비!$D209&lt;EDATE(BI$99,1),예비비!$E209,0)-SUMIFS(예비비!$O$430:$O$729,예비비!$B$430:$B$729,예비비!$A209,예비비!$E$430:$E$729,"&lt;"&amp;EDATE(BI$99,1))),0)</f>
        <v>0</v>
      </c>
      <c r="BJ209">
        <f>IF(예비비!$R209="OK",SUMIFS(예비비!$O$430:$O$729,예비비!$B$430:$B$729,예비비!$A209,예비비!$E$430:$E$729,"&lt;"&amp;EDATE(BJ$99,1),예비비!$F$430:$F$729,"결제대금비")+MAX(0,IF(예비비!$D209&lt;EDATE(BJ$99,1),예비비!$E209,0)-SUMIFS(예비비!$O$430:$O$729,예비비!$B$430:$B$729,예비비!$A209,예비비!$E$430:$E$729,"&lt;"&amp;EDATE(BJ$99,1))),0)</f>
        <v>0</v>
      </c>
      <c r="BK209">
        <f>IF(예비비!$R209="OK",SUMIFS(예비비!$O$430:$O$729,예비비!$B$430:$B$729,예비비!$A209,예비비!$E$430:$E$729,"&lt;"&amp;EDATE(BK$99,1),예비비!$F$430:$F$729,"결제대금비")+MAX(0,IF(예비비!$D209&lt;EDATE(BK$99,1),예비비!$E209,0)-SUMIFS(예비비!$O$430:$O$729,예비비!$B$430:$B$729,예비비!$A209,예비비!$E$430:$E$729,"&lt;"&amp;EDATE(BK$99,1))),0)</f>
        <v>0</v>
      </c>
      <c r="BL209">
        <f>IF(예비비!$R209="OK",SUMIFS(예비비!$O$430:$O$729,예비비!$B$430:$B$729,예비비!$A209,예비비!$E$430:$E$729,"&lt;"&amp;EDATE(BL$99,1),예비비!$F$430:$F$729,"결제대금비")+MAX(0,IF(예비비!$D209&lt;EDATE(BL$99,1),예비비!$E209,0)-SUMIFS(예비비!$O$430:$O$729,예비비!$B$430:$B$729,예비비!$A209,예비비!$E$430:$E$729,"&lt;"&amp;EDATE(BL$99,1))),0)</f>
        <v>0</v>
      </c>
      <c r="BM209">
        <f>IF(예비비!$R209="OK",SUMIFS(예비비!$O$430:$O$729,예비비!$B$430:$B$729,예비비!$A209,예비비!$E$430:$E$729,"&lt;"&amp;EDATE(BM$99,1),예비비!$F$430:$F$729,"결제대금비")+MAX(0,IF(예비비!$D209&lt;EDATE(BM$99,1),예비비!$E209,0)-SUMIFS(예비비!$O$430:$O$729,예비비!$B$430:$B$729,예비비!$A209,예비비!$E$430:$E$729,"&lt;"&amp;EDATE(BM$99,1))),0)</f>
        <v>0</v>
      </c>
      <c r="BN209">
        <f>IF(예비비!$R209="OK",SUMIFS(예비비!$O$430:$O$729,예비비!$B$430:$B$729,예비비!$A209,예비비!$E$430:$E$729,"&lt;"&amp;EDATE(BN$99,1),예비비!$F$430:$F$729,"결제대금비")+MAX(0,IF(예비비!$D209&lt;EDATE(BN$99,1),예비비!$E209,0)-SUMIFS(예비비!$O$430:$O$729,예비비!$B$430:$B$729,예비비!$A209,예비비!$E$430:$E$729,"&lt;"&amp;EDATE(BN$99,1))),0)</f>
        <v>0</v>
      </c>
      <c r="BO209">
        <f>IF(예비비!$R209="OK",SUMIFS(예비비!$O$430:$O$729,예비비!$B$430:$B$729,예비비!$A209,예비비!$E$430:$E$729,"&lt;"&amp;EDATE(BO$99,1),예비비!$F$430:$F$729,"결제대금비")+MAX(0,IF(예비비!$D209&lt;EDATE(BO$99,1),예비비!$E209,0)-SUMIFS(예비비!$O$430:$O$729,예비비!$B$430:$B$729,예비비!$A209,예비비!$E$430:$E$729,"&lt;"&amp;EDATE(BO$99,1))),0)</f>
        <v>0</v>
      </c>
      <c r="BP209">
        <f>IF(예비비!$R209="OK",SUMIFS(예비비!$O$430:$O$729,예비비!$B$430:$B$729,예비비!$A209,예비비!$E$430:$E$729,"&lt;"&amp;EDATE(BP$99,1),예비비!$F$430:$F$729,"결제대금비")+MAX(0,IF(예비비!$D209&lt;EDATE(BP$99,1),예비비!$E209,0)-SUMIFS(예비비!$O$430:$O$729,예비비!$B$430:$B$729,예비비!$A209,예비비!$E$430:$E$729,"&lt;"&amp;EDATE(BP$99,1))),0)</f>
        <v>0</v>
      </c>
      <c r="BQ209">
        <f>IF(예비비!$R209="OK",SUMIFS(예비비!$O$430:$O$729,예비비!$B$430:$B$729,예비비!$A209,예비비!$E$430:$E$729,"&lt;"&amp;EDATE(BQ$99,1),예비비!$F$430:$F$729,"결제대금비")+MAX(0,IF(예비비!$D209&lt;EDATE(BQ$99,1),예비비!$E209,0)-SUMIFS(예비비!$O$430:$O$729,예비비!$B$430:$B$729,예비비!$A209,예비비!$E$430:$E$729,"&lt;"&amp;EDATE(BQ$99,1))),0)</f>
        <v>0</v>
      </c>
      <c r="BR209">
        <f>IF(예비비!$R209="OK",SUMIFS(예비비!$O$430:$O$729,예비비!$B$430:$B$729,예비비!$A209,예비비!$E$430:$E$729,"&lt;"&amp;EDATE(BR$99,1),예비비!$F$430:$F$729,"결제대금비")+MAX(0,IF(예비비!$D209&lt;EDATE(BR$99,1),예비비!$E209,0)-SUMIFS(예비비!$O$430:$O$729,예비비!$B$430:$B$729,예비비!$A209,예비비!$E$430:$E$729,"&lt;"&amp;EDATE(BR$99,1))),0)</f>
        <v>0</v>
      </c>
      <c r="BS209">
        <f>IF(예비비!$R209="OK",SUMIFS(예비비!$O$430:$O$729,예비비!$B$430:$B$729,예비비!$A209,예비비!$E$430:$E$729,"&lt;"&amp;EDATE(BS$99,1),예비비!$F$430:$F$729,"결제대금비")+MAX(0,IF(예비비!$D209&lt;EDATE(BS$99,1),예비비!$E209,0)-SUMIFS(예비비!$O$430:$O$729,예비비!$B$430:$B$729,예비비!$A209,예비비!$E$430:$E$729,"&lt;"&amp;EDATE(BS$99,1))),0)</f>
        <v>0</v>
      </c>
      <c r="BT209">
        <f>IF(예비비!$R209="OK",SUMIFS(예비비!$O$430:$O$729,예비비!$B$430:$B$729,예비비!$A209,예비비!$E$430:$E$729,"&lt;"&amp;EDATE(BT$99,1),예비비!$F$430:$F$729,"결제대금비")+MAX(0,IF(예비비!$D209&lt;EDATE(BT$99,1),예비비!$E209,0)-SUMIFS(예비비!$O$430:$O$729,예비비!$B$430:$B$729,예비비!$A209,예비비!$E$430:$E$729,"&lt;"&amp;EDATE(BT$99,1))),0)</f>
        <v>0</v>
      </c>
      <c r="BU209">
        <f>IF(예비비!$R209="OK",SUMIFS(예비비!$O$430:$O$729,예비비!$B$430:$B$729,예비비!$A209,예비비!$E$430:$E$729,"&lt;"&amp;EDATE(BU$99,1),예비비!$F$430:$F$729,"결제대금비")+MAX(0,IF(예비비!$D209&lt;EDATE(BU$99,1),예비비!$E209,0)-SUMIFS(예비비!$O$430:$O$729,예비비!$B$430:$B$729,예비비!$A209,예비비!$E$430:$E$729,"&lt;"&amp;EDATE(BU$99,1))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  <c r="BI210">
        <f>IF(예비비!$R210="OK",SUMIFS(예비비!$O$430:$O$729,예비비!$B$430:$B$729,예비비!$A210,예비비!$E$430:$E$729,"&lt;"&amp;EDATE(BI$99,1),예비비!$F$430:$F$729,"결제대금비")+MAX(0,IF(예비비!$D210&lt;EDATE(BI$99,1),예비비!$E210,0)-SUMIFS(예비비!$O$430:$O$729,예비비!$B$430:$B$729,예비비!$A210,예비비!$E$430:$E$729,"&lt;"&amp;EDATE(BI$99,1))),0)</f>
        <v>0</v>
      </c>
      <c r="BJ210">
        <f>IF(예비비!$R210="OK",SUMIFS(예비비!$O$430:$O$729,예비비!$B$430:$B$729,예비비!$A210,예비비!$E$430:$E$729,"&lt;"&amp;EDATE(BJ$99,1),예비비!$F$430:$F$729,"결제대금비")+MAX(0,IF(예비비!$D210&lt;EDATE(BJ$99,1),예비비!$E210,0)-SUMIFS(예비비!$O$430:$O$729,예비비!$B$430:$B$729,예비비!$A210,예비비!$E$430:$E$729,"&lt;"&amp;EDATE(BJ$99,1))),0)</f>
        <v>0</v>
      </c>
      <c r="BK210">
        <f>IF(예비비!$R210="OK",SUMIFS(예비비!$O$430:$O$729,예비비!$B$430:$B$729,예비비!$A210,예비비!$E$430:$E$729,"&lt;"&amp;EDATE(BK$99,1),예비비!$F$430:$F$729,"결제대금비")+MAX(0,IF(예비비!$D210&lt;EDATE(BK$99,1),예비비!$E210,0)-SUMIFS(예비비!$O$430:$O$729,예비비!$B$430:$B$729,예비비!$A210,예비비!$E$430:$E$729,"&lt;"&amp;EDATE(BK$99,1))),0)</f>
        <v>0</v>
      </c>
      <c r="BL210">
        <f>IF(예비비!$R210="OK",SUMIFS(예비비!$O$430:$O$729,예비비!$B$430:$B$729,예비비!$A210,예비비!$E$430:$E$729,"&lt;"&amp;EDATE(BL$99,1),예비비!$F$430:$F$729,"결제대금비")+MAX(0,IF(예비비!$D210&lt;EDATE(BL$99,1),예비비!$E210,0)-SUMIFS(예비비!$O$430:$O$729,예비비!$B$430:$B$729,예비비!$A210,예비비!$E$430:$E$729,"&lt;"&amp;EDATE(BL$99,1))),0)</f>
        <v>0</v>
      </c>
      <c r="BM210">
        <f>IF(예비비!$R210="OK",SUMIFS(예비비!$O$430:$O$729,예비비!$B$430:$B$729,예비비!$A210,예비비!$E$430:$E$729,"&lt;"&amp;EDATE(BM$99,1),예비비!$F$430:$F$729,"결제대금비")+MAX(0,IF(예비비!$D210&lt;EDATE(BM$99,1),예비비!$E210,0)-SUMIFS(예비비!$O$430:$O$729,예비비!$B$430:$B$729,예비비!$A210,예비비!$E$430:$E$729,"&lt;"&amp;EDATE(BM$99,1))),0)</f>
        <v>0</v>
      </c>
      <c r="BN210">
        <f>IF(예비비!$R210="OK",SUMIFS(예비비!$O$430:$O$729,예비비!$B$430:$B$729,예비비!$A210,예비비!$E$430:$E$729,"&lt;"&amp;EDATE(BN$99,1),예비비!$F$430:$F$729,"결제대금비")+MAX(0,IF(예비비!$D210&lt;EDATE(BN$99,1),예비비!$E210,0)-SUMIFS(예비비!$O$430:$O$729,예비비!$B$430:$B$729,예비비!$A210,예비비!$E$430:$E$729,"&lt;"&amp;EDATE(BN$99,1))),0)</f>
        <v>0</v>
      </c>
      <c r="BO210">
        <f>IF(예비비!$R210="OK",SUMIFS(예비비!$O$430:$O$729,예비비!$B$430:$B$729,예비비!$A210,예비비!$E$430:$E$729,"&lt;"&amp;EDATE(BO$99,1),예비비!$F$430:$F$729,"결제대금비")+MAX(0,IF(예비비!$D210&lt;EDATE(BO$99,1),예비비!$E210,0)-SUMIFS(예비비!$O$430:$O$729,예비비!$B$430:$B$729,예비비!$A210,예비비!$E$430:$E$729,"&lt;"&amp;EDATE(BO$99,1))),0)</f>
        <v>0</v>
      </c>
      <c r="BP210">
        <f>IF(예비비!$R210="OK",SUMIFS(예비비!$O$430:$O$729,예비비!$B$430:$B$729,예비비!$A210,예비비!$E$430:$E$729,"&lt;"&amp;EDATE(BP$99,1),예비비!$F$430:$F$729,"결제대금비")+MAX(0,IF(예비비!$D210&lt;EDATE(BP$99,1),예비비!$E210,0)-SUMIFS(예비비!$O$430:$O$729,예비비!$B$430:$B$729,예비비!$A210,예비비!$E$430:$E$729,"&lt;"&amp;EDATE(BP$99,1))),0)</f>
        <v>0</v>
      </c>
      <c r="BQ210">
        <f>IF(예비비!$R210="OK",SUMIFS(예비비!$O$430:$O$729,예비비!$B$430:$B$729,예비비!$A210,예비비!$E$430:$E$729,"&lt;"&amp;EDATE(BQ$99,1),예비비!$F$430:$F$729,"결제대금비")+MAX(0,IF(예비비!$D210&lt;EDATE(BQ$99,1),예비비!$E210,0)-SUMIFS(예비비!$O$430:$O$729,예비비!$B$430:$B$729,예비비!$A210,예비비!$E$430:$E$729,"&lt;"&amp;EDATE(BQ$99,1))),0)</f>
        <v>0</v>
      </c>
      <c r="BR210">
        <f>IF(예비비!$R210="OK",SUMIFS(예비비!$O$430:$O$729,예비비!$B$430:$B$729,예비비!$A210,예비비!$E$430:$E$729,"&lt;"&amp;EDATE(BR$99,1),예비비!$F$430:$F$729,"결제대금비")+MAX(0,IF(예비비!$D210&lt;EDATE(BR$99,1),예비비!$E210,0)-SUMIFS(예비비!$O$430:$O$729,예비비!$B$430:$B$729,예비비!$A210,예비비!$E$430:$E$729,"&lt;"&amp;EDATE(BR$99,1))),0)</f>
        <v>0</v>
      </c>
      <c r="BS210">
        <f>IF(예비비!$R210="OK",SUMIFS(예비비!$O$430:$O$729,예비비!$B$430:$B$729,예비비!$A210,예비비!$E$430:$E$729,"&lt;"&amp;EDATE(BS$99,1),예비비!$F$430:$F$729,"결제대금비")+MAX(0,IF(예비비!$D210&lt;EDATE(BS$99,1),예비비!$E210,0)-SUMIFS(예비비!$O$430:$O$729,예비비!$B$430:$B$729,예비비!$A210,예비비!$E$430:$E$729,"&lt;"&amp;EDATE(BS$99,1))),0)</f>
        <v>0</v>
      </c>
      <c r="BT210">
        <f>IF(예비비!$R210="OK",SUMIFS(예비비!$O$430:$O$729,예비비!$B$430:$B$729,예비비!$A210,예비비!$E$430:$E$729,"&lt;"&amp;EDATE(BT$99,1),예비비!$F$430:$F$729,"결제대금비")+MAX(0,IF(예비비!$D210&lt;EDATE(BT$99,1),예비비!$E210,0)-SUMIFS(예비비!$O$430:$O$729,예비비!$B$430:$B$729,예비비!$A210,예비비!$E$430:$E$729,"&lt;"&amp;EDATE(BT$99,1))),0)</f>
        <v>0</v>
      </c>
      <c r="BU210">
        <f>IF(예비비!$R210="OK",SUMIFS(예비비!$O$430:$O$729,예비비!$B$430:$B$729,예비비!$A210,예비비!$E$430:$E$729,"&lt;"&amp;EDATE(BU$99,1),예비비!$F$430:$F$729,"결제대금비")+MAX(0,IF(예비비!$D210&lt;EDATE(BU$99,1),예비비!$E210,0)-SUMIFS(예비비!$O$430:$O$729,예비비!$B$430:$B$729,예비비!$A210,예비비!$E$430:$E$729,"&lt;"&amp;EDATE(BU$99,1))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  <c r="BI211">
        <f>IF(예비비!$R211="OK",SUMIFS(예비비!$O$430:$O$729,예비비!$B$430:$B$729,예비비!$A211,예비비!$E$430:$E$729,"&lt;"&amp;EDATE(BI$99,1),예비비!$F$430:$F$729,"결제대금비")+MAX(0,IF(예비비!$D211&lt;EDATE(BI$99,1),예비비!$E211,0)-SUMIFS(예비비!$O$430:$O$729,예비비!$B$430:$B$729,예비비!$A211,예비비!$E$430:$E$729,"&lt;"&amp;EDATE(BI$99,1))),0)</f>
        <v>0</v>
      </c>
      <c r="BJ211">
        <f>IF(예비비!$R211="OK",SUMIFS(예비비!$O$430:$O$729,예비비!$B$430:$B$729,예비비!$A211,예비비!$E$430:$E$729,"&lt;"&amp;EDATE(BJ$99,1),예비비!$F$430:$F$729,"결제대금비")+MAX(0,IF(예비비!$D211&lt;EDATE(BJ$99,1),예비비!$E211,0)-SUMIFS(예비비!$O$430:$O$729,예비비!$B$430:$B$729,예비비!$A211,예비비!$E$430:$E$729,"&lt;"&amp;EDATE(BJ$99,1))),0)</f>
        <v>0</v>
      </c>
      <c r="BK211">
        <f>IF(예비비!$R211="OK",SUMIFS(예비비!$O$430:$O$729,예비비!$B$430:$B$729,예비비!$A211,예비비!$E$430:$E$729,"&lt;"&amp;EDATE(BK$99,1),예비비!$F$430:$F$729,"결제대금비")+MAX(0,IF(예비비!$D211&lt;EDATE(BK$99,1),예비비!$E211,0)-SUMIFS(예비비!$O$430:$O$729,예비비!$B$430:$B$729,예비비!$A211,예비비!$E$430:$E$729,"&lt;"&amp;EDATE(BK$99,1))),0)</f>
        <v>0</v>
      </c>
      <c r="BL211">
        <f>IF(예비비!$R211="OK",SUMIFS(예비비!$O$430:$O$729,예비비!$B$430:$B$729,예비비!$A211,예비비!$E$430:$E$729,"&lt;"&amp;EDATE(BL$99,1),예비비!$F$430:$F$729,"결제대금비")+MAX(0,IF(예비비!$D211&lt;EDATE(BL$99,1),예비비!$E211,0)-SUMIFS(예비비!$O$430:$O$729,예비비!$B$430:$B$729,예비비!$A211,예비비!$E$430:$E$729,"&lt;"&amp;EDATE(BL$99,1))),0)</f>
        <v>0</v>
      </c>
      <c r="BM211">
        <f>IF(예비비!$R211="OK",SUMIFS(예비비!$O$430:$O$729,예비비!$B$430:$B$729,예비비!$A211,예비비!$E$430:$E$729,"&lt;"&amp;EDATE(BM$99,1),예비비!$F$430:$F$729,"결제대금비")+MAX(0,IF(예비비!$D211&lt;EDATE(BM$99,1),예비비!$E211,0)-SUMIFS(예비비!$O$430:$O$729,예비비!$B$430:$B$729,예비비!$A211,예비비!$E$430:$E$729,"&lt;"&amp;EDATE(BM$99,1))),0)</f>
        <v>0</v>
      </c>
      <c r="BN211">
        <f>IF(예비비!$R211="OK",SUMIFS(예비비!$O$430:$O$729,예비비!$B$430:$B$729,예비비!$A211,예비비!$E$430:$E$729,"&lt;"&amp;EDATE(BN$99,1),예비비!$F$430:$F$729,"결제대금비")+MAX(0,IF(예비비!$D211&lt;EDATE(BN$99,1),예비비!$E211,0)-SUMIFS(예비비!$O$430:$O$729,예비비!$B$430:$B$729,예비비!$A211,예비비!$E$430:$E$729,"&lt;"&amp;EDATE(BN$99,1))),0)</f>
        <v>0</v>
      </c>
      <c r="BO211">
        <f>IF(예비비!$R211="OK",SUMIFS(예비비!$O$430:$O$729,예비비!$B$430:$B$729,예비비!$A211,예비비!$E$430:$E$729,"&lt;"&amp;EDATE(BO$99,1),예비비!$F$430:$F$729,"결제대금비")+MAX(0,IF(예비비!$D211&lt;EDATE(BO$99,1),예비비!$E211,0)-SUMIFS(예비비!$O$430:$O$729,예비비!$B$430:$B$729,예비비!$A211,예비비!$E$430:$E$729,"&lt;"&amp;EDATE(BO$99,1))),0)</f>
        <v>0</v>
      </c>
      <c r="BP211">
        <f>IF(예비비!$R211="OK",SUMIFS(예비비!$O$430:$O$729,예비비!$B$430:$B$729,예비비!$A211,예비비!$E$430:$E$729,"&lt;"&amp;EDATE(BP$99,1),예비비!$F$430:$F$729,"결제대금비")+MAX(0,IF(예비비!$D211&lt;EDATE(BP$99,1),예비비!$E211,0)-SUMIFS(예비비!$O$430:$O$729,예비비!$B$430:$B$729,예비비!$A211,예비비!$E$430:$E$729,"&lt;"&amp;EDATE(BP$99,1))),0)</f>
        <v>0</v>
      </c>
      <c r="BQ211">
        <f>IF(예비비!$R211="OK",SUMIFS(예비비!$O$430:$O$729,예비비!$B$430:$B$729,예비비!$A211,예비비!$E$430:$E$729,"&lt;"&amp;EDATE(BQ$99,1),예비비!$F$430:$F$729,"결제대금비")+MAX(0,IF(예비비!$D211&lt;EDATE(BQ$99,1),예비비!$E211,0)-SUMIFS(예비비!$O$430:$O$729,예비비!$B$430:$B$729,예비비!$A211,예비비!$E$430:$E$729,"&lt;"&amp;EDATE(BQ$99,1))),0)</f>
        <v>0</v>
      </c>
      <c r="BR211">
        <f>IF(예비비!$R211="OK",SUMIFS(예비비!$O$430:$O$729,예비비!$B$430:$B$729,예비비!$A211,예비비!$E$430:$E$729,"&lt;"&amp;EDATE(BR$99,1),예비비!$F$430:$F$729,"결제대금비")+MAX(0,IF(예비비!$D211&lt;EDATE(BR$99,1),예비비!$E211,0)-SUMIFS(예비비!$O$430:$O$729,예비비!$B$430:$B$729,예비비!$A211,예비비!$E$430:$E$729,"&lt;"&amp;EDATE(BR$99,1))),0)</f>
        <v>0</v>
      </c>
      <c r="BS211">
        <f>IF(예비비!$R211="OK",SUMIFS(예비비!$O$430:$O$729,예비비!$B$430:$B$729,예비비!$A211,예비비!$E$430:$E$729,"&lt;"&amp;EDATE(BS$99,1),예비비!$F$430:$F$729,"결제대금비")+MAX(0,IF(예비비!$D211&lt;EDATE(BS$99,1),예비비!$E211,0)-SUMIFS(예비비!$O$430:$O$729,예비비!$B$430:$B$729,예비비!$A211,예비비!$E$430:$E$729,"&lt;"&amp;EDATE(BS$99,1))),0)</f>
        <v>0</v>
      </c>
      <c r="BT211">
        <f>IF(예비비!$R211="OK",SUMIFS(예비비!$O$430:$O$729,예비비!$B$430:$B$729,예비비!$A211,예비비!$E$430:$E$729,"&lt;"&amp;EDATE(BT$99,1),예비비!$F$430:$F$729,"결제대금비")+MAX(0,IF(예비비!$D211&lt;EDATE(BT$99,1),예비비!$E211,0)-SUMIFS(예비비!$O$430:$O$729,예비비!$B$430:$B$729,예비비!$A211,예비비!$E$430:$E$729,"&lt;"&amp;EDATE(BT$99,1))),0)</f>
        <v>0</v>
      </c>
      <c r="BU211">
        <f>IF(예비비!$R211="OK",SUMIFS(예비비!$O$430:$O$729,예비비!$B$430:$B$729,예비비!$A211,예비비!$E$430:$E$729,"&lt;"&amp;EDATE(BU$99,1),예비비!$F$430:$F$729,"결제대금비")+MAX(0,IF(예비비!$D211&lt;EDATE(BU$99,1),예비비!$E211,0)-SUMIFS(예비비!$O$430:$O$729,예비비!$B$430:$B$729,예비비!$A211,예비비!$E$430:$E$729,"&lt;"&amp;EDATE(BU$99,1))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  <c r="BI212">
        <f>IF(예비비!$R212="OK",SUMIFS(예비비!$O$430:$O$729,예비비!$B$430:$B$729,예비비!$A212,예비비!$E$430:$E$729,"&lt;"&amp;EDATE(BI$99,1),예비비!$F$430:$F$729,"결제대금비")+MAX(0,IF(예비비!$D212&lt;EDATE(BI$99,1),예비비!$E212,0)-SUMIFS(예비비!$O$430:$O$729,예비비!$B$430:$B$729,예비비!$A212,예비비!$E$430:$E$729,"&lt;"&amp;EDATE(BI$99,1))),0)</f>
        <v>0</v>
      </c>
      <c r="BJ212">
        <f>IF(예비비!$R212="OK",SUMIFS(예비비!$O$430:$O$729,예비비!$B$430:$B$729,예비비!$A212,예비비!$E$430:$E$729,"&lt;"&amp;EDATE(BJ$99,1),예비비!$F$430:$F$729,"결제대금비")+MAX(0,IF(예비비!$D212&lt;EDATE(BJ$99,1),예비비!$E212,0)-SUMIFS(예비비!$O$430:$O$729,예비비!$B$430:$B$729,예비비!$A212,예비비!$E$430:$E$729,"&lt;"&amp;EDATE(BJ$99,1))),0)</f>
        <v>0</v>
      </c>
      <c r="BK212">
        <f>IF(예비비!$R212="OK",SUMIFS(예비비!$O$430:$O$729,예비비!$B$430:$B$729,예비비!$A212,예비비!$E$430:$E$729,"&lt;"&amp;EDATE(BK$99,1),예비비!$F$430:$F$729,"결제대금비")+MAX(0,IF(예비비!$D212&lt;EDATE(BK$99,1),예비비!$E212,0)-SUMIFS(예비비!$O$430:$O$729,예비비!$B$430:$B$729,예비비!$A212,예비비!$E$430:$E$729,"&lt;"&amp;EDATE(BK$99,1))),0)</f>
        <v>0</v>
      </c>
      <c r="BL212">
        <f>IF(예비비!$R212="OK",SUMIFS(예비비!$O$430:$O$729,예비비!$B$430:$B$729,예비비!$A212,예비비!$E$430:$E$729,"&lt;"&amp;EDATE(BL$99,1),예비비!$F$430:$F$729,"결제대금비")+MAX(0,IF(예비비!$D212&lt;EDATE(BL$99,1),예비비!$E212,0)-SUMIFS(예비비!$O$430:$O$729,예비비!$B$430:$B$729,예비비!$A212,예비비!$E$430:$E$729,"&lt;"&amp;EDATE(BL$99,1))),0)</f>
        <v>0</v>
      </c>
      <c r="BM212">
        <f>IF(예비비!$R212="OK",SUMIFS(예비비!$O$430:$O$729,예비비!$B$430:$B$729,예비비!$A212,예비비!$E$430:$E$729,"&lt;"&amp;EDATE(BM$99,1),예비비!$F$430:$F$729,"결제대금비")+MAX(0,IF(예비비!$D212&lt;EDATE(BM$99,1),예비비!$E212,0)-SUMIFS(예비비!$O$430:$O$729,예비비!$B$430:$B$729,예비비!$A212,예비비!$E$430:$E$729,"&lt;"&amp;EDATE(BM$99,1))),0)</f>
        <v>0</v>
      </c>
      <c r="BN212">
        <f>IF(예비비!$R212="OK",SUMIFS(예비비!$O$430:$O$729,예비비!$B$430:$B$729,예비비!$A212,예비비!$E$430:$E$729,"&lt;"&amp;EDATE(BN$99,1),예비비!$F$430:$F$729,"결제대금비")+MAX(0,IF(예비비!$D212&lt;EDATE(BN$99,1),예비비!$E212,0)-SUMIFS(예비비!$O$430:$O$729,예비비!$B$430:$B$729,예비비!$A212,예비비!$E$430:$E$729,"&lt;"&amp;EDATE(BN$99,1))),0)</f>
        <v>0</v>
      </c>
      <c r="BO212">
        <f>IF(예비비!$R212="OK",SUMIFS(예비비!$O$430:$O$729,예비비!$B$430:$B$729,예비비!$A212,예비비!$E$430:$E$729,"&lt;"&amp;EDATE(BO$99,1),예비비!$F$430:$F$729,"결제대금비")+MAX(0,IF(예비비!$D212&lt;EDATE(BO$99,1),예비비!$E212,0)-SUMIFS(예비비!$O$430:$O$729,예비비!$B$430:$B$729,예비비!$A212,예비비!$E$430:$E$729,"&lt;"&amp;EDATE(BO$99,1))),0)</f>
        <v>0</v>
      </c>
      <c r="BP212">
        <f>IF(예비비!$R212="OK",SUMIFS(예비비!$O$430:$O$729,예비비!$B$430:$B$729,예비비!$A212,예비비!$E$430:$E$729,"&lt;"&amp;EDATE(BP$99,1),예비비!$F$430:$F$729,"결제대금비")+MAX(0,IF(예비비!$D212&lt;EDATE(BP$99,1),예비비!$E212,0)-SUMIFS(예비비!$O$430:$O$729,예비비!$B$430:$B$729,예비비!$A212,예비비!$E$430:$E$729,"&lt;"&amp;EDATE(BP$99,1))),0)</f>
        <v>0</v>
      </c>
      <c r="BQ212">
        <f>IF(예비비!$R212="OK",SUMIFS(예비비!$O$430:$O$729,예비비!$B$430:$B$729,예비비!$A212,예비비!$E$430:$E$729,"&lt;"&amp;EDATE(BQ$99,1),예비비!$F$430:$F$729,"결제대금비")+MAX(0,IF(예비비!$D212&lt;EDATE(BQ$99,1),예비비!$E212,0)-SUMIFS(예비비!$O$430:$O$729,예비비!$B$430:$B$729,예비비!$A212,예비비!$E$430:$E$729,"&lt;"&amp;EDATE(BQ$99,1))),0)</f>
        <v>0</v>
      </c>
      <c r="BR212">
        <f>IF(예비비!$R212="OK",SUMIFS(예비비!$O$430:$O$729,예비비!$B$430:$B$729,예비비!$A212,예비비!$E$430:$E$729,"&lt;"&amp;EDATE(BR$99,1),예비비!$F$430:$F$729,"결제대금비")+MAX(0,IF(예비비!$D212&lt;EDATE(BR$99,1),예비비!$E212,0)-SUMIFS(예비비!$O$430:$O$729,예비비!$B$430:$B$729,예비비!$A212,예비비!$E$430:$E$729,"&lt;"&amp;EDATE(BR$99,1))),0)</f>
        <v>0</v>
      </c>
      <c r="BS212">
        <f>IF(예비비!$R212="OK",SUMIFS(예비비!$O$430:$O$729,예비비!$B$430:$B$729,예비비!$A212,예비비!$E$430:$E$729,"&lt;"&amp;EDATE(BS$99,1),예비비!$F$430:$F$729,"결제대금비")+MAX(0,IF(예비비!$D212&lt;EDATE(BS$99,1),예비비!$E212,0)-SUMIFS(예비비!$O$430:$O$729,예비비!$B$430:$B$729,예비비!$A212,예비비!$E$430:$E$729,"&lt;"&amp;EDATE(BS$99,1))),0)</f>
        <v>0</v>
      </c>
      <c r="BT212">
        <f>IF(예비비!$R212="OK",SUMIFS(예비비!$O$430:$O$729,예비비!$B$430:$B$729,예비비!$A212,예비비!$E$430:$E$729,"&lt;"&amp;EDATE(BT$99,1),예비비!$F$430:$F$729,"결제대금비")+MAX(0,IF(예비비!$D212&lt;EDATE(BT$99,1),예비비!$E212,0)-SUMIFS(예비비!$O$430:$O$729,예비비!$B$430:$B$729,예비비!$A212,예비비!$E$430:$E$729,"&lt;"&amp;EDATE(BT$99,1))),0)</f>
        <v>0</v>
      </c>
      <c r="BU212">
        <f>IF(예비비!$R212="OK",SUMIFS(예비비!$O$430:$O$729,예비비!$B$430:$B$729,예비비!$A212,예비비!$E$430:$E$729,"&lt;"&amp;EDATE(BU$99,1),예비비!$F$430:$F$729,"결제대금비")+MAX(0,IF(예비비!$D212&lt;EDATE(BU$99,1),예비비!$E212,0)-SUMIFS(예비비!$O$430:$O$729,예비비!$B$430:$B$729,예비비!$A212,예비비!$E$430:$E$729,"&lt;"&amp;EDATE(BU$99,1))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  <c r="BI213">
        <f>IF(예비비!$R213="OK",SUMIFS(예비비!$O$430:$O$729,예비비!$B$430:$B$729,예비비!$A213,예비비!$E$430:$E$729,"&lt;"&amp;EDATE(BI$99,1),예비비!$F$430:$F$729,"결제대금비")+MAX(0,IF(예비비!$D213&lt;EDATE(BI$99,1),예비비!$E213,0)-SUMIFS(예비비!$O$430:$O$729,예비비!$B$430:$B$729,예비비!$A213,예비비!$E$430:$E$729,"&lt;"&amp;EDATE(BI$99,1))),0)</f>
        <v>0</v>
      </c>
      <c r="BJ213">
        <f>IF(예비비!$R213="OK",SUMIFS(예비비!$O$430:$O$729,예비비!$B$430:$B$729,예비비!$A213,예비비!$E$430:$E$729,"&lt;"&amp;EDATE(BJ$99,1),예비비!$F$430:$F$729,"결제대금비")+MAX(0,IF(예비비!$D213&lt;EDATE(BJ$99,1),예비비!$E213,0)-SUMIFS(예비비!$O$430:$O$729,예비비!$B$430:$B$729,예비비!$A213,예비비!$E$430:$E$729,"&lt;"&amp;EDATE(BJ$99,1))),0)</f>
        <v>0</v>
      </c>
      <c r="BK213">
        <f>IF(예비비!$R213="OK",SUMIFS(예비비!$O$430:$O$729,예비비!$B$430:$B$729,예비비!$A213,예비비!$E$430:$E$729,"&lt;"&amp;EDATE(BK$99,1),예비비!$F$430:$F$729,"결제대금비")+MAX(0,IF(예비비!$D213&lt;EDATE(BK$99,1),예비비!$E213,0)-SUMIFS(예비비!$O$430:$O$729,예비비!$B$430:$B$729,예비비!$A213,예비비!$E$430:$E$729,"&lt;"&amp;EDATE(BK$99,1))),0)</f>
        <v>0</v>
      </c>
      <c r="BL213">
        <f>IF(예비비!$R213="OK",SUMIFS(예비비!$O$430:$O$729,예비비!$B$430:$B$729,예비비!$A213,예비비!$E$430:$E$729,"&lt;"&amp;EDATE(BL$99,1),예비비!$F$430:$F$729,"결제대금비")+MAX(0,IF(예비비!$D213&lt;EDATE(BL$99,1),예비비!$E213,0)-SUMIFS(예비비!$O$430:$O$729,예비비!$B$430:$B$729,예비비!$A213,예비비!$E$430:$E$729,"&lt;"&amp;EDATE(BL$99,1))),0)</f>
        <v>0</v>
      </c>
      <c r="BM213">
        <f>IF(예비비!$R213="OK",SUMIFS(예비비!$O$430:$O$729,예비비!$B$430:$B$729,예비비!$A213,예비비!$E$430:$E$729,"&lt;"&amp;EDATE(BM$99,1),예비비!$F$430:$F$729,"결제대금비")+MAX(0,IF(예비비!$D213&lt;EDATE(BM$99,1),예비비!$E213,0)-SUMIFS(예비비!$O$430:$O$729,예비비!$B$430:$B$729,예비비!$A213,예비비!$E$430:$E$729,"&lt;"&amp;EDATE(BM$99,1))),0)</f>
        <v>0</v>
      </c>
      <c r="BN213">
        <f>IF(예비비!$R213="OK",SUMIFS(예비비!$O$430:$O$729,예비비!$B$430:$B$729,예비비!$A213,예비비!$E$430:$E$729,"&lt;"&amp;EDATE(BN$99,1),예비비!$F$430:$F$729,"결제대금비")+MAX(0,IF(예비비!$D213&lt;EDATE(BN$99,1),예비비!$E213,0)-SUMIFS(예비비!$O$430:$O$729,예비비!$B$430:$B$729,예비비!$A213,예비비!$E$430:$E$729,"&lt;"&amp;EDATE(BN$99,1))),0)</f>
        <v>0</v>
      </c>
      <c r="BO213">
        <f>IF(예비비!$R213="OK",SUMIFS(예비비!$O$430:$O$729,예비비!$B$430:$B$729,예비비!$A213,예비비!$E$430:$E$729,"&lt;"&amp;EDATE(BO$99,1),예비비!$F$430:$F$729,"결제대금비")+MAX(0,IF(예비비!$D213&lt;EDATE(BO$99,1),예비비!$E213,0)-SUMIFS(예비비!$O$430:$O$729,예비비!$B$430:$B$729,예비비!$A213,예비비!$E$430:$E$729,"&lt;"&amp;EDATE(BO$99,1))),0)</f>
        <v>0</v>
      </c>
      <c r="BP213">
        <f>IF(예비비!$R213="OK",SUMIFS(예비비!$O$430:$O$729,예비비!$B$430:$B$729,예비비!$A213,예비비!$E$430:$E$729,"&lt;"&amp;EDATE(BP$99,1),예비비!$F$430:$F$729,"결제대금비")+MAX(0,IF(예비비!$D213&lt;EDATE(BP$99,1),예비비!$E213,0)-SUMIFS(예비비!$O$430:$O$729,예비비!$B$430:$B$729,예비비!$A213,예비비!$E$430:$E$729,"&lt;"&amp;EDATE(BP$99,1))),0)</f>
        <v>0</v>
      </c>
      <c r="BQ213">
        <f>IF(예비비!$R213="OK",SUMIFS(예비비!$O$430:$O$729,예비비!$B$430:$B$729,예비비!$A213,예비비!$E$430:$E$729,"&lt;"&amp;EDATE(BQ$99,1),예비비!$F$430:$F$729,"결제대금비")+MAX(0,IF(예비비!$D213&lt;EDATE(BQ$99,1),예비비!$E213,0)-SUMIFS(예비비!$O$430:$O$729,예비비!$B$430:$B$729,예비비!$A213,예비비!$E$430:$E$729,"&lt;"&amp;EDATE(BQ$99,1))),0)</f>
        <v>0</v>
      </c>
      <c r="BR213">
        <f>IF(예비비!$R213="OK",SUMIFS(예비비!$O$430:$O$729,예비비!$B$430:$B$729,예비비!$A213,예비비!$E$430:$E$729,"&lt;"&amp;EDATE(BR$99,1),예비비!$F$430:$F$729,"결제대금비")+MAX(0,IF(예비비!$D213&lt;EDATE(BR$99,1),예비비!$E213,0)-SUMIFS(예비비!$O$430:$O$729,예비비!$B$430:$B$729,예비비!$A213,예비비!$E$430:$E$729,"&lt;"&amp;EDATE(BR$99,1))),0)</f>
        <v>0</v>
      </c>
      <c r="BS213">
        <f>IF(예비비!$R213="OK",SUMIFS(예비비!$O$430:$O$729,예비비!$B$430:$B$729,예비비!$A213,예비비!$E$430:$E$729,"&lt;"&amp;EDATE(BS$99,1),예비비!$F$430:$F$729,"결제대금비")+MAX(0,IF(예비비!$D213&lt;EDATE(BS$99,1),예비비!$E213,0)-SUMIFS(예비비!$O$430:$O$729,예비비!$B$430:$B$729,예비비!$A213,예비비!$E$430:$E$729,"&lt;"&amp;EDATE(BS$99,1))),0)</f>
        <v>0</v>
      </c>
      <c r="BT213">
        <f>IF(예비비!$R213="OK",SUMIFS(예비비!$O$430:$O$729,예비비!$B$430:$B$729,예비비!$A213,예비비!$E$430:$E$729,"&lt;"&amp;EDATE(BT$99,1),예비비!$F$430:$F$729,"결제대금비")+MAX(0,IF(예비비!$D213&lt;EDATE(BT$99,1),예비비!$E213,0)-SUMIFS(예비비!$O$430:$O$729,예비비!$B$430:$B$729,예비비!$A213,예비비!$E$430:$E$729,"&lt;"&amp;EDATE(BT$99,1))),0)</f>
        <v>0</v>
      </c>
      <c r="BU213">
        <f>IF(예비비!$R213="OK",SUMIFS(예비비!$O$430:$O$729,예비비!$B$430:$B$729,예비비!$A213,예비비!$E$430:$E$729,"&lt;"&amp;EDATE(BU$99,1),예비비!$F$430:$F$729,"결제대금비")+MAX(0,IF(예비비!$D213&lt;EDATE(BU$99,1),예비비!$E213,0)-SUMIFS(예비비!$O$430:$O$729,예비비!$B$430:$B$729,예비비!$A213,예비비!$E$430:$E$729,"&lt;"&amp;EDATE(BU$99,1))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  <c r="BI214">
        <f>IF(예비비!$R214="OK",SUMIFS(예비비!$O$430:$O$729,예비비!$B$430:$B$729,예비비!$A214,예비비!$E$430:$E$729,"&lt;"&amp;EDATE(BI$99,1),예비비!$F$430:$F$729,"결제대금비")+MAX(0,IF(예비비!$D214&lt;EDATE(BI$99,1),예비비!$E214,0)-SUMIFS(예비비!$O$430:$O$729,예비비!$B$430:$B$729,예비비!$A214,예비비!$E$430:$E$729,"&lt;"&amp;EDATE(BI$99,1))),0)</f>
        <v>0</v>
      </c>
      <c r="BJ214">
        <f>IF(예비비!$R214="OK",SUMIFS(예비비!$O$430:$O$729,예비비!$B$430:$B$729,예비비!$A214,예비비!$E$430:$E$729,"&lt;"&amp;EDATE(BJ$99,1),예비비!$F$430:$F$729,"결제대금비")+MAX(0,IF(예비비!$D214&lt;EDATE(BJ$99,1),예비비!$E214,0)-SUMIFS(예비비!$O$430:$O$729,예비비!$B$430:$B$729,예비비!$A214,예비비!$E$430:$E$729,"&lt;"&amp;EDATE(BJ$99,1))),0)</f>
        <v>0</v>
      </c>
      <c r="BK214">
        <f>IF(예비비!$R214="OK",SUMIFS(예비비!$O$430:$O$729,예비비!$B$430:$B$729,예비비!$A214,예비비!$E$430:$E$729,"&lt;"&amp;EDATE(BK$99,1),예비비!$F$430:$F$729,"결제대금비")+MAX(0,IF(예비비!$D214&lt;EDATE(BK$99,1),예비비!$E214,0)-SUMIFS(예비비!$O$430:$O$729,예비비!$B$430:$B$729,예비비!$A214,예비비!$E$430:$E$729,"&lt;"&amp;EDATE(BK$99,1))),0)</f>
        <v>0</v>
      </c>
      <c r="BL214">
        <f>IF(예비비!$R214="OK",SUMIFS(예비비!$O$430:$O$729,예비비!$B$430:$B$729,예비비!$A214,예비비!$E$430:$E$729,"&lt;"&amp;EDATE(BL$99,1),예비비!$F$430:$F$729,"결제대금비")+MAX(0,IF(예비비!$D214&lt;EDATE(BL$99,1),예비비!$E214,0)-SUMIFS(예비비!$O$430:$O$729,예비비!$B$430:$B$729,예비비!$A214,예비비!$E$430:$E$729,"&lt;"&amp;EDATE(BL$99,1))),0)</f>
        <v>0</v>
      </c>
      <c r="BM214">
        <f>IF(예비비!$R214="OK",SUMIFS(예비비!$O$430:$O$729,예비비!$B$430:$B$729,예비비!$A214,예비비!$E$430:$E$729,"&lt;"&amp;EDATE(BM$99,1),예비비!$F$430:$F$729,"결제대금비")+MAX(0,IF(예비비!$D214&lt;EDATE(BM$99,1),예비비!$E214,0)-SUMIFS(예비비!$O$430:$O$729,예비비!$B$430:$B$729,예비비!$A214,예비비!$E$430:$E$729,"&lt;"&amp;EDATE(BM$99,1))),0)</f>
        <v>0</v>
      </c>
      <c r="BN214">
        <f>IF(예비비!$R214="OK",SUMIFS(예비비!$O$430:$O$729,예비비!$B$430:$B$729,예비비!$A214,예비비!$E$430:$E$729,"&lt;"&amp;EDATE(BN$99,1),예비비!$F$430:$F$729,"결제대금비")+MAX(0,IF(예비비!$D214&lt;EDATE(BN$99,1),예비비!$E214,0)-SUMIFS(예비비!$O$430:$O$729,예비비!$B$430:$B$729,예비비!$A214,예비비!$E$430:$E$729,"&lt;"&amp;EDATE(BN$99,1))),0)</f>
        <v>0</v>
      </c>
      <c r="BO214">
        <f>IF(예비비!$R214="OK",SUMIFS(예비비!$O$430:$O$729,예비비!$B$430:$B$729,예비비!$A214,예비비!$E$430:$E$729,"&lt;"&amp;EDATE(BO$99,1),예비비!$F$430:$F$729,"결제대금비")+MAX(0,IF(예비비!$D214&lt;EDATE(BO$99,1),예비비!$E214,0)-SUMIFS(예비비!$O$430:$O$729,예비비!$B$430:$B$729,예비비!$A214,예비비!$E$430:$E$729,"&lt;"&amp;EDATE(BO$99,1))),0)</f>
        <v>0</v>
      </c>
      <c r="BP214">
        <f>IF(예비비!$R214="OK",SUMIFS(예비비!$O$430:$O$729,예비비!$B$430:$B$729,예비비!$A214,예비비!$E$430:$E$729,"&lt;"&amp;EDATE(BP$99,1),예비비!$F$430:$F$729,"결제대금비")+MAX(0,IF(예비비!$D214&lt;EDATE(BP$99,1),예비비!$E214,0)-SUMIFS(예비비!$O$430:$O$729,예비비!$B$430:$B$729,예비비!$A214,예비비!$E$430:$E$729,"&lt;"&amp;EDATE(BP$99,1))),0)</f>
        <v>0</v>
      </c>
      <c r="BQ214">
        <f>IF(예비비!$R214="OK",SUMIFS(예비비!$O$430:$O$729,예비비!$B$430:$B$729,예비비!$A214,예비비!$E$430:$E$729,"&lt;"&amp;EDATE(BQ$99,1),예비비!$F$430:$F$729,"결제대금비")+MAX(0,IF(예비비!$D214&lt;EDATE(BQ$99,1),예비비!$E214,0)-SUMIFS(예비비!$O$430:$O$729,예비비!$B$430:$B$729,예비비!$A214,예비비!$E$430:$E$729,"&lt;"&amp;EDATE(BQ$99,1))),0)</f>
        <v>0</v>
      </c>
      <c r="BR214">
        <f>IF(예비비!$R214="OK",SUMIFS(예비비!$O$430:$O$729,예비비!$B$430:$B$729,예비비!$A214,예비비!$E$430:$E$729,"&lt;"&amp;EDATE(BR$99,1),예비비!$F$430:$F$729,"결제대금비")+MAX(0,IF(예비비!$D214&lt;EDATE(BR$99,1),예비비!$E214,0)-SUMIFS(예비비!$O$430:$O$729,예비비!$B$430:$B$729,예비비!$A214,예비비!$E$430:$E$729,"&lt;"&amp;EDATE(BR$99,1))),0)</f>
        <v>0</v>
      </c>
      <c r="BS214">
        <f>IF(예비비!$R214="OK",SUMIFS(예비비!$O$430:$O$729,예비비!$B$430:$B$729,예비비!$A214,예비비!$E$430:$E$729,"&lt;"&amp;EDATE(BS$99,1),예비비!$F$430:$F$729,"결제대금비")+MAX(0,IF(예비비!$D214&lt;EDATE(BS$99,1),예비비!$E214,0)-SUMIFS(예비비!$O$430:$O$729,예비비!$B$430:$B$729,예비비!$A214,예비비!$E$430:$E$729,"&lt;"&amp;EDATE(BS$99,1))),0)</f>
        <v>0</v>
      </c>
      <c r="BT214">
        <f>IF(예비비!$R214="OK",SUMIFS(예비비!$O$430:$O$729,예비비!$B$430:$B$729,예비비!$A214,예비비!$E$430:$E$729,"&lt;"&amp;EDATE(BT$99,1),예비비!$F$430:$F$729,"결제대금비")+MAX(0,IF(예비비!$D214&lt;EDATE(BT$99,1),예비비!$E214,0)-SUMIFS(예비비!$O$430:$O$729,예비비!$B$430:$B$729,예비비!$A214,예비비!$E$430:$E$729,"&lt;"&amp;EDATE(BT$99,1))),0)</f>
        <v>0</v>
      </c>
      <c r="BU214">
        <f>IF(예비비!$R214="OK",SUMIFS(예비비!$O$430:$O$729,예비비!$B$430:$B$729,예비비!$A214,예비비!$E$430:$E$729,"&lt;"&amp;EDATE(BU$99,1),예비비!$F$430:$F$729,"결제대금비")+MAX(0,IF(예비비!$D214&lt;EDATE(BU$99,1),예비비!$E214,0)-SUMIFS(예비비!$O$430:$O$729,예비비!$B$430:$B$729,예비비!$A214,예비비!$E$430:$E$729,"&lt;"&amp;EDATE(BU$99,1))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  <c r="BI215">
        <f>IF(예비비!$R215="OK",SUMIFS(예비비!$O$430:$O$729,예비비!$B$430:$B$729,예비비!$A215,예비비!$E$430:$E$729,"&lt;"&amp;EDATE(BI$99,1),예비비!$F$430:$F$729,"결제대금비")+MAX(0,IF(예비비!$D215&lt;EDATE(BI$99,1),예비비!$E215,0)-SUMIFS(예비비!$O$430:$O$729,예비비!$B$430:$B$729,예비비!$A215,예비비!$E$430:$E$729,"&lt;"&amp;EDATE(BI$99,1))),0)</f>
        <v>0</v>
      </c>
      <c r="BJ215">
        <f>IF(예비비!$R215="OK",SUMIFS(예비비!$O$430:$O$729,예비비!$B$430:$B$729,예비비!$A215,예비비!$E$430:$E$729,"&lt;"&amp;EDATE(BJ$99,1),예비비!$F$430:$F$729,"결제대금비")+MAX(0,IF(예비비!$D215&lt;EDATE(BJ$99,1),예비비!$E215,0)-SUMIFS(예비비!$O$430:$O$729,예비비!$B$430:$B$729,예비비!$A215,예비비!$E$430:$E$729,"&lt;"&amp;EDATE(BJ$99,1))),0)</f>
        <v>0</v>
      </c>
      <c r="BK215">
        <f>IF(예비비!$R215="OK",SUMIFS(예비비!$O$430:$O$729,예비비!$B$430:$B$729,예비비!$A215,예비비!$E$430:$E$729,"&lt;"&amp;EDATE(BK$99,1),예비비!$F$430:$F$729,"결제대금비")+MAX(0,IF(예비비!$D215&lt;EDATE(BK$99,1),예비비!$E215,0)-SUMIFS(예비비!$O$430:$O$729,예비비!$B$430:$B$729,예비비!$A215,예비비!$E$430:$E$729,"&lt;"&amp;EDATE(BK$99,1))),0)</f>
        <v>0</v>
      </c>
      <c r="BL215">
        <f>IF(예비비!$R215="OK",SUMIFS(예비비!$O$430:$O$729,예비비!$B$430:$B$729,예비비!$A215,예비비!$E$430:$E$729,"&lt;"&amp;EDATE(BL$99,1),예비비!$F$430:$F$729,"결제대금비")+MAX(0,IF(예비비!$D215&lt;EDATE(BL$99,1),예비비!$E215,0)-SUMIFS(예비비!$O$430:$O$729,예비비!$B$430:$B$729,예비비!$A215,예비비!$E$430:$E$729,"&lt;"&amp;EDATE(BL$99,1))),0)</f>
        <v>0</v>
      </c>
      <c r="BM215">
        <f>IF(예비비!$R215="OK",SUMIFS(예비비!$O$430:$O$729,예비비!$B$430:$B$729,예비비!$A215,예비비!$E$430:$E$729,"&lt;"&amp;EDATE(BM$99,1),예비비!$F$430:$F$729,"결제대금비")+MAX(0,IF(예비비!$D215&lt;EDATE(BM$99,1),예비비!$E215,0)-SUMIFS(예비비!$O$430:$O$729,예비비!$B$430:$B$729,예비비!$A215,예비비!$E$430:$E$729,"&lt;"&amp;EDATE(BM$99,1))),0)</f>
        <v>0</v>
      </c>
      <c r="BN215">
        <f>IF(예비비!$R215="OK",SUMIFS(예비비!$O$430:$O$729,예비비!$B$430:$B$729,예비비!$A215,예비비!$E$430:$E$729,"&lt;"&amp;EDATE(BN$99,1),예비비!$F$430:$F$729,"결제대금비")+MAX(0,IF(예비비!$D215&lt;EDATE(BN$99,1),예비비!$E215,0)-SUMIFS(예비비!$O$430:$O$729,예비비!$B$430:$B$729,예비비!$A215,예비비!$E$430:$E$729,"&lt;"&amp;EDATE(BN$99,1))),0)</f>
        <v>0</v>
      </c>
      <c r="BO215">
        <f>IF(예비비!$R215="OK",SUMIFS(예비비!$O$430:$O$729,예비비!$B$430:$B$729,예비비!$A215,예비비!$E$430:$E$729,"&lt;"&amp;EDATE(BO$99,1),예비비!$F$430:$F$729,"결제대금비")+MAX(0,IF(예비비!$D215&lt;EDATE(BO$99,1),예비비!$E215,0)-SUMIFS(예비비!$O$430:$O$729,예비비!$B$430:$B$729,예비비!$A215,예비비!$E$430:$E$729,"&lt;"&amp;EDATE(BO$99,1))),0)</f>
        <v>0</v>
      </c>
      <c r="BP215">
        <f>IF(예비비!$R215="OK",SUMIFS(예비비!$O$430:$O$729,예비비!$B$430:$B$729,예비비!$A215,예비비!$E$430:$E$729,"&lt;"&amp;EDATE(BP$99,1),예비비!$F$430:$F$729,"결제대금비")+MAX(0,IF(예비비!$D215&lt;EDATE(BP$99,1),예비비!$E215,0)-SUMIFS(예비비!$O$430:$O$729,예비비!$B$430:$B$729,예비비!$A215,예비비!$E$430:$E$729,"&lt;"&amp;EDATE(BP$99,1))),0)</f>
        <v>0</v>
      </c>
      <c r="BQ215">
        <f>IF(예비비!$R215="OK",SUMIFS(예비비!$O$430:$O$729,예비비!$B$430:$B$729,예비비!$A215,예비비!$E$430:$E$729,"&lt;"&amp;EDATE(BQ$99,1),예비비!$F$430:$F$729,"결제대금비")+MAX(0,IF(예비비!$D215&lt;EDATE(BQ$99,1),예비비!$E215,0)-SUMIFS(예비비!$O$430:$O$729,예비비!$B$430:$B$729,예비비!$A215,예비비!$E$430:$E$729,"&lt;"&amp;EDATE(BQ$99,1))),0)</f>
        <v>0</v>
      </c>
      <c r="BR215">
        <f>IF(예비비!$R215="OK",SUMIFS(예비비!$O$430:$O$729,예비비!$B$430:$B$729,예비비!$A215,예비비!$E$430:$E$729,"&lt;"&amp;EDATE(BR$99,1),예비비!$F$430:$F$729,"결제대금비")+MAX(0,IF(예비비!$D215&lt;EDATE(BR$99,1),예비비!$E215,0)-SUMIFS(예비비!$O$430:$O$729,예비비!$B$430:$B$729,예비비!$A215,예비비!$E$430:$E$729,"&lt;"&amp;EDATE(BR$99,1))),0)</f>
        <v>0</v>
      </c>
      <c r="BS215">
        <f>IF(예비비!$R215="OK",SUMIFS(예비비!$O$430:$O$729,예비비!$B$430:$B$729,예비비!$A215,예비비!$E$430:$E$729,"&lt;"&amp;EDATE(BS$99,1),예비비!$F$430:$F$729,"결제대금비")+MAX(0,IF(예비비!$D215&lt;EDATE(BS$99,1),예비비!$E215,0)-SUMIFS(예비비!$O$430:$O$729,예비비!$B$430:$B$729,예비비!$A215,예비비!$E$430:$E$729,"&lt;"&amp;EDATE(BS$99,1))),0)</f>
        <v>0</v>
      </c>
      <c r="BT215">
        <f>IF(예비비!$R215="OK",SUMIFS(예비비!$O$430:$O$729,예비비!$B$430:$B$729,예비비!$A215,예비비!$E$430:$E$729,"&lt;"&amp;EDATE(BT$99,1),예비비!$F$430:$F$729,"결제대금비")+MAX(0,IF(예비비!$D215&lt;EDATE(BT$99,1),예비비!$E215,0)-SUMIFS(예비비!$O$430:$O$729,예비비!$B$430:$B$729,예비비!$A215,예비비!$E$430:$E$729,"&lt;"&amp;EDATE(BT$99,1))),0)</f>
        <v>0</v>
      </c>
      <c r="BU215">
        <f>IF(예비비!$R215="OK",SUMIFS(예비비!$O$430:$O$729,예비비!$B$430:$B$729,예비비!$A215,예비비!$E$430:$E$729,"&lt;"&amp;EDATE(BU$99,1),예비비!$F$430:$F$729,"결제대금비")+MAX(0,IF(예비비!$D215&lt;EDATE(BU$99,1),예비비!$E215,0)-SUMIFS(예비비!$O$430:$O$729,예비비!$B$430:$B$729,예비비!$A215,예비비!$E$430:$E$729,"&lt;"&amp;EDATE(BU$99,1))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  <c r="BI216">
        <f>IF(예비비!$R216="OK",SUMIFS(예비비!$O$430:$O$729,예비비!$B$430:$B$729,예비비!$A216,예비비!$E$430:$E$729,"&lt;"&amp;EDATE(BI$99,1),예비비!$F$430:$F$729,"결제대금비")+MAX(0,IF(예비비!$D216&lt;EDATE(BI$99,1),예비비!$E216,0)-SUMIFS(예비비!$O$430:$O$729,예비비!$B$430:$B$729,예비비!$A216,예비비!$E$430:$E$729,"&lt;"&amp;EDATE(BI$99,1))),0)</f>
        <v>0</v>
      </c>
      <c r="BJ216">
        <f>IF(예비비!$R216="OK",SUMIFS(예비비!$O$430:$O$729,예비비!$B$430:$B$729,예비비!$A216,예비비!$E$430:$E$729,"&lt;"&amp;EDATE(BJ$99,1),예비비!$F$430:$F$729,"결제대금비")+MAX(0,IF(예비비!$D216&lt;EDATE(BJ$99,1),예비비!$E216,0)-SUMIFS(예비비!$O$430:$O$729,예비비!$B$430:$B$729,예비비!$A216,예비비!$E$430:$E$729,"&lt;"&amp;EDATE(BJ$99,1))),0)</f>
        <v>0</v>
      </c>
      <c r="BK216">
        <f>IF(예비비!$R216="OK",SUMIFS(예비비!$O$430:$O$729,예비비!$B$430:$B$729,예비비!$A216,예비비!$E$430:$E$729,"&lt;"&amp;EDATE(BK$99,1),예비비!$F$430:$F$729,"결제대금비")+MAX(0,IF(예비비!$D216&lt;EDATE(BK$99,1),예비비!$E216,0)-SUMIFS(예비비!$O$430:$O$729,예비비!$B$430:$B$729,예비비!$A216,예비비!$E$430:$E$729,"&lt;"&amp;EDATE(BK$99,1))),0)</f>
        <v>0</v>
      </c>
      <c r="BL216">
        <f>IF(예비비!$R216="OK",SUMIFS(예비비!$O$430:$O$729,예비비!$B$430:$B$729,예비비!$A216,예비비!$E$430:$E$729,"&lt;"&amp;EDATE(BL$99,1),예비비!$F$430:$F$729,"결제대금비")+MAX(0,IF(예비비!$D216&lt;EDATE(BL$99,1),예비비!$E216,0)-SUMIFS(예비비!$O$430:$O$729,예비비!$B$430:$B$729,예비비!$A216,예비비!$E$430:$E$729,"&lt;"&amp;EDATE(BL$99,1))),0)</f>
        <v>0</v>
      </c>
      <c r="BM216">
        <f>IF(예비비!$R216="OK",SUMIFS(예비비!$O$430:$O$729,예비비!$B$430:$B$729,예비비!$A216,예비비!$E$430:$E$729,"&lt;"&amp;EDATE(BM$99,1),예비비!$F$430:$F$729,"결제대금비")+MAX(0,IF(예비비!$D216&lt;EDATE(BM$99,1),예비비!$E216,0)-SUMIFS(예비비!$O$430:$O$729,예비비!$B$430:$B$729,예비비!$A216,예비비!$E$430:$E$729,"&lt;"&amp;EDATE(BM$99,1))),0)</f>
        <v>0</v>
      </c>
      <c r="BN216">
        <f>IF(예비비!$R216="OK",SUMIFS(예비비!$O$430:$O$729,예비비!$B$430:$B$729,예비비!$A216,예비비!$E$430:$E$729,"&lt;"&amp;EDATE(BN$99,1),예비비!$F$430:$F$729,"결제대금비")+MAX(0,IF(예비비!$D216&lt;EDATE(BN$99,1),예비비!$E216,0)-SUMIFS(예비비!$O$430:$O$729,예비비!$B$430:$B$729,예비비!$A216,예비비!$E$430:$E$729,"&lt;"&amp;EDATE(BN$99,1))),0)</f>
        <v>0</v>
      </c>
      <c r="BO216">
        <f>IF(예비비!$R216="OK",SUMIFS(예비비!$O$430:$O$729,예비비!$B$430:$B$729,예비비!$A216,예비비!$E$430:$E$729,"&lt;"&amp;EDATE(BO$99,1),예비비!$F$430:$F$729,"결제대금비")+MAX(0,IF(예비비!$D216&lt;EDATE(BO$99,1),예비비!$E216,0)-SUMIFS(예비비!$O$430:$O$729,예비비!$B$430:$B$729,예비비!$A216,예비비!$E$430:$E$729,"&lt;"&amp;EDATE(BO$99,1))),0)</f>
        <v>0</v>
      </c>
      <c r="BP216">
        <f>IF(예비비!$R216="OK",SUMIFS(예비비!$O$430:$O$729,예비비!$B$430:$B$729,예비비!$A216,예비비!$E$430:$E$729,"&lt;"&amp;EDATE(BP$99,1),예비비!$F$430:$F$729,"결제대금비")+MAX(0,IF(예비비!$D216&lt;EDATE(BP$99,1),예비비!$E216,0)-SUMIFS(예비비!$O$430:$O$729,예비비!$B$430:$B$729,예비비!$A216,예비비!$E$430:$E$729,"&lt;"&amp;EDATE(BP$99,1))),0)</f>
        <v>0</v>
      </c>
      <c r="BQ216">
        <f>IF(예비비!$R216="OK",SUMIFS(예비비!$O$430:$O$729,예비비!$B$430:$B$729,예비비!$A216,예비비!$E$430:$E$729,"&lt;"&amp;EDATE(BQ$99,1),예비비!$F$430:$F$729,"결제대금비")+MAX(0,IF(예비비!$D216&lt;EDATE(BQ$99,1),예비비!$E216,0)-SUMIFS(예비비!$O$430:$O$729,예비비!$B$430:$B$729,예비비!$A216,예비비!$E$430:$E$729,"&lt;"&amp;EDATE(BQ$99,1))),0)</f>
        <v>0</v>
      </c>
      <c r="BR216">
        <f>IF(예비비!$R216="OK",SUMIFS(예비비!$O$430:$O$729,예비비!$B$430:$B$729,예비비!$A216,예비비!$E$430:$E$729,"&lt;"&amp;EDATE(BR$99,1),예비비!$F$430:$F$729,"결제대금비")+MAX(0,IF(예비비!$D216&lt;EDATE(BR$99,1),예비비!$E216,0)-SUMIFS(예비비!$O$430:$O$729,예비비!$B$430:$B$729,예비비!$A216,예비비!$E$430:$E$729,"&lt;"&amp;EDATE(BR$99,1))),0)</f>
        <v>0</v>
      </c>
      <c r="BS216">
        <f>IF(예비비!$R216="OK",SUMIFS(예비비!$O$430:$O$729,예비비!$B$430:$B$729,예비비!$A216,예비비!$E$430:$E$729,"&lt;"&amp;EDATE(BS$99,1),예비비!$F$430:$F$729,"결제대금비")+MAX(0,IF(예비비!$D216&lt;EDATE(BS$99,1),예비비!$E216,0)-SUMIFS(예비비!$O$430:$O$729,예비비!$B$430:$B$729,예비비!$A216,예비비!$E$430:$E$729,"&lt;"&amp;EDATE(BS$99,1))),0)</f>
        <v>0</v>
      </c>
      <c r="BT216">
        <f>IF(예비비!$R216="OK",SUMIFS(예비비!$O$430:$O$729,예비비!$B$430:$B$729,예비비!$A216,예비비!$E$430:$E$729,"&lt;"&amp;EDATE(BT$99,1),예비비!$F$430:$F$729,"결제대금비")+MAX(0,IF(예비비!$D216&lt;EDATE(BT$99,1),예비비!$E216,0)-SUMIFS(예비비!$O$430:$O$729,예비비!$B$430:$B$729,예비비!$A216,예비비!$E$430:$E$729,"&lt;"&amp;EDATE(BT$99,1))),0)</f>
        <v>0</v>
      </c>
      <c r="BU216">
        <f>IF(예비비!$R216="OK",SUMIFS(예비비!$O$430:$O$729,예비비!$B$430:$B$729,예비비!$A216,예비비!$E$430:$E$729,"&lt;"&amp;EDATE(BU$99,1),예비비!$F$430:$F$729,"결제대금비")+MAX(0,IF(예비비!$D216&lt;EDATE(BU$99,1),예비비!$E216,0)-SUMIFS(예비비!$O$430:$O$729,예비비!$B$430:$B$729,예비비!$A216,예비비!$E$430:$E$729,"&lt;"&amp;EDATE(BU$99,1))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  <c r="BI217">
        <f>IF(예비비!$R217="OK",SUMIFS(예비비!$O$430:$O$729,예비비!$B$430:$B$729,예비비!$A217,예비비!$E$430:$E$729,"&lt;"&amp;EDATE(BI$99,1),예비비!$F$430:$F$729,"결제대금비")+MAX(0,IF(예비비!$D217&lt;EDATE(BI$99,1),예비비!$E217,0)-SUMIFS(예비비!$O$430:$O$729,예비비!$B$430:$B$729,예비비!$A217,예비비!$E$430:$E$729,"&lt;"&amp;EDATE(BI$99,1))),0)</f>
        <v>0</v>
      </c>
      <c r="BJ217">
        <f>IF(예비비!$R217="OK",SUMIFS(예비비!$O$430:$O$729,예비비!$B$430:$B$729,예비비!$A217,예비비!$E$430:$E$729,"&lt;"&amp;EDATE(BJ$99,1),예비비!$F$430:$F$729,"결제대금비")+MAX(0,IF(예비비!$D217&lt;EDATE(BJ$99,1),예비비!$E217,0)-SUMIFS(예비비!$O$430:$O$729,예비비!$B$430:$B$729,예비비!$A217,예비비!$E$430:$E$729,"&lt;"&amp;EDATE(BJ$99,1))),0)</f>
        <v>0</v>
      </c>
      <c r="BK217">
        <f>IF(예비비!$R217="OK",SUMIFS(예비비!$O$430:$O$729,예비비!$B$430:$B$729,예비비!$A217,예비비!$E$430:$E$729,"&lt;"&amp;EDATE(BK$99,1),예비비!$F$430:$F$729,"결제대금비")+MAX(0,IF(예비비!$D217&lt;EDATE(BK$99,1),예비비!$E217,0)-SUMIFS(예비비!$O$430:$O$729,예비비!$B$430:$B$729,예비비!$A217,예비비!$E$430:$E$729,"&lt;"&amp;EDATE(BK$99,1))),0)</f>
        <v>0</v>
      </c>
      <c r="BL217">
        <f>IF(예비비!$R217="OK",SUMIFS(예비비!$O$430:$O$729,예비비!$B$430:$B$729,예비비!$A217,예비비!$E$430:$E$729,"&lt;"&amp;EDATE(BL$99,1),예비비!$F$430:$F$729,"결제대금비")+MAX(0,IF(예비비!$D217&lt;EDATE(BL$99,1),예비비!$E217,0)-SUMIFS(예비비!$O$430:$O$729,예비비!$B$430:$B$729,예비비!$A217,예비비!$E$430:$E$729,"&lt;"&amp;EDATE(BL$99,1))),0)</f>
        <v>0</v>
      </c>
      <c r="BM217">
        <f>IF(예비비!$R217="OK",SUMIFS(예비비!$O$430:$O$729,예비비!$B$430:$B$729,예비비!$A217,예비비!$E$430:$E$729,"&lt;"&amp;EDATE(BM$99,1),예비비!$F$430:$F$729,"결제대금비")+MAX(0,IF(예비비!$D217&lt;EDATE(BM$99,1),예비비!$E217,0)-SUMIFS(예비비!$O$430:$O$729,예비비!$B$430:$B$729,예비비!$A217,예비비!$E$430:$E$729,"&lt;"&amp;EDATE(BM$99,1))),0)</f>
        <v>0</v>
      </c>
      <c r="BN217">
        <f>IF(예비비!$R217="OK",SUMIFS(예비비!$O$430:$O$729,예비비!$B$430:$B$729,예비비!$A217,예비비!$E$430:$E$729,"&lt;"&amp;EDATE(BN$99,1),예비비!$F$430:$F$729,"결제대금비")+MAX(0,IF(예비비!$D217&lt;EDATE(BN$99,1),예비비!$E217,0)-SUMIFS(예비비!$O$430:$O$729,예비비!$B$430:$B$729,예비비!$A217,예비비!$E$430:$E$729,"&lt;"&amp;EDATE(BN$99,1))),0)</f>
        <v>0</v>
      </c>
      <c r="BO217">
        <f>IF(예비비!$R217="OK",SUMIFS(예비비!$O$430:$O$729,예비비!$B$430:$B$729,예비비!$A217,예비비!$E$430:$E$729,"&lt;"&amp;EDATE(BO$99,1),예비비!$F$430:$F$729,"결제대금비")+MAX(0,IF(예비비!$D217&lt;EDATE(BO$99,1),예비비!$E217,0)-SUMIFS(예비비!$O$430:$O$729,예비비!$B$430:$B$729,예비비!$A217,예비비!$E$430:$E$729,"&lt;"&amp;EDATE(BO$99,1))),0)</f>
        <v>0</v>
      </c>
      <c r="BP217">
        <f>IF(예비비!$R217="OK",SUMIFS(예비비!$O$430:$O$729,예비비!$B$430:$B$729,예비비!$A217,예비비!$E$430:$E$729,"&lt;"&amp;EDATE(BP$99,1),예비비!$F$430:$F$729,"결제대금비")+MAX(0,IF(예비비!$D217&lt;EDATE(BP$99,1),예비비!$E217,0)-SUMIFS(예비비!$O$430:$O$729,예비비!$B$430:$B$729,예비비!$A217,예비비!$E$430:$E$729,"&lt;"&amp;EDATE(BP$99,1))),0)</f>
        <v>0</v>
      </c>
      <c r="BQ217">
        <f>IF(예비비!$R217="OK",SUMIFS(예비비!$O$430:$O$729,예비비!$B$430:$B$729,예비비!$A217,예비비!$E$430:$E$729,"&lt;"&amp;EDATE(BQ$99,1),예비비!$F$430:$F$729,"결제대금비")+MAX(0,IF(예비비!$D217&lt;EDATE(BQ$99,1),예비비!$E217,0)-SUMIFS(예비비!$O$430:$O$729,예비비!$B$430:$B$729,예비비!$A217,예비비!$E$430:$E$729,"&lt;"&amp;EDATE(BQ$99,1))),0)</f>
        <v>0</v>
      </c>
      <c r="BR217">
        <f>IF(예비비!$R217="OK",SUMIFS(예비비!$O$430:$O$729,예비비!$B$430:$B$729,예비비!$A217,예비비!$E$430:$E$729,"&lt;"&amp;EDATE(BR$99,1),예비비!$F$430:$F$729,"결제대금비")+MAX(0,IF(예비비!$D217&lt;EDATE(BR$99,1),예비비!$E217,0)-SUMIFS(예비비!$O$430:$O$729,예비비!$B$430:$B$729,예비비!$A217,예비비!$E$430:$E$729,"&lt;"&amp;EDATE(BR$99,1))),0)</f>
        <v>0</v>
      </c>
      <c r="BS217">
        <f>IF(예비비!$R217="OK",SUMIFS(예비비!$O$430:$O$729,예비비!$B$430:$B$729,예비비!$A217,예비비!$E$430:$E$729,"&lt;"&amp;EDATE(BS$99,1),예비비!$F$430:$F$729,"결제대금비")+MAX(0,IF(예비비!$D217&lt;EDATE(BS$99,1),예비비!$E217,0)-SUMIFS(예비비!$O$430:$O$729,예비비!$B$430:$B$729,예비비!$A217,예비비!$E$430:$E$729,"&lt;"&amp;EDATE(BS$99,1))),0)</f>
        <v>0</v>
      </c>
      <c r="BT217">
        <f>IF(예비비!$R217="OK",SUMIFS(예비비!$O$430:$O$729,예비비!$B$430:$B$729,예비비!$A217,예비비!$E$430:$E$729,"&lt;"&amp;EDATE(BT$99,1),예비비!$F$430:$F$729,"결제대금비")+MAX(0,IF(예비비!$D217&lt;EDATE(BT$99,1),예비비!$E217,0)-SUMIFS(예비비!$O$430:$O$729,예비비!$B$430:$B$729,예비비!$A217,예비비!$E$430:$E$729,"&lt;"&amp;EDATE(BT$99,1))),0)</f>
        <v>0</v>
      </c>
      <c r="BU217">
        <f>IF(예비비!$R217="OK",SUMIFS(예비비!$O$430:$O$729,예비비!$B$430:$B$729,예비비!$A217,예비비!$E$430:$E$729,"&lt;"&amp;EDATE(BU$99,1),예비비!$F$430:$F$729,"결제대금비")+MAX(0,IF(예비비!$D217&lt;EDATE(BU$99,1),예비비!$E217,0)-SUMIFS(예비비!$O$430:$O$729,예비비!$B$430:$B$729,예비비!$A217,예비비!$E$430:$E$729,"&lt;"&amp;EDATE(BU$99,1))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  <c r="BI218">
        <f>IF(예비비!$R218="OK",SUMIFS(예비비!$O$430:$O$729,예비비!$B$430:$B$729,예비비!$A218,예비비!$E$430:$E$729,"&lt;"&amp;EDATE(BI$99,1),예비비!$F$430:$F$729,"결제대금비")+MAX(0,IF(예비비!$D218&lt;EDATE(BI$99,1),예비비!$E218,0)-SUMIFS(예비비!$O$430:$O$729,예비비!$B$430:$B$729,예비비!$A218,예비비!$E$430:$E$729,"&lt;"&amp;EDATE(BI$99,1))),0)</f>
        <v>0</v>
      </c>
      <c r="BJ218">
        <f>IF(예비비!$R218="OK",SUMIFS(예비비!$O$430:$O$729,예비비!$B$430:$B$729,예비비!$A218,예비비!$E$430:$E$729,"&lt;"&amp;EDATE(BJ$99,1),예비비!$F$430:$F$729,"결제대금비")+MAX(0,IF(예비비!$D218&lt;EDATE(BJ$99,1),예비비!$E218,0)-SUMIFS(예비비!$O$430:$O$729,예비비!$B$430:$B$729,예비비!$A218,예비비!$E$430:$E$729,"&lt;"&amp;EDATE(BJ$99,1))),0)</f>
        <v>0</v>
      </c>
      <c r="BK218">
        <f>IF(예비비!$R218="OK",SUMIFS(예비비!$O$430:$O$729,예비비!$B$430:$B$729,예비비!$A218,예비비!$E$430:$E$729,"&lt;"&amp;EDATE(BK$99,1),예비비!$F$430:$F$729,"결제대금비")+MAX(0,IF(예비비!$D218&lt;EDATE(BK$99,1),예비비!$E218,0)-SUMIFS(예비비!$O$430:$O$729,예비비!$B$430:$B$729,예비비!$A218,예비비!$E$430:$E$729,"&lt;"&amp;EDATE(BK$99,1))),0)</f>
        <v>0</v>
      </c>
      <c r="BL218">
        <f>IF(예비비!$R218="OK",SUMIFS(예비비!$O$430:$O$729,예비비!$B$430:$B$729,예비비!$A218,예비비!$E$430:$E$729,"&lt;"&amp;EDATE(BL$99,1),예비비!$F$430:$F$729,"결제대금비")+MAX(0,IF(예비비!$D218&lt;EDATE(BL$99,1),예비비!$E218,0)-SUMIFS(예비비!$O$430:$O$729,예비비!$B$430:$B$729,예비비!$A218,예비비!$E$430:$E$729,"&lt;"&amp;EDATE(BL$99,1))),0)</f>
        <v>0</v>
      </c>
      <c r="BM218">
        <f>IF(예비비!$R218="OK",SUMIFS(예비비!$O$430:$O$729,예비비!$B$430:$B$729,예비비!$A218,예비비!$E$430:$E$729,"&lt;"&amp;EDATE(BM$99,1),예비비!$F$430:$F$729,"결제대금비")+MAX(0,IF(예비비!$D218&lt;EDATE(BM$99,1),예비비!$E218,0)-SUMIFS(예비비!$O$430:$O$729,예비비!$B$430:$B$729,예비비!$A218,예비비!$E$430:$E$729,"&lt;"&amp;EDATE(BM$99,1))),0)</f>
        <v>0</v>
      </c>
      <c r="BN218">
        <f>IF(예비비!$R218="OK",SUMIFS(예비비!$O$430:$O$729,예비비!$B$430:$B$729,예비비!$A218,예비비!$E$430:$E$729,"&lt;"&amp;EDATE(BN$99,1),예비비!$F$430:$F$729,"결제대금비")+MAX(0,IF(예비비!$D218&lt;EDATE(BN$99,1),예비비!$E218,0)-SUMIFS(예비비!$O$430:$O$729,예비비!$B$430:$B$729,예비비!$A218,예비비!$E$430:$E$729,"&lt;"&amp;EDATE(BN$99,1))),0)</f>
        <v>0</v>
      </c>
      <c r="BO218">
        <f>IF(예비비!$R218="OK",SUMIFS(예비비!$O$430:$O$729,예비비!$B$430:$B$729,예비비!$A218,예비비!$E$430:$E$729,"&lt;"&amp;EDATE(BO$99,1),예비비!$F$430:$F$729,"결제대금비")+MAX(0,IF(예비비!$D218&lt;EDATE(BO$99,1),예비비!$E218,0)-SUMIFS(예비비!$O$430:$O$729,예비비!$B$430:$B$729,예비비!$A218,예비비!$E$430:$E$729,"&lt;"&amp;EDATE(BO$99,1))),0)</f>
        <v>0</v>
      </c>
      <c r="BP218">
        <f>IF(예비비!$R218="OK",SUMIFS(예비비!$O$430:$O$729,예비비!$B$430:$B$729,예비비!$A218,예비비!$E$430:$E$729,"&lt;"&amp;EDATE(BP$99,1),예비비!$F$430:$F$729,"결제대금비")+MAX(0,IF(예비비!$D218&lt;EDATE(BP$99,1),예비비!$E218,0)-SUMIFS(예비비!$O$430:$O$729,예비비!$B$430:$B$729,예비비!$A218,예비비!$E$430:$E$729,"&lt;"&amp;EDATE(BP$99,1))),0)</f>
        <v>0</v>
      </c>
      <c r="BQ218">
        <f>IF(예비비!$R218="OK",SUMIFS(예비비!$O$430:$O$729,예비비!$B$430:$B$729,예비비!$A218,예비비!$E$430:$E$729,"&lt;"&amp;EDATE(BQ$99,1),예비비!$F$430:$F$729,"결제대금비")+MAX(0,IF(예비비!$D218&lt;EDATE(BQ$99,1),예비비!$E218,0)-SUMIFS(예비비!$O$430:$O$729,예비비!$B$430:$B$729,예비비!$A218,예비비!$E$430:$E$729,"&lt;"&amp;EDATE(BQ$99,1))),0)</f>
        <v>0</v>
      </c>
      <c r="BR218">
        <f>IF(예비비!$R218="OK",SUMIFS(예비비!$O$430:$O$729,예비비!$B$430:$B$729,예비비!$A218,예비비!$E$430:$E$729,"&lt;"&amp;EDATE(BR$99,1),예비비!$F$430:$F$729,"결제대금비")+MAX(0,IF(예비비!$D218&lt;EDATE(BR$99,1),예비비!$E218,0)-SUMIFS(예비비!$O$430:$O$729,예비비!$B$430:$B$729,예비비!$A218,예비비!$E$430:$E$729,"&lt;"&amp;EDATE(BR$99,1))),0)</f>
        <v>0</v>
      </c>
      <c r="BS218">
        <f>IF(예비비!$R218="OK",SUMIFS(예비비!$O$430:$O$729,예비비!$B$430:$B$729,예비비!$A218,예비비!$E$430:$E$729,"&lt;"&amp;EDATE(BS$99,1),예비비!$F$430:$F$729,"결제대금비")+MAX(0,IF(예비비!$D218&lt;EDATE(BS$99,1),예비비!$E218,0)-SUMIFS(예비비!$O$430:$O$729,예비비!$B$430:$B$729,예비비!$A218,예비비!$E$430:$E$729,"&lt;"&amp;EDATE(BS$99,1))),0)</f>
        <v>0</v>
      </c>
      <c r="BT218">
        <f>IF(예비비!$R218="OK",SUMIFS(예비비!$O$430:$O$729,예비비!$B$430:$B$729,예비비!$A218,예비비!$E$430:$E$729,"&lt;"&amp;EDATE(BT$99,1),예비비!$F$430:$F$729,"결제대금비")+MAX(0,IF(예비비!$D218&lt;EDATE(BT$99,1),예비비!$E218,0)-SUMIFS(예비비!$O$430:$O$729,예비비!$B$430:$B$729,예비비!$A218,예비비!$E$430:$E$729,"&lt;"&amp;EDATE(BT$99,1))),0)</f>
        <v>0</v>
      </c>
      <c r="BU218">
        <f>IF(예비비!$R218="OK",SUMIFS(예비비!$O$430:$O$729,예비비!$B$430:$B$729,예비비!$A218,예비비!$E$430:$E$729,"&lt;"&amp;EDATE(BU$99,1),예비비!$F$430:$F$729,"결제대금비")+MAX(0,IF(예비비!$D218&lt;EDATE(BU$99,1),예비비!$E218,0)-SUMIFS(예비비!$O$430:$O$729,예비비!$B$430:$B$729,예비비!$A218,예비비!$E$430:$E$729,"&lt;"&amp;EDATE(BU$99,1))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  <c r="BI219">
        <f>IF(예비비!$R219="OK",SUMIFS(예비비!$O$430:$O$729,예비비!$B$430:$B$729,예비비!$A219,예비비!$E$430:$E$729,"&lt;"&amp;EDATE(BI$99,1),예비비!$F$430:$F$729,"결제대금비")+MAX(0,IF(예비비!$D219&lt;EDATE(BI$99,1),예비비!$E219,0)-SUMIFS(예비비!$O$430:$O$729,예비비!$B$430:$B$729,예비비!$A219,예비비!$E$430:$E$729,"&lt;"&amp;EDATE(BI$99,1))),0)</f>
        <v>0</v>
      </c>
      <c r="BJ219">
        <f>IF(예비비!$R219="OK",SUMIFS(예비비!$O$430:$O$729,예비비!$B$430:$B$729,예비비!$A219,예비비!$E$430:$E$729,"&lt;"&amp;EDATE(BJ$99,1),예비비!$F$430:$F$729,"결제대금비")+MAX(0,IF(예비비!$D219&lt;EDATE(BJ$99,1),예비비!$E219,0)-SUMIFS(예비비!$O$430:$O$729,예비비!$B$430:$B$729,예비비!$A219,예비비!$E$430:$E$729,"&lt;"&amp;EDATE(BJ$99,1))),0)</f>
        <v>0</v>
      </c>
      <c r="BK219">
        <f>IF(예비비!$R219="OK",SUMIFS(예비비!$O$430:$O$729,예비비!$B$430:$B$729,예비비!$A219,예비비!$E$430:$E$729,"&lt;"&amp;EDATE(BK$99,1),예비비!$F$430:$F$729,"결제대금비")+MAX(0,IF(예비비!$D219&lt;EDATE(BK$99,1),예비비!$E219,0)-SUMIFS(예비비!$O$430:$O$729,예비비!$B$430:$B$729,예비비!$A219,예비비!$E$430:$E$729,"&lt;"&amp;EDATE(BK$99,1))),0)</f>
        <v>0</v>
      </c>
      <c r="BL219">
        <f>IF(예비비!$R219="OK",SUMIFS(예비비!$O$430:$O$729,예비비!$B$430:$B$729,예비비!$A219,예비비!$E$430:$E$729,"&lt;"&amp;EDATE(BL$99,1),예비비!$F$430:$F$729,"결제대금비")+MAX(0,IF(예비비!$D219&lt;EDATE(BL$99,1),예비비!$E219,0)-SUMIFS(예비비!$O$430:$O$729,예비비!$B$430:$B$729,예비비!$A219,예비비!$E$430:$E$729,"&lt;"&amp;EDATE(BL$99,1))),0)</f>
        <v>0</v>
      </c>
      <c r="BM219">
        <f>IF(예비비!$R219="OK",SUMIFS(예비비!$O$430:$O$729,예비비!$B$430:$B$729,예비비!$A219,예비비!$E$430:$E$729,"&lt;"&amp;EDATE(BM$99,1),예비비!$F$430:$F$729,"결제대금비")+MAX(0,IF(예비비!$D219&lt;EDATE(BM$99,1),예비비!$E219,0)-SUMIFS(예비비!$O$430:$O$729,예비비!$B$430:$B$729,예비비!$A219,예비비!$E$430:$E$729,"&lt;"&amp;EDATE(BM$99,1))),0)</f>
        <v>0</v>
      </c>
      <c r="BN219">
        <f>IF(예비비!$R219="OK",SUMIFS(예비비!$O$430:$O$729,예비비!$B$430:$B$729,예비비!$A219,예비비!$E$430:$E$729,"&lt;"&amp;EDATE(BN$99,1),예비비!$F$430:$F$729,"결제대금비")+MAX(0,IF(예비비!$D219&lt;EDATE(BN$99,1),예비비!$E219,0)-SUMIFS(예비비!$O$430:$O$729,예비비!$B$430:$B$729,예비비!$A219,예비비!$E$430:$E$729,"&lt;"&amp;EDATE(BN$99,1))),0)</f>
        <v>0</v>
      </c>
      <c r="BO219">
        <f>IF(예비비!$R219="OK",SUMIFS(예비비!$O$430:$O$729,예비비!$B$430:$B$729,예비비!$A219,예비비!$E$430:$E$729,"&lt;"&amp;EDATE(BO$99,1),예비비!$F$430:$F$729,"결제대금비")+MAX(0,IF(예비비!$D219&lt;EDATE(BO$99,1),예비비!$E219,0)-SUMIFS(예비비!$O$430:$O$729,예비비!$B$430:$B$729,예비비!$A219,예비비!$E$430:$E$729,"&lt;"&amp;EDATE(BO$99,1))),0)</f>
        <v>0</v>
      </c>
      <c r="BP219">
        <f>IF(예비비!$R219="OK",SUMIFS(예비비!$O$430:$O$729,예비비!$B$430:$B$729,예비비!$A219,예비비!$E$430:$E$729,"&lt;"&amp;EDATE(BP$99,1),예비비!$F$430:$F$729,"결제대금비")+MAX(0,IF(예비비!$D219&lt;EDATE(BP$99,1),예비비!$E219,0)-SUMIFS(예비비!$O$430:$O$729,예비비!$B$430:$B$729,예비비!$A219,예비비!$E$430:$E$729,"&lt;"&amp;EDATE(BP$99,1))),0)</f>
        <v>0</v>
      </c>
      <c r="BQ219">
        <f>IF(예비비!$R219="OK",SUMIFS(예비비!$O$430:$O$729,예비비!$B$430:$B$729,예비비!$A219,예비비!$E$430:$E$729,"&lt;"&amp;EDATE(BQ$99,1),예비비!$F$430:$F$729,"결제대금비")+MAX(0,IF(예비비!$D219&lt;EDATE(BQ$99,1),예비비!$E219,0)-SUMIFS(예비비!$O$430:$O$729,예비비!$B$430:$B$729,예비비!$A219,예비비!$E$430:$E$729,"&lt;"&amp;EDATE(BQ$99,1))),0)</f>
        <v>0</v>
      </c>
      <c r="BR219">
        <f>IF(예비비!$R219="OK",SUMIFS(예비비!$O$430:$O$729,예비비!$B$430:$B$729,예비비!$A219,예비비!$E$430:$E$729,"&lt;"&amp;EDATE(BR$99,1),예비비!$F$430:$F$729,"결제대금비")+MAX(0,IF(예비비!$D219&lt;EDATE(BR$99,1),예비비!$E219,0)-SUMIFS(예비비!$O$430:$O$729,예비비!$B$430:$B$729,예비비!$A219,예비비!$E$430:$E$729,"&lt;"&amp;EDATE(BR$99,1))),0)</f>
        <v>0</v>
      </c>
      <c r="BS219">
        <f>IF(예비비!$R219="OK",SUMIFS(예비비!$O$430:$O$729,예비비!$B$430:$B$729,예비비!$A219,예비비!$E$430:$E$729,"&lt;"&amp;EDATE(BS$99,1),예비비!$F$430:$F$729,"결제대금비")+MAX(0,IF(예비비!$D219&lt;EDATE(BS$99,1),예비비!$E219,0)-SUMIFS(예비비!$O$430:$O$729,예비비!$B$430:$B$729,예비비!$A219,예비비!$E$430:$E$729,"&lt;"&amp;EDATE(BS$99,1))),0)</f>
        <v>0</v>
      </c>
      <c r="BT219">
        <f>IF(예비비!$R219="OK",SUMIFS(예비비!$O$430:$O$729,예비비!$B$430:$B$729,예비비!$A219,예비비!$E$430:$E$729,"&lt;"&amp;EDATE(BT$99,1),예비비!$F$430:$F$729,"결제대금비")+MAX(0,IF(예비비!$D219&lt;EDATE(BT$99,1),예비비!$E219,0)-SUMIFS(예비비!$O$430:$O$729,예비비!$B$430:$B$729,예비비!$A219,예비비!$E$430:$E$729,"&lt;"&amp;EDATE(BT$99,1))),0)</f>
        <v>0</v>
      </c>
      <c r="BU219">
        <f>IF(예비비!$R219="OK",SUMIFS(예비비!$O$430:$O$729,예비비!$B$430:$B$729,예비비!$A219,예비비!$E$430:$E$729,"&lt;"&amp;EDATE(BU$99,1),예비비!$F$430:$F$729,"결제대금비")+MAX(0,IF(예비비!$D219&lt;EDATE(BU$99,1),예비비!$E219,0)-SUMIFS(예비비!$O$430:$O$729,예비비!$B$430:$B$729,예비비!$A219,예비비!$E$430:$E$729,"&lt;"&amp;EDATE(BU$99,1))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  <c r="BI220">
        <f>IF(예비비!$R220="OK",SUMIFS(예비비!$O$430:$O$729,예비비!$B$430:$B$729,예비비!$A220,예비비!$E$430:$E$729,"&lt;"&amp;EDATE(BI$99,1),예비비!$F$430:$F$729,"결제대금비")+MAX(0,IF(예비비!$D220&lt;EDATE(BI$99,1),예비비!$E220,0)-SUMIFS(예비비!$O$430:$O$729,예비비!$B$430:$B$729,예비비!$A220,예비비!$E$430:$E$729,"&lt;"&amp;EDATE(BI$99,1))),0)</f>
        <v>0</v>
      </c>
      <c r="BJ220">
        <f>IF(예비비!$R220="OK",SUMIFS(예비비!$O$430:$O$729,예비비!$B$430:$B$729,예비비!$A220,예비비!$E$430:$E$729,"&lt;"&amp;EDATE(BJ$99,1),예비비!$F$430:$F$729,"결제대금비")+MAX(0,IF(예비비!$D220&lt;EDATE(BJ$99,1),예비비!$E220,0)-SUMIFS(예비비!$O$430:$O$729,예비비!$B$430:$B$729,예비비!$A220,예비비!$E$430:$E$729,"&lt;"&amp;EDATE(BJ$99,1))),0)</f>
        <v>0</v>
      </c>
      <c r="BK220">
        <f>IF(예비비!$R220="OK",SUMIFS(예비비!$O$430:$O$729,예비비!$B$430:$B$729,예비비!$A220,예비비!$E$430:$E$729,"&lt;"&amp;EDATE(BK$99,1),예비비!$F$430:$F$729,"결제대금비")+MAX(0,IF(예비비!$D220&lt;EDATE(BK$99,1),예비비!$E220,0)-SUMIFS(예비비!$O$430:$O$729,예비비!$B$430:$B$729,예비비!$A220,예비비!$E$430:$E$729,"&lt;"&amp;EDATE(BK$99,1))),0)</f>
        <v>0</v>
      </c>
      <c r="BL220">
        <f>IF(예비비!$R220="OK",SUMIFS(예비비!$O$430:$O$729,예비비!$B$430:$B$729,예비비!$A220,예비비!$E$430:$E$729,"&lt;"&amp;EDATE(BL$99,1),예비비!$F$430:$F$729,"결제대금비")+MAX(0,IF(예비비!$D220&lt;EDATE(BL$99,1),예비비!$E220,0)-SUMIFS(예비비!$O$430:$O$729,예비비!$B$430:$B$729,예비비!$A220,예비비!$E$430:$E$729,"&lt;"&amp;EDATE(BL$99,1))),0)</f>
        <v>0</v>
      </c>
      <c r="BM220">
        <f>IF(예비비!$R220="OK",SUMIFS(예비비!$O$430:$O$729,예비비!$B$430:$B$729,예비비!$A220,예비비!$E$430:$E$729,"&lt;"&amp;EDATE(BM$99,1),예비비!$F$430:$F$729,"결제대금비")+MAX(0,IF(예비비!$D220&lt;EDATE(BM$99,1),예비비!$E220,0)-SUMIFS(예비비!$O$430:$O$729,예비비!$B$430:$B$729,예비비!$A220,예비비!$E$430:$E$729,"&lt;"&amp;EDATE(BM$99,1))),0)</f>
        <v>0</v>
      </c>
      <c r="BN220">
        <f>IF(예비비!$R220="OK",SUMIFS(예비비!$O$430:$O$729,예비비!$B$430:$B$729,예비비!$A220,예비비!$E$430:$E$729,"&lt;"&amp;EDATE(BN$99,1),예비비!$F$430:$F$729,"결제대금비")+MAX(0,IF(예비비!$D220&lt;EDATE(BN$99,1),예비비!$E220,0)-SUMIFS(예비비!$O$430:$O$729,예비비!$B$430:$B$729,예비비!$A220,예비비!$E$430:$E$729,"&lt;"&amp;EDATE(BN$99,1))),0)</f>
        <v>0</v>
      </c>
      <c r="BO220">
        <f>IF(예비비!$R220="OK",SUMIFS(예비비!$O$430:$O$729,예비비!$B$430:$B$729,예비비!$A220,예비비!$E$430:$E$729,"&lt;"&amp;EDATE(BO$99,1),예비비!$F$430:$F$729,"결제대금비")+MAX(0,IF(예비비!$D220&lt;EDATE(BO$99,1),예비비!$E220,0)-SUMIFS(예비비!$O$430:$O$729,예비비!$B$430:$B$729,예비비!$A220,예비비!$E$430:$E$729,"&lt;"&amp;EDATE(BO$99,1))),0)</f>
        <v>0</v>
      </c>
      <c r="BP220">
        <f>IF(예비비!$R220="OK",SUMIFS(예비비!$O$430:$O$729,예비비!$B$430:$B$729,예비비!$A220,예비비!$E$430:$E$729,"&lt;"&amp;EDATE(BP$99,1),예비비!$F$430:$F$729,"결제대금비")+MAX(0,IF(예비비!$D220&lt;EDATE(BP$99,1),예비비!$E220,0)-SUMIFS(예비비!$O$430:$O$729,예비비!$B$430:$B$729,예비비!$A220,예비비!$E$430:$E$729,"&lt;"&amp;EDATE(BP$99,1))),0)</f>
        <v>0</v>
      </c>
      <c r="BQ220">
        <f>IF(예비비!$R220="OK",SUMIFS(예비비!$O$430:$O$729,예비비!$B$430:$B$729,예비비!$A220,예비비!$E$430:$E$729,"&lt;"&amp;EDATE(BQ$99,1),예비비!$F$430:$F$729,"결제대금비")+MAX(0,IF(예비비!$D220&lt;EDATE(BQ$99,1),예비비!$E220,0)-SUMIFS(예비비!$O$430:$O$729,예비비!$B$430:$B$729,예비비!$A220,예비비!$E$430:$E$729,"&lt;"&amp;EDATE(BQ$99,1))),0)</f>
        <v>0</v>
      </c>
      <c r="BR220">
        <f>IF(예비비!$R220="OK",SUMIFS(예비비!$O$430:$O$729,예비비!$B$430:$B$729,예비비!$A220,예비비!$E$430:$E$729,"&lt;"&amp;EDATE(BR$99,1),예비비!$F$430:$F$729,"결제대금비")+MAX(0,IF(예비비!$D220&lt;EDATE(BR$99,1),예비비!$E220,0)-SUMIFS(예비비!$O$430:$O$729,예비비!$B$430:$B$729,예비비!$A220,예비비!$E$430:$E$729,"&lt;"&amp;EDATE(BR$99,1))),0)</f>
        <v>0</v>
      </c>
      <c r="BS220">
        <f>IF(예비비!$R220="OK",SUMIFS(예비비!$O$430:$O$729,예비비!$B$430:$B$729,예비비!$A220,예비비!$E$430:$E$729,"&lt;"&amp;EDATE(BS$99,1),예비비!$F$430:$F$729,"결제대금비")+MAX(0,IF(예비비!$D220&lt;EDATE(BS$99,1),예비비!$E220,0)-SUMIFS(예비비!$O$430:$O$729,예비비!$B$430:$B$729,예비비!$A220,예비비!$E$430:$E$729,"&lt;"&amp;EDATE(BS$99,1))),0)</f>
        <v>0</v>
      </c>
      <c r="BT220">
        <f>IF(예비비!$R220="OK",SUMIFS(예비비!$O$430:$O$729,예비비!$B$430:$B$729,예비비!$A220,예비비!$E$430:$E$729,"&lt;"&amp;EDATE(BT$99,1),예비비!$F$430:$F$729,"결제대금비")+MAX(0,IF(예비비!$D220&lt;EDATE(BT$99,1),예비비!$E220,0)-SUMIFS(예비비!$O$430:$O$729,예비비!$B$430:$B$729,예비비!$A220,예비비!$E$430:$E$729,"&lt;"&amp;EDATE(BT$99,1))),0)</f>
        <v>0</v>
      </c>
      <c r="BU220">
        <f>IF(예비비!$R220="OK",SUMIFS(예비비!$O$430:$O$729,예비비!$B$430:$B$729,예비비!$A220,예비비!$E$430:$E$729,"&lt;"&amp;EDATE(BU$99,1),예비비!$F$430:$F$729,"결제대금비")+MAX(0,IF(예비비!$D220&lt;EDATE(BU$99,1),예비비!$E220,0)-SUMIFS(예비비!$O$430:$O$729,예비비!$B$430:$B$729,예비비!$A220,예비비!$E$430:$E$729,"&lt;"&amp;EDATE(BU$99,1))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  <c r="BI221">
        <f>IF(예비비!$R221="OK",SUMIFS(예비비!$O$430:$O$729,예비비!$B$430:$B$729,예비비!$A221,예비비!$E$430:$E$729,"&lt;"&amp;EDATE(BI$99,1),예비비!$F$430:$F$729,"결제대금비")+MAX(0,IF(예비비!$D221&lt;EDATE(BI$99,1),예비비!$E221,0)-SUMIFS(예비비!$O$430:$O$729,예비비!$B$430:$B$729,예비비!$A221,예비비!$E$430:$E$729,"&lt;"&amp;EDATE(BI$99,1))),0)</f>
        <v>0</v>
      </c>
      <c r="BJ221">
        <f>IF(예비비!$R221="OK",SUMIFS(예비비!$O$430:$O$729,예비비!$B$430:$B$729,예비비!$A221,예비비!$E$430:$E$729,"&lt;"&amp;EDATE(BJ$99,1),예비비!$F$430:$F$729,"결제대금비")+MAX(0,IF(예비비!$D221&lt;EDATE(BJ$99,1),예비비!$E221,0)-SUMIFS(예비비!$O$430:$O$729,예비비!$B$430:$B$729,예비비!$A221,예비비!$E$430:$E$729,"&lt;"&amp;EDATE(BJ$99,1))),0)</f>
        <v>0</v>
      </c>
      <c r="BK221">
        <f>IF(예비비!$R221="OK",SUMIFS(예비비!$O$430:$O$729,예비비!$B$430:$B$729,예비비!$A221,예비비!$E$430:$E$729,"&lt;"&amp;EDATE(BK$99,1),예비비!$F$430:$F$729,"결제대금비")+MAX(0,IF(예비비!$D221&lt;EDATE(BK$99,1),예비비!$E221,0)-SUMIFS(예비비!$O$430:$O$729,예비비!$B$430:$B$729,예비비!$A221,예비비!$E$430:$E$729,"&lt;"&amp;EDATE(BK$99,1))),0)</f>
        <v>0</v>
      </c>
      <c r="BL221">
        <f>IF(예비비!$R221="OK",SUMIFS(예비비!$O$430:$O$729,예비비!$B$430:$B$729,예비비!$A221,예비비!$E$430:$E$729,"&lt;"&amp;EDATE(BL$99,1),예비비!$F$430:$F$729,"결제대금비")+MAX(0,IF(예비비!$D221&lt;EDATE(BL$99,1),예비비!$E221,0)-SUMIFS(예비비!$O$430:$O$729,예비비!$B$430:$B$729,예비비!$A221,예비비!$E$430:$E$729,"&lt;"&amp;EDATE(BL$99,1))),0)</f>
        <v>0</v>
      </c>
      <c r="BM221">
        <f>IF(예비비!$R221="OK",SUMIFS(예비비!$O$430:$O$729,예비비!$B$430:$B$729,예비비!$A221,예비비!$E$430:$E$729,"&lt;"&amp;EDATE(BM$99,1),예비비!$F$430:$F$729,"결제대금비")+MAX(0,IF(예비비!$D221&lt;EDATE(BM$99,1),예비비!$E221,0)-SUMIFS(예비비!$O$430:$O$729,예비비!$B$430:$B$729,예비비!$A221,예비비!$E$430:$E$729,"&lt;"&amp;EDATE(BM$99,1))),0)</f>
        <v>0</v>
      </c>
      <c r="BN221">
        <f>IF(예비비!$R221="OK",SUMIFS(예비비!$O$430:$O$729,예비비!$B$430:$B$729,예비비!$A221,예비비!$E$430:$E$729,"&lt;"&amp;EDATE(BN$99,1),예비비!$F$430:$F$729,"결제대금비")+MAX(0,IF(예비비!$D221&lt;EDATE(BN$99,1),예비비!$E221,0)-SUMIFS(예비비!$O$430:$O$729,예비비!$B$430:$B$729,예비비!$A221,예비비!$E$430:$E$729,"&lt;"&amp;EDATE(BN$99,1))),0)</f>
        <v>0</v>
      </c>
      <c r="BO221">
        <f>IF(예비비!$R221="OK",SUMIFS(예비비!$O$430:$O$729,예비비!$B$430:$B$729,예비비!$A221,예비비!$E$430:$E$729,"&lt;"&amp;EDATE(BO$99,1),예비비!$F$430:$F$729,"결제대금비")+MAX(0,IF(예비비!$D221&lt;EDATE(BO$99,1),예비비!$E221,0)-SUMIFS(예비비!$O$430:$O$729,예비비!$B$430:$B$729,예비비!$A221,예비비!$E$430:$E$729,"&lt;"&amp;EDATE(BO$99,1))),0)</f>
        <v>0</v>
      </c>
      <c r="BP221">
        <f>IF(예비비!$R221="OK",SUMIFS(예비비!$O$430:$O$729,예비비!$B$430:$B$729,예비비!$A221,예비비!$E$430:$E$729,"&lt;"&amp;EDATE(BP$99,1),예비비!$F$430:$F$729,"결제대금비")+MAX(0,IF(예비비!$D221&lt;EDATE(BP$99,1),예비비!$E221,0)-SUMIFS(예비비!$O$430:$O$729,예비비!$B$430:$B$729,예비비!$A221,예비비!$E$430:$E$729,"&lt;"&amp;EDATE(BP$99,1))),0)</f>
        <v>0</v>
      </c>
      <c r="BQ221">
        <f>IF(예비비!$R221="OK",SUMIFS(예비비!$O$430:$O$729,예비비!$B$430:$B$729,예비비!$A221,예비비!$E$430:$E$729,"&lt;"&amp;EDATE(BQ$99,1),예비비!$F$430:$F$729,"결제대금비")+MAX(0,IF(예비비!$D221&lt;EDATE(BQ$99,1),예비비!$E221,0)-SUMIFS(예비비!$O$430:$O$729,예비비!$B$430:$B$729,예비비!$A221,예비비!$E$430:$E$729,"&lt;"&amp;EDATE(BQ$99,1))),0)</f>
        <v>0</v>
      </c>
      <c r="BR221">
        <f>IF(예비비!$R221="OK",SUMIFS(예비비!$O$430:$O$729,예비비!$B$430:$B$729,예비비!$A221,예비비!$E$430:$E$729,"&lt;"&amp;EDATE(BR$99,1),예비비!$F$430:$F$729,"결제대금비")+MAX(0,IF(예비비!$D221&lt;EDATE(BR$99,1),예비비!$E221,0)-SUMIFS(예비비!$O$430:$O$729,예비비!$B$430:$B$729,예비비!$A221,예비비!$E$430:$E$729,"&lt;"&amp;EDATE(BR$99,1))),0)</f>
        <v>0</v>
      </c>
      <c r="BS221">
        <f>IF(예비비!$R221="OK",SUMIFS(예비비!$O$430:$O$729,예비비!$B$430:$B$729,예비비!$A221,예비비!$E$430:$E$729,"&lt;"&amp;EDATE(BS$99,1),예비비!$F$430:$F$729,"결제대금비")+MAX(0,IF(예비비!$D221&lt;EDATE(BS$99,1),예비비!$E221,0)-SUMIFS(예비비!$O$430:$O$729,예비비!$B$430:$B$729,예비비!$A221,예비비!$E$430:$E$729,"&lt;"&amp;EDATE(BS$99,1))),0)</f>
        <v>0</v>
      </c>
      <c r="BT221">
        <f>IF(예비비!$R221="OK",SUMIFS(예비비!$O$430:$O$729,예비비!$B$430:$B$729,예비비!$A221,예비비!$E$430:$E$729,"&lt;"&amp;EDATE(BT$99,1),예비비!$F$430:$F$729,"결제대금비")+MAX(0,IF(예비비!$D221&lt;EDATE(BT$99,1),예비비!$E221,0)-SUMIFS(예비비!$O$430:$O$729,예비비!$B$430:$B$729,예비비!$A221,예비비!$E$430:$E$729,"&lt;"&amp;EDATE(BT$99,1))),0)</f>
        <v>0</v>
      </c>
      <c r="BU221">
        <f>IF(예비비!$R221="OK",SUMIFS(예비비!$O$430:$O$729,예비비!$B$430:$B$729,예비비!$A221,예비비!$E$430:$E$729,"&lt;"&amp;EDATE(BU$99,1),예비비!$F$430:$F$729,"결제대금비")+MAX(0,IF(예비비!$D221&lt;EDATE(BU$99,1),예비비!$E221,0)-SUMIFS(예비비!$O$430:$O$729,예비비!$B$430:$B$729,예비비!$A221,예비비!$E$430:$E$729,"&lt;"&amp;EDATE(BU$99,1))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  <c r="BI222">
        <f>IF(예비비!$R222="OK",SUMIFS(예비비!$O$430:$O$729,예비비!$B$430:$B$729,예비비!$A222,예비비!$E$430:$E$729,"&lt;"&amp;EDATE(BI$99,1),예비비!$F$430:$F$729,"결제대금비")+MAX(0,IF(예비비!$D222&lt;EDATE(BI$99,1),예비비!$E222,0)-SUMIFS(예비비!$O$430:$O$729,예비비!$B$430:$B$729,예비비!$A222,예비비!$E$430:$E$729,"&lt;"&amp;EDATE(BI$99,1))),0)</f>
        <v>0</v>
      </c>
      <c r="BJ222">
        <f>IF(예비비!$R222="OK",SUMIFS(예비비!$O$430:$O$729,예비비!$B$430:$B$729,예비비!$A222,예비비!$E$430:$E$729,"&lt;"&amp;EDATE(BJ$99,1),예비비!$F$430:$F$729,"결제대금비")+MAX(0,IF(예비비!$D222&lt;EDATE(BJ$99,1),예비비!$E222,0)-SUMIFS(예비비!$O$430:$O$729,예비비!$B$430:$B$729,예비비!$A222,예비비!$E$430:$E$729,"&lt;"&amp;EDATE(BJ$99,1))),0)</f>
        <v>0</v>
      </c>
      <c r="BK222">
        <f>IF(예비비!$R222="OK",SUMIFS(예비비!$O$430:$O$729,예비비!$B$430:$B$729,예비비!$A222,예비비!$E$430:$E$729,"&lt;"&amp;EDATE(BK$99,1),예비비!$F$430:$F$729,"결제대금비")+MAX(0,IF(예비비!$D222&lt;EDATE(BK$99,1),예비비!$E222,0)-SUMIFS(예비비!$O$430:$O$729,예비비!$B$430:$B$729,예비비!$A222,예비비!$E$430:$E$729,"&lt;"&amp;EDATE(BK$99,1))),0)</f>
        <v>0</v>
      </c>
      <c r="BL222">
        <f>IF(예비비!$R222="OK",SUMIFS(예비비!$O$430:$O$729,예비비!$B$430:$B$729,예비비!$A222,예비비!$E$430:$E$729,"&lt;"&amp;EDATE(BL$99,1),예비비!$F$430:$F$729,"결제대금비")+MAX(0,IF(예비비!$D222&lt;EDATE(BL$99,1),예비비!$E222,0)-SUMIFS(예비비!$O$430:$O$729,예비비!$B$430:$B$729,예비비!$A222,예비비!$E$430:$E$729,"&lt;"&amp;EDATE(BL$99,1))),0)</f>
        <v>0</v>
      </c>
      <c r="BM222">
        <f>IF(예비비!$R222="OK",SUMIFS(예비비!$O$430:$O$729,예비비!$B$430:$B$729,예비비!$A222,예비비!$E$430:$E$729,"&lt;"&amp;EDATE(BM$99,1),예비비!$F$430:$F$729,"결제대금비")+MAX(0,IF(예비비!$D222&lt;EDATE(BM$99,1),예비비!$E222,0)-SUMIFS(예비비!$O$430:$O$729,예비비!$B$430:$B$729,예비비!$A222,예비비!$E$430:$E$729,"&lt;"&amp;EDATE(BM$99,1))),0)</f>
        <v>0</v>
      </c>
      <c r="BN222">
        <f>IF(예비비!$R222="OK",SUMIFS(예비비!$O$430:$O$729,예비비!$B$430:$B$729,예비비!$A222,예비비!$E$430:$E$729,"&lt;"&amp;EDATE(BN$99,1),예비비!$F$430:$F$729,"결제대금비")+MAX(0,IF(예비비!$D222&lt;EDATE(BN$99,1),예비비!$E222,0)-SUMIFS(예비비!$O$430:$O$729,예비비!$B$430:$B$729,예비비!$A222,예비비!$E$430:$E$729,"&lt;"&amp;EDATE(BN$99,1))),0)</f>
        <v>0</v>
      </c>
      <c r="BO222">
        <f>IF(예비비!$R222="OK",SUMIFS(예비비!$O$430:$O$729,예비비!$B$430:$B$729,예비비!$A222,예비비!$E$430:$E$729,"&lt;"&amp;EDATE(BO$99,1),예비비!$F$430:$F$729,"결제대금비")+MAX(0,IF(예비비!$D222&lt;EDATE(BO$99,1),예비비!$E222,0)-SUMIFS(예비비!$O$430:$O$729,예비비!$B$430:$B$729,예비비!$A222,예비비!$E$430:$E$729,"&lt;"&amp;EDATE(BO$99,1))),0)</f>
        <v>0</v>
      </c>
      <c r="BP222">
        <f>IF(예비비!$R222="OK",SUMIFS(예비비!$O$430:$O$729,예비비!$B$430:$B$729,예비비!$A222,예비비!$E$430:$E$729,"&lt;"&amp;EDATE(BP$99,1),예비비!$F$430:$F$729,"결제대금비")+MAX(0,IF(예비비!$D222&lt;EDATE(BP$99,1),예비비!$E222,0)-SUMIFS(예비비!$O$430:$O$729,예비비!$B$430:$B$729,예비비!$A222,예비비!$E$430:$E$729,"&lt;"&amp;EDATE(BP$99,1))),0)</f>
        <v>0</v>
      </c>
      <c r="BQ222">
        <f>IF(예비비!$R222="OK",SUMIFS(예비비!$O$430:$O$729,예비비!$B$430:$B$729,예비비!$A222,예비비!$E$430:$E$729,"&lt;"&amp;EDATE(BQ$99,1),예비비!$F$430:$F$729,"결제대금비")+MAX(0,IF(예비비!$D222&lt;EDATE(BQ$99,1),예비비!$E222,0)-SUMIFS(예비비!$O$430:$O$729,예비비!$B$430:$B$729,예비비!$A222,예비비!$E$430:$E$729,"&lt;"&amp;EDATE(BQ$99,1))),0)</f>
        <v>0</v>
      </c>
      <c r="BR222">
        <f>IF(예비비!$R222="OK",SUMIFS(예비비!$O$430:$O$729,예비비!$B$430:$B$729,예비비!$A222,예비비!$E$430:$E$729,"&lt;"&amp;EDATE(BR$99,1),예비비!$F$430:$F$729,"결제대금비")+MAX(0,IF(예비비!$D222&lt;EDATE(BR$99,1),예비비!$E222,0)-SUMIFS(예비비!$O$430:$O$729,예비비!$B$430:$B$729,예비비!$A222,예비비!$E$430:$E$729,"&lt;"&amp;EDATE(BR$99,1))),0)</f>
        <v>0</v>
      </c>
      <c r="BS222">
        <f>IF(예비비!$R222="OK",SUMIFS(예비비!$O$430:$O$729,예비비!$B$430:$B$729,예비비!$A222,예비비!$E$430:$E$729,"&lt;"&amp;EDATE(BS$99,1),예비비!$F$430:$F$729,"결제대금비")+MAX(0,IF(예비비!$D222&lt;EDATE(BS$99,1),예비비!$E222,0)-SUMIFS(예비비!$O$430:$O$729,예비비!$B$430:$B$729,예비비!$A222,예비비!$E$430:$E$729,"&lt;"&amp;EDATE(BS$99,1))),0)</f>
        <v>0</v>
      </c>
      <c r="BT222">
        <f>IF(예비비!$R222="OK",SUMIFS(예비비!$O$430:$O$729,예비비!$B$430:$B$729,예비비!$A222,예비비!$E$430:$E$729,"&lt;"&amp;EDATE(BT$99,1),예비비!$F$430:$F$729,"결제대금비")+MAX(0,IF(예비비!$D222&lt;EDATE(BT$99,1),예비비!$E222,0)-SUMIFS(예비비!$O$430:$O$729,예비비!$B$430:$B$729,예비비!$A222,예비비!$E$430:$E$729,"&lt;"&amp;EDATE(BT$99,1))),0)</f>
        <v>0</v>
      </c>
      <c r="BU222">
        <f>IF(예비비!$R222="OK",SUMIFS(예비비!$O$430:$O$729,예비비!$B$430:$B$729,예비비!$A222,예비비!$E$430:$E$729,"&lt;"&amp;EDATE(BU$99,1),예비비!$F$430:$F$729,"결제대금비")+MAX(0,IF(예비비!$D222&lt;EDATE(BU$99,1),예비비!$E222,0)-SUMIFS(예비비!$O$430:$O$729,예비비!$B$430:$B$729,예비비!$A222,예비비!$E$430:$E$729,"&lt;"&amp;EDATE(BU$99,1))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  <c r="BI223">
        <f>IF(예비비!$R223="OK",SUMIFS(예비비!$O$430:$O$729,예비비!$B$430:$B$729,예비비!$A223,예비비!$E$430:$E$729,"&lt;"&amp;EDATE(BI$99,1),예비비!$F$430:$F$729,"결제대금비")+MAX(0,IF(예비비!$D223&lt;EDATE(BI$99,1),예비비!$E223,0)-SUMIFS(예비비!$O$430:$O$729,예비비!$B$430:$B$729,예비비!$A223,예비비!$E$430:$E$729,"&lt;"&amp;EDATE(BI$99,1))),0)</f>
        <v>0</v>
      </c>
      <c r="BJ223">
        <f>IF(예비비!$R223="OK",SUMIFS(예비비!$O$430:$O$729,예비비!$B$430:$B$729,예비비!$A223,예비비!$E$430:$E$729,"&lt;"&amp;EDATE(BJ$99,1),예비비!$F$430:$F$729,"결제대금비")+MAX(0,IF(예비비!$D223&lt;EDATE(BJ$99,1),예비비!$E223,0)-SUMIFS(예비비!$O$430:$O$729,예비비!$B$430:$B$729,예비비!$A223,예비비!$E$430:$E$729,"&lt;"&amp;EDATE(BJ$99,1))),0)</f>
        <v>0</v>
      </c>
      <c r="BK223">
        <f>IF(예비비!$R223="OK",SUMIFS(예비비!$O$430:$O$729,예비비!$B$430:$B$729,예비비!$A223,예비비!$E$430:$E$729,"&lt;"&amp;EDATE(BK$99,1),예비비!$F$430:$F$729,"결제대금비")+MAX(0,IF(예비비!$D223&lt;EDATE(BK$99,1),예비비!$E223,0)-SUMIFS(예비비!$O$430:$O$729,예비비!$B$430:$B$729,예비비!$A223,예비비!$E$430:$E$729,"&lt;"&amp;EDATE(BK$99,1))),0)</f>
        <v>0</v>
      </c>
      <c r="BL223">
        <f>IF(예비비!$R223="OK",SUMIFS(예비비!$O$430:$O$729,예비비!$B$430:$B$729,예비비!$A223,예비비!$E$430:$E$729,"&lt;"&amp;EDATE(BL$99,1),예비비!$F$430:$F$729,"결제대금비")+MAX(0,IF(예비비!$D223&lt;EDATE(BL$99,1),예비비!$E223,0)-SUMIFS(예비비!$O$430:$O$729,예비비!$B$430:$B$729,예비비!$A223,예비비!$E$430:$E$729,"&lt;"&amp;EDATE(BL$99,1))),0)</f>
        <v>0</v>
      </c>
      <c r="BM223">
        <f>IF(예비비!$R223="OK",SUMIFS(예비비!$O$430:$O$729,예비비!$B$430:$B$729,예비비!$A223,예비비!$E$430:$E$729,"&lt;"&amp;EDATE(BM$99,1),예비비!$F$430:$F$729,"결제대금비")+MAX(0,IF(예비비!$D223&lt;EDATE(BM$99,1),예비비!$E223,0)-SUMIFS(예비비!$O$430:$O$729,예비비!$B$430:$B$729,예비비!$A223,예비비!$E$430:$E$729,"&lt;"&amp;EDATE(BM$99,1))),0)</f>
        <v>0</v>
      </c>
      <c r="BN223">
        <f>IF(예비비!$R223="OK",SUMIFS(예비비!$O$430:$O$729,예비비!$B$430:$B$729,예비비!$A223,예비비!$E$430:$E$729,"&lt;"&amp;EDATE(BN$99,1),예비비!$F$430:$F$729,"결제대금비")+MAX(0,IF(예비비!$D223&lt;EDATE(BN$99,1),예비비!$E223,0)-SUMIFS(예비비!$O$430:$O$729,예비비!$B$430:$B$729,예비비!$A223,예비비!$E$430:$E$729,"&lt;"&amp;EDATE(BN$99,1))),0)</f>
        <v>0</v>
      </c>
      <c r="BO223">
        <f>IF(예비비!$R223="OK",SUMIFS(예비비!$O$430:$O$729,예비비!$B$430:$B$729,예비비!$A223,예비비!$E$430:$E$729,"&lt;"&amp;EDATE(BO$99,1),예비비!$F$430:$F$729,"결제대금비")+MAX(0,IF(예비비!$D223&lt;EDATE(BO$99,1),예비비!$E223,0)-SUMIFS(예비비!$O$430:$O$729,예비비!$B$430:$B$729,예비비!$A223,예비비!$E$430:$E$729,"&lt;"&amp;EDATE(BO$99,1))),0)</f>
        <v>0</v>
      </c>
      <c r="BP223">
        <f>IF(예비비!$R223="OK",SUMIFS(예비비!$O$430:$O$729,예비비!$B$430:$B$729,예비비!$A223,예비비!$E$430:$E$729,"&lt;"&amp;EDATE(BP$99,1),예비비!$F$430:$F$729,"결제대금비")+MAX(0,IF(예비비!$D223&lt;EDATE(BP$99,1),예비비!$E223,0)-SUMIFS(예비비!$O$430:$O$729,예비비!$B$430:$B$729,예비비!$A223,예비비!$E$430:$E$729,"&lt;"&amp;EDATE(BP$99,1))),0)</f>
        <v>0</v>
      </c>
      <c r="BQ223">
        <f>IF(예비비!$R223="OK",SUMIFS(예비비!$O$430:$O$729,예비비!$B$430:$B$729,예비비!$A223,예비비!$E$430:$E$729,"&lt;"&amp;EDATE(BQ$99,1),예비비!$F$430:$F$729,"결제대금비")+MAX(0,IF(예비비!$D223&lt;EDATE(BQ$99,1),예비비!$E223,0)-SUMIFS(예비비!$O$430:$O$729,예비비!$B$430:$B$729,예비비!$A223,예비비!$E$430:$E$729,"&lt;"&amp;EDATE(BQ$99,1))),0)</f>
        <v>0</v>
      </c>
      <c r="BR223">
        <f>IF(예비비!$R223="OK",SUMIFS(예비비!$O$430:$O$729,예비비!$B$430:$B$729,예비비!$A223,예비비!$E$430:$E$729,"&lt;"&amp;EDATE(BR$99,1),예비비!$F$430:$F$729,"결제대금비")+MAX(0,IF(예비비!$D223&lt;EDATE(BR$99,1),예비비!$E223,0)-SUMIFS(예비비!$O$430:$O$729,예비비!$B$430:$B$729,예비비!$A223,예비비!$E$430:$E$729,"&lt;"&amp;EDATE(BR$99,1))),0)</f>
        <v>0</v>
      </c>
      <c r="BS223">
        <f>IF(예비비!$R223="OK",SUMIFS(예비비!$O$430:$O$729,예비비!$B$430:$B$729,예비비!$A223,예비비!$E$430:$E$729,"&lt;"&amp;EDATE(BS$99,1),예비비!$F$430:$F$729,"결제대금비")+MAX(0,IF(예비비!$D223&lt;EDATE(BS$99,1),예비비!$E223,0)-SUMIFS(예비비!$O$430:$O$729,예비비!$B$430:$B$729,예비비!$A223,예비비!$E$430:$E$729,"&lt;"&amp;EDATE(BS$99,1))),0)</f>
        <v>0</v>
      </c>
      <c r="BT223">
        <f>IF(예비비!$R223="OK",SUMIFS(예비비!$O$430:$O$729,예비비!$B$430:$B$729,예비비!$A223,예비비!$E$430:$E$729,"&lt;"&amp;EDATE(BT$99,1),예비비!$F$430:$F$729,"결제대금비")+MAX(0,IF(예비비!$D223&lt;EDATE(BT$99,1),예비비!$E223,0)-SUMIFS(예비비!$O$430:$O$729,예비비!$B$430:$B$729,예비비!$A223,예비비!$E$430:$E$729,"&lt;"&amp;EDATE(BT$99,1))),0)</f>
        <v>0</v>
      </c>
      <c r="BU223">
        <f>IF(예비비!$R223="OK",SUMIFS(예비비!$O$430:$O$729,예비비!$B$430:$B$729,예비비!$A223,예비비!$E$430:$E$729,"&lt;"&amp;EDATE(BU$99,1),예비비!$F$430:$F$729,"결제대금비")+MAX(0,IF(예비비!$D223&lt;EDATE(BU$99,1),예비비!$E223,0)-SUMIFS(예비비!$O$430:$O$729,예비비!$B$430:$B$729,예비비!$A223,예비비!$E$430:$E$729,"&lt;"&amp;EDATE(BU$99,1))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  <c r="BI224">
        <f>IF(예비비!$R224="OK",SUMIFS(예비비!$O$430:$O$729,예비비!$B$430:$B$729,예비비!$A224,예비비!$E$430:$E$729,"&lt;"&amp;EDATE(BI$99,1),예비비!$F$430:$F$729,"결제대금비")+MAX(0,IF(예비비!$D224&lt;EDATE(BI$99,1),예비비!$E224,0)-SUMIFS(예비비!$O$430:$O$729,예비비!$B$430:$B$729,예비비!$A224,예비비!$E$430:$E$729,"&lt;"&amp;EDATE(BI$99,1))),0)</f>
        <v>0</v>
      </c>
      <c r="BJ224">
        <f>IF(예비비!$R224="OK",SUMIFS(예비비!$O$430:$O$729,예비비!$B$430:$B$729,예비비!$A224,예비비!$E$430:$E$729,"&lt;"&amp;EDATE(BJ$99,1),예비비!$F$430:$F$729,"결제대금비")+MAX(0,IF(예비비!$D224&lt;EDATE(BJ$99,1),예비비!$E224,0)-SUMIFS(예비비!$O$430:$O$729,예비비!$B$430:$B$729,예비비!$A224,예비비!$E$430:$E$729,"&lt;"&amp;EDATE(BJ$99,1))),0)</f>
        <v>0</v>
      </c>
      <c r="BK224">
        <f>IF(예비비!$R224="OK",SUMIFS(예비비!$O$430:$O$729,예비비!$B$430:$B$729,예비비!$A224,예비비!$E$430:$E$729,"&lt;"&amp;EDATE(BK$99,1),예비비!$F$430:$F$729,"결제대금비")+MAX(0,IF(예비비!$D224&lt;EDATE(BK$99,1),예비비!$E224,0)-SUMIFS(예비비!$O$430:$O$729,예비비!$B$430:$B$729,예비비!$A224,예비비!$E$430:$E$729,"&lt;"&amp;EDATE(BK$99,1))),0)</f>
        <v>0</v>
      </c>
      <c r="BL224">
        <f>IF(예비비!$R224="OK",SUMIFS(예비비!$O$430:$O$729,예비비!$B$430:$B$729,예비비!$A224,예비비!$E$430:$E$729,"&lt;"&amp;EDATE(BL$99,1),예비비!$F$430:$F$729,"결제대금비")+MAX(0,IF(예비비!$D224&lt;EDATE(BL$99,1),예비비!$E224,0)-SUMIFS(예비비!$O$430:$O$729,예비비!$B$430:$B$729,예비비!$A224,예비비!$E$430:$E$729,"&lt;"&amp;EDATE(BL$99,1))),0)</f>
        <v>0</v>
      </c>
      <c r="BM224">
        <f>IF(예비비!$R224="OK",SUMIFS(예비비!$O$430:$O$729,예비비!$B$430:$B$729,예비비!$A224,예비비!$E$430:$E$729,"&lt;"&amp;EDATE(BM$99,1),예비비!$F$430:$F$729,"결제대금비")+MAX(0,IF(예비비!$D224&lt;EDATE(BM$99,1),예비비!$E224,0)-SUMIFS(예비비!$O$430:$O$729,예비비!$B$430:$B$729,예비비!$A224,예비비!$E$430:$E$729,"&lt;"&amp;EDATE(BM$99,1))),0)</f>
        <v>0</v>
      </c>
      <c r="BN224">
        <f>IF(예비비!$R224="OK",SUMIFS(예비비!$O$430:$O$729,예비비!$B$430:$B$729,예비비!$A224,예비비!$E$430:$E$729,"&lt;"&amp;EDATE(BN$99,1),예비비!$F$430:$F$729,"결제대금비")+MAX(0,IF(예비비!$D224&lt;EDATE(BN$99,1),예비비!$E224,0)-SUMIFS(예비비!$O$430:$O$729,예비비!$B$430:$B$729,예비비!$A224,예비비!$E$430:$E$729,"&lt;"&amp;EDATE(BN$99,1))),0)</f>
        <v>0</v>
      </c>
      <c r="BO224">
        <f>IF(예비비!$R224="OK",SUMIFS(예비비!$O$430:$O$729,예비비!$B$430:$B$729,예비비!$A224,예비비!$E$430:$E$729,"&lt;"&amp;EDATE(BO$99,1),예비비!$F$430:$F$729,"결제대금비")+MAX(0,IF(예비비!$D224&lt;EDATE(BO$99,1),예비비!$E224,0)-SUMIFS(예비비!$O$430:$O$729,예비비!$B$430:$B$729,예비비!$A224,예비비!$E$430:$E$729,"&lt;"&amp;EDATE(BO$99,1))),0)</f>
        <v>0</v>
      </c>
      <c r="BP224">
        <f>IF(예비비!$R224="OK",SUMIFS(예비비!$O$430:$O$729,예비비!$B$430:$B$729,예비비!$A224,예비비!$E$430:$E$729,"&lt;"&amp;EDATE(BP$99,1),예비비!$F$430:$F$729,"결제대금비")+MAX(0,IF(예비비!$D224&lt;EDATE(BP$99,1),예비비!$E224,0)-SUMIFS(예비비!$O$430:$O$729,예비비!$B$430:$B$729,예비비!$A224,예비비!$E$430:$E$729,"&lt;"&amp;EDATE(BP$99,1))),0)</f>
        <v>0</v>
      </c>
      <c r="BQ224">
        <f>IF(예비비!$R224="OK",SUMIFS(예비비!$O$430:$O$729,예비비!$B$430:$B$729,예비비!$A224,예비비!$E$430:$E$729,"&lt;"&amp;EDATE(BQ$99,1),예비비!$F$430:$F$729,"결제대금비")+MAX(0,IF(예비비!$D224&lt;EDATE(BQ$99,1),예비비!$E224,0)-SUMIFS(예비비!$O$430:$O$729,예비비!$B$430:$B$729,예비비!$A224,예비비!$E$430:$E$729,"&lt;"&amp;EDATE(BQ$99,1))),0)</f>
        <v>0</v>
      </c>
      <c r="BR224">
        <f>IF(예비비!$R224="OK",SUMIFS(예비비!$O$430:$O$729,예비비!$B$430:$B$729,예비비!$A224,예비비!$E$430:$E$729,"&lt;"&amp;EDATE(BR$99,1),예비비!$F$430:$F$729,"결제대금비")+MAX(0,IF(예비비!$D224&lt;EDATE(BR$99,1),예비비!$E224,0)-SUMIFS(예비비!$O$430:$O$729,예비비!$B$430:$B$729,예비비!$A224,예비비!$E$430:$E$729,"&lt;"&amp;EDATE(BR$99,1))),0)</f>
        <v>0</v>
      </c>
      <c r="BS224">
        <f>IF(예비비!$R224="OK",SUMIFS(예비비!$O$430:$O$729,예비비!$B$430:$B$729,예비비!$A224,예비비!$E$430:$E$729,"&lt;"&amp;EDATE(BS$99,1),예비비!$F$430:$F$729,"결제대금비")+MAX(0,IF(예비비!$D224&lt;EDATE(BS$99,1),예비비!$E224,0)-SUMIFS(예비비!$O$430:$O$729,예비비!$B$430:$B$729,예비비!$A224,예비비!$E$430:$E$729,"&lt;"&amp;EDATE(BS$99,1))),0)</f>
        <v>0</v>
      </c>
      <c r="BT224">
        <f>IF(예비비!$R224="OK",SUMIFS(예비비!$O$430:$O$729,예비비!$B$430:$B$729,예비비!$A224,예비비!$E$430:$E$729,"&lt;"&amp;EDATE(BT$99,1),예비비!$F$430:$F$729,"결제대금비")+MAX(0,IF(예비비!$D224&lt;EDATE(BT$99,1),예비비!$E224,0)-SUMIFS(예비비!$O$430:$O$729,예비비!$B$430:$B$729,예비비!$A224,예비비!$E$430:$E$729,"&lt;"&amp;EDATE(BT$99,1))),0)</f>
        <v>0</v>
      </c>
      <c r="BU224">
        <f>IF(예비비!$R224="OK",SUMIFS(예비비!$O$430:$O$729,예비비!$B$430:$B$729,예비비!$A224,예비비!$E$430:$E$729,"&lt;"&amp;EDATE(BU$99,1),예비비!$F$430:$F$729,"결제대금비")+MAX(0,IF(예비비!$D224&lt;EDATE(BU$99,1),예비비!$E224,0)-SUMIFS(예비비!$O$430:$O$729,예비비!$B$430:$B$729,예비비!$A224,예비비!$E$430:$E$729,"&lt;"&amp;EDATE(BU$99,1))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  <c r="BI225">
        <f>IF(예비비!$R225="OK",SUMIFS(예비비!$O$430:$O$729,예비비!$B$430:$B$729,예비비!$A225,예비비!$E$430:$E$729,"&lt;"&amp;EDATE(BI$99,1),예비비!$F$430:$F$729,"결제대금비")+MAX(0,IF(예비비!$D225&lt;EDATE(BI$99,1),예비비!$E225,0)-SUMIFS(예비비!$O$430:$O$729,예비비!$B$430:$B$729,예비비!$A225,예비비!$E$430:$E$729,"&lt;"&amp;EDATE(BI$99,1))),0)</f>
        <v>0</v>
      </c>
      <c r="BJ225">
        <f>IF(예비비!$R225="OK",SUMIFS(예비비!$O$430:$O$729,예비비!$B$430:$B$729,예비비!$A225,예비비!$E$430:$E$729,"&lt;"&amp;EDATE(BJ$99,1),예비비!$F$430:$F$729,"결제대금비")+MAX(0,IF(예비비!$D225&lt;EDATE(BJ$99,1),예비비!$E225,0)-SUMIFS(예비비!$O$430:$O$729,예비비!$B$430:$B$729,예비비!$A225,예비비!$E$430:$E$729,"&lt;"&amp;EDATE(BJ$99,1))),0)</f>
        <v>0</v>
      </c>
      <c r="BK225">
        <f>IF(예비비!$R225="OK",SUMIFS(예비비!$O$430:$O$729,예비비!$B$430:$B$729,예비비!$A225,예비비!$E$430:$E$729,"&lt;"&amp;EDATE(BK$99,1),예비비!$F$430:$F$729,"결제대금비")+MAX(0,IF(예비비!$D225&lt;EDATE(BK$99,1),예비비!$E225,0)-SUMIFS(예비비!$O$430:$O$729,예비비!$B$430:$B$729,예비비!$A225,예비비!$E$430:$E$729,"&lt;"&amp;EDATE(BK$99,1))),0)</f>
        <v>0</v>
      </c>
      <c r="BL225">
        <f>IF(예비비!$R225="OK",SUMIFS(예비비!$O$430:$O$729,예비비!$B$430:$B$729,예비비!$A225,예비비!$E$430:$E$729,"&lt;"&amp;EDATE(BL$99,1),예비비!$F$430:$F$729,"결제대금비")+MAX(0,IF(예비비!$D225&lt;EDATE(BL$99,1),예비비!$E225,0)-SUMIFS(예비비!$O$430:$O$729,예비비!$B$430:$B$729,예비비!$A225,예비비!$E$430:$E$729,"&lt;"&amp;EDATE(BL$99,1))),0)</f>
        <v>0</v>
      </c>
      <c r="BM225">
        <f>IF(예비비!$R225="OK",SUMIFS(예비비!$O$430:$O$729,예비비!$B$430:$B$729,예비비!$A225,예비비!$E$430:$E$729,"&lt;"&amp;EDATE(BM$99,1),예비비!$F$430:$F$729,"결제대금비")+MAX(0,IF(예비비!$D225&lt;EDATE(BM$99,1),예비비!$E225,0)-SUMIFS(예비비!$O$430:$O$729,예비비!$B$430:$B$729,예비비!$A225,예비비!$E$430:$E$729,"&lt;"&amp;EDATE(BM$99,1))),0)</f>
        <v>0</v>
      </c>
      <c r="BN225">
        <f>IF(예비비!$R225="OK",SUMIFS(예비비!$O$430:$O$729,예비비!$B$430:$B$729,예비비!$A225,예비비!$E$430:$E$729,"&lt;"&amp;EDATE(BN$99,1),예비비!$F$430:$F$729,"결제대금비")+MAX(0,IF(예비비!$D225&lt;EDATE(BN$99,1),예비비!$E225,0)-SUMIFS(예비비!$O$430:$O$729,예비비!$B$430:$B$729,예비비!$A225,예비비!$E$430:$E$729,"&lt;"&amp;EDATE(BN$99,1))),0)</f>
        <v>0</v>
      </c>
      <c r="BO225">
        <f>IF(예비비!$R225="OK",SUMIFS(예비비!$O$430:$O$729,예비비!$B$430:$B$729,예비비!$A225,예비비!$E$430:$E$729,"&lt;"&amp;EDATE(BO$99,1),예비비!$F$430:$F$729,"결제대금비")+MAX(0,IF(예비비!$D225&lt;EDATE(BO$99,1),예비비!$E225,0)-SUMIFS(예비비!$O$430:$O$729,예비비!$B$430:$B$729,예비비!$A225,예비비!$E$430:$E$729,"&lt;"&amp;EDATE(BO$99,1))),0)</f>
        <v>0</v>
      </c>
      <c r="BP225">
        <f>IF(예비비!$R225="OK",SUMIFS(예비비!$O$430:$O$729,예비비!$B$430:$B$729,예비비!$A225,예비비!$E$430:$E$729,"&lt;"&amp;EDATE(BP$99,1),예비비!$F$430:$F$729,"결제대금비")+MAX(0,IF(예비비!$D225&lt;EDATE(BP$99,1),예비비!$E225,0)-SUMIFS(예비비!$O$430:$O$729,예비비!$B$430:$B$729,예비비!$A225,예비비!$E$430:$E$729,"&lt;"&amp;EDATE(BP$99,1))),0)</f>
        <v>0</v>
      </c>
      <c r="BQ225">
        <f>IF(예비비!$R225="OK",SUMIFS(예비비!$O$430:$O$729,예비비!$B$430:$B$729,예비비!$A225,예비비!$E$430:$E$729,"&lt;"&amp;EDATE(BQ$99,1),예비비!$F$430:$F$729,"결제대금비")+MAX(0,IF(예비비!$D225&lt;EDATE(BQ$99,1),예비비!$E225,0)-SUMIFS(예비비!$O$430:$O$729,예비비!$B$430:$B$729,예비비!$A225,예비비!$E$430:$E$729,"&lt;"&amp;EDATE(BQ$99,1))),0)</f>
        <v>0</v>
      </c>
      <c r="BR225">
        <f>IF(예비비!$R225="OK",SUMIFS(예비비!$O$430:$O$729,예비비!$B$430:$B$729,예비비!$A225,예비비!$E$430:$E$729,"&lt;"&amp;EDATE(BR$99,1),예비비!$F$430:$F$729,"결제대금비")+MAX(0,IF(예비비!$D225&lt;EDATE(BR$99,1),예비비!$E225,0)-SUMIFS(예비비!$O$430:$O$729,예비비!$B$430:$B$729,예비비!$A225,예비비!$E$430:$E$729,"&lt;"&amp;EDATE(BR$99,1))),0)</f>
        <v>0</v>
      </c>
      <c r="BS225">
        <f>IF(예비비!$R225="OK",SUMIFS(예비비!$O$430:$O$729,예비비!$B$430:$B$729,예비비!$A225,예비비!$E$430:$E$729,"&lt;"&amp;EDATE(BS$99,1),예비비!$F$430:$F$729,"결제대금비")+MAX(0,IF(예비비!$D225&lt;EDATE(BS$99,1),예비비!$E225,0)-SUMIFS(예비비!$O$430:$O$729,예비비!$B$430:$B$729,예비비!$A225,예비비!$E$430:$E$729,"&lt;"&amp;EDATE(BS$99,1))),0)</f>
        <v>0</v>
      </c>
      <c r="BT225">
        <f>IF(예비비!$R225="OK",SUMIFS(예비비!$O$430:$O$729,예비비!$B$430:$B$729,예비비!$A225,예비비!$E$430:$E$729,"&lt;"&amp;EDATE(BT$99,1),예비비!$F$430:$F$729,"결제대금비")+MAX(0,IF(예비비!$D225&lt;EDATE(BT$99,1),예비비!$E225,0)-SUMIFS(예비비!$O$430:$O$729,예비비!$B$430:$B$729,예비비!$A225,예비비!$E$430:$E$729,"&lt;"&amp;EDATE(BT$99,1))),0)</f>
        <v>0</v>
      </c>
      <c r="BU225">
        <f>IF(예비비!$R225="OK",SUMIFS(예비비!$O$430:$O$729,예비비!$B$430:$B$729,예비비!$A225,예비비!$E$430:$E$729,"&lt;"&amp;EDATE(BU$99,1),예비비!$F$430:$F$729,"결제대금비")+MAX(0,IF(예비비!$D225&lt;EDATE(BU$99,1),예비비!$E225,0)-SUMIFS(예비비!$O$430:$O$729,예비비!$B$430:$B$729,예비비!$A225,예비비!$E$430:$E$729,"&lt;"&amp;EDATE(BU$99,1))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  <c r="BI226">
        <f>IF(예비비!$R226="OK",SUMIFS(예비비!$O$430:$O$729,예비비!$B$430:$B$729,예비비!$A226,예비비!$E$430:$E$729,"&lt;"&amp;EDATE(BI$99,1),예비비!$F$430:$F$729,"결제대금비")+MAX(0,IF(예비비!$D226&lt;EDATE(BI$99,1),예비비!$E226,0)-SUMIFS(예비비!$O$430:$O$729,예비비!$B$430:$B$729,예비비!$A226,예비비!$E$430:$E$729,"&lt;"&amp;EDATE(BI$99,1))),0)</f>
        <v>0</v>
      </c>
      <c r="BJ226">
        <f>IF(예비비!$R226="OK",SUMIFS(예비비!$O$430:$O$729,예비비!$B$430:$B$729,예비비!$A226,예비비!$E$430:$E$729,"&lt;"&amp;EDATE(BJ$99,1),예비비!$F$430:$F$729,"결제대금비")+MAX(0,IF(예비비!$D226&lt;EDATE(BJ$99,1),예비비!$E226,0)-SUMIFS(예비비!$O$430:$O$729,예비비!$B$430:$B$729,예비비!$A226,예비비!$E$430:$E$729,"&lt;"&amp;EDATE(BJ$99,1))),0)</f>
        <v>0</v>
      </c>
      <c r="BK226">
        <f>IF(예비비!$R226="OK",SUMIFS(예비비!$O$430:$O$729,예비비!$B$430:$B$729,예비비!$A226,예비비!$E$430:$E$729,"&lt;"&amp;EDATE(BK$99,1),예비비!$F$430:$F$729,"결제대금비")+MAX(0,IF(예비비!$D226&lt;EDATE(BK$99,1),예비비!$E226,0)-SUMIFS(예비비!$O$430:$O$729,예비비!$B$430:$B$729,예비비!$A226,예비비!$E$430:$E$729,"&lt;"&amp;EDATE(BK$99,1))),0)</f>
        <v>0</v>
      </c>
      <c r="BL226">
        <f>IF(예비비!$R226="OK",SUMIFS(예비비!$O$430:$O$729,예비비!$B$430:$B$729,예비비!$A226,예비비!$E$430:$E$729,"&lt;"&amp;EDATE(BL$99,1),예비비!$F$430:$F$729,"결제대금비")+MAX(0,IF(예비비!$D226&lt;EDATE(BL$99,1),예비비!$E226,0)-SUMIFS(예비비!$O$430:$O$729,예비비!$B$430:$B$729,예비비!$A226,예비비!$E$430:$E$729,"&lt;"&amp;EDATE(BL$99,1))),0)</f>
        <v>0</v>
      </c>
      <c r="BM226">
        <f>IF(예비비!$R226="OK",SUMIFS(예비비!$O$430:$O$729,예비비!$B$430:$B$729,예비비!$A226,예비비!$E$430:$E$729,"&lt;"&amp;EDATE(BM$99,1),예비비!$F$430:$F$729,"결제대금비")+MAX(0,IF(예비비!$D226&lt;EDATE(BM$99,1),예비비!$E226,0)-SUMIFS(예비비!$O$430:$O$729,예비비!$B$430:$B$729,예비비!$A226,예비비!$E$430:$E$729,"&lt;"&amp;EDATE(BM$99,1))),0)</f>
        <v>0</v>
      </c>
      <c r="BN226">
        <f>IF(예비비!$R226="OK",SUMIFS(예비비!$O$430:$O$729,예비비!$B$430:$B$729,예비비!$A226,예비비!$E$430:$E$729,"&lt;"&amp;EDATE(BN$99,1),예비비!$F$430:$F$729,"결제대금비")+MAX(0,IF(예비비!$D226&lt;EDATE(BN$99,1),예비비!$E226,0)-SUMIFS(예비비!$O$430:$O$729,예비비!$B$430:$B$729,예비비!$A226,예비비!$E$430:$E$729,"&lt;"&amp;EDATE(BN$99,1))),0)</f>
        <v>0</v>
      </c>
      <c r="BO226">
        <f>IF(예비비!$R226="OK",SUMIFS(예비비!$O$430:$O$729,예비비!$B$430:$B$729,예비비!$A226,예비비!$E$430:$E$729,"&lt;"&amp;EDATE(BO$99,1),예비비!$F$430:$F$729,"결제대금비")+MAX(0,IF(예비비!$D226&lt;EDATE(BO$99,1),예비비!$E226,0)-SUMIFS(예비비!$O$430:$O$729,예비비!$B$430:$B$729,예비비!$A226,예비비!$E$430:$E$729,"&lt;"&amp;EDATE(BO$99,1))),0)</f>
        <v>0</v>
      </c>
      <c r="BP226">
        <f>IF(예비비!$R226="OK",SUMIFS(예비비!$O$430:$O$729,예비비!$B$430:$B$729,예비비!$A226,예비비!$E$430:$E$729,"&lt;"&amp;EDATE(BP$99,1),예비비!$F$430:$F$729,"결제대금비")+MAX(0,IF(예비비!$D226&lt;EDATE(BP$99,1),예비비!$E226,0)-SUMIFS(예비비!$O$430:$O$729,예비비!$B$430:$B$729,예비비!$A226,예비비!$E$430:$E$729,"&lt;"&amp;EDATE(BP$99,1))),0)</f>
        <v>0</v>
      </c>
      <c r="BQ226">
        <f>IF(예비비!$R226="OK",SUMIFS(예비비!$O$430:$O$729,예비비!$B$430:$B$729,예비비!$A226,예비비!$E$430:$E$729,"&lt;"&amp;EDATE(BQ$99,1),예비비!$F$430:$F$729,"결제대금비")+MAX(0,IF(예비비!$D226&lt;EDATE(BQ$99,1),예비비!$E226,0)-SUMIFS(예비비!$O$430:$O$729,예비비!$B$430:$B$729,예비비!$A226,예비비!$E$430:$E$729,"&lt;"&amp;EDATE(BQ$99,1))),0)</f>
        <v>0</v>
      </c>
      <c r="BR226">
        <f>IF(예비비!$R226="OK",SUMIFS(예비비!$O$430:$O$729,예비비!$B$430:$B$729,예비비!$A226,예비비!$E$430:$E$729,"&lt;"&amp;EDATE(BR$99,1),예비비!$F$430:$F$729,"결제대금비")+MAX(0,IF(예비비!$D226&lt;EDATE(BR$99,1),예비비!$E226,0)-SUMIFS(예비비!$O$430:$O$729,예비비!$B$430:$B$729,예비비!$A226,예비비!$E$430:$E$729,"&lt;"&amp;EDATE(BR$99,1))),0)</f>
        <v>0</v>
      </c>
      <c r="BS226">
        <f>IF(예비비!$R226="OK",SUMIFS(예비비!$O$430:$O$729,예비비!$B$430:$B$729,예비비!$A226,예비비!$E$430:$E$729,"&lt;"&amp;EDATE(BS$99,1),예비비!$F$430:$F$729,"결제대금비")+MAX(0,IF(예비비!$D226&lt;EDATE(BS$99,1),예비비!$E226,0)-SUMIFS(예비비!$O$430:$O$729,예비비!$B$430:$B$729,예비비!$A226,예비비!$E$430:$E$729,"&lt;"&amp;EDATE(BS$99,1))),0)</f>
        <v>0</v>
      </c>
      <c r="BT226">
        <f>IF(예비비!$R226="OK",SUMIFS(예비비!$O$430:$O$729,예비비!$B$430:$B$729,예비비!$A226,예비비!$E$430:$E$729,"&lt;"&amp;EDATE(BT$99,1),예비비!$F$430:$F$729,"결제대금비")+MAX(0,IF(예비비!$D226&lt;EDATE(BT$99,1),예비비!$E226,0)-SUMIFS(예비비!$O$430:$O$729,예비비!$B$430:$B$729,예비비!$A226,예비비!$E$430:$E$729,"&lt;"&amp;EDATE(BT$99,1))),0)</f>
        <v>0</v>
      </c>
      <c r="BU226">
        <f>IF(예비비!$R226="OK",SUMIFS(예비비!$O$430:$O$729,예비비!$B$430:$B$729,예비비!$A226,예비비!$E$430:$E$729,"&lt;"&amp;EDATE(BU$99,1),예비비!$F$430:$F$729,"결제대금비")+MAX(0,IF(예비비!$D226&lt;EDATE(BU$99,1),예비비!$E226,0)-SUMIFS(예비비!$O$430:$O$729,예비비!$B$430:$B$729,예비비!$A226,예비비!$E$430:$E$729,"&lt;"&amp;EDATE(BU$99,1))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  <c r="BI227">
        <f>IF(예비비!$R227="OK",SUMIFS(예비비!$O$430:$O$729,예비비!$B$430:$B$729,예비비!$A227,예비비!$E$430:$E$729,"&lt;"&amp;EDATE(BI$99,1),예비비!$F$430:$F$729,"결제대금비")+MAX(0,IF(예비비!$D227&lt;EDATE(BI$99,1),예비비!$E227,0)-SUMIFS(예비비!$O$430:$O$729,예비비!$B$430:$B$729,예비비!$A227,예비비!$E$430:$E$729,"&lt;"&amp;EDATE(BI$99,1))),0)</f>
        <v>0</v>
      </c>
      <c r="BJ227">
        <f>IF(예비비!$R227="OK",SUMIFS(예비비!$O$430:$O$729,예비비!$B$430:$B$729,예비비!$A227,예비비!$E$430:$E$729,"&lt;"&amp;EDATE(BJ$99,1),예비비!$F$430:$F$729,"결제대금비")+MAX(0,IF(예비비!$D227&lt;EDATE(BJ$99,1),예비비!$E227,0)-SUMIFS(예비비!$O$430:$O$729,예비비!$B$430:$B$729,예비비!$A227,예비비!$E$430:$E$729,"&lt;"&amp;EDATE(BJ$99,1))),0)</f>
        <v>0</v>
      </c>
      <c r="BK227">
        <f>IF(예비비!$R227="OK",SUMIFS(예비비!$O$430:$O$729,예비비!$B$430:$B$729,예비비!$A227,예비비!$E$430:$E$729,"&lt;"&amp;EDATE(BK$99,1),예비비!$F$430:$F$729,"결제대금비")+MAX(0,IF(예비비!$D227&lt;EDATE(BK$99,1),예비비!$E227,0)-SUMIFS(예비비!$O$430:$O$729,예비비!$B$430:$B$729,예비비!$A227,예비비!$E$430:$E$729,"&lt;"&amp;EDATE(BK$99,1))),0)</f>
        <v>0</v>
      </c>
      <c r="BL227">
        <f>IF(예비비!$R227="OK",SUMIFS(예비비!$O$430:$O$729,예비비!$B$430:$B$729,예비비!$A227,예비비!$E$430:$E$729,"&lt;"&amp;EDATE(BL$99,1),예비비!$F$430:$F$729,"결제대금비")+MAX(0,IF(예비비!$D227&lt;EDATE(BL$99,1),예비비!$E227,0)-SUMIFS(예비비!$O$430:$O$729,예비비!$B$430:$B$729,예비비!$A227,예비비!$E$430:$E$729,"&lt;"&amp;EDATE(BL$99,1))),0)</f>
        <v>0</v>
      </c>
      <c r="BM227">
        <f>IF(예비비!$R227="OK",SUMIFS(예비비!$O$430:$O$729,예비비!$B$430:$B$729,예비비!$A227,예비비!$E$430:$E$729,"&lt;"&amp;EDATE(BM$99,1),예비비!$F$430:$F$729,"결제대금비")+MAX(0,IF(예비비!$D227&lt;EDATE(BM$99,1),예비비!$E227,0)-SUMIFS(예비비!$O$430:$O$729,예비비!$B$430:$B$729,예비비!$A227,예비비!$E$430:$E$729,"&lt;"&amp;EDATE(BM$99,1))),0)</f>
        <v>0</v>
      </c>
      <c r="BN227">
        <f>IF(예비비!$R227="OK",SUMIFS(예비비!$O$430:$O$729,예비비!$B$430:$B$729,예비비!$A227,예비비!$E$430:$E$729,"&lt;"&amp;EDATE(BN$99,1),예비비!$F$430:$F$729,"결제대금비")+MAX(0,IF(예비비!$D227&lt;EDATE(BN$99,1),예비비!$E227,0)-SUMIFS(예비비!$O$430:$O$729,예비비!$B$430:$B$729,예비비!$A227,예비비!$E$430:$E$729,"&lt;"&amp;EDATE(BN$99,1))),0)</f>
        <v>0</v>
      </c>
      <c r="BO227">
        <f>IF(예비비!$R227="OK",SUMIFS(예비비!$O$430:$O$729,예비비!$B$430:$B$729,예비비!$A227,예비비!$E$430:$E$729,"&lt;"&amp;EDATE(BO$99,1),예비비!$F$430:$F$729,"결제대금비")+MAX(0,IF(예비비!$D227&lt;EDATE(BO$99,1),예비비!$E227,0)-SUMIFS(예비비!$O$430:$O$729,예비비!$B$430:$B$729,예비비!$A227,예비비!$E$430:$E$729,"&lt;"&amp;EDATE(BO$99,1))),0)</f>
        <v>0</v>
      </c>
      <c r="BP227">
        <f>IF(예비비!$R227="OK",SUMIFS(예비비!$O$430:$O$729,예비비!$B$430:$B$729,예비비!$A227,예비비!$E$430:$E$729,"&lt;"&amp;EDATE(BP$99,1),예비비!$F$430:$F$729,"결제대금비")+MAX(0,IF(예비비!$D227&lt;EDATE(BP$99,1),예비비!$E227,0)-SUMIFS(예비비!$O$430:$O$729,예비비!$B$430:$B$729,예비비!$A227,예비비!$E$430:$E$729,"&lt;"&amp;EDATE(BP$99,1))),0)</f>
        <v>0</v>
      </c>
      <c r="BQ227">
        <f>IF(예비비!$R227="OK",SUMIFS(예비비!$O$430:$O$729,예비비!$B$430:$B$729,예비비!$A227,예비비!$E$430:$E$729,"&lt;"&amp;EDATE(BQ$99,1),예비비!$F$430:$F$729,"결제대금비")+MAX(0,IF(예비비!$D227&lt;EDATE(BQ$99,1),예비비!$E227,0)-SUMIFS(예비비!$O$430:$O$729,예비비!$B$430:$B$729,예비비!$A227,예비비!$E$430:$E$729,"&lt;"&amp;EDATE(BQ$99,1))),0)</f>
        <v>0</v>
      </c>
      <c r="BR227">
        <f>IF(예비비!$R227="OK",SUMIFS(예비비!$O$430:$O$729,예비비!$B$430:$B$729,예비비!$A227,예비비!$E$430:$E$729,"&lt;"&amp;EDATE(BR$99,1),예비비!$F$430:$F$729,"결제대금비")+MAX(0,IF(예비비!$D227&lt;EDATE(BR$99,1),예비비!$E227,0)-SUMIFS(예비비!$O$430:$O$729,예비비!$B$430:$B$729,예비비!$A227,예비비!$E$430:$E$729,"&lt;"&amp;EDATE(BR$99,1))),0)</f>
        <v>0</v>
      </c>
      <c r="BS227">
        <f>IF(예비비!$R227="OK",SUMIFS(예비비!$O$430:$O$729,예비비!$B$430:$B$729,예비비!$A227,예비비!$E$430:$E$729,"&lt;"&amp;EDATE(BS$99,1),예비비!$F$430:$F$729,"결제대금비")+MAX(0,IF(예비비!$D227&lt;EDATE(BS$99,1),예비비!$E227,0)-SUMIFS(예비비!$O$430:$O$729,예비비!$B$430:$B$729,예비비!$A227,예비비!$E$430:$E$729,"&lt;"&amp;EDATE(BS$99,1))),0)</f>
        <v>0</v>
      </c>
      <c r="BT227">
        <f>IF(예비비!$R227="OK",SUMIFS(예비비!$O$430:$O$729,예비비!$B$430:$B$729,예비비!$A227,예비비!$E$430:$E$729,"&lt;"&amp;EDATE(BT$99,1),예비비!$F$430:$F$729,"결제대금비")+MAX(0,IF(예비비!$D227&lt;EDATE(BT$99,1),예비비!$E227,0)-SUMIFS(예비비!$O$430:$O$729,예비비!$B$430:$B$729,예비비!$A227,예비비!$E$430:$E$729,"&lt;"&amp;EDATE(BT$99,1))),0)</f>
        <v>0</v>
      </c>
      <c r="BU227">
        <f>IF(예비비!$R227="OK",SUMIFS(예비비!$O$430:$O$729,예비비!$B$430:$B$729,예비비!$A227,예비비!$E$430:$E$729,"&lt;"&amp;EDATE(BU$99,1),예비비!$F$430:$F$729,"결제대금비")+MAX(0,IF(예비비!$D227&lt;EDATE(BU$99,1),예비비!$E227,0)-SUMIFS(예비비!$O$430:$O$729,예비비!$B$430:$B$729,예비비!$A227,예비비!$E$430:$E$729,"&lt;"&amp;EDATE(BU$99,1))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  <c r="BI228">
        <f>IF(예비비!$R228="OK",SUMIFS(예비비!$O$430:$O$729,예비비!$B$430:$B$729,예비비!$A228,예비비!$E$430:$E$729,"&lt;"&amp;EDATE(BI$99,1),예비비!$F$430:$F$729,"결제대금비")+MAX(0,IF(예비비!$D228&lt;EDATE(BI$99,1),예비비!$E228,0)-SUMIFS(예비비!$O$430:$O$729,예비비!$B$430:$B$729,예비비!$A228,예비비!$E$430:$E$729,"&lt;"&amp;EDATE(BI$99,1))),0)</f>
        <v>0</v>
      </c>
      <c r="BJ228">
        <f>IF(예비비!$R228="OK",SUMIFS(예비비!$O$430:$O$729,예비비!$B$430:$B$729,예비비!$A228,예비비!$E$430:$E$729,"&lt;"&amp;EDATE(BJ$99,1),예비비!$F$430:$F$729,"결제대금비")+MAX(0,IF(예비비!$D228&lt;EDATE(BJ$99,1),예비비!$E228,0)-SUMIFS(예비비!$O$430:$O$729,예비비!$B$430:$B$729,예비비!$A228,예비비!$E$430:$E$729,"&lt;"&amp;EDATE(BJ$99,1))),0)</f>
        <v>0</v>
      </c>
      <c r="BK228">
        <f>IF(예비비!$R228="OK",SUMIFS(예비비!$O$430:$O$729,예비비!$B$430:$B$729,예비비!$A228,예비비!$E$430:$E$729,"&lt;"&amp;EDATE(BK$99,1),예비비!$F$430:$F$729,"결제대금비")+MAX(0,IF(예비비!$D228&lt;EDATE(BK$99,1),예비비!$E228,0)-SUMIFS(예비비!$O$430:$O$729,예비비!$B$430:$B$729,예비비!$A228,예비비!$E$430:$E$729,"&lt;"&amp;EDATE(BK$99,1))),0)</f>
        <v>0</v>
      </c>
      <c r="BL228">
        <f>IF(예비비!$R228="OK",SUMIFS(예비비!$O$430:$O$729,예비비!$B$430:$B$729,예비비!$A228,예비비!$E$430:$E$729,"&lt;"&amp;EDATE(BL$99,1),예비비!$F$430:$F$729,"결제대금비")+MAX(0,IF(예비비!$D228&lt;EDATE(BL$99,1),예비비!$E228,0)-SUMIFS(예비비!$O$430:$O$729,예비비!$B$430:$B$729,예비비!$A228,예비비!$E$430:$E$729,"&lt;"&amp;EDATE(BL$99,1))),0)</f>
        <v>0</v>
      </c>
      <c r="BM228">
        <f>IF(예비비!$R228="OK",SUMIFS(예비비!$O$430:$O$729,예비비!$B$430:$B$729,예비비!$A228,예비비!$E$430:$E$729,"&lt;"&amp;EDATE(BM$99,1),예비비!$F$430:$F$729,"결제대금비")+MAX(0,IF(예비비!$D228&lt;EDATE(BM$99,1),예비비!$E228,0)-SUMIFS(예비비!$O$430:$O$729,예비비!$B$430:$B$729,예비비!$A228,예비비!$E$430:$E$729,"&lt;"&amp;EDATE(BM$99,1))),0)</f>
        <v>0</v>
      </c>
      <c r="BN228">
        <f>IF(예비비!$R228="OK",SUMIFS(예비비!$O$430:$O$729,예비비!$B$430:$B$729,예비비!$A228,예비비!$E$430:$E$729,"&lt;"&amp;EDATE(BN$99,1),예비비!$F$430:$F$729,"결제대금비")+MAX(0,IF(예비비!$D228&lt;EDATE(BN$99,1),예비비!$E228,0)-SUMIFS(예비비!$O$430:$O$729,예비비!$B$430:$B$729,예비비!$A228,예비비!$E$430:$E$729,"&lt;"&amp;EDATE(BN$99,1))),0)</f>
        <v>0</v>
      </c>
      <c r="BO228">
        <f>IF(예비비!$R228="OK",SUMIFS(예비비!$O$430:$O$729,예비비!$B$430:$B$729,예비비!$A228,예비비!$E$430:$E$729,"&lt;"&amp;EDATE(BO$99,1),예비비!$F$430:$F$729,"결제대금비")+MAX(0,IF(예비비!$D228&lt;EDATE(BO$99,1),예비비!$E228,0)-SUMIFS(예비비!$O$430:$O$729,예비비!$B$430:$B$729,예비비!$A228,예비비!$E$430:$E$729,"&lt;"&amp;EDATE(BO$99,1))),0)</f>
        <v>0</v>
      </c>
      <c r="BP228">
        <f>IF(예비비!$R228="OK",SUMIFS(예비비!$O$430:$O$729,예비비!$B$430:$B$729,예비비!$A228,예비비!$E$430:$E$729,"&lt;"&amp;EDATE(BP$99,1),예비비!$F$430:$F$729,"결제대금비")+MAX(0,IF(예비비!$D228&lt;EDATE(BP$99,1),예비비!$E228,0)-SUMIFS(예비비!$O$430:$O$729,예비비!$B$430:$B$729,예비비!$A228,예비비!$E$430:$E$729,"&lt;"&amp;EDATE(BP$99,1))),0)</f>
        <v>0</v>
      </c>
      <c r="BQ228">
        <f>IF(예비비!$R228="OK",SUMIFS(예비비!$O$430:$O$729,예비비!$B$430:$B$729,예비비!$A228,예비비!$E$430:$E$729,"&lt;"&amp;EDATE(BQ$99,1),예비비!$F$430:$F$729,"결제대금비")+MAX(0,IF(예비비!$D228&lt;EDATE(BQ$99,1),예비비!$E228,0)-SUMIFS(예비비!$O$430:$O$729,예비비!$B$430:$B$729,예비비!$A228,예비비!$E$430:$E$729,"&lt;"&amp;EDATE(BQ$99,1))),0)</f>
        <v>0</v>
      </c>
      <c r="BR228">
        <f>IF(예비비!$R228="OK",SUMIFS(예비비!$O$430:$O$729,예비비!$B$430:$B$729,예비비!$A228,예비비!$E$430:$E$729,"&lt;"&amp;EDATE(BR$99,1),예비비!$F$430:$F$729,"결제대금비")+MAX(0,IF(예비비!$D228&lt;EDATE(BR$99,1),예비비!$E228,0)-SUMIFS(예비비!$O$430:$O$729,예비비!$B$430:$B$729,예비비!$A228,예비비!$E$430:$E$729,"&lt;"&amp;EDATE(BR$99,1))),0)</f>
        <v>0</v>
      </c>
      <c r="BS228">
        <f>IF(예비비!$R228="OK",SUMIFS(예비비!$O$430:$O$729,예비비!$B$430:$B$729,예비비!$A228,예비비!$E$430:$E$729,"&lt;"&amp;EDATE(BS$99,1),예비비!$F$430:$F$729,"결제대금비")+MAX(0,IF(예비비!$D228&lt;EDATE(BS$99,1),예비비!$E228,0)-SUMIFS(예비비!$O$430:$O$729,예비비!$B$430:$B$729,예비비!$A228,예비비!$E$430:$E$729,"&lt;"&amp;EDATE(BS$99,1))),0)</f>
        <v>0</v>
      </c>
      <c r="BT228">
        <f>IF(예비비!$R228="OK",SUMIFS(예비비!$O$430:$O$729,예비비!$B$430:$B$729,예비비!$A228,예비비!$E$430:$E$729,"&lt;"&amp;EDATE(BT$99,1),예비비!$F$430:$F$729,"결제대금비")+MAX(0,IF(예비비!$D228&lt;EDATE(BT$99,1),예비비!$E228,0)-SUMIFS(예비비!$O$430:$O$729,예비비!$B$430:$B$729,예비비!$A228,예비비!$E$430:$E$729,"&lt;"&amp;EDATE(BT$99,1))),0)</f>
        <v>0</v>
      </c>
      <c r="BU228">
        <f>IF(예비비!$R228="OK",SUMIFS(예비비!$O$430:$O$729,예비비!$B$430:$B$729,예비비!$A228,예비비!$E$430:$E$729,"&lt;"&amp;EDATE(BU$99,1),예비비!$F$430:$F$729,"결제대금비")+MAX(0,IF(예비비!$D228&lt;EDATE(BU$99,1),예비비!$E228,0)-SUMIFS(예비비!$O$430:$O$729,예비비!$B$430:$B$729,예비비!$A228,예비비!$E$430:$E$729,"&lt;"&amp;EDATE(BU$99,1))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  <c r="BI229">
        <f>IF(예비비!$R229="OK",SUMIFS(예비비!$O$430:$O$729,예비비!$B$430:$B$729,예비비!$A229,예비비!$E$430:$E$729,"&lt;"&amp;EDATE(BI$99,1),예비비!$F$430:$F$729,"결제대금비")+MAX(0,IF(예비비!$D229&lt;EDATE(BI$99,1),예비비!$E229,0)-SUMIFS(예비비!$O$430:$O$729,예비비!$B$430:$B$729,예비비!$A229,예비비!$E$430:$E$729,"&lt;"&amp;EDATE(BI$99,1))),0)</f>
        <v>0</v>
      </c>
      <c r="BJ229">
        <f>IF(예비비!$R229="OK",SUMIFS(예비비!$O$430:$O$729,예비비!$B$430:$B$729,예비비!$A229,예비비!$E$430:$E$729,"&lt;"&amp;EDATE(BJ$99,1),예비비!$F$430:$F$729,"결제대금비")+MAX(0,IF(예비비!$D229&lt;EDATE(BJ$99,1),예비비!$E229,0)-SUMIFS(예비비!$O$430:$O$729,예비비!$B$430:$B$729,예비비!$A229,예비비!$E$430:$E$729,"&lt;"&amp;EDATE(BJ$99,1))),0)</f>
        <v>0</v>
      </c>
      <c r="BK229">
        <f>IF(예비비!$R229="OK",SUMIFS(예비비!$O$430:$O$729,예비비!$B$430:$B$729,예비비!$A229,예비비!$E$430:$E$729,"&lt;"&amp;EDATE(BK$99,1),예비비!$F$430:$F$729,"결제대금비")+MAX(0,IF(예비비!$D229&lt;EDATE(BK$99,1),예비비!$E229,0)-SUMIFS(예비비!$O$430:$O$729,예비비!$B$430:$B$729,예비비!$A229,예비비!$E$430:$E$729,"&lt;"&amp;EDATE(BK$99,1))),0)</f>
        <v>0</v>
      </c>
      <c r="BL229">
        <f>IF(예비비!$R229="OK",SUMIFS(예비비!$O$430:$O$729,예비비!$B$430:$B$729,예비비!$A229,예비비!$E$430:$E$729,"&lt;"&amp;EDATE(BL$99,1),예비비!$F$430:$F$729,"결제대금비")+MAX(0,IF(예비비!$D229&lt;EDATE(BL$99,1),예비비!$E229,0)-SUMIFS(예비비!$O$430:$O$729,예비비!$B$430:$B$729,예비비!$A229,예비비!$E$430:$E$729,"&lt;"&amp;EDATE(BL$99,1))),0)</f>
        <v>0</v>
      </c>
      <c r="BM229">
        <f>IF(예비비!$R229="OK",SUMIFS(예비비!$O$430:$O$729,예비비!$B$430:$B$729,예비비!$A229,예비비!$E$430:$E$729,"&lt;"&amp;EDATE(BM$99,1),예비비!$F$430:$F$729,"결제대금비")+MAX(0,IF(예비비!$D229&lt;EDATE(BM$99,1),예비비!$E229,0)-SUMIFS(예비비!$O$430:$O$729,예비비!$B$430:$B$729,예비비!$A229,예비비!$E$430:$E$729,"&lt;"&amp;EDATE(BM$99,1))),0)</f>
        <v>0</v>
      </c>
      <c r="BN229">
        <f>IF(예비비!$R229="OK",SUMIFS(예비비!$O$430:$O$729,예비비!$B$430:$B$729,예비비!$A229,예비비!$E$430:$E$729,"&lt;"&amp;EDATE(BN$99,1),예비비!$F$430:$F$729,"결제대금비")+MAX(0,IF(예비비!$D229&lt;EDATE(BN$99,1),예비비!$E229,0)-SUMIFS(예비비!$O$430:$O$729,예비비!$B$430:$B$729,예비비!$A229,예비비!$E$430:$E$729,"&lt;"&amp;EDATE(BN$99,1))),0)</f>
        <v>0</v>
      </c>
      <c r="BO229">
        <f>IF(예비비!$R229="OK",SUMIFS(예비비!$O$430:$O$729,예비비!$B$430:$B$729,예비비!$A229,예비비!$E$430:$E$729,"&lt;"&amp;EDATE(BO$99,1),예비비!$F$430:$F$729,"결제대금비")+MAX(0,IF(예비비!$D229&lt;EDATE(BO$99,1),예비비!$E229,0)-SUMIFS(예비비!$O$430:$O$729,예비비!$B$430:$B$729,예비비!$A229,예비비!$E$430:$E$729,"&lt;"&amp;EDATE(BO$99,1))),0)</f>
        <v>0</v>
      </c>
      <c r="BP229">
        <f>IF(예비비!$R229="OK",SUMIFS(예비비!$O$430:$O$729,예비비!$B$430:$B$729,예비비!$A229,예비비!$E$430:$E$729,"&lt;"&amp;EDATE(BP$99,1),예비비!$F$430:$F$729,"결제대금비")+MAX(0,IF(예비비!$D229&lt;EDATE(BP$99,1),예비비!$E229,0)-SUMIFS(예비비!$O$430:$O$729,예비비!$B$430:$B$729,예비비!$A229,예비비!$E$430:$E$729,"&lt;"&amp;EDATE(BP$99,1))),0)</f>
        <v>0</v>
      </c>
      <c r="BQ229">
        <f>IF(예비비!$R229="OK",SUMIFS(예비비!$O$430:$O$729,예비비!$B$430:$B$729,예비비!$A229,예비비!$E$430:$E$729,"&lt;"&amp;EDATE(BQ$99,1),예비비!$F$430:$F$729,"결제대금비")+MAX(0,IF(예비비!$D229&lt;EDATE(BQ$99,1),예비비!$E229,0)-SUMIFS(예비비!$O$430:$O$729,예비비!$B$430:$B$729,예비비!$A229,예비비!$E$430:$E$729,"&lt;"&amp;EDATE(BQ$99,1))),0)</f>
        <v>0</v>
      </c>
      <c r="BR229">
        <f>IF(예비비!$R229="OK",SUMIFS(예비비!$O$430:$O$729,예비비!$B$430:$B$729,예비비!$A229,예비비!$E$430:$E$729,"&lt;"&amp;EDATE(BR$99,1),예비비!$F$430:$F$729,"결제대금비")+MAX(0,IF(예비비!$D229&lt;EDATE(BR$99,1),예비비!$E229,0)-SUMIFS(예비비!$O$430:$O$729,예비비!$B$430:$B$729,예비비!$A229,예비비!$E$430:$E$729,"&lt;"&amp;EDATE(BR$99,1))),0)</f>
        <v>0</v>
      </c>
      <c r="BS229">
        <f>IF(예비비!$R229="OK",SUMIFS(예비비!$O$430:$O$729,예비비!$B$430:$B$729,예비비!$A229,예비비!$E$430:$E$729,"&lt;"&amp;EDATE(BS$99,1),예비비!$F$430:$F$729,"결제대금비")+MAX(0,IF(예비비!$D229&lt;EDATE(BS$99,1),예비비!$E229,0)-SUMIFS(예비비!$O$430:$O$729,예비비!$B$430:$B$729,예비비!$A229,예비비!$E$430:$E$729,"&lt;"&amp;EDATE(BS$99,1))),0)</f>
        <v>0</v>
      </c>
      <c r="BT229">
        <f>IF(예비비!$R229="OK",SUMIFS(예비비!$O$430:$O$729,예비비!$B$430:$B$729,예비비!$A229,예비비!$E$430:$E$729,"&lt;"&amp;EDATE(BT$99,1),예비비!$F$430:$F$729,"결제대금비")+MAX(0,IF(예비비!$D229&lt;EDATE(BT$99,1),예비비!$E229,0)-SUMIFS(예비비!$O$430:$O$729,예비비!$B$430:$B$729,예비비!$A229,예비비!$E$430:$E$729,"&lt;"&amp;EDATE(BT$99,1))),0)</f>
        <v>0</v>
      </c>
      <c r="BU229">
        <f>IF(예비비!$R229="OK",SUMIFS(예비비!$O$430:$O$729,예비비!$B$430:$B$729,예비비!$A229,예비비!$E$430:$E$729,"&lt;"&amp;EDATE(BU$99,1),예비비!$F$430:$F$729,"결제대금비")+MAX(0,IF(예비비!$D229&lt;EDATE(BU$99,1),예비비!$E229,0)-SUMIFS(예비비!$O$430:$O$729,예비비!$B$430:$B$729,예비비!$A229,예비비!$E$430:$E$729,"&lt;"&amp;EDATE(BU$99,1))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  <c r="BI230">
        <f>IF(예비비!$R230="OK",SUMIFS(예비비!$O$430:$O$729,예비비!$B$430:$B$729,예비비!$A230,예비비!$E$430:$E$729,"&lt;"&amp;EDATE(BI$99,1),예비비!$F$430:$F$729,"결제대금비")+MAX(0,IF(예비비!$D230&lt;EDATE(BI$99,1),예비비!$E230,0)-SUMIFS(예비비!$O$430:$O$729,예비비!$B$430:$B$729,예비비!$A230,예비비!$E$430:$E$729,"&lt;"&amp;EDATE(BI$99,1))),0)</f>
        <v>0</v>
      </c>
      <c r="BJ230">
        <f>IF(예비비!$R230="OK",SUMIFS(예비비!$O$430:$O$729,예비비!$B$430:$B$729,예비비!$A230,예비비!$E$430:$E$729,"&lt;"&amp;EDATE(BJ$99,1),예비비!$F$430:$F$729,"결제대금비")+MAX(0,IF(예비비!$D230&lt;EDATE(BJ$99,1),예비비!$E230,0)-SUMIFS(예비비!$O$430:$O$729,예비비!$B$430:$B$729,예비비!$A230,예비비!$E$430:$E$729,"&lt;"&amp;EDATE(BJ$99,1))),0)</f>
        <v>0</v>
      </c>
      <c r="BK230">
        <f>IF(예비비!$R230="OK",SUMIFS(예비비!$O$430:$O$729,예비비!$B$430:$B$729,예비비!$A230,예비비!$E$430:$E$729,"&lt;"&amp;EDATE(BK$99,1),예비비!$F$430:$F$729,"결제대금비")+MAX(0,IF(예비비!$D230&lt;EDATE(BK$99,1),예비비!$E230,0)-SUMIFS(예비비!$O$430:$O$729,예비비!$B$430:$B$729,예비비!$A230,예비비!$E$430:$E$729,"&lt;"&amp;EDATE(BK$99,1))),0)</f>
        <v>0</v>
      </c>
      <c r="BL230">
        <f>IF(예비비!$R230="OK",SUMIFS(예비비!$O$430:$O$729,예비비!$B$430:$B$729,예비비!$A230,예비비!$E$430:$E$729,"&lt;"&amp;EDATE(BL$99,1),예비비!$F$430:$F$729,"결제대금비")+MAX(0,IF(예비비!$D230&lt;EDATE(BL$99,1),예비비!$E230,0)-SUMIFS(예비비!$O$430:$O$729,예비비!$B$430:$B$729,예비비!$A230,예비비!$E$430:$E$729,"&lt;"&amp;EDATE(BL$99,1))),0)</f>
        <v>0</v>
      </c>
      <c r="BM230">
        <f>IF(예비비!$R230="OK",SUMIFS(예비비!$O$430:$O$729,예비비!$B$430:$B$729,예비비!$A230,예비비!$E$430:$E$729,"&lt;"&amp;EDATE(BM$99,1),예비비!$F$430:$F$729,"결제대금비")+MAX(0,IF(예비비!$D230&lt;EDATE(BM$99,1),예비비!$E230,0)-SUMIFS(예비비!$O$430:$O$729,예비비!$B$430:$B$729,예비비!$A230,예비비!$E$430:$E$729,"&lt;"&amp;EDATE(BM$99,1))),0)</f>
        <v>0</v>
      </c>
      <c r="BN230">
        <f>IF(예비비!$R230="OK",SUMIFS(예비비!$O$430:$O$729,예비비!$B$430:$B$729,예비비!$A230,예비비!$E$430:$E$729,"&lt;"&amp;EDATE(BN$99,1),예비비!$F$430:$F$729,"결제대금비")+MAX(0,IF(예비비!$D230&lt;EDATE(BN$99,1),예비비!$E230,0)-SUMIFS(예비비!$O$430:$O$729,예비비!$B$430:$B$729,예비비!$A230,예비비!$E$430:$E$729,"&lt;"&amp;EDATE(BN$99,1))),0)</f>
        <v>0</v>
      </c>
      <c r="BO230">
        <f>IF(예비비!$R230="OK",SUMIFS(예비비!$O$430:$O$729,예비비!$B$430:$B$729,예비비!$A230,예비비!$E$430:$E$729,"&lt;"&amp;EDATE(BO$99,1),예비비!$F$430:$F$729,"결제대금비")+MAX(0,IF(예비비!$D230&lt;EDATE(BO$99,1),예비비!$E230,0)-SUMIFS(예비비!$O$430:$O$729,예비비!$B$430:$B$729,예비비!$A230,예비비!$E$430:$E$729,"&lt;"&amp;EDATE(BO$99,1))),0)</f>
        <v>0</v>
      </c>
      <c r="BP230">
        <f>IF(예비비!$R230="OK",SUMIFS(예비비!$O$430:$O$729,예비비!$B$430:$B$729,예비비!$A230,예비비!$E$430:$E$729,"&lt;"&amp;EDATE(BP$99,1),예비비!$F$430:$F$729,"결제대금비")+MAX(0,IF(예비비!$D230&lt;EDATE(BP$99,1),예비비!$E230,0)-SUMIFS(예비비!$O$430:$O$729,예비비!$B$430:$B$729,예비비!$A230,예비비!$E$430:$E$729,"&lt;"&amp;EDATE(BP$99,1))),0)</f>
        <v>0</v>
      </c>
      <c r="BQ230">
        <f>IF(예비비!$R230="OK",SUMIFS(예비비!$O$430:$O$729,예비비!$B$430:$B$729,예비비!$A230,예비비!$E$430:$E$729,"&lt;"&amp;EDATE(BQ$99,1),예비비!$F$430:$F$729,"결제대금비")+MAX(0,IF(예비비!$D230&lt;EDATE(BQ$99,1),예비비!$E230,0)-SUMIFS(예비비!$O$430:$O$729,예비비!$B$430:$B$729,예비비!$A230,예비비!$E$430:$E$729,"&lt;"&amp;EDATE(BQ$99,1))),0)</f>
        <v>0</v>
      </c>
      <c r="BR230">
        <f>IF(예비비!$R230="OK",SUMIFS(예비비!$O$430:$O$729,예비비!$B$430:$B$729,예비비!$A230,예비비!$E$430:$E$729,"&lt;"&amp;EDATE(BR$99,1),예비비!$F$430:$F$729,"결제대금비")+MAX(0,IF(예비비!$D230&lt;EDATE(BR$99,1),예비비!$E230,0)-SUMIFS(예비비!$O$430:$O$729,예비비!$B$430:$B$729,예비비!$A230,예비비!$E$430:$E$729,"&lt;"&amp;EDATE(BR$99,1))),0)</f>
        <v>0</v>
      </c>
      <c r="BS230">
        <f>IF(예비비!$R230="OK",SUMIFS(예비비!$O$430:$O$729,예비비!$B$430:$B$729,예비비!$A230,예비비!$E$430:$E$729,"&lt;"&amp;EDATE(BS$99,1),예비비!$F$430:$F$729,"결제대금비")+MAX(0,IF(예비비!$D230&lt;EDATE(BS$99,1),예비비!$E230,0)-SUMIFS(예비비!$O$430:$O$729,예비비!$B$430:$B$729,예비비!$A230,예비비!$E$430:$E$729,"&lt;"&amp;EDATE(BS$99,1))),0)</f>
        <v>0</v>
      </c>
      <c r="BT230">
        <f>IF(예비비!$R230="OK",SUMIFS(예비비!$O$430:$O$729,예비비!$B$430:$B$729,예비비!$A230,예비비!$E$430:$E$729,"&lt;"&amp;EDATE(BT$99,1),예비비!$F$430:$F$729,"결제대금비")+MAX(0,IF(예비비!$D230&lt;EDATE(BT$99,1),예비비!$E230,0)-SUMIFS(예비비!$O$430:$O$729,예비비!$B$430:$B$729,예비비!$A230,예비비!$E$430:$E$729,"&lt;"&amp;EDATE(BT$99,1))),0)</f>
        <v>0</v>
      </c>
      <c r="BU230">
        <f>IF(예비비!$R230="OK",SUMIFS(예비비!$O$430:$O$729,예비비!$B$430:$B$729,예비비!$A230,예비비!$E$430:$E$729,"&lt;"&amp;EDATE(BU$99,1),예비비!$F$430:$F$729,"결제대금비")+MAX(0,IF(예비비!$D230&lt;EDATE(BU$99,1),예비비!$E230,0)-SUMIFS(예비비!$O$430:$O$729,예비비!$B$430:$B$729,예비비!$A230,예비비!$E$430:$E$729,"&lt;"&amp;EDATE(BU$99,1))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  <c r="BI231">
        <f>IF(예비비!$R231="OK",SUMIFS(예비비!$O$430:$O$729,예비비!$B$430:$B$729,예비비!$A231,예비비!$E$430:$E$729,"&lt;"&amp;EDATE(BI$99,1),예비비!$F$430:$F$729,"결제대금비")+MAX(0,IF(예비비!$D231&lt;EDATE(BI$99,1),예비비!$E231,0)-SUMIFS(예비비!$O$430:$O$729,예비비!$B$430:$B$729,예비비!$A231,예비비!$E$430:$E$729,"&lt;"&amp;EDATE(BI$99,1))),0)</f>
        <v>0</v>
      </c>
      <c r="BJ231">
        <f>IF(예비비!$R231="OK",SUMIFS(예비비!$O$430:$O$729,예비비!$B$430:$B$729,예비비!$A231,예비비!$E$430:$E$729,"&lt;"&amp;EDATE(BJ$99,1),예비비!$F$430:$F$729,"결제대금비")+MAX(0,IF(예비비!$D231&lt;EDATE(BJ$99,1),예비비!$E231,0)-SUMIFS(예비비!$O$430:$O$729,예비비!$B$430:$B$729,예비비!$A231,예비비!$E$430:$E$729,"&lt;"&amp;EDATE(BJ$99,1))),0)</f>
        <v>0</v>
      </c>
      <c r="BK231">
        <f>IF(예비비!$R231="OK",SUMIFS(예비비!$O$430:$O$729,예비비!$B$430:$B$729,예비비!$A231,예비비!$E$430:$E$729,"&lt;"&amp;EDATE(BK$99,1),예비비!$F$430:$F$729,"결제대금비")+MAX(0,IF(예비비!$D231&lt;EDATE(BK$99,1),예비비!$E231,0)-SUMIFS(예비비!$O$430:$O$729,예비비!$B$430:$B$729,예비비!$A231,예비비!$E$430:$E$729,"&lt;"&amp;EDATE(BK$99,1))),0)</f>
        <v>0</v>
      </c>
      <c r="BL231">
        <f>IF(예비비!$R231="OK",SUMIFS(예비비!$O$430:$O$729,예비비!$B$430:$B$729,예비비!$A231,예비비!$E$430:$E$729,"&lt;"&amp;EDATE(BL$99,1),예비비!$F$430:$F$729,"결제대금비")+MAX(0,IF(예비비!$D231&lt;EDATE(BL$99,1),예비비!$E231,0)-SUMIFS(예비비!$O$430:$O$729,예비비!$B$430:$B$729,예비비!$A231,예비비!$E$430:$E$729,"&lt;"&amp;EDATE(BL$99,1))),0)</f>
        <v>0</v>
      </c>
      <c r="BM231">
        <f>IF(예비비!$R231="OK",SUMIFS(예비비!$O$430:$O$729,예비비!$B$430:$B$729,예비비!$A231,예비비!$E$430:$E$729,"&lt;"&amp;EDATE(BM$99,1),예비비!$F$430:$F$729,"결제대금비")+MAX(0,IF(예비비!$D231&lt;EDATE(BM$99,1),예비비!$E231,0)-SUMIFS(예비비!$O$430:$O$729,예비비!$B$430:$B$729,예비비!$A231,예비비!$E$430:$E$729,"&lt;"&amp;EDATE(BM$99,1))),0)</f>
        <v>0</v>
      </c>
      <c r="BN231">
        <f>IF(예비비!$R231="OK",SUMIFS(예비비!$O$430:$O$729,예비비!$B$430:$B$729,예비비!$A231,예비비!$E$430:$E$729,"&lt;"&amp;EDATE(BN$99,1),예비비!$F$430:$F$729,"결제대금비")+MAX(0,IF(예비비!$D231&lt;EDATE(BN$99,1),예비비!$E231,0)-SUMIFS(예비비!$O$430:$O$729,예비비!$B$430:$B$729,예비비!$A231,예비비!$E$430:$E$729,"&lt;"&amp;EDATE(BN$99,1))),0)</f>
        <v>0</v>
      </c>
      <c r="BO231">
        <f>IF(예비비!$R231="OK",SUMIFS(예비비!$O$430:$O$729,예비비!$B$430:$B$729,예비비!$A231,예비비!$E$430:$E$729,"&lt;"&amp;EDATE(BO$99,1),예비비!$F$430:$F$729,"결제대금비")+MAX(0,IF(예비비!$D231&lt;EDATE(BO$99,1),예비비!$E231,0)-SUMIFS(예비비!$O$430:$O$729,예비비!$B$430:$B$729,예비비!$A231,예비비!$E$430:$E$729,"&lt;"&amp;EDATE(BO$99,1))),0)</f>
        <v>0</v>
      </c>
      <c r="BP231">
        <f>IF(예비비!$R231="OK",SUMIFS(예비비!$O$430:$O$729,예비비!$B$430:$B$729,예비비!$A231,예비비!$E$430:$E$729,"&lt;"&amp;EDATE(BP$99,1),예비비!$F$430:$F$729,"결제대금비")+MAX(0,IF(예비비!$D231&lt;EDATE(BP$99,1),예비비!$E231,0)-SUMIFS(예비비!$O$430:$O$729,예비비!$B$430:$B$729,예비비!$A231,예비비!$E$430:$E$729,"&lt;"&amp;EDATE(BP$99,1))),0)</f>
        <v>0</v>
      </c>
      <c r="BQ231">
        <f>IF(예비비!$R231="OK",SUMIFS(예비비!$O$430:$O$729,예비비!$B$430:$B$729,예비비!$A231,예비비!$E$430:$E$729,"&lt;"&amp;EDATE(BQ$99,1),예비비!$F$430:$F$729,"결제대금비")+MAX(0,IF(예비비!$D231&lt;EDATE(BQ$99,1),예비비!$E231,0)-SUMIFS(예비비!$O$430:$O$729,예비비!$B$430:$B$729,예비비!$A231,예비비!$E$430:$E$729,"&lt;"&amp;EDATE(BQ$99,1))),0)</f>
        <v>0</v>
      </c>
      <c r="BR231">
        <f>IF(예비비!$R231="OK",SUMIFS(예비비!$O$430:$O$729,예비비!$B$430:$B$729,예비비!$A231,예비비!$E$430:$E$729,"&lt;"&amp;EDATE(BR$99,1),예비비!$F$430:$F$729,"결제대금비")+MAX(0,IF(예비비!$D231&lt;EDATE(BR$99,1),예비비!$E231,0)-SUMIFS(예비비!$O$430:$O$729,예비비!$B$430:$B$729,예비비!$A231,예비비!$E$430:$E$729,"&lt;"&amp;EDATE(BR$99,1))),0)</f>
        <v>0</v>
      </c>
      <c r="BS231">
        <f>IF(예비비!$R231="OK",SUMIFS(예비비!$O$430:$O$729,예비비!$B$430:$B$729,예비비!$A231,예비비!$E$430:$E$729,"&lt;"&amp;EDATE(BS$99,1),예비비!$F$430:$F$729,"결제대금비")+MAX(0,IF(예비비!$D231&lt;EDATE(BS$99,1),예비비!$E231,0)-SUMIFS(예비비!$O$430:$O$729,예비비!$B$430:$B$729,예비비!$A231,예비비!$E$430:$E$729,"&lt;"&amp;EDATE(BS$99,1))),0)</f>
        <v>0</v>
      </c>
      <c r="BT231">
        <f>IF(예비비!$R231="OK",SUMIFS(예비비!$O$430:$O$729,예비비!$B$430:$B$729,예비비!$A231,예비비!$E$430:$E$729,"&lt;"&amp;EDATE(BT$99,1),예비비!$F$430:$F$729,"결제대금비")+MAX(0,IF(예비비!$D231&lt;EDATE(BT$99,1),예비비!$E231,0)-SUMIFS(예비비!$O$430:$O$729,예비비!$B$430:$B$729,예비비!$A231,예비비!$E$430:$E$729,"&lt;"&amp;EDATE(BT$99,1))),0)</f>
        <v>0</v>
      </c>
      <c r="BU231">
        <f>IF(예비비!$R231="OK",SUMIFS(예비비!$O$430:$O$729,예비비!$B$430:$B$729,예비비!$A231,예비비!$E$430:$E$729,"&lt;"&amp;EDATE(BU$99,1),예비비!$F$430:$F$729,"결제대금비")+MAX(0,IF(예비비!$D231&lt;EDATE(BU$99,1),예비비!$E231,0)-SUMIFS(예비비!$O$430:$O$729,예비비!$B$430:$B$729,예비비!$A231,예비비!$E$430:$E$729,"&lt;"&amp;EDATE(BU$99,1))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  <c r="BI232">
        <f>IF(예비비!$R232="OK",SUMIFS(예비비!$O$430:$O$729,예비비!$B$430:$B$729,예비비!$A232,예비비!$E$430:$E$729,"&lt;"&amp;EDATE(BI$99,1),예비비!$F$430:$F$729,"결제대금비")+MAX(0,IF(예비비!$D232&lt;EDATE(BI$99,1),예비비!$E232,0)-SUMIFS(예비비!$O$430:$O$729,예비비!$B$430:$B$729,예비비!$A232,예비비!$E$430:$E$729,"&lt;"&amp;EDATE(BI$99,1))),0)</f>
        <v>0</v>
      </c>
      <c r="BJ232">
        <f>IF(예비비!$R232="OK",SUMIFS(예비비!$O$430:$O$729,예비비!$B$430:$B$729,예비비!$A232,예비비!$E$430:$E$729,"&lt;"&amp;EDATE(BJ$99,1),예비비!$F$430:$F$729,"결제대금비")+MAX(0,IF(예비비!$D232&lt;EDATE(BJ$99,1),예비비!$E232,0)-SUMIFS(예비비!$O$430:$O$729,예비비!$B$430:$B$729,예비비!$A232,예비비!$E$430:$E$729,"&lt;"&amp;EDATE(BJ$99,1))),0)</f>
        <v>0</v>
      </c>
      <c r="BK232">
        <f>IF(예비비!$R232="OK",SUMIFS(예비비!$O$430:$O$729,예비비!$B$430:$B$729,예비비!$A232,예비비!$E$430:$E$729,"&lt;"&amp;EDATE(BK$99,1),예비비!$F$430:$F$729,"결제대금비")+MAX(0,IF(예비비!$D232&lt;EDATE(BK$99,1),예비비!$E232,0)-SUMIFS(예비비!$O$430:$O$729,예비비!$B$430:$B$729,예비비!$A232,예비비!$E$430:$E$729,"&lt;"&amp;EDATE(BK$99,1))),0)</f>
        <v>0</v>
      </c>
      <c r="BL232">
        <f>IF(예비비!$R232="OK",SUMIFS(예비비!$O$430:$O$729,예비비!$B$430:$B$729,예비비!$A232,예비비!$E$430:$E$729,"&lt;"&amp;EDATE(BL$99,1),예비비!$F$430:$F$729,"결제대금비")+MAX(0,IF(예비비!$D232&lt;EDATE(BL$99,1),예비비!$E232,0)-SUMIFS(예비비!$O$430:$O$729,예비비!$B$430:$B$729,예비비!$A232,예비비!$E$430:$E$729,"&lt;"&amp;EDATE(BL$99,1))),0)</f>
        <v>0</v>
      </c>
      <c r="BM232">
        <f>IF(예비비!$R232="OK",SUMIFS(예비비!$O$430:$O$729,예비비!$B$430:$B$729,예비비!$A232,예비비!$E$430:$E$729,"&lt;"&amp;EDATE(BM$99,1),예비비!$F$430:$F$729,"결제대금비")+MAX(0,IF(예비비!$D232&lt;EDATE(BM$99,1),예비비!$E232,0)-SUMIFS(예비비!$O$430:$O$729,예비비!$B$430:$B$729,예비비!$A232,예비비!$E$430:$E$729,"&lt;"&amp;EDATE(BM$99,1))),0)</f>
        <v>0</v>
      </c>
      <c r="BN232">
        <f>IF(예비비!$R232="OK",SUMIFS(예비비!$O$430:$O$729,예비비!$B$430:$B$729,예비비!$A232,예비비!$E$430:$E$729,"&lt;"&amp;EDATE(BN$99,1),예비비!$F$430:$F$729,"결제대금비")+MAX(0,IF(예비비!$D232&lt;EDATE(BN$99,1),예비비!$E232,0)-SUMIFS(예비비!$O$430:$O$729,예비비!$B$430:$B$729,예비비!$A232,예비비!$E$430:$E$729,"&lt;"&amp;EDATE(BN$99,1))),0)</f>
        <v>0</v>
      </c>
      <c r="BO232">
        <f>IF(예비비!$R232="OK",SUMIFS(예비비!$O$430:$O$729,예비비!$B$430:$B$729,예비비!$A232,예비비!$E$430:$E$729,"&lt;"&amp;EDATE(BO$99,1),예비비!$F$430:$F$729,"결제대금비")+MAX(0,IF(예비비!$D232&lt;EDATE(BO$99,1),예비비!$E232,0)-SUMIFS(예비비!$O$430:$O$729,예비비!$B$430:$B$729,예비비!$A232,예비비!$E$430:$E$729,"&lt;"&amp;EDATE(BO$99,1))),0)</f>
        <v>0</v>
      </c>
      <c r="BP232">
        <f>IF(예비비!$R232="OK",SUMIFS(예비비!$O$430:$O$729,예비비!$B$430:$B$729,예비비!$A232,예비비!$E$430:$E$729,"&lt;"&amp;EDATE(BP$99,1),예비비!$F$430:$F$729,"결제대금비")+MAX(0,IF(예비비!$D232&lt;EDATE(BP$99,1),예비비!$E232,0)-SUMIFS(예비비!$O$430:$O$729,예비비!$B$430:$B$729,예비비!$A232,예비비!$E$430:$E$729,"&lt;"&amp;EDATE(BP$99,1))),0)</f>
        <v>0</v>
      </c>
      <c r="BQ232">
        <f>IF(예비비!$R232="OK",SUMIFS(예비비!$O$430:$O$729,예비비!$B$430:$B$729,예비비!$A232,예비비!$E$430:$E$729,"&lt;"&amp;EDATE(BQ$99,1),예비비!$F$430:$F$729,"결제대금비")+MAX(0,IF(예비비!$D232&lt;EDATE(BQ$99,1),예비비!$E232,0)-SUMIFS(예비비!$O$430:$O$729,예비비!$B$430:$B$729,예비비!$A232,예비비!$E$430:$E$729,"&lt;"&amp;EDATE(BQ$99,1))),0)</f>
        <v>0</v>
      </c>
      <c r="BR232">
        <f>IF(예비비!$R232="OK",SUMIFS(예비비!$O$430:$O$729,예비비!$B$430:$B$729,예비비!$A232,예비비!$E$430:$E$729,"&lt;"&amp;EDATE(BR$99,1),예비비!$F$430:$F$729,"결제대금비")+MAX(0,IF(예비비!$D232&lt;EDATE(BR$99,1),예비비!$E232,0)-SUMIFS(예비비!$O$430:$O$729,예비비!$B$430:$B$729,예비비!$A232,예비비!$E$430:$E$729,"&lt;"&amp;EDATE(BR$99,1))),0)</f>
        <v>0</v>
      </c>
      <c r="BS232">
        <f>IF(예비비!$R232="OK",SUMIFS(예비비!$O$430:$O$729,예비비!$B$430:$B$729,예비비!$A232,예비비!$E$430:$E$729,"&lt;"&amp;EDATE(BS$99,1),예비비!$F$430:$F$729,"결제대금비")+MAX(0,IF(예비비!$D232&lt;EDATE(BS$99,1),예비비!$E232,0)-SUMIFS(예비비!$O$430:$O$729,예비비!$B$430:$B$729,예비비!$A232,예비비!$E$430:$E$729,"&lt;"&amp;EDATE(BS$99,1))),0)</f>
        <v>0</v>
      </c>
      <c r="BT232">
        <f>IF(예비비!$R232="OK",SUMIFS(예비비!$O$430:$O$729,예비비!$B$430:$B$729,예비비!$A232,예비비!$E$430:$E$729,"&lt;"&amp;EDATE(BT$99,1),예비비!$F$430:$F$729,"결제대금비")+MAX(0,IF(예비비!$D232&lt;EDATE(BT$99,1),예비비!$E232,0)-SUMIFS(예비비!$O$430:$O$729,예비비!$B$430:$B$729,예비비!$A232,예비비!$E$430:$E$729,"&lt;"&amp;EDATE(BT$99,1))),0)</f>
        <v>0</v>
      </c>
      <c r="BU232">
        <f>IF(예비비!$R232="OK",SUMIFS(예비비!$O$430:$O$729,예비비!$B$430:$B$729,예비비!$A232,예비비!$E$430:$E$729,"&lt;"&amp;EDATE(BU$99,1),예비비!$F$430:$F$729,"결제대금비")+MAX(0,IF(예비비!$D232&lt;EDATE(BU$99,1),예비비!$E232,0)-SUMIFS(예비비!$O$430:$O$729,예비비!$B$430:$B$729,예비비!$A232,예비비!$E$430:$E$729,"&lt;"&amp;EDATE(BU$99,1))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  <c r="BI233">
        <f>IF(예비비!$R233="OK",SUMIFS(예비비!$O$430:$O$729,예비비!$B$430:$B$729,예비비!$A233,예비비!$E$430:$E$729,"&lt;"&amp;EDATE(BI$99,1),예비비!$F$430:$F$729,"결제대금비")+MAX(0,IF(예비비!$D233&lt;EDATE(BI$99,1),예비비!$E233,0)-SUMIFS(예비비!$O$430:$O$729,예비비!$B$430:$B$729,예비비!$A233,예비비!$E$430:$E$729,"&lt;"&amp;EDATE(BI$99,1))),0)</f>
        <v>0</v>
      </c>
      <c r="BJ233">
        <f>IF(예비비!$R233="OK",SUMIFS(예비비!$O$430:$O$729,예비비!$B$430:$B$729,예비비!$A233,예비비!$E$430:$E$729,"&lt;"&amp;EDATE(BJ$99,1),예비비!$F$430:$F$729,"결제대금비")+MAX(0,IF(예비비!$D233&lt;EDATE(BJ$99,1),예비비!$E233,0)-SUMIFS(예비비!$O$430:$O$729,예비비!$B$430:$B$729,예비비!$A233,예비비!$E$430:$E$729,"&lt;"&amp;EDATE(BJ$99,1))),0)</f>
        <v>0</v>
      </c>
      <c r="BK233">
        <f>IF(예비비!$R233="OK",SUMIFS(예비비!$O$430:$O$729,예비비!$B$430:$B$729,예비비!$A233,예비비!$E$430:$E$729,"&lt;"&amp;EDATE(BK$99,1),예비비!$F$430:$F$729,"결제대금비")+MAX(0,IF(예비비!$D233&lt;EDATE(BK$99,1),예비비!$E233,0)-SUMIFS(예비비!$O$430:$O$729,예비비!$B$430:$B$729,예비비!$A233,예비비!$E$430:$E$729,"&lt;"&amp;EDATE(BK$99,1))),0)</f>
        <v>0</v>
      </c>
      <c r="BL233">
        <f>IF(예비비!$R233="OK",SUMIFS(예비비!$O$430:$O$729,예비비!$B$430:$B$729,예비비!$A233,예비비!$E$430:$E$729,"&lt;"&amp;EDATE(BL$99,1),예비비!$F$430:$F$729,"결제대금비")+MAX(0,IF(예비비!$D233&lt;EDATE(BL$99,1),예비비!$E233,0)-SUMIFS(예비비!$O$430:$O$729,예비비!$B$430:$B$729,예비비!$A233,예비비!$E$430:$E$729,"&lt;"&amp;EDATE(BL$99,1))),0)</f>
        <v>0</v>
      </c>
      <c r="BM233">
        <f>IF(예비비!$R233="OK",SUMIFS(예비비!$O$430:$O$729,예비비!$B$430:$B$729,예비비!$A233,예비비!$E$430:$E$729,"&lt;"&amp;EDATE(BM$99,1),예비비!$F$430:$F$729,"결제대금비")+MAX(0,IF(예비비!$D233&lt;EDATE(BM$99,1),예비비!$E233,0)-SUMIFS(예비비!$O$430:$O$729,예비비!$B$430:$B$729,예비비!$A233,예비비!$E$430:$E$729,"&lt;"&amp;EDATE(BM$99,1))),0)</f>
        <v>0</v>
      </c>
      <c r="BN233">
        <f>IF(예비비!$R233="OK",SUMIFS(예비비!$O$430:$O$729,예비비!$B$430:$B$729,예비비!$A233,예비비!$E$430:$E$729,"&lt;"&amp;EDATE(BN$99,1),예비비!$F$430:$F$729,"결제대금비")+MAX(0,IF(예비비!$D233&lt;EDATE(BN$99,1),예비비!$E233,0)-SUMIFS(예비비!$O$430:$O$729,예비비!$B$430:$B$729,예비비!$A233,예비비!$E$430:$E$729,"&lt;"&amp;EDATE(BN$99,1))),0)</f>
        <v>0</v>
      </c>
      <c r="BO233">
        <f>IF(예비비!$R233="OK",SUMIFS(예비비!$O$430:$O$729,예비비!$B$430:$B$729,예비비!$A233,예비비!$E$430:$E$729,"&lt;"&amp;EDATE(BO$99,1),예비비!$F$430:$F$729,"결제대금비")+MAX(0,IF(예비비!$D233&lt;EDATE(BO$99,1),예비비!$E233,0)-SUMIFS(예비비!$O$430:$O$729,예비비!$B$430:$B$729,예비비!$A233,예비비!$E$430:$E$729,"&lt;"&amp;EDATE(BO$99,1))),0)</f>
        <v>0</v>
      </c>
      <c r="BP233">
        <f>IF(예비비!$R233="OK",SUMIFS(예비비!$O$430:$O$729,예비비!$B$430:$B$729,예비비!$A233,예비비!$E$430:$E$729,"&lt;"&amp;EDATE(BP$99,1),예비비!$F$430:$F$729,"결제대금비")+MAX(0,IF(예비비!$D233&lt;EDATE(BP$99,1),예비비!$E233,0)-SUMIFS(예비비!$O$430:$O$729,예비비!$B$430:$B$729,예비비!$A233,예비비!$E$430:$E$729,"&lt;"&amp;EDATE(BP$99,1))),0)</f>
        <v>0</v>
      </c>
      <c r="BQ233">
        <f>IF(예비비!$R233="OK",SUMIFS(예비비!$O$430:$O$729,예비비!$B$430:$B$729,예비비!$A233,예비비!$E$430:$E$729,"&lt;"&amp;EDATE(BQ$99,1),예비비!$F$430:$F$729,"결제대금비")+MAX(0,IF(예비비!$D233&lt;EDATE(BQ$99,1),예비비!$E233,0)-SUMIFS(예비비!$O$430:$O$729,예비비!$B$430:$B$729,예비비!$A233,예비비!$E$430:$E$729,"&lt;"&amp;EDATE(BQ$99,1))),0)</f>
        <v>0</v>
      </c>
      <c r="BR233">
        <f>IF(예비비!$R233="OK",SUMIFS(예비비!$O$430:$O$729,예비비!$B$430:$B$729,예비비!$A233,예비비!$E$430:$E$729,"&lt;"&amp;EDATE(BR$99,1),예비비!$F$430:$F$729,"결제대금비")+MAX(0,IF(예비비!$D233&lt;EDATE(BR$99,1),예비비!$E233,0)-SUMIFS(예비비!$O$430:$O$729,예비비!$B$430:$B$729,예비비!$A233,예비비!$E$430:$E$729,"&lt;"&amp;EDATE(BR$99,1))),0)</f>
        <v>0</v>
      </c>
      <c r="BS233">
        <f>IF(예비비!$R233="OK",SUMIFS(예비비!$O$430:$O$729,예비비!$B$430:$B$729,예비비!$A233,예비비!$E$430:$E$729,"&lt;"&amp;EDATE(BS$99,1),예비비!$F$430:$F$729,"결제대금비")+MAX(0,IF(예비비!$D233&lt;EDATE(BS$99,1),예비비!$E233,0)-SUMIFS(예비비!$O$430:$O$729,예비비!$B$430:$B$729,예비비!$A233,예비비!$E$430:$E$729,"&lt;"&amp;EDATE(BS$99,1))),0)</f>
        <v>0</v>
      </c>
      <c r="BT233">
        <f>IF(예비비!$R233="OK",SUMIFS(예비비!$O$430:$O$729,예비비!$B$430:$B$729,예비비!$A233,예비비!$E$430:$E$729,"&lt;"&amp;EDATE(BT$99,1),예비비!$F$430:$F$729,"결제대금비")+MAX(0,IF(예비비!$D233&lt;EDATE(BT$99,1),예비비!$E233,0)-SUMIFS(예비비!$O$430:$O$729,예비비!$B$430:$B$729,예비비!$A233,예비비!$E$430:$E$729,"&lt;"&amp;EDATE(BT$99,1))),0)</f>
        <v>0</v>
      </c>
      <c r="BU233">
        <f>IF(예비비!$R233="OK",SUMIFS(예비비!$O$430:$O$729,예비비!$B$430:$B$729,예비비!$A233,예비비!$E$430:$E$729,"&lt;"&amp;EDATE(BU$99,1),예비비!$F$430:$F$729,"결제대금비")+MAX(0,IF(예비비!$D233&lt;EDATE(BU$99,1),예비비!$E233,0)-SUMIFS(예비비!$O$430:$O$729,예비비!$B$430:$B$729,예비비!$A233,예비비!$E$430:$E$729,"&lt;"&amp;EDATE(BU$99,1))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  <c r="BI234">
        <f>IF(예비비!$R234="OK",SUMIFS(예비비!$O$430:$O$729,예비비!$B$430:$B$729,예비비!$A234,예비비!$E$430:$E$729,"&lt;"&amp;EDATE(BI$99,1),예비비!$F$430:$F$729,"결제대금비")+MAX(0,IF(예비비!$D234&lt;EDATE(BI$99,1),예비비!$E234,0)-SUMIFS(예비비!$O$430:$O$729,예비비!$B$430:$B$729,예비비!$A234,예비비!$E$430:$E$729,"&lt;"&amp;EDATE(BI$99,1))),0)</f>
        <v>0</v>
      </c>
      <c r="BJ234">
        <f>IF(예비비!$R234="OK",SUMIFS(예비비!$O$430:$O$729,예비비!$B$430:$B$729,예비비!$A234,예비비!$E$430:$E$729,"&lt;"&amp;EDATE(BJ$99,1),예비비!$F$430:$F$729,"결제대금비")+MAX(0,IF(예비비!$D234&lt;EDATE(BJ$99,1),예비비!$E234,0)-SUMIFS(예비비!$O$430:$O$729,예비비!$B$430:$B$729,예비비!$A234,예비비!$E$430:$E$729,"&lt;"&amp;EDATE(BJ$99,1))),0)</f>
        <v>0</v>
      </c>
      <c r="BK234">
        <f>IF(예비비!$R234="OK",SUMIFS(예비비!$O$430:$O$729,예비비!$B$430:$B$729,예비비!$A234,예비비!$E$430:$E$729,"&lt;"&amp;EDATE(BK$99,1),예비비!$F$430:$F$729,"결제대금비")+MAX(0,IF(예비비!$D234&lt;EDATE(BK$99,1),예비비!$E234,0)-SUMIFS(예비비!$O$430:$O$729,예비비!$B$430:$B$729,예비비!$A234,예비비!$E$430:$E$729,"&lt;"&amp;EDATE(BK$99,1))),0)</f>
        <v>0</v>
      </c>
      <c r="BL234">
        <f>IF(예비비!$R234="OK",SUMIFS(예비비!$O$430:$O$729,예비비!$B$430:$B$729,예비비!$A234,예비비!$E$430:$E$729,"&lt;"&amp;EDATE(BL$99,1),예비비!$F$430:$F$729,"결제대금비")+MAX(0,IF(예비비!$D234&lt;EDATE(BL$99,1),예비비!$E234,0)-SUMIFS(예비비!$O$430:$O$729,예비비!$B$430:$B$729,예비비!$A234,예비비!$E$430:$E$729,"&lt;"&amp;EDATE(BL$99,1))),0)</f>
        <v>0</v>
      </c>
      <c r="BM234">
        <f>IF(예비비!$R234="OK",SUMIFS(예비비!$O$430:$O$729,예비비!$B$430:$B$729,예비비!$A234,예비비!$E$430:$E$729,"&lt;"&amp;EDATE(BM$99,1),예비비!$F$430:$F$729,"결제대금비")+MAX(0,IF(예비비!$D234&lt;EDATE(BM$99,1),예비비!$E234,0)-SUMIFS(예비비!$O$430:$O$729,예비비!$B$430:$B$729,예비비!$A234,예비비!$E$430:$E$729,"&lt;"&amp;EDATE(BM$99,1))),0)</f>
        <v>0</v>
      </c>
      <c r="BN234">
        <f>IF(예비비!$R234="OK",SUMIFS(예비비!$O$430:$O$729,예비비!$B$430:$B$729,예비비!$A234,예비비!$E$430:$E$729,"&lt;"&amp;EDATE(BN$99,1),예비비!$F$430:$F$729,"결제대금비")+MAX(0,IF(예비비!$D234&lt;EDATE(BN$99,1),예비비!$E234,0)-SUMIFS(예비비!$O$430:$O$729,예비비!$B$430:$B$729,예비비!$A234,예비비!$E$430:$E$729,"&lt;"&amp;EDATE(BN$99,1))),0)</f>
        <v>0</v>
      </c>
      <c r="BO234">
        <f>IF(예비비!$R234="OK",SUMIFS(예비비!$O$430:$O$729,예비비!$B$430:$B$729,예비비!$A234,예비비!$E$430:$E$729,"&lt;"&amp;EDATE(BO$99,1),예비비!$F$430:$F$729,"결제대금비")+MAX(0,IF(예비비!$D234&lt;EDATE(BO$99,1),예비비!$E234,0)-SUMIFS(예비비!$O$430:$O$729,예비비!$B$430:$B$729,예비비!$A234,예비비!$E$430:$E$729,"&lt;"&amp;EDATE(BO$99,1))),0)</f>
        <v>0</v>
      </c>
      <c r="BP234">
        <f>IF(예비비!$R234="OK",SUMIFS(예비비!$O$430:$O$729,예비비!$B$430:$B$729,예비비!$A234,예비비!$E$430:$E$729,"&lt;"&amp;EDATE(BP$99,1),예비비!$F$430:$F$729,"결제대금비")+MAX(0,IF(예비비!$D234&lt;EDATE(BP$99,1),예비비!$E234,0)-SUMIFS(예비비!$O$430:$O$729,예비비!$B$430:$B$729,예비비!$A234,예비비!$E$430:$E$729,"&lt;"&amp;EDATE(BP$99,1))),0)</f>
        <v>0</v>
      </c>
      <c r="BQ234">
        <f>IF(예비비!$R234="OK",SUMIFS(예비비!$O$430:$O$729,예비비!$B$430:$B$729,예비비!$A234,예비비!$E$430:$E$729,"&lt;"&amp;EDATE(BQ$99,1),예비비!$F$430:$F$729,"결제대금비")+MAX(0,IF(예비비!$D234&lt;EDATE(BQ$99,1),예비비!$E234,0)-SUMIFS(예비비!$O$430:$O$729,예비비!$B$430:$B$729,예비비!$A234,예비비!$E$430:$E$729,"&lt;"&amp;EDATE(BQ$99,1))),0)</f>
        <v>0</v>
      </c>
      <c r="BR234">
        <f>IF(예비비!$R234="OK",SUMIFS(예비비!$O$430:$O$729,예비비!$B$430:$B$729,예비비!$A234,예비비!$E$430:$E$729,"&lt;"&amp;EDATE(BR$99,1),예비비!$F$430:$F$729,"결제대금비")+MAX(0,IF(예비비!$D234&lt;EDATE(BR$99,1),예비비!$E234,0)-SUMIFS(예비비!$O$430:$O$729,예비비!$B$430:$B$729,예비비!$A234,예비비!$E$430:$E$729,"&lt;"&amp;EDATE(BR$99,1))),0)</f>
        <v>0</v>
      </c>
      <c r="BS234">
        <f>IF(예비비!$R234="OK",SUMIFS(예비비!$O$430:$O$729,예비비!$B$430:$B$729,예비비!$A234,예비비!$E$430:$E$729,"&lt;"&amp;EDATE(BS$99,1),예비비!$F$430:$F$729,"결제대금비")+MAX(0,IF(예비비!$D234&lt;EDATE(BS$99,1),예비비!$E234,0)-SUMIFS(예비비!$O$430:$O$729,예비비!$B$430:$B$729,예비비!$A234,예비비!$E$430:$E$729,"&lt;"&amp;EDATE(BS$99,1))),0)</f>
        <v>0</v>
      </c>
      <c r="BT234">
        <f>IF(예비비!$R234="OK",SUMIFS(예비비!$O$430:$O$729,예비비!$B$430:$B$729,예비비!$A234,예비비!$E$430:$E$729,"&lt;"&amp;EDATE(BT$99,1),예비비!$F$430:$F$729,"결제대금비")+MAX(0,IF(예비비!$D234&lt;EDATE(BT$99,1),예비비!$E234,0)-SUMIFS(예비비!$O$430:$O$729,예비비!$B$430:$B$729,예비비!$A234,예비비!$E$430:$E$729,"&lt;"&amp;EDATE(BT$99,1))),0)</f>
        <v>0</v>
      </c>
      <c r="BU234">
        <f>IF(예비비!$R234="OK",SUMIFS(예비비!$O$430:$O$729,예비비!$B$430:$B$729,예비비!$A234,예비비!$E$430:$E$729,"&lt;"&amp;EDATE(BU$99,1),예비비!$F$430:$F$729,"결제대금비")+MAX(0,IF(예비비!$D234&lt;EDATE(BU$99,1),예비비!$E234,0)-SUMIFS(예비비!$O$430:$O$729,예비비!$B$430:$B$729,예비비!$A234,예비비!$E$430:$E$729,"&lt;"&amp;EDATE(BU$99,1))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  <c r="BI235">
        <f>IF(예비비!$R235="OK",SUMIFS(예비비!$O$430:$O$729,예비비!$B$430:$B$729,예비비!$A235,예비비!$E$430:$E$729,"&lt;"&amp;EDATE(BI$99,1),예비비!$F$430:$F$729,"결제대금비")+MAX(0,IF(예비비!$D235&lt;EDATE(BI$99,1),예비비!$E235,0)-SUMIFS(예비비!$O$430:$O$729,예비비!$B$430:$B$729,예비비!$A235,예비비!$E$430:$E$729,"&lt;"&amp;EDATE(BI$99,1))),0)</f>
        <v>0</v>
      </c>
      <c r="BJ235">
        <f>IF(예비비!$R235="OK",SUMIFS(예비비!$O$430:$O$729,예비비!$B$430:$B$729,예비비!$A235,예비비!$E$430:$E$729,"&lt;"&amp;EDATE(BJ$99,1),예비비!$F$430:$F$729,"결제대금비")+MAX(0,IF(예비비!$D235&lt;EDATE(BJ$99,1),예비비!$E235,0)-SUMIFS(예비비!$O$430:$O$729,예비비!$B$430:$B$729,예비비!$A235,예비비!$E$430:$E$729,"&lt;"&amp;EDATE(BJ$99,1))),0)</f>
        <v>0</v>
      </c>
      <c r="BK235">
        <f>IF(예비비!$R235="OK",SUMIFS(예비비!$O$430:$O$729,예비비!$B$430:$B$729,예비비!$A235,예비비!$E$430:$E$729,"&lt;"&amp;EDATE(BK$99,1),예비비!$F$430:$F$729,"결제대금비")+MAX(0,IF(예비비!$D235&lt;EDATE(BK$99,1),예비비!$E235,0)-SUMIFS(예비비!$O$430:$O$729,예비비!$B$430:$B$729,예비비!$A235,예비비!$E$430:$E$729,"&lt;"&amp;EDATE(BK$99,1))),0)</f>
        <v>0</v>
      </c>
      <c r="BL235">
        <f>IF(예비비!$R235="OK",SUMIFS(예비비!$O$430:$O$729,예비비!$B$430:$B$729,예비비!$A235,예비비!$E$430:$E$729,"&lt;"&amp;EDATE(BL$99,1),예비비!$F$430:$F$729,"결제대금비")+MAX(0,IF(예비비!$D235&lt;EDATE(BL$99,1),예비비!$E235,0)-SUMIFS(예비비!$O$430:$O$729,예비비!$B$430:$B$729,예비비!$A235,예비비!$E$430:$E$729,"&lt;"&amp;EDATE(BL$99,1))),0)</f>
        <v>0</v>
      </c>
      <c r="BM235">
        <f>IF(예비비!$R235="OK",SUMIFS(예비비!$O$430:$O$729,예비비!$B$430:$B$729,예비비!$A235,예비비!$E$430:$E$729,"&lt;"&amp;EDATE(BM$99,1),예비비!$F$430:$F$729,"결제대금비")+MAX(0,IF(예비비!$D235&lt;EDATE(BM$99,1),예비비!$E235,0)-SUMIFS(예비비!$O$430:$O$729,예비비!$B$430:$B$729,예비비!$A235,예비비!$E$430:$E$729,"&lt;"&amp;EDATE(BM$99,1))),0)</f>
        <v>0</v>
      </c>
      <c r="BN235">
        <f>IF(예비비!$R235="OK",SUMIFS(예비비!$O$430:$O$729,예비비!$B$430:$B$729,예비비!$A235,예비비!$E$430:$E$729,"&lt;"&amp;EDATE(BN$99,1),예비비!$F$430:$F$729,"결제대금비")+MAX(0,IF(예비비!$D235&lt;EDATE(BN$99,1),예비비!$E235,0)-SUMIFS(예비비!$O$430:$O$729,예비비!$B$430:$B$729,예비비!$A235,예비비!$E$430:$E$729,"&lt;"&amp;EDATE(BN$99,1))),0)</f>
        <v>0</v>
      </c>
      <c r="BO235">
        <f>IF(예비비!$R235="OK",SUMIFS(예비비!$O$430:$O$729,예비비!$B$430:$B$729,예비비!$A235,예비비!$E$430:$E$729,"&lt;"&amp;EDATE(BO$99,1),예비비!$F$430:$F$729,"결제대금비")+MAX(0,IF(예비비!$D235&lt;EDATE(BO$99,1),예비비!$E235,0)-SUMIFS(예비비!$O$430:$O$729,예비비!$B$430:$B$729,예비비!$A235,예비비!$E$430:$E$729,"&lt;"&amp;EDATE(BO$99,1))),0)</f>
        <v>0</v>
      </c>
      <c r="BP235">
        <f>IF(예비비!$R235="OK",SUMIFS(예비비!$O$430:$O$729,예비비!$B$430:$B$729,예비비!$A235,예비비!$E$430:$E$729,"&lt;"&amp;EDATE(BP$99,1),예비비!$F$430:$F$729,"결제대금비")+MAX(0,IF(예비비!$D235&lt;EDATE(BP$99,1),예비비!$E235,0)-SUMIFS(예비비!$O$430:$O$729,예비비!$B$430:$B$729,예비비!$A235,예비비!$E$430:$E$729,"&lt;"&amp;EDATE(BP$99,1))),0)</f>
        <v>0</v>
      </c>
      <c r="BQ235">
        <f>IF(예비비!$R235="OK",SUMIFS(예비비!$O$430:$O$729,예비비!$B$430:$B$729,예비비!$A235,예비비!$E$430:$E$729,"&lt;"&amp;EDATE(BQ$99,1),예비비!$F$430:$F$729,"결제대금비")+MAX(0,IF(예비비!$D235&lt;EDATE(BQ$99,1),예비비!$E235,0)-SUMIFS(예비비!$O$430:$O$729,예비비!$B$430:$B$729,예비비!$A235,예비비!$E$430:$E$729,"&lt;"&amp;EDATE(BQ$99,1))),0)</f>
        <v>0</v>
      </c>
      <c r="BR235">
        <f>IF(예비비!$R235="OK",SUMIFS(예비비!$O$430:$O$729,예비비!$B$430:$B$729,예비비!$A235,예비비!$E$430:$E$729,"&lt;"&amp;EDATE(BR$99,1),예비비!$F$430:$F$729,"결제대금비")+MAX(0,IF(예비비!$D235&lt;EDATE(BR$99,1),예비비!$E235,0)-SUMIFS(예비비!$O$430:$O$729,예비비!$B$430:$B$729,예비비!$A235,예비비!$E$430:$E$729,"&lt;"&amp;EDATE(BR$99,1))),0)</f>
        <v>0</v>
      </c>
      <c r="BS235">
        <f>IF(예비비!$R235="OK",SUMIFS(예비비!$O$430:$O$729,예비비!$B$430:$B$729,예비비!$A235,예비비!$E$430:$E$729,"&lt;"&amp;EDATE(BS$99,1),예비비!$F$430:$F$729,"결제대금비")+MAX(0,IF(예비비!$D235&lt;EDATE(BS$99,1),예비비!$E235,0)-SUMIFS(예비비!$O$430:$O$729,예비비!$B$430:$B$729,예비비!$A235,예비비!$E$430:$E$729,"&lt;"&amp;EDATE(BS$99,1))),0)</f>
        <v>0</v>
      </c>
      <c r="BT235">
        <f>IF(예비비!$R235="OK",SUMIFS(예비비!$O$430:$O$729,예비비!$B$430:$B$729,예비비!$A235,예비비!$E$430:$E$729,"&lt;"&amp;EDATE(BT$99,1),예비비!$F$430:$F$729,"결제대금비")+MAX(0,IF(예비비!$D235&lt;EDATE(BT$99,1),예비비!$E235,0)-SUMIFS(예비비!$O$430:$O$729,예비비!$B$430:$B$729,예비비!$A235,예비비!$E$430:$E$729,"&lt;"&amp;EDATE(BT$99,1))),0)</f>
        <v>0</v>
      </c>
      <c r="BU235">
        <f>IF(예비비!$R235="OK",SUMIFS(예비비!$O$430:$O$729,예비비!$B$430:$B$729,예비비!$A235,예비비!$E$430:$E$729,"&lt;"&amp;EDATE(BU$99,1),예비비!$F$430:$F$729,"결제대금비")+MAX(0,IF(예비비!$D235&lt;EDATE(BU$99,1),예비비!$E235,0)-SUMIFS(예비비!$O$430:$O$729,예비비!$B$430:$B$729,예비비!$A235,예비비!$E$430:$E$729,"&lt;"&amp;EDATE(BU$99,1))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  <c r="BI236">
        <f>IF(예비비!$R236="OK",SUMIFS(예비비!$O$430:$O$729,예비비!$B$430:$B$729,예비비!$A236,예비비!$E$430:$E$729,"&lt;"&amp;EDATE(BI$99,1),예비비!$F$430:$F$729,"결제대금비")+MAX(0,IF(예비비!$D236&lt;EDATE(BI$99,1),예비비!$E236,0)-SUMIFS(예비비!$O$430:$O$729,예비비!$B$430:$B$729,예비비!$A236,예비비!$E$430:$E$729,"&lt;"&amp;EDATE(BI$99,1))),0)</f>
        <v>0</v>
      </c>
      <c r="BJ236">
        <f>IF(예비비!$R236="OK",SUMIFS(예비비!$O$430:$O$729,예비비!$B$430:$B$729,예비비!$A236,예비비!$E$430:$E$729,"&lt;"&amp;EDATE(BJ$99,1),예비비!$F$430:$F$729,"결제대금비")+MAX(0,IF(예비비!$D236&lt;EDATE(BJ$99,1),예비비!$E236,0)-SUMIFS(예비비!$O$430:$O$729,예비비!$B$430:$B$729,예비비!$A236,예비비!$E$430:$E$729,"&lt;"&amp;EDATE(BJ$99,1))),0)</f>
        <v>0</v>
      </c>
      <c r="BK236">
        <f>IF(예비비!$R236="OK",SUMIFS(예비비!$O$430:$O$729,예비비!$B$430:$B$729,예비비!$A236,예비비!$E$430:$E$729,"&lt;"&amp;EDATE(BK$99,1),예비비!$F$430:$F$729,"결제대금비")+MAX(0,IF(예비비!$D236&lt;EDATE(BK$99,1),예비비!$E236,0)-SUMIFS(예비비!$O$430:$O$729,예비비!$B$430:$B$729,예비비!$A236,예비비!$E$430:$E$729,"&lt;"&amp;EDATE(BK$99,1))),0)</f>
        <v>0</v>
      </c>
      <c r="BL236">
        <f>IF(예비비!$R236="OK",SUMIFS(예비비!$O$430:$O$729,예비비!$B$430:$B$729,예비비!$A236,예비비!$E$430:$E$729,"&lt;"&amp;EDATE(BL$99,1),예비비!$F$430:$F$729,"결제대금비")+MAX(0,IF(예비비!$D236&lt;EDATE(BL$99,1),예비비!$E236,0)-SUMIFS(예비비!$O$430:$O$729,예비비!$B$430:$B$729,예비비!$A236,예비비!$E$430:$E$729,"&lt;"&amp;EDATE(BL$99,1))),0)</f>
        <v>0</v>
      </c>
      <c r="BM236">
        <f>IF(예비비!$R236="OK",SUMIFS(예비비!$O$430:$O$729,예비비!$B$430:$B$729,예비비!$A236,예비비!$E$430:$E$729,"&lt;"&amp;EDATE(BM$99,1),예비비!$F$430:$F$729,"결제대금비")+MAX(0,IF(예비비!$D236&lt;EDATE(BM$99,1),예비비!$E236,0)-SUMIFS(예비비!$O$430:$O$729,예비비!$B$430:$B$729,예비비!$A236,예비비!$E$430:$E$729,"&lt;"&amp;EDATE(BM$99,1))),0)</f>
        <v>0</v>
      </c>
      <c r="BN236">
        <f>IF(예비비!$R236="OK",SUMIFS(예비비!$O$430:$O$729,예비비!$B$430:$B$729,예비비!$A236,예비비!$E$430:$E$729,"&lt;"&amp;EDATE(BN$99,1),예비비!$F$430:$F$729,"결제대금비")+MAX(0,IF(예비비!$D236&lt;EDATE(BN$99,1),예비비!$E236,0)-SUMIFS(예비비!$O$430:$O$729,예비비!$B$430:$B$729,예비비!$A236,예비비!$E$430:$E$729,"&lt;"&amp;EDATE(BN$99,1))),0)</f>
        <v>0</v>
      </c>
      <c r="BO236">
        <f>IF(예비비!$R236="OK",SUMIFS(예비비!$O$430:$O$729,예비비!$B$430:$B$729,예비비!$A236,예비비!$E$430:$E$729,"&lt;"&amp;EDATE(BO$99,1),예비비!$F$430:$F$729,"결제대금비")+MAX(0,IF(예비비!$D236&lt;EDATE(BO$99,1),예비비!$E236,0)-SUMIFS(예비비!$O$430:$O$729,예비비!$B$430:$B$729,예비비!$A236,예비비!$E$430:$E$729,"&lt;"&amp;EDATE(BO$99,1))),0)</f>
        <v>0</v>
      </c>
      <c r="BP236">
        <f>IF(예비비!$R236="OK",SUMIFS(예비비!$O$430:$O$729,예비비!$B$430:$B$729,예비비!$A236,예비비!$E$430:$E$729,"&lt;"&amp;EDATE(BP$99,1),예비비!$F$430:$F$729,"결제대금비")+MAX(0,IF(예비비!$D236&lt;EDATE(BP$99,1),예비비!$E236,0)-SUMIFS(예비비!$O$430:$O$729,예비비!$B$430:$B$729,예비비!$A236,예비비!$E$430:$E$729,"&lt;"&amp;EDATE(BP$99,1))),0)</f>
        <v>0</v>
      </c>
      <c r="BQ236">
        <f>IF(예비비!$R236="OK",SUMIFS(예비비!$O$430:$O$729,예비비!$B$430:$B$729,예비비!$A236,예비비!$E$430:$E$729,"&lt;"&amp;EDATE(BQ$99,1),예비비!$F$430:$F$729,"결제대금비")+MAX(0,IF(예비비!$D236&lt;EDATE(BQ$99,1),예비비!$E236,0)-SUMIFS(예비비!$O$430:$O$729,예비비!$B$430:$B$729,예비비!$A236,예비비!$E$430:$E$729,"&lt;"&amp;EDATE(BQ$99,1))),0)</f>
        <v>0</v>
      </c>
      <c r="BR236">
        <f>IF(예비비!$R236="OK",SUMIFS(예비비!$O$430:$O$729,예비비!$B$430:$B$729,예비비!$A236,예비비!$E$430:$E$729,"&lt;"&amp;EDATE(BR$99,1),예비비!$F$430:$F$729,"결제대금비")+MAX(0,IF(예비비!$D236&lt;EDATE(BR$99,1),예비비!$E236,0)-SUMIFS(예비비!$O$430:$O$729,예비비!$B$430:$B$729,예비비!$A236,예비비!$E$430:$E$729,"&lt;"&amp;EDATE(BR$99,1))),0)</f>
        <v>0</v>
      </c>
      <c r="BS236">
        <f>IF(예비비!$R236="OK",SUMIFS(예비비!$O$430:$O$729,예비비!$B$430:$B$729,예비비!$A236,예비비!$E$430:$E$729,"&lt;"&amp;EDATE(BS$99,1),예비비!$F$430:$F$729,"결제대금비")+MAX(0,IF(예비비!$D236&lt;EDATE(BS$99,1),예비비!$E236,0)-SUMIFS(예비비!$O$430:$O$729,예비비!$B$430:$B$729,예비비!$A236,예비비!$E$430:$E$729,"&lt;"&amp;EDATE(BS$99,1))),0)</f>
        <v>0</v>
      </c>
      <c r="BT236">
        <f>IF(예비비!$R236="OK",SUMIFS(예비비!$O$430:$O$729,예비비!$B$430:$B$729,예비비!$A236,예비비!$E$430:$E$729,"&lt;"&amp;EDATE(BT$99,1),예비비!$F$430:$F$729,"결제대금비")+MAX(0,IF(예비비!$D236&lt;EDATE(BT$99,1),예비비!$E236,0)-SUMIFS(예비비!$O$430:$O$729,예비비!$B$430:$B$729,예비비!$A236,예비비!$E$430:$E$729,"&lt;"&amp;EDATE(BT$99,1))),0)</f>
        <v>0</v>
      </c>
      <c r="BU236">
        <f>IF(예비비!$R236="OK",SUMIFS(예비비!$O$430:$O$729,예비비!$B$430:$B$729,예비비!$A236,예비비!$E$430:$E$729,"&lt;"&amp;EDATE(BU$99,1),예비비!$F$430:$F$729,"결제대금비")+MAX(0,IF(예비비!$D236&lt;EDATE(BU$99,1),예비비!$E236,0)-SUMIFS(예비비!$O$430:$O$729,예비비!$B$430:$B$729,예비비!$A236,예비비!$E$430:$E$729,"&lt;"&amp;EDATE(BU$99,1))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  <c r="BI237">
        <f>IF(예비비!$R237="OK",SUMIFS(예비비!$O$430:$O$729,예비비!$B$430:$B$729,예비비!$A237,예비비!$E$430:$E$729,"&lt;"&amp;EDATE(BI$99,1),예비비!$F$430:$F$729,"결제대금비")+MAX(0,IF(예비비!$D237&lt;EDATE(BI$99,1),예비비!$E237,0)-SUMIFS(예비비!$O$430:$O$729,예비비!$B$430:$B$729,예비비!$A237,예비비!$E$430:$E$729,"&lt;"&amp;EDATE(BI$99,1))),0)</f>
        <v>0</v>
      </c>
      <c r="BJ237">
        <f>IF(예비비!$R237="OK",SUMIFS(예비비!$O$430:$O$729,예비비!$B$430:$B$729,예비비!$A237,예비비!$E$430:$E$729,"&lt;"&amp;EDATE(BJ$99,1),예비비!$F$430:$F$729,"결제대금비")+MAX(0,IF(예비비!$D237&lt;EDATE(BJ$99,1),예비비!$E237,0)-SUMIFS(예비비!$O$430:$O$729,예비비!$B$430:$B$729,예비비!$A237,예비비!$E$430:$E$729,"&lt;"&amp;EDATE(BJ$99,1))),0)</f>
        <v>0</v>
      </c>
      <c r="BK237">
        <f>IF(예비비!$R237="OK",SUMIFS(예비비!$O$430:$O$729,예비비!$B$430:$B$729,예비비!$A237,예비비!$E$430:$E$729,"&lt;"&amp;EDATE(BK$99,1),예비비!$F$430:$F$729,"결제대금비")+MAX(0,IF(예비비!$D237&lt;EDATE(BK$99,1),예비비!$E237,0)-SUMIFS(예비비!$O$430:$O$729,예비비!$B$430:$B$729,예비비!$A237,예비비!$E$430:$E$729,"&lt;"&amp;EDATE(BK$99,1))),0)</f>
        <v>0</v>
      </c>
      <c r="BL237">
        <f>IF(예비비!$R237="OK",SUMIFS(예비비!$O$430:$O$729,예비비!$B$430:$B$729,예비비!$A237,예비비!$E$430:$E$729,"&lt;"&amp;EDATE(BL$99,1),예비비!$F$430:$F$729,"결제대금비")+MAX(0,IF(예비비!$D237&lt;EDATE(BL$99,1),예비비!$E237,0)-SUMIFS(예비비!$O$430:$O$729,예비비!$B$430:$B$729,예비비!$A237,예비비!$E$430:$E$729,"&lt;"&amp;EDATE(BL$99,1))),0)</f>
        <v>0</v>
      </c>
      <c r="BM237">
        <f>IF(예비비!$R237="OK",SUMIFS(예비비!$O$430:$O$729,예비비!$B$430:$B$729,예비비!$A237,예비비!$E$430:$E$729,"&lt;"&amp;EDATE(BM$99,1),예비비!$F$430:$F$729,"결제대금비")+MAX(0,IF(예비비!$D237&lt;EDATE(BM$99,1),예비비!$E237,0)-SUMIFS(예비비!$O$430:$O$729,예비비!$B$430:$B$729,예비비!$A237,예비비!$E$430:$E$729,"&lt;"&amp;EDATE(BM$99,1))),0)</f>
        <v>0</v>
      </c>
      <c r="BN237">
        <f>IF(예비비!$R237="OK",SUMIFS(예비비!$O$430:$O$729,예비비!$B$430:$B$729,예비비!$A237,예비비!$E$430:$E$729,"&lt;"&amp;EDATE(BN$99,1),예비비!$F$430:$F$729,"결제대금비")+MAX(0,IF(예비비!$D237&lt;EDATE(BN$99,1),예비비!$E237,0)-SUMIFS(예비비!$O$430:$O$729,예비비!$B$430:$B$729,예비비!$A237,예비비!$E$430:$E$729,"&lt;"&amp;EDATE(BN$99,1))),0)</f>
        <v>0</v>
      </c>
      <c r="BO237">
        <f>IF(예비비!$R237="OK",SUMIFS(예비비!$O$430:$O$729,예비비!$B$430:$B$729,예비비!$A237,예비비!$E$430:$E$729,"&lt;"&amp;EDATE(BO$99,1),예비비!$F$430:$F$729,"결제대금비")+MAX(0,IF(예비비!$D237&lt;EDATE(BO$99,1),예비비!$E237,0)-SUMIFS(예비비!$O$430:$O$729,예비비!$B$430:$B$729,예비비!$A237,예비비!$E$430:$E$729,"&lt;"&amp;EDATE(BO$99,1))),0)</f>
        <v>0</v>
      </c>
      <c r="BP237">
        <f>IF(예비비!$R237="OK",SUMIFS(예비비!$O$430:$O$729,예비비!$B$430:$B$729,예비비!$A237,예비비!$E$430:$E$729,"&lt;"&amp;EDATE(BP$99,1),예비비!$F$430:$F$729,"결제대금비")+MAX(0,IF(예비비!$D237&lt;EDATE(BP$99,1),예비비!$E237,0)-SUMIFS(예비비!$O$430:$O$729,예비비!$B$430:$B$729,예비비!$A237,예비비!$E$430:$E$729,"&lt;"&amp;EDATE(BP$99,1))),0)</f>
        <v>0</v>
      </c>
      <c r="BQ237">
        <f>IF(예비비!$R237="OK",SUMIFS(예비비!$O$430:$O$729,예비비!$B$430:$B$729,예비비!$A237,예비비!$E$430:$E$729,"&lt;"&amp;EDATE(BQ$99,1),예비비!$F$430:$F$729,"결제대금비")+MAX(0,IF(예비비!$D237&lt;EDATE(BQ$99,1),예비비!$E237,0)-SUMIFS(예비비!$O$430:$O$729,예비비!$B$430:$B$729,예비비!$A237,예비비!$E$430:$E$729,"&lt;"&amp;EDATE(BQ$99,1))),0)</f>
        <v>0</v>
      </c>
      <c r="BR237">
        <f>IF(예비비!$R237="OK",SUMIFS(예비비!$O$430:$O$729,예비비!$B$430:$B$729,예비비!$A237,예비비!$E$430:$E$729,"&lt;"&amp;EDATE(BR$99,1),예비비!$F$430:$F$729,"결제대금비")+MAX(0,IF(예비비!$D237&lt;EDATE(BR$99,1),예비비!$E237,0)-SUMIFS(예비비!$O$430:$O$729,예비비!$B$430:$B$729,예비비!$A237,예비비!$E$430:$E$729,"&lt;"&amp;EDATE(BR$99,1))),0)</f>
        <v>0</v>
      </c>
      <c r="BS237">
        <f>IF(예비비!$R237="OK",SUMIFS(예비비!$O$430:$O$729,예비비!$B$430:$B$729,예비비!$A237,예비비!$E$430:$E$729,"&lt;"&amp;EDATE(BS$99,1),예비비!$F$430:$F$729,"결제대금비")+MAX(0,IF(예비비!$D237&lt;EDATE(BS$99,1),예비비!$E237,0)-SUMIFS(예비비!$O$430:$O$729,예비비!$B$430:$B$729,예비비!$A237,예비비!$E$430:$E$729,"&lt;"&amp;EDATE(BS$99,1))),0)</f>
        <v>0</v>
      </c>
      <c r="BT237">
        <f>IF(예비비!$R237="OK",SUMIFS(예비비!$O$430:$O$729,예비비!$B$430:$B$729,예비비!$A237,예비비!$E$430:$E$729,"&lt;"&amp;EDATE(BT$99,1),예비비!$F$430:$F$729,"결제대금비")+MAX(0,IF(예비비!$D237&lt;EDATE(BT$99,1),예비비!$E237,0)-SUMIFS(예비비!$O$430:$O$729,예비비!$B$430:$B$729,예비비!$A237,예비비!$E$430:$E$729,"&lt;"&amp;EDATE(BT$99,1))),0)</f>
        <v>0</v>
      </c>
      <c r="BU237">
        <f>IF(예비비!$R237="OK",SUMIFS(예비비!$O$430:$O$729,예비비!$B$430:$B$729,예비비!$A237,예비비!$E$430:$E$729,"&lt;"&amp;EDATE(BU$99,1),예비비!$F$430:$F$729,"결제대금비")+MAX(0,IF(예비비!$D237&lt;EDATE(BU$99,1),예비비!$E237,0)-SUMIFS(예비비!$O$430:$O$729,예비비!$B$430:$B$729,예비비!$A237,예비비!$E$430:$E$729,"&lt;"&amp;EDATE(BU$99,1))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  <c r="BI238">
        <f>IF(예비비!$R238="OK",SUMIFS(예비비!$O$430:$O$729,예비비!$B$430:$B$729,예비비!$A238,예비비!$E$430:$E$729,"&lt;"&amp;EDATE(BI$99,1),예비비!$F$430:$F$729,"결제대금비")+MAX(0,IF(예비비!$D238&lt;EDATE(BI$99,1),예비비!$E238,0)-SUMIFS(예비비!$O$430:$O$729,예비비!$B$430:$B$729,예비비!$A238,예비비!$E$430:$E$729,"&lt;"&amp;EDATE(BI$99,1))),0)</f>
        <v>0</v>
      </c>
      <c r="BJ238">
        <f>IF(예비비!$R238="OK",SUMIFS(예비비!$O$430:$O$729,예비비!$B$430:$B$729,예비비!$A238,예비비!$E$430:$E$729,"&lt;"&amp;EDATE(BJ$99,1),예비비!$F$430:$F$729,"결제대금비")+MAX(0,IF(예비비!$D238&lt;EDATE(BJ$99,1),예비비!$E238,0)-SUMIFS(예비비!$O$430:$O$729,예비비!$B$430:$B$729,예비비!$A238,예비비!$E$430:$E$729,"&lt;"&amp;EDATE(BJ$99,1))),0)</f>
        <v>0</v>
      </c>
      <c r="BK238">
        <f>IF(예비비!$R238="OK",SUMIFS(예비비!$O$430:$O$729,예비비!$B$430:$B$729,예비비!$A238,예비비!$E$430:$E$729,"&lt;"&amp;EDATE(BK$99,1),예비비!$F$430:$F$729,"결제대금비")+MAX(0,IF(예비비!$D238&lt;EDATE(BK$99,1),예비비!$E238,0)-SUMIFS(예비비!$O$430:$O$729,예비비!$B$430:$B$729,예비비!$A238,예비비!$E$430:$E$729,"&lt;"&amp;EDATE(BK$99,1))),0)</f>
        <v>0</v>
      </c>
      <c r="BL238">
        <f>IF(예비비!$R238="OK",SUMIFS(예비비!$O$430:$O$729,예비비!$B$430:$B$729,예비비!$A238,예비비!$E$430:$E$729,"&lt;"&amp;EDATE(BL$99,1),예비비!$F$430:$F$729,"결제대금비")+MAX(0,IF(예비비!$D238&lt;EDATE(BL$99,1),예비비!$E238,0)-SUMIFS(예비비!$O$430:$O$729,예비비!$B$430:$B$729,예비비!$A238,예비비!$E$430:$E$729,"&lt;"&amp;EDATE(BL$99,1))),0)</f>
        <v>0</v>
      </c>
      <c r="BM238">
        <f>IF(예비비!$R238="OK",SUMIFS(예비비!$O$430:$O$729,예비비!$B$430:$B$729,예비비!$A238,예비비!$E$430:$E$729,"&lt;"&amp;EDATE(BM$99,1),예비비!$F$430:$F$729,"결제대금비")+MAX(0,IF(예비비!$D238&lt;EDATE(BM$99,1),예비비!$E238,0)-SUMIFS(예비비!$O$430:$O$729,예비비!$B$430:$B$729,예비비!$A238,예비비!$E$430:$E$729,"&lt;"&amp;EDATE(BM$99,1))),0)</f>
        <v>0</v>
      </c>
      <c r="BN238">
        <f>IF(예비비!$R238="OK",SUMIFS(예비비!$O$430:$O$729,예비비!$B$430:$B$729,예비비!$A238,예비비!$E$430:$E$729,"&lt;"&amp;EDATE(BN$99,1),예비비!$F$430:$F$729,"결제대금비")+MAX(0,IF(예비비!$D238&lt;EDATE(BN$99,1),예비비!$E238,0)-SUMIFS(예비비!$O$430:$O$729,예비비!$B$430:$B$729,예비비!$A238,예비비!$E$430:$E$729,"&lt;"&amp;EDATE(BN$99,1))),0)</f>
        <v>0</v>
      </c>
      <c r="BO238">
        <f>IF(예비비!$R238="OK",SUMIFS(예비비!$O$430:$O$729,예비비!$B$430:$B$729,예비비!$A238,예비비!$E$430:$E$729,"&lt;"&amp;EDATE(BO$99,1),예비비!$F$430:$F$729,"결제대금비")+MAX(0,IF(예비비!$D238&lt;EDATE(BO$99,1),예비비!$E238,0)-SUMIFS(예비비!$O$430:$O$729,예비비!$B$430:$B$729,예비비!$A238,예비비!$E$430:$E$729,"&lt;"&amp;EDATE(BO$99,1))),0)</f>
        <v>0</v>
      </c>
      <c r="BP238">
        <f>IF(예비비!$R238="OK",SUMIFS(예비비!$O$430:$O$729,예비비!$B$430:$B$729,예비비!$A238,예비비!$E$430:$E$729,"&lt;"&amp;EDATE(BP$99,1),예비비!$F$430:$F$729,"결제대금비")+MAX(0,IF(예비비!$D238&lt;EDATE(BP$99,1),예비비!$E238,0)-SUMIFS(예비비!$O$430:$O$729,예비비!$B$430:$B$729,예비비!$A238,예비비!$E$430:$E$729,"&lt;"&amp;EDATE(BP$99,1))),0)</f>
        <v>0</v>
      </c>
      <c r="BQ238">
        <f>IF(예비비!$R238="OK",SUMIFS(예비비!$O$430:$O$729,예비비!$B$430:$B$729,예비비!$A238,예비비!$E$430:$E$729,"&lt;"&amp;EDATE(BQ$99,1),예비비!$F$430:$F$729,"결제대금비")+MAX(0,IF(예비비!$D238&lt;EDATE(BQ$99,1),예비비!$E238,0)-SUMIFS(예비비!$O$430:$O$729,예비비!$B$430:$B$729,예비비!$A238,예비비!$E$430:$E$729,"&lt;"&amp;EDATE(BQ$99,1))),0)</f>
        <v>0</v>
      </c>
      <c r="BR238">
        <f>IF(예비비!$R238="OK",SUMIFS(예비비!$O$430:$O$729,예비비!$B$430:$B$729,예비비!$A238,예비비!$E$430:$E$729,"&lt;"&amp;EDATE(BR$99,1),예비비!$F$430:$F$729,"결제대금비")+MAX(0,IF(예비비!$D238&lt;EDATE(BR$99,1),예비비!$E238,0)-SUMIFS(예비비!$O$430:$O$729,예비비!$B$430:$B$729,예비비!$A238,예비비!$E$430:$E$729,"&lt;"&amp;EDATE(BR$99,1))),0)</f>
        <v>0</v>
      </c>
      <c r="BS238">
        <f>IF(예비비!$R238="OK",SUMIFS(예비비!$O$430:$O$729,예비비!$B$430:$B$729,예비비!$A238,예비비!$E$430:$E$729,"&lt;"&amp;EDATE(BS$99,1),예비비!$F$430:$F$729,"결제대금비")+MAX(0,IF(예비비!$D238&lt;EDATE(BS$99,1),예비비!$E238,0)-SUMIFS(예비비!$O$430:$O$729,예비비!$B$430:$B$729,예비비!$A238,예비비!$E$430:$E$729,"&lt;"&amp;EDATE(BS$99,1))),0)</f>
        <v>0</v>
      </c>
      <c r="BT238">
        <f>IF(예비비!$R238="OK",SUMIFS(예비비!$O$430:$O$729,예비비!$B$430:$B$729,예비비!$A238,예비비!$E$430:$E$729,"&lt;"&amp;EDATE(BT$99,1),예비비!$F$430:$F$729,"결제대금비")+MAX(0,IF(예비비!$D238&lt;EDATE(BT$99,1),예비비!$E238,0)-SUMIFS(예비비!$O$430:$O$729,예비비!$B$430:$B$729,예비비!$A238,예비비!$E$430:$E$729,"&lt;"&amp;EDATE(BT$99,1))),0)</f>
        <v>0</v>
      </c>
      <c r="BU238">
        <f>IF(예비비!$R238="OK",SUMIFS(예비비!$O$430:$O$729,예비비!$B$430:$B$729,예비비!$A238,예비비!$E$430:$E$729,"&lt;"&amp;EDATE(BU$99,1),예비비!$F$430:$F$729,"결제대금비")+MAX(0,IF(예비비!$D238&lt;EDATE(BU$99,1),예비비!$E238,0)-SUMIFS(예비비!$O$430:$O$729,예비비!$B$430:$B$729,예비비!$A238,예비비!$E$430:$E$729,"&lt;"&amp;EDATE(BU$99,1))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  <c r="BI239">
        <f>IF(예비비!$R239="OK",SUMIFS(예비비!$O$430:$O$729,예비비!$B$430:$B$729,예비비!$A239,예비비!$E$430:$E$729,"&lt;"&amp;EDATE(BI$99,1),예비비!$F$430:$F$729,"결제대금비")+MAX(0,IF(예비비!$D239&lt;EDATE(BI$99,1),예비비!$E239,0)-SUMIFS(예비비!$O$430:$O$729,예비비!$B$430:$B$729,예비비!$A239,예비비!$E$430:$E$729,"&lt;"&amp;EDATE(BI$99,1))),0)</f>
        <v>0</v>
      </c>
      <c r="BJ239">
        <f>IF(예비비!$R239="OK",SUMIFS(예비비!$O$430:$O$729,예비비!$B$430:$B$729,예비비!$A239,예비비!$E$430:$E$729,"&lt;"&amp;EDATE(BJ$99,1),예비비!$F$430:$F$729,"결제대금비")+MAX(0,IF(예비비!$D239&lt;EDATE(BJ$99,1),예비비!$E239,0)-SUMIFS(예비비!$O$430:$O$729,예비비!$B$430:$B$729,예비비!$A239,예비비!$E$430:$E$729,"&lt;"&amp;EDATE(BJ$99,1))),0)</f>
        <v>0</v>
      </c>
      <c r="BK239">
        <f>IF(예비비!$R239="OK",SUMIFS(예비비!$O$430:$O$729,예비비!$B$430:$B$729,예비비!$A239,예비비!$E$430:$E$729,"&lt;"&amp;EDATE(BK$99,1),예비비!$F$430:$F$729,"결제대금비")+MAX(0,IF(예비비!$D239&lt;EDATE(BK$99,1),예비비!$E239,0)-SUMIFS(예비비!$O$430:$O$729,예비비!$B$430:$B$729,예비비!$A239,예비비!$E$430:$E$729,"&lt;"&amp;EDATE(BK$99,1))),0)</f>
        <v>0</v>
      </c>
      <c r="BL239">
        <f>IF(예비비!$R239="OK",SUMIFS(예비비!$O$430:$O$729,예비비!$B$430:$B$729,예비비!$A239,예비비!$E$430:$E$729,"&lt;"&amp;EDATE(BL$99,1),예비비!$F$430:$F$729,"결제대금비")+MAX(0,IF(예비비!$D239&lt;EDATE(BL$99,1),예비비!$E239,0)-SUMIFS(예비비!$O$430:$O$729,예비비!$B$430:$B$729,예비비!$A239,예비비!$E$430:$E$729,"&lt;"&amp;EDATE(BL$99,1))),0)</f>
        <v>0</v>
      </c>
      <c r="BM239">
        <f>IF(예비비!$R239="OK",SUMIFS(예비비!$O$430:$O$729,예비비!$B$430:$B$729,예비비!$A239,예비비!$E$430:$E$729,"&lt;"&amp;EDATE(BM$99,1),예비비!$F$430:$F$729,"결제대금비")+MAX(0,IF(예비비!$D239&lt;EDATE(BM$99,1),예비비!$E239,0)-SUMIFS(예비비!$O$430:$O$729,예비비!$B$430:$B$729,예비비!$A239,예비비!$E$430:$E$729,"&lt;"&amp;EDATE(BM$99,1))),0)</f>
        <v>0</v>
      </c>
      <c r="BN239">
        <f>IF(예비비!$R239="OK",SUMIFS(예비비!$O$430:$O$729,예비비!$B$430:$B$729,예비비!$A239,예비비!$E$430:$E$729,"&lt;"&amp;EDATE(BN$99,1),예비비!$F$430:$F$729,"결제대금비")+MAX(0,IF(예비비!$D239&lt;EDATE(BN$99,1),예비비!$E239,0)-SUMIFS(예비비!$O$430:$O$729,예비비!$B$430:$B$729,예비비!$A239,예비비!$E$430:$E$729,"&lt;"&amp;EDATE(BN$99,1))),0)</f>
        <v>0</v>
      </c>
      <c r="BO239">
        <f>IF(예비비!$R239="OK",SUMIFS(예비비!$O$430:$O$729,예비비!$B$430:$B$729,예비비!$A239,예비비!$E$430:$E$729,"&lt;"&amp;EDATE(BO$99,1),예비비!$F$430:$F$729,"결제대금비")+MAX(0,IF(예비비!$D239&lt;EDATE(BO$99,1),예비비!$E239,0)-SUMIFS(예비비!$O$430:$O$729,예비비!$B$430:$B$729,예비비!$A239,예비비!$E$430:$E$729,"&lt;"&amp;EDATE(BO$99,1))),0)</f>
        <v>0</v>
      </c>
      <c r="BP239">
        <f>IF(예비비!$R239="OK",SUMIFS(예비비!$O$430:$O$729,예비비!$B$430:$B$729,예비비!$A239,예비비!$E$430:$E$729,"&lt;"&amp;EDATE(BP$99,1),예비비!$F$430:$F$729,"결제대금비")+MAX(0,IF(예비비!$D239&lt;EDATE(BP$99,1),예비비!$E239,0)-SUMIFS(예비비!$O$430:$O$729,예비비!$B$430:$B$729,예비비!$A239,예비비!$E$430:$E$729,"&lt;"&amp;EDATE(BP$99,1))),0)</f>
        <v>0</v>
      </c>
      <c r="BQ239">
        <f>IF(예비비!$R239="OK",SUMIFS(예비비!$O$430:$O$729,예비비!$B$430:$B$729,예비비!$A239,예비비!$E$430:$E$729,"&lt;"&amp;EDATE(BQ$99,1),예비비!$F$430:$F$729,"결제대금비")+MAX(0,IF(예비비!$D239&lt;EDATE(BQ$99,1),예비비!$E239,0)-SUMIFS(예비비!$O$430:$O$729,예비비!$B$430:$B$729,예비비!$A239,예비비!$E$430:$E$729,"&lt;"&amp;EDATE(BQ$99,1))),0)</f>
        <v>0</v>
      </c>
      <c r="BR239">
        <f>IF(예비비!$R239="OK",SUMIFS(예비비!$O$430:$O$729,예비비!$B$430:$B$729,예비비!$A239,예비비!$E$430:$E$729,"&lt;"&amp;EDATE(BR$99,1),예비비!$F$430:$F$729,"결제대금비")+MAX(0,IF(예비비!$D239&lt;EDATE(BR$99,1),예비비!$E239,0)-SUMIFS(예비비!$O$430:$O$729,예비비!$B$430:$B$729,예비비!$A239,예비비!$E$430:$E$729,"&lt;"&amp;EDATE(BR$99,1))),0)</f>
        <v>0</v>
      </c>
      <c r="BS239">
        <f>IF(예비비!$R239="OK",SUMIFS(예비비!$O$430:$O$729,예비비!$B$430:$B$729,예비비!$A239,예비비!$E$430:$E$729,"&lt;"&amp;EDATE(BS$99,1),예비비!$F$430:$F$729,"결제대금비")+MAX(0,IF(예비비!$D239&lt;EDATE(BS$99,1),예비비!$E239,0)-SUMIFS(예비비!$O$430:$O$729,예비비!$B$430:$B$729,예비비!$A239,예비비!$E$430:$E$729,"&lt;"&amp;EDATE(BS$99,1))),0)</f>
        <v>0</v>
      </c>
      <c r="BT239">
        <f>IF(예비비!$R239="OK",SUMIFS(예비비!$O$430:$O$729,예비비!$B$430:$B$729,예비비!$A239,예비비!$E$430:$E$729,"&lt;"&amp;EDATE(BT$99,1),예비비!$F$430:$F$729,"결제대금비")+MAX(0,IF(예비비!$D239&lt;EDATE(BT$99,1),예비비!$E239,0)-SUMIFS(예비비!$O$430:$O$729,예비비!$B$430:$B$729,예비비!$A239,예비비!$E$430:$E$729,"&lt;"&amp;EDATE(BT$99,1))),0)</f>
        <v>0</v>
      </c>
      <c r="BU239">
        <f>IF(예비비!$R239="OK",SUMIFS(예비비!$O$430:$O$729,예비비!$B$430:$B$729,예비비!$A239,예비비!$E$430:$E$729,"&lt;"&amp;EDATE(BU$99,1),예비비!$F$430:$F$729,"결제대금비")+MAX(0,IF(예비비!$D239&lt;EDATE(BU$99,1),예비비!$E239,0)-SUMIFS(예비비!$O$430:$O$729,예비비!$B$430:$B$729,예비비!$A239,예비비!$E$430:$E$729,"&lt;"&amp;EDATE(BU$99,1))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  <c r="BI240">
        <f>IF(예비비!$R240="OK",SUMIFS(예비비!$O$430:$O$729,예비비!$B$430:$B$729,예비비!$A240,예비비!$E$430:$E$729,"&lt;"&amp;EDATE(BI$99,1),예비비!$F$430:$F$729,"결제대금비")+MAX(0,IF(예비비!$D240&lt;EDATE(BI$99,1),예비비!$E240,0)-SUMIFS(예비비!$O$430:$O$729,예비비!$B$430:$B$729,예비비!$A240,예비비!$E$430:$E$729,"&lt;"&amp;EDATE(BI$99,1))),0)</f>
        <v>0</v>
      </c>
      <c r="BJ240">
        <f>IF(예비비!$R240="OK",SUMIFS(예비비!$O$430:$O$729,예비비!$B$430:$B$729,예비비!$A240,예비비!$E$430:$E$729,"&lt;"&amp;EDATE(BJ$99,1),예비비!$F$430:$F$729,"결제대금비")+MAX(0,IF(예비비!$D240&lt;EDATE(BJ$99,1),예비비!$E240,0)-SUMIFS(예비비!$O$430:$O$729,예비비!$B$430:$B$729,예비비!$A240,예비비!$E$430:$E$729,"&lt;"&amp;EDATE(BJ$99,1))),0)</f>
        <v>0</v>
      </c>
      <c r="BK240">
        <f>IF(예비비!$R240="OK",SUMIFS(예비비!$O$430:$O$729,예비비!$B$430:$B$729,예비비!$A240,예비비!$E$430:$E$729,"&lt;"&amp;EDATE(BK$99,1),예비비!$F$430:$F$729,"결제대금비")+MAX(0,IF(예비비!$D240&lt;EDATE(BK$99,1),예비비!$E240,0)-SUMIFS(예비비!$O$430:$O$729,예비비!$B$430:$B$729,예비비!$A240,예비비!$E$430:$E$729,"&lt;"&amp;EDATE(BK$99,1))),0)</f>
        <v>0</v>
      </c>
      <c r="BL240">
        <f>IF(예비비!$R240="OK",SUMIFS(예비비!$O$430:$O$729,예비비!$B$430:$B$729,예비비!$A240,예비비!$E$430:$E$729,"&lt;"&amp;EDATE(BL$99,1),예비비!$F$430:$F$729,"결제대금비")+MAX(0,IF(예비비!$D240&lt;EDATE(BL$99,1),예비비!$E240,0)-SUMIFS(예비비!$O$430:$O$729,예비비!$B$430:$B$729,예비비!$A240,예비비!$E$430:$E$729,"&lt;"&amp;EDATE(BL$99,1))),0)</f>
        <v>0</v>
      </c>
      <c r="BM240">
        <f>IF(예비비!$R240="OK",SUMIFS(예비비!$O$430:$O$729,예비비!$B$430:$B$729,예비비!$A240,예비비!$E$430:$E$729,"&lt;"&amp;EDATE(BM$99,1),예비비!$F$430:$F$729,"결제대금비")+MAX(0,IF(예비비!$D240&lt;EDATE(BM$99,1),예비비!$E240,0)-SUMIFS(예비비!$O$430:$O$729,예비비!$B$430:$B$729,예비비!$A240,예비비!$E$430:$E$729,"&lt;"&amp;EDATE(BM$99,1))),0)</f>
        <v>0</v>
      </c>
      <c r="BN240">
        <f>IF(예비비!$R240="OK",SUMIFS(예비비!$O$430:$O$729,예비비!$B$430:$B$729,예비비!$A240,예비비!$E$430:$E$729,"&lt;"&amp;EDATE(BN$99,1),예비비!$F$430:$F$729,"결제대금비")+MAX(0,IF(예비비!$D240&lt;EDATE(BN$99,1),예비비!$E240,0)-SUMIFS(예비비!$O$430:$O$729,예비비!$B$430:$B$729,예비비!$A240,예비비!$E$430:$E$729,"&lt;"&amp;EDATE(BN$99,1))),0)</f>
        <v>0</v>
      </c>
      <c r="BO240">
        <f>IF(예비비!$R240="OK",SUMIFS(예비비!$O$430:$O$729,예비비!$B$430:$B$729,예비비!$A240,예비비!$E$430:$E$729,"&lt;"&amp;EDATE(BO$99,1),예비비!$F$430:$F$729,"결제대금비")+MAX(0,IF(예비비!$D240&lt;EDATE(BO$99,1),예비비!$E240,0)-SUMIFS(예비비!$O$430:$O$729,예비비!$B$430:$B$729,예비비!$A240,예비비!$E$430:$E$729,"&lt;"&amp;EDATE(BO$99,1))),0)</f>
        <v>0</v>
      </c>
      <c r="BP240">
        <f>IF(예비비!$R240="OK",SUMIFS(예비비!$O$430:$O$729,예비비!$B$430:$B$729,예비비!$A240,예비비!$E$430:$E$729,"&lt;"&amp;EDATE(BP$99,1),예비비!$F$430:$F$729,"결제대금비")+MAX(0,IF(예비비!$D240&lt;EDATE(BP$99,1),예비비!$E240,0)-SUMIFS(예비비!$O$430:$O$729,예비비!$B$430:$B$729,예비비!$A240,예비비!$E$430:$E$729,"&lt;"&amp;EDATE(BP$99,1))),0)</f>
        <v>0</v>
      </c>
      <c r="BQ240">
        <f>IF(예비비!$R240="OK",SUMIFS(예비비!$O$430:$O$729,예비비!$B$430:$B$729,예비비!$A240,예비비!$E$430:$E$729,"&lt;"&amp;EDATE(BQ$99,1),예비비!$F$430:$F$729,"결제대금비")+MAX(0,IF(예비비!$D240&lt;EDATE(BQ$99,1),예비비!$E240,0)-SUMIFS(예비비!$O$430:$O$729,예비비!$B$430:$B$729,예비비!$A240,예비비!$E$430:$E$729,"&lt;"&amp;EDATE(BQ$99,1))),0)</f>
        <v>0</v>
      </c>
      <c r="BR240">
        <f>IF(예비비!$R240="OK",SUMIFS(예비비!$O$430:$O$729,예비비!$B$430:$B$729,예비비!$A240,예비비!$E$430:$E$729,"&lt;"&amp;EDATE(BR$99,1),예비비!$F$430:$F$729,"결제대금비")+MAX(0,IF(예비비!$D240&lt;EDATE(BR$99,1),예비비!$E240,0)-SUMIFS(예비비!$O$430:$O$729,예비비!$B$430:$B$729,예비비!$A240,예비비!$E$430:$E$729,"&lt;"&amp;EDATE(BR$99,1))),0)</f>
        <v>0</v>
      </c>
      <c r="BS240">
        <f>IF(예비비!$R240="OK",SUMIFS(예비비!$O$430:$O$729,예비비!$B$430:$B$729,예비비!$A240,예비비!$E$430:$E$729,"&lt;"&amp;EDATE(BS$99,1),예비비!$F$430:$F$729,"결제대금비")+MAX(0,IF(예비비!$D240&lt;EDATE(BS$99,1),예비비!$E240,0)-SUMIFS(예비비!$O$430:$O$729,예비비!$B$430:$B$729,예비비!$A240,예비비!$E$430:$E$729,"&lt;"&amp;EDATE(BS$99,1))),0)</f>
        <v>0</v>
      </c>
      <c r="BT240">
        <f>IF(예비비!$R240="OK",SUMIFS(예비비!$O$430:$O$729,예비비!$B$430:$B$729,예비비!$A240,예비비!$E$430:$E$729,"&lt;"&amp;EDATE(BT$99,1),예비비!$F$430:$F$729,"결제대금비")+MAX(0,IF(예비비!$D240&lt;EDATE(BT$99,1),예비비!$E240,0)-SUMIFS(예비비!$O$430:$O$729,예비비!$B$430:$B$729,예비비!$A240,예비비!$E$430:$E$729,"&lt;"&amp;EDATE(BT$99,1))),0)</f>
        <v>0</v>
      </c>
      <c r="BU240">
        <f>IF(예비비!$R240="OK",SUMIFS(예비비!$O$430:$O$729,예비비!$B$430:$B$729,예비비!$A240,예비비!$E$430:$E$729,"&lt;"&amp;EDATE(BU$99,1),예비비!$F$430:$F$729,"결제대금비")+MAX(0,IF(예비비!$D240&lt;EDATE(BU$99,1),예비비!$E240,0)-SUMIFS(예비비!$O$430:$O$729,예비비!$B$430:$B$729,예비비!$A240,예비비!$E$430:$E$729,"&lt;"&amp;EDATE(BU$99,1))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  <c r="BI241">
        <f>IF(예비비!$R241="OK",SUMIFS(예비비!$O$430:$O$729,예비비!$B$430:$B$729,예비비!$A241,예비비!$E$430:$E$729,"&lt;"&amp;EDATE(BI$99,1),예비비!$F$430:$F$729,"결제대금비")+MAX(0,IF(예비비!$D241&lt;EDATE(BI$99,1),예비비!$E241,0)-SUMIFS(예비비!$O$430:$O$729,예비비!$B$430:$B$729,예비비!$A241,예비비!$E$430:$E$729,"&lt;"&amp;EDATE(BI$99,1))),0)</f>
        <v>0</v>
      </c>
      <c r="BJ241">
        <f>IF(예비비!$R241="OK",SUMIFS(예비비!$O$430:$O$729,예비비!$B$430:$B$729,예비비!$A241,예비비!$E$430:$E$729,"&lt;"&amp;EDATE(BJ$99,1),예비비!$F$430:$F$729,"결제대금비")+MAX(0,IF(예비비!$D241&lt;EDATE(BJ$99,1),예비비!$E241,0)-SUMIFS(예비비!$O$430:$O$729,예비비!$B$430:$B$729,예비비!$A241,예비비!$E$430:$E$729,"&lt;"&amp;EDATE(BJ$99,1))),0)</f>
        <v>0</v>
      </c>
      <c r="BK241">
        <f>IF(예비비!$R241="OK",SUMIFS(예비비!$O$430:$O$729,예비비!$B$430:$B$729,예비비!$A241,예비비!$E$430:$E$729,"&lt;"&amp;EDATE(BK$99,1),예비비!$F$430:$F$729,"결제대금비")+MAX(0,IF(예비비!$D241&lt;EDATE(BK$99,1),예비비!$E241,0)-SUMIFS(예비비!$O$430:$O$729,예비비!$B$430:$B$729,예비비!$A241,예비비!$E$430:$E$729,"&lt;"&amp;EDATE(BK$99,1))),0)</f>
        <v>0</v>
      </c>
      <c r="BL241">
        <f>IF(예비비!$R241="OK",SUMIFS(예비비!$O$430:$O$729,예비비!$B$430:$B$729,예비비!$A241,예비비!$E$430:$E$729,"&lt;"&amp;EDATE(BL$99,1),예비비!$F$430:$F$729,"결제대금비")+MAX(0,IF(예비비!$D241&lt;EDATE(BL$99,1),예비비!$E241,0)-SUMIFS(예비비!$O$430:$O$729,예비비!$B$430:$B$729,예비비!$A241,예비비!$E$430:$E$729,"&lt;"&amp;EDATE(BL$99,1))),0)</f>
        <v>0</v>
      </c>
      <c r="BM241">
        <f>IF(예비비!$R241="OK",SUMIFS(예비비!$O$430:$O$729,예비비!$B$430:$B$729,예비비!$A241,예비비!$E$430:$E$729,"&lt;"&amp;EDATE(BM$99,1),예비비!$F$430:$F$729,"결제대금비")+MAX(0,IF(예비비!$D241&lt;EDATE(BM$99,1),예비비!$E241,0)-SUMIFS(예비비!$O$430:$O$729,예비비!$B$430:$B$729,예비비!$A241,예비비!$E$430:$E$729,"&lt;"&amp;EDATE(BM$99,1))),0)</f>
        <v>0</v>
      </c>
      <c r="BN241">
        <f>IF(예비비!$R241="OK",SUMIFS(예비비!$O$430:$O$729,예비비!$B$430:$B$729,예비비!$A241,예비비!$E$430:$E$729,"&lt;"&amp;EDATE(BN$99,1),예비비!$F$430:$F$729,"결제대금비")+MAX(0,IF(예비비!$D241&lt;EDATE(BN$99,1),예비비!$E241,0)-SUMIFS(예비비!$O$430:$O$729,예비비!$B$430:$B$729,예비비!$A241,예비비!$E$430:$E$729,"&lt;"&amp;EDATE(BN$99,1))),0)</f>
        <v>0</v>
      </c>
      <c r="BO241">
        <f>IF(예비비!$R241="OK",SUMIFS(예비비!$O$430:$O$729,예비비!$B$430:$B$729,예비비!$A241,예비비!$E$430:$E$729,"&lt;"&amp;EDATE(BO$99,1),예비비!$F$430:$F$729,"결제대금비")+MAX(0,IF(예비비!$D241&lt;EDATE(BO$99,1),예비비!$E241,0)-SUMIFS(예비비!$O$430:$O$729,예비비!$B$430:$B$729,예비비!$A241,예비비!$E$430:$E$729,"&lt;"&amp;EDATE(BO$99,1))),0)</f>
        <v>0</v>
      </c>
      <c r="BP241">
        <f>IF(예비비!$R241="OK",SUMIFS(예비비!$O$430:$O$729,예비비!$B$430:$B$729,예비비!$A241,예비비!$E$430:$E$729,"&lt;"&amp;EDATE(BP$99,1),예비비!$F$430:$F$729,"결제대금비")+MAX(0,IF(예비비!$D241&lt;EDATE(BP$99,1),예비비!$E241,0)-SUMIFS(예비비!$O$430:$O$729,예비비!$B$430:$B$729,예비비!$A241,예비비!$E$430:$E$729,"&lt;"&amp;EDATE(BP$99,1))),0)</f>
        <v>0</v>
      </c>
      <c r="BQ241">
        <f>IF(예비비!$R241="OK",SUMIFS(예비비!$O$430:$O$729,예비비!$B$430:$B$729,예비비!$A241,예비비!$E$430:$E$729,"&lt;"&amp;EDATE(BQ$99,1),예비비!$F$430:$F$729,"결제대금비")+MAX(0,IF(예비비!$D241&lt;EDATE(BQ$99,1),예비비!$E241,0)-SUMIFS(예비비!$O$430:$O$729,예비비!$B$430:$B$729,예비비!$A241,예비비!$E$430:$E$729,"&lt;"&amp;EDATE(BQ$99,1))),0)</f>
        <v>0</v>
      </c>
      <c r="BR241">
        <f>IF(예비비!$R241="OK",SUMIFS(예비비!$O$430:$O$729,예비비!$B$430:$B$729,예비비!$A241,예비비!$E$430:$E$729,"&lt;"&amp;EDATE(BR$99,1),예비비!$F$430:$F$729,"결제대금비")+MAX(0,IF(예비비!$D241&lt;EDATE(BR$99,1),예비비!$E241,0)-SUMIFS(예비비!$O$430:$O$729,예비비!$B$430:$B$729,예비비!$A241,예비비!$E$430:$E$729,"&lt;"&amp;EDATE(BR$99,1))),0)</f>
        <v>0</v>
      </c>
      <c r="BS241">
        <f>IF(예비비!$R241="OK",SUMIFS(예비비!$O$430:$O$729,예비비!$B$430:$B$729,예비비!$A241,예비비!$E$430:$E$729,"&lt;"&amp;EDATE(BS$99,1),예비비!$F$430:$F$729,"결제대금비")+MAX(0,IF(예비비!$D241&lt;EDATE(BS$99,1),예비비!$E241,0)-SUMIFS(예비비!$O$430:$O$729,예비비!$B$430:$B$729,예비비!$A241,예비비!$E$430:$E$729,"&lt;"&amp;EDATE(BS$99,1))),0)</f>
        <v>0</v>
      </c>
      <c r="BT241">
        <f>IF(예비비!$R241="OK",SUMIFS(예비비!$O$430:$O$729,예비비!$B$430:$B$729,예비비!$A241,예비비!$E$430:$E$729,"&lt;"&amp;EDATE(BT$99,1),예비비!$F$430:$F$729,"결제대금비")+MAX(0,IF(예비비!$D241&lt;EDATE(BT$99,1),예비비!$E241,0)-SUMIFS(예비비!$O$430:$O$729,예비비!$B$430:$B$729,예비비!$A241,예비비!$E$430:$E$729,"&lt;"&amp;EDATE(BT$99,1))),0)</f>
        <v>0</v>
      </c>
      <c r="BU241">
        <f>IF(예비비!$R241="OK",SUMIFS(예비비!$O$430:$O$729,예비비!$B$430:$B$729,예비비!$A241,예비비!$E$430:$E$729,"&lt;"&amp;EDATE(BU$99,1),예비비!$F$430:$F$729,"결제대금비")+MAX(0,IF(예비비!$D241&lt;EDATE(BU$99,1),예비비!$E241,0)-SUMIFS(예비비!$O$430:$O$729,예비비!$B$430:$B$729,예비비!$A241,예비비!$E$430:$E$729,"&lt;"&amp;EDATE(BU$99,1))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  <c r="BI242">
        <f>IF(예비비!$R242="OK",SUMIFS(예비비!$O$430:$O$729,예비비!$B$430:$B$729,예비비!$A242,예비비!$E$430:$E$729,"&lt;"&amp;EDATE(BI$99,1),예비비!$F$430:$F$729,"결제대금비")+MAX(0,IF(예비비!$D242&lt;EDATE(BI$99,1),예비비!$E242,0)-SUMIFS(예비비!$O$430:$O$729,예비비!$B$430:$B$729,예비비!$A242,예비비!$E$430:$E$729,"&lt;"&amp;EDATE(BI$99,1))),0)</f>
        <v>0</v>
      </c>
      <c r="BJ242">
        <f>IF(예비비!$R242="OK",SUMIFS(예비비!$O$430:$O$729,예비비!$B$430:$B$729,예비비!$A242,예비비!$E$430:$E$729,"&lt;"&amp;EDATE(BJ$99,1),예비비!$F$430:$F$729,"결제대금비")+MAX(0,IF(예비비!$D242&lt;EDATE(BJ$99,1),예비비!$E242,0)-SUMIFS(예비비!$O$430:$O$729,예비비!$B$430:$B$729,예비비!$A242,예비비!$E$430:$E$729,"&lt;"&amp;EDATE(BJ$99,1))),0)</f>
        <v>0</v>
      </c>
      <c r="BK242">
        <f>IF(예비비!$R242="OK",SUMIFS(예비비!$O$430:$O$729,예비비!$B$430:$B$729,예비비!$A242,예비비!$E$430:$E$729,"&lt;"&amp;EDATE(BK$99,1),예비비!$F$430:$F$729,"결제대금비")+MAX(0,IF(예비비!$D242&lt;EDATE(BK$99,1),예비비!$E242,0)-SUMIFS(예비비!$O$430:$O$729,예비비!$B$430:$B$729,예비비!$A242,예비비!$E$430:$E$729,"&lt;"&amp;EDATE(BK$99,1))),0)</f>
        <v>0</v>
      </c>
      <c r="BL242">
        <f>IF(예비비!$R242="OK",SUMIFS(예비비!$O$430:$O$729,예비비!$B$430:$B$729,예비비!$A242,예비비!$E$430:$E$729,"&lt;"&amp;EDATE(BL$99,1),예비비!$F$430:$F$729,"결제대금비")+MAX(0,IF(예비비!$D242&lt;EDATE(BL$99,1),예비비!$E242,0)-SUMIFS(예비비!$O$430:$O$729,예비비!$B$430:$B$729,예비비!$A242,예비비!$E$430:$E$729,"&lt;"&amp;EDATE(BL$99,1))),0)</f>
        <v>0</v>
      </c>
      <c r="BM242">
        <f>IF(예비비!$R242="OK",SUMIFS(예비비!$O$430:$O$729,예비비!$B$430:$B$729,예비비!$A242,예비비!$E$430:$E$729,"&lt;"&amp;EDATE(BM$99,1),예비비!$F$430:$F$729,"결제대금비")+MAX(0,IF(예비비!$D242&lt;EDATE(BM$99,1),예비비!$E242,0)-SUMIFS(예비비!$O$430:$O$729,예비비!$B$430:$B$729,예비비!$A242,예비비!$E$430:$E$729,"&lt;"&amp;EDATE(BM$99,1))),0)</f>
        <v>0</v>
      </c>
      <c r="BN242">
        <f>IF(예비비!$R242="OK",SUMIFS(예비비!$O$430:$O$729,예비비!$B$430:$B$729,예비비!$A242,예비비!$E$430:$E$729,"&lt;"&amp;EDATE(BN$99,1),예비비!$F$430:$F$729,"결제대금비")+MAX(0,IF(예비비!$D242&lt;EDATE(BN$99,1),예비비!$E242,0)-SUMIFS(예비비!$O$430:$O$729,예비비!$B$430:$B$729,예비비!$A242,예비비!$E$430:$E$729,"&lt;"&amp;EDATE(BN$99,1))),0)</f>
        <v>0</v>
      </c>
      <c r="BO242">
        <f>IF(예비비!$R242="OK",SUMIFS(예비비!$O$430:$O$729,예비비!$B$430:$B$729,예비비!$A242,예비비!$E$430:$E$729,"&lt;"&amp;EDATE(BO$99,1),예비비!$F$430:$F$729,"결제대금비")+MAX(0,IF(예비비!$D242&lt;EDATE(BO$99,1),예비비!$E242,0)-SUMIFS(예비비!$O$430:$O$729,예비비!$B$430:$B$729,예비비!$A242,예비비!$E$430:$E$729,"&lt;"&amp;EDATE(BO$99,1))),0)</f>
        <v>0</v>
      </c>
      <c r="BP242">
        <f>IF(예비비!$R242="OK",SUMIFS(예비비!$O$430:$O$729,예비비!$B$430:$B$729,예비비!$A242,예비비!$E$430:$E$729,"&lt;"&amp;EDATE(BP$99,1),예비비!$F$430:$F$729,"결제대금비")+MAX(0,IF(예비비!$D242&lt;EDATE(BP$99,1),예비비!$E242,0)-SUMIFS(예비비!$O$430:$O$729,예비비!$B$430:$B$729,예비비!$A242,예비비!$E$430:$E$729,"&lt;"&amp;EDATE(BP$99,1))),0)</f>
        <v>0</v>
      </c>
      <c r="BQ242">
        <f>IF(예비비!$R242="OK",SUMIFS(예비비!$O$430:$O$729,예비비!$B$430:$B$729,예비비!$A242,예비비!$E$430:$E$729,"&lt;"&amp;EDATE(BQ$99,1),예비비!$F$430:$F$729,"결제대금비")+MAX(0,IF(예비비!$D242&lt;EDATE(BQ$99,1),예비비!$E242,0)-SUMIFS(예비비!$O$430:$O$729,예비비!$B$430:$B$729,예비비!$A242,예비비!$E$430:$E$729,"&lt;"&amp;EDATE(BQ$99,1))),0)</f>
        <v>0</v>
      </c>
      <c r="BR242">
        <f>IF(예비비!$R242="OK",SUMIFS(예비비!$O$430:$O$729,예비비!$B$430:$B$729,예비비!$A242,예비비!$E$430:$E$729,"&lt;"&amp;EDATE(BR$99,1),예비비!$F$430:$F$729,"결제대금비")+MAX(0,IF(예비비!$D242&lt;EDATE(BR$99,1),예비비!$E242,0)-SUMIFS(예비비!$O$430:$O$729,예비비!$B$430:$B$729,예비비!$A242,예비비!$E$430:$E$729,"&lt;"&amp;EDATE(BR$99,1))),0)</f>
        <v>0</v>
      </c>
      <c r="BS242">
        <f>IF(예비비!$R242="OK",SUMIFS(예비비!$O$430:$O$729,예비비!$B$430:$B$729,예비비!$A242,예비비!$E$430:$E$729,"&lt;"&amp;EDATE(BS$99,1),예비비!$F$430:$F$729,"결제대금비")+MAX(0,IF(예비비!$D242&lt;EDATE(BS$99,1),예비비!$E242,0)-SUMIFS(예비비!$O$430:$O$729,예비비!$B$430:$B$729,예비비!$A242,예비비!$E$430:$E$729,"&lt;"&amp;EDATE(BS$99,1))),0)</f>
        <v>0</v>
      </c>
      <c r="BT242">
        <f>IF(예비비!$R242="OK",SUMIFS(예비비!$O$430:$O$729,예비비!$B$430:$B$729,예비비!$A242,예비비!$E$430:$E$729,"&lt;"&amp;EDATE(BT$99,1),예비비!$F$430:$F$729,"결제대금비")+MAX(0,IF(예비비!$D242&lt;EDATE(BT$99,1),예비비!$E242,0)-SUMIFS(예비비!$O$430:$O$729,예비비!$B$430:$B$729,예비비!$A242,예비비!$E$430:$E$729,"&lt;"&amp;EDATE(BT$99,1))),0)</f>
        <v>0</v>
      </c>
      <c r="BU242">
        <f>IF(예비비!$R242="OK",SUMIFS(예비비!$O$430:$O$729,예비비!$B$430:$B$729,예비비!$A242,예비비!$E$430:$E$729,"&lt;"&amp;EDATE(BU$99,1),예비비!$F$430:$F$729,"결제대금비")+MAX(0,IF(예비비!$D242&lt;EDATE(BU$99,1),예비비!$E242,0)-SUMIFS(예비비!$O$430:$O$729,예비비!$B$430:$B$729,예비비!$A242,예비비!$E$430:$E$729,"&lt;"&amp;EDATE(BU$99,1))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  <c r="BI243">
        <f>IF(예비비!$R243="OK",SUMIFS(예비비!$O$430:$O$729,예비비!$B$430:$B$729,예비비!$A243,예비비!$E$430:$E$729,"&lt;"&amp;EDATE(BI$99,1),예비비!$F$430:$F$729,"결제대금비")+MAX(0,IF(예비비!$D243&lt;EDATE(BI$99,1),예비비!$E243,0)-SUMIFS(예비비!$O$430:$O$729,예비비!$B$430:$B$729,예비비!$A243,예비비!$E$430:$E$729,"&lt;"&amp;EDATE(BI$99,1))),0)</f>
        <v>0</v>
      </c>
      <c r="BJ243">
        <f>IF(예비비!$R243="OK",SUMIFS(예비비!$O$430:$O$729,예비비!$B$430:$B$729,예비비!$A243,예비비!$E$430:$E$729,"&lt;"&amp;EDATE(BJ$99,1),예비비!$F$430:$F$729,"결제대금비")+MAX(0,IF(예비비!$D243&lt;EDATE(BJ$99,1),예비비!$E243,0)-SUMIFS(예비비!$O$430:$O$729,예비비!$B$430:$B$729,예비비!$A243,예비비!$E$430:$E$729,"&lt;"&amp;EDATE(BJ$99,1))),0)</f>
        <v>0</v>
      </c>
      <c r="BK243">
        <f>IF(예비비!$R243="OK",SUMIFS(예비비!$O$430:$O$729,예비비!$B$430:$B$729,예비비!$A243,예비비!$E$430:$E$729,"&lt;"&amp;EDATE(BK$99,1),예비비!$F$430:$F$729,"결제대금비")+MAX(0,IF(예비비!$D243&lt;EDATE(BK$99,1),예비비!$E243,0)-SUMIFS(예비비!$O$430:$O$729,예비비!$B$430:$B$729,예비비!$A243,예비비!$E$430:$E$729,"&lt;"&amp;EDATE(BK$99,1))),0)</f>
        <v>0</v>
      </c>
      <c r="BL243">
        <f>IF(예비비!$R243="OK",SUMIFS(예비비!$O$430:$O$729,예비비!$B$430:$B$729,예비비!$A243,예비비!$E$430:$E$729,"&lt;"&amp;EDATE(BL$99,1),예비비!$F$430:$F$729,"결제대금비")+MAX(0,IF(예비비!$D243&lt;EDATE(BL$99,1),예비비!$E243,0)-SUMIFS(예비비!$O$430:$O$729,예비비!$B$430:$B$729,예비비!$A243,예비비!$E$430:$E$729,"&lt;"&amp;EDATE(BL$99,1))),0)</f>
        <v>0</v>
      </c>
      <c r="BM243">
        <f>IF(예비비!$R243="OK",SUMIFS(예비비!$O$430:$O$729,예비비!$B$430:$B$729,예비비!$A243,예비비!$E$430:$E$729,"&lt;"&amp;EDATE(BM$99,1),예비비!$F$430:$F$729,"결제대금비")+MAX(0,IF(예비비!$D243&lt;EDATE(BM$99,1),예비비!$E243,0)-SUMIFS(예비비!$O$430:$O$729,예비비!$B$430:$B$729,예비비!$A243,예비비!$E$430:$E$729,"&lt;"&amp;EDATE(BM$99,1))),0)</f>
        <v>0</v>
      </c>
      <c r="BN243">
        <f>IF(예비비!$R243="OK",SUMIFS(예비비!$O$430:$O$729,예비비!$B$430:$B$729,예비비!$A243,예비비!$E$430:$E$729,"&lt;"&amp;EDATE(BN$99,1),예비비!$F$430:$F$729,"결제대금비")+MAX(0,IF(예비비!$D243&lt;EDATE(BN$99,1),예비비!$E243,0)-SUMIFS(예비비!$O$430:$O$729,예비비!$B$430:$B$729,예비비!$A243,예비비!$E$430:$E$729,"&lt;"&amp;EDATE(BN$99,1))),0)</f>
        <v>0</v>
      </c>
      <c r="BO243">
        <f>IF(예비비!$R243="OK",SUMIFS(예비비!$O$430:$O$729,예비비!$B$430:$B$729,예비비!$A243,예비비!$E$430:$E$729,"&lt;"&amp;EDATE(BO$99,1),예비비!$F$430:$F$729,"결제대금비")+MAX(0,IF(예비비!$D243&lt;EDATE(BO$99,1),예비비!$E243,0)-SUMIFS(예비비!$O$430:$O$729,예비비!$B$430:$B$729,예비비!$A243,예비비!$E$430:$E$729,"&lt;"&amp;EDATE(BO$99,1))),0)</f>
        <v>0</v>
      </c>
      <c r="BP243">
        <f>IF(예비비!$R243="OK",SUMIFS(예비비!$O$430:$O$729,예비비!$B$430:$B$729,예비비!$A243,예비비!$E$430:$E$729,"&lt;"&amp;EDATE(BP$99,1),예비비!$F$430:$F$729,"결제대금비")+MAX(0,IF(예비비!$D243&lt;EDATE(BP$99,1),예비비!$E243,0)-SUMIFS(예비비!$O$430:$O$729,예비비!$B$430:$B$729,예비비!$A243,예비비!$E$430:$E$729,"&lt;"&amp;EDATE(BP$99,1))),0)</f>
        <v>0</v>
      </c>
      <c r="BQ243">
        <f>IF(예비비!$R243="OK",SUMIFS(예비비!$O$430:$O$729,예비비!$B$430:$B$729,예비비!$A243,예비비!$E$430:$E$729,"&lt;"&amp;EDATE(BQ$99,1),예비비!$F$430:$F$729,"결제대금비")+MAX(0,IF(예비비!$D243&lt;EDATE(BQ$99,1),예비비!$E243,0)-SUMIFS(예비비!$O$430:$O$729,예비비!$B$430:$B$729,예비비!$A243,예비비!$E$430:$E$729,"&lt;"&amp;EDATE(BQ$99,1))),0)</f>
        <v>0</v>
      </c>
      <c r="BR243">
        <f>IF(예비비!$R243="OK",SUMIFS(예비비!$O$430:$O$729,예비비!$B$430:$B$729,예비비!$A243,예비비!$E$430:$E$729,"&lt;"&amp;EDATE(BR$99,1),예비비!$F$430:$F$729,"결제대금비")+MAX(0,IF(예비비!$D243&lt;EDATE(BR$99,1),예비비!$E243,0)-SUMIFS(예비비!$O$430:$O$729,예비비!$B$430:$B$729,예비비!$A243,예비비!$E$430:$E$729,"&lt;"&amp;EDATE(BR$99,1))),0)</f>
        <v>0</v>
      </c>
      <c r="BS243">
        <f>IF(예비비!$R243="OK",SUMIFS(예비비!$O$430:$O$729,예비비!$B$430:$B$729,예비비!$A243,예비비!$E$430:$E$729,"&lt;"&amp;EDATE(BS$99,1),예비비!$F$430:$F$729,"결제대금비")+MAX(0,IF(예비비!$D243&lt;EDATE(BS$99,1),예비비!$E243,0)-SUMIFS(예비비!$O$430:$O$729,예비비!$B$430:$B$729,예비비!$A243,예비비!$E$430:$E$729,"&lt;"&amp;EDATE(BS$99,1))),0)</f>
        <v>0</v>
      </c>
      <c r="BT243">
        <f>IF(예비비!$R243="OK",SUMIFS(예비비!$O$430:$O$729,예비비!$B$430:$B$729,예비비!$A243,예비비!$E$430:$E$729,"&lt;"&amp;EDATE(BT$99,1),예비비!$F$430:$F$729,"결제대금비")+MAX(0,IF(예비비!$D243&lt;EDATE(BT$99,1),예비비!$E243,0)-SUMIFS(예비비!$O$430:$O$729,예비비!$B$430:$B$729,예비비!$A243,예비비!$E$430:$E$729,"&lt;"&amp;EDATE(BT$99,1))),0)</f>
        <v>0</v>
      </c>
      <c r="BU243">
        <f>IF(예비비!$R243="OK",SUMIFS(예비비!$O$430:$O$729,예비비!$B$430:$B$729,예비비!$A243,예비비!$E$430:$E$729,"&lt;"&amp;EDATE(BU$99,1),예비비!$F$430:$F$729,"결제대금비")+MAX(0,IF(예비비!$D243&lt;EDATE(BU$99,1),예비비!$E243,0)-SUMIFS(예비비!$O$430:$O$729,예비비!$B$430:$B$729,예비비!$A243,예비비!$E$430:$E$729,"&lt;"&amp;EDATE(BU$99,1))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  <c r="BI244">
        <f>IF(예비비!$R244="OK",SUMIFS(예비비!$O$430:$O$729,예비비!$B$430:$B$729,예비비!$A244,예비비!$E$430:$E$729,"&lt;"&amp;EDATE(BI$99,1),예비비!$F$430:$F$729,"결제대금비")+MAX(0,IF(예비비!$D244&lt;EDATE(BI$99,1),예비비!$E244,0)-SUMIFS(예비비!$O$430:$O$729,예비비!$B$430:$B$729,예비비!$A244,예비비!$E$430:$E$729,"&lt;"&amp;EDATE(BI$99,1))),0)</f>
        <v>0</v>
      </c>
      <c r="BJ244">
        <f>IF(예비비!$R244="OK",SUMIFS(예비비!$O$430:$O$729,예비비!$B$430:$B$729,예비비!$A244,예비비!$E$430:$E$729,"&lt;"&amp;EDATE(BJ$99,1),예비비!$F$430:$F$729,"결제대금비")+MAX(0,IF(예비비!$D244&lt;EDATE(BJ$99,1),예비비!$E244,0)-SUMIFS(예비비!$O$430:$O$729,예비비!$B$430:$B$729,예비비!$A244,예비비!$E$430:$E$729,"&lt;"&amp;EDATE(BJ$99,1))),0)</f>
        <v>0</v>
      </c>
      <c r="BK244">
        <f>IF(예비비!$R244="OK",SUMIFS(예비비!$O$430:$O$729,예비비!$B$430:$B$729,예비비!$A244,예비비!$E$430:$E$729,"&lt;"&amp;EDATE(BK$99,1),예비비!$F$430:$F$729,"결제대금비")+MAX(0,IF(예비비!$D244&lt;EDATE(BK$99,1),예비비!$E244,0)-SUMIFS(예비비!$O$430:$O$729,예비비!$B$430:$B$729,예비비!$A244,예비비!$E$430:$E$729,"&lt;"&amp;EDATE(BK$99,1))),0)</f>
        <v>0</v>
      </c>
      <c r="BL244">
        <f>IF(예비비!$R244="OK",SUMIFS(예비비!$O$430:$O$729,예비비!$B$430:$B$729,예비비!$A244,예비비!$E$430:$E$729,"&lt;"&amp;EDATE(BL$99,1),예비비!$F$430:$F$729,"결제대금비")+MAX(0,IF(예비비!$D244&lt;EDATE(BL$99,1),예비비!$E244,0)-SUMIFS(예비비!$O$430:$O$729,예비비!$B$430:$B$729,예비비!$A244,예비비!$E$430:$E$729,"&lt;"&amp;EDATE(BL$99,1))),0)</f>
        <v>0</v>
      </c>
      <c r="BM244">
        <f>IF(예비비!$R244="OK",SUMIFS(예비비!$O$430:$O$729,예비비!$B$430:$B$729,예비비!$A244,예비비!$E$430:$E$729,"&lt;"&amp;EDATE(BM$99,1),예비비!$F$430:$F$729,"결제대금비")+MAX(0,IF(예비비!$D244&lt;EDATE(BM$99,1),예비비!$E244,0)-SUMIFS(예비비!$O$430:$O$729,예비비!$B$430:$B$729,예비비!$A244,예비비!$E$430:$E$729,"&lt;"&amp;EDATE(BM$99,1))),0)</f>
        <v>0</v>
      </c>
      <c r="BN244">
        <f>IF(예비비!$R244="OK",SUMIFS(예비비!$O$430:$O$729,예비비!$B$430:$B$729,예비비!$A244,예비비!$E$430:$E$729,"&lt;"&amp;EDATE(BN$99,1),예비비!$F$430:$F$729,"결제대금비")+MAX(0,IF(예비비!$D244&lt;EDATE(BN$99,1),예비비!$E244,0)-SUMIFS(예비비!$O$430:$O$729,예비비!$B$430:$B$729,예비비!$A244,예비비!$E$430:$E$729,"&lt;"&amp;EDATE(BN$99,1))),0)</f>
        <v>0</v>
      </c>
      <c r="BO244">
        <f>IF(예비비!$R244="OK",SUMIFS(예비비!$O$430:$O$729,예비비!$B$430:$B$729,예비비!$A244,예비비!$E$430:$E$729,"&lt;"&amp;EDATE(BO$99,1),예비비!$F$430:$F$729,"결제대금비")+MAX(0,IF(예비비!$D244&lt;EDATE(BO$99,1),예비비!$E244,0)-SUMIFS(예비비!$O$430:$O$729,예비비!$B$430:$B$729,예비비!$A244,예비비!$E$430:$E$729,"&lt;"&amp;EDATE(BO$99,1))),0)</f>
        <v>0</v>
      </c>
      <c r="BP244">
        <f>IF(예비비!$R244="OK",SUMIFS(예비비!$O$430:$O$729,예비비!$B$430:$B$729,예비비!$A244,예비비!$E$430:$E$729,"&lt;"&amp;EDATE(BP$99,1),예비비!$F$430:$F$729,"결제대금비")+MAX(0,IF(예비비!$D244&lt;EDATE(BP$99,1),예비비!$E244,0)-SUMIFS(예비비!$O$430:$O$729,예비비!$B$430:$B$729,예비비!$A244,예비비!$E$430:$E$729,"&lt;"&amp;EDATE(BP$99,1))),0)</f>
        <v>0</v>
      </c>
      <c r="BQ244">
        <f>IF(예비비!$R244="OK",SUMIFS(예비비!$O$430:$O$729,예비비!$B$430:$B$729,예비비!$A244,예비비!$E$430:$E$729,"&lt;"&amp;EDATE(BQ$99,1),예비비!$F$430:$F$729,"결제대금비")+MAX(0,IF(예비비!$D244&lt;EDATE(BQ$99,1),예비비!$E244,0)-SUMIFS(예비비!$O$430:$O$729,예비비!$B$430:$B$729,예비비!$A244,예비비!$E$430:$E$729,"&lt;"&amp;EDATE(BQ$99,1))),0)</f>
        <v>0</v>
      </c>
      <c r="BR244">
        <f>IF(예비비!$R244="OK",SUMIFS(예비비!$O$430:$O$729,예비비!$B$430:$B$729,예비비!$A244,예비비!$E$430:$E$729,"&lt;"&amp;EDATE(BR$99,1),예비비!$F$430:$F$729,"결제대금비")+MAX(0,IF(예비비!$D244&lt;EDATE(BR$99,1),예비비!$E244,0)-SUMIFS(예비비!$O$430:$O$729,예비비!$B$430:$B$729,예비비!$A244,예비비!$E$430:$E$729,"&lt;"&amp;EDATE(BR$99,1))),0)</f>
        <v>0</v>
      </c>
      <c r="BS244">
        <f>IF(예비비!$R244="OK",SUMIFS(예비비!$O$430:$O$729,예비비!$B$430:$B$729,예비비!$A244,예비비!$E$430:$E$729,"&lt;"&amp;EDATE(BS$99,1),예비비!$F$430:$F$729,"결제대금비")+MAX(0,IF(예비비!$D244&lt;EDATE(BS$99,1),예비비!$E244,0)-SUMIFS(예비비!$O$430:$O$729,예비비!$B$430:$B$729,예비비!$A244,예비비!$E$430:$E$729,"&lt;"&amp;EDATE(BS$99,1))),0)</f>
        <v>0</v>
      </c>
      <c r="BT244">
        <f>IF(예비비!$R244="OK",SUMIFS(예비비!$O$430:$O$729,예비비!$B$430:$B$729,예비비!$A244,예비비!$E$430:$E$729,"&lt;"&amp;EDATE(BT$99,1),예비비!$F$430:$F$729,"결제대금비")+MAX(0,IF(예비비!$D244&lt;EDATE(BT$99,1),예비비!$E244,0)-SUMIFS(예비비!$O$430:$O$729,예비비!$B$430:$B$729,예비비!$A244,예비비!$E$430:$E$729,"&lt;"&amp;EDATE(BT$99,1))),0)</f>
        <v>0</v>
      </c>
      <c r="BU244">
        <f>IF(예비비!$R244="OK",SUMIFS(예비비!$O$430:$O$729,예비비!$B$430:$B$729,예비비!$A244,예비비!$E$430:$E$729,"&lt;"&amp;EDATE(BU$99,1),예비비!$F$430:$F$729,"결제대금비")+MAX(0,IF(예비비!$D244&lt;EDATE(BU$99,1),예비비!$E244,0)-SUMIFS(예비비!$O$430:$O$729,예비비!$B$430:$B$729,예비비!$A244,예비비!$E$430:$E$729,"&lt;"&amp;EDATE(BU$99,1))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  <c r="BI245">
        <f>IF(예비비!$R245="OK",SUMIFS(예비비!$O$430:$O$729,예비비!$B$430:$B$729,예비비!$A245,예비비!$E$430:$E$729,"&lt;"&amp;EDATE(BI$99,1),예비비!$F$430:$F$729,"결제대금비")+MAX(0,IF(예비비!$D245&lt;EDATE(BI$99,1),예비비!$E245,0)-SUMIFS(예비비!$O$430:$O$729,예비비!$B$430:$B$729,예비비!$A245,예비비!$E$430:$E$729,"&lt;"&amp;EDATE(BI$99,1))),0)</f>
        <v>0</v>
      </c>
      <c r="BJ245">
        <f>IF(예비비!$R245="OK",SUMIFS(예비비!$O$430:$O$729,예비비!$B$430:$B$729,예비비!$A245,예비비!$E$430:$E$729,"&lt;"&amp;EDATE(BJ$99,1),예비비!$F$430:$F$729,"결제대금비")+MAX(0,IF(예비비!$D245&lt;EDATE(BJ$99,1),예비비!$E245,0)-SUMIFS(예비비!$O$430:$O$729,예비비!$B$430:$B$729,예비비!$A245,예비비!$E$430:$E$729,"&lt;"&amp;EDATE(BJ$99,1))),0)</f>
        <v>0</v>
      </c>
      <c r="BK245">
        <f>IF(예비비!$R245="OK",SUMIFS(예비비!$O$430:$O$729,예비비!$B$430:$B$729,예비비!$A245,예비비!$E$430:$E$729,"&lt;"&amp;EDATE(BK$99,1),예비비!$F$430:$F$729,"결제대금비")+MAX(0,IF(예비비!$D245&lt;EDATE(BK$99,1),예비비!$E245,0)-SUMIFS(예비비!$O$430:$O$729,예비비!$B$430:$B$729,예비비!$A245,예비비!$E$430:$E$729,"&lt;"&amp;EDATE(BK$99,1))),0)</f>
        <v>0</v>
      </c>
      <c r="BL245">
        <f>IF(예비비!$R245="OK",SUMIFS(예비비!$O$430:$O$729,예비비!$B$430:$B$729,예비비!$A245,예비비!$E$430:$E$729,"&lt;"&amp;EDATE(BL$99,1),예비비!$F$430:$F$729,"결제대금비")+MAX(0,IF(예비비!$D245&lt;EDATE(BL$99,1),예비비!$E245,0)-SUMIFS(예비비!$O$430:$O$729,예비비!$B$430:$B$729,예비비!$A245,예비비!$E$430:$E$729,"&lt;"&amp;EDATE(BL$99,1))),0)</f>
        <v>0</v>
      </c>
      <c r="BM245">
        <f>IF(예비비!$R245="OK",SUMIFS(예비비!$O$430:$O$729,예비비!$B$430:$B$729,예비비!$A245,예비비!$E$430:$E$729,"&lt;"&amp;EDATE(BM$99,1),예비비!$F$430:$F$729,"결제대금비")+MAX(0,IF(예비비!$D245&lt;EDATE(BM$99,1),예비비!$E245,0)-SUMIFS(예비비!$O$430:$O$729,예비비!$B$430:$B$729,예비비!$A245,예비비!$E$430:$E$729,"&lt;"&amp;EDATE(BM$99,1))),0)</f>
        <v>0</v>
      </c>
      <c r="BN245">
        <f>IF(예비비!$R245="OK",SUMIFS(예비비!$O$430:$O$729,예비비!$B$430:$B$729,예비비!$A245,예비비!$E$430:$E$729,"&lt;"&amp;EDATE(BN$99,1),예비비!$F$430:$F$729,"결제대금비")+MAX(0,IF(예비비!$D245&lt;EDATE(BN$99,1),예비비!$E245,0)-SUMIFS(예비비!$O$430:$O$729,예비비!$B$430:$B$729,예비비!$A245,예비비!$E$430:$E$729,"&lt;"&amp;EDATE(BN$99,1))),0)</f>
        <v>0</v>
      </c>
      <c r="BO245">
        <f>IF(예비비!$R245="OK",SUMIFS(예비비!$O$430:$O$729,예비비!$B$430:$B$729,예비비!$A245,예비비!$E$430:$E$729,"&lt;"&amp;EDATE(BO$99,1),예비비!$F$430:$F$729,"결제대금비")+MAX(0,IF(예비비!$D245&lt;EDATE(BO$99,1),예비비!$E245,0)-SUMIFS(예비비!$O$430:$O$729,예비비!$B$430:$B$729,예비비!$A245,예비비!$E$430:$E$729,"&lt;"&amp;EDATE(BO$99,1))),0)</f>
        <v>0</v>
      </c>
      <c r="BP245">
        <f>IF(예비비!$R245="OK",SUMIFS(예비비!$O$430:$O$729,예비비!$B$430:$B$729,예비비!$A245,예비비!$E$430:$E$729,"&lt;"&amp;EDATE(BP$99,1),예비비!$F$430:$F$729,"결제대금비")+MAX(0,IF(예비비!$D245&lt;EDATE(BP$99,1),예비비!$E245,0)-SUMIFS(예비비!$O$430:$O$729,예비비!$B$430:$B$729,예비비!$A245,예비비!$E$430:$E$729,"&lt;"&amp;EDATE(BP$99,1))),0)</f>
        <v>0</v>
      </c>
      <c r="BQ245">
        <f>IF(예비비!$R245="OK",SUMIFS(예비비!$O$430:$O$729,예비비!$B$430:$B$729,예비비!$A245,예비비!$E$430:$E$729,"&lt;"&amp;EDATE(BQ$99,1),예비비!$F$430:$F$729,"결제대금비")+MAX(0,IF(예비비!$D245&lt;EDATE(BQ$99,1),예비비!$E245,0)-SUMIFS(예비비!$O$430:$O$729,예비비!$B$430:$B$729,예비비!$A245,예비비!$E$430:$E$729,"&lt;"&amp;EDATE(BQ$99,1))),0)</f>
        <v>0</v>
      </c>
      <c r="BR245">
        <f>IF(예비비!$R245="OK",SUMIFS(예비비!$O$430:$O$729,예비비!$B$430:$B$729,예비비!$A245,예비비!$E$430:$E$729,"&lt;"&amp;EDATE(BR$99,1),예비비!$F$430:$F$729,"결제대금비")+MAX(0,IF(예비비!$D245&lt;EDATE(BR$99,1),예비비!$E245,0)-SUMIFS(예비비!$O$430:$O$729,예비비!$B$430:$B$729,예비비!$A245,예비비!$E$430:$E$729,"&lt;"&amp;EDATE(BR$99,1))),0)</f>
        <v>0</v>
      </c>
      <c r="BS245">
        <f>IF(예비비!$R245="OK",SUMIFS(예비비!$O$430:$O$729,예비비!$B$430:$B$729,예비비!$A245,예비비!$E$430:$E$729,"&lt;"&amp;EDATE(BS$99,1),예비비!$F$430:$F$729,"결제대금비")+MAX(0,IF(예비비!$D245&lt;EDATE(BS$99,1),예비비!$E245,0)-SUMIFS(예비비!$O$430:$O$729,예비비!$B$430:$B$729,예비비!$A245,예비비!$E$430:$E$729,"&lt;"&amp;EDATE(BS$99,1))),0)</f>
        <v>0</v>
      </c>
      <c r="BT245">
        <f>IF(예비비!$R245="OK",SUMIFS(예비비!$O$430:$O$729,예비비!$B$430:$B$729,예비비!$A245,예비비!$E$430:$E$729,"&lt;"&amp;EDATE(BT$99,1),예비비!$F$430:$F$729,"결제대금비")+MAX(0,IF(예비비!$D245&lt;EDATE(BT$99,1),예비비!$E245,0)-SUMIFS(예비비!$O$430:$O$729,예비비!$B$430:$B$729,예비비!$A245,예비비!$E$430:$E$729,"&lt;"&amp;EDATE(BT$99,1))),0)</f>
        <v>0</v>
      </c>
      <c r="BU245">
        <f>IF(예비비!$R245="OK",SUMIFS(예비비!$O$430:$O$729,예비비!$B$430:$B$729,예비비!$A245,예비비!$E$430:$E$729,"&lt;"&amp;EDATE(BU$99,1),예비비!$F$430:$F$729,"결제대금비")+MAX(0,IF(예비비!$D245&lt;EDATE(BU$99,1),예비비!$E245,0)-SUMIFS(예비비!$O$430:$O$729,예비비!$B$430:$B$729,예비비!$A245,예비비!$E$430:$E$729,"&lt;"&amp;EDATE(BU$99,1))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  <c r="BI246">
        <f>IF(예비비!$R246="OK",SUMIFS(예비비!$O$430:$O$729,예비비!$B$430:$B$729,예비비!$A246,예비비!$E$430:$E$729,"&lt;"&amp;EDATE(BI$99,1),예비비!$F$430:$F$729,"결제대금비")+MAX(0,IF(예비비!$D246&lt;EDATE(BI$99,1),예비비!$E246,0)-SUMIFS(예비비!$O$430:$O$729,예비비!$B$430:$B$729,예비비!$A246,예비비!$E$430:$E$729,"&lt;"&amp;EDATE(BI$99,1))),0)</f>
        <v>0</v>
      </c>
      <c r="BJ246">
        <f>IF(예비비!$R246="OK",SUMIFS(예비비!$O$430:$O$729,예비비!$B$430:$B$729,예비비!$A246,예비비!$E$430:$E$729,"&lt;"&amp;EDATE(BJ$99,1),예비비!$F$430:$F$729,"결제대금비")+MAX(0,IF(예비비!$D246&lt;EDATE(BJ$99,1),예비비!$E246,0)-SUMIFS(예비비!$O$430:$O$729,예비비!$B$430:$B$729,예비비!$A246,예비비!$E$430:$E$729,"&lt;"&amp;EDATE(BJ$99,1))),0)</f>
        <v>0</v>
      </c>
      <c r="BK246">
        <f>IF(예비비!$R246="OK",SUMIFS(예비비!$O$430:$O$729,예비비!$B$430:$B$729,예비비!$A246,예비비!$E$430:$E$729,"&lt;"&amp;EDATE(BK$99,1),예비비!$F$430:$F$729,"결제대금비")+MAX(0,IF(예비비!$D246&lt;EDATE(BK$99,1),예비비!$E246,0)-SUMIFS(예비비!$O$430:$O$729,예비비!$B$430:$B$729,예비비!$A246,예비비!$E$430:$E$729,"&lt;"&amp;EDATE(BK$99,1))),0)</f>
        <v>0</v>
      </c>
      <c r="BL246">
        <f>IF(예비비!$R246="OK",SUMIFS(예비비!$O$430:$O$729,예비비!$B$430:$B$729,예비비!$A246,예비비!$E$430:$E$729,"&lt;"&amp;EDATE(BL$99,1),예비비!$F$430:$F$729,"결제대금비")+MAX(0,IF(예비비!$D246&lt;EDATE(BL$99,1),예비비!$E246,0)-SUMIFS(예비비!$O$430:$O$729,예비비!$B$430:$B$729,예비비!$A246,예비비!$E$430:$E$729,"&lt;"&amp;EDATE(BL$99,1))),0)</f>
        <v>0</v>
      </c>
      <c r="BM246">
        <f>IF(예비비!$R246="OK",SUMIFS(예비비!$O$430:$O$729,예비비!$B$430:$B$729,예비비!$A246,예비비!$E$430:$E$729,"&lt;"&amp;EDATE(BM$99,1),예비비!$F$430:$F$729,"결제대금비")+MAX(0,IF(예비비!$D246&lt;EDATE(BM$99,1),예비비!$E246,0)-SUMIFS(예비비!$O$430:$O$729,예비비!$B$430:$B$729,예비비!$A246,예비비!$E$430:$E$729,"&lt;"&amp;EDATE(BM$99,1))),0)</f>
        <v>0</v>
      </c>
      <c r="BN246">
        <f>IF(예비비!$R246="OK",SUMIFS(예비비!$O$430:$O$729,예비비!$B$430:$B$729,예비비!$A246,예비비!$E$430:$E$729,"&lt;"&amp;EDATE(BN$99,1),예비비!$F$430:$F$729,"결제대금비")+MAX(0,IF(예비비!$D246&lt;EDATE(BN$99,1),예비비!$E246,0)-SUMIFS(예비비!$O$430:$O$729,예비비!$B$430:$B$729,예비비!$A246,예비비!$E$430:$E$729,"&lt;"&amp;EDATE(BN$99,1))),0)</f>
        <v>0</v>
      </c>
      <c r="BO246">
        <f>IF(예비비!$R246="OK",SUMIFS(예비비!$O$430:$O$729,예비비!$B$430:$B$729,예비비!$A246,예비비!$E$430:$E$729,"&lt;"&amp;EDATE(BO$99,1),예비비!$F$430:$F$729,"결제대금비")+MAX(0,IF(예비비!$D246&lt;EDATE(BO$99,1),예비비!$E246,0)-SUMIFS(예비비!$O$430:$O$729,예비비!$B$430:$B$729,예비비!$A246,예비비!$E$430:$E$729,"&lt;"&amp;EDATE(BO$99,1))),0)</f>
        <v>0</v>
      </c>
      <c r="BP246">
        <f>IF(예비비!$R246="OK",SUMIFS(예비비!$O$430:$O$729,예비비!$B$430:$B$729,예비비!$A246,예비비!$E$430:$E$729,"&lt;"&amp;EDATE(BP$99,1),예비비!$F$430:$F$729,"결제대금비")+MAX(0,IF(예비비!$D246&lt;EDATE(BP$99,1),예비비!$E246,0)-SUMIFS(예비비!$O$430:$O$729,예비비!$B$430:$B$729,예비비!$A246,예비비!$E$430:$E$729,"&lt;"&amp;EDATE(BP$99,1))),0)</f>
        <v>0</v>
      </c>
      <c r="BQ246">
        <f>IF(예비비!$R246="OK",SUMIFS(예비비!$O$430:$O$729,예비비!$B$430:$B$729,예비비!$A246,예비비!$E$430:$E$729,"&lt;"&amp;EDATE(BQ$99,1),예비비!$F$430:$F$729,"결제대금비")+MAX(0,IF(예비비!$D246&lt;EDATE(BQ$99,1),예비비!$E246,0)-SUMIFS(예비비!$O$430:$O$729,예비비!$B$430:$B$729,예비비!$A246,예비비!$E$430:$E$729,"&lt;"&amp;EDATE(BQ$99,1))),0)</f>
        <v>0</v>
      </c>
      <c r="BR246">
        <f>IF(예비비!$R246="OK",SUMIFS(예비비!$O$430:$O$729,예비비!$B$430:$B$729,예비비!$A246,예비비!$E$430:$E$729,"&lt;"&amp;EDATE(BR$99,1),예비비!$F$430:$F$729,"결제대금비")+MAX(0,IF(예비비!$D246&lt;EDATE(BR$99,1),예비비!$E246,0)-SUMIFS(예비비!$O$430:$O$729,예비비!$B$430:$B$729,예비비!$A246,예비비!$E$430:$E$729,"&lt;"&amp;EDATE(BR$99,1))),0)</f>
        <v>0</v>
      </c>
      <c r="BS246">
        <f>IF(예비비!$R246="OK",SUMIFS(예비비!$O$430:$O$729,예비비!$B$430:$B$729,예비비!$A246,예비비!$E$430:$E$729,"&lt;"&amp;EDATE(BS$99,1),예비비!$F$430:$F$729,"결제대금비")+MAX(0,IF(예비비!$D246&lt;EDATE(BS$99,1),예비비!$E246,0)-SUMIFS(예비비!$O$430:$O$729,예비비!$B$430:$B$729,예비비!$A246,예비비!$E$430:$E$729,"&lt;"&amp;EDATE(BS$99,1))),0)</f>
        <v>0</v>
      </c>
      <c r="BT246">
        <f>IF(예비비!$R246="OK",SUMIFS(예비비!$O$430:$O$729,예비비!$B$430:$B$729,예비비!$A246,예비비!$E$430:$E$729,"&lt;"&amp;EDATE(BT$99,1),예비비!$F$430:$F$729,"결제대금비")+MAX(0,IF(예비비!$D246&lt;EDATE(BT$99,1),예비비!$E246,0)-SUMIFS(예비비!$O$430:$O$729,예비비!$B$430:$B$729,예비비!$A246,예비비!$E$430:$E$729,"&lt;"&amp;EDATE(BT$99,1))),0)</f>
        <v>0</v>
      </c>
      <c r="BU246">
        <f>IF(예비비!$R246="OK",SUMIFS(예비비!$O$430:$O$729,예비비!$B$430:$B$729,예비비!$A246,예비비!$E$430:$E$729,"&lt;"&amp;EDATE(BU$99,1),예비비!$F$430:$F$729,"결제대금비")+MAX(0,IF(예비비!$D246&lt;EDATE(BU$99,1),예비비!$E246,0)-SUMIFS(예비비!$O$430:$O$729,예비비!$B$430:$B$729,예비비!$A246,예비비!$E$430:$E$729,"&lt;"&amp;EDATE(BU$99,1))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  <c r="BI247">
        <f>IF(예비비!$R247="OK",SUMIFS(예비비!$O$430:$O$729,예비비!$B$430:$B$729,예비비!$A247,예비비!$E$430:$E$729,"&lt;"&amp;EDATE(BI$99,1),예비비!$F$430:$F$729,"결제대금비")+MAX(0,IF(예비비!$D247&lt;EDATE(BI$99,1),예비비!$E247,0)-SUMIFS(예비비!$O$430:$O$729,예비비!$B$430:$B$729,예비비!$A247,예비비!$E$430:$E$729,"&lt;"&amp;EDATE(BI$99,1))),0)</f>
        <v>0</v>
      </c>
      <c r="BJ247">
        <f>IF(예비비!$R247="OK",SUMIFS(예비비!$O$430:$O$729,예비비!$B$430:$B$729,예비비!$A247,예비비!$E$430:$E$729,"&lt;"&amp;EDATE(BJ$99,1),예비비!$F$430:$F$729,"결제대금비")+MAX(0,IF(예비비!$D247&lt;EDATE(BJ$99,1),예비비!$E247,0)-SUMIFS(예비비!$O$430:$O$729,예비비!$B$430:$B$729,예비비!$A247,예비비!$E$430:$E$729,"&lt;"&amp;EDATE(BJ$99,1))),0)</f>
        <v>0</v>
      </c>
      <c r="BK247">
        <f>IF(예비비!$R247="OK",SUMIFS(예비비!$O$430:$O$729,예비비!$B$430:$B$729,예비비!$A247,예비비!$E$430:$E$729,"&lt;"&amp;EDATE(BK$99,1),예비비!$F$430:$F$729,"결제대금비")+MAX(0,IF(예비비!$D247&lt;EDATE(BK$99,1),예비비!$E247,0)-SUMIFS(예비비!$O$430:$O$729,예비비!$B$430:$B$729,예비비!$A247,예비비!$E$430:$E$729,"&lt;"&amp;EDATE(BK$99,1))),0)</f>
        <v>0</v>
      </c>
      <c r="BL247">
        <f>IF(예비비!$R247="OK",SUMIFS(예비비!$O$430:$O$729,예비비!$B$430:$B$729,예비비!$A247,예비비!$E$430:$E$729,"&lt;"&amp;EDATE(BL$99,1),예비비!$F$430:$F$729,"결제대금비")+MAX(0,IF(예비비!$D247&lt;EDATE(BL$99,1),예비비!$E247,0)-SUMIFS(예비비!$O$430:$O$729,예비비!$B$430:$B$729,예비비!$A247,예비비!$E$430:$E$729,"&lt;"&amp;EDATE(BL$99,1))),0)</f>
        <v>0</v>
      </c>
      <c r="BM247">
        <f>IF(예비비!$R247="OK",SUMIFS(예비비!$O$430:$O$729,예비비!$B$430:$B$729,예비비!$A247,예비비!$E$430:$E$729,"&lt;"&amp;EDATE(BM$99,1),예비비!$F$430:$F$729,"결제대금비")+MAX(0,IF(예비비!$D247&lt;EDATE(BM$99,1),예비비!$E247,0)-SUMIFS(예비비!$O$430:$O$729,예비비!$B$430:$B$729,예비비!$A247,예비비!$E$430:$E$729,"&lt;"&amp;EDATE(BM$99,1))),0)</f>
        <v>0</v>
      </c>
      <c r="BN247">
        <f>IF(예비비!$R247="OK",SUMIFS(예비비!$O$430:$O$729,예비비!$B$430:$B$729,예비비!$A247,예비비!$E$430:$E$729,"&lt;"&amp;EDATE(BN$99,1),예비비!$F$430:$F$729,"결제대금비")+MAX(0,IF(예비비!$D247&lt;EDATE(BN$99,1),예비비!$E247,0)-SUMIFS(예비비!$O$430:$O$729,예비비!$B$430:$B$729,예비비!$A247,예비비!$E$430:$E$729,"&lt;"&amp;EDATE(BN$99,1))),0)</f>
        <v>0</v>
      </c>
      <c r="BO247">
        <f>IF(예비비!$R247="OK",SUMIFS(예비비!$O$430:$O$729,예비비!$B$430:$B$729,예비비!$A247,예비비!$E$430:$E$729,"&lt;"&amp;EDATE(BO$99,1),예비비!$F$430:$F$729,"결제대금비")+MAX(0,IF(예비비!$D247&lt;EDATE(BO$99,1),예비비!$E247,0)-SUMIFS(예비비!$O$430:$O$729,예비비!$B$430:$B$729,예비비!$A247,예비비!$E$430:$E$729,"&lt;"&amp;EDATE(BO$99,1))),0)</f>
        <v>0</v>
      </c>
      <c r="BP247">
        <f>IF(예비비!$R247="OK",SUMIFS(예비비!$O$430:$O$729,예비비!$B$430:$B$729,예비비!$A247,예비비!$E$430:$E$729,"&lt;"&amp;EDATE(BP$99,1),예비비!$F$430:$F$729,"결제대금비")+MAX(0,IF(예비비!$D247&lt;EDATE(BP$99,1),예비비!$E247,0)-SUMIFS(예비비!$O$430:$O$729,예비비!$B$430:$B$729,예비비!$A247,예비비!$E$430:$E$729,"&lt;"&amp;EDATE(BP$99,1))),0)</f>
        <v>0</v>
      </c>
      <c r="BQ247">
        <f>IF(예비비!$R247="OK",SUMIFS(예비비!$O$430:$O$729,예비비!$B$430:$B$729,예비비!$A247,예비비!$E$430:$E$729,"&lt;"&amp;EDATE(BQ$99,1),예비비!$F$430:$F$729,"결제대금비")+MAX(0,IF(예비비!$D247&lt;EDATE(BQ$99,1),예비비!$E247,0)-SUMIFS(예비비!$O$430:$O$729,예비비!$B$430:$B$729,예비비!$A247,예비비!$E$430:$E$729,"&lt;"&amp;EDATE(BQ$99,1))),0)</f>
        <v>0</v>
      </c>
      <c r="BR247">
        <f>IF(예비비!$R247="OK",SUMIFS(예비비!$O$430:$O$729,예비비!$B$430:$B$729,예비비!$A247,예비비!$E$430:$E$729,"&lt;"&amp;EDATE(BR$99,1),예비비!$F$430:$F$729,"결제대금비")+MAX(0,IF(예비비!$D247&lt;EDATE(BR$99,1),예비비!$E247,0)-SUMIFS(예비비!$O$430:$O$729,예비비!$B$430:$B$729,예비비!$A247,예비비!$E$430:$E$729,"&lt;"&amp;EDATE(BR$99,1))),0)</f>
        <v>0</v>
      </c>
      <c r="BS247">
        <f>IF(예비비!$R247="OK",SUMIFS(예비비!$O$430:$O$729,예비비!$B$430:$B$729,예비비!$A247,예비비!$E$430:$E$729,"&lt;"&amp;EDATE(BS$99,1),예비비!$F$430:$F$729,"결제대금비")+MAX(0,IF(예비비!$D247&lt;EDATE(BS$99,1),예비비!$E247,0)-SUMIFS(예비비!$O$430:$O$729,예비비!$B$430:$B$729,예비비!$A247,예비비!$E$430:$E$729,"&lt;"&amp;EDATE(BS$99,1))),0)</f>
        <v>0</v>
      </c>
      <c r="BT247">
        <f>IF(예비비!$R247="OK",SUMIFS(예비비!$O$430:$O$729,예비비!$B$430:$B$729,예비비!$A247,예비비!$E$430:$E$729,"&lt;"&amp;EDATE(BT$99,1),예비비!$F$430:$F$729,"결제대금비")+MAX(0,IF(예비비!$D247&lt;EDATE(BT$99,1),예비비!$E247,0)-SUMIFS(예비비!$O$430:$O$729,예비비!$B$430:$B$729,예비비!$A247,예비비!$E$430:$E$729,"&lt;"&amp;EDATE(BT$99,1))),0)</f>
        <v>0</v>
      </c>
      <c r="BU247">
        <f>IF(예비비!$R247="OK",SUMIFS(예비비!$O$430:$O$729,예비비!$B$430:$B$729,예비비!$A247,예비비!$E$430:$E$729,"&lt;"&amp;EDATE(BU$99,1),예비비!$F$430:$F$729,"결제대금비")+MAX(0,IF(예비비!$D247&lt;EDATE(BU$99,1),예비비!$E247,0)-SUMIFS(예비비!$O$430:$O$729,예비비!$B$430:$B$729,예비비!$A247,예비비!$E$430:$E$729,"&lt;"&amp;EDATE(BU$99,1))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  <c r="BI248">
        <f>IF(예비비!$R248="OK",SUMIFS(예비비!$O$430:$O$729,예비비!$B$430:$B$729,예비비!$A248,예비비!$E$430:$E$729,"&lt;"&amp;EDATE(BI$99,1),예비비!$F$430:$F$729,"결제대금비")+MAX(0,IF(예비비!$D248&lt;EDATE(BI$99,1),예비비!$E248,0)-SUMIFS(예비비!$O$430:$O$729,예비비!$B$430:$B$729,예비비!$A248,예비비!$E$430:$E$729,"&lt;"&amp;EDATE(BI$99,1))),0)</f>
        <v>0</v>
      </c>
      <c r="BJ248">
        <f>IF(예비비!$R248="OK",SUMIFS(예비비!$O$430:$O$729,예비비!$B$430:$B$729,예비비!$A248,예비비!$E$430:$E$729,"&lt;"&amp;EDATE(BJ$99,1),예비비!$F$430:$F$729,"결제대금비")+MAX(0,IF(예비비!$D248&lt;EDATE(BJ$99,1),예비비!$E248,0)-SUMIFS(예비비!$O$430:$O$729,예비비!$B$430:$B$729,예비비!$A248,예비비!$E$430:$E$729,"&lt;"&amp;EDATE(BJ$99,1))),0)</f>
        <v>0</v>
      </c>
      <c r="BK248">
        <f>IF(예비비!$R248="OK",SUMIFS(예비비!$O$430:$O$729,예비비!$B$430:$B$729,예비비!$A248,예비비!$E$430:$E$729,"&lt;"&amp;EDATE(BK$99,1),예비비!$F$430:$F$729,"결제대금비")+MAX(0,IF(예비비!$D248&lt;EDATE(BK$99,1),예비비!$E248,0)-SUMIFS(예비비!$O$430:$O$729,예비비!$B$430:$B$729,예비비!$A248,예비비!$E$430:$E$729,"&lt;"&amp;EDATE(BK$99,1))),0)</f>
        <v>0</v>
      </c>
      <c r="BL248">
        <f>IF(예비비!$R248="OK",SUMIFS(예비비!$O$430:$O$729,예비비!$B$430:$B$729,예비비!$A248,예비비!$E$430:$E$729,"&lt;"&amp;EDATE(BL$99,1),예비비!$F$430:$F$729,"결제대금비")+MAX(0,IF(예비비!$D248&lt;EDATE(BL$99,1),예비비!$E248,0)-SUMIFS(예비비!$O$430:$O$729,예비비!$B$430:$B$729,예비비!$A248,예비비!$E$430:$E$729,"&lt;"&amp;EDATE(BL$99,1))),0)</f>
        <v>0</v>
      </c>
      <c r="BM248">
        <f>IF(예비비!$R248="OK",SUMIFS(예비비!$O$430:$O$729,예비비!$B$430:$B$729,예비비!$A248,예비비!$E$430:$E$729,"&lt;"&amp;EDATE(BM$99,1),예비비!$F$430:$F$729,"결제대금비")+MAX(0,IF(예비비!$D248&lt;EDATE(BM$99,1),예비비!$E248,0)-SUMIFS(예비비!$O$430:$O$729,예비비!$B$430:$B$729,예비비!$A248,예비비!$E$430:$E$729,"&lt;"&amp;EDATE(BM$99,1))),0)</f>
        <v>0</v>
      </c>
      <c r="BN248">
        <f>IF(예비비!$R248="OK",SUMIFS(예비비!$O$430:$O$729,예비비!$B$430:$B$729,예비비!$A248,예비비!$E$430:$E$729,"&lt;"&amp;EDATE(BN$99,1),예비비!$F$430:$F$729,"결제대금비")+MAX(0,IF(예비비!$D248&lt;EDATE(BN$99,1),예비비!$E248,0)-SUMIFS(예비비!$O$430:$O$729,예비비!$B$430:$B$729,예비비!$A248,예비비!$E$430:$E$729,"&lt;"&amp;EDATE(BN$99,1))),0)</f>
        <v>0</v>
      </c>
      <c r="BO248">
        <f>IF(예비비!$R248="OK",SUMIFS(예비비!$O$430:$O$729,예비비!$B$430:$B$729,예비비!$A248,예비비!$E$430:$E$729,"&lt;"&amp;EDATE(BO$99,1),예비비!$F$430:$F$729,"결제대금비")+MAX(0,IF(예비비!$D248&lt;EDATE(BO$99,1),예비비!$E248,0)-SUMIFS(예비비!$O$430:$O$729,예비비!$B$430:$B$729,예비비!$A248,예비비!$E$430:$E$729,"&lt;"&amp;EDATE(BO$99,1))),0)</f>
        <v>0</v>
      </c>
      <c r="BP248">
        <f>IF(예비비!$R248="OK",SUMIFS(예비비!$O$430:$O$729,예비비!$B$430:$B$729,예비비!$A248,예비비!$E$430:$E$729,"&lt;"&amp;EDATE(BP$99,1),예비비!$F$430:$F$729,"결제대금비")+MAX(0,IF(예비비!$D248&lt;EDATE(BP$99,1),예비비!$E248,0)-SUMIFS(예비비!$O$430:$O$729,예비비!$B$430:$B$729,예비비!$A248,예비비!$E$430:$E$729,"&lt;"&amp;EDATE(BP$99,1))),0)</f>
        <v>0</v>
      </c>
      <c r="BQ248">
        <f>IF(예비비!$R248="OK",SUMIFS(예비비!$O$430:$O$729,예비비!$B$430:$B$729,예비비!$A248,예비비!$E$430:$E$729,"&lt;"&amp;EDATE(BQ$99,1),예비비!$F$430:$F$729,"결제대금비")+MAX(0,IF(예비비!$D248&lt;EDATE(BQ$99,1),예비비!$E248,0)-SUMIFS(예비비!$O$430:$O$729,예비비!$B$430:$B$729,예비비!$A248,예비비!$E$430:$E$729,"&lt;"&amp;EDATE(BQ$99,1))),0)</f>
        <v>0</v>
      </c>
      <c r="BR248">
        <f>IF(예비비!$R248="OK",SUMIFS(예비비!$O$430:$O$729,예비비!$B$430:$B$729,예비비!$A248,예비비!$E$430:$E$729,"&lt;"&amp;EDATE(BR$99,1),예비비!$F$430:$F$729,"결제대금비")+MAX(0,IF(예비비!$D248&lt;EDATE(BR$99,1),예비비!$E248,0)-SUMIFS(예비비!$O$430:$O$729,예비비!$B$430:$B$729,예비비!$A248,예비비!$E$430:$E$729,"&lt;"&amp;EDATE(BR$99,1))),0)</f>
        <v>0</v>
      </c>
      <c r="BS248">
        <f>IF(예비비!$R248="OK",SUMIFS(예비비!$O$430:$O$729,예비비!$B$430:$B$729,예비비!$A248,예비비!$E$430:$E$729,"&lt;"&amp;EDATE(BS$99,1),예비비!$F$430:$F$729,"결제대금비")+MAX(0,IF(예비비!$D248&lt;EDATE(BS$99,1),예비비!$E248,0)-SUMIFS(예비비!$O$430:$O$729,예비비!$B$430:$B$729,예비비!$A248,예비비!$E$430:$E$729,"&lt;"&amp;EDATE(BS$99,1))),0)</f>
        <v>0</v>
      </c>
      <c r="BT248">
        <f>IF(예비비!$R248="OK",SUMIFS(예비비!$O$430:$O$729,예비비!$B$430:$B$729,예비비!$A248,예비비!$E$430:$E$729,"&lt;"&amp;EDATE(BT$99,1),예비비!$F$430:$F$729,"결제대금비")+MAX(0,IF(예비비!$D248&lt;EDATE(BT$99,1),예비비!$E248,0)-SUMIFS(예비비!$O$430:$O$729,예비비!$B$430:$B$729,예비비!$A248,예비비!$E$430:$E$729,"&lt;"&amp;EDATE(BT$99,1))),0)</f>
        <v>0</v>
      </c>
      <c r="BU248">
        <f>IF(예비비!$R248="OK",SUMIFS(예비비!$O$430:$O$729,예비비!$B$430:$B$729,예비비!$A248,예비비!$E$430:$E$729,"&lt;"&amp;EDATE(BU$99,1),예비비!$F$430:$F$729,"결제대금비")+MAX(0,IF(예비비!$D248&lt;EDATE(BU$99,1),예비비!$E248,0)-SUMIFS(예비비!$O$430:$O$729,예비비!$B$430:$B$729,예비비!$A248,예비비!$E$430:$E$729,"&lt;"&amp;EDATE(BU$99,1))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  <c r="BI249">
        <f>IF(예비비!$R249="OK",SUMIFS(예비비!$O$430:$O$729,예비비!$B$430:$B$729,예비비!$A249,예비비!$E$430:$E$729,"&lt;"&amp;EDATE(BI$99,1),예비비!$F$430:$F$729,"결제대금비")+MAX(0,IF(예비비!$D249&lt;EDATE(BI$99,1),예비비!$E249,0)-SUMIFS(예비비!$O$430:$O$729,예비비!$B$430:$B$729,예비비!$A249,예비비!$E$430:$E$729,"&lt;"&amp;EDATE(BI$99,1))),0)</f>
        <v>0</v>
      </c>
      <c r="BJ249">
        <f>IF(예비비!$R249="OK",SUMIFS(예비비!$O$430:$O$729,예비비!$B$430:$B$729,예비비!$A249,예비비!$E$430:$E$729,"&lt;"&amp;EDATE(BJ$99,1),예비비!$F$430:$F$729,"결제대금비")+MAX(0,IF(예비비!$D249&lt;EDATE(BJ$99,1),예비비!$E249,0)-SUMIFS(예비비!$O$430:$O$729,예비비!$B$430:$B$729,예비비!$A249,예비비!$E$430:$E$729,"&lt;"&amp;EDATE(BJ$99,1))),0)</f>
        <v>0</v>
      </c>
      <c r="BK249">
        <f>IF(예비비!$R249="OK",SUMIFS(예비비!$O$430:$O$729,예비비!$B$430:$B$729,예비비!$A249,예비비!$E$430:$E$729,"&lt;"&amp;EDATE(BK$99,1),예비비!$F$430:$F$729,"결제대금비")+MAX(0,IF(예비비!$D249&lt;EDATE(BK$99,1),예비비!$E249,0)-SUMIFS(예비비!$O$430:$O$729,예비비!$B$430:$B$729,예비비!$A249,예비비!$E$430:$E$729,"&lt;"&amp;EDATE(BK$99,1))),0)</f>
        <v>0</v>
      </c>
      <c r="BL249">
        <f>IF(예비비!$R249="OK",SUMIFS(예비비!$O$430:$O$729,예비비!$B$430:$B$729,예비비!$A249,예비비!$E$430:$E$729,"&lt;"&amp;EDATE(BL$99,1),예비비!$F$430:$F$729,"결제대금비")+MAX(0,IF(예비비!$D249&lt;EDATE(BL$99,1),예비비!$E249,0)-SUMIFS(예비비!$O$430:$O$729,예비비!$B$430:$B$729,예비비!$A249,예비비!$E$430:$E$729,"&lt;"&amp;EDATE(BL$99,1))),0)</f>
        <v>0</v>
      </c>
      <c r="BM249">
        <f>IF(예비비!$R249="OK",SUMIFS(예비비!$O$430:$O$729,예비비!$B$430:$B$729,예비비!$A249,예비비!$E$430:$E$729,"&lt;"&amp;EDATE(BM$99,1),예비비!$F$430:$F$729,"결제대금비")+MAX(0,IF(예비비!$D249&lt;EDATE(BM$99,1),예비비!$E249,0)-SUMIFS(예비비!$O$430:$O$729,예비비!$B$430:$B$729,예비비!$A249,예비비!$E$430:$E$729,"&lt;"&amp;EDATE(BM$99,1))),0)</f>
        <v>0</v>
      </c>
      <c r="BN249">
        <f>IF(예비비!$R249="OK",SUMIFS(예비비!$O$430:$O$729,예비비!$B$430:$B$729,예비비!$A249,예비비!$E$430:$E$729,"&lt;"&amp;EDATE(BN$99,1),예비비!$F$430:$F$729,"결제대금비")+MAX(0,IF(예비비!$D249&lt;EDATE(BN$99,1),예비비!$E249,0)-SUMIFS(예비비!$O$430:$O$729,예비비!$B$430:$B$729,예비비!$A249,예비비!$E$430:$E$729,"&lt;"&amp;EDATE(BN$99,1))),0)</f>
        <v>0</v>
      </c>
      <c r="BO249">
        <f>IF(예비비!$R249="OK",SUMIFS(예비비!$O$430:$O$729,예비비!$B$430:$B$729,예비비!$A249,예비비!$E$430:$E$729,"&lt;"&amp;EDATE(BO$99,1),예비비!$F$430:$F$729,"결제대금비")+MAX(0,IF(예비비!$D249&lt;EDATE(BO$99,1),예비비!$E249,0)-SUMIFS(예비비!$O$430:$O$729,예비비!$B$430:$B$729,예비비!$A249,예비비!$E$430:$E$729,"&lt;"&amp;EDATE(BO$99,1))),0)</f>
        <v>0</v>
      </c>
      <c r="BP249">
        <f>IF(예비비!$R249="OK",SUMIFS(예비비!$O$430:$O$729,예비비!$B$430:$B$729,예비비!$A249,예비비!$E$430:$E$729,"&lt;"&amp;EDATE(BP$99,1),예비비!$F$430:$F$729,"결제대금비")+MAX(0,IF(예비비!$D249&lt;EDATE(BP$99,1),예비비!$E249,0)-SUMIFS(예비비!$O$430:$O$729,예비비!$B$430:$B$729,예비비!$A249,예비비!$E$430:$E$729,"&lt;"&amp;EDATE(BP$99,1))),0)</f>
        <v>0</v>
      </c>
      <c r="BQ249">
        <f>IF(예비비!$R249="OK",SUMIFS(예비비!$O$430:$O$729,예비비!$B$430:$B$729,예비비!$A249,예비비!$E$430:$E$729,"&lt;"&amp;EDATE(BQ$99,1),예비비!$F$430:$F$729,"결제대금비")+MAX(0,IF(예비비!$D249&lt;EDATE(BQ$99,1),예비비!$E249,0)-SUMIFS(예비비!$O$430:$O$729,예비비!$B$430:$B$729,예비비!$A249,예비비!$E$430:$E$729,"&lt;"&amp;EDATE(BQ$99,1))),0)</f>
        <v>0</v>
      </c>
      <c r="BR249">
        <f>IF(예비비!$R249="OK",SUMIFS(예비비!$O$430:$O$729,예비비!$B$430:$B$729,예비비!$A249,예비비!$E$430:$E$729,"&lt;"&amp;EDATE(BR$99,1),예비비!$F$430:$F$729,"결제대금비")+MAX(0,IF(예비비!$D249&lt;EDATE(BR$99,1),예비비!$E249,0)-SUMIFS(예비비!$O$430:$O$729,예비비!$B$430:$B$729,예비비!$A249,예비비!$E$430:$E$729,"&lt;"&amp;EDATE(BR$99,1))),0)</f>
        <v>0</v>
      </c>
      <c r="BS249">
        <f>IF(예비비!$R249="OK",SUMIFS(예비비!$O$430:$O$729,예비비!$B$430:$B$729,예비비!$A249,예비비!$E$430:$E$729,"&lt;"&amp;EDATE(BS$99,1),예비비!$F$430:$F$729,"결제대금비")+MAX(0,IF(예비비!$D249&lt;EDATE(BS$99,1),예비비!$E249,0)-SUMIFS(예비비!$O$430:$O$729,예비비!$B$430:$B$729,예비비!$A249,예비비!$E$430:$E$729,"&lt;"&amp;EDATE(BS$99,1))),0)</f>
        <v>0</v>
      </c>
      <c r="BT249">
        <f>IF(예비비!$R249="OK",SUMIFS(예비비!$O$430:$O$729,예비비!$B$430:$B$729,예비비!$A249,예비비!$E$430:$E$729,"&lt;"&amp;EDATE(BT$99,1),예비비!$F$430:$F$729,"결제대금비")+MAX(0,IF(예비비!$D249&lt;EDATE(BT$99,1),예비비!$E249,0)-SUMIFS(예비비!$O$430:$O$729,예비비!$B$430:$B$729,예비비!$A249,예비비!$E$430:$E$729,"&lt;"&amp;EDATE(BT$99,1))),0)</f>
        <v>0</v>
      </c>
      <c r="BU249">
        <f>IF(예비비!$R249="OK",SUMIFS(예비비!$O$430:$O$729,예비비!$B$430:$B$729,예비비!$A249,예비비!$E$430:$E$729,"&lt;"&amp;EDATE(BU$99,1),예비비!$F$430:$F$729,"결제대금비")+MAX(0,IF(예비비!$D249&lt;EDATE(BU$99,1),예비비!$E249,0)-SUMIFS(예비비!$O$430:$O$729,예비비!$B$430:$B$729,예비비!$A249,예비비!$E$430:$E$729,"&lt;"&amp;EDATE(BU$99,1))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  <c r="BI250">
        <f>IF(예비비!$R250="OK",SUMIFS(예비비!$O$430:$O$729,예비비!$B$430:$B$729,예비비!$A250,예비비!$E$430:$E$729,"&lt;"&amp;EDATE(BI$99,1),예비비!$F$430:$F$729,"결제대금비")+MAX(0,IF(예비비!$D250&lt;EDATE(BI$99,1),예비비!$E250,0)-SUMIFS(예비비!$O$430:$O$729,예비비!$B$430:$B$729,예비비!$A250,예비비!$E$430:$E$729,"&lt;"&amp;EDATE(BI$99,1))),0)</f>
        <v>0</v>
      </c>
      <c r="BJ250">
        <f>IF(예비비!$R250="OK",SUMIFS(예비비!$O$430:$O$729,예비비!$B$430:$B$729,예비비!$A250,예비비!$E$430:$E$729,"&lt;"&amp;EDATE(BJ$99,1),예비비!$F$430:$F$729,"결제대금비")+MAX(0,IF(예비비!$D250&lt;EDATE(BJ$99,1),예비비!$E250,0)-SUMIFS(예비비!$O$430:$O$729,예비비!$B$430:$B$729,예비비!$A250,예비비!$E$430:$E$729,"&lt;"&amp;EDATE(BJ$99,1))),0)</f>
        <v>0</v>
      </c>
      <c r="BK250">
        <f>IF(예비비!$R250="OK",SUMIFS(예비비!$O$430:$O$729,예비비!$B$430:$B$729,예비비!$A250,예비비!$E$430:$E$729,"&lt;"&amp;EDATE(BK$99,1),예비비!$F$430:$F$729,"결제대금비")+MAX(0,IF(예비비!$D250&lt;EDATE(BK$99,1),예비비!$E250,0)-SUMIFS(예비비!$O$430:$O$729,예비비!$B$430:$B$729,예비비!$A250,예비비!$E$430:$E$729,"&lt;"&amp;EDATE(BK$99,1))),0)</f>
        <v>0</v>
      </c>
      <c r="BL250">
        <f>IF(예비비!$R250="OK",SUMIFS(예비비!$O$430:$O$729,예비비!$B$430:$B$729,예비비!$A250,예비비!$E$430:$E$729,"&lt;"&amp;EDATE(BL$99,1),예비비!$F$430:$F$729,"결제대금비")+MAX(0,IF(예비비!$D250&lt;EDATE(BL$99,1),예비비!$E250,0)-SUMIFS(예비비!$O$430:$O$729,예비비!$B$430:$B$729,예비비!$A250,예비비!$E$430:$E$729,"&lt;"&amp;EDATE(BL$99,1))),0)</f>
        <v>0</v>
      </c>
      <c r="BM250">
        <f>IF(예비비!$R250="OK",SUMIFS(예비비!$O$430:$O$729,예비비!$B$430:$B$729,예비비!$A250,예비비!$E$430:$E$729,"&lt;"&amp;EDATE(BM$99,1),예비비!$F$430:$F$729,"결제대금비")+MAX(0,IF(예비비!$D250&lt;EDATE(BM$99,1),예비비!$E250,0)-SUMIFS(예비비!$O$430:$O$729,예비비!$B$430:$B$729,예비비!$A250,예비비!$E$430:$E$729,"&lt;"&amp;EDATE(BM$99,1))),0)</f>
        <v>0</v>
      </c>
      <c r="BN250">
        <f>IF(예비비!$R250="OK",SUMIFS(예비비!$O$430:$O$729,예비비!$B$430:$B$729,예비비!$A250,예비비!$E$430:$E$729,"&lt;"&amp;EDATE(BN$99,1),예비비!$F$430:$F$729,"결제대금비")+MAX(0,IF(예비비!$D250&lt;EDATE(BN$99,1),예비비!$E250,0)-SUMIFS(예비비!$O$430:$O$729,예비비!$B$430:$B$729,예비비!$A250,예비비!$E$430:$E$729,"&lt;"&amp;EDATE(BN$99,1))),0)</f>
        <v>0</v>
      </c>
      <c r="BO250">
        <f>IF(예비비!$R250="OK",SUMIFS(예비비!$O$430:$O$729,예비비!$B$430:$B$729,예비비!$A250,예비비!$E$430:$E$729,"&lt;"&amp;EDATE(BO$99,1),예비비!$F$430:$F$729,"결제대금비")+MAX(0,IF(예비비!$D250&lt;EDATE(BO$99,1),예비비!$E250,0)-SUMIFS(예비비!$O$430:$O$729,예비비!$B$430:$B$729,예비비!$A250,예비비!$E$430:$E$729,"&lt;"&amp;EDATE(BO$99,1))),0)</f>
        <v>0</v>
      </c>
      <c r="BP250">
        <f>IF(예비비!$R250="OK",SUMIFS(예비비!$O$430:$O$729,예비비!$B$430:$B$729,예비비!$A250,예비비!$E$430:$E$729,"&lt;"&amp;EDATE(BP$99,1),예비비!$F$430:$F$729,"결제대금비")+MAX(0,IF(예비비!$D250&lt;EDATE(BP$99,1),예비비!$E250,0)-SUMIFS(예비비!$O$430:$O$729,예비비!$B$430:$B$729,예비비!$A250,예비비!$E$430:$E$729,"&lt;"&amp;EDATE(BP$99,1))),0)</f>
        <v>0</v>
      </c>
      <c r="BQ250">
        <f>IF(예비비!$R250="OK",SUMIFS(예비비!$O$430:$O$729,예비비!$B$430:$B$729,예비비!$A250,예비비!$E$430:$E$729,"&lt;"&amp;EDATE(BQ$99,1),예비비!$F$430:$F$729,"결제대금비")+MAX(0,IF(예비비!$D250&lt;EDATE(BQ$99,1),예비비!$E250,0)-SUMIFS(예비비!$O$430:$O$729,예비비!$B$430:$B$729,예비비!$A250,예비비!$E$430:$E$729,"&lt;"&amp;EDATE(BQ$99,1))),0)</f>
        <v>0</v>
      </c>
      <c r="BR250">
        <f>IF(예비비!$R250="OK",SUMIFS(예비비!$O$430:$O$729,예비비!$B$430:$B$729,예비비!$A250,예비비!$E$430:$E$729,"&lt;"&amp;EDATE(BR$99,1),예비비!$F$430:$F$729,"결제대금비")+MAX(0,IF(예비비!$D250&lt;EDATE(BR$99,1),예비비!$E250,0)-SUMIFS(예비비!$O$430:$O$729,예비비!$B$430:$B$729,예비비!$A250,예비비!$E$430:$E$729,"&lt;"&amp;EDATE(BR$99,1))),0)</f>
        <v>0</v>
      </c>
      <c r="BS250">
        <f>IF(예비비!$R250="OK",SUMIFS(예비비!$O$430:$O$729,예비비!$B$430:$B$729,예비비!$A250,예비비!$E$430:$E$729,"&lt;"&amp;EDATE(BS$99,1),예비비!$F$430:$F$729,"결제대금비")+MAX(0,IF(예비비!$D250&lt;EDATE(BS$99,1),예비비!$E250,0)-SUMIFS(예비비!$O$430:$O$729,예비비!$B$430:$B$729,예비비!$A250,예비비!$E$430:$E$729,"&lt;"&amp;EDATE(BS$99,1))),0)</f>
        <v>0</v>
      </c>
      <c r="BT250">
        <f>IF(예비비!$R250="OK",SUMIFS(예비비!$O$430:$O$729,예비비!$B$430:$B$729,예비비!$A250,예비비!$E$430:$E$729,"&lt;"&amp;EDATE(BT$99,1),예비비!$F$430:$F$729,"결제대금비")+MAX(0,IF(예비비!$D250&lt;EDATE(BT$99,1),예비비!$E250,0)-SUMIFS(예비비!$O$430:$O$729,예비비!$B$430:$B$729,예비비!$A250,예비비!$E$430:$E$729,"&lt;"&amp;EDATE(BT$99,1))),0)</f>
        <v>0</v>
      </c>
      <c r="BU250">
        <f>IF(예비비!$R250="OK",SUMIFS(예비비!$O$430:$O$729,예비비!$B$430:$B$729,예비비!$A250,예비비!$E$430:$E$729,"&lt;"&amp;EDATE(BU$99,1),예비비!$F$430:$F$729,"결제대금비")+MAX(0,IF(예비비!$D250&lt;EDATE(BU$99,1),예비비!$E250,0)-SUMIFS(예비비!$O$430:$O$729,예비비!$B$430:$B$729,예비비!$A250,예비비!$E$430:$E$729,"&lt;"&amp;EDATE(BU$99,1))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  <c r="BI251">
        <f>IF(예비비!$R251="OK",SUMIFS(예비비!$O$430:$O$729,예비비!$B$430:$B$729,예비비!$A251,예비비!$E$430:$E$729,"&lt;"&amp;EDATE(BI$99,1),예비비!$F$430:$F$729,"결제대금비")+MAX(0,IF(예비비!$D251&lt;EDATE(BI$99,1),예비비!$E251,0)-SUMIFS(예비비!$O$430:$O$729,예비비!$B$430:$B$729,예비비!$A251,예비비!$E$430:$E$729,"&lt;"&amp;EDATE(BI$99,1))),0)</f>
        <v>0</v>
      </c>
      <c r="BJ251">
        <f>IF(예비비!$R251="OK",SUMIFS(예비비!$O$430:$O$729,예비비!$B$430:$B$729,예비비!$A251,예비비!$E$430:$E$729,"&lt;"&amp;EDATE(BJ$99,1),예비비!$F$430:$F$729,"결제대금비")+MAX(0,IF(예비비!$D251&lt;EDATE(BJ$99,1),예비비!$E251,0)-SUMIFS(예비비!$O$430:$O$729,예비비!$B$430:$B$729,예비비!$A251,예비비!$E$430:$E$729,"&lt;"&amp;EDATE(BJ$99,1))),0)</f>
        <v>0</v>
      </c>
      <c r="BK251">
        <f>IF(예비비!$R251="OK",SUMIFS(예비비!$O$430:$O$729,예비비!$B$430:$B$729,예비비!$A251,예비비!$E$430:$E$729,"&lt;"&amp;EDATE(BK$99,1),예비비!$F$430:$F$729,"결제대금비")+MAX(0,IF(예비비!$D251&lt;EDATE(BK$99,1),예비비!$E251,0)-SUMIFS(예비비!$O$430:$O$729,예비비!$B$430:$B$729,예비비!$A251,예비비!$E$430:$E$729,"&lt;"&amp;EDATE(BK$99,1))),0)</f>
        <v>0</v>
      </c>
      <c r="BL251">
        <f>IF(예비비!$R251="OK",SUMIFS(예비비!$O$430:$O$729,예비비!$B$430:$B$729,예비비!$A251,예비비!$E$430:$E$729,"&lt;"&amp;EDATE(BL$99,1),예비비!$F$430:$F$729,"결제대금비")+MAX(0,IF(예비비!$D251&lt;EDATE(BL$99,1),예비비!$E251,0)-SUMIFS(예비비!$O$430:$O$729,예비비!$B$430:$B$729,예비비!$A251,예비비!$E$430:$E$729,"&lt;"&amp;EDATE(BL$99,1))),0)</f>
        <v>0</v>
      </c>
      <c r="BM251">
        <f>IF(예비비!$R251="OK",SUMIFS(예비비!$O$430:$O$729,예비비!$B$430:$B$729,예비비!$A251,예비비!$E$430:$E$729,"&lt;"&amp;EDATE(BM$99,1),예비비!$F$430:$F$729,"결제대금비")+MAX(0,IF(예비비!$D251&lt;EDATE(BM$99,1),예비비!$E251,0)-SUMIFS(예비비!$O$430:$O$729,예비비!$B$430:$B$729,예비비!$A251,예비비!$E$430:$E$729,"&lt;"&amp;EDATE(BM$99,1))),0)</f>
        <v>0</v>
      </c>
      <c r="BN251">
        <f>IF(예비비!$R251="OK",SUMIFS(예비비!$O$430:$O$729,예비비!$B$430:$B$729,예비비!$A251,예비비!$E$430:$E$729,"&lt;"&amp;EDATE(BN$99,1),예비비!$F$430:$F$729,"결제대금비")+MAX(0,IF(예비비!$D251&lt;EDATE(BN$99,1),예비비!$E251,0)-SUMIFS(예비비!$O$430:$O$729,예비비!$B$430:$B$729,예비비!$A251,예비비!$E$430:$E$729,"&lt;"&amp;EDATE(BN$99,1))),0)</f>
        <v>0</v>
      </c>
      <c r="BO251">
        <f>IF(예비비!$R251="OK",SUMIFS(예비비!$O$430:$O$729,예비비!$B$430:$B$729,예비비!$A251,예비비!$E$430:$E$729,"&lt;"&amp;EDATE(BO$99,1),예비비!$F$430:$F$729,"결제대금비")+MAX(0,IF(예비비!$D251&lt;EDATE(BO$99,1),예비비!$E251,0)-SUMIFS(예비비!$O$430:$O$729,예비비!$B$430:$B$729,예비비!$A251,예비비!$E$430:$E$729,"&lt;"&amp;EDATE(BO$99,1))),0)</f>
        <v>0</v>
      </c>
      <c r="BP251">
        <f>IF(예비비!$R251="OK",SUMIFS(예비비!$O$430:$O$729,예비비!$B$430:$B$729,예비비!$A251,예비비!$E$430:$E$729,"&lt;"&amp;EDATE(BP$99,1),예비비!$F$430:$F$729,"결제대금비")+MAX(0,IF(예비비!$D251&lt;EDATE(BP$99,1),예비비!$E251,0)-SUMIFS(예비비!$O$430:$O$729,예비비!$B$430:$B$729,예비비!$A251,예비비!$E$430:$E$729,"&lt;"&amp;EDATE(BP$99,1))),0)</f>
        <v>0</v>
      </c>
      <c r="BQ251">
        <f>IF(예비비!$R251="OK",SUMIFS(예비비!$O$430:$O$729,예비비!$B$430:$B$729,예비비!$A251,예비비!$E$430:$E$729,"&lt;"&amp;EDATE(BQ$99,1),예비비!$F$430:$F$729,"결제대금비")+MAX(0,IF(예비비!$D251&lt;EDATE(BQ$99,1),예비비!$E251,0)-SUMIFS(예비비!$O$430:$O$729,예비비!$B$430:$B$729,예비비!$A251,예비비!$E$430:$E$729,"&lt;"&amp;EDATE(BQ$99,1))),0)</f>
        <v>0</v>
      </c>
      <c r="BR251">
        <f>IF(예비비!$R251="OK",SUMIFS(예비비!$O$430:$O$729,예비비!$B$430:$B$729,예비비!$A251,예비비!$E$430:$E$729,"&lt;"&amp;EDATE(BR$99,1),예비비!$F$430:$F$729,"결제대금비")+MAX(0,IF(예비비!$D251&lt;EDATE(BR$99,1),예비비!$E251,0)-SUMIFS(예비비!$O$430:$O$729,예비비!$B$430:$B$729,예비비!$A251,예비비!$E$430:$E$729,"&lt;"&amp;EDATE(BR$99,1))),0)</f>
        <v>0</v>
      </c>
      <c r="BS251">
        <f>IF(예비비!$R251="OK",SUMIFS(예비비!$O$430:$O$729,예비비!$B$430:$B$729,예비비!$A251,예비비!$E$430:$E$729,"&lt;"&amp;EDATE(BS$99,1),예비비!$F$430:$F$729,"결제대금비")+MAX(0,IF(예비비!$D251&lt;EDATE(BS$99,1),예비비!$E251,0)-SUMIFS(예비비!$O$430:$O$729,예비비!$B$430:$B$729,예비비!$A251,예비비!$E$430:$E$729,"&lt;"&amp;EDATE(BS$99,1))),0)</f>
        <v>0</v>
      </c>
      <c r="BT251">
        <f>IF(예비비!$R251="OK",SUMIFS(예비비!$O$430:$O$729,예비비!$B$430:$B$729,예비비!$A251,예비비!$E$430:$E$729,"&lt;"&amp;EDATE(BT$99,1),예비비!$F$430:$F$729,"결제대금비")+MAX(0,IF(예비비!$D251&lt;EDATE(BT$99,1),예비비!$E251,0)-SUMIFS(예비비!$O$430:$O$729,예비비!$B$430:$B$729,예비비!$A251,예비비!$E$430:$E$729,"&lt;"&amp;EDATE(BT$99,1))),0)</f>
        <v>0</v>
      </c>
      <c r="BU251">
        <f>IF(예비비!$R251="OK",SUMIFS(예비비!$O$430:$O$729,예비비!$B$430:$B$729,예비비!$A251,예비비!$E$430:$E$729,"&lt;"&amp;EDATE(BU$99,1),예비비!$F$430:$F$729,"결제대금비")+MAX(0,IF(예비비!$D251&lt;EDATE(BU$99,1),예비비!$E251,0)-SUMIFS(예비비!$O$430:$O$729,예비비!$B$430:$B$729,예비비!$A251,예비비!$E$430:$E$729,"&lt;"&amp;EDATE(BU$99,1))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  <c r="BI252">
        <f>IF(예비비!$R252="OK",SUMIFS(예비비!$O$430:$O$729,예비비!$B$430:$B$729,예비비!$A252,예비비!$E$430:$E$729,"&lt;"&amp;EDATE(BI$99,1),예비비!$F$430:$F$729,"결제대금비")+MAX(0,IF(예비비!$D252&lt;EDATE(BI$99,1),예비비!$E252,0)-SUMIFS(예비비!$O$430:$O$729,예비비!$B$430:$B$729,예비비!$A252,예비비!$E$430:$E$729,"&lt;"&amp;EDATE(BI$99,1))),0)</f>
        <v>0</v>
      </c>
      <c r="BJ252">
        <f>IF(예비비!$R252="OK",SUMIFS(예비비!$O$430:$O$729,예비비!$B$430:$B$729,예비비!$A252,예비비!$E$430:$E$729,"&lt;"&amp;EDATE(BJ$99,1),예비비!$F$430:$F$729,"결제대금비")+MAX(0,IF(예비비!$D252&lt;EDATE(BJ$99,1),예비비!$E252,0)-SUMIFS(예비비!$O$430:$O$729,예비비!$B$430:$B$729,예비비!$A252,예비비!$E$430:$E$729,"&lt;"&amp;EDATE(BJ$99,1))),0)</f>
        <v>0</v>
      </c>
      <c r="BK252">
        <f>IF(예비비!$R252="OK",SUMIFS(예비비!$O$430:$O$729,예비비!$B$430:$B$729,예비비!$A252,예비비!$E$430:$E$729,"&lt;"&amp;EDATE(BK$99,1),예비비!$F$430:$F$729,"결제대금비")+MAX(0,IF(예비비!$D252&lt;EDATE(BK$99,1),예비비!$E252,0)-SUMIFS(예비비!$O$430:$O$729,예비비!$B$430:$B$729,예비비!$A252,예비비!$E$430:$E$729,"&lt;"&amp;EDATE(BK$99,1))),0)</f>
        <v>0</v>
      </c>
      <c r="BL252">
        <f>IF(예비비!$R252="OK",SUMIFS(예비비!$O$430:$O$729,예비비!$B$430:$B$729,예비비!$A252,예비비!$E$430:$E$729,"&lt;"&amp;EDATE(BL$99,1),예비비!$F$430:$F$729,"결제대금비")+MAX(0,IF(예비비!$D252&lt;EDATE(BL$99,1),예비비!$E252,0)-SUMIFS(예비비!$O$430:$O$729,예비비!$B$430:$B$729,예비비!$A252,예비비!$E$430:$E$729,"&lt;"&amp;EDATE(BL$99,1))),0)</f>
        <v>0</v>
      </c>
      <c r="BM252">
        <f>IF(예비비!$R252="OK",SUMIFS(예비비!$O$430:$O$729,예비비!$B$430:$B$729,예비비!$A252,예비비!$E$430:$E$729,"&lt;"&amp;EDATE(BM$99,1),예비비!$F$430:$F$729,"결제대금비")+MAX(0,IF(예비비!$D252&lt;EDATE(BM$99,1),예비비!$E252,0)-SUMIFS(예비비!$O$430:$O$729,예비비!$B$430:$B$729,예비비!$A252,예비비!$E$430:$E$729,"&lt;"&amp;EDATE(BM$99,1))),0)</f>
        <v>0</v>
      </c>
      <c r="BN252">
        <f>IF(예비비!$R252="OK",SUMIFS(예비비!$O$430:$O$729,예비비!$B$430:$B$729,예비비!$A252,예비비!$E$430:$E$729,"&lt;"&amp;EDATE(BN$99,1),예비비!$F$430:$F$729,"결제대금비")+MAX(0,IF(예비비!$D252&lt;EDATE(BN$99,1),예비비!$E252,0)-SUMIFS(예비비!$O$430:$O$729,예비비!$B$430:$B$729,예비비!$A252,예비비!$E$430:$E$729,"&lt;"&amp;EDATE(BN$99,1))),0)</f>
        <v>0</v>
      </c>
      <c r="BO252">
        <f>IF(예비비!$R252="OK",SUMIFS(예비비!$O$430:$O$729,예비비!$B$430:$B$729,예비비!$A252,예비비!$E$430:$E$729,"&lt;"&amp;EDATE(BO$99,1),예비비!$F$430:$F$729,"결제대금비")+MAX(0,IF(예비비!$D252&lt;EDATE(BO$99,1),예비비!$E252,0)-SUMIFS(예비비!$O$430:$O$729,예비비!$B$430:$B$729,예비비!$A252,예비비!$E$430:$E$729,"&lt;"&amp;EDATE(BO$99,1))),0)</f>
        <v>0</v>
      </c>
      <c r="BP252">
        <f>IF(예비비!$R252="OK",SUMIFS(예비비!$O$430:$O$729,예비비!$B$430:$B$729,예비비!$A252,예비비!$E$430:$E$729,"&lt;"&amp;EDATE(BP$99,1),예비비!$F$430:$F$729,"결제대금비")+MAX(0,IF(예비비!$D252&lt;EDATE(BP$99,1),예비비!$E252,0)-SUMIFS(예비비!$O$430:$O$729,예비비!$B$430:$B$729,예비비!$A252,예비비!$E$430:$E$729,"&lt;"&amp;EDATE(BP$99,1))),0)</f>
        <v>0</v>
      </c>
      <c r="BQ252">
        <f>IF(예비비!$R252="OK",SUMIFS(예비비!$O$430:$O$729,예비비!$B$430:$B$729,예비비!$A252,예비비!$E$430:$E$729,"&lt;"&amp;EDATE(BQ$99,1),예비비!$F$430:$F$729,"결제대금비")+MAX(0,IF(예비비!$D252&lt;EDATE(BQ$99,1),예비비!$E252,0)-SUMIFS(예비비!$O$430:$O$729,예비비!$B$430:$B$729,예비비!$A252,예비비!$E$430:$E$729,"&lt;"&amp;EDATE(BQ$99,1))),0)</f>
        <v>0</v>
      </c>
      <c r="BR252">
        <f>IF(예비비!$R252="OK",SUMIFS(예비비!$O$430:$O$729,예비비!$B$430:$B$729,예비비!$A252,예비비!$E$430:$E$729,"&lt;"&amp;EDATE(BR$99,1),예비비!$F$430:$F$729,"결제대금비")+MAX(0,IF(예비비!$D252&lt;EDATE(BR$99,1),예비비!$E252,0)-SUMIFS(예비비!$O$430:$O$729,예비비!$B$430:$B$729,예비비!$A252,예비비!$E$430:$E$729,"&lt;"&amp;EDATE(BR$99,1))),0)</f>
        <v>0</v>
      </c>
      <c r="BS252">
        <f>IF(예비비!$R252="OK",SUMIFS(예비비!$O$430:$O$729,예비비!$B$430:$B$729,예비비!$A252,예비비!$E$430:$E$729,"&lt;"&amp;EDATE(BS$99,1),예비비!$F$430:$F$729,"결제대금비")+MAX(0,IF(예비비!$D252&lt;EDATE(BS$99,1),예비비!$E252,0)-SUMIFS(예비비!$O$430:$O$729,예비비!$B$430:$B$729,예비비!$A252,예비비!$E$430:$E$729,"&lt;"&amp;EDATE(BS$99,1))),0)</f>
        <v>0</v>
      </c>
      <c r="BT252">
        <f>IF(예비비!$R252="OK",SUMIFS(예비비!$O$430:$O$729,예비비!$B$430:$B$729,예비비!$A252,예비비!$E$430:$E$729,"&lt;"&amp;EDATE(BT$99,1),예비비!$F$430:$F$729,"결제대금비")+MAX(0,IF(예비비!$D252&lt;EDATE(BT$99,1),예비비!$E252,0)-SUMIFS(예비비!$O$430:$O$729,예비비!$B$430:$B$729,예비비!$A252,예비비!$E$430:$E$729,"&lt;"&amp;EDATE(BT$99,1))),0)</f>
        <v>0</v>
      </c>
      <c r="BU252">
        <f>IF(예비비!$R252="OK",SUMIFS(예비비!$O$430:$O$729,예비비!$B$430:$B$729,예비비!$A252,예비비!$E$430:$E$729,"&lt;"&amp;EDATE(BU$99,1),예비비!$F$430:$F$729,"결제대금비")+MAX(0,IF(예비비!$D252&lt;EDATE(BU$99,1),예비비!$E252,0)-SUMIFS(예비비!$O$430:$O$729,예비비!$B$430:$B$729,예비비!$A252,예비비!$E$430:$E$729,"&lt;"&amp;EDATE(BU$99,1))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  <c r="BI253">
        <f>IF(예비비!$R253="OK",SUMIFS(예비비!$O$430:$O$729,예비비!$B$430:$B$729,예비비!$A253,예비비!$E$430:$E$729,"&lt;"&amp;EDATE(BI$99,1),예비비!$F$430:$F$729,"결제대금비")+MAX(0,IF(예비비!$D253&lt;EDATE(BI$99,1),예비비!$E253,0)-SUMIFS(예비비!$O$430:$O$729,예비비!$B$430:$B$729,예비비!$A253,예비비!$E$430:$E$729,"&lt;"&amp;EDATE(BI$99,1))),0)</f>
        <v>0</v>
      </c>
      <c r="BJ253">
        <f>IF(예비비!$R253="OK",SUMIFS(예비비!$O$430:$O$729,예비비!$B$430:$B$729,예비비!$A253,예비비!$E$430:$E$729,"&lt;"&amp;EDATE(BJ$99,1),예비비!$F$430:$F$729,"결제대금비")+MAX(0,IF(예비비!$D253&lt;EDATE(BJ$99,1),예비비!$E253,0)-SUMIFS(예비비!$O$430:$O$729,예비비!$B$430:$B$729,예비비!$A253,예비비!$E$430:$E$729,"&lt;"&amp;EDATE(BJ$99,1))),0)</f>
        <v>0</v>
      </c>
      <c r="BK253">
        <f>IF(예비비!$R253="OK",SUMIFS(예비비!$O$430:$O$729,예비비!$B$430:$B$729,예비비!$A253,예비비!$E$430:$E$729,"&lt;"&amp;EDATE(BK$99,1),예비비!$F$430:$F$729,"결제대금비")+MAX(0,IF(예비비!$D253&lt;EDATE(BK$99,1),예비비!$E253,0)-SUMIFS(예비비!$O$430:$O$729,예비비!$B$430:$B$729,예비비!$A253,예비비!$E$430:$E$729,"&lt;"&amp;EDATE(BK$99,1))),0)</f>
        <v>0</v>
      </c>
      <c r="BL253">
        <f>IF(예비비!$R253="OK",SUMIFS(예비비!$O$430:$O$729,예비비!$B$430:$B$729,예비비!$A253,예비비!$E$430:$E$729,"&lt;"&amp;EDATE(BL$99,1),예비비!$F$430:$F$729,"결제대금비")+MAX(0,IF(예비비!$D253&lt;EDATE(BL$99,1),예비비!$E253,0)-SUMIFS(예비비!$O$430:$O$729,예비비!$B$430:$B$729,예비비!$A253,예비비!$E$430:$E$729,"&lt;"&amp;EDATE(BL$99,1))),0)</f>
        <v>0</v>
      </c>
      <c r="BM253">
        <f>IF(예비비!$R253="OK",SUMIFS(예비비!$O$430:$O$729,예비비!$B$430:$B$729,예비비!$A253,예비비!$E$430:$E$729,"&lt;"&amp;EDATE(BM$99,1),예비비!$F$430:$F$729,"결제대금비")+MAX(0,IF(예비비!$D253&lt;EDATE(BM$99,1),예비비!$E253,0)-SUMIFS(예비비!$O$430:$O$729,예비비!$B$430:$B$729,예비비!$A253,예비비!$E$430:$E$729,"&lt;"&amp;EDATE(BM$99,1))),0)</f>
        <v>0</v>
      </c>
      <c r="BN253">
        <f>IF(예비비!$R253="OK",SUMIFS(예비비!$O$430:$O$729,예비비!$B$430:$B$729,예비비!$A253,예비비!$E$430:$E$729,"&lt;"&amp;EDATE(BN$99,1),예비비!$F$430:$F$729,"결제대금비")+MAX(0,IF(예비비!$D253&lt;EDATE(BN$99,1),예비비!$E253,0)-SUMIFS(예비비!$O$430:$O$729,예비비!$B$430:$B$729,예비비!$A253,예비비!$E$430:$E$729,"&lt;"&amp;EDATE(BN$99,1))),0)</f>
        <v>0</v>
      </c>
      <c r="BO253">
        <f>IF(예비비!$R253="OK",SUMIFS(예비비!$O$430:$O$729,예비비!$B$430:$B$729,예비비!$A253,예비비!$E$430:$E$729,"&lt;"&amp;EDATE(BO$99,1),예비비!$F$430:$F$729,"결제대금비")+MAX(0,IF(예비비!$D253&lt;EDATE(BO$99,1),예비비!$E253,0)-SUMIFS(예비비!$O$430:$O$729,예비비!$B$430:$B$729,예비비!$A253,예비비!$E$430:$E$729,"&lt;"&amp;EDATE(BO$99,1))),0)</f>
        <v>0</v>
      </c>
      <c r="BP253">
        <f>IF(예비비!$R253="OK",SUMIFS(예비비!$O$430:$O$729,예비비!$B$430:$B$729,예비비!$A253,예비비!$E$430:$E$729,"&lt;"&amp;EDATE(BP$99,1),예비비!$F$430:$F$729,"결제대금비")+MAX(0,IF(예비비!$D253&lt;EDATE(BP$99,1),예비비!$E253,0)-SUMIFS(예비비!$O$430:$O$729,예비비!$B$430:$B$729,예비비!$A253,예비비!$E$430:$E$729,"&lt;"&amp;EDATE(BP$99,1))),0)</f>
        <v>0</v>
      </c>
      <c r="BQ253">
        <f>IF(예비비!$R253="OK",SUMIFS(예비비!$O$430:$O$729,예비비!$B$430:$B$729,예비비!$A253,예비비!$E$430:$E$729,"&lt;"&amp;EDATE(BQ$99,1),예비비!$F$430:$F$729,"결제대금비")+MAX(0,IF(예비비!$D253&lt;EDATE(BQ$99,1),예비비!$E253,0)-SUMIFS(예비비!$O$430:$O$729,예비비!$B$430:$B$729,예비비!$A253,예비비!$E$430:$E$729,"&lt;"&amp;EDATE(BQ$99,1))),0)</f>
        <v>0</v>
      </c>
      <c r="BR253">
        <f>IF(예비비!$R253="OK",SUMIFS(예비비!$O$430:$O$729,예비비!$B$430:$B$729,예비비!$A253,예비비!$E$430:$E$729,"&lt;"&amp;EDATE(BR$99,1),예비비!$F$430:$F$729,"결제대금비")+MAX(0,IF(예비비!$D253&lt;EDATE(BR$99,1),예비비!$E253,0)-SUMIFS(예비비!$O$430:$O$729,예비비!$B$430:$B$729,예비비!$A253,예비비!$E$430:$E$729,"&lt;"&amp;EDATE(BR$99,1))),0)</f>
        <v>0</v>
      </c>
      <c r="BS253">
        <f>IF(예비비!$R253="OK",SUMIFS(예비비!$O$430:$O$729,예비비!$B$430:$B$729,예비비!$A253,예비비!$E$430:$E$729,"&lt;"&amp;EDATE(BS$99,1),예비비!$F$430:$F$729,"결제대금비")+MAX(0,IF(예비비!$D253&lt;EDATE(BS$99,1),예비비!$E253,0)-SUMIFS(예비비!$O$430:$O$729,예비비!$B$430:$B$729,예비비!$A253,예비비!$E$430:$E$729,"&lt;"&amp;EDATE(BS$99,1))),0)</f>
        <v>0</v>
      </c>
      <c r="BT253">
        <f>IF(예비비!$R253="OK",SUMIFS(예비비!$O$430:$O$729,예비비!$B$430:$B$729,예비비!$A253,예비비!$E$430:$E$729,"&lt;"&amp;EDATE(BT$99,1),예비비!$F$430:$F$729,"결제대금비")+MAX(0,IF(예비비!$D253&lt;EDATE(BT$99,1),예비비!$E253,0)-SUMIFS(예비비!$O$430:$O$729,예비비!$B$430:$B$729,예비비!$A253,예비비!$E$430:$E$729,"&lt;"&amp;EDATE(BT$99,1))),0)</f>
        <v>0</v>
      </c>
      <c r="BU253">
        <f>IF(예비비!$R253="OK",SUMIFS(예비비!$O$430:$O$729,예비비!$B$430:$B$729,예비비!$A253,예비비!$E$430:$E$729,"&lt;"&amp;EDATE(BU$99,1),예비비!$F$430:$F$729,"결제대금비")+MAX(0,IF(예비비!$D253&lt;EDATE(BU$99,1),예비비!$E253,0)-SUMIFS(예비비!$O$430:$O$729,예비비!$B$430:$B$729,예비비!$A253,예비비!$E$430:$E$729,"&lt;"&amp;EDATE(BU$99,1))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  <c r="BI254">
        <f>IF(예비비!$R254="OK",SUMIFS(예비비!$O$430:$O$729,예비비!$B$430:$B$729,예비비!$A254,예비비!$E$430:$E$729,"&lt;"&amp;EDATE(BI$99,1),예비비!$F$430:$F$729,"결제대금비")+MAX(0,IF(예비비!$D254&lt;EDATE(BI$99,1),예비비!$E254,0)-SUMIFS(예비비!$O$430:$O$729,예비비!$B$430:$B$729,예비비!$A254,예비비!$E$430:$E$729,"&lt;"&amp;EDATE(BI$99,1))),0)</f>
        <v>0</v>
      </c>
      <c r="BJ254">
        <f>IF(예비비!$R254="OK",SUMIFS(예비비!$O$430:$O$729,예비비!$B$430:$B$729,예비비!$A254,예비비!$E$430:$E$729,"&lt;"&amp;EDATE(BJ$99,1),예비비!$F$430:$F$729,"결제대금비")+MAX(0,IF(예비비!$D254&lt;EDATE(BJ$99,1),예비비!$E254,0)-SUMIFS(예비비!$O$430:$O$729,예비비!$B$430:$B$729,예비비!$A254,예비비!$E$430:$E$729,"&lt;"&amp;EDATE(BJ$99,1))),0)</f>
        <v>0</v>
      </c>
      <c r="BK254">
        <f>IF(예비비!$R254="OK",SUMIFS(예비비!$O$430:$O$729,예비비!$B$430:$B$729,예비비!$A254,예비비!$E$430:$E$729,"&lt;"&amp;EDATE(BK$99,1),예비비!$F$430:$F$729,"결제대금비")+MAX(0,IF(예비비!$D254&lt;EDATE(BK$99,1),예비비!$E254,0)-SUMIFS(예비비!$O$430:$O$729,예비비!$B$430:$B$729,예비비!$A254,예비비!$E$430:$E$729,"&lt;"&amp;EDATE(BK$99,1))),0)</f>
        <v>0</v>
      </c>
      <c r="BL254">
        <f>IF(예비비!$R254="OK",SUMIFS(예비비!$O$430:$O$729,예비비!$B$430:$B$729,예비비!$A254,예비비!$E$430:$E$729,"&lt;"&amp;EDATE(BL$99,1),예비비!$F$430:$F$729,"결제대금비")+MAX(0,IF(예비비!$D254&lt;EDATE(BL$99,1),예비비!$E254,0)-SUMIFS(예비비!$O$430:$O$729,예비비!$B$430:$B$729,예비비!$A254,예비비!$E$430:$E$729,"&lt;"&amp;EDATE(BL$99,1))),0)</f>
        <v>0</v>
      </c>
      <c r="BM254">
        <f>IF(예비비!$R254="OK",SUMIFS(예비비!$O$430:$O$729,예비비!$B$430:$B$729,예비비!$A254,예비비!$E$430:$E$729,"&lt;"&amp;EDATE(BM$99,1),예비비!$F$430:$F$729,"결제대금비")+MAX(0,IF(예비비!$D254&lt;EDATE(BM$99,1),예비비!$E254,0)-SUMIFS(예비비!$O$430:$O$729,예비비!$B$430:$B$729,예비비!$A254,예비비!$E$430:$E$729,"&lt;"&amp;EDATE(BM$99,1))),0)</f>
        <v>0</v>
      </c>
      <c r="BN254">
        <f>IF(예비비!$R254="OK",SUMIFS(예비비!$O$430:$O$729,예비비!$B$430:$B$729,예비비!$A254,예비비!$E$430:$E$729,"&lt;"&amp;EDATE(BN$99,1),예비비!$F$430:$F$729,"결제대금비")+MAX(0,IF(예비비!$D254&lt;EDATE(BN$99,1),예비비!$E254,0)-SUMIFS(예비비!$O$430:$O$729,예비비!$B$430:$B$729,예비비!$A254,예비비!$E$430:$E$729,"&lt;"&amp;EDATE(BN$99,1))),0)</f>
        <v>0</v>
      </c>
      <c r="BO254">
        <f>IF(예비비!$R254="OK",SUMIFS(예비비!$O$430:$O$729,예비비!$B$430:$B$729,예비비!$A254,예비비!$E$430:$E$729,"&lt;"&amp;EDATE(BO$99,1),예비비!$F$430:$F$729,"결제대금비")+MAX(0,IF(예비비!$D254&lt;EDATE(BO$99,1),예비비!$E254,0)-SUMIFS(예비비!$O$430:$O$729,예비비!$B$430:$B$729,예비비!$A254,예비비!$E$430:$E$729,"&lt;"&amp;EDATE(BO$99,1))),0)</f>
        <v>0</v>
      </c>
      <c r="BP254">
        <f>IF(예비비!$R254="OK",SUMIFS(예비비!$O$430:$O$729,예비비!$B$430:$B$729,예비비!$A254,예비비!$E$430:$E$729,"&lt;"&amp;EDATE(BP$99,1),예비비!$F$430:$F$729,"결제대금비")+MAX(0,IF(예비비!$D254&lt;EDATE(BP$99,1),예비비!$E254,0)-SUMIFS(예비비!$O$430:$O$729,예비비!$B$430:$B$729,예비비!$A254,예비비!$E$430:$E$729,"&lt;"&amp;EDATE(BP$99,1))),0)</f>
        <v>0</v>
      </c>
      <c r="BQ254">
        <f>IF(예비비!$R254="OK",SUMIFS(예비비!$O$430:$O$729,예비비!$B$430:$B$729,예비비!$A254,예비비!$E$430:$E$729,"&lt;"&amp;EDATE(BQ$99,1),예비비!$F$430:$F$729,"결제대금비")+MAX(0,IF(예비비!$D254&lt;EDATE(BQ$99,1),예비비!$E254,0)-SUMIFS(예비비!$O$430:$O$729,예비비!$B$430:$B$729,예비비!$A254,예비비!$E$430:$E$729,"&lt;"&amp;EDATE(BQ$99,1))),0)</f>
        <v>0</v>
      </c>
      <c r="BR254">
        <f>IF(예비비!$R254="OK",SUMIFS(예비비!$O$430:$O$729,예비비!$B$430:$B$729,예비비!$A254,예비비!$E$430:$E$729,"&lt;"&amp;EDATE(BR$99,1),예비비!$F$430:$F$729,"결제대금비")+MAX(0,IF(예비비!$D254&lt;EDATE(BR$99,1),예비비!$E254,0)-SUMIFS(예비비!$O$430:$O$729,예비비!$B$430:$B$729,예비비!$A254,예비비!$E$430:$E$729,"&lt;"&amp;EDATE(BR$99,1))),0)</f>
        <v>0</v>
      </c>
      <c r="BS254">
        <f>IF(예비비!$R254="OK",SUMIFS(예비비!$O$430:$O$729,예비비!$B$430:$B$729,예비비!$A254,예비비!$E$430:$E$729,"&lt;"&amp;EDATE(BS$99,1),예비비!$F$430:$F$729,"결제대금비")+MAX(0,IF(예비비!$D254&lt;EDATE(BS$99,1),예비비!$E254,0)-SUMIFS(예비비!$O$430:$O$729,예비비!$B$430:$B$729,예비비!$A254,예비비!$E$430:$E$729,"&lt;"&amp;EDATE(BS$99,1))),0)</f>
        <v>0</v>
      </c>
      <c r="BT254">
        <f>IF(예비비!$R254="OK",SUMIFS(예비비!$O$430:$O$729,예비비!$B$430:$B$729,예비비!$A254,예비비!$E$430:$E$729,"&lt;"&amp;EDATE(BT$99,1),예비비!$F$430:$F$729,"결제대금비")+MAX(0,IF(예비비!$D254&lt;EDATE(BT$99,1),예비비!$E254,0)-SUMIFS(예비비!$O$430:$O$729,예비비!$B$430:$B$729,예비비!$A254,예비비!$E$430:$E$729,"&lt;"&amp;EDATE(BT$99,1))),0)</f>
        <v>0</v>
      </c>
      <c r="BU254">
        <f>IF(예비비!$R254="OK",SUMIFS(예비비!$O$430:$O$729,예비비!$B$430:$B$729,예비비!$A254,예비비!$E$430:$E$729,"&lt;"&amp;EDATE(BU$99,1),예비비!$F$430:$F$729,"결제대금비")+MAX(0,IF(예비비!$D254&lt;EDATE(BU$99,1),예비비!$E254,0)-SUMIFS(예비비!$O$430:$O$729,예비비!$B$430:$B$729,예비비!$A254,예비비!$E$430:$E$729,"&lt;"&amp;EDATE(BU$99,1))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  <c r="BI255">
        <f>IF(예비비!$R255="OK",SUMIFS(예비비!$O$430:$O$729,예비비!$B$430:$B$729,예비비!$A255,예비비!$E$430:$E$729,"&lt;"&amp;EDATE(BI$99,1),예비비!$F$430:$F$729,"결제대금비")+MAX(0,IF(예비비!$D255&lt;EDATE(BI$99,1),예비비!$E255,0)-SUMIFS(예비비!$O$430:$O$729,예비비!$B$430:$B$729,예비비!$A255,예비비!$E$430:$E$729,"&lt;"&amp;EDATE(BI$99,1))),0)</f>
        <v>0</v>
      </c>
      <c r="BJ255">
        <f>IF(예비비!$R255="OK",SUMIFS(예비비!$O$430:$O$729,예비비!$B$430:$B$729,예비비!$A255,예비비!$E$430:$E$729,"&lt;"&amp;EDATE(BJ$99,1),예비비!$F$430:$F$729,"결제대금비")+MAX(0,IF(예비비!$D255&lt;EDATE(BJ$99,1),예비비!$E255,0)-SUMIFS(예비비!$O$430:$O$729,예비비!$B$430:$B$729,예비비!$A255,예비비!$E$430:$E$729,"&lt;"&amp;EDATE(BJ$99,1))),0)</f>
        <v>0</v>
      </c>
      <c r="BK255">
        <f>IF(예비비!$R255="OK",SUMIFS(예비비!$O$430:$O$729,예비비!$B$430:$B$729,예비비!$A255,예비비!$E$430:$E$729,"&lt;"&amp;EDATE(BK$99,1),예비비!$F$430:$F$729,"결제대금비")+MAX(0,IF(예비비!$D255&lt;EDATE(BK$99,1),예비비!$E255,0)-SUMIFS(예비비!$O$430:$O$729,예비비!$B$430:$B$729,예비비!$A255,예비비!$E$430:$E$729,"&lt;"&amp;EDATE(BK$99,1))),0)</f>
        <v>0</v>
      </c>
      <c r="BL255">
        <f>IF(예비비!$R255="OK",SUMIFS(예비비!$O$430:$O$729,예비비!$B$430:$B$729,예비비!$A255,예비비!$E$430:$E$729,"&lt;"&amp;EDATE(BL$99,1),예비비!$F$430:$F$729,"결제대금비")+MAX(0,IF(예비비!$D255&lt;EDATE(BL$99,1),예비비!$E255,0)-SUMIFS(예비비!$O$430:$O$729,예비비!$B$430:$B$729,예비비!$A255,예비비!$E$430:$E$729,"&lt;"&amp;EDATE(BL$99,1))),0)</f>
        <v>0</v>
      </c>
      <c r="BM255">
        <f>IF(예비비!$R255="OK",SUMIFS(예비비!$O$430:$O$729,예비비!$B$430:$B$729,예비비!$A255,예비비!$E$430:$E$729,"&lt;"&amp;EDATE(BM$99,1),예비비!$F$430:$F$729,"결제대금비")+MAX(0,IF(예비비!$D255&lt;EDATE(BM$99,1),예비비!$E255,0)-SUMIFS(예비비!$O$430:$O$729,예비비!$B$430:$B$729,예비비!$A255,예비비!$E$430:$E$729,"&lt;"&amp;EDATE(BM$99,1))),0)</f>
        <v>0</v>
      </c>
      <c r="BN255">
        <f>IF(예비비!$R255="OK",SUMIFS(예비비!$O$430:$O$729,예비비!$B$430:$B$729,예비비!$A255,예비비!$E$430:$E$729,"&lt;"&amp;EDATE(BN$99,1),예비비!$F$430:$F$729,"결제대금비")+MAX(0,IF(예비비!$D255&lt;EDATE(BN$99,1),예비비!$E255,0)-SUMIFS(예비비!$O$430:$O$729,예비비!$B$430:$B$729,예비비!$A255,예비비!$E$430:$E$729,"&lt;"&amp;EDATE(BN$99,1))),0)</f>
        <v>0</v>
      </c>
      <c r="BO255">
        <f>IF(예비비!$R255="OK",SUMIFS(예비비!$O$430:$O$729,예비비!$B$430:$B$729,예비비!$A255,예비비!$E$430:$E$729,"&lt;"&amp;EDATE(BO$99,1),예비비!$F$430:$F$729,"결제대금비")+MAX(0,IF(예비비!$D255&lt;EDATE(BO$99,1),예비비!$E255,0)-SUMIFS(예비비!$O$430:$O$729,예비비!$B$430:$B$729,예비비!$A255,예비비!$E$430:$E$729,"&lt;"&amp;EDATE(BO$99,1))),0)</f>
        <v>0</v>
      </c>
      <c r="BP255">
        <f>IF(예비비!$R255="OK",SUMIFS(예비비!$O$430:$O$729,예비비!$B$430:$B$729,예비비!$A255,예비비!$E$430:$E$729,"&lt;"&amp;EDATE(BP$99,1),예비비!$F$430:$F$729,"결제대금비")+MAX(0,IF(예비비!$D255&lt;EDATE(BP$99,1),예비비!$E255,0)-SUMIFS(예비비!$O$430:$O$729,예비비!$B$430:$B$729,예비비!$A255,예비비!$E$430:$E$729,"&lt;"&amp;EDATE(BP$99,1))),0)</f>
        <v>0</v>
      </c>
      <c r="BQ255">
        <f>IF(예비비!$R255="OK",SUMIFS(예비비!$O$430:$O$729,예비비!$B$430:$B$729,예비비!$A255,예비비!$E$430:$E$729,"&lt;"&amp;EDATE(BQ$99,1),예비비!$F$430:$F$729,"결제대금비")+MAX(0,IF(예비비!$D255&lt;EDATE(BQ$99,1),예비비!$E255,0)-SUMIFS(예비비!$O$430:$O$729,예비비!$B$430:$B$729,예비비!$A255,예비비!$E$430:$E$729,"&lt;"&amp;EDATE(BQ$99,1))),0)</f>
        <v>0</v>
      </c>
      <c r="BR255">
        <f>IF(예비비!$R255="OK",SUMIFS(예비비!$O$430:$O$729,예비비!$B$430:$B$729,예비비!$A255,예비비!$E$430:$E$729,"&lt;"&amp;EDATE(BR$99,1),예비비!$F$430:$F$729,"결제대금비")+MAX(0,IF(예비비!$D255&lt;EDATE(BR$99,1),예비비!$E255,0)-SUMIFS(예비비!$O$430:$O$729,예비비!$B$430:$B$729,예비비!$A255,예비비!$E$430:$E$729,"&lt;"&amp;EDATE(BR$99,1))),0)</f>
        <v>0</v>
      </c>
      <c r="BS255">
        <f>IF(예비비!$R255="OK",SUMIFS(예비비!$O$430:$O$729,예비비!$B$430:$B$729,예비비!$A255,예비비!$E$430:$E$729,"&lt;"&amp;EDATE(BS$99,1),예비비!$F$430:$F$729,"결제대금비")+MAX(0,IF(예비비!$D255&lt;EDATE(BS$99,1),예비비!$E255,0)-SUMIFS(예비비!$O$430:$O$729,예비비!$B$430:$B$729,예비비!$A255,예비비!$E$430:$E$729,"&lt;"&amp;EDATE(BS$99,1))),0)</f>
        <v>0</v>
      </c>
      <c r="BT255">
        <f>IF(예비비!$R255="OK",SUMIFS(예비비!$O$430:$O$729,예비비!$B$430:$B$729,예비비!$A255,예비비!$E$430:$E$729,"&lt;"&amp;EDATE(BT$99,1),예비비!$F$430:$F$729,"결제대금비")+MAX(0,IF(예비비!$D255&lt;EDATE(BT$99,1),예비비!$E255,0)-SUMIFS(예비비!$O$430:$O$729,예비비!$B$430:$B$729,예비비!$A255,예비비!$E$430:$E$729,"&lt;"&amp;EDATE(BT$99,1))),0)</f>
        <v>0</v>
      </c>
      <c r="BU255">
        <f>IF(예비비!$R255="OK",SUMIFS(예비비!$O$430:$O$729,예비비!$B$430:$B$729,예비비!$A255,예비비!$E$430:$E$729,"&lt;"&amp;EDATE(BU$99,1),예비비!$F$430:$F$729,"결제대금비")+MAX(0,IF(예비비!$D255&lt;EDATE(BU$99,1),예비비!$E255,0)-SUMIFS(예비비!$O$430:$O$729,예비비!$B$430:$B$729,예비비!$A255,예비비!$E$430:$E$729,"&lt;"&amp;EDATE(BU$99,1))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  <c r="BI256">
        <f>IF(예비비!$R256="OK",SUMIFS(예비비!$O$430:$O$729,예비비!$B$430:$B$729,예비비!$A256,예비비!$E$430:$E$729,"&lt;"&amp;EDATE(BI$99,1),예비비!$F$430:$F$729,"결제대금비")+MAX(0,IF(예비비!$D256&lt;EDATE(BI$99,1),예비비!$E256,0)-SUMIFS(예비비!$O$430:$O$729,예비비!$B$430:$B$729,예비비!$A256,예비비!$E$430:$E$729,"&lt;"&amp;EDATE(BI$99,1))),0)</f>
        <v>0</v>
      </c>
      <c r="BJ256">
        <f>IF(예비비!$R256="OK",SUMIFS(예비비!$O$430:$O$729,예비비!$B$430:$B$729,예비비!$A256,예비비!$E$430:$E$729,"&lt;"&amp;EDATE(BJ$99,1),예비비!$F$430:$F$729,"결제대금비")+MAX(0,IF(예비비!$D256&lt;EDATE(BJ$99,1),예비비!$E256,0)-SUMIFS(예비비!$O$430:$O$729,예비비!$B$430:$B$729,예비비!$A256,예비비!$E$430:$E$729,"&lt;"&amp;EDATE(BJ$99,1))),0)</f>
        <v>0</v>
      </c>
      <c r="BK256">
        <f>IF(예비비!$R256="OK",SUMIFS(예비비!$O$430:$O$729,예비비!$B$430:$B$729,예비비!$A256,예비비!$E$430:$E$729,"&lt;"&amp;EDATE(BK$99,1),예비비!$F$430:$F$729,"결제대금비")+MAX(0,IF(예비비!$D256&lt;EDATE(BK$99,1),예비비!$E256,0)-SUMIFS(예비비!$O$430:$O$729,예비비!$B$430:$B$729,예비비!$A256,예비비!$E$430:$E$729,"&lt;"&amp;EDATE(BK$99,1))),0)</f>
        <v>0</v>
      </c>
      <c r="BL256">
        <f>IF(예비비!$R256="OK",SUMIFS(예비비!$O$430:$O$729,예비비!$B$430:$B$729,예비비!$A256,예비비!$E$430:$E$729,"&lt;"&amp;EDATE(BL$99,1),예비비!$F$430:$F$729,"결제대금비")+MAX(0,IF(예비비!$D256&lt;EDATE(BL$99,1),예비비!$E256,0)-SUMIFS(예비비!$O$430:$O$729,예비비!$B$430:$B$729,예비비!$A256,예비비!$E$430:$E$729,"&lt;"&amp;EDATE(BL$99,1))),0)</f>
        <v>0</v>
      </c>
      <c r="BM256">
        <f>IF(예비비!$R256="OK",SUMIFS(예비비!$O$430:$O$729,예비비!$B$430:$B$729,예비비!$A256,예비비!$E$430:$E$729,"&lt;"&amp;EDATE(BM$99,1),예비비!$F$430:$F$729,"결제대금비")+MAX(0,IF(예비비!$D256&lt;EDATE(BM$99,1),예비비!$E256,0)-SUMIFS(예비비!$O$430:$O$729,예비비!$B$430:$B$729,예비비!$A256,예비비!$E$430:$E$729,"&lt;"&amp;EDATE(BM$99,1))),0)</f>
        <v>0</v>
      </c>
      <c r="BN256">
        <f>IF(예비비!$R256="OK",SUMIFS(예비비!$O$430:$O$729,예비비!$B$430:$B$729,예비비!$A256,예비비!$E$430:$E$729,"&lt;"&amp;EDATE(BN$99,1),예비비!$F$430:$F$729,"결제대금비")+MAX(0,IF(예비비!$D256&lt;EDATE(BN$99,1),예비비!$E256,0)-SUMIFS(예비비!$O$430:$O$729,예비비!$B$430:$B$729,예비비!$A256,예비비!$E$430:$E$729,"&lt;"&amp;EDATE(BN$99,1))),0)</f>
        <v>0</v>
      </c>
      <c r="BO256">
        <f>IF(예비비!$R256="OK",SUMIFS(예비비!$O$430:$O$729,예비비!$B$430:$B$729,예비비!$A256,예비비!$E$430:$E$729,"&lt;"&amp;EDATE(BO$99,1),예비비!$F$430:$F$729,"결제대금비")+MAX(0,IF(예비비!$D256&lt;EDATE(BO$99,1),예비비!$E256,0)-SUMIFS(예비비!$O$430:$O$729,예비비!$B$430:$B$729,예비비!$A256,예비비!$E$430:$E$729,"&lt;"&amp;EDATE(BO$99,1))),0)</f>
        <v>0</v>
      </c>
      <c r="BP256">
        <f>IF(예비비!$R256="OK",SUMIFS(예비비!$O$430:$O$729,예비비!$B$430:$B$729,예비비!$A256,예비비!$E$430:$E$729,"&lt;"&amp;EDATE(BP$99,1),예비비!$F$430:$F$729,"결제대금비")+MAX(0,IF(예비비!$D256&lt;EDATE(BP$99,1),예비비!$E256,0)-SUMIFS(예비비!$O$430:$O$729,예비비!$B$430:$B$729,예비비!$A256,예비비!$E$430:$E$729,"&lt;"&amp;EDATE(BP$99,1))),0)</f>
        <v>0</v>
      </c>
      <c r="BQ256">
        <f>IF(예비비!$R256="OK",SUMIFS(예비비!$O$430:$O$729,예비비!$B$430:$B$729,예비비!$A256,예비비!$E$430:$E$729,"&lt;"&amp;EDATE(BQ$99,1),예비비!$F$430:$F$729,"결제대금비")+MAX(0,IF(예비비!$D256&lt;EDATE(BQ$99,1),예비비!$E256,0)-SUMIFS(예비비!$O$430:$O$729,예비비!$B$430:$B$729,예비비!$A256,예비비!$E$430:$E$729,"&lt;"&amp;EDATE(BQ$99,1))),0)</f>
        <v>0</v>
      </c>
      <c r="BR256">
        <f>IF(예비비!$R256="OK",SUMIFS(예비비!$O$430:$O$729,예비비!$B$430:$B$729,예비비!$A256,예비비!$E$430:$E$729,"&lt;"&amp;EDATE(BR$99,1),예비비!$F$430:$F$729,"결제대금비")+MAX(0,IF(예비비!$D256&lt;EDATE(BR$99,1),예비비!$E256,0)-SUMIFS(예비비!$O$430:$O$729,예비비!$B$430:$B$729,예비비!$A256,예비비!$E$430:$E$729,"&lt;"&amp;EDATE(BR$99,1))),0)</f>
        <v>0</v>
      </c>
      <c r="BS256">
        <f>IF(예비비!$R256="OK",SUMIFS(예비비!$O$430:$O$729,예비비!$B$430:$B$729,예비비!$A256,예비비!$E$430:$E$729,"&lt;"&amp;EDATE(BS$99,1),예비비!$F$430:$F$729,"결제대금비")+MAX(0,IF(예비비!$D256&lt;EDATE(BS$99,1),예비비!$E256,0)-SUMIFS(예비비!$O$430:$O$729,예비비!$B$430:$B$729,예비비!$A256,예비비!$E$430:$E$729,"&lt;"&amp;EDATE(BS$99,1))),0)</f>
        <v>0</v>
      </c>
      <c r="BT256">
        <f>IF(예비비!$R256="OK",SUMIFS(예비비!$O$430:$O$729,예비비!$B$430:$B$729,예비비!$A256,예비비!$E$430:$E$729,"&lt;"&amp;EDATE(BT$99,1),예비비!$F$430:$F$729,"결제대금비")+MAX(0,IF(예비비!$D256&lt;EDATE(BT$99,1),예비비!$E256,0)-SUMIFS(예비비!$O$430:$O$729,예비비!$B$430:$B$729,예비비!$A256,예비비!$E$430:$E$729,"&lt;"&amp;EDATE(BT$99,1))),0)</f>
        <v>0</v>
      </c>
      <c r="BU256">
        <f>IF(예비비!$R256="OK",SUMIFS(예비비!$O$430:$O$729,예비비!$B$430:$B$729,예비비!$A256,예비비!$E$430:$E$729,"&lt;"&amp;EDATE(BU$99,1),예비비!$F$430:$F$729,"결제대금비")+MAX(0,IF(예비비!$D256&lt;EDATE(BU$99,1),예비비!$E256,0)-SUMIFS(예비비!$O$430:$O$729,예비비!$B$430:$B$729,예비비!$A256,예비비!$E$430:$E$729,"&lt;"&amp;EDATE(BU$99,1))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  <c r="BI257">
        <f>IF(예비비!$R257="OK",SUMIFS(예비비!$O$430:$O$729,예비비!$B$430:$B$729,예비비!$A257,예비비!$E$430:$E$729,"&lt;"&amp;EDATE(BI$99,1),예비비!$F$430:$F$729,"결제대금비")+MAX(0,IF(예비비!$D257&lt;EDATE(BI$99,1),예비비!$E257,0)-SUMIFS(예비비!$O$430:$O$729,예비비!$B$430:$B$729,예비비!$A257,예비비!$E$430:$E$729,"&lt;"&amp;EDATE(BI$99,1))),0)</f>
        <v>0</v>
      </c>
      <c r="BJ257">
        <f>IF(예비비!$R257="OK",SUMIFS(예비비!$O$430:$O$729,예비비!$B$430:$B$729,예비비!$A257,예비비!$E$430:$E$729,"&lt;"&amp;EDATE(BJ$99,1),예비비!$F$430:$F$729,"결제대금비")+MAX(0,IF(예비비!$D257&lt;EDATE(BJ$99,1),예비비!$E257,0)-SUMIFS(예비비!$O$430:$O$729,예비비!$B$430:$B$729,예비비!$A257,예비비!$E$430:$E$729,"&lt;"&amp;EDATE(BJ$99,1))),0)</f>
        <v>0</v>
      </c>
      <c r="BK257">
        <f>IF(예비비!$R257="OK",SUMIFS(예비비!$O$430:$O$729,예비비!$B$430:$B$729,예비비!$A257,예비비!$E$430:$E$729,"&lt;"&amp;EDATE(BK$99,1),예비비!$F$430:$F$729,"결제대금비")+MAX(0,IF(예비비!$D257&lt;EDATE(BK$99,1),예비비!$E257,0)-SUMIFS(예비비!$O$430:$O$729,예비비!$B$430:$B$729,예비비!$A257,예비비!$E$430:$E$729,"&lt;"&amp;EDATE(BK$99,1))),0)</f>
        <v>0</v>
      </c>
      <c r="BL257">
        <f>IF(예비비!$R257="OK",SUMIFS(예비비!$O$430:$O$729,예비비!$B$430:$B$729,예비비!$A257,예비비!$E$430:$E$729,"&lt;"&amp;EDATE(BL$99,1),예비비!$F$430:$F$729,"결제대금비")+MAX(0,IF(예비비!$D257&lt;EDATE(BL$99,1),예비비!$E257,0)-SUMIFS(예비비!$O$430:$O$729,예비비!$B$430:$B$729,예비비!$A257,예비비!$E$430:$E$729,"&lt;"&amp;EDATE(BL$99,1))),0)</f>
        <v>0</v>
      </c>
      <c r="BM257">
        <f>IF(예비비!$R257="OK",SUMIFS(예비비!$O$430:$O$729,예비비!$B$430:$B$729,예비비!$A257,예비비!$E$430:$E$729,"&lt;"&amp;EDATE(BM$99,1),예비비!$F$430:$F$729,"결제대금비")+MAX(0,IF(예비비!$D257&lt;EDATE(BM$99,1),예비비!$E257,0)-SUMIFS(예비비!$O$430:$O$729,예비비!$B$430:$B$729,예비비!$A257,예비비!$E$430:$E$729,"&lt;"&amp;EDATE(BM$99,1))),0)</f>
        <v>0</v>
      </c>
      <c r="BN257">
        <f>IF(예비비!$R257="OK",SUMIFS(예비비!$O$430:$O$729,예비비!$B$430:$B$729,예비비!$A257,예비비!$E$430:$E$729,"&lt;"&amp;EDATE(BN$99,1),예비비!$F$430:$F$729,"결제대금비")+MAX(0,IF(예비비!$D257&lt;EDATE(BN$99,1),예비비!$E257,0)-SUMIFS(예비비!$O$430:$O$729,예비비!$B$430:$B$729,예비비!$A257,예비비!$E$430:$E$729,"&lt;"&amp;EDATE(BN$99,1))),0)</f>
        <v>0</v>
      </c>
      <c r="BO257">
        <f>IF(예비비!$R257="OK",SUMIFS(예비비!$O$430:$O$729,예비비!$B$430:$B$729,예비비!$A257,예비비!$E$430:$E$729,"&lt;"&amp;EDATE(BO$99,1),예비비!$F$430:$F$729,"결제대금비")+MAX(0,IF(예비비!$D257&lt;EDATE(BO$99,1),예비비!$E257,0)-SUMIFS(예비비!$O$430:$O$729,예비비!$B$430:$B$729,예비비!$A257,예비비!$E$430:$E$729,"&lt;"&amp;EDATE(BO$99,1))),0)</f>
        <v>0</v>
      </c>
      <c r="BP257">
        <f>IF(예비비!$R257="OK",SUMIFS(예비비!$O$430:$O$729,예비비!$B$430:$B$729,예비비!$A257,예비비!$E$430:$E$729,"&lt;"&amp;EDATE(BP$99,1),예비비!$F$430:$F$729,"결제대금비")+MAX(0,IF(예비비!$D257&lt;EDATE(BP$99,1),예비비!$E257,0)-SUMIFS(예비비!$O$430:$O$729,예비비!$B$430:$B$729,예비비!$A257,예비비!$E$430:$E$729,"&lt;"&amp;EDATE(BP$99,1))),0)</f>
        <v>0</v>
      </c>
      <c r="BQ257">
        <f>IF(예비비!$R257="OK",SUMIFS(예비비!$O$430:$O$729,예비비!$B$430:$B$729,예비비!$A257,예비비!$E$430:$E$729,"&lt;"&amp;EDATE(BQ$99,1),예비비!$F$430:$F$729,"결제대금비")+MAX(0,IF(예비비!$D257&lt;EDATE(BQ$99,1),예비비!$E257,0)-SUMIFS(예비비!$O$430:$O$729,예비비!$B$430:$B$729,예비비!$A257,예비비!$E$430:$E$729,"&lt;"&amp;EDATE(BQ$99,1))),0)</f>
        <v>0</v>
      </c>
      <c r="BR257">
        <f>IF(예비비!$R257="OK",SUMIFS(예비비!$O$430:$O$729,예비비!$B$430:$B$729,예비비!$A257,예비비!$E$430:$E$729,"&lt;"&amp;EDATE(BR$99,1),예비비!$F$430:$F$729,"결제대금비")+MAX(0,IF(예비비!$D257&lt;EDATE(BR$99,1),예비비!$E257,0)-SUMIFS(예비비!$O$430:$O$729,예비비!$B$430:$B$729,예비비!$A257,예비비!$E$430:$E$729,"&lt;"&amp;EDATE(BR$99,1))),0)</f>
        <v>0</v>
      </c>
      <c r="BS257">
        <f>IF(예비비!$R257="OK",SUMIFS(예비비!$O$430:$O$729,예비비!$B$430:$B$729,예비비!$A257,예비비!$E$430:$E$729,"&lt;"&amp;EDATE(BS$99,1),예비비!$F$430:$F$729,"결제대금비")+MAX(0,IF(예비비!$D257&lt;EDATE(BS$99,1),예비비!$E257,0)-SUMIFS(예비비!$O$430:$O$729,예비비!$B$430:$B$729,예비비!$A257,예비비!$E$430:$E$729,"&lt;"&amp;EDATE(BS$99,1))),0)</f>
        <v>0</v>
      </c>
      <c r="BT257">
        <f>IF(예비비!$R257="OK",SUMIFS(예비비!$O$430:$O$729,예비비!$B$430:$B$729,예비비!$A257,예비비!$E$430:$E$729,"&lt;"&amp;EDATE(BT$99,1),예비비!$F$430:$F$729,"결제대금비")+MAX(0,IF(예비비!$D257&lt;EDATE(BT$99,1),예비비!$E257,0)-SUMIFS(예비비!$O$430:$O$729,예비비!$B$430:$B$729,예비비!$A257,예비비!$E$430:$E$729,"&lt;"&amp;EDATE(BT$99,1))),0)</f>
        <v>0</v>
      </c>
      <c r="BU257">
        <f>IF(예비비!$R257="OK",SUMIFS(예비비!$O$430:$O$729,예비비!$B$430:$B$729,예비비!$A257,예비비!$E$430:$E$729,"&lt;"&amp;EDATE(BU$99,1),예비비!$F$430:$F$729,"결제대금비")+MAX(0,IF(예비비!$D257&lt;EDATE(BU$99,1),예비비!$E257,0)-SUMIFS(예비비!$O$430:$O$729,예비비!$B$430:$B$729,예비비!$A257,예비비!$E$430:$E$729,"&lt;"&amp;EDATE(BU$99,1))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  <c r="BI258">
        <f>IF(예비비!$R258="OK",SUMIFS(예비비!$O$430:$O$729,예비비!$B$430:$B$729,예비비!$A258,예비비!$E$430:$E$729,"&lt;"&amp;EDATE(BI$99,1),예비비!$F$430:$F$729,"결제대금비")+MAX(0,IF(예비비!$D258&lt;EDATE(BI$99,1),예비비!$E258,0)-SUMIFS(예비비!$O$430:$O$729,예비비!$B$430:$B$729,예비비!$A258,예비비!$E$430:$E$729,"&lt;"&amp;EDATE(BI$99,1))),0)</f>
        <v>0</v>
      </c>
      <c r="BJ258">
        <f>IF(예비비!$R258="OK",SUMIFS(예비비!$O$430:$O$729,예비비!$B$430:$B$729,예비비!$A258,예비비!$E$430:$E$729,"&lt;"&amp;EDATE(BJ$99,1),예비비!$F$430:$F$729,"결제대금비")+MAX(0,IF(예비비!$D258&lt;EDATE(BJ$99,1),예비비!$E258,0)-SUMIFS(예비비!$O$430:$O$729,예비비!$B$430:$B$729,예비비!$A258,예비비!$E$430:$E$729,"&lt;"&amp;EDATE(BJ$99,1))),0)</f>
        <v>0</v>
      </c>
      <c r="BK258">
        <f>IF(예비비!$R258="OK",SUMIFS(예비비!$O$430:$O$729,예비비!$B$430:$B$729,예비비!$A258,예비비!$E$430:$E$729,"&lt;"&amp;EDATE(BK$99,1),예비비!$F$430:$F$729,"결제대금비")+MAX(0,IF(예비비!$D258&lt;EDATE(BK$99,1),예비비!$E258,0)-SUMIFS(예비비!$O$430:$O$729,예비비!$B$430:$B$729,예비비!$A258,예비비!$E$430:$E$729,"&lt;"&amp;EDATE(BK$99,1))),0)</f>
        <v>0</v>
      </c>
      <c r="BL258">
        <f>IF(예비비!$R258="OK",SUMIFS(예비비!$O$430:$O$729,예비비!$B$430:$B$729,예비비!$A258,예비비!$E$430:$E$729,"&lt;"&amp;EDATE(BL$99,1),예비비!$F$430:$F$729,"결제대금비")+MAX(0,IF(예비비!$D258&lt;EDATE(BL$99,1),예비비!$E258,0)-SUMIFS(예비비!$O$430:$O$729,예비비!$B$430:$B$729,예비비!$A258,예비비!$E$430:$E$729,"&lt;"&amp;EDATE(BL$99,1))),0)</f>
        <v>0</v>
      </c>
      <c r="BM258">
        <f>IF(예비비!$R258="OK",SUMIFS(예비비!$O$430:$O$729,예비비!$B$430:$B$729,예비비!$A258,예비비!$E$430:$E$729,"&lt;"&amp;EDATE(BM$99,1),예비비!$F$430:$F$729,"결제대금비")+MAX(0,IF(예비비!$D258&lt;EDATE(BM$99,1),예비비!$E258,0)-SUMIFS(예비비!$O$430:$O$729,예비비!$B$430:$B$729,예비비!$A258,예비비!$E$430:$E$729,"&lt;"&amp;EDATE(BM$99,1))),0)</f>
        <v>0</v>
      </c>
      <c r="BN258">
        <f>IF(예비비!$R258="OK",SUMIFS(예비비!$O$430:$O$729,예비비!$B$430:$B$729,예비비!$A258,예비비!$E$430:$E$729,"&lt;"&amp;EDATE(BN$99,1),예비비!$F$430:$F$729,"결제대금비")+MAX(0,IF(예비비!$D258&lt;EDATE(BN$99,1),예비비!$E258,0)-SUMIFS(예비비!$O$430:$O$729,예비비!$B$430:$B$729,예비비!$A258,예비비!$E$430:$E$729,"&lt;"&amp;EDATE(BN$99,1))),0)</f>
        <v>0</v>
      </c>
      <c r="BO258">
        <f>IF(예비비!$R258="OK",SUMIFS(예비비!$O$430:$O$729,예비비!$B$430:$B$729,예비비!$A258,예비비!$E$430:$E$729,"&lt;"&amp;EDATE(BO$99,1),예비비!$F$430:$F$729,"결제대금비")+MAX(0,IF(예비비!$D258&lt;EDATE(BO$99,1),예비비!$E258,0)-SUMIFS(예비비!$O$430:$O$729,예비비!$B$430:$B$729,예비비!$A258,예비비!$E$430:$E$729,"&lt;"&amp;EDATE(BO$99,1))),0)</f>
        <v>0</v>
      </c>
      <c r="BP258">
        <f>IF(예비비!$R258="OK",SUMIFS(예비비!$O$430:$O$729,예비비!$B$430:$B$729,예비비!$A258,예비비!$E$430:$E$729,"&lt;"&amp;EDATE(BP$99,1),예비비!$F$430:$F$729,"결제대금비")+MAX(0,IF(예비비!$D258&lt;EDATE(BP$99,1),예비비!$E258,0)-SUMIFS(예비비!$O$430:$O$729,예비비!$B$430:$B$729,예비비!$A258,예비비!$E$430:$E$729,"&lt;"&amp;EDATE(BP$99,1))),0)</f>
        <v>0</v>
      </c>
      <c r="BQ258">
        <f>IF(예비비!$R258="OK",SUMIFS(예비비!$O$430:$O$729,예비비!$B$430:$B$729,예비비!$A258,예비비!$E$430:$E$729,"&lt;"&amp;EDATE(BQ$99,1),예비비!$F$430:$F$729,"결제대금비")+MAX(0,IF(예비비!$D258&lt;EDATE(BQ$99,1),예비비!$E258,0)-SUMIFS(예비비!$O$430:$O$729,예비비!$B$430:$B$729,예비비!$A258,예비비!$E$430:$E$729,"&lt;"&amp;EDATE(BQ$99,1))),0)</f>
        <v>0</v>
      </c>
      <c r="BR258">
        <f>IF(예비비!$R258="OK",SUMIFS(예비비!$O$430:$O$729,예비비!$B$430:$B$729,예비비!$A258,예비비!$E$430:$E$729,"&lt;"&amp;EDATE(BR$99,1),예비비!$F$430:$F$729,"결제대금비")+MAX(0,IF(예비비!$D258&lt;EDATE(BR$99,1),예비비!$E258,0)-SUMIFS(예비비!$O$430:$O$729,예비비!$B$430:$B$729,예비비!$A258,예비비!$E$430:$E$729,"&lt;"&amp;EDATE(BR$99,1))),0)</f>
        <v>0</v>
      </c>
      <c r="BS258">
        <f>IF(예비비!$R258="OK",SUMIFS(예비비!$O$430:$O$729,예비비!$B$430:$B$729,예비비!$A258,예비비!$E$430:$E$729,"&lt;"&amp;EDATE(BS$99,1),예비비!$F$430:$F$729,"결제대금비")+MAX(0,IF(예비비!$D258&lt;EDATE(BS$99,1),예비비!$E258,0)-SUMIFS(예비비!$O$430:$O$729,예비비!$B$430:$B$729,예비비!$A258,예비비!$E$430:$E$729,"&lt;"&amp;EDATE(BS$99,1))),0)</f>
        <v>0</v>
      </c>
      <c r="BT258">
        <f>IF(예비비!$R258="OK",SUMIFS(예비비!$O$430:$O$729,예비비!$B$430:$B$729,예비비!$A258,예비비!$E$430:$E$729,"&lt;"&amp;EDATE(BT$99,1),예비비!$F$430:$F$729,"결제대금비")+MAX(0,IF(예비비!$D258&lt;EDATE(BT$99,1),예비비!$E258,0)-SUMIFS(예비비!$O$430:$O$729,예비비!$B$430:$B$729,예비비!$A258,예비비!$E$430:$E$729,"&lt;"&amp;EDATE(BT$99,1))),0)</f>
        <v>0</v>
      </c>
      <c r="BU258">
        <f>IF(예비비!$R258="OK",SUMIFS(예비비!$O$430:$O$729,예비비!$B$430:$B$729,예비비!$A258,예비비!$E$430:$E$729,"&lt;"&amp;EDATE(BU$99,1),예비비!$F$430:$F$729,"결제대금비")+MAX(0,IF(예비비!$D258&lt;EDATE(BU$99,1),예비비!$E258,0)-SUMIFS(예비비!$O$430:$O$729,예비비!$B$430:$B$729,예비비!$A258,예비비!$E$430:$E$729,"&lt;"&amp;EDATE(BU$99,1))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  <c r="BI259">
        <f>IF(예비비!$R259="OK",SUMIFS(예비비!$O$430:$O$729,예비비!$B$430:$B$729,예비비!$A259,예비비!$E$430:$E$729,"&lt;"&amp;EDATE(BI$99,1),예비비!$F$430:$F$729,"결제대금비")+MAX(0,IF(예비비!$D259&lt;EDATE(BI$99,1),예비비!$E259,0)-SUMIFS(예비비!$O$430:$O$729,예비비!$B$430:$B$729,예비비!$A259,예비비!$E$430:$E$729,"&lt;"&amp;EDATE(BI$99,1))),0)</f>
        <v>0</v>
      </c>
      <c r="BJ259">
        <f>IF(예비비!$R259="OK",SUMIFS(예비비!$O$430:$O$729,예비비!$B$430:$B$729,예비비!$A259,예비비!$E$430:$E$729,"&lt;"&amp;EDATE(BJ$99,1),예비비!$F$430:$F$729,"결제대금비")+MAX(0,IF(예비비!$D259&lt;EDATE(BJ$99,1),예비비!$E259,0)-SUMIFS(예비비!$O$430:$O$729,예비비!$B$430:$B$729,예비비!$A259,예비비!$E$430:$E$729,"&lt;"&amp;EDATE(BJ$99,1))),0)</f>
        <v>0</v>
      </c>
      <c r="BK259">
        <f>IF(예비비!$R259="OK",SUMIFS(예비비!$O$430:$O$729,예비비!$B$430:$B$729,예비비!$A259,예비비!$E$430:$E$729,"&lt;"&amp;EDATE(BK$99,1),예비비!$F$430:$F$729,"결제대금비")+MAX(0,IF(예비비!$D259&lt;EDATE(BK$99,1),예비비!$E259,0)-SUMIFS(예비비!$O$430:$O$729,예비비!$B$430:$B$729,예비비!$A259,예비비!$E$430:$E$729,"&lt;"&amp;EDATE(BK$99,1))),0)</f>
        <v>0</v>
      </c>
      <c r="BL259">
        <f>IF(예비비!$R259="OK",SUMIFS(예비비!$O$430:$O$729,예비비!$B$430:$B$729,예비비!$A259,예비비!$E$430:$E$729,"&lt;"&amp;EDATE(BL$99,1),예비비!$F$430:$F$729,"결제대금비")+MAX(0,IF(예비비!$D259&lt;EDATE(BL$99,1),예비비!$E259,0)-SUMIFS(예비비!$O$430:$O$729,예비비!$B$430:$B$729,예비비!$A259,예비비!$E$430:$E$729,"&lt;"&amp;EDATE(BL$99,1))),0)</f>
        <v>0</v>
      </c>
      <c r="BM259">
        <f>IF(예비비!$R259="OK",SUMIFS(예비비!$O$430:$O$729,예비비!$B$430:$B$729,예비비!$A259,예비비!$E$430:$E$729,"&lt;"&amp;EDATE(BM$99,1),예비비!$F$430:$F$729,"결제대금비")+MAX(0,IF(예비비!$D259&lt;EDATE(BM$99,1),예비비!$E259,0)-SUMIFS(예비비!$O$430:$O$729,예비비!$B$430:$B$729,예비비!$A259,예비비!$E$430:$E$729,"&lt;"&amp;EDATE(BM$99,1))),0)</f>
        <v>0</v>
      </c>
      <c r="BN259">
        <f>IF(예비비!$R259="OK",SUMIFS(예비비!$O$430:$O$729,예비비!$B$430:$B$729,예비비!$A259,예비비!$E$430:$E$729,"&lt;"&amp;EDATE(BN$99,1),예비비!$F$430:$F$729,"결제대금비")+MAX(0,IF(예비비!$D259&lt;EDATE(BN$99,1),예비비!$E259,0)-SUMIFS(예비비!$O$430:$O$729,예비비!$B$430:$B$729,예비비!$A259,예비비!$E$430:$E$729,"&lt;"&amp;EDATE(BN$99,1))),0)</f>
        <v>0</v>
      </c>
      <c r="BO259">
        <f>IF(예비비!$R259="OK",SUMIFS(예비비!$O$430:$O$729,예비비!$B$430:$B$729,예비비!$A259,예비비!$E$430:$E$729,"&lt;"&amp;EDATE(BO$99,1),예비비!$F$430:$F$729,"결제대금비")+MAX(0,IF(예비비!$D259&lt;EDATE(BO$99,1),예비비!$E259,0)-SUMIFS(예비비!$O$430:$O$729,예비비!$B$430:$B$729,예비비!$A259,예비비!$E$430:$E$729,"&lt;"&amp;EDATE(BO$99,1))),0)</f>
        <v>0</v>
      </c>
      <c r="BP259">
        <f>IF(예비비!$R259="OK",SUMIFS(예비비!$O$430:$O$729,예비비!$B$430:$B$729,예비비!$A259,예비비!$E$430:$E$729,"&lt;"&amp;EDATE(BP$99,1),예비비!$F$430:$F$729,"결제대금비")+MAX(0,IF(예비비!$D259&lt;EDATE(BP$99,1),예비비!$E259,0)-SUMIFS(예비비!$O$430:$O$729,예비비!$B$430:$B$729,예비비!$A259,예비비!$E$430:$E$729,"&lt;"&amp;EDATE(BP$99,1))),0)</f>
        <v>0</v>
      </c>
      <c r="BQ259">
        <f>IF(예비비!$R259="OK",SUMIFS(예비비!$O$430:$O$729,예비비!$B$430:$B$729,예비비!$A259,예비비!$E$430:$E$729,"&lt;"&amp;EDATE(BQ$99,1),예비비!$F$430:$F$729,"결제대금비")+MAX(0,IF(예비비!$D259&lt;EDATE(BQ$99,1),예비비!$E259,0)-SUMIFS(예비비!$O$430:$O$729,예비비!$B$430:$B$729,예비비!$A259,예비비!$E$430:$E$729,"&lt;"&amp;EDATE(BQ$99,1))),0)</f>
        <v>0</v>
      </c>
      <c r="BR259">
        <f>IF(예비비!$R259="OK",SUMIFS(예비비!$O$430:$O$729,예비비!$B$430:$B$729,예비비!$A259,예비비!$E$430:$E$729,"&lt;"&amp;EDATE(BR$99,1),예비비!$F$430:$F$729,"결제대금비")+MAX(0,IF(예비비!$D259&lt;EDATE(BR$99,1),예비비!$E259,0)-SUMIFS(예비비!$O$430:$O$729,예비비!$B$430:$B$729,예비비!$A259,예비비!$E$430:$E$729,"&lt;"&amp;EDATE(BR$99,1))),0)</f>
        <v>0</v>
      </c>
      <c r="BS259">
        <f>IF(예비비!$R259="OK",SUMIFS(예비비!$O$430:$O$729,예비비!$B$430:$B$729,예비비!$A259,예비비!$E$430:$E$729,"&lt;"&amp;EDATE(BS$99,1),예비비!$F$430:$F$729,"결제대금비")+MAX(0,IF(예비비!$D259&lt;EDATE(BS$99,1),예비비!$E259,0)-SUMIFS(예비비!$O$430:$O$729,예비비!$B$430:$B$729,예비비!$A259,예비비!$E$430:$E$729,"&lt;"&amp;EDATE(BS$99,1))),0)</f>
        <v>0</v>
      </c>
      <c r="BT259">
        <f>IF(예비비!$R259="OK",SUMIFS(예비비!$O$430:$O$729,예비비!$B$430:$B$729,예비비!$A259,예비비!$E$430:$E$729,"&lt;"&amp;EDATE(BT$99,1),예비비!$F$430:$F$729,"결제대금비")+MAX(0,IF(예비비!$D259&lt;EDATE(BT$99,1),예비비!$E259,0)-SUMIFS(예비비!$O$430:$O$729,예비비!$B$430:$B$729,예비비!$A259,예비비!$E$430:$E$729,"&lt;"&amp;EDATE(BT$99,1))),0)</f>
        <v>0</v>
      </c>
      <c r="BU259">
        <f>IF(예비비!$R259="OK",SUMIFS(예비비!$O$430:$O$729,예비비!$B$430:$B$729,예비비!$A259,예비비!$E$430:$E$729,"&lt;"&amp;EDATE(BU$99,1),예비비!$F$430:$F$729,"결제대금비")+MAX(0,IF(예비비!$D259&lt;EDATE(BU$99,1),예비비!$E259,0)-SUMIFS(예비비!$O$430:$O$729,예비비!$B$430:$B$729,예비비!$A259,예비비!$E$430:$E$729,"&lt;"&amp;EDATE(BU$99,1))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  <c r="BI260">
        <f>IF(예비비!$R260="OK",SUMIFS(예비비!$O$430:$O$729,예비비!$B$430:$B$729,예비비!$A260,예비비!$E$430:$E$729,"&lt;"&amp;EDATE(BI$99,1),예비비!$F$430:$F$729,"결제대금비")+MAX(0,IF(예비비!$D260&lt;EDATE(BI$99,1),예비비!$E260,0)-SUMIFS(예비비!$O$430:$O$729,예비비!$B$430:$B$729,예비비!$A260,예비비!$E$430:$E$729,"&lt;"&amp;EDATE(BI$99,1))),0)</f>
        <v>0</v>
      </c>
      <c r="BJ260">
        <f>IF(예비비!$R260="OK",SUMIFS(예비비!$O$430:$O$729,예비비!$B$430:$B$729,예비비!$A260,예비비!$E$430:$E$729,"&lt;"&amp;EDATE(BJ$99,1),예비비!$F$430:$F$729,"결제대금비")+MAX(0,IF(예비비!$D260&lt;EDATE(BJ$99,1),예비비!$E260,0)-SUMIFS(예비비!$O$430:$O$729,예비비!$B$430:$B$729,예비비!$A260,예비비!$E$430:$E$729,"&lt;"&amp;EDATE(BJ$99,1))),0)</f>
        <v>0</v>
      </c>
      <c r="BK260">
        <f>IF(예비비!$R260="OK",SUMIFS(예비비!$O$430:$O$729,예비비!$B$430:$B$729,예비비!$A260,예비비!$E$430:$E$729,"&lt;"&amp;EDATE(BK$99,1),예비비!$F$430:$F$729,"결제대금비")+MAX(0,IF(예비비!$D260&lt;EDATE(BK$99,1),예비비!$E260,0)-SUMIFS(예비비!$O$430:$O$729,예비비!$B$430:$B$729,예비비!$A260,예비비!$E$430:$E$729,"&lt;"&amp;EDATE(BK$99,1))),0)</f>
        <v>0</v>
      </c>
      <c r="BL260">
        <f>IF(예비비!$R260="OK",SUMIFS(예비비!$O$430:$O$729,예비비!$B$430:$B$729,예비비!$A260,예비비!$E$430:$E$729,"&lt;"&amp;EDATE(BL$99,1),예비비!$F$430:$F$729,"결제대금비")+MAX(0,IF(예비비!$D260&lt;EDATE(BL$99,1),예비비!$E260,0)-SUMIFS(예비비!$O$430:$O$729,예비비!$B$430:$B$729,예비비!$A260,예비비!$E$430:$E$729,"&lt;"&amp;EDATE(BL$99,1))),0)</f>
        <v>0</v>
      </c>
      <c r="BM260">
        <f>IF(예비비!$R260="OK",SUMIFS(예비비!$O$430:$O$729,예비비!$B$430:$B$729,예비비!$A260,예비비!$E$430:$E$729,"&lt;"&amp;EDATE(BM$99,1),예비비!$F$430:$F$729,"결제대금비")+MAX(0,IF(예비비!$D260&lt;EDATE(BM$99,1),예비비!$E260,0)-SUMIFS(예비비!$O$430:$O$729,예비비!$B$430:$B$729,예비비!$A260,예비비!$E$430:$E$729,"&lt;"&amp;EDATE(BM$99,1))),0)</f>
        <v>0</v>
      </c>
      <c r="BN260">
        <f>IF(예비비!$R260="OK",SUMIFS(예비비!$O$430:$O$729,예비비!$B$430:$B$729,예비비!$A260,예비비!$E$430:$E$729,"&lt;"&amp;EDATE(BN$99,1),예비비!$F$430:$F$729,"결제대금비")+MAX(0,IF(예비비!$D260&lt;EDATE(BN$99,1),예비비!$E260,0)-SUMIFS(예비비!$O$430:$O$729,예비비!$B$430:$B$729,예비비!$A260,예비비!$E$430:$E$729,"&lt;"&amp;EDATE(BN$99,1))),0)</f>
        <v>0</v>
      </c>
      <c r="BO260">
        <f>IF(예비비!$R260="OK",SUMIFS(예비비!$O$430:$O$729,예비비!$B$430:$B$729,예비비!$A260,예비비!$E$430:$E$729,"&lt;"&amp;EDATE(BO$99,1),예비비!$F$430:$F$729,"결제대금비")+MAX(0,IF(예비비!$D260&lt;EDATE(BO$99,1),예비비!$E260,0)-SUMIFS(예비비!$O$430:$O$729,예비비!$B$430:$B$729,예비비!$A260,예비비!$E$430:$E$729,"&lt;"&amp;EDATE(BO$99,1))),0)</f>
        <v>0</v>
      </c>
      <c r="BP260">
        <f>IF(예비비!$R260="OK",SUMIFS(예비비!$O$430:$O$729,예비비!$B$430:$B$729,예비비!$A260,예비비!$E$430:$E$729,"&lt;"&amp;EDATE(BP$99,1),예비비!$F$430:$F$729,"결제대금비")+MAX(0,IF(예비비!$D260&lt;EDATE(BP$99,1),예비비!$E260,0)-SUMIFS(예비비!$O$430:$O$729,예비비!$B$430:$B$729,예비비!$A260,예비비!$E$430:$E$729,"&lt;"&amp;EDATE(BP$99,1))),0)</f>
        <v>0</v>
      </c>
      <c r="BQ260">
        <f>IF(예비비!$R260="OK",SUMIFS(예비비!$O$430:$O$729,예비비!$B$430:$B$729,예비비!$A260,예비비!$E$430:$E$729,"&lt;"&amp;EDATE(BQ$99,1),예비비!$F$430:$F$729,"결제대금비")+MAX(0,IF(예비비!$D260&lt;EDATE(BQ$99,1),예비비!$E260,0)-SUMIFS(예비비!$O$430:$O$729,예비비!$B$430:$B$729,예비비!$A260,예비비!$E$430:$E$729,"&lt;"&amp;EDATE(BQ$99,1))),0)</f>
        <v>0</v>
      </c>
      <c r="BR260">
        <f>IF(예비비!$R260="OK",SUMIFS(예비비!$O$430:$O$729,예비비!$B$430:$B$729,예비비!$A260,예비비!$E$430:$E$729,"&lt;"&amp;EDATE(BR$99,1),예비비!$F$430:$F$729,"결제대금비")+MAX(0,IF(예비비!$D260&lt;EDATE(BR$99,1),예비비!$E260,0)-SUMIFS(예비비!$O$430:$O$729,예비비!$B$430:$B$729,예비비!$A260,예비비!$E$430:$E$729,"&lt;"&amp;EDATE(BR$99,1))),0)</f>
        <v>0</v>
      </c>
      <c r="BS260">
        <f>IF(예비비!$R260="OK",SUMIFS(예비비!$O$430:$O$729,예비비!$B$430:$B$729,예비비!$A260,예비비!$E$430:$E$729,"&lt;"&amp;EDATE(BS$99,1),예비비!$F$430:$F$729,"결제대금비")+MAX(0,IF(예비비!$D260&lt;EDATE(BS$99,1),예비비!$E260,0)-SUMIFS(예비비!$O$430:$O$729,예비비!$B$430:$B$729,예비비!$A260,예비비!$E$430:$E$729,"&lt;"&amp;EDATE(BS$99,1))),0)</f>
        <v>0</v>
      </c>
      <c r="BT260">
        <f>IF(예비비!$R260="OK",SUMIFS(예비비!$O$430:$O$729,예비비!$B$430:$B$729,예비비!$A260,예비비!$E$430:$E$729,"&lt;"&amp;EDATE(BT$99,1),예비비!$F$430:$F$729,"결제대금비")+MAX(0,IF(예비비!$D260&lt;EDATE(BT$99,1),예비비!$E260,0)-SUMIFS(예비비!$O$430:$O$729,예비비!$B$430:$B$729,예비비!$A260,예비비!$E$430:$E$729,"&lt;"&amp;EDATE(BT$99,1))),0)</f>
        <v>0</v>
      </c>
      <c r="BU260">
        <f>IF(예비비!$R260="OK",SUMIFS(예비비!$O$430:$O$729,예비비!$B$430:$B$729,예비비!$A260,예비비!$E$430:$E$729,"&lt;"&amp;EDATE(BU$99,1),예비비!$F$430:$F$729,"결제대금비")+MAX(0,IF(예비비!$D260&lt;EDATE(BU$99,1),예비비!$E260,0)-SUMIFS(예비비!$O$430:$O$729,예비비!$B$430:$B$729,예비비!$A260,예비비!$E$430:$E$729,"&lt;"&amp;EDATE(BU$99,1))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  <c r="BI261">
        <f>IF(예비비!$R261="OK",SUMIFS(예비비!$O$430:$O$729,예비비!$B$430:$B$729,예비비!$A261,예비비!$E$430:$E$729,"&lt;"&amp;EDATE(BI$99,1),예비비!$F$430:$F$729,"결제대금비")+MAX(0,IF(예비비!$D261&lt;EDATE(BI$99,1),예비비!$E261,0)-SUMIFS(예비비!$O$430:$O$729,예비비!$B$430:$B$729,예비비!$A261,예비비!$E$430:$E$729,"&lt;"&amp;EDATE(BI$99,1))),0)</f>
        <v>0</v>
      </c>
      <c r="BJ261">
        <f>IF(예비비!$R261="OK",SUMIFS(예비비!$O$430:$O$729,예비비!$B$430:$B$729,예비비!$A261,예비비!$E$430:$E$729,"&lt;"&amp;EDATE(BJ$99,1),예비비!$F$430:$F$729,"결제대금비")+MAX(0,IF(예비비!$D261&lt;EDATE(BJ$99,1),예비비!$E261,0)-SUMIFS(예비비!$O$430:$O$729,예비비!$B$430:$B$729,예비비!$A261,예비비!$E$430:$E$729,"&lt;"&amp;EDATE(BJ$99,1))),0)</f>
        <v>0</v>
      </c>
      <c r="BK261">
        <f>IF(예비비!$R261="OK",SUMIFS(예비비!$O$430:$O$729,예비비!$B$430:$B$729,예비비!$A261,예비비!$E$430:$E$729,"&lt;"&amp;EDATE(BK$99,1),예비비!$F$430:$F$729,"결제대금비")+MAX(0,IF(예비비!$D261&lt;EDATE(BK$99,1),예비비!$E261,0)-SUMIFS(예비비!$O$430:$O$729,예비비!$B$430:$B$729,예비비!$A261,예비비!$E$430:$E$729,"&lt;"&amp;EDATE(BK$99,1))),0)</f>
        <v>0</v>
      </c>
      <c r="BL261">
        <f>IF(예비비!$R261="OK",SUMIFS(예비비!$O$430:$O$729,예비비!$B$430:$B$729,예비비!$A261,예비비!$E$430:$E$729,"&lt;"&amp;EDATE(BL$99,1),예비비!$F$430:$F$729,"결제대금비")+MAX(0,IF(예비비!$D261&lt;EDATE(BL$99,1),예비비!$E261,0)-SUMIFS(예비비!$O$430:$O$729,예비비!$B$430:$B$729,예비비!$A261,예비비!$E$430:$E$729,"&lt;"&amp;EDATE(BL$99,1))),0)</f>
        <v>0</v>
      </c>
      <c r="BM261">
        <f>IF(예비비!$R261="OK",SUMIFS(예비비!$O$430:$O$729,예비비!$B$430:$B$729,예비비!$A261,예비비!$E$430:$E$729,"&lt;"&amp;EDATE(BM$99,1),예비비!$F$430:$F$729,"결제대금비")+MAX(0,IF(예비비!$D261&lt;EDATE(BM$99,1),예비비!$E261,0)-SUMIFS(예비비!$O$430:$O$729,예비비!$B$430:$B$729,예비비!$A261,예비비!$E$430:$E$729,"&lt;"&amp;EDATE(BM$99,1))),0)</f>
        <v>0</v>
      </c>
      <c r="BN261">
        <f>IF(예비비!$R261="OK",SUMIFS(예비비!$O$430:$O$729,예비비!$B$430:$B$729,예비비!$A261,예비비!$E$430:$E$729,"&lt;"&amp;EDATE(BN$99,1),예비비!$F$430:$F$729,"결제대금비")+MAX(0,IF(예비비!$D261&lt;EDATE(BN$99,1),예비비!$E261,0)-SUMIFS(예비비!$O$430:$O$729,예비비!$B$430:$B$729,예비비!$A261,예비비!$E$430:$E$729,"&lt;"&amp;EDATE(BN$99,1))),0)</f>
        <v>0</v>
      </c>
      <c r="BO261">
        <f>IF(예비비!$R261="OK",SUMIFS(예비비!$O$430:$O$729,예비비!$B$430:$B$729,예비비!$A261,예비비!$E$430:$E$729,"&lt;"&amp;EDATE(BO$99,1),예비비!$F$430:$F$729,"결제대금비")+MAX(0,IF(예비비!$D261&lt;EDATE(BO$99,1),예비비!$E261,0)-SUMIFS(예비비!$O$430:$O$729,예비비!$B$430:$B$729,예비비!$A261,예비비!$E$430:$E$729,"&lt;"&amp;EDATE(BO$99,1))),0)</f>
        <v>0</v>
      </c>
      <c r="BP261">
        <f>IF(예비비!$R261="OK",SUMIFS(예비비!$O$430:$O$729,예비비!$B$430:$B$729,예비비!$A261,예비비!$E$430:$E$729,"&lt;"&amp;EDATE(BP$99,1),예비비!$F$430:$F$729,"결제대금비")+MAX(0,IF(예비비!$D261&lt;EDATE(BP$99,1),예비비!$E261,0)-SUMIFS(예비비!$O$430:$O$729,예비비!$B$430:$B$729,예비비!$A261,예비비!$E$430:$E$729,"&lt;"&amp;EDATE(BP$99,1))),0)</f>
        <v>0</v>
      </c>
      <c r="BQ261">
        <f>IF(예비비!$R261="OK",SUMIFS(예비비!$O$430:$O$729,예비비!$B$430:$B$729,예비비!$A261,예비비!$E$430:$E$729,"&lt;"&amp;EDATE(BQ$99,1),예비비!$F$430:$F$729,"결제대금비")+MAX(0,IF(예비비!$D261&lt;EDATE(BQ$99,1),예비비!$E261,0)-SUMIFS(예비비!$O$430:$O$729,예비비!$B$430:$B$729,예비비!$A261,예비비!$E$430:$E$729,"&lt;"&amp;EDATE(BQ$99,1))),0)</f>
        <v>0</v>
      </c>
      <c r="BR261">
        <f>IF(예비비!$R261="OK",SUMIFS(예비비!$O$430:$O$729,예비비!$B$430:$B$729,예비비!$A261,예비비!$E$430:$E$729,"&lt;"&amp;EDATE(BR$99,1),예비비!$F$430:$F$729,"결제대금비")+MAX(0,IF(예비비!$D261&lt;EDATE(BR$99,1),예비비!$E261,0)-SUMIFS(예비비!$O$430:$O$729,예비비!$B$430:$B$729,예비비!$A261,예비비!$E$430:$E$729,"&lt;"&amp;EDATE(BR$99,1))),0)</f>
        <v>0</v>
      </c>
      <c r="BS261">
        <f>IF(예비비!$R261="OK",SUMIFS(예비비!$O$430:$O$729,예비비!$B$430:$B$729,예비비!$A261,예비비!$E$430:$E$729,"&lt;"&amp;EDATE(BS$99,1),예비비!$F$430:$F$729,"결제대금비")+MAX(0,IF(예비비!$D261&lt;EDATE(BS$99,1),예비비!$E261,0)-SUMIFS(예비비!$O$430:$O$729,예비비!$B$430:$B$729,예비비!$A261,예비비!$E$430:$E$729,"&lt;"&amp;EDATE(BS$99,1))),0)</f>
        <v>0</v>
      </c>
      <c r="BT261">
        <f>IF(예비비!$R261="OK",SUMIFS(예비비!$O$430:$O$729,예비비!$B$430:$B$729,예비비!$A261,예비비!$E$430:$E$729,"&lt;"&amp;EDATE(BT$99,1),예비비!$F$430:$F$729,"결제대금비")+MAX(0,IF(예비비!$D261&lt;EDATE(BT$99,1),예비비!$E261,0)-SUMIFS(예비비!$O$430:$O$729,예비비!$B$430:$B$729,예비비!$A261,예비비!$E$430:$E$729,"&lt;"&amp;EDATE(BT$99,1))),0)</f>
        <v>0</v>
      </c>
      <c r="BU261">
        <f>IF(예비비!$R261="OK",SUMIFS(예비비!$O$430:$O$729,예비비!$B$430:$B$729,예비비!$A261,예비비!$E$430:$E$729,"&lt;"&amp;EDATE(BU$99,1),예비비!$F$430:$F$729,"결제대금비")+MAX(0,IF(예비비!$D261&lt;EDATE(BU$99,1),예비비!$E261,0)-SUMIFS(예비비!$O$430:$O$729,예비비!$B$430:$B$729,예비비!$A261,예비비!$E$430:$E$729,"&lt;"&amp;EDATE(BU$99,1))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  <c r="BI262">
        <f>IF(예비비!$R262="OK",SUMIFS(예비비!$O$430:$O$729,예비비!$B$430:$B$729,예비비!$A262,예비비!$E$430:$E$729,"&lt;"&amp;EDATE(BI$99,1),예비비!$F$430:$F$729,"결제대금비")+MAX(0,IF(예비비!$D262&lt;EDATE(BI$99,1),예비비!$E262,0)-SUMIFS(예비비!$O$430:$O$729,예비비!$B$430:$B$729,예비비!$A262,예비비!$E$430:$E$729,"&lt;"&amp;EDATE(BI$99,1))),0)</f>
        <v>0</v>
      </c>
      <c r="BJ262">
        <f>IF(예비비!$R262="OK",SUMIFS(예비비!$O$430:$O$729,예비비!$B$430:$B$729,예비비!$A262,예비비!$E$430:$E$729,"&lt;"&amp;EDATE(BJ$99,1),예비비!$F$430:$F$729,"결제대금비")+MAX(0,IF(예비비!$D262&lt;EDATE(BJ$99,1),예비비!$E262,0)-SUMIFS(예비비!$O$430:$O$729,예비비!$B$430:$B$729,예비비!$A262,예비비!$E$430:$E$729,"&lt;"&amp;EDATE(BJ$99,1))),0)</f>
        <v>0</v>
      </c>
      <c r="BK262">
        <f>IF(예비비!$R262="OK",SUMIFS(예비비!$O$430:$O$729,예비비!$B$430:$B$729,예비비!$A262,예비비!$E$430:$E$729,"&lt;"&amp;EDATE(BK$99,1),예비비!$F$430:$F$729,"결제대금비")+MAX(0,IF(예비비!$D262&lt;EDATE(BK$99,1),예비비!$E262,0)-SUMIFS(예비비!$O$430:$O$729,예비비!$B$430:$B$729,예비비!$A262,예비비!$E$430:$E$729,"&lt;"&amp;EDATE(BK$99,1))),0)</f>
        <v>0</v>
      </c>
      <c r="BL262">
        <f>IF(예비비!$R262="OK",SUMIFS(예비비!$O$430:$O$729,예비비!$B$430:$B$729,예비비!$A262,예비비!$E$430:$E$729,"&lt;"&amp;EDATE(BL$99,1),예비비!$F$430:$F$729,"결제대금비")+MAX(0,IF(예비비!$D262&lt;EDATE(BL$99,1),예비비!$E262,0)-SUMIFS(예비비!$O$430:$O$729,예비비!$B$430:$B$729,예비비!$A262,예비비!$E$430:$E$729,"&lt;"&amp;EDATE(BL$99,1))),0)</f>
        <v>0</v>
      </c>
      <c r="BM262">
        <f>IF(예비비!$R262="OK",SUMIFS(예비비!$O$430:$O$729,예비비!$B$430:$B$729,예비비!$A262,예비비!$E$430:$E$729,"&lt;"&amp;EDATE(BM$99,1),예비비!$F$430:$F$729,"결제대금비")+MAX(0,IF(예비비!$D262&lt;EDATE(BM$99,1),예비비!$E262,0)-SUMIFS(예비비!$O$430:$O$729,예비비!$B$430:$B$729,예비비!$A262,예비비!$E$430:$E$729,"&lt;"&amp;EDATE(BM$99,1))),0)</f>
        <v>0</v>
      </c>
      <c r="BN262">
        <f>IF(예비비!$R262="OK",SUMIFS(예비비!$O$430:$O$729,예비비!$B$430:$B$729,예비비!$A262,예비비!$E$430:$E$729,"&lt;"&amp;EDATE(BN$99,1),예비비!$F$430:$F$729,"결제대금비")+MAX(0,IF(예비비!$D262&lt;EDATE(BN$99,1),예비비!$E262,0)-SUMIFS(예비비!$O$430:$O$729,예비비!$B$430:$B$729,예비비!$A262,예비비!$E$430:$E$729,"&lt;"&amp;EDATE(BN$99,1))),0)</f>
        <v>0</v>
      </c>
      <c r="BO262">
        <f>IF(예비비!$R262="OK",SUMIFS(예비비!$O$430:$O$729,예비비!$B$430:$B$729,예비비!$A262,예비비!$E$430:$E$729,"&lt;"&amp;EDATE(BO$99,1),예비비!$F$430:$F$729,"결제대금비")+MAX(0,IF(예비비!$D262&lt;EDATE(BO$99,1),예비비!$E262,0)-SUMIFS(예비비!$O$430:$O$729,예비비!$B$430:$B$729,예비비!$A262,예비비!$E$430:$E$729,"&lt;"&amp;EDATE(BO$99,1))),0)</f>
        <v>0</v>
      </c>
      <c r="BP262">
        <f>IF(예비비!$R262="OK",SUMIFS(예비비!$O$430:$O$729,예비비!$B$430:$B$729,예비비!$A262,예비비!$E$430:$E$729,"&lt;"&amp;EDATE(BP$99,1),예비비!$F$430:$F$729,"결제대금비")+MAX(0,IF(예비비!$D262&lt;EDATE(BP$99,1),예비비!$E262,0)-SUMIFS(예비비!$O$430:$O$729,예비비!$B$430:$B$729,예비비!$A262,예비비!$E$430:$E$729,"&lt;"&amp;EDATE(BP$99,1))),0)</f>
        <v>0</v>
      </c>
      <c r="BQ262">
        <f>IF(예비비!$R262="OK",SUMIFS(예비비!$O$430:$O$729,예비비!$B$430:$B$729,예비비!$A262,예비비!$E$430:$E$729,"&lt;"&amp;EDATE(BQ$99,1),예비비!$F$430:$F$729,"결제대금비")+MAX(0,IF(예비비!$D262&lt;EDATE(BQ$99,1),예비비!$E262,0)-SUMIFS(예비비!$O$430:$O$729,예비비!$B$430:$B$729,예비비!$A262,예비비!$E$430:$E$729,"&lt;"&amp;EDATE(BQ$99,1))),0)</f>
        <v>0</v>
      </c>
      <c r="BR262">
        <f>IF(예비비!$R262="OK",SUMIFS(예비비!$O$430:$O$729,예비비!$B$430:$B$729,예비비!$A262,예비비!$E$430:$E$729,"&lt;"&amp;EDATE(BR$99,1),예비비!$F$430:$F$729,"결제대금비")+MAX(0,IF(예비비!$D262&lt;EDATE(BR$99,1),예비비!$E262,0)-SUMIFS(예비비!$O$430:$O$729,예비비!$B$430:$B$729,예비비!$A262,예비비!$E$430:$E$729,"&lt;"&amp;EDATE(BR$99,1))),0)</f>
        <v>0</v>
      </c>
      <c r="BS262">
        <f>IF(예비비!$R262="OK",SUMIFS(예비비!$O$430:$O$729,예비비!$B$430:$B$729,예비비!$A262,예비비!$E$430:$E$729,"&lt;"&amp;EDATE(BS$99,1),예비비!$F$430:$F$729,"결제대금비")+MAX(0,IF(예비비!$D262&lt;EDATE(BS$99,1),예비비!$E262,0)-SUMIFS(예비비!$O$430:$O$729,예비비!$B$430:$B$729,예비비!$A262,예비비!$E$430:$E$729,"&lt;"&amp;EDATE(BS$99,1))),0)</f>
        <v>0</v>
      </c>
      <c r="BT262">
        <f>IF(예비비!$R262="OK",SUMIFS(예비비!$O$430:$O$729,예비비!$B$430:$B$729,예비비!$A262,예비비!$E$430:$E$729,"&lt;"&amp;EDATE(BT$99,1),예비비!$F$430:$F$729,"결제대금비")+MAX(0,IF(예비비!$D262&lt;EDATE(BT$99,1),예비비!$E262,0)-SUMIFS(예비비!$O$430:$O$729,예비비!$B$430:$B$729,예비비!$A262,예비비!$E$430:$E$729,"&lt;"&amp;EDATE(BT$99,1))),0)</f>
        <v>0</v>
      </c>
      <c r="BU262">
        <f>IF(예비비!$R262="OK",SUMIFS(예비비!$O$430:$O$729,예비비!$B$430:$B$729,예비비!$A262,예비비!$E$430:$E$729,"&lt;"&amp;EDATE(BU$99,1),예비비!$F$430:$F$729,"결제대금비")+MAX(0,IF(예비비!$D262&lt;EDATE(BU$99,1),예비비!$E262,0)-SUMIFS(예비비!$O$430:$O$729,예비비!$B$430:$B$729,예비비!$A262,예비비!$E$430:$E$729,"&lt;"&amp;EDATE(BU$99,1))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  <c r="BI263">
        <f>IF(예비비!$R263="OK",SUMIFS(예비비!$O$430:$O$729,예비비!$B$430:$B$729,예비비!$A263,예비비!$E$430:$E$729,"&lt;"&amp;EDATE(BI$99,1),예비비!$F$430:$F$729,"결제대금비")+MAX(0,IF(예비비!$D263&lt;EDATE(BI$99,1),예비비!$E263,0)-SUMIFS(예비비!$O$430:$O$729,예비비!$B$430:$B$729,예비비!$A263,예비비!$E$430:$E$729,"&lt;"&amp;EDATE(BI$99,1))),0)</f>
        <v>0</v>
      </c>
      <c r="BJ263">
        <f>IF(예비비!$R263="OK",SUMIFS(예비비!$O$430:$O$729,예비비!$B$430:$B$729,예비비!$A263,예비비!$E$430:$E$729,"&lt;"&amp;EDATE(BJ$99,1),예비비!$F$430:$F$729,"결제대금비")+MAX(0,IF(예비비!$D263&lt;EDATE(BJ$99,1),예비비!$E263,0)-SUMIFS(예비비!$O$430:$O$729,예비비!$B$430:$B$729,예비비!$A263,예비비!$E$430:$E$729,"&lt;"&amp;EDATE(BJ$99,1))),0)</f>
        <v>0</v>
      </c>
      <c r="BK263">
        <f>IF(예비비!$R263="OK",SUMIFS(예비비!$O$430:$O$729,예비비!$B$430:$B$729,예비비!$A263,예비비!$E$430:$E$729,"&lt;"&amp;EDATE(BK$99,1),예비비!$F$430:$F$729,"결제대금비")+MAX(0,IF(예비비!$D263&lt;EDATE(BK$99,1),예비비!$E263,0)-SUMIFS(예비비!$O$430:$O$729,예비비!$B$430:$B$729,예비비!$A263,예비비!$E$430:$E$729,"&lt;"&amp;EDATE(BK$99,1))),0)</f>
        <v>0</v>
      </c>
      <c r="BL263">
        <f>IF(예비비!$R263="OK",SUMIFS(예비비!$O$430:$O$729,예비비!$B$430:$B$729,예비비!$A263,예비비!$E$430:$E$729,"&lt;"&amp;EDATE(BL$99,1),예비비!$F$430:$F$729,"결제대금비")+MAX(0,IF(예비비!$D263&lt;EDATE(BL$99,1),예비비!$E263,0)-SUMIFS(예비비!$O$430:$O$729,예비비!$B$430:$B$729,예비비!$A263,예비비!$E$430:$E$729,"&lt;"&amp;EDATE(BL$99,1))),0)</f>
        <v>0</v>
      </c>
      <c r="BM263">
        <f>IF(예비비!$R263="OK",SUMIFS(예비비!$O$430:$O$729,예비비!$B$430:$B$729,예비비!$A263,예비비!$E$430:$E$729,"&lt;"&amp;EDATE(BM$99,1),예비비!$F$430:$F$729,"결제대금비")+MAX(0,IF(예비비!$D263&lt;EDATE(BM$99,1),예비비!$E263,0)-SUMIFS(예비비!$O$430:$O$729,예비비!$B$430:$B$729,예비비!$A263,예비비!$E$430:$E$729,"&lt;"&amp;EDATE(BM$99,1))),0)</f>
        <v>0</v>
      </c>
      <c r="BN263">
        <f>IF(예비비!$R263="OK",SUMIFS(예비비!$O$430:$O$729,예비비!$B$430:$B$729,예비비!$A263,예비비!$E$430:$E$729,"&lt;"&amp;EDATE(BN$99,1),예비비!$F$430:$F$729,"결제대금비")+MAX(0,IF(예비비!$D263&lt;EDATE(BN$99,1),예비비!$E263,0)-SUMIFS(예비비!$O$430:$O$729,예비비!$B$430:$B$729,예비비!$A263,예비비!$E$430:$E$729,"&lt;"&amp;EDATE(BN$99,1))),0)</f>
        <v>0</v>
      </c>
      <c r="BO263">
        <f>IF(예비비!$R263="OK",SUMIFS(예비비!$O$430:$O$729,예비비!$B$430:$B$729,예비비!$A263,예비비!$E$430:$E$729,"&lt;"&amp;EDATE(BO$99,1),예비비!$F$430:$F$729,"결제대금비")+MAX(0,IF(예비비!$D263&lt;EDATE(BO$99,1),예비비!$E263,0)-SUMIFS(예비비!$O$430:$O$729,예비비!$B$430:$B$729,예비비!$A263,예비비!$E$430:$E$729,"&lt;"&amp;EDATE(BO$99,1))),0)</f>
        <v>0</v>
      </c>
      <c r="BP263">
        <f>IF(예비비!$R263="OK",SUMIFS(예비비!$O$430:$O$729,예비비!$B$430:$B$729,예비비!$A263,예비비!$E$430:$E$729,"&lt;"&amp;EDATE(BP$99,1),예비비!$F$430:$F$729,"결제대금비")+MAX(0,IF(예비비!$D263&lt;EDATE(BP$99,1),예비비!$E263,0)-SUMIFS(예비비!$O$430:$O$729,예비비!$B$430:$B$729,예비비!$A263,예비비!$E$430:$E$729,"&lt;"&amp;EDATE(BP$99,1))),0)</f>
        <v>0</v>
      </c>
      <c r="BQ263">
        <f>IF(예비비!$R263="OK",SUMIFS(예비비!$O$430:$O$729,예비비!$B$430:$B$729,예비비!$A263,예비비!$E$430:$E$729,"&lt;"&amp;EDATE(BQ$99,1),예비비!$F$430:$F$729,"결제대금비")+MAX(0,IF(예비비!$D263&lt;EDATE(BQ$99,1),예비비!$E263,0)-SUMIFS(예비비!$O$430:$O$729,예비비!$B$430:$B$729,예비비!$A263,예비비!$E$430:$E$729,"&lt;"&amp;EDATE(BQ$99,1))),0)</f>
        <v>0</v>
      </c>
      <c r="BR263">
        <f>IF(예비비!$R263="OK",SUMIFS(예비비!$O$430:$O$729,예비비!$B$430:$B$729,예비비!$A263,예비비!$E$430:$E$729,"&lt;"&amp;EDATE(BR$99,1),예비비!$F$430:$F$729,"결제대금비")+MAX(0,IF(예비비!$D263&lt;EDATE(BR$99,1),예비비!$E263,0)-SUMIFS(예비비!$O$430:$O$729,예비비!$B$430:$B$729,예비비!$A263,예비비!$E$430:$E$729,"&lt;"&amp;EDATE(BR$99,1))),0)</f>
        <v>0</v>
      </c>
      <c r="BS263">
        <f>IF(예비비!$R263="OK",SUMIFS(예비비!$O$430:$O$729,예비비!$B$430:$B$729,예비비!$A263,예비비!$E$430:$E$729,"&lt;"&amp;EDATE(BS$99,1),예비비!$F$430:$F$729,"결제대금비")+MAX(0,IF(예비비!$D263&lt;EDATE(BS$99,1),예비비!$E263,0)-SUMIFS(예비비!$O$430:$O$729,예비비!$B$430:$B$729,예비비!$A263,예비비!$E$430:$E$729,"&lt;"&amp;EDATE(BS$99,1))),0)</f>
        <v>0</v>
      </c>
      <c r="BT263">
        <f>IF(예비비!$R263="OK",SUMIFS(예비비!$O$430:$O$729,예비비!$B$430:$B$729,예비비!$A263,예비비!$E$430:$E$729,"&lt;"&amp;EDATE(BT$99,1),예비비!$F$430:$F$729,"결제대금비")+MAX(0,IF(예비비!$D263&lt;EDATE(BT$99,1),예비비!$E263,0)-SUMIFS(예비비!$O$430:$O$729,예비비!$B$430:$B$729,예비비!$A263,예비비!$E$430:$E$729,"&lt;"&amp;EDATE(BT$99,1))),0)</f>
        <v>0</v>
      </c>
      <c r="BU263">
        <f>IF(예비비!$R263="OK",SUMIFS(예비비!$O$430:$O$729,예비비!$B$430:$B$729,예비비!$A263,예비비!$E$430:$E$729,"&lt;"&amp;EDATE(BU$99,1),예비비!$F$430:$F$729,"결제대금비")+MAX(0,IF(예비비!$D263&lt;EDATE(BU$99,1),예비비!$E263,0)-SUMIFS(예비비!$O$430:$O$729,예비비!$B$430:$B$729,예비비!$A263,예비비!$E$430:$E$729,"&lt;"&amp;EDATE(BU$99,1))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  <c r="BI264">
        <f>IF(예비비!$R264="OK",SUMIFS(예비비!$O$430:$O$729,예비비!$B$430:$B$729,예비비!$A264,예비비!$E$430:$E$729,"&lt;"&amp;EDATE(BI$99,1),예비비!$F$430:$F$729,"결제대금비")+MAX(0,IF(예비비!$D264&lt;EDATE(BI$99,1),예비비!$E264,0)-SUMIFS(예비비!$O$430:$O$729,예비비!$B$430:$B$729,예비비!$A264,예비비!$E$430:$E$729,"&lt;"&amp;EDATE(BI$99,1))),0)</f>
        <v>0</v>
      </c>
      <c r="BJ264">
        <f>IF(예비비!$R264="OK",SUMIFS(예비비!$O$430:$O$729,예비비!$B$430:$B$729,예비비!$A264,예비비!$E$430:$E$729,"&lt;"&amp;EDATE(BJ$99,1),예비비!$F$430:$F$729,"결제대금비")+MAX(0,IF(예비비!$D264&lt;EDATE(BJ$99,1),예비비!$E264,0)-SUMIFS(예비비!$O$430:$O$729,예비비!$B$430:$B$729,예비비!$A264,예비비!$E$430:$E$729,"&lt;"&amp;EDATE(BJ$99,1))),0)</f>
        <v>0</v>
      </c>
      <c r="BK264">
        <f>IF(예비비!$R264="OK",SUMIFS(예비비!$O$430:$O$729,예비비!$B$430:$B$729,예비비!$A264,예비비!$E$430:$E$729,"&lt;"&amp;EDATE(BK$99,1),예비비!$F$430:$F$729,"결제대금비")+MAX(0,IF(예비비!$D264&lt;EDATE(BK$99,1),예비비!$E264,0)-SUMIFS(예비비!$O$430:$O$729,예비비!$B$430:$B$729,예비비!$A264,예비비!$E$430:$E$729,"&lt;"&amp;EDATE(BK$99,1))),0)</f>
        <v>0</v>
      </c>
      <c r="BL264">
        <f>IF(예비비!$R264="OK",SUMIFS(예비비!$O$430:$O$729,예비비!$B$430:$B$729,예비비!$A264,예비비!$E$430:$E$729,"&lt;"&amp;EDATE(BL$99,1),예비비!$F$430:$F$729,"결제대금비")+MAX(0,IF(예비비!$D264&lt;EDATE(BL$99,1),예비비!$E264,0)-SUMIFS(예비비!$O$430:$O$729,예비비!$B$430:$B$729,예비비!$A264,예비비!$E$430:$E$729,"&lt;"&amp;EDATE(BL$99,1))),0)</f>
        <v>0</v>
      </c>
      <c r="BM264">
        <f>IF(예비비!$R264="OK",SUMIFS(예비비!$O$430:$O$729,예비비!$B$430:$B$729,예비비!$A264,예비비!$E$430:$E$729,"&lt;"&amp;EDATE(BM$99,1),예비비!$F$430:$F$729,"결제대금비")+MAX(0,IF(예비비!$D264&lt;EDATE(BM$99,1),예비비!$E264,0)-SUMIFS(예비비!$O$430:$O$729,예비비!$B$430:$B$729,예비비!$A264,예비비!$E$430:$E$729,"&lt;"&amp;EDATE(BM$99,1))),0)</f>
        <v>0</v>
      </c>
      <c r="BN264">
        <f>IF(예비비!$R264="OK",SUMIFS(예비비!$O$430:$O$729,예비비!$B$430:$B$729,예비비!$A264,예비비!$E$430:$E$729,"&lt;"&amp;EDATE(BN$99,1),예비비!$F$430:$F$729,"결제대금비")+MAX(0,IF(예비비!$D264&lt;EDATE(BN$99,1),예비비!$E264,0)-SUMIFS(예비비!$O$430:$O$729,예비비!$B$430:$B$729,예비비!$A264,예비비!$E$430:$E$729,"&lt;"&amp;EDATE(BN$99,1))),0)</f>
        <v>0</v>
      </c>
      <c r="BO264">
        <f>IF(예비비!$R264="OK",SUMIFS(예비비!$O$430:$O$729,예비비!$B$430:$B$729,예비비!$A264,예비비!$E$430:$E$729,"&lt;"&amp;EDATE(BO$99,1),예비비!$F$430:$F$729,"결제대금비")+MAX(0,IF(예비비!$D264&lt;EDATE(BO$99,1),예비비!$E264,0)-SUMIFS(예비비!$O$430:$O$729,예비비!$B$430:$B$729,예비비!$A264,예비비!$E$430:$E$729,"&lt;"&amp;EDATE(BO$99,1))),0)</f>
        <v>0</v>
      </c>
      <c r="BP264">
        <f>IF(예비비!$R264="OK",SUMIFS(예비비!$O$430:$O$729,예비비!$B$430:$B$729,예비비!$A264,예비비!$E$430:$E$729,"&lt;"&amp;EDATE(BP$99,1),예비비!$F$430:$F$729,"결제대금비")+MAX(0,IF(예비비!$D264&lt;EDATE(BP$99,1),예비비!$E264,0)-SUMIFS(예비비!$O$430:$O$729,예비비!$B$430:$B$729,예비비!$A264,예비비!$E$430:$E$729,"&lt;"&amp;EDATE(BP$99,1))),0)</f>
        <v>0</v>
      </c>
      <c r="BQ264">
        <f>IF(예비비!$R264="OK",SUMIFS(예비비!$O$430:$O$729,예비비!$B$430:$B$729,예비비!$A264,예비비!$E$430:$E$729,"&lt;"&amp;EDATE(BQ$99,1),예비비!$F$430:$F$729,"결제대금비")+MAX(0,IF(예비비!$D264&lt;EDATE(BQ$99,1),예비비!$E264,0)-SUMIFS(예비비!$O$430:$O$729,예비비!$B$430:$B$729,예비비!$A264,예비비!$E$430:$E$729,"&lt;"&amp;EDATE(BQ$99,1))),0)</f>
        <v>0</v>
      </c>
      <c r="BR264">
        <f>IF(예비비!$R264="OK",SUMIFS(예비비!$O$430:$O$729,예비비!$B$430:$B$729,예비비!$A264,예비비!$E$430:$E$729,"&lt;"&amp;EDATE(BR$99,1),예비비!$F$430:$F$729,"결제대금비")+MAX(0,IF(예비비!$D264&lt;EDATE(BR$99,1),예비비!$E264,0)-SUMIFS(예비비!$O$430:$O$729,예비비!$B$430:$B$729,예비비!$A264,예비비!$E$430:$E$729,"&lt;"&amp;EDATE(BR$99,1))),0)</f>
        <v>0</v>
      </c>
      <c r="BS264">
        <f>IF(예비비!$R264="OK",SUMIFS(예비비!$O$430:$O$729,예비비!$B$430:$B$729,예비비!$A264,예비비!$E$430:$E$729,"&lt;"&amp;EDATE(BS$99,1),예비비!$F$430:$F$729,"결제대금비")+MAX(0,IF(예비비!$D264&lt;EDATE(BS$99,1),예비비!$E264,0)-SUMIFS(예비비!$O$430:$O$729,예비비!$B$430:$B$729,예비비!$A264,예비비!$E$430:$E$729,"&lt;"&amp;EDATE(BS$99,1))),0)</f>
        <v>0</v>
      </c>
      <c r="BT264">
        <f>IF(예비비!$R264="OK",SUMIFS(예비비!$O$430:$O$729,예비비!$B$430:$B$729,예비비!$A264,예비비!$E$430:$E$729,"&lt;"&amp;EDATE(BT$99,1),예비비!$F$430:$F$729,"결제대금비")+MAX(0,IF(예비비!$D264&lt;EDATE(BT$99,1),예비비!$E264,0)-SUMIFS(예비비!$O$430:$O$729,예비비!$B$430:$B$729,예비비!$A264,예비비!$E$430:$E$729,"&lt;"&amp;EDATE(BT$99,1))),0)</f>
        <v>0</v>
      </c>
      <c r="BU264">
        <f>IF(예비비!$R264="OK",SUMIFS(예비비!$O$430:$O$729,예비비!$B$430:$B$729,예비비!$A264,예비비!$E$430:$E$729,"&lt;"&amp;EDATE(BU$99,1),예비비!$F$430:$F$729,"결제대금비")+MAX(0,IF(예비비!$D264&lt;EDATE(BU$99,1),예비비!$E264,0)-SUMIFS(예비비!$O$430:$O$729,예비비!$B$430:$B$729,예비비!$A264,예비비!$E$430:$E$729,"&lt;"&amp;EDATE(BU$99,1))),0)</f>
        <v>0</v>
      </c>
    </row>
    <row r="265">
      <c r="BA265">
        <v>209</v>
      </c>
      <c r="BB265">
        <f>IFERROR(INDEX(잔액!$A:$A,BA265),0)</f>
        <v>46235.0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  <c r="BI265">
        <f>IF(예비비!$R265="OK",SUMIFS(예비비!$O$430:$O$729,예비비!$B$430:$B$729,예비비!$A265,예비비!$E$430:$E$729,"&lt;"&amp;EDATE(BI$99,1),예비비!$F$430:$F$729,"결제대금비")+MAX(0,IF(예비비!$D265&lt;EDATE(BI$99,1),예비비!$E265,0)-SUMIFS(예비비!$O$430:$O$729,예비비!$B$430:$B$729,예비비!$A265,예비비!$E$430:$E$729,"&lt;"&amp;EDATE(BI$99,1))),0)</f>
        <v>0</v>
      </c>
      <c r="BJ265">
        <f>IF(예비비!$R265="OK",SUMIFS(예비비!$O$430:$O$729,예비비!$B$430:$B$729,예비비!$A265,예비비!$E$430:$E$729,"&lt;"&amp;EDATE(BJ$99,1),예비비!$F$430:$F$729,"결제대금비")+MAX(0,IF(예비비!$D265&lt;EDATE(BJ$99,1),예비비!$E265,0)-SUMIFS(예비비!$O$430:$O$729,예비비!$B$430:$B$729,예비비!$A265,예비비!$E$430:$E$729,"&lt;"&amp;EDATE(BJ$99,1))),0)</f>
        <v>0</v>
      </c>
      <c r="BK265">
        <f>IF(예비비!$R265="OK",SUMIFS(예비비!$O$430:$O$729,예비비!$B$430:$B$729,예비비!$A265,예비비!$E$430:$E$729,"&lt;"&amp;EDATE(BK$99,1),예비비!$F$430:$F$729,"결제대금비")+MAX(0,IF(예비비!$D265&lt;EDATE(BK$99,1),예비비!$E265,0)-SUMIFS(예비비!$O$430:$O$729,예비비!$B$430:$B$729,예비비!$A265,예비비!$E$430:$E$729,"&lt;"&amp;EDATE(BK$99,1))),0)</f>
        <v>0</v>
      </c>
      <c r="BL265">
        <f>IF(예비비!$R265="OK",SUMIFS(예비비!$O$430:$O$729,예비비!$B$430:$B$729,예비비!$A265,예비비!$E$430:$E$729,"&lt;"&amp;EDATE(BL$99,1),예비비!$F$430:$F$729,"결제대금비")+MAX(0,IF(예비비!$D265&lt;EDATE(BL$99,1),예비비!$E265,0)-SUMIFS(예비비!$O$430:$O$729,예비비!$B$430:$B$729,예비비!$A265,예비비!$E$430:$E$729,"&lt;"&amp;EDATE(BL$99,1))),0)</f>
        <v>0</v>
      </c>
      <c r="BM265">
        <f>IF(예비비!$R265="OK",SUMIFS(예비비!$O$430:$O$729,예비비!$B$430:$B$729,예비비!$A265,예비비!$E$430:$E$729,"&lt;"&amp;EDATE(BM$99,1),예비비!$F$430:$F$729,"결제대금비")+MAX(0,IF(예비비!$D265&lt;EDATE(BM$99,1),예비비!$E265,0)-SUMIFS(예비비!$O$430:$O$729,예비비!$B$430:$B$729,예비비!$A265,예비비!$E$430:$E$729,"&lt;"&amp;EDATE(BM$99,1))),0)</f>
        <v>0</v>
      </c>
      <c r="BN265">
        <f>IF(예비비!$R265="OK",SUMIFS(예비비!$O$430:$O$729,예비비!$B$430:$B$729,예비비!$A265,예비비!$E$430:$E$729,"&lt;"&amp;EDATE(BN$99,1),예비비!$F$430:$F$729,"결제대금비")+MAX(0,IF(예비비!$D265&lt;EDATE(BN$99,1),예비비!$E265,0)-SUMIFS(예비비!$O$430:$O$729,예비비!$B$430:$B$729,예비비!$A265,예비비!$E$430:$E$729,"&lt;"&amp;EDATE(BN$99,1))),0)</f>
        <v>0</v>
      </c>
      <c r="BO265">
        <f>IF(예비비!$R265="OK",SUMIFS(예비비!$O$430:$O$729,예비비!$B$430:$B$729,예비비!$A265,예비비!$E$430:$E$729,"&lt;"&amp;EDATE(BO$99,1),예비비!$F$430:$F$729,"결제대금비")+MAX(0,IF(예비비!$D265&lt;EDATE(BO$99,1),예비비!$E265,0)-SUMIFS(예비비!$O$430:$O$729,예비비!$B$430:$B$729,예비비!$A265,예비비!$E$430:$E$729,"&lt;"&amp;EDATE(BO$99,1))),0)</f>
        <v>0</v>
      </c>
      <c r="BP265">
        <f>IF(예비비!$R265="OK",SUMIFS(예비비!$O$430:$O$729,예비비!$B$430:$B$729,예비비!$A265,예비비!$E$430:$E$729,"&lt;"&amp;EDATE(BP$99,1),예비비!$F$430:$F$729,"결제대금비")+MAX(0,IF(예비비!$D265&lt;EDATE(BP$99,1),예비비!$E265,0)-SUMIFS(예비비!$O$430:$O$729,예비비!$B$430:$B$729,예비비!$A265,예비비!$E$430:$E$729,"&lt;"&amp;EDATE(BP$99,1))),0)</f>
        <v>0</v>
      </c>
      <c r="BQ265">
        <f>IF(예비비!$R265="OK",SUMIFS(예비비!$O$430:$O$729,예비비!$B$430:$B$729,예비비!$A265,예비비!$E$430:$E$729,"&lt;"&amp;EDATE(BQ$99,1),예비비!$F$430:$F$729,"결제대금비")+MAX(0,IF(예비비!$D265&lt;EDATE(BQ$99,1),예비비!$E265,0)-SUMIFS(예비비!$O$430:$O$729,예비비!$B$430:$B$729,예비비!$A265,예비비!$E$430:$E$729,"&lt;"&amp;EDATE(BQ$99,1))),0)</f>
        <v>0</v>
      </c>
      <c r="BR265">
        <f>IF(예비비!$R265="OK",SUMIFS(예비비!$O$430:$O$729,예비비!$B$430:$B$729,예비비!$A265,예비비!$E$430:$E$729,"&lt;"&amp;EDATE(BR$99,1),예비비!$F$430:$F$729,"결제대금비")+MAX(0,IF(예비비!$D265&lt;EDATE(BR$99,1),예비비!$E265,0)-SUMIFS(예비비!$O$430:$O$729,예비비!$B$430:$B$729,예비비!$A265,예비비!$E$430:$E$729,"&lt;"&amp;EDATE(BR$99,1))),0)</f>
        <v>0</v>
      </c>
      <c r="BS265">
        <f>IF(예비비!$R265="OK",SUMIFS(예비비!$O$430:$O$729,예비비!$B$430:$B$729,예비비!$A265,예비비!$E$430:$E$729,"&lt;"&amp;EDATE(BS$99,1),예비비!$F$430:$F$729,"결제대금비")+MAX(0,IF(예비비!$D265&lt;EDATE(BS$99,1),예비비!$E265,0)-SUMIFS(예비비!$O$430:$O$729,예비비!$B$430:$B$729,예비비!$A265,예비비!$E$430:$E$729,"&lt;"&amp;EDATE(BS$99,1))),0)</f>
        <v>0</v>
      </c>
      <c r="BT265">
        <f>IF(예비비!$R265="OK",SUMIFS(예비비!$O$430:$O$729,예비비!$B$430:$B$729,예비비!$A265,예비비!$E$430:$E$729,"&lt;"&amp;EDATE(BT$99,1),예비비!$F$430:$F$729,"결제대금비")+MAX(0,IF(예비비!$D265&lt;EDATE(BT$99,1),예비비!$E265,0)-SUMIFS(예비비!$O$430:$O$729,예비비!$B$430:$B$729,예비비!$A265,예비비!$E$430:$E$729,"&lt;"&amp;EDATE(BT$99,1))),0)</f>
        <v>0</v>
      </c>
      <c r="BU265">
        <f>IF(예비비!$R265="OK",SUMIFS(예비비!$O$430:$O$729,예비비!$B$430:$B$729,예비비!$A265,예비비!$E$430:$E$729,"&lt;"&amp;EDATE(BU$99,1),예비비!$F$430:$F$729,"결제대금비")+MAX(0,IF(예비비!$D265&lt;EDATE(BU$99,1),예비비!$E265,0)-SUMIFS(예비비!$O$430:$O$729,예비비!$B$430:$B$729,예비비!$A265,예비비!$E$430:$E$729,"&lt;"&amp;EDATE(BU$99,1))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  <c r="BI266">
        <f>IF(예비비!$R266="OK",SUMIFS(예비비!$O$430:$O$729,예비비!$B$430:$B$729,예비비!$A266,예비비!$E$430:$E$729,"&lt;"&amp;EDATE(BI$99,1),예비비!$F$430:$F$729,"결제대금비")+MAX(0,IF(예비비!$D266&lt;EDATE(BI$99,1),예비비!$E266,0)-SUMIFS(예비비!$O$430:$O$729,예비비!$B$430:$B$729,예비비!$A266,예비비!$E$430:$E$729,"&lt;"&amp;EDATE(BI$99,1))),0)</f>
        <v>0</v>
      </c>
      <c r="BJ266">
        <f>IF(예비비!$R266="OK",SUMIFS(예비비!$O$430:$O$729,예비비!$B$430:$B$729,예비비!$A266,예비비!$E$430:$E$729,"&lt;"&amp;EDATE(BJ$99,1),예비비!$F$430:$F$729,"결제대금비")+MAX(0,IF(예비비!$D266&lt;EDATE(BJ$99,1),예비비!$E266,0)-SUMIFS(예비비!$O$430:$O$729,예비비!$B$430:$B$729,예비비!$A266,예비비!$E$430:$E$729,"&lt;"&amp;EDATE(BJ$99,1))),0)</f>
        <v>0</v>
      </c>
      <c r="BK266">
        <f>IF(예비비!$R266="OK",SUMIFS(예비비!$O$430:$O$729,예비비!$B$430:$B$729,예비비!$A266,예비비!$E$430:$E$729,"&lt;"&amp;EDATE(BK$99,1),예비비!$F$430:$F$729,"결제대금비")+MAX(0,IF(예비비!$D266&lt;EDATE(BK$99,1),예비비!$E266,0)-SUMIFS(예비비!$O$430:$O$729,예비비!$B$430:$B$729,예비비!$A266,예비비!$E$430:$E$729,"&lt;"&amp;EDATE(BK$99,1))),0)</f>
        <v>0</v>
      </c>
      <c r="BL266">
        <f>IF(예비비!$R266="OK",SUMIFS(예비비!$O$430:$O$729,예비비!$B$430:$B$729,예비비!$A266,예비비!$E$430:$E$729,"&lt;"&amp;EDATE(BL$99,1),예비비!$F$430:$F$729,"결제대금비")+MAX(0,IF(예비비!$D266&lt;EDATE(BL$99,1),예비비!$E266,0)-SUMIFS(예비비!$O$430:$O$729,예비비!$B$430:$B$729,예비비!$A266,예비비!$E$430:$E$729,"&lt;"&amp;EDATE(BL$99,1))),0)</f>
        <v>0</v>
      </c>
      <c r="BM266">
        <f>IF(예비비!$R266="OK",SUMIFS(예비비!$O$430:$O$729,예비비!$B$430:$B$729,예비비!$A266,예비비!$E$430:$E$729,"&lt;"&amp;EDATE(BM$99,1),예비비!$F$430:$F$729,"결제대금비")+MAX(0,IF(예비비!$D266&lt;EDATE(BM$99,1),예비비!$E266,0)-SUMIFS(예비비!$O$430:$O$729,예비비!$B$430:$B$729,예비비!$A266,예비비!$E$430:$E$729,"&lt;"&amp;EDATE(BM$99,1))),0)</f>
        <v>0</v>
      </c>
      <c r="BN266">
        <f>IF(예비비!$R266="OK",SUMIFS(예비비!$O$430:$O$729,예비비!$B$430:$B$729,예비비!$A266,예비비!$E$430:$E$729,"&lt;"&amp;EDATE(BN$99,1),예비비!$F$430:$F$729,"결제대금비")+MAX(0,IF(예비비!$D266&lt;EDATE(BN$99,1),예비비!$E266,0)-SUMIFS(예비비!$O$430:$O$729,예비비!$B$430:$B$729,예비비!$A266,예비비!$E$430:$E$729,"&lt;"&amp;EDATE(BN$99,1))),0)</f>
        <v>0</v>
      </c>
      <c r="BO266">
        <f>IF(예비비!$R266="OK",SUMIFS(예비비!$O$430:$O$729,예비비!$B$430:$B$729,예비비!$A266,예비비!$E$430:$E$729,"&lt;"&amp;EDATE(BO$99,1),예비비!$F$430:$F$729,"결제대금비")+MAX(0,IF(예비비!$D266&lt;EDATE(BO$99,1),예비비!$E266,0)-SUMIFS(예비비!$O$430:$O$729,예비비!$B$430:$B$729,예비비!$A266,예비비!$E$430:$E$729,"&lt;"&amp;EDATE(BO$99,1))),0)</f>
        <v>0</v>
      </c>
      <c r="BP266">
        <f>IF(예비비!$R266="OK",SUMIFS(예비비!$O$430:$O$729,예비비!$B$430:$B$729,예비비!$A266,예비비!$E$430:$E$729,"&lt;"&amp;EDATE(BP$99,1),예비비!$F$430:$F$729,"결제대금비")+MAX(0,IF(예비비!$D266&lt;EDATE(BP$99,1),예비비!$E266,0)-SUMIFS(예비비!$O$430:$O$729,예비비!$B$430:$B$729,예비비!$A266,예비비!$E$430:$E$729,"&lt;"&amp;EDATE(BP$99,1))),0)</f>
        <v>0</v>
      </c>
      <c r="BQ266">
        <f>IF(예비비!$R266="OK",SUMIFS(예비비!$O$430:$O$729,예비비!$B$430:$B$729,예비비!$A266,예비비!$E$430:$E$729,"&lt;"&amp;EDATE(BQ$99,1),예비비!$F$430:$F$729,"결제대금비")+MAX(0,IF(예비비!$D266&lt;EDATE(BQ$99,1),예비비!$E266,0)-SUMIFS(예비비!$O$430:$O$729,예비비!$B$430:$B$729,예비비!$A266,예비비!$E$430:$E$729,"&lt;"&amp;EDATE(BQ$99,1))),0)</f>
        <v>0</v>
      </c>
      <c r="BR266">
        <f>IF(예비비!$R266="OK",SUMIFS(예비비!$O$430:$O$729,예비비!$B$430:$B$729,예비비!$A266,예비비!$E$430:$E$729,"&lt;"&amp;EDATE(BR$99,1),예비비!$F$430:$F$729,"결제대금비")+MAX(0,IF(예비비!$D266&lt;EDATE(BR$99,1),예비비!$E266,0)-SUMIFS(예비비!$O$430:$O$729,예비비!$B$430:$B$729,예비비!$A266,예비비!$E$430:$E$729,"&lt;"&amp;EDATE(BR$99,1))),0)</f>
        <v>0</v>
      </c>
      <c r="BS266">
        <f>IF(예비비!$R266="OK",SUMIFS(예비비!$O$430:$O$729,예비비!$B$430:$B$729,예비비!$A266,예비비!$E$430:$E$729,"&lt;"&amp;EDATE(BS$99,1),예비비!$F$430:$F$729,"결제대금비")+MAX(0,IF(예비비!$D266&lt;EDATE(BS$99,1),예비비!$E266,0)-SUMIFS(예비비!$O$430:$O$729,예비비!$B$430:$B$729,예비비!$A266,예비비!$E$430:$E$729,"&lt;"&amp;EDATE(BS$99,1))),0)</f>
        <v>0</v>
      </c>
      <c r="BT266">
        <f>IF(예비비!$R266="OK",SUMIFS(예비비!$O$430:$O$729,예비비!$B$430:$B$729,예비비!$A266,예비비!$E$430:$E$729,"&lt;"&amp;EDATE(BT$99,1),예비비!$F$430:$F$729,"결제대금비")+MAX(0,IF(예비비!$D266&lt;EDATE(BT$99,1),예비비!$E266,0)-SUMIFS(예비비!$O$430:$O$729,예비비!$B$430:$B$729,예비비!$A266,예비비!$E$430:$E$729,"&lt;"&amp;EDATE(BT$99,1))),0)</f>
        <v>0</v>
      </c>
      <c r="BU266">
        <f>IF(예비비!$R266="OK",SUMIFS(예비비!$O$430:$O$729,예비비!$B$430:$B$729,예비비!$A266,예비비!$E$430:$E$729,"&lt;"&amp;EDATE(BU$99,1),예비비!$F$430:$F$729,"결제대금비")+MAX(0,IF(예비비!$D266&lt;EDATE(BU$99,1),예비비!$E266,0)-SUMIFS(예비비!$O$430:$O$729,예비비!$B$430:$B$729,예비비!$A266,예비비!$E$430:$E$729,"&lt;"&amp;EDATE(BU$99,1))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  <c r="BI267">
        <f>IF(예비비!$R267="OK",SUMIFS(예비비!$O$430:$O$729,예비비!$B$430:$B$729,예비비!$A267,예비비!$E$430:$E$729,"&lt;"&amp;EDATE(BI$99,1),예비비!$F$430:$F$729,"결제대금비")+MAX(0,IF(예비비!$D267&lt;EDATE(BI$99,1),예비비!$E267,0)-SUMIFS(예비비!$O$430:$O$729,예비비!$B$430:$B$729,예비비!$A267,예비비!$E$430:$E$729,"&lt;"&amp;EDATE(BI$99,1))),0)</f>
        <v>0</v>
      </c>
      <c r="BJ267">
        <f>IF(예비비!$R267="OK",SUMIFS(예비비!$O$430:$O$729,예비비!$B$430:$B$729,예비비!$A267,예비비!$E$430:$E$729,"&lt;"&amp;EDATE(BJ$99,1),예비비!$F$430:$F$729,"결제대금비")+MAX(0,IF(예비비!$D267&lt;EDATE(BJ$99,1),예비비!$E267,0)-SUMIFS(예비비!$O$430:$O$729,예비비!$B$430:$B$729,예비비!$A267,예비비!$E$430:$E$729,"&lt;"&amp;EDATE(BJ$99,1))),0)</f>
        <v>0</v>
      </c>
      <c r="BK267">
        <f>IF(예비비!$R267="OK",SUMIFS(예비비!$O$430:$O$729,예비비!$B$430:$B$729,예비비!$A267,예비비!$E$430:$E$729,"&lt;"&amp;EDATE(BK$99,1),예비비!$F$430:$F$729,"결제대금비")+MAX(0,IF(예비비!$D267&lt;EDATE(BK$99,1),예비비!$E267,0)-SUMIFS(예비비!$O$430:$O$729,예비비!$B$430:$B$729,예비비!$A267,예비비!$E$430:$E$729,"&lt;"&amp;EDATE(BK$99,1))),0)</f>
        <v>0</v>
      </c>
      <c r="BL267">
        <f>IF(예비비!$R267="OK",SUMIFS(예비비!$O$430:$O$729,예비비!$B$430:$B$729,예비비!$A267,예비비!$E$430:$E$729,"&lt;"&amp;EDATE(BL$99,1),예비비!$F$430:$F$729,"결제대금비")+MAX(0,IF(예비비!$D267&lt;EDATE(BL$99,1),예비비!$E267,0)-SUMIFS(예비비!$O$430:$O$729,예비비!$B$430:$B$729,예비비!$A267,예비비!$E$430:$E$729,"&lt;"&amp;EDATE(BL$99,1))),0)</f>
        <v>0</v>
      </c>
      <c r="BM267">
        <f>IF(예비비!$R267="OK",SUMIFS(예비비!$O$430:$O$729,예비비!$B$430:$B$729,예비비!$A267,예비비!$E$430:$E$729,"&lt;"&amp;EDATE(BM$99,1),예비비!$F$430:$F$729,"결제대금비")+MAX(0,IF(예비비!$D267&lt;EDATE(BM$99,1),예비비!$E267,0)-SUMIFS(예비비!$O$430:$O$729,예비비!$B$430:$B$729,예비비!$A267,예비비!$E$430:$E$729,"&lt;"&amp;EDATE(BM$99,1))),0)</f>
        <v>0</v>
      </c>
      <c r="BN267">
        <f>IF(예비비!$R267="OK",SUMIFS(예비비!$O$430:$O$729,예비비!$B$430:$B$729,예비비!$A267,예비비!$E$430:$E$729,"&lt;"&amp;EDATE(BN$99,1),예비비!$F$430:$F$729,"결제대금비")+MAX(0,IF(예비비!$D267&lt;EDATE(BN$99,1),예비비!$E267,0)-SUMIFS(예비비!$O$430:$O$729,예비비!$B$430:$B$729,예비비!$A267,예비비!$E$430:$E$729,"&lt;"&amp;EDATE(BN$99,1))),0)</f>
        <v>0</v>
      </c>
      <c r="BO267">
        <f>IF(예비비!$R267="OK",SUMIFS(예비비!$O$430:$O$729,예비비!$B$430:$B$729,예비비!$A267,예비비!$E$430:$E$729,"&lt;"&amp;EDATE(BO$99,1),예비비!$F$430:$F$729,"결제대금비")+MAX(0,IF(예비비!$D267&lt;EDATE(BO$99,1),예비비!$E267,0)-SUMIFS(예비비!$O$430:$O$729,예비비!$B$430:$B$729,예비비!$A267,예비비!$E$430:$E$729,"&lt;"&amp;EDATE(BO$99,1))),0)</f>
        <v>0</v>
      </c>
      <c r="BP267">
        <f>IF(예비비!$R267="OK",SUMIFS(예비비!$O$430:$O$729,예비비!$B$430:$B$729,예비비!$A267,예비비!$E$430:$E$729,"&lt;"&amp;EDATE(BP$99,1),예비비!$F$430:$F$729,"결제대금비")+MAX(0,IF(예비비!$D267&lt;EDATE(BP$99,1),예비비!$E267,0)-SUMIFS(예비비!$O$430:$O$729,예비비!$B$430:$B$729,예비비!$A267,예비비!$E$430:$E$729,"&lt;"&amp;EDATE(BP$99,1))),0)</f>
        <v>0</v>
      </c>
      <c r="BQ267">
        <f>IF(예비비!$R267="OK",SUMIFS(예비비!$O$430:$O$729,예비비!$B$430:$B$729,예비비!$A267,예비비!$E$430:$E$729,"&lt;"&amp;EDATE(BQ$99,1),예비비!$F$430:$F$729,"결제대금비")+MAX(0,IF(예비비!$D267&lt;EDATE(BQ$99,1),예비비!$E267,0)-SUMIFS(예비비!$O$430:$O$729,예비비!$B$430:$B$729,예비비!$A267,예비비!$E$430:$E$729,"&lt;"&amp;EDATE(BQ$99,1))),0)</f>
        <v>0</v>
      </c>
      <c r="BR267">
        <f>IF(예비비!$R267="OK",SUMIFS(예비비!$O$430:$O$729,예비비!$B$430:$B$729,예비비!$A267,예비비!$E$430:$E$729,"&lt;"&amp;EDATE(BR$99,1),예비비!$F$430:$F$729,"결제대금비")+MAX(0,IF(예비비!$D267&lt;EDATE(BR$99,1),예비비!$E267,0)-SUMIFS(예비비!$O$430:$O$729,예비비!$B$430:$B$729,예비비!$A267,예비비!$E$430:$E$729,"&lt;"&amp;EDATE(BR$99,1))),0)</f>
        <v>0</v>
      </c>
      <c r="BS267">
        <f>IF(예비비!$R267="OK",SUMIFS(예비비!$O$430:$O$729,예비비!$B$430:$B$729,예비비!$A267,예비비!$E$430:$E$729,"&lt;"&amp;EDATE(BS$99,1),예비비!$F$430:$F$729,"결제대금비")+MAX(0,IF(예비비!$D267&lt;EDATE(BS$99,1),예비비!$E267,0)-SUMIFS(예비비!$O$430:$O$729,예비비!$B$430:$B$729,예비비!$A267,예비비!$E$430:$E$729,"&lt;"&amp;EDATE(BS$99,1))),0)</f>
        <v>0</v>
      </c>
      <c r="BT267">
        <f>IF(예비비!$R267="OK",SUMIFS(예비비!$O$430:$O$729,예비비!$B$430:$B$729,예비비!$A267,예비비!$E$430:$E$729,"&lt;"&amp;EDATE(BT$99,1),예비비!$F$430:$F$729,"결제대금비")+MAX(0,IF(예비비!$D267&lt;EDATE(BT$99,1),예비비!$E267,0)-SUMIFS(예비비!$O$430:$O$729,예비비!$B$430:$B$729,예비비!$A267,예비비!$E$430:$E$729,"&lt;"&amp;EDATE(BT$99,1))),0)</f>
        <v>0</v>
      </c>
      <c r="BU267">
        <f>IF(예비비!$R267="OK",SUMIFS(예비비!$O$430:$O$729,예비비!$B$430:$B$729,예비비!$A267,예비비!$E$430:$E$729,"&lt;"&amp;EDATE(BU$99,1),예비비!$F$430:$F$729,"결제대금비")+MAX(0,IF(예비비!$D267&lt;EDATE(BU$99,1),예비비!$E267,0)-SUMIFS(예비비!$O$430:$O$729,예비비!$B$430:$B$729,예비비!$A267,예비비!$E$430:$E$729,"&lt;"&amp;EDATE(BU$99,1))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  <c r="BI268">
        <f>IF(예비비!$R268="OK",SUMIFS(예비비!$O$430:$O$729,예비비!$B$430:$B$729,예비비!$A268,예비비!$E$430:$E$729,"&lt;"&amp;EDATE(BI$99,1),예비비!$F$430:$F$729,"결제대금비")+MAX(0,IF(예비비!$D268&lt;EDATE(BI$99,1),예비비!$E268,0)-SUMIFS(예비비!$O$430:$O$729,예비비!$B$430:$B$729,예비비!$A268,예비비!$E$430:$E$729,"&lt;"&amp;EDATE(BI$99,1))),0)</f>
        <v>0</v>
      </c>
      <c r="BJ268">
        <f>IF(예비비!$R268="OK",SUMIFS(예비비!$O$430:$O$729,예비비!$B$430:$B$729,예비비!$A268,예비비!$E$430:$E$729,"&lt;"&amp;EDATE(BJ$99,1),예비비!$F$430:$F$729,"결제대금비")+MAX(0,IF(예비비!$D268&lt;EDATE(BJ$99,1),예비비!$E268,0)-SUMIFS(예비비!$O$430:$O$729,예비비!$B$430:$B$729,예비비!$A268,예비비!$E$430:$E$729,"&lt;"&amp;EDATE(BJ$99,1))),0)</f>
        <v>0</v>
      </c>
      <c r="BK268">
        <f>IF(예비비!$R268="OK",SUMIFS(예비비!$O$430:$O$729,예비비!$B$430:$B$729,예비비!$A268,예비비!$E$430:$E$729,"&lt;"&amp;EDATE(BK$99,1),예비비!$F$430:$F$729,"결제대금비")+MAX(0,IF(예비비!$D268&lt;EDATE(BK$99,1),예비비!$E268,0)-SUMIFS(예비비!$O$430:$O$729,예비비!$B$430:$B$729,예비비!$A268,예비비!$E$430:$E$729,"&lt;"&amp;EDATE(BK$99,1))),0)</f>
        <v>0</v>
      </c>
      <c r="BL268">
        <f>IF(예비비!$R268="OK",SUMIFS(예비비!$O$430:$O$729,예비비!$B$430:$B$729,예비비!$A268,예비비!$E$430:$E$729,"&lt;"&amp;EDATE(BL$99,1),예비비!$F$430:$F$729,"결제대금비")+MAX(0,IF(예비비!$D268&lt;EDATE(BL$99,1),예비비!$E268,0)-SUMIFS(예비비!$O$430:$O$729,예비비!$B$430:$B$729,예비비!$A268,예비비!$E$430:$E$729,"&lt;"&amp;EDATE(BL$99,1))),0)</f>
        <v>0</v>
      </c>
      <c r="BM268">
        <f>IF(예비비!$R268="OK",SUMIFS(예비비!$O$430:$O$729,예비비!$B$430:$B$729,예비비!$A268,예비비!$E$430:$E$729,"&lt;"&amp;EDATE(BM$99,1),예비비!$F$430:$F$729,"결제대금비")+MAX(0,IF(예비비!$D268&lt;EDATE(BM$99,1),예비비!$E268,0)-SUMIFS(예비비!$O$430:$O$729,예비비!$B$430:$B$729,예비비!$A268,예비비!$E$430:$E$729,"&lt;"&amp;EDATE(BM$99,1))),0)</f>
        <v>0</v>
      </c>
      <c r="BN268">
        <f>IF(예비비!$R268="OK",SUMIFS(예비비!$O$430:$O$729,예비비!$B$430:$B$729,예비비!$A268,예비비!$E$430:$E$729,"&lt;"&amp;EDATE(BN$99,1),예비비!$F$430:$F$729,"결제대금비")+MAX(0,IF(예비비!$D268&lt;EDATE(BN$99,1),예비비!$E268,0)-SUMIFS(예비비!$O$430:$O$729,예비비!$B$430:$B$729,예비비!$A268,예비비!$E$430:$E$729,"&lt;"&amp;EDATE(BN$99,1))),0)</f>
        <v>0</v>
      </c>
      <c r="BO268">
        <f>IF(예비비!$R268="OK",SUMIFS(예비비!$O$430:$O$729,예비비!$B$430:$B$729,예비비!$A268,예비비!$E$430:$E$729,"&lt;"&amp;EDATE(BO$99,1),예비비!$F$430:$F$729,"결제대금비")+MAX(0,IF(예비비!$D268&lt;EDATE(BO$99,1),예비비!$E268,0)-SUMIFS(예비비!$O$430:$O$729,예비비!$B$430:$B$729,예비비!$A268,예비비!$E$430:$E$729,"&lt;"&amp;EDATE(BO$99,1))),0)</f>
        <v>0</v>
      </c>
      <c r="BP268">
        <f>IF(예비비!$R268="OK",SUMIFS(예비비!$O$430:$O$729,예비비!$B$430:$B$729,예비비!$A268,예비비!$E$430:$E$729,"&lt;"&amp;EDATE(BP$99,1),예비비!$F$430:$F$729,"결제대금비")+MAX(0,IF(예비비!$D268&lt;EDATE(BP$99,1),예비비!$E268,0)-SUMIFS(예비비!$O$430:$O$729,예비비!$B$430:$B$729,예비비!$A268,예비비!$E$430:$E$729,"&lt;"&amp;EDATE(BP$99,1))),0)</f>
        <v>0</v>
      </c>
      <c r="BQ268">
        <f>IF(예비비!$R268="OK",SUMIFS(예비비!$O$430:$O$729,예비비!$B$430:$B$729,예비비!$A268,예비비!$E$430:$E$729,"&lt;"&amp;EDATE(BQ$99,1),예비비!$F$430:$F$729,"결제대금비")+MAX(0,IF(예비비!$D268&lt;EDATE(BQ$99,1),예비비!$E268,0)-SUMIFS(예비비!$O$430:$O$729,예비비!$B$430:$B$729,예비비!$A268,예비비!$E$430:$E$729,"&lt;"&amp;EDATE(BQ$99,1))),0)</f>
        <v>0</v>
      </c>
      <c r="BR268">
        <f>IF(예비비!$R268="OK",SUMIFS(예비비!$O$430:$O$729,예비비!$B$430:$B$729,예비비!$A268,예비비!$E$430:$E$729,"&lt;"&amp;EDATE(BR$99,1),예비비!$F$430:$F$729,"결제대금비")+MAX(0,IF(예비비!$D268&lt;EDATE(BR$99,1),예비비!$E268,0)-SUMIFS(예비비!$O$430:$O$729,예비비!$B$430:$B$729,예비비!$A268,예비비!$E$430:$E$729,"&lt;"&amp;EDATE(BR$99,1))),0)</f>
        <v>0</v>
      </c>
      <c r="BS268">
        <f>IF(예비비!$R268="OK",SUMIFS(예비비!$O$430:$O$729,예비비!$B$430:$B$729,예비비!$A268,예비비!$E$430:$E$729,"&lt;"&amp;EDATE(BS$99,1),예비비!$F$430:$F$729,"결제대금비")+MAX(0,IF(예비비!$D268&lt;EDATE(BS$99,1),예비비!$E268,0)-SUMIFS(예비비!$O$430:$O$729,예비비!$B$430:$B$729,예비비!$A268,예비비!$E$430:$E$729,"&lt;"&amp;EDATE(BS$99,1))),0)</f>
        <v>0</v>
      </c>
      <c r="BT268">
        <f>IF(예비비!$R268="OK",SUMIFS(예비비!$O$430:$O$729,예비비!$B$430:$B$729,예비비!$A268,예비비!$E$430:$E$729,"&lt;"&amp;EDATE(BT$99,1),예비비!$F$430:$F$729,"결제대금비")+MAX(0,IF(예비비!$D268&lt;EDATE(BT$99,1),예비비!$E268,0)-SUMIFS(예비비!$O$430:$O$729,예비비!$B$430:$B$729,예비비!$A268,예비비!$E$430:$E$729,"&lt;"&amp;EDATE(BT$99,1))),0)</f>
        <v>0</v>
      </c>
      <c r="BU268">
        <f>IF(예비비!$R268="OK",SUMIFS(예비비!$O$430:$O$729,예비비!$B$430:$B$729,예비비!$A268,예비비!$E$430:$E$729,"&lt;"&amp;EDATE(BU$99,1),예비비!$F$430:$F$729,"결제대금비")+MAX(0,IF(예비비!$D268&lt;EDATE(BU$99,1),예비비!$E268,0)-SUMIFS(예비비!$O$430:$O$729,예비비!$B$430:$B$729,예비비!$A268,예비비!$E$430:$E$729,"&lt;"&amp;EDATE(BU$99,1))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  <c r="BI269">
        <f>IF(예비비!$R269="OK",SUMIFS(예비비!$O$430:$O$729,예비비!$B$430:$B$729,예비비!$A269,예비비!$E$430:$E$729,"&lt;"&amp;EDATE(BI$99,1),예비비!$F$430:$F$729,"결제대금비")+MAX(0,IF(예비비!$D269&lt;EDATE(BI$99,1),예비비!$E269,0)-SUMIFS(예비비!$O$430:$O$729,예비비!$B$430:$B$729,예비비!$A269,예비비!$E$430:$E$729,"&lt;"&amp;EDATE(BI$99,1))),0)</f>
        <v>0</v>
      </c>
      <c r="BJ269">
        <f>IF(예비비!$R269="OK",SUMIFS(예비비!$O$430:$O$729,예비비!$B$430:$B$729,예비비!$A269,예비비!$E$430:$E$729,"&lt;"&amp;EDATE(BJ$99,1),예비비!$F$430:$F$729,"결제대금비")+MAX(0,IF(예비비!$D269&lt;EDATE(BJ$99,1),예비비!$E269,0)-SUMIFS(예비비!$O$430:$O$729,예비비!$B$430:$B$729,예비비!$A269,예비비!$E$430:$E$729,"&lt;"&amp;EDATE(BJ$99,1))),0)</f>
        <v>0</v>
      </c>
      <c r="BK269">
        <f>IF(예비비!$R269="OK",SUMIFS(예비비!$O$430:$O$729,예비비!$B$430:$B$729,예비비!$A269,예비비!$E$430:$E$729,"&lt;"&amp;EDATE(BK$99,1),예비비!$F$430:$F$729,"결제대금비")+MAX(0,IF(예비비!$D269&lt;EDATE(BK$99,1),예비비!$E269,0)-SUMIFS(예비비!$O$430:$O$729,예비비!$B$430:$B$729,예비비!$A269,예비비!$E$430:$E$729,"&lt;"&amp;EDATE(BK$99,1))),0)</f>
        <v>0</v>
      </c>
      <c r="BL269">
        <f>IF(예비비!$R269="OK",SUMIFS(예비비!$O$430:$O$729,예비비!$B$430:$B$729,예비비!$A269,예비비!$E$430:$E$729,"&lt;"&amp;EDATE(BL$99,1),예비비!$F$430:$F$729,"결제대금비")+MAX(0,IF(예비비!$D269&lt;EDATE(BL$99,1),예비비!$E269,0)-SUMIFS(예비비!$O$430:$O$729,예비비!$B$430:$B$729,예비비!$A269,예비비!$E$430:$E$729,"&lt;"&amp;EDATE(BL$99,1))),0)</f>
        <v>0</v>
      </c>
      <c r="BM269">
        <f>IF(예비비!$R269="OK",SUMIFS(예비비!$O$430:$O$729,예비비!$B$430:$B$729,예비비!$A269,예비비!$E$430:$E$729,"&lt;"&amp;EDATE(BM$99,1),예비비!$F$430:$F$729,"결제대금비")+MAX(0,IF(예비비!$D269&lt;EDATE(BM$99,1),예비비!$E269,0)-SUMIFS(예비비!$O$430:$O$729,예비비!$B$430:$B$729,예비비!$A269,예비비!$E$430:$E$729,"&lt;"&amp;EDATE(BM$99,1))),0)</f>
        <v>0</v>
      </c>
      <c r="BN269">
        <f>IF(예비비!$R269="OK",SUMIFS(예비비!$O$430:$O$729,예비비!$B$430:$B$729,예비비!$A269,예비비!$E$430:$E$729,"&lt;"&amp;EDATE(BN$99,1),예비비!$F$430:$F$729,"결제대금비")+MAX(0,IF(예비비!$D269&lt;EDATE(BN$99,1),예비비!$E269,0)-SUMIFS(예비비!$O$430:$O$729,예비비!$B$430:$B$729,예비비!$A269,예비비!$E$430:$E$729,"&lt;"&amp;EDATE(BN$99,1))),0)</f>
        <v>0</v>
      </c>
      <c r="BO269">
        <f>IF(예비비!$R269="OK",SUMIFS(예비비!$O$430:$O$729,예비비!$B$430:$B$729,예비비!$A269,예비비!$E$430:$E$729,"&lt;"&amp;EDATE(BO$99,1),예비비!$F$430:$F$729,"결제대금비")+MAX(0,IF(예비비!$D269&lt;EDATE(BO$99,1),예비비!$E269,0)-SUMIFS(예비비!$O$430:$O$729,예비비!$B$430:$B$729,예비비!$A269,예비비!$E$430:$E$729,"&lt;"&amp;EDATE(BO$99,1))),0)</f>
        <v>0</v>
      </c>
      <c r="BP269">
        <f>IF(예비비!$R269="OK",SUMIFS(예비비!$O$430:$O$729,예비비!$B$430:$B$729,예비비!$A269,예비비!$E$430:$E$729,"&lt;"&amp;EDATE(BP$99,1),예비비!$F$430:$F$729,"결제대금비")+MAX(0,IF(예비비!$D269&lt;EDATE(BP$99,1),예비비!$E269,0)-SUMIFS(예비비!$O$430:$O$729,예비비!$B$430:$B$729,예비비!$A269,예비비!$E$430:$E$729,"&lt;"&amp;EDATE(BP$99,1))),0)</f>
        <v>0</v>
      </c>
      <c r="BQ269">
        <f>IF(예비비!$R269="OK",SUMIFS(예비비!$O$430:$O$729,예비비!$B$430:$B$729,예비비!$A269,예비비!$E$430:$E$729,"&lt;"&amp;EDATE(BQ$99,1),예비비!$F$430:$F$729,"결제대금비")+MAX(0,IF(예비비!$D269&lt;EDATE(BQ$99,1),예비비!$E269,0)-SUMIFS(예비비!$O$430:$O$729,예비비!$B$430:$B$729,예비비!$A269,예비비!$E$430:$E$729,"&lt;"&amp;EDATE(BQ$99,1))),0)</f>
        <v>0</v>
      </c>
      <c r="BR269">
        <f>IF(예비비!$R269="OK",SUMIFS(예비비!$O$430:$O$729,예비비!$B$430:$B$729,예비비!$A269,예비비!$E$430:$E$729,"&lt;"&amp;EDATE(BR$99,1),예비비!$F$430:$F$729,"결제대금비")+MAX(0,IF(예비비!$D269&lt;EDATE(BR$99,1),예비비!$E269,0)-SUMIFS(예비비!$O$430:$O$729,예비비!$B$430:$B$729,예비비!$A269,예비비!$E$430:$E$729,"&lt;"&amp;EDATE(BR$99,1))),0)</f>
        <v>0</v>
      </c>
      <c r="BS269">
        <f>IF(예비비!$R269="OK",SUMIFS(예비비!$O$430:$O$729,예비비!$B$430:$B$729,예비비!$A269,예비비!$E$430:$E$729,"&lt;"&amp;EDATE(BS$99,1),예비비!$F$430:$F$729,"결제대금비")+MAX(0,IF(예비비!$D269&lt;EDATE(BS$99,1),예비비!$E269,0)-SUMIFS(예비비!$O$430:$O$729,예비비!$B$430:$B$729,예비비!$A269,예비비!$E$430:$E$729,"&lt;"&amp;EDATE(BS$99,1))),0)</f>
        <v>0</v>
      </c>
      <c r="BT269">
        <f>IF(예비비!$R269="OK",SUMIFS(예비비!$O$430:$O$729,예비비!$B$430:$B$729,예비비!$A269,예비비!$E$430:$E$729,"&lt;"&amp;EDATE(BT$99,1),예비비!$F$430:$F$729,"결제대금비")+MAX(0,IF(예비비!$D269&lt;EDATE(BT$99,1),예비비!$E269,0)-SUMIFS(예비비!$O$430:$O$729,예비비!$B$430:$B$729,예비비!$A269,예비비!$E$430:$E$729,"&lt;"&amp;EDATE(BT$99,1))),0)</f>
        <v>0</v>
      </c>
      <c r="BU269">
        <f>IF(예비비!$R269="OK",SUMIFS(예비비!$O$430:$O$729,예비비!$B$430:$B$729,예비비!$A269,예비비!$E$430:$E$729,"&lt;"&amp;EDATE(BU$99,1),예비비!$F$430:$F$729,"결제대금비")+MAX(0,IF(예비비!$D269&lt;EDATE(BU$99,1),예비비!$E269,0)-SUMIFS(예비비!$O$430:$O$729,예비비!$B$430:$B$729,예비비!$A269,예비비!$E$430:$E$729,"&lt;"&amp;EDATE(BU$99,1))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  <c r="BI270">
        <f>IF(예비비!$R270="OK",SUMIFS(예비비!$O$430:$O$729,예비비!$B$430:$B$729,예비비!$A270,예비비!$E$430:$E$729,"&lt;"&amp;EDATE(BI$99,1),예비비!$F$430:$F$729,"결제대금비")+MAX(0,IF(예비비!$D270&lt;EDATE(BI$99,1),예비비!$E270,0)-SUMIFS(예비비!$O$430:$O$729,예비비!$B$430:$B$729,예비비!$A270,예비비!$E$430:$E$729,"&lt;"&amp;EDATE(BI$99,1))),0)</f>
        <v>0</v>
      </c>
      <c r="BJ270">
        <f>IF(예비비!$R270="OK",SUMIFS(예비비!$O$430:$O$729,예비비!$B$430:$B$729,예비비!$A270,예비비!$E$430:$E$729,"&lt;"&amp;EDATE(BJ$99,1),예비비!$F$430:$F$729,"결제대금비")+MAX(0,IF(예비비!$D270&lt;EDATE(BJ$99,1),예비비!$E270,0)-SUMIFS(예비비!$O$430:$O$729,예비비!$B$430:$B$729,예비비!$A270,예비비!$E$430:$E$729,"&lt;"&amp;EDATE(BJ$99,1))),0)</f>
        <v>0</v>
      </c>
      <c r="BK270">
        <f>IF(예비비!$R270="OK",SUMIFS(예비비!$O$430:$O$729,예비비!$B$430:$B$729,예비비!$A270,예비비!$E$430:$E$729,"&lt;"&amp;EDATE(BK$99,1),예비비!$F$430:$F$729,"결제대금비")+MAX(0,IF(예비비!$D270&lt;EDATE(BK$99,1),예비비!$E270,0)-SUMIFS(예비비!$O$430:$O$729,예비비!$B$430:$B$729,예비비!$A270,예비비!$E$430:$E$729,"&lt;"&amp;EDATE(BK$99,1))),0)</f>
        <v>0</v>
      </c>
      <c r="BL270">
        <f>IF(예비비!$R270="OK",SUMIFS(예비비!$O$430:$O$729,예비비!$B$430:$B$729,예비비!$A270,예비비!$E$430:$E$729,"&lt;"&amp;EDATE(BL$99,1),예비비!$F$430:$F$729,"결제대금비")+MAX(0,IF(예비비!$D270&lt;EDATE(BL$99,1),예비비!$E270,0)-SUMIFS(예비비!$O$430:$O$729,예비비!$B$430:$B$729,예비비!$A270,예비비!$E$430:$E$729,"&lt;"&amp;EDATE(BL$99,1))),0)</f>
        <v>0</v>
      </c>
      <c r="BM270">
        <f>IF(예비비!$R270="OK",SUMIFS(예비비!$O$430:$O$729,예비비!$B$430:$B$729,예비비!$A270,예비비!$E$430:$E$729,"&lt;"&amp;EDATE(BM$99,1),예비비!$F$430:$F$729,"결제대금비")+MAX(0,IF(예비비!$D270&lt;EDATE(BM$99,1),예비비!$E270,0)-SUMIFS(예비비!$O$430:$O$729,예비비!$B$430:$B$729,예비비!$A270,예비비!$E$430:$E$729,"&lt;"&amp;EDATE(BM$99,1))),0)</f>
        <v>0</v>
      </c>
      <c r="BN270">
        <f>IF(예비비!$R270="OK",SUMIFS(예비비!$O$430:$O$729,예비비!$B$430:$B$729,예비비!$A270,예비비!$E$430:$E$729,"&lt;"&amp;EDATE(BN$99,1),예비비!$F$430:$F$729,"결제대금비")+MAX(0,IF(예비비!$D270&lt;EDATE(BN$99,1),예비비!$E270,0)-SUMIFS(예비비!$O$430:$O$729,예비비!$B$430:$B$729,예비비!$A270,예비비!$E$430:$E$729,"&lt;"&amp;EDATE(BN$99,1))),0)</f>
        <v>0</v>
      </c>
      <c r="BO270">
        <f>IF(예비비!$R270="OK",SUMIFS(예비비!$O$430:$O$729,예비비!$B$430:$B$729,예비비!$A270,예비비!$E$430:$E$729,"&lt;"&amp;EDATE(BO$99,1),예비비!$F$430:$F$729,"결제대금비")+MAX(0,IF(예비비!$D270&lt;EDATE(BO$99,1),예비비!$E270,0)-SUMIFS(예비비!$O$430:$O$729,예비비!$B$430:$B$729,예비비!$A270,예비비!$E$430:$E$729,"&lt;"&amp;EDATE(BO$99,1))),0)</f>
        <v>0</v>
      </c>
      <c r="BP270">
        <f>IF(예비비!$R270="OK",SUMIFS(예비비!$O$430:$O$729,예비비!$B$430:$B$729,예비비!$A270,예비비!$E$430:$E$729,"&lt;"&amp;EDATE(BP$99,1),예비비!$F$430:$F$729,"결제대금비")+MAX(0,IF(예비비!$D270&lt;EDATE(BP$99,1),예비비!$E270,0)-SUMIFS(예비비!$O$430:$O$729,예비비!$B$430:$B$729,예비비!$A270,예비비!$E$430:$E$729,"&lt;"&amp;EDATE(BP$99,1))),0)</f>
        <v>0</v>
      </c>
      <c r="BQ270">
        <f>IF(예비비!$R270="OK",SUMIFS(예비비!$O$430:$O$729,예비비!$B$430:$B$729,예비비!$A270,예비비!$E$430:$E$729,"&lt;"&amp;EDATE(BQ$99,1),예비비!$F$430:$F$729,"결제대금비")+MAX(0,IF(예비비!$D270&lt;EDATE(BQ$99,1),예비비!$E270,0)-SUMIFS(예비비!$O$430:$O$729,예비비!$B$430:$B$729,예비비!$A270,예비비!$E$430:$E$729,"&lt;"&amp;EDATE(BQ$99,1))),0)</f>
        <v>0</v>
      </c>
      <c r="BR270">
        <f>IF(예비비!$R270="OK",SUMIFS(예비비!$O$430:$O$729,예비비!$B$430:$B$729,예비비!$A270,예비비!$E$430:$E$729,"&lt;"&amp;EDATE(BR$99,1),예비비!$F$430:$F$729,"결제대금비")+MAX(0,IF(예비비!$D270&lt;EDATE(BR$99,1),예비비!$E270,0)-SUMIFS(예비비!$O$430:$O$729,예비비!$B$430:$B$729,예비비!$A270,예비비!$E$430:$E$729,"&lt;"&amp;EDATE(BR$99,1))),0)</f>
        <v>0</v>
      </c>
      <c r="BS270">
        <f>IF(예비비!$R270="OK",SUMIFS(예비비!$O$430:$O$729,예비비!$B$430:$B$729,예비비!$A270,예비비!$E$430:$E$729,"&lt;"&amp;EDATE(BS$99,1),예비비!$F$430:$F$729,"결제대금비")+MAX(0,IF(예비비!$D270&lt;EDATE(BS$99,1),예비비!$E270,0)-SUMIFS(예비비!$O$430:$O$729,예비비!$B$430:$B$729,예비비!$A270,예비비!$E$430:$E$729,"&lt;"&amp;EDATE(BS$99,1))),0)</f>
        <v>0</v>
      </c>
      <c r="BT270">
        <f>IF(예비비!$R270="OK",SUMIFS(예비비!$O$430:$O$729,예비비!$B$430:$B$729,예비비!$A270,예비비!$E$430:$E$729,"&lt;"&amp;EDATE(BT$99,1),예비비!$F$430:$F$729,"결제대금비")+MAX(0,IF(예비비!$D270&lt;EDATE(BT$99,1),예비비!$E270,0)-SUMIFS(예비비!$O$430:$O$729,예비비!$B$430:$B$729,예비비!$A270,예비비!$E$430:$E$729,"&lt;"&amp;EDATE(BT$99,1))),0)</f>
        <v>0</v>
      </c>
      <c r="BU270">
        <f>IF(예비비!$R270="OK",SUMIFS(예비비!$O$430:$O$729,예비비!$B$430:$B$729,예비비!$A270,예비비!$E$430:$E$729,"&lt;"&amp;EDATE(BU$99,1),예비비!$F$430:$F$729,"결제대금비")+MAX(0,IF(예비비!$D270&lt;EDATE(BU$99,1),예비비!$E270,0)-SUMIFS(예비비!$O$430:$O$729,예비비!$B$430:$B$729,예비비!$A270,예비비!$E$430:$E$729,"&lt;"&amp;EDATE(BU$99,1))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  <c r="BI271">
        <f>IF(예비비!$R271="OK",SUMIFS(예비비!$O$430:$O$729,예비비!$B$430:$B$729,예비비!$A271,예비비!$E$430:$E$729,"&lt;"&amp;EDATE(BI$99,1),예비비!$F$430:$F$729,"결제대금비")+MAX(0,IF(예비비!$D271&lt;EDATE(BI$99,1),예비비!$E271,0)-SUMIFS(예비비!$O$430:$O$729,예비비!$B$430:$B$729,예비비!$A271,예비비!$E$430:$E$729,"&lt;"&amp;EDATE(BI$99,1))),0)</f>
        <v>0</v>
      </c>
      <c r="BJ271">
        <f>IF(예비비!$R271="OK",SUMIFS(예비비!$O$430:$O$729,예비비!$B$430:$B$729,예비비!$A271,예비비!$E$430:$E$729,"&lt;"&amp;EDATE(BJ$99,1),예비비!$F$430:$F$729,"결제대금비")+MAX(0,IF(예비비!$D271&lt;EDATE(BJ$99,1),예비비!$E271,0)-SUMIFS(예비비!$O$430:$O$729,예비비!$B$430:$B$729,예비비!$A271,예비비!$E$430:$E$729,"&lt;"&amp;EDATE(BJ$99,1))),0)</f>
        <v>0</v>
      </c>
      <c r="BK271">
        <f>IF(예비비!$R271="OK",SUMIFS(예비비!$O$430:$O$729,예비비!$B$430:$B$729,예비비!$A271,예비비!$E$430:$E$729,"&lt;"&amp;EDATE(BK$99,1),예비비!$F$430:$F$729,"결제대금비")+MAX(0,IF(예비비!$D271&lt;EDATE(BK$99,1),예비비!$E271,0)-SUMIFS(예비비!$O$430:$O$729,예비비!$B$430:$B$729,예비비!$A271,예비비!$E$430:$E$729,"&lt;"&amp;EDATE(BK$99,1))),0)</f>
        <v>0</v>
      </c>
      <c r="BL271">
        <f>IF(예비비!$R271="OK",SUMIFS(예비비!$O$430:$O$729,예비비!$B$430:$B$729,예비비!$A271,예비비!$E$430:$E$729,"&lt;"&amp;EDATE(BL$99,1),예비비!$F$430:$F$729,"결제대금비")+MAX(0,IF(예비비!$D271&lt;EDATE(BL$99,1),예비비!$E271,0)-SUMIFS(예비비!$O$430:$O$729,예비비!$B$430:$B$729,예비비!$A271,예비비!$E$430:$E$729,"&lt;"&amp;EDATE(BL$99,1))),0)</f>
        <v>0</v>
      </c>
      <c r="BM271">
        <f>IF(예비비!$R271="OK",SUMIFS(예비비!$O$430:$O$729,예비비!$B$430:$B$729,예비비!$A271,예비비!$E$430:$E$729,"&lt;"&amp;EDATE(BM$99,1),예비비!$F$430:$F$729,"결제대금비")+MAX(0,IF(예비비!$D271&lt;EDATE(BM$99,1),예비비!$E271,0)-SUMIFS(예비비!$O$430:$O$729,예비비!$B$430:$B$729,예비비!$A271,예비비!$E$430:$E$729,"&lt;"&amp;EDATE(BM$99,1))),0)</f>
        <v>0</v>
      </c>
      <c r="BN271">
        <f>IF(예비비!$R271="OK",SUMIFS(예비비!$O$430:$O$729,예비비!$B$430:$B$729,예비비!$A271,예비비!$E$430:$E$729,"&lt;"&amp;EDATE(BN$99,1),예비비!$F$430:$F$729,"결제대금비")+MAX(0,IF(예비비!$D271&lt;EDATE(BN$99,1),예비비!$E271,0)-SUMIFS(예비비!$O$430:$O$729,예비비!$B$430:$B$729,예비비!$A271,예비비!$E$430:$E$729,"&lt;"&amp;EDATE(BN$99,1))),0)</f>
        <v>0</v>
      </c>
      <c r="BO271">
        <f>IF(예비비!$R271="OK",SUMIFS(예비비!$O$430:$O$729,예비비!$B$430:$B$729,예비비!$A271,예비비!$E$430:$E$729,"&lt;"&amp;EDATE(BO$99,1),예비비!$F$430:$F$729,"결제대금비")+MAX(0,IF(예비비!$D271&lt;EDATE(BO$99,1),예비비!$E271,0)-SUMIFS(예비비!$O$430:$O$729,예비비!$B$430:$B$729,예비비!$A271,예비비!$E$430:$E$729,"&lt;"&amp;EDATE(BO$99,1))),0)</f>
        <v>0</v>
      </c>
      <c r="BP271">
        <f>IF(예비비!$R271="OK",SUMIFS(예비비!$O$430:$O$729,예비비!$B$430:$B$729,예비비!$A271,예비비!$E$430:$E$729,"&lt;"&amp;EDATE(BP$99,1),예비비!$F$430:$F$729,"결제대금비")+MAX(0,IF(예비비!$D271&lt;EDATE(BP$99,1),예비비!$E271,0)-SUMIFS(예비비!$O$430:$O$729,예비비!$B$430:$B$729,예비비!$A271,예비비!$E$430:$E$729,"&lt;"&amp;EDATE(BP$99,1))),0)</f>
        <v>0</v>
      </c>
      <c r="BQ271">
        <f>IF(예비비!$R271="OK",SUMIFS(예비비!$O$430:$O$729,예비비!$B$430:$B$729,예비비!$A271,예비비!$E$430:$E$729,"&lt;"&amp;EDATE(BQ$99,1),예비비!$F$430:$F$729,"결제대금비")+MAX(0,IF(예비비!$D271&lt;EDATE(BQ$99,1),예비비!$E271,0)-SUMIFS(예비비!$O$430:$O$729,예비비!$B$430:$B$729,예비비!$A271,예비비!$E$430:$E$729,"&lt;"&amp;EDATE(BQ$99,1))),0)</f>
        <v>0</v>
      </c>
      <c r="BR271">
        <f>IF(예비비!$R271="OK",SUMIFS(예비비!$O$430:$O$729,예비비!$B$430:$B$729,예비비!$A271,예비비!$E$430:$E$729,"&lt;"&amp;EDATE(BR$99,1),예비비!$F$430:$F$729,"결제대금비")+MAX(0,IF(예비비!$D271&lt;EDATE(BR$99,1),예비비!$E271,0)-SUMIFS(예비비!$O$430:$O$729,예비비!$B$430:$B$729,예비비!$A271,예비비!$E$430:$E$729,"&lt;"&amp;EDATE(BR$99,1))),0)</f>
        <v>0</v>
      </c>
      <c r="BS271">
        <f>IF(예비비!$R271="OK",SUMIFS(예비비!$O$430:$O$729,예비비!$B$430:$B$729,예비비!$A271,예비비!$E$430:$E$729,"&lt;"&amp;EDATE(BS$99,1),예비비!$F$430:$F$729,"결제대금비")+MAX(0,IF(예비비!$D271&lt;EDATE(BS$99,1),예비비!$E271,0)-SUMIFS(예비비!$O$430:$O$729,예비비!$B$430:$B$729,예비비!$A271,예비비!$E$430:$E$729,"&lt;"&amp;EDATE(BS$99,1))),0)</f>
        <v>0</v>
      </c>
      <c r="BT271">
        <f>IF(예비비!$R271="OK",SUMIFS(예비비!$O$430:$O$729,예비비!$B$430:$B$729,예비비!$A271,예비비!$E$430:$E$729,"&lt;"&amp;EDATE(BT$99,1),예비비!$F$430:$F$729,"결제대금비")+MAX(0,IF(예비비!$D271&lt;EDATE(BT$99,1),예비비!$E271,0)-SUMIFS(예비비!$O$430:$O$729,예비비!$B$430:$B$729,예비비!$A271,예비비!$E$430:$E$729,"&lt;"&amp;EDATE(BT$99,1))),0)</f>
        <v>0</v>
      </c>
      <c r="BU271">
        <f>IF(예비비!$R271="OK",SUMIFS(예비비!$O$430:$O$729,예비비!$B$430:$B$729,예비비!$A271,예비비!$E$430:$E$729,"&lt;"&amp;EDATE(BU$99,1),예비비!$F$430:$F$729,"결제대금비")+MAX(0,IF(예비비!$D271&lt;EDATE(BU$99,1),예비비!$E271,0)-SUMIFS(예비비!$O$430:$O$729,예비비!$B$430:$B$729,예비비!$A271,예비비!$E$430:$E$729,"&lt;"&amp;EDATE(BU$99,1))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  <c r="BI272">
        <f>IF(예비비!$R272="OK",SUMIFS(예비비!$O$430:$O$729,예비비!$B$430:$B$729,예비비!$A272,예비비!$E$430:$E$729,"&lt;"&amp;EDATE(BI$99,1),예비비!$F$430:$F$729,"결제대금비")+MAX(0,IF(예비비!$D272&lt;EDATE(BI$99,1),예비비!$E272,0)-SUMIFS(예비비!$O$430:$O$729,예비비!$B$430:$B$729,예비비!$A272,예비비!$E$430:$E$729,"&lt;"&amp;EDATE(BI$99,1))),0)</f>
        <v>0</v>
      </c>
      <c r="BJ272">
        <f>IF(예비비!$R272="OK",SUMIFS(예비비!$O$430:$O$729,예비비!$B$430:$B$729,예비비!$A272,예비비!$E$430:$E$729,"&lt;"&amp;EDATE(BJ$99,1),예비비!$F$430:$F$729,"결제대금비")+MAX(0,IF(예비비!$D272&lt;EDATE(BJ$99,1),예비비!$E272,0)-SUMIFS(예비비!$O$430:$O$729,예비비!$B$430:$B$729,예비비!$A272,예비비!$E$430:$E$729,"&lt;"&amp;EDATE(BJ$99,1))),0)</f>
        <v>0</v>
      </c>
      <c r="BK272">
        <f>IF(예비비!$R272="OK",SUMIFS(예비비!$O$430:$O$729,예비비!$B$430:$B$729,예비비!$A272,예비비!$E$430:$E$729,"&lt;"&amp;EDATE(BK$99,1),예비비!$F$430:$F$729,"결제대금비")+MAX(0,IF(예비비!$D272&lt;EDATE(BK$99,1),예비비!$E272,0)-SUMIFS(예비비!$O$430:$O$729,예비비!$B$430:$B$729,예비비!$A272,예비비!$E$430:$E$729,"&lt;"&amp;EDATE(BK$99,1))),0)</f>
        <v>0</v>
      </c>
      <c r="BL272">
        <f>IF(예비비!$R272="OK",SUMIFS(예비비!$O$430:$O$729,예비비!$B$430:$B$729,예비비!$A272,예비비!$E$430:$E$729,"&lt;"&amp;EDATE(BL$99,1),예비비!$F$430:$F$729,"결제대금비")+MAX(0,IF(예비비!$D272&lt;EDATE(BL$99,1),예비비!$E272,0)-SUMIFS(예비비!$O$430:$O$729,예비비!$B$430:$B$729,예비비!$A272,예비비!$E$430:$E$729,"&lt;"&amp;EDATE(BL$99,1))),0)</f>
        <v>0</v>
      </c>
      <c r="BM272">
        <f>IF(예비비!$R272="OK",SUMIFS(예비비!$O$430:$O$729,예비비!$B$430:$B$729,예비비!$A272,예비비!$E$430:$E$729,"&lt;"&amp;EDATE(BM$99,1),예비비!$F$430:$F$729,"결제대금비")+MAX(0,IF(예비비!$D272&lt;EDATE(BM$99,1),예비비!$E272,0)-SUMIFS(예비비!$O$430:$O$729,예비비!$B$430:$B$729,예비비!$A272,예비비!$E$430:$E$729,"&lt;"&amp;EDATE(BM$99,1))),0)</f>
        <v>0</v>
      </c>
      <c r="BN272">
        <f>IF(예비비!$R272="OK",SUMIFS(예비비!$O$430:$O$729,예비비!$B$430:$B$729,예비비!$A272,예비비!$E$430:$E$729,"&lt;"&amp;EDATE(BN$99,1),예비비!$F$430:$F$729,"결제대금비")+MAX(0,IF(예비비!$D272&lt;EDATE(BN$99,1),예비비!$E272,0)-SUMIFS(예비비!$O$430:$O$729,예비비!$B$430:$B$729,예비비!$A272,예비비!$E$430:$E$729,"&lt;"&amp;EDATE(BN$99,1))),0)</f>
        <v>0</v>
      </c>
      <c r="BO272">
        <f>IF(예비비!$R272="OK",SUMIFS(예비비!$O$430:$O$729,예비비!$B$430:$B$729,예비비!$A272,예비비!$E$430:$E$729,"&lt;"&amp;EDATE(BO$99,1),예비비!$F$430:$F$729,"결제대금비")+MAX(0,IF(예비비!$D272&lt;EDATE(BO$99,1),예비비!$E272,0)-SUMIFS(예비비!$O$430:$O$729,예비비!$B$430:$B$729,예비비!$A272,예비비!$E$430:$E$729,"&lt;"&amp;EDATE(BO$99,1))),0)</f>
        <v>0</v>
      </c>
      <c r="BP272">
        <f>IF(예비비!$R272="OK",SUMIFS(예비비!$O$430:$O$729,예비비!$B$430:$B$729,예비비!$A272,예비비!$E$430:$E$729,"&lt;"&amp;EDATE(BP$99,1),예비비!$F$430:$F$729,"결제대금비")+MAX(0,IF(예비비!$D272&lt;EDATE(BP$99,1),예비비!$E272,0)-SUMIFS(예비비!$O$430:$O$729,예비비!$B$430:$B$729,예비비!$A272,예비비!$E$430:$E$729,"&lt;"&amp;EDATE(BP$99,1))),0)</f>
        <v>0</v>
      </c>
      <c r="BQ272">
        <f>IF(예비비!$R272="OK",SUMIFS(예비비!$O$430:$O$729,예비비!$B$430:$B$729,예비비!$A272,예비비!$E$430:$E$729,"&lt;"&amp;EDATE(BQ$99,1),예비비!$F$430:$F$729,"결제대금비")+MAX(0,IF(예비비!$D272&lt;EDATE(BQ$99,1),예비비!$E272,0)-SUMIFS(예비비!$O$430:$O$729,예비비!$B$430:$B$729,예비비!$A272,예비비!$E$430:$E$729,"&lt;"&amp;EDATE(BQ$99,1))),0)</f>
        <v>0</v>
      </c>
      <c r="BR272">
        <f>IF(예비비!$R272="OK",SUMIFS(예비비!$O$430:$O$729,예비비!$B$430:$B$729,예비비!$A272,예비비!$E$430:$E$729,"&lt;"&amp;EDATE(BR$99,1),예비비!$F$430:$F$729,"결제대금비")+MAX(0,IF(예비비!$D272&lt;EDATE(BR$99,1),예비비!$E272,0)-SUMIFS(예비비!$O$430:$O$729,예비비!$B$430:$B$729,예비비!$A272,예비비!$E$430:$E$729,"&lt;"&amp;EDATE(BR$99,1))),0)</f>
        <v>0</v>
      </c>
      <c r="BS272">
        <f>IF(예비비!$R272="OK",SUMIFS(예비비!$O$430:$O$729,예비비!$B$430:$B$729,예비비!$A272,예비비!$E$430:$E$729,"&lt;"&amp;EDATE(BS$99,1),예비비!$F$430:$F$729,"결제대금비")+MAX(0,IF(예비비!$D272&lt;EDATE(BS$99,1),예비비!$E272,0)-SUMIFS(예비비!$O$430:$O$729,예비비!$B$430:$B$729,예비비!$A272,예비비!$E$430:$E$729,"&lt;"&amp;EDATE(BS$99,1))),0)</f>
        <v>0</v>
      </c>
      <c r="BT272">
        <f>IF(예비비!$R272="OK",SUMIFS(예비비!$O$430:$O$729,예비비!$B$430:$B$729,예비비!$A272,예비비!$E$430:$E$729,"&lt;"&amp;EDATE(BT$99,1),예비비!$F$430:$F$729,"결제대금비")+MAX(0,IF(예비비!$D272&lt;EDATE(BT$99,1),예비비!$E272,0)-SUMIFS(예비비!$O$430:$O$729,예비비!$B$430:$B$729,예비비!$A272,예비비!$E$430:$E$729,"&lt;"&amp;EDATE(BT$99,1))),0)</f>
        <v>0</v>
      </c>
      <c r="BU272">
        <f>IF(예비비!$R272="OK",SUMIFS(예비비!$O$430:$O$729,예비비!$B$430:$B$729,예비비!$A272,예비비!$E$430:$E$729,"&lt;"&amp;EDATE(BU$99,1),예비비!$F$430:$F$729,"결제대금비")+MAX(0,IF(예비비!$D272&lt;EDATE(BU$99,1),예비비!$E272,0)-SUMIFS(예비비!$O$430:$O$729,예비비!$B$430:$B$729,예비비!$A272,예비비!$E$430:$E$729,"&lt;"&amp;EDATE(BU$99,1))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  <c r="BI273">
        <f>IF(예비비!$R273="OK",SUMIFS(예비비!$O$430:$O$729,예비비!$B$430:$B$729,예비비!$A273,예비비!$E$430:$E$729,"&lt;"&amp;EDATE(BI$99,1),예비비!$F$430:$F$729,"결제대금비")+MAX(0,IF(예비비!$D273&lt;EDATE(BI$99,1),예비비!$E273,0)-SUMIFS(예비비!$O$430:$O$729,예비비!$B$430:$B$729,예비비!$A273,예비비!$E$430:$E$729,"&lt;"&amp;EDATE(BI$99,1))),0)</f>
        <v>0</v>
      </c>
      <c r="BJ273">
        <f>IF(예비비!$R273="OK",SUMIFS(예비비!$O$430:$O$729,예비비!$B$430:$B$729,예비비!$A273,예비비!$E$430:$E$729,"&lt;"&amp;EDATE(BJ$99,1),예비비!$F$430:$F$729,"결제대금비")+MAX(0,IF(예비비!$D273&lt;EDATE(BJ$99,1),예비비!$E273,0)-SUMIFS(예비비!$O$430:$O$729,예비비!$B$430:$B$729,예비비!$A273,예비비!$E$430:$E$729,"&lt;"&amp;EDATE(BJ$99,1))),0)</f>
        <v>0</v>
      </c>
      <c r="BK273">
        <f>IF(예비비!$R273="OK",SUMIFS(예비비!$O$430:$O$729,예비비!$B$430:$B$729,예비비!$A273,예비비!$E$430:$E$729,"&lt;"&amp;EDATE(BK$99,1),예비비!$F$430:$F$729,"결제대금비")+MAX(0,IF(예비비!$D273&lt;EDATE(BK$99,1),예비비!$E273,0)-SUMIFS(예비비!$O$430:$O$729,예비비!$B$430:$B$729,예비비!$A273,예비비!$E$430:$E$729,"&lt;"&amp;EDATE(BK$99,1))),0)</f>
        <v>0</v>
      </c>
      <c r="BL273">
        <f>IF(예비비!$R273="OK",SUMIFS(예비비!$O$430:$O$729,예비비!$B$430:$B$729,예비비!$A273,예비비!$E$430:$E$729,"&lt;"&amp;EDATE(BL$99,1),예비비!$F$430:$F$729,"결제대금비")+MAX(0,IF(예비비!$D273&lt;EDATE(BL$99,1),예비비!$E273,0)-SUMIFS(예비비!$O$430:$O$729,예비비!$B$430:$B$729,예비비!$A273,예비비!$E$430:$E$729,"&lt;"&amp;EDATE(BL$99,1))),0)</f>
        <v>0</v>
      </c>
      <c r="BM273">
        <f>IF(예비비!$R273="OK",SUMIFS(예비비!$O$430:$O$729,예비비!$B$430:$B$729,예비비!$A273,예비비!$E$430:$E$729,"&lt;"&amp;EDATE(BM$99,1),예비비!$F$430:$F$729,"결제대금비")+MAX(0,IF(예비비!$D273&lt;EDATE(BM$99,1),예비비!$E273,0)-SUMIFS(예비비!$O$430:$O$729,예비비!$B$430:$B$729,예비비!$A273,예비비!$E$430:$E$729,"&lt;"&amp;EDATE(BM$99,1))),0)</f>
        <v>0</v>
      </c>
      <c r="BN273">
        <f>IF(예비비!$R273="OK",SUMIFS(예비비!$O$430:$O$729,예비비!$B$430:$B$729,예비비!$A273,예비비!$E$430:$E$729,"&lt;"&amp;EDATE(BN$99,1),예비비!$F$430:$F$729,"결제대금비")+MAX(0,IF(예비비!$D273&lt;EDATE(BN$99,1),예비비!$E273,0)-SUMIFS(예비비!$O$430:$O$729,예비비!$B$430:$B$729,예비비!$A273,예비비!$E$430:$E$729,"&lt;"&amp;EDATE(BN$99,1))),0)</f>
        <v>0</v>
      </c>
      <c r="BO273">
        <f>IF(예비비!$R273="OK",SUMIFS(예비비!$O$430:$O$729,예비비!$B$430:$B$729,예비비!$A273,예비비!$E$430:$E$729,"&lt;"&amp;EDATE(BO$99,1),예비비!$F$430:$F$729,"결제대금비")+MAX(0,IF(예비비!$D273&lt;EDATE(BO$99,1),예비비!$E273,0)-SUMIFS(예비비!$O$430:$O$729,예비비!$B$430:$B$729,예비비!$A273,예비비!$E$430:$E$729,"&lt;"&amp;EDATE(BO$99,1))),0)</f>
        <v>0</v>
      </c>
      <c r="BP273">
        <f>IF(예비비!$R273="OK",SUMIFS(예비비!$O$430:$O$729,예비비!$B$430:$B$729,예비비!$A273,예비비!$E$430:$E$729,"&lt;"&amp;EDATE(BP$99,1),예비비!$F$430:$F$729,"결제대금비")+MAX(0,IF(예비비!$D273&lt;EDATE(BP$99,1),예비비!$E273,0)-SUMIFS(예비비!$O$430:$O$729,예비비!$B$430:$B$729,예비비!$A273,예비비!$E$430:$E$729,"&lt;"&amp;EDATE(BP$99,1))),0)</f>
        <v>0</v>
      </c>
      <c r="BQ273">
        <f>IF(예비비!$R273="OK",SUMIFS(예비비!$O$430:$O$729,예비비!$B$430:$B$729,예비비!$A273,예비비!$E$430:$E$729,"&lt;"&amp;EDATE(BQ$99,1),예비비!$F$430:$F$729,"결제대금비")+MAX(0,IF(예비비!$D273&lt;EDATE(BQ$99,1),예비비!$E273,0)-SUMIFS(예비비!$O$430:$O$729,예비비!$B$430:$B$729,예비비!$A273,예비비!$E$430:$E$729,"&lt;"&amp;EDATE(BQ$99,1))),0)</f>
        <v>0</v>
      </c>
      <c r="BR273">
        <f>IF(예비비!$R273="OK",SUMIFS(예비비!$O$430:$O$729,예비비!$B$430:$B$729,예비비!$A273,예비비!$E$430:$E$729,"&lt;"&amp;EDATE(BR$99,1),예비비!$F$430:$F$729,"결제대금비")+MAX(0,IF(예비비!$D273&lt;EDATE(BR$99,1),예비비!$E273,0)-SUMIFS(예비비!$O$430:$O$729,예비비!$B$430:$B$729,예비비!$A273,예비비!$E$430:$E$729,"&lt;"&amp;EDATE(BR$99,1))),0)</f>
        <v>0</v>
      </c>
      <c r="BS273">
        <f>IF(예비비!$R273="OK",SUMIFS(예비비!$O$430:$O$729,예비비!$B$430:$B$729,예비비!$A273,예비비!$E$430:$E$729,"&lt;"&amp;EDATE(BS$99,1),예비비!$F$430:$F$729,"결제대금비")+MAX(0,IF(예비비!$D273&lt;EDATE(BS$99,1),예비비!$E273,0)-SUMIFS(예비비!$O$430:$O$729,예비비!$B$430:$B$729,예비비!$A273,예비비!$E$430:$E$729,"&lt;"&amp;EDATE(BS$99,1))),0)</f>
        <v>0</v>
      </c>
      <c r="BT273">
        <f>IF(예비비!$R273="OK",SUMIFS(예비비!$O$430:$O$729,예비비!$B$430:$B$729,예비비!$A273,예비비!$E$430:$E$729,"&lt;"&amp;EDATE(BT$99,1),예비비!$F$430:$F$729,"결제대금비")+MAX(0,IF(예비비!$D273&lt;EDATE(BT$99,1),예비비!$E273,0)-SUMIFS(예비비!$O$430:$O$729,예비비!$B$430:$B$729,예비비!$A273,예비비!$E$430:$E$729,"&lt;"&amp;EDATE(BT$99,1))),0)</f>
        <v>0</v>
      </c>
      <c r="BU273">
        <f>IF(예비비!$R273="OK",SUMIFS(예비비!$O$430:$O$729,예비비!$B$430:$B$729,예비비!$A273,예비비!$E$430:$E$729,"&lt;"&amp;EDATE(BU$99,1),예비비!$F$430:$F$729,"결제대금비")+MAX(0,IF(예비비!$D273&lt;EDATE(BU$99,1),예비비!$E273,0)-SUMIFS(예비비!$O$430:$O$729,예비비!$B$430:$B$729,예비비!$A273,예비비!$E$430:$E$729,"&lt;"&amp;EDATE(BU$99,1))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  <c r="BI274">
        <f>IF(예비비!$R274="OK",SUMIFS(예비비!$O$430:$O$729,예비비!$B$430:$B$729,예비비!$A274,예비비!$E$430:$E$729,"&lt;"&amp;EDATE(BI$99,1),예비비!$F$430:$F$729,"결제대금비")+MAX(0,IF(예비비!$D274&lt;EDATE(BI$99,1),예비비!$E274,0)-SUMIFS(예비비!$O$430:$O$729,예비비!$B$430:$B$729,예비비!$A274,예비비!$E$430:$E$729,"&lt;"&amp;EDATE(BI$99,1))),0)</f>
        <v>0</v>
      </c>
      <c r="BJ274">
        <f>IF(예비비!$R274="OK",SUMIFS(예비비!$O$430:$O$729,예비비!$B$430:$B$729,예비비!$A274,예비비!$E$430:$E$729,"&lt;"&amp;EDATE(BJ$99,1),예비비!$F$430:$F$729,"결제대금비")+MAX(0,IF(예비비!$D274&lt;EDATE(BJ$99,1),예비비!$E274,0)-SUMIFS(예비비!$O$430:$O$729,예비비!$B$430:$B$729,예비비!$A274,예비비!$E$430:$E$729,"&lt;"&amp;EDATE(BJ$99,1))),0)</f>
        <v>0</v>
      </c>
      <c r="BK274">
        <f>IF(예비비!$R274="OK",SUMIFS(예비비!$O$430:$O$729,예비비!$B$430:$B$729,예비비!$A274,예비비!$E$430:$E$729,"&lt;"&amp;EDATE(BK$99,1),예비비!$F$430:$F$729,"결제대금비")+MAX(0,IF(예비비!$D274&lt;EDATE(BK$99,1),예비비!$E274,0)-SUMIFS(예비비!$O$430:$O$729,예비비!$B$430:$B$729,예비비!$A274,예비비!$E$430:$E$729,"&lt;"&amp;EDATE(BK$99,1))),0)</f>
        <v>0</v>
      </c>
      <c r="BL274">
        <f>IF(예비비!$R274="OK",SUMIFS(예비비!$O$430:$O$729,예비비!$B$430:$B$729,예비비!$A274,예비비!$E$430:$E$729,"&lt;"&amp;EDATE(BL$99,1),예비비!$F$430:$F$729,"결제대금비")+MAX(0,IF(예비비!$D274&lt;EDATE(BL$99,1),예비비!$E274,0)-SUMIFS(예비비!$O$430:$O$729,예비비!$B$430:$B$729,예비비!$A274,예비비!$E$430:$E$729,"&lt;"&amp;EDATE(BL$99,1))),0)</f>
        <v>0</v>
      </c>
      <c r="BM274">
        <f>IF(예비비!$R274="OK",SUMIFS(예비비!$O$430:$O$729,예비비!$B$430:$B$729,예비비!$A274,예비비!$E$430:$E$729,"&lt;"&amp;EDATE(BM$99,1),예비비!$F$430:$F$729,"결제대금비")+MAX(0,IF(예비비!$D274&lt;EDATE(BM$99,1),예비비!$E274,0)-SUMIFS(예비비!$O$430:$O$729,예비비!$B$430:$B$729,예비비!$A274,예비비!$E$430:$E$729,"&lt;"&amp;EDATE(BM$99,1))),0)</f>
        <v>0</v>
      </c>
      <c r="BN274">
        <f>IF(예비비!$R274="OK",SUMIFS(예비비!$O$430:$O$729,예비비!$B$430:$B$729,예비비!$A274,예비비!$E$430:$E$729,"&lt;"&amp;EDATE(BN$99,1),예비비!$F$430:$F$729,"결제대금비")+MAX(0,IF(예비비!$D274&lt;EDATE(BN$99,1),예비비!$E274,0)-SUMIFS(예비비!$O$430:$O$729,예비비!$B$430:$B$729,예비비!$A274,예비비!$E$430:$E$729,"&lt;"&amp;EDATE(BN$99,1))),0)</f>
        <v>0</v>
      </c>
      <c r="BO274">
        <f>IF(예비비!$R274="OK",SUMIFS(예비비!$O$430:$O$729,예비비!$B$430:$B$729,예비비!$A274,예비비!$E$430:$E$729,"&lt;"&amp;EDATE(BO$99,1),예비비!$F$430:$F$729,"결제대금비")+MAX(0,IF(예비비!$D274&lt;EDATE(BO$99,1),예비비!$E274,0)-SUMIFS(예비비!$O$430:$O$729,예비비!$B$430:$B$729,예비비!$A274,예비비!$E$430:$E$729,"&lt;"&amp;EDATE(BO$99,1))),0)</f>
        <v>0</v>
      </c>
      <c r="BP274">
        <f>IF(예비비!$R274="OK",SUMIFS(예비비!$O$430:$O$729,예비비!$B$430:$B$729,예비비!$A274,예비비!$E$430:$E$729,"&lt;"&amp;EDATE(BP$99,1),예비비!$F$430:$F$729,"결제대금비")+MAX(0,IF(예비비!$D274&lt;EDATE(BP$99,1),예비비!$E274,0)-SUMIFS(예비비!$O$430:$O$729,예비비!$B$430:$B$729,예비비!$A274,예비비!$E$430:$E$729,"&lt;"&amp;EDATE(BP$99,1))),0)</f>
        <v>0</v>
      </c>
      <c r="BQ274">
        <f>IF(예비비!$R274="OK",SUMIFS(예비비!$O$430:$O$729,예비비!$B$430:$B$729,예비비!$A274,예비비!$E$430:$E$729,"&lt;"&amp;EDATE(BQ$99,1),예비비!$F$430:$F$729,"결제대금비")+MAX(0,IF(예비비!$D274&lt;EDATE(BQ$99,1),예비비!$E274,0)-SUMIFS(예비비!$O$430:$O$729,예비비!$B$430:$B$729,예비비!$A274,예비비!$E$430:$E$729,"&lt;"&amp;EDATE(BQ$99,1))),0)</f>
        <v>0</v>
      </c>
      <c r="BR274">
        <f>IF(예비비!$R274="OK",SUMIFS(예비비!$O$430:$O$729,예비비!$B$430:$B$729,예비비!$A274,예비비!$E$430:$E$729,"&lt;"&amp;EDATE(BR$99,1),예비비!$F$430:$F$729,"결제대금비")+MAX(0,IF(예비비!$D274&lt;EDATE(BR$99,1),예비비!$E274,0)-SUMIFS(예비비!$O$430:$O$729,예비비!$B$430:$B$729,예비비!$A274,예비비!$E$430:$E$729,"&lt;"&amp;EDATE(BR$99,1))),0)</f>
        <v>0</v>
      </c>
      <c r="BS274">
        <f>IF(예비비!$R274="OK",SUMIFS(예비비!$O$430:$O$729,예비비!$B$430:$B$729,예비비!$A274,예비비!$E$430:$E$729,"&lt;"&amp;EDATE(BS$99,1),예비비!$F$430:$F$729,"결제대금비")+MAX(0,IF(예비비!$D274&lt;EDATE(BS$99,1),예비비!$E274,0)-SUMIFS(예비비!$O$430:$O$729,예비비!$B$430:$B$729,예비비!$A274,예비비!$E$430:$E$729,"&lt;"&amp;EDATE(BS$99,1))),0)</f>
        <v>0</v>
      </c>
      <c r="BT274">
        <f>IF(예비비!$R274="OK",SUMIFS(예비비!$O$430:$O$729,예비비!$B$430:$B$729,예비비!$A274,예비비!$E$430:$E$729,"&lt;"&amp;EDATE(BT$99,1),예비비!$F$430:$F$729,"결제대금비")+MAX(0,IF(예비비!$D274&lt;EDATE(BT$99,1),예비비!$E274,0)-SUMIFS(예비비!$O$430:$O$729,예비비!$B$430:$B$729,예비비!$A274,예비비!$E$430:$E$729,"&lt;"&amp;EDATE(BT$99,1))),0)</f>
        <v>0</v>
      </c>
      <c r="BU274">
        <f>IF(예비비!$R274="OK",SUMIFS(예비비!$O$430:$O$729,예비비!$B$430:$B$729,예비비!$A274,예비비!$E$430:$E$729,"&lt;"&amp;EDATE(BU$99,1),예비비!$F$430:$F$729,"결제대금비")+MAX(0,IF(예비비!$D274&lt;EDATE(BU$99,1),예비비!$E274,0)-SUMIFS(예비비!$O$430:$O$729,예비비!$B$430:$B$729,예비비!$A274,예비비!$E$430:$E$729,"&lt;"&amp;EDATE(BU$99,1))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  <c r="BI275">
        <f>IF(예비비!$R275="OK",SUMIFS(예비비!$O$430:$O$729,예비비!$B$430:$B$729,예비비!$A275,예비비!$E$430:$E$729,"&lt;"&amp;EDATE(BI$99,1),예비비!$F$430:$F$729,"결제대금비")+MAX(0,IF(예비비!$D275&lt;EDATE(BI$99,1),예비비!$E275,0)-SUMIFS(예비비!$O$430:$O$729,예비비!$B$430:$B$729,예비비!$A275,예비비!$E$430:$E$729,"&lt;"&amp;EDATE(BI$99,1))),0)</f>
        <v>0</v>
      </c>
      <c r="BJ275">
        <f>IF(예비비!$R275="OK",SUMIFS(예비비!$O$430:$O$729,예비비!$B$430:$B$729,예비비!$A275,예비비!$E$430:$E$729,"&lt;"&amp;EDATE(BJ$99,1),예비비!$F$430:$F$729,"결제대금비")+MAX(0,IF(예비비!$D275&lt;EDATE(BJ$99,1),예비비!$E275,0)-SUMIFS(예비비!$O$430:$O$729,예비비!$B$430:$B$729,예비비!$A275,예비비!$E$430:$E$729,"&lt;"&amp;EDATE(BJ$99,1))),0)</f>
        <v>0</v>
      </c>
      <c r="BK275">
        <f>IF(예비비!$R275="OK",SUMIFS(예비비!$O$430:$O$729,예비비!$B$430:$B$729,예비비!$A275,예비비!$E$430:$E$729,"&lt;"&amp;EDATE(BK$99,1),예비비!$F$430:$F$729,"결제대금비")+MAX(0,IF(예비비!$D275&lt;EDATE(BK$99,1),예비비!$E275,0)-SUMIFS(예비비!$O$430:$O$729,예비비!$B$430:$B$729,예비비!$A275,예비비!$E$430:$E$729,"&lt;"&amp;EDATE(BK$99,1))),0)</f>
        <v>0</v>
      </c>
      <c r="BL275">
        <f>IF(예비비!$R275="OK",SUMIFS(예비비!$O$430:$O$729,예비비!$B$430:$B$729,예비비!$A275,예비비!$E$430:$E$729,"&lt;"&amp;EDATE(BL$99,1),예비비!$F$430:$F$729,"결제대금비")+MAX(0,IF(예비비!$D275&lt;EDATE(BL$99,1),예비비!$E275,0)-SUMIFS(예비비!$O$430:$O$729,예비비!$B$430:$B$729,예비비!$A275,예비비!$E$430:$E$729,"&lt;"&amp;EDATE(BL$99,1))),0)</f>
        <v>0</v>
      </c>
      <c r="BM275">
        <f>IF(예비비!$R275="OK",SUMIFS(예비비!$O$430:$O$729,예비비!$B$430:$B$729,예비비!$A275,예비비!$E$430:$E$729,"&lt;"&amp;EDATE(BM$99,1),예비비!$F$430:$F$729,"결제대금비")+MAX(0,IF(예비비!$D275&lt;EDATE(BM$99,1),예비비!$E275,0)-SUMIFS(예비비!$O$430:$O$729,예비비!$B$430:$B$729,예비비!$A275,예비비!$E$430:$E$729,"&lt;"&amp;EDATE(BM$99,1))),0)</f>
        <v>0</v>
      </c>
      <c r="BN275">
        <f>IF(예비비!$R275="OK",SUMIFS(예비비!$O$430:$O$729,예비비!$B$430:$B$729,예비비!$A275,예비비!$E$430:$E$729,"&lt;"&amp;EDATE(BN$99,1),예비비!$F$430:$F$729,"결제대금비")+MAX(0,IF(예비비!$D275&lt;EDATE(BN$99,1),예비비!$E275,0)-SUMIFS(예비비!$O$430:$O$729,예비비!$B$430:$B$729,예비비!$A275,예비비!$E$430:$E$729,"&lt;"&amp;EDATE(BN$99,1))),0)</f>
        <v>0</v>
      </c>
      <c r="BO275">
        <f>IF(예비비!$R275="OK",SUMIFS(예비비!$O$430:$O$729,예비비!$B$430:$B$729,예비비!$A275,예비비!$E$430:$E$729,"&lt;"&amp;EDATE(BO$99,1),예비비!$F$430:$F$729,"결제대금비")+MAX(0,IF(예비비!$D275&lt;EDATE(BO$99,1),예비비!$E275,0)-SUMIFS(예비비!$O$430:$O$729,예비비!$B$430:$B$729,예비비!$A275,예비비!$E$430:$E$729,"&lt;"&amp;EDATE(BO$99,1))),0)</f>
        <v>0</v>
      </c>
      <c r="BP275">
        <f>IF(예비비!$R275="OK",SUMIFS(예비비!$O$430:$O$729,예비비!$B$430:$B$729,예비비!$A275,예비비!$E$430:$E$729,"&lt;"&amp;EDATE(BP$99,1),예비비!$F$430:$F$729,"결제대금비")+MAX(0,IF(예비비!$D275&lt;EDATE(BP$99,1),예비비!$E275,0)-SUMIFS(예비비!$O$430:$O$729,예비비!$B$430:$B$729,예비비!$A275,예비비!$E$430:$E$729,"&lt;"&amp;EDATE(BP$99,1))),0)</f>
        <v>0</v>
      </c>
      <c r="BQ275">
        <f>IF(예비비!$R275="OK",SUMIFS(예비비!$O$430:$O$729,예비비!$B$430:$B$729,예비비!$A275,예비비!$E$430:$E$729,"&lt;"&amp;EDATE(BQ$99,1),예비비!$F$430:$F$729,"결제대금비")+MAX(0,IF(예비비!$D275&lt;EDATE(BQ$99,1),예비비!$E275,0)-SUMIFS(예비비!$O$430:$O$729,예비비!$B$430:$B$729,예비비!$A275,예비비!$E$430:$E$729,"&lt;"&amp;EDATE(BQ$99,1))),0)</f>
        <v>0</v>
      </c>
      <c r="BR275">
        <f>IF(예비비!$R275="OK",SUMIFS(예비비!$O$430:$O$729,예비비!$B$430:$B$729,예비비!$A275,예비비!$E$430:$E$729,"&lt;"&amp;EDATE(BR$99,1),예비비!$F$430:$F$729,"결제대금비")+MAX(0,IF(예비비!$D275&lt;EDATE(BR$99,1),예비비!$E275,0)-SUMIFS(예비비!$O$430:$O$729,예비비!$B$430:$B$729,예비비!$A275,예비비!$E$430:$E$729,"&lt;"&amp;EDATE(BR$99,1))),0)</f>
        <v>0</v>
      </c>
      <c r="BS275">
        <f>IF(예비비!$R275="OK",SUMIFS(예비비!$O$430:$O$729,예비비!$B$430:$B$729,예비비!$A275,예비비!$E$430:$E$729,"&lt;"&amp;EDATE(BS$99,1),예비비!$F$430:$F$729,"결제대금비")+MAX(0,IF(예비비!$D275&lt;EDATE(BS$99,1),예비비!$E275,0)-SUMIFS(예비비!$O$430:$O$729,예비비!$B$430:$B$729,예비비!$A275,예비비!$E$430:$E$729,"&lt;"&amp;EDATE(BS$99,1))),0)</f>
        <v>0</v>
      </c>
      <c r="BT275">
        <f>IF(예비비!$R275="OK",SUMIFS(예비비!$O$430:$O$729,예비비!$B$430:$B$729,예비비!$A275,예비비!$E$430:$E$729,"&lt;"&amp;EDATE(BT$99,1),예비비!$F$430:$F$729,"결제대금비")+MAX(0,IF(예비비!$D275&lt;EDATE(BT$99,1),예비비!$E275,0)-SUMIFS(예비비!$O$430:$O$729,예비비!$B$430:$B$729,예비비!$A275,예비비!$E$430:$E$729,"&lt;"&amp;EDATE(BT$99,1))),0)</f>
        <v>0</v>
      </c>
      <c r="BU275">
        <f>IF(예비비!$R275="OK",SUMIFS(예비비!$O$430:$O$729,예비비!$B$430:$B$729,예비비!$A275,예비비!$E$430:$E$729,"&lt;"&amp;EDATE(BU$99,1),예비비!$F$430:$F$729,"결제대금비")+MAX(0,IF(예비비!$D275&lt;EDATE(BU$99,1),예비비!$E275,0)-SUMIFS(예비비!$O$430:$O$729,예비비!$B$430:$B$729,예비비!$A275,예비비!$E$430:$E$729,"&lt;"&amp;EDATE(BU$99,1))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  <c r="BI276">
        <f>IF(예비비!$R276="OK",SUMIFS(예비비!$O$430:$O$729,예비비!$B$430:$B$729,예비비!$A276,예비비!$E$430:$E$729,"&lt;"&amp;EDATE(BI$99,1),예비비!$F$430:$F$729,"결제대금비")+MAX(0,IF(예비비!$D276&lt;EDATE(BI$99,1),예비비!$E276,0)-SUMIFS(예비비!$O$430:$O$729,예비비!$B$430:$B$729,예비비!$A276,예비비!$E$430:$E$729,"&lt;"&amp;EDATE(BI$99,1))),0)</f>
        <v>0</v>
      </c>
      <c r="BJ276">
        <f>IF(예비비!$R276="OK",SUMIFS(예비비!$O$430:$O$729,예비비!$B$430:$B$729,예비비!$A276,예비비!$E$430:$E$729,"&lt;"&amp;EDATE(BJ$99,1),예비비!$F$430:$F$729,"결제대금비")+MAX(0,IF(예비비!$D276&lt;EDATE(BJ$99,1),예비비!$E276,0)-SUMIFS(예비비!$O$430:$O$729,예비비!$B$430:$B$729,예비비!$A276,예비비!$E$430:$E$729,"&lt;"&amp;EDATE(BJ$99,1))),0)</f>
        <v>0</v>
      </c>
      <c r="BK276">
        <f>IF(예비비!$R276="OK",SUMIFS(예비비!$O$430:$O$729,예비비!$B$430:$B$729,예비비!$A276,예비비!$E$430:$E$729,"&lt;"&amp;EDATE(BK$99,1),예비비!$F$430:$F$729,"결제대금비")+MAX(0,IF(예비비!$D276&lt;EDATE(BK$99,1),예비비!$E276,0)-SUMIFS(예비비!$O$430:$O$729,예비비!$B$430:$B$729,예비비!$A276,예비비!$E$430:$E$729,"&lt;"&amp;EDATE(BK$99,1))),0)</f>
        <v>0</v>
      </c>
      <c r="BL276">
        <f>IF(예비비!$R276="OK",SUMIFS(예비비!$O$430:$O$729,예비비!$B$430:$B$729,예비비!$A276,예비비!$E$430:$E$729,"&lt;"&amp;EDATE(BL$99,1),예비비!$F$430:$F$729,"결제대금비")+MAX(0,IF(예비비!$D276&lt;EDATE(BL$99,1),예비비!$E276,0)-SUMIFS(예비비!$O$430:$O$729,예비비!$B$430:$B$729,예비비!$A276,예비비!$E$430:$E$729,"&lt;"&amp;EDATE(BL$99,1))),0)</f>
        <v>0</v>
      </c>
      <c r="BM276">
        <f>IF(예비비!$R276="OK",SUMIFS(예비비!$O$430:$O$729,예비비!$B$430:$B$729,예비비!$A276,예비비!$E$430:$E$729,"&lt;"&amp;EDATE(BM$99,1),예비비!$F$430:$F$729,"결제대금비")+MAX(0,IF(예비비!$D276&lt;EDATE(BM$99,1),예비비!$E276,0)-SUMIFS(예비비!$O$430:$O$729,예비비!$B$430:$B$729,예비비!$A276,예비비!$E$430:$E$729,"&lt;"&amp;EDATE(BM$99,1))),0)</f>
        <v>0</v>
      </c>
      <c r="BN276">
        <f>IF(예비비!$R276="OK",SUMIFS(예비비!$O$430:$O$729,예비비!$B$430:$B$729,예비비!$A276,예비비!$E$430:$E$729,"&lt;"&amp;EDATE(BN$99,1),예비비!$F$430:$F$729,"결제대금비")+MAX(0,IF(예비비!$D276&lt;EDATE(BN$99,1),예비비!$E276,0)-SUMIFS(예비비!$O$430:$O$729,예비비!$B$430:$B$729,예비비!$A276,예비비!$E$430:$E$729,"&lt;"&amp;EDATE(BN$99,1))),0)</f>
        <v>0</v>
      </c>
      <c r="BO276">
        <f>IF(예비비!$R276="OK",SUMIFS(예비비!$O$430:$O$729,예비비!$B$430:$B$729,예비비!$A276,예비비!$E$430:$E$729,"&lt;"&amp;EDATE(BO$99,1),예비비!$F$430:$F$729,"결제대금비")+MAX(0,IF(예비비!$D276&lt;EDATE(BO$99,1),예비비!$E276,0)-SUMIFS(예비비!$O$430:$O$729,예비비!$B$430:$B$729,예비비!$A276,예비비!$E$430:$E$729,"&lt;"&amp;EDATE(BO$99,1))),0)</f>
        <v>0</v>
      </c>
      <c r="BP276">
        <f>IF(예비비!$R276="OK",SUMIFS(예비비!$O$430:$O$729,예비비!$B$430:$B$729,예비비!$A276,예비비!$E$430:$E$729,"&lt;"&amp;EDATE(BP$99,1),예비비!$F$430:$F$729,"결제대금비")+MAX(0,IF(예비비!$D276&lt;EDATE(BP$99,1),예비비!$E276,0)-SUMIFS(예비비!$O$430:$O$729,예비비!$B$430:$B$729,예비비!$A276,예비비!$E$430:$E$729,"&lt;"&amp;EDATE(BP$99,1))),0)</f>
        <v>0</v>
      </c>
      <c r="BQ276">
        <f>IF(예비비!$R276="OK",SUMIFS(예비비!$O$430:$O$729,예비비!$B$430:$B$729,예비비!$A276,예비비!$E$430:$E$729,"&lt;"&amp;EDATE(BQ$99,1),예비비!$F$430:$F$729,"결제대금비")+MAX(0,IF(예비비!$D276&lt;EDATE(BQ$99,1),예비비!$E276,0)-SUMIFS(예비비!$O$430:$O$729,예비비!$B$430:$B$729,예비비!$A276,예비비!$E$430:$E$729,"&lt;"&amp;EDATE(BQ$99,1))),0)</f>
        <v>0</v>
      </c>
      <c r="BR276">
        <f>IF(예비비!$R276="OK",SUMIFS(예비비!$O$430:$O$729,예비비!$B$430:$B$729,예비비!$A276,예비비!$E$430:$E$729,"&lt;"&amp;EDATE(BR$99,1),예비비!$F$430:$F$729,"결제대금비")+MAX(0,IF(예비비!$D276&lt;EDATE(BR$99,1),예비비!$E276,0)-SUMIFS(예비비!$O$430:$O$729,예비비!$B$430:$B$729,예비비!$A276,예비비!$E$430:$E$729,"&lt;"&amp;EDATE(BR$99,1))),0)</f>
        <v>0</v>
      </c>
      <c r="BS276">
        <f>IF(예비비!$R276="OK",SUMIFS(예비비!$O$430:$O$729,예비비!$B$430:$B$729,예비비!$A276,예비비!$E$430:$E$729,"&lt;"&amp;EDATE(BS$99,1),예비비!$F$430:$F$729,"결제대금비")+MAX(0,IF(예비비!$D276&lt;EDATE(BS$99,1),예비비!$E276,0)-SUMIFS(예비비!$O$430:$O$729,예비비!$B$430:$B$729,예비비!$A276,예비비!$E$430:$E$729,"&lt;"&amp;EDATE(BS$99,1))),0)</f>
        <v>0</v>
      </c>
      <c r="BT276">
        <f>IF(예비비!$R276="OK",SUMIFS(예비비!$O$430:$O$729,예비비!$B$430:$B$729,예비비!$A276,예비비!$E$430:$E$729,"&lt;"&amp;EDATE(BT$99,1),예비비!$F$430:$F$729,"결제대금비")+MAX(0,IF(예비비!$D276&lt;EDATE(BT$99,1),예비비!$E276,0)-SUMIFS(예비비!$O$430:$O$729,예비비!$B$430:$B$729,예비비!$A276,예비비!$E$430:$E$729,"&lt;"&amp;EDATE(BT$99,1))),0)</f>
        <v>0</v>
      </c>
      <c r="BU276">
        <f>IF(예비비!$R276="OK",SUMIFS(예비비!$O$430:$O$729,예비비!$B$430:$B$729,예비비!$A276,예비비!$E$430:$E$729,"&lt;"&amp;EDATE(BU$99,1),예비비!$F$430:$F$729,"결제대금비")+MAX(0,IF(예비비!$D276&lt;EDATE(BU$99,1),예비비!$E276,0)-SUMIFS(예비비!$O$430:$O$729,예비비!$B$430:$B$729,예비비!$A276,예비비!$E$430:$E$729,"&lt;"&amp;EDATE(BU$99,1))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  <c r="BI277">
        <f>IF(예비비!$R277="OK",SUMIFS(예비비!$O$430:$O$729,예비비!$B$430:$B$729,예비비!$A277,예비비!$E$430:$E$729,"&lt;"&amp;EDATE(BI$99,1),예비비!$F$430:$F$729,"결제대금비")+MAX(0,IF(예비비!$D277&lt;EDATE(BI$99,1),예비비!$E277,0)-SUMIFS(예비비!$O$430:$O$729,예비비!$B$430:$B$729,예비비!$A277,예비비!$E$430:$E$729,"&lt;"&amp;EDATE(BI$99,1))),0)</f>
        <v>0</v>
      </c>
      <c r="BJ277">
        <f>IF(예비비!$R277="OK",SUMIFS(예비비!$O$430:$O$729,예비비!$B$430:$B$729,예비비!$A277,예비비!$E$430:$E$729,"&lt;"&amp;EDATE(BJ$99,1),예비비!$F$430:$F$729,"결제대금비")+MAX(0,IF(예비비!$D277&lt;EDATE(BJ$99,1),예비비!$E277,0)-SUMIFS(예비비!$O$430:$O$729,예비비!$B$430:$B$729,예비비!$A277,예비비!$E$430:$E$729,"&lt;"&amp;EDATE(BJ$99,1))),0)</f>
        <v>0</v>
      </c>
      <c r="BK277">
        <f>IF(예비비!$R277="OK",SUMIFS(예비비!$O$430:$O$729,예비비!$B$430:$B$729,예비비!$A277,예비비!$E$430:$E$729,"&lt;"&amp;EDATE(BK$99,1),예비비!$F$430:$F$729,"결제대금비")+MAX(0,IF(예비비!$D277&lt;EDATE(BK$99,1),예비비!$E277,0)-SUMIFS(예비비!$O$430:$O$729,예비비!$B$430:$B$729,예비비!$A277,예비비!$E$430:$E$729,"&lt;"&amp;EDATE(BK$99,1))),0)</f>
        <v>0</v>
      </c>
      <c r="BL277">
        <f>IF(예비비!$R277="OK",SUMIFS(예비비!$O$430:$O$729,예비비!$B$430:$B$729,예비비!$A277,예비비!$E$430:$E$729,"&lt;"&amp;EDATE(BL$99,1),예비비!$F$430:$F$729,"결제대금비")+MAX(0,IF(예비비!$D277&lt;EDATE(BL$99,1),예비비!$E277,0)-SUMIFS(예비비!$O$430:$O$729,예비비!$B$430:$B$729,예비비!$A277,예비비!$E$430:$E$729,"&lt;"&amp;EDATE(BL$99,1))),0)</f>
        <v>0</v>
      </c>
      <c r="BM277">
        <f>IF(예비비!$R277="OK",SUMIFS(예비비!$O$430:$O$729,예비비!$B$430:$B$729,예비비!$A277,예비비!$E$430:$E$729,"&lt;"&amp;EDATE(BM$99,1),예비비!$F$430:$F$729,"결제대금비")+MAX(0,IF(예비비!$D277&lt;EDATE(BM$99,1),예비비!$E277,0)-SUMIFS(예비비!$O$430:$O$729,예비비!$B$430:$B$729,예비비!$A277,예비비!$E$430:$E$729,"&lt;"&amp;EDATE(BM$99,1))),0)</f>
        <v>0</v>
      </c>
      <c r="BN277">
        <f>IF(예비비!$R277="OK",SUMIFS(예비비!$O$430:$O$729,예비비!$B$430:$B$729,예비비!$A277,예비비!$E$430:$E$729,"&lt;"&amp;EDATE(BN$99,1),예비비!$F$430:$F$729,"결제대금비")+MAX(0,IF(예비비!$D277&lt;EDATE(BN$99,1),예비비!$E277,0)-SUMIFS(예비비!$O$430:$O$729,예비비!$B$430:$B$729,예비비!$A277,예비비!$E$430:$E$729,"&lt;"&amp;EDATE(BN$99,1))),0)</f>
        <v>0</v>
      </c>
      <c r="BO277">
        <f>IF(예비비!$R277="OK",SUMIFS(예비비!$O$430:$O$729,예비비!$B$430:$B$729,예비비!$A277,예비비!$E$430:$E$729,"&lt;"&amp;EDATE(BO$99,1),예비비!$F$430:$F$729,"결제대금비")+MAX(0,IF(예비비!$D277&lt;EDATE(BO$99,1),예비비!$E277,0)-SUMIFS(예비비!$O$430:$O$729,예비비!$B$430:$B$729,예비비!$A277,예비비!$E$430:$E$729,"&lt;"&amp;EDATE(BO$99,1))),0)</f>
        <v>0</v>
      </c>
      <c r="BP277">
        <f>IF(예비비!$R277="OK",SUMIFS(예비비!$O$430:$O$729,예비비!$B$430:$B$729,예비비!$A277,예비비!$E$430:$E$729,"&lt;"&amp;EDATE(BP$99,1),예비비!$F$430:$F$729,"결제대금비")+MAX(0,IF(예비비!$D277&lt;EDATE(BP$99,1),예비비!$E277,0)-SUMIFS(예비비!$O$430:$O$729,예비비!$B$430:$B$729,예비비!$A277,예비비!$E$430:$E$729,"&lt;"&amp;EDATE(BP$99,1))),0)</f>
        <v>0</v>
      </c>
      <c r="BQ277">
        <f>IF(예비비!$R277="OK",SUMIFS(예비비!$O$430:$O$729,예비비!$B$430:$B$729,예비비!$A277,예비비!$E$430:$E$729,"&lt;"&amp;EDATE(BQ$99,1),예비비!$F$430:$F$729,"결제대금비")+MAX(0,IF(예비비!$D277&lt;EDATE(BQ$99,1),예비비!$E277,0)-SUMIFS(예비비!$O$430:$O$729,예비비!$B$430:$B$729,예비비!$A277,예비비!$E$430:$E$729,"&lt;"&amp;EDATE(BQ$99,1))),0)</f>
        <v>0</v>
      </c>
      <c r="BR277">
        <f>IF(예비비!$R277="OK",SUMIFS(예비비!$O$430:$O$729,예비비!$B$430:$B$729,예비비!$A277,예비비!$E$430:$E$729,"&lt;"&amp;EDATE(BR$99,1),예비비!$F$430:$F$729,"결제대금비")+MAX(0,IF(예비비!$D277&lt;EDATE(BR$99,1),예비비!$E277,0)-SUMIFS(예비비!$O$430:$O$729,예비비!$B$430:$B$729,예비비!$A277,예비비!$E$430:$E$729,"&lt;"&amp;EDATE(BR$99,1))),0)</f>
        <v>0</v>
      </c>
      <c r="BS277">
        <f>IF(예비비!$R277="OK",SUMIFS(예비비!$O$430:$O$729,예비비!$B$430:$B$729,예비비!$A277,예비비!$E$430:$E$729,"&lt;"&amp;EDATE(BS$99,1),예비비!$F$430:$F$729,"결제대금비")+MAX(0,IF(예비비!$D277&lt;EDATE(BS$99,1),예비비!$E277,0)-SUMIFS(예비비!$O$430:$O$729,예비비!$B$430:$B$729,예비비!$A277,예비비!$E$430:$E$729,"&lt;"&amp;EDATE(BS$99,1))),0)</f>
        <v>0</v>
      </c>
      <c r="BT277">
        <f>IF(예비비!$R277="OK",SUMIFS(예비비!$O$430:$O$729,예비비!$B$430:$B$729,예비비!$A277,예비비!$E$430:$E$729,"&lt;"&amp;EDATE(BT$99,1),예비비!$F$430:$F$729,"결제대금비")+MAX(0,IF(예비비!$D277&lt;EDATE(BT$99,1),예비비!$E277,0)-SUMIFS(예비비!$O$430:$O$729,예비비!$B$430:$B$729,예비비!$A277,예비비!$E$430:$E$729,"&lt;"&amp;EDATE(BT$99,1))),0)</f>
        <v>0</v>
      </c>
      <c r="BU277">
        <f>IF(예비비!$R277="OK",SUMIFS(예비비!$O$430:$O$729,예비비!$B$430:$B$729,예비비!$A277,예비비!$E$430:$E$729,"&lt;"&amp;EDATE(BU$99,1),예비비!$F$430:$F$729,"결제대금비")+MAX(0,IF(예비비!$D277&lt;EDATE(BU$99,1),예비비!$E277,0)-SUMIFS(예비비!$O$430:$O$729,예비비!$B$430:$B$729,예비비!$A277,예비비!$E$430:$E$729,"&lt;"&amp;EDATE(BU$99,1))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  <c r="BI278">
        <f>IF(예비비!$R278="OK",SUMIFS(예비비!$O$430:$O$729,예비비!$B$430:$B$729,예비비!$A278,예비비!$E$430:$E$729,"&lt;"&amp;EDATE(BI$99,1),예비비!$F$430:$F$729,"결제대금비")+MAX(0,IF(예비비!$D278&lt;EDATE(BI$99,1),예비비!$E278,0)-SUMIFS(예비비!$O$430:$O$729,예비비!$B$430:$B$729,예비비!$A278,예비비!$E$430:$E$729,"&lt;"&amp;EDATE(BI$99,1))),0)</f>
        <v>0</v>
      </c>
      <c r="BJ278">
        <f>IF(예비비!$R278="OK",SUMIFS(예비비!$O$430:$O$729,예비비!$B$430:$B$729,예비비!$A278,예비비!$E$430:$E$729,"&lt;"&amp;EDATE(BJ$99,1),예비비!$F$430:$F$729,"결제대금비")+MAX(0,IF(예비비!$D278&lt;EDATE(BJ$99,1),예비비!$E278,0)-SUMIFS(예비비!$O$430:$O$729,예비비!$B$430:$B$729,예비비!$A278,예비비!$E$430:$E$729,"&lt;"&amp;EDATE(BJ$99,1))),0)</f>
        <v>0</v>
      </c>
      <c r="BK278">
        <f>IF(예비비!$R278="OK",SUMIFS(예비비!$O$430:$O$729,예비비!$B$430:$B$729,예비비!$A278,예비비!$E$430:$E$729,"&lt;"&amp;EDATE(BK$99,1),예비비!$F$430:$F$729,"결제대금비")+MAX(0,IF(예비비!$D278&lt;EDATE(BK$99,1),예비비!$E278,0)-SUMIFS(예비비!$O$430:$O$729,예비비!$B$430:$B$729,예비비!$A278,예비비!$E$430:$E$729,"&lt;"&amp;EDATE(BK$99,1))),0)</f>
        <v>0</v>
      </c>
      <c r="BL278">
        <f>IF(예비비!$R278="OK",SUMIFS(예비비!$O$430:$O$729,예비비!$B$430:$B$729,예비비!$A278,예비비!$E$430:$E$729,"&lt;"&amp;EDATE(BL$99,1),예비비!$F$430:$F$729,"결제대금비")+MAX(0,IF(예비비!$D278&lt;EDATE(BL$99,1),예비비!$E278,0)-SUMIFS(예비비!$O$430:$O$729,예비비!$B$430:$B$729,예비비!$A278,예비비!$E$430:$E$729,"&lt;"&amp;EDATE(BL$99,1))),0)</f>
        <v>0</v>
      </c>
      <c r="BM278">
        <f>IF(예비비!$R278="OK",SUMIFS(예비비!$O$430:$O$729,예비비!$B$430:$B$729,예비비!$A278,예비비!$E$430:$E$729,"&lt;"&amp;EDATE(BM$99,1),예비비!$F$430:$F$729,"결제대금비")+MAX(0,IF(예비비!$D278&lt;EDATE(BM$99,1),예비비!$E278,0)-SUMIFS(예비비!$O$430:$O$729,예비비!$B$430:$B$729,예비비!$A278,예비비!$E$430:$E$729,"&lt;"&amp;EDATE(BM$99,1))),0)</f>
        <v>0</v>
      </c>
      <c r="BN278">
        <f>IF(예비비!$R278="OK",SUMIFS(예비비!$O$430:$O$729,예비비!$B$430:$B$729,예비비!$A278,예비비!$E$430:$E$729,"&lt;"&amp;EDATE(BN$99,1),예비비!$F$430:$F$729,"결제대금비")+MAX(0,IF(예비비!$D278&lt;EDATE(BN$99,1),예비비!$E278,0)-SUMIFS(예비비!$O$430:$O$729,예비비!$B$430:$B$729,예비비!$A278,예비비!$E$430:$E$729,"&lt;"&amp;EDATE(BN$99,1))),0)</f>
        <v>0</v>
      </c>
      <c r="BO278">
        <f>IF(예비비!$R278="OK",SUMIFS(예비비!$O$430:$O$729,예비비!$B$430:$B$729,예비비!$A278,예비비!$E$430:$E$729,"&lt;"&amp;EDATE(BO$99,1),예비비!$F$430:$F$729,"결제대금비")+MAX(0,IF(예비비!$D278&lt;EDATE(BO$99,1),예비비!$E278,0)-SUMIFS(예비비!$O$430:$O$729,예비비!$B$430:$B$729,예비비!$A278,예비비!$E$430:$E$729,"&lt;"&amp;EDATE(BO$99,1))),0)</f>
        <v>0</v>
      </c>
      <c r="BP278">
        <f>IF(예비비!$R278="OK",SUMIFS(예비비!$O$430:$O$729,예비비!$B$430:$B$729,예비비!$A278,예비비!$E$430:$E$729,"&lt;"&amp;EDATE(BP$99,1),예비비!$F$430:$F$729,"결제대금비")+MAX(0,IF(예비비!$D278&lt;EDATE(BP$99,1),예비비!$E278,0)-SUMIFS(예비비!$O$430:$O$729,예비비!$B$430:$B$729,예비비!$A278,예비비!$E$430:$E$729,"&lt;"&amp;EDATE(BP$99,1))),0)</f>
        <v>0</v>
      </c>
      <c r="BQ278">
        <f>IF(예비비!$R278="OK",SUMIFS(예비비!$O$430:$O$729,예비비!$B$430:$B$729,예비비!$A278,예비비!$E$430:$E$729,"&lt;"&amp;EDATE(BQ$99,1),예비비!$F$430:$F$729,"결제대금비")+MAX(0,IF(예비비!$D278&lt;EDATE(BQ$99,1),예비비!$E278,0)-SUMIFS(예비비!$O$430:$O$729,예비비!$B$430:$B$729,예비비!$A278,예비비!$E$430:$E$729,"&lt;"&amp;EDATE(BQ$99,1))),0)</f>
        <v>0</v>
      </c>
      <c r="BR278">
        <f>IF(예비비!$R278="OK",SUMIFS(예비비!$O$430:$O$729,예비비!$B$430:$B$729,예비비!$A278,예비비!$E$430:$E$729,"&lt;"&amp;EDATE(BR$99,1),예비비!$F$430:$F$729,"결제대금비")+MAX(0,IF(예비비!$D278&lt;EDATE(BR$99,1),예비비!$E278,0)-SUMIFS(예비비!$O$430:$O$729,예비비!$B$430:$B$729,예비비!$A278,예비비!$E$430:$E$729,"&lt;"&amp;EDATE(BR$99,1))),0)</f>
        <v>0</v>
      </c>
      <c r="BS278">
        <f>IF(예비비!$R278="OK",SUMIFS(예비비!$O$430:$O$729,예비비!$B$430:$B$729,예비비!$A278,예비비!$E$430:$E$729,"&lt;"&amp;EDATE(BS$99,1),예비비!$F$430:$F$729,"결제대금비")+MAX(0,IF(예비비!$D278&lt;EDATE(BS$99,1),예비비!$E278,0)-SUMIFS(예비비!$O$430:$O$729,예비비!$B$430:$B$729,예비비!$A278,예비비!$E$430:$E$729,"&lt;"&amp;EDATE(BS$99,1))),0)</f>
        <v>0</v>
      </c>
      <c r="BT278">
        <f>IF(예비비!$R278="OK",SUMIFS(예비비!$O$430:$O$729,예비비!$B$430:$B$729,예비비!$A278,예비비!$E$430:$E$729,"&lt;"&amp;EDATE(BT$99,1),예비비!$F$430:$F$729,"결제대금비")+MAX(0,IF(예비비!$D278&lt;EDATE(BT$99,1),예비비!$E278,0)-SUMIFS(예비비!$O$430:$O$729,예비비!$B$430:$B$729,예비비!$A278,예비비!$E$430:$E$729,"&lt;"&amp;EDATE(BT$99,1))),0)</f>
        <v>0</v>
      </c>
      <c r="BU278">
        <f>IF(예비비!$R278="OK",SUMIFS(예비비!$O$430:$O$729,예비비!$B$430:$B$729,예비비!$A278,예비비!$E$430:$E$729,"&lt;"&amp;EDATE(BU$99,1),예비비!$F$430:$F$729,"결제대금비")+MAX(0,IF(예비비!$D278&lt;EDATE(BU$99,1),예비비!$E278,0)-SUMIFS(예비비!$O$430:$O$729,예비비!$B$430:$B$729,예비비!$A278,예비비!$E$430:$E$729,"&lt;"&amp;EDATE(BU$99,1))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  <c r="BI279">
        <f>IF(예비비!$R279="OK",SUMIFS(예비비!$O$430:$O$729,예비비!$B$430:$B$729,예비비!$A279,예비비!$E$430:$E$729,"&lt;"&amp;EDATE(BI$99,1),예비비!$F$430:$F$729,"결제대금비")+MAX(0,IF(예비비!$D279&lt;EDATE(BI$99,1),예비비!$E279,0)-SUMIFS(예비비!$O$430:$O$729,예비비!$B$430:$B$729,예비비!$A279,예비비!$E$430:$E$729,"&lt;"&amp;EDATE(BI$99,1))),0)</f>
        <v>0</v>
      </c>
      <c r="BJ279">
        <f>IF(예비비!$R279="OK",SUMIFS(예비비!$O$430:$O$729,예비비!$B$430:$B$729,예비비!$A279,예비비!$E$430:$E$729,"&lt;"&amp;EDATE(BJ$99,1),예비비!$F$430:$F$729,"결제대금비")+MAX(0,IF(예비비!$D279&lt;EDATE(BJ$99,1),예비비!$E279,0)-SUMIFS(예비비!$O$430:$O$729,예비비!$B$430:$B$729,예비비!$A279,예비비!$E$430:$E$729,"&lt;"&amp;EDATE(BJ$99,1))),0)</f>
        <v>0</v>
      </c>
      <c r="BK279">
        <f>IF(예비비!$R279="OK",SUMIFS(예비비!$O$430:$O$729,예비비!$B$430:$B$729,예비비!$A279,예비비!$E$430:$E$729,"&lt;"&amp;EDATE(BK$99,1),예비비!$F$430:$F$729,"결제대금비")+MAX(0,IF(예비비!$D279&lt;EDATE(BK$99,1),예비비!$E279,0)-SUMIFS(예비비!$O$430:$O$729,예비비!$B$430:$B$729,예비비!$A279,예비비!$E$430:$E$729,"&lt;"&amp;EDATE(BK$99,1))),0)</f>
        <v>0</v>
      </c>
      <c r="BL279">
        <f>IF(예비비!$R279="OK",SUMIFS(예비비!$O$430:$O$729,예비비!$B$430:$B$729,예비비!$A279,예비비!$E$430:$E$729,"&lt;"&amp;EDATE(BL$99,1),예비비!$F$430:$F$729,"결제대금비")+MAX(0,IF(예비비!$D279&lt;EDATE(BL$99,1),예비비!$E279,0)-SUMIFS(예비비!$O$430:$O$729,예비비!$B$430:$B$729,예비비!$A279,예비비!$E$430:$E$729,"&lt;"&amp;EDATE(BL$99,1))),0)</f>
        <v>0</v>
      </c>
      <c r="BM279">
        <f>IF(예비비!$R279="OK",SUMIFS(예비비!$O$430:$O$729,예비비!$B$430:$B$729,예비비!$A279,예비비!$E$430:$E$729,"&lt;"&amp;EDATE(BM$99,1),예비비!$F$430:$F$729,"결제대금비")+MAX(0,IF(예비비!$D279&lt;EDATE(BM$99,1),예비비!$E279,0)-SUMIFS(예비비!$O$430:$O$729,예비비!$B$430:$B$729,예비비!$A279,예비비!$E$430:$E$729,"&lt;"&amp;EDATE(BM$99,1))),0)</f>
        <v>0</v>
      </c>
      <c r="BN279">
        <f>IF(예비비!$R279="OK",SUMIFS(예비비!$O$430:$O$729,예비비!$B$430:$B$729,예비비!$A279,예비비!$E$430:$E$729,"&lt;"&amp;EDATE(BN$99,1),예비비!$F$430:$F$729,"결제대금비")+MAX(0,IF(예비비!$D279&lt;EDATE(BN$99,1),예비비!$E279,0)-SUMIFS(예비비!$O$430:$O$729,예비비!$B$430:$B$729,예비비!$A279,예비비!$E$430:$E$729,"&lt;"&amp;EDATE(BN$99,1))),0)</f>
        <v>0</v>
      </c>
      <c r="BO279">
        <f>IF(예비비!$R279="OK",SUMIFS(예비비!$O$430:$O$729,예비비!$B$430:$B$729,예비비!$A279,예비비!$E$430:$E$729,"&lt;"&amp;EDATE(BO$99,1),예비비!$F$430:$F$729,"결제대금비")+MAX(0,IF(예비비!$D279&lt;EDATE(BO$99,1),예비비!$E279,0)-SUMIFS(예비비!$O$430:$O$729,예비비!$B$430:$B$729,예비비!$A279,예비비!$E$430:$E$729,"&lt;"&amp;EDATE(BO$99,1))),0)</f>
        <v>0</v>
      </c>
      <c r="BP279">
        <f>IF(예비비!$R279="OK",SUMIFS(예비비!$O$430:$O$729,예비비!$B$430:$B$729,예비비!$A279,예비비!$E$430:$E$729,"&lt;"&amp;EDATE(BP$99,1),예비비!$F$430:$F$729,"결제대금비")+MAX(0,IF(예비비!$D279&lt;EDATE(BP$99,1),예비비!$E279,0)-SUMIFS(예비비!$O$430:$O$729,예비비!$B$430:$B$729,예비비!$A279,예비비!$E$430:$E$729,"&lt;"&amp;EDATE(BP$99,1))),0)</f>
        <v>0</v>
      </c>
      <c r="BQ279">
        <f>IF(예비비!$R279="OK",SUMIFS(예비비!$O$430:$O$729,예비비!$B$430:$B$729,예비비!$A279,예비비!$E$430:$E$729,"&lt;"&amp;EDATE(BQ$99,1),예비비!$F$430:$F$729,"결제대금비")+MAX(0,IF(예비비!$D279&lt;EDATE(BQ$99,1),예비비!$E279,0)-SUMIFS(예비비!$O$430:$O$729,예비비!$B$430:$B$729,예비비!$A279,예비비!$E$430:$E$729,"&lt;"&amp;EDATE(BQ$99,1))),0)</f>
        <v>0</v>
      </c>
      <c r="BR279">
        <f>IF(예비비!$R279="OK",SUMIFS(예비비!$O$430:$O$729,예비비!$B$430:$B$729,예비비!$A279,예비비!$E$430:$E$729,"&lt;"&amp;EDATE(BR$99,1),예비비!$F$430:$F$729,"결제대금비")+MAX(0,IF(예비비!$D279&lt;EDATE(BR$99,1),예비비!$E279,0)-SUMIFS(예비비!$O$430:$O$729,예비비!$B$430:$B$729,예비비!$A279,예비비!$E$430:$E$729,"&lt;"&amp;EDATE(BR$99,1))),0)</f>
        <v>0</v>
      </c>
      <c r="BS279">
        <f>IF(예비비!$R279="OK",SUMIFS(예비비!$O$430:$O$729,예비비!$B$430:$B$729,예비비!$A279,예비비!$E$430:$E$729,"&lt;"&amp;EDATE(BS$99,1),예비비!$F$430:$F$729,"결제대금비")+MAX(0,IF(예비비!$D279&lt;EDATE(BS$99,1),예비비!$E279,0)-SUMIFS(예비비!$O$430:$O$729,예비비!$B$430:$B$729,예비비!$A279,예비비!$E$430:$E$729,"&lt;"&amp;EDATE(BS$99,1))),0)</f>
        <v>0</v>
      </c>
      <c r="BT279">
        <f>IF(예비비!$R279="OK",SUMIFS(예비비!$O$430:$O$729,예비비!$B$430:$B$729,예비비!$A279,예비비!$E$430:$E$729,"&lt;"&amp;EDATE(BT$99,1),예비비!$F$430:$F$729,"결제대금비")+MAX(0,IF(예비비!$D279&lt;EDATE(BT$99,1),예비비!$E279,0)-SUMIFS(예비비!$O$430:$O$729,예비비!$B$430:$B$729,예비비!$A279,예비비!$E$430:$E$729,"&lt;"&amp;EDATE(BT$99,1))),0)</f>
        <v>0</v>
      </c>
      <c r="BU279">
        <f>IF(예비비!$R279="OK",SUMIFS(예비비!$O$430:$O$729,예비비!$B$430:$B$729,예비비!$A279,예비비!$E$430:$E$729,"&lt;"&amp;EDATE(BU$99,1),예비비!$F$430:$F$729,"결제대금비")+MAX(0,IF(예비비!$D279&lt;EDATE(BU$99,1),예비비!$E279,0)-SUMIFS(예비비!$O$430:$O$729,예비비!$B$430:$B$729,예비비!$A279,예비비!$E$430:$E$729,"&lt;"&amp;EDATE(BU$99,1))),0)</f>
        <v>0</v>
      </c>
    </row>
    <row r="280">
      <c r="BA280">
        <v>224</v>
      </c>
      <c r="BB280">
        <f>IFERROR(INDEX(잔액!$A:$A,BA280),0)</f>
        <v>46266.0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  <c r="BI280">
        <f>IF(예비비!$R280="OK",SUMIFS(예비비!$O$430:$O$729,예비비!$B$430:$B$729,예비비!$A280,예비비!$E$430:$E$729,"&lt;"&amp;EDATE(BI$99,1),예비비!$F$430:$F$729,"결제대금비")+MAX(0,IF(예비비!$D280&lt;EDATE(BI$99,1),예비비!$E280,0)-SUMIFS(예비비!$O$430:$O$729,예비비!$B$430:$B$729,예비비!$A280,예비비!$E$430:$E$729,"&lt;"&amp;EDATE(BI$99,1))),0)</f>
        <v>0</v>
      </c>
      <c r="BJ280">
        <f>IF(예비비!$R280="OK",SUMIFS(예비비!$O$430:$O$729,예비비!$B$430:$B$729,예비비!$A280,예비비!$E$430:$E$729,"&lt;"&amp;EDATE(BJ$99,1),예비비!$F$430:$F$729,"결제대금비")+MAX(0,IF(예비비!$D280&lt;EDATE(BJ$99,1),예비비!$E280,0)-SUMIFS(예비비!$O$430:$O$729,예비비!$B$430:$B$729,예비비!$A280,예비비!$E$430:$E$729,"&lt;"&amp;EDATE(BJ$99,1))),0)</f>
        <v>0</v>
      </c>
      <c r="BK280">
        <f>IF(예비비!$R280="OK",SUMIFS(예비비!$O$430:$O$729,예비비!$B$430:$B$729,예비비!$A280,예비비!$E$430:$E$729,"&lt;"&amp;EDATE(BK$99,1),예비비!$F$430:$F$729,"결제대금비")+MAX(0,IF(예비비!$D280&lt;EDATE(BK$99,1),예비비!$E280,0)-SUMIFS(예비비!$O$430:$O$729,예비비!$B$430:$B$729,예비비!$A280,예비비!$E$430:$E$729,"&lt;"&amp;EDATE(BK$99,1))),0)</f>
        <v>0</v>
      </c>
      <c r="BL280">
        <f>IF(예비비!$R280="OK",SUMIFS(예비비!$O$430:$O$729,예비비!$B$430:$B$729,예비비!$A280,예비비!$E$430:$E$729,"&lt;"&amp;EDATE(BL$99,1),예비비!$F$430:$F$729,"결제대금비")+MAX(0,IF(예비비!$D280&lt;EDATE(BL$99,1),예비비!$E280,0)-SUMIFS(예비비!$O$430:$O$729,예비비!$B$430:$B$729,예비비!$A280,예비비!$E$430:$E$729,"&lt;"&amp;EDATE(BL$99,1))),0)</f>
        <v>0</v>
      </c>
      <c r="BM280">
        <f>IF(예비비!$R280="OK",SUMIFS(예비비!$O$430:$O$729,예비비!$B$430:$B$729,예비비!$A280,예비비!$E$430:$E$729,"&lt;"&amp;EDATE(BM$99,1),예비비!$F$430:$F$729,"결제대금비")+MAX(0,IF(예비비!$D280&lt;EDATE(BM$99,1),예비비!$E280,0)-SUMIFS(예비비!$O$430:$O$729,예비비!$B$430:$B$729,예비비!$A280,예비비!$E$430:$E$729,"&lt;"&amp;EDATE(BM$99,1))),0)</f>
        <v>0</v>
      </c>
      <c r="BN280">
        <f>IF(예비비!$R280="OK",SUMIFS(예비비!$O$430:$O$729,예비비!$B$430:$B$729,예비비!$A280,예비비!$E$430:$E$729,"&lt;"&amp;EDATE(BN$99,1),예비비!$F$430:$F$729,"결제대금비")+MAX(0,IF(예비비!$D280&lt;EDATE(BN$99,1),예비비!$E280,0)-SUMIFS(예비비!$O$430:$O$729,예비비!$B$430:$B$729,예비비!$A280,예비비!$E$430:$E$729,"&lt;"&amp;EDATE(BN$99,1))),0)</f>
        <v>0</v>
      </c>
      <c r="BO280">
        <f>IF(예비비!$R280="OK",SUMIFS(예비비!$O$430:$O$729,예비비!$B$430:$B$729,예비비!$A280,예비비!$E$430:$E$729,"&lt;"&amp;EDATE(BO$99,1),예비비!$F$430:$F$729,"결제대금비")+MAX(0,IF(예비비!$D280&lt;EDATE(BO$99,1),예비비!$E280,0)-SUMIFS(예비비!$O$430:$O$729,예비비!$B$430:$B$729,예비비!$A280,예비비!$E$430:$E$729,"&lt;"&amp;EDATE(BO$99,1))),0)</f>
        <v>0</v>
      </c>
      <c r="BP280">
        <f>IF(예비비!$R280="OK",SUMIFS(예비비!$O$430:$O$729,예비비!$B$430:$B$729,예비비!$A280,예비비!$E$430:$E$729,"&lt;"&amp;EDATE(BP$99,1),예비비!$F$430:$F$729,"결제대금비")+MAX(0,IF(예비비!$D280&lt;EDATE(BP$99,1),예비비!$E280,0)-SUMIFS(예비비!$O$430:$O$729,예비비!$B$430:$B$729,예비비!$A280,예비비!$E$430:$E$729,"&lt;"&amp;EDATE(BP$99,1))),0)</f>
        <v>0</v>
      </c>
      <c r="BQ280">
        <f>IF(예비비!$R280="OK",SUMIFS(예비비!$O$430:$O$729,예비비!$B$430:$B$729,예비비!$A280,예비비!$E$430:$E$729,"&lt;"&amp;EDATE(BQ$99,1),예비비!$F$430:$F$729,"결제대금비")+MAX(0,IF(예비비!$D280&lt;EDATE(BQ$99,1),예비비!$E280,0)-SUMIFS(예비비!$O$430:$O$729,예비비!$B$430:$B$729,예비비!$A280,예비비!$E$430:$E$729,"&lt;"&amp;EDATE(BQ$99,1))),0)</f>
        <v>0</v>
      </c>
      <c r="BR280">
        <f>IF(예비비!$R280="OK",SUMIFS(예비비!$O$430:$O$729,예비비!$B$430:$B$729,예비비!$A280,예비비!$E$430:$E$729,"&lt;"&amp;EDATE(BR$99,1),예비비!$F$430:$F$729,"결제대금비")+MAX(0,IF(예비비!$D280&lt;EDATE(BR$99,1),예비비!$E280,0)-SUMIFS(예비비!$O$430:$O$729,예비비!$B$430:$B$729,예비비!$A280,예비비!$E$430:$E$729,"&lt;"&amp;EDATE(BR$99,1))),0)</f>
        <v>0</v>
      </c>
      <c r="BS280">
        <f>IF(예비비!$R280="OK",SUMIFS(예비비!$O$430:$O$729,예비비!$B$430:$B$729,예비비!$A280,예비비!$E$430:$E$729,"&lt;"&amp;EDATE(BS$99,1),예비비!$F$430:$F$729,"결제대금비")+MAX(0,IF(예비비!$D280&lt;EDATE(BS$99,1),예비비!$E280,0)-SUMIFS(예비비!$O$430:$O$729,예비비!$B$430:$B$729,예비비!$A280,예비비!$E$430:$E$729,"&lt;"&amp;EDATE(BS$99,1))),0)</f>
        <v>0</v>
      </c>
      <c r="BT280">
        <f>IF(예비비!$R280="OK",SUMIFS(예비비!$O$430:$O$729,예비비!$B$430:$B$729,예비비!$A280,예비비!$E$430:$E$729,"&lt;"&amp;EDATE(BT$99,1),예비비!$F$430:$F$729,"결제대금비")+MAX(0,IF(예비비!$D280&lt;EDATE(BT$99,1),예비비!$E280,0)-SUMIFS(예비비!$O$430:$O$729,예비비!$B$430:$B$729,예비비!$A280,예비비!$E$430:$E$729,"&lt;"&amp;EDATE(BT$99,1))),0)</f>
        <v>0</v>
      </c>
      <c r="BU280">
        <f>IF(예비비!$R280="OK",SUMIFS(예비비!$O$430:$O$729,예비비!$B$430:$B$729,예비비!$A280,예비비!$E$430:$E$729,"&lt;"&amp;EDATE(BU$99,1),예비비!$F$430:$F$729,"결제대금비")+MAX(0,IF(예비비!$D280&lt;EDATE(BU$99,1),예비비!$E280,0)-SUMIFS(예비비!$O$430:$O$729,예비비!$B$430:$B$729,예비비!$A280,예비비!$E$430:$E$729,"&lt;"&amp;EDATE(BU$99,1))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  <c r="BI281">
        <f>IF(예비비!$R281="OK",SUMIFS(예비비!$O$430:$O$729,예비비!$B$430:$B$729,예비비!$A281,예비비!$E$430:$E$729,"&lt;"&amp;EDATE(BI$99,1),예비비!$F$430:$F$729,"결제대금비")+MAX(0,IF(예비비!$D281&lt;EDATE(BI$99,1),예비비!$E281,0)-SUMIFS(예비비!$O$430:$O$729,예비비!$B$430:$B$729,예비비!$A281,예비비!$E$430:$E$729,"&lt;"&amp;EDATE(BI$99,1))),0)</f>
        <v>0</v>
      </c>
      <c r="BJ281">
        <f>IF(예비비!$R281="OK",SUMIFS(예비비!$O$430:$O$729,예비비!$B$430:$B$729,예비비!$A281,예비비!$E$430:$E$729,"&lt;"&amp;EDATE(BJ$99,1),예비비!$F$430:$F$729,"결제대금비")+MAX(0,IF(예비비!$D281&lt;EDATE(BJ$99,1),예비비!$E281,0)-SUMIFS(예비비!$O$430:$O$729,예비비!$B$430:$B$729,예비비!$A281,예비비!$E$430:$E$729,"&lt;"&amp;EDATE(BJ$99,1))),0)</f>
        <v>0</v>
      </c>
      <c r="BK281">
        <f>IF(예비비!$R281="OK",SUMIFS(예비비!$O$430:$O$729,예비비!$B$430:$B$729,예비비!$A281,예비비!$E$430:$E$729,"&lt;"&amp;EDATE(BK$99,1),예비비!$F$430:$F$729,"결제대금비")+MAX(0,IF(예비비!$D281&lt;EDATE(BK$99,1),예비비!$E281,0)-SUMIFS(예비비!$O$430:$O$729,예비비!$B$430:$B$729,예비비!$A281,예비비!$E$430:$E$729,"&lt;"&amp;EDATE(BK$99,1))),0)</f>
        <v>0</v>
      </c>
      <c r="BL281">
        <f>IF(예비비!$R281="OK",SUMIFS(예비비!$O$430:$O$729,예비비!$B$430:$B$729,예비비!$A281,예비비!$E$430:$E$729,"&lt;"&amp;EDATE(BL$99,1),예비비!$F$430:$F$729,"결제대금비")+MAX(0,IF(예비비!$D281&lt;EDATE(BL$99,1),예비비!$E281,0)-SUMIFS(예비비!$O$430:$O$729,예비비!$B$430:$B$729,예비비!$A281,예비비!$E$430:$E$729,"&lt;"&amp;EDATE(BL$99,1))),0)</f>
        <v>0</v>
      </c>
      <c r="BM281">
        <f>IF(예비비!$R281="OK",SUMIFS(예비비!$O$430:$O$729,예비비!$B$430:$B$729,예비비!$A281,예비비!$E$430:$E$729,"&lt;"&amp;EDATE(BM$99,1),예비비!$F$430:$F$729,"결제대금비")+MAX(0,IF(예비비!$D281&lt;EDATE(BM$99,1),예비비!$E281,0)-SUMIFS(예비비!$O$430:$O$729,예비비!$B$430:$B$729,예비비!$A281,예비비!$E$430:$E$729,"&lt;"&amp;EDATE(BM$99,1))),0)</f>
        <v>0</v>
      </c>
      <c r="BN281">
        <f>IF(예비비!$R281="OK",SUMIFS(예비비!$O$430:$O$729,예비비!$B$430:$B$729,예비비!$A281,예비비!$E$430:$E$729,"&lt;"&amp;EDATE(BN$99,1),예비비!$F$430:$F$729,"결제대금비")+MAX(0,IF(예비비!$D281&lt;EDATE(BN$99,1),예비비!$E281,0)-SUMIFS(예비비!$O$430:$O$729,예비비!$B$430:$B$729,예비비!$A281,예비비!$E$430:$E$729,"&lt;"&amp;EDATE(BN$99,1))),0)</f>
        <v>0</v>
      </c>
      <c r="BO281">
        <f>IF(예비비!$R281="OK",SUMIFS(예비비!$O$430:$O$729,예비비!$B$430:$B$729,예비비!$A281,예비비!$E$430:$E$729,"&lt;"&amp;EDATE(BO$99,1),예비비!$F$430:$F$729,"결제대금비")+MAX(0,IF(예비비!$D281&lt;EDATE(BO$99,1),예비비!$E281,0)-SUMIFS(예비비!$O$430:$O$729,예비비!$B$430:$B$729,예비비!$A281,예비비!$E$430:$E$729,"&lt;"&amp;EDATE(BO$99,1))),0)</f>
        <v>0</v>
      </c>
      <c r="BP281">
        <f>IF(예비비!$R281="OK",SUMIFS(예비비!$O$430:$O$729,예비비!$B$430:$B$729,예비비!$A281,예비비!$E$430:$E$729,"&lt;"&amp;EDATE(BP$99,1),예비비!$F$430:$F$729,"결제대금비")+MAX(0,IF(예비비!$D281&lt;EDATE(BP$99,1),예비비!$E281,0)-SUMIFS(예비비!$O$430:$O$729,예비비!$B$430:$B$729,예비비!$A281,예비비!$E$430:$E$729,"&lt;"&amp;EDATE(BP$99,1))),0)</f>
        <v>0</v>
      </c>
      <c r="BQ281">
        <f>IF(예비비!$R281="OK",SUMIFS(예비비!$O$430:$O$729,예비비!$B$430:$B$729,예비비!$A281,예비비!$E$430:$E$729,"&lt;"&amp;EDATE(BQ$99,1),예비비!$F$430:$F$729,"결제대금비")+MAX(0,IF(예비비!$D281&lt;EDATE(BQ$99,1),예비비!$E281,0)-SUMIFS(예비비!$O$430:$O$729,예비비!$B$430:$B$729,예비비!$A281,예비비!$E$430:$E$729,"&lt;"&amp;EDATE(BQ$99,1))),0)</f>
        <v>0</v>
      </c>
      <c r="BR281">
        <f>IF(예비비!$R281="OK",SUMIFS(예비비!$O$430:$O$729,예비비!$B$430:$B$729,예비비!$A281,예비비!$E$430:$E$729,"&lt;"&amp;EDATE(BR$99,1),예비비!$F$430:$F$729,"결제대금비")+MAX(0,IF(예비비!$D281&lt;EDATE(BR$99,1),예비비!$E281,0)-SUMIFS(예비비!$O$430:$O$729,예비비!$B$430:$B$729,예비비!$A281,예비비!$E$430:$E$729,"&lt;"&amp;EDATE(BR$99,1))),0)</f>
        <v>0</v>
      </c>
      <c r="BS281">
        <f>IF(예비비!$R281="OK",SUMIFS(예비비!$O$430:$O$729,예비비!$B$430:$B$729,예비비!$A281,예비비!$E$430:$E$729,"&lt;"&amp;EDATE(BS$99,1),예비비!$F$430:$F$729,"결제대금비")+MAX(0,IF(예비비!$D281&lt;EDATE(BS$99,1),예비비!$E281,0)-SUMIFS(예비비!$O$430:$O$729,예비비!$B$430:$B$729,예비비!$A281,예비비!$E$430:$E$729,"&lt;"&amp;EDATE(BS$99,1))),0)</f>
        <v>0</v>
      </c>
      <c r="BT281">
        <f>IF(예비비!$R281="OK",SUMIFS(예비비!$O$430:$O$729,예비비!$B$430:$B$729,예비비!$A281,예비비!$E$430:$E$729,"&lt;"&amp;EDATE(BT$99,1),예비비!$F$430:$F$729,"결제대금비")+MAX(0,IF(예비비!$D281&lt;EDATE(BT$99,1),예비비!$E281,0)-SUMIFS(예비비!$O$430:$O$729,예비비!$B$430:$B$729,예비비!$A281,예비비!$E$430:$E$729,"&lt;"&amp;EDATE(BT$99,1))),0)</f>
        <v>0</v>
      </c>
      <c r="BU281">
        <f>IF(예비비!$R281="OK",SUMIFS(예비비!$O$430:$O$729,예비비!$B$430:$B$729,예비비!$A281,예비비!$E$430:$E$729,"&lt;"&amp;EDATE(BU$99,1),예비비!$F$430:$F$729,"결제대금비")+MAX(0,IF(예비비!$D281&lt;EDATE(BU$99,1),예비비!$E281,0)-SUMIFS(예비비!$O$430:$O$729,예비비!$B$430:$B$729,예비비!$A281,예비비!$E$430:$E$729,"&lt;"&amp;EDATE(BU$99,1))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  <c r="BI282">
        <f>IF(예비비!$R282="OK",SUMIFS(예비비!$O$430:$O$729,예비비!$B$430:$B$729,예비비!$A282,예비비!$E$430:$E$729,"&lt;"&amp;EDATE(BI$99,1),예비비!$F$430:$F$729,"결제대금비")+MAX(0,IF(예비비!$D282&lt;EDATE(BI$99,1),예비비!$E282,0)-SUMIFS(예비비!$O$430:$O$729,예비비!$B$430:$B$729,예비비!$A282,예비비!$E$430:$E$729,"&lt;"&amp;EDATE(BI$99,1))),0)</f>
        <v>0</v>
      </c>
      <c r="BJ282">
        <f>IF(예비비!$R282="OK",SUMIFS(예비비!$O$430:$O$729,예비비!$B$430:$B$729,예비비!$A282,예비비!$E$430:$E$729,"&lt;"&amp;EDATE(BJ$99,1),예비비!$F$430:$F$729,"결제대금비")+MAX(0,IF(예비비!$D282&lt;EDATE(BJ$99,1),예비비!$E282,0)-SUMIFS(예비비!$O$430:$O$729,예비비!$B$430:$B$729,예비비!$A282,예비비!$E$430:$E$729,"&lt;"&amp;EDATE(BJ$99,1))),0)</f>
        <v>0</v>
      </c>
      <c r="BK282">
        <f>IF(예비비!$R282="OK",SUMIFS(예비비!$O$430:$O$729,예비비!$B$430:$B$729,예비비!$A282,예비비!$E$430:$E$729,"&lt;"&amp;EDATE(BK$99,1),예비비!$F$430:$F$729,"결제대금비")+MAX(0,IF(예비비!$D282&lt;EDATE(BK$99,1),예비비!$E282,0)-SUMIFS(예비비!$O$430:$O$729,예비비!$B$430:$B$729,예비비!$A282,예비비!$E$430:$E$729,"&lt;"&amp;EDATE(BK$99,1))),0)</f>
        <v>0</v>
      </c>
      <c r="BL282">
        <f>IF(예비비!$R282="OK",SUMIFS(예비비!$O$430:$O$729,예비비!$B$430:$B$729,예비비!$A282,예비비!$E$430:$E$729,"&lt;"&amp;EDATE(BL$99,1),예비비!$F$430:$F$729,"결제대금비")+MAX(0,IF(예비비!$D282&lt;EDATE(BL$99,1),예비비!$E282,0)-SUMIFS(예비비!$O$430:$O$729,예비비!$B$430:$B$729,예비비!$A282,예비비!$E$430:$E$729,"&lt;"&amp;EDATE(BL$99,1))),0)</f>
        <v>0</v>
      </c>
      <c r="BM282">
        <f>IF(예비비!$R282="OK",SUMIFS(예비비!$O$430:$O$729,예비비!$B$430:$B$729,예비비!$A282,예비비!$E$430:$E$729,"&lt;"&amp;EDATE(BM$99,1),예비비!$F$430:$F$729,"결제대금비")+MAX(0,IF(예비비!$D282&lt;EDATE(BM$99,1),예비비!$E282,0)-SUMIFS(예비비!$O$430:$O$729,예비비!$B$430:$B$729,예비비!$A282,예비비!$E$430:$E$729,"&lt;"&amp;EDATE(BM$99,1))),0)</f>
        <v>0</v>
      </c>
      <c r="BN282">
        <f>IF(예비비!$R282="OK",SUMIFS(예비비!$O$430:$O$729,예비비!$B$430:$B$729,예비비!$A282,예비비!$E$430:$E$729,"&lt;"&amp;EDATE(BN$99,1),예비비!$F$430:$F$729,"결제대금비")+MAX(0,IF(예비비!$D282&lt;EDATE(BN$99,1),예비비!$E282,0)-SUMIFS(예비비!$O$430:$O$729,예비비!$B$430:$B$729,예비비!$A282,예비비!$E$430:$E$729,"&lt;"&amp;EDATE(BN$99,1))),0)</f>
        <v>0</v>
      </c>
      <c r="BO282">
        <f>IF(예비비!$R282="OK",SUMIFS(예비비!$O$430:$O$729,예비비!$B$430:$B$729,예비비!$A282,예비비!$E$430:$E$729,"&lt;"&amp;EDATE(BO$99,1),예비비!$F$430:$F$729,"결제대금비")+MAX(0,IF(예비비!$D282&lt;EDATE(BO$99,1),예비비!$E282,0)-SUMIFS(예비비!$O$430:$O$729,예비비!$B$430:$B$729,예비비!$A282,예비비!$E$430:$E$729,"&lt;"&amp;EDATE(BO$99,1))),0)</f>
        <v>0</v>
      </c>
      <c r="BP282">
        <f>IF(예비비!$R282="OK",SUMIFS(예비비!$O$430:$O$729,예비비!$B$430:$B$729,예비비!$A282,예비비!$E$430:$E$729,"&lt;"&amp;EDATE(BP$99,1),예비비!$F$430:$F$729,"결제대금비")+MAX(0,IF(예비비!$D282&lt;EDATE(BP$99,1),예비비!$E282,0)-SUMIFS(예비비!$O$430:$O$729,예비비!$B$430:$B$729,예비비!$A282,예비비!$E$430:$E$729,"&lt;"&amp;EDATE(BP$99,1))),0)</f>
        <v>0</v>
      </c>
      <c r="BQ282">
        <f>IF(예비비!$R282="OK",SUMIFS(예비비!$O$430:$O$729,예비비!$B$430:$B$729,예비비!$A282,예비비!$E$430:$E$729,"&lt;"&amp;EDATE(BQ$99,1),예비비!$F$430:$F$729,"결제대금비")+MAX(0,IF(예비비!$D282&lt;EDATE(BQ$99,1),예비비!$E282,0)-SUMIFS(예비비!$O$430:$O$729,예비비!$B$430:$B$729,예비비!$A282,예비비!$E$430:$E$729,"&lt;"&amp;EDATE(BQ$99,1))),0)</f>
        <v>0</v>
      </c>
      <c r="BR282">
        <f>IF(예비비!$R282="OK",SUMIFS(예비비!$O$430:$O$729,예비비!$B$430:$B$729,예비비!$A282,예비비!$E$430:$E$729,"&lt;"&amp;EDATE(BR$99,1),예비비!$F$430:$F$729,"결제대금비")+MAX(0,IF(예비비!$D282&lt;EDATE(BR$99,1),예비비!$E282,0)-SUMIFS(예비비!$O$430:$O$729,예비비!$B$430:$B$729,예비비!$A282,예비비!$E$430:$E$729,"&lt;"&amp;EDATE(BR$99,1))),0)</f>
        <v>0</v>
      </c>
      <c r="BS282">
        <f>IF(예비비!$R282="OK",SUMIFS(예비비!$O$430:$O$729,예비비!$B$430:$B$729,예비비!$A282,예비비!$E$430:$E$729,"&lt;"&amp;EDATE(BS$99,1),예비비!$F$430:$F$729,"결제대금비")+MAX(0,IF(예비비!$D282&lt;EDATE(BS$99,1),예비비!$E282,0)-SUMIFS(예비비!$O$430:$O$729,예비비!$B$430:$B$729,예비비!$A282,예비비!$E$430:$E$729,"&lt;"&amp;EDATE(BS$99,1))),0)</f>
        <v>0</v>
      </c>
      <c r="BT282">
        <f>IF(예비비!$R282="OK",SUMIFS(예비비!$O$430:$O$729,예비비!$B$430:$B$729,예비비!$A282,예비비!$E$430:$E$729,"&lt;"&amp;EDATE(BT$99,1),예비비!$F$430:$F$729,"결제대금비")+MAX(0,IF(예비비!$D282&lt;EDATE(BT$99,1),예비비!$E282,0)-SUMIFS(예비비!$O$430:$O$729,예비비!$B$430:$B$729,예비비!$A282,예비비!$E$430:$E$729,"&lt;"&amp;EDATE(BT$99,1))),0)</f>
        <v>0</v>
      </c>
      <c r="BU282">
        <f>IF(예비비!$R282="OK",SUMIFS(예비비!$O$430:$O$729,예비비!$B$430:$B$729,예비비!$A282,예비비!$E$430:$E$729,"&lt;"&amp;EDATE(BU$99,1),예비비!$F$430:$F$729,"결제대금비")+MAX(0,IF(예비비!$D282&lt;EDATE(BU$99,1),예비비!$E282,0)-SUMIFS(예비비!$O$430:$O$729,예비비!$B$430:$B$729,예비비!$A282,예비비!$E$430:$E$729,"&lt;"&amp;EDATE(BU$99,1))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  <c r="BI283">
        <f>IF(예비비!$R283="OK",SUMIFS(예비비!$O$430:$O$729,예비비!$B$430:$B$729,예비비!$A283,예비비!$E$430:$E$729,"&lt;"&amp;EDATE(BI$99,1),예비비!$F$430:$F$729,"결제대금비")+MAX(0,IF(예비비!$D283&lt;EDATE(BI$99,1),예비비!$E283,0)-SUMIFS(예비비!$O$430:$O$729,예비비!$B$430:$B$729,예비비!$A283,예비비!$E$430:$E$729,"&lt;"&amp;EDATE(BI$99,1))),0)</f>
        <v>0</v>
      </c>
      <c r="BJ283">
        <f>IF(예비비!$R283="OK",SUMIFS(예비비!$O$430:$O$729,예비비!$B$430:$B$729,예비비!$A283,예비비!$E$430:$E$729,"&lt;"&amp;EDATE(BJ$99,1),예비비!$F$430:$F$729,"결제대금비")+MAX(0,IF(예비비!$D283&lt;EDATE(BJ$99,1),예비비!$E283,0)-SUMIFS(예비비!$O$430:$O$729,예비비!$B$430:$B$729,예비비!$A283,예비비!$E$430:$E$729,"&lt;"&amp;EDATE(BJ$99,1))),0)</f>
        <v>0</v>
      </c>
      <c r="BK283">
        <f>IF(예비비!$R283="OK",SUMIFS(예비비!$O$430:$O$729,예비비!$B$430:$B$729,예비비!$A283,예비비!$E$430:$E$729,"&lt;"&amp;EDATE(BK$99,1),예비비!$F$430:$F$729,"결제대금비")+MAX(0,IF(예비비!$D283&lt;EDATE(BK$99,1),예비비!$E283,0)-SUMIFS(예비비!$O$430:$O$729,예비비!$B$430:$B$729,예비비!$A283,예비비!$E$430:$E$729,"&lt;"&amp;EDATE(BK$99,1))),0)</f>
        <v>0</v>
      </c>
      <c r="BL283">
        <f>IF(예비비!$R283="OK",SUMIFS(예비비!$O$430:$O$729,예비비!$B$430:$B$729,예비비!$A283,예비비!$E$430:$E$729,"&lt;"&amp;EDATE(BL$99,1),예비비!$F$430:$F$729,"결제대금비")+MAX(0,IF(예비비!$D283&lt;EDATE(BL$99,1),예비비!$E283,0)-SUMIFS(예비비!$O$430:$O$729,예비비!$B$430:$B$729,예비비!$A283,예비비!$E$430:$E$729,"&lt;"&amp;EDATE(BL$99,1))),0)</f>
        <v>0</v>
      </c>
      <c r="BM283">
        <f>IF(예비비!$R283="OK",SUMIFS(예비비!$O$430:$O$729,예비비!$B$430:$B$729,예비비!$A283,예비비!$E$430:$E$729,"&lt;"&amp;EDATE(BM$99,1),예비비!$F$430:$F$729,"결제대금비")+MAX(0,IF(예비비!$D283&lt;EDATE(BM$99,1),예비비!$E283,0)-SUMIFS(예비비!$O$430:$O$729,예비비!$B$430:$B$729,예비비!$A283,예비비!$E$430:$E$729,"&lt;"&amp;EDATE(BM$99,1))),0)</f>
        <v>0</v>
      </c>
      <c r="BN283">
        <f>IF(예비비!$R283="OK",SUMIFS(예비비!$O$430:$O$729,예비비!$B$430:$B$729,예비비!$A283,예비비!$E$430:$E$729,"&lt;"&amp;EDATE(BN$99,1),예비비!$F$430:$F$729,"결제대금비")+MAX(0,IF(예비비!$D283&lt;EDATE(BN$99,1),예비비!$E283,0)-SUMIFS(예비비!$O$430:$O$729,예비비!$B$430:$B$729,예비비!$A283,예비비!$E$430:$E$729,"&lt;"&amp;EDATE(BN$99,1))),0)</f>
        <v>0</v>
      </c>
      <c r="BO283">
        <f>IF(예비비!$R283="OK",SUMIFS(예비비!$O$430:$O$729,예비비!$B$430:$B$729,예비비!$A283,예비비!$E$430:$E$729,"&lt;"&amp;EDATE(BO$99,1),예비비!$F$430:$F$729,"결제대금비")+MAX(0,IF(예비비!$D283&lt;EDATE(BO$99,1),예비비!$E283,0)-SUMIFS(예비비!$O$430:$O$729,예비비!$B$430:$B$729,예비비!$A283,예비비!$E$430:$E$729,"&lt;"&amp;EDATE(BO$99,1))),0)</f>
        <v>0</v>
      </c>
      <c r="BP283">
        <f>IF(예비비!$R283="OK",SUMIFS(예비비!$O$430:$O$729,예비비!$B$430:$B$729,예비비!$A283,예비비!$E$430:$E$729,"&lt;"&amp;EDATE(BP$99,1),예비비!$F$430:$F$729,"결제대금비")+MAX(0,IF(예비비!$D283&lt;EDATE(BP$99,1),예비비!$E283,0)-SUMIFS(예비비!$O$430:$O$729,예비비!$B$430:$B$729,예비비!$A283,예비비!$E$430:$E$729,"&lt;"&amp;EDATE(BP$99,1))),0)</f>
        <v>0</v>
      </c>
      <c r="BQ283">
        <f>IF(예비비!$R283="OK",SUMIFS(예비비!$O$430:$O$729,예비비!$B$430:$B$729,예비비!$A283,예비비!$E$430:$E$729,"&lt;"&amp;EDATE(BQ$99,1),예비비!$F$430:$F$729,"결제대금비")+MAX(0,IF(예비비!$D283&lt;EDATE(BQ$99,1),예비비!$E283,0)-SUMIFS(예비비!$O$430:$O$729,예비비!$B$430:$B$729,예비비!$A283,예비비!$E$430:$E$729,"&lt;"&amp;EDATE(BQ$99,1))),0)</f>
        <v>0</v>
      </c>
      <c r="BR283">
        <f>IF(예비비!$R283="OK",SUMIFS(예비비!$O$430:$O$729,예비비!$B$430:$B$729,예비비!$A283,예비비!$E$430:$E$729,"&lt;"&amp;EDATE(BR$99,1),예비비!$F$430:$F$729,"결제대금비")+MAX(0,IF(예비비!$D283&lt;EDATE(BR$99,1),예비비!$E283,0)-SUMIFS(예비비!$O$430:$O$729,예비비!$B$430:$B$729,예비비!$A283,예비비!$E$430:$E$729,"&lt;"&amp;EDATE(BR$99,1))),0)</f>
        <v>0</v>
      </c>
      <c r="BS283">
        <f>IF(예비비!$R283="OK",SUMIFS(예비비!$O$430:$O$729,예비비!$B$430:$B$729,예비비!$A283,예비비!$E$430:$E$729,"&lt;"&amp;EDATE(BS$99,1),예비비!$F$430:$F$729,"결제대금비")+MAX(0,IF(예비비!$D283&lt;EDATE(BS$99,1),예비비!$E283,0)-SUMIFS(예비비!$O$430:$O$729,예비비!$B$430:$B$729,예비비!$A283,예비비!$E$430:$E$729,"&lt;"&amp;EDATE(BS$99,1))),0)</f>
        <v>0</v>
      </c>
      <c r="BT283">
        <f>IF(예비비!$R283="OK",SUMIFS(예비비!$O$430:$O$729,예비비!$B$430:$B$729,예비비!$A283,예비비!$E$430:$E$729,"&lt;"&amp;EDATE(BT$99,1),예비비!$F$430:$F$729,"결제대금비")+MAX(0,IF(예비비!$D283&lt;EDATE(BT$99,1),예비비!$E283,0)-SUMIFS(예비비!$O$430:$O$729,예비비!$B$430:$B$729,예비비!$A283,예비비!$E$430:$E$729,"&lt;"&amp;EDATE(BT$99,1))),0)</f>
        <v>0</v>
      </c>
      <c r="BU283">
        <f>IF(예비비!$R283="OK",SUMIFS(예비비!$O$430:$O$729,예비비!$B$430:$B$729,예비비!$A283,예비비!$E$430:$E$729,"&lt;"&amp;EDATE(BU$99,1),예비비!$F$430:$F$729,"결제대금비")+MAX(0,IF(예비비!$D283&lt;EDATE(BU$99,1),예비비!$E283,0)-SUMIFS(예비비!$O$430:$O$729,예비비!$B$430:$B$729,예비비!$A283,예비비!$E$430:$E$729,"&lt;"&amp;EDATE(BU$99,1))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  <c r="BI284">
        <f>IF(예비비!$R284="OK",SUMIFS(예비비!$O$430:$O$729,예비비!$B$430:$B$729,예비비!$A284,예비비!$E$430:$E$729,"&lt;"&amp;EDATE(BI$99,1),예비비!$F$430:$F$729,"결제대금비")+MAX(0,IF(예비비!$D284&lt;EDATE(BI$99,1),예비비!$E284,0)-SUMIFS(예비비!$O$430:$O$729,예비비!$B$430:$B$729,예비비!$A284,예비비!$E$430:$E$729,"&lt;"&amp;EDATE(BI$99,1))),0)</f>
        <v>0</v>
      </c>
      <c r="BJ284">
        <f>IF(예비비!$R284="OK",SUMIFS(예비비!$O$430:$O$729,예비비!$B$430:$B$729,예비비!$A284,예비비!$E$430:$E$729,"&lt;"&amp;EDATE(BJ$99,1),예비비!$F$430:$F$729,"결제대금비")+MAX(0,IF(예비비!$D284&lt;EDATE(BJ$99,1),예비비!$E284,0)-SUMIFS(예비비!$O$430:$O$729,예비비!$B$430:$B$729,예비비!$A284,예비비!$E$430:$E$729,"&lt;"&amp;EDATE(BJ$99,1))),0)</f>
        <v>0</v>
      </c>
      <c r="BK284">
        <f>IF(예비비!$R284="OK",SUMIFS(예비비!$O$430:$O$729,예비비!$B$430:$B$729,예비비!$A284,예비비!$E$430:$E$729,"&lt;"&amp;EDATE(BK$99,1),예비비!$F$430:$F$729,"결제대금비")+MAX(0,IF(예비비!$D284&lt;EDATE(BK$99,1),예비비!$E284,0)-SUMIFS(예비비!$O$430:$O$729,예비비!$B$430:$B$729,예비비!$A284,예비비!$E$430:$E$729,"&lt;"&amp;EDATE(BK$99,1))),0)</f>
        <v>0</v>
      </c>
      <c r="BL284">
        <f>IF(예비비!$R284="OK",SUMIFS(예비비!$O$430:$O$729,예비비!$B$430:$B$729,예비비!$A284,예비비!$E$430:$E$729,"&lt;"&amp;EDATE(BL$99,1),예비비!$F$430:$F$729,"결제대금비")+MAX(0,IF(예비비!$D284&lt;EDATE(BL$99,1),예비비!$E284,0)-SUMIFS(예비비!$O$430:$O$729,예비비!$B$430:$B$729,예비비!$A284,예비비!$E$430:$E$729,"&lt;"&amp;EDATE(BL$99,1))),0)</f>
        <v>0</v>
      </c>
      <c r="BM284">
        <f>IF(예비비!$R284="OK",SUMIFS(예비비!$O$430:$O$729,예비비!$B$430:$B$729,예비비!$A284,예비비!$E$430:$E$729,"&lt;"&amp;EDATE(BM$99,1),예비비!$F$430:$F$729,"결제대금비")+MAX(0,IF(예비비!$D284&lt;EDATE(BM$99,1),예비비!$E284,0)-SUMIFS(예비비!$O$430:$O$729,예비비!$B$430:$B$729,예비비!$A284,예비비!$E$430:$E$729,"&lt;"&amp;EDATE(BM$99,1))),0)</f>
        <v>0</v>
      </c>
      <c r="BN284">
        <f>IF(예비비!$R284="OK",SUMIFS(예비비!$O$430:$O$729,예비비!$B$430:$B$729,예비비!$A284,예비비!$E$430:$E$729,"&lt;"&amp;EDATE(BN$99,1),예비비!$F$430:$F$729,"결제대금비")+MAX(0,IF(예비비!$D284&lt;EDATE(BN$99,1),예비비!$E284,0)-SUMIFS(예비비!$O$430:$O$729,예비비!$B$430:$B$729,예비비!$A284,예비비!$E$430:$E$729,"&lt;"&amp;EDATE(BN$99,1))),0)</f>
        <v>0</v>
      </c>
      <c r="BO284">
        <f>IF(예비비!$R284="OK",SUMIFS(예비비!$O$430:$O$729,예비비!$B$430:$B$729,예비비!$A284,예비비!$E$430:$E$729,"&lt;"&amp;EDATE(BO$99,1),예비비!$F$430:$F$729,"결제대금비")+MAX(0,IF(예비비!$D284&lt;EDATE(BO$99,1),예비비!$E284,0)-SUMIFS(예비비!$O$430:$O$729,예비비!$B$430:$B$729,예비비!$A284,예비비!$E$430:$E$729,"&lt;"&amp;EDATE(BO$99,1))),0)</f>
        <v>0</v>
      </c>
      <c r="BP284">
        <f>IF(예비비!$R284="OK",SUMIFS(예비비!$O$430:$O$729,예비비!$B$430:$B$729,예비비!$A284,예비비!$E$430:$E$729,"&lt;"&amp;EDATE(BP$99,1),예비비!$F$430:$F$729,"결제대금비")+MAX(0,IF(예비비!$D284&lt;EDATE(BP$99,1),예비비!$E284,0)-SUMIFS(예비비!$O$430:$O$729,예비비!$B$430:$B$729,예비비!$A284,예비비!$E$430:$E$729,"&lt;"&amp;EDATE(BP$99,1))),0)</f>
        <v>0</v>
      </c>
      <c r="BQ284">
        <f>IF(예비비!$R284="OK",SUMIFS(예비비!$O$430:$O$729,예비비!$B$430:$B$729,예비비!$A284,예비비!$E$430:$E$729,"&lt;"&amp;EDATE(BQ$99,1),예비비!$F$430:$F$729,"결제대금비")+MAX(0,IF(예비비!$D284&lt;EDATE(BQ$99,1),예비비!$E284,0)-SUMIFS(예비비!$O$430:$O$729,예비비!$B$430:$B$729,예비비!$A284,예비비!$E$430:$E$729,"&lt;"&amp;EDATE(BQ$99,1))),0)</f>
        <v>0</v>
      </c>
      <c r="BR284">
        <f>IF(예비비!$R284="OK",SUMIFS(예비비!$O$430:$O$729,예비비!$B$430:$B$729,예비비!$A284,예비비!$E$430:$E$729,"&lt;"&amp;EDATE(BR$99,1),예비비!$F$430:$F$729,"결제대금비")+MAX(0,IF(예비비!$D284&lt;EDATE(BR$99,1),예비비!$E284,0)-SUMIFS(예비비!$O$430:$O$729,예비비!$B$430:$B$729,예비비!$A284,예비비!$E$430:$E$729,"&lt;"&amp;EDATE(BR$99,1))),0)</f>
        <v>0</v>
      </c>
      <c r="BS284">
        <f>IF(예비비!$R284="OK",SUMIFS(예비비!$O$430:$O$729,예비비!$B$430:$B$729,예비비!$A284,예비비!$E$430:$E$729,"&lt;"&amp;EDATE(BS$99,1),예비비!$F$430:$F$729,"결제대금비")+MAX(0,IF(예비비!$D284&lt;EDATE(BS$99,1),예비비!$E284,0)-SUMIFS(예비비!$O$430:$O$729,예비비!$B$430:$B$729,예비비!$A284,예비비!$E$430:$E$729,"&lt;"&amp;EDATE(BS$99,1))),0)</f>
        <v>0</v>
      </c>
      <c r="BT284">
        <f>IF(예비비!$R284="OK",SUMIFS(예비비!$O$430:$O$729,예비비!$B$430:$B$729,예비비!$A284,예비비!$E$430:$E$729,"&lt;"&amp;EDATE(BT$99,1),예비비!$F$430:$F$729,"결제대금비")+MAX(0,IF(예비비!$D284&lt;EDATE(BT$99,1),예비비!$E284,0)-SUMIFS(예비비!$O$430:$O$729,예비비!$B$430:$B$729,예비비!$A284,예비비!$E$430:$E$729,"&lt;"&amp;EDATE(BT$99,1))),0)</f>
        <v>0</v>
      </c>
      <c r="BU284">
        <f>IF(예비비!$R284="OK",SUMIFS(예비비!$O$430:$O$729,예비비!$B$430:$B$729,예비비!$A284,예비비!$E$430:$E$729,"&lt;"&amp;EDATE(BU$99,1),예비비!$F$430:$F$729,"결제대금비")+MAX(0,IF(예비비!$D284&lt;EDATE(BU$99,1),예비비!$E284,0)-SUMIFS(예비비!$O$430:$O$729,예비비!$B$430:$B$729,예비비!$A284,예비비!$E$430:$E$729,"&lt;"&amp;EDATE(BU$99,1))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  <c r="BI285">
        <f>IF(예비비!$R285="OK",SUMIFS(예비비!$O$430:$O$729,예비비!$B$430:$B$729,예비비!$A285,예비비!$E$430:$E$729,"&lt;"&amp;EDATE(BI$99,1),예비비!$F$430:$F$729,"결제대금비")+MAX(0,IF(예비비!$D285&lt;EDATE(BI$99,1),예비비!$E285,0)-SUMIFS(예비비!$O$430:$O$729,예비비!$B$430:$B$729,예비비!$A285,예비비!$E$430:$E$729,"&lt;"&amp;EDATE(BI$99,1))),0)</f>
        <v>0</v>
      </c>
      <c r="BJ285">
        <f>IF(예비비!$R285="OK",SUMIFS(예비비!$O$430:$O$729,예비비!$B$430:$B$729,예비비!$A285,예비비!$E$430:$E$729,"&lt;"&amp;EDATE(BJ$99,1),예비비!$F$430:$F$729,"결제대금비")+MAX(0,IF(예비비!$D285&lt;EDATE(BJ$99,1),예비비!$E285,0)-SUMIFS(예비비!$O$430:$O$729,예비비!$B$430:$B$729,예비비!$A285,예비비!$E$430:$E$729,"&lt;"&amp;EDATE(BJ$99,1))),0)</f>
        <v>0</v>
      </c>
      <c r="BK285">
        <f>IF(예비비!$R285="OK",SUMIFS(예비비!$O$430:$O$729,예비비!$B$430:$B$729,예비비!$A285,예비비!$E$430:$E$729,"&lt;"&amp;EDATE(BK$99,1),예비비!$F$430:$F$729,"결제대금비")+MAX(0,IF(예비비!$D285&lt;EDATE(BK$99,1),예비비!$E285,0)-SUMIFS(예비비!$O$430:$O$729,예비비!$B$430:$B$729,예비비!$A285,예비비!$E$430:$E$729,"&lt;"&amp;EDATE(BK$99,1))),0)</f>
        <v>0</v>
      </c>
      <c r="BL285">
        <f>IF(예비비!$R285="OK",SUMIFS(예비비!$O$430:$O$729,예비비!$B$430:$B$729,예비비!$A285,예비비!$E$430:$E$729,"&lt;"&amp;EDATE(BL$99,1),예비비!$F$430:$F$729,"결제대금비")+MAX(0,IF(예비비!$D285&lt;EDATE(BL$99,1),예비비!$E285,0)-SUMIFS(예비비!$O$430:$O$729,예비비!$B$430:$B$729,예비비!$A285,예비비!$E$430:$E$729,"&lt;"&amp;EDATE(BL$99,1))),0)</f>
        <v>0</v>
      </c>
      <c r="BM285">
        <f>IF(예비비!$R285="OK",SUMIFS(예비비!$O$430:$O$729,예비비!$B$430:$B$729,예비비!$A285,예비비!$E$430:$E$729,"&lt;"&amp;EDATE(BM$99,1),예비비!$F$430:$F$729,"결제대금비")+MAX(0,IF(예비비!$D285&lt;EDATE(BM$99,1),예비비!$E285,0)-SUMIFS(예비비!$O$430:$O$729,예비비!$B$430:$B$729,예비비!$A285,예비비!$E$430:$E$729,"&lt;"&amp;EDATE(BM$99,1))),0)</f>
        <v>0</v>
      </c>
      <c r="BN285">
        <f>IF(예비비!$R285="OK",SUMIFS(예비비!$O$430:$O$729,예비비!$B$430:$B$729,예비비!$A285,예비비!$E$430:$E$729,"&lt;"&amp;EDATE(BN$99,1),예비비!$F$430:$F$729,"결제대금비")+MAX(0,IF(예비비!$D285&lt;EDATE(BN$99,1),예비비!$E285,0)-SUMIFS(예비비!$O$430:$O$729,예비비!$B$430:$B$729,예비비!$A285,예비비!$E$430:$E$729,"&lt;"&amp;EDATE(BN$99,1))),0)</f>
        <v>0</v>
      </c>
      <c r="BO285">
        <f>IF(예비비!$R285="OK",SUMIFS(예비비!$O$430:$O$729,예비비!$B$430:$B$729,예비비!$A285,예비비!$E$430:$E$729,"&lt;"&amp;EDATE(BO$99,1),예비비!$F$430:$F$729,"결제대금비")+MAX(0,IF(예비비!$D285&lt;EDATE(BO$99,1),예비비!$E285,0)-SUMIFS(예비비!$O$430:$O$729,예비비!$B$430:$B$729,예비비!$A285,예비비!$E$430:$E$729,"&lt;"&amp;EDATE(BO$99,1))),0)</f>
        <v>0</v>
      </c>
      <c r="BP285">
        <f>IF(예비비!$R285="OK",SUMIFS(예비비!$O$430:$O$729,예비비!$B$430:$B$729,예비비!$A285,예비비!$E$430:$E$729,"&lt;"&amp;EDATE(BP$99,1),예비비!$F$430:$F$729,"결제대금비")+MAX(0,IF(예비비!$D285&lt;EDATE(BP$99,1),예비비!$E285,0)-SUMIFS(예비비!$O$430:$O$729,예비비!$B$430:$B$729,예비비!$A285,예비비!$E$430:$E$729,"&lt;"&amp;EDATE(BP$99,1))),0)</f>
        <v>0</v>
      </c>
      <c r="BQ285">
        <f>IF(예비비!$R285="OK",SUMIFS(예비비!$O$430:$O$729,예비비!$B$430:$B$729,예비비!$A285,예비비!$E$430:$E$729,"&lt;"&amp;EDATE(BQ$99,1),예비비!$F$430:$F$729,"결제대금비")+MAX(0,IF(예비비!$D285&lt;EDATE(BQ$99,1),예비비!$E285,0)-SUMIFS(예비비!$O$430:$O$729,예비비!$B$430:$B$729,예비비!$A285,예비비!$E$430:$E$729,"&lt;"&amp;EDATE(BQ$99,1))),0)</f>
        <v>0</v>
      </c>
      <c r="BR285">
        <f>IF(예비비!$R285="OK",SUMIFS(예비비!$O$430:$O$729,예비비!$B$430:$B$729,예비비!$A285,예비비!$E$430:$E$729,"&lt;"&amp;EDATE(BR$99,1),예비비!$F$430:$F$729,"결제대금비")+MAX(0,IF(예비비!$D285&lt;EDATE(BR$99,1),예비비!$E285,0)-SUMIFS(예비비!$O$430:$O$729,예비비!$B$430:$B$729,예비비!$A285,예비비!$E$430:$E$729,"&lt;"&amp;EDATE(BR$99,1))),0)</f>
        <v>0</v>
      </c>
      <c r="BS285">
        <f>IF(예비비!$R285="OK",SUMIFS(예비비!$O$430:$O$729,예비비!$B$430:$B$729,예비비!$A285,예비비!$E$430:$E$729,"&lt;"&amp;EDATE(BS$99,1),예비비!$F$430:$F$729,"결제대금비")+MAX(0,IF(예비비!$D285&lt;EDATE(BS$99,1),예비비!$E285,0)-SUMIFS(예비비!$O$430:$O$729,예비비!$B$430:$B$729,예비비!$A285,예비비!$E$430:$E$729,"&lt;"&amp;EDATE(BS$99,1))),0)</f>
        <v>0</v>
      </c>
      <c r="BT285">
        <f>IF(예비비!$R285="OK",SUMIFS(예비비!$O$430:$O$729,예비비!$B$430:$B$729,예비비!$A285,예비비!$E$430:$E$729,"&lt;"&amp;EDATE(BT$99,1),예비비!$F$430:$F$729,"결제대금비")+MAX(0,IF(예비비!$D285&lt;EDATE(BT$99,1),예비비!$E285,0)-SUMIFS(예비비!$O$430:$O$729,예비비!$B$430:$B$729,예비비!$A285,예비비!$E$430:$E$729,"&lt;"&amp;EDATE(BT$99,1))),0)</f>
        <v>0</v>
      </c>
      <c r="BU285">
        <f>IF(예비비!$R285="OK",SUMIFS(예비비!$O$430:$O$729,예비비!$B$430:$B$729,예비비!$A285,예비비!$E$430:$E$729,"&lt;"&amp;EDATE(BU$99,1),예비비!$F$430:$F$729,"결제대금비")+MAX(0,IF(예비비!$D285&lt;EDATE(BU$99,1),예비비!$E285,0)-SUMIFS(예비비!$O$430:$O$729,예비비!$B$430:$B$729,예비비!$A285,예비비!$E$430:$E$729,"&lt;"&amp;EDATE(BU$99,1))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  <c r="BI286">
        <f>IF(예비비!$R286="OK",SUMIFS(예비비!$O$430:$O$729,예비비!$B$430:$B$729,예비비!$A286,예비비!$E$430:$E$729,"&lt;"&amp;EDATE(BI$99,1),예비비!$F$430:$F$729,"결제대금비")+MAX(0,IF(예비비!$D286&lt;EDATE(BI$99,1),예비비!$E286,0)-SUMIFS(예비비!$O$430:$O$729,예비비!$B$430:$B$729,예비비!$A286,예비비!$E$430:$E$729,"&lt;"&amp;EDATE(BI$99,1))),0)</f>
        <v>0</v>
      </c>
      <c r="BJ286">
        <f>IF(예비비!$R286="OK",SUMIFS(예비비!$O$430:$O$729,예비비!$B$430:$B$729,예비비!$A286,예비비!$E$430:$E$729,"&lt;"&amp;EDATE(BJ$99,1),예비비!$F$430:$F$729,"결제대금비")+MAX(0,IF(예비비!$D286&lt;EDATE(BJ$99,1),예비비!$E286,0)-SUMIFS(예비비!$O$430:$O$729,예비비!$B$430:$B$729,예비비!$A286,예비비!$E$430:$E$729,"&lt;"&amp;EDATE(BJ$99,1))),0)</f>
        <v>0</v>
      </c>
      <c r="BK286">
        <f>IF(예비비!$R286="OK",SUMIFS(예비비!$O$430:$O$729,예비비!$B$430:$B$729,예비비!$A286,예비비!$E$430:$E$729,"&lt;"&amp;EDATE(BK$99,1),예비비!$F$430:$F$729,"결제대금비")+MAX(0,IF(예비비!$D286&lt;EDATE(BK$99,1),예비비!$E286,0)-SUMIFS(예비비!$O$430:$O$729,예비비!$B$430:$B$729,예비비!$A286,예비비!$E$430:$E$729,"&lt;"&amp;EDATE(BK$99,1))),0)</f>
        <v>0</v>
      </c>
      <c r="BL286">
        <f>IF(예비비!$R286="OK",SUMIFS(예비비!$O$430:$O$729,예비비!$B$430:$B$729,예비비!$A286,예비비!$E$430:$E$729,"&lt;"&amp;EDATE(BL$99,1),예비비!$F$430:$F$729,"결제대금비")+MAX(0,IF(예비비!$D286&lt;EDATE(BL$99,1),예비비!$E286,0)-SUMIFS(예비비!$O$430:$O$729,예비비!$B$430:$B$729,예비비!$A286,예비비!$E$430:$E$729,"&lt;"&amp;EDATE(BL$99,1))),0)</f>
        <v>0</v>
      </c>
      <c r="BM286">
        <f>IF(예비비!$R286="OK",SUMIFS(예비비!$O$430:$O$729,예비비!$B$430:$B$729,예비비!$A286,예비비!$E$430:$E$729,"&lt;"&amp;EDATE(BM$99,1),예비비!$F$430:$F$729,"결제대금비")+MAX(0,IF(예비비!$D286&lt;EDATE(BM$99,1),예비비!$E286,0)-SUMIFS(예비비!$O$430:$O$729,예비비!$B$430:$B$729,예비비!$A286,예비비!$E$430:$E$729,"&lt;"&amp;EDATE(BM$99,1))),0)</f>
        <v>0</v>
      </c>
      <c r="BN286">
        <f>IF(예비비!$R286="OK",SUMIFS(예비비!$O$430:$O$729,예비비!$B$430:$B$729,예비비!$A286,예비비!$E$430:$E$729,"&lt;"&amp;EDATE(BN$99,1),예비비!$F$430:$F$729,"결제대금비")+MAX(0,IF(예비비!$D286&lt;EDATE(BN$99,1),예비비!$E286,0)-SUMIFS(예비비!$O$430:$O$729,예비비!$B$430:$B$729,예비비!$A286,예비비!$E$430:$E$729,"&lt;"&amp;EDATE(BN$99,1))),0)</f>
        <v>0</v>
      </c>
      <c r="BO286">
        <f>IF(예비비!$R286="OK",SUMIFS(예비비!$O$430:$O$729,예비비!$B$430:$B$729,예비비!$A286,예비비!$E$430:$E$729,"&lt;"&amp;EDATE(BO$99,1),예비비!$F$430:$F$729,"결제대금비")+MAX(0,IF(예비비!$D286&lt;EDATE(BO$99,1),예비비!$E286,0)-SUMIFS(예비비!$O$430:$O$729,예비비!$B$430:$B$729,예비비!$A286,예비비!$E$430:$E$729,"&lt;"&amp;EDATE(BO$99,1))),0)</f>
        <v>0</v>
      </c>
      <c r="BP286">
        <f>IF(예비비!$R286="OK",SUMIFS(예비비!$O$430:$O$729,예비비!$B$430:$B$729,예비비!$A286,예비비!$E$430:$E$729,"&lt;"&amp;EDATE(BP$99,1),예비비!$F$430:$F$729,"결제대금비")+MAX(0,IF(예비비!$D286&lt;EDATE(BP$99,1),예비비!$E286,0)-SUMIFS(예비비!$O$430:$O$729,예비비!$B$430:$B$729,예비비!$A286,예비비!$E$430:$E$729,"&lt;"&amp;EDATE(BP$99,1))),0)</f>
        <v>0</v>
      </c>
      <c r="BQ286">
        <f>IF(예비비!$R286="OK",SUMIFS(예비비!$O$430:$O$729,예비비!$B$430:$B$729,예비비!$A286,예비비!$E$430:$E$729,"&lt;"&amp;EDATE(BQ$99,1),예비비!$F$430:$F$729,"결제대금비")+MAX(0,IF(예비비!$D286&lt;EDATE(BQ$99,1),예비비!$E286,0)-SUMIFS(예비비!$O$430:$O$729,예비비!$B$430:$B$729,예비비!$A286,예비비!$E$430:$E$729,"&lt;"&amp;EDATE(BQ$99,1))),0)</f>
        <v>0</v>
      </c>
      <c r="BR286">
        <f>IF(예비비!$R286="OK",SUMIFS(예비비!$O$430:$O$729,예비비!$B$430:$B$729,예비비!$A286,예비비!$E$430:$E$729,"&lt;"&amp;EDATE(BR$99,1),예비비!$F$430:$F$729,"결제대금비")+MAX(0,IF(예비비!$D286&lt;EDATE(BR$99,1),예비비!$E286,0)-SUMIFS(예비비!$O$430:$O$729,예비비!$B$430:$B$729,예비비!$A286,예비비!$E$430:$E$729,"&lt;"&amp;EDATE(BR$99,1))),0)</f>
        <v>0</v>
      </c>
      <c r="BS286">
        <f>IF(예비비!$R286="OK",SUMIFS(예비비!$O$430:$O$729,예비비!$B$430:$B$729,예비비!$A286,예비비!$E$430:$E$729,"&lt;"&amp;EDATE(BS$99,1),예비비!$F$430:$F$729,"결제대금비")+MAX(0,IF(예비비!$D286&lt;EDATE(BS$99,1),예비비!$E286,0)-SUMIFS(예비비!$O$430:$O$729,예비비!$B$430:$B$729,예비비!$A286,예비비!$E$430:$E$729,"&lt;"&amp;EDATE(BS$99,1))),0)</f>
        <v>0</v>
      </c>
      <c r="BT286">
        <f>IF(예비비!$R286="OK",SUMIFS(예비비!$O$430:$O$729,예비비!$B$430:$B$729,예비비!$A286,예비비!$E$430:$E$729,"&lt;"&amp;EDATE(BT$99,1),예비비!$F$430:$F$729,"결제대금비")+MAX(0,IF(예비비!$D286&lt;EDATE(BT$99,1),예비비!$E286,0)-SUMIFS(예비비!$O$430:$O$729,예비비!$B$430:$B$729,예비비!$A286,예비비!$E$430:$E$729,"&lt;"&amp;EDATE(BT$99,1))),0)</f>
        <v>0</v>
      </c>
      <c r="BU286">
        <f>IF(예비비!$R286="OK",SUMIFS(예비비!$O$430:$O$729,예비비!$B$430:$B$729,예비비!$A286,예비비!$E$430:$E$729,"&lt;"&amp;EDATE(BU$99,1),예비비!$F$430:$F$729,"결제대금비")+MAX(0,IF(예비비!$D286&lt;EDATE(BU$99,1),예비비!$E286,0)-SUMIFS(예비비!$O$430:$O$729,예비비!$B$430:$B$729,예비비!$A286,예비비!$E$430:$E$729,"&lt;"&amp;EDATE(BU$99,1))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  <c r="BI287">
        <f>IF(예비비!$R287="OK",SUMIFS(예비비!$O$430:$O$729,예비비!$B$430:$B$729,예비비!$A287,예비비!$E$430:$E$729,"&lt;"&amp;EDATE(BI$99,1),예비비!$F$430:$F$729,"결제대금비")+MAX(0,IF(예비비!$D287&lt;EDATE(BI$99,1),예비비!$E287,0)-SUMIFS(예비비!$O$430:$O$729,예비비!$B$430:$B$729,예비비!$A287,예비비!$E$430:$E$729,"&lt;"&amp;EDATE(BI$99,1))),0)</f>
        <v>0</v>
      </c>
      <c r="BJ287">
        <f>IF(예비비!$R287="OK",SUMIFS(예비비!$O$430:$O$729,예비비!$B$430:$B$729,예비비!$A287,예비비!$E$430:$E$729,"&lt;"&amp;EDATE(BJ$99,1),예비비!$F$430:$F$729,"결제대금비")+MAX(0,IF(예비비!$D287&lt;EDATE(BJ$99,1),예비비!$E287,0)-SUMIFS(예비비!$O$430:$O$729,예비비!$B$430:$B$729,예비비!$A287,예비비!$E$430:$E$729,"&lt;"&amp;EDATE(BJ$99,1))),0)</f>
        <v>0</v>
      </c>
      <c r="BK287">
        <f>IF(예비비!$R287="OK",SUMIFS(예비비!$O$430:$O$729,예비비!$B$430:$B$729,예비비!$A287,예비비!$E$430:$E$729,"&lt;"&amp;EDATE(BK$99,1),예비비!$F$430:$F$729,"결제대금비")+MAX(0,IF(예비비!$D287&lt;EDATE(BK$99,1),예비비!$E287,0)-SUMIFS(예비비!$O$430:$O$729,예비비!$B$430:$B$729,예비비!$A287,예비비!$E$430:$E$729,"&lt;"&amp;EDATE(BK$99,1))),0)</f>
        <v>0</v>
      </c>
      <c r="BL287">
        <f>IF(예비비!$R287="OK",SUMIFS(예비비!$O$430:$O$729,예비비!$B$430:$B$729,예비비!$A287,예비비!$E$430:$E$729,"&lt;"&amp;EDATE(BL$99,1),예비비!$F$430:$F$729,"결제대금비")+MAX(0,IF(예비비!$D287&lt;EDATE(BL$99,1),예비비!$E287,0)-SUMIFS(예비비!$O$430:$O$729,예비비!$B$430:$B$729,예비비!$A287,예비비!$E$430:$E$729,"&lt;"&amp;EDATE(BL$99,1))),0)</f>
        <v>0</v>
      </c>
      <c r="BM287">
        <f>IF(예비비!$R287="OK",SUMIFS(예비비!$O$430:$O$729,예비비!$B$430:$B$729,예비비!$A287,예비비!$E$430:$E$729,"&lt;"&amp;EDATE(BM$99,1),예비비!$F$430:$F$729,"결제대금비")+MAX(0,IF(예비비!$D287&lt;EDATE(BM$99,1),예비비!$E287,0)-SUMIFS(예비비!$O$430:$O$729,예비비!$B$430:$B$729,예비비!$A287,예비비!$E$430:$E$729,"&lt;"&amp;EDATE(BM$99,1))),0)</f>
        <v>0</v>
      </c>
      <c r="BN287">
        <f>IF(예비비!$R287="OK",SUMIFS(예비비!$O$430:$O$729,예비비!$B$430:$B$729,예비비!$A287,예비비!$E$430:$E$729,"&lt;"&amp;EDATE(BN$99,1),예비비!$F$430:$F$729,"결제대금비")+MAX(0,IF(예비비!$D287&lt;EDATE(BN$99,1),예비비!$E287,0)-SUMIFS(예비비!$O$430:$O$729,예비비!$B$430:$B$729,예비비!$A287,예비비!$E$430:$E$729,"&lt;"&amp;EDATE(BN$99,1))),0)</f>
        <v>0</v>
      </c>
      <c r="BO287">
        <f>IF(예비비!$R287="OK",SUMIFS(예비비!$O$430:$O$729,예비비!$B$430:$B$729,예비비!$A287,예비비!$E$430:$E$729,"&lt;"&amp;EDATE(BO$99,1),예비비!$F$430:$F$729,"결제대금비")+MAX(0,IF(예비비!$D287&lt;EDATE(BO$99,1),예비비!$E287,0)-SUMIFS(예비비!$O$430:$O$729,예비비!$B$430:$B$729,예비비!$A287,예비비!$E$430:$E$729,"&lt;"&amp;EDATE(BO$99,1))),0)</f>
        <v>0</v>
      </c>
      <c r="BP287">
        <f>IF(예비비!$R287="OK",SUMIFS(예비비!$O$430:$O$729,예비비!$B$430:$B$729,예비비!$A287,예비비!$E$430:$E$729,"&lt;"&amp;EDATE(BP$99,1),예비비!$F$430:$F$729,"결제대금비")+MAX(0,IF(예비비!$D287&lt;EDATE(BP$99,1),예비비!$E287,0)-SUMIFS(예비비!$O$430:$O$729,예비비!$B$430:$B$729,예비비!$A287,예비비!$E$430:$E$729,"&lt;"&amp;EDATE(BP$99,1))),0)</f>
        <v>0</v>
      </c>
      <c r="BQ287">
        <f>IF(예비비!$R287="OK",SUMIFS(예비비!$O$430:$O$729,예비비!$B$430:$B$729,예비비!$A287,예비비!$E$430:$E$729,"&lt;"&amp;EDATE(BQ$99,1),예비비!$F$430:$F$729,"결제대금비")+MAX(0,IF(예비비!$D287&lt;EDATE(BQ$99,1),예비비!$E287,0)-SUMIFS(예비비!$O$430:$O$729,예비비!$B$430:$B$729,예비비!$A287,예비비!$E$430:$E$729,"&lt;"&amp;EDATE(BQ$99,1))),0)</f>
        <v>0</v>
      </c>
      <c r="BR287">
        <f>IF(예비비!$R287="OK",SUMIFS(예비비!$O$430:$O$729,예비비!$B$430:$B$729,예비비!$A287,예비비!$E$430:$E$729,"&lt;"&amp;EDATE(BR$99,1),예비비!$F$430:$F$729,"결제대금비")+MAX(0,IF(예비비!$D287&lt;EDATE(BR$99,1),예비비!$E287,0)-SUMIFS(예비비!$O$430:$O$729,예비비!$B$430:$B$729,예비비!$A287,예비비!$E$430:$E$729,"&lt;"&amp;EDATE(BR$99,1))),0)</f>
        <v>0</v>
      </c>
      <c r="BS287">
        <f>IF(예비비!$R287="OK",SUMIFS(예비비!$O$430:$O$729,예비비!$B$430:$B$729,예비비!$A287,예비비!$E$430:$E$729,"&lt;"&amp;EDATE(BS$99,1),예비비!$F$430:$F$729,"결제대금비")+MAX(0,IF(예비비!$D287&lt;EDATE(BS$99,1),예비비!$E287,0)-SUMIFS(예비비!$O$430:$O$729,예비비!$B$430:$B$729,예비비!$A287,예비비!$E$430:$E$729,"&lt;"&amp;EDATE(BS$99,1))),0)</f>
        <v>0</v>
      </c>
      <c r="BT287">
        <f>IF(예비비!$R287="OK",SUMIFS(예비비!$O$430:$O$729,예비비!$B$430:$B$729,예비비!$A287,예비비!$E$430:$E$729,"&lt;"&amp;EDATE(BT$99,1),예비비!$F$430:$F$729,"결제대금비")+MAX(0,IF(예비비!$D287&lt;EDATE(BT$99,1),예비비!$E287,0)-SUMIFS(예비비!$O$430:$O$729,예비비!$B$430:$B$729,예비비!$A287,예비비!$E$430:$E$729,"&lt;"&amp;EDATE(BT$99,1))),0)</f>
        <v>0</v>
      </c>
      <c r="BU287">
        <f>IF(예비비!$R287="OK",SUMIFS(예비비!$O$430:$O$729,예비비!$B$430:$B$729,예비비!$A287,예비비!$E$430:$E$729,"&lt;"&amp;EDATE(BU$99,1),예비비!$F$430:$F$729,"결제대금비")+MAX(0,IF(예비비!$D287&lt;EDATE(BU$99,1),예비비!$E287,0)-SUMIFS(예비비!$O$430:$O$729,예비비!$B$430:$B$729,예비비!$A287,예비비!$E$430:$E$729,"&lt;"&amp;EDATE(BU$99,1))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  <c r="BI288">
        <f>IF(예비비!$R288="OK",SUMIFS(예비비!$O$430:$O$729,예비비!$B$430:$B$729,예비비!$A288,예비비!$E$430:$E$729,"&lt;"&amp;EDATE(BI$99,1),예비비!$F$430:$F$729,"결제대금비")+MAX(0,IF(예비비!$D288&lt;EDATE(BI$99,1),예비비!$E288,0)-SUMIFS(예비비!$O$430:$O$729,예비비!$B$430:$B$729,예비비!$A288,예비비!$E$430:$E$729,"&lt;"&amp;EDATE(BI$99,1))),0)</f>
        <v>0</v>
      </c>
      <c r="BJ288">
        <f>IF(예비비!$R288="OK",SUMIFS(예비비!$O$430:$O$729,예비비!$B$430:$B$729,예비비!$A288,예비비!$E$430:$E$729,"&lt;"&amp;EDATE(BJ$99,1),예비비!$F$430:$F$729,"결제대금비")+MAX(0,IF(예비비!$D288&lt;EDATE(BJ$99,1),예비비!$E288,0)-SUMIFS(예비비!$O$430:$O$729,예비비!$B$430:$B$729,예비비!$A288,예비비!$E$430:$E$729,"&lt;"&amp;EDATE(BJ$99,1))),0)</f>
        <v>0</v>
      </c>
      <c r="BK288">
        <f>IF(예비비!$R288="OK",SUMIFS(예비비!$O$430:$O$729,예비비!$B$430:$B$729,예비비!$A288,예비비!$E$430:$E$729,"&lt;"&amp;EDATE(BK$99,1),예비비!$F$430:$F$729,"결제대금비")+MAX(0,IF(예비비!$D288&lt;EDATE(BK$99,1),예비비!$E288,0)-SUMIFS(예비비!$O$430:$O$729,예비비!$B$430:$B$729,예비비!$A288,예비비!$E$430:$E$729,"&lt;"&amp;EDATE(BK$99,1))),0)</f>
        <v>0</v>
      </c>
      <c r="BL288">
        <f>IF(예비비!$R288="OK",SUMIFS(예비비!$O$430:$O$729,예비비!$B$430:$B$729,예비비!$A288,예비비!$E$430:$E$729,"&lt;"&amp;EDATE(BL$99,1),예비비!$F$430:$F$729,"결제대금비")+MAX(0,IF(예비비!$D288&lt;EDATE(BL$99,1),예비비!$E288,0)-SUMIFS(예비비!$O$430:$O$729,예비비!$B$430:$B$729,예비비!$A288,예비비!$E$430:$E$729,"&lt;"&amp;EDATE(BL$99,1))),0)</f>
        <v>0</v>
      </c>
      <c r="BM288">
        <f>IF(예비비!$R288="OK",SUMIFS(예비비!$O$430:$O$729,예비비!$B$430:$B$729,예비비!$A288,예비비!$E$430:$E$729,"&lt;"&amp;EDATE(BM$99,1),예비비!$F$430:$F$729,"결제대금비")+MAX(0,IF(예비비!$D288&lt;EDATE(BM$99,1),예비비!$E288,0)-SUMIFS(예비비!$O$430:$O$729,예비비!$B$430:$B$729,예비비!$A288,예비비!$E$430:$E$729,"&lt;"&amp;EDATE(BM$99,1))),0)</f>
        <v>0</v>
      </c>
      <c r="BN288">
        <f>IF(예비비!$R288="OK",SUMIFS(예비비!$O$430:$O$729,예비비!$B$430:$B$729,예비비!$A288,예비비!$E$430:$E$729,"&lt;"&amp;EDATE(BN$99,1),예비비!$F$430:$F$729,"결제대금비")+MAX(0,IF(예비비!$D288&lt;EDATE(BN$99,1),예비비!$E288,0)-SUMIFS(예비비!$O$430:$O$729,예비비!$B$430:$B$729,예비비!$A288,예비비!$E$430:$E$729,"&lt;"&amp;EDATE(BN$99,1))),0)</f>
        <v>0</v>
      </c>
      <c r="BO288">
        <f>IF(예비비!$R288="OK",SUMIFS(예비비!$O$430:$O$729,예비비!$B$430:$B$729,예비비!$A288,예비비!$E$430:$E$729,"&lt;"&amp;EDATE(BO$99,1),예비비!$F$430:$F$729,"결제대금비")+MAX(0,IF(예비비!$D288&lt;EDATE(BO$99,1),예비비!$E288,0)-SUMIFS(예비비!$O$430:$O$729,예비비!$B$430:$B$729,예비비!$A288,예비비!$E$430:$E$729,"&lt;"&amp;EDATE(BO$99,1))),0)</f>
        <v>0</v>
      </c>
      <c r="BP288">
        <f>IF(예비비!$R288="OK",SUMIFS(예비비!$O$430:$O$729,예비비!$B$430:$B$729,예비비!$A288,예비비!$E$430:$E$729,"&lt;"&amp;EDATE(BP$99,1),예비비!$F$430:$F$729,"결제대금비")+MAX(0,IF(예비비!$D288&lt;EDATE(BP$99,1),예비비!$E288,0)-SUMIFS(예비비!$O$430:$O$729,예비비!$B$430:$B$729,예비비!$A288,예비비!$E$430:$E$729,"&lt;"&amp;EDATE(BP$99,1))),0)</f>
        <v>0</v>
      </c>
      <c r="BQ288">
        <f>IF(예비비!$R288="OK",SUMIFS(예비비!$O$430:$O$729,예비비!$B$430:$B$729,예비비!$A288,예비비!$E$430:$E$729,"&lt;"&amp;EDATE(BQ$99,1),예비비!$F$430:$F$729,"결제대금비")+MAX(0,IF(예비비!$D288&lt;EDATE(BQ$99,1),예비비!$E288,0)-SUMIFS(예비비!$O$430:$O$729,예비비!$B$430:$B$729,예비비!$A288,예비비!$E$430:$E$729,"&lt;"&amp;EDATE(BQ$99,1))),0)</f>
        <v>0</v>
      </c>
      <c r="BR288">
        <f>IF(예비비!$R288="OK",SUMIFS(예비비!$O$430:$O$729,예비비!$B$430:$B$729,예비비!$A288,예비비!$E$430:$E$729,"&lt;"&amp;EDATE(BR$99,1),예비비!$F$430:$F$729,"결제대금비")+MAX(0,IF(예비비!$D288&lt;EDATE(BR$99,1),예비비!$E288,0)-SUMIFS(예비비!$O$430:$O$729,예비비!$B$430:$B$729,예비비!$A288,예비비!$E$430:$E$729,"&lt;"&amp;EDATE(BR$99,1))),0)</f>
        <v>0</v>
      </c>
      <c r="BS288">
        <f>IF(예비비!$R288="OK",SUMIFS(예비비!$O$430:$O$729,예비비!$B$430:$B$729,예비비!$A288,예비비!$E$430:$E$729,"&lt;"&amp;EDATE(BS$99,1),예비비!$F$430:$F$729,"결제대금비")+MAX(0,IF(예비비!$D288&lt;EDATE(BS$99,1),예비비!$E288,0)-SUMIFS(예비비!$O$430:$O$729,예비비!$B$430:$B$729,예비비!$A288,예비비!$E$430:$E$729,"&lt;"&amp;EDATE(BS$99,1))),0)</f>
        <v>0</v>
      </c>
      <c r="BT288">
        <f>IF(예비비!$R288="OK",SUMIFS(예비비!$O$430:$O$729,예비비!$B$430:$B$729,예비비!$A288,예비비!$E$430:$E$729,"&lt;"&amp;EDATE(BT$99,1),예비비!$F$430:$F$729,"결제대금비")+MAX(0,IF(예비비!$D288&lt;EDATE(BT$99,1),예비비!$E288,0)-SUMIFS(예비비!$O$430:$O$729,예비비!$B$430:$B$729,예비비!$A288,예비비!$E$430:$E$729,"&lt;"&amp;EDATE(BT$99,1))),0)</f>
        <v>0</v>
      </c>
      <c r="BU288">
        <f>IF(예비비!$R288="OK",SUMIFS(예비비!$O$430:$O$729,예비비!$B$430:$B$729,예비비!$A288,예비비!$E$430:$E$729,"&lt;"&amp;EDATE(BU$99,1),예비비!$F$430:$F$729,"결제대금비")+MAX(0,IF(예비비!$D288&lt;EDATE(BU$99,1),예비비!$E288,0)-SUMIFS(예비비!$O$430:$O$729,예비비!$B$430:$B$729,예비비!$A288,예비비!$E$430:$E$729,"&lt;"&amp;EDATE(BU$99,1))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  <c r="BI289">
        <f>IF(예비비!$R289="OK",SUMIFS(예비비!$O$430:$O$729,예비비!$B$430:$B$729,예비비!$A289,예비비!$E$430:$E$729,"&lt;"&amp;EDATE(BI$99,1),예비비!$F$430:$F$729,"결제대금비")+MAX(0,IF(예비비!$D289&lt;EDATE(BI$99,1),예비비!$E289,0)-SUMIFS(예비비!$O$430:$O$729,예비비!$B$430:$B$729,예비비!$A289,예비비!$E$430:$E$729,"&lt;"&amp;EDATE(BI$99,1))),0)</f>
        <v>0</v>
      </c>
      <c r="BJ289">
        <f>IF(예비비!$R289="OK",SUMIFS(예비비!$O$430:$O$729,예비비!$B$430:$B$729,예비비!$A289,예비비!$E$430:$E$729,"&lt;"&amp;EDATE(BJ$99,1),예비비!$F$430:$F$729,"결제대금비")+MAX(0,IF(예비비!$D289&lt;EDATE(BJ$99,1),예비비!$E289,0)-SUMIFS(예비비!$O$430:$O$729,예비비!$B$430:$B$729,예비비!$A289,예비비!$E$430:$E$729,"&lt;"&amp;EDATE(BJ$99,1))),0)</f>
        <v>0</v>
      </c>
      <c r="BK289">
        <f>IF(예비비!$R289="OK",SUMIFS(예비비!$O$430:$O$729,예비비!$B$430:$B$729,예비비!$A289,예비비!$E$430:$E$729,"&lt;"&amp;EDATE(BK$99,1),예비비!$F$430:$F$729,"결제대금비")+MAX(0,IF(예비비!$D289&lt;EDATE(BK$99,1),예비비!$E289,0)-SUMIFS(예비비!$O$430:$O$729,예비비!$B$430:$B$729,예비비!$A289,예비비!$E$430:$E$729,"&lt;"&amp;EDATE(BK$99,1))),0)</f>
        <v>0</v>
      </c>
      <c r="BL289">
        <f>IF(예비비!$R289="OK",SUMIFS(예비비!$O$430:$O$729,예비비!$B$430:$B$729,예비비!$A289,예비비!$E$430:$E$729,"&lt;"&amp;EDATE(BL$99,1),예비비!$F$430:$F$729,"결제대금비")+MAX(0,IF(예비비!$D289&lt;EDATE(BL$99,1),예비비!$E289,0)-SUMIFS(예비비!$O$430:$O$729,예비비!$B$430:$B$729,예비비!$A289,예비비!$E$430:$E$729,"&lt;"&amp;EDATE(BL$99,1))),0)</f>
        <v>0</v>
      </c>
      <c r="BM289">
        <f>IF(예비비!$R289="OK",SUMIFS(예비비!$O$430:$O$729,예비비!$B$430:$B$729,예비비!$A289,예비비!$E$430:$E$729,"&lt;"&amp;EDATE(BM$99,1),예비비!$F$430:$F$729,"결제대금비")+MAX(0,IF(예비비!$D289&lt;EDATE(BM$99,1),예비비!$E289,0)-SUMIFS(예비비!$O$430:$O$729,예비비!$B$430:$B$729,예비비!$A289,예비비!$E$430:$E$729,"&lt;"&amp;EDATE(BM$99,1))),0)</f>
        <v>0</v>
      </c>
      <c r="BN289">
        <f>IF(예비비!$R289="OK",SUMIFS(예비비!$O$430:$O$729,예비비!$B$430:$B$729,예비비!$A289,예비비!$E$430:$E$729,"&lt;"&amp;EDATE(BN$99,1),예비비!$F$430:$F$729,"결제대금비")+MAX(0,IF(예비비!$D289&lt;EDATE(BN$99,1),예비비!$E289,0)-SUMIFS(예비비!$O$430:$O$729,예비비!$B$430:$B$729,예비비!$A289,예비비!$E$430:$E$729,"&lt;"&amp;EDATE(BN$99,1))),0)</f>
        <v>0</v>
      </c>
      <c r="BO289">
        <f>IF(예비비!$R289="OK",SUMIFS(예비비!$O$430:$O$729,예비비!$B$430:$B$729,예비비!$A289,예비비!$E$430:$E$729,"&lt;"&amp;EDATE(BO$99,1),예비비!$F$430:$F$729,"결제대금비")+MAX(0,IF(예비비!$D289&lt;EDATE(BO$99,1),예비비!$E289,0)-SUMIFS(예비비!$O$430:$O$729,예비비!$B$430:$B$729,예비비!$A289,예비비!$E$430:$E$729,"&lt;"&amp;EDATE(BO$99,1))),0)</f>
        <v>0</v>
      </c>
      <c r="BP289">
        <f>IF(예비비!$R289="OK",SUMIFS(예비비!$O$430:$O$729,예비비!$B$430:$B$729,예비비!$A289,예비비!$E$430:$E$729,"&lt;"&amp;EDATE(BP$99,1),예비비!$F$430:$F$729,"결제대금비")+MAX(0,IF(예비비!$D289&lt;EDATE(BP$99,1),예비비!$E289,0)-SUMIFS(예비비!$O$430:$O$729,예비비!$B$430:$B$729,예비비!$A289,예비비!$E$430:$E$729,"&lt;"&amp;EDATE(BP$99,1))),0)</f>
        <v>0</v>
      </c>
      <c r="BQ289">
        <f>IF(예비비!$R289="OK",SUMIFS(예비비!$O$430:$O$729,예비비!$B$430:$B$729,예비비!$A289,예비비!$E$430:$E$729,"&lt;"&amp;EDATE(BQ$99,1),예비비!$F$430:$F$729,"결제대금비")+MAX(0,IF(예비비!$D289&lt;EDATE(BQ$99,1),예비비!$E289,0)-SUMIFS(예비비!$O$430:$O$729,예비비!$B$430:$B$729,예비비!$A289,예비비!$E$430:$E$729,"&lt;"&amp;EDATE(BQ$99,1))),0)</f>
        <v>0</v>
      </c>
      <c r="BR289">
        <f>IF(예비비!$R289="OK",SUMIFS(예비비!$O$430:$O$729,예비비!$B$430:$B$729,예비비!$A289,예비비!$E$430:$E$729,"&lt;"&amp;EDATE(BR$99,1),예비비!$F$430:$F$729,"결제대금비")+MAX(0,IF(예비비!$D289&lt;EDATE(BR$99,1),예비비!$E289,0)-SUMIFS(예비비!$O$430:$O$729,예비비!$B$430:$B$729,예비비!$A289,예비비!$E$430:$E$729,"&lt;"&amp;EDATE(BR$99,1))),0)</f>
        <v>0</v>
      </c>
      <c r="BS289">
        <f>IF(예비비!$R289="OK",SUMIFS(예비비!$O$430:$O$729,예비비!$B$430:$B$729,예비비!$A289,예비비!$E$430:$E$729,"&lt;"&amp;EDATE(BS$99,1),예비비!$F$430:$F$729,"결제대금비")+MAX(0,IF(예비비!$D289&lt;EDATE(BS$99,1),예비비!$E289,0)-SUMIFS(예비비!$O$430:$O$729,예비비!$B$430:$B$729,예비비!$A289,예비비!$E$430:$E$729,"&lt;"&amp;EDATE(BS$99,1))),0)</f>
        <v>0</v>
      </c>
      <c r="BT289">
        <f>IF(예비비!$R289="OK",SUMIFS(예비비!$O$430:$O$729,예비비!$B$430:$B$729,예비비!$A289,예비비!$E$430:$E$729,"&lt;"&amp;EDATE(BT$99,1),예비비!$F$430:$F$729,"결제대금비")+MAX(0,IF(예비비!$D289&lt;EDATE(BT$99,1),예비비!$E289,0)-SUMIFS(예비비!$O$430:$O$729,예비비!$B$430:$B$729,예비비!$A289,예비비!$E$430:$E$729,"&lt;"&amp;EDATE(BT$99,1))),0)</f>
        <v>0</v>
      </c>
      <c r="BU289">
        <f>IF(예비비!$R289="OK",SUMIFS(예비비!$O$430:$O$729,예비비!$B$430:$B$729,예비비!$A289,예비비!$E$430:$E$729,"&lt;"&amp;EDATE(BU$99,1),예비비!$F$430:$F$729,"결제대금비")+MAX(0,IF(예비비!$D289&lt;EDATE(BU$99,1),예비비!$E289,0)-SUMIFS(예비비!$O$430:$O$729,예비비!$B$430:$B$729,예비비!$A289,예비비!$E$430:$E$729,"&lt;"&amp;EDATE(BU$99,1))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  <c r="BI290">
        <f>IF(예비비!$R290="OK",SUMIFS(예비비!$O$430:$O$729,예비비!$B$430:$B$729,예비비!$A290,예비비!$E$430:$E$729,"&lt;"&amp;EDATE(BI$99,1),예비비!$F$430:$F$729,"결제대금비")+MAX(0,IF(예비비!$D290&lt;EDATE(BI$99,1),예비비!$E290,0)-SUMIFS(예비비!$O$430:$O$729,예비비!$B$430:$B$729,예비비!$A290,예비비!$E$430:$E$729,"&lt;"&amp;EDATE(BI$99,1))),0)</f>
        <v>0</v>
      </c>
      <c r="BJ290">
        <f>IF(예비비!$R290="OK",SUMIFS(예비비!$O$430:$O$729,예비비!$B$430:$B$729,예비비!$A290,예비비!$E$430:$E$729,"&lt;"&amp;EDATE(BJ$99,1),예비비!$F$430:$F$729,"결제대금비")+MAX(0,IF(예비비!$D290&lt;EDATE(BJ$99,1),예비비!$E290,0)-SUMIFS(예비비!$O$430:$O$729,예비비!$B$430:$B$729,예비비!$A290,예비비!$E$430:$E$729,"&lt;"&amp;EDATE(BJ$99,1))),0)</f>
        <v>0</v>
      </c>
      <c r="BK290">
        <f>IF(예비비!$R290="OK",SUMIFS(예비비!$O$430:$O$729,예비비!$B$430:$B$729,예비비!$A290,예비비!$E$430:$E$729,"&lt;"&amp;EDATE(BK$99,1),예비비!$F$430:$F$729,"결제대금비")+MAX(0,IF(예비비!$D290&lt;EDATE(BK$99,1),예비비!$E290,0)-SUMIFS(예비비!$O$430:$O$729,예비비!$B$430:$B$729,예비비!$A290,예비비!$E$430:$E$729,"&lt;"&amp;EDATE(BK$99,1))),0)</f>
        <v>0</v>
      </c>
      <c r="BL290">
        <f>IF(예비비!$R290="OK",SUMIFS(예비비!$O$430:$O$729,예비비!$B$430:$B$729,예비비!$A290,예비비!$E$430:$E$729,"&lt;"&amp;EDATE(BL$99,1),예비비!$F$430:$F$729,"결제대금비")+MAX(0,IF(예비비!$D290&lt;EDATE(BL$99,1),예비비!$E290,0)-SUMIFS(예비비!$O$430:$O$729,예비비!$B$430:$B$729,예비비!$A290,예비비!$E$430:$E$729,"&lt;"&amp;EDATE(BL$99,1))),0)</f>
        <v>0</v>
      </c>
      <c r="BM290">
        <f>IF(예비비!$R290="OK",SUMIFS(예비비!$O$430:$O$729,예비비!$B$430:$B$729,예비비!$A290,예비비!$E$430:$E$729,"&lt;"&amp;EDATE(BM$99,1),예비비!$F$430:$F$729,"결제대금비")+MAX(0,IF(예비비!$D290&lt;EDATE(BM$99,1),예비비!$E290,0)-SUMIFS(예비비!$O$430:$O$729,예비비!$B$430:$B$729,예비비!$A290,예비비!$E$430:$E$729,"&lt;"&amp;EDATE(BM$99,1))),0)</f>
        <v>0</v>
      </c>
      <c r="BN290">
        <f>IF(예비비!$R290="OK",SUMIFS(예비비!$O$430:$O$729,예비비!$B$430:$B$729,예비비!$A290,예비비!$E$430:$E$729,"&lt;"&amp;EDATE(BN$99,1),예비비!$F$430:$F$729,"결제대금비")+MAX(0,IF(예비비!$D290&lt;EDATE(BN$99,1),예비비!$E290,0)-SUMIFS(예비비!$O$430:$O$729,예비비!$B$430:$B$729,예비비!$A290,예비비!$E$430:$E$729,"&lt;"&amp;EDATE(BN$99,1))),0)</f>
        <v>0</v>
      </c>
      <c r="BO290">
        <f>IF(예비비!$R290="OK",SUMIFS(예비비!$O$430:$O$729,예비비!$B$430:$B$729,예비비!$A290,예비비!$E$430:$E$729,"&lt;"&amp;EDATE(BO$99,1),예비비!$F$430:$F$729,"결제대금비")+MAX(0,IF(예비비!$D290&lt;EDATE(BO$99,1),예비비!$E290,0)-SUMIFS(예비비!$O$430:$O$729,예비비!$B$430:$B$729,예비비!$A290,예비비!$E$430:$E$729,"&lt;"&amp;EDATE(BO$99,1))),0)</f>
        <v>0</v>
      </c>
      <c r="BP290">
        <f>IF(예비비!$R290="OK",SUMIFS(예비비!$O$430:$O$729,예비비!$B$430:$B$729,예비비!$A290,예비비!$E$430:$E$729,"&lt;"&amp;EDATE(BP$99,1),예비비!$F$430:$F$729,"결제대금비")+MAX(0,IF(예비비!$D290&lt;EDATE(BP$99,1),예비비!$E290,0)-SUMIFS(예비비!$O$430:$O$729,예비비!$B$430:$B$729,예비비!$A290,예비비!$E$430:$E$729,"&lt;"&amp;EDATE(BP$99,1))),0)</f>
        <v>0</v>
      </c>
      <c r="BQ290">
        <f>IF(예비비!$R290="OK",SUMIFS(예비비!$O$430:$O$729,예비비!$B$430:$B$729,예비비!$A290,예비비!$E$430:$E$729,"&lt;"&amp;EDATE(BQ$99,1),예비비!$F$430:$F$729,"결제대금비")+MAX(0,IF(예비비!$D290&lt;EDATE(BQ$99,1),예비비!$E290,0)-SUMIFS(예비비!$O$430:$O$729,예비비!$B$430:$B$729,예비비!$A290,예비비!$E$430:$E$729,"&lt;"&amp;EDATE(BQ$99,1))),0)</f>
        <v>0</v>
      </c>
      <c r="BR290">
        <f>IF(예비비!$R290="OK",SUMIFS(예비비!$O$430:$O$729,예비비!$B$430:$B$729,예비비!$A290,예비비!$E$430:$E$729,"&lt;"&amp;EDATE(BR$99,1),예비비!$F$430:$F$729,"결제대금비")+MAX(0,IF(예비비!$D290&lt;EDATE(BR$99,1),예비비!$E290,0)-SUMIFS(예비비!$O$430:$O$729,예비비!$B$430:$B$729,예비비!$A290,예비비!$E$430:$E$729,"&lt;"&amp;EDATE(BR$99,1))),0)</f>
        <v>0</v>
      </c>
      <c r="BS290">
        <f>IF(예비비!$R290="OK",SUMIFS(예비비!$O$430:$O$729,예비비!$B$430:$B$729,예비비!$A290,예비비!$E$430:$E$729,"&lt;"&amp;EDATE(BS$99,1),예비비!$F$430:$F$729,"결제대금비")+MAX(0,IF(예비비!$D290&lt;EDATE(BS$99,1),예비비!$E290,0)-SUMIFS(예비비!$O$430:$O$729,예비비!$B$430:$B$729,예비비!$A290,예비비!$E$430:$E$729,"&lt;"&amp;EDATE(BS$99,1))),0)</f>
        <v>0</v>
      </c>
      <c r="BT290">
        <f>IF(예비비!$R290="OK",SUMIFS(예비비!$O$430:$O$729,예비비!$B$430:$B$729,예비비!$A290,예비비!$E$430:$E$729,"&lt;"&amp;EDATE(BT$99,1),예비비!$F$430:$F$729,"결제대금비")+MAX(0,IF(예비비!$D290&lt;EDATE(BT$99,1),예비비!$E290,0)-SUMIFS(예비비!$O$430:$O$729,예비비!$B$430:$B$729,예비비!$A290,예비비!$E$430:$E$729,"&lt;"&amp;EDATE(BT$99,1))),0)</f>
        <v>0</v>
      </c>
      <c r="BU290">
        <f>IF(예비비!$R290="OK",SUMIFS(예비비!$O$430:$O$729,예비비!$B$430:$B$729,예비비!$A290,예비비!$E$430:$E$729,"&lt;"&amp;EDATE(BU$99,1),예비비!$F$430:$F$729,"결제대금비")+MAX(0,IF(예비비!$D290&lt;EDATE(BU$99,1),예비비!$E290,0)-SUMIFS(예비비!$O$430:$O$729,예비비!$B$430:$B$729,예비비!$A290,예비비!$E$430:$E$729,"&lt;"&amp;EDATE(BU$99,1))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  <c r="BI291">
        <f>IF(예비비!$R291="OK",SUMIFS(예비비!$O$430:$O$729,예비비!$B$430:$B$729,예비비!$A291,예비비!$E$430:$E$729,"&lt;"&amp;EDATE(BI$99,1),예비비!$F$430:$F$729,"결제대금비")+MAX(0,IF(예비비!$D291&lt;EDATE(BI$99,1),예비비!$E291,0)-SUMIFS(예비비!$O$430:$O$729,예비비!$B$430:$B$729,예비비!$A291,예비비!$E$430:$E$729,"&lt;"&amp;EDATE(BI$99,1))),0)</f>
        <v>0</v>
      </c>
      <c r="BJ291">
        <f>IF(예비비!$R291="OK",SUMIFS(예비비!$O$430:$O$729,예비비!$B$430:$B$729,예비비!$A291,예비비!$E$430:$E$729,"&lt;"&amp;EDATE(BJ$99,1),예비비!$F$430:$F$729,"결제대금비")+MAX(0,IF(예비비!$D291&lt;EDATE(BJ$99,1),예비비!$E291,0)-SUMIFS(예비비!$O$430:$O$729,예비비!$B$430:$B$729,예비비!$A291,예비비!$E$430:$E$729,"&lt;"&amp;EDATE(BJ$99,1))),0)</f>
        <v>0</v>
      </c>
      <c r="BK291">
        <f>IF(예비비!$R291="OK",SUMIFS(예비비!$O$430:$O$729,예비비!$B$430:$B$729,예비비!$A291,예비비!$E$430:$E$729,"&lt;"&amp;EDATE(BK$99,1),예비비!$F$430:$F$729,"결제대금비")+MAX(0,IF(예비비!$D291&lt;EDATE(BK$99,1),예비비!$E291,0)-SUMIFS(예비비!$O$430:$O$729,예비비!$B$430:$B$729,예비비!$A291,예비비!$E$430:$E$729,"&lt;"&amp;EDATE(BK$99,1))),0)</f>
        <v>0</v>
      </c>
      <c r="BL291">
        <f>IF(예비비!$R291="OK",SUMIFS(예비비!$O$430:$O$729,예비비!$B$430:$B$729,예비비!$A291,예비비!$E$430:$E$729,"&lt;"&amp;EDATE(BL$99,1),예비비!$F$430:$F$729,"결제대금비")+MAX(0,IF(예비비!$D291&lt;EDATE(BL$99,1),예비비!$E291,0)-SUMIFS(예비비!$O$430:$O$729,예비비!$B$430:$B$729,예비비!$A291,예비비!$E$430:$E$729,"&lt;"&amp;EDATE(BL$99,1))),0)</f>
        <v>0</v>
      </c>
      <c r="BM291">
        <f>IF(예비비!$R291="OK",SUMIFS(예비비!$O$430:$O$729,예비비!$B$430:$B$729,예비비!$A291,예비비!$E$430:$E$729,"&lt;"&amp;EDATE(BM$99,1),예비비!$F$430:$F$729,"결제대금비")+MAX(0,IF(예비비!$D291&lt;EDATE(BM$99,1),예비비!$E291,0)-SUMIFS(예비비!$O$430:$O$729,예비비!$B$430:$B$729,예비비!$A291,예비비!$E$430:$E$729,"&lt;"&amp;EDATE(BM$99,1))),0)</f>
        <v>0</v>
      </c>
      <c r="BN291">
        <f>IF(예비비!$R291="OK",SUMIFS(예비비!$O$430:$O$729,예비비!$B$430:$B$729,예비비!$A291,예비비!$E$430:$E$729,"&lt;"&amp;EDATE(BN$99,1),예비비!$F$430:$F$729,"결제대금비")+MAX(0,IF(예비비!$D291&lt;EDATE(BN$99,1),예비비!$E291,0)-SUMIFS(예비비!$O$430:$O$729,예비비!$B$430:$B$729,예비비!$A291,예비비!$E$430:$E$729,"&lt;"&amp;EDATE(BN$99,1))),0)</f>
        <v>0</v>
      </c>
      <c r="BO291">
        <f>IF(예비비!$R291="OK",SUMIFS(예비비!$O$430:$O$729,예비비!$B$430:$B$729,예비비!$A291,예비비!$E$430:$E$729,"&lt;"&amp;EDATE(BO$99,1),예비비!$F$430:$F$729,"결제대금비")+MAX(0,IF(예비비!$D291&lt;EDATE(BO$99,1),예비비!$E291,0)-SUMIFS(예비비!$O$430:$O$729,예비비!$B$430:$B$729,예비비!$A291,예비비!$E$430:$E$729,"&lt;"&amp;EDATE(BO$99,1))),0)</f>
        <v>0</v>
      </c>
      <c r="BP291">
        <f>IF(예비비!$R291="OK",SUMIFS(예비비!$O$430:$O$729,예비비!$B$430:$B$729,예비비!$A291,예비비!$E$430:$E$729,"&lt;"&amp;EDATE(BP$99,1),예비비!$F$430:$F$729,"결제대금비")+MAX(0,IF(예비비!$D291&lt;EDATE(BP$99,1),예비비!$E291,0)-SUMIFS(예비비!$O$430:$O$729,예비비!$B$430:$B$729,예비비!$A291,예비비!$E$430:$E$729,"&lt;"&amp;EDATE(BP$99,1))),0)</f>
        <v>0</v>
      </c>
      <c r="BQ291">
        <f>IF(예비비!$R291="OK",SUMIFS(예비비!$O$430:$O$729,예비비!$B$430:$B$729,예비비!$A291,예비비!$E$430:$E$729,"&lt;"&amp;EDATE(BQ$99,1),예비비!$F$430:$F$729,"결제대금비")+MAX(0,IF(예비비!$D291&lt;EDATE(BQ$99,1),예비비!$E291,0)-SUMIFS(예비비!$O$430:$O$729,예비비!$B$430:$B$729,예비비!$A291,예비비!$E$430:$E$729,"&lt;"&amp;EDATE(BQ$99,1))),0)</f>
        <v>0</v>
      </c>
      <c r="BR291">
        <f>IF(예비비!$R291="OK",SUMIFS(예비비!$O$430:$O$729,예비비!$B$430:$B$729,예비비!$A291,예비비!$E$430:$E$729,"&lt;"&amp;EDATE(BR$99,1),예비비!$F$430:$F$729,"결제대금비")+MAX(0,IF(예비비!$D291&lt;EDATE(BR$99,1),예비비!$E291,0)-SUMIFS(예비비!$O$430:$O$729,예비비!$B$430:$B$729,예비비!$A291,예비비!$E$430:$E$729,"&lt;"&amp;EDATE(BR$99,1))),0)</f>
        <v>0</v>
      </c>
      <c r="BS291">
        <f>IF(예비비!$R291="OK",SUMIFS(예비비!$O$430:$O$729,예비비!$B$430:$B$729,예비비!$A291,예비비!$E$430:$E$729,"&lt;"&amp;EDATE(BS$99,1),예비비!$F$430:$F$729,"결제대금비")+MAX(0,IF(예비비!$D291&lt;EDATE(BS$99,1),예비비!$E291,0)-SUMIFS(예비비!$O$430:$O$729,예비비!$B$430:$B$729,예비비!$A291,예비비!$E$430:$E$729,"&lt;"&amp;EDATE(BS$99,1))),0)</f>
        <v>0</v>
      </c>
      <c r="BT291">
        <f>IF(예비비!$R291="OK",SUMIFS(예비비!$O$430:$O$729,예비비!$B$430:$B$729,예비비!$A291,예비비!$E$430:$E$729,"&lt;"&amp;EDATE(BT$99,1),예비비!$F$430:$F$729,"결제대금비")+MAX(0,IF(예비비!$D291&lt;EDATE(BT$99,1),예비비!$E291,0)-SUMIFS(예비비!$O$430:$O$729,예비비!$B$430:$B$729,예비비!$A291,예비비!$E$430:$E$729,"&lt;"&amp;EDATE(BT$99,1))),0)</f>
        <v>0</v>
      </c>
      <c r="BU291">
        <f>IF(예비비!$R291="OK",SUMIFS(예비비!$O$430:$O$729,예비비!$B$430:$B$729,예비비!$A291,예비비!$E$430:$E$729,"&lt;"&amp;EDATE(BU$99,1),예비비!$F$430:$F$729,"결제대금비")+MAX(0,IF(예비비!$D291&lt;EDATE(BU$99,1),예비비!$E291,0)-SUMIFS(예비비!$O$430:$O$729,예비비!$B$430:$B$729,예비비!$A291,예비비!$E$430:$E$729,"&lt;"&amp;EDATE(BU$99,1))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  <c r="BI292">
        <f>IF(예비비!$R292="OK",SUMIFS(예비비!$O$430:$O$729,예비비!$B$430:$B$729,예비비!$A292,예비비!$E$430:$E$729,"&lt;"&amp;EDATE(BI$99,1),예비비!$F$430:$F$729,"결제대금비")+MAX(0,IF(예비비!$D292&lt;EDATE(BI$99,1),예비비!$E292,0)-SUMIFS(예비비!$O$430:$O$729,예비비!$B$430:$B$729,예비비!$A292,예비비!$E$430:$E$729,"&lt;"&amp;EDATE(BI$99,1))),0)</f>
        <v>0</v>
      </c>
      <c r="BJ292">
        <f>IF(예비비!$R292="OK",SUMIFS(예비비!$O$430:$O$729,예비비!$B$430:$B$729,예비비!$A292,예비비!$E$430:$E$729,"&lt;"&amp;EDATE(BJ$99,1),예비비!$F$430:$F$729,"결제대금비")+MAX(0,IF(예비비!$D292&lt;EDATE(BJ$99,1),예비비!$E292,0)-SUMIFS(예비비!$O$430:$O$729,예비비!$B$430:$B$729,예비비!$A292,예비비!$E$430:$E$729,"&lt;"&amp;EDATE(BJ$99,1))),0)</f>
        <v>0</v>
      </c>
      <c r="BK292">
        <f>IF(예비비!$R292="OK",SUMIFS(예비비!$O$430:$O$729,예비비!$B$430:$B$729,예비비!$A292,예비비!$E$430:$E$729,"&lt;"&amp;EDATE(BK$99,1),예비비!$F$430:$F$729,"결제대금비")+MAX(0,IF(예비비!$D292&lt;EDATE(BK$99,1),예비비!$E292,0)-SUMIFS(예비비!$O$430:$O$729,예비비!$B$430:$B$729,예비비!$A292,예비비!$E$430:$E$729,"&lt;"&amp;EDATE(BK$99,1))),0)</f>
        <v>0</v>
      </c>
      <c r="BL292">
        <f>IF(예비비!$R292="OK",SUMIFS(예비비!$O$430:$O$729,예비비!$B$430:$B$729,예비비!$A292,예비비!$E$430:$E$729,"&lt;"&amp;EDATE(BL$99,1),예비비!$F$430:$F$729,"결제대금비")+MAX(0,IF(예비비!$D292&lt;EDATE(BL$99,1),예비비!$E292,0)-SUMIFS(예비비!$O$430:$O$729,예비비!$B$430:$B$729,예비비!$A292,예비비!$E$430:$E$729,"&lt;"&amp;EDATE(BL$99,1))),0)</f>
        <v>0</v>
      </c>
      <c r="BM292">
        <f>IF(예비비!$R292="OK",SUMIFS(예비비!$O$430:$O$729,예비비!$B$430:$B$729,예비비!$A292,예비비!$E$430:$E$729,"&lt;"&amp;EDATE(BM$99,1),예비비!$F$430:$F$729,"결제대금비")+MAX(0,IF(예비비!$D292&lt;EDATE(BM$99,1),예비비!$E292,0)-SUMIFS(예비비!$O$430:$O$729,예비비!$B$430:$B$729,예비비!$A292,예비비!$E$430:$E$729,"&lt;"&amp;EDATE(BM$99,1))),0)</f>
        <v>0</v>
      </c>
      <c r="BN292">
        <f>IF(예비비!$R292="OK",SUMIFS(예비비!$O$430:$O$729,예비비!$B$430:$B$729,예비비!$A292,예비비!$E$430:$E$729,"&lt;"&amp;EDATE(BN$99,1),예비비!$F$430:$F$729,"결제대금비")+MAX(0,IF(예비비!$D292&lt;EDATE(BN$99,1),예비비!$E292,0)-SUMIFS(예비비!$O$430:$O$729,예비비!$B$430:$B$729,예비비!$A292,예비비!$E$430:$E$729,"&lt;"&amp;EDATE(BN$99,1))),0)</f>
        <v>0</v>
      </c>
      <c r="BO292">
        <f>IF(예비비!$R292="OK",SUMIFS(예비비!$O$430:$O$729,예비비!$B$430:$B$729,예비비!$A292,예비비!$E$430:$E$729,"&lt;"&amp;EDATE(BO$99,1),예비비!$F$430:$F$729,"결제대금비")+MAX(0,IF(예비비!$D292&lt;EDATE(BO$99,1),예비비!$E292,0)-SUMIFS(예비비!$O$430:$O$729,예비비!$B$430:$B$729,예비비!$A292,예비비!$E$430:$E$729,"&lt;"&amp;EDATE(BO$99,1))),0)</f>
        <v>0</v>
      </c>
      <c r="BP292">
        <f>IF(예비비!$R292="OK",SUMIFS(예비비!$O$430:$O$729,예비비!$B$430:$B$729,예비비!$A292,예비비!$E$430:$E$729,"&lt;"&amp;EDATE(BP$99,1),예비비!$F$430:$F$729,"결제대금비")+MAX(0,IF(예비비!$D292&lt;EDATE(BP$99,1),예비비!$E292,0)-SUMIFS(예비비!$O$430:$O$729,예비비!$B$430:$B$729,예비비!$A292,예비비!$E$430:$E$729,"&lt;"&amp;EDATE(BP$99,1))),0)</f>
        <v>0</v>
      </c>
      <c r="BQ292">
        <f>IF(예비비!$R292="OK",SUMIFS(예비비!$O$430:$O$729,예비비!$B$430:$B$729,예비비!$A292,예비비!$E$430:$E$729,"&lt;"&amp;EDATE(BQ$99,1),예비비!$F$430:$F$729,"결제대금비")+MAX(0,IF(예비비!$D292&lt;EDATE(BQ$99,1),예비비!$E292,0)-SUMIFS(예비비!$O$430:$O$729,예비비!$B$430:$B$729,예비비!$A292,예비비!$E$430:$E$729,"&lt;"&amp;EDATE(BQ$99,1))),0)</f>
        <v>0</v>
      </c>
      <c r="BR292">
        <f>IF(예비비!$R292="OK",SUMIFS(예비비!$O$430:$O$729,예비비!$B$430:$B$729,예비비!$A292,예비비!$E$430:$E$729,"&lt;"&amp;EDATE(BR$99,1),예비비!$F$430:$F$729,"결제대금비")+MAX(0,IF(예비비!$D292&lt;EDATE(BR$99,1),예비비!$E292,0)-SUMIFS(예비비!$O$430:$O$729,예비비!$B$430:$B$729,예비비!$A292,예비비!$E$430:$E$729,"&lt;"&amp;EDATE(BR$99,1))),0)</f>
        <v>0</v>
      </c>
      <c r="BS292">
        <f>IF(예비비!$R292="OK",SUMIFS(예비비!$O$430:$O$729,예비비!$B$430:$B$729,예비비!$A292,예비비!$E$430:$E$729,"&lt;"&amp;EDATE(BS$99,1),예비비!$F$430:$F$729,"결제대금비")+MAX(0,IF(예비비!$D292&lt;EDATE(BS$99,1),예비비!$E292,0)-SUMIFS(예비비!$O$430:$O$729,예비비!$B$430:$B$729,예비비!$A292,예비비!$E$430:$E$729,"&lt;"&amp;EDATE(BS$99,1))),0)</f>
        <v>0</v>
      </c>
      <c r="BT292">
        <f>IF(예비비!$R292="OK",SUMIFS(예비비!$O$430:$O$729,예비비!$B$430:$B$729,예비비!$A292,예비비!$E$430:$E$729,"&lt;"&amp;EDATE(BT$99,1),예비비!$F$430:$F$729,"결제대금비")+MAX(0,IF(예비비!$D292&lt;EDATE(BT$99,1),예비비!$E292,0)-SUMIFS(예비비!$O$430:$O$729,예비비!$B$430:$B$729,예비비!$A292,예비비!$E$430:$E$729,"&lt;"&amp;EDATE(BT$99,1))),0)</f>
        <v>0</v>
      </c>
      <c r="BU292">
        <f>IF(예비비!$R292="OK",SUMIFS(예비비!$O$430:$O$729,예비비!$B$430:$B$729,예비비!$A292,예비비!$E$430:$E$729,"&lt;"&amp;EDATE(BU$99,1),예비비!$F$430:$F$729,"결제대금비")+MAX(0,IF(예비비!$D292&lt;EDATE(BU$99,1),예비비!$E292,0)-SUMIFS(예비비!$O$430:$O$729,예비비!$B$430:$B$729,예비비!$A292,예비비!$E$430:$E$729,"&lt;"&amp;EDATE(BU$99,1))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  <c r="BI293">
        <f>IF(예비비!$R293="OK",SUMIFS(예비비!$O$430:$O$729,예비비!$B$430:$B$729,예비비!$A293,예비비!$E$430:$E$729,"&lt;"&amp;EDATE(BI$99,1),예비비!$F$430:$F$729,"결제대금비")+MAX(0,IF(예비비!$D293&lt;EDATE(BI$99,1),예비비!$E293,0)-SUMIFS(예비비!$O$430:$O$729,예비비!$B$430:$B$729,예비비!$A293,예비비!$E$430:$E$729,"&lt;"&amp;EDATE(BI$99,1))),0)</f>
        <v>0</v>
      </c>
      <c r="BJ293">
        <f>IF(예비비!$R293="OK",SUMIFS(예비비!$O$430:$O$729,예비비!$B$430:$B$729,예비비!$A293,예비비!$E$430:$E$729,"&lt;"&amp;EDATE(BJ$99,1),예비비!$F$430:$F$729,"결제대금비")+MAX(0,IF(예비비!$D293&lt;EDATE(BJ$99,1),예비비!$E293,0)-SUMIFS(예비비!$O$430:$O$729,예비비!$B$430:$B$729,예비비!$A293,예비비!$E$430:$E$729,"&lt;"&amp;EDATE(BJ$99,1))),0)</f>
        <v>0</v>
      </c>
      <c r="BK293">
        <f>IF(예비비!$R293="OK",SUMIFS(예비비!$O$430:$O$729,예비비!$B$430:$B$729,예비비!$A293,예비비!$E$430:$E$729,"&lt;"&amp;EDATE(BK$99,1),예비비!$F$430:$F$729,"결제대금비")+MAX(0,IF(예비비!$D293&lt;EDATE(BK$99,1),예비비!$E293,0)-SUMIFS(예비비!$O$430:$O$729,예비비!$B$430:$B$729,예비비!$A293,예비비!$E$430:$E$729,"&lt;"&amp;EDATE(BK$99,1))),0)</f>
        <v>0</v>
      </c>
      <c r="BL293">
        <f>IF(예비비!$R293="OK",SUMIFS(예비비!$O$430:$O$729,예비비!$B$430:$B$729,예비비!$A293,예비비!$E$430:$E$729,"&lt;"&amp;EDATE(BL$99,1),예비비!$F$430:$F$729,"결제대금비")+MAX(0,IF(예비비!$D293&lt;EDATE(BL$99,1),예비비!$E293,0)-SUMIFS(예비비!$O$430:$O$729,예비비!$B$430:$B$729,예비비!$A293,예비비!$E$430:$E$729,"&lt;"&amp;EDATE(BL$99,1))),0)</f>
        <v>0</v>
      </c>
      <c r="BM293">
        <f>IF(예비비!$R293="OK",SUMIFS(예비비!$O$430:$O$729,예비비!$B$430:$B$729,예비비!$A293,예비비!$E$430:$E$729,"&lt;"&amp;EDATE(BM$99,1),예비비!$F$430:$F$729,"결제대금비")+MAX(0,IF(예비비!$D293&lt;EDATE(BM$99,1),예비비!$E293,0)-SUMIFS(예비비!$O$430:$O$729,예비비!$B$430:$B$729,예비비!$A293,예비비!$E$430:$E$729,"&lt;"&amp;EDATE(BM$99,1))),0)</f>
        <v>0</v>
      </c>
      <c r="BN293">
        <f>IF(예비비!$R293="OK",SUMIFS(예비비!$O$430:$O$729,예비비!$B$430:$B$729,예비비!$A293,예비비!$E$430:$E$729,"&lt;"&amp;EDATE(BN$99,1),예비비!$F$430:$F$729,"결제대금비")+MAX(0,IF(예비비!$D293&lt;EDATE(BN$99,1),예비비!$E293,0)-SUMIFS(예비비!$O$430:$O$729,예비비!$B$430:$B$729,예비비!$A293,예비비!$E$430:$E$729,"&lt;"&amp;EDATE(BN$99,1))),0)</f>
        <v>0</v>
      </c>
      <c r="BO293">
        <f>IF(예비비!$R293="OK",SUMIFS(예비비!$O$430:$O$729,예비비!$B$430:$B$729,예비비!$A293,예비비!$E$430:$E$729,"&lt;"&amp;EDATE(BO$99,1),예비비!$F$430:$F$729,"결제대금비")+MAX(0,IF(예비비!$D293&lt;EDATE(BO$99,1),예비비!$E293,0)-SUMIFS(예비비!$O$430:$O$729,예비비!$B$430:$B$729,예비비!$A293,예비비!$E$430:$E$729,"&lt;"&amp;EDATE(BO$99,1))),0)</f>
        <v>0</v>
      </c>
      <c r="BP293">
        <f>IF(예비비!$R293="OK",SUMIFS(예비비!$O$430:$O$729,예비비!$B$430:$B$729,예비비!$A293,예비비!$E$430:$E$729,"&lt;"&amp;EDATE(BP$99,1),예비비!$F$430:$F$729,"결제대금비")+MAX(0,IF(예비비!$D293&lt;EDATE(BP$99,1),예비비!$E293,0)-SUMIFS(예비비!$O$430:$O$729,예비비!$B$430:$B$729,예비비!$A293,예비비!$E$430:$E$729,"&lt;"&amp;EDATE(BP$99,1))),0)</f>
        <v>0</v>
      </c>
      <c r="BQ293">
        <f>IF(예비비!$R293="OK",SUMIFS(예비비!$O$430:$O$729,예비비!$B$430:$B$729,예비비!$A293,예비비!$E$430:$E$729,"&lt;"&amp;EDATE(BQ$99,1),예비비!$F$430:$F$729,"결제대금비")+MAX(0,IF(예비비!$D293&lt;EDATE(BQ$99,1),예비비!$E293,0)-SUMIFS(예비비!$O$430:$O$729,예비비!$B$430:$B$729,예비비!$A293,예비비!$E$430:$E$729,"&lt;"&amp;EDATE(BQ$99,1))),0)</f>
        <v>0</v>
      </c>
      <c r="BR293">
        <f>IF(예비비!$R293="OK",SUMIFS(예비비!$O$430:$O$729,예비비!$B$430:$B$729,예비비!$A293,예비비!$E$430:$E$729,"&lt;"&amp;EDATE(BR$99,1),예비비!$F$430:$F$729,"결제대금비")+MAX(0,IF(예비비!$D293&lt;EDATE(BR$99,1),예비비!$E293,0)-SUMIFS(예비비!$O$430:$O$729,예비비!$B$430:$B$729,예비비!$A293,예비비!$E$430:$E$729,"&lt;"&amp;EDATE(BR$99,1))),0)</f>
        <v>0</v>
      </c>
      <c r="BS293">
        <f>IF(예비비!$R293="OK",SUMIFS(예비비!$O$430:$O$729,예비비!$B$430:$B$729,예비비!$A293,예비비!$E$430:$E$729,"&lt;"&amp;EDATE(BS$99,1),예비비!$F$430:$F$729,"결제대금비")+MAX(0,IF(예비비!$D293&lt;EDATE(BS$99,1),예비비!$E293,0)-SUMIFS(예비비!$O$430:$O$729,예비비!$B$430:$B$729,예비비!$A293,예비비!$E$430:$E$729,"&lt;"&amp;EDATE(BS$99,1))),0)</f>
        <v>0</v>
      </c>
      <c r="BT293">
        <f>IF(예비비!$R293="OK",SUMIFS(예비비!$O$430:$O$729,예비비!$B$430:$B$729,예비비!$A293,예비비!$E$430:$E$729,"&lt;"&amp;EDATE(BT$99,1),예비비!$F$430:$F$729,"결제대금비")+MAX(0,IF(예비비!$D293&lt;EDATE(BT$99,1),예비비!$E293,0)-SUMIFS(예비비!$O$430:$O$729,예비비!$B$430:$B$729,예비비!$A293,예비비!$E$430:$E$729,"&lt;"&amp;EDATE(BT$99,1))),0)</f>
        <v>0</v>
      </c>
      <c r="BU293">
        <f>IF(예비비!$R293="OK",SUMIFS(예비비!$O$430:$O$729,예비비!$B$430:$B$729,예비비!$A293,예비비!$E$430:$E$729,"&lt;"&amp;EDATE(BU$99,1),예비비!$F$430:$F$729,"결제대금비")+MAX(0,IF(예비비!$D293&lt;EDATE(BU$99,1),예비비!$E293,0)-SUMIFS(예비비!$O$430:$O$729,예비비!$B$430:$B$729,예비비!$A293,예비비!$E$430:$E$729,"&lt;"&amp;EDATE(BU$99,1))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  <c r="BI294">
        <f>IF(예비비!$R294="OK",SUMIFS(예비비!$O$430:$O$729,예비비!$B$430:$B$729,예비비!$A294,예비비!$E$430:$E$729,"&lt;"&amp;EDATE(BI$99,1),예비비!$F$430:$F$729,"결제대금비")+MAX(0,IF(예비비!$D294&lt;EDATE(BI$99,1),예비비!$E294,0)-SUMIFS(예비비!$O$430:$O$729,예비비!$B$430:$B$729,예비비!$A294,예비비!$E$430:$E$729,"&lt;"&amp;EDATE(BI$99,1))),0)</f>
        <v>0</v>
      </c>
      <c r="BJ294">
        <f>IF(예비비!$R294="OK",SUMIFS(예비비!$O$430:$O$729,예비비!$B$430:$B$729,예비비!$A294,예비비!$E$430:$E$729,"&lt;"&amp;EDATE(BJ$99,1),예비비!$F$430:$F$729,"결제대금비")+MAX(0,IF(예비비!$D294&lt;EDATE(BJ$99,1),예비비!$E294,0)-SUMIFS(예비비!$O$430:$O$729,예비비!$B$430:$B$729,예비비!$A294,예비비!$E$430:$E$729,"&lt;"&amp;EDATE(BJ$99,1))),0)</f>
        <v>0</v>
      </c>
      <c r="BK294">
        <f>IF(예비비!$R294="OK",SUMIFS(예비비!$O$430:$O$729,예비비!$B$430:$B$729,예비비!$A294,예비비!$E$430:$E$729,"&lt;"&amp;EDATE(BK$99,1),예비비!$F$430:$F$729,"결제대금비")+MAX(0,IF(예비비!$D294&lt;EDATE(BK$99,1),예비비!$E294,0)-SUMIFS(예비비!$O$430:$O$729,예비비!$B$430:$B$729,예비비!$A294,예비비!$E$430:$E$729,"&lt;"&amp;EDATE(BK$99,1))),0)</f>
        <v>0</v>
      </c>
      <c r="BL294">
        <f>IF(예비비!$R294="OK",SUMIFS(예비비!$O$430:$O$729,예비비!$B$430:$B$729,예비비!$A294,예비비!$E$430:$E$729,"&lt;"&amp;EDATE(BL$99,1),예비비!$F$430:$F$729,"결제대금비")+MAX(0,IF(예비비!$D294&lt;EDATE(BL$99,1),예비비!$E294,0)-SUMIFS(예비비!$O$430:$O$729,예비비!$B$430:$B$729,예비비!$A294,예비비!$E$430:$E$729,"&lt;"&amp;EDATE(BL$99,1))),0)</f>
        <v>0</v>
      </c>
      <c r="BM294">
        <f>IF(예비비!$R294="OK",SUMIFS(예비비!$O$430:$O$729,예비비!$B$430:$B$729,예비비!$A294,예비비!$E$430:$E$729,"&lt;"&amp;EDATE(BM$99,1),예비비!$F$430:$F$729,"결제대금비")+MAX(0,IF(예비비!$D294&lt;EDATE(BM$99,1),예비비!$E294,0)-SUMIFS(예비비!$O$430:$O$729,예비비!$B$430:$B$729,예비비!$A294,예비비!$E$430:$E$729,"&lt;"&amp;EDATE(BM$99,1))),0)</f>
        <v>0</v>
      </c>
      <c r="BN294">
        <f>IF(예비비!$R294="OK",SUMIFS(예비비!$O$430:$O$729,예비비!$B$430:$B$729,예비비!$A294,예비비!$E$430:$E$729,"&lt;"&amp;EDATE(BN$99,1),예비비!$F$430:$F$729,"결제대금비")+MAX(0,IF(예비비!$D294&lt;EDATE(BN$99,1),예비비!$E294,0)-SUMIFS(예비비!$O$430:$O$729,예비비!$B$430:$B$729,예비비!$A294,예비비!$E$430:$E$729,"&lt;"&amp;EDATE(BN$99,1))),0)</f>
        <v>0</v>
      </c>
      <c r="BO294">
        <f>IF(예비비!$R294="OK",SUMIFS(예비비!$O$430:$O$729,예비비!$B$430:$B$729,예비비!$A294,예비비!$E$430:$E$729,"&lt;"&amp;EDATE(BO$99,1),예비비!$F$430:$F$729,"결제대금비")+MAX(0,IF(예비비!$D294&lt;EDATE(BO$99,1),예비비!$E294,0)-SUMIFS(예비비!$O$430:$O$729,예비비!$B$430:$B$729,예비비!$A294,예비비!$E$430:$E$729,"&lt;"&amp;EDATE(BO$99,1))),0)</f>
        <v>0</v>
      </c>
      <c r="BP294">
        <f>IF(예비비!$R294="OK",SUMIFS(예비비!$O$430:$O$729,예비비!$B$430:$B$729,예비비!$A294,예비비!$E$430:$E$729,"&lt;"&amp;EDATE(BP$99,1),예비비!$F$430:$F$729,"결제대금비")+MAX(0,IF(예비비!$D294&lt;EDATE(BP$99,1),예비비!$E294,0)-SUMIFS(예비비!$O$430:$O$729,예비비!$B$430:$B$729,예비비!$A294,예비비!$E$430:$E$729,"&lt;"&amp;EDATE(BP$99,1))),0)</f>
        <v>0</v>
      </c>
      <c r="BQ294">
        <f>IF(예비비!$R294="OK",SUMIFS(예비비!$O$430:$O$729,예비비!$B$430:$B$729,예비비!$A294,예비비!$E$430:$E$729,"&lt;"&amp;EDATE(BQ$99,1),예비비!$F$430:$F$729,"결제대금비")+MAX(0,IF(예비비!$D294&lt;EDATE(BQ$99,1),예비비!$E294,0)-SUMIFS(예비비!$O$430:$O$729,예비비!$B$430:$B$729,예비비!$A294,예비비!$E$430:$E$729,"&lt;"&amp;EDATE(BQ$99,1))),0)</f>
        <v>0</v>
      </c>
      <c r="BR294">
        <f>IF(예비비!$R294="OK",SUMIFS(예비비!$O$430:$O$729,예비비!$B$430:$B$729,예비비!$A294,예비비!$E$430:$E$729,"&lt;"&amp;EDATE(BR$99,1),예비비!$F$430:$F$729,"결제대금비")+MAX(0,IF(예비비!$D294&lt;EDATE(BR$99,1),예비비!$E294,0)-SUMIFS(예비비!$O$430:$O$729,예비비!$B$430:$B$729,예비비!$A294,예비비!$E$430:$E$729,"&lt;"&amp;EDATE(BR$99,1))),0)</f>
        <v>0</v>
      </c>
      <c r="BS294">
        <f>IF(예비비!$R294="OK",SUMIFS(예비비!$O$430:$O$729,예비비!$B$430:$B$729,예비비!$A294,예비비!$E$430:$E$729,"&lt;"&amp;EDATE(BS$99,1),예비비!$F$430:$F$729,"결제대금비")+MAX(0,IF(예비비!$D294&lt;EDATE(BS$99,1),예비비!$E294,0)-SUMIFS(예비비!$O$430:$O$729,예비비!$B$430:$B$729,예비비!$A294,예비비!$E$430:$E$729,"&lt;"&amp;EDATE(BS$99,1))),0)</f>
        <v>0</v>
      </c>
      <c r="BT294">
        <f>IF(예비비!$R294="OK",SUMIFS(예비비!$O$430:$O$729,예비비!$B$430:$B$729,예비비!$A294,예비비!$E$430:$E$729,"&lt;"&amp;EDATE(BT$99,1),예비비!$F$430:$F$729,"결제대금비")+MAX(0,IF(예비비!$D294&lt;EDATE(BT$99,1),예비비!$E294,0)-SUMIFS(예비비!$O$430:$O$729,예비비!$B$430:$B$729,예비비!$A294,예비비!$E$430:$E$729,"&lt;"&amp;EDATE(BT$99,1))),0)</f>
        <v>0</v>
      </c>
      <c r="BU294">
        <f>IF(예비비!$R294="OK",SUMIFS(예비비!$O$430:$O$729,예비비!$B$430:$B$729,예비비!$A294,예비비!$E$430:$E$729,"&lt;"&amp;EDATE(BU$99,1),예비비!$F$430:$F$729,"결제대금비")+MAX(0,IF(예비비!$D294&lt;EDATE(BU$99,1),예비비!$E294,0)-SUMIFS(예비비!$O$430:$O$729,예비비!$B$430:$B$729,예비비!$A294,예비비!$E$430:$E$729,"&lt;"&amp;EDATE(BU$99,1))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  <c r="BI295">
        <f>IF(예비비!$R295="OK",SUMIFS(예비비!$O$430:$O$729,예비비!$B$430:$B$729,예비비!$A295,예비비!$E$430:$E$729,"&lt;"&amp;EDATE(BI$99,1),예비비!$F$430:$F$729,"결제대금비")+MAX(0,IF(예비비!$D295&lt;EDATE(BI$99,1),예비비!$E295,0)-SUMIFS(예비비!$O$430:$O$729,예비비!$B$430:$B$729,예비비!$A295,예비비!$E$430:$E$729,"&lt;"&amp;EDATE(BI$99,1))),0)</f>
        <v>0</v>
      </c>
      <c r="BJ295">
        <f>IF(예비비!$R295="OK",SUMIFS(예비비!$O$430:$O$729,예비비!$B$430:$B$729,예비비!$A295,예비비!$E$430:$E$729,"&lt;"&amp;EDATE(BJ$99,1),예비비!$F$430:$F$729,"결제대금비")+MAX(0,IF(예비비!$D295&lt;EDATE(BJ$99,1),예비비!$E295,0)-SUMIFS(예비비!$O$430:$O$729,예비비!$B$430:$B$729,예비비!$A295,예비비!$E$430:$E$729,"&lt;"&amp;EDATE(BJ$99,1))),0)</f>
        <v>0</v>
      </c>
      <c r="BK295">
        <f>IF(예비비!$R295="OK",SUMIFS(예비비!$O$430:$O$729,예비비!$B$430:$B$729,예비비!$A295,예비비!$E$430:$E$729,"&lt;"&amp;EDATE(BK$99,1),예비비!$F$430:$F$729,"결제대금비")+MAX(0,IF(예비비!$D295&lt;EDATE(BK$99,1),예비비!$E295,0)-SUMIFS(예비비!$O$430:$O$729,예비비!$B$430:$B$729,예비비!$A295,예비비!$E$430:$E$729,"&lt;"&amp;EDATE(BK$99,1))),0)</f>
        <v>0</v>
      </c>
      <c r="BL295">
        <f>IF(예비비!$R295="OK",SUMIFS(예비비!$O$430:$O$729,예비비!$B$430:$B$729,예비비!$A295,예비비!$E$430:$E$729,"&lt;"&amp;EDATE(BL$99,1),예비비!$F$430:$F$729,"결제대금비")+MAX(0,IF(예비비!$D295&lt;EDATE(BL$99,1),예비비!$E295,0)-SUMIFS(예비비!$O$430:$O$729,예비비!$B$430:$B$729,예비비!$A295,예비비!$E$430:$E$729,"&lt;"&amp;EDATE(BL$99,1))),0)</f>
        <v>0</v>
      </c>
      <c r="BM295">
        <f>IF(예비비!$R295="OK",SUMIFS(예비비!$O$430:$O$729,예비비!$B$430:$B$729,예비비!$A295,예비비!$E$430:$E$729,"&lt;"&amp;EDATE(BM$99,1),예비비!$F$430:$F$729,"결제대금비")+MAX(0,IF(예비비!$D295&lt;EDATE(BM$99,1),예비비!$E295,0)-SUMIFS(예비비!$O$430:$O$729,예비비!$B$430:$B$729,예비비!$A295,예비비!$E$430:$E$729,"&lt;"&amp;EDATE(BM$99,1))),0)</f>
        <v>0</v>
      </c>
      <c r="BN295">
        <f>IF(예비비!$R295="OK",SUMIFS(예비비!$O$430:$O$729,예비비!$B$430:$B$729,예비비!$A295,예비비!$E$430:$E$729,"&lt;"&amp;EDATE(BN$99,1),예비비!$F$430:$F$729,"결제대금비")+MAX(0,IF(예비비!$D295&lt;EDATE(BN$99,1),예비비!$E295,0)-SUMIFS(예비비!$O$430:$O$729,예비비!$B$430:$B$729,예비비!$A295,예비비!$E$430:$E$729,"&lt;"&amp;EDATE(BN$99,1))),0)</f>
        <v>0</v>
      </c>
      <c r="BO295">
        <f>IF(예비비!$R295="OK",SUMIFS(예비비!$O$430:$O$729,예비비!$B$430:$B$729,예비비!$A295,예비비!$E$430:$E$729,"&lt;"&amp;EDATE(BO$99,1),예비비!$F$430:$F$729,"결제대금비")+MAX(0,IF(예비비!$D295&lt;EDATE(BO$99,1),예비비!$E295,0)-SUMIFS(예비비!$O$430:$O$729,예비비!$B$430:$B$729,예비비!$A295,예비비!$E$430:$E$729,"&lt;"&amp;EDATE(BO$99,1))),0)</f>
        <v>0</v>
      </c>
      <c r="BP295">
        <f>IF(예비비!$R295="OK",SUMIFS(예비비!$O$430:$O$729,예비비!$B$430:$B$729,예비비!$A295,예비비!$E$430:$E$729,"&lt;"&amp;EDATE(BP$99,1),예비비!$F$430:$F$729,"결제대금비")+MAX(0,IF(예비비!$D295&lt;EDATE(BP$99,1),예비비!$E295,0)-SUMIFS(예비비!$O$430:$O$729,예비비!$B$430:$B$729,예비비!$A295,예비비!$E$430:$E$729,"&lt;"&amp;EDATE(BP$99,1))),0)</f>
        <v>0</v>
      </c>
      <c r="BQ295">
        <f>IF(예비비!$R295="OK",SUMIFS(예비비!$O$430:$O$729,예비비!$B$430:$B$729,예비비!$A295,예비비!$E$430:$E$729,"&lt;"&amp;EDATE(BQ$99,1),예비비!$F$430:$F$729,"결제대금비")+MAX(0,IF(예비비!$D295&lt;EDATE(BQ$99,1),예비비!$E295,0)-SUMIFS(예비비!$O$430:$O$729,예비비!$B$430:$B$729,예비비!$A295,예비비!$E$430:$E$729,"&lt;"&amp;EDATE(BQ$99,1))),0)</f>
        <v>0</v>
      </c>
      <c r="BR295">
        <f>IF(예비비!$R295="OK",SUMIFS(예비비!$O$430:$O$729,예비비!$B$430:$B$729,예비비!$A295,예비비!$E$430:$E$729,"&lt;"&amp;EDATE(BR$99,1),예비비!$F$430:$F$729,"결제대금비")+MAX(0,IF(예비비!$D295&lt;EDATE(BR$99,1),예비비!$E295,0)-SUMIFS(예비비!$O$430:$O$729,예비비!$B$430:$B$729,예비비!$A295,예비비!$E$430:$E$729,"&lt;"&amp;EDATE(BR$99,1))),0)</f>
        <v>0</v>
      </c>
      <c r="BS295">
        <f>IF(예비비!$R295="OK",SUMIFS(예비비!$O$430:$O$729,예비비!$B$430:$B$729,예비비!$A295,예비비!$E$430:$E$729,"&lt;"&amp;EDATE(BS$99,1),예비비!$F$430:$F$729,"결제대금비")+MAX(0,IF(예비비!$D295&lt;EDATE(BS$99,1),예비비!$E295,0)-SUMIFS(예비비!$O$430:$O$729,예비비!$B$430:$B$729,예비비!$A295,예비비!$E$430:$E$729,"&lt;"&amp;EDATE(BS$99,1))),0)</f>
        <v>0</v>
      </c>
      <c r="BT295">
        <f>IF(예비비!$R295="OK",SUMIFS(예비비!$O$430:$O$729,예비비!$B$430:$B$729,예비비!$A295,예비비!$E$430:$E$729,"&lt;"&amp;EDATE(BT$99,1),예비비!$F$430:$F$729,"결제대금비")+MAX(0,IF(예비비!$D295&lt;EDATE(BT$99,1),예비비!$E295,0)-SUMIFS(예비비!$O$430:$O$729,예비비!$B$430:$B$729,예비비!$A295,예비비!$E$430:$E$729,"&lt;"&amp;EDATE(BT$99,1))),0)</f>
        <v>0</v>
      </c>
      <c r="BU295">
        <f>IF(예비비!$R295="OK",SUMIFS(예비비!$O$430:$O$729,예비비!$B$430:$B$729,예비비!$A295,예비비!$E$430:$E$729,"&lt;"&amp;EDATE(BU$99,1),예비비!$F$430:$F$729,"결제대금비")+MAX(0,IF(예비비!$D295&lt;EDATE(BU$99,1),예비비!$E295,0)-SUMIFS(예비비!$O$430:$O$729,예비비!$B$430:$B$729,예비비!$A295,예비비!$E$430:$E$729,"&lt;"&amp;EDATE(BU$99,1))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  <c r="BI296">
        <f>IF(예비비!$R296="OK",SUMIFS(예비비!$O$430:$O$729,예비비!$B$430:$B$729,예비비!$A296,예비비!$E$430:$E$729,"&lt;"&amp;EDATE(BI$99,1),예비비!$F$430:$F$729,"결제대금비")+MAX(0,IF(예비비!$D296&lt;EDATE(BI$99,1),예비비!$E296,0)-SUMIFS(예비비!$O$430:$O$729,예비비!$B$430:$B$729,예비비!$A296,예비비!$E$430:$E$729,"&lt;"&amp;EDATE(BI$99,1))),0)</f>
        <v>0</v>
      </c>
      <c r="BJ296">
        <f>IF(예비비!$R296="OK",SUMIFS(예비비!$O$430:$O$729,예비비!$B$430:$B$729,예비비!$A296,예비비!$E$430:$E$729,"&lt;"&amp;EDATE(BJ$99,1),예비비!$F$430:$F$729,"결제대금비")+MAX(0,IF(예비비!$D296&lt;EDATE(BJ$99,1),예비비!$E296,0)-SUMIFS(예비비!$O$430:$O$729,예비비!$B$430:$B$729,예비비!$A296,예비비!$E$430:$E$729,"&lt;"&amp;EDATE(BJ$99,1))),0)</f>
        <v>0</v>
      </c>
      <c r="BK296">
        <f>IF(예비비!$R296="OK",SUMIFS(예비비!$O$430:$O$729,예비비!$B$430:$B$729,예비비!$A296,예비비!$E$430:$E$729,"&lt;"&amp;EDATE(BK$99,1),예비비!$F$430:$F$729,"결제대금비")+MAX(0,IF(예비비!$D296&lt;EDATE(BK$99,1),예비비!$E296,0)-SUMIFS(예비비!$O$430:$O$729,예비비!$B$430:$B$729,예비비!$A296,예비비!$E$430:$E$729,"&lt;"&amp;EDATE(BK$99,1))),0)</f>
        <v>0</v>
      </c>
      <c r="BL296">
        <f>IF(예비비!$R296="OK",SUMIFS(예비비!$O$430:$O$729,예비비!$B$430:$B$729,예비비!$A296,예비비!$E$430:$E$729,"&lt;"&amp;EDATE(BL$99,1),예비비!$F$430:$F$729,"결제대금비")+MAX(0,IF(예비비!$D296&lt;EDATE(BL$99,1),예비비!$E296,0)-SUMIFS(예비비!$O$430:$O$729,예비비!$B$430:$B$729,예비비!$A296,예비비!$E$430:$E$729,"&lt;"&amp;EDATE(BL$99,1))),0)</f>
        <v>0</v>
      </c>
      <c r="BM296">
        <f>IF(예비비!$R296="OK",SUMIFS(예비비!$O$430:$O$729,예비비!$B$430:$B$729,예비비!$A296,예비비!$E$430:$E$729,"&lt;"&amp;EDATE(BM$99,1),예비비!$F$430:$F$729,"결제대금비")+MAX(0,IF(예비비!$D296&lt;EDATE(BM$99,1),예비비!$E296,0)-SUMIFS(예비비!$O$430:$O$729,예비비!$B$430:$B$729,예비비!$A296,예비비!$E$430:$E$729,"&lt;"&amp;EDATE(BM$99,1))),0)</f>
        <v>0</v>
      </c>
      <c r="BN296">
        <f>IF(예비비!$R296="OK",SUMIFS(예비비!$O$430:$O$729,예비비!$B$430:$B$729,예비비!$A296,예비비!$E$430:$E$729,"&lt;"&amp;EDATE(BN$99,1),예비비!$F$430:$F$729,"결제대금비")+MAX(0,IF(예비비!$D296&lt;EDATE(BN$99,1),예비비!$E296,0)-SUMIFS(예비비!$O$430:$O$729,예비비!$B$430:$B$729,예비비!$A296,예비비!$E$430:$E$729,"&lt;"&amp;EDATE(BN$99,1))),0)</f>
        <v>0</v>
      </c>
      <c r="BO296">
        <f>IF(예비비!$R296="OK",SUMIFS(예비비!$O$430:$O$729,예비비!$B$430:$B$729,예비비!$A296,예비비!$E$430:$E$729,"&lt;"&amp;EDATE(BO$99,1),예비비!$F$430:$F$729,"결제대금비")+MAX(0,IF(예비비!$D296&lt;EDATE(BO$99,1),예비비!$E296,0)-SUMIFS(예비비!$O$430:$O$729,예비비!$B$430:$B$729,예비비!$A296,예비비!$E$430:$E$729,"&lt;"&amp;EDATE(BO$99,1))),0)</f>
        <v>0</v>
      </c>
      <c r="BP296">
        <f>IF(예비비!$R296="OK",SUMIFS(예비비!$O$430:$O$729,예비비!$B$430:$B$729,예비비!$A296,예비비!$E$430:$E$729,"&lt;"&amp;EDATE(BP$99,1),예비비!$F$430:$F$729,"결제대금비")+MAX(0,IF(예비비!$D296&lt;EDATE(BP$99,1),예비비!$E296,0)-SUMIFS(예비비!$O$430:$O$729,예비비!$B$430:$B$729,예비비!$A296,예비비!$E$430:$E$729,"&lt;"&amp;EDATE(BP$99,1))),0)</f>
        <v>0</v>
      </c>
      <c r="BQ296">
        <f>IF(예비비!$R296="OK",SUMIFS(예비비!$O$430:$O$729,예비비!$B$430:$B$729,예비비!$A296,예비비!$E$430:$E$729,"&lt;"&amp;EDATE(BQ$99,1),예비비!$F$430:$F$729,"결제대금비")+MAX(0,IF(예비비!$D296&lt;EDATE(BQ$99,1),예비비!$E296,0)-SUMIFS(예비비!$O$430:$O$729,예비비!$B$430:$B$729,예비비!$A296,예비비!$E$430:$E$729,"&lt;"&amp;EDATE(BQ$99,1))),0)</f>
        <v>0</v>
      </c>
      <c r="BR296">
        <f>IF(예비비!$R296="OK",SUMIFS(예비비!$O$430:$O$729,예비비!$B$430:$B$729,예비비!$A296,예비비!$E$430:$E$729,"&lt;"&amp;EDATE(BR$99,1),예비비!$F$430:$F$729,"결제대금비")+MAX(0,IF(예비비!$D296&lt;EDATE(BR$99,1),예비비!$E296,0)-SUMIFS(예비비!$O$430:$O$729,예비비!$B$430:$B$729,예비비!$A296,예비비!$E$430:$E$729,"&lt;"&amp;EDATE(BR$99,1))),0)</f>
        <v>0</v>
      </c>
      <c r="BS296">
        <f>IF(예비비!$R296="OK",SUMIFS(예비비!$O$430:$O$729,예비비!$B$430:$B$729,예비비!$A296,예비비!$E$430:$E$729,"&lt;"&amp;EDATE(BS$99,1),예비비!$F$430:$F$729,"결제대금비")+MAX(0,IF(예비비!$D296&lt;EDATE(BS$99,1),예비비!$E296,0)-SUMIFS(예비비!$O$430:$O$729,예비비!$B$430:$B$729,예비비!$A296,예비비!$E$430:$E$729,"&lt;"&amp;EDATE(BS$99,1))),0)</f>
        <v>0</v>
      </c>
      <c r="BT296">
        <f>IF(예비비!$R296="OK",SUMIFS(예비비!$O$430:$O$729,예비비!$B$430:$B$729,예비비!$A296,예비비!$E$430:$E$729,"&lt;"&amp;EDATE(BT$99,1),예비비!$F$430:$F$729,"결제대금비")+MAX(0,IF(예비비!$D296&lt;EDATE(BT$99,1),예비비!$E296,0)-SUMIFS(예비비!$O$430:$O$729,예비비!$B$430:$B$729,예비비!$A296,예비비!$E$430:$E$729,"&lt;"&amp;EDATE(BT$99,1))),0)</f>
        <v>0</v>
      </c>
      <c r="BU296">
        <f>IF(예비비!$R296="OK",SUMIFS(예비비!$O$430:$O$729,예비비!$B$430:$B$729,예비비!$A296,예비비!$E$430:$E$729,"&lt;"&amp;EDATE(BU$99,1),예비비!$F$430:$F$729,"결제대금비")+MAX(0,IF(예비비!$D296&lt;EDATE(BU$99,1),예비비!$E296,0)-SUMIFS(예비비!$O$430:$O$729,예비비!$B$430:$B$729,예비비!$A296,예비비!$E$430:$E$729,"&lt;"&amp;EDATE(BU$99,1))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  <c r="BI297">
        <f>IF(예비비!$R297="OK",SUMIFS(예비비!$O$430:$O$729,예비비!$B$430:$B$729,예비비!$A297,예비비!$E$430:$E$729,"&lt;"&amp;EDATE(BI$99,1),예비비!$F$430:$F$729,"결제대금비")+MAX(0,IF(예비비!$D297&lt;EDATE(BI$99,1),예비비!$E297,0)-SUMIFS(예비비!$O$430:$O$729,예비비!$B$430:$B$729,예비비!$A297,예비비!$E$430:$E$729,"&lt;"&amp;EDATE(BI$99,1))),0)</f>
        <v>0</v>
      </c>
      <c r="BJ297">
        <f>IF(예비비!$R297="OK",SUMIFS(예비비!$O$430:$O$729,예비비!$B$430:$B$729,예비비!$A297,예비비!$E$430:$E$729,"&lt;"&amp;EDATE(BJ$99,1),예비비!$F$430:$F$729,"결제대금비")+MAX(0,IF(예비비!$D297&lt;EDATE(BJ$99,1),예비비!$E297,0)-SUMIFS(예비비!$O$430:$O$729,예비비!$B$430:$B$729,예비비!$A297,예비비!$E$430:$E$729,"&lt;"&amp;EDATE(BJ$99,1))),0)</f>
        <v>0</v>
      </c>
      <c r="BK297">
        <f>IF(예비비!$R297="OK",SUMIFS(예비비!$O$430:$O$729,예비비!$B$430:$B$729,예비비!$A297,예비비!$E$430:$E$729,"&lt;"&amp;EDATE(BK$99,1),예비비!$F$430:$F$729,"결제대금비")+MAX(0,IF(예비비!$D297&lt;EDATE(BK$99,1),예비비!$E297,0)-SUMIFS(예비비!$O$430:$O$729,예비비!$B$430:$B$729,예비비!$A297,예비비!$E$430:$E$729,"&lt;"&amp;EDATE(BK$99,1))),0)</f>
        <v>0</v>
      </c>
      <c r="BL297">
        <f>IF(예비비!$R297="OK",SUMIFS(예비비!$O$430:$O$729,예비비!$B$430:$B$729,예비비!$A297,예비비!$E$430:$E$729,"&lt;"&amp;EDATE(BL$99,1),예비비!$F$430:$F$729,"결제대금비")+MAX(0,IF(예비비!$D297&lt;EDATE(BL$99,1),예비비!$E297,0)-SUMIFS(예비비!$O$430:$O$729,예비비!$B$430:$B$729,예비비!$A297,예비비!$E$430:$E$729,"&lt;"&amp;EDATE(BL$99,1))),0)</f>
        <v>0</v>
      </c>
      <c r="BM297">
        <f>IF(예비비!$R297="OK",SUMIFS(예비비!$O$430:$O$729,예비비!$B$430:$B$729,예비비!$A297,예비비!$E$430:$E$729,"&lt;"&amp;EDATE(BM$99,1),예비비!$F$430:$F$729,"결제대금비")+MAX(0,IF(예비비!$D297&lt;EDATE(BM$99,1),예비비!$E297,0)-SUMIFS(예비비!$O$430:$O$729,예비비!$B$430:$B$729,예비비!$A297,예비비!$E$430:$E$729,"&lt;"&amp;EDATE(BM$99,1))),0)</f>
        <v>0</v>
      </c>
      <c r="BN297">
        <f>IF(예비비!$R297="OK",SUMIFS(예비비!$O$430:$O$729,예비비!$B$430:$B$729,예비비!$A297,예비비!$E$430:$E$729,"&lt;"&amp;EDATE(BN$99,1),예비비!$F$430:$F$729,"결제대금비")+MAX(0,IF(예비비!$D297&lt;EDATE(BN$99,1),예비비!$E297,0)-SUMIFS(예비비!$O$430:$O$729,예비비!$B$430:$B$729,예비비!$A297,예비비!$E$430:$E$729,"&lt;"&amp;EDATE(BN$99,1))),0)</f>
        <v>0</v>
      </c>
      <c r="BO297">
        <f>IF(예비비!$R297="OK",SUMIFS(예비비!$O$430:$O$729,예비비!$B$430:$B$729,예비비!$A297,예비비!$E$430:$E$729,"&lt;"&amp;EDATE(BO$99,1),예비비!$F$430:$F$729,"결제대금비")+MAX(0,IF(예비비!$D297&lt;EDATE(BO$99,1),예비비!$E297,0)-SUMIFS(예비비!$O$430:$O$729,예비비!$B$430:$B$729,예비비!$A297,예비비!$E$430:$E$729,"&lt;"&amp;EDATE(BO$99,1))),0)</f>
        <v>0</v>
      </c>
      <c r="BP297">
        <f>IF(예비비!$R297="OK",SUMIFS(예비비!$O$430:$O$729,예비비!$B$430:$B$729,예비비!$A297,예비비!$E$430:$E$729,"&lt;"&amp;EDATE(BP$99,1),예비비!$F$430:$F$729,"결제대금비")+MAX(0,IF(예비비!$D297&lt;EDATE(BP$99,1),예비비!$E297,0)-SUMIFS(예비비!$O$430:$O$729,예비비!$B$430:$B$729,예비비!$A297,예비비!$E$430:$E$729,"&lt;"&amp;EDATE(BP$99,1))),0)</f>
        <v>0</v>
      </c>
      <c r="BQ297">
        <f>IF(예비비!$R297="OK",SUMIFS(예비비!$O$430:$O$729,예비비!$B$430:$B$729,예비비!$A297,예비비!$E$430:$E$729,"&lt;"&amp;EDATE(BQ$99,1),예비비!$F$430:$F$729,"결제대금비")+MAX(0,IF(예비비!$D297&lt;EDATE(BQ$99,1),예비비!$E297,0)-SUMIFS(예비비!$O$430:$O$729,예비비!$B$430:$B$729,예비비!$A297,예비비!$E$430:$E$729,"&lt;"&amp;EDATE(BQ$99,1))),0)</f>
        <v>0</v>
      </c>
      <c r="BR297">
        <f>IF(예비비!$R297="OK",SUMIFS(예비비!$O$430:$O$729,예비비!$B$430:$B$729,예비비!$A297,예비비!$E$430:$E$729,"&lt;"&amp;EDATE(BR$99,1),예비비!$F$430:$F$729,"결제대금비")+MAX(0,IF(예비비!$D297&lt;EDATE(BR$99,1),예비비!$E297,0)-SUMIFS(예비비!$O$430:$O$729,예비비!$B$430:$B$729,예비비!$A297,예비비!$E$430:$E$729,"&lt;"&amp;EDATE(BR$99,1))),0)</f>
        <v>0</v>
      </c>
      <c r="BS297">
        <f>IF(예비비!$R297="OK",SUMIFS(예비비!$O$430:$O$729,예비비!$B$430:$B$729,예비비!$A297,예비비!$E$430:$E$729,"&lt;"&amp;EDATE(BS$99,1),예비비!$F$430:$F$729,"결제대금비")+MAX(0,IF(예비비!$D297&lt;EDATE(BS$99,1),예비비!$E297,0)-SUMIFS(예비비!$O$430:$O$729,예비비!$B$430:$B$729,예비비!$A297,예비비!$E$430:$E$729,"&lt;"&amp;EDATE(BS$99,1))),0)</f>
        <v>0</v>
      </c>
      <c r="BT297">
        <f>IF(예비비!$R297="OK",SUMIFS(예비비!$O$430:$O$729,예비비!$B$430:$B$729,예비비!$A297,예비비!$E$430:$E$729,"&lt;"&amp;EDATE(BT$99,1),예비비!$F$430:$F$729,"결제대금비")+MAX(0,IF(예비비!$D297&lt;EDATE(BT$99,1),예비비!$E297,0)-SUMIFS(예비비!$O$430:$O$729,예비비!$B$430:$B$729,예비비!$A297,예비비!$E$430:$E$729,"&lt;"&amp;EDATE(BT$99,1))),0)</f>
        <v>0</v>
      </c>
      <c r="BU297">
        <f>IF(예비비!$R297="OK",SUMIFS(예비비!$O$430:$O$729,예비비!$B$430:$B$729,예비비!$A297,예비비!$E$430:$E$729,"&lt;"&amp;EDATE(BU$99,1),예비비!$F$430:$F$729,"결제대금비")+MAX(0,IF(예비비!$D297&lt;EDATE(BU$99,1),예비비!$E297,0)-SUMIFS(예비비!$O$430:$O$729,예비비!$B$430:$B$729,예비비!$A297,예비비!$E$430:$E$729,"&lt;"&amp;EDATE(BU$99,1))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  <c r="BI298">
        <f>IF(예비비!$R298="OK",SUMIFS(예비비!$O$430:$O$729,예비비!$B$430:$B$729,예비비!$A298,예비비!$E$430:$E$729,"&lt;"&amp;EDATE(BI$99,1),예비비!$F$430:$F$729,"결제대금비")+MAX(0,IF(예비비!$D298&lt;EDATE(BI$99,1),예비비!$E298,0)-SUMIFS(예비비!$O$430:$O$729,예비비!$B$430:$B$729,예비비!$A298,예비비!$E$430:$E$729,"&lt;"&amp;EDATE(BI$99,1))),0)</f>
        <v>0</v>
      </c>
      <c r="BJ298">
        <f>IF(예비비!$R298="OK",SUMIFS(예비비!$O$430:$O$729,예비비!$B$430:$B$729,예비비!$A298,예비비!$E$430:$E$729,"&lt;"&amp;EDATE(BJ$99,1),예비비!$F$430:$F$729,"결제대금비")+MAX(0,IF(예비비!$D298&lt;EDATE(BJ$99,1),예비비!$E298,0)-SUMIFS(예비비!$O$430:$O$729,예비비!$B$430:$B$729,예비비!$A298,예비비!$E$430:$E$729,"&lt;"&amp;EDATE(BJ$99,1))),0)</f>
        <v>0</v>
      </c>
      <c r="BK298">
        <f>IF(예비비!$R298="OK",SUMIFS(예비비!$O$430:$O$729,예비비!$B$430:$B$729,예비비!$A298,예비비!$E$430:$E$729,"&lt;"&amp;EDATE(BK$99,1),예비비!$F$430:$F$729,"결제대금비")+MAX(0,IF(예비비!$D298&lt;EDATE(BK$99,1),예비비!$E298,0)-SUMIFS(예비비!$O$430:$O$729,예비비!$B$430:$B$729,예비비!$A298,예비비!$E$430:$E$729,"&lt;"&amp;EDATE(BK$99,1))),0)</f>
        <v>0</v>
      </c>
      <c r="BL298">
        <f>IF(예비비!$R298="OK",SUMIFS(예비비!$O$430:$O$729,예비비!$B$430:$B$729,예비비!$A298,예비비!$E$430:$E$729,"&lt;"&amp;EDATE(BL$99,1),예비비!$F$430:$F$729,"결제대금비")+MAX(0,IF(예비비!$D298&lt;EDATE(BL$99,1),예비비!$E298,0)-SUMIFS(예비비!$O$430:$O$729,예비비!$B$430:$B$729,예비비!$A298,예비비!$E$430:$E$729,"&lt;"&amp;EDATE(BL$99,1))),0)</f>
        <v>0</v>
      </c>
      <c r="BM298">
        <f>IF(예비비!$R298="OK",SUMIFS(예비비!$O$430:$O$729,예비비!$B$430:$B$729,예비비!$A298,예비비!$E$430:$E$729,"&lt;"&amp;EDATE(BM$99,1),예비비!$F$430:$F$729,"결제대금비")+MAX(0,IF(예비비!$D298&lt;EDATE(BM$99,1),예비비!$E298,0)-SUMIFS(예비비!$O$430:$O$729,예비비!$B$430:$B$729,예비비!$A298,예비비!$E$430:$E$729,"&lt;"&amp;EDATE(BM$99,1))),0)</f>
        <v>0</v>
      </c>
      <c r="BN298">
        <f>IF(예비비!$R298="OK",SUMIFS(예비비!$O$430:$O$729,예비비!$B$430:$B$729,예비비!$A298,예비비!$E$430:$E$729,"&lt;"&amp;EDATE(BN$99,1),예비비!$F$430:$F$729,"결제대금비")+MAX(0,IF(예비비!$D298&lt;EDATE(BN$99,1),예비비!$E298,0)-SUMIFS(예비비!$O$430:$O$729,예비비!$B$430:$B$729,예비비!$A298,예비비!$E$430:$E$729,"&lt;"&amp;EDATE(BN$99,1))),0)</f>
        <v>0</v>
      </c>
      <c r="BO298">
        <f>IF(예비비!$R298="OK",SUMIFS(예비비!$O$430:$O$729,예비비!$B$430:$B$729,예비비!$A298,예비비!$E$430:$E$729,"&lt;"&amp;EDATE(BO$99,1),예비비!$F$430:$F$729,"결제대금비")+MAX(0,IF(예비비!$D298&lt;EDATE(BO$99,1),예비비!$E298,0)-SUMIFS(예비비!$O$430:$O$729,예비비!$B$430:$B$729,예비비!$A298,예비비!$E$430:$E$729,"&lt;"&amp;EDATE(BO$99,1))),0)</f>
        <v>0</v>
      </c>
      <c r="BP298">
        <f>IF(예비비!$R298="OK",SUMIFS(예비비!$O$430:$O$729,예비비!$B$430:$B$729,예비비!$A298,예비비!$E$430:$E$729,"&lt;"&amp;EDATE(BP$99,1),예비비!$F$430:$F$729,"결제대금비")+MAX(0,IF(예비비!$D298&lt;EDATE(BP$99,1),예비비!$E298,0)-SUMIFS(예비비!$O$430:$O$729,예비비!$B$430:$B$729,예비비!$A298,예비비!$E$430:$E$729,"&lt;"&amp;EDATE(BP$99,1))),0)</f>
        <v>0</v>
      </c>
      <c r="BQ298">
        <f>IF(예비비!$R298="OK",SUMIFS(예비비!$O$430:$O$729,예비비!$B$430:$B$729,예비비!$A298,예비비!$E$430:$E$729,"&lt;"&amp;EDATE(BQ$99,1),예비비!$F$430:$F$729,"결제대금비")+MAX(0,IF(예비비!$D298&lt;EDATE(BQ$99,1),예비비!$E298,0)-SUMIFS(예비비!$O$430:$O$729,예비비!$B$430:$B$729,예비비!$A298,예비비!$E$430:$E$729,"&lt;"&amp;EDATE(BQ$99,1))),0)</f>
        <v>0</v>
      </c>
      <c r="BR298">
        <f>IF(예비비!$R298="OK",SUMIFS(예비비!$O$430:$O$729,예비비!$B$430:$B$729,예비비!$A298,예비비!$E$430:$E$729,"&lt;"&amp;EDATE(BR$99,1),예비비!$F$430:$F$729,"결제대금비")+MAX(0,IF(예비비!$D298&lt;EDATE(BR$99,1),예비비!$E298,0)-SUMIFS(예비비!$O$430:$O$729,예비비!$B$430:$B$729,예비비!$A298,예비비!$E$430:$E$729,"&lt;"&amp;EDATE(BR$99,1))),0)</f>
        <v>0</v>
      </c>
      <c r="BS298">
        <f>IF(예비비!$R298="OK",SUMIFS(예비비!$O$430:$O$729,예비비!$B$430:$B$729,예비비!$A298,예비비!$E$430:$E$729,"&lt;"&amp;EDATE(BS$99,1),예비비!$F$430:$F$729,"결제대금비")+MAX(0,IF(예비비!$D298&lt;EDATE(BS$99,1),예비비!$E298,0)-SUMIFS(예비비!$O$430:$O$729,예비비!$B$430:$B$729,예비비!$A298,예비비!$E$430:$E$729,"&lt;"&amp;EDATE(BS$99,1))),0)</f>
        <v>0</v>
      </c>
      <c r="BT298">
        <f>IF(예비비!$R298="OK",SUMIFS(예비비!$O$430:$O$729,예비비!$B$430:$B$729,예비비!$A298,예비비!$E$430:$E$729,"&lt;"&amp;EDATE(BT$99,1),예비비!$F$430:$F$729,"결제대금비")+MAX(0,IF(예비비!$D298&lt;EDATE(BT$99,1),예비비!$E298,0)-SUMIFS(예비비!$O$430:$O$729,예비비!$B$430:$B$729,예비비!$A298,예비비!$E$430:$E$729,"&lt;"&amp;EDATE(BT$99,1))),0)</f>
        <v>0</v>
      </c>
      <c r="BU298">
        <f>IF(예비비!$R298="OK",SUMIFS(예비비!$O$430:$O$729,예비비!$B$430:$B$729,예비비!$A298,예비비!$E$430:$E$729,"&lt;"&amp;EDATE(BU$99,1),예비비!$F$430:$F$729,"결제대금비")+MAX(0,IF(예비비!$D298&lt;EDATE(BU$99,1),예비비!$E298,0)-SUMIFS(예비비!$O$430:$O$729,예비비!$B$430:$B$729,예비비!$A298,예비비!$E$430:$E$729,"&lt;"&amp;EDATE(BU$99,1))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  <c r="BI299">
        <f>IF(예비비!$R299="OK",SUMIFS(예비비!$O$430:$O$729,예비비!$B$430:$B$729,예비비!$A299,예비비!$E$430:$E$729,"&lt;"&amp;EDATE(BI$99,1),예비비!$F$430:$F$729,"결제대금비")+MAX(0,IF(예비비!$D299&lt;EDATE(BI$99,1),예비비!$E299,0)-SUMIFS(예비비!$O$430:$O$729,예비비!$B$430:$B$729,예비비!$A299,예비비!$E$430:$E$729,"&lt;"&amp;EDATE(BI$99,1))),0)</f>
        <v>0</v>
      </c>
      <c r="BJ299">
        <f>IF(예비비!$R299="OK",SUMIFS(예비비!$O$430:$O$729,예비비!$B$430:$B$729,예비비!$A299,예비비!$E$430:$E$729,"&lt;"&amp;EDATE(BJ$99,1),예비비!$F$430:$F$729,"결제대금비")+MAX(0,IF(예비비!$D299&lt;EDATE(BJ$99,1),예비비!$E299,0)-SUMIFS(예비비!$O$430:$O$729,예비비!$B$430:$B$729,예비비!$A299,예비비!$E$430:$E$729,"&lt;"&amp;EDATE(BJ$99,1))),0)</f>
        <v>0</v>
      </c>
      <c r="BK299">
        <f>IF(예비비!$R299="OK",SUMIFS(예비비!$O$430:$O$729,예비비!$B$430:$B$729,예비비!$A299,예비비!$E$430:$E$729,"&lt;"&amp;EDATE(BK$99,1),예비비!$F$430:$F$729,"결제대금비")+MAX(0,IF(예비비!$D299&lt;EDATE(BK$99,1),예비비!$E299,0)-SUMIFS(예비비!$O$430:$O$729,예비비!$B$430:$B$729,예비비!$A299,예비비!$E$430:$E$729,"&lt;"&amp;EDATE(BK$99,1))),0)</f>
        <v>0</v>
      </c>
      <c r="BL299">
        <f>IF(예비비!$R299="OK",SUMIFS(예비비!$O$430:$O$729,예비비!$B$430:$B$729,예비비!$A299,예비비!$E$430:$E$729,"&lt;"&amp;EDATE(BL$99,1),예비비!$F$430:$F$729,"결제대금비")+MAX(0,IF(예비비!$D299&lt;EDATE(BL$99,1),예비비!$E299,0)-SUMIFS(예비비!$O$430:$O$729,예비비!$B$430:$B$729,예비비!$A299,예비비!$E$430:$E$729,"&lt;"&amp;EDATE(BL$99,1))),0)</f>
        <v>0</v>
      </c>
      <c r="BM299">
        <f>IF(예비비!$R299="OK",SUMIFS(예비비!$O$430:$O$729,예비비!$B$430:$B$729,예비비!$A299,예비비!$E$430:$E$729,"&lt;"&amp;EDATE(BM$99,1),예비비!$F$430:$F$729,"결제대금비")+MAX(0,IF(예비비!$D299&lt;EDATE(BM$99,1),예비비!$E299,0)-SUMIFS(예비비!$O$430:$O$729,예비비!$B$430:$B$729,예비비!$A299,예비비!$E$430:$E$729,"&lt;"&amp;EDATE(BM$99,1))),0)</f>
        <v>0</v>
      </c>
      <c r="BN299">
        <f>IF(예비비!$R299="OK",SUMIFS(예비비!$O$430:$O$729,예비비!$B$430:$B$729,예비비!$A299,예비비!$E$430:$E$729,"&lt;"&amp;EDATE(BN$99,1),예비비!$F$430:$F$729,"결제대금비")+MAX(0,IF(예비비!$D299&lt;EDATE(BN$99,1),예비비!$E299,0)-SUMIFS(예비비!$O$430:$O$729,예비비!$B$430:$B$729,예비비!$A299,예비비!$E$430:$E$729,"&lt;"&amp;EDATE(BN$99,1))),0)</f>
        <v>0</v>
      </c>
      <c r="BO299">
        <f>IF(예비비!$R299="OK",SUMIFS(예비비!$O$430:$O$729,예비비!$B$430:$B$729,예비비!$A299,예비비!$E$430:$E$729,"&lt;"&amp;EDATE(BO$99,1),예비비!$F$430:$F$729,"결제대금비")+MAX(0,IF(예비비!$D299&lt;EDATE(BO$99,1),예비비!$E299,0)-SUMIFS(예비비!$O$430:$O$729,예비비!$B$430:$B$729,예비비!$A299,예비비!$E$430:$E$729,"&lt;"&amp;EDATE(BO$99,1))),0)</f>
        <v>0</v>
      </c>
      <c r="BP299">
        <f>IF(예비비!$R299="OK",SUMIFS(예비비!$O$430:$O$729,예비비!$B$430:$B$729,예비비!$A299,예비비!$E$430:$E$729,"&lt;"&amp;EDATE(BP$99,1),예비비!$F$430:$F$729,"결제대금비")+MAX(0,IF(예비비!$D299&lt;EDATE(BP$99,1),예비비!$E299,0)-SUMIFS(예비비!$O$430:$O$729,예비비!$B$430:$B$729,예비비!$A299,예비비!$E$430:$E$729,"&lt;"&amp;EDATE(BP$99,1))),0)</f>
        <v>0</v>
      </c>
      <c r="BQ299">
        <f>IF(예비비!$R299="OK",SUMIFS(예비비!$O$430:$O$729,예비비!$B$430:$B$729,예비비!$A299,예비비!$E$430:$E$729,"&lt;"&amp;EDATE(BQ$99,1),예비비!$F$430:$F$729,"결제대금비")+MAX(0,IF(예비비!$D299&lt;EDATE(BQ$99,1),예비비!$E299,0)-SUMIFS(예비비!$O$430:$O$729,예비비!$B$430:$B$729,예비비!$A299,예비비!$E$430:$E$729,"&lt;"&amp;EDATE(BQ$99,1))),0)</f>
        <v>0</v>
      </c>
      <c r="BR299">
        <f>IF(예비비!$R299="OK",SUMIFS(예비비!$O$430:$O$729,예비비!$B$430:$B$729,예비비!$A299,예비비!$E$430:$E$729,"&lt;"&amp;EDATE(BR$99,1),예비비!$F$430:$F$729,"결제대금비")+MAX(0,IF(예비비!$D299&lt;EDATE(BR$99,1),예비비!$E299,0)-SUMIFS(예비비!$O$430:$O$729,예비비!$B$430:$B$729,예비비!$A299,예비비!$E$430:$E$729,"&lt;"&amp;EDATE(BR$99,1))),0)</f>
        <v>0</v>
      </c>
      <c r="BS299">
        <f>IF(예비비!$R299="OK",SUMIFS(예비비!$O$430:$O$729,예비비!$B$430:$B$729,예비비!$A299,예비비!$E$430:$E$729,"&lt;"&amp;EDATE(BS$99,1),예비비!$F$430:$F$729,"결제대금비")+MAX(0,IF(예비비!$D299&lt;EDATE(BS$99,1),예비비!$E299,0)-SUMIFS(예비비!$O$430:$O$729,예비비!$B$430:$B$729,예비비!$A299,예비비!$E$430:$E$729,"&lt;"&amp;EDATE(BS$99,1))),0)</f>
        <v>0</v>
      </c>
      <c r="BT299">
        <f>IF(예비비!$R299="OK",SUMIFS(예비비!$O$430:$O$729,예비비!$B$430:$B$729,예비비!$A299,예비비!$E$430:$E$729,"&lt;"&amp;EDATE(BT$99,1),예비비!$F$430:$F$729,"결제대금비")+MAX(0,IF(예비비!$D299&lt;EDATE(BT$99,1),예비비!$E299,0)-SUMIFS(예비비!$O$430:$O$729,예비비!$B$430:$B$729,예비비!$A299,예비비!$E$430:$E$729,"&lt;"&amp;EDATE(BT$99,1))),0)</f>
        <v>0</v>
      </c>
      <c r="BU299">
        <f>IF(예비비!$R299="OK",SUMIFS(예비비!$O$430:$O$729,예비비!$B$430:$B$729,예비비!$A299,예비비!$E$430:$E$729,"&lt;"&amp;EDATE(BU$99,1),예비비!$F$430:$F$729,"결제대금비")+MAX(0,IF(예비비!$D299&lt;EDATE(BU$99,1),예비비!$E299,0)-SUMIFS(예비비!$O$430:$O$729,예비비!$B$430:$B$729,예비비!$A299,예비비!$E$430:$E$729,"&lt;"&amp;EDATE(BU$99,1))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  <c r="BI300">
        <f>IF(예비비!$R300="OK",SUMIFS(예비비!$O$430:$O$729,예비비!$B$430:$B$729,예비비!$A300,예비비!$E$430:$E$729,"&lt;"&amp;EDATE(BI$99,1),예비비!$F$430:$F$729,"결제대금비")+MAX(0,IF(예비비!$D300&lt;EDATE(BI$99,1),예비비!$E300,0)-SUMIFS(예비비!$O$430:$O$729,예비비!$B$430:$B$729,예비비!$A300,예비비!$E$430:$E$729,"&lt;"&amp;EDATE(BI$99,1))),0)</f>
        <v>0</v>
      </c>
      <c r="BJ300">
        <f>IF(예비비!$R300="OK",SUMIFS(예비비!$O$430:$O$729,예비비!$B$430:$B$729,예비비!$A300,예비비!$E$430:$E$729,"&lt;"&amp;EDATE(BJ$99,1),예비비!$F$430:$F$729,"결제대금비")+MAX(0,IF(예비비!$D300&lt;EDATE(BJ$99,1),예비비!$E300,0)-SUMIFS(예비비!$O$430:$O$729,예비비!$B$430:$B$729,예비비!$A300,예비비!$E$430:$E$729,"&lt;"&amp;EDATE(BJ$99,1))),0)</f>
        <v>0</v>
      </c>
      <c r="BK300">
        <f>IF(예비비!$R300="OK",SUMIFS(예비비!$O$430:$O$729,예비비!$B$430:$B$729,예비비!$A300,예비비!$E$430:$E$729,"&lt;"&amp;EDATE(BK$99,1),예비비!$F$430:$F$729,"결제대금비")+MAX(0,IF(예비비!$D300&lt;EDATE(BK$99,1),예비비!$E300,0)-SUMIFS(예비비!$O$430:$O$729,예비비!$B$430:$B$729,예비비!$A300,예비비!$E$430:$E$729,"&lt;"&amp;EDATE(BK$99,1))),0)</f>
        <v>0</v>
      </c>
      <c r="BL300">
        <f>IF(예비비!$R300="OK",SUMIFS(예비비!$O$430:$O$729,예비비!$B$430:$B$729,예비비!$A300,예비비!$E$430:$E$729,"&lt;"&amp;EDATE(BL$99,1),예비비!$F$430:$F$729,"결제대금비")+MAX(0,IF(예비비!$D300&lt;EDATE(BL$99,1),예비비!$E300,0)-SUMIFS(예비비!$O$430:$O$729,예비비!$B$430:$B$729,예비비!$A300,예비비!$E$430:$E$729,"&lt;"&amp;EDATE(BL$99,1))),0)</f>
        <v>0</v>
      </c>
      <c r="BM300">
        <f>IF(예비비!$R300="OK",SUMIFS(예비비!$O$430:$O$729,예비비!$B$430:$B$729,예비비!$A300,예비비!$E$430:$E$729,"&lt;"&amp;EDATE(BM$99,1),예비비!$F$430:$F$729,"결제대금비")+MAX(0,IF(예비비!$D300&lt;EDATE(BM$99,1),예비비!$E300,0)-SUMIFS(예비비!$O$430:$O$729,예비비!$B$430:$B$729,예비비!$A300,예비비!$E$430:$E$729,"&lt;"&amp;EDATE(BM$99,1))),0)</f>
        <v>0</v>
      </c>
      <c r="BN300">
        <f>IF(예비비!$R300="OK",SUMIFS(예비비!$O$430:$O$729,예비비!$B$430:$B$729,예비비!$A300,예비비!$E$430:$E$729,"&lt;"&amp;EDATE(BN$99,1),예비비!$F$430:$F$729,"결제대금비")+MAX(0,IF(예비비!$D300&lt;EDATE(BN$99,1),예비비!$E300,0)-SUMIFS(예비비!$O$430:$O$729,예비비!$B$430:$B$729,예비비!$A300,예비비!$E$430:$E$729,"&lt;"&amp;EDATE(BN$99,1))),0)</f>
        <v>0</v>
      </c>
      <c r="BO300">
        <f>IF(예비비!$R300="OK",SUMIFS(예비비!$O$430:$O$729,예비비!$B$430:$B$729,예비비!$A300,예비비!$E$430:$E$729,"&lt;"&amp;EDATE(BO$99,1),예비비!$F$430:$F$729,"결제대금비")+MAX(0,IF(예비비!$D300&lt;EDATE(BO$99,1),예비비!$E300,0)-SUMIFS(예비비!$O$430:$O$729,예비비!$B$430:$B$729,예비비!$A300,예비비!$E$430:$E$729,"&lt;"&amp;EDATE(BO$99,1))),0)</f>
        <v>0</v>
      </c>
      <c r="BP300">
        <f>IF(예비비!$R300="OK",SUMIFS(예비비!$O$430:$O$729,예비비!$B$430:$B$729,예비비!$A300,예비비!$E$430:$E$729,"&lt;"&amp;EDATE(BP$99,1),예비비!$F$430:$F$729,"결제대금비")+MAX(0,IF(예비비!$D300&lt;EDATE(BP$99,1),예비비!$E300,0)-SUMIFS(예비비!$O$430:$O$729,예비비!$B$430:$B$729,예비비!$A300,예비비!$E$430:$E$729,"&lt;"&amp;EDATE(BP$99,1))),0)</f>
        <v>0</v>
      </c>
      <c r="BQ300">
        <f>IF(예비비!$R300="OK",SUMIFS(예비비!$O$430:$O$729,예비비!$B$430:$B$729,예비비!$A300,예비비!$E$430:$E$729,"&lt;"&amp;EDATE(BQ$99,1),예비비!$F$430:$F$729,"결제대금비")+MAX(0,IF(예비비!$D300&lt;EDATE(BQ$99,1),예비비!$E300,0)-SUMIFS(예비비!$O$430:$O$729,예비비!$B$430:$B$729,예비비!$A300,예비비!$E$430:$E$729,"&lt;"&amp;EDATE(BQ$99,1))),0)</f>
        <v>0</v>
      </c>
      <c r="BR300">
        <f>IF(예비비!$R300="OK",SUMIFS(예비비!$O$430:$O$729,예비비!$B$430:$B$729,예비비!$A300,예비비!$E$430:$E$729,"&lt;"&amp;EDATE(BR$99,1),예비비!$F$430:$F$729,"결제대금비")+MAX(0,IF(예비비!$D300&lt;EDATE(BR$99,1),예비비!$E300,0)-SUMIFS(예비비!$O$430:$O$729,예비비!$B$430:$B$729,예비비!$A300,예비비!$E$430:$E$729,"&lt;"&amp;EDATE(BR$99,1))),0)</f>
        <v>0</v>
      </c>
      <c r="BS300">
        <f>IF(예비비!$R300="OK",SUMIFS(예비비!$O$430:$O$729,예비비!$B$430:$B$729,예비비!$A300,예비비!$E$430:$E$729,"&lt;"&amp;EDATE(BS$99,1),예비비!$F$430:$F$729,"결제대금비")+MAX(0,IF(예비비!$D300&lt;EDATE(BS$99,1),예비비!$E300,0)-SUMIFS(예비비!$O$430:$O$729,예비비!$B$430:$B$729,예비비!$A300,예비비!$E$430:$E$729,"&lt;"&amp;EDATE(BS$99,1))),0)</f>
        <v>0</v>
      </c>
      <c r="BT300">
        <f>IF(예비비!$R300="OK",SUMIFS(예비비!$O$430:$O$729,예비비!$B$430:$B$729,예비비!$A300,예비비!$E$430:$E$729,"&lt;"&amp;EDATE(BT$99,1),예비비!$F$430:$F$729,"결제대금비")+MAX(0,IF(예비비!$D300&lt;EDATE(BT$99,1),예비비!$E300,0)-SUMIFS(예비비!$O$430:$O$729,예비비!$B$430:$B$729,예비비!$A300,예비비!$E$430:$E$729,"&lt;"&amp;EDATE(BT$99,1))),0)</f>
        <v>0</v>
      </c>
      <c r="BU300">
        <f>IF(예비비!$R300="OK",SUMIFS(예비비!$O$430:$O$729,예비비!$B$430:$B$729,예비비!$A300,예비비!$E$430:$E$729,"&lt;"&amp;EDATE(BU$99,1),예비비!$F$430:$F$729,"결제대금비")+MAX(0,IF(예비비!$D300&lt;EDATE(BU$99,1),예비비!$E300,0)-SUMIFS(예비비!$O$430:$O$729,예비비!$B$430:$B$729,예비비!$A300,예비비!$E$430:$E$729,"&lt;"&amp;EDATE(BU$99,1))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  <c r="BI301">
        <f>IF(예비비!$R301="OK",SUMIFS(예비비!$O$430:$O$729,예비비!$B$430:$B$729,예비비!$A301,예비비!$E$430:$E$729,"&lt;"&amp;EDATE(BI$99,1),예비비!$F$430:$F$729,"결제대금비")+MAX(0,IF(예비비!$D301&lt;EDATE(BI$99,1),예비비!$E301,0)-SUMIFS(예비비!$O$430:$O$729,예비비!$B$430:$B$729,예비비!$A301,예비비!$E$430:$E$729,"&lt;"&amp;EDATE(BI$99,1))),0)</f>
        <v>0</v>
      </c>
      <c r="BJ301">
        <f>IF(예비비!$R301="OK",SUMIFS(예비비!$O$430:$O$729,예비비!$B$430:$B$729,예비비!$A301,예비비!$E$430:$E$729,"&lt;"&amp;EDATE(BJ$99,1),예비비!$F$430:$F$729,"결제대금비")+MAX(0,IF(예비비!$D301&lt;EDATE(BJ$99,1),예비비!$E301,0)-SUMIFS(예비비!$O$430:$O$729,예비비!$B$430:$B$729,예비비!$A301,예비비!$E$430:$E$729,"&lt;"&amp;EDATE(BJ$99,1))),0)</f>
        <v>0</v>
      </c>
      <c r="BK301">
        <f>IF(예비비!$R301="OK",SUMIFS(예비비!$O$430:$O$729,예비비!$B$430:$B$729,예비비!$A301,예비비!$E$430:$E$729,"&lt;"&amp;EDATE(BK$99,1),예비비!$F$430:$F$729,"결제대금비")+MAX(0,IF(예비비!$D301&lt;EDATE(BK$99,1),예비비!$E301,0)-SUMIFS(예비비!$O$430:$O$729,예비비!$B$430:$B$729,예비비!$A301,예비비!$E$430:$E$729,"&lt;"&amp;EDATE(BK$99,1))),0)</f>
        <v>0</v>
      </c>
      <c r="BL301">
        <f>IF(예비비!$R301="OK",SUMIFS(예비비!$O$430:$O$729,예비비!$B$430:$B$729,예비비!$A301,예비비!$E$430:$E$729,"&lt;"&amp;EDATE(BL$99,1),예비비!$F$430:$F$729,"결제대금비")+MAX(0,IF(예비비!$D301&lt;EDATE(BL$99,1),예비비!$E301,0)-SUMIFS(예비비!$O$430:$O$729,예비비!$B$430:$B$729,예비비!$A301,예비비!$E$430:$E$729,"&lt;"&amp;EDATE(BL$99,1))),0)</f>
        <v>0</v>
      </c>
      <c r="BM301">
        <f>IF(예비비!$R301="OK",SUMIFS(예비비!$O$430:$O$729,예비비!$B$430:$B$729,예비비!$A301,예비비!$E$430:$E$729,"&lt;"&amp;EDATE(BM$99,1),예비비!$F$430:$F$729,"결제대금비")+MAX(0,IF(예비비!$D301&lt;EDATE(BM$99,1),예비비!$E301,0)-SUMIFS(예비비!$O$430:$O$729,예비비!$B$430:$B$729,예비비!$A301,예비비!$E$430:$E$729,"&lt;"&amp;EDATE(BM$99,1))),0)</f>
        <v>0</v>
      </c>
      <c r="BN301">
        <f>IF(예비비!$R301="OK",SUMIFS(예비비!$O$430:$O$729,예비비!$B$430:$B$729,예비비!$A301,예비비!$E$430:$E$729,"&lt;"&amp;EDATE(BN$99,1),예비비!$F$430:$F$729,"결제대금비")+MAX(0,IF(예비비!$D301&lt;EDATE(BN$99,1),예비비!$E301,0)-SUMIFS(예비비!$O$430:$O$729,예비비!$B$430:$B$729,예비비!$A301,예비비!$E$430:$E$729,"&lt;"&amp;EDATE(BN$99,1))),0)</f>
        <v>0</v>
      </c>
      <c r="BO301">
        <f>IF(예비비!$R301="OK",SUMIFS(예비비!$O$430:$O$729,예비비!$B$430:$B$729,예비비!$A301,예비비!$E$430:$E$729,"&lt;"&amp;EDATE(BO$99,1),예비비!$F$430:$F$729,"결제대금비")+MAX(0,IF(예비비!$D301&lt;EDATE(BO$99,1),예비비!$E301,0)-SUMIFS(예비비!$O$430:$O$729,예비비!$B$430:$B$729,예비비!$A301,예비비!$E$430:$E$729,"&lt;"&amp;EDATE(BO$99,1))),0)</f>
        <v>0</v>
      </c>
      <c r="BP301">
        <f>IF(예비비!$R301="OK",SUMIFS(예비비!$O$430:$O$729,예비비!$B$430:$B$729,예비비!$A301,예비비!$E$430:$E$729,"&lt;"&amp;EDATE(BP$99,1),예비비!$F$430:$F$729,"결제대금비")+MAX(0,IF(예비비!$D301&lt;EDATE(BP$99,1),예비비!$E301,0)-SUMIFS(예비비!$O$430:$O$729,예비비!$B$430:$B$729,예비비!$A301,예비비!$E$430:$E$729,"&lt;"&amp;EDATE(BP$99,1))),0)</f>
        <v>0</v>
      </c>
      <c r="BQ301">
        <f>IF(예비비!$R301="OK",SUMIFS(예비비!$O$430:$O$729,예비비!$B$430:$B$729,예비비!$A301,예비비!$E$430:$E$729,"&lt;"&amp;EDATE(BQ$99,1),예비비!$F$430:$F$729,"결제대금비")+MAX(0,IF(예비비!$D301&lt;EDATE(BQ$99,1),예비비!$E301,0)-SUMIFS(예비비!$O$430:$O$729,예비비!$B$430:$B$729,예비비!$A301,예비비!$E$430:$E$729,"&lt;"&amp;EDATE(BQ$99,1))),0)</f>
        <v>0</v>
      </c>
      <c r="BR301">
        <f>IF(예비비!$R301="OK",SUMIFS(예비비!$O$430:$O$729,예비비!$B$430:$B$729,예비비!$A301,예비비!$E$430:$E$729,"&lt;"&amp;EDATE(BR$99,1),예비비!$F$430:$F$729,"결제대금비")+MAX(0,IF(예비비!$D301&lt;EDATE(BR$99,1),예비비!$E301,0)-SUMIFS(예비비!$O$430:$O$729,예비비!$B$430:$B$729,예비비!$A301,예비비!$E$430:$E$729,"&lt;"&amp;EDATE(BR$99,1))),0)</f>
        <v>0</v>
      </c>
      <c r="BS301">
        <f>IF(예비비!$R301="OK",SUMIFS(예비비!$O$430:$O$729,예비비!$B$430:$B$729,예비비!$A301,예비비!$E$430:$E$729,"&lt;"&amp;EDATE(BS$99,1),예비비!$F$430:$F$729,"결제대금비")+MAX(0,IF(예비비!$D301&lt;EDATE(BS$99,1),예비비!$E301,0)-SUMIFS(예비비!$O$430:$O$729,예비비!$B$430:$B$729,예비비!$A301,예비비!$E$430:$E$729,"&lt;"&amp;EDATE(BS$99,1))),0)</f>
        <v>0</v>
      </c>
      <c r="BT301">
        <f>IF(예비비!$R301="OK",SUMIFS(예비비!$O$430:$O$729,예비비!$B$430:$B$729,예비비!$A301,예비비!$E$430:$E$729,"&lt;"&amp;EDATE(BT$99,1),예비비!$F$430:$F$729,"결제대금비")+MAX(0,IF(예비비!$D301&lt;EDATE(BT$99,1),예비비!$E301,0)-SUMIFS(예비비!$O$430:$O$729,예비비!$B$430:$B$729,예비비!$A301,예비비!$E$430:$E$729,"&lt;"&amp;EDATE(BT$99,1))),0)</f>
        <v>0</v>
      </c>
      <c r="BU301">
        <f>IF(예비비!$R301="OK",SUMIFS(예비비!$O$430:$O$729,예비비!$B$430:$B$729,예비비!$A301,예비비!$E$430:$E$729,"&lt;"&amp;EDATE(BU$99,1),예비비!$F$430:$F$729,"결제대금비")+MAX(0,IF(예비비!$D301&lt;EDATE(BU$99,1),예비비!$E301,0)-SUMIFS(예비비!$O$430:$O$729,예비비!$B$430:$B$729,예비비!$A301,예비비!$E$430:$E$729,"&lt;"&amp;EDATE(BU$99,1))),0)</f>
        <v>0</v>
      </c>
    </row>
    <row r="302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  <c r="BI302">
        <f>IF(예비비!$R302="OK",SUMIFS(예비비!$O$430:$O$729,예비비!$B$430:$B$729,예비비!$A302,예비비!$E$430:$E$729,"&lt;"&amp;EDATE(BI$99,1),예비비!$F$430:$F$729,"결제대금비")+MAX(0,IF(예비비!$D302&lt;EDATE(BI$99,1),예비비!$E302,0)-SUMIFS(예비비!$O$430:$O$729,예비비!$B$430:$B$729,예비비!$A302,예비비!$E$430:$E$729,"&lt;"&amp;EDATE(BI$99,1))),0)</f>
        <v>0</v>
      </c>
      <c r="BJ302">
        <f>IF(예비비!$R302="OK",SUMIFS(예비비!$O$430:$O$729,예비비!$B$430:$B$729,예비비!$A302,예비비!$E$430:$E$729,"&lt;"&amp;EDATE(BJ$99,1),예비비!$F$430:$F$729,"결제대금비")+MAX(0,IF(예비비!$D302&lt;EDATE(BJ$99,1),예비비!$E302,0)-SUMIFS(예비비!$O$430:$O$729,예비비!$B$430:$B$729,예비비!$A302,예비비!$E$430:$E$729,"&lt;"&amp;EDATE(BJ$99,1))),0)</f>
        <v>0</v>
      </c>
      <c r="BK302">
        <f>IF(예비비!$R302="OK",SUMIFS(예비비!$O$430:$O$729,예비비!$B$430:$B$729,예비비!$A302,예비비!$E$430:$E$729,"&lt;"&amp;EDATE(BK$99,1),예비비!$F$430:$F$729,"결제대금비")+MAX(0,IF(예비비!$D302&lt;EDATE(BK$99,1),예비비!$E302,0)-SUMIFS(예비비!$O$430:$O$729,예비비!$B$430:$B$729,예비비!$A302,예비비!$E$430:$E$729,"&lt;"&amp;EDATE(BK$99,1))),0)</f>
        <v>0</v>
      </c>
      <c r="BL302">
        <f>IF(예비비!$R302="OK",SUMIFS(예비비!$O$430:$O$729,예비비!$B$430:$B$729,예비비!$A302,예비비!$E$430:$E$729,"&lt;"&amp;EDATE(BL$99,1),예비비!$F$430:$F$729,"결제대금비")+MAX(0,IF(예비비!$D302&lt;EDATE(BL$99,1),예비비!$E302,0)-SUMIFS(예비비!$O$430:$O$729,예비비!$B$430:$B$729,예비비!$A302,예비비!$E$430:$E$729,"&lt;"&amp;EDATE(BL$99,1))),0)</f>
        <v>0</v>
      </c>
      <c r="BM302">
        <f>IF(예비비!$R302="OK",SUMIFS(예비비!$O$430:$O$729,예비비!$B$430:$B$729,예비비!$A302,예비비!$E$430:$E$729,"&lt;"&amp;EDATE(BM$99,1),예비비!$F$430:$F$729,"결제대금비")+MAX(0,IF(예비비!$D302&lt;EDATE(BM$99,1),예비비!$E302,0)-SUMIFS(예비비!$O$430:$O$729,예비비!$B$430:$B$729,예비비!$A302,예비비!$E$430:$E$729,"&lt;"&amp;EDATE(BM$99,1))),0)</f>
        <v>0</v>
      </c>
      <c r="BN302">
        <f>IF(예비비!$R302="OK",SUMIFS(예비비!$O$430:$O$729,예비비!$B$430:$B$729,예비비!$A302,예비비!$E$430:$E$729,"&lt;"&amp;EDATE(BN$99,1),예비비!$F$430:$F$729,"결제대금비")+MAX(0,IF(예비비!$D302&lt;EDATE(BN$99,1),예비비!$E302,0)-SUMIFS(예비비!$O$430:$O$729,예비비!$B$430:$B$729,예비비!$A302,예비비!$E$430:$E$729,"&lt;"&amp;EDATE(BN$99,1))),0)</f>
        <v>0</v>
      </c>
      <c r="BO302">
        <f>IF(예비비!$R302="OK",SUMIFS(예비비!$O$430:$O$729,예비비!$B$430:$B$729,예비비!$A302,예비비!$E$430:$E$729,"&lt;"&amp;EDATE(BO$99,1),예비비!$F$430:$F$729,"결제대금비")+MAX(0,IF(예비비!$D302&lt;EDATE(BO$99,1),예비비!$E302,0)-SUMIFS(예비비!$O$430:$O$729,예비비!$B$430:$B$729,예비비!$A302,예비비!$E$430:$E$729,"&lt;"&amp;EDATE(BO$99,1))),0)</f>
        <v>0</v>
      </c>
      <c r="BP302">
        <f>IF(예비비!$R302="OK",SUMIFS(예비비!$O$430:$O$729,예비비!$B$430:$B$729,예비비!$A302,예비비!$E$430:$E$729,"&lt;"&amp;EDATE(BP$99,1),예비비!$F$430:$F$729,"결제대금비")+MAX(0,IF(예비비!$D302&lt;EDATE(BP$99,1),예비비!$E302,0)-SUMIFS(예비비!$O$430:$O$729,예비비!$B$430:$B$729,예비비!$A302,예비비!$E$430:$E$729,"&lt;"&amp;EDATE(BP$99,1))),0)</f>
        <v>0</v>
      </c>
      <c r="BQ302">
        <f>IF(예비비!$R302="OK",SUMIFS(예비비!$O$430:$O$729,예비비!$B$430:$B$729,예비비!$A302,예비비!$E$430:$E$729,"&lt;"&amp;EDATE(BQ$99,1),예비비!$F$430:$F$729,"결제대금비")+MAX(0,IF(예비비!$D302&lt;EDATE(BQ$99,1),예비비!$E302,0)-SUMIFS(예비비!$O$430:$O$729,예비비!$B$430:$B$729,예비비!$A302,예비비!$E$430:$E$729,"&lt;"&amp;EDATE(BQ$99,1))),0)</f>
        <v>0</v>
      </c>
      <c r="BR302">
        <f>IF(예비비!$R302="OK",SUMIFS(예비비!$O$430:$O$729,예비비!$B$430:$B$729,예비비!$A302,예비비!$E$430:$E$729,"&lt;"&amp;EDATE(BR$99,1),예비비!$F$430:$F$729,"결제대금비")+MAX(0,IF(예비비!$D302&lt;EDATE(BR$99,1),예비비!$E302,0)-SUMIFS(예비비!$O$430:$O$729,예비비!$B$430:$B$729,예비비!$A302,예비비!$E$430:$E$729,"&lt;"&amp;EDATE(BR$99,1))),0)</f>
        <v>0</v>
      </c>
      <c r="BS302">
        <f>IF(예비비!$R302="OK",SUMIFS(예비비!$O$430:$O$729,예비비!$B$430:$B$729,예비비!$A302,예비비!$E$430:$E$729,"&lt;"&amp;EDATE(BS$99,1),예비비!$F$430:$F$729,"결제대금비")+MAX(0,IF(예비비!$D302&lt;EDATE(BS$99,1),예비비!$E302,0)-SUMIFS(예비비!$O$430:$O$729,예비비!$B$430:$B$729,예비비!$A302,예비비!$E$430:$E$729,"&lt;"&amp;EDATE(BS$99,1))),0)</f>
        <v>0</v>
      </c>
      <c r="BT302">
        <f>IF(예비비!$R302="OK",SUMIFS(예비비!$O$430:$O$729,예비비!$B$430:$B$729,예비비!$A302,예비비!$E$430:$E$729,"&lt;"&amp;EDATE(BT$99,1),예비비!$F$430:$F$729,"결제대금비")+MAX(0,IF(예비비!$D302&lt;EDATE(BT$99,1),예비비!$E302,0)-SUMIFS(예비비!$O$430:$O$729,예비비!$B$430:$B$729,예비비!$A302,예비비!$E$430:$E$729,"&lt;"&amp;EDATE(BT$99,1))),0)</f>
        <v>0</v>
      </c>
      <c r="BU302">
        <f>IF(예비비!$R302="OK",SUMIFS(예비비!$O$430:$O$729,예비비!$B$430:$B$729,예비비!$A302,예비비!$E$430:$E$729,"&lt;"&amp;EDATE(BU$99,1),예비비!$F$430:$F$729,"결제대금비")+MAX(0,IF(예비비!$D302&lt;EDATE(BU$99,1),예비비!$E302,0)-SUMIFS(예비비!$O$430:$O$729,예비비!$B$430:$B$729,예비비!$A302,예비비!$E$430:$E$729,"&lt;"&amp;EDATE(BU$99,1))),0)</f>
        <v>0</v>
      </c>
    </row>
    <row r="303">
      <c r="BA303">
        <v>247</v>
      </c>
      <c r="BB303">
        <f>IFERROR(INDEX(잔액!$A:$A,BA303),0)</f>
        <v>46310.9587962963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  <c r="BI303">
        <f>IF(예비비!$R303="OK",SUMIFS(예비비!$O$430:$O$729,예비비!$B$430:$B$729,예비비!$A303,예비비!$E$430:$E$729,"&lt;"&amp;EDATE(BI$99,1),예비비!$F$430:$F$729,"결제대금비")+MAX(0,IF(예비비!$D303&lt;EDATE(BI$99,1),예비비!$E303,0)-SUMIFS(예비비!$O$430:$O$729,예비비!$B$430:$B$729,예비비!$A303,예비비!$E$430:$E$729,"&lt;"&amp;EDATE(BI$99,1))),0)</f>
        <v>0</v>
      </c>
      <c r="BJ303">
        <f>IF(예비비!$R303="OK",SUMIFS(예비비!$O$430:$O$729,예비비!$B$430:$B$729,예비비!$A303,예비비!$E$430:$E$729,"&lt;"&amp;EDATE(BJ$99,1),예비비!$F$430:$F$729,"결제대금비")+MAX(0,IF(예비비!$D303&lt;EDATE(BJ$99,1),예비비!$E303,0)-SUMIFS(예비비!$O$430:$O$729,예비비!$B$430:$B$729,예비비!$A303,예비비!$E$430:$E$729,"&lt;"&amp;EDATE(BJ$99,1))),0)</f>
        <v>0</v>
      </c>
      <c r="BK303">
        <f>IF(예비비!$R303="OK",SUMIFS(예비비!$O$430:$O$729,예비비!$B$430:$B$729,예비비!$A303,예비비!$E$430:$E$729,"&lt;"&amp;EDATE(BK$99,1),예비비!$F$430:$F$729,"결제대금비")+MAX(0,IF(예비비!$D303&lt;EDATE(BK$99,1),예비비!$E303,0)-SUMIFS(예비비!$O$430:$O$729,예비비!$B$430:$B$729,예비비!$A303,예비비!$E$430:$E$729,"&lt;"&amp;EDATE(BK$99,1))),0)</f>
        <v>0</v>
      </c>
      <c r="BL303">
        <f>IF(예비비!$R303="OK",SUMIFS(예비비!$O$430:$O$729,예비비!$B$430:$B$729,예비비!$A303,예비비!$E$430:$E$729,"&lt;"&amp;EDATE(BL$99,1),예비비!$F$430:$F$729,"결제대금비")+MAX(0,IF(예비비!$D303&lt;EDATE(BL$99,1),예비비!$E303,0)-SUMIFS(예비비!$O$430:$O$729,예비비!$B$430:$B$729,예비비!$A303,예비비!$E$430:$E$729,"&lt;"&amp;EDATE(BL$99,1))),0)</f>
        <v>0</v>
      </c>
      <c r="BM303">
        <f>IF(예비비!$R303="OK",SUMIFS(예비비!$O$430:$O$729,예비비!$B$430:$B$729,예비비!$A303,예비비!$E$430:$E$729,"&lt;"&amp;EDATE(BM$99,1),예비비!$F$430:$F$729,"결제대금비")+MAX(0,IF(예비비!$D303&lt;EDATE(BM$99,1),예비비!$E303,0)-SUMIFS(예비비!$O$430:$O$729,예비비!$B$430:$B$729,예비비!$A303,예비비!$E$430:$E$729,"&lt;"&amp;EDATE(BM$99,1))),0)</f>
        <v>0</v>
      </c>
      <c r="BN303">
        <f>IF(예비비!$R303="OK",SUMIFS(예비비!$O$430:$O$729,예비비!$B$430:$B$729,예비비!$A303,예비비!$E$430:$E$729,"&lt;"&amp;EDATE(BN$99,1),예비비!$F$430:$F$729,"결제대금비")+MAX(0,IF(예비비!$D303&lt;EDATE(BN$99,1),예비비!$E303,0)-SUMIFS(예비비!$O$430:$O$729,예비비!$B$430:$B$729,예비비!$A303,예비비!$E$430:$E$729,"&lt;"&amp;EDATE(BN$99,1))),0)</f>
        <v>0</v>
      </c>
      <c r="BO303">
        <f>IF(예비비!$R303="OK",SUMIFS(예비비!$O$430:$O$729,예비비!$B$430:$B$729,예비비!$A303,예비비!$E$430:$E$729,"&lt;"&amp;EDATE(BO$99,1),예비비!$F$430:$F$729,"결제대금비")+MAX(0,IF(예비비!$D303&lt;EDATE(BO$99,1),예비비!$E303,0)-SUMIFS(예비비!$O$430:$O$729,예비비!$B$430:$B$729,예비비!$A303,예비비!$E$430:$E$729,"&lt;"&amp;EDATE(BO$99,1))),0)</f>
        <v>0</v>
      </c>
      <c r="BP303">
        <f>IF(예비비!$R303="OK",SUMIFS(예비비!$O$430:$O$729,예비비!$B$430:$B$729,예비비!$A303,예비비!$E$430:$E$729,"&lt;"&amp;EDATE(BP$99,1),예비비!$F$430:$F$729,"결제대금비")+MAX(0,IF(예비비!$D303&lt;EDATE(BP$99,1),예비비!$E303,0)-SUMIFS(예비비!$O$430:$O$729,예비비!$B$430:$B$729,예비비!$A303,예비비!$E$430:$E$729,"&lt;"&amp;EDATE(BP$99,1))),0)</f>
        <v>0</v>
      </c>
      <c r="BQ303">
        <f>IF(예비비!$R303="OK",SUMIFS(예비비!$O$430:$O$729,예비비!$B$430:$B$729,예비비!$A303,예비비!$E$430:$E$729,"&lt;"&amp;EDATE(BQ$99,1),예비비!$F$430:$F$729,"결제대금비")+MAX(0,IF(예비비!$D303&lt;EDATE(BQ$99,1),예비비!$E303,0)-SUMIFS(예비비!$O$430:$O$729,예비비!$B$430:$B$729,예비비!$A303,예비비!$E$430:$E$729,"&lt;"&amp;EDATE(BQ$99,1))),0)</f>
        <v>0</v>
      </c>
      <c r="BR303">
        <f>IF(예비비!$R303="OK",SUMIFS(예비비!$O$430:$O$729,예비비!$B$430:$B$729,예비비!$A303,예비비!$E$430:$E$729,"&lt;"&amp;EDATE(BR$99,1),예비비!$F$430:$F$729,"결제대금비")+MAX(0,IF(예비비!$D303&lt;EDATE(BR$99,1),예비비!$E303,0)-SUMIFS(예비비!$O$430:$O$729,예비비!$B$430:$B$729,예비비!$A303,예비비!$E$430:$E$729,"&lt;"&amp;EDATE(BR$99,1))),0)</f>
        <v>0</v>
      </c>
      <c r="BS303">
        <f>IF(예비비!$R303="OK",SUMIFS(예비비!$O$430:$O$729,예비비!$B$430:$B$729,예비비!$A303,예비비!$E$430:$E$729,"&lt;"&amp;EDATE(BS$99,1),예비비!$F$430:$F$729,"결제대금비")+MAX(0,IF(예비비!$D303&lt;EDATE(BS$99,1),예비비!$E303,0)-SUMIFS(예비비!$O$430:$O$729,예비비!$B$430:$B$729,예비비!$A303,예비비!$E$430:$E$729,"&lt;"&amp;EDATE(BS$99,1))),0)</f>
        <v>0</v>
      </c>
      <c r="BT303">
        <f>IF(예비비!$R303="OK",SUMIFS(예비비!$O$430:$O$729,예비비!$B$430:$B$729,예비비!$A303,예비비!$E$430:$E$729,"&lt;"&amp;EDATE(BT$99,1),예비비!$F$430:$F$729,"결제대금비")+MAX(0,IF(예비비!$D303&lt;EDATE(BT$99,1),예비비!$E303,0)-SUMIFS(예비비!$O$430:$O$729,예비비!$B$430:$B$729,예비비!$A303,예비비!$E$430:$E$729,"&lt;"&amp;EDATE(BT$99,1))),0)</f>
        <v>0</v>
      </c>
      <c r="BU303">
        <f>IF(예비비!$R303="OK",SUMIFS(예비비!$O$430:$O$729,예비비!$B$430:$B$729,예비비!$A303,예비비!$E$430:$E$729,"&lt;"&amp;EDATE(BU$99,1),예비비!$F$430:$F$729,"결제대금비")+MAX(0,IF(예비비!$D303&lt;EDATE(BU$99,1),예비비!$E303,0)-SUMIFS(예비비!$O$430:$O$729,예비비!$B$430:$B$729,예비비!$A303,예비비!$E$430:$E$729,"&lt;"&amp;EDATE(BU$99,1))),0)</f>
        <v>0</v>
      </c>
    </row>
    <row r="304">
      <c r="BA304">
        <v>248</v>
      </c>
      <c r="BB304">
        <f>IFERROR(INDEX(잔액!$A:$A,BA304),0)</f>
        <v>46312.66737074074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  <c r="BI304">
        <f>IF(예비비!$R304="OK",SUMIFS(예비비!$O$430:$O$729,예비비!$B$430:$B$729,예비비!$A304,예비비!$E$430:$E$729,"&lt;"&amp;EDATE(BI$99,1),예비비!$F$430:$F$729,"결제대금비")+MAX(0,IF(예비비!$D304&lt;EDATE(BI$99,1),예비비!$E304,0)-SUMIFS(예비비!$O$430:$O$729,예비비!$B$430:$B$729,예비비!$A304,예비비!$E$430:$E$729,"&lt;"&amp;EDATE(BI$99,1))),0)</f>
        <v>0</v>
      </c>
      <c r="BJ304">
        <f>IF(예비비!$R304="OK",SUMIFS(예비비!$O$430:$O$729,예비비!$B$430:$B$729,예비비!$A304,예비비!$E$430:$E$729,"&lt;"&amp;EDATE(BJ$99,1),예비비!$F$430:$F$729,"결제대금비")+MAX(0,IF(예비비!$D304&lt;EDATE(BJ$99,1),예비비!$E304,0)-SUMIFS(예비비!$O$430:$O$729,예비비!$B$430:$B$729,예비비!$A304,예비비!$E$430:$E$729,"&lt;"&amp;EDATE(BJ$99,1))),0)</f>
        <v>0</v>
      </c>
      <c r="BK304">
        <f>IF(예비비!$R304="OK",SUMIFS(예비비!$O$430:$O$729,예비비!$B$430:$B$729,예비비!$A304,예비비!$E$430:$E$729,"&lt;"&amp;EDATE(BK$99,1),예비비!$F$430:$F$729,"결제대금비")+MAX(0,IF(예비비!$D304&lt;EDATE(BK$99,1),예비비!$E304,0)-SUMIFS(예비비!$O$430:$O$729,예비비!$B$430:$B$729,예비비!$A304,예비비!$E$430:$E$729,"&lt;"&amp;EDATE(BK$99,1))),0)</f>
        <v>0</v>
      </c>
      <c r="BL304">
        <f>IF(예비비!$R304="OK",SUMIFS(예비비!$O$430:$O$729,예비비!$B$430:$B$729,예비비!$A304,예비비!$E$430:$E$729,"&lt;"&amp;EDATE(BL$99,1),예비비!$F$430:$F$729,"결제대금비")+MAX(0,IF(예비비!$D304&lt;EDATE(BL$99,1),예비비!$E304,0)-SUMIFS(예비비!$O$430:$O$729,예비비!$B$430:$B$729,예비비!$A304,예비비!$E$430:$E$729,"&lt;"&amp;EDATE(BL$99,1))),0)</f>
        <v>0</v>
      </c>
      <c r="BM304">
        <f>IF(예비비!$R304="OK",SUMIFS(예비비!$O$430:$O$729,예비비!$B$430:$B$729,예비비!$A304,예비비!$E$430:$E$729,"&lt;"&amp;EDATE(BM$99,1),예비비!$F$430:$F$729,"결제대금비")+MAX(0,IF(예비비!$D304&lt;EDATE(BM$99,1),예비비!$E304,0)-SUMIFS(예비비!$O$430:$O$729,예비비!$B$430:$B$729,예비비!$A304,예비비!$E$430:$E$729,"&lt;"&amp;EDATE(BM$99,1))),0)</f>
        <v>0</v>
      </c>
      <c r="BN304">
        <f>IF(예비비!$R304="OK",SUMIFS(예비비!$O$430:$O$729,예비비!$B$430:$B$729,예비비!$A304,예비비!$E$430:$E$729,"&lt;"&amp;EDATE(BN$99,1),예비비!$F$430:$F$729,"결제대금비")+MAX(0,IF(예비비!$D304&lt;EDATE(BN$99,1),예비비!$E304,0)-SUMIFS(예비비!$O$430:$O$729,예비비!$B$430:$B$729,예비비!$A304,예비비!$E$430:$E$729,"&lt;"&amp;EDATE(BN$99,1))),0)</f>
        <v>0</v>
      </c>
      <c r="BO304">
        <f>IF(예비비!$R304="OK",SUMIFS(예비비!$O$430:$O$729,예비비!$B$430:$B$729,예비비!$A304,예비비!$E$430:$E$729,"&lt;"&amp;EDATE(BO$99,1),예비비!$F$430:$F$729,"결제대금비")+MAX(0,IF(예비비!$D304&lt;EDATE(BO$99,1),예비비!$E304,0)-SUMIFS(예비비!$O$430:$O$729,예비비!$B$430:$B$729,예비비!$A304,예비비!$E$430:$E$729,"&lt;"&amp;EDATE(BO$99,1))),0)</f>
        <v>0</v>
      </c>
      <c r="BP304">
        <f>IF(예비비!$R304="OK",SUMIFS(예비비!$O$430:$O$729,예비비!$B$430:$B$729,예비비!$A304,예비비!$E$430:$E$729,"&lt;"&amp;EDATE(BP$99,1),예비비!$F$430:$F$729,"결제대금비")+MAX(0,IF(예비비!$D304&lt;EDATE(BP$99,1),예비비!$E304,0)-SUMIFS(예비비!$O$430:$O$729,예비비!$B$430:$B$729,예비비!$A304,예비비!$E$430:$E$729,"&lt;"&amp;EDATE(BP$99,1))),0)</f>
        <v>0</v>
      </c>
      <c r="BQ304">
        <f>IF(예비비!$R304="OK",SUMIFS(예비비!$O$430:$O$729,예비비!$B$430:$B$729,예비비!$A304,예비비!$E$430:$E$729,"&lt;"&amp;EDATE(BQ$99,1),예비비!$F$430:$F$729,"결제대금비")+MAX(0,IF(예비비!$D304&lt;EDATE(BQ$99,1),예비비!$E304,0)-SUMIFS(예비비!$O$430:$O$729,예비비!$B$430:$B$729,예비비!$A304,예비비!$E$430:$E$729,"&lt;"&amp;EDATE(BQ$99,1))),0)</f>
        <v>0</v>
      </c>
      <c r="BR304">
        <f>IF(예비비!$R304="OK",SUMIFS(예비비!$O$430:$O$729,예비비!$B$430:$B$729,예비비!$A304,예비비!$E$430:$E$729,"&lt;"&amp;EDATE(BR$99,1),예비비!$F$430:$F$729,"결제대금비")+MAX(0,IF(예비비!$D304&lt;EDATE(BR$99,1),예비비!$E304,0)-SUMIFS(예비비!$O$430:$O$729,예비비!$B$430:$B$729,예비비!$A304,예비비!$E$430:$E$729,"&lt;"&amp;EDATE(BR$99,1))),0)</f>
        <v>0</v>
      </c>
      <c r="BS304">
        <f>IF(예비비!$R304="OK",SUMIFS(예비비!$O$430:$O$729,예비비!$B$430:$B$729,예비비!$A304,예비비!$E$430:$E$729,"&lt;"&amp;EDATE(BS$99,1),예비비!$F$430:$F$729,"결제대금비")+MAX(0,IF(예비비!$D304&lt;EDATE(BS$99,1),예비비!$E304,0)-SUMIFS(예비비!$O$430:$O$729,예비비!$B$430:$B$729,예비비!$A304,예비비!$E$430:$E$729,"&lt;"&amp;EDATE(BS$99,1))),0)</f>
        <v>0</v>
      </c>
      <c r="BT304">
        <f>IF(예비비!$R304="OK",SUMIFS(예비비!$O$430:$O$729,예비비!$B$430:$B$729,예비비!$A304,예비비!$E$430:$E$729,"&lt;"&amp;EDATE(BT$99,1),예비비!$F$430:$F$729,"결제대금비")+MAX(0,IF(예비비!$D304&lt;EDATE(BT$99,1),예비비!$E304,0)-SUMIFS(예비비!$O$430:$O$729,예비비!$B$430:$B$729,예비비!$A304,예비비!$E$430:$E$729,"&lt;"&amp;EDATE(BT$99,1))),0)</f>
        <v>0</v>
      </c>
      <c r="BU304">
        <f>IF(예비비!$R304="OK",SUMIFS(예비비!$O$430:$O$729,예비비!$B$430:$B$729,예비비!$A304,예비비!$E$430:$E$729,"&lt;"&amp;EDATE(BU$99,1),예비비!$F$430:$F$729,"결제대금비")+MAX(0,IF(예비비!$D304&lt;EDATE(BU$99,1),예비비!$E304,0)-SUMIFS(예비비!$O$430:$O$729,예비비!$B$430:$B$729,예비비!$A304,예비비!$E$430:$E$729,"&lt;"&amp;EDATE(BU$99,1))),0)</f>
        <v>0</v>
      </c>
    </row>
    <row r="305">
      <c r="BA305">
        <v>249</v>
      </c>
      <c r="BB305" t="str">
        <f>IFERROR(INDEX(잔액!$A:$A,BA305),0)</f>
        <v>00:00:00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  <c r="BI305">
        <f>IF(예비비!$R305="OK",SUMIFS(예비비!$O$430:$O$729,예비비!$B$430:$B$729,예비비!$A305,예비비!$E$430:$E$729,"&lt;"&amp;EDATE(BI$99,1),예비비!$F$430:$F$729,"결제대금비")+MAX(0,IF(예비비!$D305&lt;EDATE(BI$99,1),예비비!$E305,0)-SUMIFS(예비비!$O$430:$O$729,예비비!$B$430:$B$729,예비비!$A305,예비비!$E$430:$E$729,"&lt;"&amp;EDATE(BI$99,1))),0)</f>
        <v>0</v>
      </c>
      <c r="BJ305">
        <f>IF(예비비!$R305="OK",SUMIFS(예비비!$O$430:$O$729,예비비!$B$430:$B$729,예비비!$A305,예비비!$E$430:$E$729,"&lt;"&amp;EDATE(BJ$99,1),예비비!$F$430:$F$729,"결제대금비")+MAX(0,IF(예비비!$D305&lt;EDATE(BJ$99,1),예비비!$E305,0)-SUMIFS(예비비!$O$430:$O$729,예비비!$B$430:$B$729,예비비!$A305,예비비!$E$430:$E$729,"&lt;"&amp;EDATE(BJ$99,1))),0)</f>
        <v>0</v>
      </c>
      <c r="BK305">
        <f>IF(예비비!$R305="OK",SUMIFS(예비비!$O$430:$O$729,예비비!$B$430:$B$729,예비비!$A305,예비비!$E$430:$E$729,"&lt;"&amp;EDATE(BK$99,1),예비비!$F$430:$F$729,"결제대금비")+MAX(0,IF(예비비!$D305&lt;EDATE(BK$99,1),예비비!$E305,0)-SUMIFS(예비비!$O$430:$O$729,예비비!$B$430:$B$729,예비비!$A305,예비비!$E$430:$E$729,"&lt;"&amp;EDATE(BK$99,1))),0)</f>
        <v>0</v>
      </c>
      <c r="BL305">
        <f>IF(예비비!$R305="OK",SUMIFS(예비비!$O$430:$O$729,예비비!$B$430:$B$729,예비비!$A305,예비비!$E$430:$E$729,"&lt;"&amp;EDATE(BL$99,1),예비비!$F$430:$F$729,"결제대금비")+MAX(0,IF(예비비!$D305&lt;EDATE(BL$99,1),예비비!$E305,0)-SUMIFS(예비비!$O$430:$O$729,예비비!$B$430:$B$729,예비비!$A305,예비비!$E$430:$E$729,"&lt;"&amp;EDATE(BL$99,1))),0)</f>
        <v>0</v>
      </c>
      <c r="BM305">
        <f>IF(예비비!$R305="OK",SUMIFS(예비비!$O$430:$O$729,예비비!$B$430:$B$729,예비비!$A305,예비비!$E$430:$E$729,"&lt;"&amp;EDATE(BM$99,1),예비비!$F$430:$F$729,"결제대금비")+MAX(0,IF(예비비!$D305&lt;EDATE(BM$99,1),예비비!$E305,0)-SUMIFS(예비비!$O$430:$O$729,예비비!$B$430:$B$729,예비비!$A305,예비비!$E$430:$E$729,"&lt;"&amp;EDATE(BM$99,1))),0)</f>
        <v>0</v>
      </c>
      <c r="BN305">
        <f>IF(예비비!$R305="OK",SUMIFS(예비비!$O$430:$O$729,예비비!$B$430:$B$729,예비비!$A305,예비비!$E$430:$E$729,"&lt;"&amp;EDATE(BN$99,1),예비비!$F$430:$F$729,"결제대금비")+MAX(0,IF(예비비!$D305&lt;EDATE(BN$99,1),예비비!$E305,0)-SUMIFS(예비비!$O$430:$O$729,예비비!$B$430:$B$729,예비비!$A305,예비비!$E$430:$E$729,"&lt;"&amp;EDATE(BN$99,1))),0)</f>
        <v>0</v>
      </c>
      <c r="BO305">
        <f>IF(예비비!$R305="OK",SUMIFS(예비비!$O$430:$O$729,예비비!$B$430:$B$729,예비비!$A305,예비비!$E$430:$E$729,"&lt;"&amp;EDATE(BO$99,1),예비비!$F$430:$F$729,"결제대금비")+MAX(0,IF(예비비!$D305&lt;EDATE(BO$99,1),예비비!$E305,0)-SUMIFS(예비비!$O$430:$O$729,예비비!$B$430:$B$729,예비비!$A305,예비비!$E$430:$E$729,"&lt;"&amp;EDATE(BO$99,1))),0)</f>
        <v>0</v>
      </c>
      <c r="BP305">
        <f>IF(예비비!$R305="OK",SUMIFS(예비비!$O$430:$O$729,예비비!$B$430:$B$729,예비비!$A305,예비비!$E$430:$E$729,"&lt;"&amp;EDATE(BP$99,1),예비비!$F$430:$F$729,"결제대금비")+MAX(0,IF(예비비!$D305&lt;EDATE(BP$99,1),예비비!$E305,0)-SUMIFS(예비비!$O$430:$O$729,예비비!$B$430:$B$729,예비비!$A305,예비비!$E$430:$E$729,"&lt;"&amp;EDATE(BP$99,1))),0)</f>
        <v>0</v>
      </c>
      <c r="BQ305">
        <f>IF(예비비!$R305="OK",SUMIFS(예비비!$O$430:$O$729,예비비!$B$430:$B$729,예비비!$A305,예비비!$E$430:$E$729,"&lt;"&amp;EDATE(BQ$99,1),예비비!$F$430:$F$729,"결제대금비")+MAX(0,IF(예비비!$D305&lt;EDATE(BQ$99,1),예비비!$E305,0)-SUMIFS(예비비!$O$430:$O$729,예비비!$B$430:$B$729,예비비!$A305,예비비!$E$430:$E$729,"&lt;"&amp;EDATE(BQ$99,1))),0)</f>
        <v>0</v>
      </c>
      <c r="BR305">
        <f>IF(예비비!$R305="OK",SUMIFS(예비비!$O$430:$O$729,예비비!$B$430:$B$729,예비비!$A305,예비비!$E$430:$E$729,"&lt;"&amp;EDATE(BR$99,1),예비비!$F$430:$F$729,"결제대금비")+MAX(0,IF(예비비!$D305&lt;EDATE(BR$99,1),예비비!$E305,0)-SUMIFS(예비비!$O$430:$O$729,예비비!$B$430:$B$729,예비비!$A305,예비비!$E$430:$E$729,"&lt;"&amp;EDATE(BR$99,1))),0)</f>
        <v>0</v>
      </c>
      <c r="BS305">
        <f>IF(예비비!$R305="OK",SUMIFS(예비비!$O$430:$O$729,예비비!$B$430:$B$729,예비비!$A305,예비비!$E$430:$E$729,"&lt;"&amp;EDATE(BS$99,1),예비비!$F$430:$F$729,"결제대금비")+MAX(0,IF(예비비!$D305&lt;EDATE(BS$99,1),예비비!$E305,0)-SUMIFS(예비비!$O$430:$O$729,예비비!$B$430:$B$729,예비비!$A305,예비비!$E$430:$E$729,"&lt;"&amp;EDATE(BS$99,1))),0)</f>
        <v>0</v>
      </c>
      <c r="BT305">
        <f>IF(예비비!$R305="OK",SUMIFS(예비비!$O$430:$O$729,예비비!$B$430:$B$729,예비비!$A305,예비비!$E$430:$E$729,"&lt;"&amp;EDATE(BT$99,1),예비비!$F$430:$F$729,"결제대금비")+MAX(0,IF(예비비!$D305&lt;EDATE(BT$99,1),예비비!$E305,0)-SUMIFS(예비비!$O$430:$O$729,예비비!$B$430:$B$729,예비비!$A305,예비비!$E$430:$E$729,"&lt;"&amp;EDATE(BT$99,1))),0)</f>
        <v>0</v>
      </c>
      <c r="BU305">
        <f>IF(예비비!$R305="OK",SUMIFS(예비비!$O$430:$O$729,예비비!$B$430:$B$729,예비비!$A305,예비비!$E$430:$E$729,"&lt;"&amp;EDATE(BU$99,1),예비비!$F$430:$F$729,"결제대금비")+MAX(0,IF(예비비!$D305&lt;EDATE(BU$99,1),예비비!$E305,0)-SUMIFS(예비비!$O$430:$O$729,예비비!$B$430:$B$729,예비비!$A305,예비비!$E$430:$E$729,"&lt;"&amp;EDATE(BU$99,1))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  <c r="BI306">
        <f>IF(예비비!$R306="OK",SUMIFS(예비비!$O$430:$O$729,예비비!$B$430:$B$729,예비비!$A306,예비비!$E$430:$E$729,"&lt;"&amp;EDATE(BI$99,1),예비비!$F$430:$F$729,"결제대금비")+MAX(0,IF(예비비!$D306&lt;EDATE(BI$99,1),예비비!$E306,0)-SUMIFS(예비비!$O$430:$O$729,예비비!$B$430:$B$729,예비비!$A306,예비비!$E$430:$E$729,"&lt;"&amp;EDATE(BI$99,1))),0)</f>
        <v>0</v>
      </c>
      <c r="BJ306">
        <f>IF(예비비!$R306="OK",SUMIFS(예비비!$O$430:$O$729,예비비!$B$430:$B$729,예비비!$A306,예비비!$E$430:$E$729,"&lt;"&amp;EDATE(BJ$99,1),예비비!$F$430:$F$729,"결제대금비")+MAX(0,IF(예비비!$D306&lt;EDATE(BJ$99,1),예비비!$E306,0)-SUMIFS(예비비!$O$430:$O$729,예비비!$B$430:$B$729,예비비!$A306,예비비!$E$430:$E$729,"&lt;"&amp;EDATE(BJ$99,1))),0)</f>
        <v>0</v>
      </c>
      <c r="BK306">
        <f>IF(예비비!$R306="OK",SUMIFS(예비비!$O$430:$O$729,예비비!$B$430:$B$729,예비비!$A306,예비비!$E$430:$E$729,"&lt;"&amp;EDATE(BK$99,1),예비비!$F$430:$F$729,"결제대금비")+MAX(0,IF(예비비!$D306&lt;EDATE(BK$99,1),예비비!$E306,0)-SUMIFS(예비비!$O$430:$O$729,예비비!$B$430:$B$729,예비비!$A306,예비비!$E$430:$E$729,"&lt;"&amp;EDATE(BK$99,1))),0)</f>
        <v>0</v>
      </c>
      <c r="BL306">
        <f>IF(예비비!$R306="OK",SUMIFS(예비비!$O$430:$O$729,예비비!$B$430:$B$729,예비비!$A306,예비비!$E$430:$E$729,"&lt;"&amp;EDATE(BL$99,1),예비비!$F$430:$F$729,"결제대금비")+MAX(0,IF(예비비!$D306&lt;EDATE(BL$99,1),예비비!$E306,0)-SUMIFS(예비비!$O$430:$O$729,예비비!$B$430:$B$729,예비비!$A306,예비비!$E$430:$E$729,"&lt;"&amp;EDATE(BL$99,1))),0)</f>
        <v>0</v>
      </c>
      <c r="BM306">
        <f>IF(예비비!$R306="OK",SUMIFS(예비비!$O$430:$O$729,예비비!$B$430:$B$729,예비비!$A306,예비비!$E$430:$E$729,"&lt;"&amp;EDATE(BM$99,1),예비비!$F$430:$F$729,"결제대금비")+MAX(0,IF(예비비!$D306&lt;EDATE(BM$99,1),예비비!$E306,0)-SUMIFS(예비비!$O$430:$O$729,예비비!$B$430:$B$729,예비비!$A306,예비비!$E$430:$E$729,"&lt;"&amp;EDATE(BM$99,1))),0)</f>
        <v>0</v>
      </c>
      <c r="BN306">
        <f>IF(예비비!$R306="OK",SUMIFS(예비비!$O$430:$O$729,예비비!$B$430:$B$729,예비비!$A306,예비비!$E$430:$E$729,"&lt;"&amp;EDATE(BN$99,1),예비비!$F$430:$F$729,"결제대금비")+MAX(0,IF(예비비!$D306&lt;EDATE(BN$99,1),예비비!$E306,0)-SUMIFS(예비비!$O$430:$O$729,예비비!$B$430:$B$729,예비비!$A306,예비비!$E$430:$E$729,"&lt;"&amp;EDATE(BN$99,1))),0)</f>
        <v>0</v>
      </c>
      <c r="BO306">
        <f>IF(예비비!$R306="OK",SUMIFS(예비비!$O$430:$O$729,예비비!$B$430:$B$729,예비비!$A306,예비비!$E$430:$E$729,"&lt;"&amp;EDATE(BO$99,1),예비비!$F$430:$F$729,"결제대금비")+MAX(0,IF(예비비!$D306&lt;EDATE(BO$99,1),예비비!$E306,0)-SUMIFS(예비비!$O$430:$O$729,예비비!$B$430:$B$729,예비비!$A306,예비비!$E$430:$E$729,"&lt;"&amp;EDATE(BO$99,1))),0)</f>
        <v>0</v>
      </c>
      <c r="BP306">
        <f>IF(예비비!$R306="OK",SUMIFS(예비비!$O$430:$O$729,예비비!$B$430:$B$729,예비비!$A306,예비비!$E$430:$E$729,"&lt;"&amp;EDATE(BP$99,1),예비비!$F$430:$F$729,"결제대금비")+MAX(0,IF(예비비!$D306&lt;EDATE(BP$99,1),예비비!$E306,0)-SUMIFS(예비비!$O$430:$O$729,예비비!$B$430:$B$729,예비비!$A306,예비비!$E$430:$E$729,"&lt;"&amp;EDATE(BP$99,1))),0)</f>
        <v>0</v>
      </c>
      <c r="BQ306">
        <f>IF(예비비!$R306="OK",SUMIFS(예비비!$O$430:$O$729,예비비!$B$430:$B$729,예비비!$A306,예비비!$E$430:$E$729,"&lt;"&amp;EDATE(BQ$99,1),예비비!$F$430:$F$729,"결제대금비")+MAX(0,IF(예비비!$D306&lt;EDATE(BQ$99,1),예비비!$E306,0)-SUMIFS(예비비!$O$430:$O$729,예비비!$B$430:$B$729,예비비!$A306,예비비!$E$430:$E$729,"&lt;"&amp;EDATE(BQ$99,1))),0)</f>
        <v>0</v>
      </c>
      <c r="BR306">
        <f>IF(예비비!$R306="OK",SUMIFS(예비비!$O$430:$O$729,예비비!$B$430:$B$729,예비비!$A306,예비비!$E$430:$E$729,"&lt;"&amp;EDATE(BR$99,1),예비비!$F$430:$F$729,"결제대금비")+MAX(0,IF(예비비!$D306&lt;EDATE(BR$99,1),예비비!$E306,0)-SUMIFS(예비비!$O$430:$O$729,예비비!$B$430:$B$729,예비비!$A306,예비비!$E$430:$E$729,"&lt;"&amp;EDATE(BR$99,1))),0)</f>
        <v>0</v>
      </c>
      <c r="BS306">
        <f>IF(예비비!$R306="OK",SUMIFS(예비비!$O$430:$O$729,예비비!$B$430:$B$729,예비비!$A306,예비비!$E$430:$E$729,"&lt;"&amp;EDATE(BS$99,1),예비비!$F$430:$F$729,"결제대금비")+MAX(0,IF(예비비!$D306&lt;EDATE(BS$99,1),예비비!$E306,0)-SUMIFS(예비비!$O$430:$O$729,예비비!$B$430:$B$729,예비비!$A306,예비비!$E$430:$E$729,"&lt;"&amp;EDATE(BS$99,1))),0)</f>
        <v>0</v>
      </c>
      <c r="BT306">
        <f>IF(예비비!$R306="OK",SUMIFS(예비비!$O$430:$O$729,예비비!$B$430:$B$729,예비비!$A306,예비비!$E$430:$E$729,"&lt;"&amp;EDATE(BT$99,1),예비비!$F$430:$F$729,"결제대금비")+MAX(0,IF(예비비!$D306&lt;EDATE(BT$99,1),예비비!$E306,0)-SUMIFS(예비비!$O$430:$O$729,예비비!$B$430:$B$729,예비비!$A306,예비비!$E$430:$E$729,"&lt;"&amp;EDATE(BT$99,1))),0)</f>
        <v>0</v>
      </c>
      <c r="BU306">
        <f>IF(예비비!$R306="OK",SUMIFS(예비비!$O$430:$O$729,예비비!$B$430:$B$729,예비비!$A306,예비비!$E$430:$E$729,"&lt;"&amp;EDATE(BU$99,1),예비비!$F$430:$F$729,"결제대금비")+MAX(0,IF(예비비!$D306&lt;EDATE(BU$99,1),예비비!$E306,0)-SUMIFS(예비비!$O$430:$O$729,예비비!$B$430:$B$729,예비비!$A306,예비비!$E$430:$E$729,"&lt;"&amp;EDATE(BU$99,1))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  <c r="BI307">
        <f>IF(예비비!$R307="OK",SUMIFS(예비비!$O$430:$O$729,예비비!$B$430:$B$729,예비비!$A307,예비비!$E$430:$E$729,"&lt;"&amp;EDATE(BI$99,1),예비비!$F$430:$F$729,"결제대금비")+MAX(0,IF(예비비!$D307&lt;EDATE(BI$99,1),예비비!$E307,0)-SUMIFS(예비비!$O$430:$O$729,예비비!$B$430:$B$729,예비비!$A307,예비비!$E$430:$E$729,"&lt;"&amp;EDATE(BI$99,1))),0)</f>
        <v>0</v>
      </c>
      <c r="BJ307">
        <f>IF(예비비!$R307="OK",SUMIFS(예비비!$O$430:$O$729,예비비!$B$430:$B$729,예비비!$A307,예비비!$E$430:$E$729,"&lt;"&amp;EDATE(BJ$99,1),예비비!$F$430:$F$729,"결제대금비")+MAX(0,IF(예비비!$D307&lt;EDATE(BJ$99,1),예비비!$E307,0)-SUMIFS(예비비!$O$430:$O$729,예비비!$B$430:$B$729,예비비!$A307,예비비!$E$430:$E$729,"&lt;"&amp;EDATE(BJ$99,1))),0)</f>
        <v>0</v>
      </c>
      <c r="BK307">
        <f>IF(예비비!$R307="OK",SUMIFS(예비비!$O$430:$O$729,예비비!$B$430:$B$729,예비비!$A307,예비비!$E$430:$E$729,"&lt;"&amp;EDATE(BK$99,1),예비비!$F$430:$F$729,"결제대금비")+MAX(0,IF(예비비!$D307&lt;EDATE(BK$99,1),예비비!$E307,0)-SUMIFS(예비비!$O$430:$O$729,예비비!$B$430:$B$729,예비비!$A307,예비비!$E$430:$E$729,"&lt;"&amp;EDATE(BK$99,1))),0)</f>
        <v>0</v>
      </c>
      <c r="BL307">
        <f>IF(예비비!$R307="OK",SUMIFS(예비비!$O$430:$O$729,예비비!$B$430:$B$729,예비비!$A307,예비비!$E$430:$E$729,"&lt;"&amp;EDATE(BL$99,1),예비비!$F$430:$F$729,"결제대금비")+MAX(0,IF(예비비!$D307&lt;EDATE(BL$99,1),예비비!$E307,0)-SUMIFS(예비비!$O$430:$O$729,예비비!$B$430:$B$729,예비비!$A307,예비비!$E$430:$E$729,"&lt;"&amp;EDATE(BL$99,1))),0)</f>
        <v>0</v>
      </c>
      <c r="BM307">
        <f>IF(예비비!$R307="OK",SUMIFS(예비비!$O$430:$O$729,예비비!$B$430:$B$729,예비비!$A307,예비비!$E$430:$E$729,"&lt;"&amp;EDATE(BM$99,1),예비비!$F$430:$F$729,"결제대금비")+MAX(0,IF(예비비!$D307&lt;EDATE(BM$99,1),예비비!$E307,0)-SUMIFS(예비비!$O$430:$O$729,예비비!$B$430:$B$729,예비비!$A307,예비비!$E$430:$E$729,"&lt;"&amp;EDATE(BM$99,1))),0)</f>
        <v>0</v>
      </c>
      <c r="BN307">
        <f>IF(예비비!$R307="OK",SUMIFS(예비비!$O$430:$O$729,예비비!$B$430:$B$729,예비비!$A307,예비비!$E$430:$E$729,"&lt;"&amp;EDATE(BN$99,1),예비비!$F$430:$F$729,"결제대금비")+MAX(0,IF(예비비!$D307&lt;EDATE(BN$99,1),예비비!$E307,0)-SUMIFS(예비비!$O$430:$O$729,예비비!$B$430:$B$729,예비비!$A307,예비비!$E$430:$E$729,"&lt;"&amp;EDATE(BN$99,1))),0)</f>
        <v>0</v>
      </c>
      <c r="BO307">
        <f>IF(예비비!$R307="OK",SUMIFS(예비비!$O$430:$O$729,예비비!$B$430:$B$729,예비비!$A307,예비비!$E$430:$E$729,"&lt;"&amp;EDATE(BO$99,1),예비비!$F$430:$F$729,"결제대금비")+MAX(0,IF(예비비!$D307&lt;EDATE(BO$99,1),예비비!$E307,0)-SUMIFS(예비비!$O$430:$O$729,예비비!$B$430:$B$729,예비비!$A307,예비비!$E$430:$E$729,"&lt;"&amp;EDATE(BO$99,1))),0)</f>
        <v>0</v>
      </c>
      <c r="BP307">
        <f>IF(예비비!$R307="OK",SUMIFS(예비비!$O$430:$O$729,예비비!$B$430:$B$729,예비비!$A307,예비비!$E$430:$E$729,"&lt;"&amp;EDATE(BP$99,1),예비비!$F$430:$F$729,"결제대금비")+MAX(0,IF(예비비!$D307&lt;EDATE(BP$99,1),예비비!$E307,0)-SUMIFS(예비비!$O$430:$O$729,예비비!$B$430:$B$729,예비비!$A307,예비비!$E$430:$E$729,"&lt;"&amp;EDATE(BP$99,1))),0)</f>
        <v>0</v>
      </c>
      <c r="BQ307">
        <f>IF(예비비!$R307="OK",SUMIFS(예비비!$O$430:$O$729,예비비!$B$430:$B$729,예비비!$A307,예비비!$E$430:$E$729,"&lt;"&amp;EDATE(BQ$99,1),예비비!$F$430:$F$729,"결제대금비")+MAX(0,IF(예비비!$D307&lt;EDATE(BQ$99,1),예비비!$E307,0)-SUMIFS(예비비!$O$430:$O$729,예비비!$B$430:$B$729,예비비!$A307,예비비!$E$430:$E$729,"&lt;"&amp;EDATE(BQ$99,1))),0)</f>
        <v>0</v>
      </c>
      <c r="BR307">
        <f>IF(예비비!$R307="OK",SUMIFS(예비비!$O$430:$O$729,예비비!$B$430:$B$729,예비비!$A307,예비비!$E$430:$E$729,"&lt;"&amp;EDATE(BR$99,1),예비비!$F$430:$F$729,"결제대금비")+MAX(0,IF(예비비!$D307&lt;EDATE(BR$99,1),예비비!$E307,0)-SUMIFS(예비비!$O$430:$O$729,예비비!$B$430:$B$729,예비비!$A307,예비비!$E$430:$E$729,"&lt;"&amp;EDATE(BR$99,1))),0)</f>
        <v>0</v>
      </c>
      <c r="BS307">
        <f>IF(예비비!$R307="OK",SUMIFS(예비비!$O$430:$O$729,예비비!$B$430:$B$729,예비비!$A307,예비비!$E$430:$E$729,"&lt;"&amp;EDATE(BS$99,1),예비비!$F$430:$F$729,"결제대금비")+MAX(0,IF(예비비!$D307&lt;EDATE(BS$99,1),예비비!$E307,0)-SUMIFS(예비비!$O$430:$O$729,예비비!$B$430:$B$729,예비비!$A307,예비비!$E$430:$E$729,"&lt;"&amp;EDATE(BS$99,1))),0)</f>
        <v>0</v>
      </c>
      <c r="BT307">
        <f>IF(예비비!$R307="OK",SUMIFS(예비비!$O$430:$O$729,예비비!$B$430:$B$729,예비비!$A307,예비비!$E$430:$E$729,"&lt;"&amp;EDATE(BT$99,1),예비비!$F$430:$F$729,"결제대금비")+MAX(0,IF(예비비!$D307&lt;EDATE(BT$99,1),예비비!$E307,0)-SUMIFS(예비비!$O$430:$O$729,예비비!$B$430:$B$729,예비비!$A307,예비비!$E$430:$E$729,"&lt;"&amp;EDATE(BT$99,1))),0)</f>
        <v>0</v>
      </c>
      <c r="BU307">
        <f>IF(예비비!$R307="OK",SUMIFS(예비비!$O$430:$O$729,예비비!$B$430:$B$729,예비비!$A307,예비비!$E$430:$E$729,"&lt;"&amp;EDATE(BU$99,1),예비비!$F$430:$F$729,"결제대금비")+MAX(0,IF(예비비!$D307&lt;EDATE(BU$99,1),예비비!$E307,0)-SUMIFS(예비비!$O$430:$O$729,예비비!$B$430:$B$729,예비비!$A307,예비비!$E$430:$E$729,"&lt;"&amp;EDATE(BU$99,1))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  <c r="BI308">
        <f>IF(예비비!$R308="OK",SUMIFS(예비비!$O$430:$O$729,예비비!$B$430:$B$729,예비비!$A308,예비비!$E$430:$E$729,"&lt;"&amp;EDATE(BI$99,1),예비비!$F$430:$F$729,"결제대금비")+MAX(0,IF(예비비!$D308&lt;EDATE(BI$99,1),예비비!$E308,0)-SUMIFS(예비비!$O$430:$O$729,예비비!$B$430:$B$729,예비비!$A308,예비비!$E$430:$E$729,"&lt;"&amp;EDATE(BI$99,1))),0)</f>
        <v>0</v>
      </c>
      <c r="BJ308">
        <f>IF(예비비!$R308="OK",SUMIFS(예비비!$O$430:$O$729,예비비!$B$430:$B$729,예비비!$A308,예비비!$E$430:$E$729,"&lt;"&amp;EDATE(BJ$99,1),예비비!$F$430:$F$729,"결제대금비")+MAX(0,IF(예비비!$D308&lt;EDATE(BJ$99,1),예비비!$E308,0)-SUMIFS(예비비!$O$430:$O$729,예비비!$B$430:$B$729,예비비!$A308,예비비!$E$430:$E$729,"&lt;"&amp;EDATE(BJ$99,1))),0)</f>
        <v>0</v>
      </c>
      <c r="BK308">
        <f>IF(예비비!$R308="OK",SUMIFS(예비비!$O$430:$O$729,예비비!$B$430:$B$729,예비비!$A308,예비비!$E$430:$E$729,"&lt;"&amp;EDATE(BK$99,1),예비비!$F$430:$F$729,"결제대금비")+MAX(0,IF(예비비!$D308&lt;EDATE(BK$99,1),예비비!$E308,0)-SUMIFS(예비비!$O$430:$O$729,예비비!$B$430:$B$729,예비비!$A308,예비비!$E$430:$E$729,"&lt;"&amp;EDATE(BK$99,1))),0)</f>
        <v>0</v>
      </c>
      <c r="BL308">
        <f>IF(예비비!$R308="OK",SUMIFS(예비비!$O$430:$O$729,예비비!$B$430:$B$729,예비비!$A308,예비비!$E$430:$E$729,"&lt;"&amp;EDATE(BL$99,1),예비비!$F$430:$F$729,"결제대금비")+MAX(0,IF(예비비!$D308&lt;EDATE(BL$99,1),예비비!$E308,0)-SUMIFS(예비비!$O$430:$O$729,예비비!$B$430:$B$729,예비비!$A308,예비비!$E$430:$E$729,"&lt;"&amp;EDATE(BL$99,1))),0)</f>
        <v>0</v>
      </c>
      <c r="BM308">
        <f>IF(예비비!$R308="OK",SUMIFS(예비비!$O$430:$O$729,예비비!$B$430:$B$729,예비비!$A308,예비비!$E$430:$E$729,"&lt;"&amp;EDATE(BM$99,1),예비비!$F$430:$F$729,"결제대금비")+MAX(0,IF(예비비!$D308&lt;EDATE(BM$99,1),예비비!$E308,0)-SUMIFS(예비비!$O$430:$O$729,예비비!$B$430:$B$729,예비비!$A308,예비비!$E$430:$E$729,"&lt;"&amp;EDATE(BM$99,1))),0)</f>
        <v>0</v>
      </c>
      <c r="BN308">
        <f>IF(예비비!$R308="OK",SUMIFS(예비비!$O$430:$O$729,예비비!$B$430:$B$729,예비비!$A308,예비비!$E$430:$E$729,"&lt;"&amp;EDATE(BN$99,1),예비비!$F$430:$F$729,"결제대금비")+MAX(0,IF(예비비!$D308&lt;EDATE(BN$99,1),예비비!$E308,0)-SUMIFS(예비비!$O$430:$O$729,예비비!$B$430:$B$729,예비비!$A308,예비비!$E$430:$E$729,"&lt;"&amp;EDATE(BN$99,1))),0)</f>
        <v>0</v>
      </c>
      <c r="BO308">
        <f>IF(예비비!$R308="OK",SUMIFS(예비비!$O$430:$O$729,예비비!$B$430:$B$729,예비비!$A308,예비비!$E$430:$E$729,"&lt;"&amp;EDATE(BO$99,1),예비비!$F$430:$F$729,"결제대금비")+MAX(0,IF(예비비!$D308&lt;EDATE(BO$99,1),예비비!$E308,0)-SUMIFS(예비비!$O$430:$O$729,예비비!$B$430:$B$729,예비비!$A308,예비비!$E$430:$E$729,"&lt;"&amp;EDATE(BO$99,1))),0)</f>
        <v>0</v>
      </c>
      <c r="BP308">
        <f>IF(예비비!$R308="OK",SUMIFS(예비비!$O$430:$O$729,예비비!$B$430:$B$729,예비비!$A308,예비비!$E$430:$E$729,"&lt;"&amp;EDATE(BP$99,1),예비비!$F$430:$F$729,"결제대금비")+MAX(0,IF(예비비!$D308&lt;EDATE(BP$99,1),예비비!$E308,0)-SUMIFS(예비비!$O$430:$O$729,예비비!$B$430:$B$729,예비비!$A308,예비비!$E$430:$E$729,"&lt;"&amp;EDATE(BP$99,1))),0)</f>
        <v>0</v>
      </c>
      <c r="BQ308">
        <f>IF(예비비!$R308="OK",SUMIFS(예비비!$O$430:$O$729,예비비!$B$430:$B$729,예비비!$A308,예비비!$E$430:$E$729,"&lt;"&amp;EDATE(BQ$99,1),예비비!$F$430:$F$729,"결제대금비")+MAX(0,IF(예비비!$D308&lt;EDATE(BQ$99,1),예비비!$E308,0)-SUMIFS(예비비!$O$430:$O$729,예비비!$B$430:$B$729,예비비!$A308,예비비!$E$430:$E$729,"&lt;"&amp;EDATE(BQ$99,1))),0)</f>
        <v>0</v>
      </c>
      <c r="BR308">
        <f>IF(예비비!$R308="OK",SUMIFS(예비비!$O$430:$O$729,예비비!$B$430:$B$729,예비비!$A308,예비비!$E$430:$E$729,"&lt;"&amp;EDATE(BR$99,1),예비비!$F$430:$F$729,"결제대금비")+MAX(0,IF(예비비!$D308&lt;EDATE(BR$99,1),예비비!$E308,0)-SUMIFS(예비비!$O$430:$O$729,예비비!$B$430:$B$729,예비비!$A308,예비비!$E$430:$E$729,"&lt;"&amp;EDATE(BR$99,1))),0)</f>
        <v>0</v>
      </c>
      <c r="BS308">
        <f>IF(예비비!$R308="OK",SUMIFS(예비비!$O$430:$O$729,예비비!$B$430:$B$729,예비비!$A308,예비비!$E$430:$E$729,"&lt;"&amp;EDATE(BS$99,1),예비비!$F$430:$F$729,"결제대금비")+MAX(0,IF(예비비!$D308&lt;EDATE(BS$99,1),예비비!$E308,0)-SUMIFS(예비비!$O$430:$O$729,예비비!$B$430:$B$729,예비비!$A308,예비비!$E$430:$E$729,"&lt;"&amp;EDATE(BS$99,1))),0)</f>
        <v>0</v>
      </c>
      <c r="BT308">
        <f>IF(예비비!$R308="OK",SUMIFS(예비비!$O$430:$O$729,예비비!$B$430:$B$729,예비비!$A308,예비비!$E$430:$E$729,"&lt;"&amp;EDATE(BT$99,1),예비비!$F$430:$F$729,"결제대금비")+MAX(0,IF(예비비!$D308&lt;EDATE(BT$99,1),예비비!$E308,0)-SUMIFS(예비비!$O$430:$O$729,예비비!$B$430:$B$729,예비비!$A308,예비비!$E$430:$E$729,"&lt;"&amp;EDATE(BT$99,1))),0)</f>
        <v>0</v>
      </c>
      <c r="BU308">
        <f>IF(예비비!$R308="OK",SUMIFS(예비비!$O$430:$O$729,예비비!$B$430:$B$729,예비비!$A308,예비비!$E$430:$E$729,"&lt;"&amp;EDATE(BU$99,1),예비비!$F$430:$F$729,"결제대금비")+MAX(0,IF(예비비!$D308&lt;EDATE(BU$99,1),예비비!$E308,0)-SUMIFS(예비비!$O$430:$O$729,예비비!$B$430:$B$729,예비비!$A308,예비비!$E$430:$E$729,"&lt;"&amp;EDATE(BU$99,1))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  <c r="BI309">
        <f>IF(예비비!$R309="OK",SUMIFS(예비비!$O$430:$O$729,예비비!$B$430:$B$729,예비비!$A309,예비비!$E$430:$E$729,"&lt;"&amp;EDATE(BI$99,1),예비비!$F$430:$F$729,"결제대금비")+MAX(0,IF(예비비!$D309&lt;EDATE(BI$99,1),예비비!$E309,0)-SUMIFS(예비비!$O$430:$O$729,예비비!$B$430:$B$729,예비비!$A309,예비비!$E$430:$E$729,"&lt;"&amp;EDATE(BI$99,1))),0)</f>
        <v>0</v>
      </c>
      <c r="BJ309">
        <f>IF(예비비!$R309="OK",SUMIFS(예비비!$O$430:$O$729,예비비!$B$430:$B$729,예비비!$A309,예비비!$E$430:$E$729,"&lt;"&amp;EDATE(BJ$99,1),예비비!$F$430:$F$729,"결제대금비")+MAX(0,IF(예비비!$D309&lt;EDATE(BJ$99,1),예비비!$E309,0)-SUMIFS(예비비!$O$430:$O$729,예비비!$B$430:$B$729,예비비!$A309,예비비!$E$430:$E$729,"&lt;"&amp;EDATE(BJ$99,1))),0)</f>
        <v>0</v>
      </c>
      <c r="BK309">
        <f>IF(예비비!$R309="OK",SUMIFS(예비비!$O$430:$O$729,예비비!$B$430:$B$729,예비비!$A309,예비비!$E$430:$E$729,"&lt;"&amp;EDATE(BK$99,1),예비비!$F$430:$F$729,"결제대금비")+MAX(0,IF(예비비!$D309&lt;EDATE(BK$99,1),예비비!$E309,0)-SUMIFS(예비비!$O$430:$O$729,예비비!$B$430:$B$729,예비비!$A309,예비비!$E$430:$E$729,"&lt;"&amp;EDATE(BK$99,1))),0)</f>
        <v>0</v>
      </c>
      <c r="BL309">
        <f>IF(예비비!$R309="OK",SUMIFS(예비비!$O$430:$O$729,예비비!$B$430:$B$729,예비비!$A309,예비비!$E$430:$E$729,"&lt;"&amp;EDATE(BL$99,1),예비비!$F$430:$F$729,"결제대금비")+MAX(0,IF(예비비!$D309&lt;EDATE(BL$99,1),예비비!$E309,0)-SUMIFS(예비비!$O$430:$O$729,예비비!$B$430:$B$729,예비비!$A309,예비비!$E$430:$E$729,"&lt;"&amp;EDATE(BL$99,1))),0)</f>
        <v>0</v>
      </c>
      <c r="BM309">
        <f>IF(예비비!$R309="OK",SUMIFS(예비비!$O$430:$O$729,예비비!$B$430:$B$729,예비비!$A309,예비비!$E$430:$E$729,"&lt;"&amp;EDATE(BM$99,1),예비비!$F$430:$F$729,"결제대금비")+MAX(0,IF(예비비!$D309&lt;EDATE(BM$99,1),예비비!$E309,0)-SUMIFS(예비비!$O$430:$O$729,예비비!$B$430:$B$729,예비비!$A309,예비비!$E$430:$E$729,"&lt;"&amp;EDATE(BM$99,1))),0)</f>
        <v>0</v>
      </c>
      <c r="BN309">
        <f>IF(예비비!$R309="OK",SUMIFS(예비비!$O$430:$O$729,예비비!$B$430:$B$729,예비비!$A309,예비비!$E$430:$E$729,"&lt;"&amp;EDATE(BN$99,1),예비비!$F$430:$F$729,"결제대금비")+MAX(0,IF(예비비!$D309&lt;EDATE(BN$99,1),예비비!$E309,0)-SUMIFS(예비비!$O$430:$O$729,예비비!$B$430:$B$729,예비비!$A309,예비비!$E$430:$E$729,"&lt;"&amp;EDATE(BN$99,1))),0)</f>
        <v>0</v>
      </c>
      <c r="BO309">
        <f>IF(예비비!$R309="OK",SUMIFS(예비비!$O$430:$O$729,예비비!$B$430:$B$729,예비비!$A309,예비비!$E$430:$E$729,"&lt;"&amp;EDATE(BO$99,1),예비비!$F$430:$F$729,"결제대금비")+MAX(0,IF(예비비!$D309&lt;EDATE(BO$99,1),예비비!$E309,0)-SUMIFS(예비비!$O$430:$O$729,예비비!$B$430:$B$729,예비비!$A309,예비비!$E$430:$E$729,"&lt;"&amp;EDATE(BO$99,1))),0)</f>
        <v>0</v>
      </c>
      <c r="BP309">
        <f>IF(예비비!$R309="OK",SUMIFS(예비비!$O$430:$O$729,예비비!$B$430:$B$729,예비비!$A309,예비비!$E$430:$E$729,"&lt;"&amp;EDATE(BP$99,1),예비비!$F$430:$F$729,"결제대금비")+MAX(0,IF(예비비!$D309&lt;EDATE(BP$99,1),예비비!$E309,0)-SUMIFS(예비비!$O$430:$O$729,예비비!$B$430:$B$729,예비비!$A309,예비비!$E$430:$E$729,"&lt;"&amp;EDATE(BP$99,1))),0)</f>
        <v>0</v>
      </c>
      <c r="BQ309">
        <f>IF(예비비!$R309="OK",SUMIFS(예비비!$O$430:$O$729,예비비!$B$430:$B$729,예비비!$A309,예비비!$E$430:$E$729,"&lt;"&amp;EDATE(BQ$99,1),예비비!$F$430:$F$729,"결제대금비")+MAX(0,IF(예비비!$D309&lt;EDATE(BQ$99,1),예비비!$E309,0)-SUMIFS(예비비!$O$430:$O$729,예비비!$B$430:$B$729,예비비!$A309,예비비!$E$430:$E$729,"&lt;"&amp;EDATE(BQ$99,1))),0)</f>
        <v>0</v>
      </c>
      <c r="BR309">
        <f>IF(예비비!$R309="OK",SUMIFS(예비비!$O$430:$O$729,예비비!$B$430:$B$729,예비비!$A309,예비비!$E$430:$E$729,"&lt;"&amp;EDATE(BR$99,1),예비비!$F$430:$F$729,"결제대금비")+MAX(0,IF(예비비!$D309&lt;EDATE(BR$99,1),예비비!$E309,0)-SUMIFS(예비비!$O$430:$O$729,예비비!$B$430:$B$729,예비비!$A309,예비비!$E$430:$E$729,"&lt;"&amp;EDATE(BR$99,1))),0)</f>
        <v>0</v>
      </c>
      <c r="BS309">
        <f>IF(예비비!$R309="OK",SUMIFS(예비비!$O$430:$O$729,예비비!$B$430:$B$729,예비비!$A309,예비비!$E$430:$E$729,"&lt;"&amp;EDATE(BS$99,1),예비비!$F$430:$F$729,"결제대금비")+MAX(0,IF(예비비!$D309&lt;EDATE(BS$99,1),예비비!$E309,0)-SUMIFS(예비비!$O$430:$O$729,예비비!$B$430:$B$729,예비비!$A309,예비비!$E$430:$E$729,"&lt;"&amp;EDATE(BS$99,1))),0)</f>
        <v>0</v>
      </c>
      <c r="BT309">
        <f>IF(예비비!$R309="OK",SUMIFS(예비비!$O$430:$O$729,예비비!$B$430:$B$729,예비비!$A309,예비비!$E$430:$E$729,"&lt;"&amp;EDATE(BT$99,1),예비비!$F$430:$F$729,"결제대금비")+MAX(0,IF(예비비!$D309&lt;EDATE(BT$99,1),예비비!$E309,0)-SUMIFS(예비비!$O$430:$O$729,예비비!$B$430:$B$729,예비비!$A309,예비비!$E$430:$E$729,"&lt;"&amp;EDATE(BT$99,1))),0)</f>
        <v>0</v>
      </c>
      <c r="BU309">
        <f>IF(예비비!$R309="OK",SUMIFS(예비비!$O$430:$O$729,예비비!$B$430:$B$729,예비비!$A309,예비비!$E$430:$E$729,"&lt;"&amp;EDATE(BU$99,1),예비비!$F$430:$F$729,"결제대금비")+MAX(0,IF(예비비!$D309&lt;EDATE(BU$99,1),예비비!$E309,0)-SUMIFS(예비비!$O$430:$O$729,예비비!$B$430:$B$729,예비비!$A309,예비비!$E$430:$E$729,"&lt;"&amp;EDATE(BU$99,1))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  <c r="BI310">
        <f>IF(예비비!$R310="OK",SUMIFS(예비비!$O$430:$O$729,예비비!$B$430:$B$729,예비비!$A310,예비비!$E$430:$E$729,"&lt;"&amp;EDATE(BI$99,1),예비비!$F$430:$F$729,"결제대금비")+MAX(0,IF(예비비!$D310&lt;EDATE(BI$99,1),예비비!$E310,0)-SUMIFS(예비비!$O$430:$O$729,예비비!$B$430:$B$729,예비비!$A310,예비비!$E$430:$E$729,"&lt;"&amp;EDATE(BI$99,1))),0)</f>
        <v>0</v>
      </c>
      <c r="BJ310">
        <f>IF(예비비!$R310="OK",SUMIFS(예비비!$O$430:$O$729,예비비!$B$430:$B$729,예비비!$A310,예비비!$E$430:$E$729,"&lt;"&amp;EDATE(BJ$99,1),예비비!$F$430:$F$729,"결제대금비")+MAX(0,IF(예비비!$D310&lt;EDATE(BJ$99,1),예비비!$E310,0)-SUMIFS(예비비!$O$430:$O$729,예비비!$B$430:$B$729,예비비!$A310,예비비!$E$430:$E$729,"&lt;"&amp;EDATE(BJ$99,1))),0)</f>
        <v>0</v>
      </c>
      <c r="BK310">
        <f>IF(예비비!$R310="OK",SUMIFS(예비비!$O$430:$O$729,예비비!$B$430:$B$729,예비비!$A310,예비비!$E$430:$E$729,"&lt;"&amp;EDATE(BK$99,1),예비비!$F$430:$F$729,"결제대금비")+MAX(0,IF(예비비!$D310&lt;EDATE(BK$99,1),예비비!$E310,0)-SUMIFS(예비비!$O$430:$O$729,예비비!$B$430:$B$729,예비비!$A310,예비비!$E$430:$E$729,"&lt;"&amp;EDATE(BK$99,1))),0)</f>
        <v>0</v>
      </c>
      <c r="BL310">
        <f>IF(예비비!$R310="OK",SUMIFS(예비비!$O$430:$O$729,예비비!$B$430:$B$729,예비비!$A310,예비비!$E$430:$E$729,"&lt;"&amp;EDATE(BL$99,1),예비비!$F$430:$F$729,"결제대금비")+MAX(0,IF(예비비!$D310&lt;EDATE(BL$99,1),예비비!$E310,0)-SUMIFS(예비비!$O$430:$O$729,예비비!$B$430:$B$729,예비비!$A310,예비비!$E$430:$E$729,"&lt;"&amp;EDATE(BL$99,1))),0)</f>
        <v>0</v>
      </c>
      <c r="BM310">
        <f>IF(예비비!$R310="OK",SUMIFS(예비비!$O$430:$O$729,예비비!$B$430:$B$729,예비비!$A310,예비비!$E$430:$E$729,"&lt;"&amp;EDATE(BM$99,1),예비비!$F$430:$F$729,"결제대금비")+MAX(0,IF(예비비!$D310&lt;EDATE(BM$99,1),예비비!$E310,0)-SUMIFS(예비비!$O$430:$O$729,예비비!$B$430:$B$729,예비비!$A310,예비비!$E$430:$E$729,"&lt;"&amp;EDATE(BM$99,1))),0)</f>
        <v>0</v>
      </c>
      <c r="BN310">
        <f>IF(예비비!$R310="OK",SUMIFS(예비비!$O$430:$O$729,예비비!$B$430:$B$729,예비비!$A310,예비비!$E$430:$E$729,"&lt;"&amp;EDATE(BN$99,1),예비비!$F$430:$F$729,"결제대금비")+MAX(0,IF(예비비!$D310&lt;EDATE(BN$99,1),예비비!$E310,0)-SUMIFS(예비비!$O$430:$O$729,예비비!$B$430:$B$729,예비비!$A310,예비비!$E$430:$E$729,"&lt;"&amp;EDATE(BN$99,1))),0)</f>
        <v>0</v>
      </c>
      <c r="BO310">
        <f>IF(예비비!$R310="OK",SUMIFS(예비비!$O$430:$O$729,예비비!$B$430:$B$729,예비비!$A310,예비비!$E$430:$E$729,"&lt;"&amp;EDATE(BO$99,1),예비비!$F$430:$F$729,"결제대금비")+MAX(0,IF(예비비!$D310&lt;EDATE(BO$99,1),예비비!$E310,0)-SUMIFS(예비비!$O$430:$O$729,예비비!$B$430:$B$729,예비비!$A310,예비비!$E$430:$E$729,"&lt;"&amp;EDATE(BO$99,1))),0)</f>
        <v>0</v>
      </c>
      <c r="BP310">
        <f>IF(예비비!$R310="OK",SUMIFS(예비비!$O$430:$O$729,예비비!$B$430:$B$729,예비비!$A310,예비비!$E$430:$E$729,"&lt;"&amp;EDATE(BP$99,1),예비비!$F$430:$F$729,"결제대금비")+MAX(0,IF(예비비!$D310&lt;EDATE(BP$99,1),예비비!$E310,0)-SUMIFS(예비비!$O$430:$O$729,예비비!$B$430:$B$729,예비비!$A310,예비비!$E$430:$E$729,"&lt;"&amp;EDATE(BP$99,1))),0)</f>
        <v>0</v>
      </c>
      <c r="BQ310">
        <f>IF(예비비!$R310="OK",SUMIFS(예비비!$O$430:$O$729,예비비!$B$430:$B$729,예비비!$A310,예비비!$E$430:$E$729,"&lt;"&amp;EDATE(BQ$99,1),예비비!$F$430:$F$729,"결제대금비")+MAX(0,IF(예비비!$D310&lt;EDATE(BQ$99,1),예비비!$E310,0)-SUMIFS(예비비!$O$430:$O$729,예비비!$B$430:$B$729,예비비!$A310,예비비!$E$430:$E$729,"&lt;"&amp;EDATE(BQ$99,1))),0)</f>
        <v>0</v>
      </c>
      <c r="BR310">
        <f>IF(예비비!$R310="OK",SUMIFS(예비비!$O$430:$O$729,예비비!$B$430:$B$729,예비비!$A310,예비비!$E$430:$E$729,"&lt;"&amp;EDATE(BR$99,1),예비비!$F$430:$F$729,"결제대금비")+MAX(0,IF(예비비!$D310&lt;EDATE(BR$99,1),예비비!$E310,0)-SUMIFS(예비비!$O$430:$O$729,예비비!$B$430:$B$729,예비비!$A310,예비비!$E$430:$E$729,"&lt;"&amp;EDATE(BR$99,1))),0)</f>
        <v>0</v>
      </c>
      <c r="BS310">
        <f>IF(예비비!$R310="OK",SUMIFS(예비비!$O$430:$O$729,예비비!$B$430:$B$729,예비비!$A310,예비비!$E$430:$E$729,"&lt;"&amp;EDATE(BS$99,1),예비비!$F$430:$F$729,"결제대금비")+MAX(0,IF(예비비!$D310&lt;EDATE(BS$99,1),예비비!$E310,0)-SUMIFS(예비비!$O$430:$O$729,예비비!$B$430:$B$729,예비비!$A310,예비비!$E$430:$E$729,"&lt;"&amp;EDATE(BS$99,1))),0)</f>
        <v>0</v>
      </c>
      <c r="BT310">
        <f>IF(예비비!$R310="OK",SUMIFS(예비비!$O$430:$O$729,예비비!$B$430:$B$729,예비비!$A310,예비비!$E$430:$E$729,"&lt;"&amp;EDATE(BT$99,1),예비비!$F$430:$F$729,"결제대금비")+MAX(0,IF(예비비!$D310&lt;EDATE(BT$99,1),예비비!$E310,0)-SUMIFS(예비비!$O$430:$O$729,예비비!$B$430:$B$729,예비비!$A310,예비비!$E$430:$E$729,"&lt;"&amp;EDATE(BT$99,1))),0)</f>
        <v>0</v>
      </c>
      <c r="BU310">
        <f>IF(예비비!$R310="OK",SUMIFS(예비비!$O$430:$O$729,예비비!$B$430:$B$729,예비비!$A310,예비비!$E$430:$E$729,"&lt;"&amp;EDATE(BU$99,1),예비비!$F$430:$F$729,"결제대금비")+MAX(0,IF(예비비!$D310&lt;EDATE(BU$99,1),예비비!$E310,0)-SUMIFS(예비비!$O$430:$O$729,예비비!$B$430:$B$729,예비비!$A310,예비비!$E$430:$E$729,"&lt;"&amp;EDATE(BU$99,1))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  <c r="BI311">
        <f>IF(예비비!$R311="OK",SUMIFS(예비비!$O$430:$O$729,예비비!$B$430:$B$729,예비비!$A311,예비비!$E$430:$E$729,"&lt;"&amp;EDATE(BI$99,1),예비비!$F$430:$F$729,"결제대금비")+MAX(0,IF(예비비!$D311&lt;EDATE(BI$99,1),예비비!$E311,0)-SUMIFS(예비비!$O$430:$O$729,예비비!$B$430:$B$729,예비비!$A311,예비비!$E$430:$E$729,"&lt;"&amp;EDATE(BI$99,1))),0)</f>
        <v>0</v>
      </c>
      <c r="BJ311">
        <f>IF(예비비!$R311="OK",SUMIFS(예비비!$O$430:$O$729,예비비!$B$430:$B$729,예비비!$A311,예비비!$E$430:$E$729,"&lt;"&amp;EDATE(BJ$99,1),예비비!$F$430:$F$729,"결제대금비")+MAX(0,IF(예비비!$D311&lt;EDATE(BJ$99,1),예비비!$E311,0)-SUMIFS(예비비!$O$430:$O$729,예비비!$B$430:$B$729,예비비!$A311,예비비!$E$430:$E$729,"&lt;"&amp;EDATE(BJ$99,1))),0)</f>
        <v>0</v>
      </c>
      <c r="BK311">
        <f>IF(예비비!$R311="OK",SUMIFS(예비비!$O$430:$O$729,예비비!$B$430:$B$729,예비비!$A311,예비비!$E$430:$E$729,"&lt;"&amp;EDATE(BK$99,1),예비비!$F$430:$F$729,"결제대금비")+MAX(0,IF(예비비!$D311&lt;EDATE(BK$99,1),예비비!$E311,0)-SUMIFS(예비비!$O$430:$O$729,예비비!$B$430:$B$729,예비비!$A311,예비비!$E$430:$E$729,"&lt;"&amp;EDATE(BK$99,1))),0)</f>
        <v>0</v>
      </c>
      <c r="BL311">
        <f>IF(예비비!$R311="OK",SUMIFS(예비비!$O$430:$O$729,예비비!$B$430:$B$729,예비비!$A311,예비비!$E$430:$E$729,"&lt;"&amp;EDATE(BL$99,1),예비비!$F$430:$F$729,"결제대금비")+MAX(0,IF(예비비!$D311&lt;EDATE(BL$99,1),예비비!$E311,0)-SUMIFS(예비비!$O$430:$O$729,예비비!$B$430:$B$729,예비비!$A311,예비비!$E$430:$E$729,"&lt;"&amp;EDATE(BL$99,1))),0)</f>
        <v>0</v>
      </c>
      <c r="BM311">
        <f>IF(예비비!$R311="OK",SUMIFS(예비비!$O$430:$O$729,예비비!$B$430:$B$729,예비비!$A311,예비비!$E$430:$E$729,"&lt;"&amp;EDATE(BM$99,1),예비비!$F$430:$F$729,"결제대금비")+MAX(0,IF(예비비!$D311&lt;EDATE(BM$99,1),예비비!$E311,0)-SUMIFS(예비비!$O$430:$O$729,예비비!$B$430:$B$729,예비비!$A311,예비비!$E$430:$E$729,"&lt;"&amp;EDATE(BM$99,1))),0)</f>
        <v>0</v>
      </c>
      <c r="BN311">
        <f>IF(예비비!$R311="OK",SUMIFS(예비비!$O$430:$O$729,예비비!$B$430:$B$729,예비비!$A311,예비비!$E$430:$E$729,"&lt;"&amp;EDATE(BN$99,1),예비비!$F$430:$F$729,"결제대금비")+MAX(0,IF(예비비!$D311&lt;EDATE(BN$99,1),예비비!$E311,0)-SUMIFS(예비비!$O$430:$O$729,예비비!$B$430:$B$729,예비비!$A311,예비비!$E$430:$E$729,"&lt;"&amp;EDATE(BN$99,1))),0)</f>
        <v>0</v>
      </c>
      <c r="BO311">
        <f>IF(예비비!$R311="OK",SUMIFS(예비비!$O$430:$O$729,예비비!$B$430:$B$729,예비비!$A311,예비비!$E$430:$E$729,"&lt;"&amp;EDATE(BO$99,1),예비비!$F$430:$F$729,"결제대금비")+MAX(0,IF(예비비!$D311&lt;EDATE(BO$99,1),예비비!$E311,0)-SUMIFS(예비비!$O$430:$O$729,예비비!$B$430:$B$729,예비비!$A311,예비비!$E$430:$E$729,"&lt;"&amp;EDATE(BO$99,1))),0)</f>
        <v>0</v>
      </c>
      <c r="BP311">
        <f>IF(예비비!$R311="OK",SUMIFS(예비비!$O$430:$O$729,예비비!$B$430:$B$729,예비비!$A311,예비비!$E$430:$E$729,"&lt;"&amp;EDATE(BP$99,1),예비비!$F$430:$F$729,"결제대금비")+MAX(0,IF(예비비!$D311&lt;EDATE(BP$99,1),예비비!$E311,0)-SUMIFS(예비비!$O$430:$O$729,예비비!$B$430:$B$729,예비비!$A311,예비비!$E$430:$E$729,"&lt;"&amp;EDATE(BP$99,1))),0)</f>
        <v>0</v>
      </c>
      <c r="BQ311">
        <f>IF(예비비!$R311="OK",SUMIFS(예비비!$O$430:$O$729,예비비!$B$430:$B$729,예비비!$A311,예비비!$E$430:$E$729,"&lt;"&amp;EDATE(BQ$99,1),예비비!$F$430:$F$729,"결제대금비")+MAX(0,IF(예비비!$D311&lt;EDATE(BQ$99,1),예비비!$E311,0)-SUMIFS(예비비!$O$430:$O$729,예비비!$B$430:$B$729,예비비!$A311,예비비!$E$430:$E$729,"&lt;"&amp;EDATE(BQ$99,1))),0)</f>
        <v>0</v>
      </c>
      <c r="BR311">
        <f>IF(예비비!$R311="OK",SUMIFS(예비비!$O$430:$O$729,예비비!$B$430:$B$729,예비비!$A311,예비비!$E$430:$E$729,"&lt;"&amp;EDATE(BR$99,1),예비비!$F$430:$F$729,"결제대금비")+MAX(0,IF(예비비!$D311&lt;EDATE(BR$99,1),예비비!$E311,0)-SUMIFS(예비비!$O$430:$O$729,예비비!$B$430:$B$729,예비비!$A311,예비비!$E$430:$E$729,"&lt;"&amp;EDATE(BR$99,1))),0)</f>
        <v>0</v>
      </c>
      <c r="BS311">
        <f>IF(예비비!$R311="OK",SUMIFS(예비비!$O$430:$O$729,예비비!$B$430:$B$729,예비비!$A311,예비비!$E$430:$E$729,"&lt;"&amp;EDATE(BS$99,1),예비비!$F$430:$F$729,"결제대금비")+MAX(0,IF(예비비!$D311&lt;EDATE(BS$99,1),예비비!$E311,0)-SUMIFS(예비비!$O$430:$O$729,예비비!$B$430:$B$729,예비비!$A311,예비비!$E$430:$E$729,"&lt;"&amp;EDATE(BS$99,1))),0)</f>
        <v>0</v>
      </c>
      <c r="BT311">
        <f>IF(예비비!$R311="OK",SUMIFS(예비비!$O$430:$O$729,예비비!$B$430:$B$729,예비비!$A311,예비비!$E$430:$E$729,"&lt;"&amp;EDATE(BT$99,1),예비비!$F$430:$F$729,"결제대금비")+MAX(0,IF(예비비!$D311&lt;EDATE(BT$99,1),예비비!$E311,0)-SUMIFS(예비비!$O$430:$O$729,예비비!$B$430:$B$729,예비비!$A311,예비비!$E$430:$E$729,"&lt;"&amp;EDATE(BT$99,1))),0)</f>
        <v>0</v>
      </c>
      <c r="BU311">
        <f>IF(예비비!$R311="OK",SUMIFS(예비비!$O$430:$O$729,예비비!$B$430:$B$729,예비비!$A311,예비비!$E$430:$E$729,"&lt;"&amp;EDATE(BU$99,1),예비비!$F$430:$F$729,"결제대금비")+MAX(0,IF(예비비!$D311&lt;EDATE(BU$99,1),예비비!$E311,0)-SUMIFS(예비비!$O$430:$O$729,예비비!$B$430:$B$729,예비비!$A311,예비비!$E$430:$E$729,"&lt;"&amp;EDATE(BU$99,1))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  <c r="BI312">
        <f>IF(예비비!$R312="OK",SUMIFS(예비비!$O$430:$O$729,예비비!$B$430:$B$729,예비비!$A312,예비비!$E$430:$E$729,"&lt;"&amp;EDATE(BI$99,1),예비비!$F$430:$F$729,"결제대금비")+MAX(0,IF(예비비!$D312&lt;EDATE(BI$99,1),예비비!$E312,0)-SUMIFS(예비비!$O$430:$O$729,예비비!$B$430:$B$729,예비비!$A312,예비비!$E$430:$E$729,"&lt;"&amp;EDATE(BI$99,1))),0)</f>
        <v>0</v>
      </c>
      <c r="BJ312">
        <f>IF(예비비!$R312="OK",SUMIFS(예비비!$O$430:$O$729,예비비!$B$430:$B$729,예비비!$A312,예비비!$E$430:$E$729,"&lt;"&amp;EDATE(BJ$99,1),예비비!$F$430:$F$729,"결제대금비")+MAX(0,IF(예비비!$D312&lt;EDATE(BJ$99,1),예비비!$E312,0)-SUMIFS(예비비!$O$430:$O$729,예비비!$B$430:$B$729,예비비!$A312,예비비!$E$430:$E$729,"&lt;"&amp;EDATE(BJ$99,1))),0)</f>
        <v>0</v>
      </c>
      <c r="BK312">
        <f>IF(예비비!$R312="OK",SUMIFS(예비비!$O$430:$O$729,예비비!$B$430:$B$729,예비비!$A312,예비비!$E$430:$E$729,"&lt;"&amp;EDATE(BK$99,1),예비비!$F$430:$F$729,"결제대금비")+MAX(0,IF(예비비!$D312&lt;EDATE(BK$99,1),예비비!$E312,0)-SUMIFS(예비비!$O$430:$O$729,예비비!$B$430:$B$729,예비비!$A312,예비비!$E$430:$E$729,"&lt;"&amp;EDATE(BK$99,1))),0)</f>
        <v>0</v>
      </c>
      <c r="BL312">
        <f>IF(예비비!$R312="OK",SUMIFS(예비비!$O$430:$O$729,예비비!$B$430:$B$729,예비비!$A312,예비비!$E$430:$E$729,"&lt;"&amp;EDATE(BL$99,1),예비비!$F$430:$F$729,"결제대금비")+MAX(0,IF(예비비!$D312&lt;EDATE(BL$99,1),예비비!$E312,0)-SUMIFS(예비비!$O$430:$O$729,예비비!$B$430:$B$729,예비비!$A312,예비비!$E$430:$E$729,"&lt;"&amp;EDATE(BL$99,1))),0)</f>
        <v>0</v>
      </c>
      <c r="BM312">
        <f>IF(예비비!$R312="OK",SUMIFS(예비비!$O$430:$O$729,예비비!$B$430:$B$729,예비비!$A312,예비비!$E$430:$E$729,"&lt;"&amp;EDATE(BM$99,1),예비비!$F$430:$F$729,"결제대금비")+MAX(0,IF(예비비!$D312&lt;EDATE(BM$99,1),예비비!$E312,0)-SUMIFS(예비비!$O$430:$O$729,예비비!$B$430:$B$729,예비비!$A312,예비비!$E$430:$E$729,"&lt;"&amp;EDATE(BM$99,1))),0)</f>
        <v>0</v>
      </c>
      <c r="BN312">
        <f>IF(예비비!$R312="OK",SUMIFS(예비비!$O$430:$O$729,예비비!$B$430:$B$729,예비비!$A312,예비비!$E$430:$E$729,"&lt;"&amp;EDATE(BN$99,1),예비비!$F$430:$F$729,"결제대금비")+MAX(0,IF(예비비!$D312&lt;EDATE(BN$99,1),예비비!$E312,0)-SUMIFS(예비비!$O$430:$O$729,예비비!$B$430:$B$729,예비비!$A312,예비비!$E$430:$E$729,"&lt;"&amp;EDATE(BN$99,1))),0)</f>
        <v>0</v>
      </c>
      <c r="BO312">
        <f>IF(예비비!$R312="OK",SUMIFS(예비비!$O$430:$O$729,예비비!$B$430:$B$729,예비비!$A312,예비비!$E$430:$E$729,"&lt;"&amp;EDATE(BO$99,1),예비비!$F$430:$F$729,"결제대금비")+MAX(0,IF(예비비!$D312&lt;EDATE(BO$99,1),예비비!$E312,0)-SUMIFS(예비비!$O$430:$O$729,예비비!$B$430:$B$729,예비비!$A312,예비비!$E$430:$E$729,"&lt;"&amp;EDATE(BO$99,1))),0)</f>
        <v>0</v>
      </c>
      <c r="BP312">
        <f>IF(예비비!$R312="OK",SUMIFS(예비비!$O$430:$O$729,예비비!$B$430:$B$729,예비비!$A312,예비비!$E$430:$E$729,"&lt;"&amp;EDATE(BP$99,1),예비비!$F$430:$F$729,"결제대금비")+MAX(0,IF(예비비!$D312&lt;EDATE(BP$99,1),예비비!$E312,0)-SUMIFS(예비비!$O$430:$O$729,예비비!$B$430:$B$729,예비비!$A312,예비비!$E$430:$E$729,"&lt;"&amp;EDATE(BP$99,1))),0)</f>
        <v>0</v>
      </c>
      <c r="BQ312">
        <f>IF(예비비!$R312="OK",SUMIFS(예비비!$O$430:$O$729,예비비!$B$430:$B$729,예비비!$A312,예비비!$E$430:$E$729,"&lt;"&amp;EDATE(BQ$99,1),예비비!$F$430:$F$729,"결제대금비")+MAX(0,IF(예비비!$D312&lt;EDATE(BQ$99,1),예비비!$E312,0)-SUMIFS(예비비!$O$430:$O$729,예비비!$B$430:$B$729,예비비!$A312,예비비!$E$430:$E$729,"&lt;"&amp;EDATE(BQ$99,1))),0)</f>
        <v>0</v>
      </c>
      <c r="BR312">
        <f>IF(예비비!$R312="OK",SUMIFS(예비비!$O$430:$O$729,예비비!$B$430:$B$729,예비비!$A312,예비비!$E$430:$E$729,"&lt;"&amp;EDATE(BR$99,1),예비비!$F$430:$F$729,"결제대금비")+MAX(0,IF(예비비!$D312&lt;EDATE(BR$99,1),예비비!$E312,0)-SUMIFS(예비비!$O$430:$O$729,예비비!$B$430:$B$729,예비비!$A312,예비비!$E$430:$E$729,"&lt;"&amp;EDATE(BR$99,1))),0)</f>
        <v>0</v>
      </c>
      <c r="BS312">
        <f>IF(예비비!$R312="OK",SUMIFS(예비비!$O$430:$O$729,예비비!$B$430:$B$729,예비비!$A312,예비비!$E$430:$E$729,"&lt;"&amp;EDATE(BS$99,1),예비비!$F$430:$F$729,"결제대금비")+MAX(0,IF(예비비!$D312&lt;EDATE(BS$99,1),예비비!$E312,0)-SUMIFS(예비비!$O$430:$O$729,예비비!$B$430:$B$729,예비비!$A312,예비비!$E$430:$E$729,"&lt;"&amp;EDATE(BS$99,1))),0)</f>
        <v>0</v>
      </c>
      <c r="BT312">
        <f>IF(예비비!$R312="OK",SUMIFS(예비비!$O$430:$O$729,예비비!$B$430:$B$729,예비비!$A312,예비비!$E$430:$E$729,"&lt;"&amp;EDATE(BT$99,1),예비비!$F$430:$F$729,"결제대금비")+MAX(0,IF(예비비!$D312&lt;EDATE(BT$99,1),예비비!$E312,0)-SUMIFS(예비비!$O$430:$O$729,예비비!$B$430:$B$729,예비비!$A312,예비비!$E$430:$E$729,"&lt;"&amp;EDATE(BT$99,1))),0)</f>
        <v>0</v>
      </c>
      <c r="BU312">
        <f>IF(예비비!$R312="OK",SUMIFS(예비비!$O$430:$O$729,예비비!$B$430:$B$729,예비비!$A312,예비비!$E$430:$E$729,"&lt;"&amp;EDATE(BU$99,1),예비비!$F$430:$F$729,"결제대금비")+MAX(0,IF(예비비!$D312&lt;EDATE(BU$99,1),예비비!$E312,0)-SUMIFS(예비비!$O$430:$O$729,예비비!$B$430:$B$729,예비비!$A312,예비비!$E$430:$E$729,"&lt;"&amp;EDATE(BU$99,1))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  <c r="BI313">
        <f>IF(예비비!$R313="OK",SUMIFS(예비비!$O$430:$O$729,예비비!$B$430:$B$729,예비비!$A313,예비비!$E$430:$E$729,"&lt;"&amp;EDATE(BI$99,1),예비비!$F$430:$F$729,"결제대금비")+MAX(0,IF(예비비!$D313&lt;EDATE(BI$99,1),예비비!$E313,0)-SUMIFS(예비비!$O$430:$O$729,예비비!$B$430:$B$729,예비비!$A313,예비비!$E$430:$E$729,"&lt;"&amp;EDATE(BI$99,1))),0)</f>
        <v>0</v>
      </c>
      <c r="BJ313">
        <f>IF(예비비!$R313="OK",SUMIFS(예비비!$O$430:$O$729,예비비!$B$430:$B$729,예비비!$A313,예비비!$E$430:$E$729,"&lt;"&amp;EDATE(BJ$99,1),예비비!$F$430:$F$729,"결제대금비")+MAX(0,IF(예비비!$D313&lt;EDATE(BJ$99,1),예비비!$E313,0)-SUMIFS(예비비!$O$430:$O$729,예비비!$B$430:$B$729,예비비!$A313,예비비!$E$430:$E$729,"&lt;"&amp;EDATE(BJ$99,1))),0)</f>
        <v>0</v>
      </c>
      <c r="BK313">
        <f>IF(예비비!$R313="OK",SUMIFS(예비비!$O$430:$O$729,예비비!$B$430:$B$729,예비비!$A313,예비비!$E$430:$E$729,"&lt;"&amp;EDATE(BK$99,1),예비비!$F$430:$F$729,"결제대금비")+MAX(0,IF(예비비!$D313&lt;EDATE(BK$99,1),예비비!$E313,0)-SUMIFS(예비비!$O$430:$O$729,예비비!$B$430:$B$729,예비비!$A313,예비비!$E$430:$E$729,"&lt;"&amp;EDATE(BK$99,1))),0)</f>
        <v>0</v>
      </c>
      <c r="BL313">
        <f>IF(예비비!$R313="OK",SUMIFS(예비비!$O$430:$O$729,예비비!$B$430:$B$729,예비비!$A313,예비비!$E$430:$E$729,"&lt;"&amp;EDATE(BL$99,1),예비비!$F$430:$F$729,"결제대금비")+MAX(0,IF(예비비!$D313&lt;EDATE(BL$99,1),예비비!$E313,0)-SUMIFS(예비비!$O$430:$O$729,예비비!$B$430:$B$729,예비비!$A313,예비비!$E$430:$E$729,"&lt;"&amp;EDATE(BL$99,1))),0)</f>
        <v>0</v>
      </c>
      <c r="BM313">
        <f>IF(예비비!$R313="OK",SUMIFS(예비비!$O$430:$O$729,예비비!$B$430:$B$729,예비비!$A313,예비비!$E$430:$E$729,"&lt;"&amp;EDATE(BM$99,1),예비비!$F$430:$F$729,"결제대금비")+MAX(0,IF(예비비!$D313&lt;EDATE(BM$99,1),예비비!$E313,0)-SUMIFS(예비비!$O$430:$O$729,예비비!$B$430:$B$729,예비비!$A313,예비비!$E$430:$E$729,"&lt;"&amp;EDATE(BM$99,1))),0)</f>
        <v>0</v>
      </c>
      <c r="BN313">
        <f>IF(예비비!$R313="OK",SUMIFS(예비비!$O$430:$O$729,예비비!$B$430:$B$729,예비비!$A313,예비비!$E$430:$E$729,"&lt;"&amp;EDATE(BN$99,1),예비비!$F$430:$F$729,"결제대금비")+MAX(0,IF(예비비!$D313&lt;EDATE(BN$99,1),예비비!$E313,0)-SUMIFS(예비비!$O$430:$O$729,예비비!$B$430:$B$729,예비비!$A313,예비비!$E$430:$E$729,"&lt;"&amp;EDATE(BN$99,1))),0)</f>
        <v>0</v>
      </c>
      <c r="BO313">
        <f>IF(예비비!$R313="OK",SUMIFS(예비비!$O$430:$O$729,예비비!$B$430:$B$729,예비비!$A313,예비비!$E$430:$E$729,"&lt;"&amp;EDATE(BO$99,1),예비비!$F$430:$F$729,"결제대금비")+MAX(0,IF(예비비!$D313&lt;EDATE(BO$99,1),예비비!$E313,0)-SUMIFS(예비비!$O$430:$O$729,예비비!$B$430:$B$729,예비비!$A313,예비비!$E$430:$E$729,"&lt;"&amp;EDATE(BO$99,1))),0)</f>
        <v>0</v>
      </c>
      <c r="BP313">
        <f>IF(예비비!$R313="OK",SUMIFS(예비비!$O$430:$O$729,예비비!$B$430:$B$729,예비비!$A313,예비비!$E$430:$E$729,"&lt;"&amp;EDATE(BP$99,1),예비비!$F$430:$F$729,"결제대금비")+MAX(0,IF(예비비!$D313&lt;EDATE(BP$99,1),예비비!$E313,0)-SUMIFS(예비비!$O$430:$O$729,예비비!$B$430:$B$729,예비비!$A313,예비비!$E$430:$E$729,"&lt;"&amp;EDATE(BP$99,1))),0)</f>
        <v>0</v>
      </c>
      <c r="BQ313">
        <f>IF(예비비!$R313="OK",SUMIFS(예비비!$O$430:$O$729,예비비!$B$430:$B$729,예비비!$A313,예비비!$E$430:$E$729,"&lt;"&amp;EDATE(BQ$99,1),예비비!$F$430:$F$729,"결제대금비")+MAX(0,IF(예비비!$D313&lt;EDATE(BQ$99,1),예비비!$E313,0)-SUMIFS(예비비!$O$430:$O$729,예비비!$B$430:$B$729,예비비!$A313,예비비!$E$430:$E$729,"&lt;"&amp;EDATE(BQ$99,1))),0)</f>
        <v>0</v>
      </c>
      <c r="BR313">
        <f>IF(예비비!$R313="OK",SUMIFS(예비비!$O$430:$O$729,예비비!$B$430:$B$729,예비비!$A313,예비비!$E$430:$E$729,"&lt;"&amp;EDATE(BR$99,1),예비비!$F$430:$F$729,"결제대금비")+MAX(0,IF(예비비!$D313&lt;EDATE(BR$99,1),예비비!$E313,0)-SUMIFS(예비비!$O$430:$O$729,예비비!$B$430:$B$729,예비비!$A313,예비비!$E$430:$E$729,"&lt;"&amp;EDATE(BR$99,1))),0)</f>
        <v>0</v>
      </c>
      <c r="BS313">
        <f>IF(예비비!$R313="OK",SUMIFS(예비비!$O$430:$O$729,예비비!$B$430:$B$729,예비비!$A313,예비비!$E$430:$E$729,"&lt;"&amp;EDATE(BS$99,1),예비비!$F$430:$F$729,"결제대금비")+MAX(0,IF(예비비!$D313&lt;EDATE(BS$99,1),예비비!$E313,0)-SUMIFS(예비비!$O$430:$O$729,예비비!$B$430:$B$729,예비비!$A313,예비비!$E$430:$E$729,"&lt;"&amp;EDATE(BS$99,1))),0)</f>
        <v>0</v>
      </c>
      <c r="BT313">
        <f>IF(예비비!$R313="OK",SUMIFS(예비비!$O$430:$O$729,예비비!$B$430:$B$729,예비비!$A313,예비비!$E$430:$E$729,"&lt;"&amp;EDATE(BT$99,1),예비비!$F$430:$F$729,"결제대금비")+MAX(0,IF(예비비!$D313&lt;EDATE(BT$99,1),예비비!$E313,0)-SUMIFS(예비비!$O$430:$O$729,예비비!$B$430:$B$729,예비비!$A313,예비비!$E$430:$E$729,"&lt;"&amp;EDATE(BT$99,1))),0)</f>
        <v>0</v>
      </c>
      <c r="BU313">
        <f>IF(예비비!$R313="OK",SUMIFS(예비비!$O$430:$O$729,예비비!$B$430:$B$729,예비비!$A313,예비비!$E$430:$E$729,"&lt;"&amp;EDATE(BU$99,1),예비비!$F$430:$F$729,"결제대금비")+MAX(0,IF(예비비!$D313&lt;EDATE(BU$99,1),예비비!$E313,0)-SUMIFS(예비비!$O$430:$O$729,예비비!$B$430:$B$729,예비비!$A313,예비비!$E$430:$E$729,"&lt;"&amp;EDATE(BU$99,1))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  <c r="BI314">
        <f>IF(예비비!$R314="OK",SUMIFS(예비비!$O$430:$O$729,예비비!$B$430:$B$729,예비비!$A314,예비비!$E$430:$E$729,"&lt;"&amp;EDATE(BI$99,1),예비비!$F$430:$F$729,"결제대금비")+MAX(0,IF(예비비!$D314&lt;EDATE(BI$99,1),예비비!$E314,0)-SUMIFS(예비비!$O$430:$O$729,예비비!$B$430:$B$729,예비비!$A314,예비비!$E$430:$E$729,"&lt;"&amp;EDATE(BI$99,1))),0)</f>
        <v>0</v>
      </c>
      <c r="BJ314">
        <f>IF(예비비!$R314="OK",SUMIFS(예비비!$O$430:$O$729,예비비!$B$430:$B$729,예비비!$A314,예비비!$E$430:$E$729,"&lt;"&amp;EDATE(BJ$99,1),예비비!$F$430:$F$729,"결제대금비")+MAX(0,IF(예비비!$D314&lt;EDATE(BJ$99,1),예비비!$E314,0)-SUMIFS(예비비!$O$430:$O$729,예비비!$B$430:$B$729,예비비!$A314,예비비!$E$430:$E$729,"&lt;"&amp;EDATE(BJ$99,1))),0)</f>
        <v>0</v>
      </c>
      <c r="BK314">
        <f>IF(예비비!$R314="OK",SUMIFS(예비비!$O$430:$O$729,예비비!$B$430:$B$729,예비비!$A314,예비비!$E$430:$E$729,"&lt;"&amp;EDATE(BK$99,1),예비비!$F$430:$F$729,"결제대금비")+MAX(0,IF(예비비!$D314&lt;EDATE(BK$99,1),예비비!$E314,0)-SUMIFS(예비비!$O$430:$O$729,예비비!$B$430:$B$729,예비비!$A314,예비비!$E$430:$E$729,"&lt;"&amp;EDATE(BK$99,1))),0)</f>
        <v>0</v>
      </c>
      <c r="BL314">
        <f>IF(예비비!$R314="OK",SUMIFS(예비비!$O$430:$O$729,예비비!$B$430:$B$729,예비비!$A314,예비비!$E$430:$E$729,"&lt;"&amp;EDATE(BL$99,1),예비비!$F$430:$F$729,"결제대금비")+MAX(0,IF(예비비!$D314&lt;EDATE(BL$99,1),예비비!$E314,0)-SUMIFS(예비비!$O$430:$O$729,예비비!$B$430:$B$729,예비비!$A314,예비비!$E$430:$E$729,"&lt;"&amp;EDATE(BL$99,1))),0)</f>
        <v>0</v>
      </c>
      <c r="BM314">
        <f>IF(예비비!$R314="OK",SUMIFS(예비비!$O$430:$O$729,예비비!$B$430:$B$729,예비비!$A314,예비비!$E$430:$E$729,"&lt;"&amp;EDATE(BM$99,1),예비비!$F$430:$F$729,"결제대금비")+MAX(0,IF(예비비!$D314&lt;EDATE(BM$99,1),예비비!$E314,0)-SUMIFS(예비비!$O$430:$O$729,예비비!$B$430:$B$729,예비비!$A314,예비비!$E$430:$E$729,"&lt;"&amp;EDATE(BM$99,1))),0)</f>
        <v>0</v>
      </c>
      <c r="BN314">
        <f>IF(예비비!$R314="OK",SUMIFS(예비비!$O$430:$O$729,예비비!$B$430:$B$729,예비비!$A314,예비비!$E$430:$E$729,"&lt;"&amp;EDATE(BN$99,1),예비비!$F$430:$F$729,"결제대금비")+MAX(0,IF(예비비!$D314&lt;EDATE(BN$99,1),예비비!$E314,0)-SUMIFS(예비비!$O$430:$O$729,예비비!$B$430:$B$729,예비비!$A314,예비비!$E$430:$E$729,"&lt;"&amp;EDATE(BN$99,1))),0)</f>
        <v>0</v>
      </c>
      <c r="BO314">
        <f>IF(예비비!$R314="OK",SUMIFS(예비비!$O$430:$O$729,예비비!$B$430:$B$729,예비비!$A314,예비비!$E$430:$E$729,"&lt;"&amp;EDATE(BO$99,1),예비비!$F$430:$F$729,"결제대금비")+MAX(0,IF(예비비!$D314&lt;EDATE(BO$99,1),예비비!$E314,0)-SUMIFS(예비비!$O$430:$O$729,예비비!$B$430:$B$729,예비비!$A314,예비비!$E$430:$E$729,"&lt;"&amp;EDATE(BO$99,1))),0)</f>
        <v>0</v>
      </c>
      <c r="BP314">
        <f>IF(예비비!$R314="OK",SUMIFS(예비비!$O$430:$O$729,예비비!$B$430:$B$729,예비비!$A314,예비비!$E$430:$E$729,"&lt;"&amp;EDATE(BP$99,1),예비비!$F$430:$F$729,"결제대금비")+MAX(0,IF(예비비!$D314&lt;EDATE(BP$99,1),예비비!$E314,0)-SUMIFS(예비비!$O$430:$O$729,예비비!$B$430:$B$729,예비비!$A314,예비비!$E$430:$E$729,"&lt;"&amp;EDATE(BP$99,1))),0)</f>
        <v>0</v>
      </c>
      <c r="BQ314">
        <f>IF(예비비!$R314="OK",SUMIFS(예비비!$O$430:$O$729,예비비!$B$430:$B$729,예비비!$A314,예비비!$E$430:$E$729,"&lt;"&amp;EDATE(BQ$99,1),예비비!$F$430:$F$729,"결제대금비")+MAX(0,IF(예비비!$D314&lt;EDATE(BQ$99,1),예비비!$E314,0)-SUMIFS(예비비!$O$430:$O$729,예비비!$B$430:$B$729,예비비!$A314,예비비!$E$430:$E$729,"&lt;"&amp;EDATE(BQ$99,1))),0)</f>
        <v>0</v>
      </c>
      <c r="BR314">
        <f>IF(예비비!$R314="OK",SUMIFS(예비비!$O$430:$O$729,예비비!$B$430:$B$729,예비비!$A314,예비비!$E$430:$E$729,"&lt;"&amp;EDATE(BR$99,1),예비비!$F$430:$F$729,"결제대금비")+MAX(0,IF(예비비!$D314&lt;EDATE(BR$99,1),예비비!$E314,0)-SUMIFS(예비비!$O$430:$O$729,예비비!$B$430:$B$729,예비비!$A314,예비비!$E$430:$E$729,"&lt;"&amp;EDATE(BR$99,1))),0)</f>
        <v>0</v>
      </c>
      <c r="BS314">
        <f>IF(예비비!$R314="OK",SUMIFS(예비비!$O$430:$O$729,예비비!$B$430:$B$729,예비비!$A314,예비비!$E$430:$E$729,"&lt;"&amp;EDATE(BS$99,1),예비비!$F$430:$F$729,"결제대금비")+MAX(0,IF(예비비!$D314&lt;EDATE(BS$99,1),예비비!$E314,0)-SUMIFS(예비비!$O$430:$O$729,예비비!$B$430:$B$729,예비비!$A314,예비비!$E$430:$E$729,"&lt;"&amp;EDATE(BS$99,1))),0)</f>
        <v>0</v>
      </c>
      <c r="BT314">
        <f>IF(예비비!$R314="OK",SUMIFS(예비비!$O$430:$O$729,예비비!$B$430:$B$729,예비비!$A314,예비비!$E$430:$E$729,"&lt;"&amp;EDATE(BT$99,1),예비비!$F$430:$F$729,"결제대금비")+MAX(0,IF(예비비!$D314&lt;EDATE(BT$99,1),예비비!$E314,0)-SUMIFS(예비비!$O$430:$O$729,예비비!$B$430:$B$729,예비비!$A314,예비비!$E$430:$E$729,"&lt;"&amp;EDATE(BT$99,1))),0)</f>
        <v>0</v>
      </c>
      <c r="BU314">
        <f>IF(예비비!$R314="OK",SUMIFS(예비비!$O$430:$O$729,예비비!$B$430:$B$729,예비비!$A314,예비비!$E$430:$E$729,"&lt;"&amp;EDATE(BU$99,1),예비비!$F$430:$F$729,"결제대금비")+MAX(0,IF(예비비!$D314&lt;EDATE(BU$99,1),예비비!$E314,0)-SUMIFS(예비비!$O$430:$O$729,예비비!$B$430:$B$729,예비비!$A314,예비비!$E$430:$E$729,"&lt;"&amp;EDATE(BU$99,1))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  <c r="BI315">
        <f>IF(예비비!$R315="OK",SUMIFS(예비비!$O$430:$O$729,예비비!$B$430:$B$729,예비비!$A315,예비비!$E$430:$E$729,"&lt;"&amp;EDATE(BI$99,1),예비비!$F$430:$F$729,"결제대금비")+MAX(0,IF(예비비!$D315&lt;EDATE(BI$99,1),예비비!$E315,0)-SUMIFS(예비비!$O$430:$O$729,예비비!$B$430:$B$729,예비비!$A315,예비비!$E$430:$E$729,"&lt;"&amp;EDATE(BI$99,1))),0)</f>
        <v>0</v>
      </c>
      <c r="BJ315">
        <f>IF(예비비!$R315="OK",SUMIFS(예비비!$O$430:$O$729,예비비!$B$430:$B$729,예비비!$A315,예비비!$E$430:$E$729,"&lt;"&amp;EDATE(BJ$99,1),예비비!$F$430:$F$729,"결제대금비")+MAX(0,IF(예비비!$D315&lt;EDATE(BJ$99,1),예비비!$E315,0)-SUMIFS(예비비!$O$430:$O$729,예비비!$B$430:$B$729,예비비!$A315,예비비!$E$430:$E$729,"&lt;"&amp;EDATE(BJ$99,1))),0)</f>
        <v>0</v>
      </c>
      <c r="BK315">
        <f>IF(예비비!$R315="OK",SUMIFS(예비비!$O$430:$O$729,예비비!$B$430:$B$729,예비비!$A315,예비비!$E$430:$E$729,"&lt;"&amp;EDATE(BK$99,1),예비비!$F$430:$F$729,"결제대금비")+MAX(0,IF(예비비!$D315&lt;EDATE(BK$99,1),예비비!$E315,0)-SUMIFS(예비비!$O$430:$O$729,예비비!$B$430:$B$729,예비비!$A315,예비비!$E$430:$E$729,"&lt;"&amp;EDATE(BK$99,1))),0)</f>
        <v>0</v>
      </c>
      <c r="BL315">
        <f>IF(예비비!$R315="OK",SUMIFS(예비비!$O$430:$O$729,예비비!$B$430:$B$729,예비비!$A315,예비비!$E$430:$E$729,"&lt;"&amp;EDATE(BL$99,1),예비비!$F$430:$F$729,"결제대금비")+MAX(0,IF(예비비!$D315&lt;EDATE(BL$99,1),예비비!$E315,0)-SUMIFS(예비비!$O$430:$O$729,예비비!$B$430:$B$729,예비비!$A315,예비비!$E$430:$E$729,"&lt;"&amp;EDATE(BL$99,1))),0)</f>
        <v>0</v>
      </c>
      <c r="BM315">
        <f>IF(예비비!$R315="OK",SUMIFS(예비비!$O$430:$O$729,예비비!$B$430:$B$729,예비비!$A315,예비비!$E$430:$E$729,"&lt;"&amp;EDATE(BM$99,1),예비비!$F$430:$F$729,"결제대금비")+MAX(0,IF(예비비!$D315&lt;EDATE(BM$99,1),예비비!$E315,0)-SUMIFS(예비비!$O$430:$O$729,예비비!$B$430:$B$729,예비비!$A315,예비비!$E$430:$E$729,"&lt;"&amp;EDATE(BM$99,1))),0)</f>
        <v>0</v>
      </c>
      <c r="BN315">
        <f>IF(예비비!$R315="OK",SUMIFS(예비비!$O$430:$O$729,예비비!$B$430:$B$729,예비비!$A315,예비비!$E$430:$E$729,"&lt;"&amp;EDATE(BN$99,1),예비비!$F$430:$F$729,"결제대금비")+MAX(0,IF(예비비!$D315&lt;EDATE(BN$99,1),예비비!$E315,0)-SUMIFS(예비비!$O$430:$O$729,예비비!$B$430:$B$729,예비비!$A315,예비비!$E$430:$E$729,"&lt;"&amp;EDATE(BN$99,1))),0)</f>
        <v>0</v>
      </c>
      <c r="BO315">
        <f>IF(예비비!$R315="OK",SUMIFS(예비비!$O$430:$O$729,예비비!$B$430:$B$729,예비비!$A315,예비비!$E$430:$E$729,"&lt;"&amp;EDATE(BO$99,1),예비비!$F$430:$F$729,"결제대금비")+MAX(0,IF(예비비!$D315&lt;EDATE(BO$99,1),예비비!$E315,0)-SUMIFS(예비비!$O$430:$O$729,예비비!$B$430:$B$729,예비비!$A315,예비비!$E$430:$E$729,"&lt;"&amp;EDATE(BO$99,1))),0)</f>
        <v>0</v>
      </c>
      <c r="BP315">
        <f>IF(예비비!$R315="OK",SUMIFS(예비비!$O$430:$O$729,예비비!$B$430:$B$729,예비비!$A315,예비비!$E$430:$E$729,"&lt;"&amp;EDATE(BP$99,1),예비비!$F$430:$F$729,"결제대금비")+MAX(0,IF(예비비!$D315&lt;EDATE(BP$99,1),예비비!$E315,0)-SUMIFS(예비비!$O$430:$O$729,예비비!$B$430:$B$729,예비비!$A315,예비비!$E$430:$E$729,"&lt;"&amp;EDATE(BP$99,1))),0)</f>
        <v>0</v>
      </c>
      <c r="BQ315">
        <f>IF(예비비!$R315="OK",SUMIFS(예비비!$O$430:$O$729,예비비!$B$430:$B$729,예비비!$A315,예비비!$E$430:$E$729,"&lt;"&amp;EDATE(BQ$99,1),예비비!$F$430:$F$729,"결제대금비")+MAX(0,IF(예비비!$D315&lt;EDATE(BQ$99,1),예비비!$E315,0)-SUMIFS(예비비!$O$430:$O$729,예비비!$B$430:$B$729,예비비!$A315,예비비!$E$430:$E$729,"&lt;"&amp;EDATE(BQ$99,1))),0)</f>
        <v>0</v>
      </c>
      <c r="BR315">
        <f>IF(예비비!$R315="OK",SUMIFS(예비비!$O$430:$O$729,예비비!$B$430:$B$729,예비비!$A315,예비비!$E$430:$E$729,"&lt;"&amp;EDATE(BR$99,1),예비비!$F$430:$F$729,"결제대금비")+MAX(0,IF(예비비!$D315&lt;EDATE(BR$99,1),예비비!$E315,0)-SUMIFS(예비비!$O$430:$O$729,예비비!$B$430:$B$729,예비비!$A315,예비비!$E$430:$E$729,"&lt;"&amp;EDATE(BR$99,1))),0)</f>
        <v>0</v>
      </c>
      <c r="BS315">
        <f>IF(예비비!$R315="OK",SUMIFS(예비비!$O$430:$O$729,예비비!$B$430:$B$729,예비비!$A315,예비비!$E$430:$E$729,"&lt;"&amp;EDATE(BS$99,1),예비비!$F$430:$F$729,"결제대금비")+MAX(0,IF(예비비!$D315&lt;EDATE(BS$99,1),예비비!$E315,0)-SUMIFS(예비비!$O$430:$O$729,예비비!$B$430:$B$729,예비비!$A315,예비비!$E$430:$E$729,"&lt;"&amp;EDATE(BS$99,1))),0)</f>
        <v>0</v>
      </c>
      <c r="BT315">
        <f>IF(예비비!$R315="OK",SUMIFS(예비비!$O$430:$O$729,예비비!$B$430:$B$729,예비비!$A315,예비비!$E$430:$E$729,"&lt;"&amp;EDATE(BT$99,1),예비비!$F$430:$F$729,"결제대금비")+MAX(0,IF(예비비!$D315&lt;EDATE(BT$99,1),예비비!$E315,0)-SUMIFS(예비비!$O$430:$O$729,예비비!$B$430:$B$729,예비비!$A315,예비비!$E$430:$E$729,"&lt;"&amp;EDATE(BT$99,1))),0)</f>
        <v>0</v>
      </c>
      <c r="BU315">
        <f>IF(예비비!$R315="OK",SUMIFS(예비비!$O$430:$O$729,예비비!$B$430:$B$729,예비비!$A315,예비비!$E$430:$E$729,"&lt;"&amp;EDATE(BU$99,1),예비비!$F$430:$F$729,"결제대금비")+MAX(0,IF(예비비!$D315&lt;EDATE(BU$99,1),예비비!$E315,0)-SUMIFS(예비비!$O$430:$O$729,예비비!$B$430:$B$729,예비비!$A315,예비비!$E$430:$E$729,"&lt;"&amp;EDATE(BU$99,1))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  <c r="BI316">
        <f>IF(예비비!$R316="OK",SUMIFS(예비비!$O$430:$O$729,예비비!$B$430:$B$729,예비비!$A316,예비비!$E$430:$E$729,"&lt;"&amp;EDATE(BI$99,1),예비비!$F$430:$F$729,"결제대금비")+MAX(0,IF(예비비!$D316&lt;EDATE(BI$99,1),예비비!$E316,0)-SUMIFS(예비비!$O$430:$O$729,예비비!$B$430:$B$729,예비비!$A316,예비비!$E$430:$E$729,"&lt;"&amp;EDATE(BI$99,1))),0)</f>
        <v>0</v>
      </c>
      <c r="BJ316">
        <f>IF(예비비!$R316="OK",SUMIFS(예비비!$O$430:$O$729,예비비!$B$430:$B$729,예비비!$A316,예비비!$E$430:$E$729,"&lt;"&amp;EDATE(BJ$99,1),예비비!$F$430:$F$729,"결제대금비")+MAX(0,IF(예비비!$D316&lt;EDATE(BJ$99,1),예비비!$E316,0)-SUMIFS(예비비!$O$430:$O$729,예비비!$B$430:$B$729,예비비!$A316,예비비!$E$430:$E$729,"&lt;"&amp;EDATE(BJ$99,1))),0)</f>
        <v>0</v>
      </c>
      <c r="BK316">
        <f>IF(예비비!$R316="OK",SUMIFS(예비비!$O$430:$O$729,예비비!$B$430:$B$729,예비비!$A316,예비비!$E$430:$E$729,"&lt;"&amp;EDATE(BK$99,1),예비비!$F$430:$F$729,"결제대금비")+MAX(0,IF(예비비!$D316&lt;EDATE(BK$99,1),예비비!$E316,0)-SUMIFS(예비비!$O$430:$O$729,예비비!$B$430:$B$729,예비비!$A316,예비비!$E$430:$E$729,"&lt;"&amp;EDATE(BK$99,1))),0)</f>
        <v>0</v>
      </c>
      <c r="BL316">
        <f>IF(예비비!$R316="OK",SUMIFS(예비비!$O$430:$O$729,예비비!$B$430:$B$729,예비비!$A316,예비비!$E$430:$E$729,"&lt;"&amp;EDATE(BL$99,1),예비비!$F$430:$F$729,"결제대금비")+MAX(0,IF(예비비!$D316&lt;EDATE(BL$99,1),예비비!$E316,0)-SUMIFS(예비비!$O$430:$O$729,예비비!$B$430:$B$729,예비비!$A316,예비비!$E$430:$E$729,"&lt;"&amp;EDATE(BL$99,1))),0)</f>
        <v>0</v>
      </c>
      <c r="BM316">
        <f>IF(예비비!$R316="OK",SUMIFS(예비비!$O$430:$O$729,예비비!$B$430:$B$729,예비비!$A316,예비비!$E$430:$E$729,"&lt;"&amp;EDATE(BM$99,1),예비비!$F$430:$F$729,"결제대금비")+MAX(0,IF(예비비!$D316&lt;EDATE(BM$99,1),예비비!$E316,0)-SUMIFS(예비비!$O$430:$O$729,예비비!$B$430:$B$729,예비비!$A316,예비비!$E$430:$E$729,"&lt;"&amp;EDATE(BM$99,1))),0)</f>
        <v>0</v>
      </c>
      <c r="BN316">
        <f>IF(예비비!$R316="OK",SUMIFS(예비비!$O$430:$O$729,예비비!$B$430:$B$729,예비비!$A316,예비비!$E$430:$E$729,"&lt;"&amp;EDATE(BN$99,1),예비비!$F$430:$F$729,"결제대금비")+MAX(0,IF(예비비!$D316&lt;EDATE(BN$99,1),예비비!$E316,0)-SUMIFS(예비비!$O$430:$O$729,예비비!$B$430:$B$729,예비비!$A316,예비비!$E$430:$E$729,"&lt;"&amp;EDATE(BN$99,1))),0)</f>
        <v>0</v>
      </c>
      <c r="BO316">
        <f>IF(예비비!$R316="OK",SUMIFS(예비비!$O$430:$O$729,예비비!$B$430:$B$729,예비비!$A316,예비비!$E$430:$E$729,"&lt;"&amp;EDATE(BO$99,1),예비비!$F$430:$F$729,"결제대금비")+MAX(0,IF(예비비!$D316&lt;EDATE(BO$99,1),예비비!$E316,0)-SUMIFS(예비비!$O$430:$O$729,예비비!$B$430:$B$729,예비비!$A316,예비비!$E$430:$E$729,"&lt;"&amp;EDATE(BO$99,1))),0)</f>
        <v>0</v>
      </c>
      <c r="BP316">
        <f>IF(예비비!$R316="OK",SUMIFS(예비비!$O$430:$O$729,예비비!$B$430:$B$729,예비비!$A316,예비비!$E$430:$E$729,"&lt;"&amp;EDATE(BP$99,1),예비비!$F$430:$F$729,"결제대금비")+MAX(0,IF(예비비!$D316&lt;EDATE(BP$99,1),예비비!$E316,0)-SUMIFS(예비비!$O$430:$O$729,예비비!$B$430:$B$729,예비비!$A316,예비비!$E$430:$E$729,"&lt;"&amp;EDATE(BP$99,1))),0)</f>
        <v>0</v>
      </c>
      <c r="BQ316">
        <f>IF(예비비!$R316="OK",SUMIFS(예비비!$O$430:$O$729,예비비!$B$430:$B$729,예비비!$A316,예비비!$E$430:$E$729,"&lt;"&amp;EDATE(BQ$99,1),예비비!$F$430:$F$729,"결제대금비")+MAX(0,IF(예비비!$D316&lt;EDATE(BQ$99,1),예비비!$E316,0)-SUMIFS(예비비!$O$430:$O$729,예비비!$B$430:$B$729,예비비!$A316,예비비!$E$430:$E$729,"&lt;"&amp;EDATE(BQ$99,1))),0)</f>
        <v>0</v>
      </c>
      <c r="BR316">
        <f>IF(예비비!$R316="OK",SUMIFS(예비비!$O$430:$O$729,예비비!$B$430:$B$729,예비비!$A316,예비비!$E$430:$E$729,"&lt;"&amp;EDATE(BR$99,1),예비비!$F$430:$F$729,"결제대금비")+MAX(0,IF(예비비!$D316&lt;EDATE(BR$99,1),예비비!$E316,0)-SUMIFS(예비비!$O$430:$O$729,예비비!$B$430:$B$729,예비비!$A316,예비비!$E$430:$E$729,"&lt;"&amp;EDATE(BR$99,1))),0)</f>
        <v>0</v>
      </c>
      <c r="BS316">
        <f>IF(예비비!$R316="OK",SUMIFS(예비비!$O$430:$O$729,예비비!$B$430:$B$729,예비비!$A316,예비비!$E$430:$E$729,"&lt;"&amp;EDATE(BS$99,1),예비비!$F$430:$F$729,"결제대금비")+MAX(0,IF(예비비!$D316&lt;EDATE(BS$99,1),예비비!$E316,0)-SUMIFS(예비비!$O$430:$O$729,예비비!$B$430:$B$729,예비비!$A316,예비비!$E$430:$E$729,"&lt;"&amp;EDATE(BS$99,1))),0)</f>
        <v>0</v>
      </c>
      <c r="BT316">
        <f>IF(예비비!$R316="OK",SUMIFS(예비비!$O$430:$O$729,예비비!$B$430:$B$729,예비비!$A316,예비비!$E$430:$E$729,"&lt;"&amp;EDATE(BT$99,1),예비비!$F$430:$F$729,"결제대금비")+MAX(0,IF(예비비!$D316&lt;EDATE(BT$99,1),예비비!$E316,0)-SUMIFS(예비비!$O$430:$O$729,예비비!$B$430:$B$729,예비비!$A316,예비비!$E$430:$E$729,"&lt;"&amp;EDATE(BT$99,1))),0)</f>
        <v>0</v>
      </c>
      <c r="BU316">
        <f>IF(예비비!$R316="OK",SUMIFS(예비비!$O$430:$O$729,예비비!$B$430:$B$729,예비비!$A316,예비비!$E$430:$E$729,"&lt;"&amp;EDATE(BU$99,1),예비비!$F$430:$F$729,"결제대금비")+MAX(0,IF(예비비!$D316&lt;EDATE(BU$99,1),예비비!$E316,0)-SUMIFS(예비비!$O$430:$O$729,예비비!$B$430:$B$729,예비비!$A316,예비비!$E$430:$E$729,"&lt;"&amp;EDATE(BU$99,1))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  <c r="BI317">
        <f>IF(예비비!$R317="OK",SUMIFS(예비비!$O$430:$O$729,예비비!$B$430:$B$729,예비비!$A317,예비비!$E$430:$E$729,"&lt;"&amp;EDATE(BI$99,1),예비비!$F$430:$F$729,"결제대금비")+MAX(0,IF(예비비!$D317&lt;EDATE(BI$99,1),예비비!$E317,0)-SUMIFS(예비비!$O$430:$O$729,예비비!$B$430:$B$729,예비비!$A317,예비비!$E$430:$E$729,"&lt;"&amp;EDATE(BI$99,1))),0)</f>
        <v>0</v>
      </c>
      <c r="BJ317">
        <f>IF(예비비!$R317="OK",SUMIFS(예비비!$O$430:$O$729,예비비!$B$430:$B$729,예비비!$A317,예비비!$E$430:$E$729,"&lt;"&amp;EDATE(BJ$99,1),예비비!$F$430:$F$729,"결제대금비")+MAX(0,IF(예비비!$D317&lt;EDATE(BJ$99,1),예비비!$E317,0)-SUMIFS(예비비!$O$430:$O$729,예비비!$B$430:$B$729,예비비!$A317,예비비!$E$430:$E$729,"&lt;"&amp;EDATE(BJ$99,1))),0)</f>
        <v>0</v>
      </c>
      <c r="BK317">
        <f>IF(예비비!$R317="OK",SUMIFS(예비비!$O$430:$O$729,예비비!$B$430:$B$729,예비비!$A317,예비비!$E$430:$E$729,"&lt;"&amp;EDATE(BK$99,1),예비비!$F$430:$F$729,"결제대금비")+MAX(0,IF(예비비!$D317&lt;EDATE(BK$99,1),예비비!$E317,0)-SUMIFS(예비비!$O$430:$O$729,예비비!$B$430:$B$729,예비비!$A317,예비비!$E$430:$E$729,"&lt;"&amp;EDATE(BK$99,1))),0)</f>
        <v>0</v>
      </c>
      <c r="BL317">
        <f>IF(예비비!$R317="OK",SUMIFS(예비비!$O$430:$O$729,예비비!$B$430:$B$729,예비비!$A317,예비비!$E$430:$E$729,"&lt;"&amp;EDATE(BL$99,1),예비비!$F$430:$F$729,"결제대금비")+MAX(0,IF(예비비!$D317&lt;EDATE(BL$99,1),예비비!$E317,0)-SUMIFS(예비비!$O$430:$O$729,예비비!$B$430:$B$729,예비비!$A317,예비비!$E$430:$E$729,"&lt;"&amp;EDATE(BL$99,1))),0)</f>
        <v>0</v>
      </c>
      <c r="BM317">
        <f>IF(예비비!$R317="OK",SUMIFS(예비비!$O$430:$O$729,예비비!$B$430:$B$729,예비비!$A317,예비비!$E$430:$E$729,"&lt;"&amp;EDATE(BM$99,1),예비비!$F$430:$F$729,"결제대금비")+MAX(0,IF(예비비!$D317&lt;EDATE(BM$99,1),예비비!$E317,0)-SUMIFS(예비비!$O$430:$O$729,예비비!$B$430:$B$729,예비비!$A317,예비비!$E$430:$E$729,"&lt;"&amp;EDATE(BM$99,1))),0)</f>
        <v>0</v>
      </c>
      <c r="BN317">
        <f>IF(예비비!$R317="OK",SUMIFS(예비비!$O$430:$O$729,예비비!$B$430:$B$729,예비비!$A317,예비비!$E$430:$E$729,"&lt;"&amp;EDATE(BN$99,1),예비비!$F$430:$F$729,"결제대금비")+MAX(0,IF(예비비!$D317&lt;EDATE(BN$99,1),예비비!$E317,0)-SUMIFS(예비비!$O$430:$O$729,예비비!$B$430:$B$729,예비비!$A317,예비비!$E$430:$E$729,"&lt;"&amp;EDATE(BN$99,1))),0)</f>
        <v>0</v>
      </c>
      <c r="BO317">
        <f>IF(예비비!$R317="OK",SUMIFS(예비비!$O$430:$O$729,예비비!$B$430:$B$729,예비비!$A317,예비비!$E$430:$E$729,"&lt;"&amp;EDATE(BO$99,1),예비비!$F$430:$F$729,"결제대금비")+MAX(0,IF(예비비!$D317&lt;EDATE(BO$99,1),예비비!$E317,0)-SUMIFS(예비비!$O$430:$O$729,예비비!$B$430:$B$729,예비비!$A317,예비비!$E$430:$E$729,"&lt;"&amp;EDATE(BO$99,1))),0)</f>
        <v>0</v>
      </c>
      <c r="BP317">
        <f>IF(예비비!$R317="OK",SUMIFS(예비비!$O$430:$O$729,예비비!$B$430:$B$729,예비비!$A317,예비비!$E$430:$E$729,"&lt;"&amp;EDATE(BP$99,1),예비비!$F$430:$F$729,"결제대금비")+MAX(0,IF(예비비!$D317&lt;EDATE(BP$99,1),예비비!$E317,0)-SUMIFS(예비비!$O$430:$O$729,예비비!$B$430:$B$729,예비비!$A317,예비비!$E$430:$E$729,"&lt;"&amp;EDATE(BP$99,1))),0)</f>
        <v>0</v>
      </c>
      <c r="BQ317">
        <f>IF(예비비!$R317="OK",SUMIFS(예비비!$O$430:$O$729,예비비!$B$430:$B$729,예비비!$A317,예비비!$E$430:$E$729,"&lt;"&amp;EDATE(BQ$99,1),예비비!$F$430:$F$729,"결제대금비")+MAX(0,IF(예비비!$D317&lt;EDATE(BQ$99,1),예비비!$E317,0)-SUMIFS(예비비!$O$430:$O$729,예비비!$B$430:$B$729,예비비!$A317,예비비!$E$430:$E$729,"&lt;"&amp;EDATE(BQ$99,1))),0)</f>
        <v>0</v>
      </c>
      <c r="BR317">
        <f>IF(예비비!$R317="OK",SUMIFS(예비비!$O$430:$O$729,예비비!$B$430:$B$729,예비비!$A317,예비비!$E$430:$E$729,"&lt;"&amp;EDATE(BR$99,1),예비비!$F$430:$F$729,"결제대금비")+MAX(0,IF(예비비!$D317&lt;EDATE(BR$99,1),예비비!$E317,0)-SUMIFS(예비비!$O$430:$O$729,예비비!$B$430:$B$729,예비비!$A317,예비비!$E$430:$E$729,"&lt;"&amp;EDATE(BR$99,1))),0)</f>
        <v>0</v>
      </c>
      <c r="BS317">
        <f>IF(예비비!$R317="OK",SUMIFS(예비비!$O$430:$O$729,예비비!$B$430:$B$729,예비비!$A317,예비비!$E$430:$E$729,"&lt;"&amp;EDATE(BS$99,1),예비비!$F$430:$F$729,"결제대금비")+MAX(0,IF(예비비!$D317&lt;EDATE(BS$99,1),예비비!$E317,0)-SUMIFS(예비비!$O$430:$O$729,예비비!$B$430:$B$729,예비비!$A317,예비비!$E$430:$E$729,"&lt;"&amp;EDATE(BS$99,1))),0)</f>
        <v>0</v>
      </c>
      <c r="BT317">
        <f>IF(예비비!$R317="OK",SUMIFS(예비비!$O$430:$O$729,예비비!$B$430:$B$729,예비비!$A317,예비비!$E$430:$E$729,"&lt;"&amp;EDATE(BT$99,1),예비비!$F$430:$F$729,"결제대금비")+MAX(0,IF(예비비!$D317&lt;EDATE(BT$99,1),예비비!$E317,0)-SUMIFS(예비비!$O$430:$O$729,예비비!$B$430:$B$729,예비비!$A317,예비비!$E$430:$E$729,"&lt;"&amp;EDATE(BT$99,1))),0)</f>
        <v>0</v>
      </c>
      <c r="BU317">
        <f>IF(예비비!$R317="OK",SUMIFS(예비비!$O$430:$O$729,예비비!$B$430:$B$729,예비비!$A317,예비비!$E$430:$E$729,"&lt;"&amp;EDATE(BU$99,1),예비비!$F$430:$F$729,"결제대금비")+MAX(0,IF(예비비!$D317&lt;EDATE(BU$99,1),예비비!$E317,0)-SUMIFS(예비비!$O$430:$O$729,예비비!$B$430:$B$729,예비비!$A317,예비비!$E$430:$E$729,"&lt;"&amp;EDATE(BU$99,1))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  <c r="BI318">
        <f>IF(예비비!$R318="OK",SUMIFS(예비비!$O$430:$O$729,예비비!$B$430:$B$729,예비비!$A318,예비비!$E$430:$E$729,"&lt;"&amp;EDATE(BI$99,1),예비비!$F$430:$F$729,"결제대금비")+MAX(0,IF(예비비!$D318&lt;EDATE(BI$99,1),예비비!$E318,0)-SUMIFS(예비비!$O$430:$O$729,예비비!$B$430:$B$729,예비비!$A318,예비비!$E$430:$E$729,"&lt;"&amp;EDATE(BI$99,1))),0)</f>
        <v>0</v>
      </c>
      <c r="BJ318">
        <f>IF(예비비!$R318="OK",SUMIFS(예비비!$O$430:$O$729,예비비!$B$430:$B$729,예비비!$A318,예비비!$E$430:$E$729,"&lt;"&amp;EDATE(BJ$99,1),예비비!$F$430:$F$729,"결제대금비")+MAX(0,IF(예비비!$D318&lt;EDATE(BJ$99,1),예비비!$E318,0)-SUMIFS(예비비!$O$430:$O$729,예비비!$B$430:$B$729,예비비!$A318,예비비!$E$430:$E$729,"&lt;"&amp;EDATE(BJ$99,1))),0)</f>
        <v>0</v>
      </c>
      <c r="BK318">
        <f>IF(예비비!$R318="OK",SUMIFS(예비비!$O$430:$O$729,예비비!$B$430:$B$729,예비비!$A318,예비비!$E$430:$E$729,"&lt;"&amp;EDATE(BK$99,1),예비비!$F$430:$F$729,"결제대금비")+MAX(0,IF(예비비!$D318&lt;EDATE(BK$99,1),예비비!$E318,0)-SUMIFS(예비비!$O$430:$O$729,예비비!$B$430:$B$729,예비비!$A318,예비비!$E$430:$E$729,"&lt;"&amp;EDATE(BK$99,1))),0)</f>
        <v>0</v>
      </c>
      <c r="BL318">
        <f>IF(예비비!$R318="OK",SUMIFS(예비비!$O$430:$O$729,예비비!$B$430:$B$729,예비비!$A318,예비비!$E$430:$E$729,"&lt;"&amp;EDATE(BL$99,1),예비비!$F$430:$F$729,"결제대금비")+MAX(0,IF(예비비!$D318&lt;EDATE(BL$99,1),예비비!$E318,0)-SUMIFS(예비비!$O$430:$O$729,예비비!$B$430:$B$729,예비비!$A318,예비비!$E$430:$E$729,"&lt;"&amp;EDATE(BL$99,1))),0)</f>
        <v>0</v>
      </c>
      <c r="BM318">
        <f>IF(예비비!$R318="OK",SUMIFS(예비비!$O$430:$O$729,예비비!$B$430:$B$729,예비비!$A318,예비비!$E$430:$E$729,"&lt;"&amp;EDATE(BM$99,1),예비비!$F$430:$F$729,"결제대금비")+MAX(0,IF(예비비!$D318&lt;EDATE(BM$99,1),예비비!$E318,0)-SUMIFS(예비비!$O$430:$O$729,예비비!$B$430:$B$729,예비비!$A318,예비비!$E$430:$E$729,"&lt;"&amp;EDATE(BM$99,1))),0)</f>
        <v>0</v>
      </c>
      <c r="BN318">
        <f>IF(예비비!$R318="OK",SUMIFS(예비비!$O$430:$O$729,예비비!$B$430:$B$729,예비비!$A318,예비비!$E$430:$E$729,"&lt;"&amp;EDATE(BN$99,1),예비비!$F$430:$F$729,"결제대금비")+MAX(0,IF(예비비!$D318&lt;EDATE(BN$99,1),예비비!$E318,0)-SUMIFS(예비비!$O$430:$O$729,예비비!$B$430:$B$729,예비비!$A318,예비비!$E$430:$E$729,"&lt;"&amp;EDATE(BN$99,1))),0)</f>
        <v>0</v>
      </c>
      <c r="BO318">
        <f>IF(예비비!$R318="OK",SUMIFS(예비비!$O$430:$O$729,예비비!$B$430:$B$729,예비비!$A318,예비비!$E$430:$E$729,"&lt;"&amp;EDATE(BO$99,1),예비비!$F$430:$F$729,"결제대금비")+MAX(0,IF(예비비!$D318&lt;EDATE(BO$99,1),예비비!$E318,0)-SUMIFS(예비비!$O$430:$O$729,예비비!$B$430:$B$729,예비비!$A318,예비비!$E$430:$E$729,"&lt;"&amp;EDATE(BO$99,1))),0)</f>
        <v>0</v>
      </c>
      <c r="BP318">
        <f>IF(예비비!$R318="OK",SUMIFS(예비비!$O$430:$O$729,예비비!$B$430:$B$729,예비비!$A318,예비비!$E$430:$E$729,"&lt;"&amp;EDATE(BP$99,1),예비비!$F$430:$F$729,"결제대금비")+MAX(0,IF(예비비!$D318&lt;EDATE(BP$99,1),예비비!$E318,0)-SUMIFS(예비비!$O$430:$O$729,예비비!$B$430:$B$729,예비비!$A318,예비비!$E$430:$E$729,"&lt;"&amp;EDATE(BP$99,1))),0)</f>
        <v>0</v>
      </c>
      <c r="BQ318">
        <f>IF(예비비!$R318="OK",SUMIFS(예비비!$O$430:$O$729,예비비!$B$430:$B$729,예비비!$A318,예비비!$E$430:$E$729,"&lt;"&amp;EDATE(BQ$99,1),예비비!$F$430:$F$729,"결제대금비")+MAX(0,IF(예비비!$D318&lt;EDATE(BQ$99,1),예비비!$E318,0)-SUMIFS(예비비!$O$430:$O$729,예비비!$B$430:$B$729,예비비!$A318,예비비!$E$430:$E$729,"&lt;"&amp;EDATE(BQ$99,1))),0)</f>
        <v>0</v>
      </c>
      <c r="BR318">
        <f>IF(예비비!$R318="OK",SUMIFS(예비비!$O$430:$O$729,예비비!$B$430:$B$729,예비비!$A318,예비비!$E$430:$E$729,"&lt;"&amp;EDATE(BR$99,1),예비비!$F$430:$F$729,"결제대금비")+MAX(0,IF(예비비!$D318&lt;EDATE(BR$99,1),예비비!$E318,0)-SUMIFS(예비비!$O$430:$O$729,예비비!$B$430:$B$729,예비비!$A318,예비비!$E$430:$E$729,"&lt;"&amp;EDATE(BR$99,1))),0)</f>
        <v>0</v>
      </c>
      <c r="BS318">
        <f>IF(예비비!$R318="OK",SUMIFS(예비비!$O$430:$O$729,예비비!$B$430:$B$729,예비비!$A318,예비비!$E$430:$E$729,"&lt;"&amp;EDATE(BS$99,1),예비비!$F$430:$F$729,"결제대금비")+MAX(0,IF(예비비!$D318&lt;EDATE(BS$99,1),예비비!$E318,0)-SUMIFS(예비비!$O$430:$O$729,예비비!$B$430:$B$729,예비비!$A318,예비비!$E$430:$E$729,"&lt;"&amp;EDATE(BS$99,1))),0)</f>
        <v>0</v>
      </c>
      <c r="BT318">
        <f>IF(예비비!$R318="OK",SUMIFS(예비비!$O$430:$O$729,예비비!$B$430:$B$729,예비비!$A318,예비비!$E$430:$E$729,"&lt;"&amp;EDATE(BT$99,1),예비비!$F$430:$F$729,"결제대금비")+MAX(0,IF(예비비!$D318&lt;EDATE(BT$99,1),예비비!$E318,0)-SUMIFS(예비비!$O$430:$O$729,예비비!$B$430:$B$729,예비비!$A318,예비비!$E$430:$E$729,"&lt;"&amp;EDATE(BT$99,1))),0)</f>
        <v>0</v>
      </c>
      <c r="BU318">
        <f>IF(예비비!$R318="OK",SUMIFS(예비비!$O$430:$O$729,예비비!$B$430:$B$729,예비비!$A318,예비비!$E$430:$E$729,"&lt;"&amp;EDATE(BU$99,1),예비비!$F$430:$F$729,"결제대금비")+MAX(0,IF(예비비!$D318&lt;EDATE(BU$99,1),예비비!$E318,0)-SUMIFS(예비비!$O$430:$O$729,예비비!$B$430:$B$729,예비비!$A318,예비비!$E$430:$E$729,"&lt;"&amp;EDATE(BU$99,1))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  <c r="BI319">
        <f>IF(예비비!$R319="OK",SUMIFS(예비비!$O$430:$O$729,예비비!$B$430:$B$729,예비비!$A319,예비비!$E$430:$E$729,"&lt;"&amp;EDATE(BI$99,1),예비비!$F$430:$F$729,"결제대금비")+MAX(0,IF(예비비!$D319&lt;EDATE(BI$99,1),예비비!$E319,0)-SUMIFS(예비비!$O$430:$O$729,예비비!$B$430:$B$729,예비비!$A319,예비비!$E$430:$E$729,"&lt;"&amp;EDATE(BI$99,1))),0)</f>
        <v>0</v>
      </c>
      <c r="BJ319">
        <f>IF(예비비!$R319="OK",SUMIFS(예비비!$O$430:$O$729,예비비!$B$430:$B$729,예비비!$A319,예비비!$E$430:$E$729,"&lt;"&amp;EDATE(BJ$99,1),예비비!$F$430:$F$729,"결제대금비")+MAX(0,IF(예비비!$D319&lt;EDATE(BJ$99,1),예비비!$E319,0)-SUMIFS(예비비!$O$430:$O$729,예비비!$B$430:$B$729,예비비!$A319,예비비!$E$430:$E$729,"&lt;"&amp;EDATE(BJ$99,1))),0)</f>
        <v>0</v>
      </c>
      <c r="BK319">
        <f>IF(예비비!$R319="OK",SUMIFS(예비비!$O$430:$O$729,예비비!$B$430:$B$729,예비비!$A319,예비비!$E$430:$E$729,"&lt;"&amp;EDATE(BK$99,1),예비비!$F$430:$F$729,"결제대금비")+MAX(0,IF(예비비!$D319&lt;EDATE(BK$99,1),예비비!$E319,0)-SUMIFS(예비비!$O$430:$O$729,예비비!$B$430:$B$729,예비비!$A319,예비비!$E$430:$E$729,"&lt;"&amp;EDATE(BK$99,1))),0)</f>
        <v>0</v>
      </c>
      <c r="BL319">
        <f>IF(예비비!$R319="OK",SUMIFS(예비비!$O$430:$O$729,예비비!$B$430:$B$729,예비비!$A319,예비비!$E$430:$E$729,"&lt;"&amp;EDATE(BL$99,1),예비비!$F$430:$F$729,"결제대금비")+MAX(0,IF(예비비!$D319&lt;EDATE(BL$99,1),예비비!$E319,0)-SUMIFS(예비비!$O$430:$O$729,예비비!$B$430:$B$729,예비비!$A319,예비비!$E$430:$E$729,"&lt;"&amp;EDATE(BL$99,1))),0)</f>
        <v>0</v>
      </c>
      <c r="BM319">
        <f>IF(예비비!$R319="OK",SUMIFS(예비비!$O$430:$O$729,예비비!$B$430:$B$729,예비비!$A319,예비비!$E$430:$E$729,"&lt;"&amp;EDATE(BM$99,1),예비비!$F$430:$F$729,"결제대금비")+MAX(0,IF(예비비!$D319&lt;EDATE(BM$99,1),예비비!$E319,0)-SUMIFS(예비비!$O$430:$O$729,예비비!$B$430:$B$729,예비비!$A319,예비비!$E$430:$E$729,"&lt;"&amp;EDATE(BM$99,1))),0)</f>
        <v>0</v>
      </c>
      <c r="BN319">
        <f>IF(예비비!$R319="OK",SUMIFS(예비비!$O$430:$O$729,예비비!$B$430:$B$729,예비비!$A319,예비비!$E$430:$E$729,"&lt;"&amp;EDATE(BN$99,1),예비비!$F$430:$F$729,"결제대금비")+MAX(0,IF(예비비!$D319&lt;EDATE(BN$99,1),예비비!$E319,0)-SUMIFS(예비비!$O$430:$O$729,예비비!$B$430:$B$729,예비비!$A319,예비비!$E$430:$E$729,"&lt;"&amp;EDATE(BN$99,1))),0)</f>
        <v>0</v>
      </c>
      <c r="BO319">
        <f>IF(예비비!$R319="OK",SUMIFS(예비비!$O$430:$O$729,예비비!$B$430:$B$729,예비비!$A319,예비비!$E$430:$E$729,"&lt;"&amp;EDATE(BO$99,1),예비비!$F$430:$F$729,"결제대금비")+MAX(0,IF(예비비!$D319&lt;EDATE(BO$99,1),예비비!$E319,0)-SUMIFS(예비비!$O$430:$O$729,예비비!$B$430:$B$729,예비비!$A319,예비비!$E$430:$E$729,"&lt;"&amp;EDATE(BO$99,1))),0)</f>
        <v>0</v>
      </c>
      <c r="BP319">
        <f>IF(예비비!$R319="OK",SUMIFS(예비비!$O$430:$O$729,예비비!$B$430:$B$729,예비비!$A319,예비비!$E$430:$E$729,"&lt;"&amp;EDATE(BP$99,1),예비비!$F$430:$F$729,"결제대금비")+MAX(0,IF(예비비!$D319&lt;EDATE(BP$99,1),예비비!$E319,0)-SUMIFS(예비비!$O$430:$O$729,예비비!$B$430:$B$729,예비비!$A319,예비비!$E$430:$E$729,"&lt;"&amp;EDATE(BP$99,1))),0)</f>
        <v>0</v>
      </c>
      <c r="BQ319">
        <f>IF(예비비!$R319="OK",SUMIFS(예비비!$O$430:$O$729,예비비!$B$430:$B$729,예비비!$A319,예비비!$E$430:$E$729,"&lt;"&amp;EDATE(BQ$99,1),예비비!$F$430:$F$729,"결제대금비")+MAX(0,IF(예비비!$D319&lt;EDATE(BQ$99,1),예비비!$E319,0)-SUMIFS(예비비!$O$430:$O$729,예비비!$B$430:$B$729,예비비!$A319,예비비!$E$430:$E$729,"&lt;"&amp;EDATE(BQ$99,1))),0)</f>
        <v>0</v>
      </c>
      <c r="BR319">
        <f>IF(예비비!$R319="OK",SUMIFS(예비비!$O$430:$O$729,예비비!$B$430:$B$729,예비비!$A319,예비비!$E$430:$E$729,"&lt;"&amp;EDATE(BR$99,1),예비비!$F$430:$F$729,"결제대금비")+MAX(0,IF(예비비!$D319&lt;EDATE(BR$99,1),예비비!$E319,0)-SUMIFS(예비비!$O$430:$O$729,예비비!$B$430:$B$729,예비비!$A319,예비비!$E$430:$E$729,"&lt;"&amp;EDATE(BR$99,1))),0)</f>
        <v>0</v>
      </c>
      <c r="BS319">
        <f>IF(예비비!$R319="OK",SUMIFS(예비비!$O$430:$O$729,예비비!$B$430:$B$729,예비비!$A319,예비비!$E$430:$E$729,"&lt;"&amp;EDATE(BS$99,1),예비비!$F$430:$F$729,"결제대금비")+MAX(0,IF(예비비!$D319&lt;EDATE(BS$99,1),예비비!$E319,0)-SUMIFS(예비비!$O$430:$O$729,예비비!$B$430:$B$729,예비비!$A319,예비비!$E$430:$E$729,"&lt;"&amp;EDATE(BS$99,1))),0)</f>
        <v>0</v>
      </c>
      <c r="BT319">
        <f>IF(예비비!$R319="OK",SUMIFS(예비비!$O$430:$O$729,예비비!$B$430:$B$729,예비비!$A319,예비비!$E$430:$E$729,"&lt;"&amp;EDATE(BT$99,1),예비비!$F$430:$F$729,"결제대금비")+MAX(0,IF(예비비!$D319&lt;EDATE(BT$99,1),예비비!$E319,0)-SUMIFS(예비비!$O$430:$O$729,예비비!$B$430:$B$729,예비비!$A319,예비비!$E$430:$E$729,"&lt;"&amp;EDATE(BT$99,1))),0)</f>
        <v>0</v>
      </c>
      <c r="BU319">
        <f>IF(예비비!$R319="OK",SUMIFS(예비비!$O$430:$O$729,예비비!$B$430:$B$729,예비비!$A319,예비비!$E$430:$E$729,"&lt;"&amp;EDATE(BU$99,1),예비비!$F$430:$F$729,"결제대금비")+MAX(0,IF(예비비!$D319&lt;EDATE(BU$99,1),예비비!$E319,0)-SUMIFS(예비비!$O$430:$O$729,예비비!$B$430:$B$729,예비비!$A319,예비비!$E$430:$E$729,"&lt;"&amp;EDATE(BU$99,1))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  <c r="BI320">
        <f>IF(예비비!$R320="OK",SUMIFS(예비비!$O$430:$O$729,예비비!$B$430:$B$729,예비비!$A320,예비비!$E$430:$E$729,"&lt;"&amp;EDATE(BI$99,1),예비비!$F$430:$F$729,"결제대금비")+MAX(0,IF(예비비!$D320&lt;EDATE(BI$99,1),예비비!$E320,0)-SUMIFS(예비비!$O$430:$O$729,예비비!$B$430:$B$729,예비비!$A320,예비비!$E$430:$E$729,"&lt;"&amp;EDATE(BI$99,1))),0)</f>
        <v>0</v>
      </c>
      <c r="BJ320">
        <f>IF(예비비!$R320="OK",SUMIFS(예비비!$O$430:$O$729,예비비!$B$430:$B$729,예비비!$A320,예비비!$E$430:$E$729,"&lt;"&amp;EDATE(BJ$99,1),예비비!$F$430:$F$729,"결제대금비")+MAX(0,IF(예비비!$D320&lt;EDATE(BJ$99,1),예비비!$E320,0)-SUMIFS(예비비!$O$430:$O$729,예비비!$B$430:$B$729,예비비!$A320,예비비!$E$430:$E$729,"&lt;"&amp;EDATE(BJ$99,1))),0)</f>
        <v>0</v>
      </c>
      <c r="BK320">
        <f>IF(예비비!$R320="OK",SUMIFS(예비비!$O$430:$O$729,예비비!$B$430:$B$729,예비비!$A320,예비비!$E$430:$E$729,"&lt;"&amp;EDATE(BK$99,1),예비비!$F$430:$F$729,"결제대금비")+MAX(0,IF(예비비!$D320&lt;EDATE(BK$99,1),예비비!$E320,0)-SUMIFS(예비비!$O$430:$O$729,예비비!$B$430:$B$729,예비비!$A320,예비비!$E$430:$E$729,"&lt;"&amp;EDATE(BK$99,1))),0)</f>
        <v>0</v>
      </c>
      <c r="BL320">
        <f>IF(예비비!$R320="OK",SUMIFS(예비비!$O$430:$O$729,예비비!$B$430:$B$729,예비비!$A320,예비비!$E$430:$E$729,"&lt;"&amp;EDATE(BL$99,1),예비비!$F$430:$F$729,"결제대금비")+MAX(0,IF(예비비!$D320&lt;EDATE(BL$99,1),예비비!$E320,0)-SUMIFS(예비비!$O$430:$O$729,예비비!$B$430:$B$729,예비비!$A320,예비비!$E$430:$E$729,"&lt;"&amp;EDATE(BL$99,1))),0)</f>
        <v>0</v>
      </c>
      <c r="BM320">
        <f>IF(예비비!$R320="OK",SUMIFS(예비비!$O$430:$O$729,예비비!$B$430:$B$729,예비비!$A320,예비비!$E$430:$E$729,"&lt;"&amp;EDATE(BM$99,1),예비비!$F$430:$F$729,"결제대금비")+MAX(0,IF(예비비!$D320&lt;EDATE(BM$99,1),예비비!$E320,0)-SUMIFS(예비비!$O$430:$O$729,예비비!$B$430:$B$729,예비비!$A320,예비비!$E$430:$E$729,"&lt;"&amp;EDATE(BM$99,1))),0)</f>
        <v>0</v>
      </c>
      <c r="BN320">
        <f>IF(예비비!$R320="OK",SUMIFS(예비비!$O$430:$O$729,예비비!$B$430:$B$729,예비비!$A320,예비비!$E$430:$E$729,"&lt;"&amp;EDATE(BN$99,1),예비비!$F$430:$F$729,"결제대금비")+MAX(0,IF(예비비!$D320&lt;EDATE(BN$99,1),예비비!$E320,0)-SUMIFS(예비비!$O$430:$O$729,예비비!$B$430:$B$729,예비비!$A320,예비비!$E$430:$E$729,"&lt;"&amp;EDATE(BN$99,1))),0)</f>
        <v>0</v>
      </c>
      <c r="BO320">
        <f>IF(예비비!$R320="OK",SUMIFS(예비비!$O$430:$O$729,예비비!$B$430:$B$729,예비비!$A320,예비비!$E$430:$E$729,"&lt;"&amp;EDATE(BO$99,1),예비비!$F$430:$F$729,"결제대금비")+MAX(0,IF(예비비!$D320&lt;EDATE(BO$99,1),예비비!$E320,0)-SUMIFS(예비비!$O$430:$O$729,예비비!$B$430:$B$729,예비비!$A320,예비비!$E$430:$E$729,"&lt;"&amp;EDATE(BO$99,1))),0)</f>
        <v>0</v>
      </c>
      <c r="BP320">
        <f>IF(예비비!$R320="OK",SUMIFS(예비비!$O$430:$O$729,예비비!$B$430:$B$729,예비비!$A320,예비비!$E$430:$E$729,"&lt;"&amp;EDATE(BP$99,1),예비비!$F$430:$F$729,"결제대금비")+MAX(0,IF(예비비!$D320&lt;EDATE(BP$99,1),예비비!$E320,0)-SUMIFS(예비비!$O$430:$O$729,예비비!$B$430:$B$729,예비비!$A320,예비비!$E$430:$E$729,"&lt;"&amp;EDATE(BP$99,1))),0)</f>
        <v>0</v>
      </c>
      <c r="BQ320">
        <f>IF(예비비!$R320="OK",SUMIFS(예비비!$O$430:$O$729,예비비!$B$430:$B$729,예비비!$A320,예비비!$E$430:$E$729,"&lt;"&amp;EDATE(BQ$99,1),예비비!$F$430:$F$729,"결제대금비")+MAX(0,IF(예비비!$D320&lt;EDATE(BQ$99,1),예비비!$E320,0)-SUMIFS(예비비!$O$430:$O$729,예비비!$B$430:$B$729,예비비!$A320,예비비!$E$430:$E$729,"&lt;"&amp;EDATE(BQ$99,1))),0)</f>
        <v>0</v>
      </c>
      <c r="BR320">
        <f>IF(예비비!$R320="OK",SUMIFS(예비비!$O$430:$O$729,예비비!$B$430:$B$729,예비비!$A320,예비비!$E$430:$E$729,"&lt;"&amp;EDATE(BR$99,1),예비비!$F$430:$F$729,"결제대금비")+MAX(0,IF(예비비!$D320&lt;EDATE(BR$99,1),예비비!$E320,0)-SUMIFS(예비비!$O$430:$O$729,예비비!$B$430:$B$729,예비비!$A320,예비비!$E$430:$E$729,"&lt;"&amp;EDATE(BR$99,1))),0)</f>
        <v>0</v>
      </c>
      <c r="BS320">
        <f>IF(예비비!$R320="OK",SUMIFS(예비비!$O$430:$O$729,예비비!$B$430:$B$729,예비비!$A320,예비비!$E$430:$E$729,"&lt;"&amp;EDATE(BS$99,1),예비비!$F$430:$F$729,"결제대금비")+MAX(0,IF(예비비!$D320&lt;EDATE(BS$99,1),예비비!$E320,0)-SUMIFS(예비비!$O$430:$O$729,예비비!$B$430:$B$729,예비비!$A320,예비비!$E$430:$E$729,"&lt;"&amp;EDATE(BS$99,1))),0)</f>
        <v>0</v>
      </c>
      <c r="BT320">
        <f>IF(예비비!$R320="OK",SUMIFS(예비비!$O$430:$O$729,예비비!$B$430:$B$729,예비비!$A320,예비비!$E$430:$E$729,"&lt;"&amp;EDATE(BT$99,1),예비비!$F$430:$F$729,"결제대금비")+MAX(0,IF(예비비!$D320&lt;EDATE(BT$99,1),예비비!$E320,0)-SUMIFS(예비비!$O$430:$O$729,예비비!$B$430:$B$729,예비비!$A320,예비비!$E$430:$E$729,"&lt;"&amp;EDATE(BT$99,1))),0)</f>
        <v>0</v>
      </c>
      <c r="BU320">
        <f>IF(예비비!$R320="OK",SUMIFS(예비비!$O$430:$O$729,예비비!$B$430:$B$729,예비비!$A320,예비비!$E$430:$E$729,"&lt;"&amp;EDATE(BU$99,1),예비비!$F$430:$F$729,"결제대금비")+MAX(0,IF(예비비!$D320&lt;EDATE(BU$99,1),예비비!$E320,0)-SUMIFS(예비비!$O$430:$O$729,예비비!$B$430:$B$729,예비비!$A320,예비비!$E$430:$E$729,"&lt;"&amp;EDATE(BU$99,1))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  <c r="BI321">
        <f>IF(예비비!$R321="OK",SUMIFS(예비비!$O$430:$O$729,예비비!$B$430:$B$729,예비비!$A321,예비비!$E$430:$E$729,"&lt;"&amp;EDATE(BI$99,1),예비비!$F$430:$F$729,"결제대금비")+MAX(0,IF(예비비!$D321&lt;EDATE(BI$99,1),예비비!$E321,0)-SUMIFS(예비비!$O$430:$O$729,예비비!$B$430:$B$729,예비비!$A321,예비비!$E$430:$E$729,"&lt;"&amp;EDATE(BI$99,1))),0)</f>
        <v>0</v>
      </c>
      <c r="BJ321">
        <f>IF(예비비!$R321="OK",SUMIFS(예비비!$O$430:$O$729,예비비!$B$430:$B$729,예비비!$A321,예비비!$E$430:$E$729,"&lt;"&amp;EDATE(BJ$99,1),예비비!$F$430:$F$729,"결제대금비")+MAX(0,IF(예비비!$D321&lt;EDATE(BJ$99,1),예비비!$E321,0)-SUMIFS(예비비!$O$430:$O$729,예비비!$B$430:$B$729,예비비!$A321,예비비!$E$430:$E$729,"&lt;"&amp;EDATE(BJ$99,1))),0)</f>
        <v>0</v>
      </c>
      <c r="BK321">
        <f>IF(예비비!$R321="OK",SUMIFS(예비비!$O$430:$O$729,예비비!$B$430:$B$729,예비비!$A321,예비비!$E$430:$E$729,"&lt;"&amp;EDATE(BK$99,1),예비비!$F$430:$F$729,"결제대금비")+MAX(0,IF(예비비!$D321&lt;EDATE(BK$99,1),예비비!$E321,0)-SUMIFS(예비비!$O$430:$O$729,예비비!$B$430:$B$729,예비비!$A321,예비비!$E$430:$E$729,"&lt;"&amp;EDATE(BK$99,1))),0)</f>
        <v>0</v>
      </c>
      <c r="BL321">
        <f>IF(예비비!$R321="OK",SUMIFS(예비비!$O$430:$O$729,예비비!$B$430:$B$729,예비비!$A321,예비비!$E$430:$E$729,"&lt;"&amp;EDATE(BL$99,1),예비비!$F$430:$F$729,"결제대금비")+MAX(0,IF(예비비!$D321&lt;EDATE(BL$99,1),예비비!$E321,0)-SUMIFS(예비비!$O$430:$O$729,예비비!$B$430:$B$729,예비비!$A321,예비비!$E$430:$E$729,"&lt;"&amp;EDATE(BL$99,1))),0)</f>
        <v>0</v>
      </c>
      <c r="BM321">
        <f>IF(예비비!$R321="OK",SUMIFS(예비비!$O$430:$O$729,예비비!$B$430:$B$729,예비비!$A321,예비비!$E$430:$E$729,"&lt;"&amp;EDATE(BM$99,1),예비비!$F$430:$F$729,"결제대금비")+MAX(0,IF(예비비!$D321&lt;EDATE(BM$99,1),예비비!$E321,0)-SUMIFS(예비비!$O$430:$O$729,예비비!$B$430:$B$729,예비비!$A321,예비비!$E$430:$E$729,"&lt;"&amp;EDATE(BM$99,1))),0)</f>
        <v>0</v>
      </c>
      <c r="BN321">
        <f>IF(예비비!$R321="OK",SUMIFS(예비비!$O$430:$O$729,예비비!$B$430:$B$729,예비비!$A321,예비비!$E$430:$E$729,"&lt;"&amp;EDATE(BN$99,1),예비비!$F$430:$F$729,"결제대금비")+MAX(0,IF(예비비!$D321&lt;EDATE(BN$99,1),예비비!$E321,0)-SUMIFS(예비비!$O$430:$O$729,예비비!$B$430:$B$729,예비비!$A321,예비비!$E$430:$E$729,"&lt;"&amp;EDATE(BN$99,1))),0)</f>
        <v>0</v>
      </c>
      <c r="BO321">
        <f>IF(예비비!$R321="OK",SUMIFS(예비비!$O$430:$O$729,예비비!$B$430:$B$729,예비비!$A321,예비비!$E$430:$E$729,"&lt;"&amp;EDATE(BO$99,1),예비비!$F$430:$F$729,"결제대금비")+MAX(0,IF(예비비!$D321&lt;EDATE(BO$99,1),예비비!$E321,0)-SUMIFS(예비비!$O$430:$O$729,예비비!$B$430:$B$729,예비비!$A321,예비비!$E$430:$E$729,"&lt;"&amp;EDATE(BO$99,1))),0)</f>
        <v>0</v>
      </c>
      <c r="BP321">
        <f>IF(예비비!$R321="OK",SUMIFS(예비비!$O$430:$O$729,예비비!$B$430:$B$729,예비비!$A321,예비비!$E$430:$E$729,"&lt;"&amp;EDATE(BP$99,1),예비비!$F$430:$F$729,"결제대금비")+MAX(0,IF(예비비!$D321&lt;EDATE(BP$99,1),예비비!$E321,0)-SUMIFS(예비비!$O$430:$O$729,예비비!$B$430:$B$729,예비비!$A321,예비비!$E$430:$E$729,"&lt;"&amp;EDATE(BP$99,1))),0)</f>
        <v>0</v>
      </c>
      <c r="BQ321">
        <f>IF(예비비!$R321="OK",SUMIFS(예비비!$O$430:$O$729,예비비!$B$430:$B$729,예비비!$A321,예비비!$E$430:$E$729,"&lt;"&amp;EDATE(BQ$99,1),예비비!$F$430:$F$729,"결제대금비")+MAX(0,IF(예비비!$D321&lt;EDATE(BQ$99,1),예비비!$E321,0)-SUMIFS(예비비!$O$430:$O$729,예비비!$B$430:$B$729,예비비!$A321,예비비!$E$430:$E$729,"&lt;"&amp;EDATE(BQ$99,1))),0)</f>
        <v>0</v>
      </c>
      <c r="BR321">
        <f>IF(예비비!$R321="OK",SUMIFS(예비비!$O$430:$O$729,예비비!$B$430:$B$729,예비비!$A321,예비비!$E$430:$E$729,"&lt;"&amp;EDATE(BR$99,1),예비비!$F$430:$F$729,"결제대금비")+MAX(0,IF(예비비!$D321&lt;EDATE(BR$99,1),예비비!$E321,0)-SUMIFS(예비비!$O$430:$O$729,예비비!$B$430:$B$729,예비비!$A321,예비비!$E$430:$E$729,"&lt;"&amp;EDATE(BR$99,1))),0)</f>
        <v>0</v>
      </c>
      <c r="BS321">
        <f>IF(예비비!$R321="OK",SUMIFS(예비비!$O$430:$O$729,예비비!$B$430:$B$729,예비비!$A321,예비비!$E$430:$E$729,"&lt;"&amp;EDATE(BS$99,1),예비비!$F$430:$F$729,"결제대금비")+MAX(0,IF(예비비!$D321&lt;EDATE(BS$99,1),예비비!$E321,0)-SUMIFS(예비비!$O$430:$O$729,예비비!$B$430:$B$729,예비비!$A321,예비비!$E$430:$E$729,"&lt;"&amp;EDATE(BS$99,1))),0)</f>
        <v>0</v>
      </c>
      <c r="BT321">
        <f>IF(예비비!$R321="OK",SUMIFS(예비비!$O$430:$O$729,예비비!$B$430:$B$729,예비비!$A321,예비비!$E$430:$E$729,"&lt;"&amp;EDATE(BT$99,1),예비비!$F$430:$F$729,"결제대금비")+MAX(0,IF(예비비!$D321&lt;EDATE(BT$99,1),예비비!$E321,0)-SUMIFS(예비비!$O$430:$O$729,예비비!$B$430:$B$729,예비비!$A321,예비비!$E$430:$E$729,"&lt;"&amp;EDATE(BT$99,1))),0)</f>
        <v>0</v>
      </c>
      <c r="BU321">
        <f>IF(예비비!$R321="OK",SUMIFS(예비비!$O$430:$O$729,예비비!$B$430:$B$729,예비비!$A321,예비비!$E$430:$E$729,"&lt;"&amp;EDATE(BU$99,1),예비비!$F$430:$F$729,"결제대금비")+MAX(0,IF(예비비!$D321&lt;EDATE(BU$99,1),예비비!$E321,0)-SUMIFS(예비비!$O$430:$O$729,예비비!$B$430:$B$729,예비비!$A321,예비비!$E$430:$E$729,"&lt;"&amp;EDATE(BU$99,1))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  <c r="BI322">
        <f>IF(예비비!$R322="OK",SUMIFS(예비비!$O$430:$O$729,예비비!$B$430:$B$729,예비비!$A322,예비비!$E$430:$E$729,"&lt;"&amp;EDATE(BI$99,1),예비비!$F$430:$F$729,"결제대금비")+MAX(0,IF(예비비!$D322&lt;EDATE(BI$99,1),예비비!$E322,0)-SUMIFS(예비비!$O$430:$O$729,예비비!$B$430:$B$729,예비비!$A322,예비비!$E$430:$E$729,"&lt;"&amp;EDATE(BI$99,1))),0)</f>
        <v>0</v>
      </c>
      <c r="BJ322">
        <f>IF(예비비!$R322="OK",SUMIFS(예비비!$O$430:$O$729,예비비!$B$430:$B$729,예비비!$A322,예비비!$E$430:$E$729,"&lt;"&amp;EDATE(BJ$99,1),예비비!$F$430:$F$729,"결제대금비")+MAX(0,IF(예비비!$D322&lt;EDATE(BJ$99,1),예비비!$E322,0)-SUMIFS(예비비!$O$430:$O$729,예비비!$B$430:$B$729,예비비!$A322,예비비!$E$430:$E$729,"&lt;"&amp;EDATE(BJ$99,1))),0)</f>
        <v>0</v>
      </c>
      <c r="BK322">
        <f>IF(예비비!$R322="OK",SUMIFS(예비비!$O$430:$O$729,예비비!$B$430:$B$729,예비비!$A322,예비비!$E$430:$E$729,"&lt;"&amp;EDATE(BK$99,1),예비비!$F$430:$F$729,"결제대금비")+MAX(0,IF(예비비!$D322&lt;EDATE(BK$99,1),예비비!$E322,0)-SUMIFS(예비비!$O$430:$O$729,예비비!$B$430:$B$729,예비비!$A322,예비비!$E$430:$E$729,"&lt;"&amp;EDATE(BK$99,1))),0)</f>
        <v>0</v>
      </c>
      <c r="BL322">
        <f>IF(예비비!$R322="OK",SUMIFS(예비비!$O$430:$O$729,예비비!$B$430:$B$729,예비비!$A322,예비비!$E$430:$E$729,"&lt;"&amp;EDATE(BL$99,1),예비비!$F$430:$F$729,"결제대금비")+MAX(0,IF(예비비!$D322&lt;EDATE(BL$99,1),예비비!$E322,0)-SUMIFS(예비비!$O$430:$O$729,예비비!$B$430:$B$729,예비비!$A322,예비비!$E$430:$E$729,"&lt;"&amp;EDATE(BL$99,1))),0)</f>
        <v>0</v>
      </c>
      <c r="BM322">
        <f>IF(예비비!$R322="OK",SUMIFS(예비비!$O$430:$O$729,예비비!$B$430:$B$729,예비비!$A322,예비비!$E$430:$E$729,"&lt;"&amp;EDATE(BM$99,1),예비비!$F$430:$F$729,"결제대금비")+MAX(0,IF(예비비!$D322&lt;EDATE(BM$99,1),예비비!$E322,0)-SUMIFS(예비비!$O$430:$O$729,예비비!$B$430:$B$729,예비비!$A322,예비비!$E$430:$E$729,"&lt;"&amp;EDATE(BM$99,1))),0)</f>
        <v>0</v>
      </c>
      <c r="BN322">
        <f>IF(예비비!$R322="OK",SUMIFS(예비비!$O$430:$O$729,예비비!$B$430:$B$729,예비비!$A322,예비비!$E$430:$E$729,"&lt;"&amp;EDATE(BN$99,1),예비비!$F$430:$F$729,"결제대금비")+MAX(0,IF(예비비!$D322&lt;EDATE(BN$99,1),예비비!$E322,0)-SUMIFS(예비비!$O$430:$O$729,예비비!$B$430:$B$729,예비비!$A322,예비비!$E$430:$E$729,"&lt;"&amp;EDATE(BN$99,1))),0)</f>
        <v>0</v>
      </c>
      <c r="BO322">
        <f>IF(예비비!$R322="OK",SUMIFS(예비비!$O$430:$O$729,예비비!$B$430:$B$729,예비비!$A322,예비비!$E$430:$E$729,"&lt;"&amp;EDATE(BO$99,1),예비비!$F$430:$F$729,"결제대금비")+MAX(0,IF(예비비!$D322&lt;EDATE(BO$99,1),예비비!$E322,0)-SUMIFS(예비비!$O$430:$O$729,예비비!$B$430:$B$729,예비비!$A322,예비비!$E$430:$E$729,"&lt;"&amp;EDATE(BO$99,1))),0)</f>
        <v>0</v>
      </c>
      <c r="BP322">
        <f>IF(예비비!$R322="OK",SUMIFS(예비비!$O$430:$O$729,예비비!$B$430:$B$729,예비비!$A322,예비비!$E$430:$E$729,"&lt;"&amp;EDATE(BP$99,1),예비비!$F$430:$F$729,"결제대금비")+MAX(0,IF(예비비!$D322&lt;EDATE(BP$99,1),예비비!$E322,0)-SUMIFS(예비비!$O$430:$O$729,예비비!$B$430:$B$729,예비비!$A322,예비비!$E$430:$E$729,"&lt;"&amp;EDATE(BP$99,1))),0)</f>
        <v>0</v>
      </c>
      <c r="BQ322">
        <f>IF(예비비!$R322="OK",SUMIFS(예비비!$O$430:$O$729,예비비!$B$430:$B$729,예비비!$A322,예비비!$E$430:$E$729,"&lt;"&amp;EDATE(BQ$99,1),예비비!$F$430:$F$729,"결제대금비")+MAX(0,IF(예비비!$D322&lt;EDATE(BQ$99,1),예비비!$E322,0)-SUMIFS(예비비!$O$430:$O$729,예비비!$B$430:$B$729,예비비!$A322,예비비!$E$430:$E$729,"&lt;"&amp;EDATE(BQ$99,1))),0)</f>
        <v>0</v>
      </c>
      <c r="BR322">
        <f>IF(예비비!$R322="OK",SUMIFS(예비비!$O$430:$O$729,예비비!$B$430:$B$729,예비비!$A322,예비비!$E$430:$E$729,"&lt;"&amp;EDATE(BR$99,1),예비비!$F$430:$F$729,"결제대금비")+MAX(0,IF(예비비!$D322&lt;EDATE(BR$99,1),예비비!$E322,0)-SUMIFS(예비비!$O$430:$O$729,예비비!$B$430:$B$729,예비비!$A322,예비비!$E$430:$E$729,"&lt;"&amp;EDATE(BR$99,1))),0)</f>
        <v>0</v>
      </c>
      <c r="BS322">
        <f>IF(예비비!$R322="OK",SUMIFS(예비비!$O$430:$O$729,예비비!$B$430:$B$729,예비비!$A322,예비비!$E$430:$E$729,"&lt;"&amp;EDATE(BS$99,1),예비비!$F$430:$F$729,"결제대금비")+MAX(0,IF(예비비!$D322&lt;EDATE(BS$99,1),예비비!$E322,0)-SUMIFS(예비비!$O$430:$O$729,예비비!$B$430:$B$729,예비비!$A322,예비비!$E$430:$E$729,"&lt;"&amp;EDATE(BS$99,1))),0)</f>
        <v>0</v>
      </c>
      <c r="BT322">
        <f>IF(예비비!$R322="OK",SUMIFS(예비비!$O$430:$O$729,예비비!$B$430:$B$729,예비비!$A322,예비비!$E$430:$E$729,"&lt;"&amp;EDATE(BT$99,1),예비비!$F$430:$F$729,"결제대금비")+MAX(0,IF(예비비!$D322&lt;EDATE(BT$99,1),예비비!$E322,0)-SUMIFS(예비비!$O$430:$O$729,예비비!$B$430:$B$729,예비비!$A322,예비비!$E$430:$E$729,"&lt;"&amp;EDATE(BT$99,1))),0)</f>
        <v>0</v>
      </c>
      <c r="BU322">
        <f>IF(예비비!$R322="OK",SUMIFS(예비비!$O$430:$O$729,예비비!$B$430:$B$729,예비비!$A322,예비비!$E$430:$E$729,"&lt;"&amp;EDATE(BU$99,1),예비비!$F$430:$F$729,"결제대금비")+MAX(0,IF(예비비!$D322&lt;EDATE(BU$99,1),예비비!$E322,0)-SUMIFS(예비비!$O$430:$O$729,예비비!$B$430:$B$729,예비비!$A322,예비비!$E$430:$E$729,"&lt;"&amp;EDATE(BU$99,1))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  <c r="BI323">
        <f>IF(예비비!$R323="OK",SUMIFS(예비비!$O$430:$O$729,예비비!$B$430:$B$729,예비비!$A323,예비비!$E$430:$E$729,"&lt;"&amp;EDATE(BI$99,1),예비비!$F$430:$F$729,"결제대금비")+MAX(0,IF(예비비!$D323&lt;EDATE(BI$99,1),예비비!$E323,0)-SUMIFS(예비비!$O$430:$O$729,예비비!$B$430:$B$729,예비비!$A323,예비비!$E$430:$E$729,"&lt;"&amp;EDATE(BI$99,1))),0)</f>
        <v>0</v>
      </c>
      <c r="BJ323">
        <f>IF(예비비!$R323="OK",SUMIFS(예비비!$O$430:$O$729,예비비!$B$430:$B$729,예비비!$A323,예비비!$E$430:$E$729,"&lt;"&amp;EDATE(BJ$99,1),예비비!$F$430:$F$729,"결제대금비")+MAX(0,IF(예비비!$D323&lt;EDATE(BJ$99,1),예비비!$E323,0)-SUMIFS(예비비!$O$430:$O$729,예비비!$B$430:$B$729,예비비!$A323,예비비!$E$430:$E$729,"&lt;"&amp;EDATE(BJ$99,1))),0)</f>
        <v>0</v>
      </c>
      <c r="BK323">
        <f>IF(예비비!$R323="OK",SUMIFS(예비비!$O$430:$O$729,예비비!$B$430:$B$729,예비비!$A323,예비비!$E$430:$E$729,"&lt;"&amp;EDATE(BK$99,1),예비비!$F$430:$F$729,"결제대금비")+MAX(0,IF(예비비!$D323&lt;EDATE(BK$99,1),예비비!$E323,0)-SUMIFS(예비비!$O$430:$O$729,예비비!$B$430:$B$729,예비비!$A323,예비비!$E$430:$E$729,"&lt;"&amp;EDATE(BK$99,1))),0)</f>
        <v>0</v>
      </c>
      <c r="BL323">
        <f>IF(예비비!$R323="OK",SUMIFS(예비비!$O$430:$O$729,예비비!$B$430:$B$729,예비비!$A323,예비비!$E$430:$E$729,"&lt;"&amp;EDATE(BL$99,1),예비비!$F$430:$F$729,"결제대금비")+MAX(0,IF(예비비!$D323&lt;EDATE(BL$99,1),예비비!$E323,0)-SUMIFS(예비비!$O$430:$O$729,예비비!$B$430:$B$729,예비비!$A323,예비비!$E$430:$E$729,"&lt;"&amp;EDATE(BL$99,1))),0)</f>
        <v>0</v>
      </c>
      <c r="BM323">
        <f>IF(예비비!$R323="OK",SUMIFS(예비비!$O$430:$O$729,예비비!$B$430:$B$729,예비비!$A323,예비비!$E$430:$E$729,"&lt;"&amp;EDATE(BM$99,1),예비비!$F$430:$F$729,"결제대금비")+MAX(0,IF(예비비!$D323&lt;EDATE(BM$99,1),예비비!$E323,0)-SUMIFS(예비비!$O$430:$O$729,예비비!$B$430:$B$729,예비비!$A323,예비비!$E$430:$E$729,"&lt;"&amp;EDATE(BM$99,1))),0)</f>
        <v>0</v>
      </c>
      <c r="BN323">
        <f>IF(예비비!$R323="OK",SUMIFS(예비비!$O$430:$O$729,예비비!$B$430:$B$729,예비비!$A323,예비비!$E$430:$E$729,"&lt;"&amp;EDATE(BN$99,1),예비비!$F$430:$F$729,"결제대금비")+MAX(0,IF(예비비!$D323&lt;EDATE(BN$99,1),예비비!$E323,0)-SUMIFS(예비비!$O$430:$O$729,예비비!$B$430:$B$729,예비비!$A323,예비비!$E$430:$E$729,"&lt;"&amp;EDATE(BN$99,1))),0)</f>
        <v>0</v>
      </c>
      <c r="BO323">
        <f>IF(예비비!$R323="OK",SUMIFS(예비비!$O$430:$O$729,예비비!$B$430:$B$729,예비비!$A323,예비비!$E$430:$E$729,"&lt;"&amp;EDATE(BO$99,1),예비비!$F$430:$F$729,"결제대금비")+MAX(0,IF(예비비!$D323&lt;EDATE(BO$99,1),예비비!$E323,0)-SUMIFS(예비비!$O$430:$O$729,예비비!$B$430:$B$729,예비비!$A323,예비비!$E$430:$E$729,"&lt;"&amp;EDATE(BO$99,1))),0)</f>
        <v>0</v>
      </c>
      <c r="BP323">
        <f>IF(예비비!$R323="OK",SUMIFS(예비비!$O$430:$O$729,예비비!$B$430:$B$729,예비비!$A323,예비비!$E$430:$E$729,"&lt;"&amp;EDATE(BP$99,1),예비비!$F$430:$F$729,"결제대금비")+MAX(0,IF(예비비!$D323&lt;EDATE(BP$99,1),예비비!$E323,0)-SUMIFS(예비비!$O$430:$O$729,예비비!$B$430:$B$729,예비비!$A323,예비비!$E$430:$E$729,"&lt;"&amp;EDATE(BP$99,1))),0)</f>
        <v>0</v>
      </c>
      <c r="BQ323">
        <f>IF(예비비!$R323="OK",SUMIFS(예비비!$O$430:$O$729,예비비!$B$430:$B$729,예비비!$A323,예비비!$E$430:$E$729,"&lt;"&amp;EDATE(BQ$99,1),예비비!$F$430:$F$729,"결제대금비")+MAX(0,IF(예비비!$D323&lt;EDATE(BQ$99,1),예비비!$E323,0)-SUMIFS(예비비!$O$430:$O$729,예비비!$B$430:$B$729,예비비!$A323,예비비!$E$430:$E$729,"&lt;"&amp;EDATE(BQ$99,1))),0)</f>
        <v>0</v>
      </c>
      <c r="BR323">
        <f>IF(예비비!$R323="OK",SUMIFS(예비비!$O$430:$O$729,예비비!$B$430:$B$729,예비비!$A323,예비비!$E$430:$E$729,"&lt;"&amp;EDATE(BR$99,1),예비비!$F$430:$F$729,"결제대금비")+MAX(0,IF(예비비!$D323&lt;EDATE(BR$99,1),예비비!$E323,0)-SUMIFS(예비비!$O$430:$O$729,예비비!$B$430:$B$729,예비비!$A323,예비비!$E$430:$E$729,"&lt;"&amp;EDATE(BR$99,1))),0)</f>
        <v>0</v>
      </c>
      <c r="BS323">
        <f>IF(예비비!$R323="OK",SUMIFS(예비비!$O$430:$O$729,예비비!$B$430:$B$729,예비비!$A323,예비비!$E$430:$E$729,"&lt;"&amp;EDATE(BS$99,1),예비비!$F$430:$F$729,"결제대금비")+MAX(0,IF(예비비!$D323&lt;EDATE(BS$99,1),예비비!$E323,0)-SUMIFS(예비비!$O$430:$O$729,예비비!$B$430:$B$729,예비비!$A323,예비비!$E$430:$E$729,"&lt;"&amp;EDATE(BS$99,1))),0)</f>
        <v>0</v>
      </c>
      <c r="BT323">
        <f>IF(예비비!$R323="OK",SUMIFS(예비비!$O$430:$O$729,예비비!$B$430:$B$729,예비비!$A323,예비비!$E$430:$E$729,"&lt;"&amp;EDATE(BT$99,1),예비비!$F$430:$F$729,"결제대금비")+MAX(0,IF(예비비!$D323&lt;EDATE(BT$99,1),예비비!$E323,0)-SUMIFS(예비비!$O$430:$O$729,예비비!$B$430:$B$729,예비비!$A323,예비비!$E$430:$E$729,"&lt;"&amp;EDATE(BT$99,1))),0)</f>
        <v>0</v>
      </c>
      <c r="BU323">
        <f>IF(예비비!$R323="OK",SUMIFS(예비비!$O$430:$O$729,예비비!$B$430:$B$729,예비비!$A323,예비비!$E$430:$E$729,"&lt;"&amp;EDATE(BU$99,1),예비비!$F$430:$F$729,"결제대금비")+MAX(0,IF(예비비!$D323&lt;EDATE(BU$99,1),예비비!$E323,0)-SUMIFS(예비비!$O$430:$O$729,예비비!$B$430:$B$729,예비비!$A323,예비비!$E$430:$E$729,"&lt;"&amp;EDATE(BU$99,1))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  <c r="BI324">
        <f>IF(예비비!$R324="OK",SUMIFS(예비비!$O$430:$O$729,예비비!$B$430:$B$729,예비비!$A324,예비비!$E$430:$E$729,"&lt;"&amp;EDATE(BI$99,1),예비비!$F$430:$F$729,"결제대금비")+MAX(0,IF(예비비!$D324&lt;EDATE(BI$99,1),예비비!$E324,0)-SUMIFS(예비비!$O$430:$O$729,예비비!$B$430:$B$729,예비비!$A324,예비비!$E$430:$E$729,"&lt;"&amp;EDATE(BI$99,1))),0)</f>
        <v>0</v>
      </c>
      <c r="BJ324">
        <f>IF(예비비!$R324="OK",SUMIFS(예비비!$O$430:$O$729,예비비!$B$430:$B$729,예비비!$A324,예비비!$E$430:$E$729,"&lt;"&amp;EDATE(BJ$99,1),예비비!$F$430:$F$729,"결제대금비")+MAX(0,IF(예비비!$D324&lt;EDATE(BJ$99,1),예비비!$E324,0)-SUMIFS(예비비!$O$430:$O$729,예비비!$B$430:$B$729,예비비!$A324,예비비!$E$430:$E$729,"&lt;"&amp;EDATE(BJ$99,1))),0)</f>
        <v>0</v>
      </c>
      <c r="BK324">
        <f>IF(예비비!$R324="OK",SUMIFS(예비비!$O$430:$O$729,예비비!$B$430:$B$729,예비비!$A324,예비비!$E$430:$E$729,"&lt;"&amp;EDATE(BK$99,1),예비비!$F$430:$F$729,"결제대금비")+MAX(0,IF(예비비!$D324&lt;EDATE(BK$99,1),예비비!$E324,0)-SUMIFS(예비비!$O$430:$O$729,예비비!$B$430:$B$729,예비비!$A324,예비비!$E$430:$E$729,"&lt;"&amp;EDATE(BK$99,1))),0)</f>
        <v>0</v>
      </c>
      <c r="BL324">
        <f>IF(예비비!$R324="OK",SUMIFS(예비비!$O$430:$O$729,예비비!$B$430:$B$729,예비비!$A324,예비비!$E$430:$E$729,"&lt;"&amp;EDATE(BL$99,1),예비비!$F$430:$F$729,"결제대금비")+MAX(0,IF(예비비!$D324&lt;EDATE(BL$99,1),예비비!$E324,0)-SUMIFS(예비비!$O$430:$O$729,예비비!$B$430:$B$729,예비비!$A324,예비비!$E$430:$E$729,"&lt;"&amp;EDATE(BL$99,1))),0)</f>
        <v>0</v>
      </c>
      <c r="BM324">
        <f>IF(예비비!$R324="OK",SUMIFS(예비비!$O$430:$O$729,예비비!$B$430:$B$729,예비비!$A324,예비비!$E$430:$E$729,"&lt;"&amp;EDATE(BM$99,1),예비비!$F$430:$F$729,"결제대금비")+MAX(0,IF(예비비!$D324&lt;EDATE(BM$99,1),예비비!$E324,0)-SUMIFS(예비비!$O$430:$O$729,예비비!$B$430:$B$729,예비비!$A324,예비비!$E$430:$E$729,"&lt;"&amp;EDATE(BM$99,1))),0)</f>
        <v>0</v>
      </c>
      <c r="BN324">
        <f>IF(예비비!$R324="OK",SUMIFS(예비비!$O$430:$O$729,예비비!$B$430:$B$729,예비비!$A324,예비비!$E$430:$E$729,"&lt;"&amp;EDATE(BN$99,1),예비비!$F$430:$F$729,"결제대금비")+MAX(0,IF(예비비!$D324&lt;EDATE(BN$99,1),예비비!$E324,0)-SUMIFS(예비비!$O$430:$O$729,예비비!$B$430:$B$729,예비비!$A324,예비비!$E$430:$E$729,"&lt;"&amp;EDATE(BN$99,1))),0)</f>
        <v>0</v>
      </c>
      <c r="BO324">
        <f>IF(예비비!$R324="OK",SUMIFS(예비비!$O$430:$O$729,예비비!$B$430:$B$729,예비비!$A324,예비비!$E$430:$E$729,"&lt;"&amp;EDATE(BO$99,1),예비비!$F$430:$F$729,"결제대금비")+MAX(0,IF(예비비!$D324&lt;EDATE(BO$99,1),예비비!$E324,0)-SUMIFS(예비비!$O$430:$O$729,예비비!$B$430:$B$729,예비비!$A324,예비비!$E$430:$E$729,"&lt;"&amp;EDATE(BO$99,1))),0)</f>
        <v>0</v>
      </c>
      <c r="BP324">
        <f>IF(예비비!$R324="OK",SUMIFS(예비비!$O$430:$O$729,예비비!$B$430:$B$729,예비비!$A324,예비비!$E$430:$E$729,"&lt;"&amp;EDATE(BP$99,1),예비비!$F$430:$F$729,"결제대금비")+MAX(0,IF(예비비!$D324&lt;EDATE(BP$99,1),예비비!$E324,0)-SUMIFS(예비비!$O$430:$O$729,예비비!$B$430:$B$729,예비비!$A324,예비비!$E$430:$E$729,"&lt;"&amp;EDATE(BP$99,1))),0)</f>
        <v>0</v>
      </c>
      <c r="BQ324">
        <f>IF(예비비!$R324="OK",SUMIFS(예비비!$O$430:$O$729,예비비!$B$430:$B$729,예비비!$A324,예비비!$E$430:$E$729,"&lt;"&amp;EDATE(BQ$99,1),예비비!$F$430:$F$729,"결제대금비")+MAX(0,IF(예비비!$D324&lt;EDATE(BQ$99,1),예비비!$E324,0)-SUMIFS(예비비!$O$430:$O$729,예비비!$B$430:$B$729,예비비!$A324,예비비!$E$430:$E$729,"&lt;"&amp;EDATE(BQ$99,1))),0)</f>
        <v>0</v>
      </c>
      <c r="BR324">
        <f>IF(예비비!$R324="OK",SUMIFS(예비비!$O$430:$O$729,예비비!$B$430:$B$729,예비비!$A324,예비비!$E$430:$E$729,"&lt;"&amp;EDATE(BR$99,1),예비비!$F$430:$F$729,"결제대금비")+MAX(0,IF(예비비!$D324&lt;EDATE(BR$99,1),예비비!$E324,0)-SUMIFS(예비비!$O$430:$O$729,예비비!$B$430:$B$729,예비비!$A324,예비비!$E$430:$E$729,"&lt;"&amp;EDATE(BR$99,1))),0)</f>
        <v>0</v>
      </c>
      <c r="BS324">
        <f>IF(예비비!$R324="OK",SUMIFS(예비비!$O$430:$O$729,예비비!$B$430:$B$729,예비비!$A324,예비비!$E$430:$E$729,"&lt;"&amp;EDATE(BS$99,1),예비비!$F$430:$F$729,"결제대금비")+MAX(0,IF(예비비!$D324&lt;EDATE(BS$99,1),예비비!$E324,0)-SUMIFS(예비비!$O$430:$O$729,예비비!$B$430:$B$729,예비비!$A324,예비비!$E$430:$E$729,"&lt;"&amp;EDATE(BS$99,1))),0)</f>
        <v>0</v>
      </c>
      <c r="BT324">
        <f>IF(예비비!$R324="OK",SUMIFS(예비비!$O$430:$O$729,예비비!$B$430:$B$729,예비비!$A324,예비비!$E$430:$E$729,"&lt;"&amp;EDATE(BT$99,1),예비비!$F$430:$F$729,"결제대금비")+MAX(0,IF(예비비!$D324&lt;EDATE(BT$99,1),예비비!$E324,0)-SUMIFS(예비비!$O$430:$O$729,예비비!$B$430:$B$729,예비비!$A324,예비비!$E$430:$E$729,"&lt;"&amp;EDATE(BT$99,1))),0)</f>
        <v>0</v>
      </c>
      <c r="BU324">
        <f>IF(예비비!$R324="OK",SUMIFS(예비비!$O$430:$O$729,예비비!$B$430:$B$729,예비비!$A324,예비비!$E$430:$E$729,"&lt;"&amp;EDATE(BU$99,1),예비비!$F$430:$F$729,"결제대금비")+MAX(0,IF(예비비!$D324&lt;EDATE(BU$99,1),예비비!$E324,0)-SUMIFS(예비비!$O$430:$O$729,예비비!$B$430:$B$729,예비비!$A324,예비비!$E$430:$E$729,"&lt;"&amp;EDATE(BU$99,1))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  <c r="BI325">
        <f>IF(예비비!$R325="OK",SUMIFS(예비비!$O$430:$O$729,예비비!$B$430:$B$729,예비비!$A325,예비비!$E$430:$E$729,"&lt;"&amp;EDATE(BI$99,1),예비비!$F$430:$F$729,"결제대금비")+MAX(0,IF(예비비!$D325&lt;EDATE(BI$99,1),예비비!$E325,0)-SUMIFS(예비비!$O$430:$O$729,예비비!$B$430:$B$729,예비비!$A325,예비비!$E$430:$E$729,"&lt;"&amp;EDATE(BI$99,1))),0)</f>
        <v>0</v>
      </c>
      <c r="BJ325">
        <f>IF(예비비!$R325="OK",SUMIFS(예비비!$O$430:$O$729,예비비!$B$430:$B$729,예비비!$A325,예비비!$E$430:$E$729,"&lt;"&amp;EDATE(BJ$99,1),예비비!$F$430:$F$729,"결제대금비")+MAX(0,IF(예비비!$D325&lt;EDATE(BJ$99,1),예비비!$E325,0)-SUMIFS(예비비!$O$430:$O$729,예비비!$B$430:$B$729,예비비!$A325,예비비!$E$430:$E$729,"&lt;"&amp;EDATE(BJ$99,1))),0)</f>
        <v>0</v>
      </c>
      <c r="BK325">
        <f>IF(예비비!$R325="OK",SUMIFS(예비비!$O$430:$O$729,예비비!$B$430:$B$729,예비비!$A325,예비비!$E$430:$E$729,"&lt;"&amp;EDATE(BK$99,1),예비비!$F$430:$F$729,"결제대금비")+MAX(0,IF(예비비!$D325&lt;EDATE(BK$99,1),예비비!$E325,0)-SUMIFS(예비비!$O$430:$O$729,예비비!$B$430:$B$729,예비비!$A325,예비비!$E$430:$E$729,"&lt;"&amp;EDATE(BK$99,1))),0)</f>
        <v>0</v>
      </c>
      <c r="BL325">
        <f>IF(예비비!$R325="OK",SUMIFS(예비비!$O$430:$O$729,예비비!$B$430:$B$729,예비비!$A325,예비비!$E$430:$E$729,"&lt;"&amp;EDATE(BL$99,1),예비비!$F$430:$F$729,"결제대금비")+MAX(0,IF(예비비!$D325&lt;EDATE(BL$99,1),예비비!$E325,0)-SUMIFS(예비비!$O$430:$O$729,예비비!$B$430:$B$729,예비비!$A325,예비비!$E$430:$E$729,"&lt;"&amp;EDATE(BL$99,1))),0)</f>
        <v>0</v>
      </c>
      <c r="BM325">
        <f>IF(예비비!$R325="OK",SUMIFS(예비비!$O$430:$O$729,예비비!$B$430:$B$729,예비비!$A325,예비비!$E$430:$E$729,"&lt;"&amp;EDATE(BM$99,1),예비비!$F$430:$F$729,"결제대금비")+MAX(0,IF(예비비!$D325&lt;EDATE(BM$99,1),예비비!$E325,0)-SUMIFS(예비비!$O$430:$O$729,예비비!$B$430:$B$729,예비비!$A325,예비비!$E$430:$E$729,"&lt;"&amp;EDATE(BM$99,1))),0)</f>
        <v>0</v>
      </c>
      <c r="BN325">
        <f>IF(예비비!$R325="OK",SUMIFS(예비비!$O$430:$O$729,예비비!$B$430:$B$729,예비비!$A325,예비비!$E$430:$E$729,"&lt;"&amp;EDATE(BN$99,1),예비비!$F$430:$F$729,"결제대금비")+MAX(0,IF(예비비!$D325&lt;EDATE(BN$99,1),예비비!$E325,0)-SUMIFS(예비비!$O$430:$O$729,예비비!$B$430:$B$729,예비비!$A325,예비비!$E$430:$E$729,"&lt;"&amp;EDATE(BN$99,1))),0)</f>
        <v>0</v>
      </c>
      <c r="BO325">
        <f>IF(예비비!$R325="OK",SUMIFS(예비비!$O$430:$O$729,예비비!$B$430:$B$729,예비비!$A325,예비비!$E$430:$E$729,"&lt;"&amp;EDATE(BO$99,1),예비비!$F$430:$F$729,"결제대금비")+MAX(0,IF(예비비!$D325&lt;EDATE(BO$99,1),예비비!$E325,0)-SUMIFS(예비비!$O$430:$O$729,예비비!$B$430:$B$729,예비비!$A325,예비비!$E$430:$E$729,"&lt;"&amp;EDATE(BO$99,1))),0)</f>
        <v>0</v>
      </c>
      <c r="BP325">
        <f>IF(예비비!$R325="OK",SUMIFS(예비비!$O$430:$O$729,예비비!$B$430:$B$729,예비비!$A325,예비비!$E$430:$E$729,"&lt;"&amp;EDATE(BP$99,1),예비비!$F$430:$F$729,"결제대금비")+MAX(0,IF(예비비!$D325&lt;EDATE(BP$99,1),예비비!$E325,0)-SUMIFS(예비비!$O$430:$O$729,예비비!$B$430:$B$729,예비비!$A325,예비비!$E$430:$E$729,"&lt;"&amp;EDATE(BP$99,1))),0)</f>
        <v>0</v>
      </c>
      <c r="BQ325">
        <f>IF(예비비!$R325="OK",SUMIFS(예비비!$O$430:$O$729,예비비!$B$430:$B$729,예비비!$A325,예비비!$E$430:$E$729,"&lt;"&amp;EDATE(BQ$99,1),예비비!$F$430:$F$729,"결제대금비")+MAX(0,IF(예비비!$D325&lt;EDATE(BQ$99,1),예비비!$E325,0)-SUMIFS(예비비!$O$430:$O$729,예비비!$B$430:$B$729,예비비!$A325,예비비!$E$430:$E$729,"&lt;"&amp;EDATE(BQ$99,1))),0)</f>
        <v>0</v>
      </c>
      <c r="BR325">
        <f>IF(예비비!$R325="OK",SUMIFS(예비비!$O$430:$O$729,예비비!$B$430:$B$729,예비비!$A325,예비비!$E$430:$E$729,"&lt;"&amp;EDATE(BR$99,1),예비비!$F$430:$F$729,"결제대금비")+MAX(0,IF(예비비!$D325&lt;EDATE(BR$99,1),예비비!$E325,0)-SUMIFS(예비비!$O$430:$O$729,예비비!$B$430:$B$729,예비비!$A325,예비비!$E$430:$E$729,"&lt;"&amp;EDATE(BR$99,1))),0)</f>
        <v>0</v>
      </c>
      <c r="BS325">
        <f>IF(예비비!$R325="OK",SUMIFS(예비비!$O$430:$O$729,예비비!$B$430:$B$729,예비비!$A325,예비비!$E$430:$E$729,"&lt;"&amp;EDATE(BS$99,1),예비비!$F$430:$F$729,"결제대금비")+MAX(0,IF(예비비!$D325&lt;EDATE(BS$99,1),예비비!$E325,0)-SUMIFS(예비비!$O$430:$O$729,예비비!$B$430:$B$729,예비비!$A325,예비비!$E$430:$E$729,"&lt;"&amp;EDATE(BS$99,1))),0)</f>
        <v>0</v>
      </c>
      <c r="BT325">
        <f>IF(예비비!$R325="OK",SUMIFS(예비비!$O$430:$O$729,예비비!$B$430:$B$729,예비비!$A325,예비비!$E$430:$E$729,"&lt;"&amp;EDATE(BT$99,1),예비비!$F$430:$F$729,"결제대금비")+MAX(0,IF(예비비!$D325&lt;EDATE(BT$99,1),예비비!$E325,0)-SUMIFS(예비비!$O$430:$O$729,예비비!$B$430:$B$729,예비비!$A325,예비비!$E$430:$E$729,"&lt;"&amp;EDATE(BT$99,1))),0)</f>
        <v>0</v>
      </c>
      <c r="BU325">
        <f>IF(예비비!$R325="OK",SUMIFS(예비비!$O$430:$O$729,예비비!$B$430:$B$729,예비비!$A325,예비비!$E$430:$E$729,"&lt;"&amp;EDATE(BU$99,1),예비비!$F$430:$F$729,"결제대금비")+MAX(0,IF(예비비!$D325&lt;EDATE(BU$99,1),예비비!$E325,0)-SUMIFS(예비비!$O$430:$O$729,예비비!$B$430:$B$729,예비비!$A325,예비비!$E$430:$E$729,"&lt;"&amp;EDATE(BU$99,1))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  <c r="BI326">
        <f>IF(예비비!$R326="OK",SUMIFS(예비비!$O$430:$O$729,예비비!$B$430:$B$729,예비비!$A326,예비비!$E$430:$E$729,"&lt;"&amp;EDATE(BI$99,1),예비비!$F$430:$F$729,"결제대금비")+MAX(0,IF(예비비!$D326&lt;EDATE(BI$99,1),예비비!$E326,0)-SUMIFS(예비비!$O$430:$O$729,예비비!$B$430:$B$729,예비비!$A326,예비비!$E$430:$E$729,"&lt;"&amp;EDATE(BI$99,1))),0)</f>
        <v>0</v>
      </c>
      <c r="BJ326">
        <f>IF(예비비!$R326="OK",SUMIFS(예비비!$O$430:$O$729,예비비!$B$430:$B$729,예비비!$A326,예비비!$E$430:$E$729,"&lt;"&amp;EDATE(BJ$99,1),예비비!$F$430:$F$729,"결제대금비")+MAX(0,IF(예비비!$D326&lt;EDATE(BJ$99,1),예비비!$E326,0)-SUMIFS(예비비!$O$430:$O$729,예비비!$B$430:$B$729,예비비!$A326,예비비!$E$430:$E$729,"&lt;"&amp;EDATE(BJ$99,1))),0)</f>
        <v>0</v>
      </c>
      <c r="BK326">
        <f>IF(예비비!$R326="OK",SUMIFS(예비비!$O$430:$O$729,예비비!$B$430:$B$729,예비비!$A326,예비비!$E$430:$E$729,"&lt;"&amp;EDATE(BK$99,1),예비비!$F$430:$F$729,"결제대금비")+MAX(0,IF(예비비!$D326&lt;EDATE(BK$99,1),예비비!$E326,0)-SUMIFS(예비비!$O$430:$O$729,예비비!$B$430:$B$729,예비비!$A326,예비비!$E$430:$E$729,"&lt;"&amp;EDATE(BK$99,1))),0)</f>
        <v>0</v>
      </c>
      <c r="BL326">
        <f>IF(예비비!$R326="OK",SUMIFS(예비비!$O$430:$O$729,예비비!$B$430:$B$729,예비비!$A326,예비비!$E$430:$E$729,"&lt;"&amp;EDATE(BL$99,1),예비비!$F$430:$F$729,"결제대금비")+MAX(0,IF(예비비!$D326&lt;EDATE(BL$99,1),예비비!$E326,0)-SUMIFS(예비비!$O$430:$O$729,예비비!$B$430:$B$729,예비비!$A326,예비비!$E$430:$E$729,"&lt;"&amp;EDATE(BL$99,1))),0)</f>
        <v>0</v>
      </c>
      <c r="BM326">
        <f>IF(예비비!$R326="OK",SUMIFS(예비비!$O$430:$O$729,예비비!$B$430:$B$729,예비비!$A326,예비비!$E$430:$E$729,"&lt;"&amp;EDATE(BM$99,1),예비비!$F$430:$F$729,"결제대금비")+MAX(0,IF(예비비!$D326&lt;EDATE(BM$99,1),예비비!$E326,0)-SUMIFS(예비비!$O$430:$O$729,예비비!$B$430:$B$729,예비비!$A326,예비비!$E$430:$E$729,"&lt;"&amp;EDATE(BM$99,1))),0)</f>
        <v>0</v>
      </c>
      <c r="BN326">
        <f>IF(예비비!$R326="OK",SUMIFS(예비비!$O$430:$O$729,예비비!$B$430:$B$729,예비비!$A326,예비비!$E$430:$E$729,"&lt;"&amp;EDATE(BN$99,1),예비비!$F$430:$F$729,"결제대금비")+MAX(0,IF(예비비!$D326&lt;EDATE(BN$99,1),예비비!$E326,0)-SUMIFS(예비비!$O$430:$O$729,예비비!$B$430:$B$729,예비비!$A326,예비비!$E$430:$E$729,"&lt;"&amp;EDATE(BN$99,1))),0)</f>
        <v>0</v>
      </c>
      <c r="BO326">
        <f>IF(예비비!$R326="OK",SUMIFS(예비비!$O$430:$O$729,예비비!$B$430:$B$729,예비비!$A326,예비비!$E$430:$E$729,"&lt;"&amp;EDATE(BO$99,1),예비비!$F$430:$F$729,"결제대금비")+MAX(0,IF(예비비!$D326&lt;EDATE(BO$99,1),예비비!$E326,0)-SUMIFS(예비비!$O$430:$O$729,예비비!$B$430:$B$729,예비비!$A326,예비비!$E$430:$E$729,"&lt;"&amp;EDATE(BO$99,1))),0)</f>
        <v>0</v>
      </c>
      <c r="BP326">
        <f>IF(예비비!$R326="OK",SUMIFS(예비비!$O$430:$O$729,예비비!$B$430:$B$729,예비비!$A326,예비비!$E$430:$E$729,"&lt;"&amp;EDATE(BP$99,1),예비비!$F$430:$F$729,"결제대금비")+MAX(0,IF(예비비!$D326&lt;EDATE(BP$99,1),예비비!$E326,0)-SUMIFS(예비비!$O$430:$O$729,예비비!$B$430:$B$729,예비비!$A326,예비비!$E$430:$E$729,"&lt;"&amp;EDATE(BP$99,1))),0)</f>
        <v>0</v>
      </c>
      <c r="BQ326">
        <f>IF(예비비!$R326="OK",SUMIFS(예비비!$O$430:$O$729,예비비!$B$430:$B$729,예비비!$A326,예비비!$E$430:$E$729,"&lt;"&amp;EDATE(BQ$99,1),예비비!$F$430:$F$729,"결제대금비")+MAX(0,IF(예비비!$D326&lt;EDATE(BQ$99,1),예비비!$E326,0)-SUMIFS(예비비!$O$430:$O$729,예비비!$B$430:$B$729,예비비!$A326,예비비!$E$430:$E$729,"&lt;"&amp;EDATE(BQ$99,1))),0)</f>
        <v>0</v>
      </c>
      <c r="BR326">
        <f>IF(예비비!$R326="OK",SUMIFS(예비비!$O$430:$O$729,예비비!$B$430:$B$729,예비비!$A326,예비비!$E$430:$E$729,"&lt;"&amp;EDATE(BR$99,1),예비비!$F$430:$F$729,"결제대금비")+MAX(0,IF(예비비!$D326&lt;EDATE(BR$99,1),예비비!$E326,0)-SUMIFS(예비비!$O$430:$O$729,예비비!$B$430:$B$729,예비비!$A326,예비비!$E$430:$E$729,"&lt;"&amp;EDATE(BR$99,1))),0)</f>
        <v>0</v>
      </c>
      <c r="BS326">
        <f>IF(예비비!$R326="OK",SUMIFS(예비비!$O$430:$O$729,예비비!$B$430:$B$729,예비비!$A326,예비비!$E$430:$E$729,"&lt;"&amp;EDATE(BS$99,1),예비비!$F$430:$F$729,"결제대금비")+MAX(0,IF(예비비!$D326&lt;EDATE(BS$99,1),예비비!$E326,0)-SUMIFS(예비비!$O$430:$O$729,예비비!$B$430:$B$729,예비비!$A326,예비비!$E$430:$E$729,"&lt;"&amp;EDATE(BS$99,1))),0)</f>
        <v>0</v>
      </c>
      <c r="BT326">
        <f>IF(예비비!$R326="OK",SUMIFS(예비비!$O$430:$O$729,예비비!$B$430:$B$729,예비비!$A326,예비비!$E$430:$E$729,"&lt;"&amp;EDATE(BT$99,1),예비비!$F$430:$F$729,"결제대금비")+MAX(0,IF(예비비!$D326&lt;EDATE(BT$99,1),예비비!$E326,0)-SUMIFS(예비비!$O$430:$O$729,예비비!$B$430:$B$729,예비비!$A326,예비비!$E$430:$E$729,"&lt;"&amp;EDATE(BT$99,1))),0)</f>
        <v>0</v>
      </c>
      <c r="BU326">
        <f>IF(예비비!$R326="OK",SUMIFS(예비비!$O$430:$O$729,예비비!$B$430:$B$729,예비비!$A326,예비비!$E$430:$E$729,"&lt;"&amp;EDATE(BU$99,1),예비비!$F$430:$F$729,"결제대금비")+MAX(0,IF(예비비!$D326&lt;EDATE(BU$99,1),예비비!$E326,0)-SUMIFS(예비비!$O$430:$O$729,예비비!$B$430:$B$729,예비비!$A326,예비비!$E$430:$E$729,"&lt;"&amp;EDATE(BU$99,1))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  <c r="BI327">
        <f>IF(예비비!$R327="OK",SUMIFS(예비비!$O$430:$O$729,예비비!$B$430:$B$729,예비비!$A327,예비비!$E$430:$E$729,"&lt;"&amp;EDATE(BI$99,1),예비비!$F$430:$F$729,"결제대금비")+MAX(0,IF(예비비!$D327&lt;EDATE(BI$99,1),예비비!$E327,0)-SUMIFS(예비비!$O$430:$O$729,예비비!$B$430:$B$729,예비비!$A327,예비비!$E$430:$E$729,"&lt;"&amp;EDATE(BI$99,1))),0)</f>
        <v>0</v>
      </c>
      <c r="BJ327">
        <f>IF(예비비!$R327="OK",SUMIFS(예비비!$O$430:$O$729,예비비!$B$430:$B$729,예비비!$A327,예비비!$E$430:$E$729,"&lt;"&amp;EDATE(BJ$99,1),예비비!$F$430:$F$729,"결제대금비")+MAX(0,IF(예비비!$D327&lt;EDATE(BJ$99,1),예비비!$E327,0)-SUMIFS(예비비!$O$430:$O$729,예비비!$B$430:$B$729,예비비!$A327,예비비!$E$430:$E$729,"&lt;"&amp;EDATE(BJ$99,1))),0)</f>
        <v>0</v>
      </c>
      <c r="BK327">
        <f>IF(예비비!$R327="OK",SUMIFS(예비비!$O$430:$O$729,예비비!$B$430:$B$729,예비비!$A327,예비비!$E$430:$E$729,"&lt;"&amp;EDATE(BK$99,1),예비비!$F$430:$F$729,"결제대금비")+MAX(0,IF(예비비!$D327&lt;EDATE(BK$99,1),예비비!$E327,0)-SUMIFS(예비비!$O$430:$O$729,예비비!$B$430:$B$729,예비비!$A327,예비비!$E$430:$E$729,"&lt;"&amp;EDATE(BK$99,1))),0)</f>
        <v>0</v>
      </c>
      <c r="BL327">
        <f>IF(예비비!$R327="OK",SUMIFS(예비비!$O$430:$O$729,예비비!$B$430:$B$729,예비비!$A327,예비비!$E$430:$E$729,"&lt;"&amp;EDATE(BL$99,1),예비비!$F$430:$F$729,"결제대금비")+MAX(0,IF(예비비!$D327&lt;EDATE(BL$99,1),예비비!$E327,0)-SUMIFS(예비비!$O$430:$O$729,예비비!$B$430:$B$729,예비비!$A327,예비비!$E$430:$E$729,"&lt;"&amp;EDATE(BL$99,1))),0)</f>
        <v>0</v>
      </c>
      <c r="BM327">
        <f>IF(예비비!$R327="OK",SUMIFS(예비비!$O$430:$O$729,예비비!$B$430:$B$729,예비비!$A327,예비비!$E$430:$E$729,"&lt;"&amp;EDATE(BM$99,1),예비비!$F$430:$F$729,"결제대금비")+MAX(0,IF(예비비!$D327&lt;EDATE(BM$99,1),예비비!$E327,0)-SUMIFS(예비비!$O$430:$O$729,예비비!$B$430:$B$729,예비비!$A327,예비비!$E$430:$E$729,"&lt;"&amp;EDATE(BM$99,1))),0)</f>
        <v>0</v>
      </c>
      <c r="BN327">
        <f>IF(예비비!$R327="OK",SUMIFS(예비비!$O$430:$O$729,예비비!$B$430:$B$729,예비비!$A327,예비비!$E$430:$E$729,"&lt;"&amp;EDATE(BN$99,1),예비비!$F$430:$F$729,"결제대금비")+MAX(0,IF(예비비!$D327&lt;EDATE(BN$99,1),예비비!$E327,0)-SUMIFS(예비비!$O$430:$O$729,예비비!$B$430:$B$729,예비비!$A327,예비비!$E$430:$E$729,"&lt;"&amp;EDATE(BN$99,1))),0)</f>
        <v>0</v>
      </c>
      <c r="BO327">
        <f>IF(예비비!$R327="OK",SUMIFS(예비비!$O$430:$O$729,예비비!$B$430:$B$729,예비비!$A327,예비비!$E$430:$E$729,"&lt;"&amp;EDATE(BO$99,1),예비비!$F$430:$F$729,"결제대금비")+MAX(0,IF(예비비!$D327&lt;EDATE(BO$99,1),예비비!$E327,0)-SUMIFS(예비비!$O$430:$O$729,예비비!$B$430:$B$729,예비비!$A327,예비비!$E$430:$E$729,"&lt;"&amp;EDATE(BO$99,1))),0)</f>
        <v>0</v>
      </c>
      <c r="BP327">
        <f>IF(예비비!$R327="OK",SUMIFS(예비비!$O$430:$O$729,예비비!$B$430:$B$729,예비비!$A327,예비비!$E$430:$E$729,"&lt;"&amp;EDATE(BP$99,1),예비비!$F$430:$F$729,"결제대금비")+MAX(0,IF(예비비!$D327&lt;EDATE(BP$99,1),예비비!$E327,0)-SUMIFS(예비비!$O$430:$O$729,예비비!$B$430:$B$729,예비비!$A327,예비비!$E$430:$E$729,"&lt;"&amp;EDATE(BP$99,1))),0)</f>
        <v>0</v>
      </c>
      <c r="BQ327">
        <f>IF(예비비!$R327="OK",SUMIFS(예비비!$O$430:$O$729,예비비!$B$430:$B$729,예비비!$A327,예비비!$E$430:$E$729,"&lt;"&amp;EDATE(BQ$99,1),예비비!$F$430:$F$729,"결제대금비")+MAX(0,IF(예비비!$D327&lt;EDATE(BQ$99,1),예비비!$E327,0)-SUMIFS(예비비!$O$430:$O$729,예비비!$B$430:$B$729,예비비!$A327,예비비!$E$430:$E$729,"&lt;"&amp;EDATE(BQ$99,1))),0)</f>
        <v>0</v>
      </c>
      <c r="BR327">
        <f>IF(예비비!$R327="OK",SUMIFS(예비비!$O$430:$O$729,예비비!$B$430:$B$729,예비비!$A327,예비비!$E$430:$E$729,"&lt;"&amp;EDATE(BR$99,1),예비비!$F$430:$F$729,"결제대금비")+MAX(0,IF(예비비!$D327&lt;EDATE(BR$99,1),예비비!$E327,0)-SUMIFS(예비비!$O$430:$O$729,예비비!$B$430:$B$729,예비비!$A327,예비비!$E$430:$E$729,"&lt;"&amp;EDATE(BR$99,1))),0)</f>
        <v>0</v>
      </c>
      <c r="BS327">
        <f>IF(예비비!$R327="OK",SUMIFS(예비비!$O$430:$O$729,예비비!$B$430:$B$729,예비비!$A327,예비비!$E$430:$E$729,"&lt;"&amp;EDATE(BS$99,1),예비비!$F$430:$F$729,"결제대금비")+MAX(0,IF(예비비!$D327&lt;EDATE(BS$99,1),예비비!$E327,0)-SUMIFS(예비비!$O$430:$O$729,예비비!$B$430:$B$729,예비비!$A327,예비비!$E$430:$E$729,"&lt;"&amp;EDATE(BS$99,1))),0)</f>
        <v>0</v>
      </c>
      <c r="BT327">
        <f>IF(예비비!$R327="OK",SUMIFS(예비비!$O$430:$O$729,예비비!$B$430:$B$729,예비비!$A327,예비비!$E$430:$E$729,"&lt;"&amp;EDATE(BT$99,1),예비비!$F$430:$F$729,"결제대금비")+MAX(0,IF(예비비!$D327&lt;EDATE(BT$99,1),예비비!$E327,0)-SUMIFS(예비비!$O$430:$O$729,예비비!$B$430:$B$729,예비비!$A327,예비비!$E$430:$E$729,"&lt;"&amp;EDATE(BT$99,1))),0)</f>
        <v>0</v>
      </c>
      <c r="BU327">
        <f>IF(예비비!$R327="OK",SUMIFS(예비비!$O$430:$O$729,예비비!$B$430:$B$729,예비비!$A327,예비비!$E$430:$E$729,"&lt;"&amp;EDATE(BU$99,1),예비비!$F$430:$F$729,"결제대금비")+MAX(0,IF(예비비!$D327&lt;EDATE(BU$99,1),예비비!$E327,0)-SUMIFS(예비비!$O$430:$O$729,예비비!$B$430:$B$729,예비비!$A327,예비비!$E$430:$E$729,"&lt;"&amp;EDATE(BU$99,1))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  <c r="BI328">
        <f>IF(예비비!$R328="OK",SUMIFS(예비비!$O$430:$O$729,예비비!$B$430:$B$729,예비비!$A328,예비비!$E$430:$E$729,"&lt;"&amp;EDATE(BI$99,1),예비비!$F$430:$F$729,"결제대금비")+MAX(0,IF(예비비!$D328&lt;EDATE(BI$99,1),예비비!$E328,0)-SUMIFS(예비비!$O$430:$O$729,예비비!$B$430:$B$729,예비비!$A328,예비비!$E$430:$E$729,"&lt;"&amp;EDATE(BI$99,1))),0)</f>
        <v>0</v>
      </c>
      <c r="BJ328">
        <f>IF(예비비!$R328="OK",SUMIFS(예비비!$O$430:$O$729,예비비!$B$430:$B$729,예비비!$A328,예비비!$E$430:$E$729,"&lt;"&amp;EDATE(BJ$99,1),예비비!$F$430:$F$729,"결제대금비")+MAX(0,IF(예비비!$D328&lt;EDATE(BJ$99,1),예비비!$E328,0)-SUMIFS(예비비!$O$430:$O$729,예비비!$B$430:$B$729,예비비!$A328,예비비!$E$430:$E$729,"&lt;"&amp;EDATE(BJ$99,1))),0)</f>
        <v>0</v>
      </c>
      <c r="BK328">
        <f>IF(예비비!$R328="OK",SUMIFS(예비비!$O$430:$O$729,예비비!$B$430:$B$729,예비비!$A328,예비비!$E$430:$E$729,"&lt;"&amp;EDATE(BK$99,1),예비비!$F$430:$F$729,"결제대금비")+MAX(0,IF(예비비!$D328&lt;EDATE(BK$99,1),예비비!$E328,0)-SUMIFS(예비비!$O$430:$O$729,예비비!$B$430:$B$729,예비비!$A328,예비비!$E$430:$E$729,"&lt;"&amp;EDATE(BK$99,1))),0)</f>
        <v>0</v>
      </c>
      <c r="BL328">
        <f>IF(예비비!$R328="OK",SUMIFS(예비비!$O$430:$O$729,예비비!$B$430:$B$729,예비비!$A328,예비비!$E$430:$E$729,"&lt;"&amp;EDATE(BL$99,1),예비비!$F$430:$F$729,"결제대금비")+MAX(0,IF(예비비!$D328&lt;EDATE(BL$99,1),예비비!$E328,0)-SUMIFS(예비비!$O$430:$O$729,예비비!$B$430:$B$729,예비비!$A328,예비비!$E$430:$E$729,"&lt;"&amp;EDATE(BL$99,1))),0)</f>
        <v>0</v>
      </c>
      <c r="BM328">
        <f>IF(예비비!$R328="OK",SUMIFS(예비비!$O$430:$O$729,예비비!$B$430:$B$729,예비비!$A328,예비비!$E$430:$E$729,"&lt;"&amp;EDATE(BM$99,1),예비비!$F$430:$F$729,"결제대금비")+MAX(0,IF(예비비!$D328&lt;EDATE(BM$99,1),예비비!$E328,0)-SUMIFS(예비비!$O$430:$O$729,예비비!$B$430:$B$729,예비비!$A328,예비비!$E$430:$E$729,"&lt;"&amp;EDATE(BM$99,1))),0)</f>
        <v>0</v>
      </c>
      <c r="BN328">
        <f>IF(예비비!$R328="OK",SUMIFS(예비비!$O$430:$O$729,예비비!$B$430:$B$729,예비비!$A328,예비비!$E$430:$E$729,"&lt;"&amp;EDATE(BN$99,1),예비비!$F$430:$F$729,"결제대금비")+MAX(0,IF(예비비!$D328&lt;EDATE(BN$99,1),예비비!$E328,0)-SUMIFS(예비비!$O$430:$O$729,예비비!$B$430:$B$729,예비비!$A328,예비비!$E$430:$E$729,"&lt;"&amp;EDATE(BN$99,1))),0)</f>
        <v>0</v>
      </c>
      <c r="BO328">
        <f>IF(예비비!$R328="OK",SUMIFS(예비비!$O$430:$O$729,예비비!$B$430:$B$729,예비비!$A328,예비비!$E$430:$E$729,"&lt;"&amp;EDATE(BO$99,1),예비비!$F$430:$F$729,"결제대금비")+MAX(0,IF(예비비!$D328&lt;EDATE(BO$99,1),예비비!$E328,0)-SUMIFS(예비비!$O$430:$O$729,예비비!$B$430:$B$729,예비비!$A328,예비비!$E$430:$E$729,"&lt;"&amp;EDATE(BO$99,1))),0)</f>
        <v>0</v>
      </c>
      <c r="BP328">
        <f>IF(예비비!$R328="OK",SUMIFS(예비비!$O$430:$O$729,예비비!$B$430:$B$729,예비비!$A328,예비비!$E$430:$E$729,"&lt;"&amp;EDATE(BP$99,1),예비비!$F$430:$F$729,"결제대금비")+MAX(0,IF(예비비!$D328&lt;EDATE(BP$99,1),예비비!$E328,0)-SUMIFS(예비비!$O$430:$O$729,예비비!$B$430:$B$729,예비비!$A328,예비비!$E$430:$E$729,"&lt;"&amp;EDATE(BP$99,1))),0)</f>
        <v>0</v>
      </c>
      <c r="BQ328">
        <f>IF(예비비!$R328="OK",SUMIFS(예비비!$O$430:$O$729,예비비!$B$430:$B$729,예비비!$A328,예비비!$E$430:$E$729,"&lt;"&amp;EDATE(BQ$99,1),예비비!$F$430:$F$729,"결제대금비")+MAX(0,IF(예비비!$D328&lt;EDATE(BQ$99,1),예비비!$E328,0)-SUMIFS(예비비!$O$430:$O$729,예비비!$B$430:$B$729,예비비!$A328,예비비!$E$430:$E$729,"&lt;"&amp;EDATE(BQ$99,1))),0)</f>
        <v>0</v>
      </c>
      <c r="BR328">
        <f>IF(예비비!$R328="OK",SUMIFS(예비비!$O$430:$O$729,예비비!$B$430:$B$729,예비비!$A328,예비비!$E$430:$E$729,"&lt;"&amp;EDATE(BR$99,1),예비비!$F$430:$F$729,"결제대금비")+MAX(0,IF(예비비!$D328&lt;EDATE(BR$99,1),예비비!$E328,0)-SUMIFS(예비비!$O$430:$O$729,예비비!$B$430:$B$729,예비비!$A328,예비비!$E$430:$E$729,"&lt;"&amp;EDATE(BR$99,1))),0)</f>
        <v>0</v>
      </c>
      <c r="BS328">
        <f>IF(예비비!$R328="OK",SUMIFS(예비비!$O$430:$O$729,예비비!$B$430:$B$729,예비비!$A328,예비비!$E$430:$E$729,"&lt;"&amp;EDATE(BS$99,1),예비비!$F$430:$F$729,"결제대금비")+MAX(0,IF(예비비!$D328&lt;EDATE(BS$99,1),예비비!$E328,0)-SUMIFS(예비비!$O$430:$O$729,예비비!$B$430:$B$729,예비비!$A328,예비비!$E$430:$E$729,"&lt;"&amp;EDATE(BS$99,1))),0)</f>
        <v>0</v>
      </c>
      <c r="BT328">
        <f>IF(예비비!$R328="OK",SUMIFS(예비비!$O$430:$O$729,예비비!$B$430:$B$729,예비비!$A328,예비비!$E$430:$E$729,"&lt;"&amp;EDATE(BT$99,1),예비비!$F$430:$F$729,"결제대금비")+MAX(0,IF(예비비!$D328&lt;EDATE(BT$99,1),예비비!$E328,0)-SUMIFS(예비비!$O$430:$O$729,예비비!$B$430:$B$729,예비비!$A328,예비비!$E$430:$E$729,"&lt;"&amp;EDATE(BT$99,1))),0)</f>
        <v>0</v>
      </c>
      <c r="BU328">
        <f>IF(예비비!$R328="OK",SUMIFS(예비비!$O$430:$O$729,예비비!$B$430:$B$729,예비비!$A328,예비비!$E$430:$E$729,"&lt;"&amp;EDATE(BU$99,1),예비비!$F$430:$F$729,"결제대금비")+MAX(0,IF(예비비!$D328&lt;EDATE(BU$99,1),예비비!$E328,0)-SUMIFS(예비비!$O$430:$O$729,예비비!$B$430:$B$729,예비비!$A328,예비비!$E$430:$E$729,"&lt;"&amp;EDATE(BU$99,1))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  <c r="BI329">
        <f>IF(예비비!$R329="OK",SUMIFS(예비비!$O$430:$O$729,예비비!$B$430:$B$729,예비비!$A329,예비비!$E$430:$E$729,"&lt;"&amp;EDATE(BI$99,1),예비비!$F$430:$F$729,"결제대금비")+MAX(0,IF(예비비!$D329&lt;EDATE(BI$99,1),예비비!$E329,0)-SUMIFS(예비비!$O$430:$O$729,예비비!$B$430:$B$729,예비비!$A329,예비비!$E$430:$E$729,"&lt;"&amp;EDATE(BI$99,1))),0)</f>
        <v>0</v>
      </c>
      <c r="BJ329">
        <f>IF(예비비!$R329="OK",SUMIFS(예비비!$O$430:$O$729,예비비!$B$430:$B$729,예비비!$A329,예비비!$E$430:$E$729,"&lt;"&amp;EDATE(BJ$99,1),예비비!$F$430:$F$729,"결제대금비")+MAX(0,IF(예비비!$D329&lt;EDATE(BJ$99,1),예비비!$E329,0)-SUMIFS(예비비!$O$430:$O$729,예비비!$B$430:$B$729,예비비!$A329,예비비!$E$430:$E$729,"&lt;"&amp;EDATE(BJ$99,1))),0)</f>
        <v>0</v>
      </c>
      <c r="BK329">
        <f>IF(예비비!$R329="OK",SUMIFS(예비비!$O$430:$O$729,예비비!$B$430:$B$729,예비비!$A329,예비비!$E$430:$E$729,"&lt;"&amp;EDATE(BK$99,1),예비비!$F$430:$F$729,"결제대금비")+MAX(0,IF(예비비!$D329&lt;EDATE(BK$99,1),예비비!$E329,0)-SUMIFS(예비비!$O$430:$O$729,예비비!$B$430:$B$729,예비비!$A329,예비비!$E$430:$E$729,"&lt;"&amp;EDATE(BK$99,1))),0)</f>
        <v>0</v>
      </c>
      <c r="BL329">
        <f>IF(예비비!$R329="OK",SUMIFS(예비비!$O$430:$O$729,예비비!$B$430:$B$729,예비비!$A329,예비비!$E$430:$E$729,"&lt;"&amp;EDATE(BL$99,1),예비비!$F$430:$F$729,"결제대금비")+MAX(0,IF(예비비!$D329&lt;EDATE(BL$99,1),예비비!$E329,0)-SUMIFS(예비비!$O$430:$O$729,예비비!$B$430:$B$729,예비비!$A329,예비비!$E$430:$E$729,"&lt;"&amp;EDATE(BL$99,1))),0)</f>
        <v>0</v>
      </c>
      <c r="BM329">
        <f>IF(예비비!$R329="OK",SUMIFS(예비비!$O$430:$O$729,예비비!$B$430:$B$729,예비비!$A329,예비비!$E$430:$E$729,"&lt;"&amp;EDATE(BM$99,1),예비비!$F$430:$F$729,"결제대금비")+MAX(0,IF(예비비!$D329&lt;EDATE(BM$99,1),예비비!$E329,0)-SUMIFS(예비비!$O$430:$O$729,예비비!$B$430:$B$729,예비비!$A329,예비비!$E$430:$E$729,"&lt;"&amp;EDATE(BM$99,1))),0)</f>
        <v>0</v>
      </c>
      <c r="BN329">
        <f>IF(예비비!$R329="OK",SUMIFS(예비비!$O$430:$O$729,예비비!$B$430:$B$729,예비비!$A329,예비비!$E$430:$E$729,"&lt;"&amp;EDATE(BN$99,1),예비비!$F$430:$F$729,"결제대금비")+MAX(0,IF(예비비!$D329&lt;EDATE(BN$99,1),예비비!$E329,0)-SUMIFS(예비비!$O$430:$O$729,예비비!$B$430:$B$729,예비비!$A329,예비비!$E$430:$E$729,"&lt;"&amp;EDATE(BN$99,1))),0)</f>
        <v>0</v>
      </c>
      <c r="BO329">
        <f>IF(예비비!$R329="OK",SUMIFS(예비비!$O$430:$O$729,예비비!$B$430:$B$729,예비비!$A329,예비비!$E$430:$E$729,"&lt;"&amp;EDATE(BO$99,1),예비비!$F$430:$F$729,"결제대금비")+MAX(0,IF(예비비!$D329&lt;EDATE(BO$99,1),예비비!$E329,0)-SUMIFS(예비비!$O$430:$O$729,예비비!$B$430:$B$729,예비비!$A329,예비비!$E$430:$E$729,"&lt;"&amp;EDATE(BO$99,1))),0)</f>
        <v>0</v>
      </c>
      <c r="BP329">
        <f>IF(예비비!$R329="OK",SUMIFS(예비비!$O$430:$O$729,예비비!$B$430:$B$729,예비비!$A329,예비비!$E$430:$E$729,"&lt;"&amp;EDATE(BP$99,1),예비비!$F$430:$F$729,"결제대금비")+MAX(0,IF(예비비!$D329&lt;EDATE(BP$99,1),예비비!$E329,0)-SUMIFS(예비비!$O$430:$O$729,예비비!$B$430:$B$729,예비비!$A329,예비비!$E$430:$E$729,"&lt;"&amp;EDATE(BP$99,1))),0)</f>
        <v>0</v>
      </c>
      <c r="BQ329">
        <f>IF(예비비!$R329="OK",SUMIFS(예비비!$O$430:$O$729,예비비!$B$430:$B$729,예비비!$A329,예비비!$E$430:$E$729,"&lt;"&amp;EDATE(BQ$99,1),예비비!$F$430:$F$729,"결제대금비")+MAX(0,IF(예비비!$D329&lt;EDATE(BQ$99,1),예비비!$E329,0)-SUMIFS(예비비!$O$430:$O$729,예비비!$B$430:$B$729,예비비!$A329,예비비!$E$430:$E$729,"&lt;"&amp;EDATE(BQ$99,1))),0)</f>
        <v>0</v>
      </c>
      <c r="BR329">
        <f>IF(예비비!$R329="OK",SUMIFS(예비비!$O$430:$O$729,예비비!$B$430:$B$729,예비비!$A329,예비비!$E$430:$E$729,"&lt;"&amp;EDATE(BR$99,1),예비비!$F$430:$F$729,"결제대금비")+MAX(0,IF(예비비!$D329&lt;EDATE(BR$99,1),예비비!$E329,0)-SUMIFS(예비비!$O$430:$O$729,예비비!$B$430:$B$729,예비비!$A329,예비비!$E$430:$E$729,"&lt;"&amp;EDATE(BR$99,1))),0)</f>
        <v>0</v>
      </c>
      <c r="BS329">
        <f>IF(예비비!$R329="OK",SUMIFS(예비비!$O$430:$O$729,예비비!$B$430:$B$729,예비비!$A329,예비비!$E$430:$E$729,"&lt;"&amp;EDATE(BS$99,1),예비비!$F$430:$F$729,"결제대금비")+MAX(0,IF(예비비!$D329&lt;EDATE(BS$99,1),예비비!$E329,0)-SUMIFS(예비비!$O$430:$O$729,예비비!$B$430:$B$729,예비비!$A329,예비비!$E$430:$E$729,"&lt;"&amp;EDATE(BS$99,1))),0)</f>
        <v>0</v>
      </c>
      <c r="BT329">
        <f>IF(예비비!$R329="OK",SUMIFS(예비비!$O$430:$O$729,예비비!$B$430:$B$729,예비비!$A329,예비비!$E$430:$E$729,"&lt;"&amp;EDATE(BT$99,1),예비비!$F$430:$F$729,"결제대금비")+MAX(0,IF(예비비!$D329&lt;EDATE(BT$99,1),예비비!$E329,0)-SUMIFS(예비비!$O$430:$O$729,예비비!$B$430:$B$729,예비비!$A329,예비비!$E$430:$E$729,"&lt;"&amp;EDATE(BT$99,1))),0)</f>
        <v>0</v>
      </c>
      <c r="BU329">
        <f>IF(예비비!$R329="OK",SUMIFS(예비비!$O$430:$O$729,예비비!$B$430:$B$729,예비비!$A329,예비비!$E$430:$E$729,"&lt;"&amp;EDATE(BU$99,1),예비비!$F$430:$F$729,"결제대금비")+MAX(0,IF(예비비!$D329&lt;EDATE(BU$99,1),예비비!$E329,0)-SUMIFS(예비비!$O$430:$O$729,예비비!$B$430:$B$729,예비비!$A329,예비비!$E$430:$E$729,"&lt;"&amp;EDATE(BU$99,1))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  <c r="BI330">
        <f>IF(예비비!$R330="OK",SUMIFS(예비비!$O$430:$O$729,예비비!$B$430:$B$729,예비비!$A330,예비비!$E$430:$E$729,"&lt;"&amp;EDATE(BI$99,1),예비비!$F$430:$F$729,"결제대금비")+MAX(0,IF(예비비!$D330&lt;EDATE(BI$99,1),예비비!$E330,0)-SUMIFS(예비비!$O$430:$O$729,예비비!$B$430:$B$729,예비비!$A330,예비비!$E$430:$E$729,"&lt;"&amp;EDATE(BI$99,1))),0)</f>
        <v>0</v>
      </c>
      <c r="BJ330">
        <f>IF(예비비!$R330="OK",SUMIFS(예비비!$O$430:$O$729,예비비!$B$430:$B$729,예비비!$A330,예비비!$E$430:$E$729,"&lt;"&amp;EDATE(BJ$99,1),예비비!$F$430:$F$729,"결제대금비")+MAX(0,IF(예비비!$D330&lt;EDATE(BJ$99,1),예비비!$E330,0)-SUMIFS(예비비!$O$430:$O$729,예비비!$B$430:$B$729,예비비!$A330,예비비!$E$430:$E$729,"&lt;"&amp;EDATE(BJ$99,1))),0)</f>
        <v>0</v>
      </c>
      <c r="BK330">
        <f>IF(예비비!$R330="OK",SUMIFS(예비비!$O$430:$O$729,예비비!$B$430:$B$729,예비비!$A330,예비비!$E$430:$E$729,"&lt;"&amp;EDATE(BK$99,1),예비비!$F$430:$F$729,"결제대금비")+MAX(0,IF(예비비!$D330&lt;EDATE(BK$99,1),예비비!$E330,0)-SUMIFS(예비비!$O$430:$O$729,예비비!$B$430:$B$729,예비비!$A330,예비비!$E$430:$E$729,"&lt;"&amp;EDATE(BK$99,1))),0)</f>
        <v>0</v>
      </c>
      <c r="BL330">
        <f>IF(예비비!$R330="OK",SUMIFS(예비비!$O$430:$O$729,예비비!$B$430:$B$729,예비비!$A330,예비비!$E$430:$E$729,"&lt;"&amp;EDATE(BL$99,1),예비비!$F$430:$F$729,"결제대금비")+MAX(0,IF(예비비!$D330&lt;EDATE(BL$99,1),예비비!$E330,0)-SUMIFS(예비비!$O$430:$O$729,예비비!$B$430:$B$729,예비비!$A330,예비비!$E$430:$E$729,"&lt;"&amp;EDATE(BL$99,1))),0)</f>
        <v>0</v>
      </c>
      <c r="BM330">
        <f>IF(예비비!$R330="OK",SUMIFS(예비비!$O$430:$O$729,예비비!$B$430:$B$729,예비비!$A330,예비비!$E$430:$E$729,"&lt;"&amp;EDATE(BM$99,1),예비비!$F$430:$F$729,"결제대금비")+MAX(0,IF(예비비!$D330&lt;EDATE(BM$99,1),예비비!$E330,0)-SUMIFS(예비비!$O$430:$O$729,예비비!$B$430:$B$729,예비비!$A330,예비비!$E$430:$E$729,"&lt;"&amp;EDATE(BM$99,1))),0)</f>
        <v>0</v>
      </c>
      <c r="BN330">
        <f>IF(예비비!$R330="OK",SUMIFS(예비비!$O$430:$O$729,예비비!$B$430:$B$729,예비비!$A330,예비비!$E$430:$E$729,"&lt;"&amp;EDATE(BN$99,1),예비비!$F$430:$F$729,"결제대금비")+MAX(0,IF(예비비!$D330&lt;EDATE(BN$99,1),예비비!$E330,0)-SUMIFS(예비비!$O$430:$O$729,예비비!$B$430:$B$729,예비비!$A330,예비비!$E$430:$E$729,"&lt;"&amp;EDATE(BN$99,1))),0)</f>
        <v>0</v>
      </c>
      <c r="BO330">
        <f>IF(예비비!$R330="OK",SUMIFS(예비비!$O$430:$O$729,예비비!$B$430:$B$729,예비비!$A330,예비비!$E$430:$E$729,"&lt;"&amp;EDATE(BO$99,1),예비비!$F$430:$F$729,"결제대금비")+MAX(0,IF(예비비!$D330&lt;EDATE(BO$99,1),예비비!$E330,0)-SUMIFS(예비비!$O$430:$O$729,예비비!$B$430:$B$729,예비비!$A330,예비비!$E$430:$E$729,"&lt;"&amp;EDATE(BO$99,1))),0)</f>
        <v>0</v>
      </c>
      <c r="BP330">
        <f>IF(예비비!$R330="OK",SUMIFS(예비비!$O$430:$O$729,예비비!$B$430:$B$729,예비비!$A330,예비비!$E$430:$E$729,"&lt;"&amp;EDATE(BP$99,1),예비비!$F$430:$F$729,"결제대금비")+MAX(0,IF(예비비!$D330&lt;EDATE(BP$99,1),예비비!$E330,0)-SUMIFS(예비비!$O$430:$O$729,예비비!$B$430:$B$729,예비비!$A330,예비비!$E$430:$E$729,"&lt;"&amp;EDATE(BP$99,1))),0)</f>
        <v>0</v>
      </c>
      <c r="BQ330">
        <f>IF(예비비!$R330="OK",SUMIFS(예비비!$O$430:$O$729,예비비!$B$430:$B$729,예비비!$A330,예비비!$E$430:$E$729,"&lt;"&amp;EDATE(BQ$99,1),예비비!$F$430:$F$729,"결제대금비")+MAX(0,IF(예비비!$D330&lt;EDATE(BQ$99,1),예비비!$E330,0)-SUMIFS(예비비!$O$430:$O$729,예비비!$B$430:$B$729,예비비!$A330,예비비!$E$430:$E$729,"&lt;"&amp;EDATE(BQ$99,1))),0)</f>
        <v>0</v>
      </c>
      <c r="BR330">
        <f>IF(예비비!$R330="OK",SUMIFS(예비비!$O$430:$O$729,예비비!$B$430:$B$729,예비비!$A330,예비비!$E$430:$E$729,"&lt;"&amp;EDATE(BR$99,1),예비비!$F$430:$F$729,"결제대금비")+MAX(0,IF(예비비!$D330&lt;EDATE(BR$99,1),예비비!$E330,0)-SUMIFS(예비비!$O$430:$O$729,예비비!$B$430:$B$729,예비비!$A330,예비비!$E$430:$E$729,"&lt;"&amp;EDATE(BR$99,1))),0)</f>
        <v>0</v>
      </c>
      <c r="BS330">
        <f>IF(예비비!$R330="OK",SUMIFS(예비비!$O$430:$O$729,예비비!$B$430:$B$729,예비비!$A330,예비비!$E$430:$E$729,"&lt;"&amp;EDATE(BS$99,1),예비비!$F$430:$F$729,"결제대금비")+MAX(0,IF(예비비!$D330&lt;EDATE(BS$99,1),예비비!$E330,0)-SUMIFS(예비비!$O$430:$O$729,예비비!$B$430:$B$729,예비비!$A330,예비비!$E$430:$E$729,"&lt;"&amp;EDATE(BS$99,1))),0)</f>
        <v>0</v>
      </c>
      <c r="BT330">
        <f>IF(예비비!$R330="OK",SUMIFS(예비비!$O$430:$O$729,예비비!$B$430:$B$729,예비비!$A330,예비비!$E$430:$E$729,"&lt;"&amp;EDATE(BT$99,1),예비비!$F$430:$F$729,"결제대금비")+MAX(0,IF(예비비!$D330&lt;EDATE(BT$99,1),예비비!$E330,0)-SUMIFS(예비비!$O$430:$O$729,예비비!$B$430:$B$729,예비비!$A330,예비비!$E$430:$E$729,"&lt;"&amp;EDATE(BT$99,1))),0)</f>
        <v>0</v>
      </c>
      <c r="BU330">
        <f>IF(예비비!$R330="OK",SUMIFS(예비비!$O$430:$O$729,예비비!$B$430:$B$729,예비비!$A330,예비비!$E$430:$E$729,"&lt;"&amp;EDATE(BU$99,1),예비비!$F$430:$F$729,"결제대금비")+MAX(0,IF(예비비!$D330&lt;EDATE(BU$99,1),예비비!$E330,0)-SUMIFS(예비비!$O$430:$O$729,예비비!$B$430:$B$729,예비비!$A330,예비비!$E$430:$E$729,"&lt;"&amp;EDATE(BU$99,1))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  <c r="BI331">
        <f>IF(예비비!$R331="OK",SUMIFS(예비비!$O$430:$O$729,예비비!$B$430:$B$729,예비비!$A331,예비비!$E$430:$E$729,"&lt;"&amp;EDATE(BI$99,1),예비비!$F$430:$F$729,"결제대금비")+MAX(0,IF(예비비!$D331&lt;EDATE(BI$99,1),예비비!$E331,0)-SUMIFS(예비비!$O$430:$O$729,예비비!$B$430:$B$729,예비비!$A331,예비비!$E$430:$E$729,"&lt;"&amp;EDATE(BI$99,1))),0)</f>
        <v>0</v>
      </c>
      <c r="BJ331">
        <f>IF(예비비!$R331="OK",SUMIFS(예비비!$O$430:$O$729,예비비!$B$430:$B$729,예비비!$A331,예비비!$E$430:$E$729,"&lt;"&amp;EDATE(BJ$99,1),예비비!$F$430:$F$729,"결제대금비")+MAX(0,IF(예비비!$D331&lt;EDATE(BJ$99,1),예비비!$E331,0)-SUMIFS(예비비!$O$430:$O$729,예비비!$B$430:$B$729,예비비!$A331,예비비!$E$430:$E$729,"&lt;"&amp;EDATE(BJ$99,1))),0)</f>
        <v>0</v>
      </c>
      <c r="BK331">
        <f>IF(예비비!$R331="OK",SUMIFS(예비비!$O$430:$O$729,예비비!$B$430:$B$729,예비비!$A331,예비비!$E$430:$E$729,"&lt;"&amp;EDATE(BK$99,1),예비비!$F$430:$F$729,"결제대금비")+MAX(0,IF(예비비!$D331&lt;EDATE(BK$99,1),예비비!$E331,0)-SUMIFS(예비비!$O$430:$O$729,예비비!$B$430:$B$729,예비비!$A331,예비비!$E$430:$E$729,"&lt;"&amp;EDATE(BK$99,1))),0)</f>
        <v>0</v>
      </c>
      <c r="BL331">
        <f>IF(예비비!$R331="OK",SUMIFS(예비비!$O$430:$O$729,예비비!$B$430:$B$729,예비비!$A331,예비비!$E$430:$E$729,"&lt;"&amp;EDATE(BL$99,1),예비비!$F$430:$F$729,"결제대금비")+MAX(0,IF(예비비!$D331&lt;EDATE(BL$99,1),예비비!$E331,0)-SUMIFS(예비비!$O$430:$O$729,예비비!$B$430:$B$729,예비비!$A331,예비비!$E$430:$E$729,"&lt;"&amp;EDATE(BL$99,1))),0)</f>
        <v>0</v>
      </c>
      <c r="BM331">
        <f>IF(예비비!$R331="OK",SUMIFS(예비비!$O$430:$O$729,예비비!$B$430:$B$729,예비비!$A331,예비비!$E$430:$E$729,"&lt;"&amp;EDATE(BM$99,1),예비비!$F$430:$F$729,"결제대금비")+MAX(0,IF(예비비!$D331&lt;EDATE(BM$99,1),예비비!$E331,0)-SUMIFS(예비비!$O$430:$O$729,예비비!$B$430:$B$729,예비비!$A331,예비비!$E$430:$E$729,"&lt;"&amp;EDATE(BM$99,1))),0)</f>
        <v>0</v>
      </c>
      <c r="BN331">
        <f>IF(예비비!$R331="OK",SUMIFS(예비비!$O$430:$O$729,예비비!$B$430:$B$729,예비비!$A331,예비비!$E$430:$E$729,"&lt;"&amp;EDATE(BN$99,1),예비비!$F$430:$F$729,"결제대금비")+MAX(0,IF(예비비!$D331&lt;EDATE(BN$99,1),예비비!$E331,0)-SUMIFS(예비비!$O$430:$O$729,예비비!$B$430:$B$729,예비비!$A331,예비비!$E$430:$E$729,"&lt;"&amp;EDATE(BN$99,1))),0)</f>
        <v>0</v>
      </c>
      <c r="BO331">
        <f>IF(예비비!$R331="OK",SUMIFS(예비비!$O$430:$O$729,예비비!$B$430:$B$729,예비비!$A331,예비비!$E$430:$E$729,"&lt;"&amp;EDATE(BO$99,1),예비비!$F$430:$F$729,"결제대금비")+MAX(0,IF(예비비!$D331&lt;EDATE(BO$99,1),예비비!$E331,0)-SUMIFS(예비비!$O$430:$O$729,예비비!$B$430:$B$729,예비비!$A331,예비비!$E$430:$E$729,"&lt;"&amp;EDATE(BO$99,1))),0)</f>
        <v>0</v>
      </c>
      <c r="BP331">
        <f>IF(예비비!$R331="OK",SUMIFS(예비비!$O$430:$O$729,예비비!$B$430:$B$729,예비비!$A331,예비비!$E$430:$E$729,"&lt;"&amp;EDATE(BP$99,1),예비비!$F$430:$F$729,"결제대금비")+MAX(0,IF(예비비!$D331&lt;EDATE(BP$99,1),예비비!$E331,0)-SUMIFS(예비비!$O$430:$O$729,예비비!$B$430:$B$729,예비비!$A331,예비비!$E$430:$E$729,"&lt;"&amp;EDATE(BP$99,1))),0)</f>
        <v>0</v>
      </c>
      <c r="BQ331">
        <f>IF(예비비!$R331="OK",SUMIFS(예비비!$O$430:$O$729,예비비!$B$430:$B$729,예비비!$A331,예비비!$E$430:$E$729,"&lt;"&amp;EDATE(BQ$99,1),예비비!$F$430:$F$729,"결제대금비")+MAX(0,IF(예비비!$D331&lt;EDATE(BQ$99,1),예비비!$E331,0)-SUMIFS(예비비!$O$430:$O$729,예비비!$B$430:$B$729,예비비!$A331,예비비!$E$430:$E$729,"&lt;"&amp;EDATE(BQ$99,1))),0)</f>
        <v>0</v>
      </c>
      <c r="BR331">
        <f>IF(예비비!$R331="OK",SUMIFS(예비비!$O$430:$O$729,예비비!$B$430:$B$729,예비비!$A331,예비비!$E$430:$E$729,"&lt;"&amp;EDATE(BR$99,1),예비비!$F$430:$F$729,"결제대금비")+MAX(0,IF(예비비!$D331&lt;EDATE(BR$99,1),예비비!$E331,0)-SUMIFS(예비비!$O$430:$O$729,예비비!$B$430:$B$729,예비비!$A331,예비비!$E$430:$E$729,"&lt;"&amp;EDATE(BR$99,1))),0)</f>
        <v>0</v>
      </c>
      <c r="BS331">
        <f>IF(예비비!$R331="OK",SUMIFS(예비비!$O$430:$O$729,예비비!$B$430:$B$729,예비비!$A331,예비비!$E$430:$E$729,"&lt;"&amp;EDATE(BS$99,1),예비비!$F$430:$F$729,"결제대금비")+MAX(0,IF(예비비!$D331&lt;EDATE(BS$99,1),예비비!$E331,0)-SUMIFS(예비비!$O$430:$O$729,예비비!$B$430:$B$729,예비비!$A331,예비비!$E$430:$E$729,"&lt;"&amp;EDATE(BS$99,1))),0)</f>
        <v>0</v>
      </c>
      <c r="BT331">
        <f>IF(예비비!$R331="OK",SUMIFS(예비비!$O$430:$O$729,예비비!$B$430:$B$729,예비비!$A331,예비비!$E$430:$E$729,"&lt;"&amp;EDATE(BT$99,1),예비비!$F$430:$F$729,"결제대금비")+MAX(0,IF(예비비!$D331&lt;EDATE(BT$99,1),예비비!$E331,0)-SUMIFS(예비비!$O$430:$O$729,예비비!$B$430:$B$729,예비비!$A331,예비비!$E$430:$E$729,"&lt;"&amp;EDATE(BT$99,1))),0)</f>
        <v>0</v>
      </c>
      <c r="BU331">
        <f>IF(예비비!$R331="OK",SUMIFS(예비비!$O$430:$O$729,예비비!$B$430:$B$729,예비비!$A331,예비비!$E$430:$E$729,"&lt;"&amp;EDATE(BU$99,1),예비비!$F$430:$F$729,"결제대금비")+MAX(0,IF(예비비!$D331&lt;EDATE(BU$99,1),예비비!$E331,0)-SUMIFS(예비비!$O$430:$O$729,예비비!$B$430:$B$729,예비비!$A331,예비비!$E$430:$E$729,"&lt;"&amp;EDATE(BU$99,1))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  <c r="BI332">
        <f>IF(예비비!$R332="OK",SUMIFS(예비비!$O$430:$O$729,예비비!$B$430:$B$729,예비비!$A332,예비비!$E$430:$E$729,"&lt;"&amp;EDATE(BI$99,1),예비비!$F$430:$F$729,"결제대금비")+MAX(0,IF(예비비!$D332&lt;EDATE(BI$99,1),예비비!$E332,0)-SUMIFS(예비비!$O$430:$O$729,예비비!$B$430:$B$729,예비비!$A332,예비비!$E$430:$E$729,"&lt;"&amp;EDATE(BI$99,1))),0)</f>
        <v>0</v>
      </c>
      <c r="BJ332">
        <f>IF(예비비!$R332="OK",SUMIFS(예비비!$O$430:$O$729,예비비!$B$430:$B$729,예비비!$A332,예비비!$E$430:$E$729,"&lt;"&amp;EDATE(BJ$99,1),예비비!$F$430:$F$729,"결제대금비")+MAX(0,IF(예비비!$D332&lt;EDATE(BJ$99,1),예비비!$E332,0)-SUMIFS(예비비!$O$430:$O$729,예비비!$B$430:$B$729,예비비!$A332,예비비!$E$430:$E$729,"&lt;"&amp;EDATE(BJ$99,1))),0)</f>
        <v>0</v>
      </c>
      <c r="BK332">
        <f>IF(예비비!$R332="OK",SUMIFS(예비비!$O$430:$O$729,예비비!$B$430:$B$729,예비비!$A332,예비비!$E$430:$E$729,"&lt;"&amp;EDATE(BK$99,1),예비비!$F$430:$F$729,"결제대금비")+MAX(0,IF(예비비!$D332&lt;EDATE(BK$99,1),예비비!$E332,0)-SUMIFS(예비비!$O$430:$O$729,예비비!$B$430:$B$729,예비비!$A332,예비비!$E$430:$E$729,"&lt;"&amp;EDATE(BK$99,1))),0)</f>
        <v>0</v>
      </c>
      <c r="BL332">
        <f>IF(예비비!$R332="OK",SUMIFS(예비비!$O$430:$O$729,예비비!$B$430:$B$729,예비비!$A332,예비비!$E$430:$E$729,"&lt;"&amp;EDATE(BL$99,1),예비비!$F$430:$F$729,"결제대금비")+MAX(0,IF(예비비!$D332&lt;EDATE(BL$99,1),예비비!$E332,0)-SUMIFS(예비비!$O$430:$O$729,예비비!$B$430:$B$729,예비비!$A332,예비비!$E$430:$E$729,"&lt;"&amp;EDATE(BL$99,1))),0)</f>
        <v>0</v>
      </c>
      <c r="BM332">
        <f>IF(예비비!$R332="OK",SUMIFS(예비비!$O$430:$O$729,예비비!$B$430:$B$729,예비비!$A332,예비비!$E$430:$E$729,"&lt;"&amp;EDATE(BM$99,1),예비비!$F$430:$F$729,"결제대금비")+MAX(0,IF(예비비!$D332&lt;EDATE(BM$99,1),예비비!$E332,0)-SUMIFS(예비비!$O$430:$O$729,예비비!$B$430:$B$729,예비비!$A332,예비비!$E$430:$E$729,"&lt;"&amp;EDATE(BM$99,1))),0)</f>
        <v>0</v>
      </c>
      <c r="BN332">
        <f>IF(예비비!$R332="OK",SUMIFS(예비비!$O$430:$O$729,예비비!$B$430:$B$729,예비비!$A332,예비비!$E$430:$E$729,"&lt;"&amp;EDATE(BN$99,1),예비비!$F$430:$F$729,"결제대금비")+MAX(0,IF(예비비!$D332&lt;EDATE(BN$99,1),예비비!$E332,0)-SUMIFS(예비비!$O$430:$O$729,예비비!$B$430:$B$729,예비비!$A332,예비비!$E$430:$E$729,"&lt;"&amp;EDATE(BN$99,1))),0)</f>
        <v>0</v>
      </c>
      <c r="BO332">
        <f>IF(예비비!$R332="OK",SUMIFS(예비비!$O$430:$O$729,예비비!$B$430:$B$729,예비비!$A332,예비비!$E$430:$E$729,"&lt;"&amp;EDATE(BO$99,1),예비비!$F$430:$F$729,"결제대금비")+MAX(0,IF(예비비!$D332&lt;EDATE(BO$99,1),예비비!$E332,0)-SUMIFS(예비비!$O$430:$O$729,예비비!$B$430:$B$729,예비비!$A332,예비비!$E$430:$E$729,"&lt;"&amp;EDATE(BO$99,1))),0)</f>
        <v>0</v>
      </c>
      <c r="BP332">
        <f>IF(예비비!$R332="OK",SUMIFS(예비비!$O$430:$O$729,예비비!$B$430:$B$729,예비비!$A332,예비비!$E$430:$E$729,"&lt;"&amp;EDATE(BP$99,1),예비비!$F$430:$F$729,"결제대금비")+MAX(0,IF(예비비!$D332&lt;EDATE(BP$99,1),예비비!$E332,0)-SUMIFS(예비비!$O$430:$O$729,예비비!$B$430:$B$729,예비비!$A332,예비비!$E$430:$E$729,"&lt;"&amp;EDATE(BP$99,1))),0)</f>
        <v>0</v>
      </c>
      <c r="BQ332">
        <f>IF(예비비!$R332="OK",SUMIFS(예비비!$O$430:$O$729,예비비!$B$430:$B$729,예비비!$A332,예비비!$E$430:$E$729,"&lt;"&amp;EDATE(BQ$99,1),예비비!$F$430:$F$729,"결제대금비")+MAX(0,IF(예비비!$D332&lt;EDATE(BQ$99,1),예비비!$E332,0)-SUMIFS(예비비!$O$430:$O$729,예비비!$B$430:$B$729,예비비!$A332,예비비!$E$430:$E$729,"&lt;"&amp;EDATE(BQ$99,1))),0)</f>
        <v>0</v>
      </c>
      <c r="BR332">
        <f>IF(예비비!$R332="OK",SUMIFS(예비비!$O$430:$O$729,예비비!$B$430:$B$729,예비비!$A332,예비비!$E$430:$E$729,"&lt;"&amp;EDATE(BR$99,1),예비비!$F$430:$F$729,"결제대금비")+MAX(0,IF(예비비!$D332&lt;EDATE(BR$99,1),예비비!$E332,0)-SUMIFS(예비비!$O$430:$O$729,예비비!$B$430:$B$729,예비비!$A332,예비비!$E$430:$E$729,"&lt;"&amp;EDATE(BR$99,1))),0)</f>
        <v>0</v>
      </c>
      <c r="BS332">
        <f>IF(예비비!$R332="OK",SUMIFS(예비비!$O$430:$O$729,예비비!$B$430:$B$729,예비비!$A332,예비비!$E$430:$E$729,"&lt;"&amp;EDATE(BS$99,1),예비비!$F$430:$F$729,"결제대금비")+MAX(0,IF(예비비!$D332&lt;EDATE(BS$99,1),예비비!$E332,0)-SUMIFS(예비비!$O$430:$O$729,예비비!$B$430:$B$729,예비비!$A332,예비비!$E$430:$E$729,"&lt;"&amp;EDATE(BS$99,1))),0)</f>
        <v>0</v>
      </c>
      <c r="BT332">
        <f>IF(예비비!$R332="OK",SUMIFS(예비비!$O$430:$O$729,예비비!$B$430:$B$729,예비비!$A332,예비비!$E$430:$E$729,"&lt;"&amp;EDATE(BT$99,1),예비비!$F$430:$F$729,"결제대금비")+MAX(0,IF(예비비!$D332&lt;EDATE(BT$99,1),예비비!$E332,0)-SUMIFS(예비비!$O$430:$O$729,예비비!$B$430:$B$729,예비비!$A332,예비비!$E$430:$E$729,"&lt;"&amp;EDATE(BT$99,1))),0)</f>
        <v>0</v>
      </c>
      <c r="BU332">
        <f>IF(예비비!$R332="OK",SUMIFS(예비비!$O$430:$O$729,예비비!$B$430:$B$729,예비비!$A332,예비비!$E$430:$E$729,"&lt;"&amp;EDATE(BU$99,1),예비비!$F$430:$F$729,"결제대금비")+MAX(0,IF(예비비!$D332&lt;EDATE(BU$99,1),예비비!$E332,0)-SUMIFS(예비비!$O$430:$O$729,예비비!$B$430:$B$729,예비비!$A332,예비비!$E$430:$E$729,"&lt;"&amp;EDATE(BU$99,1))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  <c r="BI333">
        <f>IF(예비비!$R333="OK",SUMIFS(예비비!$O$430:$O$729,예비비!$B$430:$B$729,예비비!$A333,예비비!$E$430:$E$729,"&lt;"&amp;EDATE(BI$99,1),예비비!$F$430:$F$729,"결제대금비")+MAX(0,IF(예비비!$D333&lt;EDATE(BI$99,1),예비비!$E333,0)-SUMIFS(예비비!$O$430:$O$729,예비비!$B$430:$B$729,예비비!$A333,예비비!$E$430:$E$729,"&lt;"&amp;EDATE(BI$99,1))),0)</f>
        <v>0</v>
      </c>
      <c r="BJ333">
        <f>IF(예비비!$R333="OK",SUMIFS(예비비!$O$430:$O$729,예비비!$B$430:$B$729,예비비!$A333,예비비!$E$430:$E$729,"&lt;"&amp;EDATE(BJ$99,1),예비비!$F$430:$F$729,"결제대금비")+MAX(0,IF(예비비!$D333&lt;EDATE(BJ$99,1),예비비!$E333,0)-SUMIFS(예비비!$O$430:$O$729,예비비!$B$430:$B$729,예비비!$A333,예비비!$E$430:$E$729,"&lt;"&amp;EDATE(BJ$99,1))),0)</f>
        <v>0</v>
      </c>
      <c r="BK333">
        <f>IF(예비비!$R333="OK",SUMIFS(예비비!$O$430:$O$729,예비비!$B$430:$B$729,예비비!$A333,예비비!$E$430:$E$729,"&lt;"&amp;EDATE(BK$99,1),예비비!$F$430:$F$729,"결제대금비")+MAX(0,IF(예비비!$D333&lt;EDATE(BK$99,1),예비비!$E333,0)-SUMIFS(예비비!$O$430:$O$729,예비비!$B$430:$B$729,예비비!$A333,예비비!$E$430:$E$729,"&lt;"&amp;EDATE(BK$99,1))),0)</f>
        <v>0</v>
      </c>
      <c r="BL333">
        <f>IF(예비비!$R333="OK",SUMIFS(예비비!$O$430:$O$729,예비비!$B$430:$B$729,예비비!$A333,예비비!$E$430:$E$729,"&lt;"&amp;EDATE(BL$99,1),예비비!$F$430:$F$729,"결제대금비")+MAX(0,IF(예비비!$D333&lt;EDATE(BL$99,1),예비비!$E333,0)-SUMIFS(예비비!$O$430:$O$729,예비비!$B$430:$B$729,예비비!$A333,예비비!$E$430:$E$729,"&lt;"&amp;EDATE(BL$99,1))),0)</f>
        <v>0</v>
      </c>
      <c r="BM333">
        <f>IF(예비비!$R333="OK",SUMIFS(예비비!$O$430:$O$729,예비비!$B$430:$B$729,예비비!$A333,예비비!$E$430:$E$729,"&lt;"&amp;EDATE(BM$99,1),예비비!$F$430:$F$729,"결제대금비")+MAX(0,IF(예비비!$D333&lt;EDATE(BM$99,1),예비비!$E333,0)-SUMIFS(예비비!$O$430:$O$729,예비비!$B$430:$B$729,예비비!$A333,예비비!$E$430:$E$729,"&lt;"&amp;EDATE(BM$99,1))),0)</f>
        <v>0</v>
      </c>
      <c r="BN333">
        <f>IF(예비비!$R333="OK",SUMIFS(예비비!$O$430:$O$729,예비비!$B$430:$B$729,예비비!$A333,예비비!$E$430:$E$729,"&lt;"&amp;EDATE(BN$99,1),예비비!$F$430:$F$729,"결제대금비")+MAX(0,IF(예비비!$D333&lt;EDATE(BN$99,1),예비비!$E333,0)-SUMIFS(예비비!$O$430:$O$729,예비비!$B$430:$B$729,예비비!$A333,예비비!$E$430:$E$729,"&lt;"&amp;EDATE(BN$99,1))),0)</f>
        <v>0</v>
      </c>
      <c r="BO333">
        <f>IF(예비비!$R333="OK",SUMIFS(예비비!$O$430:$O$729,예비비!$B$430:$B$729,예비비!$A333,예비비!$E$430:$E$729,"&lt;"&amp;EDATE(BO$99,1),예비비!$F$430:$F$729,"결제대금비")+MAX(0,IF(예비비!$D333&lt;EDATE(BO$99,1),예비비!$E333,0)-SUMIFS(예비비!$O$430:$O$729,예비비!$B$430:$B$729,예비비!$A333,예비비!$E$430:$E$729,"&lt;"&amp;EDATE(BO$99,1))),0)</f>
        <v>0</v>
      </c>
      <c r="BP333">
        <f>IF(예비비!$R333="OK",SUMIFS(예비비!$O$430:$O$729,예비비!$B$430:$B$729,예비비!$A333,예비비!$E$430:$E$729,"&lt;"&amp;EDATE(BP$99,1),예비비!$F$430:$F$729,"결제대금비")+MAX(0,IF(예비비!$D333&lt;EDATE(BP$99,1),예비비!$E333,0)-SUMIFS(예비비!$O$430:$O$729,예비비!$B$430:$B$729,예비비!$A333,예비비!$E$430:$E$729,"&lt;"&amp;EDATE(BP$99,1))),0)</f>
        <v>0</v>
      </c>
      <c r="BQ333">
        <f>IF(예비비!$R333="OK",SUMIFS(예비비!$O$430:$O$729,예비비!$B$430:$B$729,예비비!$A333,예비비!$E$430:$E$729,"&lt;"&amp;EDATE(BQ$99,1),예비비!$F$430:$F$729,"결제대금비")+MAX(0,IF(예비비!$D333&lt;EDATE(BQ$99,1),예비비!$E333,0)-SUMIFS(예비비!$O$430:$O$729,예비비!$B$430:$B$729,예비비!$A333,예비비!$E$430:$E$729,"&lt;"&amp;EDATE(BQ$99,1))),0)</f>
        <v>0</v>
      </c>
      <c r="BR333">
        <f>IF(예비비!$R333="OK",SUMIFS(예비비!$O$430:$O$729,예비비!$B$430:$B$729,예비비!$A333,예비비!$E$430:$E$729,"&lt;"&amp;EDATE(BR$99,1),예비비!$F$430:$F$729,"결제대금비")+MAX(0,IF(예비비!$D333&lt;EDATE(BR$99,1),예비비!$E333,0)-SUMIFS(예비비!$O$430:$O$729,예비비!$B$430:$B$729,예비비!$A333,예비비!$E$430:$E$729,"&lt;"&amp;EDATE(BR$99,1))),0)</f>
        <v>0</v>
      </c>
      <c r="BS333">
        <f>IF(예비비!$R333="OK",SUMIFS(예비비!$O$430:$O$729,예비비!$B$430:$B$729,예비비!$A333,예비비!$E$430:$E$729,"&lt;"&amp;EDATE(BS$99,1),예비비!$F$430:$F$729,"결제대금비")+MAX(0,IF(예비비!$D333&lt;EDATE(BS$99,1),예비비!$E333,0)-SUMIFS(예비비!$O$430:$O$729,예비비!$B$430:$B$729,예비비!$A333,예비비!$E$430:$E$729,"&lt;"&amp;EDATE(BS$99,1))),0)</f>
        <v>0</v>
      </c>
      <c r="BT333">
        <f>IF(예비비!$R333="OK",SUMIFS(예비비!$O$430:$O$729,예비비!$B$430:$B$729,예비비!$A333,예비비!$E$430:$E$729,"&lt;"&amp;EDATE(BT$99,1),예비비!$F$430:$F$729,"결제대금비")+MAX(0,IF(예비비!$D333&lt;EDATE(BT$99,1),예비비!$E333,0)-SUMIFS(예비비!$O$430:$O$729,예비비!$B$430:$B$729,예비비!$A333,예비비!$E$430:$E$729,"&lt;"&amp;EDATE(BT$99,1))),0)</f>
        <v>0</v>
      </c>
      <c r="BU333">
        <f>IF(예비비!$R333="OK",SUMIFS(예비비!$O$430:$O$729,예비비!$B$430:$B$729,예비비!$A333,예비비!$E$430:$E$729,"&lt;"&amp;EDATE(BU$99,1),예비비!$F$430:$F$729,"결제대금비")+MAX(0,IF(예비비!$D333&lt;EDATE(BU$99,1),예비비!$E333,0)-SUMIFS(예비비!$O$430:$O$729,예비비!$B$430:$B$729,예비비!$A333,예비비!$E$430:$E$729,"&lt;"&amp;EDATE(BU$99,1))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  <c r="BI334">
        <f>IF(예비비!$R334="OK",SUMIFS(예비비!$O$430:$O$729,예비비!$B$430:$B$729,예비비!$A334,예비비!$E$430:$E$729,"&lt;"&amp;EDATE(BI$99,1),예비비!$F$430:$F$729,"결제대금비")+MAX(0,IF(예비비!$D334&lt;EDATE(BI$99,1),예비비!$E334,0)-SUMIFS(예비비!$O$430:$O$729,예비비!$B$430:$B$729,예비비!$A334,예비비!$E$430:$E$729,"&lt;"&amp;EDATE(BI$99,1))),0)</f>
        <v>0</v>
      </c>
      <c r="BJ334">
        <f>IF(예비비!$R334="OK",SUMIFS(예비비!$O$430:$O$729,예비비!$B$430:$B$729,예비비!$A334,예비비!$E$430:$E$729,"&lt;"&amp;EDATE(BJ$99,1),예비비!$F$430:$F$729,"결제대금비")+MAX(0,IF(예비비!$D334&lt;EDATE(BJ$99,1),예비비!$E334,0)-SUMIFS(예비비!$O$430:$O$729,예비비!$B$430:$B$729,예비비!$A334,예비비!$E$430:$E$729,"&lt;"&amp;EDATE(BJ$99,1))),0)</f>
        <v>0</v>
      </c>
      <c r="BK334">
        <f>IF(예비비!$R334="OK",SUMIFS(예비비!$O$430:$O$729,예비비!$B$430:$B$729,예비비!$A334,예비비!$E$430:$E$729,"&lt;"&amp;EDATE(BK$99,1),예비비!$F$430:$F$729,"결제대금비")+MAX(0,IF(예비비!$D334&lt;EDATE(BK$99,1),예비비!$E334,0)-SUMIFS(예비비!$O$430:$O$729,예비비!$B$430:$B$729,예비비!$A334,예비비!$E$430:$E$729,"&lt;"&amp;EDATE(BK$99,1))),0)</f>
        <v>0</v>
      </c>
      <c r="BL334">
        <f>IF(예비비!$R334="OK",SUMIFS(예비비!$O$430:$O$729,예비비!$B$430:$B$729,예비비!$A334,예비비!$E$430:$E$729,"&lt;"&amp;EDATE(BL$99,1),예비비!$F$430:$F$729,"결제대금비")+MAX(0,IF(예비비!$D334&lt;EDATE(BL$99,1),예비비!$E334,0)-SUMIFS(예비비!$O$430:$O$729,예비비!$B$430:$B$729,예비비!$A334,예비비!$E$430:$E$729,"&lt;"&amp;EDATE(BL$99,1))),0)</f>
        <v>0</v>
      </c>
      <c r="BM334">
        <f>IF(예비비!$R334="OK",SUMIFS(예비비!$O$430:$O$729,예비비!$B$430:$B$729,예비비!$A334,예비비!$E$430:$E$729,"&lt;"&amp;EDATE(BM$99,1),예비비!$F$430:$F$729,"결제대금비")+MAX(0,IF(예비비!$D334&lt;EDATE(BM$99,1),예비비!$E334,0)-SUMIFS(예비비!$O$430:$O$729,예비비!$B$430:$B$729,예비비!$A334,예비비!$E$430:$E$729,"&lt;"&amp;EDATE(BM$99,1))),0)</f>
        <v>0</v>
      </c>
      <c r="BN334">
        <f>IF(예비비!$R334="OK",SUMIFS(예비비!$O$430:$O$729,예비비!$B$430:$B$729,예비비!$A334,예비비!$E$430:$E$729,"&lt;"&amp;EDATE(BN$99,1),예비비!$F$430:$F$729,"결제대금비")+MAX(0,IF(예비비!$D334&lt;EDATE(BN$99,1),예비비!$E334,0)-SUMIFS(예비비!$O$430:$O$729,예비비!$B$430:$B$729,예비비!$A334,예비비!$E$430:$E$729,"&lt;"&amp;EDATE(BN$99,1))),0)</f>
        <v>0</v>
      </c>
      <c r="BO334">
        <f>IF(예비비!$R334="OK",SUMIFS(예비비!$O$430:$O$729,예비비!$B$430:$B$729,예비비!$A334,예비비!$E$430:$E$729,"&lt;"&amp;EDATE(BO$99,1),예비비!$F$430:$F$729,"결제대금비")+MAX(0,IF(예비비!$D334&lt;EDATE(BO$99,1),예비비!$E334,0)-SUMIFS(예비비!$O$430:$O$729,예비비!$B$430:$B$729,예비비!$A334,예비비!$E$430:$E$729,"&lt;"&amp;EDATE(BO$99,1))),0)</f>
        <v>0</v>
      </c>
      <c r="BP334">
        <f>IF(예비비!$R334="OK",SUMIFS(예비비!$O$430:$O$729,예비비!$B$430:$B$729,예비비!$A334,예비비!$E$430:$E$729,"&lt;"&amp;EDATE(BP$99,1),예비비!$F$430:$F$729,"결제대금비")+MAX(0,IF(예비비!$D334&lt;EDATE(BP$99,1),예비비!$E334,0)-SUMIFS(예비비!$O$430:$O$729,예비비!$B$430:$B$729,예비비!$A334,예비비!$E$430:$E$729,"&lt;"&amp;EDATE(BP$99,1))),0)</f>
        <v>0</v>
      </c>
      <c r="BQ334">
        <f>IF(예비비!$R334="OK",SUMIFS(예비비!$O$430:$O$729,예비비!$B$430:$B$729,예비비!$A334,예비비!$E$430:$E$729,"&lt;"&amp;EDATE(BQ$99,1),예비비!$F$430:$F$729,"결제대금비")+MAX(0,IF(예비비!$D334&lt;EDATE(BQ$99,1),예비비!$E334,0)-SUMIFS(예비비!$O$430:$O$729,예비비!$B$430:$B$729,예비비!$A334,예비비!$E$430:$E$729,"&lt;"&amp;EDATE(BQ$99,1))),0)</f>
        <v>0</v>
      </c>
      <c r="BR334">
        <f>IF(예비비!$R334="OK",SUMIFS(예비비!$O$430:$O$729,예비비!$B$430:$B$729,예비비!$A334,예비비!$E$430:$E$729,"&lt;"&amp;EDATE(BR$99,1),예비비!$F$430:$F$729,"결제대금비")+MAX(0,IF(예비비!$D334&lt;EDATE(BR$99,1),예비비!$E334,0)-SUMIFS(예비비!$O$430:$O$729,예비비!$B$430:$B$729,예비비!$A334,예비비!$E$430:$E$729,"&lt;"&amp;EDATE(BR$99,1))),0)</f>
        <v>0</v>
      </c>
      <c r="BS334">
        <f>IF(예비비!$R334="OK",SUMIFS(예비비!$O$430:$O$729,예비비!$B$430:$B$729,예비비!$A334,예비비!$E$430:$E$729,"&lt;"&amp;EDATE(BS$99,1),예비비!$F$430:$F$729,"결제대금비")+MAX(0,IF(예비비!$D334&lt;EDATE(BS$99,1),예비비!$E334,0)-SUMIFS(예비비!$O$430:$O$729,예비비!$B$430:$B$729,예비비!$A334,예비비!$E$430:$E$729,"&lt;"&amp;EDATE(BS$99,1))),0)</f>
        <v>0</v>
      </c>
      <c r="BT334">
        <f>IF(예비비!$R334="OK",SUMIFS(예비비!$O$430:$O$729,예비비!$B$430:$B$729,예비비!$A334,예비비!$E$430:$E$729,"&lt;"&amp;EDATE(BT$99,1),예비비!$F$430:$F$729,"결제대금비")+MAX(0,IF(예비비!$D334&lt;EDATE(BT$99,1),예비비!$E334,0)-SUMIFS(예비비!$O$430:$O$729,예비비!$B$430:$B$729,예비비!$A334,예비비!$E$430:$E$729,"&lt;"&amp;EDATE(BT$99,1))),0)</f>
        <v>0</v>
      </c>
      <c r="BU334">
        <f>IF(예비비!$R334="OK",SUMIFS(예비비!$O$430:$O$729,예비비!$B$430:$B$729,예비비!$A334,예비비!$E$430:$E$729,"&lt;"&amp;EDATE(BU$99,1),예비비!$F$430:$F$729,"결제대금비")+MAX(0,IF(예비비!$D334&lt;EDATE(BU$99,1),예비비!$E334,0)-SUMIFS(예비비!$O$430:$O$729,예비비!$B$430:$B$729,예비비!$A334,예비비!$E$430:$E$729,"&lt;"&amp;EDATE(BU$99,1))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  <c r="BI335">
        <f>IF(예비비!$R335="OK",SUMIFS(예비비!$O$430:$O$729,예비비!$B$430:$B$729,예비비!$A335,예비비!$E$430:$E$729,"&lt;"&amp;EDATE(BI$99,1),예비비!$F$430:$F$729,"결제대금비")+MAX(0,IF(예비비!$D335&lt;EDATE(BI$99,1),예비비!$E335,0)-SUMIFS(예비비!$O$430:$O$729,예비비!$B$430:$B$729,예비비!$A335,예비비!$E$430:$E$729,"&lt;"&amp;EDATE(BI$99,1))),0)</f>
        <v>0</v>
      </c>
      <c r="BJ335">
        <f>IF(예비비!$R335="OK",SUMIFS(예비비!$O$430:$O$729,예비비!$B$430:$B$729,예비비!$A335,예비비!$E$430:$E$729,"&lt;"&amp;EDATE(BJ$99,1),예비비!$F$430:$F$729,"결제대금비")+MAX(0,IF(예비비!$D335&lt;EDATE(BJ$99,1),예비비!$E335,0)-SUMIFS(예비비!$O$430:$O$729,예비비!$B$430:$B$729,예비비!$A335,예비비!$E$430:$E$729,"&lt;"&amp;EDATE(BJ$99,1))),0)</f>
        <v>0</v>
      </c>
      <c r="BK335">
        <f>IF(예비비!$R335="OK",SUMIFS(예비비!$O$430:$O$729,예비비!$B$430:$B$729,예비비!$A335,예비비!$E$430:$E$729,"&lt;"&amp;EDATE(BK$99,1),예비비!$F$430:$F$729,"결제대금비")+MAX(0,IF(예비비!$D335&lt;EDATE(BK$99,1),예비비!$E335,0)-SUMIFS(예비비!$O$430:$O$729,예비비!$B$430:$B$729,예비비!$A335,예비비!$E$430:$E$729,"&lt;"&amp;EDATE(BK$99,1))),0)</f>
        <v>0</v>
      </c>
      <c r="BL335">
        <f>IF(예비비!$R335="OK",SUMIFS(예비비!$O$430:$O$729,예비비!$B$430:$B$729,예비비!$A335,예비비!$E$430:$E$729,"&lt;"&amp;EDATE(BL$99,1),예비비!$F$430:$F$729,"결제대금비")+MAX(0,IF(예비비!$D335&lt;EDATE(BL$99,1),예비비!$E335,0)-SUMIFS(예비비!$O$430:$O$729,예비비!$B$430:$B$729,예비비!$A335,예비비!$E$430:$E$729,"&lt;"&amp;EDATE(BL$99,1))),0)</f>
        <v>0</v>
      </c>
      <c r="BM335">
        <f>IF(예비비!$R335="OK",SUMIFS(예비비!$O$430:$O$729,예비비!$B$430:$B$729,예비비!$A335,예비비!$E$430:$E$729,"&lt;"&amp;EDATE(BM$99,1),예비비!$F$430:$F$729,"결제대금비")+MAX(0,IF(예비비!$D335&lt;EDATE(BM$99,1),예비비!$E335,0)-SUMIFS(예비비!$O$430:$O$729,예비비!$B$430:$B$729,예비비!$A335,예비비!$E$430:$E$729,"&lt;"&amp;EDATE(BM$99,1))),0)</f>
        <v>0</v>
      </c>
      <c r="BN335">
        <f>IF(예비비!$R335="OK",SUMIFS(예비비!$O$430:$O$729,예비비!$B$430:$B$729,예비비!$A335,예비비!$E$430:$E$729,"&lt;"&amp;EDATE(BN$99,1),예비비!$F$430:$F$729,"결제대금비")+MAX(0,IF(예비비!$D335&lt;EDATE(BN$99,1),예비비!$E335,0)-SUMIFS(예비비!$O$430:$O$729,예비비!$B$430:$B$729,예비비!$A335,예비비!$E$430:$E$729,"&lt;"&amp;EDATE(BN$99,1))),0)</f>
        <v>0</v>
      </c>
      <c r="BO335">
        <f>IF(예비비!$R335="OK",SUMIFS(예비비!$O$430:$O$729,예비비!$B$430:$B$729,예비비!$A335,예비비!$E$430:$E$729,"&lt;"&amp;EDATE(BO$99,1),예비비!$F$430:$F$729,"결제대금비")+MAX(0,IF(예비비!$D335&lt;EDATE(BO$99,1),예비비!$E335,0)-SUMIFS(예비비!$O$430:$O$729,예비비!$B$430:$B$729,예비비!$A335,예비비!$E$430:$E$729,"&lt;"&amp;EDATE(BO$99,1))),0)</f>
        <v>0</v>
      </c>
      <c r="BP335">
        <f>IF(예비비!$R335="OK",SUMIFS(예비비!$O$430:$O$729,예비비!$B$430:$B$729,예비비!$A335,예비비!$E$430:$E$729,"&lt;"&amp;EDATE(BP$99,1),예비비!$F$430:$F$729,"결제대금비")+MAX(0,IF(예비비!$D335&lt;EDATE(BP$99,1),예비비!$E335,0)-SUMIFS(예비비!$O$430:$O$729,예비비!$B$430:$B$729,예비비!$A335,예비비!$E$430:$E$729,"&lt;"&amp;EDATE(BP$99,1))),0)</f>
        <v>0</v>
      </c>
      <c r="BQ335">
        <f>IF(예비비!$R335="OK",SUMIFS(예비비!$O$430:$O$729,예비비!$B$430:$B$729,예비비!$A335,예비비!$E$430:$E$729,"&lt;"&amp;EDATE(BQ$99,1),예비비!$F$430:$F$729,"결제대금비")+MAX(0,IF(예비비!$D335&lt;EDATE(BQ$99,1),예비비!$E335,0)-SUMIFS(예비비!$O$430:$O$729,예비비!$B$430:$B$729,예비비!$A335,예비비!$E$430:$E$729,"&lt;"&amp;EDATE(BQ$99,1))),0)</f>
        <v>0</v>
      </c>
      <c r="BR335">
        <f>IF(예비비!$R335="OK",SUMIFS(예비비!$O$430:$O$729,예비비!$B$430:$B$729,예비비!$A335,예비비!$E$430:$E$729,"&lt;"&amp;EDATE(BR$99,1),예비비!$F$430:$F$729,"결제대금비")+MAX(0,IF(예비비!$D335&lt;EDATE(BR$99,1),예비비!$E335,0)-SUMIFS(예비비!$O$430:$O$729,예비비!$B$430:$B$729,예비비!$A335,예비비!$E$430:$E$729,"&lt;"&amp;EDATE(BR$99,1))),0)</f>
        <v>0</v>
      </c>
      <c r="BS335">
        <f>IF(예비비!$R335="OK",SUMIFS(예비비!$O$430:$O$729,예비비!$B$430:$B$729,예비비!$A335,예비비!$E$430:$E$729,"&lt;"&amp;EDATE(BS$99,1),예비비!$F$430:$F$729,"결제대금비")+MAX(0,IF(예비비!$D335&lt;EDATE(BS$99,1),예비비!$E335,0)-SUMIFS(예비비!$O$430:$O$729,예비비!$B$430:$B$729,예비비!$A335,예비비!$E$430:$E$729,"&lt;"&amp;EDATE(BS$99,1))),0)</f>
        <v>0</v>
      </c>
      <c r="BT335">
        <f>IF(예비비!$R335="OK",SUMIFS(예비비!$O$430:$O$729,예비비!$B$430:$B$729,예비비!$A335,예비비!$E$430:$E$729,"&lt;"&amp;EDATE(BT$99,1),예비비!$F$430:$F$729,"결제대금비")+MAX(0,IF(예비비!$D335&lt;EDATE(BT$99,1),예비비!$E335,0)-SUMIFS(예비비!$O$430:$O$729,예비비!$B$430:$B$729,예비비!$A335,예비비!$E$430:$E$729,"&lt;"&amp;EDATE(BT$99,1))),0)</f>
        <v>0</v>
      </c>
      <c r="BU335">
        <f>IF(예비비!$R335="OK",SUMIFS(예비비!$O$430:$O$729,예비비!$B$430:$B$729,예비비!$A335,예비비!$E$430:$E$729,"&lt;"&amp;EDATE(BU$99,1),예비비!$F$430:$F$729,"결제대금비")+MAX(0,IF(예비비!$D335&lt;EDATE(BU$99,1),예비비!$E335,0)-SUMIFS(예비비!$O$430:$O$729,예비비!$B$430:$B$729,예비비!$A335,예비비!$E$430:$E$729,"&lt;"&amp;EDATE(BU$99,1))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  <c r="BI336">
        <f>IF(예비비!$R336="OK",SUMIFS(예비비!$O$430:$O$729,예비비!$B$430:$B$729,예비비!$A336,예비비!$E$430:$E$729,"&lt;"&amp;EDATE(BI$99,1),예비비!$F$430:$F$729,"결제대금비")+MAX(0,IF(예비비!$D336&lt;EDATE(BI$99,1),예비비!$E336,0)-SUMIFS(예비비!$O$430:$O$729,예비비!$B$430:$B$729,예비비!$A336,예비비!$E$430:$E$729,"&lt;"&amp;EDATE(BI$99,1))),0)</f>
        <v>0</v>
      </c>
      <c r="BJ336">
        <f>IF(예비비!$R336="OK",SUMIFS(예비비!$O$430:$O$729,예비비!$B$430:$B$729,예비비!$A336,예비비!$E$430:$E$729,"&lt;"&amp;EDATE(BJ$99,1),예비비!$F$430:$F$729,"결제대금비")+MAX(0,IF(예비비!$D336&lt;EDATE(BJ$99,1),예비비!$E336,0)-SUMIFS(예비비!$O$430:$O$729,예비비!$B$430:$B$729,예비비!$A336,예비비!$E$430:$E$729,"&lt;"&amp;EDATE(BJ$99,1))),0)</f>
        <v>0</v>
      </c>
      <c r="BK336">
        <f>IF(예비비!$R336="OK",SUMIFS(예비비!$O$430:$O$729,예비비!$B$430:$B$729,예비비!$A336,예비비!$E$430:$E$729,"&lt;"&amp;EDATE(BK$99,1),예비비!$F$430:$F$729,"결제대금비")+MAX(0,IF(예비비!$D336&lt;EDATE(BK$99,1),예비비!$E336,0)-SUMIFS(예비비!$O$430:$O$729,예비비!$B$430:$B$729,예비비!$A336,예비비!$E$430:$E$729,"&lt;"&amp;EDATE(BK$99,1))),0)</f>
        <v>0</v>
      </c>
      <c r="BL336">
        <f>IF(예비비!$R336="OK",SUMIFS(예비비!$O$430:$O$729,예비비!$B$430:$B$729,예비비!$A336,예비비!$E$430:$E$729,"&lt;"&amp;EDATE(BL$99,1),예비비!$F$430:$F$729,"결제대금비")+MAX(0,IF(예비비!$D336&lt;EDATE(BL$99,1),예비비!$E336,0)-SUMIFS(예비비!$O$430:$O$729,예비비!$B$430:$B$729,예비비!$A336,예비비!$E$430:$E$729,"&lt;"&amp;EDATE(BL$99,1))),0)</f>
        <v>0</v>
      </c>
      <c r="BM336">
        <f>IF(예비비!$R336="OK",SUMIFS(예비비!$O$430:$O$729,예비비!$B$430:$B$729,예비비!$A336,예비비!$E$430:$E$729,"&lt;"&amp;EDATE(BM$99,1),예비비!$F$430:$F$729,"결제대금비")+MAX(0,IF(예비비!$D336&lt;EDATE(BM$99,1),예비비!$E336,0)-SUMIFS(예비비!$O$430:$O$729,예비비!$B$430:$B$729,예비비!$A336,예비비!$E$430:$E$729,"&lt;"&amp;EDATE(BM$99,1))),0)</f>
        <v>0</v>
      </c>
      <c r="BN336">
        <f>IF(예비비!$R336="OK",SUMIFS(예비비!$O$430:$O$729,예비비!$B$430:$B$729,예비비!$A336,예비비!$E$430:$E$729,"&lt;"&amp;EDATE(BN$99,1),예비비!$F$430:$F$729,"결제대금비")+MAX(0,IF(예비비!$D336&lt;EDATE(BN$99,1),예비비!$E336,0)-SUMIFS(예비비!$O$430:$O$729,예비비!$B$430:$B$729,예비비!$A336,예비비!$E$430:$E$729,"&lt;"&amp;EDATE(BN$99,1))),0)</f>
        <v>0</v>
      </c>
      <c r="BO336">
        <f>IF(예비비!$R336="OK",SUMIFS(예비비!$O$430:$O$729,예비비!$B$430:$B$729,예비비!$A336,예비비!$E$430:$E$729,"&lt;"&amp;EDATE(BO$99,1),예비비!$F$430:$F$729,"결제대금비")+MAX(0,IF(예비비!$D336&lt;EDATE(BO$99,1),예비비!$E336,0)-SUMIFS(예비비!$O$430:$O$729,예비비!$B$430:$B$729,예비비!$A336,예비비!$E$430:$E$729,"&lt;"&amp;EDATE(BO$99,1))),0)</f>
        <v>0</v>
      </c>
      <c r="BP336">
        <f>IF(예비비!$R336="OK",SUMIFS(예비비!$O$430:$O$729,예비비!$B$430:$B$729,예비비!$A336,예비비!$E$430:$E$729,"&lt;"&amp;EDATE(BP$99,1),예비비!$F$430:$F$729,"결제대금비")+MAX(0,IF(예비비!$D336&lt;EDATE(BP$99,1),예비비!$E336,0)-SUMIFS(예비비!$O$430:$O$729,예비비!$B$430:$B$729,예비비!$A336,예비비!$E$430:$E$729,"&lt;"&amp;EDATE(BP$99,1))),0)</f>
        <v>0</v>
      </c>
      <c r="BQ336">
        <f>IF(예비비!$R336="OK",SUMIFS(예비비!$O$430:$O$729,예비비!$B$430:$B$729,예비비!$A336,예비비!$E$430:$E$729,"&lt;"&amp;EDATE(BQ$99,1),예비비!$F$430:$F$729,"결제대금비")+MAX(0,IF(예비비!$D336&lt;EDATE(BQ$99,1),예비비!$E336,0)-SUMIFS(예비비!$O$430:$O$729,예비비!$B$430:$B$729,예비비!$A336,예비비!$E$430:$E$729,"&lt;"&amp;EDATE(BQ$99,1))),0)</f>
        <v>0</v>
      </c>
      <c r="BR336">
        <f>IF(예비비!$R336="OK",SUMIFS(예비비!$O$430:$O$729,예비비!$B$430:$B$729,예비비!$A336,예비비!$E$430:$E$729,"&lt;"&amp;EDATE(BR$99,1),예비비!$F$430:$F$729,"결제대금비")+MAX(0,IF(예비비!$D336&lt;EDATE(BR$99,1),예비비!$E336,0)-SUMIFS(예비비!$O$430:$O$729,예비비!$B$430:$B$729,예비비!$A336,예비비!$E$430:$E$729,"&lt;"&amp;EDATE(BR$99,1))),0)</f>
        <v>0</v>
      </c>
      <c r="BS336">
        <f>IF(예비비!$R336="OK",SUMIFS(예비비!$O$430:$O$729,예비비!$B$430:$B$729,예비비!$A336,예비비!$E$430:$E$729,"&lt;"&amp;EDATE(BS$99,1),예비비!$F$430:$F$729,"결제대금비")+MAX(0,IF(예비비!$D336&lt;EDATE(BS$99,1),예비비!$E336,0)-SUMIFS(예비비!$O$430:$O$729,예비비!$B$430:$B$729,예비비!$A336,예비비!$E$430:$E$729,"&lt;"&amp;EDATE(BS$99,1))),0)</f>
        <v>0</v>
      </c>
      <c r="BT336">
        <f>IF(예비비!$R336="OK",SUMIFS(예비비!$O$430:$O$729,예비비!$B$430:$B$729,예비비!$A336,예비비!$E$430:$E$729,"&lt;"&amp;EDATE(BT$99,1),예비비!$F$430:$F$729,"결제대금비")+MAX(0,IF(예비비!$D336&lt;EDATE(BT$99,1),예비비!$E336,0)-SUMIFS(예비비!$O$430:$O$729,예비비!$B$430:$B$729,예비비!$A336,예비비!$E$430:$E$729,"&lt;"&amp;EDATE(BT$99,1))),0)</f>
        <v>0</v>
      </c>
      <c r="BU336">
        <f>IF(예비비!$R336="OK",SUMIFS(예비비!$O$430:$O$729,예비비!$B$430:$B$729,예비비!$A336,예비비!$E$430:$E$729,"&lt;"&amp;EDATE(BU$99,1),예비비!$F$430:$F$729,"결제대금비")+MAX(0,IF(예비비!$D336&lt;EDATE(BU$99,1),예비비!$E336,0)-SUMIFS(예비비!$O$430:$O$729,예비비!$B$430:$B$729,예비비!$A336,예비비!$E$430:$E$729,"&lt;"&amp;EDATE(BU$99,1))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  <c r="BI337">
        <f>IF(예비비!$R337="OK",SUMIFS(예비비!$O$430:$O$729,예비비!$B$430:$B$729,예비비!$A337,예비비!$E$430:$E$729,"&lt;"&amp;EDATE(BI$99,1),예비비!$F$430:$F$729,"결제대금비")+MAX(0,IF(예비비!$D337&lt;EDATE(BI$99,1),예비비!$E337,0)-SUMIFS(예비비!$O$430:$O$729,예비비!$B$430:$B$729,예비비!$A337,예비비!$E$430:$E$729,"&lt;"&amp;EDATE(BI$99,1))),0)</f>
        <v>0</v>
      </c>
      <c r="BJ337">
        <f>IF(예비비!$R337="OK",SUMIFS(예비비!$O$430:$O$729,예비비!$B$430:$B$729,예비비!$A337,예비비!$E$430:$E$729,"&lt;"&amp;EDATE(BJ$99,1),예비비!$F$430:$F$729,"결제대금비")+MAX(0,IF(예비비!$D337&lt;EDATE(BJ$99,1),예비비!$E337,0)-SUMIFS(예비비!$O$430:$O$729,예비비!$B$430:$B$729,예비비!$A337,예비비!$E$430:$E$729,"&lt;"&amp;EDATE(BJ$99,1))),0)</f>
        <v>0</v>
      </c>
      <c r="BK337">
        <f>IF(예비비!$R337="OK",SUMIFS(예비비!$O$430:$O$729,예비비!$B$430:$B$729,예비비!$A337,예비비!$E$430:$E$729,"&lt;"&amp;EDATE(BK$99,1),예비비!$F$430:$F$729,"결제대금비")+MAX(0,IF(예비비!$D337&lt;EDATE(BK$99,1),예비비!$E337,0)-SUMIFS(예비비!$O$430:$O$729,예비비!$B$430:$B$729,예비비!$A337,예비비!$E$430:$E$729,"&lt;"&amp;EDATE(BK$99,1))),0)</f>
        <v>0</v>
      </c>
      <c r="BL337">
        <f>IF(예비비!$R337="OK",SUMIFS(예비비!$O$430:$O$729,예비비!$B$430:$B$729,예비비!$A337,예비비!$E$430:$E$729,"&lt;"&amp;EDATE(BL$99,1),예비비!$F$430:$F$729,"결제대금비")+MAX(0,IF(예비비!$D337&lt;EDATE(BL$99,1),예비비!$E337,0)-SUMIFS(예비비!$O$430:$O$729,예비비!$B$430:$B$729,예비비!$A337,예비비!$E$430:$E$729,"&lt;"&amp;EDATE(BL$99,1))),0)</f>
        <v>0</v>
      </c>
      <c r="BM337">
        <f>IF(예비비!$R337="OK",SUMIFS(예비비!$O$430:$O$729,예비비!$B$430:$B$729,예비비!$A337,예비비!$E$430:$E$729,"&lt;"&amp;EDATE(BM$99,1),예비비!$F$430:$F$729,"결제대금비")+MAX(0,IF(예비비!$D337&lt;EDATE(BM$99,1),예비비!$E337,0)-SUMIFS(예비비!$O$430:$O$729,예비비!$B$430:$B$729,예비비!$A337,예비비!$E$430:$E$729,"&lt;"&amp;EDATE(BM$99,1))),0)</f>
        <v>0</v>
      </c>
      <c r="BN337">
        <f>IF(예비비!$R337="OK",SUMIFS(예비비!$O$430:$O$729,예비비!$B$430:$B$729,예비비!$A337,예비비!$E$430:$E$729,"&lt;"&amp;EDATE(BN$99,1),예비비!$F$430:$F$729,"결제대금비")+MAX(0,IF(예비비!$D337&lt;EDATE(BN$99,1),예비비!$E337,0)-SUMIFS(예비비!$O$430:$O$729,예비비!$B$430:$B$729,예비비!$A337,예비비!$E$430:$E$729,"&lt;"&amp;EDATE(BN$99,1))),0)</f>
        <v>0</v>
      </c>
      <c r="BO337">
        <f>IF(예비비!$R337="OK",SUMIFS(예비비!$O$430:$O$729,예비비!$B$430:$B$729,예비비!$A337,예비비!$E$430:$E$729,"&lt;"&amp;EDATE(BO$99,1),예비비!$F$430:$F$729,"결제대금비")+MAX(0,IF(예비비!$D337&lt;EDATE(BO$99,1),예비비!$E337,0)-SUMIFS(예비비!$O$430:$O$729,예비비!$B$430:$B$729,예비비!$A337,예비비!$E$430:$E$729,"&lt;"&amp;EDATE(BO$99,1))),0)</f>
        <v>0</v>
      </c>
      <c r="BP337">
        <f>IF(예비비!$R337="OK",SUMIFS(예비비!$O$430:$O$729,예비비!$B$430:$B$729,예비비!$A337,예비비!$E$430:$E$729,"&lt;"&amp;EDATE(BP$99,1),예비비!$F$430:$F$729,"결제대금비")+MAX(0,IF(예비비!$D337&lt;EDATE(BP$99,1),예비비!$E337,0)-SUMIFS(예비비!$O$430:$O$729,예비비!$B$430:$B$729,예비비!$A337,예비비!$E$430:$E$729,"&lt;"&amp;EDATE(BP$99,1))),0)</f>
        <v>0</v>
      </c>
      <c r="BQ337">
        <f>IF(예비비!$R337="OK",SUMIFS(예비비!$O$430:$O$729,예비비!$B$430:$B$729,예비비!$A337,예비비!$E$430:$E$729,"&lt;"&amp;EDATE(BQ$99,1),예비비!$F$430:$F$729,"결제대금비")+MAX(0,IF(예비비!$D337&lt;EDATE(BQ$99,1),예비비!$E337,0)-SUMIFS(예비비!$O$430:$O$729,예비비!$B$430:$B$729,예비비!$A337,예비비!$E$430:$E$729,"&lt;"&amp;EDATE(BQ$99,1))),0)</f>
        <v>0</v>
      </c>
      <c r="BR337">
        <f>IF(예비비!$R337="OK",SUMIFS(예비비!$O$430:$O$729,예비비!$B$430:$B$729,예비비!$A337,예비비!$E$430:$E$729,"&lt;"&amp;EDATE(BR$99,1),예비비!$F$430:$F$729,"결제대금비")+MAX(0,IF(예비비!$D337&lt;EDATE(BR$99,1),예비비!$E337,0)-SUMIFS(예비비!$O$430:$O$729,예비비!$B$430:$B$729,예비비!$A337,예비비!$E$430:$E$729,"&lt;"&amp;EDATE(BR$99,1))),0)</f>
        <v>0</v>
      </c>
      <c r="BS337">
        <f>IF(예비비!$R337="OK",SUMIFS(예비비!$O$430:$O$729,예비비!$B$430:$B$729,예비비!$A337,예비비!$E$430:$E$729,"&lt;"&amp;EDATE(BS$99,1),예비비!$F$430:$F$729,"결제대금비")+MAX(0,IF(예비비!$D337&lt;EDATE(BS$99,1),예비비!$E337,0)-SUMIFS(예비비!$O$430:$O$729,예비비!$B$430:$B$729,예비비!$A337,예비비!$E$430:$E$729,"&lt;"&amp;EDATE(BS$99,1))),0)</f>
        <v>0</v>
      </c>
      <c r="BT337">
        <f>IF(예비비!$R337="OK",SUMIFS(예비비!$O$430:$O$729,예비비!$B$430:$B$729,예비비!$A337,예비비!$E$430:$E$729,"&lt;"&amp;EDATE(BT$99,1),예비비!$F$430:$F$729,"결제대금비")+MAX(0,IF(예비비!$D337&lt;EDATE(BT$99,1),예비비!$E337,0)-SUMIFS(예비비!$O$430:$O$729,예비비!$B$430:$B$729,예비비!$A337,예비비!$E$430:$E$729,"&lt;"&amp;EDATE(BT$99,1))),0)</f>
        <v>0</v>
      </c>
      <c r="BU337">
        <f>IF(예비비!$R337="OK",SUMIFS(예비비!$O$430:$O$729,예비비!$B$430:$B$729,예비비!$A337,예비비!$E$430:$E$729,"&lt;"&amp;EDATE(BU$99,1),예비비!$F$430:$F$729,"결제대금비")+MAX(0,IF(예비비!$D337&lt;EDATE(BU$99,1),예비비!$E337,0)-SUMIFS(예비비!$O$430:$O$729,예비비!$B$430:$B$729,예비비!$A337,예비비!$E$430:$E$729,"&lt;"&amp;EDATE(BU$99,1))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  <c r="BI338">
        <f>IF(예비비!$R338="OK",SUMIFS(예비비!$O$430:$O$729,예비비!$B$430:$B$729,예비비!$A338,예비비!$E$430:$E$729,"&lt;"&amp;EDATE(BI$99,1),예비비!$F$430:$F$729,"결제대금비")+MAX(0,IF(예비비!$D338&lt;EDATE(BI$99,1),예비비!$E338,0)-SUMIFS(예비비!$O$430:$O$729,예비비!$B$430:$B$729,예비비!$A338,예비비!$E$430:$E$729,"&lt;"&amp;EDATE(BI$99,1))),0)</f>
        <v>0</v>
      </c>
      <c r="BJ338">
        <f>IF(예비비!$R338="OK",SUMIFS(예비비!$O$430:$O$729,예비비!$B$430:$B$729,예비비!$A338,예비비!$E$430:$E$729,"&lt;"&amp;EDATE(BJ$99,1),예비비!$F$430:$F$729,"결제대금비")+MAX(0,IF(예비비!$D338&lt;EDATE(BJ$99,1),예비비!$E338,0)-SUMIFS(예비비!$O$430:$O$729,예비비!$B$430:$B$729,예비비!$A338,예비비!$E$430:$E$729,"&lt;"&amp;EDATE(BJ$99,1))),0)</f>
        <v>0</v>
      </c>
      <c r="BK338">
        <f>IF(예비비!$R338="OK",SUMIFS(예비비!$O$430:$O$729,예비비!$B$430:$B$729,예비비!$A338,예비비!$E$430:$E$729,"&lt;"&amp;EDATE(BK$99,1),예비비!$F$430:$F$729,"결제대금비")+MAX(0,IF(예비비!$D338&lt;EDATE(BK$99,1),예비비!$E338,0)-SUMIFS(예비비!$O$430:$O$729,예비비!$B$430:$B$729,예비비!$A338,예비비!$E$430:$E$729,"&lt;"&amp;EDATE(BK$99,1))),0)</f>
        <v>0</v>
      </c>
      <c r="BL338">
        <f>IF(예비비!$R338="OK",SUMIFS(예비비!$O$430:$O$729,예비비!$B$430:$B$729,예비비!$A338,예비비!$E$430:$E$729,"&lt;"&amp;EDATE(BL$99,1),예비비!$F$430:$F$729,"결제대금비")+MAX(0,IF(예비비!$D338&lt;EDATE(BL$99,1),예비비!$E338,0)-SUMIFS(예비비!$O$430:$O$729,예비비!$B$430:$B$729,예비비!$A338,예비비!$E$430:$E$729,"&lt;"&amp;EDATE(BL$99,1))),0)</f>
        <v>0</v>
      </c>
      <c r="BM338">
        <f>IF(예비비!$R338="OK",SUMIFS(예비비!$O$430:$O$729,예비비!$B$430:$B$729,예비비!$A338,예비비!$E$430:$E$729,"&lt;"&amp;EDATE(BM$99,1),예비비!$F$430:$F$729,"결제대금비")+MAX(0,IF(예비비!$D338&lt;EDATE(BM$99,1),예비비!$E338,0)-SUMIFS(예비비!$O$430:$O$729,예비비!$B$430:$B$729,예비비!$A338,예비비!$E$430:$E$729,"&lt;"&amp;EDATE(BM$99,1))),0)</f>
        <v>0</v>
      </c>
      <c r="BN338">
        <f>IF(예비비!$R338="OK",SUMIFS(예비비!$O$430:$O$729,예비비!$B$430:$B$729,예비비!$A338,예비비!$E$430:$E$729,"&lt;"&amp;EDATE(BN$99,1),예비비!$F$430:$F$729,"결제대금비")+MAX(0,IF(예비비!$D338&lt;EDATE(BN$99,1),예비비!$E338,0)-SUMIFS(예비비!$O$430:$O$729,예비비!$B$430:$B$729,예비비!$A338,예비비!$E$430:$E$729,"&lt;"&amp;EDATE(BN$99,1))),0)</f>
        <v>0</v>
      </c>
      <c r="BO338">
        <f>IF(예비비!$R338="OK",SUMIFS(예비비!$O$430:$O$729,예비비!$B$430:$B$729,예비비!$A338,예비비!$E$430:$E$729,"&lt;"&amp;EDATE(BO$99,1),예비비!$F$430:$F$729,"결제대금비")+MAX(0,IF(예비비!$D338&lt;EDATE(BO$99,1),예비비!$E338,0)-SUMIFS(예비비!$O$430:$O$729,예비비!$B$430:$B$729,예비비!$A338,예비비!$E$430:$E$729,"&lt;"&amp;EDATE(BO$99,1))),0)</f>
        <v>0</v>
      </c>
      <c r="BP338">
        <f>IF(예비비!$R338="OK",SUMIFS(예비비!$O$430:$O$729,예비비!$B$430:$B$729,예비비!$A338,예비비!$E$430:$E$729,"&lt;"&amp;EDATE(BP$99,1),예비비!$F$430:$F$729,"결제대금비")+MAX(0,IF(예비비!$D338&lt;EDATE(BP$99,1),예비비!$E338,0)-SUMIFS(예비비!$O$430:$O$729,예비비!$B$430:$B$729,예비비!$A338,예비비!$E$430:$E$729,"&lt;"&amp;EDATE(BP$99,1))),0)</f>
        <v>0</v>
      </c>
      <c r="BQ338">
        <f>IF(예비비!$R338="OK",SUMIFS(예비비!$O$430:$O$729,예비비!$B$430:$B$729,예비비!$A338,예비비!$E$430:$E$729,"&lt;"&amp;EDATE(BQ$99,1),예비비!$F$430:$F$729,"결제대금비")+MAX(0,IF(예비비!$D338&lt;EDATE(BQ$99,1),예비비!$E338,0)-SUMIFS(예비비!$O$430:$O$729,예비비!$B$430:$B$729,예비비!$A338,예비비!$E$430:$E$729,"&lt;"&amp;EDATE(BQ$99,1))),0)</f>
        <v>0</v>
      </c>
      <c r="BR338">
        <f>IF(예비비!$R338="OK",SUMIFS(예비비!$O$430:$O$729,예비비!$B$430:$B$729,예비비!$A338,예비비!$E$430:$E$729,"&lt;"&amp;EDATE(BR$99,1),예비비!$F$430:$F$729,"결제대금비")+MAX(0,IF(예비비!$D338&lt;EDATE(BR$99,1),예비비!$E338,0)-SUMIFS(예비비!$O$430:$O$729,예비비!$B$430:$B$729,예비비!$A338,예비비!$E$430:$E$729,"&lt;"&amp;EDATE(BR$99,1))),0)</f>
        <v>0</v>
      </c>
      <c r="BS338">
        <f>IF(예비비!$R338="OK",SUMIFS(예비비!$O$430:$O$729,예비비!$B$430:$B$729,예비비!$A338,예비비!$E$430:$E$729,"&lt;"&amp;EDATE(BS$99,1),예비비!$F$430:$F$729,"결제대금비")+MAX(0,IF(예비비!$D338&lt;EDATE(BS$99,1),예비비!$E338,0)-SUMIFS(예비비!$O$430:$O$729,예비비!$B$430:$B$729,예비비!$A338,예비비!$E$430:$E$729,"&lt;"&amp;EDATE(BS$99,1))),0)</f>
        <v>0</v>
      </c>
      <c r="BT338">
        <f>IF(예비비!$R338="OK",SUMIFS(예비비!$O$430:$O$729,예비비!$B$430:$B$729,예비비!$A338,예비비!$E$430:$E$729,"&lt;"&amp;EDATE(BT$99,1),예비비!$F$430:$F$729,"결제대금비")+MAX(0,IF(예비비!$D338&lt;EDATE(BT$99,1),예비비!$E338,0)-SUMIFS(예비비!$O$430:$O$729,예비비!$B$430:$B$729,예비비!$A338,예비비!$E$430:$E$729,"&lt;"&amp;EDATE(BT$99,1))),0)</f>
        <v>0</v>
      </c>
      <c r="BU338">
        <f>IF(예비비!$R338="OK",SUMIFS(예비비!$O$430:$O$729,예비비!$B$430:$B$729,예비비!$A338,예비비!$E$430:$E$729,"&lt;"&amp;EDATE(BU$99,1),예비비!$F$430:$F$729,"결제대금비")+MAX(0,IF(예비비!$D338&lt;EDATE(BU$99,1),예비비!$E338,0)-SUMIFS(예비비!$O$430:$O$729,예비비!$B$430:$B$729,예비비!$A338,예비비!$E$430:$E$729,"&lt;"&amp;EDATE(BU$99,1))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  <c r="BI339">
        <f>IF(예비비!$R339="OK",SUMIFS(예비비!$O$430:$O$729,예비비!$B$430:$B$729,예비비!$A339,예비비!$E$430:$E$729,"&lt;"&amp;EDATE(BI$99,1),예비비!$F$430:$F$729,"결제대금비")+MAX(0,IF(예비비!$D339&lt;EDATE(BI$99,1),예비비!$E339,0)-SUMIFS(예비비!$O$430:$O$729,예비비!$B$430:$B$729,예비비!$A339,예비비!$E$430:$E$729,"&lt;"&amp;EDATE(BI$99,1))),0)</f>
        <v>0</v>
      </c>
      <c r="BJ339">
        <f>IF(예비비!$R339="OK",SUMIFS(예비비!$O$430:$O$729,예비비!$B$430:$B$729,예비비!$A339,예비비!$E$430:$E$729,"&lt;"&amp;EDATE(BJ$99,1),예비비!$F$430:$F$729,"결제대금비")+MAX(0,IF(예비비!$D339&lt;EDATE(BJ$99,1),예비비!$E339,0)-SUMIFS(예비비!$O$430:$O$729,예비비!$B$430:$B$729,예비비!$A339,예비비!$E$430:$E$729,"&lt;"&amp;EDATE(BJ$99,1))),0)</f>
        <v>0</v>
      </c>
      <c r="BK339">
        <f>IF(예비비!$R339="OK",SUMIFS(예비비!$O$430:$O$729,예비비!$B$430:$B$729,예비비!$A339,예비비!$E$430:$E$729,"&lt;"&amp;EDATE(BK$99,1),예비비!$F$430:$F$729,"결제대금비")+MAX(0,IF(예비비!$D339&lt;EDATE(BK$99,1),예비비!$E339,0)-SUMIFS(예비비!$O$430:$O$729,예비비!$B$430:$B$729,예비비!$A339,예비비!$E$430:$E$729,"&lt;"&amp;EDATE(BK$99,1))),0)</f>
        <v>0</v>
      </c>
      <c r="BL339">
        <f>IF(예비비!$R339="OK",SUMIFS(예비비!$O$430:$O$729,예비비!$B$430:$B$729,예비비!$A339,예비비!$E$430:$E$729,"&lt;"&amp;EDATE(BL$99,1),예비비!$F$430:$F$729,"결제대금비")+MAX(0,IF(예비비!$D339&lt;EDATE(BL$99,1),예비비!$E339,0)-SUMIFS(예비비!$O$430:$O$729,예비비!$B$430:$B$729,예비비!$A339,예비비!$E$430:$E$729,"&lt;"&amp;EDATE(BL$99,1))),0)</f>
        <v>0</v>
      </c>
      <c r="BM339">
        <f>IF(예비비!$R339="OK",SUMIFS(예비비!$O$430:$O$729,예비비!$B$430:$B$729,예비비!$A339,예비비!$E$430:$E$729,"&lt;"&amp;EDATE(BM$99,1),예비비!$F$430:$F$729,"결제대금비")+MAX(0,IF(예비비!$D339&lt;EDATE(BM$99,1),예비비!$E339,0)-SUMIFS(예비비!$O$430:$O$729,예비비!$B$430:$B$729,예비비!$A339,예비비!$E$430:$E$729,"&lt;"&amp;EDATE(BM$99,1))),0)</f>
        <v>0</v>
      </c>
      <c r="BN339">
        <f>IF(예비비!$R339="OK",SUMIFS(예비비!$O$430:$O$729,예비비!$B$430:$B$729,예비비!$A339,예비비!$E$430:$E$729,"&lt;"&amp;EDATE(BN$99,1),예비비!$F$430:$F$729,"결제대금비")+MAX(0,IF(예비비!$D339&lt;EDATE(BN$99,1),예비비!$E339,0)-SUMIFS(예비비!$O$430:$O$729,예비비!$B$430:$B$729,예비비!$A339,예비비!$E$430:$E$729,"&lt;"&amp;EDATE(BN$99,1))),0)</f>
        <v>0</v>
      </c>
      <c r="BO339">
        <f>IF(예비비!$R339="OK",SUMIFS(예비비!$O$430:$O$729,예비비!$B$430:$B$729,예비비!$A339,예비비!$E$430:$E$729,"&lt;"&amp;EDATE(BO$99,1),예비비!$F$430:$F$729,"결제대금비")+MAX(0,IF(예비비!$D339&lt;EDATE(BO$99,1),예비비!$E339,0)-SUMIFS(예비비!$O$430:$O$729,예비비!$B$430:$B$729,예비비!$A339,예비비!$E$430:$E$729,"&lt;"&amp;EDATE(BO$99,1))),0)</f>
        <v>0</v>
      </c>
      <c r="BP339">
        <f>IF(예비비!$R339="OK",SUMIFS(예비비!$O$430:$O$729,예비비!$B$430:$B$729,예비비!$A339,예비비!$E$430:$E$729,"&lt;"&amp;EDATE(BP$99,1),예비비!$F$430:$F$729,"결제대금비")+MAX(0,IF(예비비!$D339&lt;EDATE(BP$99,1),예비비!$E339,0)-SUMIFS(예비비!$O$430:$O$729,예비비!$B$430:$B$729,예비비!$A339,예비비!$E$430:$E$729,"&lt;"&amp;EDATE(BP$99,1))),0)</f>
        <v>0</v>
      </c>
      <c r="BQ339">
        <f>IF(예비비!$R339="OK",SUMIFS(예비비!$O$430:$O$729,예비비!$B$430:$B$729,예비비!$A339,예비비!$E$430:$E$729,"&lt;"&amp;EDATE(BQ$99,1),예비비!$F$430:$F$729,"결제대금비")+MAX(0,IF(예비비!$D339&lt;EDATE(BQ$99,1),예비비!$E339,0)-SUMIFS(예비비!$O$430:$O$729,예비비!$B$430:$B$729,예비비!$A339,예비비!$E$430:$E$729,"&lt;"&amp;EDATE(BQ$99,1))),0)</f>
        <v>0</v>
      </c>
      <c r="BR339">
        <f>IF(예비비!$R339="OK",SUMIFS(예비비!$O$430:$O$729,예비비!$B$430:$B$729,예비비!$A339,예비비!$E$430:$E$729,"&lt;"&amp;EDATE(BR$99,1),예비비!$F$430:$F$729,"결제대금비")+MAX(0,IF(예비비!$D339&lt;EDATE(BR$99,1),예비비!$E339,0)-SUMIFS(예비비!$O$430:$O$729,예비비!$B$430:$B$729,예비비!$A339,예비비!$E$430:$E$729,"&lt;"&amp;EDATE(BR$99,1))),0)</f>
        <v>0</v>
      </c>
      <c r="BS339">
        <f>IF(예비비!$R339="OK",SUMIFS(예비비!$O$430:$O$729,예비비!$B$430:$B$729,예비비!$A339,예비비!$E$430:$E$729,"&lt;"&amp;EDATE(BS$99,1),예비비!$F$430:$F$729,"결제대금비")+MAX(0,IF(예비비!$D339&lt;EDATE(BS$99,1),예비비!$E339,0)-SUMIFS(예비비!$O$430:$O$729,예비비!$B$430:$B$729,예비비!$A339,예비비!$E$430:$E$729,"&lt;"&amp;EDATE(BS$99,1))),0)</f>
        <v>0</v>
      </c>
      <c r="BT339">
        <f>IF(예비비!$R339="OK",SUMIFS(예비비!$O$430:$O$729,예비비!$B$430:$B$729,예비비!$A339,예비비!$E$430:$E$729,"&lt;"&amp;EDATE(BT$99,1),예비비!$F$430:$F$729,"결제대금비")+MAX(0,IF(예비비!$D339&lt;EDATE(BT$99,1),예비비!$E339,0)-SUMIFS(예비비!$O$430:$O$729,예비비!$B$430:$B$729,예비비!$A339,예비비!$E$430:$E$729,"&lt;"&amp;EDATE(BT$99,1))),0)</f>
        <v>0</v>
      </c>
      <c r="BU339">
        <f>IF(예비비!$R339="OK",SUMIFS(예비비!$O$430:$O$729,예비비!$B$430:$B$729,예비비!$A339,예비비!$E$430:$E$729,"&lt;"&amp;EDATE(BU$99,1),예비비!$F$430:$F$729,"결제대금비")+MAX(0,IF(예비비!$D339&lt;EDATE(BU$99,1),예비비!$E339,0)-SUMIFS(예비비!$O$430:$O$729,예비비!$B$430:$B$729,예비비!$A339,예비비!$E$430:$E$729,"&lt;"&amp;EDATE(BU$99,1))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  <c r="BI340">
        <f>IF(예비비!$R340="OK",SUMIFS(예비비!$O$430:$O$729,예비비!$B$430:$B$729,예비비!$A340,예비비!$E$430:$E$729,"&lt;"&amp;EDATE(BI$99,1),예비비!$F$430:$F$729,"결제대금비")+MAX(0,IF(예비비!$D340&lt;EDATE(BI$99,1),예비비!$E340,0)-SUMIFS(예비비!$O$430:$O$729,예비비!$B$430:$B$729,예비비!$A340,예비비!$E$430:$E$729,"&lt;"&amp;EDATE(BI$99,1))),0)</f>
        <v>0</v>
      </c>
      <c r="BJ340">
        <f>IF(예비비!$R340="OK",SUMIFS(예비비!$O$430:$O$729,예비비!$B$430:$B$729,예비비!$A340,예비비!$E$430:$E$729,"&lt;"&amp;EDATE(BJ$99,1),예비비!$F$430:$F$729,"결제대금비")+MAX(0,IF(예비비!$D340&lt;EDATE(BJ$99,1),예비비!$E340,0)-SUMIFS(예비비!$O$430:$O$729,예비비!$B$430:$B$729,예비비!$A340,예비비!$E$430:$E$729,"&lt;"&amp;EDATE(BJ$99,1))),0)</f>
        <v>0</v>
      </c>
      <c r="BK340">
        <f>IF(예비비!$R340="OK",SUMIFS(예비비!$O$430:$O$729,예비비!$B$430:$B$729,예비비!$A340,예비비!$E$430:$E$729,"&lt;"&amp;EDATE(BK$99,1),예비비!$F$430:$F$729,"결제대금비")+MAX(0,IF(예비비!$D340&lt;EDATE(BK$99,1),예비비!$E340,0)-SUMIFS(예비비!$O$430:$O$729,예비비!$B$430:$B$729,예비비!$A340,예비비!$E$430:$E$729,"&lt;"&amp;EDATE(BK$99,1))),0)</f>
        <v>0</v>
      </c>
      <c r="BL340">
        <f>IF(예비비!$R340="OK",SUMIFS(예비비!$O$430:$O$729,예비비!$B$430:$B$729,예비비!$A340,예비비!$E$430:$E$729,"&lt;"&amp;EDATE(BL$99,1),예비비!$F$430:$F$729,"결제대금비")+MAX(0,IF(예비비!$D340&lt;EDATE(BL$99,1),예비비!$E340,0)-SUMIFS(예비비!$O$430:$O$729,예비비!$B$430:$B$729,예비비!$A340,예비비!$E$430:$E$729,"&lt;"&amp;EDATE(BL$99,1))),0)</f>
        <v>0</v>
      </c>
      <c r="BM340">
        <f>IF(예비비!$R340="OK",SUMIFS(예비비!$O$430:$O$729,예비비!$B$430:$B$729,예비비!$A340,예비비!$E$430:$E$729,"&lt;"&amp;EDATE(BM$99,1),예비비!$F$430:$F$729,"결제대금비")+MAX(0,IF(예비비!$D340&lt;EDATE(BM$99,1),예비비!$E340,0)-SUMIFS(예비비!$O$430:$O$729,예비비!$B$430:$B$729,예비비!$A340,예비비!$E$430:$E$729,"&lt;"&amp;EDATE(BM$99,1))),0)</f>
        <v>0</v>
      </c>
      <c r="BN340">
        <f>IF(예비비!$R340="OK",SUMIFS(예비비!$O$430:$O$729,예비비!$B$430:$B$729,예비비!$A340,예비비!$E$430:$E$729,"&lt;"&amp;EDATE(BN$99,1),예비비!$F$430:$F$729,"결제대금비")+MAX(0,IF(예비비!$D340&lt;EDATE(BN$99,1),예비비!$E340,0)-SUMIFS(예비비!$O$430:$O$729,예비비!$B$430:$B$729,예비비!$A340,예비비!$E$430:$E$729,"&lt;"&amp;EDATE(BN$99,1))),0)</f>
        <v>0</v>
      </c>
      <c r="BO340">
        <f>IF(예비비!$R340="OK",SUMIFS(예비비!$O$430:$O$729,예비비!$B$430:$B$729,예비비!$A340,예비비!$E$430:$E$729,"&lt;"&amp;EDATE(BO$99,1),예비비!$F$430:$F$729,"결제대금비")+MAX(0,IF(예비비!$D340&lt;EDATE(BO$99,1),예비비!$E340,0)-SUMIFS(예비비!$O$430:$O$729,예비비!$B$430:$B$729,예비비!$A340,예비비!$E$430:$E$729,"&lt;"&amp;EDATE(BO$99,1))),0)</f>
        <v>0</v>
      </c>
      <c r="BP340">
        <f>IF(예비비!$R340="OK",SUMIFS(예비비!$O$430:$O$729,예비비!$B$430:$B$729,예비비!$A340,예비비!$E$430:$E$729,"&lt;"&amp;EDATE(BP$99,1),예비비!$F$430:$F$729,"결제대금비")+MAX(0,IF(예비비!$D340&lt;EDATE(BP$99,1),예비비!$E340,0)-SUMIFS(예비비!$O$430:$O$729,예비비!$B$430:$B$729,예비비!$A340,예비비!$E$430:$E$729,"&lt;"&amp;EDATE(BP$99,1))),0)</f>
        <v>0</v>
      </c>
      <c r="BQ340">
        <f>IF(예비비!$R340="OK",SUMIFS(예비비!$O$430:$O$729,예비비!$B$430:$B$729,예비비!$A340,예비비!$E$430:$E$729,"&lt;"&amp;EDATE(BQ$99,1),예비비!$F$430:$F$729,"결제대금비")+MAX(0,IF(예비비!$D340&lt;EDATE(BQ$99,1),예비비!$E340,0)-SUMIFS(예비비!$O$430:$O$729,예비비!$B$430:$B$729,예비비!$A340,예비비!$E$430:$E$729,"&lt;"&amp;EDATE(BQ$99,1))),0)</f>
        <v>0</v>
      </c>
      <c r="BR340">
        <f>IF(예비비!$R340="OK",SUMIFS(예비비!$O$430:$O$729,예비비!$B$430:$B$729,예비비!$A340,예비비!$E$430:$E$729,"&lt;"&amp;EDATE(BR$99,1),예비비!$F$430:$F$729,"결제대금비")+MAX(0,IF(예비비!$D340&lt;EDATE(BR$99,1),예비비!$E340,0)-SUMIFS(예비비!$O$430:$O$729,예비비!$B$430:$B$729,예비비!$A340,예비비!$E$430:$E$729,"&lt;"&amp;EDATE(BR$99,1))),0)</f>
        <v>0</v>
      </c>
      <c r="BS340">
        <f>IF(예비비!$R340="OK",SUMIFS(예비비!$O$430:$O$729,예비비!$B$430:$B$729,예비비!$A340,예비비!$E$430:$E$729,"&lt;"&amp;EDATE(BS$99,1),예비비!$F$430:$F$729,"결제대금비")+MAX(0,IF(예비비!$D340&lt;EDATE(BS$99,1),예비비!$E340,0)-SUMIFS(예비비!$O$430:$O$729,예비비!$B$430:$B$729,예비비!$A340,예비비!$E$430:$E$729,"&lt;"&amp;EDATE(BS$99,1))),0)</f>
        <v>0</v>
      </c>
      <c r="BT340">
        <f>IF(예비비!$R340="OK",SUMIFS(예비비!$O$430:$O$729,예비비!$B$430:$B$729,예비비!$A340,예비비!$E$430:$E$729,"&lt;"&amp;EDATE(BT$99,1),예비비!$F$430:$F$729,"결제대금비")+MAX(0,IF(예비비!$D340&lt;EDATE(BT$99,1),예비비!$E340,0)-SUMIFS(예비비!$O$430:$O$729,예비비!$B$430:$B$729,예비비!$A340,예비비!$E$430:$E$729,"&lt;"&amp;EDATE(BT$99,1))),0)</f>
        <v>0</v>
      </c>
      <c r="BU340">
        <f>IF(예비비!$R340="OK",SUMIFS(예비비!$O$430:$O$729,예비비!$B$430:$B$729,예비비!$A340,예비비!$E$430:$E$729,"&lt;"&amp;EDATE(BU$99,1),예비비!$F$430:$F$729,"결제대금비")+MAX(0,IF(예비비!$D340&lt;EDATE(BU$99,1),예비비!$E340,0)-SUMIFS(예비비!$O$430:$O$729,예비비!$B$430:$B$729,예비비!$A340,예비비!$E$430:$E$729,"&lt;"&amp;EDATE(BU$99,1))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  <c r="BI341">
        <f>IF(예비비!$R341="OK",SUMIFS(예비비!$O$430:$O$729,예비비!$B$430:$B$729,예비비!$A341,예비비!$E$430:$E$729,"&lt;"&amp;EDATE(BI$99,1),예비비!$F$430:$F$729,"결제대금비")+MAX(0,IF(예비비!$D341&lt;EDATE(BI$99,1),예비비!$E341,0)-SUMIFS(예비비!$O$430:$O$729,예비비!$B$430:$B$729,예비비!$A341,예비비!$E$430:$E$729,"&lt;"&amp;EDATE(BI$99,1))),0)</f>
        <v>0</v>
      </c>
      <c r="BJ341">
        <f>IF(예비비!$R341="OK",SUMIFS(예비비!$O$430:$O$729,예비비!$B$430:$B$729,예비비!$A341,예비비!$E$430:$E$729,"&lt;"&amp;EDATE(BJ$99,1),예비비!$F$430:$F$729,"결제대금비")+MAX(0,IF(예비비!$D341&lt;EDATE(BJ$99,1),예비비!$E341,0)-SUMIFS(예비비!$O$430:$O$729,예비비!$B$430:$B$729,예비비!$A341,예비비!$E$430:$E$729,"&lt;"&amp;EDATE(BJ$99,1))),0)</f>
        <v>0</v>
      </c>
      <c r="BK341">
        <f>IF(예비비!$R341="OK",SUMIFS(예비비!$O$430:$O$729,예비비!$B$430:$B$729,예비비!$A341,예비비!$E$430:$E$729,"&lt;"&amp;EDATE(BK$99,1),예비비!$F$430:$F$729,"결제대금비")+MAX(0,IF(예비비!$D341&lt;EDATE(BK$99,1),예비비!$E341,0)-SUMIFS(예비비!$O$430:$O$729,예비비!$B$430:$B$729,예비비!$A341,예비비!$E$430:$E$729,"&lt;"&amp;EDATE(BK$99,1))),0)</f>
        <v>0</v>
      </c>
      <c r="BL341">
        <f>IF(예비비!$R341="OK",SUMIFS(예비비!$O$430:$O$729,예비비!$B$430:$B$729,예비비!$A341,예비비!$E$430:$E$729,"&lt;"&amp;EDATE(BL$99,1),예비비!$F$430:$F$729,"결제대금비")+MAX(0,IF(예비비!$D341&lt;EDATE(BL$99,1),예비비!$E341,0)-SUMIFS(예비비!$O$430:$O$729,예비비!$B$430:$B$729,예비비!$A341,예비비!$E$430:$E$729,"&lt;"&amp;EDATE(BL$99,1))),0)</f>
        <v>0</v>
      </c>
      <c r="BM341">
        <f>IF(예비비!$R341="OK",SUMIFS(예비비!$O$430:$O$729,예비비!$B$430:$B$729,예비비!$A341,예비비!$E$430:$E$729,"&lt;"&amp;EDATE(BM$99,1),예비비!$F$430:$F$729,"결제대금비")+MAX(0,IF(예비비!$D341&lt;EDATE(BM$99,1),예비비!$E341,0)-SUMIFS(예비비!$O$430:$O$729,예비비!$B$430:$B$729,예비비!$A341,예비비!$E$430:$E$729,"&lt;"&amp;EDATE(BM$99,1))),0)</f>
        <v>0</v>
      </c>
      <c r="BN341">
        <f>IF(예비비!$R341="OK",SUMIFS(예비비!$O$430:$O$729,예비비!$B$430:$B$729,예비비!$A341,예비비!$E$430:$E$729,"&lt;"&amp;EDATE(BN$99,1),예비비!$F$430:$F$729,"결제대금비")+MAX(0,IF(예비비!$D341&lt;EDATE(BN$99,1),예비비!$E341,0)-SUMIFS(예비비!$O$430:$O$729,예비비!$B$430:$B$729,예비비!$A341,예비비!$E$430:$E$729,"&lt;"&amp;EDATE(BN$99,1))),0)</f>
        <v>0</v>
      </c>
      <c r="BO341">
        <f>IF(예비비!$R341="OK",SUMIFS(예비비!$O$430:$O$729,예비비!$B$430:$B$729,예비비!$A341,예비비!$E$430:$E$729,"&lt;"&amp;EDATE(BO$99,1),예비비!$F$430:$F$729,"결제대금비")+MAX(0,IF(예비비!$D341&lt;EDATE(BO$99,1),예비비!$E341,0)-SUMIFS(예비비!$O$430:$O$729,예비비!$B$430:$B$729,예비비!$A341,예비비!$E$430:$E$729,"&lt;"&amp;EDATE(BO$99,1))),0)</f>
        <v>0</v>
      </c>
      <c r="BP341">
        <f>IF(예비비!$R341="OK",SUMIFS(예비비!$O$430:$O$729,예비비!$B$430:$B$729,예비비!$A341,예비비!$E$430:$E$729,"&lt;"&amp;EDATE(BP$99,1),예비비!$F$430:$F$729,"결제대금비")+MAX(0,IF(예비비!$D341&lt;EDATE(BP$99,1),예비비!$E341,0)-SUMIFS(예비비!$O$430:$O$729,예비비!$B$430:$B$729,예비비!$A341,예비비!$E$430:$E$729,"&lt;"&amp;EDATE(BP$99,1))),0)</f>
        <v>0</v>
      </c>
      <c r="BQ341">
        <f>IF(예비비!$R341="OK",SUMIFS(예비비!$O$430:$O$729,예비비!$B$430:$B$729,예비비!$A341,예비비!$E$430:$E$729,"&lt;"&amp;EDATE(BQ$99,1),예비비!$F$430:$F$729,"결제대금비")+MAX(0,IF(예비비!$D341&lt;EDATE(BQ$99,1),예비비!$E341,0)-SUMIFS(예비비!$O$430:$O$729,예비비!$B$430:$B$729,예비비!$A341,예비비!$E$430:$E$729,"&lt;"&amp;EDATE(BQ$99,1))),0)</f>
        <v>0</v>
      </c>
      <c r="BR341">
        <f>IF(예비비!$R341="OK",SUMIFS(예비비!$O$430:$O$729,예비비!$B$430:$B$729,예비비!$A341,예비비!$E$430:$E$729,"&lt;"&amp;EDATE(BR$99,1),예비비!$F$430:$F$729,"결제대금비")+MAX(0,IF(예비비!$D341&lt;EDATE(BR$99,1),예비비!$E341,0)-SUMIFS(예비비!$O$430:$O$729,예비비!$B$430:$B$729,예비비!$A341,예비비!$E$430:$E$729,"&lt;"&amp;EDATE(BR$99,1))),0)</f>
        <v>0</v>
      </c>
      <c r="BS341">
        <f>IF(예비비!$R341="OK",SUMIFS(예비비!$O$430:$O$729,예비비!$B$430:$B$729,예비비!$A341,예비비!$E$430:$E$729,"&lt;"&amp;EDATE(BS$99,1),예비비!$F$430:$F$729,"결제대금비")+MAX(0,IF(예비비!$D341&lt;EDATE(BS$99,1),예비비!$E341,0)-SUMIFS(예비비!$O$430:$O$729,예비비!$B$430:$B$729,예비비!$A341,예비비!$E$430:$E$729,"&lt;"&amp;EDATE(BS$99,1))),0)</f>
        <v>0</v>
      </c>
      <c r="BT341">
        <f>IF(예비비!$R341="OK",SUMIFS(예비비!$O$430:$O$729,예비비!$B$430:$B$729,예비비!$A341,예비비!$E$430:$E$729,"&lt;"&amp;EDATE(BT$99,1),예비비!$F$430:$F$729,"결제대금비")+MAX(0,IF(예비비!$D341&lt;EDATE(BT$99,1),예비비!$E341,0)-SUMIFS(예비비!$O$430:$O$729,예비비!$B$430:$B$729,예비비!$A341,예비비!$E$430:$E$729,"&lt;"&amp;EDATE(BT$99,1))),0)</f>
        <v>0</v>
      </c>
      <c r="BU341">
        <f>IF(예비비!$R341="OK",SUMIFS(예비비!$O$430:$O$729,예비비!$B$430:$B$729,예비비!$A341,예비비!$E$430:$E$729,"&lt;"&amp;EDATE(BU$99,1),예비비!$F$430:$F$729,"결제대금비")+MAX(0,IF(예비비!$D341&lt;EDATE(BU$99,1),예비비!$E341,0)-SUMIFS(예비비!$O$430:$O$729,예비비!$B$430:$B$729,예비비!$A341,예비비!$E$430:$E$729,"&lt;"&amp;EDATE(BU$99,1))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  <c r="BI342">
        <f>IF(예비비!$R342="OK",SUMIFS(예비비!$O$430:$O$729,예비비!$B$430:$B$729,예비비!$A342,예비비!$E$430:$E$729,"&lt;"&amp;EDATE(BI$99,1),예비비!$F$430:$F$729,"결제대금비")+MAX(0,IF(예비비!$D342&lt;EDATE(BI$99,1),예비비!$E342,0)-SUMIFS(예비비!$O$430:$O$729,예비비!$B$430:$B$729,예비비!$A342,예비비!$E$430:$E$729,"&lt;"&amp;EDATE(BI$99,1))),0)</f>
        <v>0</v>
      </c>
      <c r="BJ342">
        <f>IF(예비비!$R342="OK",SUMIFS(예비비!$O$430:$O$729,예비비!$B$430:$B$729,예비비!$A342,예비비!$E$430:$E$729,"&lt;"&amp;EDATE(BJ$99,1),예비비!$F$430:$F$729,"결제대금비")+MAX(0,IF(예비비!$D342&lt;EDATE(BJ$99,1),예비비!$E342,0)-SUMIFS(예비비!$O$430:$O$729,예비비!$B$430:$B$729,예비비!$A342,예비비!$E$430:$E$729,"&lt;"&amp;EDATE(BJ$99,1))),0)</f>
        <v>0</v>
      </c>
      <c r="BK342">
        <f>IF(예비비!$R342="OK",SUMIFS(예비비!$O$430:$O$729,예비비!$B$430:$B$729,예비비!$A342,예비비!$E$430:$E$729,"&lt;"&amp;EDATE(BK$99,1),예비비!$F$430:$F$729,"결제대금비")+MAX(0,IF(예비비!$D342&lt;EDATE(BK$99,1),예비비!$E342,0)-SUMIFS(예비비!$O$430:$O$729,예비비!$B$430:$B$729,예비비!$A342,예비비!$E$430:$E$729,"&lt;"&amp;EDATE(BK$99,1))),0)</f>
        <v>0</v>
      </c>
      <c r="BL342">
        <f>IF(예비비!$R342="OK",SUMIFS(예비비!$O$430:$O$729,예비비!$B$430:$B$729,예비비!$A342,예비비!$E$430:$E$729,"&lt;"&amp;EDATE(BL$99,1),예비비!$F$430:$F$729,"결제대금비")+MAX(0,IF(예비비!$D342&lt;EDATE(BL$99,1),예비비!$E342,0)-SUMIFS(예비비!$O$430:$O$729,예비비!$B$430:$B$729,예비비!$A342,예비비!$E$430:$E$729,"&lt;"&amp;EDATE(BL$99,1))),0)</f>
        <v>0</v>
      </c>
      <c r="BM342">
        <f>IF(예비비!$R342="OK",SUMIFS(예비비!$O$430:$O$729,예비비!$B$430:$B$729,예비비!$A342,예비비!$E$430:$E$729,"&lt;"&amp;EDATE(BM$99,1),예비비!$F$430:$F$729,"결제대금비")+MAX(0,IF(예비비!$D342&lt;EDATE(BM$99,1),예비비!$E342,0)-SUMIFS(예비비!$O$430:$O$729,예비비!$B$430:$B$729,예비비!$A342,예비비!$E$430:$E$729,"&lt;"&amp;EDATE(BM$99,1))),0)</f>
        <v>0</v>
      </c>
      <c r="BN342">
        <f>IF(예비비!$R342="OK",SUMIFS(예비비!$O$430:$O$729,예비비!$B$430:$B$729,예비비!$A342,예비비!$E$430:$E$729,"&lt;"&amp;EDATE(BN$99,1),예비비!$F$430:$F$729,"결제대금비")+MAX(0,IF(예비비!$D342&lt;EDATE(BN$99,1),예비비!$E342,0)-SUMIFS(예비비!$O$430:$O$729,예비비!$B$430:$B$729,예비비!$A342,예비비!$E$430:$E$729,"&lt;"&amp;EDATE(BN$99,1))),0)</f>
        <v>0</v>
      </c>
      <c r="BO342">
        <f>IF(예비비!$R342="OK",SUMIFS(예비비!$O$430:$O$729,예비비!$B$430:$B$729,예비비!$A342,예비비!$E$430:$E$729,"&lt;"&amp;EDATE(BO$99,1),예비비!$F$430:$F$729,"결제대금비")+MAX(0,IF(예비비!$D342&lt;EDATE(BO$99,1),예비비!$E342,0)-SUMIFS(예비비!$O$430:$O$729,예비비!$B$430:$B$729,예비비!$A342,예비비!$E$430:$E$729,"&lt;"&amp;EDATE(BO$99,1))),0)</f>
        <v>0</v>
      </c>
      <c r="BP342">
        <f>IF(예비비!$R342="OK",SUMIFS(예비비!$O$430:$O$729,예비비!$B$430:$B$729,예비비!$A342,예비비!$E$430:$E$729,"&lt;"&amp;EDATE(BP$99,1),예비비!$F$430:$F$729,"결제대금비")+MAX(0,IF(예비비!$D342&lt;EDATE(BP$99,1),예비비!$E342,0)-SUMIFS(예비비!$O$430:$O$729,예비비!$B$430:$B$729,예비비!$A342,예비비!$E$430:$E$729,"&lt;"&amp;EDATE(BP$99,1))),0)</f>
        <v>0</v>
      </c>
      <c r="BQ342">
        <f>IF(예비비!$R342="OK",SUMIFS(예비비!$O$430:$O$729,예비비!$B$430:$B$729,예비비!$A342,예비비!$E$430:$E$729,"&lt;"&amp;EDATE(BQ$99,1),예비비!$F$430:$F$729,"결제대금비")+MAX(0,IF(예비비!$D342&lt;EDATE(BQ$99,1),예비비!$E342,0)-SUMIFS(예비비!$O$430:$O$729,예비비!$B$430:$B$729,예비비!$A342,예비비!$E$430:$E$729,"&lt;"&amp;EDATE(BQ$99,1))),0)</f>
        <v>0</v>
      </c>
      <c r="BR342">
        <f>IF(예비비!$R342="OK",SUMIFS(예비비!$O$430:$O$729,예비비!$B$430:$B$729,예비비!$A342,예비비!$E$430:$E$729,"&lt;"&amp;EDATE(BR$99,1),예비비!$F$430:$F$729,"결제대금비")+MAX(0,IF(예비비!$D342&lt;EDATE(BR$99,1),예비비!$E342,0)-SUMIFS(예비비!$O$430:$O$729,예비비!$B$430:$B$729,예비비!$A342,예비비!$E$430:$E$729,"&lt;"&amp;EDATE(BR$99,1))),0)</f>
        <v>0</v>
      </c>
      <c r="BS342">
        <f>IF(예비비!$R342="OK",SUMIFS(예비비!$O$430:$O$729,예비비!$B$430:$B$729,예비비!$A342,예비비!$E$430:$E$729,"&lt;"&amp;EDATE(BS$99,1),예비비!$F$430:$F$729,"결제대금비")+MAX(0,IF(예비비!$D342&lt;EDATE(BS$99,1),예비비!$E342,0)-SUMIFS(예비비!$O$430:$O$729,예비비!$B$430:$B$729,예비비!$A342,예비비!$E$430:$E$729,"&lt;"&amp;EDATE(BS$99,1))),0)</f>
        <v>0</v>
      </c>
      <c r="BT342">
        <f>IF(예비비!$R342="OK",SUMIFS(예비비!$O$430:$O$729,예비비!$B$430:$B$729,예비비!$A342,예비비!$E$430:$E$729,"&lt;"&amp;EDATE(BT$99,1),예비비!$F$430:$F$729,"결제대금비")+MAX(0,IF(예비비!$D342&lt;EDATE(BT$99,1),예비비!$E342,0)-SUMIFS(예비비!$O$430:$O$729,예비비!$B$430:$B$729,예비비!$A342,예비비!$E$430:$E$729,"&lt;"&amp;EDATE(BT$99,1))),0)</f>
        <v>0</v>
      </c>
      <c r="BU342">
        <f>IF(예비비!$R342="OK",SUMIFS(예비비!$O$430:$O$729,예비비!$B$430:$B$729,예비비!$A342,예비비!$E$430:$E$729,"&lt;"&amp;EDATE(BU$99,1),예비비!$F$430:$F$729,"결제대금비")+MAX(0,IF(예비비!$D342&lt;EDATE(BU$99,1),예비비!$E342,0)-SUMIFS(예비비!$O$430:$O$729,예비비!$B$430:$B$729,예비비!$A342,예비비!$E$430:$E$729,"&lt;"&amp;EDATE(BU$99,1))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  <c r="BI343">
        <f>IF(예비비!$R343="OK",SUMIFS(예비비!$O$430:$O$729,예비비!$B$430:$B$729,예비비!$A343,예비비!$E$430:$E$729,"&lt;"&amp;EDATE(BI$99,1),예비비!$F$430:$F$729,"결제대금비")+MAX(0,IF(예비비!$D343&lt;EDATE(BI$99,1),예비비!$E343,0)-SUMIFS(예비비!$O$430:$O$729,예비비!$B$430:$B$729,예비비!$A343,예비비!$E$430:$E$729,"&lt;"&amp;EDATE(BI$99,1))),0)</f>
        <v>0</v>
      </c>
      <c r="BJ343">
        <f>IF(예비비!$R343="OK",SUMIFS(예비비!$O$430:$O$729,예비비!$B$430:$B$729,예비비!$A343,예비비!$E$430:$E$729,"&lt;"&amp;EDATE(BJ$99,1),예비비!$F$430:$F$729,"결제대금비")+MAX(0,IF(예비비!$D343&lt;EDATE(BJ$99,1),예비비!$E343,0)-SUMIFS(예비비!$O$430:$O$729,예비비!$B$430:$B$729,예비비!$A343,예비비!$E$430:$E$729,"&lt;"&amp;EDATE(BJ$99,1))),0)</f>
        <v>0</v>
      </c>
      <c r="BK343">
        <f>IF(예비비!$R343="OK",SUMIFS(예비비!$O$430:$O$729,예비비!$B$430:$B$729,예비비!$A343,예비비!$E$430:$E$729,"&lt;"&amp;EDATE(BK$99,1),예비비!$F$430:$F$729,"결제대금비")+MAX(0,IF(예비비!$D343&lt;EDATE(BK$99,1),예비비!$E343,0)-SUMIFS(예비비!$O$430:$O$729,예비비!$B$430:$B$729,예비비!$A343,예비비!$E$430:$E$729,"&lt;"&amp;EDATE(BK$99,1))),0)</f>
        <v>0</v>
      </c>
      <c r="BL343">
        <f>IF(예비비!$R343="OK",SUMIFS(예비비!$O$430:$O$729,예비비!$B$430:$B$729,예비비!$A343,예비비!$E$430:$E$729,"&lt;"&amp;EDATE(BL$99,1),예비비!$F$430:$F$729,"결제대금비")+MAX(0,IF(예비비!$D343&lt;EDATE(BL$99,1),예비비!$E343,0)-SUMIFS(예비비!$O$430:$O$729,예비비!$B$430:$B$729,예비비!$A343,예비비!$E$430:$E$729,"&lt;"&amp;EDATE(BL$99,1))),0)</f>
        <v>0</v>
      </c>
      <c r="BM343">
        <f>IF(예비비!$R343="OK",SUMIFS(예비비!$O$430:$O$729,예비비!$B$430:$B$729,예비비!$A343,예비비!$E$430:$E$729,"&lt;"&amp;EDATE(BM$99,1),예비비!$F$430:$F$729,"결제대금비")+MAX(0,IF(예비비!$D343&lt;EDATE(BM$99,1),예비비!$E343,0)-SUMIFS(예비비!$O$430:$O$729,예비비!$B$430:$B$729,예비비!$A343,예비비!$E$430:$E$729,"&lt;"&amp;EDATE(BM$99,1))),0)</f>
        <v>0</v>
      </c>
      <c r="BN343">
        <f>IF(예비비!$R343="OK",SUMIFS(예비비!$O$430:$O$729,예비비!$B$430:$B$729,예비비!$A343,예비비!$E$430:$E$729,"&lt;"&amp;EDATE(BN$99,1),예비비!$F$430:$F$729,"결제대금비")+MAX(0,IF(예비비!$D343&lt;EDATE(BN$99,1),예비비!$E343,0)-SUMIFS(예비비!$O$430:$O$729,예비비!$B$430:$B$729,예비비!$A343,예비비!$E$430:$E$729,"&lt;"&amp;EDATE(BN$99,1))),0)</f>
        <v>0</v>
      </c>
      <c r="BO343">
        <f>IF(예비비!$R343="OK",SUMIFS(예비비!$O$430:$O$729,예비비!$B$430:$B$729,예비비!$A343,예비비!$E$430:$E$729,"&lt;"&amp;EDATE(BO$99,1),예비비!$F$430:$F$729,"결제대금비")+MAX(0,IF(예비비!$D343&lt;EDATE(BO$99,1),예비비!$E343,0)-SUMIFS(예비비!$O$430:$O$729,예비비!$B$430:$B$729,예비비!$A343,예비비!$E$430:$E$729,"&lt;"&amp;EDATE(BO$99,1))),0)</f>
        <v>0</v>
      </c>
      <c r="BP343">
        <f>IF(예비비!$R343="OK",SUMIFS(예비비!$O$430:$O$729,예비비!$B$430:$B$729,예비비!$A343,예비비!$E$430:$E$729,"&lt;"&amp;EDATE(BP$99,1),예비비!$F$430:$F$729,"결제대금비")+MAX(0,IF(예비비!$D343&lt;EDATE(BP$99,1),예비비!$E343,0)-SUMIFS(예비비!$O$430:$O$729,예비비!$B$430:$B$729,예비비!$A343,예비비!$E$430:$E$729,"&lt;"&amp;EDATE(BP$99,1))),0)</f>
        <v>0</v>
      </c>
      <c r="BQ343">
        <f>IF(예비비!$R343="OK",SUMIFS(예비비!$O$430:$O$729,예비비!$B$430:$B$729,예비비!$A343,예비비!$E$430:$E$729,"&lt;"&amp;EDATE(BQ$99,1),예비비!$F$430:$F$729,"결제대금비")+MAX(0,IF(예비비!$D343&lt;EDATE(BQ$99,1),예비비!$E343,0)-SUMIFS(예비비!$O$430:$O$729,예비비!$B$430:$B$729,예비비!$A343,예비비!$E$430:$E$729,"&lt;"&amp;EDATE(BQ$99,1))),0)</f>
        <v>0</v>
      </c>
      <c r="BR343">
        <f>IF(예비비!$R343="OK",SUMIFS(예비비!$O$430:$O$729,예비비!$B$430:$B$729,예비비!$A343,예비비!$E$430:$E$729,"&lt;"&amp;EDATE(BR$99,1),예비비!$F$430:$F$729,"결제대금비")+MAX(0,IF(예비비!$D343&lt;EDATE(BR$99,1),예비비!$E343,0)-SUMIFS(예비비!$O$430:$O$729,예비비!$B$430:$B$729,예비비!$A343,예비비!$E$430:$E$729,"&lt;"&amp;EDATE(BR$99,1))),0)</f>
        <v>0</v>
      </c>
      <c r="BS343">
        <f>IF(예비비!$R343="OK",SUMIFS(예비비!$O$430:$O$729,예비비!$B$430:$B$729,예비비!$A343,예비비!$E$430:$E$729,"&lt;"&amp;EDATE(BS$99,1),예비비!$F$430:$F$729,"결제대금비")+MAX(0,IF(예비비!$D343&lt;EDATE(BS$99,1),예비비!$E343,0)-SUMIFS(예비비!$O$430:$O$729,예비비!$B$430:$B$729,예비비!$A343,예비비!$E$430:$E$729,"&lt;"&amp;EDATE(BS$99,1))),0)</f>
        <v>0</v>
      </c>
      <c r="BT343">
        <f>IF(예비비!$R343="OK",SUMIFS(예비비!$O$430:$O$729,예비비!$B$430:$B$729,예비비!$A343,예비비!$E$430:$E$729,"&lt;"&amp;EDATE(BT$99,1),예비비!$F$430:$F$729,"결제대금비")+MAX(0,IF(예비비!$D343&lt;EDATE(BT$99,1),예비비!$E343,0)-SUMIFS(예비비!$O$430:$O$729,예비비!$B$430:$B$729,예비비!$A343,예비비!$E$430:$E$729,"&lt;"&amp;EDATE(BT$99,1))),0)</f>
        <v>0</v>
      </c>
      <c r="BU343">
        <f>IF(예비비!$R343="OK",SUMIFS(예비비!$O$430:$O$729,예비비!$B$430:$B$729,예비비!$A343,예비비!$E$430:$E$729,"&lt;"&amp;EDATE(BU$99,1),예비비!$F$430:$F$729,"결제대금비")+MAX(0,IF(예비비!$D343&lt;EDATE(BU$99,1),예비비!$E343,0)-SUMIFS(예비비!$O$430:$O$729,예비비!$B$430:$B$729,예비비!$A343,예비비!$E$430:$E$729,"&lt;"&amp;EDATE(BU$99,1))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  <c r="BI344">
        <f>IF(예비비!$R344="OK",SUMIFS(예비비!$O$430:$O$729,예비비!$B$430:$B$729,예비비!$A344,예비비!$E$430:$E$729,"&lt;"&amp;EDATE(BI$99,1),예비비!$F$430:$F$729,"결제대금비")+MAX(0,IF(예비비!$D344&lt;EDATE(BI$99,1),예비비!$E344,0)-SUMIFS(예비비!$O$430:$O$729,예비비!$B$430:$B$729,예비비!$A344,예비비!$E$430:$E$729,"&lt;"&amp;EDATE(BI$99,1))),0)</f>
        <v>0</v>
      </c>
      <c r="BJ344">
        <f>IF(예비비!$R344="OK",SUMIFS(예비비!$O$430:$O$729,예비비!$B$430:$B$729,예비비!$A344,예비비!$E$430:$E$729,"&lt;"&amp;EDATE(BJ$99,1),예비비!$F$430:$F$729,"결제대금비")+MAX(0,IF(예비비!$D344&lt;EDATE(BJ$99,1),예비비!$E344,0)-SUMIFS(예비비!$O$430:$O$729,예비비!$B$430:$B$729,예비비!$A344,예비비!$E$430:$E$729,"&lt;"&amp;EDATE(BJ$99,1))),0)</f>
        <v>0</v>
      </c>
      <c r="BK344">
        <f>IF(예비비!$R344="OK",SUMIFS(예비비!$O$430:$O$729,예비비!$B$430:$B$729,예비비!$A344,예비비!$E$430:$E$729,"&lt;"&amp;EDATE(BK$99,1),예비비!$F$430:$F$729,"결제대금비")+MAX(0,IF(예비비!$D344&lt;EDATE(BK$99,1),예비비!$E344,0)-SUMIFS(예비비!$O$430:$O$729,예비비!$B$430:$B$729,예비비!$A344,예비비!$E$430:$E$729,"&lt;"&amp;EDATE(BK$99,1))),0)</f>
        <v>0</v>
      </c>
      <c r="BL344">
        <f>IF(예비비!$R344="OK",SUMIFS(예비비!$O$430:$O$729,예비비!$B$430:$B$729,예비비!$A344,예비비!$E$430:$E$729,"&lt;"&amp;EDATE(BL$99,1),예비비!$F$430:$F$729,"결제대금비")+MAX(0,IF(예비비!$D344&lt;EDATE(BL$99,1),예비비!$E344,0)-SUMIFS(예비비!$O$430:$O$729,예비비!$B$430:$B$729,예비비!$A344,예비비!$E$430:$E$729,"&lt;"&amp;EDATE(BL$99,1))),0)</f>
        <v>0</v>
      </c>
      <c r="BM344">
        <f>IF(예비비!$R344="OK",SUMIFS(예비비!$O$430:$O$729,예비비!$B$430:$B$729,예비비!$A344,예비비!$E$430:$E$729,"&lt;"&amp;EDATE(BM$99,1),예비비!$F$430:$F$729,"결제대금비")+MAX(0,IF(예비비!$D344&lt;EDATE(BM$99,1),예비비!$E344,0)-SUMIFS(예비비!$O$430:$O$729,예비비!$B$430:$B$729,예비비!$A344,예비비!$E$430:$E$729,"&lt;"&amp;EDATE(BM$99,1))),0)</f>
        <v>0</v>
      </c>
      <c r="BN344">
        <f>IF(예비비!$R344="OK",SUMIFS(예비비!$O$430:$O$729,예비비!$B$430:$B$729,예비비!$A344,예비비!$E$430:$E$729,"&lt;"&amp;EDATE(BN$99,1),예비비!$F$430:$F$729,"결제대금비")+MAX(0,IF(예비비!$D344&lt;EDATE(BN$99,1),예비비!$E344,0)-SUMIFS(예비비!$O$430:$O$729,예비비!$B$430:$B$729,예비비!$A344,예비비!$E$430:$E$729,"&lt;"&amp;EDATE(BN$99,1))),0)</f>
        <v>0</v>
      </c>
      <c r="BO344">
        <f>IF(예비비!$R344="OK",SUMIFS(예비비!$O$430:$O$729,예비비!$B$430:$B$729,예비비!$A344,예비비!$E$430:$E$729,"&lt;"&amp;EDATE(BO$99,1),예비비!$F$430:$F$729,"결제대금비")+MAX(0,IF(예비비!$D344&lt;EDATE(BO$99,1),예비비!$E344,0)-SUMIFS(예비비!$O$430:$O$729,예비비!$B$430:$B$729,예비비!$A344,예비비!$E$430:$E$729,"&lt;"&amp;EDATE(BO$99,1))),0)</f>
        <v>0</v>
      </c>
      <c r="BP344">
        <f>IF(예비비!$R344="OK",SUMIFS(예비비!$O$430:$O$729,예비비!$B$430:$B$729,예비비!$A344,예비비!$E$430:$E$729,"&lt;"&amp;EDATE(BP$99,1),예비비!$F$430:$F$729,"결제대금비")+MAX(0,IF(예비비!$D344&lt;EDATE(BP$99,1),예비비!$E344,0)-SUMIFS(예비비!$O$430:$O$729,예비비!$B$430:$B$729,예비비!$A344,예비비!$E$430:$E$729,"&lt;"&amp;EDATE(BP$99,1))),0)</f>
        <v>0</v>
      </c>
      <c r="BQ344">
        <f>IF(예비비!$R344="OK",SUMIFS(예비비!$O$430:$O$729,예비비!$B$430:$B$729,예비비!$A344,예비비!$E$430:$E$729,"&lt;"&amp;EDATE(BQ$99,1),예비비!$F$430:$F$729,"결제대금비")+MAX(0,IF(예비비!$D344&lt;EDATE(BQ$99,1),예비비!$E344,0)-SUMIFS(예비비!$O$430:$O$729,예비비!$B$430:$B$729,예비비!$A344,예비비!$E$430:$E$729,"&lt;"&amp;EDATE(BQ$99,1))),0)</f>
        <v>0</v>
      </c>
      <c r="BR344">
        <f>IF(예비비!$R344="OK",SUMIFS(예비비!$O$430:$O$729,예비비!$B$430:$B$729,예비비!$A344,예비비!$E$430:$E$729,"&lt;"&amp;EDATE(BR$99,1),예비비!$F$430:$F$729,"결제대금비")+MAX(0,IF(예비비!$D344&lt;EDATE(BR$99,1),예비비!$E344,0)-SUMIFS(예비비!$O$430:$O$729,예비비!$B$430:$B$729,예비비!$A344,예비비!$E$430:$E$729,"&lt;"&amp;EDATE(BR$99,1))),0)</f>
        <v>0</v>
      </c>
      <c r="BS344">
        <f>IF(예비비!$R344="OK",SUMIFS(예비비!$O$430:$O$729,예비비!$B$430:$B$729,예비비!$A344,예비비!$E$430:$E$729,"&lt;"&amp;EDATE(BS$99,1),예비비!$F$430:$F$729,"결제대금비")+MAX(0,IF(예비비!$D344&lt;EDATE(BS$99,1),예비비!$E344,0)-SUMIFS(예비비!$O$430:$O$729,예비비!$B$430:$B$729,예비비!$A344,예비비!$E$430:$E$729,"&lt;"&amp;EDATE(BS$99,1))),0)</f>
        <v>0</v>
      </c>
      <c r="BT344">
        <f>IF(예비비!$R344="OK",SUMIFS(예비비!$O$430:$O$729,예비비!$B$430:$B$729,예비비!$A344,예비비!$E$430:$E$729,"&lt;"&amp;EDATE(BT$99,1),예비비!$F$430:$F$729,"결제대금비")+MAX(0,IF(예비비!$D344&lt;EDATE(BT$99,1),예비비!$E344,0)-SUMIFS(예비비!$O$430:$O$729,예비비!$B$430:$B$729,예비비!$A344,예비비!$E$430:$E$729,"&lt;"&amp;EDATE(BT$99,1))),0)</f>
        <v>0</v>
      </c>
      <c r="BU344">
        <f>IF(예비비!$R344="OK",SUMIFS(예비비!$O$430:$O$729,예비비!$B$430:$B$729,예비비!$A344,예비비!$E$430:$E$729,"&lt;"&amp;EDATE(BU$99,1),예비비!$F$430:$F$729,"결제대금비")+MAX(0,IF(예비비!$D344&lt;EDATE(BU$99,1),예비비!$E344,0)-SUMIFS(예비비!$O$430:$O$729,예비비!$B$430:$B$729,예비비!$A344,예비비!$E$430:$E$729,"&lt;"&amp;EDATE(BU$99,1))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  <c r="BI345">
        <f>IF(예비비!$R345="OK",SUMIFS(예비비!$O$430:$O$729,예비비!$B$430:$B$729,예비비!$A345,예비비!$E$430:$E$729,"&lt;"&amp;EDATE(BI$99,1),예비비!$F$430:$F$729,"결제대금비")+MAX(0,IF(예비비!$D345&lt;EDATE(BI$99,1),예비비!$E345,0)-SUMIFS(예비비!$O$430:$O$729,예비비!$B$430:$B$729,예비비!$A345,예비비!$E$430:$E$729,"&lt;"&amp;EDATE(BI$99,1))),0)</f>
        <v>0</v>
      </c>
      <c r="BJ345">
        <f>IF(예비비!$R345="OK",SUMIFS(예비비!$O$430:$O$729,예비비!$B$430:$B$729,예비비!$A345,예비비!$E$430:$E$729,"&lt;"&amp;EDATE(BJ$99,1),예비비!$F$430:$F$729,"결제대금비")+MAX(0,IF(예비비!$D345&lt;EDATE(BJ$99,1),예비비!$E345,0)-SUMIFS(예비비!$O$430:$O$729,예비비!$B$430:$B$729,예비비!$A345,예비비!$E$430:$E$729,"&lt;"&amp;EDATE(BJ$99,1))),0)</f>
        <v>0</v>
      </c>
      <c r="BK345">
        <f>IF(예비비!$R345="OK",SUMIFS(예비비!$O$430:$O$729,예비비!$B$430:$B$729,예비비!$A345,예비비!$E$430:$E$729,"&lt;"&amp;EDATE(BK$99,1),예비비!$F$430:$F$729,"결제대금비")+MAX(0,IF(예비비!$D345&lt;EDATE(BK$99,1),예비비!$E345,0)-SUMIFS(예비비!$O$430:$O$729,예비비!$B$430:$B$729,예비비!$A345,예비비!$E$430:$E$729,"&lt;"&amp;EDATE(BK$99,1))),0)</f>
        <v>0</v>
      </c>
      <c r="BL345">
        <f>IF(예비비!$R345="OK",SUMIFS(예비비!$O$430:$O$729,예비비!$B$430:$B$729,예비비!$A345,예비비!$E$430:$E$729,"&lt;"&amp;EDATE(BL$99,1),예비비!$F$430:$F$729,"결제대금비")+MAX(0,IF(예비비!$D345&lt;EDATE(BL$99,1),예비비!$E345,0)-SUMIFS(예비비!$O$430:$O$729,예비비!$B$430:$B$729,예비비!$A345,예비비!$E$430:$E$729,"&lt;"&amp;EDATE(BL$99,1))),0)</f>
        <v>0</v>
      </c>
      <c r="BM345">
        <f>IF(예비비!$R345="OK",SUMIFS(예비비!$O$430:$O$729,예비비!$B$430:$B$729,예비비!$A345,예비비!$E$430:$E$729,"&lt;"&amp;EDATE(BM$99,1),예비비!$F$430:$F$729,"결제대금비")+MAX(0,IF(예비비!$D345&lt;EDATE(BM$99,1),예비비!$E345,0)-SUMIFS(예비비!$O$430:$O$729,예비비!$B$430:$B$729,예비비!$A345,예비비!$E$430:$E$729,"&lt;"&amp;EDATE(BM$99,1))),0)</f>
        <v>0</v>
      </c>
      <c r="BN345">
        <f>IF(예비비!$R345="OK",SUMIFS(예비비!$O$430:$O$729,예비비!$B$430:$B$729,예비비!$A345,예비비!$E$430:$E$729,"&lt;"&amp;EDATE(BN$99,1),예비비!$F$430:$F$729,"결제대금비")+MAX(0,IF(예비비!$D345&lt;EDATE(BN$99,1),예비비!$E345,0)-SUMIFS(예비비!$O$430:$O$729,예비비!$B$430:$B$729,예비비!$A345,예비비!$E$430:$E$729,"&lt;"&amp;EDATE(BN$99,1))),0)</f>
        <v>0</v>
      </c>
      <c r="BO345">
        <f>IF(예비비!$R345="OK",SUMIFS(예비비!$O$430:$O$729,예비비!$B$430:$B$729,예비비!$A345,예비비!$E$430:$E$729,"&lt;"&amp;EDATE(BO$99,1),예비비!$F$430:$F$729,"결제대금비")+MAX(0,IF(예비비!$D345&lt;EDATE(BO$99,1),예비비!$E345,0)-SUMIFS(예비비!$O$430:$O$729,예비비!$B$430:$B$729,예비비!$A345,예비비!$E$430:$E$729,"&lt;"&amp;EDATE(BO$99,1))),0)</f>
        <v>0</v>
      </c>
      <c r="BP345">
        <f>IF(예비비!$R345="OK",SUMIFS(예비비!$O$430:$O$729,예비비!$B$430:$B$729,예비비!$A345,예비비!$E$430:$E$729,"&lt;"&amp;EDATE(BP$99,1),예비비!$F$430:$F$729,"결제대금비")+MAX(0,IF(예비비!$D345&lt;EDATE(BP$99,1),예비비!$E345,0)-SUMIFS(예비비!$O$430:$O$729,예비비!$B$430:$B$729,예비비!$A345,예비비!$E$430:$E$729,"&lt;"&amp;EDATE(BP$99,1))),0)</f>
        <v>0</v>
      </c>
      <c r="BQ345">
        <f>IF(예비비!$R345="OK",SUMIFS(예비비!$O$430:$O$729,예비비!$B$430:$B$729,예비비!$A345,예비비!$E$430:$E$729,"&lt;"&amp;EDATE(BQ$99,1),예비비!$F$430:$F$729,"결제대금비")+MAX(0,IF(예비비!$D345&lt;EDATE(BQ$99,1),예비비!$E345,0)-SUMIFS(예비비!$O$430:$O$729,예비비!$B$430:$B$729,예비비!$A345,예비비!$E$430:$E$729,"&lt;"&amp;EDATE(BQ$99,1))),0)</f>
        <v>0</v>
      </c>
      <c r="BR345">
        <f>IF(예비비!$R345="OK",SUMIFS(예비비!$O$430:$O$729,예비비!$B$430:$B$729,예비비!$A345,예비비!$E$430:$E$729,"&lt;"&amp;EDATE(BR$99,1),예비비!$F$430:$F$729,"결제대금비")+MAX(0,IF(예비비!$D345&lt;EDATE(BR$99,1),예비비!$E345,0)-SUMIFS(예비비!$O$430:$O$729,예비비!$B$430:$B$729,예비비!$A345,예비비!$E$430:$E$729,"&lt;"&amp;EDATE(BR$99,1))),0)</f>
        <v>0</v>
      </c>
      <c r="BS345">
        <f>IF(예비비!$R345="OK",SUMIFS(예비비!$O$430:$O$729,예비비!$B$430:$B$729,예비비!$A345,예비비!$E$430:$E$729,"&lt;"&amp;EDATE(BS$99,1),예비비!$F$430:$F$729,"결제대금비")+MAX(0,IF(예비비!$D345&lt;EDATE(BS$99,1),예비비!$E345,0)-SUMIFS(예비비!$O$430:$O$729,예비비!$B$430:$B$729,예비비!$A345,예비비!$E$430:$E$729,"&lt;"&amp;EDATE(BS$99,1))),0)</f>
        <v>0</v>
      </c>
      <c r="BT345">
        <f>IF(예비비!$R345="OK",SUMIFS(예비비!$O$430:$O$729,예비비!$B$430:$B$729,예비비!$A345,예비비!$E$430:$E$729,"&lt;"&amp;EDATE(BT$99,1),예비비!$F$430:$F$729,"결제대금비")+MAX(0,IF(예비비!$D345&lt;EDATE(BT$99,1),예비비!$E345,0)-SUMIFS(예비비!$O$430:$O$729,예비비!$B$430:$B$729,예비비!$A345,예비비!$E$430:$E$729,"&lt;"&amp;EDATE(BT$99,1))),0)</f>
        <v>0</v>
      </c>
      <c r="BU345">
        <f>IF(예비비!$R345="OK",SUMIFS(예비비!$O$430:$O$729,예비비!$B$430:$B$729,예비비!$A345,예비비!$E$430:$E$729,"&lt;"&amp;EDATE(BU$99,1),예비비!$F$430:$F$729,"결제대금비")+MAX(0,IF(예비비!$D345&lt;EDATE(BU$99,1),예비비!$E345,0)-SUMIFS(예비비!$O$430:$O$729,예비비!$B$430:$B$729,예비비!$A345,예비비!$E$430:$E$729,"&lt;"&amp;EDATE(BU$99,1))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  <c r="BI346">
        <f>IF(예비비!$R346="OK",SUMIFS(예비비!$O$430:$O$729,예비비!$B$430:$B$729,예비비!$A346,예비비!$E$430:$E$729,"&lt;"&amp;EDATE(BI$99,1),예비비!$F$430:$F$729,"결제대금비")+MAX(0,IF(예비비!$D346&lt;EDATE(BI$99,1),예비비!$E346,0)-SUMIFS(예비비!$O$430:$O$729,예비비!$B$430:$B$729,예비비!$A346,예비비!$E$430:$E$729,"&lt;"&amp;EDATE(BI$99,1))),0)</f>
        <v>0</v>
      </c>
      <c r="BJ346">
        <f>IF(예비비!$R346="OK",SUMIFS(예비비!$O$430:$O$729,예비비!$B$430:$B$729,예비비!$A346,예비비!$E$430:$E$729,"&lt;"&amp;EDATE(BJ$99,1),예비비!$F$430:$F$729,"결제대금비")+MAX(0,IF(예비비!$D346&lt;EDATE(BJ$99,1),예비비!$E346,0)-SUMIFS(예비비!$O$430:$O$729,예비비!$B$430:$B$729,예비비!$A346,예비비!$E$430:$E$729,"&lt;"&amp;EDATE(BJ$99,1))),0)</f>
        <v>0</v>
      </c>
      <c r="BK346">
        <f>IF(예비비!$R346="OK",SUMIFS(예비비!$O$430:$O$729,예비비!$B$430:$B$729,예비비!$A346,예비비!$E$430:$E$729,"&lt;"&amp;EDATE(BK$99,1),예비비!$F$430:$F$729,"결제대금비")+MAX(0,IF(예비비!$D346&lt;EDATE(BK$99,1),예비비!$E346,0)-SUMIFS(예비비!$O$430:$O$729,예비비!$B$430:$B$729,예비비!$A346,예비비!$E$430:$E$729,"&lt;"&amp;EDATE(BK$99,1))),0)</f>
        <v>0</v>
      </c>
      <c r="BL346">
        <f>IF(예비비!$R346="OK",SUMIFS(예비비!$O$430:$O$729,예비비!$B$430:$B$729,예비비!$A346,예비비!$E$430:$E$729,"&lt;"&amp;EDATE(BL$99,1),예비비!$F$430:$F$729,"결제대금비")+MAX(0,IF(예비비!$D346&lt;EDATE(BL$99,1),예비비!$E346,0)-SUMIFS(예비비!$O$430:$O$729,예비비!$B$430:$B$729,예비비!$A346,예비비!$E$430:$E$729,"&lt;"&amp;EDATE(BL$99,1))),0)</f>
        <v>0</v>
      </c>
      <c r="BM346">
        <f>IF(예비비!$R346="OK",SUMIFS(예비비!$O$430:$O$729,예비비!$B$430:$B$729,예비비!$A346,예비비!$E$430:$E$729,"&lt;"&amp;EDATE(BM$99,1),예비비!$F$430:$F$729,"결제대금비")+MAX(0,IF(예비비!$D346&lt;EDATE(BM$99,1),예비비!$E346,0)-SUMIFS(예비비!$O$430:$O$729,예비비!$B$430:$B$729,예비비!$A346,예비비!$E$430:$E$729,"&lt;"&amp;EDATE(BM$99,1))),0)</f>
        <v>0</v>
      </c>
      <c r="BN346">
        <f>IF(예비비!$R346="OK",SUMIFS(예비비!$O$430:$O$729,예비비!$B$430:$B$729,예비비!$A346,예비비!$E$430:$E$729,"&lt;"&amp;EDATE(BN$99,1),예비비!$F$430:$F$729,"결제대금비")+MAX(0,IF(예비비!$D346&lt;EDATE(BN$99,1),예비비!$E346,0)-SUMIFS(예비비!$O$430:$O$729,예비비!$B$430:$B$729,예비비!$A346,예비비!$E$430:$E$729,"&lt;"&amp;EDATE(BN$99,1))),0)</f>
        <v>0</v>
      </c>
      <c r="BO346">
        <f>IF(예비비!$R346="OK",SUMIFS(예비비!$O$430:$O$729,예비비!$B$430:$B$729,예비비!$A346,예비비!$E$430:$E$729,"&lt;"&amp;EDATE(BO$99,1),예비비!$F$430:$F$729,"결제대금비")+MAX(0,IF(예비비!$D346&lt;EDATE(BO$99,1),예비비!$E346,0)-SUMIFS(예비비!$O$430:$O$729,예비비!$B$430:$B$729,예비비!$A346,예비비!$E$430:$E$729,"&lt;"&amp;EDATE(BO$99,1))),0)</f>
        <v>0</v>
      </c>
      <c r="BP346">
        <f>IF(예비비!$R346="OK",SUMIFS(예비비!$O$430:$O$729,예비비!$B$430:$B$729,예비비!$A346,예비비!$E$430:$E$729,"&lt;"&amp;EDATE(BP$99,1),예비비!$F$430:$F$729,"결제대금비")+MAX(0,IF(예비비!$D346&lt;EDATE(BP$99,1),예비비!$E346,0)-SUMIFS(예비비!$O$430:$O$729,예비비!$B$430:$B$729,예비비!$A346,예비비!$E$430:$E$729,"&lt;"&amp;EDATE(BP$99,1))),0)</f>
        <v>0</v>
      </c>
      <c r="BQ346">
        <f>IF(예비비!$R346="OK",SUMIFS(예비비!$O$430:$O$729,예비비!$B$430:$B$729,예비비!$A346,예비비!$E$430:$E$729,"&lt;"&amp;EDATE(BQ$99,1),예비비!$F$430:$F$729,"결제대금비")+MAX(0,IF(예비비!$D346&lt;EDATE(BQ$99,1),예비비!$E346,0)-SUMIFS(예비비!$O$430:$O$729,예비비!$B$430:$B$729,예비비!$A346,예비비!$E$430:$E$729,"&lt;"&amp;EDATE(BQ$99,1))),0)</f>
        <v>0</v>
      </c>
      <c r="BR346">
        <f>IF(예비비!$R346="OK",SUMIFS(예비비!$O$430:$O$729,예비비!$B$430:$B$729,예비비!$A346,예비비!$E$430:$E$729,"&lt;"&amp;EDATE(BR$99,1),예비비!$F$430:$F$729,"결제대금비")+MAX(0,IF(예비비!$D346&lt;EDATE(BR$99,1),예비비!$E346,0)-SUMIFS(예비비!$O$430:$O$729,예비비!$B$430:$B$729,예비비!$A346,예비비!$E$430:$E$729,"&lt;"&amp;EDATE(BR$99,1))),0)</f>
        <v>0</v>
      </c>
      <c r="BS346">
        <f>IF(예비비!$R346="OK",SUMIFS(예비비!$O$430:$O$729,예비비!$B$430:$B$729,예비비!$A346,예비비!$E$430:$E$729,"&lt;"&amp;EDATE(BS$99,1),예비비!$F$430:$F$729,"결제대금비")+MAX(0,IF(예비비!$D346&lt;EDATE(BS$99,1),예비비!$E346,0)-SUMIFS(예비비!$O$430:$O$729,예비비!$B$430:$B$729,예비비!$A346,예비비!$E$430:$E$729,"&lt;"&amp;EDATE(BS$99,1))),0)</f>
        <v>0</v>
      </c>
      <c r="BT346">
        <f>IF(예비비!$R346="OK",SUMIFS(예비비!$O$430:$O$729,예비비!$B$430:$B$729,예비비!$A346,예비비!$E$430:$E$729,"&lt;"&amp;EDATE(BT$99,1),예비비!$F$430:$F$729,"결제대금비")+MAX(0,IF(예비비!$D346&lt;EDATE(BT$99,1),예비비!$E346,0)-SUMIFS(예비비!$O$430:$O$729,예비비!$B$430:$B$729,예비비!$A346,예비비!$E$430:$E$729,"&lt;"&amp;EDATE(BT$99,1))),0)</f>
        <v>0</v>
      </c>
      <c r="BU346">
        <f>IF(예비비!$R346="OK",SUMIFS(예비비!$O$430:$O$729,예비비!$B$430:$B$729,예비비!$A346,예비비!$E$430:$E$729,"&lt;"&amp;EDATE(BU$99,1),예비비!$F$430:$F$729,"결제대금비")+MAX(0,IF(예비비!$D346&lt;EDATE(BU$99,1),예비비!$E346,0)-SUMIFS(예비비!$O$430:$O$729,예비비!$B$430:$B$729,예비비!$A346,예비비!$E$430:$E$729,"&lt;"&amp;EDATE(BU$99,1))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  <c r="BI347">
        <f>IF(예비비!$R347="OK",SUMIFS(예비비!$O$430:$O$729,예비비!$B$430:$B$729,예비비!$A347,예비비!$E$430:$E$729,"&lt;"&amp;EDATE(BI$99,1),예비비!$F$430:$F$729,"결제대금비")+MAX(0,IF(예비비!$D347&lt;EDATE(BI$99,1),예비비!$E347,0)-SUMIFS(예비비!$O$430:$O$729,예비비!$B$430:$B$729,예비비!$A347,예비비!$E$430:$E$729,"&lt;"&amp;EDATE(BI$99,1))),0)</f>
        <v>0</v>
      </c>
      <c r="BJ347">
        <f>IF(예비비!$R347="OK",SUMIFS(예비비!$O$430:$O$729,예비비!$B$430:$B$729,예비비!$A347,예비비!$E$430:$E$729,"&lt;"&amp;EDATE(BJ$99,1),예비비!$F$430:$F$729,"결제대금비")+MAX(0,IF(예비비!$D347&lt;EDATE(BJ$99,1),예비비!$E347,0)-SUMIFS(예비비!$O$430:$O$729,예비비!$B$430:$B$729,예비비!$A347,예비비!$E$430:$E$729,"&lt;"&amp;EDATE(BJ$99,1))),0)</f>
        <v>0</v>
      </c>
      <c r="BK347">
        <f>IF(예비비!$R347="OK",SUMIFS(예비비!$O$430:$O$729,예비비!$B$430:$B$729,예비비!$A347,예비비!$E$430:$E$729,"&lt;"&amp;EDATE(BK$99,1),예비비!$F$430:$F$729,"결제대금비")+MAX(0,IF(예비비!$D347&lt;EDATE(BK$99,1),예비비!$E347,0)-SUMIFS(예비비!$O$430:$O$729,예비비!$B$430:$B$729,예비비!$A347,예비비!$E$430:$E$729,"&lt;"&amp;EDATE(BK$99,1))),0)</f>
        <v>0</v>
      </c>
      <c r="BL347">
        <f>IF(예비비!$R347="OK",SUMIFS(예비비!$O$430:$O$729,예비비!$B$430:$B$729,예비비!$A347,예비비!$E$430:$E$729,"&lt;"&amp;EDATE(BL$99,1),예비비!$F$430:$F$729,"결제대금비")+MAX(0,IF(예비비!$D347&lt;EDATE(BL$99,1),예비비!$E347,0)-SUMIFS(예비비!$O$430:$O$729,예비비!$B$430:$B$729,예비비!$A347,예비비!$E$430:$E$729,"&lt;"&amp;EDATE(BL$99,1))),0)</f>
        <v>0</v>
      </c>
      <c r="BM347">
        <f>IF(예비비!$R347="OK",SUMIFS(예비비!$O$430:$O$729,예비비!$B$430:$B$729,예비비!$A347,예비비!$E$430:$E$729,"&lt;"&amp;EDATE(BM$99,1),예비비!$F$430:$F$729,"결제대금비")+MAX(0,IF(예비비!$D347&lt;EDATE(BM$99,1),예비비!$E347,0)-SUMIFS(예비비!$O$430:$O$729,예비비!$B$430:$B$729,예비비!$A347,예비비!$E$430:$E$729,"&lt;"&amp;EDATE(BM$99,1))),0)</f>
        <v>0</v>
      </c>
      <c r="BN347">
        <f>IF(예비비!$R347="OK",SUMIFS(예비비!$O$430:$O$729,예비비!$B$430:$B$729,예비비!$A347,예비비!$E$430:$E$729,"&lt;"&amp;EDATE(BN$99,1),예비비!$F$430:$F$729,"결제대금비")+MAX(0,IF(예비비!$D347&lt;EDATE(BN$99,1),예비비!$E347,0)-SUMIFS(예비비!$O$430:$O$729,예비비!$B$430:$B$729,예비비!$A347,예비비!$E$430:$E$729,"&lt;"&amp;EDATE(BN$99,1))),0)</f>
        <v>0</v>
      </c>
      <c r="BO347">
        <f>IF(예비비!$R347="OK",SUMIFS(예비비!$O$430:$O$729,예비비!$B$430:$B$729,예비비!$A347,예비비!$E$430:$E$729,"&lt;"&amp;EDATE(BO$99,1),예비비!$F$430:$F$729,"결제대금비")+MAX(0,IF(예비비!$D347&lt;EDATE(BO$99,1),예비비!$E347,0)-SUMIFS(예비비!$O$430:$O$729,예비비!$B$430:$B$729,예비비!$A347,예비비!$E$430:$E$729,"&lt;"&amp;EDATE(BO$99,1))),0)</f>
        <v>0</v>
      </c>
      <c r="BP347">
        <f>IF(예비비!$R347="OK",SUMIFS(예비비!$O$430:$O$729,예비비!$B$430:$B$729,예비비!$A347,예비비!$E$430:$E$729,"&lt;"&amp;EDATE(BP$99,1),예비비!$F$430:$F$729,"결제대금비")+MAX(0,IF(예비비!$D347&lt;EDATE(BP$99,1),예비비!$E347,0)-SUMIFS(예비비!$O$430:$O$729,예비비!$B$430:$B$729,예비비!$A347,예비비!$E$430:$E$729,"&lt;"&amp;EDATE(BP$99,1))),0)</f>
        <v>0</v>
      </c>
      <c r="BQ347">
        <f>IF(예비비!$R347="OK",SUMIFS(예비비!$O$430:$O$729,예비비!$B$430:$B$729,예비비!$A347,예비비!$E$430:$E$729,"&lt;"&amp;EDATE(BQ$99,1),예비비!$F$430:$F$729,"결제대금비")+MAX(0,IF(예비비!$D347&lt;EDATE(BQ$99,1),예비비!$E347,0)-SUMIFS(예비비!$O$430:$O$729,예비비!$B$430:$B$729,예비비!$A347,예비비!$E$430:$E$729,"&lt;"&amp;EDATE(BQ$99,1))),0)</f>
        <v>0</v>
      </c>
      <c r="BR347">
        <f>IF(예비비!$R347="OK",SUMIFS(예비비!$O$430:$O$729,예비비!$B$430:$B$729,예비비!$A347,예비비!$E$430:$E$729,"&lt;"&amp;EDATE(BR$99,1),예비비!$F$430:$F$729,"결제대금비")+MAX(0,IF(예비비!$D347&lt;EDATE(BR$99,1),예비비!$E347,0)-SUMIFS(예비비!$O$430:$O$729,예비비!$B$430:$B$729,예비비!$A347,예비비!$E$430:$E$729,"&lt;"&amp;EDATE(BR$99,1))),0)</f>
        <v>0</v>
      </c>
      <c r="BS347">
        <f>IF(예비비!$R347="OK",SUMIFS(예비비!$O$430:$O$729,예비비!$B$430:$B$729,예비비!$A347,예비비!$E$430:$E$729,"&lt;"&amp;EDATE(BS$99,1),예비비!$F$430:$F$729,"결제대금비")+MAX(0,IF(예비비!$D347&lt;EDATE(BS$99,1),예비비!$E347,0)-SUMIFS(예비비!$O$430:$O$729,예비비!$B$430:$B$729,예비비!$A347,예비비!$E$430:$E$729,"&lt;"&amp;EDATE(BS$99,1))),0)</f>
        <v>0</v>
      </c>
      <c r="BT347">
        <f>IF(예비비!$R347="OK",SUMIFS(예비비!$O$430:$O$729,예비비!$B$430:$B$729,예비비!$A347,예비비!$E$430:$E$729,"&lt;"&amp;EDATE(BT$99,1),예비비!$F$430:$F$729,"결제대금비")+MAX(0,IF(예비비!$D347&lt;EDATE(BT$99,1),예비비!$E347,0)-SUMIFS(예비비!$O$430:$O$729,예비비!$B$430:$B$729,예비비!$A347,예비비!$E$430:$E$729,"&lt;"&amp;EDATE(BT$99,1))),0)</f>
        <v>0</v>
      </c>
      <c r="BU347">
        <f>IF(예비비!$R347="OK",SUMIFS(예비비!$O$430:$O$729,예비비!$B$430:$B$729,예비비!$A347,예비비!$E$430:$E$729,"&lt;"&amp;EDATE(BU$99,1),예비비!$F$430:$F$729,"결제대금비")+MAX(0,IF(예비비!$D347&lt;EDATE(BU$99,1),예비비!$E347,0)-SUMIFS(예비비!$O$430:$O$729,예비비!$B$430:$B$729,예비비!$A347,예비비!$E$430:$E$729,"&lt;"&amp;EDATE(BU$99,1))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  <c r="BI348">
        <f>IF(예비비!$R348="OK",SUMIFS(예비비!$O$430:$O$729,예비비!$B$430:$B$729,예비비!$A348,예비비!$E$430:$E$729,"&lt;"&amp;EDATE(BI$99,1),예비비!$F$430:$F$729,"결제대금비")+MAX(0,IF(예비비!$D348&lt;EDATE(BI$99,1),예비비!$E348,0)-SUMIFS(예비비!$O$430:$O$729,예비비!$B$430:$B$729,예비비!$A348,예비비!$E$430:$E$729,"&lt;"&amp;EDATE(BI$99,1))),0)</f>
        <v>0</v>
      </c>
      <c r="BJ348">
        <f>IF(예비비!$R348="OK",SUMIFS(예비비!$O$430:$O$729,예비비!$B$430:$B$729,예비비!$A348,예비비!$E$430:$E$729,"&lt;"&amp;EDATE(BJ$99,1),예비비!$F$430:$F$729,"결제대금비")+MAX(0,IF(예비비!$D348&lt;EDATE(BJ$99,1),예비비!$E348,0)-SUMIFS(예비비!$O$430:$O$729,예비비!$B$430:$B$729,예비비!$A348,예비비!$E$430:$E$729,"&lt;"&amp;EDATE(BJ$99,1))),0)</f>
        <v>0</v>
      </c>
      <c r="BK348">
        <f>IF(예비비!$R348="OK",SUMIFS(예비비!$O$430:$O$729,예비비!$B$430:$B$729,예비비!$A348,예비비!$E$430:$E$729,"&lt;"&amp;EDATE(BK$99,1),예비비!$F$430:$F$729,"결제대금비")+MAX(0,IF(예비비!$D348&lt;EDATE(BK$99,1),예비비!$E348,0)-SUMIFS(예비비!$O$430:$O$729,예비비!$B$430:$B$729,예비비!$A348,예비비!$E$430:$E$729,"&lt;"&amp;EDATE(BK$99,1))),0)</f>
        <v>0</v>
      </c>
      <c r="BL348">
        <f>IF(예비비!$R348="OK",SUMIFS(예비비!$O$430:$O$729,예비비!$B$430:$B$729,예비비!$A348,예비비!$E$430:$E$729,"&lt;"&amp;EDATE(BL$99,1),예비비!$F$430:$F$729,"결제대금비")+MAX(0,IF(예비비!$D348&lt;EDATE(BL$99,1),예비비!$E348,0)-SUMIFS(예비비!$O$430:$O$729,예비비!$B$430:$B$729,예비비!$A348,예비비!$E$430:$E$729,"&lt;"&amp;EDATE(BL$99,1))),0)</f>
        <v>0</v>
      </c>
      <c r="BM348">
        <f>IF(예비비!$R348="OK",SUMIFS(예비비!$O$430:$O$729,예비비!$B$430:$B$729,예비비!$A348,예비비!$E$430:$E$729,"&lt;"&amp;EDATE(BM$99,1),예비비!$F$430:$F$729,"결제대금비")+MAX(0,IF(예비비!$D348&lt;EDATE(BM$99,1),예비비!$E348,0)-SUMIFS(예비비!$O$430:$O$729,예비비!$B$430:$B$729,예비비!$A348,예비비!$E$430:$E$729,"&lt;"&amp;EDATE(BM$99,1))),0)</f>
        <v>0</v>
      </c>
      <c r="BN348">
        <f>IF(예비비!$R348="OK",SUMIFS(예비비!$O$430:$O$729,예비비!$B$430:$B$729,예비비!$A348,예비비!$E$430:$E$729,"&lt;"&amp;EDATE(BN$99,1),예비비!$F$430:$F$729,"결제대금비")+MAX(0,IF(예비비!$D348&lt;EDATE(BN$99,1),예비비!$E348,0)-SUMIFS(예비비!$O$430:$O$729,예비비!$B$430:$B$729,예비비!$A348,예비비!$E$430:$E$729,"&lt;"&amp;EDATE(BN$99,1))),0)</f>
        <v>0</v>
      </c>
      <c r="BO348">
        <f>IF(예비비!$R348="OK",SUMIFS(예비비!$O$430:$O$729,예비비!$B$430:$B$729,예비비!$A348,예비비!$E$430:$E$729,"&lt;"&amp;EDATE(BO$99,1),예비비!$F$430:$F$729,"결제대금비")+MAX(0,IF(예비비!$D348&lt;EDATE(BO$99,1),예비비!$E348,0)-SUMIFS(예비비!$O$430:$O$729,예비비!$B$430:$B$729,예비비!$A348,예비비!$E$430:$E$729,"&lt;"&amp;EDATE(BO$99,1))),0)</f>
        <v>0</v>
      </c>
      <c r="BP348">
        <f>IF(예비비!$R348="OK",SUMIFS(예비비!$O$430:$O$729,예비비!$B$430:$B$729,예비비!$A348,예비비!$E$430:$E$729,"&lt;"&amp;EDATE(BP$99,1),예비비!$F$430:$F$729,"결제대금비")+MAX(0,IF(예비비!$D348&lt;EDATE(BP$99,1),예비비!$E348,0)-SUMIFS(예비비!$O$430:$O$729,예비비!$B$430:$B$729,예비비!$A348,예비비!$E$430:$E$729,"&lt;"&amp;EDATE(BP$99,1))),0)</f>
        <v>0</v>
      </c>
      <c r="BQ348">
        <f>IF(예비비!$R348="OK",SUMIFS(예비비!$O$430:$O$729,예비비!$B$430:$B$729,예비비!$A348,예비비!$E$430:$E$729,"&lt;"&amp;EDATE(BQ$99,1),예비비!$F$430:$F$729,"결제대금비")+MAX(0,IF(예비비!$D348&lt;EDATE(BQ$99,1),예비비!$E348,0)-SUMIFS(예비비!$O$430:$O$729,예비비!$B$430:$B$729,예비비!$A348,예비비!$E$430:$E$729,"&lt;"&amp;EDATE(BQ$99,1))),0)</f>
        <v>0</v>
      </c>
      <c r="BR348">
        <f>IF(예비비!$R348="OK",SUMIFS(예비비!$O$430:$O$729,예비비!$B$430:$B$729,예비비!$A348,예비비!$E$430:$E$729,"&lt;"&amp;EDATE(BR$99,1),예비비!$F$430:$F$729,"결제대금비")+MAX(0,IF(예비비!$D348&lt;EDATE(BR$99,1),예비비!$E348,0)-SUMIFS(예비비!$O$430:$O$729,예비비!$B$430:$B$729,예비비!$A348,예비비!$E$430:$E$729,"&lt;"&amp;EDATE(BR$99,1))),0)</f>
        <v>0</v>
      </c>
      <c r="BS348">
        <f>IF(예비비!$R348="OK",SUMIFS(예비비!$O$430:$O$729,예비비!$B$430:$B$729,예비비!$A348,예비비!$E$430:$E$729,"&lt;"&amp;EDATE(BS$99,1),예비비!$F$430:$F$729,"결제대금비")+MAX(0,IF(예비비!$D348&lt;EDATE(BS$99,1),예비비!$E348,0)-SUMIFS(예비비!$O$430:$O$729,예비비!$B$430:$B$729,예비비!$A348,예비비!$E$430:$E$729,"&lt;"&amp;EDATE(BS$99,1))),0)</f>
        <v>0</v>
      </c>
      <c r="BT348">
        <f>IF(예비비!$R348="OK",SUMIFS(예비비!$O$430:$O$729,예비비!$B$430:$B$729,예비비!$A348,예비비!$E$430:$E$729,"&lt;"&amp;EDATE(BT$99,1),예비비!$F$430:$F$729,"결제대금비")+MAX(0,IF(예비비!$D348&lt;EDATE(BT$99,1),예비비!$E348,0)-SUMIFS(예비비!$O$430:$O$729,예비비!$B$430:$B$729,예비비!$A348,예비비!$E$430:$E$729,"&lt;"&amp;EDATE(BT$99,1))),0)</f>
        <v>0</v>
      </c>
      <c r="BU348">
        <f>IF(예비비!$R348="OK",SUMIFS(예비비!$O$430:$O$729,예비비!$B$430:$B$729,예비비!$A348,예비비!$E$430:$E$729,"&lt;"&amp;EDATE(BU$99,1),예비비!$F$430:$F$729,"결제대금비")+MAX(0,IF(예비비!$D348&lt;EDATE(BU$99,1),예비비!$E348,0)-SUMIFS(예비비!$O$430:$O$729,예비비!$B$430:$B$729,예비비!$A348,예비비!$E$430:$E$729,"&lt;"&amp;EDATE(BU$99,1))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  <c r="BI349">
        <f>IF(예비비!$R349="OK",SUMIFS(예비비!$O$430:$O$729,예비비!$B$430:$B$729,예비비!$A349,예비비!$E$430:$E$729,"&lt;"&amp;EDATE(BI$99,1),예비비!$F$430:$F$729,"결제대금비")+MAX(0,IF(예비비!$D349&lt;EDATE(BI$99,1),예비비!$E349,0)-SUMIFS(예비비!$O$430:$O$729,예비비!$B$430:$B$729,예비비!$A349,예비비!$E$430:$E$729,"&lt;"&amp;EDATE(BI$99,1))),0)</f>
        <v>0</v>
      </c>
      <c r="BJ349">
        <f>IF(예비비!$R349="OK",SUMIFS(예비비!$O$430:$O$729,예비비!$B$430:$B$729,예비비!$A349,예비비!$E$430:$E$729,"&lt;"&amp;EDATE(BJ$99,1),예비비!$F$430:$F$729,"결제대금비")+MAX(0,IF(예비비!$D349&lt;EDATE(BJ$99,1),예비비!$E349,0)-SUMIFS(예비비!$O$430:$O$729,예비비!$B$430:$B$729,예비비!$A349,예비비!$E$430:$E$729,"&lt;"&amp;EDATE(BJ$99,1))),0)</f>
        <v>0</v>
      </c>
      <c r="BK349">
        <f>IF(예비비!$R349="OK",SUMIFS(예비비!$O$430:$O$729,예비비!$B$430:$B$729,예비비!$A349,예비비!$E$430:$E$729,"&lt;"&amp;EDATE(BK$99,1),예비비!$F$430:$F$729,"결제대금비")+MAX(0,IF(예비비!$D349&lt;EDATE(BK$99,1),예비비!$E349,0)-SUMIFS(예비비!$O$430:$O$729,예비비!$B$430:$B$729,예비비!$A349,예비비!$E$430:$E$729,"&lt;"&amp;EDATE(BK$99,1))),0)</f>
        <v>0</v>
      </c>
      <c r="BL349">
        <f>IF(예비비!$R349="OK",SUMIFS(예비비!$O$430:$O$729,예비비!$B$430:$B$729,예비비!$A349,예비비!$E$430:$E$729,"&lt;"&amp;EDATE(BL$99,1),예비비!$F$430:$F$729,"결제대금비")+MAX(0,IF(예비비!$D349&lt;EDATE(BL$99,1),예비비!$E349,0)-SUMIFS(예비비!$O$430:$O$729,예비비!$B$430:$B$729,예비비!$A349,예비비!$E$430:$E$729,"&lt;"&amp;EDATE(BL$99,1))),0)</f>
        <v>0</v>
      </c>
      <c r="BM349">
        <f>IF(예비비!$R349="OK",SUMIFS(예비비!$O$430:$O$729,예비비!$B$430:$B$729,예비비!$A349,예비비!$E$430:$E$729,"&lt;"&amp;EDATE(BM$99,1),예비비!$F$430:$F$729,"결제대금비")+MAX(0,IF(예비비!$D349&lt;EDATE(BM$99,1),예비비!$E349,0)-SUMIFS(예비비!$O$430:$O$729,예비비!$B$430:$B$729,예비비!$A349,예비비!$E$430:$E$729,"&lt;"&amp;EDATE(BM$99,1))),0)</f>
        <v>0</v>
      </c>
      <c r="BN349">
        <f>IF(예비비!$R349="OK",SUMIFS(예비비!$O$430:$O$729,예비비!$B$430:$B$729,예비비!$A349,예비비!$E$430:$E$729,"&lt;"&amp;EDATE(BN$99,1),예비비!$F$430:$F$729,"결제대금비")+MAX(0,IF(예비비!$D349&lt;EDATE(BN$99,1),예비비!$E349,0)-SUMIFS(예비비!$O$430:$O$729,예비비!$B$430:$B$729,예비비!$A349,예비비!$E$430:$E$729,"&lt;"&amp;EDATE(BN$99,1))),0)</f>
        <v>0</v>
      </c>
      <c r="BO349">
        <f>IF(예비비!$R349="OK",SUMIFS(예비비!$O$430:$O$729,예비비!$B$430:$B$729,예비비!$A349,예비비!$E$430:$E$729,"&lt;"&amp;EDATE(BO$99,1),예비비!$F$430:$F$729,"결제대금비")+MAX(0,IF(예비비!$D349&lt;EDATE(BO$99,1),예비비!$E349,0)-SUMIFS(예비비!$O$430:$O$729,예비비!$B$430:$B$729,예비비!$A349,예비비!$E$430:$E$729,"&lt;"&amp;EDATE(BO$99,1))),0)</f>
        <v>0</v>
      </c>
      <c r="BP349">
        <f>IF(예비비!$R349="OK",SUMIFS(예비비!$O$430:$O$729,예비비!$B$430:$B$729,예비비!$A349,예비비!$E$430:$E$729,"&lt;"&amp;EDATE(BP$99,1),예비비!$F$430:$F$729,"결제대금비")+MAX(0,IF(예비비!$D349&lt;EDATE(BP$99,1),예비비!$E349,0)-SUMIFS(예비비!$O$430:$O$729,예비비!$B$430:$B$729,예비비!$A349,예비비!$E$430:$E$729,"&lt;"&amp;EDATE(BP$99,1))),0)</f>
        <v>0</v>
      </c>
      <c r="BQ349">
        <f>IF(예비비!$R349="OK",SUMIFS(예비비!$O$430:$O$729,예비비!$B$430:$B$729,예비비!$A349,예비비!$E$430:$E$729,"&lt;"&amp;EDATE(BQ$99,1),예비비!$F$430:$F$729,"결제대금비")+MAX(0,IF(예비비!$D349&lt;EDATE(BQ$99,1),예비비!$E349,0)-SUMIFS(예비비!$O$430:$O$729,예비비!$B$430:$B$729,예비비!$A349,예비비!$E$430:$E$729,"&lt;"&amp;EDATE(BQ$99,1))),0)</f>
        <v>0</v>
      </c>
      <c r="BR349">
        <f>IF(예비비!$R349="OK",SUMIFS(예비비!$O$430:$O$729,예비비!$B$430:$B$729,예비비!$A349,예비비!$E$430:$E$729,"&lt;"&amp;EDATE(BR$99,1),예비비!$F$430:$F$729,"결제대금비")+MAX(0,IF(예비비!$D349&lt;EDATE(BR$99,1),예비비!$E349,0)-SUMIFS(예비비!$O$430:$O$729,예비비!$B$430:$B$729,예비비!$A349,예비비!$E$430:$E$729,"&lt;"&amp;EDATE(BR$99,1))),0)</f>
        <v>0</v>
      </c>
      <c r="BS349">
        <f>IF(예비비!$R349="OK",SUMIFS(예비비!$O$430:$O$729,예비비!$B$430:$B$729,예비비!$A349,예비비!$E$430:$E$729,"&lt;"&amp;EDATE(BS$99,1),예비비!$F$430:$F$729,"결제대금비")+MAX(0,IF(예비비!$D349&lt;EDATE(BS$99,1),예비비!$E349,0)-SUMIFS(예비비!$O$430:$O$729,예비비!$B$430:$B$729,예비비!$A349,예비비!$E$430:$E$729,"&lt;"&amp;EDATE(BS$99,1))),0)</f>
        <v>0</v>
      </c>
      <c r="BT349">
        <f>IF(예비비!$R349="OK",SUMIFS(예비비!$O$430:$O$729,예비비!$B$430:$B$729,예비비!$A349,예비비!$E$430:$E$729,"&lt;"&amp;EDATE(BT$99,1),예비비!$F$430:$F$729,"결제대금비")+MAX(0,IF(예비비!$D349&lt;EDATE(BT$99,1),예비비!$E349,0)-SUMIFS(예비비!$O$430:$O$729,예비비!$B$430:$B$729,예비비!$A349,예비비!$E$430:$E$729,"&lt;"&amp;EDATE(BT$99,1))),0)</f>
        <v>0</v>
      </c>
      <c r="BU349">
        <f>IF(예비비!$R349="OK",SUMIFS(예비비!$O$430:$O$729,예비비!$B$430:$B$729,예비비!$A349,예비비!$E$430:$E$729,"&lt;"&amp;EDATE(BU$99,1),예비비!$F$430:$F$729,"결제대금비")+MAX(0,IF(예비비!$D349&lt;EDATE(BU$99,1),예비비!$E349,0)-SUMIFS(예비비!$O$430:$O$729,예비비!$B$430:$B$729,예비비!$A349,예비비!$E$430:$E$729,"&lt;"&amp;EDATE(BU$99,1))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  <c r="BI350">
        <f>IF(예비비!$R350="OK",SUMIFS(예비비!$O$430:$O$729,예비비!$B$430:$B$729,예비비!$A350,예비비!$E$430:$E$729,"&lt;"&amp;EDATE(BI$99,1),예비비!$F$430:$F$729,"결제대금비")+MAX(0,IF(예비비!$D350&lt;EDATE(BI$99,1),예비비!$E350,0)-SUMIFS(예비비!$O$430:$O$729,예비비!$B$430:$B$729,예비비!$A350,예비비!$E$430:$E$729,"&lt;"&amp;EDATE(BI$99,1))),0)</f>
        <v>0</v>
      </c>
      <c r="BJ350">
        <f>IF(예비비!$R350="OK",SUMIFS(예비비!$O$430:$O$729,예비비!$B$430:$B$729,예비비!$A350,예비비!$E$430:$E$729,"&lt;"&amp;EDATE(BJ$99,1),예비비!$F$430:$F$729,"결제대금비")+MAX(0,IF(예비비!$D350&lt;EDATE(BJ$99,1),예비비!$E350,0)-SUMIFS(예비비!$O$430:$O$729,예비비!$B$430:$B$729,예비비!$A350,예비비!$E$430:$E$729,"&lt;"&amp;EDATE(BJ$99,1))),0)</f>
        <v>0</v>
      </c>
      <c r="BK350">
        <f>IF(예비비!$R350="OK",SUMIFS(예비비!$O$430:$O$729,예비비!$B$430:$B$729,예비비!$A350,예비비!$E$430:$E$729,"&lt;"&amp;EDATE(BK$99,1),예비비!$F$430:$F$729,"결제대금비")+MAX(0,IF(예비비!$D350&lt;EDATE(BK$99,1),예비비!$E350,0)-SUMIFS(예비비!$O$430:$O$729,예비비!$B$430:$B$729,예비비!$A350,예비비!$E$430:$E$729,"&lt;"&amp;EDATE(BK$99,1))),0)</f>
        <v>0</v>
      </c>
      <c r="BL350">
        <f>IF(예비비!$R350="OK",SUMIFS(예비비!$O$430:$O$729,예비비!$B$430:$B$729,예비비!$A350,예비비!$E$430:$E$729,"&lt;"&amp;EDATE(BL$99,1),예비비!$F$430:$F$729,"결제대금비")+MAX(0,IF(예비비!$D350&lt;EDATE(BL$99,1),예비비!$E350,0)-SUMIFS(예비비!$O$430:$O$729,예비비!$B$430:$B$729,예비비!$A350,예비비!$E$430:$E$729,"&lt;"&amp;EDATE(BL$99,1))),0)</f>
        <v>0</v>
      </c>
      <c r="BM350">
        <f>IF(예비비!$R350="OK",SUMIFS(예비비!$O$430:$O$729,예비비!$B$430:$B$729,예비비!$A350,예비비!$E$430:$E$729,"&lt;"&amp;EDATE(BM$99,1),예비비!$F$430:$F$729,"결제대금비")+MAX(0,IF(예비비!$D350&lt;EDATE(BM$99,1),예비비!$E350,0)-SUMIFS(예비비!$O$430:$O$729,예비비!$B$430:$B$729,예비비!$A350,예비비!$E$430:$E$729,"&lt;"&amp;EDATE(BM$99,1))),0)</f>
        <v>0</v>
      </c>
      <c r="BN350">
        <f>IF(예비비!$R350="OK",SUMIFS(예비비!$O$430:$O$729,예비비!$B$430:$B$729,예비비!$A350,예비비!$E$430:$E$729,"&lt;"&amp;EDATE(BN$99,1),예비비!$F$430:$F$729,"결제대금비")+MAX(0,IF(예비비!$D350&lt;EDATE(BN$99,1),예비비!$E350,0)-SUMIFS(예비비!$O$430:$O$729,예비비!$B$430:$B$729,예비비!$A350,예비비!$E$430:$E$729,"&lt;"&amp;EDATE(BN$99,1))),0)</f>
        <v>0</v>
      </c>
      <c r="BO350">
        <f>IF(예비비!$R350="OK",SUMIFS(예비비!$O$430:$O$729,예비비!$B$430:$B$729,예비비!$A350,예비비!$E$430:$E$729,"&lt;"&amp;EDATE(BO$99,1),예비비!$F$430:$F$729,"결제대금비")+MAX(0,IF(예비비!$D350&lt;EDATE(BO$99,1),예비비!$E350,0)-SUMIFS(예비비!$O$430:$O$729,예비비!$B$430:$B$729,예비비!$A350,예비비!$E$430:$E$729,"&lt;"&amp;EDATE(BO$99,1))),0)</f>
        <v>0</v>
      </c>
      <c r="BP350">
        <f>IF(예비비!$R350="OK",SUMIFS(예비비!$O$430:$O$729,예비비!$B$430:$B$729,예비비!$A350,예비비!$E$430:$E$729,"&lt;"&amp;EDATE(BP$99,1),예비비!$F$430:$F$729,"결제대금비")+MAX(0,IF(예비비!$D350&lt;EDATE(BP$99,1),예비비!$E350,0)-SUMIFS(예비비!$O$430:$O$729,예비비!$B$430:$B$729,예비비!$A350,예비비!$E$430:$E$729,"&lt;"&amp;EDATE(BP$99,1))),0)</f>
        <v>0</v>
      </c>
      <c r="BQ350">
        <f>IF(예비비!$R350="OK",SUMIFS(예비비!$O$430:$O$729,예비비!$B$430:$B$729,예비비!$A350,예비비!$E$430:$E$729,"&lt;"&amp;EDATE(BQ$99,1),예비비!$F$430:$F$729,"결제대금비")+MAX(0,IF(예비비!$D350&lt;EDATE(BQ$99,1),예비비!$E350,0)-SUMIFS(예비비!$O$430:$O$729,예비비!$B$430:$B$729,예비비!$A350,예비비!$E$430:$E$729,"&lt;"&amp;EDATE(BQ$99,1))),0)</f>
        <v>0</v>
      </c>
      <c r="BR350">
        <f>IF(예비비!$R350="OK",SUMIFS(예비비!$O$430:$O$729,예비비!$B$430:$B$729,예비비!$A350,예비비!$E$430:$E$729,"&lt;"&amp;EDATE(BR$99,1),예비비!$F$430:$F$729,"결제대금비")+MAX(0,IF(예비비!$D350&lt;EDATE(BR$99,1),예비비!$E350,0)-SUMIFS(예비비!$O$430:$O$729,예비비!$B$430:$B$729,예비비!$A350,예비비!$E$430:$E$729,"&lt;"&amp;EDATE(BR$99,1))),0)</f>
        <v>0</v>
      </c>
      <c r="BS350">
        <f>IF(예비비!$R350="OK",SUMIFS(예비비!$O$430:$O$729,예비비!$B$430:$B$729,예비비!$A350,예비비!$E$430:$E$729,"&lt;"&amp;EDATE(BS$99,1),예비비!$F$430:$F$729,"결제대금비")+MAX(0,IF(예비비!$D350&lt;EDATE(BS$99,1),예비비!$E350,0)-SUMIFS(예비비!$O$430:$O$729,예비비!$B$430:$B$729,예비비!$A350,예비비!$E$430:$E$729,"&lt;"&amp;EDATE(BS$99,1))),0)</f>
        <v>0</v>
      </c>
      <c r="BT350">
        <f>IF(예비비!$R350="OK",SUMIFS(예비비!$O$430:$O$729,예비비!$B$430:$B$729,예비비!$A350,예비비!$E$430:$E$729,"&lt;"&amp;EDATE(BT$99,1),예비비!$F$430:$F$729,"결제대금비")+MAX(0,IF(예비비!$D350&lt;EDATE(BT$99,1),예비비!$E350,0)-SUMIFS(예비비!$O$430:$O$729,예비비!$B$430:$B$729,예비비!$A350,예비비!$E$430:$E$729,"&lt;"&amp;EDATE(BT$99,1))),0)</f>
        <v>0</v>
      </c>
      <c r="BU350">
        <f>IF(예비비!$R350="OK",SUMIFS(예비비!$O$430:$O$729,예비비!$B$430:$B$729,예비비!$A350,예비비!$E$430:$E$729,"&lt;"&amp;EDATE(BU$99,1),예비비!$F$430:$F$729,"결제대금비")+MAX(0,IF(예비비!$D350&lt;EDATE(BU$99,1),예비비!$E350,0)-SUMIFS(예비비!$O$430:$O$729,예비비!$B$430:$B$729,예비비!$A350,예비비!$E$430:$E$729,"&lt;"&amp;EDATE(BU$99,1))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  <c r="BI351">
        <f>IF(예비비!$R351="OK",SUMIFS(예비비!$O$430:$O$729,예비비!$B$430:$B$729,예비비!$A351,예비비!$E$430:$E$729,"&lt;"&amp;EDATE(BI$99,1),예비비!$F$430:$F$729,"결제대금비")+MAX(0,IF(예비비!$D351&lt;EDATE(BI$99,1),예비비!$E351,0)-SUMIFS(예비비!$O$430:$O$729,예비비!$B$430:$B$729,예비비!$A351,예비비!$E$430:$E$729,"&lt;"&amp;EDATE(BI$99,1))),0)</f>
        <v>0</v>
      </c>
      <c r="BJ351">
        <f>IF(예비비!$R351="OK",SUMIFS(예비비!$O$430:$O$729,예비비!$B$430:$B$729,예비비!$A351,예비비!$E$430:$E$729,"&lt;"&amp;EDATE(BJ$99,1),예비비!$F$430:$F$729,"결제대금비")+MAX(0,IF(예비비!$D351&lt;EDATE(BJ$99,1),예비비!$E351,0)-SUMIFS(예비비!$O$430:$O$729,예비비!$B$430:$B$729,예비비!$A351,예비비!$E$430:$E$729,"&lt;"&amp;EDATE(BJ$99,1))),0)</f>
        <v>0</v>
      </c>
      <c r="BK351">
        <f>IF(예비비!$R351="OK",SUMIFS(예비비!$O$430:$O$729,예비비!$B$430:$B$729,예비비!$A351,예비비!$E$430:$E$729,"&lt;"&amp;EDATE(BK$99,1),예비비!$F$430:$F$729,"결제대금비")+MAX(0,IF(예비비!$D351&lt;EDATE(BK$99,1),예비비!$E351,0)-SUMIFS(예비비!$O$430:$O$729,예비비!$B$430:$B$729,예비비!$A351,예비비!$E$430:$E$729,"&lt;"&amp;EDATE(BK$99,1))),0)</f>
        <v>0</v>
      </c>
      <c r="BL351">
        <f>IF(예비비!$R351="OK",SUMIFS(예비비!$O$430:$O$729,예비비!$B$430:$B$729,예비비!$A351,예비비!$E$430:$E$729,"&lt;"&amp;EDATE(BL$99,1),예비비!$F$430:$F$729,"결제대금비")+MAX(0,IF(예비비!$D351&lt;EDATE(BL$99,1),예비비!$E351,0)-SUMIFS(예비비!$O$430:$O$729,예비비!$B$430:$B$729,예비비!$A351,예비비!$E$430:$E$729,"&lt;"&amp;EDATE(BL$99,1))),0)</f>
        <v>0</v>
      </c>
      <c r="BM351">
        <f>IF(예비비!$R351="OK",SUMIFS(예비비!$O$430:$O$729,예비비!$B$430:$B$729,예비비!$A351,예비비!$E$430:$E$729,"&lt;"&amp;EDATE(BM$99,1),예비비!$F$430:$F$729,"결제대금비")+MAX(0,IF(예비비!$D351&lt;EDATE(BM$99,1),예비비!$E351,0)-SUMIFS(예비비!$O$430:$O$729,예비비!$B$430:$B$729,예비비!$A351,예비비!$E$430:$E$729,"&lt;"&amp;EDATE(BM$99,1))),0)</f>
        <v>0</v>
      </c>
      <c r="BN351">
        <f>IF(예비비!$R351="OK",SUMIFS(예비비!$O$430:$O$729,예비비!$B$430:$B$729,예비비!$A351,예비비!$E$430:$E$729,"&lt;"&amp;EDATE(BN$99,1),예비비!$F$430:$F$729,"결제대금비")+MAX(0,IF(예비비!$D351&lt;EDATE(BN$99,1),예비비!$E351,0)-SUMIFS(예비비!$O$430:$O$729,예비비!$B$430:$B$729,예비비!$A351,예비비!$E$430:$E$729,"&lt;"&amp;EDATE(BN$99,1))),0)</f>
        <v>0</v>
      </c>
      <c r="BO351">
        <f>IF(예비비!$R351="OK",SUMIFS(예비비!$O$430:$O$729,예비비!$B$430:$B$729,예비비!$A351,예비비!$E$430:$E$729,"&lt;"&amp;EDATE(BO$99,1),예비비!$F$430:$F$729,"결제대금비")+MAX(0,IF(예비비!$D351&lt;EDATE(BO$99,1),예비비!$E351,0)-SUMIFS(예비비!$O$430:$O$729,예비비!$B$430:$B$729,예비비!$A351,예비비!$E$430:$E$729,"&lt;"&amp;EDATE(BO$99,1))),0)</f>
        <v>0</v>
      </c>
      <c r="BP351">
        <f>IF(예비비!$R351="OK",SUMIFS(예비비!$O$430:$O$729,예비비!$B$430:$B$729,예비비!$A351,예비비!$E$430:$E$729,"&lt;"&amp;EDATE(BP$99,1),예비비!$F$430:$F$729,"결제대금비")+MAX(0,IF(예비비!$D351&lt;EDATE(BP$99,1),예비비!$E351,0)-SUMIFS(예비비!$O$430:$O$729,예비비!$B$430:$B$729,예비비!$A351,예비비!$E$430:$E$729,"&lt;"&amp;EDATE(BP$99,1))),0)</f>
        <v>0</v>
      </c>
      <c r="BQ351">
        <f>IF(예비비!$R351="OK",SUMIFS(예비비!$O$430:$O$729,예비비!$B$430:$B$729,예비비!$A351,예비비!$E$430:$E$729,"&lt;"&amp;EDATE(BQ$99,1),예비비!$F$430:$F$729,"결제대금비")+MAX(0,IF(예비비!$D351&lt;EDATE(BQ$99,1),예비비!$E351,0)-SUMIFS(예비비!$O$430:$O$729,예비비!$B$430:$B$729,예비비!$A351,예비비!$E$430:$E$729,"&lt;"&amp;EDATE(BQ$99,1))),0)</f>
        <v>0</v>
      </c>
      <c r="BR351">
        <f>IF(예비비!$R351="OK",SUMIFS(예비비!$O$430:$O$729,예비비!$B$430:$B$729,예비비!$A351,예비비!$E$430:$E$729,"&lt;"&amp;EDATE(BR$99,1),예비비!$F$430:$F$729,"결제대금비")+MAX(0,IF(예비비!$D351&lt;EDATE(BR$99,1),예비비!$E351,0)-SUMIFS(예비비!$O$430:$O$729,예비비!$B$430:$B$729,예비비!$A351,예비비!$E$430:$E$729,"&lt;"&amp;EDATE(BR$99,1))),0)</f>
        <v>0</v>
      </c>
      <c r="BS351">
        <f>IF(예비비!$R351="OK",SUMIFS(예비비!$O$430:$O$729,예비비!$B$430:$B$729,예비비!$A351,예비비!$E$430:$E$729,"&lt;"&amp;EDATE(BS$99,1),예비비!$F$430:$F$729,"결제대금비")+MAX(0,IF(예비비!$D351&lt;EDATE(BS$99,1),예비비!$E351,0)-SUMIFS(예비비!$O$430:$O$729,예비비!$B$430:$B$729,예비비!$A351,예비비!$E$430:$E$729,"&lt;"&amp;EDATE(BS$99,1))),0)</f>
        <v>0</v>
      </c>
      <c r="BT351">
        <f>IF(예비비!$R351="OK",SUMIFS(예비비!$O$430:$O$729,예비비!$B$430:$B$729,예비비!$A351,예비비!$E$430:$E$729,"&lt;"&amp;EDATE(BT$99,1),예비비!$F$430:$F$729,"결제대금비")+MAX(0,IF(예비비!$D351&lt;EDATE(BT$99,1),예비비!$E351,0)-SUMIFS(예비비!$O$430:$O$729,예비비!$B$430:$B$729,예비비!$A351,예비비!$E$430:$E$729,"&lt;"&amp;EDATE(BT$99,1))),0)</f>
        <v>0</v>
      </c>
      <c r="BU351">
        <f>IF(예비비!$R351="OK",SUMIFS(예비비!$O$430:$O$729,예비비!$B$430:$B$729,예비비!$A351,예비비!$E$430:$E$729,"&lt;"&amp;EDATE(BU$99,1),예비비!$F$430:$F$729,"결제대금비")+MAX(0,IF(예비비!$D351&lt;EDATE(BU$99,1),예비비!$E351,0)-SUMIFS(예비비!$O$430:$O$729,예비비!$B$430:$B$729,예비비!$A351,예비비!$E$430:$E$729,"&lt;"&amp;EDATE(BU$99,1))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  <c r="BI352">
        <f>IF(예비비!$R352="OK",SUMIFS(예비비!$O$430:$O$729,예비비!$B$430:$B$729,예비비!$A352,예비비!$E$430:$E$729,"&lt;"&amp;EDATE(BI$99,1),예비비!$F$430:$F$729,"결제대금비")+MAX(0,IF(예비비!$D352&lt;EDATE(BI$99,1),예비비!$E352,0)-SUMIFS(예비비!$O$430:$O$729,예비비!$B$430:$B$729,예비비!$A352,예비비!$E$430:$E$729,"&lt;"&amp;EDATE(BI$99,1))),0)</f>
        <v>0</v>
      </c>
      <c r="BJ352">
        <f>IF(예비비!$R352="OK",SUMIFS(예비비!$O$430:$O$729,예비비!$B$430:$B$729,예비비!$A352,예비비!$E$430:$E$729,"&lt;"&amp;EDATE(BJ$99,1),예비비!$F$430:$F$729,"결제대금비")+MAX(0,IF(예비비!$D352&lt;EDATE(BJ$99,1),예비비!$E352,0)-SUMIFS(예비비!$O$430:$O$729,예비비!$B$430:$B$729,예비비!$A352,예비비!$E$430:$E$729,"&lt;"&amp;EDATE(BJ$99,1))),0)</f>
        <v>0</v>
      </c>
      <c r="BK352">
        <f>IF(예비비!$R352="OK",SUMIFS(예비비!$O$430:$O$729,예비비!$B$430:$B$729,예비비!$A352,예비비!$E$430:$E$729,"&lt;"&amp;EDATE(BK$99,1),예비비!$F$430:$F$729,"결제대금비")+MAX(0,IF(예비비!$D352&lt;EDATE(BK$99,1),예비비!$E352,0)-SUMIFS(예비비!$O$430:$O$729,예비비!$B$430:$B$729,예비비!$A352,예비비!$E$430:$E$729,"&lt;"&amp;EDATE(BK$99,1))),0)</f>
        <v>0</v>
      </c>
      <c r="BL352">
        <f>IF(예비비!$R352="OK",SUMIFS(예비비!$O$430:$O$729,예비비!$B$430:$B$729,예비비!$A352,예비비!$E$430:$E$729,"&lt;"&amp;EDATE(BL$99,1),예비비!$F$430:$F$729,"결제대금비")+MAX(0,IF(예비비!$D352&lt;EDATE(BL$99,1),예비비!$E352,0)-SUMIFS(예비비!$O$430:$O$729,예비비!$B$430:$B$729,예비비!$A352,예비비!$E$430:$E$729,"&lt;"&amp;EDATE(BL$99,1))),0)</f>
        <v>0</v>
      </c>
      <c r="BM352">
        <f>IF(예비비!$R352="OK",SUMIFS(예비비!$O$430:$O$729,예비비!$B$430:$B$729,예비비!$A352,예비비!$E$430:$E$729,"&lt;"&amp;EDATE(BM$99,1),예비비!$F$430:$F$729,"결제대금비")+MAX(0,IF(예비비!$D352&lt;EDATE(BM$99,1),예비비!$E352,0)-SUMIFS(예비비!$O$430:$O$729,예비비!$B$430:$B$729,예비비!$A352,예비비!$E$430:$E$729,"&lt;"&amp;EDATE(BM$99,1))),0)</f>
        <v>0</v>
      </c>
      <c r="BN352">
        <f>IF(예비비!$R352="OK",SUMIFS(예비비!$O$430:$O$729,예비비!$B$430:$B$729,예비비!$A352,예비비!$E$430:$E$729,"&lt;"&amp;EDATE(BN$99,1),예비비!$F$430:$F$729,"결제대금비")+MAX(0,IF(예비비!$D352&lt;EDATE(BN$99,1),예비비!$E352,0)-SUMIFS(예비비!$O$430:$O$729,예비비!$B$430:$B$729,예비비!$A352,예비비!$E$430:$E$729,"&lt;"&amp;EDATE(BN$99,1))),0)</f>
        <v>0</v>
      </c>
      <c r="BO352">
        <f>IF(예비비!$R352="OK",SUMIFS(예비비!$O$430:$O$729,예비비!$B$430:$B$729,예비비!$A352,예비비!$E$430:$E$729,"&lt;"&amp;EDATE(BO$99,1),예비비!$F$430:$F$729,"결제대금비")+MAX(0,IF(예비비!$D352&lt;EDATE(BO$99,1),예비비!$E352,0)-SUMIFS(예비비!$O$430:$O$729,예비비!$B$430:$B$729,예비비!$A352,예비비!$E$430:$E$729,"&lt;"&amp;EDATE(BO$99,1))),0)</f>
        <v>0</v>
      </c>
      <c r="BP352">
        <f>IF(예비비!$R352="OK",SUMIFS(예비비!$O$430:$O$729,예비비!$B$430:$B$729,예비비!$A352,예비비!$E$430:$E$729,"&lt;"&amp;EDATE(BP$99,1),예비비!$F$430:$F$729,"결제대금비")+MAX(0,IF(예비비!$D352&lt;EDATE(BP$99,1),예비비!$E352,0)-SUMIFS(예비비!$O$430:$O$729,예비비!$B$430:$B$729,예비비!$A352,예비비!$E$430:$E$729,"&lt;"&amp;EDATE(BP$99,1))),0)</f>
        <v>0</v>
      </c>
      <c r="BQ352">
        <f>IF(예비비!$R352="OK",SUMIFS(예비비!$O$430:$O$729,예비비!$B$430:$B$729,예비비!$A352,예비비!$E$430:$E$729,"&lt;"&amp;EDATE(BQ$99,1),예비비!$F$430:$F$729,"결제대금비")+MAX(0,IF(예비비!$D352&lt;EDATE(BQ$99,1),예비비!$E352,0)-SUMIFS(예비비!$O$430:$O$729,예비비!$B$430:$B$729,예비비!$A352,예비비!$E$430:$E$729,"&lt;"&amp;EDATE(BQ$99,1))),0)</f>
        <v>0</v>
      </c>
      <c r="BR352">
        <f>IF(예비비!$R352="OK",SUMIFS(예비비!$O$430:$O$729,예비비!$B$430:$B$729,예비비!$A352,예비비!$E$430:$E$729,"&lt;"&amp;EDATE(BR$99,1),예비비!$F$430:$F$729,"결제대금비")+MAX(0,IF(예비비!$D352&lt;EDATE(BR$99,1),예비비!$E352,0)-SUMIFS(예비비!$O$430:$O$729,예비비!$B$430:$B$729,예비비!$A352,예비비!$E$430:$E$729,"&lt;"&amp;EDATE(BR$99,1))),0)</f>
        <v>0</v>
      </c>
      <c r="BS352">
        <f>IF(예비비!$R352="OK",SUMIFS(예비비!$O$430:$O$729,예비비!$B$430:$B$729,예비비!$A352,예비비!$E$430:$E$729,"&lt;"&amp;EDATE(BS$99,1),예비비!$F$430:$F$729,"결제대금비")+MAX(0,IF(예비비!$D352&lt;EDATE(BS$99,1),예비비!$E352,0)-SUMIFS(예비비!$O$430:$O$729,예비비!$B$430:$B$729,예비비!$A352,예비비!$E$430:$E$729,"&lt;"&amp;EDATE(BS$99,1))),0)</f>
        <v>0</v>
      </c>
      <c r="BT352">
        <f>IF(예비비!$R352="OK",SUMIFS(예비비!$O$430:$O$729,예비비!$B$430:$B$729,예비비!$A352,예비비!$E$430:$E$729,"&lt;"&amp;EDATE(BT$99,1),예비비!$F$430:$F$729,"결제대금비")+MAX(0,IF(예비비!$D352&lt;EDATE(BT$99,1),예비비!$E352,0)-SUMIFS(예비비!$O$430:$O$729,예비비!$B$430:$B$729,예비비!$A352,예비비!$E$430:$E$729,"&lt;"&amp;EDATE(BT$99,1))),0)</f>
        <v>0</v>
      </c>
      <c r="BU352">
        <f>IF(예비비!$R352="OK",SUMIFS(예비비!$O$430:$O$729,예비비!$B$430:$B$729,예비비!$A352,예비비!$E$430:$E$729,"&lt;"&amp;EDATE(BU$99,1),예비비!$F$430:$F$729,"결제대금비")+MAX(0,IF(예비비!$D352&lt;EDATE(BU$99,1),예비비!$E352,0)-SUMIFS(예비비!$O$430:$O$729,예비비!$B$430:$B$729,예비비!$A352,예비비!$E$430:$E$729,"&lt;"&amp;EDATE(BU$99,1))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  <c r="BI353">
        <f>IF(예비비!$R353="OK",SUMIFS(예비비!$O$430:$O$729,예비비!$B$430:$B$729,예비비!$A353,예비비!$E$430:$E$729,"&lt;"&amp;EDATE(BI$99,1),예비비!$F$430:$F$729,"결제대금비")+MAX(0,IF(예비비!$D353&lt;EDATE(BI$99,1),예비비!$E353,0)-SUMIFS(예비비!$O$430:$O$729,예비비!$B$430:$B$729,예비비!$A353,예비비!$E$430:$E$729,"&lt;"&amp;EDATE(BI$99,1))),0)</f>
        <v>0</v>
      </c>
      <c r="BJ353">
        <f>IF(예비비!$R353="OK",SUMIFS(예비비!$O$430:$O$729,예비비!$B$430:$B$729,예비비!$A353,예비비!$E$430:$E$729,"&lt;"&amp;EDATE(BJ$99,1),예비비!$F$430:$F$729,"결제대금비")+MAX(0,IF(예비비!$D353&lt;EDATE(BJ$99,1),예비비!$E353,0)-SUMIFS(예비비!$O$430:$O$729,예비비!$B$430:$B$729,예비비!$A353,예비비!$E$430:$E$729,"&lt;"&amp;EDATE(BJ$99,1))),0)</f>
        <v>0</v>
      </c>
      <c r="BK353">
        <f>IF(예비비!$R353="OK",SUMIFS(예비비!$O$430:$O$729,예비비!$B$430:$B$729,예비비!$A353,예비비!$E$430:$E$729,"&lt;"&amp;EDATE(BK$99,1),예비비!$F$430:$F$729,"결제대금비")+MAX(0,IF(예비비!$D353&lt;EDATE(BK$99,1),예비비!$E353,0)-SUMIFS(예비비!$O$430:$O$729,예비비!$B$430:$B$729,예비비!$A353,예비비!$E$430:$E$729,"&lt;"&amp;EDATE(BK$99,1))),0)</f>
        <v>0</v>
      </c>
      <c r="BL353">
        <f>IF(예비비!$R353="OK",SUMIFS(예비비!$O$430:$O$729,예비비!$B$430:$B$729,예비비!$A353,예비비!$E$430:$E$729,"&lt;"&amp;EDATE(BL$99,1),예비비!$F$430:$F$729,"결제대금비")+MAX(0,IF(예비비!$D353&lt;EDATE(BL$99,1),예비비!$E353,0)-SUMIFS(예비비!$O$430:$O$729,예비비!$B$430:$B$729,예비비!$A353,예비비!$E$430:$E$729,"&lt;"&amp;EDATE(BL$99,1))),0)</f>
        <v>0</v>
      </c>
      <c r="BM353">
        <f>IF(예비비!$R353="OK",SUMIFS(예비비!$O$430:$O$729,예비비!$B$430:$B$729,예비비!$A353,예비비!$E$430:$E$729,"&lt;"&amp;EDATE(BM$99,1),예비비!$F$430:$F$729,"결제대금비")+MAX(0,IF(예비비!$D353&lt;EDATE(BM$99,1),예비비!$E353,0)-SUMIFS(예비비!$O$430:$O$729,예비비!$B$430:$B$729,예비비!$A353,예비비!$E$430:$E$729,"&lt;"&amp;EDATE(BM$99,1))),0)</f>
        <v>0</v>
      </c>
      <c r="BN353">
        <f>IF(예비비!$R353="OK",SUMIFS(예비비!$O$430:$O$729,예비비!$B$430:$B$729,예비비!$A353,예비비!$E$430:$E$729,"&lt;"&amp;EDATE(BN$99,1),예비비!$F$430:$F$729,"결제대금비")+MAX(0,IF(예비비!$D353&lt;EDATE(BN$99,1),예비비!$E353,0)-SUMIFS(예비비!$O$430:$O$729,예비비!$B$430:$B$729,예비비!$A353,예비비!$E$430:$E$729,"&lt;"&amp;EDATE(BN$99,1))),0)</f>
        <v>0</v>
      </c>
      <c r="BO353">
        <f>IF(예비비!$R353="OK",SUMIFS(예비비!$O$430:$O$729,예비비!$B$430:$B$729,예비비!$A353,예비비!$E$430:$E$729,"&lt;"&amp;EDATE(BO$99,1),예비비!$F$430:$F$729,"결제대금비")+MAX(0,IF(예비비!$D353&lt;EDATE(BO$99,1),예비비!$E353,0)-SUMIFS(예비비!$O$430:$O$729,예비비!$B$430:$B$729,예비비!$A353,예비비!$E$430:$E$729,"&lt;"&amp;EDATE(BO$99,1))),0)</f>
        <v>0</v>
      </c>
      <c r="BP353">
        <f>IF(예비비!$R353="OK",SUMIFS(예비비!$O$430:$O$729,예비비!$B$430:$B$729,예비비!$A353,예비비!$E$430:$E$729,"&lt;"&amp;EDATE(BP$99,1),예비비!$F$430:$F$729,"결제대금비")+MAX(0,IF(예비비!$D353&lt;EDATE(BP$99,1),예비비!$E353,0)-SUMIFS(예비비!$O$430:$O$729,예비비!$B$430:$B$729,예비비!$A353,예비비!$E$430:$E$729,"&lt;"&amp;EDATE(BP$99,1))),0)</f>
        <v>0</v>
      </c>
      <c r="BQ353">
        <f>IF(예비비!$R353="OK",SUMIFS(예비비!$O$430:$O$729,예비비!$B$430:$B$729,예비비!$A353,예비비!$E$430:$E$729,"&lt;"&amp;EDATE(BQ$99,1),예비비!$F$430:$F$729,"결제대금비")+MAX(0,IF(예비비!$D353&lt;EDATE(BQ$99,1),예비비!$E353,0)-SUMIFS(예비비!$O$430:$O$729,예비비!$B$430:$B$729,예비비!$A353,예비비!$E$430:$E$729,"&lt;"&amp;EDATE(BQ$99,1))),0)</f>
        <v>0</v>
      </c>
      <c r="BR353">
        <f>IF(예비비!$R353="OK",SUMIFS(예비비!$O$430:$O$729,예비비!$B$430:$B$729,예비비!$A353,예비비!$E$430:$E$729,"&lt;"&amp;EDATE(BR$99,1),예비비!$F$430:$F$729,"결제대금비")+MAX(0,IF(예비비!$D353&lt;EDATE(BR$99,1),예비비!$E353,0)-SUMIFS(예비비!$O$430:$O$729,예비비!$B$430:$B$729,예비비!$A353,예비비!$E$430:$E$729,"&lt;"&amp;EDATE(BR$99,1))),0)</f>
        <v>0</v>
      </c>
      <c r="BS353">
        <f>IF(예비비!$R353="OK",SUMIFS(예비비!$O$430:$O$729,예비비!$B$430:$B$729,예비비!$A353,예비비!$E$430:$E$729,"&lt;"&amp;EDATE(BS$99,1),예비비!$F$430:$F$729,"결제대금비")+MAX(0,IF(예비비!$D353&lt;EDATE(BS$99,1),예비비!$E353,0)-SUMIFS(예비비!$O$430:$O$729,예비비!$B$430:$B$729,예비비!$A353,예비비!$E$430:$E$729,"&lt;"&amp;EDATE(BS$99,1))),0)</f>
        <v>0</v>
      </c>
      <c r="BT353">
        <f>IF(예비비!$R353="OK",SUMIFS(예비비!$O$430:$O$729,예비비!$B$430:$B$729,예비비!$A353,예비비!$E$430:$E$729,"&lt;"&amp;EDATE(BT$99,1),예비비!$F$430:$F$729,"결제대금비")+MAX(0,IF(예비비!$D353&lt;EDATE(BT$99,1),예비비!$E353,0)-SUMIFS(예비비!$O$430:$O$729,예비비!$B$430:$B$729,예비비!$A353,예비비!$E$430:$E$729,"&lt;"&amp;EDATE(BT$99,1))),0)</f>
        <v>0</v>
      </c>
      <c r="BU353">
        <f>IF(예비비!$R353="OK",SUMIFS(예비비!$O$430:$O$729,예비비!$B$430:$B$729,예비비!$A353,예비비!$E$430:$E$729,"&lt;"&amp;EDATE(BU$99,1),예비비!$F$430:$F$729,"결제대금비")+MAX(0,IF(예비비!$D353&lt;EDATE(BU$99,1),예비비!$E353,0)-SUMIFS(예비비!$O$430:$O$729,예비비!$B$430:$B$729,예비비!$A353,예비비!$E$430:$E$729,"&lt;"&amp;EDATE(BU$99,1))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  <c r="BI354">
        <f>IF(예비비!$R354="OK",SUMIFS(예비비!$O$430:$O$729,예비비!$B$430:$B$729,예비비!$A354,예비비!$E$430:$E$729,"&lt;"&amp;EDATE(BI$99,1),예비비!$F$430:$F$729,"결제대금비")+MAX(0,IF(예비비!$D354&lt;EDATE(BI$99,1),예비비!$E354,0)-SUMIFS(예비비!$O$430:$O$729,예비비!$B$430:$B$729,예비비!$A354,예비비!$E$430:$E$729,"&lt;"&amp;EDATE(BI$99,1))),0)</f>
        <v>0</v>
      </c>
      <c r="BJ354">
        <f>IF(예비비!$R354="OK",SUMIFS(예비비!$O$430:$O$729,예비비!$B$430:$B$729,예비비!$A354,예비비!$E$430:$E$729,"&lt;"&amp;EDATE(BJ$99,1),예비비!$F$430:$F$729,"결제대금비")+MAX(0,IF(예비비!$D354&lt;EDATE(BJ$99,1),예비비!$E354,0)-SUMIFS(예비비!$O$430:$O$729,예비비!$B$430:$B$729,예비비!$A354,예비비!$E$430:$E$729,"&lt;"&amp;EDATE(BJ$99,1))),0)</f>
        <v>0</v>
      </c>
      <c r="BK354">
        <f>IF(예비비!$R354="OK",SUMIFS(예비비!$O$430:$O$729,예비비!$B$430:$B$729,예비비!$A354,예비비!$E$430:$E$729,"&lt;"&amp;EDATE(BK$99,1),예비비!$F$430:$F$729,"결제대금비")+MAX(0,IF(예비비!$D354&lt;EDATE(BK$99,1),예비비!$E354,0)-SUMIFS(예비비!$O$430:$O$729,예비비!$B$430:$B$729,예비비!$A354,예비비!$E$430:$E$729,"&lt;"&amp;EDATE(BK$99,1))),0)</f>
        <v>0</v>
      </c>
      <c r="BL354">
        <f>IF(예비비!$R354="OK",SUMIFS(예비비!$O$430:$O$729,예비비!$B$430:$B$729,예비비!$A354,예비비!$E$430:$E$729,"&lt;"&amp;EDATE(BL$99,1),예비비!$F$430:$F$729,"결제대금비")+MAX(0,IF(예비비!$D354&lt;EDATE(BL$99,1),예비비!$E354,0)-SUMIFS(예비비!$O$430:$O$729,예비비!$B$430:$B$729,예비비!$A354,예비비!$E$430:$E$729,"&lt;"&amp;EDATE(BL$99,1))),0)</f>
        <v>0</v>
      </c>
      <c r="BM354">
        <f>IF(예비비!$R354="OK",SUMIFS(예비비!$O$430:$O$729,예비비!$B$430:$B$729,예비비!$A354,예비비!$E$430:$E$729,"&lt;"&amp;EDATE(BM$99,1),예비비!$F$430:$F$729,"결제대금비")+MAX(0,IF(예비비!$D354&lt;EDATE(BM$99,1),예비비!$E354,0)-SUMIFS(예비비!$O$430:$O$729,예비비!$B$430:$B$729,예비비!$A354,예비비!$E$430:$E$729,"&lt;"&amp;EDATE(BM$99,1))),0)</f>
        <v>0</v>
      </c>
      <c r="BN354">
        <f>IF(예비비!$R354="OK",SUMIFS(예비비!$O$430:$O$729,예비비!$B$430:$B$729,예비비!$A354,예비비!$E$430:$E$729,"&lt;"&amp;EDATE(BN$99,1),예비비!$F$430:$F$729,"결제대금비")+MAX(0,IF(예비비!$D354&lt;EDATE(BN$99,1),예비비!$E354,0)-SUMIFS(예비비!$O$430:$O$729,예비비!$B$430:$B$729,예비비!$A354,예비비!$E$430:$E$729,"&lt;"&amp;EDATE(BN$99,1))),0)</f>
        <v>0</v>
      </c>
      <c r="BO354">
        <f>IF(예비비!$R354="OK",SUMIFS(예비비!$O$430:$O$729,예비비!$B$430:$B$729,예비비!$A354,예비비!$E$430:$E$729,"&lt;"&amp;EDATE(BO$99,1),예비비!$F$430:$F$729,"결제대금비")+MAX(0,IF(예비비!$D354&lt;EDATE(BO$99,1),예비비!$E354,0)-SUMIFS(예비비!$O$430:$O$729,예비비!$B$430:$B$729,예비비!$A354,예비비!$E$430:$E$729,"&lt;"&amp;EDATE(BO$99,1))),0)</f>
        <v>0</v>
      </c>
      <c r="BP354">
        <f>IF(예비비!$R354="OK",SUMIFS(예비비!$O$430:$O$729,예비비!$B$430:$B$729,예비비!$A354,예비비!$E$430:$E$729,"&lt;"&amp;EDATE(BP$99,1),예비비!$F$430:$F$729,"결제대금비")+MAX(0,IF(예비비!$D354&lt;EDATE(BP$99,1),예비비!$E354,0)-SUMIFS(예비비!$O$430:$O$729,예비비!$B$430:$B$729,예비비!$A354,예비비!$E$430:$E$729,"&lt;"&amp;EDATE(BP$99,1))),0)</f>
        <v>0</v>
      </c>
      <c r="BQ354">
        <f>IF(예비비!$R354="OK",SUMIFS(예비비!$O$430:$O$729,예비비!$B$430:$B$729,예비비!$A354,예비비!$E$430:$E$729,"&lt;"&amp;EDATE(BQ$99,1),예비비!$F$430:$F$729,"결제대금비")+MAX(0,IF(예비비!$D354&lt;EDATE(BQ$99,1),예비비!$E354,0)-SUMIFS(예비비!$O$430:$O$729,예비비!$B$430:$B$729,예비비!$A354,예비비!$E$430:$E$729,"&lt;"&amp;EDATE(BQ$99,1))),0)</f>
        <v>0</v>
      </c>
      <c r="BR354">
        <f>IF(예비비!$R354="OK",SUMIFS(예비비!$O$430:$O$729,예비비!$B$430:$B$729,예비비!$A354,예비비!$E$430:$E$729,"&lt;"&amp;EDATE(BR$99,1),예비비!$F$430:$F$729,"결제대금비")+MAX(0,IF(예비비!$D354&lt;EDATE(BR$99,1),예비비!$E354,0)-SUMIFS(예비비!$O$430:$O$729,예비비!$B$430:$B$729,예비비!$A354,예비비!$E$430:$E$729,"&lt;"&amp;EDATE(BR$99,1))),0)</f>
        <v>0</v>
      </c>
      <c r="BS354">
        <f>IF(예비비!$R354="OK",SUMIFS(예비비!$O$430:$O$729,예비비!$B$430:$B$729,예비비!$A354,예비비!$E$430:$E$729,"&lt;"&amp;EDATE(BS$99,1),예비비!$F$430:$F$729,"결제대금비")+MAX(0,IF(예비비!$D354&lt;EDATE(BS$99,1),예비비!$E354,0)-SUMIFS(예비비!$O$430:$O$729,예비비!$B$430:$B$729,예비비!$A354,예비비!$E$430:$E$729,"&lt;"&amp;EDATE(BS$99,1))),0)</f>
        <v>0</v>
      </c>
      <c r="BT354">
        <f>IF(예비비!$R354="OK",SUMIFS(예비비!$O$430:$O$729,예비비!$B$430:$B$729,예비비!$A354,예비비!$E$430:$E$729,"&lt;"&amp;EDATE(BT$99,1),예비비!$F$430:$F$729,"결제대금비")+MAX(0,IF(예비비!$D354&lt;EDATE(BT$99,1),예비비!$E354,0)-SUMIFS(예비비!$O$430:$O$729,예비비!$B$430:$B$729,예비비!$A354,예비비!$E$430:$E$729,"&lt;"&amp;EDATE(BT$99,1))),0)</f>
        <v>0</v>
      </c>
      <c r="BU354">
        <f>IF(예비비!$R354="OK",SUMIFS(예비비!$O$430:$O$729,예비비!$B$430:$B$729,예비비!$A354,예비비!$E$430:$E$729,"&lt;"&amp;EDATE(BU$99,1),예비비!$F$430:$F$729,"결제대금비")+MAX(0,IF(예비비!$D354&lt;EDATE(BU$99,1),예비비!$E354,0)-SUMIFS(예비비!$O$430:$O$729,예비비!$B$430:$B$729,예비비!$A354,예비비!$E$430:$E$729,"&lt;"&amp;EDATE(BU$99,1))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  <c r="BI355">
        <f>IF(예비비!$R355="OK",SUMIFS(예비비!$O$430:$O$729,예비비!$B$430:$B$729,예비비!$A355,예비비!$E$430:$E$729,"&lt;"&amp;EDATE(BI$99,1),예비비!$F$430:$F$729,"결제대금비")+MAX(0,IF(예비비!$D355&lt;EDATE(BI$99,1),예비비!$E355,0)-SUMIFS(예비비!$O$430:$O$729,예비비!$B$430:$B$729,예비비!$A355,예비비!$E$430:$E$729,"&lt;"&amp;EDATE(BI$99,1))),0)</f>
        <v>0</v>
      </c>
      <c r="BJ355">
        <f>IF(예비비!$R355="OK",SUMIFS(예비비!$O$430:$O$729,예비비!$B$430:$B$729,예비비!$A355,예비비!$E$430:$E$729,"&lt;"&amp;EDATE(BJ$99,1),예비비!$F$430:$F$729,"결제대금비")+MAX(0,IF(예비비!$D355&lt;EDATE(BJ$99,1),예비비!$E355,0)-SUMIFS(예비비!$O$430:$O$729,예비비!$B$430:$B$729,예비비!$A355,예비비!$E$430:$E$729,"&lt;"&amp;EDATE(BJ$99,1))),0)</f>
        <v>0</v>
      </c>
      <c r="BK355">
        <f>IF(예비비!$R355="OK",SUMIFS(예비비!$O$430:$O$729,예비비!$B$430:$B$729,예비비!$A355,예비비!$E$430:$E$729,"&lt;"&amp;EDATE(BK$99,1),예비비!$F$430:$F$729,"결제대금비")+MAX(0,IF(예비비!$D355&lt;EDATE(BK$99,1),예비비!$E355,0)-SUMIFS(예비비!$O$430:$O$729,예비비!$B$430:$B$729,예비비!$A355,예비비!$E$430:$E$729,"&lt;"&amp;EDATE(BK$99,1))),0)</f>
        <v>0</v>
      </c>
      <c r="BL355">
        <f>IF(예비비!$R355="OK",SUMIFS(예비비!$O$430:$O$729,예비비!$B$430:$B$729,예비비!$A355,예비비!$E$430:$E$729,"&lt;"&amp;EDATE(BL$99,1),예비비!$F$430:$F$729,"결제대금비")+MAX(0,IF(예비비!$D355&lt;EDATE(BL$99,1),예비비!$E355,0)-SUMIFS(예비비!$O$430:$O$729,예비비!$B$430:$B$729,예비비!$A355,예비비!$E$430:$E$729,"&lt;"&amp;EDATE(BL$99,1))),0)</f>
        <v>0</v>
      </c>
      <c r="BM355">
        <f>IF(예비비!$R355="OK",SUMIFS(예비비!$O$430:$O$729,예비비!$B$430:$B$729,예비비!$A355,예비비!$E$430:$E$729,"&lt;"&amp;EDATE(BM$99,1),예비비!$F$430:$F$729,"결제대금비")+MAX(0,IF(예비비!$D355&lt;EDATE(BM$99,1),예비비!$E355,0)-SUMIFS(예비비!$O$430:$O$729,예비비!$B$430:$B$729,예비비!$A355,예비비!$E$430:$E$729,"&lt;"&amp;EDATE(BM$99,1))),0)</f>
        <v>0</v>
      </c>
      <c r="BN355">
        <f>IF(예비비!$R355="OK",SUMIFS(예비비!$O$430:$O$729,예비비!$B$430:$B$729,예비비!$A355,예비비!$E$430:$E$729,"&lt;"&amp;EDATE(BN$99,1),예비비!$F$430:$F$729,"결제대금비")+MAX(0,IF(예비비!$D355&lt;EDATE(BN$99,1),예비비!$E355,0)-SUMIFS(예비비!$O$430:$O$729,예비비!$B$430:$B$729,예비비!$A355,예비비!$E$430:$E$729,"&lt;"&amp;EDATE(BN$99,1))),0)</f>
        <v>0</v>
      </c>
      <c r="BO355">
        <f>IF(예비비!$R355="OK",SUMIFS(예비비!$O$430:$O$729,예비비!$B$430:$B$729,예비비!$A355,예비비!$E$430:$E$729,"&lt;"&amp;EDATE(BO$99,1),예비비!$F$430:$F$729,"결제대금비")+MAX(0,IF(예비비!$D355&lt;EDATE(BO$99,1),예비비!$E355,0)-SUMIFS(예비비!$O$430:$O$729,예비비!$B$430:$B$729,예비비!$A355,예비비!$E$430:$E$729,"&lt;"&amp;EDATE(BO$99,1))),0)</f>
        <v>0</v>
      </c>
      <c r="BP355">
        <f>IF(예비비!$R355="OK",SUMIFS(예비비!$O$430:$O$729,예비비!$B$430:$B$729,예비비!$A355,예비비!$E$430:$E$729,"&lt;"&amp;EDATE(BP$99,1),예비비!$F$430:$F$729,"결제대금비")+MAX(0,IF(예비비!$D355&lt;EDATE(BP$99,1),예비비!$E355,0)-SUMIFS(예비비!$O$430:$O$729,예비비!$B$430:$B$729,예비비!$A355,예비비!$E$430:$E$729,"&lt;"&amp;EDATE(BP$99,1))),0)</f>
        <v>0</v>
      </c>
      <c r="BQ355">
        <f>IF(예비비!$R355="OK",SUMIFS(예비비!$O$430:$O$729,예비비!$B$430:$B$729,예비비!$A355,예비비!$E$430:$E$729,"&lt;"&amp;EDATE(BQ$99,1),예비비!$F$430:$F$729,"결제대금비")+MAX(0,IF(예비비!$D355&lt;EDATE(BQ$99,1),예비비!$E355,0)-SUMIFS(예비비!$O$430:$O$729,예비비!$B$430:$B$729,예비비!$A355,예비비!$E$430:$E$729,"&lt;"&amp;EDATE(BQ$99,1))),0)</f>
        <v>0</v>
      </c>
      <c r="BR355">
        <f>IF(예비비!$R355="OK",SUMIFS(예비비!$O$430:$O$729,예비비!$B$430:$B$729,예비비!$A355,예비비!$E$430:$E$729,"&lt;"&amp;EDATE(BR$99,1),예비비!$F$430:$F$729,"결제대금비")+MAX(0,IF(예비비!$D355&lt;EDATE(BR$99,1),예비비!$E355,0)-SUMIFS(예비비!$O$430:$O$729,예비비!$B$430:$B$729,예비비!$A355,예비비!$E$430:$E$729,"&lt;"&amp;EDATE(BR$99,1))),0)</f>
        <v>0</v>
      </c>
      <c r="BS355">
        <f>IF(예비비!$R355="OK",SUMIFS(예비비!$O$430:$O$729,예비비!$B$430:$B$729,예비비!$A355,예비비!$E$430:$E$729,"&lt;"&amp;EDATE(BS$99,1),예비비!$F$430:$F$729,"결제대금비")+MAX(0,IF(예비비!$D355&lt;EDATE(BS$99,1),예비비!$E355,0)-SUMIFS(예비비!$O$430:$O$729,예비비!$B$430:$B$729,예비비!$A355,예비비!$E$430:$E$729,"&lt;"&amp;EDATE(BS$99,1))),0)</f>
        <v>0</v>
      </c>
      <c r="BT355">
        <f>IF(예비비!$R355="OK",SUMIFS(예비비!$O$430:$O$729,예비비!$B$430:$B$729,예비비!$A355,예비비!$E$430:$E$729,"&lt;"&amp;EDATE(BT$99,1),예비비!$F$430:$F$729,"결제대금비")+MAX(0,IF(예비비!$D355&lt;EDATE(BT$99,1),예비비!$E355,0)-SUMIFS(예비비!$O$430:$O$729,예비비!$B$430:$B$729,예비비!$A355,예비비!$E$430:$E$729,"&lt;"&amp;EDATE(BT$99,1))),0)</f>
        <v>0</v>
      </c>
      <c r="BU355">
        <f>IF(예비비!$R355="OK",SUMIFS(예비비!$O$430:$O$729,예비비!$B$430:$B$729,예비비!$A355,예비비!$E$430:$E$729,"&lt;"&amp;EDATE(BU$99,1),예비비!$F$430:$F$729,"결제대금비")+MAX(0,IF(예비비!$D355&lt;EDATE(BU$99,1),예비비!$E355,0)-SUMIFS(예비비!$O$430:$O$729,예비비!$B$430:$B$729,예비비!$A355,예비비!$E$430:$E$729,"&lt;"&amp;EDATE(BU$99,1))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  <c r="BI356">
        <f>IF(예비비!$R356="OK",SUMIFS(예비비!$O$430:$O$729,예비비!$B$430:$B$729,예비비!$A356,예비비!$E$430:$E$729,"&lt;"&amp;EDATE(BI$99,1),예비비!$F$430:$F$729,"결제대금비")+MAX(0,IF(예비비!$D356&lt;EDATE(BI$99,1),예비비!$E356,0)-SUMIFS(예비비!$O$430:$O$729,예비비!$B$430:$B$729,예비비!$A356,예비비!$E$430:$E$729,"&lt;"&amp;EDATE(BI$99,1))),0)</f>
        <v>0</v>
      </c>
      <c r="BJ356">
        <f>IF(예비비!$R356="OK",SUMIFS(예비비!$O$430:$O$729,예비비!$B$430:$B$729,예비비!$A356,예비비!$E$430:$E$729,"&lt;"&amp;EDATE(BJ$99,1),예비비!$F$430:$F$729,"결제대금비")+MAX(0,IF(예비비!$D356&lt;EDATE(BJ$99,1),예비비!$E356,0)-SUMIFS(예비비!$O$430:$O$729,예비비!$B$430:$B$729,예비비!$A356,예비비!$E$430:$E$729,"&lt;"&amp;EDATE(BJ$99,1))),0)</f>
        <v>0</v>
      </c>
      <c r="BK356">
        <f>IF(예비비!$R356="OK",SUMIFS(예비비!$O$430:$O$729,예비비!$B$430:$B$729,예비비!$A356,예비비!$E$430:$E$729,"&lt;"&amp;EDATE(BK$99,1),예비비!$F$430:$F$729,"결제대금비")+MAX(0,IF(예비비!$D356&lt;EDATE(BK$99,1),예비비!$E356,0)-SUMIFS(예비비!$O$430:$O$729,예비비!$B$430:$B$729,예비비!$A356,예비비!$E$430:$E$729,"&lt;"&amp;EDATE(BK$99,1))),0)</f>
        <v>0</v>
      </c>
      <c r="BL356">
        <f>IF(예비비!$R356="OK",SUMIFS(예비비!$O$430:$O$729,예비비!$B$430:$B$729,예비비!$A356,예비비!$E$430:$E$729,"&lt;"&amp;EDATE(BL$99,1),예비비!$F$430:$F$729,"결제대금비")+MAX(0,IF(예비비!$D356&lt;EDATE(BL$99,1),예비비!$E356,0)-SUMIFS(예비비!$O$430:$O$729,예비비!$B$430:$B$729,예비비!$A356,예비비!$E$430:$E$729,"&lt;"&amp;EDATE(BL$99,1))),0)</f>
        <v>0</v>
      </c>
      <c r="BM356">
        <f>IF(예비비!$R356="OK",SUMIFS(예비비!$O$430:$O$729,예비비!$B$430:$B$729,예비비!$A356,예비비!$E$430:$E$729,"&lt;"&amp;EDATE(BM$99,1),예비비!$F$430:$F$729,"결제대금비")+MAX(0,IF(예비비!$D356&lt;EDATE(BM$99,1),예비비!$E356,0)-SUMIFS(예비비!$O$430:$O$729,예비비!$B$430:$B$729,예비비!$A356,예비비!$E$430:$E$729,"&lt;"&amp;EDATE(BM$99,1))),0)</f>
        <v>0</v>
      </c>
      <c r="BN356">
        <f>IF(예비비!$R356="OK",SUMIFS(예비비!$O$430:$O$729,예비비!$B$430:$B$729,예비비!$A356,예비비!$E$430:$E$729,"&lt;"&amp;EDATE(BN$99,1),예비비!$F$430:$F$729,"결제대금비")+MAX(0,IF(예비비!$D356&lt;EDATE(BN$99,1),예비비!$E356,0)-SUMIFS(예비비!$O$430:$O$729,예비비!$B$430:$B$729,예비비!$A356,예비비!$E$430:$E$729,"&lt;"&amp;EDATE(BN$99,1))),0)</f>
        <v>0</v>
      </c>
      <c r="BO356">
        <f>IF(예비비!$R356="OK",SUMIFS(예비비!$O$430:$O$729,예비비!$B$430:$B$729,예비비!$A356,예비비!$E$430:$E$729,"&lt;"&amp;EDATE(BO$99,1),예비비!$F$430:$F$729,"결제대금비")+MAX(0,IF(예비비!$D356&lt;EDATE(BO$99,1),예비비!$E356,0)-SUMIFS(예비비!$O$430:$O$729,예비비!$B$430:$B$729,예비비!$A356,예비비!$E$430:$E$729,"&lt;"&amp;EDATE(BO$99,1))),0)</f>
        <v>0</v>
      </c>
      <c r="BP356">
        <f>IF(예비비!$R356="OK",SUMIFS(예비비!$O$430:$O$729,예비비!$B$430:$B$729,예비비!$A356,예비비!$E$430:$E$729,"&lt;"&amp;EDATE(BP$99,1),예비비!$F$430:$F$729,"결제대금비")+MAX(0,IF(예비비!$D356&lt;EDATE(BP$99,1),예비비!$E356,0)-SUMIFS(예비비!$O$430:$O$729,예비비!$B$430:$B$729,예비비!$A356,예비비!$E$430:$E$729,"&lt;"&amp;EDATE(BP$99,1))),0)</f>
        <v>0</v>
      </c>
      <c r="BQ356">
        <f>IF(예비비!$R356="OK",SUMIFS(예비비!$O$430:$O$729,예비비!$B$430:$B$729,예비비!$A356,예비비!$E$430:$E$729,"&lt;"&amp;EDATE(BQ$99,1),예비비!$F$430:$F$729,"결제대금비")+MAX(0,IF(예비비!$D356&lt;EDATE(BQ$99,1),예비비!$E356,0)-SUMIFS(예비비!$O$430:$O$729,예비비!$B$430:$B$729,예비비!$A356,예비비!$E$430:$E$729,"&lt;"&amp;EDATE(BQ$99,1))),0)</f>
        <v>0</v>
      </c>
      <c r="BR356">
        <f>IF(예비비!$R356="OK",SUMIFS(예비비!$O$430:$O$729,예비비!$B$430:$B$729,예비비!$A356,예비비!$E$430:$E$729,"&lt;"&amp;EDATE(BR$99,1),예비비!$F$430:$F$729,"결제대금비")+MAX(0,IF(예비비!$D356&lt;EDATE(BR$99,1),예비비!$E356,0)-SUMIFS(예비비!$O$430:$O$729,예비비!$B$430:$B$729,예비비!$A356,예비비!$E$430:$E$729,"&lt;"&amp;EDATE(BR$99,1))),0)</f>
        <v>0</v>
      </c>
      <c r="BS356">
        <f>IF(예비비!$R356="OK",SUMIFS(예비비!$O$430:$O$729,예비비!$B$430:$B$729,예비비!$A356,예비비!$E$430:$E$729,"&lt;"&amp;EDATE(BS$99,1),예비비!$F$430:$F$729,"결제대금비")+MAX(0,IF(예비비!$D356&lt;EDATE(BS$99,1),예비비!$E356,0)-SUMIFS(예비비!$O$430:$O$729,예비비!$B$430:$B$729,예비비!$A356,예비비!$E$430:$E$729,"&lt;"&amp;EDATE(BS$99,1))),0)</f>
        <v>0</v>
      </c>
      <c r="BT356">
        <f>IF(예비비!$R356="OK",SUMIFS(예비비!$O$430:$O$729,예비비!$B$430:$B$729,예비비!$A356,예비비!$E$430:$E$729,"&lt;"&amp;EDATE(BT$99,1),예비비!$F$430:$F$729,"결제대금비")+MAX(0,IF(예비비!$D356&lt;EDATE(BT$99,1),예비비!$E356,0)-SUMIFS(예비비!$O$430:$O$729,예비비!$B$430:$B$729,예비비!$A356,예비비!$E$430:$E$729,"&lt;"&amp;EDATE(BT$99,1))),0)</f>
        <v>0</v>
      </c>
      <c r="BU356">
        <f>IF(예비비!$R356="OK",SUMIFS(예비비!$O$430:$O$729,예비비!$B$430:$B$729,예비비!$A356,예비비!$E$430:$E$729,"&lt;"&amp;EDATE(BU$99,1),예비비!$F$430:$F$729,"결제대금비")+MAX(0,IF(예비비!$D356&lt;EDATE(BU$99,1),예비비!$E356,0)-SUMIFS(예비비!$O$430:$O$729,예비비!$B$430:$B$729,예비비!$A356,예비비!$E$430:$E$729,"&lt;"&amp;EDATE(BU$99,1))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  <c r="BI357">
        <f>IF(예비비!$R357="OK",SUMIFS(예비비!$O$430:$O$729,예비비!$B$430:$B$729,예비비!$A357,예비비!$E$430:$E$729,"&lt;"&amp;EDATE(BI$99,1),예비비!$F$430:$F$729,"결제대금비")+MAX(0,IF(예비비!$D357&lt;EDATE(BI$99,1),예비비!$E357,0)-SUMIFS(예비비!$O$430:$O$729,예비비!$B$430:$B$729,예비비!$A357,예비비!$E$430:$E$729,"&lt;"&amp;EDATE(BI$99,1))),0)</f>
        <v>0</v>
      </c>
      <c r="BJ357">
        <f>IF(예비비!$R357="OK",SUMIFS(예비비!$O$430:$O$729,예비비!$B$430:$B$729,예비비!$A357,예비비!$E$430:$E$729,"&lt;"&amp;EDATE(BJ$99,1),예비비!$F$430:$F$729,"결제대금비")+MAX(0,IF(예비비!$D357&lt;EDATE(BJ$99,1),예비비!$E357,0)-SUMIFS(예비비!$O$430:$O$729,예비비!$B$430:$B$729,예비비!$A357,예비비!$E$430:$E$729,"&lt;"&amp;EDATE(BJ$99,1))),0)</f>
        <v>0</v>
      </c>
      <c r="BK357">
        <f>IF(예비비!$R357="OK",SUMIFS(예비비!$O$430:$O$729,예비비!$B$430:$B$729,예비비!$A357,예비비!$E$430:$E$729,"&lt;"&amp;EDATE(BK$99,1),예비비!$F$430:$F$729,"결제대금비")+MAX(0,IF(예비비!$D357&lt;EDATE(BK$99,1),예비비!$E357,0)-SUMIFS(예비비!$O$430:$O$729,예비비!$B$430:$B$729,예비비!$A357,예비비!$E$430:$E$729,"&lt;"&amp;EDATE(BK$99,1))),0)</f>
        <v>0</v>
      </c>
      <c r="BL357">
        <f>IF(예비비!$R357="OK",SUMIFS(예비비!$O$430:$O$729,예비비!$B$430:$B$729,예비비!$A357,예비비!$E$430:$E$729,"&lt;"&amp;EDATE(BL$99,1),예비비!$F$430:$F$729,"결제대금비")+MAX(0,IF(예비비!$D357&lt;EDATE(BL$99,1),예비비!$E357,0)-SUMIFS(예비비!$O$430:$O$729,예비비!$B$430:$B$729,예비비!$A357,예비비!$E$430:$E$729,"&lt;"&amp;EDATE(BL$99,1))),0)</f>
        <v>0</v>
      </c>
      <c r="BM357">
        <f>IF(예비비!$R357="OK",SUMIFS(예비비!$O$430:$O$729,예비비!$B$430:$B$729,예비비!$A357,예비비!$E$430:$E$729,"&lt;"&amp;EDATE(BM$99,1),예비비!$F$430:$F$729,"결제대금비")+MAX(0,IF(예비비!$D357&lt;EDATE(BM$99,1),예비비!$E357,0)-SUMIFS(예비비!$O$430:$O$729,예비비!$B$430:$B$729,예비비!$A357,예비비!$E$430:$E$729,"&lt;"&amp;EDATE(BM$99,1))),0)</f>
        <v>0</v>
      </c>
      <c r="BN357">
        <f>IF(예비비!$R357="OK",SUMIFS(예비비!$O$430:$O$729,예비비!$B$430:$B$729,예비비!$A357,예비비!$E$430:$E$729,"&lt;"&amp;EDATE(BN$99,1),예비비!$F$430:$F$729,"결제대금비")+MAX(0,IF(예비비!$D357&lt;EDATE(BN$99,1),예비비!$E357,0)-SUMIFS(예비비!$O$430:$O$729,예비비!$B$430:$B$729,예비비!$A357,예비비!$E$430:$E$729,"&lt;"&amp;EDATE(BN$99,1))),0)</f>
        <v>0</v>
      </c>
      <c r="BO357">
        <f>IF(예비비!$R357="OK",SUMIFS(예비비!$O$430:$O$729,예비비!$B$430:$B$729,예비비!$A357,예비비!$E$430:$E$729,"&lt;"&amp;EDATE(BO$99,1),예비비!$F$430:$F$729,"결제대금비")+MAX(0,IF(예비비!$D357&lt;EDATE(BO$99,1),예비비!$E357,0)-SUMIFS(예비비!$O$430:$O$729,예비비!$B$430:$B$729,예비비!$A357,예비비!$E$430:$E$729,"&lt;"&amp;EDATE(BO$99,1))),0)</f>
        <v>0</v>
      </c>
      <c r="BP357">
        <f>IF(예비비!$R357="OK",SUMIFS(예비비!$O$430:$O$729,예비비!$B$430:$B$729,예비비!$A357,예비비!$E$430:$E$729,"&lt;"&amp;EDATE(BP$99,1),예비비!$F$430:$F$729,"결제대금비")+MAX(0,IF(예비비!$D357&lt;EDATE(BP$99,1),예비비!$E357,0)-SUMIFS(예비비!$O$430:$O$729,예비비!$B$430:$B$729,예비비!$A357,예비비!$E$430:$E$729,"&lt;"&amp;EDATE(BP$99,1))),0)</f>
        <v>0</v>
      </c>
      <c r="BQ357">
        <f>IF(예비비!$R357="OK",SUMIFS(예비비!$O$430:$O$729,예비비!$B$430:$B$729,예비비!$A357,예비비!$E$430:$E$729,"&lt;"&amp;EDATE(BQ$99,1),예비비!$F$430:$F$729,"결제대금비")+MAX(0,IF(예비비!$D357&lt;EDATE(BQ$99,1),예비비!$E357,0)-SUMIFS(예비비!$O$430:$O$729,예비비!$B$430:$B$729,예비비!$A357,예비비!$E$430:$E$729,"&lt;"&amp;EDATE(BQ$99,1))),0)</f>
        <v>0</v>
      </c>
      <c r="BR357">
        <f>IF(예비비!$R357="OK",SUMIFS(예비비!$O$430:$O$729,예비비!$B$430:$B$729,예비비!$A357,예비비!$E$430:$E$729,"&lt;"&amp;EDATE(BR$99,1),예비비!$F$430:$F$729,"결제대금비")+MAX(0,IF(예비비!$D357&lt;EDATE(BR$99,1),예비비!$E357,0)-SUMIFS(예비비!$O$430:$O$729,예비비!$B$430:$B$729,예비비!$A357,예비비!$E$430:$E$729,"&lt;"&amp;EDATE(BR$99,1))),0)</f>
        <v>0</v>
      </c>
      <c r="BS357">
        <f>IF(예비비!$R357="OK",SUMIFS(예비비!$O$430:$O$729,예비비!$B$430:$B$729,예비비!$A357,예비비!$E$430:$E$729,"&lt;"&amp;EDATE(BS$99,1),예비비!$F$430:$F$729,"결제대금비")+MAX(0,IF(예비비!$D357&lt;EDATE(BS$99,1),예비비!$E357,0)-SUMIFS(예비비!$O$430:$O$729,예비비!$B$430:$B$729,예비비!$A357,예비비!$E$430:$E$729,"&lt;"&amp;EDATE(BS$99,1))),0)</f>
        <v>0</v>
      </c>
      <c r="BT357">
        <f>IF(예비비!$R357="OK",SUMIFS(예비비!$O$430:$O$729,예비비!$B$430:$B$729,예비비!$A357,예비비!$E$430:$E$729,"&lt;"&amp;EDATE(BT$99,1),예비비!$F$430:$F$729,"결제대금비")+MAX(0,IF(예비비!$D357&lt;EDATE(BT$99,1),예비비!$E357,0)-SUMIFS(예비비!$O$430:$O$729,예비비!$B$430:$B$729,예비비!$A357,예비비!$E$430:$E$729,"&lt;"&amp;EDATE(BT$99,1))),0)</f>
        <v>0</v>
      </c>
      <c r="BU357">
        <f>IF(예비비!$R357="OK",SUMIFS(예비비!$O$430:$O$729,예비비!$B$430:$B$729,예비비!$A357,예비비!$E$430:$E$729,"&lt;"&amp;EDATE(BU$99,1),예비비!$F$430:$F$729,"결제대금비")+MAX(0,IF(예비비!$D357&lt;EDATE(BU$99,1),예비비!$E357,0)-SUMIFS(예비비!$O$430:$O$729,예비비!$B$430:$B$729,예비비!$A357,예비비!$E$430:$E$729,"&lt;"&amp;EDATE(BU$99,1))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  <c r="BI358">
        <f>IF(예비비!$R358="OK",SUMIFS(예비비!$O$430:$O$729,예비비!$B$430:$B$729,예비비!$A358,예비비!$E$430:$E$729,"&lt;"&amp;EDATE(BI$99,1),예비비!$F$430:$F$729,"결제대금비")+MAX(0,IF(예비비!$D358&lt;EDATE(BI$99,1),예비비!$E358,0)-SUMIFS(예비비!$O$430:$O$729,예비비!$B$430:$B$729,예비비!$A358,예비비!$E$430:$E$729,"&lt;"&amp;EDATE(BI$99,1))),0)</f>
        <v>0</v>
      </c>
      <c r="BJ358">
        <f>IF(예비비!$R358="OK",SUMIFS(예비비!$O$430:$O$729,예비비!$B$430:$B$729,예비비!$A358,예비비!$E$430:$E$729,"&lt;"&amp;EDATE(BJ$99,1),예비비!$F$430:$F$729,"결제대금비")+MAX(0,IF(예비비!$D358&lt;EDATE(BJ$99,1),예비비!$E358,0)-SUMIFS(예비비!$O$430:$O$729,예비비!$B$430:$B$729,예비비!$A358,예비비!$E$430:$E$729,"&lt;"&amp;EDATE(BJ$99,1))),0)</f>
        <v>0</v>
      </c>
      <c r="BK358">
        <f>IF(예비비!$R358="OK",SUMIFS(예비비!$O$430:$O$729,예비비!$B$430:$B$729,예비비!$A358,예비비!$E$430:$E$729,"&lt;"&amp;EDATE(BK$99,1),예비비!$F$430:$F$729,"결제대금비")+MAX(0,IF(예비비!$D358&lt;EDATE(BK$99,1),예비비!$E358,0)-SUMIFS(예비비!$O$430:$O$729,예비비!$B$430:$B$729,예비비!$A358,예비비!$E$430:$E$729,"&lt;"&amp;EDATE(BK$99,1))),0)</f>
        <v>0</v>
      </c>
      <c r="BL358">
        <f>IF(예비비!$R358="OK",SUMIFS(예비비!$O$430:$O$729,예비비!$B$430:$B$729,예비비!$A358,예비비!$E$430:$E$729,"&lt;"&amp;EDATE(BL$99,1),예비비!$F$430:$F$729,"결제대금비")+MAX(0,IF(예비비!$D358&lt;EDATE(BL$99,1),예비비!$E358,0)-SUMIFS(예비비!$O$430:$O$729,예비비!$B$430:$B$729,예비비!$A358,예비비!$E$430:$E$729,"&lt;"&amp;EDATE(BL$99,1))),0)</f>
        <v>0</v>
      </c>
      <c r="BM358">
        <f>IF(예비비!$R358="OK",SUMIFS(예비비!$O$430:$O$729,예비비!$B$430:$B$729,예비비!$A358,예비비!$E$430:$E$729,"&lt;"&amp;EDATE(BM$99,1),예비비!$F$430:$F$729,"결제대금비")+MAX(0,IF(예비비!$D358&lt;EDATE(BM$99,1),예비비!$E358,0)-SUMIFS(예비비!$O$430:$O$729,예비비!$B$430:$B$729,예비비!$A358,예비비!$E$430:$E$729,"&lt;"&amp;EDATE(BM$99,1))),0)</f>
        <v>0</v>
      </c>
      <c r="BN358">
        <f>IF(예비비!$R358="OK",SUMIFS(예비비!$O$430:$O$729,예비비!$B$430:$B$729,예비비!$A358,예비비!$E$430:$E$729,"&lt;"&amp;EDATE(BN$99,1),예비비!$F$430:$F$729,"결제대금비")+MAX(0,IF(예비비!$D358&lt;EDATE(BN$99,1),예비비!$E358,0)-SUMIFS(예비비!$O$430:$O$729,예비비!$B$430:$B$729,예비비!$A358,예비비!$E$430:$E$729,"&lt;"&amp;EDATE(BN$99,1))),0)</f>
        <v>0</v>
      </c>
      <c r="BO358">
        <f>IF(예비비!$R358="OK",SUMIFS(예비비!$O$430:$O$729,예비비!$B$430:$B$729,예비비!$A358,예비비!$E$430:$E$729,"&lt;"&amp;EDATE(BO$99,1),예비비!$F$430:$F$729,"결제대금비")+MAX(0,IF(예비비!$D358&lt;EDATE(BO$99,1),예비비!$E358,0)-SUMIFS(예비비!$O$430:$O$729,예비비!$B$430:$B$729,예비비!$A358,예비비!$E$430:$E$729,"&lt;"&amp;EDATE(BO$99,1))),0)</f>
        <v>0</v>
      </c>
      <c r="BP358">
        <f>IF(예비비!$R358="OK",SUMIFS(예비비!$O$430:$O$729,예비비!$B$430:$B$729,예비비!$A358,예비비!$E$430:$E$729,"&lt;"&amp;EDATE(BP$99,1),예비비!$F$430:$F$729,"결제대금비")+MAX(0,IF(예비비!$D358&lt;EDATE(BP$99,1),예비비!$E358,0)-SUMIFS(예비비!$O$430:$O$729,예비비!$B$430:$B$729,예비비!$A358,예비비!$E$430:$E$729,"&lt;"&amp;EDATE(BP$99,1))),0)</f>
        <v>0</v>
      </c>
      <c r="BQ358">
        <f>IF(예비비!$R358="OK",SUMIFS(예비비!$O$430:$O$729,예비비!$B$430:$B$729,예비비!$A358,예비비!$E$430:$E$729,"&lt;"&amp;EDATE(BQ$99,1),예비비!$F$430:$F$729,"결제대금비")+MAX(0,IF(예비비!$D358&lt;EDATE(BQ$99,1),예비비!$E358,0)-SUMIFS(예비비!$O$430:$O$729,예비비!$B$430:$B$729,예비비!$A358,예비비!$E$430:$E$729,"&lt;"&amp;EDATE(BQ$99,1))),0)</f>
        <v>0</v>
      </c>
      <c r="BR358">
        <f>IF(예비비!$R358="OK",SUMIFS(예비비!$O$430:$O$729,예비비!$B$430:$B$729,예비비!$A358,예비비!$E$430:$E$729,"&lt;"&amp;EDATE(BR$99,1),예비비!$F$430:$F$729,"결제대금비")+MAX(0,IF(예비비!$D358&lt;EDATE(BR$99,1),예비비!$E358,0)-SUMIFS(예비비!$O$430:$O$729,예비비!$B$430:$B$729,예비비!$A358,예비비!$E$430:$E$729,"&lt;"&amp;EDATE(BR$99,1))),0)</f>
        <v>0</v>
      </c>
      <c r="BS358">
        <f>IF(예비비!$R358="OK",SUMIFS(예비비!$O$430:$O$729,예비비!$B$430:$B$729,예비비!$A358,예비비!$E$430:$E$729,"&lt;"&amp;EDATE(BS$99,1),예비비!$F$430:$F$729,"결제대금비")+MAX(0,IF(예비비!$D358&lt;EDATE(BS$99,1),예비비!$E358,0)-SUMIFS(예비비!$O$430:$O$729,예비비!$B$430:$B$729,예비비!$A358,예비비!$E$430:$E$729,"&lt;"&amp;EDATE(BS$99,1))),0)</f>
        <v>0</v>
      </c>
      <c r="BT358">
        <f>IF(예비비!$R358="OK",SUMIFS(예비비!$O$430:$O$729,예비비!$B$430:$B$729,예비비!$A358,예비비!$E$430:$E$729,"&lt;"&amp;EDATE(BT$99,1),예비비!$F$430:$F$729,"결제대금비")+MAX(0,IF(예비비!$D358&lt;EDATE(BT$99,1),예비비!$E358,0)-SUMIFS(예비비!$O$430:$O$729,예비비!$B$430:$B$729,예비비!$A358,예비비!$E$430:$E$729,"&lt;"&amp;EDATE(BT$99,1))),0)</f>
        <v>0</v>
      </c>
      <c r="BU358">
        <f>IF(예비비!$R358="OK",SUMIFS(예비비!$O$430:$O$729,예비비!$B$430:$B$729,예비비!$A358,예비비!$E$430:$E$729,"&lt;"&amp;EDATE(BU$99,1),예비비!$F$430:$F$729,"결제대금비")+MAX(0,IF(예비비!$D358&lt;EDATE(BU$99,1),예비비!$E358,0)-SUMIFS(예비비!$O$430:$O$729,예비비!$B$430:$B$729,예비비!$A358,예비비!$E$430:$E$729,"&lt;"&amp;EDATE(BU$99,1))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  <c r="BI359">
        <f>IF(예비비!$R359="OK",SUMIFS(예비비!$O$430:$O$729,예비비!$B$430:$B$729,예비비!$A359,예비비!$E$430:$E$729,"&lt;"&amp;EDATE(BI$99,1),예비비!$F$430:$F$729,"결제대금비")+MAX(0,IF(예비비!$D359&lt;EDATE(BI$99,1),예비비!$E359,0)-SUMIFS(예비비!$O$430:$O$729,예비비!$B$430:$B$729,예비비!$A359,예비비!$E$430:$E$729,"&lt;"&amp;EDATE(BI$99,1))),0)</f>
        <v>0</v>
      </c>
      <c r="BJ359">
        <f>IF(예비비!$R359="OK",SUMIFS(예비비!$O$430:$O$729,예비비!$B$430:$B$729,예비비!$A359,예비비!$E$430:$E$729,"&lt;"&amp;EDATE(BJ$99,1),예비비!$F$430:$F$729,"결제대금비")+MAX(0,IF(예비비!$D359&lt;EDATE(BJ$99,1),예비비!$E359,0)-SUMIFS(예비비!$O$430:$O$729,예비비!$B$430:$B$729,예비비!$A359,예비비!$E$430:$E$729,"&lt;"&amp;EDATE(BJ$99,1))),0)</f>
        <v>0</v>
      </c>
      <c r="BK359">
        <f>IF(예비비!$R359="OK",SUMIFS(예비비!$O$430:$O$729,예비비!$B$430:$B$729,예비비!$A359,예비비!$E$430:$E$729,"&lt;"&amp;EDATE(BK$99,1),예비비!$F$430:$F$729,"결제대금비")+MAX(0,IF(예비비!$D359&lt;EDATE(BK$99,1),예비비!$E359,0)-SUMIFS(예비비!$O$430:$O$729,예비비!$B$430:$B$729,예비비!$A359,예비비!$E$430:$E$729,"&lt;"&amp;EDATE(BK$99,1))),0)</f>
        <v>0</v>
      </c>
      <c r="BL359">
        <f>IF(예비비!$R359="OK",SUMIFS(예비비!$O$430:$O$729,예비비!$B$430:$B$729,예비비!$A359,예비비!$E$430:$E$729,"&lt;"&amp;EDATE(BL$99,1),예비비!$F$430:$F$729,"결제대금비")+MAX(0,IF(예비비!$D359&lt;EDATE(BL$99,1),예비비!$E359,0)-SUMIFS(예비비!$O$430:$O$729,예비비!$B$430:$B$729,예비비!$A359,예비비!$E$430:$E$729,"&lt;"&amp;EDATE(BL$99,1))),0)</f>
        <v>0</v>
      </c>
      <c r="BM359">
        <f>IF(예비비!$R359="OK",SUMIFS(예비비!$O$430:$O$729,예비비!$B$430:$B$729,예비비!$A359,예비비!$E$430:$E$729,"&lt;"&amp;EDATE(BM$99,1),예비비!$F$430:$F$729,"결제대금비")+MAX(0,IF(예비비!$D359&lt;EDATE(BM$99,1),예비비!$E359,0)-SUMIFS(예비비!$O$430:$O$729,예비비!$B$430:$B$729,예비비!$A359,예비비!$E$430:$E$729,"&lt;"&amp;EDATE(BM$99,1))),0)</f>
        <v>0</v>
      </c>
      <c r="BN359">
        <f>IF(예비비!$R359="OK",SUMIFS(예비비!$O$430:$O$729,예비비!$B$430:$B$729,예비비!$A359,예비비!$E$430:$E$729,"&lt;"&amp;EDATE(BN$99,1),예비비!$F$430:$F$729,"결제대금비")+MAX(0,IF(예비비!$D359&lt;EDATE(BN$99,1),예비비!$E359,0)-SUMIFS(예비비!$O$430:$O$729,예비비!$B$430:$B$729,예비비!$A359,예비비!$E$430:$E$729,"&lt;"&amp;EDATE(BN$99,1))),0)</f>
        <v>0</v>
      </c>
      <c r="BO359">
        <f>IF(예비비!$R359="OK",SUMIFS(예비비!$O$430:$O$729,예비비!$B$430:$B$729,예비비!$A359,예비비!$E$430:$E$729,"&lt;"&amp;EDATE(BO$99,1),예비비!$F$430:$F$729,"결제대금비")+MAX(0,IF(예비비!$D359&lt;EDATE(BO$99,1),예비비!$E359,0)-SUMIFS(예비비!$O$430:$O$729,예비비!$B$430:$B$729,예비비!$A359,예비비!$E$430:$E$729,"&lt;"&amp;EDATE(BO$99,1))),0)</f>
        <v>0</v>
      </c>
      <c r="BP359">
        <f>IF(예비비!$R359="OK",SUMIFS(예비비!$O$430:$O$729,예비비!$B$430:$B$729,예비비!$A359,예비비!$E$430:$E$729,"&lt;"&amp;EDATE(BP$99,1),예비비!$F$430:$F$729,"결제대금비")+MAX(0,IF(예비비!$D359&lt;EDATE(BP$99,1),예비비!$E359,0)-SUMIFS(예비비!$O$430:$O$729,예비비!$B$430:$B$729,예비비!$A359,예비비!$E$430:$E$729,"&lt;"&amp;EDATE(BP$99,1))),0)</f>
        <v>0</v>
      </c>
      <c r="BQ359">
        <f>IF(예비비!$R359="OK",SUMIFS(예비비!$O$430:$O$729,예비비!$B$430:$B$729,예비비!$A359,예비비!$E$430:$E$729,"&lt;"&amp;EDATE(BQ$99,1),예비비!$F$430:$F$729,"결제대금비")+MAX(0,IF(예비비!$D359&lt;EDATE(BQ$99,1),예비비!$E359,0)-SUMIFS(예비비!$O$430:$O$729,예비비!$B$430:$B$729,예비비!$A359,예비비!$E$430:$E$729,"&lt;"&amp;EDATE(BQ$99,1))),0)</f>
        <v>0</v>
      </c>
      <c r="BR359">
        <f>IF(예비비!$R359="OK",SUMIFS(예비비!$O$430:$O$729,예비비!$B$430:$B$729,예비비!$A359,예비비!$E$430:$E$729,"&lt;"&amp;EDATE(BR$99,1),예비비!$F$430:$F$729,"결제대금비")+MAX(0,IF(예비비!$D359&lt;EDATE(BR$99,1),예비비!$E359,0)-SUMIFS(예비비!$O$430:$O$729,예비비!$B$430:$B$729,예비비!$A359,예비비!$E$430:$E$729,"&lt;"&amp;EDATE(BR$99,1))),0)</f>
        <v>0</v>
      </c>
      <c r="BS359">
        <f>IF(예비비!$R359="OK",SUMIFS(예비비!$O$430:$O$729,예비비!$B$430:$B$729,예비비!$A359,예비비!$E$430:$E$729,"&lt;"&amp;EDATE(BS$99,1),예비비!$F$430:$F$729,"결제대금비")+MAX(0,IF(예비비!$D359&lt;EDATE(BS$99,1),예비비!$E359,0)-SUMIFS(예비비!$O$430:$O$729,예비비!$B$430:$B$729,예비비!$A359,예비비!$E$430:$E$729,"&lt;"&amp;EDATE(BS$99,1))),0)</f>
        <v>0</v>
      </c>
      <c r="BT359">
        <f>IF(예비비!$R359="OK",SUMIFS(예비비!$O$430:$O$729,예비비!$B$430:$B$729,예비비!$A359,예비비!$E$430:$E$729,"&lt;"&amp;EDATE(BT$99,1),예비비!$F$430:$F$729,"결제대금비")+MAX(0,IF(예비비!$D359&lt;EDATE(BT$99,1),예비비!$E359,0)-SUMIFS(예비비!$O$430:$O$729,예비비!$B$430:$B$729,예비비!$A359,예비비!$E$430:$E$729,"&lt;"&amp;EDATE(BT$99,1))),0)</f>
        <v>0</v>
      </c>
      <c r="BU359">
        <f>IF(예비비!$R359="OK",SUMIFS(예비비!$O$430:$O$729,예비비!$B$430:$B$729,예비비!$A359,예비비!$E$430:$E$729,"&lt;"&amp;EDATE(BU$99,1),예비비!$F$430:$F$729,"결제대금비")+MAX(0,IF(예비비!$D359&lt;EDATE(BU$99,1),예비비!$E359,0)-SUMIFS(예비비!$O$430:$O$729,예비비!$B$430:$B$729,예비비!$A359,예비비!$E$430:$E$729,"&lt;"&amp;EDATE(BU$99,1))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  <c r="BI360">
        <f>IF(예비비!$R360="OK",SUMIFS(예비비!$O$430:$O$729,예비비!$B$430:$B$729,예비비!$A360,예비비!$E$430:$E$729,"&lt;"&amp;EDATE(BI$99,1),예비비!$F$430:$F$729,"결제대금비")+MAX(0,IF(예비비!$D360&lt;EDATE(BI$99,1),예비비!$E360,0)-SUMIFS(예비비!$O$430:$O$729,예비비!$B$430:$B$729,예비비!$A360,예비비!$E$430:$E$729,"&lt;"&amp;EDATE(BI$99,1))),0)</f>
        <v>0</v>
      </c>
      <c r="BJ360">
        <f>IF(예비비!$R360="OK",SUMIFS(예비비!$O$430:$O$729,예비비!$B$430:$B$729,예비비!$A360,예비비!$E$430:$E$729,"&lt;"&amp;EDATE(BJ$99,1),예비비!$F$430:$F$729,"결제대금비")+MAX(0,IF(예비비!$D360&lt;EDATE(BJ$99,1),예비비!$E360,0)-SUMIFS(예비비!$O$430:$O$729,예비비!$B$430:$B$729,예비비!$A360,예비비!$E$430:$E$729,"&lt;"&amp;EDATE(BJ$99,1))),0)</f>
        <v>0</v>
      </c>
      <c r="BK360">
        <f>IF(예비비!$R360="OK",SUMIFS(예비비!$O$430:$O$729,예비비!$B$430:$B$729,예비비!$A360,예비비!$E$430:$E$729,"&lt;"&amp;EDATE(BK$99,1),예비비!$F$430:$F$729,"결제대금비")+MAX(0,IF(예비비!$D360&lt;EDATE(BK$99,1),예비비!$E360,0)-SUMIFS(예비비!$O$430:$O$729,예비비!$B$430:$B$729,예비비!$A360,예비비!$E$430:$E$729,"&lt;"&amp;EDATE(BK$99,1))),0)</f>
        <v>0</v>
      </c>
      <c r="BL360">
        <f>IF(예비비!$R360="OK",SUMIFS(예비비!$O$430:$O$729,예비비!$B$430:$B$729,예비비!$A360,예비비!$E$430:$E$729,"&lt;"&amp;EDATE(BL$99,1),예비비!$F$430:$F$729,"결제대금비")+MAX(0,IF(예비비!$D360&lt;EDATE(BL$99,1),예비비!$E360,0)-SUMIFS(예비비!$O$430:$O$729,예비비!$B$430:$B$729,예비비!$A360,예비비!$E$430:$E$729,"&lt;"&amp;EDATE(BL$99,1))),0)</f>
        <v>0</v>
      </c>
      <c r="BM360">
        <f>IF(예비비!$R360="OK",SUMIFS(예비비!$O$430:$O$729,예비비!$B$430:$B$729,예비비!$A360,예비비!$E$430:$E$729,"&lt;"&amp;EDATE(BM$99,1),예비비!$F$430:$F$729,"결제대금비")+MAX(0,IF(예비비!$D360&lt;EDATE(BM$99,1),예비비!$E360,0)-SUMIFS(예비비!$O$430:$O$729,예비비!$B$430:$B$729,예비비!$A360,예비비!$E$430:$E$729,"&lt;"&amp;EDATE(BM$99,1))),0)</f>
        <v>0</v>
      </c>
      <c r="BN360">
        <f>IF(예비비!$R360="OK",SUMIFS(예비비!$O$430:$O$729,예비비!$B$430:$B$729,예비비!$A360,예비비!$E$430:$E$729,"&lt;"&amp;EDATE(BN$99,1),예비비!$F$430:$F$729,"결제대금비")+MAX(0,IF(예비비!$D360&lt;EDATE(BN$99,1),예비비!$E360,0)-SUMIFS(예비비!$O$430:$O$729,예비비!$B$430:$B$729,예비비!$A360,예비비!$E$430:$E$729,"&lt;"&amp;EDATE(BN$99,1))),0)</f>
        <v>0</v>
      </c>
      <c r="BO360">
        <f>IF(예비비!$R360="OK",SUMIFS(예비비!$O$430:$O$729,예비비!$B$430:$B$729,예비비!$A360,예비비!$E$430:$E$729,"&lt;"&amp;EDATE(BO$99,1),예비비!$F$430:$F$729,"결제대금비")+MAX(0,IF(예비비!$D360&lt;EDATE(BO$99,1),예비비!$E360,0)-SUMIFS(예비비!$O$430:$O$729,예비비!$B$430:$B$729,예비비!$A360,예비비!$E$430:$E$729,"&lt;"&amp;EDATE(BO$99,1))),0)</f>
        <v>0</v>
      </c>
      <c r="BP360">
        <f>IF(예비비!$R360="OK",SUMIFS(예비비!$O$430:$O$729,예비비!$B$430:$B$729,예비비!$A360,예비비!$E$430:$E$729,"&lt;"&amp;EDATE(BP$99,1),예비비!$F$430:$F$729,"결제대금비")+MAX(0,IF(예비비!$D360&lt;EDATE(BP$99,1),예비비!$E360,0)-SUMIFS(예비비!$O$430:$O$729,예비비!$B$430:$B$729,예비비!$A360,예비비!$E$430:$E$729,"&lt;"&amp;EDATE(BP$99,1))),0)</f>
        <v>0</v>
      </c>
      <c r="BQ360">
        <f>IF(예비비!$R360="OK",SUMIFS(예비비!$O$430:$O$729,예비비!$B$430:$B$729,예비비!$A360,예비비!$E$430:$E$729,"&lt;"&amp;EDATE(BQ$99,1),예비비!$F$430:$F$729,"결제대금비")+MAX(0,IF(예비비!$D360&lt;EDATE(BQ$99,1),예비비!$E360,0)-SUMIFS(예비비!$O$430:$O$729,예비비!$B$430:$B$729,예비비!$A360,예비비!$E$430:$E$729,"&lt;"&amp;EDATE(BQ$99,1))),0)</f>
        <v>0</v>
      </c>
      <c r="BR360">
        <f>IF(예비비!$R360="OK",SUMIFS(예비비!$O$430:$O$729,예비비!$B$430:$B$729,예비비!$A360,예비비!$E$430:$E$729,"&lt;"&amp;EDATE(BR$99,1),예비비!$F$430:$F$729,"결제대금비")+MAX(0,IF(예비비!$D360&lt;EDATE(BR$99,1),예비비!$E360,0)-SUMIFS(예비비!$O$430:$O$729,예비비!$B$430:$B$729,예비비!$A360,예비비!$E$430:$E$729,"&lt;"&amp;EDATE(BR$99,1))),0)</f>
        <v>0</v>
      </c>
      <c r="BS360">
        <f>IF(예비비!$R360="OK",SUMIFS(예비비!$O$430:$O$729,예비비!$B$430:$B$729,예비비!$A360,예비비!$E$430:$E$729,"&lt;"&amp;EDATE(BS$99,1),예비비!$F$430:$F$729,"결제대금비")+MAX(0,IF(예비비!$D360&lt;EDATE(BS$99,1),예비비!$E360,0)-SUMIFS(예비비!$O$430:$O$729,예비비!$B$430:$B$729,예비비!$A360,예비비!$E$430:$E$729,"&lt;"&amp;EDATE(BS$99,1))),0)</f>
        <v>0</v>
      </c>
      <c r="BT360">
        <f>IF(예비비!$R360="OK",SUMIFS(예비비!$O$430:$O$729,예비비!$B$430:$B$729,예비비!$A360,예비비!$E$430:$E$729,"&lt;"&amp;EDATE(BT$99,1),예비비!$F$430:$F$729,"결제대금비")+MAX(0,IF(예비비!$D360&lt;EDATE(BT$99,1),예비비!$E360,0)-SUMIFS(예비비!$O$430:$O$729,예비비!$B$430:$B$729,예비비!$A360,예비비!$E$430:$E$729,"&lt;"&amp;EDATE(BT$99,1))),0)</f>
        <v>0</v>
      </c>
      <c r="BU360">
        <f>IF(예비비!$R360="OK",SUMIFS(예비비!$O$430:$O$729,예비비!$B$430:$B$729,예비비!$A360,예비비!$E$430:$E$729,"&lt;"&amp;EDATE(BU$99,1),예비비!$F$430:$F$729,"결제대금비")+MAX(0,IF(예비비!$D360&lt;EDATE(BU$99,1),예비비!$E360,0)-SUMIFS(예비비!$O$430:$O$729,예비비!$B$430:$B$729,예비비!$A360,예비비!$E$430:$E$729,"&lt;"&amp;EDATE(BU$99,1))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  <c r="BI361">
        <f>IF(예비비!$R361="OK",SUMIFS(예비비!$O$430:$O$729,예비비!$B$430:$B$729,예비비!$A361,예비비!$E$430:$E$729,"&lt;"&amp;EDATE(BI$99,1),예비비!$F$430:$F$729,"결제대금비")+MAX(0,IF(예비비!$D361&lt;EDATE(BI$99,1),예비비!$E361,0)-SUMIFS(예비비!$O$430:$O$729,예비비!$B$430:$B$729,예비비!$A361,예비비!$E$430:$E$729,"&lt;"&amp;EDATE(BI$99,1))),0)</f>
        <v>0</v>
      </c>
      <c r="BJ361">
        <f>IF(예비비!$R361="OK",SUMIFS(예비비!$O$430:$O$729,예비비!$B$430:$B$729,예비비!$A361,예비비!$E$430:$E$729,"&lt;"&amp;EDATE(BJ$99,1),예비비!$F$430:$F$729,"결제대금비")+MAX(0,IF(예비비!$D361&lt;EDATE(BJ$99,1),예비비!$E361,0)-SUMIFS(예비비!$O$430:$O$729,예비비!$B$430:$B$729,예비비!$A361,예비비!$E$430:$E$729,"&lt;"&amp;EDATE(BJ$99,1))),0)</f>
        <v>0</v>
      </c>
      <c r="BK361">
        <f>IF(예비비!$R361="OK",SUMIFS(예비비!$O$430:$O$729,예비비!$B$430:$B$729,예비비!$A361,예비비!$E$430:$E$729,"&lt;"&amp;EDATE(BK$99,1),예비비!$F$430:$F$729,"결제대금비")+MAX(0,IF(예비비!$D361&lt;EDATE(BK$99,1),예비비!$E361,0)-SUMIFS(예비비!$O$430:$O$729,예비비!$B$430:$B$729,예비비!$A361,예비비!$E$430:$E$729,"&lt;"&amp;EDATE(BK$99,1))),0)</f>
        <v>0</v>
      </c>
      <c r="BL361">
        <f>IF(예비비!$R361="OK",SUMIFS(예비비!$O$430:$O$729,예비비!$B$430:$B$729,예비비!$A361,예비비!$E$430:$E$729,"&lt;"&amp;EDATE(BL$99,1),예비비!$F$430:$F$729,"결제대금비")+MAX(0,IF(예비비!$D361&lt;EDATE(BL$99,1),예비비!$E361,0)-SUMIFS(예비비!$O$430:$O$729,예비비!$B$430:$B$729,예비비!$A361,예비비!$E$430:$E$729,"&lt;"&amp;EDATE(BL$99,1))),0)</f>
        <v>0</v>
      </c>
      <c r="BM361">
        <f>IF(예비비!$R361="OK",SUMIFS(예비비!$O$430:$O$729,예비비!$B$430:$B$729,예비비!$A361,예비비!$E$430:$E$729,"&lt;"&amp;EDATE(BM$99,1),예비비!$F$430:$F$729,"결제대금비")+MAX(0,IF(예비비!$D361&lt;EDATE(BM$99,1),예비비!$E361,0)-SUMIFS(예비비!$O$430:$O$729,예비비!$B$430:$B$729,예비비!$A361,예비비!$E$430:$E$729,"&lt;"&amp;EDATE(BM$99,1))),0)</f>
        <v>0</v>
      </c>
      <c r="BN361">
        <f>IF(예비비!$R361="OK",SUMIFS(예비비!$O$430:$O$729,예비비!$B$430:$B$729,예비비!$A361,예비비!$E$430:$E$729,"&lt;"&amp;EDATE(BN$99,1),예비비!$F$430:$F$729,"결제대금비")+MAX(0,IF(예비비!$D361&lt;EDATE(BN$99,1),예비비!$E361,0)-SUMIFS(예비비!$O$430:$O$729,예비비!$B$430:$B$729,예비비!$A361,예비비!$E$430:$E$729,"&lt;"&amp;EDATE(BN$99,1))),0)</f>
        <v>0</v>
      </c>
      <c r="BO361">
        <f>IF(예비비!$R361="OK",SUMIFS(예비비!$O$430:$O$729,예비비!$B$430:$B$729,예비비!$A361,예비비!$E$430:$E$729,"&lt;"&amp;EDATE(BO$99,1),예비비!$F$430:$F$729,"결제대금비")+MAX(0,IF(예비비!$D361&lt;EDATE(BO$99,1),예비비!$E361,0)-SUMIFS(예비비!$O$430:$O$729,예비비!$B$430:$B$729,예비비!$A361,예비비!$E$430:$E$729,"&lt;"&amp;EDATE(BO$99,1))),0)</f>
        <v>0</v>
      </c>
      <c r="BP361">
        <f>IF(예비비!$R361="OK",SUMIFS(예비비!$O$430:$O$729,예비비!$B$430:$B$729,예비비!$A361,예비비!$E$430:$E$729,"&lt;"&amp;EDATE(BP$99,1),예비비!$F$430:$F$729,"결제대금비")+MAX(0,IF(예비비!$D361&lt;EDATE(BP$99,1),예비비!$E361,0)-SUMIFS(예비비!$O$430:$O$729,예비비!$B$430:$B$729,예비비!$A361,예비비!$E$430:$E$729,"&lt;"&amp;EDATE(BP$99,1))),0)</f>
        <v>0</v>
      </c>
      <c r="BQ361">
        <f>IF(예비비!$R361="OK",SUMIFS(예비비!$O$430:$O$729,예비비!$B$430:$B$729,예비비!$A361,예비비!$E$430:$E$729,"&lt;"&amp;EDATE(BQ$99,1),예비비!$F$430:$F$729,"결제대금비")+MAX(0,IF(예비비!$D361&lt;EDATE(BQ$99,1),예비비!$E361,0)-SUMIFS(예비비!$O$430:$O$729,예비비!$B$430:$B$729,예비비!$A361,예비비!$E$430:$E$729,"&lt;"&amp;EDATE(BQ$99,1))),0)</f>
        <v>0</v>
      </c>
      <c r="BR361">
        <f>IF(예비비!$R361="OK",SUMIFS(예비비!$O$430:$O$729,예비비!$B$430:$B$729,예비비!$A361,예비비!$E$430:$E$729,"&lt;"&amp;EDATE(BR$99,1),예비비!$F$430:$F$729,"결제대금비")+MAX(0,IF(예비비!$D361&lt;EDATE(BR$99,1),예비비!$E361,0)-SUMIFS(예비비!$O$430:$O$729,예비비!$B$430:$B$729,예비비!$A361,예비비!$E$430:$E$729,"&lt;"&amp;EDATE(BR$99,1))),0)</f>
        <v>0</v>
      </c>
      <c r="BS361">
        <f>IF(예비비!$R361="OK",SUMIFS(예비비!$O$430:$O$729,예비비!$B$430:$B$729,예비비!$A361,예비비!$E$430:$E$729,"&lt;"&amp;EDATE(BS$99,1),예비비!$F$430:$F$729,"결제대금비")+MAX(0,IF(예비비!$D361&lt;EDATE(BS$99,1),예비비!$E361,0)-SUMIFS(예비비!$O$430:$O$729,예비비!$B$430:$B$729,예비비!$A361,예비비!$E$430:$E$729,"&lt;"&amp;EDATE(BS$99,1))),0)</f>
        <v>0</v>
      </c>
      <c r="BT361">
        <f>IF(예비비!$R361="OK",SUMIFS(예비비!$O$430:$O$729,예비비!$B$430:$B$729,예비비!$A361,예비비!$E$430:$E$729,"&lt;"&amp;EDATE(BT$99,1),예비비!$F$430:$F$729,"결제대금비")+MAX(0,IF(예비비!$D361&lt;EDATE(BT$99,1),예비비!$E361,0)-SUMIFS(예비비!$O$430:$O$729,예비비!$B$430:$B$729,예비비!$A361,예비비!$E$430:$E$729,"&lt;"&amp;EDATE(BT$99,1))),0)</f>
        <v>0</v>
      </c>
      <c r="BU361">
        <f>IF(예비비!$R361="OK",SUMIFS(예비비!$O$430:$O$729,예비비!$B$430:$B$729,예비비!$A361,예비비!$E$430:$E$729,"&lt;"&amp;EDATE(BU$99,1),예비비!$F$430:$F$729,"결제대금비")+MAX(0,IF(예비비!$D361&lt;EDATE(BU$99,1),예비비!$E361,0)-SUMIFS(예비비!$O$430:$O$729,예비비!$B$430:$B$729,예비비!$A361,예비비!$E$430:$E$729,"&lt;"&amp;EDATE(BU$99,1))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  <c r="BI362">
        <f>IF(예비비!$R362="OK",SUMIFS(예비비!$O$430:$O$729,예비비!$B$430:$B$729,예비비!$A362,예비비!$E$430:$E$729,"&lt;"&amp;EDATE(BI$99,1),예비비!$F$430:$F$729,"결제대금비")+MAX(0,IF(예비비!$D362&lt;EDATE(BI$99,1),예비비!$E362,0)-SUMIFS(예비비!$O$430:$O$729,예비비!$B$430:$B$729,예비비!$A362,예비비!$E$430:$E$729,"&lt;"&amp;EDATE(BI$99,1))),0)</f>
        <v>0</v>
      </c>
      <c r="BJ362">
        <f>IF(예비비!$R362="OK",SUMIFS(예비비!$O$430:$O$729,예비비!$B$430:$B$729,예비비!$A362,예비비!$E$430:$E$729,"&lt;"&amp;EDATE(BJ$99,1),예비비!$F$430:$F$729,"결제대금비")+MAX(0,IF(예비비!$D362&lt;EDATE(BJ$99,1),예비비!$E362,0)-SUMIFS(예비비!$O$430:$O$729,예비비!$B$430:$B$729,예비비!$A362,예비비!$E$430:$E$729,"&lt;"&amp;EDATE(BJ$99,1))),0)</f>
        <v>0</v>
      </c>
      <c r="BK362">
        <f>IF(예비비!$R362="OK",SUMIFS(예비비!$O$430:$O$729,예비비!$B$430:$B$729,예비비!$A362,예비비!$E$430:$E$729,"&lt;"&amp;EDATE(BK$99,1),예비비!$F$430:$F$729,"결제대금비")+MAX(0,IF(예비비!$D362&lt;EDATE(BK$99,1),예비비!$E362,0)-SUMIFS(예비비!$O$430:$O$729,예비비!$B$430:$B$729,예비비!$A362,예비비!$E$430:$E$729,"&lt;"&amp;EDATE(BK$99,1))),0)</f>
        <v>0</v>
      </c>
      <c r="BL362">
        <f>IF(예비비!$R362="OK",SUMIFS(예비비!$O$430:$O$729,예비비!$B$430:$B$729,예비비!$A362,예비비!$E$430:$E$729,"&lt;"&amp;EDATE(BL$99,1),예비비!$F$430:$F$729,"결제대금비")+MAX(0,IF(예비비!$D362&lt;EDATE(BL$99,1),예비비!$E362,0)-SUMIFS(예비비!$O$430:$O$729,예비비!$B$430:$B$729,예비비!$A362,예비비!$E$430:$E$729,"&lt;"&amp;EDATE(BL$99,1))),0)</f>
        <v>0</v>
      </c>
      <c r="BM362">
        <f>IF(예비비!$R362="OK",SUMIFS(예비비!$O$430:$O$729,예비비!$B$430:$B$729,예비비!$A362,예비비!$E$430:$E$729,"&lt;"&amp;EDATE(BM$99,1),예비비!$F$430:$F$729,"결제대금비")+MAX(0,IF(예비비!$D362&lt;EDATE(BM$99,1),예비비!$E362,0)-SUMIFS(예비비!$O$430:$O$729,예비비!$B$430:$B$729,예비비!$A362,예비비!$E$430:$E$729,"&lt;"&amp;EDATE(BM$99,1))),0)</f>
        <v>0</v>
      </c>
      <c r="BN362">
        <f>IF(예비비!$R362="OK",SUMIFS(예비비!$O$430:$O$729,예비비!$B$430:$B$729,예비비!$A362,예비비!$E$430:$E$729,"&lt;"&amp;EDATE(BN$99,1),예비비!$F$430:$F$729,"결제대금비")+MAX(0,IF(예비비!$D362&lt;EDATE(BN$99,1),예비비!$E362,0)-SUMIFS(예비비!$O$430:$O$729,예비비!$B$430:$B$729,예비비!$A362,예비비!$E$430:$E$729,"&lt;"&amp;EDATE(BN$99,1))),0)</f>
        <v>0</v>
      </c>
      <c r="BO362">
        <f>IF(예비비!$R362="OK",SUMIFS(예비비!$O$430:$O$729,예비비!$B$430:$B$729,예비비!$A362,예비비!$E$430:$E$729,"&lt;"&amp;EDATE(BO$99,1),예비비!$F$430:$F$729,"결제대금비")+MAX(0,IF(예비비!$D362&lt;EDATE(BO$99,1),예비비!$E362,0)-SUMIFS(예비비!$O$430:$O$729,예비비!$B$430:$B$729,예비비!$A362,예비비!$E$430:$E$729,"&lt;"&amp;EDATE(BO$99,1))),0)</f>
        <v>0</v>
      </c>
      <c r="BP362">
        <f>IF(예비비!$R362="OK",SUMIFS(예비비!$O$430:$O$729,예비비!$B$430:$B$729,예비비!$A362,예비비!$E$430:$E$729,"&lt;"&amp;EDATE(BP$99,1),예비비!$F$430:$F$729,"결제대금비")+MAX(0,IF(예비비!$D362&lt;EDATE(BP$99,1),예비비!$E362,0)-SUMIFS(예비비!$O$430:$O$729,예비비!$B$430:$B$729,예비비!$A362,예비비!$E$430:$E$729,"&lt;"&amp;EDATE(BP$99,1))),0)</f>
        <v>0</v>
      </c>
      <c r="BQ362">
        <f>IF(예비비!$R362="OK",SUMIFS(예비비!$O$430:$O$729,예비비!$B$430:$B$729,예비비!$A362,예비비!$E$430:$E$729,"&lt;"&amp;EDATE(BQ$99,1),예비비!$F$430:$F$729,"결제대금비")+MAX(0,IF(예비비!$D362&lt;EDATE(BQ$99,1),예비비!$E362,0)-SUMIFS(예비비!$O$430:$O$729,예비비!$B$430:$B$729,예비비!$A362,예비비!$E$430:$E$729,"&lt;"&amp;EDATE(BQ$99,1))),0)</f>
        <v>0</v>
      </c>
      <c r="BR362">
        <f>IF(예비비!$R362="OK",SUMIFS(예비비!$O$430:$O$729,예비비!$B$430:$B$729,예비비!$A362,예비비!$E$430:$E$729,"&lt;"&amp;EDATE(BR$99,1),예비비!$F$430:$F$729,"결제대금비")+MAX(0,IF(예비비!$D362&lt;EDATE(BR$99,1),예비비!$E362,0)-SUMIFS(예비비!$O$430:$O$729,예비비!$B$430:$B$729,예비비!$A362,예비비!$E$430:$E$729,"&lt;"&amp;EDATE(BR$99,1))),0)</f>
        <v>0</v>
      </c>
      <c r="BS362">
        <f>IF(예비비!$R362="OK",SUMIFS(예비비!$O$430:$O$729,예비비!$B$430:$B$729,예비비!$A362,예비비!$E$430:$E$729,"&lt;"&amp;EDATE(BS$99,1),예비비!$F$430:$F$729,"결제대금비")+MAX(0,IF(예비비!$D362&lt;EDATE(BS$99,1),예비비!$E362,0)-SUMIFS(예비비!$O$430:$O$729,예비비!$B$430:$B$729,예비비!$A362,예비비!$E$430:$E$729,"&lt;"&amp;EDATE(BS$99,1))),0)</f>
        <v>0</v>
      </c>
      <c r="BT362">
        <f>IF(예비비!$R362="OK",SUMIFS(예비비!$O$430:$O$729,예비비!$B$430:$B$729,예비비!$A362,예비비!$E$430:$E$729,"&lt;"&amp;EDATE(BT$99,1),예비비!$F$430:$F$729,"결제대금비")+MAX(0,IF(예비비!$D362&lt;EDATE(BT$99,1),예비비!$E362,0)-SUMIFS(예비비!$O$430:$O$729,예비비!$B$430:$B$729,예비비!$A362,예비비!$E$430:$E$729,"&lt;"&amp;EDATE(BT$99,1))),0)</f>
        <v>0</v>
      </c>
      <c r="BU362">
        <f>IF(예비비!$R362="OK",SUMIFS(예비비!$O$430:$O$729,예비비!$B$430:$B$729,예비비!$A362,예비비!$E$430:$E$729,"&lt;"&amp;EDATE(BU$99,1),예비비!$F$430:$F$729,"결제대금비")+MAX(0,IF(예비비!$D362&lt;EDATE(BU$99,1),예비비!$E362,0)-SUMIFS(예비비!$O$430:$O$729,예비비!$B$430:$B$729,예비비!$A362,예비비!$E$430:$E$729,"&lt;"&amp;EDATE(BU$99,1))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  <c r="BI363">
        <f>IF(예비비!$R363="OK",SUMIFS(예비비!$O$430:$O$729,예비비!$B$430:$B$729,예비비!$A363,예비비!$E$430:$E$729,"&lt;"&amp;EDATE(BI$99,1),예비비!$F$430:$F$729,"결제대금비")+MAX(0,IF(예비비!$D363&lt;EDATE(BI$99,1),예비비!$E363,0)-SUMIFS(예비비!$O$430:$O$729,예비비!$B$430:$B$729,예비비!$A363,예비비!$E$430:$E$729,"&lt;"&amp;EDATE(BI$99,1))),0)</f>
        <v>0</v>
      </c>
      <c r="BJ363">
        <f>IF(예비비!$R363="OK",SUMIFS(예비비!$O$430:$O$729,예비비!$B$430:$B$729,예비비!$A363,예비비!$E$430:$E$729,"&lt;"&amp;EDATE(BJ$99,1),예비비!$F$430:$F$729,"결제대금비")+MAX(0,IF(예비비!$D363&lt;EDATE(BJ$99,1),예비비!$E363,0)-SUMIFS(예비비!$O$430:$O$729,예비비!$B$430:$B$729,예비비!$A363,예비비!$E$430:$E$729,"&lt;"&amp;EDATE(BJ$99,1))),0)</f>
        <v>0</v>
      </c>
      <c r="BK363">
        <f>IF(예비비!$R363="OK",SUMIFS(예비비!$O$430:$O$729,예비비!$B$430:$B$729,예비비!$A363,예비비!$E$430:$E$729,"&lt;"&amp;EDATE(BK$99,1),예비비!$F$430:$F$729,"결제대금비")+MAX(0,IF(예비비!$D363&lt;EDATE(BK$99,1),예비비!$E363,0)-SUMIFS(예비비!$O$430:$O$729,예비비!$B$430:$B$729,예비비!$A363,예비비!$E$430:$E$729,"&lt;"&amp;EDATE(BK$99,1))),0)</f>
        <v>0</v>
      </c>
      <c r="BL363">
        <f>IF(예비비!$R363="OK",SUMIFS(예비비!$O$430:$O$729,예비비!$B$430:$B$729,예비비!$A363,예비비!$E$430:$E$729,"&lt;"&amp;EDATE(BL$99,1),예비비!$F$430:$F$729,"결제대금비")+MAX(0,IF(예비비!$D363&lt;EDATE(BL$99,1),예비비!$E363,0)-SUMIFS(예비비!$O$430:$O$729,예비비!$B$430:$B$729,예비비!$A363,예비비!$E$430:$E$729,"&lt;"&amp;EDATE(BL$99,1))),0)</f>
        <v>0</v>
      </c>
      <c r="BM363">
        <f>IF(예비비!$R363="OK",SUMIFS(예비비!$O$430:$O$729,예비비!$B$430:$B$729,예비비!$A363,예비비!$E$430:$E$729,"&lt;"&amp;EDATE(BM$99,1),예비비!$F$430:$F$729,"결제대금비")+MAX(0,IF(예비비!$D363&lt;EDATE(BM$99,1),예비비!$E363,0)-SUMIFS(예비비!$O$430:$O$729,예비비!$B$430:$B$729,예비비!$A363,예비비!$E$430:$E$729,"&lt;"&amp;EDATE(BM$99,1))),0)</f>
        <v>0</v>
      </c>
      <c r="BN363">
        <f>IF(예비비!$R363="OK",SUMIFS(예비비!$O$430:$O$729,예비비!$B$430:$B$729,예비비!$A363,예비비!$E$430:$E$729,"&lt;"&amp;EDATE(BN$99,1),예비비!$F$430:$F$729,"결제대금비")+MAX(0,IF(예비비!$D363&lt;EDATE(BN$99,1),예비비!$E363,0)-SUMIFS(예비비!$O$430:$O$729,예비비!$B$430:$B$729,예비비!$A363,예비비!$E$430:$E$729,"&lt;"&amp;EDATE(BN$99,1))),0)</f>
        <v>0</v>
      </c>
      <c r="BO363">
        <f>IF(예비비!$R363="OK",SUMIFS(예비비!$O$430:$O$729,예비비!$B$430:$B$729,예비비!$A363,예비비!$E$430:$E$729,"&lt;"&amp;EDATE(BO$99,1),예비비!$F$430:$F$729,"결제대금비")+MAX(0,IF(예비비!$D363&lt;EDATE(BO$99,1),예비비!$E363,0)-SUMIFS(예비비!$O$430:$O$729,예비비!$B$430:$B$729,예비비!$A363,예비비!$E$430:$E$729,"&lt;"&amp;EDATE(BO$99,1))),0)</f>
        <v>0</v>
      </c>
      <c r="BP363">
        <f>IF(예비비!$R363="OK",SUMIFS(예비비!$O$430:$O$729,예비비!$B$430:$B$729,예비비!$A363,예비비!$E$430:$E$729,"&lt;"&amp;EDATE(BP$99,1),예비비!$F$430:$F$729,"결제대금비")+MAX(0,IF(예비비!$D363&lt;EDATE(BP$99,1),예비비!$E363,0)-SUMIFS(예비비!$O$430:$O$729,예비비!$B$430:$B$729,예비비!$A363,예비비!$E$430:$E$729,"&lt;"&amp;EDATE(BP$99,1))),0)</f>
        <v>0</v>
      </c>
      <c r="BQ363">
        <f>IF(예비비!$R363="OK",SUMIFS(예비비!$O$430:$O$729,예비비!$B$430:$B$729,예비비!$A363,예비비!$E$430:$E$729,"&lt;"&amp;EDATE(BQ$99,1),예비비!$F$430:$F$729,"결제대금비")+MAX(0,IF(예비비!$D363&lt;EDATE(BQ$99,1),예비비!$E363,0)-SUMIFS(예비비!$O$430:$O$729,예비비!$B$430:$B$729,예비비!$A363,예비비!$E$430:$E$729,"&lt;"&amp;EDATE(BQ$99,1))),0)</f>
        <v>0</v>
      </c>
      <c r="BR363">
        <f>IF(예비비!$R363="OK",SUMIFS(예비비!$O$430:$O$729,예비비!$B$430:$B$729,예비비!$A363,예비비!$E$430:$E$729,"&lt;"&amp;EDATE(BR$99,1),예비비!$F$430:$F$729,"결제대금비")+MAX(0,IF(예비비!$D363&lt;EDATE(BR$99,1),예비비!$E363,0)-SUMIFS(예비비!$O$430:$O$729,예비비!$B$430:$B$729,예비비!$A363,예비비!$E$430:$E$729,"&lt;"&amp;EDATE(BR$99,1))),0)</f>
        <v>0</v>
      </c>
      <c r="BS363">
        <f>IF(예비비!$R363="OK",SUMIFS(예비비!$O$430:$O$729,예비비!$B$430:$B$729,예비비!$A363,예비비!$E$430:$E$729,"&lt;"&amp;EDATE(BS$99,1),예비비!$F$430:$F$729,"결제대금비")+MAX(0,IF(예비비!$D363&lt;EDATE(BS$99,1),예비비!$E363,0)-SUMIFS(예비비!$O$430:$O$729,예비비!$B$430:$B$729,예비비!$A363,예비비!$E$430:$E$729,"&lt;"&amp;EDATE(BS$99,1))),0)</f>
        <v>0</v>
      </c>
      <c r="BT363">
        <f>IF(예비비!$R363="OK",SUMIFS(예비비!$O$430:$O$729,예비비!$B$430:$B$729,예비비!$A363,예비비!$E$430:$E$729,"&lt;"&amp;EDATE(BT$99,1),예비비!$F$430:$F$729,"결제대금비")+MAX(0,IF(예비비!$D363&lt;EDATE(BT$99,1),예비비!$E363,0)-SUMIFS(예비비!$O$430:$O$729,예비비!$B$430:$B$729,예비비!$A363,예비비!$E$430:$E$729,"&lt;"&amp;EDATE(BT$99,1))),0)</f>
        <v>0</v>
      </c>
      <c r="BU363">
        <f>IF(예비비!$R363="OK",SUMIFS(예비비!$O$430:$O$729,예비비!$B$430:$B$729,예비비!$A363,예비비!$E$430:$E$729,"&lt;"&amp;EDATE(BU$99,1),예비비!$F$430:$F$729,"결제대금비")+MAX(0,IF(예비비!$D363&lt;EDATE(BU$99,1),예비비!$E363,0)-SUMIFS(예비비!$O$430:$O$729,예비비!$B$430:$B$729,예비비!$A363,예비비!$E$430:$E$729,"&lt;"&amp;EDATE(BU$99,1))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  <c r="BI364">
        <f>IF(예비비!$R364="OK",SUMIFS(예비비!$O$430:$O$729,예비비!$B$430:$B$729,예비비!$A364,예비비!$E$430:$E$729,"&lt;"&amp;EDATE(BI$99,1),예비비!$F$430:$F$729,"결제대금비")+MAX(0,IF(예비비!$D364&lt;EDATE(BI$99,1),예비비!$E364,0)-SUMIFS(예비비!$O$430:$O$729,예비비!$B$430:$B$729,예비비!$A364,예비비!$E$430:$E$729,"&lt;"&amp;EDATE(BI$99,1))),0)</f>
        <v>0</v>
      </c>
      <c r="BJ364">
        <f>IF(예비비!$R364="OK",SUMIFS(예비비!$O$430:$O$729,예비비!$B$430:$B$729,예비비!$A364,예비비!$E$430:$E$729,"&lt;"&amp;EDATE(BJ$99,1),예비비!$F$430:$F$729,"결제대금비")+MAX(0,IF(예비비!$D364&lt;EDATE(BJ$99,1),예비비!$E364,0)-SUMIFS(예비비!$O$430:$O$729,예비비!$B$430:$B$729,예비비!$A364,예비비!$E$430:$E$729,"&lt;"&amp;EDATE(BJ$99,1))),0)</f>
        <v>0</v>
      </c>
      <c r="BK364">
        <f>IF(예비비!$R364="OK",SUMIFS(예비비!$O$430:$O$729,예비비!$B$430:$B$729,예비비!$A364,예비비!$E$430:$E$729,"&lt;"&amp;EDATE(BK$99,1),예비비!$F$430:$F$729,"결제대금비")+MAX(0,IF(예비비!$D364&lt;EDATE(BK$99,1),예비비!$E364,0)-SUMIFS(예비비!$O$430:$O$729,예비비!$B$430:$B$729,예비비!$A364,예비비!$E$430:$E$729,"&lt;"&amp;EDATE(BK$99,1))),0)</f>
        <v>0</v>
      </c>
      <c r="BL364">
        <f>IF(예비비!$R364="OK",SUMIFS(예비비!$O$430:$O$729,예비비!$B$430:$B$729,예비비!$A364,예비비!$E$430:$E$729,"&lt;"&amp;EDATE(BL$99,1),예비비!$F$430:$F$729,"결제대금비")+MAX(0,IF(예비비!$D364&lt;EDATE(BL$99,1),예비비!$E364,0)-SUMIFS(예비비!$O$430:$O$729,예비비!$B$430:$B$729,예비비!$A364,예비비!$E$430:$E$729,"&lt;"&amp;EDATE(BL$99,1))),0)</f>
        <v>0</v>
      </c>
      <c r="BM364">
        <f>IF(예비비!$R364="OK",SUMIFS(예비비!$O$430:$O$729,예비비!$B$430:$B$729,예비비!$A364,예비비!$E$430:$E$729,"&lt;"&amp;EDATE(BM$99,1),예비비!$F$430:$F$729,"결제대금비")+MAX(0,IF(예비비!$D364&lt;EDATE(BM$99,1),예비비!$E364,0)-SUMIFS(예비비!$O$430:$O$729,예비비!$B$430:$B$729,예비비!$A364,예비비!$E$430:$E$729,"&lt;"&amp;EDATE(BM$99,1))),0)</f>
        <v>0</v>
      </c>
      <c r="BN364">
        <f>IF(예비비!$R364="OK",SUMIFS(예비비!$O$430:$O$729,예비비!$B$430:$B$729,예비비!$A364,예비비!$E$430:$E$729,"&lt;"&amp;EDATE(BN$99,1),예비비!$F$430:$F$729,"결제대금비")+MAX(0,IF(예비비!$D364&lt;EDATE(BN$99,1),예비비!$E364,0)-SUMIFS(예비비!$O$430:$O$729,예비비!$B$430:$B$729,예비비!$A364,예비비!$E$430:$E$729,"&lt;"&amp;EDATE(BN$99,1))),0)</f>
        <v>0</v>
      </c>
      <c r="BO364">
        <f>IF(예비비!$R364="OK",SUMIFS(예비비!$O$430:$O$729,예비비!$B$430:$B$729,예비비!$A364,예비비!$E$430:$E$729,"&lt;"&amp;EDATE(BO$99,1),예비비!$F$430:$F$729,"결제대금비")+MAX(0,IF(예비비!$D364&lt;EDATE(BO$99,1),예비비!$E364,0)-SUMIFS(예비비!$O$430:$O$729,예비비!$B$430:$B$729,예비비!$A364,예비비!$E$430:$E$729,"&lt;"&amp;EDATE(BO$99,1))),0)</f>
        <v>0</v>
      </c>
      <c r="BP364">
        <f>IF(예비비!$R364="OK",SUMIFS(예비비!$O$430:$O$729,예비비!$B$430:$B$729,예비비!$A364,예비비!$E$430:$E$729,"&lt;"&amp;EDATE(BP$99,1),예비비!$F$430:$F$729,"결제대금비")+MAX(0,IF(예비비!$D364&lt;EDATE(BP$99,1),예비비!$E364,0)-SUMIFS(예비비!$O$430:$O$729,예비비!$B$430:$B$729,예비비!$A364,예비비!$E$430:$E$729,"&lt;"&amp;EDATE(BP$99,1))),0)</f>
        <v>0</v>
      </c>
      <c r="BQ364">
        <f>IF(예비비!$R364="OK",SUMIFS(예비비!$O$430:$O$729,예비비!$B$430:$B$729,예비비!$A364,예비비!$E$430:$E$729,"&lt;"&amp;EDATE(BQ$99,1),예비비!$F$430:$F$729,"결제대금비")+MAX(0,IF(예비비!$D364&lt;EDATE(BQ$99,1),예비비!$E364,0)-SUMIFS(예비비!$O$430:$O$729,예비비!$B$430:$B$729,예비비!$A364,예비비!$E$430:$E$729,"&lt;"&amp;EDATE(BQ$99,1))),0)</f>
        <v>0</v>
      </c>
      <c r="BR364">
        <f>IF(예비비!$R364="OK",SUMIFS(예비비!$O$430:$O$729,예비비!$B$430:$B$729,예비비!$A364,예비비!$E$430:$E$729,"&lt;"&amp;EDATE(BR$99,1),예비비!$F$430:$F$729,"결제대금비")+MAX(0,IF(예비비!$D364&lt;EDATE(BR$99,1),예비비!$E364,0)-SUMIFS(예비비!$O$430:$O$729,예비비!$B$430:$B$729,예비비!$A364,예비비!$E$430:$E$729,"&lt;"&amp;EDATE(BR$99,1))),0)</f>
        <v>0</v>
      </c>
      <c r="BS364">
        <f>IF(예비비!$R364="OK",SUMIFS(예비비!$O$430:$O$729,예비비!$B$430:$B$729,예비비!$A364,예비비!$E$430:$E$729,"&lt;"&amp;EDATE(BS$99,1),예비비!$F$430:$F$729,"결제대금비")+MAX(0,IF(예비비!$D364&lt;EDATE(BS$99,1),예비비!$E364,0)-SUMIFS(예비비!$O$430:$O$729,예비비!$B$430:$B$729,예비비!$A364,예비비!$E$430:$E$729,"&lt;"&amp;EDATE(BS$99,1))),0)</f>
        <v>0</v>
      </c>
      <c r="BT364">
        <f>IF(예비비!$R364="OK",SUMIFS(예비비!$O$430:$O$729,예비비!$B$430:$B$729,예비비!$A364,예비비!$E$430:$E$729,"&lt;"&amp;EDATE(BT$99,1),예비비!$F$430:$F$729,"결제대금비")+MAX(0,IF(예비비!$D364&lt;EDATE(BT$99,1),예비비!$E364,0)-SUMIFS(예비비!$O$430:$O$729,예비비!$B$430:$B$729,예비비!$A364,예비비!$E$430:$E$729,"&lt;"&amp;EDATE(BT$99,1))),0)</f>
        <v>0</v>
      </c>
      <c r="BU364">
        <f>IF(예비비!$R364="OK",SUMIFS(예비비!$O$430:$O$729,예비비!$B$430:$B$729,예비비!$A364,예비비!$E$430:$E$729,"&lt;"&amp;EDATE(BU$99,1),예비비!$F$430:$F$729,"결제대금비")+MAX(0,IF(예비비!$D364&lt;EDATE(BU$99,1),예비비!$E364,0)-SUMIFS(예비비!$O$430:$O$729,예비비!$B$430:$B$729,예비비!$A364,예비비!$E$430:$E$729,"&lt;"&amp;EDATE(BU$99,1))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  <c r="BI365">
        <f>IF(예비비!$R365="OK",SUMIFS(예비비!$O$430:$O$729,예비비!$B$430:$B$729,예비비!$A365,예비비!$E$430:$E$729,"&lt;"&amp;EDATE(BI$99,1),예비비!$F$430:$F$729,"결제대금비")+MAX(0,IF(예비비!$D365&lt;EDATE(BI$99,1),예비비!$E365,0)-SUMIFS(예비비!$O$430:$O$729,예비비!$B$430:$B$729,예비비!$A365,예비비!$E$430:$E$729,"&lt;"&amp;EDATE(BI$99,1))),0)</f>
        <v>0</v>
      </c>
      <c r="BJ365">
        <f>IF(예비비!$R365="OK",SUMIFS(예비비!$O$430:$O$729,예비비!$B$430:$B$729,예비비!$A365,예비비!$E$430:$E$729,"&lt;"&amp;EDATE(BJ$99,1),예비비!$F$430:$F$729,"결제대금비")+MAX(0,IF(예비비!$D365&lt;EDATE(BJ$99,1),예비비!$E365,0)-SUMIFS(예비비!$O$430:$O$729,예비비!$B$430:$B$729,예비비!$A365,예비비!$E$430:$E$729,"&lt;"&amp;EDATE(BJ$99,1))),0)</f>
        <v>0</v>
      </c>
      <c r="BK365">
        <f>IF(예비비!$R365="OK",SUMIFS(예비비!$O$430:$O$729,예비비!$B$430:$B$729,예비비!$A365,예비비!$E$430:$E$729,"&lt;"&amp;EDATE(BK$99,1),예비비!$F$430:$F$729,"결제대금비")+MAX(0,IF(예비비!$D365&lt;EDATE(BK$99,1),예비비!$E365,0)-SUMIFS(예비비!$O$430:$O$729,예비비!$B$430:$B$729,예비비!$A365,예비비!$E$430:$E$729,"&lt;"&amp;EDATE(BK$99,1))),0)</f>
        <v>0</v>
      </c>
      <c r="BL365">
        <f>IF(예비비!$R365="OK",SUMIFS(예비비!$O$430:$O$729,예비비!$B$430:$B$729,예비비!$A365,예비비!$E$430:$E$729,"&lt;"&amp;EDATE(BL$99,1),예비비!$F$430:$F$729,"결제대금비")+MAX(0,IF(예비비!$D365&lt;EDATE(BL$99,1),예비비!$E365,0)-SUMIFS(예비비!$O$430:$O$729,예비비!$B$430:$B$729,예비비!$A365,예비비!$E$430:$E$729,"&lt;"&amp;EDATE(BL$99,1))),0)</f>
        <v>0</v>
      </c>
      <c r="BM365">
        <f>IF(예비비!$R365="OK",SUMIFS(예비비!$O$430:$O$729,예비비!$B$430:$B$729,예비비!$A365,예비비!$E$430:$E$729,"&lt;"&amp;EDATE(BM$99,1),예비비!$F$430:$F$729,"결제대금비")+MAX(0,IF(예비비!$D365&lt;EDATE(BM$99,1),예비비!$E365,0)-SUMIFS(예비비!$O$430:$O$729,예비비!$B$430:$B$729,예비비!$A365,예비비!$E$430:$E$729,"&lt;"&amp;EDATE(BM$99,1))),0)</f>
        <v>0</v>
      </c>
      <c r="BN365">
        <f>IF(예비비!$R365="OK",SUMIFS(예비비!$O$430:$O$729,예비비!$B$430:$B$729,예비비!$A365,예비비!$E$430:$E$729,"&lt;"&amp;EDATE(BN$99,1),예비비!$F$430:$F$729,"결제대금비")+MAX(0,IF(예비비!$D365&lt;EDATE(BN$99,1),예비비!$E365,0)-SUMIFS(예비비!$O$430:$O$729,예비비!$B$430:$B$729,예비비!$A365,예비비!$E$430:$E$729,"&lt;"&amp;EDATE(BN$99,1))),0)</f>
        <v>0</v>
      </c>
      <c r="BO365">
        <f>IF(예비비!$R365="OK",SUMIFS(예비비!$O$430:$O$729,예비비!$B$430:$B$729,예비비!$A365,예비비!$E$430:$E$729,"&lt;"&amp;EDATE(BO$99,1),예비비!$F$430:$F$729,"결제대금비")+MAX(0,IF(예비비!$D365&lt;EDATE(BO$99,1),예비비!$E365,0)-SUMIFS(예비비!$O$430:$O$729,예비비!$B$430:$B$729,예비비!$A365,예비비!$E$430:$E$729,"&lt;"&amp;EDATE(BO$99,1))),0)</f>
        <v>0</v>
      </c>
      <c r="BP365">
        <f>IF(예비비!$R365="OK",SUMIFS(예비비!$O$430:$O$729,예비비!$B$430:$B$729,예비비!$A365,예비비!$E$430:$E$729,"&lt;"&amp;EDATE(BP$99,1),예비비!$F$430:$F$729,"결제대금비")+MAX(0,IF(예비비!$D365&lt;EDATE(BP$99,1),예비비!$E365,0)-SUMIFS(예비비!$O$430:$O$729,예비비!$B$430:$B$729,예비비!$A365,예비비!$E$430:$E$729,"&lt;"&amp;EDATE(BP$99,1))),0)</f>
        <v>0</v>
      </c>
      <c r="BQ365">
        <f>IF(예비비!$R365="OK",SUMIFS(예비비!$O$430:$O$729,예비비!$B$430:$B$729,예비비!$A365,예비비!$E$430:$E$729,"&lt;"&amp;EDATE(BQ$99,1),예비비!$F$430:$F$729,"결제대금비")+MAX(0,IF(예비비!$D365&lt;EDATE(BQ$99,1),예비비!$E365,0)-SUMIFS(예비비!$O$430:$O$729,예비비!$B$430:$B$729,예비비!$A365,예비비!$E$430:$E$729,"&lt;"&amp;EDATE(BQ$99,1))),0)</f>
        <v>0</v>
      </c>
      <c r="BR365">
        <f>IF(예비비!$R365="OK",SUMIFS(예비비!$O$430:$O$729,예비비!$B$430:$B$729,예비비!$A365,예비비!$E$430:$E$729,"&lt;"&amp;EDATE(BR$99,1),예비비!$F$430:$F$729,"결제대금비")+MAX(0,IF(예비비!$D365&lt;EDATE(BR$99,1),예비비!$E365,0)-SUMIFS(예비비!$O$430:$O$729,예비비!$B$430:$B$729,예비비!$A365,예비비!$E$430:$E$729,"&lt;"&amp;EDATE(BR$99,1))),0)</f>
        <v>0</v>
      </c>
      <c r="BS365">
        <f>IF(예비비!$R365="OK",SUMIFS(예비비!$O$430:$O$729,예비비!$B$430:$B$729,예비비!$A365,예비비!$E$430:$E$729,"&lt;"&amp;EDATE(BS$99,1),예비비!$F$430:$F$729,"결제대금비")+MAX(0,IF(예비비!$D365&lt;EDATE(BS$99,1),예비비!$E365,0)-SUMIFS(예비비!$O$430:$O$729,예비비!$B$430:$B$729,예비비!$A365,예비비!$E$430:$E$729,"&lt;"&amp;EDATE(BS$99,1))),0)</f>
        <v>0</v>
      </c>
      <c r="BT365">
        <f>IF(예비비!$R365="OK",SUMIFS(예비비!$O$430:$O$729,예비비!$B$430:$B$729,예비비!$A365,예비비!$E$430:$E$729,"&lt;"&amp;EDATE(BT$99,1),예비비!$F$430:$F$729,"결제대금비")+MAX(0,IF(예비비!$D365&lt;EDATE(BT$99,1),예비비!$E365,0)-SUMIFS(예비비!$O$430:$O$729,예비비!$B$430:$B$729,예비비!$A365,예비비!$E$430:$E$729,"&lt;"&amp;EDATE(BT$99,1))),0)</f>
        <v>0</v>
      </c>
      <c r="BU365">
        <f>IF(예비비!$R365="OK",SUMIFS(예비비!$O$430:$O$729,예비비!$B$430:$B$729,예비비!$A365,예비비!$E$430:$E$729,"&lt;"&amp;EDATE(BU$99,1),예비비!$F$430:$F$729,"결제대금비")+MAX(0,IF(예비비!$D365&lt;EDATE(BU$99,1),예비비!$E365,0)-SUMIFS(예비비!$O$430:$O$729,예비비!$B$430:$B$729,예비비!$A365,예비비!$E$430:$E$729,"&lt;"&amp;EDATE(BU$99,1))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  <c r="BI366">
        <f>IF(예비비!$R366="OK",SUMIFS(예비비!$O$430:$O$729,예비비!$B$430:$B$729,예비비!$A366,예비비!$E$430:$E$729,"&lt;"&amp;EDATE(BI$99,1),예비비!$F$430:$F$729,"결제대금비")+MAX(0,IF(예비비!$D366&lt;EDATE(BI$99,1),예비비!$E366,0)-SUMIFS(예비비!$O$430:$O$729,예비비!$B$430:$B$729,예비비!$A366,예비비!$E$430:$E$729,"&lt;"&amp;EDATE(BI$99,1))),0)</f>
        <v>0</v>
      </c>
      <c r="BJ366">
        <f>IF(예비비!$R366="OK",SUMIFS(예비비!$O$430:$O$729,예비비!$B$430:$B$729,예비비!$A366,예비비!$E$430:$E$729,"&lt;"&amp;EDATE(BJ$99,1),예비비!$F$430:$F$729,"결제대금비")+MAX(0,IF(예비비!$D366&lt;EDATE(BJ$99,1),예비비!$E366,0)-SUMIFS(예비비!$O$430:$O$729,예비비!$B$430:$B$729,예비비!$A366,예비비!$E$430:$E$729,"&lt;"&amp;EDATE(BJ$99,1))),0)</f>
        <v>0</v>
      </c>
      <c r="BK366">
        <f>IF(예비비!$R366="OK",SUMIFS(예비비!$O$430:$O$729,예비비!$B$430:$B$729,예비비!$A366,예비비!$E$430:$E$729,"&lt;"&amp;EDATE(BK$99,1),예비비!$F$430:$F$729,"결제대금비")+MAX(0,IF(예비비!$D366&lt;EDATE(BK$99,1),예비비!$E366,0)-SUMIFS(예비비!$O$430:$O$729,예비비!$B$430:$B$729,예비비!$A366,예비비!$E$430:$E$729,"&lt;"&amp;EDATE(BK$99,1))),0)</f>
        <v>0</v>
      </c>
      <c r="BL366">
        <f>IF(예비비!$R366="OK",SUMIFS(예비비!$O$430:$O$729,예비비!$B$430:$B$729,예비비!$A366,예비비!$E$430:$E$729,"&lt;"&amp;EDATE(BL$99,1),예비비!$F$430:$F$729,"결제대금비")+MAX(0,IF(예비비!$D366&lt;EDATE(BL$99,1),예비비!$E366,0)-SUMIFS(예비비!$O$430:$O$729,예비비!$B$430:$B$729,예비비!$A366,예비비!$E$430:$E$729,"&lt;"&amp;EDATE(BL$99,1))),0)</f>
        <v>0</v>
      </c>
      <c r="BM366">
        <f>IF(예비비!$R366="OK",SUMIFS(예비비!$O$430:$O$729,예비비!$B$430:$B$729,예비비!$A366,예비비!$E$430:$E$729,"&lt;"&amp;EDATE(BM$99,1),예비비!$F$430:$F$729,"결제대금비")+MAX(0,IF(예비비!$D366&lt;EDATE(BM$99,1),예비비!$E366,0)-SUMIFS(예비비!$O$430:$O$729,예비비!$B$430:$B$729,예비비!$A366,예비비!$E$430:$E$729,"&lt;"&amp;EDATE(BM$99,1))),0)</f>
        <v>0</v>
      </c>
      <c r="BN366">
        <f>IF(예비비!$R366="OK",SUMIFS(예비비!$O$430:$O$729,예비비!$B$430:$B$729,예비비!$A366,예비비!$E$430:$E$729,"&lt;"&amp;EDATE(BN$99,1),예비비!$F$430:$F$729,"결제대금비")+MAX(0,IF(예비비!$D366&lt;EDATE(BN$99,1),예비비!$E366,0)-SUMIFS(예비비!$O$430:$O$729,예비비!$B$430:$B$729,예비비!$A366,예비비!$E$430:$E$729,"&lt;"&amp;EDATE(BN$99,1))),0)</f>
        <v>0</v>
      </c>
      <c r="BO366">
        <f>IF(예비비!$R366="OK",SUMIFS(예비비!$O$430:$O$729,예비비!$B$430:$B$729,예비비!$A366,예비비!$E$430:$E$729,"&lt;"&amp;EDATE(BO$99,1),예비비!$F$430:$F$729,"결제대금비")+MAX(0,IF(예비비!$D366&lt;EDATE(BO$99,1),예비비!$E366,0)-SUMIFS(예비비!$O$430:$O$729,예비비!$B$430:$B$729,예비비!$A366,예비비!$E$430:$E$729,"&lt;"&amp;EDATE(BO$99,1))),0)</f>
        <v>0</v>
      </c>
      <c r="BP366">
        <f>IF(예비비!$R366="OK",SUMIFS(예비비!$O$430:$O$729,예비비!$B$430:$B$729,예비비!$A366,예비비!$E$430:$E$729,"&lt;"&amp;EDATE(BP$99,1),예비비!$F$430:$F$729,"결제대금비")+MAX(0,IF(예비비!$D366&lt;EDATE(BP$99,1),예비비!$E366,0)-SUMIFS(예비비!$O$430:$O$729,예비비!$B$430:$B$729,예비비!$A366,예비비!$E$430:$E$729,"&lt;"&amp;EDATE(BP$99,1))),0)</f>
        <v>0</v>
      </c>
      <c r="BQ366">
        <f>IF(예비비!$R366="OK",SUMIFS(예비비!$O$430:$O$729,예비비!$B$430:$B$729,예비비!$A366,예비비!$E$430:$E$729,"&lt;"&amp;EDATE(BQ$99,1),예비비!$F$430:$F$729,"결제대금비")+MAX(0,IF(예비비!$D366&lt;EDATE(BQ$99,1),예비비!$E366,0)-SUMIFS(예비비!$O$430:$O$729,예비비!$B$430:$B$729,예비비!$A366,예비비!$E$430:$E$729,"&lt;"&amp;EDATE(BQ$99,1))),0)</f>
        <v>0</v>
      </c>
      <c r="BR366">
        <f>IF(예비비!$R366="OK",SUMIFS(예비비!$O$430:$O$729,예비비!$B$430:$B$729,예비비!$A366,예비비!$E$430:$E$729,"&lt;"&amp;EDATE(BR$99,1),예비비!$F$430:$F$729,"결제대금비")+MAX(0,IF(예비비!$D366&lt;EDATE(BR$99,1),예비비!$E366,0)-SUMIFS(예비비!$O$430:$O$729,예비비!$B$430:$B$729,예비비!$A366,예비비!$E$430:$E$729,"&lt;"&amp;EDATE(BR$99,1))),0)</f>
        <v>0</v>
      </c>
      <c r="BS366">
        <f>IF(예비비!$R366="OK",SUMIFS(예비비!$O$430:$O$729,예비비!$B$430:$B$729,예비비!$A366,예비비!$E$430:$E$729,"&lt;"&amp;EDATE(BS$99,1),예비비!$F$430:$F$729,"결제대금비")+MAX(0,IF(예비비!$D366&lt;EDATE(BS$99,1),예비비!$E366,0)-SUMIFS(예비비!$O$430:$O$729,예비비!$B$430:$B$729,예비비!$A366,예비비!$E$430:$E$729,"&lt;"&amp;EDATE(BS$99,1))),0)</f>
        <v>0</v>
      </c>
      <c r="BT366">
        <f>IF(예비비!$R366="OK",SUMIFS(예비비!$O$430:$O$729,예비비!$B$430:$B$729,예비비!$A366,예비비!$E$430:$E$729,"&lt;"&amp;EDATE(BT$99,1),예비비!$F$430:$F$729,"결제대금비")+MAX(0,IF(예비비!$D366&lt;EDATE(BT$99,1),예비비!$E366,0)-SUMIFS(예비비!$O$430:$O$729,예비비!$B$430:$B$729,예비비!$A366,예비비!$E$430:$E$729,"&lt;"&amp;EDATE(BT$99,1))),0)</f>
        <v>0</v>
      </c>
      <c r="BU366">
        <f>IF(예비비!$R366="OK",SUMIFS(예비비!$O$430:$O$729,예비비!$B$430:$B$729,예비비!$A366,예비비!$E$430:$E$729,"&lt;"&amp;EDATE(BU$99,1),예비비!$F$430:$F$729,"결제대금비")+MAX(0,IF(예비비!$D366&lt;EDATE(BU$99,1),예비비!$E366,0)-SUMIFS(예비비!$O$430:$O$729,예비비!$B$430:$B$729,예비비!$A366,예비비!$E$430:$E$729,"&lt;"&amp;EDATE(BU$99,1))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  <c r="BI367">
        <f>IF(예비비!$R367="OK",SUMIFS(예비비!$O$430:$O$729,예비비!$B$430:$B$729,예비비!$A367,예비비!$E$430:$E$729,"&lt;"&amp;EDATE(BI$99,1),예비비!$F$430:$F$729,"결제대금비")+MAX(0,IF(예비비!$D367&lt;EDATE(BI$99,1),예비비!$E367,0)-SUMIFS(예비비!$O$430:$O$729,예비비!$B$430:$B$729,예비비!$A367,예비비!$E$430:$E$729,"&lt;"&amp;EDATE(BI$99,1))),0)</f>
        <v>0</v>
      </c>
      <c r="BJ367">
        <f>IF(예비비!$R367="OK",SUMIFS(예비비!$O$430:$O$729,예비비!$B$430:$B$729,예비비!$A367,예비비!$E$430:$E$729,"&lt;"&amp;EDATE(BJ$99,1),예비비!$F$430:$F$729,"결제대금비")+MAX(0,IF(예비비!$D367&lt;EDATE(BJ$99,1),예비비!$E367,0)-SUMIFS(예비비!$O$430:$O$729,예비비!$B$430:$B$729,예비비!$A367,예비비!$E$430:$E$729,"&lt;"&amp;EDATE(BJ$99,1))),0)</f>
        <v>0</v>
      </c>
      <c r="BK367">
        <f>IF(예비비!$R367="OK",SUMIFS(예비비!$O$430:$O$729,예비비!$B$430:$B$729,예비비!$A367,예비비!$E$430:$E$729,"&lt;"&amp;EDATE(BK$99,1),예비비!$F$430:$F$729,"결제대금비")+MAX(0,IF(예비비!$D367&lt;EDATE(BK$99,1),예비비!$E367,0)-SUMIFS(예비비!$O$430:$O$729,예비비!$B$430:$B$729,예비비!$A367,예비비!$E$430:$E$729,"&lt;"&amp;EDATE(BK$99,1))),0)</f>
        <v>0</v>
      </c>
      <c r="BL367">
        <f>IF(예비비!$R367="OK",SUMIFS(예비비!$O$430:$O$729,예비비!$B$430:$B$729,예비비!$A367,예비비!$E$430:$E$729,"&lt;"&amp;EDATE(BL$99,1),예비비!$F$430:$F$729,"결제대금비")+MAX(0,IF(예비비!$D367&lt;EDATE(BL$99,1),예비비!$E367,0)-SUMIFS(예비비!$O$430:$O$729,예비비!$B$430:$B$729,예비비!$A367,예비비!$E$430:$E$729,"&lt;"&amp;EDATE(BL$99,1))),0)</f>
        <v>0</v>
      </c>
      <c r="BM367">
        <f>IF(예비비!$R367="OK",SUMIFS(예비비!$O$430:$O$729,예비비!$B$430:$B$729,예비비!$A367,예비비!$E$430:$E$729,"&lt;"&amp;EDATE(BM$99,1),예비비!$F$430:$F$729,"결제대금비")+MAX(0,IF(예비비!$D367&lt;EDATE(BM$99,1),예비비!$E367,0)-SUMIFS(예비비!$O$430:$O$729,예비비!$B$430:$B$729,예비비!$A367,예비비!$E$430:$E$729,"&lt;"&amp;EDATE(BM$99,1))),0)</f>
        <v>0</v>
      </c>
      <c r="BN367">
        <f>IF(예비비!$R367="OK",SUMIFS(예비비!$O$430:$O$729,예비비!$B$430:$B$729,예비비!$A367,예비비!$E$430:$E$729,"&lt;"&amp;EDATE(BN$99,1),예비비!$F$430:$F$729,"결제대금비")+MAX(0,IF(예비비!$D367&lt;EDATE(BN$99,1),예비비!$E367,0)-SUMIFS(예비비!$O$430:$O$729,예비비!$B$430:$B$729,예비비!$A367,예비비!$E$430:$E$729,"&lt;"&amp;EDATE(BN$99,1))),0)</f>
        <v>0</v>
      </c>
      <c r="BO367">
        <f>IF(예비비!$R367="OK",SUMIFS(예비비!$O$430:$O$729,예비비!$B$430:$B$729,예비비!$A367,예비비!$E$430:$E$729,"&lt;"&amp;EDATE(BO$99,1),예비비!$F$430:$F$729,"결제대금비")+MAX(0,IF(예비비!$D367&lt;EDATE(BO$99,1),예비비!$E367,0)-SUMIFS(예비비!$O$430:$O$729,예비비!$B$430:$B$729,예비비!$A367,예비비!$E$430:$E$729,"&lt;"&amp;EDATE(BO$99,1))),0)</f>
        <v>0</v>
      </c>
      <c r="BP367">
        <f>IF(예비비!$R367="OK",SUMIFS(예비비!$O$430:$O$729,예비비!$B$430:$B$729,예비비!$A367,예비비!$E$430:$E$729,"&lt;"&amp;EDATE(BP$99,1),예비비!$F$430:$F$729,"결제대금비")+MAX(0,IF(예비비!$D367&lt;EDATE(BP$99,1),예비비!$E367,0)-SUMIFS(예비비!$O$430:$O$729,예비비!$B$430:$B$729,예비비!$A367,예비비!$E$430:$E$729,"&lt;"&amp;EDATE(BP$99,1))),0)</f>
        <v>0</v>
      </c>
      <c r="BQ367">
        <f>IF(예비비!$R367="OK",SUMIFS(예비비!$O$430:$O$729,예비비!$B$430:$B$729,예비비!$A367,예비비!$E$430:$E$729,"&lt;"&amp;EDATE(BQ$99,1),예비비!$F$430:$F$729,"결제대금비")+MAX(0,IF(예비비!$D367&lt;EDATE(BQ$99,1),예비비!$E367,0)-SUMIFS(예비비!$O$430:$O$729,예비비!$B$430:$B$729,예비비!$A367,예비비!$E$430:$E$729,"&lt;"&amp;EDATE(BQ$99,1))),0)</f>
        <v>0</v>
      </c>
      <c r="BR367">
        <f>IF(예비비!$R367="OK",SUMIFS(예비비!$O$430:$O$729,예비비!$B$430:$B$729,예비비!$A367,예비비!$E$430:$E$729,"&lt;"&amp;EDATE(BR$99,1),예비비!$F$430:$F$729,"결제대금비")+MAX(0,IF(예비비!$D367&lt;EDATE(BR$99,1),예비비!$E367,0)-SUMIFS(예비비!$O$430:$O$729,예비비!$B$430:$B$729,예비비!$A367,예비비!$E$430:$E$729,"&lt;"&amp;EDATE(BR$99,1))),0)</f>
        <v>0</v>
      </c>
      <c r="BS367">
        <f>IF(예비비!$R367="OK",SUMIFS(예비비!$O$430:$O$729,예비비!$B$430:$B$729,예비비!$A367,예비비!$E$430:$E$729,"&lt;"&amp;EDATE(BS$99,1),예비비!$F$430:$F$729,"결제대금비")+MAX(0,IF(예비비!$D367&lt;EDATE(BS$99,1),예비비!$E367,0)-SUMIFS(예비비!$O$430:$O$729,예비비!$B$430:$B$729,예비비!$A367,예비비!$E$430:$E$729,"&lt;"&amp;EDATE(BS$99,1))),0)</f>
        <v>0</v>
      </c>
      <c r="BT367">
        <f>IF(예비비!$R367="OK",SUMIFS(예비비!$O$430:$O$729,예비비!$B$430:$B$729,예비비!$A367,예비비!$E$430:$E$729,"&lt;"&amp;EDATE(BT$99,1),예비비!$F$430:$F$729,"결제대금비")+MAX(0,IF(예비비!$D367&lt;EDATE(BT$99,1),예비비!$E367,0)-SUMIFS(예비비!$O$430:$O$729,예비비!$B$430:$B$729,예비비!$A367,예비비!$E$430:$E$729,"&lt;"&amp;EDATE(BT$99,1))),0)</f>
        <v>0</v>
      </c>
      <c r="BU367">
        <f>IF(예비비!$R367="OK",SUMIFS(예비비!$O$430:$O$729,예비비!$B$430:$B$729,예비비!$A367,예비비!$E$430:$E$729,"&lt;"&amp;EDATE(BU$99,1),예비비!$F$430:$F$729,"결제대금비")+MAX(0,IF(예비비!$D367&lt;EDATE(BU$99,1),예비비!$E367,0)-SUMIFS(예비비!$O$430:$O$729,예비비!$B$430:$B$729,예비비!$A367,예비비!$E$430:$E$729,"&lt;"&amp;EDATE(BU$99,1))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  <c r="BI368">
        <f>IF(예비비!$R368="OK",SUMIFS(예비비!$O$430:$O$729,예비비!$B$430:$B$729,예비비!$A368,예비비!$E$430:$E$729,"&lt;"&amp;EDATE(BI$99,1),예비비!$F$430:$F$729,"결제대금비")+MAX(0,IF(예비비!$D368&lt;EDATE(BI$99,1),예비비!$E368,0)-SUMIFS(예비비!$O$430:$O$729,예비비!$B$430:$B$729,예비비!$A368,예비비!$E$430:$E$729,"&lt;"&amp;EDATE(BI$99,1))),0)</f>
        <v>0</v>
      </c>
      <c r="BJ368">
        <f>IF(예비비!$R368="OK",SUMIFS(예비비!$O$430:$O$729,예비비!$B$430:$B$729,예비비!$A368,예비비!$E$430:$E$729,"&lt;"&amp;EDATE(BJ$99,1),예비비!$F$430:$F$729,"결제대금비")+MAX(0,IF(예비비!$D368&lt;EDATE(BJ$99,1),예비비!$E368,0)-SUMIFS(예비비!$O$430:$O$729,예비비!$B$430:$B$729,예비비!$A368,예비비!$E$430:$E$729,"&lt;"&amp;EDATE(BJ$99,1))),0)</f>
        <v>0</v>
      </c>
      <c r="BK368">
        <f>IF(예비비!$R368="OK",SUMIFS(예비비!$O$430:$O$729,예비비!$B$430:$B$729,예비비!$A368,예비비!$E$430:$E$729,"&lt;"&amp;EDATE(BK$99,1),예비비!$F$430:$F$729,"결제대금비")+MAX(0,IF(예비비!$D368&lt;EDATE(BK$99,1),예비비!$E368,0)-SUMIFS(예비비!$O$430:$O$729,예비비!$B$430:$B$729,예비비!$A368,예비비!$E$430:$E$729,"&lt;"&amp;EDATE(BK$99,1))),0)</f>
        <v>0</v>
      </c>
      <c r="BL368">
        <f>IF(예비비!$R368="OK",SUMIFS(예비비!$O$430:$O$729,예비비!$B$430:$B$729,예비비!$A368,예비비!$E$430:$E$729,"&lt;"&amp;EDATE(BL$99,1),예비비!$F$430:$F$729,"결제대금비")+MAX(0,IF(예비비!$D368&lt;EDATE(BL$99,1),예비비!$E368,0)-SUMIFS(예비비!$O$430:$O$729,예비비!$B$430:$B$729,예비비!$A368,예비비!$E$430:$E$729,"&lt;"&amp;EDATE(BL$99,1))),0)</f>
        <v>0</v>
      </c>
      <c r="BM368">
        <f>IF(예비비!$R368="OK",SUMIFS(예비비!$O$430:$O$729,예비비!$B$430:$B$729,예비비!$A368,예비비!$E$430:$E$729,"&lt;"&amp;EDATE(BM$99,1),예비비!$F$430:$F$729,"결제대금비")+MAX(0,IF(예비비!$D368&lt;EDATE(BM$99,1),예비비!$E368,0)-SUMIFS(예비비!$O$430:$O$729,예비비!$B$430:$B$729,예비비!$A368,예비비!$E$430:$E$729,"&lt;"&amp;EDATE(BM$99,1))),0)</f>
        <v>0</v>
      </c>
      <c r="BN368">
        <f>IF(예비비!$R368="OK",SUMIFS(예비비!$O$430:$O$729,예비비!$B$430:$B$729,예비비!$A368,예비비!$E$430:$E$729,"&lt;"&amp;EDATE(BN$99,1),예비비!$F$430:$F$729,"결제대금비")+MAX(0,IF(예비비!$D368&lt;EDATE(BN$99,1),예비비!$E368,0)-SUMIFS(예비비!$O$430:$O$729,예비비!$B$430:$B$729,예비비!$A368,예비비!$E$430:$E$729,"&lt;"&amp;EDATE(BN$99,1))),0)</f>
        <v>0</v>
      </c>
      <c r="BO368">
        <f>IF(예비비!$R368="OK",SUMIFS(예비비!$O$430:$O$729,예비비!$B$430:$B$729,예비비!$A368,예비비!$E$430:$E$729,"&lt;"&amp;EDATE(BO$99,1),예비비!$F$430:$F$729,"결제대금비")+MAX(0,IF(예비비!$D368&lt;EDATE(BO$99,1),예비비!$E368,0)-SUMIFS(예비비!$O$430:$O$729,예비비!$B$430:$B$729,예비비!$A368,예비비!$E$430:$E$729,"&lt;"&amp;EDATE(BO$99,1))),0)</f>
        <v>0</v>
      </c>
      <c r="BP368">
        <f>IF(예비비!$R368="OK",SUMIFS(예비비!$O$430:$O$729,예비비!$B$430:$B$729,예비비!$A368,예비비!$E$430:$E$729,"&lt;"&amp;EDATE(BP$99,1),예비비!$F$430:$F$729,"결제대금비")+MAX(0,IF(예비비!$D368&lt;EDATE(BP$99,1),예비비!$E368,0)-SUMIFS(예비비!$O$430:$O$729,예비비!$B$430:$B$729,예비비!$A368,예비비!$E$430:$E$729,"&lt;"&amp;EDATE(BP$99,1))),0)</f>
        <v>0</v>
      </c>
      <c r="BQ368">
        <f>IF(예비비!$R368="OK",SUMIFS(예비비!$O$430:$O$729,예비비!$B$430:$B$729,예비비!$A368,예비비!$E$430:$E$729,"&lt;"&amp;EDATE(BQ$99,1),예비비!$F$430:$F$729,"결제대금비")+MAX(0,IF(예비비!$D368&lt;EDATE(BQ$99,1),예비비!$E368,0)-SUMIFS(예비비!$O$430:$O$729,예비비!$B$430:$B$729,예비비!$A368,예비비!$E$430:$E$729,"&lt;"&amp;EDATE(BQ$99,1))),0)</f>
        <v>0</v>
      </c>
      <c r="BR368">
        <f>IF(예비비!$R368="OK",SUMIFS(예비비!$O$430:$O$729,예비비!$B$430:$B$729,예비비!$A368,예비비!$E$430:$E$729,"&lt;"&amp;EDATE(BR$99,1),예비비!$F$430:$F$729,"결제대금비")+MAX(0,IF(예비비!$D368&lt;EDATE(BR$99,1),예비비!$E368,0)-SUMIFS(예비비!$O$430:$O$729,예비비!$B$430:$B$729,예비비!$A368,예비비!$E$430:$E$729,"&lt;"&amp;EDATE(BR$99,1))),0)</f>
        <v>0</v>
      </c>
      <c r="BS368">
        <f>IF(예비비!$R368="OK",SUMIFS(예비비!$O$430:$O$729,예비비!$B$430:$B$729,예비비!$A368,예비비!$E$430:$E$729,"&lt;"&amp;EDATE(BS$99,1),예비비!$F$430:$F$729,"결제대금비")+MAX(0,IF(예비비!$D368&lt;EDATE(BS$99,1),예비비!$E368,0)-SUMIFS(예비비!$O$430:$O$729,예비비!$B$430:$B$729,예비비!$A368,예비비!$E$430:$E$729,"&lt;"&amp;EDATE(BS$99,1))),0)</f>
        <v>0</v>
      </c>
      <c r="BT368">
        <f>IF(예비비!$R368="OK",SUMIFS(예비비!$O$430:$O$729,예비비!$B$430:$B$729,예비비!$A368,예비비!$E$430:$E$729,"&lt;"&amp;EDATE(BT$99,1),예비비!$F$430:$F$729,"결제대금비")+MAX(0,IF(예비비!$D368&lt;EDATE(BT$99,1),예비비!$E368,0)-SUMIFS(예비비!$O$430:$O$729,예비비!$B$430:$B$729,예비비!$A368,예비비!$E$430:$E$729,"&lt;"&amp;EDATE(BT$99,1))),0)</f>
        <v>0</v>
      </c>
      <c r="BU368">
        <f>IF(예비비!$R368="OK",SUMIFS(예비비!$O$430:$O$729,예비비!$B$430:$B$729,예비비!$A368,예비비!$E$430:$E$729,"&lt;"&amp;EDATE(BU$99,1),예비비!$F$430:$F$729,"결제대금비")+MAX(0,IF(예비비!$D368&lt;EDATE(BU$99,1),예비비!$E368,0)-SUMIFS(예비비!$O$430:$O$729,예비비!$B$430:$B$729,예비비!$A368,예비비!$E$430:$E$729,"&lt;"&amp;EDATE(BU$99,1))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  <c r="BI369">
        <f>IF(예비비!$R369="OK",SUMIFS(예비비!$O$430:$O$729,예비비!$B$430:$B$729,예비비!$A369,예비비!$E$430:$E$729,"&lt;"&amp;EDATE(BI$99,1),예비비!$F$430:$F$729,"결제대금비")+MAX(0,IF(예비비!$D369&lt;EDATE(BI$99,1),예비비!$E369,0)-SUMIFS(예비비!$O$430:$O$729,예비비!$B$430:$B$729,예비비!$A369,예비비!$E$430:$E$729,"&lt;"&amp;EDATE(BI$99,1))),0)</f>
        <v>0</v>
      </c>
      <c r="BJ369">
        <f>IF(예비비!$R369="OK",SUMIFS(예비비!$O$430:$O$729,예비비!$B$430:$B$729,예비비!$A369,예비비!$E$430:$E$729,"&lt;"&amp;EDATE(BJ$99,1),예비비!$F$430:$F$729,"결제대금비")+MAX(0,IF(예비비!$D369&lt;EDATE(BJ$99,1),예비비!$E369,0)-SUMIFS(예비비!$O$430:$O$729,예비비!$B$430:$B$729,예비비!$A369,예비비!$E$430:$E$729,"&lt;"&amp;EDATE(BJ$99,1))),0)</f>
        <v>0</v>
      </c>
      <c r="BK369">
        <f>IF(예비비!$R369="OK",SUMIFS(예비비!$O$430:$O$729,예비비!$B$430:$B$729,예비비!$A369,예비비!$E$430:$E$729,"&lt;"&amp;EDATE(BK$99,1),예비비!$F$430:$F$729,"결제대금비")+MAX(0,IF(예비비!$D369&lt;EDATE(BK$99,1),예비비!$E369,0)-SUMIFS(예비비!$O$430:$O$729,예비비!$B$430:$B$729,예비비!$A369,예비비!$E$430:$E$729,"&lt;"&amp;EDATE(BK$99,1))),0)</f>
        <v>0</v>
      </c>
      <c r="BL369">
        <f>IF(예비비!$R369="OK",SUMIFS(예비비!$O$430:$O$729,예비비!$B$430:$B$729,예비비!$A369,예비비!$E$430:$E$729,"&lt;"&amp;EDATE(BL$99,1),예비비!$F$430:$F$729,"결제대금비")+MAX(0,IF(예비비!$D369&lt;EDATE(BL$99,1),예비비!$E369,0)-SUMIFS(예비비!$O$430:$O$729,예비비!$B$430:$B$729,예비비!$A369,예비비!$E$430:$E$729,"&lt;"&amp;EDATE(BL$99,1))),0)</f>
        <v>0</v>
      </c>
      <c r="BM369">
        <f>IF(예비비!$R369="OK",SUMIFS(예비비!$O$430:$O$729,예비비!$B$430:$B$729,예비비!$A369,예비비!$E$430:$E$729,"&lt;"&amp;EDATE(BM$99,1),예비비!$F$430:$F$729,"결제대금비")+MAX(0,IF(예비비!$D369&lt;EDATE(BM$99,1),예비비!$E369,0)-SUMIFS(예비비!$O$430:$O$729,예비비!$B$430:$B$729,예비비!$A369,예비비!$E$430:$E$729,"&lt;"&amp;EDATE(BM$99,1))),0)</f>
        <v>0</v>
      </c>
      <c r="BN369">
        <f>IF(예비비!$R369="OK",SUMIFS(예비비!$O$430:$O$729,예비비!$B$430:$B$729,예비비!$A369,예비비!$E$430:$E$729,"&lt;"&amp;EDATE(BN$99,1),예비비!$F$430:$F$729,"결제대금비")+MAX(0,IF(예비비!$D369&lt;EDATE(BN$99,1),예비비!$E369,0)-SUMIFS(예비비!$O$430:$O$729,예비비!$B$430:$B$729,예비비!$A369,예비비!$E$430:$E$729,"&lt;"&amp;EDATE(BN$99,1))),0)</f>
        <v>0</v>
      </c>
      <c r="BO369">
        <f>IF(예비비!$R369="OK",SUMIFS(예비비!$O$430:$O$729,예비비!$B$430:$B$729,예비비!$A369,예비비!$E$430:$E$729,"&lt;"&amp;EDATE(BO$99,1),예비비!$F$430:$F$729,"결제대금비")+MAX(0,IF(예비비!$D369&lt;EDATE(BO$99,1),예비비!$E369,0)-SUMIFS(예비비!$O$430:$O$729,예비비!$B$430:$B$729,예비비!$A369,예비비!$E$430:$E$729,"&lt;"&amp;EDATE(BO$99,1))),0)</f>
        <v>0</v>
      </c>
      <c r="BP369">
        <f>IF(예비비!$R369="OK",SUMIFS(예비비!$O$430:$O$729,예비비!$B$430:$B$729,예비비!$A369,예비비!$E$430:$E$729,"&lt;"&amp;EDATE(BP$99,1),예비비!$F$430:$F$729,"결제대금비")+MAX(0,IF(예비비!$D369&lt;EDATE(BP$99,1),예비비!$E369,0)-SUMIFS(예비비!$O$430:$O$729,예비비!$B$430:$B$729,예비비!$A369,예비비!$E$430:$E$729,"&lt;"&amp;EDATE(BP$99,1))),0)</f>
        <v>0</v>
      </c>
      <c r="BQ369">
        <f>IF(예비비!$R369="OK",SUMIFS(예비비!$O$430:$O$729,예비비!$B$430:$B$729,예비비!$A369,예비비!$E$430:$E$729,"&lt;"&amp;EDATE(BQ$99,1),예비비!$F$430:$F$729,"결제대금비")+MAX(0,IF(예비비!$D369&lt;EDATE(BQ$99,1),예비비!$E369,0)-SUMIFS(예비비!$O$430:$O$729,예비비!$B$430:$B$729,예비비!$A369,예비비!$E$430:$E$729,"&lt;"&amp;EDATE(BQ$99,1))),0)</f>
        <v>0</v>
      </c>
      <c r="BR369">
        <f>IF(예비비!$R369="OK",SUMIFS(예비비!$O$430:$O$729,예비비!$B$430:$B$729,예비비!$A369,예비비!$E$430:$E$729,"&lt;"&amp;EDATE(BR$99,1),예비비!$F$430:$F$729,"결제대금비")+MAX(0,IF(예비비!$D369&lt;EDATE(BR$99,1),예비비!$E369,0)-SUMIFS(예비비!$O$430:$O$729,예비비!$B$430:$B$729,예비비!$A369,예비비!$E$430:$E$729,"&lt;"&amp;EDATE(BR$99,1))),0)</f>
        <v>0</v>
      </c>
      <c r="BS369">
        <f>IF(예비비!$R369="OK",SUMIFS(예비비!$O$430:$O$729,예비비!$B$430:$B$729,예비비!$A369,예비비!$E$430:$E$729,"&lt;"&amp;EDATE(BS$99,1),예비비!$F$430:$F$729,"결제대금비")+MAX(0,IF(예비비!$D369&lt;EDATE(BS$99,1),예비비!$E369,0)-SUMIFS(예비비!$O$430:$O$729,예비비!$B$430:$B$729,예비비!$A369,예비비!$E$430:$E$729,"&lt;"&amp;EDATE(BS$99,1))),0)</f>
        <v>0</v>
      </c>
      <c r="BT369">
        <f>IF(예비비!$R369="OK",SUMIFS(예비비!$O$430:$O$729,예비비!$B$430:$B$729,예비비!$A369,예비비!$E$430:$E$729,"&lt;"&amp;EDATE(BT$99,1),예비비!$F$430:$F$729,"결제대금비")+MAX(0,IF(예비비!$D369&lt;EDATE(BT$99,1),예비비!$E369,0)-SUMIFS(예비비!$O$430:$O$729,예비비!$B$430:$B$729,예비비!$A369,예비비!$E$430:$E$729,"&lt;"&amp;EDATE(BT$99,1))),0)</f>
        <v>0</v>
      </c>
      <c r="BU369">
        <f>IF(예비비!$R369="OK",SUMIFS(예비비!$O$430:$O$729,예비비!$B$430:$B$729,예비비!$A369,예비비!$E$430:$E$729,"&lt;"&amp;EDATE(BU$99,1),예비비!$F$430:$F$729,"결제대금비")+MAX(0,IF(예비비!$D369&lt;EDATE(BU$99,1),예비비!$E369,0)-SUMIFS(예비비!$O$430:$O$729,예비비!$B$430:$B$729,예비비!$A369,예비비!$E$430:$E$729,"&lt;"&amp;EDATE(BU$99,1))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  <c r="BI370">
        <f>IF(예비비!$R370="OK",SUMIFS(예비비!$O$430:$O$729,예비비!$B$430:$B$729,예비비!$A370,예비비!$E$430:$E$729,"&lt;"&amp;EDATE(BI$99,1),예비비!$F$430:$F$729,"결제대금비")+MAX(0,IF(예비비!$D370&lt;EDATE(BI$99,1),예비비!$E370,0)-SUMIFS(예비비!$O$430:$O$729,예비비!$B$430:$B$729,예비비!$A370,예비비!$E$430:$E$729,"&lt;"&amp;EDATE(BI$99,1))),0)</f>
        <v>0</v>
      </c>
      <c r="BJ370">
        <f>IF(예비비!$R370="OK",SUMIFS(예비비!$O$430:$O$729,예비비!$B$430:$B$729,예비비!$A370,예비비!$E$430:$E$729,"&lt;"&amp;EDATE(BJ$99,1),예비비!$F$430:$F$729,"결제대금비")+MAX(0,IF(예비비!$D370&lt;EDATE(BJ$99,1),예비비!$E370,0)-SUMIFS(예비비!$O$430:$O$729,예비비!$B$430:$B$729,예비비!$A370,예비비!$E$430:$E$729,"&lt;"&amp;EDATE(BJ$99,1))),0)</f>
        <v>0</v>
      </c>
      <c r="BK370">
        <f>IF(예비비!$R370="OK",SUMIFS(예비비!$O$430:$O$729,예비비!$B$430:$B$729,예비비!$A370,예비비!$E$430:$E$729,"&lt;"&amp;EDATE(BK$99,1),예비비!$F$430:$F$729,"결제대금비")+MAX(0,IF(예비비!$D370&lt;EDATE(BK$99,1),예비비!$E370,0)-SUMIFS(예비비!$O$430:$O$729,예비비!$B$430:$B$729,예비비!$A370,예비비!$E$430:$E$729,"&lt;"&amp;EDATE(BK$99,1))),0)</f>
        <v>0</v>
      </c>
      <c r="BL370">
        <f>IF(예비비!$R370="OK",SUMIFS(예비비!$O$430:$O$729,예비비!$B$430:$B$729,예비비!$A370,예비비!$E$430:$E$729,"&lt;"&amp;EDATE(BL$99,1),예비비!$F$430:$F$729,"결제대금비")+MAX(0,IF(예비비!$D370&lt;EDATE(BL$99,1),예비비!$E370,0)-SUMIFS(예비비!$O$430:$O$729,예비비!$B$430:$B$729,예비비!$A370,예비비!$E$430:$E$729,"&lt;"&amp;EDATE(BL$99,1))),0)</f>
        <v>0</v>
      </c>
      <c r="BM370">
        <f>IF(예비비!$R370="OK",SUMIFS(예비비!$O$430:$O$729,예비비!$B$430:$B$729,예비비!$A370,예비비!$E$430:$E$729,"&lt;"&amp;EDATE(BM$99,1),예비비!$F$430:$F$729,"결제대금비")+MAX(0,IF(예비비!$D370&lt;EDATE(BM$99,1),예비비!$E370,0)-SUMIFS(예비비!$O$430:$O$729,예비비!$B$430:$B$729,예비비!$A370,예비비!$E$430:$E$729,"&lt;"&amp;EDATE(BM$99,1))),0)</f>
        <v>0</v>
      </c>
      <c r="BN370">
        <f>IF(예비비!$R370="OK",SUMIFS(예비비!$O$430:$O$729,예비비!$B$430:$B$729,예비비!$A370,예비비!$E$430:$E$729,"&lt;"&amp;EDATE(BN$99,1),예비비!$F$430:$F$729,"결제대금비")+MAX(0,IF(예비비!$D370&lt;EDATE(BN$99,1),예비비!$E370,0)-SUMIFS(예비비!$O$430:$O$729,예비비!$B$430:$B$729,예비비!$A370,예비비!$E$430:$E$729,"&lt;"&amp;EDATE(BN$99,1))),0)</f>
        <v>0</v>
      </c>
      <c r="BO370">
        <f>IF(예비비!$R370="OK",SUMIFS(예비비!$O$430:$O$729,예비비!$B$430:$B$729,예비비!$A370,예비비!$E$430:$E$729,"&lt;"&amp;EDATE(BO$99,1),예비비!$F$430:$F$729,"결제대금비")+MAX(0,IF(예비비!$D370&lt;EDATE(BO$99,1),예비비!$E370,0)-SUMIFS(예비비!$O$430:$O$729,예비비!$B$430:$B$729,예비비!$A370,예비비!$E$430:$E$729,"&lt;"&amp;EDATE(BO$99,1))),0)</f>
        <v>0</v>
      </c>
      <c r="BP370">
        <f>IF(예비비!$R370="OK",SUMIFS(예비비!$O$430:$O$729,예비비!$B$430:$B$729,예비비!$A370,예비비!$E$430:$E$729,"&lt;"&amp;EDATE(BP$99,1),예비비!$F$430:$F$729,"결제대금비")+MAX(0,IF(예비비!$D370&lt;EDATE(BP$99,1),예비비!$E370,0)-SUMIFS(예비비!$O$430:$O$729,예비비!$B$430:$B$729,예비비!$A370,예비비!$E$430:$E$729,"&lt;"&amp;EDATE(BP$99,1))),0)</f>
        <v>0</v>
      </c>
      <c r="BQ370">
        <f>IF(예비비!$R370="OK",SUMIFS(예비비!$O$430:$O$729,예비비!$B$430:$B$729,예비비!$A370,예비비!$E$430:$E$729,"&lt;"&amp;EDATE(BQ$99,1),예비비!$F$430:$F$729,"결제대금비")+MAX(0,IF(예비비!$D370&lt;EDATE(BQ$99,1),예비비!$E370,0)-SUMIFS(예비비!$O$430:$O$729,예비비!$B$430:$B$729,예비비!$A370,예비비!$E$430:$E$729,"&lt;"&amp;EDATE(BQ$99,1))),0)</f>
        <v>0</v>
      </c>
      <c r="BR370">
        <f>IF(예비비!$R370="OK",SUMIFS(예비비!$O$430:$O$729,예비비!$B$430:$B$729,예비비!$A370,예비비!$E$430:$E$729,"&lt;"&amp;EDATE(BR$99,1),예비비!$F$430:$F$729,"결제대금비")+MAX(0,IF(예비비!$D370&lt;EDATE(BR$99,1),예비비!$E370,0)-SUMIFS(예비비!$O$430:$O$729,예비비!$B$430:$B$729,예비비!$A370,예비비!$E$430:$E$729,"&lt;"&amp;EDATE(BR$99,1))),0)</f>
        <v>0</v>
      </c>
      <c r="BS370">
        <f>IF(예비비!$R370="OK",SUMIFS(예비비!$O$430:$O$729,예비비!$B$430:$B$729,예비비!$A370,예비비!$E$430:$E$729,"&lt;"&amp;EDATE(BS$99,1),예비비!$F$430:$F$729,"결제대금비")+MAX(0,IF(예비비!$D370&lt;EDATE(BS$99,1),예비비!$E370,0)-SUMIFS(예비비!$O$430:$O$729,예비비!$B$430:$B$729,예비비!$A370,예비비!$E$430:$E$729,"&lt;"&amp;EDATE(BS$99,1))),0)</f>
        <v>0</v>
      </c>
      <c r="BT370">
        <f>IF(예비비!$R370="OK",SUMIFS(예비비!$O$430:$O$729,예비비!$B$430:$B$729,예비비!$A370,예비비!$E$430:$E$729,"&lt;"&amp;EDATE(BT$99,1),예비비!$F$430:$F$729,"결제대금비")+MAX(0,IF(예비비!$D370&lt;EDATE(BT$99,1),예비비!$E370,0)-SUMIFS(예비비!$O$430:$O$729,예비비!$B$430:$B$729,예비비!$A370,예비비!$E$430:$E$729,"&lt;"&amp;EDATE(BT$99,1))),0)</f>
        <v>0</v>
      </c>
      <c r="BU370">
        <f>IF(예비비!$R370="OK",SUMIFS(예비비!$O$430:$O$729,예비비!$B$430:$B$729,예비비!$A370,예비비!$E$430:$E$729,"&lt;"&amp;EDATE(BU$99,1),예비비!$F$430:$F$729,"결제대금비")+MAX(0,IF(예비비!$D370&lt;EDATE(BU$99,1),예비비!$E370,0)-SUMIFS(예비비!$O$430:$O$729,예비비!$B$430:$B$729,예비비!$A370,예비비!$E$430:$E$729,"&lt;"&amp;EDATE(BU$99,1))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  <c r="BI371">
        <f>IF(예비비!$R371="OK",SUMIFS(예비비!$O$430:$O$729,예비비!$B$430:$B$729,예비비!$A371,예비비!$E$430:$E$729,"&lt;"&amp;EDATE(BI$99,1),예비비!$F$430:$F$729,"결제대금비")+MAX(0,IF(예비비!$D371&lt;EDATE(BI$99,1),예비비!$E371,0)-SUMIFS(예비비!$O$430:$O$729,예비비!$B$430:$B$729,예비비!$A371,예비비!$E$430:$E$729,"&lt;"&amp;EDATE(BI$99,1))),0)</f>
        <v>0</v>
      </c>
      <c r="BJ371">
        <f>IF(예비비!$R371="OK",SUMIFS(예비비!$O$430:$O$729,예비비!$B$430:$B$729,예비비!$A371,예비비!$E$430:$E$729,"&lt;"&amp;EDATE(BJ$99,1),예비비!$F$430:$F$729,"결제대금비")+MAX(0,IF(예비비!$D371&lt;EDATE(BJ$99,1),예비비!$E371,0)-SUMIFS(예비비!$O$430:$O$729,예비비!$B$430:$B$729,예비비!$A371,예비비!$E$430:$E$729,"&lt;"&amp;EDATE(BJ$99,1))),0)</f>
        <v>0</v>
      </c>
      <c r="BK371">
        <f>IF(예비비!$R371="OK",SUMIFS(예비비!$O$430:$O$729,예비비!$B$430:$B$729,예비비!$A371,예비비!$E$430:$E$729,"&lt;"&amp;EDATE(BK$99,1),예비비!$F$430:$F$729,"결제대금비")+MAX(0,IF(예비비!$D371&lt;EDATE(BK$99,1),예비비!$E371,0)-SUMIFS(예비비!$O$430:$O$729,예비비!$B$430:$B$729,예비비!$A371,예비비!$E$430:$E$729,"&lt;"&amp;EDATE(BK$99,1))),0)</f>
        <v>0</v>
      </c>
      <c r="BL371">
        <f>IF(예비비!$R371="OK",SUMIFS(예비비!$O$430:$O$729,예비비!$B$430:$B$729,예비비!$A371,예비비!$E$430:$E$729,"&lt;"&amp;EDATE(BL$99,1),예비비!$F$430:$F$729,"결제대금비")+MAX(0,IF(예비비!$D371&lt;EDATE(BL$99,1),예비비!$E371,0)-SUMIFS(예비비!$O$430:$O$729,예비비!$B$430:$B$729,예비비!$A371,예비비!$E$430:$E$729,"&lt;"&amp;EDATE(BL$99,1))),0)</f>
        <v>0</v>
      </c>
      <c r="BM371">
        <f>IF(예비비!$R371="OK",SUMIFS(예비비!$O$430:$O$729,예비비!$B$430:$B$729,예비비!$A371,예비비!$E$430:$E$729,"&lt;"&amp;EDATE(BM$99,1),예비비!$F$430:$F$729,"결제대금비")+MAX(0,IF(예비비!$D371&lt;EDATE(BM$99,1),예비비!$E371,0)-SUMIFS(예비비!$O$430:$O$729,예비비!$B$430:$B$729,예비비!$A371,예비비!$E$430:$E$729,"&lt;"&amp;EDATE(BM$99,1))),0)</f>
        <v>0</v>
      </c>
      <c r="BN371">
        <f>IF(예비비!$R371="OK",SUMIFS(예비비!$O$430:$O$729,예비비!$B$430:$B$729,예비비!$A371,예비비!$E$430:$E$729,"&lt;"&amp;EDATE(BN$99,1),예비비!$F$430:$F$729,"결제대금비")+MAX(0,IF(예비비!$D371&lt;EDATE(BN$99,1),예비비!$E371,0)-SUMIFS(예비비!$O$430:$O$729,예비비!$B$430:$B$729,예비비!$A371,예비비!$E$430:$E$729,"&lt;"&amp;EDATE(BN$99,1))),0)</f>
        <v>0</v>
      </c>
      <c r="BO371">
        <f>IF(예비비!$R371="OK",SUMIFS(예비비!$O$430:$O$729,예비비!$B$430:$B$729,예비비!$A371,예비비!$E$430:$E$729,"&lt;"&amp;EDATE(BO$99,1),예비비!$F$430:$F$729,"결제대금비")+MAX(0,IF(예비비!$D371&lt;EDATE(BO$99,1),예비비!$E371,0)-SUMIFS(예비비!$O$430:$O$729,예비비!$B$430:$B$729,예비비!$A371,예비비!$E$430:$E$729,"&lt;"&amp;EDATE(BO$99,1))),0)</f>
        <v>0</v>
      </c>
      <c r="BP371">
        <f>IF(예비비!$R371="OK",SUMIFS(예비비!$O$430:$O$729,예비비!$B$430:$B$729,예비비!$A371,예비비!$E$430:$E$729,"&lt;"&amp;EDATE(BP$99,1),예비비!$F$430:$F$729,"결제대금비")+MAX(0,IF(예비비!$D371&lt;EDATE(BP$99,1),예비비!$E371,0)-SUMIFS(예비비!$O$430:$O$729,예비비!$B$430:$B$729,예비비!$A371,예비비!$E$430:$E$729,"&lt;"&amp;EDATE(BP$99,1))),0)</f>
        <v>0</v>
      </c>
      <c r="BQ371">
        <f>IF(예비비!$R371="OK",SUMIFS(예비비!$O$430:$O$729,예비비!$B$430:$B$729,예비비!$A371,예비비!$E$430:$E$729,"&lt;"&amp;EDATE(BQ$99,1),예비비!$F$430:$F$729,"결제대금비")+MAX(0,IF(예비비!$D371&lt;EDATE(BQ$99,1),예비비!$E371,0)-SUMIFS(예비비!$O$430:$O$729,예비비!$B$430:$B$729,예비비!$A371,예비비!$E$430:$E$729,"&lt;"&amp;EDATE(BQ$99,1))),0)</f>
        <v>0</v>
      </c>
      <c r="BR371">
        <f>IF(예비비!$R371="OK",SUMIFS(예비비!$O$430:$O$729,예비비!$B$430:$B$729,예비비!$A371,예비비!$E$430:$E$729,"&lt;"&amp;EDATE(BR$99,1),예비비!$F$430:$F$729,"결제대금비")+MAX(0,IF(예비비!$D371&lt;EDATE(BR$99,1),예비비!$E371,0)-SUMIFS(예비비!$O$430:$O$729,예비비!$B$430:$B$729,예비비!$A371,예비비!$E$430:$E$729,"&lt;"&amp;EDATE(BR$99,1))),0)</f>
        <v>0</v>
      </c>
      <c r="BS371">
        <f>IF(예비비!$R371="OK",SUMIFS(예비비!$O$430:$O$729,예비비!$B$430:$B$729,예비비!$A371,예비비!$E$430:$E$729,"&lt;"&amp;EDATE(BS$99,1),예비비!$F$430:$F$729,"결제대금비")+MAX(0,IF(예비비!$D371&lt;EDATE(BS$99,1),예비비!$E371,0)-SUMIFS(예비비!$O$430:$O$729,예비비!$B$430:$B$729,예비비!$A371,예비비!$E$430:$E$729,"&lt;"&amp;EDATE(BS$99,1))),0)</f>
        <v>0</v>
      </c>
      <c r="BT371">
        <f>IF(예비비!$R371="OK",SUMIFS(예비비!$O$430:$O$729,예비비!$B$430:$B$729,예비비!$A371,예비비!$E$430:$E$729,"&lt;"&amp;EDATE(BT$99,1),예비비!$F$430:$F$729,"결제대금비")+MAX(0,IF(예비비!$D371&lt;EDATE(BT$99,1),예비비!$E371,0)-SUMIFS(예비비!$O$430:$O$729,예비비!$B$430:$B$729,예비비!$A371,예비비!$E$430:$E$729,"&lt;"&amp;EDATE(BT$99,1))),0)</f>
        <v>0</v>
      </c>
      <c r="BU371">
        <f>IF(예비비!$R371="OK",SUMIFS(예비비!$O$430:$O$729,예비비!$B$430:$B$729,예비비!$A371,예비비!$E$430:$E$729,"&lt;"&amp;EDATE(BU$99,1),예비비!$F$430:$F$729,"결제대금비")+MAX(0,IF(예비비!$D371&lt;EDATE(BU$99,1),예비비!$E371,0)-SUMIFS(예비비!$O$430:$O$729,예비비!$B$430:$B$729,예비비!$A371,예비비!$E$430:$E$729,"&lt;"&amp;EDATE(BU$99,1))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  <c r="BI372">
        <f>IF(예비비!$R372="OK",SUMIFS(예비비!$O$430:$O$729,예비비!$B$430:$B$729,예비비!$A372,예비비!$E$430:$E$729,"&lt;"&amp;EDATE(BI$99,1),예비비!$F$430:$F$729,"결제대금비")+MAX(0,IF(예비비!$D372&lt;EDATE(BI$99,1),예비비!$E372,0)-SUMIFS(예비비!$O$430:$O$729,예비비!$B$430:$B$729,예비비!$A372,예비비!$E$430:$E$729,"&lt;"&amp;EDATE(BI$99,1))),0)</f>
        <v>0</v>
      </c>
      <c r="BJ372">
        <f>IF(예비비!$R372="OK",SUMIFS(예비비!$O$430:$O$729,예비비!$B$430:$B$729,예비비!$A372,예비비!$E$430:$E$729,"&lt;"&amp;EDATE(BJ$99,1),예비비!$F$430:$F$729,"결제대금비")+MAX(0,IF(예비비!$D372&lt;EDATE(BJ$99,1),예비비!$E372,0)-SUMIFS(예비비!$O$430:$O$729,예비비!$B$430:$B$729,예비비!$A372,예비비!$E$430:$E$729,"&lt;"&amp;EDATE(BJ$99,1))),0)</f>
        <v>0</v>
      </c>
      <c r="BK372">
        <f>IF(예비비!$R372="OK",SUMIFS(예비비!$O$430:$O$729,예비비!$B$430:$B$729,예비비!$A372,예비비!$E$430:$E$729,"&lt;"&amp;EDATE(BK$99,1),예비비!$F$430:$F$729,"결제대금비")+MAX(0,IF(예비비!$D372&lt;EDATE(BK$99,1),예비비!$E372,0)-SUMIFS(예비비!$O$430:$O$729,예비비!$B$430:$B$729,예비비!$A372,예비비!$E$430:$E$729,"&lt;"&amp;EDATE(BK$99,1))),0)</f>
        <v>0</v>
      </c>
      <c r="BL372">
        <f>IF(예비비!$R372="OK",SUMIFS(예비비!$O$430:$O$729,예비비!$B$430:$B$729,예비비!$A372,예비비!$E$430:$E$729,"&lt;"&amp;EDATE(BL$99,1),예비비!$F$430:$F$729,"결제대금비")+MAX(0,IF(예비비!$D372&lt;EDATE(BL$99,1),예비비!$E372,0)-SUMIFS(예비비!$O$430:$O$729,예비비!$B$430:$B$729,예비비!$A372,예비비!$E$430:$E$729,"&lt;"&amp;EDATE(BL$99,1))),0)</f>
        <v>0</v>
      </c>
      <c r="BM372">
        <f>IF(예비비!$R372="OK",SUMIFS(예비비!$O$430:$O$729,예비비!$B$430:$B$729,예비비!$A372,예비비!$E$430:$E$729,"&lt;"&amp;EDATE(BM$99,1),예비비!$F$430:$F$729,"결제대금비")+MAX(0,IF(예비비!$D372&lt;EDATE(BM$99,1),예비비!$E372,0)-SUMIFS(예비비!$O$430:$O$729,예비비!$B$430:$B$729,예비비!$A372,예비비!$E$430:$E$729,"&lt;"&amp;EDATE(BM$99,1))),0)</f>
        <v>0</v>
      </c>
      <c r="BN372">
        <f>IF(예비비!$R372="OK",SUMIFS(예비비!$O$430:$O$729,예비비!$B$430:$B$729,예비비!$A372,예비비!$E$430:$E$729,"&lt;"&amp;EDATE(BN$99,1),예비비!$F$430:$F$729,"결제대금비")+MAX(0,IF(예비비!$D372&lt;EDATE(BN$99,1),예비비!$E372,0)-SUMIFS(예비비!$O$430:$O$729,예비비!$B$430:$B$729,예비비!$A372,예비비!$E$430:$E$729,"&lt;"&amp;EDATE(BN$99,1))),0)</f>
        <v>0</v>
      </c>
      <c r="BO372">
        <f>IF(예비비!$R372="OK",SUMIFS(예비비!$O$430:$O$729,예비비!$B$430:$B$729,예비비!$A372,예비비!$E$430:$E$729,"&lt;"&amp;EDATE(BO$99,1),예비비!$F$430:$F$729,"결제대금비")+MAX(0,IF(예비비!$D372&lt;EDATE(BO$99,1),예비비!$E372,0)-SUMIFS(예비비!$O$430:$O$729,예비비!$B$430:$B$729,예비비!$A372,예비비!$E$430:$E$729,"&lt;"&amp;EDATE(BO$99,1))),0)</f>
        <v>0</v>
      </c>
      <c r="BP372">
        <f>IF(예비비!$R372="OK",SUMIFS(예비비!$O$430:$O$729,예비비!$B$430:$B$729,예비비!$A372,예비비!$E$430:$E$729,"&lt;"&amp;EDATE(BP$99,1),예비비!$F$430:$F$729,"결제대금비")+MAX(0,IF(예비비!$D372&lt;EDATE(BP$99,1),예비비!$E372,0)-SUMIFS(예비비!$O$430:$O$729,예비비!$B$430:$B$729,예비비!$A372,예비비!$E$430:$E$729,"&lt;"&amp;EDATE(BP$99,1))),0)</f>
        <v>0</v>
      </c>
      <c r="BQ372">
        <f>IF(예비비!$R372="OK",SUMIFS(예비비!$O$430:$O$729,예비비!$B$430:$B$729,예비비!$A372,예비비!$E$430:$E$729,"&lt;"&amp;EDATE(BQ$99,1),예비비!$F$430:$F$729,"결제대금비")+MAX(0,IF(예비비!$D372&lt;EDATE(BQ$99,1),예비비!$E372,0)-SUMIFS(예비비!$O$430:$O$729,예비비!$B$430:$B$729,예비비!$A372,예비비!$E$430:$E$729,"&lt;"&amp;EDATE(BQ$99,1))),0)</f>
        <v>0</v>
      </c>
      <c r="BR372">
        <f>IF(예비비!$R372="OK",SUMIFS(예비비!$O$430:$O$729,예비비!$B$430:$B$729,예비비!$A372,예비비!$E$430:$E$729,"&lt;"&amp;EDATE(BR$99,1),예비비!$F$430:$F$729,"결제대금비")+MAX(0,IF(예비비!$D372&lt;EDATE(BR$99,1),예비비!$E372,0)-SUMIFS(예비비!$O$430:$O$729,예비비!$B$430:$B$729,예비비!$A372,예비비!$E$430:$E$729,"&lt;"&amp;EDATE(BR$99,1))),0)</f>
        <v>0</v>
      </c>
      <c r="BS372">
        <f>IF(예비비!$R372="OK",SUMIFS(예비비!$O$430:$O$729,예비비!$B$430:$B$729,예비비!$A372,예비비!$E$430:$E$729,"&lt;"&amp;EDATE(BS$99,1),예비비!$F$430:$F$729,"결제대금비")+MAX(0,IF(예비비!$D372&lt;EDATE(BS$99,1),예비비!$E372,0)-SUMIFS(예비비!$O$430:$O$729,예비비!$B$430:$B$729,예비비!$A372,예비비!$E$430:$E$729,"&lt;"&amp;EDATE(BS$99,1))),0)</f>
        <v>0</v>
      </c>
      <c r="BT372">
        <f>IF(예비비!$R372="OK",SUMIFS(예비비!$O$430:$O$729,예비비!$B$430:$B$729,예비비!$A372,예비비!$E$430:$E$729,"&lt;"&amp;EDATE(BT$99,1),예비비!$F$430:$F$729,"결제대금비")+MAX(0,IF(예비비!$D372&lt;EDATE(BT$99,1),예비비!$E372,0)-SUMIFS(예비비!$O$430:$O$729,예비비!$B$430:$B$729,예비비!$A372,예비비!$E$430:$E$729,"&lt;"&amp;EDATE(BT$99,1))),0)</f>
        <v>0</v>
      </c>
      <c r="BU372">
        <f>IF(예비비!$R372="OK",SUMIFS(예비비!$O$430:$O$729,예비비!$B$430:$B$729,예비비!$A372,예비비!$E$430:$E$729,"&lt;"&amp;EDATE(BU$99,1),예비비!$F$430:$F$729,"결제대금비")+MAX(0,IF(예비비!$D372&lt;EDATE(BU$99,1),예비비!$E372,0)-SUMIFS(예비비!$O$430:$O$729,예비비!$B$430:$B$729,예비비!$A372,예비비!$E$430:$E$729,"&lt;"&amp;EDATE(BU$99,1))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  <c r="BI373">
        <f>IF(예비비!$R373="OK",SUMIFS(예비비!$O$430:$O$729,예비비!$B$430:$B$729,예비비!$A373,예비비!$E$430:$E$729,"&lt;"&amp;EDATE(BI$99,1),예비비!$F$430:$F$729,"결제대금비")+MAX(0,IF(예비비!$D373&lt;EDATE(BI$99,1),예비비!$E373,0)-SUMIFS(예비비!$O$430:$O$729,예비비!$B$430:$B$729,예비비!$A373,예비비!$E$430:$E$729,"&lt;"&amp;EDATE(BI$99,1))),0)</f>
        <v>0</v>
      </c>
      <c r="BJ373">
        <f>IF(예비비!$R373="OK",SUMIFS(예비비!$O$430:$O$729,예비비!$B$430:$B$729,예비비!$A373,예비비!$E$430:$E$729,"&lt;"&amp;EDATE(BJ$99,1),예비비!$F$430:$F$729,"결제대금비")+MAX(0,IF(예비비!$D373&lt;EDATE(BJ$99,1),예비비!$E373,0)-SUMIFS(예비비!$O$430:$O$729,예비비!$B$430:$B$729,예비비!$A373,예비비!$E$430:$E$729,"&lt;"&amp;EDATE(BJ$99,1))),0)</f>
        <v>0</v>
      </c>
      <c r="BK373">
        <f>IF(예비비!$R373="OK",SUMIFS(예비비!$O$430:$O$729,예비비!$B$430:$B$729,예비비!$A373,예비비!$E$430:$E$729,"&lt;"&amp;EDATE(BK$99,1),예비비!$F$430:$F$729,"결제대금비")+MAX(0,IF(예비비!$D373&lt;EDATE(BK$99,1),예비비!$E373,0)-SUMIFS(예비비!$O$430:$O$729,예비비!$B$430:$B$729,예비비!$A373,예비비!$E$430:$E$729,"&lt;"&amp;EDATE(BK$99,1))),0)</f>
        <v>0</v>
      </c>
      <c r="BL373">
        <f>IF(예비비!$R373="OK",SUMIFS(예비비!$O$430:$O$729,예비비!$B$430:$B$729,예비비!$A373,예비비!$E$430:$E$729,"&lt;"&amp;EDATE(BL$99,1),예비비!$F$430:$F$729,"결제대금비")+MAX(0,IF(예비비!$D373&lt;EDATE(BL$99,1),예비비!$E373,0)-SUMIFS(예비비!$O$430:$O$729,예비비!$B$430:$B$729,예비비!$A373,예비비!$E$430:$E$729,"&lt;"&amp;EDATE(BL$99,1))),0)</f>
        <v>0</v>
      </c>
      <c r="BM373">
        <f>IF(예비비!$R373="OK",SUMIFS(예비비!$O$430:$O$729,예비비!$B$430:$B$729,예비비!$A373,예비비!$E$430:$E$729,"&lt;"&amp;EDATE(BM$99,1),예비비!$F$430:$F$729,"결제대금비")+MAX(0,IF(예비비!$D373&lt;EDATE(BM$99,1),예비비!$E373,0)-SUMIFS(예비비!$O$430:$O$729,예비비!$B$430:$B$729,예비비!$A373,예비비!$E$430:$E$729,"&lt;"&amp;EDATE(BM$99,1))),0)</f>
        <v>0</v>
      </c>
      <c r="BN373">
        <f>IF(예비비!$R373="OK",SUMIFS(예비비!$O$430:$O$729,예비비!$B$430:$B$729,예비비!$A373,예비비!$E$430:$E$729,"&lt;"&amp;EDATE(BN$99,1),예비비!$F$430:$F$729,"결제대금비")+MAX(0,IF(예비비!$D373&lt;EDATE(BN$99,1),예비비!$E373,0)-SUMIFS(예비비!$O$430:$O$729,예비비!$B$430:$B$729,예비비!$A373,예비비!$E$430:$E$729,"&lt;"&amp;EDATE(BN$99,1))),0)</f>
        <v>0</v>
      </c>
      <c r="BO373">
        <f>IF(예비비!$R373="OK",SUMIFS(예비비!$O$430:$O$729,예비비!$B$430:$B$729,예비비!$A373,예비비!$E$430:$E$729,"&lt;"&amp;EDATE(BO$99,1),예비비!$F$430:$F$729,"결제대금비")+MAX(0,IF(예비비!$D373&lt;EDATE(BO$99,1),예비비!$E373,0)-SUMIFS(예비비!$O$430:$O$729,예비비!$B$430:$B$729,예비비!$A373,예비비!$E$430:$E$729,"&lt;"&amp;EDATE(BO$99,1))),0)</f>
        <v>0</v>
      </c>
      <c r="BP373">
        <f>IF(예비비!$R373="OK",SUMIFS(예비비!$O$430:$O$729,예비비!$B$430:$B$729,예비비!$A373,예비비!$E$430:$E$729,"&lt;"&amp;EDATE(BP$99,1),예비비!$F$430:$F$729,"결제대금비")+MAX(0,IF(예비비!$D373&lt;EDATE(BP$99,1),예비비!$E373,0)-SUMIFS(예비비!$O$430:$O$729,예비비!$B$430:$B$729,예비비!$A373,예비비!$E$430:$E$729,"&lt;"&amp;EDATE(BP$99,1))),0)</f>
        <v>0</v>
      </c>
      <c r="BQ373">
        <f>IF(예비비!$R373="OK",SUMIFS(예비비!$O$430:$O$729,예비비!$B$430:$B$729,예비비!$A373,예비비!$E$430:$E$729,"&lt;"&amp;EDATE(BQ$99,1),예비비!$F$430:$F$729,"결제대금비")+MAX(0,IF(예비비!$D373&lt;EDATE(BQ$99,1),예비비!$E373,0)-SUMIFS(예비비!$O$430:$O$729,예비비!$B$430:$B$729,예비비!$A373,예비비!$E$430:$E$729,"&lt;"&amp;EDATE(BQ$99,1))),0)</f>
        <v>0</v>
      </c>
      <c r="BR373">
        <f>IF(예비비!$R373="OK",SUMIFS(예비비!$O$430:$O$729,예비비!$B$430:$B$729,예비비!$A373,예비비!$E$430:$E$729,"&lt;"&amp;EDATE(BR$99,1),예비비!$F$430:$F$729,"결제대금비")+MAX(0,IF(예비비!$D373&lt;EDATE(BR$99,1),예비비!$E373,0)-SUMIFS(예비비!$O$430:$O$729,예비비!$B$430:$B$729,예비비!$A373,예비비!$E$430:$E$729,"&lt;"&amp;EDATE(BR$99,1))),0)</f>
        <v>0</v>
      </c>
      <c r="BS373">
        <f>IF(예비비!$R373="OK",SUMIFS(예비비!$O$430:$O$729,예비비!$B$430:$B$729,예비비!$A373,예비비!$E$430:$E$729,"&lt;"&amp;EDATE(BS$99,1),예비비!$F$430:$F$729,"결제대금비")+MAX(0,IF(예비비!$D373&lt;EDATE(BS$99,1),예비비!$E373,0)-SUMIFS(예비비!$O$430:$O$729,예비비!$B$430:$B$729,예비비!$A373,예비비!$E$430:$E$729,"&lt;"&amp;EDATE(BS$99,1))),0)</f>
        <v>0</v>
      </c>
      <c r="BT373">
        <f>IF(예비비!$R373="OK",SUMIFS(예비비!$O$430:$O$729,예비비!$B$430:$B$729,예비비!$A373,예비비!$E$430:$E$729,"&lt;"&amp;EDATE(BT$99,1),예비비!$F$430:$F$729,"결제대금비")+MAX(0,IF(예비비!$D373&lt;EDATE(BT$99,1),예비비!$E373,0)-SUMIFS(예비비!$O$430:$O$729,예비비!$B$430:$B$729,예비비!$A373,예비비!$E$430:$E$729,"&lt;"&amp;EDATE(BT$99,1))),0)</f>
        <v>0</v>
      </c>
      <c r="BU373">
        <f>IF(예비비!$R373="OK",SUMIFS(예비비!$O$430:$O$729,예비비!$B$430:$B$729,예비비!$A373,예비비!$E$430:$E$729,"&lt;"&amp;EDATE(BU$99,1),예비비!$F$430:$F$729,"결제대금비")+MAX(0,IF(예비비!$D373&lt;EDATE(BU$99,1),예비비!$E373,0)-SUMIFS(예비비!$O$430:$O$729,예비비!$B$430:$B$729,예비비!$A373,예비비!$E$430:$E$729,"&lt;"&amp;EDATE(BU$99,1))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  <c r="BI374">
        <f>IF(예비비!$R374="OK",SUMIFS(예비비!$O$430:$O$729,예비비!$B$430:$B$729,예비비!$A374,예비비!$E$430:$E$729,"&lt;"&amp;EDATE(BI$99,1),예비비!$F$430:$F$729,"결제대금비")+MAX(0,IF(예비비!$D374&lt;EDATE(BI$99,1),예비비!$E374,0)-SUMIFS(예비비!$O$430:$O$729,예비비!$B$430:$B$729,예비비!$A374,예비비!$E$430:$E$729,"&lt;"&amp;EDATE(BI$99,1))),0)</f>
        <v>0</v>
      </c>
      <c r="BJ374">
        <f>IF(예비비!$R374="OK",SUMIFS(예비비!$O$430:$O$729,예비비!$B$430:$B$729,예비비!$A374,예비비!$E$430:$E$729,"&lt;"&amp;EDATE(BJ$99,1),예비비!$F$430:$F$729,"결제대금비")+MAX(0,IF(예비비!$D374&lt;EDATE(BJ$99,1),예비비!$E374,0)-SUMIFS(예비비!$O$430:$O$729,예비비!$B$430:$B$729,예비비!$A374,예비비!$E$430:$E$729,"&lt;"&amp;EDATE(BJ$99,1))),0)</f>
        <v>0</v>
      </c>
      <c r="BK374">
        <f>IF(예비비!$R374="OK",SUMIFS(예비비!$O$430:$O$729,예비비!$B$430:$B$729,예비비!$A374,예비비!$E$430:$E$729,"&lt;"&amp;EDATE(BK$99,1),예비비!$F$430:$F$729,"결제대금비")+MAX(0,IF(예비비!$D374&lt;EDATE(BK$99,1),예비비!$E374,0)-SUMIFS(예비비!$O$430:$O$729,예비비!$B$430:$B$729,예비비!$A374,예비비!$E$430:$E$729,"&lt;"&amp;EDATE(BK$99,1))),0)</f>
        <v>0</v>
      </c>
      <c r="BL374">
        <f>IF(예비비!$R374="OK",SUMIFS(예비비!$O$430:$O$729,예비비!$B$430:$B$729,예비비!$A374,예비비!$E$430:$E$729,"&lt;"&amp;EDATE(BL$99,1),예비비!$F$430:$F$729,"결제대금비")+MAX(0,IF(예비비!$D374&lt;EDATE(BL$99,1),예비비!$E374,0)-SUMIFS(예비비!$O$430:$O$729,예비비!$B$430:$B$729,예비비!$A374,예비비!$E$430:$E$729,"&lt;"&amp;EDATE(BL$99,1))),0)</f>
        <v>0</v>
      </c>
      <c r="BM374">
        <f>IF(예비비!$R374="OK",SUMIFS(예비비!$O$430:$O$729,예비비!$B$430:$B$729,예비비!$A374,예비비!$E$430:$E$729,"&lt;"&amp;EDATE(BM$99,1),예비비!$F$430:$F$729,"결제대금비")+MAX(0,IF(예비비!$D374&lt;EDATE(BM$99,1),예비비!$E374,0)-SUMIFS(예비비!$O$430:$O$729,예비비!$B$430:$B$729,예비비!$A374,예비비!$E$430:$E$729,"&lt;"&amp;EDATE(BM$99,1))),0)</f>
        <v>0</v>
      </c>
      <c r="BN374">
        <f>IF(예비비!$R374="OK",SUMIFS(예비비!$O$430:$O$729,예비비!$B$430:$B$729,예비비!$A374,예비비!$E$430:$E$729,"&lt;"&amp;EDATE(BN$99,1),예비비!$F$430:$F$729,"결제대금비")+MAX(0,IF(예비비!$D374&lt;EDATE(BN$99,1),예비비!$E374,0)-SUMIFS(예비비!$O$430:$O$729,예비비!$B$430:$B$729,예비비!$A374,예비비!$E$430:$E$729,"&lt;"&amp;EDATE(BN$99,1))),0)</f>
        <v>0</v>
      </c>
      <c r="BO374">
        <f>IF(예비비!$R374="OK",SUMIFS(예비비!$O$430:$O$729,예비비!$B$430:$B$729,예비비!$A374,예비비!$E$430:$E$729,"&lt;"&amp;EDATE(BO$99,1),예비비!$F$430:$F$729,"결제대금비")+MAX(0,IF(예비비!$D374&lt;EDATE(BO$99,1),예비비!$E374,0)-SUMIFS(예비비!$O$430:$O$729,예비비!$B$430:$B$729,예비비!$A374,예비비!$E$430:$E$729,"&lt;"&amp;EDATE(BO$99,1))),0)</f>
        <v>0</v>
      </c>
      <c r="BP374">
        <f>IF(예비비!$R374="OK",SUMIFS(예비비!$O$430:$O$729,예비비!$B$430:$B$729,예비비!$A374,예비비!$E$430:$E$729,"&lt;"&amp;EDATE(BP$99,1),예비비!$F$430:$F$729,"결제대금비")+MAX(0,IF(예비비!$D374&lt;EDATE(BP$99,1),예비비!$E374,0)-SUMIFS(예비비!$O$430:$O$729,예비비!$B$430:$B$729,예비비!$A374,예비비!$E$430:$E$729,"&lt;"&amp;EDATE(BP$99,1))),0)</f>
        <v>0</v>
      </c>
      <c r="BQ374">
        <f>IF(예비비!$R374="OK",SUMIFS(예비비!$O$430:$O$729,예비비!$B$430:$B$729,예비비!$A374,예비비!$E$430:$E$729,"&lt;"&amp;EDATE(BQ$99,1),예비비!$F$430:$F$729,"결제대금비")+MAX(0,IF(예비비!$D374&lt;EDATE(BQ$99,1),예비비!$E374,0)-SUMIFS(예비비!$O$430:$O$729,예비비!$B$430:$B$729,예비비!$A374,예비비!$E$430:$E$729,"&lt;"&amp;EDATE(BQ$99,1))),0)</f>
        <v>0</v>
      </c>
      <c r="BR374">
        <f>IF(예비비!$R374="OK",SUMIFS(예비비!$O$430:$O$729,예비비!$B$430:$B$729,예비비!$A374,예비비!$E$430:$E$729,"&lt;"&amp;EDATE(BR$99,1),예비비!$F$430:$F$729,"결제대금비")+MAX(0,IF(예비비!$D374&lt;EDATE(BR$99,1),예비비!$E374,0)-SUMIFS(예비비!$O$430:$O$729,예비비!$B$430:$B$729,예비비!$A374,예비비!$E$430:$E$729,"&lt;"&amp;EDATE(BR$99,1))),0)</f>
        <v>0</v>
      </c>
      <c r="BS374">
        <f>IF(예비비!$R374="OK",SUMIFS(예비비!$O$430:$O$729,예비비!$B$430:$B$729,예비비!$A374,예비비!$E$430:$E$729,"&lt;"&amp;EDATE(BS$99,1),예비비!$F$430:$F$729,"결제대금비")+MAX(0,IF(예비비!$D374&lt;EDATE(BS$99,1),예비비!$E374,0)-SUMIFS(예비비!$O$430:$O$729,예비비!$B$430:$B$729,예비비!$A374,예비비!$E$430:$E$729,"&lt;"&amp;EDATE(BS$99,1))),0)</f>
        <v>0</v>
      </c>
      <c r="BT374">
        <f>IF(예비비!$R374="OK",SUMIFS(예비비!$O$430:$O$729,예비비!$B$430:$B$729,예비비!$A374,예비비!$E$430:$E$729,"&lt;"&amp;EDATE(BT$99,1),예비비!$F$430:$F$729,"결제대금비")+MAX(0,IF(예비비!$D374&lt;EDATE(BT$99,1),예비비!$E374,0)-SUMIFS(예비비!$O$430:$O$729,예비비!$B$430:$B$729,예비비!$A374,예비비!$E$430:$E$729,"&lt;"&amp;EDATE(BT$99,1))),0)</f>
        <v>0</v>
      </c>
      <c r="BU374">
        <f>IF(예비비!$R374="OK",SUMIFS(예비비!$O$430:$O$729,예비비!$B$430:$B$729,예비비!$A374,예비비!$E$430:$E$729,"&lt;"&amp;EDATE(BU$99,1),예비비!$F$430:$F$729,"결제대금비")+MAX(0,IF(예비비!$D374&lt;EDATE(BU$99,1),예비비!$E374,0)-SUMIFS(예비비!$O$430:$O$729,예비비!$B$430:$B$729,예비비!$A374,예비비!$E$430:$E$729,"&lt;"&amp;EDATE(BU$99,1))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  <c r="BI375">
        <f>IF(예비비!$R375="OK",SUMIFS(예비비!$O$430:$O$729,예비비!$B$430:$B$729,예비비!$A375,예비비!$E$430:$E$729,"&lt;"&amp;EDATE(BI$99,1),예비비!$F$430:$F$729,"결제대금비")+MAX(0,IF(예비비!$D375&lt;EDATE(BI$99,1),예비비!$E375,0)-SUMIFS(예비비!$O$430:$O$729,예비비!$B$430:$B$729,예비비!$A375,예비비!$E$430:$E$729,"&lt;"&amp;EDATE(BI$99,1))),0)</f>
        <v>0</v>
      </c>
      <c r="BJ375">
        <f>IF(예비비!$R375="OK",SUMIFS(예비비!$O$430:$O$729,예비비!$B$430:$B$729,예비비!$A375,예비비!$E$430:$E$729,"&lt;"&amp;EDATE(BJ$99,1),예비비!$F$430:$F$729,"결제대금비")+MAX(0,IF(예비비!$D375&lt;EDATE(BJ$99,1),예비비!$E375,0)-SUMIFS(예비비!$O$430:$O$729,예비비!$B$430:$B$729,예비비!$A375,예비비!$E$430:$E$729,"&lt;"&amp;EDATE(BJ$99,1))),0)</f>
        <v>0</v>
      </c>
      <c r="BK375">
        <f>IF(예비비!$R375="OK",SUMIFS(예비비!$O$430:$O$729,예비비!$B$430:$B$729,예비비!$A375,예비비!$E$430:$E$729,"&lt;"&amp;EDATE(BK$99,1),예비비!$F$430:$F$729,"결제대금비")+MAX(0,IF(예비비!$D375&lt;EDATE(BK$99,1),예비비!$E375,0)-SUMIFS(예비비!$O$430:$O$729,예비비!$B$430:$B$729,예비비!$A375,예비비!$E$430:$E$729,"&lt;"&amp;EDATE(BK$99,1))),0)</f>
        <v>0</v>
      </c>
      <c r="BL375">
        <f>IF(예비비!$R375="OK",SUMIFS(예비비!$O$430:$O$729,예비비!$B$430:$B$729,예비비!$A375,예비비!$E$430:$E$729,"&lt;"&amp;EDATE(BL$99,1),예비비!$F$430:$F$729,"결제대금비")+MAX(0,IF(예비비!$D375&lt;EDATE(BL$99,1),예비비!$E375,0)-SUMIFS(예비비!$O$430:$O$729,예비비!$B$430:$B$729,예비비!$A375,예비비!$E$430:$E$729,"&lt;"&amp;EDATE(BL$99,1))),0)</f>
        <v>0</v>
      </c>
      <c r="BM375">
        <f>IF(예비비!$R375="OK",SUMIFS(예비비!$O$430:$O$729,예비비!$B$430:$B$729,예비비!$A375,예비비!$E$430:$E$729,"&lt;"&amp;EDATE(BM$99,1),예비비!$F$430:$F$729,"결제대금비")+MAX(0,IF(예비비!$D375&lt;EDATE(BM$99,1),예비비!$E375,0)-SUMIFS(예비비!$O$430:$O$729,예비비!$B$430:$B$729,예비비!$A375,예비비!$E$430:$E$729,"&lt;"&amp;EDATE(BM$99,1))),0)</f>
        <v>0</v>
      </c>
      <c r="BN375">
        <f>IF(예비비!$R375="OK",SUMIFS(예비비!$O$430:$O$729,예비비!$B$430:$B$729,예비비!$A375,예비비!$E$430:$E$729,"&lt;"&amp;EDATE(BN$99,1),예비비!$F$430:$F$729,"결제대금비")+MAX(0,IF(예비비!$D375&lt;EDATE(BN$99,1),예비비!$E375,0)-SUMIFS(예비비!$O$430:$O$729,예비비!$B$430:$B$729,예비비!$A375,예비비!$E$430:$E$729,"&lt;"&amp;EDATE(BN$99,1))),0)</f>
        <v>0</v>
      </c>
      <c r="BO375">
        <f>IF(예비비!$R375="OK",SUMIFS(예비비!$O$430:$O$729,예비비!$B$430:$B$729,예비비!$A375,예비비!$E$430:$E$729,"&lt;"&amp;EDATE(BO$99,1),예비비!$F$430:$F$729,"결제대금비")+MAX(0,IF(예비비!$D375&lt;EDATE(BO$99,1),예비비!$E375,0)-SUMIFS(예비비!$O$430:$O$729,예비비!$B$430:$B$729,예비비!$A375,예비비!$E$430:$E$729,"&lt;"&amp;EDATE(BO$99,1))),0)</f>
        <v>0</v>
      </c>
      <c r="BP375">
        <f>IF(예비비!$R375="OK",SUMIFS(예비비!$O$430:$O$729,예비비!$B$430:$B$729,예비비!$A375,예비비!$E$430:$E$729,"&lt;"&amp;EDATE(BP$99,1),예비비!$F$430:$F$729,"결제대금비")+MAX(0,IF(예비비!$D375&lt;EDATE(BP$99,1),예비비!$E375,0)-SUMIFS(예비비!$O$430:$O$729,예비비!$B$430:$B$729,예비비!$A375,예비비!$E$430:$E$729,"&lt;"&amp;EDATE(BP$99,1))),0)</f>
        <v>0</v>
      </c>
      <c r="BQ375">
        <f>IF(예비비!$R375="OK",SUMIFS(예비비!$O$430:$O$729,예비비!$B$430:$B$729,예비비!$A375,예비비!$E$430:$E$729,"&lt;"&amp;EDATE(BQ$99,1),예비비!$F$430:$F$729,"결제대금비")+MAX(0,IF(예비비!$D375&lt;EDATE(BQ$99,1),예비비!$E375,0)-SUMIFS(예비비!$O$430:$O$729,예비비!$B$430:$B$729,예비비!$A375,예비비!$E$430:$E$729,"&lt;"&amp;EDATE(BQ$99,1))),0)</f>
        <v>0</v>
      </c>
      <c r="BR375">
        <f>IF(예비비!$R375="OK",SUMIFS(예비비!$O$430:$O$729,예비비!$B$430:$B$729,예비비!$A375,예비비!$E$430:$E$729,"&lt;"&amp;EDATE(BR$99,1),예비비!$F$430:$F$729,"결제대금비")+MAX(0,IF(예비비!$D375&lt;EDATE(BR$99,1),예비비!$E375,0)-SUMIFS(예비비!$O$430:$O$729,예비비!$B$430:$B$729,예비비!$A375,예비비!$E$430:$E$729,"&lt;"&amp;EDATE(BR$99,1))),0)</f>
        <v>0</v>
      </c>
      <c r="BS375">
        <f>IF(예비비!$R375="OK",SUMIFS(예비비!$O$430:$O$729,예비비!$B$430:$B$729,예비비!$A375,예비비!$E$430:$E$729,"&lt;"&amp;EDATE(BS$99,1),예비비!$F$430:$F$729,"결제대금비")+MAX(0,IF(예비비!$D375&lt;EDATE(BS$99,1),예비비!$E375,0)-SUMIFS(예비비!$O$430:$O$729,예비비!$B$430:$B$729,예비비!$A375,예비비!$E$430:$E$729,"&lt;"&amp;EDATE(BS$99,1))),0)</f>
        <v>0</v>
      </c>
      <c r="BT375">
        <f>IF(예비비!$R375="OK",SUMIFS(예비비!$O$430:$O$729,예비비!$B$430:$B$729,예비비!$A375,예비비!$E$430:$E$729,"&lt;"&amp;EDATE(BT$99,1),예비비!$F$430:$F$729,"결제대금비")+MAX(0,IF(예비비!$D375&lt;EDATE(BT$99,1),예비비!$E375,0)-SUMIFS(예비비!$O$430:$O$729,예비비!$B$430:$B$729,예비비!$A375,예비비!$E$430:$E$729,"&lt;"&amp;EDATE(BT$99,1))),0)</f>
        <v>0</v>
      </c>
      <c r="BU375">
        <f>IF(예비비!$R375="OK",SUMIFS(예비비!$O$430:$O$729,예비비!$B$430:$B$729,예비비!$A375,예비비!$E$430:$E$729,"&lt;"&amp;EDATE(BU$99,1),예비비!$F$430:$F$729,"결제대금비")+MAX(0,IF(예비비!$D375&lt;EDATE(BU$99,1),예비비!$E375,0)-SUMIFS(예비비!$O$430:$O$729,예비비!$B$430:$B$729,예비비!$A375,예비비!$E$430:$E$729,"&lt;"&amp;EDATE(BU$99,1))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  <c r="BI376">
        <f>IF(예비비!$R376="OK",SUMIFS(예비비!$O$430:$O$729,예비비!$B$430:$B$729,예비비!$A376,예비비!$E$430:$E$729,"&lt;"&amp;EDATE(BI$99,1),예비비!$F$430:$F$729,"결제대금비")+MAX(0,IF(예비비!$D376&lt;EDATE(BI$99,1),예비비!$E376,0)-SUMIFS(예비비!$O$430:$O$729,예비비!$B$430:$B$729,예비비!$A376,예비비!$E$430:$E$729,"&lt;"&amp;EDATE(BI$99,1))),0)</f>
        <v>0</v>
      </c>
      <c r="BJ376">
        <f>IF(예비비!$R376="OK",SUMIFS(예비비!$O$430:$O$729,예비비!$B$430:$B$729,예비비!$A376,예비비!$E$430:$E$729,"&lt;"&amp;EDATE(BJ$99,1),예비비!$F$430:$F$729,"결제대금비")+MAX(0,IF(예비비!$D376&lt;EDATE(BJ$99,1),예비비!$E376,0)-SUMIFS(예비비!$O$430:$O$729,예비비!$B$430:$B$729,예비비!$A376,예비비!$E$430:$E$729,"&lt;"&amp;EDATE(BJ$99,1))),0)</f>
        <v>0</v>
      </c>
      <c r="BK376">
        <f>IF(예비비!$R376="OK",SUMIFS(예비비!$O$430:$O$729,예비비!$B$430:$B$729,예비비!$A376,예비비!$E$430:$E$729,"&lt;"&amp;EDATE(BK$99,1),예비비!$F$430:$F$729,"결제대금비")+MAX(0,IF(예비비!$D376&lt;EDATE(BK$99,1),예비비!$E376,0)-SUMIFS(예비비!$O$430:$O$729,예비비!$B$430:$B$729,예비비!$A376,예비비!$E$430:$E$729,"&lt;"&amp;EDATE(BK$99,1))),0)</f>
        <v>0</v>
      </c>
      <c r="BL376">
        <f>IF(예비비!$R376="OK",SUMIFS(예비비!$O$430:$O$729,예비비!$B$430:$B$729,예비비!$A376,예비비!$E$430:$E$729,"&lt;"&amp;EDATE(BL$99,1),예비비!$F$430:$F$729,"결제대금비")+MAX(0,IF(예비비!$D376&lt;EDATE(BL$99,1),예비비!$E376,0)-SUMIFS(예비비!$O$430:$O$729,예비비!$B$430:$B$729,예비비!$A376,예비비!$E$430:$E$729,"&lt;"&amp;EDATE(BL$99,1))),0)</f>
        <v>0</v>
      </c>
      <c r="BM376">
        <f>IF(예비비!$R376="OK",SUMIFS(예비비!$O$430:$O$729,예비비!$B$430:$B$729,예비비!$A376,예비비!$E$430:$E$729,"&lt;"&amp;EDATE(BM$99,1),예비비!$F$430:$F$729,"결제대금비")+MAX(0,IF(예비비!$D376&lt;EDATE(BM$99,1),예비비!$E376,0)-SUMIFS(예비비!$O$430:$O$729,예비비!$B$430:$B$729,예비비!$A376,예비비!$E$430:$E$729,"&lt;"&amp;EDATE(BM$99,1))),0)</f>
        <v>0</v>
      </c>
      <c r="BN376">
        <f>IF(예비비!$R376="OK",SUMIFS(예비비!$O$430:$O$729,예비비!$B$430:$B$729,예비비!$A376,예비비!$E$430:$E$729,"&lt;"&amp;EDATE(BN$99,1),예비비!$F$430:$F$729,"결제대금비")+MAX(0,IF(예비비!$D376&lt;EDATE(BN$99,1),예비비!$E376,0)-SUMIFS(예비비!$O$430:$O$729,예비비!$B$430:$B$729,예비비!$A376,예비비!$E$430:$E$729,"&lt;"&amp;EDATE(BN$99,1))),0)</f>
        <v>0</v>
      </c>
      <c r="BO376">
        <f>IF(예비비!$R376="OK",SUMIFS(예비비!$O$430:$O$729,예비비!$B$430:$B$729,예비비!$A376,예비비!$E$430:$E$729,"&lt;"&amp;EDATE(BO$99,1),예비비!$F$430:$F$729,"결제대금비")+MAX(0,IF(예비비!$D376&lt;EDATE(BO$99,1),예비비!$E376,0)-SUMIFS(예비비!$O$430:$O$729,예비비!$B$430:$B$729,예비비!$A376,예비비!$E$430:$E$729,"&lt;"&amp;EDATE(BO$99,1))),0)</f>
        <v>0</v>
      </c>
      <c r="BP376">
        <f>IF(예비비!$R376="OK",SUMIFS(예비비!$O$430:$O$729,예비비!$B$430:$B$729,예비비!$A376,예비비!$E$430:$E$729,"&lt;"&amp;EDATE(BP$99,1),예비비!$F$430:$F$729,"결제대금비")+MAX(0,IF(예비비!$D376&lt;EDATE(BP$99,1),예비비!$E376,0)-SUMIFS(예비비!$O$430:$O$729,예비비!$B$430:$B$729,예비비!$A376,예비비!$E$430:$E$729,"&lt;"&amp;EDATE(BP$99,1))),0)</f>
        <v>0</v>
      </c>
      <c r="BQ376">
        <f>IF(예비비!$R376="OK",SUMIFS(예비비!$O$430:$O$729,예비비!$B$430:$B$729,예비비!$A376,예비비!$E$430:$E$729,"&lt;"&amp;EDATE(BQ$99,1),예비비!$F$430:$F$729,"결제대금비")+MAX(0,IF(예비비!$D376&lt;EDATE(BQ$99,1),예비비!$E376,0)-SUMIFS(예비비!$O$430:$O$729,예비비!$B$430:$B$729,예비비!$A376,예비비!$E$430:$E$729,"&lt;"&amp;EDATE(BQ$99,1))),0)</f>
        <v>0</v>
      </c>
      <c r="BR376">
        <f>IF(예비비!$R376="OK",SUMIFS(예비비!$O$430:$O$729,예비비!$B$430:$B$729,예비비!$A376,예비비!$E$430:$E$729,"&lt;"&amp;EDATE(BR$99,1),예비비!$F$430:$F$729,"결제대금비")+MAX(0,IF(예비비!$D376&lt;EDATE(BR$99,1),예비비!$E376,0)-SUMIFS(예비비!$O$430:$O$729,예비비!$B$430:$B$729,예비비!$A376,예비비!$E$430:$E$729,"&lt;"&amp;EDATE(BR$99,1))),0)</f>
        <v>0</v>
      </c>
      <c r="BS376">
        <f>IF(예비비!$R376="OK",SUMIFS(예비비!$O$430:$O$729,예비비!$B$430:$B$729,예비비!$A376,예비비!$E$430:$E$729,"&lt;"&amp;EDATE(BS$99,1),예비비!$F$430:$F$729,"결제대금비")+MAX(0,IF(예비비!$D376&lt;EDATE(BS$99,1),예비비!$E376,0)-SUMIFS(예비비!$O$430:$O$729,예비비!$B$430:$B$729,예비비!$A376,예비비!$E$430:$E$729,"&lt;"&amp;EDATE(BS$99,1))),0)</f>
        <v>0</v>
      </c>
      <c r="BT376">
        <f>IF(예비비!$R376="OK",SUMIFS(예비비!$O$430:$O$729,예비비!$B$430:$B$729,예비비!$A376,예비비!$E$430:$E$729,"&lt;"&amp;EDATE(BT$99,1),예비비!$F$430:$F$729,"결제대금비")+MAX(0,IF(예비비!$D376&lt;EDATE(BT$99,1),예비비!$E376,0)-SUMIFS(예비비!$O$430:$O$729,예비비!$B$430:$B$729,예비비!$A376,예비비!$E$430:$E$729,"&lt;"&amp;EDATE(BT$99,1))),0)</f>
        <v>0</v>
      </c>
      <c r="BU376">
        <f>IF(예비비!$R376="OK",SUMIFS(예비비!$O$430:$O$729,예비비!$B$430:$B$729,예비비!$A376,예비비!$E$430:$E$729,"&lt;"&amp;EDATE(BU$99,1),예비비!$F$430:$F$729,"결제대금비")+MAX(0,IF(예비비!$D376&lt;EDATE(BU$99,1),예비비!$E376,0)-SUMIFS(예비비!$O$430:$O$729,예비비!$B$430:$B$729,예비비!$A376,예비비!$E$430:$E$729,"&lt;"&amp;EDATE(BU$99,1))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  <c r="BI377">
        <f>IF(예비비!$R377="OK",SUMIFS(예비비!$O$430:$O$729,예비비!$B$430:$B$729,예비비!$A377,예비비!$E$430:$E$729,"&lt;"&amp;EDATE(BI$99,1),예비비!$F$430:$F$729,"결제대금비")+MAX(0,IF(예비비!$D377&lt;EDATE(BI$99,1),예비비!$E377,0)-SUMIFS(예비비!$O$430:$O$729,예비비!$B$430:$B$729,예비비!$A377,예비비!$E$430:$E$729,"&lt;"&amp;EDATE(BI$99,1))),0)</f>
        <v>0</v>
      </c>
      <c r="BJ377">
        <f>IF(예비비!$R377="OK",SUMIFS(예비비!$O$430:$O$729,예비비!$B$430:$B$729,예비비!$A377,예비비!$E$430:$E$729,"&lt;"&amp;EDATE(BJ$99,1),예비비!$F$430:$F$729,"결제대금비")+MAX(0,IF(예비비!$D377&lt;EDATE(BJ$99,1),예비비!$E377,0)-SUMIFS(예비비!$O$430:$O$729,예비비!$B$430:$B$729,예비비!$A377,예비비!$E$430:$E$729,"&lt;"&amp;EDATE(BJ$99,1))),0)</f>
        <v>0</v>
      </c>
      <c r="BK377">
        <f>IF(예비비!$R377="OK",SUMIFS(예비비!$O$430:$O$729,예비비!$B$430:$B$729,예비비!$A377,예비비!$E$430:$E$729,"&lt;"&amp;EDATE(BK$99,1),예비비!$F$430:$F$729,"결제대금비")+MAX(0,IF(예비비!$D377&lt;EDATE(BK$99,1),예비비!$E377,0)-SUMIFS(예비비!$O$430:$O$729,예비비!$B$430:$B$729,예비비!$A377,예비비!$E$430:$E$729,"&lt;"&amp;EDATE(BK$99,1))),0)</f>
        <v>0</v>
      </c>
      <c r="BL377">
        <f>IF(예비비!$R377="OK",SUMIFS(예비비!$O$430:$O$729,예비비!$B$430:$B$729,예비비!$A377,예비비!$E$430:$E$729,"&lt;"&amp;EDATE(BL$99,1),예비비!$F$430:$F$729,"결제대금비")+MAX(0,IF(예비비!$D377&lt;EDATE(BL$99,1),예비비!$E377,0)-SUMIFS(예비비!$O$430:$O$729,예비비!$B$430:$B$729,예비비!$A377,예비비!$E$430:$E$729,"&lt;"&amp;EDATE(BL$99,1))),0)</f>
        <v>0</v>
      </c>
      <c r="BM377">
        <f>IF(예비비!$R377="OK",SUMIFS(예비비!$O$430:$O$729,예비비!$B$430:$B$729,예비비!$A377,예비비!$E$430:$E$729,"&lt;"&amp;EDATE(BM$99,1),예비비!$F$430:$F$729,"결제대금비")+MAX(0,IF(예비비!$D377&lt;EDATE(BM$99,1),예비비!$E377,0)-SUMIFS(예비비!$O$430:$O$729,예비비!$B$430:$B$729,예비비!$A377,예비비!$E$430:$E$729,"&lt;"&amp;EDATE(BM$99,1))),0)</f>
        <v>0</v>
      </c>
      <c r="BN377">
        <f>IF(예비비!$R377="OK",SUMIFS(예비비!$O$430:$O$729,예비비!$B$430:$B$729,예비비!$A377,예비비!$E$430:$E$729,"&lt;"&amp;EDATE(BN$99,1),예비비!$F$430:$F$729,"결제대금비")+MAX(0,IF(예비비!$D377&lt;EDATE(BN$99,1),예비비!$E377,0)-SUMIFS(예비비!$O$430:$O$729,예비비!$B$430:$B$729,예비비!$A377,예비비!$E$430:$E$729,"&lt;"&amp;EDATE(BN$99,1))),0)</f>
        <v>0</v>
      </c>
      <c r="BO377">
        <f>IF(예비비!$R377="OK",SUMIFS(예비비!$O$430:$O$729,예비비!$B$430:$B$729,예비비!$A377,예비비!$E$430:$E$729,"&lt;"&amp;EDATE(BO$99,1),예비비!$F$430:$F$729,"결제대금비")+MAX(0,IF(예비비!$D377&lt;EDATE(BO$99,1),예비비!$E377,0)-SUMIFS(예비비!$O$430:$O$729,예비비!$B$430:$B$729,예비비!$A377,예비비!$E$430:$E$729,"&lt;"&amp;EDATE(BO$99,1))),0)</f>
        <v>0</v>
      </c>
      <c r="BP377">
        <f>IF(예비비!$R377="OK",SUMIFS(예비비!$O$430:$O$729,예비비!$B$430:$B$729,예비비!$A377,예비비!$E$430:$E$729,"&lt;"&amp;EDATE(BP$99,1),예비비!$F$430:$F$729,"결제대금비")+MAX(0,IF(예비비!$D377&lt;EDATE(BP$99,1),예비비!$E377,0)-SUMIFS(예비비!$O$430:$O$729,예비비!$B$430:$B$729,예비비!$A377,예비비!$E$430:$E$729,"&lt;"&amp;EDATE(BP$99,1))),0)</f>
        <v>0</v>
      </c>
      <c r="BQ377">
        <f>IF(예비비!$R377="OK",SUMIFS(예비비!$O$430:$O$729,예비비!$B$430:$B$729,예비비!$A377,예비비!$E$430:$E$729,"&lt;"&amp;EDATE(BQ$99,1),예비비!$F$430:$F$729,"결제대금비")+MAX(0,IF(예비비!$D377&lt;EDATE(BQ$99,1),예비비!$E377,0)-SUMIFS(예비비!$O$430:$O$729,예비비!$B$430:$B$729,예비비!$A377,예비비!$E$430:$E$729,"&lt;"&amp;EDATE(BQ$99,1))),0)</f>
        <v>0</v>
      </c>
      <c r="BR377">
        <f>IF(예비비!$R377="OK",SUMIFS(예비비!$O$430:$O$729,예비비!$B$430:$B$729,예비비!$A377,예비비!$E$430:$E$729,"&lt;"&amp;EDATE(BR$99,1),예비비!$F$430:$F$729,"결제대금비")+MAX(0,IF(예비비!$D377&lt;EDATE(BR$99,1),예비비!$E377,0)-SUMIFS(예비비!$O$430:$O$729,예비비!$B$430:$B$729,예비비!$A377,예비비!$E$430:$E$729,"&lt;"&amp;EDATE(BR$99,1))),0)</f>
        <v>0</v>
      </c>
      <c r="BS377">
        <f>IF(예비비!$R377="OK",SUMIFS(예비비!$O$430:$O$729,예비비!$B$430:$B$729,예비비!$A377,예비비!$E$430:$E$729,"&lt;"&amp;EDATE(BS$99,1),예비비!$F$430:$F$729,"결제대금비")+MAX(0,IF(예비비!$D377&lt;EDATE(BS$99,1),예비비!$E377,0)-SUMIFS(예비비!$O$430:$O$729,예비비!$B$430:$B$729,예비비!$A377,예비비!$E$430:$E$729,"&lt;"&amp;EDATE(BS$99,1))),0)</f>
        <v>0</v>
      </c>
      <c r="BT377">
        <f>IF(예비비!$R377="OK",SUMIFS(예비비!$O$430:$O$729,예비비!$B$430:$B$729,예비비!$A377,예비비!$E$430:$E$729,"&lt;"&amp;EDATE(BT$99,1),예비비!$F$430:$F$729,"결제대금비")+MAX(0,IF(예비비!$D377&lt;EDATE(BT$99,1),예비비!$E377,0)-SUMIFS(예비비!$O$430:$O$729,예비비!$B$430:$B$729,예비비!$A377,예비비!$E$430:$E$729,"&lt;"&amp;EDATE(BT$99,1))),0)</f>
        <v>0</v>
      </c>
      <c r="BU377">
        <f>IF(예비비!$R377="OK",SUMIFS(예비비!$O$430:$O$729,예비비!$B$430:$B$729,예비비!$A377,예비비!$E$430:$E$729,"&lt;"&amp;EDATE(BU$99,1),예비비!$F$430:$F$729,"결제대금비")+MAX(0,IF(예비비!$D377&lt;EDATE(BU$99,1),예비비!$E377,0)-SUMIFS(예비비!$O$430:$O$729,예비비!$B$430:$B$729,예비비!$A377,예비비!$E$430:$E$729,"&lt;"&amp;EDATE(BU$99,1))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  <c r="BI378">
        <f>IF(예비비!$R378="OK",SUMIFS(예비비!$O$430:$O$729,예비비!$B$430:$B$729,예비비!$A378,예비비!$E$430:$E$729,"&lt;"&amp;EDATE(BI$99,1),예비비!$F$430:$F$729,"결제대금비")+MAX(0,IF(예비비!$D378&lt;EDATE(BI$99,1),예비비!$E378,0)-SUMIFS(예비비!$O$430:$O$729,예비비!$B$430:$B$729,예비비!$A378,예비비!$E$430:$E$729,"&lt;"&amp;EDATE(BI$99,1))),0)</f>
        <v>0</v>
      </c>
      <c r="BJ378">
        <f>IF(예비비!$R378="OK",SUMIFS(예비비!$O$430:$O$729,예비비!$B$430:$B$729,예비비!$A378,예비비!$E$430:$E$729,"&lt;"&amp;EDATE(BJ$99,1),예비비!$F$430:$F$729,"결제대금비")+MAX(0,IF(예비비!$D378&lt;EDATE(BJ$99,1),예비비!$E378,0)-SUMIFS(예비비!$O$430:$O$729,예비비!$B$430:$B$729,예비비!$A378,예비비!$E$430:$E$729,"&lt;"&amp;EDATE(BJ$99,1))),0)</f>
        <v>0</v>
      </c>
      <c r="BK378">
        <f>IF(예비비!$R378="OK",SUMIFS(예비비!$O$430:$O$729,예비비!$B$430:$B$729,예비비!$A378,예비비!$E$430:$E$729,"&lt;"&amp;EDATE(BK$99,1),예비비!$F$430:$F$729,"결제대금비")+MAX(0,IF(예비비!$D378&lt;EDATE(BK$99,1),예비비!$E378,0)-SUMIFS(예비비!$O$430:$O$729,예비비!$B$430:$B$729,예비비!$A378,예비비!$E$430:$E$729,"&lt;"&amp;EDATE(BK$99,1))),0)</f>
        <v>0</v>
      </c>
      <c r="BL378">
        <f>IF(예비비!$R378="OK",SUMIFS(예비비!$O$430:$O$729,예비비!$B$430:$B$729,예비비!$A378,예비비!$E$430:$E$729,"&lt;"&amp;EDATE(BL$99,1),예비비!$F$430:$F$729,"결제대금비")+MAX(0,IF(예비비!$D378&lt;EDATE(BL$99,1),예비비!$E378,0)-SUMIFS(예비비!$O$430:$O$729,예비비!$B$430:$B$729,예비비!$A378,예비비!$E$430:$E$729,"&lt;"&amp;EDATE(BL$99,1))),0)</f>
        <v>0</v>
      </c>
      <c r="BM378">
        <f>IF(예비비!$R378="OK",SUMIFS(예비비!$O$430:$O$729,예비비!$B$430:$B$729,예비비!$A378,예비비!$E$430:$E$729,"&lt;"&amp;EDATE(BM$99,1),예비비!$F$430:$F$729,"결제대금비")+MAX(0,IF(예비비!$D378&lt;EDATE(BM$99,1),예비비!$E378,0)-SUMIFS(예비비!$O$430:$O$729,예비비!$B$430:$B$729,예비비!$A378,예비비!$E$430:$E$729,"&lt;"&amp;EDATE(BM$99,1))),0)</f>
        <v>0</v>
      </c>
      <c r="BN378">
        <f>IF(예비비!$R378="OK",SUMIFS(예비비!$O$430:$O$729,예비비!$B$430:$B$729,예비비!$A378,예비비!$E$430:$E$729,"&lt;"&amp;EDATE(BN$99,1),예비비!$F$430:$F$729,"결제대금비")+MAX(0,IF(예비비!$D378&lt;EDATE(BN$99,1),예비비!$E378,0)-SUMIFS(예비비!$O$430:$O$729,예비비!$B$430:$B$729,예비비!$A378,예비비!$E$430:$E$729,"&lt;"&amp;EDATE(BN$99,1))),0)</f>
        <v>0</v>
      </c>
      <c r="BO378">
        <f>IF(예비비!$R378="OK",SUMIFS(예비비!$O$430:$O$729,예비비!$B$430:$B$729,예비비!$A378,예비비!$E$430:$E$729,"&lt;"&amp;EDATE(BO$99,1),예비비!$F$430:$F$729,"결제대금비")+MAX(0,IF(예비비!$D378&lt;EDATE(BO$99,1),예비비!$E378,0)-SUMIFS(예비비!$O$430:$O$729,예비비!$B$430:$B$729,예비비!$A378,예비비!$E$430:$E$729,"&lt;"&amp;EDATE(BO$99,1))),0)</f>
        <v>0</v>
      </c>
      <c r="BP378">
        <f>IF(예비비!$R378="OK",SUMIFS(예비비!$O$430:$O$729,예비비!$B$430:$B$729,예비비!$A378,예비비!$E$430:$E$729,"&lt;"&amp;EDATE(BP$99,1),예비비!$F$430:$F$729,"결제대금비")+MAX(0,IF(예비비!$D378&lt;EDATE(BP$99,1),예비비!$E378,0)-SUMIFS(예비비!$O$430:$O$729,예비비!$B$430:$B$729,예비비!$A378,예비비!$E$430:$E$729,"&lt;"&amp;EDATE(BP$99,1))),0)</f>
        <v>0</v>
      </c>
      <c r="BQ378">
        <f>IF(예비비!$R378="OK",SUMIFS(예비비!$O$430:$O$729,예비비!$B$430:$B$729,예비비!$A378,예비비!$E$430:$E$729,"&lt;"&amp;EDATE(BQ$99,1),예비비!$F$430:$F$729,"결제대금비")+MAX(0,IF(예비비!$D378&lt;EDATE(BQ$99,1),예비비!$E378,0)-SUMIFS(예비비!$O$430:$O$729,예비비!$B$430:$B$729,예비비!$A378,예비비!$E$430:$E$729,"&lt;"&amp;EDATE(BQ$99,1))),0)</f>
        <v>0</v>
      </c>
      <c r="BR378">
        <f>IF(예비비!$R378="OK",SUMIFS(예비비!$O$430:$O$729,예비비!$B$430:$B$729,예비비!$A378,예비비!$E$430:$E$729,"&lt;"&amp;EDATE(BR$99,1),예비비!$F$430:$F$729,"결제대금비")+MAX(0,IF(예비비!$D378&lt;EDATE(BR$99,1),예비비!$E378,0)-SUMIFS(예비비!$O$430:$O$729,예비비!$B$430:$B$729,예비비!$A378,예비비!$E$430:$E$729,"&lt;"&amp;EDATE(BR$99,1))),0)</f>
        <v>0</v>
      </c>
      <c r="BS378">
        <f>IF(예비비!$R378="OK",SUMIFS(예비비!$O$430:$O$729,예비비!$B$430:$B$729,예비비!$A378,예비비!$E$430:$E$729,"&lt;"&amp;EDATE(BS$99,1),예비비!$F$430:$F$729,"결제대금비")+MAX(0,IF(예비비!$D378&lt;EDATE(BS$99,1),예비비!$E378,0)-SUMIFS(예비비!$O$430:$O$729,예비비!$B$430:$B$729,예비비!$A378,예비비!$E$430:$E$729,"&lt;"&amp;EDATE(BS$99,1))),0)</f>
        <v>0</v>
      </c>
      <c r="BT378">
        <f>IF(예비비!$R378="OK",SUMIFS(예비비!$O$430:$O$729,예비비!$B$430:$B$729,예비비!$A378,예비비!$E$430:$E$729,"&lt;"&amp;EDATE(BT$99,1),예비비!$F$430:$F$729,"결제대금비")+MAX(0,IF(예비비!$D378&lt;EDATE(BT$99,1),예비비!$E378,0)-SUMIFS(예비비!$O$430:$O$729,예비비!$B$430:$B$729,예비비!$A378,예비비!$E$430:$E$729,"&lt;"&amp;EDATE(BT$99,1))),0)</f>
        <v>0</v>
      </c>
      <c r="BU378">
        <f>IF(예비비!$R378="OK",SUMIFS(예비비!$O$430:$O$729,예비비!$B$430:$B$729,예비비!$A378,예비비!$E$430:$E$729,"&lt;"&amp;EDATE(BU$99,1),예비비!$F$430:$F$729,"결제대금비")+MAX(0,IF(예비비!$D378&lt;EDATE(BU$99,1),예비비!$E378,0)-SUMIFS(예비비!$O$430:$O$729,예비비!$B$430:$B$729,예비비!$A378,예비비!$E$430:$E$729,"&lt;"&amp;EDATE(BU$99,1))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  <c r="BI379">
        <f>IF(예비비!$R379="OK",SUMIFS(예비비!$O$430:$O$729,예비비!$B$430:$B$729,예비비!$A379,예비비!$E$430:$E$729,"&lt;"&amp;EDATE(BI$99,1),예비비!$F$430:$F$729,"결제대금비")+MAX(0,IF(예비비!$D379&lt;EDATE(BI$99,1),예비비!$E379,0)-SUMIFS(예비비!$O$430:$O$729,예비비!$B$430:$B$729,예비비!$A379,예비비!$E$430:$E$729,"&lt;"&amp;EDATE(BI$99,1))),0)</f>
        <v>0</v>
      </c>
      <c r="BJ379">
        <f>IF(예비비!$R379="OK",SUMIFS(예비비!$O$430:$O$729,예비비!$B$430:$B$729,예비비!$A379,예비비!$E$430:$E$729,"&lt;"&amp;EDATE(BJ$99,1),예비비!$F$430:$F$729,"결제대금비")+MAX(0,IF(예비비!$D379&lt;EDATE(BJ$99,1),예비비!$E379,0)-SUMIFS(예비비!$O$430:$O$729,예비비!$B$430:$B$729,예비비!$A379,예비비!$E$430:$E$729,"&lt;"&amp;EDATE(BJ$99,1))),0)</f>
        <v>0</v>
      </c>
      <c r="BK379">
        <f>IF(예비비!$R379="OK",SUMIFS(예비비!$O$430:$O$729,예비비!$B$430:$B$729,예비비!$A379,예비비!$E$430:$E$729,"&lt;"&amp;EDATE(BK$99,1),예비비!$F$430:$F$729,"결제대금비")+MAX(0,IF(예비비!$D379&lt;EDATE(BK$99,1),예비비!$E379,0)-SUMIFS(예비비!$O$430:$O$729,예비비!$B$430:$B$729,예비비!$A379,예비비!$E$430:$E$729,"&lt;"&amp;EDATE(BK$99,1))),0)</f>
        <v>0</v>
      </c>
      <c r="BL379">
        <f>IF(예비비!$R379="OK",SUMIFS(예비비!$O$430:$O$729,예비비!$B$430:$B$729,예비비!$A379,예비비!$E$430:$E$729,"&lt;"&amp;EDATE(BL$99,1),예비비!$F$430:$F$729,"결제대금비")+MAX(0,IF(예비비!$D379&lt;EDATE(BL$99,1),예비비!$E379,0)-SUMIFS(예비비!$O$430:$O$729,예비비!$B$430:$B$729,예비비!$A379,예비비!$E$430:$E$729,"&lt;"&amp;EDATE(BL$99,1))),0)</f>
        <v>0</v>
      </c>
      <c r="BM379">
        <f>IF(예비비!$R379="OK",SUMIFS(예비비!$O$430:$O$729,예비비!$B$430:$B$729,예비비!$A379,예비비!$E$430:$E$729,"&lt;"&amp;EDATE(BM$99,1),예비비!$F$430:$F$729,"결제대금비")+MAX(0,IF(예비비!$D379&lt;EDATE(BM$99,1),예비비!$E379,0)-SUMIFS(예비비!$O$430:$O$729,예비비!$B$430:$B$729,예비비!$A379,예비비!$E$430:$E$729,"&lt;"&amp;EDATE(BM$99,1))),0)</f>
        <v>0</v>
      </c>
      <c r="BN379">
        <f>IF(예비비!$R379="OK",SUMIFS(예비비!$O$430:$O$729,예비비!$B$430:$B$729,예비비!$A379,예비비!$E$430:$E$729,"&lt;"&amp;EDATE(BN$99,1),예비비!$F$430:$F$729,"결제대금비")+MAX(0,IF(예비비!$D379&lt;EDATE(BN$99,1),예비비!$E379,0)-SUMIFS(예비비!$O$430:$O$729,예비비!$B$430:$B$729,예비비!$A379,예비비!$E$430:$E$729,"&lt;"&amp;EDATE(BN$99,1))),0)</f>
        <v>0</v>
      </c>
      <c r="BO379">
        <f>IF(예비비!$R379="OK",SUMIFS(예비비!$O$430:$O$729,예비비!$B$430:$B$729,예비비!$A379,예비비!$E$430:$E$729,"&lt;"&amp;EDATE(BO$99,1),예비비!$F$430:$F$729,"결제대금비")+MAX(0,IF(예비비!$D379&lt;EDATE(BO$99,1),예비비!$E379,0)-SUMIFS(예비비!$O$430:$O$729,예비비!$B$430:$B$729,예비비!$A379,예비비!$E$430:$E$729,"&lt;"&amp;EDATE(BO$99,1))),0)</f>
        <v>0</v>
      </c>
      <c r="BP379">
        <f>IF(예비비!$R379="OK",SUMIFS(예비비!$O$430:$O$729,예비비!$B$430:$B$729,예비비!$A379,예비비!$E$430:$E$729,"&lt;"&amp;EDATE(BP$99,1),예비비!$F$430:$F$729,"결제대금비")+MAX(0,IF(예비비!$D379&lt;EDATE(BP$99,1),예비비!$E379,0)-SUMIFS(예비비!$O$430:$O$729,예비비!$B$430:$B$729,예비비!$A379,예비비!$E$430:$E$729,"&lt;"&amp;EDATE(BP$99,1))),0)</f>
        <v>0</v>
      </c>
      <c r="BQ379">
        <f>IF(예비비!$R379="OK",SUMIFS(예비비!$O$430:$O$729,예비비!$B$430:$B$729,예비비!$A379,예비비!$E$430:$E$729,"&lt;"&amp;EDATE(BQ$99,1),예비비!$F$430:$F$729,"결제대금비")+MAX(0,IF(예비비!$D379&lt;EDATE(BQ$99,1),예비비!$E379,0)-SUMIFS(예비비!$O$430:$O$729,예비비!$B$430:$B$729,예비비!$A379,예비비!$E$430:$E$729,"&lt;"&amp;EDATE(BQ$99,1))),0)</f>
        <v>0</v>
      </c>
      <c r="BR379">
        <f>IF(예비비!$R379="OK",SUMIFS(예비비!$O$430:$O$729,예비비!$B$430:$B$729,예비비!$A379,예비비!$E$430:$E$729,"&lt;"&amp;EDATE(BR$99,1),예비비!$F$430:$F$729,"결제대금비")+MAX(0,IF(예비비!$D379&lt;EDATE(BR$99,1),예비비!$E379,0)-SUMIFS(예비비!$O$430:$O$729,예비비!$B$430:$B$729,예비비!$A379,예비비!$E$430:$E$729,"&lt;"&amp;EDATE(BR$99,1))),0)</f>
        <v>0</v>
      </c>
      <c r="BS379">
        <f>IF(예비비!$R379="OK",SUMIFS(예비비!$O$430:$O$729,예비비!$B$430:$B$729,예비비!$A379,예비비!$E$430:$E$729,"&lt;"&amp;EDATE(BS$99,1),예비비!$F$430:$F$729,"결제대금비")+MAX(0,IF(예비비!$D379&lt;EDATE(BS$99,1),예비비!$E379,0)-SUMIFS(예비비!$O$430:$O$729,예비비!$B$430:$B$729,예비비!$A379,예비비!$E$430:$E$729,"&lt;"&amp;EDATE(BS$99,1))),0)</f>
        <v>0</v>
      </c>
      <c r="BT379">
        <f>IF(예비비!$R379="OK",SUMIFS(예비비!$O$430:$O$729,예비비!$B$430:$B$729,예비비!$A379,예비비!$E$430:$E$729,"&lt;"&amp;EDATE(BT$99,1),예비비!$F$430:$F$729,"결제대금비")+MAX(0,IF(예비비!$D379&lt;EDATE(BT$99,1),예비비!$E379,0)-SUMIFS(예비비!$O$430:$O$729,예비비!$B$430:$B$729,예비비!$A379,예비비!$E$430:$E$729,"&lt;"&amp;EDATE(BT$99,1))),0)</f>
        <v>0</v>
      </c>
      <c r="BU379">
        <f>IF(예비비!$R379="OK",SUMIFS(예비비!$O$430:$O$729,예비비!$B$430:$B$729,예비비!$A379,예비비!$E$430:$E$729,"&lt;"&amp;EDATE(BU$99,1),예비비!$F$430:$F$729,"결제대금비")+MAX(0,IF(예비비!$D379&lt;EDATE(BU$99,1),예비비!$E379,0)-SUMIFS(예비비!$O$430:$O$729,예비비!$B$430:$B$729,예비비!$A379,예비비!$E$430:$E$729,"&lt;"&amp;EDATE(BU$99,1))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  <c r="BI380">
        <f>IF(예비비!$R380="OK",SUMIFS(예비비!$O$430:$O$729,예비비!$B$430:$B$729,예비비!$A380,예비비!$E$430:$E$729,"&lt;"&amp;EDATE(BI$99,1),예비비!$F$430:$F$729,"결제대금비")+MAX(0,IF(예비비!$D380&lt;EDATE(BI$99,1),예비비!$E380,0)-SUMIFS(예비비!$O$430:$O$729,예비비!$B$430:$B$729,예비비!$A380,예비비!$E$430:$E$729,"&lt;"&amp;EDATE(BI$99,1))),0)</f>
        <v>0</v>
      </c>
      <c r="BJ380">
        <f>IF(예비비!$R380="OK",SUMIFS(예비비!$O$430:$O$729,예비비!$B$430:$B$729,예비비!$A380,예비비!$E$430:$E$729,"&lt;"&amp;EDATE(BJ$99,1),예비비!$F$430:$F$729,"결제대금비")+MAX(0,IF(예비비!$D380&lt;EDATE(BJ$99,1),예비비!$E380,0)-SUMIFS(예비비!$O$430:$O$729,예비비!$B$430:$B$729,예비비!$A380,예비비!$E$430:$E$729,"&lt;"&amp;EDATE(BJ$99,1))),0)</f>
        <v>0</v>
      </c>
      <c r="BK380">
        <f>IF(예비비!$R380="OK",SUMIFS(예비비!$O$430:$O$729,예비비!$B$430:$B$729,예비비!$A380,예비비!$E$430:$E$729,"&lt;"&amp;EDATE(BK$99,1),예비비!$F$430:$F$729,"결제대금비")+MAX(0,IF(예비비!$D380&lt;EDATE(BK$99,1),예비비!$E380,0)-SUMIFS(예비비!$O$430:$O$729,예비비!$B$430:$B$729,예비비!$A380,예비비!$E$430:$E$729,"&lt;"&amp;EDATE(BK$99,1))),0)</f>
        <v>0</v>
      </c>
      <c r="BL380">
        <f>IF(예비비!$R380="OK",SUMIFS(예비비!$O$430:$O$729,예비비!$B$430:$B$729,예비비!$A380,예비비!$E$430:$E$729,"&lt;"&amp;EDATE(BL$99,1),예비비!$F$430:$F$729,"결제대금비")+MAX(0,IF(예비비!$D380&lt;EDATE(BL$99,1),예비비!$E380,0)-SUMIFS(예비비!$O$430:$O$729,예비비!$B$430:$B$729,예비비!$A380,예비비!$E$430:$E$729,"&lt;"&amp;EDATE(BL$99,1))),0)</f>
        <v>0</v>
      </c>
      <c r="BM380">
        <f>IF(예비비!$R380="OK",SUMIFS(예비비!$O$430:$O$729,예비비!$B$430:$B$729,예비비!$A380,예비비!$E$430:$E$729,"&lt;"&amp;EDATE(BM$99,1),예비비!$F$430:$F$729,"결제대금비")+MAX(0,IF(예비비!$D380&lt;EDATE(BM$99,1),예비비!$E380,0)-SUMIFS(예비비!$O$430:$O$729,예비비!$B$430:$B$729,예비비!$A380,예비비!$E$430:$E$729,"&lt;"&amp;EDATE(BM$99,1))),0)</f>
        <v>0</v>
      </c>
      <c r="BN380">
        <f>IF(예비비!$R380="OK",SUMIFS(예비비!$O$430:$O$729,예비비!$B$430:$B$729,예비비!$A380,예비비!$E$430:$E$729,"&lt;"&amp;EDATE(BN$99,1),예비비!$F$430:$F$729,"결제대금비")+MAX(0,IF(예비비!$D380&lt;EDATE(BN$99,1),예비비!$E380,0)-SUMIFS(예비비!$O$430:$O$729,예비비!$B$430:$B$729,예비비!$A380,예비비!$E$430:$E$729,"&lt;"&amp;EDATE(BN$99,1))),0)</f>
        <v>0</v>
      </c>
      <c r="BO380">
        <f>IF(예비비!$R380="OK",SUMIFS(예비비!$O$430:$O$729,예비비!$B$430:$B$729,예비비!$A380,예비비!$E$430:$E$729,"&lt;"&amp;EDATE(BO$99,1),예비비!$F$430:$F$729,"결제대금비")+MAX(0,IF(예비비!$D380&lt;EDATE(BO$99,1),예비비!$E380,0)-SUMIFS(예비비!$O$430:$O$729,예비비!$B$430:$B$729,예비비!$A380,예비비!$E$430:$E$729,"&lt;"&amp;EDATE(BO$99,1))),0)</f>
        <v>0</v>
      </c>
      <c r="BP380">
        <f>IF(예비비!$R380="OK",SUMIFS(예비비!$O$430:$O$729,예비비!$B$430:$B$729,예비비!$A380,예비비!$E$430:$E$729,"&lt;"&amp;EDATE(BP$99,1),예비비!$F$430:$F$729,"결제대금비")+MAX(0,IF(예비비!$D380&lt;EDATE(BP$99,1),예비비!$E380,0)-SUMIFS(예비비!$O$430:$O$729,예비비!$B$430:$B$729,예비비!$A380,예비비!$E$430:$E$729,"&lt;"&amp;EDATE(BP$99,1))),0)</f>
        <v>0</v>
      </c>
      <c r="BQ380">
        <f>IF(예비비!$R380="OK",SUMIFS(예비비!$O$430:$O$729,예비비!$B$430:$B$729,예비비!$A380,예비비!$E$430:$E$729,"&lt;"&amp;EDATE(BQ$99,1),예비비!$F$430:$F$729,"결제대금비")+MAX(0,IF(예비비!$D380&lt;EDATE(BQ$99,1),예비비!$E380,0)-SUMIFS(예비비!$O$430:$O$729,예비비!$B$430:$B$729,예비비!$A380,예비비!$E$430:$E$729,"&lt;"&amp;EDATE(BQ$99,1))),0)</f>
        <v>0</v>
      </c>
      <c r="BR380">
        <f>IF(예비비!$R380="OK",SUMIFS(예비비!$O$430:$O$729,예비비!$B$430:$B$729,예비비!$A380,예비비!$E$430:$E$729,"&lt;"&amp;EDATE(BR$99,1),예비비!$F$430:$F$729,"결제대금비")+MAX(0,IF(예비비!$D380&lt;EDATE(BR$99,1),예비비!$E380,0)-SUMIFS(예비비!$O$430:$O$729,예비비!$B$430:$B$729,예비비!$A380,예비비!$E$430:$E$729,"&lt;"&amp;EDATE(BR$99,1))),0)</f>
        <v>0</v>
      </c>
      <c r="BS380">
        <f>IF(예비비!$R380="OK",SUMIFS(예비비!$O$430:$O$729,예비비!$B$430:$B$729,예비비!$A380,예비비!$E$430:$E$729,"&lt;"&amp;EDATE(BS$99,1),예비비!$F$430:$F$729,"결제대금비")+MAX(0,IF(예비비!$D380&lt;EDATE(BS$99,1),예비비!$E380,0)-SUMIFS(예비비!$O$430:$O$729,예비비!$B$430:$B$729,예비비!$A380,예비비!$E$430:$E$729,"&lt;"&amp;EDATE(BS$99,1))),0)</f>
        <v>0</v>
      </c>
      <c r="BT380">
        <f>IF(예비비!$R380="OK",SUMIFS(예비비!$O$430:$O$729,예비비!$B$430:$B$729,예비비!$A380,예비비!$E$430:$E$729,"&lt;"&amp;EDATE(BT$99,1),예비비!$F$430:$F$729,"결제대금비")+MAX(0,IF(예비비!$D380&lt;EDATE(BT$99,1),예비비!$E380,0)-SUMIFS(예비비!$O$430:$O$729,예비비!$B$430:$B$729,예비비!$A380,예비비!$E$430:$E$729,"&lt;"&amp;EDATE(BT$99,1))),0)</f>
        <v>0</v>
      </c>
      <c r="BU380">
        <f>IF(예비비!$R380="OK",SUMIFS(예비비!$O$430:$O$729,예비비!$B$430:$B$729,예비비!$A380,예비비!$E$430:$E$729,"&lt;"&amp;EDATE(BU$99,1),예비비!$F$430:$F$729,"결제대금비")+MAX(0,IF(예비비!$D380&lt;EDATE(BU$99,1),예비비!$E380,0)-SUMIFS(예비비!$O$430:$O$729,예비비!$B$430:$B$729,예비비!$A380,예비비!$E$430:$E$729,"&lt;"&amp;EDATE(BU$99,1))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  <c r="BI381">
        <f>IF(예비비!$R381="OK",SUMIFS(예비비!$O$430:$O$729,예비비!$B$430:$B$729,예비비!$A381,예비비!$E$430:$E$729,"&lt;"&amp;EDATE(BI$99,1),예비비!$F$430:$F$729,"결제대금비")+MAX(0,IF(예비비!$D381&lt;EDATE(BI$99,1),예비비!$E381,0)-SUMIFS(예비비!$O$430:$O$729,예비비!$B$430:$B$729,예비비!$A381,예비비!$E$430:$E$729,"&lt;"&amp;EDATE(BI$99,1))),0)</f>
        <v>0</v>
      </c>
      <c r="BJ381">
        <f>IF(예비비!$R381="OK",SUMIFS(예비비!$O$430:$O$729,예비비!$B$430:$B$729,예비비!$A381,예비비!$E$430:$E$729,"&lt;"&amp;EDATE(BJ$99,1),예비비!$F$430:$F$729,"결제대금비")+MAX(0,IF(예비비!$D381&lt;EDATE(BJ$99,1),예비비!$E381,0)-SUMIFS(예비비!$O$430:$O$729,예비비!$B$430:$B$729,예비비!$A381,예비비!$E$430:$E$729,"&lt;"&amp;EDATE(BJ$99,1))),0)</f>
        <v>0</v>
      </c>
      <c r="BK381">
        <f>IF(예비비!$R381="OK",SUMIFS(예비비!$O$430:$O$729,예비비!$B$430:$B$729,예비비!$A381,예비비!$E$430:$E$729,"&lt;"&amp;EDATE(BK$99,1),예비비!$F$430:$F$729,"결제대금비")+MAX(0,IF(예비비!$D381&lt;EDATE(BK$99,1),예비비!$E381,0)-SUMIFS(예비비!$O$430:$O$729,예비비!$B$430:$B$729,예비비!$A381,예비비!$E$430:$E$729,"&lt;"&amp;EDATE(BK$99,1))),0)</f>
        <v>0</v>
      </c>
      <c r="BL381">
        <f>IF(예비비!$R381="OK",SUMIFS(예비비!$O$430:$O$729,예비비!$B$430:$B$729,예비비!$A381,예비비!$E$430:$E$729,"&lt;"&amp;EDATE(BL$99,1),예비비!$F$430:$F$729,"결제대금비")+MAX(0,IF(예비비!$D381&lt;EDATE(BL$99,1),예비비!$E381,0)-SUMIFS(예비비!$O$430:$O$729,예비비!$B$430:$B$729,예비비!$A381,예비비!$E$430:$E$729,"&lt;"&amp;EDATE(BL$99,1))),0)</f>
        <v>0</v>
      </c>
      <c r="BM381">
        <f>IF(예비비!$R381="OK",SUMIFS(예비비!$O$430:$O$729,예비비!$B$430:$B$729,예비비!$A381,예비비!$E$430:$E$729,"&lt;"&amp;EDATE(BM$99,1),예비비!$F$430:$F$729,"결제대금비")+MAX(0,IF(예비비!$D381&lt;EDATE(BM$99,1),예비비!$E381,0)-SUMIFS(예비비!$O$430:$O$729,예비비!$B$430:$B$729,예비비!$A381,예비비!$E$430:$E$729,"&lt;"&amp;EDATE(BM$99,1))),0)</f>
        <v>0</v>
      </c>
      <c r="BN381">
        <f>IF(예비비!$R381="OK",SUMIFS(예비비!$O$430:$O$729,예비비!$B$430:$B$729,예비비!$A381,예비비!$E$430:$E$729,"&lt;"&amp;EDATE(BN$99,1),예비비!$F$430:$F$729,"결제대금비")+MAX(0,IF(예비비!$D381&lt;EDATE(BN$99,1),예비비!$E381,0)-SUMIFS(예비비!$O$430:$O$729,예비비!$B$430:$B$729,예비비!$A381,예비비!$E$430:$E$729,"&lt;"&amp;EDATE(BN$99,1))),0)</f>
        <v>0</v>
      </c>
      <c r="BO381">
        <f>IF(예비비!$R381="OK",SUMIFS(예비비!$O$430:$O$729,예비비!$B$430:$B$729,예비비!$A381,예비비!$E$430:$E$729,"&lt;"&amp;EDATE(BO$99,1),예비비!$F$430:$F$729,"결제대금비")+MAX(0,IF(예비비!$D381&lt;EDATE(BO$99,1),예비비!$E381,0)-SUMIFS(예비비!$O$430:$O$729,예비비!$B$430:$B$729,예비비!$A381,예비비!$E$430:$E$729,"&lt;"&amp;EDATE(BO$99,1))),0)</f>
        <v>0</v>
      </c>
      <c r="BP381">
        <f>IF(예비비!$R381="OK",SUMIFS(예비비!$O$430:$O$729,예비비!$B$430:$B$729,예비비!$A381,예비비!$E$430:$E$729,"&lt;"&amp;EDATE(BP$99,1),예비비!$F$430:$F$729,"결제대금비")+MAX(0,IF(예비비!$D381&lt;EDATE(BP$99,1),예비비!$E381,0)-SUMIFS(예비비!$O$430:$O$729,예비비!$B$430:$B$729,예비비!$A381,예비비!$E$430:$E$729,"&lt;"&amp;EDATE(BP$99,1))),0)</f>
        <v>0</v>
      </c>
      <c r="BQ381">
        <f>IF(예비비!$R381="OK",SUMIFS(예비비!$O$430:$O$729,예비비!$B$430:$B$729,예비비!$A381,예비비!$E$430:$E$729,"&lt;"&amp;EDATE(BQ$99,1),예비비!$F$430:$F$729,"결제대금비")+MAX(0,IF(예비비!$D381&lt;EDATE(BQ$99,1),예비비!$E381,0)-SUMIFS(예비비!$O$430:$O$729,예비비!$B$430:$B$729,예비비!$A381,예비비!$E$430:$E$729,"&lt;"&amp;EDATE(BQ$99,1))),0)</f>
        <v>0</v>
      </c>
      <c r="BR381">
        <f>IF(예비비!$R381="OK",SUMIFS(예비비!$O$430:$O$729,예비비!$B$430:$B$729,예비비!$A381,예비비!$E$430:$E$729,"&lt;"&amp;EDATE(BR$99,1),예비비!$F$430:$F$729,"결제대금비")+MAX(0,IF(예비비!$D381&lt;EDATE(BR$99,1),예비비!$E381,0)-SUMIFS(예비비!$O$430:$O$729,예비비!$B$430:$B$729,예비비!$A381,예비비!$E$430:$E$729,"&lt;"&amp;EDATE(BR$99,1))),0)</f>
        <v>0</v>
      </c>
      <c r="BS381">
        <f>IF(예비비!$R381="OK",SUMIFS(예비비!$O$430:$O$729,예비비!$B$430:$B$729,예비비!$A381,예비비!$E$430:$E$729,"&lt;"&amp;EDATE(BS$99,1),예비비!$F$430:$F$729,"결제대금비")+MAX(0,IF(예비비!$D381&lt;EDATE(BS$99,1),예비비!$E381,0)-SUMIFS(예비비!$O$430:$O$729,예비비!$B$430:$B$729,예비비!$A381,예비비!$E$430:$E$729,"&lt;"&amp;EDATE(BS$99,1))),0)</f>
        <v>0</v>
      </c>
      <c r="BT381">
        <f>IF(예비비!$R381="OK",SUMIFS(예비비!$O$430:$O$729,예비비!$B$430:$B$729,예비비!$A381,예비비!$E$430:$E$729,"&lt;"&amp;EDATE(BT$99,1),예비비!$F$430:$F$729,"결제대금비")+MAX(0,IF(예비비!$D381&lt;EDATE(BT$99,1),예비비!$E381,0)-SUMIFS(예비비!$O$430:$O$729,예비비!$B$430:$B$729,예비비!$A381,예비비!$E$430:$E$729,"&lt;"&amp;EDATE(BT$99,1))),0)</f>
        <v>0</v>
      </c>
      <c r="BU381">
        <f>IF(예비비!$R381="OK",SUMIFS(예비비!$O$430:$O$729,예비비!$B$430:$B$729,예비비!$A381,예비비!$E$430:$E$729,"&lt;"&amp;EDATE(BU$99,1),예비비!$F$430:$F$729,"결제대금비")+MAX(0,IF(예비비!$D381&lt;EDATE(BU$99,1),예비비!$E381,0)-SUMIFS(예비비!$O$430:$O$729,예비비!$B$430:$B$729,예비비!$A381,예비비!$E$430:$E$729,"&lt;"&amp;EDATE(BU$99,1))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  <c r="BI382">
        <f>IF(예비비!$R382="OK",SUMIFS(예비비!$O$430:$O$729,예비비!$B$430:$B$729,예비비!$A382,예비비!$E$430:$E$729,"&lt;"&amp;EDATE(BI$99,1),예비비!$F$430:$F$729,"결제대금비")+MAX(0,IF(예비비!$D382&lt;EDATE(BI$99,1),예비비!$E382,0)-SUMIFS(예비비!$O$430:$O$729,예비비!$B$430:$B$729,예비비!$A382,예비비!$E$430:$E$729,"&lt;"&amp;EDATE(BI$99,1))),0)</f>
        <v>0</v>
      </c>
      <c r="BJ382">
        <f>IF(예비비!$R382="OK",SUMIFS(예비비!$O$430:$O$729,예비비!$B$430:$B$729,예비비!$A382,예비비!$E$430:$E$729,"&lt;"&amp;EDATE(BJ$99,1),예비비!$F$430:$F$729,"결제대금비")+MAX(0,IF(예비비!$D382&lt;EDATE(BJ$99,1),예비비!$E382,0)-SUMIFS(예비비!$O$430:$O$729,예비비!$B$430:$B$729,예비비!$A382,예비비!$E$430:$E$729,"&lt;"&amp;EDATE(BJ$99,1))),0)</f>
        <v>0</v>
      </c>
      <c r="BK382">
        <f>IF(예비비!$R382="OK",SUMIFS(예비비!$O$430:$O$729,예비비!$B$430:$B$729,예비비!$A382,예비비!$E$430:$E$729,"&lt;"&amp;EDATE(BK$99,1),예비비!$F$430:$F$729,"결제대금비")+MAX(0,IF(예비비!$D382&lt;EDATE(BK$99,1),예비비!$E382,0)-SUMIFS(예비비!$O$430:$O$729,예비비!$B$430:$B$729,예비비!$A382,예비비!$E$430:$E$729,"&lt;"&amp;EDATE(BK$99,1))),0)</f>
        <v>0</v>
      </c>
      <c r="BL382">
        <f>IF(예비비!$R382="OK",SUMIFS(예비비!$O$430:$O$729,예비비!$B$430:$B$729,예비비!$A382,예비비!$E$430:$E$729,"&lt;"&amp;EDATE(BL$99,1),예비비!$F$430:$F$729,"결제대금비")+MAX(0,IF(예비비!$D382&lt;EDATE(BL$99,1),예비비!$E382,0)-SUMIFS(예비비!$O$430:$O$729,예비비!$B$430:$B$729,예비비!$A382,예비비!$E$430:$E$729,"&lt;"&amp;EDATE(BL$99,1))),0)</f>
        <v>0</v>
      </c>
      <c r="BM382">
        <f>IF(예비비!$R382="OK",SUMIFS(예비비!$O$430:$O$729,예비비!$B$430:$B$729,예비비!$A382,예비비!$E$430:$E$729,"&lt;"&amp;EDATE(BM$99,1),예비비!$F$430:$F$729,"결제대금비")+MAX(0,IF(예비비!$D382&lt;EDATE(BM$99,1),예비비!$E382,0)-SUMIFS(예비비!$O$430:$O$729,예비비!$B$430:$B$729,예비비!$A382,예비비!$E$430:$E$729,"&lt;"&amp;EDATE(BM$99,1))),0)</f>
        <v>0</v>
      </c>
      <c r="BN382">
        <f>IF(예비비!$R382="OK",SUMIFS(예비비!$O$430:$O$729,예비비!$B$430:$B$729,예비비!$A382,예비비!$E$430:$E$729,"&lt;"&amp;EDATE(BN$99,1),예비비!$F$430:$F$729,"결제대금비")+MAX(0,IF(예비비!$D382&lt;EDATE(BN$99,1),예비비!$E382,0)-SUMIFS(예비비!$O$430:$O$729,예비비!$B$430:$B$729,예비비!$A382,예비비!$E$430:$E$729,"&lt;"&amp;EDATE(BN$99,1))),0)</f>
        <v>0</v>
      </c>
      <c r="BO382">
        <f>IF(예비비!$R382="OK",SUMIFS(예비비!$O$430:$O$729,예비비!$B$430:$B$729,예비비!$A382,예비비!$E$430:$E$729,"&lt;"&amp;EDATE(BO$99,1),예비비!$F$430:$F$729,"결제대금비")+MAX(0,IF(예비비!$D382&lt;EDATE(BO$99,1),예비비!$E382,0)-SUMIFS(예비비!$O$430:$O$729,예비비!$B$430:$B$729,예비비!$A382,예비비!$E$430:$E$729,"&lt;"&amp;EDATE(BO$99,1))),0)</f>
        <v>0</v>
      </c>
      <c r="BP382">
        <f>IF(예비비!$R382="OK",SUMIFS(예비비!$O$430:$O$729,예비비!$B$430:$B$729,예비비!$A382,예비비!$E$430:$E$729,"&lt;"&amp;EDATE(BP$99,1),예비비!$F$430:$F$729,"결제대금비")+MAX(0,IF(예비비!$D382&lt;EDATE(BP$99,1),예비비!$E382,0)-SUMIFS(예비비!$O$430:$O$729,예비비!$B$430:$B$729,예비비!$A382,예비비!$E$430:$E$729,"&lt;"&amp;EDATE(BP$99,1))),0)</f>
        <v>0</v>
      </c>
      <c r="BQ382">
        <f>IF(예비비!$R382="OK",SUMIFS(예비비!$O$430:$O$729,예비비!$B$430:$B$729,예비비!$A382,예비비!$E$430:$E$729,"&lt;"&amp;EDATE(BQ$99,1),예비비!$F$430:$F$729,"결제대금비")+MAX(0,IF(예비비!$D382&lt;EDATE(BQ$99,1),예비비!$E382,0)-SUMIFS(예비비!$O$430:$O$729,예비비!$B$430:$B$729,예비비!$A382,예비비!$E$430:$E$729,"&lt;"&amp;EDATE(BQ$99,1))),0)</f>
        <v>0</v>
      </c>
      <c r="BR382">
        <f>IF(예비비!$R382="OK",SUMIFS(예비비!$O$430:$O$729,예비비!$B$430:$B$729,예비비!$A382,예비비!$E$430:$E$729,"&lt;"&amp;EDATE(BR$99,1),예비비!$F$430:$F$729,"결제대금비")+MAX(0,IF(예비비!$D382&lt;EDATE(BR$99,1),예비비!$E382,0)-SUMIFS(예비비!$O$430:$O$729,예비비!$B$430:$B$729,예비비!$A382,예비비!$E$430:$E$729,"&lt;"&amp;EDATE(BR$99,1))),0)</f>
        <v>0</v>
      </c>
      <c r="BS382">
        <f>IF(예비비!$R382="OK",SUMIFS(예비비!$O$430:$O$729,예비비!$B$430:$B$729,예비비!$A382,예비비!$E$430:$E$729,"&lt;"&amp;EDATE(BS$99,1),예비비!$F$430:$F$729,"결제대금비")+MAX(0,IF(예비비!$D382&lt;EDATE(BS$99,1),예비비!$E382,0)-SUMIFS(예비비!$O$430:$O$729,예비비!$B$430:$B$729,예비비!$A382,예비비!$E$430:$E$729,"&lt;"&amp;EDATE(BS$99,1))),0)</f>
        <v>0</v>
      </c>
      <c r="BT382">
        <f>IF(예비비!$R382="OK",SUMIFS(예비비!$O$430:$O$729,예비비!$B$430:$B$729,예비비!$A382,예비비!$E$430:$E$729,"&lt;"&amp;EDATE(BT$99,1),예비비!$F$430:$F$729,"결제대금비")+MAX(0,IF(예비비!$D382&lt;EDATE(BT$99,1),예비비!$E382,0)-SUMIFS(예비비!$O$430:$O$729,예비비!$B$430:$B$729,예비비!$A382,예비비!$E$430:$E$729,"&lt;"&amp;EDATE(BT$99,1))),0)</f>
        <v>0</v>
      </c>
      <c r="BU382">
        <f>IF(예비비!$R382="OK",SUMIFS(예비비!$O$430:$O$729,예비비!$B$430:$B$729,예비비!$A382,예비비!$E$430:$E$729,"&lt;"&amp;EDATE(BU$99,1),예비비!$F$430:$F$729,"결제대금비")+MAX(0,IF(예비비!$D382&lt;EDATE(BU$99,1),예비비!$E382,0)-SUMIFS(예비비!$O$430:$O$729,예비비!$B$430:$B$729,예비비!$A382,예비비!$E$430:$E$729,"&lt;"&amp;EDATE(BU$99,1))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  <c r="BI383">
        <f>IF(예비비!$R383="OK",SUMIFS(예비비!$O$430:$O$729,예비비!$B$430:$B$729,예비비!$A383,예비비!$E$430:$E$729,"&lt;"&amp;EDATE(BI$99,1),예비비!$F$430:$F$729,"결제대금비")+MAX(0,IF(예비비!$D383&lt;EDATE(BI$99,1),예비비!$E383,0)-SUMIFS(예비비!$O$430:$O$729,예비비!$B$430:$B$729,예비비!$A383,예비비!$E$430:$E$729,"&lt;"&amp;EDATE(BI$99,1))),0)</f>
        <v>0</v>
      </c>
      <c r="BJ383">
        <f>IF(예비비!$R383="OK",SUMIFS(예비비!$O$430:$O$729,예비비!$B$430:$B$729,예비비!$A383,예비비!$E$430:$E$729,"&lt;"&amp;EDATE(BJ$99,1),예비비!$F$430:$F$729,"결제대금비")+MAX(0,IF(예비비!$D383&lt;EDATE(BJ$99,1),예비비!$E383,0)-SUMIFS(예비비!$O$430:$O$729,예비비!$B$430:$B$729,예비비!$A383,예비비!$E$430:$E$729,"&lt;"&amp;EDATE(BJ$99,1))),0)</f>
        <v>0</v>
      </c>
      <c r="BK383">
        <f>IF(예비비!$R383="OK",SUMIFS(예비비!$O$430:$O$729,예비비!$B$430:$B$729,예비비!$A383,예비비!$E$430:$E$729,"&lt;"&amp;EDATE(BK$99,1),예비비!$F$430:$F$729,"결제대금비")+MAX(0,IF(예비비!$D383&lt;EDATE(BK$99,1),예비비!$E383,0)-SUMIFS(예비비!$O$430:$O$729,예비비!$B$430:$B$729,예비비!$A383,예비비!$E$430:$E$729,"&lt;"&amp;EDATE(BK$99,1))),0)</f>
        <v>0</v>
      </c>
      <c r="BL383">
        <f>IF(예비비!$R383="OK",SUMIFS(예비비!$O$430:$O$729,예비비!$B$430:$B$729,예비비!$A383,예비비!$E$430:$E$729,"&lt;"&amp;EDATE(BL$99,1),예비비!$F$430:$F$729,"결제대금비")+MAX(0,IF(예비비!$D383&lt;EDATE(BL$99,1),예비비!$E383,0)-SUMIFS(예비비!$O$430:$O$729,예비비!$B$430:$B$729,예비비!$A383,예비비!$E$430:$E$729,"&lt;"&amp;EDATE(BL$99,1))),0)</f>
        <v>0</v>
      </c>
      <c r="BM383">
        <f>IF(예비비!$R383="OK",SUMIFS(예비비!$O$430:$O$729,예비비!$B$430:$B$729,예비비!$A383,예비비!$E$430:$E$729,"&lt;"&amp;EDATE(BM$99,1),예비비!$F$430:$F$729,"결제대금비")+MAX(0,IF(예비비!$D383&lt;EDATE(BM$99,1),예비비!$E383,0)-SUMIFS(예비비!$O$430:$O$729,예비비!$B$430:$B$729,예비비!$A383,예비비!$E$430:$E$729,"&lt;"&amp;EDATE(BM$99,1))),0)</f>
        <v>0</v>
      </c>
      <c r="BN383">
        <f>IF(예비비!$R383="OK",SUMIFS(예비비!$O$430:$O$729,예비비!$B$430:$B$729,예비비!$A383,예비비!$E$430:$E$729,"&lt;"&amp;EDATE(BN$99,1),예비비!$F$430:$F$729,"결제대금비")+MAX(0,IF(예비비!$D383&lt;EDATE(BN$99,1),예비비!$E383,0)-SUMIFS(예비비!$O$430:$O$729,예비비!$B$430:$B$729,예비비!$A383,예비비!$E$430:$E$729,"&lt;"&amp;EDATE(BN$99,1))),0)</f>
        <v>0</v>
      </c>
      <c r="BO383">
        <f>IF(예비비!$R383="OK",SUMIFS(예비비!$O$430:$O$729,예비비!$B$430:$B$729,예비비!$A383,예비비!$E$430:$E$729,"&lt;"&amp;EDATE(BO$99,1),예비비!$F$430:$F$729,"결제대금비")+MAX(0,IF(예비비!$D383&lt;EDATE(BO$99,1),예비비!$E383,0)-SUMIFS(예비비!$O$430:$O$729,예비비!$B$430:$B$729,예비비!$A383,예비비!$E$430:$E$729,"&lt;"&amp;EDATE(BO$99,1))),0)</f>
        <v>0</v>
      </c>
      <c r="BP383">
        <f>IF(예비비!$R383="OK",SUMIFS(예비비!$O$430:$O$729,예비비!$B$430:$B$729,예비비!$A383,예비비!$E$430:$E$729,"&lt;"&amp;EDATE(BP$99,1),예비비!$F$430:$F$729,"결제대금비")+MAX(0,IF(예비비!$D383&lt;EDATE(BP$99,1),예비비!$E383,0)-SUMIFS(예비비!$O$430:$O$729,예비비!$B$430:$B$729,예비비!$A383,예비비!$E$430:$E$729,"&lt;"&amp;EDATE(BP$99,1))),0)</f>
        <v>0</v>
      </c>
      <c r="BQ383">
        <f>IF(예비비!$R383="OK",SUMIFS(예비비!$O$430:$O$729,예비비!$B$430:$B$729,예비비!$A383,예비비!$E$430:$E$729,"&lt;"&amp;EDATE(BQ$99,1),예비비!$F$430:$F$729,"결제대금비")+MAX(0,IF(예비비!$D383&lt;EDATE(BQ$99,1),예비비!$E383,0)-SUMIFS(예비비!$O$430:$O$729,예비비!$B$430:$B$729,예비비!$A383,예비비!$E$430:$E$729,"&lt;"&amp;EDATE(BQ$99,1))),0)</f>
        <v>0</v>
      </c>
      <c r="BR383">
        <f>IF(예비비!$R383="OK",SUMIFS(예비비!$O$430:$O$729,예비비!$B$430:$B$729,예비비!$A383,예비비!$E$430:$E$729,"&lt;"&amp;EDATE(BR$99,1),예비비!$F$430:$F$729,"결제대금비")+MAX(0,IF(예비비!$D383&lt;EDATE(BR$99,1),예비비!$E383,0)-SUMIFS(예비비!$O$430:$O$729,예비비!$B$430:$B$729,예비비!$A383,예비비!$E$430:$E$729,"&lt;"&amp;EDATE(BR$99,1))),0)</f>
        <v>0</v>
      </c>
      <c r="BS383">
        <f>IF(예비비!$R383="OK",SUMIFS(예비비!$O$430:$O$729,예비비!$B$430:$B$729,예비비!$A383,예비비!$E$430:$E$729,"&lt;"&amp;EDATE(BS$99,1),예비비!$F$430:$F$729,"결제대금비")+MAX(0,IF(예비비!$D383&lt;EDATE(BS$99,1),예비비!$E383,0)-SUMIFS(예비비!$O$430:$O$729,예비비!$B$430:$B$729,예비비!$A383,예비비!$E$430:$E$729,"&lt;"&amp;EDATE(BS$99,1))),0)</f>
        <v>0</v>
      </c>
      <c r="BT383">
        <f>IF(예비비!$R383="OK",SUMIFS(예비비!$O$430:$O$729,예비비!$B$430:$B$729,예비비!$A383,예비비!$E$430:$E$729,"&lt;"&amp;EDATE(BT$99,1),예비비!$F$430:$F$729,"결제대금비")+MAX(0,IF(예비비!$D383&lt;EDATE(BT$99,1),예비비!$E383,0)-SUMIFS(예비비!$O$430:$O$729,예비비!$B$430:$B$729,예비비!$A383,예비비!$E$430:$E$729,"&lt;"&amp;EDATE(BT$99,1))),0)</f>
        <v>0</v>
      </c>
      <c r="BU383">
        <f>IF(예비비!$R383="OK",SUMIFS(예비비!$O$430:$O$729,예비비!$B$430:$B$729,예비비!$A383,예비비!$E$430:$E$729,"&lt;"&amp;EDATE(BU$99,1),예비비!$F$430:$F$729,"결제대금비")+MAX(0,IF(예비비!$D383&lt;EDATE(BU$99,1),예비비!$E383,0)-SUMIFS(예비비!$O$430:$O$729,예비비!$B$430:$B$729,예비비!$A383,예비비!$E$430:$E$729,"&lt;"&amp;EDATE(BU$99,1))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  <c r="BI384">
        <f>IF(예비비!$R384="OK",SUMIFS(예비비!$O$430:$O$729,예비비!$B$430:$B$729,예비비!$A384,예비비!$E$430:$E$729,"&lt;"&amp;EDATE(BI$99,1),예비비!$F$430:$F$729,"결제대금비")+MAX(0,IF(예비비!$D384&lt;EDATE(BI$99,1),예비비!$E384,0)-SUMIFS(예비비!$O$430:$O$729,예비비!$B$430:$B$729,예비비!$A384,예비비!$E$430:$E$729,"&lt;"&amp;EDATE(BI$99,1))),0)</f>
        <v>0</v>
      </c>
      <c r="BJ384">
        <f>IF(예비비!$R384="OK",SUMIFS(예비비!$O$430:$O$729,예비비!$B$430:$B$729,예비비!$A384,예비비!$E$430:$E$729,"&lt;"&amp;EDATE(BJ$99,1),예비비!$F$430:$F$729,"결제대금비")+MAX(0,IF(예비비!$D384&lt;EDATE(BJ$99,1),예비비!$E384,0)-SUMIFS(예비비!$O$430:$O$729,예비비!$B$430:$B$729,예비비!$A384,예비비!$E$430:$E$729,"&lt;"&amp;EDATE(BJ$99,1))),0)</f>
        <v>0</v>
      </c>
      <c r="BK384">
        <f>IF(예비비!$R384="OK",SUMIFS(예비비!$O$430:$O$729,예비비!$B$430:$B$729,예비비!$A384,예비비!$E$430:$E$729,"&lt;"&amp;EDATE(BK$99,1),예비비!$F$430:$F$729,"결제대금비")+MAX(0,IF(예비비!$D384&lt;EDATE(BK$99,1),예비비!$E384,0)-SUMIFS(예비비!$O$430:$O$729,예비비!$B$430:$B$729,예비비!$A384,예비비!$E$430:$E$729,"&lt;"&amp;EDATE(BK$99,1))),0)</f>
        <v>0</v>
      </c>
      <c r="BL384">
        <f>IF(예비비!$R384="OK",SUMIFS(예비비!$O$430:$O$729,예비비!$B$430:$B$729,예비비!$A384,예비비!$E$430:$E$729,"&lt;"&amp;EDATE(BL$99,1),예비비!$F$430:$F$729,"결제대금비")+MAX(0,IF(예비비!$D384&lt;EDATE(BL$99,1),예비비!$E384,0)-SUMIFS(예비비!$O$430:$O$729,예비비!$B$430:$B$729,예비비!$A384,예비비!$E$430:$E$729,"&lt;"&amp;EDATE(BL$99,1))),0)</f>
        <v>0</v>
      </c>
      <c r="BM384">
        <f>IF(예비비!$R384="OK",SUMIFS(예비비!$O$430:$O$729,예비비!$B$430:$B$729,예비비!$A384,예비비!$E$430:$E$729,"&lt;"&amp;EDATE(BM$99,1),예비비!$F$430:$F$729,"결제대금비")+MAX(0,IF(예비비!$D384&lt;EDATE(BM$99,1),예비비!$E384,0)-SUMIFS(예비비!$O$430:$O$729,예비비!$B$430:$B$729,예비비!$A384,예비비!$E$430:$E$729,"&lt;"&amp;EDATE(BM$99,1))),0)</f>
        <v>0</v>
      </c>
      <c r="BN384">
        <f>IF(예비비!$R384="OK",SUMIFS(예비비!$O$430:$O$729,예비비!$B$430:$B$729,예비비!$A384,예비비!$E$430:$E$729,"&lt;"&amp;EDATE(BN$99,1),예비비!$F$430:$F$729,"결제대금비")+MAX(0,IF(예비비!$D384&lt;EDATE(BN$99,1),예비비!$E384,0)-SUMIFS(예비비!$O$430:$O$729,예비비!$B$430:$B$729,예비비!$A384,예비비!$E$430:$E$729,"&lt;"&amp;EDATE(BN$99,1))),0)</f>
        <v>0</v>
      </c>
      <c r="BO384">
        <f>IF(예비비!$R384="OK",SUMIFS(예비비!$O$430:$O$729,예비비!$B$430:$B$729,예비비!$A384,예비비!$E$430:$E$729,"&lt;"&amp;EDATE(BO$99,1),예비비!$F$430:$F$729,"결제대금비")+MAX(0,IF(예비비!$D384&lt;EDATE(BO$99,1),예비비!$E384,0)-SUMIFS(예비비!$O$430:$O$729,예비비!$B$430:$B$729,예비비!$A384,예비비!$E$430:$E$729,"&lt;"&amp;EDATE(BO$99,1))),0)</f>
        <v>0</v>
      </c>
      <c r="BP384">
        <f>IF(예비비!$R384="OK",SUMIFS(예비비!$O$430:$O$729,예비비!$B$430:$B$729,예비비!$A384,예비비!$E$430:$E$729,"&lt;"&amp;EDATE(BP$99,1),예비비!$F$430:$F$729,"결제대금비")+MAX(0,IF(예비비!$D384&lt;EDATE(BP$99,1),예비비!$E384,0)-SUMIFS(예비비!$O$430:$O$729,예비비!$B$430:$B$729,예비비!$A384,예비비!$E$430:$E$729,"&lt;"&amp;EDATE(BP$99,1))),0)</f>
        <v>0</v>
      </c>
      <c r="BQ384">
        <f>IF(예비비!$R384="OK",SUMIFS(예비비!$O$430:$O$729,예비비!$B$430:$B$729,예비비!$A384,예비비!$E$430:$E$729,"&lt;"&amp;EDATE(BQ$99,1),예비비!$F$430:$F$729,"결제대금비")+MAX(0,IF(예비비!$D384&lt;EDATE(BQ$99,1),예비비!$E384,0)-SUMIFS(예비비!$O$430:$O$729,예비비!$B$430:$B$729,예비비!$A384,예비비!$E$430:$E$729,"&lt;"&amp;EDATE(BQ$99,1))),0)</f>
        <v>0</v>
      </c>
      <c r="BR384">
        <f>IF(예비비!$R384="OK",SUMIFS(예비비!$O$430:$O$729,예비비!$B$430:$B$729,예비비!$A384,예비비!$E$430:$E$729,"&lt;"&amp;EDATE(BR$99,1),예비비!$F$430:$F$729,"결제대금비")+MAX(0,IF(예비비!$D384&lt;EDATE(BR$99,1),예비비!$E384,0)-SUMIFS(예비비!$O$430:$O$729,예비비!$B$430:$B$729,예비비!$A384,예비비!$E$430:$E$729,"&lt;"&amp;EDATE(BR$99,1))),0)</f>
        <v>0</v>
      </c>
      <c r="BS384">
        <f>IF(예비비!$R384="OK",SUMIFS(예비비!$O$430:$O$729,예비비!$B$430:$B$729,예비비!$A384,예비비!$E$430:$E$729,"&lt;"&amp;EDATE(BS$99,1),예비비!$F$430:$F$729,"결제대금비")+MAX(0,IF(예비비!$D384&lt;EDATE(BS$99,1),예비비!$E384,0)-SUMIFS(예비비!$O$430:$O$729,예비비!$B$430:$B$729,예비비!$A384,예비비!$E$430:$E$729,"&lt;"&amp;EDATE(BS$99,1))),0)</f>
        <v>0</v>
      </c>
      <c r="BT384">
        <f>IF(예비비!$R384="OK",SUMIFS(예비비!$O$430:$O$729,예비비!$B$430:$B$729,예비비!$A384,예비비!$E$430:$E$729,"&lt;"&amp;EDATE(BT$99,1),예비비!$F$430:$F$729,"결제대금비")+MAX(0,IF(예비비!$D384&lt;EDATE(BT$99,1),예비비!$E384,0)-SUMIFS(예비비!$O$430:$O$729,예비비!$B$430:$B$729,예비비!$A384,예비비!$E$430:$E$729,"&lt;"&amp;EDATE(BT$99,1))),0)</f>
        <v>0</v>
      </c>
      <c r="BU384">
        <f>IF(예비비!$R384="OK",SUMIFS(예비비!$O$430:$O$729,예비비!$B$430:$B$729,예비비!$A384,예비비!$E$430:$E$729,"&lt;"&amp;EDATE(BU$99,1),예비비!$F$430:$F$729,"결제대금비")+MAX(0,IF(예비비!$D384&lt;EDATE(BU$99,1),예비비!$E384,0)-SUMIFS(예비비!$O$430:$O$729,예비비!$B$430:$B$729,예비비!$A384,예비비!$E$430:$E$729,"&lt;"&amp;EDATE(BU$99,1))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  <c r="BI385">
        <f>IF(예비비!$R385="OK",SUMIFS(예비비!$O$430:$O$729,예비비!$B$430:$B$729,예비비!$A385,예비비!$E$430:$E$729,"&lt;"&amp;EDATE(BI$99,1),예비비!$F$430:$F$729,"결제대금비")+MAX(0,IF(예비비!$D385&lt;EDATE(BI$99,1),예비비!$E385,0)-SUMIFS(예비비!$O$430:$O$729,예비비!$B$430:$B$729,예비비!$A385,예비비!$E$430:$E$729,"&lt;"&amp;EDATE(BI$99,1))),0)</f>
        <v>0</v>
      </c>
      <c r="BJ385">
        <f>IF(예비비!$R385="OK",SUMIFS(예비비!$O$430:$O$729,예비비!$B$430:$B$729,예비비!$A385,예비비!$E$430:$E$729,"&lt;"&amp;EDATE(BJ$99,1),예비비!$F$430:$F$729,"결제대금비")+MAX(0,IF(예비비!$D385&lt;EDATE(BJ$99,1),예비비!$E385,0)-SUMIFS(예비비!$O$430:$O$729,예비비!$B$430:$B$729,예비비!$A385,예비비!$E$430:$E$729,"&lt;"&amp;EDATE(BJ$99,1))),0)</f>
        <v>0</v>
      </c>
      <c r="BK385">
        <f>IF(예비비!$R385="OK",SUMIFS(예비비!$O$430:$O$729,예비비!$B$430:$B$729,예비비!$A385,예비비!$E$430:$E$729,"&lt;"&amp;EDATE(BK$99,1),예비비!$F$430:$F$729,"결제대금비")+MAX(0,IF(예비비!$D385&lt;EDATE(BK$99,1),예비비!$E385,0)-SUMIFS(예비비!$O$430:$O$729,예비비!$B$430:$B$729,예비비!$A385,예비비!$E$430:$E$729,"&lt;"&amp;EDATE(BK$99,1))),0)</f>
        <v>0</v>
      </c>
      <c r="BL385">
        <f>IF(예비비!$R385="OK",SUMIFS(예비비!$O$430:$O$729,예비비!$B$430:$B$729,예비비!$A385,예비비!$E$430:$E$729,"&lt;"&amp;EDATE(BL$99,1),예비비!$F$430:$F$729,"결제대금비")+MAX(0,IF(예비비!$D385&lt;EDATE(BL$99,1),예비비!$E385,0)-SUMIFS(예비비!$O$430:$O$729,예비비!$B$430:$B$729,예비비!$A385,예비비!$E$430:$E$729,"&lt;"&amp;EDATE(BL$99,1))),0)</f>
        <v>0</v>
      </c>
      <c r="BM385">
        <f>IF(예비비!$R385="OK",SUMIFS(예비비!$O$430:$O$729,예비비!$B$430:$B$729,예비비!$A385,예비비!$E$430:$E$729,"&lt;"&amp;EDATE(BM$99,1),예비비!$F$430:$F$729,"결제대금비")+MAX(0,IF(예비비!$D385&lt;EDATE(BM$99,1),예비비!$E385,0)-SUMIFS(예비비!$O$430:$O$729,예비비!$B$430:$B$729,예비비!$A385,예비비!$E$430:$E$729,"&lt;"&amp;EDATE(BM$99,1))),0)</f>
        <v>0</v>
      </c>
      <c r="BN385">
        <f>IF(예비비!$R385="OK",SUMIFS(예비비!$O$430:$O$729,예비비!$B$430:$B$729,예비비!$A385,예비비!$E$430:$E$729,"&lt;"&amp;EDATE(BN$99,1),예비비!$F$430:$F$729,"결제대금비")+MAX(0,IF(예비비!$D385&lt;EDATE(BN$99,1),예비비!$E385,0)-SUMIFS(예비비!$O$430:$O$729,예비비!$B$430:$B$729,예비비!$A385,예비비!$E$430:$E$729,"&lt;"&amp;EDATE(BN$99,1))),0)</f>
        <v>0</v>
      </c>
      <c r="BO385">
        <f>IF(예비비!$R385="OK",SUMIFS(예비비!$O$430:$O$729,예비비!$B$430:$B$729,예비비!$A385,예비비!$E$430:$E$729,"&lt;"&amp;EDATE(BO$99,1),예비비!$F$430:$F$729,"결제대금비")+MAX(0,IF(예비비!$D385&lt;EDATE(BO$99,1),예비비!$E385,0)-SUMIFS(예비비!$O$430:$O$729,예비비!$B$430:$B$729,예비비!$A385,예비비!$E$430:$E$729,"&lt;"&amp;EDATE(BO$99,1))),0)</f>
        <v>0</v>
      </c>
      <c r="BP385">
        <f>IF(예비비!$R385="OK",SUMIFS(예비비!$O$430:$O$729,예비비!$B$430:$B$729,예비비!$A385,예비비!$E$430:$E$729,"&lt;"&amp;EDATE(BP$99,1),예비비!$F$430:$F$729,"결제대금비")+MAX(0,IF(예비비!$D385&lt;EDATE(BP$99,1),예비비!$E385,0)-SUMIFS(예비비!$O$430:$O$729,예비비!$B$430:$B$729,예비비!$A385,예비비!$E$430:$E$729,"&lt;"&amp;EDATE(BP$99,1))),0)</f>
        <v>0</v>
      </c>
      <c r="BQ385">
        <f>IF(예비비!$R385="OK",SUMIFS(예비비!$O$430:$O$729,예비비!$B$430:$B$729,예비비!$A385,예비비!$E$430:$E$729,"&lt;"&amp;EDATE(BQ$99,1),예비비!$F$430:$F$729,"결제대금비")+MAX(0,IF(예비비!$D385&lt;EDATE(BQ$99,1),예비비!$E385,0)-SUMIFS(예비비!$O$430:$O$729,예비비!$B$430:$B$729,예비비!$A385,예비비!$E$430:$E$729,"&lt;"&amp;EDATE(BQ$99,1))),0)</f>
        <v>0</v>
      </c>
      <c r="BR385">
        <f>IF(예비비!$R385="OK",SUMIFS(예비비!$O$430:$O$729,예비비!$B$430:$B$729,예비비!$A385,예비비!$E$430:$E$729,"&lt;"&amp;EDATE(BR$99,1),예비비!$F$430:$F$729,"결제대금비")+MAX(0,IF(예비비!$D385&lt;EDATE(BR$99,1),예비비!$E385,0)-SUMIFS(예비비!$O$430:$O$729,예비비!$B$430:$B$729,예비비!$A385,예비비!$E$430:$E$729,"&lt;"&amp;EDATE(BR$99,1))),0)</f>
        <v>0</v>
      </c>
      <c r="BS385">
        <f>IF(예비비!$R385="OK",SUMIFS(예비비!$O$430:$O$729,예비비!$B$430:$B$729,예비비!$A385,예비비!$E$430:$E$729,"&lt;"&amp;EDATE(BS$99,1),예비비!$F$430:$F$729,"결제대금비")+MAX(0,IF(예비비!$D385&lt;EDATE(BS$99,1),예비비!$E385,0)-SUMIFS(예비비!$O$430:$O$729,예비비!$B$430:$B$729,예비비!$A385,예비비!$E$430:$E$729,"&lt;"&amp;EDATE(BS$99,1))),0)</f>
        <v>0</v>
      </c>
      <c r="BT385">
        <f>IF(예비비!$R385="OK",SUMIFS(예비비!$O$430:$O$729,예비비!$B$430:$B$729,예비비!$A385,예비비!$E$430:$E$729,"&lt;"&amp;EDATE(BT$99,1),예비비!$F$430:$F$729,"결제대금비")+MAX(0,IF(예비비!$D385&lt;EDATE(BT$99,1),예비비!$E385,0)-SUMIFS(예비비!$O$430:$O$729,예비비!$B$430:$B$729,예비비!$A385,예비비!$E$430:$E$729,"&lt;"&amp;EDATE(BT$99,1))),0)</f>
        <v>0</v>
      </c>
      <c r="BU385">
        <f>IF(예비비!$R385="OK",SUMIFS(예비비!$O$430:$O$729,예비비!$B$430:$B$729,예비비!$A385,예비비!$E$430:$E$729,"&lt;"&amp;EDATE(BU$99,1),예비비!$F$430:$F$729,"결제대금비")+MAX(0,IF(예비비!$D385&lt;EDATE(BU$99,1),예비비!$E385,0)-SUMIFS(예비비!$O$430:$O$729,예비비!$B$430:$B$729,예비비!$A385,예비비!$E$430:$E$729,"&lt;"&amp;EDATE(BU$99,1))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  <c r="BI386">
        <f>IF(예비비!$R386="OK",SUMIFS(예비비!$O$430:$O$729,예비비!$B$430:$B$729,예비비!$A386,예비비!$E$430:$E$729,"&lt;"&amp;EDATE(BI$99,1),예비비!$F$430:$F$729,"결제대금비")+MAX(0,IF(예비비!$D386&lt;EDATE(BI$99,1),예비비!$E386,0)-SUMIFS(예비비!$O$430:$O$729,예비비!$B$430:$B$729,예비비!$A386,예비비!$E$430:$E$729,"&lt;"&amp;EDATE(BI$99,1))),0)</f>
        <v>0</v>
      </c>
      <c r="BJ386">
        <f>IF(예비비!$R386="OK",SUMIFS(예비비!$O$430:$O$729,예비비!$B$430:$B$729,예비비!$A386,예비비!$E$430:$E$729,"&lt;"&amp;EDATE(BJ$99,1),예비비!$F$430:$F$729,"결제대금비")+MAX(0,IF(예비비!$D386&lt;EDATE(BJ$99,1),예비비!$E386,0)-SUMIFS(예비비!$O$430:$O$729,예비비!$B$430:$B$729,예비비!$A386,예비비!$E$430:$E$729,"&lt;"&amp;EDATE(BJ$99,1))),0)</f>
        <v>0</v>
      </c>
      <c r="BK386">
        <f>IF(예비비!$R386="OK",SUMIFS(예비비!$O$430:$O$729,예비비!$B$430:$B$729,예비비!$A386,예비비!$E$430:$E$729,"&lt;"&amp;EDATE(BK$99,1),예비비!$F$430:$F$729,"결제대금비")+MAX(0,IF(예비비!$D386&lt;EDATE(BK$99,1),예비비!$E386,0)-SUMIFS(예비비!$O$430:$O$729,예비비!$B$430:$B$729,예비비!$A386,예비비!$E$430:$E$729,"&lt;"&amp;EDATE(BK$99,1))),0)</f>
        <v>0</v>
      </c>
      <c r="BL386">
        <f>IF(예비비!$R386="OK",SUMIFS(예비비!$O$430:$O$729,예비비!$B$430:$B$729,예비비!$A386,예비비!$E$430:$E$729,"&lt;"&amp;EDATE(BL$99,1),예비비!$F$430:$F$729,"결제대금비")+MAX(0,IF(예비비!$D386&lt;EDATE(BL$99,1),예비비!$E386,0)-SUMIFS(예비비!$O$430:$O$729,예비비!$B$430:$B$729,예비비!$A386,예비비!$E$430:$E$729,"&lt;"&amp;EDATE(BL$99,1))),0)</f>
        <v>0</v>
      </c>
      <c r="BM386">
        <f>IF(예비비!$R386="OK",SUMIFS(예비비!$O$430:$O$729,예비비!$B$430:$B$729,예비비!$A386,예비비!$E$430:$E$729,"&lt;"&amp;EDATE(BM$99,1),예비비!$F$430:$F$729,"결제대금비")+MAX(0,IF(예비비!$D386&lt;EDATE(BM$99,1),예비비!$E386,0)-SUMIFS(예비비!$O$430:$O$729,예비비!$B$430:$B$729,예비비!$A386,예비비!$E$430:$E$729,"&lt;"&amp;EDATE(BM$99,1))),0)</f>
        <v>0</v>
      </c>
      <c r="BN386">
        <f>IF(예비비!$R386="OK",SUMIFS(예비비!$O$430:$O$729,예비비!$B$430:$B$729,예비비!$A386,예비비!$E$430:$E$729,"&lt;"&amp;EDATE(BN$99,1),예비비!$F$430:$F$729,"결제대금비")+MAX(0,IF(예비비!$D386&lt;EDATE(BN$99,1),예비비!$E386,0)-SUMIFS(예비비!$O$430:$O$729,예비비!$B$430:$B$729,예비비!$A386,예비비!$E$430:$E$729,"&lt;"&amp;EDATE(BN$99,1))),0)</f>
        <v>0</v>
      </c>
      <c r="BO386">
        <f>IF(예비비!$R386="OK",SUMIFS(예비비!$O$430:$O$729,예비비!$B$430:$B$729,예비비!$A386,예비비!$E$430:$E$729,"&lt;"&amp;EDATE(BO$99,1),예비비!$F$430:$F$729,"결제대금비")+MAX(0,IF(예비비!$D386&lt;EDATE(BO$99,1),예비비!$E386,0)-SUMIFS(예비비!$O$430:$O$729,예비비!$B$430:$B$729,예비비!$A386,예비비!$E$430:$E$729,"&lt;"&amp;EDATE(BO$99,1))),0)</f>
        <v>0</v>
      </c>
      <c r="BP386">
        <f>IF(예비비!$R386="OK",SUMIFS(예비비!$O$430:$O$729,예비비!$B$430:$B$729,예비비!$A386,예비비!$E$430:$E$729,"&lt;"&amp;EDATE(BP$99,1),예비비!$F$430:$F$729,"결제대금비")+MAX(0,IF(예비비!$D386&lt;EDATE(BP$99,1),예비비!$E386,0)-SUMIFS(예비비!$O$430:$O$729,예비비!$B$430:$B$729,예비비!$A386,예비비!$E$430:$E$729,"&lt;"&amp;EDATE(BP$99,1))),0)</f>
        <v>0</v>
      </c>
      <c r="BQ386">
        <f>IF(예비비!$R386="OK",SUMIFS(예비비!$O$430:$O$729,예비비!$B$430:$B$729,예비비!$A386,예비비!$E$430:$E$729,"&lt;"&amp;EDATE(BQ$99,1),예비비!$F$430:$F$729,"결제대금비")+MAX(0,IF(예비비!$D386&lt;EDATE(BQ$99,1),예비비!$E386,0)-SUMIFS(예비비!$O$430:$O$729,예비비!$B$430:$B$729,예비비!$A386,예비비!$E$430:$E$729,"&lt;"&amp;EDATE(BQ$99,1))),0)</f>
        <v>0</v>
      </c>
      <c r="BR386">
        <f>IF(예비비!$R386="OK",SUMIFS(예비비!$O$430:$O$729,예비비!$B$430:$B$729,예비비!$A386,예비비!$E$430:$E$729,"&lt;"&amp;EDATE(BR$99,1),예비비!$F$430:$F$729,"결제대금비")+MAX(0,IF(예비비!$D386&lt;EDATE(BR$99,1),예비비!$E386,0)-SUMIFS(예비비!$O$430:$O$729,예비비!$B$430:$B$729,예비비!$A386,예비비!$E$430:$E$729,"&lt;"&amp;EDATE(BR$99,1))),0)</f>
        <v>0</v>
      </c>
      <c r="BS386">
        <f>IF(예비비!$R386="OK",SUMIFS(예비비!$O$430:$O$729,예비비!$B$430:$B$729,예비비!$A386,예비비!$E$430:$E$729,"&lt;"&amp;EDATE(BS$99,1),예비비!$F$430:$F$729,"결제대금비")+MAX(0,IF(예비비!$D386&lt;EDATE(BS$99,1),예비비!$E386,0)-SUMIFS(예비비!$O$430:$O$729,예비비!$B$430:$B$729,예비비!$A386,예비비!$E$430:$E$729,"&lt;"&amp;EDATE(BS$99,1))),0)</f>
        <v>0</v>
      </c>
      <c r="BT386">
        <f>IF(예비비!$R386="OK",SUMIFS(예비비!$O$430:$O$729,예비비!$B$430:$B$729,예비비!$A386,예비비!$E$430:$E$729,"&lt;"&amp;EDATE(BT$99,1),예비비!$F$430:$F$729,"결제대금비")+MAX(0,IF(예비비!$D386&lt;EDATE(BT$99,1),예비비!$E386,0)-SUMIFS(예비비!$O$430:$O$729,예비비!$B$430:$B$729,예비비!$A386,예비비!$E$430:$E$729,"&lt;"&amp;EDATE(BT$99,1))),0)</f>
        <v>0</v>
      </c>
      <c r="BU386">
        <f>IF(예비비!$R386="OK",SUMIFS(예비비!$O$430:$O$729,예비비!$B$430:$B$729,예비비!$A386,예비비!$E$430:$E$729,"&lt;"&amp;EDATE(BU$99,1),예비비!$F$430:$F$729,"결제대금비")+MAX(0,IF(예비비!$D386&lt;EDATE(BU$99,1),예비비!$E386,0)-SUMIFS(예비비!$O$430:$O$729,예비비!$B$430:$B$729,예비비!$A386,예비비!$E$430:$E$729,"&lt;"&amp;EDATE(BU$99,1))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  <c r="BI387">
        <f>IF(예비비!$R387="OK",SUMIFS(예비비!$O$430:$O$729,예비비!$B$430:$B$729,예비비!$A387,예비비!$E$430:$E$729,"&lt;"&amp;EDATE(BI$99,1),예비비!$F$430:$F$729,"결제대금비")+MAX(0,IF(예비비!$D387&lt;EDATE(BI$99,1),예비비!$E387,0)-SUMIFS(예비비!$O$430:$O$729,예비비!$B$430:$B$729,예비비!$A387,예비비!$E$430:$E$729,"&lt;"&amp;EDATE(BI$99,1))),0)</f>
        <v>0</v>
      </c>
      <c r="BJ387">
        <f>IF(예비비!$R387="OK",SUMIFS(예비비!$O$430:$O$729,예비비!$B$430:$B$729,예비비!$A387,예비비!$E$430:$E$729,"&lt;"&amp;EDATE(BJ$99,1),예비비!$F$430:$F$729,"결제대금비")+MAX(0,IF(예비비!$D387&lt;EDATE(BJ$99,1),예비비!$E387,0)-SUMIFS(예비비!$O$430:$O$729,예비비!$B$430:$B$729,예비비!$A387,예비비!$E$430:$E$729,"&lt;"&amp;EDATE(BJ$99,1))),0)</f>
        <v>0</v>
      </c>
      <c r="BK387">
        <f>IF(예비비!$R387="OK",SUMIFS(예비비!$O$430:$O$729,예비비!$B$430:$B$729,예비비!$A387,예비비!$E$430:$E$729,"&lt;"&amp;EDATE(BK$99,1),예비비!$F$430:$F$729,"결제대금비")+MAX(0,IF(예비비!$D387&lt;EDATE(BK$99,1),예비비!$E387,0)-SUMIFS(예비비!$O$430:$O$729,예비비!$B$430:$B$729,예비비!$A387,예비비!$E$430:$E$729,"&lt;"&amp;EDATE(BK$99,1))),0)</f>
        <v>0</v>
      </c>
      <c r="BL387">
        <f>IF(예비비!$R387="OK",SUMIFS(예비비!$O$430:$O$729,예비비!$B$430:$B$729,예비비!$A387,예비비!$E$430:$E$729,"&lt;"&amp;EDATE(BL$99,1),예비비!$F$430:$F$729,"결제대금비")+MAX(0,IF(예비비!$D387&lt;EDATE(BL$99,1),예비비!$E387,0)-SUMIFS(예비비!$O$430:$O$729,예비비!$B$430:$B$729,예비비!$A387,예비비!$E$430:$E$729,"&lt;"&amp;EDATE(BL$99,1))),0)</f>
        <v>0</v>
      </c>
      <c r="BM387">
        <f>IF(예비비!$R387="OK",SUMIFS(예비비!$O$430:$O$729,예비비!$B$430:$B$729,예비비!$A387,예비비!$E$430:$E$729,"&lt;"&amp;EDATE(BM$99,1),예비비!$F$430:$F$729,"결제대금비")+MAX(0,IF(예비비!$D387&lt;EDATE(BM$99,1),예비비!$E387,0)-SUMIFS(예비비!$O$430:$O$729,예비비!$B$430:$B$729,예비비!$A387,예비비!$E$430:$E$729,"&lt;"&amp;EDATE(BM$99,1))),0)</f>
        <v>0</v>
      </c>
      <c r="BN387">
        <f>IF(예비비!$R387="OK",SUMIFS(예비비!$O$430:$O$729,예비비!$B$430:$B$729,예비비!$A387,예비비!$E$430:$E$729,"&lt;"&amp;EDATE(BN$99,1),예비비!$F$430:$F$729,"결제대금비")+MAX(0,IF(예비비!$D387&lt;EDATE(BN$99,1),예비비!$E387,0)-SUMIFS(예비비!$O$430:$O$729,예비비!$B$430:$B$729,예비비!$A387,예비비!$E$430:$E$729,"&lt;"&amp;EDATE(BN$99,1))),0)</f>
        <v>0</v>
      </c>
      <c r="BO387">
        <f>IF(예비비!$R387="OK",SUMIFS(예비비!$O$430:$O$729,예비비!$B$430:$B$729,예비비!$A387,예비비!$E$430:$E$729,"&lt;"&amp;EDATE(BO$99,1),예비비!$F$430:$F$729,"결제대금비")+MAX(0,IF(예비비!$D387&lt;EDATE(BO$99,1),예비비!$E387,0)-SUMIFS(예비비!$O$430:$O$729,예비비!$B$430:$B$729,예비비!$A387,예비비!$E$430:$E$729,"&lt;"&amp;EDATE(BO$99,1))),0)</f>
        <v>0</v>
      </c>
      <c r="BP387">
        <f>IF(예비비!$R387="OK",SUMIFS(예비비!$O$430:$O$729,예비비!$B$430:$B$729,예비비!$A387,예비비!$E$430:$E$729,"&lt;"&amp;EDATE(BP$99,1),예비비!$F$430:$F$729,"결제대금비")+MAX(0,IF(예비비!$D387&lt;EDATE(BP$99,1),예비비!$E387,0)-SUMIFS(예비비!$O$430:$O$729,예비비!$B$430:$B$729,예비비!$A387,예비비!$E$430:$E$729,"&lt;"&amp;EDATE(BP$99,1))),0)</f>
        <v>0</v>
      </c>
      <c r="BQ387">
        <f>IF(예비비!$R387="OK",SUMIFS(예비비!$O$430:$O$729,예비비!$B$430:$B$729,예비비!$A387,예비비!$E$430:$E$729,"&lt;"&amp;EDATE(BQ$99,1),예비비!$F$430:$F$729,"결제대금비")+MAX(0,IF(예비비!$D387&lt;EDATE(BQ$99,1),예비비!$E387,0)-SUMIFS(예비비!$O$430:$O$729,예비비!$B$430:$B$729,예비비!$A387,예비비!$E$430:$E$729,"&lt;"&amp;EDATE(BQ$99,1))),0)</f>
        <v>0</v>
      </c>
      <c r="BR387">
        <f>IF(예비비!$R387="OK",SUMIFS(예비비!$O$430:$O$729,예비비!$B$430:$B$729,예비비!$A387,예비비!$E$430:$E$729,"&lt;"&amp;EDATE(BR$99,1),예비비!$F$430:$F$729,"결제대금비")+MAX(0,IF(예비비!$D387&lt;EDATE(BR$99,1),예비비!$E387,0)-SUMIFS(예비비!$O$430:$O$729,예비비!$B$430:$B$729,예비비!$A387,예비비!$E$430:$E$729,"&lt;"&amp;EDATE(BR$99,1))),0)</f>
        <v>0</v>
      </c>
      <c r="BS387">
        <f>IF(예비비!$R387="OK",SUMIFS(예비비!$O$430:$O$729,예비비!$B$430:$B$729,예비비!$A387,예비비!$E$430:$E$729,"&lt;"&amp;EDATE(BS$99,1),예비비!$F$430:$F$729,"결제대금비")+MAX(0,IF(예비비!$D387&lt;EDATE(BS$99,1),예비비!$E387,0)-SUMIFS(예비비!$O$430:$O$729,예비비!$B$430:$B$729,예비비!$A387,예비비!$E$430:$E$729,"&lt;"&amp;EDATE(BS$99,1))),0)</f>
        <v>0</v>
      </c>
      <c r="BT387">
        <f>IF(예비비!$R387="OK",SUMIFS(예비비!$O$430:$O$729,예비비!$B$430:$B$729,예비비!$A387,예비비!$E$430:$E$729,"&lt;"&amp;EDATE(BT$99,1),예비비!$F$430:$F$729,"결제대금비")+MAX(0,IF(예비비!$D387&lt;EDATE(BT$99,1),예비비!$E387,0)-SUMIFS(예비비!$O$430:$O$729,예비비!$B$430:$B$729,예비비!$A387,예비비!$E$430:$E$729,"&lt;"&amp;EDATE(BT$99,1))),0)</f>
        <v>0</v>
      </c>
      <c r="BU387">
        <f>IF(예비비!$R387="OK",SUMIFS(예비비!$O$430:$O$729,예비비!$B$430:$B$729,예비비!$A387,예비비!$E$430:$E$729,"&lt;"&amp;EDATE(BU$99,1),예비비!$F$430:$F$729,"결제대금비")+MAX(0,IF(예비비!$D387&lt;EDATE(BU$99,1),예비비!$E387,0)-SUMIFS(예비비!$O$430:$O$729,예비비!$B$430:$B$729,예비비!$A387,예비비!$E$430:$E$729,"&lt;"&amp;EDATE(BU$99,1))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  <c r="BI388">
        <f>IF(예비비!$R388="OK",SUMIFS(예비비!$O$430:$O$729,예비비!$B$430:$B$729,예비비!$A388,예비비!$E$430:$E$729,"&lt;"&amp;EDATE(BI$99,1),예비비!$F$430:$F$729,"결제대금비")+MAX(0,IF(예비비!$D388&lt;EDATE(BI$99,1),예비비!$E388,0)-SUMIFS(예비비!$O$430:$O$729,예비비!$B$430:$B$729,예비비!$A388,예비비!$E$430:$E$729,"&lt;"&amp;EDATE(BI$99,1))),0)</f>
        <v>0</v>
      </c>
      <c r="BJ388">
        <f>IF(예비비!$R388="OK",SUMIFS(예비비!$O$430:$O$729,예비비!$B$430:$B$729,예비비!$A388,예비비!$E$430:$E$729,"&lt;"&amp;EDATE(BJ$99,1),예비비!$F$430:$F$729,"결제대금비")+MAX(0,IF(예비비!$D388&lt;EDATE(BJ$99,1),예비비!$E388,0)-SUMIFS(예비비!$O$430:$O$729,예비비!$B$430:$B$729,예비비!$A388,예비비!$E$430:$E$729,"&lt;"&amp;EDATE(BJ$99,1))),0)</f>
        <v>0</v>
      </c>
      <c r="BK388">
        <f>IF(예비비!$R388="OK",SUMIFS(예비비!$O$430:$O$729,예비비!$B$430:$B$729,예비비!$A388,예비비!$E$430:$E$729,"&lt;"&amp;EDATE(BK$99,1),예비비!$F$430:$F$729,"결제대금비")+MAX(0,IF(예비비!$D388&lt;EDATE(BK$99,1),예비비!$E388,0)-SUMIFS(예비비!$O$430:$O$729,예비비!$B$430:$B$729,예비비!$A388,예비비!$E$430:$E$729,"&lt;"&amp;EDATE(BK$99,1))),0)</f>
        <v>0</v>
      </c>
      <c r="BL388">
        <f>IF(예비비!$R388="OK",SUMIFS(예비비!$O$430:$O$729,예비비!$B$430:$B$729,예비비!$A388,예비비!$E$430:$E$729,"&lt;"&amp;EDATE(BL$99,1),예비비!$F$430:$F$729,"결제대금비")+MAX(0,IF(예비비!$D388&lt;EDATE(BL$99,1),예비비!$E388,0)-SUMIFS(예비비!$O$430:$O$729,예비비!$B$430:$B$729,예비비!$A388,예비비!$E$430:$E$729,"&lt;"&amp;EDATE(BL$99,1))),0)</f>
        <v>0</v>
      </c>
      <c r="BM388">
        <f>IF(예비비!$R388="OK",SUMIFS(예비비!$O$430:$O$729,예비비!$B$430:$B$729,예비비!$A388,예비비!$E$430:$E$729,"&lt;"&amp;EDATE(BM$99,1),예비비!$F$430:$F$729,"결제대금비")+MAX(0,IF(예비비!$D388&lt;EDATE(BM$99,1),예비비!$E388,0)-SUMIFS(예비비!$O$430:$O$729,예비비!$B$430:$B$729,예비비!$A388,예비비!$E$430:$E$729,"&lt;"&amp;EDATE(BM$99,1))),0)</f>
        <v>0</v>
      </c>
      <c r="BN388">
        <f>IF(예비비!$R388="OK",SUMIFS(예비비!$O$430:$O$729,예비비!$B$430:$B$729,예비비!$A388,예비비!$E$430:$E$729,"&lt;"&amp;EDATE(BN$99,1),예비비!$F$430:$F$729,"결제대금비")+MAX(0,IF(예비비!$D388&lt;EDATE(BN$99,1),예비비!$E388,0)-SUMIFS(예비비!$O$430:$O$729,예비비!$B$430:$B$729,예비비!$A388,예비비!$E$430:$E$729,"&lt;"&amp;EDATE(BN$99,1))),0)</f>
        <v>0</v>
      </c>
      <c r="BO388">
        <f>IF(예비비!$R388="OK",SUMIFS(예비비!$O$430:$O$729,예비비!$B$430:$B$729,예비비!$A388,예비비!$E$430:$E$729,"&lt;"&amp;EDATE(BO$99,1),예비비!$F$430:$F$729,"결제대금비")+MAX(0,IF(예비비!$D388&lt;EDATE(BO$99,1),예비비!$E388,0)-SUMIFS(예비비!$O$430:$O$729,예비비!$B$430:$B$729,예비비!$A388,예비비!$E$430:$E$729,"&lt;"&amp;EDATE(BO$99,1))),0)</f>
        <v>0</v>
      </c>
      <c r="BP388">
        <f>IF(예비비!$R388="OK",SUMIFS(예비비!$O$430:$O$729,예비비!$B$430:$B$729,예비비!$A388,예비비!$E$430:$E$729,"&lt;"&amp;EDATE(BP$99,1),예비비!$F$430:$F$729,"결제대금비")+MAX(0,IF(예비비!$D388&lt;EDATE(BP$99,1),예비비!$E388,0)-SUMIFS(예비비!$O$430:$O$729,예비비!$B$430:$B$729,예비비!$A388,예비비!$E$430:$E$729,"&lt;"&amp;EDATE(BP$99,1))),0)</f>
        <v>0</v>
      </c>
      <c r="BQ388">
        <f>IF(예비비!$R388="OK",SUMIFS(예비비!$O$430:$O$729,예비비!$B$430:$B$729,예비비!$A388,예비비!$E$430:$E$729,"&lt;"&amp;EDATE(BQ$99,1),예비비!$F$430:$F$729,"결제대금비")+MAX(0,IF(예비비!$D388&lt;EDATE(BQ$99,1),예비비!$E388,0)-SUMIFS(예비비!$O$430:$O$729,예비비!$B$430:$B$729,예비비!$A388,예비비!$E$430:$E$729,"&lt;"&amp;EDATE(BQ$99,1))),0)</f>
        <v>0</v>
      </c>
      <c r="BR388">
        <f>IF(예비비!$R388="OK",SUMIFS(예비비!$O$430:$O$729,예비비!$B$430:$B$729,예비비!$A388,예비비!$E$430:$E$729,"&lt;"&amp;EDATE(BR$99,1),예비비!$F$430:$F$729,"결제대금비")+MAX(0,IF(예비비!$D388&lt;EDATE(BR$99,1),예비비!$E388,0)-SUMIFS(예비비!$O$430:$O$729,예비비!$B$430:$B$729,예비비!$A388,예비비!$E$430:$E$729,"&lt;"&amp;EDATE(BR$99,1))),0)</f>
        <v>0</v>
      </c>
      <c r="BS388">
        <f>IF(예비비!$R388="OK",SUMIFS(예비비!$O$430:$O$729,예비비!$B$430:$B$729,예비비!$A388,예비비!$E$430:$E$729,"&lt;"&amp;EDATE(BS$99,1),예비비!$F$430:$F$729,"결제대금비")+MAX(0,IF(예비비!$D388&lt;EDATE(BS$99,1),예비비!$E388,0)-SUMIFS(예비비!$O$430:$O$729,예비비!$B$430:$B$729,예비비!$A388,예비비!$E$430:$E$729,"&lt;"&amp;EDATE(BS$99,1))),0)</f>
        <v>0</v>
      </c>
      <c r="BT388">
        <f>IF(예비비!$R388="OK",SUMIFS(예비비!$O$430:$O$729,예비비!$B$430:$B$729,예비비!$A388,예비비!$E$430:$E$729,"&lt;"&amp;EDATE(BT$99,1),예비비!$F$430:$F$729,"결제대금비")+MAX(0,IF(예비비!$D388&lt;EDATE(BT$99,1),예비비!$E388,0)-SUMIFS(예비비!$O$430:$O$729,예비비!$B$430:$B$729,예비비!$A388,예비비!$E$430:$E$729,"&lt;"&amp;EDATE(BT$99,1))),0)</f>
        <v>0</v>
      </c>
      <c r="BU388">
        <f>IF(예비비!$R388="OK",SUMIFS(예비비!$O$430:$O$729,예비비!$B$430:$B$729,예비비!$A388,예비비!$E$430:$E$729,"&lt;"&amp;EDATE(BU$99,1),예비비!$F$430:$F$729,"결제대금비")+MAX(0,IF(예비비!$D388&lt;EDATE(BU$99,1),예비비!$E388,0)-SUMIFS(예비비!$O$430:$O$729,예비비!$B$430:$B$729,예비비!$A388,예비비!$E$430:$E$729,"&lt;"&amp;EDATE(BU$99,1))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  <c r="BI389">
        <f>IF(예비비!$R389="OK",SUMIFS(예비비!$O$430:$O$729,예비비!$B$430:$B$729,예비비!$A389,예비비!$E$430:$E$729,"&lt;"&amp;EDATE(BI$99,1),예비비!$F$430:$F$729,"결제대금비")+MAX(0,IF(예비비!$D389&lt;EDATE(BI$99,1),예비비!$E389,0)-SUMIFS(예비비!$O$430:$O$729,예비비!$B$430:$B$729,예비비!$A389,예비비!$E$430:$E$729,"&lt;"&amp;EDATE(BI$99,1))),0)</f>
        <v>0</v>
      </c>
      <c r="BJ389">
        <f>IF(예비비!$R389="OK",SUMIFS(예비비!$O$430:$O$729,예비비!$B$430:$B$729,예비비!$A389,예비비!$E$430:$E$729,"&lt;"&amp;EDATE(BJ$99,1),예비비!$F$430:$F$729,"결제대금비")+MAX(0,IF(예비비!$D389&lt;EDATE(BJ$99,1),예비비!$E389,0)-SUMIFS(예비비!$O$430:$O$729,예비비!$B$430:$B$729,예비비!$A389,예비비!$E$430:$E$729,"&lt;"&amp;EDATE(BJ$99,1))),0)</f>
        <v>0</v>
      </c>
      <c r="BK389">
        <f>IF(예비비!$R389="OK",SUMIFS(예비비!$O$430:$O$729,예비비!$B$430:$B$729,예비비!$A389,예비비!$E$430:$E$729,"&lt;"&amp;EDATE(BK$99,1),예비비!$F$430:$F$729,"결제대금비")+MAX(0,IF(예비비!$D389&lt;EDATE(BK$99,1),예비비!$E389,0)-SUMIFS(예비비!$O$430:$O$729,예비비!$B$430:$B$729,예비비!$A389,예비비!$E$430:$E$729,"&lt;"&amp;EDATE(BK$99,1))),0)</f>
        <v>0</v>
      </c>
      <c r="BL389">
        <f>IF(예비비!$R389="OK",SUMIFS(예비비!$O$430:$O$729,예비비!$B$430:$B$729,예비비!$A389,예비비!$E$430:$E$729,"&lt;"&amp;EDATE(BL$99,1),예비비!$F$430:$F$729,"결제대금비")+MAX(0,IF(예비비!$D389&lt;EDATE(BL$99,1),예비비!$E389,0)-SUMIFS(예비비!$O$430:$O$729,예비비!$B$430:$B$729,예비비!$A389,예비비!$E$430:$E$729,"&lt;"&amp;EDATE(BL$99,1))),0)</f>
        <v>0</v>
      </c>
      <c r="BM389">
        <f>IF(예비비!$R389="OK",SUMIFS(예비비!$O$430:$O$729,예비비!$B$430:$B$729,예비비!$A389,예비비!$E$430:$E$729,"&lt;"&amp;EDATE(BM$99,1),예비비!$F$430:$F$729,"결제대금비")+MAX(0,IF(예비비!$D389&lt;EDATE(BM$99,1),예비비!$E389,0)-SUMIFS(예비비!$O$430:$O$729,예비비!$B$430:$B$729,예비비!$A389,예비비!$E$430:$E$729,"&lt;"&amp;EDATE(BM$99,1))),0)</f>
        <v>0</v>
      </c>
      <c r="BN389">
        <f>IF(예비비!$R389="OK",SUMIFS(예비비!$O$430:$O$729,예비비!$B$430:$B$729,예비비!$A389,예비비!$E$430:$E$729,"&lt;"&amp;EDATE(BN$99,1),예비비!$F$430:$F$729,"결제대금비")+MAX(0,IF(예비비!$D389&lt;EDATE(BN$99,1),예비비!$E389,0)-SUMIFS(예비비!$O$430:$O$729,예비비!$B$430:$B$729,예비비!$A389,예비비!$E$430:$E$729,"&lt;"&amp;EDATE(BN$99,1))),0)</f>
        <v>0</v>
      </c>
      <c r="BO389">
        <f>IF(예비비!$R389="OK",SUMIFS(예비비!$O$430:$O$729,예비비!$B$430:$B$729,예비비!$A389,예비비!$E$430:$E$729,"&lt;"&amp;EDATE(BO$99,1),예비비!$F$430:$F$729,"결제대금비")+MAX(0,IF(예비비!$D389&lt;EDATE(BO$99,1),예비비!$E389,0)-SUMIFS(예비비!$O$430:$O$729,예비비!$B$430:$B$729,예비비!$A389,예비비!$E$430:$E$729,"&lt;"&amp;EDATE(BO$99,1))),0)</f>
        <v>0</v>
      </c>
      <c r="BP389">
        <f>IF(예비비!$R389="OK",SUMIFS(예비비!$O$430:$O$729,예비비!$B$430:$B$729,예비비!$A389,예비비!$E$430:$E$729,"&lt;"&amp;EDATE(BP$99,1),예비비!$F$430:$F$729,"결제대금비")+MAX(0,IF(예비비!$D389&lt;EDATE(BP$99,1),예비비!$E389,0)-SUMIFS(예비비!$O$430:$O$729,예비비!$B$430:$B$729,예비비!$A389,예비비!$E$430:$E$729,"&lt;"&amp;EDATE(BP$99,1))),0)</f>
        <v>0</v>
      </c>
      <c r="BQ389">
        <f>IF(예비비!$R389="OK",SUMIFS(예비비!$O$430:$O$729,예비비!$B$430:$B$729,예비비!$A389,예비비!$E$430:$E$729,"&lt;"&amp;EDATE(BQ$99,1),예비비!$F$430:$F$729,"결제대금비")+MAX(0,IF(예비비!$D389&lt;EDATE(BQ$99,1),예비비!$E389,0)-SUMIFS(예비비!$O$430:$O$729,예비비!$B$430:$B$729,예비비!$A389,예비비!$E$430:$E$729,"&lt;"&amp;EDATE(BQ$99,1))),0)</f>
        <v>0</v>
      </c>
      <c r="BR389">
        <f>IF(예비비!$R389="OK",SUMIFS(예비비!$O$430:$O$729,예비비!$B$430:$B$729,예비비!$A389,예비비!$E$430:$E$729,"&lt;"&amp;EDATE(BR$99,1),예비비!$F$430:$F$729,"결제대금비")+MAX(0,IF(예비비!$D389&lt;EDATE(BR$99,1),예비비!$E389,0)-SUMIFS(예비비!$O$430:$O$729,예비비!$B$430:$B$729,예비비!$A389,예비비!$E$430:$E$729,"&lt;"&amp;EDATE(BR$99,1))),0)</f>
        <v>0</v>
      </c>
      <c r="BS389">
        <f>IF(예비비!$R389="OK",SUMIFS(예비비!$O$430:$O$729,예비비!$B$430:$B$729,예비비!$A389,예비비!$E$430:$E$729,"&lt;"&amp;EDATE(BS$99,1),예비비!$F$430:$F$729,"결제대금비")+MAX(0,IF(예비비!$D389&lt;EDATE(BS$99,1),예비비!$E389,0)-SUMIFS(예비비!$O$430:$O$729,예비비!$B$430:$B$729,예비비!$A389,예비비!$E$430:$E$729,"&lt;"&amp;EDATE(BS$99,1))),0)</f>
        <v>0</v>
      </c>
      <c r="BT389">
        <f>IF(예비비!$R389="OK",SUMIFS(예비비!$O$430:$O$729,예비비!$B$430:$B$729,예비비!$A389,예비비!$E$430:$E$729,"&lt;"&amp;EDATE(BT$99,1),예비비!$F$430:$F$729,"결제대금비")+MAX(0,IF(예비비!$D389&lt;EDATE(BT$99,1),예비비!$E389,0)-SUMIFS(예비비!$O$430:$O$729,예비비!$B$430:$B$729,예비비!$A389,예비비!$E$430:$E$729,"&lt;"&amp;EDATE(BT$99,1))),0)</f>
        <v>0</v>
      </c>
      <c r="BU389">
        <f>IF(예비비!$R389="OK",SUMIFS(예비비!$O$430:$O$729,예비비!$B$430:$B$729,예비비!$A389,예비비!$E$430:$E$729,"&lt;"&amp;EDATE(BU$99,1),예비비!$F$430:$F$729,"결제대금비")+MAX(0,IF(예비비!$D389&lt;EDATE(BU$99,1),예비비!$E389,0)-SUMIFS(예비비!$O$430:$O$729,예비비!$B$430:$B$729,예비비!$A389,예비비!$E$430:$E$729,"&lt;"&amp;EDATE(BU$99,1))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  <c r="BI390">
        <f>IF(예비비!$R390="OK",SUMIFS(예비비!$O$430:$O$729,예비비!$B$430:$B$729,예비비!$A390,예비비!$E$430:$E$729,"&lt;"&amp;EDATE(BI$99,1),예비비!$F$430:$F$729,"결제대금비")+MAX(0,IF(예비비!$D390&lt;EDATE(BI$99,1),예비비!$E390,0)-SUMIFS(예비비!$O$430:$O$729,예비비!$B$430:$B$729,예비비!$A390,예비비!$E$430:$E$729,"&lt;"&amp;EDATE(BI$99,1))),0)</f>
        <v>0</v>
      </c>
      <c r="BJ390">
        <f>IF(예비비!$R390="OK",SUMIFS(예비비!$O$430:$O$729,예비비!$B$430:$B$729,예비비!$A390,예비비!$E$430:$E$729,"&lt;"&amp;EDATE(BJ$99,1),예비비!$F$430:$F$729,"결제대금비")+MAX(0,IF(예비비!$D390&lt;EDATE(BJ$99,1),예비비!$E390,0)-SUMIFS(예비비!$O$430:$O$729,예비비!$B$430:$B$729,예비비!$A390,예비비!$E$430:$E$729,"&lt;"&amp;EDATE(BJ$99,1))),0)</f>
        <v>0</v>
      </c>
      <c r="BK390">
        <f>IF(예비비!$R390="OK",SUMIFS(예비비!$O$430:$O$729,예비비!$B$430:$B$729,예비비!$A390,예비비!$E$430:$E$729,"&lt;"&amp;EDATE(BK$99,1),예비비!$F$430:$F$729,"결제대금비")+MAX(0,IF(예비비!$D390&lt;EDATE(BK$99,1),예비비!$E390,0)-SUMIFS(예비비!$O$430:$O$729,예비비!$B$430:$B$729,예비비!$A390,예비비!$E$430:$E$729,"&lt;"&amp;EDATE(BK$99,1))),0)</f>
        <v>0</v>
      </c>
      <c r="BL390">
        <f>IF(예비비!$R390="OK",SUMIFS(예비비!$O$430:$O$729,예비비!$B$430:$B$729,예비비!$A390,예비비!$E$430:$E$729,"&lt;"&amp;EDATE(BL$99,1),예비비!$F$430:$F$729,"결제대금비")+MAX(0,IF(예비비!$D390&lt;EDATE(BL$99,1),예비비!$E390,0)-SUMIFS(예비비!$O$430:$O$729,예비비!$B$430:$B$729,예비비!$A390,예비비!$E$430:$E$729,"&lt;"&amp;EDATE(BL$99,1))),0)</f>
        <v>0</v>
      </c>
      <c r="BM390">
        <f>IF(예비비!$R390="OK",SUMIFS(예비비!$O$430:$O$729,예비비!$B$430:$B$729,예비비!$A390,예비비!$E$430:$E$729,"&lt;"&amp;EDATE(BM$99,1),예비비!$F$430:$F$729,"결제대금비")+MAX(0,IF(예비비!$D390&lt;EDATE(BM$99,1),예비비!$E390,0)-SUMIFS(예비비!$O$430:$O$729,예비비!$B$430:$B$729,예비비!$A390,예비비!$E$430:$E$729,"&lt;"&amp;EDATE(BM$99,1))),0)</f>
        <v>0</v>
      </c>
      <c r="BN390">
        <f>IF(예비비!$R390="OK",SUMIFS(예비비!$O$430:$O$729,예비비!$B$430:$B$729,예비비!$A390,예비비!$E$430:$E$729,"&lt;"&amp;EDATE(BN$99,1),예비비!$F$430:$F$729,"결제대금비")+MAX(0,IF(예비비!$D390&lt;EDATE(BN$99,1),예비비!$E390,0)-SUMIFS(예비비!$O$430:$O$729,예비비!$B$430:$B$729,예비비!$A390,예비비!$E$430:$E$729,"&lt;"&amp;EDATE(BN$99,1))),0)</f>
        <v>0</v>
      </c>
      <c r="BO390">
        <f>IF(예비비!$R390="OK",SUMIFS(예비비!$O$430:$O$729,예비비!$B$430:$B$729,예비비!$A390,예비비!$E$430:$E$729,"&lt;"&amp;EDATE(BO$99,1),예비비!$F$430:$F$729,"결제대금비")+MAX(0,IF(예비비!$D390&lt;EDATE(BO$99,1),예비비!$E390,0)-SUMIFS(예비비!$O$430:$O$729,예비비!$B$430:$B$729,예비비!$A390,예비비!$E$430:$E$729,"&lt;"&amp;EDATE(BO$99,1))),0)</f>
        <v>0</v>
      </c>
      <c r="BP390">
        <f>IF(예비비!$R390="OK",SUMIFS(예비비!$O$430:$O$729,예비비!$B$430:$B$729,예비비!$A390,예비비!$E$430:$E$729,"&lt;"&amp;EDATE(BP$99,1),예비비!$F$430:$F$729,"결제대금비")+MAX(0,IF(예비비!$D390&lt;EDATE(BP$99,1),예비비!$E390,0)-SUMIFS(예비비!$O$430:$O$729,예비비!$B$430:$B$729,예비비!$A390,예비비!$E$430:$E$729,"&lt;"&amp;EDATE(BP$99,1))),0)</f>
        <v>0</v>
      </c>
      <c r="BQ390">
        <f>IF(예비비!$R390="OK",SUMIFS(예비비!$O$430:$O$729,예비비!$B$430:$B$729,예비비!$A390,예비비!$E$430:$E$729,"&lt;"&amp;EDATE(BQ$99,1),예비비!$F$430:$F$729,"결제대금비")+MAX(0,IF(예비비!$D390&lt;EDATE(BQ$99,1),예비비!$E390,0)-SUMIFS(예비비!$O$430:$O$729,예비비!$B$430:$B$729,예비비!$A390,예비비!$E$430:$E$729,"&lt;"&amp;EDATE(BQ$99,1))),0)</f>
        <v>0</v>
      </c>
      <c r="BR390">
        <f>IF(예비비!$R390="OK",SUMIFS(예비비!$O$430:$O$729,예비비!$B$430:$B$729,예비비!$A390,예비비!$E$430:$E$729,"&lt;"&amp;EDATE(BR$99,1),예비비!$F$430:$F$729,"결제대금비")+MAX(0,IF(예비비!$D390&lt;EDATE(BR$99,1),예비비!$E390,0)-SUMIFS(예비비!$O$430:$O$729,예비비!$B$430:$B$729,예비비!$A390,예비비!$E$430:$E$729,"&lt;"&amp;EDATE(BR$99,1))),0)</f>
        <v>0</v>
      </c>
      <c r="BS390">
        <f>IF(예비비!$R390="OK",SUMIFS(예비비!$O$430:$O$729,예비비!$B$430:$B$729,예비비!$A390,예비비!$E$430:$E$729,"&lt;"&amp;EDATE(BS$99,1),예비비!$F$430:$F$729,"결제대금비")+MAX(0,IF(예비비!$D390&lt;EDATE(BS$99,1),예비비!$E390,0)-SUMIFS(예비비!$O$430:$O$729,예비비!$B$430:$B$729,예비비!$A390,예비비!$E$430:$E$729,"&lt;"&amp;EDATE(BS$99,1))),0)</f>
        <v>0</v>
      </c>
      <c r="BT390">
        <f>IF(예비비!$R390="OK",SUMIFS(예비비!$O$430:$O$729,예비비!$B$430:$B$729,예비비!$A390,예비비!$E$430:$E$729,"&lt;"&amp;EDATE(BT$99,1),예비비!$F$430:$F$729,"결제대금비")+MAX(0,IF(예비비!$D390&lt;EDATE(BT$99,1),예비비!$E390,0)-SUMIFS(예비비!$O$430:$O$729,예비비!$B$430:$B$729,예비비!$A390,예비비!$E$430:$E$729,"&lt;"&amp;EDATE(BT$99,1))),0)</f>
        <v>0</v>
      </c>
      <c r="BU390">
        <f>IF(예비비!$R390="OK",SUMIFS(예비비!$O$430:$O$729,예비비!$B$430:$B$729,예비비!$A390,예비비!$E$430:$E$729,"&lt;"&amp;EDATE(BU$99,1),예비비!$F$430:$F$729,"결제대금비")+MAX(0,IF(예비비!$D390&lt;EDATE(BU$99,1),예비비!$E390,0)-SUMIFS(예비비!$O$430:$O$729,예비비!$B$430:$B$729,예비비!$A390,예비비!$E$430:$E$729,"&lt;"&amp;EDATE(BU$99,1))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  <c r="BI391">
        <f>IF(예비비!$R391="OK",SUMIFS(예비비!$O$430:$O$729,예비비!$B$430:$B$729,예비비!$A391,예비비!$E$430:$E$729,"&lt;"&amp;EDATE(BI$99,1),예비비!$F$430:$F$729,"결제대금비")+MAX(0,IF(예비비!$D391&lt;EDATE(BI$99,1),예비비!$E391,0)-SUMIFS(예비비!$O$430:$O$729,예비비!$B$430:$B$729,예비비!$A391,예비비!$E$430:$E$729,"&lt;"&amp;EDATE(BI$99,1))),0)</f>
        <v>0</v>
      </c>
      <c r="BJ391">
        <f>IF(예비비!$R391="OK",SUMIFS(예비비!$O$430:$O$729,예비비!$B$430:$B$729,예비비!$A391,예비비!$E$430:$E$729,"&lt;"&amp;EDATE(BJ$99,1),예비비!$F$430:$F$729,"결제대금비")+MAX(0,IF(예비비!$D391&lt;EDATE(BJ$99,1),예비비!$E391,0)-SUMIFS(예비비!$O$430:$O$729,예비비!$B$430:$B$729,예비비!$A391,예비비!$E$430:$E$729,"&lt;"&amp;EDATE(BJ$99,1))),0)</f>
        <v>0</v>
      </c>
      <c r="BK391">
        <f>IF(예비비!$R391="OK",SUMIFS(예비비!$O$430:$O$729,예비비!$B$430:$B$729,예비비!$A391,예비비!$E$430:$E$729,"&lt;"&amp;EDATE(BK$99,1),예비비!$F$430:$F$729,"결제대금비")+MAX(0,IF(예비비!$D391&lt;EDATE(BK$99,1),예비비!$E391,0)-SUMIFS(예비비!$O$430:$O$729,예비비!$B$430:$B$729,예비비!$A391,예비비!$E$430:$E$729,"&lt;"&amp;EDATE(BK$99,1))),0)</f>
        <v>0</v>
      </c>
      <c r="BL391">
        <f>IF(예비비!$R391="OK",SUMIFS(예비비!$O$430:$O$729,예비비!$B$430:$B$729,예비비!$A391,예비비!$E$430:$E$729,"&lt;"&amp;EDATE(BL$99,1),예비비!$F$430:$F$729,"결제대금비")+MAX(0,IF(예비비!$D391&lt;EDATE(BL$99,1),예비비!$E391,0)-SUMIFS(예비비!$O$430:$O$729,예비비!$B$430:$B$729,예비비!$A391,예비비!$E$430:$E$729,"&lt;"&amp;EDATE(BL$99,1))),0)</f>
        <v>0</v>
      </c>
      <c r="BM391">
        <f>IF(예비비!$R391="OK",SUMIFS(예비비!$O$430:$O$729,예비비!$B$430:$B$729,예비비!$A391,예비비!$E$430:$E$729,"&lt;"&amp;EDATE(BM$99,1),예비비!$F$430:$F$729,"결제대금비")+MAX(0,IF(예비비!$D391&lt;EDATE(BM$99,1),예비비!$E391,0)-SUMIFS(예비비!$O$430:$O$729,예비비!$B$430:$B$729,예비비!$A391,예비비!$E$430:$E$729,"&lt;"&amp;EDATE(BM$99,1))),0)</f>
        <v>0</v>
      </c>
      <c r="BN391">
        <f>IF(예비비!$R391="OK",SUMIFS(예비비!$O$430:$O$729,예비비!$B$430:$B$729,예비비!$A391,예비비!$E$430:$E$729,"&lt;"&amp;EDATE(BN$99,1),예비비!$F$430:$F$729,"결제대금비")+MAX(0,IF(예비비!$D391&lt;EDATE(BN$99,1),예비비!$E391,0)-SUMIFS(예비비!$O$430:$O$729,예비비!$B$430:$B$729,예비비!$A391,예비비!$E$430:$E$729,"&lt;"&amp;EDATE(BN$99,1))),0)</f>
        <v>0</v>
      </c>
      <c r="BO391">
        <f>IF(예비비!$R391="OK",SUMIFS(예비비!$O$430:$O$729,예비비!$B$430:$B$729,예비비!$A391,예비비!$E$430:$E$729,"&lt;"&amp;EDATE(BO$99,1),예비비!$F$430:$F$729,"결제대금비")+MAX(0,IF(예비비!$D391&lt;EDATE(BO$99,1),예비비!$E391,0)-SUMIFS(예비비!$O$430:$O$729,예비비!$B$430:$B$729,예비비!$A391,예비비!$E$430:$E$729,"&lt;"&amp;EDATE(BO$99,1))),0)</f>
        <v>0</v>
      </c>
      <c r="BP391">
        <f>IF(예비비!$R391="OK",SUMIFS(예비비!$O$430:$O$729,예비비!$B$430:$B$729,예비비!$A391,예비비!$E$430:$E$729,"&lt;"&amp;EDATE(BP$99,1),예비비!$F$430:$F$729,"결제대금비")+MAX(0,IF(예비비!$D391&lt;EDATE(BP$99,1),예비비!$E391,0)-SUMIFS(예비비!$O$430:$O$729,예비비!$B$430:$B$729,예비비!$A391,예비비!$E$430:$E$729,"&lt;"&amp;EDATE(BP$99,1))),0)</f>
        <v>0</v>
      </c>
      <c r="BQ391">
        <f>IF(예비비!$R391="OK",SUMIFS(예비비!$O$430:$O$729,예비비!$B$430:$B$729,예비비!$A391,예비비!$E$430:$E$729,"&lt;"&amp;EDATE(BQ$99,1),예비비!$F$430:$F$729,"결제대금비")+MAX(0,IF(예비비!$D391&lt;EDATE(BQ$99,1),예비비!$E391,0)-SUMIFS(예비비!$O$430:$O$729,예비비!$B$430:$B$729,예비비!$A391,예비비!$E$430:$E$729,"&lt;"&amp;EDATE(BQ$99,1))),0)</f>
        <v>0</v>
      </c>
      <c r="BR391">
        <f>IF(예비비!$R391="OK",SUMIFS(예비비!$O$430:$O$729,예비비!$B$430:$B$729,예비비!$A391,예비비!$E$430:$E$729,"&lt;"&amp;EDATE(BR$99,1),예비비!$F$430:$F$729,"결제대금비")+MAX(0,IF(예비비!$D391&lt;EDATE(BR$99,1),예비비!$E391,0)-SUMIFS(예비비!$O$430:$O$729,예비비!$B$430:$B$729,예비비!$A391,예비비!$E$430:$E$729,"&lt;"&amp;EDATE(BR$99,1))),0)</f>
        <v>0</v>
      </c>
      <c r="BS391">
        <f>IF(예비비!$R391="OK",SUMIFS(예비비!$O$430:$O$729,예비비!$B$430:$B$729,예비비!$A391,예비비!$E$430:$E$729,"&lt;"&amp;EDATE(BS$99,1),예비비!$F$430:$F$729,"결제대금비")+MAX(0,IF(예비비!$D391&lt;EDATE(BS$99,1),예비비!$E391,0)-SUMIFS(예비비!$O$430:$O$729,예비비!$B$430:$B$729,예비비!$A391,예비비!$E$430:$E$729,"&lt;"&amp;EDATE(BS$99,1))),0)</f>
        <v>0</v>
      </c>
      <c r="BT391">
        <f>IF(예비비!$R391="OK",SUMIFS(예비비!$O$430:$O$729,예비비!$B$430:$B$729,예비비!$A391,예비비!$E$430:$E$729,"&lt;"&amp;EDATE(BT$99,1),예비비!$F$430:$F$729,"결제대금비")+MAX(0,IF(예비비!$D391&lt;EDATE(BT$99,1),예비비!$E391,0)-SUMIFS(예비비!$O$430:$O$729,예비비!$B$430:$B$729,예비비!$A391,예비비!$E$430:$E$729,"&lt;"&amp;EDATE(BT$99,1))),0)</f>
        <v>0</v>
      </c>
      <c r="BU391">
        <f>IF(예비비!$R391="OK",SUMIFS(예비비!$O$430:$O$729,예비비!$B$430:$B$729,예비비!$A391,예비비!$E$430:$E$729,"&lt;"&amp;EDATE(BU$99,1),예비비!$F$430:$F$729,"결제대금비")+MAX(0,IF(예비비!$D391&lt;EDATE(BU$99,1),예비비!$E391,0)-SUMIFS(예비비!$O$430:$O$729,예비비!$B$430:$B$729,예비비!$A391,예비비!$E$430:$E$729,"&lt;"&amp;EDATE(BU$99,1))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  <c r="BI392">
        <f>IF(예비비!$R392="OK",SUMIFS(예비비!$O$430:$O$729,예비비!$B$430:$B$729,예비비!$A392,예비비!$E$430:$E$729,"&lt;"&amp;EDATE(BI$99,1),예비비!$F$430:$F$729,"결제대금비")+MAX(0,IF(예비비!$D392&lt;EDATE(BI$99,1),예비비!$E392,0)-SUMIFS(예비비!$O$430:$O$729,예비비!$B$430:$B$729,예비비!$A392,예비비!$E$430:$E$729,"&lt;"&amp;EDATE(BI$99,1))),0)</f>
        <v>0</v>
      </c>
      <c r="BJ392">
        <f>IF(예비비!$R392="OK",SUMIFS(예비비!$O$430:$O$729,예비비!$B$430:$B$729,예비비!$A392,예비비!$E$430:$E$729,"&lt;"&amp;EDATE(BJ$99,1),예비비!$F$430:$F$729,"결제대금비")+MAX(0,IF(예비비!$D392&lt;EDATE(BJ$99,1),예비비!$E392,0)-SUMIFS(예비비!$O$430:$O$729,예비비!$B$430:$B$729,예비비!$A392,예비비!$E$430:$E$729,"&lt;"&amp;EDATE(BJ$99,1))),0)</f>
        <v>0</v>
      </c>
      <c r="BK392">
        <f>IF(예비비!$R392="OK",SUMIFS(예비비!$O$430:$O$729,예비비!$B$430:$B$729,예비비!$A392,예비비!$E$430:$E$729,"&lt;"&amp;EDATE(BK$99,1),예비비!$F$430:$F$729,"결제대금비")+MAX(0,IF(예비비!$D392&lt;EDATE(BK$99,1),예비비!$E392,0)-SUMIFS(예비비!$O$430:$O$729,예비비!$B$430:$B$729,예비비!$A392,예비비!$E$430:$E$729,"&lt;"&amp;EDATE(BK$99,1))),0)</f>
        <v>0</v>
      </c>
      <c r="BL392">
        <f>IF(예비비!$R392="OK",SUMIFS(예비비!$O$430:$O$729,예비비!$B$430:$B$729,예비비!$A392,예비비!$E$430:$E$729,"&lt;"&amp;EDATE(BL$99,1),예비비!$F$430:$F$729,"결제대금비")+MAX(0,IF(예비비!$D392&lt;EDATE(BL$99,1),예비비!$E392,0)-SUMIFS(예비비!$O$430:$O$729,예비비!$B$430:$B$729,예비비!$A392,예비비!$E$430:$E$729,"&lt;"&amp;EDATE(BL$99,1))),0)</f>
        <v>0</v>
      </c>
      <c r="BM392">
        <f>IF(예비비!$R392="OK",SUMIFS(예비비!$O$430:$O$729,예비비!$B$430:$B$729,예비비!$A392,예비비!$E$430:$E$729,"&lt;"&amp;EDATE(BM$99,1),예비비!$F$430:$F$729,"결제대금비")+MAX(0,IF(예비비!$D392&lt;EDATE(BM$99,1),예비비!$E392,0)-SUMIFS(예비비!$O$430:$O$729,예비비!$B$430:$B$729,예비비!$A392,예비비!$E$430:$E$729,"&lt;"&amp;EDATE(BM$99,1))),0)</f>
        <v>0</v>
      </c>
      <c r="BN392">
        <f>IF(예비비!$R392="OK",SUMIFS(예비비!$O$430:$O$729,예비비!$B$430:$B$729,예비비!$A392,예비비!$E$430:$E$729,"&lt;"&amp;EDATE(BN$99,1),예비비!$F$430:$F$729,"결제대금비")+MAX(0,IF(예비비!$D392&lt;EDATE(BN$99,1),예비비!$E392,0)-SUMIFS(예비비!$O$430:$O$729,예비비!$B$430:$B$729,예비비!$A392,예비비!$E$430:$E$729,"&lt;"&amp;EDATE(BN$99,1))),0)</f>
        <v>0</v>
      </c>
      <c r="BO392">
        <f>IF(예비비!$R392="OK",SUMIFS(예비비!$O$430:$O$729,예비비!$B$430:$B$729,예비비!$A392,예비비!$E$430:$E$729,"&lt;"&amp;EDATE(BO$99,1),예비비!$F$430:$F$729,"결제대금비")+MAX(0,IF(예비비!$D392&lt;EDATE(BO$99,1),예비비!$E392,0)-SUMIFS(예비비!$O$430:$O$729,예비비!$B$430:$B$729,예비비!$A392,예비비!$E$430:$E$729,"&lt;"&amp;EDATE(BO$99,1))),0)</f>
        <v>0</v>
      </c>
      <c r="BP392">
        <f>IF(예비비!$R392="OK",SUMIFS(예비비!$O$430:$O$729,예비비!$B$430:$B$729,예비비!$A392,예비비!$E$430:$E$729,"&lt;"&amp;EDATE(BP$99,1),예비비!$F$430:$F$729,"결제대금비")+MAX(0,IF(예비비!$D392&lt;EDATE(BP$99,1),예비비!$E392,0)-SUMIFS(예비비!$O$430:$O$729,예비비!$B$430:$B$729,예비비!$A392,예비비!$E$430:$E$729,"&lt;"&amp;EDATE(BP$99,1))),0)</f>
        <v>0</v>
      </c>
      <c r="BQ392">
        <f>IF(예비비!$R392="OK",SUMIFS(예비비!$O$430:$O$729,예비비!$B$430:$B$729,예비비!$A392,예비비!$E$430:$E$729,"&lt;"&amp;EDATE(BQ$99,1),예비비!$F$430:$F$729,"결제대금비")+MAX(0,IF(예비비!$D392&lt;EDATE(BQ$99,1),예비비!$E392,0)-SUMIFS(예비비!$O$430:$O$729,예비비!$B$430:$B$729,예비비!$A392,예비비!$E$430:$E$729,"&lt;"&amp;EDATE(BQ$99,1))),0)</f>
        <v>0</v>
      </c>
      <c r="BR392">
        <f>IF(예비비!$R392="OK",SUMIFS(예비비!$O$430:$O$729,예비비!$B$430:$B$729,예비비!$A392,예비비!$E$430:$E$729,"&lt;"&amp;EDATE(BR$99,1),예비비!$F$430:$F$729,"결제대금비")+MAX(0,IF(예비비!$D392&lt;EDATE(BR$99,1),예비비!$E392,0)-SUMIFS(예비비!$O$430:$O$729,예비비!$B$430:$B$729,예비비!$A392,예비비!$E$430:$E$729,"&lt;"&amp;EDATE(BR$99,1))),0)</f>
        <v>0</v>
      </c>
      <c r="BS392">
        <f>IF(예비비!$R392="OK",SUMIFS(예비비!$O$430:$O$729,예비비!$B$430:$B$729,예비비!$A392,예비비!$E$430:$E$729,"&lt;"&amp;EDATE(BS$99,1),예비비!$F$430:$F$729,"결제대금비")+MAX(0,IF(예비비!$D392&lt;EDATE(BS$99,1),예비비!$E392,0)-SUMIFS(예비비!$O$430:$O$729,예비비!$B$430:$B$729,예비비!$A392,예비비!$E$430:$E$729,"&lt;"&amp;EDATE(BS$99,1))),0)</f>
        <v>0</v>
      </c>
      <c r="BT392">
        <f>IF(예비비!$R392="OK",SUMIFS(예비비!$O$430:$O$729,예비비!$B$430:$B$729,예비비!$A392,예비비!$E$430:$E$729,"&lt;"&amp;EDATE(BT$99,1),예비비!$F$430:$F$729,"결제대금비")+MAX(0,IF(예비비!$D392&lt;EDATE(BT$99,1),예비비!$E392,0)-SUMIFS(예비비!$O$430:$O$729,예비비!$B$430:$B$729,예비비!$A392,예비비!$E$430:$E$729,"&lt;"&amp;EDATE(BT$99,1))),0)</f>
        <v>0</v>
      </c>
      <c r="BU392">
        <f>IF(예비비!$R392="OK",SUMIFS(예비비!$O$430:$O$729,예비비!$B$430:$B$729,예비비!$A392,예비비!$E$430:$E$729,"&lt;"&amp;EDATE(BU$99,1),예비비!$F$430:$F$729,"결제대금비")+MAX(0,IF(예비비!$D392&lt;EDATE(BU$99,1),예비비!$E392,0)-SUMIFS(예비비!$O$430:$O$729,예비비!$B$430:$B$729,예비비!$A392,예비비!$E$430:$E$729,"&lt;"&amp;EDATE(BU$99,1))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  <c r="BI393">
        <f>IF(예비비!$R393="OK",SUMIFS(예비비!$O$430:$O$729,예비비!$B$430:$B$729,예비비!$A393,예비비!$E$430:$E$729,"&lt;"&amp;EDATE(BI$99,1),예비비!$F$430:$F$729,"결제대금비")+MAX(0,IF(예비비!$D393&lt;EDATE(BI$99,1),예비비!$E393,0)-SUMIFS(예비비!$O$430:$O$729,예비비!$B$430:$B$729,예비비!$A393,예비비!$E$430:$E$729,"&lt;"&amp;EDATE(BI$99,1))),0)</f>
        <v>0</v>
      </c>
      <c r="BJ393">
        <f>IF(예비비!$R393="OK",SUMIFS(예비비!$O$430:$O$729,예비비!$B$430:$B$729,예비비!$A393,예비비!$E$430:$E$729,"&lt;"&amp;EDATE(BJ$99,1),예비비!$F$430:$F$729,"결제대금비")+MAX(0,IF(예비비!$D393&lt;EDATE(BJ$99,1),예비비!$E393,0)-SUMIFS(예비비!$O$430:$O$729,예비비!$B$430:$B$729,예비비!$A393,예비비!$E$430:$E$729,"&lt;"&amp;EDATE(BJ$99,1))),0)</f>
        <v>0</v>
      </c>
      <c r="BK393">
        <f>IF(예비비!$R393="OK",SUMIFS(예비비!$O$430:$O$729,예비비!$B$430:$B$729,예비비!$A393,예비비!$E$430:$E$729,"&lt;"&amp;EDATE(BK$99,1),예비비!$F$430:$F$729,"결제대금비")+MAX(0,IF(예비비!$D393&lt;EDATE(BK$99,1),예비비!$E393,0)-SUMIFS(예비비!$O$430:$O$729,예비비!$B$430:$B$729,예비비!$A393,예비비!$E$430:$E$729,"&lt;"&amp;EDATE(BK$99,1))),0)</f>
        <v>0</v>
      </c>
      <c r="BL393">
        <f>IF(예비비!$R393="OK",SUMIFS(예비비!$O$430:$O$729,예비비!$B$430:$B$729,예비비!$A393,예비비!$E$430:$E$729,"&lt;"&amp;EDATE(BL$99,1),예비비!$F$430:$F$729,"결제대금비")+MAX(0,IF(예비비!$D393&lt;EDATE(BL$99,1),예비비!$E393,0)-SUMIFS(예비비!$O$430:$O$729,예비비!$B$430:$B$729,예비비!$A393,예비비!$E$430:$E$729,"&lt;"&amp;EDATE(BL$99,1))),0)</f>
        <v>0</v>
      </c>
      <c r="BM393">
        <f>IF(예비비!$R393="OK",SUMIFS(예비비!$O$430:$O$729,예비비!$B$430:$B$729,예비비!$A393,예비비!$E$430:$E$729,"&lt;"&amp;EDATE(BM$99,1),예비비!$F$430:$F$729,"결제대금비")+MAX(0,IF(예비비!$D393&lt;EDATE(BM$99,1),예비비!$E393,0)-SUMIFS(예비비!$O$430:$O$729,예비비!$B$430:$B$729,예비비!$A393,예비비!$E$430:$E$729,"&lt;"&amp;EDATE(BM$99,1))),0)</f>
        <v>0</v>
      </c>
      <c r="BN393">
        <f>IF(예비비!$R393="OK",SUMIFS(예비비!$O$430:$O$729,예비비!$B$430:$B$729,예비비!$A393,예비비!$E$430:$E$729,"&lt;"&amp;EDATE(BN$99,1),예비비!$F$430:$F$729,"결제대금비")+MAX(0,IF(예비비!$D393&lt;EDATE(BN$99,1),예비비!$E393,0)-SUMIFS(예비비!$O$430:$O$729,예비비!$B$430:$B$729,예비비!$A393,예비비!$E$430:$E$729,"&lt;"&amp;EDATE(BN$99,1))),0)</f>
        <v>0</v>
      </c>
      <c r="BO393">
        <f>IF(예비비!$R393="OK",SUMIFS(예비비!$O$430:$O$729,예비비!$B$430:$B$729,예비비!$A393,예비비!$E$430:$E$729,"&lt;"&amp;EDATE(BO$99,1),예비비!$F$430:$F$729,"결제대금비")+MAX(0,IF(예비비!$D393&lt;EDATE(BO$99,1),예비비!$E393,0)-SUMIFS(예비비!$O$430:$O$729,예비비!$B$430:$B$729,예비비!$A393,예비비!$E$430:$E$729,"&lt;"&amp;EDATE(BO$99,1))),0)</f>
        <v>0</v>
      </c>
      <c r="BP393">
        <f>IF(예비비!$R393="OK",SUMIFS(예비비!$O$430:$O$729,예비비!$B$430:$B$729,예비비!$A393,예비비!$E$430:$E$729,"&lt;"&amp;EDATE(BP$99,1),예비비!$F$430:$F$729,"결제대금비")+MAX(0,IF(예비비!$D393&lt;EDATE(BP$99,1),예비비!$E393,0)-SUMIFS(예비비!$O$430:$O$729,예비비!$B$430:$B$729,예비비!$A393,예비비!$E$430:$E$729,"&lt;"&amp;EDATE(BP$99,1))),0)</f>
        <v>0</v>
      </c>
      <c r="BQ393">
        <f>IF(예비비!$R393="OK",SUMIFS(예비비!$O$430:$O$729,예비비!$B$430:$B$729,예비비!$A393,예비비!$E$430:$E$729,"&lt;"&amp;EDATE(BQ$99,1),예비비!$F$430:$F$729,"결제대금비")+MAX(0,IF(예비비!$D393&lt;EDATE(BQ$99,1),예비비!$E393,0)-SUMIFS(예비비!$O$430:$O$729,예비비!$B$430:$B$729,예비비!$A393,예비비!$E$430:$E$729,"&lt;"&amp;EDATE(BQ$99,1))),0)</f>
        <v>0</v>
      </c>
      <c r="BR393">
        <f>IF(예비비!$R393="OK",SUMIFS(예비비!$O$430:$O$729,예비비!$B$430:$B$729,예비비!$A393,예비비!$E$430:$E$729,"&lt;"&amp;EDATE(BR$99,1),예비비!$F$430:$F$729,"결제대금비")+MAX(0,IF(예비비!$D393&lt;EDATE(BR$99,1),예비비!$E393,0)-SUMIFS(예비비!$O$430:$O$729,예비비!$B$430:$B$729,예비비!$A393,예비비!$E$430:$E$729,"&lt;"&amp;EDATE(BR$99,1))),0)</f>
        <v>0</v>
      </c>
      <c r="BS393">
        <f>IF(예비비!$R393="OK",SUMIFS(예비비!$O$430:$O$729,예비비!$B$430:$B$729,예비비!$A393,예비비!$E$430:$E$729,"&lt;"&amp;EDATE(BS$99,1),예비비!$F$430:$F$729,"결제대금비")+MAX(0,IF(예비비!$D393&lt;EDATE(BS$99,1),예비비!$E393,0)-SUMIFS(예비비!$O$430:$O$729,예비비!$B$430:$B$729,예비비!$A393,예비비!$E$430:$E$729,"&lt;"&amp;EDATE(BS$99,1))),0)</f>
        <v>0</v>
      </c>
      <c r="BT393">
        <f>IF(예비비!$R393="OK",SUMIFS(예비비!$O$430:$O$729,예비비!$B$430:$B$729,예비비!$A393,예비비!$E$430:$E$729,"&lt;"&amp;EDATE(BT$99,1),예비비!$F$430:$F$729,"결제대금비")+MAX(0,IF(예비비!$D393&lt;EDATE(BT$99,1),예비비!$E393,0)-SUMIFS(예비비!$O$430:$O$729,예비비!$B$430:$B$729,예비비!$A393,예비비!$E$430:$E$729,"&lt;"&amp;EDATE(BT$99,1))),0)</f>
        <v>0</v>
      </c>
      <c r="BU393">
        <f>IF(예비비!$R393="OK",SUMIFS(예비비!$O$430:$O$729,예비비!$B$430:$B$729,예비비!$A393,예비비!$E$430:$E$729,"&lt;"&amp;EDATE(BU$99,1),예비비!$F$430:$F$729,"결제대금비")+MAX(0,IF(예비비!$D393&lt;EDATE(BU$99,1),예비비!$E393,0)-SUMIFS(예비비!$O$430:$O$729,예비비!$B$430:$B$729,예비비!$A393,예비비!$E$430:$E$729,"&lt;"&amp;EDATE(BU$99,1))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  <c r="BI394">
        <f>IF(예비비!$R394="OK",SUMIFS(예비비!$O$430:$O$729,예비비!$B$430:$B$729,예비비!$A394,예비비!$E$430:$E$729,"&lt;"&amp;EDATE(BI$99,1),예비비!$F$430:$F$729,"결제대금비")+MAX(0,IF(예비비!$D394&lt;EDATE(BI$99,1),예비비!$E394,0)-SUMIFS(예비비!$O$430:$O$729,예비비!$B$430:$B$729,예비비!$A394,예비비!$E$430:$E$729,"&lt;"&amp;EDATE(BI$99,1))),0)</f>
        <v>0</v>
      </c>
      <c r="BJ394">
        <f>IF(예비비!$R394="OK",SUMIFS(예비비!$O$430:$O$729,예비비!$B$430:$B$729,예비비!$A394,예비비!$E$430:$E$729,"&lt;"&amp;EDATE(BJ$99,1),예비비!$F$430:$F$729,"결제대금비")+MAX(0,IF(예비비!$D394&lt;EDATE(BJ$99,1),예비비!$E394,0)-SUMIFS(예비비!$O$430:$O$729,예비비!$B$430:$B$729,예비비!$A394,예비비!$E$430:$E$729,"&lt;"&amp;EDATE(BJ$99,1))),0)</f>
        <v>0</v>
      </c>
      <c r="BK394">
        <f>IF(예비비!$R394="OK",SUMIFS(예비비!$O$430:$O$729,예비비!$B$430:$B$729,예비비!$A394,예비비!$E$430:$E$729,"&lt;"&amp;EDATE(BK$99,1),예비비!$F$430:$F$729,"결제대금비")+MAX(0,IF(예비비!$D394&lt;EDATE(BK$99,1),예비비!$E394,0)-SUMIFS(예비비!$O$430:$O$729,예비비!$B$430:$B$729,예비비!$A394,예비비!$E$430:$E$729,"&lt;"&amp;EDATE(BK$99,1))),0)</f>
        <v>0</v>
      </c>
      <c r="BL394">
        <f>IF(예비비!$R394="OK",SUMIFS(예비비!$O$430:$O$729,예비비!$B$430:$B$729,예비비!$A394,예비비!$E$430:$E$729,"&lt;"&amp;EDATE(BL$99,1),예비비!$F$430:$F$729,"결제대금비")+MAX(0,IF(예비비!$D394&lt;EDATE(BL$99,1),예비비!$E394,0)-SUMIFS(예비비!$O$430:$O$729,예비비!$B$430:$B$729,예비비!$A394,예비비!$E$430:$E$729,"&lt;"&amp;EDATE(BL$99,1))),0)</f>
        <v>0</v>
      </c>
      <c r="BM394">
        <f>IF(예비비!$R394="OK",SUMIFS(예비비!$O$430:$O$729,예비비!$B$430:$B$729,예비비!$A394,예비비!$E$430:$E$729,"&lt;"&amp;EDATE(BM$99,1),예비비!$F$430:$F$729,"결제대금비")+MAX(0,IF(예비비!$D394&lt;EDATE(BM$99,1),예비비!$E394,0)-SUMIFS(예비비!$O$430:$O$729,예비비!$B$430:$B$729,예비비!$A394,예비비!$E$430:$E$729,"&lt;"&amp;EDATE(BM$99,1))),0)</f>
        <v>0</v>
      </c>
      <c r="BN394">
        <f>IF(예비비!$R394="OK",SUMIFS(예비비!$O$430:$O$729,예비비!$B$430:$B$729,예비비!$A394,예비비!$E$430:$E$729,"&lt;"&amp;EDATE(BN$99,1),예비비!$F$430:$F$729,"결제대금비")+MAX(0,IF(예비비!$D394&lt;EDATE(BN$99,1),예비비!$E394,0)-SUMIFS(예비비!$O$430:$O$729,예비비!$B$430:$B$729,예비비!$A394,예비비!$E$430:$E$729,"&lt;"&amp;EDATE(BN$99,1))),0)</f>
        <v>0</v>
      </c>
      <c r="BO394">
        <f>IF(예비비!$R394="OK",SUMIFS(예비비!$O$430:$O$729,예비비!$B$430:$B$729,예비비!$A394,예비비!$E$430:$E$729,"&lt;"&amp;EDATE(BO$99,1),예비비!$F$430:$F$729,"결제대금비")+MAX(0,IF(예비비!$D394&lt;EDATE(BO$99,1),예비비!$E394,0)-SUMIFS(예비비!$O$430:$O$729,예비비!$B$430:$B$729,예비비!$A394,예비비!$E$430:$E$729,"&lt;"&amp;EDATE(BO$99,1))),0)</f>
        <v>0</v>
      </c>
      <c r="BP394">
        <f>IF(예비비!$R394="OK",SUMIFS(예비비!$O$430:$O$729,예비비!$B$430:$B$729,예비비!$A394,예비비!$E$430:$E$729,"&lt;"&amp;EDATE(BP$99,1),예비비!$F$430:$F$729,"결제대금비")+MAX(0,IF(예비비!$D394&lt;EDATE(BP$99,1),예비비!$E394,0)-SUMIFS(예비비!$O$430:$O$729,예비비!$B$430:$B$729,예비비!$A394,예비비!$E$430:$E$729,"&lt;"&amp;EDATE(BP$99,1))),0)</f>
        <v>0</v>
      </c>
      <c r="BQ394">
        <f>IF(예비비!$R394="OK",SUMIFS(예비비!$O$430:$O$729,예비비!$B$430:$B$729,예비비!$A394,예비비!$E$430:$E$729,"&lt;"&amp;EDATE(BQ$99,1),예비비!$F$430:$F$729,"결제대금비")+MAX(0,IF(예비비!$D394&lt;EDATE(BQ$99,1),예비비!$E394,0)-SUMIFS(예비비!$O$430:$O$729,예비비!$B$430:$B$729,예비비!$A394,예비비!$E$430:$E$729,"&lt;"&amp;EDATE(BQ$99,1))),0)</f>
        <v>0</v>
      </c>
      <c r="BR394">
        <f>IF(예비비!$R394="OK",SUMIFS(예비비!$O$430:$O$729,예비비!$B$430:$B$729,예비비!$A394,예비비!$E$430:$E$729,"&lt;"&amp;EDATE(BR$99,1),예비비!$F$430:$F$729,"결제대금비")+MAX(0,IF(예비비!$D394&lt;EDATE(BR$99,1),예비비!$E394,0)-SUMIFS(예비비!$O$430:$O$729,예비비!$B$430:$B$729,예비비!$A394,예비비!$E$430:$E$729,"&lt;"&amp;EDATE(BR$99,1))),0)</f>
        <v>0</v>
      </c>
      <c r="BS394">
        <f>IF(예비비!$R394="OK",SUMIFS(예비비!$O$430:$O$729,예비비!$B$430:$B$729,예비비!$A394,예비비!$E$430:$E$729,"&lt;"&amp;EDATE(BS$99,1),예비비!$F$430:$F$729,"결제대금비")+MAX(0,IF(예비비!$D394&lt;EDATE(BS$99,1),예비비!$E394,0)-SUMIFS(예비비!$O$430:$O$729,예비비!$B$430:$B$729,예비비!$A394,예비비!$E$430:$E$729,"&lt;"&amp;EDATE(BS$99,1))),0)</f>
        <v>0</v>
      </c>
      <c r="BT394">
        <f>IF(예비비!$R394="OK",SUMIFS(예비비!$O$430:$O$729,예비비!$B$430:$B$729,예비비!$A394,예비비!$E$430:$E$729,"&lt;"&amp;EDATE(BT$99,1),예비비!$F$430:$F$729,"결제대금비")+MAX(0,IF(예비비!$D394&lt;EDATE(BT$99,1),예비비!$E394,0)-SUMIFS(예비비!$O$430:$O$729,예비비!$B$430:$B$729,예비비!$A394,예비비!$E$430:$E$729,"&lt;"&amp;EDATE(BT$99,1))),0)</f>
        <v>0</v>
      </c>
      <c r="BU394">
        <f>IF(예비비!$R394="OK",SUMIFS(예비비!$O$430:$O$729,예비비!$B$430:$B$729,예비비!$A394,예비비!$E$430:$E$729,"&lt;"&amp;EDATE(BU$99,1),예비비!$F$430:$F$729,"결제대금비")+MAX(0,IF(예비비!$D394&lt;EDATE(BU$99,1),예비비!$E394,0)-SUMIFS(예비비!$O$430:$O$729,예비비!$B$430:$B$729,예비비!$A394,예비비!$E$430:$E$729,"&lt;"&amp;EDATE(BU$99,1))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  <c r="BI395">
        <f>IF(예비비!$R395="OK",SUMIFS(예비비!$O$430:$O$729,예비비!$B$430:$B$729,예비비!$A395,예비비!$E$430:$E$729,"&lt;"&amp;EDATE(BI$99,1),예비비!$F$430:$F$729,"결제대금비")+MAX(0,IF(예비비!$D395&lt;EDATE(BI$99,1),예비비!$E395,0)-SUMIFS(예비비!$O$430:$O$729,예비비!$B$430:$B$729,예비비!$A395,예비비!$E$430:$E$729,"&lt;"&amp;EDATE(BI$99,1))),0)</f>
        <v>0</v>
      </c>
      <c r="BJ395">
        <f>IF(예비비!$R395="OK",SUMIFS(예비비!$O$430:$O$729,예비비!$B$430:$B$729,예비비!$A395,예비비!$E$430:$E$729,"&lt;"&amp;EDATE(BJ$99,1),예비비!$F$430:$F$729,"결제대금비")+MAX(0,IF(예비비!$D395&lt;EDATE(BJ$99,1),예비비!$E395,0)-SUMIFS(예비비!$O$430:$O$729,예비비!$B$430:$B$729,예비비!$A395,예비비!$E$430:$E$729,"&lt;"&amp;EDATE(BJ$99,1))),0)</f>
        <v>0</v>
      </c>
      <c r="BK395">
        <f>IF(예비비!$R395="OK",SUMIFS(예비비!$O$430:$O$729,예비비!$B$430:$B$729,예비비!$A395,예비비!$E$430:$E$729,"&lt;"&amp;EDATE(BK$99,1),예비비!$F$430:$F$729,"결제대금비")+MAX(0,IF(예비비!$D395&lt;EDATE(BK$99,1),예비비!$E395,0)-SUMIFS(예비비!$O$430:$O$729,예비비!$B$430:$B$729,예비비!$A395,예비비!$E$430:$E$729,"&lt;"&amp;EDATE(BK$99,1))),0)</f>
        <v>0</v>
      </c>
      <c r="BL395">
        <f>IF(예비비!$R395="OK",SUMIFS(예비비!$O$430:$O$729,예비비!$B$430:$B$729,예비비!$A395,예비비!$E$430:$E$729,"&lt;"&amp;EDATE(BL$99,1),예비비!$F$430:$F$729,"결제대금비")+MAX(0,IF(예비비!$D395&lt;EDATE(BL$99,1),예비비!$E395,0)-SUMIFS(예비비!$O$430:$O$729,예비비!$B$430:$B$729,예비비!$A395,예비비!$E$430:$E$729,"&lt;"&amp;EDATE(BL$99,1))),0)</f>
        <v>0</v>
      </c>
      <c r="BM395">
        <f>IF(예비비!$R395="OK",SUMIFS(예비비!$O$430:$O$729,예비비!$B$430:$B$729,예비비!$A395,예비비!$E$430:$E$729,"&lt;"&amp;EDATE(BM$99,1),예비비!$F$430:$F$729,"결제대금비")+MAX(0,IF(예비비!$D395&lt;EDATE(BM$99,1),예비비!$E395,0)-SUMIFS(예비비!$O$430:$O$729,예비비!$B$430:$B$729,예비비!$A395,예비비!$E$430:$E$729,"&lt;"&amp;EDATE(BM$99,1))),0)</f>
        <v>0</v>
      </c>
      <c r="BN395">
        <f>IF(예비비!$R395="OK",SUMIFS(예비비!$O$430:$O$729,예비비!$B$430:$B$729,예비비!$A395,예비비!$E$430:$E$729,"&lt;"&amp;EDATE(BN$99,1),예비비!$F$430:$F$729,"결제대금비")+MAX(0,IF(예비비!$D395&lt;EDATE(BN$99,1),예비비!$E395,0)-SUMIFS(예비비!$O$430:$O$729,예비비!$B$430:$B$729,예비비!$A395,예비비!$E$430:$E$729,"&lt;"&amp;EDATE(BN$99,1))),0)</f>
        <v>0</v>
      </c>
      <c r="BO395">
        <f>IF(예비비!$R395="OK",SUMIFS(예비비!$O$430:$O$729,예비비!$B$430:$B$729,예비비!$A395,예비비!$E$430:$E$729,"&lt;"&amp;EDATE(BO$99,1),예비비!$F$430:$F$729,"결제대금비")+MAX(0,IF(예비비!$D395&lt;EDATE(BO$99,1),예비비!$E395,0)-SUMIFS(예비비!$O$430:$O$729,예비비!$B$430:$B$729,예비비!$A395,예비비!$E$430:$E$729,"&lt;"&amp;EDATE(BO$99,1))),0)</f>
        <v>0</v>
      </c>
      <c r="BP395">
        <f>IF(예비비!$R395="OK",SUMIFS(예비비!$O$430:$O$729,예비비!$B$430:$B$729,예비비!$A395,예비비!$E$430:$E$729,"&lt;"&amp;EDATE(BP$99,1),예비비!$F$430:$F$729,"결제대금비")+MAX(0,IF(예비비!$D395&lt;EDATE(BP$99,1),예비비!$E395,0)-SUMIFS(예비비!$O$430:$O$729,예비비!$B$430:$B$729,예비비!$A395,예비비!$E$430:$E$729,"&lt;"&amp;EDATE(BP$99,1))),0)</f>
        <v>0</v>
      </c>
      <c r="BQ395">
        <f>IF(예비비!$R395="OK",SUMIFS(예비비!$O$430:$O$729,예비비!$B$430:$B$729,예비비!$A395,예비비!$E$430:$E$729,"&lt;"&amp;EDATE(BQ$99,1),예비비!$F$430:$F$729,"결제대금비")+MAX(0,IF(예비비!$D395&lt;EDATE(BQ$99,1),예비비!$E395,0)-SUMIFS(예비비!$O$430:$O$729,예비비!$B$430:$B$729,예비비!$A395,예비비!$E$430:$E$729,"&lt;"&amp;EDATE(BQ$99,1))),0)</f>
        <v>0</v>
      </c>
      <c r="BR395">
        <f>IF(예비비!$R395="OK",SUMIFS(예비비!$O$430:$O$729,예비비!$B$430:$B$729,예비비!$A395,예비비!$E$430:$E$729,"&lt;"&amp;EDATE(BR$99,1),예비비!$F$430:$F$729,"결제대금비")+MAX(0,IF(예비비!$D395&lt;EDATE(BR$99,1),예비비!$E395,0)-SUMIFS(예비비!$O$430:$O$729,예비비!$B$430:$B$729,예비비!$A395,예비비!$E$430:$E$729,"&lt;"&amp;EDATE(BR$99,1))),0)</f>
        <v>0</v>
      </c>
      <c r="BS395">
        <f>IF(예비비!$R395="OK",SUMIFS(예비비!$O$430:$O$729,예비비!$B$430:$B$729,예비비!$A395,예비비!$E$430:$E$729,"&lt;"&amp;EDATE(BS$99,1),예비비!$F$430:$F$729,"결제대금비")+MAX(0,IF(예비비!$D395&lt;EDATE(BS$99,1),예비비!$E395,0)-SUMIFS(예비비!$O$430:$O$729,예비비!$B$430:$B$729,예비비!$A395,예비비!$E$430:$E$729,"&lt;"&amp;EDATE(BS$99,1))),0)</f>
        <v>0</v>
      </c>
      <c r="BT395">
        <f>IF(예비비!$R395="OK",SUMIFS(예비비!$O$430:$O$729,예비비!$B$430:$B$729,예비비!$A395,예비비!$E$430:$E$729,"&lt;"&amp;EDATE(BT$99,1),예비비!$F$430:$F$729,"결제대금비")+MAX(0,IF(예비비!$D395&lt;EDATE(BT$99,1),예비비!$E395,0)-SUMIFS(예비비!$O$430:$O$729,예비비!$B$430:$B$729,예비비!$A395,예비비!$E$430:$E$729,"&lt;"&amp;EDATE(BT$99,1))),0)</f>
        <v>0</v>
      </c>
      <c r="BU395">
        <f>IF(예비비!$R395="OK",SUMIFS(예비비!$O$430:$O$729,예비비!$B$430:$B$729,예비비!$A395,예비비!$E$430:$E$729,"&lt;"&amp;EDATE(BU$99,1),예비비!$F$430:$F$729,"결제대금비")+MAX(0,IF(예비비!$D395&lt;EDATE(BU$99,1),예비비!$E395,0)-SUMIFS(예비비!$O$430:$O$729,예비비!$B$430:$B$729,예비비!$A395,예비비!$E$430:$E$729,"&lt;"&amp;EDATE(BU$99,1))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  <c r="BI396">
        <f>IF(예비비!$R396="OK",SUMIFS(예비비!$O$430:$O$729,예비비!$B$430:$B$729,예비비!$A396,예비비!$E$430:$E$729,"&lt;"&amp;EDATE(BI$99,1),예비비!$F$430:$F$729,"결제대금비")+MAX(0,IF(예비비!$D396&lt;EDATE(BI$99,1),예비비!$E396,0)-SUMIFS(예비비!$O$430:$O$729,예비비!$B$430:$B$729,예비비!$A396,예비비!$E$430:$E$729,"&lt;"&amp;EDATE(BI$99,1))),0)</f>
        <v>0</v>
      </c>
      <c r="BJ396">
        <f>IF(예비비!$R396="OK",SUMIFS(예비비!$O$430:$O$729,예비비!$B$430:$B$729,예비비!$A396,예비비!$E$430:$E$729,"&lt;"&amp;EDATE(BJ$99,1),예비비!$F$430:$F$729,"결제대금비")+MAX(0,IF(예비비!$D396&lt;EDATE(BJ$99,1),예비비!$E396,0)-SUMIFS(예비비!$O$430:$O$729,예비비!$B$430:$B$729,예비비!$A396,예비비!$E$430:$E$729,"&lt;"&amp;EDATE(BJ$99,1))),0)</f>
        <v>0</v>
      </c>
      <c r="BK396">
        <f>IF(예비비!$R396="OK",SUMIFS(예비비!$O$430:$O$729,예비비!$B$430:$B$729,예비비!$A396,예비비!$E$430:$E$729,"&lt;"&amp;EDATE(BK$99,1),예비비!$F$430:$F$729,"결제대금비")+MAX(0,IF(예비비!$D396&lt;EDATE(BK$99,1),예비비!$E396,0)-SUMIFS(예비비!$O$430:$O$729,예비비!$B$430:$B$729,예비비!$A396,예비비!$E$430:$E$729,"&lt;"&amp;EDATE(BK$99,1))),0)</f>
        <v>0</v>
      </c>
      <c r="BL396">
        <f>IF(예비비!$R396="OK",SUMIFS(예비비!$O$430:$O$729,예비비!$B$430:$B$729,예비비!$A396,예비비!$E$430:$E$729,"&lt;"&amp;EDATE(BL$99,1),예비비!$F$430:$F$729,"결제대금비")+MAX(0,IF(예비비!$D396&lt;EDATE(BL$99,1),예비비!$E396,0)-SUMIFS(예비비!$O$430:$O$729,예비비!$B$430:$B$729,예비비!$A396,예비비!$E$430:$E$729,"&lt;"&amp;EDATE(BL$99,1))),0)</f>
        <v>0</v>
      </c>
      <c r="BM396">
        <f>IF(예비비!$R396="OK",SUMIFS(예비비!$O$430:$O$729,예비비!$B$430:$B$729,예비비!$A396,예비비!$E$430:$E$729,"&lt;"&amp;EDATE(BM$99,1),예비비!$F$430:$F$729,"결제대금비")+MAX(0,IF(예비비!$D396&lt;EDATE(BM$99,1),예비비!$E396,0)-SUMIFS(예비비!$O$430:$O$729,예비비!$B$430:$B$729,예비비!$A396,예비비!$E$430:$E$729,"&lt;"&amp;EDATE(BM$99,1))),0)</f>
        <v>0</v>
      </c>
      <c r="BN396">
        <f>IF(예비비!$R396="OK",SUMIFS(예비비!$O$430:$O$729,예비비!$B$430:$B$729,예비비!$A396,예비비!$E$430:$E$729,"&lt;"&amp;EDATE(BN$99,1),예비비!$F$430:$F$729,"결제대금비")+MAX(0,IF(예비비!$D396&lt;EDATE(BN$99,1),예비비!$E396,0)-SUMIFS(예비비!$O$430:$O$729,예비비!$B$430:$B$729,예비비!$A396,예비비!$E$430:$E$729,"&lt;"&amp;EDATE(BN$99,1))),0)</f>
        <v>0</v>
      </c>
      <c r="BO396">
        <f>IF(예비비!$R396="OK",SUMIFS(예비비!$O$430:$O$729,예비비!$B$430:$B$729,예비비!$A396,예비비!$E$430:$E$729,"&lt;"&amp;EDATE(BO$99,1),예비비!$F$430:$F$729,"결제대금비")+MAX(0,IF(예비비!$D396&lt;EDATE(BO$99,1),예비비!$E396,0)-SUMIFS(예비비!$O$430:$O$729,예비비!$B$430:$B$729,예비비!$A396,예비비!$E$430:$E$729,"&lt;"&amp;EDATE(BO$99,1))),0)</f>
        <v>0</v>
      </c>
      <c r="BP396">
        <f>IF(예비비!$R396="OK",SUMIFS(예비비!$O$430:$O$729,예비비!$B$430:$B$729,예비비!$A396,예비비!$E$430:$E$729,"&lt;"&amp;EDATE(BP$99,1),예비비!$F$430:$F$729,"결제대금비")+MAX(0,IF(예비비!$D396&lt;EDATE(BP$99,1),예비비!$E396,0)-SUMIFS(예비비!$O$430:$O$729,예비비!$B$430:$B$729,예비비!$A396,예비비!$E$430:$E$729,"&lt;"&amp;EDATE(BP$99,1))),0)</f>
        <v>0</v>
      </c>
      <c r="BQ396">
        <f>IF(예비비!$R396="OK",SUMIFS(예비비!$O$430:$O$729,예비비!$B$430:$B$729,예비비!$A396,예비비!$E$430:$E$729,"&lt;"&amp;EDATE(BQ$99,1),예비비!$F$430:$F$729,"결제대금비")+MAX(0,IF(예비비!$D396&lt;EDATE(BQ$99,1),예비비!$E396,0)-SUMIFS(예비비!$O$430:$O$729,예비비!$B$430:$B$729,예비비!$A396,예비비!$E$430:$E$729,"&lt;"&amp;EDATE(BQ$99,1))),0)</f>
        <v>0</v>
      </c>
      <c r="BR396">
        <f>IF(예비비!$R396="OK",SUMIFS(예비비!$O$430:$O$729,예비비!$B$430:$B$729,예비비!$A396,예비비!$E$430:$E$729,"&lt;"&amp;EDATE(BR$99,1),예비비!$F$430:$F$729,"결제대금비")+MAX(0,IF(예비비!$D396&lt;EDATE(BR$99,1),예비비!$E396,0)-SUMIFS(예비비!$O$430:$O$729,예비비!$B$430:$B$729,예비비!$A396,예비비!$E$430:$E$729,"&lt;"&amp;EDATE(BR$99,1))),0)</f>
        <v>0</v>
      </c>
      <c r="BS396">
        <f>IF(예비비!$R396="OK",SUMIFS(예비비!$O$430:$O$729,예비비!$B$430:$B$729,예비비!$A396,예비비!$E$430:$E$729,"&lt;"&amp;EDATE(BS$99,1),예비비!$F$430:$F$729,"결제대금비")+MAX(0,IF(예비비!$D396&lt;EDATE(BS$99,1),예비비!$E396,0)-SUMIFS(예비비!$O$430:$O$729,예비비!$B$430:$B$729,예비비!$A396,예비비!$E$430:$E$729,"&lt;"&amp;EDATE(BS$99,1))),0)</f>
        <v>0</v>
      </c>
      <c r="BT396">
        <f>IF(예비비!$R396="OK",SUMIFS(예비비!$O$430:$O$729,예비비!$B$430:$B$729,예비비!$A396,예비비!$E$430:$E$729,"&lt;"&amp;EDATE(BT$99,1),예비비!$F$430:$F$729,"결제대금비")+MAX(0,IF(예비비!$D396&lt;EDATE(BT$99,1),예비비!$E396,0)-SUMIFS(예비비!$O$430:$O$729,예비비!$B$430:$B$729,예비비!$A396,예비비!$E$430:$E$729,"&lt;"&amp;EDATE(BT$99,1))),0)</f>
        <v>0</v>
      </c>
      <c r="BU396">
        <f>IF(예비비!$R396="OK",SUMIFS(예비비!$O$430:$O$729,예비비!$B$430:$B$729,예비비!$A396,예비비!$E$430:$E$729,"&lt;"&amp;EDATE(BU$99,1),예비비!$F$430:$F$729,"결제대금비")+MAX(0,IF(예비비!$D396&lt;EDATE(BU$99,1),예비비!$E396,0)-SUMIFS(예비비!$O$430:$O$729,예비비!$B$430:$B$729,예비비!$A396,예비비!$E$430:$E$729,"&lt;"&amp;EDATE(BU$99,1))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  <c r="BI397">
        <f>IF(예비비!$R397="OK",SUMIFS(예비비!$O$430:$O$729,예비비!$B$430:$B$729,예비비!$A397,예비비!$E$430:$E$729,"&lt;"&amp;EDATE(BI$99,1),예비비!$F$430:$F$729,"결제대금비")+MAX(0,IF(예비비!$D397&lt;EDATE(BI$99,1),예비비!$E397,0)-SUMIFS(예비비!$O$430:$O$729,예비비!$B$430:$B$729,예비비!$A397,예비비!$E$430:$E$729,"&lt;"&amp;EDATE(BI$99,1))),0)</f>
        <v>0</v>
      </c>
      <c r="BJ397">
        <f>IF(예비비!$R397="OK",SUMIFS(예비비!$O$430:$O$729,예비비!$B$430:$B$729,예비비!$A397,예비비!$E$430:$E$729,"&lt;"&amp;EDATE(BJ$99,1),예비비!$F$430:$F$729,"결제대금비")+MAX(0,IF(예비비!$D397&lt;EDATE(BJ$99,1),예비비!$E397,0)-SUMIFS(예비비!$O$430:$O$729,예비비!$B$430:$B$729,예비비!$A397,예비비!$E$430:$E$729,"&lt;"&amp;EDATE(BJ$99,1))),0)</f>
        <v>0</v>
      </c>
      <c r="BK397">
        <f>IF(예비비!$R397="OK",SUMIFS(예비비!$O$430:$O$729,예비비!$B$430:$B$729,예비비!$A397,예비비!$E$430:$E$729,"&lt;"&amp;EDATE(BK$99,1),예비비!$F$430:$F$729,"결제대금비")+MAX(0,IF(예비비!$D397&lt;EDATE(BK$99,1),예비비!$E397,0)-SUMIFS(예비비!$O$430:$O$729,예비비!$B$430:$B$729,예비비!$A397,예비비!$E$430:$E$729,"&lt;"&amp;EDATE(BK$99,1))),0)</f>
        <v>0</v>
      </c>
      <c r="BL397">
        <f>IF(예비비!$R397="OK",SUMIFS(예비비!$O$430:$O$729,예비비!$B$430:$B$729,예비비!$A397,예비비!$E$430:$E$729,"&lt;"&amp;EDATE(BL$99,1),예비비!$F$430:$F$729,"결제대금비")+MAX(0,IF(예비비!$D397&lt;EDATE(BL$99,1),예비비!$E397,0)-SUMIFS(예비비!$O$430:$O$729,예비비!$B$430:$B$729,예비비!$A397,예비비!$E$430:$E$729,"&lt;"&amp;EDATE(BL$99,1))),0)</f>
        <v>0</v>
      </c>
      <c r="BM397">
        <f>IF(예비비!$R397="OK",SUMIFS(예비비!$O$430:$O$729,예비비!$B$430:$B$729,예비비!$A397,예비비!$E$430:$E$729,"&lt;"&amp;EDATE(BM$99,1),예비비!$F$430:$F$729,"결제대금비")+MAX(0,IF(예비비!$D397&lt;EDATE(BM$99,1),예비비!$E397,0)-SUMIFS(예비비!$O$430:$O$729,예비비!$B$430:$B$729,예비비!$A397,예비비!$E$430:$E$729,"&lt;"&amp;EDATE(BM$99,1))),0)</f>
        <v>0</v>
      </c>
      <c r="BN397">
        <f>IF(예비비!$R397="OK",SUMIFS(예비비!$O$430:$O$729,예비비!$B$430:$B$729,예비비!$A397,예비비!$E$430:$E$729,"&lt;"&amp;EDATE(BN$99,1),예비비!$F$430:$F$729,"결제대금비")+MAX(0,IF(예비비!$D397&lt;EDATE(BN$99,1),예비비!$E397,0)-SUMIFS(예비비!$O$430:$O$729,예비비!$B$430:$B$729,예비비!$A397,예비비!$E$430:$E$729,"&lt;"&amp;EDATE(BN$99,1))),0)</f>
        <v>0</v>
      </c>
      <c r="BO397">
        <f>IF(예비비!$R397="OK",SUMIFS(예비비!$O$430:$O$729,예비비!$B$430:$B$729,예비비!$A397,예비비!$E$430:$E$729,"&lt;"&amp;EDATE(BO$99,1),예비비!$F$430:$F$729,"결제대금비")+MAX(0,IF(예비비!$D397&lt;EDATE(BO$99,1),예비비!$E397,0)-SUMIFS(예비비!$O$430:$O$729,예비비!$B$430:$B$729,예비비!$A397,예비비!$E$430:$E$729,"&lt;"&amp;EDATE(BO$99,1))),0)</f>
        <v>0</v>
      </c>
      <c r="BP397">
        <f>IF(예비비!$R397="OK",SUMIFS(예비비!$O$430:$O$729,예비비!$B$430:$B$729,예비비!$A397,예비비!$E$430:$E$729,"&lt;"&amp;EDATE(BP$99,1),예비비!$F$430:$F$729,"결제대금비")+MAX(0,IF(예비비!$D397&lt;EDATE(BP$99,1),예비비!$E397,0)-SUMIFS(예비비!$O$430:$O$729,예비비!$B$430:$B$729,예비비!$A397,예비비!$E$430:$E$729,"&lt;"&amp;EDATE(BP$99,1))),0)</f>
        <v>0</v>
      </c>
      <c r="BQ397">
        <f>IF(예비비!$R397="OK",SUMIFS(예비비!$O$430:$O$729,예비비!$B$430:$B$729,예비비!$A397,예비비!$E$430:$E$729,"&lt;"&amp;EDATE(BQ$99,1),예비비!$F$430:$F$729,"결제대금비")+MAX(0,IF(예비비!$D397&lt;EDATE(BQ$99,1),예비비!$E397,0)-SUMIFS(예비비!$O$430:$O$729,예비비!$B$430:$B$729,예비비!$A397,예비비!$E$430:$E$729,"&lt;"&amp;EDATE(BQ$99,1))),0)</f>
        <v>0</v>
      </c>
      <c r="BR397">
        <f>IF(예비비!$R397="OK",SUMIFS(예비비!$O$430:$O$729,예비비!$B$430:$B$729,예비비!$A397,예비비!$E$430:$E$729,"&lt;"&amp;EDATE(BR$99,1),예비비!$F$430:$F$729,"결제대금비")+MAX(0,IF(예비비!$D397&lt;EDATE(BR$99,1),예비비!$E397,0)-SUMIFS(예비비!$O$430:$O$729,예비비!$B$430:$B$729,예비비!$A397,예비비!$E$430:$E$729,"&lt;"&amp;EDATE(BR$99,1))),0)</f>
        <v>0</v>
      </c>
      <c r="BS397">
        <f>IF(예비비!$R397="OK",SUMIFS(예비비!$O$430:$O$729,예비비!$B$430:$B$729,예비비!$A397,예비비!$E$430:$E$729,"&lt;"&amp;EDATE(BS$99,1),예비비!$F$430:$F$729,"결제대금비")+MAX(0,IF(예비비!$D397&lt;EDATE(BS$99,1),예비비!$E397,0)-SUMIFS(예비비!$O$430:$O$729,예비비!$B$430:$B$729,예비비!$A397,예비비!$E$430:$E$729,"&lt;"&amp;EDATE(BS$99,1))),0)</f>
        <v>0</v>
      </c>
      <c r="BT397">
        <f>IF(예비비!$R397="OK",SUMIFS(예비비!$O$430:$O$729,예비비!$B$430:$B$729,예비비!$A397,예비비!$E$430:$E$729,"&lt;"&amp;EDATE(BT$99,1),예비비!$F$430:$F$729,"결제대금비")+MAX(0,IF(예비비!$D397&lt;EDATE(BT$99,1),예비비!$E397,0)-SUMIFS(예비비!$O$430:$O$729,예비비!$B$430:$B$729,예비비!$A397,예비비!$E$430:$E$729,"&lt;"&amp;EDATE(BT$99,1))),0)</f>
        <v>0</v>
      </c>
      <c r="BU397">
        <f>IF(예비비!$R397="OK",SUMIFS(예비비!$O$430:$O$729,예비비!$B$430:$B$729,예비비!$A397,예비비!$E$430:$E$729,"&lt;"&amp;EDATE(BU$99,1),예비비!$F$430:$F$729,"결제대금비")+MAX(0,IF(예비비!$D397&lt;EDATE(BU$99,1),예비비!$E397,0)-SUMIFS(예비비!$O$430:$O$729,예비비!$B$430:$B$729,예비비!$A397,예비비!$E$430:$E$729,"&lt;"&amp;EDATE(BU$99,1))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  <c r="BI398">
        <f>IF(예비비!$R398="OK",SUMIFS(예비비!$O$430:$O$729,예비비!$B$430:$B$729,예비비!$A398,예비비!$E$430:$E$729,"&lt;"&amp;EDATE(BI$99,1),예비비!$F$430:$F$729,"결제대금비")+MAX(0,IF(예비비!$D398&lt;EDATE(BI$99,1),예비비!$E398,0)-SUMIFS(예비비!$O$430:$O$729,예비비!$B$430:$B$729,예비비!$A398,예비비!$E$430:$E$729,"&lt;"&amp;EDATE(BI$99,1))),0)</f>
        <v>0</v>
      </c>
      <c r="BJ398">
        <f>IF(예비비!$R398="OK",SUMIFS(예비비!$O$430:$O$729,예비비!$B$430:$B$729,예비비!$A398,예비비!$E$430:$E$729,"&lt;"&amp;EDATE(BJ$99,1),예비비!$F$430:$F$729,"결제대금비")+MAX(0,IF(예비비!$D398&lt;EDATE(BJ$99,1),예비비!$E398,0)-SUMIFS(예비비!$O$430:$O$729,예비비!$B$430:$B$729,예비비!$A398,예비비!$E$430:$E$729,"&lt;"&amp;EDATE(BJ$99,1))),0)</f>
        <v>0</v>
      </c>
      <c r="BK398">
        <f>IF(예비비!$R398="OK",SUMIFS(예비비!$O$430:$O$729,예비비!$B$430:$B$729,예비비!$A398,예비비!$E$430:$E$729,"&lt;"&amp;EDATE(BK$99,1),예비비!$F$430:$F$729,"결제대금비")+MAX(0,IF(예비비!$D398&lt;EDATE(BK$99,1),예비비!$E398,0)-SUMIFS(예비비!$O$430:$O$729,예비비!$B$430:$B$729,예비비!$A398,예비비!$E$430:$E$729,"&lt;"&amp;EDATE(BK$99,1))),0)</f>
        <v>0</v>
      </c>
      <c r="BL398">
        <f>IF(예비비!$R398="OK",SUMIFS(예비비!$O$430:$O$729,예비비!$B$430:$B$729,예비비!$A398,예비비!$E$430:$E$729,"&lt;"&amp;EDATE(BL$99,1),예비비!$F$430:$F$729,"결제대금비")+MAX(0,IF(예비비!$D398&lt;EDATE(BL$99,1),예비비!$E398,0)-SUMIFS(예비비!$O$430:$O$729,예비비!$B$430:$B$729,예비비!$A398,예비비!$E$430:$E$729,"&lt;"&amp;EDATE(BL$99,1))),0)</f>
        <v>0</v>
      </c>
      <c r="BM398">
        <f>IF(예비비!$R398="OK",SUMIFS(예비비!$O$430:$O$729,예비비!$B$430:$B$729,예비비!$A398,예비비!$E$430:$E$729,"&lt;"&amp;EDATE(BM$99,1),예비비!$F$430:$F$729,"결제대금비")+MAX(0,IF(예비비!$D398&lt;EDATE(BM$99,1),예비비!$E398,0)-SUMIFS(예비비!$O$430:$O$729,예비비!$B$430:$B$729,예비비!$A398,예비비!$E$430:$E$729,"&lt;"&amp;EDATE(BM$99,1))),0)</f>
        <v>0</v>
      </c>
      <c r="BN398">
        <f>IF(예비비!$R398="OK",SUMIFS(예비비!$O$430:$O$729,예비비!$B$430:$B$729,예비비!$A398,예비비!$E$430:$E$729,"&lt;"&amp;EDATE(BN$99,1),예비비!$F$430:$F$729,"결제대금비")+MAX(0,IF(예비비!$D398&lt;EDATE(BN$99,1),예비비!$E398,0)-SUMIFS(예비비!$O$430:$O$729,예비비!$B$430:$B$729,예비비!$A398,예비비!$E$430:$E$729,"&lt;"&amp;EDATE(BN$99,1))),0)</f>
        <v>0</v>
      </c>
      <c r="BO398">
        <f>IF(예비비!$R398="OK",SUMIFS(예비비!$O$430:$O$729,예비비!$B$430:$B$729,예비비!$A398,예비비!$E$430:$E$729,"&lt;"&amp;EDATE(BO$99,1),예비비!$F$430:$F$729,"결제대금비")+MAX(0,IF(예비비!$D398&lt;EDATE(BO$99,1),예비비!$E398,0)-SUMIFS(예비비!$O$430:$O$729,예비비!$B$430:$B$729,예비비!$A398,예비비!$E$430:$E$729,"&lt;"&amp;EDATE(BO$99,1))),0)</f>
        <v>0</v>
      </c>
      <c r="BP398">
        <f>IF(예비비!$R398="OK",SUMIFS(예비비!$O$430:$O$729,예비비!$B$430:$B$729,예비비!$A398,예비비!$E$430:$E$729,"&lt;"&amp;EDATE(BP$99,1),예비비!$F$430:$F$729,"결제대금비")+MAX(0,IF(예비비!$D398&lt;EDATE(BP$99,1),예비비!$E398,0)-SUMIFS(예비비!$O$430:$O$729,예비비!$B$430:$B$729,예비비!$A398,예비비!$E$430:$E$729,"&lt;"&amp;EDATE(BP$99,1))),0)</f>
        <v>0</v>
      </c>
      <c r="BQ398">
        <f>IF(예비비!$R398="OK",SUMIFS(예비비!$O$430:$O$729,예비비!$B$430:$B$729,예비비!$A398,예비비!$E$430:$E$729,"&lt;"&amp;EDATE(BQ$99,1),예비비!$F$430:$F$729,"결제대금비")+MAX(0,IF(예비비!$D398&lt;EDATE(BQ$99,1),예비비!$E398,0)-SUMIFS(예비비!$O$430:$O$729,예비비!$B$430:$B$729,예비비!$A398,예비비!$E$430:$E$729,"&lt;"&amp;EDATE(BQ$99,1))),0)</f>
        <v>0</v>
      </c>
      <c r="BR398">
        <f>IF(예비비!$R398="OK",SUMIFS(예비비!$O$430:$O$729,예비비!$B$430:$B$729,예비비!$A398,예비비!$E$430:$E$729,"&lt;"&amp;EDATE(BR$99,1),예비비!$F$430:$F$729,"결제대금비")+MAX(0,IF(예비비!$D398&lt;EDATE(BR$99,1),예비비!$E398,0)-SUMIFS(예비비!$O$430:$O$729,예비비!$B$430:$B$729,예비비!$A398,예비비!$E$430:$E$729,"&lt;"&amp;EDATE(BR$99,1))),0)</f>
        <v>0</v>
      </c>
      <c r="BS398">
        <f>IF(예비비!$R398="OK",SUMIFS(예비비!$O$430:$O$729,예비비!$B$430:$B$729,예비비!$A398,예비비!$E$430:$E$729,"&lt;"&amp;EDATE(BS$99,1),예비비!$F$430:$F$729,"결제대금비")+MAX(0,IF(예비비!$D398&lt;EDATE(BS$99,1),예비비!$E398,0)-SUMIFS(예비비!$O$430:$O$729,예비비!$B$430:$B$729,예비비!$A398,예비비!$E$430:$E$729,"&lt;"&amp;EDATE(BS$99,1))),0)</f>
        <v>0</v>
      </c>
      <c r="BT398">
        <f>IF(예비비!$R398="OK",SUMIFS(예비비!$O$430:$O$729,예비비!$B$430:$B$729,예비비!$A398,예비비!$E$430:$E$729,"&lt;"&amp;EDATE(BT$99,1),예비비!$F$430:$F$729,"결제대금비")+MAX(0,IF(예비비!$D398&lt;EDATE(BT$99,1),예비비!$E398,0)-SUMIFS(예비비!$O$430:$O$729,예비비!$B$430:$B$729,예비비!$A398,예비비!$E$430:$E$729,"&lt;"&amp;EDATE(BT$99,1))),0)</f>
        <v>0</v>
      </c>
      <c r="BU398">
        <f>IF(예비비!$R398="OK",SUMIFS(예비비!$O$430:$O$729,예비비!$B$430:$B$729,예비비!$A398,예비비!$E$430:$E$729,"&lt;"&amp;EDATE(BU$99,1),예비비!$F$430:$F$729,"결제대금비")+MAX(0,IF(예비비!$D398&lt;EDATE(BU$99,1),예비비!$E398,0)-SUMIFS(예비비!$O$430:$O$729,예비비!$B$430:$B$729,예비비!$A398,예비비!$E$430:$E$729,"&lt;"&amp;EDATE(BU$99,1))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  <c r="BI399">
        <f>IF(예비비!$R399="OK",SUMIFS(예비비!$O$430:$O$729,예비비!$B$430:$B$729,예비비!$A399,예비비!$E$430:$E$729,"&lt;"&amp;EDATE(BI$99,1),예비비!$F$430:$F$729,"결제대금비")+MAX(0,IF(예비비!$D399&lt;EDATE(BI$99,1),예비비!$E399,0)-SUMIFS(예비비!$O$430:$O$729,예비비!$B$430:$B$729,예비비!$A399,예비비!$E$430:$E$729,"&lt;"&amp;EDATE(BI$99,1))),0)</f>
        <v>0</v>
      </c>
      <c r="BJ399">
        <f>IF(예비비!$R399="OK",SUMIFS(예비비!$O$430:$O$729,예비비!$B$430:$B$729,예비비!$A399,예비비!$E$430:$E$729,"&lt;"&amp;EDATE(BJ$99,1),예비비!$F$430:$F$729,"결제대금비")+MAX(0,IF(예비비!$D399&lt;EDATE(BJ$99,1),예비비!$E399,0)-SUMIFS(예비비!$O$430:$O$729,예비비!$B$430:$B$729,예비비!$A399,예비비!$E$430:$E$729,"&lt;"&amp;EDATE(BJ$99,1))),0)</f>
        <v>0</v>
      </c>
      <c r="BK399">
        <f>IF(예비비!$R399="OK",SUMIFS(예비비!$O$430:$O$729,예비비!$B$430:$B$729,예비비!$A399,예비비!$E$430:$E$729,"&lt;"&amp;EDATE(BK$99,1),예비비!$F$430:$F$729,"결제대금비")+MAX(0,IF(예비비!$D399&lt;EDATE(BK$99,1),예비비!$E399,0)-SUMIFS(예비비!$O$430:$O$729,예비비!$B$430:$B$729,예비비!$A399,예비비!$E$430:$E$729,"&lt;"&amp;EDATE(BK$99,1))),0)</f>
        <v>0</v>
      </c>
      <c r="BL399">
        <f>IF(예비비!$R399="OK",SUMIFS(예비비!$O$430:$O$729,예비비!$B$430:$B$729,예비비!$A399,예비비!$E$430:$E$729,"&lt;"&amp;EDATE(BL$99,1),예비비!$F$430:$F$729,"결제대금비")+MAX(0,IF(예비비!$D399&lt;EDATE(BL$99,1),예비비!$E399,0)-SUMIFS(예비비!$O$430:$O$729,예비비!$B$430:$B$729,예비비!$A399,예비비!$E$430:$E$729,"&lt;"&amp;EDATE(BL$99,1))),0)</f>
        <v>0</v>
      </c>
      <c r="BM399">
        <f>IF(예비비!$R399="OK",SUMIFS(예비비!$O$430:$O$729,예비비!$B$430:$B$729,예비비!$A399,예비비!$E$430:$E$729,"&lt;"&amp;EDATE(BM$99,1),예비비!$F$430:$F$729,"결제대금비")+MAX(0,IF(예비비!$D399&lt;EDATE(BM$99,1),예비비!$E399,0)-SUMIFS(예비비!$O$430:$O$729,예비비!$B$430:$B$729,예비비!$A399,예비비!$E$430:$E$729,"&lt;"&amp;EDATE(BM$99,1))),0)</f>
        <v>0</v>
      </c>
      <c r="BN399">
        <f>IF(예비비!$R399="OK",SUMIFS(예비비!$O$430:$O$729,예비비!$B$430:$B$729,예비비!$A399,예비비!$E$430:$E$729,"&lt;"&amp;EDATE(BN$99,1),예비비!$F$430:$F$729,"결제대금비")+MAX(0,IF(예비비!$D399&lt;EDATE(BN$99,1),예비비!$E399,0)-SUMIFS(예비비!$O$430:$O$729,예비비!$B$430:$B$729,예비비!$A399,예비비!$E$430:$E$729,"&lt;"&amp;EDATE(BN$99,1))),0)</f>
        <v>0</v>
      </c>
      <c r="BO399">
        <f>IF(예비비!$R399="OK",SUMIFS(예비비!$O$430:$O$729,예비비!$B$430:$B$729,예비비!$A399,예비비!$E$430:$E$729,"&lt;"&amp;EDATE(BO$99,1),예비비!$F$430:$F$729,"결제대금비")+MAX(0,IF(예비비!$D399&lt;EDATE(BO$99,1),예비비!$E399,0)-SUMIFS(예비비!$O$430:$O$729,예비비!$B$430:$B$729,예비비!$A399,예비비!$E$430:$E$729,"&lt;"&amp;EDATE(BO$99,1))),0)</f>
        <v>0</v>
      </c>
      <c r="BP399">
        <f>IF(예비비!$R399="OK",SUMIFS(예비비!$O$430:$O$729,예비비!$B$430:$B$729,예비비!$A399,예비비!$E$430:$E$729,"&lt;"&amp;EDATE(BP$99,1),예비비!$F$430:$F$729,"결제대금비")+MAX(0,IF(예비비!$D399&lt;EDATE(BP$99,1),예비비!$E399,0)-SUMIFS(예비비!$O$430:$O$729,예비비!$B$430:$B$729,예비비!$A399,예비비!$E$430:$E$729,"&lt;"&amp;EDATE(BP$99,1))),0)</f>
        <v>0</v>
      </c>
      <c r="BQ399">
        <f>IF(예비비!$R399="OK",SUMIFS(예비비!$O$430:$O$729,예비비!$B$430:$B$729,예비비!$A399,예비비!$E$430:$E$729,"&lt;"&amp;EDATE(BQ$99,1),예비비!$F$430:$F$729,"결제대금비")+MAX(0,IF(예비비!$D399&lt;EDATE(BQ$99,1),예비비!$E399,0)-SUMIFS(예비비!$O$430:$O$729,예비비!$B$430:$B$729,예비비!$A399,예비비!$E$430:$E$729,"&lt;"&amp;EDATE(BQ$99,1))),0)</f>
        <v>0</v>
      </c>
      <c r="BR399">
        <f>IF(예비비!$R399="OK",SUMIFS(예비비!$O$430:$O$729,예비비!$B$430:$B$729,예비비!$A399,예비비!$E$430:$E$729,"&lt;"&amp;EDATE(BR$99,1),예비비!$F$430:$F$729,"결제대금비")+MAX(0,IF(예비비!$D399&lt;EDATE(BR$99,1),예비비!$E399,0)-SUMIFS(예비비!$O$430:$O$729,예비비!$B$430:$B$729,예비비!$A399,예비비!$E$430:$E$729,"&lt;"&amp;EDATE(BR$99,1))),0)</f>
        <v>0</v>
      </c>
      <c r="BS399">
        <f>IF(예비비!$R399="OK",SUMIFS(예비비!$O$430:$O$729,예비비!$B$430:$B$729,예비비!$A399,예비비!$E$430:$E$729,"&lt;"&amp;EDATE(BS$99,1),예비비!$F$430:$F$729,"결제대금비")+MAX(0,IF(예비비!$D399&lt;EDATE(BS$99,1),예비비!$E399,0)-SUMIFS(예비비!$O$430:$O$729,예비비!$B$430:$B$729,예비비!$A399,예비비!$E$430:$E$729,"&lt;"&amp;EDATE(BS$99,1))),0)</f>
        <v>0</v>
      </c>
      <c r="BT399">
        <f>IF(예비비!$R399="OK",SUMIFS(예비비!$O$430:$O$729,예비비!$B$430:$B$729,예비비!$A399,예비비!$E$430:$E$729,"&lt;"&amp;EDATE(BT$99,1),예비비!$F$430:$F$729,"결제대금비")+MAX(0,IF(예비비!$D399&lt;EDATE(BT$99,1),예비비!$E399,0)-SUMIFS(예비비!$O$430:$O$729,예비비!$B$430:$B$729,예비비!$A399,예비비!$E$430:$E$729,"&lt;"&amp;EDATE(BT$99,1))),0)</f>
        <v>0</v>
      </c>
      <c r="BU399">
        <f>IF(예비비!$R399="OK",SUMIFS(예비비!$O$430:$O$729,예비비!$B$430:$B$729,예비비!$A399,예비비!$E$430:$E$729,"&lt;"&amp;EDATE(BU$99,1),예비비!$F$430:$F$729,"결제대금비")+MAX(0,IF(예비비!$D399&lt;EDATE(BU$99,1),예비비!$E399,0)-SUMIFS(예비비!$O$430:$O$729,예비비!$B$430:$B$729,예비비!$A399,예비비!$E$430:$E$729,"&lt;"&amp;EDATE(BU$99,1))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45</vt:i4>
      </vt:variant>
      <vt:variant>
        <vt:lpstr>이름 지정된 범위</vt:lpstr>
      </vt:variant>
      <vt:variant>
        <vt:i4>25</vt:i4>
      </vt:variant>
    </vt:vector>
  </HeadingPairs>
  <TitlesOfParts>
    <vt:vector size="70" baseType="lpstr">
      <vt:lpstr>사용안내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